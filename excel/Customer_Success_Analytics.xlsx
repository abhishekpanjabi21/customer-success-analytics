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KPI_Summary" sheetId="3" state="visible" r:id="rId5"/>
    <sheet name="Assumptions" sheetId="4" state="visible" r:id="rId6"/>
    <sheet name="Health_Score" sheetId="5" state="visible" r:id="rId7"/>
    <sheet name="Monthly_MRR" sheetId="6" state="visible" r:id="rId8"/>
    <sheet name="Retention_Cohort" sheetId="7" state="visible" r:id="rId9"/>
    <sheet name="NPS_Responses" sheetId="8" state="visible" r:id="rId10"/>
    <sheet name="Accounts" sheetId="9" state="visible" r:id="rId11"/>
    <sheet name="Dashboard_Data" sheetId="10" state="visible" r:id="rId12"/>
  </sheets>
  <definedNames>
    <definedName function="false" hidden="true" localSheetId="8" name="_xlnm._FilterDatabase" vbProcedure="false">Accounts!$A$1:$P$2601</definedName>
    <definedName function="false" hidden="true" localSheetId="4" name="_xlnm._FilterDatabase" vbProcedure="false">Health_Score!$A$1:$V$2122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Arial"/>
            <family val="2"/>
          </rPr>
          <t xml:space="preserve">Weighted sum of the five component scores; weights live on the Assumptions tab.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GRR counts each customer at most at its starting MRR, so expansion is excluded.</t>
        </r>
      </text>
    </comment>
  </commentList>
</comments>
</file>

<file path=xl/sharedStrings.xml><?xml version="1.0" encoding="utf-8"?>
<sst xmlns="http://schemas.openxmlformats.org/spreadsheetml/2006/main" count="64120" uniqueCount="10487">
  <si>
    <t xml:space="preserve">Customer Success Dashboard</t>
  </si>
  <si>
    <t xml:space="preserve">Synthetic SaaS data · 2,600 accounts · reporting month Sep 2026 · every number is a live formula</t>
  </si>
  <si>
    <t xml:space="preserve">ARR</t>
  </si>
  <si>
    <t xml:space="preserve">MRR growth (12 mo)</t>
  </si>
  <si>
    <t xml:space="preserve">Net revenue retention</t>
  </si>
  <si>
    <t xml:space="preserve">Gross revenue retention</t>
  </si>
  <si>
    <t xml:space="preserve">NPS (12 mo)</t>
  </si>
  <si>
    <t xml:space="preserve">High Risk ARR</t>
  </si>
  <si>
    <t xml:space="preserve">SaaS Customer Success Analytics — Excel Workbook</t>
  </si>
  <si>
    <t xml:space="preserve">Synthetic practice dataset: 2,600 B2B SaaS accounts, Jan 2024 – Sep 2026 (reporting month: Sep 2026).</t>
  </si>
  <si>
    <t xml:space="preserve">HOW THIS WORKBOOK FITS THE PROJECT</t>
  </si>
  <si>
    <t xml:space="preserve">1. SQL (customer_success_analysis.sql) cleans and aggregates the raw CSVs.</t>
  </si>
  <si>
    <t xml:space="preserve">2. This workbook re-calculates the key metrics with formulas so you can see and change the logic.</t>
  </si>
  <si>
    <t xml:space="preserve">3. Power BI uses the same data + DAX measures for the 5-page dashboard.</t>
  </si>
  <si>
    <t xml:space="preserve">TABS</t>
  </si>
  <si>
    <t xml:space="preserve">Assumptions — health-score weights and thresholds. Change a blue cell and every score updates.</t>
  </si>
  <si>
    <t xml:space="preserve">KPI_Summary — the executive numbers: ARR, MRR, churn, NRR/GRR, NPS, health mix, by segment.</t>
  </si>
  <si>
    <t xml:space="preserve">Monthly_MRR — 33 months of MRR, MRR movements (new / expansion / contraction / churn), logo churn.</t>
  </si>
  <si>
    <t xml:space="preserve">Health_Score — one row per active customer: raw inputs (from SQL) + formula-driven component scores.</t>
  </si>
  <si>
    <t xml:space="preserve">Retention_Cohort — customers paying in Sep 2025 and their MRR in Sep 2026, used for NRR / GRR.</t>
  </si>
  <si>
    <t xml:space="preserve">NPS_Responses — survey answers from the last 12 months with Promoter / Passive / Detractor labels.</t>
  </si>
  <si>
    <t xml:space="preserve">Accounts — all 2,600 accounts (use it to practise PivotTables).</t>
  </si>
  <si>
    <t xml:space="preserve">Dashboard — KPI tiles and 8 charts; Dashboard_Data holds the formula-driven chart inputs.</t>
  </si>
  <si>
    <t xml:space="preserve">COLOUR LEGEND</t>
  </si>
  <si>
    <t xml:space="preserve">Blue text = input you can change   ·   Black = formula   ·   Green = pulled from another tab   ·   Yellow fill = key assumption</t>
  </si>
  <si>
    <t xml:space="preserve">PRACTICE TASKS</t>
  </si>
  <si>
    <t xml:space="preserve">a) Insert a PivotTable on Accounts: Rows = segment, Columns = status, Values = Count of account_id.</t>
  </si>
  <si>
    <t xml:space="preserve">b) Change the usage weight on Assumptions from 35% to 45% and watch the High Risk count move.</t>
  </si>
  <si>
    <t xml:space="preserve">c) Add a slicer to a PivotTable on Health_Score for csm_owner.</t>
  </si>
  <si>
    <t xml:space="preserve">Executive KPI Summary — reporting month Sep 2026</t>
  </si>
  <si>
    <t xml:space="preserve">Every number below is a live formula on the other tabs.</t>
  </si>
  <si>
    <t xml:space="preserve">REVENUE</t>
  </si>
  <si>
    <t xml:space="preserve">Health tier</t>
  </si>
  <si>
    <t xml:space="preserve">Customers</t>
  </si>
  <si>
    <t xml:space="preserve">% of ARR</t>
  </si>
  <si>
    <t xml:space="preserve">Current MRR</t>
  </si>
  <si>
    <t xml:space="preserve">Healthy</t>
  </si>
  <si>
    <t xml:space="preserve">Current ARR</t>
  </si>
  <si>
    <t xml:space="preserve">Needs Attention</t>
  </si>
  <si>
    <t xml:space="preserve">Paying customers</t>
  </si>
  <si>
    <t xml:space="preserve">High Risk</t>
  </si>
  <si>
    <t xml:space="preserve">Average ARR per customer</t>
  </si>
  <si>
    <t xml:space="preserve">Total</t>
  </si>
  <si>
    <t xml:space="preserve">MRR growth, last 12 months</t>
  </si>
  <si>
    <t xml:space="preserve">Expansion MRR, last 12 months</t>
  </si>
  <si>
    <t xml:space="preserve">RETENTION (Sep 2025 → Sep 2026 cohort)</t>
  </si>
  <si>
    <t xml:space="preserve">Segment</t>
  </si>
  <si>
    <t xml:space="preserve">Active customers</t>
  </si>
  <si>
    <t xml:space="preserve">Avg health</t>
  </si>
  <si>
    <t xml:space="preserve">NPS</t>
  </si>
  <si>
    <t xml:space="preserve">Net Revenue Retention (NRR)</t>
  </si>
  <si>
    <t xml:space="preserve">SMB</t>
  </si>
  <si>
    <t xml:space="preserve">Gross Revenue Retention (GRR)</t>
  </si>
  <si>
    <t xml:space="preserve">Mid-Market</t>
  </si>
  <si>
    <t xml:space="preserve">Logo retention</t>
  </si>
  <si>
    <t xml:space="preserve">Enterprise</t>
  </si>
  <si>
    <t xml:space="preserve">Annual logo churn rate</t>
  </si>
  <si>
    <t xml:space="preserve">Avg monthly logo churn, last 12 months</t>
  </si>
  <si>
    <t xml:space="preserve">CUSTOMER SENTIMENT</t>
  </si>
  <si>
    <t xml:space="preserve">NPS (last 12 months)</t>
  </si>
  <si>
    <t xml:space="preserve">Survey responses</t>
  </si>
  <si>
    <t xml:space="preserve">CUSTOMER HEALTH (active customers)</t>
  </si>
  <si>
    <t xml:space="preserve">Average health score</t>
  </si>
  <si>
    <t xml:space="preserve">ARR in High Risk tier</t>
  </si>
  <si>
    <t xml:space="preserve">ARR in Needs Attention tier</t>
  </si>
  <si>
    <t xml:space="preserve">Assumption</t>
  </si>
  <si>
    <t xml:space="preserve">Value</t>
  </si>
  <si>
    <t xml:space="preserve">Notes</t>
  </si>
  <si>
    <t xml:space="preserve">Weight — Product usage</t>
  </si>
  <si>
    <t xml:space="preserve">Share of health score</t>
  </si>
  <si>
    <t xml:space="preserve">Weight — NPS</t>
  </si>
  <si>
    <t xml:space="preserve">Weight — Support load</t>
  </si>
  <si>
    <t xml:space="preserve">Weight — Onboarding</t>
  </si>
  <si>
    <t xml:space="preserve">Weight — Revenue trend</t>
  </si>
  <si>
    <t xml:space="preserve">Weights total (must = 100%)</t>
  </si>
  <si>
    <t xml:space="preserve">Formula check</t>
  </si>
  <si>
    <t xml:space="preserve">Seat utilisation for full usage score</t>
  </si>
  <si>
    <t xml:space="preserve">90%+ active seats = 100 points</t>
  </si>
  <si>
    <t xml:space="preserve">Score if no NPS survey yet</t>
  </si>
  <si>
    <t xml:space="preserve">Neutral default</t>
  </si>
  <si>
    <t xml:space="preserve">Healthy threshold (score ≥)</t>
  </si>
  <si>
    <t xml:space="preserve">Needs Attention threshold (score ≥)</t>
  </si>
  <si>
    <t xml:space="preserve">Below this = High Risk</t>
  </si>
  <si>
    <t xml:space="preserve">Support score: 0–1 tickets in 90 days</t>
  </si>
  <si>
    <t xml:space="preserve">Support score: 2–3 tickets</t>
  </si>
  <si>
    <t xml:space="preserve">Support score: 4–6 tickets</t>
  </si>
  <si>
    <t xml:space="preserve">Support score: 7+ tickets</t>
  </si>
  <si>
    <t xml:space="preserve">Onboarding score: Completed On Time</t>
  </si>
  <si>
    <t xml:space="preserve">Onboarding score: Completed Late</t>
  </si>
  <si>
    <t xml:space="preserve">Onboarding score: In Progress</t>
  </si>
  <si>
    <t xml:space="preserve">Revenue trend: MRR up vs 3 months ago</t>
  </si>
  <si>
    <t xml:space="preserve">Revenue trend: flat (or new customer)</t>
  </si>
  <si>
    <t xml:space="preserve">Revenue trend: MRR down</t>
  </si>
  <si>
    <t xml:space="preserve">All values are design choices for this practice project (not from a published benchmark).</t>
  </si>
  <si>
    <t xml:space="preserve">account_id</t>
  </si>
  <si>
    <t xml:space="preserve">company_name</t>
  </si>
  <si>
    <t xml:space="preserve">segment</t>
  </si>
  <si>
    <t xml:space="preserve">plan</t>
  </si>
  <si>
    <t xml:space="preserve">region</t>
  </si>
  <si>
    <t xml:space="preserve">csm_owner</t>
  </si>
  <si>
    <t xml:space="preserve">renewal_date</t>
  </si>
  <si>
    <t xml:space="preserve">mrr_now</t>
  </si>
  <si>
    <t xml:space="preserve">mrr_3m_ago</t>
  </si>
  <si>
    <t xml:space="preserve">utilisation</t>
  </si>
  <si>
    <t xml:space="preserve">avg_features</t>
  </si>
  <si>
    <t xml:space="preserve">latest_nps</t>
  </si>
  <si>
    <t xml:space="preserve">tickets_90d</t>
  </si>
  <si>
    <t xml:space="preserve">onboarding_status</t>
  </si>
  <si>
    <t xml:space="preserve">Usage score</t>
  </si>
  <si>
    <t xml:space="preserve">NPS score</t>
  </si>
  <si>
    <t xml:space="preserve">Support score</t>
  </si>
  <si>
    <t xml:space="preserve">Onboarding score</t>
  </si>
  <si>
    <t xml:space="preserve">Growth score</t>
  </si>
  <si>
    <t xml:space="preserve">Health score</t>
  </si>
  <si>
    <t xml:space="preserve">Risk tier</t>
  </si>
  <si>
    <t xml:space="preserve">ACC-11401</t>
  </si>
  <si>
    <t xml:space="preserve">Greenforge Group</t>
  </si>
  <si>
    <t xml:space="preserve">APAC</t>
  </si>
  <si>
    <t xml:space="preserve">Aisha Khan</t>
  </si>
  <si>
    <t xml:space="preserve">2027-05-01</t>
  </si>
  <si>
    <t xml:space="preserve">Completed On Time</t>
  </si>
  <si>
    <t xml:space="preserve">ACC-12541</t>
  </si>
  <si>
    <t xml:space="preserve">Blueflow Group</t>
  </si>
  <si>
    <t xml:space="preserve">North America</t>
  </si>
  <si>
    <t xml:space="preserve">Rahul Mehta</t>
  </si>
  <si>
    <t xml:space="preserve">2027-12-01</t>
  </si>
  <si>
    <t xml:space="preserve">ACC-10519</t>
  </si>
  <si>
    <t xml:space="preserve">Novapoint LLC</t>
  </si>
  <si>
    <t xml:space="preserve">LATAM</t>
  </si>
  <si>
    <t xml:space="preserve">2027-03-01</t>
  </si>
  <si>
    <t xml:space="preserve">ACC-11133</t>
  </si>
  <si>
    <t xml:space="preserve">Atlasly Inc</t>
  </si>
  <si>
    <t xml:space="preserve">EMEA</t>
  </si>
  <si>
    <t xml:space="preserve">Priya Sharma</t>
  </si>
  <si>
    <t xml:space="preserve">ACC-12426</t>
  </si>
  <si>
    <t xml:space="preserve">Primeflow Co</t>
  </si>
  <si>
    <t xml:space="preserve">Sofia Alvarez</t>
  </si>
  <si>
    <t xml:space="preserve">2027-02-01</t>
  </si>
  <si>
    <t xml:space="preserve">ACC-11722</t>
  </si>
  <si>
    <t xml:space="preserve">Apexwave Systems</t>
  </si>
  <si>
    <t xml:space="preserve">2027-11-01</t>
  </si>
  <si>
    <t xml:space="preserve">ACC-12504</t>
  </si>
  <si>
    <t xml:space="preserve">Orbitworks LLC</t>
  </si>
  <si>
    <t xml:space="preserve">Lucas Martin</t>
  </si>
  <si>
    <t xml:space="preserve">2027-04-01</t>
  </si>
  <si>
    <t xml:space="preserve">ACC-10374</t>
  </si>
  <si>
    <t xml:space="preserve">Clearbridge Ltd</t>
  </si>
  <si>
    <t xml:space="preserve">2027-06-01</t>
  </si>
  <si>
    <t xml:space="preserve">Completed Late</t>
  </si>
  <si>
    <t xml:space="preserve">ACC-11225</t>
  </si>
  <si>
    <t xml:space="preserve">Trueline Ltd</t>
  </si>
  <si>
    <t xml:space="preserve">James Carter</t>
  </si>
  <si>
    <t xml:space="preserve">ACC-12391</t>
  </si>
  <si>
    <t xml:space="preserve">Lumenlogic Ltd</t>
  </si>
  <si>
    <t xml:space="preserve">Neha Iyer</t>
  </si>
  <si>
    <t xml:space="preserve">ACC-10382</t>
  </si>
  <si>
    <t xml:space="preserve">Coreforge Co</t>
  </si>
  <si>
    <t xml:space="preserve">ACC-12420</t>
  </si>
  <si>
    <t xml:space="preserve">Clearly Inc</t>
  </si>
  <si>
    <t xml:space="preserve">2027-09-01</t>
  </si>
  <si>
    <t xml:space="preserve">ACC-10918</t>
  </si>
  <si>
    <t xml:space="preserve">Urbanpoint Group</t>
  </si>
  <si>
    <t xml:space="preserve">ACC-11707</t>
  </si>
  <si>
    <t xml:space="preserve">Urbanhub Ltd</t>
  </si>
  <si>
    <t xml:space="preserve">ACC-11275</t>
  </si>
  <si>
    <t xml:space="preserve">Corelogic Group</t>
  </si>
  <si>
    <t xml:space="preserve">Emily Chen</t>
  </si>
  <si>
    <t xml:space="preserve">ACC-11313</t>
  </si>
  <si>
    <t xml:space="preserve">Corehub Solutions</t>
  </si>
  <si>
    <t xml:space="preserve">ACC-11371</t>
  </si>
  <si>
    <t xml:space="preserve">Urbanflow Co</t>
  </si>
  <si>
    <t xml:space="preserve">ACC-11547</t>
  </si>
  <si>
    <t xml:space="preserve">Truescale Co</t>
  </si>
  <si>
    <t xml:space="preserve">ACC-10275</t>
  </si>
  <si>
    <t xml:space="preserve">Pixelstack Ltd</t>
  </si>
  <si>
    <t xml:space="preserve">ACC-10743</t>
  </si>
  <si>
    <t xml:space="preserve">Peakworks LLC</t>
  </si>
  <si>
    <t xml:space="preserve">2027-07-01</t>
  </si>
  <si>
    <t xml:space="preserve">ACC-11248</t>
  </si>
  <si>
    <t xml:space="preserve">Peakscale Systems</t>
  </si>
  <si>
    <t xml:space="preserve">2027-08-01</t>
  </si>
  <si>
    <t xml:space="preserve">ACC-10411</t>
  </si>
  <si>
    <t xml:space="preserve">Clearnest Systems</t>
  </si>
  <si>
    <t xml:space="preserve">ACC-10712</t>
  </si>
  <si>
    <t xml:space="preserve">Urbansphere Solutions</t>
  </si>
  <si>
    <t xml:space="preserve">2027-01-01</t>
  </si>
  <si>
    <t xml:space="preserve">ACC-11853</t>
  </si>
  <si>
    <t xml:space="preserve">Cleargrid Solutions</t>
  </si>
  <si>
    <t xml:space="preserve">ACC-10076</t>
  </si>
  <si>
    <t xml:space="preserve">Brightlogic Ltd</t>
  </si>
  <si>
    <t xml:space="preserve">Daniel Brooks</t>
  </si>
  <si>
    <t xml:space="preserve">ACC-10031</t>
  </si>
  <si>
    <t xml:space="preserve">Pixelcraft Co</t>
  </si>
  <si>
    <t xml:space="preserve">ACC-10121</t>
  </si>
  <si>
    <t xml:space="preserve">Coreforge Group</t>
  </si>
  <si>
    <t xml:space="preserve">ACC-11929</t>
  </si>
  <si>
    <t xml:space="preserve">Northworks Group</t>
  </si>
  <si>
    <t xml:space="preserve">ACC-10666</t>
  </si>
  <si>
    <t xml:space="preserve">Corely Group</t>
  </si>
  <si>
    <t xml:space="preserve">In Progress</t>
  </si>
  <si>
    <t xml:space="preserve">ACC-10295</t>
  </si>
  <si>
    <t xml:space="preserve">Urbanwave Group</t>
  </si>
  <si>
    <t xml:space="preserve">ACC-10351</t>
  </si>
  <si>
    <t xml:space="preserve">Apexsphere Inc</t>
  </si>
  <si>
    <t xml:space="preserve">2027-10-01</t>
  </si>
  <si>
    <t xml:space="preserve">ACC-12177</t>
  </si>
  <si>
    <t xml:space="preserve">Urbanlabs Solutions</t>
  </si>
  <si>
    <t xml:space="preserve">ACC-11005</t>
  </si>
  <si>
    <t xml:space="preserve">Novaworks Ltd</t>
  </si>
  <si>
    <t xml:space="preserve">ACC-10864</t>
  </si>
  <si>
    <t xml:space="preserve">Vertexworks Group</t>
  </si>
  <si>
    <t xml:space="preserve">ACC-11289</t>
  </si>
  <si>
    <t xml:space="preserve">Urbanmind Systems</t>
  </si>
  <si>
    <t xml:space="preserve">ACC-11958</t>
  </si>
  <si>
    <t xml:space="preserve">Vertexmind Solutions</t>
  </si>
  <si>
    <t xml:space="preserve">ACC-11206</t>
  </si>
  <si>
    <t xml:space="preserve">Greencraft Inc</t>
  </si>
  <si>
    <t xml:space="preserve">ACC-10096</t>
  </si>
  <si>
    <t xml:space="preserve">Primegrid Systems</t>
  </si>
  <si>
    <t xml:space="preserve">ACC-11762</t>
  </si>
  <si>
    <t xml:space="preserve">Boldforge Ltd</t>
  </si>
  <si>
    <t xml:space="preserve">ACC-11816</t>
  </si>
  <si>
    <t xml:space="preserve">Primescale Ltd</t>
  </si>
  <si>
    <t xml:space="preserve">Marco Rossi</t>
  </si>
  <si>
    <t xml:space="preserve">ACC-11542</t>
  </si>
  <si>
    <t xml:space="preserve">Brightgrid Solutions</t>
  </si>
  <si>
    <t xml:space="preserve">ACC-12463</t>
  </si>
  <si>
    <t xml:space="preserve">Primepoint Solutions</t>
  </si>
  <si>
    <t xml:space="preserve">ACC-10860</t>
  </si>
  <si>
    <t xml:space="preserve">Orbitworks Ltd</t>
  </si>
  <si>
    <t xml:space="preserve">ACC-11798</t>
  </si>
  <si>
    <t xml:space="preserve">Peakbridge Solutions</t>
  </si>
  <si>
    <t xml:space="preserve">ACC-10283</t>
  </si>
  <si>
    <t xml:space="preserve">Greenpath Co</t>
  </si>
  <si>
    <t xml:space="preserve">ACC-11584</t>
  </si>
  <si>
    <t xml:space="preserve">Greenflow LLC</t>
  </si>
  <si>
    <t xml:space="preserve">ACC-12025</t>
  </si>
  <si>
    <t xml:space="preserve">Silversphere Inc</t>
  </si>
  <si>
    <t xml:space="preserve">ACC-11680</t>
  </si>
  <si>
    <t xml:space="preserve">Peakflow Solutions</t>
  </si>
  <si>
    <t xml:space="preserve">ACC-10703</t>
  </si>
  <si>
    <t xml:space="preserve">Atlaspath Technologies</t>
  </si>
  <si>
    <t xml:space="preserve">ACC-11412</t>
  </si>
  <si>
    <t xml:space="preserve">Vertexly Systems</t>
  </si>
  <si>
    <t xml:space="preserve">ACC-11780</t>
  </si>
  <si>
    <t xml:space="preserve">Lumenscale Ltd</t>
  </si>
  <si>
    <t xml:space="preserve">ACC-10653</t>
  </si>
  <si>
    <t xml:space="preserve">Lumenmind Group</t>
  </si>
  <si>
    <t xml:space="preserve">ACC-10863</t>
  </si>
  <si>
    <t xml:space="preserve">Brightforge Co</t>
  </si>
  <si>
    <t xml:space="preserve">ACC-10080</t>
  </si>
  <si>
    <t xml:space="preserve">Orbitnest LLC</t>
  </si>
  <si>
    <t xml:space="preserve">ACC-12052</t>
  </si>
  <si>
    <t xml:space="preserve">Atlashub Systems</t>
  </si>
  <si>
    <t xml:space="preserve">ACC-10090</t>
  </si>
  <si>
    <t xml:space="preserve">Greenscale Solutions</t>
  </si>
  <si>
    <t xml:space="preserve">ACC-10114</t>
  </si>
  <si>
    <t xml:space="preserve">Brightcraft Co</t>
  </si>
  <si>
    <t xml:space="preserve">ACC-12130</t>
  </si>
  <si>
    <t xml:space="preserve">Orbithub Ltd</t>
  </si>
  <si>
    <t xml:space="preserve">ACC-11366</t>
  </si>
  <si>
    <t xml:space="preserve">Atlaspath Co</t>
  </si>
  <si>
    <t xml:space="preserve">ACC-12300</t>
  </si>
  <si>
    <t xml:space="preserve">Clearworks LLC</t>
  </si>
  <si>
    <t xml:space="preserve">ACC-12526</t>
  </si>
  <si>
    <t xml:space="preserve">Bluehub Group</t>
  </si>
  <si>
    <t xml:space="preserve">ACC-10781</t>
  </si>
  <si>
    <t xml:space="preserve">Novawave Solutions</t>
  </si>
  <si>
    <t xml:space="preserve">ACC-12580</t>
  </si>
  <si>
    <t xml:space="preserve">Cleargrid Systems</t>
  </si>
  <si>
    <t xml:space="preserve">ACC-11007</t>
  </si>
  <si>
    <t xml:space="preserve">Pixelcraft Inc</t>
  </si>
  <si>
    <t xml:space="preserve">ACC-11839</t>
  </si>
  <si>
    <t xml:space="preserve">Greenpoint Systems</t>
  </si>
  <si>
    <t xml:space="preserve">ACC-10418</t>
  </si>
  <si>
    <t xml:space="preserve">Boldflow Solutions</t>
  </si>
  <si>
    <t xml:space="preserve">ACC-10051</t>
  </si>
  <si>
    <t xml:space="preserve">Novaly Systems</t>
  </si>
  <si>
    <t xml:space="preserve">ACC-11918</t>
  </si>
  <si>
    <t xml:space="preserve">Atlasforge Co</t>
  </si>
  <si>
    <t xml:space="preserve">ACC-11126</t>
  </si>
  <si>
    <t xml:space="preserve">Lumencraft LLC</t>
  </si>
  <si>
    <t xml:space="preserve">ACC-10707</t>
  </si>
  <si>
    <t xml:space="preserve">Vertexpoint Technologies</t>
  </si>
  <si>
    <t xml:space="preserve">ACC-10688</t>
  </si>
  <si>
    <t xml:space="preserve">Peakwave Ltd</t>
  </si>
  <si>
    <t xml:space="preserve">ACC-10885</t>
  </si>
  <si>
    <t xml:space="preserve">Peakpoint Technologies</t>
  </si>
  <si>
    <t xml:space="preserve">ACC-12427</t>
  </si>
  <si>
    <t xml:space="preserve">Brightlabs Co</t>
  </si>
  <si>
    <t xml:space="preserve">ACC-12417</t>
  </si>
  <si>
    <t xml:space="preserve">Coregrid Solutions</t>
  </si>
  <si>
    <t xml:space="preserve">ACC-11962</t>
  </si>
  <si>
    <t xml:space="preserve">Greensphere Systems</t>
  </si>
  <si>
    <t xml:space="preserve">ACC-12044</t>
  </si>
  <si>
    <t xml:space="preserve">Silverscale Technologies</t>
  </si>
  <si>
    <t xml:space="preserve">ACC-10104</t>
  </si>
  <si>
    <t xml:space="preserve">Novaline Ltd</t>
  </si>
  <si>
    <t xml:space="preserve">ACC-11651</t>
  </si>
  <si>
    <t xml:space="preserve">Peakhub Systems</t>
  </si>
  <si>
    <t xml:space="preserve">ACC-10454</t>
  </si>
  <si>
    <t xml:space="preserve">Truepath Solutions</t>
  </si>
  <si>
    <t xml:space="preserve">ACC-11059</t>
  </si>
  <si>
    <t xml:space="preserve">Bluescale Co</t>
  </si>
  <si>
    <t xml:space="preserve">ACC-11226</t>
  </si>
  <si>
    <t xml:space="preserve">Apexcraft Technologies</t>
  </si>
  <si>
    <t xml:space="preserve">ACC-10020</t>
  </si>
  <si>
    <t xml:space="preserve">Vertexhub Ltd</t>
  </si>
  <si>
    <t xml:space="preserve">ACC-12000</t>
  </si>
  <si>
    <t xml:space="preserve">Corenest Systems</t>
  </si>
  <si>
    <t xml:space="preserve">ACC-12061</t>
  </si>
  <si>
    <t xml:space="preserve">Novastack LLC</t>
  </si>
  <si>
    <t xml:space="preserve">ACC-10331</t>
  </si>
  <si>
    <t xml:space="preserve">Coreline Systems</t>
  </si>
  <si>
    <t xml:space="preserve">ACC-12444</t>
  </si>
  <si>
    <t xml:space="preserve">Boldgrid Co</t>
  </si>
  <si>
    <t xml:space="preserve">ACC-12398</t>
  </si>
  <si>
    <t xml:space="preserve">Urbansphere Technologies</t>
  </si>
  <si>
    <t xml:space="preserve">ACC-11436</t>
  </si>
  <si>
    <t xml:space="preserve">Bluehub Solutions</t>
  </si>
  <si>
    <t xml:space="preserve">ACC-11695</t>
  </si>
  <si>
    <t xml:space="preserve">Pixelworks LLC</t>
  </si>
  <si>
    <t xml:space="preserve">ACC-11947</t>
  </si>
  <si>
    <t xml:space="preserve">Lumensphere Technologies</t>
  </si>
  <si>
    <t xml:space="preserve">ACC-12359</t>
  </si>
  <si>
    <t xml:space="preserve">Cleargrid LLC</t>
  </si>
  <si>
    <t xml:space="preserve">Growth</t>
  </si>
  <si>
    <t xml:space="preserve">ACC-12016</t>
  </si>
  <si>
    <t xml:space="preserve">Greenworks Inc</t>
  </si>
  <si>
    <t xml:space="preserve">ACC-11664</t>
  </si>
  <si>
    <t xml:space="preserve">Primepoint Ltd</t>
  </si>
  <si>
    <t xml:space="preserve">ACC-12539</t>
  </si>
  <si>
    <t xml:space="preserve">Vertexstack Group</t>
  </si>
  <si>
    <t xml:space="preserve">ACC-10356</t>
  </si>
  <si>
    <t xml:space="preserve">Vertexscale Solutions</t>
  </si>
  <si>
    <t xml:space="preserve">ACC-12229</t>
  </si>
  <si>
    <t xml:space="preserve">Truebase Group</t>
  </si>
  <si>
    <t xml:space="preserve">ACC-11369</t>
  </si>
  <si>
    <t xml:space="preserve">Corewave Solutions</t>
  </si>
  <si>
    <t xml:space="preserve">ACC-11028</t>
  </si>
  <si>
    <t xml:space="preserve">Vertexflow Technologies</t>
  </si>
  <si>
    <t xml:space="preserve">ACC-10470</t>
  </si>
  <si>
    <t xml:space="preserve">Atlaslabs Solutions</t>
  </si>
  <si>
    <t xml:space="preserve">ACC-10784</t>
  </si>
  <si>
    <t xml:space="preserve">Novastack Ltd</t>
  </si>
  <si>
    <t xml:space="preserve">ACC-11968</t>
  </si>
  <si>
    <t xml:space="preserve">Northsphere Ltd</t>
  </si>
  <si>
    <t xml:space="preserve">ACC-10556</t>
  </si>
  <si>
    <t xml:space="preserve">Cleargrid Inc</t>
  </si>
  <si>
    <t xml:space="preserve">ACC-12465</t>
  </si>
  <si>
    <t xml:space="preserve">Bluenest Technologies</t>
  </si>
  <si>
    <t xml:space="preserve">ACC-12260</t>
  </si>
  <si>
    <t xml:space="preserve">Lumenhub Group</t>
  </si>
  <si>
    <t xml:space="preserve">ACC-11046</t>
  </si>
  <si>
    <t xml:space="preserve">Apexpath Technologies</t>
  </si>
  <si>
    <t xml:space="preserve">ACC-11315</t>
  </si>
  <si>
    <t xml:space="preserve">Orbitnest Inc</t>
  </si>
  <si>
    <t xml:space="preserve">ACC-10347</t>
  </si>
  <si>
    <t xml:space="preserve">Greenpoint Technologies</t>
  </si>
  <si>
    <t xml:space="preserve">ACC-12368</t>
  </si>
  <si>
    <t xml:space="preserve">Lumenhub Inc</t>
  </si>
  <si>
    <t xml:space="preserve">ACC-10926</t>
  </si>
  <si>
    <t xml:space="preserve">Atlaslogic Inc</t>
  </si>
  <si>
    <t xml:space="preserve">ACC-12583</t>
  </si>
  <si>
    <t xml:space="preserve">Brightbase Group</t>
  </si>
  <si>
    <t xml:space="preserve">ACC-12400</t>
  </si>
  <si>
    <t xml:space="preserve">Lumenline Systems</t>
  </si>
  <si>
    <t xml:space="preserve">ACC-12429</t>
  </si>
  <si>
    <t xml:space="preserve">Orbitpoint LLC</t>
  </si>
  <si>
    <t xml:space="preserve">ACC-10495</t>
  </si>
  <si>
    <t xml:space="preserve">Atlasflow Technologies</t>
  </si>
  <si>
    <t xml:space="preserve">ACC-11924</t>
  </si>
  <si>
    <t xml:space="preserve">Brightflow Ltd</t>
  </si>
  <si>
    <t xml:space="preserve">ACC-12048</t>
  </si>
  <si>
    <t xml:space="preserve">Pixelforge Technologies</t>
  </si>
  <si>
    <t xml:space="preserve">ACC-10389</t>
  </si>
  <si>
    <t xml:space="preserve">Silverpath Inc</t>
  </si>
  <si>
    <t xml:space="preserve">ACC-10906</t>
  </si>
  <si>
    <t xml:space="preserve">Blueflow Technologies</t>
  </si>
  <si>
    <t xml:space="preserve">ACC-12535</t>
  </si>
  <si>
    <t xml:space="preserve">Apexflow Systems</t>
  </si>
  <si>
    <t xml:space="preserve">ACC-11327</t>
  </si>
  <si>
    <t xml:space="preserve">Swiftbase LLC</t>
  </si>
  <si>
    <t xml:space="preserve">ACC-10187</t>
  </si>
  <si>
    <t xml:space="preserve">Greenstack LLC</t>
  </si>
  <si>
    <t xml:space="preserve">ACC-10833</t>
  </si>
  <si>
    <t xml:space="preserve">Urbansphere Ltd</t>
  </si>
  <si>
    <t xml:space="preserve">ACC-11538</t>
  </si>
  <si>
    <t xml:space="preserve">Greenhub Solutions</t>
  </si>
  <si>
    <t xml:space="preserve">ACC-10269</t>
  </si>
  <si>
    <t xml:space="preserve">Primehub Group</t>
  </si>
  <si>
    <t xml:space="preserve">ACC-10967</t>
  </si>
  <si>
    <t xml:space="preserve">Novaworks Solutions</t>
  </si>
  <si>
    <t xml:space="preserve">ACC-12202</t>
  </si>
  <si>
    <t xml:space="preserve">Apexworks Co</t>
  </si>
  <si>
    <t xml:space="preserve">ACC-11801</t>
  </si>
  <si>
    <t xml:space="preserve">Apexmind Co</t>
  </si>
  <si>
    <t xml:space="preserve">ACC-12395</t>
  </si>
  <si>
    <t xml:space="preserve">Clearnest Ltd</t>
  </si>
  <si>
    <t xml:space="preserve">ACC-10360</t>
  </si>
  <si>
    <t xml:space="preserve">Boldnest LLC</t>
  </si>
  <si>
    <t xml:space="preserve">ACC-10414</t>
  </si>
  <si>
    <t xml:space="preserve">Coreline Group</t>
  </si>
  <si>
    <t xml:space="preserve">ACC-10761</t>
  </si>
  <si>
    <t xml:space="preserve">Orbitnest Solutions</t>
  </si>
  <si>
    <t xml:space="preserve">ACC-11276</t>
  </si>
  <si>
    <t xml:space="preserve">Bluehub Inc</t>
  </si>
  <si>
    <t xml:space="preserve">ACC-11219</t>
  </si>
  <si>
    <t xml:space="preserve">Novasphere Solutions</t>
  </si>
  <si>
    <t xml:space="preserve">ACC-10959</t>
  </si>
  <si>
    <t xml:space="preserve">Trueworks Technologies</t>
  </si>
  <si>
    <t xml:space="preserve">ACC-12103</t>
  </si>
  <si>
    <t xml:space="preserve">Northflow Inc</t>
  </si>
  <si>
    <t xml:space="preserve">ACC-10948</t>
  </si>
  <si>
    <t xml:space="preserve">Silversphere Systems</t>
  </si>
  <si>
    <t xml:space="preserve">ACC-12143</t>
  </si>
  <si>
    <t xml:space="preserve">Vertexflow Ltd</t>
  </si>
  <si>
    <t xml:space="preserve">ACC-12560</t>
  </si>
  <si>
    <t xml:space="preserve">Urbanworks LLC</t>
  </si>
  <si>
    <t xml:space="preserve">ACC-10623</t>
  </si>
  <si>
    <t xml:space="preserve">Novasphere Co</t>
  </si>
  <si>
    <t xml:space="preserve">ACC-10579</t>
  </si>
  <si>
    <t xml:space="preserve">Pixelbridge Co</t>
  </si>
  <si>
    <t xml:space="preserve">ACC-11087</t>
  </si>
  <si>
    <t xml:space="preserve">Lumenbridge Technologies</t>
  </si>
  <si>
    <t xml:space="preserve">ACC-11196</t>
  </si>
  <si>
    <t xml:space="preserve">Peakforge Systems</t>
  </si>
  <si>
    <t xml:space="preserve">ACC-11300</t>
  </si>
  <si>
    <t xml:space="preserve">Coresphere Systems</t>
  </si>
  <si>
    <t xml:space="preserve">ACC-10008</t>
  </si>
  <si>
    <t xml:space="preserve">Swiftsphere Co</t>
  </si>
  <si>
    <t xml:space="preserve">ACC-10253</t>
  </si>
  <si>
    <t xml:space="preserve">Novabridge Inc</t>
  </si>
  <si>
    <t xml:space="preserve">ACC-12399</t>
  </si>
  <si>
    <t xml:space="preserve">Atlaslogic Solutions</t>
  </si>
  <si>
    <t xml:space="preserve">ACC-11185</t>
  </si>
  <si>
    <t xml:space="preserve">Atlaspath Systems</t>
  </si>
  <si>
    <t xml:space="preserve">ACC-12128</t>
  </si>
  <si>
    <t xml:space="preserve">Silverly Ltd</t>
  </si>
  <si>
    <t xml:space="preserve">ACC-10825</t>
  </si>
  <si>
    <t xml:space="preserve">Lumenmind LLC</t>
  </si>
  <si>
    <t xml:space="preserve">ACC-12578</t>
  </si>
  <si>
    <t xml:space="preserve">Truemind Ltd</t>
  </si>
  <si>
    <t xml:space="preserve">ACC-12214</t>
  </si>
  <si>
    <t xml:space="preserve">Corelogic LLC</t>
  </si>
  <si>
    <t xml:space="preserve">ACC-10912</t>
  </si>
  <si>
    <t xml:space="preserve">Northstack Technologies</t>
  </si>
  <si>
    <t xml:space="preserve">ACC-10469</t>
  </si>
  <si>
    <t xml:space="preserve">Boldwave Inc</t>
  </si>
  <si>
    <t xml:space="preserve">ACC-10375</t>
  </si>
  <si>
    <t xml:space="preserve">Boldline Technologies</t>
  </si>
  <si>
    <t xml:space="preserve">ACC-11068</t>
  </si>
  <si>
    <t xml:space="preserve">Bluely LLC</t>
  </si>
  <si>
    <t xml:space="preserve">ACC-11983</t>
  </si>
  <si>
    <t xml:space="preserve">Brightpoint Systems</t>
  </si>
  <si>
    <t xml:space="preserve">ACC-10112</t>
  </si>
  <si>
    <t xml:space="preserve">Clearlogic Systems</t>
  </si>
  <si>
    <t xml:space="preserve">ACC-11499</t>
  </si>
  <si>
    <t xml:space="preserve">Greenwave Solutions</t>
  </si>
  <si>
    <t xml:space="preserve">ACC-10802</t>
  </si>
  <si>
    <t xml:space="preserve">Pixelly Solutions</t>
  </si>
  <si>
    <t xml:space="preserve">ACC-12437</t>
  </si>
  <si>
    <t xml:space="preserve">Novamind Solutions</t>
  </si>
  <si>
    <t xml:space="preserve">ACC-11075</t>
  </si>
  <si>
    <t xml:space="preserve">Novamind Technologies</t>
  </si>
  <si>
    <t xml:space="preserve">ACC-11449</t>
  </si>
  <si>
    <t xml:space="preserve">Urbanhub Co</t>
  </si>
  <si>
    <t xml:space="preserve">ACC-11871</t>
  </si>
  <si>
    <t xml:space="preserve">Silverpoint Inc</t>
  </si>
  <si>
    <t xml:space="preserve">ACC-11989</t>
  </si>
  <si>
    <t xml:space="preserve">Brightbase Technologies</t>
  </si>
  <si>
    <t xml:space="preserve">ACC-11879</t>
  </si>
  <si>
    <t xml:space="preserve">Urbanbridge Co</t>
  </si>
  <si>
    <t xml:space="preserve">ACC-12064</t>
  </si>
  <si>
    <t xml:space="preserve">Vertexline Ltd</t>
  </si>
  <si>
    <t xml:space="preserve">ACC-10508</t>
  </si>
  <si>
    <t xml:space="preserve">Brightpoint Solutions</t>
  </si>
  <si>
    <t xml:space="preserve">ACC-10412</t>
  </si>
  <si>
    <t xml:space="preserve">Swiftcraft Inc</t>
  </si>
  <si>
    <t xml:space="preserve">ACC-11388</t>
  </si>
  <si>
    <t xml:space="preserve">Orbitly Inc</t>
  </si>
  <si>
    <t xml:space="preserve">ACC-11652</t>
  </si>
  <si>
    <t xml:space="preserve">Primemind Solutions</t>
  </si>
  <si>
    <t xml:space="preserve">ACC-12231</t>
  </si>
  <si>
    <t xml:space="preserve">Silverscale Co</t>
  </si>
  <si>
    <t xml:space="preserve">ACC-10834</t>
  </si>
  <si>
    <t xml:space="preserve">Corepath Technologies</t>
  </si>
  <si>
    <t xml:space="preserve">ACC-12180</t>
  </si>
  <si>
    <t xml:space="preserve">Urbangrid Solutions</t>
  </si>
  <si>
    <t xml:space="preserve">ACC-10993</t>
  </si>
  <si>
    <t xml:space="preserve">Vertexlogic LLC</t>
  </si>
  <si>
    <t xml:space="preserve">ACC-11304</t>
  </si>
  <si>
    <t xml:space="preserve">Urbanscale Ltd</t>
  </si>
  <si>
    <t xml:space="preserve">ACC-12379</t>
  </si>
  <si>
    <t xml:space="preserve">Pixelstack Systems</t>
  </si>
  <si>
    <t xml:space="preserve">ACC-11018</t>
  </si>
  <si>
    <t xml:space="preserve">Northline Ltd</t>
  </si>
  <si>
    <t xml:space="preserve">ACC-11405</t>
  </si>
  <si>
    <t xml:space="preserve">Brightnest Group</t>
  </si>
  <si>
    <t xml:space="preserve">ACC-11567</t>
  </si>
  <si>
    <t xml:space="preserve">Vertexly Solutions</t>
  </si>
  <si>
    <t xml:space="preserve">ACC-11501</t>
  </si>
  <si>
    <t xml:space="preserve">Swiftflow LLC</t>
  </si>
  <si>
    <t xml:space="preserve">ACC-11639</t>
  </si>
  <si>
    <t xml:space="preserve">Bluebridge Co</t>
  </si>
  <si>
    <t xml:space="preserve">ACC-12023</t>
  </si>
  <si>
    <t xml:space="preserve">Orbitpath Inc</t>
  </si>
  <si>
    <t xml:space="preserve">ACC-11540</t>
  </si>
  <si>
    <t xml:space="preserve">Novalabs LLC</t>
  </si>
  <si>
    <t xml:space="preserve">ACC-10312</t>
  </si>
  <si>
    <t xml:space="preserve">Urbangrid Systems</t>
  </si>
  <si>
    <t xml:space="preserve">ACC-11627</t>
  </si>
  <si>
    <t xml:space="preserve">Primecraft Solutions</t>
  </si>
  <si>
    <t xml:space="preserve">ACC-11946</t>
  </si>
  <si>
    <t xml:space="preserve">Apexworks Systems</t>
  </si>
  <si>
    <t xml:space="preserve">ACC-10475</t>
  </si>
  <si>
    <t xml:space="preserve">Apexly LLC</t>
  </si>
  <si>
    <t xml:space="preserve">ACC-12059</t>
  </si>
  <si>
    <t xml:space="preserve">Northscale Systems</t>
  </si>
  <si>
    <t xml:space="preserve">ACC-11662</t>
  </si>
  <si>
    <t xml:space="preserve">Orbitmind Technologies</t>
  </si>
  <si>
    <t xml:space="preserve">ACC-11479</t>
  </si>
  <si>
    <t xml:space="preserve">Boldwave Ltd</t>
  </si>
  <si>
    <t xml:space="preserve">ACC-11870</t>
  </si>
  <si>
    <t xml:space="preserve">Pixellogic Inc</t>
  </si>
  <si>
    <t xml:space="preserve">ACC-11859</t>
  </si>
  <si>
    <t xml:space="preserve">Apexflow Ltd</t>
  </si>
  <si>
    <t xml:space="preserve">ACC-12370</t>
  </si>
  <si>
    <t xml:space="preserve">Greenscale Inc</t>
  </si>
  <si>
    <t xml:space="preserve">ACC-10233</t>
  </si>
  <si>
    <t xml:space="preserve">Lumenhub Systems</t>
  </si>
  <si>
    <t xml:space="preserve">ACC-10827</t>
  </si>
  <si>
    <t xml:space="preserve">Pixelforge Group</t>
  </si>
  <si>
    <t xml:space="preserve">ACC-11746</t>
  </si>
  <si>
    <t xml:space="preserve">Truegrid Inc</t>
  </si>
  <si>
    <t xml:space="preserve">ACC-10139</t>
  </si>
  <si>
    <t xml:space="preserve">Boldwave Co</t>
  </si>
  <si>
    <t xml:space="preserve">ACC-12047</t>
  </si>
  <si>
    <t xml:space="preserve">Silverline Technologies</t>
  </si>
  <si>
    <t xml:space="preserve">ACC-11936</t>
  </si>
  <si>
    <t xml:space="preserve">Northpath Inc</t>
  </si>
  <si>
    <t xml:space="preserve">ACC-11077</t>
  </si>
  <si>
    <t xml:space="preserve">Lumenpoint Technologies</t>
  </si>
  <si>
    <t xml:space="preserve">ACC-12104</t>
  </si>
  <si>
    <t xml:space="preserve">Vertexcraft Systems</t>
  </si>
  <si>
    <t xml:space="preserve">ACC-11161</t>
  </si>
  <si>
    <t xml:space="preserve">Vertexworks Inc</t>
  </si>
  <si>
    <t xml:space="preserve">ACC-12522</t>
  </si>
  <si>
    <t xml:space="preserve">Pixelhub Inc</t>
  </si>
  <si>
    <t xml:space="preserve">ACC-11473</t>
  </si>
  <si>
    <t xml:space="preserve">Novapath LLC</t>
  </si>
  <si>
    <t xml:space="preserve">ACC-12291</t>
  </si>
  <si>
    <t xml:space="preserve">Clearbridge Inc</t>
  </si>
  <si>
    <t xml:space="preserve">ACC-12133</t>
  </si>
  <si>
    <t xml:space="preserve">Northbase Systems</t>
  </si>
  <si>
    <t xml:space="preserve">ACC-10209</t>
  </si>
  <si>
    <t xml:space="preserve">Atlasgrid Inc</t>
  </si>
  <si>
    <t xml:space="preserve">ACC-11099</t>
  </si>
  <si>
    <t xml:space="preserve">Swifthub Group</t>
  </si>
  <si>
    <t xml:space="preserve">ACC-12461</t>
  </si>
  <si>
    <t xml:space="preserve">Swiftbase Technologies</t>
  </si>
  <si>
    <t xml:space="preserve">ACC-10340</t>
  </si>
  <si>
    <t xml:space="preserve">Vertexmind Group</t>
  </si>
  <si>
    <t xml:space="preserve">ACC-11277</t>
  </si>
  <si>
    <t xml:space="preserve">Orbitlabs LLC</t>
  </si>
  <si>
    <t xml:space="preserve">ACC-12083</t>
  </si>
  <si>
    <t xml:space="preserve">Apexhub Solutions</t>
  </si>
  <si>
    <t xml:space="preserve">ACC-10437</t>
  </si>
  <si>
    <t xml:space="preserve">Vertexsphere Group</t>
  </si>
  <si>
    <t xml:space="preserve">ACC-11112</t>
  </si>
  <si>
    <t xml:space="preserve">Boldlabs Technologies</t>
  </si>
  <si>
    <t xml:space="preserve">ACC-11162</t>
  </si>
  <si>
    <t xml:space="preserve">Orbitlogic Group</t>
  </si>
  <si>
    <t xml:space="preserve">ACC-12549</t>
  </si>
  <si>
    <t xml:space="preserve">Primewave Technologies</t>
  </si>
  <si>
    <t xml:space="preserve">ACC-10074</t>
  </si>
  <si>
    <t xml:space="preserve">Brightflow Solutions</t>
  </si>
  <si>
    <t xml:space="preserve">ACC-10837</t>
  </si>
  <si>
    <t xml:space="preserve">Silverbase Technologies</t>
  </si>
  <si>
    <t xml:space="preserve">ACC-11164</t>
  </si>
  <si>
    <t xml:space="preserve">Novahub Technologies</t>
  </si>
  <si>
    <t xml:space="preserve">ACC-12468</t>
  </si>
  <si>
    <t xml:space="preserve">Lumenline Co</t>
  </si>
  <si>
    <t xml:space="preserve">ACC-11658</t>
  </si>
  <si>
    <t xml:space="preserve">Lumenstack Ltd</t>
  </si>
  <si>
    <t xml:space="preserve">ACC-10348</t>
  </si>
  <si>
    <t xml:space="preserve">Peakwave LLC</t>
  </si>
  <si>
    <t xml:space="preserve">ACC-12322</t>
  </si>
  <si>
    <t xml:space="preserve">Truewave Technologies</t>
  </si>
  <si>
    <t xml:space="preserve">ACC-10422</t>
  </si>
  <si>
    <t xml:space="preserve">Truehub Solutions</t>
  </si>
  <si>
    <t xml:space="preserve">ACC-12473</t>
  </si>
  <si>
    <t xml:space="preserve">Greenwave Group</t>
  </si>
  <si>
    <t xml:space="preserve">ACC-12162</t>
  </si>
  <si>
    <t xml:space="preserve">Greenscale Group</t>
  </si>
  <si>
    <t xml:space="preserve">ACC-11122</t>
  </si>
  <si>
    <t xml:space="preserve">Apexmind Group</t>
  </si>
  <si>
    <t xml:space="preserve">ACC-10138</t>
  </si>
  <si>
    <t xml:space="preserve">Boldgrid Technologies</t>
  </si>
  <si>
    <t xml:space="preserve">ACC-11799</t>
  </si>
  <si>
    <t xml:space="preserve">Northmind Technologies</t>
  </si>
  <si>
    <t xml:space="preserve">ACC-10914</t>
  </si>
  <si>
    <t xml:space="preserve">Novaflow Technologies</t>
  </si>
  <si>
    <t xml:space="preserve">ACC-10284</t>
  </si>
  <si>
    <t xml:space="preserve">Silverlabs LLC</t>
  </si>
  <si>
    <t xml:space="preserve">ACC-12022</t>
  </si>
  <si>
    <t xml:space="preserve">Primehub Inc</t>
  </si>
  <si>
    <t xml:space="preserve">ACC-11043</t>
  </si>
  <si>
    <t xml:space="preserve">Apexscale Group</t>
  </si>
  <si>
    <t xml:space="preserve">ACC-10390</t>
  </si>
  <si>
    <t xml:space="preserve">Atlascraft Solutions</t>
  </si>
  <si>
    <t xml:space="preserve">ACC-10641</t>
  </si>
  <si>
    <t xml:space="preserve">Lumenscale LLC</t>
  </si>
  <si>
    <t xml:space="preserve">ACC-11708</t>
  </si>
  <si>
    <t xml:space="preserve">Greenmind Systems</t>
  </si>
  <si>
    <t xml:space="preserve">ACC-10384</t>
  </si>
  <si>
    <t xml:space="preserve">Orbitscale Co</t>
  </si>
  <si>
    <t xml:space="preserve">ACC-10502</t>
  </si>
  <si>
    <t xml:space="preserve">Orbitscale Group</t>
  </si>
  <si>
    <t xml:space="preserve">ACC-11029</t>
  </si>
  <si>
    <t xml:space="preserve">Greengrid LLC</t>
  </si>
  <si>
    <t xml:space="preserve">ACC-11310</t>
  </si>
  <si>
    <t xml:space="preserve">Apexgrid Ltd</t>
  </si>
  <si>
    <t xml:space="preserve">ACC-11811</t>
  </si>
  <si>
    <t xml:space="preserve">Corehub LLC</t>
  </si>
  <si>
    <t xml:space="preserve">ACC-10180</t>
  </si>
  <si>
    <t xml:space="preserve">Urbanbase LLC</t>
  </si>
  <si>
    <t xml:space="preserve">ACC-11935</t>
  </si>
  <si>
    <t xml:space="preserve">Apexstack LLC</t>
  </si>
  <si>
    <t xml:space="preserve">ACC-11581</t>
  </si>
  <si>
    <t xml:space="preserve">Corecraft Ltd</t>
  </si>
  <si>
    <t xml:space="preserve">ACC-10444</t>
  </si>
  <si>
    <t xml:space="preserve">Swiftworks Ltd</t>
  </si>
  <si>
    <t xml:space="preserve">ACC-11821</t>
  </si>
  <si>
    <t xml:space="preserve">Cleargrid Group</t>
  </si>
  <si>
    <t xml:space="preserve">ACC-12053</t>
  </si>
  <si>
    <t xml:space="preserve">Blueforge Ltd</t>
  </si>
  <si>
    <t xml:space="preserve">ACC-11886</t>
  </si>
  <si>
    <t xml:space="preserve">Vertexscale Group</t>
  </si>
  <si>
    <t xml:space="preserve">ACC-11188</t>
  </si>
  <si>
    <t xml:space="preserve">Urbanhub Solutions</t>
  </si>
  <si>
    <t xml:space="preserve">ACC-11034</t>
  </si>
  <si>
    <t xml:space="preserve">Primepath Ltd</t>
  </si>
  <si>
    <t xml:space="preserve">ACC-11786</t>
  </si>
  <si>
    <t xml:space="preserve">Apexworks Ltd</t>
  </si>
  <si>
    <t xml:space="preserve">ACC-11142</t>
  </si>
  <si>
    <t xml:space="preserve">Brightline Technologies</t>
  </si>
  <si>
    <t xml:space="preserve">ACC-11920</t>
  </si>
  <si>
    <t xml:space="preserve">Novabase Technologies</t>
  </si>
  <si>
    <t xml:space="preserve">ACC-10007</t>
  </si>
  <si>
    <t xml:space="preserve">Swiftnest Co</t>
  </si>
  <si>
    <t xml:space="preserve">ACC-11413</t>
  </si>
  <si>
    <t xml:space="preserve">Swiftsphere Group</t>
  </si>
  <si>
    <t xml:space="preserve">ACC-10037</t>
  </si>
  <si>
    <t xml:space="preserve">Apexlogic Ltd</t>
  </si>
  <si>
    <t xml:space="preserve">ACC-11668</t>
  </si>
  <si>
    <t xml:space="preserve">Swiftwave LLC</t>
  </si>
  <si>
    <t xml:space="preserve">ACC-11031</t>
  </si>
  <si>
    <t xml:space="preserve">Clearstack Systems</t>
  </si>
  <si>
    <t xml:space="preserve">ACC-11733</t>
  </si>
  <si>
    <t xml:space="preserve">Peakbridge Group</t>
  </si>
  <si>
    <t xml:space="preserve">ACC-12067</t>
  </si>
  <si>
    <t xml:space="preserve">Brightlogic LLC</t>
  </si>
  <si>
    <t xml:space="preserve">ACC-12586</t>
  </si>
  <si>
    <t xml:space="preserve">Urbanforge Group</t>
  </si>
  <si>
    <t xml:space="preserve">ACC-11334</t>
  </si>
  <si>
    <t xml:space="preserve">Primewave Co</t>
  </si>
  <si>
    <t xml:space="preserve">ACC-11775</t>
  </si>
  <si>
    <t xml:space="preserve">Lumenbridge Group</t>
  </si>
  <si>
    <t xml:space="preserve">ACC-11777</t>
  </si>
  <si>
    <t xml:space="preserve">Novanest Co</t>
  </si>
  <si>
    <t xml:space="preserve">ACC-10793</t>
  </si>
  <si>
    <t xml:space="preserve">Swiftscale Inc</t>
  </si>
  <si>
    <t xml:space="preserve">ACC-11719</t>
  </si>
  <si>
    <t xml:space="preserve">Novanest Group</t>
  </si>
  <si>
    <t xml:space="preserve">ACC-10552</t>
  </si>
  <si>
    <t xml:space="preserve">Atlaslabs Ltd</t>
  </si>
  <si>
    <t xml:space="preserve">ACC-11013</t>
  </si>
  <si>
    <t xml:space="preserve">Pixelbridge Group</t>
  </si>
  <si>
    <t xml:space="preserve">ACC-10563</t>
  </si>
  <si>
    <t xml:space="preserve">Brightmind Technologies</t>
  </si>
  <si>
    <t xml:space="preserve">ACC-10198</t>
  </si>
  <si>
    <t xml:space="preserve">Blueline LLC</t>
  </si>
  <si>
    <t xml:space="preserve">ACC-11571</t>
  </si>
  <si>
    <t xml:space="preserve">Primeworks LLC</t>
  </si>
  <si>
    <t xml:space="preserve">ACC-12413</t>
  </si>
  <si>
    <t xml:space="preserve">Atlasscale Solutions</t>
  </si>
  <si>
    <t xml:space="preserve">ACC-10308</t>
  </si>
  <si>
    <t xml:space="preserve">Lumenlabs Group</t>
  </si>
  <si>
    <t xml:space="preserve">ACC-10500</t>
  </si>
  <si>
    <t xml:space="preserve">Northpath Ltd</t>
  </si>
  <si>
    <t xml:space="preserve">ACC-11321</t>
  </si>
  <si>
    <t xml:space="preserve">Brightpoint Technologies</t>
  </si>
  <si>
    <t xml:space="preserve">ACC-11359</t>
  </si>
  <si>
    <t xml:space="preserve">Orbitly Ltd</t>
  </si>
  <si>
    <t xml:space="preserve">ACC-10259</t>
  </si>
  <si>
    <t xml:space="preserve">Pixelsphere Co</t>
  </si>
  <si>
    <t xml:space="preserve">ACC-11454</t>
  </si>
  <si>
    <t xml:space="preserve">Northnest Technologies</t>
  </si>
  <si>
    <t xml:space="preserve">ACC-12508</t>
  </si>
  <si>
    <t xml:space="preserve">Greenpath Ltd</t>
  </si>
  <si>
    <t xml:space="preserve">ACC-10748</t>
  </si>
  <si>
    <t xml:space="preserve">Clearwave Ltd</t>
  </si>
  <si>
    <t xml:space="preserve">ACC-12563</t>
  </si>
  <si>
    <t xml:space="preserve">Pixelwave Solutions</t>
  </si>
  <si>
    <t xml:space="preserve">ACC-11689</t>
  </si>
  <si>
    <t xml:space="preserve">Brightcraft LLC</t>
  </si>
  <si>
    <t xml:space="preserve">ACC-10729</t>
  </si>
  <si>
    <t xml:space="preserve">Truepoint Inc</t>
  </si>
  <si>
    <t xml:space="preserve">ACC-11530</t>
  </si>
  <si>
    <t xml:space="preserve">Truepoint Solutions</t>
  </si>
  <si>
    <t xml:space="preserve">ACC-11688</t>
  </si>
  <si>
    <t xml:space="preserve">Northpoint Technologies</t>
  </si>
  <si>
    <t xml:space="preserve">ACC-10220</t>
  </si>
  <si>
    <t xml:space="preserve">Corestack LLC</t>
  </si>
  <si>
    <t xml:space="preserve">ACC-11857</t>
  </si>
  <si>
    <t xml:space="preserve">Vertexforge Technologies</t>
  </si>
  <si>
    <t xml:space="preserve">ACC-11907</t>
  </si>
  <si>
    <t xml:space="preserve">Truesphere LLC</t>
  </si>
  <si>
    <t xml:space="preserve">ACC-10189</t>
  </si>
  <si>
    <t xml:space="preserve">Greenflow Inc</t>
  </si>
  <si>
    <t xml:space="preserve">ACC-10755</t>
  </si>
  <si>
    <t xml:space="preserve">Coreflow Systems</t>
  </si>
  <si>
    <t xml:space="preserve">ACC-11370</t>
  </si>
  <si>
    <t xml:space="preserve">Vertexwave LLC</t>
  </si>
  <si>
    <t xml:space="preserve">ACC-12171</t>
  </si>
  <si>
    <t xml:space="preserve">Northnest Systems</t>
  </si>
  <si>
    <t xml:space="preserve">ACC-10642</t>
  </si>
  <si>
    <t xml:space="preserve">Lumenlogic LLC</t>
  </si>
  <si>
    <t xml:space="preserve">ACC-11919</t>
  </si>
  <si>
    <t xml:space="preserve">Clearpath Technologies</t>
  </si>
  <si>
    <t xml:space="preserve">ACC-11407</t>
  </si>
  <si>
    <t xml:space="preserve">Brightlabs LLC</t>
  </si>
  <si>
    <t xml:space="preserve">ACC-11817</t>
  </si>
  <si>
    <t xml:space="preserve">Clearforge Ltd</t>
  </si>
  <si>
    <t xml:space="preserve">ACC-11724</t>
  </si>
  <si>
    <t xml:space="preserve">Novascale Inc</t>
  </si>
  <si>
    <t xml:space="preserve">ACC-10442</t>
  </si>
  <si>
    <t xml:space="preserve">Urbanly Systems</t>
  </si>
  <si>
    <t xml:space="preserve">ACC-12301</t>
  </si>
  <si>
    <t xml:space="preserve">Bluecraft Co</t>
  </si>
  <si>
    <t xml:space="preserve">ACC-11148</t>
  </si>
  <si>
    <t xml:space="preserve">Orbitnest Co</t>
  </si>
  <si>
    <t xml:space="preserve">ACC-10217</t>
  </si>
  <si>
    <t xml:space="preserve">Clearly Ltd</t>
  </si>
  <si>
    <t xml:space="preserve">ACC-11009</t>
  </si>
  <si>
    <t xml:space="preserve">Bluelogic Technologies</t>
  </si>
  <si>
    <t xml:space="preserve">ACC-11097</t>
  </si>
  <si>
    <t xml:space="preserve">Greenmind LLC</t>
  </si>
  <si>
    <t xml:space="preserve">ACC-12454</t>
  </si>
  <si>
    <t xml:space="preserve">Vertexgrid Inc</t>
  </si>
  <si>
    <t xml:space="preserve">ACC-10018</t>
  </si>
  <si>
    <t xml:space="preserve">Greenhub Group</t>
  </si>
  <si>
    <t xml:space="preserve">ACC-10828</t>
  </si>
  <si>
    <t xml:space="preserve">Primeworks Ltd</t>
  </si>
  <si>
    <t xml:space="preserve">ACC-11887</t>
  </si>
  <si>
    <t xml:space="preserve">Boldnest Ltd</t>
  </si>
  <si>
    <t xml:space="preserve">ACC-10812</t>
  </si>
  <si>
    <t xml:space="preserve">Swiftlabs Systems</t>
  </si>
  <si>
    <t xml:space="preserve">ACC-11706</t>
  </si>
  <si>
    <t xml:space="preserve">Boldbridge Inc</t>
  </si>
  <si>
    <t xml:space="preserve">ACC-11666</t>
  </si>
  <si>
    <t xml:space="preserve">Atlaspath Solutions</t>
  </si>
  <si>
    <t xml:space="preserve">ACC-12278</t>
  </si>
  <si>
    <t xml:space="preserve">Brightwave Inc</t>
  </si>
  <si>
    <t xml:space="preserve">ACC-12107</t>
  </si>
  <si>
    <t xml:space="preserve">Truelogic Group</t>
  </si>
  <si>
    <t xml:space="preserve">ACC-10622</t>
  </si>
  <si>
    <t xml:space="preserve">Bluewave Group</t>
  </si>
  <si>
    <t xml:space="preserve">ACC-11306</t>
  </si>
  <si>
    <t xml:space="preserve">Swiftflow Ltd</t>
  </si>
  <si>
    <t xml:space="preserve">ACC-11312</t>
  </si>
  <si>
    <t xml:space="preserve">Boldlogic LLC</t>
  </si>
  <si>
    <t xml:space="preserve">ACC-10648</t>
  </si>
  <si>
    <t xml:space="preserve">Corewave Inc</t>
  </si>
  <si>
    <t xml:space="preserve">ACC-10895</t>
  </si>
  <si>
    <t xml:space="preserve">Pixelsphere Ltd</t>
  </si>
  <si>
    <t xml:space="preserve">ACC-10711</t>
  </si>
  <si>
    <t xml:space="preserve">Novaworks LLC</t>
  </si>
  <si>
    <t xml:space="preserve">ACC-11429</t>
  </si>
  <si>
    <t xml:space="preserve">Silverworks Technologies</t>
  </si>
  <si>
    <t xml:space="preserve">ACC-11483</t>
  </si>
  <si>
    <t xml:space="preserve">Clearlabs Systems</t>
  </si>
  <si>
    <t xml:space="preserve">ACC-10100</t>
  </si>
  <si>
    <t xml:space="preserve">Corebase Ltd</t>
  </si>
  <si>
    <t xml:space="preserve">ACC-10343</t>
  </si>
  <si>
    <t xml:space="preserve">Clearworks Technologies</t>
  </si>
  <si>
    <t xml:space="preserve">ACC-10862</t>
  </si>
  <si>
    <t xml:space="preserve">Urbanmind Solutions</t>
  </si>
  <si>
    <t xml:space="preserve">ACC-11069</t>
  </si>
  <si>
    <t xml:space="preserve">Truebase LLC</t>
  </si>
  <si>
    <t xml:space="preserve">ACC-12013</t>
  </si>
  <si>
    <t xml:space="preserve">Clearworks Co</t>
  </si>
  <si>
    <t xml:space="preserve">ACC-10745</t>
  </si>
  <si>
    <t xml:space="preserve">Greenbridge Inc</t>
  </si>
  <si>
    <t xml:space="preserve">ACC-11348</t>
  </si>
  <si>
    <t xml:space="preserve">Silverbase Solutions</t>
  </si>
  <si>
    <t xml:space="preserve">ACC-11812</t>
  </si>
  <si>
    <t xml:space="preserve">Vertexpoint Ltd</t>
  </si>
  <si>
    <t xml:space="preserve">ACC-12095</t>
  </si>
  <si>
    <t xml:space="preserve">Silvergrid Co</t>
  </si>
  <si>
    <t xml:space="preserve">ACC-10978</t>
  </si>
  <si>
    <t xml:space="preserve">Orbitline LLC</t>
  </si>
  <si>
    <t xml:space="preserve">ACC-11897</t>
  </si>
  <si>
    <t xml:space="preserve">Peakflow Ltd</t>
  </si>
  <si>
    <t xml:space="preserve">ACC-11022</t>
  </si>
  <si>
    <t xml:space="preserve">Truescale Inc</t>
  </si>
  <si>
    <t xml:space="preserve">ACC-11619</t>
  </si>
  <si>
    <t xml:space="preserve">Swiftly Ltd</t>
  </si>
  <si>
    <t xml:space="preserve">ACC-12351</t>
  </si>
  <si>
    <t xml:space="preserve">Corescale Co</t>
  </si>
  <si>
    <t xml:space="preserve">ACC-11258</t>
  </si>
  <si>
    <t xml:space="preserve">Vertexflow Solutions</t>
  </si>
  <si>
    <t xml:space="preserve">ACC-11511</t>
  </si>
  <si>
    <t xml:space="preserve">Silverwave Systems</t>
  </si>
  <si>
    <t xml:space="preserve">ACC-11732</t>
  </si>
  <si>
    <t xml:space="preserve">Truebridge Inc</t>
  </si>
  <si>
    <t xml:space="preserve">ACC-11791</t>
  </si>
  <si>
    <t xml:space="preserve">Silverflow Inc</t>
  </si>
  <si>
    <t xml:space="preserve">ACC-10713</t>
  </si>
  <si>
    <t xml:space="preserve">Urbanflow Technologies</t>
  </si>
  <si>
    <t xml:space="preserve">ACC-11769</t>
  </si>
  <si>
    <t xml:space="preserve">Orbitpath Systems</t>
  </si>
  <si>
    <t xml:space="preserve">ACC-10033</t>
  </si>
  <si>
    <t xml:space="preserve">Trueworks LLC</t>
  </si>
  <si>
    <t xml:space="preserve">ACC-11253</t>
  </si>
  <si>
    <t xml:space="preserve">Boldscale Technologies</t>
  </si>
  <si>
    <t xml:space="preserve">ACC-11516</t>
  </si>
  <si>
    <t xml:space="preserve">Peaklabs Technologies</t>
  </si>
  <si>
    <t xml:space="preserve">ACC-12499</t>
  </si>
  <si>
    <t xml:space="preserve">Vertexbridge LLC</t>
  </si>
  <si>
    <t xml:space="preserve">ACC-10128</t>
  </si>
  <si>
    <t xml:space="preserve">Corenest Co</t>
  </si>
  <si>
    <t xml:space="preserve">ACC-10133</t>
  </si>
  <si>
    <t xml:space="preserve">Vertexsphere LLC</t>
  </si>
  <si>
    <t xml:space="preserve">ACC-10185</t>
  </si>
  <si>
    <t xml:space="preserve">Corecraft LLC</t>
  </si>
  <si>
    <t xml:space="preserve">ACC-10870</t>
  </si>
  <si>
    <t xml:space="preserve">Greenbridge Technologies</t>
  </si>
  <si>
    <t xml:space="preserve">ACC-10897</t>
  </si>
  <si>
    <t xml:space="preserve">Boldcraft LLC</t>
  </si>
  <si>
    <t xml:space="preserve">ACC-11539</t>
  </si>
  <si>
    <t xml:space="preserve">Orbitpoint Systems</t>
  </si>
  <si>
    <t xml:space="preserve">ACC-11818</t>
  </si>
  <si>
    <t xml:space="preserve">Apexgrid Solutions</t>
  </si>
  <si>
    <t xml:space="preserve">ACC-11482</t>
  </si>
  <si>
    <t xml:space="preserve">Urbanlabs Group</t>
  </si>
  <si>
    <t xml:space="preserve">ACC-11019</t>
  </si>
  <si>
    <t xml:space="preserve">Boldbase Co</t>
  </si>
  <si>
    <t xml:space="preserve">ACC-11510</t>
  </si>
  <si>
    <t xml:space="preserve">Orbitwave LLC</t>
  </si>
  <si>
    <t xml:space="preserve">ACC-12568</t>
  </si>
  <si>
    <t xml:space="preserve">Vertexsphere Systems</t>
  </si>
  <si>
    <t xml:space="preserve">ACC-10231</t>
  </si>
  <si>
    <t xml:space="preserve">Primegrid Solutions</t>
  </si>
  <si>
    <t xml:space="preserve">ACC-12140</t>
  </si>
  <si>
    <t xml:space="preserve">Atlasstack Co</t>
  </si>
  <si>
    <t xml:space="preserve">ACC-11156</t>
  </si>
  <si>
    <t xml:space="preserve">Lumenwave Group</t>
  </si>
  <si>
    <t xml:space="preserve">ACC-11641</t>
  </si>
  <si>
    <t xml:space="preserve">Boldpath Ltd</t>
  </si>
  <si>
    <t xml:space="preserve">ACC-12316</t>
  </si>
  <si>
    <t xml:space="preserve">Primelogic Solutions</t>
  </si>
  <si>
    <t xml:space="preserve">ACC-11490</t>
  </si>
  <si>
    <t xml:space="preserve">Silvercraft Solutions</t>
  </si>
  <si>
    <t xml:space="preserve">ACC-11080</t>
  </si>
  <si>
    <t xml:space="preserve">Atlasworks Inc</t>
  </si>
  <si>
    <t xml:space="preserve">ACC-10048</t>
  </si>
  <si>
    <t xml:space="preserve">Truebridge Co</t>
  </si>
  <si>
    <t xml:space="preserve">ACC-12212</t>
  </si>
  <si>
    <t xml:space="preserve">Silvernest Solutions</t>
  </si>
  <si>
    <t xml:space="preserve">ACC-12590</t>
  </si>
  <si>
    <t xml:space="preserve">Atlasworks Group</t>
  </si>
  <si>
    <t xml:space="preserve">ACC-10954</t>
  </si>
  <si>
    <t xml:space="preserve">Clearforge Solutions</t>
  </si>
  <si>
    <t xml:space="preserve">ACC-11155</t>
  </si>
  <si>
    <t xml:space="preserve">Clearwave Group</t>
  </si>
  <si>
    <t xml:space="preserve">ACC-11447</t>
  </si>
  <si>
    <t xml:space="preserve">Boldhub Inc</t>
  </si>
  <si>
    <t xml:space="preserve">ACC-12001</t>
  </si>
  <si>
    <t xml:space="preserve">Silverpoint Ltd</t>
  </si>
  <si>
    <t xml:space="preserve">ACC-10627</t>
  </si>
  <si>
    <t xml:space="preserve">Brightpath Co</t>
  </si>
  <si>
    <t xml:space="preserve">ACC-10753</t>
  </si>
  <si>
    <t xml:space="preserve">Novaforge Group</t>
  </si>
  <si>
    <t xml:space="preserve">ACC-11967</t>
  </si>
  <si>
    <t xml:space="preserve">Pixellabs Co</t>
  </si>
  <si>
    <t xml:space="preserve">ACC-12058</t>
  </si>
  <si>
    <t xml:space="preserve">Silverbase Inc</t>
  </si>
  <si>
    <t xml:space="preserve">ACC-12552</t>
  </si>
  <si>
    <t xml:space="preserve">Swiftsphere Ltd</t>
  </si>
  <si>
    <t xml:space="preserve">ACC-11193</t>
  </si>
  <si>
    <t xml:space="preserve">Apexbase Ltd</t>
  </si>
  <si>
    <t xml:space="preserve">ACC-11583</t>
  </si>
  <si>
    <t xml:space="preserve">Corepoint Solutions</t>
  </si>
  <si>
    <t xml:space="preserve">ACC-11872</t>
  </si>
  <si>
    <t xml:space="preserve">Brightcraft Ltd</t>
  </si>
  <si>
    <t xml:space="preserve">ACC-10408</t>
  </si>
  <si>
    <t xml:space="preserve">Novaline Technologies</t>
  </si>
  <si>
    <t xml:space="preserve">ACC-11596</t>
  </si>
  <si>
    <t xml:space="preserve">Apexhub Systems</t>
  </si>
  <si>
    <t xml:space="preserve">ACC-11687</t>
  </si>
  <si>
    <t xml:space="preserve">Vertexlabs Solutions</t>
  </si>
  <si>
    <t xml:space="preserve">ACC-12384</t>
  </si>
  <si>
    <t xml:space="preserve">Atlasline Systems</t>
  </si>
  <si>
    <t xml:space="preserve">ACC-11256</t>
  </si>
  <si>
    <t xml:space="preserve">Corestack Systems</t>
  </si>
  <si>
    <t xml:space="preserve">ACC-11455</t>
  </si>
  <si>
    <t xml:space="preserve">Urbanstack Inc</t>
  </si>
  <si>
    <t xml:space="preserve">ACC-11611</t>
  </si>
  <si>
    <t xml:space="preserve">Lumengrid Co</t>
  </si>
  <si>
    <t xml:space="preserve">ACC-11730</t>
  </si>
  <si>
    <t xml:space="preserve">Greencraft LLC</t>
  </si>
  <si>
    <t xml:space="preserve">ACC-12369</t>
  </si>
  <si>
    <t xml:space="preserve">Coreflow Co</t>
  </si>
  <si>
    <t xml:space="preserve">ACC-10118</t>
  </si>
  <si>
    <t xml:space="preserve">Vertexlogic Ltd</t>
  </si>
  <si>
    <t xml:space="preserve">ACC-10278</t>
  </si>
  <si>
    <t xml:space="preserve">Novasphere Inc</t>
  </si>
  <si>
    <t xml:space="preserve">ACC-10474</t>
  </si>
  <si>
    <t xml:space="preserve">Lumenlabs Inc</t>
  </si>
  <si>
    <t xml:space="preserve">ACC-10797</t>
  </si>
  <si>
    <t xml:space="preserve">Clearscale Inc</t>
  </si>
  <si>
    <t xml:space="preserve">ACC-11067</t>
  </si>
  <si>
    <t xml:space="preserve">Boldbridge Technologies</t>
  </si>
  <si>
    <t xml:space="preserve">ACC-11229</t>
  </si>
  <si>
    <t xml:space="preserve">Atlaspoint Co</t>
  </si>
  <si>
    <t xml:space="preserve">ACC-11377</t>
  </si>
  <si>
    <t xml:space="preserve">Pixellabs Inc</t>
  </si>
  <si>
    <t xml:space="preserve">ACC-12579</t>
  </si>
  <si>
    <t xml:space="preserve">Corebridge Technologies</t>
  </si>
  <si>
    <t xml:space="preserve">ACC-10316</t>
  </si>
  <si>
    <t xml:space="preserve">Swiftsphere LLC</t>
  </si>
  <si>
    <t xml:space="preserve">ACC-10822</t>
  </si>
  <si>
    <t xml:space="preserve">Lumenhub Co</t>
  </si>
  <si>
    <t xml:space="preserve">ACC-11616</t>
  </si>
  <si>
    <t xml:space="preserve">Atlassphere Technologies</t>
  </si>
  <si>
    <t xml:space="preserve">ACC-11136</t>
  </si>
  <si>
    <t xml:space="preserve">Primestack LLC</t>
  </si>
  <si>
    <t xml:space="preserve">ACC-10668</t>
  </si>
  <si>
    <t xml:space="preserve">Clearsphere Solutions</t>
  </si>
  <si>
    <t xml:space="preserve">ACC-11970</t>
  </si>
  <si>
    <t xml:space="preserve">Atlaspoint Systems</t>
  </si>
  <si>
    <t xml:space="preserve">ACC-10990</t>
  </si>
  <si>
    <t xml:space="preserve">Orbitlogic Co</t>
  </si>
  <si>
    <t xml:space="preserve">ACC-11392</t>
  </si>
  <si>
    <t xml:space="preserve">Peaknest Ltd</t>
  </si>
  <si>
    <t xml:space="preserve">ACC-11503</t>
  </si>
  <si>
    <t xml:space="preserve">Apexpath Group</t>
  </si>
  <si>
    <t xml:space="preserve">ACC-12374</t>
  </si>
  <si>
    <t xml:space="preserve">Greenscale Ltd</t>
  </si>
  <si>
    <t xml:space="preserve">ACC-10125</t>
  </si>
  <si>
    <t xml:space="preserve">Lumennest Solutions</t>
  </si>
  <si>
    <t xml:space="preserve">ACC-11445</t>
  </si>
  <si>
    <t xml:space="preserve">Urbansphere Co</t>
  </si>
  <si>
    <t xml:space="preserve">ACC-10050</t>
  </si>
  <si>
    <t xml:space="preserve">Novacraft Solutions</t>
  </si>
  <si>
    <t xml:space="preserve">ACC-10376</t>
  </si>
  <si>
    <t xml:space="preserve">Orbitlabs Systems</t>
  </si>
  <si>
    <t xml:space="preserve">ACC-11515</t>
  </si>
  <si>
    <t xml:space="preserve">Swiftnest Technologies</t>
  </si>
  <si>
    <t xml:space="preserve">ACC-11555</t>
  </si>
  <si>
    <t xml:space="preserve">Lumenly Co</t>
  </si>
  <si>
    <t xml:space="preserve">ACC-12299</t>
  </si>
  <si>
    <t xml:space="preserve">Urbanpath Group</t>
  </si>
  <si>
    <t xml:space="preserve">ACC-10904</t>
  </si>
  <si>
    <t xml:space="preserve">Bluebridge Solutions</t>
  </si>
  <si>
    <t xml:space="preserve">ACC-11182</t>
  </si>
  <si>
    <t xml:space="preserve">Silverbridge LLC</t>
  </si>
  <si>
    <t xml:space="preserve">ACC-11915</t>
  </si>
  <si>
    <t xml:space="preserve">Brighthub Systems</t>
  </si>
  <si>
    <t xml:space="preserve">ACC-10079</t>
  </si>
  <si>
    <t xml:space="preserve">Greenpath LLC</t>
  </si>
  <si>
    <t xml:space="preserve">ACC-10759</t>
  </si>
  <si>
    <t xml:space="preserve">Greenbridge Ltd</t>
  </si>
  <si>
    <t xml:space="preserve">ACC-12460</t>
  </si>
  <si>
    <t xml:space="preserve">Pixelbase Co</t>
  </si>
  <si>
    <t xml:space="preserve">ACC-10294</t>
  </si>
  <si>
    <t xml:space="preserve">Truebridge Ltd</t>
  </si>
  <si>
    <t xml:space="preserve">ACC-10448</t>
  </si>
  <si>
    <t xml:space="preserve">Clearnest Co</t>
  </si>
  <si>
    <t xml:space="preserve">ACC-10465</t>
  </si>
  <si>
    <t xml:space="preserve">Orbitforge Inc</t>
  </si>
  <si>
    <t xml:space="preserve">ACC-10758</t>
  </si>
  <si>
    <t xml:space="preserve">Truenest Group</t>
  </si>
  <si>
    <t xml:space="preserve">ACC-10795</t>
  </si>
  <si>
    <t xml:space="preserve">Vertexbridge Technologies</t>
  </si>
  <si>
    <t xml:space="preserve">ACC-11828</t>
  </si>
  <si>
    <t xml:space="preserve">Urbanscale Co</t>
  </si>
  <si>
    <t xml:space="preserve">ACC-10461</t>
  </si>
  <si>
    <t xml:space="preserve">Lumenstack Systems</t>
  </si>
  <si>
    <t xml:space="preserve">ACC-11121</t>
  </si>
  <si>
    <t xml:space="preserve">Orbitworks Inc</t>
  </si>
  <si>
    <t xml:space="preserve">ACC-11178</t>
  </si>
  <si>
    <t xml:space="preserve">Clearmind Group</t>
  </si>
  <si>
    <t xml:space="preserve">ACC-12513</t>
  </si>
  <si>
    <t xml:space="preserve">Boldpath Group</t>
  </si>
  <si>
    <t xml:space="preserve">ACC-10894</t>
  </si>
  <si>
    <t xml:space="preserve">Northforge LLC</t>
  </si>
  <si>
    <t xml:space="preserve">ACC-10585</t>
  </si>
  <si>
    <t xml:space="preserve">Primemind Technologies</t>
  </si>
  <si>
    <t xml:space="preserve">ACC-11055</t>
  </si>
  <si>
    <t xml:space="preserve">Greenhub Inc</t>
  </si>
  <si>
    <t xml:space="preserve">ACC-11235</t>
  </si>
  <si>
    <t xml:space="preserve">Cleargrid Co</t>
  </si>
  <si>
    <t xml:space="preserve">ACC-12298</t>
  </si>
  <si>
    <t xml:space="preserve">Swiftly Solutions</t>
  </si>
  <si>
    <t xml:space="preserve">ACC-12317</t>
  </si>
  <si>
    <t xml:space="preserve">Bluestack Inc</t>
  </si>
  <si>
    <t xml:space="preserve">ACC-10536</t>
  </si>
  <si>
    <t xml:space="preserve">Apexscale LLC</t>
  </si>
  <si>
    <t xml:space="preserve">ACC-11702</t>
  </si>
  <si>
    <t xml:space="preserve">Corepoint Co</t>
  </si>
  <si>
    <t xml:space="preserve">ACC-12205</t>
  </si>
  <si>
    <t xml:space="preserve">Greensphere Inc</t>
  </si>
  <si>
    <t xml:space="preserve">ACC-10011</t>
  </si>
  <si>
    <t xml:space="preserve">Peakwave Inc</t>
  </si>
  <si>
    <t xml:space="preserve">ACC-11862</t>
  </si>
  <si>
    <t xml:space="preserve">Pixelstack Inc</t>
  </si>
  <si>
    <t xml:space="preserve">ACC-12597</t>
  </si>
  <si>
    <t xml:space="preserve">Brightbase Solutions</t>
  </si>
  <si>
    <t xml:space="preserve">ACC-10313</t>
  </si>
  <si>
    <t xml:space="preserve">Northhub Systems</t>
  </si>
  <si>
    <t xml:space="preserve">ACC-10004</t>
  </si>
  <si>
    <t xml:space="preserve">Vertexly LLC</t>
  </si>
  <si>
    <t xml:space="preserve">ACC-10026</t>
  </si>
  <si>
    <t xml:space="preserve">Corecraft Technologies</t>
  </si>
  <si>
    <t xml:space="preserve">ACC-10526</t>
  </si>
  <si>
    <t xml:space="preserve">Pixelpath LLC</t>
  </si>
  <si>
    <t xml:space="preserve">ACC-10803</t>
  </si>
  <si>
    <t xml:space="preserve">Novabridge Ltd</t>
  </si>
  <si>
    <t xml:space="preserve">ACC-11932</t>
  </si>
  <si>
    <t xml:space="preserve">Primescale Technologies</t>
  </si>
  <si>
    <t xml:space="preserve">ACC-10230</t>
  </si>
  <si>
    <t xml:space="preserve">Boldhub LLC</t>
  </si>
  <si>
    <t xml:space="preserve">ACC-11336</t>
  </si>
  <si>
    <t xml:space="preserve">Northlogic Technologies</t>
  </si>
  <si>
    <t xml:space="preserve">ACC-12062</t>
  </si>
  <si>
    <t xml:space="preserve">Peakstack Systems</t>
  </si>
  <si>
    <t xml:space="preserve">ACC-10562</t>
  </si>
  <si>
    <t xml:space="preserve">Orbitwave Inc</t>
  </si>
  <si>
    <t xml:space="preserve">ACC-11038</t>
  </si>
  <si>
    <t xml:space="preserve">Coreworks Group</t>
  </si>
  <si>
    <t xml:space="preserve">ACC-10570</t>
  </si>
  <si>
    <t xml:space="preserve">Brightlogic Inc</t>
  </si>
  <si>
    <t xml:space="preserve">ACC-11237</t>
  </si>
  <si>
    <t xml:space="preserve">Urbanscale Systems</t>
  </si>
  <si>
    <t xml:space="preserve">ACC-11990</t>
  </si>
  <si>
    <t xml:space="preserve">Urbansphere Systems</t>
  </si>
  <si>
    <t xml:space="preserve">ACC-12337</t>
  </si>
  <si>
    <t xml:space="preserve">Greenpoint Solutions</t>
  </si>
  <si>
    <t xml:space="preserve">ACC-12592</t>
  </si>
  <si>
    <t xml:space="preserve">Novahub Ltd</t>
  </si>
  <si>
    <t xml:space="preserve">ACC-12158</t>
  </si>
  <si>
    <t xml:space="preserve">Northlabs Solutions</t>
  </si>
  <si>
    <t xml:space="preserve">ACC-12408</t>
  </si>
  <si>
    <t xml:space="preserve">Peakforge Group</t>
  </si>
  <si>
    <t xml:space="preserve">ACC-10999</t>
  </si>
  <si>
    <t xml:space="preserve">Vertexbase Inc</t>
  </si>
  <si>
    <t xml:space="preserve">ACC-10413</t>
  </si>
  <si>
    <t xml:space="preserve">Swiftpath Solutions</t>
  </si>
  <si>
    <t xml:space="preserve">ACC-12263</t>
  </si>
  <si>
    <t xml:space="preserve">Swiftmind Co</t>
  </si>
  <si>
    <t xml:space="preserve">ACC-10212</t>
  </si>
  <si>
    <t xml:space="preserve">Peakly Systems</t>
  </si>
  <si>
    <t xml:space="preserve">ACC-11000</t>
  </si>
  <si>
    <t xml:space="preserve">Novasphere Systems</t>
  </si>
  <si>
    <t xml:space="preserve">ACC-11165</t>
  </si>
  <si>
    <t xml:space="preserve">Swiftwave Ltd</t>
  </si>
  <si>
    <t xml:space="preserve">ACC-11233</t>
  </si>
  <si>
    <t xml:space="preserve">Pixelpath Co</t>
  </si>
  <si>
    <t xml:space="preserve">ACC-10241</t>
  </si>
  <si>
    <t xml:space="preserve">Truelogic Inc</t>
  </si>
  <si>
    <t xml:space="preserve">ACC-10618</t>
  </si>
  <si>
    <t xml:space="preserve">Peakflow Co</t>
  </si>
  <si>
    <t xml:space="preserve">ACC-10631</t>
  </si>
  <si>
    <t xml:space="preserve">Orbitbase Ltd</t>
  </si>
  <si>
    <t xml:space="preserve">ACC-10819</t>
  </si>
  <si>
    <t xml:space="preserve">Novaflow Co</t>
  </si>
  <si>
    <t xml:space="preserve">ACC-10963</t>
  </si>
  <si>
    <t xml:space="preserve">Primestack Co</t>
  </si>
  <si>
    <t xml:space="preserve">ACC-12296</t>
  </si>
  <si>
    <t xml:space="preserve">Boldworks Technologies</t>
  </si>
  <si>
    <t xml:space="preserve">ACC-11397</t>
  </si>
  <si>
    <t xml:space="preserve">Boldsphere Technologies</t>
  </si>
  <si>
    <t xml:space="preserve">ACC-11948</t>
  </si>
  <si>
    <t xml:space="preserve">Lumenlogic Solutions</t>
  </si>
  <si>
    <t xml:space="preserve">ACC-12392</t>
  </si>
  <si>
    <t xml:space="preserve">Boldscale Systems</t>
  </si>
  <si>
    <t xml:space="preserve">ACC-10120</t>
  </si>
  <si>
    <t xml:space="preserve">Bluely Ltd</t>
  </si>
  <si>
    <t xml:space="preserve">ACC-10152</t>
  </si>
  <si>
    <t xml:space="preserve">Pixelflow Inc</t>
  </si>
  <si>
    <t xml:space="preserve">ACC-10540</t>
  </si>
  <si>
    <t xml:space="preserve">Urbanpath Solutions</t>
  </si>
  <si>
    <t xml:space="preserve">ACC-10202</t>
  </si>
  <si>
    <t xml:space="preserve">Greenforge Inc</t>
  </si>
  <si>
    <t xml:space="preserve">ACC-11251</t>
  </si>
  <si>
    <t xml:space="preserve">Clearlabs Co</t>
  </si>
  <si>
    <t xml:space="preserve">ACC-11731</t>
  </si>
  <si>
    <t xml:space="preserve">Silverhub Group</t>
  </si>
  <si>
    <t xml:space="preserve">ACC-10232</t>
  </si>
  <si>
    <t xml:space="preserve">Corepath Inc</t>
  </si>
  <si>
    <t xml:space="preserve">ACC-10739</t>
  </si>
  <si>
    <t xml:space="preserve">Apexpoint Solutions</t>
  </si>
  <si>
    <t xml:space="preserve">ACC-11387</t>
  </si>
  <si>
    <t xml:space="preserve">Primelogic LLC</t>
  </si>
  <si>
    <t xml:space="preserve">ACC-10468</t>
  </si>
  <si>
    <t xml:space="preserve">Silverforge Co</t>
  </si>
  <si>
    <t xml:space="preserve">ACC-10665</t>
  </si>
  <si>
    <t xml:space="preserve">Peakscale Ltd</t>
  </si>
  <si>
    <t xml:space="preserve">ACC-10960</t>
  </si>
  <si>
    <t xml:space="preserve">Pixelbase Systems</t>
  </si>
  <si>
    <t xml:space="preserve">ACC-11768</t>
  </si>
  <si>
    <t xml:space="preserve">Swiftlogic Technologies</t>
  </si>
  <si>
    <t xml:space="preserve">ACC-10378</t>
  </si>
  <si>
    <t xml:space="preserve">Peaklogic Systems</t>
  </si>
  <si>
    <t xml:space="preserve">ACC-10911</t>
  </si>
  <si>
    <t xml:space="preserve">Pixelsphere Technologies</t>
  </si>
  <si>
    <t xml:space="preserve">ACC-10961</t>
  </si>
  <si>
    <t xml:space="preserve">Urbanhub Group</t>
  </si>
  <si>
    <t xml:space="preserve">ACC-10208</t>
  </si>
  <si>
    <t xml:space="preserve">Greenworks Group</t>
  </si>
  <si>
    <t xml:space="preserve">ACC-11493</t>
  </si>
  <si>
    <t xml:space="preserve">Novabridge Co</t>
  </si>
  <si>
    <t xml:space="preserve">ACC-11846</t>
  </si>
  <si>
    <t xml:space="preserve">Northlabs Inc</t>
  </si>
  <si>
    <t xml:space="preserve">ACC-11118</t>
  </si>
  <si>
    <t xml:space="preserve">Orbitbridge Co</t>
  </si>
  <si>
    <t xml:space="preserve">ACC-11403</t>
  </si>
  <si>
    <t xml:space="preserve">Urbancraft Systems</t>
  </si>
  <si>
    <t xml:space="preserve">ACC-11712</t>
  </si>
  <si>
    <t xml:space="preserve">Orbitgrid Ltd</t>
  </si>
  <si>
    <t xml:space="preserve">ACC-10528</t>
  </si>
  <si>
    <t xml:space="preserve">Boldforge Co</t>
  </si>
  <si>
    <t xml:space="preserve">ACC-10625</t>
  </si>
  <si>
    <t xml:space="preserve">Silverhub Inc</t>
  </si>
  <si>
    <t xml:space="preserve">ACC-10998</t>
  </si>
  <si>
    <t xml:space="preserve">Truebase Solutions</t>
  </si>
  <si>
    <t xml:space="preserve">ACC-11324</t>
  </si>
  <si>
    <t xml:space="preserve">Northly Co</t>
  </si>
  <si>
    <t xml:space="preserve">ACC-11899</t>
  </si>
  <si>
    <t xml:space="preserve">Primelabs Systems</t>
  </si>
  <si>
    <t xml:space="preserve">ACC-12510</t>
  </si>
  <si>
    <t xml:space="preserve">Lumenlogic Co</t>
  </si>
  <si>
    <t xml:space="preserve">ACC-10659</t>
  </si>
  <si>
    <t xml:space="preserve">Novastack Systems</t>
  </si>
  <si>
    <t xml:space="preserve">ACC-10787</t>
  </si>
  <si>
    <t xml:space="preserve">Pixelgrid LLC</t>
  </si>
  <si>
    <t xml:space="preserve">ACC-10213</t>
  </si>
  <si>
    <t xml:space="preserve">Greenlabs Inc</t>
  </si>
  <si>
    <t xml:space="preserve">ACC-12196</t>
  </si>
  <si>
    <t xml:space="preserve">Bluemind Technologies</t>
  </si>
  <si>
    <t xml:space="preserve">ACC-12405</t>
  </si>
  <si>
    <t xml:space="preserve">Truemind LLC</t>
  </si>
  <si>
    <t xml:space="preserve">ACC-10140</t>
  </si>
  <si>
    <t xml:space="preserve">Pixelly Technologies</t>
  </si>
  <si>
    <t xml:space="preserve">ACC-10853</t>
  </si>
  <si>
    <t xml:space="preserve">Truebase Ltd</t>
  </si>
  <si>
    <t xml:space="preserve">ACC-11480</t>
  </si>
  <si>
    <t xml:space="preserve">Northbridge Solutions</t>
  </si>
  <si>
    <t xml:space="preserve">ACC-11520</t>
  </si>
  <si>
    <t xml:space="preserve">Apexlogic Solutions</t>
  </si>
  <si>
    <t xml:space="preserve">ACC-11764</t>
  </si>
  <si>
    <t xml:space="preserve">Truemind Inc</t>
  </si>
  <si>
    <t xml:space="preserve">ACC-12090</t>
  </si>
  <si>
    <t xml:space="preserve">Pixelforge Inc</t>
  </si>
  <si>
    <t xml:space="preserve">ACC-11041</t>
  </si>
  <si>
    <t xml:space="preserve">Silverly LLC</t>
  </si>
  <si>
    <t xml:space="preserve">ACC-11011</t>
  </si>
  <si>
    <t xml:space="preserve">Apexgrid Inc</t>
  </si>
  <si>
    <t xml:space="preserve">ACC-11422</t>
  </si>
  <si>
    <t xml:space="preserve">Peakbridge Ltd</t>
  </si>
  <si>
    <t xml:space="preserve">ACC-11491</t>
  </si>
  <si>
    <t xml:space="preserve">Pixellabs LLC</t>
  </si>
  <si>
    <t xml:space="preserve">ACC-11527</t>
  </si>
  <si>
    <t xml:space="preserve">Swiftflow Inc</t>
  </si>
  <si>
    <t xml:space="preserve">ACC-12546</t>
  </si>
  <si>
    <t xml:space="preserve">Brightpoint Inc</t>
  </si>
  <si>
    <t xml:space="preserve">ACC-10417</t>
  </si>
  <si>
    <t xml:space="preserve">Primeflow Technologies</t>
  </si>
  <si>
    <t xml:space="preserve">ACC-11109</t>
  </si>
  <si>
    <t xml:space="preserve">Bluenest Ltd</t>
  </si>
  <si>
    <t xml:space="preserve">ACC-10525</t>
  </si>
  <si>
    <t xml:space="preserve">Atlasscale Systems</t>
  </si>
  <si>
    <t xml:space="preserve">ACC-10847</t>
  </si>
  <si>
    <t xml:space="preserve">Pixellabs Systems</t>
  </si>
  <si>
    <t xml:space="preserve">ACC-10871</t>
  </si>
  <si>
    <t xml:space="preserve">Brightstack LLC</t>
  </si>
  <si>
    <t xml:space="preserve">ACC-12257</t>
  </si>
  <si>
    <t xml:space="preserve">Brightscale LLC</t>
  </si>
  <si>
    <t xml:space="preserve">ACC-11508</t>
  </si>
  <si>
    <t xml:space="preserve">Apexscale Co</t>
  </si>
  <si>
    <t xml:space="preserve">ACC-10710</t>
  </si>
  <si>
    <t xml:space="preserve">Greensphere Group</t>
  </si>
  <si>
    <t xml:space="preserve">ACC-11238</t>
  </si>
  <si>
    <t xml:space="preserve">Novanest Technologies</t>
  </si>
  <si>
    <t xml:space="preserve">ACC-11373</t>
  </si>
  <si>
    <t xml:space="preserve">Coreflow Inc</t>
  </si>
  <si>
    <t xml:space="preserve">ACC-11380</t>
  </si>
  <si>
    <t xml:space="preserve">Greenstack Technologies</t>
  </si>
  <si>
    <t xml:space="preserve">ACC-11442</t>
  </si>
  <si>
    <t xml:space="preserve">Northsphere Group</t>
  </si>
  <si>
    <t xml:space="preserve">ACC-11544</t>
  </si>
  <si>
    <t xml:space="preserve">Trueflow LLC</t>
  </si>
  <si>
    <t xml:space="preserve">ACC-11923</t>
  </si>
  <si>
    <t xml:space="preserve">Peakstack Group</t>
  </si>
  <si>
    <t xml:space="preserve">ACC-10440</t>
  </si>
  <si>
    <t xml:space="preserve">Urbannest Inc</t>
  </si>
  <si>
    <t xml:space="preserve">ACC-11167</t>
  </si>
  <si>
    <t xml:space="preserve">Boldpoint Technologies</t>
  </si>
  <si>
    <t xml:space="preserve">ACC-12431</t>
  </si>
  <si>
    <t xml:space="preserve">Novascale Ltd</t>
  </si>
  <si>
    <t xml:space="preserve">ACC-12562</t>
  </si>
  <si>
    <t xml:space="preserve">Clearcraft Inc</t>
  </si>
  <si>
    <t xml:space="preserve">ACC-11180</t>
  </si>
  <si>
    <t xml:space="preserve">Lumenpath Technologies</t>
  </si>
  <si>
    <t xml:space="preserve">ACC-11647</t>
  </si>
  <si>
    <t xml:space="preserve">Swiftworks Solutions</t>
  </si>
  <si>
    <t xml:space="preserve">ACC-11727</t>
  </si>
  <si>
    <t xml:space="preserve">Urbanmind Co</t>
  </si>
  <si>
    <t xml:space="preserve">ACC-10550</t>
  </si>
  <si>
    <t xml:space="preserve">Coremind Technologies</t>
  </si>
  <si>
    <t xml:space="preserve">ACC-11257</t>
  </si>
  <si>
    <t xml:space="preserve">Trueworks Solutions</t>
  </si>
  <si>
    <t xml:space="preserve">ACC-11705</t>
  </si>
  <si>
    <t xml:space="preserve">Atlaslogic Technologies</t>
  </si>
  <si>
    <t xml:space="preserve">ACC-12480</t>
  </si>
  <si>
    <t xml:space="preserve">Orbithub Solutions</t>
  </si>
  <si>
    <t xml:space="preserve">ACC-10173</t>
  </si>
  <si>
    <t xml:space="preserve">Lumenflow Technologies</t>
  </si>
  <si>
    <t xml:space="preserve">ACC-10333</t>
  </si>
  <si>
    <t xml:space="preserve">Brightscale Systems</t>
  </si>
  <si>
    <t xml:space="preserve">ACC-11693</t>
  </si>
  <si>
    <t xml:space="preserve">Novacraft Co</t>
  </si>
  <si>
    <t xml:space="preserve">ACC-10124</t>
  </si>
  <si>
    <t xml:space="preserve">Greenstack Inc</t>
  </si>
  <si>
    <t xml:space="preserve">ACC-10883</t>
  </si>
  <si>
    <t xml:space="preserve">Boldbase Technologies</t>
  </si>
  <si>
    <t xml:space="preserve">ACC-11245</t>
  </si>
  <si>
    <t xml:space="preserve">Atlaswave Group</t>
  </si>
  <si>
    <t xml:space="preserve">ACC-11715</t>
  </si>
  <si>
    <t xml:space="preserve">Bluescale Inc</t>
  </si>
  <si>
    <t xml:space="preserve">ACC-12219</t>
  </si>
  <si>
    <t xml:space="preserve">Pixelbase LLC</t>
  </si>
  <si>
    <t xml:space="preserve">ACC-10434</t>
  </si>
  <si>
    <t xml:space="preserve">Truelabs Inc</t>
  </si>
  <si>
    <t xml:space="preserve">ACC-10135</t>
  </si>
  <si>
    <t xml:space="preserve">Primehub LLC</t>
  </si>
  <si>
    <t xml:space="preserve">ACC-10596</t>
  </si>
  <si>
    <t xml:space="preserve">Coreline Solutions</t>
  </si>
  <si>
    <t xml:space="preserve">ACC-10754</t>
  </si>
  <si>
    <t xml:space="preserve">Truewave Inc</t>
  </si>
  <si>
    <t xml:space="preserve">ACC-11931</t>
  </si>
  <si>
    <t xml:space="preserve">Peaklogic Technologies</t>
  </si>
  <si>
    <t xml:space="preserve">ACC-12328</t>
  </si>
  <si>
    <t xml:space="preserve">Swiftlabs Technologies</t>
  </si>
  <si>
    <t xml:space="preserve">ACC-10036</t>
  </si>
  <si>
    <t xml:space="preserve">Swiftbase Inc</t>
  </si>
  <si>
    <t xml:space="preserve">ACC-10438</t>
  </si>
  <si>
    <t xml:space="preserve">Orbitnest Systems</t>
  </si>
  <si>
    <t xml:space="preserve">ACC-10130</t>
  </si>
  <si>
    <t xml:space="preserve">Peaknest Co</t>
  </si>
  <si>
    <t xml:space="preserve">ACC-10387</t>
  </si>
  <si>
    <t xml:space="preserve">Novacraft Systems</t>
  </si>
  <si>
    <t xml:space="preserve">ACC-11125</t>
  </si>
  <si>
    <t xml:space="preserve">Apexscale Inc</t>
  </si>
  <si>
    <t xml:space="preserve">ACC-11325</t>
  </si>
  <si>
    <t xml:space="preserve">Lumennest Ltd</t>
  </si>
  <si>
    <t xml:space="preserve">ACC-11326</t>
  </si>
  <si>
    <t xml:space="preserve">Novaflow LLC</t>
  </si>
  <si>
    <t xml:space="preserve">ACC-11842</t>
  </si>
  <si>
    <t xml:space="preserve">Apexly Co</t>
  </si>
  <si>
    <t xml:space="preserve">ACC-11898</t>
  </si>
  <si>
    <t xml:space="preserve">Trueflow Inc</t>
  </si>
  <si>
    <t xml:space="preserve">ACC-12372</t>
  </si>
  <si>
    <t xml:space="preserve">Apexworks LLC</t>
  </si>
  <si>
    <t xml:space="preserve">ACC-10320</t>
  </si>
  <si>
    <t xml:space="preserve">Boldforge Systems</t>
  </si>
  <si>
    <t xml:space="preserve">ACC-10498</t>
  </si>
  <si>
    <t xml:space="preserve">Atlasforge Inc</t>
  </si>
  <si>
    <t xml:space="preserve">ACC-11500</t>
  </si>
  <si>
    <t xml:space="preserve">Primesphere Group</t>
  </si>
  <si>
    <t xml:space="preserve">ACC-12065</t>
  </si>
  <si>
    <t xml:space="preserve">Peakforge Co</t>
  </si>
  <si>
    <t xml:space="preserve">ACC-10619</t>
  </si>
  <si>
    <t xml:space="preserve">Silverlogic Technologies</t>
  </si>
  <si>
    <t xml:space="preserve">ACC-12248</t>
  </si>
  <si>
    <t xml:space="preserve">Brightnest Solutions</t>
  </si>
  <si>
    <t xml:space="preserve">ACC-10684</t>
  </si>
  <si>
    <t xml:space="preserve">Bluebridge Ltd</t>
  </si>
  <si>
    <t xml:space="preserve">ACC-10416</t>
  </si>
  <si>
    <t xml:space="preserve">Silverbridge Group</t>
  </si>
  <si>
    <t xml:space="preserve">ACC-12132</t>
  </si>
  <si>
    <t xml:space="preserve">Lumenly Group</t>
  </si>
  <si>
    <t xml:space="preserve">ACC-10126</t>
  </si>
  <si>
    <t xml:space="preserve">Vertexpoint Group</t>
  </si>
  <si>
    <t xml:space="preserve">ACC-11663</t>
  </si>
  <si>
    <t xml:space="preserve">Pixelflow Group</t>
  </si>
  <si>
    <t xml:space="preserve">ACC-12265</t>
  </si>
  <si>
    <t xml:space="preserve">Vertexsphere Inc</t>
  </si>
  <si>
    <t xml:space="preserve">ACC-12144</t>
  </si>
  <si>
    <t xml:space="preserve">Swiftbridge Co</t>
  </si>
  <si>
    <t xml:space="preserve">ACC-10119</t>
  </si>
  <si>
    <t xml:space="preserve">Blueflow Solutions</t>
  </si>
  <si>
    <t xml:space="preserve">ACC-10249</t>
  </si>
  <si>
    <t xml:space="preserve">Boldbridge Co</t>
  </si>
  <si>
    <t xml:space="preserve">ACC-12577</t>
  </si>
  <si>
    <t xml:space="preserve">Peakcraft Solutions</t>
  </si>
  <si>
    <t xml:space="preserve">ACC-10025</t>
  </si>
  <si>
    <t xml:space="preserve">Northscale Co</t>
  </si>
  <si>
    <t xml:space="preserve">ACC-11139</t>
  </si>
  <si>
    <t xml:space="preserve">Atlaspoint LLC</t>
  </si>
  <si>
    <t xml:space="preserve">ACC-12233</t>
  </si>
  <si>
    <t xml:space="preserve">Swiftgrid Ltd</t>
  </si>
  <si>
    <t xml:space="preserve">ACC-12511</t>
  </si>
  <si>
    <t xml:space="preserve">Primenest Co</t>
  </si>
  <si>
    <t xml:space="preserve">ACC-10123</t>
  </si>
  <si>
    <t xml:space="preserve">Urbanly Co</t>
  </si>
  <si>
    <t xml:space="preserve">ACC-10134</t>
  </si>
  <si>
    <t xml:space="preserve">Atlasly Group</t>
  </si>
  <si>
    <t xml:space="preserve">ACC-10481</t>
  </si>
  <si>
    <t xml:space="preserve">Brightscale Ltd</t>
  </si>
  <si>
    <t xml:space="preserve">ACC-11384</t>
  </si>
  <si>
    <t xml:space="preserve">Truescale Group</t>
  </si>
  <si>
    <t xml:space="preserve">ACC-12365</t>
  </si>
  <si>
    <t xml:space="preserve">Pixelmind Technologies</t>
  </si>
  <si>
    <t xml:space="preserve">ACC-10067</t>
  </si>
  <si>
    <t xml:space="preserve">Primeforge Solutions</t>
  </si>
  <si>
    <t xml:space="preserve">ACC-10896</t>
  </si>
  <si>
    <t xml:space="preserve">Corescale Solutions</t>
  </si>
  <si>
    <t xml:space="preserve">ACC-11274</t>
  </si>
  <si>
    <t xml:space="preserve">Pixelly Co</t>
  </si>
  <si>
    <t xml:space="preserve">ACC-10266</t>
  </si>
  <si>
    <t xml:space="preserve">Primelogic Technologies</t>
  </si>
  <si>
    <t xml:space="preserve">ACC-10740</t>
  </si>
  <si>
    <t xml:space="preserve">Silverworks Inc</t>
  </si>
  <si>
    <t xml:space="preserve">ACC-11894</t>
  </si>
  <si>
    <t xml:space="preserve">Atlasmind Technologies</t>
  </si>
  <si>
    <t xml:space="preserve">ACC-11154</t>
  </si>
  <si>
    <t xml:space="preserve">Orbitlogic Solutions</t>
  </si>
  <si>
    <t xml:space="preserve">ACC-11650</t>
  </si>
  <si>
    <t xml:space="preserve">Coreworks Technologies</t>
  </si>
  <si>
    <t xml:space="preserve">ACC-12267</t>
  </si>
  <si>
    <t xml:space="preserve">Pixelscale Inc</t>
  </si>
  <si>
    <t xml:space="preserve">ACC-11954</t>
  </si>
  <si>
    <t xml:space="preserve">Bluenest LLC</t>
  </si>
  <si>
    <t xml:space="preserve">ACC-10808</t>
  </si>
  <si>
    <t xml:space="preserve">Boldlogic Ltd</t>
  </si>
  <si>
    <t xml:space="preserve">ACC-11443</t>
  </si>
  <si>
    <t xml:space="preserve">Northworks Solutions</t>
  </si>
  <si>
    <t xml:space="preserve">ACC-12252</t>
  </si>
  <si>
    <t xml:space="preserve">Coreforge Solutions</t>
  </si>
  <si>
    <t xml:space="preserve">ACC-12264</t>
  </si>
  <si>
    <t xml:space="preserve">Orbitforge Co</t>
  </si>
  <si>
    <t xml:space="preserve">ACC-10017</t>
  </si>
  <si>
    <t xml:space="preserve">Northstack Ltd</t>
  </si>
  <si>
    <t xml:space="preserve">ACC-10917</t>
  </si>
  <si>
    <t xml:space="preserve">Boldstack Group</t>
  </si>
  <si>
    <t xml:space="preserve">ACC-11911</t>
  </si>
  <si>
    <t xml:space="preserve">Urbanline Co</t>
  </si>
  <si>
    <t xml:space="preserve">ACC-12323</t>
  </si>
  <si>
    <t xml:space="preserve">Swiftbase Co</t>
  </si>
  <si>
    <t xml:space="preserve">ACC-10717</t>
  </si>
  <si>
    <t xml:space="preserve">Vertexcraft Ltd</t>
  </si>
  <si>
    <t xml:space="preserve">ACC-11236</t>
  </si>
  <si>
    <t xml:space="preserve">Orbitlogic Technologies</t>
  </si>
  <si>
    <t xml:space="preserve">ACC-11488</t>
  </si>
  <si>
    <t xml:space="preserve">Boldbase Inc</t>
  </si>
  <si>
    <t xml:space="preserve">ACC-12320</t>
  </si>
  <si>
    <t xml:space="preserve">Primecraft Group</t>
  </si>
  <si>
    <t xml:space="preserve">ACC-11355</t>
  </si>
  <si>
    <t xml:space="preserve">Bluely Systems</t>
  </si>
  <si>
    <t xml:space="preserve">ACC-11823</t>
  </si>
  <si>
    <t xml:space="preserve">Silverworks Group</t>
  </si>
  <si>
    <t xml:space="preserve">ACC-12293</t>
  </si>
  <si>
    <t xml:space="preserve">Orbitline Ltd</t>
  </si>
  <si>
    <t xml:space="preserve">ACC-10001</t>
  </si>
  <si>
    <t xml:space="preserve">Blueline Technologies</t>
  </si>
  <si>
    <t xml:space="preserve">ACC-11806</t>
  </si>
  <si>
    <t xml:space="preserve">Orbitmind Co</t>
  </si>
  <si>
    <t xml:space="preserve">ACC-10086</t>
  </si>
  <si>
    <t xml:space="preserve">Bluesphere Co</t>
  </si>
  <si>
    <t xml:space="preserve">ACC-12056</t>
  </si>
  <si>
    <t xml:space="preserve">Primeline Systems</t>
  </si>
  <si>
    <t xml:space="preserve">ACC-12467</t>
  </si>
  <si>
    <t xml:space="preserve">Clearmind Co</t>
  </si>
  <si>
    <t xml:space="preserve">ACC-10088</t>
  </si>
  <si>
    <t xml:space="preserve">Truely Technologies</t>
  </si>
  <si>
    <t xml:space="preserve">ACC-10252</t>
  </si>
  <si>
    <t xml:space="preserve">Brightline Co</t>
  </si>
  <si>
    <t xml:space="preserve">ACC-11607</t>
  </si>
  <si>
    <t xml:space="preserve">Silverbase Group</t>
  </si>
  <si>
    <t xml:space="preserve">ACC-11858</t>
  </si>
  <si>
    <t xml:space="preserve">Boldpath Solutions</t>
  </si>
  <si>
    <t xml:space="preserve">ACC-10335</t>
  </si>
  <si>
    <t xml:space="preserve">Peaknest LLC</t>
  </si>
  <si>
    <t xml:space="preserve">ACC-12307</t>
  </si>
  <si>
    <t xml:space="preserve">Primesphere LLC</t>
  </si>
  <si>
    <t xml:space="preserve">ACC-10776</t>
  </si>
  <si>
    <t xml:space="preserve">Northstack Inc</t>
  </si>
  <si>
    <t xml:space="preserve">ACC-11636</t>
  </si>
  <si>
    <t xml:space="preserve">Pixelnest Group</t>
  </si>
  <si>
    <t xml:space="preserve">ACC-11743</t>
  </si>
  <si>
    <t xml:space="preserve">Clearflow Co</t>
  </si>
  <si>
    <t xml:space="preserve">ACC-12440</t>
  </si>
  <si>
    <t xml:space="preserve">Novaforge Ltd</t>
  </si>
  <si>
    <t xml:space="preserve">ACC-11282</t>
  </si>
  <si>
    <t xml:space="preserve">Greenstack Group</t>
  </si>
  <si>
    <t xml:space="preserve">ACC-12584</t>
  </si>
  <si>
    <t xml:space="preserve">Vertexforge Inc</t>
  </si>
  <si>
    <t xml:space="preserve">ACC-10714</t>
  </si>
  <si>
    <t xml:space="preserve">Silverline LLC</t>
  </si>
  <si>
    <t xml:space="preserve">ACC-11995</t>
  </si>
  <si>
    <t xml:space="preserve">Atlassphere Ltd</t>
  </si>
  <si>
    <t xml:space="preserve">ACC-12496</t>
  </si>
  <si>
    <t xml:space="preserve">Corely Co</t>
  </si>
  <si>
    <t xml:space="preserve">ACC-12280</t>
  </si>
  <si>
    <t xml:space="preserve">Lumenscale Technologies</t>
  </si>
  <si>
    <t xml:space="preserve">ACC-10924</t>
  </si>
  <si>
    <t xml:space="preserve">Vertexforge Ltd</t>
  </si>
  <si>
    <t xml:space="preserve">ACC-10430</t>
  </si>
  <si>
    <t xml:space="preserve">Corehub Co</t>
  </si>
  <si>
    <t xml:space="preserve">ACC-10865</t>
  </si>
  <si>
    <t xml:space="preserve">Urbanworks Ltd</t>
  </si>
  <si>
    <t xml:space="preserve">ACC-12235</t>
  </si>
  <si>
    <t xml:space="preserve">Brightcraft Inc</t>
  </si>
  <si>
    <t xml:space="preserve">ACC-12288</t>
  </si>
  <si>
    <t xml:space="preserve">Orbitbase Group</t>
  </si>
  <si>
    <t xml:space="preserve">ACC-11410</t>
  </si>
  <si>
    <t xml:space="preserve">Clearline Technologies</t>
  </si>
  <si>
    <t xml:space="preserve">ACC-12126</t>
  </si>
  <si>
    <t xml:space="preserve">Orbitmind Ltd</t>
  </si>
  <si>
    <t xml:space="preserve">ACC-12084</t>
  </si>
  <si>
    <t xml:space="preserve">Apexworks Group</t>
  </si>
  <si>
    <t xml:space="preserve">ACC-12303</t>
  </si>
  <si>
    <t xml:space="preserve">Vertexgrid LLC</t>
  </si>
  <si>
    <t xml:space="preserve">ACC-11249</t>
  </si>
  <si>
    <t xml:space="preserve">Silverlogic LLC</t>
  </si>
  <si>
    <t xml:space="preserve">ACC-10952</t>
  </si>
  <si>
    <t xml:space="preserve">Northnest Group</t>
  </si>
  <si>
    <t xml:space="preserve">ACC-10996</t>
  </si>
  <si>
    <t xml:space="preserve">Swiftpoint Systems</t>
  </si>
  <si>
    <t xml:space="preserve">ACC-11120</t>
  </si>
  <si>
    <t xml:space="preserve">Greenline Technologies</t>
  </si>
  <si>
    <t xml:space="preserve">ACC-12520</t>
  </si>
  <si>
    <t xml:space="preserve">Brightly Inc</t>
  </si>
  <si>
    <t xml:space="preserve">ACC-10962</t>
  </si>
  <si>
    <t xml:space="preserve">Brightmind LLC</t>
  </si>
  <si>
    <t xml:space="preserve">ACC-11462</t>
  </si>
  <si>
    <t xml:space="preserve">Swiftstack Technologies</t>
  </si>
  <si>
    <t xml:space="preserve">ACC-10153</t>
  </si>
  <si>
    <t xml:space="preserve">Lumenpoint Group</t>
  </si>
  <si>
    <t xml:space="preserve">ACC-11134</t>
  </si>
  <si>
    <t xml:space="preserve">Apexflow Inc</t>
  </si>
  <si>
    <t xml:space="preserve">ACC-12010</t>
  </si>
  <si>
    <t xml:space="preserve">Clearforge Inc</t>
  </si>
  <si>
    <t xml:space="preserve">ACC-10769</t>
  </si>
  <si>
    <t xml:space="preserve">Primesphere Solutions</t>
  </si>
  <si>
    <t xml:space="preserve">ACC-10794</t>
  </si>
  <si>
    <t xml:space="preserve">Truepoint Group</t>
  </si>
  <si>
    <t xml:space="preserve">ACC-10966</t>
  </si>
  <si>
    <t xml:space="preserve">Orbitpath Solutions</t>
  </si>
  <si>
    <t xml:space="preserve">ACC-11564</t>
  </si>
  <si>
    <t xml:space="preserve">Bluepoint Group</t>
  </si>
  <si>
    <t xml:space="preserve">ACC-11673</t>
  </si>
  <si>
    <t xml:space="preserve">Lumenline Ltd</t>
  </si>
  <si>
    <t xml:space="preserve">ACC-11868</t>
  </si>
  <si>
    <t xml:space="preserve">Clearscale Systems</t>
  </si>
  <si>
    <t xml:space="preserve">ACC-12292</t>
  </si>
  <si>
    <t xml:space="preserve">Atlassphere Group</t>
  </si>
  <si>
    <t xml:space="preserve">ACC-10749</t>
  </si>
  <si>
    <t xml:space="preserve">Silverpath LLC</t>
  </si>
  <si>
    <t xml:space="preserve">ACC-10103</t>
  </si>
  <si>
    <t xml:space="preserve">Pixellogic Ltd</t>
  </si>
  <si>
    <t xml:space="preserve">ACC-10226</t>
  </si>
  <si>
    <t xml:space="preserve">Primescale Co</t>
  </si>
  <si>
    <t xml:space="preserve">ACC-10957</t>
  </si>
  <si>
    <t xml:space="preserve">Greengrid Ltd</t>
  </si>
  <si>
    <t xml:space="preserve">ACC-12483</t>
  </si>
  <si>
    <t xml:space="preserve">Brightflow Inc</t>
  </si>
  <si>
    <t xml:space="preserve">ACC-10403</t>
  </si>
  <si>
    <t xml:space="preserve">Boldline Solutions</t>
  </si>
  <si>
    <t xml:space="preserve">ACC-10450</t>
  </si>
  <si>
    <t xml:space="preserve">Pixelwave Technologies</t>
  </si>
  <si>
    <t xml:space="preserve">ACC-11505</t>
  </si>
  <si>
    <t xml:space="preserve">Novastack Co</t>
  </si>
  <si>
    <t xml:space="preserve">ACC-11630</t>
  </si>
  <si>
    <t xml:space="preserve">Clearscale Group</t>
  </si>
  <si>
    <t xml:space="preserve">ACC-11781</t>
  </si>
  <si>
    <t xml:space="preserve">Urbanlabs Systems</t>
  </si>
  <si>
    <t xml:space="preserve">ACC-11896</t>
  </si>
  <si>
    <t xml:space="preserve">Brightbase Ltd</t>
  </si>
  <si>
    <t xml:space="preserve">ACC-12502</t>
  </si>
  <si>
    <t xml:space="preserve">Peakhub Solutions</t>
  </si>
  <si>
    <t xml:space="preserve">ACC-12176</t>
  </si>
  <si>
    <t xml:space="preserve">Orbitstack Inc</t>
  </si>
  <si>
    <t xml:space="preserve">ACC-11430</t>
  </si>
  <si>
    <t xml:space="preserve">Pixelflow Technologies</t>
  </si>
  <si>
    <t xml:space="preserve">ACC-12093</t>
  </si>
  <si>
    <t xml:space="preserve">Truestack Co</t>
  </si>
  <si>
    <t xml:space="preserve">ACC-10449</t>
  </si>
  <si>
    <t xml:space="preserve">Novascale Systems</t>
  </si>
  <si>
    <t xml:space="preserve">ACC-10485</t>
  </si>
  <si>
    <t xml:space="preserve">Apexbase Solutions</t>
  </si>
  <si>
    <t xml:space="preserve">ACC-11017</t>
  </si>
  <si>
    <t xml:space="preserve">Swiftmind Ltd</t>
  </si>
  <si>
    <t xml:space="preserve">ACC-11522</t>
  </si>
  <si>
    <t xml:space="preserve">Vertexhub Group</t>
  </si>
  <si>
    <t xml:space="preserve">ACC-11603</t>
  </si>
  <si>
    <t xml:space="preserve">Trueflow Co</t>
  </si>
  <si>
    <t xml:space="preserve">ACC-12034</t>
  </si>
  <si>
    <t xml:space="preserve">Bluepath Ltd</t>
  </si>
  <si>
    <t xml:space="preserve">ACC-10777</t>
  </si>
  <si>
    <t xml:space="preserve">Pixelbase Technologies</t>
  </si>
  <si>
    <t xml:space="preserve">ACC-11472</t>
  </si>
  <si>
    <t xml:space="preserve">Peakscale Technologies</t>
  </si>
  <si>
    <t xml:space="preserve">ACC-11629</t>
  </si>
  <si>
    <t xml:space="preserve">Urbanpoint Co</t>
  </si>
  <si>
    <t xml:space="preserve">ACC-11714</t>
  </si>
  <si>
    <t xml:space="preserve">Lumenmind Solutions</t>
  </si>
  <si>
    <t xml:space="preserve">ACC-12221</t>
  </si>
  <si>
    <t xml:space="preserve">Silverly Inc</t>
  </si>
  <si>
    <t xml:space="preserve">ACC-10334</t>
  </si>
  <si>
    <t xml:space="preserve">Orbitpoint Co</t>
  </si>
  <si>
    <t xml:space="preserve">ACC-10147</t>
  </si>
  <si>
    <t xml:space="preserve">Silvercraft LLC</t>
  </si>
  <si>
    <t xml:space="preserve">ACC-12216</t>
  </si>
  <si>
    <t xml:space="preserve">Atlasmind Group</t>
  </si>
  <si>
    <t xml:space="preserve">ACC-10267</t>
  </si>
  <si>
    <t xml:space="preserve">Orbithub LLC</t>
  </si>
  <si>
    <t xml:space="preserve">ACC-11210</t>
  </si>
  <si>
    <t xml:space="preserve">Boldly LLC</t>
  </si>
  <si>
    <t xml:space="preserve">ACC-10102</t>
  </si>
  <si>
    <t xml:space="preserve">Urbanflow Solutions</t>
  </si>
  <si>
    <t xml:space="preserve">ACC-10318</t>
  </si>
  <si>
    <t xml:space="preserve">Orbitwave Co</t>
  </si>
  <si>
    <t xml:space="preserve">ACC-10857</t>
  </si>
  <si>
    <t xml:space="preserve">Primeflow Solutions</t>
  </si>
  <si>
    <t xml:space="preserve">ACC-10991</t>
  </si>
  <si>
    <t xml:space="preserve">Orbitcraft Technologies</t>
  </si>
  <si>
    <t xml:space="preserve">ACC-10663</t>
  </si>
  <si>
    <t xml:space="preserve">Clearcraft Group</t>
  </si>
  <si>
    <t xml:space="preserve">ACC-12160</t>
  </si>
  <si>
    <t xml:space="preserve">Orbitbridge Inc</t>
  </si>
  <si>
    <t xml:space="preserve">ACC-12503</t>
  </si>
  <si>
    <t xml:space="preserve">Atlasforge Group</t>
  </si>
  <si>
    <t xml:space="preserve">ACC-10814</t>
  </si>
  <si>
    <t xml:space="preserve">Bluelabs LLC</t>
  </si>
  <si>
    <t xml:space="preserve">ACC-11048</t>
  </si>
  <si>
    <t xml:space="preserve">Clearly LLC</t>
  </si>
  <si>
    <t xml:space="preserve">ACC-12389</t>
  </si>
  <si>
    <t xml:space="preserve">Urbanforge Co</t>
  </si>
  <si>
    <t xml:space="preserve">ACC-10082</t>
  </si>
  <si>
    <t xml:space="preserve">Northgrid Inc</t>
  </si>
  <si>
    <t xml:space="preserve">ACC-11437</t>
  </si>
  <si>
    <t xml:space="preserve">Swiftstack Group</t>
  </si>
  <si>
    <t xml:space="preserve">ACC-11877</t>
  </si>
  <si>
    <t xml:space="preserve">Silverstack Systems</t>
  </si>
  <si>
    <t xml:space="preserve">ACC-10181</t>
  </si>
  <si>
    <t xml:space="preserve">Greenbase Technologies</t>
  </si>
  <si>
    <t xml:space="preserve">ACC-10405</t>
  </si>
  <si>
    <t xml:space="preserve">Bluebridge Systems</t>
  </si>
  <si>
    <t xml:space="preserve">ACC-10501</t>
  </si>
  <si>
    <t xml:space="preserve">Atlaspath LLC</t>
  </si>
  <si>
    <t xml:space="preserve">ACC-12366</t>
  </si>
  <si>
    <t xml:space="preserve">Apexflow Technologies</t>
  </si>
  <si>
    <t xml:space="preserve">ACC-10970</t>
  </si>
  <si>
    <t xml:space="preserve">Orbitwave Ltd</t>
  </si>
  <si>
    <t xml:space="preserve">ACC-12094</t>
  </si>
  <si>
    <t xml:space="preserve">Swiftline Co</t>
  </si>
  <si>
    <t xml:space="preserve">ACC-12139</t>
  </si>
  <si>
    <t xml:space="preserve">Greenpoint Co</t>
  </si>
  <si>
    <t xml:space="preserve">ACC-12585</t>
  </si>
  <si>
    <t xml:space="preserve">Coregrid Technologies</t>
  </si>
  <si>
    <t xml:space="preserve">ACC-11880</t>
  </si>
  <si>
    <t xml:space="preserve">Primebase Group</t>
  </si>
  <si>
    <t xml:space="preserve">ACC-11092</t>
  </si>
  <si>
    <t xml:space="preserve">Northworks Inc</t>
  </si>
  <si>
    <t xml:space="preserve">ACC-10660</t>
  </si>
  <si>
    <t xml:space="preserve">Swiftly Group</t>
  </si>
  <si>
    <t xml:space="preserve">ACC-11533</t>
  </si>
  <si>
    <t xml:space="preserve">Novaworks Group</t>
  </si>
  <si>
    <t xml:space="preserve">ACC-11073</t>
  </si>
  <si>
    <t xml:space="preserve">Silversphere Solutions</t>
  </si>
  <si>
    <t xml:space="preserve">ACC-10691</t>
  </si>
  <si>
    <t xml:space="preserve">Vertexlabs Group</t>
  </si>
  <si>
    <t xml:space="preserve">ACC-11834</t>
  </si>
  <si>
    <t xml:space="preserve">Swiftsphere Solutions</t>
  </si>
  <si>
    <t xml:space="preserve">ACC-12127</t>
  </si>
  <si>
    <t xml:space="preserve">Truestack Solutions</t>
  </si>
  <si>
    <t xml:space="preserve">ACC-10431</t>
  </si>
  <si>
    <t xml:space="preserve">Vertexgrid Ltd</t>
  </si>
  <si>
    <t xml:space="preserve">ACC-11015</t>
  </si>
  <si>
    <t xml:space="preserve">Brightline Group</t>
  </si>
  <si>
    <t xml:space="preserve">ACC-11051</t>
  </si>
  <si>
    <t xml:space="preserve">Lumenpath Inc</t>
  </si>
  <si>
    <t xml:space="preserve">ACC-11484</t>
  </si>
  <si>
    <t xml:space="preserve">Vertexbase Ltd</t>
  </si>
  <si>
    <t xml:space="preserve">ACC-12527</t>
  </si>
  <si>
    <t xml:space="preserve">Pixelgrid Technologies</t>
  </si>
  <si>
    <t xml:space="preserve">ACC-10813</t>
  </si>
  <si>
    <t xml:space="preserve">Atlasstack LLC</t>
  </si>
  <si>
    <t xml:space="preserve">ACC-11939</t>
  </si>
  <si>
    <t xml:space="preserve">Urbanlogic Group</t>
  </si>
  <si>
    <t xml:space="preserve">ACC-12446</t>
  </si>
  <si>
    <t xml:space="preserve">Brightmind Co</t>
  </si>
  <si>
    <t xml:space="preserve">ACC-11111</t>
  </si>
  <si>
    <t xml:space="preserve">Atlasscale Ltd</t>
  </si>
  <si>
    <t xml:space="preserve">ACC-11536</t>
  </si>
  <si>
    <t xml:space="preserve">Silvermind Inc</t>
  </si>
  <si>
    <t xml:space="preserve">ACC-10236</t>
  </si>
  <si>
    <t xml:space="preserve">Silverlogic Solutions</t>
  </si>
  <si>
    <t xml:space="preserve">ACC-10652</t>
  </si>
  <si>
    <t xml:space="preserve">Boldbase Systems</t>
  </si>
  <si>
    <t xml:space="preserve">ACC-11586</t>
  </si>
  <si>
    <t xml:space="preserve">Clearpoint Ltd</t>
  </si>
  <si>
    <t xml:space="preserve">ACC-10291</t>
  </si>
  <si>
    <t xml:space="preserve">Northly LLC</t>
  </si>
  <si>
    <t xml:space="preserve">ACC-11063</t>
  </si>
  <si>
    <t xml:space="preserve">Swiftscale Technologies</t>
  </si>
  <si>
    <t xml:space="preserve">ACC-11987</t>
  </si>
  <si>
    <t xml:space="preserve">Lumengrid Ltd</t>
  </si>
  <si>
    <t xml:space="preserve">ACC-10002</t>
  </si>
  <si>
    <t xml:space="preserve">Lumenforge Solutions</t>
  </si>
  <si>
    <t xml:space="preserve">ACC-11632</t>
  </si>
  <si>
    <t xml:space="preserve">Boldflow Systems</t>
  </si>
  <si>
    <t xml:space="preserve">ACC-12179</t>
  </si>
  <si>
    <t xml:space="preserve">Truegrid Technologies</t>
  </si>
  <si>
    <t xml:space="preserve">ACC-10477</t>
  </si>
  <si>
    <t xml:space="preserve">Greenhub Systems</t>
  </si>
  <si>
    <t xml:space="preserve">ACC-12256</t>
  </si>
  <si>
    <t xml:space="preserve">Swiftlabs Solutions</t>
  </si>
  <si>
    <t xml:space="preserve">ACC-10811</t>
  </si>
  <si>
    <t xml:space="preserve">Northlogic Ltd</t>
  </si>
  <si>
    <t xml:space="preserve">ACC-11744</t>
  </si>
  <si>
    <t xml:space="preserve">Lumenlabs Technologies</t>
  </si>
  <si>
    <t xml:space="preserve">ACC-11851</t>
  </si>
  <si>
    <t xml:space="preserve">Novagrid Solutions</t>
  </si>
  <si>
    <t xml:space="preserve">ACC-12269</t>
  </si>
  <si>
    <t xml:space="preserve">Atlaspath Ltd</t>
  </si>
  <si>
    <t xml:space="preserve">ACC-11262</t>
  </si>
  <si>
    <t xml:space="preserve">Northbridge Co</t>
  </si>
  <si>
    <t xml:space="preserve">ACC-10179</t>
  </si>
  <si>
    <t xml:space="preserve">Lumenbridge Systems</t>
  </si>
  <si>
    <t xml:space="preserve">ACC-10455</t>
  </si>
  <si>
    <t xml:space="preserve">Vertexpath LLC</t>
  </si>
  <si>
    <t xml:space="preserve">ACC-10764</t>
  </si>
  <si>
    <t xml:space="preserve">Boldnest Inc</t>
  </si>
  <si>
    <t xml:space="preserve">ACC-10150</t>
  </si>
  <si>
    <t xml:space="preserve">Pixelworks Co</t>
  </si>
  <si>
    <t xml:space="preserve">ACC-11959</t>
  </si>
  <si>
    <t xml:space="preserve">Urbanline Systems</t>
  </si>
  <si>
    <t xml:space="preserve">ACC-11332</t>
  </si>
  <si>
    <t xml:space="preserve">Brightcraft Systems</t>
  </si>
  <si>
    <t xml:space="preserve">ACC-11432</t>
  </si>
  <si>
    <t xml:space="preserve">Vertexnest Technologies</t>
  </si>
  <si>
    <t xml:space="preserve">ACC-11464</t>
  </si>
  <si>
    <t xml:space="preserve">Vertexwave Systems</t>
  </si>
  <si>
    <t xml:space="preserve">ACC-11795</t>
  </si>
  <si>
    <t xml:space="preserve">Pixelbridge Solutions</t>
  </si>
  <si>
    <t xml:space="preserve">ACC-12215</t>
  </si>
  <si>
    <t xml:space="preserve">Clearworks Solutions</t>
  </si>
  <si>
    <t xml:space="preserve">ACC-12393</t>
  </si>
  <si>
    <t xml:space="preserve">Cleargrid Ltd</t>
  </si>
  <si>
    <t xml:space="preserve">ACC-10977</t>
  </si>
  <si>
    <t xml:space="preserve">Lumenworks Solutions</t>
  </si>
  <si>
    <t xml:space="preserve">ACC-11420</t>
  </si>
  <si>
    <t xml:space="preserve">Northcraft LLC</t>
  </si>
  <si>
    <t xml:space="preserve">ACC-12362</t>
  </si>
  <si>
    <t xml:space="preserve">Swiftpath Inc</t>
  </si>
  <si>
    <t xml:space="preserve">ACC-10798</t>
  </si>
  <si>
    <t xml:space="preserve">Lumengrid LLC</t>
  </si>
  <si>
    <t xml:space="preserve">ACC-12110</t>
  </si>
  <si>
    <t xml:space="preserve">Greenbase Ltd</t>
  </si>
  <si>
    <t xml:space="preserve">ACC-10246</t>
  </si>
  <si>
    <t xml:space="preserve">Primemind LLC</t>
  </si>
  <si>
    <t xml:space="preserve">ACC-10606</t>
  </si>
  <si>
    <t xml:space="preserve">Corelogic Co</t>
  </si>
  <si>
    <t xml:space="preserve">ACC-11267</t>
  </si>
  <si>
    <t xml:space="preserve">Bluegrid Co</t>
  </si>
  <si>
    <t xml:space="preserve">ACC-11765</t>
  </si>
  <si>
    <t xml:space="preserve">Clearpath Ltd</t>
  </si>
  <si>
    <t xml:space="preserve">ACC-10680</t>
  </si>
  <si>
    <t xml:space="preserve">Peakmind Technologies</t>
  </si>
  <si>
    <t xml:space="preserve">ACC-11004</t>
  </si>
  <si>
    <t xml:space="preserve">Orbitgrid Solutions</t>
  </si>
  <si>
    <t xml:space="preserve">ACC-11100</t>
  </si>
  <si>
    <t xml:space="preserve">Apexflow Co</t>
  </si>
  <si>
    <t xml:space="preserve">ACC-12102</t>
  </si>
  <si>
    <t xml:space="preserve">Orbitworks Group</t>
  </si>
  <si>
    <t xml:space="preserve">ACC-12122</t>
  </si>
  <si>
    <t xml:space="preserve">Northbridge Inc</t>
  </si>
  <si>
    <t xml:space="preserve">ACC-10129</t>
  </si>
  <si>
    <t xml:space="preserve">Clearlabs LLC</t>
  </si>
  <si>
    <t xml:space="preserve">ACC-10337</t>
  </si>
  <si>
    <t xml:space="preserve">Bluesphere LLC</t>
  </si>
  <si>
    <t xml:space="preserve">ACC-10617</t>
  </si>
  <si>
    <t xml:space="preserve">Blueflow Systems</t>
  </si>
  <si>
    <t xml:space="preserve">ACC-10645</t>
  </si>
  <si>
    <t xml:space="preserve">Greensphere LLC</t>
  </si>
  <si>
    <t xml:space="preserve">ACC-11418</t>
  </si>
  <si>
    <t xml:space="preserve">Bluehub Ltd</t>
  </si>
  <si>
    <t xml:space="preserve">ACC-11531</t>
  </si>
  <si>
    <t xml:space="preserve">Peakly LLC</t>
  </si>
  <si>
    <t xml:space="preserve">ACC-12361</t>
  </si>
  <si>
    <t xml:space="preserve">Swiftwave Inc</t>
  </si>
  <si>
    <t xml:space="preserve">ACC-10345</t>
  </si>
  <si>
    <t xml:space="preserve">Bluelabs Ltd</t>
  </si>
  <si>
    <t xml:space="preserve">ACC-10945</t>
  </si>
  <si>
    <t xml:space="preserve">Greenwave Technologies</t>
  </si>
  <si>
    <t xml:space="preserve">ACC-11354</t>
  </si>
  <si>
    <t xml:space="preserve">Pixelnest Co</t>
  </si>
  <si>
    <t xml:space="preserve">ACC-11717</t>
  </si>
  <si>
    <t xml:space="preserve">Silvergrid Technologies</t>
  </si>
  <si>
    <t xml:space="preserve">ACC-11734</t>
  </si>
  <si>
    <t xml:space="preserve">Atlasworks Solutions</t>
  </si>
  <si>
    <t xml:space="preserve">ACC-12124</t>
  </si>
  <si>
    <t xml:space="preserve">Vertexpath Systems</t>
  </si>
  <si>
    <t xml:space="preserve">ACC-10108</t>
  </si>
  <si>
    <t xml:space="preserve">Brightbridge Technologies</t>
  </si>
  <si>
    <t xml:space="preserve">ACC-11425</t>
  </si>
  <si>
    <t xml:space="preserve">Orbitlabs Solutions</t>
  </si>
  <si>
    <t xml:space="preserve">ACC-11864</t>
  </si>
  <si>
    <t xml:space="preserve">Swiftflow Systems</t>
  </si>
  <si>
    <t xml:space="preserve">ACC-11945</t>
  </si>
  <si>
    <t xml:space="preserve">Orbitforge Ltd</t>
  </si>
  <si>
    <t xml:space="preserve">ACC-12118</t>
  </si>
  <si>
    <t xml:space="preserve">Primecraft Technologies</t>
  </si>
  <si>
    <t xml:space="preserve">ACC-10277</t>
  </si>
  <si>
    <t xml:space="preserve">Boldgrid Solutions</t>
  </si>
  <si>
    <t xml:space="preserve">ACC-11409</t>
  </si>
  <si>
    <t xml:space="preserve">Swiftstack Ltd</t>
  </si>
  <si>
    <t xml:space="preserve">ACC-12153</t>
  </si>
  <si>
    <t xml:space="preserve">Atlasbase Ltd</t>
  </si>
  <si>
    <t xml:space="preserve">ACC-12529</t>
  </si>
  <si>
    <t xml:space="preserve">Coreflow Ltd</t>
  </si>
  <si>
    <t xml:space="preserve">ACC-10177</t>
  </si>
  <si>
    <t xml:space="preserve">Apexstack Group</t>
  </si>
  <si>
    <t xml:space="preserve">ACC-10456</t>
  </si>
  <si>
    <t xml:space="preserve">Peaklabs Systems</t>
  </si>
  <si>
    <t xml:space="preserve">ACC-11709</t>
  </si>
  <si>
    <t xml:space="preserve">Atlasscale Inc</t>
  </si>
  <si>
    <t xml:space="preserve">ACC-11766</t>
  </si>
  <si>
    <t xml:space="preserve">Boldscale Solutions</t>
  </si>
  <si>
    <t xml:space="preserve">ACC-12494</t>
  </si>
  <si>
    <t xml:space="preserve">Atlasbridge LLC</t>
  </si>
  <si>
    <t xml:space="preserve">ACC-10043</t>
  </si>
  <si>
    <t xml:space="preserve">Corelogic Solutions</t>
  </si>
  <si>
    <t xml:space="preserve">ACC-10388</t>
  </si>
  <si>
    <t xml:space="preserve">Northforge Solutions</t>
  </si>
  <si>
    <t xml:space="preserve">ACC-11736</t>
  </si>
  <si>
    <t xml:space="preserve">Blueforge Technologies</t>
  </si>
  <si>
    <t xml:space="preserve">ACC-12213</t>
  </si>
  <si>
    <t xml:space="preserve">Coreforge Systems</t>
  </si>
  <si>
    <t xml:space="preserve">ACC-12311</t>
  </si>
  <si>
    <t xml:space="preserve">Brightpath Technologies</t>
  </si>
  <si>
    <t xml:space="preserve">ACC-12375</t>
  </si>
  <si>
    <t xml:space="preserve">Pixelflow Ltd</t>
  </si>
  <si>
    <t xml:space="preserve">ACC-12459</t>
  </si>
  <si>
    <t xml:space="preserve">Pixelworks Ltd</t>
  </si>
  <si>
    <t xml:space="preserve">ACC-10228</t>
  </si>
  <si>
    <t xml:space="preserve">Clearbridge Co</t>
  </si>
  <si>
    <t xml:space="preserve">ACC-10262</t>
  </si>
  <si>
    <t xml:space="preserve">Clearstack LLC</t>
  </si>
  <si>
    <t xml:space="preserve">ACC-10628</t>
  </si>
  <si>
    <t xml:space="preserve">Peakgrid Technologies</t>
  </si>
  <si>
    <t xml:space="preserve">ACC-11844</t>
  </si>
  <si>
    <t xml:space="preserve">Novapath Group</t>
  </si>
  <si>
    <t xml:space="preserve">ACC-12228</t>
  </si>
  <si>
    <t xml:space="preserve">Novawave LLC</t>
  </si>
  <si>
    <t xml:space="preserve">ACC-10072</t>
  </si>
  <si>
    <t xml:space="preserve">Urbanlabs Ltd</t>
  </si>
  <si>
    <t xml:space="preserve">ACC-10306</t>
  </si>
  <si>
    <t xml:space="preserve">Orbitmind Systems</t>
  </si>
  <si>
    <t xml:space="preserve">ACC-10830</t>
  </si>
  <si>
    <t xml:space="preserve">Brightline LLC</t>
  </si>
  <si>
    <t xml:space="preserve">ACC-11098</t>
  </si>
  <si>
    <t xml:space="preserve">Truenest Inc</t>
  </si>
  <si>
    <t xml:space="preserve">ACC-10169</t>
  </si>
  <si>
    <t xml:space="preserve">Apexgrid Systems</t>
  </si>
  <si>
    <t xml:space="preserve">ACC-10289</t>
  </si>
  <si>
    <t xml:space="preserve">Bluelabs Inc</t>
  </si>
  <si>
    <t xml:space="preserve">ACC-10607</t>
  </si>
  <si>
    <t xml:space="preserve">Primestack Technologies</t>
  </si>
  <si>
    <t xml:space="preserve">ACC-12488</t>
  </si>
  <si>
    <t xml:space="preserve">Truely Systems</t>
  </si>
  <si>
    <t xml:space="preserve">ACC-12489</t>
  </si>
  <si>
    <t xml:space="preserve">Corepoint Inc</t>
  </si>
  <si>
    <t xml:space="preserve">ACC-10273</t>
  </si>
  <si>
    <t xml:space="preserve">Bluestack Systems</t>
  </si>
  <si>
    <t xml:space="preserve">ACC-10547</t>
  </si>
  <si>
    <t xml:space="preserve">Bluehub Technologies</t>
  </si>
  <si>
    <t xml:space="preserve">ACC-11269</t>
  </si>
  <si>
    <t xml:space="preserve">Trueflow Ltd</t>
  </si>
  <si>
    <t xml:space="preserve">ACC-11428</t>
  </si>
  <si>
    <t xml:space="preserve">Northgrid Co</t>
  </si>
  <si>
    <t xml:space="preserve">ACC-11883</t>
  </si>
  <si>
    <t xml:space="preserve">Urbanpoint Systems</t>
  </si>
  <si>
    <t xml:space="preserve">ACC-12117</t>
  </si>
  <si>
    <t xml:space="preserve">Clearhub LLC</t>
  </si>
  <si>
    <t xml:space="preserve">ACC-10674</t>
  </si>
  <si>
    <t xml:space="preserve">Vertexworks Systems</t>
  </si>
  <si>
    <t xml:space="preserve">ACC-11840</t>
  </si>
  <si>
    <t xml:space="preserve">Brightlogic Solutions</t>
  </si>
  <si>
    <t xml:space="preserve">ACC-11869</t>
  </si>
  <si>
    <t xml:space="preserve">Pixelnest Inc</t>
  </si>
  <si>
    <t xml:space="preserve">ACC-12199</t>
  </si>
  <si>
    <t xml:space="preserve">Primepoint LLC</t>
  </si>
  <si>
    <t xml:space="preserve">ACC-12517</t>
  </si>
  <si>
    <t xml:space="preserve">Blueforge Group</t>
  </si>
  <si>
    <t xml:space="preserve">ACC-10407</t>
  </si>
  <si>
    <t xml:space="preserve">Apexscale Systems</t>
  </si>
  <si>
    <t xml:space="preserve">ACC-11393</t>
  </si>
  <si>
    <t xml:space="preserve">Swiftwave Systems</t>
  </si>
  <si>
    <t xml:space="preserve">ACC-11621</t>
  </si>
  <si>
    <t xml:space="preserve">Urbanwave Co</t>
  </si>
  <si>
    <t xml:space="preserve">ACC-11900</t>
  </si>
  <si>
    <t xml:space="preserve">Swiftflow Group</t>
  </si>
  <si>
    <t xml:space="preserve">ACC-12184</t>
  </si>
  <si>
    <t xml:space="preserve">Apexbridge Inc</t>
  </si>
  <si>
    <t xml:space="preserve">ACC-10626</t>
  </si>
  <si>
    <t xml:space="preserve">Silverstack Co</t>
  </si>
  <si>
    <t xml:space="preserve">ACC-11027</t>
  </si>
  <si>
    <t xml:space="preserve">Primepath Co</t>
  </si>
  <si>
    <t xml:space="preserve">ACC-11329</t>
  </si>
  <si>
    <t xml:space="preserve">Primeforge LLC</t>
  </si>
  <si>
    <t xml:space="preserve">ACC-12223</t>
  </si>
  <si>
    <t xml:space="preserve">Pixelpoint Technologies</t>
  </si>
  <si>
    <t xml:space="preserve">ACC-12255</t>
  </si>
  <si>
    <t xml:space="preserve">Apexline Co</t>
  </si>
  <si>
    <t xml:space="preserve">ACC-10132</t>
  </si>
  <si>
    <t xml:space="preserve">Pixelline Ltd</t>
  </si>
  <si>
    <t xml:space="preserve">ACC-10182</t>
  </si>
  <si>
    <t xml:space="preserve">Peakpath Co</t>
  </si>
  <si>
    <t xml:space="preserve">ACC-10421</t>
  </si>
  <si>
    <t xml:space="preserve">Bluemind Solutions</t>
  </si>
  <si>
    <t xml:space="preserve">ACC-10866</t>
  </si>
  <si>
    <t xml:space="preserve">Greencraft Solutions</t>
  </si>
  <si>
    <t xml:space="preserve">ACC-10874</t>
  </si>
  <si>
    <t xml:space="preserve">Coreforge Technologies</t>
  </si>
  <si>
    <t xml:space="preserve">ACC-10888</t>
  </si>
  <si>
    <t xml:space="preserve">Northflow LLC</t>
  </si>
  <si>
    <t xml:space="preserve">ACC-11385</t>
  </si>
  <si>
    <t xml:space="preserve">Orbitmind Group</t>
  </si>
  <si>
    <t xml:space="preserve">ACC-11969</t>
  </si>
  <si>
    <t xml:space="preserve">Urbanhub Technologies</t>
  </si>
  <si>
    <t xml:space="preserve">ACC-12325</t>
  </si>
  <si>
    <t xml:space="preserve">Pixelgrid Inc</t>
  </si>
  <si>
    <t xml:space="preserve">ACC-10531</t>
  </si>
  <si>
    <t xml:space="preserve">Silverworks Ltd</t>
  </si>
  <si>
    <t xml:space="preserve">ACC-10667</t>
  </si>
  <si>
    <t xml:space="preserve">Greenlabs Ltd</t>
  </si>
  <si>
    <t xml:space="preserve">ACC-11058</t>
  </si>
  <si>
    <t xml:space="preserve">Novapoint Technologies</t>
  </si>
  <si>
    <t xml:space="preserve">ACC-11127</t>
  </si>
  <si>
    <t xml:space="preserve">Peakgrid Group</t>
  </si>
  <si>
    <t xml:space="preserve">ACC-11137</t>
  </si>
  <si>
    <t xml:space="preserve">Lumenstack Inc</t>
  </si>
  <si>
    <t xml:space="preserve">ACC-11772</t>
  </si>
  <si>
    <t xml:space="preserve">Clearhub Systems</t>
  </si>
  <si>
    <t xml:space="preserve">ACC-11833</t>
  </si>
  <si>
    <t xml:space="preserve">Primehub Co</t>
  </si>
  <si>
    <t xml:space="preserve">ACC-11873</t>
  </si>
  <si>
    <t xml:space="preserve">Swiftgrid Technologies</t>
  </si>
  <si>
    <t xml:space="preserve">ACC-12383</t>
  </si>
  <si>
    <t xml:space="preserve">Blueflow LLC</t>
  </si>
  <si>
    <t xml:space="preserve">ACC-12498</t>
  </si>
  <si>
    <t xml:space="preserve">Northwave Ltd</t>
  </si>
  <si>
    <t xml:space="preserve">ACC-10077</t>
  </si>
  <si>
    <t xml:space="preserve">Apexlabs Co</t>
  </si>
  <si>
    <t xml:space="preserve">ACC-10332</t>
  </si>
  <si>
    <t xml:space="preserve">Brightcraft Solutions</t>
  </si>
  <si>
    <t xml:space="preserve">ACC-10371</t>
  </si>
  <si>
    <t xml:space="preserve">Primelabs LLC</t>
  </si>
  <si>
    <t xml:space="preserve">ACC-10605</t>
  </si>
  <si>
    <t xml:space="preserve">Vertexcraft LLC</t>
  </si>
  <si>
    <t xml:space="preserve">ACC-10873</t>
  </si>
  <si>
    <t xml:space="preserve">Lumenlabs Solutions</t>
  </si>
  <si>
    <t xml:space="preserve">ACC-11960</t>
  </si>
  <si>
    <t xml:space="preserve">Bluebase Inc</t>
  </si>
  <si>
    <t xml:space="preserve">ACC-11977</t>
  </si>
  <si>
    <t xml:space="preserve">Brightstack Technologies</t>
  </si>
  <si>
    <t xml:space="preserve">ACC-11994</t>
  </si>
  <si>
    <t xml:space="preserve">Bluecraft Solutions</t>
  </si>
  <si>
    <t xml:space="preserve">ACC-12100</t>
  </si>
  <si>
    <t xml:space="preserve">Silverworks Solutions</t>
  </si>
  <si>
    <t xml:space="preserve">ACC-12120</t>
  </si>
  <si>
    <t xml:space="preserve">Peakcraft Group</t>
  </si>
  <si>
    <t xml:space="preserve">ACC-12192</t>
  </si>
  <si>
    <t xml:space="preserve">Pixelline LLC</t>
  </si>
  <si>
    <t xml:space="preserve">ACC-12273</t>
  </si>
  <si>
    <t xml:space="preserve">Pixelbase Ltd</t>
  </si>
  <si>
    <t xml:space="preserve">ACC-12441</t>
  </si>
  <si>
    <t xml:space="preserve">Pixelnest LLC</t>
  </si>
  <si>
    <t xml:space="preserve">ACC-10165</t>
  </si>
  <si>
    <t xml:space="preserve">Urbanly Group</t>
  </si>
  <si>
    <t xml:space="preserve">ACC-10436</t>
  </si>
  <si>
    <t xml:space="preserve">Primepath LLC</t>
  </si>
  <si>
    <t xml:space="preserve">ACC-10457</t>
  </si>
  <si>
    <t xml:space="preserve">Swiftbridge Solutions</t>
  </si>
  <si>
    <t xml:space="preserve">ACC-10736</t>
  </si>
  <si>
    <t xml:space="preserve">Urbanpoint Technologies</t>
  </si>
  <si>
    <t xml:space="preserve">ACC-11187</t>
  </si>
  <si>
    <t xml:space="preserve">Silverflow Technologies</t>
  </si>
  <si>
    <t xml:space="preserve">ACC-11541</t>
  </si>
  <si>
    <t xml:space="preserve">Boldmind Systems</t>
  </si>
  <si>
    <t xml:space="preserve">ACC-12017</t>
  </si>
  <si>
    <t xml:space="preserve">Silverforge Systems</t>
  </si>
  <si>
    <t xml:space="preserve">ACC-12069</t>
  </si>
  <si>
    <t xml:space="preserve">Northstack Co</t>
  </si>
  <si>
    <t xml:space="preserve">ACC-12330</t>
  </si>
  <si>
    <t xml:space="preserve">Corepoint Systems</t>
  </si>
  <si>
    <t xml:space="preserve">ACC-12354</t>
  </si>
  <si>
    <t xml:space="preserve">Brighthub Solutions</t>
  </si>
  <si>
    <t xml:space="preserve">ACC-10030</t>
  </si>
  <si>
    <t xml:space="preserve">Vertexgrid Group</t>
  </si>
  <si>
    <t xml:space="preserve">ACC-10070</t>
  </si>
  <si>
    <t xml:space="preserve">Greenworks Ltd</t>
  </si>
  <si>
    <t xml:space="preserve">ACC-10504</t>
  </si>
  <si>
    <t xml:space="preserve">Boldflow LLC</t>
  </si>
  <si>
    <t xml:space="preserve">ACC-10587</t>
  </si>
  <si>
    <t xml:space="preserve">Urbanstack Co</t>
  </si>
  <si>
    <t xml:space="preserve">ACC-10733</t>
  </si>
  <si>
    <t xml:space="preserve">Silverpath Solutions</t>
  </si>
  <si>
    <t xml:space="preserve">ACC-10939</t>
  </si>
  <si>
    <t xml:space="preserve">Pixellabs Ltd</t>
  </si>
  <si>
    <t xml:space="preserve">ACC-11993</t>
  </si>
  <si>
    <t xml:space="preserve">Peakgrid Solutions</t>
  </si>
  <si>
    <t xml:space="preserve">ACC-12145</t>
  </si>
  <si>
    <t xml:space="preserve">Corebase Group</t>
  </si>
  <si>
    <t xml:space="preserve">ACC-12515</t>
  </si>
  <si>
    <t xml:space="preserve">Urbancraft Ltd</t>
  </si>
  <si>
    <t xml:space="preserve">ACC-12557</t>
  </si>
  <si>
    <t xml:space="preserve">Brightly Group</t>
  </si>
  <si>
    <t xml:space="preserve">ACC-10039</t>
  </si>
  <si>
    <t xml:space="preserve">Swiftcraft Solutions</t>
  </si>
  <si>
    <t xml:space="preserve">ACC-10095</t>
  </si>
  <si>
    <t xml:space="preserve">Lumenstack Technologies</t>
  </si>
  <si>
    <t xml:space="preserve">ACC-10144</t>
  </si>
  <si>
    <t xml:space="preserve">Clearlogic Solutions</t>
  </si>
  <si>
    <t xml:space="preserve">ACC-10420</t>
  </si>
  <si>
    <t xml:space="preserve">Lumenworks Co</t>
  </si>
  <si>
    <t xml:space="preserve">ACC-10425</t>
  </si>
  <si>
    <t xml:space="preserve">Orbitpath Co</t>
  </si>
  <si>
    <t xml:space="preserve">ACC-10591</t>
  </si>
  <si>
    <t xml:space="preserve">Primenest Inc</t>
  </si>
  <si>
    <t xml:space="preserve">ACC-10595</t>
  </si>
  <si>
    <t xml:space="preserve">Novapath Systems</t>
  </si>
  <si>
    <t xml:space="preserve">ACC-10621</t>
  </si>
  <si>
    <t xml:space="preserve">Orbitpoint Inc</t>
  </si>
  <si>
    <t xml:space="preserve">ACC-10700</t>
  </si>
  <si>
    <t xml:space="preserve">Silverworks Co</t>
  </si>
  <si>
    <t xml:space="preserve">ACC-10905</t>
  </si>
  <si>
    <t xml:space="preserve">Lumengrid Solutions</t>
  </si>
  <si>
    <t xml:space="preserve">ACC-10949</t>
  </si>
  <si>
    <t xml:space="preserve">Boldforge Solutions</t>
  </si>
  <si>
    <t xml:space="preserve">ACC-11351</t>
  </si>
  <si>
    <t xml:space="preserve">Bluelogic Inc</t>
  </si>
  <si>
    <t xml:space="preserve">ACC-11815</t>
  </si>
  <si>
    <t xml:space="preserve">Primeworks Co</t>
  </si>
  <si>
    <t xml:space="preserve">ACC-11974</t>
  </si>
  <si>
    <t xml:space="preserve">Pixelbridge LLC</t>
  </si>
  <si>
    <t xml:space="preserve">ACC-12024</t>
  </si>
  <si>
    <t xml:space="preserve">Peakpoint Ltd</t>
  </si>
  <si>
    <t xml:space="preserve">ACC-10268</t>
  </si>
  <si>
    <t xml:space="preserve">Boldnest Technologies</t>
  </si>
  <si>
    <t xml:space="preserve">ACC-10750</t>
  </si>
  <si>
    <t xml:space="preserve">Corely Technologies</t>
  </si>
  <si>
    <t xml:space="preserve">ACC-11183</t>
  </si>
  <si>
    <t xml:space="preserve">Lumencraft Systems</t>
  </si>
  <si>
    <t xml:space="preserve">ACC-11270</t>
  </si>
  <si>
    <t xml:space="preserve">Truepoint Co</t>
  </si>
  <si>
    <t xml:space="preserve">ACC-11285</t>
  </si>
  <si>
    <t xml:space="preserve">Clearlogic Ltd</t>
  </si>
  <si>
    <t xml:space="preserve">ACC-11916</t>
  </si>
  <si>
    <t xml:space="preserve">Silvermind Technologies</t>
  </si>
  <si>
    <t xml:space="preserve">ACC-12569</t>
  </si>
  <si>
    <t xml:space="preserve">Orbitscale Inc</t>
  </si>
  <si>
    <t xml:space="preserve">ACC-10105</t>
  </si>
  <si>
    <t xml:space="preserve">Atlassphere LLC</t>
  </si>
  <si>
    <t xml:space="preserve">ACC-10280</t>
  </si>
  <si>
    <t xml:space="preserve">Clearflow Inc</t>
  </si>
  <si>
    <t xml:space="preserve">ACC-11016</t>
  </si>
  <si>
    <t xml:space="preserve">Apexgrid Co</t>
  </si>
  <si>
    <t xml:space="preserve">ACC-11247</t>
  </si>
  <si>
    <t xml:space="preserve">Vertexpath Ltd</t>
  </si>
  <si>
    <t xml:space="preserve">ACC-11349</t>
  </si>
  <si>
    <t xml:space="preserve">Atlasline Inc</t>
  </si>
  <si>
    <t xml:space="preserve">ACC-11439</t>
  </si>
  <si>
    <t xml:space="preserve">Greenpoint LLC</t>
  </si>
  <si>
    <t xml:space="preserve">ACC-11597</t>
  </si>
  <si>
    <t xml:space="preserve">Vertexscale Systems</t>
  </si>
  <si>
    <t xml:space="preserve">ACC-11937</t>
  </si>
  <si>
    <t xml:space="preserve">Corebridge Ltd</t>
  </si>
  <si>
    <t xml:space="preserve">ACC-12188</t>
  </si>
  <si>
    <t xml:space="preserve">Boldline Group</t>
  </si>
  <si>
    <t xml:space="preserve">ACC-12472</t>
  </si>
  <si>
    <t xml:space="preserve">Novalogic Inc</t>
  </si>
  <si>
    <t xml:space="preserve">ACC-12599</t>
  </si>
  <si>
    <t xml:space="preserve">Brightwave LLC</t>
  </si>
  <si>
    <t xml:space="preserve">ACC-10006</t>
  </si>
  <si>
    <t xml:space="preserve">Novaflow Group</t>
  </si>
  <si>
    <t xml:space="preserve">ACC-10083</t>
  </si>
  <si>
    <t xml:space="preserve">Novabridge Technologies</t>
  </si>
  <si>
    <t xml:space="preserve">ACC-10225</t>
  </si>
  <si>
    <t xml:space="preserve">Lumenworks Systems</t>
  </si>
  <si>
    <t xml:space="preserve">ACC-10611</t>
  </si>
  <si>
    <t xml:space="preserve">Primepath Solutions</t>
  </si>
  <si>
    <t xml:space="preserve">ACC-10766</t>
  </si>
  <si>
    <t xml:space="preserve">Bluely Group</t>
  </si>
  <si>
    <t xml:space="preserve">ACC-10801</t>
  </si>
  <si>
    <t xml:space="preserve">Bluelabs Technologies</t>
  </si>
  <si>
    <t xml:space="preserve">ACC-11104</t>
  </si>
  <si>
    <t xml:space="preserve">Pixelcraft Solutions</t>
  </si>
  <si>
    <t xml:space="preserve">ACC-11457</t>
  </si>
  <si>
    <t xml:space="preserve">Peakcraft Inc</t>
  </si>
  <si>
    <t xml:space="preserve">ACC-11485</t>
  </si>
  <si>
    <t xml:space="preserve">Boldmind Inc</t>
  </si>
  <si>
    <t xml:space="preserve">ACC-11506</t>
  </si>
  <si>
    <t xml:space="preserve">Corepath Co</t>
  </si>
  <si>
    <t xml:space="preserve">ACC-11757</t>
  </si>
  <si>
    <t xml:space="preserve">Greenhub Co</t>
  </si>
  <si>
    <t xml:space="preserve">ACC-12157</t>
  </si>
  <si>
    <t xml:space="preserve">Orbitsphere Co</t>
  </si>
  <si>
    <t xml:space="preserve">ACC-10092</t>
  </si>
  <si>
    <t xml:space="preserve">Novaforge Systems</t>
  </si>
  <si>
    <t xml:space="preserve">Starter</t>
  </si>
  <si>
    <t xml:space="preserve">ACC-10005</t>
  </si>
  <si>
    <t xml:space="preserve">Northsphere Technologies</t>
  </si>
  <si>
    <t xml:space="preserve">ACC-10111</t>
  </si>
  <si>
    <t xml:space="preserve">Novalabs Technologies</t>
  </si>
  <si>
    <t xml:space="preserve">ACC-10509</t>
  </si>
  <si>
    <t xml:space="preserve">Peakcraft Co</t>
  </si>
  <si>
    <t xml:space="preserve">ACC-10564</t>
  </si>
  <si>
    <t xml:space="preserve">Primebase Systems</t>
  </si>
  <si>
    <t xml:space="preserve">ACC-10654</t>
  </si>
  <si>
    <t xml:space="preserve">Pixelpath Solutions</t>
  </si>
  <si>
    <t xml:space="preserve">ACC-10820</t>
  </si>
  <si>
    <t xml:space="preserve">Pixelbridge Technologies</t>
  </si>
  <si>
    <t xml:space="preserve">ACC-11049</t>
  </si>
  <si>
    <t xml:space="preserve">Northbase Inc</t>
  </si>
  <si>
    <t xml:space="preserve">ACC-11260</t>
  </si>
  <si>
    <t xml:space="preserve">Bluepath Co</t>
  </si>
  <si>
    <t xml:space="preserve">ACC-11486</t>
  </si>
  <si>
    <t xml:space="preserve">Blueworks Group</t>
  </si>
  <si>
    <t xml:space="preserve">ACC-11497</t>
  </si>
  <si>
    <t xml:space="preserve">Northforge Technologies</t>
  </si>
  <si>
    <t xml:space="preserve">ACC-11521</t>
  </si>
  <si>
    <t xml:space="preserve">Orbitflow Co</t>
  </si>
  <si>
    <t xml:space="preserve">ACC-11728</t>
  </si>
  <si>
    <t xml:space="preserve">Peakhub LLC</t>
  </si>
  <si>
    <t xml:space="preserve">ACC-11761</t>
  </si>
  <si>
    <t xml:space="preserve">Primeflow LLC</t>
  </si>
  <si>
    <t xml:space="preserve">ACC-11893</t>
  </si>
  <si>
    <t xml:space="preserve">Swiftline Group</t>
  </si>
  <si>
    <t xml:space="preserve">ACC-12046</t>
  </si>
  <si>
    <t xml:space="preserve">Orbitmind LLC</t>
  </si>
  <si>
    <t xml:space="preserve">ACC-12086</t>
  </si>
  <si>
    <t xml:space="preserve">Primeline Ltd</t>
  </si>
  <si>
    <t xml:space="preserve">ACC-12174</t>
  </si>
  <si>
    <t xml:space="preserve">Northflow Technologies</t>
  </si>
  <si>
    <t xml:space="preserve">ACC-12474</t>
  </si>
  <si>
    <t xml:space="preserve">Pixelbase Group</t>
  </si>
  <si>
    <t xml:space="preserve">ACC-12521</t>
  </si>
  <si>
    <t xml:space="preserve">Lumensphere Group</t>
  </si>
  <si>
    <t xml:space="preserve">ACC-10366</t>
  </si>
  <si>
    <t xml:space="preserve">Urbanline Technologies</t>
  </si>
  <si>
    <t xml:space="preserve">ACC-10783</t>
  </si>
  <si>
    <t xml:space="preserve">Northbridge Ltd</t>
  </si>
  <si>
    <t xml:space="preserve">ACC-11074</t>
  </si>
  <si>
    <t xml:space="preserve">Boldbase Group</t>
  </si>
  <si>
    <t xml:space="preserve">ACC-11166</t>
  </si>
  <si>
    <t xml:space="preserve">Northnest Co</t>
  </si>
  <si>
    <t xml:space="preserve">ACC-11528</t>
  </si>
  <si>
    <t xml:space="preserve">Atlasflow Systems</t>
  </si>
  <si>
    <t xml:space="preserve">ACC-11701</t>
  </si>
  <si>
    <t xml:space="preserve">Corenest Group</t>
  </si>
  <si>
    <t xml:space="preserve">ACC-11905</t>
  </si>
  <si>
    <t xml:space="preserve">Urbancraft Co</t>
  </si>
  <si>
    <t xml:space="preserve">ACC-11964</t>
  </si>
  <si>
    <t xml:space="preserve">Urbannest LLC</t>
  </si>
  <si>
    <t xml:space="preserve">ACC-11996</t>
  </si>
  <si>
    <t xml:space="preserve">Truely Co</t>
  </si>
  <si>
    <t xml:space="preserve">ACC-12310</t>
  </si>
  <si>
    <t xml:space="preserve">Clearpoint Inc</t>
  </si>
  <si>
    <t xml:space="preserve">ACC-12598</t>
  </si>
  <si>
    <t xml:space="preserve">Novapath Co</t>
  </si>
  <si>
    <t xml:space="preserve">ACC-10116</t>
  </si>
  <si>
    <t xml:space="preserve">Clearpoint LLC</t>
  </si>
  <si>
    <t xml:space="preserve">ACC-10272</t>
  </si>
  <si>
    <t xml:space="preserve">Greenflow Ltd</t>
  </si>
  <si>
    <t xml:space="preserve">ACC-10336</t>
  </si>
  <si>
    <t xml:space="preserve">Boldpoint Ltd</t>
  </si>
  <si>
    <t xml:space="preserve">ACC-10604</t>
  </si>
  <si>
    <t xml:space="preserve">Urbanwave Solutions</t>
  </si>
  <si>
    <t xml:space="preserve">ACC-10726</t>
  </si>
  <si>
    <t xml:space="preserve">Northmind Solutions</t>
  </si>
  <si>
    <t xml:space="preserve">ACC-10929</t>
  </si>
  <si>
    <t xml:space="preserve">Truestack Inc</t>
  </si>
  <si>
    <t xml:space="preserve">ACC-10974</t>
  </si>
  <si>
    <t xml:space="preserve">Northworks Technologies</t>
  </si>
  <si>
    <t xml:space="preserve">ACC-11444</t>
  </si>
  <si>
    <t xml:space="preserve">Vertexpoint LLC</t>
  </si>
  <si>
    <t xml:space="preserve">ACC-11748</t>
  </si>
  <si>
    <t xml:space="preserve">Pixelforge Co</t>
  </si>
  <si>
    <t xml:space="preserve">ACC-11961</t>
  </si>
  <si>
    <t xml:space="preserve">Truelogic Co</t>
  </si>
  <si>
    <t xml:space="preserve">ACC-11980</t>
  </si>
  <si>
    <t xml:space="preserve">Vertexbridge Inc</t>
  </si>
  <si>
    <t xml:space="preserve">ACC-12074</t>
  </si>
  <si>
    <t xml:space="preserve">Peakmind Inc</t>
  </si>
  <si>
    <t xml:space="preserve">ACC-12098</t>
  </si>
  <si>
    <t xml:space="preserve">Silverforge Group</t>
  </si>
  <si>
    <t xml:space="preserve">ACC-12141</t>
  </si>
  <si>
    <t xml:space="preserve">Corepath Systems</t>
  </si>
  <si>
    <t xml:space="preserve">ACC-12147</t>
  </si>
  <si>
    <t xml:space="preserve">Boldlabs Co</t>
  </si>
  <si>
    <t xml:space="preserve">ACC-10594</t>
  </si>
  <si>
    <t xml:space="preserve">Boldworks Co</t>
  </si>
  <si>
    <t xml:space="preserve">ACC-10608</t>
  </si>
  <si>
    <t xml:space="preserve">Orbitly Group</t>
  </si>
  <si>
    <t xml:space="preserve">ACC-10848</t>
  </si>
  <si>
    <t xml:space="preserve">Atlasworks Technologies</t>
  </si>
  <si>
    <t xml:space="preserve">ACC-10947</t>
  </si>
  <si>
    <t xml:space="preserve">Truelabs Systems</t>
  </si>
  <si>
    <t xml:space="preserve">ACC-11243</t>
  </si>
  <si>
    <t xml:space="preserve">Primehub Solutions</t>
  </si>
  <si>
    <t xml:space="preserve">ACC-11316</t>
  </si>
  <si>
    <t xml:space="preserve">Clearforge Co</t>
  </si>
  <si>
    <t xml:space="preserve">ACC-11390</t>
  </si>
  <si>
    <t xml:space="preserve">Greenlogic Group</t>
  </si>
  <si>
    <t xml:space="preserve">ACC-11519</t>
  </si>
  <si>
    <t xml:space="preserve">Apexgrid Technologies</t>
  </si>
  <si>
    <t xml:space="preserve">ACC-12060</t>
  </si>
  <si>
    <t xml:space="preserve">Greenbridge Solutions</t>
  </si>
  <si>
    <t xml:space="preserve">ACC-12181</t>
  </si>
  <si>
    <t xml:space="preserve">Clearnest Solutions</t>
  </si>
  <si>
    <t xml:space="preserve">ACC-12239</t>
  </si>
  <si>
    <t xml:space="preserve">Atlaspath Group</t>
  </si>
  <si>
    <t xml:space="preserve">ACC-12348</t>
  </si>
  <si>
    <t xml:space="preserve">Orbitflow LLC</t>
  </si>
  <si>
    <t xml:space="preserve">ACC-12421</t>
  </si>
  <si>
    <t xml:space="preserve">Greennest LLC</t>
  </si>
  <si>
    <t xml:space="preserve">ACC-12574</t>
  </si>
  <si>
    <t xml:space="preserve">Silvercraft Co</t>
  </si>
  <si>
    <t xml:space="preserve">ACC-11895</t>
  </si>
  <si>
    <t xml:space="preserve">Clearstack Group</t>
  </si>
  <si>
    <t xml:space="preserve">ACC-12135</t>
  </si>
  <si>
    <t xml:space="preserve">Vertexhub Technologies</t>
  </si>
  <si>
    <t xml:space="preserve">ACC-12236</t>
  </si>
  <si>
    <t xml:space="preserve">Clearsphere LLC</t>
  </si>
  <si>
    <t xml:space="preserve">ACC-10060</t>
  </si>
  <si>
    <t xml:space="preserve">Bluewave Systems</t>
  </si>
  <si>
    <t xml:space="preserve">ACC-10161</t>
  </si>
  <si>
    <t xml:space="preserve">Brighthub LLC</t>
  </si>
  <si>
    <t xml:space="preserve">ACC-10639</t>
  </si>
  <si>
    <t xml:space="preserve">Primebase Technologies</t>
  </si>
  <si>
    <t xml:space="preserve">ACC-10792</t>
  </si>
  <si>
    <t xml:space="preserve">Truebridge LLC</t>
  </si>
  <si>
    <t xml:space="preserve">ACC-10799</t>
  </si>
  <si>
    <t xml:space="preserve">Clearcraft Technologies</t>
  </si>
  <si>
    <t xml:space="preserve">ACC-11131</t>
  </si>
  <si>
    <t xml:space="preserve">Corewave Co</t>
  </si>
  <si>
    <t xml:space="preserve">ACC-11648</t>
  </si>
  <si>
    <t xml:space="preserve">Vertexlogic Technologies</t>
  </si>
  <si>
    <t xml:space="preserve">ACC-11950</t>
  </si>
  <si>
    <t xml:space="preserve">Urbanbridge LLC</t>
  </si>
  <si>
    <t xml:space="preserve">ACC-12206</t>
  </si>
  <si>
    <t xml:space="preserve">Greenscale Technologies</t>
  </si>
  <si>
    <t xml:space="preserve">ACC-12476</t>
  </si>
  <si>
    <t xml:space="preserve">Lumengrid Technologies</t>
  </si>
  <si>
    <t xml:space="preserve">ACC-10192</t>
  </si>
  <si>
    <t xml:space="preserve">Atlasscale LLC</t>
  </si>
  <si>
    <t xml:space="preserve">ACC-10240</t>
  </si>
  <si>
    <t xml:space="preserve">Boldpoint Solutions</t>
  </si>
  <si>
    <t xml:space="preserve">ACC-11113</t>
  </si>
  <si>
    <t xml:space="preserve">Orbitly Co</t>
  </si>
  <si>
    <t xml:space="preserve">ACC-11174</t>
  </si>
  <si>
    <t xml:space="preserve">Pixelstack Group</t>
  </si>
  <si>
    <t xml:space="preserve">ACC-11633</t>
  </si>
  <si>
    <t xml:space="preserve">Northhub Group</t>
  </si>
  <si>
    <t xml:space="preserve">ACC-12028</t>
  </si>
  <si>
    <t xml:space="preserve">Lumenly Ltd</t>
  </si>
  <si>
    <t xml:space="preserve">ACC-12197</t>
  </si>
  <si>
    <t xml:space="preserve">Atlasbridge Co</t>
  </si>
  <si>
    <t xml:space="preserve">ACC-12397</t>
  </si>
  <si>
    <t xml:space="preserve">Corely Ltd</t>
  </si>
  <si>
    <t xml:space="preserve">ACC-12451</t>
  </si>
  <si>
    <t xml:space="preserve">Urbanpath LLC</t>
  </si>
  <si>
    <t xml:space="preserve">ACC-12567</t>
  </si>
  <si>
    <t xml:space="preserve">Novawave Group</t>
  </si>
  <si>
    <t xml:space="preserve">ACC-12596</t>
  </si>
  <si>
    <t xml:space="preserve">Truely LLC</t>
  </si>
  <si>
    <t xml:space="preserve">ACC-10789</t>
  </si>
  <si>
    <t xml:space="preserve">Primewave Group</t>
  </si>
  <si>
    <t xml:space="preserve">ACC-11699</t>
  </si>
  <si>
    <t xml:space="preserve">Primeforge Technologies</t>
  </si>
  <si>
    <t xml:space="preserve">ACC-12587</t>
  </si>
  <si>
    <t xml:space="preserve">Atlasgrid Technologies</t>
  </si>
  <si>
    <t xml:space="preserve">ACC-10279</t>
  </si>
  <si>
    <t xml:space="preserve">Swifthub LLC</t>
  </si>
  <si>
    <t xml:space="preserve">ACC-11177</t>
  </si>
  <si>
    <t xml:space="preserve">Greensphere Technologies</t>
  </si>
  <si>
    <t xml:space="preserve">ACC-11638</t>
  </si>
  <si>
    <t xml:space="preserve">Northwave Group</t>
  </si>
  <si>
    <t xml:space="preserve">ACC-11814</t>
  </si>
  <si>
    <t xml:space="preserve">Apexlogic Co</t>
  </si>
  <si>
    <t xml:space="preserve">ACC-10282</t>
  </si>
  <si>
    <t xml:space="preserve">Primebridge Inc</t>
  </si>
  <si>
    <t xml:space="preserve">ACC-10352</t>
  </si>
  <si>
    <t xml:space="preserve">Peakline LLC</t>
  </si>
  <si>
    <t xml:space="preserve">ACC-10487</t>
  </si>
  <si>
    <t xml:space="preserve">Lumennest Group</t>
  </si>
  <si>
    <t xml:space="preserve">ACC-10612</t>
  </si>
  <si>
    <t xml:space="preserve">Bluebridge Technologies</t>
  </si>
  <si>
    <t xml:space="preserve">ACC-11361</t>
  </si>
  <si>
    <t xml:space="preserve">Northpoint Systems</t>
  </si>
  <si>
    <t xml:space="preserve">ACC-11578</t>
  </si>
  <si>
    <t xml:space="preserve">Vertexflow Inc</t>
  </si>
  <si>
    <t xml:space="preserve">ACC-11794</t>
  </si>
  <si>
    <t xml:space="preserve">Urbanpoint Inc</t>
  </si>
  <si>
    <t xml:space="preserve">ACC-12021</t>
  </si>
  <si>
    <t xml:space="preserve">Swiftbridge LLC</t>
  </si>
  <si>
    <t xml:space="preserve">ACC-12173</t>
  </si>
  <si>
    <t xml:space="preserve">Coregrid Systems</t>
  </si>
  <si>
    <t xml:space="preserve">ACC-12458</t>
  </si>
  <si>
    <t xml:space="preserve">Trueforge Group</t>
  </si>
  <si>
    <t xml:space="preserve">ACC-12505</t>
  </si>
  <si>
    <t xml:space="preserve">Clearline Solutions</t>
  </si>
  <si>
    <t xml:space="preserve">ACC-12561</t>
  </si>
  <si>
    <t xml:space="preserve">Orbitline Co</t>
  </si>
  <si>
    <t xml:space="preserve">ACC-11062</t>
  </si>
  <si>
    <t xml:space="preserve">Truepath LLC</t>
  </si>
  <si>
    <t xml:space="preserve">ACC-11998</t>
  </si>
  <si>
    <t xml:space="preserve">Corelabs Systems</t>
  </si>
  <si>
    <t xml:space="preserve">ACC-10281</t>
  </si>
  <si>
    <t xml:space="preserve">Primeline Inc</t>
  </si>
  <si>
    <t xml:space="preserve">ACC-10763</t>
  </si>
  <si>
    <t xml:space="preserve">Orbitlabs Ltd</t>
  </si>
  <si>
    <t xml:space="preserve">ACC-11356</t>
  </si>
  <si>
    <t xml:space="preserve">Apexsphere Systems</t>
  </si>
  <si>
    <t xml:space="preserve">ACC-11595</t>
  </si>
  <si>
    <t xml:space="preserve">Apexscale Technologies</t>
  </si>
  <si>
    <t xml:space="preserve">ACC-11609</t>
  </si>
  <si>
    <t xml:space="preserve">Boldsphere Co</t>
  </si>
  <si>
    <t xml:space="preserve">ACC-11753</t>
  </si>
  <si>
    <t xml:space="preserve">Novanest Systems</t>
  </si>
  <si>
    <t xml:space="preserve">ACC-10245</t>
  </si>
  <si>
    <t xml:space="preserve">Brightlogic Co</t>
  </si>
  <si>
    <t xml:space="preserve">ACC-10682</t>
  </si>
  <si>
    <t xml:space="preserve">Lumennest Systems</t>
  </si>
  <si>
    <t xml:space="preserve">ACC-10942</t>
  </si>
  <si>
    <t xml:space="preserve">Boldline LLC</t>
  </si>
  <si>
    <t xml:space="preserve">ACC-10982</t>
  </si>
  <si>
    <t xml:space="preserve">Bluebase Group</t>
  </si>
  <si>
    <t xml:space="preserve">ACC-11014</t>
  </si>
  <si>
    <t xml:space="preserve">Coregrid Ltd</t>
  </si>
  <si>
    <t xml:space="preserve">ACC-11172</t>
  </si>
  <si>
    <t xml:space="preserve">Novamind Inc</t>
  </si>
  <si>
    <t xml:space="preserve">ACC-11303</t>
  </si>
  <si>
    <t xml:space="preserve">Swiftcraft Technologies</t>
  </si>
  <si>
    <t xml:space="preserve">ACC-11489</t>
  </si>
  <si>
    <t xml:space="preserve">Pixelnest Systems</t>
  </si>
  <si>
    <t xml:space="preserve">ACC-11526</t>
  </si>
  <si>
    <t xml:space="preserve">Apexlogic Inc</t>
  </si>
  <si>
    <t xml:space="preserve">ACC-11909</t>
  </si>
  <si>
    <t xml:space="preserve">Clearpoint Co</t>
  </si>
  <si>
    <t xml:space="preserve">ACC-11997</t>
  </si>
  <si>
    <t xml:space="preserve">Urbanwave Systems</t>
  </si>
  <si>
    <t xml:space="preserve">ACC-10247</t>
  </si>
  <si>
    <t xml:space="preserve">Brightsphere LLC</t>
  </si>
  <si>
    <t xml:space="preserve">ACC-11585</t>
  </si>
  <si>
    <t xml:space="preserve">Primeworks Solutions</t>
  </si>
  <si>
    <t xml:space="preserve">ACC-10839</t>
  </si>
  <si>
    <t xml:space="preserve">Brightbridge LLC</t>
  </si>
  <si>
    <t xml:space="preserve">ACC-11169</t>
  </si>
  <si>
    <t xml:space="preserve">Orbitpoint Ltd</t>
  </si>
  <si>
    <t xml:space="preserve">ACC-11602</t>
  </si>
  <si>
    <t xml:space="preserve">Peaklogic Co</t>
  </si>
  <si>
    <t xml:space="preserve">ACC-11878</t>
  </si>
  <si>
    <t xml:space="preserve">Corehub Inc</t>
  </si>
  <si>
    <t xml:space="preserve">ACC-10066</t>
  </si>
  <si>
    <t xml:space="preserve">Northline Co</t>
  </si>
  <si>
    <t xml:space="preserve">ACC-10483</t>
  </si>
  <si>
    <t xml:space="preserve">Truecraft Solutions</t>
  </si>
  <si>
    <t xml:space="preserve">ACC-10720</t>
  </si>
  <si>
    <t xml:space="preserve">Primeline Technologies</t>
  </si>
  <si>
    <t xml:space="preserve">ACC-10767</t>
  </si>
  <si>
    <t xml:space="preserve">Brightflow Co</t>
  </si>
  <si>
    <t xml:space="preserve">ACC-10805</t>
  </si>
  <si>
    <t xml:space="preserve">Boldmind Group</t>
  </si>
  <si>
    <t xml:space="preserve">ACC-11037</t>
  </si>
  <si>
    <t xml:space="preserve">Lumennest Inc</t>
  </si>
  <si>
    <t xml:space="preserve">ACC-11825</t>
  </si>
  <si>
    <t xml:space="preserve">Northstack LLC</t>
  </si>
  <si>
    <t xml:space="preserve">ACC-11881</t>
  </si>
  <si>
    <t xml:space="preserve">Atlasforge Ltd</t>
  </si>
  <si>
    <t xml:space="preserve">ACC-12266</t>
  </si>
  <si>
    <t xml:space="preserve">Apexly Inc</t>
  </si>
  <si>
    <t xml:space="preserve">ACC-12314</t>
  </si>
  <si>
    <t xml:space="preserve">Coreworks LLC</t>
  </si>
  <si>
    <t xml:space="preserve">ACC-12345</t>
  </si>
  <si>
    <t xml:space="preserve">Blueflow Ltd</t>
  </si>
  <si>
    <t xml:space="preserve">ACC-12390</t>
  </si>
  <si>
    <t xml:space="preserve">Truely Solutions</t>
  </si>
  <si>
    <t xml:space="preserve">ACC-12410</t>
  </si>
  <si>
    <t xml:space="preserve">Greenlabs Co</t>
  </si>
  <si>
    <t xml:space="preserve">ACC-10464</t>
  </si>
  <si>
    <t xml:space="preserve">Clearlogic Group</t>
  </si>
  <si>
    <t xml:space="preserve">ACC-11299</t>
  </si>
  <si>
    <t xml:space="preserve">Pixelpoint Solutions</t>
  </si>
  <si>
    <t xml:space="preserve">ACC-11537</t>
  </si>
  <si>
    <t xml:space="preserve">Corescale Systems</t>
  </si>
  <si>
    <t xml:space="preserve">ACC-10193</t>
  </si>
  <si>
    <t xml:space="preserve">Corebridge Systems</t>
  </si>
  <si>
    <t xml:space="preserve">ACC-10876</t>
  </si>
  <si>
    <t xml:space="preserve">Silverwave Solutions</t>
  </si>
  <si>
    <t xml:space="preserve">ACC-11036</t>
  </si>
  <si>
    <t xml:space="preserve">Vertexbridge Co</t>
  </si>
  <si>
    <t xml:space="preserve">ACC-12078</t>
  </si>
  <si>
    <t xml:space="preserve">Silverhub LLC</t>
  </si>
  <si>
    <t xml:space="preserve">ACC-12105</t>
  </si>
  <si>
    <t xml:space="preserve">Greennest Inc</t>
  </si>
  <si>
    <t xml:space="preserve">ACC-12250</t>
  </si>
  <si>
    <t xml:space="preserve">Greenstack Co</t>
  </si>
  <si>
    <t xml:space="preserve">ACC-10205</t>
  </si>
  <si>
    <t xml:space="preserve">Swiftline Systems</t>
  </si>
  <si>
    <t xml:space="preserve">ACC-10310</t>
  </si>
  <si>
    <t xml:space="preserve">Apexnest LLC</t>
  </si>
  <si>
    <t xml:space="preserve">ACC-10879</t>
  </si>
  <si>
    <t xml:space="preserve">Pixelline Inc</t>
  </si>
  <si>
    <t xml:space="preserve">ACC-11441</t>
  </si>
  <si>
    <t xml:space="preserve">Primesphere Technologies</t>
  </si>
  <si>
    <t xml:space="preserve">ACC-11667</t>
  </si>
  <si>
    <t xml:space="preserve">Primewave Ltd</t>
  </si>
  <si>
    <t xml:space="preserve">ACC-10391</t>
  </si>
  <si>
    <t xml:space="preserve">Orbitbase Systems</t>
  </si>
  <si>
    <t xml:space="preserve">ACC-10851</t>
  </si>
  <si>
    <t xml:space="preserve">Orbitgrid Co</t>
  </si>
  <si>
    <t xml:space="preserve">ACC-11201</t>
  </si>
  <si>
    <t xml:space="preserve">Corescale Group</t>
  </si>
  <si>
    <t xml:space="preserve">ACC-11466</t>
  </si>
  <si>
    <t xml:space="preserve">Swiftline Solutions</t>
  </si>
  <si>
    <t xml:space="preserve">ACC-12045</t>
  </si>
  <si>
    <t xml:space="preserve">Orbitbridge Systems</t>
  </si>
  <si>
    <t xml:space="preserve">ACC-12190</t>
  </si>
  <si>
    <t xml:space="preserve">Apexwave LLC</t>
  </si>
  <si>
    <t xml:space="preserve">ACC-12491</t>
  </si>
  <si>
    <t xml:space="preserve">Corepath Ltd</t>
  </si>
  <si>
    <t xml:space="preserve">ACC-12545</t>
  </si>
  <si>
    <t xml:space="preserve">Swiftsphere Systems</t>
  </si>
  <si>
    <t xml:space="preserve">ACC-10028</t>
  </si>
  <si>
    <t xml:space="preserve">Blueflow Co</t>
  </si>
  <si>
    <t xml:space="preserve">ACC-10446</t>
  </si>
  <si>
    <t xml:space="preserve">Lumenwave LLC</t>
  </si>
  <si>
    <t xml:space="preserve">ACC-10544</t>
  </si>
  <si>
    <t xml:space="preserve">Novawave Technologies</t>
  </si>
  <si>
    <t xml:space="preserve">ACC-11335</t>
  </si>
  <si>
    <t xml:space="preserve">Atlascraft Systems</t>
  </si>
  <si>
    <t xml:space="preserve">ACC-11552</t>
  </si>
  <si>
    <t xml:space="preserve">Lumenflow Ltd</t>
  </si>
  <si>
    <t xml:space="preserve">ACC-12355</t>
  </si>
  <si>
    <t xml:space="preserve">Corehub Systems</t>
  </si>
  <si>
    <t xml:space="preserve">ACC-10038</t>
  </si>
  <si>
    <t xml:space="preserve">Swiftcraft Systems</t>
  </si>
  <si>
    <t xml:space="preserve">ACC-10183</t>
  </si>
  <si>
    <t xml:space="preserve">Lumensphere LLC</t>
  </si>
  <si>
    <t xml:space="preserve">ACC-10199</t>
  </si>
  <si>
    <t xml:space="preserve">Greennest Ltd</t>
  </si>
  <si>
    <t xml:space="preserve">ACC-10424</t>
  </si>
  <si>
    <t xml:space="preserve">Trueforge Inc</t>
  </si>
  <si>
    <t xml:space="preserve">ACC-10554</t>
  </si>
  <si>
    <t xml:space="preserve">Peakgrid Systems</t>
  </si>
  <si>
    <t xml:space="preserve">ACC-10571</t>
  </si>
  <si>
    <t xml:space="preserve">Apexworks Solutions</t>
  </si>
  <si>
    <t xml:space="preserve">ACC-10747</t>
  </si>
  <si>
    <t xml:space="preserve">Swiftlogic Group</t>
  </si>
  <si>
    <t xml:space="preserve">ACC-10831</t>
  </si>
  <si>
    <t xml:space="preserve">Atlasworks Ltd</t>
  </si>
  <si>
    <t xml:space="preserve">ACC-11240</t>
  </si>
  <si>
    <t xml:space="preserve">Urbanlabs Technologies</t>
  </si>
  <si>
    <t xml:space="preserve">ACC-11263</t>
  </si>
  <si>
    <t xml:space="preserve">Apexflow LLC</t>
  </si>
  <si>
    <t xml:space="preserve">ACC-11553</t>
  </si>
  <si>
    <t xml:space="preserve">Apexly Systems</t>
  </si>
  <si>
    <t xml:space="preserve">ACC-11557</t>
  </si>
  <si>
    <t xml:space="preserve">Peaklabs Solutions</t>
  </si>
  <si>
    <t xml:space="preserve">ACC-11590</t>
  </si>
  <si>
    <t xml:space="preserve">Orbitnest Group</t>
  </si>
  <si>
    <t xml:space="preserve">ACC-11956</t>
  </si>
  <si>
    <t xml:space="preserve">Primely Technologies</t>
  </si>
  <si>
    <t xml:space="preserve">ACC-12089</t>
  </si>
  <si>
    <t xml:space="preserve">Greenmind Co</t>
  </si>
  <si>
    <t xml:space="preserve">ACC-12294</t>
  </si>
  <si>
    <t xml:space="preserve">Northscale Technologies</t>
  </si>
  <si>
    <t xml:space="preserve">ACC-12497</t>
  </si>
  <si>
    <t xml:space="preserve">Truelabs Group</t>
  </si>
  <si>
    <t xml:space="preserve">ACC-12516</t>
  </si>
  <si>
    <t xml:space="preserve">Lumenbridge Inc</t>
  </si>
  <si>
    <t xml:space="preserve">ACC-11529</t>
  </si>
  <si>
    <t xml:space="preserve">Brightline Solutions</t>
  </si>
  <si>
    <t xml:space="preserve">ACC-11930</t>
  </si>
  <si>
    <t xml:space="preserve">Greenlabs Solutions</t>
  </si>
  <si>
    <t xml:space="preserve">ACC-12054</t>
  </si>
  <si>
    <t xml:space="preserve">Coreworks Systems</t>
  </si>
  <si>
    <t xml:space="preserve">ACC-10301</t>
  </si>
  <si>
    <t xml:space="preserve">Pixelwave Inc</t>
  </si>
  <si>
    <t xml:space="preserve">ACC-10447</t>
  </si>
  <si>
    <t xml:space="preserve">Bluebase LLC</t>
  </si>
  <si>
    <t xml:space="preserve">ACC-11360</t>
  </si>
  <si>
    <t xml:space="preserve">Coreline Ltd</t>
  </si>
  <si>
    <t xml:space="preserve">ACC-11374</t>
  </si>
  <si>
    <t xml:space="preserve">Corelabs Inc</t>
  </si>
  <si>
    <t xml:space="preserve">ACC-11646</t>
  </si>
  <si>
    <t xml:space="preserve">Primely Co</t>
  </si>
  <si>
    <t xml:space="preserve">ACC-12380</t>
  </si>
  <si>
    <t xml:space="preserve">Blueworks Solutions</t>
  </si>
  <si>
    <t xml:space="preserve">ACC-10010</t>
  </si>
  <si>
    <t xml:space="preserve">Brightstack Solutions</t>
  </si>
  <si>
    <t xml:space="preserve">ACC-10478</t>
  </si>
  <si>
    <t xml:space="preserve">Brighthub Technologies</t>
  </si>
  <si>
    <t xml:space="preserve">ACC-10705</t>
  </si>
  <si>
    <t xml:space="preserve">Boldcraft Ltd</t>
  </si>
  <si>
    <t xml:space="preserve">ACC-11020</t>
  </si>
  <si>
    <t xml:space="preserve">Clearforge Group</t>
  </si>
  <si>
    <t xml:space="preserve">ACC-11101</t>
  </si>
  <si>
    <t xml:space="preserve">Lumencraft Inc</t>
  </si>
  <si>
    <t xml:space="preserve">ACC-11138</t>
  </si>
  <si>
    <t xml:space="preserve">Novanest Inc</t>
  </si>
  <si>
    <t xml:space="preserve">ACC-11241</t>
  </si>
  <si>
    <t xml:space="preserve">Brightforge Solutions</t>
  </si>
  <si>
    <t xml:space="preserve">ACC-11773</t>
  </si>
  <si>
    <t xml:space="preserve">Apexbase Inc</t>
  </si>
  <si>
    <t xml:space="preserve">ACC-12015</t>
  </si>
  <si>
    <t xml:space="preserve">Pixelmind Group</t>
  </si>
  <si>
    <t xml:space="preserve">ACC-12295</t>
  </si>
  <si>
    <t xml:space="preserve">Apexstack Solutions</t>
  </si>
  <si>
    <t xml:space="preserve">ACC-10131</t>
  </si>
  <si>
    <t xml:space="preserve">Apexwave Inc</t>
  </si>
  <si>
    <t xml:space="preserve">ACC-10285</t>
  </si>
  <si>
    <t xml:space="preserve">Northcraft Group</t>
  </si>
  <si>
    <t xml:space="preserve">ACC-10549</t>
  </si>
  <si>
    <t xml:space="preserve">Peakstack Co</t>
  </si>
  <si>
    <t xml:space="preserve">ACC-10662</t>
  </si>
  <si>
    <t xml:space="preserve">Brightforge Ltd</t>
  </si>
  <si>
    <t xml:space="preserve">ACC-10681</t>
  </si>
  <si>
    <t xml:space="preserve">Boldlogic Group</t>
  </si>
  <si>
    <t xml:space="preserve">ACC-10768</t>
  </si>
  <si>
    <t xml:space="preserve">Silverforge Technologies</t>
  </si>
  <si>
    <t xml:space="preserve">ACC-10846</t>
  </si>
  <si>
    <t xml:space="preserve">Corewave Systems</t>
  </si>
  <si>
    <t xml:space="preserve">ACC-11094</t>
  </si>
  <si>
    <t xml:space="preserve">Pixelly Inc</t>
  </si>
  <si>
    <t xml:space="preserve">ACC-11281</t>
  </si>
  <si>
    <t xml:space="preserve">Truebase Inc</t>
  </si>
  <si>
    <t xml:space="preserve">ACC-11452</t>
  </si>
  <si>
    <t xml:space="preserve">Brightly Systems</t>
  </si>
  <si>
    <t xml:space="preserve">ACC-11487</t>
  </si>
  <si>
    <t xml:space="preserve">Clearflow Solutions</t>
  </si>
  <si>
    <t xml:space="preserve">ACC-11626</t>
  </si>
  <si>
    <t xml:space="preserve">Pixelwave Ltd</t>
  </si>
  <si>
    <t xml:space="preserve">ACC-11665</t>
  </si>
  <si>
    <t xml:space="preserve">Novagrid Systems</t>
  </si>
  <si>
    <t xml:space="preserve">ACC-11697</t>
  </si>
  <si>
    <t xml:space="preserve">Peakbridge Systems</t>
  </si>
  <si>
    <t xml:space="preserve">ACC-11848</t>
  </si>
  <si>
    <t xml:space="preserve">Novamind Group</t>
  </si>
  <si>
    <t xml:space="preserve">ACC-11978</t>
  </si>
  <si>
    <t xml:space="preserve">Pixelbridge Inc</t>
  </si>
  <si>
    <t xml:space="preserve">ACC-12027</t>
  </si>
  <si>
    <t xml:space="preserve">Primely Systems</t>
  </si>
  <si>
    <t xml:space="preserve">ACC-12092</t>
  </si>
  <si>
    <t xml:space="preserve">Novaly Technologies</t>
  </si>
  <si>
    <t xml:space="preserve">ACC-12115</t>
  </si>
  <si>
    <t xml:space="preserve">Greenstack Ltd</t>
  </si>
  <si>
    <t xml:space="preserve">ACC-12168</t>
  </si>
  <si>
    <t xml:space="preserve">Atlasnest Ltd</t>
  </si>
  <si>
    <t xml:space="preserve">ACC-12271</t>
  </si>
  <si>
    <t xml:space="preserve">Boldstack Ltd</t>
  </si>
  <si>
    <t xml:space="preserve">ACC-12272</t>
  </si>
  <si>
    <t xml:space="preserve">Northlogic Inc</t>
  </si>
  <si>
    <t xml:space="preserve">ACC-12341</t>
  </si>
  <si>
    <t xml:space="preserve">Apexnest Inc</t>
  </si>
  <si>
    <t xml:space="preserve">ACC-12595</t>
  </si>
  <si>
    <t xml:space="preserve">Northbase Ltd</t>
  </si>
  <si>
    <t xml:space="preserve">ACC-10009</t>
  </si>
  <si>
    <t xml:space="preserve">Northcraft Solutions</t>
  </si>
  <si>
    <t xml:space="preserve">ACC-10042</t>
  </si>
  <si>
    <t xml:space="preserve">Primelogic Ltd</t>
  </si>
  <si>
    <t xml:space="preserve">ACC-10046</t>
  </si>
  <si>
    <t xml:space="preserve">Bluewave LLC</t>
  </si>
  <si>
    <t xml:space="preserve">ACC-10098</t>
  </si>
  <si>
    <t xml:space="preserve">Novacraft Ltd</t>
  </si>
  <si>
    <t xml:space="preserve">ACC-10168</t>
  </si>
  <si>
    <t xml:space="preserve">Apexnest Ltd</t>
  </si>
  <si>
    <t xml:space="preserve">ACC-10326</t>
  </si>
  <si>
    <t xml:space="preserve">Vertexcraft Solutions</t>
  </si>
  <si>
    <t xml:space="preserve">ACC-10402</t>
  </si>
  <si>
    <t xml:space="preserve">Corepath Group</t>
  </si>
  <si>
    <t xml:space="preserve">ACC-10476</t>
  </si>
  <si>
    <t xml:space="preserve">Brightwave Systems</t>
  </si>
  <si>
    <t xml:space="preserve">ACC-10511</t>
  </si>
  <si>
    <t xml:space="preserve">Pixelnest Technologies</t>
  </si>
  <si>
    <t xml:space="preserve">ACC-10530</t>
  </si>
  <si>
    <t xml:space="preserve">Apexbase LLC</t>
  </si>
  <si>
    <t xml:space="preserve">ACC-10844</t>
  </si>
  <si>
    <t xml:space="preserve">Pixelscale Group</t>
  </si>
  <si>
    <t xml:space="preserve">ACC-10935</t>
  </si>
  <si>
    <t xml:space="preserve">Silverhub Systems</t>
  </si>
  <si>
    <t xml:space="preserve">ACC-10944</t>
  </si>
  <si>
    <t xml:space="preserve">Swiftworks Technologies</t>
  </si>
  <si>
    <t xml:space="preserve">ACC-10976</t>
  </si>
  <si>
    <t xml:space="preserve">Novahub Co</t>
  </si>
  <si>
    <t xml:space="preserve">ACC-11008</t>
  </si>
  <si>
    <t xml:space="preserve">Silverforge Ltd</t>
  </si>
  <si>
    <t xml:space="preserve">ACC-11047</t>
  </si>
  <si>
    <t xml:space="preserve">Primescale LLC</t>
  </si>
  <si>
    <t xml:space="preserve">ACC-11070</t>
  </si>
  <si>
    <t xml:space="preserve">Brightmind Group</t>
  </si>
  <si>
    <t xml:space="preserve">ACC-11346</t>
  </si>
  <si>
    <t xml:space="preserve">Novapoint Ltd</t>
  </si>
  <si>
    <t xml:space="preserve">ACC-11398</t>
  </si>
  <si>
    <t xml:space="preserve">Primecraft Ltd</t>
  </si>
  <si>
    <t xml:space="preserve">ACC-11416</t>
  </si>
  <si>
    <t xml:space="preserve">Peakpoint Systems</t>
  </si>
  <si>
    <t xml:space="preserve">ACC-11470</t>
  </si>
  <si>
    <t xml:space="preserve">Vertexlabs Ltd</t>
  </si>
  <si>
    <t xml:space="preserve">ACC-11656</t>
  </si>
  <si>
    <t xml:space="preserve">Orbitlogic Ltd</t>
  </si>
  <si>
    <t xml:space="preserve">ACC-11691</t>
  </si>
  <si>
    <t xml:space="preserve">Northmind Co</t>
  </si>
  <si>
    <t xml:space="preserve">ACC-12108</t>
  </si>
  <si>
    <t xml:space="preserve">Primebridge Systems</t>
  </si>
  <si>
    <t xml:space="preserve">ACC-12191</t>
  </si>
  <si>
    <t xml:space="preserve">Corebase LLC</t>
  </si>
  <si>
    <t xml:space="preserve">ACC-12240</t>
  </si>
  <si>
    <t xml:space="preserve">Northflow Systems</t>
  </si>
  <si>
    <t xml:space="preserve">ACC-10195</t>
  </si>
  <si>
    <t xml:space="preserve">Peakforge Inc</t>
  </si>
  <si>
    <t xml:space="preserve">ACC-10732</t>
  </si>
  <si>
    <t xml:space="preserve">Vertexcraft Group</t>
  </si>
  <si>
    <t xml:space="preserve">ACC-10858</t>
  </si>
  <si>
    <t xml:space="preserve">Pixelpath Ltd</t>
  </si>
  <si>
    <t xml:space="preserve">ACC-11792</t>
  </si>
  <si>
    <t xml:space="preserve">Bluegrid LLC</t>
  </si>
  <si>
    <t xml:space="preserve">ACC-11889</t>
  </si>
  <si>
    <t xml:space="preserve">Brightbase Co</t>
  </si>
  <si>
    <t xml:space="preserve">ACC-12371</t>
  </si>
  <si>
    <t xml:space="preserve">Lumenlabs LLC</t>
  </si>
  <si>
    <t xml:space="preserve">ACC-10075</t>
  </si>
  <si>
    <t xml:space="preserve">Novascale Co</t>
  </si>
  <si>
    <t xml:space="preserve">ACC-10167</t>
  </si>
  <si>
    <t xml:space="preserve">Apexflow Solutions</t>
  </si>
  <si>
    <t xml:space="preserve">ACC-10338</t>
  </si>
  <si>
    <t xml:space="preserve">Boldpoint Group</t>
  </si>
  <si>
    <t xml:space="preserve">ACC-10395</t>
  </si>
  <si>
    <t xml:space="preserve">Trueline Solutions</t>
  </si>
  <si>
    <t xml:space="preserve">ACC-10479</t>
  </si>
  <si>
    <t xml:space="preserve">Brightmind Inc</t>
  </si>
  <si>
    <t xml:space="preserve">ACC-10693</t>
  </si>
  <si>
    <t xml:space="preserve">Truestack Group</t>
  </si>
  <si>
    <t xml:space="preserve">ACC-10706</t>
  </si>
  <si>
    <t xml:space="preserve">Swiftpoint Inc</t>
  </si>
  <si>
    <t xml:space="preserve">ACC-10899</t>
  </si>
  <si>
    <t xml:space="preserve">Orbitbase Solutions</t>
  </si>
  <si>
    <t xml:space="preserve">ACC-11344</t>
  </si>
  <si>
    <t xml:space="preserve">Silverflow Solutions</t>
  </si>
  <si>
    <t xml:space="preserve">ACC-11423</t>
  </si>
  <si>
    <t xml:space="preserve">Bluestack Ltd</t>
  </si>
  <si>
    <t xml:space="preserve">ACC-11545</t>
  </si>
  <si>
    <t xml:space="preserve">Urbanflow Ltd</t>
  </si>
  <si>
    <t xml:space="preserve">ACC-11617</t>
  </si>
  <si>
    <t xml:space="preserve">Peakline Co</t>
  </si>
  <si>
    <t xml:space="preserve">ACC-11785</t>
  </si>
  <si>
    <t xml:space="preserve">Lumenbase Inc</t>
  </si>
  <si>
    <t xml:space="preserve">ACC-11885</t>
  </si>
  <si>
    <t xml:space="preserve">Primepoint Co</t>
  </si>
  <si>
    <t xml:space="preserve">ACC-11965</t>
  </si>
  <si>
    <t xml:space="preserve">Clearbase Technologies</t>
  </si>
  <si>
    <t xml:space="preserve">ACC-11982</t>
  </si>
  <si>
    <t xml:space="preserve">Apexline Inc</t>
  </si>
  <si>
    <t xml:space="preserve">ACC-12340</t>
  </si>
  <si>
    <t xml:space="preserve">Atlasmind Ltd</t>
  </si>
  <si>
    <t xml:space="preserve">ACC-12484</t>
  </si>
  <si>
    <t xml:space="preserve">Northly Systems</t>
  </si>
  <si>
    <t xml:space="preserve">ACC-10014</t>
  </si>
  <si>
    <t xml:space="preserve">Brightwave Solutions</t>
  </si>
  <si>
    <t xml:space="preserve">ACC-10229</t>
  </si>
  <si>
    <t xml:space="preserve">Vertexscale Ltd</t>
  </si>
  <si>
    <t xml:space="preserve">ACC-10257</t>
  </si>
  <si>
    <t xml:space="preserve">Truely Inc</t>
  </si>
  <si>
    <t xml:space="preserve">ACC-10574</t>
  </si>
  <si>
    <t xml:space="preserve">Peakworks Technologies</t>
  </si>
  <si>
    <t xml:space="preserve">ACC-10589</t>
  </si>
  <si>
    <t xml:space="preserve">Lumengrid Group</t>
  </si>
  <si>
    <t xml:space="preserve">ACC-10734</t>
  </si>
  <si>
    <t xml:space="preserve">Pixelpoint Systems</t>
  </si>
  <si>
    <t xml:space="preserve">ACC-10816</t>
  </si>
  <si>
    <t xml:space="preserve">Orbitcraft Inc</t>
  </si>
  <si>
    <t xml:space="preserve">ACC-10818</t>
  </si>
  <si>
    <t xml:space="preserve">Novaforge Technologies</t>
  </si>
  <si>
    <t xml:space="preserve">ACC-10921</t>
  </si>
  <si>
    <t xml:space="preserve">Novaworks Inc</t>
  </si>
  <si>
    <t xml:space="preserve">ACC-11290</t>
  </si>
  <si>
    <t xml:space="preserve">Apexsphere Technologies</t>
  </si>
  <si>
    <t xml:space="preserve">ACC-11319</t>
  </si>
  <si>
    <t xml:space="preserve">Clearwave Inc</t>
  </si>
  <si>
    <t xml:space="preserve">ACC-11674</t>
  </si>
  <si>
    <t xml:space="preserve">Atlassphere Systems</t>
  </si>
  <si>
    <t xml:space="preserve">ACC-11747</t>
  </si>
  <si>
    <t xml:space="preserve">Vertexforge Co</t>
  </si>
  <si>
    <t xml:space="preserve">ACC-11759</t>
  </si>
  <si>
    <t xml:space="preserve">Primebridge Solutions</t>
  </si>
  <si>
    <t xml:space="preserve">ACC-11976</t>
  </si>
  <si>
    <t xml:space="preserve">Truesphere Inc</t>
  </si>
  <si>
    <t xml:space="preserve">ACC-11984</t>
  </si>
  <si>
    <t xml:space="preserve">Clearstack Inc</t>
  </si>
  <si>
    <t xml:space="preserve">ACC-12185</t>
  </si>
  <si>
    <t xml:space="preserve">Apexsphere Co</t>
  </si>
  <si>
    <t xml:space="preserve">ACC-12279</t>
  </si>
  <si>
    <t xml:space="preserve">Vertexbase Technologies</t>
  </si>
  <si>
    <t xml:space="preserve">ACC-12302</t>
  </si>
  <si>
    <t xml:space="preserve">Brighthub Inc</t>
  </si>
  <si>
    <t xml:space="preserve">ACC-12349</t>
  </si>
  <si>
    <t xml:space="preserve">Urbannest Systems</t>
  </si>
  <si>
    <t xml:space="preserve">ACC-12357</t>
  </si>
  <si>
    <t xml:space="preserve">Orbitstack LLC</t>
  </si>
  <si>
    <t xml:space="preserve">ACC-12388</t>
  </si>
  <si>
    <t xml:space="preserve">Atlasforge Solutions</t>
  </si>
  <si>
    <t xml:space="preserve">ACC-12495</t>
  </si>
  <si>
    <t xml:space="preserve">Silverflow LLC</t>
  </si>
  <si>
    <t xml:space="preserve">ACC-12547</t>
  </si>
  <si>
    <t xml:space="preserve">Novabase Ltd</t>
  </si>
  <si>
    <t xml:space="preserve">ACC-10035</t>
  </si>
  <si>
    <t xml:space="preserve">Atlasstack Ltd</t>
  </si>
  <si>
    <t xml:space="preserve">ACC-10171</t>
  </si>
  <si>
    <t xml:space="preserve">Coreworks Ltd</t>
  </si>
  <si>
    <t xml:space="preserve">ACC-10620</t>
  </si>
  <si>
    <t xml:space="preserve">Brightgrid Technologies</t>
  </si>
  <si>
    <t xml:space="preserve">ACC-10686</t>
  </si>
  <si>
    <t xml:space="preserve">Corecraft Co</t>
  </si>
  <si>
    <t xml:space="preserve">ACC-11025</t>
  </si>
  <si>
    <t xml:space="preserve">Brightforge LLC</t>
  </si>
  <si>
    <t xml:space="preserve">ACC-11114</t>
  </si>
  <si>
    <t xml:space="preserve">Brightpoint Group</t>
  </si>
  <si>
    <t xml:space="preserve">ACC-11575</t>
  </si>
  <si>
    <t xml:space="preserve">Brightly Ltd</t>
  </si>
  <si>
    <t xml:space="preserve">ACC-11593</t>
  </si>
  <si>
    <t xml:space="preserve">Pixelbridge Systems</t>
  </si>
  <si>
    <t xml:space="preserve">ACC-11654</t>
  </si>
  <si>
    <t xml:space="preserve">Brightlabs Group</t>
  </si>
  <si>
    <t xml:space="preserve">ACC-11655</t>
  </si>
  <si>
    <t xml:space="preserve">Northbase Co</t>
  </si>
  <si>
    <t xml:space="preserve">ACC-11892</t>
  </si>
  <si>
    <t xml:space="preserve">Orbithub Group</t>
  </si>
  <si>
    <t xml:space="preserve">ACC-12068</t>
  </si>
  <si>
    <t xml:space="preserve">Swiftbridge Group</t>
  </si>
  <si>
    <t xml:space="preserve">ACC-12193</t>
  </si>
  <si>
    <t xml:space="preserve">Bluenest Group</t>
  </si>
  <si>
    <t xml:space="preserve">ACC-12550</t>
  </si>
  <si>
    <t xml:space="preserve">Truegrid Systems</t>
  </si>
  <si>
    <t xml:space="preserve">ACC-10091</t>
  </si>
  <si>
    <t xml:space="preserve">Trueflow Group</t>
  </si>
  <si>
    <t xml:space="preserve">ACC-10127</t>
  </si>
  <si>
    <t xml:space="preserve">Atlasforge Systems</t>
  </si>
  <si>
    <t xml:space="preserve">ACC-10296</t>
  </si>
  <si>
    <t xml:space="preserve">Primemind Co</t>
  </si>
  <si>
    <t xml:space="preserve">ACC-10309</t>
  </si>
  <si>
    <t xml:space="preserve">Primepath Systems</t>
  </si>
  <si>
    <t xml:space="preserve">ACC-10372</t>
  </si>
  <si>
    <t xml:space="preserve">Peakgrid Co</t>
  </si>
  <si>
    <t xml:space="preserve">ACC-10373</t>
  </si>
  <si>
    <t xml:space="preserve">Novagrid Group</t>
  </si>
  <si>
    <t xml:space="preserve">ACC-10381</t>
  </si>
  <si>
    <t xml:space="preserve">Orbitlabs Inc</t>
  </si>
  <si>
    <t xml:space="preserve">ACC-10584</t>
  </si>
  <si>
    <t xml:space="preserve">Urbanline Inc</t>
  </si>
  <si>
    <t xml:space="preserve">ACC-10592</t>
  </si>
  <si>
    <t xml:space="preserve">Primely Solutions</t>
  </si>
  <si>
    <t xml:space="preserve">ACC-10597</t>
  </si>
  <si>
    <t xml:space="preserve">Northworks LLC</t>
  </si>
  <si>
    <t xml:space="preserve">ACC-10616</t>
  </si>
  <si>
    <t xml:space="preserve">Boldscale Group</t>
  </si>
  <si>
    <t xml:space="preserve">ACC-10640</t>
  </si>
  <si>
    <t xml:space="preserve">Pixelwave LLC</t>
  </si>
  <si>
    <t xml:space="preserve">ACC-10867</t>
  </si>
  <si>
    <t xml:space="preserve">Orbitwave Technologies</t>
  </si>
  <si>
    <t xml:space="preserve">ACC-10869</t>
  </si>
  <si>
    <t xml:space="preserve">Atlasline Group</t>
  </si>
  <si>
    <t xml:space="preserve">ACC-11082</t>
  </si>
  <si>
    <t xml:space="preserve">Silverhub Ltd</t>
  </si>
  <si>
    <t xml:space="preserve">ACC-11086</t>
  </si>
  <si>
    <t xml:space="preserve">Peakbridge Co</t>
  </si>
  <si>
    <t xml:space="preserve">ACC-11128</t>
  </si>
  <si>
    <t xml:space="preserve">Vertexgrid Technologies</t>
  </si>
  <si>
    <t xml:space="preserve">ACC-11130</t>
  </si>
  <si>
    <t xml:space="preserve">Brightlabs Technologies</t>
  </si>
  <si>
    <t xml:space="preserve">ACC-11202</t>
  </si>
  <si>
    <t xml:space="preserve">Boldwave Group</t>
  </si>
  <si>
    <t xml:space="preserve">ACC-11266</t>
  </si>
  <si>
    <t xml:space="preserve">Boldstack Systems</t>
  </si>
  <si>
    <t xml:space="preserve">ACC-11291</t>
  </si>
  <si>
    <t xml:space="preserve">Silversphere Technologies</t>
  </si>
  <si>
    <t xml:space="preserve">ACC-11322</t>
  </si>
  <si>
    <t xml:space="preserve">Primepath Technologies</t>
  </si>
  <si>
    <t xml:space="preserve">ACC-11713</t>
  </si>
  <si>
    <t xml:space="preserve">Vertexflow LLC</t>
  </si>
  <si>
    <t xml:space="preserve">ACC-11807</t>
  </si>
  <si>
    <t xml:space="preserve">Corepath LLC</t>
  </si>
  <si>
    <t xml:space="preserve">ACC-11849</t>
  </si>
  <si>
    <t xml:space="preserve">Orbitflow Group</t>
  </si>
  <si>
    <t xml:space="preserve">ACC-11986</t>
  </si>
  <si>
    <t xml:space="preserve">Clearbase Inc</t>
  </si>
  <si>
    <t xml:space="preserve">ACC-12030</t>
  </si>
  <si>
    <t xml:space="preserve">Urbanlogic Systems</t>
  </si>
  <si>
    <t xml:space="preserve">ACC-12076</t>
  </si>
  <si>
    <t xml:space="preserve">Bluesphere Inc</t>
  </si>
  <si>
    <t xml:space="preserve">ACC-12274</t>
  </si>
  <si>
    <t xml:space="preserve">Peakhub Co</t>
  </si>
  <si>
    <t xml:space="preserve">ACC-12319</t>
  </si>
  <si>
    <t xml:space="preserve">Brightcraft Group</t>
  </si>
  <si>
    <t xml:space="preserve">ACC-12434</t>
  </si>
  <si>
    <t xml:space="preserve">Corepoint Technologies</t>
  </si>
  <si>
    <t xml:space="preserve">ACC-12509</t>
  </si>
  <si>
    <t xml:space="preserve">Greenline LLC</t>
  </si>
  <si>
    <t xml:space="preserve">ACC-12532</t>
  </si>
  <si>
    <t xml:space="preserve">Blueworks Systems</t>
  </si>
  <si>
    <t xml:space="preserve">ACC-12537</t>
  </si>
  <si>
    <t xml:space="preserve">Clearmind Systems</t>
  </si>
  <si>
    <t xml:space="preserve">ACC-10350</t>
  </si>
  <si>
    <t xml:space="preserve">Boldgrid Ltd</t>
  </si>
  <si>
    <t xml:space="preserve">ACC-10400</t>
  </si>
  <si>
    <t xml:space="preserve">Coreflow Technologies</t>
  </si>
  <si>
    <t xml:space="preserve">ACC-10489</t>
  </si>
  <si>
    <t xml:space="preserve">Boldmind LLC</t>
  </si>
  <si>
    <t xml:space="preserve">ACC-10523</t>
  </si>
  <si>
    <t xml:space="preserve">Silvergrid Group</t>
  </si>
  <si>
    <t xml:space="preserve">ACC-10588</t>
  </si>
  <si>
    <t xml:space="preserve">Boldlabs LLC</t>
  </si>
  <si>
    <t xml:space="preserve">ACC-10786</t>
  </si>
  <si>
    <t xml:space="preserve">Vertexbase LLC</t>
  </si>
  <si>
    <t xml:space="preserve">ACC-10931</t>
  </si>
  <si>
    <t xml:space="preserve">Greenhub Technologies</t>
  </si>
  <si>
    <t xml:space="preserve">ACC-10937</t>
  </si>
  <si>
    <t xml:space="preserve">Swiftcraft Ltd</t>
  </si>
  <si>
    <t xml:space="preserve">ACC-10971</t>
  </si>
  <si>
    <t xml:space="preserve">Corepoint Group</t>
  </si>
  <si>
    <t xml:space="preserve">ACC-10995</t>
  </si>
  <si>
    <t xml:space="preserve">Urbanwave LLC</t>
  </si>
  <si>
    <t xml:space="preserve">ACC-11221</t>
  </si>
  <si>
    <t xml:space="preserve">Vertexline Technologies</t>
  </si>
  <si>
    <t xml:space="preserve">ACC-11286</t>
  </si>
  <si>
    <t xml:space="preserve">Boldsphere LLC</t>
  </si>
  <si>
    <t xml:space="preserve">ACC-11311</t>
  </si>
  <si>
    <t xml:space="preserve">Swiftpath Ltd</t>
  </si>
  <si>
    <t xml:space="preserve">ACC-11317</t>
  </si>
  <si>
    <t xml:space="preserve">Greencraft Systems</t>
  </si>
  <si>
    <t xml:space="preserve">ACC-11362</t>
  </si>
  <si>
    <t xml:space="preserve">Truenest Systems</t>
  </si>
  <si>
    <t xml:space="preserve">ACC-11364</t>
  </si>
  <si>
    <t xml:space="preserve">Pixellogic Technologies</t>
  </si>
  <si>
    <t xml:space="preserve">ACC-11534</t>
  </si>
  <si>
    <t xml:space="preserve">Trueworks Group</t>
  </si>
  <si>
    <t xml:space="preserve">ACC-11741</t>
  </si>
  <si>
    <t xml:space="preserve">Pixelgrid Systems</t>
  </si>
  <si>
    <t xml:space="preserve">ACC-11847</t>
  </si>
  <si>
    <t xml:space="preserve">Apexwave Co</t>
  </si>
  <si>
    <t xml:space="preserve">ACC-12006</t>
  </si>
  <si>
    <t xml:space="preserve">Truewave LLC</t>
  </si>
  <si>
    <t xml:space="preserve">ACC-12007</t>
  </si>
  <si>
    <t xml:space="preserve">Clearcraft LLC</t>
  </si>
  <si>
    <t xml:space="preserve">ACC-12172</t>
  </si>
  <si>
    <t xml:space="preserve">Brightwave Co</t>
  </si>
  <si>
    <t xml:space="preserve">ACC-12242</t>
  </si>
  <si>
    <t xml:space="preserve">Vertexbridge Systems</t>
  </si>
  <si>
    <t xml:space="preserve">ACC-12284</t>
  </si>
  <si>
    <t xml:space="preserve">Greenlogic Inc</t>
  </si>
  <si>
    <t xml:space="preserve">ACC-12407</t>
  </si>
  <si>
    <t xml:space="preserve">Northline Solutions</t>
  </si>
  <si>
    <t xml:space="preserve">ACC-12573</t>
  </si>
  <si>
    <t xml:space="preserve">Apexlabs Inc</t>
  </si>
  <si>
    <t xml:space="preserve">ACC-10397</t>
  </si>
  <si>
    <t xml:space="preserve">Brightsphere Co</t>
  </si>
  <si>
    <t xml:space="preserve">ACC-10581</t>
  </si>
  <si>
    <t xml:space="preserve">Clearbase Ltd</t>
  </si>
  <si>
    <t xml:space="preserve">ACC-10845</t>
  </si>
  <si>
    <t xml:space="preserve">Silverly Technologies</t>
  </si>
  <si>
    <t xml:space="preserve">ACC-11191</t>
  </si>
  <si>
    <t xml:space="preserve">Peakworks Inc</t>
  </si>
  <si>
    <t xml:space="preserve">ACC-11223</t>
  </si>
  <si>
    <t xml:space="preserve">Brightforge Inc</t>
  </si>
  <si>
    <t xml:space="preserve">ACC-11341</t>
  </si>
  <si>
    <t xml:space="preserve">Swiftpoint Technologies</t>
  </si>
  <si>
    <t xml:space="preserve">ACC-11474</t>
  </si>
  <si>
    <t xml:space="preserve">Blueworks LLC</t>
  </si>
  <si>
    <t xml:space="preserve">ACC-11476</t>
  </si>
  <si>
    <t xml:space="preserve">Boldforge LLC</t>
  </si>
  <si>
    <t xml:space="preserve">ACC-11561</t>
  </si>
  <si>
    <t xml:space="preserve">Pixelly LLC</t>
  </si>
  <si>
    <t xml:space="preserve">ACC-11600</t>
  </si>
  <si>
    <t xml:space="preserve">Peaknest Systems</t>
  </si>
  <si>
    <t xml:space="preserve">ACC-11943</t>
  </si>
  <si>
    <t xml:space="preserve">Swiftforge Co</t>
  </si>
  <si>
    <t xml:space="preserve">ACC-12033</t>
  </si>
  <si>
    <t xml:space="preserve">Peakmind LLC</t>
  </si>
  <si>
    <t xml:space="preserve">ACC-12071</t>
  </si>
  <si>
    <t xml:space="preserve">Truesphere Systems</t>
  </si>
  <si>
    <t xml:space="preserve">ACC-12315</t>
  </si>
  <si>
    <t xml:space="preserve">Brightpoint LLC</t>
  </si>
  <si>
    <t xml:space="preserve">ACC-10045</t>
  </si>
  <si>
    <t xml:space="preserve">Peakline Systems</t>
  </si>
  <si>
    <t xml:space="preserve">ACC-10398</t>
  </si>
  <si>
    <t xml:space="preserve">Lumenscale Group</t>
  </si>
  <si>
    <t xml:space="preserve">ACC-10533</t>
  </si>
  <si>
    <t xml:space="preserve">Truelabs Ltd</t>
  </si>
  <si>
    <t xml:space="preserve">ACC-10673</t>
  </si>
  <si>
    <t xml:space="preserve">Swiftlabs Co</t>
  </si>
  <si>
    <t xml:space="preserve">ACC-10742</t>
  </si>
  <si>
    <t xml:space="preserve">Lumenwave Ltd</t>
  </si>
  <si>
    <t xml:space="preserve">ACC-10771</t>
  </si>
  <si>
    <t xml:space="preserve">Lumennest Co</t>
  </si>
  <si>
    <t xml:space="preserve">ACC-10940</t>
  </si>
  <si>
    <t xml:space="preserve">Novaline LLC</t>
  </si>
  <si>
    <t xml:space="preserve">ACC-11273</t>
  </si>
  <si>
    <t xml:space="preserve">Orbitpoint Group</t>
  </si>
  <si>
    <t xml:space="preserve">ACC-11284</t>
  </si>
  <si>
    <t xml:space="preserve">Clearcraft Systems</t>
  </si>
  <si>
    <t xml:space="preserve">ACC-11406</t>
  </si>
  <si>
    <t xml:space="preserve">Brightworks Group</t>
  </si>
  <si>
    <t xml:space="preserve">ACC-12155</t>
  </si>
  <si>
    <t xml:space="preserve">Corely LLC</t>
  </si>
  <si>
    <t xml:space="preserve">ACC-12243</t>
  </si>
  <si>
    <t xml:space="preserve">Vertexlabs LLC</t>
  </si>
  <si>
    <t xml:space="preserve">ACC-12352</t>
  </si>
  <si>
    <t xml:space="preserve">Brightline Systems</t>
  </si>
  <si>
    <t xml:space="preserve">ACC-10107</t>
  </si>
  <si>
    <t xml:space="preserve">Greengrid Solutions</t>
  </si>
  <si>
    <t xml:space="preserve">ACC-10175</t>
  </si>
  <si>
    <t xml:space="preserve">Brightscale Group</t>
  </si>
  <si>
    <t xml:space="preserve">ACC-10214</t>
  </si>
  <si>
    <t xml:space="preserve">Greenlabs Systems</t>
  </si>
  <si>
    <t xml:space="preserve">ACC-10410</t>
  </si>
  <si>
    <t xml:space="preserve">Brightgrid Group</t>
  </si>
  <si>
    <t xml:space="preserve">ACC-10486</t>
  </si>
  <si>
    <t xml:space="preserve">Apexsphere Solutions</t>
  </si>
  <si>
    <t xml:space="preserve">ACC-10518</t>
  </si>
  <si>
    <t xml:space="preserve">Atlasmind Inc</t>
  </si>
  <si>
    <t xml:space="preserve">ACC-10541</t>
  </si>
  <si>
    <t xml:space="preserve">Vertexnest Systems</t>
  </si>
  <si>
    <t xml:space="preserve">ACC-10675</t>
  </si>
  <si>
    <t xml:space="preserve">Orbitflow Technologies</t>
  </si>
  <si>
    <t xml:space="preserve">ACC-10731</t>
  </si>
  <si>
    <t xml:space="preserve">Northcraft Technologies</t>
  </si>
  <si>
    <t xml:space="preserve">ACC-10835</t>
  </si>
  <si>
    <t xml:space="preserve">Urbanstack Group</t>
  </si>
  <si>
    <t xml:space="preserve">ACC-11323</t>
  </si>
  <si>
    <t xml:space="preserve">Urbanpath Technologies</t>
  </si>
  <si>
    <t xml:space="preserve">ACC-11421</t>
  </si>
  <si>
    <t xml:space="preserve">Brightscale Co</t>
  </si>
  <si>
    <t xml:space="preserve">ACC-11498</t>
  </si>
  <si>
    <t xml:space="preserve">Truebridge Group</t>
  </si>
  <si>
    <t xml:space="preserve">ACC-11568</t>
  </si>
  <si>
    <t xml:space="preserve">Apexbridge Ltd</t>
  </si>
  <si>
    <t xml:space="preserve">ACC-11601</t>
  </si>
  <si>
    <t xml:space="preserve">Clearnest Technologies</t>
  </si>
  <si>
    <t xml:space="preserve">ACC-11610</t>
  </si>
  <si>
    <t xml:space="preserve">Brightnest Inc</t>
  </si>
  <si>
    <t xml:space="preserve">ACC-11676</t>
  </si>
  <si>
    <t xml:space="preserve">Lumenbase Solutions</t>
  </si>
  <si>
    <t xml:space="preserve">ACC-11802</t>
  </si>
  <si>
    <t xml:space="preserve">Brightlogic Group</t>
  </si>
  <si>
    <t xml:space="preserve">ACC-11955</t>
  </si>
  <si>
    <t xml:space="preserve">Novahub Solutions</t>
  </si>
  <si>
    <t xml:space="preserve">ACC-12050</t>
  </si>
  <si>
    <t xml:space="preserve">Northpoint Group</t>
  </si>
  <si>
    <t xml:space="preserve">ACC-12072</t>
  </si>
  <si>
    <t xml:space="preserve">Peakcraft LLC</t>
  </si>
  <si>
    <t xml:space="preserve">ACC-12125</t>
  </si>
  <si>
    <t xml:space="preserve">Swiftlogic Solutions</t>
  </si>
  <si>
    <t xml:space="preserve">ACC-12138</t>
  </si>
  <si>
    <t xml:space="preserve">Vertexgrid Solutions</t>
  </si>
  <si>
    <t xml:space="preserve">ACC-12225</t>
  </si>
  <si>
    <t xml:space="preserve">Peakly Group</t>
  </si>
  <si>
    <t xml:space="preserve">ACC-12241</t>
  </si>
  <si>
    <t xml:space="preserve">Peakworks Group</t>
  </si>
  <si>
    <t xml:space="preserve">ACC-12251</t>
  </si>
  <si>
    <t xml:space="preserve">Pixelworks Group</t>
  </si>
  <si>
    <t xml:space="preserve">ACC-12414</t>
  </si>
  <si>
    <t xml:space="preserve">Peakpath Solutions</t>
  </si>
  <si>
    <t xml:space="preserve">ACC-12593</t>
  </si>
  <si>
    <t xml:space="preserve">Apexpoint Ltd</t>
  </si>
  <si>
    <t xml:space="preserve">ACC-10058</t>
  </si>
  <si>
    <t xml:space="preserve">Silvergrid Systems</t>
  </si>
  <si>
    <t xml:space="preserve">ACC-10159</t>
  </si>
  <si>
    <t xml:space="preserve">Urbanscale Solutions</t>
  </si>
  <si>
    <t xml:space="preserve">ACC-10443</t>
  </si>
  <si>
    <t xml:space="preserve">Orbitstack Technologies</t>
  </si>
  <si>
    <t xml:space="preserve">ACC-10676</t>
  </si>
  <si>
    <t xml:space="preserve">Clearhub Ltd</t>
  </si>
  <si>
    <t xml:space="preserve">ACC-10723</t>
  </si>
  <si>
    <t xml:space="preserve">Corenest Ltd</t>
  </si>
  <si>
    <t xml:space="preserve">ACC-10730</t>
  </si>
  <si>
    <t xml:space="preserve">Silverforge Solutions</t>
  </si>
  <si>
    <t xml:space="preserve">ACC-10757</t>
  </si>
  <si>
    <t xml:space="preserve">Peakpath Group</t>
  </si>
  <si>
    <t xml:space="preserve">ACC-10852</t>
  </si>
  <si>
    <t xml:space="preserve">Atlasnest Solutions</t>
  </si>
  <si>
    <t xml:space="preserve">ACC-11698</t>
  </si>
  <si>
    <t xml:space="preserve">Northly Solutions</t>
  </si>
  <si>
    <t xml:space="preserve">ACC-11750</t>
  </si>
  <si>
    <t xml:space="preserve">Orbitpoint Solutions</t>
  </si>
  <si>
    <t xml:space="preserve">ACC-11774</t>
  </si>
  <si>
    <t xml:space="preserve">Urbanscale LLC</t>
  </si>
  <si>
    <t xml:space="preserve">ACC-12077</t>
  </si>
  <si>
    <t xml:space="preserve">Peakwave Co</t>
  </si>
  <si>
    <t xml:space="preserve">ACC-12338</t>
  </si>
  <si>
    <t xml:space="preserve">Orbitlabs Technologies</t>
  </si>
  <si>
    <t xml:space="preserve">ACC-10013</t>
  </si>
  <si>
    <t xml:space="preserve">Clearpath LLC</t>
  </si>
  <si>
    <t xml:space="preserve">ACC-10109</t>
  </si>
  <si>
    <t xml:space="preserve">Brightbridge Co</t>
  </si>
  <si>
    <t xml:space="preserve">ACC-10174</t>
  </si>
  <si>
    <t xml:space="preserve">Silverforge LLC</t>
  </si>
  <si>
    <t xml:space="preserve">ACC-10305</t>
  </si>
  <si>
    <t xml:space="preserve">Truebridge Technologies</t>
  </si>
  <si>
    <t xml:space="preserve">ACC-10321</t>
  </si>
  <si>
    <t xml:space="preserve">Brightnest Systems</t>
  </si>
  <si>
    <t xml:space="preserve">ACC-10472</t>
  </si>
  <si>
    <t xml:space="preserve">Swiftstack Solutions</t>
  </si>
  <si>
    <t xml:space="preserve">ACC-10586</t>
  </si>
  <si>
    <t xml:space="preserve">Bluenest Solutions</t>
  </si>
  <si>
    <t xml:space="preserve">ACC-10727</t>
  </si>
  <si>
    <t xml:space="preserve">Greensphere Co</t>
  </si>
  <si>
    <t xml:space="preserve">ACC-10751</t>
  </si>
  <si>
    <t xml:space="preserve">Swiftforge Technologies</t>
  </si>
  <si>
    <t xml:space="preserve">ACC-10997</t>
  </si>
  <si>
    <t xml:space="preserve">Vertexpath Group</t>
  </si>
  <si>
    <t xml:space="preserve">ACC-11065</t>
  </si>
  <si>
    <t xml:space="preserve">Corelogic Ltd</t>
  </si>
  <si>
    <t xml:space="preserve">ACC-11084</t>
  </si>
  <si>
    <t xml:space="preserve">Brightbridge Solutions</t>
  </si>
  <si>
    <t xml:space="preserve">ACC-11279</t>
  </si>
  <si>
    <t xml:space="preserve">Swiftlabs Inc</t>
  </si>
  <si>
    <t xml:space="preserve">ACC-11494</t>
  </si>
  <si>
    <t xml:space="preserve">Clearflow Systems</t>
  </si>
  <si>
    <t xml:space="preserve">ACC-11548</t>
  </si>
  <si>
    <t xml:space="preserve">Pixelstack Solutions</t>
  </si>
  <si>
    <t xml:space="preserve">ACC-11645</t>
  </si>
  <si>
    <t xml:space="preserve">Boldsphere Group</t>
  </si>
  <si>
    <t xml:space="preserve">ACC-11778</t>
  </si>
  <si>
    <t xml:space="preserve">Apexlogic Group</t>
  </si>
  <si>
    <t xml:space="preserve">ACC-11921</t>
  </si>
  <si>
    <t xml:space="preserve">Clearlabs Solutions</t>
  </si>
  <si>
    <t xml:space="preserve">ACC-12043</t>
  </si>
  <si>
    <t xml:space="preserve">Truewave Group</t>
  </si>
  <si>
    <t xml:space="preserve">ACC-12121</t>
  </si>
  <si>
    <t xml:space="preserve">Apexgrid LLC</t>
  </si>
  <si>
    <t xml:space="preserve">ACC-12381</t>
  </si>
  <si>
    <t xml:space="preserve">Bluebridge Group</t>
  </si>
  <si>
    <t xml:space="preserve">ACC-12450</t>
  </si>
  <si>
    <t xml:space="preserve">Urbanflow Systems</t>
  </si>
  <si>
    <t xml:space="preserve">ACC-12456</t>
  </si>
  <si>
    <t xml:space="preserve">Clearline Systems</t>
  </si>
  <si>
    <t xml:space="preserve">ACC-12471</t>
  </si>
  <si>
    <t xml:space="preserve">Blueforge Solutions</t>
  </si>
  <si>
    <t xml:space="preserve">ACC-12493</t>
  </si>
  <si>
    <t xml:space="preserve">Novaworks Technologies</t>
  </si>
  <si>
    <t xml:space="preserve">ACC-12565</t>
  </si>
  <si>
    <t xml:space="preserve">Primebase Co</t>
  </si>
  <si>
    <t xml:space="preserve">ACC-12571</t>
  </si>
  <si>
    <t xml:space="preserve">Greenpath Inc</t>
  </si>
  <si>
    <t xml:space="preserve">ACC-10068</t>
  </si>
  <si>
    <t xml:space="preserve">Northhub Co</t>
  </si>
  <si>
    <t xml:space="preserve">ACC-10162</t>
  </si>
  <si>
    <t xml:space="preserve">Truehub Systems</t>
  </si>
  <si>
    <t xml:space="preserve">ACC-10404</t>
  </si>
  <si>
    <t xml:space="preserve">Novalabs Solutions</t>
  </si>
  <si>
    <t xml:space="preserve">ACC-10451</t>
  </si>
  <si>
    <t xml:space="preserve">Vertexworks Solutions</t>
  </si>
  <si>
    <t xml:space="preserve">ACC-10453</t>
  </si>
  <si>
    <t xml:space="preserve">Trueworks Ltd</t>
  </si>
  <si>
    <t xml:space="preserve">ACC-10558</t>
  </si>
  <si>
    <t xml:space="preserve">Silvernest Systems</t>
  </si>
  <si>
    <t xml:space="preserve">ACC-10610</t>
  </si>
  <si>
    <t xml:space="preserve">Swiftscale Co</t>
  </si>
  <si>
    <t xml:space="preserve">ACC-10785</t>
  </si>
  <si>
    <t xml:space="preserve">Boldmind Technologies</t>
  </si>
  <si>
    <t xml:space="preserve">ACC-10850</t>
  </si>
  <si>
    <t xml:space="preserve">Swiftmind LLC</t>
  </si>
  <si>
    <t xml:space="preserve">ACC-10975</t>
  </si>
  <si>
    <t xml:space="preserve">Pixelhub LLC</t>
  </si>
  <si>
    <t xml:space="preserve">ACC-11331</t>
  </si>
  <si>
    <t xml:space="preserve">Coregrid Inc</t>
  </si>
  <si>
    <t xml:space="preserve">ACC-11342</t>
  </si>
  <si>
    <t xml:space="preserve">Clearhub Technologies</t>
  </si>
  <si>
    <t xml:space="preserve">ACC-11350</t>
  </si>
  <si>
    <t xml:space="preserve">Northscale LLC</t>
  </si>
  <si>
    <t xml:space="preserve">ACC-11554</t>
  </si>
  <si>
    <t xml:space="preserve">Silverlogic Group</t>
  </si>
  <si>
    <t xml:space="preserve">ACC-11573</t>
  </si>
  <si>
    <t xml:space="preserve">Truescale Solutions</t>
  </si>
  <si>
    <t xml:space="preserve">ACC-11681</t>
  </si>
  <si>
    <t xml:space="preserve">Apexbase Group</t>
  </si>
  <si>
    <t xml:space="preserve">ACC-11692</t>
  </si>
  <si>
    <t xml:space="preserve">Vertexmind Inc</t>
  </si>
  <si>
    <t xml:space="preserve">ACC-11716</t>
  </si>
  <si>
    <t xml:space="preserve">Swiftlabs Ltd</t>
  </si>
  <si>
    <t xml:space="preserve">ACC-11876</t>
  </si>
  <si>
    <t xml:space="preserve">Primebase Inc</t>
  </si>
  <si>
    <t xml:space="preserve">ACC-12106</t>
  </si>
  <si>
    <t xml:space="preserve">Urbanbase Solutions</t>
  </si>
  <si>
    <t xml:space="preserve">ACC-12164</t>
  </si>
  <si>
    <t xml:space="preserve">Urbannest Co</t>
  </si>
  <si>
    <t xml:space="preserve">ACC-12175</t>
  </si>
  <si>
    <t xml:space="preserve">Brightworks Ltd</t>
  </si>
  <si>
    <t xml:space="preserve">ACC-12194</t>
  </si>
  <si>
    <t xml:space="preserve">Brightlabs Solutions</t>
  </si>
  <si>
    <t xml:space="preserve">ACC-12254</t>
  </si>
  <si>
    <t xml:space="preserve">Northhub LLC</t>
  </si>
  <si>
    <t xml:space="preserve">ACC-12448</t>
  </si>
  <si>
    <t xml:space="preserve">Vertexpoint Co</t>
  </si>
  <si>
    <t xml:space="preserve">ACC-12582</t>
  </si>
  <si>
    <t xml:space="preserve">Novalogic LLC</t>
  </si>
  <si>
    <t xml:space="preserve">ACC-10056</t>
  </si>
  <si>
    <t xml:space="preserve">Novanest Solutions</t>
  </si>
  <si>
    <t xml:space="preserve">ACC-10567</t>
  </si>
  <si>
    <t xml:space="preserve">Orbitbase Technologies</t>
  </si>
  <si>
    <t xml:space="preserve">ACC-11582</t>
  </si>
  <si>
    <t xml:space="preserve">Pixelhub Solutions</t>
  </si>
  <si>
    <t xml:space="preserve">ACC-11836</t>
  </si>
  <si>
    <t xml:space="preserve">Atlasbase LLC</t>
  </si>
  <si>
    <t xml:space="preserve">ACC-11843</t>
  </si>
  <si>
    <t xml:space="preserve">Vertexhub Co</t>
  </si>
  <si>
    <t xml:space="preserve">ACC-12209</t>
  </si>
  <si>
    <t xml:space="preserve">Coreflow Group</t>
  </si>
  <si>
    <t xml:space="preserve">ACC-12261</t>
  </si>
  <si>
    <t xml:space="preserve">Vertexnest LLC</t>
  </si>
  <si>
    <t xml:space="preserve">ACC-12575</t>
  </si>
  <si>
    <t xml:space="preserve">Bluecraft Inc</t>
  </si>
  <si>
    <t xml:space="preserve">ACC-10184</t>
  </si>
  <si>
    <t xml:space="preserve">Boldbase Solutions</t>
  </si>
  <si>
    <t xml:space="preserve">ACC-10286</t>
  </si>
  <si>
    <t xml:space="preserve">Orbitcraft Group</t>
  </si>
  <si>
    <t xml:space="preserve">ACC-10292</t>
  </si>
  <si>
    <t xml:space="preserve">Greenwave Ltd</t>
  </si>
  <si>
    <t xml:space="preserve">ACC-10396</t>
  </si>
  <si>
    <t xml:space="preserve">Primeworks Group</t>
  </si>
  <si>
    <t xml:space="preserve">ACC-10466</t>
  </si>
  <si>
    <t xml:space="preserve">Greensphere Solutions</t>
  </si>
  <si>
    <t xml:space="preserve">ACC-10629</t>
  </si>
  <si>
    <t xml:space="preserve">Greenline Ltd</t>
  </si>
  <si>
    <t xml:space="preserve">ACC-10704</t>
  </si>
  <si>
    <t xml:space="preserve">Orbitworks Co</t>
  </si>
  <si>
    <t xml:space="preserve">ACC-10907</t>
  </si>
  <si>
    <t xml:space="preserve">Swiftwave Co</t>
  </si>
  <si>
    <t xml:space="preserve">ACC-10916</t>
  </si>
  <si>
    <t xml:space="preserve">Silverbridge Inc</t>
  </si>
  <si>
    <t xml:space="preserve">ACC-11032</t>
  </si>
  <si>
    <t xml:space="preserve">Urbanhub Inc</t>
  </si>
  <si>
    <t xml:space="preserve">ACC-11042</t>
  </si>
  <si>
    <t xml:space="preserve">Pixelflow Systems</t>
  </si>
  <si>
    <t xml:space="preserve">ACC-11045</t>
  </si>
  <si>
    <t xml:space="preserve">Silverbase Co</t>
  </si>
  <si>
    <t xml:space="preserve">ACC-11052</t>
  </si>
  <si>
    <t xml:space="preserve">Urbangrid Inc</t>
  </si>
  <si>
    <t xml:space="preserve">ACC-11150</t>
  </si>
  <si>
    <t xml:space="preserve">Northscale Ltd</t>
  </si>
  <si>
    <t xml:space="preserve">ACC-11378</t>
  </si>
  <si>
    <t xml:space="preserve">Truelogic Ltd</t>
  </si>
  <si>
    <t xml:space="preserve">ACC-11550</t>
  </si>
  <si>
    <t xml:space="preserve">Clearbase Systems</t>
  </si>
  <si>
    <t xml:space="preserve">ACC-11606</t>
  </si>
  <si>
    <t xml:space="preserve">Lumenpoint Systems</t>
  </si>
  <si>
    <t xml:space="preserve">ACC-11612</t>
  </si>
  <si>
    <t xml:space="preserve">Atlaspoint Group</t>
  </si>
  <si>
    <t xml:space="preserve">ACC-11710</t>
  </si>
  <si>
    <t xml:space="preserve">Boldhub Solutions</t>
  </si>
  <si>
    <t xml:space="preserve">ACC-11925</t>
  </si>
  <si>
    <t xml:space="preserve">Pixelflow LLC</t>
  </si>
  <si>
    <t xml:space="preserve">ACC-12051</t>
  </si>
  <si>
    <t xml:space="preserve">Truesphere Technologies</t>
  </si>
  <si>
    <t xml:space="preserve">ACC-12224</t>
  </si>
  <si>
    <t xml:space="preserve">Brightly Co</t>
  </si>
  <si>
    <t xml:space="preserve">ACC-12258</t>
  </si>
  <si>
    <t xml:space="preserve">Corepath Solutions</t>
  </si>
  <si>
    <t xml:space="preserve">ACC-12268</t>
  </si>
  <si>
    <t xml:space="preserve">Peakflow Systems</t>
  </si>
  <si>
    <t xml:space="preserve">ACC-12333</t>
  </si>
  <si>
    <t xml:space="preserve">Swiftforge Solutions</t>
  </si>
  <si>
    <t xml:space="preserve">ACC-12536</t>
  </si>
  <si>
    <t xml:space="preserve">Novaflow Inc</t>
  </si>
  <si>
    <t xml:space="preserve">ACC-12589</t>
  </si>
  <si>
    <t xml:space="preserve">Apexforge Inc</t>
  </si>
  <si>
    <t xml:space="preserve">ACC-10155</t>
  </si>
  <si>
    <t xml:space="preserve">Clearpoint Solutions</t>
  </si>
  <si>
    <t xml:space="preserve">ACC-10218</t>
  </si>
  <si>
    <t xml:space="preserve">Bluelogic Group</t>
  </si>
  <si>
    <t xml:space="preserve">ACC-10243</t>
  </si>
  <si>
    <t xml:space="preserve">Pixelsphere Systems</t>
  </si>
  <si>
    <t xml:space="preserve">ACC-10441</t>
  </si>
  <si>
    <t xml:space="preserve">Swiftpoint Solutions</t>
  </si>
  <si>
    <t xml:space="preserve">ACC-10738</t>
  </si>
  <si>
    <t xml:space="preserve">Brightstack Inc</t>
  </si>
  <si>
    <t xml:space="preserve">ACC-10882</t>
  </si>
  <si>
    <t xml:space="preserve">Northpoint Ltd</t>
  </si>
  <si>
    <t xml:space="preserve">ACC-11093</t>
  </si>
  <si>
    <t xml:space="preserve">Urbanstack Technologies</t>
  </si>
  <si>
    <t xml:space="preserve">ACC-11147</t>
  </si>
  <si>
    <t xml:space="preserve">Peaklabs Group</t>
  </si>
  <si>
    <t xml:space="preserve">ACC-11660</t>
  </si>
  <si>
    <t xml:space="preserve">Clearworks Inc</t>
  </si>
  <si>
    <t xml:space="preserve">ACC-11696</t>
  </si>
  <si>
    <t xml:space="preserve">Truesphere Co</t>
  </si>
  <si>
    <t xml:space="preserve">ACC-11700</t>
  </si>
  <si>
    <t xml:space="preserve">Bluepoint LLC</t>
  </si>
  <si>
    <t xml:space="preserve">ACC-11831</t>
  </si>
  <si>
    <t xml:space="preserve">Pixelworks Solutions</t>
  </si>
  <si>
    <t xml:space="preserve">ACC-11852</t>
  </si>
  <si>
    <t xml:space="preserve">Vertexbase Solutions</t>
  </si>
  <si>
    <t xml:space="preserve">ACC-11882</t>
  </si>
  <si>
    <t xml:space="preserve">Primenest LLC</t>
  </si>
  <si>
    <t xml:space="preserve">ACC-12442</t>
  </si>
  <si>
    <t xml:space="preserve">Pixelly Ltd</t>
  </si>
  <si>
    <t xml:space="preserve">ACC-10069</t>
  </si>
  <si>
    <t xml:space="preserve">Northpoint Solutions</t>
  </si>
  <si>
    <t xml:space="preserve">ACC-10287</t>
  </si>
  <si>
    <t xml:space="preserve">Boldworks Solutions</t>
  </si>
  <si>
    <t xml:space="preserve">ACC-10524</t>
  </si>
  <si>
    <t xml:space="preserve">Bluesphere Ltd</t>
  </si>
  <si>
    <t xml:space="preserve">ACC-10815</t>
  </si>
  <si>
    <t xml:space="preserve">Boldnest Co</t>
  </si>
  <si>
    <t xml:space="preserve">ACC-11598</t>
  </si>
  <si>
    <t xml:space="preserve">Boldpoint Inc</t>
  </si>
  <si>
    <t xml:space="preserve">ACC-11659</t>
  </si>
  <si>
    <t xml:space="preserve">Swiftly Co</t>
  </si>
  <si>
    <t xml:space="preserve">ACC-11752</t>
  </si>
  <si>
    <t xml:space="preserve">Bluebridge Inc</t>
  </si>
  <si>
    <t xml:space="preserve">ACC-11755</t>
  </si>
  <si>
    <t xml:space="preserve">Greenpath Solutions</t>
  </si>
  <si>
    <t xml:space="preserve">ACC-12178</t>
  </si>
  <si>
    <t xml:space="preserve">Peakwave Group</t>
  </si>
  <si>
    <t xml:space="preserve">ACC-12512</t>
  </si>
  <si>
    <t xml:space="preserve">Trueline Co</t>
  </si>
  <si>
    <t xml:space="preserve">ACC-12530</t>
  </si>
  <si>
    <t xml:space="preserve">Peakscale Solutions</t>
  </si>
  <si>
    <t xml:space="preserve">ACC-10003</t>
  </si>
  <si>
    <t xml:space="preserve">Vertexnest Group</t>
  </si>
  <si>
    <t xml:space="preserve">ACC-10053</t>
  </si>
  <si>
    <t xml:space="preserve">Peakpath Ltd</t>
  </si>
  <si>
    <t xml:space="preserve">ACC-10089</t>
  </si>
  <si>
    <t xml:space="preserve">Primeflow Ltd</t>
  </si>
  <si>
    <t xml:space="preserve">ACC-10099</t>
  </si>
  <si>
    <t xml:space="preserve">Swiftpath Technologies</t>
  </si>
  <si>
    <t xml:space="preserve">ACC-10288</t>
  </si>
  <si>
    <t xml:space="preserve">Peakbridge Technologies</t>
  </si>
  <si>
    <t xml:space="preserve">ACC-10369</t>
  </si>
  <si>
    <t xml:space="preserve">Greenworks Solutions</t>
  </si>
  <si>
    <t xml:space="preserve">ACC-10807</t>
  </si>
  <si>
    <t xml:space="preserve">Apexbridge Group</t>
  </si>
  <si>
    <t xml:space="preserve">ACC-10887</t>
  </si>
  <si>
    <t xml:space="preserve">Vertexworks LLC</t>
  </si>
  <si>
    <t xml:space="preserve">ACC-10965</t>
  </si>
  <si>
    <t xml:space="preserve">Bluescale Technologies</t>
  </si>
  <si>
    <t xml:space="preserve">ACC-11050</t>
  </si>
  <si>
    <t xml:space="preserve">Primesphere Inc</t>
  </si>
  <si>
    <t xml:space="preserve">ACC-11060</t>
  </si>
  <si>
    <t xml:space="preserve">Clearpath Group</t>
  </si>
  <si>
    <t xml:space="preserve">ACC-11175</t>
  </si>
  <si>
    <t xml:space="preserve">Truenest Solutions</t>
  </si>
  <si>
    <t xml:space="preserve">ACC-11199</t>
  </si>
  <si>
    <t xml:space="preserve">Pixelcraft Systems</t>
  </si>
  <si>
    <t xml:space="preserve">ACC-11271</t>
  </si>
  <si>
    <t xml:space="preserve">Bluewave Co</t>
  </si>
  <si>
    <t xml:space="preserve">ACC-11288</t>
  </si>
  <si>
    <t xml:space="preserve">Pixelgrid Co</t>
  </si>
  <si>
    <t xml:space="preserve">ACC-11292</t>
  </si>
  <si>
    <t xml:space="preserve">Northworks Systems</t>
  </si>
  <si>
    <t xml:space="preserve">ACC-11305</t>
  </si>
  <si>
    <t xml:space="preserve">Lumencraft Technologies</t>
  </si>
  <si>
    <t xml:space="preserve">ACC-11353</t>
  </si>
  <si>
    <t xml:space="preserve">Corestack Inc</t>
  </si>
  <si>
    <t xml:space="preserve">ACC-11424</t>
  </si>
  <si>
    <t xml:space="preserve">Swiftpath Systems</t>
  </si>
  <si>
    <t xml:space="preserve">ACC-11901</t>
  </si>
  <si>
    <t xml:space="preserve">Lumenpoint Inc</t>
  </si>
  <si>
    <t xml:space="preserve">ACC-11988</t>
  </si>
  <si>
    <t xml:space="preserve">Pixelgrid Group</t>
  </si>
  <si>
    <t xml:space="preserve">ACC-12002</t>
  </si>
  <si>
    <t xml:space="preserve">Novabase Solutions</t>
  </si>
  <si>
    <t xml:space="preserve">ACC-12011</t>
  </si>
  <si>
    <t xml:space="preserve">Silverwave Inc</t>
  </si>
  <si>
    <t xml:space="preserve">ACC-12305</t>
  </si>
  <si>
    <t xml:space="preserve">Silverpoint Co</t>
  </si>
  <si>
    <t xml:space="preserve">ACC-12382</t>
  </si>
  <si>
    <t xml:space="preserve">Apexline Ltd</t>
  </si>
  <si>
    <t xml:space="preserve">ACC-12486</t>
  </si>
  <si>
    <t xml:space="preserve">Novascale Solutions</t>
  </si>
  <si>
    <t xml:space="preserve">ACC-12487</t>
  </si>
  <si>
    <t xml:space="preserve">Peakstack Solutions</t>
  </si>
  <si>
    <t xml:space="preserve">ACC-10143</t>
  </si>
  <si>
    <t xml:space="preserve">Brightworks Solutions</t>
  </si>
  <si>
    <t xml:space="preserve">ACC-10149</t>
  </si>
  <si>
    <t xml:space="preserve">Lumenbridge Solutions</t>
  </si>
  <si>
    <t xml:space="preserve">ACC-10154</t>
  </si>
  <si>
    <t xml:space="preserve">Novanest LLC</t>
  </si>
  <si>
    <t xml:space="preserve">ACC-10330</t>
  </si>
  <si>
    <t xml:space="preserve">Lumenbase Co</t>
  </si>
  <si>
    <t xml:space="preserve">ACC-10566</t>
  </si>
  <si>
    <t xml:space="preserve">Atlaslabs Co</t>
  </si>
  <si>
    <t xml:space="preserve">ACC-10687</t>
  </si>
  <si>
    <t xml:space="preserve">Primewave Inc</t>
  </si>
  <si>
    <t xml:space="preserve">ACC-10728</t>
  </si>
  <si>
    <t xml:space="preserve">Brightbase LLC</t>
  </si>
  <si>
    <t xml:space="preserve">ACC-11091</t>
  </si>
  <si>
    <t xml:space="preserve">Brightstack Systems</t>
  </si>
  <si>
    <t xml:space="preserve">ACC-11189</t>
  </si>
  <si>
    <t xml:space="preserve">Truestack Technologies</t>
  </si>
  <si>
    <t xml:space="preserve">ACC-11252</t>
  </si>
  <si>
    <t xml:space="preserve">Brightworks LLC</t>
  </si>
  <si>
    <t xml:space="preserve">ACC-11367</t>
  </si>
  <si>
    <t xml:space="preserve">Peakly Solutions</t>
  </si>
  <si>
    <t xml:space="preserve">ACC-11395</t>
  </si>
  <si>
    <t xml:space="preserve">Trueworks Inc</t>
  </si>
  <si>
    <t xml:space="preserve">ACC-11461</t>
  </si>
  <si>
    <t xml:space="preserve">Novasphere LLC</t>
  </si>
  <si>
    <t xml:space="preserve">ACC-11467</t>
  </si>
  <si>
    <t xml:space="preserve">Boldwave LLC</t>
  </si>
  <si>
    <t xml:space="preserve">ACC-11492</t>
  </si>
  <si>
    <t xml:space="preserve">Apexhub Inc</t>
  </si>
  <si>
    <t xml:space="preserve">ACC-11577</t>
  </si>
  <si>
    <t xml:space="preserve">Swiftsphere Technologies</t>
  </si>
  <si>
    <t xml:space="preserve">ACC-11594</t>
  </si>
  <si>
    <t xml:space="preserve">Lumenmind Co</t>
  </si>
  <si>
    <t xml:space="preserve">ACC-11800</t>
  </si>
  <si>
    <t xml:space="preserve">Boldcraft Inc</t>
  </si>
  <si>
    <t xml:space="preserve">ACC-11867</t>
  </si>
  <si>
    <t xml:space="preserve">Trueforge LLC</t>
  </si>
  <si>
    <t xml:space="preserve">ACC-11904</t>
  </si>
  <si>
    <t xml:space="preserve">Boldwave Solutions</t>
  </si>
  <si>
    <t xml:space="preserve">ACC-12159</t>
  </si>
  <si>
    <t xml:space="preserve">Peakbase Inc</t>
  </si>
  <si>
    <t xml:space="preserve">ACC-12297</t>
  </si>
  <si>
    <t xml:space="preserve">Clearbase Group</t>
  </si>
  <si>
    <t xml:space="preserve">ACC-12378</t>
  </si>
  <si>
    <t xml:space="preserve">Lumenworks Technologies</t>
  </si>
  <si>
    <t xml:space="preserve">ACC-12406</t>
  </si>
  <si>
    <t xml:space="preserve">Brightpath LLC</t>
  </si>
  <si>
    <t xml:space="preserve">ACC-12416</t>
  </si>
  <si>
    <t xml:space="preserve">Vertexline Inc</t>
  </si>
  <si>
    <t xml:space="preserve">ACC-10084</t>
  </si>
  <si>
    <t xml:space="preserve">Swiftgrid Inc</t>
  </si>
  <si>
    <t xml:space="preserve">ACC-10101</t>
  </si>
  <si>
    <t xml:space="preserve">Apexpath LLC</t>
  </si>
  <si>
    <t xml:space="preserve">ACC-10250</t>
  </si>
  <si>
    <t xml:space="preserve">Apexforge Technologies</t>
  </si>
  <si>
    <t xml:space="preserve">ACC-10297</t>
  </si>
  <si>
    <t xml:space="preserve">Bluemind Co</t>
  </si>
  <si>
    <t xml:space="preserve">ACC-10368</t>
  </si>
  <si>
    <t xml:space="preserve">Novamind Co</t>
  </si>
  <si>
    <t xml:space="preserve">ACC-10657</t>
  </si>
  <si>
    <t xml:space="preserve">Peakstack Inc</t>
  </si>
  <si>
    <t xml:space="preserve">ACC-10664</t>
  </si>
  <si>
    <t xml:space="preserve">Boldflow Group</t>
  </si>
  <si>
    <t xml:space="preserve">ACC-10695</t>
  </si>
  <si>
    <t xml:space="preserve">Boldstack Solutions</t>
  </si>
  <si>
    <t xml:space="preserve">ACC-10778</t>
  </si>
  <si>
    <t xml:space="preserve">Peakmind Group</t>
  </si>
  <si>
    <t xml:space="preserve">ACC-10790</t>
  </si>
  <si>
    <t xml:space="preserve">Vertexpath Co</t>
  </si>
  <si>
    <t xml:space="preserve">ACC-10955</t>
  </si>
  <si>
    <t xml:space="preserve">Primegrid Co</t>
  </si>
  <si>
    <t xml:space="preserve">ACC-11030</t>
  </si>
  <si>
    <t xml:space="preserve">Truegrid Ltd</t>
  </si>
  <si>
    <t xml:space="preserve">ACC-11064</t>
  </si>
  <si>
    <t xml:space="preserve">Swiftscale Solutions</t>
  </si>
  <si>
    <t xml:space="preserve">ACC-11088</t>
  </si>
  <si>
    <t xml:space="preserve">Truelogic LLC</t>
  </si>
  <si>
    <t xml:space="preserve">ACC-11204</t>
  </si>
  <si>
    <t xml:space="preserve">Atlasgrid LLC</t>
  </si>
  <si>
    <t xml:space="preserve">ACC-11209</t>
  </si>
  <si>
    <t xml:space="preserve">Silverbridge Co</t>
  </si>
  <si>
    <t xml:space="preserve">ACC-11343</t>
  </si>
  <si>
    <t xml:space="preserve">Primewave Systems</t>
  </si>
  <si>
    <t xml:space="preserve">ACC-11435</t>
  </si>
  <si>
    <t xml:space="preserve">Silvermind Ltd</t>
  </si>
  <si>
    <t xml:space="preserve">ACC-11496</t>
  </si>
  <si>
    <t xml:space="preserve">Peakpath LLC</t>
  </si>
  <si>
    <t xml:space="preserve">ACC-11556</t>
  </si>
  <si>
    <t xml:space="preserve">Lumenmind Ltd</t>
  </si>
  <si>
    <t xml:space="preserve">ACC-11789</t>
  </si>
  <si>
    <t xml:space="preserve">Coreflow Solutions</t>
  </si>
  <si>
    <t xml:space="preserve">ACC-11838</t>
  </si>
  <si>
    <t xml:space="preserve">Truely Ltd</t>
  </si>
  <si>
    <t xml:space="preserve">ACC-11884</t>
  </si>
  <si>
    <t xml:space="preserve">Swiftline Inc</t>
  </si>
  <si>
    <t xml:space="preserve">ACC-11941</t>
  </si>
  <si>
    <t xml:space="preserve">Vertexscale Inc</t>
  </si>
  <si>
    <t xml:space="preserve">ACC-11966</t>
  </si>
  <si>
    <t xml:space="preserve">Silverlabs Group</t>
  </si>
  <si>
    <t xml:space="preserve">ACC-11992</t>
  </si>
  <si>
    <t xml:space="preserve">Urbangrid Group</t>
  </si>
  <si>
    <t xml:space="preserve">ACC-12187</t>
  </si>
  <si>
    <t xml:space="preserve">Brighthub Group</t>
  </si>
  <si>
    <t xml:space="preserve">ACC-12245</t>
  </si>
  <si>
    <t xml:space="preserve">Atlaslabs LLC</t>
  </si>
  <si>
    <t xml:space="preserve">ACC-12253</t>
  </si>
  <si>
    <t xml:space="preserve">Greenflow Group</t>
  </si>
  <si>
    <t xml:space="preserve">ACC-12321</t>
  </si>
  <si>
    <t xml:space="preserve">Silvermind Group</t>
  </si>
  <si>
    <t xml:space="preserve">ACC-12326</t>
  </si>
  <si>
    <t xml:space="preserve">Atlasnest Co</t>
  </si>
  <si>
    <t xml:space="preserve">ACC-12430</t>
  </si>
  <si>
    <t xml:space="preserve">Lumenflow LLC</t>
  </si>
  <si>
    <t xml:space="preserve">ACC-12449</t>
  </si>
  <si>
    <t xml:space="preserve">Silverstack Technologies</t>
  </si>
  <si>
    <t xml:space="preserve">ACC-10019</t>
  </si>
  <si>
    <t xml:space="preserve">Apexstack Co</t>
  </si>
  <si>
    <t xml:space="preserve">ACC-10146</t>
  </si>
  <si>
    <t xml:space="preserve">Bluelogic Ltd</t>
  </si>
  <si>
    <t xml:space="preserve">ACC-10170</t>
  </si>
  <si>
    <t xml:space="preserve">Greenwave LLC</t>
  </si>
  <si>
    <t xml:space="preserve">ACC-10238</t>
  </si>
  <si>
    <t xml:space="preserve">Apexhub Technologies</t>
  </si>
  <si>
    <t xml:space="preserve">ACC-10274</t>
  </si>
  <si>
    <t xml:space="preserve">Atlasbase Co</t>
  </si>
  <si>
    <t xml:space="preserve">ACC-10317</t>
  </si>
  <si>
    <t xml:space="preserve">Urbanhub LLC</t>
  </si>
  <si>
    <t xml:space="preserve">ACC-10324</t>
  </si>
  <si>
    <t xml:space="preserve">Apexlabs Ltd</t>
  </si>
  <si>
    <t xml:space="preserve">ACC-10354</t>
  </si>
  <si>
    <t xml:space="preserve">Truehub Inc</t>
  </si>
  <si>
    <t xml:space="preserve">ACC-10539</t>
  </si>
  <si>
    <t xml:space="preserve">Truepoint LLC</t>
  </si>
  <si>
    <t xml:space="preserve">ACC-10560</t>
  </si>
  <si>
    <t xml:space="preserve">Truescale Ltd</t>
  </si>
  <si>
    <t xml:space="preserve">ACC-10613</t>
  </si>
  <si>
    <t xml:space="preserve">Atlassphere Co</t>
  </si>
  <si>
    <t xml:space="preserve">ACC-10694</t>
  </si>
  <si>
    <t xml:space="preserve">Peakmind Solutions</t>
  </si>
  <si>
    <t xml:space="preserve">ACC-10715</t>
  </si>
  <si>
    <t xml:space="preserve">Northlogic Solutions</t>
  </si>
  <si>
    <t xml:space="preserve">ACC-10810</t>
  </si>
  <si>
    <t xml:space="preserve">Northgrid Technologies</t>
  </si>
  <si>
    <t xml:space="preserve">ACC-10889</t>
  </si>
  <si>
    <t xml:space="preserve">Swiftbase Systems</t>
  </si>
  <si>
    <t xml:space="preserve">ACC-10979</t>
  </si>
  <si>
    <t xml:space="preserve">Atlaslabs Inc</t>
  </si>
  <si>
    <t xml:space="preserve">ACC-11066</t>
  </si>
  <si>
    <t xml:space="preserve">Greenmind Inc</t>
  </si>
  <si>
    <t xml:space="preserve">ACC-11168</t>
  </si>
  <si>
    <t xml:space="preserve">Pixelwave Co</t>
  </si>
  <si>
    <t xml:space="preserve">ACC-11195</t>
  </si>
  <si>
    <t xml:space="preserve">Clearmind LLC</t>
  </si>
  <si>
    <t xml:space="preserve">ACC-11207</t>
  </si>
  <si>
    <t xml:space="preserve">Peaklogic Group</t>
  </si>
  <si>
    <t xml:space="preserve">ACC-11227</t>
  </si>
  <si>
    <t xml:space="preserve">Trueforge Ltd</t>
  </si>
  <si>
    <t xml:space="preserve">ACC-11231</t>
  </si>
  <si>
    <t xml:space="preserve">Bluehub Systems</t>
  </si>
  <si>
    <t xml:space="preserve">ACC-11287</t>
  </si>
  <si>
    <t xml:space="preserve">Truescale Systems</t>
  </si>
  <si>
    <t xml:space="preserve">ACC-11340</t>
  </si>
  <si>
    <t xml:space="preserve">Apexsphere LLC</t>
  </si>
  <si>
    <t xml:space="preserve">ACC-11358</t>
  </si>
  <si>
    <t xml:space="preserve">Swiftsphere Inc</t>
  </si>
  <si>
    <t xml:space="preserve">ACC-11440</t>
  </si>
  <si>
    <t xml:space="preserve">Novaline Systems</t>
  </si>
  <si>
    <t xml:space="preserve">ACC-11589</t>
  </si>
  <si>
    <t xml:space="preserve">Orbitlogic Systems</t>
  </si>
  <si>
    <t xml:space="preserve">ACC-11756</t>
  </si>
  <si>
    <t xml:space="preserve">Urbanworks Group</t>
  </si>
  <si>
    <t xml:space="preserve">ACC-11788</t>
  </si>
  <si>
    <t xml:space="preserve">Peakwave Technologies</t>
  </si>
  <si>
    <t xml:space="preserve">ACC-11888</t>
  </si>
  <si>
    <t xml:space="preserve">Greenlogic LLC</t>
  </si>
  <si>
    <t xml:space="preserve">ACC-12039</t>
  </si>
  <si>
    <t xml:space="preserve">Vertexflow Systems</t>
  </si>
  <si>
    <t xml:space="preserve">ACC-12082</t>
  </si>
  <si>
    <t xml:space="preserve">Swiftlogic Ltd</t>
  </si>
  <si>
    <t xml:space="preserve">ACC-12438</t>
  </si>
  <si>
    <t xml:space="preserve">Lumenbridge Co</t>
  </si>
  <si>
    <t xml:space="preserve">ACC-12542</t>
  </si>
  <si>
    <t xml:space="preserve">Clearlogic Co</t>
  </si>
  <si>
    <t xml:space="preserve">ACC-12600</t>
  </si>
  <si>
    <t xml:space="preserve">Atlasbridge Systems</t>
  </si>
  <si>
    <t xml:space="preserve">ACC-10113</t>
  </si>
  <si>
    <t xml:space="preserve">Bluemind Group</t>
  </si>
  <si>
    <t xml:space="preserve">ACC-10221</t>
  </si>
  <si>
    <t xml:space="preserve">Peakly Inc</t>
  </si>
  <si>
    <t xml:space="preserve">ACC-10227</t>
  </si>
  <si>
    <t xml:space="preserve">Pixelworks Systems</t>
  </si>
  <si>
    <t xml:space="preserve">ACC-10270</t>
  </si>
  <si>
    <t xml:space="preserve">Urbannest Ltd</t>
  </si>
  <si>
    <t xml:space="preserve">ACC-10361</t>
  </si>
  <si>
    <t xml:space="preserve">Silvercraft Inc</t>
  </si>
  <si>
    <t xml:space="preserve">ACC-10432</t>
  </si>
  <si>
    <t xml:space="preserve">Brightworks Inc</t>
  </si>
  <si>
    <t xml:space="preserve">ACC-10521</t>
  </si>
  <si>
    <t xml:space="preserve">Silverhub Co</t>
  </si>
  <si>
    <t xml:space="preserve">ACC-10699</t>
  </si>
  <si>
    <t xml:space="preserve">Brightnest Ltd</t>
  </si>
  <si>
    <t xml:space="preserve">ACC-10823</t>
  </si>
  <si>
    <t xml:space="preserve">Corebase Technologies</t>
  </si>
  <si>
    <t xml:space="preserve">ACC-10910</t>
  </si>
  <si>
    <t xml:space="preserve">Truehub LLC</t>
  </si>
  <si>
    <t xml:space="preserve">ACC-11044</t>
  </si>
  <si>
    <t xml:space="preserve">Orbitbridge LLC</t>
  </si>
  <si>
    <t xml:space="preserve">ACC-11072</t>
  </si>
  <si>
    <t xml:space="preserve">Boldhub Co</t>
  </si>
  <si>
    <t xml:space="preserve">ACC-11096</t>
  </si>
  <si>
    <t xml:space="preserve">Vertexly Inc</t>
  </si>
  <si>
    <t xml:space="preserve">ACC-11459</t>
  </si>
  <si>
    <t xml:space="preserve">Peakbase Solutions</t>
  </si>
  <si>
    <t xml:space="preserve">ACC-11543</t>
  </si>
  <si>
    <t xml:space="preserve">Lumenlogic Group</t>
  </si>
  <si>
    <t xml:space="preserve">ACC-11628</t>
  </si>
  <si>
    <t xml:space="preserve">Peakforge Ltd</t>
  </si>
  <si>
    <t xml:space="preserve">ACC-11796</t>
  </si>
  <si>
    <t xml:space="preserve">Boldpath Systems</t>
  </si>
  <si>
    <t xml:space="preserve">ACC-11820</t>
  </si>
  <si>
    <t xml:space="preserve">Greenly Co</t>
  </si>
  <si>
    <t xml:space="preserve">ACC-11822</t>
  </si>
  <si>
    <t xml:space="preserve">Truehub Co</t>
  </si>
  <si>
    <t xml:space="preserve">ACC-11934</t>
  </si>
  <si>
    <t xml:space="preserve">Bluebase Ltd</t>
  </si>
  <si>
    <t xml:space="preserve">ACC-11944</t>
  </si>
  <si>
    <t xml:space="preserve">Boldly Ltd</t>
  </si>
  <si>
    <t xml:space="preserve">ACC-12096</t>
  </si>
  <si>
    <t xml:space="preserve">Primestack Group</t>
  </si>
  <si>
    <t xml:space="preserve">ACC-12146</t>
  </si>
  <si>
    <t xml:space="preserve">Boldbridge Systems</t>
  </si>
  <si>
    <t xml:space="preserve">ACC-12226</t>
  </si>
  <si>
    <t xml:space="preserve">Primestack Inc</t>
  </si>
  <si>
    <t xml:space="preserve">ACC-12283</t>
  </si>
  <si>
    <t xml:space="preserve">Pixellogic Systems</t>
  </si>
  <si>
    <t xml:space="preserve">ACC-12289</t>
  </si>
  <si>
    <t xml:space="preserve">Lumencraft Co</t>
  </si>
  <si>
    <t xml:space="preserve">ACC-12318</t>
  </si>
  <si>
    <t xml:space="preserve">Pixelpath Systems</t>
  </si>
  <si>
    <t xml:space="preserve">ACC-12524</t>
  </si>
  <si>
    <t xml:space="preserve">Clearlogic Technologies</t>
  </si>
  <si>
    <t xml:space="preserve">ACC-12544</t>
  </si>
  <si>
    <t xml:space="preserve">Boldmind Solutions</t>
  </si>
  <si>
    <t xml:space="preserve">ACC-10059</t>
  </si>
  <si>
    <t xml:space="preserve">Truestack Ltd</t>
  </si>
  <si>
    <t xml:space="preserve">ACC-10582</t>
  </si>
  <si>
    <t xml:space="preserve">Trueline LLC</t>
  </si>
  <si>
    <t xml:space="preserve">ACC-10656</t>
  </si>
  <si>
    <t xml:space="preserve">Urbanlogic Inc</t>
  </si>
  <si>
    <t xml:space="preserve">ACC-11574</t>
  </si>
  <si>
    <t xml:space="preserve">Primepoint Technologies</t>
  </si>
  <si>
    <t xml:space="preserve">ACC-11797</t>
  </si>
  <si>
    <t xml:space="preserve">Coresphere Inc</t>
  </si>
  <si>
    <t xml:space="preserve">ACC-11813</t>
  </si>
  <si>
    <t xml:space="preserve">Urbanstack Ltd</t>
  </si>
  <si>
    <t xml:space="preserve">ACC-11855</t>
  </si>
  <si>
    <t xml:space="preserve">Peaklabs Co</t>
  </si>
  <si>
    <t xml:space="preserve">ACC-12435</t>
  </si>
  <si>
    <t xml:space="preserve">Swiftbridge Technologies</t>
  </si>
  <si>
    <t xml:space="preserve">ACC-10062</t>
  </si>
  <si>
    <t xml:space="preserve">Orbitstack Ltd</t>
  </si>
  <si>
    <t xml:space="preserve">ACC-10110</t>
  </si>
  <si>
    <t xml:space="preserve">Clearlabs Group</t>
  </si>
  <si>
    <t xml:space="preserve">ACC-10358</t>
  </si>
  <si>
    <t xml:space="preserve">Vertexlogic Group</t>
  </si>
  <si>
    <t xml:space="preserve">ACC-10458</t>
  </si>
  <si>
    <t xml:space="preserve">Novapoint Co</t>
  </si>
  <si>
    <t xml:space="preserve">ACC-10773</t>
  </si>
  <si>
    <t xml:space="preserve">Novalabs Group</t>
  </si>
  <si>
    <t xml:space="preserve">ACC-10881</t>
  </si>
  <si>
    <t xml:space="preserve">Apexcraft Solutions</t>
  </si>
  <si>
    <t xml:space="preserve">ACC-10956</t>
  </si>
  <si>
    <t xml:space="preserve">Swiftbase Ltd</t>
  </si>
  <si>
    <t xml:space="preserve">ACC-11079</t>
  </si>
  <si>
    <t xml:space="preserve">Apexpath Co</t>
  </si>
  <si>
    <t xml:space="preserve">ACC-11363</t>
  </si>
  <si>
    <t xml:space="preserve">Swiftflow Co</t>
  </si>
  <si>
    <t xml:space="preserve">ACC-11433</t>
  </si>
  <si>
    <t xml:space="preserve">Corewave Ltd</t>
  </si>
  <si>
    <t xml:space="preserve">ACC-11532</t>
  </si>
  <si>
    <t xml:space="preserve">Urbanline Group</t>
  </si>
  <si>
    <t xml:space="preserve">ACC-11690</t>
  </si>
  <si>
    <t xml:space="preserve">Apexgrid Group</t>
  </si>
  <si>
    <t xml:space="preserve">ACC-11963</t>
  </si>
  <si>
    <t xml:space="preserve">Swiftlabs Group</t>
  </si>
  <si>
    <t xml:space="preserve">ACC-10097</t>
  </si>
  <si>
    <t xml:space="preserve">Corestack Co</t>
  </si>
  <si>
    <t xml:space="preserve">ACC-10160</t>
  </si>
  <si>
    <t xml:space="preserve">Primemind Ltd</t>
  </si>
  <si>
    <t xml:space="preserve">ACC-10172</t>
  </si>
  <si>
    <t xml:space="preserve">Swiftforge Inc</t>
  </si>
  <si>
    <t xml:space="preserve">ACC-10251</t>
  </si>
  <si>
    <t xml:space="preserve">Swiftgrid Solutions</t>
  </si>
  <si>
    <t xml:space="preserve">ACC-10327</t>
  </si>
  <si>
    <t xml:space="preserve">Novacraft Technologies</t>
  </si>
  <si>
    <t xml:space="preserve">ACC-10507</t>
  </si>
  <si>
    <t xml:space="preserve">Atlasbridge Technologies</t>
  </si>
  <si>
    <t xml:space="preserve">ACC-10724</t>
  </si>
  <si>
    <t xml:space="preserve">Lumenbridge LLC</t>
  </si>
  <si>
    <t xml:space="preserve">ACC-11160</t>
  </si>
  <si>
    <t xml:space="preserve">Clearbase Solutions</t>
  </si>
  <si>
    <t xml:space="preserve">ACC-11232</t>
  </si>
  <si>
    <t xml:space="preserve">Apexstack Systems</t>
  </si>
  <si>
    <t xml:space="preserve">ACC-11396</t>
  </si>
  <si>
    <t xml:space="preserve">Boldlogic Solutions</t>
  </si>
  <si>
    <t xml:space="preserve">ACC-11446</t>
  </si>
  <si>
    <t xml:space="preserve">Novahub Inc</t>
  </si>
  <si>
    <t xml:space="preserve">ACC-11563</t>
  </si>
  <si>
    <t xml:space="preserve">Novalabs Ltd</t>
  </si>
  <si>
    <t xml:space="preserve">ACC-11643</t>
  </si>
  <si>
    <t xml:space="preserve">Swiftmind Technologies</t>
  </si>
  <si>
    <t xml:space="preserve">ACC-11805</t>
  </si>
  <si>
    <t xml:space="preserve">Pixelmind Solutions</t>
  </si>
  <si>
    <t xml:space="preserve">ACC-11912</t>
  </si>
  <si>
    <t xml:space="preserve">Vertexlabs Technologies</t>
  </si>
  <si>
    <t xml:space="preserve">ACC-11922</t>
  </si>
  <si>
    <t xml:space="preserve">Northwave Systems</t>
  </si>
  <si>
    <t xml:space="preserve">ACC-12036</t>
  </si>
  <si>
    <t xml:space="preserve">Silverlogic Ltd</t>
  </si>
  <si>
    <t xml:space="preserve">ACC-12149</t>
  </si>
  <si>
    <t xml:space="preserve">Truelabs LLC</t>
  </si>
  <si>
    <t xml:space="preserve">ACC-12151</t>
  </si>
  <si>
    <t xml:space="preserve">Urbanpoint Solutions</t>
  </si>
  <si>
    <t xml:space="preserve">ACC-12262</t>
  </si>
  <si>
    <t xml:space="preserve">Greennest Technologies</t>
  </si>
  <si>
    <t xml:space="preserve">ACC-12470</t>
  </si>
  <si>
    <t xml:space="preserve">Northpath Systems</t>
  </si>
  <si>
    <t xml:space="preserve">ACC-10156</t>
  </si>
  <si>
    <t xml:space="preserve">Pixelsphere Group</t>
  </si>
  <si>
    <t xml:space="preserve">ACC-10339</t>
  </si>
  <si>
    <t xml:space="preserve">Greennest Co</t>
  </si>
  <si>
    <t xml:space="preserve">ACC-10964</t>
  </si>
  <si>
    <t xml:space="preserve">Boldhub Technologies</t>
  </si>
  <si>
    <t xml:space="preserve">ACC-11927</t>
  </si>
  <si>
    <t xml:space="preserve">Northstack Solutions</t>
  </si>
  <si>
    <t xml:space="preserve">ACC-12040</t>
  </si>
  <si>
    <t xml:space="preserve">Atlasnest Group</t>
  </si>
  <si>
    <t xml:space="preserve">ACC-12150</t>
  </si>
  <si>
    <t xml:space="preserve">Atlasbridge Solutions</t>
  </si>
  <si>
    <t xml:space="preserve">ACC-12514</t>
  </si>
  <si>
    <t xml:space="preserve">Bluepoint Technologies</t>
  </si>
  <si>
    <t xml:space="preserve">ACC-10012</t>
  </si>
  <si>
    <t xml:space="preserve">Primescale Group</t>
  </si>
  <si>
    <t xml:space="preserve">ACC-10022</t>
  </si>
  <si>
    <t xml:space="preserve">Primelogic Group</t>
  </si>
  <si>
    <t xml:space="preserve">ACC-10191</t>
  </si>
  <si>
    <t xml:space="preserve">Silverlogic Inc</t>
  </si>
  <si>
    <t xml:space="preserve">ACC-10379</t>
  </si>
  <si>
    <t xml:space="preserve">Pixelstack Co</t>
  </si>
  <si>
    <t xml:space="preserve">ACC-10576</t>
  </si>
  <si>
    <t xml:space="preserve">Pixelmind Ltd</t>
  </si>
  <si>
    <t xml:space="preserve">ACC-10590</t>
  </si>
  <si>
    <t xml:space="preserve">Greenscale LLC</t>
  </si>
  <si>
    <t xml:space="preserve">ACC-10602</t>
  </si>
  <si>
    <t xml:space="preserve">Novacraft LLC</t>
  </si>
  <si>
    <t xml:space="preserve">ACC-10719</t>
  </si>
  <si>
    <t xml:space="preserve">Vertexsphere Technologies</t>
  </si>
  <si>
    <t xml:space="preserve">ACC-10958</t>
  </si>
  <si>
    <t xml:space="preserve">Greenly Ltd</t>
  </si>
  <si>
    <t xml:space="preserve">ACC-10985</t>
  </si>
  <si>
    <t xml:space="preserve">Greenpoint Group</t>
  </si>
  <si>
    <t xml:space="preserve">ACC-10992</t>
  </si>
  <si>
    <t xml:space="preserve">Greenlogic Systems</t>
  </si>
  <si>
    <t xml:space="preserve">ACC-11119</t>
  </si>
  <si>
    <t xml:space="preserve">Silvergrid LLC</t>
  </si>
  <si>
    <t xml:space="preserve">ACC-11264</t>
  </si>
  <si>
    <t xml:space="preserve">Apexbridge LLC</t>
  </si>
  <si>
    <t xml:space="preserve">ACC-11297</t>
  </si>
  <si>
    <t xml:space="preserve">Northcraft Systems</t>
  </si>
  <si>
    <t xml:space="preserve">ACC-11330</t>
  </si>
  <si>
    <t xml:space="preserve">Vertexnest Inc</t>
  </si>
  <si>
    <t xml:space="preserve">ACC-11513</t>
  </si>
  <si>
    <t xml:space="preserve">Bluepath Group</t>
  </si>
  <si>
    <t xml:space="preserve">ACC-11620</t>
  </si>
  <si>
    <t xml:space="preserve">Boldcraft Systems</t>
  </si>
  <si>
    <t xml:space="preserve">ACC-11770</t>
  </si>
  <si>
    <t xml:space="preserve">Brightbridge Ltd</t>
  </si>
  <si>
    <t xml:space="preserve">ACC-11835</t>
  </si>
  <si>
    <t xml:space="preserve">Primebridge Group</t>
  </si>
  <si>
    <t xml:space="preserve">ACC-11975</t>
  </si>
  <si>
    <t xml:space="preserve">Primeline LLC</t>
  </si>
  <si>
    <t xml:space="preserve">ACC-12286</t>
  </si>
  <si>
    <t xml:space="preserve">Clearworks Ltd</t>
  </si>
  <si>
    <t xml:space="preserve">ACC-12466</t>
  </si>
  <si>
    <t xml:space="preserve">Orbitbridge Ltd</t>
  </si>
  <si>
    <t xml:space="preserve">ACC-10064</t>
  </si>
  <si>
    <t xml:space="preserve">Apexwave Technologies</t>
  </si>
  <si>
    <t xml:space="preserve">ACC-10145</t>
  </si>
  <si>
    <t xml:space="preserve">Boldflow Ltd</t>
  </si>
  <si>
    <t xml:space="preserve">ACC-10223</t>
  </si>
  <si>
    <t xml:space="preserve">Silvernest Ltd</t>
  </si>
  <si>
    <t xml:space="preserve">ACC-10254</t>
  </si>
  <si>
    <t xml:space="preserve">Orbitnest Technologies</t>
  </si>
  <si>
    <t xml:space="preserve">ACC-10271</t>
  </si>
  <si>
    <t xml:space="preserve">Peakscale LLC</t>
  </si>
  <si>
    <t xml:space="preserve">ACC-10300</t>
  </si>
  <si>
    <t xml:space="preserve">Boldpath LLC</t>
  </si>
  <si>
    <t xml:space="preserve">ACC-10341</t>
  </si>
  <si>
    <t xml:space="preserve">Novabridge Solutions</t>
  </si>
  <si>
    <t xml:space="preserve">ACC-10357</t>
  </si>
  <si>
    <t xml:space="preserve">Pixelstack LLC</t>
  </si>
  <si>
    <t xml:space="preserve">ACC-10503</t>
  </si>
  <si>
    <t xml:space="preserve">Clearsphere Technologies</t>
  </si>
  <si>
    <t xml:space="preserve">ACC-10512</t>
  </si>
  <si>
    <t xml:space="preserve">Urbanstack Systems</t>
  </si>
  <si>
    <t xml:space="preserve">ACC-10842</t>
  </si>
  <si>
    <t xml:space="preserve">Bluegrid Group</t>
  </si>
  <si>
    <t xml:space="preserve">ACC-10854</t>
  </si>
  <si>
    <t xml:space="preserve">Urbanlabs Co</t>
  </si>
  <si>
    <t xml:space="preserve">ACC-10950</t>
  </si>
  <si>
    <t xml:space="preserve">Coregrid Co</t>
  </si>
  <si>
    <t xml:space="preserve">ACC-11106</t>
  </si>
  <si>
    <t xml:space="preserve">Boldstack Co</t>
  </si>
  <si>
    <t xml:space="preserve">ACC-11213</t>
  </si>
  <si>
    <t xml:space="preserve">Apexcraft Systems</t>
  </si>
  <si>
    <t xml:space="preserve">ACC-12041</t>
  </si>
  <si>
    <t xml:space="preserve">Lumenly Inc</t>
  </si>
  <si>
    <t xml:space="preserve">ACC-12057</t>
  </si>
  <si>
    <t xml:space="preserve">Corebridge Group</t>
  </si>
  <si>
    <t xml:space="preserve">ACC-12109</t>
  </si>
  <si>
    <t xml:space="preserve">Brightpoint Ltd</t>
  </si>
  <si>
    <t xml:space="preserve">ACC-12452</t>
  </si>
  <si>
    <t xml:space="preserve">Peaklabs Inc</t>
  </si>
  <si>
    <t xml:space="preserve">ACC-10364</t>
  </si>
  <si>
    <t xml:space="preserve">Urbanwave Technologies</t>
  </si>
  <si>
    <t xml:space="preserve">ACC-10886</t>
  </si>
  <si>
    <t xml:space="preserve">Clearcraft Co</t>
  </si>
  <si>
    <t xml:space="preserve">ACC-10989</t>
  </si>
  <si>
    <t xml:space="preserve">Primeforge Group</t>
  </si>
  <si>
    <t xml:space="preserve">ACC-11208</t>
  </si>
  <si>
    <t xml:space="preserve">Vertexmind Technologies</t>
  </si>
  <si>
    <t xml:space="preserve">ACC-11347</t>
  </si>
  <si>
    <t xml:space="preserve">Blueline Inc</t>
  </si>
  <si>
    <t xml:space="preserve">ACC-11704</t>
  </si>
  <si>
    <t xml:space="preserve">Apexmind Inc</t>
  </si>
  <si>
    <t xml:space="preserve">ACC-11891</t>
  </si>
  <si>
    <t xml:space="preserve">Northly Ltd</t>
  </si>
  <si>
    <t xml:space="preserve">ACC-11938</t>
  </si>
  <si>
    <t xml:space="preserve">Greenpath Group</t>
  </si>
  <si>
    <t xml:space="preserve">ACC-12201</t>
  </si>
  <si>
    <t xml:space="preserve">Clearscale Technologies</t>
  </si>
  <si>
    <t xml:space="preserve">ACC-12282</t>
  </si>
  <si>
    <t xml:space="preserve">Peakbase LLC</t>
  </si>
  <si>
    <t xml:space="preserve">ACC-12376</t>
  </si>
  <si>
    <t xml:space="preserve">Peakbridge Inc</t>
  </si>
  <si>
    <t xml:space="preserve">ACC-10052</t>
  </si>
  <si>
    <t xml:space="preserve">Clearsphere Ltd</t>
  </si>
  <si>
    <t xml:space="preserve">ACC-10141</t>
  </si>
  <si>
    <t xml:space="preserve">Clearmind Technologies</t>
  </si>
  <si>
    <t xml:space="preserve">ACC-10222</t>
  </si>
  <si>
    <t xml:space="preserve">Swiftgrid LLC</t>
  </si>
  <si>
    <t xml:space="preserve">ACC-10299</t>
  </si>
  <si>
    <t xml:space="preserve">Trueflow Technologies</t>
  </si>
  <si>
    <t xml:space="preserve">ACC-10346</t>
  </si>
  <si>
    <t xml:space="preserve">Silverbase Systems</t>
  </si>
  <si>
    <t xml:space="preserve">ACC-10409</t>
  </si>
  <si>
    <t xml:space="preserve">Urbanscale Group</t>
  </si>
  <si>
    <t xml:space="preserve">ACC-10527</t>
  </si>
  <si>
    <t xml:space="preserve">Apexlogic Technologies</t>
  </si>
  <si>
    <t xml:space="preserve">ACC-10601</t>
  </si>
  <si>
    <t xml:space="preserve">Trueline Inc</t>
  </si>
  <si>
    <t xml:space="preserve">ACC-10624</t>
  </si>
  <si>
    <t xml:space="preserve">Greenscale Systems</t>
  </si>
  <si>
    <t xml:space="preserve">ACC-10634</t>
  </si>
  <si>
    <t xml:space="preserve">Brightgrid LLC</t>
  </si>
  <si>
    <t xml:space="preserve">ACC-10672</t>
  </si>
  <si>
    <t xml:space="preserve">Swiftscale Systems</t>
  </si>
  <si>
    <t xml:space="preserve">ACC-11040</t>
  </si>
  <si>
    <t xml:space="preserve">Pixellogic Group</t>
  </si>
  <si>
    <t xml:space="preserve">ACC-11135</t>
  </si>
  <si>
    <t xml:space="preserve">Peakworks Ltd</t>
  </si>
  <si>
    <t xml:space="preserve">ACC-11141</t>
  </si>
  <si>
    <t xml:space="preserve">Novabridge Systems</t>
  </si>
  <si>
    <t xml:space="preserve">ACC-11230</t>
  </si>
  <si>
    <t xml:space="preserve">Brightgrid Ltd</t>
  </si>
  <si>
    <t xml:space="preserve">ACC-11272</t>
  </si>
  <si>
    <t xml:space="preserve">Novapath Ltd</t>
  </si>
  <si>
    <t xml:space="preserve">ACC-11386</t>
  </si>
  <si>
    <t xml:space="preserve">Clearmind Inc</t>
  </si>
  <si>
    <t xml:space="preserve">ACC-11426</t>
  </si>
  <si>
    <t xml:space="preserve">Apexstack Technologies</t>
  </si>
  <si>
    <t xml:space="preserve">ACC-11434</t>
  </si>
  <si>
    <t xml:space="preserve">Orbitgrid Technologies</t>
  </si>
  <si>
    <t xml:space="preserve">ACC-11614</t>
  </si>
  <si>
    <t xml:space="preserve">Swiftlogic Inc</t>
  </si>
  <si>
    <t xml:space="preserve">ACC-11928</t>
  </si>
  <si>
    <t xml:space="preserve">Vertexbridge Ltd</t>
  </si>
  <si>
    <t xml:space="preserve">ACC-12156</t>
  </si>
  <si>
    <t xml:space="preserve">Orbitline Technologies</t>
  </si>
  <si>
    <t xml:space="preserve">ACC-12386</t>
  </si>
  <si>
    <t xml:space="preserve">Boldforge Technologies</t>
  </si>
  <si>
    <t xml:space="preserve">ACC-12445</t>
  </si>
  <si>
    <t xml:space="preserve">Northmind Systems</t>
  </si>
  <si>
    <t xml:space="preserve">ACC-12519</t>
  </si>
  <si>
    <t xml:space="preserve">Swiftbridge Systems</t>
  </si>
  <si>
    <t xml:space="preserve">ACC-10224</t>
  </si>
  <si>
    <t xml:space="preserve">Clearline LLC</t>
  </si>
  <si>
    <t xml:space="preserve">ACC-10314</t>
  </si>
  <si>
    <t xml:space="preserve">Peakcraft Systems</t>
  </si>
  <si>
    <t xml:space="preserve">ACC-10559</t>
  </si>
  <si>
    <t xml:space="preserve">Boldly Solutions</t>
  </si>
  <si>
    <t xml:space="preserve">ACC-10721</t>
  </si>
  <si>
    <t xml:space="preserve">Orbitstack Solutions</t>
  </si>
  <si>
    <t xml:space="preserve">ACC-10791</t>
  </si>
  <si>
    <t xml:space="preserve">Silverwave Technologies</t>
  </si>
  <si>
    <t xml:space="preserve">ACC-10826</t>
  </si>
  <si>
    <t xml:space="preserve">Atlasbridge Inc</t>
  </si>
  <si>
    <t xml:space="preserve">ACC-10903</t>
  </si>
  <si>
    <t xml:space="preserve">Clearly Technologies</t>
  </si>
  <si>
    <t xml:space="preserve">ACC-10922</t>
  </si>
  <si>
    <t xml:space="preserve">Apexline Technologies</t>
  </si>
  <si>
    <t xml:space="preserve">ACC-10951</t>
  </si>
  <si>
    <t xml:space="preserve">Northbridge Technologies</t>
  </si>
  <si>
    <t xml:space="preserve">ACC-11108</t>
  </si>
  <si>
    <t xml:space="preserve">Truepoint Technologies</t>
  </si>
  <si>
    <t xml:space="preserve">ACC-11365</t>
  </si>
  <si>
    <t xml:space="preserve">Peakworks Systems</t>
  </si>
  <si>
    <t xml:space="preserve">ACC-11475</t>
  </si>
  <si>
    <t xml:space="preserve">Boldnest Systems</t>
  </si>
  <si>
    <t xml:space="preserve">ACC-11720</t>
  </si>
  <si>
    <t xml:space="preserve">Lumenly Technologies</t>
  </si>
  <si>
    <t xml:space="preserve">ACC-11832</t>
  </si>
  <si>
    <t xml:space="preserve">Silverstack Solutions</t>
  </si>
  <si>
    <t xml:space="preserve">ACC-11913</t>
  </si>
  <si>
    <t xml:space="preserve">Apexmind LLC</t>
  </si>
  <si>
    <t xml:space="preserve">ACC-10658</t>
  </si>
  <si>
    <t xml:space="preserve">Vertexpath Solutions</t>
  </si>
  <si>
    <t xml:space="preserve">ACC-11179</t>
  </si>
  <si>
    <t xml:space="preserve">Blueflow Inc</t>
  </si>
  <si>
    <t xml:space="preserve">ACC-11211</t>
  </si>
  <si>
    <t xml:space="preserve">Apexnest Solutions</t>
  </si>
  <si>
    <t xml:space="preserve">ACC-11468</t>
  </si>
  <si>
    <t xml:space="preserve">Apexforge Group</t>
  </si>
  <si>
    <t xml:space="preserve">ACC-11591</t>
  </si>
  <si>
    <t xml:space="preserve">Orbitbase LLC</t>
  </si>
  <si>
    <t xml:space="preserve">ACC-11809</t>
  </si>
  <si>
    <t xml:space="preserve">Swiftlogic Systems</t>
  </si>
  <si>
    <t xml:space="preserve">ACC-11890</t>
  </si>
  <si>
    <t xml:space="preserve">Urbansphere Inc</t>
  </si>
  <si>
    <t xml:space="preserve">ACC-10328</t>
  </si>
  <si>
    <t xml:space="preserve">Greenline Inc</t>
  </si>
  <si>
    <t xml:space="preserve">ACC-10493</t>
  </si>
  <si>
    <t xml:space="preserve">Greenstack Solutions</t>
  </si>
  <si>
    <t xml:space="preserve">ACC-10557</t>
  </si>
  <si>
    <t xml:space="preserve">Lumenscale Solutions</t>
  </si>
  <si>
    <t xml:space="preserve">ACC-10809</t>
  </si>
  <si>
    <t xml:space="preserve">Silverly Solutions</t>
  </si>
  <si>
    <t xml:space="preserve">ACC-10859</t>
  </si>
  <si>
    <t xml:space="preserve">Atlasbase Systems</t>
  </si>
  <si>
    <t xml:space="preserve">ACC-10902</t>
  </si>
  <si>
    <t xml:space="preserve">Lumenly LLC</t>
  </si>
  <si>
    <t xml:space="preserve">ACC-10920</t>
  </si>
  <si>
    <t xml:space="preserve">Peakline Group</t>
  </si>
  <si>
    <t xml:space="preserve">ACC-11170</t>
  </si>
  <si>
    <t xml:space="preserve">Novaly Solutions</t>
  </si>
  <si>
    <t xml:space="preserve">ACC-11218</t>
  </si>
  <si>
    <t xml:space="preserve">Lumenforge Ltd</t>
  </si>
  <si>
    <t xml:space="preserve">ACC-11672</t>
  </si>
  <si>
    <t xml:space="preserve">Swiftcraft Co</t>
  </si>
  <si>
    <t xml:space="preserve">ACC-11837</t>
  </si>
  <si>
    <t xml:space="preserve">Atlasgrid Systems</t>
  </si>
  <si>
    <t xml:space="preserve">ACC-11860</t>
  </si>
  <si>
    <t xml:space="preserve">Silvergrid Inc</t>
  </si>
  <si>
    <t xml:space="preserve">ACC-11949</t>
  </si>
  <si>
    <t xml:space="preserve">Pixelscale Co</t>
  </si>
  <si>
    <t xml:space="preserve">ACC-12018</t>
  </si>
  <si>
    <t xml:space="preserve">Orbitforge LLC</t>
  </si>
  <si>
    <t xml:space="preserve">ACC-12037</t>
  </si>
  <si>
    <t xml:space="preserve">Corebase Systems</t>
  </si>
  <si>
    <t xml:space="preserve">ACC-12075</t>
  </si>
  <si>
    <t xml:space="preserve">Orbitstack Group</t>
  </si>
  <si>
    <t xml:space="preserve">ACC-12195</t>
  </si>
  <si>
    <t xml:space="preserve">Clearstack Technologies</t>
  </si>
  <si>
    <t xml:space="preserve">ACC-12343</t>
  </si>
  <si>
    <t xml:space="preserve">Trueflow Solutions</t>
  </si>
  <si>
    <t xml:space="preserve">ACC-10078</t>
  </si>
  <si>
    <t xml:space="preserve">Swiftworks Co</t>
  </si>
  <si>
    <t xml:space="preserve">ACC-10196</t>
  </si>
  <si>
    <t xml:space="preserve">Peakly Ltd</t>
  </si>
  <si>
    <t xml:space="preserve">ACC-10216</t>
  </si>
  <si>
    <t xml:space="preserve">Vertexstack Systems</t>
  </si>
  <si>
    <t xml:space="preserve">ACC-10344</t>
  </si>
  <si>
    <t xml:space="preserve">Trueline Systems</t>
  </si>
  <si>
    <t xml:space="preserve">ACC-10349</t>
  </si>
  <si>
    <t xml:space="preserve">Boldlogic Technologies</t>
  </si>
  <si>
    <t xml:space="preserve">ACC-10386</t>
  </si>
  <si>
    <t xml:space="preserve">Corescale Inc</t>
  </si>
  <si>
    <t xml:space="preserve">ACC-10553</t>
  </si>
  <si>
    <t xml:space="preserve">Silvergrid Solutions</t>
  </si>
  <si>
    <t xml:space="preserve">ACC-10599</t>
  </si>
  <si>
    <t xml:space="preserve">Greenforge Technologies</t>
  </si>
  <si>
    <t xml:space="preserve">ACC-10600</t>
  </si>
  <si>
    <t xml:space="preserve">Northbase Solutions</t>
  </si>
  <si>
    <t xml:space="preserve">ACC-10630</t>
  </si>
  <si>
    <t xml:space="preserve">Truepath Technologies</t>
  </si>
  <si>
    <t xml:space="preserve">ACC-10632</t>
  </si>
  <si>
    <t xml:space="preserve">Peakpoint Inc</t>
  </si>
  <si>
    <t xml:space="preserve">ACC-10718</t>
  </si>
  <si>
    <t xml:space="preserve">Northforge Ltd</t>
  </si>
  <si>
    <t xml:space="preserve">ACC-10855</t>
  </si>
  <si>
    <t xml:space="preserve">Atlasflow Co</t>
  </si>
  <si>
    <t xml:space="preserve">ACC-10877</t>
  </si>
  <si>
    <t xml:space="preserve">Northpath Co</t>
  </si>
  <si>
    <t xml:space="preserve">ACC-10934</t>
  </si>
  <si>
    <t xml:space="preserve">Corebase Inc</t>
  </si>
  <si>
    <t xml:space="preserve">ACC-10968</t>
  </si>
  <si>
    <t xml:space="preserve">Brightsphere Systems</t>
  </si>
  <si>
    <t xml:space="preserve">ACC-11002</t>
  </si>
  <si>
    <t xml:space="preserve">Urbanworks Technologies</t>
  </si>
  <si>
    <t xml:space="preserve">ACC-11006</t>
  </si>
  <si>
    <t xml:space="preserve">Boldbridge Solutions</t>
  </si>
  <si>
    <t xml:space="preserve">ACC-11095</t>
  </si>
  <si>
    <t xml:space="preserve">Silverlogic Co</t>
  </si>
  <si>
    <t xml:space="preserve">ACC-11186</t>
  </si>
  <si>
    <t xml:space="preserve">Bluebase Systems</t>
  </si>
  <si>
    <t xml:space="preserve">ACC-11399</t>
  </si>
  <si>
    <t xml:space="preserve">Pixelmind LLC</t>
  </si>
  <si>
    <t xml:space="preserve">ACC-11861</t>
  </si>
  <si>
    <t xml:space="preserve">Novascale LLC</t>
  </si>
  <si>
    <t xml:space="preserve">ACC-12014</t>
  </si>
  <si>
    <t xml:space="preserve">Orbithub Systems</t>
  </si>
  <si>
    <t xml:space="preserve">ACC-12123</t>
  </si>
  <si>
    <t xml:space="preserve">Truecraft Inc</t>
  </si>
  <si>
    <t xml:space="preserve">ACC-12203</t>
  </si>
  <si>
    <t xml:space="preserve">Greenly Solutions</t>
  </si>
  <si>
    <t xml:space="preserve">ACC-12246</t>
  </si>
  <si>
    <t xml:space="preserve">Orbitsphere LLC</t>
  </si>
  <si>
    <t xml:space="preserve">ACC-12327</t>
  </si>
  <si>
    <t xml:space="preserve">Urbanlogic LLC</t>
  </si>
  <si>
    <t xml:space="preserve">ACC-12353</t>
  </si>
  <si>
    <t xml:space="preserve">Lumenhub LLC</t>
  </si>
  <si>
    <t xml:space="preserve">ACC-12523</t>
  </si>
  <si>
    <t xml:space="preserve">Orbitly LLC</t>
  </si>
  <si>
    <t xml:space="preserve">ACC-12566</t>
  </si>
  <si>
    <t xml:space="preserve">Orbitsphere Systems</t>
  </si>
  <si>
    <t xml:space="preserve">ACC-10201</t>
  </si>
  <si>
    <t xml:space="preserve">Novaly Inc</t>
  </si>
  <si>
    <t xml:space="preserve">ACC-10779</t>
  </si>
  <si>
    <t xml:space="preserve">Novagrid Co</t>
  </si>
  <si>
    <t xml:space="preserve">ACC-11078</t>
  </si>
  <si>
    <t xml:space="preserve">Swiftnest Group</t>
  </si>
  <si>
    <t xml:space="preserve">ACC-11604</t>
  </si>
  <si>
    <t xml:space="preserve">Silverforge Inc</t>
  </si>
  <si>
    <t xml:space="preserve">ACC-11694</t>
  </si>
  <si>
    <t xml:space="preserve">Brightbridge Systems</t>
  </si>
  <si>
    <t xml:space="preserve">ACC-12088</t>
  </si>
  <si>
    <t xml:space="preserve">Apexbridge Systems</t>
  </si>
  <si>
    <t xml:space="preserve">ACC-12342</t>
  </si>
  <si>
    <t xml:space="preserve">Boldgrid LLC</t>
  </si>
  <si>
    <t xml:space="preserve">ACC-12394</t>
  </si>
  <si>
    <t xml:space="preserve">Urbanline LLC</t>
  </si>
  <si>
    <t xml:space="preserve">ACC-10293</t>
  </si>
  <si>
    <t xml:space="preserve">Blueworks Co</t>
  </si>
  <si>
    <t xml:space="preserve">ACC-10303</t>
  </si>
  <si>
    <t xml:space="preserve">Boldlabs Ltd</t>
  </si>
  <si>
    <t xml:space="preserve">ACC-10307</t>
  </si>
  <si>
    <t xml:space="preserve">Apexpoint Co</t>
  </si>
  <si>
    <t xml:space="preserve">ACC-10359</t>
  </si>
  <si>
    <t xml:space="preserve">Greencraft Technologies</t>
  </si>
  <si>
    <t xml:space="preserve">ACC-10406</t>
  </si>
  <si>
    <t xml:space="preserve">Peakstack Technologies</t>
  </si>
  <si>
    <t xml:space="preserve">ACC-10516</t>
  </si>
  <si>
    <t xml:space="preserve">Swiftpath Group</t>
  </si>
  <si>
    <t xml:space="preserve">ACC-10661</t>
  </si>
  <si>
    <t xml:space="preserve">Boldbase LLC</t>
  </si>
  <si>
    <t xml:space="preserve">ACC-10735</t>
  </si>
  <si>
    <t xml:space="preserve">Truecraft Systems</t>
  </si>
  <si>
    <t xml:space="preserve">ACC-10746</t>
  </si>
  <si>
    <t xml:space="preserve">Orbitstack Systems</t>
  </si>
  <si>
    <t xml:space="preserve">ACC-10780</t>
  </si>
  <si>
    <t xml:space="preserve">Clearbase LLC</t>
  </si>
  <si>
    <t xml:space="preserve">ACC-10806</t>
  </si>
  <si>
    <t xml:space="preserve">Bluepoint Ltd</t>
  </si>
  <si>
    <t xml:space="preserve">ACC-10832</t>
  </si>
  <si>
    <t xml:space="preserve">Novastack Technologies</t>
  </si>
  <si>
    <t xml:space="preserve">ACC-10915</t>
  </si>
  <si>
    <t xml:space="preserve">Novamind Ltd</t>
  </si>
  <si>
    <t xml:space="preserve">ACC-10923</t>
  </si>
  <si>
    <t xml:space="preserve">Brightly Technologies</t>
  </si>
  <si>
    <t xml:space="preserve">ACC-10928</t>
  </si>
  <si>
    <t xml:space="preserve">Primeflow Inc</t>
  </si>
  <si>
    <t xml:space="preserve">ACC-11394</t>
  </si>
  <si>
    <t xml:space="preserve">Swiftcraft LLC</t>
  </si>
  <si>
    <t xml:space="preserve">ACC-11404</t>
  </si>
  <si>
    <t xml:space="preserve">Atlasbridge Ltd</t>
  </si>
  <si>
    <t xml:space="preserve">ACC-11504</t>
  </si>
  <si>
    <t xml:space="preserve">Atlasflow Group</t>
  </si>
  <si>
    <t xml:space="preserve">ACC-11771</t>
  </si>
  <si>
    <t xml:space="preserve">Greenforge Systems</t>
  </si>
  <si>
    <t xml:space="preserve">ACC-11863</t>
  </si>
  <si>
    <t xml:space="preserve">Urbanmind Inc</t>
  </si>
  <si>
    <t xml:space="preserve">ACC-12304</t>
  </si>
  <si>
    <t xml:space="preserve">Clearpoint Group</t>
  </si>
  <si>
    <t xml:space="preserve">ACC-12346</t>
  </si>
  <si>
    <t xml:space="preserve">Greenline Co</t>
  </si>
  <si>
    <t xml:space="preserve">ACC-12396</t>
  </si>
  <si>
    <t xml:space="preserve">Novabase Group</t>
  </si>
  <si>
    <t xml:space="preserve">ACC-10023</t>
  </si>
  <si>
    <t xml:space="preserve">Greenforge Ltd</t>
  </si>
  <si>
    <t xml:space="preserve">ACC-10024</t>
  </si>
  <si>
    <t xml:space="preserve">Pixelpath Technologies</t>
  </si>
  <si>
    <t xml:space="preserve">ACC-10087</t>
  </si>
  <si>
    <t xml:space="preserve">Peaklogic Inc</t>
  </si>
  <si>
    <t xml:space="preserve">ACC-10137</t>
  </si>
  <si>
    <t xml:space="preserve">Pixellogic Co</t>
  </si>
  <si>
    <t xml:space="preserve">ACC-10186</t>
  </si>
  <si>
    <t xml:space="preserve">Pixellogic Solutions</t>
  </si>
  <si>
    <t xml:space="preserve">ACC-10265</t>
  </si>
  <si>
    <t xml:space="preserve">Novapath Inc</t>
  </si>
  <si>
    <t xml:space="preserve">ACC-10377</t>
  </si>
  <si>
    <t xml:space="preserve">Boldscale Co</t>
  </si>
  <si>
    <t xml:space="preserve">ACC-10492</t>
  </si>
  <si>
    <t xml:space="preserve">Apexlabs LLC</t>
  </si>
  <si>
    <t xml:space="preserve">ACC-10515</t>
  </si>
  <si>
    <t xml:space="preserve">Lumenwave Solutions</t>
  </si>
  <si>
    <t xml:space="preserve">ACC-10517</t>
  </si>
  <si>
    <t xml:space="preserve">Northnest Solutions</t>
  </si>
  <si>
    <t xml:space="preserve">ACC-10545</t>
  </si>
  <si>
    <t xml:space="preserve">Novaflow Ltd</t>
  </si>
  <si>
    <t xml:space="preserve">ACC-10580</t>
  </si>
  <si>
    <t xml:space="preserve">Bluenest Systems</t>
  </si>
  <si>
    <t xml:space="preserve">ACC-10697</t>
  </si>
  <si>
    <t xml:space="preserve">Corelogic Inc</t>
  </si>
  <si>
    <t xml:space="preserve">ACC-10821</t>
  </si>
  <si>
    <t xml:space="preserve">Clearbridge LLC</t>
  </si>
  <si>
    <t xml:space="preserve">ACC-10868</t>
  </si>
  <si>
    <t xml:space="preserve">Clearpath Systems</t>
  </si>
  <si>
    <t xml:space="preserve">ACC-10941</t>
  </si>
  <si>
    <t xml:space="preserve">Primelogic Co</t>
  </si>
  <si>
    <t xml:space="preserve">ACC-10981</t>
  </si>
  <si>
    <t xml:space="preserve">Novalogic Ltd</t>
  </si>
  <si>
    <t xml:space="preserve">ACC-11071</t>
  </si>
  <si>
    <t xml:space="preserve">Atlascraft Inc</t>
  </si>
  <si>
    <t xml:space="preserve">ACC-11294</t>
  </si>
  <si>
    <t xml:space="preserve">Truegrid Group</t>
  </si>
  <si>
    <t xml:space="preserve">ACC-11381</t>
  </si>
  <si>
    <t xml:space="preserve">Lumenstack LLC</t>
  </si>
  <si>
    <t xml:space="preserve">ACC-11685</t>
  </si>
  <si>
    <t xml:space="preserve">Vertexsphere Co</t>
  </si>
  <si>
    <t xml:space="preserve">ACC-11686</t>
  </si>
  <si>
    <t xml:space="preserve">Coreline Co</t>
  </si>
  <si>
    <t xml:space="preserve">ACC-11779</t>
  </si>
  <si>
    <t xml:space="preserve">Boldgrid Inc</t>
  </si>
  <si>
    <t xml:space="preserve">ACC-12218</t>
  </si>
  <si>
    <t xml:space="preserve">Brightnest Technologies</t>
  </si>
  <si>
    <t xml:space="preserve">ACC-12275</t>
  </si>
  <si>
    <t xml:space="preserve">Truenest Ltd</t>
  </si>
  <si>
    <t xml:space="preserve">ACC-12339</t>
  </si>
  <si>
    <t xml:space="preserve">Silvernest Co</t>
  </si>
  <si>
    <t xml:space="preserve">ACC-12403</t>
  </si>
  <si>
    <t xml:space="preserve">Lumenlogic Inc</t>
  </si>
  <si>
    <t xml:space="preserve">ACC-12475</t>
  </si>
  <si>
    <t xml:space="preserve">Truepath Systems</t>
  </si>
  <si>
    <t xml:space="preserve">ACC-10029</t>
  </si>
  <si>
    <t xml:space="preserve">Swiftwave Group</t>
  </si>
  <si>
    <t xml:space="preserve">ACC-10219</t>
  </si>
  <si>
    <t xml:space="preserve">Urbanscale Inc</t>
  </si>
  <si>
    <t xml:space="preserve">ACC-10362</t>
  </si>
  <si>
    <t xml:space="preserve">Atlasstack Solutions</t>
  </si>
  <si>
    <t xml:space="preserve">ACC-10494</t>
  </si>
  <si>
    <t xml:space="preserve">Peakpath Inc</t>
  </si>
  <si>
    <t xml:space="preserve">ACC-10973</t>
  </si>
  <si>
    <t xml:space="preserve">Primelogic Inc</t>
  </si>
  <si>
    <t xml:space="preserve">ACC-11012</t>
  </si>
  <si>
    <t xml:space="preserve">Urbannest Technologies</t>
  </si>
  <si>
    <t xml:space="preserve">ACC-11124</t>
  </si>
  <si>
    <t xml:space="preserve">Primeforge Inc</t>
  </si>
  <si>
    <t xml:space="preserve">ACC-11458</t>
  </si>
  <si>
    <t xml:space="preserve">Primescale Systems</t>
  </si>
  <si>
    <t xml:space="preserve">ACC-11525</t>
  </si>
  <si>
    <t xml:space="preserve">Boldforge Inc</t>
  </si>
  <si>
    <t xml:space="preserve">ACC-11580</t>
  </si>
  <si>
    <t xml:space="preserve">Northscale Group</t>
  </si>
  <si>
    <t xml:space="preserve">ACC-11725</t>
  </si>
  <si>
    <t xml:space="preserve">Primebridge Co</t>
  </si>
  <si>
    <t xml:space="preserve">ACC-12469</t>
  </si>
  <si>
    <t xml:space="preserve">Brightstack Group</t>
  </si>
  <si>
    <t xml:space="preserve">ACC-12570</t>
  </si>
  <si>
    <t xml:space="preserve">Truesphere Solutions</t>
  </si>
  <si>
    <t xml:space="preserve">ACC-12572</t>
  </si>
  <si>
    <t xml:space="preserve">Swifthub Inc</t>
  </si>
  <si>
    <t xml:space="preserve">ACC-10323</t>
  </si>
  <si>
    <t xml:space="preserve">Pixelscale Ltd</t>
  </si>
  <si>
    <t xml:space="preserve">ACC-10380</t>
  </si>
  <si>
    <t xml:space="preserve">Orbitgrid LLC</t>
  </si>
  <si>
    <t xml:space="preserve">ACC-10573</t>
  </si>
  <si>
    <t xml:space="preserve">Bluestack Group</t>
  </si>
  <si>
    <t xml:space="preserve">ACC-10577</t>
  </si>
  <si>
    <t xml:space="preserve">Silverpath Technologies</t>
  </si>
  <si>
    <t xml:space="preserve">ACC-10765</t>
  </si>
  <si>
    <t xml:space="preserve">Bluepoint Systems</t>
  </si>
  <si>
    <t xml:space="preserve">ACC-10856</t>
  </si>
  <si>
    <t xml:space="preserve">Silverwave LLC</t>
  </si>
  <si>
    <t xml:space="preserve">ACC-10872</t>
  </si>
  <si>
    <t xml:space="preserve">Boldpath Technologies</t>
  </si>
  <si>
    <t xml:space="preserve">ACC-10983</t>
  </si>
  <si>
    <t xml:space="preserve">Vertexwave Technologies</t>
  </si>
  <si>
    <t xml:space="preserve">ACC-11146</t>
  </si>
  <si>
    <t xml:space="preserve">Greenmind Technologies</t>
  </si>
  <si>
    <t xml:space="preserve">ACC-11181</t>
  </si>
  <si>
    <t xml:space="preserve">Orbitlabs Co</t>
  </si>
  <si>
    <t xml:space="preserve">ACC-11372</t>
  </si>
  <si>
    <t xml:space="preserve">Bluegrid Ltd</t>
  </si>
  <si>
    <t xml:space="preserve">ACC-11569</t>
  </si>
  <si>
    <t xml:space="preserve">Peaknest Solutions</t>
  </si>
  <si>
    <t xml:space="preserve">ACC-11570</t>
  </si>
  <si>
    <t xml:space="preserve">Orbitflow Solutions</t>
  </si>
  <si>
    <t xml:space="preserve">ACC-11737</t>
  </si>
  <si>
    <t xml:space="preserve">Silverly Group</t>
  </si>
  <si>
    <t xml:space="preserve">ACC-11903</t>
  </si>
  <si>
    <t xml:space="preserve">Silverline Group</t>
  </si>
  <si>
    <t xml:space="preserve">ACC-11981</t>
  </si>
  <si>
    <t xml:space="preserve">Vertexforge Group</t>
  </si>
  <si>
    <t xml:space="preserve">ACC-12186</t>
  </si>
  <si>
    <t xml:space="preserve">Apexcraft LLC</t>
  </si>
  <si>
    <t xml:space="preserve">ACC-12306</t>
  </si>
  <si>
    <t xml:space="preserve">Peaksphere Solutions</t>
  </si>
  <si>
    <t xml:space="preserve">ACC-12373</t>
  </si>
  <si>
    <t xml:space="preserve">Boldflow Co</t>
  </si>
  <si>
    <t xml:space="preserve">ACC-12436</t>
  </si>
  <si>
    <t xml:space="preserve">Urbanscale Technologies</t>
  </si>
  <si>
    <t xml:space="preserve">ACC-12443</t>
  </si>
  <si>
    <t xml:space="preserve">Urbanforge LLC</t>
  </si>
  <si>
    <t xml:space="preserve">ACC-10315</t>
  </si>
  <si>
    <t xml:space="preserve">Northlogic Systems</t>
  </si>
  <si>
    <t xml:space="preserve">ACC-10462</t>
  </si>
  <si>
    <t xml:space="preserve">Northnest Inc</t>
  </si>
  <si>
    <t xml:space="preserve">ACC-10615</t>
  </si>
  <si>
    <t xml:space="preserve">Orbitpath LLC</t>
  </si>
  <si>
    <t xml:space="preserve">ACC-10908</t>
  </si>
  <si>
    <t xml:space="preserve">Lumenflow Co</t>
  </si>
  <si>
    <t xml:space="preserve">ACC-11035</t>
  </si>
  <si>
    <t xml:space="preserve">Clearpath Co</t>
  </si>
  <si>
    <t xml:space="preserve">ACC-11143</t>
  </si>
  <si>
    <t xml:space="preserve">Vertexstack Inc</t>
  </si>
  <si>
    <t xml:space="preserve">ACC-11246</t>
  </si>
  <si>
    <t xml:space="preserve">Swiftbridge Ltd</t>
  </si>
  <si>
    <t xml:space="preserve">ACC-11302</t>
  </si>
  <si>
    <t xml:space="preserve">Silverline Co</t>
  </si>
  <si>
    <t xml:space="preserve">ACC-11417</t>
  </si>
  <si>
    <t xml:space="preserve">Northline Systems</t>
  </si>
  <si>
    <t xml:space="preserve">ACC-11481</t>
  </si>
  <si>
    <t xml:space="preserve">Urbanlogic Technologies</t>
  </si>
  <si>
    <t xml:space="preserve">ACC-11546</t>
  </si>
  <si>
    <t xml:space="preserve">Orbitly Solutions</t>
  </si>
  <si>
    <t xml:space="preserve">ACC-11576</t>
  </si>
  <si>
    <t xml:space="preserve">Northbridge Systems</t>
  </si>
  <si>
    <t xml:space="preserve">ACC-11622</t>
  </si>
  <si>
    <t xml:space="preserve">Primecraft Inc</t>
  </si>
  <si>
    <t xml:space="preserve">ACC-11637</t>
  </si>
  <si>
    <t xml:space="preserve">Atlasgrid Co</t>
  </si>
  <si>
    <t xml:space="preserve">ACC-11657</t>
  </si>
  <si>
    <t xml:space="preserve">Atlasline Solutions</t>
  </si>
  <si>
    <t xml:space="preserve">ACC-11677</t>
  </si>
  <si>
    <t xml:space="preserve">Urbanbase Co</t>
  </si>
  <si>
    <t xml:space="preserve">ACC-11742</t>
  </si>
  <si>
    <t xml:space="preserve">Pixelflow Solutions</t>
  </si>
  <si>
    <t xml:space="preserve">ACC-11908</t>
  </si>
  <si>
    <t xml:space="preserve">Truescale LLC</t>
  </si>
  <si>
    <t xml:space="preserve">ACC-11910</t>
  </si>
  <si>
    <t xml:space="preserve">Peakbridge LLC</t>
  </si>
  <si>
    <t xml:space="preserve">ACC-11991</t>
  </si>
  <si>
    <t xml:space="preserve">Coremind LLC</t>
  </si>
  <si>
    <t xml:space="preserve">ACC-12026</t>
  </si>
  <si>
    <t xml:space="preserve">Lumenpath Co</t>
  </si>
  <si>
    <t xml:space="preserve">ACC-12029</t>
  </si>
  <si>
    <t xml:space="preserve">Northlabs Technologies</t>
  </si>
  <si>
    <t xml:space="preserve">ACC-12290</t>
  </si>
  <si>
    <t xml:space="preserve">Vertexmind LLC</t>
  </si>
  <si>
    <t xml:space="preserve">ACC-12347</t>
  </si>
  <si>
    <t xml:space="preserve">Swiftline Technologies</t>
  </si>
  <si>
    <t xml:space="preserve">ACC-12367</t>
  </si>
  <si>
    <t xml:space="preserve">Orbitworks Technologies</t>
  </si>
  <si>
    <t xml:space="preserve">ACC-12492</t>
  </si>
  <si>
    <t xml:space="preserve">Corebridge LLC</t>
  </si>
  <si>
    <t xml:space="preserve">ACC-11427</t>
  </si>
  <si>
    <t xml:space="preserve">Clearbase Co</t>
  </si>
  <si>
    <t xml:space="preserve">ACC-11669</t>
  </si>
  <si>
    <t xml:space="preserve">Northwave Inc</t>
  </si>
  <si>
    <t xml:space="preserve">ACC-12080</t>
  </si>
  <si>
    <t xml:space="preserve">Lumenhub Technologies</t>
  </si>
  <si>
    <t xml:space="preserve">ACC-10093</t>
  </si>
  <si>
    <t xml:space="preserve">Apexmind Solutions</t>
  </si>
  <si>
    <t xml:space="preserve">ACC-10158</t>
  </si>
  <si>
    <t xml:space="preserve">Atlasbase Solutions</t>
  </si>
  <si>
    <t xml:space="preserve">ACC-10304</t>
  </si>
  <si>
    <t xml:space="preserve">Bluegrid Technologies</t>
  </si>
  <si>
    <t xml:space="preserve">ACC-10423</t>
  </si>
  <si>
    <t xml:space="preserve">Bluelabs Group</t>
  </si>
  <si>
    <t xml:space="preserve">ACC-10575</t>
  </si>
  <si>
    <t xml:space="preserve">Orbitpath Technologies</t>
  </si>
  <si>
    <t xml:space="preserve">ACC-10635</t>
  </si>
  <si>
    <t xml:space="preserve">Apexscale Solutions</t>
  </si>
  <si>
    <t xml:space="preserve">ACC-10772</t>
  </si>
  <si>
    <t xml:space="preserve">Lumensphere Systems</t>
  </si>
  <si>
    <t xml:space="preserve">ACC-10782</t>
  </si>
  <si>
    <t xml:space="preserve">Atlashub Solutions</t>
  </si>
  <si>
    <t xml:space="preserve">ACC-10849</t>
  </si>
  <si>
    <t xml:space="preserve">Vertexworks Technologies</t>
  </si>
  <si>
    <t xml:space="preserve">ACC-10913</t>
  </si>
  <si>
    <t xml:space="preserve">Northhub Ltd</t>
  </si>
  <si>
    <t xml:space="preserve">ACC-10919</t>
  </si>
  <si>
    <t xml:space="preserve">Atlaswave LLC</t>
  </si>
  <si>
    <t xml:space="preserve">ACC-10932</t>
  </si>
  <si>
    <t xml:space="preserve">Primeworks Inc</t>
  </si>
  <si>
    <t xml:space="preserve">ACC-11033</t>
  </si>
  <si>
    <t xml:space="preserve">Brightflow LLC</t>
  </si>
  <si>
    <t xml:space="preserve">ACC-11057</t>
  </si>
  <si>
    <t xml:space="preserve">Swiftforge Systems</t>
  </si>
  <si>
    <t xml:space="preserve">ACC-11192</t>
  </si>
  <si>
    <t xml:space="preserve">Bluecraft Systems</t>
  </si>
  <si>
    <t xml:space="preserve">ACC-11194</t>
  </si>
  <si>
    <t xml:space="preserve">Peakstack Ltd</t>
  </si>
  <si>
    <t xml:space="preserve">ACC-11215</t>
  </si>
  <si>
    <t xml:space="preserve">Vertexstack Ltd</t>
  </si>
  <si>
    <t xml:space="preserve">ACC-11453</t>
  </si>
  <si>
    <t xml:space="preserve">Northforge Systems</t>
  </si>
  <si>
    <t xml:space="preserve">ACC-11465</t>
  </si>
  <si>
    <t xml:space="preserve">Silverpath Group</t>
  </si>
  <si>
    <t xml:space="preserve">ACC-11517</t>
  </si>
  <si>
    <t xml:space="preserve">Brightforge Technologies</t>
  </si>
  <si>
    <t xml:space="preserve">ACC-11579</t>
  </si>
  <si>
    <t xml:space="preserve">Corecraft Solutions</t>
  </si>
  <si>
    <t xml:space="preserve">ACC-11631</t>
  </si>
  <si>
    <t xml:space="preserve">Urbanworks Inc</t>
  </si>
  <si>
    <t xml:space="preserve">ACC-11675</t>
  </si>
  <si>
    <t xml:space="preserve">Boldpoint LLC</t>
  </si>
  <si>
    <t xml:space="preserve">ACC-11782</t>
  </si>
  <si>
    <t xml:space="preserve">Swiftstack Inc</t>
  </si>
  <si>
    <t xml:space="preserve">ACC-11850</t>
  </si>
  <si>
    <t xml:space="preserve">Bluebridge LLC</t>
  </si>
  <si>
    <t xml:space="preserve">ACC-11917</t>
  </si>
  <si>
    <t xml:space="preserve">Coreline Technologies</t>
  </si>
  <si>
    <t xml:space="preserve">ACC-12004</t>
  </si>
  <si>
    <t xml:space="preserve">Apexforge Co</t>
  </si>
  <si>
    <t xml:space="preserve">ACC-12005</t>
  </si>
  <si>
    <t xml:space="preserve">Truemind Group</t>
  </si>
  <si>
    <t xml:space="preserve">ACC-12198</t>
  </si>
  <si>
    <t xml:space="preserve">Pixelcraft Group</t>
  </si>
  <si>
    <t xml:space="preserve">ACC-12211</t>
  </si>
  <si>
    <t xml:space="preserve">Northlabs Co</t>
  </si>
  <si>
    <t xml:space="preserve">ACC-12329</t>
  </si>
  <si>
    <t xml:space="preserve">Apexbridge Technologies</t>
  </si>
  <si>
    <t xml:space="preserve">ACC-12501</t>
  </si>
  <si>
    <t xml:space="preserve">Silverline Ltd</t>
  </si>
  <si>
    <t xml:space="preserve">ACC-12559</t>
  </si>
  <si>
    <t xml:space="preserve">Lumenforge Technologies</t>
  </si>
  <si>
    <t xml:space="preserve">ACC-12564</t>
  </si>
  <si>
    <t xml:space="preserve">Atlasflow LLC</t>
  </si>
  <si>
    <t xml:space="preserve">ACC-10263</t>
  </si>
  <si>
    <t xml:space="preserve">Vertexline Solutions</t>
  </si>
  <si>
    <t xml:space="preserve">ACC-10392</t>
  </si>
  <si>
    <t xml:space="preserve">Trueworks Co</t>
  </si>
  <si>
    <t xml:space="preserve">ACC-10471</t>
  </si>
  <si>
    <t xml:space="preserve">Vertexhub LLC</t>
  </si>
  <si>
    <t xml:space="preserve">ACC-10491</t>
  </si>
  <si>
    <t xml:space="preserve">Trueflow Systems</t>
  </si>
  <si>
    <t xml:space="preserve">ACC-10542</t>
  </si>
  <si>
    <t xml:space="preserve">Apexly Solutions</t>
  </si>
  <si>
    <t xml:space="preserve">ACC-10655</t>
  </si>
  <si>
    <t xml:space="preserve">Atlascraft LLC</t>
  </si>
  <si>
    <t xml:space="preserve">ACC-10690</t>
  </si>
  <si>
    <t xml:space="preserve">Silvermind LLC</t>
  </si>
  <si>
    <t xml:space="preserve">ACC-10692</t>
  </si>
  <si>
    <t xml:space="preserve">Lumenly Solutions</t>
  </si>
  <si>
    <t xml:space="preserve">ACC-10840</t>
  </si>
  <si>
    <t xml:space="preserve">Greengrid Co</t>
  </si>
  <si>
    <t xml:space="preserve">ACC-10875</t>
  </si>
  <si>
    <t xml:space="preserve">Clearscale Ltd</t>
  </si>
  <si>
    <t xml:space="preserve">ACC-10925</t>
  </si>
  <si>
    <t xml:space="preserve">Urbanbase Inc</t>
  </si>
  <si>
    <t xml:space="preserve">ACC-10994</t>
  </si>
  <si>
    <t xml:space="preserve">Clearworks Group</t>
  </si>
  <si>
    <t xml:space="preserve">ACC-11061</t>
  </si>
  <si>
    <t xml:space="preserve">Novaflow Systems</t>
  </si>
  <si>
    <t xml:space="preserve">ACC-11105</t>
  </si>
  <si>
    <t xml:space="preserve">Atlasly Ltd</t>
  </si>
  <si>
    <t xml:space="preserve">ACC-11228</t>
  </si>
  <si>
    <t xml:space="preserve">Primelabs Co</t>
  </si>
  <si>
    <t xml:space="preserve">ACC-11244</t>
  </si>
  <si>
    <t xml:space="preserve">Novagrid Technologies</t>
  </si>
  <si>
    <t xml:space="preserve">ACC-11375</t>
  </si>
  <si>
    <t xml:space="preserve">Atlasflow Ltd</t>
  </si>
  <si>
    <t xml:space="preserve">ACC-11382</t>
  </si>
  <si>
    <t xml:space="preserve">Coreforge Ltd</t>
  </si>
  <si>
    <t xml:space="preserve">ACC-11735</t>
  </si>
  <si>
    <t xml:space="preserve">Brightscale Solutions</t>
  </si>
  <si>
    <t xml:space="preserve">ACC-11819</t>
  </si>
  <si>
    <t xml:space="preserve">Primebridge Technologies</t>
  </si>
  <si>
    <t xml:space="preserve">ACC-11856</t>
  </si>
  <si>
    <t xml:space="preserve">Boldhub Ltd</t>
  </si>
  <si>
    <t xml:space="preserve">ACC-11985</t>
  </si>
  <si>
    <t xml:space="preserve">Brightgrid Systems</t>
  </si>
  <si>
    <t xml:space="preserve">ACC-12003</t>
  </si>
  <si>
    <t xml:space="preserve">Bluescale LLC</t>
  </si>
  <si>
    <t xml:space="preserve">ACC-12134</t>
  </si>
  <si>
    <t xml:space="preserve">Apexhub LLC</t>
  </si>
  <si>
    <t xml:space="preserve">ACC-12227</t>
  </si>
  <si>
    <t xml:space="preserve">Lumenwave Systems</t>
  </si>
  <si>
    <t xml:space="preserve">ACC-12336</t>
  </si>
  <si>
    <t xml:space="preserve">Orbitwave Group</t>
  </si>
  <si>
    <t xml:space="preserve">ACC-12490</t>
  </si>
  <si>
    <t xml:space="preserve">Primelabs Ltd</t>
  </si>
  <si>
    <t xml:space="preserve">ACC-12525</t>
  </si>
  <si>
    <t xml:space="preserve">Pixelmind Co</t>
  </si>
  <si>
    <t xml:space="preserve">ACC-10716</t>
  </si>
  <si>
    <t xml:space="preserve">Corecraft Group</t>
  </si>
  <si>
    <t xml:space="preserve">ACC-10210</t>
  </si>
  <si>
    <t xml:space="preserve">Greenly Systems</t>
  </si>
  <si>
    <t xml:space="preserve">ACC-10363</t>
  </si>
  <si>
    <t xml:space="preserve">Atlasmind Systems</t>
  </si>
  <si>
    <t xml:space="preserve">ACC-10510</t>
  </si>
  <si>
    <t xml:space="preserve">Pixelscale LLC</t>
  </si>
  <si>
    <t xml:space="preserve">ACC-10513</t>
  </si>
  <si>
    <t xml:space="preserve">Novaforge Co</t>
  </si>
  <si>
    <t xml:space="preserve">ACC-10534</t>
  </si>
  <si>
    <t xml:space="preserve">Greenly Technologies</t>
  </si>
  <si>
    <t xml:space="preserve">ACC-10538</t>
  </si>
  <si>
    <t xml:space="preserve">Coreworks Inc</t>
  </si>
  <si>
    <t xml:space="preserve">ACC-10578</t>
  </si>
  <si>
    <t xml:space="preserve">Coreworks Co</t>
  </si>
  <si>
    <t xml:space="preserve">ACC-10598</t>
  </si>
  <si>
    <t xml:space="preserve">Greenlogic Technologies</t>
  </si>
  <si>
    <t xml:space="preserve">ACC-10702</t>
  </si>
  <si>
    <t xml:space="preserve">Swiftnest LLC</t>
  </si>
  <si>
    <t xml:space="preserve">ACC-10775</t>
  </si>
  <si>
    <t xml:space="preserve">Northpath Technologies</t>
  </si>
  <si>
    <t xml:space="preserve">ACC-10893</t>
  </si>
  <si>
    <t xml:space="preserve">Clearhub Solutions</t>
  </si>
  <si>
    <t xml:space="preserve">ACC-10898</t>
  </si>
  <si>
    <t xml:space="preserve">Lumensphere Ltd</t>
  </si>
  <si>
    <t xml:space="preserve">ACC-11001</t>
  </si>
  <si>
    <t xml:space="preserve">Orbithub Co</t>
  </si>
  <si>
    <t xml:space="preserve">ACC-11010</t>
  </si>
  <si>
    <t xml:space="preserve">Corehub Ltd</t>
  </si>
  <si>
    <t xml:space="preserve">ACC-11056</t>
  </si>
  <si>
    <t xml:space="preserve">Pixelpoint Inc</t>
  </si>
  <si>
    <t xml:space="preserve">ACC-11107</t>
  </si>
  <si>
    <t xml:space="preserve">Vertexline Group</t>
  </si>
  <si>
    <t xml:space="preserve">ACC-11129</t>
  </si>
  <si>
    <t xml:space="preserve">Vertexwave Ltd</t>
  </si>
  <si>
    <t xml:space="preserve">ACC-11212</t>
  </si>
  <si>
    <t xml:space="preserve">Novaly Co</t>
  </si>
  <si>
    <t xml:space="preserve">ACC-11402</t>
  </si>
  <si>
    <t xml:space="preserve">Vertexwave Inc</t>
  </si>
  <si>
    <t xml:space="preserve">ACC-11587</t>
  </si>
  <si>
    <t xml:space="preserve">Novaline Co</t>
  </si>
  <si>
    <t xml:space="preserve">ACC-11957</t>
  </si>
  <si>
    <t xml:space="preserve">Greenbase Systems</t>
  </si>
  <si>
    <t xml:space="preserve">ACC-11979</t>
  </si>
  <si>
    <t xml:space="preserve">Urbanbase Group</t>
  </si>
  <si>
    <t xml:space="preserve">ACC-12020</t>
  </si>
  <si>
    <t xml:space="preserve">Bluegrid Inc</t>
  </si>
  <si>
    <t xml:space="preserve">ACC-12167</t>
  </si>
  <si>
    <t xml:space="preserve">Novapoint Solutions</t>
  </si>
  <si>
    <t xml:space="preserve">ACC-12433</t>
  </si>
  <si>
    <t xml:space="preserve">Orbitwave Systems</t>
  </si>
  <si>
    <t xml:space="preserve">ACC-12581</t>
  </si>
  <si>
    <t xml:space="preserve">Brightstack Co</t>
  </si>
  <si>
    <t xml:space="preserve">ACC-10081</t>
  </si>
  <si>
    <t xml:space="preserve">Bluelogic Co</t>
  </si>
  <si>
    <t xml:space="preserve">ACC-10459</t>
  </si>
  <si>
    <t xml:space="preserve">Novapoint Inc</t>
  </si>
  <si>
    <t xml:space="preserve">ACC-10480</t>
  </si>
  <si>
    <t xml:space="preserve">Atlasstack Group</t>
  </si>
  <si>
    <t xml:space="preserve">ACC-10650</t>
  </si>
  <si>
    <t xml:space="preserve">Urbanflow Group</t>
  </si>
  <si>
    <t xml:space="preserve">ACC-10670</t>
  </si>
  <si>
    <t xml:space="preserve">Swiftpoint Group</t>
  </si>
  <si>
    <t xml:space="preserve">ACC-10696</t>
  </si>
  <si>
    <t xml:space="preserve">Orbitforge Technologies</t>
  </si>
  <si>
    <t xml:space="preserve">ACC-10938</t>
  </si>
  <si>
    <t xml:space="preserve">Urbanbridge Systems</t>
  </si>
  <si>
    <t xml:space="preserve">ACC-10984</t>
  </si>
  <si>
    <t xml:space="preserve">Bluepath Technologies</t>
  </si>
  <si>
    <t xml:space="preserve">ACC-11115</t>
  </si>
  <si>
    <t xml:space="preserve">Clearbridge Systems</t>
  </si>
  <si>
    <t xml:space="preserve">ACC-11151</t>
  </si>
  <si>
    <t xml:space="preserve">Vertexbridge Solutions</t>
  </si>
  <si>
    <t xml:space="preserve">ACC-11157</t>
  </si>
  <si>
    <t xml:space="preserve">Boldmind Co</t>
  </si>
  <si>
    <t xml:space="preserve">ACC-11448</t>
  </si>
  <si>
    <t xml:space="preserve">Boldscale Ltd</t>
  </si>
  <si>
    <t xml:space="preserve">ACC-11478</t>
  </si>
  <si>
    <t xml:space="preserve">Pixelhub Ltd</t>
  </si>
  <si>
    <t xml:space="preserve">ACC-11749</t>
  </si>
  <si>
    <t xml:space="preserve">Northsphere Inc</t>
  </si>
  <si>
    <t xml:space="preserve">ACC-11940</t>
  </si>
  <si>
    <t xml:space="preserve">Apexcraft Ltd</t>
  </si>
  <si>
    <t xml:space="preserve">ACC-11952</t>
  </si>
  <si>
    <t xml:space="preserve">Atlasworks LLC</t>
  </si>
  <si>
    <t xml:space="preserve">ACC-12070</t>
  </si>
  <si>
    <t xml:space="preserve">Apexpath Inc</t>
  </si>
  <si>
    <t xml:space="preserve">ACC-12163</t>
  </si>
  <si>
    <t xml:space="preserve">Lumenscale Systems</t>
  </si>
  <si>
    <t xml:space="preserve">ACC-12244</t>
  </si>
  <si>
    <t xml:space="preserve">Silverscale Inc</t>
  </si>
  <si>
    <t xml:space="preserve">ACC-12422</t>
  </si>
  <si>
    <t xml:space="preserve">Urbanworks Solutions</t>
  </si>
  <si>
    <t xml:space="preserve">ACC-10148</t>
  </si>
  <si>
    <t xml:space="preserve">Bluelabs Co</t>
  </si>
  <si>
    <t xml:space="preserve">ACC-10551</t>
  </si>
  <si>
    <t xml:space="preserve">Novabridge LLC</t>
  </si>
  <si>
    <t xml:space="preserve">ACC-10725</t>
  </si>
  <si>
    <t xml:space="preserve">Silvermind Co</t>
  </si>
  <si>
    <t xml:space="preserve">ACC-10760</t>
  </si>
  <si>
    <t xml:space="preserve">Clearworks Systems</t>
  </si>
  <si>
    <t xml:space="preserve">ACC-10927</t>
  </si>
  <si>
    <t xml:space="preserve">Brightworks Systems</t>
  </si>
  <si>
    <t xml:space="preserve">ACC-10988</t>
  </si>
  <si>
    <t xml:space="preserve">Pixellabs Solutions</t>
  </si>
  <si>
    <t xml:space="preserve">ACC-11021</t>
  </si>
  <si>
    <t xml:space="preserve">Lumensphere Inc</t>
  </si>
  <si>
    <t xml:space="preserve">ACC-11116</t>
  </si>
  <si>
    <t xml:space="preserve">Lumenlabs Ltd</t>
  </si>
  <si>
    <t xml:space="preserve">ACC-11171</t>
  </si>
  <si>
    <t xml:space="preserve">Brightbridge Inc</t>
  </si>
  <si>
    <t xml:space="preserve">ACC-11184</t>
  </si>
  <si>
    <t xml:space="preserve">Corely Solutions</t>
  </si>
  <si>
    <t xml:space="preserve">ACC-11379</t>
  </si>
  <si>
    <t xml:space="preserve">Swiftnest Solutions</t>
  </si>
  <si>
    <t xml:space="preserve">ACC-11572</t>
  </si>
  <si>
    <t xml:space="preserve">Lumenpath Group</t>
  </si>
  <si>
    <t xml:space="preserve">ACC-11739</t>
  </si>
  <si>
    <t xml:space="preserve">Lumenpoint Ltd</t>
  </si>
  <si>
    <t xml:space="preserve">ACC-11829</t>
  </si>
  <si>
    <t xml:space="preserve">Primesphere Systems</t>
  </si>
  <si>
    <t xml:space="preserve">ACC-12019</t>
  </si>
  <si>
    <t xml:space="preserve">Pixelpath Group</t>
  </si>
  <si>
    <t xml:space="preserve">ACC-12035</t>
  </si>
  <si>
    <t xml:space="preserve">Bluecraft Group</t>
  </si>
  <si>
    <t xml:space="preserve">ACC-12101</t>
  </si>
  <si>
    <t xml:space="preserve">Clearline Group</t>
  </si>
  <si>
    <t xml:space="preserve">ACC-12276</t>
  </si>
  <si>
    <t xml:space="preserve">Coresphere Technologies</t>
  </si>
  <si>
    <t xml:space="preserve">ACC-12453</t>
  </si>
  <si>
    <t xml:space="preserve">Truelabs Co</t>
  </si>
  <si>
    <t xml:space="preserve">ACC-10260</t>
  </si>
  <si>
    <t xml:space="preserve">Urbanbridge Technologies</t>
  </si>
  <si>
    <t xml:space="preserve">ACC-10325</t>
  </si>
  <si>
    <t xml:space="preserve">Lumenline Inc</t>
  </si>
  <si>
    <t xml:space="preserve">ACC-10452</t>
  </si>
  <si>
    <t xml:space="preserve">Swiftflow Technologies</t>
  </si>
  <si>
    <t xml:space="preserve">ACC-10499</t>
  </si>
  <si>
    <t xml:space="preserve">Vertexbase Co</t>
  </si>
  <si>
    <t xml:space="preserve">ACC-10569</t>
  </si>
  <si>
    <t xml:space="preserve">Clearlabs Technologies</t>
  </si>
  <si>
    <t xml:space="preserve">ACC-10788</t>
  </si>
  <si>
    <t xml:space="preserve">Brightnest LLC</t>
  </si>
  <si>
    <t xml:space="preserve">ACC-10836</t>
  </si>
  <si>
    <t xml:space="preserve">Urbanworks Systems</t>
  </si>
  <si>
    <t xml:space="preserve">ACC-10884</t>
  </si>
  <si>
    <t xml:space="preserve">Silverbase Ltd</t>
  </si>
  <si>
    <t xml:space="preserve">ACC-10900</t>
  </si>
  <si>
    <t xml:space="preserve">Boldwave Technologies</t>
  </si>
  <si>
    <t xml:space="preserve">ACC-11259</t>
  </si>
  <si>
    <t xml:space="preserve">Atlasline Co</t>
  </si>
  <si>
    <t xml:space="preserve">ACC-11314</t>
  </si>
  <si>
    <t xml:space="preserve">Atlasflow Solutions</t>
  </si>
  <si>
    <t xml:space="preserve">ACC-11414</t>
  </si>
  <si>
    <t xml:space="preserve">Novascale Technologies</t>
  </si>
  <si>
    <t xml:space="preserve">ACC-11711</t>
  </si>
  <si>
    <t xml:space="preserve">Corelabs LLC</t>
  </si>
  <si>
    <t xml:space="preserve">ACC-11787</t>
  </si>
  <si>
    <t xml:space="preserve">Pixellabs Group</t>
  </si>
  <si>
    <t xml:space="preserve">ACC-11973</t>
  </si>
  <si>
    <t xml:space="preserve">Urbanforge Technologies</t>
  </si>
  <si>
    <t xml:space="preserve">ACC-12008</t>
  </si>
  <si>
    <t xml:space="preserve">Greenworks Co</t>
  </si>
  <si>
    <t xml:space="preserve">ACC-12087</t>
  </si>
  <si>
    <t xml:space="preserve">Clearhub Group</t>
  </si>
  <si>
    <t xml:space="preserve">ACC-12249</t>
  </si>
  <si>
    <t xml:space="preserve">Primecraft Systems</t>
  </si>
  <si>
    <t xml:space="preserve">ACC-12350</t>
  </si>
  <si>
    <t xml:space="preserve">Greenbase Inc</t>
  </si>
  <si>
    <t xml:space="preserve">ACC-12455</t>
  </si>
  <si>
    <t xml:space="preserve">Pixelforge Solutions</t>
  </si>
  <si>
    <t xml:space="preserve">ACC-12548</t>
  </si>
  <si>
    <t xml:space="preserve">Apexpoint Systems</t>
  </si>
  <si>
    <t xml:space="preserve">ACC-12553</t>
  </si>
  <si>
    <t xml:space="preserve">Swiftmind Inc</t>
  </si>
  <si>
    <t xml:space="preserve">ACC-10207</t>
  </si>
  <si>
    <t xml:space="preserve">Brightforge Group</t>
  </si>
  <si>
    <t xml:space="preserve">ACC-10756</t>
  </si>
  <si>
    <t xml:space="preserve">Brightlabs Systems</t>
  </si>
  <si>
    <t xml:space="preserve">ACC-11926</t>
  </si>
  <si>
    <t xml:space="preserve">Lumenstack Co</t>
  </si>
  <si>
    <t xml:space="preserve">Month</t>
  </si>
  <si>
    <t xml:space="preserve">Total MRR</t>
  </si>
  <si>
    <t xml:space="preserve">New MRR</t>
  </si>
  <si>
    <t xml:space="preserve">Expansion MRR</t>
  </si>
  <si>
    <t xml:space="preserve">Contraction MRR</t>
  </si>
  <si>
    <t xml:space="preserve">Churned MRR</t>
  </si>
  <si>
    <t xml:space="preserve">Customers at start</t>
  </si>
  <si>
    <t xml:space="preserve">Customers churned</t>
  </si>
  <si>
    <t xml:space="preserve">Net new MRR</t>
  </si>
  <si>
    <t xml:space="preserve">MoM MRR growth</t>
  </si>
  <si>
    <t xml:space="preserve">Logo churn rate</t>
  </si>
  <si>
    <t xml:space="preserve">Avg MRR per customer</t>
  </si>
  <si>
    <t xml:space="preserve">Jan 2024 movement columns are 0 because there is no prior month to compare against.</t>
  </si>
  <si>
    <t xml:space="preserve">MRR Sep 2025</t>
  </si>
  <si>
    <t xml:space="preserve">MRR Sep 2026</t>
  </si>
  <si>
    <t xml:space="preserve">Retained MRR (capped)</t>
  </si>
  <si>
    <t xml:space="preserve">Still a customer?</t>
  </si>
  <si>
    <t xml:space="preserve">ACC-12113</t>
  </si>
  <si>
    <t xml:space="preserve">ACC-12210</t>
  </si>
  <si>
    <t xml:space="preserve">ACC-10393</t>
  </si>
  <si>
    <t xml:space="preserve">ACC-11784</t>
  </si>
  <si>
    <t xml:space="preserve">ACC-10215</t>
  </si>
  <si>
    <t xml:space="preserve">ACC-12412</t>
  </si>
  <si>
    <t xml:space="preserve">ACC-10774</t>
  </si>
  <si>
    <t xml:space="preserve">ACC-11874</t>
  </si>
  <si>
    <t xml:space="preserve">ACC-10041</t>
  </si>
  <si>
    <t xml:space="preserve">ACC-10142</t>
  </si>
  <si>
    <t xml:space="preserve">ACC-10890</t>
  </si>
  <si>
    <t xml:space="preserve">ACC-12032</t>
  </si>
  <si>
    <t xml:space="preserve">ACC-10638</t>
  </si>
  <si>
    <t xml:space="preserve">ACC-11023</t>
  </si>
  <si>
    <t xml:space="preserve">ACC-12485</t>
  </si>
  <si>
    <t xml:space="preserve">ACC-10892</t>
  </si>
  <si>
    <t xml:space="preserve">ACC-11740</t>
  </si>
  <si>
    <t xml:space="preserve">ACC-12238</t>
  </si>
  <si>
    <t xml:space="preserve">ACC-10211</t>
  </si>
  <si>
    <t xml:space="preserve">ACC-11345</t>
  </si>
  <si>
    <t xml:space="preserve">ACC-10649</t>
  </si>
  <si>
    <t xml:space="preserve">ACC-10473</t>
  </si>
  <si>
    <t xml:space="preserve">ACC-11190</t>
  </si>
  <si>
    <t xml:space="preserve">ACC-10106</t>
  </si>
  <si>
    <t xml:space="preserve">ACC-12478</t>
  </si>
  <si>
    <t xml:space="preserve">ACC-10535</t>
  </si>
  <si>
    <t xml:space="preserve">ACC-11653</t>
  </si>
  <si>
    <t xml:space="preserve">ACC-10484</t>
  </si>
  <si>
    <t xml:space="preserve">ACC-10752</t>
  </si>
  <si>
    <t xml:space="preserve">ACC-12331</t>
  </si>
  <si>
    <t xml:space="preserve">ACC-11678</t>
  </si>
  <si>
    <t xml:space="preserve">ACC-10157</t>
  </si>
  <si>
    <t xml:space="preserve">ACC-10532</t>
  </si>
  <si>
    <t xml:space="preserve">ACC-11535</t>
  </si>
  <si>
    <t xml:space="preserve">ACC-11640</t>
  </si>
  <si>
    <t xml:space="preserve">ACC-12142</t>
  </si>
  <si>
    <t xml:space="preserve">ACC-10065</t>
  </si>
  <si>
    <t xml:space="preserve">ACC-11438</t>
  </si>
  <si>
    <t xml:space="preserve">ACC-11217</t>
  </si>
  <si>
    <t xml:space="preserve">ACC-11338</t>
  </si>
  <si>
    <t xml:space="preserve">ACC-10370</t>
  </si>
  <si>
    <t xml:space="preserve">ACC-10643</t>
  </si>
  <si>
    <t xml:space="preserve">ACC-11400</t>
  </si>
  <si>
    <t xml:space="preserve">ACC-11644</t>
  </si>
  <si>
    <t xml:space="preserve">ACC-11053</t>
  </si>
  <si>
    <t xml:space="preserve">ACC-10027</t>
  </si>
  <si>
    <t xml:space="preserve">ACC-10678</t>
  </si>
  <si>
    <t xml:space="preserve">ACC-10522</t>
  </si>
  <si>
    <t xml:space="preserve">ACC-11471</t>
  </si>
  <si>
    <t xml:space="preserve">ACC-10490</t>
  </si>
  <si>
    <t xml:space="preserve">ACC-11153</t>
  </si>
  <si>
    <t xml:space="preserve">ACC-11469</t>
  </si>
  <si>
    <t xml:space="preserve">ACC-11865</t>
  </si>
  <si>
    <t xml:space="preserve">ACC-12131</t>
  </si>
  <si>
    <t xml:space="preserve">ACC-11738</t>
  </si>
  <si>
    <t xml:space="preserve">ACC-10047</t>
  </si>
  <si>
    <t xml:space="preserve">ACC-10583</t>
  </si>
  <si>
    <t xml:space="preserve">ACC-12432</t>
  </si>
  <si>
    <t xml:space="preserve">ACC-11951</t>
  </si>
  <si>
    <t xml:space="preserve">ACC-10943</t>
  </si>
  <si>
    <t xml:space="preserve">ACC-11176</t>
  </si>
  <si>
    <t xml:space="preserve">ACC-12418</t>
  </si>
  <si>
    <t xml:space="preserve">ACC-10057</t>
  </si>
  <si>
    <t xml:space="preserve">ACC-11198</t>
  </si>
  <si>
    <t xml:space="preserve">ACC-11337</t>
  </si>
  <si>
    <t xml:space="preserve">ACC-10651</t>
  </si>
  <si>
    <t xml:space="preserve">ACC-10482</t>
  </si>
  <si>
    <t xml:space="preserve">ACC-11671</t>
  </si>
  <si>
    <t xml:space="preserve">ACC-12415</t>
  </si>
  <si>
    <t xml:space="preserve">ACC-11551</t>
  </si>
  <si>
    <t xml:space="preserve">ACC-11718</t>
  </si>
  <si>
    <t xml:space="preserve">ACC-11854</t>
  </si>
  <si>
    <t xml:space="preserve">ACC-11339</t>
  </si>
  <si>
    <t xml:space="preserve">ACC-10647</t>
  </si>
  <si>
    <t xml:space="preserve">ACC-12477</t>
  </si>
  <si>
    <t xml:space="preserve">ACC-10435</t>
  </si>
  <si>
    <t xml:space="preserve">ACC-10537</t>
  </si>
  <si>
    <t xml:space="preserve">ACC-11549</t>
  </si>
  <si>
    <t xml:space="preserve">ACC-12012</t>
  </si>
  <si>
    <t xml:space="preserve">ACC-11149</t>
  </si>
  <si>
    <t xml:space="preserve">ACC-12411</t>
  </si>
  <si>
    <t xml:space="preserve">ACC-11278</t>
  </si>
  <si>
    <t xml:space="preserve">ACC-12287</t>
  </si>
  <si>
    <t xml:space="preserve">ACC-11054</t>
  </si>
  <si>
    <t xml:space="preserve">ACC-12161</t>
  </si>
  <si>
    <t xml:space="preserve">ACC-10040</t>
  </si>
  <si>
    <t xml:space="preserve">ACC-11024</t>
  </si>
  <si>
    <t xml:space="preserve">ACC-12439</t>
  </si>
  <si>
    <t xml:space="preserve">ACC-10194</t>
  </si>
  <si>
    <t xml:space="preserve">ACC-11159</t>
  </si>
  <si>
    <t xml:space="preserve">ACC-12308</t>
  </si>
  <si>
    <t xml:space="preserve">ACC-12506</t>
  </si>
  <si>
    <t xml:space="preserve">ACC-10933</t>
  </si>
  <si>
    <t xml:space="preserve">ACC-12377</t>
  </si>
  <si>
    <t xml:space="preserve">ACC-12208</t>
  </si>
  <si>
    <t xml:space="preserve">ACC-10055</t>
  </si>
  <si>
    <t xml:space="preserve">ACC-10044</t>
  </si>
  <si>
    <t xml:space="preserve">ACC-10085</t>
  </si>
  <si>
    <t xml:space="preserve">ACC-11661</t>
  </si>
  <si>
    <t xml:space="preserve">ACC-11804</t>
  </si>
  <si>
    <t xml:space="preserve">ACC-10685</t>
  </si>
  <si>
    <t xml:space="preserve">ACC-11608</t>
  </si>
  <si>
    <t xml:space="preserve">ACC-11723</t>
  </si>
  <si>
    <t xml:space="preserve">ACC-12137</t>
  </si>
  <si>
    <t xml:space="preserve">ACC-11560</t>
  </si>
  <si>
    <t xml:space="preserve">ACC-11826</t>
  </si>
  <si>
    <t xml:space="preserve">ACC-12335</t>
  </si>
  <si>
    <t xml:space="preserve">ACC-11642</t>
  </si>
  <si>
    <t xml:space="preserve">ACC-11145</t>
  </si>
  <si>
    <t xml:space="preserve">ACC-12165</t>
  </si>
  <si>
    <t xml:space="preserve">ACC-10901</t>
  </si>
  <si>
    <t xml:space="preserve">ACC-10946</t>
  </si>
  <si>
    <t xml:space="preserve">ACC-12259</t>
  </si>
  <si>
    <t xml:space="preserve">ACC-10298</t>
  </si>
  <si>
    <t xml:space="preserve">ACC-12404</t>
  </si>
  <si>
    <t xml:space="preserve">ACC-12500</t>
  </si>
  <si>
    <t xml:space="preserve">ACC-10829</t>
  </si>
  <si>
    <t xml:space="preserve">ACC-10986</t>
  </si>
  <si>
    <t xml:space="preserve">ACC-10593</t>
  </si>
  <si>
    <t xml:space="preserve">ACC-12042</t>
  </si>
  <si>
    <t xml:space="preserve">ACC-11295</t>
  </si>
  <si>
    <t xml:space="preserve">ACC-11293</t>
  </si>
  <si>
    <t xml:space="preserve">ACC-12222</t>
  </si>
  <si>
    <t xml:space="preserve">ACC-10909</t>
  </si>
  <si>
    <t xml:space="preserve">ACC-11328</t>
  </si>
  <si>
    <t xml:space="preserve">ACC-11721</t>
  </si>
  <si>
    <t xml:space="preserve">ACC-12428</t>
  </si>
  <si>
    <t xml:space="preserve">ACC-10722</t>
  </si>
  <si>
    <t xml:space="preserve">ACC-12285</t>
  </si>
  <si>
    <t xml:space="preserve">ACC-10506</t>
  </si>
  <si>
    <t xml:space="preserve">ACC-10514</t>
  </si>
  <si>
    <t xml:space="preserve">ACC-10565</t>
  </si>
  <si>
    <t xml:space="preserve">ACC-12558</t>
  </si>
  <si>
    <t xml:space="preserve">ACC-10329</t>
  </si>
  <si>
    <t xml:space="preserve">ACC-11683</t>
  </si>
  <si>
    <t xml:space="preserve">ACC-12099</t>
  </si>
  <si>
    <t xml:space="preserve">ACC-10234</t>
  </si>
  <si>
    <t xml:space="preserve">ACC-10244</t>
  </si>
  <si>
    <t xml:space="preserve">ACC-10930</t>
  </si>
  <si>
    <t xml:space="preserve">ACC-11280</t>
  </si>
  <si>
    <t xml:space="preserve">ACC-11906</t>
  </si>
  <si>
    <t xml:space="preserve">ACC-12081</t>
  </si>
  <si>
    <t xml:space="preserve">ACC-12234</t>
  </si>
  <si>
    <t xml:space="preserve">ACC-10063</t>
  </si>
  <si>
    <t xml:space="preserve">ACC-12363</t>
  </si>
  <si>
    <t xml:space="preserve">ACC-12556</t>
  </si>
  <si>
    <t xml:space="preserve">ACC-10365</t>
  </si>
  <si>
    <t xml:space="preserve">ACC-11197</t>
  </si>
  <si>
    <t xml:space="preserve">ACC-11205</t>
  </si>
  <si>
    <t xml:space="preserve">ACC-12217</t>
  </si>
  <si>
    <t xml:space="preserve">ACC-12332</t>
  </si>
  <si>
    <t xml:space="preserve">ACC-10061</t>
  </si>
  <si>
    <t xml:space="preserve">ACC-12170</t>
  </si>
  <si>
    <t xml:space="preserve">ACC-10460</t>
  </si>
  <si>
    <t xml:space="preserve">ACC-12189</t>
  </si>
  <si>
    <t xml:space="preserve">ACC-10737</t>
  </si>
  <si>
    <t xml:space="preserve">ACC-11132</t>
  </si>
  <si>
    <t xml:space="preserve">ACC-10394</t>
  </si>
  <si>
    <t xml:space="preserve">ACC-12538</t>
  </si>
  <si>
    <t xml:space="preserve">ACC-10021</t>
  </si>
  <si>
    <t xml:space="preserve">ACC-10178</t>
  </si>
  <si>
    <t xml:space="preserve">ACC-10987</t>
  </si>
  <si>
    <t xml:space="preserve">ACC-11152</t>
  </si>
  <si>
    <t xml:space="preserve">ACC-10290</t>
  </si>
  <si>
    <t xml:space="preserve">ACC-10355</t>
  </si>
  <si>
    <t xml:space="preserve">ACC-12200</t>
  </si>
  <si>
    <t xml:space="preserve">ACC-12358</t>
  </si>
  <si>
    <t xml:space="preserve">ACC-10708</t>
  </si>
  <si>
    <t xml:space="preserve">ACC-12207</t>
  </si>
  <si>
    <t xml:space="preserve">ACC-10188</t>
  </si>
  <si>
    <t xml:space="preserve">ACC-10302</t>
  </si>
  <si>
    <t xml:space="preserve">ACC-11902</t>
  </si>
  <si>
    <t xml:space="preserve">ACC-10603</t>
  </si>
  <si>
    <t xml:space="preserve">ACC-10016</t>
  </si>
  <si>
    <t xml:space="preserve">ACC-12334</t>
  </si>
  <si>
    <t xml:space="preserve">ACC-10054</t>
  </si>
  <si>
    <t xml:space="preserve">ACC-10342</t>
  </si>
  <si>
    <t xml:space="preserve">ACC-11411</t>
  </si>
  <si>
    <t xml:space="preserve">ACC-11039</t>
  </si>
  <si>
    <t xml:space="preserve">ACC-12111</t>
  </si>
  <si>
    <t xml:space="preserve">ACC-12482</t>
  </si>
  <si>
    <t xml:space="preserve">ACC-10546</t>
  </si>
  <si>
    <t xml:space="preserve">ACC-10762</t>
  </si>
  <si>
    <t xml:space="preserve">ACC-12507</t>
  </si>
  <si>
    <t xml:space="preserve">ACC-10555</t>
  </si>
  <si>
    <t xml:space="preserve">ACC-11076</t>
  </si>
  <si>
    <t xml:space="preserve">ACC-10488</t>
  </si>
  <si>
    <t xml:space="preserve">ACC-10561</t>
  </si>
  <si>
    <t xml:space="preserve">ACC-11308</t>
  </si>
  <si>
    <t xml:space="preserve">ACC-11618</t>
  </si>
  <si>
    <t xml:space="preserve">ACC-11841</t>
  </si>
  <si>
    <t xml:space="preserve">ACC-10136</t>
  </si>
  <si>
    <t xml:space="preserve">ACC-12038</t>
  </si>
  <si>
    <t xml:space="preserve">ACC-12277</t>
  </si>
  <si>
    <t xml:space="preserve">ACC-10049</t>
  </si>
  <si>
    <t xml:space="preserve">ACC-11268</t>
  </si>
  <si>
    <t xml:space="preserve">ACC-11507</t>
  </si>
  <si>
    <t xml:space="preserve">response_id</t>
  </si>
  <si>
    <t xml:space="preserve">survey_date</t>
  </si>
  <si>
    <t xml:space="preserve">nps_score</t>
  </si>
  <si>
    <t xml:space="preserve">Category</t>
  </si>
  <si>
    <t xml:space="preserve">NPS-02444</t>
  </si>
  <si>
    <t xml:space="preserve">NPS-04278</t>
  </si>
  <si>
    <t xml:space="preserve">NPS-05102</t>
  </si>
  <si>
    <t xml:space="preserve">NPS-06575</t>
  </si>
  <si>
    <t xml:space="preserve">NPS-06944</t>
  </si>
  <si>
    <t xml:space="preserve">NPS-01880</t>
  </si>
  <si>
    <t xml:space="preserve">NPS-06879</t>
  </si>
  <si>
    <t xml:space="preserve">NPS-00066</t>
  </si>
  <si>
    <t xml:space="preserve">NPS-00442</t>
  </si>
  <si>
    <t xml:space="preserve">NPS-00519</t>
  </si>
  <si>
    <t xml:space="preserve">NPS-01833</t>
  </si>
  <si>
    <t xml:space="preserve">NPS-02010</t>
  </si>
  <si>
    <t xml:space="preserve">NPS-03393</t>
  </si>
  <si>
    <t xml:space="preserve">NPS-03711</t>
  </si>
  <si>
    <t xml:space="preserve">NPS-04837</t>
  </si>
  <si>
    <t xml:space="preserve">NPS-06023</t>
  </si>
  <si>
    <t xml:space="preserve">NPS-02162</t>
  </si>
  <si>
    <t xml:space="preserve">NPS-02484</t>
  </si>
  <si>
    <t xml:space="preserve">NPS-02617</t>
  </si>
  <si>
    <t xml:space="preserve">NPS-02844</t>
  </si>
  <si>
    <t xml:space="preserve">NPS-06135</t>
  </si>
  <si>
    <t xml:space="preserve">NPS-06479</t>
  </si>
  <si>
    <t xml:space="preserve">NPS-00627</t>
  </si>
  <si>
    <t xml:space="preserve">NPS-01849</t>
  </si>
  <si>
    <t xml:space="preserve">NPS-02476</t>
  </si>
  <si>
    <t xml:space="preserve">NPS-03930</t>
  </si>
  <si>
    <t xml:space="preserve">NPS-04297</t>
  </si>
  <si>
    <t xml:space="preserve">NPS-06556</t>
  </si>
  <si>
    <t xml:space="preserve">NPS-06594</t>
  </si>
  <si>
    <t xml:space="preserve">NPS-02815</t>
  </si>
  <si>
    <t xml:space="preserve">NPS-04185</t>
  </si>
  <si>
    <t xml:space="preserve">NPS-04741</t>
  </si>
  <si>
    <t xml:space="preserve">NPS-07133</t>
  </si>
  <si>
    <t xml:space="preserve">NPS-00334</t>
  </si>
  <si>
    <t xml:space="preserve">NPS-00402</t>
  </si>
  <si>
    <t xml:space="preserve">NPS-02507</t>
  </si>
  <si>
    <t xml:space="preserve">NPS-03753</t>
  </si>
  <si>
    <t xml:space="preserve">NPS-04964</t>
  </si>
  <si>
    <t xml:space="preserve">NPS-05113</t>
  </si>
  <si>
    <t xml:space="preserve">NPS-05309</t>
  </si>
  <si>
    <t xml:space="preserve">NPS-06275</t>
  </si>
  <si>
    <t xml:space="preserve">NPS-07083</t>
  </si>
  <si>
    <t xml:space="preserve">NPS-04232</t>
  </si>
  <si>
    <t xml:space="preserve">NPS-04571</t>
  </si>
  <si>
    <t xml:space="preserve">NPS-05606</t>
  </si>
  <si>
    <t xml:space="preserve">NPS-06305</t>
  </si>
  <si>
    <t xml:space="preserve">NPS-00718</t>
  </si>
  <si>
    <t xml:space="preserve">NPS-01988</t>
  </si>
  <si>
    <t xml:space="preserve">NPS-02085</t>
  </si>
  <si>
    <t xml:space="preserve">NPS-04073</t>
  </si>
  <si>
    <t xml:space="preserve">NPS-04467</t>
  </si>
  <si>
    <t xml:space="preserve">NPS-04926</t>
  </si>
  <si>
    <t xml:space="preserve">NPS-00528</t>
  </si>
  <si>
    <t xml:space="preserve">NPS-00604</t>
  </si>
  <si>
    <t xml:space="preserve">NPS-01253</t>
  </si>
  <si>
    <t xml:space="preserve">NPS-03871</t>
  </si>
  <si>
    <t xml:space="preserve">NPS-06117</t>
  </si>
  <si>
    <t xml:space="preserve">NPS-03286</t>
  </si>
  <si>
    <t xml:space="preserve">NPS-03457</t>
  </si>
  <si>
    <t xml:space="preserve">NPS-03491</t>
  </si>
  <si>
    <t xml:space="preserve">NPS-03622</t>
  </si>
  <si>
    <t xml:space="preserve">NPS-03961</t>
  </si>
  <si>
    <t xml:space="preserve">NPS-04198</t>
  </si>
  <si>
    <t xml:space="preserve">NPS-00658</t>
  </si>
  <si>
    <t xml:space="preserve">NPS-03058</t>
  </si>
  <si>
    <t xml:space="preserve">NPS-05247</t>
  </si>
  <si>
    <t xml:space="preserve">NPS-06397</t>
  </si>
  <si>
    <t xml:space="preserve">NPS-06872</t>
  </si>
  <si>
    <t xml:space="preserve">NPS-00181</t>
  </si>
  <si>
    <t xml:space="preserve">NPS-00591</t>
  </si>
  <si>
    <t xml:space="preserve">NPS-01666</t>
  </si>
  <si>
    <t xml:space="preserve">NPS-01678</t>
  </si>
  <si>
    <t xml:space="preserve">NPS-01965</t>
  </si>
  <si>
    <t xml:space="preserve">NPS-05426</t>
  </si>
  <si>
    <t xml:space="preserve">NPS-06014</t>
  </si>
  <si>
    <t xml:space="preserve">NPS-01792</t>
  </si>
  <si>
    <t xml:space="preserve">NPS-02945</t>
  </si>
  <si>
    <t xml:space="preserve">NPS-03977</t>
  </si>
  <si>
    <t xml:space="preserve">NPS-04091</t>
  </si>
  <si>
    <t xml:space="preserve">NPS-06526</t>
  </si>
  <si>
    <t xml:space="preserve">NPS-06772</t>
  </si>
  <si>
    <t xml:space="preserve">NPS-03050</t>
  </si>
  <si>
    <t xml:space="preserve">NPS-03809</t>
  </si>
  <si>
    <t xml:space="preserve">NPS-04758</t>
  </si>
  <si>
    <t xml:space="preserve">NPS-05110</t>
  </si>
  <si>
    <t xml:space="preserve">NPS-05347</t>
  </si>
  <si>
    <t xml:space="preserve">NPS-06565</t>
  </si>
  <si>
    <t xml:space="preserve">NPS-07025</t>
  </si>
  <si>
    <t xml:space="preserve">NPS-07055</t>
  </si>
  <si>
    <t xml:space="preserve">NPS-00426</t>
  </si>
  <si>
    <t xml:space="preserve">NPS-01644</t>
  </si>
  <si>
    <t xml:space="preserve">NPS-02136</t>
  </si>
  <si>
    <t xml:space="preserve">NPS-02419</t>
  </si>
  <si>
    <t xml:space="preserve">NPS-03009</t>
  </si>
  <si>
    <t xml:space="preserve">NPS-04681</t>
  </si>
  <si>
    <t xml:space="preserve">NPS-05636</t>
  </si>
  <si>
    <t xml:space="preserve">NPS-07099</t>
  </si>
  <si>
    <t xml:space="preserve">NPS-02577</t>
  </si>
  <si>
    <t xml:space="preserve">NPS-02663</t>
  </si>
  <si>
    <t xml:space="preserve">NPS-02741</t>
  </si>
  <si>
    <t xml:space="preserve">NPS-02848</t>
  </si>
  <si>
    <t xml:space="preserve">NPS-04873</t>
  </si>
  <si>
    <t xml:space="preserve">NPS-05545</t>
  </si>
  <si>
    <t xml:space="preserve">NPS-06006</t>
  </si>
  <si>
    <t xml:space="preserve">NPS-07151</t>
  </si>
  <si>
    <t xml:space="preserve">NPS-01067</t>
  </si>
  <si>
    <t xml:space="preserve">NPS-01932</t>
  </si>
  <si>
    <t xml:space="preserve">NPS-02049</t>
  </si>
  <si>
    <t xml:space="preserve">NPS-02231</t>
  </si>
  <si>
    <t xml:space="preserve">NPS-02719</t>
  </si>
  <si>
    <t xml:space="preserve">NPS-03655</t>
  </si>
  <si>
    <t xml:space="preserve">NPS-06322</t>
  </si>
  <si>
    <t xml:space="preserve">NPS-00233</t>
  </si>
  <si>
    <t xml:space="preserve">NPS-00597</t>
  </si>
  <si>
    <t xml:space="preserve">NPS-01057</t>
  </si>
  <si>
    <t xml:space="preserve">NPS-01768</t>
  </si>
  <si>
    <t xml:space="preserve">NPS-02522</t>
  </si>
  <si>
    <t xml:space="preserve">NPS-03633</t>
  </si>
  <si>
    <t xml:space="preserve">NPS-04656</t>
  </si>
  <si>
    <t xml:space="preserve">NPS-06720</t>
  </si>
  <si>
    <t xml:space="preserve">NPS-04400</t>
  </si>
  <si>
    <t xml:space="preserve">NPS-04418</t>
  </si>
  <si>
    <t xml:space="preserve">NPS-04971</t>
  </si>
  <si>
    <t xml:space="preserve">NPS-05055</t>
  </si>
  <si>
    <t xml:space="preserve">NPS-05221</t>
  </si>
  <si>
    <t xml:space="preserve">NPS-05279</t>
  </si>
  <si>
    <t xml:space="preserve">NPS-06765</t>
  </si>
  <si>
    <t xml:space="preserve">NPS-00315</t>
  </si>
  <si>
    <t xml:space="preserve">NPS-02179</t>
  </si>
  <si>
    <t xml:space="preserve">NPS-02565</t>
  </si>
  <si>
    <t xml:space="preserve">NPS-02851</t>
  </si>
  <si>
    <t xml:space="preserve">NPS-03516</t>
  </si>
  <si>
    <t xml:space="preserve">NPS-03804</t>
  </si>
  <si>
    <t xml:space="preserve">NPS-00188</t>
  </si>
  <si>
    <t xml:space="preserve">NPS-01087</t>
  </si>
  <si>
    <t xml:space="preserve">NPS-03282</t>
  </si>
  <si>
    <t xml:space="preserve">NPS-04405</t>
  </si>
  <si>
    <t xml:space="preserve">NPS-04503</t>
  </si>
  <si>
    <t xml:space="preserve">NPS-04530</t>
  </si>
  <si>
    <t xml:space="preserve">NPS-05769</t>
  </si>
  <si>
    <t xml:space="preserve">NPS-03012</t>
  </si>
  <si>
    <t xml:space="preserve">NPS-03684</t>
  </si>
  <si>
    <t xml:space="preserve">NPS-01036</t>
  </si>
  <si>
    <t xml:space="preserve">NPS-01862</t>
  </si>
  <si>
    <t xml:space="preserve">NPS-02133</t>
  </si>
  <si>
    <t xml:space="preserve">NPS-02264</t>
  </si>
  <si>
    <t xml:space="preserve">NPS-03000</t>
  </si>
  <si>
    <t xml:space="preserve">NPS-03584</t>
  </si>
  <si>
    <t xml:space="preserve">NPS-05404</t>
  </si>
  <si>
    <t xml:space="preserve">NPS-05738</t>
  </si>
  <si>
    <t xml:space="preserve">NPS-05915</t>
  </si>
  <si>
    <t xml:space="preserve">NPS-06126</t>
  </si>
  <si>
    <t xml:space="preserve">NPS-01316</t>
  </si>
  <si>
    <t xml:space="preserve">NPS-02216</t>
  </si>
  <si>
    <t xml:space="preserve">NPS-02223</t>
  </si>
  <si>
    <t xml:space="preserve">NPS-02583</t>
  </si>
  <si>
    <t xml:space="preserve">NPS-05008</t>
  </si>
  <si>
    <t xml:space="preserve">NPS-00185</t>
  </si>
  <si>
    <t xml:space="preserve">NPS-00295</t>
  </si>
  <si>
    <t xml:space="preserve">NPS-00350</t>
  </si>
  <si>
    <t xml:space="preserve">NPS-01235</t>
  </si>
  <si>
    <t xml:space="preserve">NPS-01922</t>
  </si>
  <si>
    <t xml:space="preserve">NPS-02130</t>
  </si>
  <si>
    <t xml:space="preserve">NPS-02489</t>
  </si>
  <si>
    <t xml:space="preserve">NPS-02608</t>
  </si>
  <si>
    <t xml:space="preserve">NPS-02962</t>
  </si>
  <si>
    <t xml:space="preserve">NPS-03220</t>
  </si>
  <si>
    <t xml:space="preserve">NPS-03331</t>
  </si>
  <si>
    <t xml:space="preserve">NPS-03398</t>
  </si>
  <si>
    <t xml:space="preserve">NPS-03427</t>
  </si>
  <si>
    <t xml:space="preserve">NPS-03487</t>
  </si>
  <si>
    <t xml:space="preserve">NPS-03620</t>
  </si>
  <si>
    <t xml:space="preserve">NPS-03928</t>
  </si>
  <si>
    <t xml:space="preserve">NPS-04382</t>
  </si>
  <si>
    <t xml:space="preserve">NPS-04687</t>
  </si>
  <si>
    <t xml:space="preserve">NPS-05099</t>
  </si>
  <si>
    <t xml:space="preserve">NPS-05398</t>
  </si>
  <si>
    <t xml:space="preserve">NPS-05512</t>
  </si>
  <si>
    <t xml:space="preserve">NPS-05600</t>
  </si>
  <si>
    <t xml:space="preserve">NPS-06372</t>
  </si>
  <si>
    <t xml:space="preserve">NPS-06629</t>
  </si>
  <si>
    <t xml:space="preserve">NPS-00915</t>
  </si>
  <si>
    <t xml:space="preserve">NPS-00949</t>
  </si>
  <si>
    <t xml:space="preserve">NPS-01093</t>
  </si>
  <si>
    <t xml:space="preserve">NPS-01285</t>
  </si>
  <si>
    <t xml:space="preserve">NPS-01425</t>
  </si>
  <si>
    <t xml:space="preserve">NPS-01528</t>
  </si>
  <si>
    <t xml:space="preserve">NPS-01626</t>
  </si>
  <si>
    <t xml:space="preserve">NPS-01938</t>
  </si>
  <si>
    <t xml:space="preserve">NPS-01952</t>
  </si>
  <si>
    <t xml:space="preserve">NPS-02115</t>
  </si>
  <si>
    <t xml:space="preserve">NPS-02310</t>
  </si>
  <si>
    <t xml:space="preserve">NPS-02751</t>
  </si>
  <si>
    <t xml:space="preserve">NPS-02773</t>
  </si>
  <si>
    <t xml:space="preserve">NPS-02950</t>
  </si>
  <si>
    <t xml:space="preserve">NPS-03256</t>
  </si>
  <si>
    <t xml:space="preserve">NPS-03269</t>
  </si>
  <si>
    <t xml:space="preserve">NPS-04160</t>
  </si>
  <si>
    <t xml:space="preserve">NPS-04398</t>
  </si>
  <si>
    <t xml:space="preserve">NPS-05036</t>
  </si>
  <si>
    <t xml:space="preserve">NPS-05318</t>
  </si>
  <si>
    <t xml:space="preserve">NPS-05954</t>
  </si>
  <si>
    <t xml:space="preserve">NPS-06310</t>
  </si>
  <si>
    <t xml:space="preserve">NPS-06378</t>
  </si>
  <si>
    <t xml:space="preserve">NPS-00073</t>
  </si>
  <si>
    <t xml:space="preserve">NPS-00624</t>
  </si>
  <si>
    <t xml:space="preserve">NPS-00709</t>
  </si>
  <si>
    <t xml:space="preserve">NPS-01352</t>
  </si>
  <si>
    <t xml:space="preserve">NPS-01542</t>
  </si>
  <si>
    <t xml:space="preserve">NPS-01745</t>
  </si>
  <si>
    <t xml:space="preserve">NPS-01957</t>
  </si>
  <si>
    <t xml:space="preserve">NPS-02680</t>
  </si>
  <si>
    <t xml:space="preserve">NPS-03534</t>
  </si>
  <si>
    <t xml:space="preserve">NPS-03859</t>
  </si>
  <si>
    <t xml:space="preserve">NPS-03908</t>
  </si>
  <si>
    <t xml:space="preserve">NPS-04004</t>
  </si>
  <si>
    <t xml:space="preserve">NPS-04596</t>
  </si>
  <si>
    <t xml:space="preserve">NPS-04673</t>
  </si>
  <si>
    <t xml:space="preserve">NPS-04852</t>
  </si>
  <si>
    <t xml:space="preserve">NPS-04900</t>
  </si>
  <si>
    <t xml:space="preserve">NPS-05138</t>
  </si>
  <si>
    <t xml:space="preserve">NPS-05358</t>
  </si>
  <si>
    <t xml:space="preserve">NPS-05410</t>
  </si>
  <si>
    <t xml:space="preserve">NPS-05756</t>
  </si>
  <si>
    <t xml:space="preserve">NPS-05783</t>
  </si>
  <si>
    <t xml:space="preserve">NPS-05867</t>
  </si>
  <si>
    <t xml:space="preserve">NPS-06387</t>
  </si>
  <si>
    <t xml:space="preserve">NPS-06459</t>
  </si>
  <si>
    <t xml:space="preserve">NPS-06648</t>
  </si>
  <si>
    <t xml:space="preserve">NPS-06731</t>
  </si>
  <si>
    <t xml:space="preserve">NPS-06787</t>
  </si>
  <si>
    <t xml:space="preserve">NPS-07219</t>
  </si>
  <si>
    <t xml:space="preserve">NPS-00645</t>
  </si>
  <si>
    <t xml:space="preserve">NPS-00960</t>
  </si>
  <si>
    <t xml:space="preserve">NPS-01111</t>
  </si>
  <si>
    <t xml:space="preserve">NPS-01877</t>
  </si>
  <si>
    <t xml:space="preserve">NPS-02915</t>
  </si>
  <si>
    <t xml:space="preserve">NPS-02939</t>
  </si>
  <si>
    <t xml:space="preserve">NPS-03080</t>
  </si>
  <si>
    <t xml:space="preserve">NPS-03109</t>
  </si>
  <si>
    <t xml:space="preserve">NPS-04068</t>
  </si>
  <si>
    <t xml:space="preserve">NPS-04451</t>
  </si>
  <si>
    <t xml:space="preserve">NPS-05446</t>
  </si>
  <si>
    <t xml:space="preserve">NPS-05561</t>
  </si>
  <si>
    <t xml:space="preserve">NPS-06124</t>
  </si>
  <si>
    <t xml:space="preserve">NPS-06419</t>
  </si>
  <si>
    <t xml:space="preserve">NPS-06634</t>
  </si>
  <si>
    <t xml:space="preserve">NPS-06916</t>
  </si>
  <si>
    <t xml:space="preserve">NPS-07209</t>
  </si>
  <si>
    <t xml:space="preserve">NPS-07274</t>
  </si>
  <si>
    <t xml:space="preserve">NPS-00929</t>
  </si>
  <si>
    <t xml:space="preserve">NPS-01303</t>
  </si>
  <si>
    <t xml:space="preserve">NPS-01456</t>
  </si>
  <si>
    <t xml:space="preserve">NPS-02920</t>
  </si>
  <si>
    <t xml:space="preserve">NPS-04109</t>
  </si>
  <si>
    <t xml:space="preserve">NPS-05004</t>
  </si>
  <si>
    <t xml:space="preserve">NPS-05266</t>
  </si>
  <si>
    <t xml:space="preserve">NPS-06133</t>
  </si>
  <si>
    <t xml:space="preserve">NPS-06261</t>
  </si>
  <si>
    <t xml:space="preserve">NPS-06426</t>
  </si>
  <si>
    <t xml:space="preserve">NPS-06444</t>
  </si>
  <si>
    <t xml:space="preserve">NPS-06484</t>
  </si>
  <si>
    <t xml:space="preserve">NPS-06726</t>
  </si>
  <si>
    <t xml:space="preserve">NPS-06832</t>
  </si>
  <si>
    <t xml:space="preserve">NPS-00476</t>
  </si>
  <si>
    <t xml:space="preserve">NPS-00583</t>
  </si>
  <si>
    <t xml:space="preserve">NPS-00696</t>
  </si>
  <si>
    <t xml:space="preserve">NPS-00799</t>
  </si>
  <si>
    <t xml:space="preserve">NPS-00845</t>
  </si>
  <si>
    <t xml:space="preserve">NPS-00865</t>
  </si>
  <si>
    <t xml:space="preserve">NPS-01376</t>
  </si>
  <si>
    <t xml:space="preserve">NPS-02043</t>
  </si>
  <si>
    <t xml:space="preserve">NPS-02693</t>
  </si>
  <si>
    <t xml:space="preserve">NPS-02832</t>
  </si>
  <si>
    <t xml:space="preserve">NPS-03770</t>
  </si>
  <si>
    <t xml:space="preserve">NPS-05218</t>
  </si>
  <si>
    <t xml:space="preserve">NPS-05354</t>
  </si>
  <si>
    <t xml:space="preserve">NPS-05862</t>
  </si>
  <si>
    <t xml:space="preserve">NPS-06163</t>
  </si>
  <si>
    <t xml:space="preserve">NPS-06185</t>
  </si>
  <si>
    <t xml:space="preserve">NPS-06238</t>
  </si>
  <si>
    <t xml:space="preserve">NPS-06417</t>
  </si>
  <si>
    <t xml:space="preserve">NPS-06748</t>
  </si>
  <si>
    <t xml:space="preserve">NPS-01063</t>
  </si>
  <si>
    <t xml:space="preserve">NPS-01391</t>
  </si>
  <si>
    <t xml:space="preserve">NPS-01406</t>
  </si>
  <si>
    <t xml:space="preserve">NPS-01481</t>
  </si>
  <si>
    <t xml:space="preserve">NPS-01740</t>
  </si>
  <si>
    <t xml:space="preserve">NPS-02880</t>
  </si>
  <si>
    <t xml:space="preserve">NPS-02993</t>
  </si>
  <si>
    <t xml:space="preserve">NPS-03154</t>
  </si>
  <si>
    <t xml:space="preserve">NPS-03263</t>
  </si>
  <si>
    <t xml:space="preserve">NPS-03553</t>
  </si>
  <si>
    <t xml:space="preserve">NPS-03942</t>
  </si>
  <si>
    <t xml:space="preserve">NPS-03991</t>
  </si>
  <si>
    <t xml:space="preserve">NPS-04515</t>
  </si>
  <si>
    <t xml:space="preserve">NPS-04770</t>
  </si>
  <si>
    <t xml:space="preserve">NPS-04922</t>
  </si>
  <si>
    <t xml:space="preserve">NPS-05031</t>
  </si>
  <si>
    <t xml:space="preserve">NPS-05081</t>
  </si>
  <si>
    <t xml:space="preserve">NPS-05169</t>
  </si>
  <si>
    <t xml:space="preserve">NPS-05698</t>
  </si>
  <si>
    <t xml:space="preserve">NPS-05790</t>
  </si>
  <si>
    <t xml:space="preserve">NPS-05959</t>
  </si>
  <si>
    <t xml:space="preserve">NPS-06243</t>
  </si>
  <si>
    <t xml:space="preserve">NPS-06511</t>
  </si>
  <si>
    <t xml:space="preserve">NPS-06693</t>
  </si>
  <si>
    <t xml:space="preserve">NPS-07130</t>
  </si>
  <si>
    <t xml:space="preserve">NPS-00094</t>
  </si>
  <si>
    <t xml:space="preserve">NPS-00988</t>
  </si>
  <si>
    <t xml:space="preserve">NPS-01232</t>
  </si>
  <si>
    <t xml:space="preserve">NPS-01333</t>
  </si>
  <si>
    <t xml:space="preserve">NPS-01475</t>
  </si>
  <si>
    <t xml:space="preserve">NPS-01599</t>
  </si>
  <si>
    <t xml:space="preserve">NPS-01618</t>
  </si>
  <si>
    <t xml:space="preserve">NPS-02373</t>
  </si>
  <si>
    <t xml:space="preserve">NPS-02545</t>
  </si>
  <si>
    <t xml:space="preserve">NPS-03448</t>
  </si>
  <si>
    <t xml:space="preserve">NPS-03463</t>
  </si>
  <si>
    <t xml:space="preserve">NPS-04243</t>
  </si>
  <si>
    <t xml:space="preserve">NPS-04283</t>
  </si>
  <si>
    <t xml:space="preserve">NPS-04330</t>
  </si>
  <si>
    <t xml:space="preserve">NPS-04635</t>
  </si>
  <si>
    <t xml:space="preserve">NPS-04714</t>
  </si>
  <si>
    <t xml:space="preserve">NPS-04910</t>
  </si>
  <si>
    <t xml:space="preserve">NPS-05372</t>
  </si>
  <si>
    <t xml:space="preserve">NPS-05818</t>
  </si>
  <si>
    <t xml:space="preserve">NPS-05981</t>
  </si>
  <si>
    <t xml:space="preserve">NPS-06076</t>
  </si>
  <si>
    <t xml:space="preserve">NPS-06668</t>
  </si>
  <si>
    <t xml:space="preserve">NPS-07059</t>
  </si>
  <si>
    <t xml:space="preserve">NPS-07066</t>
  </si>
  <si>
    <t xml:space="preserve">NPS-00027</t>
  </si>
  <si>
    <t xml:space="preserve">NPS-00089</t>
  </si>
  <si>
    <t xml:space="preserve">NPS-00654</t>
  </si>
  <si>
    <t xml:space="preserve">NPS-00885</t>
  </si>
  <si>
    <t xml:space="preserve">NPS-00924</t>
  </si>
  <si>
    <t xml:space="preserve">NPS-01396</t>
  </si>
  <si>
    <t xml:space="preserve">NPS-03258</t>
  </si>
  <si>
    <t xml:space="preserve">NPS-03360</t>
  </si>
  <si>
    <t xml:space="preserve">NPS-03895</t>
  </si>
  <si>
    <t xml:space="preserve">NPS-04668</t>
  </si>
  <si>
    <t xml:space="preserve">NPS-04813</t>
  </si>
  <si>
    <t xml:space="preserve">NPS-05315</t>
  </si>
  <si>
    <t xml:space="preserve">NPS-05480</t>
  </si>
  <si>
    <t xml:space="preserve">NPS-05843</t>
  </si>
  <si>
    <t xml:space="preserve">NPS-05905</t>
  </si>
  <si>
    <t xml:space="preserve">NPS-07224</t>
  </si>
  <si>
    <t xml:space="preserve">NPS-00169</t>
  </si>
  <si>
    <t xml:space="preserve">NPS-00289</t>
  </si>
  <si>
    <t xml:space="preserve">NPS-00372</t>
  </si>
  <si>
    <t xml:space="preserve">NPS-00435</t>
  </si>
  <si>
    <t xml:space="preserve">NPS-00514</t>
  </si>
  <si>
    <t xml:space="preserve">NPS-00794</t>
  </si>
  <si>
    <t xml:space="preserve">NPS-00817</t>
  </si>
  <si>
    <t xml:space="preserve">NPS-01714</t>
  </si>
  <si>
    <t xml:space="preserve">NPS-02142</t>
  </si>
  <si>
    <t xml:space="preserve">NPS-02208</t>
  </si>
  <si>
    <t xml:space="preserve">NPS-02571</t>
  </si>
  <si>
    <t xml:space="preserve">NPS-03274</t>
  </si>
  <si>
    <t xml:space="preserve">NPS-03338</t>
  </si>
  <si>
    <t xml:space="preserve">NPS-03411</t>
  </si>
  <si>
    <t xml:space="preserve">NPS-03677</t>
  </si>
  <si>
    <t xml:space="preserve">NPS-03682</t>
  </si>
  <si>
    <t xml:space="preserve">NPS-03720</t>
  </si>
  <si>
    <t xml:space="preserve">NPS-03996</t>
  </si>
  <si>
    <t xml:space="preserve">NPS-04116</t>
  </si>
  <si>
    <t xml:space="preserve">NPS-04153</t>
  </si>
  <si>
    <t xml:space="preserve">NPS-04543</t>
  </si>
  <si>
    <t xml:space="preserve">NPS-04663</t>
  </si>
  <si>
    <t xml:space="preserve">NPS-05898</t>
  </si>
  <si>
    <t xml:space="preserve">NPS-06501</t>
  </si>
  <si>
    <t xml:space="preserve">NPS-06813</t>
  </si>
  <si>
    <t xml:space="preserve">NPS-00765</t>
  </si>
  <si>
    <t xml:space="preserve">NPS-00921</t>
  </si>
  <si>
    <t xml:space="preserve">NPS-01650</t>
  </si>
  <si>
    <t xml:space="preserve">NPS-01984</t>
  </si>
  <si>
    <t xml:space="preserve">NPS-01994</t>
  </si>
  <si>
    <t xml:space="preserve">NPS-02077</t>
  </si>
  <si>
    <t xml:space="preserve">NPS-02472</t>
  </si>
  <si>
    <t xml:space="preserve">NPS-02539</t>
  </si>
  <si>
    <t xml:space="preserve">NPS-03319</t>
  </si>
  <si>
    <t xml:space="preserve">NPS-03505</t>
  </si>
  <si>
    <t xml:space="preserve">NPS-03630</t>
  </si>
  <si>
    <t xml:space="preserve">NPS-03787</t>
  </si>
  <si>
    <t xml:space="preserve">NPS-04214</t>
  </si>
  <si>
    <t xml:space="preserve">NPS-04348</t>
  </si>
  <si>
    <t xml:space="preserve">NPS-04464</t>
  </si>
  <si>
    <t xml:space="preserve">NPS-04882</t>
  </si>
  <si>
    <t xml:space="preserve">NPS-05198</t>
  </si>
  <si>
    <t xml:space="preserve">NPS-05786</t>
  </si>
  <si>
    <t xml:space="preserve">NPS-05825</t>
  </si>
  <si>
    <t xml:space="preserve">NPS-05856</t>
  </si>
  <si>
    <t xml:space="preserve">NPS-05935</t>
  </si>
  <si>
    <t xml:space="preserve">NPS-06145</t>
  </si>
  <si>
    <t xml:space="preserve">NPS-06251</t>
  </si>
  <si>
    <t xml:space="preserve">NPS-06441</t>
  </si>
  <si>
    <t xml:space="preserve">NPS-06499</t>
  </si>
  <si>
    <t xml:space="preserve">NPS-07258</t>
  </si>
  <si>
    <t xml:space="preserve">NPS-00130</t>
  </si>
  <si>
    <t xml:space="preserve">NPS-00567</t>
  </si>
  <si>
    <t xml:space="preserve">NPS-01547</t>
  </si>
  <si>
    <t xml:space="preserve">NPS-01574</t>
  </si>
  <si>
    <t xml:space="preserve">NPS-01724</t>
  </si>
  <si>
    <t xml:space="preserve">NPS-02325</t>
  </si>
  <si>
    <t xml:space="preserve">NPS-02529</t>
  </si>
  <si>
    <t xml:space="preserve">NPS-03041</t>
  </si>
  <si>
    <t xml:space="preserve">NPS-03143</t>
  </si>
  <si>
    <t xml:space="preserve">NPS-03743</t>
  </si>
  <si>
    <t xml:space="preserve">NPS-04377</t>
  </si>
  <si>
    <t xml:space="preserve">NPS-04499</t>
  </si>
  <si>
    <t xml:space="preserve">NPS-05042</t>
  </si>
  <si>
    <t xml:space="preserve">NPS-05094</t>
  </si>
  <si>
    <t xml:space="preserve">NPS-05108</t>
  </si>
  <si>
    <t xml:space="preserve">NPS-05145</t>
  </si>
  <si>
    <t xml:space="preserve">NPS-05329</t>
  </si>
  <si>
    <t xml:space="preserve">NPS-05622</t>
  </si>
  <si>
    <t xml:space="preserve">NPS-06382</t>
  </si>
  <si>
    <t xml:space="preserve">NPS-06532</t>
  </si>
  <si>
    <t xml:space="preserve">NPS-06625</t>
  </si>
  <si>
    <t xml:space="preserve">NPS-06956</t>
  </si>
  <si>
    <t xml:space="preserve">NPS-07140</t>
  </si>
  <si>
    <t xml:space="preserve">NPS-07214</t>
  </si>
  <si>
    <t xml:space="preserve">NPS-00109</t>
  </si>
  <si>
    <t xml:space="preserve">NPS-00500</t>
  </si>
  <si>
    <t xml:space="preserve">NPS-00770</t>
  </si>
  <si>
    <t xml:space="preserve">NPS-00979</t>
  </si>
  <si>
    <t xml:space="preserve">NPS-01413</t>
  </si>
  <si>
    <t xml:space="preserve">NPS-01702</t>
  </si>
  <si>
    <t xml:space="preserve">NPS-02400</t>
  </si>
  <si>
    <t xml:space="preserve">NPS-02988</t>
  </si>
  <si>
    <t xml:space="preserve">NPS-02998</t>
  </si>
  <si>
    <t xml:space="preserve">NPS-04310</t>
  </si>
  <si>
    <t xml:space="preserve">NPS-04413</t>
  </si>
  <si>
    <t xml:space="preserve">NPS-04706</t>
  </si>
  <si>
    <t xml:space="preserve">NPS-05174</t>
  </si>
  <si>
    <t xml:space="preserve">NPS-05517</t>
  </si>
  <si>
    <t xml:space="preserve">NPS-05890</t>
  </si>
  <si>
    <t xml:space="preserve">NPS-06231</t>
  </si>
  <si>
    <t xml:space="preserve">NPS-06294</t>
  </si>
  <si>
    <t xml:space="preserve">NPS-06863</t>
  </si>
  <si>
    <t xml:space="preserve">NPS-00311</t>
  </si>
  <si>
    <t xml:space="preserve">NPS-00338</t>
  </si>
  <si>
    <t xml:space="preserve">NPS-00880</t>
  </si>
  <si>
    <t xml:space="preserve">NPS-01024</t>
  </si>
  <si>
    <t xml:space="preserve">NPS-01324</t>
  </si>
  <si>
    <t xml:space="preserve">NPS-01488</t>
  </si>
  <si>
    <t xml:space="preserve">NPS-01557</t>
  </si>
  <si>
    <t xml:space="preserve">NPS-02064</t>
  </si>
  <si>
    <t xml:space="preserve">NPS-02296</t>
  </si>
  <si>
    <t xml:space="preserve">NPS-02340</t>
  </si>
  <si>
    <t xml:space="preserve">NPS-03116</t>
  </si>
  <si>
    <t xml:space="preserve">NPS-03214</t>
  </si>
  <si>
    <t xml:space="preserve">NPS-03373</t>
  </si>
  <si>
    <t xml:space="preserve">NPS-04078</t>
  </si>
  <si>
    <t xml:space="preserve">NPS-04479</t>
  </si>
  <si>
    <t xml:space="preserve">NPS-04936</t>
  </si>
  <si>
    <t xml:space="preserve">NPS-05184</t>
  </si>
  <si>
    <t xml:space="preserve">NPS-05244</t>
  </si>
  <si>
    <t xml:space="preserve">NPS-05438</t>
  </si>
  <si>
    <t xml:space="preserve">NPS-05831</t>
  </si>
  <si>
    <t xml:space="preserve">NPS-05885</t>
  </si>
  <si>
    <t xml:space="preserve">NPS-06057</t>
  </si>
  <si>
    <t xml:space="preserve">NPS-06065</t>
  </si>
  <si>
    <t xml:space="preserve">NPS-06676</t>
  </si>
  <si>
    <t xml:space="preserve">NPS-06791</t>
  </si>
  <si>
    <t xml:space="preserve">NPS-07199</t>
  </si>
  <si>
    <t xml:space="preserve">NPS-00159</t>
  </si>
  <si>
    <t xml:space="preserve">NPS-00365</t>
  </si>
  <si>
    <t xml:space="preserve">NPS-00509</t>
  </si>
  <si>
    <t xml:space="preserve">NPS-00944</t>
  </si>
  <si>
    <t xml:space="preserve">NPS-01165</t>
  </si>
  <si>
    <t xml:space="preserve">NPS-01209</t>
  </si>
  <si>
    <t xml:space="preserve">NPS-01338</t>
  </si>
  <si>
    <t xml:space="preserve">NPS-01578</t>
  </si>
  <si>
    <t xml:space="preserve">NPS-01658</t>
  </si>
  <si>
    <t xml:space="preserve">NPS-01912</t>
  </si>
  <si>
    <t xml:space="preserve">NPS-02052</t>
  </si>
  <si>
    <t xml:space="preserve">NPS-02150</t>
  </si>
  <si>
    <t xml:space="preserve">NPS-02440</t>
  </si>
  <si>
    <t xml:space="preserve">NPS-02496</t>
  </si>
  <si>
    <t xml:space="preserve">NPS-02636</t>
  </si>
  <si>
    <t xml:space="preserve">NPS-02798</t>
  </si>
  <si>
    <t xml:space="preserve">NPS-03869</t>
  </si>
  <si>
    <t xml:space="preserve">NPS-04220</t>
  </si>
  <si>
    <t xml:space="preserve">NPS-04645</t>
  </si>
  <si>
    <t xml:space="preserve">NPS-04847</t>
  </si>
  <si>
    <t xml:space="preserve">NPS-05342</t>
  </si>
  <si>
    <t xml:space="preserve">NPS-05658</t>
  </si>
  <si>
    <t xml:space="preserve">NPS-06605</t>
  </si>
  <si>
    <t xml:space="preserve">NPS-06618</t>
  </si>
  <si>
    <t xml:space="preserve">NPS-06712</t>
  </si>
  <si>
    <t xml:space="preserve">NPS-07286</t>
  </si>
  <si>
    <t xml:space="preserve">NPS-00587</t>
  </si>
  <si>
    <t xml:space="preserve">NPS-00854</t>
  </si>
  <si>
    <t xml:space="preserve">NPS-01365</t>
  </si>
  <si>
    <t xml:space="preserve">NPS-01461</t>
  </si>
  <si>
    <t xml:space="preserve">NPS-02430</t>
  </si>
  <si>
    <t xml:space="preserve">NPS-02457</t>
  </si>
  <si>
    <t xml:space="preserve">NPS-02593</t>
  </si>
  <si>
    <t xml:space="preserve">NPS-03034</t>
  </si>
  <si>
    <t xml:space="preserve">NPS-03367</t>
  </si>
  <si>
    <t xml:space="preserve">NPS-04485</t>
  </si>
  <si>
    <t xml:space="preserve">NPS-04729</t>
  </si>
  <si>
    <t xml:space="preserve">NPS-04750</t>
  </si>
  <si>
    <t xml:space="preserve">NPS-04778</t>
  </si>
  <si>
    <t xml:space="preserve">NPS-04932</t>
  </si>
  <si>
    <t xml:space="preserve">NPS-04941</t>
  </si>
  <si>
    <t xml:space="preserve">NPS-05047</t>
  </si>
  <si>
    <t xml:space="preserve">NPS-05207</t>
  </si>
  <si>
    <t xml:space="preserve">NPS-06328</t>
  </si>
  <si>
    <t xml:space="preserve">NPS-06684</t>
  </si>
  <si>
    <t xml:space="preserve">NPS-06736</t>
  </si>
  <si>
    <t xml:space="preserve">NPS-07250</t>
  </si>
  <si>
    <t xml:space="preserve">NPS-00210</t>
  </si>
  <si>
    <t xml:space="preserve">NPS-00563</t>
  </si>
  <si>
    <t xml:space="preserve">NPS-01121</t>
  </si>
  <si>
    <t xml:space="preserve">NPS-01241</t>
  </si>
  <si>
    <t xml:space="preserve">NPS-01293</t>
  </si>
  <si>
    <t xml:space="preserve">NPS-01360</t>
  </si>
  <si>
    <t xml:space="preserve">NPS-02466</t>
  </si>
  <si>
    <t xml:space="preserve">NPS-02561</t>
  </si>
  <si>
    <t xml:space="preserve">NPS-03368</t>
  </si>
  <si>
    <t xml:space="preserve">NPS-03514</t>
  </si>
  <si>
    <t xml:space="preserve">NPS-03864</t>
  </si>
  <si>
    <t xml:space="preserve">NPS-04340</t>
  </si>
  <si>
    <t xml:space="preserve">NPS-04473</t>
  </si>
  <si>
    <t xml:space="preserve">NPS-04556</t>
  </si>
  <si>
    <t xml:space="preserve">NPS-04699</t>
  </si>
  <si>
    <t xml:space="preserve">NPS-05483</t>
  </si>
  <si>
    <t xml:space="preserve">NPS-05488</t>
  </si>
  <si>
    <t xml:space="preserve">NPS-05800</t>
  </si>
  <si>
    <t xml:space="preserve">NPS-06890</t>
  </si>
  <si>
    <t xml:space="preserve">NPS-06947</t>
  </si>
  <si>
    <t xml:space="preserve">NPS-07005</t>
  </si>
  <si>
    <t xml:space="preserve">NPS-07125</t>
  </si>
  <si>
    <t xml:space="preserve">NPS-00042</t>
  </si>
  <si>
    <t xml:space="preserve">NPS-00114</t>
  </si>
  <si>
    <t xml:space="preserve">NPS-00243</t>
  </si>
  <si>
    <t xml:space="preserve">NPS-00253</t>
  </si>
  <si>
    <t xml:space="preserve">NPS-00342</t>
  </si>
  <si>
    <t xml:space="preserve">NPS-01873</t>
  </si>
  <si>
    <t xml:space="preserve">NPS-01907</t>
  </si>
  <si>
    <t xml:space="preserve">NPS-02176</t>
  </si>
  <si>
    <t xml:space="preserve">NPS-02250</t>
  </si>
  <si>
    <t xml:space="preserve">NPS-02272</t>
  </si>
  <si>
    <t xml:space="preserve">NPS-02291</t>
  </si>
  <si>
    <t xml:space="preserve">NPS-02494</t>
  </si>
  <si>
    <t xml:space="preserve">NPS-02793</t>
  </si>
  <si>
    <t xml:space="preserve">NPS-02902</t>
  </si>
  <si>
    <t xml:space="preserve">NPS-03576</t>
  </si>
  <si>
    <t xml:space="preserve">NPS-03581</t>
  </si>
  <si>
    <t xml:space="preserve">NPS-03615</t>
  </si>
  <si>
    <t xml:space="preserve">NPS-03875</t>
  </si>
  <si>
    <t xml:space="preserve">NPS-04010</t>
  </si>
  <si>
    <t xml:space="preserve">NPS-04438</t>
  </si>
  <si>
    <t xml:space="preserve">NPS-04653</t>
  </si>
  <si>
    <t xml:space="preserve">NPS-04796</t>
  </si>
  <si>
    <t xml:space="preserve">NPS-05117</t>
  </si>
  <si>
    <t xml:space="preserve">NPS-05159</t>
  </si>
  <si>
    <t xml:space="preserve">NPS-05258</t>
  </si>
  <si>
    <t xml:space="preserve">NPS-05527</t>
  </si>
  <si>
    <t xml:space="preserve">NPS-05729</t>
  </si>
  <si>
    <t xml:space="preserve">NPS-05778</t>
  </si>
  <si>
    <t xml:space="preserve">NPS-06083</t>
  </si>
  <si>
    <t xml:space="preserve">NPS-06107</t>
  </si>
  <si>
    <t xml:space="preserve">NPS-07031</t>
  </si>
  <si>
    <t xml:space="preserve">NPS-00271</t>
  </si>
  <si>
    <t xml:space="preserve">NPS-00399</t>
  </si>
  <si>
    <t xml:space="preserve">NPS-00613</t>
  </si>
  <si>
    <t xml:space="preserve">NPS-00701</t>
  </si>
  <si>
    <t xml:space="preserve">NPS-01386</t>
  </si>
  <si>
    <t xml:space="preserve">NPS-01977</t>
  </si>
  <si>
    <t xml:space="preserve">NPS-03005</t>
  </si>
  <si>
    <t xml:space="preserve">NPS-03065</t>
  </si>
  <si>
    <t xml:space="preserve">NPS-03313</t>
  </si>
  <si>
    <t xml:space="preserve">NPS-03501</t>
  </si>
  <si>
    <t xml:space="preserve">NPS-03570</t>
  </si>
  <si>
    <t xml:space="preserve">NPS-03642</t>
  </si>
  <si>
    <t xml:space="preserve">NPS-03855</t>
  </si>
  <si>
    <t xml:space="preserve">NPS-04564</t>
  </si>
  <si>
    <t xml:space="preserve">NPS-04602</t>
  </si>
  <si>
    <t xml:space="preserve">NPS-04607</t>
  </si>
  <si>
    <t xml:space="preserve">NPS-04623</t>
  </si>
  <si>
    <t xml:space="preserve">NPS-04791</t>
  </si>
  <si>
    <t xml:space="preserve">NPS-04951</t>
  </si>
  <si>
    <t xml:space="preserve">NPS-05508</t>
  </si>
  <si>
    <t xml:space="preserve">NPS-05522</t>
  </si>
  <si>
    <t xml:space="preserve">NPS-05587</t>
  </si>
  <si>
    <t xml:space="preserve">NPS-05619</t>
  </si>
  <si>
    <t xml:space="preserve">NPS-06741</t>
  </si>
  <si>
    <t xml:space="preserve">NPS-06980</t>
  </si>
  <si>
    <t xml:space="preserve">NPS-07064</t>
  </si>
  <si>
    <t xml:space="preserve">NPS-01175</t>
  </si>
  <si>
    <t xml:space="preserve">NPS-01382</t>
  </si>
  <si>
    <t xml:space="preserve">NPS-02206</t>
  </si>
  <si>
    <t xml:space="preserve">NPS-02315</t>
  </si>
  <si>
    <t xml:space="preserve">NPS-02727</t>
  </si>
  <si>
    <t xml:space="preserve">NPS-02978</t>
  </si>
  <si>
    <t xml:space="preserve">NPS-03344</t>
  </si>
  <si>
    <t xml:space="preserve">NPS-03468</t>
  </si>
  <si>
    <t xml:space="preserve">NPS-03883</t>
  </si>
  <si>
    <t xml:space="preserve">NPS-04170</t>
  </si>
  <si>
    <t xml:space="preserve">NPS-04650</t>
  </si>
  <si>
    <t xml:space="preserve">NPS-04783</t>
  </si>
  <si>
    <t xml:space="preserve">NPS-05023</t>
  </si>
  <si>
    <t xml:space="preserve">NPS-05124</t>
  </si>
  <si>
    <t xml:space="preserve">NPS-05323</t>
  </si>
  <si>
    <t xml:space="preserve">NPS-05467</t>
  </si>
  <si>
    <t xml:space="preserve">NPS-05851</t>
  </si>
  <si>
    <t xml:space="preserve">NPS-05978</t>
  </si>
  <si>
    <t xml:space="preserve">NPS-05999</t>
  </si>
  <si>
    <t xml:space="preserve">NPS-06488</t>
  </si>
  <si>
    <t xml:space="preserve">NPS-06544</t>
  </si>
  <si>
    <t xml:space="preserve">NPS-06839</t>
  </si>
  <si>
    <t xml:space="preserve">NPS-06931</t>
  </si>
  <si>
    <t xml:space="preserve">NPS-07194</t>
  </si>
  <si>
    <t xml:space="preserve">NPS-00150</t>
  </si>
  <si>
    <t xml:space="preserve">NPS-00682</t>
  </si>
  <si>
    <t xml:space="preserve">NPS-00685</t>
  </si>
  <si>
    <t xml:space="preserve">NPS-00759</t>
  </si>
  <si>
    <t xml:space="preserve">NPS-01496</t>
  </si>
  <si>
    <t xml:space="preserve">NPS-01774</t>
  </si>
  <si>
    <t xml:space="preserve">NPS-02241</t>
  </si>
  <si>
    <t xml:space="preserve">NPS-02860</t>
  </si>
  <si>
    <t xml:space="preserve">NPS-02883</t>
  </si>
  <si>
    <t xml:space="preserve">NPS-03433</t>
  </si>
  <si>
    <t xml:space="preserve">NPS-04087</t>
  </si>
  <si>
    <t xml:space="preserve">NPS-04395</t>
  </si>
  <si>
    <t xml:space="preserve">NPS-04559</t>
  </si>
  <si>
    <t xml:space="preserve">NPS-04580</t>
  </si>
  <si>
    <t xml:space="preserve">NPS-04957</t>
  </si>
  <si>
    <t xml:space="preserve">NPS-06142</t>
  </si>
  <si>
    <t xml:space="preserve">NPS-06196</t>
  </si>
  <si>
    <t xml:space="preserve">NPS-06868</t>
  </si>
  <si>
    <t xml:space="preserve">NPS-06970</t>
  </si>
  <si>
    <t xml:space="preserve">NPS-07281</t>
  </si>
  <si>
    <t xml:space="preserve">NPS-00071</t>
  </si>
  <si>
    <t xml:space="preserve">NPS-00122</t>
  </si>
  <si>
    <t xml:space="preserve">NPS-00491</t>
  </si>
  <si>
    <t xml:space="preserve">NPS-00619</t>
  </si>
  <si>
    <t xml:space="preserve">NPS-00938</t>
  </si>
  <si>
    <t xml:space="preserve">NPS-01199</t>
  </si>
  <si>
    <t xml:space="preserve">NPS-01298</t>
  </si>
  <si>
    <t xml:space="preserve">NPS-01695</t>
  </si>
  <si>
    <t xml:space="preserve">NPS-02234</t>
  </si>
  <si>
    <t xml:space="preserve">NPS-02732</t>
  </si>
  <si>
    <t xml:space="preserve">NPS-03047</t>
  </si>
  <si>
    <t xml:space="preserve">NPS-03292</t>
  </si>
  <si>
    <t xml:space="preserve">NPS-03439</t>
  </si>
  <si>
    <t xml:space="preserve">NPS-04039</t>
  </si>
  <si>
    <t xml:space="preserve">NPS-04364</t>
  </si>
  <si>
    <t xml:space="preserve">NPS-04834</t>
  </si>
  <si>
    <t xml:space="preserve">NPS-05140</t>
  </si>
  <si>
    <t xml:space="preserve">NPS-05821</t>
  </si>
  <si>
    <t xml:space="preserve">NPS-05893</t>
  </si>
  <si>
    <t xml:space="preserve">NPS-06168</t>
  </si>
  <si>
    <t xml:space="preserve">NPS-06223</t>
  </si>
  <si>
    <t xml:space="preserve">NPS-06340</t>
  </si>
  <si>
    <t xml:space="preserve">NPS-06507</t>
  </si>
  <si>
    <t xml:space="preserve">NPS-07073</t>
  </si>
  <si>
    <t xml:space="preserve">NPS-00263</t>
  </si>
  <si>
    <t xml:space="preserve">NPS-00457</t>
  </si>
  <si>
    <t xml:space="preserve">NPS-00963</t>
  </si>
  <si>
    <t xml:space="preserve">NPS-01034</t>
  </si>
  <si>
    <t xml:space="preserve">NPS-01262</t>
  </si>
  <si>
    <t xml:space="preserve">NPS-01418</t>
  </si>
  <si>
    <t xml:space="preserve">NPS-02258</t>
  </si>
  <si>
    <t xml:space="preserve">NPS-02366</t>
  </si>
  <si>
    <t xml:space="preserve">NPS-02702</t>
  </si>
  <si>
    <t xml:space="preserve">NPS-02897</t>
  </si>
  <si>
    <t xml:space="preserve">NPS-03018</t>
  </si>
  <si>
    <t xml:space="preserve">NPS-03126</t>
  </si>
  <si>
    <t xml:space="preserve">NPS-03158</t>
  </si>
  <si>
    <t xml:space="preserve">NPS-03265</t>
  </si>
  <si>
    <t xml:space="preserve">NPS-03391</t>
  </si>
  <si>
    <t xml:space="preserve">NPS-03782</t>
  </si>
  <si>
    <t xml:space="preserve">NPS-03837</t>
  </si>
  <si>
    <t xml:space="preserve">NPS-03956</t>
  </si>
  <si>
    <t xml:space="preserve">NPS-04103</t>
  </si>
  <si>
    <t xml:space="preserve">NPS-04269</t>
  </si>
  <si>
    <t xml:space="preserve">NPS-04387</t>
  </si>
  <si>
    <t xml:space="preserve">NPS-04446</t>
  </si>
  <si>
    <t xml:space="preserve">NPS-05702</t>
  </si>
  <si>
    <t xml:space="preserve">NPS-05834</t>
  </si>
  <si>
    <t xml:space="preserve">NPS-05984</t>
  </si>
  <si>
    <t xml:space="preserve">NPS-00285</t>
  </si>
  <si>
    <t xml:space="preserve">NPS-00546</t>
  </si>
  <si>
    <t xml:space="preserve">NPS-01181</t>
  </si>
  <si>
    <t xml:space="preserve">NPS-01451</t>
  </si>
  <si>
    <t xml:space="preserve">NPS-01675</t>
  </si>
  <si>
    <t xml:space="preserve">NPS-01707</t>
  </si>
  <si>
    <t xml:space="preserve">NPS-02104</t>
  </si>
  <si>
    <t xml:space="preserve">NPS-03170</t>
  </si>
  <si>
    <t xml:space="preserve">NPS-03566</t>
  </si>
  <si>
    <t xml:space="preserve">NPS-03709</t>
  </si>
  <si>
    <t xml:space="preserve">NPS-03777</t>
  </si>
  <si>
    <t xml:space="preserve">NPS-04535</t>
  </si>
  <si>
    <t xml:space="preserve">NPS-04808</t>
  </si>
  <si>
    <t xml:space="preserve">NPS-04887</t>
  </si>
  <si>
    <t xml:space="preserve">NPS-05154</t>
  </si>
  <si>
    <t xml:space="preserve">NPS-05274</t>
  </si>
  <si>
    <t xml:space="preserve">NPS-05556</t>
  </si>
  <si>
    <t xml:space="preserve">NPS-05612</t>
  </si>
  <si>
    <t xml:space="preserve">NPS-06081</t>
  </si>
  <si>
    <t xml:space="preserve">NPS-06333</t>
  </si>
  <si>
    <t xml:space="preserve">NPS-06345</t>
  </si>
  <si>
    <t xml:space="preserve">NPS-06434</t>
  </si>
  <si>
    <t xml:space="preserve">NPS-06745</t>
  </si>
  <si>
    <t xml:space="preserve">NPS-06810</t>
  </si>
  <si>
    <t xml:space="preserve">NPS-00331</t>
  </si>
  <si>
    <t xml:space="preserve">NPS-00382</t>
  </si>
  <si>
    <t xml:space="preserve">NPS-01101</t>
  </si>
  <si>
    <t xml:space="preserve">NPS-01140</t>
  </si>
  <si>
    <t xml:space="preserve">NPS-01219</t>
  </si>
  <si>
    <t xml:space="preserve">NPS-01267</t>
  </si>
  <si>
    <t xml:space="preserve">NPS-01291</t>
  </si>
  <si>
    <t xml:space="preserve">NPS-01672</t>
  </si>
  <si>
    <t xml:space="preserve">NPS-01764</t>
  </si>
  <si>
    <t xml:space="preserve">NPS-01825</t>
  </si>
  <si>
    <t xml:space="preserve">NPS-01868</t>
  </si>
  <si>
    <t xml:space="preserve">NPS-02092</t>
  </si>
  <si>
    <t xml:space="preserve">NPS-02602</t>
  </si>
  <si>
    <t xml:space="preserve">NPS-03308</t>
  </si>
  <si>
    <t xml:space="preserve">NPS-04527</t>
  </si>
  <si>
    <t xml:space="preserve">NPS-04678</t>
  </si>
  <si>
    <t xml:space="preserve">NPS-07174</t>
  </si>
  <si>
    <t xml:space="preserve">NPS-07185</t>
  </si>
  <si>
    <t xml:space="preserve">NPS-07246</t>
  </si>
  <si>
    <t xml:space="preserve">NPS-00228</t>
  </si>
  <si>
    <t xml:space="preserve">NPS-06157</t>
  </si>
  <si>
    <t xml:space="preserve">NPS-06587</t>
  </si>
  <si>
    <t xml:space="preserve">NPS-06925</t>
  </si>
  <si>
    <t xml:space="preserve">NPS-00981</t>
  </si>
  <si>
    <t xml:space="preserve">NPS-02758</t>
  </si>
  <si>
    <t xml:space="preserve">NPS-03135</t>
  </si>
  <si>
    <t xml:space="preserve">NPS-03362</t>
  </si>
  <si>
    <t xml:space="preserve">NPS-05084</t>
  </si>
  <si>
    <t xml:space="preserve">NPS-05294</t>
  </si>
  <si>
    <t xml:space="preserve">NPS-05693</t>
  </si>
  <si>
    <t xml:space="preserve">NPS-05949</t>
  </si>
  <si>
    <t xml:space="preserve">NPS-06689</t>
  </si>
  <si>
    <t xml:space="preserve">NPS-06794</t>
  </si>
  <si>
    <t xml:space="preserve">NPS-06993</t>
  </si>
  <si>
    <t xml:space="preserve">NPS-07116</t>
  </si>
  <si>
    <t xml:space="preserve">NPS-01144</t>
  </si>
  <si>
    <t xml:space="preserve">NPS-01223</t>
  </si>
  <si>
    <t xml:space="preserve">NPS-01971</t>
  </si>
  <si>
    <t xml:space="preserve">NPS-03098</t>
  </si>
  <si>
    <t xml:space="preserve">NPS-03834</t>
  </si>
  <si>
    <t xml:space="preserve">NPS-03914</t>
  </si>
  <si>
    <t xml:space="preserve">NPS-06963</t>
  </si>
  <si>
    <t xml:space="preserve">NPS-07235</t>
  </si>
  <si>
    <t xml:space="preserve">NPS-00049</t>
  </si>
  <si>
    <t xml:space="preserve">NPS-00594</t>
  </si>
  <si>
    <t xml:space="preserve">NPS-01437</t>
  </si>
  <si>
    <t xml:space="preserve">NPS-02595</t>
  </si>
  <si>
    <t xml:space="preserve">NPS-02744</t>
  </si>
  <si>
    <t xml:space="preserve">NPS-03986</t>
  </si>
  <si>
    <t xml:space="preserve">NPS-05721</t>
  </si>
  <si>
    <t xml:space="preserve">NPS-05973</t>
  </si>
  <si>
    <t xml:space="preserve">NPS-06509</t>
  </si>
  <si>
    <t xml:space="preserve">NPS-06975</t>
  </si>
  <si>
    <t xml:space="preserve">NPS-00276</t>
  </si>
  <si>
    <t xml:space="preserve">NPS-01755</t>
  </si>
  <si>
    <t xml:space="preserve">NPS-01903</t>
  </si>
  <si>
    <t xml:space="preserve">NPS-02395</t>
  </si>
  <si>
    <t xml:space="preserve">NPS-02598</t>
  </si>
  <si>
    <t xml:space="preserve">NPS-06269</t>
  </si>
  <si>
    <t xml:space="preserve">NPS-00127</t>
  </si>
  <si>
    <t xml:space="preserve">NPS-00223</t>
  </si>
  <si>
    <t xml:space="preserve">NPS-00531</t>
  </si>
  <si>
    <t xml:space="preserve">NPS-00996</t>
  </si>
  <si>
    <t xml:space="preserve">NPS-03111</t>
  </si>
  <si>
    <t xml:space="preserve">NPS-03181</t>
  </si>
  <si>
    <t xml:space="preserve">NPS-04082</t>
  </si>
  <si>
    <t xml:space="preserve">NPS-04745</t>
  </si>
  <si>
    <t xml:space="preserve">NPS-04857</t>
  </si>
  <si>
    <t xml:space="preserve">NPS-06005</t>
  </si>
  <si>
    <t xml:space="preserve">NPS-06094</t>
  </si>
  <si>
    <t xml:space="preserve">NPS-06897</t>
  </si>
  <si>
    <t xml:space="preserve">NPS-01018</t>
  </si>
  <si>
    <t xml:space="preserve">NPS-01788</t>
  </si>
  <si>
    <t xml:space="preserve">NPS-02118</t>
  </si>
  <si>
    <t xml:space="preserve">NPS-03403</t>
  </si>
  <si>
    <t xml:space="preserve">NPS-05502</t>
  </si>
  <si>
    <t xml:space="preserve">NPS-05931</t>
  </si>
  <si>
    <t xml:space="preserve">NPS-06401</t>
  </si>
  <si>
    <t xml:space="preserve">NPS-00016</t>
  </si>
  <si>
    <t xml:space="preserve">NPS-01564</t>
  </si>
  <si>
    <t xml:space="preserve">NPS-01817</t>
  </si>
  <si>
    <t xml:space="preserve">NPS-02696</t>
  </si>
  <si>
    <t xml:space="preserve">NPS-03407</t>
  </si>
  <si>
    <t xml:space="preserve">NPS-04238</t>
  </si>
  <si>
    <t xml:space="preserve">NPS-04432</t>
  </si>
  <si>
    <t xml:space="preserve">NPS-04703</t>
  </si>
  <si>
    <t xml:space="preserve">NPS-05582</t>
  </si>
  <si>
    <t xml:space="preserve">NPS-06039</t>
  </si>
  <si>
    <t xml:space="preserve">NPS-06042</t>
  </si>
  <si>
    <t xml:space="preserve">NPS-06089</t>
  </si>
  <si>
    <t xml:space="preserve">NPS-06130</t>
  </si>
  <si>
    <t xml:space="preserve">NPS-06520</t>
  </si>
  <si>
    <t xml:space="preserve">NPS-00774</t>
  </si>
  <si>
    <t xml:space="preserve">NPS-01611</t>
  </si>
  <si>
    <t xml:space="preserve">NPS-01692</t>
  </si>
  <si>
    <t xml:space="preserve">NPS-02088</t>
  </si>
  <si>
    <t xml:space="preserve">NPS-02675</t>
  </si>
  <si>
    <t xml:space="preserve">NPS-03422</t>
  </si>
  <si>
    <t xml:space="preserve">NPS-03923</t>
  </si>
  <si>
    <t xml:space="preserve">NPS-04568</t>
  </si>
  <si>
    <t xml:space="preserve">NPS-05923</t>
  </si>
  <si>
    <t xml:space="preserve">NPS-06643</t>
  </si>
  <si>
    <t xml:space="preserve">NPS-00975</t>
  </si>
  <si>
    <t xml:space="preserve">NPS-02783</t>
  </si>
  <si>
    <t xml:space="preserve">NPS-00356</t>
  </si>
  <si>
    <t xml:space="preserve">NPS-00779</t>
  </si>
  <si>
    <t xml:space="preserve">NPS-01257</t>
  </si>
  <si>
    <t xml:space="preserve">NPS-01467</t>
  </si>
  <si>
    <t xml:space="preserve">NPS-02121</t>
  </si>
  <si>
    <t xml:space="preserve">NPS-02699</t>
  </si>
  <si>
    <t xml:space="preserve">NPS-04021</t>
  </si>
  <si>
    <t xml:space="preserve">NPS-04640</t>
  </si>
  <si>
    <t xml:space="preserve">NPS-05994</t>
  </si>
  <si>
    <t xml:space="preserve">NPS-06319</t>
  </si>
  <si>
    <t xml:space="preserve">NPS-06562</t>
  </si>
  <si>
    <t xml:space="preserve">NPS-06695</t>
  </si>
  <si>
    <t xml:space="preserve">NPS-00377</t>
  </si>
  <si>
    <t xml:space="preserve">NPS-00890</t>
  </si>
  <si>
    <t xml:space="preserve">NPS-01421</t>
  </si>
  <si>
    <t xml:space="preserve">NPS-01509</t>
  </si>
  <si>
    <t xml:space="preserve">NPS-01805</t>
  </si>
  <si>
    <t xml:space="preserve">NPS-02167</t>
  </si>
  <si>
    <t xml:space="preserve">NPS-03964</t>
  </si>
  <si>
    <t xml:space="preserve">NPS-04816</t>
  </si>
  <si>
    <t xml:space="preserve">NPS-06797</t>
  </si>
  <si>
    <t xml:space="preserve">NPS-00730</t>
  </si>
  <si>
    <t xml:space="preserve">NPS-00902</t>
  </si>
  <si>
    <t xml:space="preserve">NPS-03324</t>
  </si>
  <si>
    <t xml:space="preserve">NPS-03625</t>
  </si>
  <si>
    <t xml:space="preserve">NPS-04023</t>
  </si>
  <si>
    <t xml:space="preserve">NPS-04209</t>
  </si>
  <si>
    <t xml:space="preserve">NPS-05073</t>
  </si>
  <si>
    <t xml:space="preserve">NPS-05192</t>
  </si>
  <si>
    <t xml:space="preserve">NPS-05450</t>
  </si>
  <si>
    <t xml:space="preserve">NPS-06172</t>
  </si>
  <si>
    <t xml:space="preserve">NPS-00002</t>
  </si>
  <si>
    <t xml:space="preserve">NPS-01270</t>
  </si>
  <si>
    <t xml:space="preserve">NPS-02983</t>
  </si>
  <si>
    <t xml:space="preserve">NPS-03121</t>
  </si>
  <si>
    <t xml:space="preserve">NPS-03239</t>
  </si>
  <si>
    <t xml:space="preserve">NPS-04155</t>
  </si>
  <si>
    <t xml:space="preserve">NPS-04343</t>
  </si>
  <si>
    <t xml:space="preserve">NPS-04719</t>
  </si>
  <si>
    <t xml:space="preserve">NPS-05126</t>
  </si>
  <si>
    <t xml:space="preserve">NPS-06272</t>
  </si>
  <si>
    <t xml:space="preserve">NPS-00578</t>
  </si>
  <si>
    <t xml:space="preserve">NPS-00815</t>
  </si>
  <si>
    <t xml:space="preserve">NPS-02875</t>
  </si>
  <si>
    <t xml:space="preserve">NPS-03400</t>
  </si>
  <si>
    <t xml:space="preserve">NPS-04263</t>
  </si>
  <si>
    <t xml:space="preserve">NPS-04828</t>
  </si>
  <si>
    <t xml:space="preserve">NPS-06858</t>
  </si>
  <si>
    <t xml:space="preserve">NPS-03092</t>
  </si>
  <si>
    <t xml:space="preserve">NPS-03746</t>
  </si>
  <si>
    <t xml:space="preserve">NPS-03831</t>
  </si>
  <si>
    <t xml:space="preserve">NPS-04589</t>
  </si>
  <si>
    <t xml:space="preserve">NPS-04917</t>
  </si>
  <si>
    <t xml:space="preserve">NPS-05809</t>
  </si>
  <si>
    <t xml:space="preserve">NPS-06314</t>
  </si>
  <si>
    <t xml:space="preserve">NPS-07046</t>
  </si>
  <si>
    <t xml:space="preserve">NPS-07159</t>
  </si>
  <si>
    <t xml:space="preserve">NPS-00517</t>
  </si>
  <si>
    <t xml:space="preserve">NPS-00715</t>
  </si>
  <si>
    <t xml:space="preserve">NPS-00952</t>
  </si>
  <si>
    <t xml:space="preserve">NPS-01639</t>
  </si>
  <si>
    <t xml:space="preserve">NPS-03230</t>
  </si>
  <si>
    <t xml:space="preserve">NPS-04408</t>
  </si>
  <si>
    <t xml:space="preserve">NPS-05064</t>
  </si>
  <si>
    <t xml:space="preserve">NPS-05567</t>
  </si>
  <si>
    <t xml:space="preserve">NPS-05714</t>
  </si>
  <si>
    <t xml:space="preserve">NPS-00318</t>
  </si>
  <si>
    <t xml:space="preserve">NPS-02195</t>
  </si>
  <si>
    <t xml:space="preserve">NPS-03521</t>
  </si>
  <si>
    <t xml:space="preserve">NPS-03590</t>
  </si>
  <si>
    <t xml:space="preserve">NPS-05235</t>
  </si>
  <si>
    <t xml:space="preserve">NPS-07021</t>
  </si>
  <si>
    <t xml:space="preserve">NPS-00152</t>
  </si>
  <si>
    <t xml:space="preserve">NPS-00555</t>
  </si>
  <si>
    <t xml:space="preserve">NPS-02300</t>
  </si>
  <si>
    <t xml:space="preserve">NPS-02754</t>
  </si>
  <si>
    <t xml:space="preserve">NPS-03597</t>
  </si>
  <si>
    <t xml:space="preserve">NPS-03600</t>
  </si>
  <si>
    <t xml:space="preserve">NPS-03660</t>
  </si>
  <si>
    <t xml:space="preserve">NPS-04895</t>
  </si>
  <si>
    <t xml:space="preserve">NPS-05414</t>
  </si>
  <si>
    <t xml:space="preserve">NPS-06409</t>
  </si>
  <si>
    <t xml:space="preserve">NPS-06471</t>
  </si>
  <si>
    <t xml:space="preserve">NPS-00037</t>
  </si>
  <si>
    <t xml:space="preserve">NPS-00217</t>
  </si>
  <si>
    <t xml:space="preserve">NPS-00395</t>
  </si>
  <si>
    <t xml:space="preserve">NPS-00931</t>
  </si>
  <si>
    <t xml:space="preserve">NPS-01491</t>
  </si>
  <si>
    <t xml:space="preserve">NPS-01857</t>
  </si>
  <si>
    <t xml:space="preserve">NPS-04501</t>
  </si>
  <si>
    <t xml:space="preserve">NPS-04988</t>
  </si>
  <si>
    <t xml:space="preserve">NPS-06348</t>
  </si>
  <si>
    <t xml:space="preserve">NPS-06534</t>
  </si>
  <si>
    <t xml:space="preserve">NPS-00146</t>
  </si>
  <si>
    <t xml:space="preserve">NPS-00172</t>
  </si>
  <si>
    <t xml:space="preserve">NPS-00298</t>
  </si>
  <si>
    <t xml:space="preserve">NPS-00602</t>
  </si>
  <si>
    <t xml:space="preserve">NPS-02025</t>
  </si>
  <si>
    <t xml:space="preserve">NPS-02623</t>
  </si>
  <si>
    <t xml:space="preserve">NPS-03818</t>
  </si>
  <si>
    <t xml:space="preserve">NPS-04803</t>
  </si>
  <si>
    <t xml:space="preserve">NPS-05089</t>
  </si>
  <si>
    <t xml:space="preserve">NPS-01085</t>
  </si>
  <si>
    <t xml:space="preserve">NPS-02014</t>
  </si>
  <si>
    <t xml:space="preserve">NPS-02959</t>
  </si>
  <si>
    <t xml:space="preserve">NPS-03999</t>
  </si>
  <si>
    <t xml:space="preserve">NPS-04030</t>
  </si>
  <si>
    <t xml:space="preserve">NPS-04440</t>
  </si>
  <si>
    <t xml:space="preserve">NPS-04946</t>
  </si>
  <si>
    <t xml:space="preserve">NPS-05239</t>
  </si>
  <si>
    <t xml:space="preserve">NPS-05872</t>
  </si>
  <si>
    <t xml:space="preserve">NPS-06549</t>
  </si>
  <si>
    <t xml:space="preserve">NPS-06800</t>
  </si>
  <si>
    <t xml:space="preserve">NPS-07017</t>
  </si>
  <si>
    <t xml:space="preserve">NPS-01632</t>
  </si>
  <si>
    <t xml:space="preserve">NPS-02386</t>
  </si>
  <si>
    <t xml:space="preserve">NPS-03351</t>
  </si>
  <si>
    <t xml:space="preserve">NPS-04336</t>
  </si>
  <si>
    <t xml:space="preserve">NPS-04425</t>
  </si>
  <si>
    <t xml:space="preserve">NPS-04430</t>
  </si>
  <si>
    <t xml:space="preserve">NPS-06280</t>
  </si>
  <si>
    <t xml:space="preserve">NPS-06312</t>
  </si>
  <si>
    <t xml:space="preserve">NPS-00084</t>
  </si>
  <si>
    <t xml:space="preserve">NPS-02278</t>
  </si>
  <si>
    <t xml:space="preserve">NPS-02641</t>
  </si>
  <si>
    <t xml:space="preserve">NPS-03021</t>
  </si>
  <si>
    <t xml:space="preserve">NPS-07165</t>
  </si>
  <si>
    <t xml:space="preserve">NPS-07269</t>
  </si>
  <si>
    <t xml:space="preserve">NPS-01153</t>
  </si>
  <si>
    <t xml:space="preserve">NPS-01427</t>
  </si>
  <si>
    <t xml:space="preserve">NPS-03194</t>
  </si>
  <si>
    <t xml:space="preserve">NPS-04787</t>
  </si>
  <si>
    <t xml:space="preserve">NPS-05751</t>
  </si>
  <si>
    <t xml:space="preserve">NPS-07231</t>
  </si>
  <si>
    <t xml:space="preserve">NPS-00117</t>
  </si>
  <si>
    <t xml:space="preserve">NPS-01846</t>
  </si>
  <si>
    <t xml:space="preserve">NPS-02425</t>
  </si>
  <si>
    <t xml:space="preserve">NPS-03101</t>
  </si>
  <si>
    <t xml:space="preserve">NPS-03250</t>
  </si>
  <si>
    <t xml:space="preserve">NPS-05592</t>
  </si>
  <si>
    <t xml:space="preserve">NPS-00541</t>
  </si>
  <si>
    <t xml:space="preserve">NPS-00870</t>
  </si>
  <si>
    <t xml:space="preserve">NPS-01464</t>
  </si>
  <si>
    <t xml:space="preserve">NPS-01916</t>
  </si>
  <si>
    <t xml:space="preserve">NPS-02237</t>
  </si>
  <si>
    <t xml:space="preserve">NPS-03184</t>
  </si>
  <si>
    <t xml:space="preserve">NPS-05366</t>
  </si>
  <si>
    <t xml:space="preserve">NPS-06952</t>
  </si>
  <si>
    <t xml:space="preserve">NPS-07180</t>
  </si>
  <si>
    <t xml:space="preserve">NPS-00014</t>
  </si>
  <si>
    <t xml:space="preserve">NPS-01003</t>
  </si>
  <si>
    <t xml:space="preserve">NPS-02153</t>
  </si>
  <si>
    <t xml:space="preserve">NPS-02766</t>
  </si>
  <si>
    <t xml:space="preserve">NPS-03107</t>
  </si>
  <si>
    <t xml:space="preserve">NPS-03592</t>
  </si>
  <si>
    <t xml:space="preserve">NPS-04868</t>
  </si>
  <si>
    <t xml:space="preserve">NPS-05708</t>
  </si>
  <si>
    <t xml:space="preserve">NPS-06514</t>
  </si>
  <si>
    <t xml:space="preserve">NPS-06961</t>
  </si>
  <si>
    <t xml:space="preserve">NPS-00670</t>
  </si>
  <si>
    <t xml:space="preserve">NPS-01048</t>
  </si>
  <si>
    <t xml:space="preserve">NPS-01587</t>
  </si>
  <si>
    <t xml:space="preserve">NPS-02580</t>
  </si>
  <si>
    <t xml:space="preserve">NPS-02856</t>
  </si>
  <si>
    <t xml:space="preserve">NPS-03606</t>
  </si>
  <si>
    <t xml:space="preserve">NPS-04261</t>
  </si>
  <si>
    <t xml:space="preserve">NPS-06700</t>
  </si>
  <si>
    <t xml:space="preserve">NPS-00461</t>
  </si>
  <si>
    <t xml:space="preserve">NPS-02082</t>
  </si>
  <si>
    <t xml:space="preserve">NPS-02870</t>
  </si>
  <si>
    <t xml:space="preserve">NPS-03890</t>
  </si>
  <si>
    <t xml:space="preserve">NPS-03937</t>
  </si>
  <si>
    <t xml:space="preserve">NPS-04165</t>
  </si>
  <si>
    <t xml:space="preserve">NPS-04764</t>
  </si>
  <si>
    <t xml:space="preserve">NPS-04905</t>
  </si>
  <si>
    <t xml:space="preserve">NPS-05848</t>
  </si>
  <si>
    <t xml:space="preserve">NPS-06070</t>
  </si>
  <si>
    <t xml:space="preserve">NPS-00101</t>
  </si>
  <si>
    <t xml:space="preserve">NPS-01552</t>
  </si>
  <si>
    <t xml:space="preserve">NPS-02289</t>
  </si>
  <si>
    <t xml:space="preserve">NPS-02656</t>
  </si>
  <si>
    <t xml:space="preserve">NPS-02662</t>
  </si>
  <si>
    <t xml:space="preserve">NPS-04205</t>
  </si>
  <si>
    <t xml:space="preserve">NPS-05732</t>
  </si>
  <si>
    <t xml:space="preserve">NPS-06047</t>
  </si>
  <si>
    <t xml:space="preserve">NPS-00153</t>
  </si>
  <si>
    <t xml:space="preserve">NPS-00237</t>
  </si>
  <si>
    <t xml:space="preserve">NPS-00413</t>
  </si>
  <si>
    <t xml:space="preserve">NPS-02054</t>
  </si>
  <si>
    <t xml:space="preserve">NPS-03387</t>
  </si>
  <si>
    <t xml:space="preserve">NPS-05634</t>
  </si>
  <si>
    <t xml:space="preserve">NPS-06092</t>
  </si>
  <si>
    <t xml:space="preserve">NPS-06413</t>
  </si>
  <si>
    <t xml:space="preserve">NPS-06985</t>
  </si>
  <si>
    <t xml:space="preserve">NPS-00266</t>
  </si>
  <si>
    <t xml:space="preserve">NPS-00535</t>
  </si>
  <si>
    <t xml:space="preserve">NPS-00689</t>
  </si>
  <si>
    <t xml:space="preserve">NPS-03278</t>
  </si>
  <si>
    <t xml:space="preserve">NPS-05076</t>
  </si>
  <si>
    <t xml:space="preserve">NPS-05188</t>
  </si>
  <si>
    <t xml:space="preserve">NPS-05541</t>
  </si>
  <si>
    <t xml:space="preserve">NPS-05813</t>
  </si>
  <si>
    <t xml:space="preserve">NPS-06176</t>
  </si>
  <si>
    <t xml:space="preserve">NPS-06201</t>
  </si>
  <si>
    <t xml:space="preserve">NPS-06342</t>
  </si>
  <si>
    <t xml:space="preserve">NPS-01109</t>
  </si>
  <si>
    <t xml:space="preserve">NPS-01129</t>
  </si>
  <si>
    <t xml:space="preserve">NPS-01250</t>
  </si>
  <si>
    <t xml:space="preserve">NPS-01311</t>
  </si>
  <si>
    <t xml:space="preserve">NPS-02016</t>
  </si>
  <si>
    <t xml:space="preserve">NPS-02039</t>
  </si>
  <si>
    <t xml:space="preserve">NPS-02713</t>
  </si>
  <si>
    <t xml:space="preserve">NPS-02941</t>
  </si>
  <si>
    <t xml:space="preserve">NPS-03232</t>
  </si>
  <si>
    <t xml:space="preserve">NPS-04859</t>
  </si>
  <si>
    <t xml:space="preserve">NPS-01149</t>
  </si>
  <si>
    <t xml:space="preserve">NPS-01946</t>
  </si>
  <si>
    <t xml:space="preserve">NPS-03348</t>
  </si>
  <si>
    <t xml:space="preserve">NPS-03845</t>
  </si>
  <si>
    <t xml:space="preserve">NPS-03974</t>
  </si>
  <si>
    <t xml:space="preserve">NPS-04018</t>
  </si>
  <si>
    <t xml:space="preserve">NPS-06678</t>
  </si>
  <si>
    <t xml:space="preserve">NPS-00186</t>
  </si>
  <si>
    <t xml:space="preserve">NPS-00858</t>
  </si>
  <si>
    <t xml:space="preserve">NPS-02682</t>
  </si>
  <si>
    <t xml:space="preserve">NPS-03084</t>
  </si>
  <si>
    <t xml:space="preserve">NPS-04273</t>
  </si>
  <si>
    <t xml:space="preserve">NPS-04276</t>
  </si>
  <si>
    <t xml:space="preserve">NPS-06853</t>
  </si>
  <si>
    <t xml:space="preserve">NPS-06990</t>
  </si>
  <si>
    <t xml:space="preserve">NPS-01449</t>
  </si>
  <si>
    <t xml:space="preserve">NPS-01803</t>
  </si>
  <si>
    <t xml:space="preserve">NPS-02746</t>
  </si>
  <si>
    <t xml:space="preserve">NPS-03328</t>
  </si>
  <si>
    <t xml:space="preserve">NPS-03821</t>
  </si>
  <si>
    <t xml:space="preserve">NPS-06152</t>
  </si>
  <si>
    <t xml:space="preserve">NPS-06160</t>
  </si>
  <si>
    <t xml:space="preserve">NPS-06893</t>
  </si>
  <si>
    <t xml:space="preserve">NPS-00105</t>
  </si>
  <si>
    <t xml:space="preserve">NPS-00259</t>
  </si>
  <si>
    <t xml:space="preserve">NPS-00486</t>
  </si>
  <si>
    <t xml:space="preserve">NPS-00789</t>
  </si>
  <si>
    <t xml:space="preserve">NPS-02689</t>
  </si>
  <si>
    <t xml:space="preserve">NPS-03165</t>
  </si>
  <si>
    <t xml:space="preserve">NPS-04127</t>
  </si>
  <si>
    <t xml:space="preserve">NPS-05304</t>
  </si>
  <si>
    <t xml:space="preserve">NPS-06841</t>
  </si>
  <si>
    <t xml:space="preserve">NPS-06906</t>
  </si>
  <si>
    <t xml:space="preserve">NPS-00304</t>
  </si>
  <si>
    <t xml:space="preserve">NPS-00419</t>
  </si>
  <si>
    <t xml:space="preserve">NPS-00744</t>
  </si>
  <si>
    <t xml:space="preserve">NPS-00965</t>
  </si>
  <si>
    <t xml:space="preserve">NPS-00986</t>
  </si>
  <si>
    <t xml:space="preserve">NPS-02352</t>
  </si>
  <si>
    <t xml:space="preserve">NPS-02892</t>
  </si>
  <si>
    <t xml:space="preserve">NPS-02948</t>
  </si>
  <si>
    <t xml:space="preserve">NPS-03538</t>
  </si>
  <si>
    <t xml:space="preserve">NPS-03880</t>
  </si>
  <si>
    <t xml:space="preserve">NPS-05302</t>
  </si>
  <si>
    <t xml:space="preserve">NPS-05537</t>
  </si>
  <si>
    <t xml:space="preserve">NPS-05986</t>
  </si>
  <si>
    <t xml:space="preserve">NPS-06360</t>
  </si>
  <si>
    <t xml:space="preserve">NPS-06503</t>
  </si>
  <si>
    <t xml:space="preserve">NPS-06780</t>
  </si>
  <si>
    <t xml:space="preserve">NPS-07026</t>
  </si>
  <si>
    <t xml:space="preserve">NPS-00009</t>
  </si>
  <si>
    <t xml:space="preserve">NPS-00907</t>
  </si>
  <si>
    <t xml:space="preserve">NPS-01228</t>
  </si>
  <si>
    <t xml:space="preserve">NPS-01329</t>
  </si>
  <si>
    <t xml:space="preserve">NPS-01536</t>
  </si>
  <si>
    <t xml:space="preserve">NPS-03497</t>
  </si>
  <si>
    <t xml:space="preserve">NPS-04027</t>
  </si>
  <si>
    <t xml:space="preserve">NPS-05231</t>
  </si>
  <si>
    <t xml:space="preserve">NPS-01013</t>
  </si>
  <si>
    <t xml:space="preserve">NPS-01979</t>
  </si>
  <si>
    <t xml:space="preserve">NPS-02029</t>
  </si>
  <si>
    <t xml:space="preserve">NPS-02199</t>
  </si>
  <si>
    <t xml:space="preserve">NPS-02335</t>
  </si>
  <si>
    <t xml:space="preserve">NPS-04050</t>
  </si>
  <si>
    <t xml:space="preserve">NPS-05689</t>
  </si>
  <si>
    <t xml:space="preserve">NPS-06454</t>
  </si>
  <si>
    <t xml:space="preserve">NPS-06477</t>
  </si>
  <si>
    <t xml:space="preserve">NPS-07204</t>
  </si>
  <si>
    <t xml:space="preserve">NPS-01103</t>
  </si>
  <si>
    <t xml:space="preserve">NPS-02709</t>
  </si>
  <si>
    <t xml:space="preserve">NPS-06049</t>
  </si>
  <si>
    <t xml:space="preserve">NPS-06405</t>
  </si>
  <si>
    <t xml:space="preserve">NPS-06988</t>
  </si>
  <si>
    <t xml:space="preserve">NPS-02691</t>
  </si>
  <si>
    <t xml:space="preserve">NPS-02820</t>
  </si>
  <si>
    <t xml:space="preserve">NPS-04459</t>
  </si>
  <si>
    <t xml:space="preserve">NPS-05332</t>
  </si>
  <si>
    <t xml:space="preserve">NPS-06429</t>
  </si>
  <si>
    <t xml:space="preserve">NPS-07253</t>
  </si>
  <si>
    <t xml:space="preserve">NPS-01583</t>
  </si>
  <si>
    <t xml:space="preserve">NPS-01781</t>
  </si>
  <si>
    <t xml:space="preserve">NPS-02173</t>
  </si>
  <si>
    <t xml:space="preserve">NPS-02517</t>
  </si>
  <si>
    <t xml:space="preserve">NPS-03138</t>
  </si>
  <si>
    <t xml:space="preserve">NPS-03207</t>
  </si>
  <si>
    <t xml:space="preserve">NPS-03247</t>
  </si>
  <si>
    <t xml:space="preserve">NPS-00749</t>
  </si>
  <si>
    <t xml:space="preserve">NPS-01719</t>
  </si>
  <si>
    <t xml:space="preserve">NPS-03731</t>
  </si>
  <si>
    <t xml:space="preserve">NPS-04709</t>
  </si>
  <si>
    <t xml:space="preserve">NPS-07051</t>
  </si>
  <si>
    <t xml:space="preserve">NPS-01052</t>
  </si>
  <si>
    <t xml:space="preserve">NPS-01439</t>
  </si>
  <si>
    <t xml:space="preserve">NPS-01502</t>
  </si>
  <si>
    <t xml:space="preserve">NPS-02479</t>
  </si>
  <si>
    <t xml:space="preserve">NPS-03177</t>
  </si>
  <si>
    <t xml:space="preserve">NPS-03236</t>
  </si>
  <si>
    <t xml:space="preserve">NPS-04137</t>
  </si>
  <si>
    <t xml:space="preserve">NPS-04179</t>
  </si>
  <si>
    <t xml:space="preserve">NPS-05921</t>
  </si>
  <si>
    <t xml:space="preserve">NPS-06010</t>
  </si>
  <si>
    <t xml:space="preserve">NPS-06492</t>
  </si>
  <si>
    <t xml:space="preserve">NPS-06583</t>
  </si>
  <si>
    <t xml:space="preserve">NPS-06826</t>
  </si>
  <si>
    <t xml:space="preserve">NPS-01854</t>
  </si>
  <si>
    <t xml:space="preserve">NPS-02736</t>
  </si>
  <si>
    <t xml:space="preserve">NPS-03244</t>
  </si>
  <si>
    <t xml:space="preserve">NPS-04055</t>
  </si>
  <si>
    <t xml:space="preserve">NPS-05457</t>
  </si>
  <si>
    <t xml:space="preserve">NPS-05604</t>
  </si>
  <si>
    <t xml:space="preserve">NPS-05767</t>
  </si>
  <si>
    <t xml:space="preserve">NPS-00512</t>
  </si>
  <si>
    <t xml:space="preserve">NPS-00836</t>
  </si>
  <si>
    <t xml:space="preserve">NPS-00933</t>
  </si>
  <si>
    <t xml:space="preserve">NPS-02211</t>
  </si>
  <si>
    <t xml:space="preserve">NPS-02840</t>
  </si>
  <si>
    <t xml:space="preserve">NPS-04254</t>
  </si>
  <si>
    <t xml:space="preserve">NPS-05013</t>
  </si>
  <si>
    <t xml:space="preserve">NPS-05382</t>
  </si>
  <si>
    <t xml:space="preserve">NPS-06539</t>
  </si>
  <si>
    <t xml:space="preserve">NPS-06553</t>
  </si>
  <si>
    <t xml:space="preserve">NPS-06922</t>
  </si>
  <si>
    <t xml:space="preserve">NPS-07261</t>
  </si>
  <si>
    <t xml:space="preserve">NPS-00481</t>
  </si>
  <si>
    <t xml:space="preserve">NPS-00833</t>
  </si>
  <si>
    <t xml:space="preserve">NPS-01400</t>
  </si>
  <si>
    <t xml:space="preserve">NPS-01686</t>
  </si>
  <si>
    <t xml:space="preserve">NPS-01750</t>
  </si>
  <si>
    <t xml:space="preserve">NPS-02459</t>
  </si>
  <si>
    <t xml:space="preserve">NPS-02670</t>
  </si>
  <si>
    <t xml:space="preserve">NPS-02777</t>
  </si>
  <si>
    <t xml:space="preserve">NPS-03716</t>
  </si>
  <si>
    <t xml:space="preserve">NPS-03849</t>
  </si>
  <si>
    <t xml:space="preserve">NPS-04318</t>
  </si>
  <si>
    <t xml:space="preserve">NPS-04585</t>
  </si>
  <si>
    <t xml:space="preserve">NPS-04600</t>
  </si>
  <si>
    <t xml:space="preserve">NPS-04755</t>
  </si>
  <si>
    <t xml:space="preserve">NPS-05254</t>
  </si>
  <si>
    <t xml:space="preserve">NPS-05576</t>
  </si>
  <si>
    <t xml:space="preserve">NPS-05727</t>
  </si>
  <si>
    <t xml:space="preserve">NPS-06846</t>
  </si>
  <si>
    <t xml:space="preserve">NPS-00175</t>
  </si>
  <si>
    <t xml:space="preserve">NPS-00466</t>
  </si>
  <si>
    <t xml:space="preserve">NPS-01444</t>
  </si>
  <si>
    <t xml:space="preserve">NPS-01532</t>
  </si>
  <si>
    <t xml:space="preserve">NPS-02573</t>
  </si>
  <si>
    <t xml:space="preserve">NPS-02811</t>
  </si>
  <si>
    <t xml:space="preserve">NPS-03376</t>
  </si>
  <si>
    <t xml:space="preserve">NPS-05017</t>
  </si>
  <si>
    <t xml:space="preserve">NPS-05363</t>
  </si>
  <si>
    <t xml:space="preserve">NPS-05492</t>
  </si>
  <si>
    <t xml:space="preserve">NPS-05550</t>
  </si>
  <si>
    <t xml:space="preserve">NPS-01519</t>
  </si>
  <si>
    <t xml:space="preserve">NPS-02550</t>
  </si>
  <si>
    <t xml:space="preserve">NPS-06353</t>
  </si>
  <si>
    <t xml:space="preserve">NPS-01244</t>
  </si>
  <si>
    <t xml:space="preserve">NPS-01356</t>
  </si>
  <si>
    <t xml:space="preserve">NPS-01561</t>
  </si>
  <si>
    <t xml:space="preserve">NPS-02245</t>
  </si>
  <si>
    <t xml:space="preserve">NPS-02512</t>
  </si>
  <si>
    <t xml:space="preserve">NPS-02803</t>
  </si>
  <si>
    <t xml:space="preserve">NPS-04731</t>
  </si>
  <si>
    <t xml:space="preserve">NPS-06101</t>
  </si>
  <si>
    <t xml:space="preserve">NPS-06221</t>
  </si>
  <si>
    <t xml:space="preserve">NPS-02305</t>
  </si>
  <si>
    <t xml:space="preserve">NPS-03699</t>
  </si>
  <si>
    <t xml:space="preserve">NPS-04983</t>
  </si>
  <si>
    <t xml:space="preserve">NPS-05477</t>
  </si>
  <si>
    <t xml:space="preserve">NPS-05685</t>
  </si>
  <si>
    <t xml:space="preserve">NPS-07102</t>
  </si>
  <si>
    <t xml:space="preserve">NPS-00004</t>
  </si>
  <si>
    <t xml:space="preserve">NPS-00022</t>
  </si>
  <si>
    <t xml:space="preserve">NPS-00062</t>
  </si>
  <si>
    <t xml:space="preserve">NPS-00967</t>
  </si>
  <si>
    <t xml:space="preserve">NPS-01370</t>
  </si>
  <si>
    <t xml:space="preserve">NPS-02451</t>
  </si>
  <si>
    <t xml:space="preserve">NPS-04696</t>
  </si>
  <si>
    <t xml:space="preserve">NPS-05225</t>
  </si>
  <si>
    <t xml:space="preserve">NPS-05473</t>
  </si>
  <si>
    <t xml:space="preserve">NPS-06366</t>
  </si>
  <si>
    <t xml:space="preserve">NPS-06447</t>
  </si>
  <si>
    <t xml:space="preserve">NPS-07243</t>
  </si>
  <si>
    <t xml:space="preserve">NPS-00708</t>
  </si>
  <si>
    <t xml:space="preserve">ACC-10255</t>
  </si>
  <si>
    <t xml:space="preserve">NPS-00809</t>
  </si>
  <si>
    <t xml:space="preserve">NPS-01280</t>
  </si>
  <si>
    <t xml:space="preserve">NPS-01829</t>
  </si>
  <si>
    <t xml:space="preserve">NPS-01929</t>
  </si>
  <si>
    <t xml:space="preserve">NPS-02886</t>
  </si>
  <si>
    <t xml:space="preserve">NPS-03414</t>
  </si>
  <si>
    <t xml:space="preserve">NPS-03748</t>
  </si>
  <si>
    <t xml:space="preserve">NPS-04122</t>
  </si>
  <si>
    <t xml:space="preserve">NPS-05716</t>
  </si>
  <si>
    <t xml:space="preserve">NPS-05737</t>
  </si>
  <si>
    <t xml:space="preserve">NPS-06208</t>
  </si>
  <si>
    <t xml:space="preserve">NPS-07097</t>
  </si>
  <si>
    <t xml:space="preserve">NPS-07294</t>
  </si>
  <si>
    <t xml:space="preserve">NPS-01798</t>
  </si>
  <si>
    <t xml:space="preserve">NPS-02826</t>
  </si>
  <si>
    <t xml:space="preserve">NPS-03668</t>
  </si>
  <si>
    <t xml:space="preserve">NPS-03903</t>
  </si>
  <si>
    <t xml:space="preserve">NPS-04293</t>
  </si>
  <si>
    <t xml:space="preserve">NPS-04457</t>
  </si>
  <si>
    <t xml:space="preserve">NPS-05059</t>
  </si>
  <si>
    <t xml:space="preserve">NPS-05462</t>
  </si>
  <si>
    <t xml:space="preserve">NPS-06600</t>
  </si>
  <si>
    <t xml:space="preserve">NPS-00829</t>
  </si>
  <si>
    <t xml:space="preserve">NPS-01346</t>
  </si>
  <si>
    <t xml:space="preserve">NPS-02070</t>
  </si>
  <si>
    <t xml:space="preserve">NPS-02753</t>
  </si>
  <si>
    <t xml:space="preserve">ACC-10972</t>
  </si>
  <si>
    <t xml:space="preserve">NPS-03541</t>
  </si>
  <si>
    <t xml:space="preserve">NPS-03558</t>
  </si>
  <si>
    <t xml:space="preserve">NPS-05497</t>
  </si>
  <si>
    <t xml:space="preserve">NPS-05940</t>
  </si>
  <si>
    <t xml:space="preserve">NPS-05968</t>
  </si>
  <si>
    <t xml:space="preserve">NPS-00784</t>
  </si>
  <si>
    <t xml:space="preserve">NPS-01569</t>
  </si>
  <si>
    <t xml:space="preserve">NPS-02454</t>
  </si>
  <si>
    <t xml:space="preserve">NPS-02653</t>
  </si>
  <si>
    <t xml:space="preserve">NPS-02785</t>
  </si>
  <si>
    <t xml:space="preserve">NPS-04367</t>
  </si>
  <si>
    <t xml:space="preserve">NPS-05595</t>
  </si>
  <si>
    <t xml:space="preserve">NPS-06852</t>
  </si>
  <si>
    <t xml:space="preserve">NPS-07239</t>
  </si>
  <si>
    <t xml:space="preserve">NPS-00057</t>
  </si>
  <si>
    <t xml:space="preserve">NPS-00141</t>
  </si>
  <si>
    <t xml:space="preserve">NPS-00359</t>
  </si>
  <si>
    <t xml:space="preserve">NPS-00694</t>
  </si>
  <si>
    <t xml:space="preserve">NPS-01607</t>
  </si>
  <si>
    <t xml:space="preserve">NPS-01730</t>
  </si>
  <si>
    <t xml:space="preserve">NPS-02262</t>
  </si>
  <si>
    <t xml:space="preserve">NPS-03203</t>
  </si>
  <si>
    <t xml:space="preserve">NPS-03334</t>
  </si>
  <si>
    <t xml:space="preserve">NPS-05661</t>
  </si>
  <si>
    <t xml:space="preserve">NPS-00077</t>
  </si>
  <si>
    <t xml:space="preserve">NPS-01076</t>
  </si>
  <si>
    <t xml:space="preserve">NPS-01282</t>
  </si>
  <si>
    <t xml:space="preserve">NPS-01777</t>
  </si>
  <si>
    <t xml:space="preserve">NPS-02219</t>
  </si>
  <si>
    <t xml:space="preserve">NPS-02526</t>
  </si>
  <si>
    <t xml:space="preserve">NPS-02933</t>
  </si>
  <si>
    <t xml:space="preserve">NPS-03383</t>
  </si>
  <si>
    <t xml:space="preserve">NPS-05376</t>
  </si>
  <si>
    <t xml:space="preserve">NPS-05964</t>
  </si>
  <si>
    <t xml:space="preserve">NPS-06219</t>
  </si>
  <si>
    <t xml:space="preserve">NPS-07009</t>
  </si>
  <si>
    <t xml:space="preserve">NPS-00552</t>
  </si>
  <si>
    <t xml:space="preserve">NPS-00705</t>
  </si>
  <si>
    <t xml:space="preserve">NPS-01136</t>
  </si>
  <si>
    <t xml:space="preserve">NPS-01314</t>
  </si>
  <si>
    <t xml:space="preserve">NPS-01523</t>
  </si>
  <si>
    <t xml:space="preserve">NPS-01605</t>
  </si>
  <si>
    <t xml:space="preserve">NPS-02186</t>
  </si>
  <si>
    <t xml:space="preserve">NPS-02813</t>
  </si>
  <si>
    <t xml:space="preserve">NPS-03529</t>
  </si>
  <si>
    <t xml:space="preserve">NPS-05629</t>
  </si>
  <si>
    <t xml:space="preserve">NPS-05643</t>
  </si>
  <si>
    <t xml:space="preserve">NPS-06020</t>
  </si>
  <si>
    <t xml:space="preserve">NPS-06217</t>
  </si>
  <si>
    <t xml:space="preserve">NPS-07041</t>
  </si>
  <si>
    <t xml:space="preserve">NPS-00495</t>
  </si>
  <si>
    <t xml:space="preserve">NPS-00939</t>
  </si>
  <si>
    <t xml:space="preserve">NPS-02020</t>
  </si>
  <si>
    <t xml:space="preserve">NPS-02067</t>
  </si>
  <si>
    <t xml:space="preserve">NPS-02403</t>
  </si>
  <si>
    <t xml:space="preserve">NPS-03225</t>
  </si>
  <si>
    <t xml:space="preserve">NPS-04967</t>
  </si>
  <si>
    <t xml:space="preserve">NPS-05927</t>
  </si>
  <si>
    <t xml:space="preserve">NPS-07090</t>
  </si>
  <si>
    <t xml:space="preserve">NPS-00641</t>
  </si>
  <si>
    <t xml:space="preserve">NPS-01635</t>
  </si>
  <si>
    <t xml:space="preserve">NPS-02000</t>
  </si>
  <si>
    <t xml:space="preserve">NPS-02515</t>
  </si>
  <si>
    <t xml:space="preserve">NPS-03355</t>
  </si>
  <si>
    <t xml:space="preserve">NPS-03696</t>
  </si>
  <si>
    <t xml:space="preserve">NPS-01840</t>
  </si>
  <si>
    <t xml:space="preserve">NPS-02533</t>
  </si>
  <si>
    <t xml:space="preserve">NPS-03509</t>
  </si>
  <si>
    <t xml:space="preserve">NPS-03723</t>
  </si>
  <si>
    <t xml:space="preserve">NPS-05212</t>
  </si>
  <si>
    <t xml:space="preserve">NPS-05944</t>
  </si>
  <si>
    <t xml:space="preserve">NPS-07049</t>
  </si>
  <si>
    <t xml:space="preserve">NPS-00052</t>
  </si>
  <si>
    <t xml:space="preserve">NPS-00895</t>
  </si>
  <si>
    <t xml:space="preserve">NPS-01021</t>
  </si>
  <si>
    <t xml:space="preserve">NPS-01591</t>
  </si>
  <si>
    <t xml:space="preserve">NPS-02035</t>
  </si>
  <si>
    <t xml:space="preserve">NPS-02046</t>
  </si>
  <si>
    <t xml:space="preserve">NPS-02830</t>
  </si>
  <si>
    <t xml:space="preserve">NPS-03701</t>
  </si>
  <si>
    <t xml:space="preserve">NPS-03877</t>
  </si>
  <si>
    <t xml:space="preserve">ACC-11383</t>
  </si>
  <si>
    <t xml:space="preserve">NPS-03983</t>
  </si>
  <si>
    <t xml:space="preserve">NPS-04013</t>
  </si>
  <si>
    <t xml:space="preserve">NPS-04060</t>
  </si>
  <si>
    <t xml:space="preserve">NPS-04120</t>
  </si>
  <si>
    <t xml:space="preserve">NPS-04323</t>
  </si>
  <si>
    <t xml:space="preserve">NPS-04737</t>
  </si>
  <si>
    <t xml:space="preserve">NPS-00020</t>
  </si>
  <si>
    <t xml:space="preserve">NPS-00740</t>
  </si>
  <si>
    <t xml:space="preserve">NPS-02416</t>
  </si>
  <si>
    <t xml:space="preserve">NPS-02611</t>
  </si>
  <si>
    <t xml:space="preserve">NPS-03003</t>
  </si>
  <si>
    <t xml:space="preserve">NPS-03075</t>
  </si>
  <si>
    <t xml:space="preserve">NPS-03186</t>
  </si>
  <si>
    <t xml:space="preserve">NPS-03445</t>
  </si>
  <si>
    <t xml:space="preserve">ACC-11222</t>
  </si>
  <si>
    <t xml:space="preserve">NPS-04227</t>
  </si>
  <si>
    <t xml:space="preserve">NPS-05816</t>
  </si>
  <si>
    <t xml:space="preserve">NPS-06148</t>
  </si>
  <si>
    <t xml:space="preserve">NPS-06180</t>
  </si>
  <si>
    <t xml:space="preserve">NPS-06391</t>
  </si>
  <si>
    <t xml:space="preserve">NPS-06522</t>
  </si>
  <si>
    <t xml:space="preserve">NPS-00214</t>
  </si>
  <si>
    <t xml:space="preserve">NPS-00280</t>
  </si>
  <si>
    <t xml:space="preserve">NPS-00972</t>
  </si>
  <si>
    <t xml:space="preserve">NPS-02158</t>
  </si>
  <si>
    <t xml:space="preserve">NPS-02228</t>
  </si>
  <si>
    <t xml:space="preserve">NPS-02868</t>
  </si>
  <si>
    <t xml:space="preserve">NPS-03473</t>
  </si>
  <si>
    <t xml:space="preserve">NPS-04175</t>
  </si>
  <si>
    <t xml:space="preserve">NPS-05624</t>
  </si>
  <si>
    <t xml:space="preserve">NPS-06910</t>
  </si>
  <si>
    <t xml:space="preserve">NPS-00306</t>
  </si>
  <si>
    <t xml:space="preserve">NPS-00504</t>
  </si>
  <si>
    <t xml:space="preserve">NPS-01409</t>
  </si>
  <si>
    <t xml:space="preserve">NPS-02147</t>
  </si>
  <si>
    <t xml:space="preserve">NPS-02344</t>
  </si>
  <si>
    <t xml:space="preserve">NPS-02966</t>
  </si>
  <si>
    <t xml:space="preserve">NPS-03610</t>
  </si>
  <si>
    <t xml:space="preserve">NPS-04111</t>
  </si>
  <si>
    <t xml:space="preserve">NPS-04901</t>
  </si>
  <si>
    <t xml:space="preserve">NPS-05307</t>
  </si>
  <si>
    <t xml:space="preserve">NPS-00633</t>
  </si>
  <si>
    <t xml:space="preserve">NPS-00724</t>
  </si>
  <si>
    <t xml:space="preserve">NPS-01664</t>
  </si>
  <si>
    <t xml:space="preserve">NPS-01735</t>
  </si>
  <si>
    <t xml:space="preserve">NPS-01941</t>
  </si>
  <si>
    <t xml:space="preserve">NPS-02284</t>
  </si>
  <si>
    <t xml:space="preserve">NPS-02348</t>
  </si>
  <si>
    <t xml:space="preserve">NPS-03028</t>
  </si>
  <si>
    <t xml:space="preserve">NPS-04288</t>
  </si>
  <si>
    <t xml:space="preserve">NPS-04616</t>
  </si>
  <si>
    <t xml:space="preserve">NPS-06191</t>
  </si>
  <si>
    <t xml:space="preserve">NPS-06613</t>
  </si>
  <si>
    <t xml:space="preserve">NPS-06657</t>
  </si>
  <si>
    <t xml:space="preserve">NPS-00825</t>
  </si>
  <si>
    <t xml:space="preserve">NPS-00900</t>
  </si>
  <si>
    <t xml:space="preserve">NPS-00992</t>
  </si>
  <si>
    <t xml:space="preserve">NPS-03898</t>
  </si>
  <si>
    <t xml:space="preserve">NPS-04390</t>
  </si>
  <si>
    <t xml:space="preserve">NPS-04491</t>
  </si>
  <si>
    <t xml:space="preserve">NPS-06706</t>
  </si>
  <si>
    <t xml:space="preserve">NPS-06870</t>
  </si>
  <si>
    <t xml:space="preserve">NPS-00345</t>
  </si>
  <si>
    <t xml:space="preserve">NPS-01211</t>
  </si>
  <si>
    <t xml:space="preserve">NPS-03296</t>
  </si>
  <si>
    <t xml:space="preserve">NPS-03792</t>
  </si>
  <si>
    <t xml:space="preserve">NPS-03814</t>
  </si>
  <si>
    <t xml:space="preserve">NPS-03945</t>
  </si>
  <si>
    <t xml:space="preserve">NPS-05754</t>
  </si>
  <si>
    <t xml:space="preserve">NPS-07036</t>
  </si>
  <si>
    <t xml:space="preserve">NPS-07112</t>
  </si>
  <si>
    <t xml:space="preserve">ACC-12533</t>
  </si>
  <si>
    <t xml:space="preserve">NPS-00197</t>
  </si>
  <si>
    <t xml:space="preserve">NPS-00636</t>
  </si>
  <si>
    <t xml:space="preserve">NPS-00711</t>
  </si>
  <si>
    <t xml:space="preserve">ACC-10258</t>
  </si>
  <si>
    <t xml:space="preserve">NPS-01681</t>
  </si>
  <si>
    <t xml:space="preserve">NPS-04139</t>
  </si>
  <si>
    <t xml:space="preserve">NPS-04510</t>
  </si>
  <si>
    <t xml:space="preserve">NPS-06743</t>
  </si>
  <si>
    <t xml:space="preserve">NPS-06753</t>
  </si>
  <si>
    <t xml:space="preserve">NPS-06783</t>
  </si>
  <si>
    <t xml:space="preserve">NPS-00032</t>
  </si>
  <si>
    <t xml:space="preserve">NPS-02955</t>
  </si>
  <si>
    <t xml:space="preserve">NPS-03036</t>
  </si>
  <si>
    <t xml:space="preserve">NPS-04025</t>
  </si>
  <si>
    <t xml:space="preserve">NPS-04631</t>
  </si>
  <si>
    <t xml:space="preserve">NPS-04774</t>
  </si>
  <si>
    <t xml:space="preserve">NPS-05677</t>
  </si>
  <si>
    <t xml:space="preserve">NPS-06420</t>
  </si>
  <si>
    <t xml:space="preserve">NPS-01054</t>
  </si>
  <si>
    <t xml:space="preserve">NPS-01116</t>
  </si>
  <si>
    <t xml:space="preserve">ACC-10401</t>
  </si>
  <si>
    <t xml:space="preserve">NPS-01816</t>
  </si>
  <si>
    <t xml:space="preserve">NPS-01884</t>
  </si>
  <si>
    <t xml:space="preserve">NPS-03919</t>
  </si>
  <si>
    <t xml:space="preserve">NPS-05651</t>
  </si>
  <si>
    <t xml:space="preserve">NPS-06245</t>
  </si>
  <si>
    <t xml:space="preserve">NPS-00164</t>
  </si>
  <si>
    <t xml:space="preserve">NPS-00374</t>
  </si>
  <si>
    <t xml:space="preserve">NPS-00904</t>
  </si>
  <si>
    <t xml:space="preserve">NPS-02095</t>
  </si>
  <si>
    <t xml:space="preserve">NPS-02275</t>
  </si>
  <si>
    <t xml:space="preserve">NPS-02406</t>
  </si>
  <si>
    <t xml:space="preserve">NPS-05269</t>
  </si>
  <si>
    <t xml:space="preserve">NPS-05400</t>
  </si>
  <si>
    <t xml:space="preserve">NPS-05436</t>
  </si>
  <si>
    <t xml:space="preserve">NPS-06708</t>
  </si>
  <si>
    <t xml:space="preserve">ACC-12387</t>
  </si>
  <si>
    <t xml:space="preserve">NPS-06844</t>
  </si>
  <si>
    <t xml:space="preserve">NPS-06899</t>
  </si>
  <si>
    <t xml:space="preserve">NPS-07078</t>
  </si>
  <si>
    <t xml:space="preserve">NPS-00134</t>
  </si>
  <si>
    <t xml:space="preserve">NPS-00199</t>
  </si>
  <si>
    <t xml:space="preserve">NPS-01080</t>
  </si>
  <si>
    <t xml:space="preserve">NPS-01892</t>
  </si>
  <si>
    <t xml:space="preserve">NPS-02858</t>
  </si>
  <si>
    <t xml:space="preserve">NPS-03480</t>
  </si>
  <si>
    <t xml:space="preserve">NPS-05130</t>
  </si>
  <si>
    <t xml:space="preserve">NPS-05640</t>
  </si>
  <si>
    <t xml:space="preserve">NPS-05795</t>
  </si>
  <si>
    <t xml:space="preserve">NPS-06369</t>
  </si>
  <si>
    <t xml:space="preserve">NPS-06449</t>
  </si>
  <si>
    <t xml:space="preserve">NPS-06768</t>
  </si>
  <si>
    <t xml:space="preserve">NPS-00999</t>
  </si>
  <si>
    <t xml:space="preserve">NPS-01238</t>
  </si>
  <si>
    <t xml:space="preserve">NPS-01623</t>
  </si>
  <si>
    <t xml:space="preserve">NPS-04251</t>
  </si>
  <si>
    <t xml:space="preserve">NPS-04625</t>
  </si>
  <si>
    <t xml:space="preserve">NPS-05386</t>
  </si>
  <si>
    <t xml:space="preserve">NPS-05563</t>
  </si>
  <si>
    <t xml:space="preserve">NPS-06292</t>
  </si>
  <si>
    <t xml:space="preserve">NPS-06559</t>
  </si>
  <si>
    <t xml:space="preserve">NPS-06935</t>
  </si>
  <si>
    <t xml:space="preserve">NPS-07147</t>
  </si>
  <si>
    <t xml:space="preserve">NPS-07296</t>
  </si>
  <si>
    <t xml:space="preserve">NPS-00138</t>
  </si>
  <si>
    <t xml:space="preserve">NPS-00361</t>
  </si>
  <si>
    <t xml:space="preserve">NPS-00570</t>
  </si>
  <si>
    <t xml:space="preserve">NPS-00805</t>
  </si>
  <si>
    <t xml:space="preserve">NPS-01630</t>
  </si>
  <si>
    <t xml:space="preserve">NPS-02411</t>
  </si>
  <si>
    <t xml:space="preserve">NPS-02781</t>
  </si>
  <si>
    <t xml:space="preserve">NPS-03471</t>
  </si>
  <si>
    <t xml:space="preserve">NPS-03801</t>
  </si>
  <si>
    <t xml:space="preserve">NPS-04133</t>
  </si>
  <si>
    <t xml:space="preserve">NPS-05653</t>
  </si>
  <si>
    <t xml:space="preserve">NPS-05911</t>
  </si>
  <si>
    <t xml:space="preserve">NPS-06289</t>
  </si>
  <si>
    <t xml:space="preserve">NPS-06671</t>
  </si>
  <si>
    <t xml:space="preserve">NPS-01170</t>
  </si>
  <si>
    <t xml:space="preserve">NPS-01620</t>
  </si>
  <si>
    <t xml:space="preserve">NPS-01716</t>
  </si>
  <si>
    <t xml:space="preserve">NPS-01748</t>
  </si>
  <si>
    <t xml:space="preserve">NPS-01969</t>
  </si>
  <si>
    <t xml:space="preserve">NPS-02824</t>
  </si>
  <si>
    <t xml:space="preserve">NPS-02863</t>
  </si>
  <si>
    <t xml:space="preserve">NPS-02930</t>
  </si>
  <si>
    <t xml:space="preserve">NPS-03477</t>
  </si>
  <si>
    <t xml:space="preserve">NPS-03798</t>
  </si>
  <si>
    <t xml:space="preserve">NPS-04611</t>
  </si>
  <si>
    <t xml:space="preserve">NPS-05079</t>
  </si>
  <si>
    <t xml:space="preserve">NPS-05289</t>
  </si>
  <si>
    <t xml:space="preserve">NPS-05580</t>
  </si>
  <si>
    <t xml:space="preserve">NPS-06436</t>
  </si>
  <si>
    <t xml:space="preserve">NPS-06608</t>
  </si>
  <si>
    <t xml:space="preserve">NPS-06760</t>
  </si>
  <si>
    <t xml:space="preserve">NPS-00955</t>
  </si>
  <si>
    <t xml:space="preserve">NPS-01124</t>
  </si>
  <si>
    <t xml:space="preserve">NPS-01800</t>
  </si>
  <si>
    <t xml:space="preserve">NPS-02705</t>
  </si>
  <si>
    <t xml:space="preserve">NPS-03734</t>
  </si>
  <si>
    <t xml:space="preserve">NPS-04256</t>
  </si>
  <si>
    <t xml:space="preserve">NPS-06335</t>
  </si>
  <si>
    <t xml:space="preserve">NPS-00324</t>
  </si>
  <si>
    <t xml:space="preserve">NPS-00548</t>
  </si>
  <si>
    <t xml:space="preserve">ACC-10200</t>
  </si>
  <si>
    <t xml:space="preserve">NPS-00650</t>
  </si>
  <si>
    <t xml:space="preserve">NPS-01132</t>
  </si>
  <si>
    <t xml:space="preserve">NPS-01353</t>
  </si>
  <si>
    <t xml:space="preserve">NPS-01512</t>
  </si>
  <si>
    <t xml:space="preserve">NPS-01894</t>
  </si>
  <si>
    <t xml:space="preserve">NPS-02058</t>
  </si>
  <si>
    <t xml:space="preserve">NPS-02298</t>
  </si>
  <si>
    <t xml:space="preserve">NPS-03652</t>
  </si>
  <si>
    <t xml:space="preserve">NPS-03739</t>
  </si>
  <si>
    <t xml:space="preserve">NPS-04147</t>
  </si>
  <si>
    <t xml:space="preserve">NPS-05262</t>
  </si>
  <si>
    <t xml:space="preserve">NPS-06763</t>
  </si>
  <si>
    <t xml:space="preserve">NPS-00822</t>
  </si>
  <si>
    <t xml:space="preserve">NPS-00840</t>
  </si>
  <si>
    <t xml:space="preserve">NPS-01275</t>
  </si>
  <si>
    <t xml:space="preserve">NPS-01434</t>
  </si>
  <si>
    <t xml:space="preserve">NPS-01899</t>
  </si>
  <si>
    <t xml:space="preserve">NPS-02109</t>
  </si>
  <si>
    <t xml:space="preserve">NPS-02588</t>
  </si>
  <si>
    <t xml:space="preserve">NPS-02630</t>
  </si>
  <si>
    <t xml:space="preserve">NPS-02926</t>
  </si>
  <si>
    <t xml:space="preserve">NPS-03301</t>
  </si>
  <si>
    <t xml:space="preserve">NPS-05256</t>
  </si>
  <si>
    <t xml:space="preserve">NPS-05602</t>
  </si>
  <si>
    <t xml:space="preserve">NPS-05874</t>
  </si>
  <si>
    <t xml:space="preserve">NPS-02685</t>
  </si>
  <si>
    <t xml:space="preserve">NPS-02836</t>
  </si>
  <si>
    <t xml:space="preserve">NPS-03095</t>
  </si>
  <si>
    <t xml:space="preserve">NPS-03417</t>
  </si>
  <si>
    <t xml:space="preserve">NPS-03887</t>
  </si>
  <si>
    <t xml:space="preserve">NPS-04163</t>
  </si>
  <si>
    <t xml:space="preserve">NPS-04301</t>
  </si>
  <si>
    <t xml:space="preserve">NPS-04314</t>
  </si>
  <si>
    <t xml:space="preserve">NPS-04914</t>
  </si>
  <si>
    <t xml:space="preserve">NPS-05229</t>
  </si>
  <si>
    <t xml:space="preserve">NPS-06028</t>
  </si>
  <si>
    <t xml:space="preserve">NPS-06654</t>
  </si>
  <si>
    <t xml:space="preserve">NPS-07014</t>
  </si>
  <si>
    <t xml:space="preserve">NPS-01029</t>
  </si>
  <si>
    <t xml:space="preserve">NPS-02761</t>
  </si>
  <si>
    <t xml:space="preserve">NPS-03649</t>
  </si>
  <si>
    <t xml:space="preserve">NPS-03958</t>
  </si>
  <si>
    <t xml:space="preserve">NPS-05026</t>
  </si>
  <si>
    <t xml:space="preserve">NPS-05178</t>
  </si>
  <si>
    <t xml:space="preserve">NPS-05572</t>
  </si>
  <si>
    <t xml:space="preserve">NPS-06031</t>
  </si>
  <si>
    <t xml:space="preserve">NPS-06114</t>
  </si>
  <si>
    <t xml:space="preserve">NPS-06967</t>
  </si>
  <si>
    <t xml:space="preserve">NPS-07290</t>
  </si>
  <si>
    <t xml:space="preserve">NPS-00917</t>
  </si>
  <si>
    <t xml:space="preserve">NPS-02073</t>
  </si>
  <si>
    <t xml:space="preserve">NPS-02391</t>
  </si>
  <si>
    <t xml:space="preserve">NPS-03026</t>
  </si>
  <si>
    <t xml:space="preserve">NPS-05614</t>
  </si>
  <si>
    <t xml:space="preserve">NPS-05663</t>
  </si>
  <si>
    <t xml:space="preserve">NPS-07142</t>
  </si>
  <si>
    <t xml:space="preserve">NPS-00448</t>
  </si>
  <si>
    <t xml:space="preserve">NPS-00609</t>
  </si>
  <si>
    <t xml:space="preserve">NPS-01642</t>
  </si>
  <si>
    <t xml:space="preserve">NPS-02501</t>
  </si>
  <si>
    <t xml:space="preserve">NPS-04538</t>
  </si>
  <si>
    <t xml:space="preserve">NPS-05298</t>
  </si>
  <si>
    <t xml:space="preserve">NPS-05454</t>
  </si>
  <si>
    <t xml:space="preserve">NPS-05876</t>
  </si>
  <si>
    <t xml:space="preserve">NPS-06210</t>
  </si>
  <si>
    <t xml:space="preserve">NPS-06225</t>
  </si>
  <si>
    <t xml:space="preserve">NPS-00386</t>
  </si>
  <si>
    <t xml:space="preserve">NPS-00874</t>
  </si>
  <si>
    <t xml:space="preserve">NPS-01506</t>
  </si>
  <si>
    <t xml:space="preserve">NPS-02007</t>
  </si>
  <si>
    <t xml:space="preserve">NPS-02061</t>
  </si>
  <si>
    <t xml:space="preserve">NPS-02363</t>
  </si>
  <si>
    <t xml:space="preserve">NPS-02435</t>
  </si>
  <si>
    <t xml:space="preserve">NPS-03475</t>
  </si>
  <si>
    <t xml:space="preserve">NPS-03561</t>
  </si>
  <si>
    <t xml:space="preserve">NPS-04043</t>
  </si>
  <si>
    <t xml:space="preserve">NPS-04106</t>
  </si>
  <si>
    <t xml:space="preserve">NPS-04613</t>
  </si>
  <si>
    <t xml:space="preserve">NPS-05440</t>
  </si>
  <si>
    <t xml:space="preserve">NPS-05648</t>
  </si>
  <si>
    <t xml:space="preserve">NPS-05744</t>
  </si>
  <si>
    <t xml:space="preserve">NPS-06120</t>
  </si>
  <si>
    <t xml:space="preserve">NPS-06941</t>
  </si>
  <si>
    <t xml:space="preserve">NPS-01196</t>
  </si>
  <si>
    <t xml:space="preserve">NPS-01372</t>
  </si>
  <si>
    <t xml:space="preserve">NPS-01653</t>
  </si>
  <si>
    <t xml:space="preserve">NPS-01783</t>
  </si>
  <si>
    <t xml:space="preserve">NPS-02191</t>
  </si>
  <si>
    <t xml:space="preserve">NPS-02648</t>
  </si>
  <si>
    <t xml:space="preserve">NPS-02806</t>
  </si>
  <si>
    <t xml:space="preserve">NPS-03455</t>
  </si>
  <si>
    <t xml:space="preserve">NPS-03760</t>
  </si>
  <si>
    <t xml:space="preserve">NPS-04235</t>
  </si>
  <si>
    <t xml:space="preserve">NPS-04358</t>
  </si>
  <si>
    <t xml:space="preserve">NPS-06301</t>
  </si>
  <si>
    <t xml:space="preserve">NPS-06590</t>
  </si>
  <si>
    <t xml:space="preserve">NPS-06805</t>
  </si>
  <si>
    <t xml:space="preserve">NPS-01114</t>
  </si>
  <si>
    <t xml:space="preserve">NPS-01326</t>
  </si>
  <si>
    <t xml:space="preserve">NPS-01888</t>
  </si>
  <si>
    <t xml:space="preserve">NPS-02243</t>
  </si>
  <si>
    <t xml:space="preserve">NPS-02659</t>
  </si>
  <si>
    <t xml:space="preserve">NPS-04063</t>
  </si>
  <si>
    <t xml:space="preserve">NPS-04325</t>
  </si>
  <si>
    <t xml:space="preserve">NPS-04522</t>
  </si>
  <si>
    <t xml:space="preserve">NPS-04627</t>
  </si>
  <si>
    <t xml:space="preserve">NPS-04820</t>
  </si>
  <si>
    <t xml:space="preserve">NPS-05148</t>
  </si>
  <si>
    <t xml:space="preserve">NPS-05391</t>
  </si>
  <si>
    <t xml:space="preserve">NPS-05762</t>
  </si>
  <si>
    <t xml:space="preserve">NPS-07120</t>
  </si>
  <si>
    <t xml:space="preserve">NPS-02203</t>
  </si>
  <si>
    <t xml:space="preserve">NPS-04306</t>
  </si>
  <si>
    <t xml:space="preserve">NPS-04890</t>
  </si>
  <si>
    <t xml:space="preserve">NPS-05161</t>
  </si>
  <si>
    <t xml:space="preserve">NPS-05250</t>
  </si>
  <si>
    <t xml:space="preserve">NPS-06110</t>
  </si>
  <si>
    <t xml:space="preserve">NPS-00194</t>
  </si>
  <si>
    <t xml:space="preserve">NPS-00429</t>
  </si>
  <si>
    <t xml:space="preserve">NPS-01097</t>
  </si>
  <si>
    <t xml:space="preserve">NPS-02125</t>
  </si>
  <si>
    <t xml:space="preserve">NPS-02905</t>
  </si>
  <si>
    <t xml:space="preserve">NPS-03210</t>
  </si>
  <si>
    <t xml:space="preserve">NPS-03691</t>
  </si>
  <si>
    <t xml:space="preserve">NPS-04549</t>
  </si>
  <si>
    <t xml:space="preserve">NPS-05378</t>
  </si>
  <si>
    <t xml:space="preserve">ACC-11914</t>
  </si>
  <si>
    <t xml:space="preserve">NPS-06062</t>
  </si>
  <si>
    <t xml:space="preserve">NPS-01202</t>
  </si>
  <si>
    <t xml:space="preserve">NPS-01499</t>
  </si>
  <si>
    <t xml:space="preserve">NPS-02319</t>
  </si>
  <si>
    <t xml:space="preserve">ACC-10817</t>
  </si>
  <si>
    <t xml:space="preserve">NPS-02972</t>
  </si>
  <si>
    <t xml:space="preserve">NPS-03072</t>
  </si>
  <si>
    <t xml:space="preserve">NPS-04369</t>
  </si>
  <si>
    <t xml:space="preserve">NPS-05499</t>
  </si>
  <si>
    <t xml:space="preserve">NPS-06255</t>
  </si>
  <si>
    <t xml:space="preserve">NPS-01185</t>
  </si>
  <si>
    <t xml:space="preserve">NPS-01482</t>
  </si>
  <si>
    <t xml:space="preserve">NPS-01637</t>
  </si>
  <si>
    <t xml:space="preserve">NPS-03162</t>
  </si>
  <si>
    <t xml:space="preserve">NPS-03827</t>
  </si>
  <si>
    <t xml:space="preserve">NPS-04034</t>
  </si>
  <si>
    <t xml:space="preserve">NPS-04096</t>
  </si>
  <si>
    <t xml:space="preserve">NPS-05669</t>
  </si>
  <si>
    <t xml:space="preserve">NPS-06001</t>
  </si>
  <si>
    <t xml:space="preserve">NPS-00736</t>
  </si>
  <si>
    <t xml:space="preserve">NPS-00910</t>
  </si>
  <si>
    <t xml:space="preserve">NPS-01343</t>
  </si>
  <si>
    <t xml:space="preserve">NPS-01759</t>
  </si>
  <si>
    <t xml:space="preserve">NPS-03663</t>
  </si>
  <si>
    <t xml:space="preserve">NPS-03842</t>
  </si>
  <si>
    <t xml:space="preserve">NPS-04076</t>
  </si>
  <si>
    <t xml:space="preserve">NPS-04098</t>
  </si>
  <si>
    <t xml:space="preserve">NPS-04877</t>
  </si>
  <si>
    <t xml:space="preserve">NPS-04995</t>
  </si>
  <si>
    <t xml:space="preserve">NPS-05412</t>
  </si>
  <si>
    <t xml:space="preserve">NPS-06284</t>
  </si>
  <si>
    <t xml:space="preserve">NPS-06297</t>
  </si>
  <si>
    <t xml:space="preserve">NPS-00576</t>
  </si>
  <si>
    <t xml:space="preserve">NPS-01159</t>
  </si>
  <si>
    <t xml:space="preserve">NPS-02361</t>
  </si>
  <si>
    <t xml:space="preserve">NPS-04190</t>
  </si>
  <si>
    <t xml:space="preserve">NPS-04862</t>
  </si>
  <si>
    <t xml:space="preserve">NPS-05337</t>
  </si>
  <si>
    <t xml:space="preserve">NPS-05418</t>
  </si>
  <si>
    <t xml:space="preserve">NPS-05422</t>
  </si>
  <si>
    <t xml:space="preserve">NPS-05881</t>
  </si>
  <si>
    <t xml:space="preserve">NPS-06636</t>
  </si>
  <si>
    <t xml:space="preserve">NPS-06717</t>
  </si>
  <si>
    <t xml:space="preserve">NPS-06823</t>
  </si>
  <si>
    <t xml:space="preserve">NPS-07000</t>
  </si>
  <si>
    <t xml:space="preserve">NPS-00524</t>
  </si>
  <si>
    <t xml:space="preserve">NPS-01357</t>
  </si>
  <si>
    <t xml:space="preserve">NPS-02555</t>
  </si>
  <si>
    <t xml:space="preserve">NPS-03970</t>
  </si>
  <si>
    <t xml:space="preserve">NPS-05681</t>
  </si>
  <si>
    <t xml:space="preserve">NPS-05988</t>
  </si>
  <si>
    <t xml:space="preserve">NPS-06885</t>
  </si>
  <si>
    <t xml:space="preserve">NPS-01469</t>
  </si>
  <si>
    <t xml:space="preserve">NPS-01820</t>
  </si>
  <si>
    <t xml:space="preserve">NPS-02280</t>
  </si>
  <si>
    <t xml:space="preserve">ACC-10804</t>
  </si>
  <si>
    <t xml:space="preserve">NPS-02354</t>
  </si>
  <si>
    <t xml:space="preserve">NPS-02482</t>
  </si>
  <si>
    <t xml:space="preserve">NPS-03191</t>
  </si>
  <si>
    <t xml:space="preserve">NPS-03935</t>
  </si>
  <si>
    <t xml:space="preserve">NPS-05051</t>
  </si>
  <si>
    <t xml:space="preserve">NPS-05837</t>
  </si>
  <si>
    <t xml:space="preserve">NPS-06573</t>
  </si>
  <si>
    <t xml:space="preserve">NPS-07189</t>
  </si>
  <si>
    <t xml:space="preserve">NPS-07264</t>
  </si>
  <si>
    <t xml:space="preserve">NPS-00248</t>
  </si>
  <si>
    <t xml:space="preserve">NPS-00849</t>
  </si>
  <si>
    <t xml:space="preserve">NPS-01319</t>
  </si>
  <si>
    <t xml:space="preserve">NPS-01411</t>
  </si>
  <si>
    <t xml:space="preserve">NPS-03031</t>
  </si>
  <si>
    <t xml:space="preserve">NPS-04727</t>
  </si>
  <si>
    <t xml:space="preserve">NPS-04843</t>
  </si>
  <si>
    <t xml:space="preserve">NPS-04974</t>
  </si>
  <si>
    <t xml:space="preserve">NPS-05674</t>
  </si>
  <si>
    <t xml:space="preserve">NPS-06662</t>
  </si>
  <si>
    <t xml:space="preserve">NPS-00082</t>
  </si>
  <si>
    <t xml:space="preserve">NPS-00732</t>
  </si>
  <si>
    <t xml:space="preserve">NPS-01307</t>
  </si>
  <si>
    <t xml:space="preserve">NPS-01431</t>
  </si>
  <si>
    <t xml:space="preserve">NPS-02100</t>
  </si>
  <si>
    <t xml:space="preserve">NPS-04352</t>
  </si>
  <si>
    <t xml:space="preserve">NPS-05283</t>
  </si>
  <si>
    <t xml:space="preserve">NPS-05811</t>
  </si>
  <si>
    <t xml:space="preserve">NPS-06035</t>
  </si>
  <si>
    <t xml:space="preserve">NPS-06394</t>
  </si>
  <si>
    <t xml:space="preserve">NPS-07109</t>
  </si>
  <si>
    <t xml:space="preserve">NPS-00752</t>
  </si>
  <si>
    <t xml:space="preserve">NPS-01039</t>
  </si>
  <si>
    <t xml:space="preserve">NPS-01043</t>
  </si>
  <si>
    <t xml:space="preserve">NPS-03062</t>
  </si>
  <si>
    <t xml:space="preserve">NPS-03149</t>
  </si>
  <si>
    <t xml:space="preserve">NPS-03198</t>
  </si>
  <si>
    <t xml:space="preserve">NPS-03550</t>
  </si>
  <si>
    <t xml:space="preserve">NPS-04801</t>
  </si>
  <si>
    <t xml:space="preserve">NPS-05553</t>
  </si>
  <si>
    <t xml:space="preserve">NPS-05748</t>
  </si>
  <si>
    <t xml:space="preserve">NPS-06466</t>
  </si>
  <si>
    <t xml:space="preserve">NPS-06665</t>
  </si>
  <si>
    <t xml:space="preserve">NPS-07094</t>
  </si>
  <si>
    <t xml:space="preserve">NPS-01254</t>
  </si>
  <si>
    <t xml:space="preserve">NPS-01471</t>
  </si>
  <si>
    <t xml:space="preserve">ACC-10529</t>
  </si>
  <si>
    <t xml:space="preserve">NPS-03283</t>
  </si>
  <si>
    <t xml:space="preserve">NPS-03523</t>
  </si>
  <si>
    <t xml:space="preserve">NPS-03725</t>
  </si>
  <si>
    <t xml:space="preserve">NPS-04036</t>
  </si>
  <si>
    <t xml:space="preserve">NPS-06721</t>
  </si>
  <si>
    <t xml:space="preserve">NPS-00403</t>
  </si>
  <si>
    <t xml:space="preserve">NPS-00628</t>
  </si>
  <si>
    <t xml:space="preserve">NPS-02086</t>
  </si>
  <si>
    <t xml:space="preserve">NPS-02232</t>
  </si>
  <si>
    <t xml:space="preserve">NPS-02265</t>
  </si>
  <si>
    <t xml:space="preserve">NPS-03492</t>
  </si>
  <si>
    <t xml:space="preserve">NPS-03810</t>
  </si>
  <si>
    <t xml:space="preserve">NPS-04759</t>
  </si>
  <si>
    <t xml:space="preserve">NPS-04903</t>
  </si>
  <si>
    <t xml:space="preserve">NPS-05237</t>
  </si>
  <si>
    <t xml:space="preserve">ACC-11866</t>
  </si>
  <si>
    <t xml:space="preserve">NPS-06480</t>
  </si>
  <si>
    <t xml:space="preserve">NPS-06818</t>
  </si>
  <si>
    <t xml:space="preserve">NPS-01697</t>
  </si>
  <si>
    <t xml:space="preserve">NPS-01881</t>
  </si>
  <si>
    <t xml:space="preserve">NPS-02485</t>
  </si>
  <si>
    <t xml:space="preserve">NPS-02800</t>
  </si>
  <si>
    <t xml:space="preserve">NPS-04572</t>
  </si>
  <si>
    <t xml:space="preserve">NPS-05103</t>
  </si>
  <si>
    <t xml:space="preserve">NPS-05114</t>
  </si>
  <si>
    <t xml:space="preserve">NPS-06007</t>
  </si>
  <si>
    <t xml:space="preserve">NPS-01317</t>
  </si>
  <si>
    <t xml:space="preserve">NPS-02849</t>
  </si>
  <si>
    <t xml:space="preserve">NPS-03482</t>
  </si>
  <si>
    <t xml:space="preserve">ACC-11234</t>
  </si>
  <si>
    <t xml:space="preserve">NPS-04657</t>
  </si>
  <si>
    <t xml:space="preserve">NPS-04690</t>
  </si>
  <si>
    <t xml:space="preserve">NPS-06527</t>
  </si>
  <si>
    <t xml:space="preserve">NPS-00605</t>
  </si>
  <si>
    <t xml:space="preserve">NPS-01161</t>
  </si>
  <si>
    <t xml:space="preserve">NPS-02566</t>
  </si>
  <si>
    <t xml:space="preserve">NPS-02722</t>
  </si>
  <si>
    <t xml:space="preserve">NPS-04972</t>
  </si>
  <si>
    <t xml:space="preserve">NPS-00189</t>
  </si>
  <si>
    <t xml:space="preserve">NPS-01008</t>
  </si>
  <si>
    <t xml:space="preserve">NPS-03623</t>
  </si>
  <si>
    <t xml:space="preserve">NPS-03931</t>
  </si>
  <si>
    <t xml:space="preserve">NPS-04494</t>
  </si>
  <si>
    <t xml:space="preserve">NPS-04965</t>
  </si>
  <si>
    <t xml:space="preserve">NPS-06212</t>
  </si>
  <si>
    <t xml:space="preserve">NPS-00572</t>
  </si>
  <si>
    <t xml:space="preserve">NPS-02461</t>
  </si>
  <si>
    <t xml:space="preserve">NPS-02584</t>
  </si>
  <si>
    <t xml:space="preserve">NPS-03712</t>
  </si>
  <si>
    <t xml:space="preserve">NPS-03765</t>
  </si>
  <si>
    <t xml:space="preserve">NPS-04531</t>
  </si>
  <si>
    <t xml:space="preserve">NPS-04840</t>
  </si>
  <si>
    <t xml:space="preserve">NPS-05111</t>
  </si>
  <si>
    <t xml:space="preserve">NPS-05546</t>
  </si>
  <si>
    <t xml:space="preserve">NPS-06024</t>
  </si>
  <si>
    <t xml:space="preserve">NPS-00738</t>
  </si>
  <si>
    <t xml:space="preserve">NPS-01088</t>
  </si>
  <si>
    <t xml:space="preserve">NPS-02002</t>
  </si>
  <si>
    <t xml:space="preserve">NPS-04186</t>
  </si>
  <si>
    <t xml:space="preserve">NPS-04978</t>
  </si>
  <si>
    <t xml:space="preserve">NPS-06566</t>
  </si>
  <si>
    <t xml:space="preserve">NPS-06595</t>
  </si>
  <si>
    <t xml:space="preserve">NPS-01769</t>
  </si>
  <si>
    <t xml:space="preserve">NPS-01989</t>
  </si>
  <si>
    <t xml:space="preserve">NPS-02011</t>
  </si>
  <si>
    <t xml:space="preserve">NPS-03585</t>
  </si>
  <si>
    <t xml:space="preserve">NPS-03949</t>
  </si>
  <si>
    <t xml:space="preserve">NPS-04998</t>
  </si>
  <si>
    <t xml:space="preserve">NPS-02852</t>
  </si>
  <si>
    <t xml:space="preserve">NPS-03051</t>
  </si>
  <si>
    <t xml:space="preserve">NPS-04092</t>
  </si>
  <si>
    <t xml:space="preserve">NPS-04279</t>
  </si>
  <si>
    <t xml:space="preserve">NPS-05427</t>
  </si>
  <si>
    <t xml:space="preserve">NPS-05519</t>
  </si>
  <si>
    <t xml:space="preserve">NPS-06766</t>
  </si>
  <si>
    <t xml:space="preserve">NPS-06788</t>
  </si>
  <si>
    <t xml:space="preserve">NPS-01679</t>
  </si>
  <si>
    <t xml:space="preserve">NPS-02420</t>
  </si>
  <si>
    <t xml:space="preserve">NPS-02523</t>
  </si>
  <si>
    <t xml:space="preserve">NPS-02618</t>
  </si>
  <si>
    <t xml:space="preserve">NPS-02738</t>
  </si>
  <si>
    <t xml:space="preserve">NPS-04421</t>
  </si>
  <si>
    <t xml:space="preserve">NPS-04742</t>
  </si>
  <si>
    <t xml:space="preserve">NPS-05405</t>
  </si>
  <si>
    <t xml:space="preserve">NPS-05739</t>
  </si>
  <si>
    <t xml:space="preserve">NPS-01037</t>
  </si>
  <si>
    <t xml:space="preserve">NPS-01660</t>
  </si>
  <si>
    <t xml:space="preserve">NPS-02381</t>
  </si>
  <si>
    <t xml:space="preserve">NPS-04976</t>
  </si>
  <si>
    <t xml:space="preserve">NPS-05009</t>
  </si>
  <si>
    <t xml:space="preserve">NPS-06306</t>
  </si>
  <si>
    <t xml:space="preserve">NPS-06770</t>
  </si>
  <si>
    <t xml:space="preserve">NPS-01058</t>
  </si>
  <si>
    <t xml:space="preserve">NPS-01072</t>
  </si>
  <si>
    <t xml:space="preserve">NPS-02445</t>
  </si>
  <si>
    <t xml:space="preserve">NPS-03458</t>
  </si>
  <si>
    <t xml:space="preserve">NPS-03978</t>
  </si>
  <si>
    <t xml:space="preserve">NPS-05494</t>
  </si>
  <si>
    <t xml:space="preserve">NPS-06276</t>
  </si>
  <si>
    <t xml:space="preserve">NPS-06873</t>
  </si>
  <si>
    <t xml:space="preserve">NPS-07056</t>
  </si>
  <si>
    <t xml:space="preserve">NPS-00592</t>
  </si>
  <si>
    <t xml:space="preserve">NPS-01113</t>
  </si>
  <si>
    <t xml:space="preserve">ACC-10399</t>
  </si>
  <si>
    <t xml:space="preserve">NPS-01667</t>
  </si>
  <si>
    <t xml:space="preserve">NPS-02163</t>
  </si>
  <si>
    <t xml:space="preserve">NPS-02578</t>
  </si>
  <si>
    <t xml:space="preserve">NPS-02910</t>
  </si>
  <si>
    <t xml:space="preserve">NPS-02946</t>
  </si>
  <si>
    <t xml:space="preserve">NPS-02969</t>
  </si>
  <si>
    <t xml:space="preserve">NPS-03287</t>
  </si>
  <si>
    <t xml:space="preserve">NPS-03685</t>
  </si>
  <si>
    <t xml:space="preserve">NPS-05056</t>
  </si>
  <si>
    <t xml:space="preserve">NPS-05222</t>
  </si>
  <si>
    <t xml:space="preserve">NPS-05248</t>
  </si>
  <si>
    <t xml:space="preserve">NPS-05770</t>
  </si>
  <si>
    <t xml:space="preserve">NPS-00659</t>
  </si>
  <si>
    <t xml:space="preserve">NPS-00776</t>
  </si>
  <si>
    <t xml:space="preserve">NPS-00898</t>
  </si>
  <si>
    <t xml:space="preserve">NPS-01793</t>
  </si>
  <si>
    <t xml:space="preserve">NPS-01863</t>
  </si>
  <si>
    <t xml:space="preserve">NPS-02137</t>
  </si>
  <si>
    <t xml:space="preserve">NPS-02213</t>
  </si>
  <si>
    <t xml:space="preserve">NPS-02477</t>
  </si>
  <si>
    <t xml:space="preserve">NPS-03013</t>
  </si>
  <si>
    <t xml:space="preserve">NPS-03962</t>
  </si>
  <si>
    <t xml:space="preserve">NPS-04401</t>
  </si>
  <si>
    <t xml:space="preserve">NPS-04468</t>
  </si>
  <si>
    <t xml:space="preserve">NPS-07084</t>
  </si>
  <si>
    <t xml:space="preserve">NPS-01850</t>
  </si>
  <si>
    <t xml:space="preserve">NPS-02050</t>
  </si>
  <si>
    <t xml:space="preserve">NPS-04506</t>
  </si>
  <si>
    <t xml:space="preserve">NPS-05310</t>
  </si>
  <si>
    <t xml:space="preserve">NPS-05637</t>
  </si>
  <si>
    <t xml:space="preserve">NPS-06773</t>
  </si>
  <si>
    <t xml:space="preserve">NPS-07107</t>
  </si>
  <si>
    <t xml:space="preserve">NPS-07134</t>
  </si>
  <si>
    <t xml:space="preserve">NPS-07177</t>
  </si>
  <si>
    <t xml:space="preserve">NPS-00161</t>
  </si>
  <si>
    <t xml:space="preserve">NPS-00234</t>
  </si>
  <si>
    <t xml:space="preserve">NPS-00672</t>
  </si>
  <si>
    <t xml:space="preserve">NPS-00860</t>
  </si>
  <si>
    <t xml:space="preserve">NPS-01963</t>
  </si>
  <si>
    <t xml:space="preserve">NPS-03517</t>
  </si>
  <si>
    <t xml:space="preserve">NPS-03754</t>
  </si>
  <si>
    <t xml:space="preserve">NPS-03872</t>
  </si>
  <si>
    <t xml:space="preserve">NPS-06407</t>
  </si>
  <si>
    <t xml:space="preserve">ACC-12281</t>
  </si>
  <si>
    <t xml:space="preserve">NPS-00067</t>
  </si>
  <si>
    <t xml:space="preserve">NPS-00598</t>
  </si>
  <si>
    <t xml:space="preserve">NPS-01484</t>
  </si>
  <si>
    <t xml:space="preserve">NPS-01645</t>
  </si>
  <si>
    <t xml:space="preserve">NPS-02383</t>
  </si>
  <si>
    <t xml:space="preserve">NPS-02508</t>
  </si>
  <si>
    <t xml:space="preserve">NPS-02720</t>
  </si>
  <si>
    <t xml:space="preserve">NPS-02816</t>
  </si>
  <si>
    <t xml:space="preserve">NPS-03001</t>
  </si>
  <si>
    <t xml:space="preserve">NPS-04406</t>
  </si>
  <si>
    <t xml:space="preserve">NPS-04874</t>
  </si>
  <si>
    <t xml:space="preserve">NPS-07100</t>
  </si>
  <si>
    <t xml:space="preserve">NPS-00335</t>
  </si>
  <si>
    <t xml:space="preserve">NPS-00719</t>
  </si>
  <si>
    <t xml:space="preserve">NPS-00801</t>
  </si>
  <si>
    <t xml:space="preserve">NPS-02217</t>
  </si>
  <si>
    <t xml:space="preserve">NPS-02221</t>
  </si>
  <si>
    <t xml:space="preserve">NPS-04233</t>
  </si>
  <si>
    <t xml:space="preserve">NPS-04298</t>
  </si>
  <si>
    <t xml:space="preserve">NPS-04551</t>
  </si>
  <si>
    <t xml:space="preserve">NPS-05393</t>
  </si>
  <si>
    <t xml:space="preserve">NPS-05916</t>
  </si>
  <si>
    <t xml:space="preserve">NPS-06136</t>
  </si>
  <si>
    <t xml:space="preserve">NPS-07068</t>
  </si>
  <si>
    <t xml:space="preserve">NPS-01213</t>
  </si>
  <si>
    <t xml:space="preserve">NPS-04303</t>
  </si>
  <si>
    <t xml:space="preserve">NPS-04822</t>
  </si>
  <si>
    <t xml:space="preserve">NPS-06127</t>
  </si>
  <si>
    <t xml:space="preserve">NPS-06198</t>
  </si>
  <si>
    <t xml:space="preserve">NPS-07152</t>
  </si>
  <si>
    <t xml:space="preserve">NPS-00182</t>
  </si>
  <si>
    <t xml:space="preserve">NPS-02664</t>
  </si>
  <si>
    <t xml:space="preserve">NPS-03394</t>
  </si>
  <si>
    <t xml:space="preserve">NPS-03656</t>
  </si>
  <si>
    <t xml:space="preserve">NPS-03805</t>
  </si>
  <si>
    <t xml:space="preserve">NPS-04504</t>
  </si>
  <si>
    <t xml:space="preserve">NPS-05607</t>
  </si>
  <si>
    <t xml:space="preserve">NPS-06398</t>
  </si>
  <si>
    <t xml:space="preserve">NPS-06576</t>
  </si>
  <si>
    <t xml:space="preserve">NPS-00443</t>
  </si>
  <si>
    <t xml:space="preserve">NPS-00520</t>
  </si>
  <si>
    <t xml:space="preserve">NPS-03704</t>
  </si>
  <si>
    <t xml:space="preserve">NPS-04074</t>
  </si>
  <si>
    <t xml:space="preserve">NPS-05772</t>
  </si>
  <si>
    <t xml:space="preserve">NPS-06945</t>
  </si>
  <si>
    <t xml:space="preserve">NPS-00662</t>
  </si>
  <si>
    <t xml:space="preserve">NPS-01933</t>
  </si>
  <si>
    <t xml:space="preserve">NPS-02180</t>
  </si>
  <si>
    <t xml:space="preserve">NPS-02742</t>
  </si>
  <si>
    <t xml:space="preserve">NPS-04838</t>
  </si>
  <si>
    <t xml:space="preserve">NPS-05280</t>
  </si>
  <si>
    <t xml:space="preserve">NPS-06880</t>
  </si>
  <si>
    <t xml:space="preserve">NPS-00427</t>
  </si>
  <si>
    <t xml:space="preserve">NPS-01834</t>
  </si>
  <si>
    <t xml:space="preserve">NPS-03010</t>
  </si>
  <si>
    <t xml:space="preserve">NPS-03443</t>
  </si>
  <si>
    <t xml:space="preserve">NPS-03634</t>
  </si>
  <si>
    <t xml:space="preserve">NPS-05348</t>
  </si>
  <si>
    <t xml:space="preserve">NPS-06118</t>
  </si>
  <si>
    <t xml:space="preserve">NPS-06937</t>
  </si>
  <si>
    <t xml:space="preserve">NPS-00316</t>
  </si>
  <si>
    <t xml:space="preserve">NPS-01068</t>
  </si>
  <si>
    <t xml:space="preserve">NPS-01966</t>
  </si>
  <si>
    <t xml:space="preserve">NPS-02224</t>
  </si>
  <si>
    <t xml:space="preserve">NPS-02369</t>
  </si>
  <si>
    <t xml:space="preserve">ACC-10838</t>
  </si>
  <si>
    <t xml:space="preserve">NPS-02845</t>
  </si>
  <si>
    <t xml:space="preserve">NPS-03059</t>
  </si>
  <si>
    <t xml:space="preserve">NPS-04070</t>
  </si>
  <si>
    <t xml:space="preserve">ACC-11450</t>
  </si>
  <si>
    <t xml:space="preserve">NPS-04199</t>
  </si>
  <si>
    <t xml:space="preserve">NPS-04419</t>
  </si>
  <si>
    <t xml:space="preserve">NPS-04682</t>
  </si>
  <si>
    <t xml:space="preserve">NPS-04927</t>
  </si>
  <si>
    <t xml:space="preserve">NPS-06015</t>
  </si>
  <si>
    <t xml:space="preserve">NPS-06323</t>
  </si>
  <si>
    <t xml:space="preserve">NPS-00286</t>
  </si>
  <si>
    <t xml:space="preserve">NPS-00614</t>
  </si>
  <si>
    <t xml:space="preserve">NPS-00800</t>
  </si>
  <si>
    <t xml:space="preserve">NPS-00916</t>
  </si>
  <si>
    <t xml:space="preserve">NPS-01558</t>
  </si>
  <si>
    <t xml:space="preserve">NPS-02609</t>
  </si>
  <si>
    <t xml:space="preserve">NPS-02643</t>
  </si>
  <si>
    <t xml:space="preserve">NPS-02833</t>
  </si>
  <si>
    <t xml:space="preserve">NPS-02898</t>
  </si>
  <si>
    <t xml:space="preserve">NPS-02916</t>
  </si>
  <si>
    <t xml:space="preserve">NPS-03571</t>
  </si>
  <si>
    <t xml:space="preserve">NPS-04383</t>
  </si>
  <si>
    <t xml:space="preserve">NPS-04853</t>
  </si>
  <si>
    <t xml:space="preserve">NPS-04911</t>
  </si>
  <si>
    <t xml:space="preserve">NPS-05109</t>
  </si>
  <si>
    <t xml:space="preserve">NPS-05139</t>
  </si>
  <si>
    <t xml:space="preserve">NPS-05894</t>
  </si>
  <si>
    <t xml:space="preserve">NPS-06066</t>
  </si>
  <si>
    <t xml:space="preserve">NPS-06533</t>
  </si>
  <si>
    <t xml:space="preserve">NPS-00351</t>
  </si>
  <si>
    <t xml:space="preserve">NPS-00366</t>
  </si>
  <si>
    <t xml:space="preserve">NPS-00584</t>
  </si>
  <si>
    <t xml:space="preserve">NPS-01141</t>
  </si>
  <si>
    <t xml:space="preserve">NPS-01220</t>
  </si>
  <si>
    <t xml:space="preserve">NPS-01746</t>
  </si>
  <si>
    <t xml:space="preserve">NPS-02151</t>
  </si>
  <si>
    <t xml:space="preserve">NPS-03127</t>
  </si>
  <si>
    <t xml:space="preserve">NPS-03215</t>
  </si>
  <si>
    <t xml:space="preserve">NPS-03440</t>
  </si>
  <si>
    <t xml:space="preserve">NPS-03506</t>
  </si>
  <si>
    <t xml:space="preserve">NPS-03778</t>
  </si>
  <si>
    <t xml:space="preserve">NPS-03856</t>
  </si>
  <si>
    <t xml:space="preserve">NPS-04651</t>
  </si>
  <si>
    <t xml:space="preserve">NPS-04751</t>
  </si>
  <si>
    <t xml:space="preserve">NPS-04923</t>
  </si>
  <si>
    <t xml:space="preserve">NPS-05120</t>
  </si>
  <si>
    <t xml:space="preserve">NPS-05513</t>
  </si>
  <si>
    <t xml:space="preserve">NPS-05832</t>
  </si>
  <si>
    <t xml:space="preserve">NPS-05960</t>
  </si>
  <si>
    <t xml:space="preserve">NPS-06649</t>
  </si>
  <si>
    <t xml:space="preserve">NPS-06917</t>
  </si>
  <si>
    <t xml:space="preserve">NPS-07060</t>
  </si>
  <si>
    <t xml:space="preserve">NPS-07215</t>
  </si>
  <si>
    <t xml:space="preserve">NPS-00090</t>
  </si>
  <si>
    <t xml:space="preserve">NPS-00290</t>
  </si>
  <si>
    <t xml:space="preserve">NPS-00547</t>
  </si>
  <si>
    <t xml:space="preserve">NPS-00655</t>
  </si>
  <si>
    <t xml:space="preserve">NPS-01094</t>
  </si>
  <si>
    <t xml:space="preserve">NPS-01233</t>
  </si>
  <si>
    <t xml:space="preserve">NPS-01392</t>
  </si>
  <si>
    <t xml:space="preserve">NPS-01397</t>
  </si>
  <si>
    <t xml:space="preserve">NPS-01538</t>
  </si>
  <si>
    <t xml:space="preserve">NPS-01939</t>
  </si>
  <si>
    <t xml:space="preserve">NPS-02273</t>
  </si>
  <si>
    <t xml:space="preserve">NPS-02774</t>
  </si>
  <si>
    <t xml:space="preserve">NPS-02861</t>
  </si>
  <si>
    <t xml:space="preserve">NPS-02940</t>
  </si>
  <si>
    <t xml:space="preserve">NPS-03756</t>
  </si>
  <si>
    <t xml:space="preserve">NPS-03865</t>
  </si>
  <si>
    <t xml:space="preserve">NPS-04341</t>
  </si>
  <si>
    <t xml:space="preserve">NPS-04792</t>
  </si>
  <si>
    <t xml:space="preserve">NPS-05355</t>
  </si>
  <si>
    <t xml:space="preserve">NPS-05399</t>
  </si>
  <si>
    <t xml:space="preserve">NPS-05659</t>
  </si>
  <si>
    <t xml:space="preserve">NPS-05801</t>
  </si>
  <si>
    <t xml:space="preserve">NPS-06239</t>
  </si>
  <si>
    <t xml:space="preserve">NPS-06373</t>
  </si>
  <si>
    <t xml:space="preserve">NPS-06545</t>
  </si>
  <si>
    <t xml:space="preserve">NPS-06864</t>
  </si>
  <si>
    <t xml:space="preserve">NPS-00492</t>
  </si>
  <si>
    <t xml:space="preserve">NPS-00795</t>
  </si>
  <si>
    <t xml:space="preserve">NPS-00855</t>
  </si>
  <si>
    <t xml:space="preserve">NPS-01176</t>
  </si>
  <si>
    <t xml:space="preserve">NPS-01339</t>
  </si>
  <si>
    <t xml:space="preserve">NPS-01387</t>
  </si>
  <si>
    <t xml:space="preserve">NPS-01457</t>
  </si>
  <si>
    <t xml:space="preserve">NPS-01543</t>
  </si>
  <si>
    <t xml:space="preserve">NPS-01579</t>
  </si>
  <si>
    <t xml:space="preserve">NPS-01752</t>
  </si>
  <si>
    <t xml:space="preserve">NPS-02093</t>
  </si>
  <si>
    <t xml:space="preserve">NPS-02143</t>
  </si>
  <si>
    <t xml:space="preserve">NPS-03048</t>
  </si>
  <si>
    <t xml:space="preserve">NPS-03117</t>
  </si>
  <si>
    <t xml:space="preserve">NPS-03270</t>
  </si>
  <si>
    <t xml:space="preserve">NPS-03345</t>
  </si>
  <si>
    <t xml:space="preserve">NPS-03488</t>
  </si>
  <si>
    <t xml:space="preserve">NPS-03535</t>
  </si>
  <si>
    <t xml:space="preserve">NPS-03683</t>
  </si>
  <si>
    <t xml:space="preserve">NPS-03744</t>
  </si>
  <si>
    <t xml:space="preserve">NPS-03948</t>
  </si>
  <si>
    <t xml:space="preserve">NPS-04005</t>
  </si>
  <si>
    <t xml:space="preserve">NPS-04636</t>
  </si>
  <si>
    <t xml:space="preserve">NPS-04797</t>
  </si>
  <si>
    <t xml:space="preserve">NPS-04937</t>
  </si>
  <si>
    <t xml:space="preserve">NPS-04958</t>
  </si>
  <si>
    <t xml:space="preserve">NPS-05557</t>
  </si>
  <si>
    <t xml:space="preserve">NPS-05979</t>
  </si>
  <si>
    <t xml:space="preserve">NPS-06388</t>
  </si>
  <si>
    <t xml:space="preserve">NPS-07175</t>
  </si>
  <si>
    <t xml:space="preserve">NPS-07186</t>
  </si>
  <si>
    <t xml:space="preserve">NPS-00043</t>
  </si>
  <si>
    <t xml:space="preserve">NPS-00436</t>
  </si>
  <si>
    <t xml:space="preserve">NPS-00771</t>
  </si>
  <si>
    <t xml:space="preserve">NPS-01908</t>
  </si>
  <si>
    <t xml:space="preserve">NPS-01985</t>
  </si>
  <si>
    <t xml:space="preserve">NPS-02209</t>
  </si>
  <si>
    <t xml:space="preserve">NPS-02329</t>
  </si>
  <si>
    <t xml:space="preserve">NPS-02968</t>
  </si>
  <si>
    <t xml:space="preserve">NPS-03006</t>
  </si>
  <si>
    <t xml:space="preserve">NPS-03399</t>
  </si>
  <si>
    <t xml:space="preserve">NPS-04284</t>
  </si>
  <si>
    <t xml:space="preserve">NPS-05095</t>
  </si>
  <si>
    <t xml:space="preserve">NPS-05175</t>
  </si>
  <si>
    <t xml:space="preserve">NPS-05359</t>
  </si>
  <si>
    <t xml:space="preserve">NPS-06134</t>
  </si>
  <si>
    <t xml:space="preserve">NPS-06334</t>
  </si>
  <si>
    <t xml:space="preserve">NPS-06427</t>
  </si>
  <si>
    <t xml:space="preserve">NPS-06508</t>
  </si>
  <si>
    <t xml:space="preserve">NPS-06746</t>
  </si>
  <si>
    <t xml:space="preserve">NPS-07032</t>
  </si>
  <si>
    <t xml:space="preserve">NPS-07126</t>
  </si>
  <si>
    <t xml:space="preserve">NPS-00686</t>
  </si>
  <si>
    <t xml:space="preserve">NPS-01294</t>
  </si>
  <si>
    <t xml:space="preserve">NPS-01529</t>
  </si>
  <si>
    <t xml:space="preserve">NPS-01703</t>
  </si>
  <si>
    <t xml:space="preserve">NPS-01708</t>
  </si>
  <si>
    <t xml:space="preserve">NPS-01995</t>
  </si>
  <si>
    <t xml:space="preserve">NPS-02207</t>
  </si>
  <si>
    <t xml:space="preserve">NPS-02441</t>
  </si>
  <si>
    <t xml:space="preserve">NPS-02989</t>
  </si>
  <si>
    <t xml:space="preserve">NPS-03159</t>
  </si>
  <si>
    <t xml:space="preserve">NPS-03339</t>
  </si>
  <si>
    <t xml:space="preserve">NPS-03369</t>
  </si>
  <si>
    <t xml:space="preserve">NPS-03884</t>
  </si>
  <si>
    <t xml:space="preserve">NPS-04088</t>
  </si>
  <si>
    <t xml:space="preserve">NPS-04223</t>
  </si>
  <si>
    <t xml:space="preserve">NPS-04779</t>
  </si>
  <si>
    <t xml:space="preserve">NPS-05291</t>
  </si>
  <si>
    <t xml:space="preserve">NPS-05868</t>
  </si>
  <si>
    <t xml:space="preserve">NPS-05906</t>
  </si>
  <si>
    <t xml:space="preserve">NPS-06125</t>
  </si>
  <si>
    <t xml:space="preserve">NPS-06383</t>
  </si>
  <si>
    <t xml:space="preserve">NPS-06713</t>
  </si>
  <si>
    <t xml:space="preserve">NPS-07141</t>
  </si>
  <si>
    <t xml:space="preserve">NPS-00332</t>
  </si>
  <si>
    <t xml:space="preserve">NPS-00564</t>
  </si>
  <si>
    <t xml:space="preserve">NPS-01242</t>
  </si>
  <si>
    <t xml:space="preserve">NPS-01659</t>
  </si>
  <si>
    <t xml:space="preserve">NPS-01715</t>
  </si>
  <si>
    <t xml:space="preserve">NPS-01826</t>
  </si>
  <si>
    <t xml:space="preserve">NPS-02378</t>
  </si>
  <si>
    <t xml:space="preserve">NPS-02431</t>
  </si>
  <si>
    <t xml:space="preserve">NPS-02733</t>
  </si>
  <si>
    <t xml:space="preserve">NPS-03515</t>
  </si>
  <si>
    <t xml:space="preserve">NPS-03909</t>
  </si>
  <si>
    <t xml:space="preserve">NPS-04046</t>
  </si>
  <si>
    <t xml:space="preserve">NPS-04608</t>
  </si>
  <si>
    <t xml:space="preserve">NPS-06058</t>
  </si>
  <si>
    <t xml:space="preserve">NPS-06232</t>
  </si>
  <si>
    <t xml:space="preserve">NPS-06891</t>
  </si>
  <si>
    <t xml:space="preserve">NPS-07259</t>
  </si>
  <si>
    <t xml:space="preserve">NPS-00950</t>
  </si>
  <si>
    <t xml:space="preserve">NPS-01230</t>
  </si>
  <si>
    <t xml:space="preserve">NPS-01407</t>
  </si>
  <si>
    <t xml:space="preserve">NPS-01600</t>
  </si>
  <si>
    <t xml:space="preserve">NPS-01673</t>
  </si>
  <si>
    <t xml:space="preserve">NPS-02053</t>
  </si>
  <si>
    <t xml:space="preserve">NPS-02994</t>
  </si>
  <si>
    <t xml:space="preserve">NPS-03678</t>
  </si>
  <si>
    <t xml:space="preserve">NPS-04270</t>
  </si>
  <si>
    <t xml:space="preserve">NPS-04378</t>
  </si>
  <si>
    <t xml:space="preserve">NPS-04480</t>
  </si>
  <si>
    <t xml:space="preserve">NPS-04848</t>
  </si>
  <si>
    <t xml:space="preserve">NPS-05373</t>
  </si>
  <si>
    <t xml:space="preserve">NPS-05523</t>
  </si>
  <si>
    <t xml:space="preserve">NPS-05703</t>
  </si>
  <si>
    <t xml:space="preserve">NPS-06082</t>
  </si>
  <si>
    <t xml:space="preserve">NPS-06732</t>
  </si>
  <si>
    <t xml:space="preserve">NPS-07225</t>
  </si>
  <si>
    <t xml:space="preserve">NPS-00028</t>
  </si>
  <si>
    <t xml:space="preserve">NPS-00501</t>
  </si>
  <si>
    <t xml:space="preserve">NPS-00625</t>
  </si>
  <si>
    <t xml:space="preserve">NPS-00838</t>
  </si>
  <si>
    <t xml:space="preserve">NPS-01200</t>
  </si>
  <si>
    <t xml:space="preserve">NPS-01256</t>
  </si>
  <si>
    <t xml:space="preserve">NPS-01627</t>
  </si>
  <si>
    <t xml:space="preserve">NPS-02131</t>
  </si>
  <si>
    <t xml:space="preserve">NPS-02367</t>
  </si>
  <si>
    <t xml:space="preserve">NPS-02881</t>
  </si>
  <si>
    <t xml:space="preserve">NPS-02921</t>
  </si>
  <si>
    <t xml:space="preserve">NPS-02999</t>
  </si>
  <si>
    <t xml:space="preserve">NPS-03081</t>
  </si>
  <si>
    <t xml:space="preserve">NPS-03577</t>
  </si>
  <si>
    <t xml:space="preserve">NPS-03643</t>
  </si>
  <si>
    <t xml:space="preserve">NPS-03997</t>
  </si>
  <si>
    <t xml:space="preserve">NPS-04154</t>
  </si>
  <si>
    <t xml:space="preserve">NPS-04161</t>
  </si>
  <si>
    <t xml:space="preserve">NPS-04688</t>
  </si>
  <si>
    <t xml:space="preserve">NPS-04933</t>
  </si>
  <si>
    <t xml:space="preserve">NPS-05118</t>
  </si>
  <si>
    <t xml:space="preserve">NPS-05199</t>
  </si>
  <si>
    <t xml:space="preserve">NPS-05757</t>
  </si>
  <si>
    <t xml:space="preserve">NPS-06262</t>
  </si>
  <si>
    <t xml:space="preserve">NPS-06442</t>
  </si>
  <si>
    <t xml:space="preserve">NPS-06811</t>
  </si>
  <si>
    <t xml:space="preserve">NPS-07067</t>
  </si>
  <si>
    <t xml:space="preserve">NPS-07131</t>
  </si>
  <si>
    <t xml:space="preserve">NPS-00011</t>
  </si>
  <si>
    <t xml:space="preserve">NPS-00389</t>
  </si>
  <si>
    <t xml:space="preserve">NPS-00980</t>
  </si>
  <si>
    <t xml:space="preserve">NPS-01215</t>
  </si>
  <si>
    <t xml:space="preserve">NPS-01651</t>
  </si>
  <si>
    <t xml:space="preserve">NPS-01655</t>
  </si>
  <si>
    <t xml:space="preserve">NPS-02044</t>
  </si>
  <si>
    <t xml:space="preserve">NPS-02401</t>
  </si>
  <si>
    <t xml:space="preserve">NPS-02458</t>
  </si>
  <si>
    <t xml:space="preserve">NPS-02979</t>
  </si>
  <si>
    <t xml:space="preserve">NPS-03554</t>
  </si>
  <si>
    <t xml:space="preserve">NPS-03870</t>
  </si>
  <si>
    <t xml:space="preserve">NPS-03896</t>
  </si>
  <si>
    <t xml:space="preserve">NPS-04079</t>
  </si>
  <si>
    <t xml:space="preserve">NPS-04396</t>
  </si>
  <si>
    <t xml:space="preserve">NPS-04414</t>
  </si>
  <si>
    <t xml:space="preserve">NPS-04544</t>
  </si>
  <si>
    <t xml:space="preserve">NPS-04784</t>
  </si>
  <si>
    <t xml:space="preserve">NPS-05146</t>
  </si>
  <si>
    <t xml:space="preserve">NPS-05468</t>
  </si>
  <si>
    <t xml:space="preserve">NPS-05730</t>
  </si>
  <si>
    <t xml:space="preserve">NPS-05857</t>
  </si>
  <si>
    <t xml:space="preserve">NPS-05982</t>
  </si>
  <si>
    <t xml:space="preserve">NPS-06169</t>
  </si>
  <si>
    <t xml:space="preserve">NPS-06244</t>
  </si>
  <si>
    <t xml:space="preserve">NPS-06435</t>
  </si>
  <si>
    <t xml:space="preserve">NPS-06814</t>
  </si>
  <si>
    <t xml:space="preserve">NPS-00930</t>
  </si>
  <si>
    <t xml:space="preserve">NPS-00945</t>
  </si>
  <si>
    <t xml:space="preserve">NPS-01025</t>
  </si>
  <si>
    <t xml:space="preserve">NPS-01112</t>
  </si>
  <si>
    <t xml:space="preserve">NPS-01122</t>
  </si>
  <si>
    <t xml:space="preserve">NPS-01166</t>
  </si>
  <si>
    <t xml:space="preserve">NPS-02116</t>
  </si>
  <si>
    <t xml:space="preserve">NPS-02235</t>
  </si>
  <si>
    <t xml:space="preserve">NPS-02259</t>
  </si>
  <si>
    <t xml:space="preserve">NPS-03173</t>
  </si>
  <si>
    <t xml:space="preserve">NPS-03314</t>
  </si>
  <si>
    <t xml:space="preserve">NPS-03431</t>
  </si>
  <si>
    <t xml:space="preserve">NPS-04536</t>
  </si>
  <si>
    <t xml:space="preserve">NPS-04560</t>
  </si>
  <si>
    <t xml:space="preserve">NPS-04814</t>
  </si>
  <si>
    <t xml:space="preserve">NPS-05082</t>
  </si>
  <si>
    <t xml:space="preserve">NPS-05316</t>
  </si>
  <si>
    <t xml:space="preserve">NPS-05343</t>
  </si>
  <si>
    <t xml:space="preserve">NPS-05439</t>
  </si>
  <si>
    <t xml:space="preserve">NPS-05484</t>
  </si>
  <si>
    <t xml:space="preserve">NPS-05852</t>
  </si>
  <si>
    <t xml:space="preserve">NPS-06500</t>
  </si>
  <si>
    <t xml:space="preserve">NPS-06957</t>
  </si>
  <si>
    <t xml:space="preserve">NPS-00383</t>
  </si>
  <si>
    <t xml:space="preserve">NPS-00431</t>
  </si>
  <si>
    <t xml:space="preserve">NPS-00568</t>
  </si>
  <si>
    <t xml:space="preserve">NPS-00811</t>
  </si>
  <si>
    <t xml:space="preserve">NPS-00922</t>
  </si>
  <si>
    <t xml:space="preserve">NPS-01035</t>
  </si>
  <si>
    <t xml:space="preserve">NPS-01292</t>
  </si>
  <si>
    <t xml:space="preserve">NPS-01725</t>
  </si>
  <si>
    <t xml:space="preserve">NPS-01765</t>
  </si>
  <si>
    <t xml:space="preserve">NPS-02292</t>
  </si>
  <si>
    <t xml:space="preserve">NPS-02528</t>
  </si>
  <si>
    <t xml:space="preserve">NPS-02728</t>
  </si>
  <si>
    <t xml:space="preserve">NPS-03035</t>
  </si>
  <si>
    <t xml:space="preserve">NPS-03264</t>
  </si>
  <si>
    <t xml:space="preserve">NPS-03960</t>
  </si>
  <si>
    <t xml:space="preserve">NPS-04171</t>
  </si>
  <si>
    <t xml:space="preserve">NPS-04597</t>
  </si>
  <si>
    <t xml:space="preserve">NPS-04646</t>
  </si>
  <si>
    <t xml:space="preserve">NPS-04654</t>
  </si>
  <si>
    <t xml:space="preserve">NPS-04942</t>
  </si>
  <si>
    <t xml:space="preserve">NPS-05170</t>
  </si>
  <si>
    <t xml:space="preserve">NPS-05185</t>
  </si>
  <si>
    <t xml:space="preserve">NPS-05822</t>
  </si>
  <si>
    <t xml:space="preserve">NPS-05844</t>
  </si>
  <si>
    <t xml:space="preserve">NPS-06833</t>
  </si>
  <si>
    <t xml:space="preserve">NPS-06869</t>
  </si>
  <si>
    <t xml:space="preserve">NPS-06932</t>
  </si>
  <si>
    <t xml:space="preserve">NPS-00400</t>
  </si>
  <si>
    <t xml:space="preserve">NPS-00515</t>
  </si>
  <si>
    <t xml:space="preserve">NPS-00588</t>
  </si>
  <si>
    <t xml:space="preserve">NPS-00697</t>
  </si>
  <si>
    <t xml:space="preserve">NPS-00925</t>
  </si>
  <si>
    <t xml:space="preserve">NPS-01299</t>
  </si>
  <si>
    <t xml:space="preserve">NPS-01325</t>
  </si>
  <si>
    <t xml:space="preserve">NPS-01476</t>
  </si>
  <si>
    <t xml:space="preserve">NPS-01913</t>
  </si>
  <si>
    <t xml:space="preserve">NPS-02497</t>
  </si>
  <si>
    <t xml:space="preserve">NPS-02637</t>
  </si>
  <si>
    <t xml:space="preserve">NPS-02951</t>
  </si>
  <si>
    <t xml:space="preserve">NPS-03772</t>
  </si>
  <si>
    <t xml:space="preserve">NPS-03788</t>
  </si>
  <si>
    <t xml:space="preserve">NPS-04500</t>
  </si>
  <si>
    <t xml:space="preserve">NPS-04701</t>
  </si>
  <si>
    <t xml:space="preserve">NPS-04707</t>
  </si>
  <si>
    <t xml:space="preserve">NPS-05100</t>
  </si>
  <si>
    <t xml:space="preserve">NPS-05275</t>
  </si>
  <si>
    <t xml:space="preserve">NPS-05481</t>
  </si>
  <si>
    <t xml:space="preserve">NPS-05601</t>
  </si>
  <si>
    <t xml:space="preserve">NPS-05936</t>
  </si>
  <si>
    <t xml:space="preserve">NPS-06939</t>
  </si>
  <si>
    <t xml:space="preserve">NPS-07006</t>
  </si>
  <si>
    <t xml:space="preserve">NPS-07065</t>
  </si>
  <si>
    <t xml:space="preserve">NPS-00083</t>
  </si>
  <si>
    <t xml:space="preserve">NPS-00212</t>
  </si>
  <si>
    <t xml:space="preserve">NPS-00244</t>
  </si>
  <si>
    <t xml:space="preserve">NPS-00450</t>
  </si>
  <si>
    <t xml:space="preserve">NPS-01210</t>
  </si>
  <si>
    <t xml:space="preserve">NPS-01361</t>
  </si>
  <si>
    <t xml:space="preserve">NPS-01960</t>
  </si>
  <si>
    <t xml:space="preserve">NPS-01978</t>
  </si>
  <si>
    <t xml:space="preserve">NPS-02027</t>
  </si>
  <si>
    <t xml:space="preserve">NPS-02178</t>
  </si>
  <si>
    <t xml:space="preserve">NPS-03332</t>
  </si>
  <si>
    <t xml:space="preserve">NPS-04069</t>
  </si>
  <si>
    <t xml:space="preserve">NPS-05005</t>
  </si>
  <si>
    <t xml:space="preserve">NPS-05048</t>
  </si>
  <si>
    <t xml:space="preserve">NPS-05779</t>
  </si>
  <si>
    <t xml:space="preserve">NPS-05791</t>
  </si>
  <si>
    <t xml:space="preserve">NPS-06341</t>
  </si>
  <si>
    <t xml:space="preserve">NPS-06346</t>
  </si>
  <si>
    <t xml:space="preserve">NPS-06669</t>
  </si>
  <si>
    <t xml:space="preserve">NPS-06694</t>
  </si>
  <si>
    <t xml:space="preserve">NPS-06927</t>
  </si>
  <si>
    <t xml:space="preserve">NPS-06948</t>
  </si>
  <si>
    <t xml:space="preserve">NPS-00131</t>
  </si>
  <si>
    <t xml:space="preserve">NPS-00272</t>
  </si>
  <si>
    <t xml:space="preserve">NPS-00766</t>
  </si>
  <si>
    <t xml:space="preserve">NPS-01064</t>
  </si>
  <si>
    <t xml:space="preserve">NPS-01426</t>
  </si>
  <si>
    <t xml:space="preserve">NPS-02473</t>
  </si>
  <si>
    <t xml:space="preserve">NPS-02540</t>
  </si>
  <si>
    <t xml:space="preserve">NPS-02594</t>
  </si>
  <si>
    <t xml:space="preserve">NPS-02703</t>
  </si>
  <si>
    <t xml:space="preserve">NPS-02794</t>
  </si>
  <si>
    <t xml:space="preserve">NPS-03019</t>
  </si>
  <si>
    <t xml:space="preserve">NPS-03144</t>
  </si>
  <si>
    <t xml:space="preserve">NPS-03428</t>
  </si>
  <si>
    <t xml:space="preserve">NPS-03860</t>
  </si>
  <si>
    <t xml:space="preserve">NPS-04399</t>
  </si>
  <si>
    <t xml:space="preserve">NPS-04486</t>
  </si>
  <si>
    <t xml:space="preserve">NPS-05219</t>
  </si>
  <si>
    <t xml:space="preserve">NPS-05245</t>
  </si>
  <si>
    <t xml:space="preserve">NPS-05699</t>
  </si>
  <si>
    <t xml:space="preserve">NPS-06186</t>
  </si>
  <si>
    <t xml:space="preserve">NPS-06630</t>
  </si>
  <si>
    <t xml:space="preserve">NPS-06749</t>
  </si>
  <si>
    <t xml:space="preserve">NPS-06840</t>
  </si>
  <si>
    <t xml:space="preserve">NPS-06971</t>
  </si>
  <si>
    <t xml:space="preserve">NPS-00072</t>
  </si>
  <si>
    <t xml:space="preserve">NPS-00110</t>
  </si>
  <si>
    <t xml:space="preserve">NPS-00264</t>
  </si>
  <si>
    <t xml:space="preserve">NPS-00646</t>
  </si>
  <si>
    <t xml:space="preserve">NPS-00760</t>
  </si>
  <si>
    <t xml:space="preserve">NPS-00881</t>
  </si>
  <si>
    <t xml:space="preserve">NPS-00989</t>
  </si>
  <si>
    <t xml:space="preserve">NPS-01286</t>
  </si>
  <si>
    <t xml:space="preserve">NPS-01419</t>
  </si>
  <si>
    <t xml:space="preserve">NPS-01452</t>
  </si>
  <si>
    <t xml:space="preserve">NPS-01923</t>
  </si>
  <si>
    <t xml:space="preserve">NPS-02242</t>
  </si>
  <si>
    <t xml:space="preserve">NPS-02341</t>
  </si>
  <si>
    <t xml:space="preserve">NPS-02490</t>
  </si>
  <si>
    <t xml:space="preserve">NPS-02799</t>
  </si>
  <si>
    <t xml:space="preserve">NPS-03616</t>
  </si>
  <si>
    <t xml:space="preserve">NPS-03838</t>
  </si>
  <si>
    <t xml:space="preserve">NPS-03957</t>
  </si>
  <si>
    <t xml:space="preserve">NPS-04354</t>
  </si>
  <si>
    <t xml:space="preserve">NPS-04581</t>
  </si>
  <si>
    <t xml:space="preserve">NPS-05024</t>
  </si>
  <si>
    <t xml:space="preserve">NPS-05155</t>
  </si>
  <si>
    <t xml:space="preserve">NPS-05160</t>
  </si>
  <si>
    <t xml:space="preserve">NPS-05411</t>
  </si>
  <si>
    <t xml:space="preserve">NPS-05429</t>
  </si>
  <si>
    <t xml:space="preserve">NPS-05891</t>
  </si>
  <si>
    <t xml:space="preserve">NPS-06077</t>
  </si>
  <si>
    <t xml:space="preserve">NPS-06418</t>
  </si>
  <si>
    <t xml:space="preserve">NPS-07275</t>
  </si>
  <si>
    <t xml:space="preserve">NPS-00095</t>
  </si>
  <si>
    <t xml:space="preserve">NPS-00151</t>
  </si>
  <si>
    <t xml:space="preserve">NPS-00620</t>
  </si>
  <si>
    <t xml:space="preserve">NPS-00683</t>
  </si>
  <si>
    <t xml:space="preserve">NPS-01414</t>
  </si>
  <si>
    <t xml:space="preserve">NPS-01619</t>
  </si>
  <si>
    <t xml:space="preserve">NPS-02467</t>
  </si>
  <si>
    <t xml:space="preserve">NPS-03066</t>
  </si>
  <si>
    <t xml:space="preserve">NPS-04117</t>
  </si>
  <si>
    <t xml:space="preserve">NPS-04201</t>
  </si>
  <si>
    <t xml:space="preserve">NPS-04557</t>
  </si>
  <si>
    <t xml:space="preserve">NPS-04679</t>
  </si>
  <si>
    <t xml:space="preserve">NPS-04730</t>
  </si>
  <si>
    <t xml:space="preserve">NPS-04771</t>
  </si>
  <si>
    <t xml:space="preserve">NPS-05043</t>
  </si>
  <si>
    <t xml:space="preserve">NPS-05208</t>
  </si>
  <si>
    <t xml:space="preserve">NPS-05942</t>
  </si>
  <si>
    <t xml:space="preserve">NPS-06197</t>
  </si>
  <si>
    <t xml:space="preserve">NPS-06295</t>
  </si>
  <si>
    <t xml:space="preserve">NPS-06512</t>
  </si>
  <si>
    <t xml:space="preserve">NPS-06568</t>
  </si>
  <si>
    <t xml:space="preserve">NPS-06981</t>
  </si>
  <si>
    <t xml:space="preserve">NPS-07136</t>
  </si>
  <si>
    <t xml:space="preserve">NPS-00409</t>
  </si>
  <si>
    <t xml:space="preserve">NPS-00818</t>
  </si>
  <si>
    <t xml:space="preserve">NPS-00846</t>
  </si>
  <si>
    <t xml:space="preserve">NPS-00961</t>
  </si>
  <si>
    <t xml:space="preserve">NPS-01236</t>
  </si>
  <si>
    <t xml:space="preserve">NPS-01334</t>
  </si>
  <si>
    <t xml:space="preserve">NPS-01595</t>
  </si>
  <si>
    <t xml:space="preserve">NPS-01741</t>
  </si>
  <si>
    <t xml:space="preserve">NPS-01775</t>
  </si>
  <si>
    <t xml:space="preserve">NPS-03309</t>
  </si>
  <si>
    <t xml:space="preserve">NPS-03361</t>
  </si>
  <si>
    <t xml:space="preserve">NPS-03374</t>
  </si>
  <si>
    <t xml:space="preserve">NPS-03943</t>
  </si>
  <si>
    <t xml:space="preserve">NPS-04311</t>
  </si>
  <si>
    <t xml:space="preserve">NPS-04603</t>
  </si>
  <si>
    <t xml:space="preserve">NPS-05402</t>
  </si>
  <si>
    <t xml:space="preserve">NPS-06329</t>
  </si>
  <si>
    <t xml:space="preserve">NPS-06379</t>
  </si>
  <si>
    <t xml:space="preserve">NPS-06502</t>
  </si>
  <si>
    <t xml:space="preserve">NPS-06737</t>
  </si>
  <si>
    <t xml:space="preserve">NPS-00074</t>
  </si>
  <si>
    <t xml:space="preserve">NPS-00373</t>
  </si>
  <si>
    <t xml:space="preserve">NPS-00919</t>
  </si>
  <si>
    <t xml:space="preserve">NPS-01377</t>
  </si>
  <si>
    <t xml:space="preserve">NPS-01575</t>
  </si>
  <si>
    <t xml:space="preserve">NPS-01925</t>
  </si>
  <si>
    <t xml:space="preserve">NPS-02311</t>
  </si>
  <si>
    <t xml:space="preserve">NPS-02963</t>
  </si>
  <si>
    <t xml:space="preserve">NPS-03103</t>
  </si>
  <si>
    <t xml:space="preserve">NPS-03171</t>
  </si>
  <si>
    <t xml:space="preserve">NPS-03434</t>
  </si>
  <si>
    <t xml:space="preserve">NPS-03449</t>
  </si>
  <si>
    <t xml:space="preserve">NPS-04221</t>
  </si>
  <si>
    <t xml:space="preserve">NPS-04331</t>
  </si>
  <si>
    <t xml:space="preserve">NPS-04365</t>
  </si>
  <si>
    <t xml:space="preserve">NPS-04434</t>
  </si>
  <si>
    <t xml:space="preserve">NPS-04883</t>
  </si>
  <si>
    <t xml:space="preserve">NPS-05259</t>
  </si>
  <si>
    <t xml:space="preserve">NPS-05489</t>
  </si>
  <si>
    <t xml:space="preserve">NPS-05562</t>
  </si>
  <si>
    <t xml:space="preserve">NPS-05827</t>
  </si>
  <si>
    <t xml:space="preserve">NPS-06000</t>
  </si>
  <si>
    <t xml:space="preserve">NPS-06108</t>
  </si>
  <si>
    <t xml:space="preserve">NPS-06252</t>
  </si>
  <si>
    <t xml:space="preserve">NPS-07086</t>
  </si>
  <si>
    <t xml:space="preserve">NPS-07200</t>
  </si>
  <si>
    <t xml:space="preserve">NPS-07220</t>
  </si>
  <si>
    <t xml:space="preserve">NPS-00123</t>
  </si>
  <si>
    <t xml:space="preserve">NPS-00312</t>
  </si>
  <si>
    <t xml:space="preserve">NPS-00339</t>
  </si>
  <si>
    <t xml:space="preserve">NPS-00343</t>
  </si>
  <si>
    <t xml:space="preserve">NPS-00566</t>
  </si>
  <si>
    <t xml:space="preserve">NPS-00710</t>
  </si>
  <si>
    <t xml:space="preserve">NPS-01696</t>
  </si>
  <si>
    <t xml:space="preserve">NPS-01958</t>
  </si>
  <si>
    <t xml:space="preserve">NPS-02065</t>
  </si>
  <si>
    <t xml:space="preserve">NPS-02105</t>
  </si>
  <si>
    <t xml:space="preserve">NPS-02251</t>
  </si>
  <si>
    <t xml:space="preserve">NPS-02375</t>
  </si>
  <si>
    <t xml:space="preserve">NPS-02603</t>
  </si>
  <si>
    <t xml:space="preserve">NPS-02752</t>
  </si>
  <si>
    <t xml:space="preserve">NPS-03042</t>
  </si>
  <si>
    <t xml:space="preserve">NPS-03110</t>
  </si>
  <si>
    <t xml:space="preserve">NPS-03464</t>
  </si>
  <si>
    <t xml:space="preserve">NPS-03502</t>
  </si>
  <si>
    <t xml:space="preserve">NPS-03582</t>
  </si>
  <si>
    <t xml:space="preserve">NPS-04439</t>
  </si>
  <si>
    <t xml:space="preserve">NPS-04516</t>
  </si>
  <si>
    <t xml:space="preserve">NPS-04565</t>
  </si>
  <si>
    <t xml:space="preserve">NPS-04888</t>
  </si>
  <si>
    <t xml:space="preserve">NPS-05267</t>
  </si>
  <si>
    <t xml:space="preserve">NPS-05330</t>
  </si>
  <si>
    <t xml:space="preserve">NPS-05509</t>
  </si>
  <si>
    <t xml:space="preserve">NPS-05863</t>
  </si>
  <si>
    <t xml:space="preserve">NPS-05899</t>
  </si>
  <si>
    <t xml:space="preserve">NPS-05985</t>
  </si>
  <si>
    <t xml:space="preserve">NPS-06146</t>
  </si>
  <si>
    <t xml:space="preserve">NPS-06460</t>
  </si>
  <si>
    <t xml:space="preserve">NPS-06489</t>
  </si>
  <si>
    <t xml:space="preserve">NPS-06677</t>
  </si>
  <si>
    <t xml:space="preserve">NPS-06792</t>
  </si>
  <si>
    <t xml:space="preserve">NPS-00254</t>
  </si>
  <si>
    <t xml:space="preserve">NPS-00969</t>
  </si>
  <si>
    <t xml:space="preserve">NPS-01263</t>
  </si>
  <si>
    <t xml:space="preserve">NPS-01366</t>
  </si>
  <si>
    <t xml:space="preserve">NPS-01869</t>
  </si>
  <si>
    <t xml:space="preserve">NPS-01874</t>
  </si>
  <si>
    <t xml:space="preserve">NPS-02177</t>
  </si>
  <si>
    <t xml:space="preserve">NPS-02495</t>
  </si>
  <si>
    <t xml:space="preserve">NPS-02519</t>
  </si>
  <si>
    <t xml:space="preserve">NPS-03221</t>
  </si>
  <si>
    <t xml:space="preserve">NPS-03412</t>
  </si>
  <si>
    <t xml:space="preserve">NPS-03469</t>
  </si>
  <si>
    <t xml:space="preserve">NPS-03631</t>
  </si>
  <si>
    <t xml:space="preserve">NPS-04011</t>
  </si>
  <si>
    <t xml:space="preserve">NPS-04244</t>
  </si>
  <si>
    <t xml:space="preserve">NPS-04447</t>
  </si>
  <si>
    <t xml:space="preserve">NPS-04465</t>
  </si>
  <si>
    <t xml:space="preserve">NPS-04674</t>
  </si>
  <si>
    <t xml:space="preserve">NPS-04715</t>
  </si>
  <si>
    <t xml:space="preserve">NPS-04835</t>
  </si>
  <si>
    <t xml:space="preserve">NPS-05620</t>
  </si>
  <si>
    <t xml:space="preserve">NPS-05826</t>
  </si>
  <si>
    <t xml:space="preserve">NPS-06143</t>
  </si>
  <si>
    <t xml:space="preserve">NPS-06311</t>
  </si>
  <si>
    <t xml:space="preserve">NPS-06606</t>
  </si>
  <si>
    <t xml:space="preserve">NPS-06685</t>
  </si>
  <si>
    <t xml:space="preserve">NPS-06742</t>
  </si>
  <si>
    <t xml:space="preserve">NPS-07149</t>
  </si>
  <si>
    <t xml:space="preserve">NPS-07251</t>
  </si>
  <si>
    <t xml:space="preserve">NPS-07287</t>
  </si>
  <si>
    <t xml:space="preserve">NPS-00115</t>
  </si>
  <si>
    <t xml:space="preserve">NPS-00160</t>
  </si>
  <si>
    <t xml:space="preserve">NPS-00170</t>
  </si>
  <si>
    <t xml:space="preserve">NPS-00458</t>
  </si>
  <si>
    <t xml:space="preserve">NPS-00510</t>
  </si>
  <si>
    <t xml:space="preserve">NPS-01462</t>
  </si>
  <si>
    <t xml:space="preserve">NPS-02078</t>
  </si>
  <si>
    <t xml:space="preserve">NPS-02316</t>
  </si>
  <si>
    <t xml:space="preserve">NPS-03876</t>
  </si>
  <si>
    <t xml:space="preserve">NPS-03916</t>
  </si>
  <si>
    <t xml:space="preserve">NPS-03992</t>
  </si>
  <si>
    <t xml:space="preserve">NPS-04040</t>
  </si>
  <si>
    <t xml:space="preserve">NPS-05325</t>
  </si>
  <si>
    <t xml:space="preserve">NPS-05447</t>
  </si>
  <si>
    <t xml:space="preserve">NPS-05528</t>
  </si>
  <si>
    <t xml:space="preserve">NPS-06084</t>
  </si>
  <si>
    <t xml:space="preserve">NPS-06619</t>
  </si>
  <si>
    <t xml:space="preserve">NPS-06635</t>
  </si>
  <si>
    <t xml:space="preserve">NPS-07195</t>
  </si>
  <si>
    <t xml:space="preserve">NPS-00211</t>
  </si>
  <si>
    <t xml:space="preserve">NPS-00866</t>
  </si>
  <si>
    <t xml:space="preserve">NPS-00964</t>
  </si>
  <si>
    <t xml:space="preserve">NPS-01182</t>
  </si>
  <si>
    <t xml:space="preserve">NPS-02530</t>
  </si>
  <si>
    <t xml:space="preserve">NPS-02546</t>
  </si>
  <si>
    <t xml:space="preserve">NPS-02884</t>
  </si>
  <si>
    <t xml:space="preserve">NPS-03155</t>
  </si>
  <si>
    <t xml:space="preserve">NPS-03259</t>
  </si>
  <si>
    <t xml:space="preserve">NPS-03275</t>
  </si>
  <si>
    <t xml:space="preserve">NPS-03320</t>
  </si>
  <si>
    <t xml:space="preserve">NPS-03710</t>
  </si>
  <si>
    <t xml:space="preserve">NPS-04215</t>
  </si>
  <si>
    <t xml:space="preserve">NPS-04388</t>
  </si>
  <si>
    <t xml:space="preserve">NPS-04664</t>
  </si>
  <si>
    <t xml:space="preserve">NPS-04700</t>
  </si>
  <si>
    <t xml:space="preserve">NPS-04952</t>
  </si>
  <si>
    <t xml:space="preserve">NPS-05037</t>
  </si>
  <si>
    <t xml:space="preserve">NPS-05141</t>
  </si>
  <si>
    <t xml:space="preserve">NPS-05319</t>
  </si>
  <si>
    <t xml:space="preserve">NPS-05518</t>
  </si>
  <si>
    <t xml:space="preserve">NPS-05623</t>
  </si>
  <si>
    <t xml:space="preserve">NPS-05784</t>
  </si>
  <si>
    <t xml:space="preserve">NPS-05819</t>
  </si>
  <si>
    <t xml:space="preserve">NPS-06164</t>
  </si>
  <si>
    <t xml:space="preserve">NPS-06227</t>
  </si>
  <si>
    <t xml:space="preserve">ACC-12220</t>
  </si>
  <si>
    <t xml:space="preserve">NPS-07074</t>
  </si>
  <si>
    <t xml:space="preserve">NPS-00412</t>
  </si>
  <si>
    <t xml:space="preserve">NPS-00477</t>
  </si>
  <si>
    <t xml:space="preserve">NPS-00638</t>
  </si>
  <si>
    <t xml:space="preserve">NPS-00886</t>
  </si>
  <si>
    <t xml:space="preserve">NPS-00923</t>
  </si>
  <si>
    <t xml:space="preserve">NPS-01268</t>
  </si>
  <si>
    <t xml:space="preserve">NPS-01548</t>
  </si>
  <si>
    <t xml:space="preserve">NPS-01878</t>
  </si>
  <si>
    <t xml:space="preserve">NPS-02297</t>
  </si>
  <si>
    <t xml:space="preserve">NPS-02326</t>
  </si>
  <si>
    <t xml:space="preserve">NPS-02374</t>
  </si>
  <si>
    <t xml:space="preserve">NPS-03311</t>
  </si>
  <si>
    <t xml:space="preserve">NPS-03721</t>
  </si>
  <si>
    <t xml:space="preserve">NPS-03771</t>
  </si>
  <si>
    <t xml:space="preserve">NPS-03783</t>
  </si>
  <si>
    <t xml:space="preserve">NPS-03929</t>
  </si>
  <si>
    <t xml:space="preserve">NPS-04142</t>
  </si>
  <si>
    <t xml:space="preserve">NPS-04474</t>
  </si>
  <si>
    <t xml:space="preserve">NPS-04669</t>
  </si>
  <si>
    <t xml:space="preserve">NPS-04809</t>
  </si>
  <si>
    <t xml:space="preserve">NPS-05324</t>
  </si>
  <si>
    <t xml:space="preserve">NPS-05787</t>
  </si>
  <si>
    <t xml:space="preserve">NPS-06445</t>
  </si>
  <si>
    <t xml:space="preserve">NPS-06626</t>
  </si>
  <si>
    <t xml:space="preserve">NPS-07247</t>
  </si>
  <si>
    <t xml:space="preserve">NPS-00702</t>
  </si>
  <si>
    <t xml:space="preserve">NPS-01300</t>
  </si>
  <si>
    <t xml:space="preserve">NPS-01383</t>
  </si>
  <si>
    <t xml:space="preserve">NPS-02562</t>
  </si>
  <si>
    <t xml:space="preserve">NPS-02681</t>
  </si>
  <si>
    <t xml:space="preserve">NPS-02952</t>
  </si>
  <si>
    <t xml:space="preserve">NPS-03257</t>
  </si>
  <si>
    <t xml:space="preserve">NPS-03621</t>
  </si>
  <si>
    <t xml:space="preserve">NPS-04104</t>
  </si>
  <si>
    <t xml:space="preserve">NPS-04349</t>
  </si>
  <si>
    <t xml:space="preserve">NPS-04452</t>
  </si>
  <si>
    <t xml:space="preserve">NPS-04624</t>
  </si>
  <si>
    <t xml:space="preserve">NPS-05032</t>
  </si>
  <si>
    <t xml:space="preserve">NPS-05588</t>
  </si>
  <si>
    <t xml:space="preserve">NPS-05613</t>
  </si>
  <si>
    <t xml:space="preserve">NPS-05835</t>
  </si>
  <si>
    <t xml:space="preserve">NPS-05886</t>
  </si>
  <si>
    <t xml:space="preserve">NPS-06727</t>
  </si>
  <si>
    <t xml:space="preserve">NPS-06995</t>
  </si>
  <si>
    <t xml:space="preserve">NPS-07210</t>
  </si>
  <si>
    <t xml:space="preserve">NPS-07282</t>
  </si>
  <si>
    <t xml:space="preserve">NPS-00407</t>
  </si>
  <si>
    <t xml:space="preserve">NPS-00453</t>
  </si>
  <si>
    <t xml:space="preserve">NPS-00595</t>
  </si>
  <si>
    <t xml:space="preserve">NPS-01301</t>
  </si>
  <si>
    <t xml:space="preserve">NPS-02700</t>
  </si>
  <si>
    <t xml:space="preserve">NPS-02745</t>
  </si>
  <si>
    <t xml:space="preserve">NPS-03022</t>
  </si>
  <si>
    <t xml:space="preserve">NPS-03819</t>
  </si>
  <si>
    <t xml:space="preserve">NPS-04083</t>
  </si>
  <si>
    <t xml:space="preserve">NPS-04641</t>
  </si>
  <si>
    <t xml:space="preserve">NPS-05974</t>
  </si>
  <si>
    <t xml:space="preserve">NPS-06563</t>
  </si>
  <si>
    <t xml:space="preserve">NPS-00277</t>
  </si>
  <si>
    <t xml:space="preserve">NPS-01271</t>
  </si>
  <si>
    <t xml:space="preserve">NPS-01492</t>
  </si>
  <si>
    <t xml:space="preserve">NPS-03728</t>
  </si>
  <si>
    <t xml:space="preserve">NPS-03807</t>
  </si>
  <si>
    <t xml:space="preserve">NPS-05090</t>
  </si>
  <si>
    <t xml:space="preserve">NPS-05583</t>
  </si>
  <si>
    <t xml:space="preserve">NPS-05752</t>
  </si>
  <si>
    <t xml:space="preserve">NPS-05950</t>
  </si>
  <si>
    <t xml:space="preserve">NPS-06021</t>
  </si>
  <si>
    <t xml:space="preserve">NPS-06158</t>
  </si>
  <si>
    <t xml:space="preserve">NPS-07166</t>
  </si>
  <si>
    <t xml:space="preserve">NPS-00378</t>
  </si>
  <si>
    <t xml:space="preserve">NPS-00615</t>
  </si>
  <si>
    <t xml:space="preserve">NPS-00731</t>
  </si>
  <si>
    <t xml:space="preserve">NPS-01168</t>
  </si>
  <si>
    <t xml:space="preserve">NPS-01806</t>
  </si>
  <si>
    <t xml:space="preserve">NPS-02697</t>
  </si>
  <si>
    <t xml:space="preserve">NPS-02960</t>
  </si>
  <si>
    <t xml:space="preserve">NPS-03023</t>
  </si>
  <si>
    <t xml:space="preserve">NPS-03835</t>
  </si>
  <si>
    <t xml:space="preserve">NPS-05085</t>
  </si>
  <si>
    <t xml:space="preserve">NPS-06859</t>
  </si>
  <si>
    <t xml:space="preserve">NPS-06926</t>
  </si>
  <si>
    <t xml:space="preserve">NPS-00579</t>
  </si>
  <si>
    <t xml:space="preserve">NPS-00816</t>
  </si>
  <si>
    <t xml:space="preserve">NPS-01565</t>
  </si>
  <si>
    <t xml:space="preserve">NPS-01904</t>
  </si>
  <si>
    <t xml:space="preserve">NPS-02784</t>
  </si>
  <si>
    <t xml:space="preserve">NPS-02876</t>
  </si>
  <si>
    <t xml:space="preserve">NPS-02984</t>
  </si>
  <si>
    <t xml:space="preserve">NPS-04487</t>
  </si>
  <si>
    <t xml:space="preserve">NPS-05240</t>
  </si>
  <si>
    <t xml:space="preserve">NPS-00278</t>
  </si>
  <si>
    <t xml:space="preserve">NPS-00926</t>
  </si>
  <si>
    <t xml:space="preserve">NPS-01468</t>
  </si>
  <si>
    <t xml:space="preserve">NPS-01633</t>
  </si>
  <si>
    <t xml:space="preserve">NPS-01818</t>
  </si>
  <si>
    <t xml:space="preserve">NPS-02387</t>
  </si>
  <si>
    <t xml:space="preserve">NPS-03136</t>
  </si>
  <si>
    <t xml:space="preserve">NPS-03965</t>
  </si>
  <si>
    <t xml:space="preserve">NPS-04431</t>
  </si>
  <si>
    <t xml:space="preserve">NPS-05074</t>
  </si>
  <si>
    <t xml:space="preserve">NPS-05236</t>
  </si>
  <si>
    <t xml:space="preserve">NPS-05873</t>
  </si>
  <si>
    <t xml:space="preserve">NPS-06205</t>
  </si>
  <si>
    <t xml:space="preserve">NPS-06521</t>
  </si>
  <si>
    <t xml:space="preserve">NPS-07022</t>
  </si>
  <si>
    <t xml:space="preserve">NPS-07232</t>
  </si>
  <si>
    <t xml:space="preserve">NPS-01510</t>
  </si>
  <si>
    <t xml:space="preserve">NPS-02396</t>
  </si>
  <si>
    <t xml:space="preserve">NPS-02715</t>
  </si>
  <si>
    <t xml:space="preserve">NPS-03423</t>
  </si>
  <si>
    <t xml:space="preserve">NPS-03688</t>
  </si>
  <si>
    <t xml:space="preserve">NPS-06131</t>
  </si>
  <si>
    <t xml:space="preserve">NPS-06801</t>
  </si>
  <si>
    <t xml:space="preserve">NPS-00299</t>
  </si>
  <si>
    <t xml:space="preserve">NPS-00761</t>
  </si>
  <si>
    <t xml:space="preserve">NPS-00775</t>
  </si>
  <si>
    <t xml:space="preserve">NPS-00780</t>
  </si>
  <si>
    <t xml:space="preserve">NPS-01422</t>
  </si>
  <si>
    <t xml:space="preserve">NPS-01924</t>
  </si>
  <si>
    <t xml:space="preserve">ACC-10669</t>
  </si>
  <si>
    <t xml:space="preserve">NPS-03145</t>
  </si>
  <si>
    <t xml:space="preserve">NPS-03310</t>
  </si>
  <si>
    <t xml:space="preserve">NPS-03587</t>
  </si>
  <si>
    <t xml:space="preserve">NPS-03661</t>
  </si>
  <si>
    <t xml:space="preserve">NPS-04720</t>
  </si>
  <si>
    <t xml:space="preserve">NPS-04989</t>
  </si>
  <si>
    <t xml:space="preserve">NPS-05193</t>
  </si>
  <si>
    <t xml:space="preserve">NPS-05415</t>
  </si>
  <si>
    <t xml:space="preserve">NPS-07160</t>
  </si>
  <si>
    <t xml:space="preserve">NPS-00017</t>
  </si>
  <si>
    <t xml:space="preserve">NPS-00675</t>
  </si>
  <si>
    <t xml:space="preserve">NPS-01640</t>
  </si>
  <si>
    <t xml:space="preserve">NPS-02279</t>
  </si>
  <si>
    <t xml:space="preserve">NPS-03093</t>
  </si>
  <si>
    <t xml:space="preserve">NPS-03112</t>
  </si>
  <si>
    <t xml:space="preserve">NPS-03252</t>
  </si>
  <si>
    <t xml:space="preserve">NPS-03326</t>
  </si>
  <si>
    <t xml:space="preserve">ACC-11173</t>
  </si>
  <si>
    <t xml:space="preserve">NPS-03832</t>
  </si>
  <si>
    <t xml:space="preserve">NPS-06964</t>
  </si>
  <si>
    <t xml:space="preserve">NPS-00716</t>
  </si>
  <si>
    <t xml:space="preserve">NPS-01463</t>
  </si>
  <si>
    <t xml:space="preserve">NPS-01953</t>
  </si>
  <si>
    <t xml:space="preserve">ACC-10679</t>
  </si>
  <si>
    <t xml:space="preserve">NPS-02596</t>
  </si>
  <si>
    <t xml:space="preserve">NPS-03924</t>
  </si>
  <si>
    <t xml:space="preserve">NPS-04829</t>
  </si>
  <si>
    <t xml:space="preserve">NPS-05065</t>
  </si>
  <si>
    <t xml:space="preserve">NPS-07018</t>
  </si>
  <si>
    <t xml:space="preserve">NPS-00050</t>
  </si>
  <si>
    <t xml:space="preserve">NPS-00932</t>
  </si>
  <si>
    <t xml:space="preserve">NPS-03363</t>
  </si>
  <si>
    <t xml:space="preserve">NPS-03823</t>
  </si>
  <si>
    <t xml:space="preserve">NPS-04000</t>
  </si>
  <si>
    <t xml:space="preserve">NPS-04426</t>
  </si>
  <si>
    <t xml:space="preserve">NPS-04545</t>
  </si>
  <si>
    <t xml:space="preserve">ACC-11623</t>
  </si>
  <si>
    <t xml:space="preserve">NPS-04569</t>
  </si>
  <si>
    <t xml:space="preserve">NPS-04746</t>
  </si>
  <si>
    <t xml:space="preserve">NPS-05503</t>
  </si>
  <si>
    <t xml:space="preserve">NPS-06315</t>
  </si>
  <si>
    <t xml:space="preserve">NPS-00357</t>
  </si>
  <si>
    <t xml:space="preserve">NPS-00518</t>
  </si>
  <si>
    <t xml:space="preserve">NPS-01019</t>
  </si>
  <si>
    <t xml:space="preserve">NPS-01807</t>
  </si>
  <si>
    <t xml:space="preserve">NPS-02759</t>
  </si>
  <si>
    <t xml:space="preserve">NPS-03240</t>
  </si>
  <si>
    <t xml:space="preserve">NPS-04108</t>
  </si>
  <si>
    <t xml:space="preserve">NPS-04442</t>
  </si>
  <si>
    <t xml:space="preserve">NPS-04918</t>
  </si>
  <si>
    <t xml:space="preserve">NPS-06040</t>
  </si>
  <si>
    <t xml:space="preserve">NPS-06588</t>
  </si>
  <si>
    <t xml:space="preserve">NPS-00218</t>
  </si>
  <si>
    <t xml:space="preserve">NPS-00405</t>
  </si>
  <si>
    <t xml:space="preserve">NPS-04558</t>
  </si>
  <si>
    <t xml:space="preserve">NPS-05932</t>
  </si>
  <si>
    <t xml:space="preserve">NPS-06043</t>
  </si>
  <si>
    <t xml:space="preserve">NPS-06273</t>
  </si>
  <si>
    <t xml:space="preserve">NPS-06313</t>
  </si>
  <si>
    <t xml:space="preserve">NPS-06535</t>
  </si>
  <si>
    <t xml:space="preserve">NPS-00668</t>
  </si>
  <si>
    <t xml:space="preserve">ACC-10239</t>
  </si>
  <si>
    <t xml:space="preserve">NPS-01258</t>
  </si>
  <si>
    <t xml:space="preserve">NPS-01428</t>
  </si>
  <si>
    <t xml:space="preserve">NPS-02168</t>
  </si>
  <si>
    <t xml:space="preserve">NPS-03231</t>
  </si>
  <si>
    <t xml:space="preserve">NPS-03598</t>
  </si>
  <si>
    <t xml:space="preserve">NPS-03626</t>
  </si>
  <si>
    <t xml:space="preserve">NPS-04817</t>
  </si>
  <si>
    <t xml:space="preserve">NPS-04991</t>
  </si>
  <si>
    <t xml:space="preserve">NPS-05924</t>
  </si>
  <si>
    <t xml:space="preserve">NPS-07169</t>
  </si>
  <si>
    <t xml:space="preserve">NPS-07233</t>
  </si>
  <si>
    <t xml:space="preserve">NPS-07270</t>
  </si>
  <si>
    <t xml:space="preserve">NPS-00128</t>
  </si>
  <si>
    <t xml:space="preserve">NPS-00982</t>
  </si>
  <si>
    <t xml:space="preserve">NPS-00997</t>
  </si>
  <si>
    <t xml:space="preserve">NPS-01858</t>
  </si>
  <si>
    <t xml:space="preserve">NPS-02676</t>
  </si>
  <si>
    <t xml:space="preserve">NPS-03182</t>
  </si>
  <si>
    <t xml:space="preserve">NPS-03522</t>
  </si>
  <si>
    <t xml:space="preserve">NPS-04717</t>
  </si>
  <si>
    <t xml:space="preserve">NPS-06095</t>
  </si>
  <si>
    <t xml:space="preserve">NPS-06349</t>
  </si>
  <si>
    <t xml:space="preserve">NPS-07117</t>
  </si>
  <si>
    <t xml:space="preserve">NPS-00003</t>
  </si>
  <si>
    <t xml:space="preserve">NPS-00038</t>
  </si>
  <si>
    <t xml:space="preserve">NPS-00451</t>
  </si>
  <si>
    <t xml:space="preserve">NPS-01145</t>
  </si>
  <si>
    <t xml:space="preserve">NPS-01224</t>
  </si>
  <si>
    <t xml:space="preserve">NPS-01348</t>
  </si>
  <si>
    <t xml:space="preserve">NPS-02698</t>
  </si>
  <si>
    <t xml:space="preserve">NPS-02755</t>
  </si>
  <si>
    <t xml:space="preserve">NPS-04590</t>
  </si>
  <si>
    <t xml:space="preserve">NPS-04788</t>
  </si>
  <si>
    <t xml:space="preserve">NPS-04804</t>
  </si>
  <si>
    <t xml:space="preserve">NPS-06410</t>
  </si>
  <si>
    <t xml:space="preserve">NPS-06690</t>
  </si>
  <si>
    <t xml:space="preserve">NPS-00224</t>
  </si>
  <si>
    <t xml:space="preserve">NPS-00532</t>
  </si>
  <si>
    <t xml:space="preserve">NPS-00556</t>
  </si>
  <si>
    <t xml:space="preserve">NPS-00603</t>
  </si>
  <si>
    <t xml:space="preserve">NPS-00903</t>
  </si>
  <si>
    <t xml:space="preserve">NPS-01776</t>
  </si>
  <si>
    <t xml:space="preserve">NPS-02119</t>
  </si>
  <si>
    <t xml:space="preserve">NPS-04156</t>
  </si>
  <si>
    <t xml:space="preserve">NPS-06270</t>
  </si>
  <si>
    <t xml:space="preserve">NPS-06362</t>
  </si>
  <si>
    <t xml:space="preserve">NPS-06644</t>
  </si>
  <si>
    <t xml:space="preserve">NPS-06898</t>
  </si>
  <si>
    <t xml:space="preserve">NPS-06994</t>
  </si>
  <si>
    <t xml:space="preserve">NPS-07187</t>
  </si>
  <si>
    <t xml:space="preserve">NPS-00173</t>
  </si>
  <si>
    <t xml:space="preserve">NPS-00876</t>
  </si>
  <si>
    <t xml:space="preserve">NPS-01086</t>
  </si>
  <si>
    <t xml:space="preserve">NPS-01693</t>
  </si>
  <si>
    <t xml:space="preserve">NPS-01756</t>
  </si>
  <si>
    <t xml:space="preserve">NPS-02642</t>
  </si>
  <si>
    <t xml:space="preserve">NPS-03099</t>
  </si>
  <si>
    <t xml:space="preserve">NPS-03352</t>
  </si>
  <si>
    <t xml:space="preserve">NPS-03572</t>
  </si>
  <si>
    <t xml:space="preserve">NPS-03915</t>
  </si>
  <si>
    <t xml:space="preserve">NPS-06462</t>
  </si>
  <si>
    <t xml:space="preserve">NPS-07236</t>
  </si>
  <si>
    <t xml:space="preserve">NPS-00085</t>
  </si>
  <si>
    <t xml:space="preserve">NPS-02026</t>
  </si>
  <si>
    <t xml:space="preserve">NPS-02624</t>
  </si>
  <si>
    <t xml:space="preserve">NPS-03188</t>
  </si>
  <si>
    <t xml:space="preserve">NPS-04824</t>
  </si>
  <si>
    <t xml:space="preserve">NPS-04858</t>
  </si>
  <si>
    <t xml:space="preserve">NPS-06173</t>
  </si>
  <si>
    <t xml:space="preserve">NPS-06389</t>
  </si>
  <si>
    <t xml:space="preserve">NPS-06510</t>
  </si>
  <si>
    <t xml:space="preserve">NPS-00319</t>
  </si>
  <si>
    <t xml:space="preserve">NPS-01612</t>
  </si>
  <si>
    <t xml:space="preserve">NPS-04022</t>
  </si>
  <si>
    <t xml:space="preserve">NPS-04031</t>
  </si>
  <si>
    <t xml:space="preserve">NPS-04433</t>
  </si>
  <si>
    <t xml:space="preserve">NPS-04947</t>
  </si>
  <si>
    <t xml:space="preserve">NPS-05568</t>
  </si>
  <si>
    <t xml:space="preserve">NPS-05665</t>
  </si>
  <si>
    <t xml:space="preserve">NPS-06592</t>
  </si>
  <si>
    <t xml:space="preserve">NPS-06895</t>
  </si>
  <si>
    <t xml:space="preserve">NPS-06976</t>
  </si>
  <si>
    <t xml:space="preserve">NPS-00463</t>
  </si>
  <si>
    <t xml:space="preserve">NPS-00935</t>
  </si>
  <si>
    <t xml:space="preserve">NPS-01438</t>
  </si>
  <si>
    <t xml:space="preserve">NPS-01972</t>
  </si>
  <si>
    <t xml:space="preserve">NPS-02015</t>
  </si>
  <si>
    <t xml:space="preserve">NPS-03401</t>
  </si>
  <si>
    <t xml:space="preserve">NPS-04024</t>
  </si>
  <si>
    <t xml:space="preserve">NPS-04143</t>
  </si>
  <si>
    <t xml:space="preserve">NPS-04409</t>
  </si>
  <si>
    <t xml:space="preserve">NPS-05451</t>
  </si>
  <si>
    <t xml:space="preserve">NPS-05671</t>
  </si>
  <si>
    <t xml:space="preserve">NPS-05722</t>
  </si>
  <si>
    <t xml:space="preserve">NPS-06320</t>
  </si>
  <si>
    <t xml:space="preserve">NPS-00891</t>
  </si>
  <si>
    <t xml:space="preserve">NPS-01789</t>
  </si>
  <si>
    <t xml:space="preserve">NPS-03122</t>
  </si>
  <si>
    <t xml:space="preserve">NPS-03195</t>
  </si>
  <si>
    <t xml:space="preserve">NPS-04441</t>
  </si>
  <si>
    <t xml:space="preserve">NPS-04689</t>
  </si>
  <si>
    <t xml:space="preserve">NPS-05810</t>
  </si>
  <si>
    <t xml:space="preserve">NPS-06355</t>
  </si>
  <si>
    <t xml:space="preserve">NPS-06402</t>
  </si>
  <si>
    <t xml:space="preserve">NPS-00953</t>
  </si>
  <si>
    <t xml:space="preserve">NPS-02301</t>
  </si>
  <si>
    <t xml:space="preserve">NPS-02356</t>
  </si>
  <si>
    <t xml:space="preserve">NPS-03325</t>
  </si>
  <si>
    <t xml:space="preserve">NPS-04344</t>
  </si>
  <si>
    <t xml:space="preserve">NPS-05127</t>
  </si>
  <si>
    <t xml:space="preserve">NPS-05715</t>
  </si>
  <si>
    <t xml:space="preserve">NPS-06090</t>
  </si>
  <si>
    <t xml:space="preserve">NPS-06472</t>
  </si>
  <si>
    <t xml:space="preserve">NPS-06638</t>
  </si>
  <si>
    <t xml:space="preserve">NPS-03408</t>
  </si>
  <si>
    <t xml:space="preserve">NPS-03601</t>
  </si>
  <si>
    <t xml:space="preserve">NPS-04210</t>
  </si>
  <si>
    <t xml:space="preserve">NPS-04239</t>
  </si>
  <si>
    <t xml:space="preserve">NPS-04265</t>
  </si>
  <si>
    <t xml:space="preserve">NPS-04704</t>
  </si>
  <si>
    <t xml:space="preserve">NPS-05694</t>
  </si>
  <si>
    <t xml:space="preserve">NPS-00396</t>
  </si>
  <si>
    <t xml:space="preserve">NPS-01151</t>
  </si>
  <si>
    <t xml:space="preserve">NPS-01154</t>
  </si>
  <si>
    <t xml:space="preserve">NPS-02122</t>
  </si>
  <si>
    <t xml:space="preserve">NPS-03404</t>
  </si>
  <si>
    <t xml:space="preserve">NPS-04264</t>
  </si>
  <si>
    <t xml:space="preserve">NPS-04864</t>
  </si>
  <si>
    <t xml:space="preserve">NPS-05295</t>
  </si>
  <si>
    <t xml:space="preserve">NPS-05471</t>
  </si>
  <si>
    <t xml:space="preserve">NPS-05805</t>
  </si>
  <si>
    <t xml:space="preserve">NPS-05995</t>
  </si>
  <si>
    <t xml:space="preserve">NPS-06680</t>
  </si>
  <si>
    <t xml:space="preserve">NPS-06696</t>
  </si>
  <si>
    <t xml:space="preserve">NPS-06817</t>
  </si>
  <si>
    <t xml:space="preserve">NPS-06912</t>
  </si>
  <si>
    <t xml:space="preserve">NPS-03987</t>
  </si>
  <si>
    <t xml:space="preserve">NPS-06798</t>
  </si>
  <si>
    <t xml:space="preserve">NPS-00487</t>
  </si>
  <si>
    <t xml:space="preserve">NPS-02893</t>
  </si>
  <si>
    <t xml:space="preserve">NPS-03279</t>
  </si>
  <si>
    <t xml:space="preserve">NPS-03526</t>
  </si>
  <si>
    <t xml:space="preserve">NPS-03539</t>
  </si>
  <si>
    <t xml:space="preserve">NPS-05593</t>
  </si>
  <si>
    <t xml:space="preserve">NPS-05635</t>
  </si>
  <si>
    <t xml:space="preserve">NPS-07205</t>
  </si>
  <si>
    <t xml:space="preserve">NPS-00742</t>
  </si>
  <si>
    <t xml:space="preserve">NPS-01959</t>
  </si>
  <si>
    <t xml:space="preserve">NPS-01967</t>
  </si>
  <si>
    <t xml:space="preserve">NPS-02040</t>
  </si>
  <si>
    <t xml:space="preserve">NPS-02317</t>
  </si>
  <si>
    <t xml:space="preserve">NPS-02657</t>
  </si>
  <si>
    <t xml:space="preserve">NPS-02692</t>
  </si>
  <si>
    <t xml:space="preserve">NPS-02768</t>
  </si>
  <si>
    <t xml:space="preserve">NPS-03353</t>
  </si>
  <si>
    <t xml:space="preserve">NPS-04138</t>
  </si>
  <si>
    <t xml:space="preserve">NPS-05077</t>
  </si>
  <si>
    <t xml:space="preserve">NPS-05351</t>
  </si>
  <si>
    <t xml:space="preserve">NPS-05987</t>
  </si>
  <si>
    <t xml:space="preserve">NPS-06153</t>
  </si>
  <si>
    <t xml:space="preserve">NPS-06174</t>
  </si>
  <si>
    <t xml:space="preserve">NPS-06430</t>
  </si>
  <si>
    <t xml:space="preserve">NPS-06907</t>
  </si>
  <si>
    <t xml:space="preserve">NPS-07262</t>
  </si>
  <si>
    <t xml:space="preserve">NPS-00102</t>
  </si>
  <si>
    <t xml:space="preserve">NPS-01751</t>
  </si>
  <si>
    <t xml:space="preserve">NPS-02017</t>
  </si>
  <si>
    <t xml:space="preserve">NPS-02030</t>
  </si>
  <si>
    <t xml:space="preserve">NPS-02200</t>
  </si>
  <si>
    <t xml:space="preserve">NPS-02460</t>
  </si>
  <si>
    <t xml:space="preserve">NPS-03185</t>
  </si>
  <si>
    <t xml:space="preserve">NPS-05303</t>
  </si>
  <si>
    <t xml:space="preserve">NPS-06847</t>
  </si>
  <si>
    <t xml:space="preserve">NPS-00096</t>
  </si>
  <si>
    <t xml:space="preserve">ACC-10032</t>
  </si>
  <si>
    <t xml:space="preserve">NPS-00260</t>
  </si>
  <si>
    <t xml:space="preserve">NPS-02238</t>
  </si>
  <si>
    <t xml:space="preserve">NPS-03108</t>
  </si>
  <si>
    <t xml:space="preserve">NPS-03938</t>
  </si>
  <si>
    <t xml:space="preserve">NPS-04274</t>
  </si>
  <si>
    <t xml:space="preserve">NPS-05383</t>
  </si>
  <si>
    <t xml:space="preserve">NPS-05733</t>
  </si>
  <si>
    <t xml:space="preserve">NPS-05922</t>
  </si>
  <si>
    <t xml:space="preserve">NPS-06050</t>
  </si>
  <si>
    <t xml:space="preserve">NPS-06816</t>
  </si>
  <si>
    <t xml:space="preserve">ACC-12424</t>
  </si>
  <si>
    <t xml:space="preserve">NPS-07052</t>
  </si>
  <si>
    <t xml:space="preserve">NPS-00671</t>
  </si>
  <si>
    <t xml:space="preserve">NPS-00690</t>
  </si>
  <si>
    <t xml:space="preserve">NPS-00707</t>
  </si>
  <si>
    <t xml:space="preserve">NPS-02056</t>
  </si>
  <si>
    <t xml:space="preserve">NPS-03251</t>
  </si>
  <si>
    <t xml:space="preserve">NPS-04255</t>
  </si>
  <si>
    <t xml:space="preserve">NPS-05990</t>
  </si>
  <si>
    <t xml:space="preserve">NPS-06842</t>
  </si>
  <si>
    <t xml:space="preserve">NPS-00176</t>
  </si>
  <si>
    <t xml:space="preserve">NPS-00467</t>
  </si>
  <si>
    <t xml:space="preserve">NPS-00837</t>
  </si>
  <si>
    <t xml:space="preserve">NPS-00871</t>
  </si>
  <si>
    <t xml:space="preserve">NPS-01229</t>
  </si>
  <si>
    <t xml:space="preserve">NPS-01408</t>
  </si>
  <si>
    <t xml:space="preserve">NPS-02083</t>
  </si>
  <si>
    <t xml:space="preserve">NPS-02290</t>
  </si>
  <si>
    <t xml:space="preserve">NPS-02690</t>
  </si>
  <si>
    <t xml:space="preserve">NPS-04056</t>
  </si>
  <si>
    <t xml:space="preserve">NPS-04319</t>
  </si>
  <si>
    <t xml:space="preserve">NPS-05014</t>
  </si>
  <si>
    <t xml:space="preserve">NPS-05232</t>
  </si>
  <si>
    <t xml:space="preserve">NPS-05458</t>
  </si>
  <si>
    <t xml:space="preserve">NPS-05493</t>
  </si>
  <si>
    <t xml:space="preserve">NPS-06478</t>
  </si>
  <si>
    <t xml:space="preserve">NPS-06540</t>
  </si>
  <si>
    <t xml:space="preserve">NPS-06701</t>
  </si>
  <si>
    <t xml:space="preserve">NPS-00220</t>
  </si>
  <si>
    <t xml:space="preserve">NPS-00834</t>
  </si>
  <si>
    <t xml:space="preserve">NPS-01537</t>
  </si>
  <si>
    <t xml:space="preserve">NPS-01688</t>
  </si>
  <si>
    <t xml:space="preserve">NPS-02320</t>
  </si>
  <si>
    <t xml:space="preserve">NPS-02747</t>
  </si>
  <si>
    <t xml:space="preserve">NPS-03102</t>
  </si>
  <si>
    <t xml:space="preserve">NPS-03139</t>
  </si>
  <si>
    <t xml:space="preserve">NPS-03435</t>
  </si>
  <si>
    <t xml:space="preserve">NPS-05333</t>
  </si>
  <si>
    <t xml:space="preserve">NPS-05605</t>
  </si>
  <si>
    <t xml:space="preserve">NPS-06455</t>
  </si>
  <si>
    <t xml:space="preserve">NPS-00536</t>
  </si>
  <si>
    <t xml:space="preserve">NPS-00987</t>
  </si>
  <si>
    <t xml:space="preserve">NPS-01440</t>
  </si>
  <si>
    <t xml:space="preserve">NPS-01917</t>
  </si>
  <si>
    <t xml:space="preserve">NPS-03234</t>
  </si>
  <si>
    <t xml:space="preserve">NPS-03693</t>
  </si>
  <si>
    <t xml:space="preserve">NPS-03881</t>
  </si>
  <si>
    <t xml:space="preserve">NPS-04333</t>
  </si>
  <si>
    <t xml:space="preserve">NPS-04460</t>
  </si>
  <si>
    <t xml:space="preserve">NPS-05305</t>
  </si>
  <si>
    <t xml:space="preserve">NPS-05728</t>
  </si>
  <si>
    <t xml:space="preserve">NPS-06096</t>
  </si>
  <si>
    <t xml:space="preserve">NPS-06161</t>
  </si>
  <si>
    <t xml:space="preserve">NPS-06361</t>
  </si>
  <si>
    <t xml:space="preserve">NPS-00238</t>
  </si>
  <si>
    <t xml:space="preserve">NPS-00414</t>
  </si>
  <si>
    <t xml:space="preserve">NPS-01251</t>
  </si>
  <si>
    <t xml:space="preserve">NPS-02182</t>
  </si>
  <si>
    <t xml:space="preserve">NPS-04166</t>
  </si>
  <si>
    <t xml:space="preserve">NPS-04765</t>
  </si>
  <si>
    <t xml:space="preserve">NPS-05367</t>
  </si>
  <si>
    <t xml:space="preserve">NPS-05442</t>
  </si>
  <si>
    <t xml:space="preserve">NPS-05479</t>
  </si>
  <si>
    <t xml:space="preserve">ACC-11953</t>
  </si>
  <si>
    <t xml:space="preserve">NPS-06854</t>
  </si>
  <si>
    <t xml:space="preserve">NPS-00966</t>
  </si>
  <si>
    <t xml:space="preserve">NPS-01782</t>
  </si>
  <si>
    <t xml:space="preserve">NPS-02212</t>
  </si>
  <si>
    <t xml:space="preserve">NPS-03064</t>
  </si>
  <si>
    <t xml:space="preserve">NPS-03208</t>
  </si>
  <si>
    <t xml:space="preserve">NPS-04028</t>
  </si>
  <si>
    <t xml:space="preserve">NPS-04415</t>
  </si>
  <si>
    <t xml:space="preserve">NPS-05203</t>
  </si>
  <si>
    <t xml:space="preserve">NPS-05551</t>
  </si>
  <si>
    <t xml:space="preserve">NPS-05704</t>
  </si>
  <si>
    <t xml:space="preserve">NPS-06224</t>
  </si>
  <si>
    <t xml:space="preserve">NPS-00015</t>
  </si>
  <si>
    <t xml:space="preserve">NPS-01104</t>
  </si>
  <si>
    <t xml:space="preserve">NPS-03975</t>
  </si>
  <si>
    <t xml:space="preserve">NPS-04051</t>
  </si>
  <si>
    <t xml:space="preserve">NPS-04277</t>
  </si>
  <si>
    <t xml:space="preserve">NPS-06679</t>
  </si>
  <si>
    <t xml:space="preserve">NPS-06991</t>
  </si>
  <si>
    <t xml:space="preserve">NPS-00320</t>
  </si>
  <si>
    <t xml:space="preserve">ACC-10115</t>
  </si>
  <si>
    <t xml:space="preserve">NPS-02055</t>
  </si>
  <si>
    <t xml:space="preserve">NPS-02468</t>
  </si>
  <si>
    <t xml:space="preserve">NPS-02480</t>
  </si>
  <si>
    <t xml:space="preserve">NPS-03085</t>
  </si>
  <si>
    <t xml:space="preserve">NPS-03498</t>
  </si>
  <si>
    <t xml:space="preserve">NPS-04860</t>
  </si>
  <si>
    <t xml:space="preserve">NPS-05655</t>
  </si>
  <si>
    <t xml:space="preserve">NPS-05806</t>
  </si>
  <si>
    <t xml:space="preserve">NPS-06071</t>
  </si>
  <si>
    <t xml:space="preserve">NPS-06356</t>
  </si>
  <si>
    <t xml:space="preserve">NPS-06597</t>
  </si>
  <si>
    <t xml:space="preserve">NPS-00542</t>
  </si>
  <si>
    <t xml:space="preserve">NPS-01014</t>
  </si>
  <si>
    <t xml:space="preserve">NPS-01049</t>
  </si>
  <si>
    <t xml:space="preserve">NPS-01720</t>
  </si>
  <si>
    <t xml:space="preserve">NPS-02358</t>
  </si>
  <si>
    <t xml:space="preserve">NPS-02710</t>
  </si>
  <si>
    <t xml:space="preserve">NPS-02812</t>
  </si>
  <si>
    <t xml:space="preserve">NPS-02841</t>
  </si>
  <si>
    <t xml:space="preserve">NPS-05066</t>
  </si>
  <si>
    <t xml:space="preserve">NPS-06569</t>
  </si>
  <si>
    <t xml:space="preserve">NPS-00187</t>
  </si>
  <si>
    <t xml:space="preserve">NPS-01553</t>
  </si>
  <si>
    <t xml:space="preserve">NPS-01804</t>
  </si>
  <si>
    <t xml:space="preserve">NPS-02818</t>
  </si>
  <si>
    <t xml:space="preserve">NPS-02819</t>
  </si>
  <si>
    <t xml:space="preserve">NPS-04141</t>
  </si>
  <si>
    <t xml:space="preserve">NPS-05364</t>
  </si>
  <si>
    <t xml:space="preserve">NPS-05538</t>
  </si>
  <si>
    <t xml:space="preserve">NPS-06011</t>
  </si>
  <si>
    <t xml:space="preserve">NPS-06177</t>
  </si>
  <si>
    <t xml:space="preserve">NPS-06515</t>
  </si>
  <si>
    <t xml:space="preserve">NPS-06989</t>
  </si>
  <si>
    <t xml:space="preserve">NPS-00750</t>
  </si>
  <si>
    <t xml:space="preserve">NPS-01465</t>
  </si>
  <si>
    <t xml:space="preserve">NPS-01687</t>
  </si>
  <si>
    <t xml:space="preserve">NPS-02426</t>
  </si>
  <si>
    <t xml:space="preserve">NPS-02737</t>
  </si>
  <si>
    <t xml:space="preserve">NPS-03178</t>
  </si>
  <si>
    <t xml:space="preserve">NPS-03298</t>
  </si>
  <si>
    <t xml:space="preserve">NPS-03329</t>
  </si>
  <si>
    <t xml:space="preserve">NPS-03670</t>
  </si>
  <si>
    <t xml:space="preserve">ACC-11307</t>
  </si>
  <si>
    <t xml:space="preserve">NPS-04481</t>
  </si>
  <si>
    <t xml:space="preserve">NPS-04869</t>
  </si>
  <si>
    <t xml:space="preserve">NPS-04906</t>
  </si>
  <si>
    <t xml:space="preserve">NPS-06848</t>
  </si>
  <si>
    <t xml:space="preserve">NPS-01401</t>
  </si>
  <si>
    <t xml:space="preserve">NPS-01450</t>
  </si>
  <si>
    <t xml:space="preserve">NPS-02174</t>
  </si>
  <si>
    <t xml:space="preserve">NPS-03233</t>
  </si>
  <si>
    <t xml:space="preserve">NPS-05194</t>
  </si>
  <si>
    <t xml:space="preserve">NPS-06048</t>
  </si>
  <si>
    <t xml:space="preserve">NPS-06350</t>
  </si>
  <si>
    <t xml:space="preserve">NPS-06493</t>
  </si>
  <si>
    <t xml:space="preserve">NPS-06986</t>
  </si>
  <si>
    <t xml:space="preserve">NPS-00118</t>
  </si>
  <si>
    <t xml:space="preserve">NPS-00462</t>
  </si>
  <si>
    <t xml:space="preserve">NPS-00897</t>
  </si>
  <si>
    <t xml:space="preserve">NPS-01123</t>
  </si>
  <si>
    <t xml:space="preserve">NPS-01312</t>
  </si>
  <si>
    <t xml:space="preserve">NPS-02357</t>
  </si>
  <si>
    <t xml:space="preserve">NPS-02942</t>
  </si>
  <si>
    <t xml:space="preserve">NPS-04692</t>
  </si>
  <si>
    <t xml:space="preserve">NPS-05577</t>
  </si>
  <si>
    <t xml:space="preserve">NPS-00859</t>
  </si>
  <si>
    <t xml:space="preserve">NPS-00934</t>
  </si>
  <si>
    <t xml:space="preserve">NPS-01533</t>
  </si>
  <si>
    <t xml:space="preserve">NPS-01588</t>
  </si>
  <si>
    <t xml:space="preserve">NPS-01947</t>
  </si>
  <si>
    <t xml:space="preserve">NPS-02557</t>
  </si>
  <si>
    <t xml:space="preserve">NPS-02574</t>
  </si>
  <si>
    <t xml:space="preserve">NPS-02857</t>
  </si>
  <si>
    <t xml:space="preserve">NPS-04180</t>
  </si>
  <si>
    <t xml:space="preserve">NPS-04997</t>
  </si>
  <si>
    <t xml:space="preserve">NPS-05285</t>
  </si>
  <si>
    <t xml:space="preserve">NPS-06650</t>
  </si>
  <si>
    <t xml:space="preserve">NPS-06962</t>
  </si>
  <si>
    <t xml:space="preserve">NPS-07181</t>
  </si>
  <si>
    <t xml:space="preserve">NPS-07254</t>
  </si>
  <si>
    <t xml:space="preserve">NPS-00155</t>
  </si>
  <si>
    <t xml:space="preserve">NPS-01004</t>
  </si>
  <si>
    <t xml:space="preserve">NPS-01980</t>
  </si>
  <si>
    <t xml:space="preserve">NPS-02581</t>
  </si>
  <si>
    <t xml:space="preserve">NPS-03593</t>
  </si>
  <si>
    <t xml:space="preserve">NPS-04262</t>
  </si>
  <si>
    <t xml:space="preserve">NPS-04710</t>
  </si>
  <si>
    <t xml:space="preserve">NPS-04739</t>
  </si>
  <si>
    <t xml:space="preserve">NPS-05189</t>
  </si>
  <si>
    <t xml:space="preserve">NPS-05690</t>
  </si>
  <si>
    <t xml:space="preserve">NPS-05814</t>
  </si>
  <si>
    <t xml:space="preserve">NPS-06406</t>
  </si>
  <si>
    <t xml:space="preserve">NPS-06923</t>
  </si>
  <si>
    <t xml:space="preserve">NPS-00908</t>
  </si>
  <si>
    <t xml:space="preserve">NPS-03024</t>
  </si>
  <si>
    <t xml:space="preserve">NPS-03166</t>
  </si>
  <si>
    <t xml:space="preserve">NPS-03237</t>
  </si>
  <si>
    <t xml:space="preserve">NPS-03248</t>
  </si>
  <si>
    <t xml:space="preserve">NPS-03377</t>
  </si>
  <si>
    <t xml:space="preserve">NPS-03607</t>
  </si>
  <si>
    <t xml:space="preserve">NPS-04830</t>
  </si>
  <si>
    <t xml:space="preserve">NPS-05574</t>
  </si>
  <si>
    <t xml:space="preserve">NPS-06781</t>
  </si>
  <si>
    <t xml:space="preserve">NPS-06894</t>
  </si>
  <si>
    <t xml:space="preserve">NPS-06953</t>
  </si>
  <si>
    <t xml:space="preserve">NPS-00267</t>
  </si>
  <si>
    <t xml:space="preserve">NPS-00745</t>
  </si>
  <si>
    <t xml:space="preserve">NPS-01584</t>
  </si>
  <si>
    <t xml:space="preserve">NPS-02094</t>
  </si>
  <si>
    <t xml:space="preserve">NPS-02671</t>
  </si>
  <si>
    <t xml:space="preserve">NPS-02871</t>
  </si>
  <si>
    <t xml:space="preserve">NPS-03241</t>
  </si>
  <si>
    <t xml:space="preserve">NPS-03646</t>
  </si>
  <si>
    <t xml:space="preserve">NPS-04019</t>
  </si>
  <si>
    <t xml:space="preserve">NPS-05542</t>
  </si>
  <si>
    <t xml:space="preserve">NPS-05709</t>
  </si>
  <si>
    <t xml:space="preserve">NPS-06343</t>
  </si>
  <si>
    <t xml:space="preserve">NPS-00010</t>
  </si>
  <si>
    <t xml:space="preserve">NPS-00305</t>
  </si>
  <si>
    <t xml:space="preserve">NPS-00420</t>
  </si>
  <si>
    <t xml:space="preserve">NPS-01330</t>
  </si>
  <si>
    <t xml:space="preserve">NPS-02336</t>
  </si>
  <si>
    <t xml:space="preserve">NPS-02821</t>
  </si>
  <si>
    <t xml:space="preserve">NPS-03349</t>
  </si>
  <si>
    <t xml:space="preserve">NPS-03354</t>
  </si>
  <si>
    <t xml:space="preserve">NPS-03846</t>
  </si>
  <si>
    <t xml:space="preserve">NPS-03891</t>
  </si>
  <si>
    <t xml:space="preserve">NPS-04128</t>
  </si>
  <si>
    <t xml:space="preserve">NPS-05723</t>
  </si>
  <si>
    <t xml:space="preserve">NPS-05768</t>
  </si>
  <si>
    <t xml:space="preserve">NPS-05802</t>
  </si>
  <si>
    <t xml:space="preserve">NPS-00154</t>
  </si>
  <si>
    <t xml:space="preserve">NPS-00743</t>
  </si>
  <si>
    <t xml:space="preserve">NPS-00790</t>
  </si>
  <si>
    <t xml:space="preserve">NPS-01110</t>
  </si>
  <si>
    <t xml:space="preserve">NPS-02041</t>
  </si>
  <si>
    <t xml:space="preserve">NPS-02518</t>
  </si>
  <si>
    <t xml:space="preserve">NPS-02683</t>
  </si>
  <si>
    <t xml:space="preserve">NPS-02767</t>
  </si>
  <si>
    <t xml:space="preserve">NPS-02778</t>
  </si>
  <si>
    <t xml:space="preserve">NPS-04195</t>
  </si>
  <si>
    <t xml:space="preserve">NPS-04756</t>
  </si>
  <si>
    <t xml:space="preserve">NPS-06550</t>
  </si>
  <si>
    <t xml:space="preserve">NPS-00106</t>
  </si>
  <si>
    <t xml:space="preserve">NPS-00300</t>
  </si>
  <si>
    <t xml:space="preserve">NPS-00406</t>
  </si>
  <si>
    <t xml:space="preserve">NPS-00482</t>
  </si>
  <si>
    <t xml:space="preserve">NPS-00887</t>
  </si>
  <si>
    <t xml:space="preserve">NPS-01053</t>
  </si>
  <si>
    <t xml:space="preserve">NPS-01105</t>
  </si>
  <si>
    <t xml:space="preserve">NPS-01130</t>
  </si>
  <si>
    <t xml:space="preserve">NPS-01445</t>
  </si>
  <si>
    <t xml:space="preserve">NPS-01503</t>
  </si>
  <si>
    <t xml:space="preserve">NPS-02048</t>
  </si>
  <si>
    <t xml:space="preserve">NPS-02154</t>
  </si>
  <si>
    <t xml:space="preserve">NPS-02714</t>
  </si>
  <si>
    <t xml:space="preserve">NPS-03068</t>
  </si>
  <si>
    <t xml:space="preserve">NPS-04182</t>
  </si>
  <si>
    <t xml:space="preserve">NPS-04586</t>
  </si>
  <si>
    <t xml:space="preserve">NPS-05019</t>
  </si>
  <si>
    <t xml:space="preserve">NPS-05255</t>
  </si>
  <si>
    <t xml:space="preserve">NPS-06247</t>
  </si>
  <si>
    <t xml:space="preserve">NPS-07176</t>
  </si>
  <si>
    <t xml:space="preserve">NPS-00513</t>
  </si>
  <si>
    <t xml:space="preserve">NPS-01150</t>
  </si>
  <si>
    <t xml:space="preserve">NPS-03732</t>
  </si>
  <si>
    <t xml:space="preserve">NPS-03822</t>
  </si>
  <si>
    <t xml:space="preserve">NPS-03850</t>
  </si>
  <si>
    <t xml:space="preserve">NPS-05018</t>
  </si>
  <si>
    <t xml:space="preserve">NPS-06504</t>
  </si>
  <si>
    <t xml:space="preserve">NPS-06584</t>
  </si>
  <si>
    <t xml:space="preserve">NPS-06827</t>
  </si>
  <si>
    <t xml:space="preserve">NPS-07027</t>
  </si>
  <si>
    <t xml:space="preserve">NPS-00033</t>
  </si>
  <si>
    <t xml:space="preserve">NPS-00416</t>
  </si>
  <si>
    <t xml:space="preserve">NPS-00678</t>
  </si>
  <si>
    <t xml:space="preserve">NPS-01055</t>
  </si>
  <si>
    <t xml:space="preserve">NPS-01212</t>
  </si>
  <si>
    <t xml:space="preserve">NPS-02455</t>
  </si>
  <si>
    <t xml:space="preserve">NPS-02504</t>
  </si>
  <si>
    <t xml:space="preserve">NPS-02786</t>
  </si>
  <si>
    <t xml:space="preserve">NPS-04176</t>
  </si>
  <si>
    <t xml:space="preserve">NPS-05377</t>
  </si>
  <si>
    <t xml:space="preserve">NPS-05504</t>
  </si>
  <si>
    <t xml:space="preserve">NPS-06601</t>
  </si>
  <si>
    <t xml:space="preserve">NPS-00741</t>
  </si>
  <si>
    <t xml:space="preserve">NPS-01841</t>
  </si>
  <si>
    <t xml:space="preserve">NPS-02246</t>
  </si>
  <si>
    <t xml:space="preserve">NPS-03406</t>
  </si>
  <si>
    <t xml:space="preserve">NPS-03749</t>
  </si>
  <si>
    <t xml:space="preserve">NPS-04294</t>
  </si>
  <si>
    <t xml:space="preserve">NPS-06473</t>
  </si>
  <si>
    <t xml:space="preserve">NPS-06614</t>
  </si>
  <si>
    <t xml:space="preserve">NPS-00215</t>
  </si>
  <si>
    <t xml:space="preserve">NPS-00968</t>
  </si>
  <si>
    <t xml:space="preserve">NPS-01885</t>
  </si>
  <si>
    <t xml:space="preserve">NPS-02229</t>
  </si>
  <si>
    <t xml:space="preserve">NPS-02717</t>
  </si>
  <si>
    <t xml:space="preserve">NPS-03029</t>
  </si>
  <si>
    <t xml:space="preserve">NPS-03322</t>
  </si>
  <si>
    <t xml:space="preserve">NPS-03542</t>
  </si>
  <si>
    <t xml:space="preserve">NPS-03700</t>
  </si>
  <si>
    <t xml:space="preserve">NPS-03724</t>
  </si>
  <si>
    <t xml:space="preserve">NPS-04324</t>
  </si>
  <si>
    <t xml:space="preserve">NPS-05226</t>
  </si>
  <si>
    <t xml:space="preserve">NPS-05474</t>
  </si>
  <si>
    <t xml:space="preserve">NPS-06523</t>
  </si>
  <si>
    <t xml:space="preserve">NPS-00368</t>
  </si>
  <si>
    <t xml:space="preserve">NPS-00830</t>
  </si>
  <si>
    <t xml:space="preserve">NPS-01315</t>
  </si>
  <si>
    <t xml:space="preserve">NPS-01830</t>
  </si>
  <si>
    <t xml:space="preserve">NPS-03611</t>
  </si>
  <si>
    <t xml:space="preserve">NPS-04228</t>
  </si>
  <si>
    <t xml:space="preserve">NPS-04775</t>
  </si>
  <si>
    <t xml:space="preserve">NPS-05368</t>
  </si>
  <si>
    <t xml:space="preserve">NPS-05717</t>
  </si>
  <si>
    <t xml:space="preserve">NPS-06187</t>
  </si>
  <si>
    <t xml:space="preserve">NPS-06843</t>
  </si>
  <si>
    <t xml:space="preserve">NPS-06943</t>
  </si>
  <si>
    <t xml:space="preserve">NPS-00005</t>
  </si>
  <si>
    <t xml:space="preserve">NPS-00725</t>
  </si>
  <si>
    <t xml:space="preserve">NPS-01778</t>
  </si>
  <si>
    <t xml:space="preserve">NPS-04121</t>
  </si>
  <si>
    <t xml:space="preserve">NPS-04733</t>
  </si>
  <si>
    <t xml:space="preserve">NPS-05755</t>
  </si>
  <si>
    <t xml:space="preserve">NPS-06218</t>
  </si>
  <si>
    <t xml:space="preserve">NPS-00360</t>
  </si>
  <si>
    <t xml:space="preserve">NPS-01283</t>
  </si>
  <si>
    <t xml:space="preserve">NPS-02096</t>
  </si>
  <si>
    <t xml:space="preserve">NPS-02263</t>
  </si>
  <si>
    <t xml:space="preserve">NPS-02626</t>
  </si>
  <si>
    <t xml:space="preserve">NPS-03899</t>
  </si>
  <si>
    <t xml:space="preserve">NPS-04020</t>
  </si>
  <si>
    <t xml:space="preserve">NPS-04140</t>
  </si>
  <si>
    <t xml:space="preserve">NPS-04492</t>
  </si>
  <si>
    <t xml:space="preserve">NPS-04766</t>
  </si>
  <si>
    <t xml:space="preserve">NPS-06392</t>
  </si>
  <si>
    <t xml:space="preserve">NPS-06871</t>
  </si>
  <si>
    <t xml:space="preserve">NPS-00229</t>
  </si>
  <si>
    <t xml:space="preserve">NPS-00695</t>
  </si>
  <si>
    <t xml:space="preserve">NPS-01347</t>
  </si>
  <si>
    <t xml:space="preserve">NPS-01592</t>
  </si>
  <si>
    <t xml:space="preserve">NPS-01711</t>
  </si>
  <si>
    <t xml:space="preserve">NPS-02306</t>
  </si>
  <si>
    <t xml:space="preserve">NPS-02827</t>
  </si>
  <si>
    <t xml:space="preserve">NPS-04968</t>
  </si>
  <si>
    <t xml:space="preserve">NPS-05498</t>
  </si>
  <si>
    <t xml:space="preserve">NPS-06085</t>
  </si>
  <si>
    <t xml:space="preserve">NPS-00063</t>
  </si>
  <si>
    <t xml:space="preserve">NPS-01077</t>
  </si>
  <si>
    <t xml:space="preserve">NPS-01930</t>
  </si>
  <si>
    <t xml:space="preserve">NPS-02159</t>
  </si>
  <si>
    <t xml:space="preserve">NPS-02831</t>
  </si>
  <si>
    <t xml:space="preserve">NPS-02889</t>
  </si>
  <si>
    <t xml:space="preserve">NPS-02956</t>
  </si>
  <si>
    <t xml:space="preserve">NPS-03187</t>
  </si>
  <si>
    <t xml:space="preserve">NPS-03530</t>
  </si>
  <si>
    <t xml:space="preserve">NPS-04181</t>
  </si>
  <si>
    <t xml:space="preserve">NPS-05200</t>
  </si>
  <si>
    <t xml:space="preserve">NPS-06222</t>
  </si>
  <si>
    <t xml:space="preserve">NPS-06308</t>
  </si>
  <si>
    <t xml:space="preserve">NPS-00505</t>
  </si>
  <si>
    <t xml:space="preserve">NPS-00905</t>
  </si>
  <si>
    <t xml:space="preserve">NPS-00940</t>
  </si>
  <si>
    <t xml:space="preserve">NPS-01524</t>
  </si>
  <si>
    <t xml:space="preserve">NPS-01799</t>
  </si>
  <si>
    <t xml:space="preserve">NPS-01942</t>
  </si>
  <si>
    <t xml:space="preserve">NPS-02001</t>
  </si>
  <si>
    <t xml:space="preserve">NPS-02804</t>
  </si>
  <si>
    <t xml:space="preserve">NPS-03037</t>
  </si>
  <si>
    <t xml:space="preserve">NPS-04368</t>
  </si>
  <si>
    <t xml:space="preserve">NPS-04582</t>
  </si>
  <si>
    <t xml:space="preserve">NPS-05276</t>
  </si>
  <si>
    <t xml:space="preserve">NPS-05817</t>
  </si>
  <si>
    <t xml:space="preserve">NPS-06529</t>
  </si>
  <si>
    <t xml:space="preserve">NPS-07150</t>
  </si>
  <si>
    <t xml:space="preserve">NPS-00307</t>
  </si>
  <si>
    <t xml:space="preserve">NPS-00785</t>
  </si>
  <si>
    <t xml:space="preserve">NPS-01736</t>
  </si>
  <si>
    <t xml:space="preserve">NPS-02036</t>
  </si>
  <si>
    <t xml:space="preserve">NPS-02516</t>
  </si>
  <si>
    <t xml:space="preserve">NPS-03510</t>
  </si>
  <si>
    <t xml:space="preserve">NPS-05350</t>
  </si>
  <si>
    <t xml:space="preserve">NPS-06354</t>
  </si>
  <si>
    <t xml:space="preserve">NPS-00896</t>
  </si>
  <si>
    <t xml:space="preserve">NPS-01608</t>
  </si>
  <si>
    <t xml:space="preserve">NPS-02349</t>
  </si>
  <si>
    <t xml:space="preserve">NPS-02417</t>
  </si>
  <si>
    <t xml:space="preserve">NPS-03474</t>
  </si>
  <si>
    <t xml:space="preserve">NPS-04026</t>
  </si>
  <si>
    <t xml:space="preserve">NPS-05470</t>
  </si>
  <si>
    <t xml:space="preserve">NPS-05686</t>
  </si>
  <si>
    <t xml:space="preserve">NPS-06707</t>
  </si>
  <si>
    <t xml:space="preserve">NPS-02407</t>
  </si>
  <si>
    <t xml:space="preserve">NPS-04902</t>
  </si>
  <si>
    <t xml:space="preserve">NPS-05213</t>
  </si>
  <si>
    <t xml:space="preserve">NPS-05478</t>
  </si>
  <si>
    <t xml:space="preserve">NPS-05662</t>
  </si>
  <si>
    <t xml:space="preserve">NPS-05945</t>
  </si>
  <si>
    <t xml:space="preserve">NPS-06220</t>
  </si>
  <si>
    <t xml:space="preserve">NPS-06924</t>
  </si>
  <si>
    <t xml:space="preserve">NPS-00198</t>
  </si>
  <si>
    <t xml:space="preserve">NPS-02068</t>
  </si>
  <si>
    <t xml:space="preserve">NPS-02654</t>
  </si>
  <si>
    <t xml:space="preserve">NPS-03687</t>
  </si>
  <si>
    <t xml:space="preserve">NPS-04118</t>
  </si>
  <si>
    <t xml:space="preserve">NPS-06032</t>
  </si>
  <si>
    <t xml:space="preserve">NPS-07037</t>
  </si>
  <si>
    <t xml:space="preserve">NPS-07050</t>
  </si>
  <si>
    <t xml:space="preserve">NPS-07240</t>
  </si>
  <si>
    <t xml:space="preserve">NPS-00553</t>
  </si>
  <si>
    <t xml:space="preserve">NPS-00901</t>
  </si>
  <si>
    <t xml:space="preserve">NPS-01410</t>
  </si>
  <si>
    <t xml:space="preserve">NPS-01636</t>
  </si>
  <si>
    <t xml:space="preserve">NPS-02404</t>
  </si>
  <si>
    <t xml:space="preserve">NPS-02613</t>
  </si>
  <si>
    <t xml:space="preserve">NPS-02814</t>
  </si>
  <si>
    <t xml:space="preserve">NPS-03379</t>
  </si>
  <si>
    <t xml:space="preserve">NPS-03697</t>
  </si>
  <si>
    <t xml:space="preserve">NPS-04014</t>
  </si>
  <si>
    <t xml:space="preserve">NPS-04149</t>
  </si>
  <si>
    <t xml:space="preserve">NPS-04458</t>
  </si>
  <si>
    <t xml:space="preserve">NPS-04511</t>
  </si>
  <si>
    <t xml:space="preserve">NPS-05437</t>
  </si>
  <si>
    <t xml:space="preserve">NPS-06845</t>
  </si>
  <si>
    <t xml:space="preserve">NPS-07010</t>
  </si>
  <si>
    <t xml:space="preserve">NPS-00281</t>
  </si>
  <si>
    <t xml:space="preserve">NPS-00642</t>
  </si>
  <si>
    <t xml:space="preserve">NPS-00973</t>
  </si>
  <si>
    <t xml:space="preserve">NPS-01665</t>
  </si>
  <si>
    <t xml:space="preserve">NPS-03489</t>
  </si>
  <si>
    <t xml:space="preserve">NPS-04738</t>
  </si>
  <si>
    <t xml:space="preserve">NPS-05463</t>
  </si>
  <si>
    <t xml:space="preserve">NPS-05630</t>
  </si>
  <si>
    <t xml:space="preserve">NPS-05687</t>
  </si>
  <si>
    <t xml:space="preserve">NPS-06448</t>
  </si>
  <si>
    <t xml:space="preserve">NPS-07042</t>
  </si>
  <si>
    <t xml:space="preserve">NPS-02887</t>
  </si>
  <si>
    <t xml:space="preserve">NPS-03297</t>
  </si>
  <si>
    <t xml:space="preserve">NPS-03384</t>
  </si>
  <si>
    <t xml:space="preserve">NPS-03559</t>
  </si>
  <si>
    <t xml:space="preserve">NPS-03793</t>
  </si>
  <si>
    <t xml:space="preserve">NPS-03984</t>
  </si>
  <si>
    <t xml:space="preserve">NPS-04123</t>
  </si>
  <si>
    <t xml:space="preserve">NPS-04984</t>
  </si>
  <si>
    <t xml:space="preserve">NPS-05596</t>
  </si>
  <si>
    <t xml:space="preserve">NPS-05928</t>
  </si>
  <si>
    <t xml:space="preserve">NPS-05965</t>
  </si>
  <si>
    <t xml:space="preserve">NPS-06411</t>
  </si>
  <si>
    <t xml:space="preserve">NPS-00097</t>
  </si>
  <si>
    <t xml:space="preserve">NPS-00637</t>
  </si>
  <si>
    <t xml:space="preserve">NPS-01281</t>
  </si>
  <si>
    <t xml:space="preserve">NPS-02276</t>
  </si>
  <si>
    <t xml:space="preserve">NPS-02967</t>
  </si>
  <si>
    <t xml:space="preserve">NPS-07091</t>
  </si>
  <si>
    <t xml:space="preserve">NPS-00634</t>
  </si>
  <si>
    <t xml:space="preserve">NPS-00755</t>
  </si>
  <si>
    <t xml:space="preserve">NPS-01095</t>
  </si>
  <si>
    <t xml:space="preserve">NPS-01520</t>
  </si>
  <si>
    <t xml:space="preserve">NPS-01606</t>
  </si>
  <si>
    <t xml:space="preserve">NPS-02513</t>
  </si>
  <si>
    <t xml:space="preserve">NPS-03076</t>
  </si>
  <si>
    <t xml:space="preserve">NPS-03226</t>
  </si>
  <si>
    <t xml:space="preserve">NPS-03415</t>
  </si>
  <si>
    <t xml:space="preserve">NPS-03904</t>
  </si>
  <si>
    <t xml:space="preserve">NPS-04112</t>
  </si>
  <si>
    <t xml:space="preserve">NPS-04617</t>
  </si>
  <si>
    <t xml:space="preserve">NPS-04990</t>
  </si>
  <si>
    <t xml:space="preserve">NPS-05678</t>
  </si>
  <si>
    <t xml:space="preserve">NPS-06102</t>
  </si>
  <si>
    <t xml:space="preserve">NPS-06192</t>
  </si>
  <si>
    <t xml:space="preserve">NPS-06246</t>
  </si>
  <si>
    <t xml:space="preserve">NPS-06744</t>
  </si>
  <si>
    <t xml:space="preserve">NPS-00496</t>
  </si>
  <si>
    <t xml:space="preserve">NPS-00706</t>
  </si>
  <si>
    <t xml:space="preserve">NPS-01022</t>
  </si>
  <si>
    <t xml:space="preserve">NPS-01562</t>
  </si>
  <si>
    <t xml:space="preserve">NPS-02021</t>
  </si>
  <si>
    <t xml:space="preserve">NPS-03583</t>
  </si>
  <si>
    <t xml:space="preserve">NPS-03698</t>
  </si>
  <si>
    <t xml:space="preserve">NPS-04289</t>
  </si>
  <si>
    <t xml:space="preserve">NPS-02220</t>
  </si>
  <si>
    <t xml:space="preserve">NPS-02452</t>
  </si>
  <si>
    <t xml:space="preserve">NPS-03356</t>
  </si>
  <si>
    <t xml:space="preserve">NPS-04006</t>
  </si>
  <si>
    <t xml:space="preserve">NPS-04061</t>
  </si>
  <si>
    <t xml:space="preserve">NPS-05969</t>
  </si>
  <si>
    <t xml:space="preserve">NPS-06181</t>
  </si>
  <si>
    <t xml:space="preserve">NPS-07098</t>
  </si>
  <si>
    <t xml:space="preserve">NPS-00375</t>
  </si>
  <si>
    <t xml:space="preserve">NPS-02345</t>
  </si>
  <si>
    <t xml:space="preserve">NPS-03669</t>
  </si>
  <si>
    <t xml:space="preserve">NPS-04896</t>
  </si>
  <si>
    <t xml:space="preserve">NPS-05060</t>
  </si>
  <si>
    <t xml:space="preserve">NPS-05270</t>
  </si>
  <si>
    <t xml:space="preserve">NPS-05644</t>
  </si>
  <si>
    <t xml:space="preserve">NPS-06367</t>
  </si>
  <si>
    <t xml:space="preserve">NPS-07244</t>
  </si>
  <si>
    <t xml:space="preserve">NPS-07295</t>
  </si>
  <si>
    <t xml:space="preserve">NPS-00023</t>
  </si>
  <si>
    <t xml:space="preserve">NPS-00058</t>
  </si>
  <si>
    <t xml:space="preserve">NPS-00078</t>
  </si>
  <si>
    <t xml:space="preserve">NPS-00993</t>
  </si>
  <si>
    <t xml:space="preserve">NPS-01371</t>
  </si>
  <si>
    <t xml:space="preserve">NPS-02047</t>
  </si>
  <si>
    <t xml:space="preserve">NPS-03702</t>
  </si>
  <si>
    <t xml:space="preserve">NPS-03946</t>
  </si>
  <si>
    <t xml:space="preserve">NPS-04391</t>
  </si>
  <si>
    <t xml:space="preserve">NPS-05308</t>
  </si>
  <si>
    <t xml:space="preserve">NPS-05652</t>
  </si>
  <si>
    <t xml:space="preserve">NPS-06754</t>
  </si>
  <si>
    <t xml:space="preserve">NPS-06900</t>
  </si>
  <si>
    <t xml:space="preserve">NPS-06911</t>
  </si>
  <si>
    <t xml:space="preserve">NPS-06996</t>
  </si>
  <si>
    <t xml:space="preserve">NPS-00053</t>
  </si>
  <si>
    <t xml:space="preserve">NPS-00142</t>
  </si>
  <si>
    <t xml:space="preserve">NPS-01245</t>
  </si>
  <si>
    <t xml:space="preserve">NPS-01570</t>
  </si>
  <si>
    <t xml:space="preserve">NPS-02527</t>
  </si>
  <si>
    <t xml:space="preserve">NPS-02551</t>
  </si>
  <si>
    <t xml:space="preserve">NPS-02869</t>
  </si>
  <si>
    <t xml:space="preserve">NPS-02934</t>
  </si>
  <si>
    <t xml:space="preserve">NPS-03920</t>
  </si>
  <si>
    <t xml:space="preserve">NPS-04732</t>
  </si>
  <si>
    <t xml:space="preserve">NPS-05432</t>
  </si>
  <si>
    <t xml:space="preserve">NPS-05625</t>
  </si>
  <si>
    <t xml:space="preserve">NPS-06421</t>
  </si>
  <si>
    <t xml:space="preserve">NPS-06561</t>
  </si>
  <si>
    <t xml:space="preserve">NPS-06702</t>
  </si>
  <si>
    <t xml:space="preserve">ACC-12385</t>
  </si>
  <si>
    <t xml:space="preserve">NPS-07103</t>
  </si>
  <si>
    <t xml:space="preserve">NPS-00021</t>
  </si>
  <si>
    <t xml:space="preserve">NPS-00219</t>
  </si>
  <si>
    <t xml:space="preserve">NPS-00346</t>
  </si>
  <si>
    <t xml:space="preserve">NPS-00810</t>
  </si>
  <si>
    <t xml:space="preserve">NPS-00826</t>
  </si>
  <si>
    <t xml:space="preserve">NPS-01682</t>
  </si>
  <si>
    <t xml:space="preserve">NPS-02071</t>
  </si>
  <si>
    <t xml:space="preserve">NPS-03004</t>
  </si>
  <si>
    <t xml:space="preserve">NPS-03043</t>
  </si>
  <si>
    <t xml:space="preserve">NPS-03204</t>
  </si>
  <si>
    <t xml:space="preserve">NPS-05075</t>
  </si>
  <si>
    <t xml:space="preserve">NPS-05180</t>
  </si>
  <si>
    <t xml:space="preserve">NPS-05941</t>
  </si>
  <si>
    <t xml:space="preserve">NPS-06658</t>
  </si>
  <si>
    <t xml:space="preserve">NPS-07079</t>
  </si>
  <si>
    <t xml:space="preserve">NPS-01137</t>
  </si>
  <si>
    <t xml:space="preserve">NPS-01731</t>
  </si>
  <si>
    <t xml:space="preserve">NPS-02111</t>
  </si>
  <si>
    <t xml:space="preserve">NPS-02148</t>
  </si>
  <si>
    <t xml:space="preserve">NPS-02187</t>
  </si>
  <si>
    <t xml:space="preserve">NPS-02285</t>
  </si>
  <si>
    <t xml:space="preserve">NPS-02612</t>
  </si>
  <si>
    <t xml:space="preserve">NPS-03815</t>
  </si>
  <si>
    <t xml:space="preserve">NPS-04870</t>
  </si>
  <si>
    <t xml:space="preserve">NPS-05401</t>
  </si>
  <si>
    <t xml:space="preserve">NPS-06051</t>
  </si>
  <si>
    <t xml:space="preserve">NPS-00733</t>
  </si>
  <si>
    <t xml:space="preserve">NPS-00753</t>
  </si>
  <si>
    <t xml:space="preserve">NPS-00806</t>
  </si>
  <si>
    <t xml:space="preserve">NPS-01378</t>
  </si>
  <si>
    <t xml:space="preserve">NPS-02062</t>
  </si>
  <si>
    <t xml:space="preserve">NPS-02074</t>
  </si>
  <si>
    <t xml:space="preserve">NPS-02204</t>
  </si>
  <si>
    <t xml:space="preserve">NPS-02364</t>
  </si>
  <si>
    <t xml:space="preserve">NPS-03163</t>
  </si>
  <si>
    <t xml:space="preserve">NPS-03799</t>
  </si>
  <si>
    <t xml:space="preserve">NPS-04045</t>
  </si>
  <si>
    <t xml:space="preserve">NPS-04705</t>
  </si>
  <si>
    <t xml:space="preserve">NPS-06002</t>
  </si>
  <si>
    <t xml:space="preserve">NPS-06226</t>
  </si>
  <si>
    <t xml:space="preserve">NPS-00291</t>
  </si>
  <si>
    <t xml:space="preserve">NPS-00841</t>
  </si>
  <si>
    <t xml:space="preserve">NPS-01203</t>
  </si>
  <si>
    <t xml:space="preserve">NPS-01500</t>
  </si>
  <si>
    <t xml:space="preserve">NPS-01631</t>
  </si>
  <si>
    <t xml:space="preserve">NPS-02024</t>
  </si>
  <si>
    <t xml:space="preserve">NPS-02644</t>
  </si>
  <si>
    <t xml:space="preserve">NPS-03692</t>
  </si>
  <si>
    <t xml:space="preserve">NPS-03735</t>
  </si>
  <si>
    <t xml:space="preserve">NPS-03910</t>
  </si>
  <si>
    <t xml:space="preserve">NPS-04878</t>
  </si>
  <si>
    <t xml:space="preserve">NPS-04961</t>
  </si>
  <si>
    <t xml:space="preserve">NPS-05251</t>
  </si>
  <si>
    <t xml:space="preserve">NPS-05664</t>
  </si>
  <si>
    <t xml:space="preserve">NPS-06214</t>
  </si>
  <si>
    <t xml:space="preserve">NPS-06290</t>
  </si>
  <si>
    <t xml:space="preserve">NPS-00956</t>
  </si>
  <si>
    <t xml:space="preserve">NPS-01354</t>
  </si>
  <si>
    <t xml:space="preserve">NPS-01373</t>
  </si>
  <si>
    <t xml:space="preserve">NPS-01900</t>
  </si>
  <si>
    <t xml:space="preserve">NPS-03172</t>
  </si>
  <si>
    <t xml:space="preserve">NPS-03315</t>
  </si>
  <si>
    <t xml:space="preserve">NPS-03843</t>
  </si>
  <si>
    <t xml:space="preserve">NPS-03888</t>
  </si>
  <si>
    <t xml:space="preserve">NPS-04315</t>
  </si>
  <si>
    <t xml:space="preserve">NPS-04612</t>
  </si>
  <si>
    <t xml:space="preserve">NPS-05284</t>
  </si>
  <si>
    <t xml:space="preserve">NPS-06663</t>
  </si>
  <si>
    <t xml:space="preserve">NPS-06769</t>
  </si>
  <si>
    <t xml:space="preserve">NPS-07265</t>
  </si>
  <si>
    <t xml:space="preserve">NPS-01507</t>
  </si>
  <si>
    <t xml:space="preserve">NPS-02244</t>
  </si>
  <si>
    <t xml:space="preserve">NPS-02412</t>
  </si>
  <si>
    <t xml:space="preserve">NPS-03472</t>
  </si>
  <si>
    <t xml:space="preserve">NPS-03507</t>
  </si>
  <si>
    <t xml:space="preserve">NPS-03936</t>
  </si>
  <si>
    <t xml:space="preserve">NPS-04129</t>
  </si>
  <si>
    <t xml:space="preserve">NPS-05149</t>
  </si>
  <si>
    <t xml:space="preserve">NPS-05500</t>
  </si>
  <si>
    <t xml:space="preserve">NPS-05654</t>
  </si>
  <si>
    <t xml:space="preserve">NPS-05763</t>
  </si>
  <si>
    <t xml:space="preserve">NPS-06256</t>
  </si>
  <si>
    <t xml:space="preserve">NPS-00918</t>
  </si>
  <si>
    <t xml:space="preserve">NPS-02604</t>
  </si>
  <si>
    <t xml:space="preserve">NPS-02973</t>
  </si>
  <si>
    <t xml:space="preserve">NPS-03971</t>
  </si>
  <si>
    <t xml:space="preserve">NPS-04359</t>
  </si>
  <si>
    <t xml:space="preserve">NPS-05105</t>
  </si>
  <si>
    <t xml:space="preserve">NPS-05581</t>
  </si>
  <si>
    <t xml:space="preserve">NPS-06111</t>
  </si>
  <si>
    <t xml:space="preserve">NPS-07001</t>
  </si>
  <si>
    <t xml:space="preserve">NPS-00746</t>
  </si>
  <si>
    <t xml:space="preserve">NPS-01030</t>
  </si>
  <si>
    <t xml:space="preserve">NPS-01133</t>
  </si>
  <si>
    <t xml:space="preserve">NPS-02008</t>
  </si>
  <si>
    <t xml:space="preserve">NPS-03096</t>
  </si>
  <si>
    <t xml:space="preserve">NPS-03199</t>
  </si>
  <si>
    <t xml:space="preserve">NPS-03959</t>
  </si>
  <si>
    <t xml:space="preserve">NPS-04257</t>
  </si>
  <si>
    <t xml:space="preserve">NPS-05220</t>
  </si>
  <si>
    <t xml:space="preserve">NPS-00651</t>
  </si>
  <si>
    <t xml:space="preserve">NPS-01621</t>
  </si>
  <si>
    <t xml:space="preserve">NPS-01889</t>
  </si>
  <si>
    <t xml:space="preserve">NPS-02779</t>
  </si>
  <si>
    <t xml:space="preserve">NPS-04097</t>
  </si>
  <si>
    <t xml:space="preserve">NPS-04539</t>
  </si>
  <si>
    <t xml:space="preserve">NPS-04614</t>
  </si>
  <si>
    <t xml:space="preserve">NPS-04915</t>
  </si>
  <si>
    <t xml:space="preserve">NPS-05989</t>
  </si>
  <si>
    <t xml:space="preserve">NPS-06672</t>
  </si>
  <si>
    <t xml:space="preserve">NPS-01081</t>
  </si>
  <si>
    <t xml:space="preserve">NPS-01115</t>
  </si>
  <si>
    <t xml:space="preserve">NPS-01246</t>
  </si>
  <si>
    <t xml:space="preserve">NPS-01358</t>
  </si>
  <si>
    <t xml:space="preserve">NPS-02110</t>
  </si>
  <si>
    <t xml:space="preserve">NPS-02436</t>
  </si>
  <si>
    <t xml:space="preserve">NPS-02483</t>
  </si>
  <si>
    <t xml:space="preserve">NPS-03216</t>
  </si>
  <si>
    <t xml:space="preserve">NPS-03802</t>
  </si>
  <si>
    <t xml:space="preserve">NPS-03969</t>
  </si>
  <si>
    <t xml:space="preserve">NPS-05162</t>
  </si>
  <si>
    <t xml:space="preserve">NPS-06036</t>
  </si>
  <si>
    <t xml:space="preserve">NPS-06437</t>
  </si>
  <si>
    <t xml:space="preserve">NPS-06933</t>
  </si>
  <si>
    <t xml:space="preserve">NPS-01040</t>
  </si>
  <si>
    <t xml:space="preserve">NPS-02631</t>
  </si>
  <si>
    <t xml:space="preserve">NPS-02864</t>
  </si>
  <si>
    <t xml:space="preserve">NPS-02923</t>
  </si>
  <si>
    <t xml:space="preserve">NPS-03150</t>
  </si>
  <si>
    <t xml:space="preserve">NPS-03664</t>
  </si>
  <si>
    <t xml:space="preserve">NPS-05052</t>
  </si>
  <si>
    <t xml:space="preserve">NPS-05423</t>
  </si>
  <si>
    <t xml:space="preserve">NPS-05649</t>
  </si>
  <si>
    <t xml:space="preserve">NPS-05877</t>
  </si>
  <si>
    <t xml:space="preserve">NPS-05882</t>
  </si>
  <si>
    <t xml:space="preserve">NPS-06115</t>
  </si>
  <si>
    <t xml:space="preserve">NPS-00325</t>
  </si>
  <si>
    <t xml:space="preserve">NPS-00362</t>
  </si>
  <si>
    <t xml:space="preserve">NPS-01308</t>
  </si>
  <si>
    <t xml:space="preserve">NPS-01470</t>
  </si>
  <si>
    <t xml:space="preserve">NPS-01513</t>
  </si>
  <si>
    <t xml:space="preserve">NPS-01760</t>
  </si>
  <si>
    <t xml:space="preserve">NPS-01784</t>
  </si>
  <si>
    <t xml:space="preserve">NPS-02059</t>
  </si>
  <si>
    <t xml:space="preserve">NPS-02660</t>
  </si>
  <si>
    <t xml:space="preserve">NPS-03340</t>
  </si>
  <si>
    <t xml:space="preserve">NPS-03689</t>
  </si>
  <si>
    <t xml:space="preserve">NPS-04107</t>
  </si>
  <si>
    <t xml:space="preserve">NPS-04194</t>
  </si>
  <si>
    <t xml:space="preserve">NPS-05131</t>
  </si>
  <si>
    <t xml:space="preserve">NPS-05257</t>
  </si>
  <si>
    <t xml:space="preserve">NPS-05290</t>
  </si>
  <si>
    <t xml:space="preserve">NPS-05564</t>
  </si>
  <si>
    <t xml:space="preserve">NPS-05749</t>
  </si>
  <si>
    <t xml:space="preserve">NPS-05838</t>
  </si>
  <si>
    <t xml:space="preserve">NPS-06467</t>
  </si>
  <si>
    <t xml:space="preserve">NPS-00221</t>
  </si>
  <si>
    <t xml:space="preserve">NPS-01000</t>
  </si>
  <si>
    <t xml:space="preserve">NPS-01197</t>
  </si>
  <si>
    <t xml:space="preserve">NPS-01239</t>
  </si>
  <si>
    <t xml:space="preserve">NPS-01344</t>
  </si>
  <si>
    <t xml:space="preserve">NPS-01412</t>
  </si>
  <si>
    <t xml:space="preserve">NPS-02392</t>
  </si>
  <si>
    <t xml:space="preserve">NPS-02888</t>
  </si>
  <si>
    <t xml:space="preserve">NPS-02927</t>
  </si>
  <si>
    <t xml:space="preserve">NPS-03703</t>
  </si>
  <si>
    <t xml:space="preserve">NPS-04191</t>
  </si>
  <si>
    <t xml:space="preserve">NPS-05615</t>
  </si>
  <si>
    <t xml:space="preserve">NPS-06121</t>
  </si>
  <si>
    <t xml:space="preserve">NPS-06138</t>
  </si>
  <si>
    <t xml:space="preserve">NPS-06666</t>
  </si>
  <si>
    <t xml:space="preserve">NPS-06936</t>
  </si>
  <si>
    <t xml:space="preserve">NPS-07297</t>
  </si>
  <si>
    <t xml:space="preserve">NPS-00139</t>
  </si>
  <si>
    <t xml:space="preserve">NPS-00387</t>
  </si>
  <si>
    <t xml:space="preserve">NPS-01320</t>
  </si>
  <si>
    <t xml:space="preserve">NPS-01327</t>
  </si>
  <si>
    <t xml:space="preserve">NPS-01432</t>
  </si>
  <si>
    <t xml:space="preserve">NPS-02837</t>
  </si>
  <si>
    <t xml:space="preserve">NPS-03073</t>
  </si>
  <si>
    <t xml:space="preserve">NPS-03764</t>
  </si>
  <si>
    <t xml:space="preserve">NPS-04044</t>
  </si>
  <si>
    <t xml:space="preserve">NPS-04821</t>
  </si>
  <si>
    <t xml:space="preserve">NPS-04975</t>
  </si>
  <si>
    <t xml:space="preserve">NPS-05263</t>
  </si>
  <si>
    <t xml:space="preserve">NPS-05849</t>
  </si>
  <si>
    <t xml:space="preserve">NPS-07015</t>
  </si>
  <si>
    <t xml:space="preserve">NPS-07170</t>
  </si>
  <si>
    <t xml:space="preserve">NPS-00135</t>
  </si>
  <si>
    <t xml:space="preserve">NPS-00367</t>
  </si>
  <si>
    <t xml:space="preserve">NPS-01160</t>
  </si>
  <si>
    <t xml:space="preserve">NPS-01171</t>
  </si>
  <si>
    <t xml:space="preserve">NPS-01483</t>
  </si>
  <si>
    <t xml:space="preserve">NPS-02362</t>
  </si>
  <si>
    <t xml:space="preserve">NPS-02974</t>
  </si>
  <si>
    <t xml:space="preserve">NPS-03032</t>
  </si>
  <si>
    <t xml:space="preserve">NPS-04077</t>
  </si>
  <si>
    <t xml:space="preserve">NPS-04134</t>
  </si>
  <si>
    <t xml:space="preserve">NPS-04326</t>
  </si>
  <si>
    <t xml:space="preserve">NPS-05573</t>
  </si>
  <si>
    <t xml:space="preserve">NPS-05603</t>
  </si>
  <si>
    <t xml:space="preserve">NPS-05875</t>
  </si>
  <si>
    <t xml:space="preserve">NPS-06009</t>
  </si>
  <si>
    <t xml:space="preserve">NPS-06064</t>
  </si>
  <si>
    <t xml:space="preserve">NPS-06336</t>
  </si>
  <si>
    <t xml:space="preserve">NPS-06886</t>
  </si>
  <si>
    <t xml:space="preserve">NPS-07095</t>
  </si>
  <si>
    <t xml:space="preserve">NPS-01654</t>
  </si>
  <si>
    <t xml:space="preserve">NPS-01893</t>
  </si>
  <si>
    <t xml:space="preserve">NPS-02192</t>
  </si>
  <si>
    <t xml:space="preserve">NPS-02226</t>
  </si>
  <si>
    <t xml:space="preserve">NPS-02859</t>
  </si>
  <si>
    <t xml:space="preserve">NPS-02931</t>
  </si>
  <si>
    <t xml:space="preserve">NPS-02953</t>
  </si>
  <si>
    <t xml:space="preserve">NPS-03418</t>
  </si>
  <si>
    <t xml:space="preserve">NPS-04099</t>
  </si>
  <si>
    <t xml:space="preserve">NPS-04550</t>
  </si>
  <si>
    <t xml:space="preserve">NPS-04728</t>
  </si>
  <si>
    <t xml:space="preserve">NPS-05299</t>
  </si>
  <si>
    <t xml:space="preserve">NPS-05670</t>
  </si>
  <si>
    <t xml:space="preserve">NPS-06029</t>
  </si>
  <si>
    <t xml:space="preserve">NPS-06293</t>
  </si>
  <si>
    <t xml:space="preserve">NPS-06370</t>
  </si>
  <si>
    <t xml:space="preserve">NPS-00470</t>
  </si>
  <si>
    <t xml:space="preserve">NPS-01435</t>
  </si>
  <si>
    <t xml:space="preserve">NPS-02126</t>
  </si>
  <si>
    <t xml:space="preserve">NPS-02589</t>
  </si>
  <si>
    <t xml:space="preserve">NPS-03456</t>
  </si>
  <si>
    <t xml:space="preserve">NPS-04626</t>
  </si>
  <si>
    <t xml:space="preserve">NPS-04785</t>
  </si>
  <si>
    <t xml:space="preserve">ACC-11703</t>
  </si>
  <si>
    <t xml:space="preserve">NPS-06516</t>
  </si>
  <si>
    <t xml:space="preserve">NPS-06655</t>
  </si>
  <si>
    <t xml:space="preserve">NPS-00249</t>
  </si>
  <si>
    <t xml:space="preserve">NPS-00737</t>
  </si>
  <si>
    <t xml:space="preserve">NPS-01221</t>
  </si>
  <si>
    <t xml:space="preserve">NPS-01801</t>
  </si>
  <si>
    <t xml:space="preserve">NPS-02069</t>
  </si>
  <si>
    <t xml:space="preserve">NPS-03828</t>
  </si>
  <si>
    <t xml:space="preserve">NPS-04523</t>
  </si>
  <si>
    <t xml:space="preserve">NPS-04996</t>
  </si>
  <si>
    <t xml:space="preserve">NPS-06450</t>
  </si>
  <si>
    <t xml:space="preserve">NPS-07121</t>
  </si>
  <si>
    <t xml:space="preserve">NPS-07143</t>
  </si>
  <si>
    <t xml:space="preserve">NPS-00408</t>
  </si>
  <si>
    <t xml:space="preserve">NPS-00667</t>
  </si>
  <si>
    <t xml:space="preserve">NPS-01125</t>
  </si>
  <si>
    <t xml:space="preserve">NPS-01749</t>
  </si>
  <si>
    <t xml:space="preserve">NPS-02299</t>
  </si>
  <si>
    <t xml:space="preserve">NPS-02625</t>
  </si>
  <si>
    <t xml:space="preserve">NPS-02706</t>
  </si>
  <si>
    <t xml:space="preserve">NPS-02762</t>
  </si>
  <si>
    <t xml:space="preserve">NPS-03761</t>
  </si>
  <si>
    <t xml:space="preserve">NPS-04307</t>
  </si>
  <si>
    <t xml:space="preserve">NPS-05214</t>
  </si>
  <si>
    <t xml:space="preserve">NPS-05230</t>
  </si>
  <si>
    <t xml:space="preserve">NPS-06560</t>
  </si>
  <si>
    <t xml:space="preserve">NPS-00388</t>
  </si>
  <si>
    <t xml:space="preserve">NPS-00823</t>
  </si>
  <si>
    <t xml:space="preserve">NPS-00911</t>
  </si>
  <si>
    <t xml:space="preserve">NPS-01624</t>
  </si>
  <si>
    <t xml:space="preserve">NPS-02782</t>
  </si>
  <si>
    <t xml:space="preserve">NPS-03027</t>
  </si>
  <si>
    <t xml:space="preserve">NPS-04353</t>
  </si>
  <si>
    <t xml:space="preserve">NPS-06609</t>
  </si>
  <si>
    <t xml:space="preserve">NPS-00177</t>
  </si>
  <si>
    <t xml:space="preserve">NPS-00203</t>
  </si>
  <si>
    <t xml:space="preserve">NPS-00352</t>
  </si>
  <si>
    <t xml:space="preserve">NPS-00449</t>
  </si>
  <si>
    <t xml:space="preserve">NPS-01638</t>
  </si>
  <si>
    <t xml:space="preserve">NPS-02502</t>
  </si>
  <si>
    <t xml:space="preserve">NPS-02686</t>
  </si>
  <si>
    <t xml:space="preserve">NPS-02906</t>
  </si>
  <si>
    <t xml:space="preserve">NPS-03562</t>
  </si>
  <si>
    <t xml:space="preserve">NPS-04035</t>
  </si>
  <si>
    <t xml:space="preserve">NPS-04370</t>
  </si>
  <si>
    <t xml:space="preserve">NPS-05027</t>
  </si>
  <si>
    <t xml:space="preserve">NPS-05080</t>
  </si>
  <si>
    <t xml:space="preserve">NPS-05419</t>
  </si>
  <si>
    <t xml:space="preserve">NPS-05682</t>
  </si>
  <si>
    <t xml:space="preserve">NPS-05745</t>
  </si>
  <si>
    <t xml:space="preserve">NPS-06637</t>
  </si>
  <si>
    <t xml:space="preserve">NPS-07190</t>
  </si>
  <si>
    <t xml:space="preserve">NPS-00216</t>
  </si>
  <si>
    <t xml:space="preserve">NPS-00430</t>
  </si>
  <si>
    <t xml:space="preserve">NPS-01186</t>
  </si>
  <si>
    <t xml:space="preserve">NPS-01970</t>
  </si>
  <si>
    <t xml:space="preserve">NPS-02318</t>
  </si>
  <si>
    <t xml:space="preserve">NPS-02321</t>
  </si>
  <si>
    <t xml:space="preserve">NPS-03063</t>
  </si>
  <si>
    <t xml:space="preserve">NPS-03478</t>
  </si>
  <si>
    <t xml:space="preserve">NPS-03551</t>
  </si>
  <si>
    <t xml:space="preserve">NPS-03662</t>
  </si>
  <si>
    <t xml:space="preserve">NPS-04148</t>
  </si>
  <si>
    <t xml:space="preserve">NPS-04302</t>
  </si>
  <si>
    <t xml:space="preserve">NPS-04628</t>
  </si>
  <si>
    <t xml:space="preserve">NPS-04863</t>
  </si>
  <si>
    <t xml:space="preserve">NPS-05165</t>
  </si>
  <si>
    <t xml:space="preserve">NPS-05554</t>
  </si>
  <si>
    <t xml:space="preserve">NPS-06265</t>
  </si>
  <si>
    <t xml:space="preserve">NPS-06942</t>
  </si>
  <si>
    <t xml:space="preserve">NPS-07110</t>
  </si>
  <si>
    <t xml:space="preserve">NPS-00850</t>
  </si>
  <si>
    <t xml:space="preserve">NPS-01895</t>
  </si>
  <si>
    <t xml:space="preserve">NPS-02614</t>
  </si>
  <si>
    <t xml:space="preserve">NPS-02677</t>
  </si>
  <si>
    <t xml:space="preserve">NPS-02807</t>
  </si>
  <si>
    <t xml:space="preserve">NPS-02935</t>
  </si>
  <si>
    <t xml:space="preserve">NPS-03481</t>
  </si>
  <si>
    <t xml:space="preserve">NPS-03650</t>
  </si>
  <si>
    <t xml:space="preserve">NPS-04252</t>
  </si>
  <si>
    <t xml:space="preserve">NPS-04618</t>
  </si>
  <si>
    <t xml:space="preserve">NPS-05338</t>
  </si>
  <si>
    <t xml:space="preserve">NPS-06211</t>
  </si>
  <si>
    <t xml:space="preserve">NPS-06285</t>
  </si>
  <si>
    <t xml:space="preserve">NPS-06302</t>
  </si>
  <si>
    <t xml:space="preserve">NPS-06461</t>
  </si>
  <si>
    <t xml:space="preserve">NPS-06718</t>
  </si>
  <si>
    <t xml:space="preserve">NPS-07291</t>
  </si>
  <si>
    <t xml:space="preserve">NPS-00200</t>
  </si>
  <si>
    <t xml:space="preserve">NPS-00875</t>
  </si>
  <si>
    <t xml:space="preserve">NPS-01044</t>
  </si>
  <si>
    <t xml:space="preserve">NPS-01717</t>
  </si>
  <si>
    <t xml:space="preserve">NPS-01821</t>
  </si>
  <si>
    <t xml:space="preserve">NPS-03192</t>
  </si>
  <si>
    <t xml:space="preserve">NPS-03302</t>
  </si>
  <si>
    <t xml:space="preserve">NPS-03476</t>
  </si>
  <si>
    <t xml:space="preserve">NPS-05179</t>
  </si>
  <si>
    <t xml:space="preserve">NPS-05413</t>
  </si>
  <si>
    <t xml:space="preserve">NPS-05812</t>
  </si>
  <si>
    <t xml:space="preserve">NPS-06063</t>
  </si>
  <si>
    <t xml:space="preserve">NPS-00195</t>
  </si>
  <si>
    <t xml:space="preserve">NPS-00525</t>
  </si>
  <si>
    <t xml:space="preserve">NPS-00571</t>
  </si>
  <si>
    <t xml:space="preserve">NPS-02328</t>
  </si>
  <si>
    <t xml:space="preserve">NPS-03653</t>
  </si>
  <si>
    <t xml:space="preserve">NPS-04236</t>
  </si>
  <si>
    <t xml:space="preserve">NPS-04802</t>
  </si>
  <si>
    <t xml:space="preserve">NPS-04891</t>
  </si>
  <si>
    <t xml:space="preserve">NPS-05119</t>
  </si>
  <si>
    <t xml:space="preserve">NPS-05392</t>
  </si>
  <si>
    <t xml:space="preserve">NPS-05469</t>
  </si>
  <si>
    <t xml:space="preserve">NPS-00610</t>
  </si>
  <si>
    <t xml:space="preserve">NPS-01276</t>
  </si>
  <si>
    <t xml:space="preserve">NPS-02101</t>
  </si>
  <si>
    <t xml:space="preserve">NPS-02355</t>
  </si>
  <si>
    <t xml:space="preserve">NPS-02556</t>
  </si>
  <si>
    <t xml:space="preserve">NPS-02649</t>
  </si>
  <si>
    <t xml:space="preserve">NPS-02825</t>
  </si>
  <si>
    <t xml:space="preserve">NPS-03350</t>
  </si>
  <si>
    <t xml:space="preserve">NPS-04064</t>
  </si>
  <si>
    <t xml:space="preserve">NPS-04164</t>
  </si>
  <si>
    <t xml:space="preserve">NPS-05150</t>
  </si>
  <si>
    <t xml:space="preserve">NPS-05387</t>
  </si>
  <si>
    <t xml:space="preserve">NPS-05441</t>
  </si>
  <si>
    <t xml:space="preserve">NPS-05641</t>
  </si>
  <si>
    <t xml:space="preserve">NPS-05675</t>
  </si>
  <si>
    <t xml:space="preserve">NPS-05912</t>
  </si>
  <si>
    <t xml:space="preserve">NPS-06298</t>
  </si>
  <si>
    <t xml:space="preserve">NPS-06574</t>
  </si>
  <si>
    <t xml:space="preserve">NPS-06591</t>
  </si>
  <si>
    <t xml:space="preserve">NPS-07234</t>
  </si>
  <si>
    <t xml:space="preserve">NPS-01177</t>
  </si>
  <si>
    <t xml:space="preserve">NPS-05455</t>
  </si>
  <si>
    <t xml:space="preserve">NPS-05548</t>
  </si>
  <si>
    <t xml:space="preserve">NPS-05796</t>
  </si>
  <si>
    <t xml:space="preserve">NPS-06761</t>
  </si>
  <si>
    <t xml:space="preserve">NPS-06968</t>
  </si>
  <si>
    <t xml:space="preserve">NPS-07148</t>
  </si>
  <si>
    <t xml:space="preserve">NPS-00824</t>
  </si>
  <si>
    <t xml:space="preserve">NPS-01089</t>
  </si>
  <si>
    <t xml:space="preserve">NPS-03586</t>
  </si>
  <si>
    <t xml:space="preserve">NPS-03763</t>
  </si>
  <si>
    <t xml:space="preserve">NPS-04402</t>
  </si>
  <si>
    <t xml:space="preserve">NPS-04839</t>
  </si>
  <si>
    <t xml:space="preserve">NPS-04875</t>
  </si>
  <si>
    <t xml:space="preserve">NPS-04904</t>
  </si>
  <si>
    <t xml:space="preserve">NPS-05394</t>
  </si>
  <si>
    <t xml:space="preserve">NPS-05403</t>
  </si>
  <si>
    <t xml:space="preserve">NPS-06116</t>
  </si>
  <si>
    <t xml:space="preserve">NPS-06399</t>
  </si>
  <si>
    <t xml:space="preserve">NPS-06664</t>
  </si>
  <si>
    <t xml:space="preserve">NPS-06789</t>
  </si>
  <si>
    <t xml:space="preserve">NPS-07053</t>
  </si>
  <si>
    <t xml:space="preserve">NPS-00720</t>
  </si>
  <si>
    <t xml:space="preserve">NPS-02524</t>
  </si>
  <si>
    <t xml:space="preserve">NPS-02743</t>
  </si>
  <si>
    <t xml:space="preserve">NPS-02922</t>
  </si>
  <si>
    <t xml:space="preserve">NPS-02970</t>
  </si>
  <si>
    <t xml:space="preserve">NPS-03288</t>
  </si>
  <si>
    <t xml:space="preserve">NPS-04966</t>
  </si>
  <si>
    <t xml:space="preserve">NPS-05010</t>
  </si>
  <si>
    <t xml:space="preserve">NPS-05223</t>
  </si>
  <si>
    <t xml:space="preserve">NPS-06103</t>
  </si>
  <si>
    <t xml:space="preserve">NPS-06324</t>
  </si>
  <si>
    <t xml:space="preserve">NPS-06938</t>
  </si>
  <si>
    <t xml:space="preserve">NPS-07153</t>
  </si>
  <si>
    <t xml:space="preserve">NPS-00573</t>
  </si>
  <si>
    <t xml:space="preserve">NPS-02233</t>
  </si>
  <si>
    <t xml:space="preserve">NPS-02723</t>
  </si>
  <si>
    <t xml:space="preserve">NPS-03052</t>
  </si>
  <si>
    <t xml:space="preserve">NPS-03624</t>
  </si>
  <si>
    <t xml:space="preserve">NPS-05520</t>
  </si>
  <si>
    <t xml:space="preserve">NPS-06016</t>
  </si>
  <si>
    <t xml:space="preserve">NPS-06128</t>
  </si>
  <si>
    <t xml:space="preserve">NPS-06528</t>
  </si>
  <si>
    <t xml:space="preserve">NPS-06812</t>
  </si>
  <si>
    <t xml:space="preserve">NPS-06819</t>
  </si>
  <si>
    <t xml:space="preserve">NPS-07081</t>
  </si>
  <si>
    <t xml:space="preserve">NPS-00190</t>
  </si>
  <si>
    <t xml:space="preserve">NPS-00222</t>
  </si>
  <si>
    <t xml:space="preserve">NPS-00777</t>
  </si>
  <si>
    <t xml:space="preserve">NPS-02066</t>
  </si>
  <si>
    <t xml:space="preserve">NPS-02183</t>
  </si>
  <si>
    <t xml:space="preserve">NPS-04743</t>
  </si>
  <si>
    <t xml:space="preserve">NPS-04979</t>
  </si>
  <si>
    <t xml:space="preserve">NPS-05495</t>
  </si>
  <si>
    <t xml:space="preserve">NPS-06307</t>
  </si>
  <si>
    <t xml:space="preserve">NPS-06767</t>
  </si>
  <si>
    <t xml:space="preserve">NPS-00415</t>
  </si>
  <si>
    <t xml:space="preserve">NPS-00739</t>
  </si>
  <si>
    <t xml:space="preserve">NPS-02012</t>
  </si>
  <si>
    <t xml:space="preserve">NPS-03002</t>
  </si>
  <si>
    <t xml:space="preserve">NPS-03762</t>
  </si>
  <si>
    <t xml:space="preserve">NPS-04258</t>
  </si>
  <si>
    <t xml:space="preserve">NPS-04420</t>
  </si>
  <si>
    <t xml:space="preserve">NPS-04505</t>
  </si>
  <si>
    <t xml:space="preserve">NPS-04658</t>
  </si>
  <si>
    <t xml:space="preserve">NPS-05112</t>
  </si>
  <si>
    <t xml:space="preserve">NPS-05759</t>
  </si>
  <si>
    <t xml:space="preserve">NPS-06596</t>
  </si>
  <si>
    <t xml:space="preserve">NPS-06828</t>
  </si>
  <si>
    <t xml:space="preserve">NPS-00162</t>
  </si>
  <si>
    <t xml:space="preserve">NPS-00802</t>
  </si>
  <si>
    <t xml:space="preserve">NPS-01668</t>
  </si>
  <si>
    <t xml:space="preserve">NPS-03483</t>
  </si>
  <si>
    <t xml:space="preserve">NPS-03493</t>
  </si>
  <si>
    <t xml:space="preserve">NPS-03543</t>
  </si>
  <si>
    <t xml:space="preserve">NPS-03713</t>
  </si>
  <si>
    <t xml:space="preserve">NPS-06874</t>
  </si>
  <si>
    <t xml:space="preserve">NPS-00786</t>
  </si>
  <si>
    <t xml:space="preserve">NPS-01646</t>
  </si>
  <si>
    <t xml:space="preserve">NPS-01964</t>
  </si>
  <si>
    <t xml:space="preserve">NPS-02585</t>
  </si>
  <si>
    <t xml:space="preserve">NPS-02665</t>
  </si>
  <si>
    <t xml:space="preserve">NPS-03635</t>
  </si>
  <si>
    <t xml:space="preserve">NPS-03750</t>
  </si>
  <si>
    <t xml:space="preserve">NPS-03950</t>
  </si>
  <si>
    <t xml:space="preserve">NPS-04552</t>
  </si>
  <si>
    <t xml:space="preserve">NPS-04823</t>
  </si>
  <si>
    <t xml:space="preserve">NPS-06577</t>
  </si>
  <si>
    <t xml:space="preserve">NPS-07101</t>
  </si>
  <si>
    <t xml:space="preserve">NPS-07135</t>
  </si>
  <si>
    <t xml:space="preserve">NPS-00180</t>
  </si>
  <si>
    <t xml:space="preserve">NPS-00593</t>
  </si>
  <si>
    <t xml:space="preserve">NPS-01318</t>
  </si>
  <si>
    <t xml:space="preserve">NPS-02721</t>
  </si>
  <si>
    <t xml:space="preserve">NPS-03284</t>
  </si>
  <si>
    <t xml:space="preserve">NPS-04407</t>
  </si>
  <si>
    <t xml:space="preserve">NPS-04841</t>
  </si>
  <si>
    <t xml:space="preserve">NPS-01038</t>
  </si>
  <si>
    <t xml:space="preserve">NPS-01059</t>
  </si>
  <si>
    <t xml:space="preserve">NPS-01770</t>
  </si>
  <si>
    <t xml:space="preserve">NPS-02462</t>
  </si>
  <si>
    <t xml:space="preserve">NPS-02486</t>
  </si>
  <si>
    <t xml:space="preserve">NPS-02619</t>
  </si>
  <si>
    <t xml:space="preserve">NPS-03726</t>
  </si>
  <si>
    <t xml:space="preserve">NPS-03755</t>
  </si>
  <si>
    <t xml:space="preserve">NPS-04532</t>
  </si>
  <si>
    <t xml:space="preserve">NPS-06771</t>
  </si>
  <si>
    <t xml:space="preserve">NPS-07057</t>
  </si>
  <si>
    <t xml:space="preserve">NPS-00899</t>
  </si>
  <si>
    <t xml:space="preserve">NPS-00990</t>
  </si>
  <si>
    <t xml:space="preserve">NPS-01009</t>
  </si>
  <si>
    <t xml:space="preserve">NPS-02327</t>
  </si>
  <si>
    <t xml:space="preserve">NPS-02801</t>
  </si>
  <si>
    <t xml:space="preserve">NPS-03524</t>
  </si>
  <si>
    <t xml:space="preserve">NPS-04691</t>
  </si>
  <si>
    <t xml:space="preserve">NPS-05773</t>
  </si>
  <si>
    <t xml:space="preserve">NPS-06881</t>
  </si>
  <si>
    <t xml:space="preserve">NPS-07085</t>
  </si>
  <si>
    <t xml:space="preserve">NPS-07108</t>
  </si>
  <si>
    <t xml:space="preserve">NPS-00068</t>
  </si>
  <si>
    <t xml:space="preserve">NPS-00599</t>
  </si>
  <si>
    <t xml:space="preserve">NPS-01794</t>
  </si>
  <si>
    <t xml:space="preserve">NPS-01864</t>
  </si>
  <si>
    <t xml:space="preserve">NPS-03811</t>
  </si>
  <si>
    <t xml:space="preserve">NPS-04234</t>
  </si>
  <si>
    <t xml:space="preserve">NPS-05104</t>
  </si>
  <si>
    <t xml:space="preserve">NPS-05249</t>
  </si>
  <si>
    <t xml:space="preserve">NPS-05740</t>
  </si>
  <si>
    <t xml:space="preserve">NPS-06199</t>
  </si>
  <si>
    <t xml:space="preserve">NPS-06946</t>
  </si>
  <si>
    <t xml:space="preserve">NPS-00183</t>
  </si>
  <si>
    <t xml:space="preserve">NPS-00301</t>
  </si>
  <si>
    <t xml:space="preserve">NPS-00606</t>
  </si>
  <si>
    <t xml:space="preserve">NPS-02190</t>
  </si>
  <si>
    <t xml:space="preserve">NPS-02218</t>
  </si>
  <si>
    <t xml:space="preserve">NPS-02252</t>
  </si>
  <si>
    <t xml:space="preserve">NPS-02853</t>
  </si>
  <si>
    <t xml:space="preserve">NPS-03321</t>
  </si>
  <si>
    <t xml:space="preserve">NPS-03395</t>
  </si>
  <si>
    <t xml:space="preserve">NPS-03873</t>
  </si>
  <si>
    <t xml:space="preserve">NPS-04999</t>
  </si>
  <si>
    <t xml:space="preserve">NPS-07161</t>
  </si>
  <si>
    <t xml:space="preserve">NPS-00673</t>
  </si>
  <si>
    <t xml:space="preserve">NPS-01477</t>
  </si>
  <si>
    <t xml:space="preserve">NPS-01661</t>
  </si>
  <si>
    <t xml:space="preserve">NPS-02138</t>
  </si>
  <si>
    <t xml:space="preserve">NPS-03947</t>
  </si>
  <si>
    <t xml:space="preserve">NPS-03963</t>
  </si>
  <si>
    <t xml:space="preserve">NPS-04200</t>
  </si>
  <si>
    <t xml:space="preserve">NPS-04304</t>
  </si>
  <si>
    <t xml:space="preserve">NPS-05311</t>
  </si>
  <si>
    <t xml:space="preserve">NPS-06008</t>
  </si>
  <si>
    <t xml:space="preserve">NPS-06037</t>
  </si>
  <si>
    <t xml:space="preserve">NPS-06422</t>
  </si>
  <si>
    <t xml:space="preserve">NPS-06481</t>
  </si>
  <si>
    <t xml:space="preserve">NPS-01934</t>
  </si>
  <si>
    <t xml:space="preserve">NPS-02087</t>
  </si>
  <si>
    <t xml:space="preserve">NPS-02368</t>
  </si>
  <si>
    <t xml:space="preserve">NPS-02421</t>
  </si>
  <si>
    <t xml:space="preserve">NPS-02846</t>
  </si>
  <si>
    <t xml:space="preserve">NPS-05281</t>
  </si>
  <si>
    <t xml:space="preserve">NPS-06137</t>
  </si>
  <si>
    <t xml:space="preserve">NPS-07111</t>
  </si>
  <si>
    <t xml:space="preserve">NPS-00079</t>
  </si>
  <si>
    <t xml:space="preserve">NPS-00404</t>
  </si>
  <si>
    <t xml:space="preserve">NPS-02222</t>
  </si>
  <si>
    <t xml:space="preserve">NPS-02509</t>
  </si>
  <si>
    <t xml:space="preserve">NPS-02567</t>
  </si>
  <si>
    <t xml:space="preserve">NPS-02769</t>
  </si>
  <si>
    <t xml:space="preserve">NPS-03806</t>
  </si>
  <si>
    <t xml:space="preserve">NPS-04469</t>
  </si>
  <si>
    <t xml:space="preserve">NPS-05638</t>
  </si>
  <si>
    <t xml:space="preserve">NPS-06722</t>
  </si>
  <si>
    <t xml:space="preserve">NPS-01073</t>
  </si>
  <si>
    <t xml:space="preserve">NPS-01162</t>
  </si>
  <si>
    <t xml:space="preserve">NPS-01214</t>
  </si>
  <si>
    <t xml:space="preserve">NPS-02051</t>
  </si>
  <si>
    <t xml:space="preserve">NPS-02579</t>
  </si>
  <si>
    <t xml:space="preserve">NPS-02739</t>
  </si>
  <si>
    <t xml:space="preserve">NPS-03518</t>
  </si>
  <si>
    <t xml:space="preserve">NPS-04977</t>
  </si>
  <si>
    <t xml:space="preserve">NPS-05115</t>
  </si>
  <si>
    <t xml:space="preserve">NPS-06119</t>
  </si>
  <si>
    <t xml:space="preserve">NPS-07292</t>
  </si>
  <si>
    <t xml:space="preserve">NPS-00336</t>
  </si>
  <si>
    <t xml:space="preserve">NPS-00726</t>
  </si>
  <si>
    <t xml:space="preserve">NPS-02181</t>
  </si>
  <si>
    <t xml:space="preserve">NPS-02850</t>
  </si>
  <si>
    <t xml:space="preserve">NPS-03657</t>
  </si>
  <si>
    <t xml:space="preserve">NPS-04659</t>
  </si>
  <si>
    <t xml:space="preserve">NPS-04973</t>
  </si>
  <si>
    <t xml:space="preserve">NPS-05252</t>
  </si>
  <si>
    <t xml:space="preserve">NPS-05428</t>
  </si>
  <si>
    <t xml:space="preserve">NPS-05608</t>
  </si>
  <si>
    <t xml:space="preserve">NPS-06213</t>
  </si>
  <si>
    <t xml:space="preserve">NPS-06277</t>
  </si>
  <si>
    <t xml:space="preserve">NPS-06567</t>
  </si>
  <si>
    <t xml:space="preserve">NPS-07178</t>
  </si>
  <si>
    <t xml:space="preserve">NPS-01918</t>
  </si>
  <si>
    <t xml:space="preserve">NPS-02155</t>
  </si>
  <si>
    <t xml:space="preserve">NPS-02189</t>
  </si>
  <si>
    <t xml:space="preserve">NPS-02446</t>
  </si>
  <si>
    <t xml:space="preserve">NPS-02711</t>
  </si>
  <si>
    <t xml:space="preserve">NPS-04037</t>
  </si>
  <si>
    <t xml:space="preserve">NPS-05000</t>
  </si>
  <si>
    <t xml:space="preserve">NPS-05349</t>
  </si>
  <si>
    <t xml:space="preserve">NPS-07069</t>
  </si>
  <si>
    <t xml:space="preserve">NPS-01698</t>
  </si>
  <si>
    <t xml:space="preserve">NPS-02384</t>
  </si>
  <si>
    <t xml:space="preserve">NPS-03378</t>
  </si>
  <si>
    <t xml:space="preserve">NPS-04075</t>
  </si>
  <si>
    <t xml:space="preserve">NPS-00230</t>
  </si>
  <si>
    <t xml:space="preserve">NPS-00428</t>
  </si>
  <si>
    <t xml:space="preserve">NPS-00861</t>
  </si>
  <si>
    <t xml:space="preserve">NPS-01117</t>
  </si>
  <si>
    <t xml:space="preserve">NPS-01485</t>
  </si>
  <si>
    <t xml:space="preserve">NPS-02632</t>
  </si>
  <si>
    <t xml:space="preserve">NPS-02716</t>
  </si>
  <si>
    <t xml:space="preserve">NPS-03014</t>
  </si>
  <si>
    <t xml:space="preserve">NPS-03060</t>
  </si>
  <si>
    <t xml:space="preserve">NPS-04299</t>
  </si>
  <si>
    <t xml:space="preserve">NPS-04507</t>
  </si>
  <si>
    <t xml:space="preserve">NPS-04760</t>
  </si>
  <si>
    <t xml:space="preserve">NPS-05057</t>
  </si>
  <si>
    <t xml:space="preserve">NPS-05406</t>
  </si>
  <si>
    <t xml:space="preserve">NPS-06025</t>
  </si>
  <si>
    <t xml:space="preserve">NPS-06072</t>
  </si>
  <si>
    <t xml:space="preserve">NPS-00006</t>
  </si>
  <si>
    <t xml:space="preserve">NPS-00317</t>
  </si>
  <si>
    <t xml:space="preserve">NPS-00452</t>
  </si>
  <si>
    <t xml:space="preserve">NPS-01851</t>
  </si>
  <si>
    <t xml:space="preserve">NPS-01882</t>
  </si>
  <si>
    <t xml:space="preserve">NPS-02478</t>
  </si>
  <si>
    <t xml:space="preserve">NPS-02911</t>
  </si>
  <si>
    <t xml:space="preserve">NPS-02947</t>
  </si>
  <si>
    <t xml:space="preserve">NPS-03705</t>
  </si>
  <si>
    <t xml:space="preserve">NPS-04422</t>
  </si>
  <si>
    <t xml:space="preserve">NPS-05501</t>
  </si>
  <si>
    <t xml:space="preserve">NPS-00444</t>
  </si>
  <si>
    <t xml:space="preserve">NPS-01272</t>
  </si>
  <si>
    <t xml:space="preserve">NPS-01990</t>
  </si>
  <si>
    <t xml:space="preserve">NPS-02003</t>
  </si>
  <si>
    <t xml:space="preserve">NPS-02225</t>
  </si>
  <si>
    <t xml:space="preserve">NPS-02541</t>
  </si>
  <si>
    <t xml:space="preserve">NPS-03459</t>
  </si>
  <si>
    <t xml:space="preserve">NPS-04495</t>
  </si>
  <si>
    <t xml:space="preserve">NPS-04508</t>
  </si>
  <si>
    <t xml:space="preserve">NPS-04928</t>
  </si>
  <si>
    <t xml:space="preserve">NPS-05771</t>
  </si>
  <si>
    <t xml:space="preserve">NPS-06188</t>
  </si>
  <si>
    <t xml:space="preserve">NPS-00239</t>
  </si>
  <si>
    <t xml:space="preserve">NPS-02214</t>
  </si>
  <si>
    <t xml:space="preserve">NPS-02266</t>
  </si>
  <si>
    <t xml:space="preserve">NPS-02382</t>
  </si>
  <si>
    <t xml:space="preserve">NPS-02885</t>
  </si>
  <si>
    <t xml:space="preserve">NPS-03011</t>
  </si>
  <si>
    <t xml:space="preserve">NPS-03444</t>
  </si>
  <si>
    <t xml:space="preserve">NPS-03686</t>
  </si>
  <si>
    <t xml:space="preserve">NPS-05025</t>
  </si>
  <si>
    <t xml:space="preserve">NPS-05134</t>
  </si>
  <si>
    <t xml:space="preserve">NPS-06774</t>
  </si>
  <si>
    <t xml:space="preserve">NPS-00235</t>
  </si>
  <si>
    <t xml:space="preserve">NPS-01255</t>
  </si>
  <si>
    <t xml:space="preserve">NPS-01680</t>
  </si>
  <si>
    <t xml:space="preserve">NPS-02031</t>
  </si>
  <si>
    <t xml:space="preserve">NPS-02164</t>
  </si>
  <si>
    <t xml:space="preserve">NPS-02817</t>
  </si>
  <si>
    <t xml:space="preserve">NPS-03979</t>
  </si>
  <si>
    <t xml:space="preserve">NPS-04093</t>
  </si>
  <si>
    <t xml:space="preserve">NPS-04187</t>
  </si>
  <si>
    <t xml:space="preserve">NPS-04573</t>
  </si>
  <si>
    <t xml:space="preserve">NPS-05917</t>
  </si>
  <si>
    <t xml:space="preserve">NPS-06026</t>
  </si>
  <si>
    <t xml:space="preserve">NPS-06159</t>
  </si>
  <si>
    <t xml:space="preserve">NPS-06463</t>
  </si>
  <si>
    <t xml:space="preserve">NPS-00521</t>
  </si>
  <si>
    <t xml:space="preserve">NPS-00629</t>
  </si>
  <si>
    <t xml:space="preserve">NPS-00663</t>
  </si>
  <si>
    <t xml:space="preserve">NPS-01069</t>
  </si>
  <si>
    <t xml:space="preserve">NPS-02205</t>
  </si>
  <si>
    <t xml:space="preserve">NPS-03766</t>
  </si>
  <si>
    <t xml:space="preserve">NPS-04683</t>
  </si>
  <si>
    <t xml:space="preserve">NPS-05547</t>
  </si>
  <si>
    <t xml:space="preserve">industry</t>
  </si>
  <si>
    <t xml:space="preserve">acquisition_channel</t>
  </si>
  <si>
    <t xml:space="preserve">signup_date</t>
  </si>
  <si>
    <t xml:space="preserve">status</t>
  </si>
  <si>
    <t xml:space="preserve">churn_date</t>
  </si>
  <si>
    <t xml:space="preserve">churn_reason</t>
  </si>
  <si>
    <t xml:space="preserve">price_per_seat</t>
  </si>
  <si>
    <t xml:space="preserve">contracted_seats_at_start</t>
  </si>
  <si>
    <t xml:space="preserve">Logistics</t>
  </si>
  <si>
    <t xml:space="preserve">Inbound</t>
  </si>
  <si>
    <t xml:space="preserve">2025-02-25</t>
  </si>
  <si>
    <t xml:space="preserve">Active</t>
  </si>
  <si>
    <t xml:space="preserve">Manufacturing</t>
  </si>
  <si>
    <t xml:space="preserve">Outbound</t>
  </si>
  <si>
    <t xml:space="preserve">2025-10-23</t>
  </si>
  <si>
    <t xml:space="preserve">2026-06-26</t>
  </si>
  <si>
    <t xml:space="preserve">Healthcare</t>
  </si>
  <si>
    <t xml:space="preserve">Self-serve</t>
  </si>
  <si>
    <t xml:space="preserve">2024-09-19</t>
  </si>
  <si>
    <t xml:space="preserve">2026-08-04</t>
  </si>
  <si>
    <t xml:space="preserve">2026-01-11</t>
  </si>
  <si>
    <t xml:space="preserve">Media &amp; Marketing</t>
  </si>
  <si>
    <t xml:space="preserve">Partner</t>
  </si>
  <si>
    <t xml:space="preserve">2024-09-30</t>
  </si>
  <si>
    <t xml:space="preserve">2025-08-08</t>
  </si>
  <si>
    <t xml:space="preserve">Technology</t>
  </si>
  <si>
    <t xml:space="preserve">2024-10-11</t>
  </si>
  <si>
    <t xml:space="preserve">Financial Services</t>
  </si>
  <si>
    <t xml:space="preserve">2025-10-27</t>
  </si>
  <si>
    <t xml:space="preserve">2023-11-30</t>
  </si>
  <si>
    <t xml:space="preserve">2024-04-21</t>
  </si>
  <si>
    <t xml:space="preserve">2024-02-07</t>
  </si>
  <si>
    <t xml:space="preserve">2023-08-09</t>
  </si>
  <si>
    <t xml:space="preserve">ACC-10015</t>
  </si>
  <si>
    <t xml:space="preserve">Northsphere LLC</t>
  </si>
  <si>
    <t xml:space="preserve">Education</t>
  </si>
  <si>
    <t xml:space="preserve">2023-10-14</t>
  </si>
  <si>
    <t xml:space="preserve">Churned</t>
  </si>
  <si>
    <t xml:space="preserve">2024-10-17</t>
  </si>
  <si>
    <t xml:space="preserve">Low adoption</t>
  </si>
  <si>
    <t xml:space="preserve">Corebase Solutions</t>
  </si>
  <si>
    <t xml:space="preserve">2025-04-17</t>
  </si>
  <si>
    <t xml:space="preserve">2025-11-19</t>
  </si>
  <si>
    <t xml:space="preserve">Switched to competitor</t>
  </si>
  <si>
    <t xml:space="preserve">2024-02-10</t>
  </si>
  <si>
    <t xml:space="preserve">2025-04-21</t>
  </si>
  <si>
    <t xml:space="preserve">2024-04-26</t>
  </si>
  <si>
    <t xml:space="preserve">Retail &amp; E-commerce</t>
  </si>
  <si>
    <t xml:space="preserve">2024-04-24</t>
  </si>
  <si>
    <t xml:space="preserve">Atlashub LLC</t>
  </si>
  <si>
    <t xml:space="preserve">2024-06-19</t>
  </si>
  <si>
    <t xml:space="preserve">2026-03-23</t>
  </si>
  <si>
    <t xml:space="preserve">Budget cuts</t>
  </si>
  <si>
    <t xml:space="preserve">2025-12-06</t>
  </si>
  <si>
    <t xml:space="preserve">2024-07-26</t>
  </si>
  <si>
    <t xml:space="preserve">2025-07-07</t>
  </si>
  <si>
    <t xml:space="preserve">2024-10-20</t>
  </si>
  <si>
    <t xml:space="preserve">2026-06-30</t>
  </si>
  <si>
    <t xml:space="preserve">Silverlabs Co</t>
  </si>
  <si>
    <t xml:space="preserve">2024-11-21</t>
  </si>
  <si>
    <t xml:space="preserve">2026-07-16</t>
  </si>
  <si>
    <t xml:space="preserve">2026-01-03</t>
  </si>
  <si>
    <t xml:space="preserve">2025-08-21</t>
  </si>
  <si>
    <t xml:space="preserve">2023-07-01</t>
  </si>
  <si>
    <t xml:space="preserve">2023-07-16</t>
  </si>
  <si>
    <t xml:space="preserve">Vertexstack Co</t>
  </si>
  <si>
    <t xml:space="preserve">2026-03-20</t>
  </si>
  <si>
    <t xml:space="preserve">2026-09-24</t>
  </si>
  <si>
    <t xml:space="preserve">Poor onboarding experience</t>
  </si>
  <si>
    <t xml:space="preserve">2026-04-04</t>
  </si>
  <si>
    <t xml:space="preserve">ACC-10034</t>
  </si>
  <si>
    <t xml:space="preserve">Pixelbase Solutions</t>
  </si>
  <si>
    <t xml:space="preserve">2024-09-02</t>
  </si>
  <si>
    <t xml:space="preserve">2025-07-10</t>
  </si>
  <si>
    <t xml:space="preserve">Company acquired / closed</t>
  </si>
  <si>
    <t xml:space="preserve">2025-03-09</t>
  </si>
  <si>
    <t xml:space="preserve">2024-09-28</t>
  </si>
  <si>
    <t xml:space="preserve">2024-07-25</t>
  </si>
  <si>
    <t xml:space="preserve">2023-09-28</t>
  </si>
  <si>
    <t xml:space="preserve">2025-03-28</t>
  </si>
  <si>
    <t xml:space="preserve">Truebase Co</t>
  </si>
  <si>
    <t xml:space="preserve">2023-12-21</t>
  </si>
  <si>
    <t xml:space="preserve">2026-06-22</t>
  </si>
  <si>
    <t xml:space="preserve">Brightpath Systems</t>
  </si>
  <si>
    <t xml:space="preserve">2024-02-23</t>
  </si>
  <si>
    <t xml:space="preserve">2026-09-19</t>
  </si>
  <si>
    <t xml:space="preserve">2025-01-15</t>
  </si>
  <si>
    <t xml:space="preserve">2024-11-25</t>
  </si>
  <si>
    <t xml:space="preserve">Northlabs LLC</t>
  </si>
  <si>
    <t xml:space="preserve">2025-05-16</t>
  </si>
  <si>
    <t xml:space="preserve">2026-02-15</t>
  </si>
  <si>
    <t xml:space="preserve">2025-05-15</t>
  </si>
  <si>
    <t xml:space="preserve">2025-04-02</t>
  </si>
  <si>
    <t xml:space="preserve">Northflow Co</t>
  </si>
  <si>
    <t xml:space="preserve">2024-02-02</t>
  </si>
  <si>
    <t xml:space="preserve">2026-03-18</t>
  </si>
  <si>
    <t xml:space="preserve">2023-10-06</t>
  </si>
  <si>
    <t xml:space="preserve">Primeline Group</t>
  </si>
  <si>
    <t xml:space="preserve">2025-08-28</t>
  </si>
  <si>
    <t xml:space="preserve">2026-05-12</t>
  </si>
  <si>
    <t xml:space="preserve">2025-09-26</t>
  </si>
  <si>
    <t xml:space="preserve">2026-03-07</t>
  </si>
  <si>
    <t xml:space="preserve">2023-11-12</t>
  </si>
  <si>
    <t xml:space="preserve">2025-12-25</t>
  </si>
  <si>
    <t xml:space="preserve">Lumenforge Group</t>
  </si>
  <si>
    <t xml:space="preserve">2025-04-08</t>
  </si>
  <si>
    <t xml:space="preserve">2026-02-08</t>
  </si>
  <si>
    <t xml:space="preserve">Vertexworks Co</t>
  </si>
  <si>
    <t xml:space="preserve">2025-04-13</t>
  </si>
  <si>
    <t xml:space="preserve">2025-11-16</t>
  </si>
  <si>
    <t xml:space="preserve">2023-08-14</t>
  </si>
  <si>
    <t xml:space="preserve">Primepoint Systems</t>
  </si>
  <si>
    <t xml:space="preserve">2025-02-13</t>
  </si>
  <si>
    <t xml:space="preserve">2026-07-25</t>
  </si>
  <si>
    <t xml:space="preserve">2026-08-17</t>
  </si>
  <si>
    <t xml:space="preserve">2025-03-17</t>
  </si>
  <si>
    <t xml:space="preserve">2026-05-29</t>
  </si>
  <si>
    <t xml:space="preserve">Peakbase Co</t>
  </si>
  <si>
    <t xml:space="preserve">2024-10-18</t>
  </si>
  <si>
    <t xml:space="preserve">2026-01-06</t>
  </si>
  <si>
    <t xml:space="preserve">2026-06-02</t>
  </si>
  <si>
    <t xml:space="preserve">Boldsphere Solutions</t>
  </si>
  <si>
    <t xml:space="preserve">2025-09-24</t>
  </si>
  <si>
    <t xml:space="preserve">2025-12-26</t>
  </si>
  <si>
    <t xml:space="preserve">2025-06-29</t>
  </si>
  <si>
    <t xml:space="preserve">Clearflow Group</t>
  </si>
  <si>
    <t xml:space="preserve">2025-01-06</t>
  </si>
  <si>
    <t xml:space="preserve">2026-03-09</t>
  </si>
  <si>
    <t xml:space="preserve">2025-09-13</t>
  </si>
  <si>
    <t xml:space="preserve">2025-06-12</t>
  </si>
  <si>
    <t xml:space="preserve">2024-05-27</t>
  </si>
  <si>
    <t xml:space="preserve">2025-04-27</t>
  </si>
  <si>
    <t xml:space="preserve">2025-11-15</t>
  </si>
  <si>
    <t xml:space="preserve">ACC-10071</t>
  </si>
  <si>
    <t xml:space="preserve">Lumengrid Systems</t>
  </si>
  <si>
    <t xml:space="preserve">2023-09-04</t>
  </si>
  <si>
    <t xml:space="preserve">2025-04-25</t>
  </si>
  <si>
    <t xml:space="preserve">2026-05-10</t>
  </si>
  <si>
    <t xml:space="preserve">ACC-10073</t>
  </si>
  <si>
    <t xml:space="preserve">Lumenly Systems</t>
  </si>
  <si>
    <t xml:space="preserve">2024-02-22</t>
  </si>
  <si>
    <t xml:space="preserve">2025-07-24</t>
  </si>
  <si>
    <t xml:space="preserve">Missing features</t>
  </si>
  <si>
    <t xml:space="preserve">2023-07-03</t>
  </si>
  <si>
    <t xml:space="preserve">2026-08-09</t>
  </si>
  <si>
    <t xml:space="preserve">2026-05-31</t>
  </si>
  <si>
    <t xml:space="preserve">2025-08-07</t>
  </si>
  <si>
    <t xml:space="preserve">2026-04-02</t>
  </si>
  <si>
    <t xml:space="preserve">2026-03-16</t>
  </si>
  <si>
    <t xml:space="preserve">2026-05-17</t>
  </si>
  <si>
    <t xml:space="preserve">2026-06-25</t>
  </si>
  <si>
    <t xml:space="preserve">2025-08-25</t>
  </si>
  <si>
    <t xml:space="preserve">Novalabs Inc</t>
  </si>
  <si>
    <t xml:space="preserve">2024-02-25</t>
  </si>
  <si>
    <t xml:space="preserve">2025-12-05</t>
  </si>
  <si>
    <t xml:space="preserve">2026-04-17</t>
  </si>
  <si>
    <t xml:space="preserve">2026-06-06</t>
  </si>
  <si>
    <t xml:space="preserve">2024-06-11</t>
  </si>
  <si>
    <t xml:space="preserve">2025-03-22</t>
  </si>
  <si>
    <t xml:space="preserve">2026-06-10</t>
  </si>
  <si>
    <t xml:space="preserve">2023-10-03</t>
  </si>
  <si>
    <t xml:space="preserve">2024-05-12</t>
  </si>
  <si>
    <t xml:space="preserve">2023-11-08</t>
  </si>
  <si>
    <t xml:space="preserve">ACC-10094</t>
  </si>
  <si>
    <t xml:space="preserve">Lumenbase LLC</t>
  </si>
  <si>
    <t xml:space="preserve">2024-01-07</t>
  </si>
  <si>
    <t xml:space="preserve">2024-11-03</t>
  </si>
  <si>
    <t xml:space="preserve">2025-03-07</t>
  </si>
  <si>
    <t xml:space="preserve">2024-02-27</t>
  </si>
  <si>
    <t xml:space="preserve">2026-02-19</t>
  </si>
  <si>
    <t xml:space="preserve">2023-07-18</t>
  </si>
  <si>
    <t xml:space="preserve">2026-08-16</t>
  </si>
  <si>
    <t xml:space="preserve">2024-07-08</t>
  </si>
  <si>
    <t xml:space="preserve">2026-05-25</t>
  </si>
  <si>
    <t xml:space="preserve">Vertexpoint Solutions</t>
  </si>
  <si>
    <t xml:space="preserve">2023-07-23</t>
  </si>
  <si>
    <t xml:space="preserve">2026-01-14</t>
  </si>
  <si>
    <t xml:space="preserve">2024-08-22</t>
  </si>
  <si>
    <t xml:space="preserve">2026-06-14</t>
  </si>
  <si>
    <t xml:space="preserve">2024-09-11</t>
  </si>
  <si>
    <t xml:space="preserve">2025-10-21</t>
  </si>
  <si>
    <t xml:space="preserve">2023-09-08</t>
  </si>
  <si>
    <t xml:space="preserve">2024-06-01</t>
  </si>
  <si>
    <t xml:space="preserve">2025-08-15</t>
  </si>
  <si>
    <t xml:space="preserve">Corelabs Technologies</t>
  </si>
  <si>
    <t xml:space="preserve">2026-03-22</t>
  </si>
  <si>
    <t xml:space="preserve">2026-08-08</t>
  </si>
  <si>
    <t xml:space="preserve">2024-05-18</t>
  </si>
  <si>
    <t xml:space="preserve">ACC-10117</t>
  </si>
  <si>
    <t xml:space="preserve">Urbanly LLC</t>
  </si>
  <si>
    <t xml:space="preserve">2024-05-11</t>
  </si>
  <si>
    <t xml:space="preserve">2025-03-11</t>
  </si>
  <si>
    <t xml:space="preserve">2023-09-07</t>
  </si>
  <si>
    <t xml:space="preserve">2024-12-29</t>
  </si>
  <si>
    <t xml:space="preserve">2024-07-19</t>
  </si>
  <si>
    <t xml:space="preserve">ACC-10122</t>
  </si>
  <si>
    <t xml:space="preserve">Vertexsphere Ltd</t>
  </si>
  <si>
    <t xml:space="preserve">2026-04-03</t>
  </si>
  <si>
    <t xml:space="preserve">2026-07-14</t>
  </si>
  <si>
    <t xml:space="preserve">2026-07-26</t>
  </si>
  <si>
    <t xml:space="preserve">2023-12-22</t>
  </si>
  <si>
    <t xml:space="preserve">2024-02-04</t>
  </si>
  <si>
    <t xml:space="preserve">2025-11-22</t>
  </si>
  <si>
    <t xml:space="preserve">2026-08-12</t>
  </si>
  <si>
    <t xml:space="preserve">2024-07-12</t>
  </si>
  <si>
    <t xml:space="preserve">2026-04-13</t>
  </si>
  <si>
    <t xml:space="preserve">2024-01-22</t>
  </si>
  <si>
    <t xml:space="preserve">2025-10-25</t>
  </si>
  <si>
    <t xml:space="preserve">Coremind Inc</t>
  </si>
  <si>
    <t xml:space="preserve">2025-05-22</t>
  </si>
  <si>
    <t xml:space="preserve">2026-02-05</t>
  </si>
  <si>
    <t xml:space="preserve">2025-08-09</t>
  </si>
  <si>
    <t xml:space="preserve">2023-12-16</t>
  </si>
  <si>
    <t xml:space="preserve">2024-11-18</t>
  </si>
  <si>
    <t xml:space="preserve">2026-01-31</t>
  </si>
  <si>
    <t xml:space="preserve">Boldlabs Group</t>
  </si>
  <si>
    <t xml:space="preserve">2024-10-22</t>
  </si>
  <si>
    <t xml:space="preserve">2025-12-24</t>
  </si>
  <si>
    <t xml:space="preserve">2024-02-24</t>
  </si>
  <si>
    <t xml:space="preserve">2024-07-20</t>
  </si>
  <si>
    <t xml:space="preserve">2024-12-06</t>
  </si>
  <si>
    <t xml:space="preserve">2026-02-26</t>
  </si>
  <si>
    <t xml:space="preserve">2026-03-03</t>
  </si>
  <si>
    <t xml:space="preserve">2026-02-28</t>
  </si>
  <si>
    <t xml:space="preserve">2026-05-18</t>
  </si>
  <si>
    <t xml:space="preserve">ACC-10151</t>
  </si>
  <si>
    <t xml:space="preserve">Atlasbase Inc</t>
  </si>
  <si>
    <t xml:space="preserve">2024-04-03</t>
  </si>
  <si>
    <t xml:space="preserve">2025-04-18</t>
  </si>
  <si>
    <t xml:space="preserve">2026-01-24</t>
  </si>
  <si>
    <t xml:space="preserve">2025-09-10</t>
  </si>
  <si>
    <t xml:space="preserve">2026-06-13</t>
  </si>
  <si>
    <t xml:space="preserve">2024-09-23</t>
  </si>
  <si>
    <t xml:space="preserve">Boldlabs Inc</t>
  </si>
  <si>
    <t xml:space="preserve">2023-10-23</t>
  </si>
  <si>
    <t xml:space="preserve">2025-10-19</t>
  </si>
  <si>
    <t xml:space="preserve">2026-07-13</t>
  </si>
  <si>
    <t xml:space="preserve">2024-06-07</t>
  </si>
  <si>
    <t xml:space="preserve">2025-11-09</t>
  </si>
  <si>
    <t xml:space="preserve">2026-01-15</t>
  </si>
  <si>
    <t xml:space="preserve">2023-07-12</t>
  </si>
  <si>
    <t xml:space="preserve">ACC-10163</t>
  </si>
  <si>
    <t xml:space="preserve">Pixelsphere Inc</t>
  </si>
  <si>
    <t xml:space="preserve">2023-11-20</t>
  </si>
  <si>
    <t xml:space="preserve">2024-03-13</t>
  </si>
  <si>
    <t xml:space="preserve">ACC-10164</t>
  </si>
  <si>
    <t xml:space="preserve">Atlasbridge Group</t>
  </si>
  <si>
    <t xml:space="preserve">2023-12-25</t>
  </si>
  <si>
    <t xml:space="preserve">2025-07-13</t>
  </si>
  <si>
    <t xml:space="preserve">2024-06-13</t>
  </si>
  <si>
    <t xml:space="preserve">ACC-10166</t>
  </si>
  <si>
    <t xml:space="preserve">Bluepoint Solutions</t>
  </si>
  <si>
    <t xml:space="preserve">2023-08-18</t>
  </si>
  <si>
    <t xml:space="preserve">2025-08-05</t>
  </si>
  <si>
    <t xml:space="preserve">2025-11-06</t>
  </si>
  <si>
    <t xml:space="preserve">2026-02-25</t>
  </si>
  <si>
    <t xml:space="preserve">2026-06-17</t>
  </si>
  <si>
    <t xml:space="preserve">2026-02-07</t>
  </si>
  <si>
    <t xml:space="preserve">2024-01-28</t>
  </si>
  <si>
    <t xml:space="preserve">2024-09-08</t>
  </si>
  <si>
    <t xml:space="preserve">2026-02-18</t>
  </si>
  <si>
    <t xml:space="preserve">2024-09-29</t>
  </si>
  <si>
    <t xml:space="preserve">ACC-10176</t>
  </si>
  <si>
    <t xml:space="preserve">Peakworks Solutions</t>
  </si>
  <si>
    <t xml:space="preserve">2024-08-19</t>
  </si>
  <si>
    <t xml:space="preserve">2025-06-08</t>
  </si>
  <si>
    <t xml:space="preserve">2026-05-03</t>
  </si>
  <si>
    <t xml:space="preserve">Peakline Solutions</t>
  </si>
  <si>
    <t xml:space="preserve">2024-11-15</t>
  </si>
  <si>
    <t xml:space="preserve">2025-11-21</t>
  </si>
  <si>
    <t xml:space="preserve">2023-10-04</t>
  </si>
  <si>
    <t xml:space="preserve">2024-03-14</t>
  </si>
  <si>
    <t xml:space="preserve">2024-03-27</t>
  </si>
  <si>
    <t xml:space="preserve">2024-01-20</t>
  </si>
  <si>
    <t xml:space="preserve">2024-10-27</t>
  </si>
  <si>
    <t xml:space="preserve">2023-08-22</t>
  </si>
  <si>
    <t xml:space="preserve">2024-10-04</t>
  </si>
  <si>
    <t xml:space="preserve">2025-03-29</t>
  </si>
  <si>
    <t xml:space="preserve">Northflow Group</t>
  </si>
  <si>
    <t xml:space="preserve">2025-07-16</t>
  </si>
  <si>
    <t xml:space="preserve">2025-10-16</t>
  </si>
  <si>
    <t xml:space="preserve">2025-07-21</t>
  </si>
  <si>
    <t xml:space="preserve">ACC-10190</t>
  </si>
  <si>
    <t xml:space="preserve">Swiftwave Technologies</t>
  </si>
  <si>
    <t xml:space="preserve">2025-05-17</t>
  </si>
  <si>
    <t xml:space="preserve">2025-02-10</t>
  </si>
  <si>
    <t xml:space="preserve">2025-06-28</t>
  </si>
  <si>
    <t xml:space="preserve">2024-11-17</t>
  </si>
  <si>
    <t xml:space="preserve">Swiftline Ltd</t>
  </si>
  <si>
    <t xml:space="preserve">2024-06-15</t>
  </si>
  <si>
    <t xml:space="preserve">2026-01-01</t>
  </si>
  <si>
    <t xml:space="preserve">2024-08-08</t>
  </si>
  <si>
    <t xml:space="preserve">2024-09-26</t>
  </si>
  <si>
    <t xml:space="preserve">ACC-10197</t>
  </si>
  <si>
    <t xml:space="preserve">Brightbase Inc</t>
  </si>
  <si>
    <t xml:space="preserve">2023-09-27</t>
  </si>
  <si>
    <t xml:space="preserve">2024-06-09</t>
  </si>
  <si>
    <t xml:space="preserve">2024-03-16</t>
  </si>
  <si>
    <t xml:space="preserve">2023-12-23</t>
  </si>
  <si>
    <t xml:space="preserve">Urbanmind LLC</t>
  </si>
  <si>
    <t xml:space="preserve">2025-11-18</t>
  </si>
  <si>
    <t xml:space="preserve">2026-05-24</t>
  </si>
  <si>
    <t xml:space="preserve">2024-04-19</t>
  </si>
  <si>
    <t xml:space="preserve">2025-02-27</t>
  </si>
  <si>
    <t xml:space="preserve">ACC-10203</t>
  </si>
  <si>
    <t xml:space="preserve">Vertexlabs Co</t>
  </si>
  <si>
    <t xml:space="preserve">2025-01-07</t>
  </si>
  <si>
    <t xml:space="preserve">ACC-10204</t>
  </si>
  <si>
    <t xml:space="preserve">Northmind Ltd</t>
  </si>
  <si>
    <t xml:space="preserve">2024-03-25</t>
  </si>
  <si>
    <t xml:space="preserve">2025-09-01</t>
  </si>
  <si>
    <t xml:space="preserve">2024-07-01</t>
  </si>
  <si>
    <t xml:space="preserve">ACC-10206</t>
  </si>
  <si>
    <t xml:space="preserve">Lumencraft Solutions</t>
  </si>
  <si>
    <t xml:space="preserve">2023-11-05</t>
  </si>
  <si>
    <t xml:space="preserve">2024-07-10</t>
  </si>
  <si>
    <t xml:space="preserve">2025-07-14</t>
  </si>
  <si>
    <t xml:space="preserve">2025-05-19</t>
  </si>
  <si>
    <t xml:space="preserve">2025-12-23</t>
  </si>
  <si>
    <t xml:space="preserve">Novabase Systems</t>
  </si>
  <si>
    <t xml:space="preserve">2024-11-20</t>
  </si>
  <si>
    <t xml:space="preserve">2026-08-19</t>
  </si>
  <si>
    <t xml:space="preserve">2025-02-05</t>
  </si>
  <si>
    <t xml:space="preserve">2024-07-23</t>
  </si>
  <si>
    <t xml:space="preserve">Clearforge Systems</t>
  </si>
  <si>
    <t xml:space="preserve">2025-09-11</t>
  </si>
  <si>
    <t xml:space="preserve">2025-11-25</t>
  </si>
  <si>
    <t xml:space="preserve">2024-06-29</t>
  </si>
  <si>
    <t xml:space="preserve">2024-12-28</t>
  </si>
  <si>
    <t xml:space="preserve">2024-08-26</t>
  </si>
  <si>
    <t xml:space="preserve">2025-06-05</t>
  </si>
  <si>
    <t xml:space="preserve">2024-11-28</t>
  </si>
  <si>
    <t xml:space="preserve">2023-12-07</t>
  </si>
  <si>
    <t xml:space="preserve">2023-12-12</t>
  </si>
  <si>
    <t xml:space="preserve">2024-12-19</t>
  </si>
  <si>
    <t xml:space="preserve">2026-01-08</t>
  </si>
  <si>
    <t xml:space="preserve">2024-10-15</t>
  </si>
  <si>
    <t xml:space="preserve">2024-05-02</t>
  </si>
  <si>
    <t xml:space="preserve">Swiftline LLC</t>
  </si>
  <si>
    <t xml:space="preserve">2024-06-03</t>
  </si>
  <si>
    <t xml:space="preserve">ACC-10235</t>
  </si>
  <si>
    <t xml:space="preserve">Silverly Systems</t>
  </si>
  <si>
    <t xml:space="preserve">2025-08-18</t>
  </si>
  <si>
    <t xml:space="preserve">2025-12-27</t>
  </si>
  <si>
    <t xml:space="preserve">ACC-10237</t>
  </si>
  <si>
    <t xml:space="preserve">Boldline Co</t>
  </si>
  <si>
    <t xml:space="preserve">2023-09-23</t>
  </si>
  <si>
    <t xml:space="preserve">2025-07-23</t>
  </si>
  <si>
    <t xml:space="preserve">2026-05-16</t>
  </si>
  <si>
    <t xml:space="preserve">Northline Group</t>
  </si>
  <si>
    <t xml:space="preserve">2026-02-12</t>
  </si>
  <si>
    <t xml:space="preserve">2025-03-06</t>
  </si>
  <si>
    <t xml:space="preserve">2025-12-22</t>
  </si>
  <si>
    <t xml:space="preserve">ACC-10242</t>
  </si>
  <si>
    <t xml:space="preserve">Corestack Solutions</t>
  </si>
  <si>
    <t xml:space="preserve">2024-01-31</t>
  </si>
  <si>
    <t xml:space="preserve">2024-09-22</t>
  </si>
  <si>
    <t xml:space="preserve">Lumenflow Inc</t>
  </si>
  <si>
    <t xml:space="preserve">2023-11-03</t>
  </si>
  <si>
    <t xml:space="preserve">2025-01-31</t>
  </si>
  <si>
    <t xml:space="preserve">ACC-10248</t>
  </si>
  <si>
    <t xml:space="preserve">Swiftbase Solutions</t>
  </si>
  <si>
    <t xml:space="preserve">2024-08-11</t>
  </si>
  <si>
    <t xml:space="preserve">2024-04-11</t>
  </si>
  <si>
    <t xml:space="preserve">2023-08-17</t>
  </si>
  <si>
    <t xml:space="preserve">2024-10-12</t>
  </si>
  <si>
    <t xml:space="preserve">2026-03-08</t>
  </si>
  <si>
    <t xml:space="preserve">Northwave Co</t>
  </si>
  <si>
    <t xml:space="preserve">2025-10-02</t>
  </si>
  <si>
    <t xml:space="preserve">ACC-10256</t>
  </si>
  <si>
    <t xml:space="preserve">Novahub Systems</t>
  </si>
  <si>
    <t xml:space="preserve">2025-05-12</t>
  </si>
  <si>
    <t xml:space="preserve">2025-08-12</t>
  </si>
  <si>
    <t xml:space="preserve">2025-07-11</t>
  </si>
  <si>
    <t xml:space="preserve">Coreforge Inc</t>
  </si>
  <si>
    <t xml:space="preserve">2025-10-28</t>
  </si>
  <si>
    <t xml:space="preserve">2024-12-01</t>
  </si>
  <si>
    <t xml:space="preserve">ACC-10261</t>
  </si>
  <si>
    <t xml:space="preserve">Apexbridge Co</t>
  </si>
  <si>
    <t xml:space="preserve">2024-12-16</t>
  </si>
  <si>
    <t xml:space="preserve">2024-10-13</t>
  </si>
  <si>
    <t xml:space="preserve">2026-06-09</t>
  </si>
  <si>
    <t xml:space="preserve">ACC-10264</t>
  </si>
  <si>
    <t xml:space="preserve">Vertexlogic Systems</t>
  </si>
  <si>
    <t xml:space="preserve">2024-06-10</t>
  </si>
  <si>
    <t xml:space="preserve">2024-11-12</t>
  </si>
  <si>
    <t xml:space="preserve">2024-08-02</t>
  </si>
  <si>
    <t xml:space="preserve">2024-11-14</t>
  </si>
  <si>
    <t xml:space="preserve">2026-03-17</t>
  </si>
  <si>
    <t xml:space="preserve">2026-03-05</t>
  </si>
  <si>
    <t xml:space="preserve">2025-09-16</t>
  </si>
  <si>
    <t xml:space="preserve">2026-05-05</t>
  </si>
  <si>
    <t xml:space="preserve">2024-09-01</t>
  </si>
  <si>
    <t xml:space="preserve">2025-05-30</t>
  </si>
  <si>
    <t xml:space="preserve">ACC-10276</t>
  </si>
  <si>
    <t xml:space="preserve">Silverbridge Technologies</t>
  </si>
  <si>
    <t xml:space="preserve">2026-04-27</t>
  </si>
  <si>
    <t xml:space="preserve">2026-08-05</t>
  </si>
  <si>
    <t xml:space="preserve">2023-10-01</t>
  </si>
  <si>
    <t xml:space="preserve">2023-07-14</t>
  </si>
  <si>
    <t xml:space="preserve">2023-10-20</t>
  </si>
  <si>
    <t xml:space="preserve">2024-08-25</t>
  </si>
  <si>
    <t xml:space="preserve">2026-08-02</t>
  </si>
  <si>
    <t xml:space="preserve">2025-02-23</t>
  </si>
  <si>
    <t xml:space="preserve">2024-04-05</t>
  </si>
  <si>
    <t xml:space="preserve">2026-06-16</t>
  </si>
  <si>
    <t xml:space="preserve">2024-09-15</t>
  </si>
  <si>
    <t xml:space="preserve">Orbitline Group</t>
  </si>
  <si>
    <t xml:space="preserve">2024-01-02</t>
  </si>
  <si>
    <t xml:space="preserve">2026-06-23</t>
  </si>
  <si>
    <t xml:space="preserve">2023-09-19</t>
  </si>
  <si>
    <t xml:space="preserve">2024-11-04</t>
  </si>
  <si>
    <t xml:space="preserve">2024-10-29</t>
  </si>
  <si>
    <t xml:space="preserve">2025-07-02</t>
  </si>
  <si>
    <t xml:space="preserve">Novanest Ltd</t>
  </si>
  <si>
    <t xml:space="preserve">2024-05-25</t>
  </si>
  <si>
    <t xml:space="preserve">2026-06-08</t>
  </si>
  <si>
    <t xml:space="preserve">2026-06-24</t>
  </si>
  <si>
    <t xml:space="preserve">2025-10-12</t>
  </si>
  <si>
    <t xml:space="preserve">Atlashub Co</t>
  </si>
  <si>
    <t xml:space="preserve">2024-10-02</t>
  </si>
  <si>
    <t xml:space="preserve">2026-08-25</t>
  </si>
  <si>
    <t xml:space="preserve">2024-09-10</t>
  </si>
  <si>
    <t xml:space="preserve">2025-03-21</t>
  </si>
  <si>
    <t xml:space="preserve">2026-01-13</t>
  </si>
  <si>
    <t xml:space="preserve">2023-12-29</t>
  </si>
  <si>
    <t xml:space="preserve">2024-11-11</t>
  </si>
  <si>
    <t xml:space="preserve">ACC-10311</t>
  </si>
  <si>
    <t xml:space="preserve">Atlashub Technologies</t>
  </si>
  <si>
    <t xml:space="preserve">2023-12-17</t>
  </si>
  <si>
    <t xml:space="preserve">2024-04-25</t>
  </si>
  <si>
    <t xml:space="preserve">2025-12-12</t>
  </si>
  <si>
    <t xml:space="preserve">2023-10-18</t>
  </si>
  <si>
    <t xml:space="preserve">2024-03-21</t>
  </si>
  <si>
    <t xml:space="preserve">2024-11-10</t>
  </si>
  <si>
    <t xml:space="preserve">2026-02-22</t>
  </si>
  <si>
    <t xml:space="preserve">2023-10-02</t>
  </si>
  <si>
    <t xml:space="preserve">ACC-10319</t>
  </si>
  <si>
    <t xml:space="preserve">Novabase Co</t>
  </si>
  <si>
    <t xml:space="preserve">2025-03-24</t>
  </si>
  <si>
    <t xml:space="preserve">2025-06-23</t>
  </si>
  <si>
    <t xml:space="preserve">2026-03-11</t>
  </si>
  <si>
    <t xml:space="preserve">2024-08-28</t>
  </si>
  <si>
    <t xml:space="preserve">ACC-10322</t>
  </si>
  <si>
    <t xml:space="preserve">Greenpoint Ltd</t>
  </si>
  <si>
    <t xml:space="preserve">2023-09-21</t>
  </si>
  <si>
    <t xml:space="preserve">2024-09-14</t>
  </si>
  <si>
    <t xml:space="preserve">2024-10-14</t>
  </si>
  <si>
    <t xml:space="preserve">2026-03-15</t>
  </si>
  <si>
    <t xml:space="preserve">2025-12-07</t>
  </si>
  <si>
    <t xml:space="preserve">2025-10-15</t>
  </si>
  <si>
    <t xml:space="preserve">2025-08-24</t>
  </si>
  <si>
    <t xml:space="preserve">2025-10-09</t>
  </si>
  <si>
    <t xml:space="preserve">Atlaswave Solutions</t>
  </si>
  <si>
    <t xml:space="preserve">2026-07-07</t>
  </si>
  <si>
    <t xml:space="preserve">2025-05-05</t>
  </si>
  <si>
    <t xml:space="preserve">2023-10-26</t>
  </si>
  <si>
    <t xml:space="preserve">2025-01-11</t>
  </si>
  <si>
    <t xml:space="preserve">2026-01-12</t>
  </si>
  <si>
    <t xml:space="preserve">2025-07-01</t>
  </si>
  <si>
    <t xml:space="preserve">2026-02-13</t>
  </si>
  <si>
    <t xml:space="preserve">2024-07-11</t>
  </si>
  <si>
    <t xml:space="preserve">2025-08-06</t>
  </si>
  <si>
    <t xml:space="preserve">2025-09-07</t>
  </si>
  <si>
    <t xml:space="preserve">2026-02-06</t>
  </si>
  <si>
    <t xml:space="preserve">Lumenbase Systems</t>
  </si>
  <si>
    <t xml:space="preserve">2025-10-06</t>
  </si>
  <si>
    <t xml:space="preserve">2024-01-08</t>
  </si>
  <si>
    <t xml:space="preserve">2023-11-11</t>
  </si>
  <si>
    <t xml:space="preserve">2025-02-03</t>
  </si>
  <si>
    <t xml:space="preserve">2025-01-01</t>
  </si>
  <si>
    <t xml:space="preserve">2025-09-12</t>
  </si>
  <si>
    <t xml:space="preserve">2026-01-05</t>
  </si>
  <si>
    <t xml:space="preserve">ACC-10353</t>
  </si>
  <si>
    <t xml:space="preserve">Silverscale Group</t>
  </si>
  <si>
    <t xml:space="preserve">2024-10-26</t>
  </si>
  <si>
    <t xml:space="preserve">Truemind Technologies</t>
  </si>
  <si>
    <t xml:space="preserve">2025-02-19</t>
  </si>
  <si>
    <t xml:space="preserve">2026-04-22</t>
  </si>
  <si>
    <t xml:space="preserve">2024-01-13</t>
  </si>
  <si>
    <t xml:space="preserve">2025-08-29</t>
  </si>
  <si>
    <t xml:space="preserve">2025-04-16</t>
  </si>
  <si>
    <t xml:space="preserve">2025-05-01</t>
  </si>
  <si>
    <t xml:space="preserve">2024-09-25</t>
  </si>
  <si>
    <t xml:space="preserve">Bluegrid Systems</t>
  </si>
  <si>
    <t xml:space="preserve">2023-10-15</t>
  </si>
  <si>
    <t xml:space="preserve">2025-10-14</t>
  </si>
  <si>
    <t xml:space="preserve">2025-12-20</t>
  </si>
  <si>
    <t xml:space="preserve">ACC-10367</t>
  </si>
  <si>
    <t xml:space="preserve">Primepath Inc</t>
  </si>
  <si>
    <t xml:space="preserve">2023-10-09</t>
  </si>
  <si>
    <t xml:space="preserve">Silvergrid Ltd</t>
  </si>
  <si>
    <t xml:space="preserve">2025-04-05</t>
  </si>
  <si>
    <t xml:space="preserve">2025-01-27</t>
  </si>
  <si>
    <t xml:space="preserve">2024-05-09</t>
  </si>
  <si>
    <t xml:space="preserve">2023-07-13</t>
  </si>
  <si>
    <t xml:space="preserve">2025-06-09</t>
  </si>
  <si>
    <t xml:space="preserve">2024-11-02</t>
  </si>
  <si>
    <t xml:space="preserve">2025-10-24</t>
  </si>
  <si>
    <t xml:space="preserve">2024-12-17</t>
  </si>
  <si>
    <t xml:space="preserve">2023-08-19</t>
  </si>
  <si>
    <t xml:space="preserve">2024-06-16</t>
  </si>
  <si>
    <t xml:space="preserve">ACC-10383</t>
  </si>
  <si>
    <t xml:space="preserve">Silverwave Co</t>
  </si>
  <si>
    <t xml:space="preserve">2023-08-30</t>
  </si>
  <si>
    <t xml:space="preserve">2025-12-31</t>
  </si>
  <si>
    <t xml:space="preserve">ACC-10385</t>
  </si>
  <si>
    <t xml:space="preserve">Greenhub Ltd</t>
  </si>
  <si>
    <t xml:space="preserve">2025-10-20</t>
  </si>
  <si>
    <t xml:space="preserve">2024-11-01</t>
  </si>
  <si>
    <t xml:space="preserve">2024-02-28</t>
  </si>
  <si>
    <t xml:space="preserve">2025-06-25</t>
  </si>
  <si>
    <t xml:space="preserve">2023-11-19</t>
  </si>
  <si>
    <t xml:space="preserve">2026-04-14</t>
  </si>
  <si>
    <t xml:space="preserve">2026-08-21</t>
  </si>
  <si>
    <t xml:space="preserve">Truecraft Group</t>
  </si>
  <si>
    <t xml:space="preserve">Corestack Technologies</t>
  </si>
  <si>
    <t xml:space="preserve">2023-09-02</t>
  </si>
  <si>
    <t xml:space="preserve">2026-02-20</t>
  </si>
  <si>
    <t xml:space="preserve">2026-03-06</t>
  </si>
  <si>
    <t xml:space="preserve">Northgrid Systems</t>
  </si>
  <si>
    <t xml:space="preserve">2025-12-04</t>
  </si>
  <si>
    <t xml:space="preserve">2025-11-14</t>
  </si>
  <si>
    <t xml:space="preserve">Vertexcraft Inc</t>
  </si>
  <si>
    <t xml:space="preserve">2025-10-10</t>
  </si>
  <si>
    <t xml:space="preserve">2026-07-01</t>
  </si>
  <si>
    <t xml:space="preserve">2026-08-01</t>
  </si>
  <si>
    <t xml:space="preserve">2023-08-31</t>
  </si>
  <si>
    <t xml:space="preserve">2024-08-29</t>
  </si>
  <si>
    <t xml:space="preserve">2024-03-18</t>
  </si>
  <si>
    <t xml:space="preserve">2026-02-16</t>
  </si>
  <si>
    <t xml:space="preserve">2025-02-21</t>
  </si>
  <si>
    <t xml:space="preserve">ACC-10415</t>
  </si>
  <si>
    <t xml:space="preserve">Primeworks Systems</t>
  </si>
  <si>
    <t xml:space="preserve">2024-02-09</t>
  </si>
  <si>
    <t xml:space="preserve">2025-06-02</t>
  </si>
  <si>
    <t xml:space="preserve">2025-05-28</t>
  </si>
  <si>
    <t xml:space="preserve">ACC-10419</t>
  </si>
  <si>
    <t xml:space="preserve">Urbannest Solutions</t>
  </si>
  <si>
    <t xml:space="preserve">2023-07-11</t>
  </si>
  <si>
    <t xml:space="preserve">2024-10-24</t>
  </si>
  <si>
    <t xml:space="preserve">2026-05-02</t>
  </si>
  <si>
    <t xml:space="preserve">2024-01-15</t>
  </si>
  <si>
    <t xml:space="preserve">ACC-10426</t>
  </si>
  <si>
    <t xml:space="preserve">Clearly Co</t>
  </si>
  <si>
    <t xml:space="preserve">2025-02-07</t>
  </si>
  <si>
    <t xml:space="preserve">ACC-10427</t>
  </si>
  <si>
    <t xml:space="preserve">Apexflow Group</t>
  </si>
  <si>
    <t xml:space="preserve">2023-08-02</t>
  </si>
  <si>
    <t xml:space="preserve">ACC-10428</t>
  </si>
  <si>
    <t xml:space="preserve">Boldlogic Systems</t>
  </si>
  <si>
    <t xml:space="preserve">2024-03-09</t>
  </si>
  <si>
    <t xml:space="preserve">ACC-10429</t>
  </si>
  <si>
    <t xml:space="preserve">Swiftly LLC</t>
  </si>
  <si>
    <t xml:space="preserve">2026-06-27</t>
  </si>
  <si>
    <t xml:space="preserve">2024-05-03</t>
  </si>
  <si>
    <t xml:space="preserve">2025-01-05</t>
  </si>
  <si>
    <t xml:space="preserve">2025-05-10</t>
  </si>
  <si>
    <t xml:space="preserve">ACC-10433</t>
  </si>
  <si>
    <t xml:space="preserve">Peakmind Systems</t>
  </si>
  <si>
    <t xml:space="preserve">2025-05-02</t>
  </si>
  <si>
    <t xml:space="preserve">Apexworks Inc</t>
  </si>
  <si>
    <t xml:space="preserve">2023-11-02</t>
  </si>
  <si>
    <t xml:space="preserve">2026-01-27</t>
  </si>
  <si>
    <t xml:space="preserve">ACC-10439</t>
  </si>
  <si>
    <t xml:space="preserve">Atlasly Systems</t>
  </si>
  <si>
    <t xml:space="preserve">2025-12-30</t>
  </si>
  <si>
    <t xml:space="preserve">2026-07-28</t>
  </si>
  <si>
    <t xml:space="preserve">2026-05-19</t>
  </si>
  <si>
    <t xml:space="preserve">ACC-10445</t>
  </si>
  <si>
    <t xml:space="preserve">Swiftlogic Co</t>
  </si>
  <si>
    <t xml:space="preserve">2024-07-15</t>
  </si>
  <si>
    <t xml:space="preserve">2025-01-18</t>
  </si>
  <si>
    <t xml:space="preserve">2025-01-16</t>
  </si>
  <si>
    <t xml:space="preserve">2025-05-31</t>
  </si>
  <si>
    <t xml:space="preserve">2025-04-24</t>
  </si>
  <si>
    <t xml:space="preserve">2026-05-23</t>
  </si>
  <si>
    <t xml:space="preserve">2024-03-02</t>
  </si>
  <si>
    <t xml:space="preserve">2024-12-05</t>
  </si>
  <si>
    <t xml:space="preserve">2026-01-28</t>
  </si>
  <si>
    <t xml:space="preserve">2023-07-02</t>
  </si>
  <si>
    <t xml:space="preserve">Swiftly Systems</t>
  </si>
  <si>
    <t xml:space="preserve">2025-02-24</t>
  </si>
  <si>
    <t xml:space="preserve">2026-06-12</t>
  </si>
  <si>
    <t xml:space="preserve">2024-11-16</t>
  </si>
  <si>
    <t xml:space="preserve">ACC-10463</t>
  </si>
  <si>
    <t xml:space="preserve">Peakpoint Group</t>
  </si>
  <si>
    <t xml:space="preserve">2023-07-09</t>
  </si>
  <si>
    <t xml:space="preserve">2024-04-08</t>
  </si>
  <si>
    <t xml:space="preserve">2025-10-31</t>
  </si>
  <si>
    <t xml:space="preserve">2025-01-14</t>
  </si>
  <si>
    <t xml:space="preserve">ACC-10467</t>
  </si>
  <si>
    <t xml:space="preserve">Greenworks Systems</t>
  </si>
  <si>
    <t xml:space="preserve">2023-09-30</t>
  </si>
  <si>
    <t xml:space="preserve">2026-02-21</t>
  </si>
  <si>
    <t xml:space="preserve">Vertexscale Co</t>
  </si>
  <si>
    <t xml:space="preserve">2025-01-20</t>
  </si>
  <si>
    <t xml:space="preserve">2026-03-24</t>
  </si>
  <si>
    <t xml:space="preserve">2024-05-20</t>
  </si>
  <si>
    <t xml:space="preserve">2025-04-12</t>
  </si>
  <si>
    <t xml:space="preserve">2025-06-27</t>
  </si>
  <si>
    <t xml:space="preserve">2025-11-08</t>
  </si>
  <si>
    <t xml:space="preserve">2025-11-01</t>
  </si>
  <si>
    <t xml:space="preserve">2026-07-05</t>
  </si>
  <si>
    <t xml:space="preserve">Urbanpath Systems</t>
  </si>
  <si>
    <t xml:space="preserve">2026-08-20</t>
  </si>
  <si>
    <t xml:space="preserve">2024-07-29</t>
  </si>
  <si>
    <t xml:space="preserve">Novalogic Systems</t>
  </si>
  <si>
    <t xml:space="preserve">2026-05-22</t>
  </si>
  <si>
    <t xml:space="preserve">2024-05-19</t>
  </si>
  <si>
    <t xml:space="preserve">2025-04-28</t>
  </si>
  <si>
    <t xml:space="preserve">Urbanline Solutions</t>
  </si>
  <si>
    <t xml:space="preserve">2023-12-26</t>
  </si>
  <si>
    <t xml:space="preserve">2026-02-02</t>
  </si>
  <si>
    <t xml:space="preserve">2025-11-29</t>
  </si>
  <si>
    <t xml:space="preserve">Primecraft LLC</t>
  </si>
  <si>
    <t xml:space="preserve">2025-04-03</t>
  </si>
  <si>
    <t xml:space="preserve">2025-11-23</t>
  </si>
  <si>
    <t xml:space="preserve">2025-01-25</t>
  </si>
  <si>
    <t xml:space="preserve">ACC-10496</t>
  </si>
  <si>
    <t xml:space="preserve">Lumenflow Solutions</t>
  </si>
  <si>
    <t xml:space="preserve">ACC-10497</t>
  </si>
  <si>
    <t xml:space="preserve">Pixelcraft LLC</t>
  </si>
  <si>
    <t xml:space="preserve">2023-07-27</t>
  </si>
  <si>
    <t xml:space="preserve">2024-08-12</t>
  </si>
  <si>
    <t xml:space="preserve">2026-05-15</t>
  </si>
  <si>
    <t xml:space="preserve">2023-10-31</t>
  </si>
  <si>
    <t xml:space="preserve">2024-07-28</t>
  </si>
  <si>
    <t xml:space="preserve">2023-07-21</t>
  </si>
  <si>
    <t xml:space="preserve">2023-09-12</t>
  </si>
  <si>
    <t xml:space="preserve">2024-09-20</t>
  </si>
  <si>
    <t xml:space="preserve">ACC-10505</t>
  </si>
  <si>
    <t xml:space="preserve">Pixelline Co</t>
  </si>
  <si>
    <t xml:space="preserve">2024-03-28</t>
  </si>
  <si>
    <t xml:space="preserve">2024-08-17</t>
  </si>
  <si>
    <t xml:space="preserve">Truewave Ltd</t>
  </si>
  <si>
    <t xml:space="preserve">2026-07-11</t>
  </si>
  <si>
    <t xml:space="preserve">2026-03-10</t>
  </si>
  <si>
    <t xml:space="preserve">2025-07-20</t>
  </si>
  <si>
    <t xml:space="preserve">2023-10-25</t>
  </si>
  <si>
    <t xml:space="preserve">2024-07-16</t>
  </si>
  <si>
    <t xml:space="preserve">Orbitbridge Technologies</t>
  </si>
  <si>
    <t xml:space="preserve">2025-08-16</t>
  </si>
  <si>
    <t xml:space="preserve">2026-06-11</t>
  </si>
  <si>
    <t xml:space="preserve">2025-02-20</t>
  </si>
  <si>
    <t xml:space="preserve">ACC-10520</t>
  </si>
  <si>
    <t xml:space="preserve">Peaklabs Ltd</t>
  </si>
  <si>
    <t xml:space="preserve">2025-02-02</t>
  </si>
  <si>
    <t xml:space="preserve">2024-09-05</t>
  </si>
  <si>
    <t xml:space="preserve">Peakhub Group</t>
  </si>
  <si>
    <t xml:space="preserve">2023-09-11</t>
  </si>
  <si>
    <t xml:space="preserve">2023-12-15</t>
  </si>
  <si>
    <t xml:space="preserve">2025-09-03</t>
  </si>
  <si>
    <t xml:space="preserve">Lumenscale Inc</t>
  </si>
  <si>
    <t xml:space="preserve">2025-12-11</t>
  </si>
  <si>
    <t xml:space="preserve">2026-06-18</t>
  </si>
  <si>
    <t xml:space="preserve">Lumenpoint LLC</t>
  </si>
  <si>
    <t xml:space="preserve">2026-04-10</t>
  </si>
  <si>
    <t xml:space="preserve">2025-11-12</t>
  </si>
  <si>
    <t xml:space="preserve">2025-12-17</t>
  </si>
  <si>
    <t xml:space="preserve">Atlassphere Inc</t>
  </si>
  <si>
    <t xml:space="preserve">2024-07-22</t>
  </si>
  <si>
    <t xml:space="preserve">2025-11-02</t>
  </si>
  <si>
    <t xml:space="preserve">Corewave Group</t>
  </si>
  <si>
    <t xml:space="preserve">2023-09-26</t>
  </si>
  <si>
    <t xml:space="preserve">2024-11-08</t>
  </si>
  <si>
    <t xml:space="preserve">2025-02-15</t>
  </si>
  <si>
    <t xml:space="preserve">ACC-10543</t>
  </si>
  <si>
    <t xml:space="preserve">Urbansphere LLC</t>
  </si>
  <si>
    <t xml:space="preserve">2023-07-29</t>
  </si>
  <si>
    <t xml:space="preserve">2024-12-03</t>
  </si>
  <si>
    <t xml:space="preserve">Primeflow Systems</t>
  </si>
  <si>
    <t xml:space="preserve">2023-07-05</t>
  </si>
  <si>
    <t xml:space="preserve">ACC-10548</t>
  </si>
  <si>
    <t xml:space="preserve">Brightline Ltd</t>
  </si>
  <si>
    <t xml:space="preserve">2023-08-20</t>
  </si>
  <si>
    <t xml:space="preserve">2026-01-29</t>
  </si>
  <si>
    <t xml:space="preserve">2026-08-07</t>
  </si>
  <si>
    <t xml:space="preserve">2024-03-23</t>
  </si>
  <si>
    <t xml:space="preserve">Novawave Systems</t>
  </si>
  <si>
    <t xml:space="preserve">2024-02-17</t>
  </si>
  <si>
    <t xml:space="preserve">2024-10-21</t>
  </si>
  <si>
    <t xml:space="preserve">2024-01-30</t>
  </si>
  <si>
    <t xml:space="preserve">Peakly Technologies</t>
  </si>
  <si>
    <t xml:space="preserve">2024-07-14</t>
  </si>
  <si>
    <t xml:space="preserve">Boldscale LLC</t>
  </si>
  <si>
    <t xml:space="preserve">ACC-10568</t>
  </si>
  <si>
    <t xml:space="preserve">Pixelhub Systems</t>
  </si>
  <si>
    <t xml:space="preserve">2023-09-29</t>
  </si>
  <si>
    <t xml:space="preserve">2024-06-12</t>
  </si>
  <si>
    <t xml:space="preserve">2024-08-03</t>
  </si>
  <si>
    <t xml:space="preserve">ACC-10572</t>
  </si>
  <si>
    <t xml:space="preserve">Peaksphere Ltd</t>
  </si>
  <si>
    <t xml:space="preserve">2025-03-23</t>
  </si>
  <si>
    <t xml:space="preserve">2026-08-15</t>
  </si>
  <si>
    <t xml:space="preserve">2024-11-07</t>
  </si>
  <si>
    <t xml:space="preserve">2025-08-31</t>
  </si>
  <si>
    <t xml:space="preserve">2025-04-06</t>
  </si>
  <si>
    <t xml:space="preserve">Vertexnest Solutions</t>
  </si>
  <si>
    <t xml:space="preserve">2026-05-01</t>
  </si>
  <si>
    <t xml:space="preserve">2024-12-15</t>
  </si>
  <si>
    <t xml:space="preserve">2024-07-21</t>
  </si>
  <si>
    <t xml:space="preserve">2024-10-06</t>
  </si>
  <si>
    <t xml:space="preserve">2025-06-11</t>
  </si>
  <si>
    <t xml:space="preserve">Peakbase Ltd</t>
  </si>
  <si>
    <t xml:space="preserve">2024-03-30</t>
  </si>
  <si>
    <t xml:space="preserve">2026-03-01</t>
  </si>
  <si>
    <t xml:space="preserve">2023-10-21</t>
  </si>
  <si>
    <t xml:space="preserve">Peakhub Technologies</t>
  </si>
  <si>
    <t xml:space="preserve">2024-09-09</t>
  </si>
  <si>
    <t xml:space="preserve">2025-11-13</t>
  </si>
  <si>
    <t xml:space="preserve">2026-04-28</t>
  </si>
  <si>
    <t xml:space="preserve">2025-11-28</t>
  </si>
  <si>
    <t xml:space="preserve">2025-03-16</t>
  </si>
  <si>
    <t xml:space="preserve">2023-11-16</t>
  </si>
  <si>
    <t xml:space="preserve">ACC-10609</t>
  </si>
  <si>
    <t xml:space="preserve">Greenflow Co</t>
  </si>
  <si>
    <t xml:space="preserve">2023-11-28</t>
  </si>
  <si>
    <t xml:space="preserve">2024-04-27</t>
  </si>
  <si>
    <t xml:space="preserve">ACC-10614</t>
  </si>
  <si>
    <t xml:space="preserve">Bluely Technologies</t>
  </si>
  <si>
    <t xml:space="preserve">2023-11-10</t>
  </si>
  <si>
    <t xml:space="preserve">2025-06-21</t>
  </si>
  <si>
    <t xml:space="preserve">2025-07-29</t>
  </si>
  <si>
    <t xml:space="preserve">2025-09-05</t>
  </si>
  <si>
    <t xml:space="preserve">2026-01-07</t>
  </si>
  <si>
    <t xml:space="preserve">2024-06-22</t>
  </si>
  <si>
    <t xml:space="preserve">2024-01-24</t>
  </si>
  <si>
    <t xml:space="preserve">2026-02-27</t>
  </si>
  <si>
    <t xml:space="preserve">2025-10-13</t>
  </si>
  <si>
    <t xml:space="preserve">2024-06-05</t>
  </si>
  <si>
    <t xml:space="preserve">2025-03-18</t>
  </si>
  <si>
    <t xml:space="preserve">ACC-10633</t>
  </si>
  <si>
    <t xml:space="preserve">Silverflow Co</t>
  </si>
  <si>
    <t xml:space="preserve">2025-08-14</t>
  </si>
  <si>
    <t xml:space="preserve">2025-08-04</t>
  </si>
  <si>
    <t xml:space="preserve">ACC-10636</t>
  </si>
  <si>
    <t xml:space="preserve">Greenbase Co</t>
  </si>
  <si>
    <t xml:space="preserve">ACC-10637</t>
  </si>
  <si>
    <t xml:space="preserve">Orbithub Technologies</t>
  </si>
  <si>
    <t xml:space="preserve">2024-03-11</t>
  </si>
  <si>
    <t xml:space="preserve">Novapath Technologies</t>
  </si>
  <si>
    <t xml:space="preserve">2025-05-14</t>
  </si>
  <si>
    <t xml:space="preserve">Brightsphere Solutions</t>
  </si>
  <si>
    <t xml:space="preserve">ACC-10644</t>
  </si>
  <si>
    <t xml:space="preserve">Peaksphere Systems</t>
  </si>
  <si>
    <t xml:space="preserve">2023-08-05</t>
  </si>
  <si>
    <t xml:space="preserve">2024-04-17</t>
  </si>
  <si>
    <t xml:space="preserve">ACC-10646</t>
  </si>
  <si>
    <t xml:space="preserve">Novaline Inc</t>
  </si>
  <si>
    <t xml:space="preserve">2025-05-11</t>
  </si>
  <si>
    <t xml:space="preserve">Silverhub Technologies</t>
  </si>
  <si>
    <t xml:space="preserve">2024-09-03</t>
  </si>
  <si>
    <t xml:space="preserve">Atlaslogic Group</t>
  </si>
  <si>
    <t xml:space="preserve">2024-08-20</t>
  </si>
  <si>
    <t xml:space="preserve">Northline Inc</t>
  </si>
  <si>
    <t xml:space="preserve">2023-11-29</t>
  </si>
  <si>
    <t xml:space="preserve">2024-11-29</t>
  </si>
  <si>
    <t xml:space="preserve">2024-05-24</t>
  </si>
  <si>
    <t xml:space="preserve">2024-07-17</t>
  </si>
  <si>
    <t xml:space="preserve">2023-09-22</t>
  </si>
  <si>
    <t xml:space="preserve">2024-09-17</t>
  </si>
  <si>
    <t xml:space="preserve">Peakpath Systems</t>
  </si>
  <si>
    <t xml:space="preserve">2026-01-16</t>
  </si>
  <si>
    <t xml:space="preserve">ACC-10671</t>
  </si>
  <si>
    <t xml:space="preserve">Bluebase Solutions</t>
  </si>
  <si>
    <t xml:space="preserve">2025-05-23</t>
  </si>
  <si>
    <t xml:space="preserve">2025-09-23</t>
  </si>
  <si>
    <t xml:space="preserve">2024-10-25</t>
  </si>
  <si>
    <t xml:space="preserve">2024-12-22</t>
  </si>
  <si>
    <t xml:space="preserve">ACC-10677</t>
  </si>
  <si>
    <t xml:space="preserve">Clearpath Inc</t>
  </si>
  <si>
    <t xml:space="preserve">Boldly Co</t>
  </si>
  <si>
    <t xml:space="preserve">2023-11-24</t>
  </si>
  <si>
    <t xml:space="preserve">2026-04-24</t>
  </si>
  <si>
    <t xml:space="preserve">Bluehub LLC</t>
  </si>
  <si>
    <t xml:space="preserve">2026-08-06</t>
  </si>
  <si>
    <t xml:space="preserve">2023-11-22</t>
  </si>
  <si>
    <t xml:space="preserve">2026-03-14</t>
  </si>
  <si>
    <t xml:space="preserve">ACC-10683</t>
  </si>
  <si>
    <t xml:space="preserve">Primebase Solutions</t>
  </si>
  <si>
    <t xml:space="preserve">2024-04-30</t>
  </si>
  <si>
    <t xml:space="preserve">2025-12-28</t>
  </si>
  <si>
    <t xml:space="preserve">Pixelpoint LLC</t>
  </si>
  <si>
    <t xml:space="preserve">2025-06-15</t>
  </si>
  <si>
    <t xml:space="preserve">2025-08-02</t>
  </si>
  <si>
    <t xml:space="preserve">ACC-10689</t>
  </si>
  <si>
    <t xml:space="preserve">Atlasgrid Solutions</t>
  </si>
  <si>
    <t xml:space="preserve">2023-11-23</t>
  </si>
  <si>
    <t xml:space="preserve">2024-07-27</t>
  </si>
  <si>
    <t xml:space="preserve">2025-09-17</t>
  </si>
  <si>
    <t xml:space="preserve">2024-06-08</t>
  </si>
  <si>
    <t xml:space="preserve">ACC-10698</t>
  </si>
  <si>
    <t xml:space="preserve">Primescale Inc</t>
  </si>
  <si>
    <t xml:space="preserve">2024-03-06</t>
  </si>
  <si>
    <t xml:space="preserve">2024-10-03</t>
  </si>
  <si>
    <t xml:space="preserve">2024-04-28</t>
  </si>
  <si>
    <t xml:space="preserve">ACC-10701</t>
  </si>
  <si>
    <t xml:space="preserve">Greenworks Technologies</t>
  </si>
  <si>
    <t xml:space="preserve">2025-09-27</t>
  </si>
  <si>
    <t xml:space="preserve">2024-12-11</t>
  </si>
  <si>
    <t xml:space="preserve">2025-02-22</t>
  </si>
  <si>
    <t xml:space="preserve">2025-09-25</t>
  </si>
  <si>
    <t xml:space="preserve">2026-07-12</t>
  </si>
  <si>
    <t xml:space="preserve">Northwave Solutions</t>
  </si>
  <si>
    <t xml:space="preserve">2025-04-01</t>
  </si>
  <si>
    <t xml:space="preserve">2026-01-09</t>
  </si>
  <si>
    <t xml:space="preserve">ACC-10709</t>
  </si>
  <si>
    <t xml:space="preserve">Northly Group</t>
  </si>
  <si>
    <t xml:space="preserve">2023-10-10</t>
  </si>
  <si>
    <t xml:space="preserve">2026-05-07</t>
  </si>
  <si>
    <t xml:space="preserve">2025-08-20</t>
  </si>
  <si>
    <t xml:space="preserve">2024-04-12</t>
  </si>
  <si>
    <t xml:space="preserve">2026-03-12</t>
  </si>
  <si>
    <t xml:space="preserve">2025-01-23</t>
  </si>
  <si>
    <t xml:space="preserve">2026-03-28</t>
  </si>
  <si>
    <t xml:space="preserve">Atlasforge LLC</t>
  </si>
  <si>
    <t xml:space="preserve">2025-09-30</t>
  </si>
  <si>
    <t xml:space="preserve">2026-03-31</t>
  </si>
  <si>
    <t xml:space="preserve">2025-01-21</t>
  </si>
  <si>
    <t xml:space="preserve">2026-06-04</t>
  </si>
  <si>
    <t xml:space="preserve">2025-10-05</t>
  </si>
  <si>
    <t xml:space="preserve">2025-10-04</t>
  </si>
  <si>
    <t xml:space="preserve">2025-05-07</t>
  </si>
  <si>
    <t xml:space="preserve">2024-07-05</t>
  </si>
  <si>
    <t xml:space="preserve">2024-03-26</t>
  </si>
  <si>
    <t xml:space="preserve">Swiftworks LLC</t>
  </si>
  <si>
    <t xml:space="preserve">2026-04-11</t>
  </si>
  <si>
    <t xml:space="preserve">2023-10-27</t>
  </si>
  <si>
    <t xml:space="preserve">ACC-10741</t>
  </si>
  <si>
    <t xml:space="preserve">Swifthub Co</t>
  </si>
  <si>
    <t xml:space="preserve">2024-07-13</t>
  </si>
  <si>
    <t xml:space="preserve">ACC-10744</t>
  </si>
  <si>
    <t xml:space="preserve">Swiftmind Solutions</t>
  </si>
  <si>
    <t xml:space="preserve">2026-08-23</t>
  </si>
  <si>
    <t xml:space="preserve">2026-04-23</t>
  </si>
  <si>
    <t xml:space="preserve">2025-02-26</t>
  </si>
  <si>
    <t xml:space="preserve">Lumensphere Solutions</t>
  </si>
  <si>
    <t xml:space="preserve">2024-06-18</t>
  </si>
  <si>
    <t xml:space="preserve">2023-11-14</t>
  </si>
  <si>
    <t xml:space="preserve">2024-04-02</t>
  </si>
  <si>
    <t xml:space="preserve">2025-03-03</t>
  </si>
  <si>
    <t xml:space="preserve">2024-10-08</t>
  </si>
  <si>
    <t xml:space="preserve">2024-06-24</t>
  </si>
  <si>
    <t xml:space="preserve">2024-08-14</t>
  </si>
  <si>
    <t xml:space="preserve">Trueline Group</t>
  </si>
  <si>
    <t xml:space="preserve">2024-10-16</t>
  </si>
  <si>
    <t xml:space="preserve">2025-11-04</t>
  </si>
  <si>
    <t xml:space="preserve">2024-10-07</t>
  </si>
  <si>
    <t xml:space="preserve">ACC-10770</t>
  </si>
  <si>
    <t xml:space="preserve">Novahub Group</t>
  </si>
  <si>
    <t xml:space="preserve">2023-09-20</t>
  </si>
  <si>
    <t xml:space="preserve">Boldscale Inc</t>
  </si>
  <si>
    <t xml:space="preserve">2024-08-27</t>
  </si>
  <si>
    <t xml:space="preserve">2025-07-04</t>
  </si>
  <si>
    <t xml:space="preserve">2026-05-13</t>
  </si>
  <si>
    <t xml:space="preserve">2025-04-23</t>
  </si>
  <si>
    <t xml:space="preserve">2025-07-15</t>
  </si>
  <si>
    <t xml:space="preserve">2025-10-03</t>
  </si>
  <si>
    <t xml:space="preserve">2024-01-03</t>
  </si>
  <si>
    <t xml:space="preserve">ACC-10796</t>
  </si>
  <si>
    <t xml:space="preserve">Primelabs Group</t>
  </si>
  <si>
    <t xml:space="preserve">2024-10-10</t>
  </si>
  <si>
    <t xml:space="preserve">2023-11-15</t>
  </si>
  <si>
    <t xml:space="preserve">2025-06-14</t>
  </si>
  <si>
    <t xml:space="preserve">ACC-10800</t>
  </si>
  <si>
    <t xml:space="preserve">Clearsphere Systems</t>
  </si>
  <si>
    <t xml:space="preserve">2025-04-11</t>
  </si>
  <si>
    <t xml:space="preserve">2023-11-07</t>
  </si>
  <si>
    <t xml:space="preserve">Pixelscale Technologies</t>
  </si>
  <si>
    <t xml:space="preserve">2025-11-03</t>
  </si>
  <si>
    <t xml:space="preserve">2026-07-15</t>
  </si>
  <si>
    <t xml:space="preserve">2024-03-12</t>
  </si>
  <si>
    <t xml:space="preserve">2025-07-22</t>
  </si>
  <si>
    <t xml:space="preserve">2024-04-07</t>
  </si>
  <si>
    <t xml:space="preserve">2023-10-13</t>
  </si>
  <si>
    <t xml:space="preserve">2023-12-20</t>
  </si>
  <si>
    <t xml:space="preserve">2026-05-30</t>
  </si>
  <si>
    <t xml:space="preserve">Urbanlogic Co</t>
  </si>
  <si>
    <t xml:space="preserve">2026-04-21</t>
  </si>
  <si>
    <t xml:space="preserve">2026-05-04</t>
  </si>
  <si>
    <t xml:space="preserve">2024-01-05</t>
  </si>
  <si>
    <t xml:space="preserve">2026-01-10</t>
  </si>
  <si>
    <t xml:space="preserve">ACC-10824</t>
  </si>
  <si>
    <t xml:space="preserve">Northworks Co</t>
  </si>
  <si>
    <t xml:space="preserve">2023-10-12</t>
  </si>
  <si>
    <t xml:space="preserve">2025-09-14</t>
  </si>
  <si>
    <t xml:space="preserve">2023-07-19</t>
  </si>
  <si>
    <t xml:space="preserve">Greenworks LLC</t>
  </si>
  <si>
    <t xml:space="preserve">2024-09-27</t>
  </si>
  <si>
    <t xml:space="preserve">2026-04-16</t>
  </si>
  <si>
    <t xml:space="preserve">2025-05-21</t>
  </si>
  <si>
    <t xml:space="preserve">2026-06-07</t>
  </si>
  <si>
    <t xml:space="preserve">Vertexnest Ltd</t>
  </si>
  <si>
    <t xml:space="preserve">ACC-10841</t>
  </si>
  <si>
    <t xml:space="preserve">Swiftnest Ltd</t>
  </si>
  <si>
    <t xml:space="preserve">ACC-10843</t>
  </si>
  <si>
    <t xml:space="preserve">Boldworks LLC</t>
  </si>
  <si>
    <t xml:space="preserve">2024-08-21</t>
  </si>
  <si>
    <t xml:space="preserve">2025-12-19</t>
  </si>
  <si>
    <t xml:space="preserve">2023-10-29</t>
  </si>
  <si>
    <t xml:space="preserve">2025-04-30</t>
  </si>
  <si>
    <t xml:space="preserve">2024-05-04</t>
  </si>
  <si>
    <t xml:space="preserve">2026-07-09</t>
  </si>
  <si>
    <t xml:space="preserve">2024-03-17</t>
  </si>
  <si>
    <t xml:space="preserve">2024-01-19</t>
  </si>
  <si>
    <t xml:space="preserve">2023-08-23</t>
  </si>
  <si>
    <t xml:space="preserve">2024-06-04</t>
  </si>
  <si>
    <t xml:space="preserve">ACC-10861</t>
  </si>
  <si>
    <t xml:space="preserve">Boldly Systems</t>
  </si>
  <si>
    <t xml:space="preserve">2025-04-26</t>
  </si>
  <si>
    <t xml:space="preserve">2026-03-25</t>
  </si>
  <si>
    <t xml:space="preserve">2023-07-20</t>
  </si>
  <si>
    <t xml:space="preserve">2025-07-25</t>
  </si>
  <si>
    <t xml:space="preserve">ACC-10878</t>
  </si>
  <si>
    <t xml:space="preserve">Vertexforge Solutions</t>
  </si>
  <si>
    <t xml:space="preserve">2024-10-01</t>
  </si>
  <si>
    <t xml:space="preserve">2026-04-30</t>
  </si>
  <si>
    <t xml:space="preserve">ACC-10880</t>
  </si>
  <si>
    <t xml:space="preserve">Truesphere Group</t>
  </si>
  <si>
    <t xml:space="preserve">2025-03-01</t>
  </si>
  <si>
    <t xml:space="preserve">2025-09-22</t>
  </si>
  <si>
    <t xml:space="preserve">2024-12-09</t>
  </si>
  <si>
    <t xml:space="preserve">2025-04-14</t>
  </si>
  <si>
    <t xml:space="preserve">2024-06-20</t>
  </si>
  <si>
    <t xml:space="preserve">2025-07-27</t>
  </si>
  <si>
    <t xml:space="preserve">Greenbridge LLC</t>
  </si>
  <si>
    <t xml:space="preserve">ACC-10891</t>
  </si>
  <si>
    <t xml:space="preserve">Greenhub LLC</t>
  </si>
  <si>
    <t xml:space="preserve">2024-12-20</t>
  </si>
  <si>
    <t xml:space="preserve">Truecraft LLC</t>
  </si>
  <si>
    <t xml:space="preserve">2024-04-22</t>
  </si>
  <si>
    <t xml:space="preserve">2024-05-14</t>
  </si>
  <si>
    <t xml:space="preserve">Novaly Ltd</t>
  </si>
  <si>
    <t xml:space="preserve">2023-12-31</t>
  </si>
  <si>
    <t xml:space="preserve">2025-11-05</t>
  </si>
  <si>
    <t xml:space="preserve">2024-06-02</t>
  </si>
  <si>
    <t xml:space="preserve">2024-12-04</t>
  </si>
  <si>
    <t xml:space="preserve">Boldforge Group</t>
  </si>
  <si>
    <t xml:space="preserve">2025-02-09</t>
  </si>
  <si>
    <t xml:space="preserve">2026-04-19</t>
  </si>
  <si>
    <t xml:space="preserve">2026-05-28</t>
  </si>
  <si>
    <t xml:space="preserve">2026-08-22</t>
  </si>
  <si>
    <t xml:space="preserve">2024-06-26</t>
  </si>
  <si>
    <t xml:space="preserve">2026-04-08</t>
  </si>
  <si>
    <t xml:space="preserve">2024-05-05</t>
  </si>
  <si>
    <t xml:space="preserve">2026-06-01</t>
  </si>
  <si>
    <t xml:space="preserve">2024-01-21</t>
  </si>
  <si>
    <t xml:space="preserve">2026-01-22</t>
  </si>
  <si>
    <t xml:space="preserve">2024-05-07</t>
  </si>
  <si>
    <t xml:space="preserve">Apexscale Ltd</t>
  </si>
  <si>
    <t xml:space="preserve">2025-05-09</t>
  </si>
  <si>
    <t xml:space="preserve">2025-11-27</t>
  </si>
  <si>
    <t xml:space="preserve">Pixelmind Systems</t>
  </si>
  <si>
    <t xml:space="preserve">2025-06-26</t>
  </si>
  <si>
    <t xml:space="preserve">ACC-10936</t>
  </si>
  <si>
    <t xml:space="preserve">Pixelly Systems</t>
  </si>
  <si>
    <t xml:space="preserve">2025-05-06</t>
  </si>
  <si>
    <t xml:space="preserve">2024-07-18</t>
  </si>
  <si>
    <t xml:space="preserve">2025-05-20</t>
  </si>
  <si>
    <t xml:space="preserve">Blueforge Co</t>
  </si>
  <si>
    <t xml:space="preserve">2025-03-04</t>
  </si>
  <si>
    <t xml:space="preserve">Peakpath Technologies</t>
  </si>
  <si>
    <t xml:space="preserve">2025-01-03</t>
  </si>
  <si>
    <t xml:space="preserve">2025-05-08</t>
  </si>
  <si>
    <t xml:space="preserve">ACC-10953</t>
  </si>
  <si>
    <t xml:space="preserve">Peakpoint Co</t>
  </si>
  <si>
    <t xml:space="preserve">2024-05-16</t>
  </si>
  <si>
    <t xml:space="preserve">2025-03-27</t>
  </si>
  <si>
    <t xml:space="preserve">2024-12-31</t>
  </si>
  <si>
    <t xml:space="preserve">2025-12-08</t>
  </si>
  <si>
    <t xml:space="preserve">2024-01-12</t>
  </si>
  <si>
    <t xml:space="preserve">2025-12-15</t>
  </si>
  <si>
    <t xml:space="preserve">2024-12-14</t>
  </si>
  <si>
    <t xml:space="preserve">2025-08-11</t>
  </si>
  <si>
    <t xml:space="preserve">ACC-10969</t>
  </si>
  <si>
    <t xml:space="preserve">Orbitcraft Solutions</t>
  </si>
  <si>
    <t xml:space="preserve">2024-01-17</t>
  </si>
  <si>
    <t xml:space="preserve">2024-04-04</t>
  </si>
  <si>
    <t xml:space="preserve">Pixelline Group</t>
  </si>
  <si>
    <t xml:space="preserve">2025-10-26</t>
  </si>
  <si>
    <t xml:space="preserve">2026-06-20</t>
  </si>
  <si>
    <t xml:space="preserve">ACC-10980</t>
  </si>
  <si>
    <t xml:space="preserve">Boldnest Group</t>
  </si>
  <si>
    <t xml:space="preserve">2024-09-04</t>
  </si>
  <si>
    <t xml:space="preserve">2025-05-27</t>
  </si>
  <si>
    <t xml:space="preserve">2025-10-11</t>
  </si>
  <si>
    <t xml:space="preserve">Atlasstack Systems</t>
  </si>
  <si>
    <t xml:space="preserve">2025-12-09</t>
  </si>
  <si>
    <t xml:space="preserve">Primewave LLC</t>
  </si>
  <si>
    <t xml:space="preserve">2023-09-16</t>
  </si>
  <si>
    <t xml:space="preserve">2026-09-05</t>
  </si>
  <si>
    <t xml:space="preserve">2023-08-06</t>
  </si>
  <si>
    <t xml:space="preserve">2025-06-07</t>
  </si>
  <si>
    <t xml:space="preserve">2026-03-13</t>
  </si>
  <si>
    <t xml:space="preserve">2026-03-19</t>
  </si>
  <si>
    <t xml:space="preserve">2025-07-05</t>
  </si>
  <si>
    <t xml:space="preserve">ACC-11003</t>
  </si>
  <si>
    <t xml:space="preserve">Greengrid Systems</t>
  </si>
  <si>
    <t xml:space="preserve">2025-05-13</t>
  </si>
  <si>
    <t xml:space="preserve">2025-03-26</t>
  </si>
  <si>
    <t xml:space="preserve">2025-06-22</t>
  </si>
  <si>
    <t xml:space="preserve">2026-07-24</t>
  </si>
  <si>
    <t xml:space="preserve">2025-07-09</t>
  </si>
  <si>
    <t xml:space="preserve">2024-04-20</t>
  </si>
  <si>
    <t xml:space="preserve">2025-09-19</t>
  </si>
  <si>
    <t xml:space="preserve">2024-02-18</t>
  </si>
  <si>
    <t xml:space="preserve">2025-01-26</t>
  </si>
  <si>
    <t xml:space="preserve">2026-06-15</t>
  </si>
  <si>
    <t xml:space="preserve">2025-10-01</t>
  </si>
  <si>
    <t xml:space="preserve">2024-09-13</t>
  </si>
  <si>
    <t xml:space="preserve">Clearlogic Inc</t>
  </si>
  <si>
    <t xml:space="preserve">Atlasscale Co</t>
  </si>
  <si>
    <t xml:space="preserve">2025-12-02</t>
  </si>
  <si>
    <t xml:space="preserve">2024-11-06</t>
  </si>
  <si>
    <t xml:space="preserve">ACC-11026</t>
  </si>
  <si>
    <t xml:space="preserve">Urbanbase Systems</t>
  </si>
  <si>
    <t xml:space="preserve">2023-10-05</t>
  </si>
  <si>
    <t xml:space="preserve">2026-05-11</t>
  </si>
  <si>
    <t xml:space="preserve">2023-08-13</t>
  </si>
  <si>
    <t xml:space="preserve">2025-09-29</t>
  </si>
  <si>
    <t xml:space="preserve">Truebase Systems</t>
  </si>
  <si>
    <t xml:space="preserve">2024-08-23</t>
  </si>
  <si>
    <t xml:space="preserve">2025-01-02</t>
  </si>
  <si>
    <t xml:space="preserve">2026-07-22</t>
  </si>
  <si>
    <t xml:space="preserve">Lumenflow Group</t>
  </si>
  <si>
    <t xml:space="preserve">2024-02-20</t>
  </si>
  <si>
    <t xml:space="preserve">2026-09-27</t>
  </si>
  <si>
    <t xml:space="preserve">Greenpath Systems</t>
  </si>
  <si>
    <t xml:space="preserve">2024-06-25</t>
  </si>
  <si>
    <t xml:space="preserve">2025-02-28</t>
  </si>
  <si>
    <t xml:space="preserve">2025-10-29</t>
  </si>
  <si>
    <t xml:space="preserve">2023-10-17</t>
  </si>
  <si>
    <t xml:space="preserve">2023-10-16</t>
  </si>
  <si>
    <t xml:space="preserve">2024-12-24</t>
  </si>
  <si>
    <t xml:space="preserve">Brightpath Inc</t>
  </si>
  <si>
    <t xml:space="preserve">2026-03-02</t>
  </si>
  <si>
    <t xml:space="preserve">2025-07-31</t>
  </si>
  <si>
    <t xml:space="preserve">ACC-11081</t>
  </si>
  <si>
    <t xml:space="preserve">Blueline Ltd</t>
  </si>
  <si>
    <t xml:space="preserve">2024-07-24</t>
  </si>
  <si>
    <t xml:space="preserve">2025-04-20</t>
  </si>
  <si>
    <t xml:space="preserve">ACC-11083</t>
  </si>
  <si>
    <t xml:space="preserve">Coresphere Group</t>
  </si>
  <si>
    <t xml:space="preserve">ACC-11085</t>
  </si>
  <si>
    <t xml:space="preserve">Blueline Systems</t>
  </si>
  <si>
    <t xml:space="preserve">ACC-11089</t>
  </si>
  <si>
    <t xml:space="preserve">Greenbase Solutions</t>
  </si>
  <si>
    <t xml:space="preserve">ACC-11090</t>
  </si>
  <si>
    <t xml:space="preserve">Blueline Co</t>
  </si>
  <si>
    <t xml:space="preserve">2024-02-16</t>
  </si>
  <si>
    <t xml:space="preserve">2025-05-04</t>
  </si>
  <si>
    <t xml:space="preserve">2025-03-12</t>
  </si>
  <si>
    <t xml:space="preserve">2026-01-23</t>
  </si>
  <si>
    <t xml:space="preserve">2023-07-04</t>
  </si>
  <si>
    <t xml:space="preserve">ACC-11102</t>
  </si>
  <si>
    <t xml:space="preserve">Northsphere Systems</t>
  </si>
  <si>
    <t xml:space="preserve">ACC-11103</t>
  </si>
  <si>
    <t xml:space="preserve">Clearlogic LLC</t>
  </si>
  <si>
    <t xml:space="preserve">2023-09-09</t>
  </si>
  <si>
    <t xml:space="preserve">2024-02-03</t>
  </si>
  <si>
    <t xml:space="preserve">2026-07-06</t>
  </si>
  <si>
    <t xml:space="preserve">2023-12-27</t>
  </si>
  <si>
    <t xml:space="preserve">2024-05-21</t>
  </si>
  <si>
    <t xml:space="preserve">ACC-11110</t>
  </si>
  <si>
    <t xml:space="preserve">Coreline LLC</t>
  </si>
  <si>
    <t xml:space="preserve">2023-07-10</t>
  </si>
  <si>
    <t xml:space="preserve">2025-09-04</t>
  </si>
  <si>
    <t xml:space="preserve">2025-07-28</t>
  </si>
  <si>
    <t xml:space="preserve">2023-08-27</t>
  </si>
  <si>
    <t xml:space="preserve">ACC-11117</t>
  </si>
  <si>
    <t xml:space="preserve">Northflow Solutions</t>
  </si>
  <si>
    <t xml:space="preserve">2025-07-03</t>
  </si>
  <si>
    <t xml:space="preserve">2024-03-29</t>
  </si>
  <si>
    <t xml:space="preserve">2025-03-19</t>
  </si>
  <si>
    <t xml:space="preserve">ACC-11123</t>
  </si>
  <si>
    <t xml:space="preserve">Brightly LLC</t>
  </si>
  <si>
    <t xml:space="preserve">2026-04-12</t>
  </si>
  <si>
    <t xml:space="preserve">2026-02-17</t>
  </si>
  <si>
    <t xml:space="preserve">2024-11-30</t>
  </si>
  <si>
    <t xml:space="preserve">2026-08-18</t>
  </si>
  <si>
    <t xml:space="preserve">Apexforge LLC</t>
  </si>
  <si>
    <t xml:space="preserve">2023-12-06</t>
  </si>
  <si>
    <t xml:space="preserve">2023-08-08</t>
  </si>
  <si>
    <t xml:space="preserve">2024-02-06</t>
  </si>
  <si>
    <t xml:space="preserve">2025-09-09</t>
  </si>
  <si>
    <t xml:space="preserve">ACC-11140</t>
  </si>
  <si>
    <t xml:space="preserve">Orbitlogic LLC</t>
  </si>
  <si>
    <t xml:space="preserve">2025-06-16</t>
  </si>
  <si>
    <t xml:space="preserve">2025-03-25</t>
  </si>
  <si>
    <t xml:space="preserve">ACC-11144</t>
  </si>
  <si>
    <t xml:space="preserve">Silvermind Systems</t>
  </si>
  <si>
    <t xml:space="preserve">2024-11-22</t>
  </si>
  <si>
    <t xml:space="preserve">Vertexmind Co</t>
  </si>
  <si>
    <t xml:space="preserve">2025-03-31</t>
  </si>
  <si>
    <t xml:space="preserve">2026-02-01</t>
  </si>
  <si>
    <t xml:space="preserve">Northcraft Ltd</t>
  </si>
  <si>
    <t xml:space="preserve">2026-09-11</t>
  </si>
  <si>
    <t xml:space="preserve">Blueforge Inc</t>
  </si>
  <si>
    <t xml:space="preserve">Coresphere Ltd</t>
  </si>
  <si>
    <t xml:space="preserve">2023-10-08</t>
  </si>
  <si>
    <t xml:space="preserve">2026-05-20</t>
  </si>
  <si>
    <t xml:space="preserve">2023-11-27</t>
  </si>
  <si>
    <t xml:space="preserve">2024-12-13</t>
  </si>
  <si>
    <t xml:space="preserve">ACC-11158</t>
  </si>
  <si>
    <t xml:space="preserve">Novaforge Inc</t>
  </si>
  <si>
    <t xml:space="preserve">2023-12-02</t>
  </si>
  <si>
    <t xml:space="preserve">2025-02-18</t>
  </si>
  <si>
    <t xml:space="preserve">Clearhub Inc</t>
  </si>
  <si>
    <t xml:space="preserve">2025-01-08</t>
  </si>
  <si>
    <t xml:space="preserve">ACC-11163</t>
  </si>
  <si>
    <t xml:space="preserve">Lumengrid Inc</t>
  </si>
  <si>
    <t xml:space="preserve">2023-10-07</t>
  </si>
  <si>
    <t xml:space="preserve">2026-02-11</t>
  </si>
  <si>
    <t xml:space="preserve">2026-01-25</t>
  </si>
  <si>
    <t xml:space="preserve">Vertexforge Systems</t>
  </si>
  <si>
    <t xml:space="preserve">2026-08-27</t>
  </si>
  <si>
    <t xml:space="preserve">2025-01-13</t>
  </si>
  <si>
    <t xml:space="preserve">Novapath Solutions</t>
  </si>
  <si>
    <t xml:space="preserve">2026-05-14</t>
  </si>
  <si>
    <t xml:space="preserve">2024-09-24</t>
  </si>
  <si>
    <t xml:space="preserve">2026-03-27</t>
  </si>
  <si>
    <t xml:space="preserve">2025-08-10</t>
  </si>
  <si>
    <t xml:space="preserve">Greenline Solutions</t>
  </si>
  <si>
    <t xml:space="preserve">2025-12-01</t>
  </si>
  <si>
    <t xml:space="preserve">2024-04-23</t>
  </si>
  <si>
    <t xml:space="preserve">Corescale LLC</t>
  </si>
  <si>
    <t xml:space="preserve">Northscale Inc</t>
  </si>
  <si>
    <t xml:space="preserve">2023-12-03</t>
  </si>
  <si>
    <t xml:space="preserve">ACC-11200</t>
  </si>
  <si>
    <t xml:space="preserve">Swiftstack LLC</t>
  </si>
  <si>
    <t xml:space="preserve">2023-09-24</t>
  </si>
  <si>
    <t xml:space="preserve">2024-03-04</t>
  </si>
  <si>
    <t xml:space="preserve">2024-07-09</t>
  </si>
  <si>
    <t xml:space="preserve">ACC-11203</t>
  </si>
  <si>
    <t xml:space="preserve">Truehub Technologies</t>
  </si>
  <si>
    <t xml:space="preserve">Bluesphere Solutions</t>
  </si>
  <si>
    <t xml:space="preserve">2025-03-15</t>
  </si>
  <si>
    <t xml:space="preserve">2026-04-25</t>
  </si>
  <si>
    <t xml:space="preserve">2025-08-13</t>
  </si>
  <si>
    <t xml:space="preserve">2025-04-22</t>
  </si>
  <si>
    <t xml:space="preserve">2024-02-13</t>
  </si>
  <si>
    <t xml:space="preserve">2023-08-15</t>
  </si>
  <si>
    <t xml:space="preserve">ACC-11214</t>
  </si>
  <si>
    <t xml:space="preserve">Silverpath Co</t>
  </si>
  <si>
    <t xml:space="preserve">2024-04-01</t>
  </si>
  <si>
    <t xml:space="preserve">ACC-11216</t>
  </si>
  <si>
    <t xml:space="preserve">Urbanworks Co</t>
  </si>
  <si>
    <t xml:space="preserve">Peakbase Systems</t>
  </si>
  <si>
    <t xml:space="preserve">2025-01-29</t>
  </si>
  <si>
    <t xml:space="preserve">ACC-11220</t>
  </si>
  <si>
    <t xml:space="preserve">Peakgrid Inc</t>
  </si>
  <si>
    <t xml:space="preserve">2025-06-01</t>
  </si>
  <si>
    <t xml:space="preserve">Peakflow LLC</t>
  </si>
  <si>
    <t xml:space="preserve">2024-07-04</t>
  </si>
  <si>
    <t xml:space="preserve">ACC-11224</t>
  </si>
  <si>
    <t xml:space="preserve">Greengrid Inc</t>
  </si>
  <si>
    <t xml:space="preserve">2025-02-14</t>
  </si>
  <si>
    <t xml:space="preserve">2024-05-17</t>
  </si>
  <si>
    <t xml:space="preserve">2023-07-28</t>
  </si>
  <si>
    <t xml:space="preserve">2024-01-26</t>
  </si>
  <si>
    <t xml:space="preserve">2025-11-11</t>
  </si>
  <si>
    <t xml:space="preserve">2025-05-25</t>
  </si>
  <si>
    <t xml:space="preserve">Clearbridge Solutions</t>
  </si>
  <si>
    <t xml:space="preserve">2026-04-29</t>
  </si>
  <si>
    <t xml:space="preserve">ACC-11239</t>
  </si>
  <si>
    <t xml:space="preserve">Vertexly Co</t>
  </si>
  <si>
    <t xml:space="preserve">ACC-11242</t>
  </si>
  <si>
    <t xml:space="preserve">Pixelscale Systems</t>
  </si>
  <si>
    <t xml:space="preserve">2024-08-15</t>
  </si>
  <si>
    <t xml:space="preserve">2025-12-03</t>
  </si>
  <si>
    <t xml:space="preserve">ACC-11250</t>
  </si>
  <si>
    <t xml:space="preserve">Vertexhub Systems</t>
  </si>
  <si>
    <t xml:space="preserve">2026-07-31</t>
  </si>
  <si>
    <t xml:space="preserve">ACC-11254</t>
  </si>
  <si>
    <t xml:space="preserve">Northforge Inc</t>
  </si>
  <si>
    <t xml:space="preserve">ACC-11255</t>
  </si>
  <si>
    <t xml:space="preserve">Vertexsphere Solutions</t>
  </si>
  <si>
    <t xml:space="preserve">2026-05-27</t>
  </si>
  <si>
    <t xml:space="preserve">2024-09-12</t>
  </si>
  <si>
    <t xml:space="preserve">2025-04-04</t>
  </si>
  <si>
    <t xml:space="preserve">ACC-11261</t>
  </si>
  <si>
    <t xml:space="preserve">Silverlabs Inc</t>
  </si>
  <si>
    <t xml:space="preserve">2023-08-04</t>
  </si>
  <si>
    <t xml:space="preserve">2024-05-29</t>
  </si>
  <si>
    <t xml:space="preserve">2026-07-04</t>
  </si>
  <si>
    <t xml:space="preserve">ACC-11265</t>
  </si>
  <si>
    <t xml:space="preserve">Silverscale Systems</t>
  </si>
  <si>
    <t xml:space="preserve">2024-11-05</t>
  </si>
  <si>
    <t xml:space="preserve">2024-04-06</t>
  </si>
  <si>
    <t xml:space="preserve">2025-05-24</t>
  </si>
  <si>
    <t xml:space="preserve">Apexly Technologies</t>
  </si>
  <si>
    <t xml:space="preserve">2023-09-06</t>
  </si>
  <si>
    <t xml:space="preserve">2026-02-10</t>
  </si>
  <si>
    <t xml:space="preserve">2023-11-06</t>
  </si>
  <si>
    <t xml:space="preserve">2026-04-01</t>
  </si>
  <si>
    <t xml:space="preserve">Northlabs Systems</t>
  </si>
  <si>
    <t xml:space="preserve">2024-08-31</t>
  </si>
  <si>
    <t xml:space="preserve">2026-01-17</t>
  </si>
  <si>
    <t xml:space="preserve">Apexwave Ltd</t>
  </si>
  <si>
    <t xml:space="preserve">2023-10-30</t>
  </si>
  <si>
    <t xml:space="preserve">2025-02-16</t>
  </si>
  <si>
    <t xml:space="preserve">ACC-11283</t>
  </si>
  <si>
    <t xml:space="preserve">Trueforge Co</t>
  </si>
  <si>
    <t xml:space="preserve">2023-11-09</t>
  </si>
  <si>
    <t xml:space="preserve">2025-06-24</t>
  </si>
  <si>
    <t xml:space="preserve">2025-08-30</t>
  </si>
  <si>
    <t xml:space="preserve">2023-12-08</t>
  </si>
  <si>
    <t xml:space="preserve">Silverflow Ltd</t>
  </si>
  <si>
    <t xml:space="preserve">2024-05-23</t>
  </si>
  <si>
    <t xml:space="preserve">Urbanly Solutions</t>
  </si>
  <si>
    <t xml:space="preserve">2025-10-22</t>
  </si>
  <si>
    <t xml:space="preserve">ACC-11296</t>
  </si>
  <si>
    <t xml:space="preserve">Peakly Co</t>
  </si>
  <si>
    <t xml:space="preserve">ACC-11298</t>
  </si>
  <si>
    <t xml:space="preserve">Novahub LLC</t>
  </si>
  <si>
    <t xml:space="preserve">ACC-11301</t>
  </si>
  <si>
    <t xml:space="preserve">Brightgrid Co</t>
  </si>
  <si>
    <t xml:space="preserve">2024-04-15</t>
  </si>
  <si>
    <t xml:space="preserve">Novalabs Co</t>
  </si>
  <si>
    <t xml:space="preserve">Bluestack Co</t>
  </si>
  <si>
    <t xml:space="preserve">ACC-11309</t>
  </si>
  <si>
    <t xml:space="preserve">Coregrid LLC</t>
  </si>
  <si>
    <t xml:space="preserve">2025-06-17</t>
  </si>
  <si>
    <t xml:space="preserve">ACC-11318</t>
  </si>
  <si>
    <t xml:space="preserve">Urbanly Ltd</t>
  </si>
  <si>
    <t xml:space="preserve">2024-08-18</t>
  </si>
  <si>
    <t xml:space="preserve">ACC-11320</t>
  </si>
  <si>
    <t xml:space="preserve">Peaksphere LLC</t>
  </si>
  <si>
    <t xml:space="preserve">2024-12-07</t>
  </si>
  <si>
    <t xml:space="preserve">2026-04-20</t>
  </si>
  <si>
    <t xml:space="preserve">2025-10-07</t>
  </si>
  <si>
    <t xml:space="preserve">2025-12-14</t>
  </si>
  <si>
    <t xml:space="preserve">2023-12-19</t>
  </si>
  <si>
    <t xml:space="preserve">Atlasbase Technologies</t>
  </si>
  <si>
    <t xml:space="preserve">2025-12-29</t>
  </si>
  <si>
    <t xml:space="preserve">ACC-11333</t>
  </si>
  <si>
    <t xml:space="preserve">Vertexhub Solutions</t>
  </si>
  <si>
    <t xml:space="preserve">2026-02-23</t>
  </si>
  <si>
    <t xml:space="preserve">Apexnest Group</t>
  </si>
  <si>
    <t xml:space="preserve">Northhub Technologies</t>
  </si>
  <si>
    <t xml:space="preserve">Atlasstack Technologies</t>
  </si>
  <si>
    <t xml:space="preserve">2026-01-19</t>
  </si>
  <si>
    <t xml:space="preserve">2026-01-26</t>
  </si>
  <si>
    <t xml:space="preserve">Corepoint Ltd</t>
  </si>
  <si>
    <t xml:space="preserve">2025-10-17</t>
  </si>
  <si>
    <t xml:space="preserve">ACC-11352</t>
  </si>
  <si>
    <t xml:space="preserve">Northmind Inc</t>
  </si>
  <si>
    <t xml:space="preserve">2025-03-13</t>
  </si>
  <si>
    <t xml:space="preserve">2023-11-04</t>
  </si>
  <si>
    <t xml:space="preserve">ACC-11357</t>
  </si>
  <si>
    <t xml:space="preserve">Pixelsphere LLC</t>
  </si>
  <si>
    <t xml:space="preserve">2024-08-06</t>
  </si>
  <si>
    <t xml:space="preserve">ACC-11368</t>
  </si>
  <si>
    <t xml:space="preserve">Boldhub Group</t>
  </si>
  <si>
    <t xml:space="preserve">2025-05-29</t>
  </si>
  <si>
    <t xml:space="preserve">2024-08-01</t>
  </si>
  <si>
    <t xml:space="preserve">2025-02-04</t>
  </si>
  <si>
    <t xml:space="preserve">ACC-11376</t>
  </si>
  <si>
    <t xml:space="preserve">Vertexly Ltd</t>
  </si>
  <si>
    <t xml:space="preserve">2023-12-10</t>
  </si>
  <si>
    <t xml:space="preserve">2024-09-07</t>
  </si>
  <si>
    <t xml:space="preserve">2023-09-18</t>
  </si>
  <si>
    <t xml:space="preserve">Truebridge Systems</t>
  </si>
  <si>
    <t xml:space="preserve">2024-11-23</t>
  </si>
  <si>
    <t xml:space="preserve">ACC-11389</t>
  </si>
  <si>
    <t xml:space="preserve">Vertexpath Technologies</t>
  </si>
  <si>
    <t xml:space="preserve">ACC-11391</t>
  </si>
  <si>
    <t xml:space="preserve">Coresphere Solutions</t>
  </si>
  <si>
    <t xml:space="preserve">2026-01-21</t>
  </si>
  <si>
    <t xml:space="preserve">Orbitbase Inc</t>
  </si>
  <si>
    <t xml:space="preserve">2026-09-20</t>
  </si>
  <si>
    <t xml:space="preserve">2026-01-02</t>
  </si>
  <si>
    <t xml:space="preserve">ACC-11408</t>
  </si>
  <si>
    <t xml:space="preserve">Corelogic Systems</t>
  </si>
  <si>
    <t xml:space="preserve">2023-08-11</t>
  </si>
  <si>
    <t xml:space="preserve">2025-11-24</t>
  </si>
  <si>
    <t xml:space="preserve">Pixelforge LLC</t>
  </si>
  <si>
    <t xml:space="preserve">2025-08-22</t>
  </si>
  <si>
    <t xml:space="preserve">ACC-11415</t>
  </si>
  <si>
    <t xml:space="preserve">Bluepoint Inc</t>
  </si>
  <si>
    <t xml:space="preserve">2026-05-09</t>
  </si>
  <si>
    <t xml:space="preserve">2025-11-10</t>
  </si>
  <si>
    <t xml:space="preserve">ACC-11419</t>
  </si>
  <si>
    <t xml:space="preserve">Novalogic Technologies</t>
  </si>
  <si>
    <t xml:space="preserve">2023-12-01</t>
  </si>
  <si>
    <t xml:space="preserve">ACC-11431</t>
  </si>
  <si>
    <t xml:space="preserve">Orbitworks Systems</t>
  </si>
  <si>
    <t xml:space="preserve">2025-07-08</t>
  </si>
  <si>
    <t xml:space="preserve">Bluestack Solutions</t>
  </si>
  <si>
    <t xml:space="preserve">2024-11-09</t>
  </si>
  <si>
    <t xml:space="preserve">2024-03-07</t>
  </si>
  <si>
    <t xml:space="preserve">2024-03-24</t>
  </si>
  <si>
    <t xml:space="preserve">Novaworks Co</t>
  </si>
  <si>
    <t xml:space="preserve">2026-09-17</t>
  </si>
  <si>
    <t xml:space="preserve">ACC-11451</t>
  </si>
  <si>
    <t xml:space="preserve">Atlaslogic Ltd</t>
  </si>
  <si>
    <t xml:space="preserve">ACC-11456</t>
  </si>
  <si>
    <t xml:space="preserve">Clearnest LLC</t>
  </si>
  <si>
    <t xml:space="preserve">ACC-11460</t>
  </si>
  <si>
    <t xml:space="preserve">Peakwave Solutions</t>
  </si>
  <si>
    <t xml:space="preserve">ACC-11463</t>
  </si>
  <si>
    <t xml:space="preserve">Boldflow Inc</t>
  </si>
  <si>
    <t xml:space="preserve">2023-08-07</t>
  </si>
  <si>
    <t xml:space="preserve">Vertexwave Co</t>
  </si>
  <si>
    <t xml:space="preserve">Greenlabs Technologies</t>
  </si>
  <si>
    <t xml:space="preserve">ACC-11477</t>
  </si>
  <si>
    <t xml:space="preserve">Vertexcraft Co</t>
  </si>
  <si>
    <t xml:space="preserve">2026-01-30</t>
  </si>
  <si>
    <t xml:space="preserve">2024-05-22</t>
  </si>
  <si>
    <t xml:space="preserve">2026-08-14</t>
  </si>
  <si>
    <t xml:space="preserve">2023-11-17</t>
  </si>
  <si>
    <t xml:space="preserve">2025-09-21</t>
  </si>
  <si>
    <t xml:space="preserve">2026-07-03</t>
  </si>
  <si>
    <t xml:space="preserve">ACC-11495</t>
  </si>
  <si>
    <t xml:space="preserve">Vertexbase Group</t>
  </si>
  <si>
    <t xml:space="preserve">2024-09-21</t>
  </si>
  <si>
    <t xml:space="preserve">ACC-11502</t>
  </si>
  <si>
    <t xml:space="preserve">Trueline Technologies</t>
  </si>
  <si>
    <t xml:space="preserve">2023-07-06</t>
  </si>
  <si>
    <t xml:space="preserve">2025-01-19</t>
  </si>
  <si>
    <t xml:space="preserve">2026-01-04</t>
  </si>
  <si>
    <t xml:space="preserve">Silverlogic Systems</t>
  </si>
  <si>
    <t xml:space="preserve">ACC-11509</t>
  </si>
  <si>
    <t xml:space="preserve">Truepoint Systems</t>
  </si>
  <si>
    <t xml:space="preserve">2024-02-29</t>
  </si>
  <si>
    <t xml:space="preserve">ACC-11512</t>
  </si>
  <si>
    <t xml:space="preserve">Vertexline LLC</t>
  </si>
  <si>
    <t xml:space="preserve">ACC-11514</t>
  </si>
  <si>
    <t xml:space="preserve">Boldworks Systems</t>
  </si>
  <si>
    <t xml:space="preserve">2024-09-18</t>
  </si>
  <si>
    <t xml:space="preserve">2026-07-27</t>
  </si>
  <si>
    <t xml:space="preserve">2024-04-13</t>
  </si>
  <si>
    <t xml:space="preserve">ACC-11518</t>
  </si>
  <si>
    <t xml:space="preserve">Brightpath Solutions</t>
  </si>
  <si>
    <t xml:space="preserve">2024-01-04</t>
  </si>
  <si>
    <t xml:space="preserve">2024-05-08</t>
  </si>
  <si>
    <t xml:space="preserve">2025-11-07</t>
  </si>
  <si>
    <t xml:space="preserve">ACC-11523</t>
  </si>
  <si>
    <t xml:space="preserve">Primepath Group</t>
  </si>
  <si>
    <t xml:space="preserve">2023-12-11</t>
  </si>
  <si>
    <t xml:space="preserve">2025-08-23</t>
  </si>
  <si>
    <t xml:space="preserve">ACC-11524</t>
  </si>
  <si>
    <t xml:space="preserve">Northsphere Solutions</t>
  </si>
  <si>
    <t xml:space="preserve">Bluepath LLC</t>
  </si>
  <si>
    <t xml:space="preserve">2024-01-06</t>
  </si>
  <si>
    <t xml:space="preserve">2025-12-18</t>
  </si>
  <si>
    <t xml:space="preserve">Silvercraft Technologies</t>
  </si>
  <si>
    <t xml:space="preserve">2025-03-10</t>
  </si>
  <si>
    <t xml:space="preserve">2026-03-21</t>
  </si>
  <si>
    <t xml:space="preserve">Urbancraft Inc</t>
  </si>
  <si>
    <t xml:space="preserve">2026-04-07</t>
  </si>
  <si>
    <t xml:space="preserve">2025-02-06</t>
  </si>
  <si>
    <t xml:space="preserve">ACC-11558</t>
  </si>
  <si>
    <t xml:space="preserve">Primestack Systems</t>
  </si>
  <si>
    <t xml:space="preserve">ACC-11559</t>
  </si>
  <si>
    <t xml:space="preserve">Peakbase Group</t>
  </si>
  <si>
    <t xml:space="preserve">2025-10-08</t>
  </si>
  <si>
    <t xml:space="preserve">2025-12-10</t>
  </si>
  <si>
    <t xml:space="preserve">Primeline Solutions</t>
  </si>
  <si>
    <t xml:space="preserve">ACC-11562</t>
  </si>
  <si>
    <t xml:space="preserve">Apexforge Systems</t>
  </si>
  <si>
    <t xml:space="preserve">ACC-11565</t>
  </si>
  <si>
    <t xml:space="preserve">Silverlabs Systems</t>
  </si>
  <si>
    <t xml:space="preserve">ACC-11566</t>
  </si>
  <si>
    <t xml:space="preserve">Clearstack Co</t>
  </si>
  <si>
    <t xml:space="preserve">2025-04-07</t>
  </si>
  <si>
    <t xml:space="preserve">2024-01-25</t>
  </si>
  <si>
    <t xml:space="preserve">2025-06-13</t>
  </si>
  <si>
    <t xml:space="preserve">2024-06-27</t>
  </si>
  <si>
    <t xml:space="preserve">2026-07-23</t>
  </si>
  <si>
    <t xml:space="preserve">2024-02-15</t>
  </si>
  <si>
    <t xml:space="preserve">ACC-11588</t>
  </si>
  <si>
    <t xml:space="preserve">Novalogic Group</t>
  </si>
  <si>
    <t xml:space="preserve">ACC-11592</t>
  </si>
  <si>
    <t xml:space="preserve">Primepoint Group</t>
  </si>
  <si>
    <t xml:space="preserve">2023-08-25</t>
  </si>
  <si>
    <t xml:space="preserve">2025-09-28</t>
  </si>
  <si>
    <t xml:space="preserve">ACC-11599</t>
  </si>
  <si>
    <t xml:space="preserve">Atlaslogic Systems</t>
  </si>
  <si>
    <t xml:space="preserve">2026-03-29</t>
  </si>
  <si>
    <t xml:space="preserve">ACC-11605</t>
  </si>
  <si>
    <t xml:space="preserve">Lumenline Technologies</t>
  </si>
  <si>
    <t xml:space="preserve">Orbitsphere Ltd</t>
  </si>
  <si>
    <t xml:space="preserve">2026-06-28</t>
  </si>
  <si>
    <t xml:space="preserve">ACC-11613</t>
  </si>
  <si>
    <t xml:space="preserve">Atlaspoint Technologies</t>
  </si>
  <si>
    <t xml:space="preserve">2024-01-10</t>
  </si>
  <si>
    <t xml:space="preserve">ACC-11615</t>
  </si>
  <si>
    <t xml:space="preserve">Novaflow Solutions</t>
  </si>
  <si>
    <t xml:space="preserve">2026-07-08</t>
  </si>
  <si>
    <t xml:space="preserve">Silversphere Ltd</t>
  </si>
  <si>
    <t xml:space="preserve">2024-06-28</t>
  </si>
  <si>
    <t xml:space="preserve">2024-07-30</t>
  </si>
  <si>
    <t xml:space="preserve">2023-09-15</t>
  </si>
  <si>
    <t xml:space="preserve">Vertexlabs Systems</t>
  </si>
  <si>
    <t xml:space="preserve">2026-09-10</t>
  </si>
  <si>
    <t xml:space="preserve">ACC-11624</t>
  </si>
  <si>
    <t xml:space="preserve">Greenline Systems</t>
  </si>
  <si>
    <t xml:space="preserve">2024-12-10</t>
  </si>
  <si>
    <t xml:space="preserve">ACC-11625</t>
  </si>
  <si>
    <t xml:space="preserve">Boldhub Systems</t>
  </si>
  <si>
    <t xml:space="preserve">2024-12-12</t>
  </si>
  <si>
    <t xml:space="preserve">ACC-11634</t>
  </si>
  <si>
    <t xml:space="preserve">Boldflow Technologies</t>
  </si>
  <si>
    <t xml:space="preserve">2024-06-14</t>
  </si>
  <si>
    <t xml:space="preserve">ACC-11635</t>
  </si>
  <si>
    <t xml:space="preserve">Bluemind Inc</t>
  </si>
  <si>
    <t xml:space="preserve">Brightwave Ltd</t>
  </si>
  <si>
    <t xml:space="preserve">2023-11-26</t>
  </si>
  <si>
    <t xml:space="preserve">Boldworks Ltd</t>
  </si>
  <si>
    <t xml:space="preserve">2026-02-03</t>
  </si>
  <si>
    <t xml:space="preserve">Northstack Systems</t>
  </si>
  <si>
    <t xml:space="preserve">2026-09-15</t>
  </si>
  <si>
    <t xml:space="preserve">ACC-11649</t>
  </si>
  <si>
    <t xml:space="preserve">Blueline Solutions</t>
  </si>
  <si>
    <t xml:space="preserve">2023-10-24</t>
  </si>
  <si>
    <t xml:space="preserve">2025-11-30</t>
  </si>
  <si>
    <t xml:space="preserve">Novasphere Group</t>
  </si>
  <si>
    <t xml:space="preserve">Apexmind Systems</t>
  </si>
  <si>
    <t xml:space="preserve">2023-07-15</t>
  </si>
  <si>
    <t xml:space="preserve">2024-12-18</t>
  </si>
  <si>
    <t xml:space="preserve">2025-12-16</t>
  </si>
  <si>
    <t xml:space="preserve">ACC-11670</t>
  </si>
  <si>
    <t xml:space="preserve">Urbanflow LLC</t>
  </si>
  <si>
    <t xml:space="preserve">Greenline Group</t>
  </si>
  <si>
    <t xml:space="preserve">2026-05-06</t>
  </si>
  <si>
    <t xml:space="preserve">2025-07-18</t>
  </si>
  <si>
    <t xml:space="preserve">Bluewave Technologies</t>
  </si>
  <si>
    <t xml:space="preserve">ACC-11679</t>
  </si>
  <si>
    <t xml:space="preserve">Urbanline Ltd</t>
  </si>
  <si>
    <t xml:space="preserve">2024-05-13</t>
  </si>
  <si>
    <t xml:space="preserve">ACC-11682</t>
  </si>
  <si>
    <t xml:space="preserve">Clearly Systems</t>
  </si>
  <si>
    <t xml:space="preserve">2024-06-23</t>
  </si>
  <si>
    <t xml:space="preserve">Orbitwave Solutions</t>
  </si>
  <si>
    <t xml:space="preserve">2025-08-26</t>
  </si>
  <si>
    <t xml:space="preserve">ACC-11684</t>
  </si>
  <si>
    <t xml:space="preserve">Novamind LLC</t>
  </si>
  <si>
    <t xml:space="preserve">2024-05-10</t>
  </si>
  <si>
    <t xml:space="preserve">2023-10-28</t>
  </si>
  <si>
    <t xml:space="preserve">2024-12-02</t>
  </si>
  <si>
    <t xml:space="preserve">2023-09-03</t>
  </si>
  <si>
    <t xml:space="preserve">Brightline Inc</t>
  </si>
  <si>
    <t xml:space="preserve">2023-11-13</t>
  </si>
  <si>
    <t xml:space="preserve">2024-01-09</t>
  </si>
  <si>
    <t xml:space="preserve">2023-08-03</t>
  </si>
  <si>
    <t xml:space="preserve">Silverbridge Solutions</t>
  </si>
  <si>
    <t xml:space="preserve">Boldcraft Technologies</t>
  </si>
  <si>
    <t xml:space="preserve">Urbancraft Group</t>
  </si>
  <si>
    <t xml:space="preserve">2025-09-08</t>
  </si>
  <si>
    <t xml:space="preserve">ACC-11726</t>
  </si>
  <si>
    <t xml:space="preserve">Urbanmind Group</t>
  </si>
  <si>
    <t xml:space="preserve">ACC-11729</t>
  </si>
  <si>
    <t xml:space="preserve">Coreline Inc</t>
  </si>
  <si>
    <t xml:space="preserve">2025-01-09</t>
  </si>
  <si>
    <t xml:space="preserve">2024-06-30</t>
  </si>
  <si>
    <t xml:space="preserve">2023-12-13</t>
  </si>
  <si>
    <t xml:space="preserve">Silversphere Group</t>
  </si>
  <si>
    <t xml:space="preserve">2026-04-15</t>
  </si>
  <si>
    <t xml:space="preserve">Boldsphere Inc</t>
  </si>
  <si>
    <t xml:space="preserve">2026-08-10</t>
  </si>
  <si>
    <t xml:space="preserve">ACC-11745</t>
  </si>
  <si>
    <t xml:space="preserve">Urbangrid Technologies</t>
  </si>
  <si>
    <t xml:space="preserve">2024-11-19</t>
  </si>
  <si>
    <t xml:space="preserve">2025-02-01</t>
  </si>
  <si>
    <t xml:space="preserve">2023-07-22</t>
  </si>
  <si>
    <t xml:space="preserve">ACC-11751</t>
  </si>
  <si>
    <t xml:space="preserve">Orbitmind Solutions</t>
  </si>
  <si>
    <t xml:space="preserve">2025-04-15</t>
  </si>
  <si>
    <t xml:space="preserve">ACC-11754</t>
  </si>
  <si>
    <t xml:space="preserve">Lumenhub Solutions</t>
  </si>
  <si>
    <t xml:space="preserve">2025-04-29</t>
  </si>
  <si>
    <t xml:space="preserve">ACC-11758</t>
  </si>
  <si>
    <t xml:space="preserve">Peakline Inc</t>
  </si>
  <si>
    <t xml:space="preserve">2025-06-18</t>
  </si>
  <si>
    <t xml:space="preserve">ACC-11760</t>
  </si>
  <si>
    <t xml:space="preserve">Novaly Group</t>
  </si>
  <si>
    <t xml:space="preserve">ACC-11763</t>
  </si>
  <si>
    <t xml:space="preserve">Primepoint Inc</t>
  </si>
  <si>
    <t xml:space="preserve">ACC-11767</t>
  </si>
  <si>
    <t xml:space="preserve">Boldstack Inc</t>
  </si>
  <si>
    <t xml:space="preserve">2024-04-29</t>
  </si>
  <si>
    <t xml:space="preserve">2024-02-11</t>
  </si>
  <si>
    <t xml:space="preserve">ACC-11776</t>
  </si>
  <si>
    <t xml:space="preserve">Truewave Systems</t>
  </si>
  <si>
    <t xml:space="preserve">2023-09-17</t>
  </si>
  <si>
    <t xml:space="preserve">2025-12-21</t>
  </si>
  <si>
    <t xml:space="preserve">ACC-11783</t>
  </si>
  <si>
    <t xml:space="preserve">Swiftnest Systems</t>
  </si>
  <si>
    <t xml:space="preserve">Peakscale Inc</t>
  </si>
  <si>
    <t xml:space="preserve">ACC-11790</t>
  </si>
  <si>
    <t xml:space="preserve">Lumenmind Inc</t>
  </si>
  <si>
    <t xml:space="preserve">2023-12-14</t>
  </si>
  <si>
    <t xml:space="preserve">ACC-11793</t>
  </si>
  <si>
    <t xml:space="preserve">Truebridge Solutions</t>
  </si>
  <si>
    <t xml:space="preserve">2025-04-10</t>
  </si>
  <si>
    <t xml:space="preserve">2024-02-05</t>
  </si>
  <si>
    <t xml:space="preserve">2026-07-29</t>
  </si>
  <si>
    <t xml:space="preserve">ACC-11803</t>
  </si>
  <si>
    <t xml:space="preserve">Silvernest Group</t>
  </si>
  <si>
    <t xml:space="preserve">2025-06-04</t>
  </si>
  <si>
    <t xml:space="preserve">Brightsphere Inc</t>
  </si>
  <si>
    <t xml:space="preserve">2024-11-27</t>
  </si>
  <si>
    <t xml:space="preserve">ACC-11808</t>
  </si>
  <si>
    <t xml:space="preserve">Greengrid Group</t>
  </si>
  <si>
    <t xml:space="preserve">2025-07-19</t>
  </si>
  <si>
    <t xml:space="preserve">ACC-11810</t>
  </si>
  <si>
    <t xml:space="preserve">Apexpoint LLC</t>
  </si>
  <si>
    <t xml:space="preserve">2025-11-20</t>
  </si>
  <si>
    <t xml:space="preserve">2025-06-30</t>
  </si>
  <si>
    <t xml:space="preserve">ACC-11824</t>
  </si>
  <si>
    <t xml:space="preserve">Truemind Systems</t>
  </si>
  <si>
    <t xml:space="preserve">Truelogic Technologies</t>
  </si>
  <si>
    <t xml:space="preserve">ACC-11827</t>
  </si>
  <si>
    <t xml:space="preserve">Apexmind Ltd</t>
  </si>
  <si>
    <t xml:space="preserve">2024-08-13</t>
  </si>
  <si>
    <t xml:space="preserve">ACC-11830</t>
  </si>
  <si>
    <t xml:space="preserve">Greenlabs Group</t>
  </si>
  <si>
    <t xml:space="preserve">2026-07-10</t>
  </si>
  <si>
    <t xml:space="preserve">Brightcraft Technologies</t>
  </si>
  <si>
    <t xml:space="preserve">2023-08-10</t>
  </si>
  <si>
    <t xml:space="preserve">ACC-11845</t>
  </si>
  <si>
    <t xml:space="preserve">Primenest Technologies</t>
  </si>
  <si>
    <t xml:space="preserve">2025-07-12</t>
  </si>
  <si>
    <t xml:space="preserve">Greenly Group</t>
  </si>
  <si>
    <t xml:space="preserve">2024-04-09</t>
  </si>
  <si>
    <t xml:space="preserve">2023-12-05</t>
  </si>
  <si>
    <t xml:space="preserve">Novawave Co</t>
  </si>
  <si>
    <t xml:space="preserve">2024-08-10</t>
  </si>
  <si>
    <t xml:space="preserve">2026-09-25</t>
  </si>
  <si>
    <t xml:space="preserve">Clearwave LLC</t>
  </si>
  <si>
    <t xml:space="preserve">Corenest Solutions</t>
  </si>
  <si>
    <t xml:space="preserve">ACC-11875</t>
  </si>
  <si>
    <t xml:space="preserve">Swiftpoint Co</t>
  </si>
  <si>
    <t xml:space="preserve">2025-04-19</t>
  </si>
  <si>
    <t xml:space="preserve">2023-09-13</t>
  </si>
  <si>
    <t xml:space="preserve">2024-05-15</t>
  </si>
  <si>
    <t xml:space="preserve">2024-08-30</t>
  </si>
  <si>
    <t xml:space="preserve">2023-11-21</t>
  </si>
  <si>
    <t xml:space="preserve">Corescale Technologies</t>
  </si>
  <si>
    <t xml:space="preserve">Vertexflow Group</t>
  </si>
  <si>
    <t xml:space="preserve">2024-07-07</t>
  </si>
  <si>
    <t xml:space="preserve">2026-04-09</t>
  </si>
  <si>
    <t xml:space="preserve">Apexly Ltd</t>
  </si>
  <si>
    <t xml:space="preserve">2024-03-01</t>
  </si>
  <si>
    <t xml:space="preserve">2023-12-28</t>
  </si>
  <si>
    <t xml:space="preserve">2026-08-03</t>
  </si>
  <si>
    <t xml:space="preserve">2025-06-10</t>
  </si>
  <si>
    <t xml:space="preserve">ACC-11933</t>
  </si>
  <si>
    <t xml:space="preserve">Brightbridge Group</t>
  </si>
  <si>
    <t xml:space="preserve">2025-07-26</t>
  </si>
  <si>
    <t xml:space="preserve">2023-09-10</t>
  </si>
  <si>
    <t xml:space="preserve">ACC-11942</t>
  </si>
  <si>
    <t xml:space="preserve">Bluesphere Systems</t>
  </si>
  <si>
    <t xml:space="preserve">Primehub Technologies</t>
  </si>
  <si>
    <t xml:space="preserve">Urbanhub Systems</t>
  </si>
  <si>
    <t xml:space="preserve">2025-01-17</t>
  </si>
  <si>
    <t xml:space="preserve">2025-01-30</t>
  </si>
  <si>
    <t xml:space="preserve">ACC-11971</t>
  </si>
  <si>
    <t xml:space="preserve">Novapoint Systems</t>
  </si>
  <si>
    <t xml:space="preserve">ACC-11972</t>
  </si>
  <si>
    <t xml:space="preserve">Lumenforge LLC</t>
  </si>
  <si>
    <t xml:space="preserve">2024-09-06</t>
  </si>
  <si>
    <t xml:space="preserve">2025-11-17</t>
  </si>
  <si>
    <t xml:space="preserve">2024-08-09</t>
  </si>
  <si>
    <t xml:space="preserve">2023-08-24</t>
  </si>
  <si>
    <t xml:space="preserve">ACC-11999</t>
  </si>
  <si>
    <t xml:space="preserve">Apexline Systems</t>
  </si>
  <si>
    <t xml:space="preserve">2025-01-24</t>
  </si>
  <si>
    <t xml:space="preserve">ACC-12009</t>
  </si>
  <si>
    <t xml:space="preserve">Brightstack Ltd</t>
  </si>
  <si>
    <t xml:space="preserve">Brightlabs Ltd</t>
  </si>
  <si>
    <t xml:space="preserve">2025-03-05</t>
  </si>
  <si>
    <t xml:space="preserve">ACC-12031</t>
  </si>
  <si>
    <t xml:space="preserve">Trueforge Systems</t>
  </si>
  <si>
    <t xml:space="preserve">2024-10-23</t>
  </si>
  <si>
    <t xml:space="preserve">Northlogic Co</t>
  </si>
  <si>
    <t xml:space="preserve">2024-05-26</t>
  </si>
  <si>
    <t xml:space="preserve">Orbitsphere Solutions</t>
  </si>
  <si>
    <t xml:space="preserve">2024-03-05</t>
  </si>
  <si>
    <t xml:space="preserve">2026-03-30</t>
  </si>
  <si>
    <t xml:space="preserve">Corenest Technologies</t>
  </si>
  <si>
    <t xml:space="preserve">2024-04-16</t>
  </si>
  <si>
    <t xml:space="preserve">ACC-12049</t>
  </si>
  <si>
    <t xml:space="preserve">Bluely Solutions</t>
  </si>
  <si>
    <t xml:space="preserve">ACC-12055</t>
  </si>
  <si>
    <t xml:space="preserve">Clearline Co</t>
  </si>
  <si>
    <t xml:space="preserve">2023-11-18</t>
  </si>
  <si>
    <t xml:space="preserve">ACC-12063</t>
  </si>
  <si>
    <t xml:space="preserve">Clearline Inc</t>
  </si>
  <si>
    <t xml:space="preserve">ACC-12066</t>
  </si>
  <si>
    <t xml:space="preserve">Peaklabs LLC</t>
  </si>
  <si>
    <t xml:space="preserve">2025-09-02</t>
  </si>
  <si>
    <t xml:space="preserve">ACC-12073</t>
  </si>
  <si>
    <t xml:space="preserve">Northpath LLC</t>
  </si>
  <si>
    <t xml:space="preserve">2025-01-28</t>
  </si>
  <si>
    <t xml:space="preserve">ACC-12079</t>
  </si>
  <si>
    <t xml:space="preserve">Urbancraft Solutions</t>
  </si>
  <si>
    <t xml:space="preserve">Primeflow Group</t>
  </si>
  <si>
    <t xml:space="preserve">2024-03-22</t>
  </si>
  <si>
    <t xml:space="preserve">2025-01-10</t>
  </si>
  <si>
    <t xml:space="preserve">ACC-12085</t>
  </si>
  <si>
    <t xml:space="preserve">Novaforge LLC</t>
  </si>
  <si>
    <t xml:space="preserve">2024-01-16</t>
  </si>
  <si>
    <t xml:space="preserve">ACC-12091</t>
  </si>
  <si>
    <t xml:space="preserve">Corely Inc</t>
  </si>
  <si>
    <t xml:space="preserve">ACC-12097</t>
  </si>
  <si>
    <t xml:space="preserve">Lumenlogic Technologies</t>
  </si>
  <si>
    <t xml:space="preserve">Greenlabs LLC</t>
  </si>
  <si>
    <t xml:space="preserve">2025-08-19</t>
  </si>
  <si>
    <t xml:space="preserve">Greenscale Co</t>
  </si>
  <si>
    <t xml:space="preserve">ACC-12112</t>
  </si>
  <si>
    <t xml:space="preserve">Truepath Ltd</t>
  </si>
  <si>
    <t xml:space="preserve">2024-03-15</t>
  </si>
  <si>
    <t xml:space="preserve">Apexhub Ltd</t>
  </si>
  <si>
    <t xml:space="preserve">ACC-12114</t>
  </si>
  <si>
    <t xml:space="preserve">Primehub Systems</t>
  </si>
  <si>
    <t xml:space="preserve">ACC-12116</t>
  </si>
  <si>
    <t xml:space="preserve">Vertexgrid Systems</t>
  </si>
  <si>
    <t xml:space="preserve">2024-10-05</t>
  </si>
  <si>
    <t xml:space="preserve">ACC-12119</t>
  </si>
  <si>
    <t xml:space="preserve">Brightmind Ltd</t>
  </si>
  <si>
    <t xml:space="preserve">2024-02-19</t>
  </si>
  <si>
    <t xml:space="preserve">2025-01-04</t>
  </si>
  <si>
    <t xml:space="preserve">ACC-12129</t>
  </si>
  <si>
    <t xml:space="preserve">Urbanflow Inc</t>
  </si>
  <si>
    <t xml:space="preserve">Boldworks Group</t>
  </si>
  <si>
    <t xml:space="preserve">ACC-12136</t>
  </si>
  <si>
    <t xml:space="preserve">Greensphere Ltd</t>
  </si>
  <si>
    <t xml:space="preserve">2023-12-18</t>
  </si>
  <si>
    <t xml:space="preserve">Peakbase Technologies</t>
  </si>
  <si>
    <t xml:space="preserve">2026-02-09</t>
  </si>
  <si>
    <t xml:space="preserve">2024-12-26</t>
  </si>
  <si>
    <t xml:space="preserve">Boldgrid Systems</t>
  </si>
  <si>
    <t xml:space="preserve">2026-08-26</t>
  </si>
  <si>
    <t xml:space="preserve">ACC-12148</t>
  </si>
  <si>
    <t xml:space="preserve">Apexbridge Solutions</t>
  </si>
  <si>
    <t xml:space="preserve">2026-04-05</t>
  </si>
  <si>
    <t xml:space="preserve">ACC-12152</t>
  </si>
  <si>
    <t xml:space="preserve">Greenmind Ltd</t>
  </si>
  <si>
    <t xml:space="preserve">2023-08-01</t>
  </si>
  <si>
    <t xml:space="preserve">ACC-12154</t>
  </si>
  <si>
    <t xml:space="preserve">Clearpoint Technologies</t>
  </si>
  <si>
    <t xml:space="preserve">Primewave Solutions</t>
  </si>
  <si>
    <t xml:space="preserve">Orbitcraft Systems</t>
  </si>
  <si>
    <t xml:space="preserve">2026-01-20</t>
  </si>
  <si>
    <t xml:space="preserve">ACC-12166</t>
  </si>
  <si>
    <t xml:space="preserve">Clearscale Co</t>
  </si>
  <si>
    <t xml:space="preserve">2023-09-14</t>
  </si>
  <si>
    <t xml:space="preserve">ACC-12169</t>
  </si>
  <si>
    <t xml:space="preserve">Bluesphere Technologies</t>
  </si>
  <si>
    <t xml:space="preserve">Pixelgrid Ltd</t>
  </si>
  <si>
    <t xml:space="preserve">2026-06-05</t>
  </si>
  <si>
    <t xml:space="preserve">2025-06-06</t>
  </si>
  <si>
    <t xml:space="preserve">ACC-12182</t>
  </si>
  <si>
    <t xml:space="preserve">Boldline Inc</t>
  </si>
  <si>
    <t xml:space="preserve">ACC-12183</t>
  </si>
  <si>
    <t xml:space="preserve">Urbanbridge Ltd</t>
  </si>
  <si>
    <t xml:space="preserve">2026-05-26</t>
  </si>
  <si>
    <t xml:space="preserve">Pixelwave Group</t>
  </si>
  <si>
    <t xml:space="preserve">Truewave Co</t>
  </si>
  <si>
    <t xml:space="preserve">2023-08-28</t>
  </si>
  <si>
    <t xml:space="preserve">2024-10-19</t>
  </si>
  <si>
    <t xml:space="preserve">ACC-12204</t>
  </si>
  <si>
    <t xml:space="preserve">Silvernest Technologies</t>
  </si>
  <si>
    <t xml:space="preserve">2025-03-02</t>
  </si>
  <si>
    <t xml:space="preserve">Boldbridge Group</t>
  </si>
  <si>
    <t xml:space="preserve">Northnest Ltd</t>
  </si>
  <si>
    <t xml:space="preserve">Northscale Solutions</t>
  </si>
  <si>
    <t xml:space="preserve">Bluebase Technologies</t>
  </si>
  <si>
    <t xml:space="preserve">2026-03-04</t>
  </si>
  <si>
    <t xml:space="preserve">Truecraft Ltd</t>
  </si>
  <si>
    <t xml:space="preserve">2023-09-05</t>
  </si>
  <si>
    <t xml:space="preserve">Lumenpoint Solutions</t>
  </si>
  <si>
    <t xml:space="preserve">ACC-12230</t>
  </si>
  <si>
    <t xml:space="preserve">Bluewave Ltd</t>
  </si>
  <si>
    <t xml:space="preserve">ACC-12232</t>
  </si>
  <si>
    <t xml:space="preserve">Silversphere Co</t>
  </si>
  <si>
    <t xml:space="preserve">Peakcraft Ltd</t>
  </si>
  <si>
    <t xml:space="preserve">ACC-12237</t>
  </si>
  <si>
    <t xml:space="preserve">Atlaswave Technologies</t>
  </si>
  <si>
    <t xml:space="preserve">2024-05-28</t>
  </si>
  <si>
    <t xml:space="preserve">Apexwave Solutions</t>
  </si>
  <si>
    <t xml:space="preserve">ACC-12247</t>
  </si>
  <si>
    <t xml:space="preserve">Primemind Systems</t>
  </si>
  <si>
    <t xml:space="preserve">Novastack Group</t>
  </si>
  <si>
    <t xml:space="preserve">2024-10-28</t>
  </si>
  <si>
    <t xml:space="preserve">2026-02-14</t>
  </si>
  <si>
    <t xml:space="preserve">ACC-12270</t>
  </si>
  <si>
    <t xml:space="preserve">Vertexly Technologies</t>
  </si>
  <si>
    <t xml:space="preserve">2024-08-24</t>
  </si>
  <si>
    <t xml:space="preserve">2023-07-30</t>
  </si>
  <si>
    <t xml:space="preserve">Corecraft Inc</t>
  </si>
  <si>
    <t xml:space="preserve">Lumenlabs Co</t>
  </si>
  <si>
    <t xml:space="preserve">Swiftpath LLC</t>
  </si>
  <si>
    <t xml:space="preserve">2026-06-03</t>
  </si>
  <si>
    <t xml:space="preserve">Apexpoint Technologies</t>
  </si>
  <si>
    <t xml:space="preserve">2026-04-06</t>
  </si>
  <si>
    <t xml:space="preserve">Bluewave Inc</t>
  </si>
  <si>
    <t xml:space="preserve">ACC-12309</t>
  </si>
  <si>
    <t xml:space="preserve">Pixelpath Inc</t>
  </si>
  <si>
    <t xml:space="preserve">ACC-12312</t>
  </si>
  <si>
    <t xml:space="preserve">Boldbridge Ltd</t>
  </si>
  <si>
    <t xml:space="preserve">ACC-12313</t>
  </si>
  <si>
    <t xml:space="preserve">Orbitscale Solutions</t>
  </si>
  <si>
    <t xml:space="preserve">2024-07-03</t>
  </si>
  <si>
    <t xml:space="preserve">2025-10-30</t>
  </si>
  <si>
    <t xml:space="preserve">ACC-12324</t>
  </si>
  <si>
    <t xml:space="preserve">Apexpath Ltd</t>
  </si>
  <si>
    <t xml:space="preserve">2026-08-13</t>
  </si>
  <si>
    <t xml:space="preserve">Primeforge Ltd</t>
  </si>
  <si>
    <t xml:space="preserve">2026-07-02</t>
  </si>
  <si>
    <t xml:space="preserve">Greenflow Systems</t>
  </si>
  <si>
    <t xml:space="preserve">2026-03-26</t>
  </si>
  <si>
    <t xml:space="preserve">Orbitlogic Inc</t>
  </si>
  <si>
    <t xml:space="preserve">Greencraft Co</t>
  </si>
  <si>
    <t xml:space="preserve">ACC-12344</t>
  </si>
  <si>
    <t xml:space="preserve">Peakstack LLC</t>
  </si>
  <si>
    <t xml:space="preserve">2024-03-20</t>
  </si>
  <si>
    <t xml:space="preserve">ACC-12356</t>
  </si>
  <si>
    <t xml:space="preserve">Orbitmind Inc</t>
  </si>
  <si>
    <t xml:space="preserve">Orbitpath Ltd</t>
  </si>
  <si>
    <t xml:space="preserve">ACC-12360</t>
  </si>
  <si>
    <t xml:space="preserve">Peaksphere Technologies</t>
  </si>
  <si>
    <t xml:space="preserve">2024-04-14</t>
  </si>
  <si>
    <t xml:space="preserve">Novabase LLC</t>
  </si>
  <si>
    <t xml:space="preserve">ACC-12364</t>
  </si>
  <si>
    <t xml:space="preserve">Urbanbase Technologies</t>
  </si>
  <si>
    <t xml:space="preserve">Novagrid Ltd</t>
  </si>
  <si>
    <t xml:space="preserve">2024-01-23</t>
  </si>
  <si>
    <t xml:space="preserve">Peakpoint LLC</t>
  </si>
  <si>
    <t xml:space="preserve">2026-09-23</t>
  </si>
  <si>
    <t xml:space="preserve">Bluescale Group</t>
  </si>
  <si>
    <t xml:space="preserve">ACC-12401</t>
  </si>
  <si>
    <t xml:space="preserve">Apexstack Ltd</t>
  </si>
  <si>
    <t xml:space="preserve">ACC-12402</t>
  </si>
  <si>
    <t xml:space="preserve">Truecraft Technologies</t>
  </si>
  <si>
    <t xml:space="preserve">2024-05-06</t>
  </si>
  <si>
    <t xml:space="preserve">Truelabs Solutions</t>
  </si>
  <si>
    <t xml:space="preserve">2024-12-23</t>
  </si>
  <si>
    <t xml:space="preserve">ACC-12409</t>
  </si>
  <si>
    <t xml:space="preserve">Truenest Co</t>
  </si>
  <si>
    <t xml:space="preserve">Bluelogic Solutions</t>
  </si>
  <si>
    <t xml:space="preserve">Orbitstack Co</t>
  </si>
  <si>
    <t xml:space="preserve">Silverlabs Ltd</t>
  </si>
  <si>
    <t xml:space="preserve">Clearline Ltd</t>
  </si>
  <si>
    <t xml:space="preserve">2026-04-18</t>
  </si>
  <si>
    <t xml:space="preserve">ACC-12419</t>
  </si>
  <si>
    <t xml:space="preserve">Peakforge Solutions</t>
  </si>
  <si>
    <t xml:space="preserve">2024-05-01</t>
  </si>
  <si>
    <t xml:space="preserve">ACC-12423</t>
  </si>
  <si>
    <t xml:space="preserve">Lumenpoint Co</t>
  </si>
  <si>
    <t xml:space="preserve">Vertexscale Technologies</t>
  </si>
  <si>
    <t xml:space="preserve">2026-09-01</t>
  </si>
  <si>
    <t xml:space="preserve">ACC-12425</t>
  </si>
  <si>
    <t xml:space="preserve">Lumennest LLC</t>
  </si>
  <si>
    <t xml:space="preserve">Primelabs Inc</t>
  </si>
  <si>
    <t xml:space="preserve">2024-05-31</t>
  </si>
  <si>
    <t xml:space="preserve">2026-05-08</t>
  </si>
  <si>
    <t xml:space="preserve">Silvercraft Systems</t>
  </si>
  <si>
    <t xml:space="preserve">Apexlogic LLC</t>
  </si>
  <si>
    <t xml:space="preserve">2024-04-18</t>
  </si>
  <si>
    <t xml:space="preserve">ACC-12447</t>
  </si>
  <si>
    <t xml:space="preserve">Atlaspoint Ltd</t>
  </si>
  <si>
    <t xml:space="preserve">ACC-12457</t>
  </si>
  <si>
    <t xml:space="preserve">Brightpoint Co</t>
  </si>
  <si>
    <t xml:space="preserve">ACC-12462</t>
  </si>
  <si>
    <t xml:space="preserve">Corenest LLC</t>
  </si>
  <si>
    <t xml:space="preserve">2025-02-08</t>
  </si>
  <si>
    <t xml:space="preserve">ACC-12464</t>
  </si>
  <si>
    <t xml:space="preserve">Atlasly Solutions</t>
  </si>
  <si>
    <t xml:space="preserve">Swiftlabs LLC</t>
  </si>
  <si>
    <t xml:space="preserve">2024-03-10</t>
  </si>
  <si>
    <t xml:space="preserve">Lumenwave Technologies</t>
  </si>
  <si>
    <t xml:space="preserve">ACC-12479</t>
  </si>
  <si>
    <t xml:space="preserve">Northlogic LLC</t>
  </si>
  <si>
    <t xml:space="preserve">ACC-12481</t>
  </si>
  <si>
    <t xml:space="preserve">Urbangrid Co</t>
  </si>
  <si>
    <t xml:space="preserve">Greencraft Ltd</t>
  </si>
  <si>
    <t xml:space="preserve">Atlasscale Group</t>
  </si>
  <si>
    <t xml:space="preserve">2025-03-30</t>
  </si>
  <si>
    <t xml:space="preserve">2024-08-05</t>
  </si>
  <si>
    <t xml:space="preserve">2024-03-03</t>
  </si>
  <si>
    <t xml:space="preserve">2025-09-06</t>
  </si>
  <si>
    <t xml:space="preserve">2024-10-09</t>
  </si>
  <si>
    <t xml:space="preserve">Vertexline Co</t>
  </si>
  <si>
    <t xml:space="preserve">2026-07-30</t>
  </si>
  <si>
    <t xml:space="preserve">Bluecraft Ltd</t>
  </si>
  <si>
    <t xml:space="preserve">Swiftworks Inc</t>
  </si>
  <si>
    <t xml:space="preserve">ACC-12518</t>
  </si>
  <si>
    <t xml:space="preserve">Atlasmind Co</t>
  </si>
  <si>
    <t xml:space="preserve">ACC-12528</t>
  </si>
  <si>
    <t xml:space="preserve">Peakmind Co</t>
  </si>
  <si>
    <t xml:space="preserve">ACC-12531</t>
  </si>
  <si>
    <t xml:space="preserve">Coreforge LLC</t>
  </si>
  <si>
    <t xml:space="preserve">Urbanlabs Inc</t>
  </si>
  <si>
    <t xml:space="preserve">ACC-12534</t>
  </si>
  <si>
    <t xml:space="preserve">Pixelpoint Co</t>
  </si>
  <si>
    <t xml:space="preserve">Urbanpath Ltd</t>
  </si>
  <si>
    <t xml:space="preserve">2023-10-19</t>
  </si>
  <si>
    <t xml:space="preserve">ACC-12540</t>
  </si>
  <si>
    <t xml:space="preserve">Greenwave Systems</t>
  </si>
  <si>
    <t xml:space="preserve">ACC-12543</t>
  </si>
  <si>
    <t xml:space="preserve">Greenpoint Inc</t>
  </si>
  <si>
    <t xml:space="preserve">2023-09-25</t>
  </si>
  <si>
    <t xml:space="preserve">ACC-12551</t>
  </si>
  <si>
    <t xml:space="preserve">Lumenflow Systems</t>
  </si>
  <si>
    <t xml:space="preserve">2024-02-12</t>
  </si>
  <si>
    <t xml:space="preserve">ACC-12554</t>
  </si>
  <si>
    <t xml:space="preserve">Atlasline Technologies</t>
  </si>
  <si>
    <t xml:space="preserve">ACC-12555</t>
  </si>
  <si>
    <t xml:space="preserve">Corely Systems</t>
  </si>
  <si>
    <t xml:space="preserve">Silvercraft Group</t>
  </si>
  <si>
    <t xml:space="preserve">Novastack Solutions</t>
  </si>
  <si>
    <t xml:space="preserve">2026-02-04</t>
  </si>
  <si>
    <t xml:space="preserve">ACC-12576</t>
  </si>
  <si>
    <t xml:space="preserve">Pixelpoint Ltd</t>
  </si>
  <si>
    <t xml:space="preserve">2025-01-12</t>
  </si>
  <si>
    <t xml:space="preserve">ACC-12588</t>
  </si>
  <si>
    <t xml:space="preserve">Bluelogic Systems</t>
  </si>
  <si>
    <t xml:space="preserve">ACC-12591</t>
  </si>
  <si>
    <t xml:space="preserve">Apexbase Systems</t>
  </si>
  <si>
    <t xml:space="preserve">ACC-12594</t>
  </si>
  <si>
    <t xml:space="preserve">Boldpath Co</t>
  </si>
  <si>
    <t xml:space="preserve">2024-01-14</t>
  </si>
  <si>
    <t xml:space="preserve">Churn rate by segment (all accounts ever signed)</t>
  </si>
  <si>
    <t xml:space="preserve">Churn rate</t>
  </si>
  <si>
    <t xml:space="preserve">Churn rate by plan</t>
  </si>
  <si>
    <t xml:space="preserve">Plan</t>
  </si>
  <si>
    <t xml:space="preserve">Churn rate by onboarding outcome</t>
  </si>
  <si>
    <t xml:space="preserve">Onboarding</t>
  </si>
  <si>
    <t xml:space="preserve">Churned customers by reason</t>
  </si>
  <si>
    <t xml:space="preserve">Reason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</si>
</sst>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,,\M"/>
    <numFmt numFmtId="166" formatCode="0.0%"/>
    <numFmt numFmtId="167" formatCode="0"/>
    <numFmt numFmtId="168" formatCode="\$#,##0,,\M"/>
    <numFmt numFmtId="169" formatCode="\$#,##0,\K"/>
    <numFmt numFmtId="170" formatCode="0%"/>
    <numFmt numFmtId="171" formatCode="\$#,##0"/>
    <numFmt numFmtId="172" formatCode="#,##0"/>
    <numFmt numFmtId="173" formatCode="0.0"/>
    <numFmt numFmtId="174" formatCode="0.00%"/>
    <numFmt numFmtId="175" formatCode="mmm\ yyyy"/>
    <numFmt numFmtId="176" formatCode="\$#,##0;&quot;($&quot;#,##0\);\-"/>
    <numFmt numFmtId="177" formatCode="0.0%;\(0.0%\);\-"/>
    <numFmt numFmtId="178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22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7D5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5B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C0504D"/>
      <rgbColor rgb="FFFFF3CD"/>
      <rgbColor rgb="FFEEF3F8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4A7EBB"/>
      <rgbColor rgb="FF33CCCC"/>
      <rgbColor rgb="FF9BBB59"/>
      <rgbColor rgb="FFFFCC00"/>
      <rgbColor rgb="FFFF9900"/>
      <rgbColor rgb="FFFF6600"/>
      <rgbColor rgb="FF6B7280"/>
      <rgbColor rgb="FF8064A2"/>
      <rgbColor rgb="FF1F3A5F"/>
      <rgbColor rgb="FF2E7D5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Monthly_MRR!B1</c:f>
              <c:strCache>
                <c:ptCount val="1"/>
                <c:pt idx="0">
                  <c:v>Total MRR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Monthly_MRR!$B$2:$B$34</c:f>
              <c:numCache>
                <c:formatCode>\$#,##0;"($"#,##0\);\-</c:formatCode>
                <c:ptCount val="33"/>
                <c:pt idx="0">
                  <c:v>1149201</c:v>
                </c:pt>
                <c:pt idx="1">
                  <c:v>1283681</c:v>
                </c:pt>
                <c:pt idx="2">
                  <c:v>1473385</c:v>
                </c:pt>
                <c:pt idx="3">
                  <c:v>1663172</c:v>
                </c:pt>
                <c:pt idx="4">
                  <c:v>1884399</c:v>
                </c:pt>
                <c:pt idx="5">
                  <c:v>2081709</c:v>
                </c:pt>
                <c:pt idx="6">
                  <c:v>2272819</c:v>
                </c:pt>
                <c:pt idx="7">
                  <c:v>2449938</c:v>
                </c:pt>
                <c:pt idx="8">
                  <c:v>2591221</c:v>
                </c:pt>
                <c:pt idx="9">
                  <c:v>2793700</c:v>
                </c:pt>
                <c:pt idx="10">
                  <c:v>2979314</c:v>
                </c:pt>
                <c:pt idx="11">
                  <c:v>3140350</c:v>
                </c:pt>
                <c:pt idx="12">
                  <c:v>3319851</c:v>
                </c:pt>
                <c:pt idx="13">
                  <c:v>3476236</c:v>
                </c:pt>
                <c:pt idx="14">
                  <c:v>3591138</c:v>
                </c:pt>
                <c:pt idx="15">
                  <c:v>3735728</c:v>
                </c:pt>
                <c:pt idx="16">
                  <c:v>3940443</c:v>
                </c:pt>
                <c:pt idx="17">
                  <c:v>4198548</c:v>
                </c:pt>
                <c:pt idx="18">
                  <c:v>4327995</c:v>
                </c:pt>
                <c:pt idx="19">
                  <c:v>4469695</c:v>
                </c:pt>
                <c:pt idx="20">
                  <c:v>4538472</c:v>
                </c:pt>
                <c:pt idx="21">
                  <c:v>4748760</c:v>
                </c:pt>
                <c:pt idx="22">
                  <c:v>4961845</c:v>
                </c:pt>
                <c:pt idx="23">
                  <c:v>5176745</c:v>
                </c:pt>
                <c:pt idx="24">
                  <c:v>5336047</c:v>
                </c:pt>
                <c:pt idx="25">
                  <c:v>5536859</c:v>
                </c:pt>
                <c:pt idx="26">
                  <c:v>5699698</c:v>
                </c:pt>
                <c:pt idx="27">
                  <c:v>5885989</c:v>
                </c:pt>
                <c:pt idx="28">
                  <c:v>6032792</c:v>
                </c:pt>
                <c:pt idx="29">
                  <c:v>6163018</c:v>
                </c:pt>
                <c:pt idx="30">
                  <c:v>6218514</c:v>
                </c:pt>
                <c:pt idx="31">
                  <c:v>6307592</c:v>
                </c:pt>
                <c:pt idx="32">
                  <c:v>6299607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299772"/>
        <c:axId val="54790445"/>
      </c:lineChart>
      <c:catAx>
        <c:axId val="43299772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90445"/>
        <c:crosses val="autoZero"/>
        <c:auto val="1"/>
        <c:lblAlgn val="ctr"/>
        <c:lblOffset val="100"/>
        <c:noMultiLvlLbl val="0"/>
      </c:catAx>
      <c:valAx>
        <c:axId val="54790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99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movements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Monthly_MRR!D1</c:f>
              <c:strCache>
                <c:ptCount val="1"/>
                <c:pt idx="0">
                  <c:v>New MRR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Monthly_MRR!$D$2:$D$34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134480</c:v>
                </c:pt>
                <c:pt idx="2">
                  <c:v>183727</c:v>
                </c:pt>
                <c:pt idx="3">
                  <c:v>198114</c:v>
                </c:pt>
                <c:pt idx="4">
                  <c:v>241615</c:v>
                </c:pt>
                <c:pt idx="5">
                  <c:v>200309</c:v>
                </c:pt>
                <c:pt idx="6">
                  <c:v>212045</c:v>
                </c:pt>
                <c:pt idx="7">
                  <c:v>207264</c:v>
                </c:pt>
                <c:pt idx="8">
                  <c:v>162778</c:v>
                </c:pt>
                <c:pt idx="9">
                  <c:v>224718</c:v>
                </c:pt>
                <c:pt idx="10">
                  <c:v>223020</c:v>
                </c:pt>
                <c:pt idx="11">
                  <c:v>171822</c:v>
                </c:pt>
                <c:pt idx="12">
                  <c:v>181053</c:v>
                </c:pt>
                <c:pt idx="13">
                  <c:v>166435</c:v>
                </c:pt>
                <c:pt idx="14">
                  <c:v>130508</c:v>
                </c:pt>
                <c:pt idx="15">
                  <c:v>202017</c:v>
                </c:pt>
                <c:pt idx="16">
                  <c:v>251852</c:v>
                </c:pt>
                <c:pt idx="17">
                  <c:v>264041</c:v>
                </c:pt>
                <c:pt idx="18">
                  <c:v>140697</c:v>
                </c:pt>
                <c:pt idx="19">
                  <c:v>181902</c:v>
                </c:pt>
                <c:pt idx="20">
                  <c:v>98984</c:v>
                </c:pt>
                <c:pt idx="21">
                  <c:v>229509</c:v>
                </c:pt>
                <c:pt idx="22">
                  <c:v>225310</c:v>
                </c:pt>
                <c:pt idx="23">
                  <c:v>238529</c:v>
                </c:pt>
                <c:pt idx="24">
                  <c:v>210002</c:v>
                </c:pt>
                <c:pt idx="25">
                  <c:v>217477</c:v>
                </c:pt>
                <c:pt idx="26">
                  <c:v>195201</c:v>
                </c:pt>
                <c:pt idx="27">
                  <c:v>239384</c:v>
                </c:pt>
                <c:pt idx="28">
                  <c:v>190505</c:v>
                </c:pt>
                <c:pt idx="29">
                  <c:v>212380</c:v>
                </c:pt>
                <c:pt idx="30">
                  <c:v>120494</c:v>
                </c:pt>
                <c:pt idx="31">
                  <c:v>127449</c:v>
                </c:pt>
                <c:pt idx="32">
                  <c:v>0</c:v>
                </c:pt>
              </c:numCache>
            </c:numRef>
          </c:val>
        </c:ser>
        <c:ser>
          <c:idx val="1"/>
          <c:order val="1"/>
          <c:tx>
            <c:strRef>
              <c:f>Monthly_MRR!E1</c:f>
              <c:strCache>
                <c:ptCount val="1"/>
                <c:pt idx="0">
                  <c:v>Expansion MRR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Monthly_MRR!$E$2:$E$34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10627</c:v>
                </c:pt>
                <c:pt idx="3">
                  <c:v>10714</c:v>
                </c:pt>
                <c:pt idx="4">
                  <c:v>8260</c:v>
                </c:pt>
                <c:pt idx="5">
                  <c:v>7128</c:v>
                </c:pt>
                <c:pt idx="6">
                  <c:v>10429</c:v>
                </c:pt>
                <c:pt idx="7">
                  <c:v>6220</c:v>
                </c:pt>
                <c:pt idx="8">
                  <c:v>7024</c:v>
                </c:pt>
                <c:pt idx="9">
                  <c:v>3006</c:v>
                </c:pt>
                <c:pt idx="10">
                  <c:v>16716</c:v>
                </c:pt>
                <c:pt idx="11">
                  <c:v>8329</c:v>
                </c:pt>
                <c:pt idx="12">
                  <c:v>16704</c:v>
                </c:pt>
                <c:pt idx="13">
                  <c:v>19521</c:v>
                </c:pt>
                <c:pt idx="14">
                  <c:v>13899</c:v>
                </c:pt>
                <c:pt idx="15">
                  <c:v>18918</c:v>
                </c:pt>
                <c:pt idx="16">
                  <c:v>17681</c:v>
                </c:pt>
                <c:pt idx="17">
                  <c:v>23482</c:v>
                </c:pt>
                <c:pt idx="18">
                  <c:v>20215</c:v>
                </c:pt>
                <c:pt idx="19">
                  <c:v>7069</c:v>
                </c:pt>
                <c:pt idx="20">
                  <c:v>14536</c:v>
                </c:pt>
                <c:pt idx="21">
                  <c:v>22490</c:v>
                </c:pt>
                <c:pt idx="22">
                  <c:v>32774</c:v>
                </c:pt>
                <c:pt idx="23">
                  <c:v>22591</c:v>
                </c:pt>
                <c:pt idx="24">
                  <c:v>19346</c:v>
                </c:pt>
                <c:pt idx="25">
                  <c:v>24944</c:v>
                </c:pt>
                <c:pt idx="26">
                  <c:v>14043</c:v>
                </c:pt>
                <c:pt idx="27">
                  <c:v>24955</c:v>
                </c:pt>
                <c:pt idx="28">
                  <c:v>10438</c:v>
                </c:pt>
                <c:pt idx="29">
                  <c:v>24645</c:v>
                </c:pt>
                <c:pt idx="30">
                  <c:v>14915</c:v>
                </c:pt>
                <c:pt idx="31">
                  <c:v>18929</c:v>
                </c:pt>
                <c:pt idx="32">
                  <c:v>42446</c:v>
                </c:pt>
              </c:numCache>
            </c:numRef>
          </c:val>
        </c:ser>
        <c:ser>
          <c:idx val="2"/>
          <c:order val="2"/>
          <c:tx>
            <c:strRef>
              <c:f>Monthly_MRR!F1</c:f>
              <c:strCache>
                <c:ptCount val="1"/>
                <c:pt idx="0">
                  <c:v>Contraction MRR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Monthly_MRR!$F$2:$F$34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550</c:v>
                </c:pt>
                <c:pt idx="3">
                  <c:v>1684</c:v>
                </c:pt>
                <c:pt idx="4">
                  <c:v>6289</c:v>
                </c:pt>
                <c:pt idx="5">
                  <c:v>625</c:v>
                </c:pt>
                <c:pt idx="6">
                  <c:v>224</c:v>
                </c:pt>
                <c:pt idx="7">
                  <c:v>375</c:v>
                </c:pt>
                <c:pt idx="8">
                  <c:v>802</c:v>
                </c:pt>
                <c:pt idx="9">
                  <c:v>2356</c:v>
                </c:pt>
                <c:pt idx="10">
                  <c:v>3814</c:v>
                </c:pt>
                <c:pt idx="11">
                  <c:v>2400</c:v>
                </c:pt>
                <c:pt idx="12">
                  <c:v>1631</c:v>
                </c:pt>
                <c:pt idx="13">
                  <c:v>3576</c:v>
                </c:pt>
                <c:pt idx="14">
                  <c:v>1195</c:v>
                </c:pt>
                <c:pt idx="15">
                  <c:v>971</c:v>
                </c:pt>
                <c:pt idx="16">
                  <c:v>1879</c:v>
                </c:pt>
                <c:pt idx="17">
                  <c:v>1551</c:v>
                </c:pt>
                <c:pt idx="18">
                  <c:v>2751</c:v>
                </c:pt>
                <c:pt idx="19">
                  <c:v>2482</c:v>
                </c:pt>
                <c:pt idx="20">
                  <c:v>3118</c:v>
                </c:pt>
                <c:pt idx="21">
                  <c:v>5696</c:v>
                </c:pt>
                <c:pt idx="22">
                  <c:v>6162</c:v>
                </c:pt>
                <c:pt idx="23">
                  <c:v>3147</c:v>
                </c:pt>
                <c:pt idx="24">
                  <c:v>6946</c:v>
                </c:pt>
                <c:pt idx="25">
                  <c:v>7140</c:v>
                </c:pt>
                <c:pt idx="26">
                  <c:v>5283</c:v>
                </c:pt>
                <c:pt idx="27">
                  <c:v>3769</c:v>
                </c:pt>
                <c:pt idx="28">
                  <c:v>9563</c:v>
                </c:pt>
                <c:pt idx="29">
                  <c:v>12570</c:v>
                </c:pt>
                <c:pt idx="30">
                  <c:v>5888</c:v>
                </c:pt>
                <c:pt idx="31">
                  <c:v>7508</c:v>
                </c:pt>
                <c:pt idx="32">
                  <c:v>1714</c:v>
                </c:pt>
              </c:numCache>
            </c:numRef>
          </c:val>
        </c:ser>
        <c:ser>
          <c:idx val="3"/>
          <c:order val="3"/>
          <c:tx>
            <c:strRef>
              <c:f>Monthly_MRR!G1</c:f>
              <c:strCache>
                <c:ptCount val="1"/>
                <c:pt idx="0">
                  <c:v>Churned MRR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Monthly_MRR!$G$2:$G$34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4100</c:v>
                </c:pt>
                <c:pt idx="3">
                  <c:v>17357</c:v>
                </c:pt>
                <c:pt idx="4">
                  <c:v>22359</c:v>
                </c:pt>
                <c:pt idx="5">
                  <c:v>9502</c:v>
                </c:pt>
                <c:pt idx="6">
                  <c:v>31140</c:v>
                </c:pt>
                <c:pt idx="7">
                  <c:v>35990</c:v>
                </c:pt>
                <c:pt idx="8">
                  <c:v>27717</c:v>
                </c:pt>
                <c:pt idx="9">
                  <c:v>22889</c:v>
                </c:pt>
                <c:pt idx="10">
                  <c:v>50308</c:v>
                </c:pt>
                <c:pt idx="11">
                  <c:v>16715</c:v>
                </c:pt>
                <c:pt idx="12">
                  <c:v>16625</c:v>
                </c:pt>
                <c:pt idx="13">
                  <c:v>25995</c:v>
                </c:pt>
                <c:pt idx="14">
                  <c:v>28310</c:v>
                </c:pt>
                <c:pt idx="15">
                  <c:v>75374</c:v>
                </c:pt>
                <c:pt idx="16">
                  <c:v>62939</c:v>
                </c:pt>
                <c:pt idx="17">
                  <c:v>27867</c:v>
                </c:pt>
                <c:pt idx="18">
                  <c:v>28714</c:v>
                </c:pt>
                <c:pt idx="19">
                  <c:v>44789</c:v>
                </c:pt>
                <c:pt idx="20">
                  <c:v>41625</c:v>
                </c:pt>
                <c:pt idx="21">
                  <c:v>36015</c:v>
                </c:pt>
                <c:pt idx="22">
                  <c:v>38837</c:v>
                </c:pt>
                <c:pt idx="23">
                  <c:v>43073</c:v>
                </c:pt>
                <c:pt idx="24">
                  <c:v>63100</c:v>
                </c:pt>
                <c:pt idx="25">
                  <c:v>34469</c:v>
                </c:pt>
                <c:pt idx="26">
                  <c:v>41122</c:v>
                </c:pt>
                <c:pt idx="27">
                  <c:v>74279</c:v>
                </c:pt>
                <c:pt idx="28">
                  <c:v>44577</c:v>
                </c:pt>
                <c:pt idx="29">
                  <c:v>94229</c:v>
                </c:pt>
                <c:pt idx="30">
                  <c:v>74025</c:v>
                </c:pt>
                <c:pt idx="31">
                  <c:v>49792</c:v>
                </c:pt>
                <c:pt idx="32">
                  <c:v>48717</c:v>
                </c:pt>
              </c:numCache>
            </c:numRef>
          </c:val>
        </c:ser>
        <c:gapWidth val="150"/>
        <c:overlap val="0"/>
        <c:axId val="27101414"/>
        <c:axId val="88445301"/>
      </c:barChart>
      <c:catAx>
        <c:axId val="27101414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45301"/>
        <c:crosses val="autoZero"/>
        <c:auto val="1"/>
        <c:lblAlgn val="ctr"/>
        <c:lblOffset val="100"/>
        <c:noMultiLvlLbl val="0"/>
      </c:catAx>
      <c:valAx>
        <c:axId val="884453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01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customers by health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KPI_Summary!E4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KPI_Summary!$D$5:$D$7</c:f>
              <c:strCache>
                <c:ptCount val="3"/>
                <c:pt idx="0">
                  <c:v>Healthy</c:v>
                </c:pt>
                <c:pt idx="1">
                  <c:v>Needs Attention</c:v>
                </c:pt>
                <c:pt idx="2">
                  <c:v>High Risk</c:v>
                </c:pt>
              </c:strCache>
            </c:strRef>
          </c:cat>
          <c:val>
            <c:numRef>
              <c:f>KPI_Summary!$E$5:$E$7</c:f>
              <c:numCache>
                <c:formatCode>General</c:formatCode>
                <c:ptCount val="3"/>
                <c:pt idx="0">
                  <c:v>1102</c:v>
                </c:pt>
                <c:pt idx="1">
                  <c:v>901</c:v>
                </c:pt>
                <c:pt idx="2">
                  <c:v>118</c:v>
                </c:pt>
              </c:numCache>
            </c:numRef>
          </c:val>
        </c:ser>
        <c:gapWidth val="150"/>
        <c:overlap val="0"/>
        <c:axId val="86898756"/>
        <c:axId val="49607259"/>
      </c:barChart>
      <c:catAx>
        <c:axId val="86898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07259"/>
        <c:crosses val="autoZero"/>
        <c:auto val="1"/>
        <c:lblAlgn val="ctr"/>
        <c:lblOffset val="100"/>
        <c:noMultiLvlLbl val="0"/>
      </c:catAx>
      <c:valAx>
        <c:axId val="49607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987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KPI_Summary!F11</c:f>
              <c:strCache>
                <c:ptCount val="1"/>
                <c:pt idx="0">
                  <c:v>ARR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\$#,##0.0,,\M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KPI_Summary!$D$12:$D$14</c:f>
              <c:strCache>
                <c:ptCount val="3"/>
                <c:pt idx="0">
                  <c:v>SMB</c:v>
                </c:pt>
                <c:pt idx="1">
                  <c:v>Mid-Market</c:v>
                </c:pt>
                <c:pt idx="2">
                  <c:v>Enterprise</c:v>
                </c:pt>
              </c:strCache>
            </c:strRef>
          </c:cat>
          <c:val>
            <c:numRef>
              <c:f>KPI_Summary!$F$12:$F$14</c:f>
              <c:numCache>
                <c:formatCode>\$#,##0</c:formatCode>
                <c:ptCount val="3"/>
                <c:pt idx="0">
                  <c:v>6061704</c:v>
                </c:pt>
                <c:pt idx="1">
                  <c:v>26217540</c:v>
                </c:pt>
                <c:pt idx="2">
                  <c:v>43316040</c:v>
                </c:pt>
              </c:numCache>
            </c:numRef>
          </c:val>
        </c:ser>
        <c:gapWidth val="150"/>
        <c:overlap val="0"/>
        <c:axId val="67653808"/>
        <c:axId val="53590372"/>
      </c:barChart>
      <c:catAx>
        <c:axId val="6765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90372"/>
        <c:crosses val="autoZero"/>
        <c:auto val="1"/>
        <c:lblAlgn val="ctr"/>
        <c:lblOffset val="100"/>
        <c:noMultiLvlLbl val="0"/>
      </c:catAx>
      <c:valAx>
        <c:axId val="53590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538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onboarding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Dashboard_Data!B14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Dashboard_Data!$A$15:$A$16</c:f>
              <c:strCache>
                <c:ptCount val="2"/>
                <c:pt idx="0">
                  <c:v>Completed On Time</c:v>
                </c:pt>
                <c:pt idx="1">
                  <c:v>Completed Late</c:v>
                </c:pt>
              </c:strCache>
            </c:strRef>
          </c:cat>
          <c:val>
            <c:numRef>
              <c:f>Dashboard_Data!$B$15:$B$16</c:f>
              <c:numCache>
                <c:formatCode>0.0%</c:formatCode>
                <c:ptCount val="2"/>
                <c:pt idx="0">
                  <c:v>0.170658682634731</c:v>
                </c:pt>
                <c:pt idx="1">
                  <c:v>0.344827586206897</c:v>
                </c:pt>
              </c:numCache>
            </c:numRef>
          </c:val>
        </c:ser>
        <c:gapWidth val="150"/>
        <c:overlap val="0"/>
        <c:axId val="45719806"/>
        <c:axId val="45476915"/>
      </c:barChart>
      <c:catAx>
        <c:axId val="45719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76915"/>
        <c:crosses val="autoZero"/>
        <c:auto val="1"/>
        <c:lblAlgn val="ctr"/>
        <c:lblOffset val="100"/>
        <c:noMultiLvlLbl val="0"/>
      </c:catAx>
      <c:valAx>
        <c:axId val="4547691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198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Dashboard_Data!B2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Dashboard_Data!$A$3:$A$5</c:f>
              <c:strCache>
                <c:ptCount val="3"/>
                <c:pt idx="0">
                  <c:v>SMB</c:v>
                </c:pt>
                <c:pt idx="1">
                  <c:v>Mid-Market</c:v>
                </c:pt>
                <c:pt idx="2">
                  <c:v>Enterprise</c:v>
                </c:pt>
              </c:strCache>
            </c:strRef>
          </c:cat>
          <c:val>
            <c:numRef>
              <c:f>Dashboard_Data!$B$3:$B$5</c:f>
              <c:numCache>
                <c:formatCode>0.0%</c:formatCode>
                <c:ptCount val="3"/>
                <c:pt idx="0">
                  <c:v>0.177693761814745</c:v>
                </c:pt>
                <c:pt idx="1">
                  <c:v>0.221343873517787</c:v>
                </c:pt>
                <c:pt idx="2">
                  <c:v>0.114173228346457</c:v>
                </c:pt>
              </c:numCache>
            </c:numRef>
          </c:val>
        </c:ser>
        <c:gapWidth val="150"/>
        <c:overlap val="0"/>
        <c:axId val="50689212"/>
        <c:axId val="32471774"/>
      </c:barChart>
      <c:catAx>
        <c:axId val="50689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71774"/>
        <c:crosses val="autoZero"/>
        <c:auto val="1"/>
        <c:lblAlgn val="ctr"/>
        <c:lblOffset val="100"/>
        <c:noMultiLvlLbl val="0"/>
      </c:catAx>
      <c:valAx>
        <c:axId val="324717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89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customers left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Dashboard_Data!B19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Dashboard_Data!$A$20:$A$25</c:f>
              <c:strCache>
                <c:ptCount val="6"/>
                <c:pt idx="0">
                  <c:v>Low adoption</c:v>
                </c:pt>
                <c:pt idx="1">
                  <c:v>Budget cuts</c:v>
                </c:pt>
                <c:pt idx="2">
                  <c:v>Switched to competitor</c:v>
                </c:pt>
                <c:pt idx="3">
                  <c:v>Missing features</c:v>
                </c:pt>
                <c:pt idx="4">
                  <c:v>Poor onboarding experience</c:v>
                </c:pt>
                <c:pt idx="5">
                  <c:v>Company acquired / closed</c:v>
                </c:pt>
              </c:strCache>
            </c:strRef>
          </c:cat>
          <c:val>
            <c:numRef>
              <c:f>Dashboard_Data!$B$20:$B$25</c:f>
              <c:numCache>
                <c:formatCode>General</c:formatCode>
                <c:ptCount val="6"/>
                <c:pt idx="0">
                  <c:v>156</c:v>
                </c:pt>
                <c:pt idx="1">
                  <c:v>98</c:v>
                </c:pt>
                <c:pt idx="2">
                  <c:v>86</c:v>
                </c:pt>
                <c:pt idx="3">
                  <c:v>66</c:v>
                </c:pt>
                <c:pt idx="4">
                  <c:v>42</c:v>
                </c:pt>
                <c:pt idx="5">
                  <c:v>31</c:v>
                </c:pt>
              </c:numCache>
            </c:numRef>
          </c:val>
        </c:ser>
        <c:gapWidth val="150"/>
        <c:overlap val="0"/>
        <c:axId val="96142545"/>
        <c:axId val="89323612"/>
      </c:barChart>
      <c:catAx>
        <c:axId val="96142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23612"/>
        <c:crosses val="autoZero"/>
        <c:auto val="1"/>
        <c:lblAlgn val="ctr"/>
        <c:lblOffset val="100"/>
        <c:noMultiLvlLbl val="0"/>
      </c:catAx>
      <c:valAx>
        <c:axId val="8932361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425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Dashboard_Data!B8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Dashboard_Data!$A$9:$A$11</c:f>
              <c:strCache>
                <c:ptCount val="3"/>
                <c:pt idx="0">
                  <c:v>Starter</c:v>
                </c:pt>
                <c:pt idx="1">
                  <c:v>Growth</c:v>
                </c:pt>
                <c:pt idx="2">
                  <c:v>Enterprise</c:v>
                </c:pt>
              </c:strCache>
            </c:strRef>
          </c:cat>
          <c:val>
            <c:numRef>
              <c:f>Dashboard_Data!$B$9:$B$11</c:f>
              <c:numCache>
                <c:formatCode>0.0%</c:formatCode>
                <c:ptCount val="3"/>
                <c:pt idx="0">
                  <c:v>0.189407540394973</c:v>
                </c:pt>
                <c:pt idx="1">
                  <c:v>0.176574977817214</c:v>
                </c:pt>
                <c:pt idx="2">
                  <c:v>0.192200557103064</c:v>
                </c:pt>
              </c:numCache>
            </c:numRef>
          </c:val>
        </c:ser>
        <c:gapWidth val="150"/>
        <c:overlap val="0"/>
        <c:axId val="66379831"/>
        <c:axId val="36131751"/>
      </c:barChart>
      <c:catAx>
        <c:axId val="66379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31751"/>
        <c:crosses val="autoZero"/>
        <c:auto val="1"/>
        <c:lblAlgn val="ctr"/>
        <c:lblOffset val="100"/>
        <c:noMultiLvlLbl val="0"/>
      </c:catAx>
      <c:valAx>
        <c:axId val="3613175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798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 by health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KPI_Summary!F4</c:f>
              <c:strCache>
                <c:ptCount val="1"/>
                <c:pt idx="0">
                  <c:v>ARR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KPI_Summary!$D$5:$D$7</c:f>
              <c:strCache>
                <c:ptCount val="3"/>
                <c:pt idx="0">
                  <c:v>Healthy</c:v>
                </c:pt>
                <c:pt idx="1">
                  <c:v>Needs Attention</c:v>
                </c:pt>
                <c:pt idx="2">
                  <c:v>High Risk</c:v>
                </c:pt>
              </c:strCache>
            </c:strRef>
          </c:cat>
          <c:val>
            <c:numRef>
              <c:f>KPI_Summary!$F$5:$F$7</c:f>
              <c:numCache>
                <c:formatCode>\$#,##0</c:formatCode>
                <c:ptCount val="3"/>
                <c:pt idx="0">
                  <c:v>33945924</c:v>
                </c:pt>
                <c:pt idx="1">
                  <c:v>35912496</c:v>
                </c:pt>
                <c:pt idx="2">
                  <c:v>5736864</c:v>
                </c:pt>
              </c:numCache>
            </c:numRef>
          </c:val>
        </c:ser>
        <c:gapWidth val="150"/>
        <c:overlap val="0"/>
        <c:axId val="7450916"/>
        <c:axId val="22885490"/>
      </c:barChart>
      <c:catAx>
        <c:axId val="7450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85490"/>
        <c:crosses val="autoZero"/>
        <c:auto val="1"/>
        <c:lblAlgn val="ctr"/>
        <c:lblOffset val="100"/>
        <c:noMultiLvlLbl val="0"/>
      </c:catAx>
      <c:valAx>
        <c:axId val="22885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0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MRR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Monthly_MRR!B1</c:f>
              <c:strCache>
                <c:ptCount val="1"/>
                <c:pt idx="0">
                  <c:v>Total MRR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Monthly_MRR!$B$2:$B$34</c:f>
              <c:numCache>
                <c:formatCode>\$#,##0;"($"#,##0\);\-</c:formatCode>
                <c:ptCount val="33"/>
                <c:pt idx="0">
                  <c:v>1149201</c:v>
                </c:pt>
                <c:pt idx="1">
                  <c:v>1283681</c:v>
                </c:pt>
                <c:pt idx="2">
                  <c:v>1473385</c:v>
                </c:pt>
                <c:pt idx="3">
                  <c:v>1663172</c:v>
                </c:pt>
                <c:pt idx="4">
                  <c:v>1884399</c:v>
                </c:pt>
                <c:pt idx="5">
                  <c:v>2081709</c:v>
                </c:pt>
                <c:pt idx="6">
                  <c:v>2272819</c:v>
                </c:pt>
                <c:pt idx="7">
                  <c:v>2449938</c:v>
                </c:pt>
                <c:pt idx="8">
                  <c:v>2591221</c:v>
                </c:pt>
                <c:pt idx="9">
                  <c:v>2793700</c:v>
                </c:pt>
                <c:pt idx="10">
                  <c:v>2979314</c:v>
                </c:pt>
                <c:pt idx="11">
                  <c:v>3140350</c:v>
                </c:pt>
                <c:pt idx="12">
                  <c:v>3319851</c:v>
                </c:pt>
                <c:pt idx="13">
                  <c:v>3476236</c:v>
                </c:pt>
                <c:pt idx="14">
                  <c:v>3591138</c:v>
                </c:pt>
                <c:pt idx="15">
                  <c:v>3735728</c:v>
                </c:pt>
                <c:pt idx="16">
                  <c:v>3940443</c:v>
                </c:pt>
                <c:pt idx="17">
                  <c:v>4198548</c:v>
                </c:pt>
                <c:pt idx="18">
                  <c:v>4327995</c:v>
                </c:pt>
                <c:pt idx="19">
                  <c:v>4469695</c:v>
                </c:pt>
                <c:pt idx="20">
                  <c:v>4538472</c:v>
                </c:pt>
                <c:pt idx="21">
                  <c:v>4748760</c:v>
                </c:pt>
                <c:pt idx="22">
                  <c:v>4961845</c:v>
                </c:pt>
                <c:pt idx="23">
                  <c:v>5176745</c:v>
                </c:pt>
                <c:pt idx="24">
                  <c:v>5336047</c:v>
                </c:pt>
                <c:pt idx="25">
                  <c:v>5536859</c:v>
                </c:pt>
                <c:pt idx="26">
                  <c:v>5699698</c:v>
                </c:pt>
                <c:pt idx="27">
                  <c:v>5885989</c:v>
                </c:pt>
                <c:pt idx="28">
                  <c:v>6032792</c:v>
                </c:pt>
                <c:pt idx="29">
                  <c:v>6163018</c:v>
                </c:pt>
                <c:pt idx="30">
                  <c:v>6218514</c:v>
                </c:pt>
                <c:pt idx="31">
                  <c:v>6307592</c:v>
                </c:pt>
                <c:pt idx="32">
                  <c:v>6299607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336343"/>
        <c:axId val="46263736"/>
      </c:lineChart>
      <c:catAx>
        <c:axId val="84336343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63736"/>
        <c:crosses val="autoZero"/>
        <c:auto val="1"/>
        <c:lblAlgn val="ctr"/>
        <c:lblOffset val="100"/>
        <c:noMultiLvlLbl val="0"/>
      </c:catAx>
      <c:valAx>
        <c:axId val="46263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363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movements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Monthly_MRR!D1</c:f>
              <c:strCache>
                <c:ptCount val="1"/>
                <c:pt idx="0">
                  <c:v>New MRR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Monthly_MRR!$D$2:$D$34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134480</c:v>
                </c:pt>
                <c:pt idx="2">
                  <c:v>183727</c:v>
                </c:pt>
                <c:pt idx="3">
                  <c:v>198114</c:v>
                </c:pt>
                <c:pt idx="4">
                  <c:v>241615</c:v>
                </c:pt>
                <c:pt idx="5">
                  <c:v>200309</c:v>
                </c:pt>
                <c:pt idx="6">
                  <c:v>212045</c:v>
                </c:pt>
                <c:pt idx="7">
                  <c:v>207264</c:v>
                </c:pt>
                <c:pt idx="8">
                  <c:v>162778</c:v>
                </c:pt>
                <c:pt idx="9">
                  <c:v>224718</c:v>
                </c:pt>
                <c:pt idx="10">
                  <c:v>223020</c:v>
                </c:pt>
                <c:pt idx="11">
                  <c:v>171822</c:v>
                </c:pt>
                <c:pt idx="12">
                  <c:v>181053</c:v>
                </c:pt>
                <c:pt idx="13">
                  <c:v>166435</c:v>
                </c:pt>
                <c:pt idx="14">
                  <c:v>130508</c:v>
                </c:pt>
                <c:pt idx="15">
                  <c:v>202017</c:v>
                </c:pt>
                <c:pt idx="16">
                  <c:v>251852</c:v>
                </c:pt>
                <c:pt idx="17">
                  <c:v>264041</c:v>
                </c:pt>
                <c:pt idx="18">
                  <c:v>140697</c:v>
                </c:pt>
                <c:pt idx="19">
                  <c:v>181902</c:v>
                </c:pt>
                <c:pt idx="20">
                  <c:v>98984</c:v>
                </c:pt>
                <c:pt idx="21">
                  <c:v>229509</c:v>
                </c:pt>
                <c:pt idx="22">
                  <c:v>225310</c:v>
                </c:pt>
                <c:pt idx="23">
                  <c:v>238529</c:v>
                </c:pt>
                <c:pt idx="24">
                  <c:v>210002</c:v>
                </c:pt>
                <c:pt idx="25">
                  <c:v>217477</c:v>
                </c:pt>
                <c:pt idx="26">
                  <c:v>195201</c:v>
                </c:pt>
                <c:pt idx="27">
                  <c:v>239384</c:v>
                </c:pt>
                <c:pt idx="28">
                  <c:v>190505</c:v>
                </c:pt>
                <c:pt idx="29">
                  <c:v>212380</c:v>
                </c:pt>
                <c:pt idx="30">
                  <c:v>120494</c:v>
                </c:pt>
                <c:pt idx="31">
                  <c:v>127449</c:v>
                </c:pt>
                <c:pt idx="32">
                  <c:v>0</c:v>
                </c:pt>
              </c:numCache>
            </c:numRef>
          </c:val>
        </c:ser>
        <c:ser>
          <c:idx val="1"/>
          <c:order val="1"/>
          <c:tx>
            <c:strRef>
              <c:f>Monthly_MRR!E1</c:f>
              <c:strCache>
                <c:ptCount val="1"/>
                <c:pt idx="0">
                  <c:v>Expansion MRR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Monthly_MRR!$E$2:$E$34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10627</c:v>
                </c:pt>
                <c:pt idx="3">
                  <c:v>10714</c:v>
                </c:pt>
                <c:pt idx="4">
                  <c:v>8260</c:v>
                </c:pt>
                <c:pt idx="5">
                  <c:v>7128</c:v>
                </c:pt>
                <c:pt idx="6">
                  <c:v>10429</c:v>
                </c:pt>
                <c:pt idx="7">
                  <c:v>6220</c:v>
                </c:pt>
                <c:pt idx="8">
                  <c:v>7024</c:v>
                </c:pt>
                <c:pt idx="9">
                  <c:v>3006</c:v>
                </c:pt>
                <c:pt idx="10">
                  <c:v>16716</c:v>
                </c:pt>
                <c:pt idx="11">
                  <c:v>8329</c:v>
                </c:pt>
                <c:pt idx="12">
                  <c:v>16704</c:v>
                </c:pt>
                <c:pt idx="13">
                  <c:v>19521</c:v>
                </c:pt>
                <c:pt idx="14">
                  <c:v>13899</c:v>
                </c:pt>
                <c:pt idx="15">
                  <c:v>18918</c:v>
                </c:pt>
                <c:pt idx="16">
                  <c:v>17681</c:v>
                </c:pt>
                <c:pt idx="17">
                  <c:v>23482</c:v>
                </c:pt>
                <c:pt idx="18">
                  <c:v>20215</c:v>
                </c:pt>
                <c:pt idx="19">
                  <c:v>7069</c:v>
                </c:pt>
                <c:pt idx="20">
                  <c:v>14536</c:v>
                </c:pt>
                <c:pt idx="21">
                  <c:v>22490</c:v>
                </c:pt>
                <c:pt idx="22">
                  <c:v>32774</c:v>
                </c:pt>
                <c:pt idx="23">
                  <c:v>22591</c:v>
                </c:pt>
                <c:pt idx="24">
                  <c:v>19346</c:v>
                </c:pt>
                <c:pt idx="25">
                  <c:v>24944</c:v>
                </c:pt>
                <c:pt idx="26">
                  <c:v>14043</c:v>
                </c:pt>
                <c:pt idx="27">
                  <c:v>24955</c:v>
                </c:pt>
                <c:pt idx="28">
                  <c:v>10438</c:v>
                </c:pt>
                <c:pt idx="29">
                  <c:v>24645</c:v>
                </c:pt>
                <c:pt idx="30">
                  <c:v>14915</c:v>
                </c:pt>
                <c:pt idx="31">
                  <c:v>18929</c:v>
                </c:pt>
                <c:pt idx="32">
                  <c:v>42446</c:v>
                </c:pt>
              </c:numCache>
            </c:numRef>
          </c:val>
        </c:ser>
        <c:ser>
          <c:idx val="2"/>
          <c:order val="2"/>
          <c:tx>
            <c:strRef>
              <c:f>Monthly_MRR!F1</c:f>
              <c:strCache>
                <c:ptCount val="1"/>
                <c:pt idx="0">
                  <c:v>Contraction MRR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Monthly_MRR!$F$2:$F$34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550</c:v>
                </c:pt>
                <c:pt idx="3">
                  <c:v>1684</c:v>
                </c:pt>
                <c:pt idx="4">
                  <c:v>6289</c:v>
                </c:pt>
                <c:pt idx="5">
                  <c:v>625</c:v>
                </c:pt>
                <c:pt idx="6">
                  <c:v>224</c:v>
                </c:pt>
                <c:pt idx="7">
                  <c:v>375</c:v>
                </c:pt>
                <c:pt idx="8">
                  <c:v>802</c:v>
                </c:pt>
                <c:pt idx="9">
                  <c:v>2356</c:v>
                </c:pt>
                <c:pt idx="10">
                  <c:v>3814</c:v>
                </c:pt>
                <c:pt idx="11">
                  <c:v>2400</c:v>
                </c:pt>
                <c:pt idx="12">
                  <c:v>1631</c:v>
                </c:pt>
                <c:pt idx="13">
                  <c:v>3576</c:v>
                </c:pt>
                <c:pt idx="14">
                  <c:v>1195</c:v>
                </c:pt>
                <c:pt idx="15">
                  <c:v>971</c:v>
                </c:pt>
                <c:pt idx="16">
                  <c:v>1879</c:v>
                </c:pt>
                <c:pt idx="17">
                  <c:v>1551</c:v>
                </c:pt>
                <c:pt idx="18">
                  <c:v>2751</c:v>
                </c:pt>
                <c:pt idx="19">
                  <c:v>2482</c:v>
                </c:pt>
                <c:pt idx="20">
                  <c:v>3118</c:v>
                </c:pt>
                <c:pt idx="21">
                  <c:v>5696</c:v>
                </c:pt>
                <c:pt idx="22">
                  <c:v>6162</c:v>
                </c:pt>
                <c:pt idx="23">
                  <c:v>3147</c:v>
                </c:pt>
                <c:pt idx="24">
                  <c:v>6946</c:v>
                </c:pt>
                <c:pt idx="25">
                  <c:v>7140</c:v>
                </c:pt>
                <c:pt idx="26">
                  <c:v>5283</c:v>
                </c:pt>
                <c:pt idx="27">
                  <c:v>3769</c:v>
                </c:pt>
                <c:pt idx="28">
                  <c:v>9563</c:v>
                </c:pt>
                <c:pt idx="29">
                  <c:v>12570</c:v>
                </c:pt>
                <c:pt idx="30">
                  <c:v>5888</c:v>
                </c:pt>
                <c:pt idx="31">
                  <c:v>7508</c:v>
                </c:pt>
                <c:pt idx="32">
                  <c:v>1714</c:v>
                </c:pt>
              </c:numCache>
            </c:numRef>
          </c:val>
        </c:ser>
        <c:ser>
          <c:idx val="3"/>
          <c:order val="3"/>
          <c:tx>
            <c:strRef>
              <c:f>Monthly_MRR!G1</c:f>
              <c:strCache>
                <c:ptCount val="1"/>
                <c:pt idx="0">
                  <c:v>Churned MRR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Monthly_MRR!$A$2:$A$34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Monthly_MRR!$G$2:$G$34</c:f>
              <c:numCache>
                <c:formatCode>\$#,##0;"($"#,##0\);\-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4100</c:v>
                </c:pt>
                <c:pt idx="3">
                  <c:v>17357</c:v>
                </c:pt>
                <c:pt idx="4">
                  <c:v>22359</c:v>
                </c:pt>
                <c:pt idx="5">
                  <c:v>9502</c:v>
                </c:pt>
                <c:pt idx="6">
                  <c:v>31140</c:v>
                </c:pt>
                <c:pt idx="7">
                  <c:v>35990</c:v>
                </c:pt>
                <c:pt idx="8">
                  <c:v>27717</c:v>
                </c:pt>
                <c:pt idx="9">
                  <c:v>22889</c:v>
                </c:pt>
                <c:pt idx="10">
                  <c:v>50308</c:v>
                </c:pt>
                <c:pt idx="11">
                  <c:v>16715</c:v>
                </c:pt>
                <c:pt idx="12">
                  <c:v>16625</c:v>
                </c:pt>
                <c:pt idx="13">
                  <c:v>25995</c:v>
                </c:pt>
                <c:pt idx="14">
                  <c:v>28310</c:v>
                </c:pt>
                <c:pt idx="15">
                  <c:v>75374</c:v>
                </c:pt>
                <c:pt idx="16">
                  <c:v>62939</c:v>
                </c:pt>
                <c:pt idx="17">
                  <c:v>27867</c:v>
                </c:pt>
                <c:pt idx="18">
                  <c:v>28714</c:v>
                </c:pt>
                <c:pt idx="19">
                  <c:v>44789</c:v>
                </c:pt>
                <c:pt idx="20">
                  <c:v>41625</c:v>
                </c:pt>
                <c:pt idx="21">
                  <c:v>36015</c:v>
                </c:pt>
                <c:pt idx="22">
                  <c:v>38837</c:v>
                </c:pt>
                <c:pt idx="23">
                  <c:v>43073</c:v>
                </c:pt>
                <c:pt idx="24">
                  <c:v>63100</c:v>
                </c:pt>
                <c:pt idx="25">
                  <c:v>34469</c:v>
                </c:pt>
                <c:pt idx="26">
                  <c:v>41122</c:v>
                </c:pt>
                <c:pt idx="27">
                  <c:v>74279</c:v>
                </c:pt>
                <c:pt idx="28">
                  <c:v>44577</c:v>
                </c:pt>
                <c:pt idx="29">
                  <c:v>94229</c:v>
                </c:pt>
                <c:pt idx="30">
                  <c:v>74025</c:v>
                </c:pt>
                <c:pt idx="31">
                  <c:v>49792</c:v>
                </c:pt>
                <c:pt idx="32">
                  <c:v>48717</c:v>
                </c:pt>
              </c:numCache>
            </c:numRef>
          </c:val>
        </c:ser>
        <c:gapWidth val="150"/>
        <c:overlap val="0"/>
        <c:axId val="34202728"/>
        <c:axId val="72922212"/>
      </c:barChart>
      <c:catAx>
        <c:axId val="3420272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22212"/>
        <c:crosses val="autoZero"/>
        <c:auto val="1"/>
        <c:lblAlgn val="ctr"/>
        <c:lblOffset val="100"/>
        <c:noMultiLvlLbl val="0"/>
      </c:catAx>
      <c:valAx>
        <c:axId val="72922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02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70560</xdr:rowOff>
    </xdr:from>
    <xdr:to>
      <xdr:col>11</xdr:col>
      <xdr:colOff>370440</xdr:colOff>
      <xdr:row>19</xdr:row>
      <xdr:rowOff>185400</xdr:rowOff>
    </xdr:to>
    <xdr:graphicFrame>
      <xdr:nvGraphicFramePr>
        <xdr:cNvPr id="0" name="Chart 1"/>
        <xdr:cNvGraphicFramePr/>
      </xdr:nvGraphicFramePr>
      <xdr:xfrm>
        <a:off x="0" y="145728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6</xdr:row>
      <xdr:rowOff>70560</xdr:rowOff>
    </xdr:from>
    <xdr:to>
      <xdr:col>23</xdr:col>
      <xdr:colOff>370440</xdr:colOff>
      <xdr:row>19</xdr:row>
      <xdr:rowOff>185400</xdr:rowOff>
    </xdr:to>
    <xdr:graphicFrame>
      <xdr:nvGraphicFramePr>
        <xdr:cNvPr id="1" name="Chart 2"/>
        <xdr:cNvGraphicFramePr/>
      </xdr:nvGraphicFramePr>
      <xdr:xfrm>
        <a:off x="8039160" y="145728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70560</xdr:rowOff>
    </xdr:from>
    <xdr:to>
      <xdr:col>11</xdr:col>
      <xdr:colOff>370440</xdr:colOff>
      <xdr:row>34</xdr:row>
      <xdr:rowOff>185760</xdr:rowOff>
    </xdr:to>
    <xdr:graphicFrame>
      <xdr:nvGraphicFramePr>
        <xdr:cNvPr id="2" name="Chart 3"/>
        <xdr:cNvGraphicFramePr/>
      </xdr:nvGraphicFramePr>
      <xdr:xfrm>
        <a:off x="0" y="431496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21</xdr:row>
      <xdr:rowOff>70560</xdr:rowOff>
    </xdr:from>
    <xdr:to>
      <xdr:col>23</xdr:col>
      <xdr:colOff>370440</xdr:colOff>
      <xdr:row>34</xdr:row>
      <xdr:rowOff>185760</xdr:rowOff>
    </xdr:to>
    <xdr:graphicFrame>
      <xdr:nvGraphicFramePr>
        <xdr:cNvPr id="3" name="Chart 4"/>
        <xdr:cNvGraphicFramePr/>
      </xdr:nvGraphicFramePr>
      <xdr:xfrm>
        <a:off x="8039160" y="431496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70560</xdr:rowOff>
    </xdr:from>
    <xdr:to>
      <xdr:col>11</xdr:col>
      <xdr:colOff>370440</xdr:colOff>
      <xdr:row>49</xdr:row>
      <xdr:rowOff>185400</xdr:rowOff>
    </xdr:to>
    <xdr:graphicFrame>
      <xdr:nvGraphicFramePr>
        <xdr:cNvPr id="4" name="Chart 5"/>
        <xdr:cNvGraphicFramePr/>
      </xdr:nvGraphicFramePr>
      <xdr:xfrm>
        <a:off x="0" y="717228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36</xdr:row>
      <xdr:rowOff>70560</xdr:rowOff>
    </xdr:from>
    <xdr:to>
      <xdr:col>23</xdr:col>
      <xdr:colOff>370440</xdr:colOff>
      <xdr:row>49</xdr:row>
      <xdr:rowOff>185400</xdr:rowOff>
    </xdr:to>
    <xdr:graphicFrame>
      <xdr:nvGraphicFramePr>
        <xdr:cNvPr id="5" name="Chart 6"/>
        <xdr:cNvGraphicFramePr/>
      </xdr:nvGraphicFramePr>
      <xdr:xfrm>
        <a:off x="8039160" y="717228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51</xdr:row>
      <xdr:rowOff>70560</xdr:rowOff>
    </xdr:from>
    <xdr:to>
      <xdr:col>11</xdr:col>
      <xdr:colOff>370440</xdr:colOff>
      <xdr:row>64</xdr:row>
      <xdr:rowOff>185760</xdr:rowOff>
    </xdr:to>
    <xdr:graphicFrame>
      <xdr:nvGraphicFramePr>
        <xdr:cNvPr id="6" name="Chart 7"/>
        <xdr:cNvGraphicFramePr/>
      </xdr:nvGraphicFramePr>
      <xdr:xfrm>
        <a:off x="0" y="1002996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0</xdr:colOff>
      <xdr:row>51</xdr:row>
      <xdr:rowOff>70560</xdr:rowOff>
    </xdr:from>
    <xdr:to>
      <xdr:col>23</xdr:col>
      <xdr:colOff>370440</xdr:colOff>
      <xdr:row>64</xdr:row>
      <xdr:rowOff>185760</xdr:rowOff>
    </xdr:to>
    <xdr:graphicFrame>
      <xdr:nvGraphicFramePr>
        <xdr:cNvPr id="7" name="Chart 8"/>
        <xdr:cNvGraphicFramePr/>
      </xdr:nvGraphicFramePr>
      <xdr:xfrm>
        <a:off x="8039160" y="10029960"/>
        <a:ext cx="77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15</xdr:row>
      <xdr:rowOff>160920</xdr:rowOff>
    </xdr:from>
    <xdr:to>
      <xdr:col>8</xdr:col>
      <xdr:colOff>35280</xdr:colOff>
      <xdr:row>29</xdr:row>
      <xdr:rowOff>13320</xdr:rowOff>
    </xdr:to>
    <xdr:graphicFrame>
      <xdr:nvGraphicFramePr>
        <xdr:cNvPr id="8" name="Chart 1"/>
        <xdr:cNvGraphicFramePr/>
      </xdr:nvGraphicFramePr>
      <xdr:xfrm>
        <a:off x="4440600" y="30481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25</xdr:col>
      <xdr:colOff>364680</xdr:colOff>
      <xdr:row>16</xdr:row>
      <xdr:rowOff>21960</xdr:rowOff>
    </xdr:to>
    <xdr:graphicFrame>
      <xdr:nvGraphicFramePr>
        <xdr:cNvPr id="9" name="Chart 1"/>
        <xdr:cNvGraphicFramePr/>
      </xdr:nvGraphicFramePr>
      <xdr:xfrm>
        <a:off x="1231200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25</xdr:col>
      <xdr:colOff>364680</xdr:colOff>
      <xdr:row>34</xdr:row>
      <xdr:rowOff>21960</xdr:rowOff>
    </xdr:to>
    <xdr:graphicFrame>
      <xdr:nvGraphicFramePr>
        <xdr:cNvPr id="10" name="Chart 2"/>
        <xdr:cNvGraphicFramePr/>
      </xdr:nvGraphicFramePr>
      <xdr:xfrm>
        <a:off x="12312000" y="3809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9.51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 t="s">
        <v>3</v>
      </c>
      <c r="F4" s="3"/>
      <c r="G4" s="3"/>
      <c r="H4" s="3"/>
      <c r="I4" s="3" t="s">
        <v>4</v>
      </c>
      <c r="J4" s="3"/>
      <c r="K4" s="3"/>
      <c r="L4" s="3"/>
      <c r="M4" s="3" t="s">
        <v>5</v>
      </c>
      <c r="N4" s="3"/>
      <c r="O4" s="3"/>
      <c r="P4" s="3"/>
      <c r="Q4" s="3" t="s">
        <v>6</v>
      </c>
      <c r="R4" s="3"/>
      <c r="S4" s="3"/>
      <c r="T4" s="3"/>
      <c r="U4" s="3" t="s">
        <v>7</v>
      </c>
      <c r="V4" s="3"/>
      <c r="W4" s="3"/>
      <c r="X4" s="3"/>
    </row>
    <row r="5" customFormat="false" ht="21.75" hidden="false" customHeight="true" outlineLevel="0" collapsed="false">
      <c r="A5" s="4" t="n">
        <f aca="false">KPI_Summary!B6</f>
        <v>75595284</v>
      </c>
      <c r="B5" s="4"/>
      <c r="C5" s="4"/>
      <c r="D5" s="4"/>
      <c r="E5" s="5" t="n">
        <f aca="false">KPI_Summary!B9</f>
        <v>0.388045800436799</v>
      </c>
      <c r="F5" s="5"/>
      <c r="G5" s="5"/>
      <c r="H5" s="5"/>
      <c r="I5" s="5" t="n">
        <f aca="false">KPI_Summary!B12</f>
        <v>0.922907313298397</v>
      </c>
      <c r="J5" s="5"/>
      <c r="K5" s="5"/>
      <c r="L5" s="5"/>
      <c r="M5" s="5" t="n">
        <f aca="false">KPI_Summary!B13</f>
        <v>0.878418331103508</v>
      </c>
      <c r="N5" s="5"/>
      <c r="O5" s="5"/>
      <c r="P5" s="5"/>
      <c r="Q5" s="6" t="n">
        <f aca="false">KPI_Summary!B18</f>
        <v>27</v>
      </c>
      <c r="R5" s="6"/>
      <c r="S5" s="6"/>
      <c r="T5" s="6"/>
      <c r="U5" s="4" t="n">
        <f aca="false">KPI_Summary!B22</f>
        <v>5736864</v>
      </c>
      <c r="V5" s="4"/>
      <c r="W5" s="4"/>
      <c r="X5" s="4"/>
    </row>
    <row r="6" customFormat="false" ht="18" hidden="false" customHeight="true" outlineLevel="0" collapsed="false">
      <c r="A6" s="4"/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  <c r="T6" s="6"/>
      <c r="U6" s="4"/>
      <c r="V6" s="4"/>
      <c r="W6" s="4"/>
      <c r="X6" s="4"/>
    </row>
  </sheetData>
  <mergeCells count="12">
    <mergeCell ref="A4:D4"/>
    <mergeCell ref="E4:H4"/>
    <mergeCell ref="I4:L4"/>
    <mergeCell ref="M4:P4"/>
    <mergeCell ref="Q4:T4"/>
    <mergeCell ref="U4:X4"/>
    <mergeCell ref="A5:D6"/>
    <mergeCell ref="E5:H6"/>
    <mergeCell ref="I5:L6"/>
    <mergeCell ref="M5:P6"/>
    <mergeCell ref="Q5:T6"/>
    <mergeCell ref="U5:X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7" t="s">
        <v>8</v>
      </c>
    </row>
    <row r="2" customFormat="false" ht="15" hidden="false" customHeight="false" outlineLevel="0" collapsed="false">
      <c r="A2" s="8" t="s">
        <v>9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9" t="s">
        <v>10</v>
      </c>
    </row>
    <row r="5" customFormat="false" ht="15" hidden="false" customHeight="false" outlineLevel="0" collapsed="false">
      <c r="A5" s="8" t="s">
        <v>11</v>
      </c>
    </row>
    <row r="6" customFormat="false" ht="15" hidden="false" customHeight="false" outlineLevel="0" collapsed="false">
      <c r="A6" s="8" t="s">
        <v>12</v>
      </c>
    </row>
    <row r="7" customFormat="false" ht="15" hidden="false" customHeight="false" outlineLevel="0" collapsed="false">
      <c r="A7" s="8" t="s">
        <v>13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9" t="s">
        <v>14</v>
      </c>
    </row>
    <row r="10" customFormat="false" ht="15" hidden="false" customHeight="false" outlineLevel="0" collapsed="false">
      <c r="A10" s="8" t="s">
        <v>15</v>
      </c>
    </row>
    <row r="11" customFormat="false" ht="15" hidden="false" customHeight="false" outlineLevel="0" collapsed="false">
      <c r="A11" s="8" t="s">
        <v>16</v>
      </c>
    </row>
    <row r="12" customFormat="false" ht="15" hidden="false" customHeight="false" outlineLevel="0" collapsed="false">
      <c r="A12" s="8" t="s">
        <v>17</v>
      </c>
    </row>
    <row r="13" customFormat="false" ht="15" hidden="false" customHeight="false" outlineLevel="0" collapsed="false">
      <c r="A13" s="8" t="s">
        <v>18</v>
      </c>
    </row>
    <row r="14" customFormat="false" ht="15" hidden="false" customHeight="false" outlineLevel="0" collapsed="false">
      <c r="A14" s="8" t="s">
        <v>19</v>
      </c>
    </row>
    <row r="15" customFormat="false" ht="15" hidden="false" customHeight="false" outlineLevel="0" collapsed="false">
      <c r="A15" s="8" t="s">
        <v>20</v>
      </c>
    </row>
    <row r="16" customFormat="false" ht="15" hidden="false" customHeight="false" outlineLevel="0" collapsed="false">
      <c r="A16" s="8" t="s">
        <v>21</v>
      </c>
    </row>
    <row r="17" customFormat="false" ht="15" hidden="false" customHeight="false" outlineLevel="0" collapsed="false">
      <c r="A17" s="8" t="s">
        <v>22</v>
      </c>
    </row>
    <row r="18" customFormat="false" ht="15" hidden="false" customHeight="false" outlineLevel="0" collapsed="false">
      <c r="A18" s="8"/>
    </row>
    <row r="19" customFormat="false" ht="15" hidden="false" customHeight="false" outlineLevel="0" collapsed="false">
      <c r="A19" s="10" t="s">
        <v>23</v>
      </c>
    </row>
    <row r="20" customFormat="false" ht="15" hidden="false" customHeight="false" outlineLevel="0" collapsed="false">
      <c r="A20" s="8" t="s">
        <v>24</v>
      </c>
    </row>
    <row r="21" customFormat="false" ht="15" hidden="false" customHeight="false" outlineLevel="0" collapsed="false">
      <c r="A21" s="8"/>
    </row>
    <row r="22" customFormat="false" ht="15" hidden="false" customHeight="false" outlineLevel="0" collapsed="false">
      <c r="A22" s="9" t="s">
        <v>25</v>
      </c>
    </row>
    <row r="23" customFormat="false" ht="15" hidden="false" customHeight="false" outlineLevel="0" collapsed="false">
      <c r="A23" s="8" t="s">
        <v>26</v>
      </c>
    </row>
    <row r="24" customFormat="false" ht="15" hidden="false" customHeight="false" outlineLevel="0" collapsed="false">
      <c r="A24" s="8" t="s">
        <v>27</v>
      </c>
    </row>
    <row r="25" customFormat="false" ht="15" hidden="false" customHeight="false" outlineLevel="0" collapsed="false">
      <c r="A25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11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7" t="s">
        <v>29</v>
      </c>
    </row>
    <row r="2" customFormat="false" ht="15" hidden="false" customHeight="false" outlineLevel="0" collapsed="false">
      <c r="A2" s="11" t="s">
        <v>30</v>
      </c>
    </row>
    <row r="4" customFormat="false" ht="15" hidden="false" customHeight="false" outlineLevel="0" collapsed="false">
      <c r="A4" s="12" t="s">
        <v>31</v>
      </c>
      <c r="B4" s="13"/>
      <c r="D4" s="12" t="s">
        <v>32</v>
      </c>
      <c r="E4" s="12" t="s">
        <v>33</v>
      </c>
      <c r="F4" s="12" t="s">
        <v>2</v>
      </c>
      <c r="G4" s="12" t="s">
        <v>34</v>
      </c>
    </row>
    <row r="5" customFormat="false" ht="15" hidden="false" customHeight="false" outlineLevel="0" collapsed="false">
      <c r="A5" s="8" t="s">
        <v>35</v>
      </c>
      <c r="B5" s="14" t="n">
        <f aca="false">INDEX(Monthly_MRR!B2:B34,COUNT(Monthly_MRR!B2:B34))</f>
        <v>6299607</v>
      </c>
      <c r="D5" s="8" t="s">
        <v>36</v>
      </c>
      <c r="E5" s="8" t="n">
        <f aca="false">COUNTIF(Health_Score!$V$2:$V$2122,D5)</f>
        <v>1102</v>
      </c>
      <c r="F5" s="15" t="n">
        <f aca="false">SUMIFS(Health_Score!$O$2:$O$2122,Health_Score!$V$2:$V$2122,D5)</f>
        <v>33945924</v>
      </c>
      <c r="G5" s="16" t="n">
        <f aca="false">F5/SUM($F$5:$F$7)</f>
        <v>0.449048170782717</v>
      </c>
    </row>
    <row r="6" customFormat="false" ht="15" hidden="false" customHeight="false" outlineLevel="0" collapsed="false">
      <c r="A6" s="8" t="s">
        <v>37</v>
      </c>
      <c r="B6" s="14" t="n">
        <f aca="false">B5*12</f>
        <v>75595284</v>
      </c>
      <c r="D6" s="8" t="s">
        <v>38</v>
      </c>
      <c r="E6" s="8" t="n">
        <f aca="false">COUNTIF(Health_Score!$V$2:$V$2122,D6)</f>
        <v>901</v>
      </c>
      <c r="F6" s="15" t="n">
        <f aca="false">SUMIFS(Health_Score!$O$2:$O$2122,Health_Score!$V$2:$V$2122,D6)</f>
        <v>35912496</v>
      </c>
      <c r="G6" s="16" t="n">
        <f aca="false">F6/SUM($F$5:$F$7)</f>
        <v>0.475062650733609</v>
      </c>
    </row>
    <row r="7" customFormat="false" ht="15" hidden="false" customHeight="false" outlineLevel="0" collapsed="false">
      <c r="A7" s="8" t="s">
        <v>39</v>
      </c>
      <c r="B7" s="17" t="n">
        <f aca="false">INDEX(Monthly_MRR!C2:C34,COUNT(Monthly_MRR!C2:C34))</f>
        <v>2121</v>
      </c>
      <c r="D7" s="8" t="s">
        <v>40</v>
      </c>
      <c r="E7" s="8" t="n">
        <f aca="false">COUNTIF(Health_Score!$V$2:$V$2122,D7)</f>
        <v>118</v>
      </c>
      <c r="F7" s="15" t="n">
        <f aca="false">SUMIFS(Health_Score!$O$2:$O$2122,Health_Score!$V$2:$V$2122,D7)</f>
        <v>5736864</v>
      </c>
      <c r="G7" s="16" t="n">
        <f aca="false">F7/SUM($F$5:$F$7)</f>
        <v>0.0758891784836737</v>
      </c>
    </row>
    <row r="8" customFormat="false" ht="15" hidden="false" customHeight="false" outlineLevel="0" collapsed="false">
      <c r="A8" s="8" t="s">
        <v>41</v>
      </c>
      <c r="B8" s="14" t="n">
        <f aca="false">B6/B7</f>
        <v>35641.3408769448</v>
      </c>
      <c r="D8" s="9" t="s">
        <v>42</v>
      </c>
      <c r="E8" s="9" t="n">
        <f aca="false">SUM(E5:E7)</f>
        <v>2121</v>
      </c>
      <c r="F8" s="18" t="n">
        <f aca="false">SUM(F5:F7)</f>
        <v>75595284</v>
      </c>
    </row>
    <row r="9" customFormat="false" ht="15" hidden="false" customHeight="false" outlineLevel="0" collapsed="false">
      <c r="A9" s="8" t="s">
        <v>43</v>
      </c>
      <c r="B9" s="19" t="n">
        <f aca="false">INDEX(Monthly_MRR!B2:B34,COUNT(Monthly_MRR!B2:B34))/INDEX(Monthly_MRR!B2:B34,COUNT(Monthly_MRR!B2:B34)-12)-1</f>
        <v>0.388045800436799</v>
      </c>
    </row>
    <row r="10" customFormat="false" ht="15" hidden="false" customHeight="false" outlineLevel="0" collapsed="false">
      <c r="A10" s="8" t="s">
        <v>44</v>
      </c>
      <c r="B10" s="14" t="n">
        <f aca="true">SUM(OFFSET(Monthly_MRR!E2,COUNT(Monthly_MRR!B2:B34)-12,0,12,1))</f>
        <v>272516</v>
      </c>
    </row>
    <row r="11" customFormat="false" ht="15" hidden="false" customHeight="false" outlineLevel="0" collapsed="false">
      <c r="A11" s="12" t="s">
        <v>45</v>
      </c>
      <c r="B11" s="13"/>
      <c r="D11" s="12" t="s">
        <v>46</v>
      </c>
      <c r="E11" s="12" t="s">
        <v>47</v>
      </c>
      <c r="F11" s="12" t="s">
        <v>2</v>
      </c>
      <c r="G11" s="12" t="s">
        <v>48</v>
      </c>
      <c r="H11" s="12" t="s">
        <v>40</v>
      </c>
      <c r="I11" s="12" t="s">
        <v>49</v>
      </c>
    </row>
    <row r="12" customFormat="false" ht="15" hidden="false" customHeight="false" outlineLevel="0" collapsed="false">
      <c r="A12" s="8" t="s">
        <v>50</v>
      </c>
      <c r="B12" s="19" t="n">
        <f aca="false">SUM(Retention_Cohort!D2:D1621)/SUM(Retention_Cohort!C2:C1621)</f>
        <v>0.922907313298397</v>
      </c>
      <c r="D12" s="8" t="s">
        <v>51</v>
      </c>
      <c r="E12" s="8" t="n">
        <f aca="false">COUNTIF(Health_Score!$C$2:$C$2122,D12)</f>
        <v>1305</v>
      </c>
      <c r="F12" s="15" t="n">
        <f aca="false">SUMIFS(Health_Score!$O$2:$O$2122,Health_Score!$C$2:$C$2122,D12)</f>
        <v>6061704</v>
      </c>
      <c r="G12" s="20" t="n">
        <f aca="false">AVERAGEIF(Health_Score!$C$2:$C$2122,D12,Health_Score!$U$2:$U$2122)</f>
        <v>80.2199233716475</v>
      </c>
      <c r="H12" s="8" t="n">
        <f aca="false">COUNTIFS(Health_Score!$C$2:$C$2122,D12,Health_Score!$V$2:$V$2122,"High Risk")</f>
        <v>56</v>
      </c>
      <c r="I12" s="8" t="n">
        <f aca="false">ROUND(100*(COUNTIFS(NPS_Responses!$C$2:$C$4016,D12,NPS_Responses!$F$2:$F$4016,"Promoter")-COUNTIFS(NPS_Responses!$C$2:$C$4016,D12,NPS_Responses!$F$2:$F$4016,"Detractor"))/COUNTIF(NPS_Responses!$C$2:$C$4016,D12),0)</f>
        <v>29</v>
      </c>
    </row>
    <row r="13" customFormat="false" ht="15" hidden="false" customHeight="false" outlineLevel="0" collapsed="false">
      <c r="A13" s="8" t="s">
        <v>52</v>
      </c>
      <c r="B13" s="19" t="n">
        <f aca="false">SUM(Retention_Cohort!E2:E1621)/SUM(Retention_Cohort!C2:C1621)</f>
        <v>0.878418331103508</v>
      </c>
      <c r="D13" s="8" t="s">
        <v>53</v>
      </c>
      <c r="E13" s="8" t="n">
        <f aca="false">COUNTIF(Health_Score!$C$2:$C$2122,D13)</f>
        <v>591</v>
      </c>
      <c r="F13" s="15" t="n">
        <f aca="false">SUMIFS(Health_Score!$O$2:$O$2122,Health_Score!$C$2:$C$2122,D13)</f>
        <v>26217540</v>
      </c>
      <c r="G13" s="20" t="n">
        <f aca="false">AVERAGEIF(Health_Score!$C$2:$C$2122,D13,Health_Score!$U$2:$U$2122)</f>
        <v>78.6345177664975</v>
      </c>
      <c r="H13" s="8" t="n">
        <f aca="false">COUNTIFS(Health_Score!$C$2:$C$2122,D13,Health_Score!$V$2:$V$2122,"High Risk")</f>
        <v>44</v>
      </c>
      <c r="I13" s="8" t="n">
        <f aca="false">ROUND(100*(COUNTIFS(NPS_Responses!$C$2:$C$4016,D13,NPS_Responses!$F$2:$F$4016,"Promoter")-COUNTIFS(NPS_Responses!$C$2:$C$4016,D13,NPS_Responses!$F$2:$F$4016,"Detractor"))/COUNTIF(NPS_Responses!$C$2:$C$4016,D13),0)</f>
        <v>23</v>
      </c>
    </row>
    <row r="14" customFormat="false" ht="15" hidden="false" customHeight="false" outlineLevel="0" collapsed="false">
      <c r="A14" s="8" t="s">
        <v>54</v>
      </c>
      <c r="B14" s="19" t="n">
        <f aca="false">SUM(Retention_Cohort!F2:F1621)/COUNT(Retention_Cohort!C2:C1621)</f>
        <v>0.878395061728395</v>
      </c>
      <c r="D14" s="8" t="s">
        <v>55</v>
      </c>
      <c r="E14" s="8" t="n">
        <f aca="false">COUNTIF(Health_Score!$C$2:$C$2122,D14)</f>
        <v>225</v>
      </c>
      <c r="F14" s="15" t="n">
        <f aca="false">SUMIFS(Health_Score!$O$2:$O$2122,Health_Score!$C$2:$C$2122,D14)</f>
        <v>43316040</v>
      </c>
      <c r="G14" s="20" t="n">
        <f aca="false">AVERAGEIF(Health_Score!$C$2:$C$2122,D14,Health_Score!$U$2:$U$2122)</f>
        <v>77.1066666666667</v>
      </c>
      <c r="H14" s="8" t="n">
        <f aca="false">COUNTIFS(Health_Score!$C$2:$C$2122,D14,Health_Score!$V$2:$V$2122,"High Risk")</f>
        <v>18</v>
      </c>
      <c r="I14" s="8" t="n">
        <f aca="false">ROUND(100*(COUNTIFS(NPS_Responses!$C$2:$C$4016,D14,NPS_Responses!$F$2:$F$4016,"Promoter")-COUNTIFS(NPS_Responses!$C$2:$C$4016,D14,NPS_Responses!$F$2:$F$4016,"Detractor"))/COUNTIF(NPS_Responses!$C$2:$C$4016,D14),0)</f>
        <v>28</v>
      </c>
    </row>
    <row r="15" customFormat="false" ht="15" hidden="false" customHeight="false" outlineLevel="0" collapsed="false">
      <c r="A15" s="8" t="s">
        <v>56</v>
      </c>
      <c r="B15" s="19" t="n">
        <f aca="false">1-B14</f>
        <v>0.121604938271605</v>
      </c>
    </row>
    <row r="16" customFormat="false" ht="15" hidden="false" customHeight="false" outlineLevel="0" collapsed="false">
      <c r="A16" s="8" t="s">
        <v>57</v>
      </c>
      <c r="B16" s="21" t="n">
        <f aca="true">AVERAGE(OFFSET(Monthly_MRR!M2,COUNT(Monthly_MRR!B2:B34)-12,0,12,1))</f>
        <v>0.010846907162818</v>
      </c>
    </row>
    <row r="17" customFormat="false" ht="15" hidden="false" customHeight="false" outlineLevel="0" collapsed="false">
      <c r="A17" s="12" t="s">
        <v>58</v>
      </c>
      <c r="B17" s="13"/>
    </row>
    <row r="18" customFormat="false" ht="15" hidden="false" customHeight="false" outlineLevel="0" collapsed="false">
      <c r="A18" s="8" t="s">
        <v>59</v>
      </c>
      <c r="B18" s="22" t="n">
        <f aca="false">ROUND(100*(COUNTIF(NPS_Responses!F2:F4016,"Promoter")-COUNTIF(NPS_Responses!F2:F4016,"Detractor"))/COUNTA(NPS_Responses!F2:F4016),0)</f>
        <v>27</v>
      </c>
    </row>
    <row r="19" customFormat="false" ht="15" hidden="false" customHeight="false" outlineLevel="0" collapsed="false">
      <c r="A19" s="8" t="s">
        <v>60</v>
      </c>
      <c r="B19" s="17" t="n">
        <f aca="false">COUNTA(NPS_Responses!F2:F4016)</f>
        <v>4015</v>
      </c>
    </row>
    <row r="20" customFormat="false" ht="15" hidden="false" customHeight="false" outlineLevel="0" collapsed="false">
      <c r="A20" s="12" t="s">
        <v>61</v>
      </c>
      <c r="B20" s="13"/>
    </row>
    <row r="21" customFormat="false" ht="15" hidden="false" customHeight="false" outlineLevel="0" collapsed="false">
      <c r="A21" s="8" t="s">
        <v>62</v>
      </c>
      <c r="B21" s="23" t="n">
        <f aca="false">AVERAGE(Health_Score!U2:U2122)</f>
        <v>79.4479019330505</v>
      </c>
    </row>
    <row r="22" customFormat="false" ht="15" hidden="false" customHeight="false" outlineLevel="0" collapsed="false">
      <c r="A22" s="8" t="s">
        <v>63</v>
      </c>
      <c r="B22" s="14" t="n">
        <f aca="false">SUMIFS(Health_Score!O2:O2122,Health_Score!V2:V2122,"High Risk")</f>
        <v>5736864</v>
      </c>
    </row>
    <row r="23" customFormat="false" ht="15" hidden="false" customHeight="false" outlineLevel="0" collapsed="false">
      <c r="A23" s="8" t="s">
        <v>64</v>
      </c>
      <c r="B23" s="14" t="n">
        <f aca="false">SUMIFS(Health_Score!O2:O2122,Health_Score!V2:V2122,"Needs Attention")</f>
        <v>35912496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30" hidden="false" customHeight="true" outlineLevel="0" collapsed="false">
      <c r="A1" s="24" t="s">
        <v>65</v>
      </c>
      <c r="B1" s="24" t="s">
        <v>66</v>
      </c>
      <c r="C1" s="24" t="s">
        <v>67</v>
      </c>
    </row>
    <row r="2" customFormat="false" ht="15" hidden="false" customHeight="false" outlineLevel="0" collapsed="false">
      <c r="A2" s="8" t="s">
        <v>68</v>
      </c>
      <c r="B2" s="25" t="n">
        <v>0.35</v>
      </c>
      <c r="C2" s="8" t="s">
        <v>69</v>
      </c>
    </row>
    <row r="3" customFormat="false" ht="15" hidden="false" customHeight="false" outlineLevel="0" collapsed="false">
      <c r="A3" s="8" t="s">
        <v>70</v>
      </c>
      <c r="B3" s="25" t="n">
        <v>0.2</v>
      </c>
      <c r="C3" s="8"/>
    </row>
    <row r="4" customFormat="false" ht="15" hidden="false" customHeight="false" outlineLevel="0" collapsed="false">
      <c r="A4" s="8" t="s">
        <v>71</v>
      </c>
      <c r="B4" s="25" t="n">
        <v>0.15</v>
      </c>
      <c r="C4" s="8"/>
    </row>
    <row r="5" customFormat="false" ht="15" hidden="false" customHeight="false" outlineLevel="0" collapsed="false">
      <c r="A5" s="8" t="s">
        <v>72</v>
      </c>
      <c r="B5" s="25" t="n">
        <v>0.1</v>
      </c>
      <c r="C5" s="8"/>
    </row>
    <row r="6" customFormat="false" ht="15" hidden="false" customHeight="false" outlineLevel="0" collapsed="false">
      <c r="A6" s="8" t="s">
        <v>73</v>
      </c>
      <c r="B6" s="25" t="n">
        <v>0.2</v>
      </c>
      <c r="C6" s="8"/>
    </row>
    <row r="7" customFormat="false" ht="15" hidden="false" customHeight="false" outlineLevel="0" collapsed="false">
      <c r="A7" s="8" t="s">
        <v>74</v>
      </c>
      <c r="B7" s="26" t="n">
        <f aca="false">SUM(B2:B6)</f>
        <v>1</v>
      </c>
      <c r="C7" s="8" t="s">
        <v>75</v>
      </c>
    </row>
    <row r="8" customFormat="false" ht="15" hidden="false" customHeight="false" outlineLevel="0" collapsed="false">
      <c r="A8" s="8" t="s">
        <v>76</v>
      </c>
      <c r="B8" s="25" t="n">
        <v>0.9</v>
      </c>
      <c r="C8" s="8" t="s">
        <v>77</v>
      </c>
    </row>
    <row r="9" customFormat="false" ht="15" hidden="false" customHeight="false" outlineLevel="0" collapsed="false">
      <c r="A9" s="8" t="s">
        <v>78</v>
      </c>
      <c r="B9" s="10" t="n">
        <v>50</v>
      </c>
      <c r="C9" s="8" t="s">
        <v>79</v>
      </c>
    </row>
    <row r="10" customFormat="false" ht="15" hidden="false" customHeight="false" outlineLevel="0" collapsed="false">
      <c r="A10" s="8" t="s">
        <v>80</v>
      </c>
      <c r="B10" s="27" t="n">
        <v>80</v>
      </c>
      <c r="C10" s="8"/>
    </row>
    <row r="11" customFormat="false" ht="15" hidden="false" customHeight="false" outlineLevel="0" collapsed="false">
      <c r="A11" s="8" t="s">
        <v>81</v>
      </c>
      <c r="B11" s="27" t="n">
        <v>65</v>
      </c>
      <c r="C11" s="8" t="s">
        <v>82</v>
      </c>
    </row>
    <row r="12" customFormat="false" ht="15" hidden="false" customHeight="false" outlineLevel="0" collapsed="false">
      <c r="A12" s="8" t="s">
        <v>83</v>
      </c>
      <c r="B12" s="10" t="n">
        <v>100</v>
      </c>
      <c r="C12" s="8"/>
    </row>
    <row r="13" customFormat="false" ht="15" hidden="false" customHeight="false" outlineLevel="0" collapsed="false">
      <c r="A13" s="8" t="s">
        <v>84</v>
      </c>
      <c r="B13" s="10" t="n">
        <v>75</v>
      </c>
      <c r="C13" s="8"/>
    </row>
    <row r="14" customFormat="false" ht="15" hidden="false" customHeight="false" outlineLevel="0" collapsed="false">
      <c r="A14" s="8" t="s">
        <v>85</v>
      </c>
      <c r="B14" s="10" t="n">
        <v>50</v>
      </c>
      <c r="C14" s="8"/>
    </row>
    <row r="15" customFormat="false" ht="15" hidden="false" customHeight="false" outlineLevel="0" collapsed="false">
      <c r="A15" s="8" t="s">
        <v>86</v>
      </c>
      <c r="B15" s="10" t="n">
        <v>20</v>
      </c>
      <c r="C15" s="8"/>
    </row>
    <row r="16" customFormat="false" ht="15" hidden="false" customHeight="false" outlineLevel="0" collapsed="false">
      <c r="A16" s="8" t="s">
        <v>87</v>
      </c>
      <c r="B16" s="10" t="n">
        <v>100</v>
      </c>
      <c r="C16" s="8"/>
    </row>
    <row r="17" customFormat="false" ht="15" hidden="false" customHeight="false" outlineLevel="0" collapsed="false">
      <c r="A17" s="8" t="s">
        <v>88</v>
      </c>
      <c r="B17" s="10" t="n">
        <v>60</v>
      </c>
      <c r="C17" s="8"/>
    </row>
    <row r="18" customFormat="false" ht="15" hidden="false" customHeight="false" outlineLevel="0" collapsed="false">
      <c r="A18" s="8" t="s">
        <v>89</v>
      </c>
      <c r="B18" s="10" t="n">
        <v>50</v>
      </c>
      <c r="C18" s="8"/>
    </row>
    <row r="19" customFormat="false" ht="15" hidden="false" customHeight="false" outlineLevel="0" collapsed="false">
      <c r="A19" s="8" t="s">
        <v>90</v>
      </c>
      <c r="B19" s="10" t="n">
        <v>100</v>
      </c>
      <c r="C19" s="8"/>
    </row>
    <row r="20" customFormat="false" ht="15" hidden="false" customHeight="false" outlineLevel="0" collapsed="false">
      <c r="A20" s="8" t="s">
        <v>91</v>
      </c>
      <c r="B20" s="10" t="n">
        <v>70</v>
      </c>
      <c r="C20" s="8"/>
    </row>
    <row r="21" customFormat="false" ht="15" hidden="false" customHeight="false" outlineLevel="0" collapsed="false">
      <c r="A21" s="8" t="s">
        <v>92</v>
      </c>
      <c r="B21" s="10" t="n">
        <v>30</v>
      </c>
      <c r="C21" s="8"/>
    </row>
    <row r="23" customFormat="false" ht="15" hidden="false" customHeight="false" outlineLevel="0" collapsed="false">
      <c r="A23" s="1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3" min="12" style="0" width="9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8" min="16" style="0" width="9"/>
    <col collapsed="false" customWidth="true" hidden="false" outlineLevel="0" max="19" min="19" style="0" width="11"/>
    <col collapsed="false" customWidth="true" hidden="false" outlineLevel="0" max="21" min="20" style="0" width="9"/>
    <col collapsed="false" customWidth="true" hidden="false" outlineLevel="0" max="22" min="22" style="0" width="15"/>
  </cols>
  <sheetData>
    <row r="1" customFormat="false" ht="30" hidden="false" customHeight="true" outlineLevel="0" collapsed="false">
      <c r="A1" s="24" t="s">
        <v>94</v>
      </c>
      <c r="B1" s="24" t="s">
        <v>95</v>
      </c>
      <c r="C1" s="24" t="s">
        <v>96</v>
      </c>
      <c r="D1" s="24" t="s">
        <v>97</v>
      </c>
      <c r="E1" s="24" t="s">
        <v>98</v>
      </c>
      <c r="F1" s="24" t="s">
        <v>99</v>
      </c>
      <c r="G1" s="24" t="s">
        <v>100</v>
      </c>
      <c r="H1" s="24" t="s">
        <v>101</v>
      </c>
      <c r="I1" s="24" t="s">
        <v>102</v>
      </c>
      <c r="J1" s="24" t="s">
        <v>103</v>
      </c>
      <c r="K1" s="24" t="s">
        <v>104</v>
      </c>
      <c r="L1" s="24" t="s">
        <v>105</v>
      </c>
      <c r="M1" s="24" t="s">
        <v>106</v>
      </c>
      <c r="N1" s="24" t="s">
        <v>107</v>
      </c>
      <c r="O1" s="28" t="s">
        <v>2</v>
      </c>
      <c r="P1" s="28" t="s">
        <v>108</v>
      </c>
      <c r="Q1" s="28" t="s">
        <v>109</v>
      </c>
      <c r="R1" s="28" t="s">
        <v>110</v>
      </c>
      <c r="S1" s="28" t="s">
        <v>111</v>
      </c>
      <c r="T1" s="28" t="s">
        <v>112</v>
      </c>
      <c r="U1" s="28" t="s">
        <v>113</v>
      </c>
      <c r="V1" s="28" t="s">
        <v>114</v>
      </c>
    </row>
    <row r="2" customFormat="false" ht="15" hidden="false" customHeight="false" outlineLevel="0" collapsed="false">
      <c r="A2" s="8" t="s">
        <v>115</v>
      </c>
      <c r="B2" s="8" t="s">
        <v>116</v>
      </c>
      <c r="C2" s="8" t="s">
        <v>55</v>
      </c>
      <c r="D2" s="8" t="s">
        <v>55</v>
      </c>
      <c r="E2" s="8" t="s">
        <v>117</v>
      </c>
      <c r="F2" s="8" t="s">
        <v>118</v>
      </c>
      <c r="G2" s="8" t="s">
        <v>119</v>
      </c>
      <c r="H2" s="15" t="n">
        <v>36495</v>
      </c>
      <c r="I2" s="15" t="n">
        <v>31005</v>
      </c>
      <c r="J2" s="16" t="n">
        <v>0.748</v>
      </c>
      <c r="K2" s="8" t="n">
        <v>9.3</v>
      </c>
      <c r="L2" s="8" t="n">
        <v>10</v>
      </c>
      <c r="M2" s="8" t="n">
        <v>3</v>
      </c>
      <c r="N2" s="8" t="s">
        <v>120</v>
      </c>
      <c r="O2" s="15" t="n">
        <f aca="false">H2*12</f>
        <v>437940</v>
      </c>
      <c r="P2" s="8" t="n">
        <f aca="false">MIN(100,ROUND(100*J2/Assumptions!$B$8,0))</f>
        <v>83</v>
      </c>
      <c r="Q2" s="8" t="n">
        <f aca="false">IF(L2="",Assumptions!$B$9,L2*10)</f>
        <v>100</v>
      </c>
      <c r="R2" s="8" t="n">
        <f aca="false">IF(M2&lt;=1,Assumptions!$B$12,IF(M2&lt;=3,Assumptions!$B$13,IF(M2&lt;=6,Assumptions!$B$14,Assumptions!$B$15)))</f>
        <v>75</v>
      </c>
      <c r="S2" s="8" t="n">
        <f aca="false">IF(N2="Completed On Time",Assumptions!$B$16,IF(N2="Completed Late",Assumptions!$B$17,Assumptions!$B$18))</f>
        <v>100</v>
      </c>
      <c r="T2" s="8" t="n">
        <f aca="false">IF(I2=0,Assumptions!$B$20,IF(H2&gt;I2,Assumptions!$B$19,IF(H2=I2,Assumptions!$B$20,Assumptions!$B$21)))</f>
        <v>100</v>
      </c>
      <c r="U2" s="8" t="n">
        <f aca="false">ROUND(P2*Assumptions!$B$2+Q2*Assumptions!$B$3+R2*Assumptions!$B$4+S2*Assumptions!$B$5+T2*Assumptions!$B$6,0)</f>
        <v>90</v>
      </c>
      <c r="V2" s="8" t="str">
        <f aca="false">IF(U2&gt;=Assumptions!$B$10,"Healthy",IF(U2&gt;=Assumptions!$B$11,"Needs Attention","High Risk"))</f>
        <v>Healthy</v>
      </c>
    </row>
    <row r="3" customFormat="false" ht="15" hidden="false" customHeight="false" outlineLevel="0" collapsed="false">
      <c r="A3" s="8" t="s">
        <v>121</v>
      </c>
      <c r="B3" s="8" t="s">
        <v>122</v>
      </c>
      <c r="C3" s="8" t="s">
        <v>55</v>
      </c>
      <c r="D3" s="8" t="s">
        <v>55</v>
      </c>
      <c r="E3" s="8" t="s">
        <v>123</v>
      </c>
      <c r="F3" s="8" t="s">
        <v>124</v>
      </c>
      <c r="G3" s="8" t="s">
        <v>125</v>
      </c>
      <c r="H3" s="15" t="n">
        <v>34785</v>
      </c>
      <c r="I3" s="15" t="n">
        <v>29655</v>
      </c>
      <c r="J3" s="16" t="n">
        <v>0.745</v>
      </c>
      <c r="K3" s="8" t="n">
        <v>9</v>
      </c>
      <c r="L3" s="8" t="n">
        <v>7</v>
      </c>
      <c r="M3" s="8" t="n">
        <v>2</v>
      </c>
      <c r="N3" s="8" t="s">
        <v>120</v>
      </c>
      <c r="O3" s="15" t="n">
        <f aca="false">H3*12</f>
        <v>417420</v>
      </c>
      <c r="P3" s="8" t="n">
        <f aca="false">MIN(100,ROUND(100*J3/Assumptions!$B$8,0))</f>
        <v>83</v>
      </c>
      <c r="Q3" s="8" t="n">
        <f aca="false">IF(L3="",Assumptions!$B$9,L3*10)</f>
        <v>70</v>
      </c>
      <c r="R3" s="8" t="n">
        <f aca="false">IF(M3&lt;=1,Assumptions!$B$12,IF(M3&lt;=3,Assumptions!$B$13,IF(M3&lt;=6,Assumptions!$B$14,Assumptions!$B$15)))</f>
        <v>75</v>
      </c>
      <c r="S3" s="8" t="n">
        <f aca="false">IF(N3="Completed On Time",Assumptions!$B$16,IF(N3="Completed Late",Assumptions!$B$17,Assumptions!$B$18))</f>
        <v>100</v>
      </c>
      <c r="T3" s="8" t="n">
        <f aca="false">IF(I3=0,Assumptions!$B$20,IF(H3&gt;I3,Assumptions!$B$19,IF(H3=I3,Assumptions!$B$20,Assumptions!$B$21)))</f>
        <v>100</v>
      </c>
      <c r="U3" s="8" t="n">
        <f aca="false">ROUND(P3*Assumptions!$B$2+Q3*Assumptions!$B$3+R3*Assumptions!$B$4+S3*Assumptions!$B$5+T3*Assumptions!$B$6,0)</f>
        <v>84</v>
      </c>
      <c r="V3" s="8" t="str">
        <f aca="false">IF(U3&gt;=Assumptions!$B$10,"Healthy",IF(U3&gt;=Assumptions!$B$11,"Needs Attention","High Risk"))</f>
        <v>Healthy</v>
      </c>
    </row>
    <row r="4" customFormat="false" ht="15" hidden="false" customHeight="false" outlineLevel="0" collapsed="false">
      <c r="A4" s="8" t="s">
        <v>126</v>
      </c>
      <c r="B4" s="8" t="s">
        <v>127</v>
      </c>
      <c r="C4" s="8" t="s">
        <v>55</v>
      </c>
      <c r="D4" s="8" t="s">
        <v>55</v>
      </c>
      <c r="E4" s="8" t="s">
        <v>128</v>
      </c>
      <c r="F4" s="8" t="s">
        <v>118</v>
      </c>
      <c r="G4" s="8" t="s">
        <v>129</v>
      </c>
      <c r="H4" s="15" t="n">
        <v>34515</v>
      </c>
      <c r="I4" s="15" t="n">
        <v>34515</v>
      </c>
      <c r="J4" s="16" t="n">
        <v>0.79</v>
      </c>
      <c r="K4" s="8" t="n">
        <v>10.7</v>
      </c>
      <c r="L4" s="8" t="n">
        <v>8</v>
      </c>
      <c r="M4" s="8" t="n">
        <v>6</v>
      </c>
      <c r="N4" s="8" t="s">
        <v>120</v>
      </c>
      <c r="O4" s="15" t="n">
        <f aca="false">H4*12</f>
        <v>414180</v>
      </c>
      <c r="P4" s="8" t="n">
        <f aca="false">MIN(100,ROUND(100*J4/Assumptions!$B$8,0))</f>
        <v>88</v>
      </c>
      <c r="Q4" s="8" t="n">
        <f aca="false">IF(L4="",Assumptions!$B$9,L4*10)</f>
        <v>80</v>
      </c>
      <c r="R4" s="8" t="n">
        <f aca="false">IF(M4&lt;=1,Assumptions!$B$12,IF(M4&lt;=3,Assumptions!$B$13,IF(M4&lt;=6,Assumptions!$B$14,Assumptions!$B$15)))</f>
        <v>50</v>
      </c>
      <c r="S4" s="8" t="n">
        <f aca="false">IF(N4="Completed On Time",Assumptions!$B$16,IF(N4="Completed Late",Assumptions!$B$17,Assumptions!$B$18))</f>
        <v>100</v>
      </c>
      <c r="T4" s="8" t="n">
        <f aca="false">IF(I4=0,Assumptions!$B$20,IF(H4&gt;I4,Assumptions!$B$19,IF(H4=I4,Assumptions!$B$20,Assumptions!$B$21)))</f>
        <v>70</v>
      </c>
      <c r="U4" s="8" t="n">
        <f aca="false">ROUND(P4*Assumptions!$B$2+Q4*Assumptions!$B$3+R4*Assumptions!$B$4+S4*Assumptions!$B$5+T4*Assumptions!$B$6,0)</f>
        <v>78</v>
      </c>
      <c r="V4" s="8" t="str">
        <f aca="false">IF(U4&gt;=Assumptions!$B$10,"Healthy",IF(U4&gt;=Assumptions!$B$11,"Needs Attention","High Risk"))</f>
        <v>Needs Attention</v>
      </c>
    </row>
    <row r="5" customFormat="false" ht="15" hidden="false" customHeight="false" outlineLevel="0" collapsed="false">
      <c r="A5" s="8" t="s">
        <v>130</v>
      </c>
      <c r="B5" s="8" t="s">
        <v>131</v>
      </c>
      <c r="C5" s="8" t="s">
        <v>55</v>
      </c>
      <c r="D5" s="8" t="s">
        <v>55</v>
      </c>
      <c r="E5" s="8" t="s">
        <v>132</v>
      </c>
      <c r="F5" s="8" t="s">
        <v>133</v>
      </c>
      <c r="G5" s="8" t="s">
        <v>125</v>
      </c>
      <c r="H5" s="15" t="n">
        <v>32985</v>
      </c>
      <c r="I5" s="15" t="n">
        <v>32985</v>
      </c>
      <c r="J5" s="16" t="n">
        <v>0.835</v>
      </c>
      <c r="K5" s="8" t="n">
        <v>10</v>
      </c>
      <c r="L5" s="8" t="n">
        <v>8</v>
      </c>
      <c r="M5" s="8" t="n">
        <v>4</v>
      </c>
      <c r="N5" s="8" t="s">
        <v>120</v>
      </c>
      <c r="O5" s="15" t="n">
        <f aca="false">H5*12</f>
        <v>395820</v>
      </c>
      <c r="P5" s="8" t="n">
        <f aca="false">MIN(100,ROUND(100*J5/Assumptions!$B$8,0))</f>
        <v>93</v>
      </c>
      <c r="Q5" s="8" t="n">
        <f aca="false">IF(L5="",Assumptions!$B$9,L5*10)</f>
        <v>80</v>
      </c>
      <c r="R5" s="8" t="n">
        <f aca="false">IF(M5&lt;=1,Assumptions!$B$12,IF(M5&lt;=3,Assumptions!$B$13,IF(M5&lt;=6,Assumptions!$B$14,Assumptions!$B$15)))</f>
        <v>50</v>
      </c>
      <c r="S5" s="8" t="n">
        <f aca="false">IF(N5="Completed On Time",Assumptions!$B$16,IF(N5="Completed Late",Assumptions!$B$17,Assumptions!$B$18))</f>
        <v>100</v>
      </c>
      <c r="T5" s="8" t="n">
        <f aca="false">IF(I5=0,Assumptions!$B$20,IF(H5&gt;I5,Assumptions!$B$19,IF(H5=I5,Assumptions!$B$20,Assumptions!$B$21)))</f>
        <v>70</v>
      </c>
      <c r="U5" s="8" t="n">
        <f aca="false">ROUND(P5*Assumptions!$B$2+Q5*Assumptions!$B$3+R5*Assumptions!$B$4+S5*Assumptions!$B$5+T5*Assumptions!$B$6,0)</f>
        <v>80</v>
      </c>
      <c r="V5" s="8" t="str">
        <f aca="false">IF(U5&gt;=Assumptions!$B$10,"Healthy",IF(U5&gt;=Assumptions!$B$11,"Needs Attention","High Risk"))</f>
        <v>Healthy</v>
      </c>
    </row>
    <row r="6" customFormat="false" ht="15" hidden="false" customHeight="false" outlineLevel="0" collapsed="false">
      <c r="A6" s="8" t="s">
        <v>134</v>
      </c>
      <c r="B6" s="8" t="s">
        <v>135</v>
      </c>
      <c r="C6" s="8" t="s">
        <v>55</v>
      </c>
      <c r="D6" s="8" t="s">
        <v>55</v>
      </c>
      <c r="E6" s="8" t="s">
        <v>117</v>
      </c>
      <c r="F6" s="8" t="s">
        <v>136</v>
      </c>
      <c r="G6" s="8" t="s">
        <v>137</v>
      </c>
      <c r="H6" s="15" t="n">
        <v>32760</v>
      </c>
      <c r="I6" s="15" t="n">
        <v>32760</v>
      </c>
      <c r="J6" s="16" t="n">
        <v>0.555</v>
      </c>
      <c r="K6" s="8" t="n">
        <v>7</v>
      </c>
      <c r="L6" s="8" t="n">
        <v>7</v>
      </c>
      <c r="M6" s="8" t="n">
        <v>10</v>
      </c>
      <c r="N6" s="8" t="s">
        <v>120</v>
      </c>
      <c r="O6" s="15" t="n">
        <f aca="false">H6*12</f>
        <v>393120</v>
      </c>
      <c r="P6" s="8" t="n">
        <f aca="false">MIN(100,ROUND(100*J6/Assumptions!$B$8,0))</f>
        <v>62</v>
      </c>
      <c r="Q6" s="8" t="n">
        <f aca="false">IF(L6="",Assumptions!$B$9,L6*10)</f>
        <v>70</v>
      </c>
      <c r="R6" s="8" t="n">
        <f aca="false">IF(M6&lt;=1,Assumptions!$B$12,IF(M6&lt;=3,Assumptions!$B$13,IF(M6&lt;=6,Assumptions!$B$14,Assumptions!$B$15)))</f>
        <v>20</v>
      </c>
      <c r="S6" s="8" t="n">
        <f aca="false">IF(N6="Completed On Time",Assumptions!$B$16,IF(N6="Completed Late",Assumptions!$B$17,Assumptions!$B$18))</f>
        <v>100</v>
      </c>
      <c r="T6" s="8" t="n">
        <f aca="false">IF(I6=0,Assumptions!$B$20,IF(H6&gt;I6,Assumptions!$B$19,IF(H6=I6,Assumptions!$B$20,Assumptions!$B$21)))</f>
        <v>70</v>
      </c>
      <c r="U6" s="8" t="n">
        <f aca="false">ROUND(P6*Assumptions!$B$2+Q6*Assumptions!$B$3+R6*Assumptions!$B$4+S6*Assumptions!$B$5+T6*Assumptions!$B$6,0)</f>
        <v>63</v>
      </c>
      <c r="V6" s="8" t="str">
        <f aca="false">IF(U6&gt;=Assumptions!$B$10,"Healthy",IF(U6&gt;=Assumptions!$B$11,"Needs Attention","High Risk"))</f>
        <v>High Risk</v>
      </c>
    </row>
    <row r="7" customFormat="false" ht="15" hidden="false" customHeight="false" outlineLevel="0" collapsed="false">
      <c r="A7" s="8" t="s">
        <v>138</v>
      </c>
      <c r="B7" s="8" t="s">
        <v>139</v>
      </c>
      <c r="C7" s="8" t="s">
        <v>55</v>
      </c>
      <c r="D7" s="8" t="s">
        <v>55</v>
      </c>
      <c r="E7" s="8" t="s">
        <v>123</v>
      </c>
      <c r="F7" s="8" t="s">
        <v>124</v>
      </c>
      <c r="G7" s="8" t="s">
        <v>140</v>
      </c>
      <c r="H7" s="15" t="n">
        <v>31275</v>
      </c>
      <c r="I7" s="15" t="n">
        <v>31275</v>
      </c>
      <c r="J7" s="16" t="n">
        <v>0.894</v>
      </c>
      <c r="K7" s="8" t="n">
        <v>11</v>
      </c>
      <c r="L7" s="8" t="n">
        <v>10</v>
      </c>
      <c r="M7" s="8" t="n">
        <v>1</v>
      </c>
      <c r="N7" s="8" t="s">
        <v>120</v>
      </c>
      <c r="O7" s="15" t="n">
        <f aca="false">H7*12</f>
        <v>375300</v>
      </c>
      <c r="P7" s="8" t="n">
        <f aca="false">MIN(100,ROUND(100*J7/Assumptions!$B$8,0))</f>
        <v>99</v>
      </c>
      <c r="Q7" s="8" t="n">
        <f aca="false">IF(L7="",Assumptions!$B$9,L7*10)</f>
        <v>100</v>
      </c>
      <c r="R7" s="8" t="n">
        <f aca="false">IF(M7&lt;=1,Assumptions!$B$12,IF(M7&lt;=3,Assumptions!$B$13,IF(M7&lt;=6,Assumptions!$B$14,Assumptions!$B$15)))</f>
        <v>100</v>
      </c>
      <c r="S7" s="8" t="n">
        <f aca="false">IF(N7="Completed On Time",Assumptions!$B$16,IF(N7="Completed Late",Assumptions!$B$17,Assumptions!$B$18))</f>
        <v>100</v>
      </c>
      <c r="T7" s="8" t="n">
        <f aca="false">IF(I7=0,Assumptions!$B$20,IF(H7&gt;I7,Assumptions!$B$19,IF(H7=I7,Assumptions!$B$20,Assumptions!$B$21)))</f>
        <v>70</v>
      </c>
      <c r="U7" s="8" t="n">
        <f aca="false">ROUND(P7*Assumptions!$B$2+Q7*Assumptions!$B$3+R7*Assumptions!$B$4+S7*Assumptions!$B$5+T7*Assumptions!$B$6,0)</f>
        <v>94</v>
      </c>
      <c r="V7" s="8" t="str">
        <f aca="false">IF(U7&gt;=Assumptions!$B$10,"Healthy",IF(U7&gt;=Assumptions!$B$11,"Needs Attention","High Risk"))</f>
        <v>Healthy</v>
      </c>
    </row>
    <row r="8" customFormat="false" ht="15" hidden="false" customHeight="false" outlineLevel="0" collapsed="false">
      <c r="A8" s="8" t="s">
        <v>141</v>
      </c>
      <c r="B8" s="8" t="s">
        <v>142</v>
      </c>
      <c r="C8" s="8" t="s">
        <v>55</v>
      </c>
      <c r="D8" s="8" t="s">
        <v>55</v>
      </c>
      <c r="E8" s="8" t="s">
        <v>117</v>
      </c>
      <c r="F8" s="8" t="s">
        <v>143</v>
      </c>
      <c r="G8" s="8" t="s">
        <v>144</v>
      </c>
      <c r="H8" s="15" t="n">
        <v>30195</v>
      </c>
      <c r="I8" s="15" t="n">
        <v>30195</v>
      </c>
      <c r="J8" s="16" t="n">
        <v>0.747</v>
      </c>
      <c r="K8" s="8" t="n">
        <v>9.3</v>
      </c>
      <c r="L8" s="8" t="n">
        <v>9</v>
      </c>
      <c r="M8" s="8" t="n">
        <v>2</v>
      </c>
      <c r="N8" s="8" t="s">
        <v>120</v>
      </c>
      <c r="O8" s="15" t="n">
        <f aca="false">H8*12</f>
        <v>362340</v>
      </c>
      <c r="P8" s="8" t="n">
        <f aca="false">MIN(100,ROUND(100*J8/Assumptions!$B$8,0))</f>
        <v>83</v>
      </c>
      <c r="Q8" s="8" t="n">
        <f aca="false">IF(L8="",Assumptions!$B$9,L8*10)</f>
        <v>90</v>
      </c>
      <c r="R8" s="8" t="n">
        <f aca="false">IF(M8&lt;=1,Assumptions!$B$12,IF(M8&lt;=3,Assumptions!$B$13,IF(M8&lt;=6,Assumptions!$B$14,Assumptions!$B$15)))</f>
        <v>75</v>
      </c>
      <c r="S8" s="8" t="n">
        <f aca="false">IF(N8="Completed On Time",Assumptions!$B$16,IF(N8="Completed Late",Assumptions!$B$17,Assumptions!$B$18))</f>
        <v>100</v>
      </c>
      <c r="T8" s="8" t="n">
        <f aca="false">IF(I8=0,Assumptions!$B$20,IF(H8&gt;I8,Assumptions!$B$19,IF(H8=I8,Assumptions!$B$20,Assumptions!$B$21)))</f>
        <v>70</v>
      </c>
      <c r="U8" s="8" t="n">
        <f aca="false">ROUND(P8*Assumptions!$B$2+Q8*Assumptions!$B$3+R8*Assumptions!$B$4+S8*Assumptions!$B$5+T8*Assumptions!$B$6,0)</f>
        <v>82</v>
      </c>
      <c r="V8" s="8" t="str">
        <f aca="false">IF(U8&gt;=Assumptions!$B$10,"Healthy",IF(U8&gt;=Assumptions!$B$11,"Needs Attention","High Risk"))</f>
        <v>Healthy</v>
      </c>
    </row>
    <row r="9" customFormat="false" ht="15" hidden="false" customHeight="false" outlineLevel="0" collapsed="false">
      <c r="A9" s="8" t="s">
        <v>145</v>
      </c>
      <c r="B9" s="8" t="s">
        <v>146</v>
      </c>
      <c r="C9" s="8" t="s">
        <v>55</v>
      </c>
      <c r="D9" s="8" t="s">
        <v>55</v>
      </c>
      <c r="E9" s="8" t="s">
        <v>117</v>
      </c>
      <c r="F9" s="8" t="s">
        <v>118</v>
      </c>
      <c r="G9" s="8" t="s">
        <v>147</v>
      </c>
      <c r="H9" s="15" t="n">
        <v>29925</v>
      </c>
      <c r="I9" s="15" t="n">
        <v>29925</v>
      </c>
      <c r="J9" s="16" t="n">
        <v>0.646</v>
      </c>
      <c r="K9" s="8" t="n">
        <v>7.7</v>
      </c>
      <c r="L9" s="8" t="n">
        <v>8</v>
      </c>
      <c r="M9" s="8" t="n">
        <v>9</v>
      </c>
      <c r="N9" s="8" t="s">
        <v>148</v>
      </c>
      <c r="O9" s="15" t="n">
        <f aca="false">H9*12</f>
        <v>359100</v>
      </c>
      <c r="P9" s="8" t="n">
        <f aca="false">MIN(100,ROUND(100*J9/Assumptions!$B$8,0))</f>
        <v>72</v>
      </c>
      <c r="Q9" s="8" t="n">
        <f aca="false">IF(L9="",Assumptions!$B$9,L9*10)</f>
        <v>80</v>
      </c>
      <c r="R9" s="8" t="n">
        <f aca="false">IF(M9&lt;=1,Assumptions!$B$12,IF(M9&lt;=3,Assumptions!$B$13,IF(M9&lt;=6,Assumptions!$B$14,Assumptions!$B$15)))</f>
        <v>20</v>
      </c>
      <c r="S9" s="8" t="n">
        <f aca="false">IF(N9="Completed On Time",Assumptions!$B$16,IF(N9="Completed Late",Assumptions!$B$17,Assumptions!$B$18))</f>
        <v>60</v>
      </c>
      <c r="T9" s="8" t="n">
        <f aca="false">IF(I9=0,Assumptions!$B$20,IF(H9&gt;I9,Assumptions!$B$19,IF(H9=I9,Assumptions!$B$20,Assumptions!$B$21)))</f>
        <v>70</v>
      </c>
      <c r="U9" s="8" t="n">
        <f aca="false">ROUND(P9*Assumptions!$B$2+Q9*Assumptions!$B$3+R9*Assumptions!$B$4+S9*Assumptions!$B$5+T9*Assumptions!$B$6,0)</f>
        <v>64</v>
      </c>
      <c r="V9" s="8" t="str">
        <f aca="false">IF(U9&gt;=Assumptions!$B$10,"Healthy",IF(U9&gt;=Assumptions!$B$11,"Needs Attention","High Risk"))</f>
        <v>High Risk</v>
      </c>
    </row>
    <row r="10" customFormat="false" ht="15" hidden="false" customHeight="false" outlineLevel="0" collapsed="false">
      <c r="A10" s="8" t="s">
        <v>149</v>
      </c>
      <c r="B10" s="8" t="s">
        <v>150</v>
      </c>
      <c r="C10" s="8" t="s">
        <v>55</v>
      </c>
      <c r="D10" s="8" t="s">
        <v>55</v>
      </c>
      <c r="E10" s="8" t="s">
        <v>123</v>
      </c>
      <c r="F10" s="8" t="s">
        <v>151</v>
      </c>
      <c r="G10" s="8" t="s">
        <v>119</v>
      </c>
      <c r="H10" s="15" t="n">
        <v>29925</v>
      </c>
      <c r="I10" s="15" t="n">
        <v>29925</v>
      </c>
      <c r="J10" s="16" t="n">
        <v>0.823</v>
      </c>
      <c r="K10" s="8" t="n">
        <v>10</v>
      </c>
      <c r="L10" s="8" t="n">
        <v>10</v>
      </c>
      <c r="M10" s="8" t="n">
        <v>4</v>
      </c>
      <c r="N10" s="8" t="s">
        <v>120</v>
      </c>
      <c r="O10" s="15" t="n">
        <f aca="false">H10*12</f>
        <v>359100</v>
      </c>
      <c r="P10" s="8" t="n">
        <f aca="false">MIN(100,ROUND(100*J10/Assumptions!$B$8,0))</f>
        <v>91</v>
      </c>
      <c r="Q10" s="8" t="n">
        <f aca="false">IF(L10="",Assumptions!$B$9,L10*10)</f>
        <v>100</v>
      </c>
      <c r="R10" s="8" t="n">
        <f aca="false">IF(M10&lt;=1,Assumptions!$B$12,IF(M10&lt;=3,Assumptions!$B$13,IF(M10&lt;=6,Assumptions!$B$14,Assumptions!$B$15)))</f>
        <v>50</v>
      </c>
      <c r="S10" s="8" t="n">
        <f aca="false">IF(N10="Completed On Time",Assumptions!$B$16,IF(N10="Completed Late",Assumptions!$B$17,Assumptions!$B$18))</f>
        <v>100</v>
      </c>
      <c r="T10" s="8" t="n">
        <f aca="false">IF(I10=0,Assumptions!$B$20,IF(H10&gt;I10,Assumptions!$B$19,IF(H10=I10,Assumptions!$B$20,Assumptions!$B$21)))</f>
        <v>70</v>
      </c>
      <c r="U10" s="8" t="n">
        <f aca="false">ROUND(P10*Assumptions!$B$2+Q10*Assumptions!$B$3+R10*Assumptions!$B$4+S10*Assumptions!$B$5+T10*Assumptions!$B$6,0)</f>
        <v>83</v>
      </c>
      <c r="V10" s="8" t="str">
        <f aca="false">IF(U10&gt;=Assumptions!$B$10,"Healthy",IF(U10&gt;=Assumptions!$B$11,"Needs Attention","High Risk"))</f>
        <v>Healthy</v>
      </c>
    </row>
    <row r="11" customFormat="false" ht="15" hidden="false" customHeight="false" outlineLevel="0" collapsed="false">
      <c r="A11" s="8" t="s">
        <v>152</v>
      </c>
      <c r="B11" s="8" t="s">
        <v>153</v>
      </c>
      <c r="C11" s="8" t="s">
        <v>55</v>
      </c>
      <c r="D11" s="8" t="s">
        <v>55</v>
      </c>
      <c r="E11" s="8" t="s">
        <v>132</v>
      </c>
      <c r="F11" s="8" t="s">
        <v>154</v>
      </c>
      <c r="G11" s="8" t="s">
        <v>140</v>
      </c>
      <c r="H11" s="15" t="n">
        <v>29745</v>
      </c>
      <c r="I11" s="15" t="n">
        <v>29745</v>
      </c>
      <c r="J11" s="16" t="n">
        <v>0.751</v>
      </c>
      <c r="K11" s="8" t="n">
        <v>8</v>
      </c>
      <c r="L11" s="8" t="n">
        <v>8</v>
      </c>
      <c r="M11" s="8" t="n">
        <v>6</v>
      </c>
      <c r="N11" s="8" t="s">
        <v>120</v>
      </c>
      <c r="O11" s="15" t="n">
        <f aca="false">H11*12</f>
        <v>356940</v>
      </c>
      <c r="P11" s="8" t="n">
        <f aca="false">MIN(100,ROUND(100*J11/Assumptions!$B$8,0))</f>
        <v>83</v>
      </c>
      <c r="Q11" s="8" t="n">
        <f aca="false">IF(L11="",Assumptions!$B$9,L11*10)</f>
        <v>80</v>
      </c>
      <c r="R11" s="8" t="n">
        <f aca="false">IF(M11&lt;=1,Assumptions!$B$12,IF(M11&lt;=3,Assumptions!$B$13,IF(M11&lt;=6,Assumptions!$B$14,Assumptions!$B$15)))</f>
        <v>50</v>
      </c>
      <c r="S11" s="8" t="n">
        <f aca="false">IF(N11="Completed On Time",Assumptions!$B$16,IF(N11="Completed Late",Assumptions!$B$17,Assumptions!$B$18))</f>
        <v>100</v>
      </c>
      <c r="T11" s="8" t="n">
        <f aca="false">IF(I11=0,Assumptions!$B$20,IF(H11&gt;I11,Assumptions!$B$19,IF(H11=I11,Assumptions!$B$20,Assumptions!$B$21)))</f>
        <v>70</v>
      </c>
      <c r="U11" s="8" t="n">
        <f aca="false">ROUND(P11*Assumptions!$B$2+Q11*Assumptions!$B$3+R11*Assumptions!$B$4+S11*Assumptions!$B$5+T11*Assumptions!$B$6,0)</f>
        <v>77</v>
      </c>
      <c r="V11" s="8" t="str">
        <f aca="false">IF(U11&gt;=Assumptions!$B$10,"Healthy",IF(U11&gt;=Assumptions!$B$11,"Needs Attention","High Risk"))</f>
        <v>Needs Attention</v>
      </c>
    </row>
    <row r="12" customFormat="false" ht="15" hidden="false" customHeight="false" outlineLevel="0" collapsed="false">
      <c r="A12" s="8" t="s">
        <v>155</v>
      </c>
      <c r="B12" s="8" t="s">
        <v>156</v>
      </c>
      <c r="C12" s="8" t="s">
        <v>55</v>
      </c>
      <c r="D12" s="8" t="s">
        <v>55</v>
      </c>
      <c r="E12" s="8" t="s">
        <v>128</v>
      </c>
      <c r="F12" s="8" t="s">
        <v>133</v>
      </c>
      <c r="G12" s="8" t="s">
        <v>147</v>
      </c>
      <c r="H12" s="15" t="n">
        <v>28125</v>
      </c>
      <c r="I12" s="15" t="n">
        <v>23175</v>
      </c>
      <c r="J12" s="16" t="n">
        <v>0.679</v>
      </c>
      <c r="K12" s="8" t="n">
        <v>7.3</v>
      </c>
      <c r="L12" s="8" t="n">
        <v>7</v>
      </c>
      <c r="M12" s="8" t="n">
        <v>8</v>
      </c>
      <c r="N12" s="8" t="s">
        <v>148</v>
      </c>
      <c r="O12" s="15" t="n">
        <f aca="false">H12*12</f>
        <v>337500</v>
      </c>
      <c r="P12" s="8" t="n">
        <f aca="false">MIN(100,ROUND(100*J12/Assumptions!$B$8,0))</f>
        <v>75</v>
      </c>
      <c r="Q12" s="8" t="n">
        <f aca="false">IF(L12="",Assumptions!$B$9,L12*10)</f>
        <v>70</v>
      </c>
      <c r="R12" s="8" t="n">
        <f aca="false">IF(M12&lt;=1,Assumptions!$B$12,IF(M12&lt;=3,Assumptions!$B$13,IF(M12&lt;=6,Assumptions!$B$14,Assumptions!$B$15)))</f>
        <v>20</v>
      </c>
      <c r="S12" s="8" t="n">
        <f aca="false">IF(N12="Completed On Time",Assumptions!$B$16,IF(N12="Completed Late",Assumptions!$B$17,Assumptions!$B$18))</f>
        <v>60</v>
      </c>
      <c r="T12" s="8" t="n">
        <f aca="false">IF(I12=0,Assumptions!$B$20,IF(H12&gt;I12,Assumptions!$B$19,IF(H12=I12,Assumptions!$B$20,Assumptions!$B$21)))</f>
        <v>100</v>
      </c>
      <c r="U12" s="8" t="n">
        <f aca="false">ROUND(P12*Assumptions!$B$2+Q12*Assumptions!$B$3+R12*Assumptions!$B$4+S12*Assumptions!$B$5+T12*Assumptions!$B$6,0)</f>
        <v>69</v>
      </c>
      <c r="V12" s="8" t="str">
        <f aca="false">IF(U12&gt;=Assumptions!$B$10,"Healthy",IF(U12&gt;=Assumptions!$B$11,"Needs Attention","High Risk"))</f>
        <v>Needs Attention</v>
      </c>
    </row>
    <row r="13" customFormat="false" ht="15" hidden="false" customHeight="false" outlineLevel="0" collapsed="false">
      <c r="A13" s="8" t="s">
        <v>157</v>
      </c>
      <c r="B13" s="8" t="s">
        <v>158</v>
      </c>
      <c r="C13" s="8" t="s">
        <v>55</v>
      </c>
      <c r="D13" s="8" t="s">
        <v>55</v>
      </c>
      <c r="E13" s="8" t="s">
        <v>123</v>
      </c>
      <c r="F13" s="8" t="s">
        <v>136</v>
      </c>
      <c r="G13" s="8" t="s">
        <v>159</v>
      </c>
      <c r="H13" s="15" t="n">
        <v>28035</v>
      </c>
      <c r="I13" s="15" t="n">
        <v>28035</v>
      </c>
      <c r="J13" s="16" t="n">
        <v>0.775</v>
      </c>
      <c r="K13" s="8" t="n">
        <v>10.3</v>
      </c>
      <c r="L13" s="8" t="n">
        <v>8</v>
      </c>
      <c r="M13" s="8" t="n">
        <v>2</v>
      </c>
      <c r="N13" s="8" t="s">
        <v>120</v>
      </c>
      <c r="O13" s="15" t="n">
        <f aca="false">H13*12</f>
        <v>336420</v>
      </c>
      <c r="P13" s="8" t="n">
        <f aca="false">MIN(100,ROUND(100*J13/Assumptions!$B$8,0))</f>
        <v>86</v>
      </c>
      <c r="Q13" s="8" t="n">
        <f aca="false">IF(L13="",Assumptions!$B$9,L13*10)</f>
        <v>80</v>
      </c>
      <c r="R13" s="8" t="n">
        <f aca="false">IF(M13&lt;=1,Assumptions!$B$12,IF(M13&lt;=3,Assumptions!$B$13,IF(M13&lt;=6,Assumptions!$B$14,Assumptions!$B$15)))</f>
        <v>75</v>
      </c>
      <c r="S13" s="8" t="n">
        <f aca="false">IF(N13="Completed On Time",Assumptions!$B$16,IF(N13="Completed Late",Assumptions!$B$17,Assumptions!$B$18))</f>
        <v>100</v>
      </c>
      <c r="T13" s="8" t="n">
        <f aca="false">IF(I13=0,Assumptions!$B$20,IF(H13&gt;I13,Assumptions!$B$19,IF(H13=I13,Assumptions!$B$20,Assumptions!$B$21)))</f>
        <v>70</v>
      </c>
      <c r="U13" s="8" t="n">
        <f aca="false">ROUND(P13*Assumptions!$B$2+Q13*Assumptions!$B$3+R13*Assumptions!$B$4+S13*Assumptions!$B$5+T13*Assumptions!$B$6,0)</f>
        <v>81</v>
      </c>
      <c r="V13" s="8" t="str">
        <f aca="false">IF(U13&gt;=Assumptions!$B$10,"Healthy",IF(U13&gt;=Assumptions!$B$11,"Needs Attention","High Risk"))</f>
        <v>Healthy</v>
      </c>
    </row>
    <row r="14" customFormat="false" ht="15" hidden="false" customHeight="false" outlineLevel="0" collapsed="false">
      <c r="A14" s="8" t="s">
        <v>160</v>
      </c>
      <c r="B14" s="8" t="s">
        <v>161</v>
      </c>
      <c r="C14" s="8" t="s">
        <v>55</v>
      </c>
      <c r="D14" s="8" t="s">
        <v>55</v>
      </c>
      <c r="E14" s="8" t="s">
        <v>132</v>
      </c>
      <c r="F14" s="8" t="s">
        <v>154</v>
      </c>
      <c r="G14" s="8" t="s">
        <v>137</v>
      </c>
      <c r="H14" s="15" t="n">
        <v>27090</v>
      </c>
      <c r="I14" s="15" t="n">
        <v>27090</v>
      </c>
      <c r="J14" s="16" t="n">
        <v>0.538</v>
      </c>
      <c r="K14" s="8" t="n">
        <v>7</v>
      </c>
      <c r="L14" s="8" t="n">
        <v>7</v>
      </c>
      <c r="M14" s="8" t="n">
        <v>5</v>
      </c>
      <c r="N14" s="8" t="s">
        <v>120</v>
      </c>
      <c r="O14" s="15" t="n">
        <f aca="false">H14*12</f>
        <v>325080</v>
      </c>
      <c r="P14" s="8" t="n">
        <f aca="false">MIN(100,ROUND(100*J14/Assumptions!$B$8,0))</f>
        <v>60</v>
      </c>
      <c r="Q14" s="8" t="n">
        <f aca="false">IF(L14="",Assumptions!$B$9,L14*10)</f>
        <v>70</v>
      </c>
      <c r="R14" s="8" t="n">
        <f aca="false">IF(M14&lt;=1,Assumptions!$B$12,IF(M14&lt;=3,Assumptions!$B$13,IF(M14&lt;=6,Assumptions!$B$14,Assumptions!$B$15)))</f>
        <v>50</v>
      </c>
      <c r="S14" s="8" t="n">
        <f aca="false">IF(N14="Completed On Time",Assumptions!$B$16,IF(N14="Completed Late",Assumptions!$B$17,Assumptions!$B$18))</f>
        <v>100</v>
      </c>
      <c r="T14" s="8" t="n">
        <f aca="false">IF(I14=0,Assumptions!$B$20,IF(H14&gt;I14,Assumptions!$B$19,IF(H14=I14,Assumptions!$B$20,Assumptions!$B$21)))</f>
        <v>70</v>
      </c>
      <c r="U14" s="8" t="n">
        <f aca="false">ROUND(P14*Assumptions!$B$2+Q14*Assumptions!$B$3+R14*Assumptions!$B$4+S14*Assumptions!$B$5+T14*Assumptions!$B$6,0)</f>
        <v>67</v>
      </c>
      <c r="V14" s="8" t="str">
        <f aca="false">IF(U14&gt;=Assumptions!$B$10,"Healthy",IF(U14&gt;=Assumptions!$B$11,"Needs Attention","High Risk"))</f>
        <v>Needs Attention</v>
      </c>
    </row>
    <row r="15" customFormat="false" ht="15" hidden="false" customHeight="false" outlineLevel="0" collapsed="false">
      <c r="A15" s="8" t="s">
        <v>162</v>
      </c>
      <c r="B15" s="8" t="s">
        <v>163</v>
      </c>
      <c r="C15" s="8" t="s">
        <v>55</v>
      </c>
      <c r="D15" s="8" t="s">
        <v>55</v>
      </c>
      <c r="E15" s="8" t="s">
        <v>132</v>
      </c>
      <c r="F15" s="8" t="s">
        <v>143</v>
      </c>
      <c r="G15" s="8" t="s">
        <v>119</v>
      </c>
      <c r="H15" s="15" t="n">
        <v>26775</v>
      </c>
      <c r="I15" s="15" t="n">
        <v>26775</v>
      </c>
      <c r="J15" s="16" t="n">
        <v>0.821</v>
      </c>
      <c r="K15" s="8" t="n">
        <v>10</v>
      </c>
      <c r="L15" s="8" t="n">
        <v>9</v>
      </c>
      <c r="M15" s="8" t="n">
        <v>1</v>
      </c>
      <c r="N15" s="8" t="s">
        <v>120</v>
      </c>
      <c r="O15" s="15" t="n">
        <f aca="false">H15*12</f>
        <v>321300</v>
      </c>
      <c r="P15" s="8" t="n">
        <f aca="false">MIN(100,ROUND(100*J15/Assumptions!$B$8,0))</f>
        <v>91</v>
      </c>
      <c r="Q15" s="8" t="n">
        <f aca="false">IF(L15="",Assumptions!$B$9,L15*10)</f>
        <v>90</v>
      </c>
      <c r="R15" s="8" t="n">
        <f aca="false">IF(M15&lt;=1,Assumptions!$B$12,IF(M15&lt;=3,Assumptions!$B$13,IF(M15&lt;=6,Assumptions!$B$14,Assumptions!$B$15)))</f>
        <v>100</v>
      </c>
      <c r="S15" s="8" t="n">
        <f aca="false">IF(N15="Completed On Time",Assumptions!$B$16,IF(N15="Completed Late",Assumptions!$B$17,Assumptions!$B$18))</f>
        <v>100</v>
      </c>
      <c r="T15" s="8" t="n">
        <f aca="false">IF(I15=0,Assumptions!$B$20,IF(H15&gt;I15,Assumptions!$B$19,IF(H15=I15,Assumptions!$B$20,Assumptions!$B$21)))</f>
        <v>70</v>
      </c>
      <c r="U15" s="8" t="n">
        <f aca="false">ROUND(P15*Assumptions!$B$2+Q15*Assumptions!$B$3+R15*Assumptions!$B$4+S15*Assumptions!$B$5+T15*Assumptions!$B$6,0)</f>
        <v>89</v>
      </c>
      <c r="V15" s="8" t="str">
        <f aca="false">IF(U15&gt;=Assumptions!$B$10,"Healthy",IF(U15&gt;=Assumptions!$B$11,"Needs Attention","High Risk"))</f>
        <v>Healthy</v>
      </c>
    </row>
    <row r="16" customFormat="false" ht="15" hidden="false" customHeight="false" outlineLevel="0" collapsed="false">
      <c r="A16" s="8" t="s">
        <v>164</v>
      </c>
      <c r="B16" s="8" t="s">
        <v>165</v>
      </c>
      <c r="C16" s="8" t="s">
        <v>55</v>
      </c>
      <c r="D16" s="8" t="s">
        <v>55</v>
      </c>
      <c r="E16" s="8" t="s">
        <v>123</v>
      </c>
      <c r="F16" s="8" t="s">
        <v>166</v>
      </c>
      <c r="G16" s="8" t="s">
        <v>147</v>
      </c>
      <c r="H16" s="15" t="n">
        <v>26730</v>
      </c>
      <c r="I16" s="15" t="n">
        <v>26730</v>
      </c>
      <c r="J16" s="16" t="n">
        <v>0.754</v>
      </c>
      <c r="K16" s="8" t="n">
        <v>9.7</v>
      </c>
      <c r="L16" s="8" t="n">
        <v>9</v>
      </c>
      <c r="M16" s="8" t="n">
        <v>6</v>
      </c>
      <c r="N16" s="8" t="s">
        <v>148</v>
      </c>
      <c r="O16" s="15" t="n">
        <f aca="false">H16*12</f>
        <v>320760</v>
      </c>
      <c r="P16" s="8" t="n">
        <f aca="false">MIN(100,ROUND(100*J16/Assumptions!$B$8,0))</f>
        <v>84</v>
      </c>
      <c r="Q16" s="8" t="n">
        <f aca="false">IF(L16="",Assumptions!$B$9,L16*10)</f>
        <v>90</v>
      </c>
      <c r="R16" s="8" t="n">
        <f aca="false">IF(M16&lt;=1,Assumptions!$B$12,IF(M16&lt;=3,Assumptions!$B$13,IF(M16&lt;=6,Assumptions!$B$14,Assumptions!$B$15)))</f>
        <v>50</v>
      </c>
      <c r="S16" s="8" t="n">
        <f aca="false">IF(N16="Completed On Time",Assumptions!$B$16,IF(N16="Completed Late",Assumptions!$B$17,Assumptions!$B$18))</f>
        <v>60</v>
      </c>
      <c r="T16" s="8" t="n">
        <f aca="false">IF(I16=0,Assumptions!$B$20,IF(H16&gt;I16,Assumptions!$B$19,IF(H16=I16,Assumptions!$B$20,Assumptions!$B$21)))</f>
        <v>70</v>
      </c>
      <c r="U16" s="8" t="n">
        <f aca="false">ROUND(P16*Assumptions!$B$2+Q16*Assumptions!$B$3+R16*Assumptions!$B$4+S16*Assumptions!$B$5+T16*Assumptions!$B$6,0)</f>
        <v>75</v>
      </c>
      <c r="V16" s="8" t="str">
        <f aca="false">IF(U16&gt;=Assumptions!$B$10,"Healthy",IF(U16&gt;=Assumptions!$B$11,"Needs Attention","High Risk"))</f>
        <v>Needs Attention</v>
      </c>
    </row>
    <row r="17" customFormat="false" ht="15" hidden="false" customHeight="false" outlineLevel="0" collapsed="false">
      <c r="A17" s="8" t="s">
        <v>167</v>
      </c>
      <c r="B17" s="8" t="s">
        <v>168</v>
      </c>
      <c r="C17" s="8" t="s">
        <v>55</v>
      </c>
      <c r="D17" s="8" t="s">
        <v>55</v>
      </c>
      <c r="E17" s="8" t="s">
        <v>128</v>
      </c>
      <c r="F17" s="8" t="s">
        <v>124</v>
      </c>
      <c r="G17" s="8" t="s">
        <v>144</v>
      </c>
      <c r="H17" s="15" t="n">
        <v>26685</v>
      </c>
      <c r="I17" s="15" t="n">
        <v>26685</v>
      </c>
      <c r="J17" s="16" t="n">
        <v>0.798</v>
      </c>
      <c r="K17" s="8" t="n">
        <v>9.3</v>
      </c>
      <c r="L17" s="8" t="n">
        <v>7</v>
      </c>
      <c r="M17" s="8" t="n">
        <v>6</v>
      </c>
      <c r="N17" s="8" t="s">
        <v>120</v>
      </c>
      <c r="O17" s="15" t="n">
        <f aca="false">H17*12</f>
        <v>320220</v>
      </c>
      <c r="P17" s="8" t="n">
        <f aca="false">MIN(100,ROUND(100*J17/Assumptions!$B$8,0))</f>
        <v>89</v>
      </c>
      <c r="Q17" s="8" t="n">
        <f aca="false">IF(L17="",Assumptions!$B$9,L17*10)</f>
        <v>70</v>
      </c>
      <c r="R17" s="8" t="n">
        <f aca="false">IF(M17&lt;=1,Assumptions!$B$12,IF(M17&lt;=3,Assumptions!$B$13,IF(M17&lt;=6,Assumptions!$B$14,Assumptions!$B$15)))</f>
        <v>50</v>
      </c>
      <c r="S17" s="8" t="n">
        <f aca="false">IF(N17="Completed On Time",Assumptions!$B$16,IF(N17="Completed Late",Assumptions!$B$17,Assumptions!$B$18))</f>
        <v>100</v>
      </c>
      <c r="T17" s="8" t="n">
        <f aca="false">IF(I17=0,Assumptions!$B$20,IF(H17&gt;I17,Assumptions!$B$19,IF(H17=I17,Assumptions!$B$20,Assumptions!$B$21)))</f>
        <v>70</v>
      </c>
      <c r="U17" s="8" t="n">
        <f aca="false">ROUND(P17*Assumptions!$B$2+Q17*Assumptions!$B$3+R17*Assumptions!$B$4+S17*Assumptions!$B$5+T17*Assumptions!$B$6,0)</f>
        <v>77</v>
      </c>
      <c r="V17" s="8" t="str">
        <f aca="false">IF(U17&gt;=Assumptions!$B$10,"Healthy",IF(U17&gt;=Assumptions!$B$11,"Needs Attention","High Risk"))</f>
        <v>Needs Attention</v>
      </c>
    </row>
    <row r="18" customFormat="false" ht="15" hidden="false" customHeight="false" outlineLevel="0" collapsed="false">
      <c r="A18" s="8" t="s">
        <v>169</v>
      </c>
      <c r="B18" s="8" t="s">
        <v>170</v>
      </c>
      <c r="C18" s="8" t="s">
        <v>55</v>
      </c>
      <c r="D18" s="8" t="s">
        <v>55</v>
      </c>
      <c r="E18" s="8" t="s">
        <v>117</v>
      </c>
      <c r="F18" s="8" t="s">
        <v>166</v>
      </c>
      <c r="G18" s="8" t="s">
        <v>137</v>
      </c>
      <c r="H18" s="15" t="n">
        <v>26640</v>
      </c>
      <c r="I18" s="15" t="n">
        <v>26640</v>
      </c>
      <c r="J18" s="16" t="n">
        <v>0.621</v>
      </c>
      <c r="K18" s="8" t="n">
        <v>7.3</v>
      </c>
      <c r="L18" s="8" t="n">
        <v>7</v>
      </c>
      <c r="M18" s="8" t="n">
        <v>4</v>
      </c>
      <c r="N18" s="8" t="s">
        <v>148</v>
      </c>
      <c r="O18" s="15" t="n">
        <f aca="false">H18*12</f>
        <v>319680</v>
      </c>
      <c r="P18" s="8" t="n">
        <f aca="false">MIN(100,ROUND(100*J18/Assumptions!$B$8,0))</f>
        <v>69</v>
      </c>
      <c r="Q18" s="8" t="n">
        <f aca="false">IF(L18="",Assumptions!$B$9,L18*10)</f>
        <v>70</v>
      </c>
      <c r="R18" s="8" t="n">
        <f aca="false">IF(M18&lt;=1,Assumptions!$B$12,IF(M18&lt;=3,Assumptions!$B$13,IF(M18&lt;=6,Assumptions!$B$14,Assumptions!$B$15)))</f>
        <v>50</v>
      </c>
      <c r="S18" s="8" t="n">
        <f aca="false">IF(N18="Completed On Time",Assumptions!$B$16,IF(N18="Completed Late",Assumptions!$B$17,Assumptions!$B$18))</f>
        <v>60</v>
      </c>
      <c r="T18" s="8" t="n">
        <f aca="false">IF(I18=0,Assumptions!$B$20,IF(H18&gt;I18,Assumptions!$B$19,IF(H18=I18,Assumptions!$B$20,Assumptions!$B$21)))</f>
        <v>70</v>
      </c>
      <c r="U18" s="8" t="n">
        <f aca="false">ROUND(P18*Assumptions!$B$2+Q18*Assumptions!$B$3+R18*Assumptions!$B$4+S18*Assumptions!$B$5+T18*Assumptions!$B$6,0)</f>
        <v>66</v>
      </c>
      <c r="V18" s="8" t="str">
        <f aca="false">IF(U18&gt;=Assumptions!$B$10,"Healthy",IF(U18&gt;=Assumptions!$B$11,"Needs Attention","High Risk"))</f>
        <v>Needs Attention</v>
      </c>
    </row>
    <row r="19" customFormat="false" ht="15" hidden="false" customHeight="false" outlineLevel="0" collapsed="false">
      <c r="A19" s="8" t="s">
        <v>171</v>
      </c>
      <c r="B19" s="8" t="s">
        <v>172</v>
      </c>
      <c r="C19" s="8" t="s">
        <v>55</v>
      </c>
      <c r="D19" s="8" t="s">
        <v>55</v>
      </c>
      <c r="E19" s="8" t="s">
        <v>128</v>
      </c>
      <c r="F19" s="8" t="s">
        <v>166</v>
      </c>
      <c r="G19" s="8" t="s">
        <v>140</v>
      </c>
      <c r="H19" s="15" t="n">
        <v>26595</v>
      </c>
      <c r="I19" s="15" t="n">
        <v>26595</v>
      </c>
      <c r="J19" s="16" t="n">
        <v>0.747</v>
      </c>
      <c r="K19" s="8" t="n">
        <v>9.7</v>
      </c>
      <c r="L19" s="8" t="n">
        <v>8</v>
      </c>
      <c r="M19" s="8" t="n">
        <v>7</v>
      </c>
      <c r="N19" s="8" t="s">
        <v>120</v>
      </c>
      <c r="O19" s="15" t="n">
        <f aca="false">H19*12</f>
        <v>319140</v>
      </c>
      <c r="P19" s="8" t="n">
        <f aca="false">MIN(100,ROUND(100*J19/Assumptions!$B$8,0))</f>
        <v>83</v>
      </c>
      <c r="Q19" s="8" t="n">
        <f aca="false">IF(L19="",Assumptions!$B$9,L19*10)</f>
        <v>80</v>
      </c>
      <c r="R19" s="8" t="n">
        <f aca="false">IF(M19&lt;=1,Assumptions!$B$12,IF(M19&lt;=3,Assumptions!$B$13,IF(M19&lt;=6,Assumptions!$B$14,Assumptions!$B$15)))</f>
        <v>20</v>
      </c>
      <c r="S19" s="8" t="n">
        <f aca="false">IF(N19="Completed On Time",Assumptions!$B$16,IF(N19="Completed Late",Assumptions!$B$17,Assumptions!$B$18))</f>
        <v>100</v>
      </c>
      <c r="T19" s="8" t="n">
        <f aca="false">IF(I19=0,Assumptions!$B$20,IF(H19&gt;I19,Assumptions!$B$19,IF(H19=I19,Assumptions!$B$20,Assumptions!$B$21)))</f>
        <v>70</v>
      </c>
      <c r="U19" s="8" t="n">
        <f aca="false">ROUND(P19*Assumptions!$B$2+Q19*Assumptions!$B$3+R19*Assumptions!$B$4+S19*Assumptions!$B$5+T19*Assumptions!$B$6,0)</f>
        <v>72</v>
      </c>
      <c r="V19" s="8" t="str">
        <f aca="false">IF(U19&gt;=Assumptions!$B$10,"Healthy",IF(U19&gt;=Assumptions!$B$11,"Needs Attention","High Risk"))</f>
        <v>Needs Attention</v>
      </c>
    </row>
    <row r="20" customFormat="false" ht="15" hidden="false" customHeight="false" outlineLevel="0" collapsed="false">
      <c r="A20" s="8" t="s">
        <v>173</v>
      </c>
      <c r="B20" s="8" t="s">
        <v>174</v>
      </c>
      <c r="C20" s="8" t="s">
        <v>55</v>
      </c>
      <c r="D20" s="8" t="s">
        <v>55</v>
      </c>
      <c r="E20" s="8" t="s">
        <v>123</v>
      </c>
      <c r="F20" s="8" t="s">
        <v>154</v>
      </c>
      <c r="G20" s="8" t="s">
        <v>119</v>
      </c>
      <c r="H20" s="15" t="n">
        <v>26550</v>
      </c>
      <c r="I20" s="15" t="n">
        <v>26550</v>
      </c>
      <c r="J20" s="16" t="n">
        <v>0.77</v>
      </c>
      <c r="K20" s="8" t="n">
        <v>10</v>
      </c>
      <c r="L20" s="8" t="n">
        <v>9</v>
      </c>
      <c r="M20" s="8" t="n">
        <v>4</v>
      </c>
      <c r="N20" s="8" t="s">
        <v>120</v>
      </c>
      <c r="O20" s="15" t="n">
        <f aca="false">H20*12</f>
        <v>318600</v>
      </c>
      <c r="P20" s="8" t="n">
        <f aca="false">MIN(100,ROUND(100*J20/Assumptions!$B$8,0))</f>
        <v>86</v>
      </c>
      <c r="Q20" s="8" t="n">
        <f aca="false">IF(L20="",Assumptions!$B$9,L20*10)</f>
        <v>90</v>
      </c>
      <c r="R20" s="8" t="n">
        <f aca="false">IF(M20&lt;=1,Assumptions!$B$12,IF(M20&lt;=3,Assumptions!$B$13,IF(M20&lt;=6,Assumptions!$B$14,Assumptions!$B$15)))</f>
        <v>50</v>
      </c>
      <c r="S20" s="8" t="n">
        <f aca="false">IF(N20="Completed On Time",Assumptions!$B$16,IF(N20="Completed Late",Assumptions!$B$17,Assumptions!$B$18))</f>
        <v>100</v>
      </c>
      <c r="T20" s="8" t="n">
        <f aca="false">IF(I20=0,Assumptions!$B$20,IF(H20&gt;I20,Assumptions!$B$19,IF(H20=I20,Assumptions!$B$20,Assumptions!$B$21)))</f>
        <v>70</v>
      </c>
      <c r="U20" s="8" t="n">
        <f aca="false">ROUND(P20*Assumptions!$B$2+Q20*Assumptions!$B$3+R20*Assumptions!$B$4+S20*Assumptions!$B$5+T20*Assumptions!$B$6,0)</f>
        <v>80</v>
      </c>
      <c r="V20" s="8" t="str">
        <f aca="false">IF(U20&gt;=Assumptions!$B$10,"Healthy",IF(U20&gt;=Assumptions!$B$11,"Needs Attention","High Risk"))</f>
        <v>Healthy</v>
      </c>
    </row>
    <row r="21" customFormat="false" ht="15" hidden="false" customHeight="false" outlineLevel="0" collapsed="false">
      <c r="A21" s="8" t="s">
        <v>175</v>
      </c>
      <c r="B21" s="8" t="s">
        <v>176</v>
      </c>
      <c r="C21" s="8" t="s">
        <v>55</v>
      </c>
      <c r="D21" s="8" t="s">
        <v>55</v>
      </c>
      <c r="E21" s="8" t="s">
        <v>123</v>
      </c>
      <c r="F21" s="8" t="s">
        <v>118</v>
      </c>
      <c r="G21" s="8" t="s">
        <v>177</v>
      </c>
      <c r="H21" s="15" t="n">
        <v>26325</v>
      </c>
      <c r="I21" s="15" t="n">
        <v>26325</v>
      </c>
      <c r="J21" s="16" t="n">
        <v>0.619</v>
      </c>
      <c r="K21" s="8" t="n">
        <v>7.3</v>
      </c>
      <c r="L21" s="8" t="n">
        <v>7</v>
      </c>
      <c r="M21" s="8" t="n">
        <v>6</v>
      </c>
      <c r="N21" s="8" t="s">
        <v>148</v>
      </c>
      <c r="O21" s="15" t="n">
        <f aca="false">H21*12</f>
        <v>315900</v>
      </c>
      <c r="P21" s="8" t="n">
        <f aca="false">MIN(100,ROUND(100*J21/Assumptions!$B$8,0))</f>
        <v>69</v>
      </c>
      <c r="Q21" s="8" t="n">
        <f aca="false">IF(L21="",Assumptions!$B$9,L21*10)</f>
        <v>70</v>
      </c>
      <c r="R21" s="8" t="n">
        <f aca="false">IF(M21&lt;=1,Assumptions!$B$12,IF(M21&lt;=3,Assumptions!$B$13,IF(M21&lt;=6,Assumptions!$B$14,Assumptions!$B$15)))</f>
        <v>50</v>
      </c>
      <c r="S21" s="8" t="n">
        <f aca="false">IF(N21="Completed On Time",Assumptions!$B$16,IF(N21="Completed Late",Assumptions!$B$17,Assumptions!$B$18))</f>
        <v>60</v>
      </c>
      <c r="T21" s="8" t="n">
        <f aca="false">IF(I21=0,Assumptions!$B$20,IF(H21&gt;I21,Assumptions!$B$19,IF(H21=I21,Assumptions!$B$20,Assumptions!$B$21)))</f>
        <v>70</v>
      </c>
      <c r="U21" s="8" t="n">
        <f aca="false">ROUND(P21*Assumptions!$B$2+Q21*Assumptions!$B$3+R21*Assumptions!$B$4+S21*Assumptions!$B$5+T21*Assumptions!$B$6,0)</f>
        <v>66</v>
      </c>
      <c r="V21" s="8" t="str">
        <f aca="false">IF(U21&gt;=Assumptions!$B$10,"Healthy",IF(U21&gt;=Assumptions!$B$11,"Needs Attention","High Risk"))</f>
        <v>Needs Attention</v>
      </c>
    </row>
    <row r="22" customFormat="false" ht="15" hidden="false" customHeight="false" outlineLevel="0" collapsed="false">
      <c r="A22" s="8" t="s">
        <v>178</v>
      </c>
      <c r="B22" s="8" t="s">
        <v>179</v>
      </c>
      <c r="C22" s="8" t="s">
        <v>55</v>
      </c>
      <c r="D22" s="8" t="s">
        <v>55</v>
      </c>
      <c r="E22" s="8" t="s">
        <v>117</v>
      </c>
      <c r="F22" s="8" t="s">
        <v>166</v>
      </c>
      <c r="G22" s="8" t="s">
        <v>180</v>
      </c>
      <c r="H22" s="15" t="n">
        <v>26055</v>
      </c>
      <c r="I22" s="15" t="n">
        <v>26055</v>
      </c>
      <c r="J22" s="16" t="n">
        <v>0.764</v>
      </c>
      <c r="K22" s="8" t="n">
        <v>9</v>
      </c>
      <c r="L22" s="8" t="n">
        <v>9</v>
      </c>
      <c r="M22" s="8" t="n">
        <v>8</v>
      </c>
      <c r="N22" s="8" t="s">
        <v>120</v>
      </c>
      <c r="O22" s="15" t="n">
        <f aca="false">H22*12</f>
        <v>312660</v>
      </c>
      <c r="P22" s="8" t="n">
        <f aca="false">MIN(100,ROUND(100*J22/Assumptions!$B$8,0))</f>
        <v>85</v>
      </c>
      <c r="Q22" s="8" t="n">
        <f aca="false">IF(L22="",Assumptions!$B$9,L22*10)</f>
        <v>90</v>
      </c>
      <c r="R22" s="8" t="n">
        <f aca="false">IF(M22&lt;=1,Assumptions!$B$12,IF(M22&lt;=3,Assumptions!$B$13,IF(M22&lt;=6,Assumptions!$B$14,Assumptions!$B$15)))</f>
        <v>20</v>
      </c>
      <c r="S22" s="8" t="n">
        <f aca="false">IF(N22="Completed On Time",Assumptions!$B$16,IF(N22="Completed Late",Assumptions!$B$17,Assumptions!$B$18))</f>
        <v>100</v>
      </c>
      <c r="T22" s="8" t="n">
        <f aca="false">IF(I22=0,Assumptions!$B$20,IF(H22&gt;I22,Assumptions!$B$19,IF(H22=I22,Assumptions!$B$20,Assumptions!$B$21)))</f>
        <v>70</v>
      </c>
      <c r="U22" s="8" t="n">
        <f aca="false">ROUND(P22*Assumptions!$B$2+Q22*Assumptions!$B$3+R22*Assumptions!$B$4+S22*Assumptions!$B$5+T22*Assumptions!$B$6,0)</f>
        <v>75</v>
      </c>
      <c r="V22" s="8" t="str">
        <f aca="false">IF(U22&gt;=Assumptions!$B$10,"Healthy",IF(U22&gt;=Assumptions!$B$11,"Needs Attention","High Risk"))</f>
        <v>Needs Attention</v>
      </c>
    </row>
    <row r="23" customFormat="false" ht="15" hidden="false" customHeight="false" outlineLevel="0" collapsed="false">
      <c r="A23" s="8" t="s">
        <v>181</v>
      </c>
      <c r="B23" s="8" t="s">
        <v>182</v>
      </c>
      <c r="C23" s="8" t="s">
        <v>55</v>
      </c>
      <c r="D23" s="8" t="s">
        <v>55</v>
      </c>
      <c r="E23" s="8" t="s">
        <v>117</v>
      </c>
      <c r="F23" s="8" t="s">
        <v>154</v>
      </c>
      <c r="G23" s="8" t="s">
        <v>180</v>
      </c>
      <c r="H23" s="15" t="n">
        <v>26010</v>
      </c>
      <c r="I23" s="15" t="n">
        <v>26010</v>
      </c>
      <c r="J23" s="16" t="n">
        <v>0.651</v>
      </c>
      <c r="K23" s="8" t="n">
        <v>7.3</v>
      </c>
      <c r="L23" s="8" t="n">
        <v>7</v>
      </c>
      <c r="M23" s="8" t="n">
        <v>5</v>
      </c>
      <c r="N23" s="8" t="s">
        <v>120</v>
      </c>
      <c r="O23" s="15" t="n">
        <f aca="false">H23*12</f>
        <v>312120</v>
      </c>
      <c r="P23" s="8" t="n">
        <f aca="false">MIN(100,ROUND(100*J23/Assumptions!$B$8,0))</f>
        <v>72</v>
      </c>
      <c r="Q23" s="8" t="n">
        <f aca="false">IF(L23="",Assumptions!$B$9,L23*10)</f>
        <v>70</v>
      </c>
      <c r="R23" s="8" t="n">
        <f aca="false">IF(M23&lt;=1,Assumptions!$B$12,IF(M23&lt;=3,Assumptions!$B$13,IF(M23&lt;=6,Assumptions!$B$14,Assumptions!$B$15)))</f>
        <v>50</v>
      </c>
      <c r="S23" s="8" t="n">
        <f aca="false">IF(N23="Completed On Time",Assumptions!$B$16,IF(N23="Completed Late",Assumptions!$B$17,Assumptions!$B$18))</f>
        <v>100</v>
      </c>
      <c r="T23" s="8" t="n">
        <f aca="false">IF(I23=0,Assumptions!$B$20,IF(H23&gt;I23,Assumptions!$B$19,IF(H23=I23,Assumptions!$B$20,Assumptions!$B$21)))</f>
        <v>70</v>
      </c>
      <c r="U23" s="8" t="n">
        <f aca="false">ROUND(P23*Assumptions!$B$2+Q23*Assumptions!$B$3+R23*Assumptions!$B$4+S23*Assumptions!$B$5+T23*Assumptions!$B$6,0)</f>
        <v>71</v>
      </c>
      <c r="V23" s="8" t="str">
        <f aca="false">IF(U23&gt;=Assumptions!$B$10,"Healthy",IF(U23&gt;=Assumptions!$B$11,"Needs Attention","High Risk"))</f>
        <v>Needs Attention</v>
      </c>
    </row>
    <row r="24" customFormat="false" ht="15" hidden="false" customHeight="false" outlineLevel="0" collapsed="false">
      <c r="A24" s="8" t="s">
        <v>183</v>
      </c>
      <c r="B24" s="8" t="s">
        <v>184</v>
      </c>
      <c r="C24" s="8" t="s">
        <v>55</v>
      </c>
      <c r="D24" s="8" t="s">
        <v>55</v>
      </c>
      <c r="E24" s="8" t="s">
        <v>123</v>
      </c>
      <c r="F24" s="8" t="s">
        <v>151</v>
      </c>
      <c r="G24" s="8" t="s">
        <v>185</v>
      </c>
      <c r="H24" s="15" t="n">
        <v>26010</v>
      </c>
      <c r="I24" s="15" t="n">
        <v>26010</v>
      </c>
      <c r="J24" s="16" t="n">
        <v>0.772</v>
      </c>
      <c r="K24" s="8" t="n">
        <v>9.3</v>
      </c>
      <c r="L24" s="8" t="n">
        <v>9</v>
      </c>
      <c r="M24" s="8" t="n">
        <v>3</v>
      </c>
      <c r="N24" s="8" t="s">
        <v>120</v>
      </c>
      <c r="O24" s="15" t="n">
        <f aca="false">H24*12</f>
        <v>312120</v>
      </c>
      <c r="P24" s="8" t="n">
        <f aca="false">MIN(100,ROUND(100*J24/Assumptions!$B$8,0))</f>
        <v>86</v>
      </c>
      <c r="Q24" s="8" t="n">
        <f aca="false">IF(L24="",Assumptions!$B$9,L24*10)</f>
        <v>90</v>
      </c>
      <c r="R24" s="8" t="n">
        <f aca="false">IF(M24&lt;=1,Assumptions!$B$12,IF(M24&lt;=3,Assumptions!$B$13,IF(M24&lt;=6,Assumptions!$B$14,Assumptions!$B$15)))</f>
        <v>75</v>
      </c>
      <c r="S24" s="8" t="n">
        <f aca="false">IF(N24="Completed On Time",Assumptions!$B$16,IF(N24="Completed Late",Assumptions!$B$17,Assumptions!$B$18))</f>
        <v>100</v>
      </c>
      <c r="T24" s="8" t="n">
        <f aca="false">IF(I24=0,Assumptions!$B$20,IF(H24&gt;I24,Assumptions!$B$19,IF(H24=I24,Assumptions!$B$20,Assumptions!$B$21)))</f>
        <v>70</v>
      </c>
      <c r="U24" s="8" t="n">
        <f aca="false">ROUND(P24*Assumptions!$B$2+Q24*Assumptions!$B$3+R24*Assumptions!$B$4+S24*Assumptions!$B$5+T24*Assumptions!$B$6,0)</f>
        <v>83</v>
      </c>
      <c r="V24" s="8" t="str">
        <f aca="false">IF(U24&gt;=Assumptions!$B$10,"Healthy",IF(U24&gt;=Assumptions!$B$11,"Needs Attention","High Risk"))</f>
        <v>Healthy</v>
      </c>
    </row>
    <row r="25" customFormat="false" ht="15" hidden="false" customHeight="false" outlineLevel="0" collapsed="false">
      <c r="A25" s="8" t="s">
        <v>186</v>
      </c>
      <c r="B25" s="8" t="s">
        <v>187</v>
      </c>
      <c r="C25" s="8" t="s">
        <v>55</v>
      </c>
      <c r="D25" s="8" t="s">
        <v>55</v>
      </c>
      <c r="E25" s="8" t="s">
        <v>123</v>
      </c>
      <c r="F25" s="8" t="s">
        <v>154</v>
      </c>
      <c r="G25" s="8" t="s">
        <v>144</v>
      </c>
      <c r="H25" s="15" t="n">
        <v>26010</v>
      </c>
      <c r="I25" s="15" t="n">
        <v>26010</v>
      </c>
      <c r="J25" s="16" t="n">
        <v>0.66</v>
      </c>
      <c r="K25" s="8" t="n">
        <v>8</v>
      </c>
      <c r="L25" s="8" t="n">
        <v>10</v>
      </c>
      <c r="M25" s="8" t="n">
        <v>8</v>
      </c>
      <c r="N25" s="8" t="s">
        <v>120</v>
      </c>
      <c r="O25" s="15" t="n">
        <f aca="false">H25*12</f>
        <v>312120</v>
      </c>
      <c r="P25" s="8" t="n">
        <f aca="false">MIN(100,ROUND(100*J25/Assumptions!$B$8,0))</f>
        <v>73</v>
      </c>
      <c r="Q25" s="8" t="n">
        <f aca="false">IF(L25="",Assumptions!$B$9,L25*10)</f>
        <v>100</v>
      </c>
      <c r="R25" s="8" t="n">
        <f aca="false">IF(M25&lt;=1,Assumptions!$B$12,IF(M25&lt;=3,Assumptions!$B$13,IF(M25&lt;=6,Assumptions!$B$14,Assumptions!$B$15)))</f>
        <v>20</v>
      </c>
      <c r="S25" s="8" t="n">
        <f aca="false">IF(N25="Completed On Time",Assumptions!$B$16,IF(N25="Completed Late",Assumptions!$B$17,Assumptions!$B$18))</f>
        <v>100</v>
      </c>
      <c r="T25" s="8" t="n">
        <f aca="false">IF(I25=0,Assumptions!$B$20,IF(H25&gt;I25,Assumptions!$B$19,IF(H25=I25,Assumptions!$B$20,Assumptions!$B$21)))</f>
        <v>70</v>
      </c>
      <c r="U25" s="8" t="n">
        <f aca="false">ROUND(P25*Assumptions!$B$2+Q25*Assumptions!$B$3+R25*Assumptions!$B$4+S25*Assumptions!$B$5+T25*Assumptions!$B$6,0)</f>
        <v>73</v>
      </c>
      <c r="V25" s="8" t="str">
        <f aca="false">IF(U25&gt;=Assumptions!$B$10,"Healthy",IF(U25&gt;=Assumptions!$B$11,"Needs Attention","High Risk"))</f>
        <v>Needs Attention</v>
      </c>
    </row>
    <row r="26" customFormat="false" ht="15" hidden="false" customHeight="false" outlineLevel="0" collapsed="false">
      <c r="A26" s="8" t="s">
        <v>188</v>
      </c>
      <c r="B26" s="8" t="s">
        <v>189</v>
      </c>
      <c r="C26" s="8" t="s">
        <v>55</v>
      </c>
      <c r="D26" s="8" t="s">
        <v>55</v>
      </c>
      <c r="E26" s="8" t="s">
        <v>123</v>
      </c>
      <c r="F26" s="8" t="s">
        <v>190</v>
      </c>
      <c r="G26" s="8" t="s">
        <v>144</v>
      </c>
      <c r="H26" s="15" t="n">
        <v>25965</v>
      </c>
      <c r="I26" s="15" t="n">
        <v>25965</v>
      </c>
      <c r="J26" s="16" t="n">
        <v>0.775</v>
      </c>
      <c r="K26" s="8" t="n">
        <v>10.7</v>
      </c>
      <c r="L26" s="8" t="n">
        <v>9</v>
      </c>
      <c r="M26" s="8" t="n">
        <v>4</v>
      </c>
      <c r="N26" s="8" t="s">
        <v>148</v>
      </c>
      <c r="O26" s="15" t="n">
        <f aca="false">H26*12</f>
        <v>311580</v>
      </c>
      <c r="P26" s="8" t="n">
        <f aca="false">MIN(100,ROUND(100*J26/Assumptions!$B$8,0))</f>
        <v>86</v>
      </c>
      <c r="Q26" s="8" t="n">
        <f aca="false">IF(L26="",Assumptions!$B$9,L26*10)</f>
        <v>90</v>
      </c>
      <c r="R26" s="8" t="n">
        <f aca="false">IF(M26&lt;=1,Assumptions!$B$12,IF(M26&lt;=3,Assumptions!$B$13,IF(M26&lt;=6,Assumptions!$B$14,Assumptions!$B$15)))</f>
        <v>50</v>
      </c>
      <c r="S26" s="8" t="n">
        <f aca="false">IF(N26="Completed On Time",Assumptions!$B$16,IF(N26="Completed Late",Assumptions!$B$17,Assumptions!$B$18))</f>
        <v>60</v>
      </c>
      <c r="T26" s="8" t="n">
        <f aca="false">IF(I26=0,Assumptions!$B$20,IF(H26&gt;I26,Assumptions!$B$19,IF(H26=I26,Assumptions!$B$20,Assumptions!$B$21)))</f>
        <v>70</v>
      </c>
      <c r="U26" s="8" t="n">
        <f aca="false">ROUND(P26*Assumptions!$B$2+Q26*Assumptions!$B$3+R26*Assumptions!$B$4+S26*Assumptions!$B$5+T26*Assumptions!$B$6,0)</f>
        <v>76</v>
      </c>
      <c r="V26" s="8" t="str">
        <f aca="false">IF(U26&gt;=Assumptions!$B$10,"Healthy",IF(U26&gt;=Assumptions!$B$11,"Needs Attention","High Risk"))</f>
        <v>Needs Attention</v>
      </c>
    </row>
    <row r="27" customFormat="false" ht="15" hidden="false" customHeight="false" outlineLevel="0" collapsed="false">
      <c r="A27" s="8" t="s">
        <v>191</v>
      </c>
      <c r="B27" s="8" t="s">
        <v>192</v>
      </c>
      <c r="C27" s="8" t="s">
        <v>55</v>
      </c>
      <c r="D27" s="8" t="s">
        <v>55</v>
      </c>
      <c r="E27" s="8" t="s">
        <v>132</v>
      </c>
      <c r="F27" s="8" t="s">
        <v>143</v>
      </c>
      <c r="G27" s="8" t="s">
        <v>177</v>
      </c>
      <c r="H27" s="15" t="n">
        <v>25920</v>
      </c>
      <c r="I27" s="15" t="n">
        <v>25920</v>
      </c>
      <c r="J27" s="16" t="n">
        <v>0.75</v>
      </c>
      <c r="K27" s="8" t="n">
        <v>9</v>
      </c>
      <c r="L27" s="8" t="n">
        <v>10</v>
      </c>
      <c r="M27" s="8" t="n">
        <v>3</v>
      </c>
      <c r="N27" s="8" t="s">
        <v>120</v>
      </c>
      <c r="O27" s="15" t="n">
        <f aca="false">H27*12</f>
        <v>311040</v>
      </c>
      <c r="P27" s="8" t="n">
        <f aca="false">MIN(100,ROUND(100*J27/Assumptions!$B$8,0))</f>
        <v>83</v>
      </c>
      <c r="Q27" s="8" t="n">
        <f aca="false">IF(L27="",Assumptions!$B$9,L27*10)</f>
        <v>100</v>
      </c>
      <c r="R27" s="8" t="n">
        <f aca="false">IF(M27&lt;=1,Assumptions!$B$12,IF(M27&lt;=3,Assumptions!$B$13,IF(M27&lt;=6,Assumptions!$B$14,Assumptions!$B$15)))</f>
        <v>75</v>
      </c>
      <c r="S27" s="8" t="n">
        <f aca="false">IF(N27="Completed On Time",Assumptions!$B$16,IF(N27="Completed Late",Assumptions!$B$17,Assumptions!$B$18))</f>
        <v>100</v>
      </c>
      <c r="T27" s="8" t="n">
        <f aca="false">IF(I27=0,Assumptions!$B$20,IF(H27&gt;I27,Assumptions!$B$19,IF(H27=I27,Assumptions!$B$20,Assumptions!$B$21)))</f>
        <v>70</v>
      </c>
      <c r="U27" s="8" t="n">
        <f aca="false">ROUND(P27*Assumptions!$B$2+Q27*Assumptions!$B$3+R27*Assumptions!$B$4+S27*Assumptions!$B$5+T27*Assumptions!$B$6,0)</f>
        <v>84</v>
      </c>
      <c r="V27" s="8" t="str">
        <f aca="false">IF(U27&gt;=Assumptions!$B$10,"Healthy",IF(U27&gt;=Assumptions!$B$11,"Needs Attention","High Risk"))</f>
        <v>Healthy</v>
      </c>
    </row>
    <row r="28" customFormat="false" ht="15" hidden="false" customHeight="false" outlineLevel="0" collapsed="false">
      <c r="A28" s="8" t="s">
        <v>193</v>
      </c>
      <c r="B28" s="8" t="s">
        <v>194</v>
      </c>
      <c r="C28" s="8" t="s">
        <v>55</v>
      </c>
      <c r="D28" s="8" t="s">
        <v>55</v>
      </c>
      <c r="E28" s="8" t="s">
        <v>132</v>
      </c>
      <c r="F28" s="8" t="s">
        <v>143</v>
      </c>
      <c r="G28" s="8" t="s">
        <v>177</v>
      </c>
      <c r="H28" s="15" t="n">
        <v>25785</v>
      </c>
      <c r="I28" s="15" t="n">
        <v>25785</v>
      </c>
      <c r="J28" s="16" t="n">
        <v>0.801</v>
      </c>
      <c r="K28" s="8" t="n">
        <v>9.3</v>
      </c>
      <c r="L28" s="8" t="n">
        <v>9</v>
      </c>
      <c r="M28" s="8" t="n">
        <v>3</v>
      </c>
      <c r="N28" s="8" t="s">
        <v>120</v>
      </c>
      <c r="O28" s="15" t="n">
        <f aca="false">H28*12</f>
        <v>309420</v>
      </c>
      <c r="P28" s="8" t="n">
        <f aca="false">MIN(100,ROUND(100*J28/Assumptions!$B$8,0))</f>
        <v>89</v>
      </c>
      <c r="Q28" s="8" t="n">
        <f aca="false">IF(L28="",Assumptions!$B$9,L28*10)</f>
        <v>90</v>
      </c>
      <c r="R28" s="8" t="n">
        <f aca="false">IF(M28&lt;=1,Assumptions!$B$12,IF(M28&lt;=3,Assumptions!$B$13,IF(M28&lt;=6,Assumptions!$B$14,Assumptions!$B$15)))</f>
        <v>75</v>
      </c>
      <c r="S28" s="8" t="n">
        <f aca="false">IF(N28="Completed On Time",Assumptions!$B$16,IF(N28="Completed Late",Assumptions!$B$17,Assumptions!$B$18))</f>
        <v>100</v>
      </c>
      <c r="T28" s="8" t="n">
        <f aca="false">IF(I28=0,Assumptions!$B$20,IF(H28&gt;I28,Assumptions!$B$19,IF(H28=I28,Assumptions!$B$20,Assumptions!$B$21)))</f>
        <v>70</v>
      </c>
      <c r="U28" s="8" t="n">
        <f aca="false">ROUND(P28*Assumptions!$B$2+Q28*Assumptions!$B$3+R28*Assumptions!$B$4+S28*Assumptions!$B$5+T28*Assumptions!$B$6,0)</f>
        <v>84</v>
      </c>
      <c r="V28" s="8" t="str">
        <f aca="false">IF(U28&gt;=Assumptions!$B$10,"Healthy",IF(U28&gt;=Assumptions!$B$11,"Needs Attention","High Risk"))</f>
        <v>Healthy</v>
      </c>
    </row>
    <row r="29" customFormat="false" ht="15" hidden="false" customHeight="false" outlineLevel="0" collapsed="false">
      <c r="A29" s="8" t="s">
        <v>195</v>
      </c>
      <c r="B29" s="8" t="s">
        <v>196</v>
      </c>
      <c r="C29" s="8" t="s">
        <v>55</v>
      </c>
      <c r="D29" s="8" t="s">
        <v>55</v>
      </c>
      <c r="E29" s="8" t="s">
        <v>132</v>
      </c>
      <c r="F29" s="8" t="s">
        <v>154</v>
      </c>
      <c r="G29" s="8" t="s">
        <v>140</v>
      </c>
      <c r="H29" s="15" t="n">
        <v>25695</v>
      </c>
      <c r="I29" s="15" t="n">
        <v>25695</v>
      </c>
      <c r="J29" s="16" t="n">
        <v>0.572</v>
      </c>
      <c r="K29" s="8" t="n">
        <v>7</v>
      </c>
      <c r="L29" s="8" t="n">
        <v>4</v>
      </c>
      <c r="M29" s="8" t="n">
        <v>6</v>
      </c>
      <c r="N29" s="8" t="s">
        <v>148</v>
      </c>
      <c r="O29" s="15" t="n">
        <f aca="false">H29*12</f>
        <v>308340</v>
      </c>
      <c r="P29" s="8" t="n">
        <f aca="false">MIN(100,ROUND(100*J29/Assumptions!$B$8,0))</f>
        <v>64</v>
      </c>
      <c r="Q29" s="8" t="n">
        <f aca="false">IF(L29="",Assumptions!$B$9,L29*10)</f>
        <v>40</v>
      </c>
      <c r="R29" s="8" t="n">
        <f aca="false">IF(M29&lt;=1,Assumptions!$B$12,IF(M29&lt;=3,Assumptions!$B$13,IF(M29&lt;=6,Assumptions!$B$14,Assumptions!$B$15)))</f>
        <v>50</v>
      </c>
      <c r="S29" s="8" t="n">
        <f aca="false">IF(N29="Completed On Time",Assumptions!$B$16,IF(N29="Completed Late",Assumptions!$B$17,Assumptions!$B$18))</f>
        <v>60</v>
      </c>
      <c r="T29" s="8" t="n">
        <f aca="false">IF(I29=0,Assumptions!$B$20,IF(H29&gt;I29,Assumptions!$B$19,IF(H29=I29,Assumptions!$B$20,Assumptions!$B$21)))</f>
        <v>70</v>
      </c>
      <c r="U29" s="8" t="n">
        <f aca="false">ROUND(P29*Assumptions!$B$2+Q29*Assumptions!$B$3+R29*Assumptions!$B$4+S29*Assumptions!$B$5+T29*Assumptions!$B$6,0)</f>
        <v>58</v>
      </c>
      <c r="V29" s="8" t="str">
        <f aca="false">IF(U29&gt;=Assumptions!$B$10,"Healthy",IF(U29&gt;=Assumptions!$B$11,"Needs Attention","High Risk"))</f>
        <v>High Risk</v>
      </c>
    </row>
    <row r="30" customFormat="false" ht="15" hidden="false" customHeight="false" outlineLevel="0" collapsed="false">
      <c r="A30" s="8" t="s">
        <v>197</v>
      </c>
      <c r="B30" s="8" t="s">
        <v>198</v>
      </c>
      <c r="C30" s="8" t="s">
        <v>55</v>
      </c>
      <c r="D30" s="8" t="s">
        <v>55</v>
      </c>
      <c r="E30" s="8" t="s">
        <v>123</v>
      </c>
      <c r="F30" s="8" t="s">
        <v>166</v>
      </c>
      <c r="G30" s="8" t="s">
        <v>180</v>
      </c>
      <c r="H30" s="15" t="n">
        <v>25515</v>
      </c>
      <c r="I30" s="15" t="n">
        <v>0</v>
      </c>
      <c r="J30" s="16" t="n">
        <v>0.715</v>
      </c>
      <c r="K30" s="8" t="n">
        <v>10</v>
      </c>
      <c r="L30" s="8"/>
      <c r="M30" s="8" t="n">
        <v>4</v>
      </c>
      <c r="N30" s="8" t="s">
        <v>199</v>
      </c>
      <c r="O30" s="15" t="n">
        <f aca="false">H30*12</f>
        <v>306180</v>
      </c>
      <c r="P30" s="8" t="n">
        <f aca="false">MIN(100,ROUND(100*J30/Assumptions!$B$8,0))</f>
        <v>79</v>
      </c>
      <c r="Q30" s="8" t="n">
        <f aca="false">IF(L30="",Assumptions!$B$9,L30*10)</f>
        <v>50</v>
      </c>
      <c r="R30" s="8" t="n">
        <f aca="false">IF(M30&lt;=1,Assumptions!$B$12,IF(M30&lt;=3,Assumptions!$B$13,IF(M30&lt;=6,Assumptions!$B$14,Assumptions!$B$15)))</f>
        <v>50</v>
      </c>
      <c r="S30" s="8" t="n">
        <f aca="false">IF(N30="Completed On Time",Assumptions!$B$16,IF(N30="Completed Late",Assumptions!$B$17,Assumptions!$B$18))</f>
        <v>50</v>
      </c>
      <c r="T30" s="8" t="n">
        <f aca="false">IF(I30=0,Assumptions!$B$20,IF(H30&gt;I30,Assumptions!$B$19,IF(H30=I30,Assumptions!$B$20,Assumptions!$B$21)))</f>
        <v>70</v>
      </c>
      <c r="U30" s="8" t="n">
        <f aca="false">ROUND(P30*Assumptions!$B$2+Q30*Assumptions!$B$3+R30*Assumptions!$B$4+S30*Assumptions!$B$5+T30*Assumptions!$B$6,0)</f>
        <v>64</v>
      </c>
      <c r="V30" s="8" t="str">
        <f aca="false">IF(U30&gt;=Assumptions!$B$10,"Healthy",IF(U30&gt;=Assumptions!$B$11,"Needs Attention","High Risk"))</f>
        <v>High Risk</v>
      </c>
    </row>
    <row r="31" customFormat="false" ht="15" hidden="false" customHeight="false" outlineLevel="0" collapsed="false">
      <c r="A31" s="8" t="s">
        <v>200</v>
      </c>
      <c r="B31" s="8" t="s">
        <v>201</v>
      </c>
      <c r="C31" s="8" t="s">
        <v>55</v>
      </c>
      <c r="D31" s="8" t="s">
        <v>55</v>
      </c>
      <c r="E31" s="8" t="s">
        <v>132</v>
      </c>
      <c r="F31" s="8" t="s">
        <v>190</v>
      </c>
      <c r="G31" s="8" t="s">
        <v>185</v>
      </c>
      <c r="H31" s="15" t="n">
        <v>25200</v>
      </c>
      <c r="I31" s="15" t="n">
        <v>25200</v>
      </c>
      <c r="J31" s="16" t="n">
        <v>0.594</v>
      </c>
      <c r="K31" s="8" t="n">
        <v>8</v>
      </c>
      <c r="L31" s="8" t="n">
        <v>6</v>
      </c>
      <c r="M31" s="8" t="n">
        <v>3</v>
      </c>
      <c r="N31" s="8" t="s">
        <v>120</v>
      </c>
      <c r="O31" s="15" t="n">
        <f aca="false">H31*12</f>
        <v>302400</v>
      </c>
      <c r="P31" s="8" t="n">
        <f aca="false">MIN(100,ROUND(100*J31/Assumptions!$B$8,0))</f>
        <v>66</v>
      </c>
      <c r="Q31" s="8" t="n">
        <f aca="false">IF(L31="",Assumptions!$B$9,L31*10)</f>
        <v>60</v>
      </c>
      <c r="R31" s="8" t="n">
        <f aca="false">IF(M31&lt;=1,Assumptions!$B$12,IF(M31&lt;=3,Assumptions!$B$13,IF(M31&lt;=6,Assumptions!$B$14,Assumptions!$B$15)))</f>
        <v>75</v>
      </c>
      <c r="S31" s="8" t="n">
        <f aca="false">IF(N31="Completed On Time",Assumptions!$B$16,IF(N31="Completed Late",Assumptions!$B$17,Assumptions!$B$18))</f>
        <v>100</v>
      </c>
      <c r="T31" s="8" t="n">
        <f aca="false">IF(I31=0,Assumptions!$B$20,IF(H31&gt;I31,Assumptions!$B$19,IF(H31=I31,Assumptions!$B$20,Assumptions!$B$21)))</f>
        <v>70</v>
      </c>
      <c r="U31" s="8" t="n">
        <f aca="false">ROUND(P31*Assumptions!$B$2+Q31*Assumptions!$B$3+R31*Assumptions!$B$4+S31*Assumptions!$B$5+T31*Assumptions!$B$6,0)</f>
        <v>70</v>
      </c>
      <c r="V31" s="8" t="str">
        <f aca="false">IF(U31&gt;=Assumptions!$B$10,"Healthy",IF(U31&gt;=Assumptions!$B$11,"Needs Attention","High Risk"))</f>
        <v>Needs Attention</v>
      </c>
    </row>
    <row r="32" customFormat="false" ht="15" hidden="false" customHeight="false" outlineLevel="0" collapsed="false">
      <c r="A32" s="8" t="s">
        <v>202</v>
      </c>
      <c r="B32" s="8" t="s">
        <v>203</v>
      </c>
      <c r="C32" s="8" t="s">
        <v>55</v>
      </c>
      <c r="D32" s="8" t="s">
        <v>55</v>
      </c>
      <c r="E32" s="8" t="s">
        <v>117</v>
      </c>
      <c r="F32" s="8" t="s">
        <v>143</v>
      </c>
      <c r="G32" s="8" t="s">
        <v>204</v>
      </c>
      <c r="H32" s="15" t="n">
        <v>24975</v>
      </c>
      <c r="I32" s="15" t="n">
        <v>24975</v>
      </c>
      <c r="J32" s="16" t="n">
        <v>0.733</v>
      </c>
      <c r="K32" s="8" t="n">
        <v>10</v>
      </c>
      <c r="L32" s="8" t="n">
        <v>8</v>
      </c>
      <c r="M32" s="8" t="n">
        <v>5</v>
      </c>
      <c r="N32" s="8" t="s">
        <v>120</v>
      </c>
      <c r="O32" s="15" t="n">
        <f aca="false">H32*12</f>
        <v>299700</v>
      </c>
      <c r="P32" s="8" t="n">
        <f aca="false">MIN(100,ROUND(100*J32/Assumptions!$B$8,0))</f>
        <v>81</v>
      </c>
      <c r="Q32" s="8" t="n">
        <f aca="false">IF(L32="",Assumptions!$B$9,L32*10)</f>
        <v>80</v>
      </c>
      <c r="R32" s="8" t="n">
        <f aca="false">IF(M32&lt;=1,Assumptions!$B$12,IF(M32&lt;=3,Assumptions!$B$13,IF(M32&lt;=6,Assumptions!$B$14,Assumptions!$B$15)))</f>
        <v>50</v>
      </c>
      <c r="S32" s="8" t="n">
        <f aca="false">IF(N32="Completed On Time",Assumptions!$B$16,IF(N32="Completed Late",Assumptions!$B$17,Assumptions!$B$18))</f>
        <v>100</v>
      </c>
      <c r="T32" s="8" t="n">
        <f aca="false">IF(I32=0,Assumptions!$B$20,IF(H32&gt;I32,Assumptions!$B$19,IF(H32=I32,Assumptions!$B$20,Assumptions!$B$21)))</f>
        <v>70</v>
      </c>
      <c r="U32" s="8" t="n">
        <f aca="false">ROUND(P32*Assumptions!$B$2+Q32*Assumptions!$B$3+R32*Assumptions!$B$4+S32*Assumptions!$B$5+T32*Assumptions!$B$6,0)</f>
        <v>76</v>
      </c>
      <c r="V32" s="8" t="str">
        <f aca="false">IF(U32&gt;=Assumptions!$B$10,"Healthy",IF(U32&gt;=Assumptions!$B$11,"Needs Attention","High Risk"))</f>
        <v>Needs Attention</v>
      </c>
    </row>
    <row r="33" customFormat="false" ht="15" hidden="false" customHeight="false" outlineLevel="0" collapsed="false">
      <c r="A33" s="8" t="s">
        <v>205</v>
      </c>
      <c r="B33" s="8" t="s">
        <v>206</v>
      </c>
      <c r="C33" s="8" t="s">
        <v>55</v>
      </c>
      <c r="D33" s="8" t="s">
        <v>55</v>
      </c>
      <c r="E33" s="8" t="s">
        <v>117</v>
      </c>
      <c r="F33" s="8" t="s">
        <v>143</v>
      </c>
      <c r="G33" s="8" t="s">
        <v>147</v>
      </c>
      <c r="H33" s="15" t="n">
        <v>24930</v>
      </c>
      <c r="I33" s="15" t="n">
        <v>24930</v>
      </c>
      <c r="J33" s="16" t="n">
        <v>0.695</v>
      </c>
      <c r="K33" s="8" t="n">
        <v>8.3</v>
      </c>
      <c r="L33" s="8" t="n">
        <v>7</v>
      </c>
      <c r="M33" s="8" t="n">
        <v>8</v>
      </c>
      <c r="N33" s="8" t="s">
        <v>120</v>
      </c>
      <c r="O33" s="15" t="n">
        <f aca="false">H33*12</f>
        <v>299160</v>
      </c>
      <c r="P33" s="8" t="n">
        <f aca="false">MIN(100,ROUND(100*J33/Assumptions!$B$8,0))</f>
        <v>77</v>
      </c>
      <c r="Q33" s="8" t="n">
        <f aca="false">IF(L33="",Assumptions!$B$9,L33*10)</f>
        <v>70</v>
      </c>
      <c r="R33" s="8" t="n">
        <f aca="false">IF(M33&lt;=1,Assumptions!$B$12,IF(M33&lt;=3,Assumptions!$B$13,IF(M33&lt;=6,Assumptions!$B$14,Assumptions!$B$15)))</f>
        <v>20</v>
      </c>
      <c r="S33" s="8" t="n">
        <f aca="false">IF(N33="Completed On Time",Assumptions!$B$16,IF(N33="Completed Late",Assumptions!$B$17,Assumptions!$B$18))</f>
        <v>100</v>
      </c>
      <c r="T33" s="8" t="n">
        <f aca="false">IF(I33=0,Assumptions!$B$20,IF(H33&gt;I33,Assumptions!$B$19,IF(H33=I33,Assumptions!$B$20,Assumptions!$B$21)))</f>
        <v>70</v>
      </c>
      <c r="U33" s="8" t="n">
        <f aca="false">ROUND(P33*Assumptions!$B$2+Q33*Assumptions!$B$3+R33*Assumptions!$B$4+S33*Assumptions!$B$5+T33*Assumptions!$B$6,0)</f>
        <v>68</v>
      </c>
      <c r="V33" s="8" t="str">
        <f aca="false">IF(U33&gt;=Assumptions!$B$10,"Healthy",IF(U33&gt;=Assumptions!$B$11,"Needs Attention","High Risk"))</f>
        <v>Needs Attention</v>
      </c>
    </row>
    <row r="34" customFormat="false" ht="15" hidden="false" customHeight="false" outlineLevel="0" collapsed="false">
      <c r="A34" s="8" t="s">
        <v>207</v>
      </c>
      <c r="B34" s="8" t="s">
        <v>208</v>
      </c>
      <c r="C34" s="8" t="s">
        <v>55</v>
      </c>
      <c r="D34" s="8" t="s">
        <v>55</v>
      </c>
      <c r="E34" s="8" t="s">
        <v>123</v>
      </c>
      <c r="F34" s="8" t="s">
        <v>118</v>
      </c>
      <c r="G34" s="8" t="s">
        <v>147</v>
      </c>
      <c r="H34" s="15" t="n">
        <v>24570</v>
      </c>
      <c r="I34" s="15" t="n">
        <v>24570</v>
      </c>
      <c r="J34" s="16" t="n">
        <v>0.766</v>
      </c>
      <c r="K34" s="8" t="n">
        <v>10</v>
      </c>
      <c r="L34" s="8" t="n">
        <v>9</v>
      </c>
      <c r="M34" s="8" t="n">
        <v>2</v>
      </c>
      <c r="N34" s="8" t="s">
        <v>120</v>
      </c>
      <c r="O34" s="15" t="n">
        <f aca="false">H34*12</f>
        <v>294840</v>
      </c>
      <c r="P34" s="8" t="n">
        <f aca="false">MIN(100,ROUND(100*J34/Assumptions!$B$8,0))</f>
        <v>85</v>
      </c>
      <c r="Q34" s="8" t="n">
        <f aca="false">IF(L34="",Assumptions!$B$9,L34*10)</f>
        <v>90</v>
      </c>
      <c r="R34" s="8" t="n">
        <f aca="false">IF(M34&lt;=1,Assumptions!$B$12,IF(M34&lt;=3,Assumptions!$B$13,IF(M34&lt;=6,Assumptions!$B$14,Assumptions!$B$15)))</f>
        <v>75</v>
      </c>
      <c r="S34" s="8" t="n">
        <f aca="false">IF(N34="Completed On Time",Assumptions!$B$16,IF(N34="Completed Late",Assumptions!$B$17,Assumptions!$B$18))</f>
        <v>100</v>
      </c>
      <c r="T34" s="8" t="n">
        <f aca="false">IF(I34=0,Assumptions!$B$20,IF(H34&gt;I34,Assumptions!$B$19,IF(H34=I34,Assumptions!$B$20,Assumptions!$B$21)))</f>
        <v>70</v>
      </c>
      <c r="U34" s="8" t="n">
        <f aca="false">ROUND(P34*Assumptions!$B$2+Q34*Assumptions!$B$3+R34*Assumptions!$B$4+S34*Assumptions!$B$5+T34*Assumptions!$B$6,0)</f>
        <v>83</v>
      </c>
      <c r="V34" s="8" t="str">
        <f aca="false">IF(U34&gt;=Assumptions!$B$10,"Healthy",IF(U34&gt;=Assumptions!$B$11,"Needs Attention","High Risk"))</f>
        <v>Healthy</v>
      </c>
    </row>
    <row r="35" customFormat="false" ht="15" hidden="false" customHeight="false" outlineLevel="0" collapsed="false">
      <c r="A35" s="8" t="s">
        <v>209</v>
      </c>
      <c r="B35" s="8" t="s">
        <v>210</v>
      </c>
      <c r="C35" s="8" t="s">
        <v>55</v>
      </c>
      <c r="D35" s="8" t="s">
        <v>55</v>
      </c>
      <c r="E35" s="8" t="s">
        <v>132</v>
      </c>
      <c r="F35" s="8" t="s">
        <v>133</v>
      </c>
      <c r="G35" s="8" t="s">
        <v>185</v>
      </c>
      <c r="H35" s="15" t="n">
        <v>24525</v>
      </c>
      <c r="I35" s="15" t="n">
        <v>19980</v>
      </c>
      <c r="J35" s="16" t="n">
        <v>0.754</v>
      </c>
      <c r="K35" s="8" t="n">
        <v>8.7</v>
      </c>
      <c r="L35" s="8" t="n">
        <v>6</v>
      </c>
      <c r="M35" s="8" t="n">
        <v>7</v>
      </c>
      <c r="N35" s="8" t="s">
        <v>120</v>
      </c>
      <c r="O35" s="15" t="n">
        <f aca="false">H35*12</f>
        <v>294300</v>
      </c>
      <c r="P35" s="8" t="n">
        <f aca="false">MIN(100,ROUND(100*J35/Assumptions!$B$8,0))</f>
        <v>84</v>
      </c>
      <c r="Q35" s="8" t="n">
        <f aca="false">IF(L35="",Assumptions!$B$9,L35*10)</f>
        <v>60</v>
      </c>
      <c r="R35" s="8" t="n">
        <f aca="false">IF(M35&lt;=1,Assumptions!$B$12,IF(M35&lt;=3,Assumptions!$B$13,IF(M35&lt;=6,Assumptions!$B$14,Assumptions!$B$15)))</f>
        <v>20</v>
      </c>
      <c r="S35" s="8" t="n">
        <f aca="false">IF(N35="Completed On Time",Assumptions!$B$16,IF(N35="Completed Late",Assumptions!$B$17,Assumptions!$B$18))</f>
        <v>100</v>
      </c>
      <c r="T35" s="8" t="n">
        <f aca="false">IF(I35=0,Assumptions!$B$20,IF(H35&gt;I35,Assumptions!$B$19,IF(H35=I35,Assumptions!$B$20,Assumptions!$B$21)))</f>
        <v>100</v>
      </c>
      <c r="U35" s="8" t="n">
        <f aca="false">ROUND(P35*Assumptions!$B$2+Q35*Assumptions!$B$3+R35*Assumptions!$B$4+S35*Assumptions!$B$5+T35*Assumptions!$B$6,0)</f>
        <v>74</v>
      </c>
      <c r="V35" s="8" t="str">
        <f aca="false">IF(U35&gt;=Assumptions!$B$10,"Healthy",IF(U35&gt;=Assumptions!$B$11,"Needs Attention","High Risk"))</f>
        <v>Needs Attention</v>
      </c>
    </row>
    <row r="36" customFormat="false" ht="15" hidden="false" customHeight="false" outlineLevel="0" collapsed="false">
      <c r="A36" s="8" t="s">
        <v>211</v>
      </c>
      <c r="B36" s="8" t="s">
        <v>212</v>
      </c>
      <c r="C36" s="8" t="s">
        <v>55</v>
      </c>
      <c r="D36" s="8" t="s">
        <v>55</v>
      </c>
      <c r="E36" s="8" t="s">
        <v>123</v>
      </c>
      <c r="F36" s="8" t="s">
        <v>154</v>
      </c>
      <c r="G36" s="8" t="s">
        <v>147</v>
      </c>
      <c r="H36" s="15" t="n">
        <v>24525</v>
      </c>
      <c r="I36" s="15" t="n">
        <v>24525</v>
      </c>
      <c r="J36" s="16" t="n">
        <v>0.859</v>
      </c>
      <c r="K36" s="8" t="n">
        <v>10.3</v>
      </c>
      <c r="L36" s="8" t="n">
        <v>10</v>
      </c>
      <c r="M36" s="8" t="n">
        <v>2</v>
      </c>
      <c r="N36" s="8" t="s">
        <v>120</v>
      </c>
      <c r="O36" s="15" t="n">
        <f aca="false">H36*12</f>
        <v>294300</v>
      </c>
      <c r="P36" s="8" t="n">
        <f aca="false">MIN(100,ROUND(100*J36/Assumptions!$B$8,0))</f>
        <v>95</v>
      </c>
      <c r="Q36" s="8" t="n">
        <f aca="false">IF(L36="",Assumptions!$B$9,L36*10)</f>
        <v>100</v>
      </c>
      <c r="R36" s="8" t="n">
        <f aca="false">IF(M36&lt;=1,Assumptions!$B$12,IF(M36&lt;=3,Assumptions!$B$13,IF(M36&lt;=6,Assumptions!$B$14,Assumptions!$B$15)))</f>
        <v>75</v>
      </c>
      <c r="S36" s="8" t="n">
        <f aca="false">IF(N36="Completed On Time",Assumptions!$B$16,IF(N36="Completed Late",Assumptions!$B$17,Assumptions!$B$18))</f>
        <v>100</v>
      </c>
      <c r="T36" s="8" t="n">
        <f aca="false">IF(I36=0,Assumptions!$B$20,IF(H36&gt;I36,Assumptions!$B$19,IF(H36=I36,Assumptions!$B$20,Assumptions!$B$21)))</f>
        <v>70</v>
      </c>
      <c r="U36" s="8" t="n">
        <f aca="false">ROUND(P36*Assumptions!$B$2+Q36*Assumptions!$B$3+R36*Assumptions!$B$4+S36*Assumptions!$B$5+T36*Assumptions!$B$6,0)</f>
        <v>89</v>
      </c>
      <c r="V36" s="8" t="str">
        <f aca="false">IF(U36&gt;=Assumptions!$B$10,"Healthy",IF(U36&gt;=Assumptions!$B$11,"Needs Attention","High Risk"))</f>
        <v>Healthy</v>
      </c>
    </row>
    <row r="37" customFormat="false" ht="15" hidden="false" customHeight="false" outlineLevel="0" collapsed="false">
      <c r="A37" s="8" t="s">
        <v>213</v>
      </c>
      <c r="B37" s="8" t="s">
        <v>214</v>
      </c>
      <c r="C37" s="8" t="s">
        <v>55</v>
      </c>
      <c r="D37" s="8" t="s">
        <v>55</v>
      </c>
      <c r="E37" s="8" t="s">
        <v>132</v>
      </c>
      <c r="F37" s="8" t="s">
        <v>151</v>
      </c>
      <c r="G37" s="8" t="s">
        <v>125</v>
      </c>
      <c r="H37" s="15" t="n">
        <v>24345</v>
      </c>
      <c r="I37" s="15" t="n">
        <v>18990</v>
      </c>
      <c r="J37" s="16" t="n">
        <v>0.941</v>
      </c>
      <c r="K37" s="8" t="n">
        <v>11.3</v>
      </c>
      <c r="L37" s="8" t="n">
        <v>10</v>
      </c>
      <c r="M37" s="8" t="n">
        <v>3</v>
      </c>
      <c r="N37" s="8" t="s">
        <v>120</v>
      </c>
      <c r="O37" s="15" t="n">
        <f aca="false">H37*12</f>
        <v>292140</v>
      </c>
      <c r="P37" s="8" t="n">
        <f aca="false">MIN(100,ROUND(100*J37/Assumptions!$B$8,0))</f>
        <v>100</v>
      </c>
      <c r="Q37" s="8" t="n">
        <f aca="false">IF(L37="",Assumptions!$B$9,L37*10)</f>
        <v>100</v>
      </c>
      <c r="R37" s="8" t="n">
        <f aca="false">IF(M37&lt;=1,Assumptions!$B$12,IF(M37&lt;=3,Assumptions!$B$13,IF(M37&lt;=6,Assumptions!$B$14,Assumptions!$B$15)))</f>
        <v>75</v>
      </c>
      <c r="S37" s="8" t="n">
        <f aca="false">IF(N37="Completed On Time",Assumptions!$B$16,IF(N37="Completed Late",Assumptions!$B$17,Assumptions!$B$18))</f>
        <v>100</v>
      </c>
      <c r="T37" s="8" t="n">
        <f aca="false">IF(I37=0,Assumptions!$B$20,IF(H37&gt;I37,Assumptions!$B$19,IF(H37=I37,Assumptions!$B$20,Assumptions!$B$21)))</f>
        <v>100</v>
      </c>
      <c r="U37" s="8" t="n">
        <f aca="false">ROUND(P37*Assumptions!$B$2+Q37*Assumptions!$B$3+R37*Assumptions!$B$4+S37*Assumptions!$B$5+T37*Assumptions!$B$6,0)</f>
        <v>96</v>
      </c>
      <c r="V37" s="8" t="str">
        <f aca="false">IF(U37&gt;=Assumptions!$B$10,"Healthy",IF(U37&gt;=Assumptions!$B$11,"Needs Attention","High Risk"))</f>
        <v>Healthy</v>
      </c>
    </row>
    <row r="38" customFormat="false" ht="15" hidden="false" customHeight="false" outlineLevel="0" collapsed="false">
      <c r="A38" s="8" t="s">
        <v>215</v>
      </c>
      <c r="B38" s="8" t="s">
        <v>216</v>
      </c>
      <c r="C38" s="8" t="s">
        <v>55</v>
      </c>
      <c r="D38" s="8" t="s">
        <v>55</v>
      </c>
      <c r="E38" s="8" t="s">
        <v>117</v>
      </c>
      <c r="F38" s="8" t="s">
        <v>166</v>
      </c>
      <c r="G38" s="8" t="s">
        <v>144</v>
      </c>
      <c r="H38" s="15" t="n">
        <v>24300</v>
      </c>
      <c r="I38" s="15" t="n">
        <v>24300</v>
      </c>
      <c r="J38" s="16" t="n">
        <v>0.612</v>
      </c>
      <c r="K38" s="8" t="n">
        <v>7.3</v>
      </c>
      <c r="L38" s="8" t="n">
        <v>6</v>
      </c>
      <c r="M38" s="8" t="n">
        <v>6</v>
      </c>
      <c r="N38" s="8" t="s">
        <v>120</v>
      </c>
      <c r="O38" s="15" t="n">
        <f aca="false">H38*12</f>
        <v>291600</v>
      </c>
      <c r="P38" s="8" t="n">
        <f aca="false">MIN(100,ROUND(100*J38/Assumptions!$B$8,0))</f>
        <v>68</v>
      </c>
      <c r="Q38" s="8" t="n">
        <f aca="false">IF(L38="",Assumptions!$B$9,L38*10)</f>
        <v>60</v>
      </c>
      <c r="R38" s="8" t="n">
        <f aca="false">IF(M38&lt;=1,Assumptions!$B$12,IF(M38&lt;=3,Assumptions!$B$13,IF(M38&lt;=6,Assumptions!$B$14,Assumptions!$B$15)))</f>
        <v>50</v>
      </c>
      <c r="S38" s="8" t="n">
        <f aca="false">IF(N38="Completed On Time",Assumptions!$B$16,IF(N38="Completed Late",Assumptions!$B$17,Assumptions!$B$18))</f>
        <v>100</v>
      </c>
      <c r="T38" s="8" t="n">
        <f aca="false">IF(I38=0,Assumptions!$B$20,IF(H38&gt;I38,Assumptions!$B$19,IF(H38=I38,Assumptions!$B$20,Assumptions!$B$21)))</f>
        <v>70</v>
      </c>
      <c r="U38" s="8" t="n">
        <f aca="false">ROUND(P38*Assumptions!$B$2+Q38*Assumptions!$B$3+R38*Assumptions!$B$4+S38*Assumptions!$B$5+T38*Assumptions!$B$6,0)</f>
        <v>67</v>
      </c>
      <c r="V38" s="8" t="str">
        <f aca="false">IF(U38&gt;=Assumptions!$B$10,"Healthy",IF(U38&gt;=Assumptions!$B$11,"Needs Attention","High Risk"))</f>
        <v>Needs Attention</v>
      </c>
    </row>
    <row r="39" customFormat="false" ht="15" hidden="false" customHeight="false" outlineLevel="0" collapsed="false">
      <c r="A39" s="8" t="s">
        <v>217</v>
      </c>
      <c r="B39" s="8" t="s">
        <v>218</v>
      </c>
      <c r="C39" s="8" t="s">
        <v>55</v>
      </c>
      <c r="D39" s="8" t="s">
        <v>55</v>
      </c>
      <c r="E39" s="8" t="s">
        <v>117</v>
      </c>
      <c r="F39" s="8" t="s">
        <v>166</v>
      </c>
      <c r="G39" s="8" t="s">
        <v>177</v>
      </c>
      <c r="H39" s="15" t="n">
        <v>24165</v>
      </c>
      <c r="I39" s="15" t="n">
        <v>24165</v>
      </c>
      <c r="J39" s="16" t="n">
        <v>0.762</v>
      </c>
      <c r="K39" s="8" t="n">
        <v>9</v>
      </c>
      <c r="L39" s="8" t="n">
        <v>8</v>
      </c>
      <c r="M39" s="8" t="n">
        <v>0</v>
      </c>
      <c r="N39" s="8" t="s">
        <v>148</v>
      </c>
      <c r="O39" s="15" t="n">
        <f aca="false">H39*12</f>
        <v>289980</v>
      </c>
      <c r="P39" s="8" t="n">
        <f aca="false">MIN(100,ROUND(100*J39/Assumptions!$B$8,0))</f>
        <v>85</v>
      </c>
      <c r="Q39" s="8" t="n">
        <f aca="false">IF(L39="",Assumptions!$B$9,L39*10)</f>
        <v>80</v>
      </c>
      <c r="R39" s="8" t="n">
        <f aca="false">IF(M39&lt;=1,Assumptions!$B$12,IF(M39&lt;=3,Assumptions!$B$13,IF(M39&lt;=6,Assumptions!$B$14,Assumptions!$B$15)))</f>
        <v>100</v>
      </c>
      <c r="S39" s="8" t="n">
        <f aca="false">IF(N39="Completed On Time",Assumptions!$B$16,IF(N39="Completed Late",Assumptions!$B$17,Assumptions!$B$18))</f>
        <v>60</v>
      </c>
      <c r="T39" s="8" t="n">
        <f aca="false">IF(I39=0,Assumptions!$B$20,IF(H39&gt;I39,Assumptions!$B$19,IF(H39=I39,Assumptions!$B$20,Assumptions!$B$21)))</f>
        <v>70</v>
      </c>
      <c r="U39" s="8" t="n">
        <f aca="false">ROUND(P39*Assumptions!$B$2+Q39*Assumptions!$B$3+R39*Assumptions!$B$4+S39*Assumptions!$B$5+T39*Assumptions!$B$6,0)</f>
        <v>81</v>
      </c>
      <c r="V39" s="8" t="str">
        <f aca="false">IF(U39&gt;=Assumptions!$B$10,"Healthy",IF(U39&gt;=Assumptions!$B$11,"Needs Attention","High Risk"))</f>
        <v>Healthy</v>
      </c>
    </row>
    <row r="40" customFormat="false" ht="15" hidden="false" customHeight="false" outlineLevel="0" collapsed="false">
      <c r="A40" s="8" t="s">
        <v>219</v>
      </c>
      <c r="B40" s="8" t="s">
        <v>220</v>
      </c>
      <c r="C40" s="8" t="s">
        <v>55</v>
      </c>
      <c r="D40" s="8" t="s">
        <v>55</v>
      </c>
      <c r="E40" s="8" t="s">
        <v>132</v>
      </c>
      <c r="F40" s="8" t="s">
        <v>151</v>
      </c>
      <c r="G40" s="8" t="s">
        <v>177</v>
      </c>
      <c r="H40" s="15" t="n">
        <v>24030</v>
      </c>
      <c r="I40" s="15" t="n">
        <v>0</v>
      </c>
      <c r="J40" s="16" t="n">
        <v>0.752</v>
      </c>
      <c r="K40" s="8" t="n">
        <v>10</v>
      </c>
      <c r="L40" s="8"/>
      <c r="M40" s="8" t="n">
        <v>5</v>
      </c>
      <c r="N40" s="8" t="s">
        <v>199</v>
      </c>
      <c r="O40" s="15" t="n">
        <f aca="false">H40*12</f>
        <v>288360</v>
      </c>
      <c r="P40" s="8" t="n">
        <f aca="false">MIN(100,ROUND(100*J40/Assumptions!$B$8,0))</f>
        <v>84</v>
      </c>
      <c r="Q40" s="8" t="n">
        <f aca="false">IF(L40="",Assumptions!$B$9,L40*10)</f>
        <v>50</v>
      </c>
      <c r="R40" s="8" t="n">
        <f aca="false">IF(M40&lt;=1,Assumptions!$B$12,IF(M40&lt;=3,Assumptions!$B$13,IF(M40&lt;=6,Assumptions!$B$14,Assumptions!$B$15)))</f>
        <v>50</v>
      </c>
      <c r="S40" s="8" t="n">
        <f aca="false">IF(N40="Completed On Time",Assumptions!$B$16,IF(N40="Completed Late",Assumptions!$B$17,Assumptions!$B$18))</f>
        <v>50</v>
      </c>
      <c r="T40" s="8" t="n">
        <f aca="false">IF(I40=0,Assumptions!$B$20,IF(H40&gt;I40,Assumptions!$B$19,IF(H40=I40,Assumptions!$B$20,Assumptions!$B$21)))</f>
        <v>70</v>
      </c>
      <c r="U40" s="8" t="n">
        <f aca="false">ROUND(P40*Assumptions!$B$2+Q40*Assumptions!$B$3+R40*Assumptions!$B$4+S40*Assumptions!$B$5+T40*Assumptions!$B$6,0)</f>
        <v>66</v>
      </c>
      <c r="V40" s="8" t="str">
        <f aca="false">IF(U40&gt;=Assumptions!$B$10,"Healthy",IF(U40&gt;=Assumptions!$B$11,"Needs Attention","High Risk"))</f>
        <v>Needs Attention</v>
      </c>
    </row>
    <row r="41" customFormat="false" ht="15" hidden="false" customHeight="false" outlineLevel="0" collapsed="false">
      <c r="A41" s="8" t="s">
        <v>221</v>
      </c>
      <c r="B41" s="8" t="s">
        <v>222</v>
      </c>
      <c r="C41" s="8" t="s">
        <v>55</v>
      </c>
      <c r="D41" s="8" t="s">
        <v>55</v>
      </c>
      <c r="E41" s="8" t="s">
        <v>117</v>
      </c>
      <c r="F41" s="8" t="s">
        <v>223</v>
      </c>
      <c r="G41" s="8" t="s">
        <v>177</v>
      </c>
      <c r="H41" s="15" t="n">
        <v>23670</v>
      </c>
      <c r="I41" s="15" t="n">
        <v>23670</v>
      </c>
      <c r="J41" s="16" t="n">
        <v>0.719</v>
      </c>
      <c r="K41" s="8" t="n">
        <v>9.7</v>
      </c>
      <c r="L41" s="8" t="n">
        <v>8</v>
      </c>
      <c r="M41" s="8" t="n">
        <v>2</v>
      </c>
      <c r="N41" s="8" t="s">
        <v>148</v>
      </c>
      <c r="O41" s="15" t="n">
        <f aca="false">H41*12</f>
        <v>284040</v>
      </c>
      <c r="P41" s="8" t="n">
        <f aca="false">MIN(100,ROUND(100*J41/Assumptions!$B$8,0))</f>
        <v>80</v>
      </c>
      <c r="Q41" s="8" t="n">
        <f aca="false">IF(L41="",Assumptions!$B$9,L41*10)</f>
        <v>80</v>
      </c>
      <c r="R41" s="8" t="n">
        <f aca="false">IF(M41&lt;=1,Assumptions!$B$12,IF(M41&lt;=3,Assumptions!$B$13,IF(M41&lt;=6,Assumptions!$B$14,Assumptions!$B$15)))</f>
        <v>75</v>
      </c>
      <c r="S41" s="8" t="n">
        <f aca="false">IF(N41="Completed On Time",Assumptions!$B$16,IF(N41="Completed Late",Assumptions!$B$17,Assumptions!$B$18))</f>
        <v>60</v>
      </c>
      <c r="T41" s="8" t="n">
        <f aca="false">IF(I41=0,Assumptions!$B$20,IF(H41&gt;I41,Assumptions!$B$19,IF(H41=I41,Assumptions!$B$20,Assumptions!$B$21)))</f>
        <v>70</v>
      </c>
      <c r="U41" s="8" t="n">
        <f aca="false">ROUND(P41*Assumptions!$B$2+Q41*Assumptions!$B$3+R41*Assumptions!$B$4+S41*Assumptions!$B$5+T41*Assumptions!$B$6,0)</f>
        <v>75</v>
      </c>
      <c r="V41" s="8" t="str">
        <f aca="false">IF(U41&gt;=Assumptions!$B$10,"Healthy",IF(U41&gt;=Assumptions!$B$11,"Needs Attention","High Risk"))</f>
        <v>Needs Attention</v>
      </c>
    </row>
    <row r="42" customFormat="false" ht="15" hidden="false" customHeight="false" outlineLevel="0" collapsed="false">
      <c r="A42" s="8" t="s">
        <v>224</v>
      </c>
      <c r="B42" s="8" t="s">
        <v>225</v>
      </c>
      <c r="C42" s="8" t="s">
        <v>55</v>
      </c>
      <c r="D42" s="8" t="s">
        <v>55</v>
      </c>
      <c r="E42" s="8" t="s">
        <v>117</v>
      </c>
      <c r="F42" s="8" t="s">
        <v>124</v>
      </c>
      <c r="G42" s="8" t="s">
        <v>119</v>
      </c>
      <c r="H42" s="15" t="n">
        <v>23355</v>
      </c>
      <c r="I42" s="15" t="n">
        <v>23355</v>
      </c>
      <c r="J42" s="16" t="n">
        <v>0.662</v>
      </c>
      <c r="K42" s="8" t="n">
        <v>7.3</v>
      </c>
      <c r="L42" s="8" t="n">
        <v>7</v>
      </c>
      <c r="M42" s="8" t="n">
        <v>3</v>
      </c>
      <c r="N42" s="8" t="s">
        <v>148</v>
      </c>
      <c r="O42" s="15" t="n">
        <f aca="false">H42*12</f>
        <v>280260</v>
      </c>
      <c r="P42" s="8" t="n">
        <f aca="false">MIN(100,ROUND(100*J42/Assumptions!$B$8,0))</f>
        <v>74</v>
      </c>
      <c r="Q42" s="8" t="n">
        <f aca="false">IF(L42="",Assumptions!$B$9,L42*10)</f>
        <v>70</v>
      </c>
      <c r="R42" s="8" t="n">
        <f aca="false">IF(M42&lt;=1,Assumptions!$B$12,IF(M42&lt;=3,Assumptions!$B$13,IF(M42&lt;=6,Assumptions!$B$14,Assumptions!$B$15)))</f>
        <v>75</v>
      </c>
      <c r="S42" s="8" t="n">
        <f aca="false">IF(N42="Completed On Time",Assumptions!$B$16,IF(N42="Completed Late",Assumptions!$B$17,Assumptions!$B$18))</f>
        <v>60</v>
      </c>
      <c r="T42" s="8" t="n">
        <f aca="false">IF(I42=0,Assumptions!$B$20,IF(H42&gt;I42,Assumptions!$B$19,IF(H42=I42,Assumptions!$B$20,Assumptions!$B$21)))</f>
        <v>70</v>
      </c>
      <c r="U42" s="8" t="n">
        <f aca="false">ROUND(P42*Assumptions!$B$2+Q42*Assumptions!$B$3+R42*Assumptions!$B$4+S42*Assumptions!$B$5+T42*Assumptions!$B$6,0)</f>
        <v>71</v>
      </c>
      <c r="V42" s="8" t="str">
        <f aca="false">IF(U42&gt;=Assumptions!$B$10,"Healthy",IF(U42&gt;=Assumptions!$B$11,"Needs Attention","High Risk"))</f>
        <v>Needs Attention</v>
      </c>
    </row>
    <row r="43" customFormat="false" ht="15" hidden="false" customHeight="false" outlineLevel="0" collapsed="false">
      <c r="A43" s="8" t="s">
        <v>226</v>
      </c>
      <c r="B43" s="8" t="s">
        <v>227</v>
      </c>
      <c r="C43" s="8" t="s">
        <v>55</v>
      </c>
      <c r="D43" s="8" t="s">
        <v>55</v>
      </c>
      <c r="E43" s="8" t="s">
        <v>132</v>
      </c>
      <c r="F43" s="8" t="s">
        <v>136</v>
      </c>
      <c r="G43" s="8" t="s">
        <v>129</v>
      </c>
      <c r="H43" s="15" t="n">
        <v>23355</v>
      </c>
      <c r="I43" s="15" t="n">
        <v>23355</v>
      </c>
      <c r="J43" s="16" t="n">
        <v>0.732</v>
      </c>
      <c r="K43" s="8" t="n">
        <v>8</v>
      </c>
      <c r="L43" s="8" t="n">
        <v>10</v>
      </c>
      <c r="M43" s="8" t="n">
        <v>3</v>
      </c>
      <c r="N43" s="8" t="s">
        <v>120</v>
      </c>
      <c r="O43" s="15" t="n">
        <f aca="false">H43*12</f>
        <v>280260</v>
      </c>
      <c r="P43" s="8" t="n">
        <f aca="false">MIN(100,ROUND(100*J43/Assumptions!$B$8,0))</f>
        <v>81</v>
      </c>
      <c r="Q43" s="8" t="n">
        <f aca="false">IF(L43="",Assumptions!$B$9,L43*10)</f>
        <v>100</v>
      </c>
      <c r="R43" s="8" t="n">
        <f aca="false">IF(M43&lt;=1,Assumptions!$B$12,IF(M43&lt;=3,Assumptions!$B$13,IF(M43&lt;=6,Assumptions!$B$14,Assumptions!$B$15)))</f>
        <v>75</v>
      </c>
      <c r="S43" s="8" t="n">
        <f aca="false">IF(N43="Completed On Time",Assumptions!$B$16,IF(N43="Completed Late",Assumptions!$B$17,Assumptions!$B$18))</f>
        <v>100</v>
      </c>
      <c r="T43" s="8" t="n">
        <f aca="false">IF(I43=0,Assumptions!$B$20,IF(H43&gt;I43,Assumptions!$B$19,IF(H43=I43,Assumptions!$B$20,Assumptions!$B$21)))</f>
        <v>70</v>
      </c>
      <c r="U43" s="8" t="n">
        <f aca="false">ROUND(P43*Assumptions!$B$2+Q43*Assumptions!$B$3+R43*Assumptions!$B$4+S43*Assumptions!$B$5+T43*Assumptions!$B$6,0)</f>
        <v>84</v>
      </c>
      <c r="V43" s="8" t="str">
        <f aca="false">IF(U43&gt;=Assumptions!$B$10,"Healthy",IF(U43&gt;=Assumptions!$B$11,"Needs Attention","High Risk"))</f>
        <v>Healthy</v>
      </c>
    </row>
    <row r="44" customFormat="false" ht="15" hidden="false" customHeight="false" outlineLevel="0" collapsed="false">
      <c r="A44" s="8" t="s">
        <v>228</v>
      </c>
      <c r="B44" s="8" t="s">
        <v>229</v>
      </c>
      <c r="C44" s="8" t="s">
        <v>55</v>
      </c>
      <c r="D44" s="8" t="s">
        <v>55</v>
      </c>
      <c r="E44" s="8" t="s">
        <v>117</v>
      </c>
      <c r="F44" s="8" t="s">
        <v>151</v>
      </c>
      <c r="G44" s="8" t="s">
        <v>147</v>
      </c>
      <c r="H44" s="15" t="n">
        <v>23220</v>
      </c>
      <c r="I44" s="15" t="n">
        <v>23220</v>
      </c>
      <c r="J44" s="16" t="n">
        <v>0.777</v>
      </c>
      <c r="K44" s="8" t="n">
        <v>10.7</v>
      </c>
      <c r="L44" s="8" t="n">
        <v>8</v>
      </c>
      <c r="M44" s="8" t="n">
        <v>1</v>
      </c>
      <c r="N44" s="8" t="s">
        <v>120</v>
      </c>
      <c r="O44" s="15" t="n">
        <f aca="false">H44*12</f>
        <v>278640</v>
      </c>
      <c r="P44" s="8" t="n">
        <f aca="false">MIN(100,ROUND(100*J44/Assumptions!$B$8,0))</f>
        <v>86</v>
      </c>
      <c r="Q44" s="8" t="n">
        <f aca="false">IF(L44="",Assumptions!$B$9,L44*10)</f>
        <v>80</v>
      </c>
      <c r="R44" s="8" t="n">
        <f aca="false">IF(M44&lt;=1,Assumptions!$B$12,IF(M44&lt;=3,Assumptions!$B$13,IF(M44&lt;=6,Assumptions!$B$14,Assumptions!$B$15)))</f>
        <v>100</v>
      </c>
      <c r="S44" s="8" t="n">
        <f aca="false">IF(N44="Completed On Time",Assumptions!$B$16,IF(N44="Completed Late",Assumptions!$B$17,Assumptions!$B$18))</f>
        <v>100</v>
      </c>
      <c r="T44" s="8" t="n">
        <f aca="false">IF(I44=0,Assumptions!$B$20,IF(H44&gt;I44,Assumptions!$B$19,IF(H44=I44,Assumptions!$B$20,Assumptions!$B$21)))</f>
        <v>70</v>
      </c>
      <c r="U44" s="8" t="n">
        <f aca="false">ROUND(P44*Assumptions!$B$2+Q44*Assumptions!$B$3+R44*Assumptions!$B$4+S44*Assumptions!$B$5+T44*Assumptions!$B$6,0)</f>
        <v>85</v>
      </c>
      <c r="V44" s="8" t="str">
        <f aca="false">IF(U44&gt;=Assumptions!$B$10,"Healthy",IF(U44&gt;=Assumptions!$B$11,"Needs Attention","High Risk"))</f>
        <v>Healthy</v>
      </c>
    </row>
    <row r="45" customFormat="false" ht="15" hidden="false" customHeight="false" outlineLevel="0" collapsed="false">
      <c r="A45" s="8" t="s">
        <v>230</v>
      </c>
      <c r="B45" s="8" t="s">
        <v>231</v>
      </c>
      <c r="C45" s="8" t="s">
        <v>55</v>
      </c>
      <c r="D45" s="8" t="s">
        <v>55</v>
      </c>
      <c r="E45" s="8" t="s">
        <v>132</v>
      </c>
      <c r="F45" s="8" t="s">
        <v>118</v>
      </c>
      <c r="G45" s="8" t="s">
        <v>147</v>
      </c>
      <c r="H45" s="15" t="n">
        <v>23130</v>
      </c>
      <c r="I45" s="15" t="n">
        <v>23130</v>
      </c>
      <c r="J45" s="16" t="n">
        <v>0.846</v>
      </c>
      <c r="K45" s="8" t="n">
        <v>9.3</v>
      </c>
      <c r="L45" s="8" t="n">
        <v>10</v>
      </c>
      <c r="M45" s="8" t="n">
        <v>4</v>
      </c>
      <c r="N45" s="8" t="s">
        <v>120</v>
      </c>
      <c r="O45" s="15" t="n">
        <f aca="false">H45*12</f>
        <v>277560</v>
      </c>
      <c r="P45" s="8" t="n">
        <f aca="false">MIN(100,ROUND(100*J45/Assumptions!$B$8,0))</f>
        <v>94</v>
      </c>
      <c r="Q45" s="8" t="n">
        <f aca="false">IF(L45="",Assumptions!$B$9,L45*10)</f>
        <v>100</v>
      </c>
      <c r="R45" s="8" t="n">
        <f aca="false">IF(M45&lt;=1,Assumptions!$B$12,IF(M45&lt;=3,Assumptions!$B$13,IF(M45&lt;=6,Assumptions!$B$14,Assumptions!$B$15)))</f>
        <v>50</v>
      </c>
      <c r="S45" s="8" t="n">
        <f aca="false">IF(N45="Completed On Time",Assumptions!$B$16,IF(N45="Completed Late",Assumptions!$B$17,Assumptions!$B$18))</f>
        <v>100</v>
      </c>
      <c r="T45" s="8" t="n">
        <f aca="false">IF(I45=0,Assumptions!$B$20,IF(H45&gt;I45,Assumptions!$B$19,IF(H45=I45,Assumptions!$B$20,Assumptions!$B$21)))</f>
        <v>70</v>
      </c>
      <c r="U45" s="8" t="n">
        <f aca="false">ROUND(P45*Assumptions!$B$2+Q45*Assumptions!$B$3+R45*Assumptions!$B$4+S45*Assumptions!$B$5+T45*Assumptions!$B$6,0)</f>
        <v>84</v>
      </c>
      <c r="V45" s="8" t="str">
        <f aca="false">IF(U45&gt;=Assumptions!$B$10,"Healthy",IF(U45&gt;=Assumptions!$B$11,"Needs Attention","High Risk"))</f>
        <v>Healthy</v>
      </c>
    </row>
    <row r="46" customFormat="false" ht="15" hidden="false" customHeight="false" outlineLevel="0" collapsed="false">
      <c r="A46" s="8" t="s">
        <v>232</v>
      </c>
      <c r="B46" s="8" t="s">
        <v>233</v>
      </c>
      <c r="C46" s="8" t="s">
        <v>55</v>
      </c>
      <c r="D46" s="8" t="s">
        <v>55</v>
      </c>
      <c r="E46" s="8" t="s">
        <v>117</v>
      </c>
      <c r="F46" s="8" t="s">
        <v>124</v>
      </c>
      <c r="G46" s="8" t="s">
        <v>180</v>
      </c>
      <c r="H46" s="15" t="n">
        <v>23085</v>
      </c>
      <c r="I46" s="15" t="n">
        <v>23085</v>
      </c>
      <c r="J46" s="16" t="n">
        <v>0.561</v>
      </c>
      <c r="K46" s="8" t="n">
        <v>7.3</v>
      </c>
      <c r="L46" s="8" t="n">
        <v>4</v>
      </c>
      <c r="M46" s="8" t="n">
        <v>4</v>
      </c>
      <c r="N46" s="8" t="s">
        <v>148</v>
      </c>
      <c r="O46" s="15" t="n">
        <f aca="false">H46*12</f>
        <v>277020</v>
      </c>
      <c r="P46" s="8" t="n">
        <f aca="false">MIN(100,ROUND(100*J46/Assumptions!$B$8,0))</f>
        <v>62</v>
      </c>
      <c r="Q46" s="8" t="n">
        <f aca="false">IF(L46="",Assumptions!$B$9,L46*10)</f>
        <v>40</v>
      </c>
      <c r="R46" s="8" t="n">
        <f aca="false">IF(M46&lt;=1,Assumptions!$B$12,IF(M46&lt;=3,Assumptions!$B$13,IF(M46&lt;=6,Assumptions!$B$14,Assumptions!$B$15)))</f>
        <v>50</v>
      </c>
      <c r="S46" s="8" t="n">
        <f aca="false">IF(N46="Completed On Time",Assumptions!$B$16,IF(N46="Completed Late",Assumptions!$B$17,Assumptions!$B$18))</f>
        <v>60</v>
      </c>
      <c r="T46" s="8" t="n">
        <f aca="false">IF(I46=0,Assumptions!$B$20,IF(H46&gt;I46,Assumptions!$B$19,IF(H46=I46,Assumptions!$B$20,Assumptions!$B$21)))</f>
        <v>70</v>
      </c>
      <c r="U46" s="8" t="n">
        <f aca="false">ROUND(P46*Assumptions!$B$2+Q46*Assumptions!$B$3+R46*Assumptions!$B$4+S46*Assumptions!$B$5+T46*Assumptions!$B$6,0)</f>
        <v>57</v>
      </c>
      <c r="V46" s="8" t="str">
        <f aca="false">IF(U46&gt;=Assumptions!$B$10,"Healthy",IF(U46&gt;=Assumptions!$B$11,"Needs Attention","High Risk"))</f>
        <v>High Risk</v>
      </c>
    </row>
    <row r="47" customFormat="false" ht="15" hidden="false" customHeight="false" outlineLevel="0" collapsed="false">
      <c r="A47" s="8" t="s">
        <v>234</v>
      </c>
      <c r="B47" s="8" t="s">
        <v>235</v>
      </c>
      <c r="C47" s="8" t="s">
        <v>55</v>
      </c>
      <c r="D47" s="8" t="s">
        <v>55</v>
      </c>
      <c r="E47" s="8" t="s">
        <v>123</v>
      </c>
      <c r="F47" s="8" t="s">
        <v>124</v>
      </c>
      <c r="G47" s="8" t="s">
        <v>185</v>
      </c>
      <c r="H47" s="15" t="n">
        <v>23085</v>
      </c>
      <c r="I47" s="15" t="n">
        <v>23085</v>
      </c>
      <c r="J47" s="16" t="n">
        <v>0.814</v>
      </c>
      <c r="K47" s="8" t="n">
        <v>8.3</v>
      </c>
      <c r="L47" s="8" t="n">
        <v>8</v>
      </c>
      <c r="M47" s="8" t="n">
        <v>5</v>
      </c>
      <c r="N47" s="8" t="s">
        <v>120</v>
      </c>
      <c r="O47" s="15" t="n">
        <f aca="false">H47*12</f>
        <v>277020</v>
      </c>
      <c r="P47" s="8" t="n">
        <f aca="false">MIN(100,ROUND(100*J47/Assumptions!$B$8,0))</f>
        <v>90</v>
      </c>
      <c r="Q47" s="8" t="n">
        <f aca="false">IF(L47="",Assumptions!$B$9,L47*10)</f>
        <v>80</v>
      </c>
      <c r="R47" s="8" t="n">
        <f aca="false">IF(M47&lt;=1,Assumptions!$B$12,IF(M47&lt;=3,Assumptions!$B$13,IF(M47&lt;=6,Assumptions!$B$14,Assumptions!$B$15)))</f>
        <v>50</v>
      </c>
      <c r="S47" s="8" t="n">
        <f aca="false">IF(N47="Completed On Time",Assumptions!$B$16,IF(N47="Completed Late",Assumptions!$B$17,Assumptions!$B$18))</f>
        <v>100</v>
      </c>
      <c r="T47" s="8" t="n">
        <f aca="false">IF(I47=0,Assumptions!$B$20,IF(H47&gt;I47,Assumptions!$B$19,IF(H47=I47,Assumptions!$B$20,Assumptions!$B$21)))</f>
        <v>70</v>
      </c>
      <c r="U47" s="8" t="n">
        <f aca="false">ROUND(P47*Assumptions!$B$2+Q47*Assumptions!$B$3+R47*Assumptions!$B$4+S47*Assumptions!$B$5+T47*Assumptions!$B$6,0)</f>
        <v>79</v>
      </c>
      <c r="V47" s="8" t="str">
        <f aca="false">IF(U47&gt;=Assumptions!$B$10,"Healthy",IF(U47&gt;=Assumptions!$B$11,"Needs Attention","High Risk"))</f>
        <v>Needs Attention</v>
      </c>
    </row>
    <row r="48" customFormat="false" ht="15" hidden="false" customHeight="false" outlineLevel="0" collapsed="false">
      <c r="A48" s="8" t="s">
        <v>236</v>
      </c>
      <c r="B48" s="8" t="s">
        <v>237</v>
      </c>
      <c r="C48" s="8" t="s">
        <v>55</v>
      </c>
      <c r="D48" s="8" t="s">
        <v>55</v>
      </c>
      <c r="E48" s="8" t="s">
        <v>117</v>
      </c>
      <c r="F48" s="8" t="s">
        <v>118</v>
      </c>
      <c r="G48" s="8" t="s">
        <v>180</v>
      </c>
      <c r="H48" s="15" t="n">
        <v>23040</v>
      </c>
      <c r="I48" s="15" t="n">
        <v>0</v>
      </c>
      <c r="J48" s="16" t="n">
        <v>0.749</v>
      </c>
      <c r="K48" s="8" t="n">
        <v>9</v>
      </c>
      <c r="L48" s="8"/>
      <c r="M48" s="8" t="n">
        <v>3</v>
      </c>
      <c r="N48" s="8" t="s">
        <v>199</v>
      </c>
      <c r="O48" s="15" t="n">
        <f aca="false">H48*12</f>
        <v>276480</v>
      </c>
      <c r="P48" s="8" t="n">
        <f aca="false">MIN(100,ROUND(100*J48/Assumptions!$B$8,0))</f>
        <v>83</v>
      </c>
      <c r="Q48" s="8" t="n">
        <f aca="false">IF(L48="",Assumptions!$B$9,L48*10)</f>
        <v>50</v>
      </c>
      <c r="R48" s="8" t="n">
        <f aca="false">IF(M48&lt;=1,Assumptions!$B$12,IF(M48&lt;=3,Assumptions!$B$13,IF(M48&lt;=6,Assumptions!$B$14,Assumptions!$B$15)))</f>
        <v>75</v>
      </c>
      <c r="S48" s="8" t="n">
        <f aca="false">IF(N48="Completed On Time",Assumptions!$B$16,IF(N48="Completed Late",Assumptions!$B$17,Assumptions!$B$18))</f>
        <v>50</v>
      </c>
      <c r="T48" s="8" t="n">
        <f aca="false">IF(I48=0,Assumptions!$B$20,IF(H48&gt;I48,Assumptions!$B$19,IF(H48=I48,Assumptions!$B$20,Assumptions!$B$21)))</f>
        <v>70</v>
      </c>
      <c r="U48" s="8" t="n">
        <f aca="false">ROUND(P48*Assumptions!$B$2+Q48*Assumptions!$B$3+R48*Assumptions!$B$4+S48*Assumptions!$B$5+T48*Assumptions!$B$6,0)</f>
        <v>69</v>
      </c>
      <c r="V48" s="8" t="str">
        <f aca="false">IF(U48&gt;=Assumptions!$B$10,"Healthy",IF(U48&gt;=Assumptions!$B$11,"Needs Attention","High Risk"))</f>
        <v>Needs Attention</v>
      </c>
    </row>
    <row r="49" customFormat="false" ht="15" hidden="false" customHeight="false" outlineLevel="0" collapsed="false">
      <c r="A49" s="8" t="s">
        <v>238</v>
      </c>
      <c r="B49" s="8" t="s">
        <v>239</v>
      </c>
      <c r="C49" s="8" t="s">
        <v>55</v>
      </c>
      <c r="D49" s="8" t="s">
        <v>55</v>
      </c>
      <c r="E49" s="8" t="s">
        <v>123</v>
      </c>
      <c r="F49" s="8" t="s">
        <v>124</v>
      </c>
      <c r="G49" s="8" t="s">
        <v>137</v>
      </c>
      <c r="H49" s="15" t="n">
        <v>22995</v>
      </c>
      <c r="I49" s="15" t="n">
        <v>22995</v>
      </c>
      <c r="J49" s="16" t="n">
        <v>0.761</v>
      </c>
      <c r="K49" s="8" t="n">
        <v>9</v>
      </c>
      <c r="L49" s="8" t="n">
        <v>9</v>
      </c>
      <c r="M49" s="8" t="n">
        <v>4</v>
      </c>
      <c r="N49" s="8" t="s">
        <v>120</v>
      </c>
      <c r="O49" s="15" t="n">
        <f aca="false">H49*12</f>
        <v>275940</v>
      </c>
      <c r="P49" s="8" t="n">
        <f aca="false">MIN(100,ROUND(100*J49/Assumptions!$B$8,0))</f>
        <v>85</v>
      </c>
      <c r="Q49" s="8" t="n">
        <f aca="false">IF(L49="",Assumptions!$B$9,L49*10)</f>
        <v>90</v>
      </c>
      <c r="R49" s="8" t="n">
        <f aca="false">IF(M49&lt;=1,Assumptions!$B$12,IF(M49&lt;=3,Assumptions!$B$13,IF(M49&lt;=6,Assumptions!$B$14,Assumptions!$B$15)))</f>
        <v>50</v>
      </c>
      <c r="S49" s="8" t="n">
        <f aca="false">IF(N49="Completed On Time",Assumptions!$B$16,IF(N49="Completed Late",Assumptions!$B$17,Assumptions!$B$18))</f>
        <v>100</v>
      </c>
      <c r="T49" s="8" t="n">
        <f aca="false">IF(I49=0,Assumptions!$B$20,IF(H49&gt;I49,Assumptions!$B$19,IF(H49=I49,Assumptions!$B$20,Assumptions!$B$21)))</f>
        <v>70</v>
      </c>
      <c r="U49" s="8" t="n">
        <f aca="false">ROUND(P49*Assumptions!$B$2+Q49*Assumptions!$B$3+R49*Assumptions!$B$4+S49*Assumptions!$B$5+T49*Assumptions!$B$6,0)</f>
        <v>79</v>
      </c>
      <c r="V49" s="8" t="str">
        <f aca="false">IF(U49&gt;=Assumptions!$B$10,"Healthy",IF(U49&gt;=Assumptions!$B$11,"Needs Attention","High Risk"))</f>
        <v>Needs Attention</v>
      </c>
    </row>
    <row r="50" customFormat="false" ht="15" hidden="false" customHeight="false" outlineLevel="0" collapsed="false">
      <c r="A50" s="8" t="s">
        <v>240</v>
      </c>
      <c r="B50" s="8" t="s">
        <v>241</v>
      </c>
      <c r="C50" s="8" t="s">
        <v>55</v>
      </c>
      <c r="D50" s="8" t="s">
        <v>55</v>
      </c>
      <c r="E50" s="8" t="s">
        <v>123</v>
      </c>
      <c r="F50" s="8" t="s">
        <v>190</v>
      </c>
      <c r="G50" s="8" t="s">
        <v>125</v>
      </c>
      <c r="H50" s="15" t="n">
        <v>22725</v>
      </c>
      <c r="I50" s="15" t="n">
        <v>22725</v>
      </c>
      <c r="J50" s="16" t="n">
        <v>0.745</v>
      </c>
      <c r="K50" s="8" t="n">
        <v>8.7</v>
      </c>
      <c r="L50" s="8" t="n">
        <v>6</v>
      </c>
      <c r="M50" s="8" t="n">
        <v>2</v>
      </c>
      <c r="N50" s="8" t="s">
        <v>120</v>
      </c>
      <c r="O50" s="15" t="n">
        <f aca="false">H50*12</f>
        <v>272700</v>
      </c>
      <c r="P50" s="8" t="n">
        <f aca="false">MIN(100,ROUND(100*J50/Assumptions!$B$8,0))</f>
        <v>83</v>
      </c>
      <c r="Q50" s="8" t="n">
        <f aca="false">IF(L50="",Assumptions!$B$9,L50*10)</f>
        <v>60</v>
      </c>
      <c r="R50" s="8" t="n">
        <f aca="false">IF(M50&lt;=1,Assumptions!$B$12,IF(M50&lt;=3,Assumptions!$B$13,IF(M50&lt;=6,Assumptions!$B$14,Assumptions!$B$15)))</f>
        <v>75</v>
      </c>
      <c r="S50" s="8" t="n">
        <f aca="false">IF(N50="Completed On Time",Assumptions!$B$16,IF(N50="Completed Late",Assumptions!$B$17,Assumptions!$B$18))</f>
        <v>100</v>
      </c>
      <c r="T50" s="8" t="n">
        <f aca="false">IF(I50=0,Assumptions!$B$20,IF(H50&gt;I50,Assumptions!$B$19,IF(H50=I50,Assumptions!$B$20,Assumptions!$B$21)))</f>
        <v>70</v>
      </c>
      <c r="U50" s="8" t="n">
        <f aca="false">ROUND(P50*Assumptions!$B$2+Q50*Assumptions!$B$3+R50*Assumptions!$B$4+S50*Assumptions!$B$5+T50*Assumptions!$B$6,0)</f>
        <v>76</v>
      </c>
      <c r="V50" s="8" t="str">
        <f aca="false">IF(U50&gt;=Assumptions!$B$10,"Healthy",IF(U50&gt;=Assumptions!$B$11,"Needs Attention","High Risk"))</f>
        <v>Needs Attention</v>
      </c>
    </row>
    <row r="51" customFormat="false" ht="15" hidden="false" customHeight="false" outlineLevel="0" collapsed="false">
      <c r="A51" s="8" t="s">
        <v>242</v>
      </c>
      <c r="B51" s="8" t="s">
        <v>243</v>
      </c>
      <c r="C51" s="8" t="s">
        <v>55</v>
      </c>
      <c r="D51" s="8" t="s">
        <v>55</v>
      </c>
      <c r="E51" s="8" t="s">
        <v>123</v>
      </c>
      <c r="F51" s="8" t="s">
        <v>190</v>
      </c>
      <c r="G51" s="8" t="s">
        <v>185</v>
      </c>
      <c r="H51" s="15" t="n">
        <v>22635</v>
      </c>
      <c r="I51" s="15" t="n">
        <v>22635</v>
      </c>
      <c r="J51" s="16" t="n">
        <v>0.618</v>
      </c>
      <c r="K51" s="8" t="n">
        <v>6</v>
      </c>
      <c r="L51" s="8" t="n">
        <v>9</v>
      </c>
      <c r="M51" s="8" t="n">
        <v>5</v>
      </c>
      <c r="N51" s="8" t="s">
        <v>148</v>
      </c>
      <c r="O51" s="15" t="n">
        <f aca="false">H51*12</f>
        <v>271620</v>
      </c>
      <c r="P51" s="8" t="n">
        <f aca="false">MIN(100,ROUND(100*J51/Assumptions!$B$8,0))</f>
        <v>69</v>
      </c>
      <c r="Q51" s="8" t="n">
        <f aca="false">IF(L51="",Assumptions!$B$9,L51*10)</f>
        <v>90</v>
      </c>
      <c r="R51" s="8" t="n">
        <f aca="false">IF(M51&lt;=1,Assumptions!$B$12,IF(M51&lt;=3,Assumptions!$B$13,IF(M51&lt;=6,Assumptions!$B$14,Assumptions!$B$15)))</f>
        <v>50</v>
      </c>
      <c r="S51" s="8" t="n">
        <f aca="false">IF(N51="Completed On Time",Assumptions!$B$16,IF(N51="Completed Late",Assumptions!$B$17,Assumptions!$B$18))</f>
        <v>60</v>
      </c>
      <c r="T51" s="8" t="n">
        <f aca="false">IF(I51=0,Assumptions!$B$20,IF(H51&gt;I51,Assumptions!$B$19,IF(H51=I51,Assumptions!$B$20,Assumptions!$B$21)))</f>
        <v>70</v>
      </c>
      <c r="U51" s="8" t="n">
        <f aca="false">ROUND(P51*Assumptions!$B$2+Q51*Assumptions!$B$3+R51*Assumptions!$B$4+S51*Assumptions!$B$5+T51*Assumptions!$B$6,0)</f>
        <v>70</v>
      </c>
      <c r="V51" s="8" t="str">
        <f aca="false">IF(U51&gt;=Assumptions!$B$10,"Healthy",IF(U51&gt;=Assumptions!$B$11,"Needs Attention","High Risk"))</f>
        <v>Needs Attention</v>
      </c>
    </row>
    <row r="52" customFormat="false" ht="15" hidden="false" customHeight="false" outlineLevel="0" collapsed="false">
      <c r="A52" s="8" t="s">
        <v>244</v>
      </c>
      <c r="B52" s="8" t="s">
        <v>245</v>
      </c>
      <c r="C52" s="8" t="s">
        <v>55</v>
      </c>
      <c r="D52" s="8" t="s">
        <v>55</v>
      </c>
      <c r="E52" s="8" t="s">
        <v>132</v>
      </c>
      <c r="F52" s="8" t="s">
        <v>143</v>
      </c>
      <c r="G52" s="8" t="s">
        <v>147</v>
      </c>
      <c r="H52" s="15" t="n">
        <v>22455</v>
      </c>
      <c r="I52" s="15" t="n">
        <v>22455</v>
      </c>
      <c r="J52" s="16" t="n">
        <v>0.643</v>
      </c>
      <c r="K52" s="8" t="n">
        <v>7.3</v>
      </c>
      <c r="L52" s="8" t="n">
        <v>8</v>
      </c>
      <c r="M52" s="8" t="n">
        <v>9</v>
      </c>
      <c r="N52" s="8" t="s">
        <v>120</v>
      </c>
      <c r="O52" s="15" t="n">
        <f aca="false">H52*12</f>
        <v>269460</v>
      </c>
      <c r="P52" s="8" t="n">
        <f aca="false">MIN(100,ROUND(100*J52/Assumptions!$B$8,0))</f>
        <v>71</v>
      </c>
      <c r="Q52" s="8" t="n">
        <f aca="false">IF(L52="",Assumptions!$B$9,L52*10)</f>
        <v>80</v>
      </c>
      <c r="R52" s="8" t="n">
        <f aca="false">IF(M52&lt;=1,Assumptions!$B$12,IF(M52&lt;=3,Assumptions!$B$13,IF(M52&lt;=6,Assumptions!$B$14,Assumptions!$B$15)))</f>
        <v>20</v>
      </c>
      <c r="S52" s="8" t="n">
        <f aca="false">IF(N52="Completed On Time",Assumptions!$B$16,IF(N52="Completed Late",Assumptions!$B$17,Assumptions!$B$18))</f>
        <v>100</v>
      </c>
      <c r="T52" s="8" t="n">
        <f aca="false">IF(I52=0,Assumptions!$B$20,IF(H52&gt;I52,Assumptions!$B$19,IF(H52=I52,Assumptions!$B$20,Assumptions!$B$21)))</f>
        <v>70</v>
      </c>
      <c r="U52" s="8" t="n">
        <f aca="false">ROUND(P52*Assumptions!$B$2+Q52*Assumptions!$B$3+R52*Assumptions!$B$4+S52*Assumptions!$B$5+T52*Assumptions!$B$6,0)</f>
        <v>68</v>
      </c>
      <c r="V52" s="8" t="str">
        <f aca="false">IF(U52&gt;=Assumptions!$B$10,"Healthy",IF(U52&gt;=Assumptions!$B$11,"Needs Attention","High Risk"))</f>
        <v>Needs Attention</v>
      </c>
    </row>
    <row r="53" customFormat="false" ht="15" hidden="false" customHeight="false" outlineLevel="0" collapsed="false">
      <c r="A53" s="8" t="s">
        <v>246</v>
      </c>
      <c r="B53" s="8" t="s">
        <v>247</v>
      </c>
      <c r="C53" s="8" t="s">
        <v>55</v>
      </c>
      <c r="D53" s="8" t="s">
        <v>55</v>
      </c>
      <c r="E53" s="8" t="s">
        <v>132</v>
      </c>
      <c r="F53" s="8" t="s">
        <v>136</v>
      </c>
      <c r="G53" s="8" t="s">
        <v>185</v>
      </c>
      <c r="H53" s="15" t="n">
        <v>22230</v>
      </c>
      <c r="I53" s="15" t="n">
        <v>22230</v>
      </c>
      <c r="J53" s="16" t="n">
        <v>0.627</v>
      </c>
      <c r="K53" s="8" t="n">
        <v>11</v>
      </c>
      <c r="L53" s="8" t="n">
        <v>8</v>
      </c>
      <c r="M53" s="8" t="n">
        <v>1</v>
      </c>
      <c r="N53" s="8" t="s">
        <v>120</v>
      </c>
      <c r="O53" s="15" t="n">
        <f aca="false">H53*12</f>
        <v>266760</v>
      </c>
      <c r="P53" s="8" t="n">
        <f aca="false">MIN(100,ROUND(100*J53/Assumptions!$B$8,0))</f>
        <v>70</v>
      </c>
      <c r="Q53" s="8" t="n">
        <f aca="false">IF(L53="",Assumptions!$B$9,L53*10)</f>
        <v>80</v>
      </c>
      <c r="R53" s="8" t="n">
        <f aca="false">IF(M53&lt;=1,Assumptions!$B$12,IF(M53&lt;=3,Assumptions!$B$13,IF(M53&lt;=6,Assumptions!$B$14,Assumptions!$B$15)))</f>
        <v>100</v>
      </c>
      <c r="S53" s="8" t="n">
        <f aca="false">IF(N53="Completed On Time",Assumptions!$B$16,IF(N53="Completed Late",Assumptions!$B$17,Assumptions!$B$18))</f>
        <v>100</v>
      </c>
      <c r="T53" s="8" t="n">
        <f aca="false">IF(I53=0,Assumptions!$B$20,IF(H53&gt;I53,Assumptions!$B$19,IF(H53=I53,Assumptions!$B$20,Assumptions!$B$21)))</f>
        <v>70</v>
      </c>
      <c r="U53" s="8" t="n">
        <f aca="false">ROUND(P53*Assumptions!$B$2+Q53*Assumptions!$B$3+R53*Assumptions!$B$4+S53*Assumptions!$B$5+T53*Assumptions!$B$6,0)</f>
        <v>80</v>
      </c>
      <c r="V53" s="8" t="str">
        <f aca="false">IF(U53&gt;=Assumptions!$B$10,"Healthy",IF(U53&gt;=Assumptions!$B$11,"Needs Attention","High Risk"))</f>
        <v>Healthy</v>
      </c>
    </row>
    <row r="54" customFormat="false" ht="15" hidden="false" customHeight="false" outlineLevel="0" collapsed="false">
      <c r="A54" s="8" t="s">
        <v>248</v>
      </c>
      <c r="B54" s="8" t="s">
        <v>249</v>
      </c>
      <c r="C54" s="8" t="s">
        <v>55</v>
      </c>
      <c r="D54" s="8" t="s">
        <v>55</v>
      </c>
      <c r="E54" s="8" t="s">
        <v>117</v>
      </c>
      <c r="F54" s="8" t="s">
        <v>136</v>
      </c>
      <c r="G54" s="8" t="s">
        <v>144</v>
      </c>
      <c r="H54" s="15" t="n">
        <v>22140</v>
      </c>
      <c r="I54" s="15" t="n">
        <v>22140</v>
      </c>
      <c r="J54" s="16" t="n">
        <v>0.751</v>
      </c>
      <c r="K54" s="8" t="n">
        <v>9.3</v>
      </c>
      <c r="L54" s="8" t="n">
        <v>9</v>
      </c>
      <c r="M54" s="8" t="n">
        <v>6</v>
      </c>
      <c r="N54" s="8" t="s">
        <v>120</v>
      </c>
      <c r="O54" s="15" t="n">
        <f aca="false">H54*12</f>
        <v>265680</v>
      </c>
      <c r="P54" s="8" t="n">
        <f aca="false">MIN(100,ROUND(100*J54/Assumptions!$B$8,0))</f>
        <v>83</v>
      </c>
      <c r="Q54" s="8" t="n">
        <f aca="false">IF(L54="",Assumptions!$B$9,L54*10)</f>
        <v>90</v>
      </c>
      <c r="R54" s="8" t="n">
        <f aca="false">IF(M54&lt;=1,Assumptions!$B$12,IF(M54&lt;=3,Assumptions!$B$13,IF(M54&lt;=6,Assumptions!$B$14,Assumptions!$B$15)))</f>
        <v>50</v>
      </c>
      <c r="S54" s="8" t="n">
        <f aca="false">IF(N54="Completed On Time",Assumptions!$B$16,IF(N54="Completed Late",Assumptions!$B$17,Assumptions!$B$18))</f>
        <v>100</v>
      </c>
      <c r="T54" s="8" t="n">
        <f aca="false">IF(I54=0,Assumptions!$B$20,IF(H54&gt;I54,Assumptions!$B$19,IF(H54=I54,Assumptions!$B$20,Assumptions!$B$21)))</f>
        <v>70</v>
      </c>
      <c r="U54" s="8" t="n">
        <f aca="false">ROUND(P54*Assumptions!$B$2+Q54*Assumptions!$B$3+R54*Assumptions!$B$4+S54*Assumptions!$B$5+T54*Assumptions!$B$6,0)</f>
        <v>79</v>
      </c>
      <c r="V54" s="8" t="str">
        <f aca="false">IF(U54&gt;=Assumptions!$B$10,"Healthy",IF(U54&gt;=Assumptions!$B$11,"Needs Attention","High Risk"))</f>
        <v>Needs Attention</v>
      </c>
    </row>
    <row r="55" customFormat="false" ht="15" hidden="false" customHeight="false" outlineLevel="0" collapsed="false">
      <c r="A55" s="8" t="s">
        <v>250</v>
      </c>
      <c r="B55" s="8" t="s">
        <v>251</v>
      </c>
      <c r="C55" s="8" t="s">
        <v>55</v>
      </c>
      <c r="D55" s="8" t="s">
        <v>55</v>
      </c>
      <c r="E55" s="8" t="s">
        <v>123</v>
      </c>
      <c r="F55" s="8" t="s">
        <v>136</v>
      </c>
      <c r="G55" s="8" t="s">
        <v>144</v>
      </c>
      <c r="H55" s="15" t="n">
        <v>21915</v>
      </c>
      <c r="I55" s="15" t="n">
        <v>21915</v>
      </c>
      <c r="J55" s="16" t="n">
        <v>0.863</v>
      </c>
      <c r="K55" s="8" t="n">
        <v>11</v>
      </c>
      <c r="L55" s="8" t="n">
        <v>9</v>
      </c>
      <c r="M55" s="8" t="n">
        <v>5</v>
      </c>
      <c r="N55" s="8" t="s">
        <v>120</v>
      </c>
      <c r="O55" s="15" t="n">
        <f aca="false">H55*12</f>
        <v>262980</v>
      </c>
      <c r="P55" s="8" t="n">
        <f aca="false">MIN(100,ROUND(100*J55/Assumptions!$B$8,0))</f>
        <v>96</v>
      </c>
      <c r="Q55" s="8" t="n">
        <f aca="false">IF(L55="",Assumptions!$B$9,L55*10)</f>
        <v>90</v>
      </c>
      <c r="R55" s="8" t="n">
        <f aca="false">IF(M55&lt;=1,Assumptions!$B$12,IF(M55&lt;=3,Assumptions!$B$13,IF(M55&lt;=6,Assumptions!$B$14,Assumptions!$B$15)))</f>
        <v>50</v>
      </c>
      <c r="S55" s="8" t="n">
        <f aca="false">IF(N55="Completed On Time",Assumptions!$B$16,IF(N55="Completed Late",Assumptions!$B$17,Assumptions!$B$18))</f>
        <v>100</v>
      </c>
      <c r="T55" s="8" t="n">
        <f aca="false">IF(I55=0,Assumptions!$B$20,IF(H55&gt;I55,Assumptions!$B$19,IF(H55=I55,Assumptions!$B$20,Assumptions!$B$21)))</f>
        <v>70</v>
      </c>
      <c r="U55" s="8" t="n">
        <f aca="false">ROUND(P55*Assumptions!$B$2+Q55*Assumptions!$B$3+R55*Assumptions!$B$4+S55*Assumptions!$B$5+T55*Assumptions!$B$6,0)</f>
        <v>83</v>
      </c>
      <c r="V55" s="8" t="str">
        <f aca="false">IF(U55&gt;=Assumptions!$B$10,"Healthy",IF(U55&gt;=Assumptions!$B$11,"Needs Attention","High Risk"))</f>
        <v>Healthy</v>
      </c>
    </row>
    <row r="56" customFormat="false" ht="15" hidden="false" customHeight="false" outlineLevel="0" collapsed="false">
      <c r="A56" s="8" t="s">
        <v>252</v>
      </c>
      <c r="B56" s="8" t="s">
        <v>253</v>
      </c>
      <c r="C56" s="8" t="s">
        <v>55</v>
      </c>
      <c r="D56" s="8" t="s">
        <v>55</v>
      </c>
      <c r="E56" s="8" t="s">
        <v>117</v>
      </c>
      <c r="F56" s="8" t="s">
        <v>136</v>
      </c>
      <c r="G56" s="8" t="s">
        <v>129</v>
      </c>
      <c r="H56" s="15" t="n">
        <v>21690</v>
      </c>
      <c r="I56" s="15" t="n">
        <v>21690</v>
      </c>
      <c r="J56" s="16" t="n">
        <v>0.775</v>
      </c>
      <c r="K56" s="8" t="n">
        <v>8.3</v>
      </c>
      <c r="L56" s="8" t="n">
        <v>7</v>
      </c>
      <c r="M56" s="8" t="n">
        <v>4</v>
      </c>
      <c r="N56" s="8" t="s">
        <v>148</v>
      </c>
      <c r="O56" s="15" t="n">
        <f aca="false">H56*12</f>
        <v>260280</v>
      </c>
      <c r="P56" s="8" t="n">
        <f aca="false">MIN(100,ROUND(100*J56/Assumptions!$B$8,0))</f>
        <v>86</v>
      </c>
      <c r="Q56" s="8" t="n">
        <f aca="false">IF(L56="",Assumptions!$B$9,L56*10)</f>
        <v>70</v>
      </c>
      <c r="R56" s="8" t="n">
        <f aca="false">IF(M56&lt;=1,Assumptions!$B$12,IF(M56&lt;=3,Assumptions!$B$13,IF(M56&lt;=6,Assumptions!$B$14,Assumptions!$B$15)))</f>
        <v>50</v>
      </c>
      <c r="S56" s="8" t="n">
        <f aca="false">IF(N56="Completed On Time",Assumptions!$B$16,IF(N56="Completed Late",Assumptions!$B$17,Assumptions!$B$18))</f>
        <v>60</v>
      </c>
      <c r="T56" s="8" t="n">
        <f aca="false">IF(I56=0,Assumptions!$B$20,IF(H56&gt;I56,Assumptions!$B$19,IF(H56=I56,Assumptions!$B$20,Assumptions!$B$21)))</f>
        <v>70</v>
      </c>
      <c r="U56" s="8" t="n">
        <f aca="false">ROUND(P56*Assumptions!$B$2+Q56*Assumptions!$B$3+R56*Assumptions!$B$4+S56*Assumptions!$B$5+T56*Assumptions!$B$6,0)</f>
        <v>72</v>
      </c>
      <c r="V56" s="8" t="str">
        <f aca="false">IF(U56&gt;=Assumptions!$B$10,"Healthy",IF(U56&gt;=Assumptions!$B$11,"Needs Attention","High Risk"))</f>
        <v>Needs Attention</v>
      </c>
    </row>
    <row r="57" customFormat="false" ht="15" hidden="false" customHeight="false" outlineLevel="0" collapsed="false">
      <c r="A57" s="8" t="s">
        <v>254</v>
      </c>
      <c r="B57" s="8" t="s">
        <v>255</v>
      </c>
      <c r="C57" s="8" t="s">
        <v>55</v>
      </c>
      <c r="D57" s="8" t="s">
        <v>55</v>
      </c>
      <c r="E57" s="8" t="s">
        <v>128</v>
      </c>
      <c r="F57" s="8" t="s">
        <v>154</v>
      </c>
      <c r="G57" s="8" t="s">
        <v>147</v>
      </c>
      <c r="H57" s="15" t="n">
        <v>21375</v>
      </c>
      <c r="I57" s="15" t="n">
        <v>21375</v>
      </c>
      <c r="J57" s="16" t="n">
        <v>0.673</v>
      </c>
      <c r="K57" s="8" t="n">
        <v>9</v>
      </c>
      <c r="L57" s="8" t="n">
        <v>9</v>
      </c>
      <c r="M57" s="8" t="n">
        <v>6</v>
      </c>
      <c r="N57" s="8" t="s">
        <v>120</v>
      </c>
      <c r="O57" s="15" t="n">
        <f aca="false">H57*12</f>
        <v>256500</v>
      </c>
      <c r="P57" s="8" t="n">
        <f aca="false">MIN(100,ROUND(100*J57/Assumptions!$B$8,0))</f>
        <v>75</v>
      </c>
      <c r="Q57" s="8" t="n">
        <f aca="false">IF(L57="",Assumptions!$B$9,L57*10)</f>
        <v>90</v>
      </c>
      <c r="R57" s="8" t="n">
        <f aca="false">IF(M57&lt;=1,Assumptions!$B$12,IF(M57&lt;=3,Assumptions!$B$13,IF(M57&lt;=6,Assumptions!$B$14,Assumptions!$B$15)))</f>
        <v>50</v>
      </c>
      <c r="S57" s="8" t="n">
        <f aca="false">IF(N57="Completed On Time",Assumptions!$B$16,IF(N57="Completed Late",Assumptions!$B$17,Assumptions!$B$18))</f>
        <v>100</v>
      </c>
      <c r="T57" s="8" t="n">
        <f aca="false">IF(I57=0,Assumptions!$B$20,IF(H57&gt;I57,Assumptions!$B$19,IF(H57=I57,Assumptions!$B$20,Assumptions!$B$21)))</f>
        <v>70</v>
      </c>
      <c r="U57" s="8" t="n">
        <f aca="false">ROUND(P57*Assumptions!$B$2+Q57*Assumptions!$B$3+R57*Assumptions!$B$4+S57*Assumptions!$B$5+T57*Assumptions!$B$6,0)</f>
        <v>76</v>
      </c>
      <c r="V57" s="8" t="str">
        <f aca="false">IF(U57&gt;=Assumptions!$B$10,"Healthy",IF(U57&gt;=Assumptions!$B$11,"Needs Attention","High Risk"))</f>
        <v>Needs Attention</v>
      </c>
    </row>
    <row r="58" customFormat="false" ht="15" hidden="false" customHeight="false" outlineLevel="0" collapsed="false">
      <c r="A58" s="8" t="s">
        <v>256</v>
      </c>
      <c r="B58" s="8" t="s">
        <v>257</v>
      </c>
      <c r="C58" s="8" t="s">
        <v>55</v>
      </c>
      <c r="D58" s="8" t="s">
        <v>55</v>
      </c>
      <c r="E58" s="8" t="s">
        <v>132</v>
      </c>
      <c r="F58" s="8" t="s">
        <v>143</v>
      </c>
      <c r="G58" s="8" t="s">
        <v>180</v>
      </c>
      <c r="H58" s="15" t="n">
        <v>21330</v>
      </c>
      <c r="I58" s="15" t="n">
        <v>21330</v>
      </c>
      <c r="J58" s="16" t="n">
        <v>0.628</v>
      </c>
      <c r="K58" s="8" t="n">
        <v>7.7</v>
      </c>
      <c r="L58" s="8" t="n">
        <v>10</v>
      </c>
      <c r="M58" s="8" t="n">
        <v>6</v>
      </c>
      <c r="N58" s="8" t="s">
        <v>148</v>
      </c>
      <c r="O58" s="15" t="n">
        <f aca="false">H58*12</f>
        <v>255960</v>
      </c>
      <c r="P58" s="8" t="n">
        <f aca="false">MIN(100,ROUND(100*J58/Assumptions!$B$8,0))</f>
        <v>70</v>
      </c>
      <c r="Q58" s="8" t="n">
        <f aca="false">IF(L58="",Assumptions!$B$9,L58*10)</f>
        <v>100</v>
      </c>
      <c r="R58" s="8" t="n">
        <f aca="false">IF(M58&lt;=1,Assumptions!$B$12,IF(M58&lt;=3,Assumptions!$B$13,IF(M58&lt;=6,Assumptions!$B$14,Assumptions!$B$15)))</f>
        <v>50</v>
      </c>
      <c r="S58" s="8" t="n">
        <f aca="false">IF(N58="Completed On Time",Assumptions!$B$16,IF(N58="Completed Late",Assumptions!$B$17,Assumptions!$B$18))</f>
        <v>60</v>
      </c>
      <c r="T58" s="8" t="n">
        <f aca="false">IF(I58=0,Assumptions!$B$20,IF(H58&gt;I58,Assumptions!$B$19,IF(H58=I58,Assumptions!$B$20,Assumptions!$B$21)))</f>
        <v>70</v>
      </c>
      <c r="U58" s="8" t="n">
        <f aca="false">ROUND(P58*Assumptions!$B$2+Q58*Assumptions!$B$3+R58*Assumptions!$B$4+S58*Assumptions!$B$5+T58*Assumptions!$B$6,0)</f>
        <v>72</v>
      </c>
      <c r="V58" s="8" t="str">
        <f aca="false">IF(U58&gt;=Assumptions!$B$10,"Healthy",IF(U58&gt;=Assumptions!$B$11,"Needs Attention","High Risk"))</f>
        <v>Needs Attention</v>
      </c>
    </row>
    <row r="59" customFormat="false" ht="15" hidden="false" customHeight="false" outlineLevel="0" collapsed="false">
      <c r="A59" s="8" t="s">
        <v>258</v>
      </c>
      <c r="B59" s="8" t="s">
        <v>259</v>
      </c>
      <c r="C59" s="8" t="s">
        <v>55</v>
      </c>
      <c r="D59" s="8" t="s">
        <v>55</v>
      </c>
      <c r="E59" s="8" t="s">
        <v>123</v>
      </c>
      <c r="F59" s="8" t="s">
        <v>124</v>
      </c>
      <c r="G59" s="8" t="s">
        <v>140</v>
      </c>
      <c r="H59" s="15" t="n">
        <v>21330</v>
      </c>
      <c r="I59" s="15" t="n">
        <v>21330</v>
      </c>
      <c r="J59" s="16" t="n">
        <v>0.681</v>
      </c>
      <c r="K59" s="8" t="n">
        <v>7.3</v>
      </c>
      <c r="L59" s="8" t="n">
        <v>8</v>
      </c>
      <c r="M59" s="8" t="n">
        <v>7</v>
      </c>
      <c r="N59" s="8" t="s">
        <v>120</v>
      </c>
      <c r="O59" s="15" t="n">
        <f aca="false">H59*12</f>
        <v>255960</v>
      </c>
      <c r="P59" s="8" t="n">
        <f aca="false">MIN(100,ROUND(100*J59/Assumptions!$B$8,0))</f>
        <v>76</v>
      </c>
      <c r="Q59" s="8" t="n">
        <f aca="false">IF(L59="",Assumptions!$B$9,L59*10)</f>
        <v>80</v>
      </c>
      <c r="R59" s="8" t="n">
        <f aca="false">IF(M59&lt;=1,Assumptions!$B$12,IF(M59&lt;=3,Assumptions!$B$13,IF(M59&lt;=6,Assumptions!$B$14,Assumptions!$B$15)))</f>
        <v>20</v>
      </c>
      <c r="S59" s="8" t="n">
        <f aca="false">IF(N59="Completed On Time",Assumptions!$B$16,IF(N59="Completed Late",Assumptions!$B$17,Assumptions!$B$18))</f>
        <v>100</v>
      </c>
      <c r="T59" s="8" t="n">
        <f aca="false">IF(I59=0,Assumptions!$B$20,IF(H59&gt;I59,Assumptions!$B$19,IF(H59=I59,Assumptions!$B$20,Assumptions!$B$21)))</f>
        <v>70</v>
      </c>
      <c r="U59" s="8" t="n">
        <f aca="false">ROUND(P59*Assumptions!$B$2+Q59*Assumptions!$B$3+R59*Assumptions!$B$4+S59*Assumptions!$B$5+T59*Assumptions!$B$6,0)</f>
        <v>70</v>
      </c>
      <c r="V59" s="8" t="str">
        <f aca="false">IF(U59&gt;=Assumptions!$B$10,"Healthy",IF(U59&gt;=Assumptions!$B$11,"Needs Attention","High Risk"))</f>
        <v>Needs Attention</v>
      </c>
    </row>
    <row r="60" customFormat="false" ht="15" hidden="false" customHeight="false" outlineLevel="0" collapsed="false">
      <c r="A60" s="8" t="s">
        <v>260</v>
      </c>
      <c r="B60" s="8" t="s">
        <v>261</v>
      </c>
      <c r="C60" s="8" t="s">
        <v>55</v>
      </c>
      <c r="D60" s="8" t="s">
        <v>55</v>
      </c>
      <c r="E60" s="8" t="s">
        <v>123</v>
      </c>
      <c r="F60" s="8" t="s">
        <v>124</v>
      </c>
      <c r="G60" s="8" t="s">
        <v>137</v>
      </c>
      <c r="H60" s="15" t="n">
        <v>21285</v>
      </c>
      <c r="I60" s="15" t="n">
        <v>21285</v>
      </c>
      <c r="J60" s="16" t="n">
        <v>0.787</v>
      </c>
      <c r="K60" s="8" t="n">
        <v>8.7</v>
      </c>
      <c r="L60" s="8" t="n">
        <v>7</v>
      </c>
      <c r="M60" s="8" t="n">
        <v>3</v>
      </c>
      <c r="N60" s="8" t="s">
        <v>148</v>
      </c>
      <c r="O60" s="15" t="n">
        <f aca="false">H60*12</f>
        <v>255420</v>
      </c>
      <c r="P60" s="8" t="n">
        <f aca="false">MIN(100,ROUND(100*J60/Assumptions!$B$8,0))</f>
        <v>87</v>
      </c>
      <c r="Q60" s="8" t="n">
        <f aca="false">IF(L60="",Assumptions!$B$9,L60*10)</f>
        <v>70</v>
      </c>
      <c r="R60" s="8" t="n">
        <f aca="false">IF(M60&lt;=1,Assumptions!$B$12,IF(M60&lt;=3,Assumptions!$B$13,IF(M60&lt;=6,Assumptions!$B$14,Assumptions!$B$15)))</f>
        <v>75</v>
      </c>
      <c r="S60" s="8" t="n">
        <f aca="false">IF(N60="Completed On Time",Assumptions!$B$16,IF(N60="Completed Late",Assumptions!$B$17,Assumptions!$B$18))</f>
        <v>60</v>
      </c>
      <c r="T60" s="8" t="n">
        <f aca="false">IF(I60=0,Assumptions!$B$20,IF(H60&gt;I60,Assumptions!$B$19,IF(H60=I60,Assumptions!$B$20,Assumptions!$B$21)))</f>
        <v>70</v>
      </c>
      <c r="U60" s="8" t="n">
        <f aca="false">ROUND(P60*Assumptions!$B$2+Q60*Assumptions!$B$3+R60*Assumptions!$B$4+S60*Assumptions!$B$5+T60*Assumptions!$B$6,0)</f>
        <v>76</v>
      </c>
      <c r="V60" s="8" t="str">
        <f aca="false">IF(U60&gt;=Assumptions!$B$10,"Healthy",IF(U60&gt;=Assumptions!$B$11,"Needs Attention","High Risk"))</f>
        <v>Needs Attention</v>
      </c>
    </row>
    <row r="61" customFormat="false" ht="15" hidden="false" customHeight="false" outlineLevel="0" collapsed="false">
      <c r="A61" s="8" t="s">
        <v>262</v>
      </c>
      <c r="B61" s="8" t="s">
        <v>263</v>
      </c>
      <c r="C61" s="8" t="s">
        <v>55</v>
      </c>
      <c r="D61" s="8" t="s">
        <v>55</v>
      </c>
      <c r="E61" s="8" t="s">
        <v>117</v>
      </c>
      <c r="F61" s="8" t="s">
        <v>118</v>
      </c>
      <c r="G61" s="8" t="s">
        <v>119</v>
      </c>
      <c r="H61" s="15" t="n">
        <v>21105</v>
      </c>
      <c r="I61" s="15" t="n">
        <v>21105</v>
      </c>
      <c r="J61" s="16" t="n">
        <v>0.814</v>
      </c>
      <c r="K61" s="8" t="n">
        <v>11.3</v>
      </c>
      <c r="L61" s="8" t="n">
        <v>10</v>
      </c>
      <c r="M61" s="8" t="n">
        <v>2</v>
      </c>
      <c r="N61" s="8" t="s">
        <v>120</v>
      </c>
      <c r="O61" s="15" t="n">
        <f aca="false">H61*12</f>
        <v>253260</v>
      </c>
      <c r="P61" s="8" t="n">
        <f aca="false">MIN(100,ROUND(100*J61/Assumptions!$B$8,0))</f>
        <v>90</v>
      </c>
      <c r="Q61" s="8" t="n">
        <f aca="false">IF(L61="",Assumptions!$B$9,L61*10)</f>
        <v>100</v>
      </c>
      <c r="R61" s="8" t="n">
        <f aca="false">IF(M61&lt;=1,Assumptions!$B$12,IF(M61&lt;=3,Assumptions!$B$13,IF(M61&lt;=6,Assumptions!$B$14,Assumptions!$B$15)))</f>
        <v>75</v>
      </c>
      <c r="S61" s="8" t="n">
        <f aca="false">IF(N61="Completed On Time",Assumptions!$B$16,IF(N61="Completed Late",Assumptions!$B$17,Assumptions!$B$18))</f>
        <v>100</v>
      </c>
      <c r="T61" s="8" t="n">
        <f aca="false">IF(I61=0,Assumptions!$B$20,IF(H61&gt;I61,Assumptions!$B$19,IF(H61=I61,Assumptions!$B$20,Assumptions!$B$21)))</f>
        <v>70</v>
      </c>
      <c r="U61" s="8" t="n">
        <f aca="false">ROUND(P61*Assumptions!$B$2+Q61*Assumptions!$B$3+R61*Assumptions!$B$4+S61*Assumptions!$B$5+T61*Assumptions!$B$6,0)</f>
        <v>87</v>
      </c>
      <c r="V61" s="8" t="str">
        <f aca="false">IF(U61&gt;=Assumptions!$B$10,"Healthy",IF(U61&gt;=Assumptions!$B$11,"Needs Attention","High Risk"))</f>
        <v>Healthy</v>
      </c>
    </row>
    <row r="62" customFormat="false" ht="15" hidden="false" customHeight="false" outlineLevel="0" collapsed="false">
      <c r="A62" s="8" t="s">
        <v>264</v>
      </c>
      <c r="B62" s="8" t="s">
        <v>265</v>
      </c>
      <c r="C62" s="8" t="s">
        <v>55</v>
      </c>
      <c r="D62" s="8" t="s">
        <v>55</v>
      </c>
      <c r="E62" s="8" t="s">
        <v>123</v>
      </c>
      <c r="F62" s="8" t="s">
        <v>190</v>
      </c>
      <c r="G62" s="8" t="s">
        <v>147</v>
      </c>
      <c r="H62" s="15" t="n">
        <v>20970</v>
      </c>
      <c r="I62" s="15" t="n">
        <v>20970</v>
      </c>
      <c r="J62" s="16" t="n">
        <v>0.797</v>
      </c>
      <c r="K62" s="8" t="n">
        <v>10.3</v>
      </c>
      <c r="L62" s="8" t="n">
        <v>10</v>
      </c>
      <c r="M62" s="8" t="n">
        <v>1</v>
      </c>
      <c r="N62" s="8" t="s">
        <v>120</v>
      </c>
      <c r="O62" s="15" t="n">
        <f aca="false">H62*12</f>
        <v>251640</v>
      </c>
      <c r="P62" s="8" t="n">
        <f aca="false">MIN(100,ROUND(100*J62/Assumptions!$B$8,0))</f>
        <v>89</v>
      </c>
      <c r="Q62" s="8" t="n">
        <f aca="false">IF(L62="",Assumptions!$B$9,L62*10)</f>
        <v>100</v>
      </c>
      <c r="R62" s="8" t="n">
        <f aca="false">IF(M62&lt;=1,Assumptions!$B$12,IF(M62&lt;=3,Assumptions!$B$13,IF(M62&lt;=6,Assumptions!$B$14,Assumptions!$B$15)))</f>
        <v>100</v>
      </c>
      <c r="S62" s="8" t="n">
        <f aca="false">IF(N62="Completed On Time",Assumptions!$B$16,IF(N62="Completed Late",Assumptions!$B$17,Assumptions!$B$18))</f>
        <v>100</v>
      </c>
      <c r="T62" s="8" t="n">
        <f aca="false">IF(I62=0,Assumptions!$B$20,IF(H62&gt;I62,Assumptions!$B$19,IF(H62=I62,Assumptions!$B$20,Assumptions!$B$21)))</f>
        <v>70</v>
      </c>
      <c r="U62" s="8" t="n">
        <f aca="false">ROUND(P62*Assumptions!$B$2+Q62*Assumptions!$B$3+R62*Assumptions!$B$4+S62*Assumptions!$B$5+T62*Assumptions!$B$6,0)</f>
        <v>90</v>
      </c>
      <c r="V62" s="8" t="str">
        <f aca="false">IF(U62&gt;=Assumptions!$B$10,"Healthy",IF(U62&gt;=Assumptions!$B$11,"Needs Attention","High Risk"))</f>
        <v>Healthy</v>
      </c>
    </row>
    <row r="63" customFormat="false" ht="15" hidden="false" customHeight="false" outlineLevel="0" collapsed="false">
      <c r="A63" s="8" t="s">
        <v>266</v>
      </c>
      <c r="B63" s="8" t="s">
        <v>267</v>
      </c>
      <c r="C63" s="8" t="s">
        <v>55</v>
      </c>
      <c r="D63" s="8" t="s">
        <v>55</v>
      </c>
      <c r="E63" s="8" t="s">
        <v>123</v>
      </c>
      <c r="F63" s="8" t="s">
        <v>124</v>
      </c>
      <c r="G63" s="8" t="s">
        <v>125</v>
      </c>
      <c r="H63" s="15" t="n">
        <v>20880</v>
      </c>
      <c r="I63" s="15" t="n">
        <v>20880</v>
      </c>
      <c r="J63" s="16" t="n">
        <v>0.872</v>
      </c>
      <c r="K63" s="8" t="n">
        <v>9.3</v>
      </c>
      <c r="L63" s="8" t="n">
        <v>10</v>
      </c>
      <c r="M63" s="8" t="n">
        <v>3</v>
      </c>
      <c r="N63" s="8" t="s">
        <v>120</v>
      </c>
      <c r="O63" s="15" t="n">
        <f aca="false">H63*12</f>
        <v>250560</v>
      </c>
      <c r="P63" s="8" t="n">
        <f aca="false">MIN(100,ROUND(100*J63/Assumptions!$B$8,0))</f>
        <v>97</v>
      </c>
      <c r="Q63" s="8" t="n">
        <f aca="false">IF(L63="",Assumptions!$B$9,L63*10)</f>
        <v>100</v>
      </c>
      <c r="R63" s="8" t="n">
        <f aca="false">IF(M63&lt;=1,Assumptions!$B$12,IF(M63&lt;=3,Assumptions!$B$13,IF(M63&lt;=6,Assumptions!$B$14,Assumptions!$B$15)))</f>
        <v>75</v>
      </c>
      <c r="S63" s="8" t="n">
        <f aca="false">IF(N63="Completed On Time",Assumptions!$B$16,IF(N63="Completed Late",Assumptions!$B$17,Assumptions!$B$18))</f>
        <v>100</v>
      </c>
      <c r="T63" s="8" t="n">
        <f aca="false">IF(I63=0,Assumptions!$B$20,IF(H63&gt;I63,Assumptions!$B$19,IF(H63=I63,Assumptions!$B$20,Assumptions!$B$21)))</f>
        <v>70</v>
      </c>
      <c r="U63" s="8" t="n">
        <f aca="false">ROUND(P63*Assumptions!$B$2+Q63*Assumptions!$B$3+R63*Assumptions!$B$4+S63*Assumptions!$B$5+T63*Assumptions!$B$6,0)</f>
        <v>89</v>
      </c>
      <c r="V63" s="8" t="str">
        <f aca="false">IF(U63&gt;=Assumptions!$B$10,"Healthy",IF(U63&gt;=Assumptions!$B$11,"Needs Attention","High Risk"))</f>
        <v>Healthy</v>
      </c>
    </row>
    <row r="64" customFormat="false" ht="15" hidden="false" customHeight="false" outlineLevel="0" collapsed="false">
      <c r="A64" s="8" t="s">
        <v>268</v>
      </c>
      <c r="B64" s="8" t="s">
        <v>269</v>
      </c>
      <c r="C64" s="8" t="s">
        <v>55</v>
      </c>
      <c r="D64" s="8" t="s">
        <v>55</v>
      </c>
      <c r="E64" s="8" t="s">
        <v>132</v>
      </c>
      <c r="F64" s="8" t="s">
        <v>166</v>
      </c>
      <c r="G64" s="8" t="s">
        <v>180</v>
      </c>
      <c r="H64" s="15" t="n">
        <v>20880</v>
      </c>
      <c r="I64" s="15" t="n">
        <v>20880</v>
      </c>
      <c r="J64" s="16" t="n">
        <v>0.782</v>
      </c>
      <c r="K64" s="8" t="n">
        <v>8.7</v>
      </c>
      <c r="L64" s="8" t="n">
        <v>9</v>
      </c>
      <c r="M64" s="8" t="n">
        <v>2</v>
      </c>
      <c r="N64" s="8" t="s">
        <v>120</v>
      </c>
      <c r="O64" s="15" t="n">
        <f aca="false">H64*12</f>
        <v>250560</v>
      </c>
      <c r="P64" s="8" t="n">
        <f aca="false">MIN(100,ROUND(100*J64/Assumptions!$B$8,0))</f>
        <v>87</v>
      </c>
      <c r="Q64" s="8" t="n">
        <f aca="false">IF(L64="",Assumptions!$B$9,L64*10)</f>
        <v>90</v>
      </c>
      <c r="R64" s="8" t="n">
        <f aca="false">IF(M64&lt;=1,Assumptions!$B$12,IF(M64&lt;=3,Assumptions!$B$13,IF(M64&lt;=6,Assumptions!$B$14,Assumptions!$B$15)))</f>
        <v>75</v>
      </c>
      <c r="S64" s="8" t="n">
        <f aca="false">IF(N64="Completed On Time",Assumptions!$B$16,IF(N64="Completed Late",Assumptions!$B$17,Assumptions!$B$18))</f>
        <v>100</v>
      </c>
      <c r="T64" s="8" t="n">
        <f aca="false">IF(I64=0,Assumptions!$B$20,IF(H64&gt;I64,Assumptions!$B$19,IF(H64=I64,Assumptions!$B$20,Assumptions!$B$21)))</f>
        <v>70</v>
      </c>
      <c r="U64" s="8" t="n">
        <f aca="false">ROUND(P64*Assumptions!$B$2+Q64*Assumptions!$B$3+R64*Assumptions!$B$4+S64*Assumptions!$B$5+T64*Assumptions!$B$6,0)</f>
        <v>84</v>
      </c>
      <c r="V64" s="8" t="str">
        <f aca="false">IF(U64&gt;=Assumptions!$B$10,"Healthy",IF(U64&gt;=Assumptions!$B$11,"Needs Attention","High Risk"))</f>
        <v>Healthy</v>
      </c>
    </row>
    <row r="65" customFormat="false" ht="15" hidden="false" customHeight="false" outlineLevel="0" collapsed="false">
      <c r="A65" s="8" t="s">
        <v>270</v>
      </c>
      <c r="B65" s="8" t="s">
        <v>271</v>
      </c>
      <c r="C65" s="8" t="s">
        <v>55</v>
      </c>
      <c r="D65" s="8" t="s">
        <v>55</v>
      </c>
      <c r="E65" s="8" t="s">
        <v>123</v>
      </c>
      <c r="F65" s="8" t="s">
        <v>154</v>
      </c>
      <c r="G65" s="8" t="s">
        <v>147</v>
      </c>
      <c r="H65" s="15" t="n">
        <v>20790</v>
      </c>
      <c r="I65" s="15" t="n">
        <v>20790</v>
      </c>
      <c r="J65" s="16" t="n">
        <v>0.839</v>
      </c>
      <c r="K65" s="8" t="n">
        <v>8.3</v>
      </c>
      <c r="L65" s="8" t="n">
        <v>9</v>
      </c>
      <c r="M65" s="8" t="n">
        <v>3</v>
      </c>
      <c r="N65" s="8" t="s">
        <v>120</v>
      </c>
      <c r="O65" s="15" t="n">
        <f aca="false">H65*12</f>
        <v>249480</v>
      </c>
      <c r="P65" s="8" t="n">
        <f aca="false">MIN(100,ROUND(100*J65/Assumptions!$B$8,0))</f>
        <v>93</v>
      </c>
      <c r="Q65" s="8" t="n">
        <f aca="false">IF(L65="",Assumptions!$B$9,L65*10)</f>
        <v>90</v>
      </c>
      <c r="R65" s="8" t="n">
        <f aca="false">IF(M65&lt;=1,Assumptions!$B$12,IF(M65&lt;=3,Assumptions!$B$13,IF(M65&lt;=6,Assumptions!$B$14,Assumptions!$B$15)))</f>
        <v>75</v>
      </c>
      <c r="S65" s="8" t="n">
        <f aca="false">IF(N65="Completed On Time",Assumptions!$B$16,IF(N65="Completed Late",Assumptions!$B$17,Assumptions!$B$18))</f>
        <v>100</v>
      </c>
      <c r="T65" s="8" t="n">
        <f aca="false">IF(I65=0,Assumptions!$B$20,IF(H65&gt;I65,Assumptions!$B$19,IF(H65=I65,Assumptions!$B$20,Assumptions!$B$21)))</f>
        <v>70</v>
      </c>
      <c r="U65" s="8" t="n">
        <f aca="false">ROUND(P65*Assumptions!$B$2+Q65*Assumptions!$B$3+R65*Assumptions!$B$4+S65*Assumptions!$B$5+T65*Assumptions!$B$6,0)</f>
        <v>86</v>
      </c>
      <c r="V65" s="8" t="str">
        <f aca="false">IF(U65&gt;=Assumptions!$B$10,"Healthy",IF(U65&gt;=Assumptions!$B$11,"Needs Attention","High Risk"))</f>
        <v>Healthy</v>
      </c>
    </row>
    <row r="66" customFormat="false" ht="15" hidden="false" customHeight="false" outlineLevel="0" collapsed="false">
      <c r="A66" s="8" t="s">
        <v>272</v>
      </c>
      <c r="B66" s="8" t="s">
        <v>273</v>
      </c>
      <c r="C66" s="8" t="s">
        <v>55</v>
      </c>
      <c r="D66" s="8" t="s">
        <v>55</v>
      </c>
      <c r="E66" s="8" t="s">
        <v>117</v>
      </c>
      <c r="F66" s="8" t="s">
        <v>151</v>
      </c>
      <c r="G66" s="8" t="s">
        <v>177</v>
      </c>
      <c r="H66" s="15" t="n">
        <v>20475</v>
      </c>
      <c r="I66" s="15" t="n">
        <v>20475</v>
      </c>
      <c r="J66" s="16" t="n">
        <v>0.946</v>
      </c>
      <c r="K66" s="8" t="n">
        <v>10.7</v>
      </c>
      <c r="L66" s="8" t="n">
        <v>10</v>
      </c>
      <c r="M66" s="8" t="n">
        <v>0</v>
      </c>
      <c r="N66" s="8" t="s">
        <v>120</v>
      </c>
      <c r="O66" s="15" t="n">
        <f aca="false">H66*12</f>
        <v>245700</v>
      </c>
      <c r="P66" s="8" t="n">
        <f aca="false">MIN(100,ROUND(100*J66/Assumptions!$B$8,0))</f>
        <v>100</v>
      </c>
      <c r="Q66" s="8" t="n">
        <f aca="false">IF(L66="",Assumptions!$B$9,L66*10)</f>
        <v>100</v>
      </c>
      <c r="R66" s="8" t="n">
        <f aca="false">IF(M66&lt;=1,Assumptions!$B$12,IF(M66&lt;=3,Assumptions!$B$13,IF(M66&lt;=6,Assumptions!$B$14,Assumptions!$B$15)))</f>
        <v>100</v>
      </c>
      <c r="S66" s="8" t="n">
        <f aca="false">IF(N66="Completed On Time",Assumptions!$B$16,IF(N66="Completed Late",Assumptions!$B$17,Assumptions!$B$18))</f>
        <v>100</v>
      </c>
      <c r="T66" s="8" t="n">
        <f aca="false">IF(I66=0,Assumptions!$B$20,IF(H66&gt;I66,Assumptions!$B$19,IF(H66=I66,Assumptions!$B$20,Assumptions!$B$21)))</f>
        <v>70</v>
      </c>
      <c r="U66" s="8" t="n">
        <f aca="false">ROUND(P66*Assumptions!$B$2+Q66*Assumptions!$B$3+R66*Assumptions!$B$4+S66*Assumptions!$B$5+T66*Assumptions!$B$6,0)</f>
        <v>94</v>
      </c>
      <c r="V66" s="8" t="str">
        <f aca="false">IF(U66&gt;=Assumptions!$B$10,"Healthy",IF(U66&gt;=Assumptions!$B$11,"Needs Attention","High Risk"))</f>
        <v>Healthy</v>
      </c>
    </row>
    <row r="67" customFormat="false" ht="15" hidden="false" customHeight="false" outlineLevel="0" collapsed="false">
      <c r="A67" s="8" t="s">
        <v>274</v>
      </c>
      <c r="B67" s="8" t="s">
        <v>275</v>
      </c>
      <c r="C67" s="8" t="s">
        <v>55</v>
      </c>
      <c r="D67" s="8" t="s">
        <v>55</v>
      </c>
      <c r="E67" s="8" t="s">
        <v>123</v>
      </c>
      <c r="F67" s="8" t="s">
        <v>136</v>
      </c>
      <c r="G67" s="8" t="s">
        <v>177</v>
      </c>
      <c r="H67" s="15" t="n">
        <v>20340</v>
      </c>
      <c r="I67" s="15" t="n">
        <v>20340</v>
      </c>
      <c r="J67" s="16" t="n">
        <v>0.687</v>
      </c>
      <c r="K67" s="8" t="n">
        <v>8.7</v>
      </c>
      <c r="L67" s="8" t="n">
        <v>6</v>
      </c>
      <c r="M67" s="8" t="n">
        <v>3</v>
      </c>
      <c r="N67" s="8" t="s">
        <v>120</v>
      </c>
      <c r="O67" s="15" t="n">
        <f aca="false">H67*12</f>
        <v>244080</v>
      </c>
      <c r="P67" s="8" t="n">
        <f aca="false">MIN(100,ROUND(100*J67/Assumptions!$B$8,0))</f>
        <v>76</v>
      </c>
      <c r="Q67" s="8" t="n">
        <f aca="false">IF(L67="",Assumptions!$B$9,L67*10)</f>
        <v>60</v>
      </c>
      <c r="R67" s="8" t="n">
        <f aca="false">IF(M67&lt;=1,Assumptions!$B$12,IF(M67&lt;=3,Assumptions!$B$13,IF(M67&lt;=6,Assumptions!$B$14,Assumptions!$B$15)))</f>
        <v>75</v>
      </c>
      <c r="S67" s="8" t="n">
        <f aca="false">IF(N67="Completed On Time",Assumptions!$B$16,IF(N67="Completed Late",Assumptions!$B$17,Assumptions!$B$18))</f>
        <v>100</v>
      </c>
      <c r="T67" s="8" t="n">
        <f aca="false">IF(I67=0,Assumptions!$B$20,IF(H67&gt;I67,Assumptions!$B$19,IF(H67=I67,Assumptions!$B$20,Assumptions!$B$21)))</f>
        <v>70</v>
      </c>
      <c r="U67" s="8" t="n">
        <f aca="false">ROUND(P67*Assumptions!$B$2+Q67*Assumptions!$B$3+R67*Assumptions!$B$4+S67*Assumptions!$B$5+T67*Assumptions!$B$6,0)</f>
        <v>74</v>
      </c>
      <c r="V67" s="8" t="str">
        <f aca="false">IF(U67&gt;=Assumptions!$B$10,"Healthy",IF(U67&gt;=Assumptions!$B$11,"Needs Attention","High Risk"))</f>
        <v>Needs Attention</v>
      </c>
    </row>
    <row r="68" customFormat="false" ht="15" hidden="false" customHeight="false" outlineLevel="0" collapsed="false">
      <c r="A68" s="8" t="s">
        <v>276</v>
      </c>
      <c r="B68" s="8" t="s">
        <v>277</v>
      </c>
      <c r="C68" s="8" t="s">
        <v>55</v>
      </c>
      <c r="D68" s="8" t="s">
        <v>55</v>
      </c>
      <c r="E68" s="8" t="s">
        <v>128</v>
      </c>
      <c r="F68" s="8" t="s">
        <v>223</v>
      </c>
      <c r="G68" s="8" t="s">
        <v>129</v>
      </c>
      <c r="H68" s="15" t="n">
        <v>20250</v>
      </c>
      <c r="I68" s="15" t="n">
        <v>20250</v>
      </c>
      <c r="J68" s="16" t="n">
        <v>0.849</v>
      </c>
      <c r="K68" s="8" t="n">
        <v>11</v>
      </c>
      <c r="L68" s="8" t="n">
        <v>10</v>
      </c>
      <c r="M68" s="8" t="n">
        <v>3</v>
      </c>
      <c r="N68" s="8" t="s">
        <v>120</v>
      </c>
      <c r="O68" s="15" t="n">
        <f aca="false">H68*12</f>
        <v>243000</v>
      </c>
      <c r="P68" s="8" t="n">
        <f aca="false">MIN(100,ROUND(100*J68/Assumptions!$B$8,0))</f>
        <v>94</v>
      </c>
      <c r="Q68" s="8" t="n">
        <f aca="false">IF(L68="",Assumptions!$B$9,L68*10)</f>
        <v>100</v>
      </c>
      <c r="R68" s="8" t="n">
        <f aca="false">IF(M68&lt;=1,Assumptions!$B$12,IF(M68&lt;=3,Assumptions!$B$13,IF(M68&lt;=6,Assumptions!$B$14,Assumptions!$B$15)))</f>
        <v>75</v>
      </c>
      <c r="S68" s="8" t="n">
        <f aca="false">IF(N68="Completed On Time",Assumptions!$B$16,IF(N68="Completed Late",Assumptions!$B$17,Assumptions!$B$18))</f>
        <v>100</v>
      </c>
      <c r="T68" s="8" t="n">
        <f aca="false">IF(I68=0,Assumptions!$B$20,IF(H68&gt;I68,Assumptions!$B$19,IF(H68=I68,Assumptions!$B$20,Assumptions!$B$21)))</f>
        <v>70</v>
      </c>
      <c r="U68" s="8" t="n">
        <f aca="false">ROUND(P68*Assumptions!$B$2+Q68*Assumptions!$B$3+R68*Assumptions!$B$4+S68*Assumptions!$B$5+T68*Assumptions!$B$6,0)</f>
        <v>88</v>
      </c>
      <c r="V68" s="8" t="str">
        <f aca="false">IF(U68&gt;=Assumptions!$B$10,"Healthy",IF(U68&gt;=Assumptions!$B$11,"Needs Attention","High Risk"))</f>
        <v>Healthy</v>
      </c>
    </row>
    <row r="69" customFormat="false" ht="15" hidden="false" customHeight="false" outlineLevel="0" collapsed="false">
      <c r="A69" s="8" t="s">
        <v>278</v>
      </c>
      <c r="B69" s="8" t="s">
        <v>279</v>
      </c>
      <c r="C69" s="8" t="s">
        <v>55</v>
      </c>
      <c r="D69" s="8" t="s">
        <v>55</v>
      </c>
      <c r="E69" s="8" t="s">
        <v>123</v>
      </c>
      <c r="F69" s="8" t="s">
        <v>190</v>
      </c>
      <c r="G69" s="8" t="s">
        <v>125</v>
      </c>
      <c r="H69" s="15" t="n">
        <v>20205</v>
      </c>
      <c r="I69" s="15" t="n">
        <v>20205</v>
      </c>
      <c r="J69" s="16" t="n">
        <v>0.898</v>
      </c>
      <c r="K69" s="8" t="n">
        <v>8.7</v>
      </c>
      <c r="L69" s="8" t="n">
        <v>7</v>
      </c>
      <c r="M69" s="8" t="n">
        <v>2</v>
      </c>
      <c r="N69" s="8" t="s">
        <v>120</v>
      </c>
      <c r="O69" s="15" t="n">
        <f aca="false">H69*12</f>
        <v>242460</v>
      </c>
      <c r="P69" s="8" t="n">
        <f aca="false">MIN(100,ROUND(100*J69/Assumptions!$B$8,0))</f>
        <v>100</v>
      </c>
      <c r="Q69" s="8" t="n">
        <f aca="false">IF(L69="",Assumptions!$B$9,L69*10)</f>
        <v>70</v>
      </c>
      <c r="R69" s="8" t="n">
        <f aca="false">IF(M69&lt;=1,Assumptions!$B$12,IF(M69&lt;=3,Assumptions!$B$13,IF(M69&lt;=6,Assumptions!$B$14,Assumptions!$B$15)))</f>
        <v>75</v>
      </c>
      <c r="S69" s="8" t="n">
        <f aca="false">IF(N69="Completed On Time",Assumptions!$B$16,IF(N69="Completed Late",Assumptions!$B$17,Assumptions!$B$18))</f>
        <v>100</v>
      </c>
      <c r="T69" s="8" t="n">
        <f aca="false">IF(I69=0,Assumptions!$B$20,IF(H69&gt;I69,Assumptions!$B$19,IF(H69=I69,Assumptions!$B$20,Assumptions!$B$21)))</f>
        <v>70</v>
      </c>
      <c r="U69" s="8" t="n">
        <f aca="false">ROUND(P69*Assumptions!$B$2+Q69*Assumptions!$B$3+R69*Assumptions!$B$4+S69*Assumptions!$B$5+T69*Assumptions!$B$6,0)</f>
        <v>84</v>
      </c>
      <c r="V69" s="8" t="str">
        <f aca="false">IF(U69&gt;=Assumptions!$B$10,"Healthy",IF(U69&gt;=Assumptions!$B$11,"Needs Attention","High Risk"))</f>
        <v>Healthy</v>
      </c>
    </row>
    <row r="70" customFormat="false" ht="15" hidden="false" customHeight="false" outlineLevel="0" collapsed="false">
      <c r="A70" s="8" t="s">
        <v>280</v>
      </c>
      <c r="B70" s="8" t="s">
        <v>281</v>
      </c>
      <c r="C70" s="8" t="s">
        <v>55</v>
      </c>
      <c r="D70" s="8" t="s">
        <v>55</v>
      </c>
      <c r="E70" s="8" t="s">
        <v>132</v>
      </c>
      <c r="F70" s="8" t="s">
        <v>154</v>
      </c>
      <c r="G70" s="8" t="s">
        <v>140</v>
      </c>
      <c r="H70" s="15" t="n">
        <v>20070</v>
      </c>
      <c r="I70" s="15" t="n">
        <v>20070</v>
      </c>
      <c r="J70" s="16" t="n">
        <v>0.591</v>
      </c>
      <c r="K70" s="8" t="n">
        <v>6</v>
      </c>
      <c r="L70" s="8" t="n">
        <v>5</v>
      </c>
      <c r="M70" s="8" t="n">
        <v>7</v>
      </c>
      <c r="N70" s="8" t="s">
        <v>148</v>
      </c>
      <c r="O70" s="15" t="n">
        <f aca="false">H70*12</f>
        <v>240840</v>
      </c>
      <c r="P70" s="8" t="n">
        <f aca="false">MIN(100,ROUND(100*J70/Assumptions!$B$8,0))</f>
        <v>66</v>
      </c>
      <c r="Q70" s="8" t="n">
        <f aca="false">IF(L70="",Assumptions!$B$9,L70*10)</f>
        <v>50</v>
      </c>
      <c r="R70" s="8" t="n">
        <f aca="false">IF(M70&lt;=1,Assumptions!$B$12,IF(M70&lt;=3,Assumptions!$B$13,IF(M70&lt;=6,Assumptions!$B$14,Assumptions!$B$15)))</f>
        <v>20</v>
      </c>
      <c r="S70" s="8" t="n">
        <f aca="false">IF(N70="Completed On Time",Assumptions!$B$16,IF(N70="Completed Late",Assumptions!$B$17,Assumptions!$B$18))</f>
        <v>60</v>
      </c>
      <c r="T70" s="8" t="n">
        <f aca="false">IF(I70=0,Assumptions!$B$20,IF(H70&gt;I70,Assumptions!$B$19,IF(H70=I70,Assumptions!$B$20,Assumptions!$B$21)))</f>
        <v>70</v>
      </c>
      <c r="U70" s="8" t="n">
        <f aca="false">ROUND(P70*Assumptions!$B$2+Q70*Assumptions!$B$3+R70*Assumptions!$B$4+S70*Assumptions!$B$5+T70*Assumptions!$B$6,0)</f>
        <v>56</v>
      </c>
      <c r="V70" s="8" t="str">
        <f aca="false">IF(U70&gt;=Assumptions!$B$10,"Healthy",IF(U70&gt;=Assumptions!$B$11,"Needs Attention","High Risk"))</f>
        <v>High Risk</v>
      </c>
    </row>
    <row r="71" customFormat="false" ht="15" hidden="false" customHeight="false" outlineLevel="0" collapsed="false">
      <c r="A71" s="8" t="s">
        <v>282</v>
      </c>
      <c r="B71" s="8" t="s">
        <v>283</v>
      </c>
      <c r="C71" s="8" t="s">
        <v>55</v>
      </c>
      <c r="D71" s="8" t="s">
        <v>55</v>
      </c>
      <c r="E71" s="8" t="s">
        <v>123</v>
      </c>
      <c r="F71" s="8" t="s">
        <v>151</v>
      </c>
      <c r="G71" s="8" t="s">
        <v>204</v>
      </c>
      <c r="H71" s="15" t="n">
        <v>19845</v>
      </c>
      <c r="I71" s="15" t="n">
        <v>19845</v>
      </c>
      <c r="J71" s="16" t="n">
        <v>0.571</v>
      </c>
      <c r="K71" s="8" t="n">
        <v>6.3</v>
      </c>
      <c r="L71" s="8" t="n">
        <v>6</v>
      </c>
      <c r="M71" s="8" t="n">
        <v>6</v>
      </c>
      <c r="N71" s="8" t="s">
        <v>148</v>
      </c>
      <c r="O71" s="15" t="n">
        <f aca="false">H71*12</f>
        <v>238140</v>
      </c>
      <c r="P71" s="8" t="n">
        <f aca="false">MIN(100,ROUND(100*J71/Assumptions!$B$8,0))</f>
        <v>63</v>
      </c>
      <c r="Q71" s="8" t="n">
        <f aca="false">IF(L71="",Assumptions!$B$9,L71*10)</f>
        <v>60</v>
      </c>
      <c r="R71" s="8" t="n">
        <f aca="false">IF(M71&lt;=1,Assumptions!$B$12,IF(M71&lt;=3,Assumptions!$B$13,IF(M71&lt;=6,Assumptions!$B$14,Assumptions!$B$15)))</f>
        <v>50</v>
      </c>
      <c r="S71" s="8" t="n">
        <f aca="false">IF(N71="Completed On Time",Assumptions!$B$16,IF(N71="Completed Late",Assumptions!$B$17,Assumptions!$B$18))</f>
        <v>60</v>
      </c>
      <c r="T71" s="8" t="n">
        <f aca="false">IF(I71=0,Assumptions!$B$20,IF(H71&gt;I71,Assumptions!$B$19,IF(H71=I71,Assumptions!$B$20,Assumptions!$B$21)))</f>
        <v>70</v>
      </c>
      <c r="U71" s="8" t="n">
        <f aca="false">ROUND(P71*Assumptions!$B$2+Q71*Assumptions!$B$3+R71*Assumptions!$B$4+S71*Assumptions!$B$5+T71*Assumptions!$B$6,0)</f>
        <v>62</v>
      </c>
      <c r="V71" s="8" t="str">
        <f aca="false">IF(U71&gt;=Assumptions!$B$10,"Healthy",IF(U71&gt;=Assumptions!$B$11,"Needs Attention","High Risk"))</f>
        <v>High Risk</v>
      </c>
    </row>
    <row r="72" customFormat="false" ht="15" hidden="false" customHeight="false" outlineLevel="0" collapsed="false">
      <c r="A72" s="8" t="s">
        <v>284</v>
      </c>
      <c r="B72" s="8" t="s">
        <v>285</v>
      </c>
      <c r="C72" s="8" t="s">
        <v>55</v>
      </c>
      <c r="D72" s="8" t="s">
        <v>55</v>
      </c>
      <c r="E72" s="8" t="s">
        <v>117</v>
      </c>
      <c r="F72" s="8" t="s">
        <v>124</v>
      </c>
      <c r="G72" s="8" t="s">
        <v>180</v>
      </c>
      <c r="H72" s="15" t="n">
        <v>19800</v>
      </c>
      <c r="I72" s="15" t="n">
        <v>19800</v>
      </c>
      <c r="J72" s="16" t="n">
        <v>0.808</v>
      </c>
      <c r="K72" s="8" t="n">
        <v>10.3</v>
      </c>
      <c r="L72" s="8" t="n">
        <v>9</v>
      </c>
      <c r="M72" s="8" t="n">
        <v>3</v>
      </c>
      <c r="N72" s="8" t="s">
        <v>120</v>
      </c>
      <c r="O72" s="15" t="n">
        <f aca="false">H72*12</f>
        <v>237600</v>
      </c>
      <c r="P72" s="8" t="n">
        <f aca="false">MIN(100,ROUND(100*J72/Assumptions!$B$8,0))</f>
        <v>90</v>
      </c>
      <c r="Q72" s="8" t="n">
        <f aca="false">IF(L72="",Assumptions!$B$9,L72*10)</f>
        <v>90</v>
      </c>
      <c r="R72" s="8" t="n">
        <f aca="false">IF(M72&lt;=1,Assumptions!$B$12,IF(M72&lt;=3,Assumptions!$B$13,IF(M72&lt;=6,Assumptions!$B$14,Assumptions!$B$15)))</f>
        <v>75</v>
      </c>
      <c r="S72" s="8" t="n">
        <f aca="false">IF(N72="Completed On Time",Assumptions!$B$16,IF(N72="Completed Late",Assumptions!$B$17,Assumptions!$B$18))</f>
        <v>100</v>
      </c>
      <c r="T72" s="8" t="n">
        <f aca="false">IF(I72=0,Assumptions!$B$20,IF(H72&gt;I72,Assumptions!$B$19,IF(H72=I72,Assumptions!$B$20,Assumptions!$B$21)))</f>
        <v>70</v>
      </c>
      <c r="U72" s="8" t="n">
        <f aca="false">ROUND(P72*Assumptions!$B$2+Q72*Assumptions!$B$3+R72*Assumptions!$B$4+S72*Assumptions!$B$5+T72*Assumptions!$B$6,0)</f>
        <v>85</v>
      </c>
      <c r="V72" s="8" t="str">
        <f aca="false">IF(U72&gt;=Assumptions!$B$10,"Healthy",IF(U72&gt;=Assumptions!$B$11,"Needs Attention","High Risk"))</f>
        <v>Healthy</v>
      </c>
    </row>
    <row r="73" customFormat="false" ht="15" hidden="false" customHeight="false" outlineLevel="0" collapsed="false">
      <c r="A73" s="8" t="s">
        <v>286</v>
      </c>
      <c r="B73" s="8" t="s">
        <v>287</v>
      </c>
      <c r="C73" s="8" t="s">
        <v>55</v>
      </c>
      <c r="D73" s="8" t="s">
        <v>55</v>
      </c>
      <c r="E73" s="8" t="s">
        <v>123</v>
      </c>
      <c r="F73" s="8" t="s">
        <v>151</v>
      </c>
      <c r="G73" s="8" t="s">
        <v>185</v>
      </c>
      <c r="H73" s="15" t="n">
        <v>19800</v>
      </c>
      <c r="I73" s="15" t="n">
        <v>19800</v>
      </c>
      <c r="J73" s="16" t="n">
        <v>0.615</v>
      </c>
      <c r="K73" s="8" t="n">
        <v>6.3</v>
      </c>
      <c r="L73" s="8" t="n">
        <v>8</v>
      </c>
      <c r="M73" s="8" t="n">
        <v>3</v>
      </c>
      <c r="N73" s="8" t="s">
        <v>148</v>
      </c>
      <c r="O73" s="15" t="n">
        <f aca="false">H73*12</f>
        <v>237600</v>
      </c>
      <c r="P73" s="8" t="n">
        <f aca="false">MIN(100,ROUND(100*J73/Assumptions!$B$8,0))</f>
        <v>68</v>
      </c>
      <c r="Q73" s="8" t="n">
        <f aca="false">IF(L73="",Assumptions!$B$9,L73*10)</f>
        <v>80</v>
      </c>
      <c r="R73" s="8" t="n">
        <f aca="false">IF(M73&lt;=1,Assumptions!$B$12,IF(M73&lt;=3,Assumptions!$B$13,IF(M73&lt;=6,Assumptions!$B$14,Assumptions!$B$15)))</f>
        <v>75</v>
      </c>
      <c r="S73" s="8" t="n">
        <f aca="false">IF(N73="Completed On Time",Assumptions!$B$16,IF(N73="Completed Late",Assumptions!$B$17,Assumptions!$B$18))</f>
        <v>60</v>
      </c>
      <c r="T73" s="8" t="n">
        <f aca="false">IF(I73=0,Assumptions!$B$20,IF(H73&gt;I73,Assumptions!$B$19,IF(H73=I73,Assumptions!$B$20,Assumptions!$B$21)))</f>
        <v>70</v>
      </c>
      <c r="U73" s="8" t="n">
        <f aca="false">ROUND(P73*Assumptions!$B$2+Q73*Assumptions!$B$3+R73*Assumptions!$B$4+S73*Assumptions!$B$5+T73*Assumptions!$B$6,0)</f>
        <v>71</v>
      </c>
      <c r="V73" s="8" t="str">
        <f aca="false">IF(U73&gt;=Assumptions!$B$10,"Healthy",IF(U73&gt;=Assumptions!$B$11,"Needs Attention","High Risk"))</f>
        <v>Needs Attention</v>
      </c>
    </row>
    <row r="74" customFormat="false" ht="15" hidden="false" customHeight="false" outlineLevel="0" collapsed="false">
      <c r="A74" s="8" t="s">
        <v>288</v>
      </c>
      <c r="B74" s="8" t="s">
        <v>289</v>
      </c>
      <c r="C74" s="8" t="s">
        <v>55</v>
      </c>
      <c r="D74" s="8" t="s">
        <v>55</v>
      </c>
      <c r="E74" s="8" t="s">
        <v>117</v>
      </c>
      <c r="F74" s="8" t="s">
        <v>154</v>
      </c>
      <c r="G74" s="8" t="s">
        <v>125</v>
      </c>
      <c r="H74" s="15" t="n">
        <v>19755</v>
      </c>
      <c r="I74" s="15" t="n">
        <v>19755</v>
      </c>
      <c r="J74" s="16" t="n">
        <v>0.598</v>
      </c>
      <c r="K74" s="8" t="n">
        <v>6.3</v>
      </c>
      <c r="L74" s="8" t="n">
        <v>9</v>
      </c>
      <c r="M74" s="8" t="n">
        <v>6</v>
      </c>
      <c r="N74" s="8" t="s">
        <v>148</v>
      </c>
      <c r="O74" s="15" t="n">
        <f aca="false">H74*12</f>
        <v>237060</v>
      </c>
      <c r="P74" s="8" t="n">
        <f aca="false">MIN(100,ROUND(100*J74/Assumptions!$B$8,0))</f>
        <v>66</v>
      </c>
      <c r="Q74" s="8" t="n">
        <f aca="false">IF(L74="",Assumptions!$B$9,L74*10)</f>
        <v>90</v>
      </c>
      <c r="R74" s="8" t="n">
        <f aca="false">IF(M74&lt;=1,Assumptions!$B$12,IF(M74&lt;=3,Assumptions!$B$13,IF(M74&lt;=6,Assumptions!$B$14,Assumptions!$B$15)))</f>
        <v>50</v>
      </c>
      <c r="S74" s="8" t="n">
        <f aca="false">IF(N74="Completed On Time",Assumptions!$B$16,IF(N74="Completed Late",Assumptions!$B$17,Assumptions!$B$18))</f>
        <v>60</v>
      </c>
      <c r="T74" s="8" t="n">
        <f aca="false">IF(I74=0,Assumptions!$B$20,IF(H74&gt;I74,Assumptions!$B$19,IF(H74=I74,Assumptions!$B$20,Assumptions!$B$21)))</f>
        <v>70</v>
      </c>
      <c r="U74" s="8" t="n">
        <f aca="false">ROUND(P74*Assumptions!$B$2+Q74*Assumptions!$B$3+R74*Assumptions!$B$4+S74*Assumptions!$B$5+T74*Assumptions!$B$6,0)</f>
        <v>69</v>
      </c>
      <c r="V74" s="8" t="str">
        <f aca="false">IF(U74&gt;=Assumptions!$B$10,"Healthy",IF(U74&gt;=Assumptions!$B$11,"Needs Attention","High Risk"))</f>
        <v>Needs Attention</v>
      </c>
    </row>
    <row r="75" customFormat="false" ht="15" hidden="false" customHeight="false" outlineLevel="0" collapsed="false">
      <c r="A75" s="8" t="s">
        <v>290</v>
      </c>
      <c r="B75" s="8" t="s">
        <v>291</v>
      </c>
      <c r="C75" s="8" t="s">
        <v>55</v>
      </c>
      <c r="D75" s="8" t="s">
        <v>55</v>
      </c>
      <c r="E75" s="8" t="s">
        <v>132</v>
      </c>
      <c r="F75" s="8" t="s">
        <v>151</v>
      </c>
      <c r="G75" s="8" t="s">
        <v>137</v>
      </c>
      <c r="H75" s="15" t="n">
        <v>19530</v>
      </c>
      <c r="I75" s="15" t="n">
        <v>19530</v>
      </c>
      <c r="J75" s="16" t="n">
        <v>0.944</v>
      </c>
      <c r="K75" s="8" t="n">
        <v>12</v>
      </c>
      <c r="L75" s="8" t="n">
        <v>10</v>
      </c>
      <c r="M75" s="8" t="n">
        <v>1</v>
      </c>
      <c r="N75" s="8" t="s">
        <v>120</v>
      </c>
      <c r="O75" s="15" t="n">
        <f aca="false">H75*12</f>
        <v>234360</v>
      </c>
      <c r="P75" s="8" t="n">
        <f aca="false">MIN(100,ROUND(100*J75/Assumptions!$B$8,0))</f>
        <v>100</v>
      </c>
      <c r="Q75" s="8" t="n">
        <f aca="false">IF(L75="",Assumptions!$B$9,L75*10)</f>
        <v>100</v>
      </c>
      <c r="R75" s="8" t="n">
        <f aca="false">IF(M75&lt;=1,Assumptions!$B$12,IF(M75&lt;=3,Assumptions!$B$13,IF(M75&lt;=6,Assumptions!$B$14,Assumptions!$B$15)))</f>
        <v>100</v>
      </c>
      <c r="S75" s="8" t="n">
        <f aca="false">IF(N75="Completed On Time",Assumptions!$B$16,IF(N75="Completed Late",Assumptions!$B$17,Assumptions!$B$18))</f>
        <v>100</v>
      </c>
      <c r="T75" s="8" t="n">
        <f aca="false">IF(I75=0,Assumptions!$B$20,IF(H75&gt;I75,Assumptions!$B$19,IF(H75=I75,Assumptions!$B$20,Assumptions!$B$21)))</f>
        <v>70</v>
      </c>
      <c r="U75" s="8" t="n">
        <f aca="false">ROUND(P75*Assumptions!$B$2+Q75*Assumptions!$B$3+R75*Assumptions!$B$4+S75*Assumptions!$B$5+T75*Assumptions!$B$6,0)</f>
        <v>94</v>
      </c>
      <c r="V75" s="8" t="str">
        <f aca="false">IF(U75&gt;=Assumptions!$B$10,"Healthy",IF(U75&gt;=Assumptions!$B$11,"Needs Attention","High Risk"))</f>
        <v>Healthy</v>
      </c>
    </row>
    <row r="76" customFormat="false" ht="15" hidden="false" customHeight="false" outlineLevel="0" collapsed="false">
      <c r="A76" s="8" t="s">
        <v>292</v>
      </c>
      <c r="B76" s="8" t="s">
        <v>293</v>
      </c>
      <c r="C76" s="8" t="s">
        <v>55</v>
      </c>
      <c r="D76" s="8" t="s">
        <v>55</v>
      </c>
      <c r="E76" s="8" t="s">
        <v>117</v>
      </c>
      <c r="F76" s="8" t="s">
        <v>190</v>
      </c>
      <c r="G76" s="8" t="s">
        <v>147</v>
      </c>
      <c r="H76" s="15" t="n">
        <v>19170</v>
      </c>
      <c r="I76" s="15" t="n">
        <v>19170</v>
      </c>
      <c r="J76" s="16" t="n">
        <v>0.706</v>
      </c>
      <c r="K76" s="8" t="n">
        <v>7.3</v>
      </c>
      <c r="L76" s="8" t="n">
        <v>8</v>
      </c>
      <c r="M76" s="8" t="n">
        <v>5</v>
      </c>
      <c r="N76" s="8" t="s">
        <v>120</v>
      </c>
      <c r="O76" s="15" t="n">
        <f aca="false">H76*12</f>
        <v>230040</v>
      </c>
      <c r="P76" s="8" t="n">
        <f aca="false">MIN(100,ROUND(100*J76/Assumptions!$B$8,0))</f>
        <v>78</v>
      </c>
      <c r="Q76" s="8" t="n">
        <f aca="false">IF(L76="",Assumptions!$B$9,L76*10)</f>
        <v>80</v>
      </c>
      <c r="R76" s="8" t="n">
        <f aca="false">IF(M76&lt;=1,Assumptions!$B$12,IF(M76&lt;=3,Assumptions!$B$13,IF(M76&lt;=6,Assumptions!$B$14,Assumptions!$B$15)))</f>
        <v>50</v>
      </c>
      <c r="S76" s="8" t="n">
        <f aca="false">IF(N76="Completed On Time",Assumptions!$B$16,IF(N76="Completed Late",Assumptions!$B$17,Assumptions!$B$18))</f>
        <v>100</v>
      </c>
      <c r="T76" s="8" t="n">
        <f aca="false">IF(I76=0,Assumptions!$B$20,IF(H76&gt;I76,Assumptions!$B$19,IF(H76=I76,Assumptions!$B$20,Assumptions!$B$21)))</f>
        <v>70</v>
      </c>
      <c r="U76" s="8" t="n">
        <f aca="false">ROUND(P76*Assumptions!$B$2+Q76*Assumptions!$B$3+R76*Assumptions!$B$4+S76*Assumptions!$B$5+T76*Assumptions!$B$6,0)</f>
        <v>75</v>
      </c>
      <c r="V76" s="8" t="str">
        <f aca="false">IF(U76&gt;=Assumptions!$B$10,"Healthy",IF(U76&gt;=Assumptions!$B$11,"Needs Attention","High Risk"))</f>
        <v>Needs Attention</v>
      </c>
    </row>
    <row r="77" customFormat="false" ht="15" hidden="false" customHeight="false" outlineLevel="0" collapsed="false">
      <c r="A77" s="8" t="s">
        <v>294</v>
      </c>
      <c r="B77" s="8" t="s">
        <v>295</v>
      </c>
      <c r="C77" s="8" t="s">
        <v>55</v>
      </c>
      <c r="D77" s="8" t="s">
        <v>55</v>
      </c>
      <c r="E77" s="8" t="s">
        <v>123</v>
      </c>
      <c r="F77" s="8" t="s">
        <v>166</v>
      </c>
      <c r="G77" s="8" t="s">
        <v>119</v>
      </c>
      <c r="H77" s="15" t="n">
        <v>18585</v>
      </c>
      <c r="I77" s="15" t="n">
        <v>18585</v>
      </c>
      <c r="J77" s="16" t="n">
        <v>0.701</v>
      </c>
      <c r="K77" s="8" t="n">
        <v>8</v>
      </c>
      <c r="L77" s="8" t="n">
        <v>9</v>
      </c>
      <c r="M77" s="8" t="n">
        <v>2</v>
      </c>
      <c r="N77" s="8" t="s">
        <v>120</v>
      </c>
      <c r="O77" s="15" t="n">
        <f aca="false">H77*12</f>
        <v>223020</v>
      </c>
      <c r="P77" s="8" t="n">
        <f aca="false">MIN(100,ROUND(100*J77/Assumptions!$B$8,0))</f>
        <v>78</v>
      </c>
      <c r="Q77" s="8" t="n">
        <f aca="false">IF(L77="",Assumptions!$B$9,L77*10)</f>
        <v>90</v>
      </c>
      <c r="R77" s="8" t="n">
        <f aca="false">IF(M77&lt;=1,Assumptions!$B$12,IF(M77&lt;=3,Assumptions!$B$13,IF(M77&lt;=6,Assumptions!$B$14,Assumptions!$B$15)))</f>
        <v>75</v>
      </c>
      <c r="S77" s="8" t="n">
        <f aca="false">IF(N77="Completed On Time",Assumptions!$B$16,IF(N77="Completed Late",Assumptions!$B$17,Assumptions!$B$18))</f>
        <v>100</v>
      </c>
      <c r="T77" s="8" t="n">
        <f aca="false">IF(I77=0,Assumptions!$B$20,IF(H77&gt;I77,Assumptions!$B$19,IF(H77=I77,Assumptions!$B$20,Assumptions!$B$21)))</f>
        <v>70</v>
      </c>
      <c r="U77" s="8" t="n">
        <f aca="false">ROUND(P77*Assumptions!$B$2+Q77*Assumptions!$B$3+R77*Assumptions!$B$4+S77*Assumptions!$B$5+T77*Assumptions!$B$6,0)</f>
        <v>81</v>
      </c>
      <c r="V77" s="8" t="str">
        <f aca="false">IF(U77&gt;=Assumptions!$B$10,"Healthy",IF(U77&gt;=Assumptions!$B$11,"Needs Attention","High Risk"))</f>
        <v>Healthy</v>
      </c>
    </row>
    <row r="78" customFormat="false" ht="15" hidden="false" customHeight="false" outlineLevel="0" collapsed="false">
      <c r="A78" s="8" t="s">
        <v>296</v>
      </c>
      <c r="B78" s="8" t="s">
        <v>297</v>
      </c>
      <c r="C78" s="8" t="s">
        <v>55</v>
      </c>
      <c r="D78" s="8" t="s">
        <v>55</v>
      </c>
      <c r="E78" s="8" t="s">
        <v>128</v>
      </c>
      <c r="F78" s="8" t="s">
        <v>124</v>
      </c>
      <c r="G78" s="8" t="s">
        <v>177</v>
      </c>
      <c r="H78" s="15" t="n">
        <v>18450</v>
      </c>
      <c r="I78" s="15" t="n">
        <v>18450</v>
      </c>
      <c r="J78" s="16" t="n">
        <v>0.807</v>
      </c>
      <c r="K78" s="8" t="n">
        <v>10</v>
      </c>
      <c r="L78" s="8" t="n">
        <v>7</v>
      </c>
      <c r="M78" s="8" t="n">
        <v>5</v>
      </c>
      <c r="N78" s="8" t="s">
        <v>120</v>
      </c>
      <c r="O78" s="15" t="n">
        <f aca="false">H78*12</f>
        <v>221400</v>
      </c>
      <c r="P78" s="8" t="n">
        <f aca="false">MIN(100,ROUND(100*J78/Assumptions!$B$8,0))</f>
        <v>90</v>
      </c>
      <c r="Q78" s="8" t="n">
        <f aca="false">IF(L78="",Assumptions!$B$9,L78*10)</f>
        <v>70</v>
      </c>
      <c r="R78" s="8" t="n">
        <f aca="false">IF(M78&lt;=1,Assumptions!$B$12,IF(M78&lt;=3,Assumptions!$B$13,IF(M78&lt;=6,Assumptions!$B$14,Assumptions!$B$15)))</f>
        <v>50</v>
      </c>
      <c r="S78" s="8" t="n">
        <f aca="false">IF(N78="Completed On Time",Assumptions!$B$16,IF(N78="Completed Late",Assumptions!$B$17,Assumptions!$B$18))</f>
        <v>100</v>
      </c>
      <c r="T78" s="8" t="n">
        <f aca="false">IF(I78=0,Assumptions!$B$20,IF(H78&gt;I78,Assumptions!$B$19,IF(H78=I78,Assumptions!$B$20,Assumptions!$B$21)))</f>
        <v>70</v>
      </c>
      <c r="U78" s="8" t="n">
        <f aca="false">ROUND(P78*Assumptions!$B$2+Q78*Assumptions!$B$3+R78*Assumptions!$B$4+S78*Assumptions!$B$5+T78*Assumptions!$B$6,0)</f>
        <v>77</v>
      </c>
      <c r="V78" s="8" t="str">
        <f aca="false">IF(U78&gt;=Assumptions!$B$10,"Healthy",IF(U78&gt;=Assumptions!$B$11,"Needs Attention","High Risk"))</f>
        <v>Needs Attention</v>
      </c>
    </row>
    <row r="79" customFormat="false" ht="15" hidden="false" customHeight="false" outlineLevel="0" collapsed="false">
      <c r="A79" s="8" t="s">
        <v>298</v>
      </c>
      <c r="B79" s="8" t="s">
        <v>299</v>
      </c>
      <c r="C79" s="8" t="s">
        <v>55</v>
      </c>
      <c r="D79" s="8" t="s">
        <v>55</v>
      </c>
      <c r="E79" s="8" t="s">
        <v>123</v>
      </c>
      <c r="F79" s="8" t="s">
        <v>124</v>
      </c>
      <c r="G79" s="8" t="s">
        <v>140</v>
      </c>
      <c r="H79" s="15" t="n">
        <v>18045</v>
      </c>
      <c r="I79" s="15" t="n">
        <v>18045</v>
      </c>
      <c r="J79" s="16" t="n">
        <v>0.618</v>
      </c>
      <c r="K79" s="8" t="n">
        <v>9</v>
      </c>
      <c r="L79" s="8" t="n">
        <v>8</v>
      </c>
      <c r="M79" s="8" t="n">
        <v>6</v>
      </c>
      <c r="N79" s="8" t="s">
        <v>120</v>
      </c>
      <c r="O79" s="15" t="n">
        <f aca="false">H79*12</f>
        <v>216540</v>
      </c>
      <c r="P79" s="8" t="n">
        <f aca="false">MIN(100,ROUND(100*J79/Assumptions!$B$8,0))</f>
        <v>69</v>
      </c>
      <c r="Q79" s="8" t="n">
        <f aca="false">IF(L79="",Assumptions!$B$9,L79*10)</f>
        <v>80</v>
      </c>
      <c r="R79" s="8" t="n">
        <f aca="false">IF(M79&lt;=1,Assumptions!$B$12,IF(M79&lt;=3,Assumptions!$B$13,IF(M79&lt;=6,Assumptions!$B$14,Assumptions!$B$15)))</f>
        <v>50</v>
      </c>
      <c r="S79" s="8" t="n">
        <f aca="false">IF(N79="Completed On Time",Assumptions!$B$16,IF(N79="Completed Late",Assumptions!$B$17,Assumptions!$B$18))</f>
        <v>100</v>
      </c>
      <c r="T79" s="8" t="n">
        <f aca="false">IF(I79=0,Assumptions!$B$20,IF(H79&gt;I79,Assumptions!$B$19,IF(H79=I79,Assumptions!$B$20,Assumptions!$B$21)))</f>
        <v>70</v>
      </c>
      <c r="U79" s="8" t="n">
        <f aca="false">ROUND(P79*Assumptions!$B$2+Q79*Assumptions!$B$3+R79*Assumptions!$B$4+S79*Assumptions!$B$5+T79*Assumptions!$B$6,0)</f>
        <v>72</v>
      </c>
      <c r="V79" s="8" t="str">
        <f aca="false">IF(U79&gt;=Assumptions!$B$10,"Healthy",IF(U79&gt;=Assumptions!$B$11,"Needs Attention","High Risk"))</f>
        <v>Needs Attention</v>
      </c>
    </row>
    <row r="80" customFormat="false" ht="15" hidden="false" customHeight="false" outlineLevel="0" collapsed="false">
      <c r="A80" s="8" t="s">
        <v>300</v>
      </c>
      <c r="B80" s="8" t="s">
        <v>301</v>
      </c>
      <c r="C80" s="8" t="s">
        <v>55</v>
      </c>
      <c r="D80" s="8" t="s">
        <v>55</v>
      </c>
      <c r="E80" s="8" t="s">
        <v>132</v>
      </c>
      <c r="F80" s="8" t="s">
        <v>190</v>
      </c>
      <c r="G80" s="8" t="s">
        <v>129</v>
      </c>
      <c r="H80" s="15" t="n">
        <v>18000</v>
      </c>
      <c r="I80" s="15" t="n">
        <v>18000</v>
      </c>
      <c r="J80" s="16" t="n">
        <v>0.818</v>
      </c>
      <c r="K80" s="8" t="n">
        <v>11</v>
      </c>
      <c r="L80" s="8" t="n">
        <v>8</v>
      </c>
      <c r="M80" s="8" t="n">
        <v>5</v>
      </c>
      <c r="N80" s="8" t="s">
        <v>120</v>
      </c>
      <c r="O80" s="15" t="n">
        <f aca="false">H80*12</f>
        <v>216000</v>
      </c>
      <c r="P80" s="8" t="n">
        <f aca="false">MIN(100,ROUND(100*J80/Assumptions!$B$8,0))</f>
        <v>91</v>
      </c>
      <c r="Q80" s="8" t="n">
        <f aca="false">IF(L80="",Assumptions!$B$9,L80*10)</f>
        <v>80</v>
      </c>
      <c r="R80" s="8" t="n">
        <f aca="false">IF(M80&lt;=1,Assumptions!$B$12,IF(M80&lt;=3,Assumptions!$B$13,IF(M80&lt;=6,Assumptions!$B$14,Assumptions!$B$15)))</f>
        <v>50</v>
      </c>
      <c r="S80" s="8" t="n">
        <f aca="false">IF(N80="Completed On Time",Assumptions!$B$16,IF(N80="Completed Late",Assumptions!$B$17,Assumptions!$B$18))</f>
        <v>100</v>
      </c>
      <c r="T80" s="8" t="n">
        <f aca="false">IF(I80=0,Assumptions!$B$20,IF(H80&gt;I80,Assumptions!$B$19,IF(H80=I80,Assumptions!$B$20,Assumptions!$B$21)))</f>
        <v>70</v>
      </c>
      <c r="U80" s="8" t="n">
        <f aca="false">ROUND(P80*Assumptions!$B$2+Q80*Assumptions!$B$3+R80*Assumptions!$B$4+S80*Assumptions!$B$5+T80*Assumptions!$B$6,0)</f>
        <v>79</v>
      </c>
      <c r="V80" s="8" t="str">
        <f aca="false">IF(U80&gt;=Assumptions!$B$10,"Healthy",IF(U80&gt;=Assumptions!$B$11,"Needs Attention","High Risk"))</f>
        <v>Needs Attention</v>
      </c>
    </row>
    <row r="81" customFormat="false" ht="15" hidden="false" customHeight="false" outlineLevel="0" collapsed="false">
      <c r="A81" s="8" t="s">
        <v>302</v>
      </c>
      <c r="B81" s="8" t="s">
        <v>303</v>
      </c>
      <c r="C81" s="8" t="s">
        <v>55</v>
      </c>
      <c r="D81" s="8" t="s">
        <v>55</v>
      </c>
      <c r="E81" s="8" t="s">
        <v>123</v>
      </c>
      <c r="F81" s="8" t="s">
        <v>136</v>
      </c>
      <c r="G81" s="8" t="s">
        <v>177</v>
      </c>
      <c r="H81" s="15" t="n">
        <v>17370</v>
      </c>
      <c r="I81" s="15" t="n">
        <v>17370</v>
      </c>
      <c r="J81" s="16" t="n">
        <v>0.742</v>
      </c>
      <c r="K81" s="8" t="n">
        <v>10</v>
      </c>
      <c r="L81" s="8" t="n">
        <v>7</v>
      </c>
      <c r="M81" s="8" t="n">
        <v>3</v>
      </c>
      <c r="N81" s="8" t="s">
        <v>120</v>
      </c>
      <c r="O81" s="15" t="n">
        <f aca="false">H81*12</f>
        <v>208440</v>
      </c>
      <c r="P81" s="8" t="n">
        <f aca="false">MIN(100,ROUND(100*J81/Assumptions!$B$8,0))</f>
        <v>82</v>
      </c>
      <c r="Q81" s="8" t="n">
        <f aca="false">IF(L81="",Assumptions!$B$9,L81*10)</f>
        <v>70</v>
      </c>
      <c r="R81" s="8" t="n">
        <f aca="false">IF(M81&lt;=1,Assumptions!$B$12,IF(M81&lt;=3,Assumptions!$B$13,IF(M81&lt;=6,Assumptions!$B$14,Assumptions!$B$15)))</f>
        <v>75</v>
      </c>
      <c r="S81" s="8" t="n">
        <f aca="false">IF(N81="Completed On Time",Assumptions!$B$16,IF(N81="Completed Late",Assumptions!$B$17,Assumptions!$B$18))</f>
        <v>100</v>
      </c>
      <c r="T81" s="8" t="n">
        <f aca="false">IF(I81=0,Assumptions!$B$20,IF(H81&gt;I81,Assumptions!$B$19,IF(H81=I81,Assumptions!$B$20,Assumptions!$B$21)))</f>
        <v>70</v>
      </c>
      <c r="U81" s="8" t="n">
        <f aca="false">ROUND(P81*Assumptions!$B$2+Q81*Assumptions!$B$3+R81*Assumptions!$B$4+S81*Assumptions!$B$5+T81*Assumptions!$B$6,0)</f>
        <v>78</v>
      </c>
      <c r="V81" s="8" t="str">
        <f aca="false">IF(U81&gt;=Assumptions!$B$10,"Healthy",IF(U81&gt;=Assumptions!$B$11,"Needs Attention","High Risk"))</f>
        <v>Needs Attention</v>
      </c>
    </row>
    <row r="82" customFormat="false" ht="15" hidden="false" customHeight="false" outlineLevel="0" collapsed="false">
      <c r="A82" s="8" t="s">
        <v>304</v>
      </c>
      <c r="B82" s="8" t="s">
        <v>305</v>
      </c>
      <c r="C82" s="8" t="s">
        <v>55</v>
      </c>
      <c r="D82" s="8" t="s">
        <v>55</v>
      </c>
      <c r="E82" s="8" t="s">
        <v>123</v>
      </c>
      <c r="F82" s="8" t="s">
        <v>154</v>
      </c>
      <c r="G82" s="8" t="s">
        <v>147</v>
      </c>
      <c r="H82" s="15" t="n">
        <v>17370</v>
      </c>
      <c r="I82" s="15" t="n">
        <v>17370</v>
      </c>
      <c r="J82" s="16" t="n">
        <v>0.639</v>
      </c>
      <c r="K82" s="8" t="n">
        <v>8.7</v>
      </c>
      <c r="L82" s="8" t="n">
        <v>9</v>
      </c>
      <c r="M82" s="8" t="n">
        <v>4</v>
      </c>
      <c r="N82" s="8" t="s">
        <v>120</v>
      </c>
      <c r="O82" s="15" t="n">
        <f aca="false">H82*12</f>
        <v>208440</v>
      </c>
      <c r="P82" s="8" t="n">
        <f aca="false">MIN(100,ROUND(100*J82/Assumptions!$B$8,0))</f>
        <v>71</v>
      </c>
      <c r="Q82" s="8" t="n">
        <f aca="false">IF(L82="",Assumptions!$B$9,L82*10)</f>
        <v>90</v>
      </c>
      <c r="R82" s="8" t="n">
        <f aca="false">IF(M82&lt;=1,Assumptions!$B$12,IF(M82&lt;=3,Assumptions!$B$13,IF(M82&lt;=6,Assumptions!$B$14,Assumptions!$B$15)))</f>
        <v>50</v>
      </c>
      <c r="S82" s="8" t="n">
        <f aca="false">IF(N82="Completed On Time",Assumptions!$B$16,IF(N82="Completed Late",Assumptions!$B$17,Assumptions!$B$18))</f>
        <v>100</v>
      </c>
      <c r="T82" s="8" t="n">
        <f aca="false">IF(I82=0,Assumptions!$B$20,IF(H82&gt;I82,Assumptions!$B$19,IF(H82=I82,Assumptions!$B$20,Assumptions!$B$21)))</f>
        <v>70</v>
      </c>
      <c r="U82" s="8" t="n">
        <f aca="false">ROUND(P82*Assumptions!$B$2+Q82*Assumptions!$B$3+R82*Assumptions!$B$4+S82*Assumptions!$B$5+T82*Assumptions!$B$6,0)</f>
        <v>74</v>
      </c>
      <c r="V82" s="8" t="str">
        <f aca="false">IF(U82&gt;=Assumptions!$B$10,"Healthy",IF(U82&gt;=Assumptions!$B$11,"Needs Attention","High Risk"))</f>
        <v>Needs Attention</v>
      </c>
    </row>
    <row r="83" customFormat="false" ht="15" hidden="false" customHeight="false" outlineLevel="0" collapsed="false">
      <c r="A83" s="8" t="s">
        <v>306</v>
      </c>
      <c r="B83" s="8" t="s">
        <v>307</v>
      </c>
      <c r="C83" s="8" t="s">
        <v>55</v>
      </c>
      <c r="D83" s="8" t="s">
        <v>55</v>
      </c>
      <c r="E83" s="8" t="s">
        <v>128</v>
      </c>
      <c r="F83" s="8" t="s">
        <v>136</v>
      </c>
      <c r="G83" s="8" t="s">
        <v>144</v>
      </c>
      <c r="H83" s="15" t="n">
        <v>17325</v>
      </c>
      <c r="I83" s="15" t="n">
        <v>17325</v>
      </c>
      <c r="J83" s="16" t="n">
        <v>0.691</v>
      </c>
      <c r="K83" s="8" t="n">
        <v>7.7</v>
      </c>
      <c r="L83" s="8" t="n">
        <v>6</v>
      </c>
      <c r="M83" s="8" t="n">
        <v>2</v>
      </c>
      <c r="N83" s="8" t="s">
        <v>120</v>
      </c>
      <c r="O83" s="15" t="n">
        <f aca="false">H83*12</f>
        <v>207900</v>
      </c>
      <c r="P83" s="8" t="n">
        <f aca="false">MIN(100,ROUND(100*J83/Assumptions!$B$8,0))</f>
        <v>77</v>
      </c>
      <c r="Q83" s="8" t="n">
        <f aca="false">IF(L83="",Assumptions!$B$9,L83*10)</f>
        <v>60</v>
      </c>
      <c r="R83" s="8" t="n">
        <f aca="false">IF(M83&lt;=1,Assumptions!$B$12,IF(M83&lt;=3,Assumptions!$B$13,IF(M83&lt;=6,Assumptions!$B$14,Assumptions!$B$15)))</f>
        <v>75</v>
      </c>
      <c r="S83" s="8" t="n">
        <f aca="false">IF(N83="Completed On Time",Assumptions!$B$16,IF(N83="Completed Late",Assumptions!$B$17,Assumptions!$B$18))</f>
        <v>100</v>
      </c>
      <c r="T83" s="8" t="n">
        <f aca="false">IF(I83=0,Assumptions!$B$20,IF(H83&gt;I83,Assumptions!$B$19,IF(H83=I83,Assumptions!$B$20,Assumptions!$B$21)))</f>
        <v>70</v>
      </c>
      <c r="U83" s="8" t="n">
        <f aca="false">ROUND(P83*Assumptions!$B$2+Q83*Assumptions!$B$3+R83*Assumptions!$B$4+S83*Assumptions!$B$5+T83*Assumptions!$B$6,0)</f>
        <v>74</v>
      </c>
      <c r="V83" s="8" t="str">
        <f aca="false">IF(U83&gt;=Assumptions!$B$10,"Healthy",IF(U83&gt;=Assumptions!$B$11,"Needs Attention","High Risk"))</f>
        <v>Needs Attention</v>
      </c>
    </row>
    <row r="84" customFormat="false" ht="15" hidden="false" customHeight="false" outlineLevel="0" collapsed="false">
      <c r="A84" s="8" t="s">
        <v>308</v>
      </c>
      <c r="B84" s="8" t="s">
        <v>309</v>
      </c>
      <c r="C84" s="8" t="s">
        <v>55</v>
      </c>
      <c r="D84" s="8" t="s">
        <v>55</v>
      </c>
      <c r="E84" s="8" t="s">
        <v>123</v>
      </c>
      <c r="F84" s="8" t="s">
        <v>190</v>
      </c>
      <c r="G84" s="8" t="s">
        <v>185</v>
      </c>
      <c r="H84" s="15" t="n">
        <v>17325</v>
      </c>
      <c r="I84" s="15" t="n">
        <v>17325</v>
      </c>
      <c r="J84" s="16" t="n">
        <v>0.54</v>
      </c>
      <c r="K84" s="8" t="n">
        <v>6.3</v>
      </c>
      <c r="L84" s="8" t="n">
        <v>9</v>
      </c>
      <c r="M84" s="8" t="n">
        <v>5</v>
      </c>
      <c r="N84" s="8" t="s">
        <v>148</v>
      </c>
      <c r="O84" s="15" t="n">
        <f aca="false">H84*12</f>
        <v>207900</v>
      </c>
      <c r="P84" s="8" t="n">
        <f aca="false">MIN(100,ROUND(100*J84/Assumptions!$B$8,0))</f>
        <v>60</v>
      </c>
      <c r="Q84" s="8" t="n">
        <f aca="false">IF(L84="",Assumptions!$B$9,L84*10)</f>
        <v>90</v>
      </c>
      <c r="R84" s="8" t="n">
        <f aca="false">IF(M84&lt;=1,Assumptions!$B$12,IF(M84&lt;=3,Assumptions!$B$13,IF(M84&lt;=6,Assumptions!$B$14,Assumptions!$B$15)))</f>
        <v>50</v>
      </c>
      <c r="S84" s="8" t="n">
        <f aca="false">IF(N84="Completed On Time",Assumptions!$B$16,IF(N84="Completed Late",Assumptions!$B$17,Assumptions!$B$18))</f>
        <v>60</v>
      </c>
      <c r="T84" s="8" t="n">
        <f aca="false">IF(I84=0,Assumptions!$B$20,IF(H84&gt;I84,Assumptions!$B$19,IF(H84=I84,Assumptions!$B$20,Assumptions!$B$21)))</f>
        <v>70</v>
      </c>
      <c r="U84" s="8" t="n">
        <f aca="false">ROUND(P84*Assumptions!$B$2+Q84*Assumptions!$B$3+R84*Assumptions!$B$4+S84*Assumptions!$B$5+T84*Assumptions!$B$6,0)</f>
        <v>67</v>
      </c>
      <c r="V84" s="8" t="str">
        <f aca="false">IF(U84&gt;=Assumptions!$B$10,"Healthy",IF(U84&gt;=Assumptions!$B$11,"Needs Attention","High Risk"))</f>
        <v>Needs Attention</v>
      </c>
    </row>
    <row r="85" customFormat="false" ht="15" hidden="false" customHeight="false" outlineLevel="0" collapsed="false">
      <c r="A85" s="8" t="s">
        <v>310</v>
      </c>
      <c r="B85" s="8" t="s">
        <v>311</v>
      </c>
      <c r="C85" s="8" t="s">
        <v>55</v>
      </c>
      <c r="D85" s="8" t="s">
        <v>55</v>
      </c>
      <c r="E85" s="8" t="s">
        <v>117</v>
      </c>
      <c r="F85" s="8" t="s">
        <v>151</v>
      </c>
      <c r="G85" s="8" t="s">
        <v>185</v>
      </c>
      <c r="H85" s="15" t="n">
        <v>17280</v>
      </c>
      <c r="I85" s="15" t="n">
        <v>17280</v>
      </c>
      <c r="J85" s="16" t="n">
        <v>0.717</v>
      </c>
      <c r="K85" s="8" t="n">
        <v>7</v>
      </c>
      <c r="L85" s="8" t="n">
        <v>10</v>
      </c>
      <c r="M85" s="8" t="n">
        <v>3</v>
      </c>
      <c r="N85" s="8" t="s">
        <v>148</v>
      </c>
      <c r="O85" s="15" t="n">
        <f aca="false">H85*12</f>
        <v>207360</v>
      </c>
      <c r="P85" s="8" t="n">
        <f aca="false">MIN(100,ROUND(100*J85/Assumptions!$B$8,0))</f>
        <v>80</v>
      </c>
      <c r="Q85" s="8" t="n">
        <f aca="false">IF(L85="",Assumptions!$B$9,L85*10)</f>
        <v>100</v>
      </c>
      <c r="R85" s="8" t="n">
        <f aca="false">IF(M85&lt;=1,Assumptions!$B$12,IF(M85&lt;=3,Assumptions!$B$13,IF(M85&lt;=6,Assumptions!$B$14,Assumptions!$B$15)))</f>
        <v>75</v>
      </c>
      <c r="S85" s="8" t="n">
        <f aca="false">IF(N85="Completed On Time",Assumptions!$B$16,IF(N85="Completed Late",Assumptions!$B$17,Assumptions!$B$18))</f>
        <v>60</v>
      </c>
      <c r="T85" s="8" t="n">
        <f aca="false">IF(I85=0,Assumptions!$B$20,IF(H85&gt;I85,Assumptions!$B$19,IF(H85=I85,Assumptions!$B$20,Assumptions!$B$21)))</f>
        <v>70</v>
      </c>
      <c r="U85" s="8" t="n">
        <f aca="false">ROUND(P85*Assumptions!$B$2+Q85*Assumptions!$B$3+R85*Assumptions!$B$4+S85*Assumptions!$B$5+T85*Assumptions!$B$6,0)</f>
        <v>79</v>
      </c>
      <c r="V85" s="8" t="str">
        <f aca="false">IF(U85&gt;=Assumptions!$B$10,"Healthy",IF(U85&gt;=Assumptions!$B$11,"Needs Attention","High Risk"))</f>
        <v>Needs Attention</v>
      </c>
    </row>
    <row r="86" customFormat="false" ht="15" hidden="false" customHeight="false" outlineLevel="0" collapsed="false">
      <c r="A86" s="8" t="s">
        <v>312</v>
      </c>
      <c r="B86" s="8" t="s">
        <v>313</v>
      </c>
      <c r="C86" s="8" t="s">
        <v>55</v>
      </c>
      <c r="D86" s="8" t="s">
        <v>55</v>
      </c>
      <c r="E86" s="8" t="s">
        <v>123</v>
      </c>
      <c r="F86" s="8" t="s">
        <v>154</v>
      </c>
      <c r="G86" s="8" t="s">
        <v>204</v>
      </c>
      <c r="H86" s="15" t="n">
        <v>17235</v>
      </c>
      <c r="I86" s="15" t="n">
        <v>17235</v>
      </c>
      <c r="J86" s="16" t="n">
        <v>0.859</v>
      </c>
      <c r="K86" s="8" t="n">
        <v>11.7</v>
      </c>
      <c r="L86" s="8" t="n">
        <v>9</v>
      </c>
      <c r="M86" s="8" t="n">
        <v>2</v>
      </c>
      <c r="N86" s="8" t="s">
        <v>120</v>
      </c>
      <c r="O86" s="15" t="n">
        <f aca="false">H86*12</f>
        <v>206820</v>
      </c>
      <c r="P86" s="8" t="n">
        <f aca="false">MIN(100,ROUND(100*J86/Assumptions!$B$8,0))</f>
        <v>95</v>
      </c>
      <c r="Q86" s="8" t="n">
        <f aca="false">IF(L86="",Assumptions!$B$9,L86*10)</f>
        <v>90</v>
      </c>
      <c r="R86" s="8" t="n">
        <f aca="false">IF(M86&lt;=1,Assumptions!$B$12,IF(M86&lt;=3,Assumptions!$B$13,IF(M86&lt;=6,Assumptions!$B$14,Assumptions!$B$15)))</f>
        <v>75</v>
      </c>
      <c r="S86" s="8" t="n">
        <f aca="false">IF(N86="Completed On Time",Assumptions!$B$16,IF(N86="Completed Late",Assumptions!$B$17,Assumptions!$B$18))</f>
        <v>100</v>
      </c>
      <c r="T86" s="8" t="n">
        <f aca="false">IF(I86=0,Assumptions!$B$20,IF(H86&gt;I86,Assumptions!$B$19,IF(H86=I86,Assumptions!$B$20,Assumptions!$B$21)))</f>
        <v>70</v>
      </c>
      <c r="U86" s="8" t="n">
        <f aca="false">ROUND(P86*Assumptions!$B$2+Q86*Assumptions!$B$3+R86*Assumptions!$B$4+S86*Assumptions!$B$5+T86*Assumptions!$B$6,0)</f>
        <v>87</v>
      </c>
      <c r="V86" s="8" t="str">
        <f aca="false">IF(U86&gt;=Assumptions!$B$10,"Healthy",IF(U86&gt;=Assumptions!$B$11,"Needs Attention","High Risk"))</f>
        <v>Healthy</v>
      </c>
    </row>
    <row r="87" customFormat="false" ht="15" hidden="false" customHeight="false" outlineLevel="0" collapsed="false">
      <c r="A87" s="8" t="s">
        <v>314</v>
      </c>
      <c r="B87" s="8" t="s">
        <v>315</v>
      </c>
      <c r="C87" s="8" t="s">
        <v>55</v>
      </c>
      <c r="D87" s="8" t="s">
        <v>55</v>
      </c>
      <c r="E87" s="8" t="s">
        <v>123</v>
      </c>
      <c r="F87" s="8" t="s">
        <v>133</v>
      </c>
      <c r="G87" s="8" t="s">
        <v>204</v>
      </c>
      <c r="H87" s="15" t="n">
        <v>17145</v>
      </c>
      <c r="I87" s="15" t="n">
        <v>17145</v>
      </c>
      <c r="J87" s="16" t="n">
        <v>0.739</v>
      </c>
      <c r="K87" s="8" t="n">
        <v>9</v>
      </c>
      <c r="L87" s="8" t="n">
        <v>9</v>
      </c>
      <c r="M87" s="8" t="n">
        <v>5</v>
      </c>
      <c r="N87" s="8" t="s">
        <v>120</v>
      </c>
      <c r="O87" s="15" t="n">
        <f aca="false">H87*12</f>
        <v>205740</v>
      </c>
      <c r="P87" s="8" t="n">
        <f aca="false">MIN(100,ROUND(100*J87/Assumptions!$B$8,0))</f>
        <v>82</v>
      </c>
      <c r="Q87" s="8" t="n">
        <f aca="false">IF(L87="",Assumptions!$B$9,L87*10)</f>
        <v>90</v>
      </c>
      <c r="R87" s="8" t="n">
        <f aca="false">IF(M87&lt;=1,Assumptions!$B$12,IF(M87&lt;=3,Assumptions!$B$13,IF(M87&lt;=6,Assumptions!$B$14,Assumptions!$B$15)))</f>
        <v>50</v>
      </c>
      <c r="S87" s="8" t="n">
        <f aca="false">IF(N87="Completed On Time",Assumptions!$B$16,IF(N87="Completed Late",Assumptions!$B$17,Assumptions!$B$18))</f>
        <v>100</v>
      </c>
      <c r="T87" s="8" t="n">
        <f aca="false">IF(I87=0,Assumptions!$B$20,IF(H87&gt;I87,Assumptions!$B$19,IF(H87=I87,Assumptions!$B$20,Assumptions!$B$21)))</f>
        <v>70</v>
      </c>
      <c r="U87" s="8" t="n">
        <f aca="false">ROUND(P87*Assumptions!$B$2+Q87*Assumptions!$B$3+R87*Assumptions!$B$4+S87*Assumptions!$B$5+T87*Assumptions!$B$6,0)</f>
        <v>78</v>
      </c>
      <c r="V87" s="8" t="str">
        <f aca="false">IF(U87&gt;=Assumptions!$B$10,"Healthy",IF(U87&gt;=Assumptions!$B$11,"Needs Attention","High Risk"))</f>
        <v>Needs Attention</v>
      </c>
    </row>
    <row r="88" customFormat="false" ht="15" hidden="false" customHeight="false" outlineLevel="0" collapsed="false">
      <c r="A88" s="8" t="s">
        <v>316</v>
      </c>
      <c r="B88" s="8" t="s">
        <v>317</v>
      </c>
      <c r="C88" s="8" t="s">
        <v>55</v>
      </c>
      <c r="D88" s="8" t="s">
        <v>55</v>
      </c>
      <c r="E88" s="8" t="s">
        <v>123</v>
      </c>
      <c r="F88" s="8" t="s">
        <v>136</v>
      </c>
      <c r="G88" s="8" t="s">
        <v>185</v>
      </c>
      <c r="H88" s="15" t="n">
        <v>16920</v>
      </c>
      <c r="I88" s="15" t="n">
        <v>16920</v>
      </c>
      <c r="J88" s="16" t="n">
        <v>0.707</v>
      </c>
      <c r="K88" s="8" t="n">
        <v>8</v>
      </c>
      <c r="L88" s="8" t="n">
        <v>7</v>
      </c>
      <c r="M88" s="8" t="n">
        <v>6</v>
      </c>
      <c r="N88" s="8" t="s">
        <v>120</v>
      </c>
      <c r="O88" s="15" t="n">
        <f aca="false">H88*12</f>
        <v>203040</v>
      </c>
      <c r="P88" s="8" t="n">
        <f aca="false">MIN(100,ROUND(100*J88/Assumptions!$B$8,0))</f>
        <v>79</v>
      </c>
      <c r="Q88" s="8" t="n">
        <f aca="false">IF(L88="",Assumptions!$B$9,L88*10)</f>
        <v>70</v>
      </c>
      <c r="R88" s="8" t="n">
        <f aca="false">IF(M88&lt;=1,Assumptions!$B$12,IF(M88&lt;=3,Assumptions!$B$13,IF(M88&lt;=6,Assumptions!$B$14,Assumptions!$B$15)))</f>
        <v>50</v>
      </c>
      <c r="S88" s="8" t="n">
        <f aca="false">IF(N88="Completed On Time",Assumptions!$B$16,IF(N88="Completed Late",Assumptions!$B$17,Assumptions!$B$18))</f>
        <v>100</v>
      </c>
      <c r="T88" s="8" t="n">
        <f aca="false">IF(I88=0,Assumptions!$B$20,IF(H88&gt;I88,Assumptions!$B$19,IF(H88=I88,Assumptions!$B$20,Assumptions!$B$21)))</f>
        <v>70</v>
      </c>
      <c r="U88" s="8" t="n">
        <f aca="false">ROUND(P88*Assumptions!$B$2+Q88*Assumptions!$B$3+R88*Assumptions!$B$4+S88*Assumptions!$B$5+T88*Assumptions!$B$6,0)</f>
        <v>73</v>
      </c>
      <c r="V88" s="8" t="str">
        <f aca="false">IF(U88&gt;=Assumptions!$B$10,"Healthy",IF(U88&gt;=Assumptions!$B$11,"Needs Attention","High Risk"))</f>
        <v>Needs Attention</v>
      </c>
    </row>
    <row r="89" customFormat="false" ht="15" hidden="false" customHeight="false" outlineLevel="0" collapsed="false">
      <c r="A89" s="8" t="s">
        <v>318</v>
      </c>
      <c r="B89" s="8" t="s">
        <v>319</v>
      </c>
      <c r="C89" s="8" t="s">
        <v>55</v>
      </c>
      <c r="D89" s="8" t="s">
        <v>55</v>
      </c>
      <c r="E89" s="8" t="s">
        <v>123</v>
      </c>
      <c r="F89" s="8" t="s">
        <v>133</v>
      </c>
      <c r="G89" s="8" t="s">
        <v>204</v>
      </c>
      <c r="H89" s="15" t="n">
        <v>16875</v>
      </c>
      <c r="I89" s="15" t="n">
        <v>16875</v>
      </c>
      <c r="J89" s="16" t="n">
        <v>0.738</v>
      </c>
      <c r="K89" s="8" t="n">
        <v>9</v>
      </c>
      <c r="L89" s="8" t="n">
        <v>8</v>
      </c>
      <c r="M89" s="8" t="n">
        <v>4</v>
      </c>
      <c r="N89" s="8" t="s">
        <v>120</v>
      </c>
      <c r="O89" s="15" t="n">
        <f aca="false">H89*12</f>
        <v>202500</v>
      </c>
      <c r="P89" s="8" t="n">
        <f aca="false">MIN(100,ROUND(100*J89/Assumptions!$B$8,0))</f>
        <v>82</v>
      </c>
      <c r="Q89" s="8" t="n">
        <f aca="false">IF(L89="",Assumptions!$B$9,L89*10)</f>
        <v>80</v>
      </c>
      <c r="R89" s="8" t="n">
        <f aca="false">IF(M89&lt;=1,Assumptions!$B$12,IF(M89&lt;=3,Assumptions!$B$13,IF(M89&lt;=6,Assumptions!$B$14,Assumptions!$B$15)))</f>
        <v>50</v>
      </c>
      <c r="S89" s="8" t="n">
        <f aca="false">IF(N89="Completed On Time",Assumptions!$B$16,IF(N89="Completed Late",Assumptions!$B$17,Assumptions!$B$18))</f>
        <v>100</v>
      </c>
      <c r="T89" s="8" t="n">
        <f aca="false">IF(I89=0,Assumptions!$B$20,IF(H89&gt;I89,Assumptions!$B$19,IF(H89=I89,Assumptions!$B$20,Assumptions!$B$21)))</f>
        <v>70</v>
      </c>
      <c r="U89" s="8" t="n">
        <f aca="false">ROUND(P89*Assumptions!$B$2+Q89*Assumptions!$B$3+R89*Assumptions!$B$4+S89*Assumptions!$B$5+T89*Assumptions!$B$6,0)</f>
        <v>76</v>
      </c>
      <c r="V89" s="8" t="str">
        <f aca="false">IF(U89&gt;=Assumptions!$B$10,"Healthy",IF(U89&gt;=Assumptions!$B$11,"Needs Attention","High Risk"))</f>
        <v>Needs Attention</v>
      </c>
    </row>
    <row r="90" customFormat="false" ht="15" hidden="false" customHeight="false" outlineLevel="0" collapsed="false">
      <c r="A90" s="8" t="s">
        <v>320</v>
      </c>
      <c r="B90" s="8" t="s">
        <v>321</v>
      </c>
      <c r="C90" s="8" t="s">
        <v>55</v>
      </c>
      <c r="D90" s="8" t="s">
        <v>55</v>
      </c>
      <c r="E90" s="8" t="s">
        <v>123</v>
      </c>
      <c r="F90" s="8" t="s">
        <v>166</v>
      </c>
      <c r="G90" s="8" t="s">
        <v>125</v>
      </c>
      <c r="H90" s="15" t="n">
        <v>16830</v>
      </c>
      <c r="I90" s="15" t="n">
        <v>16830</v>
      </c>
      <c r="J90" s="16" t="n">
        <v>0.735</v>
      </c>
      <c r="K90" s="8" t="n">
        <v>8.7</v>
      </c>
      <c r="L90" s="8" t="n">
        <v>6</v>
      </c>
      <c r="M90" s="8" t="n">
        <v>1</v>
      </c>
      <c r="N90" s="8" t="s">
        <v>148</v>
      </c>
      <c r="O90" s="15" t="n">
        <f aca="false">H90*12</f>
        <v>201960</v>
      </c>
      <c r="P90" s="8" t="n">
        <f aca="false">MIN(100,ROUND(100*J90/Assumptions!$B$8,0))</f>
        <v>82</v>
      </c>
      <c r="Q90" s="8" t="n">
        <f aca="false">IF(L90="",Assumptions!$B$9,L90*10)</f>
        <v>60</v>
      </c>
      <c r="R90" s="8" t="n">
        <f aca="false">IF(M90&lt;=1,Assumptions!$B$12,IF(M90&lt;=3,Assumptions!$B$13,IF(M90&lt;=6,Assumptions!$B$14,Assumptions!$B$15)))</f>
        <v>100</v>
      </c>
      <c r="S90" s="8" t="n">
        <f aca="false">IF(N90="Completed On Time",Assumptions!$B$16,IF(N90="Completed Late",Assumptions!$B$17,Assumptions!$B$18))</f>
        <v>60</v>
      </c>
      <c r="T90" s="8" t="n">
        <f aca="false">IF(I90=0,Assumptions!$B$20,IF(H90&gt;I90,Assumptions!$B$19,IF(H90=I90,Assumptions!$B$20,Assumptions!$B$21)))</f>
        <v>70</v>
      </c>
      <c r="U90" s="8" t="n">
        <f aca="false">ROUND(P90*Assumptions!$B$2+Q90*Assumptions!$B$3+R90*Assumptions!$B$4+S90*Assumptions!$B$5+T90*Assumptions!$B$6,0)</f>
        <v>76</v>
      </c>
      <c r="V90" s="8" t="str">
        <f aca="false">IF(U90&gt;=Assumptions!$B$10,"Healthy",IF(U90&gt;=Assumptions!$B$11,"Needs Attention","High Risk"))</f>
        <v>Needs Attention</v>
      </c>
    </row>
    <row r="91" customFormat="false" ht="15" hidden="false" customHeight="false" outlineLevel="0" collapsed="false">
      <c r="A91" s="8" t="s">
        <v>322</v>
      </c>
      <c r="B91" s="8" t="s">
        <v>323</v>
      </c>
      <c r="C91" s="8" t="s">
        <v>55</v>
      </c>
      <c r="D91" s="8" t="s">
        <v>55</v>
      </c>
      <c r="E91" s="8" t="s">
        <v>132</v>
      </c>
      <c r="F91" s="8" t="s">
        <v>190</v>
      </c>
      <c r="G91" s="8" t="s">
        <v>119</v>
      </c>
      <c r="H91" s="15" t="n">
        <v>16785</v>
      </c>
      <c r="I91" s="15" t="n">
        <v>16785</v>
      </c>
      <c r="J91" s="16" t="n">
        <v>0.832</v>
      </c>
      <c r="K91" s="8" t="n">
        <v>9.7</v>
      </c>
      <c r="L91" s="8" t="n">
        <v>10</v>
      </c>
      <c r="M91" s="8" t="n">
        <v>2</v>
      </c>
      <c r="N91" s="8" t="s">
        <v>120</v>
      </c>
      <c r="O91" s="15" t="n">
        <f aca="false">H91*12</f>
        <v>201420</v>
      </c>
      <c r="P91" s="8" t="n">
        <f aca="false">MIN(100,ROUND(100*J91/Assumptions!$B$8,0))</f>
        <v>92</v>
      </c>
      <c r="Q91" s="8" t="n">
        <f aca="false">IF(L91="",Assumptions!$B$9,L91*10)</f>
        <v>100</v>
      </c>
      <c r="R91" s="8" t="n">
        <f aca="false">IF(M91&lt;=1,Assumptions!$B$12,IF(M91&lt;=3,Assumptions!$B$13,IF(M91&lt;=6,Assumptions!$B$14,Assumptions!$B$15)))</f>
        <v>75</v>
      </c>
      <c r="S91" s="8" t="n">
        <f aca="false">IF(N91="Completed On Time",Assumptions!$B$16,IF(N91="Completed Late",Assumptions!$B$17,Assumptions!$B$18))</f>
        <v>100</v>
      </c>
      <c r="T91" s="8" t="n">
        <f aca="false">IF(I91=0,Assumptions!$B$20,IF(H91&gt;I91,Assumptions!$B$19,IF(H91=I91,Assumptions!$B$20,Assumptions!$B$21)))</f>
        <v>70</v>
      </c>
      <c r="U91" s="8" t="n">
        <f aca="false">ROUND(P91*Assumptions!$B$2+Q91*Assumptions!$B$3+R91*Assumptions!$B$4+S91*Assumptions!$B$5+T91*Assumptions!$B$6,0)</f>
        <v>87</v>
      </c>
      <c r="V91" s="8" t="str">
        <f aca="false">IF(U91&gt;=Assumptions!$B$10,"Healthy",IF(U91&gt;=Assumptions!$B$11,"Needs Attention","High Risk"))</f>
        <v>Healthy</v>
      </c>
    </row>
    <row r="92" customFormat="false" ht="15" hidden="false" customHeight="false" outlineLevel="0" collapsed="false">
      <c r="A92" s="8" t="s">
        <v>324</v>
      </c>
      <c r="B92" s="8" t="s">
        <v>325</v>
      </c>
      <c r="C92" s="8" t="s">
        <v>55</v>
      </c>
      <c r="D92" s="8" t="s">
        <v>326</v>
      </c>
      <c r="E92" s="8" t="s">
        <v>132</v>
      </c>
      <c r="F92" s="8" t="s">
        <v>143</v>
      </c>
      <c r="G92" s="8" t="s">
        <v>185</v>
      </c>
      <c r="H92" s="15" t="n">
        <v>16725</v>
      </c>
      <c r="I92" s="15" t="n">
        <v>16725</v>
      </c>
      <c r="J92" s="16" t="n">
        <v>0.776</v>
      </c>
      <c r="K92" s="8" t="n">
        <v>7.7</v>
      </c>
      <c r="L92" s="8" t="n">
        <v>8</v>
      </c>
      <c r="M92" s="8" t="n">
        <v>4</v>
      </c>
      <c r="N92" s="8" t="s">
        <v>120</v>
      </c>
      <c r="O92" s="15" t="n">
        <f aca="false">H92*12</f>
        <v>200700</v>
      </c>
      <c r="P92" s="8" t="n">
        <f aca="false">MIN(100,ROUND(100*J92/Assumptions!$B$8,0))</f>
        <v>86</v>
      </c>
      <c r="Q92" s="8" t="n">
        <f aca="false">IF(L92="",Assumptions!$B$9,L92*10)</f>
        <v>80</v>
      </c>
      <c r="R92" s="8" t="n">
        <f aca="false">IF(M92&lt;=1,Assumptions!$B$12,IF(M92&lt;=3,Assumptions!$B$13,IF(M92&lt;=6,Assumptions!$B$14,Assumptions!$B$15)))</f>
        <v>50</v>
      </c>
      <c r="S92" s="8" t="n">
        <f aca="false">IF(N92="Completed On Time",Assumptions!$B$16,IF(N92="Completed Late",Assumptions!$B$17,Assumptions!$B$18))</f>
        <v>100</v>
      </c>
      <c r="T92" s="8" t="n">
        <f aca="false">IF(I92=0,Assumptions!$B$20,IF(H92&gt;I92,Assumptions!$B$19,IF(H92=I92,Assumptions!$B$20,Assumptions!$B$21)))</f>
        <v>70</v>
      </c>
      <c r="U92" s="8" t="n">
        <f aca="false">ROUND(P92*Assumptions!$B$2+Q92*Assumptions!$B$3+R92*Assumptions!$B$4+S92*Assumptions!$B$5+T92*Assumptions!$B$6,0)</f>
        <v>78</v>
      </c>
      <c r="V92" s="8" t="str">
        <f aca="false">IF(U92&gt;=Assumptions!$B$10,"Healthy",IF(U92&gt;=Assumptions!$B$11,"Needs Attention","High Risk"))</f>
        <v>Needs Attention</v>
      </c>
    </row>
    <row r="93" customFormat="false" ht="15" hidden="false" customHeight="false" outlineLevel="0" collapsed="false">
      <c r="A93" s="8" t="s">
        <v>327</v>
      </c>
      <c r="B93" s="8" t="s">
        <v>328</v>
      </c>
      <c r="C93" s="8" t="s">
        <v>55</v>
      </c>
      <c r="D93" s="8" t="s">
        <v>55</v>
      </c>
      <c r="E93" s="8" t="s">
        <v>123</v>
      </c>
      <c r="F93" s="8" t="s">
        <v>136</v>
      </c>
      <c r="G93" s="8" t="s">
        <v>119</v>
      </c>
      <c r="H93" s="15" t="n">
        <v>16650</v>
      </c>
      <c r="I93" s="15" t="n">
        <v>16650</v>
      </c>
      <c r="J93" s="16" t="n">
        <v>0.904</v>
      </c>
      <c r="K93" s="8" t="n">
        <v>11</v>
      </c>
      <c r="L93" s="8" t="n">
        <v>9</v>
      </c>
      <c r="M93" s="8" t="n">
        <v>1</v>
      </c>
      <c r="N93" s="8" t="s">
        <v>120</v>
      </c>
      <c r="O93" s="15" t="n">
        <f aca="false">H93*12</f>
        <v>199800</v>
      </c>
      <c r="P93" s="8" t="n">
        <f aca="false">MIN(100,ROUND(100*J93/Assumptions!$B$8,0))</f>
        <v>100</v>
      </c>
      <c r="Q93" s="8" t="n">
        <f aca="false">IF(L93="",Assumptions!$B$9,L93*10)</f>
        <v>90</v>
      </c>
      <c r="R93" s="8" t="n">
        <f aca="false">IF(M93&lt;=1,Assumptions!$B$12,IF(M93&lt;=3,Assumptions!$B$13,IF(M93&lt;=6,Assumptions!$B$14,Assumptions!$B$15)))</f>
        <v>100</v>
      </c>
      <c r="S93" s="8" t="n">
        <f aca="false">IF(N93="Completed On Time",Assumptions!$B$16,IF(N93="Completed Late",Assumptions!$B$17,Assumptions!$B$18))</f>
        <v>100</v>
      </c>
      <c r="T93" s="8" t="n">
        <f aca="false">IF(I93=0,Assumptions!$B$20,IF(H93&gt;I93,Assumptions!$B$19,IF(H93=I93,Assumptions!$B$20,Assumptions!$B$21)))</f>
        <v>70</v>
      </c>
      <c r="U93" s="8" t="n">
        <f aca="false">ROUND(P93*Assumptions!$B$2+Q93*Assumptions!$B$3+R93*Assumptions!$B$4+S93*Assumptions!$B$5+T93*Assumptions!$B$6,0)</f>
        <v>92</v>
      </c>
      <c r="V93" s="8" t="str">
        <f aca="false">IF(U93&gt;=Assumptions!$B$10,"Healthy",IF(U93&gt;=Assumptions!$B$11,"Needs Attention","High Risk"))</f>
        <v>Healthy</v>
      </c>
    </row>
    <row r="94" customFormat="false" ht="15" hidden="false" customHeight="false" outlineLevel="0" collapsed="false">
      <c r="A94" s="8" t="s">
        <v>329</v>
      </c>
      <c r="B94" s="8" t="s">
        <v>330</v>
      </c>
      <c r="C94" s="8" t="s">
        <v>55</v>
      </c>
      <c r="D94" s="8" t="s">
        <v>55</v>
      </c>
      <c r="E94" s="8" t="s">
        <v>132</v>
      </c>
      <c r="F94" s="8" t="s">
        <v>133</v>
      </c>
      <c r="G94" s="8" t="s">
        <v>177</v>
      </c>
      <c r="H94" s="15" t="n">
        <v>16605</v>
      </c>
      <c r="I94" s="15" t="n">
        <v>16605</v>
      </c>
      <c r="J94" s="16" t="n">
        <v>0.818</v>
      </c>
      <c r="K94" s="8" t="n">
        <v>9.3</v>
      </c>
      <c r="L94" s="8" t="n">
        <v>9</v>
      </c>
      <c r="M94" s="8" t="n">
        <v>7</v>
      </c>
      <c r="N94" s="8" t="s">
        <v>120</v>
      </c>
      <c r="O94" s="15" t="n">
        <f aca="false">H94*12</f>
        <v>199260</v>
      </c>
      <c r="P94" s="8" t="n">
        <f aca="false">MIN(100,ROUND(100*J94/Assumptions!$B$8,0))</f>
        <v>91</v>
      </c>
      <c r="Q94" s="8" t="n">
        <f aca="false">IF(L94="",Assumptions!$B$9,L94*10)</f>
        <v>90</v>
      </c>
      <c r="R94" s="8" t="n">
        <f aca="false">IF(M94&lt;=1,Assumptions!$B$12,IF(M94&lt;=3,Assumptions!$B$13,IF(M94&lt;=6,Assumptions!$B$14,Assumptions!$B$15)))</f>
        <v>20</v>
      </c>
      <c r="S94" s="8" t="n">
        <f aca="false">IF(N94="Completed On Time",Assumptions!$B$16,IF(N94="Completed Late",Assumptions!$B$17,Assumptions!$B$18))</f>
        <v>100</v>
      </c>
      <c r="T94" s="8" t="n">
        <f aca="false">IF(I94=0,Assumptions!$B$20,IF(H94&gt;I94,Assumptions!$B$19,IF(H94=I94,Assumptions!$B$20,Assumptions!$B$21)))</f>
        <v>70</v>
      </c>
      <c r="U94" s="8" t="n">
        <f aca="false">ROUND(P94*Assumptions!$B$2+Q94*Assumptions!$B$3+R94*Assumptions!$B$4+S94*Assumptions!$B$5+T94*Assumptions!$B$6,0)</f>
        <v>77</v>
      </c>
      <c r="V94" s="8" t="str">
        <f aca="false">IF(U94&gt;=Assumptions!$B$10,"Healthy",IF(U94&gt;=Assumptions!$B$11,"Needs Attention","High Risk"))</f>
        <v>Needs Attention</v>
      </c>
    </row>
    <row r="95" customFormat="false" ht="15" hidden="false" customHeight="false" outlineLevel="0" collapsed="false">
      <c r="A95" s="8" t="s">
        <v>331</v>
      </c>
      <c r="B95" s="8" t="s">
        <v>332</v>
      </c>
      <c r="C95" s="8" t="s">
        <v>55</v>
      </c>
      <c r="D95" s="8" t="s">
        <v>55</v>
      </c>
      <c r="E95" s="8" t="s">
        <v>128</v>
      </c>
      <c r="F95" s="8" t="s">
        <v>118</v>
      </c>
      <c r="G95" s="8" t="s">
        <v>177</v>
      </c>
      <c r="H95" s="15" t="n">
        <v>16560</v>
      </c>
      <c r="I95" s="15" t="n">
        <v>0</v>
      </c>
      <c r="J95" s="16" t="n">
        <v>0.642</v>
      </c>
      <c r="K95" s="8" t="n">
        <v>5.3</v>
      </c>
      <c r="L95" s="8"/>
      <c r="M95" s="8" t="n">
        <v>6</v>
      </c>
      <c r="N95" s="8" t="s">
        <v>199</v>
      </c>
      <c r="O95" s="15" t="n">
        <f aca="false">H95*12</f>
        <v>198720</v>
      </c>
      <c r="P95" s="8" t="n">
        <f aca="false">MIN(100,ROUND(100*J95/Assumptions!$B$8,0))</f>
        <v>71</v>
      </c>
      <c r="Q95" s="8" t="n">
        <f aca="false">IF(L95="",Assumptions!$B$9,L95*10)</f>
        <v>50</v>
      </c>
      <c r="R95" s="8" t="n">
        <f aca="false">IF(M95&lt;=1,Assumptions!$B$12,IF(M95&lt;=3,Assumptions!$B$13,IF(M95&lt;=6,Assumptions!$B$14,Assumptions!$B$15)))</f>
        <v>50</v>
      </c>
      <c r="S95" s="8" t="n">
        <f aca="false">IF(N95="Completed On Time",Assumptions!$B$16,IF(N95="Completed Late",Assumptions!$B$17,Assumptions!$B$18))</f>
        <v>50</v>
      </c>
      <c r="T95" s="8" t="n">
        <f aca="false">IF(I95=0,Assumptions!$B$20,IF(H95&gt;I95,Assumptions!$B$19,IF(H95=I95,Assumptions!$B$20,Assumptions!$B$21)))</f>
        <v>70</v>
      </c>
      <c r="U95" s="8" t="n">
        <f aca="false">ROUND(P95*Assumptions!$B$2+Q95*Assumptions!$B$3+R95*Assumptions!$B$4+S95*Assumptions!$B$5+T95*Assumptions!$B$6,0)</f>
        <v>61</v>
      </c>
      <c r="V95" s="8" t="str">
        <f aca="false">IF(U95&gt;=Assumptions!$B$10,"Healthy",IF(U95&gt;=Assumptions!$B$11,"Needs Attention","High Risk"))</f>
        <v>High Risk</v>
      </c>
    </row>
    <row r="96" customFormat="false" ht="15" hidden="false" customHeight="false" outlineLevel="0" collapsed="false">
      <c r="A96" s="8" t="s">
        <v>333</v>
      </c>
      <c r="B96" s="8" t="s">
        <v>334</v>
      </c>
      <c r="C96" s="8" t="s">
        <v>55</v>
      </c>
      <c r="D96" s="8" t="s">
        <v>55</v>
      </c>
      <c r="E96" s="8" t="s">
        <v>132</v>
      </c>
      <c r="F96" s="8" t="s">
        <v>151</v>
      </c>
      <c r="G96" s="8" t="s">
        <v>185</v>
      </c>
      <c r="H96" s="15" t="n">
        <v>16020</v>
      </c>
      <c r="I96" s="15" t="n">
        <v>16020</v>
      </c>
      <c r="J96" s="16" t="n">
        <v>0.671</v>
      </c>
      <c r="K96" s="8" t="n">
        <v>8</v>
      </c>
      <c r="L96" s="8" t="n">
        <v>7</v>
      </c>
      <c r="M96" s="8" t="n">
        <v>5</v>
      </c>
      <c r="N96" s="8" t="s">
        <v>120</v>
      </c>
      <c r="O96" s="15" t="n">
        <f aca="false">H96*12</f>
        <v>192240</v>
      </c>
      <c r="P96" s="8" t="n">
        <f aca="false">MIN(100,ROUND(100*J96/Assumptions!$B$8,0))</f>
        <v>75</v>
      </c>
      <c r="Q96" s="8" t="n">
        <f aca="false">IF(L96="",Assumptions!$B$9,L96*10)</f>
        <v>70</v>
      </c>
      <c r="R96" s="8" t="n">
        <f aca="false">IF(M96&lt;=1,Assumptions!$B$12,IF(M96&lt;=3,Assumptions!$B$13,IF(M96&lt;=6,Assumptions!$B$14,Assumptions!$B$15)))</f>
        <v>50</v>
      </c>
      <c r="S96" s="8" t="n">
        <f aca="false">IF(N96="Completed On Time",Assumptions!$B$16,IF(N96="Completed Late",Assumptions!$B$17,Assumptions!$B$18))</f>
        <v>100</v>
      </c>
      <c r="T96" s="8" t="n">
        <f aca="false">IF(I96=0,Assumptions!$B$20,IF(H96&gt;I96,Assumptions!$B$19,IF(H96=I96,Assumptions!$B$20,Assumptions!$B$21)))</f>
        <v>70</v>
      </c>
      <c r="U96" s="8" t="n">
        <f aca="false">ROUND(P96*Assumptions!$B$2+Q96*Assumptions!$B$3+R96*Assumptions!$B$4+S96*Assumptions!$B$5+T96*Assumptions!$B$6,0)</f>
        <v>72</v>
      </c>
      <c r="V96" s="8" t="str">
        <f aca="false">IF(U96&gt;=Assumptions!$B$10,"Healthy",IF(U96&gt;=Assumptions!$B$11,"Needs Attention","High Risk"))</f>
        <v>Needs Attention</v>
      </c>
    </row>
    <row r="97" customFormat="false" ht="15" hidden="false" customHeight="false" outlineLevel="0" collapsed="false">
      <c r="A97" s="8" t="s">
        <v>335</v>
      </c>
      <c r="B97" s="8" t="s">
        <v>336</v>
      </c>
      <c r="C97" s="8" t="s">
        <v>55</v>
      </c>
      <c r="D97" s="8" t="s">
        <v>55</v>
      </c>
      <c r="E97" s="8" t="s">
        <v>128</v>
      </c>
      <c r="F97" s="8" t="s">
        <v>133</v>
      </c>
      <c r="G97" s="8" t="s">
        <v>140</v>
      </c>
      <c r="H97" s="15" t="n">
        <v>15930</v>
      </c>
      <c r="I97" s="15" t="n">
        <v>15930</v>
      </c>
      <c r="J97" s="16" t="n">
        <v>0.687</v>
      </c>
      <c r="K97" s="8" t="n">
        <v>7.3</v>
      </c>
      <c r="L97" s="8" t="n">
        <v>7</v>
      </c>
      <c r="M97" s="8" t="n">
        <v>9</v>
      </c>
      <c r="N97" s="8" t="s">
        <v>120</v>
      </c>
      <c r="O97" s="15" t="n">
        <f aca="false">H97*12</f>
        <v>191160</v>
      </c>
      <c r="P97" s="8" t="n">
        <f aca="false">MIN(100,ROUND(100*J97/Assumptions!$B$8,0))</f>
        <v>76</v>
      </c>
      <c r="Q97" s="8" t="n">
        <f aca="false">IF(L97="",Assumptions!$B$9,L97*10)</f>
        <v>70</v>
      </c>
      <c r="R97" s="8" t="n">
        <f aca="false">IF(M97&lt;=1,Assumptions!$B$12,IF(M97&lt;=3,Assumptions!$B$13,IF(M97&lt;=6,Assumptions!$B$14,Assumptions!$B$15)))</f>
        <v>20</v>
      </c>
      <c r="S97" s="8" t="n">
        <f aca="false">IF(N97="Completed On Time",Assumptions!$B$16,IF(N97="Completed Late",Assumptions!$B$17,Assumptions!$B$18))</f>
        <v>100</v>
      </c>
      <c r="T97" s="8" t="n">
        <f aca="false">IF(I97=0,Assumptions!$B$20,IF(H97&gt;I97,Assumptions!$B$19,IF(H97=I97,Assumptions!$B$20,Assumptions!$B$21)))</f>
        <v>70</v>
      </c>
      <c r="U97" s="8" t="n">
        <f aca="false">ROUND(P97*Assumptions!$B$2+Q97*Assumptions!$B$3+R97*Assumptions!$B$4+S97*Assumptions!$B$5+T97*Assumptions!$B$6,0)</f>
        <v>68</v>
      </c>
      <c r="V97" s="8" t="str">
        <f aca="false">IF(U97&gt;=Assumptions!$B$10,"Healthy",IF(U97&gt;=Assumptions!$B$11,"Needs Attention","High Risk"))</f>
        <v>Needs Attention</v>
      </c>
    </row>
    <row r="98" customFormat="false" ht="15" hidden="false" customHeight="false" outlineLevel="0" collapsed="false">
      <c r="A98" s="8" t="s">
        <v>337</v>
      </c>
      <c r="B98" s="8" t="s">
        <v>338</v>
      </c>
      <c r="C98" s="8" t="s">
        <v>55</v>
      </c>
      <c r="D98" s="8" t="s">
        <v>55</v>
      </c>
      <c r="E98" s="8" t="s">
        <v>132</v>
      </c>
      <c r="F98" s="8" t="s">
        <v>133</v>
      </c>
      <c r="G98" s="8" t="s">
        <v>119</v>
      </c>
      <c r="H98" s="15" t="n">
        <v>15885</v>
      </c>
      <c r="I98" s="15" t="n">
        <v>15885</v>
      </c>
      <c r="J98" s="16" t="n">
        <v>0.757</v>
      </c>
      <c r="K98" s="8" t="n">
        <v>9.7</v>
      </c>
      <c r="L98" s="8" t="n">
        <v>7</v>
      </c>
      <c r="M98" s="8" t="n">
        <v>2</v>
      </c>
      <c r="N98" s="8" t="s">
        <v>120</v>
      </c>
      <c r="O98" s="15" t="n">
        <f aca="false">H98*12</f>
        <v>190620</v>
      </c>
      <c r="P98" s="8" t="n">
        <f aca="false">MIN(100,ROUND(100*J98/Assumptions!$B$8,0))</f>
        <v>84</v>
      </c>
      <c r="Q98" s="8" t="n">
        <f aca="false">IF(L98="",Assumptions!$B$9,L98*10)</f>
        <v>70</v>
      </c>
      <c r="R98" s="8" t="n">
        <f aca="false">IF(M98&lt;=1,Assumptions!$B$12,IF(M98&lt;=3,Assumptions!$B$13,IF(M98&lt;=6,Assumptions!$B$14,Assumptions!$B$15)))</f>
        <v>75</v>
      </c>
      <c r="S98" s="8" t="n">
        <f aca="false">IF(N98="Completed On Time",Assumptions!$B$16,IF(N98="Completed Late",Assumptions!$B$17,Assumptions!$B$18))</f>
        <v>100</v>
      </c>
      <c r="T98" s="8" t="n">
        <f aca="false">IF(I98=0,Assumptions!$B$20,IF(H98&gt;I98,Assumptions!$B$19,IF(H98=I98,Assumptions!$B$20,Assumptions!$B$21)))</f>
        <v>70</v>
      </c>
      <c r="U98" s="8" t="n">
        <f aca="false">ROUND(P98*Assumptions!$B$2+Q98*Assumptions!$B$3+R98*Assumptions!$B$4+S98*Assumptions!$B$5+T98*Assumptions!$B$6,0)</f>
        <v>79</v>
      </c>
      <c r="V98" s="8" t="str">
        <f aca="false">IF(U98&gt;=Assumptions!$B$10,"Healthy",IF(U98&gt;=Assumptions!$B$11,"Needs Attention","High Risk"))</f>
        <v>Needs Attention</v>
      </c>
    </row>
    <row r="99" customFormat="false" ht="15" hidden="false" customHeight="false" outlineLevel="0" collapsed="false">
      <c r="A99" s="8" t="s">
        <v>339</v>
      </c>
      <c r="B99" s="8" t="s">
        <v>340</v>
      </c>
      <c r="C99" s="8" t="s">
        <v>55</v>
      </c>
      <c r="D99" s="8" t="s">
        <v>55</v>
      </c>
      <c r="E99" s="8" t="s">
        <v>123</v>
      </c>
      <c r="F99" s="8" t="s">
        <v>166</v>
      </c>
      <c r="G99" s="8" t="s">
        <v>204</v>
      </c>
      <c r="H99" s="15" t="n">
        <v>15570</v>
      </c>
      <c r="I99" s="15" t="n">
        <v>15570</v>
      </c>
      <c r="J99" s="16" t="n">
        <v>0.704</v>
      </c>
      <c r="K99" s="8" t="n">
        <v>9.7</v>
      </c>
      <c r="L99" s="8" t="n">
        <v>8</v>
      </c>
      <c r="M99" s="8" t="n">
        <v>1</v>
      </c>
      <c r="N99" s="8" t="s">
        <v>120</v>
      </c>
      <c r="O99" s="15" t="n">
        <f aca="false">H99*12</f>
        <v>186840</v>
      </c>
      <c r="P99" s="8" t="n">
        <f aca="false">MIN(100,ROUND(100*J99/Assumptions!$B$8,0))</f>
        <v>78</v>
      </c>
      <c r="Q99" s="8" t="n">
        <f aca="false">IF(L99="",Assumptions!$B$9,L99*10)</f>
        <v>80</v>
      </c>
      <c r="R99" s="8" t="n">
        <f aca="false">IF(M99&lt;=1,Assumptions!$B$12,IF(M99&lt;=3,Assumptions!$B$13,IF(M99&lt;=6,Assumptions!$B$14,Assumptions!$B$15)))</f>
        <v>100</v>
      </c>
      <c r="S99" s="8" t="n">
        <f aca="false">IF(N99="Completed On Time",Assumptions!$B$16,IF(N99="Completed Late",Assumptions!$B$17,Assumptions!$B$18))</f>
        <v>100</v>
      </c>
      <c r="T99" s="8" t="n">
        <f aca="false">IF(I99=0,Assumptions!$B$20,IF(H99&gt;I99,Assumptions!$B$19,IF(H99=I99,Assumptions!$B$20,Assumptions!$B$21)))</f>
        <v>70</v>
      </c>
      <c r="U99" s="8" t="n">
        <f aca="false">ROUND(P99*Assumptions!$B$2+Q99*Assumptions!$B$3+R99*Assumptions!$B$4+S99*Assumptions!$B$5+T99*Assumptions!$B$6,0)</f>
        <v>82</v>
      </c>
      <c r="V99" s="8" t="str">
        <f aca="false">IF(U99&gt;=Assumptions!$B$10,"Healthy",IF(U99&gt;=Assumptions!$B$11,"Needs Attention","High Risk"))</f>
        <v>Healthy</v>
      </c>
    </row>
    <row r="100" customFormat="false" ht="15" hidden="false" customHeight="false" outlineLevel="0" collapsed="false">
      <c r="A100" s="8" t="s">
        <v>341</v>
      </c>
      <c r="B100" s="8" t="s">
        <v>342</v>
      </c>
      <c r="C100" s="8" t="s">
        <v>55</v>
      </c>
      <c r="D100" s="8" t="s">
        <v>55</v>
      </c>
      <c r="E100" s="8" t="s">
        <v>117</v>
      </c>
      <c r="F100" s="8" t="s">
        <v>136</v>
      </c>
      <c r="G100" s="8" t="s">
        <v>125</v>
      </c>
      <c r="H100" s="15" t="n">
        <v>15480</v>
      </c>
      <c r="I100" s="15" t="n">
        <v>15480</v>
      </c>
      <c r="J100" s="16" t="n">
        <v>0.768</v>
      </c>
      <c r="K100" s="8" t="n">
        <v>10</v>
      </c>
      <c r="L100" s="8" t="n">
        <v>10</v>
      </c>
      <c r="M100" s="8" t="n">
        <v>2</v>
      </c>
      <c r="N100" s="8" t="s">
        <v>120</v>
      </c>
      <c r="O100" s="15" t="n">
        <f aca="false">H100*12</f>
        <v>185760</v>
      </c>
      <c r="P100" s="8" t="n">
        <f aca="false">MIN(100,ROUND(100*J100/Assumptions!$B$8,0))</f>
        <v>85</v>
      </c>
      <c r="Q100" s="8" t="n">
        <f aca="false">IF(L100="",Assumptions!$B$9,L100*10)</f>
        <v>100</v>
      </c>
      <c r="R100" s="8" t="n">
        <f aca="false">IF(M100&lt;=1,Assumptions!$B$12,IF(M100&lt;=3,Assumptions!$B$13,IF(M100&lt;=6,Assumptions!$B$14,Assumptions!$B$15)))</f>
        <v>75</v>
      </c>
      <c r="S100" s="8" t="n">
        <f aca="false">IF(N100="Completed On Time",Assumptions!$B$16,IF(N100="Completed Late",Assumptions!$B$17,Assumptions!$B$18))</f>
        <v>100</v>
      </c>
      <c r="T100" s="8" t="n">
        <f aca="false">IF(I100=0,Assumptions!$B$20,IF(H100&gt;I100,Assumptions!$B$19,IF(H100=I100,Assumptions!$B$20,Assumptions!$B$21)))</f>
        <v>70</v>
      </c>
      <c r="U100" s="8" t="n">
        <f aca="false">ROUND(P100*Assumptions!$B$2+Q100*Assumptions!$B$3+R100*Assumptions!$B$4+S100*Assumptions!$B$5+T100*Assumptions!$B$6,0)</f>
        <v>85</v>
      </c>
      <c r="V100" s="8" t="str">
        <f aca="false">IF(U100&gt;=Assumptions!$B$10,"Healthy",IF(U100&gt;=Assumptions!$B$11,"Needs Attention","High Risk"))</f>
        <v>Healthy</v>
      </c>
    </row>
    <row r="101" customFormat="false" ht="15" hidden="false" customHeight="false" outlineLevel="0" collapsed="false">
      <c r="A101" s="8" t="s">
        <v>343</v>
      </c>
      <c r="B101" s="8" t="s">
        <v>344</v>
      </c>
      <c r="C101" s="8" t="s">
        <v>55</v>
      </c>
      <c r="D101" s="8" t="s">
        <v>55</v>
      </c>
      <c r="E101" s="8" t="s">
        <v>123</v>
      </c>
      <c r="F101" s="8" t="s">
        <v>151</v>
      </c>
      <c r="G101" s="8" t="s">
        <v>125</v>
      </c>
      <c r="H101" s="15" t="n">
        <v>15435</v>
      </c>
      <c r="I101" s="15" t="n">
        <v>15435</v>
      </c>
      <c r="J101" s="16" t="n">
        <v>0.666</v>
      </c>
      <c r="K101" s="8" t="n">
        <v>5.7</v>
      </c>
      <c r="L101" s="8" t="n">
        <v>8</v>
      </c>
      <c r="M101" s="8" t="n">
        <v>10</v>
      </c>
      <c r="N101" s="8" t="s">
        <v>120</v>
      </c>
      <c r="O101" s="15" t="n">
        <f aca="false">H101*12</f>
        <v>185220</v>
      </c>
      <c r="P101" s="8" t="n">
        <f aca="false">MIN(100,ROUND(100*J101/Assumptions!$B$8,0))</f>
        <v>74</v>
      </c>
      <c r="Q101" s="8" t="n">
        <f aca="false">IF(L101="",Assumptions!$B$9,L101*10)</f>
        <v>80</v>
      </c>
      <c r="R101" s="8" t="n">
        <f aca="false">IF(M101&lt;=1,Assumptions!$B$12,IF(M101&lt;=3,Assumptions!$B$13,IF(M101&lt;=6,Assumptions!$B$14,Assumptions!$B$15)))</f>
        <v>20</v>
      </c>
      <c r="S101" s="8" t="n">
        <f aca="false">IF(N101="Completed On Time",Assumptions!$B$16,IF(N101="Completed Late",Assumptions!$B$17,Assumptions!$B$18))</f>
        <v>100</v>
      </c>
      <c r="T101" s="8" t="n">
        <f aca="false">IF(I101=0,Assumptions!$B$20,IF(H101&gt;I101,Assumptions!$B$19,IF(H101=I101,Assumptions!$B$20,Assumptions!$B$21)))</f>
        <v>70</v>
      </c>
      <c r="U101" s="8" t="n">
        <f aca="false">ROUND(P101*Assumptions!$B$2+Q101*Assumptions!$B$3+R101*Assumptions!$B$4+S101*Assumptions!$B$5+T101*Assumptions!$B$6,0)</f>
        <v>69</v>
      </c>
      <c r="V101" s="8" t="str">
        <f aca="false">IF(U101&gt;=Assumptions!$B$10,"Healthy",IF(U101&gt;=Assumptions!$B$11,"Needs Attention","High Risk"))</f>
        <v>Needs Attention</v>
      </c>
    </row>
    <row r="102" customFormat="false" ht="15" hidden="false" customHeight="false" outlineLevel="0" collapsed="false">
      <c r="A102" s="8" t="s">
        <v>345</v>
      </c>
      <c r="B102" s="8" t="s">
        <v>346</v>
      </c>
      <c r="C102" s="8" t="s">
        <v>55</v>
      </c>
      <c r="D102" s="8" t="s">
        <v>55</v>
      </c>
      <c r="E102" s="8" t="s">
        <v>123</v>
      </c>
      <c r="F102" s="8" t="s">
        <v>143</v>
      </c>
      <c r="G102" s="8" t="s">
        <v>125</v>
      </c>
      <c r="H102" s="15" t="n">
        <v>15435</v>
      </c>
      <c r="I102" s="15" t="n">
        <v>15435</v>
      </c>
      <c r="J102" s="16" t="n">
        <v>0.701</v>
      </c>
      <c r="K102" s="8" t="n">
        <v>8.7</v>
      </c>
      <c r="L102" s="8" t="n">
        <v>8</v>
      </c>
      <c r="M102" s="8" t="n">
        <v>2</v>
      </c>
      <c r="N102" s="8" t="s">
        <v>120</v>
      </c>
      <c r="O102" s="15" t="n">
        <f aca="false">H102*12</f>
        <v>185220</v>
      </c>
      <c r="P102" s="8" t="n">
        <f aca="false">MIN(100,ROUND(100*J102/Assumptions!$B$8,0))</f>
        <v>78</v>
      </c>
      <c r="Q102" s="8" t="n">
        <f aca="false">IF(L102="",Assumptions!$B$9,L102*10)</f>
        <v>80</v>
      </c>
      <c r="R102" s="8" t="n">
        <f aca="false">IF(M102&lt;=1,Assumptions!$B$12,IF(M102&lt;=3,Assumptions!$B$13,IF(M102&lt;=6,Assumptions!$B$14,Assumptions!$B$15)))</f>
        <v>75</v>
      </c>
      <c r="S102" s="8" t="n">
        <f aca="false">IF(N102="Completed On Time",Assumptions!$B$16,IF(N102="Completed Late",Assumptions!$B$17,Assumptions!$B$18))</f>
        <v>100</v>
      </c>
      <c r="T102" s="8" t="n">
        <f aca="false">IF(I102=0,Assumptions!$B$20,IF(H102&gt;I102,Assumptions!$B$19,IF(H102=I102,Assumptions!$B$20,Assumptions!$B$21)))</f>
        <v>70</v>
      </c>
      <c r="U102" s="8" t="n">
        <f aca="false">ROUND(P102*Assumptions!$B$2+Q102*Assumptions!$B$3+R102*Assumptions!$B$4+S102*Assumptions!$B$5+T102*Assumptions!$B$6,0)</f>
        <v>79</v>
      </c>
      <c r="V102" s="8" t="str">
        <f aca="false">IF(U102&gt;=Assumptions!$B$10,"Healthy",IF(U102&gt;=Assumptions!$B$11,"Needs Attention","High Risk"))</f>
        <v>Needs Attention</v>
      </c>
    </row>
    <row r="103" customFormat="false" ht="15" hidden="false" customHeight="false" outlineLevel="0" collapsed="false">
      <c r="A103" s="8" t="s">
        <v>347</v>
      </c>
      <c r="B103" s="8" t="s">
        <v>348</v>
      </c>
      <c r="C103" s="8" t="s">
        <v>55</v>
      </c>
      <c r="D103" s="8" t="s">
        <v>55</v>
      </c>
      <c r="E103" s="8" t="s">
        <v>132</v>
      </c>
      <c r="F103" s="8" t="s">
        <v>143</v>
      </c>
      <c r="G103" s="8" t="s">
        <v>177</v>
      </c>
      <c r="H103" s="15" t="n">
        <v>15300</v>
      </c>
      <c r="I103" s="15" t="n">
        <v>15300</v>
      </c>
      <c r="J103" s="16" t="n">
        <v>0.852</v>
      </c>
      <c r="K103" s="8" t="n">
        <v>7.7</v>
      </c>
      <c r="L103" s="8" t="n">
        <v>7</v>
      </c>
      <c r="M103" s="8" t="n">
        <v>1</v>
      </c>
      <c r="N103" s="8" t="s">
        <v>120</v>
      </c>
      <c r="O103" s="15" t="n">
        <f aca="false">H103*12</f>
        <v>183600</v>
      </c>
      <c r="P103" s="8" t="n">
        <f aca="false">MIN(100,ROUND(100*J103/Assumptions!$B$8,0))</f>
        <v>95</v>
      </c>
      <c r="Q103" s="8" t="n">
        <f aca="false">IF(L103="",Assumptions!$B$9,L103*10)</f>
        <v>70</v>
      </c>
      <c r="R103" s="8" t="n">
        <f aca="false">IF(M103&lt;=1,Assumptions!$B$12,IF(M103&lt;=3,Assumptions!$B$13,IF(M103&lt;=6,Assumptions!$B$14,Assumptions!$B$15)))</f>
        <v>100</v>
      </c>
      <c r="S103" s="8" t="n">
        <f aca="false">IF(N103="Completed On Time",Assumptions!$B$16,IF(N103="Completed Late",Assumptions!$B$17,Assumptions!$B$18))</f>
        <v>100</v>
      </c>
      <c r="T103" s="8" t="n">
        <f aca="false">IF(I103=0,Assumptions!$B$20,IF(H103&gt;I103,Assumptions!$B$19,IF(H103=I103,Assumptions!$B$20,Assumptions!$B$21)))</f>
        <v>70</v>
      </c>
      <c r="U103" s="8" t="n">
        <f aca="false">ROUND(P103*Assumptions!$B$2+Q103*Assumptions!$B$3+R103*Assumptions!$B$4+S103*Assumptions!$B$5+T103*Assumptions!$B$6,0)</f>
        <v>86</v>
      </c>
      <c r="V103" s="8" t="str">
        <f aca="false">IF(U103&gt;=Assumptions!$B$10,"Healthy",IF(U103&gt;=Assumptions!$B$11,"Needs Attention","High Risk"))</f>
        <v>Healthy</v>
      </c>
    </row>
    <row r="104" customFormat="false" ht="15" hidden="false" customHeight="false" outlineLevel="0" collapsed="false">
      <c r="A104" s="8" t="s">
        <v>349</v>
      </c>
      <c r="B104" s="8" t="s">
        <v>350</v>
      </c>
      <c r="C104" s="8" t="s">
        <v>55</v>
      </c>
      <c r="D104" s="8" t="s">
        <v>55</v>
      </c>
      <c r="E104" s="8" t="s">
        <v>132</v>
      </c>
      <c r="F104" s="8" t="s">
        <v>190</v>
      </c>
      <c r="G104" s="8" t="s">
        <v>144</v>
      </c>
      <c r="H104" s="15" t="n">
        <v>15300</v>
      </c>
      <c r="I104" s="15" t="n">
        <v>15300</v>
      </c>
      <c r="J104" s="16" t="n">
        <v>0.7</v>
      </c>
      <c r="K104" s="8" t="n">
        <v>9</v>
      </c>
      <c r="L104" s="8" t="n">
        <v>10</v>
      </c>
      <c r="M104" s="8" t="n">
        <v>6</v>
      </c>
      <c r="N104" s="8" t="s">
        <v>120</v>
      </c>
      <c r="O104" s="15" t="n">
        <f aca="false">H104*12</f>
        <v>183600</v>
      </c>
      <c r="P104" s="8" t="n">
        <f aca="false">MIN(100,ROUND(100*J104/Assumptions!$B$8,0))</f>
        <v>78</v>
      </c>
      <c r="Q104" s="8" t="n">
        <f aca="false">IF(L104="",Assumptions!$B$9,L104*10)</f>
        <v>100</v>
      </c>
      <c r="R104" s="8" t="n">
        <f aca="false">IF(M104&lt;=1,Assumptions!$B$12,IF(M104&lt;=3,Assumptions!$B$13,IF(M104&lt;=6,Assumptions!$B$14,Assumptions!$B$15)))</f>
        <v>50</v>
      </c>
      <c r="S104" s="8" t="n">
        <f aca="false">IF(N104="Completed On Time",Assumptions!$B$16,IF(N104="Completed Late",Assumptions!$B$17,Assumptions!$B$18))</f>
        <v>100</v>
      </c>
      <c r="T104" s="8" t="n">
        <f aca="false">IF(I104=0,Assumptions!$B$20,IF(H104&gt;I104,Assumptions!$B$19,IF(H104=I104,Assumptions!$B$20,Assumptions!$B$21)))</f>
        <v>70</v>
      </c>
      <c r="U104" s="8" t="n">
        <f aca="false">ROUND(P104*Assumptions!$B$2+Q104*Assumptions!$B$3+R104*Assumptions!$B$4+S104*Assumptions!$B$5+T104*Assumptions!$B$6,0)</f>
        <v>79</v>
      </c>
      <c r="V104" s="8" t="str">
        <f aca="false">IF(U104&gt;=Assumptions!$B$10,"Healthy",IF(U104&gt;=Assumptions!$B$11,"Needs Attention","High Risk"))</f>
        <v>Needs Attention</v>
      </c>
    </row>
    <row r="105" customFormat="false" ht="15" hidden="false" customHeight="false" outlineLevel="0" collapsed="false">
      <c r="A105" s="8" t="s">
        <v>351</v>
      </c>
      <c r="B105" s="8" t="s">
        <v>352</v>
      </c>
      <c r="C105" s="8" t="s">
        <v>55</v>
      </c>
      <c r="D105" s="8" t="s">
        <v>55</v>
      </c>
      <c r="E105" s="8" t="s">
        <v>123</v>
      </c>
      <c r="F105" s="8" t="s">
        <v>118</v>
      </c>
      <c r="G105" s="8" t="s">
        <v>137</v>
      </c>
      <c r="H105" s="15" t="n">
        <v>15165</v>
      </c>
      <c r="I105" s="15" t="n">
        <v>15165</v>
      </c>
      <c r="J105" s="16" t="n">
        <v>0.743</v>
      </c>
      <c r="K105" s="8" t="n">
        <v>9.3</v>
      </c>
      <c r="L105" s="8" t="n">
        <v>9</v>
      </c>
      <c r="M105" s="8" t="n">
        <v>3</v>
      </c>
      <c r="N105" s="8" t="s">
        <v>120</v>
      </c>
      <c r="O105" s="15" t="n">
        <f aca="false">H105*12</f>
        <v>181980</v>
      </c>
      <c r="P105" s="8" t="n">
        <f aca="false">MIN(100,ROUND(100*J105/Assumptions!$B$8,0))</f>
        <v>83</v>
      </c>
      <c r="Q105" s="8" t="n">
        <f aca="false">IF(L105="",Assumptions!$B$9,L105*10)</f>
        <v>90</v>
      </c>
      <c r="R105" s="8" t="n">
        <f aca="false">IF(M105&lt;=1,Assumptions!$B$12,IF(M105&lt;=3,Assumptions!$B$13,IF(M105&lt;=6,Assumptions!$B$14,Assumptions!$B$15)))</f>
        <v>75</v>
      </c>
      <c r="S105" s="8" t="n">
        <f aca="false">IF(N105="Completed On Time",Assumptions!$B$16,IF(N105="Completed Late",Assumptions!$B$17,Assumptions!$B$18))</f>
        <v>100</v>
      </c>
      <c r="T105" s="8" t="n">
        <f aca="false">IF(I105=0,Assumptions!$B$20,IF(H105&gt;I105,Assumptions!$B$19,IF(H105=I105,Assumptions!$B$20,Assumptions!$B$21)))</f>
        <v>70</v>
      </c>
      <c r="U105" s="8" t="n">
        <f aca="false">ROUND(P105*Assumptions!$B$2+Q105*Assumptions!$B$3+R105*Assumptions!$B$4+S105*Assumptions!$B$5+T105*Assumptions!$B$6,0)</f>
        <v>82</v>
      </c>
      <c r="V105" s="8" t="str">
        <f aca="false">IF(U105&gt;=Assumptions!$B$10,"Healthy",IF(U105&gt;=Assumptions!$B$11,"Needs Attention","High Risk"))</f>
        <v>Healthy</v>
      </c>
    </row>
    <row r="106" customFormat="false" ht="15" hidden="false" customHeight="false" outlineLevel="0" collapsed="false">
      <c r="A106" s="8" t="s">
        <v>353</v>
      </c>
      <c r="B106" s="8" t="s">
        <v>354</v>
      </c>
      <c r="C106" s="8" t="s">
        <v>55</v>
      </c>
      <c r="D106" s="8" t="s">
        <v>55</v>
      </c>
      <c r="E106" s="8" t="s">
        <v>123</v>
      </c>
      <c r="F106" s="8" t="s">
        <v>124</v>
      </c>
      <c r="G106" s="8" t="s">
        <v>204</v>
      </c>
      <c r="H106" s="15" t="n">
        <v>15030</v>
      </c>
      <c r="I106" s="15" t="n">
        <v>15030</v>
      </c>
      <c r="J106" s="16" t="n">
        <v>0.769</v>
      </c>
      <c r="K106" s="8" t="n">
        <v>9</v>
      </c>
      <c r="L106" s="8" t="n">
        <v>10</v>
      </c>
      <c r="M106" s="8" t="n">
        <v>2</v>
      </c>
      <c r="N106" s="8" t="s">
        <v>120</v>
      </c>
      <c r="O106" s="15" t="n">
        <f aca="false">H106*12</f>
        <v>180360</v>
      </c>
      <c r="P106" s="8" t="n">
        <f aca="false">MIN(100,ROUND(100*J106/Assumptions!$B$8,0))</f>
        <v>85</v>
      </c>
      <c r="Q106" s="8" t="n">
        <f aca="false">IF(L106="",Assumptions!$B$9,L106*10)</f>
        <v>100</v>
      </c>
      <c r="R106" s="8" t="n">
        <f aca="false">IF(M106&lt;=1,Assumptions!$B$12,IF(M106&lt;=3,Assumptions!$B$13,IF(M106&lt;=6,Assumptions!$B$14,Assumptions!$B$15)))</f>
        <v>75</v>
      </c>
      <c r="S106" s="8" t="n">
        <f aca="false">IF(N106="Completed On Time",Assumptions!$B$16,IF(N106="Completed Late",Assumptions!$B$17,Assumptions!$B$18))</f>
        <v>100</v>
      </c>
      <c r="T106" s="8" t="n">
        <f aca="false">IF(I106=0,Assumptions!$B$20,IF(H106&gt;I106,Assumptions!$B$19,IF(H106=I106,Assumptions!$B$20,Assumptions!$B$21)))</f>
        <v>70</v>
      </c>
      <c r="U106" s="8" t="n">
        <f aca="false">ROUND(P106*Assumptions!$B$2+Q106*Assumptions!$B$3+R106*Assumptions!$B$4+S106*Assumptions!$B$5+T106*Assumptions!$B$6,0)</f>
        <v>85</v>
      </c>
      <c r="V106" s="8" t="str">
        <f aca="false">IF(U106&gt;=Assumptions!$B$10,"Healthy",IF(U106&gt;=Assumptions!$B$11,"Needs Attention","High Risk"))</f>
        <v>Healthy</v>
      </c>
    </row>
    <row r="107" customFormat="false" ht="15" hidden="false" customHeight="false" outlineLevel="0" collapsed="false">
      <c r="A107" s="8" t="s">
        <v>355</v>
      </c>
      <c r="B107" s="8" t="s">
        <v>356</v>
      </c>
      <c r="C107" s="8" t="s">
        <v>55</v>
      </c>
      <c r="D107" s="8" t="s">
        <v>55</v>
      </c>
      <c r="E107" s="8" t="s">
        <v>123</v>
      </c>
      <c r="F107" s="8" t="s">
        <v>151</v>
      </c>
      <c r="G107" s="8" t="s">
        <v>119</v>
      </c>
      <c r="H107" s="15" t="n">
        <v>15030</v>
      </c>
      <c r="I107" s="15" t="n">
        <v>15030</v>
      </c>
      <c r="J107" s="16" t="n">
        <v>0.692</v>
      </c>
      <c r="K107" s="8" t="n">
        <v>9.3</v>
      </c>
      <c r="L107" s="8" t="n">
        <v>9</v>
      </c>
      <c r="M107" s="8" t="n">
        <v>5</v>
      </c>
      <c r="N107" s="8" t="s">
        <v>120</v>
      </c>
      <c r="O107" s="15" t="n">
        <f aca="false">H107*12</f>
        <v>180360</v>
      </c>
      <c r="P107" s="8" t="n">
        <f aca="false">MIN(100,ROUND(100*J107/Assumptions!$B$8,0))</f>
        <v>77</v>
      </c>
      <c r="Q107" s="8" t="n">
        <f aca="false">IF(L107="",Assumptions!$B$9,L107*10)</f>
        <v>90</v>
      </c>
      <c r="R107" s="8" t="n">
        <f aca="false">IF(M107&lt;=1,Assumptions!$B$12,IF(M107&lt;=3,Assumptions!$B$13,IF(M107&lt;=6,Assumptions!$B$14,Assumptions!$B$15)))</f>
        <v>50</v>
      </c>
      <c r="S107" s="8" t="n">
        <f aca="false">IF(N107="Completed On Time",Assumptions!$B$16,IF(N107="Completed Late",Assumptions!$B$17,Assumptions!$B$18))</f>
        <v>100</v>
      </c>
      <c r="T107" s="8" t="n">
        <f aca="false">IF(I107=0,Assumptions!$B$20,IF(H107&gt;I107,Assumptions!$B$19,IF(H107=I107,Assumptions!$B$20,Assumptions!$B$21)))</f>
        <v>70</v>
      </c>
      <c r="U107" s="8" t="n">
        <f aca="false">ROUND(P107*Assumptions!$B$2+Q107*Assumptions!$B$3+R107*Assumptions!$B$4+S107*Assumptions!$B$5+T107*Assumptions!$B$6,0)</f>
        <v>76</v>
      </c>
      <c r="V107" s="8" t="str">
        <f aca="false">IF(U107&gt;=Assumptions!$B$10,"Healthy",IF(U107&gt;=Assumptions!$B$11,"Needs Attention","High Risk"))</f>
        <v>Needs Attention</v>
      </c>
    </row>
    <row r="108" customFormat="false" ht="15" hidden="false" customHeight="false" outlineLevel="0" collapsed="false">
      <c r="A108" s="8" t="s">
        <v>357</v>
      </c>
      <c r="B108" s="8" t="s">
        <v>358</v>
      </c>
      <c r="C108" s="8" t="s">
        <v>55</v>
      </c>
      <c r="D108" s="8" t="s">
        <v>326</v>
      </c>
      <c r="E108" s="8" t="s">
        <v>123</v>
      </c>
      <c r="F108" s="8" t="s">
        <v>124</v>
      </c>
      <c r="G108" s="8" t="s">
        <v>119</v>
      </c>
      <c r="H108" s="15" t="n">
        <v>15025</v>
      </c>
      <c r="I108" s="15" t="n">
        <v>15025</v>
      </c>
      <c r="J108" s="16" t="n">
        <v>0.902</v>
      </c>
      <c r="K108" s="8" t="n">
        <v>11.3</v>
      </c>
      <c r="L108" s="8" t="n">
        <v>10</v>
      </c>
      <c r="M108" s="8" t="n">
        <v>1</v>
      </c>
      <c r="N108" s="8" t="s">
        <v>120</v>
      </c>
      <c r="O108" s="15" t="n">
        <f aca="false">H108*12</f>
        <v>180300</v>
      </c>
      <c r="P108" s="8" t="n">
        <f aca="false">MIN(100,ROUND(100*J108/Assumptions!$B$8,0))</f>
        <v>100</v>
      </c>
      <c r="Q108" s="8" t="n">
        <f aca="false">IF(L108="",Assumptions!$B$9,L108*10)</f>
        <v>100</v>
      </c>
      <c r="R108" s="8" t="n">
        <f aca="false">IF(M108&lt;=1,Assumptions!$B$12,IF(M108&lt;=3,Assumptions!$B$13,IF(M108&lt;=6,Assumptions!$B$14,Assumptions!$B$15)))</f>
        <v>100</v>
      </c>
      <c r="S108" s="8" t="n">
        <f aca="false">IF(N108="Completed On Time",Assumptions!$B$16,IF(N108="Completed Late",Assumptions!$B$17,Assumptions!$B$18))</f>
        <v>100</v>
      </c>
      <c r="T108" s="8" t="n">
        <f aca="false">IF(I108=0,Assumptions!$B$20,IF(H108&gt;I108,Assumptions!$B$19,IF(H108=I108,Assumptions!$B$20,Assumptions!$B$21)))</f>
        <v>70</v>
      </c>
      <c r="U108" s="8" t="n">
        <f aca="false">ROUND(P108*Assumptions!$B$2+Q108*Assumptions!$B$3+R108*Assumptions!$B$4+S108*Assumptions!$B$5+T108*Assumptions!$B$6,0)</f>
        <v>94</v>
      </c>
      <c r="V108" s="8" t="str">
        <f aca="false">IF(U108&gt;=Assumptions!$B$10,"Healthy",IF(U108&gt;=Assumptions!$B$11,"Needs Attention","High Risk"))</f>
        <v>Healthy</v>
      </c>
    </row>
    <row r="109" customFormat="false" ht="15" hidden="false" customHeight="false" outlineLevel="0" collapsed="false">
      <c r="A109" s="8" t="s">
        <v>359</v>
      </c>
      <c r="B109" s="8" t="s">
        <v>360</v>
      </c>
      <c r="C109" s="8" t="s">
        <v>55</v>
      </c>
      <c r="D109" s="8" t="s">
        <v>326</v>
      </c>
      <c r="E109" s="8" t="s">
        <v>123</v>
      </c>
      <c r="F109" s="8" t="s">
        <v>151</v>
      </c>
      <c r="G109" s="8" t="s">
        <v>180</v>
      </c>
      <c r="H109" s="15" t="n">
        <v>14775</v>
      </c>
      <c r="I109" s="15" t="n">
        <v>0</v>
      </c>
      <c r="J109" s="16" t="n">
        <v>0.487</v>
      </c>
      <c r="K109" s="8" t="n">
        <v>6</v>
      </c>
      <c r="L109" s="8"/>
      <c r="M109" s="8" t="n">
        <v>4</v>
      </c>
      <c r="N109" s="8" t="s">
        <v>199</v>
      </c>
      <c r="O109" s="15" t="n">
        <f aca="false">H109*12</f>
        <v>177300</v>
      </c>
      <c r="P109" s="8" t="n">
        <f aca="false">MIN(100,ROUND(100*J109/Assumptions!$B$8,0))</f>
        <v>54</v>
      </c>
      <c r="Q109" s="8" t="n">
        <f aca="false">IF(L109="",Assumptions!$B$9,L109*10)</f>
        <v>50</v>
      </c>
      <c r="R109" s="8" t="n">
        <f aca="false">IF(M109&lt;=1,Assumptions!$B$12,IF(M109&lt;=3,Assumptions!$B$13,IF(M109&lt;=6,Assumptions!$B$14,Assumptions!$B$15)))</f>
        <v>50</v>
      </c>
      <c r="S109" s="8" t="n">
        <f aca="false">IF(N109="Completed On Time",Assumptions!$B$16,IF(N109="Completed Late",Assumptions!$B$17,Assumptions!$B$18))</f>
        <v>50</v>
      </c>
      <c r="T109" s="8" t="n">
        <f aca="false">IF(I109=0,Assumptions!$B$20,IF(H109&gt;I109,Assumptions!$B$19,IF(H109=I109,Assumptions!$B$20,Assumptions!$B$21)))</f>
        <v>70</v>
      </c>
      <c r="U109" s="8" t="n">
        <f aca="false">ROUND(P109*Assumptions!$B$2+Q109*Assumptions!$B$3+R109*Assumptions!$B$4+S109*Assumptions!$B$5+T109*Assumptions!$B$6,0)</f>
        <v>55</v>
      </c>
      <c r="V109" s="8" t="str">
        <f aca="false">IF(U109&gt;=Assumptions!$B$10,"Healthy",IF(U109&gt;=Assumptions!$B$11,"Needs Attention","High Risk"))</f>
        <v>High Risk</v>
      </c>
    </row>
    <row r="110" customFormat="false" ht="15" hidden="false" customHeight="false" outlineLevel="0" collapsed="false">
      <c r="A110" s="8" t="s">
        <v>361</v>
      </c>
      <c r="B110" s="8" t="s">
        <v>362</v>
      </c>
      <c r="C110" s="8" t="s">
        <v>55</v>
      </c>
      <c r="D110" s="8" t="s">
        <v>55</v>
      </c>
      <c r="E110" s="8" t="s">
        <v>132</v>
      </c>
      <c r="F110" s="8" t="s">
        <v>118</v>
      </c>
      <c r="G110" s="8" t="s">
        <v>185</v>
      </c>
      <c r="H110" s="15" t="n">
        <v>14760</v>
      </c>
      <c r="I110" s="15" t="n">
        <v>14760</v>
      </c>
      <c r="J110" s="16" t="n">
        <v>0.639</v>
      </c>
      <c r="K110" s="8" t="n">
        <v>6.7</v>
      </c>
      <c r="L110" s="8" t="n">
        <v>8</v>
      </c>
      <c r="M110" s="8" t="n">
        <v>9</v>
      </c>
      <c r="N110" s="8" t="s">
        <v>120</v>
      </c>
      <c r="O110" s="15" t="n">
        <f aca="false">H110*12</f>
        <v>177120</v>
      </c>
      <c r="P110" s="8" t="n">
        <f aca="false">MIN(100,ROUND(100*J110/Assumptions!$B$8,0))</f>
        <v>71</v>
      </c>
      <c r="Q110" s="8" t="n">
        <f aca="false">IF(L110="",Assumptions!$B$9,L110*10)</f>
        <v>80</v>
      </c>
      <c r="R110" s="8" t="n">
        <f aca="false">IF(M110&lt;=1,Assumptions!$B$12,IF(M110&lt;=3,Assumptions!$B$13,IF(M110&lt;=6,Assumptions!$B$14,Assumptions!$B$15)))</f>
        <v>20</v>
      </c>
      <c r="S110" s="8" t="n">
        <f aca="false">IF(N110="Completed On Time",Assumptions!$B$16,IF(N110="Completed Late",Assumptions!$B$17,Assumptions!$B$18))</f>
        <v>100</v>
      </c>
      <c r="T110" s="8" t="n">
        <f aca="false">IF(I110=0,Assumptions!$B$20,IF(H110&gt;I110,Assumptions!$B$19,IF(H110=I110,Assumptions!$B$20,Assumptions!$B$21)))</f>
        <v>70</v>
      </c>
      <c r="U110" s="8" t="n">
        <f aca="false">ROUND(P110*Assumptions!$B$2+Q110*Assumptions!$B$3+R110*Assumptions!$B$4+S110*Assumptions!$B$5+T110*Assumptions!$B$6,0)</f>
        <v>68</v>
      </c>
      <c r="V110" s="8" t="str">
        <f aca="false">IF(U110&gt;=Assumptions!$B$10,"Healthy",IF(U110&gt;=Assumptions!$B$11,"Needs Attention","High Risk"))</f>
        <v>Needs Attention</v>
      </c>
    </row>
    <row r="111" customFormat="false" ht="15" hidden="false" customHeight="false" outlineLevel="0" collapsed="false">
      <c r="A111" s="8" t="s">
        <v>363</v>
      </c>
      <c r="B111" s="8" t="s">
        <v>364</v>
      </c>
      <c r="C111" s="8" t="s">
        <v>55</v>
      </c>
      <c r="D111" s="8" t="s">
        <v>55</v>
      </c>
      <c r="E111" s="8" t="s">
        <v>132</v>
      </c>
      <c r="F111" s="8" t="s">
        <v>143</v>
      </c>
      <c r="G111" s="8" t="s">
        <v>185</v>
      </c>
      <c r="H111" s="15" t="n">
        <v>14670</v>
      </c>
      <c r="I111" s="15" t="n">
        <v>14670</v>
      </c>
      <c r="J111" s="16" t="n">
        <v>0.636</v>
      </c>
      <c r="K111" s="8" t="n">
        <v>7.3</v>
      </c>
      <c r="L111" s="8" t="n">
        <v>8</v>
      </c>
      <c r="M111" s="8" t="n">
        <v>4</v>
      </c>
      <c r="N111" s="8" t="s">
        <v>120</v>
      </c>
      <c r="O111" s="15" t="n">
        <f aca="false">H111*12</f>
        <v>176040</v>
      </c>
      <c r="P111" s="8" t="n">
        <f aca="false">MIN(100,ROUND(100*J111/Assumptions!$B$8,0))</f>
        <v>71</v>
      </c>
      <c r="Q111" s="8" t="n">
        <f aca="false">IF(L111="",Assumptions!$B$9,L111*10)</f>
        <v>80</v>
      </c>
      <c r="R111" s="8" t="n">
        <f aca="false">IF(M111&lt;=1,Assumptions!$B$12,IF(M111&lt;=3,Assumptions!$B$13,IF(M111&lt;=6,Assumptions!$B$14,Assumptions!$B$15)))</f>
        <v>50</v>
      </c>
      <c r="S111" s="8" t="n">
        <f aca="false">IF(N111="Completed On Time",Assumptions!$B$16,IF(N111="Completed Late",Assumptions!$B$17,Assumptions!$B$18))</f>
        <v>100</v>
      </c>
      <c r="T111" s="8" t="n">
        <f aca="false">IF(I111=0,Assumptions!$B$20,IF(H111&gt;I111,Assumptions!$B$19,IF(H111=I111,Assumptions!$B$20,Assumptions!$B$21)))</f>
        <v>70</v>
      </c>
      <c r="U111" s="8" t="n">
        <f aca="false">ROUND(P111*Assumptions!$B$2+Q111*Assumptions!$B$3+R111*Assumptions!$B$4+S111*Assumptions!$B$5+T111*Assumptions!$B$6,0)</f>
        <v>72</v>
      </c>
      <c r="V111" s="8" t="str">
        <f aca="false">IF(U111&gt;=Assumptions!$B$10,"Healthy",IF(U111&gt;=Assumptions!$B$11,"Needs Attention","High Risk"))</f>
        <v>Needs Attention</v>
      </c>
    </row>
    <row r="112" customFormat="false" ht="15" hidden="false" customHeight="false" outlineLevel="0" collapsed="false">
      <c r="A112" s="8" t="s">
        <v>365</v>
      </c>
      <c r="B112" s="8" t="s">
        <v>366</v>
      </c>
      <c r="C112" s="8" t="s">
        <v>55</v>
      </c>
      <c r="D112" s="8" t="s">
        <v>326</v>
      </c>
      <c r="E112" s="8" t="s">
        <v>132</v>
      </c>
      <c r="F112" s="8" t="s">
        <v>133</v>
      </c>
      <c r="G112" s="8" t="s">
        <v>180</v>
      </c>
      <c r="H112" s="15" t="n">
        <v>14475</v>
      </c>
      <c r="I112" s="15" t="n">
        <v>0</v>
      </c>
      <c r="J112" s="16" t="n">
        <v>0.838</v>
      </c>
      <c r="K112" s="8" t="n">
        <v>12</v>
      </c>
      <c r="L112" s="8"/>
      <c r="M112" s="8" t="n">
        <v>2</v>
      </c>
      <c r="N112" s="8" t="s">
        <v>199</v>
      </c>
      <c r="O112" s="15" t="n">
        <f aca="false">H112*12</f>
        <v>173700</v>
      </c>
      <c r="P112" s="8" t="n">
        <f aca="false">MIN(100,ROUND(100*J112/Assumptions!$B$8,0))</f>
        <v>93</v>
      </c>
      <c r="Q112" s="8" t="n">
        <f aca="false">IF(L112="",Assumptions!$B$9,L112*10)</f>
        <v>50</v>
      </c>
      <c r="R112" s="8" t="n">
        <f aca="false">IF(M112&lt;=1,Assumptions!$B$12,IF(M112&lt;=3,Assumptions!$B$13,IF(M112&lt;=6,Assumptions!$B$14,Assumptions!$B$15)))</f>
        <v>75</v>
      </c>
      <c r="S112" s="8" t="n">
        <f aca="false">IF(N112="Completed On Time",Assumptions!$B$16,IF(N112="Completed Late",Assumptions!$B$17,Assumptions!$B$18))</f>
        <v>50</v>
      </c>
      <c r="T112" s="8" t="n">
        <f aca="false">IF(I112=0,Assumptions!$B$20,IF(H112&gt;I112,Assumptions!$B$19,IF(H112=I112,Assumptions!$B$20,Assumptions!$B$21)))</f>
        <v>70</v>
      </c>
      <c r="U112" s="8" t="n">
        <f aca="false">ROUND(P112*Assumptions!$B$2+Q112*Assumptions!$B$3+R112*Assumptions!$B$4+S112*Assumptions!$B$5+T112*Assumptions!$B$6,0)</f>
        <v>73</v>
      </c>
      <c r="V112" s="8" t="str">
        <f aca="false">IF(U112&gt;=Assumptions!$B$10,"Healthy",IF(U112&gt;=Assumptions!$B$11,"Needs Attention","High Risk"))</f>
        <v>Needs Attention</v>
      </c>
    </row>
    <row r="113" customFormat="false" ht="15" hidden="false" customHeight="false" outlineLevel="0" collapsed="false">
      <c r="A113" s="8" t="s">
        <v>367</v>
      </c>
      <c r="B113" s="8" t="s">
        <v>368</v>
      </c>
      <c r="C113" s="8" t="s">
        <v>55</v>
      </c>
      <c r="D113" s="8" t="s">
        <v>326</v>
      </c>
      <c r="E113" s="8" t="s">
        <v>132</v>
      </c>
      <c r="F113" s="8" t="s">
        <v>151</v>
      </c>
      <c r="G113" s="8" t="s">
        <v>159</v>
      </c>
      <c r="H113" s="15" t="n">
        <v>14450</v>
      </c>
      <c r="I113" s="15" t="n">
        <v>11250</v>
      </c>
      <c r="J113" s="16" t="n">
        <v>0.622</v>
      </c>
      <c r="K113" s="8" t="n">
        <v>8.3</v>
      </c>
      <c r="L113" s="8" t="n">
        <v>9</v>
      </c>
      <c r="M113" s="8" t="n">
        <v>6</v>
      </c>
      <c r="N113" s="8" t="s">
        <v>148</v>
      </c>
      <c r="O113" s="15" t="n">
        <f aca="false">H113*12</f>
        <v>173400</v>
      </c>
      <c r="P113" s="8" t="n">
        <f aca="false">MIN(100,ROUND(100*J113/Assumptions!$B$8,0))</f>
        <v>69</v>
      </c>
      <c r="Q113" s="8" t="n">
        <f aca="false">IF(L113="",Assumptions!$B$9,L113*10)</f>
        <v>90</v>
      </c>
      <c r="R113" s="8" t="n">
        <f aca="false">IF(M113&lt;=1,Assumptions!$B$12,IF(M113&lt;=3,Assumptions!$B$13,IF(M113&lt;=6,Assumptions!$B$14,Assumptions!$B$15)))</f>
        <v>50</v>
      </c>
      <c r="S113" s="8" t="n">
        <f aca="false">IF(N113="Completed On Time",Assumptions!$B$16,IF(N113="Completed Late",Assumptions!$B$17,Assumptions!$B$18))</f>
        <v>60</v>
      </c>
      <c r="T113" s="8" t="n">
        <f aca="false">IF(I113=0,Assumptions!$B$20,IF(H113&gt;I113,Assumptions!$B$19,IF(H113=I113,Assumptions!$B$20,Assumptions!$B$21)))</f>
        <v>100</v>
      </c>
      <c r="U113" s="8" t="n">
        <f aca="false">ROUND(P113*Assumptions!$B$2+Q113*Assumptions!$B$3+R113*Assumptions!$B$4+S113*Assumptions!$B$5+T113*Assumptions!$B$6,0)</f>
        <v>76</v>
      </c>
      <c r="V113" s="8" t="str">
        <f aca="false">IF(U113&gt;=Assumptions!$B$10,"Healthy",IF(U113&gt;=Assumptions!$B$11,"Needs Attention","High Risk"))</f>
        <v>Needs Attention</v>
      </c>
    </row>
    <row r="114" customFormat="false" ht="15" hidden="false" customHeight="false" outlineLevel="0" collapsed="false">
      <c r="A114" s="8" t="s">
        <v>369</v>
      </c>
      <c r="B114" s="8" t="s">
        <v>370</v>
      </c>
      <c r="C114" s="8" t="s">
        <v>55</v>
      </c>
      <c r="D114" s="8" t="s">
        <v>55</v>
      </c>
      <c r="E114" s="8" t="s">
        <v>123</v>
      </c>
      <c r="F114" s="8" t="s">
        <v>124</v>
      </c>
      <c r="G114" s="8" t="s">
        <v>140</v>
      </c>
      <c r="H114" s="15" t="n">
        <v>14400</v>
      </c>
      <c r="I114" s="15" t="n">
        <v>14400</v>
      </c>
      <c r="J114" s="16" t="n">
        <v>0.432</v>
      </c>
      <c r="K114" s="8" t="n">
        <v>4.7</v>
      </c>
      <c r="L114" s="8" t="n">
        <v>5</v>
      </c>
      <c r="M114" s="8" t="n">
        <v>8</v>
      </c>
      <c r="N114" s="8" t="s">
        <v>148</v>
      </c>
      <c r="O114" s="15" t="n">
        <f aca="false">H114*12</f>
        <v>172800</v>
      </c>
      <c r="P114" s="8" t="n">
        <f aca="false">MIN(100,ROUND(100*J114/Assumptions!$B$8,0))</f>
        <v>48</v>
      </c>
      <c r="Q114" s="8" t="n">
        <f aca="false">IF(L114="",Assumptions!$B$9,L114*10)</f>
        <v>50</v>
      </c>
      <c r="R114" s="8" t="n">
        <f aca="false">IF(M114&lt;=1,Assumptions!$B$12,IF(M114&lt;=3,Assumptions!$B$13,IF(M114&lt;=6,Assumptions!$B$14,Assumptions!$B$15)))</f>
        <v>20</v>
      </c>
      <c r="S114" s="8" t="n">
        <f aca="false">IF(N114="Completed On Time",Assumptions!$B$16,IF(N114="Completed Late",Assumptions!$B$17,Assumptions!$B$18))</f>
        <v>60</v>
      </c>
      <c r="T114" s="8" t="n">
        <f aca="false">IF(I114=0,Assumptions!$B$20,IF(H114&gt;I114,Assumptions!$B$19,IF(H114=I114,Assumptions!$B$20,Assumptions!$B$21)))</f>
        <v>70</v>
      </c>
      <c r="U114" s="8" t="n">
        <f aca="false">ROUND(P114*Assumptions!$B$2+Q114*Assumptions!$B$3+R114*Assumptions!$B$4+S114*Assumptions!$B$5+T114*Assumptions!$B$6,0)</f>
        <v>50</v>
      </c>
      <c r="V114" s="8" t="str">
        <f aca="false">IF(U114&gt;=Assumptions!$B$10,"Healthy",IF(U114&gt;=Assumptions!$B$11,"Needs Attention","High Risk"))</f>
        <v>High Risk</v>
      </c>
    </row>
    <row r="115" customFormat="false" ht="15" hidden="false" customHeight="false" outlineLevel="0" collapsed="false">
      <c r="A115" s="8" t="s">
        <v>371</v>
      </c>
      <c r="B115" s="8" t="s">
        <v>372</v>
      </c>
      <c r="C115" s="8" t="s">
        <v>55</v>
      </c>
      <c r="D115" s="8" t="s">
        <v>326</v>
      </c>
      <c r="E115" s="8" t="s">
        <v>123</v>
      </c>
      <c r="F115" s="8" t="s">
        <v>190</v>
      </c>
      <c r="G115" s="8" t="s">
        <v>147</v>
      </c>
      <c r="H115" s="15" t="n">
        <v>14325</v>
      </c>
      <c r="I115" s="15" t="n">
        <v>14325</v>
      </c>
      <c r="J115" s="16" t="n">
        <v>0.874</v>
      </c>
      <c r="K115" s="8" t="n">
        <v>11.7</v>
      </c>
      <c r="L115" s="8" t="n">
        <v>8</v>
      </c>
      <c r="M115" s="8" t="n">
        <v>1</v>
      </c>
      <c r="N115" s="8" t="s">
        <v>199</v>
      </c>
      <c r="O115" s="15" t="n">
        <f aca="false">H115*12</f>
        <v>171900</v>
      </c>
      <c r="P115" s="8" t="n">
        <f aca="false">MIN(100,ROUND(100*J115/Assumptions!$B$8,0))</f>
        <v>97</v>
      </c>
      <c r="Q115" s="8" t="n">
        <f aca="false">IF(L115="",Assumptions!$B$9,L115*10)</f>
        <v>80</v>
      </c>
      <c r="R115" s="8" t="n">
        <f aca="false">IF(M115&lt;=1,Assumptions!$B$12,IF(M115&lt;=3,Assumptions!$B$13,IF(M115&lt;=6,Assumptions!$B$14,Assumptions!$B$15)))</f>
        <v>100</v>
      </c>
      <c r="S115" s="8" t="n">
        <f aca="false">IF(N115="Completed On Time",Assumptions!$B$16,IF(N115="Completed Late",Assumptions!$B$17,Assumptions!$B$18))</f>
        <v>50</v>
      </c>
      <c r="T115" s="8" t="n">
        <f aca="false">IF(I115=0,Assumptions!$B$20,IF(H115&gt;I115,Assumptions!$B$19,IF(H115=I115,Assumptions!$B$20,Assumptions!$B$21)))</f>
        <v>70</v>
      </c>
      <c r="U115" s="8" t="n">
        <f aca="false">ROUND(P115*Assumptions!$B$2+Q115*Assumptions!$B$3+R115*Assumptions!$B$4+S115*Assumptions!$B$5+T115*Assumptions!$B$6,0)</f>
        <v>84</v>
      </c>
      <c r="V115" s="8" t="str">
        <f aca="false">IF(U115&gt;=Assumptions!$B$10,"Healthy",IF(U115&gt;=Assumptions!$B$11,"Needs Attention","High Risk"))</f>
        <v>Healthy</v>
      </c>
    </row>
    <row r="116" customFormat="false" ht="15" hidden="false" customHeight="false" outlineLevel="0" collapsed="false">
      <c r="A116" s="8" t="s">
        <v>373</v>
      </c>
      <c r="B116" s="8" t="s">
        <v>374</v>
      </c>
      <c r="C116" s="8" t="s">
        <v>55</v>
      </c>
      <c r="D116" s="8" t="s">
        <v>55</v>
      </c>
      <c r="E116" s="8" t="s">
        <v>123</v>
      </c>
      <c r="F116" s="8" t="s">
        <v>151</v>
      </c>
      <c r="G116" s="8" t="s">
        <v>177</v>
      </c>
      <c r="H116" s="15" t="n">
        <v>14220</v>
      </c>
      <c r="I116" s="15" t="n">
        <v>14220</v>
      </c>
      <c r="J116" s="16" t="n">
        <v>0.738</v>
      </c>
      <c r="K116" s="8" t="n">
        <v>8.7</v>
      </c>
      <c r="L116" s="8" t="n">
        <v>10</v>
      </c>
      <c r="M116" s="8" t="n">
        <v>3</v>
      </c>
      <c r="N116" s="8" t="s">
        <v>120</v>
      </c>
      <c r="O116" s="15" t="n">
        <f aca="false">H116*12</f>
        <v>170640</v>
      </c>
      <c r="P116" s="8" t="n">
        <f aca="false">MIN(100,ROUND(100*J116/Assumptions!$B$8,0))</f>
        <v>82</v>
      </c>
      <c r="Q116" s="8" t="n">
        <f aca="false">IF(L116="",Assumptions!$B$9,L116*10)</f>
        <v>100</v>
      </c>
      <c r="R116" s="8" t="n">
        <f aca="false">IF(M116&lt;=1,Assumptions!$B$12,IF(M116&lt;=3,Assumptions!$B$13,IF(M116&lt;=6,Assumptions!$B$14,Assumptions!$B$15)))</f>
        <v>75</v>
      </c>
      <c r="S116" s="8" t="n">
        <f aca="false">IF(N116="Completed On Time",Assumptions!$B$16,IF(N116="Completed Late",Assumptions!$B$17,Assumptions!$B$18))</f>
        <v>100</v>
      </c>
      <c r="T116" s="8" t="n">
        <f aca="false">IF(I116=0,Assumptions!$B$20,IF(H116&gt;I116,Assumptions!$B$19,IF(H116=I116,Assumptions!$B$20,Assumptions!$B$21)))</f>
        <v>70</v>
      </c>
      <c r="U116" s="8" t="n">
        <f aca="false">ROUND(P116*Assumptions!$B$2+Q116*Assumptions!$B$3+R116*Assumptions!$B$4+S116*Assumptions!$B$5+T116*Assumptions!$B$6,0)</f>
        <v>84</v>
      </c>
      <c r="V116" s="8" t="str">
        <f aca="false">IF(U116&gt;=Assumptions!$B$10,"Healthy",IF(U116&gt;=Assumptions!$B$11,"Needs Attention","High Risk"))</f>
        <v>Healthy</v>
      </c>
    </row>
    <row r="117" customFormat="false" ht="15" hidden="false" customHeight="false" outlineLevel="0" collapsed="false">
      <c r="A117" s="8" t="s">
        <v>375</v>
      </c>
      <c r="B117" s="8" t="s">
        <v>376</v>
      </c>
      <c r="C117" s="8" t="s">
        <v>55</v>
      </c>
      <c r="D117" s="8" t="s">
        <v>326</v>
      </c>
      <c r="E117" s="8" t="s">
        <v>123</v>
      </c>
      <c r="F117" s="8" t="s">
        <v>143</v>
      </c>
      <c r="G117" s="8" t="s">
        <v>147</v>
      </c>
      <c r="H117" s="15" t="n">
        <v>14175</v>
      </c>
      <c r="I117" s="15" t="n">
        <v>14175</v>
      </c>
      <c r="J117" s="16" t="n">
        <v>0.685</v>
      </c>
      <c r="K117" s="8" t="n">
        <v>8.7</v>
      </c>
      <c r="L117" s="8" t="n">
        <v>9</v>
      </c>
      <c r="M117" s="8" t="n">
        <v>10</v>
      </c>
      <c r="N117" s="8" t="s">
        <v>120</v>
      </c>
      <c r="O117" s="15" t="n">
        <f aca="false">H117*12</f>
        <v>170100</v>
      </c>
      <c r="P117" s="8" t="n">
        <f aca="false">MIN(100,ROUND(100*J117/Assumptions!$B$8,0))</f>
        <v>76</v>
      </c>
      <c r="Q117" s="8" t="n">
        <f aca="false">IF(L117="",Assumptions!$B$9,L117*10)</f>
        <v>90</v>
      </c>
      <c r="R117" s="8" t="n">
        <f aca="false">IF(M117&lt;=1,Assumptions!$B$12,IF(M117&lt;=3,Assumptions!$B$13,IF(M117&lt;=6,Assumptions!$B$14,Assumptions!$B$15)))</f>
        <v>20</v>
      </c>
      <c r="S117" s="8" t="n">
        <f aca="false">IF(N117="Completed On Time",Assumptions!$B$16,IF(N117="Completed Late",Assumptions!$B$17,Assumptions!$B$18))</f>
        <v>100</v>
      </c>
      <c r="T117" s="8" t="n">
        <f aca="false">IF(I117=0,Assumptions!$B$20,IF(H117&gt;I117,Assumptions!$B$19,IF(H117=I117,Assumptions!$B$20,Assumptions!$B$21)))</f>
        <v>70</v>
      </c>
      <c r="U117" s="8" t="n">
        <f aca="false">ROUND(P117*Assumptions!$B$2+Q117*Assumptions!$B$3+R117*Assumptions!$B$4+S117*Assumptions!$B$5+T117*Assumptions!$B$6,0)</f>
        <v>72</v>
      </c>
      <c r="V117" s="8" t="str">
        <f aca="false">IF(U117&gt;=Assumptions!$B$10,"Healthy",IF(U117&gt;=Assumptions!$B$11,"Needs Attention","High Risk"))</f>
        <v>Needs Attention</v>
      </c>
    </row>
    <row r="118" customFormat="false" ht="15" hidden="false" customHeight="false" outlineLevel="0" collapsed="false">
      <c r="A118" s="8" t="s">
        <v>377</v>
      </c>
      <c r="B118" s="8" t="s">
        <v>378</v>
      </c>
      <c r="C118" s="8" t="s">
        <v>55</v>
      </c>
      <c r="D118" s="8" t="s">
        <v>326</v>
      </c>
      <c r="E118" s="8" t="s">
        <v>123</v>
      </c>
      <c r="F118" s="8" t="s">
        <v>133</v>
      </c>
      <c r="G118" s="8" t="s">
        <v>140</v>
      </c>
      <c r="H118" s="15" t="n">
        <v>14100</v>
      </c>
      <c r="I118" s="15" t="n">
        <v>14100</v>
      </c>
      <c r="J118" s="16" t="n">
        <v>0.962</v>
      </c>
      <c r="K118" s="8" t="n">
        <v>12</v>
      </c>
      <c r="L118" s="8" t="n">
        <v>10</v>
      </c>
      <c r="M118" s="8" t="n">
        <v>1</v>
      </c>
      <c r="N118" s="8" t="s">
        <v>120</v>
      </c>
      <c r="O118" s="15" t="n">
        <f aca="false">H118*12</f>
        <v>169200</v>
      </c>
      <c r="P118" s="8" t="n">
        <f aca="false">MIN(100,ROUND(100*J118/Assumptions!$B$8,0))</f>
        <v>100</v>
      </c>
      <c r="Q118" s="8" t="n">
        <f aca="false">IF(L118="",Assumptions!$B$9,L118*10)</f>
        <v>100</v>
      </c>
      <c r="R118" s="8" t="n">
        <f aca="false">IF(M118&lt;=1,Assumptions!$B$12,IF(M118&lt;=3,Assumptions!$B$13,IF(M118&lt;=6,Assumptions!$B$14,Assumptions!$B$15)))</f>
        <v>100</v>
      </c>
      <c r="S118" s="8" t="n">
        <f aca="false">IF(N118="Completed On Time",Assumptions!$B$16,IF(N118="Completed Late",Assumptions!$B$17,Assumptions!$B$18))</f>
        <v>100</v>
      </c>
      <c r="T118" s="8" t="n">
        <f aca="false">IF(I118=0,Assumptions!$B$20,IF(H118&gt;I118,Assumptions!$B$19,IF(H118=I118,Assumptions!$B$20,Assumptions!$B$21)))</f>
        <v>70</v>
      </c>
      <c r="U118" s="8" t="n">
        <f aca="false">ROUND(P118*Assumptions!$B$2+Q118*Assumptions!$B$3+R118*Assumptions!$B$4+S118*Assumptions!$B$5+T118*Assumptions!$B$6,0)</f>
        <v>94</v>
      </c>
      <c r="V118" s="8" t="str">
        <f aca="false">IF(U118&gt;=Assumptions!$B$10,"Healthy",IF(U118&gt;=Assumptions!$B$11,"Needs Attention","High Risk"))</f>
        <v>Healthy</v>
      </c>
    </row>
    <row r="119" customFormat="false" ht="15" hidden="false" customHeight="false" outlineLevel="0" collapsed="false">
      <c r="A119" s="8" t="s">
        <v>379</v>
      </c>
      <c r="B119" s="8" t="s">
        <v>380</v>
      </c>
      <c r="C119" s="8" t="s">
        <v>55</v>
      </c>
      <c r="D119" s="8" t="s">
        <v>326</v>
      </c>
      <c r="E119" s="8" t="s">
        <v>117</v>
      </c>
      <c r="F119" s="8" t="s">
        <v>190</v>
      </c>
      <c r="G119" s="8" t="s">
        <v>180</v>
      </c>
      <c r="H119" s="15" t="n">
        <v>14025</v>
      </c>
      <c r="I119" s="15" t="n">
        <v>14025</v>
      </c>
      <c r="J119" s="16" t="n">
        <v>0.803</v>
      </c>
      <c r="K119" s="8" t="n">
        <v>10.3</v>
      </c>
      <c r="L119" s="8" t="n">
        <v>10</v>
      </c>
      <c r="M119" s="8" t="n">
        <v>1</v>
      </c>
      <c r="N119" s="8" t="s">
        <v>120</v>
      </c>
      <c r="O119" s="15" t="n">
        <f aca="false">H119*12</f>
        <v>168300</v>
      </c>
      <c r="P119" s="8" t="n">
        <f aca="false">MIN(100,ROUND(100*J119/Assumptions!$B$8,0))</f>
        <v>89</v>
      </c>
      <c r="Q119" s="8" t="n">
        <f aca="false">IF(L119="",Assumptions!$B$9,L119*10)</f>
        <v>100</v>
      </c>
      <c r="R119" s="8" t="n">
        <f aca="false">IF(M119&lt;=1,Assumptions!$B$12,IF(M119&lt;=3,Assumptions!$B$13,IF(M119&lt;=6,Assumptions!$B$14,Assumptions!$B$15)))</f>
        <v>100</v>
      </c>
      <c r="S119" s="8" t="n">
        <f aca="false">IF(N119="Completed On Time",Assumptions!$B$16,IF(N119="Completed Late",Assumptions!$B$17,Assumptions!$B$18))</f>
        <v>100</v>
      </c>
      <c r="T119" s="8" t="n">
        <f aca="false">IF(I119=0,Assumptions!$B$20,IF(H119&gt;I119,Assumptions!$B$19,IF(H119=I119,Assumptions!$B$20,Assumptions!$B$21)))</f>
        <v>70</v>
      </c>
      <c r="U119" s="8" t="n">
        <f aca="false">ROUND(P119*Assumptions!$B$2+Q119*Assumptions!$B$3+R119*Assumptions!$B$4+S119*Assumptions!$B$5+T119*Assumptions!$B$6,0)</f>
        <v>90</v>
      </c>
      <c r="V119" s="8" t="str">
        <f aca="false">IF(U119&gt;=Assumptions!$B$10,"Healthy",IF(U119&gt;=Assumptions!$B$11,"Needs Attention","High Risk"))</f>
        <v>Healthy</v>
      </c>
    </row>
    <row r="120" customFormat="false" ht="15" hidden="false" customHeight="false" outlineLevel="0" collapsed="false">
      <c r="A120" s="8" t="s">
        <v>381</v>
      </c>
      <c r="B120" s="8" t="s">
        <v>382</v>
      </c>
      <c r="C120" s="8" t="s">
        <v>55</v>
      </c>
      <c r="D120" s="8" t="s">
        <v>55</v>
      </c>
      <c r="E120" s="8" t="s">
        <v>132</v>
      </c>
      <c r="F120" s="8" t="s">
        <v>143</v>
      </c>
      <c r="G120" s="8" t="s">
        <v>147</v>
      </c>
      <c r="H120" s="15" t="n">
        <v>13995</v>
      </c>
      <c r="I120" s="15" t="n">
        <v>13995</v>
      </c>
      <c r="J120" s="16" t="n">
        <v>0.703</v>
      </c>
      <c r="K120" s="8" t="n">
        <v>9.3</v>
      </c>
      <c r="L120" s="8" t="n">
        <v>7</v>
      </c>
      <c r="M120" s="8" t="n">
        <v>3</v>
      </c>
      <c r="N120" s="8" t="s">
        <v>120</v>
      </c>
      <c r="O120" s="15" t="n">
        <f aca="false">H120*12</f>
        <v>167940</v>
      </c>
      <c r="P120" s="8" t="n">
        <f aca="false">MIN(100,ROUND(100*J120/Assumptions!$B$8,0))</f>
        <v>78</v>
      </c>
      <c r="Q120" s="8" t="n">
        <f aca="false">IF(L120="",Assumptions!$B$9,L120*10)</f>
        <v>70</v>
      </c>
      <c r="R120" s="8" t="n">
        <f aca="false">IF(M120&lt;=1,Assumptions!$B$12,IF(M120&lt;=3,Assumptions!$B$13,IF(M120&lt;=6,Assumptions!$B$14,Assumptions!$B$15)))</f>
        <v>75</v>
      </c>
      <c r="S120" s="8" t="n">
        <f aca="false">IF(N120="Completed On Time",Assumptions!$B$16,IF(N120="Completed Late",Assumptions!$B$17,Assumptions!$B$18))</f>
        <v>100</v>
      </c>
      <c r="T120" s="8" t="n">
        <f aca="false">IF(I120=0,Assumptions!$B$20,IF(H120&gt;I120,Assumptions!$B$19,IF(H120=I120,Assumptions!$B$20,Assumptions!$B$21)))</f>
        <v>70</v>
      </c>
      <c r="U120" s="8" t="n">
        <f aca="false">ROUND(P120*Assumptions!$B$2+Q120*Assumptions!$B$3+R120*Assumptions!$B$4+S120*Assumptions!$B$5+T120*Assumptions!$B$6,0)</f>
        <v>77</v>
      </c>
      <c r="V120" s="8" t="str">
        <f aca="false">IF(U120&gt;=Assumptions!$B$10,"Healthy",IF(U120&gt;=Assumptions!$B$11,"Needs Attention","High Risk"))</f>
        <v>Needs Attention</v>
      </c>
    </row>
    <row r="121" customFormat="false" ht="15" hidden="false" customHeight="false" outlineLevel="0" collapsed="false">
      <c r="A121" s="8" t="s">
        <v>383</v>
      </c>
      <c r="B121" s="8" t="s">
        <v>384</v>
      </c>
      <c r="C121" s="8" t="s">
        <v>55</v>
      </c>
      <c r="D121" s="8" t="s">
        <v>55</v>
      </c>
      <c r="E121" s="8" t="s">
        <v>123</v>
      </c>
      <c r="F121" s="8" t="s">
        <v>143</v>
      </c>
      <c r="G121" s="8" t="s">
        <v>129</v>
      </c>
      <c r="H121" s="15" t="n">
        <v>13905</v>
      </c>
      <c r="I121" s="15" t="n">
        <v>13905</v>
      </c>
      <c r="J121" s="16" t="n">
        <v>0.622</v>
      </c>
      <c r="K121" s="8" t="n">
        <v>7</v>
      </c>
      <c r="L121" s="8" t="n">
        <v>7</v>
      </c>
      <c r="M121" s="8" t="n">
        <v>6</v>
      </c>
      <c r="N121" s="8" t="s">
        <v>120</v>
      </c>
      <c r="O121" s="15" t="n">
        <f aca="false">H121*12</f>
        <v>166860</v>
      </c>
      <c r="P121" s="8" t="n">
        <f aca="false">MIN(100,ROUND(100*J121/Assumptions!$B$8,0))</f>
        <v>69</v>
      </c>
      <c r="Q121" s="8" t="n">
        <f aca="false">IF(L121="",Assumptions!$B$9,L121*10)</f>
        <v>70</v>
      </c>
      <c r="R121" s="8" t="n">
        <f aca="false">IF(M121&lt;=1,Assumptions!$B$12,IF(M121&lt;=3,Assumptions!$B$13,IF(M121&lt;=6,Assumptions!$B$14,Assumptions!$B$15)))</f>
        <v>50</v>
      </c>
      <c r="S121" s="8" t="n">
        <f aca="false">IF(N121="Completed On Time",Assumptions!$B$16,IF(N121="Completed Late",Assumptions!$B$17,Assumptions!$B$18))</f>
        <v>100</v>
      </c>
      <c r="T121" s="8" t="n">
        <f aca="false">IF(I121=0,Assumptions!$B$20,IF(H121&gt;I121,Assumptions!$B$19,IF(H121=I121,Assumptions!$B$20,Assumptions!$B$21)))</f>
        <v>70</v>
      </c>
      <c r="U121" s="8" t="n">
        <f aca="false">ROUND(P121*Assumptions!$B$2+Q121*Assumptions!$B$3+R121*Assumptions!$B$4+S121*Assumptions!$B$5+T121*Assumptions!$B$6,0)</f>
        <v>70</v>
      </c>
      <c r="V121" s="8" t="str">
        <f aca="false">IF(U121&gt;=Assumptions!$B$10,"Healthy",IF(U121&gt;=Assumptions!$B$11,"Needs Attention","High Risk"))</f>
        <v>Needs Attention</v>
      </c>
    </row>
    <row r="122" customFormat="false" ht="15" hidden="false" customHeight="false" outlineLevel="0" collapsed="false">
      <c r="A122" s="8" t="s">
        <v>385</v>
      </c>
      <c r="B122" s="8" t="s">
        <v>386</v>
      </c>
      <c r="C122" s="8" t="s">
        <v>55</v>
      </c>
      <c r="D122" s="8" t="s">
        <v>55</v>
      </c>
      <c r="E122" s="8" t="s">
        <v>117</v>
      </c>
      <c r="F122" s="8" t="s">
        <v>154</v>
      </c>
      <c r="G122" s="8" t="s">
        <v>129</v>
      </c>
      <c r="H122" s="15" t="n">
        <v>13905</v>
      </c>
      <c r="I122" s="15" t="n">
        <v>13905</v>
      </c>
      <c r="J122" s="16" t="n">
        <v>0.735</v>
      </c>
      <c r="K122" s="8" t="n">
        <v>8.7</v>
      </c>
      <c r="L122" s="8" t="n">
        <v>7</v>
      </c>
      <c r="M122" s="8" t="n">
        <v>2</v>
      </c>
      <c r="N122" s="8" t="s">
        <v>120</v>
      </c>
      <c r="O122" s="15" t="n">
        <f aca="false">H122*12</f>
        <v>166860</v>
      </c>
      <c r="P122" s="8" t="n">
        <f aca="false">MIN(100,ROUND(100*J122/Assumptions!$B$8,0))</f>
        <v>82</v>
      </c>
      <c r="Q122" s="8" t="n">
        <f aca="false">IF(L122="",Assumptions!$B$9,L122*10)</f>
        <v>70</v>
      </c>
      <c r="R122" s="8" t="n">
        <f aca="false">IF(M122&lt;=1,Assumptions!$B$12,IF(M122&lt;=3,Assumptions!$B$13,IF(M122&lt;=6,Assumptions!$B$14,Assumptions!$B$15)))</f>
        <v>75</v>
      </c>
      <c r="S122" s="8" t="n">
        <f aca="false">IF(N122="Completed On Time",Assumptions!$B$16,IF(N122="Completed Late",Assumptions!$B$17,Assumptions!$B$18))</f>
        <v>100</v>
      </c>
      <c r="T122" s="8" t="n">
        <f aca="false">IF(I122=0,Assumptions!$B$20,IF(H122&gt;I122,Assumptions!$B$19,IF(H122=I122,Assumptions!$B$20,Assumptions!$B$21)))</f>
        <v>70</v>
      </c>
      <c r="U122" s="8" t="n">
        <f aca="false">ROUND(P122*Assumptions!$B$2+Q122*Assumptions!$B$3+R122*Assumptions!$B$4+S122*Assumptions!$B$5+T122*Assumptions!$B$6,0)</f>
        <v>78</v>
      </c>
      <c r="V122" s="8" t="str">
        <f aca="false">IF(U122&gt;=Assumptions!$B$10,"Healthy",IF(U122&gt;=Assumptions!$B$11,"Needs Attention","High Risk"))</f>
        <v>Needs Attention</v>
      </c>
    </row>
    <row r="123" customFormat="false" ht="15" hidden="false" customHeight="false" outlineLevel="0" collapsed="false">
      <c r="A123" s="8" t="s">
        <v>387</v>
      </c>
      <c r="B123" s="8" t="s">
        <v>388</v>
      </c>
      <c r="C123" s="8" t="s">
        <v>55</v>
      </c>
      <c r="D123" s="8" t="s">
        <v>55</v>
      </c>
      <c r="E123" s="8" t="s">
        <v>132</v>
      </c>
      <c r="F123" s="8" t="s">
        <v>133</v>
      </c>
      <c r="G123" s="8" t="s">
        <v>144</v>
      </c>
      <c r="H123" s="15" t="n">
        <v>13905</v>
      </c>
      <c r="I123" s="15" t="n">
        <v>13905</v>
      </c>
      <c r="J123" s="16" t="n">
        <v>0.748</v>
      </c>
      <c r="K123" s="8" t="n">
        <v>8.3</v>
      </c>
      <c r="L123" s="8" t="n">
        <v>8</v>
      </c>
      <c r="M123" s="8" t="n">
        <v>4</v>
      </c>
      <c r="N123" s="8" t="s">
        <v>120</v>
      </c>
      <c r="O123" s="15" t="n">
        <f aca="false">H123*12</f>
        <v>166860</v>
      </c>
      <c r="P123" s="8" t="n">
        <f aca="false">MIN(100,ROUND(100*J123/Assumptions!$B$8,0))</f>
        <v>83</v>
      </c>
      <c r="Q123" s="8" t="n">
        <f aca="false">IF(L123="",Assumptions!$B$9,L123*10)</f>
        <v>80</v>
      </c>
      <c r="R123" s="8" t="n">
        <f aca="false">IF(M123&lt;=1,Assumptions!$B$12,IF(M123&lt;=3,Assumptions!$B$13,IF(M123&lt;=6,Assumptions!$B$14,Assumptions!$B$15)))</f>
        <v>50</v>
      </c>
      <c r="S123" s="8" t="n">
        <f aca="false">IF(N123="Completed On Time",Assumptions!$B$16,IF(N123="Completed Late",Assumptions!$B$17,Assumptions!$B$18))</f>
        <v>100</v>
      </c>
      <c r="T123" s="8" t="n">
        <f aca="false">IF(I123=0,Assumptions!$B$20,IF(H123&gt;I123,Assumptions!$B$19,IF(H123=I123,Assumptions!$B$20,Assumptions!$B$21)))</f>
        <v>70</v>
      </c>
      <c r="U123" s="8" t="n">
        <f aca="false">ROUND(P123*Assumptions!$B$2+Q123*Assumptions!$B$3+R123*Assumptions!$B$4+S123*Assumptions!$B$5+T123*Assumptions!$B$6,0)</f>
        <v>77</v>
      </c>
      <c r="V123" s="8" t="str">
        <f aca="false">IF(U123&gt;=Assumptions!$B$10,"Healthy",IF(U123&gt;=Assumptions!$B$11,"Needs Attention","High Risk"))</f>
        <v>Needs Attention</v>
      </c>
    </row>
    <row r="124" customFormat="false" ht="15" hidden="false" customHeight="false" outlineLevel="0" collapsed="false">
      <c r="A124" s="8" t="s">
        <v>389</v>
      </c>
      <c r="B124" s="8" t="s">
        <v>390</v>
      </c>
      <c r="C124" s="8" t="s">
        <v>55</v>
      </c>
      <c r="D124" s="8" t="s">
        <v>55</v>
      </c>
      <c r="E124" s="8" t="s">
        <v>117</v>
      </c>
      <c r="F124" s="8" t="s">
        <v>118</v>
      </c>
      <c r="G124" s="8" t="s">
        <v>204</v>
      </c>
      <c r="H124" s="15" t="n">
        <v>13815</v>
      </c>
      <c r="I124" s="15" t="n">
        <v>13815</v>
      </c>
      <c r="J124" s="16" t="n">
        <v>0.913</v>
      </c>
      <c r="K124" s="8" t="n">
        <v>11</v>
      </c>
      <c r="L124" s="8" t="n">
        <v>10</v>
      </c>
      <c r="M124" s="8" t="n">
        <v>1</v>
      </c>
      <c r="N124" s="8" t="s">
        <v>120</v>
      </c>
      <c r="O124" s="15" t="n">
        <f aca="false">H124*12</f>
        <v>165780</v>
      </c>
      <c r="P124" s="8" t="n">
        <f aca="false">MIN(100,ROUND(100*J124/Assumptions!$B$8,0))</f>
        <v>100</v>
      </c>
      <c r="Q124" s="8" t="n">
        <f aca="false">IF(L124="",Assumptions!$B$9,L124*10)</f>
        <v>100</v>
      </c>
      <c r="R124" s="8" t="n">
        <f aca="false">IF(M124&lt;=1,Assumptions!$B$12,IF(M124&lt;=3,Assumptions!$B$13,IF(M124&lt;=6,Assumptions!$B$14,Assumptions!$B$15)))</f>
        <v>100</v>
      </c>
      <c r="S124" s="8" t="n">
        <f aca="false">IF(N124="Completed On Time",Assumptions!$B$16,IF(N124="Completed Late",Assumptions!$B$17,Assumptions!$B$18))</f>
        <v>100</v>
      </c>
      <c r="T124" s="8" t="n">
        <f aca="false">IF(I124=0,Assumptions!$B$20,IF(H124&gt;I124,Assumptions!$B$19,IF(H124=I124,Assumptions!$B$20,Assumptions!$B$21)))</f>
        <v>70</v>
      </c>
      <c r="U124" s="8" t="n">
        <f aca="false">ROUND(P124*Assumptions!$B$2+Q124*Assumptions!$B$3+R124*Assumptions!$B$4+S124*Assumptions!$B$5+T124*Assumptions!$B$6,0)</f>
        <v>94</v>
      </c>
      <c r="V124" s="8" t="str">
        <f aca="false">IF(U124&gt;=Assumptions!$B$10,"Healthy",IF(U124&gt;=Assumptions!$B$11,"Needs Attention","High Risk"))</f>
        <v>Healthy</v>
      </c>
    </row>
    <row r="125" customFormat="false" ht="15" hidden="false" customHeight="false" outlineLevel="0" collapsed="false">
      <c r="A125" s="8" t="s">
        <v>391</v>
      </c>
      <c r="B125" s="8" t="s">
        <v>392</v>
      </c>
      <c r="C125" s="8" t="s">
        <v>55</v>
      </c>
      <c r="D125" s="8" t="s">
        <v>55</v>
      </c>
      <c r="E125" s="8" t="s">
        <v>123</v>
      </c>
      <c r="F125" s="8" t="s">
        <v>151</v>
      </c>
      <c r="G125" s="8" t="s">
        <v>180</v>
      </c>
      <c r="H125" s="15" t="n">
        <v>13725</v>
      </c>
      <c r="I125" s="15" t="n">
        <v>13725</v>
      </c>
      <c r="J125" s="16" t="n">
        <v>0.654</v>
      </c>
      <c r="K125" s="8" t="n">
        <v>5.7</v>
      </c>
      <c r="L125" s="8" t="n">
        <v>9</v>
      </c>
      <c r="M125" s="8" t="n">
        <v>10</v>
      </c>
      <c r="N125" s="8" t="s">
        <v>120</v>
      </c>
      <c r="O125" s="15" t="n">
        <f aca="false">H125*12</f>
        <v>164700</v>
      </c>
      <c r="P125" s="8" t="n">
        <f aca="false">MIN(100,ROUND(100*J125/Assumptions!$B$8,0))</f>
        <v>73</v>
      </c>
      <c r="Q125" s="8" t="n">
        <f aca="false">IF(L125="",Assumptions!$B$9,L125*10)</f>
        <v>90</v>
      </c>
      <c r="R125" s="8" t="n">
        <f aca="false">IF(M125&lt;=1,Assumptions!$B$12,IF(M125&lt;=3,Assumptions!$B$13,IF(M125&lt;=6,Assumptions!$B$14,Assumptions!$B$15)))</f>
        <v>20</v>
      </c>
      <c r="S125" s="8" t="n">
        <f aca="false">IF(N125="Completed On Time",Assumptions!$B$16,IF(N125="Completed Late",Assumptions!$B$17,Assumptions!$B$18))</f>
        <v>100</v>
      </c>
      <c r="T125" s="8" t="n">
        <f aca="false">IF(I125=0,Assumptions!$B$20,IF(H125&gt;I125,Assumptions!$B$19,IF(H125=I125,Assumptions!$B$20,Assumptions!$B$21)))</f>
        <v>70</v>
      </c>
      <c r="U125" s="8" t="n">
        <f aca="false">ROUND(P125*Assumptions!$B$2+Q125*Assumptions!$B$3+R125*Assumptions!$B$4+S125*Assumptions!$B$5+T125*Assumptions!$B$6,0)</f>
        <v>71</v>
      </c>
      <c r="V125" s="8" t="str">
        <f aca="false">IF(U125&gt;=Assumptions!$B$10,"Healthy",IF(U125&gt;=Assumptions!$B$11,"Needs Attention","High Risk"))</f>
        <v>Needs Attention</v>
      </c>
    </row>
    <row r="126" customFormat="false" ht="15" hidden="false" customHeight="false" outlineLevel="0" collapsed="false">
      <c r="A126" s="8" t="s">
        <v>393</v>
      </c>
      <c r="B126" s="8" t="s">
        <v>394</v>
      </c>
      <c r="C126" s="8" t="s">
        <v>55</v>
      </c>
      <c r="D126" s="8" t="s">
        <v>55</v>
      </c>
      <c r="E126" s="8" t="s">
        <v>123</v>
      </c>
      <c r="F126" s="8" t="s">
        <v>151</v>
      </c>
      <c r="G126" s="8" t="s">
        <v>147</v>
      </c>
      <c r="H126" s="15" t="n">
        <v>13680</v>
      </c>
      <c r="I126" s="15" t="n">
        <v>13680</v>
      </c>
      <c r="J126" s="16" t="n">
        <v>0.715</v>
      </c>
      <c r="K126" s="8" t="n">
        <v>9.7</v>
      </c>
      <c r="L126" s="8" t="n">
        <v>10</v>
      </c>
      <c r="M126" s="8" t="n">
        <v>6</v>
      </c>
      <c r="N126" s="8" t="s">
        <v>199</v>
      </c>
      <c r="O126" s="15" t="n">
        <f aca="false">H126*12</f>
        <v>164160</v>
      </c>
      <c r="P126" s="8" t="n">
        <f aca="false">MIN(100,ROUND(100*J126/Assumptions!$B$8,0))</f>
        <v>79</v>
      </c>
      <c r="Q126" s="8" t="n">
        <f aca="false">IF(L126="",Assumptions!$B$9,L126*10)</f>
        <v>100</v>
      </c>
      <c r="R126" s="8" t="n">
        <f aca="false">IF(M126&lt;=1,Assumptions!$B$12,IF(M126&lt;=3,Assumptions!$B$13,IF(M126&lt;=6,Assumptions!$B$14,Assumptions!$B$15)))</f>
        <v>50</v>
      </c>
      <c r="S126" s="8" t="n">
        <f aca="false">IF(N126="Completed On Time",Assumptions!$B$16,IF(N126="Completed Late",Assumptions!$B$17,Assumptions!$B$18))</f>
        <v>50</v>
      </c>
      <c r="T126" s="8" t="n">
        <f aca="false">IF(I126=0,Assumptions!$B$20,IF(H126&gt;I126,Assumptions!$B$19,IF(H126=I126,Assumptions!$B$20,Assumptions!$B$21)))</f>
        <v>70</v>
      </c>
      <c r="U126" s="8" t="n">
        <f aca="false">ROUND(P126*Assumptions!$B$2+Q126*Assumptions!$B$3+R126*Assumptions!$B$4+S126*Assumptions!$B$5+T126*Assumptions!$B$6,0)</f>
        <v>74</v>
      </c>
      <c r="V126" s="8" t="str">
        <f aca="false">IF(U126&gt;=Assumptions!$B$10,"Healthy",IF(U126&gt;=Assumptions!$B$11,"Needs Attention","High Risk"))</f>
        <v>Needs Attention</v>
      </c>
    </row>
    <row r="127" customFormat="false" ht="15" hidden="false" customHeight="false" outlineLevel="0" collapsed="false">
      <c r="A127" s="8" t="s">
        <v>395</v>
      </c>
      <c r="B127" s="8" t="s">
        <v>396</v>
      </c>
      <c r="C127" s="8" t="s">
        <v>55</v>
      </c>
      <c r="D127" s="8" t="s">
        <v>55</v>
      </c>
      <c r="E127" s="8" t="s">
        <v>123</v>
      </c>
      <c r="F127" s="8" t="s">
        <v>143</v>
      </c>
      <c r="G127" s="8" t="s">
        <v>129</v>
      </c>
      <c r="H127" s="15" t="n">
        <v>13635</v>
      </c>
      <c r="I127" s="15" t="n">
        <v>13635</v>
      </c>
      <c r="J127" s="16" t="n">
        <v>0.998</v>
      </c>
      <c r="K127" s="8" t="n">
        <v>10</v>
      </c>
      <c r="L127" s="8" t="n">
        <v>9</v>
      </c>
      <c r="M127" s="8" t="n">
        <v>3</v>
      </c>
      <c r="N127" s="8" t="s">
        <v>148</v>
      </c>
      <c r="O127" s="15" t="n">
        <f aca="false">H127*12</f>
        <v>163620</v>
      </c>
      <c r="P127" s="8" t="n">
        <f aca="false">MIN(100,ROUND(100*J127/Assumptions!$B$8,0))</f>
        <v>100</v>
      </c>
      <c r="Q127" s="8" t="n">
        <f aca="false">IF(L127="",Assumptions!$B$9,L127*10)</f>
        <v>90</v>
      </c>
      <c r="R127" s="8" t="n">
        <f aca="false">IF(M127&lt;=1,Assumptions!$B$12,IF(M127&lt;=3,Assumptions!$B$13,IF(M127&lt;=6,Assumptions!$B$14,Assumptions!$B$15)))</f>
        <v>75</v>
      </c>
      <c r="S127" s="8" t="n">
        <f aca="false">IF(N127="Completed On Time",Assumptions!$B$16,IF(N127="Completed Late",Assumptions!$B$17,Assumptions!$B$18))</f>
        <v>60</v>
      </c>
      <c r="T127" s="8" t="n">
        <f aca="false">IF(I127=0,Assumptions!$B$20,IF(H127&gt;I127,Assumptions!$B$19,IF(H127=I127,Assumptions!$B$20,Assumptions!$B$21)))</f>
        <v>70</v>
      </c>
      <c r="U127" s="8" t="n">
        <f aca="false">ROUND(P127*Assumptions!$B$2+Q127*Assumptions!$B$3+R127*Assumptions!$B$4+S127*Assumptions!$B$5+T127*Assumptions!$B$6,0)</f>
        <v>84</v>
      </c>
      <c r="V127" s="8" t="str">
        <f aca="false">IF(U127&gt;=Assumptions!$B$10,"Healthy",IF(U127&gt;=Assumptions!$B$11,"Needs Attention","High Risk"))</f>
        <v>Healthy</v>
      </c>
    </row>
    <row r="128" customFormat="false" ht="15" hidden="false" customHeight="false" outlineLevel="0" collapsed="false">
      <c r="A128" s="8" t="s">
        <v>397</v>
      </c>
      <c r="B128" s="8" t="s">
        <v>398</v>
      </c>
      <c r="C128" s="8" t="s">
        <v>55</v>
      </c>
      <c r="D128" s="8" t="s">
        <v>326</v>
      </c>
      <c r="E128" s="8" t="s">
        <v>123</v>
      </c>
      <c r="F128" s="8" t="s">
        <v>143</v>
      </c>
      <c r="G128" s="8" t="s">
        <v>204</v>
      </c>
      <c r="H128" s="15" t="n">
        <v>13600</v>
      </c>
      <c r="I128" s="15" t="n">
        <v>13600</v>
      </c>
      <c r="J128" s="16" t="n">
        <v>0.656</v>
      </c>
      <c r="K128" s="8" t="n">
        <v>7.7</v>
      </c>
      <c r="L128" s="8" t="n">
        <v>9</v>
      </c>
      <c r="M128" s="8" t="n">
        <v>7</v>
      </c>
      <c r="N128" s="8" t="s">
        <v>148</v>
      </c>
      <c r="O128" s="15" t="n">
        <f aca="false">H128*12</f>
        <v>163200</v>
      </c>
      <c r="P128" s="8" t="n">
        <f aca="false">MIN(100,ROUND(100*J128/Assumptions!$B$8,0))</f>
        <v>73</v>
      </c>
      <c r="Q128" s="8" t="n">
        <f aca="false">IF(L128="",Assumptions!$B$9,L128*10)</f>
        <v>90</v>
      </c>
      <c r="R128" s="8" t="n">
        <f aca="false">IF(M128&lt;=1,Assumptions!$B$12,IF(M128&lt;=3,Assumptions!$B$13,IF(M128&lt;=6,Assumptions!$B$14,Assumptions!$B$15)))</f>
        <v>20</v>
      </c>
      <c r="S128" s="8" t="n">
        <f aca="false">IF(N128="Completed On Time",Assumptions!$B$16,IF(N128="Completed Late",Assumptions!$B$17,Assumptions!$B$18))</f>
        <v>60</v>
      </c>
      <c r="T128" s="8" t="n">
        <f aca="false">IF(I128=0,Assumptions!$B$20,IF(H128&gt;I128,Assumptions!$B$19,IF(H128=I128,Assumptions!$B$20,Assumptions!$B$21)))</f>
        <v>70</v>
      </c>
      <c r="U128" s="8" t="n">
        <f aca="false">ROUND(P128*Assumptions!$B$2+Q128*Assumptions!$B$3+R128*Assumptions!$B$4+S128*Assumptions!$B$5+T128*Assumptions!$B$6,0)</f>
        <v>67</v>
      </c>
      <c r="V128" s="8" t="str">
        <f aca="false">IF(U128&gt;=Assumptions!$B$10,"Healthy",IF(U128&gt;=Assumptions!$B$11,"Needs Attention","High Risk"))</f>
        <v>Needs Attention</v>
      </c>
    </row>
    <row r="129" customFormat="false" ht="15" hidden="false" customHeight="false" outlineLevel="0" collapsed="false">
      <c r="A129" s="8" t="s">
        <v>399</v>
      </c>
      <c r="B129" s="8" t="s">
        <v>400</v>
      </c>
      <c r="C129" s="8" t="s">
        <v>55</v>
      </c>
      <c r="D129" s="8" t="s">
        <v>55</v>
      </c>
      <c r="E129" s="8" t="s">
        <v>117</v>
      </c>
      <c r="F129" s="8" t="s">
        <v>166</v>
      </c>
      <c r="G129" s="8" t="s">
        <v>147</v>
      </c>
      <c r="H129" s="15" t="n">
        <v>13455</v>
      </c>
      <c r="I129" s="15" t="n">
        <v>13455</v>
      </c>
      <c r="J129" s="16" t="n">
        <v>0.692</v>
      </c>
      <c r="K129" s="8" t="n">
        <v>6.7</v>
      </c>
      <c r="L129" s="8" t="n">
        <v>8</v>
      </c>
      <c r="M129" s="8" t="n">
        <v>2</v>
      </c>
      <c r="N129" s="8" t="s">
        <v>120</v>
      </c>
      <c r="O129" s="15" t="n">
        <f aca="false">H129*12</f>
        <v>161460</v>
      </c>
      <c r="P129" s="8" t="n">
        <f aca="false">MIN(100,ROUND(100*J129/Assumptions!$B$8,0))</f>
        <v>77</v>
      </c>
      <c r="Q129" s="8" t="n">
        <f aca="false">IF(L129="",Assumptions!$B$9,L129*10)</f>
        <v>80</v>
      </c>
      <c r="R129" s="8" t="n">
        <f aca="false">IF(M129&lt;=1,Assumptions!$B$12,IF(M129&lt;=3,Assumptions!$B$13,IF(M129&lt;=6,Assumptions!$B$14,Assumptions!$B$15)))</f>
        <v>75</v>
      </c>
      <c r="S129" s="8" t="n">
        <f aca="false">IF(N129="Completed On Time",Assumptions!$B$16,IF(N129="Completed Late",Assumptions!$B$17,Assumptions!$B$18))</f>
        <v>100</v>
      </c>
      <c r="T129" s="8" t="n">
        <f aca="false">IF(I129=0,Assumptions!$B$20,IF(H129&gt;I129,Assumptions!$B$19,IF(H129=I129,Assumptions!$B$20,Assumptions!$B$21)))</f>
        <v>70</v>
      </c>
      <c r="U129" s="8" t="n">
        <f aca="false">ROUND(P129*Assumptions!$B$2+Q129*Assumptions!$B$3+R129*Assumptions!$B$4+S129*Assumptions!$B$5+T129*Assumptions!$B$6,0)</f>
        <v>78</v>
      </c>
      <c r="V129" s="8" t="str">
        <f aca="false">IF(U129&gt;=Assumptions!$B$10,"Healthy",IF(U129&gt;=Assumptions!$B$11,"Needs Attention","High Risk"))</f>
        <v>Needs Attention</v>
      </c>
    </row>
    <row r="130" customFormat="false" ht="15" hidden="false" customHeight="false" outlineLevel="0" collapsed="false">
      <c r="A130" s="8" t="s">
        <v>401</v>
      </c>
      <c r="B130" s="8" t="s">
        <v>402</v>
      </c>
      <c r="C130" s="8" t="s">
        <v>55</v>
      </c>
      <c r="D130" s="8" t="s">
        <v>326</v>
      </c>
      <c r="E130" s="8" t="s">
        <v>123</v>
      </c>
      <c r="F130" s="8" t="s">
        <v>124</v>
      </c>
      <c r="G130" s="8" t="s">
        <v>137</v>
      </c>
      <c r="H130" s="15" t="n">
        <v>13425</v>
      </c>
      <c r="I130" s="15" t="n">
        <v>13425</v>
      </c>
      <c r="J130" s="16" t="n">
        <v>0.737</v>
      </c>
      <c r="K130" s="8" t="n">
        <v>11</v>
      </c>
      <c r="L130" s="8" t="n">
        <v>10</v>
      </c>
      <c r="M130" s="8" t="n">
        <v>3</v>
      </c>
      <c r="N130" s="8" t="s">
        <v>120</v>
      </c>
      <c r="O130" s="15" t="n">
        <f aca="false">H130*12</f>
        <v>161100</v>
      </c>
      <c r="P130" s="8" t="n">
        <f aca="false">MIN(100,ROUND(100*J130/Assumptions!$B$8,0))</f>
        <v>82</v>
      </c>
      <c r="Q130" s="8" t="n">
        <f aca="false">IF(L130="",Assumptions!$B$9,L130*10)</f>
        <v>100</v>
      </c>
      <c r="R130" s="8" t="n">
        <f aca="false">IF(M130&lt;=1,Assumptions!$B$12,IF(M130&lt;=3,Assumptions!$B$13,IF(M130&lt;=6,Assumptions!$B$14,Assumptions!$B$15)))</f>
        <v>75</v>
      </c>
      <c r="S130" s="8" t="n">
        <f aca="false">IF(N130="Completed On Time",Assumptions!$B$16,IF(N130="Completed Late",Assumptions!$B$17,Assumptions!$B$18))</f>
        <v>100</v>
      </c>
      <c r="T130" s="8" t="n">
        <f aca="false">IF(I130=0,Assumptions!$B$20,IF(H130&gt;I130,Assumptions!$B$19,IF(H130=I130,Assumptions!$B$20,Assumptions!$B$21)))</f>
        <v>70</v>
      </c>
      <c r="U130" s="8" t="n">
        <f aca="false">ROUND(P130*Assumptions!$B$2+Q130*Assumptions!$B$3+R130*Assumptions!$B$4+S130*Assumptions!$B$5+T130*Assumptions!$B$6,0)</f>
        <v>84</v>
      </c>
      <c r="V130" s="8" t="str">
        <f aca="false">IF(U130&gt;=Assumptions!$B$10,"Healthy",IF(U130&gt;=Assumptions!$B$11,"Needs Attention","High Risk"))</f>
        <v>Healthy</v>
      </c>
    </row>
    <row r="131" customFormat="false" ht="15" hidden="false" customHeight="false" outlineLevel="0" collapsed="false">
      <c r="A131" s="8" t="s">
        <v>403</v>
      </c>
      <c r="B131" s="8" t="s">
        <v>404</v>
      </c>
      <c r="C131" s="8" t="s">
        <v>55</v>
      </c>
      <c r="D131" s="8" t="s">
        <v>326</v>
      </c>
      <c r="E131" s="8" t="s">
        <v>123</v>
      </c>
      <c r="F131" s="8" t="s">
        <v>223</v>
      </c>
      <c r="G131" s="8" t="s">
        <v>180</v>
      </c>
      <c r="H131" s="15" t="n">
        <v>13375</v>
      </c>
      <c r="I131" s="15" t="n">
        <v>13375</v>
      </c>
      <c r="J131" s="16" t="n">
        <v>0.738</v>
      </c>
      <c r="K131" s="8" t="n">
        <v>9</v>
      </c>
      <c r="L131" s="8" t="n">
        <v>10</v>
      </c>
      <c r="M131" s="8" t="n">
        <v>5</v>
      </c>
      <c r="N131" s="8" t="s">
        <v>120</v>
      </c>
      <c r="O131" s="15" t="n">
        <f aca="false">H131*12</f>
        <v>160500</v>
      </c>
      <c r="P131" s="8" t="n">
        <f aca="false">MIN(100,ROUND(100*J131/Assumptions!$B$8,0))</f>
        <v>82</v>
      </c>
      <c r="Q131" s="8" t="n">
        <f aca="false">IF(L131="",Assumptions!$B$9,L131*10)</f>
        <v>100</v>
      </c>
      <c r="R131" s="8" t="n">
        <f aca="false">IF(M131&lt;=1,Assumptions!$B$12,IF(M131&lt;=3,Assumptions!$B$13,IF(M131&lt;=6,Assumptions!$B$14,Assumptions!$B$15)))</f>
        <v>50</v>
      </c>
      <c r="S131" s="8" t="n">
        <f aca="false">IF(N131="Completed On Time",Assumptions!$B$16,IF(N131="Completed Late",Assumptions!$B$17,Assumptions!$B$18))</f>
        <v>100</v>
      </c>
      <c r="T131" s="8" t="n">
        <f aca="false">IF(I131=0,Assumptions!$B$20,IF(H131&gt;I131,Assumptions!$B$19,IF(H131=I131,Assumptions!$B$20,Assumptions!$B$21)))</f>
        <v>70</v>
      </c>
      <c r="U131" s="8" t="n">
        <f aca="false">ROUND(P131*Assumptions!$B$2+Q131*Assumptions!$B$3+R131*Assumptions!$B$4+S131*Assumptions!$B$5+T131*Assumptions!$B$6,0)</f>
        <v>80</v>
      </c>
      <c r="V131" s="8" t="str">
        <f aca="false">IF(U131&gt;=Assumptions!$B$10,"Healthy",IF(U131&gt;=Assumptions!$B$11,"Needs Attention","High Risk"))</f>
        <v>Healthy</v>
      </c>
    </row>
    <row r="132" customFormat="false" ht="15" hidden="false" customHeight="false" outlineLevel="0" collapsed="false">
      <c r="A132" s="8" t="s">
        <v>405</v>
      </c>
      <c r="B132" s="8" t="s">
        <v>406</v>
      </c>
      <c r="C132" s="8" t="s">
        <v>55</v>
      </c>
      <c r="D132" s="8" t="s">
        <v>55</v>
      </c>
      <c r="E132" s="8" t="s">
        <v>132</v>
      </c>
      <c r="F132" s="8" t="s">
        <v>118</v>
      </c>
      <c r="G132" s="8" t="s">
        <v>177</v>
      </c>
      <c r="H132" s="15" t="n">
        <v>13320</v>
      </c>
      <c r="I132" s="15" t="n">
        <v>0</v>
      </c>
      <c r="J132" s="16" t="n">
        <v>0.848</v>
      </c>
      <c r="K132" s="8" t="n">
        <v>9.7</v>
      </c>
      <c r="L132" s="8"/>
      <c r="M132" s="8" t="n">
        <v>1</v>
      </c>
      <c r="N132" s="8" t="s">
        <v>199</v>
      </c>
      <c r="O132" s="15" t="n">
        <f aca="false">H132*12</f>
        <v>159840</v>
      </c>
      <c r="P132" s="8" t="n">
        <f aca="false">MIN(100,ROUND(100*J132/Assumptions!$B$8,0))</f>
        <v>94</v>
      </c>
      <c r="Q132" s="8" t="n">
        <f aca="false">IF(L132="",Assumptions!$B$9,L132*10)</f>
        <v>50</v>
      </c>
      <c r="R132" s="8" t="n">
        <f aca="false">IF(M132&lt;=1,Assumptions!$B$12,IF(M132&lt;=3,Assumptions!$B$13,IF(M132&lt;=6,Assumptions!$B$14,Assumptions!$B$15)))</f>
        <v>100</v>
      </c>
      <c r="S132" s="8" t="n">
        <f aca="false">IF(N132="Completed On Time",Assumptions!$B$16,IF(N132="Completed Late",Assumptions!$B$17,Assumptions!$B$18))</f>
        <v>50</v>
      </c>
      <c r="T132" s="8" t="n">
        <f aca="false">IF(I132=0,Assumptions!$B$20,IF(H132&gt;I132,Assumptions!$B$19,IF(H132=I132,Assumptions!$B$20,Assumptions!$B$21)))</f>
        <v>70</v>
      </c>
      <c r="U132" s="8" t="n">
        <f aca="false">ROUND(P132*Assumptions!$B$2+Q132*Assumptions!$B$3+R132*Assumptions!$B$4+S132*Assumptions!$B$5+T132*Assumptions!$B$6,0)</f>
        <v>77</v>
      </c>
      <c r="V132" s="8" t="str">
        <f aca="false">IF(U132&gt;=Assumptions!$B$10,"Healthy",IF(U132&gt;=Assumptions!$B$11,"Needs Attention","High Risk"))</f>
        <v>Needs Attention</v>
      </c>
    </row>
    <row r="133" customFormat="false" ht="15" hidden="false" customHeight="false" outlineLevel="0" collapsed="false">
      <c r="A133" s="8" t="s">
        <v>407</v>
      </c>
      <c r="B133" s="8" t="s">
        <v>408</v>
      </c>
      <c r="C133" s="8" t="s">
        <v>55</v>
      </c>
      <c r="D133" s="8" t="s">
        <v>326</v>
      </c>
      <c r="E133" s="8" t="s">
        <v>132</v>
      </c>
      <c r="F133" s="8" t="s">
        <v>166</v>
      </c>
      <c r="G133" s="8" t="s">
        <v>177</v>
      </c>
      <c r="H133" s="15" t="n">
        <v>13225</v>
      </c>
      <c r="I133" s="15" t="n">
        <v>13225</v>
      </c>
      <c r="J133" s="16" t="n">
        <v>0.684</v>
      </c>
      <c r="K133" s="8" t="n">
        <v>7.3</v>
      </c>
      <c r="L133" s="8" t="n">
        <v>7</v>
      </c>
      <c r="M133" s="8" t="n">
        <v>5</v>
      </c>
      <c r="N133" s="8" t="s">
        <v>120</v>
      </c>
      <c r="O133" s="15" t="n">
        <f aca="false">H133*12</f>
        <v>158700</v>
      </c>
      <c r="P133" s="8" t="n">
        <f aca="false">MIN(100,ROUND(100*J133/Assumptions!$B$8,0))</f>
        <v>76</v>
      </c>
      <c r="Q133" s="8" t="n">
        <f aca="false">IF(L133="",Assumptions!$B$9,L133*10)</f>
        <v>70</v>
      </c>
      <c r="R133" s="8" t="n">
        <f aca="false">IF(M133&lt;=1,Assumptions!$B$12,IF(M133&lt;=3,Assumptions!$B$13,IF(M133&lt;=6,Assumptions!$B$14,Assumptions!$B$15)))</f>
        <v>50</v>
      </c>
      <c r="S133" s="8" t="n">
        <f aca="false">IF(N133="Completed On Time",Assumptions!$B$16,IF(N133="Completed Late",Assumptions!$B$17,Assumptions!$B$18))</f>
        <v>100</v>
      </c>
      <c r="T133" s="8" t="n">
        <f aca="false">IF(I133=0,Assumptions!$B$20,IF(H133&gt;I133,Assumptions!$B$19,IF(H133=I133,Assumptions!$B$20,Assumptions!$B$21)))</f>
        <v>70</v>
      </c>
      <c r="U133" s="8" t="n">
        <f aca="false">ROUND(P133*Assumptions!$B$2+Q133*Assumptions!$B$3+R133*Assumptions!$B$4+S133*Assumptions!$B$5+T133*Assumptions!$B$6,0)</f>
        <v>72</v>
      </c>
      <c r="V133" s="8" t="str">
        <f aca="false">IF(U133&gt;=Assumptions!$B$10,"Healthy",IF(U133&gt;=Assumptions!$B$11,"Needs Attention","High Risk"))</f>
        <v>Needs Attention</v>
      </c>
    </row>
    <row r="134" customFormat="false" ht="15" hidden="false" customHeight="false" outlineLevel="0" collapsed="false">
      <c r="A134" s="8" t="s">
        <v>409</v>
      </c>
      <c r="B134" s="8" t="s">
        <v>410</v>
      </c>
      <c r="C134" s="8" t="s">
        <v>55</v>
      </c>
      <c r="D134" s="8" t="s">
        <v>55</v>
      </c>
      <c r="E134" s="8" t="s">
        <v>132</v>
      </c>
      <c r="F134" s="8" t="s">
        <v>223</v>
      </c>
      <c r="G134" s="8" t="s">
        <v>144</v>
      </c>
      <c r="H134" s="15" t="n">
        <v>13185</v>
      </c>
      <c r="I134" s="15" t="n">
        <v>13185</v>
      </c>
      <c r="J134" s="16" t="n">
        <v>0.713</v>
      </c>
      <c r="K134" s="8" t="n">
        <v>11</v>
      </c>
      <c r="L134" s="8" t="n">
        <v>9</v>
      </c>
      <c r="M134" s="8" t="n">
        <v>1</v>
      </c>
      <c r="N134" s="8" t="s">
        <v>120</v>
      </c>
      <c r="O134" s="15" t="n">
        <f aca="false">H134*12</f>
        <v>158220</v>
      </c>
      <c r="P134" s="8" t="n">
        <f aca="false">MIN(100,ROUND(100*J134/Assumptions!$B$8,0))</f>
        <v>79</v>
      </c>
      <c r="Q134" s="8" t="n">
        <f aca="false">IF(L134="",Assumptions!$B$9,L134*10)</f>
        <v>90</v>
      </c>
      <c r="R134" s="8" t="n">
        <f aca="false">IF(M134&lt;=1,Assumptions!$B$12,IF(M134&lt;=3,Assumptions!$B$13,IF(M134&lt;=6,Assumptions!$B$14,Assumptions!$B$15)))</f>
        <v>100</v>
      </c>
      <c r="S134" s="8" t="n">
        <f aca="false">IF(N134="Completed On Time",Assumptions!$B$16,IF(N134="Completed Late",Assumptions!$B$17,Assumptions!$B$18))</f>
        <v>100</v>
      </c>
      <c r="T134" s="8" t="n">
        <f aca="false">IF(I134=0,Assumptions!$B$20,IF(H134&gt;I134,Assumptions!$B$19,IF(H134=I134,Assumptions!$B$20,Assumptions!$B$21)))</f>
        <v>70</v>
      </c>
      <c r="U134" s="8" t="n">
        <f aca="false">ROUND(P134*Assumptions!$B$2+Q134*Assumptions!$B$3+R134*Assumptions!$B$4+S134*Assumptions!$B$5+T134*Assumptions!$B$6,0)</f>
        <v>85</v>
      </c>
      <c r="V134" s="8" t="str">
        <f aca="false">IF(U134&gt;=Assumptions!$B$10,"Healthy",IF(U134&gt;=Assumptions!$B$11,"Needs Attention","High Risk"))</f>
        <v>Healthy</v>
      </c>
    </row>
    <row r="135" customFormat="false" ht="15" hidden="false" customHeight="false" outlineLevel="0" collapsed="false">
      <c r="A135" s="8" t="s">
        <v>411</v>
      </c>
      <c r="B135" s="8" t="s">
        <v>412</v>
      </c>
      <c r="C135" s="8" t="s">
        <v>55</v>
      </c>
      <c r="D135" s="8" t="s">
        <v>55</v>
      </c>
      <c r="E135" s="8" t="s">
        <v>117</v>
      </c>
      <c r="F135" s="8" t="s">
        <v>190</v>
      </c>
      <c r="G135" s="8" t="s">
        <v>180</v>
      </c>
      <c r="H135" s="15" t="n">
        <v>13185</v>
      </c>
      <c r="I135" s="15" t="n">
        <v>13185</v>
      </c>
      <c r="J135" s="16" t="n">
        <v>0.431</v>
      </c>
      <c r="K135" s="8" t="n">
        <v>6</v>
      </c>
      <c r="L135" s="8" t="n">
        <v>5</v>
      </c>
      <c r="M135" s="8" t="n">
        <v>6</v>
      </c>
      <c r="N135" s="8" t="s">
        <v>148</v>
      </c>
      <c r="O135" s="15" t="n">
        <f aca="false">H135*12</f>
        <v>158220</v>
      </c>
      <c r="P135" s="8" t="n">
        <f aca="false">MIN(100,ROUND(100*J135/Assumptions!$B$8,0))</f>
        <v>48</v>
      </c>
      <c r="Q135" s="8" t="n">
        <f aca="false">IF(L135="",Assumptions!$B$9,L135*10)</f>
        <v>50</v>
      </c>
      <c r="R135" s="8" t="n">
        <f aca="false">IF(M135&lt;=1,Assumptions!$B$12,IF(M135&lt;=3,Assumptions!$B$13,IF(M135&lt;=6,Assumptions!$B$14,Assumptions!$B$15)))</f>
        <v>50</v>
      </c>
      <c r="S135" s="8" t="n">
        <f aca="false">IF(N135="Completed On Time",Assumptions!$B$16,IF(N135="Completed Late",Assumptions!$B$17,Assumptions!$B$18))</f>
        <v>60</v>
      </c>
      <c r="T135" s="8" t="n">
        <f aca="false">IF(I135=0,Assumptions!$B$20,IF(H135&gt;I135,Assumptions!$B$19,IF(H135=I135,Assumptions!$B$20,Assumptions!$B$21)))</f>
        <v>70</v>
      </c>
      <c r="U135" s="8" t="n">
        <f aca="false">ROUND(P135*Assumptions!$B$2+Q135*Assumptions!$B$3+R135*Assumptions!$B$4+S135*Assumptions!$B$5+T135*Assumptions!$B$6,0)</f>
        <v>54</v>
      </c>
      <c r="V135" s="8" t="str">
        <f aca="false">IF(U135&gt;=Assumptions!$B$10,"Healthy",IF(U135&gt;=Assumptions!$B$11,"Needs Attention","High Risk"))</f>
        <v>High Risk</v>
      </c>
    </row>
    <row r="136" customFormat="false" ht="15" hidden="false" customHeight="false" outlineLevel="0" collapsed="false">
      <c r="A136" s="8" t="s">
        <v>413</v>
      </c>
      <c r="B136" s="8" t="s">
        <v>414</v>
      </c>
      <c r="C136" s="8" t="s">
        <v>55</v>
      </c>
      <c r="D136" s="8" t="s">
        <v>55</v>
      </c>
      <c r="E136" s="8" t="s">
        <v>123</v>
      </c>
      <c r="F136" s="8" t="s">
        <v>136</v>
      </c>
      <c r="G136" s="8" t="s">
        <v>137</v>
      </c>
      <c r="H136" s="15" t="n">
        <v>13140</v>
      </c>
      <c r="I136" s="15" t="n">
        <v>13140</v>
      </c>
      <c r="J136" s="16" t="n">
        <v>0.892</v>
      </c>
      <c r="K136" s="8" t="n">
        <v>9.7</v>
      </c>
      <c r="L136" s="8" t="n">
        <v>9</v>
      </c>
      <c r="M136" s="8" t="n">
        <v>4</v>
      </c>
      <c r="N136" s="8" t="s">
        <v>120</v>
      </c>
      <c r="O136" s="15" t="n">
        <f aca="false">H136*12</f>
        <v>157680</v>
      </c>
      <c r="P136" s="8" t="n">
        <f aca="false">MIN(100,ROUND(100*J136/Assumptions!$B$8,0))</f>
        <v>99</v>
      </c>
      <c r="Q136" s="8" t="n">
        <f aca="false">IF(L136="",Assumptions!$B$9,L136*10)</f>
        <v>90</v>
      </c>
      <c r="R136" s="8" t="n">
        <f aca="false">IF(M136&lt;=1,Assumptions!$B$12,IF(M136&lt;=3,Assumptions!$B$13,IF(M136&lt;=6,Assumptions!$B$14,Assumptions!$B$15)))</f>
        <v>50</v>
      </c>
      <c r="S136" s="8" t="n">
        <f aca="false">IF(N136="Completed On Time",Assumptions!$B$16,IF(N136="Completed Late",Assumptions!$B$17,Assumptions!$B$18))</f>
        <v>100</v>
      </c>
      <c r="T136" s="8" t="n">
        <f aca="false">IF(I136=0,Assumptions!$B$20,IF(H136&gt;I136,Assumptions!$B$19,IF(H136=I136,Assumptions!$B$20,Assumptions!$B$21)))</f>
        <v>70</v>
      </c>
      <c r="U136" s="8" t="n">
        <f aca="false">ROUND(P136*Assumptions!$B$2+Q136*Assumptions!$B$3+R136*Assumptions!$B$4+S136*Assumptions!$B$5+T136*Assumptions!$B$6,0)</f>
        <v>84</v>
      </c>
      <c r="V136" s="8" t="str">
        <f aca="false">IF(U136&gt;=Assumptions!$B$10,"Healthy",IF(U136&gt;=Assumptions!$B$11,"Needs Attention","High Risk"))</f>
        <v>Healthy</v>
      </c>
    </row>
    <row r="137" customFormat="false" ht="15" hidden="false" customHeight="false" outlineLevel="0" collapsed="false">
      <c r="A137" s="8" t="s">
        <v>415</v>
      </c>
      <c r="B137" s="8" t="s">
        <v>416</v>
      </c>
      <c r="C137" s="8" t="s">
        <v>55</v>
      </c>
      <c r="D137" s="8" t="s">
        <v>55</v>
      </c>
      <c r="E137" s="8" t="s">
        <v>123</v>
      </c>
      <c r="F137" s="8" t="s">
        <v>136</v>
      </c>
      <c r="G137" s="8" t="s">
        <v>144</v>
      </c>
      <c r="H137" s="15" t="n">
        <v>12870</v>
      </c>
      <c r="I137" s="15" t="n">
        <v>12870</v>
      </c>
      <c r="J137" s="16" t="n">
        <v>0.608</v>
      </c>
      <c r="K137" s="8" t="n">
        <v>4.7</v>
      </c>
      <c r="L137" s="8" t="n">
        <v>7</v>
      </c>
      <c r="M137" s="8" t="n">
        <v>4</v>
      </c>
      <c r="N137" s="8" t="s">
        <v>120</v>
      </c>
      <c r="O137" s="15" t="n">
        <f aca="false">H137*12</f>
        <v>154440</v>
      </c>
      <c r="P137" s="8" t="n">
        <f aca="false">MIN(100,ROUND(100*J137/Assumptions!$B$8,0))</f>
        <v>68</v>
      </c>
      <c r="Q137" s="8" t="n">
        <f aca="false">IF(L137="",Assumptions!$B$9,L137*10)</f>
        <v>70</v>
      </c>
      <c r="R137" s="8" t="n">
        <f aca="false">IF(M137&lt;=1,Assumptions!$B$12,IF(M137&lt;=3,Assumptions!$B$13,IF(M137&lt;=6,Assumptions!$B$14,Assumptions!$B$15)))</f>
        <v>50</v>
      </c>
      <c r="S137" s="8" t="n">
        <f aca="false">IF(N137="Completed On Time",Assumptions!$B$16,IF(N137="Completed Late",Assumptions!$B$17,Assumptions!$B$18))</f>
        <v>100</v>
      </c>
      <c r="T137" s="8" t="n">
        <f aca="false">IF(I137=0,Assumptions!$B$20,IF(H137&gt;I137,Assumptions!$B$19,IF(H137=I137,Assumptions!$B$20,Assumptions!$B$21)))</f>
        <v>70</v>
      </c>
      <c r="U137" s="8" t="n">
        <f aca="false">ROUND(P137*Assumptions!$B$2+Q137*Assumptions!$B$3+R137*Assumptions!$B$4+S137*Assumptions!$B$5+T137*Assumptions!$B$6,0)</f>
        <v>69</v>
      </c>
      <c r="V137" s="8" t="str">
        <f aca="false">IF(U137&gt;=Assumptions!$B$10,"Healthy",IF(U137&gt;=Assumptions!$B$11,"Needs Attention","High Risk"))</f>
        <v>Needs Attention</v>
      </c>
    </row>
    <row r="138" customFormat="false" ht="15" hidden="false" customHeight="false" outlineLevel="0" collapsed="false">
      <c r="A138" s="8" t="s">
        <v>417</v>
      </c>
      <c r="B138" s="8" t="s">
        <v>418</v>
      </c>
      <c r="C138" s="8" t="s">
        <v>55</v>
      </c>
      <c r="D138" s="8" t="s">
        <v>326</v>
      </c>
      <c r="E138" s="8" t="s">
        <v>123</v>
      </c>
      <c r="F138" s="8" t="s">
        <v>124</v>
      </c>
      <c r="G138" s="8" t="s">
        <v>119</v>
      </c>
      <c r="H138" s="15" t="n">
        <v>12800</v>
      </c>
      <c r="I138" s="15" t="n">
        <v>12800</v>
      </c>
      <c r="J138" s="16" t="n">
        <v>0.827</v>
      </c>
      <c r="K138" s="8" t="n">
        <v>10.3</v>
      </c>
      <c r="L138" s="8" t="n">
        <v>9</v>
      </c>
      <c r="M138" s="8" t="n">
        <v>2</v>
      </c>
      <c r="N138" s="8" t="s">
        <v>120</v>
      </c>
      <c r="O138" s="15" t="n">
        <f aca="false">H138*12</f>
        <v>153600</v>
      </c>
      <c r="P138" s="8" t="n">
        <f aca="false">MIN(100,ROUND(100*J138/Assumptions!$B$8,0))</f>
        <v>92</v>
      </c>
      <c r="Q138" s="8" t="n">
        <f aca="false">IF(L138="",Assumptions!$B$9,L138*10)</f>
        <v>90</v>
      </c>
      <c r="R138" s="8" t="n">
        <f aca="false">IF(M138&lt;=1,Assumptions!$B$12,IF(M138&lt;=3,Assumptions!$B$13,IF(M138&lt;=6,Assumptions!$B$14,Assumptions!$B$15)))</f>
        <v>75</v>
      </c>
      <c r="S138" s="8" t="n">
        <f aca="false">IF(N138="Completed On Time",Assumptions!$B$16,IF(N138="Completed Late",Assumptions!$B$17,Assumptions!$B$18))</f>
        <v>100</v>
      </c>
      <c r="T138" s="8" t="n">
        <f aca="false">IF(I138=0,Assumptions!$B$20,IF(H138&gt;I138,Assumptions!$B$19,IF(H138=I138,Assumptions!$B$20,Assumptions!$B$21)))</f>
        <v>70</v>
      </c>
      <c r="U138" s="8" t="n">
        <f aca="false">ROUND(P138*Assumptions!$B$2+Q138*Assumptions!$B$3+R138*Assumptions!$B$4+S138*Assumptions!$B$5+T138*Assumptions!$B$6,0)</f>
        <v>85</v>
      </c>
      <c r="V138" s="8" t="str">
        <f aca="false">IF(U138&gt;=Assumptions!$B$10,"Healthy",IF(U138&gt;=Assumptions!$B$11,"Needs Attention","High Risk"))</f>
        <v>Healthy</v>
      </c>
    </row>
    <row r="139" customFormat="false" ht="15" hidden="false" customHeight="false" outlineLevel="0" collapsed="false">
      <c r="A139" s="8" t="s">
        <v>419</v>
      </c>
      <c r="B139" s="8" t="s">
        <v>420</v>
      </c>
      <c r="C139" s="8" t="s">
        <v>55</v>
      </c>
      <c r="D139" s="8" t="s">
        <v>326</v>
      </c>
      <c r="E139" s="8" t="s">
        <v>123</v>
      </c>
      <c r="F139" s="8" t="s">
        <v>133</v>
      </c>
      <c r="G139" s="8" t="s">
        <v>185</v>
      </c>
      <c r="H139" s="15" t="n">
        <v>12775</v>
      </c>
      <c r="I139" s="15" t="n">
        <v>12775</v>
      </c>
      <c r="J139" s="16" t="n">
        <v>0.831</v>
      </c>
      <c r="K139" s="8" t="n">
        <v>10</v>
      </c>
      <c r="L139" s="8" t="n">
        <v>10</v>
      </c>
      <c r="M139" s="8" t="n">
        <v>2</v>
      </c>
      <c r="N139" s="8" t="s">
        <v>120</v>
      </c>
      <c r="O139" s="15" t="n">
        <f aca="false">H139*12</f>
        <v>153300</v>
      </c>
      <c r="P139" s="8" t="n">
        <f aca="false">MIN(100,ROUND(100*J139/Assumptions!$B$8,0))</f>
        <v>92</v>
      </c>
      <c r="Q139" s="8" t="n">
        <f aca="false">IF(L139="",Assumptions!$B$9,L139*10)</f>
        <v>100</v>
      </c>
      <c r="R139" s="8" t="n">
        <f aca="false">IF(M139&lt;=1,Assumptions!$B$12,IF(M139&lt;=3,Assumptions!$B$13,IF(M139&lt;=6,Assumptions!$B$14,Assumptions!$B$15)))</f>
        <v>75</v>
      </c>
      <c r="S139" s="8" t="n">
        <f aca="false">IF(N139="Completed On Time",Assumptions!$B$16,IF(N139="Completed Late",Assumptions!$B$17,Assumptions!$B$18))</f>
        <v>100</v>
      </c>
      <c r="T139" s="8" t="n">
        <f aca="false">IF(I139=0,Assumptions!$B$20,IF(H139&gt;I139,Assumptions!$B$19,IF(H139=I139,Assumptions!$B$20,Assumptions!$B$21)))</f>
        <v>70</v>
      </c>
      <c r="U139" s="8" t="n">
        <f aca="false">ROUND(P139*Assumptions!$B$2+Q139*Assumptions!$B$3+R139*Assumptions!$B$4+S139*Assumptions!$B$5+T139*Assumptions!$B$6,0)</f>
        <v>87</v>
      </c>
      <c r="V139" s="8" t="str">
        <f aca="false">IF(U139&gt;=Assumptions!$B$10,"Healthy",IF(U139&gt;=Assumptions!$B$11,"Needs Attention","High Risk"))</f>
        <v>Healthy</v>
      </c>
    </row>
    <row r="140" customFormat="false" ht="15" hidden="false" customHeight="false" outlineLevel="0" collapsed="false">
      <c r="A140" s="8" t="s">
        <v>421</v>
      </c>
      <c r="B140" s="8" t="s">
        <v>422</v>
      </c>
      <c r="C140" s="8" t="s">
        <v>55</v>
      </c>
      <c r="D140" s="8" t="s">
        <v>55</v>
      </c>
      <c r="E140" s="8" t="s">
        <v>132</v>
      </c>
      <c r="F140" s="8" t="s">
        <v>118</v>
      </c>
      <c r="G140" s="8" t="s">
        <v>180</v>
      </c>
      <c r="H140" s="15" t="n">
        <v>12735</v>
      </c>
      <c r="I140" s="15" t="n">
        <v>12735</v>
      </c>
      <c r="J140" s="16" t="n">
        <v>0.516</v>
      </c>
      <c r="K140" s="8" t="n">
        <v>6.3</v>
      </c>
      <c r="L140" s="8" t="n">
        <v>6</v>
      </c>
      <c r="M140" s="8" t="n">
        <v>3</v>
      </c>
      <c r="N140" s="8" t="s">
        <v>120</v>
      </c>
      <c r="O140" s="15" t="n">
        <f aca="false">H140*12</f>
        <v>152820</v>
      </c>
      <c r="P140" s="8" t="n">
        <f aca="false">MIN(100,ROUND(100*J140/Assumptions!$B$8,0))</f>
        <v>57</v>
      </c>
      <c r="Q140" s="8" t="n">
        <f aca="false">IF(L140="",Assumptions!$B$9,L140*10)</f>
        <v>60</v>
      </c>
      <c r="R140" s="8" t="n">
        <f aca="false">IF(M140&lt;=1,Assumptions!$B$12,IF(M140&lt;=3,Assumptions!$B$13,IF(M140&lt;=6,Assumptions!$B$14,Assumptions!$B$15)))</f>
        <v>75</v>
      </c>
      <c r="S140" s="8" t="n">
        <f aca="false">IF(N140="Completed On Time",Assumptions!$B$16,IF(N140="Completed Late",Assumptions!$B$17,Assumptions!$B$18))</f>
        <v>100</v>
      </c>
      <c r="T140" s="8" t="n">
        <f aca="false">IF(I140=0,Assumptions!$B$20,IF(H140&gt;I140,Assumptions!$B$19,IF(H140=I140,Assumptions!$B$20,Assumptions!$B$21)))</f>
        <v>70</v>
      </c>
      <c r="U140" s="8" t="n">
        <f aca="false">ROUND(P140*Assumptions!$B$2+Q140*Assumptions!$B$3+R140*Assumptions!$B$4+S140*Assumptions!$B$5+T140*Assumptions!$B$6,0)</f>
        <v>67</v>
      </c>
      <c r="V140" s="8" t="str">
        <f aca="false">IF(U140&gt;=Assumptions!$B$10,"Healthy",IF(U140&gt;=Assumptions!$B$11,"Needs Attention","High Risk"))</f>
        <v>Needs Attention</v>
      </c>
    </row>
    <row r="141" customFormat="false" ht="15" hidden="false" customHeight="false" outlineLevel="0" collapsed="false">
      <c r="A141" s="8" t="s">
        <v>423</v>
      </c>
      <c r="B141" s="8" t="s">
        <v>424</v>
      </c>
      <c r="C141" s="8" t="s">
        <v>55</v>
      </c>
      <c r="D141" s="8" t="s">
        <v>55</v>
      </c>
      <c r="E141" s="8" t="s">
        <v>128</v>
      </c>
      <c r="F141" s="8" t="s">
        <v>136</v>
      </c>
      <c r="G141" s="8" t="s">
        <v>185</v>
      </c>
      <c r="H141" s="15" t="n">
        <v>12735</v>
      </c>
      <c r="I141" s="15" t="n">
        <v>12735</v>
      </c>
      <c r="J141" s="16" t="n">
        <v>0.589</v>
      </c>
      <c r="K141" s="8" t="n">
        <v>5.3</v>
      </c>
      <c r="L141" s="8" t="n">
        <v>8</v>
      </c>
      <c r="M141" s="8" t="n">
        <v>5</v>
      </c>
      <c r="N141" s="8" t="s">
        <v>148</v>
      </c>
      <c r="O141" s="15" t="n">
        <f aca="false">H141*12</f>
        <v>152820</v>
      </c>
      <c r="P141" s="8" t="n">
        <f aca="false">MIN(100,ROUND(100*J141/Assumptions!$B$8,0))</f>
        <v>65</v>
      </c>
      <c r="Q141" s="8" t="n">
        <f aca="false">IF(L141="",Assumptions!$B$9,L141*10)</f>
        <v>80</v>
      </c>
      <c r="R141" s="8" t="n">
        <f aca="false">IF(M141&lt;=1,Assumptions!$B$12,IF(M141&lt;=3,Assumptions!$B$13,IF(M141&lt;=6,Assumptions!$B$14,Assumptions!$B$15)))</f>
        <v>50</v>
      </c>
      <c r="S141" s="8" t="n">
        <f aca="false">IF(N141="Completed On Time",Assumptions!$B$16,IF(N141="Completed Late",Assumptions!$B$17,Assumptions!$B$18))</f>
        <v>60</v>
      </c>
      <c r="T141" s="8" t="n">
        <f aca="false">IF(I141=0,Assumptions!$B$20,IF(H141&gt;I141,Assumptions!$B$19,IF(H141=I141,Assumptions!$B$20,Assumptions!$B$21)))</f>
        <v>70</v>
      </c>
      <c r="U141" s="8" t="n">
        <f aca="false">ROUND(P141*Assumptions!$B$2+Q141*Assumptions!$B$3+R141*Assumptions!$B$4+S141*Assumptions!$B$5+T141*Assumptions!$B$6,0)</f>
        <v>66</v>
      </c>
      <c r="V141" s="8" t="str">
        <f aca="false">IF(U141&gt;=Assumptions!$B$10,"Healthy",IF(U141&gt;=Assumptions!$B$11,"Needs Attention","High Risk"))</f>
        <v>Needs Attention</v>
      </c>
    </row>
    <row r="142" customFormat="false" ht="15" hidden="false" customHeight="false" outlineLevel="0" collapsed="false">
      <c r="A142" s="8" t="s">
        <v>425</v>
      </c>
      <c r="B142" s="8" t="s">
        <v>426</v>
      </c>
      <c r="C142" s="8" t="s">
        <v>55</v>
      </c>
      <c r="D142" s="8" t="s">
        <v>55</v>
      </c>
      <c r="E142" s="8" t="s">
        <v>117</v>
      </c>
      <c r="F142" s="8" t="s">
        <v>136</v>
      </c>
      <c r="G142" s="8" t="s">
        <v>144</v>
      </c>
      <c r="H142" s="15" t="n">
        <v>12735</v>
      </c>
      <c r="I142" s="15" t="n">
        <v>12735</v>
      </c>
      <c r="J142" s="16" t="n">
        <v>0.723</v>
      </c>
      <c r="K142" s="8" t="n">
        <v>10.3</v>
      </c>
      <c r="L142" s="8" t="n">
        <v>6</v>
      </c>
      <c r="M142" s="8" t="n">
        <v>2</v>
      </c>
      <c r="N142" s="8" t="s">
        <v>120</v>
      </c>
      <c r="O142" s="15" t="n">
        <f aca="false">H142*12</f>
        <v>152820</v>
      </c>
      <c r="P142" s="8" t="n">
        <f aca="false">MIN(100,ROUND(100*J142/Assumptions!$B$8,0))</f>
        <v>80</v>
      </c>
      <c r="Q142" s="8" t="n">
        <f aca="false">IF(L142="",Assumptions!$B$9,L142*10)</f>
        <v>60</v>
      </c>
      <c r="R142" s="8" t="n">
        <f aca="false">IF(M142&lt;=1,Assumptions!$B$12,IF(M142&lt;=3,Assumptions!$B$13,IF(M142&lt;=6,Assumptions!$B$14,Assumptions!$B$15)))</f>
        <v>75</v>
      </c>
      <c r="S142" s="8" t="n">
        <f aca="false">IF(N142="Completed On Time",Assumptions!$B$16,IF(N142="Completed Late",Assumptions!$B$17,Assumptions!$B$18))</f>
        <v>100</v>
      </c>
      <c r="T142" s="8" t="n">
        <f aca="false">IF(I142=0,Assumptions!$B$20,IF(H142&gt;I142,Assumptions!$B$19,IF(H142=I142,Assumptions!$B$20,Assumptions!$B$21)))</f>
        <v>70</v>
      </c>
      <c r="U142" s="8" t="n">
        <f aca="false">ROUND(P142*Assumptions!$B$2+Q142*Assumptions!$B$3+R142*Assumptions!$B$4+S142*Assumptions!$B$5+T142*Assumptions!$B$6,0)</f>
        <v>75</v>
      </c>
      <c r="V142" s="8" t="str">
        <f aca="false">IF(U142&gt;=Assumptions!$B$10,"Healthy",IF(U142&gt;=Assumptions!$B$11,"Needs Attention","High Risk"))</f>
        <v>Needs Attention</v>
      </c>
    </row>
    <row r="143" customFormat="false" ht="15" hidden="false" customHeight="false" outlineLevel="0" collapsed="false">
      <c r="A143" s="8" t="s">
        <v>427</v>
      </c>
      <c r="B143" s="8" t="s">
        <v>428</v>
      </c>
      <c r="C143" s="8" t="s">
        <v>55</v>
      </c>
      <c r="D143" s="8" t="s">
        <v>55</v>
      </c>
      <c r="E143" s="8" t="s">
        <v>123</v>
      </c>
      <c r="F143" s="8" t="s">
        <v>133</v>
      </c>
      <c r="G143" s="8" t="s">
        <v>119</v>
      </c>
      <c r="H143" s="15" t="n">
        <v>12555</v>
      </c>
      <c r="I143" s="15" t="n">
        <v>12555</v>
      </c>
      <c r="J143" s="16" t="n">
        <v>0.648</v>
      </c>
      <c r="K143" s="8" t="n">
        <v>8</v>
      </c>
      <c r="L143" s="8" t="n">
        <v>6</v>
      </c>
      <c r="M143" s="8" t="n">
        <v>6</v>
      </c>
      <c r="N143" s="8" t="s">
        <v>120</v>
      </c>
      <c r="O143" s="15" t="n">
        <f aca="false">H143*12</f>
        <v>150660</v>
      </c>
      <c r="P143" s="8" t="n">
        <f aca="false">MIN(100,ROUND(100*J143/Assumptions!$B$8,0))</f>
        <v>72</v>
      </c>
      <c r="Q143" s="8" t="n">
        <f aca="false">IF(L143="",Assumptions!$B$9,L143*10)</f>
        <v>60</v>
      </c>
      <c r="R143" s="8" t="n">
        <f aca="false">IF(M143&lt;=1,Assumptions!$B$12,IF(M143&lt;=3,Assumptions!$B$13,IF(M143&lt;=6,Assumptions!$B$14,Assumptions!$B$15)))</f>
        <v>50</v>
      </c>
      <c r="S143" s="8" t="n">
        <f aca="false">IF(N143="Completed On Time",Assumptions!$B$16,IF(N143="Completed Late",Assumptions!$B$17,Assumptions!$B$18))</f>
        <v>100</v>
      </c>
      <c r="T143" s="8" t="n">
        <f aca="false">IF(I143=0,Assumptions!$B$20,IF(H143&gt;I143,Assumptions!$B$19,IF(H143=I143,Assumptions!$B$20,Assumptions!$B$21)))</f>
        <v>70</v>
      </c>
      <c r="U143" s="8" t="n">
        <f aca="false">ROUND(P143*Assumptions!$B$2+Q143*Assumptions!$B$3+R143*Assumptions!$B$4+S143*Assumptions!$B$5+T143*Assumptions!$B$6,0)</f>
        <v>69</v>
      </c>
      <c r="V143" s="8" t="str">
        <f aca="false">IF(U143&gt;=Assumptions!$B$10,"Healthy",IF(U143&gt;=Assumptions!$B$11,"Needs Attention","High Risk"))</f>
        <v>Needs Attention</v>
      </c>
    </row>
    <row r="144" customFormat="false" ht="15" hidden="false" customHeight="false" outlineLevel="0" collapsed="false">
      <c r="A144" s="8" t="s">
        <v>429</v>
      </c>
      <c r="B144" s="8" t="s">
        <v>430</v>
      </c>
      <c r="C144" s="8" t="s">
        <v>55</v>
      </c>
      <c r="D144" s="8" t="s">
        <v>55</v>
      </c>
      <c r="E144" s="8" t="s">
        <v>117</v>
      </c>
      <c r="F144" s="8" t="s">
        <v>154</v>
      </c>
      <c r="G144" s="8" t="s">
        <v>180</v>
      </c>
      <c r="H144" s="15" t="n">
        <v>12510</v>
      </c>
      <c r="I144" s="15" t="n">
        <v>12510</v>
      </c>
      <c r="J144" s="16" t="n">
        <v>0.905</v>
      </c>
      <c r="K144" s="8" t="n">
        <v>11</v>
      </c>
      <c r="L144" s="8" t="n">
        <v>9</v>
      </c>
      <c r="M144" s="8" t="n">
        <v>0</v>
      </c>
      <c r="N144" s="8" t="s">
        <v>120</v>
      </c>
      <c r="O144" s="15" t="n">
        <f aca="false">H144*12</f>
        <v>150120</v>
      </c>
      <c r="P144" s="8" t="n">
        <f aca="false">MIN(100,ROUND(100*J144/Assumptions!$B$8,0))</f>
        <v>100</v>
      </c>
      <c r="Q144" s="8" t="n">
        <f aca="false">IF(L144="",Assumptions!$B$9,L144*10)</f>
        <v>90</v>
      </c>
      <c r="R144" s="8" t="n">
        <f aca="false">IF(M144&lt;=1,Assumptions!$B$12,IF(M144&lt;=3,Assumptions!$B$13,IF(M144&lt;=6,Assumptions!$B$14,Assumptions!$B$15)))</f>
        <v>100</v>
      </c>
      <c r="S144" s="8" t="n">
        <f aca="false">IF(N144="Completed On Time",Assumptions!$B$16,IF(N144="Completed Late",Assumptions!$B$17,Assumptions!$B$18))</f>
        <v>100</v>
      </c>
      <c r="T144" s="8" t="n">
        <f aca="false">IF(I144=0,Assumptions!$B$20,IF(H144&gt;I144,Assumptions!$B$19,IF(H144=I144,Assumptions!$B$20,Assumptions!$B$21)))</f>
        <v>70</v>
      </c>
      <c r="U144" s="8" t="n">
        <f aca="false">ROUND(P144*Assumptions!$B$2+Q144*Assumptions!$B$3+R144*Assumptions!$B$4+S144*Assumptions!$B$5+T144*Assumptions!$B$6,0)</f>
        <v>92</v>
      </c>
      <c r="V144" s="8" t="str">
        <f aca="false">IF(U144&gt;=Assumptions!$B$10,"Healthy",IF(U144&gt;=Assumptions!$B$11,"Needs Attention","High Risk"))</f>
        <v>Healthy</v>
      </c>
    </row>
    <row r="145" customFormat="false" ht="15" hidden="false" customHeight="false" outlineLevel="0" collapsed="false">
      <c r="A145" s="8" t="s">
        <v>431</v>
      </c>
      <c r="B145" s="8" t="s">
        <v>432</v>
      </c>
      <c r="C145" s="8" t="s">
        <v>55</v>
      </c>
      <c r="D145" s="8" t="s">
        <v>55</v>
      </c>
      <c r="E145" s="8" t="s">
        <v>123</v>
      </c>
      <c r="F145" s="8" t="s">
        <v>166</v>
      </c>
      <c r="G145" s="8" t="s">
        <v>204</v>
      </c>
      <c r="H145" s="15" t="n">
        <v>12510</v>
      </c>
      <c r="I145" s="15" t="n">
        <v>12510</v>
      </c>
      <c r="J145" s="16" t="n">
        <v>0.683</v>
      </c>
      <c r="K145" s="8" t="n">
        <v>7.7</v>
      </c>
      <c r="L145" s="8" t="n">
        <v>5</v>
      </c>
      <c r="M145" s="8" t="n">
        <v>3</v>
      </c>
      <c r="N145" s="8" t="s">
        <v>120</v>
      </c>
      <c r="O145" s="15" t="n">
        <f aca="false">H145*12</f>
        <v>150120</v>
      </c>
      <c r="P145" s="8" t="n">
        <f aca="false">MIN(100,ROUND(100*J145/Assumptions!$B$8,0))</f>
        <v>76</v>
      </c>
      <c r="Q145" s="8" t="n">
        <f aca="false">IF(L145="",Assumptions!$B$9,L145*10)</f>
        <v>50</v>
      </c>
      <c r="R145" s="8" t="n">
        <f aca="false">IF(M145&lt;=1,Assumptions!$B$12,IF(M145&lt;=3,Assumptions!$B$13,IF(M145&lt;=6,Assumptions!$B$14,Assumptions!$B$15)))</f>
        <v>75</v>
      </c>
      <c r="S145" s="8" t="n">
        <f aca="false">IF(N145="Completed On Time",Assumptions!$B$16,IF(N145="Completed Late",Assumptions!$B$17,Assumptions!$B$18))</f>
        <v>100</v>
      </c>
      <c r="T145" s="8" t="n">
        <f aca="false">IF(I145=0,Assumptions!$B$20,IF(H145&gt;I145,Assumptions!$B$19,IF(H145=I145,Assumptions!$B$20,Assumptions!$B$21)))</f>
        <v>70</v>
      </c>
      <c r="U145" s="8" t="n">
        <f aca="false">ROUND(P145*Assumptions!$B$2+Q145*Assumptions!$B$3+R145*Assumptions!$B$4+S145*Assumptions!$B$5+T145*Assumptions!$B$6,0)</f>
        <v>72</v>
      </c>
      <c r="V145" s="8" t="str">
        <f aca="false">IF(U145&gt;=Assumptions!$B$10,"Healthy",IF(U145&gt;=Assumptions!$B$11,"Needs Attention","High Risk"))</f>
        <v>Needs Attention</v>
      </c>
    </row>
    <row r="146" customFormat="false" ht="15" hidden="false" customHeight="false" outlineLevel="0" collapsed="false">
      <c r="A146" s="8" t="s">
        <v>433</v>
      </c>
      <c r="B146" s="8" t="s">
        <v>434</v>
      </c>
      <c r="C146" s="8" t="s">
        <v>55</v>
      </c>
      <c r="D146" s="8" t="s">
        <v>326</v>
      </c>
      <c r="E146" s="8" t="s">
        <v>123</v>
      </c>
      <c r="F146" s="8" t="s">
        <v>136</v>
      </c>
      <c r="G146" s="8" t="s">
        <v>144</v>
      </c>
      <c r="H146" s="15" t="n">
        <v>12375</v>
      </c>
      <c r="I146" s="15" t="n">
        <v>12375</v>
      </c>
      <c r="J146" s="16" t="n">
        <v>0.84</v>
      </c>
      <c r="K146" s="8" t="n">
        <v>10.7</v>
      </c>
      <c r="L146" s="8" t="n">
        <v>8</v>
      </c>
      <c r="M146" s="8" t="n">
        <v>0</v>
      </c>
      <c r="N146" s="8" t="s">
        <v>120</v>
      </c>
      <c r="O146" s="15" t="n">
        <f aca="false">H146*12</f>
        <v>148500</v>
      </c>
      <c r="P146" s="8" t="n">
        <f aca="false">MIN(100,ROUND(100*J146/Assumptions!$B$8,0))</f>
        <v>93</v>
      </c>
      <c r="Q146" s="8" t="n">
        <f aca="false">IF(L146="",Assumptions!$B$9,L146*10)</f>
        <v>80</v>
      </c>
      <c r="R146" s="8" t="n">
        <f aca="false">IF(M146&lt;=1,Assumptions!$B$12,IF(M146&lt;=3,Assumptions!$B$13,IF(M146&lt;=6,Assumptions!$B$14,Assumptions!$B$15)))</f>
        <v>100</v>
      </c>
      <c r="S146" s="8" t="n">
        <f aca="false">IF(N146="Completed On Time",Assumptions!$B$16,IF(N146="Completed Late",Assumptions!$B$17,Assumptions!$B$18))</f>
        <v>100</v>
      </c>
      <c r="T146" s="8" t="n">
        <f aca="false">IF(I146=0,Assumptions!$B$20,IF(H146&gt;I146,Assumptions!$B$19,IF(H146=I146,Assumptions!$B$20,Assumptions!$B$21)))</f>
        <v>70</v>
      </c>
      <c r="U146" s="8" t="n">
        <f aca="false">ROUND(P146*Assumptions!$B$2+Q146*Assumptions!$B$3+R146*Assumptions!$B$4+S146*Assumptions!$B$5+T146*Assumptions!$B$6,0)</f>
        <v>88</v>
      </c>
      <c r="V146" s="8" t="str">
        <f aca="false">IF(U146&gt;=Assumptions!$B$10,"Healthy",IF(U146&gt;=Assumptions!$B$11,"Needs Attention","High Risk"))</f>
        <v>Healthy</v>
      </c>
    </row>
    <row r="147" customFormat="false" ht="15" hidden="false" customHeight="false" outlineLevel="0" collapsed="false">
      <c r="A147" s="8" t="s">
        <v>435</v>
      </c>
      <c r="B147" s="8" t="s">
        <v>436</v>
      </c>
      <c r="C147" s="8" t="s">
        <v>55</v>
      </c>
      <c r="D147" s="8" t="s">
        <v>55</v>
      </c>
      <c r="E147" s="8" t="s">
        <v>117</v>
      </c>
      <c r="F147" s="8" t="s">
        <v>190</v>
      </c>
      <c r="G147" s="8" t="s">
        <v>129</v>
      </c>
      <c r="H147" s="15" t="n">
        <v>12285</v>
      </c>
      <c r="I147" s="15" t="n">
        <v>12285</v>
      </c>
      <c r="J147" s="16" t="n">
        <v>0.741</v>
      </c>
      <c r="K147" s="8" t="n">
        <v>9</v>
      </c>
      <c r="L147" s="8" t="n">
        <v>10</v>
      </c>
      <c r="M147" s="8" t="n">
        <v>2</v>
      </c>
      <c r="N147" s="8" t="s">
        <v>120</v>
      </c>
      <c r="O147" s="15" t="n">
        <f aca="false">H147*12</f>
        <v>147420</v>
      </c>
      <c r="P147" s="8" t="n">
        <f aca="false">MIN(100,ROUND(100*J147/Assumptions!$B$8,0))</f>
        <v>82</v>
      </c>
      <c r="Q147" s="8" t="n">
        <f aca="false">IF(L147="",Assumptions!$B$9,L147*10)</f>
        <v>100</v>
      </c>
      <c r="R147" s="8" t="n">
        <f aca="false">IF(M147&lt;=1,Assumptions!$B$12,IF(M147&lt;=3,Assumptions!$B$13,IF(M147&lt;=6,Assumptions!$B$14,Assumptions!$B$15)))</f>
        <v>75</v>
      </c>
      <c r="S147" s="8" t="n">
        <f aca="false">IF(N147="Completed On Time",Assumptions!$B$16,IF(N147="Completed Late",Assumptions!$B$17,Assumptions!$B$18))</f>
        <v>100</v>
      </c>
      <c r="T147" s="8" t="n">
        <f aca="false">IF(I147=0,Assumptions!$B$20,IF(H147&gt;I147,Assumptions!$B$19,IF(H147=I147,Assumptions!$B$20,Assumptions!$B$21)))</f>
        <v>70</v>
      </c>
      <c r="U147" s="8" t="n">
        <f aca="false">ROUND(P147*Assumptions!$B$2+Q147*Assumptions!$B$3+R147*Assumptions!$B$4+S147*Assumptions!$B$5+T147*Assumptions!$B$6,0)</f>
        <v>84</v>
      </c>
      <c r="V147" s="8" t="str">
        <f aca="false">IF(U147&gt;=Assumptions!$B$10,"Healthy",IF(U147&gt;=Assumptions!$B$11,"Needs Attention","High Risk"))</f>
        <v>Healthy</v>
      </c>
    </row>
    <row r="148" customFormat="false" ht="15" hidden="false" customHeight="false" outlineLevel="0" collapsed="false">
      <c r="A148" s="8" t="s">
        <v>437</v>
      </c>
      <c r="B148" s="8" t="s">
        <v>438</v>
      </c>
      <c r="C148" s="8" t="s">
        <v>55</v>
      </c>
      <c r="D148" s="8" t="s">
        <v>326</v>
      </c>
      <c r="E148" s="8" t="s">
        <v>123</v>
      </c>
      <c r="F148" s="8" t="s">
        <v>124</v>
      </c>
      <c r="G148" s="8" t="s">
        <v>185</v>
      </c>
      <c r="H148" s="15" t="n">
        <v>12175</v>
      </c>
      <c r="I148" s="15" t="n">
        <v>12175</v>
      </c>
      <c r="J148" s="16" t="n">
        <v>0.817</v>
      </c>
      <c r="K148" s="8" t="n">
        <v>10</v>
      </c>
      <c r="L148" s="8" t="n">
        <v>8</v>
      </c>
      <c r="M148" s="8" t="n">
        <v>2</v>
      </c>
      <c r="N148" s="8" t="s">
        <v>148</v>
      </c>
      <c r="O148" s="15" t="n">
        <f aca="false">H148*12</f>
        <v>146100</v>
      </c>
      <c r="P148" s="8" t="n">
        <f aca="false">MIN(100,ROUND(100*J148/Assumptions!$B$8,0))</f>
        <v>91</v>
      </c>
      <c r="Q148" s="8" t="n">
        <f aca="false">IF(L148="",Assumptions!$B$9,L148*10)</f>
        <v>80</v>
      </c>
      <c r="R148" s="8" t="n">
        <f aca="false">IF(M148&lt;=1,Assumptions!$B$12,IF(M148&lt;=3,Assumptions!$B$13,IF(M148&lt;=6,Assumptions!$B$14,Assumptions!$B$15)))</f>
        <v>75</v>
      </c>
      <c r="S148" s="8" t="n">
        <f aca="false">IF(N148="Completed On Time",Assumptions!$B$16,IF(N148="Completed Late",Assumptions!$B$17,Assumptions!$B$18))</f>
        <v>60</v>
      </c>
      <c r="T148" s="8" t="n">
        <f aca="false">IF(I148=0,Assumptions!$B$20,IF(H148&gt;I148,Assumptions!$B$19,IF(H148=I148,Assumptions!$B$20,Assumptions!$B$21)))</f>
        <v>70</v>
      </c>
      <c r="U148" s="8" t="n">
        <f aca="false">ROUND(P148*Assumptions!$B$2+Q148*Assumptions!$B$3+R148*Assumptions!$B$4+S148*Assumptions!$B$5+T148*Assumptions!$B$6,0)</f>
        <v>79</v>
      </c>
      <c r="V148" s="8" t="str">
        <f aca="false">IF(U148&gt;=Assumptions!$B$10,"Healthy",IF(U148&gt;=Assumptions!$B$11,"Needs Attention","High Risk"))</f>
        <v>Needs Attention</v>
      </c>
    </row>
    <row r="149" customFormat="false" ht="15" hidden="false" customHeight="false" outlineLevel="0" collapsed="false">
      <c r="A149" s="8" t="s">
        <v>439</v>
      </c>
      <c r="B149" s="8" t="s">
        <v>440</v>
      </c>
      <c r="C149" s="8" t="s">
        <v>55</v>
      </c>
      <c r="D149" s="8" t="s">
        <v>326</v>
      </c>
      <c r="E149" s="8" t="s">
        <v>123</v>
      </c>
      <c r="F149" s="8" t="s">
        <v>143</v>
      </c>
      <c r="G149" s="8" t="s">
        <v>159</v>
      </c>
      <c r="H149" s="15" t="n">
        <v>12150</v>
      </c>
      <c r="I149" s="15" t="n">
        <v>12150</v>
      </c>
      <c r="J149" s="16" t="n">
        <v>0.683</v>
      </c>
      <c r="K149" s="8" t="n">
        <v>8</v>
      </c>
      <c r="L149" s="8" t="n">
        <v>7</v>
      </c>
      <c r="M149" s="8" t="n">
        <v>12</v>
      </c>
      <c r="N149" s="8" t="s">
        <v>120</v>
      </c>
      <c r="O149" s="15" t="n">
        <f aca="false">H149*12</f>
        <v>145800</v>
      </c>
      <c r="P149" s="8" t="n">
        <f aca="false">MIN(100,ROUND(100*J149/Assumptions!$B$8,0))</f>
        <v>76</v>
      </c>
      <c r="Q149" s="8" t="n">
        <f aca="false">IF(L149="",Assumptions!$B$9,L149*10)</f>
        <v>70</v>
      </c>
      <c r="R149" s="8" t="n">
        <f aca="false">IF(M149&lt;=1,Assumptions!$B$12,IF(M149&lt;=3,Assumptions!$B$13,IF(M149&lt;=6,Assumptions!$B$14,Assumptions!$B$15)))</f>
        <v>20</v>
      </c>
      <c r="S149" s="8" t="n">
        <f aca="false">IF(N149="Completed On Time",Assumptions!$B$16,IF(N149="Completed Late",Assumptions!$B$17,Assumptions!$B$18))</f>
        <v>100</v>
      </c>
      <c r="T149" s="8" t="n">
        <f aca="false">IF(I149=0,Assumptions!$B$20,IF(H149&gt;I149,Assumptions!$B$19,IF(H149=I149,Assumptions!$B$20,Assumptions!$B$21)))</f>
        <v>70</v>
      </c>
      <c r="U149" s="8" t="n">
        <f aca="false">ROUND(P149*Assumptions!$B$2+Q149*Assumptions!$B$3+R149*Assumptions!$B$4+S149*Assumptions!$B$5+T149*Assumptions!$B$6,0)</f>
        <v>68</v>
      </c>
      <c r="V149" s="8" t="str">
        <f aca="false">IF(U149&gt;=Assumptions!$B$10,"Healthy",IF(U149&gt;=Assumptions!$B$11,"Needs Attention","High Risk"))</f>
        <v>Needs Attention</v>
      </c>
    </row>
    <row r="150" customFormat="false" ht="15" hidden="false" customHeight="false" outlineLevel="0" collapsed="false">
      <c r="A150" s="8" t="s">
        <v>441</v>
      </c>
      <c r="B150" s="8" t="s">
        <v>442</v>
      </c>
      <c r="C150" s="8" t="s">
        <v>55</v>
      </c>
      <c r="D150" s="8" t="s">
        <v>326</v>
      </c>
      <c r="E150" s="8" t="s">
        <v>132</v>
      </c>
      <c r="F150" s="8" t="s">
        <v>166</v>
      </c>
      <c r="G150" s="8" t="s">
        <v>137</v>
      </c>
      <c r="H150" s="15" t="n">
        <v>12150</v>
      </c>
      <c r="I150" s="15" t="n">
        <v>12150</v>
      </c>
      <c r="J150" s="16" t="n">
        <v>0.739</v>
      </c>
      <c r="K150" s="8" t="n">
        <v>8.7</v>
      </c>
      <c r="L150" s="8" t="n">
        <v>9</v>
      </c>
      <c r="M150" s="8" t="n">
        <v>8</v>
      </c>
      <c r="N150" s="8" t="s">
        <v>120</v>
      </c>
      <c r="O150" s="15" t="n">
        <f aca="false">H150*12</f>
        <v>145800</v>
      </c>
      <c r="P150" s="8" t="n">
        <f aca="false">MIN(100,ROUND(100*J150/Assumptions!$B$8,0))</f>
        <v>82</v>
      </c>
      <c r="Q150" s="8" t="n">
        <f aca="false">IF(L150="",Assumptions!$B$9,L150*10)</f>
        <v>90</v>
      </c>
      <c r="R150" s="8" t="n">
        <f aca="false">IF(M150&lt;=1,Assumptions!$B$12,IF(M150&lt;=3,Assumptions!$B$13,IF(M150&lt;=6,Assumptions!$B$14,Assumptions!$B$15)))</f>
        <v>20</v>
      </c>
      <c r="S150" s="8" t="n">
        <f aca="false">IF(N150="Completed On Time",Assumptions!$B$16,IF(N150="Completed Late",Assumptions!$B$17,Assumptions!$B$18))</f>
        <v>100</v>
      </c>
      <c r="T150" s="8" t="n">
        <f aca="false">IF(I150=0,Assumptions!$B$20,IF(H150&gt;I150,Assumptions!$B$19,IF(H150=I150,Assumptions!$B$20,Assumptions!$B$21)))</f>
        <v>70</v>
      </c>
      <c r="U150" s="8" t="n">
        <f aca="false">ROUND(P150*Assumptions!$B$2+Q150*Assumptions!$B$3+R150*Assumptions!$B$4+S150*Assumptions!$B$5+T150*Assumptions!$B$6,0)</f>
        <v>74</v>
      </c>
      <c r="V150" s="8" t="str">
        <f aca="false">IF(U150&gt;=Assumptions!$B$10,"Healthy",IF(U150&gt;=Assumptions!$B$11,"Needs Attention","High Risk"))</f>
        <v>Needs Attention</v>
      </c>
    </row>
    <row r="151" customFormat="false" ht="15" hidden="false" customHeight="false" outlineLevel="0" collapsed="false">
      <c r="A151" s="8" t="s">
        <v>443</v>
      </c>
      <c r="B151" s="8" t="s">
        <v>444</v>
      </c>
      <c r="C151" s="8" t="s">
        <v>55</v>
      </c>
      <c r="D151" s="8" t="s">
        <v>326</v>
      </c>
      <c r="E151" s="8" t="s">
        <v>123</v>
      </c>
      <c r="F151" s="8" t="s">
        <v>154</v>
      </c>
      <c r="G151" s="8" t="s">
        <v>204</v>
      </c>
      <c r="H151" s="15" t="n">
        <v>12075</v>
      </c>
      <c r="I151" s="15" t="n">
        <v>12075</v>
      </c>
      <c r="J151" s="16" t="n">
        <v>0.806</v>
      </c>
      <c r="K151" s="8" t="n">
        <v>9</v>
      </c>
      <c r="L151" s="8" t="n">
        <v>9</v>
      </c>
      <c r="M151" s="8" t="n">
        <v>4</v>
      </c>
      <c r="N151" s="8" t="s">
        <v>120</v>
      </c>
      <c r="O151" s="15" t="n">
        <f aca="false">H151*12</f>
        <v>144900</v>
      </c>
      <c r="P151" s="8" t="n">
        <f aca="false">MIN(100,ROUND(100*J151/Assumptions!$B$8,0))</f>
        <v>90</v>
      </c>
      <c r="Q151" s="8" t="n">
        <f aca="false">IF(L151="",Assumptions!$B$9,L151*10)</f>
        <v>90</v>
      </c>
      <c r="R151" s="8" t="n">
        <f aca="false">IF(M151&lt;=1,Assumptions!$B$12,IF(M151&lt;=3,Assumptions!$B$13,IF(M151&lt;=6,Assumptions!$B$14,Assumptions!$B$15)))</f>
        <v>50</v>
      </c>
      <c r="S151" s="8" t="n">
        <f aca="false">IF(N151="Completed On Time",Assumptions!$B$16,IF(N151="Completed Late",Assumptions!$B$17,Assumptions!$B$18))</f>
        <v>100</v>
      </c>
      <c r="T151" s="8" t="n">
        <f aca="false">IF(I151=0,Assumptions!$B$20,IF(H151&gt;I151,Assumptions!$B$19,IF(H151=I151,Assumptions!$B$20,Assumptions!$B$21)))</f>
        <v>70</v>
      </c>
      <c r="U151" s="8" t="n">
        <f aca="false">ROUND(P151*Assumptions!$B$2+Q151*Assumptions!$B$3+R151*Assumptions!$B$4+S151*Assumptions!$B$5+T151*Assumptions!$B$6,0)</f>
        <v>81</v>
      </c>
      <c r="V151" s="8" t="str">
        <f aca="false">IF(U151&gt;=Assumptions!$B$10,"Healthy",IF(U151&gt;=Assumptions!$B$11,"Needs Attention","High Risk"))</f>
        <v>Healthy</v>
      </c>
    </row>
    <row r="152" customFormat="false" ht="15" hidden="false" customHeight="false" outlineLevel="0" collapsed="false">
      <c r="A152" s="8" t="s">
        <v>445</v>
      </c>
      <c r="B152" s="8" t="s">
        <v>446</v>
      </c>
      <c r="C152" s="8" t="s">
        <v>55</v>
      </c>
      <c r="D152" s="8" t="s">
        <v>326</v>
      </c>
      <c r="E152" s="8" t="s">
        <v>117</v>
      </c>
      <c r="F152" s="8" t="s">
        <v>118</v>
      </c>
      <c r="G152" s="8" t="s">
        <v>185</v>
      </c>
      <c r="H152" s="15" t="n">
        <v>11975</v>
      </c>
      <c r="I152" s="15" t="n">
        <v>11975</v>
      </c>
      <c r="J152" s="16" t="n">
        <v>0.961</v>
      </c>
      <c r="K152" s="8" t="n">
        <v>11.7</v>
      </c>
      <c r="L152" s="8" t="n">
        <v>10</v>
      </c>
      <c r="M152" s="8" t="n">
        <v>4</v>
      </c>
      <c r="N152" s="8" t="s">
        <v>120</v>
      </c>
      <c r="O152" s="15" t="n">
        <f aca="false">H152*12</f>
        <v>143700</v>
      </c>
      <c r="P152" s="8" t="n">
        <f aca="false">MIN(100,ROUND(100*J152/Assumptions!$B$8,0))</f>
        <v>100</v>
      </c>
      <c r="Q152" s="8" t="n">
        <f aca="false">IF(L152="",Assumptions!$B$9,L152*10)</f>
        <v>100</v>
      </c>
      <c r="R152" s="8" t="n">
        <f aca="false">IF(M152&lt;=1,Assumptions!$B$12,IF(M152&lt;=3,Assumptions!$B$13,IF(M152&lt;=6,Assumptions!$B$14,Assumptions!$B$15)))</f>
        <v>50</v>
      </c>
      <c r="S152" s="8" t="n">
        <f aca="false">IF(N152="Completed On Time",Assumptions!$B$16,IF(N152="Completed Late",Assumptions!$B$17,Assumptions!$B$18))</f>
        <v>100</v>
      </c>
      <c r="T152" s="8" t="n">
        <f aca="false">IF(I152=0,Assumptions!$B$20,IF(H152&gt;I152,Assumptions!$B$19,IF(H152=I152,Assumptions!$B$20,Assumptions!$B$21)))</f>
        <v>70</v>
      </c>
      <c r="U152" s="8" t="n">
        <f aca="false">ROUND(P152*Assumptions!$B$2+Q152*Assumptions!$B$3+R152*Assumptions!$B$4+S152*Assumptions!$B$5+T152*Assumptions!$B$6,0)</f>
        <v>87</v>
      </c>
      <c r="V152" s="8" t="str">
        <f aca="false">IF(U152&gt;=Assumptions!$B$10,"Healthy",IF(U152&gt;=Assumptions!$B$11,"Needs Attention","High Risk"))</f>
        <v>Healthy</v>
      </c>
    </row>
    <row r="153" customFormat="false" ht="15" hidden="false" customHeight="false" outlineLevel="0" collapsed="false">
      <c r="A153" s="8" t="s">
        <v>447</v>
      </c>
      <c r="B153" s="8" t="s">
        <v>448</v>
      </c>
      <c r="C153" s="8" t="s">
        <v>55</v>
      </c>
      <c r="D153" s="8" t="s">
        <v>55</v>
      </c>
      <c r="E153" s="8" t="s">
        <v>132</v>
      </c>
      <c r="F153" s="8" t="s">
        <v>118</v>
      </c>
      <c r="G153" s="8" t="s">
        <v>177</v>
      </c>
      <c r="H153" s="15" t="n">
        <v>11970</v>
      </c>
      <c r="I153" s="15" t="n">
        <v>11970</v>
      </c>
      <c r="J153" s="16" t="n">
        <v>0.838</v>
      </c>
      <c r="K153" s="8" t="n">
        <v>9.3</v>
      </c>
      <c r="L153" s="8" t="n">
        <v>10</v>
      </c>
      <c r="M153" s="8" t="n">
        <v>1</v>
      </c>
      <c r="N153" s="8" t="s">
        <v>120</v>
      </c>
      <c r="O153" s="15" t="n">
        <f aca="false">H153*12</f>
        <v>143640</v>
      </c>
      <c r="P153" s="8" t="n">
        <f aca="false">MIN(100,ROUND(100*J153/Assumptions!$B$8,0))</f>
        <v>93</v>
      </c>
      <c r="Q153" s="8" t="n">
        <f aca="false">IF(L153="",Assumptions!$B$9,L153*10)</f>
        <v>100</v>
      </c>
      <c r="R153" s="8" t="n">
        <f aca="false">IF(M153&lt;=1,Assumptions!$B$12,IF(M153&lt;=3,Assumptions!$B$13,IF(M153&lt;=6,Assumptions!$B$14,Assumptions!$B$15)))</f>
        <v>100</v>
      </c>
      <c r="S153" s="8" t="n">
        <f aca="false">IF(N153="Completed On Time",Assumptions!$B$16,IF(N153="Completed Late",Assumptions!$B$17,Assumptions!$B$18))</f>
        <v>100</v>
      </c>
      <c r="T153" s="8" t="n">
        <f aca="false">IF(I153=0,Assumptions!$B$20,IF(H153&gt;I153,Assumptions!$B$19,IF(H153=I153,Assumptions!$B$20,Assumptions!$B$21)))</f>
        <v>70</v>
      </c>
      <c r="U153" s="8" t="n">
        <f aca="false">ROUND(P153*Assumptions!$B$2+Q153*Assumptions!$B$3+R153*Assumptions!$B$4+S153*Assumptions!$B$5+T153*Assumptions!$B$6,0)</f>
        <v>92</v>
      </c>
      <c r="V153" s="8" t="str">
        <f aca="false">IF(U153&gt;=Assumptions!$B$10,"Healthy",IF(U153&gt;=Assumptions!$B$11,"Needs Attention","High Risk"))</f>
        <v>Healthy</v>
      </c>
    </row>
    <row r="154" customFormat="false" ht="15" hidden="false" customHeight="false" outlineLevel="0" collapsed="false">
      <c r="A154" s="8" t="s">
        <v>449</v>
      </c>
      <c r="B154" s="8" t="s">
        <v>450</v>
      </c>
      <c r="C154" s="8" t="s">
        <v>55</v>
      </c>
      <c r="D154" s="8" t="s">
        <v>55</v>
      </c>
      <c r="E154" s="8" t="s">
        <v>123</v>
      </c>
      <c r="F154" s="8" t="s">
        <v>136</v>
      </c>
      <c r="G154" s="8" t="s">
        <v>140</v>
      </c>
      <c r="H154" s="15" t="n">
        <v>11835</v>
      </c>
      <c r="I154" s="15" t="n">
        <v>11835</v>
      </c>
      <c r="J154" s="16" t="n">
        <v>0.726</v>
      </c>
      <c r="K154" s="8" t="n">
        <v>11.3</v>
      </c>
      <c r="L154" s="8" t="n">
        <v>7</v>
      </c>
      <c r="M154" s="8" t="n">
        <v>3</v>
      </c>
      <c r="N154" s="8" t="s">
        <v>120</v>
      </c>
      <c r="O154" s="15" t="n">
        <f aca="false">H154*12</f>
        <v>142020</v>
      </c>
      <c r="P154" s="8" t="n">
        <f aca="false">MIN(100,ROUND(100*J154/Assumptions!$B$8,0))</f>
        <v>81</v>
      </c>
      <c r="Q154" s="8" t="n">
        <f aca="false">IF(L154="",Assumptions!$B$9,L154*10)</f>
        <v>70</v>
      </c>
      <c r="R154" s="8" t="n">
        <f aca="false">IF(M154&lt;=1,Assumptions!$B$12,IF(M154&lt;=3,Assumptions!$B$13,IF(M154&lt;=6,Assumptions!$B$14,Assumptions!$B$15)))</f>
        <v>75</v>
      </c>
      <c r="S154" s="8" t="n">
        <f aca="false">IF(N154="Completed On Time",Assumptions!$B$16,IF(N154="Completed Late",Assumptions!$B$17,Assumptions!$B$18))</f>
        <v>100</v>
      </c>
      <c r="T154" s="8" t="n">
        <f aca="false">IF(I154=0,Assumptions!$B$20,IF(H154&gt;I154,Assumptions!$B$19,IF(H154=I154,Assumptions!$B$20,Assumptions!$B$21)))</f>
        <v>70</v>
      </c>
      <c r="U154" s="8" t="n">
        <f aca="false">ROUND(P154*Assumptions!$B$2+Q154*Assumptions!$B$3+R154*Assumptions!$B$4+S154*Assumptions!$B$5+T154*Assumptions!$B$6,0)</f>
        <v>78</v>
      </c>
      <c r="V154" s="8" t="str">
        <f aca="false">IF(U154&gt;=Assumptions!$B$10,"Healthy",IF(U154&gt;=Assumptions!$B$11,"Needs Attention","High Risk"))</f>
        <v>Needs Attention</v>
      </c>
    </row>
    <row r="155" customFormat="false" ht="15" hidden="false" customHeight="false" outlineLevel="0" collapsed="false">
      <c r="A155" s="8" t="s">
        <v>451</v>
      </c>
      <c r="B155" s="8" t="s">
        <v>452</v>
      </c>
      <c r="C155" s="8" t="s">
        <v>55</v>
      </c>
      <c r="D155" s="8" t="s">
        <v>55</v>
      </c>
      <c r="E155" s="8" t="s">
        <v>117</v>
      </c>
      <c r="F155" s="8" t="s">
        <v>118</v>
      </c>
      <c r="G155" s="8" t="s">
        <v>119</v>
      </c>
      <c r="H155" s="15" t="n">
        <v>11835</v>
      </c>
      <c r="I155" s="15" t="n">
        <v>11835</v>
      </c>
      <c r="J155" s="16" t="n">
        <v>0.673</v>
      </c>
      <c r="K155" s="8" t="n">
        <v>9</v>
      </c>
      <c r="L155" s="8" t="n">
        <v>9</v>
      </c>
      <c r="M155" s="8" t="n">
        <v>3</v>
      </c>
      <c r="N155" s="8" t="s">
        <v>120</v>
      </c>
      <c r="O155" s="15" t="n">
        <f aca="false">H155*12</f>
        <v>142020</v>
      </c>
      <c r="P155" s="8" t="n">
        <f aca="false">MIN(100,ROUND(100*J155/Assumptions!$B$8,0))</f>
        <v>75</v>
      </c>
      <c r="Q155" s="8" t="n">
        <f aca="false">IF(L155="",Assumptions!$B$9,L155*10)</f>
        <v>90</v>
      </c>
      <c r="R155" s="8" t="n">
        <f aca="false">IF(M155&lt;=1,Assumptions!$B$12,IF(M155&lt;=3,Assumptions!$B$13,IF(M155&lt;=6,Assumptions!$B$14,Assumptions!$B$15)))</f>
        <v>75</v>
      </c>
      <c r="S155" s="8" t="n">
        <f aca="false">IF(N155="Completed On Time",Assumptions!$B$16,IF(N155="Completed Late",Assumptions!$B$17,Assumptions!$B$18))</f>
        <v>100</v>
      </c>
      <c r="T155" s="8" t="n">
        <f aca="false">IF(I155=0,Assumptions!$B$20,IF(H155&gt;I155,Assumptions!$B$19,IF(H155=I155,Assumptions!$B$20,Assumptions!$B$21)))</f>
        <v>70</v>
      </c>
      <c r="U155" s="8" t="n">
        <f aca="false">ROUND(P155*Assumptions!$B$2+Q155*Assumptions!$B$3+R155*Assumptions!$B$4+S155*Assumptions!$B$5+T155*Assumptions!$B$6,0)</f>
        <v>80</v>
      </c>
      <c r="V155" s="8" t="str">
        <f aca="false">IF(U155&gt;=Assumptions!$B$10,"Healthy",IF(U155&gt;=Assumptions!$B$11,"Needs Attention","High Risk"))</f>
        <v>Healthy</v>
      </c>
    </row>
    <row r="156" customFormat="false" ht="15" hidden="false" customHeight="false" outlineLevel="0" collapsed="false">
      <c r="A156" s="8" t="s">
        <v>453</v>
      </c>
      <c r="B156" s="8" t="s">
        <v>454</v>
      </c>
      <c r="C156" s="8" t="s">
        <v>53</v>
      </c>
      <c r="D156" s="8" t="s">
        <v>55</v>
      </c>
      <c r="E156" s="8" t="s">
        <v>123</v>
      </c>
      <c r="F156" s="8" t="s">
        <v>143</v>
      </c>
      <c r="G156" s="8" t="s">
        <v>119</v>
      </c>
      <c r="H156" s="15" t="n">
        <v>11790</v>
      </c>
      <c r="I156" s="15" t="n">
        <v>11790</v>
      </c>
      <c r="J156" s="16" t="n">
        <v>0.676</v>
      </c>
      <c r="K156" s="8" t="n">
        <v>6.7</v>
      </c>
      <c r="L156" s="8" t="n">
        <v>9</v>
      </c>
      <c r="M156" s="8" t="n">
        <v>4</v>
      </c>
      <c r="N156" s="8" t="s">
        <v>120</v>
      </c>
      <c r="O156" s="15" t="n">
        <f aca="false">H156*12</f>
        <v>141480</v>
      </c>
      <c r="P156" s="8" t="n">
        <f aca="false">MIN(100,ROUND(100*J156/Assumptions!$B$8,0))</f>
        <v>75</v>
      </c>
      <c r="Q156" s="8" t="n">
        <f aca="false">IF(L156="",Assumptions!$B$9,L156*10)</f>
        <v>90</v>
      </c>
      <c r="R156" s="8" t="n">
        <f aca="false">IF(M156&lt;=1,Assumptions!$B$12,IF(M156&lt;=3,Assumptions!$B$13,IF(M156&lt;=6,Assumptions!$B$14,Assumptions!$B$15)))</f>
        <v>50</v>
      </c>
      <c r="S156" s="8" t="n">
        <f aca="false">IF(N156="Completed On Time",Assumptions!$B$16,IF(N156="Completed Late",Assumptions!$B$17,Assumptions!$B$18))</f>
        <v>100</v>
      </c>
      <c r="T156" s="8" t="n">
        <f aca="false">IF(I156=0,Assumptions!$B$20,IF(H156&gt;I156,Assumptions!$B$19,IF(H156=I156,Assumptions!$B$20,Assumptions!$B$21)))</f>
        <v>70</v>
      </c>
      <c r="U156" s="8" t="n">
        <f aca="false">ROUND(P156*Assumptions!$B$2+Q156*Assumptions!$B$3+R156*Assumptions!$B$4+S156*Assumptions!$B$5+T156*Assumptions!$B$6,0)</f>
        <v>76</v>
      </c>
      <c r="V156" s="8" t="str">
        <f aca="false">IF(U156&gt;=Assumptions!$B$10,"Healthy",IF(U156&gt;=Assumptions!$B$11,"Needs Attention","High Risk"))</f>
        <v>Needs Attention</v>
      </c>
    </row>
    <row r="157" customFormat="false" ht="15" hidden="false" customHeight="false" outlineLevel="0" collapsed="false">
      <c r="A157" s="8" t="s">
        <v>455</v>
      </c>
      <c r="B157" s="8" t="s">
        <v>456</v>
      </c>
      <c r="C157" s="8" t="s">
        <v>55</v>
      </c>
      <c r="D157" s="8" t="s">
        <v>326</v>
      </c>
      <c r="E157" s="8" t="s">
        <v>117</v>
      </c>
      <c r="F157" s="8" t="s">
        <v>154</v>
      </c>
      <c r="G157" s="8" t="s">
        <v>159</v>
      </c>
      <c r="H157" s="15" t="n">
        <v>11625</v>
      </c>
      <c r="I157" s="15" t="n">
        <v>11625</v>
      </c>
      <c r="J157" s="16" t="n">
        <v>0.648</v>
      </c>
      <c r="K157" s="8" t="n">
        <v>7.3</v>
      </c>
      <c r="L157" s="8" t="n">
        <v>10</v>
      </c>
      <c r="M157" s="8" t="n">
        <v>9</v>
      </c>
      <c r="N157" s="8" t="s">
        <v>120</v>
      </c>
      <c r="O157" s="15" t="n">
        <f aca="false">H157*12</f>
        <v>139500</v>
      </c>
      <c r="P157" s="8" t="n">
        <f aca="false">MIN(100,ROUND(100*J157/Assumptions!$B$8,0))</f>
        <v>72</v>
      </c>
      <c r="Q157" s="8" t="n">
        <f aca="false">IF(L157="",Assumptions!$B$9,L157*10)</f>
        <v>100</v>
      </c>
      <c r="R157" s="8" t="n">
        <f aca="false">IF(M157&lt;=1,Assumptions!$B$12,IF(M157&lt;=3,Assumptions!$B$13,IF(M157&lt;=6,Assumptions!$B$14,Assumptions!$B$15)))</f>
        <v>20</v>
      </c>
      <c r="S157" s="8" t="n">
        <f aca="false">IF(N157="Completed On Time",Assumptions!$B$16,IF(N157="Completed Late",Assumptions!$B$17,Assumptions!$B$18))</f>
        <v>100</v>
      </c>
      <c r="T157" s="8" t="n">
        <f aca="false">IF(I157=0,Assumptions!$B$20,IF(H157&gt;I157,Assumptions!$B$19,IF(H157=I157,Assumptions!$B$20,Assumptions!$B$21)))</f>
        <v>70</v>
      </c>
      <c r="U157" s="8" t="n">
        <f aca="false">ROUND(P157*Assumptions!$B$2+Q157*Assumptions!$B$3+R157*Assumptions!$B$4+S157*Assumptions!$B$5+T157*Assumptions!$B$6,0)</f>
        <v>72</v>
      </c>
      <c r="V157" s="8" t="str">
        <f aca="false">IF(U157&gt;=Assumptions!$B$10,"Healthy",IF(U157&gt;=Assumptions!$B$11,"Needs Attention","High Risk"))</f>
        <v>Needs Attention</v>
      </c>
    </row>
    <row r="158" customFormat="false" ht="15" hidden="false" customHeight="false" outlineLevel="0" collapsed="false">
      <c r="A158" s="8" t="s">
        <v>457</v>
      </c>
      <c r="B158" s="8" t="s">
        <v>458</v>
      </c>
      <c r="C158" s="8" t="s">
        <v>55</v>
      </c>
      <c r="D158" s="8" t="s">
        <v>55</v>
      </c>
      <c r="E158" s="8" t="s">
        <v>123</v>
      </c>
      <c r="F158" s="8" t="s">
        <v>190</v>
      </c>
      <c r="G158" s="8" t="s">
        <v>129</v>
      </c>
      <c r="H158" s="15" t="n">
        <v>11610</v>
      </c>
      <c r="I158" s="15" t="n">
        <v>11610</v>
      </c>
      <c r="J158" s="16" t="n">
        <v>0.543</v>
      </c>
      <c r="K158" s="8" t="n">
        <v>5.3</v>
      </c>
      <c r="L158" s="8" t="n">
        <v>7</v>
      </c>
      <c r="M158" s="8" t="n">
        <v>5</v>
      </c>
      <c r="N158" s="8" t="s">
        <v>120</v>
      </c>
      <c r="O158" s="15" t="n">
        <f aca="false">H158*12</f>
        <v>139320</v>
      </c>
      <c r="P158" s="8" t="n">
        <f aca="false">MIN(100,ROUND(100*J158/Assumptions!$B$8,0))</f>
        <v>60</v>
      </c>
      <c r="Q158" s="8" t="n">
        <f aca="false">IF(L158="",Assumptions!$B$9,L158*10)</f>
        <v>70</v>
      </c>
      <c r="R158" s="8" t="n">
        <f aca="false">IF(M158&lt;=1,Assumptions!$B$12,IF(M158&lt;=3,Assumptions!$B$13,IF(M158&lt;=6,Assumptions!$B$14,Assumptions!$B$15)))</f>
        <v>50</v>
      </c>
      <c r="S158" s="8" t="n">
        <f aca="false">IF(N158="Completed On Time",Assumptions!$B$16,IF(N158="Completed Late",Assumptions!$B$17,Assumptions!$B$18))</f>
        <v>100</v>
      </c>
      <c r="T158" s="8" t="n">
        <f aca="false">IF(I158=0,Assumptions!$B$20,IF(H158&gt;I158,Assumptions!$B$19,IF(H158=I158,Assumptions!$B$20,Assumptions!$B$21)))</f>
        <v>70</v>
      </c>
      <c r="U158" s="8" t="n">
        <f aca="false">ROUND(P158*Assumptions!$B$2+Q158*Assumptions!$B$3+R158*Assumptions!$B$4+S158*Assumptions!$B$5+T158*Assumptions!$B$6,0)</f>
        <v>67</v>
      </c>
      <c r="V158" s="8" t="str">
        <f aca="false">IF(U158&gt;=Assumptions!$B$10,"Healthy",IF(U158&gt;=Assumptions!$B$11,"Needs Attention","High Risk"))</f>
        <v>Needs Attention</v>
      </c>
    </row>
    <row r="159" customFormat="false" ht="15" hidden="false" customHeight="false" outlineLevel="0" collapsed="false">
      <c r="A159" s="8" t="s">
        <v>459</v>
      </c>
      <c r="B159" s="8" t="s">
        <v>460</v>
      </c>
      <c r="C159" s="8" t="s">
        <v>55</v>
      </c>
      <c r="D159" s="8" t="s">
        <v>55</v>
      </c>
      <c r="E159" s="8" t="s">
        <v>132</v>
      </c>
      <c r="F159" s="8" t="s">
        <v>133</v>
      </c>
      <c r="G159" s="8" t="s">
        <v>144</v>
      </c>
      <c r="H159" s="15" t="n">
        <v>11565</v>
      </c>
      <c r="I159" s="15" t="n">
        <v>11565</v>
      </c>
      <c r="J159" s="16" t="n">
        <v>0.94</v>
      </c>
      <c r="K159" s="8" t="n">
        <v>12</v>
      </c>
      <c r="L159" s="8" t="n">
        <v>10</v>
      </c>
      <c r="M159" s="8" t="n">
        <v>3</v>
      </c>
      <c r="N159" s="8" t="s">
        <v>120</v>
      </c>
      <c r="O159" s="15" t="n">
        <f aca="false">H159*12</f>
        <v>138780</v>
      </c>
      <c r="P159" s="8" t="n">
        <f aca="false">MIN(100,ROUND(100*J159/Assumptions!$B$8,0))</f>
        <v>100</v>
      </c>
      <c r="Q159" s="8" t="n">
        <f aca="false">IF(L159="",Assumptions!$B$9,L159*10)</f>
        <v>100</v>
      </c>
      <c r="R159" s="8" t="n">
        <f aca="false">IF(M159&lt;=1,Assumptions!$B$12,IF(M159&lt;=3,Assumptions!$B$13,IF(M159&lt;=6,Assumptions!$B$14,Assumptions!$B$15)))</f>
        <v>75</v>
      </c>
      <c r="S159" s="8" t="n">
        <f aca="false">IF(N159="Completed On Time",Assumptions!$B$16,IF(N159="Completed Late",Assumptions!$B$17,Assumptions!$B$18))</f>
        <v>100</v>
      </c>
      <c r="T159" s="8" t="n">
        <f aca="false">IF(I159=0,Assumptions!$B$20,IF(H159&gt;I159,Assumptions!$B$19,IF(H159=I159,Assumptions!$B$20,Assumptions!$B$21)))</f>
        <v>70</v>
      </c>
      <c r="U159" s="8" t="n">
        <f aca="false">ROUND(P159*Assumptions!$B$2+Q159*Assumptions!$B$3+R159*Assumptions!$B$4+S159*Assumptions!$B$5+T159*Assumptions!$B$6,0)</f>
        <v>90</v>
      </c>
      <c r="V159" s="8" t="str">
        <f aca="false">IF(U159&gt;=Assumptions!$B$10,"Healthy",IF(U159&gt;=Assumptions!$B$11,"Needs Attention","High Risk"))</f>
        <v>Healthy</v>
      </c>
    </row>
    <row r="160" customFormat="false" ht="15" hidden="false" customHeight="false" outlineLevel="0" collapsed="false">
      <c r="A160" s="8" t="s">
        <v>461</v>
      </c>
      <c r="B160" s="8" t="s">
        <v>462</v>
      </c>
      <c r="C160" s="8" t="s">
        <v>55</v>
      </c>
      <c r="D160" s="8" t="s">
        <v>55</v>
      </c>
      <c r="E160" s="8" t="s">
        <v>123</v>
      </c>
      <c r="F160" s="8" t="s">
        <v>118</v>
      </c>
      <c r="G160" s="8" t="s">
        <v>159</v>
      </c>
      <c r="H160" s="15" t="n">
        <v>11565</v>
      </c>
      <c r="I160" s="15" t="n">
        <v>11565</v>
      </c>
      <c r="J160" s="16" t="n">
        <v>0.803</v>
      </c>
      <c r="K160" s="8" t="n">
        <v>9.7</v>
      </c>
      <c r="L160" s="8" t="n">
        <v>9</v>
      </c>
      <c r="M160" s="8" t="n">
        <v>4</v>
      </c>
      <c r="N160" s="8" t="s">
        <v>120</v>
      </c>
      <c r="O160" s="15" t="n">
        <f aca="false">H160*12</f>
        <v>138780</v>
      </c>
      <c r="P160" s="8" t="n">
        <f aca="false">MIN(100,ROUND(100*J160/Assumptions!$B$8,0))</f>
        <v>89</v>
      </c>
      <c r="Q160" s="8" t="n">
        <f aca="false">IF(L160="",Assumptions!$B$9,L160*10)</f>
        <v>90</v>
      </c>
      <c r="R160" s="8" t="n">
        <f aca="false">IF(M160&lt;=1,Assumptions!$B$12,IF(M160&lt;=3,Assumptions!$B$13,IF(M160&lt;=6,Assumptions!$B$14,Assumptions!$B$15)))</f>
        <v>50</v>
      </c>
      <c r="S160" s="8" t="n">
        <f aca="false">IF(N160="Completed On Time",Assumptions!$B$16,IF(N160="Completed Late",Assumptions!$B$17,Assumptions!$B$18))</f>
        <v>100</v>
      </c>
      <c r="T160" s="8" t="n">
        <f aca="false">IF(I160=0,Assumptions!$B$20,IF(H160&gt;I160,Assumptions!$B$19,IF(H160=I160,Assumptions!$B$20,Assumptions!$B$21)))</f>
        <v>70</v>
      </c>
      <c r="U160" s="8" t="n">
        <f aca="false">ROUND(P160*Assumptions!$B$2+Q160*Assumptions!$B$3+R160*Assumptions!$B$4+S160*Assumptions!$B$5+T160*Assumptions!$B$6,0)</f>
        <v>81</v>
      </c>
      <c r="V160" s="8" t="str">
        <f aca="false">IF(U160&gt;=Assumptions!$B$10,"Healthy",IF(U160&gt;=Assumptions!$B$11,"Needs Attention","High Risk"))</f>
        <v>Healthy</v>
      </c>
    </row>
    <row r="161" customFormat="false" ht="15" hidden="false" customHeight="false" outlineLevel="0" collapsed="false">
      <c r="A161" s="8" t="s">
        <v>463</v>
      </c>
      <c r="B161" s="8" t="s">
        <v>464</v>
      </c>
      <c r="C161" s="8" t="s">
        <v>53</v>
      </c>
      <c r="D161" s="8" t="s">
        <v>55</v>
      </c>
      <c r="E161" s="8" t="s">
        <v>123</v>
      </c>
      <c r="F161" s="8" t="s">
        <v>143</v>
      </c>
      <c r="G161" s="8" t="s">
        <v>125</v>
      </c>
      <c r="H161" s="15" t="n">
        <v>11475</v>
      </c>
      <c r="I161" s="15" t="n">
        <v>8730</v>
      </c>
      <c r="J161" s="16" t="n">
        <v>0.773</v>
      </c>
      <c r="K161" s="8" t="n">
        <v>10</v>
      </c>
      <c r="L161" s="8" t="n">
        <v>9</v>
      </c>
      <c r="M161" s="8" t="n">
        <v>0</v>
      </c>
      <c r="N161" s="8" t="s">
        <v>120</v>
      </c>
      <c r="O161" s="15" t="n">
        <f aca="false">H161*12</f>
        <v>137700</v>
      </c>
      <c r="P161" s="8" t="n">
        <f aca="false">MIN(100,ROUND(100*J161/Assumptions!$B$8,0))</f>
        <v>86</v>
      </c>
      <c r="Q161" s="8" t="n">
        <f aca="false">IF(L161="",Assumptions!$B$9,L161*10)</f>
        <v>90</v>
      </c>
      <c r="R161" s="8" t="n">
        <f aca="false">IF(M161&lt;=1,Assumptions!$B$12,IF(M161&lt;=3,Assumptions!$B$13,IF(M161&lt;=6,Assumptions!$B$14,Assumptions!$B$15)))</f>
        <v>100</v>
      </c>
      <c r="S161" s="8" t="n">
        <f aca="false">IF(N161="Completed On Time",Assumptions!$B$16,IF(N161="Completed Late",Assumptions!$B$17,Assumptions!$B$18))</f>
        <v>100</v>
      </c>
      <c r="T161" s="8" t="n">
        <f aca="false">IF(I161=0,Assumptions!$B$20,IF(H161&gt;I161,Assumptions!$B$19,IF(H161=I161,Assumptions!$B$20,Assumptions!$B$21)))</f>
        <v>100</v>
      </c>
      <c r="U161" s="8" t="n">
        <f aca="false">ROUND(P161*Assumptions!$B$2+Q161*Assumptions!$B$3+R161*Assumptions!$B$4+S161*Assumptions!$B$5+T161*Assumptions!$B$6,0)</f>
        <v>93</v>
      </c>
      <c r="V161" s="8" t="str">
        <f aca="false">IF(U161&gt;=Assumptions!$B$10,"Healthy",IF(U161&gt;=Assumptions!$B$11,"Needs Attention","High Risk"))</f>
        <v>Healthy</v>
      </c>
    </row>
    <row r="162" customFormat="false" ht="15" hidden="false" customHeight="false" outlineLevel="0" collapsed="false">
      <c r="A162" s="8" t="s">
        <v>465</v>
      </c>
      <c r="B162" s="8" t="s">
        <v>466</v>
      </c>
      <c r="C162" s="8" t="s">
        <v>55</v>
      </c>
      <c r="D162" s="8" t="s">
        <v>55</v>
      </c>
      <c r="E162" s="8" t="s">
        <v>128</v>
      </c>
      <c r="F162" s="8" t="s">
        <v>124</v>
      </c>
      <c r="G162" s="8" t="s">
        <v>180</v>
      </c>
      <c r="H162" s="15" t="n">
        <v>11475</v>
      </c>
      <c r="I162" s="15" t="n">
        <v>11475</v>
      </c>
      <c r="J162" s="16" t="n">
        <v>0.69</v>
      </c>
      <c r="K162" s="8" t="n">
        <v>9.7</v>
      </c>
      <c r="L162" s="8" t="n">
        <v>10</v>
      </c>
      <c r="M162" s="8" t="n">
        <v>3</v>
      </c>
      <c r="N162" s="8" t="s">
        <v>120</v>
      </c>
      <c r="O162" s="15" t="n">
        <f aca="false">H162*12</f>
        <v>137700</v>
      </c>
      <c r="P162" s="8" t="n">
        <f aca="false">MIN(100,ROUND(100*J162/Assumptions!$B$8,0))</f>
        <v>77</v>
      </c>
      <c r="Q162" s="8" t="n">
        <f aca="false">IF(L162="",Assumptions!$B$9,L162*10)</f>
        <v>100</v>
      </c>
      <c r="R162" s="8" t="n">
        <f aca="false">IF(M162&lt;=1,Assumptions!$B$12,IF(M162&lt;=3,Assumptions!$B$13,IF(M162&lt;=6,Assumptions!$B$14,Assumptions!$B$15)))</f>
        <v>75</v>
      </c>
      <c r="S162" s="8" t="n">
        <f aca="false">IF(N162="Completed On Time",Assumptions!$B$16,IF(N162="Completed Late",Assumptions!$B$17,Assumptions!$B$18))</f>
        <v>100</v>
      </c>
      <c r="T162" s="8" t="n">
        <f aca="false">IF(I162=0,Assumptions!$B$20,IF(H162&gt;I162,Assumptions!$B$19,IF(H162=I162,Assumptions!$B$20,Assumptions!$B$21)))</f>
        <v>70</v>
      </c>
      <c r="U162" s="8" t="n">
        <f aca="false">ROUND(P162*Assumptions!$B$2+Q162*Assumptions!$B$3+R162*Assumptions!$B$4+S162*Assumptions!$B$5+T162*Assumptions!$B$6,0)</f>
        <v>82</v>
      </c>
      <c r="V162" s="8" t="str">
        <f aca="false">IF(U162&gt;=Assumptions!$B$10,"Healthy",IF(U162&gt;=Assumptions!$B$11,"Needs Attention","High Risk"))</f>
        <v>Healthy</v>
      </c>
    </row>
    <row r="163" customFormat="false" ht="15" hidden="false" customHeight="false" outlineLevel="0" collapsed="false">
      <c r="A163" s="8" t="s">
        <v>467</v>
      </c>
      <c r="B163" s="8" t="s">
        <v>468</v>
      </c>
      <c r="C163" s="8" t="s">
        <v>55</v>
      </c>
      <c r="D163" s="8" t="s">
        <v>55</v>
      </c>
      <c r="E163" s="8" t="s">
        <v>123</v>
      </c>
      <c r="F163" s="8" t="s">
        <v>223</v>
      </c>
      <c r="G163" s="8" t="s">
        <v>147</v>
      </c>
      <c r="H163" s="15" t="n">
        <v>11430</v>
      </c>
      <c r="I163" s="15" t="n">
        <v>11430</v>
      </c>
      <c r="J163" s="16" t="n">
        <v>0.554</v>
      </c>
      <c r="K163" s="8" t="n">
        <v>5.3</v>
      </c>
      <c r="L163" s="8" t="n">
        <v>3</v>
      </c>
      <c r="M163" s="8" t="n">
        <v>12</v>
      </c>
      <c r="N163" s="8" t="s">
        <v>148</v>
      </c>
      <c r="O163" s="15" t="n">
        <f aca="false">H163*12</f>
        <v>137160</v>
      </c>
      <c r="P163" s="8" t="n">
        <f aca="false">MIN(100,ROUND(100*J163/Assumptions!$B$8,0))</f>
        <v>62</v>
      </c>
      <c r="Q163" s="8" t="n">
        <f aca="false">IF(L163="",Assumptions!$B$9,L163*10)</f>
        <v>30</v>
      </c>
      <c r="R163" s="8" t="n">
        <f aca="false">IF(M163&lt;=1,Assumptions!$B$12,IF(M163&lt;=3,Assumptions!$B$13,IF(M163&lt;=6,Assumptions!$B$14,Assumptions!$B$15)))</f>
        <v>20</v>
      </c>
      <c r="S163" s="8" t="n">
        <f aca="false">IF(N163="Completed On Time",Assumptions!$B$16,IF(N163="Completed Late",Assumptions!$B$17,Assumptions!$B$18))</f>
        <v>60</v>
      </c>
      <c r="T163" s="8" t="n">
        <f aca="false">IF(I163=0,Assumptions!$B$20,IF(H163&gt;I163,Assumptions!$B$19,IF(H163=I163,Assumptions!$B$20,Assumptions!$B$21)))</f>
        <v>70</v>
      </c>
      <c r="U163" s="8" t="n">
        <f aca="false">ROUND(P163*Assumptions!$B$2+Q163*Assumptions!$B$3+R163*Assumptions!$B$4+S163*Assumptions!$B$5+T163*Assumptions!$B$6,0)</f>
        <v>51</v>
      </c>
      <c r="V163" s="8" t="str">
        <f aca="false">IF(U163&gt;=Assumptions!$B$10,"Healthy",IF(U163&gt;=Assumptions!$B$11,"Needs Attention","High Risk"))</f>
        <v>High Risk</v>
      </c>
    </row>
    <row r="164" customFormat="false" ht="15" hidden="false" customHeight="false" outlineLevel="0" collapsed="false">
      <c r="A164" s="8" t="s">
        <v>469</v>
      </c>
      <c r="B164" s="8" t="s">
        <v>470</v>
      </c>
      <c r="C164" s="8" t="s">
        <v>53</v>
      </c>
      <c r="D164" s="8" t="s">
        <v>55</v>
      </c>
      <c r="E164" s="8" t="s">
        <v>117</v>
      </c>
      <c r="F164" s="8" t="s">
        <v>223</v>
      </c>
      <c r="G164" s="8" t="s">
        <v>129</v>
      </c>
      <c r="H164" s="15" t="n">
        <v>11430</v>
      </c>
      <c r="I164" s="15" t="n">
        <v>11430</v>
      </c>
      <c r="J164" s="16" t="n">
        <v>0.724</v>
      </c>
      <c r="K164" s="8" t="n">
        <v>9.7</v>
      </c>
      <c r="L164" s="8" t="n">
        <v>9</v>
      </c>
      <c r="M164" s="8" t="n">
        <v>7</v>
      </c>
      <c r="N164" s="8" t="s">
        <v>120</v>
      </c>
      <c r="O164" s="15" t="n">
        <f aca="false">H164*12</f>
        <v>137160</v>
      </c>
      <c r="P164" s="8" t="n">
        <f aca="false">MIN(100,ROUND(100*J164/Assumptions!$B$8,0))</f>
        <v>80</v>
      </c>
      <c r="Q164" s="8" t="n">
        <f aca="false">IF(L164="",Assumptions!$B$9,L164*10)</f>
        <v>90</v>
      </c>
      <c r="R164" s="8" t="n">
        <f aca="false">IF(M164&lt;=1,Assumptions!$B$12,IF(M164&lt;=3,Assumptions!$B$13,IF(M164&lt;=6,Assumptions!$B$14,Assumptions!$B$15)))</f>
        <v>20</v>
      </c>
      <c r="S164" s="8" t="n">
        <f aca="false">IF(N164="Completed On Time",Assumptions!$B$16,IF(N164="Completed Late",Assumptions!$B$17,Assumptions!$B$18))</f>
        <v>100</v>
      </c>
      <c r="T164" s="8" t="n">
        <f aca="false">IF(I164=0,Assumptions!$B$20,IF(H164&gt;I164,Assumptions!$B$19,IF(H164=I164,Assumptions!$B$20,Assumptions!$B$21)))</f>
        <v>70</v>
      </c>
      <c r="U164" s="8" t="n">
        <f aca="false">ROUND(P164*Assumptions!$B$2+Q164*Assumptions!$B$3+R164*Assumptions!$B$4+S164*Assumptions!$B$5+T164*Assumptions!$B$6,0)</f>
        <v>73</v>
      </c>
      <c r="V164" s="8" t="str">
        <f aca="false">IF(U164&gt;=Assumptions!$B$10,"Healthy",IF(U164&gt;=Assumptions!$B$11,"Needs Attention","High Risk"))</f>
        <v>Needs Attention</v>
      </c>
    </row>
    <row r="165" customFormat="false" ht="15" hidden="false" customHeight="false" outlineLevel="0" collapsed="false">
      <c r="A165" s="8" t="s">
        <v>471</v>
      </c>
      <c r="B165" s="8" t="s">
        <v>472</v>
      </c>
      <c r="C165" s="8" t="s">
        <v>55</v>
      </c>
      <c r="D165" s="8" t="s">
        <v>55</v>
      </c>
      <c r="E165" s="8" t="s">
        <v>123</v>
      </c>
      <c r="F165" s="8" t="s">
        <v>223</v>
      </c>
      <c r="G165" s="8" t="s">
        <v>177</v>
      </c>
      <c r="H165" s="15" t="n">
        <v>11385</v>
      </c>
      <c r="I165" s="15" t="n">
        <v>0</v>
      </c>
      <c r="J165" s="16" t="n">
        <v>0.905</v>
      </c>
      <c r="K165" s="8" t="n">
        <v>12</v>
      </c>
      <c r="L165" s="8"/>
      <c r="M165" s="8" t="n">
        <v>1</v>
      </c>
      <c r="N165" s="8" t="s">
        <v>120</v>
      </c>
      <c r="O165" s="15" t="n">
        <f aca="false">H165*12</f>
        <v>136620</v>
      </c>
      <c r="P165" s="8" t="n">
        <f aca="false">MIN(100,ROUND(100*J165/Assumptions!$B$8,0))</f>
        <v>100</v>
      </c>
      <c r="Q165" s="8" t="n">
        <f aca="false">IF(L165="",Assumptions!$B$9,L165*10)</f>
        <v>50</v>
      </c>
      <c r="R165" s="8" t="n">
        <f aca="false">IF(M165&lt;=1,Assumptions!$B$12,IF(M165&lt;=3,Assumptions!$B$13,IF(M165&lt;=6,Assumptions!$B$14,Assumptions!$B$15)))</f>
        <v>100</v>
      </c>
      <c r="S165" s="8" t="n">
        <f aca="false">IF(N165="Completed On Time",Assumptions!$B$16,IF(N165="Completed Late",Assumptions!$B$17,Assumptions!$B$18))</f>
        <v>100</v>
      </c>
      <c r="T165" s="8" t="n">
        <f aca="false">IF(I165=0,Assumptions!$B$20,IF(H165&gt;I165,Assumptions!$B$19,IF(H165=I165,Assumptions!$B$20,Assumptions!$B$21)))</f>
        <v>70</v>
      </c>
      <c r="U165" s="8" t="n">
        <f aca="false">ROUND(P165*Assumptions!$B$2+Q165*Assumptions!$B$3+R165*Assumptions!$B$4+S165*Assumptions!$B$5+T165*Assumptions!$B$6,0)</f>
        <v>84</v>
      </c>
      <c r="V165" s="8" t="str">
        <f aca="false">IF(U165&gt;=Assumptions!$B$10,"Healthy",IF(U165&gt;=Assumptions!$B$11,"Needs Attention","High Risk"))</f>
        <v>Healthy</v>
      </c>
    </row>
    <row r="166" customFormat="false" ht="15" hidden="false" customHeight="false" outlineLevel="0" collapsed="false">
      <c r="A166" s="8" t="s">
        <v>473</v>
      </c>
      <c r="B166" s="8" t="s">
        <v>474</v>
      </c>
      <c r="C166" s="8" t="s">
        <v>55</v>
      </c>
      <c r="D166" s="8" t="s">
        <v>55</v>
      </c>
      <c r="E166" s="8" t="s">
        <v>132</v>
      </c>
      <c r="F166" s="8" t="s">
        <v>166</v>
      </c>
      <c r="G166" s="8" t="s">
        <v>137</v>
      </c>
      <c r="H166" s="15" t="n">
        <v>11205</v>
      </c>
      <c r="I166" s="15" t="n">
        <v>11205</v>
      </c>
      <c r="J166" s="16" t="n">
        <v>0.673</v>
      </c>
      <c r="K166" s="8" t="n">
        <v>7</v>
      </c>
      <c r="L166" s="8" t="n">
        <v>7</v>
      </c>
      <c r="M166" s="8" t="n">
        <v>3</v>
      </c>
      <c r="N166" s="8" t="s">
        <v>148</v>
      </c>
      <c r="O166" s="15" t="n">
        <f aca="false">H166*12</f>
        <v>134460</v>
      </c>
      <c r="P166" s="8" t="n">
        <f aca="false">MIN(100,ROUND(100*J166/Assumptions!$B$8,0))</f>
        <v>75</v>
      </c>
      <c r="Q166" s="8" t="n">
        <f aca="false">IF(L166="",Assumptions!$B$9,L166*10)</f>
        <v>70</v>
      </c>
      <c r="R166" s="8" t="n">
        <f aca="false">IF(M166&lt;=1,Assumptions!$B$12,IF(M166&lt;=3,Assumptions!$B$13,IF(M166&lt;=6,Assumptions!$B$14,Assumptions!$B$15)))</f>
        <v>75</v>
      </c>
      <c r="S166" s="8" t="n">
        <f aca="false">IF(N166="Completed On Time",Assumptions!$B$16,IF(N166="Completed Late",Assumptions!$B$17,Assumptions!$B$18))</f>
        <v>60</v>
      </c>
      <c r="T166" s="8" t="n">
        <f aca="false">IF(I166=0,Assumptions!$B$20,IF(H166&gt;I166,Assumptions!$B$19,IF(H166=I166,Assumptions!$B$20,Assumptions!$B$21)))</f>
        <v>70</v>
      </c>
      <c r="U166" s="8" t="n">
        <f aca="false">ROUND(P166*Assumptions!$B$2+Q166*Assumptions!$B$3+R166*Assumptions!$B$4+S166*Assumptions!$B$5+T166*Assumptions!$B$6,0)</f>
        <v>72</v>
      </c>
      <c r="V166" s="8" t="str">
        <f aca="false">IF(U166&gt;=Assumptions!$B$10,"Healthy",IF(U166&gt;=Assumptions!$B$11,"Needs Attention","High Risk"))</f>
        <v>Needs Attention</v>
      </c>
    </row>
    <row r="167" customFormat="false" ht="15" hidden="false" customHeight="false" outlineLevel="0" collapsed="false">
      <c r="A167" s="8" t="s">
        <v>475</v>
      </c>
      <c r="B167" s="8" t="s">
        <v>476</v>
      </c>
      <c r="C167" s="8" t="s">
        <v>55</v>
      </c>
      <c r="D167" s="8" t="s">
        <v>55</v>
      </c>
      <c r="E167" s="8" t="s">
        <v>123</v>
      </c>
      <c r="F167" s="8" t="s">
        <v>124</v>
      </c>
      <c r="G167" s="8" t="s">
        <v>204</v>
      </c>
      <c r="H167" s="15" t="n">
        <v>11160</v>
      </c>
      <c r="I167" s="15" t="n">
        <v>11160</v>
      </c>
      <c r="J167" s="16" t="n">
        <v>0.743</v>
      </c>
      <c r="K167" s="8" t="n">
        <v>7.7</v>
      </c>
      <c r="L167" s="8" t="n">
        <v>8</v>
      </c>
      <c r="M167" s="8" t="n">
        <v>4</v>
      </c>
      <c r="N167" s="8" t="s">
        <v>148</v>
      </c>
      <c r="O167" s="15" t="n">
        <f aca="false">H167*12</f>
        <v>133920</v>
      </c>
      <c r="P167" s="8" t="n">
        <f aca="false">MIN(100,ROUND(100*J167/Assumptions!$B$8,0))</f>
        <v>83</v>
      </c>
      <c r="Q167" s="8" t="n">
        <f aca="false">IF(L167="",Assumptions!$B$9,L167*10)</f>
        <v>80</v>
      </c>
      <c r="R167" s="8" t="n">
        <f aca="false">IF(M167&lt;=1,Assumptions!$B$12,IF(M167&lt;=3,Assumptions!$B$13,IF(M167&lt;=6,Assumptions!$B$14,Assumptions!$B$15)))</f>
        <v>50</v>
      </c>
      <c r="S167" s="8" t="n">
        <f aca="false">IF(N167="Completed On Time",Assumptions!$B$16,IF(N167="Completed Late",Assumptions!$B$17,Assumptions!$B$18))</f>
        <v>60</v>
      </c>
      <c r="T167" s="8" t="n">
        <f aca="false">IF(I167=0,Assumptions!$B$20,IF(H167&gt;I167,Assumptions!$B$19,IF(H167=I167,Assumptions!$B$20,Assumptions!$B$21)))</f>
        <v>70</v>
      </c>
      <c r="U167" s="8" t="n">
        <f aca="false">ROUND(P167*Assumptions!$B$2+Q167*Assumptions!$B$3+R167*Assumptions!$B$4+S167*Assumptions!$B$5+T167*Assumptions!$B$6,0)</f>
        <v>73</v>
      </c>
      <c r="V167" s="8" t="str">
        <f aca="false">IF(U167&gt;=Assumptions!$B$10,"Healthy",IF(U167&gt;=Assumptions!$B$11,"Needs Attention","High Risk"))</f>
        <v>Needs Attention</v>
      </c>
    </row>
    <row r="168" customFormat="false" ht="15" hidden="false" customHeight="false" outlineLevel="0" collapsed="false">
      <c r="A168" s="8" t="s">
        <v>477</v>
      </c>
      <c r="B168" s="8" t="s">
        <v>478</v>
      </c>
      <c r="C168" s="8" t="s">
        <v>55</v>
      </c>
      <c r="D168" s="8" t="s">
        <v>55</v>
      </c>
      <c r="E168" s="8" t="s">
        <v>132</v>
      </c>
      <c r="F168" s="8" t="s">
        <v>124</v>
      </c>
      <c r="G168" s="8" t="s">
        <v>129</v>
      </c>
      <c r="H168" s="15" t="n">
        <v>11115</v>
      </c>
      <c r="I168" s="15" t="n">
        <v>11115</v>
      </c>
      <c r="J168" s="16" t="n">
        <v>0.636</v>
      </c>
      <c r="K168" s="8" t="n">
        <v>7.3</v>
      </c>
      <c r="L168" s="8" t="n">
        <v>10</v>
      </c>
      <c r="M168" s="8" t="n">
        <v>4</v>
      </c>
      <c r="N168" s="8" t="s">
        <v>120</v>
      </c>
      <c r="O168" s="15" t="n">
        <f aca="false">H168*12</f>
        <v>133380</v>
      </c>
      <c r="P168" s="8" t="n">
        <f aca="false">MIN(100,ROUND(100*J168/Assumptions!$B$8,0))</f>
        <v>71</v>
      </c>
      <c r="Q168" s="8" t="n">
        <f aca="false">IF(L168="",Assumptions!$B$9,L168*10)</f>
        <v>100</v>
      </c>
      <c r="R168" s="8" t="n">
        <f aca="false">IF(M168&lt;=1,Assumptions!$B$12,IF(M168&lt;=3,Assumptions!$B$13,IF(M168&lt;=6,Assumptions!$B$14,Assumptions!$B$15)))</f>
        <v>50</v>
      </c>
      <c r="S168" s="8" t="n">
        <f aca="false">IF(N168="Completed On Time",Assumptions!$B$16,IF(N168="Completed Late",Assumptions!$B$17,Assumptions!$B$18))</f>
        <v>100</v>
      </c>
      <c r="T168" s="8" t="n">
        <f aca="false">IF(I168=0,Assumptions!$B$20,IF(H168&gt;I168,Assumptions!$B$19,IF(H168=I168,Assumptions!$B$20,Assumptions!$B$21)))</f>
        <v>70</v>
      </c>
      <c r="U168" s="8" t="n">
        <f aca="false">ROUND(P168*Assumptions!$B$2+Q168*Assumptions!$B$3+R168*Assumptions!$B$4+S168*Assumptions!$B$5+T168*Assumptions!$B$6,0)</f>
        <v>76</v>
      </c>
      <c r="V168" s="8" t="str">
        <f aca="false">IF(U168&gt;=Assumptions!$B$10,"Healthy",IF(U168&gt;=Assumptions!$B$11,"Needs Attention","High Risk"))</f>
        <v>Needs Attention</v>
      </c>
    </row>
    <row r="169" customFormat="false" ht="15" hidden="false" customHeight="false" outlineLevel="0" collapsed="false">
      <c r="A169" s="8" t="s">
        <v>479</v>
      </c>
      <c r="B169" s="8" t="s">
        <v>480</v>
      </c>
      <c r="C169" s="8" t="s">
        <v>55</v>
      </c>
      <c r="D169" s="8" t="s">
        <v>326</v>
      </c>
      <c r="E169" s="8" t="s">
        <v>132</v>
      </c>
      <c r="F169" s="8" t="s">
        <v>143</v>
      </c>
      <c r="G169" s="8" t="s">
        <v>125</v>
      </c>
      <c r="H169" s="15" t="n">
        <v>11075</v>
      </c>
      <c r="I169" s="15" t="n">
        <v>11075</v>
      </c>
      <c r="J169" s="16" t="n">
        <v>0.692</v>
      </c>
      <c r="K169" s="8" t="n">
        <v>9</v>
      </c>
      <c r="L169" s="8" t="n">
        <v>7</v>
      </c>
      <c r="M169" s="8" t="n">
        <v>7</v>
      </c>
      <c r="N169" s="8" t="s">
        <v>120</v>
      </c>
      <c r="O169" s="15" t="n">
        <f aca="false">H169*12</f>
        <v>132900</v>
      </c>
      <c r="P169" s="8" t="n">
        <f aca="false">MIN(100,ROUND(100*J169/Assumptions!$B$8,0))</f>
        <v>77</v>
      </c>
      <c r="Q169" s="8" t="n">
        <f aca="false">IF(L169="",Assumptions!$B$9,L169*10)</f>
        <v>70</v>
      </c>
      <c r="R169" s="8" t="n">
        <f aca="false">IF(M169&lt;=1,Assumptions!$B$12,IF(M169&lt;=3,Assumptions!$B$13,IF(M169&lt;=6,Assumptions!$B$14,Assumptions!$B$15)))</f>
        <v>20</v>
      </c>
      <c r="S169" s="8" t="n">
        <f aca="false">IF(N169="Completed On Time",Assumptions!$B$16,IF(N169="Completed Late",Assumptions!$B$17,Assumptions!$B$18))</f>
        <v>100</v>
      </c>
      <c r="T169" s="8" t="n">
        <f aca="false">IF(I169=0,Assumptions!$B$20,IF(H169&gt;I169,Assumptions!$B$19,IF(H169=I169,Assumptions!$B$20,Assumptions!$B$21)))</f>
        <v>70</v>
      </c>
      <c r="U169" s="8" t="n">
        <f aca="false">ROUND(P169*Assumptions!$B$2+Q169*Assumptions!$B$3+R169*Assumptions!$B$4+S169*Assumptions!$B$5+T169*Assumptions!$B$6,0)</f>
        <v>68</v>
      </c>
      <c r="V169" s="8" t="str">
        <f aca="false">IF(U169&gt;=Assumptions!$B$10,"Healthy",IF(U169&gt;=Assumptions!$B$11,"Needs Attention","High Risk"))</f>
        <v>Needs Attention</v>
      </c>
    </row>
    <row r="170" customFormat="false" ht="15" hidden="false" customHeight="false" outlineLevel="0" collapsed="false">
      <c r="A170" s="8" t="s">
        <v>481</v>
      </c>
      <c r="B170" s="8" t="s">
        <v>482</v>
      </c>
      <c r="C170" s="8" t="s">
        <v>55</v>
      </c>
      <c r="D170" s="8" t="s">
        <v>55</v>
      </c>
      <c r="E170" s="8" t="s">
        <v>132</v>
      </c>
      <c r="F170" s="8" t="s">
        <v>143</v>
      </c>
      <c r="G170" s="8" t="s">
        <v>140</v>
      </c>
      <c r="H170" s="15" t="n">
        <v>11070</v>
      </c>
      <c r="I170" s="15" t="n">
        <v>11070</v>
      </c>
      <c r="J170" s="16" t="n">
        <v>0.593</v>
      </c>
      <c r="K170" s="8" t="n">
        <v>6.3</v>
      </c>
      <c r="L170" s="8" t="n">
        <v>7</v>
      </c>
      <c r="M170" s="8" t="n">
        <v>5</v>
      </c>
      <c r="N170" s="8" t="s">
        <v>148</v>
      </c>
      <c r="O170" s="15" t="n">
        <f aca="false">H170*12</f>
        <v>132840</v>
      </c>
      <c r="P170" s="8" t="n">
        <f aca="false">MIN(100,ROUND(100*J170/Assumptions!$B$8,0))</f>
        <v>66</v>
      </c>
      <c r="Q170" s="8" t="n">
        <f aca="false">IF(L170="",Assumptions!$B$9,L170*10)</f>
        <v>70</v>
      </c>
      <c r="R170" s="8" t="n">
        <f aca="false">IF(M170&lt;=1,Assumptions!$B$12,IF(M170&lt;=3,Assumptions!$B$13,IF(M170&lt;=6,Assumptions!$B$14,Assumptions!$B$15)))</f>
        <v>50</v>
      </c>
      <c r="S170" s="8" t="n">
        <f aca="false">IF(N170="Completed On Time",Assumptions!$B$16,IF(N170="Completed Late",Assumptions!$B$17,Assumptions!$B$18))</f>
        <v>60</v>
      </c>
      <c r="T170" s="8" t="n">
        <f aca="false">IF(I170=0,Assumptions!$B$20,IF(H170&gt;I170,Assumptions!$B$19,IF(H170=I170,Assumptions!$B$20,Assumptions!$B$21)))</f>
        <v>70</v>
      </c>
      <c r="U170" s="8" t="n">
        <f aca="false">ROUND(P170*Assumptions!$B$2+Q170*Assumptions!$B$3+R170*Assumptions!$B$4+S170*Assumptions!$B$5+T170*Assumptions!$B$6,0)</f>
        <v>65</v>
      </c>
      <c r="V170" s="8" t="str">
        <f aca="false">IF(U170&gt;=Assumptions!$B$10,"Healthy",IF(U170&gt;=Assumptions!$B$11,"Needs Attention","High Risk"))</f>
        <v>Needs Attention</v>
      </c>
    </row>
    <row r="171" customFormat="false" ht="15" hidden="false" customHeight="false" outlineLevel="0" collapsed="false">
      <c r="A171" s="8" t="s">
        <v>483</v>
      </c>
      <c r="B171" s="8" t="s">
        <v>484</v>
      </c>
      <c r="C171" s="8" t="s">
        <v>55</v>
      </c>
      <c r="D171" s="8" t="s">
        <v>326</v>
      </c>
      <c r="E171" s="8" t="s">
        <v>123</v>
      </c>
      <c r="F171" s="8" t="s">
        <v>143</v>
      </c>
      <c r="G171" s="8" t="s">
        <v>159</v>
      </c>
      <c r="H171" s="15" t="n">
        <v>10975</v>
      </c>
      <c r="I171" s="15" t="n">
        <v>10975</v>
      </c>
      <c r="J171" s="16" t="n">
        <v>0.812</v>
      </c>
      <c r="K171" s="8" t="n">
        <v>11</v>
      </c>
      <c r="L171" s="8" t="n">
        <v>10</v>
      </c>
      <c r="M171" s="8" t="n">
        <v>0</v>
      </c>
      <c r="N171" s="8" t="s">
        <v>120</v>
      </c>
      <c r="O171" s="15" t="n">
        <f aca="false">H171*12</f>
        <v>131700</v>
      </c>
      <c r="P171" s="8" t="n">
        <f aca="false">MIN(100,ROUND(100*J171/Assumptions!$B$8,0))</f>
        <v>90</v>
      </c>
      <c r="Q171" s="8" t="n">
        <f aca="false">IF(L171="",Assumptions!$B$9,L171*10)</f>
        <v>100</v>
      </c>
      <c r="R171" s="8" t="n">
        <f aca="false">IF(M171&lt;=1,Assumptions!$B$12,IF(M171&lt;=3,Assumptions!$B$13,IF(M171&lt;=6,Assumptions!$B$14,Assumptions!$B$15)))</f>
        <v>100</v>
      </c>
      <c r="S171" s="8" t="n">
        <f aca="false">IF(N171="Completed On Time",Assumptions!$B$16,IF(N171="Completed Late",Assumptions!$B$17,Assumptions!$B$18))</f>
        <v>100</v>
      </c>
      <c r="T171" s="8" t="n">
        <f aca="false">IF(I171=0,Assumptions!$B$20,IF(H171&gt;I171,Assumptions!$B$19,IF(H171=I171,Assumptions!$B$20,Assumptions!$B$21)))</f>
        <v>70</v>
      </c>
      <c r="U171" s="8" t="n">
        <f aca="false">ROUND(P171*Assumptions!$B$2+Q171*Assumptions!$B$3+R171*Assumptions!$B$4+S171*Assumptions!$B$5+T171*Assumptions!$B$6,0)</f>
        <v>91</v>
      </c>
      <c r="V171" s="8" t="str">
        <f aca="false">IF(U171&gt;=Assumptions!$B$10,"Healthy",IF(U171&gt;=Assumptions!$B$11,"Needs Attention","High Risk"))</f>
        <v>Healthy</v>
      </c>
    </row>
    <row r="172" customFormat="false" ht="15" hidden="false" customHeight="false" outlineLevel="0" collapsed="false">
      <c r="A172" s="8" t="s">
        <v>485</v>
      </c>
      <c r="B172" s="8" t="s">
        <v>486</v>
      </c>
      <c r="C172" s="8" t="s">
        <v>53</v>
      </c>
      <c r="D172" s="8" t="s">
        <v>55</v>
      </c>
      <c r="E172" s="8" t="s">
        <v>132</v>
      </c>
      <c r="F172" s="8" t="s">
        <v>151</v>
      </c>
      <c r="G172" s="8" t="s">
        <v>140</v>
      </c>
      <c r="H172" s="15" t="n">
        <v>10935</v>
      </c>
      <c r="I172" s="15" t="n">
        <v>10935</v>
      </c>
      <c r="J172" s="16" t="n">
        <v>0.727</v>
      </c>
      <c r="K172" s="8" t="n">
        <v>8.3</v>
      </c>
      <c r="L172" s="8" t="n">
        <v>9</v>
      </c>
      <c r="M172" s="8" t="n">
        <v>4</v>
      </c>
      <c r="N172" s="8" t="s">
        <v>120</v>
      </c>
      <c r="O172" s="15" t="n">
        <f aca="false">H172*12</f>
        <v>131220</v>
      </c>
      <c r="P172" s="8" t="n">
        <f aca="false">MIN(100,ROUND(100*J172/Assumptions!$B$8,0))</f>
        <v>81</v>
      </c>
      <c r="Q172" s="8" t="n">
        <f aca="false">IF(L172="",Assumptions!$B$9,L172*10)</f>
        <v>90</v>
      </c>
      <c r="R172" s="8" t="n">
        <f aca="false">IF(M172&lt;=1,Assumptions!$B$12,IF(M172&lt;=3,Assumptions!$B$13,IF(M172&lt;=6,Assumptions!$B$14,Assumptions!$B$15)))</f>
        <v>50</v>
      </c>
      <c r="S172" s="8" t="n">
        <f aca="false">IF(N172="Completed On Time",Assumptions!$B$16,IF(N172="Completed Late",Assumptions!$B$17,Assumptions!$B$18))</f>
        <v>100</v>
      </c>
      <c r="T172" s="8" t="n">
        <f aca="false">IF(I172=0,Assumptions!$B$20,IF(H172&gt;I172,Assumptions!$B$19,IF(H172=I172,Assumptions!$B$20,Assumptions!$B$21)))</f>
        <v>70</v>
      </c>
      <c r="U172" s="8" t="n">
        <f aca="false">ROUND(P172*Assumptions!$B$2+Q172*Assumptions!$B$3+R172*Assumptions!$B$4+S172*Assumptions!$B$5+T172*Assumptions!$B$6,0)</f>
        <v>78</v>
      </c>
      <c r="V172" s="8" t="str">
        <f aca="false">IF(U172&gt;=Assumptions!$B$10,"Healthy",IF(U172&gt;=Assumptions!$B$11,"Needs Attention","High Risk"))</f>
        <v>Needs Attention</v>
      </c>
    </row>
    <row r="173" customFormat="false" ht="15" hidden="false" customHeight="false" outlineLevel="0" collapsed="false">
      <c r="A173" s="8" t="s">
        <v>487</v>
      </c>
      <c r="B173" s="8" t="s">
        <v>488</v>
      </c>
      <c r="C173" s="8" t="s">
        <v>55</v>
      </c>
      <c r="D173" s="8" t="s">
        <v>55</v>
      </c>
      <c r="E173" s="8" t="s">
        <v>123</v>
      </c>
      <c r="F173" s="8" t="s">
        <v>190</v>
      </c>
      <c r="G173" s="8" t="s">
        <v>147</v>
      </c>
      <c r="H173" s="15" t="n">
        <v>10890</v>
      </c>
      <c r="I173" s="15" t="n">
        <v>10890</v>
      </c>
      <c r="J173" s="16" t="n">
        <v>0.727</v>
      </c>
      <c r="K173" s="8" t="n">
        <v>8</v>
      </c>
      <c r="L173" s="8" t="n">
        <v>7</v>
      </c>
      <c r="M173" s="8" t="n">
        <v>6</v>
      </c>
      <c r="N173" s="8" t="s">
        <v>148</v>
      </c>
      <c r="O173" s="15" t="n">
        <f aca="false">H173*12</f>
        <v>130680</v>
      </c>
      <c r="P173" s="8" t="n">
        <f aca="false">MIN(100,ROUND(100*J173/Assumptions!$B$8,0))</f>
        <v>81</v>
      </c>
      <c r="Q173" s="8" t="n">
        <f aca="false">IF(L173="",Assumptions!$B$9,L173*10)</f>
        <v>70</v>
      </c>
      <c r="R173" s="8" t="n">
        <f aca="false">IF(M173&lt;=1,Assumptions!$B$12,IF(M173&lt;=3,Assumptions!$B$13,IF(M173&lt;=6,Assumptions!$B$14,Assumptions!$B$15)))</f>
        <v>50</v>
      </c>
      <c r="S173" s="8" t="n">
        <f aca="false">IF(N173="Completed On Time",Assumptions!$B$16,IF(N173="Completed Late",Assumptions!$B$17,Assumptions!$B$18))</f>
        <v>60</v>
      </c>
      <c r="T173" s="8" t="n">
        <f aca="false">IF(I173=0,Assumptions!$B$20,IF(H173&gt;I173,Assumptions!$B$19,IF(H173=I173,Assumptions!$B$20,Assumptions!$B$21)))</f>
        <v>70</v>
      </c>
      <c r="U173" s="8" t="n">
        <f aca="false">ROUND(P173*Assumptions!$B$2+Q173*Assumptions!$B$3+R173*Assumptions!$B$4+S173*Assumptions!$B$5+T173*Assumptions!$B$6,0)</f>
        <v>70</v>
      </c>
      <c r="V173" s="8" t="str">
        <f aca="false">IF(U173&gt;=Assumptions!$B$10,"Healthy",IF(U173&gt;=Assumptions!$B$11,"Needs Attention","High Risk"))</f>
        <v>Needs Attention</v>
      </c>
    </row>
    <row r="174" customFormat="false" ht="15" hidden="false" customHeight="false" outlineLevel="0" collapsed="false">
      <c r="A174" s="8" t="s">
        <v>489</v>
      </c>
      <c r="B174" s="8" t="s">
        <v>490</v>
      </c>
      <c r="C174" s="8" t="s">
        <v>55</v>
      </c>
      <c r="D174" s="8" t="s">
        <v>55</v>
      </c>
      <c r="E174" s="8" t="s">
        <v>123</v>
      </c>
      <c r="F174" s="8" t="s">
        <v>154</v>
      </c>
      <c r="G174" s="8" t="s">
        <v>204</v>
      </c>
      <c r="H174" s="15" t="n">
        <v>10800</v>
      </c>
      <c r="I174" s="15" t="n">
        <v>10800</v>
      </c>
      <c r="J174" s="16" t="n">
        <v>0.728</v>
      </c>
      <c r="K174" s="8" t="n">
        <v>8.3</v>
      </c>
      <c r="L174" s="8" t="n">
        <v>9</v>
      </c>
      <c r="M174" s="8" t="n">
        <v>8</v>
      </c>
      <c r="N174" s="8" t="s">
        <v>120</v>
      </c>
      <c r="O174" s="15" t="n">
        <f aca="false">H174*12</f>
        <v>129600</v>
      </c>
      <c r="P174" s="8" t="n">
        <f aca="false">MIN(100,ROUND(100*J174/Assumptions!$B$8,0))</f>
        <v>81</v>
      </c>
      <c r="Q174" s="8" t="n">
        <f aca="false">IF(L174="",Assumptions!$B$9,L174*10)</f>
        <v>90</v>
      </c>
      <c r="R174" s="8" t="n">
        <f aca="false">IF(M174&lt;=1,Assumptions!$B$12,IF(M174&lt;=3,Assumptions!$B$13,IF(M174&lt;=6,Assumptions!$B$14,Assumptions!$B$15)))</f>
        <v>20</v>
      </c>
      <c r="S174" s="8" t="n">
        <f aca="false">IF(N174="Completed On Time",Assumptions!$B$16,IF(N174="Completed Late",Assumptions!$B$17,Assumptions!$B$18))</f>
        <v>100</v>
      </c>
      <c r="T174" s="8" t="n">
        <f aca="false">IF(I174=0,Assumptions!$B$20,IF(H174&gt;I174,Assumptions!$B$19,IF(H174=I174,Assumptions!$B$20,Assumptions!$B$21)))</f>
        <v>70</v>
      </c>
      <c r="U174" s="8" t="n">
        <f aca="false">ROUND(P174*Assumptions!$B$2+Q174*Assumptions!$B$3+R174*Assumptions!$B$4+S174*Assumptions!$B$5+T174*Assumptions!$B$6,0)</f>
        <v>73</v>
      </c>
      <c r="V174" s="8" t="str">
        <f aca="false">IF(U174&gt;=Assumptions!$B$10,"Healthy",IF(U174&gt;=Assumptions!$B$11,"Needs Attention","High Risk"))</f>
        <v>Needs Attention</v>
      </c>
    </row>
    <row r="175" customFormat="false" ht="15" hidden="false" customHeight="false" outlineLevel="0" collapsed="false">
      <c r="A175" s="8" t="s">
        <v>491</v>
      </c>
      <c r="B175" s="8" t="s">
        <v>492</v>
      </c>
      <c r="C175" s="8" t="s">
        <v>55</v>
      </c>
      <c r="D175" s="8" t="s">
        <v>55</v>
      </c>
      <c r="E175" s="8" t="s">
        <v>123</v>
      </c>
      <c r="F175" s="8" t="s">
        <v>166</v>
      </c>
      <c r="G175" s="8" t="s">
        <v>119</v>
      </c>
      <c r="H175" s="15" t="n">
        <v>10575</v>
      </c>
      <c r="I175" s="15" t="n">
        <v>10575</v>
      </c>
      <c r="J175" s="16" t="n">
        <v>0.742</v>
      </c>
      <c r="K175" s="8" t="n">
        <v>7.7</v>
      </c>
      <c r="L175" s="8" t="n">
        <v>8</v>
      </c>
      <c r="M175" s="8" t="n">
        <v>7</v>
      </c>
      <c r="N175" s="8" t="s">
        <v>120</v>
      </c>
      <c r="O175" s="15" t="n">
        <f aca="false">H175*12</f>
        <v>126900</v>
      </c>
      <c r="P175" s="8" t="n">
        <f aca="false">MIN(100,ROUND(100*J175/Assumptions!$B$8,0))</f>
        <v>82</v>
      </c>
      <c r="Q175" s="8" t="n">
        <f aca="false">IF(L175="",Assumptions!$B$9,L175*10)</f>
        <v>80</v>
      </c>
      <c r="R175" s="8" t="n">
        <f aca="false">IF(M175&lt;=1,Assumptions!$B$12,IF(M175&lt;=3,Assumptions!$B$13,IF(M175&lt;=6,Assumptions!$B$14,Assumptions!$B$15)))</f>
        <v>20</v>
      </c>
      <c r="S175" s="8" t="n">
        <f aca="false">IF(N175="Completed On Time",Assumptions!$B$16,IF(N175="Completed Late",Assumptions!$B$17,Assumptions!$B$18))</f>
        <v>100</v>
      </c>
      <c r="T175" s="8" t="n">
        <f aca="false">IF(I175=0,Assumptions!$B$20,IF(H175&gt;I175,Assumptions!$B$19,IF(H175=I175,Assumptions!$B$20,Assumptions!$B$21)))</f>
        <v>70</v>
      </c>
      <c r="U175" s="8" t="n">
        <f aca="false">ROUND(P175*Assumptions!$B$2+Q175*Assumptions!$B$3+R175*Assumptions!$B$4+S175*Assumptions!$B$5+T175*Assumptions!$B$6,0)</f>
        <v>72</v>
      </c>
      <c r="V175" s="8" t="str">
        <f aca="false">IF(U175&gt;=Assumptions!$B$10,"Healthy",IF(U175&gt;=Assumptions!$B$11,"Needs Attention","High Risk"))</f>
        <v>Needs Attention</v>
      </c>
    </row>
    <row r="176" customFormat="false" ht="15" hidden="false" customHeight="false" outlineLevel="0" collapsed="false">
      <c r="A176" s="8" t="s">
        <v>493</v>
      </c>
      <c r="B176" s="8" t="s">
        <v>494</v>
      </c>
      <c r="C176" s="8" t="s">
        <v>55</v>
      </c>
      <c r="D176" s="8" t="s">
        <v>55</v>
      </c>
      <c r="E176" s="8" t="s">
        <v>117</v>
      </c>
      <c r="F176" s="8" t="s">
        <v>124</v>
      </c>
      <c r="G176" s="8" t="s">
        <v>137</v>
      </c>
      <c r="H176" s="15" t="n">
        <v>10575</v>
      </c>
      <c r="I176" s="15" t="n">
        <v>10575</v>
      </c>
      <c r="J176" s="16" t="n">
        <v>0.684</v>
      </c>
      <c r="K176" s="8" t="n">
        <v>6.3</v>
      </c>
      <c r="L176" s="8" t="n">
        <v>9</v>
      </c>
      <c r="M176" s="8" t="n">
        <v>4</v>
      </c>
      <c r="N176" s="8" t="s">
        <v>120</v>
      </c>
      <c r="O176" s="15" t="n">
        <f aca="false">H176*12</f>
        <v>126900</v>
      </c>
      <c r="P176" s="8" t="n">
        <f aca="false">MIN(100,ROUND(100*J176/Assumptions!$B$8,0))</f>
        <v>76</v>
      </c>
      <c r="Q176" s="8" t="n">
        <f aca="false">IF(L176="",Assumptions!$B$9,L176*10)</f>
        <v>90</v>
      </c>
      <c r="R176" s="8" t="n">
        <f aca="false">IF(M176&lt;=1,Assumptions!$B$12,IF(M176&lt;=3,Assumptions!$B$13,IF(M176&lt;=6,Assumptions!$B$14,Assumptions!$B$15)))</f>
        <v>50</v>
      </c>
      <c r="S176" s="8" t="n">
        <f aca="false">IF(N176="Completed On Time",Assumptions!$B$16,IF(N176="Completed Late",Assumptions!$B$17,Assumptions!$B$18))</f>
        <v>100</v>
      </c>
      <c r="T176" s="8" t="n">
        <f aca="false">IF(I176=0,Assumptions!$B$20,IF(H176&gt;I176,Assumptions!$B$19,IF(H176=I176,Assumptions!$B$20,Assumptions!$B$21)))</f>
        <v>70</v>
      </c>
      <c r="U176" s="8" t="n">
        <f aca="false">ROUND(P176*Assumptions!$B$2+Q176*Assumptions!$B$3+R176*Assumptions!$B$4+S176*Assumptions!$B$5+T176*Assumptions!$B$6,0)</f>
        <v>76</v>
      </c>
      <c r="V176" s="8" t="str">
        <f aca="false">IF(U176&gt;=Assumptions!$B$10,"Healthy",IF(U176&gt;=Assumptions!$B$11,"Needs Attention","High Risk"))</f>
        <v>Needs Attention</v>
      </c>
    </row>
    <row r="177" customFormat="false" ht="15" hidden="false" customHeight="false" outlineLevel="0" collapsed="false">
      <c r="A177" s="8" t="s">
        <v>495</v>
      </c>
      <c r="B177" s="8" t="s">
        <v>496</v>
      </c>
      <c r="C177" s="8" t="s">
        <v>55</v>
      </c>
      <c r="D177" s="8" t="s">
        <v>55</v>
      </c>
      <c r="E177" s="8" t="s">
        <v>117</v>
      </c>
      <c r="F177" s="8" t="s">
        <v>154</v>
      </c>
      <c r="G177" s="8" t="s">
        <v>147</v>
      </c>
      <c r="H177" s="15" t="n">
        <v>10485</v>
      </c>
      <c r="I177" s="15" t="n">
        <v>10485</v>
      </c>
      <c r="J177" s="16" t="n">
        <v>0.848</v>
      </c>
      <c r="K177" s="8" t="n">
        <v>12</v>
      </c>
      <c r="L177" s="8" t="n">
        <v>10</v>
      </c>
      <c r="M177" s="8" t="n">
        <v>2</v>
      </c>
      <c r="N177" s="8" t="s">
        <v>120</v>
      </c>
      <c r="O177" s="15" t="n">
        <f aca="false">H177*12</f>
        <v>125820</v>
      </c>
      <c r="P177" s="8" t="n">
        <f aca="false">MIN(100,ROUND(100*J177/Assumptions!$B$8,0))</f>
        <v>94</v>
      </c>
      <c r="Q177" s="8" t="n">
        <f aca="false">IF(L177="",Assumptions!$B$9,L177*10)</f>
        <v>100</v>
      </c>
      <c r="R177" s="8" t="n">
        <f aca="false">IF(M177&lt;=1,Assumptions!$B$12,IF(M177&lt;=3,Assumptions!$B$13,IF(M177&lt;=6,Assumptions!$B$14,Assumptions!$B$15)))</f>
        <v>75</v>
      </c>
      <c r="S177" s="8" t="n">
        <f aca="false">IF(N177="Completed On Time",Assumptions!$B$16,IF(N177="Completed Late",Assumptions!$B$17,Assumptions!$B$18))</f>
        <v>100</v>
      </c>
      <c r="T177" s="8" t="n">
        <f aca="false">IF(I177=0,Assumptions!$B$20,IF(H177&gt;I177,Assumptions!$B$19,IF(H177=I177,Assumptions!$B$20,Assumptions!$B$21)))</f>
        <v>70</v>
      </c>
      <c r="U177" s="8" t="n">
        <f aca="false">ROUND(P177*Assumptions!$B$2+Q177*Assumptions!$B$3+R177*Assumptions!$B$4+S177*Assumptions!$B$5+T177*Assumptions!$B$6,0)</f>
        <v>88</v>
      </c>
      <c r="V177" s="8" t="str">
        <f aca="false">IF(U177&gt;=Assumptions!$B$10,"Healthy",IF(U177&gt;=Assumptions!$B$11,"Needs Attention","High Risk"))</f>
        <v>Healthy</v>
      </c>
    </row>
    <row r="178" customFormat="false" ht="15" hidden="false" customHeight="false" outlineLevel="0" collapsed="false">
      <c r="A178" s="8" t="s">
        <v>497</v>
      </c>
      <c r="B178" s="8" t="s">
        <v>498</v>
      </c>
      <c r="C178" s="8" t="s">
        <v>55</v>
      </c>
      <c r="D178" s="8" t="s">
        <v>326</v>
      </c>
      <c r="E178" s="8" t="s">
        <v>132</v>
      </c>
      <c r="F178" s="8" t="s">
        <v>118</v>
      </c>
      <c r="G178" s="8" t="s">
        <v>147</v>
      </c>
      <c r="H178" s="15" t="n">
        <v>10450</v>
      </c>
      <c r="I178" s="15" t="n">
        <v>10450</v>
      </c>
      <c r="J178" s="16" t="n">
        <v>0.551</v>
      </c>
      <c r="K178" s="8" t="n">
        <v>6</v>
      </c>
      <c r="L178" s="8" t="n">
        <v>8</v>
      </c>
      <c r="M178" s="8" t="n">
        <v>3</v>
      </c>
      <c r="N178" s="8" t="s">
        <v>199</v>
      </c>
      <c r="O178" s="15" t="n">
        <f aca="false">H178*12</f>
        <v>125400</v>
      </c>
      <c r="P178" s="8" t="n">
        <f aca="false">MIN(100,ROUND(100*J178/Assumptions!$B$8,0))</f>
        <v>61</v>
      </c>
      <c r="Q178" s="8" t="n">
        <f aca="false">IF(L178="",Assumptions!$B$9,L178*10)</f>
        <v>80</v>
      </c>
      <c r="R178" s="8" t="n">
        <f aca="false">IF(M178&lt;=1,Assumptions!$B$12,IF(M178&lt;=3,Assumptions!$B$13,IF(M178&lt;=6,Assumptions!$B$14,Assumptions!$B$15)))</f>
        <v>75</v>
      </c>
      <c r="S178" s="8" t="n">
        <f aca="false">IF(N178="Completed On Time",Assumptions!$B$16,IF(N178="Completed Late",Assumptions!$B$17,Assumptions!$B$18))</f>
        <v>50</v>
      </c>
      <c r="T178" s="8" t="n">
        <f aca="false">IF(I178=0,Assumptions!$B$20,IF(H178&gt;I178,Assumptions!$B$19,IF(H178=I178,Assumptions!$B$20,Assumptions!$B$21)))</f>
        <v>70</v>
      </c>
      <c r="U178" s="8" t="n">
        <f aca="false">ROUND(P178*Assumptions!$B$2+Q178*Assumptions!$B$3+R178*Assumptions!$B$4+S178*Assumptions!$B$5+T178*Assumptions!$B$6,0)</f>
        <v>68</v>
      </c>
      <c r="V178" s="8" t="str">
        <f aca="false">IF(U178&gt;=Assumptions!$B$10,"Healthy",IF(U178&gt;=Assumptions!$B$11,"Needs Attention","High Risk"))</f>
        <v>Needs Attention</v>
      </c>
    </row>
    <row r="179" customFormat="false" ht="15" hidden="false" customHeight="false" outlineLevel="0" collapsed="false">
      <c r="A179" s="8" t="s">
        <v>499</v>
      </c>
      <c r="B179" s="8" t="s">
        <v>500</v>
      </c>
      <c r="C179" s="8" t="s">
        <v>55</v>
      </c>
      <c r="D179" s="8" t="s">
        <v>55</v>
      </c>
      <c r="E179" s="8" t="s">
        <v>117</v>
      </c>
      <c r="F179" s="8" t="s">
        <v>190</v>
      </c>
      <c r="G179" s="8" t="s">
        <v>185</v>
      </c>
      <c r="H179" s="15" t="n">
        <v>10260</v>
      </c>
      <c r="I179" s="15" t="n">
        <v>10260</v>
      </c>
      <c r="J179" s="16" t="n">
        <v>0.776</v>
      </c>
      <c r="K179" s="8" t="n">
        <v>8</v>
      </c>
      <c r="L179" s="8" t="n">
        <v>9</v>
      </c>
      <c r="M179" s="8" t="n">
        <v>2</v>
      </c>
      <c r="N179" s="8" t="s">
        <v>120</v>
      </c>
      <c r="O179" s="15" t="n">
        <f aca="false">H179*12</f>
        <v>123120</v>
      </c>
      <c r="P179" s="8" t="n">
        <f aca="false">MIN(100,ROUND(100*J179/Assumptions!$B$8,0))</f>
        <v>86</v>
      </c>
      <c r="Q179" s="8" t="n">
        <f aca="false">IF(L179="",Assumptions!$B$9,L179*10)</f>
        <v>90</v>
      </c>
      <c r="R179" s="8" t="n">
        <f aca="false">IF(M179&lt;=1,Assumptions!$B$12,IF(M179&lt;=3,Assumptions!$B$13,IF(M179&lt;=6,Assumptions!$B$14,Assumptions!$B$15)))</f>
        <v>75</v>
      </c>
      <c r="S179" s="8" t="n">
        <f aca="false">IF(N179="Completed On Time",Assumptions!$B$16,IF(N179="Completed Late",Assumptions!$B$17,Assumptions!$B$18))</f>
        <v>100</v>
      </c>
      <c r="T179" s="8" t="n">
        <f aca="false">IF(I179=0,Assumptions!$B$20,IF(H179&gt;I179,Assumptions!$B$19,IF(H179=I179,Assumptions!$B$20,Assumptions!$B$21)))</f>
        <v>70</v>
      </c>
      <c r="U179" s="8" t="n">
        <f aca="false">ROUND(P179*Assumptions!$B$2+Q179*Assumptions!$B$3+R179*Assumptions!$B$4+S179*Assumptions!$B$5+T179*Assumptions!$B$6,0)</f>
        <v>83</v>
      </c>
      <c r="V179" s="8" t="str">
        <f aca="false">IF(U179&gt;=Assumptions!$B$10,"Healthy",IF(U179&gt;=Assumptions!$B$11,"Needs Attention","High Risk"))</f>
        <v>Healthy</v>
      </c>
    </row>
    <row r="180" customFormat="false" ht="15" hidden="false" customHeight="false" outlineLevel="0" collapsed="false">
      <c r="A180" s="8" t="s">
        <v>501</v>
      </c>
      <c r="B180" s="8" t="s">
        <v>502</v>
      </c>
      <c r="C180" s="8" t="s">
        <v>53</v>
      </c>
      <c r="D180" s="8" t="s">
        <v>55</v>
      </c>
      <c r="E180" s="8" t="s">
        <v>132</v>
      </c>
      <c r="F180" s="8" t="s">
        <v>143</v>
      </c>
      <c r="G180" s="8" t="s">
        <v>140</v>
      </c>
      <c r="H180" s="15" t="n">
        <v>10215</v>
      </c>
      <c r="I180" s="15" t="n">
        <v>10215</v>
      </c>
      <c r="J180" s="16" t="n">
        <v>0.708</v>
      </c>
      <c r="K180" s="8" t="n">
        <v>7.3</v>
      </c>
      <c r="L180" s="8" t="n">
        <v>7</v>
      </c>
      <c r="M180" s="8" t="n">
        <v>5</v>
      </c>
      <c r="N180" s="8" t="s">
        <v>120</v>
      </c>
      <c r="O180" s="15" t="n">
        <f aca="false">H180*12</f>
        <v>122580</v>
      </c>
      <c r="P180" s="8" t="n">
        <f aca="false">MIN(100,ROUND(100*J180/Assumptions!$B$8,0))</f>
        <v>79</v>
      </c>
      <c r="Q180" s="8" t="n">
        <f aca="false">IF(L180="",Assumptions!$B$9,L180*10)</f>
        <v>70</v>
      </c>
      <c r="R180" s="8" t="n">
        <f aca="false">IF(M180&lt;=1,Assumptions!$B$12,IF(M180&lt;=3,Assumptions!$B$13,IF(M180&lt;=6,Assumptions!$B$14,Assumptions!$B$15)))</f>
        <v>50</v>
      </c>
      <c r="S180" s="8" t="n">
        <f aca="false">IF(N180="Completed On Time",Assumptions!$B$16,IF(N180="Completed Late",Assumptions!$B$17,Assumptions!$B$18))</f>
        <v>100</v>
      </c>
      <c r="T180" s="8" t="n">
        <f aca="false">IF(I180=0,Assumptions!$B$20,IF(H180&gt;I180,Assumptions!$B$19,IF(H180=I180,Assumptions!$B$20,Assumptions!$B$21)))</f>
        <v>70</v>
      </c>
      <c r="U180" s="8" t="n">
        <f aca="false">ROUND(P180*Assumptions!$B$2+Q180*Assumptions!$B$3+R180*Assumptions!$B$4+S180*Assumptions!$B$5+T180*Assumptions!$B$6,0)</f>
        <v>73</v>
      </c>
      <c r="V180" s="8" t="str">
        <f aca="false">IF(U180&gt;=Assumptions!$B$10,"Healthy",IF(U180&gt;=Assumptions!$B$11,"Needs Attention","High Risk"))</f>
        <v>Needs Attention</v>
      </c>
    </row>
    <row r="181" customFormat="false" ht="15" hidden="false" customHeight="false" outlineLevel="0" collapsed="false">
      <c r="A181" s="8" t="s">
        <v>503</v>
      </c>
      <c r="B181" s="8" t="s">
        <v>504</v>
      </c>
      <c r="C181" s="8" t="s">
        <v>53</v>
      </c>
      <c r="D181" s="8" t="s">
        <v>55</v>
      </c>
      <c r="E181" s="8" t="s">
        <v>132</v>
      </c>
      <c r="F181" s="8" t="s">
        <v>143</v>
      </c>
      <c r="G181" s="8" t="s">
        <v>180</v>
      </c>
      <c r="H181" s="15" t="n">
        <v>10170</v>
      </c>
      <c r="I181" s="15" t="n">
        <v>10170</v>
      </c>
      <c r="J181" s="16" t="n">
        <v>0.699</v>
      </c>
      <c r="K181" s="8" t="n">
        <v>7.3</v>
      </c>
      <c r="L181" s="8" t="n">
        <v>10</v>
      </c>
      <c r="M181" s="8" t="n">
        <v>0</v>
      </c>
      <c r="N181" s="8" t="s">
        <v>120</v>
      </c>
      <c r="O181" s="15" t="n">
        <f aca="false">H181*12</f>
        <v>122040</v>
      </c>
      <c r="P181" s="8" t="n">
        <f aca="false">MIN(100,ROUND(100*J181/Assumptions!$B$8,0))</f>
        <v>78</v>
      </c>
      <c r="Q181" s="8" t="n">
        <f aca="false">IF(L181="",Assumptions!$B$9,L181*10)</f>
        <v>100</v>
      </c>
      <c r="R181" s="8" t="n">
        <f aca="false">IF(M181&lt;=1,Assumptions!$B$12,IF(M181&lt;=3,Assumptions!$B$13,IF(M181&lt;=6,Assumptions!$B$14,Assumptions!$B$15)))</f>
        <v>100</v>
      </c>
      <c r="S181" s="8" t="n">
        <f aca="false">IF(N181="Completed On Time",Assumptions!$B$16,IF(N181="Completed Late",Assumptions!$B$17,Assumptions!$B$18))</f>
        <v>100</v>
      </c>
      <c r="T181" s="8" t="n">
        <f aca="false">IF(I181=0,Assumptions!$B$20,IF(H181&gt;I181,Assumptions!$B$19,IF(H181=I181,Assumptions!$B$20,Assumptions!$B$21)))</f>
        <v>70</v>
      </c>
      <c r="U181" s="8" t="n">
        <f aca="false">ROUND(P181*Assumptions!$B$2+Q181*Assumptions!$B$3+R181*Assumptions!$B$4+S181*Assumptions!$B$5+T181*Assumptions!$B$6,0)</f>
        <v>86</v>
      </c>
      <c r="V181" s="8" t="str">
        <f aca="false">IF(U181&gt;=Assumptions!$B$10,"Healthy",IF(U181&gt;=Assumptions!$B$11,"Needs Attention","High Risk"))</f>
        <v>Healthy</v>
      </c>
    </row>
    <row r="182" customFormat="false" ht="15" hidden="false" customHeight="false" outlineLevel="0" collapsed="false">
      <c r="A182" s="8" t="s">
        <v>505</v>
      </c>
      <c r="B182" s="8" t="s">
        <v>506</v>
      </c>
      <c r="C182" s="8" t="s">
        <v>55</v>
      </c>
      <c r="D182" s="8" t="s">
        <v>55</v>
      </c>
      <c r="E182" s="8" t="s">
        <v>123</v>
      </c>
      <c r="F182" s="8" t="s">
        <v>118</v>
      </c>
      <c r="G182" s="8" t="s">
        <v>129</v>
      </c>
      <c r="H182" s="15" t="n">
        <v>10125</v>
      </c>
      <c r="I182" s="15" t="n">
        <v>10125</v>
      </c>
      <c r="J182" s="16" t="n">
        <v>0.803</v>
      </c>
      <c r="K182" s="8" t="n">
        <v>9</v>
      </c>
      <c r="L182" s="8" t="n">
        <v>10</v>
      </c>
      <c r="M182" s="8" t="n">
        <v>2</v>
      </c>
      <c r="N182" s="8" t="s">
        <v>120</v>
      </c>
      <c r="O182" s="15" t="n">
        <f aca="false">H182*12</f>
        <v>121500</v>
      </c>
      <c r="P182" s="8" t="n">
        <f aca="false">MIN(100,ROUND(100*J182/Assumptions!$B$8,0))</f>
        <v>89</v>
      </c>
      <c r="Q182" s="8" t="n">
        <f aca="false">IF(L182="",Assumptions!$B$9,L182*10)</f>
        <v>100</v>
      </c>
      <c r="R182" s="8" t="n">
        <f aca="false">IF(M182&lt;=1,Assumptions!$B$12,IF(M182&lt;=3,Assumptions!$B$13,IF(M182&lt;=6,Assumptions!$B$14,Assumptions!$B$15)))</f>
        <v>75</v>
      </c>
      <c r="S182" s="8" t="n">
        <f aca="false">IF(N182="Completed On Time",Assumptions!$B$16,IF(N182="Completed Late",Assumptions!$B$17,Assumptions!$B$18))</f>
        <v>100</v>
      </c>
      <c r="T182" s="8" t="n">
        <f aca="false">IF(I182=0,Assumptions!$B$20,IF(H182&gt;I182,Assumptions!$B$19,IF(H182=I182,Assumptions!$B$20,Assumptions!$B$21)))</f>
        <v>70</v>
      </c>
      <c r="U182" s="8" t="n">
        <f aca="false">ROUND(P182*Assumptions!$B$2+Q182*Assumptions!$B$3+R182*Assumptions!$B$4+S182*Assumptions!$B$5+T182*Assumptions!$B$6,0)</f>
        <v>86</v>
      </c>
      <c r="V182" s="8" t="str">
        <f aca="false">IF(U182&gt;=Assumptions!$B$10,"Healthy",IF(U182&gt;=Assumptions!$B$11,"Needs Attention","High Risk"))</f>
        <v>Healthy</v>
      </c>
    </row>
    <row r="183" customFormat="false" ht="15" hidden="false" customHeight="false" outlineLevel="0" collapsed="false">
      <c r="A183" s="8" t="s">
        <v>507</v>
      </c>
      <c r="B183" s="8" t="s">
        <v>508</v>
      </c>
      <c r="C183" s="8" t="s">
        <v>55</v>
      </c>
      <c r="D183" s="8" t="s">
        <v>326</v>
      </c>
      <c r="E183" s="8" t="s">
        <v>117</v>
      </c>
      <c r="F183" s="8" t="s">
        <v>124</v>
      </c>
      <c r="G183" s="8" t="s">
        <v>119</v>
      </c>
      <c r="H183" s="15" t="n">
        <v>9925</v>
      </c>
      <c r="I183" s="15" t="n">
        <v>9925</v>
      </c>
      <c r="J183" s="16" t="n">
        <v>0.93</v>
      </c>
      <c r="K183" s="8" t="n">
        <v>11.3</v>
      </c>
      <c r="L183" s="8" t="n">
        <v>9</v>
      </c>
      <c r="M183" s="8" t="n">
        <v>2</v>
      </c>
      <c r="N183" s="8" t="s">
        <v>120</v>
      </c>
      <c r="O183" s="15" t="n">
        <f aca="false">H183*12</f>
        <v>119100</v>
      </c>
      <c r="P183" s="8" t="n">
        <f aca="false">MIN(100,ROUND(100*J183/Assumptions!$B$8,0))</f>
        <v>100</v>
      </c>
      <c r="Q183" s="8" t="n">
        <f aca="false">IF(L183="",Assumptions!$B$9,L183*10)</f>
        <v>90</v>
      </c>
      <c r="R183" s="8" t="n">
        <f aca="false">IF(M183&lt;=1,Assumptions!$B$12,IF(M183&lt;=3,Assumptions!$B$13,IF(M183&lt;=6,Assumptions!$B$14,Assumptions!$B$15)))</f>
        <v>75</v>
      </c>
      <c r="S183" s="8" t="n">
        <f aca="false">IF(N183="Completed On Time",Assumptions!$B$16,IF(N183="Completed Late",Assumptions!$B$17,Assumptions!$B$18))</f>
        <v>100</v>
      </c>
      <c r="T183" s="8" t="n">
        <f aca="false">IF(I183=0,Assumptions!$B$20,IF(H183&gt;I183,Assumptions!$B$19,IF(H183=I183,Assumptions!$B$20,Assumptions!$B$21)))</f>
        <v>70</v>
      </c>
      <c r="U183" s="8" t="n">
        <f aca="false">ROUND(P183*Assumptions!$B$2+Q183*Assumptions!$B$3+R183*Assumptions!$B$4+S183*Assumptions!$B$5+T183*Assumptions!$B$6,0)</f>
        <v>88</v>
      </c>
      <c r="V183" s="8" t="str">
        <f aca="false">IF(U183&gt;=Assumptions!$B$10,"Healthy",IF(U183&gt;=Assumptions!$B$11,"Needs Attention","High Risk"))</f>
        <v>Healthy</v>
      </c>
    </row>
    <row r="184" customFormat="false" ht="15" hidden="false" customHeight="false" outlineLevel="0" collapsed="false">
      <c r="A184" s="8" t="s">
        <v>509</v>
      </c>
      <c r="B184" s="8" t="s">
        <v>510</v>
      </c>
      <c r="C184" s="8" t="s">
        <v>53</v>
      </c>
      <c r="D184" s="8" t="s">
        <v>55</v>
      </c>
      <c r="E184" s="8" t="s">
        <v>132</v>
      </c>
      <c r="F184" s="8" t="s">
        <v>124</v>
      </c>
      <c r="G184" s="8" t="s">
        <v>125</v>
      </c>
      <c r="H184" s="15" t="n">
        <v>9900</v>
      </c>
      <c r="I184" s="15" t="n">
        <v>9900</v>
      </c>
      <c r="J184" s="16" t="n">
        <v>0.705</v>
      </c>
      <c r="K184" s="8" t="n">
        <v>8.3</v>
      </c>
      <c r="L184" s="8" t="n">
        <v>8</v>
      </c>
      <c r="M184" s="8" t="n">
        <v>5</v>
      </c>
      <c r="N184" s="8" t="s">
        <v>148</v>
      </c>
      <c r="O184" s="15" t="n">
        <f aca="false">H184*12</f>
        <v>118800</v>
      </c>
      <c r="P184" s="8" t="n">
        <f aca="false">MIN(100,ROUND(100*J184/Assumptions!$B$8,0))</f>
        <v>78</v>
      </c>
      <c r="Q184" s="8" t="n">
        <f aca="false">IF(L184="",Assumptions!$B$9,L184*10)</f>
        <v>80</v>
      </c>
      <c r="R184" s="8" t="n">
        <f aca="false">IF(M184&lt;=1,Assumptions!$B$12,IF(M184&lt;=3,Assumptions!$B$13,IF(M184&lt;=6,Assumptions!$B$14,Assumptions!$B$15)))</f>
        <v>50</v>
      </c>
      <c r="S184" s="8" t="n">
        <f aca="false">IF(N184="Completed On Time",Assumptions!$B$16,IF(N184="Completed Late",Assumptions!$B$17,Assumptions!$B$18))</f>
        <v>60</v>
      </c>
      <c r="T184" s="8" t="n">
        <f aca="false">IF(I184=0,Assumptions!$B$20,IF(H184&gt;I184,Assumptions!$B$19,IF(H184=I184,Assumptions!$B$20,Assumptions!$B$21)))</f>
        <v>70</v>
      </c>
      <c r="U184" s="8" t="n">
        <f aca="false">ROUND(P184*Assumptions!$B$2+Q184*Assumptions!$B$3+R184*Assumptions!$B$4+S184*Assumptions!$B$5+T184*Assumptions!$B$6,0)</f>
        <v>71</v>
      </c>
      <c r="V184" s="8" t="str">
        <f aca="false">IF(U184&gt;=Assumptions!$B$10,"Healthy",IF(U184&gt;=Assumptions!$B$11,"Needs Attention","High Risk"))</f>
        <v>Needs Attention</v>
      </c>
    </row>
    <row r="185" customFormat="false" ht="15" hidden="false" customHeight="false" outlineLevel="0" collapsed="false">
      <c r="A185" s="8" t="s">
        <v>511</v>
      </c>
      <c r="B185" s="8" t="s">
        <v>512</v>
      </c>
      <c r="C185" s="8" t="s">
        <v>55</v>
      </c>
      <c r="D185" s="8" t="s">
        <v>55</v>
      </c>
      <c r="E185" s="8" t="s">
        <v>128</v>
      </c>
      <c r="F185" s="8" t="s">
        <v>136</v>
      </c>
      <c r="G185" s="8" t="s">
        <v>125</v>
      </c>
      <c r="H185" s="15" t="n">
        <v>9900</v>
      </c>
      <c r="I185" s="15" t="n">
        <v>9900</v>
      </c>
      <c r="J185" s="16" t="n">
        <v>0.827</v>
      </c>
      <c r="K185" s="8" t="n">
        <v>10.3</v>
      </c>
      <c r="L185" s="8" t="n">
        <v>10</v>
      </c>
      <c r="M185" s="8" t="n">
        <v>1</v>
      </c>
      <c r="N185" s="8" t="s">
        <v>120</v>
      </c>
      <c r="O185" s="15" t="n">
        <f aca="false">H185*12</f>
        <v>118800</v>
      </c>
      <c r="P185" s="8" t="n">
        <f aca="false">MIN(100,ROUND(100*J185/Assumptions!$B$8,0))</f>
        <v>92</v>
      </c>
      <c r="Q185" s="8" t="n">
        <f aca="false">IF(L185="",Assumptions!$B$9,L185*10)</f>
        <v>100</v>
      </c>
      <c r="R185" s="8" t="n">
        <f aca="false">IF(M185&lt;=1,Assumptions!$B$12,IF(M185&lt;=3,Assumptions!$B$13,IF(M185&lt;=6,Assumptions!$B$14,Assumptions!$B$15)))</f>
        <v>100</v>
      </c>
      <c r="S185" s="8" t="n">
        <f aca="false">IF(N185="Completed On Time",Assumptions!$B$16,IF(N185="Completed Late",Assumptions!$B$17,Assumptions!$B$18))</f>
        <v>100</v>
      </c>
      <c r="T185" s="8" t="n">
        <f aca="false">IF(I185=0,Assumptions!$B$20,IF(H185&gt;I185,Assumptions!$B$19,IF(H185=I185,Assumptions!$B$20,Assumptions!$B$21)))</f>
        <v>70</v>
      </c>
      <c r="U185" s="8" t="n">
        <f aca="false">ROUND(P185*Assumptions!$B$2+Q185*Assumptions!$B$3+R185*Assumptions!$B$4+S185*Assumptions!$B$5+T185*Assumptions!$B$6,0)</f>
        <v>91</v>
      </c>
      <c r="V185" s="8" t="str">
        <f aca="false">IF(U185&gt;=Assumptions!$B$10,"Healthy",IF(U185&gt;=Assumptions!$B$11,"Needs Attention","High Risk"))</f>
        <v>Healthy</v>
      </c>
    </row>
    <row r="186" customFormat="false" ht="15" hidden="false" customHeight="false" outlineLevel="0" collapsed="false">
      <c r="A186" s="8" t="s">
        <v>513</v>
      </c>
      <c r="B186" s="8" t="s">
        <v>514</v>
      </c>
      <c r="C186" s="8" t="s">
        <v>55</v>
      </c>
      <c r="D186" s="8" t="s">
        <v>326</v>
      </c>
      <c r="E186" s="8" t="s">
        <v>132</v>
      </c>
      <c r="F186" s="8" t="s">
        <v>166</v>
      </c>
      <c r="G186" s="8" t="s">
        <v>140</v>
      </c>
      <c r="H186" s="15" t="n">
        <v>9900</v>
      </c>
      <c r="I186" s="15" t="n">
        <v>9900</v>
      </c>
      <c r="J186" s="16" t="n">
        <v>0.742</v>
      </c>
      <c r="K186" s="8" t="n">
        <v>8.3</v>
      </c>
      <c r="L186" s="8" t="n">
        <v>10</v>
      </c>
      <c r="M186" s="8" t="n">
        <v>3</v>
      </c>
      <c r="N186" s="8" t="s">
        <v>120</v>
      </c>
      <c r="O186" s="15" t="n">
        <f aca="false">H186*12</f>
        <v>118800</v>
      </c>
      <c r="P186" s="8" t="n">
        <f aca="false">MIN(100,ROUND(100*J186/Assumptions!$B$8,0))</f>
        <v>82</v>
      </c>
      <c r="Q186" s="8" t="n">
        <f aca="false">IF(L186="",Assumptions!$B$9,L186*10)</f>
        <v>100</v>
      </c>
      <c r="R186" s="8" t="n">
        <f aca="false">IF(M186&lt;=1,Assumptions!$B$12,IF(M186&lt;=3,Assumptions!$B$13,IF(M186&lt;=6,Assumptions!$B$14,Assumptions!$B$15)))</f>
        <v>75</v>
      </c>
      <c r="S186" s="8" t="n">
        <f aca="false">IF(N186="Completed On Time",Assumptions!$B$16,IF(N186="Completed Late",Assumptions!$B$17,Assumptions!$B$18))</f>
        <v>100</v>
      </c>
      <c r="T186" s="8" t="n">
        <f aca="false">IF(I186=0,Assumptions!$B$20,IF(H186&gt;I186,Assumptions!$B$19,IF(H186=I186,Assumptions!$B$20,Assumptions!$B$21)))</f>
        <v>70</v>
      </c>
      <c r="U186" s="8" t="n">
        <f aca="false">ROUND(P186*Assumptions!$B$2+Q186*Assumptions!$B$3+R186*Assumptions!$B$4+S186*Assumptions!$B$5+T186*Assumptions!$B$6,0)</f>
        <v>84</v>
      </c>
      <c r="V186" s="8" t="str">
        <f aca="false">IF(U186&gt;=Assumptions!$B$10,"Healthy",IF(U186&gt;=Assumptions!$B$11,"Needs Attention","High Risk"))</f>
        <v>Healthy</v>
      </c>
    </row>
    <row r="187" customFormat="false" ht="15" hidden="false" customHeight="false" outlineLevel="0" collapsed="false">
      <c r="A187" s="8" t="s">
        <v>515</v>
      </c>
      <c r="B187" s="8" t="s">
        <v>516</v>
      </c>
      <c r="C187" s="8" t="s">
        <v>55</v>
      </c>
      <c r="D187" s="8" t="s">
        <v>326</v>
      </c>
      <c r="E187" s="8" t="s">
        <v>123</v>
      </c>
      <c r="F187" s="8" t="s">
        <v>190</v>
      </c>
      <c r="G187" s="8" t="s">
        <v>159</v>
      </c>
      <c r="H187" s="15" t="n">
        <v>9700</v>
      </c>
      <c r="I187" s="15" t="n">
        <v>9700</v>
      </c>
      <c r="J187" s="16" t="n">
        <v>0.597</v>
      </c>
      <c r="K187" s="8" t="n">
        <v>7</v>
      </c>
      <c r="L187" s="8" t="n">
        <v>5</v>
      </c>
      <c r="M187" s="8" t="n">
        <v>3</v>
      </c>
      <c r="N187" s="8" t="s">
        <v>148</v>
      </c>
      <c r="O187" s="15" t="n">
        <f aca="false">H187*12</f>
        <v>116400</v>
      </c>
      <c r="P187" s="8" t="n">
        <f aca="false">MIN(100,ROUND(100*J187/Assumptions!$B$8,0))</f>
        <v>66</v>
      </c>
      <c r="Q187" s="8" t="n">
        <f aca="false">IF(L187="",Assumptions!$B$9,L187*10)</f>
        <v>50</v>
      </c>
      <c r="R187" s="8" t="n">
        <f aca="false">IF(M187&lt;=1,Assumptions!$B$12,IF(M187&lt;=3,Assumptions!$B$13,IF(M187&lt;=6,Assumptions!$B$14,Assumptions!$B$15)))</f>
        <v>75</v>
      </c>
      <c r="S187" s="8" t="n">
        <f aca="false">IF(N187="Completed On Time",Assumptions!$B$16,IF(N187="Completed Late",Assumptions!$B$17,Assumptions!$B$18))</f>
        <v>60</v>
      </c>
      <c r="T187" s="8" t="n">
        <f aca="false">IF(I187=0,Assumptions!$B$20,IF(H187&gt;I187,Assumptions!$B$19,IF(H187=I187,Assumptions!$B$20,Assumptions!$B$21)))</f>
        <v>70</v>
      </c>
      <c r="U187" s="8" t="n">
        <f aca="false">ROUND(P187*Assumptions!$B$2+Q187*Assumptions!$B$3+R187*Assumptions!$B$4+S187*Assumptions!$B$5+T187*Assumptions!$B$6,0)</f>
        <v>64</v>
      </c>
      <c r="V187" s="8" t="str">
        <f aca="false">IF(U187&gt;=Assumptions!$B$10,"Healthy",IF(U187&gt;=Assumptions!$B$11,"Needs Attention","High Risk"))</f>
        <v>High Risk</v>
      </c>
    </row>
    <row r="188" customFormat="false" ht="15" hidden="false" customHeight="false" outlineLevel="0" collapsed="false">
      <c r="A188" s="8" t="s">
        <v>517</v>
      </c>
      <c r="B188" s="8" t="s">
        <v>518</v>
      </c>
      <c r="C188" s="8" t="s">
        <v>55</v>
      </c>
      <c r="D188" s="8" t="s">
        <v>326</v>
      </c>
      <c r="E188" s="8" t="s">
        <v>123</v>
      </c>
      <c r="F188" s="8" t="s">
        <v>118</v>
      </c>
      <c r="G188" s="8" t="s">
        <v>177</v>
      </c>
      <c r="H188" s="15" t="n">
        <v>9700</v>
      </c>
      <c r="I188" s="15" t="n">
        <v>7450</v>
      </c>
      <c r="J188" s="16" t="n">
        <v>0.632</v>
      </c>
      <c r="K188" s="8" t="n">
        <v>6.7</v>
      </c>
      <c r="L188" s="8" t="n">
        <v>6</v>
      </c>
      <c r="M188" s="8" t="n">
        <v>3</v>
      </c>
      <c r="N188" s="8" t="s">
        <v>148</v>
      </c>
      <c r="O188" s="15" t="n">
        <f aca="false">H188*12</f>
        <v>116400</v>
      </c>
      <c r="P188" s="8" t="n">
        <f aca="false">MIN(100,ROUND(100*J188/Assumptions!$B$8,0))</f>
        <v>70</v>
      </c>
      <c r="Q188" s="8" t="n">
        <f aca="false">IF(L188="",Assumptions!$B$9,L188*10)</f>
        <v>60</v>
      </c>
      <c r="R188" s="8" t="n">
        <f aca="false">IF(M188&lt;=1,Assumptions!$B$12,IF(M188&lt;=3,Assumptions!$B$13,IF(M188&lt;=6,Assumptions!$B$14,Assumptions!$B$15)))</f>
        <v>75</v>
      </c>
      <c r="S188" s="8" t="n">
        <f aca="false">IF(N188="Completed On Time",Assumptions!$B$16,IF(N188="Completed Late",Assumptions!$B$17,Assumptions!$B$18))</f>
        <v>60</v>
      </c>
      <c r="T188" s="8" t="n">
        <f aca="false">IF(I188=0,Assumptions!$B$20,IF(H188&gt;I188,Assumptions!$B$19,IF(H188=I188,Assumptions!$B$20,Assumptions!$B$21)))</f>
        <v>100</v>
      </c>
      <c r="U188" s="8" t="n">
        <f aca="false">ROUND(P188*Assumptions!$B$2+Q188*Assumptions!$B$3+R188*Assumptions!$B$4+S188*Assumptions!$B$5+T188*Assumptions!$B$6,0)</f>
        <v>74</v>
      </c>
      <c r="V188" s="8" t="str">
        <f aca="false">IF(U188&gt;=Assumptions!$B$10,"Healthy",IF(U188&gt;=Assumptions!$B$11,"Needs Attention","High Risk"))</f>
        <v>Needs Attention</v>
      </c>
    </row>
    <row r="189" customFormat="false" ht="15" hidden="false" customHeight="false" outlineLevel="0" collapsed="false">
      <c r="A189" s="8" t="s">
        <v>519</v>
      </c>
      <c r="B189" s="8" t="s">
        <v>520</v>
      </c>
      <c r="C189" s="8" t="s">
        <v>55</v>
      </c>
      <c r="D189" s="8" t="s">
        <v>55</v>
      </c>
      <c r="E189" s="8" t="s">
        <v>123</v>
      </c>
      <c r="F189" s="8" t="s">
        <v>223</v>
      </c>
      <c r="G189" s="8" t="s">
        <v>159</v>
      </c>
      <c r="H189" s="15" t="n">
        <v>9630</v>
      </c>
      <c r="I189" s="15" t="n">
        <v>9630</v>
      </c>
      <c r="J189" s="16" t="n">
        <v>0.774</v>
      </c>
      <c r="K189" s="8" t="n">
        <v>10.7</v>
      </c>
      <c r="L189" s="8" t="n">
        <v>7</v>
      </c>
      <c r="M189" s="8" t="n">
        <v>2</v>
      </c>
      <c r="N189" s="8" t="s">
        <v>148</v>
      </c>
      <c r="O189" s="15" t="n">
        <f aca="false">H189*12</f>
        <v>115560</v>
      </c>
      <c r="P189" s="8" t="n">
        <f aca="false">MIN(100,ROUND(100*J189/Assumptions!$B$8,0))</f>
        <v>86</v>
      </c>
      <c r="Q189" s="8" t="n">
        <f aca="false">IF(L189="",Assumptions!$B$9,L189*10)</f>
        <v>70</v>
      </c>
      <c r="R189" s="8" t="n">
        <f aca="false">IF(M189&lt;=1,Assumptions!$B$12,IF(M189&lt;=3,Assumptions!$B$13,IF(M189&lt;=6,Assumptions!$B$14,Assumptions!$B$15)))</f>
        <v>75</v>
      </c>
      <c r="S189" s="8" t="n">
        <f aca="false">IF(N189="Completed On Time",Assumptions!$B$16,IF(N189="Completed Late",Assumptions!$B$17,Assumptions!$B$18))</f>
        <v>60</v>
      </c>
      <c r="T189" s="8" t="n">
        <f aca="false">IF(I189=0,Assumptions!$B$20,IF(H189&gt;I189,Assumptions!$B$19,IF(H189=I189,Assumptions!$B$20,Assumptions!$B$21)))</f>
        <v>70</v>
      </c>
      <c r="U189" s="8" t="n">
        <f aca="false">ROUND(P189*Assumptions!$B$2+Q189*Assumptions!$B$3+R189*Assumptions!$B$4+S189*Assumptions!$B$5+T189*Assumptions!$B$6,0)</f>
        <v>75</v>
      </c>
      <c r="V189" s="8" t="str">
        <f aca="false">IF(U189&gt;=Assumptions!$B$10,"Healthy",IF(U189&gt;=Assumptions!$B$11,"Needs Attention","High Risk"))</f>
        <v>Needs Attention</v>
      </c>
    </row>
    <row r="190" customFormat="false" ht="15" hidden="false" customHeight="false" outlineLevel="0" collapsed="false">
      <c r="A190" s="8" t="s">
        <v>521</v>
      </c>
      <c r="B190" s="8" t="s">
        <v>522</v>
      </c>
      <c r="C190" s="8" t="s">
        <v>53</v>
      </c>
      <c r="D190" s="8" t="s">
        <v>55</v>
      </c>
      <c r="E190" s="8" t="s">
        <v>123</v>
      </c>
      <c r="F190" s="8" t="s">
        <v>151</v>
      </c>
      <c r="G190" s="8" t="s">
        <v>159</v>
      </c>
      <c r="H190" s="15" t="n">
        <v>9585</v>
      </c>
      <c r="I190" s="15" t="n">
        <v>9585</v>
      </c>
      <c r="J190" s="16" t="n">
        <v>0.836</v>
      </c>
      <c r="K190" s="8" t="n">
        <v>9.7</v>
      </c>
      <c r="L190" s="8" t="n">
        <v>10</v>
      </c>
      <c r="M190" s="8" t="n">
        <v>4</v>
      </c>
      <c r="N190" s="8" t="s">
        <v>120</v>
      </c>
      <c r="O190" s="15" t="n">
        <f aca="false">H190*12</f>
        <v>115020</v>
      </c>
      <c r="P190" s="8" t="n">
        <f aca="false">MIN(100,ROUND(100*J190/Assumptions!$B$8,0))</f>
        <v>93</v>
      </c>
      <c r="Q190" s="8" t="n">
        <f aca="false">IF(L190="",Assumptions!$B$9,L190*10)</f>
        <v>100</v>
      </c>
      <c r="R190" s="8" t="n">
        <f aca="false">IF(M190&lt;=1,Assumptions!$B$12,IF(M190&lt;=3,Assumptions!$B$13,IF(M190&lt;=6,Assumptions!$B$14,Assumptions!$B$15)))</f>
        <v>50</v>
      </c>
      <c r="S190" s="8" t="n">
        <f aca="false">IF(N190="Completed On Time",Assumptions!$B$16,IF(N190="Completed Late",Assumptions!$B$17,Assumptions!$B$18))</f>
        <v>100</v>
      </c>
      <c r="T190" s="8" t="n">
        <f aca="false">IF(I190=0,Assumptions!$B$20,IF(H190&gt;I190,Assumptions!$B$19,IF(H190=I190,Assumptions!$B$20,Assumptions!$B$21)))</f>
        <v>70</v>
      </c>
      <c r="U190" s="8" t="n">
        <f aca="false">ROUND(P190*Assumptions!$B$2+Q190*Assumptions!$B$3+R190*Assumptions!$B$4+S190*Assumptions!$B$5+T190*Assumptions!$B$6,0)</f>
        <v>84</v>
      </c>
      <c r="V190" s="8" t="str">
        <f aca="false">IF(U190&gt;=Assumptions!$B$10,"Healthy",IF(U190&gt;=Assumptions!$B$11,"Needs Attention","High Risk"))</f>
        <v>Healthy</v>
      </c>
    </row>
    <row r="191" customFormat="false" ht="15" hidden="false" customHeight="false" outlineLevel="0" collapsed="false">
      <c r="A191" s="8" t="s">
        <v>523</v>
      </c>
      <c r="B191" s="8" t="s">
        <v>524</v>
      </c>
      <c r="C191" s="8" t="s">
        <v>55</v>
      </c>
      <c r="D191" s="8" t="s">
        <v>55</v>
      </c>
      <c r="E191" s="8" t="s">
        <v>123</v>
      </c>
      <c r="F191" s="8" t="s">
        <v>143</v>
      </c>
      <c r="G191" s="8" t="s">
        <v>140</v>
      </c>
      <c r="H191" s="15" t="n">
        <v>9540</v>
      </c>
      <c r="I191" s="15" t="n">
        <v>10530</v>
      </c>
      <c r="J191" s="16" t="n">
        <v>0.609</v>
      </c>
      <c r="K191" s="8" t="n">
        <v>8</v>
      </c>
      <c r="L191" s="8" t="n">
        <v>8</v>
      </c>
      <c r="M191" s="8" t="n">
        <v>2</v>
      </c>
      <c r="N191" s="8" t="s">
        <v>148</v>
      </c>
      <c r="O191" s="15" t="n">
        <f aca="false">H191*12</f>
        <v>114480</v>
      </c>
      <c r="P191" s="8" t="n">
        <f aca="false">MIN(100,ROUND(100*J191/Assumptions!$B$8,0))</f>
        <v>68</v>
      </c>
      <c r="Q191" s="8" t="n">
        <f aca="false">IF(L191="",Assumptions!$B$9,L191*10)</f>
        <v>80</v>
      </c>
      <c r="R191" s="8" t="n">
        <f aca="false">IF(M191&lt;=1,Assumptions!$B$12,IF(M191&lt;=3,Assumptions!$B$13,IF(M191&lt;=6,Assumptions!$B$14,Assumptions!$B$15)))</f>
        <v>75</v>
      </c>
      <c r="S191" s="8" t="n">
        <f aca="false">IF(N191="Completed On Time",Assumptions!$B$16,IF(N191="Completed Late",Assumptions!$B$17,Assumptions!$B$18))</f>
        <v>60</v>
      </c>
      <c r="T191" s="8" t="n">
        <f aca="false">IF(I191=0,Assumptions!$B$20,IF(H191&gt;I191,Assumptions!$B$19,IF(H191=I191,Assumptions!$B$20,Assumptions!$B$21)))</f>
        <v>30</v>
      </c>
      <c r="U191" s="8" t="n">
        <f aca="false">ROUND(P191*Assumptions!$B$2+Q191*Assumptions!$B$3+R191*Assumptions!$B$4+S191*Assumptions!$B$5+T191*Assumptions!$B$6,0)</f>
        <v>63</v>
      </c>
      <c r="V191" s="8" t="str">
        <f aca="false">IF(U191&gt;=Assumptions!$B$10,"Healthy",IF(U191&gt;=Assumptions!$B$11,"Needs Attention","High Risk"))</f>
        <v>High Risk</v>
      </c>
    </row>
    <row r="192" customFormat="false" ht="15" hidden="false" customHeight="false" outlineLevel="0" collapsed="false">
      <c r="A192" s="8" t="s">
        <v>525</v>
      </c>
      <c r="B192" s="8" t="s">
        <v>526</v>
      </c>
      <c r="C192" s="8" t="s">
        <v>53</v>
      </c>
      <c r="D192" s="8" t="s">
        <v>55</v>
      </c>
      <c r="E192" s="8" t="s">
        <v>117</v>
      </c>
      <c r="F192" s="8" t="s">
        <v>151</v>
      </c>
      <c r="G192" s="8" t="s">
        <v>125</v>
      </c>
      <c r="H192" s="15" t="n">
        <v>9450</v>
      </c>
      <c r="I192" s="15" t="n">
        <v>9450</v>
      </c>
      <c r="J192" s="16" t="n">
        <v>0.708</v>
      </c>
      <c r="K192" s="8" t="n">
        <v>11</v>
      </c>
      <c r="L192" s="8" t="n">
        <v>10</v>
      </c>
      <c r="M192" s="8" t="n">
        <v>0</v>
      </c>
      <c r="N192" s="8" t="s">
        <v>120</v>
      </c>
      <c r="O192" s="15" t="n">
        <f aca="false">H192*12</f>
        <v>113400</v>
      </c>
      <c r="P192" s="8" t="n">
        <f aca="false">MIN(100,ROUND(100*J192/Assumptions!$B$8,0))</f>
        <v>79</v>
      </c>
      <c r="Q192" s="8" t="n">
        <f aca="false">IF(L192="",Assumptions!$B$9,L192*10)</f>
        <v>100</v>
      </c>
      <c r="R192" s="8" t="n">
        <f aca="false">IF(M192&lt;=1,Assumptions!$B$12,IF(M192&lt;=3,Assumptions!$B$13,IF(M192&lt;=6,Assumptions!$B$14,Assumptions!$B$15)))</f>
        <v>100</v>
      </c>
      <c r="S192" s="8" t="n">
        <f aca="false">IF(N192="Completed On Time",Assumptions!$B$16,IF(N192="Completed Late",Assumptions!$B$17,Assumptions!$B$18))</f>
        <v>100</v>
      </c>
      <c r="T192" s="8" t="n">
        <f aca="false">IF(I192=0,Assumptions!$B$20,IF(H192&gt;I192,Assumptions!$B$19,IF(H192=I192,Assumptions!$B$20,Assumptions!$B$21)))</f>
        <v>70</v>
      </c>
      <c r="U192" s="8" t="n">
        <f aca="false">ROUND(P192*Assumptions!$B$2+Q192*Assumptions!$B$3+R192*Assumptions!$B$4+S192*Assumptions!$B$5+T192*Assumptions!$B$6,0)</f>
        <v>87</v>
      </c>
      <c r="V192" s="8" t="str">
        <f aca="false">IF(U192&gt;=Assumptions!$B$10,"Healthy",IF(U192&gt;=Assumptions!$B$11,"Needs Attention","High Risk"))</f>
        <v>Healthy</v>
      </c>
    </row>
    <row r="193" customFormat="false" ht="15" hidden="false" customHeight="false" outlineLevel="0" collapsed="false">
      <c r="A193" s="8" t="s">
        <v>527</v>
      </c>
      <c r="B193" s="8" t="s">
        <v>528</v>
      </c>
      <c r="C193" s="8" t="s">
        <v>55</v>
      </c>
      <c r="D193" s="8" t="s">
        <v>326</v>
      </c>
      <c r="E193" s="8" t="s">
        <v>132</v>
      </c>
      <c r="F193" s="8" t="s">
        <v>151</v>
      </c>
      <c r="G193" s="8" t="s">
        <v>144</v>
      </c>
      <c r="H193" s="15" t="n">
        <v>9425</v>
      </c>
      <c r="I193" s="15" t="n">
        <v>9425</v>
      </c>
      <c r="J193" s="16" t="n">
        <v>0.856</v>
      </c>
      <c r="K193" s="8" t="n">
        <v>10</v>
      </c>
      <c r="L193" s="8" t="n">
        <v>9</v>
      </c>
      <c r="M193" s="8" t="n">
        <v>4</v>
      </c>
      <c r="N193" s="8" t="s">
        <v>120</v>
      </c>
      <c r="O193" s="15" t="n">
        <f aca="false">H193*12</f>
        <v>113100</v>
      </c>
      <c r="P193" s="8" t="n">
        <f aca="false">MIN(100,ROUND(100*J193/Assumptions!$B$8,0))</f>
        <v>95</v>
      </c>
      <c r="Q193" s="8" t="n">
        <f aca="false">IF(L193="",Assumptions!$B$9,L193*10)</f>
        <v>90</v>
      </c>
      <c r="R193" s="8" t="n">
        <f aca="false">IF(M193&lt;=1,Assumptions!$B$12,IF(M193&lt;=3,Assumptions!$B$13,IF(M193&lt;=6,Assumptions!$B$14,Assumptions!$B$15)))</f>
        <v>50</v>
      </c>
      <c r="S193" s="8" t="n">
        <f aca="false">IF(N193="Completed On Time",Assumptions!$B$16,IF(N193="Completed Late",Assumptions!$B$17,Assumptions!$B$18))</f>
        <v>100</v>
      </c>
      <c r="T193" s="8" t="n">
        <f aca="false">IF(I193=0,Assumptions!$B$20,IF(H193&gt;I193,Assumptions!$B$19,IF(H193=I193,Assumptions!$B$20,Assumptions!$B$21)))</f>
        <v>70</v>
      </c>
      <c r="U193" s="8" t="n">
        <f aca="false">ROUND(P193*Assumptions!$B$2+Q193*Assumptions!$B$3+R193*Assumptions!$B$4+S193*Assumptions!$B$5+T193*Assumptions!$B$6,0)</f>
        <v>83</v>
      </c>
      <c r="V193" s="8" t="str">
        <f aca="false">IF(U193&gt;=Assumptions!$B$10,"Healthy",IF(U193&gt;=Assumptions!$B$11,"Needs Attention","High Risk"))</f>
        <v>Healthy</v>
      </c>
    </row>
    <row r="194" customFormat="false" ht="15" hidden="false" customHeight="false" outlineLevel="0" collapsed="false">
      <c r="A194" s="8" t="s">
        <v>529</v>
      </c>
      <c r="B194" s="8" t="s">
        <v>530</v>
      </c>
      <c r="C194" s="8" t="s">
        <v>53</v>
      </c>
      <c r="D194" s="8" t="s">
        <v>55</v>
      </c>
      <c r="E194" s="8" t="s">
        <v>123</v>
      </c>
      <c r="F194" s="8" t="s">
        <v>190</v>
      </c>
      <c r="G194" s="8" t="s">
        <v>177</v>
      </c>
      <c r="H194" s="15" t="n">
        <v>9315</v>
      </c>
      <c r="I194" s="15" t="n">
        <v>8280</v>
      </c>
      <c r="J194" s="16" t="n">
        <v>0.594</v>
      </c>
      <c r="K194" s="8" t="n">
        <v>8.3</v>
      </c>
      <c r="L194" s="8" t="n">
        <v>10</v>
      </c>
      <c r="M194" s="8" t="n">
        <v>7</v>
      </c>
      <c r="N194" s="8" t="s">
        <v>120</v>
      </c>
      <c r="O194" s="15" t="n">
        <f aca="false">H194*12</f>
        <v>111780</v>
      </c>
      <c r="P194" s="8" t="n">
        <f aca="false">MIN(100,ROUND(100*J194/Assumptions!$B$8,0))</f>
        <v>66</v>
      </c>
      <c r="Q194" s="8" t="n">
        <f aca="false">IF(L194="",Assumptions!$B$9,L194*10)</f>
        <v>100</v>
      </c>
      <c r="R194" s="8" t="n">
        <f aca="false">IF(M194&lt;=1,Assumptions!$B$12,IF(M194&lt;=3,Assumptions!$B$13,IF(M194&lt;=6,Assumptions!$B$14,Assumptions!$B$15)))</f>
        <v>20</v>
      </c>
      <c r="S194" s="8" t="n">
        <f aca="false">IF(N194="Completed On Time",Assumptions!$B$16,IF(N194="Completed Late",Assumptions!$B$17,Assumptions!$B$18))</f>
        <v>100</v>
      </c>
      <c r="T194" s="8" t="n">
        <f aca="false">IF(I194=0,Assumptions!$B$20,IF(H194&gt;I194,Assumptions!$B$19,IF(H194=I194,Assumptions!$B$20,Assumptions!$B$21)))</f>
        <v>100</v>
      </c>
      <c r="U194" s="8" t="n">
        <f aca="false">ROUND(P194*Assumptions!$B$2+Q194*Assumptions!$B$3+R194*Assumptions!$B$4+S194*Assumptions!$B$5+T194*Assumptions!$B$6,0)</f>
        <v>76</v>
      </c>
      <c r="V194" s="8" t="str">
        <f aca="false">IF(U194&gt;=Assumptions!$B$10,"Healthy",IF(U194&gt;=Assumptions!$B$11,"Needs Attention","High Risk"))</f>
        <v>Needs Attention</v>
      </c>
    </row>
    <row r="195" customFormat="false" ht="15" hidden="false" customHeight="false" outlineLevel="0" collapsed="false">
      <c r="A195" s="8" t="s">
        <v>531</v>
      </c>
      <c r="B195" s="8" t="s">
        <v>532</v>
      </c>
      <c r="C195" s="8" t="s">
        <v>55</v>
      </c>
      <c r="D195" s="8" t="s">
        <v>326</v>
      </c>
      <c r="E195" s="8" t="s">
        <v>123</v>
      </c>
      <c r="F195" s="8" t="s">
        <v>124</v>
      </c>
      <c r="G195" s="8" t="s">
        <v>204</v>
      </c>
      <c r="H195" s="15" t="n">
        <v>9250</v>
      </c>
      <c r="I195" s="15" t="n">
        <v>9250</v>
      </c>
      <c r="J195" s="16" t="n">
        <v>0.819</v>
      </c>
      <c r="K195" s="8" t="n">
        <v>10.7</v>
      </c>
      <c r="L195" s="8" t="n">
        <v>9</v>
      </c>
      <c r="M195" s="8" t="n">
        <v>0</v>
      </c>
      <c r="N195" s="8" t="s">
        <v>120</v>
      </c>
      <c r="O195" s="15" t="n">
        <f aca="false">H195*12</f>
        <v>111000</v>
      </c>
      <c r="P195" s="8" t="n">
        <f aca="false">MIN(100,ROUND(100*J195/Assumptions!$B$8,0))</f>
        <v>91</v>
      </c>
      <c r="Q195" s="8" t="n">
        <f aca="false">IF(L195="",Assumptions!$B$9,L195*10)</f>
        <v>90</v>
      </c>
      <c r="R195" s="8" t="n">
        <f aca="false">IF(M195&lt;=1,Assumptions!$B$12,IF(M195&lt;=3,Assumptions!$B$13,IF(M195&lt;=6,Assumptions!$B$14,Assumptions!$B$15)))</f>
        <v>100</v>
      </c>
      <c r="S195" s="8" t="n">
        <f aca="false">IF(N195="Completed On Time",Assumptions!$B$16,IF(N195="Completed Late",Assumptions!$B$17,Assumptions!$B$18))</f>
        <v>100</v>
      </c>
      <c r="T195" s="8" t="n">
        <f aca="false">IF(I195=0,Assumptions!$B$20,IF(H195&gt;I195,Assumptions!$B$19,IF(H195=I195,Assumptions!$B$20,Assumptions!$B$21)))</f>
        <v>70</v>
      </c>
      <c r="U195" s="8" t="n">
        <f aca="false">ROUND(P195*Assumptions!$B$2+Q195*Assumptions!$B$3+R195*Assumptions!$B$4+S195*Assumptions!$B$5+T195*Assumptions!$B$6,0)</f>
        <v>89</v>
      </c>
      <c r="V195" s="8" t="str">
        <f aca="false">IF(U195&gt;=Assumptions!$B$10,"Healthy",IF(U195&gt;=Assumptions!$B$11,"Needs Attention","High Risk"))</f>
        <v>Healthy</v>
      </c>
    </row>
    <row r="196" customFormat="false" ht="15" hidden="false" customHeight="false" outlineLevel="0" collapsed="false">
      <c r="A196" s="8" t="s">
        <v>533</v>
      </c>
      <c r="B196" s="8" t="s">
        <v>534</v>
      </c>
      <c r="C196" s="8" t="s">
        <v>55</v>
      </c>
      <c r="D196" s="8" t="s">
        <v>55</v>
      </c>
      <c r="E196" s="8" t="s">
        <v>132</v>
      </c>
      <c r="F196" s="8" t="s">
        <v>223</v>
      </c>
      <c r="G196" s="8" t="s">
        <v>159</v>
      </c>
      <c r="H196" s="15" t="n">
        <v>9225</v>
      </c>
      <c r="I196" s="15" t="n">
        <v>9225</v>
      </c>
      <c r="J196" s="16" t="n">
        <v>0.59</v>
      </c>
      <c r="K196" s="8" t="n">
        <v>7</v>
      </c>
      <c r="L196" s="8" t="n">
        <v>7</v>
      </c>
      <c r="M196" s="8" t="n">
        <v>6</v>
      </c>
      <c r="N196" s="8" t="s">
        <v>120</v>
      </c>
      <c r="O196" s="15" t="n">
        <f aca="false">H196*12</f>
        <v>110700</v>
      </c>
      <c r="P196" s="8" t="n">
        <f aca="false">MIN(100,ROUND(100*J196/Assumptions!$B$8,0))</f>
        <v>66</v>
      </c>
      <c r="Q196" s="8" t="n">
        <f aca="false">IF(L196="",Assumptions!$B$9,L196*10)</f>
        <v>70</v>
      </c>
      <c r="R196" s="8" t="n">
        <f aca="false">IF(M196&lt;=1,Assumptions!$B$12,IF(M196&lt;=3,Assumptions!$B$13,IF(M196&lt;=6,Assumptions!$B$14,Assumptions!$B$15)))</f>
        <v>50</v>
      </c>
      <c r="S196" s="8" t="n">
        <f aca="false">IF(N196="Completed On Time",Assumptions!$B$16,IF(N196="Completed Late",Assumptions!$B$17,Assumptions!$B$18))</f>
        <v>100</v>
      </c>
      <c r="T196" s="8" t="n">
        <f aca="false">IF(I196=0,Assumptions!$B$20,IF(H196&gt;I196,Assumptions!$B$19,IF(H196=I196,Assumptions!$B$20,Assumptions!$B$21)))</f>
        <v>70</v>
      </c>
      <c r="U196" s="8" t="n">
        <f aca="false">ROUND(P196*Assumptions!$B$2+Q196*Assumptions!$B$3+R196*Assumptions!$B$4+S196*Assumptions!$B$5+T196*Assumptions!$B$6,0)</f>
        <v>69</v>
      </c>
      <c r="V196" s="8" t="str">
        <f aca="false">IF(U196&gt;=Assumptions!$B$10,"Healthy",IF(U196&gt;=Assumptions!$B$11,"Needs Attention","High Risk"))</f>
        <v>Needs Attention</v>
      </c>
    </row>
    <row r="197" customFormat="false" ht="15" hidden="false" customHeight="false" outlineLevel="0" collapsed="false">
      <c r="A197" s="8" t="s">
        <v>535</v>
      </c>
      <c r="B197" s="8" t="s">
        <v>536</v>
      </c>
      <c r="C197" s="8" t="s">
        <v>55</v>
      </c>
      <c r="D197" s="8" t="s">
        <v>326</v>
      </c>
      <c r="E197" s="8" t="s">
        <v>132</v>
      </c>
      <c r="F197" s="8" t="s">
        <v>133</v>
      </c>
      <c r="G197" s="8" t="s">
        <v>140</v>
      </c>
      <c r="H197" s="15" t="n">
        <v>9200</v>
      </c>
      <c r="I197" s="15" t="n">
        <v>9200</v>
      </c>
      <c r="J197" s="16" t="n">
        <v>0.911</v>
      </c>
      <c r="K197" s="8" t="n">
        <v>12</v>
      </c>
      <c r="L197" s="8" t="n">
        <v>10</v>
      </c>
      <c r="M197" s="8" t="n">
        <v>0</v>
      </c>
      <c r="N197" s="8" t="s">
        <v>120</v>
      </c>
      <c r="O197" s="15" t="n">
        <f aca="false">H197*12</f>
        <v>110400</v>
      </c>
      <c r="P197" s="8" t="n">
        <f aca="false">MIN(100,ROUND(100*J197/Assumptions!$B$8,0))</f>
        <v>100</v>
      </c>
      <c r="Q197" s="8" t="n">
        <f aca="false">IF(L197="",Assumptions!$B$9,L197*10)</f>
        <v>100</v>
      </c>
      <c r="R197" s="8" t="n">
        <f aca="false">IF(M197&lt;=1,Assumptions!$B$12,IF(M197&lt;=3,Assumptions!$B$13,IF(M197&lt;=6,Assumptions!$B$14,Assumptions!$B$15)))</f>
        <v>100</v>
      </c>
      <c r="S197" s="8" t="n">
        <f aca="false">IF(N197="Completed On Time",Assumptions!$B$16,IF(N197="Completed Late",Assumptions!$B$17,Assumptions!$B$18))</f>
        <v>100</v>
      </c>
      <c r="T197" s="8" t="n">
        <f aca="false">IF(I197=0,Assumptions!$B$20,IF(H197&gt;I197,Assumptions!$B$19,IF(H197=I197,Assumptions!$B$20,Assumptions!$B$21)))</f>
        <v>70</v>
      </c>
      <c r="U197" s="8" t="n">
        <f aca="false">ROUND(P197*Assumptions!$B$2+Q197*Assumptions!$B$3+R197*Assumptions!$B$4+S197*Assumptions!$B$5+T197*Assumptions!$B$6,0)</f>
        <v>94</v>
      </c>
      <c r="V197" s="8" t="str">
        <f aca="false">IF(U197&gt;=Assumptions!$B$10,"Healthy",IF(U197&gt;=Assumptions!$B$11,"Needs Attention","High Risk"))</f>
        <v>Healthy</v>
      </c>
    </row>
    <row r="198" customFormat="false" ht="15" hidden="false" customHeight="false" outlineLevel="0" collapsed="false">
      <c r="A198" s="8" t="s">
        <v>537</v>
      </c>
      <c r="B198" s="8" t="s">
        <v>538</v>
      </c>
      <c r="C198" s="8" t="s">
        <v>55</v>
      </c>
      <c r="D198" s="8" t="s">
        <v>326</v>
      </c>
      <c r="E198" s="8" t="s">
        <v>117</v>
      </c>
      <c r="F198" s="8" t="s">
        <v>190</v>
      </c>
      <c r="G198" s="8" t="s">
        <v>144</v>
      </c>
      <c r="H198" s="15" t="n">
        <v>9075</v>
      </c>
      <c r="I198" s="15" t="n">
        <v>9075</v>
      </c>
      <c r="J198" s="16" t="n">
        <v>0.633</v>
      </c>
      <c r="K198" s="8" t="n">
        <v>7.3</v>
      </c>
      <c r="L198" s="8" t="n">
        <v>9</v>
      </c>
      <c r="M198" s="8" t="n">
        <v>7</v>
      </c>
      <c r="N198" s="8" t="s">
        <v>120</v>
      </c>
      <c r="O198" s="15" t="n">
        <f aca="false">H198*12</f>
        <v>108900</v>
      </c>
      <c r="P198" s="8" t="n">
        <f aca="false">MIN(100,ROUND(100*J198/Assumptions!$B$8,0))</f>
        <v>70</v>
      </c>
      <c r="Q198" s="8" t="n">
        <f aca="false">IF(L198="",Assumptions!$B$9,L198*10)</f>
        <v>90</v>
      </c>
      <c r="R198" s="8" t="n">
        <f aca="false">IF(M198&lt;=1,Assumptions!$B$12,IF(M198&lt;=3,Assumptions!$B$13,IF(M198&lt;=6,Assumptions!$B$14,Assumptions!$B$15)))</f>
        <v>20</v>
      </c>
      <c r="S198" s="8" t="n">
        <f aca="false">IF(N198="Completed On Time",Assumptions!$B$16,IF(N198="Completed Late",Assumptions!$B$17,Assumptions!$B$18))</f>
        <v>100</v>
      </c>
      <c r="T198" s="8" t="n">
        <f aca="false">IF(I198=0,Assumptions!$B$20,IF(H198&gt;I198,Assumptions!$B$19,IF(H198=I198,Assumptions!$B$20,Assumptions!$B$21)))</f>
        <v>70</v>
      </c>
      <c r="U198" s="8" t="n">
        <f aca="false">ROUND(P198*Assumptions!$B$2+Q198*Assumptions!$B$3+R198*Assumptions!$B$4+S198*Assumptions!$B$5+T198*Assumptions!$B$6,0)</f>
        <v>70</v>
      </c>
      <c r="V198" s="8" t="str">
        <f aca="false">IF(U198&gt;=Assumptions!$B$10,"Healthy",IF(U198&gt;=Assumptions!$B$11,"Needs Attention","High Risk"))</f>
        <v>Needs Attention</v>
      </c>
    </row>
    <row r="199" customFormat="false" ht="15" hidden="false" customHeight="false" outlineLevel="0" collapsed="false">
      <c r="A199" s="8" t="s">
        <v>539</v>
      </c>
      <c r="B199" s="8" t="s">
        <v>540</v>
      </c>
      <c r="C199" s="8" t="s">
        <v>53</v>
      </c>
      <c r="D199" s="8" t="s">
        <v>55</v>
      </c>
      <c r="E199" s="8" t="s">
        <v>123</v>
      </c>
      <c r="F199" s="8" t="s">
        <v>190</v>
      </c>
      <c r="G199" s="8" t="s">
        <v>177</v>
      </c>
      <c r="H199" s="15" t="n">
        <v>9045</v>
      </c>
      <c r="I199" s="15" t="n">
        <v>9045</v>
      </c>
      <c r="J199" s="16" t="n">
        <v>0.824</v>
      </c>
      <c r="K199" s="8" t="n">
        <v>10.7</v>
      </c>
      <c r="L199" s="8" t="n">
        <v>9</v>
      </c>
      <c r="M199" s="8" t="n">
        <v>4</v>
      </c>
      <c r="N199" s="8" t="s">
        <v>120</v>
      </c>
      <c r="O199" s="15" t="n">
        <f aca="false">H199*12</f>
        <v>108540</v>
      </c>
      <c r="P199" s="8" t="n">
        <f aca="false">MIN(100,ROUND(100*J199/Assumptions!$B$8,0))</f>
        <v>92</v>
      </c>
      <c r="Q199" s="8" t="n">
        <f aca="false">IF(L199="",Assumptions!$B$9,L199*10)</f>
        <v>90</v>
      </c>
      <c r="R199" s="8" t="n">
        <f aca="false">IF(M199&lt;=1,Assumptions!$B$12,IF(M199&lt;=3,Assumptions!$B$13,IF(M199&lt;=6,Assumptions!$B$14,Assumptions!$B$15)))</f>
        <v>50</v>
      </c>
      <c r="S199" s="8" t="n">
        <f aca="false">IF(N199="Completed On Time",Assumptions!$B$16,IF(N199="Completed Late",Assumptions!$B$17,Assumptions!$B$18))</f>
        <v>100</v>
      </c>
      <c r="T199" s="8" t="n">
        <f aca="false">IF(I199=0,Assumptions!$B$20,IF(H199&gt;I199,Assumptions!$B$19,IF(H199=I199,Assumptions!$B$20,Assumptions!$B$21)))</f>
        <v>70</v>
      </c>
      <c r="U199" s="8" t="n">
        <f aca="false">ROUND(P199*Assumptions!$B$2+Q199*Assumptions!$B$3+R199*Assumptions!$B$4+S199*Assumptions!$B$5+T199*Assumptions!$B$6,0)</f>
        <v>82</v>
      </c>
      <c r="V199" s="8" t="str">
        <f aca="false">IF(U199&gt;=Assumptions!$B$10,"Healthy",IF(U199&gt;=Assumptions!$B$11,"Needs Attention","High Risk"))</f>
        <v>Healthy</v>
      </c>
    </row>
    <row r="200" customFormat="false" ht="15" hidden="false" customHeight="false" outlineLevel="0" collapsed="false">
      <c r="A200" s="8" t="s">
        <v>541</v>
      </c>
      <c r="B200" s="8" t="s">
        <v>542</v>
      </c>
      <c r="C200" s="8" t="s">
        <v>55</v>
      </c>
      <c r="D200" s="8" t="s">
        <v>326</v>
      </c>
      <c r="E200" s="8" t="s">
        <v>123</v>
      </c>
      <c r="F200" s="8" t="s">
        <v>133</v>
      </c>
      <c r="G200" s="8" t="s">
        <v>147</v>
      </c>
      <c r="H200" s="15" t="n">
        <v>9000</v>
      </c>
      <c r="I200" s="15" t="n">
        <v>9000</v>
      </c>
      <c r="J200" s="16" t="n">
        <v>0.529</v>
      </c>
      <c r="K200" s="8" t="n">
        <v>7.7</v>
      </c>
      <c r="L200" s="8" t="n">
        <v>5</v>
      </c>
      <c r="M200" s="8" t="n">
        <v>9</v>
      </c>
      <c r="N200" s="8" t="s">
        <v>148</v>
      </c>
      <c r="O200" s="15" t="n">
        <f aca="false">H200*12</f>
        <v>108000</v>
      </c>
      <c r="P200" s="8" t="n">
        <f aca="false">MIN(100,ROUND(100*J200/Assumptions!$B$8,0))</f>
        <v>59</v>
      </c>
      <c r="Q200" s="8" t="n">
        <f aca="false">IF(L200="",Assumptions!$B$9,L200*10)</f>
        <v>50</v>
      </c>
      <c r="R200" s="8" t="n">
        <f aca="false">IF(M200&lt;=1,Assumptions!$B$12,IF(M200&lt;=3,Assumptions!$B$13,IF(M200&lt;=6,Assumptions!$B$14,Assumptions!$B$15)))</f>
        <v>20</v>
      </c>
      <c r="S200" s="8" t="n">
        <f aca="false">IF(N200="Completed On Time",Assumptions!$B$16,IF(N200="Completed Late",Assumptions!$B$17,Assumptions!$B$18))</f>
        <v>60</v>
      </c>
      <c r="T200" s="8" t="n">
        <f aca="false">IF(I200=0,Assumptions!$B$20,IF(H200&gt;I200,Assumptions!$B$19,IF(H200=I200,Assumptions!$B$20,Assumptions!$B$21)))</f>
        <v>70</v>
      </c>
      <c r="U200" s="8" t="n">
        <f aca="false">ROUND(P200*Assumptions!$B$2+Q200*Assumptions!$B$3+R200*Assumptions!$B$4+S200*Assumptions!$B$5+T200*Assumptions!$B$6,0)</f>
        <v>54</v>
      </c>
      <c r="V200" s="8" t="str">
        <f aca="false">IF(U200&gt;=Assumptions!$B$10,"Healthy",IF(U200&gt;=Assumptions!$B$11,"Needs Attention","High Risk"))</f>
        <v>High Risk</v>
      </c>
    </row>
    <row r="201" customFormat="false" ht="15" hidden="false" customHeight="false" outlineLevel="0" collapsed="false">
      <c r="A201" s="8" t="s">
        <v>543</v>
      </c>
      <c r="B201" s="8" t="s">
        <v>544</v>
      </c>
      <c r="C201" s="8" t="s">
        <v>55</v>
      </c>
      <c r="D201" s="8" t="s">
        <v>326</v>
      </c>
      <c r="E201" s="8" t="s">
        <v>123</v>
      </c>
      <c r="F201" s="8" t="s">
        <v>223</v>
      </c>
      <c r="G201" s="8" t="s">
        <v>204</v>
      </c>
      <c r="H201" s="15" t="n">
        <v>8950</v>
      </c>
      <c r="I201" s="15" t="n">
        <v>8950</v>
      </c>
      <c r="J201" s="16" t="n">
        <v>0.797</v>
      </c>
      <c r="K201" s="8" t="n">
        <v>10</v>
      </c>
      <c r="L201" s="8" t="n">
        <v>9</v>
      </c>
      <c r="M201" s="8" t="n">
        <v>3</v>
      </c>
      <c r="N201" s="8" t="s">
        <v>148</v>
      </c>
      <c r="O201" s="15" t="n">
        <f aca="false">H201*12</f>
        <v>107400</v>
      </c>
      <c r="P201" s="8" t="n">
        <f aca="false">MIN(100,ROUND(100*J201/Assumptions!$B$8,0))</f>
        <v>89</v>
      </c>
      <c r="Q201" s="8" t="n">
        <f aca="false">IF(L201="",Assumptions!$B$9,L201*10)</f>
        <v>90</v>
      </c>
      <c r="R201" s="8" t="n">
        <f aca="false">IF(M201&lt;=1,Assumptions!$B$12,IF(M201&lt;=3,Assumptions!$B$13,IF(M201&lt;=6,Assumptions!$B$14,Assumptions!$B$15)))</f>
        <v>75</v>
      </c>
      <c r="S201" s="8" t="n">
        <f aca="false">IF(N201="Completed On Time",Assumptions!$B$16,IF(N201="Completed Late",Assumptions!$B$17,Assumptions!$B$18))</f>
        <v>60</v>
      </c>
      <c r="T201" s="8" t="n">
        <f aca="false">IF(I201=0,Assumptions!$B$20,IF(H201&gt;I201,Assumptions!$B$19,IF(H201=I201,Assumptions!$B$20,Assumptions!$B$21)))</f>
        <v>70</v>
      </c>
      <c r="U201" s="8" t="n">
        <f aca="false">ROUND(P201*Assumptions!$B$2+Q201*Assumptions!$B$3+R201*Assumptions!$B$4+S201*Assumptions!$B$5+T201*Assumptions!$B$6,0)</f>
        <v>80</v>
      </c>
      <c r="V201" s="8" t="str">
        <f aca="false">IF(U201&gt;=Assumptions!$B$10,"Healthy",IF(U201&gt;=Assumptions!$B$11,"Needs Attention","High Risk"))</f>
        <v>Healthy</v>
      </c>
    </row>
    <row r="202" customFormat="false" ht="15" hidden="false" customHeight="false" outlineLevel="0" collapsed="false">
      <c r="A202" s="8" t="s">
        <v>545</v>
      </c>
      <c r="B202" s="8" t="s">
        <v>546</v>
      </c>
      <c r="C202" s="8" t="s">
        <v>53</v>
      </c>
      <c r="D202" s="8" t="s">
        <v>55</v>
      </c>
      <c r="E202" s="8" t="s">
        <v>117</v>
      </c>
      <c r="F202" s="8" t="s">
        <v>154</v>
      </c>
      <c r="G202" s="8" t="s">
        <v>129</v>
      </c>
      <c r="H202" s="15" t="n">
        <v>8820</v>
      </c>
      <c r="I202" s="15" t="n">
        <v>8820</v>
      </c>
      <c r="J202" s="16" t="n">
        <v>0.639</v>
      </c>
      <c r="K202" s="8" t="n">
        <v>7.7</v>
      </c>
      <c r="L202" s="8" t="n">
        <v>6</v>
      </c>
      <c r="M202" s="8" t="n">
        <v>3</v>
      </c>
      <c r="N202" s="8" t="s">
        <v>120</v>
      </c>
      <c r="O202" s="15" t="n">
        <f aca="false">H202*12</f>
        <v>105840</v>
      </c>
      <c r="P202" s="8" t="n">
        <f aca="false">MIN(100,ROUND(100*J202/Assumptions!$B$8,0))</f>
        <v>71</v>
      </c>
      <c r="Q202" s="8" t="n">
        <f aca="false">IF(L202="",Assumptions!$B$9,L202*10)</f>
        <v>60</v>
      </c>
      <c r="R202" s="8" t="n">
        <f aca="false">IF(M202&lt;=1,Assumptions!$B$12,IF(M202&lt;=3,Assumptions!$B$13,IF(M202&lt;=6,Assumptions!$B$14,Assumptions!$B$15)))</f>
        <v>75</v>
      </c>
      <c r="S202" s="8" t="n">
        <f aca="false">IF(N202="Completed On Time",Assumptions!$B$16,IF(N202="Completed Late",Assumptions!$B$17,Assumptions!$B$18))</f>
        <v>100</v>
      </c>
      <c r="T202" s="8" t="n">
        <f aca="false">IF(I202=0,Assumptions!$B$20,IF(H202&gt;I202,Assumptions!$B$19,IF(H202=I202,Assumptions!$B$20,Assumptions!$B$21)))</f>
        <v>70</v>
      </c>
      <c r="U202" s="8" t="n">
        <f aca="false">ROUND(P202*Assumptions!$B$2+Q202*Assumptions!$B$3+R202*Assumptions!$B$4+S202*Assumptions!$B$5+T202*Assumptions!$B$6,0)</f>
        <v>72</v>
      </c>
      <c r="V202" s="8" t="str">
        <f aca="false">IF(U202&gt;=Assumptions!$B$10,"Healthy",IF(U202&gt;=Assumptions!$B$11,"Needs Attention","High Risk"))</f>
        <v>Needs Attention</v>
      </c>
    </row>
    <row r="203" customFormat="false" ht="15" hidden="false" customHeight="false" outlineLevel="0" collapsed="false">
      <c r="A203" s="8" t="s">
        <v>547</v>
      </c>
      <c r="B203" s="8" t="s">
        <v>548</v>
      </c>
      <c r="C203" s="8" t="s">
        <v>53</v>
      </c>
      <c r="D203" s="8" t="s">
        <v>55</v>
      </c>
      <c r="E203" s="8" t="s">
        <v>123</v>
      </c>
      <c r="F203" s="8" t="s">
        <v>223</v>
      </c>
      <c r="G203" s="8" t="s">
        <v>144</v>
      </c>
      <c r="H203" s="15" t="n">
        <v>8820</v>
      </c>
      <c r="I203" s="15" t="n">
        <v>8820</v>
      </c>
      <c r="J203" s="16" t="n">
        <v>0.748</v>
      </c>
      <c r="K203" s="8" t="n">
        <v>10.3</v>
      </c>
      <c r="L203" s="8" t="n">
        <v>8</v>
      </c>
      <c r="M203" s="8" t="n">
        <v>6</v>
      </c>
      <c r="N203" s="8" t="s">
        <v>120</v>
      </c>
      <c r="O203" s="15" t="n">
        <f aca="false">H203*12</f>
        <v>105840</v>
      </c>
      <c r="P203" s="8" t="n">
        <f aca="false">MIN(100,ROUND(100*J203/Assumptions!$B$8,0))</f>
        <v>83</v>
      </c>
      <c r="Q203" s="8" t="n">
        <f aca="false">IF(L203="",Assumptions!$B$9,L203*10)</f>
        <v>80</v>
      </c>
      <c r="R203" s="8" t="n">
        <f aca="false">IF(M203&lt;=1,Assumptions!$B$12,IF(M203&lt;=3,Assumptions!$B$13,IF(M203&lt;=6,Assumptions!$B$14,Assumptions!$B$15)))</f>
        <v>50</v>
      </c>
      <c r="S203" s="8" t="n">
        <f aca="false">IF(N203="Completed On Time",Assumptions!$B$16,IF(N203="Completed Late",Assumptions!$B$17,Assumptions!$B$18))</f>
        <v>100</v>
      </c>
      <c r="T203" s="8" t="n">
        <f aca="false">IF(I203=0,Assumptions!$B$20,IF(H203&gt;I203,Assumptions!$B$19,IF(H203=I203,Assumptions!$B$20,Assumptions!$B$21)))</f>
        <v>70</v>
      </c>
      <c r="U203" s="8" t="n">
        <f aca="false">ROUND(P203*Assumptions!$B$2+Q203*Assumptions!$B$3+R203*Assumptions!$B$4+S203*Assumptions!$B$5+T203*Assumptions!$B$6,0)</f>
        <v>77</v>
      </c>
      <c r="V203" s="8" t="str">
        <f aca="false">IF(U203&gt;=Assumptions!$B$10,"Healthy",IF(U203&gt;=Assumptions!$B$11,"Needs Attention","High Risk"))</f>
        <v>Needs Attention</v>
      </c>
    </row>
    <row r="204" customFormat="false" ht="15" hidden="false" customHeight="false" outlineLevel="0" collapsed="false">
      <c r="A204" s="8" t="s">
        <v>549</v>
      </c>
      <c r="B204" s="8" t="s">
        <v>550</v>
      </c>
      <c r="C204" s="8" t="s">
        <v>53</v>
      </c>
      <c r="D204" s="8" t="s">
        <v>55</v>
      </c>
      <c r="E204" s="8" t="s">
        <v>123</v>
      </c>
      <c r="F204" s="8" t="s">
        <v>166</v>
      </c>
      <c r="G204" s="8" t="s">
        <v>144</v>
      </c>
      <c r="H204" s="15" t="n">
        <v>8775</v>
      </c>
      <c r="I204" s="15" t="n">
        <v>8775</v>
      </c>
      <c r="J204" s="16" t="n">
        <v>0.687</v>
      </c>
      <c r="K204" s="8" t="n">
        <v>10.3</v>
      </c>
      <c r="L204" s="8" t="n">
        <v>5</v>
      </c>
      <c r="M204" s="8" t="n">
        <v>1</v>
      </c>
      <c r="N204" s="8" t="s">
        <v>120</v>
      </c>
      <c r="O204" s="15" t="n">
        <f aca="false">H204*12</f>
        <v>105300</v>
      </c>
      <c r="P204" s="8" t="n">
        <f aca="false">MIN(100,ROUND(100*J204/Assumptions!$B$8,0))</f>
        <v>76</v>
      </c>
      <c r="Q204" s="8" t="n">
        <f aca="false">IF(L204="",Assumptions!$B$9,L204*10)</f>
        <v>50</v>
      </c>
      <c r="R204" s="8" t="n">
        <f aca="false">IF(M204&lt;=1,Assumptions!$B$12,IF(M204&lt;=3,Assumptions!$B$13,IF(M204&lt;=6,Assumptions!$B$14,Assumptions!$B$15)))</f>
        <v>100</v>
      </c>
      <c r="S204" s="8" t="n">
        <f aca="false">IF(N204="Completed On Time",Assumptions!$B$16,IF(N204="Completed Late",Assumptions!$B$17,Assumptions!$B$18))</f>
        <v>100</v>
      </c>
      <c r="T204" s="8" t="n">
        <f aca="false">IF(I204=0,Assumptions!$B$20,IF(H204&gt;I204,Assumptions!$B$19,IF(H204=I204,Assumptions!$B$20,Assumptions!$B$21)))</f>
        <v>70</v>
      </c>
      <c r="U204" s="8" t="n">
        <f aca="false">ROUND(P204*Assumptions!$B$2+Q204*Assumptions!$B$3+R204*Assumptions!$B$4+S204*Assumptions!$B$5+T204*Assumptions!$B$6,0)</f>
        <v>76</v>
      </c>
      <c r="V204" s="8" t="str">
        <f aca="false">IF(U204&gt;=Assumptions!$B$10,"Healthy",IF(U204&gt;=Assumptions!$B$11,"Needs Attention","High Risk"))</f>
        <v>Needs Attention</v>
      </c>
    </row>
    <row r="205" customFormat="false" ht="15" hidden="false" customHeight="false" outlineLevel="0" collapsed="false">
      <c r="A205" s="8" t="s">
        <v>551</v>
      </c>
      <c r="B205" s="8" t="s">
        <v>552</v>
      </c>
      <c r="C205" s="8" t="s">
        <v>53</v>
      </c>
      <c r="D205" s="8" t="s">
        <v>326</v>
      </c>
      <c r="E205" s="8" t="s">
        <v>123</v>
      </c>
      <c r="F205" s="8" t="s">
        <v>124</v>
      </c>
      <c r="G205" s="8" t="s">
        <v>129</v>
      </c>
      <c r="H205" s="15" t="n">
        <v>8750</v>
      </c>
      <c r="I205" s="15" t="n">
        <v>8750</v>
      </c>
      <c r="J205" s="16" t="n">
        <v>0.881</v>
      </c>
      <c r="K205" s="8" t="n">
        <v>11</v>
      </c>
      <c r="L205" s="8" t="n">
        <v>9</v>
      </c>
      <c r="M205" s="8" t="n">
        <v>1</v>
      </c>
      <c r="N205" s="8" t="s">
        <v>120</v>
      </c>
      <c r="O205" s="15" t="n">
        <f aca="false">H205*12</f>
        <v>105000</v>
      </c>
      <c r="P205" s="8" t="n">
        <f aca="false">MIN(100,ROUND(100*J205/Assumptions!$B$8,0))</f>
        <v>98</v>
      </c>
      <c r="Q205" s="8" t="n">
        <f aca="false">IF(L205="",Assumptions!$B$9,L205*10)</f>
        <v>90</v>
      </c>
      <c r="R205" s="8" t="n">
        <f aca="false">IF(M205&lt;=1,Assumptions!$B$12,IF(M205&lt;=3,Assumptions!$B$13,IF(M205&lt;=6,Assumptions!$B$14,Assumptions!$B$15)))</f>
        <v>100</v>
      </c>
      <c r="S205" s="8" t="n">
        <f aca="false">IF(N205="Completed On Time",Assumptions!$B$16,IF(N205="Completed Late",Assumptions!$B$17,Assumptions!$B$18))</f>
        <v>100</v>
      </c>
      <c r="T205" s="8" t="n">
        <f aca="false">IF(I205=0,Assumptions!$B$20,IF(H205&gt;I205,Assumptions!$B$19,IF(H205=I205,Assumptions!$B$20,Assumptions!$B$21)))</f>
        <v>70</v>
      </c>
      <c r="U205" s="8" t="n">
        <f aca="false">ROUND(P205*Assumptions!$B$2+Q205*Assumptions!$B$3+R205*Assumptions!$B$4+S205*Assumptions!$B$5+T205*Assumptions!$B$6,0)</f>
        <v>91</v>
      </c>
      <c r="V205" s="8" t="str">
        <f aca="false">IF(U205&gt;=Assumptions!$B$10,"Healthy",IF(U205&gt;=Assumptions!$B$11,"Needs Attention","High Risk"))</f>
        <v>Healthy</v>
      </c>
    </row>
    <row r="206" customFormat="false" ht="15" hidden="false" customHeight="false" outlineLevel="0" collapsed="false">
      <c r="A206" s="8" t="s">
        <v>553</v>
      </c>
      <c r="B206" s="8" t="s">
        <v>554</v>
      </c>
      <c r="C206" s="8" t="s">
        <v>53</v>
      </c>
      <c r="D206" s="8" t="s">
        <v>55</v>
      </c>
      <c r="E206" s="8" t="s">
        <v>117</v>
      </c>
      <c r="F206" s="8" t="s">
        <v>133</v>
      </c>
      <c r="G206" s="8" t="s">
        <v>119</v>
      </c>
      <c r="H206" s="15" t="n">
        <v>8730</v>
      </c>
      <c r="I206" s="15" t="n">
        <v>8730</v>
      </c>
      <c r="J206" s="16" t="n">
        <v>0.617</v>
      </c>
      <c r="K206" s="8" t="n">
        <v>8.7</v>
      </c>
      <c r="L206" s="8" t="n">
        <v>10</v>
      </c>
      <c r="M206" s="8" t="n">
        <v>1</v>
      </c>
      <c r="N206" s="8" t="s">
        <v>120</v>
      </c>
      <c r="O206" s="15" t="n">
        <f aca="false">H206*12</f>
        <v>104760</v>
      </c>
      <c r="P206" s="8" t="n">
        <f aca="false">MIN(100,ROUND(100*J206/Assumptions!$B$8,0))</f>
        <v>69</v>
      </c>
      <c r="Q206" s="8" t="n">
        <f aca="false">IF(L206="",Assumptions!$B$9,L206*10)</f>
        <v>100</v>
      </c>
      <c r="R206" s="8" t="n">
        <f aca="false">IF(M206&lt;=1,Assumptions!$B$12,IF(M206&lt;=3,Assumptions!$B$13,IF(M206&lt;=6,Assumptions!$B$14,Assumptions!$B$15)))</f>
        <v>100</v>
      </c>
      <c r="S206" s="8" t="n">
        <f aca="false">IF(N206="Completed On Time",Assumptions!$B$16,IF(N206="Completed Late",Assumptions!$B$17,Assumptions!$B$18))</f>
        <v>100</v>
      </c>
      <c r="T206" s="8" t="n">
        <f aca="false">IF(I206=0,Assumptions!$B$20,IF(H206&gt;I206,Assumptions!$B$19,IF(H206=I206,Assumptions!$B$20,Assumptions!$B$21)))</f>
        <v>70</v>
      </c>
      <c r="U206" s="8" t="n">
        <f aca="false">ROUND(P206*Assumptions!$B$2+Q206*Assumptions!$B$3+R206*Assumptions!$B$4+S206*Assumptions!$B$5+T206*Assumptions!$B$6,0)</f>
        <v>83</v>
      </c>
      <c r="V206" s="8" t="str">
        <f aca="false">IF(U206&gt;=Assumptions!$B$10,"Healthy",IF(U206&gt;=Assumptions!$B$11,"Needs Attention","High Risk"))</f>
        <v>Healthy</v>
      </c>
    </row>
    <row r="207" customFormat="false" ht="15" hidden="false" customHeight="false" outlineLevel="0" collapsed="false">
      <c r="A207" s="8" t="s">
        <v>555</v>
      </c>
      <c r="B207" s="8" t="s">
        <v>556</v>
      </c>
      <c r="C207" s="8" t="s">
        <v>55</v>
      </c>
      <c r="D207" s="8" t="s">
        <v>55</v>
      </c>
      <c r="E207" s="8" t="s">
        <v>132</v>
      </c>
      <c r="F207" s="8" t="s">
        <v>154</v>
      </c>
      <c r="G207" s="8" t="s">
        <v>119</v>
      </c>
      <c r="H207" s="15" t="n">
        <v>8640</v>
      </c>
      <c r="I207" s="15" t="n">
        <v>8640</v>
      </c>
      <c r="J207" s="16" t="n">
        <v>0.701</v>
      </c>
      <c r="K207" s="8" t="n">
        <v>10.3</v>
      </c>
      <c r="L207" s="8" t="n">
        <v>10</v>
      </c>
      <c r="M207" s="8" t="n">
        <v>2</v>
      </c>
      <c r="N207" s="8" t="s">
        <v>120</v>
      </c>
      <c r="O207" s="15" t="n">
        <f aca="false">H207*12</f>
        <v>103680</v>
      </c>
      <c r="P207" s="8" t="n">
        <f aca="false">MIN(100,ROUND(100*J207/Assumptions!$B$8,0))</f>
        <v>78</v>
      </c>
      <c r="Q207" s="8" t="n">
        <f aca="false">IF(L207="",Assumptions!$B$9,L207*10)</f>
        <v>100</v>
      </c>
      <c r="R207" s="8" t="n">
        <f aca="false">IF(M207&lt;=1,Assumptions!$B$12,IF(M207&lt;=3,Assumptions!$B$13,IF(M207&lt;=6,Assumptions!$B$14,Assumptions!$B$15)))</f>
        <v>75</v>
      </c>
      <c r="S207" s="8" t="n">
        <f aca="false">IF(N207="Completed On Time",Assumptions!$B$16,IF(N207="Completed Late",Assumptions!$B$17,Assumptions!$B$18))</f>
        <v>100</v>
      </c>
      <c r="T207" s="8" t="n">
        <f aca="false">IF(I207=0,Assumptions!$B$20,IF(H207&gt;I207,Assumptions!$B$19,IF(H207=I207,Assumptions!$B$20,Assumptions!$B$21)))</f>
        <v>70</v>
      </c>
      <c r="U207" s="8" t="n">
        <f aca="false">ROUND(P207*Assumptions!$B$2+Q207*Assumptions!$B$3+R207*Assumptions!$B$4+S207*Assumptions!$B$5+T207*Assumptions!$B$6,0)</f>
        <v>83</v>
      </c>
      <c r="V207" s="8" t="str">
        <f aca="false">IF(U207&gt;=Assumptions!$B$10,"Healthy",IF(U207&gt;=Assumptions!$B$11,"Needs Attention","High Risk"))</f>
        <v>Healthy</v>
      </c>
    </row>
    <row r="208" customFormat="false" ht="15" hidden="false" customHeight="false" outlineLevel="0" collapsed="false">
      <c r="A208" s="8" t="s">
        <v>557</v>
      </c>
      <c r="B208" s="8" t="s">
        <v>558</v>
      </c>
      <c r="C208" s="8" t="s">
        <v>53</v>
      </c>
      <c r="D208" s="8" t="s">
        <v>55</v>
      </c>
      <c r="E208" s="8" t="s">
        <v>128</v>
      </c>
      <c r="F208" s="8" t="s">
        <v>190</v>
      </c>
      <c r="G208" s="8" t="s">
        <v>140</v>
      </c>
      <c r="H208" s="15" t="n">
        <v>8640</v>
      </c>
      <c r="I208" s="15" t="n">
        <v>8640</v>
      </c>
      <c r="J208" s="16" t="n">
        <v>0.623</v>
      </c>
      <c r="K208" s="8" t="n">
        <v>7.3</v>
      </c>
      <c r="L208" s="8" t="n">
        <v>9</v>
      </c>
      <c r="M208" s="8" t="n">
        <v>1</v>
      </c>
      <c r="N208" s="8" t="s">
        <v>148</v>
      </c>
      <c r="O208" s="15" t="n">
        <f aca="false">H208*12</f>
        <v>103680</v>
      </c>
      <c r="P208" s="8" t="n">
        <f aca="false">MIN(100,ROUND(100*J208/Assumptions!$B$8,0))</f>
        <v>69</v>
      </c>
      <c r="Q208" s="8" t="n">
        <f aca="false">IF(L208="",Assumptions!$B$9,L208*10)</f>
        <v>90</v>
      </c>
      <c r="R208" s="8" t="n">
        <f aca="false">IF(M208&lt;=1,Assumptions!$B$12,IF(M208&lt;=3,Assumptions!$B$13,IF(M208&lt;=6,Assumptions!$B$14,Assumptions!$B$15)))</f>
        <v>100</v>
      </c>
      <c r="S208" s="8" t="n">
        <f aca="false">IF(N208="Completed On Time",Assumptions!$B$16,IF(N208="Completed Late",Assumptions!$B$17,Assumptions!$B$18))</f>
        <v>60</v>
      </c>
      <c r="T208" s="8" t="n">
        <f aca="false">IF(I208=0,Assumptions!$B$20,IF(H208&gt;I208,Assumptions!$B$19,IF(H208=I208,Assumptions!$B$20,Assumptions!$B$21)))</f>
        <v>70</v>
      </c>
      <c r="U208" s="8" t="n">
        <f aca="false">ROUND(P208*Assumptions!$B$2+Q208*Assumptions!$B$3+R208*Assumptions!$B$4+S208*Assumptions!$B$5+T208*Assumptions!$B$6,0)</f>
        <v>77</v>
      </c>
      <c r="V208" s="8" t="str">
        <f aca="false">IF(U208&gt;=Assumptions!$B$10,"Healthy",IF(U208&gt;=Assumptions!$B$11,"Needs Attention","High Risk"))</f>
        <v>Needs Attention</v>
      </c>
    </row>
    <row r="209" customFormat="false" ht="15" hidden="false" customHeight="false" outlineLevel="0" collapsed="false">
      <c r="A209" s="8" t="s">
        <v>559</v>
      </c>
      <c r="B209" s="8" t="s">
        <v>560</v>
      </c>
      <c r="C209" s="8" t="s">
        <v>53</v>
      </c>
      <c r="D209" s="8" t="s">
        <v>55</v>
      </c>
      <c r="E209" s="8" t="s">
        <v>123</v>
      </c>
      <c r="F209" s="8" t="s">
        <v>124</v>
      </c>
      <c r="G209" s="8" t="s">
        <v>125</v>
      </c>
      <c r="H209" s="15" t="n">
        <v>8640</v>
      </c>
      <c r="I209" s="15" t="n">
        <v>6795</v>
      </c>
      <c r="J209" s="16" t="n">
        <v>0.796</v>
      </c>
      <c r="K209" s="8" t="n">
        <v>9.3</v>
      </c>
      <c r="L209" s="8" t="n">
        <v>8</v>
      </c>
      <c r="M209" s="8" t="n">
        <v>1</v>
      </c>
      <c r="N209" s="8" t="s">
        <v>120</v>
      </c>
      <c r="O209" s="15" t="n">
        <f aca="false">H209*12</f>
        <v>103680</v>
      </c>
      <c r="P209" s="8" t="n">
        <f aca="false">MIN(100,ROUND(100*J209/Assumptions!$B$8,0))</f>
        <v>88</v>
      </c>
      <c r="Q209" s="8" t="n">
        <f aca="false">IF(L209="",Assumptions!$B$9,L209*10)</f>
        <v>80</v>
      </c>
      <c r="R209" s="8" t="n">
        <f aca="false">IF(M209&lt;=1,Assumptions!$B$12,IF(M209&lt;=3,Assumptions!$B$13,IF(M209&lt;=6,Assumptions!$B$14,Assumptions!$B$15)))</f>
        <v>100</v>
      </c>
      <c r="S209" s="8" t="n">
        <f aca="false">IF(N209="Completed On Time",Assumptions!$B$16,IF(N209="Completed Late",Assumptions!$B$17,Assumptions!$B$18))</f>
        <v>100</v>
      </c>
      <c r="T209" s="8" t="n">
        <f aca="false">IF(I209=0,Assumptions!$B$20,IF(H209&gt;I209,Assumptions!$B$19,IF(H209=I209,Assumptions!$B$20,Assumptions!$B$21)))</f>
        <v>100</v>
      </c>
      <c r="U209" s="8" t="n">
        <f aca="false">ROUND(P209*Assumptions!$B$2+Q209*Assumptions!$B$3+R209*Assumptions!$B$4+S209*Assumptions!$B$5+T209*Assumptions!$B$6,0)</f>
        <v>92</v>
      </c>
      <c r="V209" s="8" t="str">
        <f aca="false">IF(U209&gt;=Assumptions!$B$10,"Healthy",IF(U209&gt;=Assumptions!$B$11,"Needs Attention","High Risk"))</f>
        <v>Healthy</v>
      </c>
    </row>
    <row r="210" customFormat="false" ht="15" hidden="false" customHeight="false" outlineLevel="0" collapsed="false">
      <c r="A210" s="8" t="s">
        <v>561</v>
      </c>
      <c r="B210" s="8" t="s">
        <v>562</v>
      </c>
      <c r="C210" s="8" t="s">
        <v>53</v>
      </c>
      <c r="D210" s="8" t="s">
        <v>55</v>
      </c>
      <c r="E210" s="8" t="s">
        <v>123</v>
      </c>
      <c r="F210" s="8" t="s">
        <v>190</v>
      </c>
      <c r="G210" s="8" t="s">
        <v>159</v>
      </c>
      <c r="H210" s="15" t="n">
        <v>8550</v>
      </c>
      <c r="I210" s="15" t="n">
        <v>8550</v>
      </c>
      <c r="J210" s="16" t="n">
        <v>0.575</v>
      </c>
      <c r="K210" s="8" t="n">
        <v>8.3</v>
      </c>
      <c r="L210" s="8" t="n">
        <v>6</v>
      </c>
      <c r="M210" s="8" t="n">
        <v>5</v>
      </c>
      <c r="N210" s="8" t="s">
        <v>120</v>
      </c>
      <c r="O210" s="15" t="n">
        <f aca="false">H210*12</f>
        <v>102600</v>
      </c>
      <c r="P210" s="8" t="n">
        <f aca="false">MIN(100,ROUND(100*J210/Assumptions!$B$8,0))</f>
        <v>64</v>
      </c>
      <c r="Q210" s="8" t="n">
        <f aca="false">IF(L210="",Assumptions!$B$9,L210*10)</f>
        <v>60</v>
      </c>
      <c r="R210" s="8" t="n">
        <f aca="false">IF(M210&lt;=1,Assumptions!$B$12,IF(M210&lt;=3,Assumptions!$B$13,IF(M210&lt;=6,Assumptions!$B$14,Assumptions!$B$15)))</f>
        <v>50</v>
      </c>
      <c r="S210" s="8" t="n">
        <f aca="false">IF(N210="Completed On Time",Assumptions!$B$16,IF(N210="Completed Late",Assumptions!$B$17,Assumptions!$B$18))</f>
        <v>100</v>
      </c>
      <c r="T210" s="8" t="n">
        <f aca="false">IF(I210=0,Assumptions!$B$20,IF(H210&gt;I210,Assumptions!$B$19,IF(H210=I210,Assumptions!$B$20,Assumptions!$B$21)))</f>
        <v>70</v>
      </c>
      <c r="U210" s="8" t="n">
        <f aca="false">ROUND(P210*Assumptions!$B$2+Q210*Assumptions!$B$3+R210*Assumptions!$B$4+S210*Assumptions!$B$5+T210*Assumptions!$B$6,0)</f>
        <v>66</v>
      </c>
      <c r="V210" s="8" t="str">
        <f aca="false">IF(U210&gt;=Assumptions!$B$10,"Healthy",IF(U210&gt;=Assumptions!$B$11,"Needs Attention","High Risk"))</f>
        <v>Needs Attention</v>
      </c>
    </row>
    <row r="211" customFormat="false" ht="15" hidden="false" customHeight="false" outlineLevel="0" collapsed="false">
      <c r="A211" s="8" t="s">
        <v>563</v>
      </c>
      <c r="B211" s="8" t="s">
        <v>564</v>
      </c>
      <c r="C211" s="8" t="s">
        <v>55</v>
      </c>
      <c r="D211" s="8" t="s">
        <v>55</v>
      </c>
      <c r="E211" s="8" t="s">
        <v>117</v>
      </c>
      <c r="F211" s="8" t="s">
        <v>190</v>
      </c>
      <c r="G211" s="8" t="s">
        <v>137</v>
      </c>
      <c r="H211" s="15" t="n">
        <v>8505</v>
      </c>
      <c r="I211" s="15" t="n">
        <v>8505</v>
      </c>
      <c r="J211" s="16" t="n">
        <v>0.792</v>
      </c>
      <c r="K211" s="8" t="n">
        <v>10</v>
      </c>
      <c r="L211" s="8" t="n">
        <v>10</v>
      </c>
      <c r="M211" s="8" t="n">
        <v>3</v>
      </c>
      <c r="N211" s="8" t="s">
        <v>120</v>
      </c>
      <c r="O211" s="15" t="n">
        <f aca="false">H211*12</f>
        <v>102060</v>
      </c>
      <c r="P211" s="8" t="n">
        <f aca="false">MIN(100,ROUND(100*J211/Assumptions!$B$8,0))</f>
        <v>88</v>
      </c>
      <c r="Q211" s="8" t="n">
        <f aca="false">IF(L211="",Assumptions!$B$9,L211*10)</f>
        <v>100</v>
      </c>
      <c r="R211" s="8" t="n">
        <f aca="false">IF(M211&lt;=1,Assumptions!$B$12,IF(M211&lt;=3,Assumptions!$B$13,IF(M211&lt;=6,Assumptions!$B$14,Assumptions!$B$15)))</f>
        <v>75</v>
      </c>
      <c r="S211" s="8" t="n">
        <f aca="false">IF(N211="Completed On Time",Assumptions!$B$16,IF(N211="Completed Late",Assumptions!$B$17,Assumptions!$B$18))</f>
        <v>100</v>
      </c>
      <c r="T211" s="8" t="n">
        <f aca="false">IF(I211=0,Assumptions!$B$20,IF(H211&gt;I211,Assumptions!$B$19,IF(H211=I211,Assumptions!$B$20,Assumptions!$B$21)))</f>
        <v>70</v>
      </c>
      <c r="U211" s="8" t="n">
        <f aca="false">ROUND(P211*Assumptions!$B$2+Q211*Assumptions!$B$3+R211*Assumptions!$B$4+S211*Assumptions!$B$5+T211*Assumptions!$B$6,0)</f>
        <v>86</v>
      </c>
      <c r="V211" s="8" t="str">
        <f aca="false">IF(U211&gt;=Assumptions!$B$10,"Healthy",IF(U211&gt;=Assumptions!$B$11,"Needs Attention","High Risk"))</f>
        <v>Healthy</v>
      </c>
    </row>
    <row r="212" customFormat="false" ht="15" hidden="false" customHeight="false" outlineLevel="0" collapsed="false">
      <c r="A212" s="8" t="s">
        <v>565</v>
      </c>
      <c r="B212" s="8" t="s">
        <v>566</v>
      </c>
      <c r="C212" s="8" t="s">
        <v>55</v>
      </c>
      <c r="D212" s="8" t="s">
        <v>55</v>
      </c>
      <c r="E212" s="8" t="s">
        <v>123</v>
      </c>
      <c r="F212" s="8" t="s">
        <v>151</v>
      </c>
      <c r="G212" s="8" t="s">
        <v>185</v>
      </c>
      <c r="H212" s="15" t="n">
        <v>8415</v>
      </c>
      <c r="I212" s="15" t="n">
        <v>8415</v>
      </c>
      <c r="J212" s="16" t="n">
        <v>0.779</v>
      </c>
      <c r="K212" s="8" t="n">
        <v>7.3</v>
      </c>
      <c r="L212" s="8" t="n">
        <v>8</v>
      </c>
      <c r="M212" s="8" t="n">
        <v>2</v>
      </c>
      <c r="N212" s="8" t="s">
        <v>120</v>
      </c>
      <c r="O212" s="15" t="n">
        <f aca="false">H212*12</f>
        <v>100980</v>
      </c>
      <c r="P212" s="8" t="n">
        <f aca="false">MIN(100,ROUND(100*J212/Assumptions!$B$8,0))</f>
        <v>87</v>
      </c>
      <c r="Q212" s="8" t="n">
        <f aca="false">IF(L212="",Assumptions!$B$9,L212*10)</f>
        <v>80</v>
      </c>
      <c r="R212" s="8" t="n">
        <f aca="false">IF(M212&lt;=1,Assumptions!$B$12,IF(M212&lt;=3,Assumptions!$B$13,IF(M212&lt;=6,Assumptions!$B$14,Assumptions!$B$15)))</f>
        <v>75</v>
      </c>
      <c r="S212" s="8" t="n">
        <f aca="false">IF(N212="Completed On Time",Assumptions!$B$16,IF(N212="Completed Late",Assumptions!$B$17,Assumptions!$B$18))</f>
        <v>100</v>
      </c>
      <c r="T212" s="8" t="n">
        <f aca="false">IF(I212=0,Assumptions!$B$20,IF(H212&gt;I212,Assumptions!$B$19,IF(H212=I212,Assumptions!$B$20,Assumptions!$B$21)))</f>
        <v>70</v>
      </c>
      <c r="U212" s="8" t="n">
        <f aca="false">ROUND(P212*Assumptions!$B$2+Q212*Assumptions!$B$3+R212*Assumptions!$B$4+S212*Assumptions!$B$5+T212*Assumptions!$B$6,0)</f>
        <v>82</v>
      </c>
      <c r="V212" s="8" t="str">
        <f aca="false">IF(U212&gt;=Assumptions!$B$10,"Healthy",IF(U212&gt;=Assumptions!$B$11,"Needs Attention","High Risk"))</f>
        <v>Healthy</v>
      </c>
    </row>
    <row r="213" customFormat="false" ht="15" hidden="false" customHeight="false" outlineLevel="0" collapsed="false">
      <c r="A213" s="8" t="s">
        <v>567</v>
      </c>
      <c r="B213" s="8" t="s">
        <v>568</v>
      </c>
      <c r="C213" s="8" t="s">
        <v>55</v>
      </c>
      <c r="D213" s="8" t="s">
        <v>55</v>
      </c>
      <c r="E213" s="8" t="s">
        <v>123</v>
      </c>
      <c r="F213" s="8" t="s">
        <v>143</v>
      </c>
      <c r="G213" s="8" t="s">
        <v>125</v>
      </c>
      <c r="H213" s="15" t="n">
        <v>8325</v>
      </c>
      <c r="I213" s="15" t="n">
        <v>8325</v>
      </c>
      <c r="J213" s="16" t="n">
        <v>0.69</v>
      </c>
      <c r="K213" s="8" t="n">
        <v>9.7</v>
      </c>
      <c r="L213" s="8" t="n">
        <v>5</v>
      </c>
      <c r="M213" s="8" t="n">
        <v>2</v>
      </c>
      <c r="N213" s="8" t="s">
        <v>120</v>
      </c>
      <c r="O213" s="15" t="n">
        <f aca="false">H213*12</f>
        <v>99900</v>
      </c>
      <c r="P213" s="8" t="n">
        <f aca="false">MIN(100,ROUND(100*J213/Assumptions!$B$8,0))</f>
        <v>77</v>
      </c>
      <c r="Q213" s="8" t="n">
        <f aca="false">IF(L213="",Assumptions!$B$9,L213*10)</f>
        <v>50</v>
      </c>
      <c r="R213" s="8" t="n">
        <f aca="false">IF(M213&lt;=1,Assumptions!$B$12,IF(M213&lt;=3,Assumptions!$B$13,IF(M213&lt;=6,Assumptions!$B$14,Assumptions!$B$15)))</f>
        <v>75</v>
      </c>
      <c r="S213" s="8" t="n">
        <f aca="false">IF(N213="Completed On Time",Assumptions!$B$16,IF(N213="Completed Late",Assumptions!$B$17,Assumptions!$B$18))</f>
        <v>100</v>
      </c>
      <c r="T213" s="8" t="n">
        <f aca="false">IF(I213=0,Assumptions!$B$20,IF(H213&gt;I213,Assumptions!$B$19,IF(H213=I213,Assumptions!$B$20,Assumptions!$B$21)))</f>
        <v>70</v>
      </c>
      <c r="U213" s="8" t="n">
        <f aca="false">ROUND(P213*Assumptions!$B$2+Q213*Assumptions!$B$3+R213*Assumptions!$B$4+S213*Assumptions!$B$5+T213*Assumptions!$B$6,0)</f>
        <v>72</v>
      </c>
      <c r="V213" s="8" t="str">
        <f aca="false">IF(U213&gt;=Assumptions!$B$10,"Healthy",IF(U213&gt;=Assumptions!$B$11,"Needs Attention","High Risk"))</f>
        <v>Needs Attention</v>
      </c>
    </row>
    <row r="214" customFormat="false" ht="15" hidden="false" customHeight="false" outlineLevel="0" collapsed="false">
      <c r="A214" s="8" t="s">
        <v>569</v>
      </c>
      <c r="B214" s="8" t="s">
        <v>570</v>
      </c>
      <c r="C214" s="8" t="s">
        <v>55</v>
      </c>
      <c r="D214" s="8" t="s">
        <v>55</v>
      </c>
      <c r="E214" s="8" t="s">
        <v>123</v>
      </c>
      <c r="F214" s="8" t="s">
        <v>124</v>
      </c>
      <c r="G214" s="8" t="s">
        <v>177</v>
      </c>
      <c r="H214" s="15" t="n">
        <v>8280</v>
      </c>
      <c r="I214" s="15" t="n">
        <v>8280</v>
      </c>
      <c r="J214" s="16" t="n">
        <v>0.701</v>
      </c>
      <c r="K214" s="8" t="n">
        <v>7.7</v>
      </c>
      <c r="L214" s="8" t="n">
        <v>7</v>
      </c>
      <c r="M214" s="8" t="n">
        <v>3</v>
      </c>
      <c r="N214" s="8" t="s">
        <v>120</v>
      </c>
      <c r="O214" s="15" t="n">
        <f aca="false">H214*12</f>
        <v>99360</v>
      </c>
      <c r="P214" s="8" t="n">
        <f aca="false">MIN(100,ROUND(100*J214/Assumptions!$B$8,0))</f>
        <v>78</v>
      </c>
      <c r="Q214" s="8" t="n">
        <f aca="false">IF(L214="",Assumptions!$B$9,L214*10)</f>
        <v>70</v>
      </c>
      <c r="R214" s="8" t="n">
        <f aca="false">IF(M214&lt;=1,Assumptions!$B$12,IF(M214&lt;=3,Assumptions!$B$13,IF(M214&lt;=6,Assumptions!$B$14,Assumptions!$B$15)))</f>
        <v>75</v>
      </c>
      <c r="S214" s="8" t="n">
        <f aca="false">IF(N214="Completed On Time",Assumptions!$B$16,IF(N214="Completed Late",Assumptions!$B$17,Assumptions!$B$18))</f>
        <v>100</v>
      </c>
      <c r="T214" s="8" t="n">
        <f aca="false">IF(I214=0,Assumptions!$B$20,IF(H214&gt;I214,Assumptions!$B$19,IF(H214=I214,Assumptions!$B$20,Assumptions!$B$21)))</f>
        <v>70</v>
      </c>
      <c r="U214" s="8" t="n">
        <f aca="false">ROUND(P214*Assumptions!$B$2+Q214*Assumptions!$B$3+R214*Assumptions!$B$4+S214*Assumptions!$B$5+T214*Assumptions!$B$6,0)</f>
        <v>77</v>
      </c>
      <c r="V214" s="8" t="str">
        <f aca="false">IF(U214&gt;=Assumptions!$B$10,"Healthy",IF(U214&gt;=Assumptions!$B$11,"Needs Attention","High Risk"))</f>
        <v>Needs Attention</v>
      </c>
    </row>
    <row r="215" customFormat="false" ht="15" hidden="false" customHeight="false" outlineLevel="0" collapsed="false">
      <c r="A215" s="8" t="s">
        <v>571</v>
      </c>
      <c r="B215" s="8" t="s">
        <v>572</v>
      </c>
      <c r="C215" s="8" t="s">
        <v>53</v>
      </c>
      <c r="D215" s="8" t="s">
        <v>55</v>
      </c>
      <c r="E215" s="8" t="s">
        <v>132</v>
      </c>
      <c r="F215" s="8" t="s">
        <v>143</v>
      </c>
      <c r="G215" s="8" t="s">
        <v>140</v>
      </c>
      <c r="H215" s="15" t="n">
        <v>8280</v>
      </c>
      <c r="I215" s="15" t="n">
        <v>6705</v>
      </c>
      <c r="J215" s="16" t="n">
        <v>0.607</v>
      </c>
      <c r="K215" s="8" t="n">
        <v>7</v>
      </c>
      <c r="L215" s="8" t="n">
        <v>6</v>
      </c>
      <c r="M215" s="8" t="n">
        <v>3</v>
      </c>
      <c r="N215" s="8" t="s">
        <v>148</v>
      </c>
      <c r="O215" s="15" t="n">
        <f aca="false">H215*12</f>
        <v>99360</v>
      </c>
      <c r="P215" s="8" t="n">
        <f aca="false">MIN(100,ROUND(100*J215/Assumptions!$B$8,0))</f>
        <v>67</v>
      </c>
      <c r="Q215" s="8" t="n">
        <f aca="false">IF(L215="",Assumptions!$B$9,L215*10)</f>
        <v>60</v>
      </c>
      <c r="R215" s="8" t="n">
        <f aca="false">IF(M215&lt;=1,Assumptions!$B$12,IF(M215&lt;=3,Assumptions!$B$13,IF(M215&lt;=6,Assumptions!$B$14,Assumptions!$B$15)))</f>
        <v>75</v>
      </c>
      <c r="S215" s="8" t="n">
        <f aca="false">IF(N215="Completed On Time",Assumptions!$B$16,IF(N215="Completed Late",Assumptions!$B$17,Assumptions!$B$18))</f>
        <v>60</v>
      </c>
      <c r="T215" s="8" t="n">
        <f aca="false">IF(I215=0,Assumptions!$B$20,IF(H215&gt;I215,Assumptions!$B$19,IF(H215=I215,Assumptions!$B$20,Assumptions!$B$21)))</f>
        <v>100</v>
      </c>
      <c r="U215" s="8" t="n">
        <f aca="false">ROUND(P215*Assumptions!$B$2+Q215*Assumptions!$B$3+R215*Assumptions!$B$4+S215*Assumptions!$B$5+T215*Assumptions!$B$6,0)</f>
        <v>73</v>
      </c>
      <c r="V215" s="8" t="str">
        <f aca="false">IF(U215&gt;=Assumptions!$B$10,"Healthy",IF(U215&gt;=Assumptions!$B$11,"Needs Attention","High Risk"))</f>
        <v>Needs Attention</v>
      </c>
    </row>
    <row r="216" customFormat="false" ht="15" hidden="false" customHeight="false" outlineLevel="0" collapsed="false">
      <c r="A216" s="8" t="s">
        <v>573</v>
      </c>
      <c r="B216" s="8" t="s">
        <v>574</v>
      </c>
      <c r="C216" s="8" t="s">
        <v>55</v>
      </c>
      <c r="D216" s="8" t="s">
        <v>326</v>
      </c>
      <c r="E216" s="8" t="s">
        <v>123</v>
      </c>
      <c r="F216" s="8" t="s">
        <v>151</v>
      </c>
      <c r="G216" s="8" t="s">
        <v>144</v>
      </c>
      <c r="H216" s="15" t="n">
        <v>8075</v>
      </c>
      <c r="I216" s="15" t="n">
        <v>6225</v>
      </c>
      <c r="J216" s="16" t="n">
        <v>0.65</v>
      </c>
      <c r="K216" s="8" t="n">
        <v>5.7</v>
      </c>
      <c r="L216" s="8" t="n">
        <v>9</v>
      </c>
      <c r="M216" s="8" t="n">
        <v>5</v>
      </c>
      <c r="N216" s="8" t="s">
        <v>148</v>
      </c>
      <c r="O216" s="15" t="n">
        <f aca="false">H216*12</f>
        <v>96900</v>
      </c>
      <c r="P216" s="8" t="n">
        <f aca="false">MIN(100,ROUND(100*J216/Assumptions!$B$8,0))</f>
        <v>72</v>
      </c>
      <c r="Q216" s="8" t="n">
        <f aca="false">IF(L216="",Assumptions!$B$9,L216*10)</f>
        <v>90</v>
      </c>
      <c r="R216" s="8" t="n">
        <f aca="false">IF(M216&lt;=1,Assumptions!$B$12,IF(M216&lt;=3,Assumptions!$B$13,IF(M216&lt;=6,Assumptions!$B$14,Assumptions!$B$15)))</f>
        <v>50</v>
      </c>
      <c r="S216" s="8" t="n">
        <f aca="false">IF(N216="Completed On Time",Assumptions!$B$16,IF(N216="Completed Late",Assumptions!$B$17,Assumptions!$B$18))</f>
        <v>60</v>
      </c>
      <c r="T216" s="8" t="n">
        <f aca="false">IF(I216=0,Assumptions!$B$20,IF(H216&gt;I216,Assumptions!$B$19,IF(H216=I216,Assumptions!$B$20,Assumptions!$B$21)))</f>
        <v>100</v>
      </c>
      <c r="U216" s="8" t="n">
        <f aca="false">ROUND(P216*Assumptions!$B$2+Q216*Assumptions!$B$3+R216*Assumptions!$B$4+S216*Assumptions!$B$5+T216*Assumptions!$B$6,0)</f>
        <v>77</v>
      </c>
      <c r="V216" s="8" t="str">
        <f aca="false">IF(U216&gt;=Assumptions!$B$10,"Healthy",IF(U216&gt;=Assumptions!$B$11,"Needs Attention","High Risk"))</f>
        <v>Needs Attention</v>
      </c>
    </row>
    <row r="217" customFormat="false" ht="15" hidden="false" customHeight="false" outlineLevel="0" collapsed="false">
      <c r="A217" s="8" t="s">
        <v>575</v>
      </c>
      <c r="B217" s="8" t="s">
        <v>576</v>
      </c>
      <c r="C217" s="8" t="s">
        <v>55</v>
      </c>
      <c r="D217" s="8" t="s">
        <v>326</v>
      </c>
      <c r="E217" s="8" t="s">
        <v>117</v>
      </c>
      <c r="F217" s="8" t="s">
        <v>118</v>
      </c>
      <c r="G217" s="8" t="s">
        <v>177</v>
      </c>
      <c r="H217" s="15" t="n">
        <v>8050</v>
      </c>
      <c r="I217" s="15" t="n">
        <v>9050</v>
      </c>
      <c r="J217" s="16" t="n">
        <v>0.633</v>
      </c>
      <c r="K217" s="8" t="n">
        <v>6.7</v>
      </c>
      <c r="L217" s="8" t="n">
        <v>6</v>
      </c>
      <c r="M217" s="8" t="n">
        <v>8</v>
      </c>
      <c r="N217" s="8" t="s">
        <v>120</v>
      </c>
      <c r="O217" s="15" t="n">
        <f aca="false">H217*12</f>
        <v>96600</v>
      </c>
      <c r="P217" s="8" t="n">
        <f aca="false">MIN(100,ROUND(100*J217/Assumptions!$B$8,0))</f>
        <v>70</v>
      </c>
      <c r="Q217" s="8" t="n">
        <f aca="false">IF(L217="",Assumptions!$B$9,L217*10)</f>
        <v>60</v>
      </c>
      <c r="R217" s="8" t="n">
        <f aca="false">IF(M217&lt;=1,Assumptions!$B$12,IF(M217&lt;=3,Assumptions!$B$13,IF(M217&lt;=6,Assumptions!$B$14,Assumptions!$B$15)))</f>
        <v>20</v>
      </c>
      <c r="S217" s="8" t="n">
        <f aca="false">IF(N217="Completed On Time",Assumptions!$B$16,IF(N217="Completed Late",Assumptions!$B$17,Assumptions!$B$18))</f>
        <v>100</v>
      </c>
      <c r="T217" s="8" t="n">
        <f aca="false">IF(I217=0,Assumptions!$B$20,IF(H217&gt;I217,Assumptions!$B$19,IF(H217=I217,Assumptions!$B$20,Assumptions!$B$21)))</f>
        <v>30</v>
      </c>
      <c r="U217" s="8" t="n">
        <f aca="false">ROUND(P217*Assumptions!$B$2+Q217*Assumptions!$B$3+R217*Assumptions!$B$4+S217*Assumptions!$B$5+T217*Assumptions!$B$6,0)</f>
        <v>56</v>
      </c>
      <c r="V217" s="8" t="str">
        <f aca="false">IF(U217&gt;=Assumptions!$B$10,"Healthy",IF(U217&gt;=Assumptions!$B$11,"Needs Attention","High Risk"))</f>
        <v>High Risk</v>
      </c>
    </row>
    <row r="218" customFormat="false" ht="15" hidden="false" customHeight="false" outlineLevel="0" collapsed="false">
      <c r="A218" s="8" t="s">
        <v>577</v>
      </c>
      <c r="B218" s="8" t="s">
        <v>578</v>
      </c>
      <c r="C218" s="8" t="s">
        <v>53</v>
      </c>
      <c r="D218" s="8" t="s">
        <v>55</v>
      </c>
      <c r="E218" s="8" t="s">
        <v>123</v>
      </c>
      <c r="F218" s="8" t="s">
        <v>190</v>
      </c>
      <c r="G218" s="8" t="s">
        <v>147</v>
      </c>
      <c r="H218" s="15" t="n">
        <v>8010</v>
      </c>
      <c r="I218" s="15" t="n">
        <v>8010</v>
      </c>
      <c r="J218" s="16" t="n">
        <v>0.743</v>
      </c>
      <c r="K218" s="8" t="n">
        <v>10</v>
      </c>
      <c r="L218" s="8" t="n">
        <v>9</v>
      </c>
      <c r="M218" s="8" t="n">
        <v>0</v>
      </c>
      <c r="N218" s="8" t="s">
        <v>120</v>
      </c>
      <c r="O218" s="15" t="n">
        <f aca="false">H218*12</f>
        <v>96120</v>
      </c>
      <c r="P218" s="8" t="n">
        <f aca="false">MIN(100,ROUND(100*J218/Assumptions!$B$8,0))</f>
        <v>83</v>
      </c>
      <c r="Q218" s="8" t="n">
        <f aca="false">IF(L218="",Assumptions!$B$9,L218*10)</f>
        <v>90</v>
      </c>
      <c r="R218" s="8" t="n">
        <f aca="false">IF(M218&lt;=1,Assumptions!$B$12,IF(M218&lt;=3,Assumptions!$B$13,IF(M218&lt;=6,Assumptions!$B$14,Assumptions!$B$15)))</f>
        <v>100</v>
      </c>
      <c r="S218" s="8" t="n">
        <f aca="false">IF(N218="Completed On Time",Assumptions!$B$16,IF(N218="Completed Late",Assumptions!$B$17,Assumptions!$B$18))</f>
        <v>100</v>
      </c>
      <c r="T218" s="8" t="n">
        <f aca="false">IF(I218=0,Assumptions!$B$20,IF(H218&gt;I218,Assumptions!$B$19,IF(H218=I218,Assumptions!$B$20,Assumptions!$B$21)))</f>
        <v>70</v>
      </c>
      <c r="U218" s="8" t="n">
        <f aca="false">ROUND(P218*Assumptions!$B$2+Q218*Assumptions!$B$3+R218*Assumptions!$B$4+S218*Assumptions!$B$5+T218*Assumptions!$B$6,0)</f>
        <v>86</v>
      </c>
      <c r="V218" s="8" t="str">
        <f aca="false">IF(U218&gt;=Assumptions!$B$10,"Healthy",IF(U218&gt;=Assumptions!$B$11,"Needs Attention","High Risk"))</f>
        <v>Healthy</v>
      </c>
    </row>
    <row r="219" customFormat="false" ht="15" hidden="false" customHeight="false" outlineLevel="0" collapsed="false">
      <c r="A219" s="8" t="s">
        <v>579</v>
      </c>
      <c r="B219" s="8" t="s">
        <v>580</v>
      </c>
      <c r="C219" s="8" t="s">
        <v>55</v>
      </c>
      <c r="D219" s="8" t="s">
        <v>326</v>
      </c>
      <c r="E219" s="8" t="s">
        <v>128</v>
      </c>
      <c r="F219" s="8" t="s">
        <v>133</v>
      </c>
      <c r="G219" s="8" t="s">
        <v>204</v>
      </c>
      <c r="H219" s="15" t="n">
        <v>7975</v>
      </c>
      <c r="I219" s="15" t="n">
        <v>7975</v>
      </c>
      <c r="J219" s="16" t="n">
        <v>0.76</v>
      </c>
      <c r="K219" s="8" t="n">
        <v>10.7</v>
      </c>
      <c r="L219" s="8" t="n">
        <v>10</v>
      </c>
      <c r="M219" s="8" t="n">
        <v>4</v>
      </c>
      <c r="N219" s="8" t="s">
        <v>120</v>
      </c>
      <c r="O219" s="15" t="n">
        <f aca="false">H219*12</f>
        <v>95700</v>
      </c>
      <c r="P219" s="8" t="n">
        <f aca="false">MIN(100,ROUND(100*J219/Assumptions!$B$8,0))</f>
        <v>84</v>
      </c>
      <c r="Q219" s="8" t="n">
        <f aca="false">IF(L219="",Assumptions!$B$9,L219*10)</f>
        <v>100</v>
      </c>
      <c r="R219" s="8" t="n">
        <f aca="false">IF(M219&lt;=1,Assumptions!$B$12,IF(M219&lt;=3,Assumptions!$B$13,IF(M219&lt;=6,Assumptions!$B$14,Assumptions!$B$15)))</f>
        <v>50</v>
      </c>
      <c r="S219" s="8" t="n">
        <f aca="false">IF(N219="Completed On Time",Assumptions!$B$16,IF(N219="Completed Late",Assumptions!$B$17,Assumptions!$B$18))</f>
        <v>100</v>
      </c>
      <c r="T219" s="8" t="n">
        <f aca="false">IF(I219=0,Assumptions!$B$20,IF(H219&gt;I219,Assumptions!$B$19,IF(H219=I219,Assumptions!$B$20,Assumptions!$B$21)))</f>
        <v>70</v>
      </c>
      <c r="U219" s="8" t="n">
        <f aca="false">ROUND(P219*Assumptions!$B$2+Q219*Assumptions!$B$3+R219*Assumptions!$B$4+S219*Assumptions!$B$5+T219*Assumptions!$B$6,0)</f>
        <v>81</v>
      </c>
      <c r="V219" s="8" t="str">
        <f aca="false">IF(U219&gt;=Assumptions!$B$10,"Healthy",IF(U219&gt;=Assumptions!$B$11,"Needs Attention","High Risk"))</f>
        <v>Healthy</v>
      </c>
    </row>
    <row r="220" customFormat="false" ht="15" hidden="false" customHeight="false" outlineLevel="0" collapsed="false">
      <c r="A220" s="8" t="s">
        <v>581</v>
      </c>
      <c r="B220" s="8" t="s">
        <v>582</v>
      </c>
      <c r="C220" s="8" t="s">
        <v>55</v>
      </c>
      <c r="D220" s="8" t="s">
        <v>55</v>
      </c>
      <c r="E220" s="8" t="s">
        <v>132</v>
      </c>
      <c r="F220" s="8" t="s">
        <v>143</v>
      </c>
      <c r="G220" s="8" t="s">
        <v>159</v>
      </c>
      <c r="H220" s="15" t="n">
        <v>7965</v>
      </c>
      <c r="I220" s="15" t="n">
        <v>7965</v>
      </c>
      <c r="J220" s="16" t="n">
        <v>0.785</v>
      </c>
      <c r="K220" s="8" t="n">
        <v>7</v>
      </c>
      <c r="L220" s="8" t="n">
        <v>6</v>
      </c>
      <c r="M220" s="8" t="n">
        <v>2</v>
      </c>
      <c r="N220" s="8" t="s">
        <v>120</v>
      </c>
      <c r="O220" s="15" t="n">
        <f aca="false">H220*12</f>
        <v>95580</v>
      </c>
      <c r="P220" s="8" t="n">
        <f aca="false">MIN(100,ROUND(100*J220/Assumptions!$B$8,0))</f>
        <v>87</v>
      </c>
      <c r="Q220" s="8" t="n">
        <f aca="false">IF(L220="",Assumptions!$B$9,L220*10)</f>
        <v>60</v>
      </c>
      <c r="R220" s="8" t="n">
        <f aca="false">IF(M220&lt;=1,Assumptions!$B$12,IF(M220&lt;=3,Assumptions!$B$13,IF(M220&lt;=6,Assumptions!$B$14,Assumptions!$B$15)))</f>
        <v>75</v>
      </c>
      <c r="S220" s="8" t="n">
        <f aca="false">IF(N220="Completed On Time",Assumptions!$B$16,IF(N220="Completed Late",Assumptions!$B$17,Assumptions!$B$18))</f>
        <v>100</v>
      </c>
      <c r="T220" s="8" t="n">
        <f aca="false">IF(I220=0,Assumptions!$B$20,IF(H220&gt;I220,Assumptions!$B$19,IF(H220=I220,Assumptions!$B$20,Assumptions!$B$21)))</f>
        <v>70</v>
      </c>
      <c r="U220" s="8" t="n">
        <f aca="false">ROUND(P220*Assumptions!$B$2+Q220*Assumptions!$B$3+R220*Assumptions!$B$4+S220*Assumptions!$B$5+T220*Assumptions!$B$6,0)</f>
        <v>78</v>
      </c>
      <c r="V220" s="8" t="str">
        <f aca="false">IF(U220&gt;=Assumptions!$B$10,"Healthy",IF(U220&gt;=Assumptions!$B$11,"Needs Attention","High Risk"))</f>
        <v>Needs Attention</v>
      </c>
    </row>
    <row r="221" customFormat="false" ht="15" hidden="false" customHeight="false" outlineLevel="0" collapsed="false">
      <c r="A221" s="8" t="s">
        <v>583</v>
      </c>
      <c r="B221" s="8" t="s">
        <v>584</v>
      </c>
      <c r="C221" s="8" t="s">
        <v>53</v>
      </c>
      <c r="D221" s="8" t="s">
        <v>55</v>
      </c>
      <c r="E221" s="8" t="s">
        <v>123</v>
      </c>
      <c r="F221" s="8" t="s">
        <v>136</v>
      </c>
      <c r="G221" s="8" t="s">
        <v>185</v>
      </c>
      <c r="H221" s="15" t="n">
        <v>7920</v>
      </c>
      <c r="I221" s="15" t="n">
        <v>7920</v>
      </c>
      <c r="J221" s="16" t="n">
        <v>0.835</v>
      </c>
      <c r="K221" s="8" t="n">
        <v>8.7</v>
      </c>
      <c r="L221" s="8" t="n">
        <v>10</v>
      </c>
      <c r="M221" s="8" t="n">
        <v>1</v>
      </c>
      <c r="N221" s="8" t="s">
        <v>120</v>
      </c>
      <c r="O221" s="15" t="n">
        <f aca="false">H221*12</f>
        <v>95040</v>
      </c>
      <c r="P221" s="8" t="n">
        <f aca="false">MIN(100,ROUND(100*J221/Assumptions!$B$8,0))</f>
        <v>93</v>
      </c>
      <c r="Q221" s="8" t="n">
        <f aca="false">IF(L221="",Assumptions!$B$9,L221*10)</f>
        <v>100</v>
      </c>
      <c r="R221" s="8" t="n">
        <f aca="false">IF(M221&lt;=1,Assumptions!$B$12,IF(M221&lt;=3,Assumptions!$B$13,IF(M221&lt;=6,Assumptions!$B$14,Assumptions!$B$15)))</f>
        <v>100</v>
      </c>
      <c r="S221" s="8" t="n">
        <f aca="false">IF(N221="Completed On Time",Assumptions!$B$16,IF(N221="Completed Late",Assumptions!$B$17,Assumptions!$B$18))</f>
        <v>100</v>
      </c>
      <c r="T221" s="8" t="n">
        <f aca="false">IF(I221=0,Assumptions!$B$20,IF(H221&gt;I221,Assumptions!$B$19,IF(H221=I221,Assumptions!$B$20,Assumptions!$B$21)))</f>
        <v>70</v>
      </c>
      <c r="U221" s="8" t="n">
        <f aca="false">ROUND(P221*Assumptions!$B$2+Q221*Assumptions!$B$3+R221*Assumptions!$B$4+S221*Assumptions!$B$5+T221*Assumptions!$B$6,0)</f>
        <v>92</v>
      </c>
      <c r="V221" s="8" t="str">
        <f aca="false">IF(U221&gt;=Assumptions!$B$10,"Healthy",IF(U221&gt;=Assumptions!$B$11,"Needs Attention","High Risk"))</f>
        <v>Healthy</v>
      </c>
    </row>
    <row r="222" customFormat="false" ht="15" hidden="false" customHeight="false" outlineLevel="0" collapsed="false">
      <c r="A222" s="8" t="s">
        <v>585</v>
      </c>
      <c r="B222" s="8" t="s">
        <v>586</v>
      </c>
      <c r="C222" s="8" t="s">
        <v>53</v>
      </c>
      <c r="D222" s="8" t="s">
        <v>55</v>
      </c>
      <c r="E222" s="8" t="s">
        <v>132</v>
      </c>
      <c r="F222" s="8" t="s">
        <v>143</v>
      </c>
      <c r="G222" s="8" t="s">
        <v>125</v>
      </c>
      <c r="H222" s="15" t="n">
        <v>7875</v>
      </c>
      <c r="I222" s="15" t="n">
        <v>7875</v>
      </c>
      <c r="J222" s="16" t="n">
        <v>0.922</v>
      </c>
      <c r="K222" s="8" t="n">
        <v>9.7</v>
      </c>
      <c r="L222" s="8" t="n">
        <v>10</v>
      </c>
      <c r="M222" s="8" t="n">
        <v>3</v>
      </c>
      <c r="N222" s="8" t="s">
        <v>120</v>
      </c>
      <c r="O222" s="15" t="n">
        <f aca="false">H222*12</f>
        <v>94500</v>
      </c>
      <c r="P222" s="8" t="n">
        <f aca="false">MIN(100,ROUND(100*J222/Assumptions!$B$8,0))</f>
        <v>100</v>
      </c>
      <c r="Q222" s="8" t="n">
        <f aca="false">IF(L222="",Assumptions!$B$9,L222*10)</f>
        <v>100</v>
      </c>
      <c r="R222" s="8" t="n">
        <f aca="false">IF(M222&lt;=1,Assumptions!$B$12,IF(M222&lt;=3,Assumptions!$B$13,IF(M222&lt;=6,Assumptions!$B$14,Assumptions!$B$15)))</f>
        <v>75</v>
      </c>
      <c r="S222" s="8" t="n">
        <f aca="false">IF(N222="Completed On Time",Assumptions!$B$16,IF(N222="Completed Late",Assumptions!$B$17,Assumptions!$B$18))</f>
        <v>100</v>
      </c>
      <c r="T222" s="8" t="n">
        <f aca="false">IF(I222=0,Assumptions!$B$20,IF(H222&gt;I222,Assumptions!$B$19,IF(H222=I222,Assumptions!$B$20,Assumptions!$B$21)))</f>
        <v>70</v>
      </c>
      <c r="U222" s="8" t="n">
        <f aca="false">ROUND(P222*Assumptions!$B$2+Q222*Assumptions!$B$3+R222*Assumptions!$B$4+S222*Assumptions!$B$5+T222*Assumptions!$B$6,0)</f>
        <v>90</v>
      </c>
      <c r="V222" s="8" t="str">
        <f aca="false">IF(U222&gt;=Assumptions!$B$10,"Healthy",IF(U222&gt;=Assumptions!$B$11,"Needs Attention","High Risk"))</f>
        <v>Healthy</v>
      </c>
    </row>
    <row r="223" customFormat="false" ht="15" hidden="false" customHeight="false" outlineLevel="0" collapsed="false">
      <c r="A223" s="8" t="s">
        <v>587</v>
      </c>
      <c r="B223" s="8" t="s">
        <v>588</v>
      </c>
      <c r="C223" s="8" t="s">
        <v>55</v>
      </c>
      <c r="D223" s="8" t="s">
        <v>55</v>
      </c>
      <c r="E223" s="8" t="s">
        <v>117</v>
      </c>
      <c r="F223" s="8" t="s">
        <v>223</v>
      </c>
      <c r="G223" s="8" t="s">
        <v>137</v>
      </c>
      <c r="H223" s="15" t="n">
        <v>7875</v>
      </c>
      <c r="I223" s="15" t="n">
        <v>7875</v>
      </c>
      <c r="J223" s="16" t="n">
        <v>0.931</v>
      </c>
      <c r="K223" s="8" t="n">
        <v>11.3</v>
      </c>
      <c r="L223" s="8" t="n">
        <v>7</v>
      </c>
      <c r="M223" s="8" t="n">
        <v>1</v>
      </c>
      <c r="N223" s="8" t="s">
        <v>120</v>
      </c>
      <c r="O223" s="15" t="n">
        <f aca="false">H223*12</f>
        <v>94500</v>
      </c>
      <c r="P223" s="8" t="n">
        <f aca="false">MIN(100,ROUND(100*J223/Assumptions!$B$8,0))</f>
        <v>100</v>
      </c>
      <c r="Q223" s="8" t="n">
        <f aca="false">IF(L223="",Assumptions!$B$9,L223*10)</f>
        <v>70</v>
      </c>
      <c r="R223" s="8" t="n">
        <f aca="false">IF(M223&lt;=1,Assumptions!$B$12,IF(M223&lt;=3,Assumptions!$B$13,IF(M223&lt;=6,Assumptions!$B$14,Assumptions!$B$15)))</f>
        <v>100</v>
      </c>
      <c r="S223" s="8" t="n">
        <f aca="false">IF(N223="Completed On Time",Assumptions!$B$16,IF(N223="Completed Late",Assumptions!$B$17,Assumptions!$B$18))</f>
        <v>100</v>
      </c>
      <c r="T223" s="8" t="n">
        <f aca="false">IF(I223=0,Assumptions!$B$20,IF(H223&gt;I223,Assumptions!$B$19,IF(H223=I223,Assumptions!$B$20,Assumptions!$B$21)))</f>
        <v>70</v>
      </c>
      <c r="U223" s="8" t="n">
        <f aca="false">ROUND(P223*Assumptions!$B$2+Q223*Assumptions!$B$3+R223*Assumptions!$B$4+S223*Assumptions!$B$5+T223*Assumptions!$B$6,0)</f>
        <v>88</v>
      </c>
      <c r="V223" s="8" t="str">
        <f aca="false">IF(U223&gt;=Assumptions!$B$10,"Healthy",IF(U223&gt;=Assumptions!$B$11,"Needs Attention","High Risk"))</f>
        <v>Healthy</v>
      </c>
    </row>
    <row r="224" customFormat="false" ht="15" hidden="false" customHeight="false" outlineLevel="0" collapsed="false">
      <c r="A224" s="8" t="s">
        <v>589</v>
      </c>
      <c r="B224" s="8" t="s">
        <v>590</v>
      </c>
      <c r="C224" s="8" t="s">
        <v>53</v>
      </c>
      <c r="D224" s="8" t="s">
        <v>55</v>
      </c>
      <c r="E224" s="8" t="s">
        <v>132</v>
      </c>
      <c r="F224" s="8" t="s">
        <v>136</v>
      </c>
      <c r="G224" s="8" t="s">
        <v>125</v>
      </c>
      <c r="H224" s="15" t="n">
        <v>7830</v>
      </c>
      <c r="I224" s="15" t="n">
        <v>7830</v>
      </c>
      <c r="J224" s="16" t="n">
        <v>0.636</v>
      </c>
      <c r="K224" s="8" t="n">
        <v>8.7</v>
      </c>
      <c r="L224" s="8" t="n">
        <v>9</v>
      </c>
      <c r="M224" s="8" t="n">
        <v>2</v>
      </c>
      <c r="N224" s="8" t="s">
        <v>120</v>
      </c>
      <c r="O224" s="15" t="n">
        <f aca="false">H224*12</f>
        <v>93960</v>
      </c>
      <c r="P224" s="8" t="n">
        <f aca="false">MIN(100,ROUND(100*J224/Assumptions!$B$8,0))</f>
        <v>71</v>
      </c>
      <c r="Q224" s="8" t="n">
        <f aca="false">IF(L224="",Assumptions!$B$9,L224*10)</f>
        <v>90</v>
      </c>
      <c r="R224" s="8" t="n">
        <f aca="false">IF(M224&lt;=1,Assumptions!$B$12,IF(M224&lt;=3,Assumptions!$B$13,IF(M224&lt;=6,Assumptions!$B$14,Assumptions!$B$15)))</f>
        <v>75</v>
      </c>
      <c r="S224" s="8" t="n">
        <f aca="false">IF(N224="Completed On Time",Assumptions!$B$16,IF(N224="Completed Late",Assumptions!$B$17,Assumptions!$B$18))</f>
        <v>100</v>
      </c>
      <c r="T224" s="8" t="n">
        <f aca="false">IF(I224=0,Assumptions!$B$20,IF(H224&gt;I224,Assumptions!$B$19,IF(H224=I224,Assumptions!$B$20,Assumptions!$B$21)))</f>
        <v>70</v>
      </c>
      <c r="U224" s="8" t="n">
        <f aca="false">ROUND(P224*Assumptions!$B$2+Q224*Assumptions!$B$3+R224*Assumptions!$B$4+S224*Assumptions!$B$5+T224*Assumptions!$B$6,0)</f>
        <v>78</v>
      </c>
      <c r="V224" s="8" t="str">
        <f aca="false">IF(U224&gt;=Assumptions!$B$10,"Healthy",IF(U224&gt;=Assumptions!$B$11,"Needs Attention","High Risk"))</f>
        <v>Needs Attention</v>
      </c>
    </row>
    <row r="225" customFormat="false" ht="15" hidden="false" customHeight="false" outlineLevel="0" collapsed="false">
      <c r="A225" s="8" t="s">
        <v>591</v>
      </c>
      <c r="B225" s="8" t="s">
        <v>592</v>
      </c>
      <c r="C225" s="8" t="s">
        <v>55</v>
      </c>
      <c r="D225" s="8" t="s">
        <v>55</v>
      </c>
      <c r="E225" s="8" t="s">
        <v>123</v>
      </c>
      <c r="F225" s="8" t="s">
        <v>133</v>
      </c>
      <c r="G225" s="8" t="s">
        <v>119</v>
      </c>
      <c r="H225" s="15" t="n">
        <v>7830</v>
      </c>
      <c r="I225" s="15" t="n">
        <v>7830</v>
      </c>
      <c r="J225" s="16" t="n">
        <v>0.695</v>
      </c>
      <c r="K225" s="8" t="n">
        <v>8.7</v>
      </c>
      <c r="L225" s="8" t="n">
        <v>8</v>
      </c>
      <c r="M225" s="8" t="n">
        <v>2</v>
      </c>
      <c r="N225" s="8" t="s">
        <v>120</v>
      </c>
      <c r="O225" s="15" t="n">
        <f aca="false">H225*12</f>
        <v>93960</v>
      </c>
      <c r="P225" s="8" t="n">
        <f aca="false">MIN(100,ROUND(100*J225/Assumptions!$B$8,0))</f>
        <v>77</v>
      </c>
      <c r="Q225" s="8" t="n">
        <f aca="false">IF(L225="",Assumptions!$B$9,L225*10)</f>
        <v>80</v>
      </c>
      <c r="R225" s="8" t="n">
        <f aca="false">IF(M225&lt;=1,Assumptions!$B$12,IF(M225&lt;=3,Assumptions!$B$13,IF(M225&lt;=6,Assumptions!$B$14,Assumptions!$B$15)))</f>
        <v>75</v>
      </c>
      <c r="S225" s="8" t="n">
        <f aca="false">IF(N225="Completed On Time",Assumptions!$B$16,IF(N225="Completed Late",Assumptions!$B$17,Assumptions!$B$18))</f>
        <v>100</v>
      </c>
      <c r="T225" s="8" t="n">
        <f aca="false">IF(I225=0,Assumptions!$B$20,IF(H225&gt;I225,Assumptions!$B$19,IF(H225=I225,Assumptions!$B$20,Assumptions!$B$21)))</f>
        <v>70</v>
      </c>
      <c r="U225" s="8" t="n">
        <f aca="false">ROUND(P225*Assumptions!$B$2+Q225*Assumptions!$B$3+R225*Assumptions!$B$4+S225*Assumptions!$B$5+T225*Assumptions!$B$6,0)</f>
        <v>78</v>
      </c>
      <c r="V225" s="8" t="str">
        <f aca="false">IF(U225&gt;=Assumptions!$B$10,"Healthy",IF(U225&gt;=Assumptions!$B$11,"Needs Attention","High Risk"))</f>
        <v>Needs Attention</v>
      </c>
    </row>
    <row r="226" customFormat="false" ht="15" hidden="false" customHeight="false" outlineLevel="0" collapsed="false">
      <c r="A226" s="8" t="s">
        <v>593</v>
      </c>
      <c r="B226" s="8" t="s">
        <v>594</v>
      </c>
      <c r="C226" s="8" t="s">
        <v>53</v>
      </c>
      <c r="D226" s="8" t="s">
        <v>326</v>
      </c>
      <c r="E226" s="8" t="s">
        <v>117</v>
      </c>
      <c r="F226" s="8" t="s">
        <v>136</v>
      </c>
      <c r="G226" s="8" t="s">
        <v>177</v>
      </c>
      <c r="H226" s="15" t="n">
        <v>7825</v>
      </c>
      <c r="I226" s="15" t="n">
        <v>5900</v>
      </c>
      <c r="J226" s="16" t="n">
        <v>0.898</v>
      </c>
      <c r="K226" s="8" t="n">
        <v>12</v>
      </c>
      <c r="L226" s="8" t="n">
        <v>10</v>
      </c>
      <c r="M226" s="8" t="n">
        <v>1</v>
      </c>
      <c r="N226" s="8" t="s">
        <v>120</v>
      </c>
      <c r="O226" s="15" t="n">
        <f aca="false">H226*12</f>
        <v>93900</v>
      </c>
      <c r="P226" s="8" t="n">
        <f aca="false">MIN(100,ROUND(100*J226/Assumptions!$B$8,0))</f>
        <v>100</v>
      </c>
      <c r="Q226" s="8" t="n">
        <f aca="false">IF(L226="",Assumptions!$B$9,L226*10)</f>
        <v>100</v>
      </c>
      <c r="R226" s="8" t="n">
        <f aca="false">IF(M226&lt;=1,Assumptions!$B$12,IF(M226&lt;=3,Assumptions!$B$13,IF(M226&lt;=6,Assumptions!$B$14,Assumptions!$B$15)))</f>
        <v>100</v>
      </c>
      <c r="S226" s="8" t="n">
        <f aca="false">IF(N226="Completed On Time",Assumptions!$B$16,IF(N226="Completed Late",Assumptions!$B$17,Assumptions!$B$18))</f>
        <v>100</v>
      </c>
      <c r="T226" s="8" t="n">
        <f aca="false">IF(I226=0,Assumptions!$B$20,IF(H226&gt;I226,Assumptions!$B$19,IF(H226=I226,Assumptions!$B$20,Assumptions!$B$21)))</f>
        <v>100</v>
      </c>
      <c r="U226" s="8" t="n">
        <f aca="false">ROUND(P226*Assumptions!$B$2+Q226*Assumptions!$B$3+R226*Assumptions!$B$4+S226*Assumptions!$B$5+T226*Assumptions!$B$6,0)</f>
        <v>100</v>
      </c>
      <c r="V226" s="8" t="str">
        <f aca="false">IF(U226&gt;=Assumptions!$B$10,"Healthy",IF(U226&gt;=Assumptions!$B$11,"Needs Attention","High Risk"))</f>
        <v>Healthy</v>
      </c>
    </row>
    <row r="227" customFormat="false" ht="15" hidden="false" customHeight="false" outlineLevel="0" collapsed="false">
      <c r="A227" s="8" t="s">
        <v>595</v>
      </c>
      <c r="B227" s="8" t="s">
        <v>596</v>
      </c>
      <c r="C227" s="8" t="s">
        <v>53</v>
      </c>
      <c r="D227" s="8" t="s">
        <v>55</v>
      </c>
      <c r="E227" s="8" t="s">
        <v>123</v>
      </c>
      <c r="F227" s="8" t="s">
        <v>154</v>
      </c>
      <c r="G227" s="8" t="s">
        <v>204</v>
      </c>
      <c r="H227" s="15" t="n">
        <v>7785</v>
      </c>
      <c r="I227" s="15" t="n">
        <v>7785</v>
      </c>
      <c r="J227" s="16" t="n">
        <v>0.607</v>
      </c>
      <c r="K227" s="8" t="n">
        <v>6.7</v>
      </c>
      <c r="L227" s="8" t="n">
        <v>6</v>
      </c>
      <c r="M227" s="8" t="n">
        <v>1</v>
      </c>
      <c r="N227" s="8" t="s">
        <v>120</v>
      </c>
      <c r="O227" s="15" t="n">
        <f aca="false">H227*12</f>
        <v>93420</v>
      </c>
      <c r="P227" s="8" t="n">
        <f aca="false">MIN(100,ROUND(100*J227/Assumptions!$B$8,0))</f>
        <v>67</v>
      </c>
      <c r="Q227" s="8" t="n">
        <f aca="false">IF(L227="",Assumptions!$B$9,L227*10)</f>
        <v>60</v>
      </c>
      <c r="R227" s="8" t="n">
        <f aca="false">IF(M227&lt;=1,Assumptions!$B$12,IF(M227&lt;=3,Assumptions!$B$13,IF(M227&lt;=6,Assumptions!$B$14,Assumptions!$B$15)))</f>
        <v>100</v>
      </c>
      <c r="S227" s="8" t="n">
        <f aca="false">IF(N227="Completed On Time",Assumptions!$B$16,IF(N227="Completed Late",Assumptions!$B$17,Assumptions!$B$18))</f>
        <v>100</v>
      </c>
      <c r="T227" s="8" t="n">
        <f aca="false">IF(I227=0,Assumptions!$B$20,IF(H227&gt;I227,Assumptions!$B$19,IF(H227=I227,Assumptions!$B$20,Assumptions!$B$21)))</f>
        <v>70</v>
      </c>
      <c r="U227" s="8" t="n">
        <f aca="false">ROUND(P227*Assumptions!$B$2+Q227*Assumptions!$B$3+R227*Assumptions!$B$4+S227*Assumptions!$B$5+T227*Assumptions!$B$6,0)</f>
        <v>74</v>
      </c>
      <c r="V227" s="8" t="str">
        <f aca="false">IF(U227&gt;=Assumptions!$B$10,"Healthy",IF(U227&gt;=Assumptions!$B$11,"Needs Attention","High Risk"))</f>
        <v>Needs Attention</v>
      </c>
    </row>
    <row r="228" customFormat="false" ht="15" hidden="false" customHeight="false" outlineLevel="0" collapsed="false">
      <c r="A228" s="8" t="s">
        <v>597</v>
      </c>
      <c r="B228" s="8" t="s">
        <v>598</v>
      </c>
      <c r="C228" s="8" t="s">
        <v>53</v>
      </c>
      <c r="D228" s="8" t="s">
        <v>55</v>
      </c>
      <c r="E228" s="8" t="s">
        <v>123</v>
      </c>
      <c r="F228" s="8" t="s">
        <v>124</v>
      </c>
      <c r="G228" s="8" t="s">
        <v>125</v>
      </c>
      <c r="H228" s="15" t="n">
        <v>7740</v>
      </c>
      <c r="I228" s="15" t="n">
        <v>7740</v>
      </c>
      <c r="J228" s="16" t="n">
        <v>0.638</v>
      </c>
      <c r="K228" s="8" t="n">
        <v>7</v>
      </c>
      <c r="L228" s="8" t="n">
        <v>9</v>
      </c>
      <c r="M228" s="8" t="n">
        <v>5</v>
      </c>
      <c r="N228" s="8" t="s">
        <v>148</v>
      </c>
      <c r="O228" s="15" t="n">
        <f aca="false">H228*12</f>
        <v>92880</v>
      </c>
      <c r="P228" s="8" t="n">
        <f aca="false">MIN(100,ROUND(100*J228/Assumptions!$B$8,0))</f>
        <v>71</v>
      </c>
      <c r="Q228" s="8" t="n">
        <f aca="false">IF(L228="",Assumptions!$B$9,L228*10)</f>
        <v>90</v>
      </c>
      <c r="R228" s="8" t="n">
        <f aca="false">IF(M228&lt;=1,Assumptions!$B$12,IF(M228&lt;=3,Assumptions!$B$13,IF(M228&lt;=6,Assumptions!$B$14,Assumptions!$B$15)))</f>
        <v>50</v>
      </c>
      <c r="S228" s="8" t="n">
        <f aca="false">IF(N228="Completed On Time",Assumptions!$B$16,IF(N228="Completed Late",Assumptions!$B$17,Assumptions!$B$18))</f>
        <v>60</v>
      </c>
      <c r="T228" s="8" t="n">
        <f aca="false">IF(I228=0,Assumptions!$B$20,IF(H228&gt;I228,Assumptions!$B$19,IF(H228=I228,Assumptions!$B$20,Assumptions!$B$21)))</f>
        <v>70</v>
      </c>
      <c r="U228" s="8" t="n">
        <f aca="false">ROUND(P228*Assumptions!$B$2+Q228*Assumptions!$B$3+R228*Assumptions!$B$4+S228*Assumptions!$B$5+T228*Assumptions!$B$6,0)</f>
        <v>70</v>
      </c>
      <c r="V228" s="8" t="str">
        <f aca="false">IF(U228&gt;=Assumptions!$B$10,"Healthy",IF(U228&gt;=Assumptions!$B$11,"Needs Attention","High Risk"))</f>
        <v>Needs Attention</v>
      </c>
    </row>
    <row r="229" customFormat="false" ht="15" hidden="false" customHeight="false" outlineLevel="0" collapsed="false">
      <c r="A229" s="8" t="s">
        <v>599</v>
      </c>
      <c r="B229" s="8" t="s">
        <v>600</v>
      </c>
      <c r="C229" s="8" t="s">
        <v>53</v>
      </c>
      <c r="D229" s="8" t="s">
        <v>55</v>
      </c>
      <c r="E229" s="8" t="s">
        <v>123</v>
      </c>
      <c r="F229" s="8" t="s">
        <v>166</v>
      </c>
      <c r="G229" s="8" t="s">
        <v>144</v>
      </c>
      <c r="H229" s="15" t="n">
        <v>7740</v>
      </c>
      <c r="I229" s="15" t="n">
        <v>7020</v>
      </c>
      <c r="J229" s="16" t="n">
        <v>0.682</v>
      </c>
      <c r="K229" s="8" t="n">
        <v>6</v>
      </c>
      <c r="L229" s="8" t="n">
        <v>8</v>
      </c>
      <c r="M229" s="8" t="n">
        <v>4</v>
      </c>
      <c r="N229" s="8" t="s">
        <v>120</v>
      </c>
      <c r="O229" s="15" t="n">
        <f aca="false">H229*12</f>
        <v>92880</v>
      </c>
      <c r="P229" s="8" t="n">
        <f aca="false">MIN(100,ROUND(100*J229/Assumptions!$B$8,0))</f>
        <v>76</v>
      </c>
      <c r="Q229" s="8" t="n">
        <f aca="false">IF(L229="",Assumptions!$B$9,L229*10)</f>
        <v>80</v>
      </c>
      <c r="R229" s="8" t="n">
        <f aca="false">IF(M229&lt;=1,Assumptions!$B$12,IF(M229&lt;=3,Assumptions!$B$13,IF(M229&lt;=6,Assumptions!$B$14,Assumptions!$B$15)))</f>
        <v>50</v>
      </c>
      <c r="S229" s="8" t="n">
        <f aca="false">IF(N229="Completed On Time",Assumptions!$B$16,IF(N229="Completed Late",Assumptions!$B$17,Assumptions!$B$18))</f>
        <v>100</v>
      </c>
      <c r="T229" s="8" t="n">
        <f aca="false">IF(I229=0,Assumptions!$B$20,IF(H229&gt;I229,Assumptions!$B$19,IF(H229=I229,Assumptions!$B$20,Assumptions!$B$21)))</f>
        <v>100</v>
      </c>
      <c r="U229" s="8" t="n">
        <f aca="false">ROUND(P229*Assumptions!$B$2+Q229*Assumptions!$B$3+R229*Assumptions!$B$4+S229*Assumptions!$B$5+T229*Assumptions!$B$6,0)</f>
        <v>80</v>
      </c>
      <c r="V229" s="8" t="str">
        <f aca="false">IF(U229&gt;=Assumptions!$B$10,"Healthy",IF(U229&gt;=Assumptions!$B$11,"Needs Attention","High Risk"))</f>
        <v>Healthy</v>
      </c>
    </row>
    <row r="230" customFormat="false" ht="15" hidden="false" customHeight="false" outlineLevel="0" collapsed="false">
      <c r="A230" s="8" t="s">
        <v>601</v>
      </c>
      <c r="B230" s="8" t="s">
        <v>602</v>
      </c>
      <c r="C230" s="8" t="s">
        <v>53</v>
      </c>
      <c r="D230" s="8" t="s">
        <v>55</v>
      </c>
      <c r="E230" s="8" t="s">
        <v>128</v>
      </c>
      <c r="F230" s="8" t="s">
        <v>133</v>
      </c>
      <c r="G230" s="8" t="s">
        <v>144</v>
      </c>
      <c r="H230" s="15" t="n">
        <v>7695</v>
      </c>
      <c r="I230" s="15" t="n">
        <v>7695</v>
      </c>
      <c r="J230" s="16" t="n">
        <v>0.828</v>
      </c>
      <c r="K230" s="8" t="n">
        <v>8.3</v>
      </c>
      <c r="L230" s="8" t="n">
        <v>10</v>
      </c>
      <c r="M230" s="8" t="n">
        <v>1</v>
      </c>
      <c r="N230" s="8" t="s">
        <v>120</v>
      </c>
      <c r="O230" s="15" t="n">
        <f aca="false">H230*12</f>
        <v>92340</v>
      </c>
      <c r="P230" s="8" t="n">
        <f aca="false">MIN(100,ROUND(100*J230/Assumptions!$B$8,0))</f>
        <v>92</v>
      </c>
      <c r="Q230" s="8" t="n">
        <f aca="false">IF(L230="",Assumptions!$B$9,L230*10)</f>
        <v>100</v>
      </c>
      <c r="R230" s="8" t="n">
        <f aca="false">IF(M230&lt;=1,Assumptions!$B$12,IF(M230&lt;=3,Assumptions!$B$13,IF(M230&lt;=6,Assumptions!$B$14,Assumptions!$B$15)))</f>
        <v>100</v>
      </c>
      <c r="S230" s="8" t="n">
        <f aca="false">IF(N230="Completed On Time",Assumptions!$B$16,IF(N230="Completed Late",Assumptions!$B$17,Assumptions!$B$18))</f>
        <v>100</v>
      </c>
      <c r="T230" s="8" t="n">
        <f aca="false">IF(I230=0,Assumptions!$B$20,IF(H230&gt;I230,Assumptions!$B$19,IF(H230=I230,Assumptions!$B$20,Assumptions!$B$21)))</f>
        <v>70</v>
      </c>
      <c r="U230" s="8" t="n">
        <f aca="false">ROUND(P230*Assumptions!$B$2+Q230*Assumptions!$B$3+R230*Assumptions!$B$4+S230*Assumptions!$B$5+T230*Assumptions!$B$6,0)</f>
        <v>91</v>
      </c>
      <c r="V230" s="8" t="str">
        <f aca="false">IF(U230&gt;=Assumptions!$B$10,"Healthy",IF(U230&gt;=Assumptions!$B$11,"Needs Attention","High Risk"))</f>
        <v>Healthy</v>
      </c>
    </row>
    <row r="231" customFormat="false" ht="15" hidden="false" customHeight="false" outlineLevel="0" collapsed="false">
      <c r="A231" s="8" t="s">
        <v>603</v>
      </c>
      <c r="B231" s="8" t="s">
        <v>604</v>
      </c>
      <c r="C231" s="8" t="s">
        <v>53</v>
      </c>
      <c r="D231" s="8" t="s">
        <v>55</v>
      </c>
      <c r="E231" s="8" t="s">
        <v>117</v>
      </c>
      <c r="F231" s="8" t="s">
        <v>143</v>
      </c>
      <c r="G231" s="8" t="s">
        <v>125</v>
      </c>
      <c r="H231" s="15" t="n">
        <v>7650</v>
      </c>
      <c r="I231" s="15" t="n">
        <v>7650</v>
      </c>
      <c r="J231" s="16" t="n">
        <v>0.737</v>
      </c>
      <c r="K231" s="8" t="n">
        <v>8.7</v>
      </c>
      <c r="L231" s="8" t="n">
        <v>7</v>
      </c>
      <c r="M231" s="8" t="n">
        <v>1</v>
      </c>
      <c r="N231" s="8" t="s">
        <v>148</v>
      </c>
      <c r="O231" s="15" t="n">
        <f aca="false">H231*12</f>
        <v>91800</v>
      </c>
      <c r="P231" s="8" t="n">
        <f aca="false">MIN(100,ROUND(100*J231/Assumptions!$B$8,0))</f>
        <v>82</v>
      </c>
      <c r="Q231" s="8" t="n">
        <f aca="false">IF(L231="",Assumptions!$B$9,L231*10)</f>
        <v>70</v>
      </c>
      <c r="R231" s="8" t="n">
        <f aca="false">IF(M231&lt;=1,Assumptions!$B$12,IF(M231&lt;=3,Assumptions!$B$13,IF(M231&lt;=6,Assumptions!$B$14,Assumptions!$B$15)))</f>
        <v>100</v>
      </c>
      <c r="S231" s="8" t="n">
        <f aca="false">IF(N231="Completed On Time",Assumptions!$B$16,IF(N231="Completed Late",Assumptions!$B$17,Assumptions!$B$18))</f>
        <v>60</v>
      </c>
      <c r="T231" s="8" t="n">
        <f aca="false">IF(I231=0,Assumptions!$B$20,IF(H231&gt;I231,Assumptions!$B$19,IF(H231=I231,Assumptions!$B$20,Assumptions!$B$21)))</f>
        <v>70</v>
      </c>
      <c r="U231" s="8" t="n">
        <f aca="false">ROUND(P231*Assumptions!$B$2+Q231*Assumptions!$B$3+R231*Assumptions!$B$4+S231*Assumptions!$B$5+T231*Assumptions!$B$6,0)</f>
        <v>78</v>
      </c>
      <c r="V231" s="8" t="str">
        <f aca="false">IF(U231&gt;=Assumptions!$B$10,"Healthy",IF(U231&gt;=Assumptions!$B$11,"Needs Attention","High Risk"))</f>
        <v>Needs Attention</v>
      </c>
    </row>
    <row r="232" customFormat="false" ht="15" hidden="false" customHeight="false" outlineLevel="0" collapsed="false">
      <c r="A232" s="8" t="s">
        <v>605</v>
      </c>
      <c r="B232" s="8" t="s">
        <v>606</v>
      </c>
      <c r="C232" s="8" t="s">
        <v>55</v>
      </c>
      <c r="D232" s="8" t="s">
        <v>55</v>
      </c>
      <c r="E232" s="8" t="s">
        <v>132</v>
      </c>
      <c r="F232" s="8" t="s">
        <v>166</v>
      </c>
      <c r="G232" s="8" t="s">
        <v>144</v>
      </c>
      <c r="H232" s="15" t="n">
        <v>7605</v>
      </c>
      <c r="I232" s="15" t="n">
        <v>7605</v>
      </c>
      <c r="J232" s="16" t="n">
        <v>0.627</v>
      </c>
      <c r="K232" s="8" t="n">
        <v>8</v>
      </c>
      <c r="L232" s="8" t="n">
        <v>8</v>
      </c>
      <c r="M232" s="8" t="n">
        <v>1</v>
      </c>
      <c r="N232" s="8" t="s">
        <v>120</v>
      </c>
      <c r="O232" s="15" t="n">
        <f aca="false">H232*12</f>
        <v>91260</v>
      </c>
      <c r="P232" s="8" t="n">
        <f aca="false">MIN(100,ROUND(100*J232/Assumptions!$B$8,0))</f>
        <v>70</v>
      </c>
      <c r="Q232" s="8" t="n">
        <f aca="false">IF(L232="",Assumptions!$B$9,L232*10)</f>
        <v>80</v>
      </c>
      <c r="R232" s="8" t="n">
        <f aca="false">IF(M232&lt;=1,Assumptions!$B$12,IF(M232&lt;=3,Assumptions!$B$13,IF(M232&lt;=6,Assumptions!$B$14,Assumptions!$B$15)))</f>
        <v>100</v>
      </c>
      <c r="S232" s="8" t="n">
        <f aca="false">IF(N232="Completed On Time",Assumptions!$B$16,IF(N232="Completed Late",Assumptions!$B$17,Assumptions!$B$18))</f>
        <v>100</v>
      </c>
      <c r="T232" s="8" t="n">
        <f aca="false">IF(I232=0,Assumptions!$B$20,IF(H232&gt;I232,Assumptions!$B$19,IF(H232=I232,Assumptions!$B$20,Assumptions!$B$21)))</f>
        <v>70</v>
      </c>
      <c r="U232" s="8" t="n">
        <f aca="false">ROUND(P232*Assumptions!$B$2+Q232*Assumptions!$B$3+R232*Assumptions!$B$4+S232*Assumptions!$B$5+T232*Assumptions!$B$6,0)</f>
        <v>80</v>
      </c>
      <c r="V232" s="8" t="str">
        <f aca="false">IF(U232&gt;=Assumptions!$B$10,"Healthy",IF(U232&gt;=Assumptions!$B$11,"Needs Attention","High Risk"))</f>
        <v>Healthy</v>
      </c>
    </row>
    <row r="233" customFormat="false" ht="15" hidden="false" customHeight="false" outlineLevel="0" collapsed="false">
      <c r="A233" s="8" t="s">
        <v>607</v>
      </c>
      <c r="B233" s="8" t="s">
        <v>608</v>
      </c>
      <c r="C233" s="8" t="s">
        <v>55</v>
      </c>
      <c r="D233" s="8" t="s">
        <v>326</v>
      </c>
      <c r="E233" s="8" t="s">
        <v>132</v>
      </c>
      <c r="F233" s="8" t="s">
        <v>190</v>
      </c>
      <c r="G233" s="8" t="s">
        <v>144</v>
      </c>
      <c r="H233" s="15" t="n">
        <v>7600</v>
      </c>
      <c r="I233" s="15" t="n">
        <v>8400</v>
      </c>
      <c r="J233" s="16" t="n">
        <v>0.832</v>
      </c>
      <c r="K233" s="8" t="n">
        <v>10.7</v>
      </c>
      <c r="L233" s="8" t="n">
        <v>9</v>
      </c>
      <c r="M233" s="8" t="n">
        <v>2</v>
      </c>
      <c r="N233" s="8" t="s">
        <v>120</v>
      </c>
      <c r="O233" s="15" t="n">
        <f aca="false">H233*12</f>
        <v>91200</v>
      </c>
      <c r="P233" s="8" t="n">
        <f aca="false">MIN(100,ROUND(100*J233/Assumptions!$B$8,0))</f>
        <v>92</v>
      </c>
      <c r="Q233" s="8" t="n">
        <f aca="false">IF(L233="",Assumptions!$B$9,L233*10)</f>
        <v>90</v>
      </c>
      <c r="R233" s="8" t="n">
        <f aca="false">IF(M233&lt;=1,Assumptions!$B$12,IF(M233&lt;=3,Assumptions!$B$13,IF(M233&lt;=6,Assumptions!$B$14,Assumptions!$B$15)))</f>
        <v>75</v>
      </c>
      <c r="S233" s="8" t="n">
        <f aca="false">IF(N233="Completed On Time",Assumptions!$B$16,IF(N233="Completed Late",Assumptions!$B$17,Assumptions!$B$18))</f>
        <v>100</v>
      </c>
      <c r="T233" s="8" t="n">
        <f aca="false">IF(I233=0,Assumptions!$B$20,IF(H233&gt;I233,Assumptions!$B$19,IF(H233=I233,Assumptions!$B$20,Assumptions!$B$21)))</f>
        <v>30</v>
      </c>
      <c r="U233" s="8" t="n">
        <f aca="false">ROUND(P233*Assumptions!$B$2+Q233*Assumptions!$B$3+R233*Assumptions!$B$4+S233*Assumptions!$B$5+T233*Assumptions!$B$6,0)</f>
        <v>77</v>
      </c>
      <c r="V233" s="8" t="str">
        <f aca="false">IF(U233&gt;=Assumptions!$B$10,"Healthy",IF(U233&gt;=Assumptions!$B$11,"Needs Attention","High Risk"))</f>
        <v>Needs Attention</v>
      </c>
    </row>
    <row r="234" customFormat="false" ht="15" hidden="false" customHeight="false" outlineLevel="0" collapsed="false">
      <c r="A234" s="8" t="s">
        <v>609</v>
      </c>
      <c r="B234" s="8" t="s">
        <v>610</v>
      </c>
      <c r="C234" s="8" t="s">
        <v>53</v>
      </c>
      <c r="D234" s="8" t="s">
        <v>55</v>
      </c>
      <c r="E234" s="8" t="s">
        <v>123</v>
      </c>
      <c r="F234" s="8" t="s">
        <v>151</v>
      </c>
      <c r="G234" s="8" t="s">
        <v>140</v>
      </c>
      <c r="H234" s="15" t="n">
        <v>7515</v>
      </c>
      <c r="I234" s="15" t="n">
        <v>7515</v>
      </c>
      <c r="J234" s="16" t="n">
        <v>0.806</v>
      </c>
      <c r="K234" s="8" t="n">
        <v>7</v>
      </c>
      <c r="L234" s="8" t="n">
        <v>10</v>
      </c>
      <c r="M234" s="8" t="n">
        <v>3</v>
      </c>
      <c r="N234" s="8" t="s">
        <v>120</v>
      </c>
      <c r="O234" s="15" t="n">
        <f aca="false">H234*12</f>
        <v>90180</v>
      </c>
      <c r="P234" s="8" t="n">
        <f aca="false">MIN(100,ROUND(100*J234/Assumptions!$B$8,0))</f>
        <v>90</v>
      </c>
      <c r="Q234" s="8" t="n">
        <f aca="false">IF(L234="",Assumptions!$B$9,L234*10)</f>
        <v>100</v>
      </c>
      <c r="R234" s="8" t="n">
        <f aca="false">IF(M234&lt;=1,Assumptions!$B$12,IF(M234&lt;=3,Assumptions!$B$13,IF(M234&lt;=6,Assumptions!$B$14,Assumptions!$B$15)))</f>
        <v>75</v>
      </c>
      <c r="S234" s="8" t="n">
        <f aca="false">IF(N234="Completed On Time",Assumptions!$B$16,IF(N234="Completed Late",Assumptions!$B$17,Assumptions!$B$18))</f>
        <v>100</v>
      </c>
      <c r="T234" s="8" t="n">
        <f aca="false">IF(I234=0,Assumptions!$B$20,IF(H234&gt;I234,Assumptions!$B$19,IF(H234=I234,Assumptions!$B$20,Assumptions!$B$21)))</f>
        <v>70</v>
      </c>
      <c r="U234" s="8" t="n">
        <f aca="false">ROUND(P234*Assumptions!$B$2+Q234*Assumptions!$B$3+R234*Assumptions!$B$4+S234*Assumptions!$B$5+T234*Assumptions!$B$6,0)</f>
        <v>87</v>
      </c>
      <c r="V234" s="8" t="str">
        <f aca="false">IF(U234&gt;=Assumptions!$B$10,"Healthy",IF(U234&gt;=Assumptions!$B$11,"Needs Attention","High Risk"))</f>
        <v>Healthy</v>
      </c>
    </row>
    <row r="235" customFormat="false" ht="15" hidden="false" customHeight="false" outlineLevel="0" collapsed="false">
      <c r="A235" s="8" t="s">
        <v>611</v>
      </c>
      <c r="B235" s="8" t="s">
        <v>612</v>
      </c>
      <c r="C235" s="8" t="s">
        <v>55</v>
      </c>
      <c r="D235" s="8" t="s">
        <v>55</v>
      </c>
      <c r="E235" s="8" t="s">
        <v>117</v>
      </c>
      <c r="F235" s="8" t="s">
        <v>133</v>
      </c>
      <c r="G235" s="8" t="s">
        <v>159</v>
      </c>
      <c r="H235" s="15" t="n">
        <v>7515</v>
      </c>
      <c r="I235" s="15" t="n">
        <v>7515</v>
      </c>
      <c r="J235" s="16" t="n">
        <v>0.772</v>
      </c>
      <c r="K235" s="8" t="n">
        <v>8.7</v>
      </c>
      <c r="L235" s="8" t="n">
        <v>9</v>
      </c>
      <c r="M235" s="8" t="n">
        <v>4</v>
      </c>
      <c r="N235" s="8" t="s">
        <v>120</v>
      </c>
      <c r="O235" s="15" t="n">
        <f aca="false">H235*12</f>
        <v>90180</v>
      </c>
      <c r="P235" s="8" t="n">
        <f aca="false">MIN(100,ROUND(100*J235/Assumptions!$B$8,0))</f>
        <v>86</v>
      </c>
      <c r="Q235" s="8" t="n">
        <f aca="false">IF(L235="",Assumptions!$B$9,L235*10)</f>
        <v>90</v>
      </c>
      <c r="R235" s="8" t="n">
        <f aca="false">IF(M235&lt;=1,Assumptions!$B$12,IF(M235&lt;=3,Assumptions!$B$13,IF(M235&lt;=6,Assumptions!$B$14,Assumptions!$B$15)))</f>
        <v>50</v>
      </c>
      <c r="S235" s="8" t="n">
        <f aca="false">IF(N235="Completed On Time",Assumptions!$B$16,IF(N235="Completed Late",Assumptions!$B$17,Assumptions!$B$18))</f>
        <v>100</v>
      </c>
      <c r="T235" s="8" t="n">
        <f aca="false">IF(I235=0,Assumptions!$B$20,IF(H235&gt;I235,Assumptions!$B$19,IF(H235=I235,Assumptions!$B$20,Assumptions!$B$21)))</f>
        <v>70</v>
      </c>
      <c r="U235" s="8" t="n">
        <f aca="false">ROUND(P235*Assumptions!$B$2+Q235*Assumptions!$B$3+R235*Assumptions!$B$4+S235*Assumptions!$B$5+T235*Assumptions!$B$6,0)</f>
        <v>80</v>
      </c>
      <c r="V235" s="8" t="str">
        <f aca="false">IF(U235&gt;=Assumptions!$B$10,"Healthy",IF(U235&gt;=Assumptions!$B$11,"Needs Attention","High Risk"))</f>
        <v>Healthy</v>
      </c>
    </row>
    <row r="236" customFormat="false" ht="15" hidden="false" customHeight="false" outlineLevel="0" collapsed="false">
      <c r="A236" s="8" t="s">
        <v>613</v>
      </c>
      <c r="B236" s="8" t="s">
        <v>614</v>
      </c>
      <c r="C236" s="8" t="s">
        <v>55</v>
      </c>
      <c r="D236" s="8" t="s">
        <v>326</v>
      </c>
      <c r="E236" s="8" t="s">
        <v>132</v>
      </c>
      <c r="F236" s="8" t="s">
        <v>151</v>
      </c>
      <c r="G236" s="8" t="s">
        <v>180</v>
      </c>
      <c r="H236" s="15" t="n">
        <v>7475</v>
      </c>
      <c r="I236" s="15" t="n">
        <v>7475</v>
      </c>
      <c r="J236" s="16" t="n">
        <v>0.478</v>
      </c>
      <c r="K236" s="8" t="n">
        <v>5.3</v>
      </c>
      <c r="L236" s="8" t="n">
        <v>6</v>
      </c>
      <c r="M236" s="8" t="n">
        <v>2</v>
      </c>
      <c r="N236" s="8" t="s">
        <v>148</v>
      </c>
      <c r="O236" s="15" t="n">
        <f aca="false">H236*12</f>
        <v>89700</v>
      </c>
      <c r="P236" s="8" t="n">
        <f aca="false">MIN(100,ROUND(100*J236/Assumptions!$B$8,0))</f>
        <v>53</v>
      </c>
      <c r="Q236" s="8" t="n">
        <f aca="false">IF(L236="",Assumptions!$B$9,L236*10)</f>
        <v>60</v>
      </c>
      <c r="R236" s="8" t="n">
        <f aca="false">IF(M236&lt;=1,Assumptions!$B$12,IF(M236&lt;=3,Assumptions!$B$13,IF(M236&lt;=6,Assumptions!$B$14,Assumptions!$B$15)))</f>
        <v>75</v>
      </c>
      <c r="S236" s="8" t="n">
        <f aca="false">IF(N236="Completed On Time",Assumptions!$B$16,IF(N236="Completed Late",Assumptions!$B$17,Assumptions!$B$18))</f>
        <v>60</v>
      </c>
      <c r="T236" s="8" t="n">
        <f aca="false">IF(I236=0,Assumptions!$B$20,IF(H236&gt;I236,Assumptions!$B$19,IF(H236=I236,Assumptions!$B$20,Assumptions!$B$21)))</f>
        <v>70</v>
      </c>
      <c r="U236" s="8" t="n">
        <f aca="false">ROUND(P236*Assumptions!$B$2+Q236*Assumptions!$B$3+R236*Assumptions!$B$4+S236*Assumptions!$B$5+T236*Assumptions!$B$6,0)</f>
        <v>62</v>
      </c>
      <c r="V236" s="8" t="str">
        <f aca="false">IF(U236&gt;=Assumptions!$B$10,"Healthy",IF(U236&gt;=Assumptions!$B$11,"Needs Attention","High Risk"))</f>
        <v>High Risk</v>
      </c>
    </row>
    <row r="237" customFormat="false" ht="15" hidden="false" customHeight="false" outlineLevel="0" collapsed="false">
      <c r="A237" s="8" t="s">
        <v>615</v>
      </c>
      <c r="B237" s="8" t="s">
        <v>616</v>
      </c>
      <c r="C237" s="8" t="s">
        <v>53</v>
      </c>
      <c r="D237" s="8" t="s">
        <v>55</v>
      </c>
      <c r="E237" s="8" t="s">
        <v>123</v>
      </c>
      <c r="F237" s="8" t="s">
        <v>143</v>
      </c>
      <c r="G237" s="8" t="s">
        <v>125</v>
      </c>
      <c r="H237" s="15" t="n">
        <v>7470</v>
      </c>
      <c r="I237" s="15" t="n">
        <v>7470</v>
      </c>
      <c r="J237" s="16" t="n">
        <v>0.894</v>
      </c>
      <c r="K237" s="8" t="n">
        <v>10.3</v>
      </c>
      <c r="L237" s="8" t="n">
        <v>9</v>
      </c>
      <c r="M237" s="8" t="n">
        <v>0</v>
      </c>
      <c r="N237" s="8" t="s">
        <v>120</v>
      </c>
      <c r="O237" s="15" t="n">
        <f aca="false">H237*12</f>
        <v>89640</v>
      </c>
      <c r="P237" s="8" t="n">
        <f aca="false">MIN(100,ROUND(100*J237/Assumptions!$B$8,0))</f>
        <v>99</v>
      </c>
      <c r="Q237" s="8" t="n">
        <f aca="false">IF(L237="",Assumptions!$B$9,L237*10)</f>
        <v>90</v>
      </c>
      <c r="R237" s="8" t="n">
        <f aca="false">IF(M237&lt;=1,Assumptions!$B$12,IF(M237&lt;=3,Assumptions!$B$13,IF(M237&lt;=6,Assumptions!$B$14,Assumptions!$B$15)))</f>
        <v>100</v>
      </c>
      <c r="S237" s="8" t="n">
        <f aca="false">IF(N237="Completed On Time",Assumptions!$B$16,IF(N237="Completed Late",Assumptions!$B$17,Assumptions!$B$18))</f>
        <v>100</v>
      </c>
      <c r="T237" s="8" t="n">
        <f aca="false">IF(I237=0,Assumptions!$B$20,IF(H237&gt;I237,Assumptions!$B$19,IF(H237=I237,Assumptions!$B$20,Assumptions!$B$21)))</f>
        <v>70</v>
      </c>
      <c r="U237" s="8" t="n">
        <f aca="false">ROUND(P237*Assumptions!$B$2+Q237*Assumptions!$B$3+R237*Assumptions!$B$4+S237*Assumptions!$B$5+T237*Assumptions!$B$6,0)</f>
        <v>92</v>
      </c>
      <c r="V237" s="8" t="str">
        <f aca="false">IF(U237&gt;=Assumptions!$B$10,"Healthy",IF(U237&gt;=Assumptions!$B$11,"Needs Attention","High Risk"))</f>
        <v>Healthy</v>
      </c>
    </row>
    <row r="238" customFormat="false" ht="15" hidden="false" customHeight="false" outlineLevel="0" collapsed="false">
      <c r="A238" s="8" t="s">
        <v>617</v>
      </c>
      <c r="B238" s="8" t="s">
        <v>618</v>
      </c>
      <c r="C238" s="8" t="s">
        <v>55</v>
      </c>
      <c r="D238" s="8" t="s">
        <v>55</v>
      </c>
      <c r="E238" s="8" t="s">
        <v>123</v>
      </c>
      <c r="F238" s="8" t="s">
        <v>124</v>
      </c>
      <c r="G238" s="8" t="s">
        <v>177</v>
      </c>
      <c r="H238" s="15" t="n">
        <v>7425</v>
      </c>
      <c r="I238" s="15" t="n">
        <v>7425</v>
      </c>
      <c r="J238" s="16" t="n">
        <v>0.529</v>
      </c>
      <c r="K238" s="8" t="n">
        <v>7</v>
      </c>
      <c r="L238" s="8" t="n">
        <v>6</v>
      </c>
      <c r="M238" s="8" t="n">
        <v>7</v>
      </c>
      <c r="N238" s="8" t="s">
        <v>120</v>
      </c>
      <c r="O238" s="15" t="n">
        <f aca="false">H238*12</f>
        <v>89100</v>
      </c>
      <c r="P238" s="8" t="n">
        <f aca="false">MIN(100,ROUND(100*J238/Assumptions!$B$8,0))</f>
        <v>59</v>
      </c>
      <c r="Q238" s="8" t="n">
        <f aca="false">IF(L238="",Assumptions!$B$9,L238*10)</f>
        <v>60</v>
      </c>
      <c r="R238" s="8" t="n">
        <f aca="false">IF(M238&lt;=1,Assumptions!$B$12,IF(M238&lt;=3,Assumptions!$B$13,IF(M238&lt;=6,Assumptions!$B$14,Assumptions!$B$15)))</f>
        <v>20</v>
      </c>
      <c r="S238" s="8" t="n">
        <f aca="false">IF(N238="Completed On Time",Assumptions!$B$16,IF(N238="Completed Late",Assumptions!$B$17,Assumptions!$B$18))</f>
        <v>100</v>
      </c>
      <c r="T238" s="8" t="n">
        <f aca="false">IF(I238=0,Assumptions!$B$20,IF(H238&gt;I238,Assumptions!$B$19,IF(H238=I238,Assumptions!$B$20,Assumptions!$B$21)))</f>
        <v>70</v>
      </c>
      <c r="U238" s="8" t="n">
        <f aca="false">ROUND(P238*Assumptions!$B$2+Q238*Assumptions!$B$3+R238*Assumptions!$B$4+S238*Assumptions!$B$5+T238*Assumptions!$B$6,0)</f>
        <v>60</v>
      </c>
      <c r="V238" s="8" t="str">
        <f aca="false">IF(U238&gt;=Assumptions!$B$10,"Healthy",IF(U238&gt;=Assumptions!$B$11,"Needs Attention","High Risk"))</f>
        <v>High Risk</v>
      </c>
    </row>
    <row r="239" customFormat="false" ht="15" hidden="false" customHeight="false" outlineLevel="0" collapsed="false">
      <c r="A239" s="8" t="s">
        <v>619</v>
      </c>
      <c r="B239" s="8" t="s">
        <v>620</v>
      </c>
      <c r="C239" s="8" t="s">
        <v>53</v>
      </c>
      <c r="D239" s="8" t="s">
        <v>55</v>
      </c>
      <c r="E239" s="8" t="s">
        <v>123</v>
      </c>
      <c r="F239" s="8" t="s">
        <v>124</v>
      </c>
      <c r="G239" s="8" t="s">
        <v>140</v>
      </c>
      <c r="H239" s="15" t="n">
        <v>7380</v>
      </c>
      <c r="I239" s="15" t="n">
        <v>7380</v>
      </c>
      <c r="J239" s="16" t="n">
        <v>0.874</v>
      </c>
      <c r="K239" s="8" t="n">
        <v>9.7</v>
      </c>
      <c r="L239" s="8" t="n">
        <v>10</v>
      </c>
      <c r="M239" s="8" t="n">
        <v>1</v>
      </c>
      <c r="N239" s="8" t="s">
        <v>120</v>
      </c>
      <c r="O239" s="15" t="n">
        <f aca="false">H239*12</f>
        <v>88560</v>
      </c>
      <c r="P239" s="8" t="n">
        <f aca="false">MIN(100,ROUND(100*J239/Assumptions!$B$8,0))</f>
        <v>97</v>
      </c>
      <c r="Q239" s="8" t="n">
        <f aca="false">IF(L239="",Assumptions!$B$9,L239*10)</f>
        <v>100</v>
      </c>
      <c r="R239" s="8" t="n">
        <f aca="false">IF(M239&lt;=1,Assumptions!$B$12,IF(M239&lt;=3,Assumptions!$B$13,IF(M239&lt;=6,Assumptions!$B$14,Assumptions!$B$15)))</f>
        <v>100</v>
      </c>
      <c r="S239" s="8" t="n">
        <f aca="false">IF(N239="Completed On Time",Assumptions!$B$16,IF(N239="Completed Late",Assumptions!$B$17,Assumptions!$B$18))</f>
        <v>100</v>
      </c>
      <c r="T239" s="8" t="n">
        <f aca="false">IF(I239=0,Assumptions!$B$20,IF(H239&gt;I239,Assumptions!$B$19,IF(H239=I239,Assumptions!$B$20,Assumptions!$B$21)))</f>
        <v>70</v>
      </c>
      <c r="U239" s="8" t="n">
        <f aca="false">ROUND(P239*Assumptions!$B$2+Q239*Assumptions!$B$3+R239*Assumptions!$B$4+S239*Assumptions!$B$5+T239*Assumptions!$B$6,0)</f>
        <v>93</v>
      </c>
      <c r="V239" s="8" t="str">
        <f aca="false">IF(U239&gt;=Assumptions!$B$10,"Healthy",IF(U239&gt;=Assumptions!$B$11,"Needs Attention","High Risk"))</f>
        <v>Healthy</v>
      </c>
    </row>
    <row r="240" customFormat="false" ht="15" hidden="false" customHeight="false" outlineLevel="0" collapsed="false">
      <c r="A240" s="8" t="s">
        <v>621</v>
      </c>
      <c r="B240" s="8" t="s">
        <v>622</v>
      </c>
      <c r="C240" s="8" t="s">
        <v>55</v>
      </c>
      <c r="D240" s="8" t="s">
        <v>55</v>
      </c>
      <c r="E240" s="8" t="s">
        <v>123</v>
      </c>
      <c r="F240" s="8" t="s">
        <v>190</v>
      </c>
      <c r="G240" s="8" t="s">
        <v>140</v>
      </c>
      <c r="H240" s="15" t="n">
        <v>7335</v>
      </c>
      <c r="I240" s="15" t="n">
        <v>7335</v>
      </c>
      <c r="J240" s="16" t="n">
        <v>0.957</v>
      </c>
      <c r="K240" s="8" t="n">
        <v>11.3</v>
      </c>
      <c r="L240" s="8" t="n">
        <v>9</v>
      </c>
      <c r="M240" s="8" t="n">
        <v>1</v>
      </c>
      <c r="N240" s="8" t="s">
        <v>120</v>
      </c>
      <c r="O240" s="15" t="n">
        <f aca="false">H240*12</f>
        <v>88020</v>
      </c>
      <c r="P240" s="8" t="n">
        <f aca="false">MIN(100,ROUND(100*J240/Assumptions!$B$8,0))</f>
        <v>100</v>
      </c>
      <c r="Q240" s="8" t="n">
        <f aca="false">IF(L240="",Assumptions!$B$9,L240*10)</f>
        <v>90</v>
      </c>
      <c r="R240" s="8" t="n">
        <f aca="false">IF(M240&lt;=1,Assumptions!$B$12,IF(M240&lt;=3,Assumptions!$B$13,IF(M240&lt;=6,Assumptions!$B$14,Assumptions!$B$15)))</f>
        <v>100</v>
      </c>
      <c r="S240" s="8" t="n">
        <f aca="false">IF(N240="Completed On Time",Assumptions!$B$16,IF(N240="Completed Late",Assumptions!$B$17,Assumptions!$B$18))</f>
        <v>100</v>
      </c>
      <c r="T240" s="8" t="n">
        <f aca="false">IF(I240=0,Assumptions!$B$20,IF(H240&gt;I240,Assumptions!$B$19,IF(H240=I240,Assumptions!$B$20,Assumptions!$B$21)))</f>
        <v>70</v>
      </c>
      <c r="U240" s="8" t="n">
        <f aca="false">ROUND(P240*Assumptions!$B$2+Q240*Assumptions!$B$3+R240*Assumptions!$B$4+S240*Assumptions!$B$5+T240*Assumptions!$B$6,0)</f>
        <v>92</v>
      </c>
      <c r="V240" s="8" t="str">
        <f aca="false">IF(U240&gt;=Assumptions!$B$10,"Healthy",IF(U240&gt;=Assumptions!$B$11,"Needs Attention","High Risk"))</f>
        <v>Healthy</v>
      </c>
    </row>
    <row r="241" customFormat="false" ht="15" hidden="false" customHeight="false" outlineLevel="0" collapsed="false">
      <c r="A241" s="8" t="s">
        <v>623</v>
      </c>
      <c r="B241" s="8" t="s">
        <v>624</v>
      </c>
      <c r="C241" s="8" t="s">
        <v>53</v>
      </c>
      <c r="D241" s="8" t="s">
        <v>55</v>
      </c>
      <c r="E241" s="8" t="s">
        <v>128</v>
      </c>
      <c r="F241" s="8" t="s">
        <v>118</v>
      </c>
      <c r="G241" s="8" t="s">
        <v>140</v>
      </c>
      <c r="H241" s="15" t="n">
        <v>7335</v>
      </c>
      <c r="I241" s="15" t="n">
        <v>7335</v>
      </c>
      <c r="J241" s="16" t="n">
        <v>0.738</v>
      </c>
      <c r="K241" s="8" t="n">
        <v>8.3</v>
      </c>
      <c r="L241" s="8" t="n">
        <v>9</v>
      </c>
      <c r="M241" s="8" t="n">
        <v>2</v>
      </c>
      <c r="N241" s="8" t="s">
        <v>120</v>
      </c>
      <c r="O241" s="15" t="n">
        <f aca="false">H241*12</f>
        <v>88020</v>
      </c>
      <c r="P241" s="8" t="n">
        <f aca="false">MIN(100,ROUND(100*J241/Assumptions!$B$8,0))</f>
        <v>82</v>
      </c>
      <c r="Q241" s="8" t="n">
        <f aca="false">IF(L241="",Assumptions!$B$9,L241*10)</f>
        <v>90</v>
      </c>
      <c r="R241" s="8" t="n">
        <f aca="false">IF(M241&lt;=1,Assumptions!$B$12,IF(M241&lt;=3,Assumptions!$B$13,IF(M241&lt;=6,Assumptions!$B$14,Assumptions!$B$15)))</f>
        <v>75</v>
      </c>
      <c r="S241" s="8" t="n">
        <f aca="false">IF(N241="Completed On Time",Assumptions!$B$16,IF(N241="Completed Late",Assumptions!$B$17,Assumptions!$B$18))</f>
        <v>100</v>
      </c>
      <c r="T241" s="8" t="n">
        <f aca="false">IF(I241=0,Assumptions!$B$20,IF(H241&gt;I241,Assumptions!$B$19,IF(H241=I241,Assumptions!$B$20,Assumptions!$B$21)))</f>
        <v>70</v>
      </c>
      <c r="U241" s="8" t="n">
        <f aca="false">ROUND(P241*Assumptions!$B$2+Q241*Assumptions!$B$3+R241*Assumptions!$B$4+S241*Assumptions!$B$5+T241*Assumptions!$B$6,0)</f>
        <v>82</v>
      </c>
      <c r="V241" s="8" t="str">
        <f aca="false">IF(U241&gt;=Assumptions!$B$10,"Healthy",IF(U241&gt;=Assumptions!$B$11,"Needs Attention","High Risk"))</f>
        <v>Healthy</v>
      </c>
    </row>
    <row r="242" customFormat="false" ht="15" hidden="false" customHeight="false" outlineLevel="0" collapsed="false">
      <c r="A242" s="8" t="s">
        <v>625</v>
      </c>
      <c r="B242" s="8" t="s">
        <v>626</v>
      </c>
      <c r="C242" s="8" t="s">
        <v>53</v>
      </c>
      <c r="D242" s="8" t="s">
        <v>326</v>
      </c>
      <c r="E242" s="8" t="s">
        <v>128</v>
      </c>
      <c r="F242" s="8" t="s">
        <v>143</v>
      </c>
      <c r="G242" s="8" t="s">
        <v>129</v>
      </c>
      <c r="H242" s="15" t="n">
        <v>7300</v>
      </c>
      <c r="I242" s="15" t="n">
        <v>5475</v>
      </c>
      <c r="J242" s="16" t="n">
        <v>0.73</v>
      </c>
      <c r="K242" s="8" t="n">
        <v>9</v>
      </c>
      <c r="L242" s="8" t="n">
        <v>8</v>
      </c>
      <c r="M242" s="8" t="n">
        <v>4</v>
      </c>
      <c r="N242" s="8" t="s">
        <v>120</v>
      </c>
      <c r="O242" s="15" t="n">
        <f aca="false">H242*12</f>
        <v>87600</v>
      </c>
      <c r="P242" s="8" t="n">
        <f aca="false">MIN(100,ROUND(100*J242/Assumptions!$B$8,0))</f>
        <v>81</v>
      </c>
      <c r="Q242" s="8" t="n">
        <f aca="false">IF(L242="",Assumptions!$B$9,L242*10)</f>
        <v>80</v>
      </c>
      <c r="R242" s="8" t="n">
        <f aca="false">IF(M242&lt;=1,Assumptions!$B$12,IF(M242&lt;=3,Assumptions!$B$13,IF(M242&lt;=6,Assumptions!$B$14,Assumptions!$B$15)))</f>
        <v>50</v>
      </c>
      <c r="S242" s="8" t="n">
        <f aca="false">IF(N242="Completed On Time",Assumptions!$B$16,IF(N242="Completed Late",Assumptions!$B$17,Assumptions!$B$18))</f>
        <v>100</v>
      </c>
      <c r="T242" s="8" t="n">
        <f aca="false">IF(I242=0,Assumptions!$B$20,IF(H242&gt;I242,Assumptions!$B$19,IF(H242=I242,Assumptions!$B$20,Assumptions!$B$21)))</f>
        <v>100</v>
      </c>
      <c r="U242" s="8" t="n">
        <f aca="false">ROUND(P242*Assumptions!$B$2+Q242*Assumptions!$B$3+R242*Assumptions!$B$4+S242*Assumptions!$B$5+T242*Assumptions!$B$6,0)</f>
        <v>82</v>
      </c>
      <c r="V242" s="8" t="str">
        <f aca="false">IF(U242&gt;=Assumptions!$B$10,"Healthy",IF(U242&gt;=Assumptions!$B$11,"Needs Attention","High Risk"))</f>
        <v>Healthy</v>
      </c>
    </row>
    <row r="243" customFormat="false" ht="15" hidden="false" customHeight="false" outlineLevel="0" collapsed="false">
      <c r="A243" s="8" t="s">
        <v>627</v>
      </c>
      <c r="B243" s="8" t="s">
        <v>628</v>
      </c>
      <c r="C243" s="8" t="s">
        <v>55</v>
      </c>
      <c r="D243" s="8" t="s">
        <v>326</v>
      </c>
      <c r="E243" s="8" t="s">
        <v>123</v>
      </c>
      <c r="F243" s="8" t="s">
        <v>133</v>
      </c>
      <c r="G243" s="8" t="s">
        <v>144</v>
      </c>
      <c r="H243" s="15" t="n">
        <v>7300</v>
      </c>
      <c r="I243" s="15" t="n">
        <v>7300</v>
      </c>
      <c r="J243" s="16" t="n">
        <v>0.729</v>
      </c>
      <c r="K243" s="8" t="n">
        <v>8.3</v>
      </c>
      <c r="L243" s="8" t="n">
        <v>9</v>
      </c>
      <c r="M243" s="8" t="n">
        <v>0</v>
      </c>
      <c r="N243" s="8" t="s">
        <v>120</v>
      </c>
      <c r="O243" s="15" t="n">
        <f aca="false">H243*12</f>
        <v>87600</v>
      </c>
      <c r="P243" s="8" t="n">
        <f aca="false">MIN(100,ROUND(100*J243/Assumptions!$B$8,0))</f>
        <v>81</v>
      </c>
      <c r="Q243" s="8" t="n">
        <f aca="false">IF(L243="",Assumptions!$B$9,L243*10)</f>
        <v>90</v>
      </c>
      <c r="R243" s="8" t="n">
        <f aca="false">IF(M243&lt;=1,Assumptions!$B$12,IF(M243&lt;=3,Assumptions!$B$13,IF(M243&lt;=6,Assumptions!$B$14,Assumptions!$B$15)))</f>
        <v>100</v>
      </c>
      <c r="S243" s="8" t="n">
        <f aca="false">IF(N243="Completed On Time",Assumptions!$B$16,IF(N243="Completed Late",Assumptions!$B$17,Assumptions!$B$18))</f>
        <v>100</v>
      </c>
      <c r="T243" s="8" t="n">
        <f aca="false">IF(I243=0,Assumptions!$B$20,IF(H243&gt;I243,Assumptions!$B$19,IF(H243=I243,Assumptions!$B$20,Assumptions!$B$21)))</f>
        <v>70</v>
      </c>
      <c r="U243" s="8" t="n">
        <f aca="false">ROUND(P243*Assumptions!$B$2+Q243*Assumptions!$B$3+R243*Assumptions!$B$4+S243*Assumptions!$B$5+T243*Assumptions!$B$6,0)</f>
        <v>85</v>
      </c>
      <c r="V243" s="8" t="str">
        <f aca="false">IF(U243&gt;=Assumptions!$B$10,"Healthy",IF(U243&gt;=Assumptions!$B$11,"Needs Attention","High Risk"))</f>
        <v>Healthy</v>
      </c>
    </row>
    <row r="244" customFormat="false" ht="15" hidden="false" customHeight="false" outlineLevel="0" collapsed="false">
      <c r="A244" s="8" t="s">
        <v>629</v>
      </c>
      <c r="B244" s="8" t="s">
        <v>630</v>
      </c>
      <c r="C244" s="8" t="s">
        <v>53</v>
      </c>
      <c r="D244" s="8" t="s">
        <v>55</v>
      </c>
      <c r="E244" s="8" t="s">
        <v>123</v>
      </c>
      <c r="F244" s="8" t="s">
        <v>143</v>
      </c>
      <c r="G244" s="8" t="s">
        <v>180</v>
      </c>
      <c r="H244" s="15" t="n">
        <v>7290</v>
      </c>
      <c r="I244" s="15" t="n">
        <v>8415</v>
      </c>
      <c r="J244" s="16" t="n">
        <v>0.763</v>
      </c>
      <c r="K244" s="8" t="n">
        <v>9</v>
      </c>
      <c r="L244" s="8" t="n">
        <v>6</v>
      </c>
      <c r="M244" s="8" t="n">
        <v>2</v>
      </c>
      <c r="N244" s="8" t="s">
        <v>120</v>
      </c>
      <c r="O244" s="15" t="n">
        <f aca="false">H244*12</f>
        <v>87480</v>
      </c>
      <c r="P244" s="8" t="n">
        <f aca="false">MIN(100,ROUND(100*J244/Assumptions!$B$8,0))</f>
        <v>85</v>
      </c>
      <c r="Q244" s="8" t="n">
        <f aca="false">IF(L244="",Assumptions!$B$9,L244*10)</f>
        <v>60</v>
      </c>
      <c r="R244" s="8" t="n">
        <f aca="false">IF(M244&lt;=1,Assumptions!$B$12,IF(M244&lt;=3,Assumptions!$B$13,IF(M244&lt;=6,Assumptions!$B$14,Assumptions!$B$15)))</f>
        <v>75</v>
      </c>
      <c r="S244" s="8" t="n">
        <f aca="false">IF(N244="Completed On Time",Assumptions!$B$16,IF(N244="Completed Late",Assumptions!$B$17,Assumptions!$B$18))</f>
        <v>100</v>
      </c>
      <c r="T244" s="8" t="n">
        <f aca="false">IF(I244=0,Assumptions!$B$20,IF(H244&gt;I244,Assumptions!$B$19,IF(H244=I244,Assumptions!$B$20,Assumptions!$B$21)))</f>
        <v>30</v>
      </c>
      <c r="U244" s="8" t="n">
        <f aca="false">ROUND(P244*Assumptions!$B$2+Q244*Assumptions!$B$3+R244*Assumptions!$B$4+S244*Assumptions!$B$5+T244*Assumptions!$B$6,0)</f>
        <v>69</v>
      </c>
      <c r="V244" s="8" t="str">
        <f aca="false">IF(U244&gt;=Assumptions!$B$10,"Healthy",IF(U244&gt;=Assumptions!$B$11,"Needs Attention","High Risk"))</f>
        <v>Needs Attention</v>
      </c>
    </row>
    <row r="245" customFormat="false" ht="15" hidden="false" customHeight="false" outlineLevel="0" collapsed="false">
      <c r="A245" s="8" t="s">
        <v>631</v>
      </c>
      <c r="B245" s="8" t="s">
        <v>632</v>
      </c>
      <c r="C245" s="8" t="s">
        <v>53</v>
      </c>
      <c r="D245" s="8" t="s">
        <v>55</v>
      </c>
      <c r="E245" s="8" t="s">
        <v>117</v>
      </c>
      <c r="F245" s="8" t="s">
        <v>133</v>
      </c>
      <c r="G245" s="8" t="s">
        <v>137</v>
      </c>
      <c r="H245" s="15" t="n">
        <v>7155</v>
      </c>
      <c r="I245" s="15" t="n">
        <v>7155</v>
      </c>
      <c r="J245" s="16" t="n">
        <v>0.658</v>
      </c>
      <c r="K245" s="8" t="n">
        <v>9.7</v>
      </c>
      <c r="L245" s="8" t="n">
        <v>10</v>
      </c>
      <c r="M245" s="8" t="n">
        <v>2</v>
      </c>
      <c r="N245" s="8" t="s">
        <v>120</v>
      </c>
      <c r="O245" s="15" t="n">
        <f aca="false">H245*12</f>
        <v>85860</v>
      </c>
      <c r="P245" s="8" t="n">
        <f aca="false">MIN(100,ROUND(100*J245/Assumptions!$B$8,0))</f>
        <v>73</v>
      </c>
      <c r="Q245" s="8" t="n">
        <f aca="false">IF(L245="",Assumptions!$B$9,L245*10)</f>
        <v>100</v>
      </c>
      <c r="R245" s="8" t="n">
        <f aca="false">IF(M245&lt;=1,Assumptions!$B$12,IF(M245&lt;=3,Assumptions!$B$13,IF(M245&lt;=6,Assumptions!$B$14,Assumptions!$B$15)))</f>
        <v>75</v>
      </c>
      <c r="S245" s="8" t="n">
        <f aca="false">IF(N245="Completed On Time",Assumptions!$B$16,IF(N245="Completed Late",Assumptions!$B$17,Assumptions!$B$18))</f>
        <v>100</v>
      </c>
      <c r="T245" s="8" t="n">
        <f aca="false">IF(I245=0,Assumptions!$B$20,IF(H245&gt;I245,Assumptions!$B$19,IF(H245=I245,Assumptions!$B$20,Assumptions!$B$21)))</f>
        <v>70</v>
      </c>
      <c r="U245" s="8" t="n">
        <f aca="false">ROUND(P245*Assumptions!$B$2+Q245*Assumptions!$B$3+R245*Assumptions!$B$4+S245*Assumptions!$B$5+T245*Assumptions!$B$6,0)</f>
        <v>81</v>
      </c>
      <c r="V245" s="8" t="str">
        <f aca="false">IF(U245&gt;=Assumptions!$B$10,"Healthy",IF(U245&gt;=Assumptions!$B$11,"Needs Attention","High Risk"))</f>
        <v>Healthy</v>
      </c>
    </row>
    <row r="246" customFormat="false" ht="15" hidden="false" customHeight="false" outlineLevel="0" collapsed="false">
      <c r="A246" s="8" t="s">
        <v>633</v>
      </c>
      <c r="B246" s="8" t="s">
        <v>634</v>
      </c>
      <c r="C246" s="8" t="s">
        <v>53</v>
      </c>
      <c r="D246" s="8" t="s">
        <v>55</v>
      </c>
      <c r="E246" s="8" t="s">
        <v>123</v>
      </c>
      <c r="F246" s="8" t="s">
        <v>190</v>
      </c>
      <c r="G246" s="8" t="s">
        <v>147</v>
      </c>
      <c r="H246" s="15" t="n">
        <v>7155</v>
      </c>
      <c r="I246" s="15" t="n">
        <v>7155</v>
      </c>
      <c r="J246" s="16" t="n">
        <v>0.916</v>
      </c>
      <c r="K246" s="8" t="n">
        <v>9.7</v>
      </c>
      <c r="L246" s="8" t="n">
        <v>9</v>
      </c>
      <c r="M246" s="8" t="n">
        <v>1</v>
      </c>
      <c r="N246" s="8" t="s">
        <v>120</v>
      </c>
      <c r="O246" s="15" t="n">
        <f aca="false">H246*12</f>
        <v>85860</v>
      </c>
      <c r="P246" s="8" t="n">
        <f aca="false">MIN(100,ROUND(100*J246/Assumptions!$B$8,0))</f>
        <v>100</v>
      </c>
      <c r="Q246" s="8" t="n">
        <f aca="false">IF(L246="",Assumptions!$B$9,L246*10)</f>
        <v>90</v>
      </c>
      <c r="R246" s="8" t="n">
        <f aca="false">IF(M246&lt;=1,Assumptions!$B$12,IF(M246&lt;=3,Assumptions!$B$13,IF(M246&lt;=6,Assumptions!$B$14,Assumptions!$B$15)))</f>
        <v>100</v>
      </c>
      <c r="S246" s="8" t="n">
        <f aca="false">IF(N246="Completed On Time",Assumptions!$B$16,IF(N246="Completed Late",Assumptions!$B$17,Assumptions!$B$18))</f>
        <v>100</v>
      </c>
      <c r="T246" s="8" t="n">
        <f aca="false">IF(I246=0,Assumptions!$B$20,IF(H246&gt;I246,Assumptions!$B$19,IF(H246=I246,Assumptions!$B$20,Assumptions!$B$21)))</f>
        <v>70</v>
      </c>
      <c r="U246" s="8" t="n">
        <f aca="false">ROUND(P246*Assumptions!$B$2+Q246*Assumptions!$B$3+R246*Assumptions!$B$4+S246*Assumptions!$B$5+T246*Assumptions!$B$6,0)</f>
        <v>92</v>
      </c>
      <c r="V246" s="8" t="str">
        <f aca="false">IF(U246&gt;=Assumptions!$B$10,"Healthy",IF(U246&gt;=Assumptions!$B$11,"Needs Attention","High Risk"))</f>
        <v>Healthy</v>
      </c>
    </row>
    <row r="247" customFormat="false" ht="15" hidden="false" customHeight="false" outlineLevel="0" collapsed="false">
      <c r="A247" s="8" t="s">
        <v>635</v>
      </c>
      <c r="B247" s="8" t="s">
        <v>636</v>
      </c>
      <c r="C247" s="8" t="s">
        <v>53</v>
      </c>
      <c r="D247" s="8" t="s">
        <v>55</v>
      </c>
      <c r="E247" s="8" t="s">
        <v>132</v>
      </c>
      <c r="F247" s="8" t="s">
        <v>143</v>
      </c>
      <c r="G247" s="8" t="s">
        <v>147</v>
      </c>
      <c r="H247" s="15" t="n">
        <v>7155</v>
      </c>
      <c r="I247" s="15" t="n">
        <v>7155</v>
      </c>
      <c r="J247" s="16" t="n">
        <v>0.962</v>
      </c>
      <c r="K247" s="8" t="n">
        <v>11.7</v>
      </c>
      <c r="L247" s="8" t="n">
        <v>10</v>
      </c>
      <c r="M247" s="8" t="n">
        <v>1</v>
      </c>
      <c r="N247" s="8" t="s">
        <v>120</v>
      </c>
      <c r="O247" s="15" t="n">
        <f aca="false">H247*12</f>
        <v>85860</v>
      </c>
      <c r="P247" s="8" t="n">
        <f aca="false">MIN(100,ROUND(100*J247/Assumptions!$B$8,0))</f>
        <v>100</v>
      </c>
      <c r="Q247" s="8" t="n">
        <f aca="false">IF(L247="",Assumptions!$B$9,L247*10)</f>
        <v>100</v>
      </c>
      <c r="R247" s="8" t="n">
        <f aca="false">IF(M247&lt;=1,Assumptions!$B$12,IF(M247&lt;=3,Assumptions!$B$13,IF(M247&lt;=6,Assumptions!$B$14,Assumptions!$B$15)))</f>
        <v>100</v>
      </c>
      <c r="S247" s="8" t="n">
        <f aca="false">IF(N247="Completed On Time",Assumptions!$B$16,IF(N247="Completed Late",Assumptions!$B$17,Assumptions!$B$18))</f>
        <v>100</v>
      </c>
      <c r="T247" s="8" t="n">
        <f aca="false">IF(I247=0,Assumptions!$B$20,IF(H247&gt;I247,Assumptions!$B$19,IF(H247=I247,Assumptions!$B$20,Assumptions!$B$21)))</f>
        <v>70</v>
      </c>
      <c r="U247" s="8" t="n">
        <f aca="false">ROUND(P247*Assumptions!$B$2+Q247*Assumptions!$B$3+R247*Assumptions!$B$4+S247*Assumptions!$B$5+T247*Assumptions!$B$6,0)</f>
        <v>94</v>
      </c>
      <c r="V247" s="8" t="str">
        <f aca="false">IF(U247&gt;=Assumptions!$B$10,"Healthy",IF(U247&gt;=Assumptions!$B$11,"Needs Attention","High Risk"))</f>
        <v>Healthy</v>
      </c>
    </row>
    <row r="248" customFormat="false" ht="15" hidden="false" customHeight="false" outlineLevel="0" collapsed="false">
      <c r="A248" s="8" t="s">
        <v>637</v>
      </c>
      <c r="B248" s="8" t="s">
        <v>638</v>
      </c>
      <c r="C248" s="8" t="s">
        <v>55</v>
      </c>
      <c r="D248" s="8" t="s">
        <v>326</v>
      </c>
      <c r="E248" s="8" t="s">
        <v>132</v>
      </c>
      <c r="F248" s="8" t="s">
        <v>143</v>
      </c>
      <c r="G248" s="8" t="s">
        <v>185</v>
      </c>
      <c r="H248" s="15" t="n">
        <v>7150</v>
      </c>
      <c r="I248" s="15" t="n">
        <v>7150</v>
      </c>
      <c r="J248" s="16" t="n">
        <v>0.95</v>
      </c>
      <c r="K248" s="8" t="n">
        <v>9</v>
      </c>
      <c r="L248" s="8" t="n">
        <v>10</v>
      </c>
      <c r="M248" s="8" t="n">
        <v>2</v>
      </c>
      <c r="N248" s="8" t="s">
        <v>120</v>
      </c>
      <c r="O248" s="15" t="n">
        <f aca="false">H248*12</f>
        <v>85800</v>
      </c>
      <c r="P248" s="8" t="n">
        <f aca="false">MIN(100,ROUND(100*J248/Assumptions!$B$8,0))</f>
        <v>100</v>
      </c>
      <c r="Q248" s="8" t="n">
        <f aca="false">IF(L248="",Assumptions!$B$9,L248*10)</f>
        <v>100</v>
      </c>
      <c r="R248" s="8" t="n">
        <f aca="false">IF(M248&lt;=1,Assumptions!$B$12,IF(M248&lt;=3,Assumptions!$B$13,IF(M248&lt;=6,Assumptions!$B$14,Assumptions!$B$15)))</f>
        <v>75</v>
      </c>
      <c r="S248" s="8" t="n">
        <f aca="false">IF(N248="Completed On Time",Assumptions!$B$16,IF(N248="Completed Late",Assumptions!$B$17,Assumptions!$B$18))</f>
        <v>100</v>
      </c>
      <c r="T248" s="8" t="n">
        <f aca="false">IF(I248=0,Assumptions!$B$20,IF(H248&gt;I248,Assumptions!$B$19,IF(H248=I248,Assumptions!$B$20,Assumptions!$B$21)))</f>
        <v>70</v>
      </c>
      <c r="U248" s="8" t="n">
        <f aca="false">ROUND(P248*Assumptions!$B$2+Q248*Assumptions!$B$3+R248*Assumptions!$B$4+S248*Assumptions!$B$5+T248*Assumptions!$B$6,0)</f>
        <v>90</v>
      </c>
      <c r="V248" s="8" t="str">
        <f aca="false">IF(U248&gt;=Assumptions!$B$10,"Healthy",IF(U248&gt;=Assumptions!$B$11,"Needs Attention","High Risk"))</f>
        <v>Healthy</v>
      </c>
    </row>
    <row r="249" customFormat="false" ht="15" hidden="false" customHeight="false" outlineLevel="0" collapsed="false">
      <c r="A249" s="8" t="s">
        <v>639</v>
      </c>
      <c r="B249" s="8" t="s">
        <v>640</v>
      </c>
      <c r="C249" s="8" t="s">
        <v>55</v>
      </c>
      <c r="D249" s="8" t="s">
        <v>326</v>
      </c>
      <c r="E249" s="8" t="s">
        <v>132</v>
      </c>
      <c r="F249" s="8" t="s">
        <v>151</v>
      </c>
      <c r="G249" s="8" t="s">
        <v>204</v>
      </c>
      <c r="H249" s="15" t="n">
        <v>7100</v>
      </c>
      <c r="I249" s="15" t="n">
        <v>7100</v>
      </c>
      <c r="J249" s="16" t="n">
        <v>0.944</v>
      </c>
      <c r="K249" s="8" t="n">
        <v>11.3</v>
      </c>
      <c r="L249" s="8" t="n">
        <v>10</v>
      </c>
      <c r="M249" s="8" t="n">
        <v>3</v>
      </c>
      <c r="N249" s="8" t="s">
        <v>120</v>
      </c>
      <c r="O249" s="15" t="n">
        <f aca="false">H249*12</f>
        <v>85200</v>
      </c>
      <c r="P249" s="8" t="n">
        <f aca="false">MIN(100,ROUND(100*J249/Assumptions!$B$8,0))</f>
        <v>100</v>
      </c>
      <c r="Q249" s="8" t="n">
        <f aca="false">IF(L249="",Assumptions!$B$9,L249*10)</f>
        <v>100</v>
      </c>
      <c r="R249" s="8" t="n">
        <f aca="false">IF(M249&lt;=1,Assumptions!$B$12,IF(M249&lt;=3,Assumptions!$B$13,IF(M249&lt;=6,Assumptions!$B$14,Assumptions!$B$15)))</f>
        <v>75</v>
      </c>
      <c r="S249" s="8" t="n">
        <f aca="false">IF(N249="Completed On Time",Assumptions!$B$16,IF(N249="Completed Late",Assumptions!$B$17,Assumptions!$B$18))</f>
        <v>100</v>
      </c>
      <c r="T249" s="8" t="n">
        <f aca="false">IF(I249=0,Assumptions!$B$20,IF(H249&gt;I249,Assumptions!$B$19,IF(H249=I249,Assumptions!$B$20,Assumptions!$B$21)))</f>
        <v>70</v>
      </c>
      <c r="U249" s="8" t="n">
        <f aca="false">ROUND(P249*Assumptions!$B$2+Q249*Assumptions!$B$3+R249*Assumptions!$B$4+S249*Assumptions!$B$5+T249*Assumptions!$B$6,0)</f>
        <v>90</v>
      </c>
      <c r="V249" s="8" t="str">
        <f aca="false">IF(U249&gt;=Assumptions!$B$10,"Healthy",IF(U249&gt;=Assumptions!$B$11,"Needs Attention","High Risk"))</f>
        <v>Healthy</v>
      </c>
    </row>
    <row r="250" customFormat="false" ht="15" hidden="false" customHeight="false" outlineLevel="0" collapsed="false">
      <c r="A250" s="8" t="s">
        <v>641</v>
      </c>
      <c r="B250" s="8" t="s">
        <v>642</v>
      </c>
      <c r="C250" s="8" t="s">
        <v>53</v>
      </c>
      <c r="D250" s="8" t="s">
        <v>55</v>
      </c>
      <c r="E250" s="8" t="s">
        <v>117</v>
      </c>
      <c r="F250" s="8" t="s">
        <v>133</v>
      </c>
      <c r="G250" s="8" t="s">
        <v>144</v>
      </c>
      <c r="H250" s="15" t="n">
        <v>6930</v>
      </c>
      <c r="I250" s="15" t="n">
        <v>6930</v>
      </c>
      <c r="J250" s="16" t="n">
        <v>0.768</v>
      </c>
      <c r="K250" s="8" t="n">
        <v>10.3</v>
      </c>
      <c r="L250" s="8" t="n">
        <v>10</v>
      </c>
      <c r="M250" s="8" t="n">
        <v>2</v>
      </c>
      <c r="N250" s="8" t="s">
        <v>120</v>
      </c>
      <c r="O250" s="15" t="n">
        <f aca="false">H250*12</f>
        <v>83160</v>
      </c>
      <c r="P250" s="8" t="n">
        <f aca="false">MIN(100,ROUND(100*J250/Assumptions!$B$8,0))</f>
        <v>85</v>
      </c>
      <c r="Q250" s="8" t="n">
        <f aca="false">IF(L250="",Assumptions!$B$9,L250*10)</f>
        <v>100</v>
      </c>
      <c r="R250" s="8" t="n">
        <f aca="false">IF(M250&lt;=1,Assumptions!$B$12,IF(M250&lt;=3,Assumptions!$B$13,IF(M250&lt;=6,Assumptions!$B$14,Assumptions!$B$15)))</f>
        <v>75</v>
      </c>
      <c r="S250" s="8" t="n">
        <f aca="false">IF(N250="Completed On Time",Assumptions!$B$16,IF(N250="Completed Late",Assumptions!$B$17,Assumptions!$B$18))</f>
        <v>100</v>
      </c>
      <c r="T250" s="8" t="n">
        <f aca="false">IF(I250=0,Assumptions!$B$20,IF(H250&gt;I250,Assumptions!$B$19,IF(H250=I250,Assumptions!$B$20,Assumptions!$B$21)))</f>
        <v>70</v>
      </c>
      <c r="U250" s="8" t="n">
        <f aca="false">ROUND(P250*Assumptions!$B$2+Q250*Assumptions!$B$3+R250*Assumptions!$B$4+S250*Assumptions!$B$5+T250*Assumptions!$B$6,0)</f>
        <v>85</v>
      </c>
      <c r="V250" s="8" t="str">
        <f aca="false">IF(U250&gt;=Assumptions!$B$10,"Healthy",IF(U250&gt;=Assumptions!$B$11,"Needs Attention","High Risk"))</f>
        <v>Healthy</v>
      </c>
    </row>
    <row r="251" customFormat="false" ht="15" hidden="false" customHeight="false" outlineLevel="0" collapsed="false">
      <c r="A251" s="8" t="s">
        <v>643</v>
      </c>
      <c r="B251" s="8" t="s">
        <v>644</v>
      </c>
      <c r="C251" s="8" t="s">
        <v>55</v>
      </c>
      <c r="D251" s="8" t="s">
        <v>55</v>
      </c>
      <c r="E251" s="8" t="s">
        <v>132</v>
      </c>
      <c r="F251" s="8" t="s">
        <v>154</v>
      </c>
      <c r="G251" s="8" t="s">
        <v>129</v>
      </c>
      <c r="H251" s="15" t="n">
        <v>6930</v>
      </c>
      <c r="I251" s="15" t="n">
        <v>6930</v>
      </c>
      <c r="J251" s="16" t="n">
        <v>0.545</v>
      </c>
      <c r="K251" s="8" t="n">
        <v>6.3</v>
      </c>
      <c r="L251" s="8" t="n">
        <v>8</v>
      </c>
      <c r="M251" s="8" t="n">
        <v>6</v>
      </c>
      <c r="N251" s="8" t="s">
        <v>120</v>
      </c>
      <c r="O251" s="15" t="n">
        <f aca="false">H251*12</f>
        <v>83160</v>
      </c>
      <c r="P251" s="8" t="n">
        <f aca="false">MIN(100,ROUND(100*J251/Assumptions!$B$8,0))</f>
        <v>61</v>
      </c>
      <c r="Q251" s="8" t="n">
        <f aca="false">IF(L251="",Assumptions!$B$9,L251*10)</f>
        <v>80</v>
      </c>
      <c r="R251" s="8" t="n">
        <f aca="false">IF(M251&lt;=1,Assumptions!$B$12,IF(M251&lt;=3,Assumptions!$B$13,IF(M251&lt;=6,Assumptions!$B$14,Assumptions!$B$15)))</f>
        <v>50</v>
      </c>
      <c r="S251" s="8" t="n">
        <f aca="false">IF(N251="Completed On Time",Assumptions!$B$16,IF(N251="Completed Late",Assumptions!$B$17,Assumptions!$B$18))</f>
        <v>100</v>
      </c>
      <c r="T251" s="8" t="n">
        <f aca="false">IF(I251=0,Assumptions!$B$20,IF(H251&gt;I251,Assumptions!$B$19,IF(H251=I251,Assumptions!$B$20,Assumptions!$B$21)))</f>
        <v>70</v>
      </c>
      <c r="U251" s="8" t="n">
        <f aca="false">ROUND(P251*Assumptions!$B$2+Q251*Assumptions!$B$3+R251*Assumptions!$B$4+S251*Assumptions!$B$5+T251*Assumptions!$B$6,0)</f>
        <v>69</v>
      </c>
      <c r="V251" s="8" t="str">
        <f aca="false">IF(U251&gt;=Assumptions!$B$10,"Healthy",IF(U251&gt;=Assumptions!$B$11,"Needs Attention","High Risk"))</f>
        <v>Needs Attention</v>
      </c>
    </row>
    <row r="252" customFormat="false" ht="15" hidden="false" customHeight="false" outlineLevel="0" collapsed="false">
      <c r="A252" s="8" t="s">
        <v>645</v>
      </c>
      <c r="B252" s="8" t="s">
        <v>646</v>
      </c>
      <c r="C252" s="8" t="s">
        <v>55</v>
      </c>
      <c r="D252" s="8" t="s">
        <v>55</v>
      </c>
      <c r="E252" s="8" t="s">
        <v>123</v>
      </c>
      <c r="F252" s="8" t="s">
        <v>190</v>
      </c>
      <c r="G252" s="8" t="s">
        <v>137</v>
      </c>
      <c r="H252" s="15" t="n">
        <v>6840</v>
      </c>
      <c r="I252" s="15" t="n">
        <v>6840</v>
      </c>
      <c r="J252" s="16" t="n">
        <v>0.75</v>
      </c>
      <c r="K252" s="8" t="n">
        <v>9.7</v>
      </c>
      <c r="L252" s="8" t="n">
        <v>10</v>
      </c>
      <c r="M252" s="8" t="n">
        <v>3</v>
      </c>
      <c r="N252" s="8" t="s">
        <v>120</v>
      </c>
      <c r="O252" s="15" t="n">
        <f aca="false">H252*12</f>
        <v>82080</v>
      </c>
      <c r="P252" s="8" t="n">
        <f aca="false">MIN(100,ROUND(100*J252/Assumptions!$B$8,0))</f>
        <v>83</v>
      </c>
      <c r="Q252" s="8" t="n">
        <f aca="false">IF(L252="",Assumptions!$B$9,L252*10)</f>
        <v>100</v>
      </c>
      <c r="R252" s="8" t="n">
        <f aca="false">IF(M252&lt;=1,Assumptions!$B$12,IF(M252&lt;=3,Assumptions!$B$13,IF(M252&lt;=6,Assumptions!$B$14,Assumptions!$B$15)))</f>
        <v>75</v>
      </c>
      <c r="S252" s="8" t="n">
        <f aca="false">IF(N252="Completed On Time",Assumptions!$B$16,IF(N252="Completed Late",Assumptions!$B$17,Assumptions!$B$18))</f>
        <v>100</v>
      </c>
      <c r="T252" s="8" t="n">
        <f aca="false">IF(I252=0,Assumptions!$B$20,IF(H252&gt;I252,Assumptions!$B$19,IF(H252=I252,Assumptions!$B$20,Assumptions!$B$21)))</f>
        <v>70</v>
      </c>
      <c r="U252" s="8" t="n">
        <f aca="false">ROUND(P252*Assumptions!$B$2+Q252*Assumptions!$B$3+R252*Assumptions!$B$4+S252*Assumptions!$B$5+T252*Assumptions!$B$6,0)</f>
        <v>84</v>
      </c>
      <c r="V252" s="8" t="str">
        <f aca="false">IF(U252&gt;=Assumptions!$B$10,"Healthy",IF(U252&gt;=Assumptions!$B$11,"Needs Attention","High Risk"))</f>
        <v>Healthy</v>
      </c>
    </row>
    <row r="253" customFormat="false" ht="15" hidden="false" customHeight="false" outlineLevel="0" collapsed="false">
      <c r="A253" s="8" t="s">
        <v>647</v>
      </c>
      <c r="B253" s="8" t="s">
        <v>648</v>
      </c>
      <c r="C253" s="8" t="s">
        <v>53</v>
      </c>
      <c r="D253" s="8" t="s">
        <v>55</v>
      </c>
      <c r="E253" s="8" t="s">
        <v>128</v>
      </c>
      <c r="F253" s="8" t="s">
        <v>133</v>
      </c>
      <c r="G253" s="8" t="s">
        <v>204</v>
      </c>
      <c r="H253" s="15" t="n">
        <v>6840</v>
      </c>
      <c r="I253" s="15" t="n">
        <v>6840</v>
      </c>
      <c r="J253" s="16" t="n">
        <v>0.507</v>
      </c>
      <c r="K253" s="8" t="n">
        <v>5</v>
      </c>
      <c r="L253" s="8" t="n">
        <v>6</v>
      </c>
      <c r="M253" s="8" t="n">
        <v>6</v>
      </c>
      <c r="N253" s="8" t="s">
        <v>120</v>
      </c>
      <c r="O253" s="15" t="n">
        <f aca="false">H253*12</f>
        <v>82080</v>
      </c>
      <c r="P253" s="8" t="n">
        <f aca="false">MIN(100,ROUND(100*J253/Assumptions!$B$8,0))</f>
        <v>56</v>
      </c>
      <c r="Q253" s="8" t="n">
        <f aca="false">IF(L253="",Assumptions!$B$9,L253*10)</f>
        <v>60</v>
      </c>
      <c r="R253" s="8" t="n">
        <f aca="false">IF(M253&lt;=1,Assumptions!$B$12,IF(M253&lt;=3,Assumptions!$B$13,IF(M253&lt;=6,Assumptions!$B$14,Assumptions!$B$15)))</f>
        <v>50</v>
      </c>
      <c r="S253" s="8" t="n">
        <f aca="false">IF(N253="Completed On Time",Assumptions!$B$16,IF(N253="Completed Late",Assumptions!$B$17,Assumptions!$B$18))</f>
        <v>100</v>
      </c>
      <c r="T253" s="8" t="n">
        <f aca="false">IF(I253=0,Assumptions!$B$20,IF(H253&gt;I253,Assumptions!$B$19,IF(H253=I253,Assumptions!$B$20,Assumptions!$B$21)))</f>
        <v>70</v>
      </c>
      <c r="U253" s="8" t="n">
        <f aca="false">ROUND(P253*Assumptions!$B$2+Q253*Assumptions!$B$3+R253*Assumptions!$B$4+S253*Assumptions!$B$5+T253*Assumptions!$B$6,0)</f>
        <v>63</v>
      </c>
      <c r="V253" s="8" t="str">
        <f aca="false">IF(U253&gt;=Assumptions!$B$10,"Healthy",IF(U253&gt;=Assumptions!$B$11,"Needs Attention","High Risk"))</f>
        <v>High Risk</v>
      </c>
    </row>
    <row r="254" customFormat="false" ht="15" hidden="false" customHeight="false" outlineLevel="0" collapsed="false">
      <c r="A254" s="8" t="s">
        <v>649</v>
      </c>
      <c r="B254" s="8" t="s">
        <v>650</v>
      </c>
      <c r="C254" s="8" t="s">
        <v>55</v>
      </c>
      <c r="D254" s="8" t="s">
        <v>55</v>
      </c>
      <c r="E254" s="8" t="s">
        <v>117</v>
      </c>
      <c r="F254" s="8" t="s">
        <v>124</v>
      </c>
      <c r="G254" s="8" t="s">
        <v>159</v>
      </c>
      <c r="H254" s="15" t="n">
        <v>6795</v>
      </c>
      <c r="I254" s="15" t="n">
        <v>6795</v>
      </c>
      <c r="J254" s="16" t="n">
        <v>0.614</v>
      </c>
      <c r="K254" s="8" t="n">
        <v>6.7</v>
      </c>
      <c r="L254" s="8" t="n">
        <v>7</v>
      </c>
      <c r="M254" s="8" t="n">
        <v>1</v>
      </c>
      <c r="N254" s="8" t="s">
        <v>120</v>
      </c>
      <c r="O254" s="15" t="n">
        <f aca="false">H254*12</f>
        <v>81540</v>
      </c>
      <c r="P254" s="8" t="n">
        <f aca="false">MIN(100,ROUND(100*J254/Assumptions!$B$8,0))</f>
        <v>68</v>
      </c>
      <c r="Q254" s="8" t="n">
        <f aca="false">IF(L254="",Assumptions!$B$9,L254*10)</f>
        <v>70</v>
      </c>
      <c r="R254" s="8" t="n">
        <f aca="false">IF(M254&lt;=1,Assumptions!$B$12,IF(M254&lt;=3,Assumptions!$B$13,IF(M254&lt;=6,Assumptions!$B$14,Assumptions!$B$15)))</f>
        <v>100</v>
      </c>
      <c r="S254" s="8" t="n">
        <f aca="false">IF(N254="Completed On Time",Assumptions!$B$16,IF(N254="Completed Late",Assumptions!$B$17,Assumptions!$B$18))</f>
        <v>100</v>
      </c>
      <c r="T254" s="8" t="n">
        <f aca="false">IF(I254=0,Assumptions!$B$20,IF(H254&gt;I254,Assumptions!$B$19,IF(H254=I254,Assumptions!$B$20,Assumptions!$B$21)))</f>
        <v>70</v>
      </c>
      <c r="U254" s="8" t="n">
        <f aca="false">ROUND(P254*Assumptions!$B$2+Q254*Assumptions!$B$3+R254*Assumptions!$B$4+S254*Assumptions!$B$5+T254*Assumptions!$B$6,0)</f>
        <v>77</v>
      </c>
      <c r="V254" s="8" t="str">
        <f aca="false">IF(U254&gt;=Assumptions!$B$10,"Healthy",IF(U254&gt;=Assumptions!$B$11,"Needs Attention","High Risk"))</f>
        <v>Needs Attention</v>
      </c>
    </row>
    <row r="255" customFormat="false" ht="15" hidden="false" customHeight="false" outlineLevel="0" collapsed="false">
      <c r="A255" s="8" t="s">
        <v>651</v>
      </c>
      <c r="B255" s="8" t="s">
        <v>652</v>
      </c>
      <c r="C255" s="8" t="s">
        <v>53</v>
      </c>
      <c r="D255" s="8" t="s">
        <v>55</v>
      </c>
      <c r="E255" s="8" t="s">
        <v>128</v>
      </c>
      <c r="F255" s="8" t="s">
        <v>223</v>
      </c>
      <c r="G255" s="8" t="s">
        <v>147</v>
      </c>
      <c r="H255" s="15" t="n">
        <v>6795</v>
      </c>
      <c r="I255" s="15" t="n">
        <v>6795</v>
      </c>
      <c r="J255" s="16" t="n">
        <v>0.7</v>
      </c>
      <c r="K255" s="8" t="n">
        <v>7.7</v>
      </c>
      <c r="L255" s="8" t="n">
        <v>8</v>
      </c>
      <c r="M255" s="8" t="n">
        <v>7</v>
      </c>
      <c r="N255" s="8" t="s">
        <v>120</v>
      </c>
      <c r="O255" s="15" t="n">
        <f aca="false">H255*12</f>
        <v>81540</v>
      </c>
      <c r="P255" s="8" t="n">
        <f aca="false">MIN(100,ROUND(100*J255/Assumptions!$B$8,0))</f>
        <v>78</v>
      </c>
      <c r="Q255" s="8" t="n">
        <f aca="false">IF(L255="",Assumptions!$B$9,L255*10)</f>
        <v>80</v>
      </c>
      <c r="R255" s="8" t="n">
        <f aca="false">IF(M255&lt;=1,Assumptions!$B$12,IF(M255&lt;=3,Assumptions!$B$13,IF(M255&lt;=6,Assumptions!$B$14,Assumptions!$B$15)))</f>
        <v>20</v>
      </c>
      <c r="S255" s="8" t="n">
        <f aca="false">IF(N255="Completed On Time",Assumptions!$B$16,IF(N255="Completed Late",Assumptions!$B$17,Assumptions!$B$18))</f>
        <v>100</v>
      </c>
      <c r="T255" s="8" t="n">
        <f aca="false">IF(I255=0,Assumptions!$B$20,IF(H255&gt;I255,Assumptions!$B$19,IF(H255=I255,Assumptions!$B$20,Assumptions!$B$21)))</f>
        <v>70</v>
      </c>
      <c r="U255" s="8" t="n">
        <f aca="false">ROUND(P255*Assumptions!$B$2+Q255*Assumptions!$B$3+R255*Assumptions!$B$4+S255*Assumptions!$B$5+T255*Assumptions!$B$6,0)</f>
        <v>70</v>
      </c>
      <c r="V255" s="8" t="str">
        <f aca="false">IF(U255&gt;=Assumptions!$B$10,"Healthy",IF(U255&gt;=Assumptions!$B$11,"Needs Attention","High Risk"))</f>
        <v>Needs Attention</v>
      </c>
    </row>
    <row r="256" customFormat="false" ht="15" hidden="false" customHeight="false" outlineLevel="0" collapsed="false">
      <c r="A256" s="8" t="s">
        <v>653</v>
      </c>
      <c r="B256" s="8" t="s">
        <v>654</v>
      </c>
      <c r="C256" s="8" t="s">
        <v>53</v>
      </c>
      <c r="D256" s="8" t="s">
        <v>55</v>
      </c>
      <c r="E256" s="8" t="s">
        <v>123</v>
      </c>
      <c r="F256" s="8" t="s">
        <v>223</v>
      </c>
      <c r="G256" s="8" t="s">
        <v>177</v>
      </c>
      <c r="H256" s="15" t="n">
        <v>6750</v>
      </c>
      <c r="I256" s="15" t="n">
        <v>6750</v>
      </c>
      <c r="J256" s="16" t="n">
        <v>0.773</v>
      </c>
      <c r="K256" s="8" t="n">
        <v>9.7</v>
      </c>
      <c r="L256" s="8" t="n">
        <v>10</v>
      </c>
      <c r="M256" s="8" t="n">
        <v>1</v>
      </c>
      <c r="N256" s="8" t="s">
        <v>120</v>
      </c>
      <c r="O256" s="15" t="n">
        <f aca="false">H256*12</f>
        <v>81000</v>
      </c>
      <c r="P256" s="8" t="n">
        <f aca="false">MIN(100,ROUND(100*J256/Assumptions!$B$8,0))</f>
        <v>86</v>
      </c>
      <c r="Q256" s="8" t="n">
        <f aca="false">IF(L256="",Assumptions!$B$9,L256*10)</f>
        <v>100</v>
      </c>
      <c r="R256" s="8" t="n">
        <f aca="false">IF(M256&lt;=1,Assumptions!$B$12,IF(M256&lt;=3,Assumptions!$B$13,IF(M256&lt;=6,Assumptions!$B$14,Assumptions!$B$15)))</f>
        <v>100</v>
      </c>
      <c r="S256" s="8" t="n">
        <f aca="false">IF(N256="Completed On Time",Assumptions!$B$16,IF(N256="Completed Late",Assumptions!$B$17,Assumptions!$B$18))</f>
        <v>100</v>
      </c>
      <c r="T256" s="8" t="n">
        <f aca="false">IF(I256=0,Assumptions!$B$20,IF(H256&gt;I256,Assumptions!$B$19,IF(H256=I256,Assumptions!$B$20,Assumptions!$B$21)))</f>
        <v>70</v>
      </c>
      <c r="U256" s="8" t="n">
        <f aca="false">ROUND(P256*Assumptions!$B$2+Q256*Assumptions!$B$3+R256*Assumptions!$B$4+S256*Assumptions!$B$5+T256*Assumptions!$B$6,0)</f>
        <v>89</v>
      </c>
      <c r="V256" s="8" t="str">
        <f aca="false">IF(U256&gt;=Assumptions!$B$10,"Healthy",IF(U256&gt;=Assumptions!$B$11,"Needs Attention","High Risk"))</f>
        <v>Healthy</v>
      </c>
    </row>
    <row r="257" customFormat="false" ht="15" hidden="false" customHeight="false" outlineLevel="0" collapsed="false">
      <c r="A257" s="8" t="s">
        <v>655</v>
      </c>
      <c r="B257" s="8" t="s">
        <v>656</v>
      </c>
      <c r="C257" s="8" t="s">
        <v>53</v>
      </c>
      <c r="D257" s="8" t="s">
        <v>55</v>
      </c>
      <c r="E257" s="8" t="s">
        <v>117</v>
      </c>
      <c r="F257" s="8" t="s">
        <v>151</v>
      </c>
      <c r="G257" s="8" t="s">
        <v>125</v>
      </c>
      <c r="H257" s="15" t="n">
        <v>6750</v>
      </c>
      <c r="I257" s="15" t="n">
        <v>6750</v>
      </c>
      <c r="J257" s="16" t="n">
        <v>0.769</v>
      </c>
      <c r="K257" s="8" t="n">
        <v>9.3</v>
      </c>
      <c r="L257" s="8" t="n">
        <v>9</v>
      </c>
      <c r="M257" s="8" t="n">
        <v>2</v>
      </c>
      <c r="N257" s="8" t="s">
        <v>120</v>
      </c>
      <c r="O257" s="15" t="n">
        <f aca="false">H257*12</f>
        <v>81000</v>
      </c>
      <c r="P257" s="8" t="n">
        <f aca="false">MIN(100,ROUND(100*J257/Assumptions!$B$8,0))</f>
        <v>85</v>
      </c>
      <c r="Q257" s="8" t="n">
        <f aca="false">IF(L257="",Assumptions!$B$9,L257*10)</f>
        <v>90</v>
      </c>
      <c r="R257" s="8" t="n">
        <f aca="false">IF(M257&lt;=1,Assumptions!$B$12,IF(M257&lt;=3,Assumptions!$B$13,IF(M257&lt;=6,Assumptions!$B$14,Assumptions!$B$15)))</f>
        <v>75</v>
      </c>
      <c r="S257" s="8" t="n">
        <f aca="false">IF(N257="Completed On Time",Assumptions!$B$16,IF(N257="Completed Late",Assumptions!$B$17,Assumptions!$B$18))</f>
        <v>100</v>
      </c>
      <c r="T257" s="8" t="n">
        <f aca="false">IF(I257=0,Assumptions!$B$20,IF(H257&gt;I257,Assumptions!$B$19,IF(H257=I257,Assumptions!$B$20,Assumptions!$B$21)))</f>
        <v>70</v>
      </c>
      <c r="U257" s="8" t="n">
        <f aca="false">ROUND(P257*Assumptions!$B$2+Q257*Assumptions!$B$3+R257*Assumptions!$B$4+S257*Assumptions!$B$5+T257*Assumptions!$B$6,0)</f>
        <v>83</v>
      </c>
      <c r="V257" s="8" t="str">
        <f aca="false">IF(U257&gt;=Assumptions!$B$10,"Healthy",IF(U257&gt;=Assumptions!$B$11,"Needs Attention","High Risk"))</f>
        <v>Healthy</v>
      </c>
    </row>
    <row r="258" customFormat="false" ht="15" hidden="false" customHeight="false" outlineLevel="0" collapsed="false">
      <c r="A258" s="8" t="s">
        <v>657</v>
      </c>
      <c r="B258" s="8" t="s">
        <v>658</v>
      </c>
      <c r="C258" s="8" t="s">
        <v>53</v>
      </c>
      <c r="D258" s="8" t="s">
        <v>55</v>
      </c>
      <c r="E258" s="8" t="s">
        <v>123</v>
      </c>
      <c r="F258" s="8" t="s">
        <v>143</v>
      </c>
      <c r="G258" s="8" t="s">
        <v>119</v>
      </c>
      <c r="H258" s="15" t="n">
        <v>6705</v>
      </c>
      <c r="I258" s="15" t="n">
        <v>6705</v>
      </c>
      <c r="J258" s="16" t="n">
        <v>0.942</v>
      </c>
      <c r="K258" s="8" t="n">
        <v>11.3</v>
      </c>
      <c r="L258" s="8" t="n">
        <v>10</v>
      </c>
      <c r="M258" s="8" t="n">
        <v>1</v>
      </c>
      <c r="N258" s="8" t="s">
        <v>120</v>
      </c>
      <c r="O258" s="15" t="n">
        <f aca="false">H258*12</f>
        <v>80460</v>
      </c>
      <c r="P258" s="8" t="n">
        <f aca="false">MIN(100,ROUND(100*J258/Assumptions!$B$8,0))</f>
        <v>100</v>
      </c>
      <c r="Q258" s="8" t="n">
        <f aca="false">IF(L258="",Assumptions!$B$9,L258*10)</f>
        <v>100</v>
      </c>
      <c r="R258" s="8" t="n">
        <f aca="false">IF(M258&lt;=1,Assumptions!$B$12,IF(M258&lt;=3,Assumptions!$B$13,IF(M258&lt;=6,Assumptions!$B$14,Assumptions!$B$15)))</f>
        <v>100</v>
      </c>
      <c r="S258" s="8" t="n">
        <f aca="false">IF(N258="Completed On Time",Assumptions!$B$16,IF(N258="Completed Late",Assumptions!$B$17,Assumptions!$B$18))</f>
        <v>100</v>
      </c>
      <c r="T258" s="8" t="n">
        <f aca="false">IF(I258=0,Assumptions!$B$20,IF(H258&gt;I258,Assumptions!$B$19,IF(H258=I258,Assumptions!$B$20,Assumptions!$B$21)))</f>
        <v>70</v>
      </c>
      <c r="U258" s="8" t="n">
        <f aca="false">ROUND(P258*Assumptions!$B$2+Q258*Assumptions!$B$3+R258*Assumptions!$B$4+S258*Assumptions!$B$5+T258*Assumptions!$B$6,0)</f>
        <v>94</v>
      </c>
      <c r="V258" s="8" t="str">
        <f aca="false">IF(U258&gt;=Assumptions!$B$10,"Healthy",IF(U258&gt;=Assumptions!$B$11,"Needs Attention","High Risk"))</f>
        <v>Healthy</v>
      </c>
    </row>
    <row r="259" customFormat="false" ht="15" hidden="false" customHeight="false" outlineLevel="0" collapsed="false">
      <c r="A259" s="8" t="s">
        <v>659</v>
      </c>
      <c r="B259" s="8" t="s">
        <v>660</v>
      </c>
      <c r="C259" s="8" t="s">
        <v>53</v>
      </c>
      <c r="D259" s="8" t="s">
        <v>55</v>
      </c>
      <c r="E259" s="8" t="s">
        <v>117</v>
      </c>
      <c r="F259" s="8" t="s">
        <v>223</v>
      </c>
      <c r="G259" s="8" t="s">
        <v>119</v>
      </c>
      <c r="H259" s="15" t="n">
        <v>6705</v>
      </c>
      <c r="I259" s="15" t="n">
        <v>6705</v>
      </c>
      <c r="J259" s="16" t="n">
        <v>0.702</v>
      </c>
      <c r="K259" s="8" t="n">
        <v>9.3</v>
      </c>
      <c r="L259" s="8" t="n">
        <v>6</v>
      </c>
      <c r="M259" s="8" t="n">
        <v>0</v>
      </c>
      <c r="N259" s="8" t="s">
        <v>120</v>
      </c>
      <c r="O259" s="15" t="n">
        <f aca="false">H259*12</f>
        <v>80460</v>
      </c>
      <c r="P259" s="8" t="n">
        <f aca="false">MIN(100,ROUND(100*J259/Assumptions!$B$8,0))</f>
        <v>78</v>
      </c>
      <c r="Q259" s="8" t="n">
        <f aca="false">IF(L259="",Assumptions!$B$9,L259*10)</f>
        <v>60</v>
      </c>
      <c r="R259" s="8" t="n">
        <f aca="false">IF(M259&lt;=1,Assumptions!$B$12,IF(M259&lt;=3,Assumptions!$B$13,IF(M259&lt;=6,Assumptions!$B$14,Assumptions!$B$15)))</f>
        <v>100</v>
      </c>
      <c r="S259" s="8" t="n">
        <f aca="false">IF(N259="Completed On Time",Assumptions!$B$16,IF(N259="Completed Late",Assumptions!$B$17,Assumptions!$B$18))</f>
        <v>100</v>
      </c>
      <c r="T259" s="8" t="n">
        <f aca="false">IF(I259=0,Assumptions!$B$20,IF(H259&gt;I259,Assumptions!$B$19,IF(H259=I259,Assumptions!$B$20,Assumptions!$B$21)))</f>
        <v>70</v>
      </c>
      <c r="U259" s="8" t="n">
        <f aca="false">ROUND(P259*Assumptions!$B$2+Q259*Assumptions!$B$3+R259*Assumptions!$B$4+S259*Assumptions!$B$5+T259*Assumptions!$B$6,0)</f>
        <v>78</v>
      </c>
      <c r="V259" s="8" t="str">
        <f aca="false">IF(U259&gt;=Assumptions!$B$10,"Healthy",IF(U259&gt;=Assumptions!$B$11,"Needs Attention","High Risk"))</f>
        <v>Needs Attention</v>
      </c>
    </row>
    <row r="260" customFormat="false" ht="15" hidden="false" customHeight="false" outlineLevel="0" collapsed="false">
      <c r="A260" s="8" t="s">
        <v>661</v>
      </c>
      <c r="B260" s="8" t="s">
        <v>662</v>
      </c>
      <c r="C260" s="8" t="s">
        <v>53</v>
      </c>
      <c r="D260" s="8" t="s">
        <v>55</v>
      </c>
      <c r="E260" s="8" t="s">
        <v>132</v>
      </c>
      <c r="F260" s="8" t="s">
        <v>223</v>
      </c>
      <c r="G260" s="8" t="s">
        <v>137</v>
      </c>
      <c r="H260" s="15" t="n">
        <v>6705</v>
      </c>
      <c r="I260" s="15" t="n">
        <v>6705</v>
      </c>
      <c r="J260" s="16" t="n">
        <v>0.582</v>
      </c>
      <c r="K260" s="8" t="n">
        <v>5</v>
      </c>
      <c r="L260" s="8" t="n">
        <v>5</v>
      </c>
      <c r="M260" s="8" t="n">
        <v>5</v>
      </c>
      <c r="N260" s="8" t="s">
        <v>120</v>
      </c>
      <c r="O260" s="15" t="n">
        <f aca="false">H260*12</f>
        <v>80460</v>
      </c>
      <c r="P260" s="8" t="n">
        <f aca="false">MIN(100,ROUND(100*J260/Assumptions!$B$8,0))</f>
        <v>65</v>
      </c>
      <c r="Q260" s="8" t="n">
        <f aca="false">IF(L260="",Assumptions!$B$9,L260*10)</f>
        <v>50</v>
      </c>
      <c r="R260" s="8" t="n">
        <f aca="false">IF(M260&lt;=1,Assumptions!$B$12,IF(M260&lt;=3,Assumptions!$B$13,IF(M260&lt;=6,Assumptions!$B$14,Assumptions!$B$15)))</f>
        <v>50</v>
      </c>
      <c r="S260" s="8" t="n">
        <f aca="false">IF(N260="Completed On Time",Assumptions!$B$16,IF(N260="Completed Late",Assumptions!$B$17,Assumptions!$B$18))</f>
        <v>100</v>
      </c>
      <c r="T260" s="8" t="n">
        <f aca="false">IF(I260=0,Assumptions!$B$20,IF(H260&gt;I260,Assumptions!$B$19,IF(H260=I260,Assumptions!$B$20,Assumptions!$B$21)))</f>
        <v>70</v>
      </c>
      <c r="U260" s="8" t="n">
        <f aca="false">ROUND(P260*Assumptions!$B$2+Q260*Assumptions!$B$3+R260*Assumptions!$B$4+S260*Assumptions!$B$5+T260*Assumptions!$B$6,0)</f>
        <v>64</v>
      </c>
      <c r="V260" s="8" t="str">
        <f aca="false">IF(U260&gt;=Assumptions!$B$10,"Healthy",IF(U260&gt;=Assumptions!$B$11,"Needs Attention","High Risk"))</f>
        <v>High Risk</v>
      </c>
    </row>
    <row r="261" customFormat="false" ht="15" hidden="false" customHeight="false" outlineLevel="0" collapsed="false">
      <c r="A261" s="8" t="s">
        <v>663</v>
      </c>
      <c r="B261" s="8" t="s">
        <v>664</v>
      </c>
      <c r="C261" s="8" t="s">
        <v>53</v>
      </c>
      <c r="D261" s="8" t="s">
        <v>55</v>
      </c>
      <c r="E261" s="8" t="s">
        <v>132</v>
      </c>
      <c r="F261" s="8" t="s">
        <v>124</v>
      </c>
      <c r="G261" s="8" t="s">
        <v>129</v>
      </c>
      <c r="H261" s="15" t="n">
        <v>6705</v>
      </c>
      <c r="I261" s="15" t="n">
        <v>6705</v>
      </c>
      <c r="J261" s="16" t="n">
        <v>0.642</v>
      </c>
      <c r="K261" s="8" t="n">
        <v>7.3</v>
      </c>
      <c r="L261" s="8" t="n">
        <v>5</v>
      </c>
      <c r="M261" s="8" t="n">
        <v>8</v>
      </c>
      <c r="N261" s="8" t="s">
        <v>120</v>
      </c>
      <c r="O261" s="15" t="n">
        <f aca="false">H261*12</f>
        <v>80460</v>
      </c>
      <c r="P261" s="8" t="n">
        <f aca="false">MIN(100,ROUND(100*J261/Assumptions!$B$8,0))</f>
        <v>71</v>
      </c>
      <c r="Q261" s="8" t="n">
        <f aca="false">IF(L261="",Assumptions!$B$9,L261*10)</f>
        <v>50</v>
      </c>
      <c r="R261" s="8" t="n">
        <f aca="false">IF(M261&lt;=1,Assumptions!$B$12,IF(M261&lt;=3,Assumptions!$B$13,IF(M261&lt;=6,Assumptions!$B$14,Assumptions!$B$15)))</f>
        <v>20</v>
      </c>
      <c r="S261" s="8" t="n">
        <f aca="false">IF(N261="Completed On Time",Assumptions!$B$16,IF(N261="Completed Late",Assumptions!$B$17,Assumptions!$B$18))</f>
        <v>100</v>
      </c>
      <c r="T261" s="8" t="n">
        <f aca="false">IF(I261=0,Assumptions!$B$20,IF(H261&gt;I261,Assumptions!$B$19,IF(H261=I261,Assumptions!$B$20,Assumptions!$B$21)))</f>
        <v>70</v>
      </c>
      <c r="U261" s="8" t="n">
        <f aca="false">ROUND(P261*Assumptions!$B$2+Q261*Assumptions!$B$3+R261*Assumptions!$B$4+S261*Assumptions!$B$5+T261*Assumptions!$B$6,0)</f>
        <v>62</v>
      </c>
      <c r="V261" s="8" t="str">
        <f aca="false">IF(U261&gt;=Assumptions!$B$10,"Healthy",IF(U261&gt;=Assumptions!$B$11,"Needs Attention","High Risk"))</f>
        <v>High Risk</v>
      </c>
    </row>
    <row r="262" customFormat="false" ht="15" hidden="false" customHeight="false" outlineLevel="0" collapsed="false">
      <c r="A262" s="8" t="s">
        <v>665</v>
      </c>
      <c r="B262" s="8" t="s">
        <v>666</v>
      </c>
      <c r="C262" s="8" t="s">
        <v>55</v>
      </c>
      <c r="D262" s="8" t="s">
        <v>326</v>
      </c>
      <c r="E262" s="8" t="s">
        <v>123</v>
      </c>
      <c r="F262" s="8" t="s">
        <v>151</v>
      </c>
      <c r="G262" s="8" t="s">
        <v>137</v>
      </c>
      <c r="H262" s="15" t="n">
        <v>6675</v>
      </c>
      <c r="I262" s="15" t="n">
        <v>6675</v>
      </c>
      <c r="J262" s="16" t="n">
        <v>0.755</v>
      </c>
      <c r="K262" s="8" t="n">
        <v>7.7</v>
      </c>
      <c r="L262" s="8" t="n">
        <v>8</v>
      </c>
      <c r="M262" s="8" t="n">
        <v>3</v>
      </c>
      <c r="N262" s="8" t="s">
        <v>120</v>
      </c>
      <c r="O262" s="15" t="n">
        <f aca="false">H262*12</f>
        <v>80100</v>
      </c>
      <c r="P262" s="8" t="n">
        <f aca="false">MIN(100,ROUND(100*J262/Assumptions!$B$8,0))</f>
        <v>84</v>
      </c>
      <c r="Q262" s="8" t="n">
        <f aca="false">IF(L262="",Assumptions!$B$9,L262*10)</f>
        <v>80</v>
      </c>
      <c r="R262" s="8" t="n">
        <f aca="false">IF(M262&lt;=1,Assumptions!$B$12,IF(M262&lt;=3,Assumptions!$B$13,IF(M262&lt;=6,Assumptions!$B$14,Assumptions!$B$15)))</f>
        <v>75</v>
      </c>
      <c r="S262" s="8" t="n">
        <f aca="false">IF(N262="Completed On Time",Assumptions!$B$16,IF(N262="Completed Late",Assumptions!$B$17,Assumptions!$B$18))</f>
        <v>100</v>
      </c>
      <c r="T262" s="8" t="n">
        <f aca="false">IF(I262=0,Assumptions!$B$20,IF(H262&gt;I262,Assumptions!$B$19,IF(H262=I262,Assumptions!$B$20,Assumptions!$B$21)))</f>
        <v>70</v>
      </c>
      <c r="U262" s="8" t="n">
        <f aca="false">ROUND(P262*Assumptions!$B$2+Q262*Assumptions!$B$3+R262*Assumptions!$B$4+S262*Assumptions!$B$5+T262*Assumptions!$B$6,0)</f>
        <v>81</v>
      </c>
      <c r="V262" s="8" t="str">
        <f aca="false">IF(U262&gt;=Assumptions!$B$10,"Healthy",IF(U262&gt;=Assumptions!$B$11,"Needs Attention","High Risk"))</f>
        <v>Healthy</v>
      </c>
    </row>
    <row r="263" customFormat="false" ht="15" hidden="false" customHeight="false" outlineLevel="0" collapsed="false">
      <c r="A263" s="8" t="s">
        <v>667</v>
      </c>
      <c r="B263" s="8" t="s">
        <v>668</v>
      </c>
      <c r="C263" s="8" t="s">
        <v>55</v>
      </c>
      <c r="D263" s="8" t="s">
        <v>55</v>
      </c>
      <c r="E263" s="8" t="s">
        <v>128</v>
      </c>
      <c r="F263" s="8" t="s">
        <v>166</v>
      </c>
      <c r="G263" s="8" t="s">
        <v>137</v>
      </c>
      <c r="H263" s="15" t="n">
        <v>6660</v>
      </c>
      <c r="I263" s="15" t="n">
        <v>6660</v>
      </c>
      <c r="J263" s="16" t="n">
        <v>0.608</v>
      </c>
      <c r="K263" s="8" t="n">
        <v>6.3</v>
      </c>
      <c r="L263" s="8" t="n">
        <v>7</v>
      </c>
      <c r="M263" s="8" t="n">
        <v>6</v>
      </c>
      <c r="N263" s="8" t="s">
        <v>148</v>
      </c>
      <c r="O263" s="15" t="n">
        <f aca="false">H263*12</f>
        <v>79920</v>
      </c>
      <c r="P263" s="8" t="n">
        <f aca="false">MIN(100,ROUND(100*J263/Assumptions!$B$8,0))</f>
        <v>68</v>
      </c>
      <c r="Q263" s="8" t="n">
        <f aca="false">IF(L263="",Assumptions!$B$9,L263*10)</f>
        <v>70</v>
      </c>
      <c r="R263" s="8" t="n">
        <f aca="false">IF(M263&lt;=1,Assumptions!$B$12,IF(M263&lt;=3,Assumptions!$B$13,IF(M263&lt;=6,Assumptions!$B$14,Assumptions!$B$15)))</f>
        <v>50</v>
      </c>
      <c r="S263" s="8" t="n">
        <f aca="false">IF(N263="Completed On Time",Assumptions!$B$16,IF(N263="Completed Late",Assumptions!$B$17,Assumptions!$B$18))</f>
        <v>60</v>
      </c>
      <c r="T263" s="8" t="n">
        <f aca="false">IF(I263=0,Assumptions!$B$20,IF(H263&gt;I263,Assumptions!$B$19,IF(H263=I263,Assumptions!$B$20,Assumptions!$B$21)))</f>
        <v>70</v>
      </c>
      <c r="U263" s="8" t="n">
        <f aca="false">ROUND(P263*Assumptions!$B$2+Q263*Assumptions!$B$3+R263*Assumptions!$B$4+S263*Assumptions!$B$5+T263*Assumptions!$B$6,0)</f>
        <v>65</v>
      </c>
      <c r="V263" s="8" t="str">
        <f aca="false">IF(U263&gt;=Assumptions!$B$10,"Healthy",IF(U263&gt;=Assumptions!$B$11,"Needs Attention","High Risk"))</f>
        <v>Needs Attention</v>
      </c>
    </row>
    <row r="264" customFormat="false" ht="15" hidden="false" customHeight="false" outlineLevel="0" collapsed="false">
      <c r="A264" s="8" t="s">
        <v>669</v>
      </c>
      <c r="B264" s="8" t="s">
        <v>670</v>
      </c>
      <c r="C264" s="8" t="s">
        <v>53</v>
      </c>
      <c r="D264" s="8" t="s">
        <v>55</v>
      </c>
      <c r="E264" s="8" t="s">
        <v>123</v>
      </c>
      <c r="F264" s="8" t="s">
        <v>143</v>
      </c>
      <c r="G264" s="8" t="s">
        <v>119</v>
      </c>
      <c r="H264" s="15" t="n">
        <v>6660</v>
      </c>
      <c r="I264" s="15" t="n">
        <v>5085</v>
      </c>
      <c r="J264" s="16" t="n">
        <v>0.741</v>
      </c>
      <c r="K264" s="8" t="n">
        <v>9</v>
      </c>
      <c r="L264" s="8" t="n">
        <v>8</v>
      </c>
      <c r="M264" s="8" t="n">
        <v>1</v>
      </c>
      <c r="N264" s="8" t="s">
        <v>120</v>
      </c>
      <c r="O264" s="15" t="n">
        <f aca="false">H264*12</f>
        <v>79920</v>
      </c>
      <c r="P264" s="8" t="n">
        <f aca="false">MIN(100,ROUND(100*J264/Assumptions!$B$8,0))</f>
        <v>82</v>
      </c>
      <c r="Q264" s="8" t="n">
        <f aca="false">IF(L264="",Assumptions!$B$9,L264*10)</f>
        <v>80</v>
      </c>
      <c r="R264" s="8" t="n">
        <f aca="false">IF(M264&lt;=1,Assumptions!$B$12,IF(M264&lt;=3,Assumptions!$B$13,IF(M264&lt;=6,Assumptions!$B$14,Assumptions!$B$15)))</f>
        <v>100</v>
      </c>
      <c r="S264" s="8" t="n">
        <f aca="false">IF(N264="Completed On Time",Assumptions!$B$16,IF(N264="Completed Late",Assumptions!$B$17,Assumptions!$B$18))</f>
        <v>100</v>
      </c>
      <c r="T264" s="8" t="n">
        <f aca="false">IF(I264=0,Assumptions!$B$20,IF(H264&gt;I264,Assumptions!$B$19,IF(H264=I264,Assumptions!$B$20,Assumptions!$B$21)))</f>
        <v>100</v>
      </c>
      <c r="U264" s="8" t="n">
        <f aca="false">ROUND(P264*Assumptions!$B$2+Q264*Assumptions!$B$3+R264*Assumptions!$B$4+S264*Assumptions!$B$5+T264*Assumptions!$B$6,0)</f>
        <v>90</v>
      </c>
      <c r="V264" s="8" t="str">
        <f aca="false">IF(U264&gt;=Assumptions!$B$10,"Healthy",IF(U264&gt;=Assumptions!$B$11,"Needs Attention","High Risk"))</f>
        <v>Healthy</v>
      </c>
    </row>
    <row r="265" customFormat="false" ht="15" hidden="false" customHeight="false" outlineLevel="0" collapsed="false">
      <c r="A265" s="8" t="s">
        <v>671</v>
      </c>
      <c r="B265" s="8" t="s">
        <v>672</v>
      </c>
      <c r="C265" s="8" t="s">
        <v>53</v>
      </c>
      <c r="D265" s="8" t="s">
        <v>326</v>
      </c>
      <c r="E265" s="8" t="s">
        <v>132</v>
      </c>
      <c r="F265" s="8" t="s">
        <v>154</v>
      </c>
      <c r="G265" s="8" t="s">
        <v>204</v>
      </c>
      <c r="H265" s="15" t="n">
        <v>6575</v>
      </c>
      <c r="I265" s="15" t="n">
        <v>5575</v>
      </c>
      <c r="J265" s="16" t="n">
        <v>0.869</v>
      </c>
      <c r="K265" s="8" t="n">
        <v>11</v>
      </c>
      <c r="L265" s="8" t="n">
        <v>10</v>
      </c>
      <c r="M265" s="8" t="n">
        <v>0</v>
      </c>
      <c r="N265" s="8" t="s">
        <v>120</v>
      </c>
      <c r="O265" s="15" t="n">
        <f aca="false">H265*12</f>
        <v>78900</v>
      </c>
      <c r="P265" s="8" t="n">
        <f aca="false">MIN(100,ROUND(100*J265/Assumptions!$B$8,0))</f>
        <v>97</v>
      </c>
      <c r="Q265" s="8" t="n">
        <f aca="false">IF(L265="",Assumptions!$B$9,L265*10)</f>
        <v>100</v>
      </c>
      <c r="R265" s="8" t="n">
        <f aca="false">IF(M265&lt;=1,Assumptions!$B$12,IF(M265&lt;=3,Assumptions!$B$13,IF(M265&lt;=6,Assumptions!$B$14,Assumptions!$B$15)))</f>
        <v>100</v>
      </c>
      <c r="S265" s="8" t="n">
        <f aca="false">IF(N265="Completed On Time",Assumptions!$B$16,IF(N265="Completed Late",Assumptions!$B$17,Assumptions!$B$18))</f>
        <v>100</v>
      </c>
      <c r="T265" s="8" t="n">
        <f aca="false">IF(I265=0,Assumptions!$B$20,IF(H265&gt;I265,Assumptions!$B$19,IF(H265=I265,Assumptions!$B$20,Assumptions!$B$21)))</f>
        <v>100</v>
      </c>
      <c r="U265" s="8" t="n">
        <f aca="false">ROUND(P265*Assumptions!$B$2+Q265*Assumptions!$B$3+R265*Assumptions!$B$4+S265*Assumptions!$B$5+T265*Assumptions!$B$6,0)</f>
        <v>99</v>
      </c>
      <c r="V265" s="8" t="str">
        <f aca="false">IF(U265&gt;=Assumptions!$B$10,"Healthy",IF(U265&gt;=Assumptions!$B$11,"Needs Attention","High Risk"))</f>
        <v>Healthy</v>
      </c>
    </row>
    <row r="266" customFormat="false" ht="15" hidden="false" customHeight="false" outlineLevel="0" collapsed="false">
      <c r="A266" s="8" t="s">
        <v>673</v>
      </c>
      <c r="B266" s="8" t="s">
        <v>674</v>
      </c>
      <c r="C266" s="8" t="s">
        <v>53</v>
      </c>
      <c r="D266" s="8" t="s">
        <v>55</v>
      </c>
      <c r="E266" s="8" t="s">
        <v>132</v>
      </c>
      <c r="F266" s="8" t="s">
        <v>166</v>
      </c>
      <c r="G266" s="8" t="s">
        <v>125</v>
      </c>
      <c r="H266" s="15" t="n">
        <v>6570</v>
      </c>
      <c r="I266" s="15" t="n">
        <v>6570</v>
      </c>
      <c r="J266" s="16" t="n">
        <v>0.74</v>
      </c>
      <c r="K266" s="8" t="n">
        <v>9</v>
      </c>
      <c r="L266" s="8" t="n">
        <v>9</v>
      </c>
      <c r="M266" s="8" t="n">
        <v>4</v>
      </c>
      <c r="N266" s="8" t="s">
        <v>120</v>
      </c>
      <c r="O266" s="15" t="n">
        <f aca="false">H266*12</f>
        <v>78840</v>
      </c>
      <c r="P266" s="8" t="n">
        <f aca="false">MIN(100,ROUND(100*J266/Assumptions!$B$8,0))</f>
        <v>82</v>
      </c>
      <c r="Q266" s="8" t="n">
        <f aca="false">IF(L266="",Assumptions!$B$9,L266*10)</f>
        <v>90</v>
      </c>
      <c r="R266" s="8" t="n">
        <f aca="false">IF(M266&lt;=1,Assumptions!$B$12,IF(M266&lt;=3,Assumptions!$B$13,IF(M266&lt;=6,Assumptions!$B$14,Assumptions!$B$15)))</f>
        <v>50</v>
      </c>
      <c r="S266" s="8" t="n">
        <f aca="false">IF(N266="Completed On Time",Assumptions!$B$16,IF(N266="Completed Late",Assumptions!$B$17,Assumptions!$B$18))</f>
        <v>100</v>
      </c>
      <c r="T266" s="8" t="n">
        <f aca="false">IF(I266=0,Assumptions!$B$20,IF(H266&gt;I266,Assumptions!$B$19,IF(H266=I266,Assumptions!$B$20,Assumptions!$B$21)))</f>
        <v>70</v>
      </c>
      <c r="U266" s="8" t="n">
        <f aca="false">ROUND(P266*Assumptions!$B$2+Q266*Assumptions!$B$3+R266*Assumptions!$B$4+S266*Assumptions!$B$5+T266*Assumptions!$B$6,0)</f>
        <v>78</v>
      </c>
      <c r="V266" s="8" t="str">
        <f aca="false">IF(U266&gt;=Assumptions!$B$10,"Healthy",IF(U266&gt;=Assumptions!$B$11,"Needs Attention","High Risk"))</f>
        <v>Needs Attention</v>
      </c>
    </row>
    <row r="267" customFormat="false" ht="15" hidden="false" customHeight="false" outlineLevel="0" collapsed="false">
      <c r="A267" s="8" t="s">
        <v>675</v>
      </c>
      <c r="B267" s="8" t="s">
        <v>676</v>
      </c>
      <c r="C267" s="8" t="s">
        <v>53</v>
      </c>
      <c r="D267" s="8" t="s">
        <v>55</v>
      </c>
      <c r="E267" s="8" t="s">
        <v>132</v>
      </c>
      <c r="F267" s="8" t="s">
        <v>154</v>
      </c>
      <c r="G267" s="8" t="s">
        <v>185</v>
      </c>
      <c r="H267" s="15" t="n">
        <v>6525</v>
      </c>
      <c r="I267" s="15" t="n">
        <v>6525</v>
      </c>
      <c r="J267" s="16" t="n">
        <v>0.653</v>
      </c>
      <c r="K267" s="8" t="n">
        <v>8</v>
      </c>
      <c r="L267" s="8" t="n">
        <v>5</v>
      </c>
      <c r="M267" s="8" t="n">
        <v>3</v>
      </c>
      <c r="N267" s="8" t="s">
        <v>120</v>
      </c>
      <c r="O267" s="15" t="n">
        <f aca="false">H267*12</f>
        <v>78300</v>
      </c>
      <c r="P267" s="8" t="n">
        <f aca="false">MIN(100,ROUND(100*J267/Assumptions!$B$8,0))</f>
        <v>73</v>
      </c>
      <c r="Q267" s="8" t="n">
        <f aca="false">IF(L267="",Assumptions!$B$9,L267*10)</f>
        <v>50</v>
      </c>
      <c r="R267" s="8" t="n">
        <f aca="false">IF(M267&lt;=1,Assumptions!$B$12,IF(M267&lt;=3,Assumptions!$B$13,IF(M267&lt;=6,Assumptions!$B$14,Assumptions!$B$15)))</f>
        <v>75</v>
      </c>
      <c r="S267" s="8" t="n">
        <f aca="false">IF(N267="Completed On Time",Assumptions!$B$16,IF(N267="Completed Late",Assumptions!$B$17,Assumptions!$B$18))</f>
        <v>100</v>
      </c>
      <c r="T267" s="8" t="n">
        <f aca="false">IF(I267=0,Assumptions!$B$20,IF(H267&gt;I267,Assumptions!$B$19,IF(H267=I267,Assumptions!$B$20,Assumptions!$B$21)))</f>
        <v>70</v>
      </c>
      <c r="U267" s="8" t="n">
        <f aca="false">ROUND(P267*Assumptions!$B$2+Q267*Assumptions!$B$3+R267*Assumptions!$B$4+S267*Assumptions!$B$5+T267*Assumptions!$B$6,0)</f>
        <v>71</v>
      </c>
      <c r="V267" s="8" t="str">
        <f aca="false">IF(U267&gt;=Assumptions!$B$10,"Healthy",IF(U267&gt;=Assumptions!$B$11,"Needs Attention","High Risk"))</f>
        <v>Needs Attention</v>
      </c>
    </row>
    <row r="268" customFormat="false" ht="15" hidden="false" customHeight="false" outlineLevel="0" collapsed="false">
      <c r="A268" s="8" t="s">
        <v>677</v>
      </c>
      <c r="B268" s="8" t="s">
        <v>678</v>
      </c>
      <c r="C268" s="8" t="s">
        <v>53</v>
      </c>
      <c r="D268" s="8" t="s">
        <v>55</v>
      </c>
      <c r="E268" s="8" t="s">
        <v>117</v>
      </c>
      <c r="F268" s="8" t="s">
        <v>124</v>
      </c>
      <c r="G268" s="8" t="s">
        <v>144</v>
      </c>
      <c r="H268" s="15" t="n">
        <v>6480</v>
      </c>
      <c r="I268" s="15" t="n">
        <v>6480</v>
      </c>
      <c r="J268" s="16" t="n">
        <v>0.683</v>
      </c>
      <c r="K268" s="8" t="n">
        <v>6.7</v>
      </c>
      <c r="L268" s="8" t="n">
        <v>7</v>
      </c>
      <c r="M268" s="8" t="n">
        <v>4</v>
      </c>
      <c r="N268" s="8" t="s">
        <v>120</v>
      </c>
      <c r="O268" s="15" t="n">
        <f aca="false">H268*12</f>
        <v>77760</v>
      </c>
      <c r="P268" s="8" t="n">
        <f aca="false">MIN(100,ROUND(100*J268/Assumptions!$B$8,0))</f>
        <v>76</v>
      </c>
      <c r="Q268" s="8" t="n">
        <f aca="false">IF(L268="",Assumptions!$B$9,L268*10)</f>
        <v>70</v>
      </c>
      <c r="R268" s="8" t="n">
        <f aca="false">IF(M268&lt;=1,Assumptions!$B$12,IF(M268&lt;=3,Assumptions!$B$13,IF(M268&lt;=6,Assumptions!$B$14,Assumptions!$B$15)))</f>
        <v>50</v>
      </c>
      <c r="S268" s="8" t="n">
        <f aca="false">IF(N268="Completed On Time",Assumptions!$B$16,IF(N268="Completed Late",Assumptions!$B$17,Assumptions!$B$18))</f>
        <v>100</v>
      </c>
      <c r="T268" s="8" t="n">
        <f aca="false">IF(I268=0,Assumptions!$B$20,IF(H268&gt;I268,Assumptions!$B$19,IF(H268=I268,Assumptions!$B$20,Assumptions!$B$21)))</f>
        <v>70</v>
      </c>
      <c r="U268" s="8" t="n">
        <f aca="false">ROUND(P268*Assumptions!$B$2+Q268*Assumptions!$B$3+R268*Assumptions!$B$4+S268*Assumptions!$B$5+T268*Assumptions!$B$6,0)</f>
        <v>72</v>
      </c>
      <c r="V268" s="8" t="str">
        <f aca="false">IF(U268&gt;=Assumptions!$B$10,"Healthy",IF(U268&gt;=Assumptions!$B$11,"Needs Attention","High Risk"))</f>
        <v>Needs Attention</v>
      </c>
    </row>
    <row r="269" customFormat="false" ht="15" hidden="false" customHeight="false" outlineLevel="0" collapsed="false">
      <c r="A269" s="8" t="s">
        <v>679</v>
      </c>
      <c r="B269" s="8" t="s">
        <v>680</v>
      </c>
      <c r="C269" s="8" t="s">
        <v>53</v>
      </c>
      <c r="D269" s="8" t="s">
        <v>326</v>
      </c>
      <c r="E269" s="8" t="s">
        <v>132</v>
      </c>
      <c r="F269" s="8" t="s">
        <v>223</v>
      </c>
      <c r="G269" s="8" t="s">
        <v>159</v>
      </c>
      <c r="H269" s="15" t="n">
        <v>6475</v>
      </c>
      <c r="I269" s="15" t="n">
        <v>6475</v>
      </c>
      <c r="J269" s="16" t="n">
        <v>0.755</v>
      </c>
      <c r="K269" s="8" t="n">
        <v>9.3</v>
      </c>
      <c r="L269" s="8" t="n">
        <v>8</v>
      </c>
      <c r="M269" s="8" t="n">
        <v>3</v>
      </c>
      <c r="N269" s="8" t="s">
        <v>120</v>
      </c>
      <c r="O269" s="15" t="n">
        <f aca="false">H269*12</f>
        <v>77700</v>
      </c>
      <c r="P269" s="8" t="n">
        <f aca="false">MIN(100,ROUND(100*J269/Assumptions!$B$8,0))</f>
        <v>84</v>
      </c>
      <c r="Q269" s="8" t="n">
        <f aca="false">IF(L269="",Assumptions!$B$9,L269*10)</f>
        <v>80</v>
      </c>
      <c r="R269" s="8" t="n">
        <f aca="false">IF(M269&lt;=1,Assumptions!$B$12,IF(M269&lt;=3,Assumptions!$B$13,IF(M269&lt;=6,Assumptions!$B$14,Assumptions!$B$15)))</f>
        <v>75</v>
      </c>
      <c r="S269" s="8" t="n">
        <f aca="false">IF(N269="Completed On Time",Assumptions!$B$16,IF(N269="Completed Late",Assumptions!$B$17,Assumptions!$B$18))</f>
        <v>100</v>
      </c>
      <c r="T269" s="8" t="n">
        <f aca="false">IF(I269=0,Assumptions!$B$20,IF(H269&gt;I269,Assumptions!$B$19,IF(H269=I269,Assumptions!$B$20,Assumptions!$B$21)))</f>
        <v>70</v>
      </c>
      <c r="U269" s="8" t="n">
        <f aca="false">ROUND(P269*Assumptions!$B$2+Q269*Assumptions!$B$3+R269*Assumptions!$B$4+S269*Assumptions!$B$5+T269*Assumptions!$B$6,0)</f>
        <v>81</v>
      </c>
      <c r="V269" s="8" t="str">
        <f aca="false">IF(U269&gt;=Assumptions!$B$10,"Healthy",IF(U269&gt;=Assumptions!$B$11,"Needs Attention","High Risk"))</f>
        <v>Healthy</v>
      </c>
    </row>
    <row r="270" customFormat="false" ht="15" hidden="false" customHeight="false" outlineLevel="0" collapsed="false">
      <c r="A270" s="8" t="s">
        <v>681</v>
      </c>
      <c r="B270" s="8" t="s">
        <v>682</v>
      </c>
      <c r="C270" s="8" t="s">
        <v>53</v>
      </c>
      <c r="D270" s="8" t="s">
        <v>55</v>
      </c>
      <c r="E270" s="8" t="s">
        <v>128</v>
      </c>
      <c r="F270" s="8" t="s">
        <v>136</v>
      </c>
      <c r="G270" s="8" t="s">
        <v>129</v>
      </c>
      <c r="H270" s="15" t="n">
        <v>6435</v>
      </c>
      <c r="I270" s="15" t="n">
        <v>6435</v>
      </c>
      <c r="J270" s="16" t="n">
        <v>0.918</v>
      </c>
      <c r="K270" s="8" t="n">
        <v>10.7</v>
      </c>
      <c r="L270" s="8" t="n">
        <v>10</v>
      </c>
      <c r="M270" s="8" t="n">
        <v>4</v>
      </c>
      <c r="N270" s="8" t="s">
        <v>120</v>
      </c>
      <c r="O270" s="15" t="n">
        <f aca="false">H270*12</f>
        <v>77220</v>
      </c>
      <c r="P270" s="8" t="n">
        <f aca="false">MIN(100,ROUND(100*J270/Assumptions!$B$8,0))</f>
        <v>100</v>
      </c>
      <c r="Q270" s="8" t="n">
        <f aca="false">IF(L270="",Assumptions!$B$9,L270*10)</f>
        <v>100</v>
      </c>
      <c r="R270" s="8" t="n">
        <f aca="false">IF(M270&lt;=1,Assumptions!$B$12,IF(M270&lt;=3,Assumptions!$B$13,IF(M270&lt;=6,Assumptions!$B$14,Assumptions!$B$15)))</f>
        <v>50</v>
      </c>
      <c r="S270" s="8" t="n">
        <f aca="false">IF(N270="Completed On Time",Assumptions!$B$16,IF(N270="Completed Late",Assumptions!$B$17,Assumptions!$B$18))</f>
        <v>100</v>
      </c>
      <c r="T270" s="8" t="n">
        <f aca="false">IF(I270=0,Assumptions!$B$20,IF(H270&gt;I270,Assumptions!$B$19,IF(H270=I270,Assumptions!$B$20,Assumptions!$B$21)))</f>
        <v>70</v>
      </c>
      <c r="U270" s="8" t="n">
        <f aca="false">ROUND(P270*Assumptions!$B$2+Q270*Assumptions!$B$3+R270*Assumptions!$B$4+S270*Assumptions!$B$5+T270*Assumptions!$B$6,0)</f>
        <v>87</v>
      </c>
      <c r="V270" s="8" t="str">
        <f aca="false">IF(U270&gt;=Assumptions!$B$10,"Healthy",IF(U270&gt;=Assumptions!$B$11,"Needs Attention","High Risk"))</f>
        <v>Healthy</v>
      </c>
    </row>
    <row r="271" customFormat="false" ht="15" hidden="false" customHeight="false" outlineLevel="0" collapsed="false">
      <c r="A271" s="8" t="s">
        <v>683</v>
      </c>
      <c r="B271" s="8" t="s">
        <v>684</v>
      </c>
      <c r="C271" s="8" t="s">
        <v>55</v>
      </c>
      <c r="D271" s="8" t="s">
        <v>55</v>
      </c>
      <c r="E271" s="8" t="s">
        <v>123</v>
      </c>
      <c r="F271" s="8" t="s">
        <v>133</v>
      </c>
      <c r="G271" s="8" t="s">
        <v>185</v>
      </c>
      <c r="H271" s="15" t="n">
        <v>6390</v>
      </c>
      <c r="I271" s="15" t="n">
        <v>6390</v>
      </c>
      <c r="J271" s="16" t="n">
        <v>0.671</v>
      </c>
      <c r="K271" s="8" t="n">
        <v>7.7</v>
      </c>
      <c r="L271" s="8" t="n">
        <v>7</v>
      </c>
      <c r="M271" s="8" t="n">
        <v>6</v>
      </c>
      <c r="N271" s="8" t="s">
        <v>120</v>
      </c>
      <c r="O271" s="15" t="n">
        <f aca="false">H271*12</f>
        <v>76680</v>
      </c>
      <c r="P271" s="8" t="n">
        <f aca="false">MIN(100,ROUND(100*J271/Assumptions!$B$8,0))</f>
        <v>75</v>
      </c>
      <c r="Q271" s="8" t="n">
        <f aca="false">IF(L271="",Assumptions!$B$9,L271*10)</f>
        <v>70</v>
      </c>
      <c r="R271" s="8" t="n">
        <f aca="false">IF(M271&lt;=1,Assumptions!$B$12,IF(M271&lt;=3,Assumptions!$B$13,IF(M271&lt;=6,Assumptions!$B$14,Assumptions!$B$15)))</f>
        <v>50</v>
      </c>
      <c r="S271" s="8" t="n">
        <f aca="false">IF(N271="Completed On Time",Assumptions!$B$16,IF(N271="Completed Late",Assumptions!$B$17,Assumptions!$B$18))</f>
        <v>100</v>
      </c>
      <c r="T271" s="8" t="n">
        <f aca="false">IF(I271=0,Assumptions!$B$20,IF(H271&gt;I271,Assumptions!$B$19,IF(H271=I271,Assumptions!$B$20,Assumptions!$B$21)))</f>
        <v>70</v>
      </c>
      <c r="U271" s="8" t="n">
        <f aca="false">ROUND(P271*Assumptions!$B$2+Q271*Assumptions!$B$3+R271*Assumptions!$B$4+S271*Assumptions!$B$5+T271*Assumptions!$B$6,0)</f>
        <v>72</v>
      </c>
      <c r="V271" s="8" t="str">
        <f aca="false">IF(U271&gt;=Assumptions!$B$10,"Healthy",IF(U271&gt;=Assumptions!$B$11,"Needs Attention","High Risk"))</f>
        <v>Needs Attention</v>
      </c>
    </row>
    <row r="272" customFormat="false" ht="15" hidden="false" customHeight="false" outlineLevel="0" collapsed="false">
      <c r="A272" s="8" t="s">
        <v>685</v>
      </c>
      <c r="B272" s="8" t="s">
        <v>686</v>
      </c>
      <c r="C272" s="8" t="s">
        <v>53</v>
      </c>
      <c r="D272" s="8" t="s">
        <v>326</v>
      </c>
      <c r="E272" s="8" t="s">
        <v>132</v>
      </c>
      <c r="F272" s="8" t="s">
        <v>166</v>
      </c>
      <c r="G272" s="8" t="s">
        <v>125</v>
      </c>
      <c r="H272" s="15" t="n">
        <v>6275</v>
      </c>
      <c r="I272" s="15" t="n">
        <v>4900</v>
      </c>
      <c r="J272" s="16" t="n">
        <v>0.922</v>
      </c>
      <c r="K272" s="8" t="n">
        <v>11.3</v>
      </c>
      <c r="L272" s="8" t="n">
        <v>10</v>
      </c>
      <c r="M272" s="8" t="n">
        <v>0</v>
      </c>
      <c r="N272" s="8" t="s">
        <v>120</v>
      </c>
      <c r="O272" s="15" t="n">
        <f aca="false">H272*12</f>
        <v>75300</v>
      </c>
      <c r="P272" s="8" t="n">
        <f aca="false">MIN(100,ROUND(100*J272/Assumptions!$B$8,0))</f>
        <v>100</v>
      </c>
      <c r="Q272" s="8" t="n">
        <f aca="false">IF(L272="",Assumptions!$B$9,L272*10)</f>
        <v>100</v>
      </c>
      <c r="R272" s="8" t="n">
        <f aca="false">IF(M272&lt;=1,Assumptions!$B$12,IF(M272&lt;=3,Assumptions!$B$13,IF(M272&lt;=6,Assumptions!$B$14,Assumptions!$B$15)))</f>
        <v>100</v>
      </c>
      <c r="S272" s="8" t="n">
        <f aca="false">IF(N272="Completed On Time",Assumptions!$B$16,IF(N272="Completed Late",Assumptions!$B$17,Assumptions!$B$18))</f>
        <v>100</v>
      </c>
      <c r="T272" s="8" t="n">
        <f aca="false">IF(I272=0,Assumptions!$B$20,IF(H272&gt;I272,Assumptions!$B$19,IF(H272=I272,Assumptions!$B$20,Assumptions!$B$21)))</f>
        <v>100</v>
      </c>
      <c r="U272" s="8" t="n">
        <f aca="false">ROUND(P272*Assumptions!$B$2+Q272*Assumptions!$B$3+R272*Assumptions!$B$4+S272*Assumptions!$B$5+T272*Assumptions!$B$6,0)</f>
        <v>100</v>
      </c>
      <c r="V272" s="8" t="str">
        <f aca="false">IF(U272&gt;=Assumptions!$B$10,"Healthy",IF(U272&gt;=Assumptions!$B$11,"Needs Attention","High Risk"))</f>
        <v>Healthy</v>
      </c>
    </row>
    <row r="273" customFormat="false" ht="15" hidden="false" customHeight="false" outlineLevel="0" collapsed="false">
      <c r="A273" s="8" t="s">
        <v>687</v>
      </c>
      <c r="B273" s="8" t="s">
        <v>688</v>
      </c>
      <c r="C273" s="8" t="s">
        <v>53</v>
      </c>
      <c r="D273" s="8" t="s">
        <v>326</v>
      </c>
      <c r="E273" s="8" t="s">
        <v>123</v>
      </c>
      <c r="F273" s="8" t="s">
        <v>143</v>
      </c>
      <c r="G273" s="8" t="s">
        <v>140</v>
      </c>
      <c r="H273" s="15" t="n">
        <v>6250</v>
      </c>
      <c r="I273" s="15" t="n">
        <v>6250</v>
      </c>
      <c r="J273" s="16" t="n">
        <v>0.632</v>
      </c>
      <c r="K273" s="8" t="n">
        <v>6.3</v>
      </c>
      <c r="L273" s="8" t="n">
        <v>6</v>
      </c>
      <c r="M273" s="8" t="n">
        <v>4</v>
      </c>
      <c r="N273" s="8" t="s">
        <v>120</v>
      </c>
      <c r="O273" s="15" t="n">
        <f aca="false">H273*12</f>
        <v>75000</v>
      </c>
      <c r="P273" s="8" t="n">
        <f aca="false">MIN(100,ROUND(100*J273/Assumptions!$B$8,0))</f>
        <v>70</v>
      </c>
      <c r="Q273" s="8" t="n">
        <f aca="false">IF(L273="",Assumptions!$B$9,L273*10)</f>
        <v>60</v>
      </c>
      <c r="R273" s="8" t="n">
        <f aca="false">IF(M273&lt;=1,Assumptions!$B$12,IF(M273&lt;=3,Assumptions!$B$13,IF(M273&lt;=6,Assumptions!$B$14,Assumptions!$B$15)))</f>
        <v>50</v>
      </c>
      <c r="S273" s="8" t="n">
        <f aca="false">IF(N273="Completed On Time",Assumptions!$B$16,IF(N273="Completed Late",Assumptions!$B$17,Assumptions!$B$18))</f>
        <v>100</v>
      </c>
      <c r="T273" s="8" t="n">
        <f aca="false">IF(I273=0,Assumptions!$B$20,IF(H273&gt;I273,Assumptions!$B$19,IF(H273=I273,Assumptions!$B$20,Assumptions!$B$21)))</f>
        <v>70</v>
      </c>
      <c r="U273" s="8" t="n">
        <f aca="false">ROUND(P273*Assumptions!$B$2+Q273*Assumptions!$B$3+R273*Assumptions!$B$4+S273*Assumptions!$B$5+T273*Assumptions!$B$6,0)</f>
        <v>68</v>
      </c>
      <c r="V273" s="8" t="str">
        <f aca="false">IF(U273&gt;=Assumptions!$B$10,"Healthy",IF(U273&gt;=Assumptions!$B$11,"Needs Attention","High Risk"))</f>
        <v>Needs Attention</v>
      </c>
    </row>
    <row r="274" customFormat="false" ht="15" hidden="false" customHeight="false" outlineLevel="0" collapsed="false">
      <c r="A274" s="8" t="s">
        <v>689</v>
      </c>
      <c r="B274" s="8" t="s">
        <v>690</v>
      </c>
      <c r="C274" s="8" t="s">
        <v>53</v>
      </c>
      <c r="D274" s="8" t="s">
        <v>326</v>
      </c>
      <c r="E274" s="8" t="s">
        <v>128</v>
      </c>
      <c r="F274" s="8" t="s">
        <v>143</v>
      </c>
      <c r="G274" s="8" t="s">
        <v>204</v>
      </c>
      <c r="H274" s="15" t="n">
        <v>6250</v>
      </c>
      <c r="I274" s="15" t="n">
        <v>6250</v>
      </c>
      <c r="J274" s="16" t="n">
        <v>0.832</v>
      </c>
      <c r="K274" s="8" t="n">
        <v>9</v>
      </c>
      <c r="L274" s="8" t="n">
        <v>10</v>
      </c>
      <c r="M274" s="8" t="n">
        <v>1</v>
      </c>
      <c r="N274" s="8" t="s">
        <v>120</v>
      </c>
      <c r="O274" s="15" t="n">
        <f aca="false">H274*12</f>
        <v>75000</v>
      </c>
      <c r="P274" s="8" t="n">
        <f aca="false">MIN(100,ROUND(100*J274/Assumptions!$B$8,0))</f>
        <v>92</v>
      </c>
      <c r="Q274" s="8" t="n">
        <f aca="false">IF(L274="",Assumptions!$B$9,L274*10)</f>
        <v>100</v>
      </c>
      <c r="R274" s="8" t="n">
        <f aca="false">IF(M274&lt;=1,Assumptions!$B$12,IF(M274&lt;=3,Assumptions!$B$13,IF(M274&lt;=6,Assumptions!$B$14,Assumptions!$B$15)))</f>
        <v>100</v>
      </c>
      <c r="S274" s="8" t="n">
        <f aca="false">IF(N274="Completed On Time",Assumptions!$B$16,IF(N274="Completed Late",Assumptions!$B$17,Assumptions!$B$18))</f>
        <v>100</v>
      </c>
      <c r="T274" s="8" t="n">
        <f aca="false">IF(I274=0,Assumptions!$B$20,IF(H274&gt;I274,Assumptions!$B$19,IF(H274=I274,Assumptions!$B$20,Assumptions!$B$21)))</f>
        <v>70</v>
      </c>
      <c r="U274" s="8" t="n">
        <f aca="false">ROUND(P274*Assumptions!$B$2+Q274*Assumptions!$B$3+R274*Assumptions!$B$4+S274*Assumptions!$B$5+T274*Assumptions!$B$6,0)</f>
        <v>91</v>
      </c>
      <c r="V274" s="8" t="str">
        <f aca="false">IF(U274&gt;=Assumptions!$B$10,"Healthy",IF(U274&gt;=Assumptions!$B$11,"Needs Attention","High Risk"))</f>
        <v>Healthy</v>
      </c>
    </row>
    <row r="275" customFormat="false" ht="15" hidden="false" customHeight="false" outlineLevel="0" collapsed="false">
      <c r="A275" s="8" t="s">
        <v>691</v>
      </c>
      <c r="B275" s="8" t="s">
        <v>692</v>
      </c>
      <c r="C275" s="8" t="s">
        <v>55</v>
      </c>
      <c r="D275" s="8" t="s">
        <v>326</v>
      </c>
      <c r="E275" s="8" t="s">
        <v>123</v>
      </c>
      <c r="F275" s="8" t="s">
        <v>166</v>
      </c>
      <c r="G275" s="8" t="s">
        <v>144</v>
      </c>
      <c r="H275" s="15" t="n">
        <v>6200</v>
      </c>
      <c r="I275" s="15" t="n">
        <v>6200</v>
      </c>
      <c r="J275" s="16" t="n">
        <v>0.581</v>
      </c>
      <c r="K275" s="8" t="n">
        <v>8.7</v>
      </c>
      <c r="L275" s="8" t="n">
        <v>8</v>
      </c>
      <c r="M275" s="8" t="n">
        <v>2</v>
      </c>
      <c r="N275" s="8" t="s">
        <v>148</v>
      </c>
      <c r="O275" s="15" t="n">
        <f aca="false">H275*12</f>
        <v>74400</v>
      </c>
      <c r="P275" s="8" t="n">
        <f aca="false">MIN(100,ROUND(100*J275/Assumptions!$B$8,0))</f>
        <v>65</v>
      </c>
      <c r="Q275" s="8" t="n">
        <f aca="false">IF(L275="",Assumptions!$B$9,L275*10)</f>
        <v>80</v>
      </c>
      <c r="R275" s="8" t="n">
        <f aca="false">IF(M275&lt;=1,Assumptions!$B$12,IF(M275&lt;=3,Assumptions!$B$13,IF(M275&lt;=6,Assumptions!$B$14,Assumptions!$B$15)))</f>
        <v>75</v>
      </c>
      <c r="S275" s="8" t="n">
        <f aca="false">IF(N275="Completed On Time",Assumptions!$B$16,IF(N275="Completed Late",Assumptions!$B$17,Assumptions!$B$18))</f>
        <v>60</v>
      </c>
      <c r="T275" s="8" t="n">
        <f aca="false">IF(I275=0,Assumptions!$B$20,IF(H275&gt;I275,Assumptions!$B$19,IF(H275=I275,Assumptions!$B$20,Assumptions!$B$21)))</f>
        <v>70</v>
      </c>
      <c r="U275" s="8" t="n">
        <f aca="false">ROUND(P275*Assumptions!$B$2+Q275*Assumptions!$B$3+R275*Assumptions!$B$4+S275*Assumptions!$B$5+T275*Assumptions!$B$6,0)</f>
        <v>70</v>
      </c>
      <c r="V275" s="8" t="str">
        <f aca="false">IF(U275&gt;=Assumptions!$B$10,"Healthy",IF(U275&gt;=Assumptions!$B$11,"Needs Attention","High Risk"))</f>
        <v>Needs Attention</v>
      </c>
    </row>
    <row r="276" customFormat="false" ht="15" hidden="false" customHeight="false" outlineLevel="0" collapsed="false">
      <c r="A276" s="8" t="s">
        <v>693</v>
      </c>
      <c r="B276" s="8" t="s">
        <v>694</v>
      </c>
      <c r="C276" s="8" t="s">
        <v>53</v>
      </c>
      <c r="D276" s="8" t="s">
        <v>326</v>
      </c>
      <c r="E276" s="8" t="s">
        <v>132</v>
      </c>
      <c r="F276" s="8" t="s">
        <v>118</v>
      </c>
      <c r="G276" s="8" t="s">
        <v>119</v>
      </c>
      <c r="H276" s="15" t="n">
        <v>6125</v>
      </c>
      <c r="I276" s="15" t="n">
        <v>6125</v>
      </c>
      <c r="J276" s="16" t="n">
        <v>0.863</v>
      </c>
      <c r="K276" s="8" t="n">
        <v>10.7</v>
      </c>
      <c r="L276" s="8" t="n">
        <v>10</v>
      </c>
      <c r="M276" s="8" t="n">
        <v>1</v>
      </c>
      <c r="N276" s="8" t="s">
        <v>120</v>
      </c>
      <c r="O276" s="15" t="n">
        <f aca="false">H276*12</f>
        <v>73500</v>
      </c>
      <c r="P276" s="8" t="n">
        <f aca="false">MIN(100,ROUND(100*J276/Assumptions!$B$8,0))</f>
        <v>96</v>
      </c>
      <c r="Q276" s="8" t="n">
        <f aca="false">IF(L276="",Assumptions!$B$9,L276*10)</f>
        <v>100</v>
      </c>
      <c r="R276" s="8" t="n">
        <f aca="false">IF(M276&lt;=1,Assumptions!$B$12,IF(M276&lt;=3,Assumptions!$B$13,IF(M276&lt;=6,Assumptions!$B$14,Assumptions!$B$15)))</f>
        <v>100</v>
      </c>
      <c r="S276" s="8" t="n">
        <f aca="false">IF(N276="Completed On Time",Assumptions!$B$16,IF(N276="Completed Late",Assumptions!$B$17,Assumptions!$B$18))</f>
        <v>100</v>
      </c>
      <c r="T276" s="8" t="n">
        <f aca="false">IF(I276=0,Assumptions!$B$20,IF(H276&gt;I276,Assumptions!$B$19,IF(H276=I276,Assumptions!$B$20,Assumptions!$B$21)))</f>
        <v>70</v>
      </c>
      <c r="U276" s="8" t="n">
        <f aca="false">ROUND(P276*Assumptions!$B$2+Q276*Assumptions!$B$3+R276*Assumptions!$B$4+S276*Assumptions!$B$5+T276*Assumptions!$B$6,0)</f>
        <v>93</v>
      </c>
      <c r="V276" s="8" t="str">
        <f aca="false">IF(U276&gt;=Assumptions!$B$10,"Healthy",IF(U276&gt;=Assumptions!$B$11,"Needs Attention","High Risk"))</f>
        <v>Healthy</v>
      </c>
    </row>
    <row r="277" customFormat="false" ht="15" hidden="false" customHeight="false" outlineLevel="0" collapsed="false">
      <c r="A277" s="8" t="s">
        <v>695</v>
      </c>
      <c r="B277" s="8" t="s">
        <v>696</v>
      </c>
      <c r="C277" s="8" t="s">
        <v>53</v>
      </c>
      <c r="D277" s="8" t="s">
        <v>55</v>
      </c>
      <c r="E277" s="8" t="s">
        <v>132</v>
      </c>
      <c r="F277" s="8" t="s">
        <v>136</v>
      </c>
      <c r="G277" s="8" t="s">
        <v>137</v>
      </c>
      <c r="H277" s="15" t="n">
        <v>6120</v>
      </c>
      <c r="I277" s="15" t="n">
        <v>6120</v>
      </c>
      <c r="J277" s="16" t="n">
        <v>0.904</v>
      </c>
      <c r="K277" s="8" t="n">
        <v>10.3</v>
      </c>
      <c r="L277" s="8" t="n">
        <v>10</v>
      </c>
      <c r="M277" s="8" t="n">
        <v>3</v>
      </c>
      <c r="N277" s="8" t="s">
        <v>120</v>
      </c>
      <c r="O277" s="15" t="n">
        <f aca="false">H277*12</f>
        <v>73440</v>
      </c>
      <c r="P277" s="8" t="n">
        <f aca="false">MIN(100,ROUND(100*J277/Assumptions!$B$8,0))</f>
        <v>100</v>
      </c>
      <c r="Q277" s="8" t="n">
        <f aca="false">IF(L277="",Assumptions!$B$9,L277*10)</f>
        <v>100</v>
      </c>
      <c r="R277" s="8" t="n">
        <f aca="false">IF(M277&lt;=1,Assumptions!$B$12,IF(M277&lt;=3,Assumptions!$B$13,IF(M277&lt;=6,Assumptions!$B$14,Assumptions!$B$15)))</f>
        <v>75</v>
      </c>
      <c r="S277" s="8" t="n">
        <f aca="false">IF(N277="Completed On Time",Assumptions!$B$16,IF(N277="Completed Late",Assumptions!$B$17,Assumptions!$B$18))</f>
        <v>100</v>
      </c>
      <c r="T277" s="8" t="n">
        <f aca="false">IF(I277=0,Assumptions!$B$20,IF(H277&gt;I277,Assumptions!$B$19,IF(H277=I277,Assumptions!$B$20,Assumptions!$B$21)))</f>
        <v>70</v>
      </c>
      <c r="U277" s="8" t="n">
        <f aca="false">ROUND(P277*Assumptions!$B$2+Q277*Assumptions!$B$3+R277*Assumptions!$B$4+S277*Assumptions!$B$5+T277*Assumptions!$B$6,0)</f>
        <v>90</v>
      </c>
      <c r="V277" s="8" t="str">
        <f aca="false">IF(U277&gt;=Assumptions!$B$10,"Healthy",IF(U277&gt;=Assumptions!$B$11,"Needs Attention","High Risk"))</f>
        <v>Healthy</v>
      </c>
    </row>
    <row r="278" customFormat="false" ht="15" hidden="false" customHeight="false" outlineLevel="0" collapsed="false">
      <c r="A278" s="8" t="s">
        <v>697</v>
      </c>
      <c r="B278" s="8" t="s">
        <v>698</v>
      </c>
      <c r="C278" s="8" t="s">
        <v>53</v>
      </c>
      <c r="D278" s="8" t="s">
        <v>55</v>
      </c>
      <c r="E278" s="8" t="s">
        <v>123</v>
      </c>
      <c r="F278" s="8" t="s">
        <v>133</v>
      </c>
      <c r="G278" s="8" t="s">
        <v>177</v>
      </c>
      <c r="H278" s="15" t="n">
        <v>6120</v>
      </c>
      <c r="I278" s="15" t="n">
        <v>0</v>
      </c>
      <c r="J278" s="16" t="n">
        <v>0.848</v>
      </c>
      <c r="K278" s="8" t="n">
        <v>11.3</v>
      </c>
      <c r="L278" s="8"/>
      <c r="M278" s="8" t="n">
        <v>0</v>
      </c>
      <c r="N278" s="8" t="s">
        <v>199</v>
      </c>
      <c r="O278" s="15" t="n">
        <f aca="false">H278*12</f>
        <v>73440</v>
      </c>
      <c r="P278" s="8" t="n">
        <f aca="false">MIN(100,ROUND(100*J278/Assumptions!$B$8,0))</f>
        <v>94</v>
      </c>
      <c r="Q278" s="8" t="n">
        <f aca="false">IF(L278="",Assumptions!$B$9,L278*10)</f>
        <v>50</v>
      </c>
      <c r="R278" s="8" t="n">
        <f aca="false">IF(M278&lt;=1,Assumptions!$B$12,IF(M278&lt;=3,Assumptions!$B$13,IF(M278&lt;=6,Assumptions!$B$14,Assumptions!$B$15)))</f>
        <v>100</v>
      </c>
      <c r="S278" s="8" t="n">
        <f aca="false">IF(N278="Completed On Time",Assumptions!$B$16,IF(N278="Completed Late",Assumptions!$B$17,Assumptions!$B$18))</f>
        <v>50</v>
      </c>
      <c r="T278" s="8" t="n">
        <f aca="false">IF(I278=0,Assumptions!$B$20,IF(H278&gt;I278,Assumptions!$B$19,IF(H278=I278,Assumptions!$B$20,Assumptions!$B$21)))</f>
        <v>70</v>
      </c>
      <c r="U278" s="8" t="n">
        <f aca="false">ROUND(P278*Assumptions!$B$2+Q278*Assumptions!$B$3+R278*Assumptions!$B$4+S278*Assumptions!$B$5+T278*Assumptions!$B$6,0)</f>
        <v>77</v>
      </c>
      <c r="V278" s="8" t="str">
        <f aca="false">IF(U278&gt;=Assumptions!$B$10,"Healthy",IF(U278&gt;=Assumptions!$B$11,"Needs Attention","High Risk"))</f>
        <v>Needs Attention</v>
      </c>
    </row>
    <row r="279" customFormat="false" ht="15" hidden="false" customHeight="false" outlineLevel="0" collapsed="false">
      <c r="A279" s="8" t="s">
        <v>699</v>
      </c>
      <c r="B279" s="8" t="s">
        <v>700</v>
      </c>
      <c r="C279" s="8" t="s">
        <v>55</v>
      </c>
      <c r="D279" s="8" t="s">
        <v>326</v>
      </c>
      <c r="E279" s="8" t="s">
        <v>123</v>
      </c>
      <c r="F279" s="8" t="s">
        <v>133</v>
      </c>
      <c r="G279" s="8" t="s">
        <v>204</v>
      </c>
      <c r="H279" s="15" t="n">
        <v>6100</v>
      </c>
      <c r="I279" s="15" t="n">
        <v>6100</v>
      </c>
      <c r="J279" s="16" t="n">
        <v>0.73</v>
      </c>
      <c r="K279" s="8" t="n">
        <v>9.7</v>
      </c>
      <c r="L279" s="8" t="n">
        <v>9</v>
      </c>
      <c r="M279" s="8" t="n">
        <v>5</v>
      </c>
      <c r="N279" s="8" t="s">
        <v>120</v>
      </c>
      <c r="O279" s="15" t="n">
        <f aca="false">H279*12</f>
        <v>73200</v>
      </c>
      <c r="P279" s="8" t="n">
        <f aca="false">MIN(100,ROUND(100*J279/Assumptions!$B$8,0))</f>
        <v>81</v>
      </c>
      <c r="Q279" s="8" t="n">
        <f aca="false">IF(L279="",Assumptions!$B$9,L279*10)</f>
        <v>90</v>
      </c>
      <c r="R279" s="8" t="n">
        <f aca="false">IF(M279&lt;=1,Assumptions!$B$12,IF(M279&lt;=3,Assumptions!$B$13,IF(M279&lt;=6,Assumptions!$B$14,Assumptions!$B$15)))</f>
        <v>50</v>
      </c>
      <c r="S279" s="8" t="n">
        <f aca="false">IF(N279="Completed On Time",Assumptions!$B$16,IF(N279="Completed Late",Assumptions!$B$17,Assumptions!$B$18))</f>
        <v>100</v>
      </c>
      <c r="T279" s="8" t="n">
        <f aca="false">IF(I279=0,Assumptions!$B$20,IF(H279&gt;I279,Assumptions!$B$19,IF(H279=I279,Assumptions!$B$20,Assumptions!$B$21)))</f>
        <v>70</v>
      </c>
      <c r="U279" s="8" t="n">
        <f aca="false">ROUND(P279*Assumptions!$B$2+Q279*Assumptions!$B$3+R279*Assumptions!$B$4+S279*Assumptions!$B$5+T279*Assumptions!$B$6,0)</f>
        <v>78</v>
      </c>
      <c r="V279" s="8" t="str">
        <f aca="false">IF(U279&gt;=Assumptions!$B$10,"Healthy",IF(U279&gt;=Assumptions!$B$11,"Needs Attention","High Risk"))</f>
        <v>Needs Attention</v>
      </c>
    </row>
    <row r="280" customFormat="false" ht="15" hidden="false" customHeight="false" outlineLevel="0" collapsed="false">
      <c r="A280" s="8" t="s">
        <v>701</v>
      </c>
      <c r="B280" s="8" t="s">
        <v>702</v>
      </c>
      <c r="C280" s="8" t="s">
        <v>53</v>
      </c>
      <c r="D280" s="8" t="s">
        <v>326</v>
      </c>
      <c r="E280" s="8" t="s">
        <v>132</v>
      </c>
      <c r="F280" s="8" t="s">
        <v>133</v>
      </c>
      <c r="G280" s="8" t="s">
        <v>137</v>
      </c>
      <c r="H280" s="15" t="n">
        <v>6075</v>
      </c>
      <c r="I280" s="15" t="n">
        <v>6075</v>
      </c>
      <c r="J280" s="16" t="n">
        <v>0.719</v>
      </c>
      <c r="K280" s="8" t="n">
        <v>7.7</v>
      </c>
      <c r="L280" s="8" t="n">
        <v>7</v>
      </c>
      <c r="M280" s="8" t="n">
        <v>2</v>
      </c>
      <c r="N280" s="8" t="s">
        <v>120</v>
      </c>
      <c r="O280" s="15" t="n">
        <f aca="false">H280*12</f>
        <v>72900</v>
      </c>
      <c r="P280" s="8" t="n">
        <f aca="false">MIN(100,ROUND(100*J280/Assumptions!$B$8,0))</f>
        <v>80</v>
      </c>
      <c r="Q280" s="8" t="n">
        <f aca="false">IF(L280="",Assumptions!$B$9,L280*10)</f>
        <v>70</v>
      </c>
      <c r="R280" s="8" t="n">
        <f aca="false">IF(M280&lt;=1,Assumptions!$B$12,IF(M280&lt;=3,Assumptions!$B$13,IF(M280&lt;=6,Assumptions!$B$14,Assumptions!$B$15)))</f>
        <v>75</v>
      </c>
      <c r="S280" s="8" t="n">
        <f aca="false">IF(N280="Completed On Time",Assumptions!$B$16,IF(N280="Completed Late",Assumptions!$B$17,Assumptions!$B$18))</f>
        <v>100</v>
      </c>
      <c r="T280" s="8" t="n">
        <f aca="false">IF(I280=0,Assumptions!$B$20,IF(H280&gt;I280,Assumptions!$B$19,IF(H280=I280,Assumptions!$B$20,Assumptions!$B$21)))</f>
        <v>70</v>
      </c>
      <c r="U280" s="8" t="n">
        <f aca="false">ROUND(P280*Assumptions!$B$2+Q280*Assumptions!$B$3+R280*Assumptions!$B$4+S280*Assumptions!$B$5+T280*Assumptions!$B$6,0)</f>
        <v>77</v>
      </c>
      <c r="V280" s="8" t="str">
        <f aca="false">IF(U280&gt;=Assumptions!$B$10,"Healthy",IF(U280&gt;=Assumptions!$B$11,"Needs Attention","High Risk"))</f>
        <v>Needs Attention</v>
      </c>
    </row>
    <row r="281" customFormat="false" ht="15" hidden="false" customHeight="false" outlineLevel="0" collapsed="false">
      <c r="A281" s="8" t="s">
        <v>703</v>
      </c>
      <c r="B281" s="8" t="s">
        <v>704</v>
      </c>
      <c r="C281" s="8" t="s">
        <v>53</v>
      </c>
      <c r="D281" s="8" t="s">
        <v>326</v>
      </c>
      <c r="E281" s="8" t="s">
        <v>132</v>
      </c>
      <c r="F281" s="8" t="s">
        <v>136</v>
      </c>
      <c r="G281" s="8" t="s">
        <v>125</v>
      </c>
      <c r="H281" s="15" t="n">
        <v>6075</v>
      </c>
      <c r="I281" s="15" t="n">
        <v>6075</v>
      </c>
      <c r="J281" s="16" t="n">
        <v>0.56</v>
      </c>
      <c r="K281" s="8" t="n">
        <v>6</v>
      </c>
      <c r="L281" s="8" t="n">
        <v>6</v>
      </c>
      <c r="M281" s="8" t="n">
        <v>5</v>
      </c>
      <c r="N281" s="8" t="s">
        <v>120</v>
      </c>
      <c r="O281" s="15" t="n">
        <f aca="false">H281*12</f>
        <v>72900</v>
      </c>
      <c r="P281" s="8" t="n">
        <f aca="false">MIN(100,ROUND(100*J281/Assumptions!$B$8,0))</f>
        <v>62</v>
      </c>
      <c r="Q281" s="8" t="n">
        <f aca="false">IF(L281="",Assumptions!$B$9,L281*10)</f>
        <v>60</v>
      </c>
      <c r="R281" s="8" t="n">
        <f aca="false">IF(M281&lt;=1,Assumptions!$B$12,IF(M281&lt;=3,Assumptions!$B$13,IF(M281&lt;=6,Assumptions!$B$14,Assumptions!$B$15)))</f>
        <v>50</v>
      </c>
      <c r="S281" s="8" t="n">
        <f aca="false">IF(N281="Completed On Time",Assumptions!$B$16,IF(N281="Completed Late",Assumptions!$B$17,Assumptions!$B$18))</f>
        <v>100</v>
      </c>
      <c r="T281" s="8" t="n">
        <f aca="false">IF(I281=0,Assumptions!$B$20,IF(H281&gt;I281,Assumptions!$B$19,IF(H281=I281,Assumptions!$B$20,Assumptions!$B$21)))</f>
        <v>70</v>
      </c>
      <c r="U281" s="8" t="n">
        <f aca="false">ROUND(P281*Assumptions!$B$2+Q281*Assumptions!$B$3+R281*Assumptions!$B$4+S281*Assumptions!$B$5+T281*Assumptions!$B$6,0)</f>
        <v>65</v>
      </c>
      <c r="V281" s="8" t="str">
        <f aca="false">IF(U281&gt;=Assumptions!$B$10,"Healthy",IF(U281&gt;=Assumptions!$B$11,"Needs Attention","High Risk"))</f>
        <v>Needs Attention</v>
      </c>
    </row>
    <row r="282" customFormat="false" ht="15" hidden="false" customHeight="false" outlineLevel="0" collapsed="false">
      <c r="A282" s="8" t="s">
        <v>705</v>
      </c>
      <c r="B282" s="8" t="s">
        <v>706</v>
      </c>
      <c r="C282" s="8" t="s">
        <v>53</v>
      </c>
      <c r="D282" s="8" t="s">
        <v>55</v>
      </c>
      <c r="E282" s="8" t="s">
        <v>117</v>
      </c>
      <c r="F282" s="8" t="s">
        <v>124</v>
      </c>
      <c r="G282" s="8" t="s">
        <v>144</v>
      </c>
      <c r="H282" s="15" t="n">
        <v>6030</v>
      </c>
      <c r="I282" s="15" t="n">
        <v>6030</v>
      </c>
      <c r="J282" s="16" t="n">
        <v>0.537</v>
      </c>
      <c r="K282" s="8" t="n">
        <v>6</v>
      </c>
      <c r="L282" s="8" t="n">
        <v>5</v>
      </c>
      <c r="M282" s="8" t="n">
        <v>7</v>
      </c>
      <c r="N282" s="8" t="s">
        <v>120</v>
      </c>
      <c r="O282" s="15" t="n">
        <f aca="false">H282*12</f>
        <v>72360</v>
      </c>
      <c r="P282" s="8" t="n">
        <f aca="false">MIN(100,ROUND(100*J282/Assumptions!$B$8,0))</f>
        <v>60</v>
      </c>
      <c r="Q282" s="8" t="n">
        <f aca="false">IF(L282="",Assumptions!$B$9,L282*10)</f>
        <v>50</v>
      </c>
      <c r="R282" s="8" t="n">
        <f aca="false">IF(M282&lt;=1,Assumptions!$B$12,IF(M282&lt;=3,Assumptions!$B$13,IF(M282&lt;=6,Assumptions!$B$14,Assumptions!$B$15)))</f>
        <v>20</v>
      </c>
      <c r="S282" s="8" t="n">
        <f aca="false">IF(N282="Completed On Time",Assumptions!$B$16,IF(N282="Completed Late",Assumptions!$B$17,Assumptions!$B$18))</f>
        <v>100</v>
      </c>
      <c r="T282" s="8" t="n">
        <f aca="false">IF(I282=0,Assumptions!$B$20,IF(H282&gt;I282,Assumptions!$B$19,IF(H282=I282,Assumptions!$B$20,Assumptions!$B$21)))</f>
        <v>70</v>
      </c>
      <c r="U282" s="8" t="n">
        <f aca="false">ROUND(P282*Assumptions!$B$2+Q282*Assumptions!$B$3+R282*Assumptions!$B$4+S282*Assumptions!$B$5+T282*Assumptions!$B$6,0)</f>
        <v>58</v>
      </c>
      <c r="V282" s="8" t="str">
        <f aca="false">IF(U282&gt;=Assumptions!$B$10,"Healthy",IF(U282&gt;=Assumptions!$B$11,"Needs Attention","High Risk"))</f>
        <v>High Risk</v>
      </c>
    </row>
    <row r="283" customFormat="false" ht="15" hidden="false" customHeight="false" outlineLevel="0" collapsed="false">
      <c r="A283" s="8" t="s">
        <v>707</v>
      </c>
      <c r="B283" s="8" t="s">
        <v>708</v>
      </c>
      <c r="C283" s="8" t="s">
        <v>53</v>
      </c>
      <c r="D283" s="8" t="s">
        <v>55</v>
      </c>
      <c r="E283" s="8" t="s">
        <v>123</v>
      </c>
      <c r="F283" s="8" t="s">
        <v>133</v>
      </c>
      <c r="G283" s="8" t="s">
        <v>204</v>
      </c>
      <c r="H283" s="15" t="n">
        <v>5985</v>
      </c>
      <c r="I283" s="15" t="n">
        <v>5985</v>
      </c>
      <c r="J283" s="16" t="n">
        <v>0.574</v>
      </c>
      <c r="K283" s="8" t="n">
        <v>5.3</v>
      </c>
      <c r="L283" s="8" t="n">
        <v>8</v>
      </c>
      <c r="M283" s="8" t="n">
        <v>1</v>
      </c>
      <c r="N283" s="8" t="s">
        <v>120</v>
      </c>
      <c r="O283" s="15" t="n">
        <f aca="false">H283*12</f>
        <v>71820</v>
      </c>
      <c r="P283" s="8" t="n">
        <f aca="false">MIN(100,ROUND(100*J283/Assumptions!$B$8,0))</f>
        <v>64</v>
      </c>
      <c r="Q283" s="8" t="n">
        <f aca="false">IF(L283="",Assumptions!$B$9,L283*10)</f>
        <v>80</v>
      </c>
      <c r="R283" s="8" t="n">
        <f aca="false">IF(M283&lt;=1,Assumptions!$B$12,IF(M283&lt;=3,Assumptions!$B$13,IF(M283&lt;=6,Assumptions!$B$14,Assumptions!$B$15)))</f>
        <v>100</v>
      </c>
      <c r="S283" s="8" t="n">
        <f aca="false">IF(N283="Completed On Time",Assumptions!$B$16,IF(N283="Completed Late",Assumptions!$B$17,Assumptions!$B$18))</f>
        <v>100</v>
      </c>
      <c r="T283" s="8" t="n">
        <f aca="false">IF(I283=0,Assumptions!$B$20,IF(H283&gt;I283,Assumptions!$B$19,IF(H283=I283,Assumptions!$B$20,Assumptions!$B$21)))</f>
        <v>70</v>
      </c>
      <c r="U283" s="8" t="n">
        <f aca="false">ROUND(P283*Assumptions!$B$2+Q283*Assumptions!$B$3+R283*Assumptions!$B$4+S283*Assumptions!$B$5+T283*Assumptions!$B$6,0)</f>
        <v>77</v>
      </c>
      <c r="V283" s="8" t="str">
        <f aca="false">IF(U283&gt;=Assumptions!$B$10,"Healthy",IF(U283&gt;=Assumptions!$B$11,"Needs Attention","High Risk"))</f>
        <v>Needs Attention</v>
      </c>
    </row>
    <row r="284" customFormat="false" ht="15" hidden="false" customHeight="false" outlineLevel="0" collapsed="false">
      <c r="A284" s="8" t="s">
        <v>709</v>
      </c>
      <c r="B284" s="8" t="s">
        <v>710</v>
      </c>
      <c r="C284" s="8" t="s">
        <v>53</v>
      </c>
      <c r="D284" s="8" t="s">
        <v>326</v>
      </c>
      <c r="E284" s="8" t="s">
        <v>117</v>
      </c>
      <c r="F284" s="8" t="s">
        <v>124</v>
      </c>
      <c r="G284" s="8" t="s">
        <v>180</v>
      </c>
      <c r="H284" s="15" t="n">
        <v>5950</v>
      </c>
      <c r="I284" s="15" t="n">
        <v>5950</v>
      </c>
      <c r="J284" s="16" t="n">
        <v>0.88</v>
      </c>
      <c r="K284" s="8" t="n">
        <v>11.3</v>
      </c>
      <c r="L284" s="8" t="n">
        <v>10</v>
      </c>
      <c r="M284" s="8" t="n">
        <v>0</v>
      </c>
      <c r="N284" s="8" t="s">
        <v>120</v>
      </c>
      <c r="O284" s="15" t="n">
        <f aca="false">H284*12</f>
        <v>71400</v>
      </c>
      <c r="P284" s="8" t="n">
        <f aca="false">MIN(100,ROUND(100*J284/Assumptions!$B$8,0))</f>
        <v>98</v>
      </c>
      <c r="Q284" s="8" t="n">
        <f aca="false">IF(L284="",Assumptions!$B$9,L284*10)</f>
        <v>100</v>
      </c>
      <c r="R284" s="8" t="n">
        <f aca="false">IF(M284&lt;=1,Assumptions!$B$12,IF(M284&lt;=3,Assumptions!$B$13,IF(M284&lt;=6,Assumptions!$B$14,Assumptions!$B$15)))</f>
        <v>100</v>
      </c>
      <c r="S284" s="8" t="n">
        <f aca="false">IF(N284="Completed On Time",Assumptions!$B$16,IF(N284="Completed Late",Assumptions!$B$17,Assumptions!$B$18))</f>
        <v>100</v>
      </c>
      <c r="T284" s="8" t="n">
        <f aca="false">IF(I284=0,Assumptions!$B$20,IF(H284&gt;I284,Assumptions!$B$19,IF(H284=I284,Assumptions!$B$20,Assumptions!$B$21)))</f>
        <v>70</v>
      </c>
      <c r="U284" s="8" t="n">
        <f aca="false">ROUND(P284*Assumptions!$B$2+Q284*Assumptions!$B$3+R284*Assumptions!$B$4+S284*Assumptions!$B$5+T284*Assumptions!$B$6,0)</f>
        <v>93</v>
      </c>
      <c r="V284" s="8" t="str">
        <f aca="false">IF(U284&gt;=Assumptions!$B$10,"Healthy",IF(U284&gt;=Assumptions!$B$11,"Needs Attention","High Risk"))</f>
        <v>Healthy</v>
      </c>
    </row>
    <row r="285" customFormat="false" ht="15" hidden="false" customHeight="false" outlineLevel="0" collapsed="false">
      <c r="A285" s="8" t="s">
        <v>711</v>
      </c>
      <c r="B285" s="8" t="s">
        <v>712</v>
      </c>
      <c r="C285" s="8" t="s">
        <v>53</v>
      </c>
      <c r="D285" s="8" t="s">
        <v>55</v>
      </c>
      <c r="E285" s="8" t="s">
        <v>117</v>
      </c>
      <c r="F285" s="8" t="s">
        <v>223</v>
      </c>
      <c r="G285" s="8" t="s">
        <v>144</v>
      </c>
      <c r="H285" s="15" t="n">
        <v>5940</v>
      </c>
      <c r="I285" s="15" t="n">
        <v>5940</v>
      </c>
      <c r="J285" s="16" t="n">
        <v>0.833</v>
      </c>
      <c r="K285" s="8" t="n">
        <v>9</v>
      </c>
      <c r="L285" s="8" t="n">
        <v>8</v>
      </c>
      <c r="M285" s="8" t="n">
        <v>1</v>
      </c>
      <c r="N285" s="8" t="s">
        <v>120</v>
      </c>
      <c r="O285" s="15" t="n">
        <f aca="false">H285*12</f>
        <v>71280</v>
      </c>
      <c r="P285" s="8" t="n">
        <f aca="false">MIN(100,ROUND(100*J285/Assumptions!$B$8,0))</f>
        <v>93</v>
      </c>
      <c r="Q285" s="8" t="n">
        <f aca="false">IF(L285="",Assumptions!$B$9,L285*10)</f>
        <v>80</v>
      </c>
      <c r="R285" s="8" t="n">
        <f aca="false">IF(M285&lt;=1,Assumptions!$B$12,IF(M285&lt;=3,Assumptions!$B$13,IF(M285&lt;=6,Assumptions!$B$14,Assumptions!$B$15)))</f>
        <v>100</v>
      </c>
      <c r="S285" s="8" t="n">
        <f aca="false">IF(N285="Completed On Time",Assumptions!$B$16,IF(N285="Completed Late",Assumptions!$B$17,Assumptions!$B$18))</f>
        <v>100</v>
      </c>
      <c r="T285" s="8" t="n">
        <f aca="false">IF(I285=0,Assumptions!$B$20,IF(H285&gt;I285,Assumptions!$B$19,IF(H285=I285,Assumptions!$B$20,Assumptions!$B$21)))</f>
        <v>70</v>
      </c>
      <c r="U285" s="8" t="n">
        <f aca="false">ROUND(P285*Assumptions!$B$2+Q285*Assumptions!$B$3+R285*Assumptions!$B$4+S285*Assumptions!$B$5+T285*Assumptions!$B$6,0)</f>
        <v>88</v>
      </c>
      <c r="V285" s="8" t="str">
        <f aca="false">IF(U285&gt;=Assumptions!$B$10,"Healthy",IF(U285&gt;=Assumptions!$B$11,"Needs Attention","High Risk"))</f>
        <v>Healthy</v>
      </c>
    </row>
    <row r="286" customFormat="false" ht="15" hidden="false" customHeight="false" outlineLevel="0" collapsed="false">
      <c r="A286" s="8" t="s">
        <v>713</v>
      </c>
      <c r="B286" s="8" t="s">
        <v>714</v>
      </c>
      <c r="C286" s="8" t="s">
        <v>53</v>
      </c>
      <c r="D286" s="8" t="s">
        <v>55</v>
      </c>
      <c r="E286" s="8" t="s">
        <v>117</v>
      </c>
      <c r="F286" s="8" t="s">
        <v>118</v>
      </c>
      <c r="G286" s="8" t="s">
        <v>147</v>
      </c>
      <c r="H286" s="15" t="n">
        <v>5895</v>
      </c>
      <c r="I286" s="15" t="n">
        <v>5895</v>
      </c>
      <c r="J286" s="16" t="n">
        <v>0.603</v>
      </c>
      <c r="K286" s="8" t="n">
        <v>6</v>
      </c>
      <c r="L286" s="8" t="n">
        <v>4</v>
      </c>
      <c r="M286" s="8" t="n">
        <v>2</v>
      </c>
      <c r="N286" s="8" t="s">
        <v>120</v>
      </c>
      <c r="O286" s="15" t="n">
        <f aca="false">H286*12</f>
        <v>70740</v>
      </c>
      <c r="P286" s="8" t="n">
        <f aca="false">MIN(100,ROUND(100*J286/Assumptions!$B$8,0))</f>
        <v>67</v>
      </c>
      <c r="Q286" s="8" t="n">
        <f aca="false">IF(L286="",Assumptions!$B$9,L286*10)</f>
        <v>40</v>
      </c>
      <c r="R286" s="8" t="n">
        <f aca="false">IF(M286&lt;=1,Assumptions!$B$12,IF(M286&lt;=3,Assumptions!$B$13,IF(M286&lt;=6,Assumptions!$B$14,Assumptions!$B$15)))</f>
        <v>75</v>
      </c>
      <c r="S286" s="8" t="n">
        <f aca="false">IF(N286="Completed On Time",Assumptions!$B$16,IF(N286="Completed Late",Assumptions!$B$17,Assumptions!$B$18))</f>
        <v>100</v>
      </c>
      <c r="T286" s="8" t="n">
        <f aca="false">IF(I286=0,Assumptions!$B$20,IF(H286&gt;I286,Assumptions!$B$19,IF(H286=I286,Assumptions!$B$20,Assumptions!$B$21)))</f>
        <v>70</v>
      </c>
      <c r="U286" s="8" t="n">
        <f aca="false">ROUND(P286*Assumptions!$B$2+Q286*Assumptions!$B$3+R286*Assumptions!$B$4+S286*Assumptions!$B$5+T286*Assumptions!$B$6,0)</f>
        <v>67</v>
      </c>
      <c r="V286" s="8" t="str">
        <f aca="false">IF(U286&gt;=Assumptions!$B$10,"Healthy",IF(U286&gt;=Assumptions!$B$11,"Needs Attention","High Risk"))</f>
        <v>Needs Attention</v>
      </c>
    </row>
    <row r="287" customFormat="false" ht="15" hidden="false" customHeight="false" outlineLevel="0" collapsed="false">
      <c r="A287" s="8" t="s">
        <v>715</v>
      </c>
      <c r="B287" s="8" t="s">
        <v>716</v>
      </c>
      <c r="C287" s="8" t="s">
        <v>53</v>
      </c>
      <c r="D287" s="8" t="s">
        <v>326</v>
      </c>
      <c r="E287" s="8" t="s">
        <v>117</v>
      </c>
      <c r="F287" s="8" t="s">
        <v>143</v>
      </c>
      <c r="G287" s="8" t="s">
        <v>144</v>
      </c>
      <c r="H287" s="15" t="n">
        <v>5825</v>
      </c>
      <c r="I287" s="15" t="n">
        <v>5825</v>
      </c>
      <c r="J287" s="16" t="n">
        <v>0.675</v>
      </c>
      <c r="K287" s="8" t="n">
        <v>5.7</v>
      </c>
      <c r="L287" s="8" t="n">
        <v>6</v>
      </c>
      <c r="M287" s="8" t="n">
        <v>2</v>
      </c>
      <c r="N287" s="8" t="s">
        <v>120</v>
      </c>
      <c r="O287" s="15" t="n">
        <f aca="false">H287*12</f>
        <v>69900</v>
      </c>
      <c r="P287" s="8" t="n">
        <f aca="false">MIN(100,ROUND(100*J287/Assumptions!$B$8,0))</f>
        <v>75</v>
      </c>
      <c r="Q287" s="8" t="n">
        <f aca="false">IF(L287="",Assumptions!$B$9,L287*10)</f>
        <v>60</v>
      </c>
      <c r="R287" s="8" t="n">
        <f aca="false">IF(M287&lt;=1,Assumptions!$B$12,IF(M287&lt;=3,Assumptions!$B$13,IF(M287&lt;=6,Assumptions!$B$14,Assumptions!$B$15)))</f>
        <v>75</v>
      </c>
      <c r="S287" s="8" t="n">
        <f aca="false">IF(N287="Completed On Time",Assumptions!$B$16,IF(N287="Completed Late",Assumptions!$B$17,Assumptions!$B$18))</f>
        <v>100</v>
      </c>
      <c r="T287" s="8" t="n">
        <f aca="false">IF(I287=0,Assumptions!$B$20,IF(H287&gt;I287,Assumptions!$B$19,IF(H287=I287,Assumptions!$B$20,Assumptions!$B$21)))</f>
        <v>70</v>
      </c>
      <c r="U287" s="8" t="n">
        <f aca="false">ROUND(P287*Assumptions!$B$2+Q287*Assumptions!$B$3+R287*Assumptions!$B$4+S287*Assumptions!$B$5+T287*Assumptions!$B$6,0)</f>
        <v>74</v>
      </c>
      <c r="V287" s="8" t="str">
        <f aca="false">IF(U287&gt;=Assumptions!$B$10,"Healthy",IF(U287&gt;=Assumptions!$B$11,"Needs Attention","High Risk"))</f>
        <v>Needs Attention</v>
      </c>
    </row>
    <row r="288" customFormat="false" ht="15" hidden="false" customHeight="false" outlineLevel="0" collapsed="false">
      <c r="A288" s="8" t="s">
        <v>717</v>
      </c>
      <c r="B288" s="8" t="s">
        <v>718</v>
      </c>
      <c r="C288" s="8" t="s">
        <v>53</v>
      </c>
      <c r="D288" s="8" t="s">
        <v>326</v>
      </c>
      <c r="E288" s="8" t="s">
        <v>132</v>
      </c>
      <c r="F288" s="8" t="s">
        <v>190</v>
      </c>
      <c r="G288" s="8" t="s">
        <v>177</v>
      </c>
      <c r="H288" s="15" t="n">
        <v>5825</v>
      </c>
      <c r="I288" s="15" t="n">
        <v>4400</v>
      </c>
      <c r="J288" s="16" t="n">
        <v>0.554</v>
      </c>
      <c r="K288" s="8" t="n">
        <v>7.7</v>
      </c>
      <c r="L288" s="8" t="n">
        <v>10</v>
      </c>
      <c r="M288" s="8" t="n">
        <v>7</v>
      </c>
      <c r="N288" s="8" t="s">
        <v>120</v>
      </c>
      <c r="O288" s="15" t="n">
        <f aca="false">H288*12</f>
        <v>69900</v>
      </c>
      <c r="P288" s="8" t="n">
        <f aca="false">MIN(100,ROUND(100*J288/Assumptions!$B$8,0))</f>
        <v>62</v>
      </c>
      <c r="Q288" s="8" t="n">
        <f aca="false">IF(L288="",Assumptions!$B$9,L288*10)</f>
        <v>100</v>
      </c>
      <c r="R288" s="8" t="n">
        <f aca="false">IF(M288&lt;=1,Assumptions!$B$12,IF(M288&lt;=3,Assumptions!$B$13,IF(M288&lt;=6,Assumptions!$B$14,Assumptions!$B$15)))</f>
        <v>20</v>
      </c>
      <c r="S288" s="8" t="n">
        <f aca="false">IF(N288="Completed On Time",Assumptions!$B$16,IF(N288="Completed Late",Assumptions!$B$17,Assumptions!$B$18))</f>
        <v>100</v>
      </c>
      <c r="T288" s="8" t="n">
        <f aca="false">IF(I288=0,Assumptions!$B$20,IF(H288&gt;I288,Assumptions!$B$19,IF(H288=I288,Assumptions!$B$20,Assumptions!$B$21)))</f>
        <v>100</v>
      </c>
      <c r="U288" s="8" t="n">
        <f aca="false">ROUND(P288*Assumptions!$B$2+Q288*Assumptions!$B$3+R288*Assumptions!$B$4+S288*Assumptions!$B$5+T288*Assumptions!$B$6,0)</f>
        <v>75</v>
      </c>
      <c r="V288" s="8" t="str">
        <f aca="false">IF(U288&gt;=Assumptions!$B$10,"Healthy",IF(U288&gt;=Assumptions!$B$11,"Needs Attention","High Risk"))</f>
        <v>Needs Attention</v>
      </c>
    </row>
    <row r="289" customFormat="false" ht="15" hidden="false" customHeight="false" outlineLevel="0" collapsed="false">
      <c r="A289" s="8" t="s">
        <v>719</v>
      </c>
      <c r="B289" s="8" t="s">
        <v>720</v>
      </c>
      <c r="C289" s="8" t="s">
        <v>53</v>
      </c>
      <c r="D289" s="8" t="s">
        <v>55</v>
      </c>
      <c r="E289" s="8" t="s">
        <v>117</v>
      </c>
      <c r="F289" s="8" t="s">
        <v>154</v>
      </c>
      <c r="G289" s="8" t="s">
        <v>177</v>
      </c>
      <c r="H289" s="15" t="n">
        <v>5805</v>
      </c>
      <c r="I289" s="15" t="n">
        <v>5805</v>
      </c>
      <c r="J289" s="16" t="n">
        <v>0.974</v>
      </c>
      <c r="K289" s="8" t="n">
        <v>10.7</v>
      </c>
      <c r="L289" s="8" t="n">
        <v>9</v>
      </c>
      <c r="M289" s="8" t="n">
        <v>1</v>
      </c>
      <c r="N289" s="8" t="s">
        <v>120</v>
      </c>
      <c r="O289" s="15" t="n">
        <f aca="false">H289*12</f>
        <v>69660</v>
      </c>
      <c r="P289" s="8" t="n">
        <f aca="false">MIN(100,ROUND(100*J289/Assumptions!$B$8,0))</f>
        <v>100</v>
      </c>
      <c r="Q289" s="8" t="n">
        <f aca="false">IF(L289="",Assumptions!$B$9,L289*10)</f>
        <v>90</v>
      </c>
      <c r="R289" s="8" t="n">
        <f aca="false">IF(M289&lt;=1,Assumptions!$B$12,IF(M289&lt;=3,Assumptions!$B$13,IF(M289&lt;=6,Assumptions!$B$14,Assumptions!$B$15)))</f>
        <v>100</v>
      </c>
      <c r="S289" s="8" t="n">
        <f aca="false">IF(N289="Completed On Time",Assumptions!$B$16,IF(N289="Completed Late",Assumptions!$B$17,Assumptions!$B$18))</f>
        <v>100</v>
      </c>
      <c r="T289" s="8" t="n">
        <f aca="false">IF(I289=0,Assumptions!$B$20,IF(H289&gt;I289,Assumptions!$B$19,IF(H289=I289,Assumptions!$B$20,Assumptions!$B$21)))</f>
        <v>70</v>
      </c>
      <c r="U289" s="8" t="n">
        <f aca="false">ROUND(P289*Assumptions!$B$2+Q289*Assumptions!$B$3+R289*Assumptions!$B$4+S289*Assumptions!$B$5+T289*Assumptions!$B$6,0)</f>
        <v>92</v>
      </c>
      <c r="V289" s="8" t="str">
        <f aca="false">IF(U289&gt;=Assumptions!$B$10,"Healthy",IF(U289&gt;=Assumptions!$B$11,"Needs Attention","High Risk"))</f>
        <v>Healthy</v>
      </c>
    </row>
    <row r="290" customFormat="false" ht="15" hidden="false" customHeight="false" outlineLevel="0" collapsed="false">
      <c r="A290" s="8" t="s">
        <v>721</v>
      </c>
      <c r="B290" s="8" t="s">
        <v>722</v>
      </c>
      <c r="C290" s="8" t="s">
        <v>53</v>
      </c>
      <c r="D290" s="8" t="s">
        <v>326</v>
      </c>
      <c r="E290" s="8" t="s">
        <v>117</v>
      </c>
      <c r="F290" s="8" t="s">
        <v>133</v>
      </c>
      <c r="G290" s="8" t="s">
        <v>144</v>
      </c>
      <c r="H290" s="15" t="n">
        <v>5750</v>
      </c>
      <c r="I290" s="15" t="n">
        <v>4300</v>
      </c>
      <c r="J290" s="16" t="n">
        <v>0.728</v>
      </c>
      <c r="K290" s="8" t="n">
        <v>9.7</v>
      </c>
      <c r="L290" s="8" t="n">
        <v>10</v>
      </c>
      <c r="M290" s="8" t="n">
        <v>4</v>
      </c>
      <c r="N290" s="8" t="s">
        <v>120</v>
      </c>
      <c r="O290" s="15" t="n">
        <f aca="false">H290*12</f>
        <v>69000</v>
      </c>
      <c r="P290" s="8" t="n">
        <f aca="false">MIN(100,ROUND(100*J290/Assumptions!$B$8,0))</f>
        <v>81</v>
      </c>
      <c r="Q290" s="8" t="n">
        <f aca="false">IF(L290="",Assumptions!$B$9,L290*10)</f>
        <v>100</v>
      </c>
      <c r="R290" s="8" t="n">
        <f aca="false">IF(M290&lt;=1,Assumptions!$B$12,IF(M290&lt;=3,Assumptions!$B$13,IF(M290&lt;=6,Assumptions!$B$14,Assumptions!$B$15)))</f>
        <v>50</v>
      </c>
      <c r="S290" s="8" t="n">
        <f aca="false">IF(N290="Completed On Time",Assumptions!$B$16,IF(N290="Completed Late",Assumptions!$B$17,Assumptions!$B$18))</f>
        <v>100</v>
      </c>
      <c r="T290" s="8" t="n">
        <f aca="false">IF(I290=0,Assumptions!$B$20,IF(H290&gt;I290,Assumptions!$B$19,IF(H290=I290,Assumptions!$B$20,Assumptions!$B$21)))</f>
        <v>100</v>
      </c>
      <c r="U290" s="8" t="n">
        <f aca="false">ROUND(P290*Assumptions!$B$2+Q290*Assumptions!$B$3+R290*Assumptions!$B$4+S290*Assumptions!$B$5+T290*Assumptions!$B$6,0)</f>
        <v>86</v>
      </c>
      <c r="V290" s="8" t="str">
        <f aca="false">IF(U290&gt;=Assumptions!$B$10,"Healthy",IF(U290&gt;=Assumptions!$B$11,"Needs Attention","High Risk"))</f>
        <v>Healthy</v>
      </c>
    </row>
    <row r="291" customFormat="false" ht="15" hidden="false" customHeight="false" outlineLevel="0" collapsed="false">
      <c r="A291" s="8" t="s">
        <v>723</v>
      </c>
      <c r="B291" s="8" t="s">
        <v>724</v>
      </c>
      <c r="C291" s="8" t="s">
        <v>53</v>
      </c>
      <c r="D291" s="8" t="s">
        <v>326</v>
      </c>
      <c r="E291" s="8" t="s">
        <v>123</v>
      </c>
      <c r="F291" s="8" t="s">
        <v>154</v>
      </c>
      <c r="G291" s="8" t="s">
        <v>180</v>
      </c>
      <c r="H291" s="15" t="n">
        <v>5750</v>
      </c>
      <c r="I291" s="15" t="n">
        <v>4550</v>
      </c>
      <c r="J291" s="16" t="n">
        <v>0.661</v>
      </c>
      <c r="K291" s="8" t="n">
        <v>7</v>
      </c>
      <c r="L291" s="8" t="n">
        <v>9</v>
      </c>
      <c r="M291" s="8" t="n">
        <v>5</v>
      </c>
      <c r="N291" s="8" t="s">
        <v>148</v>
      </c>
      <c r="O291" s="15" t="n">
        <f aca="false">H291*12</f>
        <v>69000</v>
      </c>
      <c r="P291" s="8" t="n">
        <f aca="false">MIN(100,ROUND(100*J291/Assumptions!$B$8,0))</f>
        <v>73</v>
      </c>
      <c r="Q291" s="8" t="n">
        <f aca="false">IF(L291="",Assumptions!$B$9,L291*10)</f>
        <v>90</v>
      </c>
      <c r="R291" s="8" t="n">
        <f aca="false">IF(M291&lt;=1,Assumptions!$B$12,IF(M291&lt;=3,Assumptions!$B$13,IF(M291&lt;=6,Assumptions!$B$14,Assumptions!$B$15)))</f>
        <v>50</v>
      </c>
      <c r="S291" s="8" t="n">
        <f aca="false">IF(N291="Completed On Time",Assumptions!$B$16,IF(N291="Completed Late",Assumptions!$B$17,Assumptions!$B$18))</f>
        <v>60</v>
      </c>
      <c r="T291" s="8" t="n">
        <f aca="false">IF(I291=0,Assumptions!$B$20,IF(H291&gt;I291,Assumptions!$B$19,IF(H291=I291,Assumptions!$B$20,Assumptions!$B$21)))</f>
        <v>100</v>
      </c>
      <c r="U291" s="8" t="n">
        <f aca="false">ROUND(P291*Assumptions!$B$2+Q291*Assumptions!$B$3+R291*Assumptions!$B$4+S291*Assumptions!$B$5+T291*Assumptions!$B$6,0)</f>
        <v>77</v>
      </c>
      <c r="V291" s="8" t="str">
        <f aca="false">IF(U291&gt;=Assumptions!$B$10,"Healthy",IF(U291&gt;=Assumptions!$B$11,"Needs Attention","High Risk"))</f>
        <v>Needs Attention</v>
      </c>
    </row>
    <row r="292" customFormat="false" ht="15" hidden="false" customHeight="false" outlineLevel="0" collapsed="false">
      <c r="A292" s="8" t="s">
        <v>725</v>
      </c>
      <c r="B292" s="8" t="s">
        <v>726</v>
      </c>
      <c r="C292" s="8" t="s">
        <v>53</v>
      </c>
      <c r="D292" s="8" t="s">
        <v>326</v>
      </c>
      <c r="E292" s="8" t="s">
        <v>123</v>
      </c>
      <c r="F292" s="8" t="s">
        <v>223</v>
      </c>
      <c r="G292" s="8" t="s">
        <v>204</v>
      </c>
      <c r="H292" s="15" t="n">
        <v>5750</v>
      </c>
      <c r="I292" s="15" t="n">
        <v>5750</v>
      </c>
      <c r="J292" s="16" t="n">
        <v>0.812</v>
      </c>
      <c r="K292" s="8" t="n">
        <v>9.7</v>
      </c>
      <c r="L292" s="8" t="n">
        <v>10</v>
      </c>
      <c r="M292" s="8" t="n">
        <v>6</v>
      </c>
      <c r="N292" s="8" t="s">
        <v>120</v>
      </c>
      <c r="O292" s="15" t="n">
        <f aca="false">H292*12</f>
        <v>69000</v>
      </c>
      <c r="P292" s="8" t="n">
        <f aca="false">MIN(100,ROUND(100*J292/Assumptions!$B$8,0))</f>
        <v>90</v>
      </c>
      <c r="Q292" s="8" t="n">
        <f aca="false">IF(L292="",Assumptions!$B$9,L292*10)</f>
        <v>100</v>
      </c>
      <c r="R292" s="8" t="n">
        <f aca="false">IF(M292&lt;=1,Assumptions!$B$12,IF(M292&lt;=3,Assumptions!$B$13,IF(M292&lt;=6,Assumptions!$B$14,Assumptions!$B$15)))</f>
        <v>50</v>
      </c>
      <c r="S292" s="8" t="n">
        <f aca="false">IF(N292="Completed On Time",Assumptions!$B$16,IF(N292="Completed Late",Assumptions!$B$17,Assumptions!$B$18))</f>
        <v>100</v>
      </c>
      <c r="T292" s="8" t="n">
        <f aca="false">IF(I292=0,Assumptions!$B$20,IF(H292&gt;I292,Assumptions!$B$19,IF(H292=I292,Assumptions!$B$20,Assumptions!$B$21)))</f>
        <v>70</v>
      </c>
      <c r="U292" s="8" t="n">
        <f aca="false">ROUND(P292*Assumptions!$B$2+Q292*Assumptions!$B$3+R292*Assumptions!$B$4+S292*Assumptions!$B$5+T292*Assumptions!$B$6,0)</f>
        <v>83</v>
      </c>
      <c r="V292" s="8" t="str">
        <f aca="false">IF(U292&gt;=Assumptions!$B$10,"Healthy",IF(U292&gt;=Assumptions!$B$11,"Needs Attention","High Risk"))</f>
        <v>Healthy</v>
      </c>
    </row>
    <row r="293" customFormat="false" ht="15" hidden="false" customHeight="false" outlineLevel="0" collapsed="false">
      <c r="A293" s="8" t="s">
        <v>727</v>
      </c>
      <c r="B293" s="8" t="s">
        <v>728</v>
      </c>
      <c r="C293" s="8" t="s">
        <v>55</v>
      </c>
      <c r="D293" s="8" t="s">
        <v>326</v>
      </c>
      <c r="E293" s="8" t="s">
        <v>123</v>
      </c>
      <c r="F293" s="8" t="s">
        <v>143</v>
      </c>
      <c r="G293" s="8" t="s">
        <v>204</v>
      </c>
      <c r="H293" s="15" t="n">
        <v>5725</v>
      </c>
      <c r="I293" s="15" t="n">
        <v>5100</v>
      </c>
      <c r="J293" s="16" t="n">
        <v>0.738</v>
      </c>
      <c r="K293" s="8" t="n">
        <v>10.3</v>
      </c>
      <c r="L293" s="8" t="n">
        <v>8</v>
      </c>
      <c r="M293" s="8" t="n">
        <v>4</v>
      </c>
      <c r="N293" s="8" t="s">
        <v>120</v>
      </c>
      <c r="O293" s="15" t="n">
        <f aca="false">H293*12</f>
        <v>68700</v>
      </c>
      <c r="P293" s="8" t="n">
        <f aca="false">MIN(100,ROUND(100*J293/Assumptions!$B$8,0))</f>
        <v>82</v>
      </c>
      <c r="Q293" s="8" t="n">
        <f aca="false">IF(L293="",Assumptions!$B$9,L293*10)</f>
        <v>80</v>
      </c>
      <c r="R293" s="8" t="n">
        <f aca="false">IF(M293&lt;=1,Assumptions!$B$12,IF(M293&lt;=3,Assumptions!$B$13,IF(M293&lt;=6,Assumptions!$B$14,Assumptions!$B$15)))</f>
        <v>50</v>
      </c>
      <c r="S293" s="8" t="n">
        <f aca="false">IF(N293="Completed On Time",Assumptions!$B$16,IF(N293="Completed Late",Assumptions!$B$17,Assumptions!$B$18))</f>
        <v>100</v>
      </c>
      <c r="T293" s="8" t="n">
        <f aca="false">IF(I293=0,Assumptions!$B$20,IF(H293&gt;I293,Assumptions!$B$19,IF(H293=I293,Assumptions!$B$20,Assumptions!$B$21)))</f>
        <v>100</v>
      </c>
      <c r="U293" s="8" t="n">
        <f aca="false">ROUND(P293*Assumptions!$B$2+Q293*Assumptions!$B$3+R293*Assumptions!$B$4+S293*Assumptions!$B$5+T293*Assumptions!$B$6,0)</f>
        <v>82</v>
      </c>
      <c r="V293" s="8" t="str">
        <f aca="false">IF(U293&gt;=Assumptions!$B$10,"Healthy",IF(U293&gt;=Assumptions!$B$11,"Needs Attention","High Risk"))</f>
        <v>Healthy</v>
      </c>
    </row>
    <row r="294" customFormat="false" ht="15" hidden="false" customHeight="false" outlineLevel="0" collapsed="false">
      <c r="A294" s="8" t="s">
        <v>729</v>
      </c>
      <c r="B294" s="8" t="s">
        <v>730</v>
      </c>
      <c r="C294" s="8" t="s">
        <v>53</v>
      </c>
      <c r="D294" s="8" t="s">
        <v>55</v>
      </c>
      <c r="E294" s="8" t="s">
        <v>123</v>
      </c>
      <c r="F294" s="8" t="s">
        <v>190</v>
      </c>
      <c r="G294" s="8" t="s">
        <v>125</v>
      </c>
      <c r="H294" s="15" t="n">
        <v>5715</v>
      </c>
      <c r="I294" s="15" t="n">
        <v>5715</v>
      </c>
      <c r="J294" s="16" t="n">
        <v>0.811</v>
      </c>
      <c r="K294" s="8" t="n">
        <v>10.7</v>
      </c>
      <c r="L294" s="8" t="n">
        <v>10</v>
      </c>
      <c r="M294" s="8" t="n">
        <v>2</v>
      </c>
      <c r="N294" s="8" t="s">
        <v>120</v>
      </c>
      <c r="O294" s="15" t="n">
        <f aca="false">H294*12</f>
        <v>68580</v>
      </c>
      <c r="P294" s="8" t="n">
        <f aca="false">MIN(100,ROUND(100*J294/Assumptions!$B$8,0))</f>
        <v>90</v>
      </c>
      <c r="Q294" s="8" t="n">
        <f aca="false">IF(L294="",Assumptions!$B$9,L294*10)</f>
        <v>100</v>
      </c>
      <c r="R294" s="8" t="n">
        <f aca="false">IF(M294&lt;=1,Assumptions!$B$12,IF(M294&lt;=3,Assumptions!$B$13,IF(M294&lt;=6,Assumptions!$B$14,Assumptions!$B$15)))</f>
        <v>75</v>
      </c>
      <c r="S294" s="8" t="n">
        <f aca="false">IF(N294="Completed On Time",Assumptions!$B$16,IF(N294="Completed Late",Assumptions!$B$17,Assumptions!$B$18))</f>
        <v>100</v>
      </c>
      <c r="T294" s="8" t="n">
        <f aca="false">IF(I294=0,Assumptions!$B$20,IF(H294&gt;I294,Assumptions!$B$19,IF(H294=I294,Assumptions!$B$20,Assumptions!$B$21)))</f>
        <v>70</v>
      </c>
      <c r="U294" s="8" t="n">
        <f aca="false">ROUND(P294*Assumptions!$B$2+Q294*Assumptions!$B$3+R294*Assumptions!$B$4+S294*Assumptions!$B$5+T294*Assumptions!$B$6,0)</f>
        <v>87</v>
      </c>
      <c r="V294" s="8" t="str">
        <f aca="false">IF(U294&gt;=Assumptions!$B$10,"Healthy",IF(U294&gt;=Assumptions!$B$11,"Needs Attention","High Risk"))</f>
        <v>Healthy</v>
      </c>
    </row>
    <row r="295" customFormat="false" ht="15" hidden="false" customHeight="false" outlineLevel="0" collapsed="false">
      <c r="A295" s="8" t="s">
        <v>731</v>
      </c>
      <c r="B295" s="8" t="s">
        <v>732</v>
      </c>
      <c r="C295" s="8" t="s">
        <v>53</v>
      </c>
      <c r="D295" s="8" t="s">
        <v>55</v>
      </c>
      <c r="E295" s="8" t="s">
        <v>123</v>
      </c>
      <c r="F295" s="8" t="s">
        <v>223</v>
      </c>
      <c r="G295" s="8" t="s">
        <v>125</v>
      </c>
      <c r="H295" s="15" t="n">
        <v>5670</v>
      </c>
      <c r="I295" s="15" t="n">
        <v>5670</v>
      </c>
      <c r="J295" s="16" t="n">
        <v>0.722</v>
      </c>
      <c r="K295" s="8" t="n">
        <v>9</v>
      </c>
      <c r="L295" s="8" t="n">
        <v>10</v>
      </c>
      <c r="M295" s="8" t="n">
        <v>5</v>
      </c>
      <c r="N295" s="8" t="s">
        <v>120</v>
      </c>
      <c r="O295" s="15" t="n">
        <f aca="false">H295*12</f>
        <v>68040</v>
      </c>
      <c r="P295" s="8" t="n">
        <f aca="false">MIN(100,ROUND(100*J295/Assumptions!$B$8,0))</f>
        <v>80</v>
      </c>
      <c r="Q295" s="8" t="n">
        <f aca="false">IF(L295="",Assumptions!$B$9,L295*10)</f>
        <v>100</v>
      </c>
      <c r="R295" s="8" t="n">
        <f aca="false">IF(M295&lt;=1,Assumptions!$B$12,IF(M295&lt;=3,Assumptions!$B$13,IF(M295&lt;=6,Assumptions!$B$14,Assumptions!$B$15)))</f>
        <v>50</v>
      </c>
      <c r="S295" s="8" t="n">
        <f aca="false">IF(N295="Completed On Time",Assumptions!$B$16,IF(N295="Completed Late",Assumptions!$B$17,Assumptions!$B$18))</f>
        <v>100</v>
      </c>
      <c r="T295" s="8" t="n">
        <f aca="false">IF(I295=0,Assumptions!$B$20,IF(H295&gt;I295,Assumptions!$B$19,IF(H295=I295,Assumptions!$B$20,Assumptions!$B$21)))</f>
        <v>70</v>
      </c>
      <c r="U295" s="8" t="n">
        <f aca="false">ROUND(P295*Assumptions!$B$2+Q295*Assumptions!$B$3+R295*Assumptions!$B$4+S295*Assumptions!$B$5+T295*Assumptions!$B$6,0)</f>
        <v>80</v>
      </c>
      <c r="V295" s="8" t="str">
        <f aca="false">IF(U295&gt;=Assumptions!$B$10,"Healthy",IF(U295&gt;=Assumptions!$B$11,"Needs Attention","High Risk"))</f>
        <v>Healthy</v>
      </c>
    </row>
    <row r="296" customFormat="false" ht="15" hidden="false" customHeight="false" outlineLevel="0" collapsed="false">
      <c r="A296" s="8" t="s">
        <v>733</v>
      </c>
      <c r="B296" s="8" t="s">
        <v>734</v>
      </c>
      <c r="C296" s="8" t="s">
        <v>55</v>
      </c>
      <c r="D296" s="8" t="s">
        <v>326</v>
      </c>
      <c r="E296" s="8" t="s">
        <v>123</v>
      </c>
      <c r="F296" s="8" t="s">
        <v>151</v>
      </c>
      <c r="G296" s="8" t="s">
        <v>125</v>
      </c>
      <c r="H296" s="15" t="n">
        <v>5650</v>
      </c>
      <c r="I296" s="15" t="n">
        <v>5650</v>
      </c>
      <c r="J296" s="16" t="n">
        <v>0.912</v>
      </c>
      <c r="K296" s="8" t="n">
        <v>8.7</v>
      </c>
      <c r="L296" s="8" t="n">
        <v>10</v>
      </c>
      <c r="M296" s="8" t="n">
        <v>4</v>
      </c>
      <c r="N296" s="8" t="s">
        <v>120</v>
      </c>
      <c r="O296" s="15" t="n">
        <f aca="false">H296*12</f>
        <v>67800</v>
      </c>
      <c r="P296" s="8" t="n">
        <f aca="false">MIN(100,ROUND(100*J296/Assumptions!$B$8,0))</f>
        <v>100</v>
      </c>
      <c r="Q296" s="8" t="n">
        <f aca="false">IF(L296="",Assumptions!$B$9,L296*10)</f>
        <v>100</v>
      </c>
      <c r="R296" s="8" t="n">
        <f aca="false">IF(M296&lt;=1,Assumptions!$B$12,IF(M296&lt;=3,Assumptions!$B$13,IF(M296&lt;=6,Assumptions!$B$14,Assumptions!$B$15)))</f>
        <v>50</v>
      </c>
      <c r="S296" s="8" t="n">
        <f aca="false">IF(N296="Completed On Time",Assumptions!$B$16,IF(N296="Completed Late",Assumptions!$B$17,Assumptions!$B$18))</f>
        <v>100</v>
      </c>
      <c r="T296" s="8" t="n">
        <f aca="false">IF(I296=0,Assumptions!$B$20,IF(H296&gt;I296,Assumptions!$B$19,IF(H296=I296,Assumptions!$B$20,Assumptions!$B$21)))</f>
        <v>70</v>
      </c>
      <c r="U296" s="8" t="n">
        <f aca="false">ROUND(P296*Assumptions!$B$2+Q296*Assumptions!$B$3+R296*Assumptions!$B$4+S296*Assumptions!$B$5+T296*Assumptions!$B$6,0)</f>
        <v>87</v>
      </c>
      <c r="V296" s="8" t="str">
        <f aca="false">IF(U296&gt;=Assumptions!$B$10,"Healthy",IF(U296&gt;=Assumptions!$B$11,"Needs Attention","High Risk"))</f>
        <v>Healthy</v>
      </c>
    </row>
    <row r="297" customFormat="false" ht="15" hidden="false" customHeight="false" outlineLevel="0" collapsed="false">
      <c r="A297" s="8" t="s">
        <v>735</v>
      </c>
      <c r="B297" s="8" t="s">
        <v>736</v>
      </c>
      <c r="C297" s="8" t="s">
        <v>53</v>
      </c>
      <c r="D297" s="8" t="s">
        <v>55</v>
      </c>
      <c r="E297" s="8" t="s">
        <v>123</v>
      </c>
      <c r="F297" s="8" t="s">
        <v>124</v>
      </c>
      <c r="G297" s="8" t="s">
        <v>137</v>
      </c>
      <c r="H297" s="15" t="n">
        <v>5625</v>
      </c>
      <c r="I297" s="15" t="n">
        <v>5625</v>
      </c>
      <c r="J297" s="16" t="n">
        <v>0.899</v>
      </c>
      <c r="K297" s="8" t="n">
        <v>9.7</v>
      </c>
      <c r="L297" s="8" t="n">
        <v>10</v>
      </c>
      <c r="M297" s="8" t="n">
        <v>0</v>
      </c>
      <c r="N297" s="8" t="s">
        <v>120</v>
      </c>
      <c r="O297" s="15" t="n">
        <f aca="false">H297*12</f>
        <v>67500</v>
      </c>
      <c r="P297" s="8" t="n">
        <f aca="false">MIN(100,ROUND(100*J297/Assumptions!$B$8,0))</f>
        <v>100</v>
      </c>
      <c r="Q297" s="8" t="n">
        <f aca="false">IF(L297="",Assumptions!$B$9,L297*10)</f>
        <v>100</v>
      </c>
      <c r="R297" s="8" t="n">
        <f aca="false">IF(M297&lt;=1,Assumptions!$B$12,IF(M297&lt;=3,Assumptions!$B$13,IF(M297&lt;=6,Assumptions!$B$14,Assumptions!$B$15)))</f>
        <v>100</v>
      </c>
      <c r="S297" s="8" t="n">
        <f aca="false">IF(N297="Completed On Time",Assumptions!$B$16,IF(N297="Completed Late",Assumptions!$B$17,Assumptions!$B$18))</f>
        <v>100</v>
      </c>
      <c r="T297" s="8" t="n">
        <f aca="false">IF(I297=0,Assumptions!$B$20,IF(H297&gt;I297,Assumptions!$B$19,IF(H297=I297,Assumptions!$B$20,Assumptions!$B$21)))</f>
        <v>70</v>
      </c>
      <c r="U297" s="8" t="n">
        <f aca="false">ROUND(P297*Assumptions!$B$2+Q297*Assumptions!$B$3+R297*Assumptions!$B$4+S297*Assumptions!$B$5+T297*Assumptions!$B$6,0)</f>
        <v>94</v>
      </c>
      <c r="V297" s="8" t="str">
        <f aca="false">IF(U297&gt;=Assumptions!$B$10,"Healthy",IF(U297&gt;=Assumptions!$B$11,"Needs Attention","High Risk"))</f>
        <v>Healthy</v>
      </c>
    </row>
    <row r="298" customFormat="false" ht="15" hidden="false" customHeight="false" outlineLevel="0" collapsed="false">
      <c r="A298" s="8" t="s">
        <v>737</v>
      </c>
      <c r="B298" s="8" t="s">
        <v>738</v>
      </c>
      <c r="C298" s="8" t="s">
        <v>53</v>
      </c>
      <c r="D298" s="8" t="s">
        <v>55</v>
      </c>
      <c r="E298" s="8" t="s">
        <v>123</v>
      </c>
      <c r="F298" s="8" t="s">
        <v>223</v>
      </c>
      <c r="G298" s="8" t="s">
        <v>180</v>
      </c>
      <c r="H298" s="15" t="n">
        <v>5580</v>
      </c>
      <c r="I298" s="15" t="n">
        <v>0</v>
      </c>
      <c r="J298" s="16" t="n">
        <v>0.512</v>
      </c>
      <c r="K298" s="8" t="n">
        <v>5.5</v>
      </c>
      <c r="L298" s="8"/>
      <c r="M298" s="8" t="n">
        <v>3</v>
      </c>
      <c r="N298" s="8" t="s">
        <v>199</v>
      </c>
      <c r="O298" s="15" t="n">
        <f aca="false">H298*12</f>
        <v>66960</v>
      </c>
      <c r="P298" s="8" t="n">
        <f aca="false">MIN(100,ROUND(100*J298/Assumptions!$B$8,0))</f>
        <v>57</v>
      </c>
      <c r="Q298" s="8" t="n">
        <f aca="false">IF(L298="",Assumptions!$B$9,L298*10)</f>
        <v>50</v>
      </c>
      <c r="R298" s="8" t="n">
        <f aca="false">IF(M298&lt;=1,Assumptions!$B$12,IF(M298&lt;=3,Assumptions!$B$13,IF(M298&lt;=6,Assumptions!$B$14,Assumptions!$B$15)))</f>
        <v>75</v>
      </c>
      <c r="S298" s="8" t="n">
        <f aca="false">IF(N298="Completed On Time",Assumptions!$B$16,IF(N298="Completed Late",Assumptions!$B$17,Assumptions!$B$18))</f>
        <v>50</v>
      </c>
      <c r="T298" s="8" t="n">
        <f aca="false">IF(I298=0,Assumptions!$B$20,IF(H298&gt;I298,Assumptions!$B$19,IF(H298=I298,Assumptions!$B$20,Assumptions!$B$21)))</f>
        <v>70</v>
      </c>
      <c r="U298" s="8" t="n">
        <f aca="false">ROUND(P298*Assumptions!$B$2+Q298*Assumptions!$B$3+R298*Assumptions!$B$4+S298*Assumptions!$B$5+T298*Assumptions!$B$6,0)</f>
        <v>60</v>
      </c>
      <c r="V298" s="8" t="str">
        <f aca="false">IF(U298&gt;=Assumptions!$B$10,"Healthy",IF(U298&gt;=Assumptions!$B$11,"Needs Attention","High Risk"))</f>
        <v>High Risk</v>
      </c>
    </row>
    <row r="299" customFormat="false" ht="15" hidden="false" customHeight="false" outlineLevel="0" collapsed="false">
      <c r="A299" s="8" t="s">
        <v>739</v>
      </c>
      <c r="B299" s="8" t="s">
        <v>740</v>
      </c>
      <c r="C299" s="8" t="s">
        <v>53</v>
      </c>
      <c r="D299" s="8" t="s">
        <v>55</v>
      </c>
      <c r="E299" s="8" t="s">
        <v>132</v>
      </c>
      <c r="F299" s="8" t="s">
        <v>151</v>
      </c>
      <c r="G299" s="8" t="s">
        <v>137</v>
      </c>
      <c r="H299" s="15" t="n">
        <v>5535</v>
      </c>
      <c r="I299" s="15" t="n">
        <v>5535</v>
      </c>
      <c r="J299" s="16" t="n">
        <v>0.794</v>
      </c>
      <c r="K299" s="8" t="n">
        <v>10.3</v>
      </c>
      <c r="L299" s="8" t="n">
        <v>7</v>
      </c>
      <c r="M299" s="8" t="n">
        <v>0</v>
      </c>
      <c r="N299" s="8" t="s">
        <v>120</v>
      </c>
      <c r="O299" s="15" t="n">
        <f aca="false">H299*12</f>
        <v>66420</v>
      </c>
      <c r="P299" s="8" t="n">
        <f aca="false">MIN(100,ROUND(100*J299/Assumptions!$B$8,0))</f>
        <v>88</v>
      </c>
      <c r="Q299" s="8" t="n">
        <f aca="false">IF(L299="",Assumptions!$B$9,L299*10)</f>
        <v>70</v>
      </c>
      <c r="R299" s="8" t="n">
        <f aca="false">IF(M299&lt;=1,Assumptions!$B$12,IF(M299&lt;=3,Assumptions!$B$13,IF(M299&lt;=6,Assumptions!$B$14,Assumptions!$B$15)))</f>
        <v>100</v>
      </c>
      <c r="S299" s="8" t="n">
        <f aca="false">IF(N299="Completed On Time",Assumptions!$B$16,IF(N299="Completed Late",Assumptions!$B$17,Assumptions!$B$18))</f>
        <v>100</v>
      </c>
      <c r="T299" s="8" t="n">
        <f aca="false">IF(I299=0,Assumptions!$B$20,IF(H299&gt;I299,Assumptions!$B$19,IF(H299=I299,Assumptions!$B$20,Assumptions!$B$21)))</f>
        <v>70</v>
      </c>
      <c r="U299" s="8" t="n">
        <f aca="false">ROUND(P299*Assumptions!$B$2+Q299*Assumptions!$B$3+R299*Assumptions!$B$4+S299*Assumptions!$B$5+T299*Assumptions!$B$6,0)</f>
        <v>84</v>
      </c>
      <c r="V299" s="8" t="str">
        <f aca="false">IF(U299&gt;=Assumptions!$B$10,"Healthy",IF(U299&gt;=Assumptions!$B$11,"Needs Attention","High Risk"))</f>
        <v>Healthy</v>
      </c>
    </row>
    <row r="300" customFormat="false" ht="15" hidden="false" customHeight="false" outlineLevel="0" collapsed="false">
      <c r="A300" s="8" t="s">
        <v>741</v>
      </c>
      <c r="B300" s="8" t="s">
        <v>742</v>
      </c>
      <c r="C300" s="8" t="s">
        <v>53</v>
      </c>
      <c r="D300" s="8" t="s">
        <v>326</v>
      </c>
      <c r="E300" s="8" t="s">
        <v>132</v>
      </c>
      <c r="F300" s="8" t="s">
        <v>118</v>
      </c>
      <c r="G300" s="8" t="s">
        <v>137</v>
      </c>
      <c r="H300" s="15" t="n">
        <v>5525</v>
      </c>
      <c r="I300" s="15" t="n">
        <v>3075</v>
      </c>
      <c r="J300" s="16" t="n">
        <v>0.574</v>
      </c>
      <c r="K300" s="8" t="n">
        <v>7</v>
      </c>
      <c r="L300" s="8" t="n">
        <v>7</v>
      </c>
      <c r="M300" s="8" t="n">
        <v>4</v>
      </c>
      <c r="N300" s="8" t="s">
        <v>120</v>
      </c>
      <c r="O300" s="15" t="n">
        <f aca="false">H300*12</f>
        <v>66300</v>
      </c>
      <c r="P300" s="8" t="n">
        <f aca="false">MIN(100,ROUND(100*J300/Assumptions!$B$8,0))</f>
        <v>64</v>
      </c>
      <c r="Q300" s="8" t="n">
        <f aca="false">IF(L300="",Assumptions!$B$9,L300*10)</f>
        <v>70</v>
      </c>
      <c r="R300" s="8" t="n">
        <f aca="false">IF(M300&lt;=1,Assumptions!$B$12,IF(M300&lt;=3,Assumptions!$B$13,IF(M300&lt;=6,Assumptions!$B$14,Assumptions!$B$15)))</f>
        <v>50</v>
      </c>
      <c r="S300" s="8" t="n">
        <f aca="false">IF(N300="Completed On Time",Assumptions!$B$16,IF(N300="Completed Late",Assumptions!$B$17,Assumptions!$B$18))</f>
        <v>100</v>
      </c>
      <c r="T300" s="8" t="n">
        <f aca="false">IF(I300=0,Assumptions!$B$20,IF(H300&gt;I300,Assumptions!$B$19,IF(H300=I300,Assumptions!$B$20,Assumptions!$B$21)))</f>
        <v>100</v>
      </c>
      <c r="U300" s="8" t="n">
        <f aca="false">ROUND(P300*Assumptions!$B$2+Q300*Assumptions!$B$3+R300*Assumptions!$B$4+S300*Assumptions!$B$5+T300*Assumptions!$B$6,0)</f>
        <v>74</v>
      </c>
      <c r="V300" s="8" t="str">
        <f aca="false">IF(U300&gt;=Assumptions!$B$10,"Healthy",IF(U300&gt;=Assumptions!$B$11,"Needs Attention","High Risk"))</f>
        <v>Needs Attention</v>
      </c>
    </row>
    <row r="301" customFormat="false" ht="15" hidden="false" customHeight="false" outlineLevel="0" collapsed="false">
      <c r="A301" s="8" t="s">
        <v>743</v>
      </c>
      <c r="B301" s="8" t="s">
        <v>744</v>
      </c>
      <c r="C301" s="8" t="s">
        <v>53</v>
      </c>
      <c r="D301" s="8" t="s">
        <v>55</v>
      </c>
      <c r="E301" s="8" t="s">
        <v>132</v>
      </c>
      <c r="F301" s="8" t="s">
        <v>136</v>
      </c>
      <c r="G301" s="8" t="s">
        <v>180</v>
      </c>
      <c r="H301" s="15" t="n">
        <v>5490</v>
      </c>
      <c r="I301" s="15" t="n">
        <v>5490</v>
      </c>
      <c r="J301" s="16" t="n">
        <v>0.582</v>
      </c>
      <c r="K301" s="8" t="n">
        <v>7.3</v>
      </c>
      <c r="L301" s="8" t="n">
        <v>8</v>
      </c>
      <c r="M301" s="8" t="n">
        <v>3</v>
      </c>
      <c r="N301" s="8" t="s">
        <v>120</v>
      </c>
      <c r="O301" s="15" t="n">
        <f aca="false">H301*12</f>
        <v>65880</v>
      </c>
      <c r="P301" s="8" t="n">
        <f aca="false">MIN(100,ROUND(100*J301/Assumptions!$B$8,0))</f>
        <v>65</v>
      </c>
      <c r="Q301" s="8" t="n">
        <f aca="false">IF(L301="",Assumptions!$B$9,L301*10)</f>
        <v>80</v>
      </c>
      <c r="R301" s="8" t="n">
        <f aca="false">IF(M301&lt;=1,Assumptions!$B$12,IF(M301&lt;=3,Assumptions!$B$13,IF(M301&lt;=6,Assumptions!$B$14,Assumptions!$B$15)))</f>
        <v>75</v>
      </c>
      <c r="S301" s="8" t="n">
        <f aca="false">IF(N301="Completed On Time",Assumptions!$B$16,IF(N301="Completed Late",Assumptions!$B$17,Assumptions!$B$18))</f>
        <v>100</v>
      </c>
      <c r="T301" s="8" t="n">
        <f aca="false">IF(I301=0,Assumptions!$B$20,IF(H301&gt;I301,Assumptions!$B$19,IF(H301=I301,Assumptions!$B$20,Assumptions!$B$21)))</f>
        <v>70</v>
      </c>
      <c r="U301" s="8" t="n">
        <f aca="false">ROUND(P301*Assumptions!$B$2+Q301*Assumptions!$B$3+R301*Assumptions!$B$4+S301*Assumptions!$B$5+T301*Assumptions!$B$6,0)</f>
        <v>74</v>
      </c>
      <c r="V301" s="8" t="str">
        <f aca="false">IF(U301&gt;=Assumptions!$B$10,"Healthy",IF(U301&gt;=Assumptions!$B$11,"Needs Attention","High Risk"))</f>
        <v>Needs Attention</v>
      </c>
    </row>
    <row r="302" customFormat="false" ht="15" hidden="false" customHeight="false" outlineLevel="0" collapsed="false">
      <c r="A302" s="8" t="s">
        <v>745</v>
      </c>
      <c r="B302" s="8" t="s">
        <v>746</v>
      </c>
      <c r="C302" s="8" t="s">
        <v>53</v>
      </c>
      <c r="D302" s="8" t="s">
        <v>55</v>
      </c>
      <c r="E302" s="8" t="s">
        <v>123</v>
      </c>
      <c r="F302" s="8" t="s">
        <v>118</v>
      </c>
      <c r="G302" s="8" t="s">
        <v>140</v>
      </c>
      <c r="H302" s="15" t="n">
        <v>5490</v>
      </c>
      <c r="I302" s="15" t="n">
        <v>5490</v>
      </c>
      <c r="J302" s="16" t="n">
        <v>0.522</v>
      </c>
      <c r="K302" s="8" t="n">
        <v>5</v>
      </c>
      <c r="L302" s="8" t="n">
        <v>8</v>
      </c>
      <c r="M302" s="8" t="n">
        <v>4</v>
      </c>
      <c r="N302" s="8" t="s">
        <v>148</v>
      </c>
      <c r="O302" s="15" t="n">
        <f aca="false">H302*12</f>
        <v>65880</v>
      </c>
      <c r="P302" s="8" t="n">
        <f aca="false">MIN(100,ROUND(100*J302/Assumptions!$B$8,0))</f>
        <v>58</v>
      </c>
      <c r="Q302" s="8" t="n">
        <f aca="false">IF(L302="",Assumptions!$B$9,L302*10)</f>
        <v>80</v>
      </c>
      <c r="R302" s="8" t="n">
        <f aca="false">IF(M302&lt;=1,Assumptions!$B$12,IF(M302&lt;=3,Assumptions!$B$13,IF(M302&lt;=6,Assumptions!$B$14,Assumptions!$B$15)))</f>
        <v>50</v>
      </c>
      <c r="S302" s="8" t="n">
        <f aca="false">IF(N302="Completed On Time",Assumptions!$B$16,IF(N302="Completed Late",Assumptions!$B$17,Assumptions!$B$18))</f>
        <v>60</v>
      </c>
      <c r="T302" s="8" t="n">
        <f aca="false">IF(I302=0,Assumptions!$B$20,IF(H302&gt;I302,Assumptions!$B$19,IF(H302=I302,Assumptions!$B$20,Assumptions!$B$21)))</f>
        <v>70</v>
      </c>
      <c r="U302" s="8" t="n">
        <f aca="false">ROUND(P302*Assumptions!$B$2+Q302*Assumptions!$B$3+R302*Assumptions!$B$4+S302*Assumptions!$B$5+T302*Assumptions!$B$6,0)</f>
        <v>64</v>
      </c>
      <c r="V302" s="8" t="str">
        <f aca="false">IF(U302&gt;=Assumptions!$B$10,"Healthy",IF(U302&gt;=Assumptions!$B$11,"Needs Attention","High Risk"))</f>
        <v>High Risk</v>
      </c>
    </row>
    <row r="303" customFormat="false" ht="15" hidden="false" customHeight="false" outlineLevel="0" collapsed="false">
      <c r="A303" s="8" t="s">
        <v>747</v>
      </c>
      <c r="B303" s="8" t="s">
        <v>748</v>
      </c>
      <c r="C303" s="8" t="s">
        <v>53</v>
      </c>
      <c r="D303" s="8" t="s">
        <v>326</v>
      </c>
      <c r="E303" s="8" t="s">
        <v>132</v>
      </c>
      <c r="F303" s="8" t="s">
        <v>133</v>
      </c>
      <c r="G303" s="8" t="s">
        <v>177</v>
      </c>
      <c r="H303" s="15" t="n">
        <v>5450</v>
      </c>
      <c r="I303" s="15" t="n">
        <v>5450</v>
      </c>
      <c r="J303" s="16" t="n">
        <v>0.68</v>
      </c>
      <c r="K303" s="8" t="n">
        <v>8</v>
      </c>
      <c r="L303" s="8" t="n">
        <v>8</v>
      </c>
      <c r="M303" s="8" t="n">
        <v>6</v>
      </c>
      <c r="N303" s="8" t="s">
        <v>120</v>
      </c>
      <c r="O303" s="15" t="n">
        <f aca="false">H303*12</f>
        <v>65400</v>
      </c>
      <c r="P303" s="8" t="n">
        <f aca="false">MIN(100,ROUND(100*J303/Assumptions!$B$8,0))</f>
        <v>76</v>
      </c>
      <c r="Q303" s="8" t="n">
        <f aca="false">IF(L303="",Assumptions!$B$9,L303*10)</f>
        <v>80</v>
      </c>
      <c r="R303" s="8" t="n">
        <f aca="false">IF(M303&lt;=1,Assumptions!$B$12,IF(M303&lt;=3,Assumptions!$B$13,IF(M303&lt;=6,Assumptions!$B$14,Assumptions!$B$15)))</f>
        <v>50</v>
      </c>
      <c r="S303" s="8" t="n">
        <f aca="false">IF(N303="Completed On Time",Assumptions!$B$16,IF(N303="Completed Late",Assumptions!$B$17,Assumptions!$B$18))</f>
        <v>100</v>
      </c>
      <c r="T303" s="8" t="n">
        <f aca="false">IF(I303=0,Assumptions!$B$20,IF(H303&gt;I303,Assumptions!$B$19,IF(H303=I303,Assumptions!$B$20,Assumptions!$B$21)))</f>
        <v>70</v>
      </c>
      <c r="U303" s="8" t="n">
        <f aca="false">ROUND(P303*Assumptions!$B$2+Q303*Assumptions!$B$3+R303*Assumptions!$B$4+S303*Assumptions!$B$5+T303*Assumptions!$B$6,0)</f>
        <v>74</v>
      </c>
      <c r="V303" s="8" t="str">
        <f aca="false">IF(U303&gt;=Assumptions!$B$10,"Healthy",IF(U303&gt;=Assumptions!$B$11,"Needs Attention","High Risk"))</f>
        <v>Needs Attention</v>
      </c>
    </row>
    <row r="304" customFormat="false" ht="15" hidden="false" customHeight="false" outlineLevel="0" collapsed="false">
      <c r="A304" s="8" t="s">
        <v>749</v>
      </c>
      <c r="B304" s="8" t="s">
        <v>750</v>
      </c>
      <c r="C304" s="8" t="s">
        <v>55</v>
      </c>
      <c r="D304" s="8" t="s">
        <v>326</v>
      </c>
      <c r="E304" s="8" t="s">
        <v>117</v>
      </c>
      <c r="F304" s="8" t="s">
        <v>154</v>
      </c>
      <c r="G304" s="8" t="s">
        <v>204</v>
      </c>
      <c r="H304" s="15" t="n">
        <v>5425</v>
      </c>
      <c r="I304" s="15" t="n">
        <v>5425</v>
      </c>
      <c r="J304" s="16" t="n">
        <v>0.697</v>
      </c>
      <c r="K304" s="8" t="n">
        <v>10</v>
      </c>
      <c r="L304" s="8" t="n">
        <v>7</v>
      </c>
      <c r="M304" s="8" t="n">
        <v>2</v>
      </c>
      <c r="N304" s="8" t="s">
        <v>120</v>
      </c>
      <c r="O304" s="15" t="n">
        <f aca="false">H304*12</f>
        <v>65100</v>
      </c>
      <c r="P304" s="8" t="n">
        <f aca="false">MIN(100,ROUND(100*J304/Assumptions!$B$8,0))</f>
        <v>77</v>
      </c>
      <c r="Q304" s="8" t="n">
        <f aca="false">IF(L304="",Assumptions!$B$9,L304*10)</f>
        <v>70</v>
      </c>
      <c r="R304" s="8" t="n">
        <f aca="false">IF(M304&lt;=1,Assumptions!$B$12,IF(M304&lt;=3,Assumptions!$B$13,IF(M304&lt;=6,Assumptions!$B$14,Assumptions!$B$15)))</f>
        <v>75</v>
      </c>
      <c r="S304" s="8" t="n">
        <f aca="false">IF(N304="Completed On Time",Assumptions!$B$16,IF(N304="Completed Late",Assumptions!$B$17,Assumptions!$B$18))</f>
        <v>100</v>
      </c>
      <c r="T304" s="8" t="n">
        <f aca="false">IF(I304=0,Assumptions!$B$20,IF(H304&gt;I304,Assumptions!$B$19,IF(H304=I304,Assumptions!$B$20,Assumptions!$B$21)))</f>
        <v>70</v>
      </c>
      <c r="U304" s="8" t="n">
        <f aca="false">ROUND(P304*Assumptions!$B$2+Q304*Assumptions!$B$3+R304*Assumptions!$B$4+S304*Assumptions!$B$5+T304*Assumptions!$B$6,0)</f>
        <v>76</v>
      </c>
      <c r="V304" s="8" t="str">
        <f aca="false">IF(U304&gt;=Assumptions!$B$10,"Healthy",IF(U304&gt;=Assumptions!$B$11,"Needs Attention","High Risk"))</f>
        <v>Needs Attention</v>
      </c>
    </row>
    <row r="305" customFormat="false" ht="15" hidden="false" customHeight="false" outlineLevel="0" collapsed="false">
      <c r="A305" s="8" t="s">
        <v>751</v>
      </c>
      <c r="B305" s="8" t="s">
        <v>752</v>
      </c>
      <c r="C305" s="8" t="s">
        <v>53</v>
      </c>
      <c r="D305" s="8" t="s">
        <v>55</v>
      </c>
      <c r="E305" s="8" t="s">
        <v>132</v>
      </c>
      <c r="F305" s="8" t="s">
        <v>133</v>
      </c>
      <c r="G305" s="8" t="s">
        <v>144</v>
      </c>
      <c r="H305" s="15" t="n">
        <v>5400</v>
      </c>
      <c r="I305" s="15" t="n">
        <v>5400</v>
      </c>
      <c r="J305" s="16" t="n">
        <v>0.936</v>
      </c>
      <c r="K305" s="8" t="n">
        <v>12</v>
      </c>
      <c r="L305" s="8" t="n">
        <v>10</v>
      </c>
      <c r="M305" s="8" t="n">
        <v>1</v>
      </c>
      <c r="N305" s="8" t="s">
        <v>120</v>
      </c>
      <c r="O305" s="15" t="n">
        <f aca="false">H305*12</f>
        <v>64800</v>
      </c>
      <c r="P305" s="8" t="n">
        <f aca="false">MIN(100,ROUND(100*J305/Assumptions!$B$8,0))</f>
        <v>100</v>
      </c>
      <c r="Q305" s="8" t="n">
        <f aca="false">IF(L305="",Assumptions!$B$9,L305*10)</f>
        <v>100</v>
      </c>
      <c r="R305" s="8" t="n">
        <f aca="false">IF(M305&lt;=1,Assumptions!$B$12,IF(M305&lt;=3,Assumptions!$B$13,IF(M305&lt;=6,Assumptions!$B$14,Assumptions!$B$15)))</f>
        <v>100</v>
      </c>
      <c r="S305" s="8" t="n">
        <f aca="false">IF(N305="Completed On Time",Assumptions!$B$16,IF(N305="Completed Late",Assumptions!$B$17,Assumptions!$B$18))</f>
        <v>100</v>
      </c>
      <c r="T305" s="8" t="n">
        <f aca="false">IF(I305=0,Assumptions!$B$20,IF(H305&gt;I305,Assumptions!$B$19,IF(H305=I305,Assumptions!$B$20,Assumptions!$B$21)))</f>
        <v>70</v>
      </c>
      <c r="U305" s="8" t="n">
        <f aca="false">ROUND(P305*Assumptions!$B$2+Q305*Assumptions!$B$3+R305*Assumptions!$B$4+S305*Assumptions!$B$5+T305*Assumptions!$B$6,0)</f>
        <v>94</v>
      </c>
      <c r="V305" s="8" t="str">
        <f aca="false">IF(U305&gt;=Assumptions!$B$10,"Healthy",IF(U305&gt;=Assumptions!$B$11,"Needs Attention","High Risk"))</f>
        <v>Healthy</v>
      </c>
    </row>
    <row r="306" customFormat="false" ht="15" hidden="false" customHeight="false" outlineLevel="0" collapsed="false">
      <c r="A306" s="8" t="s">
        <v>753</v>
      </c>
      <c r="B306" s="8" t="s">
        <v>754</v>
      </c>
      <c r="C306" s="8" t="s">
        <v>53</v>
      </c>
      <c r="D306" s="8" t="s">
        <v>326</v>
      </c>
      <c r="E306" s="8" t="s">
        <v>123</v>
      </c>
      <c r="F306" s="8" t="s">
        <v>124</v>
      </c>
      <c r="G306" s="8" t="s">
        <v>204</v>
      </c>
      <c r="H306" s="15" t="n">
        <v>5375</v>
      </c>
      <c r="I306" s="15" t="n">
        <v>5375</v>
      </c>
      <c r="J306" s="16" t="n">
        <v>0.862</v>
      </c>
      <c r="K306" s="8" t="n">
        <v>12</v>
      </c>
      <c r="L306" s="8" t="n">
        <v>10</v>
      </c>
      <c r="M306" s="8" t="n">
        <v>1</v>
      </c>
      <c r="N306" s="8" t="s">
        <v>120</v>
      </c>
      <c r="O306" s="15" t="n">
        <f aca="false">H306*12</f>
        <v>64500</v>
      </c>
      <c r="P306" s="8" t="n">
        <f aca="false">MIN(100,ROUND(100*J306/Assumptions!$B$8,0))</f>
        <v>96</v>
      </c>
      <c r="Q306" s="8" t="n">
        <f aca="false">IF(L306="",Assumptions!$B$9,L306*10)</f>
        <v>100</v>
      </c>
      <c r="R306" s="8" t="n">
        <f aca="false">IF(M306&lt;=1,Assumptions!$B$12,IF(M306&lt;=3,Assumptions!$B$13,IF(M306&lt;=6,Assumptions!$B$14,Assumptions!$B$15)))</f>
        <v>100</v>
      </c>
      <c r="S306" s="8" t="n">
        <f aca="false">IF(N306="Completed On Time",Assumptions!$B$16,IF(N306="Completed Late",Assumptions!$B$17,Assumptions!$B$18))</f>
        <v>100</v>
      </c>
      <c r="T306" s="8" t="n">
        <f aca="false">IF(I306=0,Assumptions!$B$20,IF(H306&gt;I306,Assumptions!$B$19,IF(H306=I306,Assumptions!$B$20,Assumptions!$B$21)))</f>
        <v>70</v>
      </c>
      <c r="U306" s="8" t="n">
        <f aca="false">ROUND(P306*Assumptions!$B$2+Q306*Assumptions!$B$3+R306*Assumptions!$B$4+S306*Assumptions!$B$5+T306*Assumptions!$B$6,0)</f>
        <v>93</v>
      </c>
      <c r="V306" s="8" t="str">
        <f aca="false">IF(U306&gt;=Assumptions!$B$10,"Healthy",IF(U306&gt;=Assumptions!$B$11,"Needs Attention","High Risk"))</f>
        <v>Healthy</v>
      </c>
    </row>
    <row r="307" customFormat="false" ht="15" hidden="false" customHeight="false" outlineLevel="0" collapsed="false">
      <c r="A307" s="8" t="s">
        <v>755</v>
      </c>
      <c r="B307" s="8" t="s">
        <v>756</v>
      </c>
      <c r="C307" s="8" t="s">
        <v>53</v>
      </c>
      <c r="D307" s="8" t="s">
        <v>326</v>
      </c>
      <c r="E307" s="8" t="s">
        <v>123</v>
      </c>
      <c r="F307" s="8" t="s">
        <v>166</v>
      </c>
      <c r="G307" s="8" t="s">
        <v>180</v>
      </c>
      <c r="H307" s="15" t="n">
        <v>5325</v>
      </c>
      <c r="I307" s="15" t="n">
        <v>5325</v>
      </c>
      <c r="J307" s="16" t="n">
        <v>0.768</v>
      </c>
      <c r="K307" s="8" t="n">
        <v>7.7</v>
      </c>
      <c r="L307" s="8" t="n">
        <v>10</v>
      </c>
      <c r="M307" s="8" t="n">
        <v>5</v>
      </c>
      <c r="N307" s="8" t="s">
        <v>120</v>
      </c>
      <c r="O307" s="15" t="n">
        <f aca="false">H307*12</f>
        <v>63900</v>
      </c>
      <c r="P307" s="8" t="n">
        <f aca="false">MIN(100,ROUND(100*J307/Assumptions!$B$8,0))</f>
        <v>85</v>
      </c>
      <c r="Q307" s="8" t="n">
        <f aca="false">IF(L307="",Assumptions!$B$9,L307*10)</f>
        <v>100</v>
      </c>
      <c r="R307" s="8" t="n">
        <f aca="false">IF(M307&lt;=1,Assumptions!$B$12,IF(M307&lt;=3,Assumptions!$B$13,IF(M307&lt;=6,Assumptions!$B$14,Assumptions!$B$15)))</f>
        <v>50</v>
      </c>
      <c r="S307" s="8" t="n">
        <f aca="false">IF(N307="Completed On Time",Assumptions!$B$16,IF(N307="Completed Late",Assumptions!$B$17,Assumptions!$B$18))</f>
        <v>100</v>
      </c>
      <c r="T307" s="8" t="n">
        <f aca="false">IF(I307=0,Assumptions!$B$20,IF(H307&gt;I307,Assumptions!$B$19,IF(H307=I307,Assumptions!$B$20,Assumptions!$B$21)))</f>
        <v>70</v>
      </c>
      <c r="U307" s="8" t="n">
        <f aca="false">ROUND(P307*Assumptions!$B$2+Q307*Assumptions!$B$3+R307*Assumptions!$B$4+S307*Assumptions!$B$5+T307*Assumptions!$B$6,0)</f>
        <v>81</v>
      </c>
      <c r="V307" s="8" t="str">
        <f aca="false">IF(U307&gt;=Assumptions!$B$10,"Healthy",IF(U307&gt;=Assumptions!$B$11,"Needs Attention","High Risk"))</f>
        <v>Healthy</v>
      </c>
    </row>
    <row r="308" customFormat="false" ht="15" hidden="false" customHeight="false" outlineLevel="0" collapsed="false">
      <c r="A308" s="8" t="s">
        <v>757</v>
      </c>
      <c r="B308" s="8" t="s">
        <v>758</v>
      </c>
      <c r="C308" s="8" t="s">
        <v>53</v>
      </c>
      <c r="D308" s="8" t="s">
        <v>55</v>
      </c>
      <c r="E308" s="8" t="s">
        <v>128</v>
      </c>
      <c r="F308" s="8" t="s">
        <v>151</v>
      </c>
      <c r="G308" s="8" t="s">
        <v>144</v>
      </c>
      <c r="H308" s="15" t="n">
        <v>5310</v>
      </c>
      <c r="I308" s="15" t="n">
        <v>5310</v>
      </c>
      <c r="J308" s="16" t="n">
        <v>0.698</v>
      </c>
      <c r="K308" s="8" t="n">
        <v>8.3</v>
      </c>
      <c r="L308" s="8" t="n">
        <v>6</v>
      </c>
      <c r="M308" s="8" t="n">
        <v>4</v>
      </c>
      <c r="N308" s="8" t="s">
        <v>120</v>
      </c>
      <c r="O308" s="15" t="n">
        <f aca="false">H308*12</f>
        <v>63720</v>
      </c>
      <c r="P308" s="8" t="n">
        <f aca="false">MIN(100,ROUND(100*J308/Assumptions!$B$8,0))</f>
        <v>78</v>
      </c>
      <c r="Q308" s="8" t="n">
        <f aca="false">IF(L308="",Assumptions!$B$9,L308*10)</f>
        <v>60</v>
      </c>
      <c r="R308" s="8" t="n">
        <f aca="false">IF(M308&lt;=1,Assumptions!$B$12,IF(M308&lt;=3,Assumptions!$B$13,IF(M308&lt;=6,Assumptions!$B$14,Assumptions!$B$15)))</f>
        <v>50</v>
      </c>
      <c r="S308" s="8" t="n">
        <f aca="false">IF(N308="Completed On Time",Assumptions!$B$16,IF(N308="Completed Late",Assumptions!$B$17,Assumptions!$B$18))</f>
        <v>100</v>
      </c>
      <c r="T308" s="8" t="n">
        <f aca="false">IF(I308=0,Assumptions!$B$20,IF(H308&gt;I308,Assumptions!$B$19,IF(H308=I308,Assumptions!$B$20,Assumptions!$B$21)))</f>
        <v>70</v>
      </c>
      <c r="U308" s="8" t="n">
        <f aca="false">ROUND(P308*Assumptions!$B$2+Q308*Assumptions!$B$3+R308*Assumptions!$B$4+S308*Assumptions!$B$5+T308*Assumptions!$B$6,0)</f>
        <v>71</v>
      </c>
      <c r="V308" s="8" t="str">
        <f aca="false">IF(U308&gt;=Assumptions!$B$10,"Healthy",IF(U308&gt;=Assumptions!$B$11,"Needs Attention","High Risk"))</f>
        <v>Needs Attention</v>
      </c>
    </row>
    <row r="309" customFormat="false" ht="15" hidden="false" customHeight="false" outlineLevel="0" collapsed="false">
      <c r="A309" s="8" t="s">
        <v>759</v>
      </c>
      <c r="B309" s="8" t="s">
        <v>760</v>
      </c>
      <c r="C309" s="8" t="s">
        <v>53</v>
      </c>
      <c r="D309" s="8" t="s">
        <v>326</v>
      </c>
      <c r="E309" s="8" t="s">
        <v>123</v>
      </c>
      <c r="F309" s="8" t="s">
        <v>223</v>
      </c>
      <c r="G309" s="8" t="s">
        <v>140</v>
      </c>
      <c r="H309" s="15" t="n">
        <v>5300</v>
      </c>
      <c r="I309" s="15" t="n">
        <v>4200</v>
      </c>
      <c r="J309" s="16" t="n">
        <v>0.686</v>
      </c>
      <c r="K309" s="8" t="n">
        <v>7.7</v>
      </c>
      <c r="L309" s="8" t="n">
        <v>8</v>
      </c>
      <c r="M309" s="8" t="n">
        <v>3</v>
      </c>
      <c r="N309" s="8" t="s">
        <v>120</v>
      </c>
      <c r="O309" s="15" t="n">
        <f aca="false">H309*12</f>
        <v>63600</v>
      </c>
      <c r="P309" s="8" t="n">
        <f aca="false">MIN(100,ROUND(100*J309/Assumptions!$B$8,0))</f>
        <v>76</v>
      </c>
      <c r="Q309" s="8" t="n">
        <f aca="false">IF(L309="",Assumptions!$B$9,L309*10)</f>
        <v>80</v>
      </c>
      <c r="R309" s="8" t="n">
        <f aca="false">IF(M309&lt;=1,Assumptions!$B$12,IF(M309&lt;=3,Assumptions!$B$13,IF(M309&lt;=6,Assumptions!$B$14,Assumptions!$B$15)))</f>
        <v>75</v>
      </c>
      <c r="S309" s="8" t="n">
        <f aca="false">IF(N309="Completed On Time",Assumptions!$B$16,IF(N309="Completed Late",Assumptions!$B$17,Assumptions!$B$18))</f>
        <v>100</v>
      </c>
      <c r="T309" s="8" t="n">
        <f aca="false">IF(I309=0,Assumptions!$B$20,IF(H309&gt;I309,Assumptions!$B$19,IF(H309=I309,Assumptions!$B$20,Assumptions!$B$21)))</f>
        <v>100</v>
      </c>
      <c r="U309" s="8" t="n">
        <f aca="false">ROUND(P309*Assumptions!$B$2+Q309*Assumptions!$B$3+R309*Assumptions!$B$4+S309*Assumptions!$B$5+T309*Assumptions!$B$6,0)</f>
        <v>84</v>
      </c>
      <c r="V309" s="8" t="str">
        <f aca="false">IF(U309&gt;=Assumptions!$B$10,"Healthy",IF(U309&gt;=Assumptions!$B$11,"Needs Attention","High Risk"))</f>
        <v>Healthy</v>
      </c>
    </row>
    <row r="310" customFormat="false" ht="15" hidden="false" customHeight="false" outlineLevel="0" collapsed="false">
      <c r="A310" s="8" t="s">
        <v>761</v>
      </c>
      <c r="B310" s="8" t="s">
        <v>762</v>
      </c>
      <c r="C310" s="8" t="s">
        <v>55</v>
      </c>
      <c r="D310" s="8" t="s">
        <v>326</v>
      </c>
      <c r="E310" s="8" t="s">
        <v>117</v>
      </c>
      <c r="F310" s="8" t="s">
        <v>133</v>
      </c>
      <c r="G310" s="8" t="s">
        <v>204</v>
      </c>
      <c r="H310" s="15" t="n">
        <v>5275</v>
      </c>
      <c r="I310" s="15" t="n">
        <v>5275</v>
      </c>
      <c r="J310" s="16" t="n">
        <v>0.679</v>
      </c>
      <c r="K310" s="8" t="n">
        <v>4</v>
      </c>
      <c r="L310" s="8" t="n">
        <v>7</v>
      </c>
      <c r="M310" s="8" t="n">
        <v>6</v>
      </c>
      <c r="N310" s="8" t="s">
        <v>120</v>
      </c>
      <c r="O310" s="15" t="n">
        <f aca="false">H310*12</f>
        <v>63300</v>
      </c>
      <c r="P310" s="8" t="n">
        <f aca="false">MIN(100,ROUND(100*J310/Assumptions!$B$8,0))</f>
        <v>75</v>
      </c>
      <c r="Q310" s="8" t="n">
        <f aca="false">IF(L310="",Assumptions!$B$9,L310*10)</f>
        <v>70</v>
      </c>
      <c r="R310" s="8" t="n">
        <f aca="false">IF(M310&lt;=1,Assumptions!$B$12,IF(M310&lt;=3,Assumptions!$B$13,IF(M310&lt;=6,Assumptions!$B$14,Assumptions!$B$15)))</f>
        <v>50</v>
      </c>
      <c r="S310" s="8" t="n">
        <f aca="false">IF(N310="Completed On Time",Assumptions!$B$16,IF(N310="Completed Late",Assumptions!$B$17,Assumptions!$B$18))</f>
        <v>100</v>
      </c>
      <c r="T310" s="8" t="n">
        <f aca="false">IF(I310=0,Assumptions!$B$20,IF(H310&gt;I310,Assumptions!$B$19,IF(H310=I310,Assumptions!$B$20,Assumptions!$B$21)))</f>
        <v>70</v>
      </c>
      <c r="U310" s="8" t="n">
        <f aca="false">ROUND(P310*Assumptions!$B$2+Q310*Assumptions!$B$3+R310*Assumptions!$B$4+S310*Assumptions!$B$5+T310*Assumptions!$B$6,0)</f>
        <v>72</v>
      </c>
      <c r="V310" s="8" t="str">
        <f aca="false">IF(U310&gt;=Assumptions!$B$10,"Healthy",IF(U310&gt;=Assumptions!$B$11,"Needs Attention","High Risk"))</f>
        <v>Needs Attention</v>
      </c>
    </row>
    <row r="311" customFormat="false" ht="15" hidden="false" customHeight="false" outlineLevel="0" collapsed="false">
      <c r="A311" s="8" t="s">
        <v>763</v>
      </c>
      <c r="B311" s="8" t="s">
        <v>764</v>
      </c>
      <c r="C311" s="8" t="s">
        <v>53</v>
      </c>
      <c r="D311" s="8" t="s">
        <v>326</v>
      </c>
      <c r="E311" s="8" t="s">
        <v>123</v>
      </c>
      <c r="F311" s="8" t="s">
        <v>136</v>
      </c>
      <c r="G311" s="8" t="s">
        <v>147</v>
      </c>
      <c r="H311" s="15" t="n">
        <v>5250</v>
      </c>
      <c r="I311" s="15" t="n">
        <v>5250</v>
      </c>
      <c r="J311" s="16" t="n">
        <v>0.837</v>
      </c>
      <c r="K311" s="8" t="n">
        <v>11.3</v>
      </c>
      <c r="L311" s="8" t="n">
        <v>9</v>
      </c>
      <c r="M311" s="8" t="n">
        <v>2</v>
      </c>
      <c r="N311" s="8" t="s">
        <v>120</v>
      </c>
      <c r="O311" s="15" t="n">
        <f aca="false">H311*12</f>
        <v>63000</v>
      </c>
      <c r="P311" s="8" t="n">
        <f aca="false">MIN(100,ROUND(100*J311/Assumptions!$B$8,0))</f>
        <v>93</v>
      </c>
      <c r="Q311" s="8" t="n">
        <f aca="false">IF(L311="",Assumptions!$B$9,L311*10)</f>
        <v>90</v>
      </c>
      <c r="R311" s="8" t="n">
        <f aca="false">IF(M311&lt;=1,Assumptions!$B$12,IF(M311&lt;=3,Assumptions!$B$13,IF(M311&lt;=6,Assumptions!$B$14,Assumptions!$B$15)))</f>
        <v>75</v>
      </c>
      <c r="S311" s="8" t="n">
        <f aca="false">IF(N311="Completed On Time",Assumptions!$B$16,IF(N311="Completed Late",Assumptions!$B$17,Assumptions!$B$18))</f>
        <v>100</v>
      </c>
      <c r="T311" s="8" t="n">
        <f aca="false">IF(I311=0,Assumptions!$B$20,IF(H311&gt;I311,Assumptions!$B$19,IF(H311=I311,Assumptions!$B$20,Assumptions!$B$21)))</f>
        <v>70</v>
      </c>
      <c r="U311" s="8" t="n">
        <f aca="false">ROUND(P311*Assumptions!$B$2+Q311*Assumptions!$B$3+R311*Assumptions!$B$4+S311*Assumptions!$B$5+T311*Assumptions!$B$6,0)</f>
        <v>86</v>
      </c>
      <c r="V311" s="8" t="str">
        <f aca="false">IF(U311&gt;=Assumptions!$B$10,"Healthy",IF(U311&gt;=Assumptions!$B$11,"Needs Attention","High Risk"))</f>
        <v>Healthy</v>
      </c>
    </row>
    <row r="312" customFormat="false" ht="15" hidden="false" customHeight="false" outlineLevel="0" collapsed="false">
      <c r="A312" s="8" t="s">
        <v>765</v>
      </c>
      <c r="B312" s="8" t="s">
        <v>766</v>
      </c>
      <c r="C312" s="8" t="s">
        <v>53</v>
      </c>
      <c r="D312" s="8" t="s">
        <v>326</v>
      </c>
      <c r="E312" s="8" t="s">
        <v>123</v>
      </c>
      <c r="F312" s="8" t="s">
        <v>136</v>
      </c>
      <c r="G312" s="8" t="s">
        <v>144</v>
      </c>
      <c r="H312" s="15" t="n">
        <v>5200</v>
      </c>
      <c r="I312" s="15" t="n">
        <v>5200</v>
      </c>
      <c r="J312" s="16" t="n">
        <v>0.777</v>
      </c>
      <c r="K312" s="8" t="n">
        <v>9.3</v>
      </c>
      <c r="L312" s="8" t="n">
        <v>10</v>
      </c>
      <c r="M312" s="8" t="n">
        <v>4</v>
      </c>
      <c r="N312" s="8" t="s">
        <v>120</v>
      </c>
      <c r="O312" s="15" t="n">
        <f aca="false">H312*12</f>
        <v>62400</v>
      </c>
      <c r="P312" s="8" t="n">
        <f aca="false">MIN(100,ROUND(100*J312/Assumptions!$B$8,0))</f>
        <v>86</v>
      </c>
      <c r="Q312" s="8" t="n">
        <f aca="false">IF(L312="",Assumptions!$B$9,L312*10)</f>
        <v>100</v>
      </c>
      <c r="R312" s="8" t="n">
        <f aca="false">IF(M312&lt;=1,Assumptions!$B$12,IF(M312&lt;=3,Assumptions!$B$13,IF(M312&lt;=6,Assumptions!$B$14,Assumptions!$B$15)))</f>
        <v>50</v>
      </c>
      <c r="S312" s="8" t="n">
        <f aca="false">IF(N312="Completed On Time",Assumptions!$B$16,IF(N312="Completed Late",Assumptions!$B$17,Assumptions!$B$18))</f>
        <v>100</v>
      </c>
      <c r="T312" s="8" t="n">
        <f aca="false">IF(I312=0,Assumptions!$B$20,IF(H312&gt;I312,Assumptions!$B$19,IF(H312=I312,Assumptions!$B$20,Assumptions!$B$21)))</f>
        <v>70</v>
      </c>
      <c r="U312" s="8" t="n">
        <f aca="false">ROUND(P312*Assumptions!$B$2+Q312*Assumptions!$B$3+R312*Assumptions!$B$4+S312*Assumptions!$B$5+T312*Assumptions!$B$6,0)</f>
        <v>82</v>
      </c>
      <c r="V312" s="8" t="str">
        <f aca="false">IF(U312&gt;=Assumptions!$B$10,"Healthy",IF(U312&gt;=Assumptions!$B$11,"Needs Attention","High Risk"))</f>
        <v>Healthy</v>
      </c>
    </row>
    <row r="313" customFormat="false" ht="15" hidden="false" customHeight="false" outlineLevel="0" collapsed="false">
      <c r="A313" s="8" t="s">
        <v>767</v>
      </c>
      <c r="B313" s="8" t="s">
        <v>768</v>
      </c>
      <c r="C313" s="8" t="s">
        <v>53</v>
      </c>
      <c r="D313" s="8" t="s">
        <v>326</v>
      </c>
      <c r="E313" s="8" t="s">
        <v>123</v>
      </c>
      <c r="F313" s="8" t="s">
        <v>154</v>
      </c>
      <c r="G313" s="8" t="s">
        <v>147</v>
      </c>
      <c r="H313" s="15" t="n">
        <v>5175</v>
      </c>
      <c r="I313" s="15" t="n">
        <v>6325</v>
      </c>
      <c r="J313" s="16" t="n">
        <v>0.654</v>
      </c>
      <c r="K313" s="8" t="n">
        <v>8.7</v>
      </c>
      <c r="L313" s="8" t="n">
        <v>9</v>
      </c>
      <c r="M313" s="8" t="n">
        <v>5</v>
      </c>
      <c r="N313" s="8" t="s">
        <v>148</v>
      </c>
      <c r="O313" s="15" t="n">
        <f aca="false">H313*12</f>
        <v>62100</v>
      </c>
      <c r="P313" s="8" t="n">
        <f aca="false">MIN(100,ROUND(100*J313/Assumptions!$B$8,0))</f>
        <v>73</v>
      </c>
      <c r="Q313" s="8" t="n">
        <f aca="false">IF(L313="",Assumptions!$B$9,L313*10)</f>
        <v>90</v>
      </c>
      <c r="R313" s="8" t="n">
        <f aca="false">IF(M313&lt;=1,Assumptions!$B$12,IF(M313&lt;=3,Assumptions!$B$13,IF(M313&lt;=6,Assumptions!$B$14,Assumptions!$B$15)))</f>
        <v>50</v>
      </c>
      <c r="S313" s="8" t="n">
        <f aca="false">IF(N313="Completed On Time",Assumptions!$B$16,IF(N313="Completed Late",Assumptions!$B$17,Assumptions!$B$18))</f>
        <v>60</v>
      </c>
      <c r="T313" s="8" t="n">
        <f aca="false">IF(I313=0,Assumptions!$B$20,IF(H313&gt;I313,Assumptions!$B$19,IF(H313=I313,Assumptions!$B$20,Assumptions!$B$21)))</f>
        <v>30</v>
      </c>
      <c r="U313" s="8" t="n">
        <f aca="false">ROUND(P313*Assumptions!$B$2+Q313*Assumptions!$B$3+R313*Assumptions!$B$4+S313*Assumptions!$B$5+T313*Assumptions!$B$6,0)</f>
        <v>63</v>
      </c>
      <c r="V313" s="8" t="str">
        <f aca="false">IF(U313&gt;=Assumptions!$B$10,"Healthy",IF(U313&gt;=Assumptions!$B$11,"Needs Attention","High Risk"))</f>
        <v>High Risk</v>
      </c>
    </row>
    <row r="314" customFormat="false" ht="15" hidden="false" customHeight="false" outlineLevel="0" collapsed="false">
      <c r="A314" s="8" t="s">
        <v>769</v>
      </c>
      <c r="B314" s="8" t="s">
        <v>770</v>
      </c>
      <c r="C314" s="8" t="s">
        <v>53</v>
      </c>
      <c r="D314" s="8" t="s">
        <v>326</v>
      </c>
      <c r="E314" s="8" t="s">
        <v>128</v>
      </c>
      <c r="F314" s="8" t="s">
        <v>166</v>
      </c>
      <c r="G314" s="8" t="s">
        <v>144</v>
      </c>
      <c r="H314" s="15" t="n">
        <v>5175</v>
      </c>
      <c r="I314" s="15" t="n">
        <v>5175</v>
      </c>
      <c r="J314" s="16" t="n">
        <v>0.683</v>
      </c>
      <c r="K314" s="8" t="n">
        <v>8.7</v>
      </c>
      <c r="L314" s="8" t="n">
        <v>7</v>
      </c>
      <c r="M314" s="8" t="n">
        <v>4</v>
      </c>
      <c r="N314" s="8" t="s">
        <v>120</v>
      </c>
      <c r="O314" s="15" t="n">
        <f aca="false">H314*12</f>
        <v>62100</v>
      </c>
      <c r="P314" s="8" t="n">
        <f aca="false">MIN(100,ROUND(100*J314/Assumptions!$B$8,0))</f>
        <v>76</v>
      </c>
      <c r="Q314" s="8" t="n">
        <f aca="false">IF(L314="",Assumptions!$B$9,L314*10)</f>
        <v>70</v>
      </c>
      <c r="R314" s="8" t="n">
        <f aca="false">IF(M314&lt;=1,Assumptions!$B$12,IF(M314&lt;=3,Assumptions!$B$13,IF(M314&lt;=6,Assumptions!$B$14,Assumptions!$B$15)))</f>
        <v>50</v>
      </c>
      <c r="S314" s="8" t="n">
        <f aca="false">IF(N314="Completed On Time",Assumptions!$B$16,IF(N314="Completed Late",Assumptions!$B$17,Assumptions!$B$18))</f>
        <v>100</v>
      </c>
      <c r="T314" s="8" t="n">
        <f aca="false">IF(I314=0,Assumptions!$B$20,IF(H314&gt;I314,Assumptions!$B$19,IF(H314=I314,Assumptions!$B$20,Assumptions!$B$21)))</f>
        <v>70</v>
      </c>
      <c r="U314" s="8" t="n">
        <f aca="false">ROUND(P314*Assumptions!$B$2+Q314*Assumptions!$B$3+R314*Assumptions!$B$4+S314*Assumptions!$B$5+T314*Assumptions!$B$6,0)</f>
        <v>72</v>
      </c>
      <c r="V314" s="8" t="str">
        <f aca="false">IF(U314&gt;=Assumptions!$B$10,"Healthy",IF(U314&gt;=Assumptions!$B$11,"Needs Attention","High Risk"))</f>
        <v>Needs Attention</v>
      </c>
    </row>
    <row r="315" customFormat="false" ht="15" hidden="false" customHeight="false" outlineLevel="0" collapsed="false">
      <c r="A315" s="8" t="s">
        <v>771</v>
      </c>
      <c r="B315" s="8" t="s">
        <v>772</v>
      </c>
      <c r="C315" s="8" t="s">
        <v>53</v>
      </c>
      <c r="D315" s="8" t="s">
        <v>326</v>
      </c>
      <c r="E315" s="8" t="s">
        <v>123</v>
      </c>
      <c r="F315" s="8" t="s">
        <v>223</v>
      </c>
      <c r="G315" s="8" t="s">
        <v>147</v>
      </c>
      <c r="H315" s="15" t="n">
        <v>5175</v>
      </c>
      <c r="I315" s="15" t="n">
        <v>4750</v>
      </c>
      <c r="J315" s="16" t="n">
        <v>0.755</v>
      </c>
      <c r="K315" s="8" t="n">
        <v>8.7</v>
      </c>
      <c r="L315" s="8" t="n">
        <v>10</v>
      </c>
      <c r="M315" s="8" t="n">
        <v>3</v>
      </c>
      <c r="N315" s="8" t="s">
        <v>120</v>
      </c>
      <c r="O315" s="15" t="n">
        <f aca="false">H315*12</f>
        <v>62100</v>
      </c>
      <c r="P315" s="8" t="n">
        <f aca="false">MIN(100,ROUND(100*J315/Assumptions!$B$8,0))</f>
        <v>84</v>
      </c>
      <c r="Q315" s="8" t="n">
        <f aca="false">IF(L315="",Assumptions!$B$9,L315*10)</f>
        <v>100</v>
      </c>
      <c r="R315" s="8" t="n">
        <f aca="false">IF(M315&lt;=1,Assumptions!$B$12,IF(M315&lt;=3,Assumptions!$B$13,IF(M315&lt;=6,Assumptions!$B$14,Assumptions!$B$15)))</f>
        <v>75</v>
      </c>
      <c r="S315" s="8" t="n">
        <f aca="false">IF(N315="Completed On Time",Assumptions!$B$16,IF(N315="Completed Late",Assumptions!$B$17,Assumptions!$B$18))</f>
        <v>100</v>
      </c>
      <c r="T315" s="8" t="n">
        <f aca="false">IF(I315=0,Assumptions!$B$20,IF(H315&gt;I315,Assumptions!$B$19,IF(H315=I315,Assumptions!$B$20,Assumptions!$B$21)))</f>
        <v>100</v>
      </c>
      <c r="U315" s="8" t="n">
        <f aca="false">ROUND(P315*Assumptions!$B$2+Q315*Assumptions!$B$3+R315*Assumptions!$B$4+S315*Assumptions!$B$5+T315*Assumptions!$B$6,0)</f>
        <v>91</v>
      </c>
      <c r="V315" s="8" t="str">
        <f aca="false">IF(U315&gt;=Assumptions!$B$10,"Healthy",IF(U315&gt;=Assumptions!$B$11,"Needs Attention","High Risk"))</f>
        <v>Healthy</v>
      </c>
    </row>
    <row r="316" customFormat="false" ht="15" hidden="false" customHeight="false" outlineLevel="0" collapsed="false">
      <c r="A316" s="8" t="s">
        <v>773</v>
      </c>
      <c r="B316" s="8" t="s">
        <v>774</v>
      </c>
      <c r="C316" s="8" t="s">
        <v>53</v>
      </c>
      <c r="D316" s="8" t="s">
        <v>55</v>
      </c>
      <c r="E316" s="8" t="s">
        <v>123</v>
      </c>
      <c r="F316" s="8" t="s">
        <v>136</v>
      </c>
      <c r="G316" s="8" t="s">
        <v>147</v>
      </c>
      <c r="H316" s="15" t="n">
        <v>5040</v>
      </c>
      <c r="I316" s="15" t="n">
        <v>5040</v>
      </c>
      <c r="J316" s="16" t="n">
        <v>0.813</v>
      </c>
      <c r="K316" s="8" t="n">
        <v>11</v>
      </c>
      <c r="L316" s="8" t="n">
        <v>10</v>
      </c>
      <c r="M316" s="8" t="n">
        <v>2</v>
      </c>
      <c r="N316" s="8" t="s">
        <v>120</v>
      </c>
      <c r="O316" s="15" t="n">
        <f aca="false">H316*12</f>
        <v>60480</v>
      </c>
      <c r="P316" s="8" t="n">
        <f aca="false">MIN(100,ROUND(100*J316/Assumptions!$B$8,0))</f>
        <v>90</v>
      </c>
      <c r="Q316" s="8" t="n">
        <f aca="false">IF(L316="",Assumptions!$B$9,L316*10)</f>
        <v>100</v>
      </c>
      <c r="R316" s="8" t="n">
        <f aca="false">IF(M316&lt;=1,Assumptions!$B$12,IF(M316&lt;=3,Assumptions!$B$13,IF(M316&lt;=6,Assumptions!$B$14,Assumptions!$B$15)))</f>
        <v>75</v>
      </c>
      <c r="S316" s="8" t="n">
        <f aca="false">IF(N316="Completed On Time",Assumptions!$B$16,IF(N316="Completed Late",Assumptions!$B$17,Assumptions!$B$18))</f>
        <v>100</v>
      </c>
      <c r="T316" s="8" t="n">
        <f aca="false">IF(I316=0,Assumptions!$B$20,IF(H316&gt;I316,Assumptions!$B$19,IF(H316=I316,Assumptions!$B$20,Assumptions!$B$21)))</f>
        <v>70</v>
      </c>
      <c r="U316" s="8" t="n">
        <f aca="false">ROUND(P316*Assumptions!$B$2+Q316*Assumptions!$B$3+R316*Assumptions!$B$4+S316*Assumptions!$B$5+T316*Assumptions!$B$6,0)</f>
        <v>87</v>
      </c>
      <c r="V316" s="8" t="str">
        <f aca="false">IF(U316&gt;=Assumptions!$B$10,"Healthy",IF(U316&gt;=Assumptions!$B$11,"Needs Attention","High Risk"))</f>
        <v>Healthy</v>
      </c>
    </row>
    <row r="317" customFormat="false" ht="15" hidden="false" customHeight="false" outlineLevel="0" collapsed="false">
      <c r="A317" s="8" t="s">
        <v>775</v>
      </c>
      <c r="B317" s="8" t="s">
        <v>776</v>
      </c>
      <c r="C317" s="8" t="s">
        <v>53</v>
      </c>
      <c r="D317" s="8" t="s">
        <v>326</v>
      </c>
      <c r="E317" s="8" t="s">
        <v>123</v>
      </c>
      <c r="F317" s="8" t="s">
        <v>166</v>
      </c>
      <c r="G317" s="8" t="s">
        <v>180</v>
      </c>
      <c r="H317" s="15" t="n">
        <v>5025</v>
      </c>
      <c r="I317" s="15" t="n">
        <v>4175</v>
      </c>
      <c r="J317" s="16" t="n">
        <v>0.532</v>
      </c>
      <c r="K317" s="8" t="n">
        <v>6</v>
      </c>
      <c r="L317" s="8" t="n">
        <v>4</v>
      </c>
      <c r="M317" s="8" t="n">
        <v>4</v>
      </c>
      <c r="N317" s="8" t="s">
        <v>148</v>
      </c>
      <c r="O317" s="15" t="n">
        <f aca="false">H317*12</f>
        <v>60300</v>
      </c>
      <c r="P317" s="8" t="n">
        <f aca="false">MIN(100,ROUND(100*J317/Assumptions!$B$8,0))</f>
        <v>59</v>
      </c>
      <c r="Q317" s="8" t="n">
        <f aca="false">IF(L317="",Assumptions!$B$9,L317*10)</f>
        <v>40</v>
      </c>
      <c r="R317" s="8" t="n">
        <f aca="false">IF(M317&lt;=1,Assumptions!$B$12,IF(M317&lt;=3,Assumptions!$B$13,IF(M317&lt;=6,Assumptions!$B$14,Assumptions!$B$15)))</f>
        <v>50</v>
      </c>
      <c r="S317" s="8" t="n">
        <f aca="false">IF(N317="Completed On Time",Assumptions!$B$16,IF(N317="Completed Late",Assumptions!$B$17,Assumptions!$B$18))</f>
        <v>60</v>
      </c>
      <c r="T317" s="8" t="n">
        <f aca="false">IF(I317=0,Assumptions!$B$20,IF(H317&gt;I317,Assumptions!$B$19,IF(H317=I317,Assumptions!$B$20,Assumptions!$B$21)))</f>
        <v>100</v>
      </c>
      <c r="U317" s="8" t="n">
        <f aca="false">ROUND(P317*Assumptions!$B$2+Q317*Assumptions!$B$3+R317*Assumptions!$B$4+S317*Assumptions!$B$5+T317*Assumptions!$B$6,0)</f>
        <v>62</v>
      </c>
      <c r="V317" s="8" t="str">
        <f aca="false">IF(U317&gt;=Assumptions!$B$10,"Healthy",IF(U317&gt;=Assumptions!$B$11,"Needs Attention","High Risk"))</f>
        <v>High Risk</v>
      </c>
    </row>
    <row r="318" customFormat="false" ht="15" hidden="false" customHeight="false" outlineLevel="0" collapsed="false">
      <c r="A318" s="8" t="s">
        <v>777</v>
      </c>
      <c r="B318" s="8" t="s">
        <v>778</v>
      </c>
      <c r="C318" s="8" t="s">
        <v>53</v>
      </c>
      <c r="D318" s="8" t="s">
        <v>55</v>
      </c>
      <c r="E318" s="8" t="s">
        <v>123</v>
      </c>
      <c r="F318" s="8" t="s">
        <v>166</v>
      </c>
      <c r="G318" s="8" t="s">
        <v>180</v>
      </c>
      <c r="H318" s="15" t="n">
        <v>4995</v>
      </c>
      <c r="I318" s="15" t="n">
        <v>4995</v>
      </c>
      <c r="J318" s="16" t="n">
        <v>0.616</v>
      </c>
      <c r="K318" s="8" t="n">
        <v>8</v>
      </c>
      <c r="L318" s="8" t="n">
        <v>6</v>
      </c>
      <c r="M318" s="8" t="n">
        <v>7</v>
      </c>
      <c r="N318" s="8" t="s">
        <v>120</v>
      </c>
      <c r="O318" s="15" t="n">
        <f aca="false">H318*12</f>
        <v>59940</v>
      </c>
      <c r="P318" s="8" t="n">
        <f aca="false">MIN(100,ROUND(100*J318/Assumptions!$B$8,0))</f>
        <v>68</v>
      </c>
      <c r="Q318" s="8" t="n">
        <f aca="false">IF(L318="",Assumptions!$B$9,L318*10)</f>
        <v>60</v>
      </c>
      <c r="R318" s="8" t="n">
        <f aca="false">IF(M318&lt;=1,Assumptions!$B$12,IF(M318&lt;=3,Assumptions!$B$13,IF(M318&lt;=6,Assumptions!$B$14,Assumptions!$B$15)))</f>
        <v>20</v>
      </c>
      <c r="S318" s="8" t="n">
        <f aca="false">IF(N318="Completed On Time",Assumptions!$B$16,IF(N318="Completed Late",Assumptions!$B$17,Assumptions!$B$18))</f>
        <v>100</v>
      </c>
      <c r="T318" s="8" t="n">
        <f aca="false">IF(I318=0,Assumptions!$B$20,IF(H318&gt;I318,Assumptions!$B$19,IF(H318=I318,Assumptions!$B$20,Assumptions!$B$21)))</f>
        <v>70</v>
      </c>
      <c r="U318" s="8" t="n">
        <f aca="false">ROUND(P318*Assumptions!$B$2+Q318*Assumptions!$B$3+R318*Assumptions!$B$4+S318*Assumptions!$B$5+T318*Assumptions!$B$6,0)</f>
        <v>63</v>
      </c>
      <c r="V318" s="8" t="str">
        <f aca="false">IF(U318&gt;=Assumptions!$B$10,"Healthy",IF(U318&gt;=Assumptions!$B$11,"Needs Attention","High Risk"))</f>
        <v>High Risk</v>
      </c>
    </row>
    <row r="319" customFormat="false" ht="15" hidden="false" customHeight="false" outlineLevel="0" collapsed="false">
      <c r="A319" s="8" t="s">
        <v>779</v>
      </c>
      <c r="B319" s="8" t="s">
        <v>780</v>
      </c>
      <c r="C319" s="8" t="s">
        <v>53</v>
      </c>
      <c r="D319" s="8" t="s">
        <v>55</v>
      </c>
      <c r="E319" s="8" t="s">
        <v>128</v>
      </c>
      <c r="F319" s="8" t="s">
        <v>118</v>
      </c>
      <c r="G319" s="8" t="s">
        <v>204</v>
      </c>
      <c r="H319" s="15" t="n">
        <v>4995</v>
      </c>
      <c r="I319" s="15" t="n">
        <v>4995</v>
      </c>
      <c r="J319" s="16" t="n">
        <v>0.694</v>
      </c>
      <c r="K319" s="8" t="n">
        <v>6.7</v>
      </c>
      <c r="L319" s="8" t="n">
        <v>7</v>
      </c>
      <c r="M319" s="8" t="n">
        <v>6</v>
      </c>
      <c r="N319" s="8" t="s">
        <v>120</v>
      </c>
      <c r="O319" s="15" t="n">
        <f aca="false">H319*12</f>
        <v>59940</v>
      </c>
      <c r="P319" s="8" t="n">
        <f aca="false">MIN(100,ROUND(100*J319/Assumptions!$B$8,0))</f>
        <v>77</v>
      </c>
      <c r="Q319" s="8" t="n">
        <f aca="false">IF(L319="",Assumptions!$B$9,L319*10)</f>
        <v>70</v>
      </c>
      <c r="R319" s="8" t="n">
        <f aca="false">IF(M319&lt;=1,Assumptions!$B$12,IF(M319&lt;=3,Assumptions!$B$13,IF(M319&lt;=6,Assumptions!$B$14,Assumptions!$B$15)))</f>
        <v>50</v>
      </c>
      <c r="S319" s="8" t="n">
        <f aca="false">IF(N319="Completed On Time",Assumptions!$B$16,IF(N319="Completed Late",Assumptions!$B$17,Assumptions!$B$18))</f>
        <v>100</v>
      </c>
      <c r="T319" s="8" t="n">
        <f aca="false">IF(I319=0,Assumptions!$B$20,IF(H319&gt;I319,Assumptions!$B$19,IF(H319=I319,Assumptions!$B$20,Assumptions!$B$21)))</f>
        <v>70</v>
      </c>
      <c r="U319" s="8" t="n">
        <f aca="false">ROUND(P319*Assumptions!$B$2+Q319*Assumptions!$B$3+R319*Assumptions!$B$4+S319*Assumptions!$B$5+T319*Assumptions!$B$6,0)</f>
        <v>72</v>
      </c>
      <c r="V319" s="8" t="str">
        <f aca="false">IF(U319&gt;=Assumptions!$B$10,"Healthy",IF(U319&gt;=Assumptions!$B$11,"Needs Attention","High Risk"))</f>
        <v>Needs Attention</v>
      </c>
    </row>
    <row r="320" customFormat="false" ht="15" hidden="false" customHeight="false" outlineLevel="0" collapsed="false">
      <c r="A320" s="8" t="s">
        <v>781</v>
      </c>
      <c r="B320" s="8" t="s">
        <v>782</v>
      </c>
      <c r="C320" s="8" t="s">
        <v>53</v>
      </c>
      <c r="D320" s="8" t="s">
        <v>326</v>
      </c>
      <c r="E320" s="8" t="s">
        <v>117</v>
      </c>
      <c r="F320" s="8" t="s">
        <v>151</v>
      </c>
      <c r="G320" s="8" t="s">
        <v>137</v>
      </c>
      <c r="H320" s="15" t="n">
        <v>4975</v>
      </c>
      <c r="I320" s="15" t="n">
        <v>4975</v>
      </c>
      <c r="J320" s="16" t="n">
        <v>0.774</v>
      </c>
      <c r="K320" s="8" t="n">
        <v>10.3</v>
      </c>
      <c r="L320" s="8" t="n">
        <v>7</v>
      </c>
      <c r="M320" s="8" t="n">
        <v>7</v>
      </c>
      <c r="N320" s="8" t="s">
        <v>120</v>
      </c>
      <c r="O320" s="15" t="n">
        <f aca="false">H320*12</f>
        <v>59700</v>
      </c>
      <c r="P320" s="8" t="n">
        <f aca="false">MIN(100,ROUND(100*J320/Assumptions!$B$8,0))</f>
        <v>86</v>
      </c>
      <c r="Q320" s="8" t="n">
        <f aca="false">IF(L320="",Assumptions!$B$9,L320*10)</f>
        <v>70</v>
      </c>
      <c r="R320" s="8" t="n">
        <f aca="false">IF(M320&lt;=1,Assumptions!$B$12,IF(M320&lt;=3,Assumptions!$B$13,IF(M320&lt;=6,Assumptions!$B$14,Assumptions!$B$15)))</f>
        <v>20</v>
      </c>
      <c r="S320" s="8" t="n">
        <f aca="false">IF(N320="Completed On Time",Assumptions!$B$16,IF(N320="Completed Late",Assumptions!$B$17,Assumptions!$B$18))</f>
        <v>100</v>
      </c>
      <c r="T320" s="8" t="n">
        <f aca="false">IF(I320=0,Assumptions!$B$20,IF(H320&gt;I320,Assumptions!$B$19,IF(H320=I320,Assumptions!$B$20,Assumptions!$B$21)))</f>
        <v>70</v>
      </c>
      <c r="U320" s="8" t="n">
        <f aca="false">ROUND(P320*Assumptions!$B$2+Q320*Assumptions!$B$3+R320*Assumptions!$B$4+S320*Assumptions!$B$5+T320*Assumptions!$B$6,0)</f>
        <v>71</v>
      </c>
      <c r="V320" s="8" t="str">
        <f aca="false">IF(U320&gt;=Assumptions!$B$10,"Healthy",IF(U320&gt;=Assumptions!$B$11,"Needs Attention","High Risk"))</f>
        <v>Needs Attention</v>
      </c>
    </row>
    <row r="321" customFormat="false" ht="15" hidden="false" customHeight="false" outlineLevel="0" collapsed="false">
      <c r="A321" s="8" t="s">
        <v>783</v>
      </c>
      <c r="B321" s="8" t="s">
        <v>784</v>
      </c>
      <c r="C321" s="8" t="s">
        <v>53</v>
      </c>
      <c r="D321" s="8" t="s">
        <v>326</v>
      </c>
      <c r="E321" s="8" t="s">
        <v>123</v>
      </c>
      <c r="F321" s="8" t="s">
        <v>136</v>
      </c>
      <c r="G321" s="8" t="s">
        <v>137</v>
      </c>
      <c r="H321" s="15" t="n">
        <v>4950</v>
      </c>
      <c r="I321" s="15" t="n">
        <v>4950</v>
      </c>
      <c r="J321" s="16" t="n">
        <v>0.685</v>
      </c>
      <c r="K321" s="8" t="n">
        <v>7.3</v>
      </c>
      <c r="L321" s="8" t="n">
        <v>6</v>
      </c>
      <c r="M321" s="8" t="n">
        <v>5</v>
      </c>
      <c r="N321" s="8" t="s">
        <v>120</v>
      </c>
      <c r="O321" s="15" t="n">
        <f aca="false">H321*12</f>
        <v>59400</v>
      </c>
      <c r="P321" s="8" t="n">
        <f aca="false">MIN(100,ROUND(100*J321/Assumptions!$B$8,0))</f>
        <v>76</v>
      </c>
      <c r="Q321" s="8" t="n">
        <f aca="false">IF(L321="",Assumptions!$B$9,L321*10)</f>
        <v>60</v>
      </c>
      <c r="R321" s="8" t="n">
        <f aca="false">IF(M321&lt;=1,Assumptions!$B$12,IF(M321&lt;=3,Assumptions!$B$13,IF(M321&lt;=6,Assumptions!$B$14,Assumptions!$B$15)))</f>
        <v>50</v>
      </c>
      <c r="S321" s="8" t="n">
        <f aca="false">IF(N321="Completed On Time",Assumptions!$B$16,IF(N321="Completed Late",Assumptions!$B$17,Assumptions!$B$18))</f>
        <v>100</v>
      </c>
      <c r="T321" s="8" t="n">
        <f aca="false">IF(I321=0,Assumptions!$B$20,IF(H321&gt;I321,Assumptions!$B$19,IF(H321=I321,Assumptions!$B$20,Assumptions!$B$21)))</f>
        <v>70</v>
      </c>
      <c r="U321" s="8" t="n">
        <f aca="false">ROUND(P321*Assumptions!$B$2+Q321*Assumptions!$B$3+R321*Assumptions!$B$4+S321*Assumptions!$B$5+T321*Assumptions!$B$6,0)</f>
        <v>70</v>
      </c>
      <c r="V321" s="8" t="str">
        <f aca="false">IF(U321&gt;=Assumptions!$B$10,"Healthy",IF(U321&gt;=Assumptions!$B$11,"Needs Attention","High Risk"))</f>
        <v>Needs Attention</v>
      </c>
    </row>
    <row r="322" customFormat="false" ht="15" hidden="false" customHeight="false" outlineLevel="0" collapsed="false">
      <c r="A322" s="8" t="s">
        <v>785</v>
      </c>
      <c r="B322" s="8" t="s">
        <v>786</v>
      </c>
      <c r="C322" s="8" t="s">
        <v>53</v>
      </c>
      <c r="D322" s="8" t="s">
        <v>326</v>
      </c>
      <c r="E322" s="8" t="s">
        <v>132</v>
      </c>
      <c r="F322" s="8" t="s">
        <v>118</v>
      </c>
      <c r="G322" s="8" t="s">
        <v>204</v>
      </c>
      <c r="H322" s="15" t="n">
        <v>4950</v>
      </c>
      <c r="I322" s="15" t="n">
        <v>4950</v>
      </c>
      <c r="J322" s="16" t="n">
        <v>0.714</v>
      </c>
      <c r="K322" s="8" t="n">
        <v>10</v>
      </c>
      <c r="L322" s="8" t="n">
        <v>8</v>
      </c>
      <c r="M322" s="8" t="n">
        <v>3</v>
      </c>
      <c r="N322" s="8" t="s">
        <v>120</v>
      </c>
      <c r="O322" s="15" t="n">
        <f aca="false">H322*12</f>
        <v>59400</v>
      </c>
      <c r="P322" s="8" t="n">
        <f aca="false">MIN(100,ROUND(100*J322/Assumptions!$B$8,0))</f>
        <v>79</v>
      </c>
      <c r="Q322" s="8" t="n">
        <f aca="false">IF(L322="",Assumptions!$B$9,L322*10)</f>
        <v>80</v>
      </c>
      <c r="R322" s="8" t="n">
        <f aca="false">IF(M322&lt;=1,Assumptions!$B$12,IF(M322&lt;=3,Assumptions!$B$13,IF(M322&lt;=6,Assumptions!$B$14,Assumptions!$B$15)))</f>
        <v>75</v>
      </c>
      <c r="S322" s="8" t="n">
        <f aca="false">IF(N322="Completed On Time",Assumptions!$B$16,IF(N322="Completed Late",Assumptions!$B$17,Assumptions!$B$18))</f>
        <v>100</v>
      </c>
      <c r="T322" s="8" t="n">
        <f aca="false">IF(I322=0,Assumptions!$B$20,IF(H322&gt;I322,Assumptions!$B$19,IF(H322=I322,Assumptions!$B$20,Assumptions!$B$21)))</f>
        <v>70</v>
      </c>
      <c r="U322" s="8" t="n">
        <f aca="false">ROUND(P322*Assumptions!$B$2+Q322*Assumptions!$B$3+R322*Assumptions!$B$4+S322*Assumptions!$B$5+T322*Assumptions!$B$6,0)</f>
        <v>79</v>
      </c>
      <c r="V322" s="8" t="str">
        <f aca="false">IF(U322&gt;=Assumptions!$B$10,"Healthy",IF(U322&gt;=Assumptions!$B$11,"Needs Attention","High Risk"))</f>
        <v>Needs Attention</v>
      </c>
    </row>
    <row r="323" customFormat="false" ht="15" hidden="false" customHeight="false" outlineLevel="0" collapsed="false">
      <c r="A323" s="8" t="s">
        <v>787</v>
      </c>
      <c r="B323" s="8" t="s">
        <v>788</v>
      </c>
      <c r="C323" s="8" t="s">
        <v>53</v>
      </c>
      <c r="D323" s="8" t="s">
        <v>55</v>
      </c>
      <c r="E323" s="8" t="s">
        <v>123</v>
      </c>
      <c r="F323" s="8" t="s">
        <v>154</v>
      </c>
      <c r="G323" s="8" t="s">
        <v>144</v>
      </c>
      <c r="H323" s="15" t="n">
        <v>4950</v>
      </c>
      <c r="I323" s="15" t="n">
        <v>4950</v>
      </c>
      <c r="J323" s="16" t="n">
        <v>0.815</v>
      </c>
      <c r="K323" s="8" t="n">
        <v>8.7</v>
      </c>
      <c r="L323" s="8" t="n">
        <v>7</v>
      </c>
      <c r="M323" s="8" t="n">
        <v>3</v>
      </c>
      <c r="N323" s="8" t="s">
        <v>120</v>
      </c>
      <c r="O323" s="15" t="n">
        <f aca="false">H323*12</f>
        <v>59400</v>
      </c>
      <c r="P323" s="8" t="n">
        <f aca="false">MIN(100,ROUND(100*J323/Assumptions!$B$8,0))</f>
        <v>91</v>
      </c>
      <c r="Q323" s="8" t="n">
        <f aca="false">IF(L323="",Assumptions!$B$9,L323*10)</f>
        <v>70</v>
      </c>
      <c r="R323" s="8" t="n">
        <f aca="false">IF(M323&lt;=1,Assumptions!$B$12,IF(M323&lt;=3,Assumptions!$B$13,IF(M323&lt;=6,Assumptions!$B$14,Assumptions!$B$15)))</f>
        <v>75</v>
      </c>
      <c r="S323" s="8" t="n">
        <f aca="false">IF(N323="Completed On Time",Assumptions!$B$16,IF(N323="Completed Late",Assumptions!$B$17,Assumptions!$B$18))</f>
        <v>100</v>
      </c>
      <c r="T323" s="8" t="n">
        <f aca="false">IF(I323=0,Assumptions!$B$20,IF(H323&gt;I323,Assumptions!$B$19,IF(H323=I323,Assumptions!$B$20,Assumptions!$B$21)))</f>
        <v>70</v>
      </c>
      <c r="U323" s="8" t="n">
        <f aca="false">ROUND(P323*Assumptions!$B$2+Q323*Assumptions!$B$3+R323*Assumptions!$B$4+S323*Assumptions!$B$5+T323*Assumptions!$B$6,0)</f>
        <v>81</v>
      </c>
      <c r="V323" s="8" t="str">
        <f aca="false">IF(U323&gt;=Assumptions!$B$10,"Healthy",IF(U323&gt;=Assumptions!$B$11,"Needs Attention","High Risk"))</f>
        <v>Healthy</v>
      </c>
    </row>
    <row r="324" customFormat="false" ht="15" hidden="false" customHeight="false" outlineLevel="0" collapsed="false">
      <c r="A324" s="8" t="s">
        <v>789</v>
      </c>
      <c r="B324" s="8" t="s">
        <v>790</v>
      </c>
      <c r="C324" s="8" t="s">
        <v>53</v>
      </c>
      <c r="D324" s="8" t="s">
        <v>326</v>
      </c>
      <c r="E324" s="8" t="s">
        <v>123</v>
      </c>
      <c r="F324" s="8" t="s">
        <v>190</v>
      </c>
      <c r="G324" s="8" t="s">
        <v>185</v>
      </c>
      <c r="H324" s="15" t="n">
        <v>4950</v>
      </c>
      <c r="I324" s="15" t="n">
        <v>4950</v>
      </c>
      <c r="J324" s="16" t="n">
        <v>0.924</v>
      </c>
      <c r="K324" s="8" t="n">
        <v>9.7</v>
      </c>
      <c r="L324" s="8" t="n">
        <v>10</v>
      </c>
      <c r="M324" s="8" t="n">
        <v>1</v>
      </c>
      <c r="N324" s="8" t="s">
        <v>120</v>
      </c>
      <c r="O324" s="15" t="n">
        <f aca="false">H324*12</f>
        <v>59400</v>
      </c>
      <c r="P324" s="8" t="n">
        <f aca="false">MIN(100,ROUND(100*J324/Assumptions!$B$8,0))</f>
        <v>100</v>
      </c>
      <c r="Q324" s="8" t="n">
        <f aca="false">IF(L324="",Assumptions!$B$9,L324*10)</f>
        <v>100</v>
      </c>
      <c r="R324" s="8" t="n">
        <f aca="false">IF(M324&lt;=1,Assumptions!$B$12,IF(M324&lt;=3,Assumptions!$B$13,IF(M324&lt;=6,Assumptions!$B$14,Assumptions!$B$15)))</f>
        <v>100</v>
      </c>
      <c r="S324" s="8" t="n">
        <f aca="false">IF(N324="Completed On Time",Assumptions!$B$16,IF(N324="Completed Late",Assumptions!$B$17,Assumptions!$B$18))</f>
        <v>100</v>
      </c>
      <c r="T324" s="8" t="n">
        <f aca="false">IF(I324=0,Assumptions!$B$20,IF(H324&gt;I324,Assumptions!$B$19,IF(H324=I324,Assumptions!$B$20,Assumptions!$B$21)))</f>
        <v>70</v>
      </c>
      <c r="U324" s="8" t="n">
        <f aca="false">ROUND(P324*Assumptions!$B$2+Q324*Assumptions!$B$3+R324*Assumptions!$B$4+S324*Assumptions!$B$5+T324*Assumptions!$B$6,0)</f>
        <v>94</v>
      </c>
      <c r="V324" s="8" t="str">
        <f aca="false">IF(U324&gt;=Assumptions!$B$10,"Healthy",IF(U324&gt;=Assumptions!$B$11,"Needs Attention","High Risk"))</f>
        <v>Healthy</v>
      </c>
    </row>
    <row r="325" customFormat="false" ht="15" hidden="false" customHeight="false" outlineLevel="0" collapsed="false">
      <c r="A325" s="8" t="s">
        <v>791</v>
      </c>
      <c r="B325" s="8" t="s">
        <v>792</v>
      </c>
      <c r="C325" s="8" t="s">
        <v>53</v>
      </c>
      <c r="D325" s="8" t="s">
        <v>326</v>
      </c>
      <c r="E325" s="8" t="s">
        <v>123</v>
      </c>
      <c r="F325" s="8" t="s">
        <v>118</v>
      </c>
      <c r="G325" s="8" t="s">
        <v>144</v>
      </c>
      <c r="H325" s="15" t="n">
        <v>4950</v>
      </c>
      <c r="I325" s="15" t="n">
        <v>4950</v>
      </c>
      <c r="J325" s="16" t="n">
        <v>0.485</v>
      </c>
      <c r="K325" s="8" t="n">
        <v>7</v>
      </c>
      <c r="L325" s="8" t="n">
        <v>7</v>
      </c>
      <c r="M325" s="8" t="n">
        <v>4</v>
      </c>
      <c r="N325" s="8" t="s">
        <v>120</v>
      </c>
      <c r="O325" s="15" t="n">
        <f aca="false">H325*12</f>
        <v>59400</v>
      </c>
      <c r="P325" s="8" t="n">
        <f aca="false">MIN(100,ROUND(100*J325/Assumptions!$B$8,0))</f>
        <v>54</v>
      </c>
      <c r="Q325" s="8" t="n">
        <f aca="false">IF(L325="",Assumptions!$B$9,L325*10)</f>
        <v>70</v>
      </c>
      <c r="R325" s="8" t="n">
        <f aca="false">IF(M325&lt;=1,Assumptions!$B$12,IF(M325&lt;=3,Assumptions!$B$13,IF(M325&lt;=6,Assumptions!$B$14,Assumptions!$B$15)))</f>
        <v>50</v>
      </c>
      <c r="S325" s="8" t="n">
        <f aca="false">IF(N325="Completed On Time",Assumptions!$B$16,IF(N325="Completed Late",Assumptions!$B$17,Assumptions!$B$18))</f>
        <v>100</v>
      </c>
      <c r="T325" s="8" t="n">
        <f aca="false">IF(I325=0,Assumptions!$B$20,IF(H325&gt;I325,Assumptions!$B$19,IF(H325=I325,Assumptions!$B$20,Assumptions!$B$21)))</f>
        <v>70</v>
      </c>
      <c r="U325" s="8" t="n">
        <f aca="false">ROUND(P325*Assumptions!$B$2+Q325*Assumptions!$B$3+R325*Assumptions!$B$4+S325*Assumptions!$B$5+T325*Assumptions!$B$6,0)</f>
        <v>64</v>
      </c>
      <c r="V325" s="8" t="str">
        <f aca="false">IF(U325&gt;=Assumptions!$B$10,"Healthy",IF(U325&gt;=Assumptions!$B$11,"Needs Attention","High Risk"))</f>
        <v>High Risk</v>
      </c>
    </row>
    <row r="326" customFormat="false" ht="15" hidden="false" customHeight="false" outlineLevel="0" collapsed="false">
      <c r="A326" s="8" t="s">
        <v>793</v>
      </c>
      <c r="B326" s="8" t="s">
        <v>794</v>
      </c>
      <c r="C326" s="8" t="s">
        <v>53</v>
      </c>
      <c r="D326" s="8" t="s">
        <v>326</v>
      </c>
      <c r="E326" s="8" t="s">
        <v>132</v>
      </c>
      <c r="F326" s="8" t="s">
        <v>136</v>
      </c>
      <c r="G326" s="8" t="s">
        <v>119</v>
      </c>
      <c r="H326" s="15" t="n">
        <v>4925</v>
      </c>
      <c r="I326" s="15" t="n">
        <v>4925</v>
      </c>
      <c r="J326" s="16" t="n">
        <v>0.78</v>
      </c>
      <c r="K326" s="8" t="n">
        <v>10.7</v>
      </c>
      <c r="L326" s="8" t="n">
        <v>10</v>
      </c>
      <c r="M326" s="8" t="n">
        <v>2</v>
      </c>
      <c r="N326" s="8" t="s">
        <v>120</v>
      </c>
      <c r="O326" s="15" t="n">
        <f aca="false">H326*12</f>
        <v>59100</v>
      </c>
      <c r="P326" s="8" t="n">
        <f aca="false">MIN(100,ROUND(100*J326/Assumptions!$B$8,0))</f>
        <v>87</v>
      </c>
      <c r="Q326" s="8" t="n">
        <f aca="false">IF(L326="",Assumptions!$B$9,L326*10)</f>
        <v>100</v>
      </c>
      <c r="R326" s="8" t="n">
        <f aca="false">IF(M326&lt;=1,Assumptions!$B$12,IF(M326&lt;=3,Assumptions!$B$13,IF(M326&lt;=6,Assumptions!$B$14,Assumptions!$B$15)))</f>
        <v>75</v>
      </c>
      <c r="S326" s="8" t="n">
        <f aca="false">IF(N326="Completed On Time",Assumptions!$B$16,IF(N326="Completed Late",Assumptions!$B$17,Assumptions!$B$18))</f>
        <v>100</v>
      </c>
      <c r="T326" s="8" t="n">
        <f aca="false">IF(I326=0,Assumptions!$B$20,IF(H326&gt;I326,Assumptions!$B$19,IF(H326=I326,Assumptions!$B$20,Assumptions!$B$21)))</f>
        <v>70</v>
      </c>
      <c r="U326" s="8" t="n">
        <f aca="false">ROUND(P326*Assumptions!$B$2+Q326*Assumptions!$B$3+R326*Assumptions!$B$4+S326*Assumptions!$B$5+T326*Assumptions!$B$6,0)</f>
        <v>86</v>
      </c>
      <c r="V326" s="8" t="str">
        <f aca="false">IF(U326&gt;=Assumptions!$B$10,"Healthy",IF(U326&gt;=Assumptions!$B$11,"Needs Attention","High Risk"))</f>
        <v>Healthy</v>
      </c>
    </row>
    <row r="327" customFormat="false" ht="15" hidden="false" customHeight="false" outlineLevel="0" collapsed="false">
      <c r="A327" s="8" t="s">
        <v>795</v>
      </c>
      <c r="B327" s="8" t="s">
        <v>796</v>
      </c>
      <c r="C327" s="8" t="s">
        <v>53</v>
      </c>
      <c r="D327" s="8" t="s">
        <v>326</v>
      </c>
      <c r="E327" s="8" t="s">
        <v>123</v>
      </c>
      <c r="F327" s="8" t="s">
        <v>133</v>
      </c>
      <c r="G327" s="8" t="s">
        <v>119</v>
      </c>
      <c r="H327" s="15" t="n">
        <v>4925</v>
      </c>
      <c r="I327" s="15" t="n">
        <v>4925</v>
      </c>
      <c r="J327" s="16" t="n">
        <v>0.658</v>
      </c>
      <c r="K327" s="8" t="n">
        <v>7.7</v>
      </c>
      <c r="L327" s="8" t="n">
        <v>8</v>
      </c>
      <c r="M327" s="8" t="n">
        <v>8</v>
      </c>
      <c r="N327" s="8" t="s">
        <v>120</v>
      </c>
      <c r="O327" s="15" t="n">
        <f aca="false">H327*12</f>
        <v>59100</v>
      </c>
      <c r="P327" s="8" t="n">
        <f aca="false">MIN(100,ROUND(100*J327/Assumptions!$B$8,0))</f>
        <v>73</v>
      </c>
      <c r="Q327" s="8" t="n">
        <f aca="false">IF(L327="",Assumptions!$B$9,L327*10)</f>
        <v>80</v>
      </c>
      <c r="R327" s="8" t="n">
        <f aca="false">IF(M327&lt;=1,Assumptions!$B$12,IF(M327&lt;=3,Assumptions!$B$13,IF(M327&lt;=6,Assumptions!$B$14,Assumptions!$B$15)))</f>
        <v>20</v>
      </c>
      <c r="S327" s="8" t="n">
        <f aca="false">IF(N327="Completed On Time",Assumptions!$B$16,IF(N327="Completed Late",Assumptions!$B$17,Assumptions!$B$18))</f>
        <v>100</v>
      </c>
      <c r="T327" s="8" t="n">
        <f aca="false">IF(I327=0,Assumptions!$B$20,IF(H327&gt;I327,Assumptions!$B$19,IF(H327=I327,Assumptions!$B$20,Assumptions!$B$21)))</f>
        <v>70</v>
      </c>
      <c r="U327" s="8" t="n">
        <f aca="false">ROUND(P327*Assumptions!$B$2+Q327*Assumptions!$B$3+R327*Assumptions!$B$4+S327*Assumptions!$B$5+T327*Assumptions!$B$6,0)</f>
        <v>69</v>
      </c>
      <c r="V327" s="8" t="str">
        <f aca="false">IF(U327&gt;=Assumptions!$B$10,"Healthy",IF(U327&gt;=Assumptions!$B$11,"Needs Attention","High Risk"))</f>
        <v>Needs Attention</v>
      </c>
    </row>
    <row r="328" customFormat="false" ht="15" hidden="false" customHeight="false" outlineLevel="0" collapsed="false">
      <c r="A328" s="8" t="s">
        <v>797</v>
      </c>
      <c r="B328" s="8" t="s">
        <v>798</v>
      </c>
      <c r="C328" s="8" t="s">
        <v>53</v>
      </c>
      <c r="D328" s="8" t="s">
        <v>326</v>
      </c>
      <c r="E328" s="8" t="s">
        <v>123</v>
      </c>
      <c r="F328" s="8" t="s">
        <v>124</v>
      </c>
      <c r="G328" s="8" t="s">
        <v>177</v>
      </c>
      <c r="H328" s="15" t="n">
        <v>4925</v>
      </c>
      <c r="I328" s="15" t="n">
        <v>4925</v>
      </c>
      <c r="J328" s="16" t="n">
        <v>0.893</v>
      </c>
      <c r="K328" s="8" t="n">
        <v>10.7</v>
      </c>
      <c r="L328" s="8" t="n">
        <v>10</v>
      </c>
      <c r="M328" s="8" t="n">
        <v>1</v>
      </c>
      <c r="N328" s="8" t="s">
        <v>120</v>
      </c>
      <c r="O328" s="15" t="n">
        <f aca="false">H328*12</f>
        <v>59100</v>
      </c>
      <c r="P328" s="8" t="n">
        <f aca="false">MIN(100,ROUND(100*J328/Assumptions!$B$8,0))</f>
        <v>99</v>
      </c>
      <c r="Q328" s="8" t="n">
        <f aca="false">IF(L328="",Assumptions!$B$9,L328*10)</f>
        <v>100</v>
      </c>
      <c r="R328" s="8" t="n">
        <f aca="false">IF(M328&lt;=1,Assumptions!$B$12,IF(M328&lt;=3,Assumptions!$B$13,IF(M328&lt;=6,Assumptions!$B$14,Assumptions!$B$15)))</f>
        <v>100</v>
      </c>
      <c r="S328" s="8" t="n">
        <f aca="false">IF(N328="Completed On Time",Assumptions!$B$16,IF(N328="Completed Late",Assumptions!$B$17,Assumptions!$B$18))</f>
        <v>100</v>
      </c>
      <c r="T328" s="8" t="n">
        <f aca="false">IF(I328=0,Assumptions!$B$20,IF(H328&gt;I328,Assumptions!$B$19,IF(H328=I328,Assumptions!$B$20,Assumptions!$B$21)))</f>
        <v>70</v>
      </c>
      <c r="U328" s="8" t="n">
        <f aca="false">ROUND(P328*Assumptions!$B$2+Q328*Assumptions!$B$3+R328*Assumptions!$B$4+S328*Assumptions!$B$5+T328*Assumptions!$B$6,0)</f>
        <v>94</v>
      </c>
      <c r="V328" s="8" t="str">
        <f aca="false">IF(U328&gt;=Assumptions!$B$10,"Healthy",IF(U328&gt;=Assumptions!$B$11,"Needs Attention","High Risk"))</f>
        <v>Healthy</v>
      </c>
    </row>
    <row r="329" customFormat="false" ht="15" hidden="false" customHeight="false" outlineLevel="0" collapsed="false">
      <c r="A329" s="8" t="s">
        <v>799</v>
      </c>
      <c r="B329" s="8" t="s">
        <v>800</v>
      </c>
      <c r="C329" s="8" t="s">
        <v>53</v>
      </c>
      <c r="D329" s="8" t="s">
        <v>326</v>
      </c>
      <c r="E329" s="8" t="s">
        <v>123</v>
      </c>
      <c r="F329" s="8" t="s">
        <v>136</v>
      </c>
      <c r="G329" s="8" t="s">
        <v>185</v>
      </c>
      <c r="H329" s="15" t="n">
        <v>4925</v>
      </c>
      <c r="I329" s="15" t="n">
        <v>4925</v>
      </c>
      <c r="J329" s="16" t="n">
        <v>0.577</v>
      </c>
      <c r="K329" s="8" t="n">
        <v>6</v>
      </c>
      <c r="L329" s="8" t="n">
        <v>5</v>
      </c>
      <c r="M329" s="8" t="n">
        <v>4</v>
      </c>
      <c r="N329" s="8" t="s">
        <v>120</v>
      </c>
      <c r="O329" s="15" t="n">
        <f aca="false">H329*12</f>
        <v>59100</v>
      </c>
      <c r="P329" s="8" t="n">
        <f aca="false">MIN(100,ROUND(100*J329/Assumptions!$B$8,0))</f>
        <v>64</v>
      </c>
      <c r="Q329" s="8" t="n">
        <f aca="false">IF(L329="",Assumptions!$B$9,L329*10)</f>
        <v>50</v>
      </c>
      <c r="R329" s="8" t="n">
        <f aca="false">IF(M329&lt;=1,Assumptions!$B$12,IF(M329&lt;=3,Assumptions!$B$13,IF(M329&lt;=6,Assumptions!$B$14,Assumptions!$B$15)))</f>
        <v>50</v>
      </c>
      <c r="S329" s="8" t="n">
        <f aca="false">IF(N329="Completed On Time",Assumptions!$B$16,IF(N329="Completed Late",Assumptions!$B$17,Assumptions!$B$18))</f>
        <v>100</v>
      </c>
      <c r="T329" s="8" t="n">
        <f aca="false">IF(I329=0,Assumptions!$B$20,IF(H329&gt;I329,Assumptions!$B$19,IF(H329=I329,Assumptions!$B$20,Assumptions!$B$21)))</f>
        <v>70</v>
      </c>
      <c r="U329" s="8" t="n">
        <f aca="false">ROUND(P329*Assumptions!$B$2+Q329*Assumptions!$B$3+R329*Assumptions!$B$4+S329*Assumptions!$B$5+T329*Assumptions!$B$6,0)</f>
        <v>64</v>
      </c>
      <c r="V329" s="8" t="str">
        <f aca="false">IF(U329&gt;=Assumptions!$B$10,"Healthy",IF(U329&gt;=Assumptions!$B$11,"Needs Attention","High Risk"))</f>
        <v>High Risk</v>
      </c>
    </row>
    <row r="330" customFormat="false" ht="15" hidden="false" customHeight="false" outlineLevel="0" collapsed="false">
      <c r="A330" s="8" t="s">
        <v>801</v>
      </c>
      <c r="B330" s="8" t="s">
        <v>802</v>
      </c>
      <c r="C330" s="8" t="s">
        <v>53</v>
      </c>
      <c r="D330" s="8" t="s">
        <v>326</v>
      </c>
      <c r="E330" s="8" t="s">
        <v>123</v>
      </c>
      <c r="F330" s="8" t="s">
        <v>143</v>
      </c>
      <c r="G330" s="8" t="s">
        <v>147</v>
      </c>
      <c r="H330" s="15" t="n">
        <v>4900</v>
      </c>
      <c r="I330" s="15" t="n">
        <v>4900</v>
      </c>
      <c r="J330" s="16" t="n">
        <v>0.667</v>
      </c>
      <c r="K330" s="8" t="n">
        <v>7</v>
      </c>
      <c r="L330" s="8" t="n">
        <v>8</v>
      </c>
      <c r="M330" s="8" t="n">
        <v>3</v>
      </c>
      <c r="N330" s="8" t="s">
        <v>120</v>
      </c>
      <c r="O330" s="15" t="n">
        <f aca="false">H330*12</f>
        <v>58800</v>
      </c>
      <c r="P330" s="8" t="n">
        <f aca="false">MIN(100,ROUND(100*J330/Assumptions!$B$8,0))</f>
        <v>74</v>
      </c>
      <c r="Q330" s="8" t="n">
        <f aca="false">IF(L330="",Assumptions!$B$9,L330*10)</f>
        <v>80</v>
      </c>
      <c r="R330" s="8" t="n">
        <f aca="false">IF(M330&lt;=1,Assumptions!$B$12,IF(M330&lt;=3,Assumptions!$B$13,IF(M330&lt;=6,Assumptions!$B$14,Assumptions!$B$15)))</f>
        <v>75</v>
      </c>
      <c r="S330" s="8" t="n">
        <f aca="false">IF(N330="Completed On Time",Assumptions!$B$16,IF(N330="Completed Late",Assumptions!$B$17,Assumptions!$B$18))</f>
        <v>100</v>
      </c>
      <c r="T330" s="8" t="n">
        <f aca="false">IF(I330=0,Assumptions!$B$20,IF(H330&gt;I330,Assumptions!$B$19,IF(H330=I330,Assumptions!$B$20,Assumptions!$B$21)))</f>
        <v>70</v>
      </c>
      <c r="U330" s="8" t="n">
        <f aca="false">ROUND(P330*Assumptions!$B$2+Q330*Assumptions!$B$3+R330*Assumptions!$B$4+S330*Assumptions!$B$5+T330*Assumptions!$B$6,0)</f>
        <v>77</v>
      </c>
      <c r="V330" s="8" t="str">
        <f aca="false">IF(U330&gt;=Assumptions!$B$10,"Healthy",IF(U330&gt;=Assumptions!$B$11,"Needs Attention","High Risk"))</f>
        <v>Needs Attention</v>
      </c>
    </row>
    <row r="331" customFormat="false" ht="15" hidden="false" customHeight="false" outlineLevel="0" collapsed="false">
      <c r="A331" s="8" t="s">
        <v>803</v>
      </c>
      <c r="B331" s="8" t="s">
        <v>804</v>
      </c>
      <c r="C331" s="8" t="s">
        <v>53</v>
      </c>
      <c r="D331" s="8" t="s">
        <v>326</v>
      </c>
      <c r="E331" s="8" t="s">
        <v>128</v>
      </c>
      <c r="F331" s="8" t="s">
        <v>154</v>
      </c>
      <c r="G331" s="8" t="s">
        <v>185</v>
      </c>
      <c r="H331" s="15" t="n">
        <v>4900</v>
      </c>
      <c r="I331" s="15" t="n">
        <v>4900</v>
      </c>
      <c r="J331" s="16" t="n">
        <v>0.769</v>
      </c>
      <c r="K331" s="8" t="n">
        <v>10</v>
      </c>
      <c r="L331" s="8" t="n">
        <v>8</v>
      </c>
      <c r="M331" s="8" t="n">
        <v>4</v>
      </c>
      <c r="N331" s="8" t="s">
        <v>120</v>
      </c>
      <c r="O331" s="15" t="n">
        <f aca="false">H331*12</f>
        <v>58800</v>
      </c>
      <c r="P331" s="8" t="n">
        <f aca="false">MIN(100,ROUND(100*J331/Assumptions!$B$8,0))</f>
        <v>85</v>
      </c>
      <c r="Q331" s="8" t="n">
        <f aca="false">IF(L331="",Assumptions!$B$9,L331*10)</f>
        <v>80</v>
      </c>
      <c r="R331" s="8" t="n">
        <f aca="false">IF(M331&lt;=1,Assumptions!$B$12,IF(M331&lt;=3,Assumptions!$B$13,IF(M331&lt;=6,Assumptions!$B$14,Assumptions!$B$15)))</f>
        <v>50</v>
      </c>
      <c r="S331" s="8" t="n">
        <f aca="false">IF(N331="Completed On Time",Assumptions!$B$16,IF(N331="Completed Late",Assumptions!$B$17,Assumptions!$B$18))</f>
        <v>100</v>
      </c>
      <c r="T331" s="8" t="n">
        <f aca="false">IF(I331=0,Assumptions!$B$20,IF(H331&gt;I331,Assumptions!$B$19,IF(H331=I331,Assumptions!$B$20,Assumptions!$B$21)))</f>
        <v>70</v>
      </c>
      <c r="U331" s="8" t="n">
        <f aca="false">ROUND(P331*Assumptions!$B$2+Q331*Assumptions!$B$3+R331*Assumptions!$B$4+S331*Assumptions!$B$5+T331*Assumptions!$B$6,0)</f>
        <v>77</v>
      </c>
      <c r="V331" s="8" t="str">
        <f aca="false">IF(U331&gt;=Assumptions!$B$10,"Healthy",IF(U331&gt;=Assumptions!$B$11,"Needs Attention","High Risk"))</f>
        <v>Needs Attention</v>
      </c>
    </row>
    <row r="332" customFormat="false" ht="15" hidden="false" customHeight="false" outlineLevel="0" collapsed="false">
      <c r="A332" s="8" t="s">
        <v>805</v>
      </c>
      <c r="B332" s="8" t="s">
        <v>806</v>
      </c>
      <c r="C332" s="8" t="s">
        <v>53</v>
      </c>
      <c r="D332" s="8" t="s">
        <v>326</v>
      </c>
      <c r="E332" s="8" t="s">
        <v>132</v>
      </c>
      <c r="F332" s="8" t="s">
        <v>136</v>
      </c>
      <c r="G332" s="8" t="s">
        <v>159</v>
      </c>
      <c r="H332" s="15" t="n">
        <v>4875</v>
      </c>
      <c r="I332" s="15" t="n">
        <v>4875</v>
      </c>
      <c r="J332" s="16" t="n">
        <v>0.614</v>
      </c>
      <c r="K332" s="8" t="n">
        <v>6.3</v>
      </c>
      <c r="L332" s="8" t="n">
        <v>9</v>
      </c>
      <c r="M332" s="8" t="n">
        <v>7</v>
      </c>
      <c r="N332" s="8" t="s">
        <v>120</v>
      </c>
      <c r="O332" s="15" t="n">
        <f aca="false">H332*12</f>
        <v>58500</v>
      </c>
      <c r="P332" s="8" t="n">
        <f aca="false">MIN(100,ROUND(100*J332/Assumptions!$B$8,0))</f>
        <v>68</v>
      </c>
      <c r="Q332" s="8" t="n">
        <f aca="false">IF(L332="",Assumptions!$B$9,L332*10)</f>
        <v>90</v>
      </c>
      <c r="R332" s="8" t="n">
        <f aca="false">IF(M332&lt;=1,Assumptions!$B$12,IF(M332&lt;=3,Assumptions!$B$13,IF(M332&lt;=6,Assumptions!$B$14,Assumptions!$B$15)))</f>
        <v>20</v>
      </c>
      <c r="S332" s="8" t="n">
        <f aca="false">IF(N332="Completed On Time",Assumptions!$B$16,IF(N332="Completed Late",Assumptions!$B$17,Assumptions!$B$18))</f>
        <v>100</v>
      </c>
      <c r="T332" s="8" t="n">
        <f aca="false">IF(I332=0,Assumptions!$B$20,IF(H332&gt;I332,Assumptions!$B$19,IF(H332=I332,Assumptions!$B$20,Assumptions!$B$21)))</f>
        <v>70</v>
      </c>
      <c r="U332" s="8" t="n">
        <f aca="false">ROUND(P332*Assumptions!$B$2+Q332*Assumptions!$B$3+R332*Assumptions!$B$4+S332*Assumptions!$B$5+T332*Assumptions!$B$6,0)</f>
        <v>69</v>
      </c>
      <c r="V332" s="8" t="str">
        <f aca="false">IF(U332&gt;=Assumptions!$B$10,"Healthy",IF(U332&gt;=Assumptions!$B$11,"Needs Attention","High Risk"))</f>
        <v>Needs Attention</v>
      </c>
    </row>
    <row r="333" customFormat="false" ht="15" hidden="false" customHeight="false" outlineLevel="0" collapsed="false">
      <c r="A333" s="8" t="s">
        <v>807</v>
      </c>
      <c r="B333" s="8" t="s">
        <v>808</v>
      </c>
      <c r="C333" s="8" t="s">
        <v>53</v>
      </c>
      <c r="D333" s="8" t="s">
        <v>326</v>
      </c>
      <c r="E333" s="8" t="s">
        <v>123</v>
      </c>
      <c r="F333" s="8" t="s">
        <v>223</v>
      </c>
      <c r="G333" s="8" t="s">
        <v>147</v>
      </c>
      <c r="H333" s="15" t="n">
        <v>4875</v>
      </c>
      <c r="I333" s="15" t="n">
        <v>4875</v>
      </c>
      <c r="J333" s="16" t="n">
        <v>0.803</v>
      </c>
      <c r="K333" s="8" t="n">
        <v>8</v>
      </c>
      <c r="L333" s="8" t="n">
        <v>10</v>
      </c>
      <c r="M333" s="8" t="n">
        <v>1</v>
      </c>
      <c r="N333" s="8" t="s">
        <v>148</v>
      </c>
      <c r="O333" s="15" t="n">
        <f aca="false">H333*12</f>
        <v>58500</v>
      </c>
      <c r="P333" s="8" t="n">
        <f aca="false">MIN(100,ROUND(100*J333/Assumptions!$B$8,0))</f>
        <v>89</v>
      </c>
      <c r="Q333" s="8" t="n">
        <f aca="false">IF(L333="",Assumptions!$B$9,L333*10)</f>
        <v>100</v>
      </c>
      <c r="R333" s="8" t="n">
        <f aca="false">IF(M333&lt;=1,Assumptions!$B$12,IF(M333&lt;=3,Assumptions!$B$13,IF(M333&lt;=6,Assumptions!$B$14,Assumptions!$B$15)))</f>
        <v>100</v>
      </c>
      <c r="S333" s="8" t="n">
        <f aca="false">IF(N333="Completed On Time",Assumptions!$B$16,IF(N333="Completed Late",Assumptions!$B$17,Assumptions!$B$18))</f>
        <v>60</v>
      </c>
      <c r="T333" s="8" t="n">
        <f aca="false">IF(I333=0,Assumptions!$B$20,IF(H333&gt;I333,Assumptions!$B$19,IF(H333=I333,Assumptions!$B$20,Assumptions!$B$21)))</f>
        <v>70</v>
      </c>
      <c r="U333" s="8" t="n">
        <f aca="false">ROUND(P333*Assumptions!$B$2+Q333*Assumptions!$B$3+R333*Assumptions!$B$4+S333*Assumptions!$B$5+T333*Assumptions!$B$6,0)</f>
        <v>86</v>
      </c>
      <c r="V333" s="8" t="str">
        <f aca="false">IF(U333&gt;=Assumptions!$B$10,"Healthy",IF(U333&gt;=Assumptions!$B$11,"Needs Attention","High Risk"))</f>
        <v>Healthy</v>
      </c>
    </row>
    <row r="334" customFormat="false" ht="15" hidden="false" customHeight="false" outlineLevel="0" collapsed="false">
      <c r="A334" s="8" t="s">
        <v>809</v>
      </c>
      <c r="B334" s="8" t="s">
        <v>810</v>
      </c>
      <c r="C334" s="8" t="s">
        <v>53</v>
      </c>
      <c r="D334" s="8" t="s">
        <v>326</v>
      </c>
      <c r="E334" s="8" t="s">
        <v>123</v>
      </c>
      <c r="F334" s="8" t="s">
        <v>136</v>
      </c>
      <c r="G334" s="8" t="s">
        <v>204</v>
      </c>
      <c r="H334" s="15" t="n">
        <v>4875</v>
      </c>
      <c r="I334" s="15" t="n">
        <v>4875</v>
      </c>
      <c r="J334" s="16" t="n">
        <v>0.918</v>
      </c>
      <c r="K334" s="8" t="n">
        <v>10.3</v>
      </c>
      <c r="L334" s="8" t="n">
        <v>10</v>
      </c>
      <c r="M334" s="8" t="n">
        <v>1</v>
      </c>
      <c r="N334" s="8" t="s">
        <v>120</v>
      </c>
      <c r="O334" s="15" t="n">
        <f aca="false">H334*12</f>
        <v>58500</v>
      </c>
      <c r="P334" s="8" t="n">
        <f aca="false">MIN(100,ROUND(100*J334/Assumptions!$B$8,0))</f>
        <v>100</v>
      </c>
      <c r="Q334" s="8" t="n">
        <f aca="false">IF(L334="",Assumptions!$B$9,L334*10)</f>
        <v>100</v>
      </c>
      <c r="R334" s="8" t="n">
        <f aca="false">IF(M334&lt;=1,Assumptions!$B$12,IF(M334&lt;=3,Assumptions!$B$13,IF(M334&lt;=6,Assumptions!$B$14,Assumptions!$B$15)))</f>
        <v>100</v>
      </c>
      <c r="S334" s="8" t="n">
        <f aca="false">IF(N334="Completed On Time",Assumptions!$B$16,IF(N334="Completed Late",Assumptions!$B$17,Assumptions!$B$18))</f>
        <v>100</v>
      </c>
      <c r="T334" s="8" t="n">
        <f aca="false">IF(I334=0,Assumptions!$B$20,IF(H334&gt;I334,Assumptions!$B$19,IF(H334=I334,Assumptions!$B$20,Assumptions!$B$21)))</f>
        <v>70</v>
      </c>
      <c r="U334" s="8" t="n">
        <f aca="false">ROUND(P334*Assumptions!$B$2+Q334*Assumptions!$B$3+R334*Assumptions!$B$4+S334*Assumptions!$B$5+T334*Assumptions!$B$6,0)</f>
        <v>94</v>
      </c>
      <c r="V334" s="8" t="str">
        <f aca="false">IF(U334&gt;=Assumptions!$B$10,"Healthy",IF(U334&gt;=Assumptions!$B$11,"Needs Attention","High Risk"))</f>
        <v>Healthy</v>
      </c>
    </row>
    <row r="335" customFormat="false" ht="15" hidden="false" customHeight="false" outlineLevel="0" collapsed="false">
      <c r="A335" s="8" t="s">
        <v>811</v>
      </c>
      <c r="B335" s="8" t="s">
        <v>812</v>
      </c>
      <c r="C335" s="8" t="s">
        <v>53</v>
      </c>
      <c r="D335" s="8" t="s">
        <v>326</v>
      </c>
      <c r="E335" s="8" t="s">
        <v>132</v>
      </c>
      <c r="F335" s="8" t="s">
        <v>118</v>
      </c>
      <c r="G335" s="8" t="s">
        <v>159</v>
      </c>
      <c r="H335" s="15" t="n">
        <v>4850</v>
      </c>
      <c r="I335" s="15" t="n">
        <v>4850</v>
      </c>
      <c r="J335" s="16" t="n">
        <v>0.644</v>
      </c>
      <c r="K335" s="8" t="n">
        <v>6.3</v>
      </c>
      <c r="L335" s="8" t="n">
        <v>5</v>
      </c>
      <c r="M335" s="8" t="n">
        <v>2</v>
      </c>
      <c r="N335" s="8" t="s">
        <v>148</v>
      </c>
      <c r="O335" s="15" t="n">
        <f aca="false">H335*12</f>
        <v>58200</v>
      </c>
      <c r="P335" s="8" t="n">
        <f aca="false">MIN(100,ROUND(100*J335/Assumptions!$B$8,0))</f>
        <v>72</v>
      </c>
      <c r="Q335" s="8" t="n">
        <f aca="false">IF(L335="",Assumptions!$B$9,L335*10)</f>
        <v>50</v>
      </c>
      <c r="R335" s="8" t="n">
        <f aca="false">IF(M335&lt;=1,Assumptions!$B$12,IF(M335&lt;=3,Assumptions!$B$13,IF(M335&lt;=6,Assumptions!$B$14,Assumptions!$B$15)))</f>
        <v>75</v>
      </c>
      <c r="S335" s="8" t="n">
        <f aca="false">IF(N335="Completed On Time",Assumptions!$B$16,IF(N335="Completed Late",Assumptions!$B$17,Assumptions!$B$18))</f>
        <v>60</v>
      </c>
      <c r="T335" s="8" t="n">
        <f aca="false">IF(I335=0,Assumptions!$B$20,IF(H335&gt;I335,Assumptions!$B$19,IF(H335=I335,Assumptions!$B$20,Assumptions!$B$21)))</f>
        <v>70</v>
      </c>
      <c r="U335" s="8" t="n">
        <f aca="false">ROUND(P335*Assumptions!$B$2+Q335*Assumptions!$B$3+R335*Assumptions!$B$4+S335*Assumptions!$B$5+T335*Assumptions!$B$6,0)</f>
        <v>66</v>
      </c>
      <c r="V335" s="8" t="str">
        <f aca="false">IF(U335&gt;=Assumptions!$B$10,"Healthy",IF(U335&gt;=Assumptions!$B$11,"Needs Attention","High Risk"))</f>
        <v>Needs Attention</v>
      </c>
    </row>
    <row r="336" customFormat="false" ht="15" hidden="false" customHeight="false" outlineLevel="0" collapsed="false">
      <c r="A336" s="8" t="s">
        <v>813</v>
      </c>
      <c r="B336" s="8" t="s">
        <v>814</v>
      </c>
      <c r="C336" s="8" t="s">
        <v>53</v>
      </c>
      <c r="D336" s="8" t="s">
        <v>326</v>
      </c>
      <c r="E336" s="8" t="s">
        <v>128</v>
      </c>
      <c r="F336" s="8" t="s">
        <v>223</v>
      </c>
      <c r="G336" s="8" t="s">
        <v>159</v>
      </c>
      <c r="H336" s="15" t="n">
        <v>4850</v>
      </c>
      <c r="I336" s="15" t="n">
        <v>4275</v>
      </c>
      <c r="J336" s="16" t="n">
        <v>0.68</v>
      </c>
      <c r="K336" s="8" t="n">
        <v>8</v>
      </c>
      <c r="L336" s="8" t="n">
        <v>7</v>
      </c>
      <c r="M336" s="8" t="n">
        <v>4</v>
      </c>
      <c r="N336" s="8" t="s">
        <v>148</v>
      </c>
      <c r="O336" s="15" t="n">
        <f aca="false">H336*12</f>
        <v>58200</v>
      </c>
      <c r="P336" s="8" t="n">
        <f aca="false">MIN(100,ROUND(100*J336/Assumptions!$B$8,0))</f>
        <v>76</v>
      </c>
      <c r="Q336" s="8" t="n">
        <f aca="false">IF(L336="",Assumptions!$B$9,L336*10)</f>
        <v>70</v>
      </c>
      <c r="R336" s="8" t="n">
        <f aca="false">IF(M336&lt;=1,Assumptions!$B$12,IF(M336&lt;=3,Assumptions!$B$13,IF(M336&lt;=6,Assumptions!$B$14,Assumptions!$B$15)))</f>
        <v>50</v>
      </c>
      <c r="S336" s="8" t="n">
        <f aca="false">IF(N336="Completed On Time",Assumptions!$B$16,IF(N336="Completed Late",Assumptions!$B$17,Assumptions!$B$18))</f>
        <v>60</v>
      </c>
      <c r="T336" s="8" t="n">
        <f aca="false">IF(I336=0,Assumptions!$B$20,IF(H336&gt;I336,Assumptions!$B$19,IF(H336=I336,Assumptions!$B$20,Assumptions!$B$21)))</f>
        <v>100</v>
      </c>
      <c r="U336" s="8" t="n">
        <f aca="false">ROUND(P336*Assumptions!$B$2+Q336*Assumptions!$B$3+R336*Assumptions!$B$4+S336*Assumptions!$B$5+T336*Assumptions!$B$6,0)</f>
        <v>74</v>
      </c>
      <c r="V336" s="8" t="str">
        <f aca="false">IF(U336&gt;=Assumptions!$B$10,"Healthy",IF(U336&gt;=Assumptions!$B$11,"Needs Attention","High Risk"))</f>
        <v>Needs Attention</v>
      </c>
    </row>
    <row r="337" customFormat="false" ht="15" hidden="false" customHeight="false" outlineLevel="0" collapsed="false">
      <c r="A337" s="8" t="s">
        <v>815</v>
      </c>
      <c r="B337" s="8" t="s">
        <v>816</v>
      </c>
      <c r="C337" s="8" t="s">
        <v>53</v>
      </c>
      <c r="D337" s="8" t="s">
        <v>326</v>
      </c>
      <c r="E337" s="8" t="s">
        <v>123</v>
      </c>
      <c r="F337" s="8" t="s">
        <v>133</v>
      </c>
      <c r="G337" s="8" t="s">
        <v>147</v>
      </c>
      <c r="H337" s="15" t="n">
        <v>4850</v>
      </c>
      <c r="I337" s="15" t="n">
        <v>4850</v>
      </c>
      <c r="J337" s="16" t="n">
        <v>0.849</v>
      </c>
      <c r="K337" s="8" t="n">
        <v>10.3</v>
      </c>
      <c r="L337" s="8" t="n">
        <v>8</v>
      </c>
      <c r="M337" s="8" t="n">
        <v>1</v>
      </c>
      <c r="N337" s="8" t="s">
        <v>120</v>
      </c>
      <c r="O337" s="15" t="n">
        <f aca="false">H337*12</f>
        <v>58200</v>
      </c>
      <c r="P337" s="8" t="n">
        <f aca="false">MIN(100,ROUND(100*J337/Assumptions!$B$8,0))</f>
        <v>94</v>
      </c>
      <c r="Q337" s="8" t="n">
        <f aca="false">IF(L337="",Assumptions!$B$9,L337*10)</f>
        <v>80</v>
      </c>
      <c r="R337" s="8" t="n">
        <f aca="false">IF(M337&lt;=1,Assumptions!$B$12,IF(M337&lt;=3,Assumptions!$B$13,IF(M337&lt;=6,Assumptions!$B$14,Assumptions!$B$15)))</f>
        <v>100</v>
      </c>
      <c r="S337" s="8" t="n">
        <f aca="false">IF(N337="Completed On Time",Assumptions!$B$16,IF(N337="Completed Late",Assumptions!$B$17,Assumptions!$B$18))</f>
        <v>100</v>
      </c>
      <c r="T337" s="8" t="n">
        <f aca="false">IF(I337=0,Assumptions!$B$20,IF(H337&gt;I337,Assumptions!$B$19,IF(H337=I337,Assumptions!$B$20,Assumptions!$B$21)))</f>
        <v>70</v>
      </c>
      <c r="U337" s="8" t="n">
        <f aca="false">ROUND(P337*Assumptions!$B$2+Q337*Assumptions!$B$3+R337*Assumptions!$B$4+S337*Assumptions!$B$5+T337*Assumptions!$B$6,0)</f>
        <v>88</v>
      </c>
      <c r="V337" s="8" t="str">
        <f aca="false">IF(U337&gt;=Assumptions!$B$10,"Healthy",IF(U337&gt;=Assumptions!$B$11,"Needs Attention","High Risk"))</f>
        <v>Healthy</v>
      </c>
    </row>
    <row r="338" customFormat="false" ht="15" hidden="false" customHeight="false" outlineLevel="0" collapsed="false">
      <c r="A338" s="8" t="s">
        <v>817</v>
      </c>
      <c r="B338" s="8" t="s">
        <v>818</v>
      </c>
      <c r="C338" s="8" t="s">
        <v>53</v>
      </c>
      <c r="D338" s="8" t="s">
        <v>326</v>
      </c>
      <c r="E338" s="8" t="s">
        <v>123</v>
      </c>
      <c r="F338" s="8" t="s">
        <v>223</v>
      </c>
      <c r="G338" s="8" t="s">
        <v>180</v>
      </c>
      <c r="H338" s="15" t="n">
        <v>4850</v>
      </c>
      <c r="I338" s="15" t="n">
        <v>4850</v>
      </c>
      <c r="J338" s="16" t="n">
        <v>0.77</v>
      </c>
      <c r="K338" s="8" t="n">
        <v>9.3</v>
      </c>
      <c r="L338" s="8" t="n">
        <v>8</v>
      </c>
      <c r="M338" s="8" t="n">
        <v>3</v>
      </c>
      <c r="N338" s="8" t="s">
        <v>120</v>
      </c>
      <c r="O338" s="15" t="n">
        <f aca="false">H338*12</f>
        <v>58200</v>
      </c>
      <c r="P338" s="8" t="n">
        <f aca="false">MIN(100,ROUND(100*J338/Assumptions!$B$8,0))</f>
        <v>86</v>
      </c>
      <c r="Q338" s="8" t="n">
        <f aca="false">IF(L338="",Assumptions!$B$9,L338*10)</f>
        <v>80</v>
      </c>
      <c r="R338" s="8" t="n">
        <f aca="false">IF(M338&lt;=1,Assumptions!$B$12,IF(M338&lt;=3,Assumptions!$B$13,IF(M338&lt;=6,Assumptions!$B$14,Assumptions!$B$15)))</f>
        <v>75</v>
      </c>
      <c r="S338" s="8" t="n">
        <f aca="false">IF(N338="Completed On Time",Assumptions!$B$16,IF(N338="Completed Late",Assumptions!$B$17,Assumptions!$B$18))</f>
        <v>100</v>
      </c>
      <c r="T338" s="8" t="n">
        <f aca="false">IF(I338=0,Assumptions!$B$20,IF(H338&gt;I338,Assumptions!$B$19,IF(H338=I338,Assumptions!$B$20,Assumptions!$B$21)))</f>
        <v>70</v>
      </c>
      <c r="U338" s="8" t="n">
        <f aca="false">ROUND(P338*Assumptions!$B$2+Q338*Assumptions!$B$3+R338*Assumptions!$B$4+S338*Assumptions!$B$5+T338*Assumptions!$B$6,0)</f>
        <v>81</v>
      </c>
      <c r="V338" s="8" t="str">
        <f aca="false">IF(U338&gt;=Assumptions!$B$10,"Healthy",IF(U338&gt;=Assumptions!$B$11,"Needs Attention","High Risk"))</f>
        <v>Healthy</v>
      </c>
    </row>
    <row r="339" customFormat="false" ht="15" hidden="false" customHeight="false" outlineLevel="0" collapsed="false">
      <c r="A339" s="8" t="s">
        <v>819</v>
      </c>
      <c r="B339" s="8" t="s">
        <v>820</v>
      </c>
      <c r="C339" s="8" t="s">
        <v>55</v>
      </c>
      <c r="D339" s="8" t="s">
        <v>326</v>
      </c>
      <c r="E339" s="8" t="s">
        <v>123</v>
      </c>
      <c r="F339" s="8" t="s">
        <v>223</v>
      </c>
      <c r="G339" s="8" t="s">
        <v>129</v>
      </c>
      <c r="H339" s="15" t="n">
        <v>4825</v>
      </c>
      <c r="I339" s="15" t="n">
        <v>4825</v>
      </c>
      <c r="J339" s="16" t="n">
        <v>0.75</v>
      </c>
      <c r="K339" s="8" t="n">
        <v>10.3</v>
      </c>
      <c r="L339" s="8" t="n">
        <v>10</v>
      </c>
      <c r="M339" s="8" t="n">
        <v>3</v>
      </c>
      <c r="N339" s="8" t="s">
        <v>120</v>
      </c>
      <c r="O339" s="15" t="n">
        <f aca="false">H339*12</f>
        <v>57900</v>
      </c>
      <c r="P339" s="8" t="n">
        <f aca="false">MIN(100,ROUND(100*J339/Assumptions!$B$8,0))</f>
        <v>83</v>
      </c>
      <c r="Q339" s="8" t="n">
        <f aca="false">IF(L339="",Assumptions!$B$9,L339*10)</f>
        <v>100</v>
      </c>
      <c r="R339" s="8" t="n">
        <f aca="false">IF(M339&lt;=1,Assumptions!$B$12,IF(M339&lt;=3,Assumptions!$B$13,IF(M339&lt;=6,Assumptions!$B$14,Assumptions!$B$15)))</f>
        <v>75</v>
      </c>
      <c r="S339" s="8" t="n">
        <f aca="false">IF(N339="Completed On Time",Assumptions!$B$16,IF(N339="Completed Late",Assumptions!$B$17,Assumptions!$B$18))</f>
        <v>100</v>
      </c>
      <c r="T339" s="8" t="n">
        <f aca="false">IF(I339=0,Assumptions!$B$20,IF(H339&gt;I339,Assumptions!$B$19,IF(H339=I339,Assumptions!$B$20,Assumptions!$B$21)))</f>
        <v>70</v>
      </c>
      <c r="U339" s="8" t="n">
        <f aca="false">ROUND(P339*Assumptions!$B$2+Q339*Assumptions!$B$3+R339*Assumptions!$B$4+S339*Assumptions!$B$5+T339*Assumptions!$B$6,0)</f>
        <v>84</v>
      </c>
      <c r="V339" s="8" t="str">
        <f aca="false">IF(U339&gt;=Assumptions!$B$10,"Healthy",IF(U339&gt;=Assumptions!$B$11,"Needs Attention","High Risk"))</f>
        <v>Healthy</v>
      </c>
    </row>
    <row r="340" customFormat="false" ht="15" hidden="false" customHeight="false" outlineLevel="0" collapsed="false">
      <c r="A340" s="8" t="s">
        <v>821</v>
      </c>
      <c r="B340" s="8" t="s">
        <v>822</v>
      </c>
      <c r="C340" s="8" t="s">
        <v>53</v>
      </c>
      <c r="D340" s="8" t="s">
        <v>326</v>
      </c>
      <c r="E340" s="8" t="s">
        <v>132</v>
      </c>
      <c r="F340" s="8" t="s">
        <v>124</v>
      </c>
      <c r="G340" s="8" t="s">
        <v>140</v>
      </c>
      <c r="H340" s="15" t="n">
        <v>4825</v>
      </c>
      <c r="I340" s="15" t="n">
        <v>4825</v>
      </c>
      <c r="J340" s="16" t="n">
        <v>0.767</v>
      </c>
      <c r="K340" s="8" t="n">
        <v>9.3</v>
      </c>
      <c r="L340" s="8" t="n">
        <v>8</v>
      </c>
      <c r="M340" s="8" t="n">
        <v>1</v>
      </c>
      <c r="N340" s="8" t="s">
        <v>120</v>
      </c>
      <c r="O340" s="15" t="n">
        <f aca="false">H340*12</f>
        <v>57900</v>
      </c>
      <c r="P340" s="8" t="n">
        <f aca="false">MIN(100,ROUND(100*J340/Assumptions!$B$8,0))</f>
        <v>85</v>
      </c>
      <c r="Q340" s="8" t="n">
        <f aca="false">IF(L340="",Assumptions!$B$9,L340*10)</f>
        <v>80</v>
      </c>
      <c r="R340" s="8" t="n">
        <f aca="false">IF(M340&lt;=1,Assumptions!$B$12,IF(M340&lt;=3,Assumptions!$B$13,IF(M340&lt;=6,Assumptions!$B$14,Assumptions!$B$15)))</f>
        <v>100</v>
      </c>
      <c r="S340" s="8" t="n">
        <f aca="false">IF(N340="Completed On Time",Assumptions!$B$16,IF(N340="Completed Late",Assumptions!$B$17,Assumptions!$B$18))</f>
        <v>100</v>
      </c>
      <c r="T340" s="8" t="n">
        <f aca="false">IF(I340=0,Assumptions!$B$20,IF(H340&gt;I340,Assumptions!$B$19,IF(H340=I340,Assumptions!$B$20,Assumptions!$B$21)))</f>
        <v>70</v>
      </c>
      <c r="U340" s="8" t="n">
        <f aca="false">ROUND(P340*Assumptions!$B$2+Q340*Assumptions!$B$3+R340*Assumptions!$B$4+S340*Assumptions!$B$5+T340*Assumptions!$B$6,0)</f>
        <v>85</v>
      </c>
      <c r="V340" s="8" t="str">
        <f aca="false">IF(U340&gt;=Assumptions!$B$10,"Healthy",IF(U340&gt;=Assumptions!$B$11,"Needs Attention","High Risk"))</f>
        <v>Healthy</v>
      </c>
    </row>
    <row r="341" customFormat="false" ht="15" hidden="false" customHeight="false" outlineLevel="0" collapsed="false">
      <c r="A341" s="8" t="s">
        <v>823</v>
      </c>
      <c r="B341" s="8" t="s">
        <v>824</v>
      </c>
      <c r="C341" s="8" t="s">
        <v>53</v>
      </c>
      <c r="D341" s="8" t="s">
        <v>326</v>
      </c>
      <c r="E341" s="8" t="s">
        <v>123</v>
      </c>
      <c r="F341" s="8" t="s">
        <v>154</v>
      </c>
      <c r="G341" s="8" t="s">
        <v>144</v>
      </c>
      <c r="H341" s="15" t="n">
        <v>4800</v>
      </c>
      <c r="I341" s="15" t="n">
        <v>4800</v>
      </c>
      <c r="J341" s="16" t="n">
        <v>0.918</v>
      </c>
      <c r="K341" s="8" t="n">
        <v>10.7</v>
      </c>
      <c r="L341" s="8" t="n">
        <v>8</v>
      </c>
      <c r="M341" s="8" t="n">
        <v>1</v>
      </c>
      <c r="N341" s="8" t="s">
        <v>120</v>
      </c>
      <c r="O341" s="15" t="n">
        <f aca="false">H341*12</f>
        <v>57600</v>
      </c>
      <c r="P341" s="8" t="n">
        <f aca="false">MIN(100,ROUND(100*J341/Assumptions!$B$8,0))</f>
        <v>100</v>
      </c>
      <c r="Q341" s="8" t="n">
        <f aca="false">IF(L341="",Assumptions!$B$9,L341*10)</f>
        <v>80</v>
      </c>
      <c r="R341" s="8" t="n">
        <f aca="false">IF(M341&lt;=1,Assumptions!$B$12,IF(M341&lt;=3,Assumptions!$B$13,IF(M341&lt;=6,Assumptions!$B$14,Assumptions!$B$15)))</f>
        <v>100</v>
      </c>
      <c r="S341" s="8" t="n">
        <f aca="false">IF(N341="Completed On Time",Assumptions!$B$16,IF(N341="Completed Late",Assumptions!$B$17,Assumptions!$B$18))</f>
        <v>100</v>
      </c>
      <c r="T341" s="8" t="n">
        <f aca="false">IF(I341=0,Assumptions!$B$20,IF(H341&gt;I341,Assumptions!$B$19,IF(H341=I341,Assumptions!$B$20,Assumptions!$B$21)))</f>
        <v>70</v>
      </c>
      <c r="U341" s="8" t="n">
        <f aca="false">ROUND(P341*Assumptions!$B$2+Q341*Assumptions!$B$3+R341*Assumptions!$B$4+S341*Assumptions!$B$5+T341*Assumptions!$B$6,0)</f>
        <v>90</v>
      </c>
      <c r="V341" s="8" t="str">
        <f aca="false">IF(U341&gt;=Assumptions!$B$10,"Healthy",IF(U341&gt;=Assumptions!$B$11,"Needs Attention","High Risk"))</f>
        <v>Healthy</v>
      </c>
    </row>
    <row r="342" customFormat="false" ht="15" hidden="false" customHeight="false" outlineLevel="0" collapsed="false">
      <c r="A342" s="8" t="s">
        <v>825</v>
      </c>
      <c r="B342" s="8" t="s">
        <v>826</v>
      </c>
      <c r="C342" s="8" t="s">
        <v>53</v>
      </c>
      <c r="D342" s="8" t="s">
        <v>326</v>
      </c>
      <c r="E342" s="8" t="s">
        <v>132</v>
      </c>
      <c r="F342" s="8" t="s">
        <v>118</v>
      </c>
      <c r="G342" s="8" t="s">
        <v>180</v>
      </c>
      <c r="H342" s="15" t="n">
        <v>4800</v>
      </c>
      <c r="I342" s="15" t="n">
        <v>0</v>
      </c>
      <c r="J342" s="16" t="n">
        <v>0.76</v>
      </c>
      <c r="K342" s="8" t="n">
        <v>9</v>
      </c>
      <c r="L342" s="8"/>
      <c r="M342" s="8" t="n">
        <v>0</v>
      </c>
      <c r="N342" s="8" t="s">
        <v>120</v>
      </c>
      <c r="O342" s="15" t="n">
        <f aca="false">H342*12</f>
        <v>57600</v>
      </c>
      <c r="P342" s="8" t="n">
        <f aca="false">MIN(100,ROUND(100*J342/Assumptions!$B$8,0))</f>
        <v>84</v>
      </c>
      <c r="Q342" s="8" t="n">
        <f aca="false">IF(L342="",Assumptions!$B$9,L342*10)</f>
        <v>50</v>
      </c>
      <c r="R342" s="8" t="n">
        <f aca="false">IF(M342&lt;=1,Assumptions!$B$12,IF(M342&lt;=3,Assumptions!$B$13,IF(M342&lt;=6,Assumptions!$B$14,Assumptions!$B$15)))</f>
        <v>100</v>
      </c>
      <c r="S342" s="8" t="n">
        <f aca="false">IF(N342="Completed On Time",Assumptions!$B$16,IF(N342="Completed Late",Assumptions!$B$17,Assumptions!$B$18))</f>
        <v>100</v>
      </c>
      <c r="T342" s="8" t="n">
        <f aca="false">IF(I342=0,Assumptions!$B$20,IF(H342&gt;I342,Assumptions!$B$19,IF(H342=I342,Assumptions!$B$20,Assumptions!$B$21)))</f>
        <v>70</v>
      </c>
      <c r="U342" s="8" t="n">
        <f aca="false">ROUND(P342*Assumptions!$B$2+Q342*Assumptions!$B$3+R342*Assumptions!$B$4+S342*Assumptions!$B$5+T342*Assumptions!$B$6,0)</f>
        <v>78</v>
      </c>
      <c r="V342" s="8" t="str">
        <f aca="false">IF(U342&gt;=Assumptions!$B$10,"Healthy",IF(U342&gt;=Assumptions!$B$11,"Needs Attention","High Risk"))</f>
        <v>Needs Attention</v>
      </c>
    </row>
    <row r="343" customFormat="false" ht="15" hidden="false" customHeight="false" outlineLevel="0" collapsed="false">
      <c r="A343" s="8" t="s">
        <v>827</v>
      </c>
      <c r="B343" s="8" t="s">
        <v>828</v>
      </c>
      <c r="C343" s="8" t="s">
        <v>53</v>
      </c>
      <c r="D343" s="8" t="s">
        <v>326</v>
      </c>
      <c r="E343" s="8" t="s">
        <v>117</v>
      </c>
      <c r="F343" s="8" t="s">
        <v>118</v>
      </c>
      <c r="G343" s="8" t="s">
        <v>185</v>
      </c>
      <c r="H343" s="15" t="n">
        <v>4800</v>
      </c>
      <c r="I343" s="15" t="n">
        <v>3975</v>
      </c>
      <c r="J343" s="16" t="n">
        <v>0.889</v>
      </c>
      <c r="K343" s="8" t="n">
        <v>11.3</v>
      </c>
      <c r="L343" s="8" t="n">
        <v>10</v>
      </c>
      <c r="M343" s="8" t="n">
        <v>2</v>
      </c>
      <c r="N343" s="8" t="s">
        <v>120</v>
      </c>
      <c r="O343" s="15" t="n">
        <f aca="false">H343*12</f>
        <v>57600</v>
      </c>
      <c r="P343" s="8" t="n">
        <f aca="false">MIN(100,ROUND(100*J343/Assumptions!$B$8,0))</f>
        <v>99</v>
      </c>
      <c r="Q343" s="8" t="n">
        <f aca="false">IF(L343="",Assumptions!$B$9,L343*10)</f>
        <v>100</v>
      </c>
      <c r="R343" s="8" t="n">
        <f aca="false">IF(M343&lt;=1,Assumptions!$B$12,IF(M343&lt;=3,Assumptions!$B$13,IF(M343&lt;=6,Assumptions!$B$14,Assumptions!$B$15)))</f>
        <v>75</v>
      </c>
      <c r="S343" s="8" t="n">
        <f aca="false">IF(N343="Completed On Time",Assumptions!$B$16,IF(N343="Completed Late",Assumptions!$B$17,Assumptions!$B$18))</f>
        <v>100</v>
      </c>
      <c r="T343" s="8" t="n">
        <f aca="false">IF(I343=0,Assumptions!$B$20,IF(H343&gt;I343,Assumptions!$B$19,IF(H343=I343,Assumptions!$B$20,Assumptions!$B$21)))</f>
        <v>100</v>
      </c>
      <c r="U343" s="8" t="n">
        <f aca="false">ROUND(P343*Assumptions!$B$2+Q343*Assumptions!$B$3+R343*Assumptions!$B$4+S343*Assumptions!$B$5+T343*Assumptions!$B$6,0)</f>
        <v>96</v>
      </c>
      <c r="V343" s="8" t="str">
        <f aca="false">IF(U343&gt;=Assumptions!$B$10,"Healthy",IF(U343&gt;=Assumptions!$B$11,"Needs Attention","High Risk"))</f>
        <v>Healthy</v>
      </c>
    </row>
    <row r="344" customFormat="false" ht="15" hidden="false" customHeight="false" outlineLevel="0" collapsed="false">
      <c r="A344" s="8" t="s">
        <v>829</v>
      </c>
      <c r="B344" s="8" t="s">
        <v>830</v>
      </c>
      <c r="C344" s="8" t="s">
        <v>53</v>
      </c>
      <c r="D344" s="8" t="s">
        <v>326</v>
      </c>
      <c r="E344" s="8" t="s">
        <v>128</v>
      </c>
      <c r="F344" s="8" t="s">
        <v>143</v>
      </c>
      <c r="G344" s="8" t="s">
        <v>180</v>
      </c>
      <c r="H344" s="15" t="n">
        <v>4800</v>
      </c>
      <c r="I344" s="15" t="n">
        <v>4800</v>
      </c>
      <c r="J344" s="16" t="n">
        <v>0.806</v>
      </c>
      <c r="K344" s="8" t="n">
        <v>10</v>
      </c>
      <c r="L344" s="8" t="n">
        <v>9</v>
      </c>
      <c r="M344" s="8" t="n">
        <v>1</v>
      </c>
      <c r="N344" s="8" t="s">
        <v>120</v>
      </c>
      <c r="O344" s="15" t="n">
        <f aca="false">H344*12</f>
        <v>57600</v>
      </c>
      <c r="P344" s="8" t="n">
        <f aca="false">MIN(100,ROUND(100*J344/Assumptions!$B$8,0))</f>
        <v>90</v>
      </c>
      <c r="Q344" s="8" t="n">
        <f aca="false">IF(L344="",Assumptions!$B$9,L344*10)</f>
        <v>90</v>
      </c>
      <c r="R344" s="8" t="n">
        <f aca="false">IF(M344&lt;=1,Assumptions!$B$12,IF(M344&lt;=3,Assumptions!$B$13,IF(M344&lt;=6,Assumptions!$B$14,Assumptions!$B$15)))</f>
        <v>100</v>
      </c>
      <c r="S344" s="8" t="n">
        <f aca="false">IF(N344="Completed On Time",Assumptions!$B$16,IF(N344="Completed Late",Assumptions!$B$17,Assumptions!$B$18))</f>
        <v>100</v>
      </c>
      <c r="T344" s="8" t="n">
        <f aca="false">IF(I344=0,Assumptions!$B$20,IF(H344&gt;I344,Assumptions!$B$19,IF(H344=I344,Assumptions!$B$20,Assumptions!$B$21)))</f>
        <v>70</v>
      </c>
      <c r="U344" s="8" t="n">
        <f aca="false">ROUND(P344*Assumptions!$B$2+Q344*Assumptions!$B$3+R344*Assumptions!$B$4+S344*Assumptions!$B$5+T344*Assumptions!$B$6,0)</f>
        <v>89</v>
      </c>
      <c r="V344" s="8" t="str">
        <f aca="false">IF(U344&gt;=Assumptions!$B$10,"Healthy",IF(U344&gt;=Assumptions!$B$11,"Needs Attention","High Risk"))</f>
        <v>Healthy</v>
      </c>
    </row>
    <row r="345" customFormat="false" ht="15" hidden="false" customHeight="false" outlineLevel="0" collapsed="false">
      <c r="A345" s="8" t="s">
        <v>831</v>
      </c>
      <c r="B345" s="8" t="s">
        <v>832</v>
      </c>
      <c r="C345" s="8" t="s">
        <v>53</v>
      </c>
      <c r="D345" s="8" t="s">
        <v>326</v>
      </c>
      <c r="E345" s="8" t="s">
        <v>123</v>
      </c>
      <c r="F345" s="8" t="s">
        <v>133</v>
      </c>
      <c r="G345" s="8" t="s">
        <v>144</v>
      </c>
      <c r="H345" s="15" t="n">
        <v>4775</v>
      </c>
      <c r="I345" s="15" t="n">
        <v>4775</v>
      </c>
      <c r="J345" s="16" t="n">
        <v>0.567</v>
      </c>
      <c r="K345" s="8" t="n">
        <v>5.3</v>
      </c>
      <c r="L345" s="8" t="n">
        <v>6</v>
      </c>
      <c r="M345" s="8" t="n">
        <v>5</v>
      </c>
      <c r="N345" s="8" t="s">
        <v>148</v>
      </c>
      <c r="O345" s="15" t="n">
        <f aca="false">H345*12</f>
        <v>57300</v>
      </c>
      <c r="P345" s="8" t="n">
        <f aca="false">MIN(100,ROUND(100*J345/Assumptions!$B$8,0))</f>
        <v>63</v>
      </c>
      <c r="Q345" s="8" t="n">
        <f aca="false">IF(L345="",Assumptions!$B$9,L345*10)</f>
        <v>60</v>
      </c>
      <c r="R345" s="8" t="n">
        <f aca="false">IF(M345&lt;=1,Assumptions!$B$12,IF(M345&lt;=3,Assumptions!$B$13,IF(M345&lt;=6,Assumptions!$B$14,Assumptions!$B$15)))</f>
        <v>50</v>
      </c>
      <c r="S345" s="8" t="n">
        <f aca="false">IF(N345="Completed On Time",Assumptions!$B$16,IF(N345="Completed Late",Assumptions!$B$17,Assumptions!$B$18))</f>
        <v>60</v>
      </c>
      <c r="T345" s="8" t="n">
        <f aca="false">IF(I345=0,Assumptions!$B$20,IF(H345&gt;I345,Assumptions!$B$19,IF(H345=I345,Assumptions!$B$20,Assumptions!$B$21)))</f>
        <v>70</v>
      </c>
      <c r="U345" s="8" t="n">
        <f aca="false">ROUND(P345*Assumptions!$B$2+Q345*Assumptions!$B$3+R345*Assumptions!$B$4+S345*Assumptions!$B$5+T345*Assumptions!$B$6,0)</f>
        <v>62</v>
      </c>
      <c r="V345" s="8" t="str">
        <f aca="false">IF(U345&gt;=Assumptions!$B$10,"Healthy",IF(U345&gt;=Assumptions!$B$11,"Needs Attention","High Risk"))</f>
        <v>High Risk</v>
      </c>
    </row>
    <row r="346" customFormat="false" ht="15" hidden="false" customHeight="false" outlineLevel="0" collapsed="false">
      <c r="A346" s="8" t="s">
        <v>833</v>
      </c>
      <c r="B346" s="8" t="s">
        <v>834</v>
      </c>
      <c r="C346" s="8" t="s">
        <v>53</v>
      </c>
      <c r="D346" s="8" t="s">
        <v>326</v>
      </c>
      <c r="E346" s="8" t="s">
        <v>123</v>
      </c>
      <c r="F346" s="8" t="s">
        <v>190</v>
      </c>
      <c r="G346" s="8" t="s">
        <v>144</v>
      </c>
      <c r="H346" s="15" t="n">
        <v>4775</v>
      </c>
      <c r="I346" s="15" t="n">
        <v>3975</v>
      </c>
      <c r="J346" s="16" t="n">
        <v>0.588</v>
      </c>
      <c r="K346" s="8" t="n">
        <v>7</v>
      </c>
      <c r="L346" s="8" t="n">
        <v>6</v>
      </c>
      <c r="M346" s="8" t="n">
        <v>4</v>
      </c>
      <c r="N346" s="8" t="s">
        <v>120</v>
      </c>
      <c r="O346" s="15" t="n">
        <f aca="false">H346*12</f>
        <v>57300</v>
      </c>
      <c r="P346" s="8" t="n">
        <f aca="false">MIN(100,ROUND(100*J346/Assumptions!$B$8,0))</f>
        <v>65</v>
      </c>
      <c r="Q346" s="8" t="n">
        <f aca="false">IF(L346="",Assumptions!$B$9,L346*10)</f>
        <v>60</v>
      </c>
      <c r="R346" s="8" t="n">
        <f aca="false">IF(M346&lt;=1,Assumptions!$B$12,IF(M346&lt;=3,Assumptions!$B$13,IF(M346&lt;=6,Assumptions!$B$14,Assumptions!$B$15)))</f>
        <v>50</v>
      </c>
      <c r="S346" s="8" t="n">
        <f aca="false">IF(N346="Completed On Time",Assumptions!$B$16,IF(N346="Completed Late",Assumptions!$B$17,Assumptions!$B$18))</f>
        <v>100</v>
      </c>
      <c r="T346" s="8" t="n">
        <f aca="false">IF(I346=0,Assumptions!$B$20,IF(H346&gt;I346,Assumptions!$B$19,IF(H346=I346,Assumptions!$B$20,Assumptions!$B$21)))</f>
        <v>100</v>
      </c>
      <c r="U346" s="8" t="n">
        <f aca="false">ROUND(P346*Assumptions!$B$2+Q346*Assumptions!$B$3+R346*Assumptions!$B$4+S346*Assumptions!$B$5+T346*Assumptions!$B$6,0)</f>
        <v>72</v>
      </c>
      <c r="V346" s="8" t="str">
        <f aca="false">IF(U346&gt;=Assumptions!$B$10,"Healthy",IF(U346&gt;=Assumptions!$B$11,"Needs Attention","High Risk"))</f>
        <v>Needs Attention</v>
      </c>
    </row>
    <row r="347" customFormat="false" ht="15" hidden="false" customHeight="false" outlineLevel="0" collapsed="false">
      <c r="A347" s="8" t="s">
        <v>835</v>
      </c>
      <c r="B347" s="8" t="s">
        <v>836</v>
      </c>
      <c r="C347" s="8" t="s">
        <v>53</v>
      </c>
      <c r="D347" s="8" t="s">
        <v>326</v>
      </c>
      <c r="E347" s="8" t="s">
        <v>128</v>
      </c>
      <c r="F347" s="8" t="s">
        <v>151</v>
      </c>
      <c r="G347" s="8" t="s">
        <v>204</v>
      </c>
      <c r="H347" s="15" t="n">
        <v>4775</v>
      </c>
      <c r="I347" s="15" t="n">
        <v>4775</v>
      </c>
      <c r="J347" s="16" t="n">
        <v>0.644</v>
      </c>
      <c r="K347" s="8" t="n">
        <v>8.3</v>
      </c>
      <c r="L347" s="8" t="n">
        <v>10</v>
      </c>
      <c r="M347" s="8" t="n">
        <v>2</v>
      </c>
      <c r="N347" s="8" t="s">
        <v>120</v>
      </c>
      <c r="O347" s="15" t="n">
        <f aca="false">H347*12</f>
        <v>57300</v>
      </c>
      <c r="P347" s="8" t="n">
        <f aca="false">MIN(100,ROUND(100*J347/Assumptions!$B$8,0))</f>
        <v>72</v>
      </c>
      <c r="Q347" s="8" t="n">
        <f aca="false">IF(L347="",Assumptions!$B$9,L347*10)</f>
        <v>100</v>
      </c>
      <c r="R347" s="8" t="n">
        <f aca="false">IF(M347&lt;=1,Assumptions!$B$12,IF(M347&lt;=3,Assumptions!$B$13,IF(M347&lt;=6,Assumptions!$B$14,Assumptions!$B$15)))</f>
        <v>75</v>
      </c>
      <c r="S347" s="8" t="n">
        <f aca="false">IF(N347="Completed On Time",Assumptions!$B$16,IF(N347="Completed Late",Assumptions!$B$17,Assumptions!$B$18))</f>
        <v>100</v>
      </c>
      <c r="T347" s="8" t="n">
        <f aca="false">IF(I347=0,Assumptions!$B$20,IF(H347&gt;I347,Assumptions!$B$19,IF(H347=I347,Assumptions!$B$20,Assumptions!$B$21)))</f>
        <v>70</v>
      </c>
      <c r="U347" s="8" t="n">
        <f aca="false">ROUND(P347*Assumptions!$B$2+Q347*Assumptions!$B$3+R347*Assumptions!$B$4+S347*Assumptions!$B$5+T347*Assumptions!$B$6,0)</f>
        <v>80</v>
      </c>
      <c r="V347" s="8" t="str">
        <f aca="false">IF(U347&gt;=Assumptions!$B$10,"Healthy",IF(U347&gt;=Assumptions!$B$11,"Needs Attention","High Risk"))</f>
        <v>Healthy</v>
      </c>
    </row>
    <row r="348" customFormat="false" ht="15" hidden="false" customHeight="false" outlineLevel="0" collapsed="false">
      <c r="A348" s="8" t="s">
        <v>837</v>
      </c>
      <c r="B348" s="8" t="s">
        <v>838</v>
      </c>
      <c r="C348" s="8" t="s">
        <v>53</v>
      </c>
      <c r="D348" s="8" t="s">
        <v>326</v>
      </c>
      <c r="E348" s="8" t="s">
        <v>132</v>
      </c>
      <c r="F348" s="8" t="s">
        <v>143</v>
      </c>
      <c r="G348" s="8" t="s">
        <v>147</v>
      </c>
      <c r="H348" s="15" t="n">
        <v>4775</v>
      </c>
      <c r="I348" s="15" t="n">
        <v>4775</v>
      </c>
      <c r="J348" s="16" t="n">
        <v>0.759</v>
      </c>
      <c r="K348" s="8" t="n">
        <v>10.7</v>
      </c>
      <c r="L348" s="8" t="n">
        <v>6</v>
      </c>
      <c r="M348" s="8" t="n">
        <v>4</v>
      </c>
      <c r="N348" s="8" t="s">
        <v>120</v>
      </c>
      <c r="O348" s="15" t="n">
        <f aca="false">H348*12</f>
        <v>57300</v>
      </c>
      <c r="P348" s="8" t="n">
        <f aca="false">MIN(100,ROUND(100*J348/Assumptions!$B$8,0))</f>
        <v>84</v>
      </c>
      <c r="Q348" s="8" t="n">
        <f aca="false">IF(L348="",Assumptions!$B$9,L348*10)</f>
        <v>60</v>
      </c>
      <c r="R348" s="8" t="n">
        <f aca="false">IF(M348&lt;=1,Assumptions!$B$12,IF(M348&lt;=3,Assumptions!$B$13,IF(M348&lt;=6,Assumptions!$B$14,Assumptions!$B$15)))</f>
        <v>50</v>
      </c>
      <c r="S348" s="8" t="n">
        <f aca="false">IF(N348="Completed On Time",Assumptions!$B$16,IF(N348="Completed Late",Assumptions!$B$17,Assumptions!$B$18))</f>
        <v>100</v>
      </c>
      <c r="T348" s="8" t="n">
        <f aca="false">IF(I348=0,Assumptions!$B$20,IF(H348&gt;I348,Assumptions!$B$19,IF(H348=I348,Assumptions!$B$20,Assumptions!$B$21)))</f>
        <v>70</v>
      </c>
      <c r="U348" s="8" t="n">
        <f aca="false">ROUND(P348*Assumptions!$B$2+Q348*Assumptions!$B$3+R348*Assumptions!$B$4+S348*Assumptions!$B$5+T348*Assumptions!$B$6,0)</f>
        <v>73</v>
      </c>
      <c r="V348" s="8" t="str">
        <f aca="false">IF(U348&gt;=Assumptions!$B$10,"Healthy",IF(U348&gt;=Assumptions!$B$11,"Needs Attention","High Risk"))</f>
        <v>Needs Attention</v>
      </c>
    </row>
    <row r="349" customFormat="false" ht="15" hidden="false" customHeight="false" outlineLevel="0" collapsed="false">
      <c r="A349" s="8" t="s">
        <v>839</v>
      </c>
      <c r="B349" s="8" t="s">
        <v>840</v>
      </c>
      <c r="C349" s="8" t="s">
        <v>53</v>
      </c>
      <c r="D349" s="8" t="s">
        <v>326</v>
      </c>
      <c r="E349" s="8" t="s">
        <v>132</v>
      </c>
      <c r="F349" s="8" t="s">
        <v>190</v>
      </c>
      <c r="G349" s="8" t="s">
        <v>119</v>
      </c>
      <c r="H349" s="15" t="n">
        <v>4775</v>
      </c>
      <c r="I349" s="15" t="n">
        <v>4775</v>
      </c>
      <c r="J349" s="16" t="n">
        <v>0.557</v>
      </c>
      <c r="K349" s="8" t="n">
        <v>6.7</v>
      </c>
      <c r="L349" s="8" t="n">
        <v>8</v>
      </c>
      <c r="M349" s="8" t="n">
        <v>4</v>
      </c>
      <c r="N349" s="8" t="s">
        <v>120</v>
      </c>
      <c r="O349" s="15" t="n">
        <f aca="false">H349*12</f>
        <v>57300</v>
      </c>
      <c r="P349" s="8" t="n">
        <f aca="false">MIN(100,ROUND(100*J349/Assumptions!$B$8,0))</f>
        <v>62</v>
      </c>
      <c r="Q349" s="8" t="n">
        <f aca="false">IF(L349="",Assumptions!$B$9,L349*10)</f>
        <v>80</v>
      </c>
      <c r="R349" s="8" t="n">
        <f aca="false">IF(M349&lt;=1,Assumptions!$B$12,IF(M349&lt;=3,Assumptions!$B$13,IF(M349&lt;=6,Assumptions!$B$14,Assumptions!$B$15)))</f>
        <v>50</v>
      </c>
      <c r="S349" s="8" t="n">
        <f aca="false">IF(N349="Completed On Time",Assumptions!$B$16,IF(N349="Completed Late",Assumptions!$B$17,Assumptions!$B$18))</f>
        <v>100</v>
      </c>
      <c r="T349" s="8" t="n">
        <f aca="false">IF(I349=0,Assumptions!$B$20,IF(H349&gt;I349,Assumptions!$B$19,IF(H349=I349,Assumptions!$B$20,Assumptions!$B$21)))</f>
        <v>70</v>
      </c>
      <c r="U349" s="8" t="n">
        <f aca="false">ROUND(P349*Assumptions!$B$2+Q349*Assumptions!$B$3+R349*Assumptions!$B$4+S349*Assumptions!$B$5+T349*Assumptions!$B$6,0)</f>
        <v>69</v>
      </c>
      <c r="V349" s="8" t="str">
        <f aca="false">IF(U349&gt;=Assumptions!$B$10,"Healthy",IF(U349&gt;=Assumptions!$B$11,"Needs Attention","High Risk"))</f>
        <v>Needs Attention</v>
      </c>
    </row>
    <row r="350" customFormat="false" ht="15" hidden="false" customHeight="false" outlineLevel="0" collapsed="false">
      <c r="A350" s="8" t="s">
        <v>841</v>
      </c>
      <c r="B350" s="8" t="s">
        <v>842</v>
      </c>
      <c r="C350" s="8" t="s">
        <v>53</v>
      </c>
      <c r="D350" s="8" t="s">
        <v>326</v>
      </c>
      <c r="E350" s="8" t="s">
        <v>132</v>
      </c>
      <c r="F350" s="8" t="s">
        <v>133</v>
      </c>
      <c r="G350" s="8" t="s">
        <v>147</v>
      </c>
      <c r="H350" s="15" t="n">
        <v>4775</v>
      </c>
      <c r="I350" s="15" t="n">
        <v>4775</v>
      </c>
      <c r="J350" s="16" t="n">
        <v>0.77</v>
      </c>
      <c r="K350" s="8" t="n">
        <v>9.3</v>
      </c>
      <c r="L350" s="8" t="n">
        <v>7</v>
      </c>
      <c r="M350" s="8" t="n">
        <v>1</v>
      </c>
      <c r="N350" s="8" t="s">
        <v>120</v>
      </c>
      <c r="O350" s="15" t="n">
        <f aca="false">H350*12</f>
        <v>57300</v>
      </c>
      <c r="P350" s="8" t="n">
        <f aca="false">MIN(100,ROUND(100*J350/Assumptions!$B$8,0))</f>
        <v>86</v>
      </c>
      <c r="Q350" s="8" t="n">
        <f aca="false">IF(L350="",Assumptions!$B$9,L350*10)</f>
        <v>70</v>
      </c>
      <c r="R350" s="8" t="n">
        <f aca="false">IF(M350&lt;=1,Assumptions!$B$12,IF(M350&lt;=3,Assumptions!$B$13,IF(M350&lt;=6,Assumptions!$B$14,Assumptions!$B$15)))</f>
        <v>100</v>
      </c>
      <c r="S350" s="8" t="n">
        <f aca="false">IF(N350="Completed On Time",Assumptions!$B$16,IF(N350="Completed Late",Assumptions!$B$17,Assumptions!$B$18))</f>
        <v>100</v>
      </c>
      <c r="T350" s="8" t="n">
        <f aca="false">IF(I350=0,Assumptions!$B$20,IF(H350&gt;I350,Assumptions!$B$19,IF(H350=I350,Assumptions!$B$20,Assumptions!$B$21)))</f>
        <v>70</v>
      </c>
      <c r="U350" s="8" t="n">
        <f aca="false">ROUND(P350*Assumptions!$B$2+Q350*Assumptions!$B$3+R350*Assumptions!$B$4+S350*Assumptions!$B$5+T350*Assumptions!$B$6,0)</f>
        <v>83</v>
      </c>
      <c r="V350" s="8" t="str">
        <f aca="false">IF(U350&gt;=Assumptions!$B$10,"Healthy",IF(U350&gt;=Assumptions!$B$11,"Needs Attention","High Risk"))</f>
        <v>Healthy</v>
      </c>
    </row>
    <row r="351" customFormat="false" ht="15" hidden="false" customHeight="false" outlineLevel="0" collapsed="false">
      <c r="A351" s="8" t="s">
        <v>843</v>
      </c>
      <c r="B351" s="8" t="s">
        <v>844</v>
      </c>
      <c r="C351" s="8" t="s">
        <v>53</v>
      </c>
      <c r="D351" s="8" t="s">
        <v>326</v>
      </c>
      <c r="E351" s="8" t="s">
        <v>117</v>
      </c>
      <c r="F351" s="8" t="s">
        <v>190</v>
      </c>
      <c r="G351" s="8" t="s">
        <v>119</v>
      </c>
      <c r="H351" s="15" t="n">
        <v>4775</v>
      </c>
      <c r="I351" s="15" t="n">
        <v>4775</v>
      </c>
      <c r="J351" s="16" t="n">
        <v>0.431</v>
      </c>
      <c r="K351" s="8" t="n">
        <v>5</v>
      </c>
      <c r="L351" s="8" t="n">
        <v>9</v>
      </c>
      <c r="M351" s="8" t="n">
        <v>9</v>
      </c>
      <c r="N351" s="8" t="s">
        <v>120</v>
      </c>
      <c r="O351" s="15" t="n">
        <f aca="false">H351*12</f>
        <v>57300</v>
      </c>
      <c r="P351" s="8" t="n">
        <f aca="false">MIN(100,ROUND(100*J351/Assumptions!$B$8,0))</f>
        <v>48</v>
      </c>
      <c r="Q351" s="8" t="n">
        <f aca="false">IF(L351="",Assumptions!$B$9,L351*10)</f>
        <v>90</v>
      </c>
      <c r="R351" s="8" t="n">
        <f aca="false">IF(M351&lt;=1,Assumptions!$B$12,IF(M351&lt;=3,Assumptions!$B$13,IF(M351&lt;=6,Assumptions!$B$14,Assumptions!$B$15)))</f>
        <v>20</v>
      </c>
      <c r="S351" s="8" t="n">
        <f aca="false">IF(N351="Completed On Time",Assumptions!$B$16,IF(N351="Completed Late",Assumptions!$B$17,Assumptions!$B$18))</f>
        <v>100</v>
      </c>
      <c r="T351" s="8" t="n">
        <f aca="false">IF(I351=0,Assumptions!$B$20,IF(H351&gt;I351,Assumptions!$B$19,IF(H351=I351,Assumptions!$B$20,Assumptions!$B$21)))</f>
        <v>70</v>
      </c>
      <c r="U351" s="8" t="n">
        <f aca="false">ROUND(P351*Assumptions!$B$2+Q351*Assumptions!$B$3+R351*Assumptions!$B$4+S351*Assumptions!$B$5+T351*Assumptions!$B$6,0)</f>
        <v>62</v>
      </c>
      <c r="V351" s="8" t="str">
        <f aca="false">IF(U351&gt;=Assumptions!$B$10,"Healthy",IF(U351&gt;=Assumptions!$B$11,"Needs Attention","High Risk"))</f>
        <v>High Risk</v>
      </c>
    </row>
    <row r="352" customFormat="false" ht="15" hidden="false" customHeight="false" outlineLevel="0" collapsed="false">
      <c r="A352" s="8" t="s">
        <v>845</v>
      </c>
      <c r="B352" s="8" t="s">
        <v>846</v>
      </c>
      <c r="C352" s="8" t="s">
        <v>53</v>
      </c>
      <c r="D352" s="8" t="s">
        <v>55</v>
      </c>
      <c r="E352" s="8" t="s">
        <v>128</v>
      </c>
      <c r="F352" s="8" t="s">
        <v>143</v>
      </c>
      <c r="G352" s="8" t="s">
        <v>185</v>
      </c>
      <c r="H352" s="15" t="n">
        <v>4770</v>
      </c>
      <c r="I352" s="15" t="n">
        <v>4770</v>
      </c>
      <c r="J352" s="16" t="n">
        <v>0.764</v>
      </c>
      <c r="K352" s="8" t="n">
        <v>7.3</v>
      </c>
      <c r="L352" s="8" t="n">
        <v>10</v>
      </c>
      <c r="M352" s="8" t="n">
        <v>3</v>
      </c>
      <c r="N352" s="8" t="s">
        <v>120</v>
      </c>
      <c r="O352" s="15" t="n">
        <f aca="false">H352*12</f>
        <v>57240</v>
      </c>
      <c r="P352" s="8" t="n">
        <f aca="false">MIN(100,ROUND(100*J352/Assumptions!$B$8,0))</f>
        <v>85</v>
      </c>
      <c r="Q352" s="8" t="n">
        <f aca="false">IF(L352="",Assumptions!$B$9,L352*10)</f>
        <v>100</v>
      </c>
      <c r="R352" s="8" t="n">
        <f aca="false">IF(M352&lt;=1,Assumptions!$B$12,IF(M352&lt;=3,Assumptions!$B$13,IF(M352&lt;=6,Assumptions!$B$14,Assumptions!$B$15)))</f>
        <v>75</v>
      </c>
      <c r="S352" s="8" t="n">
        <f aca="false">IF(N352="Completed On Time",Assumptions!$B$16,IF(N352="Completed Late",Assumptions!$B$17,Assumptions!$B$18))</f>
        <v>100</v>
      </c>
      <c r="T352" s="8" t="n">
        <f aca="false">IF(I352=0,Assumptions!$B$20,IF(H352&gt;I352,Assumptions!$B$19,IF(H352=I352,Assumptions!$B$20,Assumptions!$B$21)))</f>
        <v>70</v>
      </c>
      <c r="U352" s="8" t="n">
        <f aca="false">ROUND(P352*Assumptions!$B$2+Q352*Assumptions!$B$3+R352*Assumptions!$B$4+S352*Assumptions!$B$5+T352*Assumptions!$B$6,0)</f>
        <v>85</v>
      </c>
      <c r="V352" s="8" t="str">
        <f aca="false">IF(U352&gt;=Assumptions!$B$10,"Healthy",IF(U352&gt;=Assumptions!$B$11,"Needs Attention","High Risk"))</f>
        <v>Healthy</v>
      </c>
    </row>
    <row r="353" customFormat="false" ht="15" hidden="false" customHeight="false" outlineLevel="0" collapsed="false">
      <c r="A353" s="8" t="s">
        <v>847</v>
      </c>
      <c r="B353" s="8" t="s">
        <v>848</v>
      </c>
      <c r="C353" s="8" t="s">
        <v>53</v>
      </c>
      <c r="D353" s="8" t="s">
        <v>326</v>
      </c>
      <c r="E353" s="8" t="s">
        <v>132</v>
      </c>
      <c r="F353" s="8" t="s">
        <v>143</v>
      </c>
      <c r="G353" s="8" t="s">
        <v>204</v>
      </c>
      <c r="H353" s="15" t="n">
        <v>4750</v>
      </c>
      <c r="I353" s="15" t="n">
        <v>4750</v>
      </c>
      <c r="J353" s="16" t="n">
        <v>0.739</v>
      </c>
      <c r="K353" s="8" t="n">
        <v>9.7</v>
      </c>
      <c r="L353" s="8" t="n">
        <v>7</v>
      </c>
      <c r="M353" s="8" t="n">
        <v>4</v>
      </c>
      <c r="N353" s="8" t="s">
        <v>120</v>
      </c>
      <c r="O353" s="15" t="n">
        <f aca="false">H353*12</f>
        <v>57000</v>
      </c>
      <c r="P353" s="8" t="n">
        <f aca="false">MIN(100,ROUND(100*J353/Assumptions!$B$8,0))</f>
        <v>82</v>
      </c>
      <c r="Q353" s="8" t="n">
        <f aca="false">IF(L353="",Assumptions!$B$9,L353*10)</f>
        <v>70</v>
      </c>
      <c r="R353" s="8" t="n">
        <f aca="false">IF(M353&lt;=1,Assumptions!$B$12,IF(M353&lt;=3,Assumptions!$B$13,IF(M353&lt;=6,Assumptions!$B$14,Assumptions!$B$15)))</f>
        <v>50</v>
      </c>
      <c r="S353" s="8" t="n">
        <f aca="false">IF(N353="Completed On Time",Assumptions!$B$16,IF(N353="Completed Late",Assumptions!$B$17,Assumptions!$B$18))</f>
        <v>100</v>
      </c>
      <c r="T353" s="8" t="n">
        <f aca="false">IF(I353=0,Assumptions!$B$20,IF(H353&gt;I353,Assumptions!$B$19,IF(H353=I353,Assumptions!$B$20,Assumptions!$B$21)))</f>
        <v>70</v>
      </c>
      <c r="U353" s="8" t="n">
        <f aca="false">ROUND(P353*Assumptions!$B$2+Q353*Assumptions!$B$3+R353*Assumptions!$B$4+S353*Assumptions!$B$5+T353*Assumptions!$B$6,0)</f>
        <v>74</v>
      </c>
      <c r="V353" s="8" t="str">
        <f aca="false">IF(U353&gt;=Assumptions!$B$10,"Healthy",IF(U353&gt;=Assumptions!$B$11,"Needs Attention","High Risk"))</f>
        <v>Needs Attention</v>
      </c>
    </row>
    <row r="354" customFormat="false" ht="15" hidden="false" customHeight="false" outlineLevel="0" collapsed="false">
      <c r="A354" s="8" t="s">
        <v>849</v>
      </c>
      <c r="B354" s="8" t="s">
        <v>850</v>
      </c>
      <c r="C354" s="8" t="s">
        <v>53</v>
      </c>
      <c r="D354" s="8" t="s">
        <v>326</v>
      </c>
      <c r="E354" s="8" t="s">
        <v>123</v>
      </c>
      <c r="F354" s="8" t="s">
        <v>136</v>
      </c>
      <c r="G354" s="8" t="s">
        <v>137</v>
      </c>
      <c r="H354" s="15" t="n">
        <v>4750</v>
      </c>
      <c r="I354" s="15" t="n">
        <v>4750</v>
      </c>
      <c r="J354" s="16" t="n">
        <v>0.649</v>
      </c>
      <c r="K354" s="8" t="n">
        <v>6.3</v>
      </c>
      <c r="L354" s="8" t="n">
        <v>8</v>
      </c>
      <c r="M354" s="8" t="n">
        <v>3</v>
      </c>
      <c r="N354" s="8" t="s">
        <v>120</v>
      </c>
      <c r="O354" s="15" t="n">
        <f aca="false">H354*12</f>
        <v>57000</v>
      </c>
      <c r="P354" s="8" t="n">
        <f aca="false">MIN(100,ROUND(100*J354/Assumptions!$B$8,0))</f>
        <v>72</v>
      </c>
      <c r="Q354" s="8" t="n">
        <f aca="false">IF(L354="",Assumptions!$B$9,L354*10)</f>
        <v>80</v>
      </c>
      <c r="R354" s="8" t="n">
        <f aca="false">IF(M354&lt;=1,Assumptions!$B$12,IF(M354&lt;=3,Assumptions!$B$13,IF(M354&lt;=6,Assumptions!$B$14,Assumptions!$B$15)))</f>
        <v>75</v>
      </c>
      <c r="S354" s="8" t="n">
        <f aca="false">IF(N354="Completed On Time",Assumptions!$B$16,IF(N354="Completed Late",Assumptions!$B$17,Assumptions!$B$18))</f>
        <v>100</v>
      </c>
      <c r="T354" s="8" t="n">
        <f aca="false">IF(I354=0,Assumptions!$B$20,IF(H354&gt;I354,Assumptions!$B$19,IF(H354=I354,Assumptions!$B$20,Assumptions!$B$21)))</f>
        <v>70</v>
      </c>
      <c r="U354" s="8" t="n">
        <f aca="false">ROUND(P354*Assumptions!$B$2+Q354*Assumptions!$B$3+R354*Assumptions!$B$4+S354*Assumptions!$B$5+T354*Assumptions!$B$6,0)</f>
        <v>76</v>
      </c>
      <c r="V354" s="8" t="str">
        <f aca="false">IF(U354&gt;=Assumptions!$B$10,"Healthy",IF(U354&gt;=Assumptions!$B$11,"Needs Attention","High Risk"))</f>
        <v>Needs Attention</v>
      </c>
    </row>
    <row r="355" customFormat="false" ht="15" hidden="false" customHeight="false" outlineLevel="0" collapsed="false">
      <c r="A355" s="8" t="s">
        <v>851</v>
      </c>
      <c r="B355" s="8" t="s">
        <v>852</v>
      </c>
      <c r="C355" s="8" t="s">
        <v>53</v>
      </c>
      <c r="D355" s="8" t="s">
        <v>326</v>
      </c>
      <c r="E355" s="8" t="s">
        <v>123</v>
      </c>
      <c r="F355" s="8" t="s">
        <v>118</v>
      </c>
      <c r="G355" s="8" t="s">
        <v>204</v>
      </c>
      <c r="H355" s="15" t="n">
        <v>4750</v>
      </c>
      <c r="I355" s="15" t="n">
        <v>4750</v>
      </c>
      <c r="J355" s="16" t="n">
        <v>0.819</v>
      </c>
      <c r="K355" s="8" t="n">
        <v>8</v>
      </c>
      <c r="L355" s="8" t="n">
        <v>6</v>
      </c>
      <c r="M355" s="8" t="n">
        <v>1</v>
      </c>
      <c r="N355" s="8" t="s">
        <v>120</v>
      </c>
      <c r="O355" s="15" t="n">
        <f aca="false">H355*12</f>
        <v>57000</v>
      </c>
      <c r="P355" s="8" t="n">
        <f aca="false">MIN(100,ROUND(100*J355/Assumptions!$B$8,0))</f>
        <v>91</v>
      </c>
      <c r="Q355" s="8" t="n">
        <f aca="false">IF(L355="",Assumptions!$B$9,L355*10)</f>
        <v>60</v>
      </c>
      <c r="R355" s="8" t="n">
        <f aca="false">IF(M355&lt;=1,Assumptions!$B$12,IF(M355&lt;=3,Assumptions!$B$13,IF(M355&lt;=6,Assumptions!$B$14,Assumptions!$B$15)))</f>
        <v>100</v>
      </c>
      <c r="S355" s="8" t="n">
        <f aca="false">IF(N355="Completed On Time",Assumptions!$B$16,IF(N355="Completed Late",Assumptions!$B$17,Assumptions!$B$18))</f>
        <v>100</v>
      </c>
      <c r="T355" s="8" t="n">
        <f aca="false">IF(I355=0,Assumptions!$B$20,IF(H355&gt;I355,Assumptions!$B$19,IF(H355=I355,Assumptions!$B$20,Assumptions!$B$21)))</f>
        <v>70</v>
      </c>
      <c r="U355" s="8" t="n">
        <f aca="false">ROUND(P355*Assumptions!$B$2+Q355*Assumptions!$B$3+R355*Assumptions!$B$4+S355*Assumptions!$B$5+T355*Assumptions!$B$6,0)</f>
        <v>83</v>
      </c>
      <c r="V355" s="8" t="str">
        <f aca="false">IF(U355&gt;=Assumptions!$B$10,"Healthy",IF(U355&gt;=Assumptions!$B$11,"Needs Attention","High Risk"))</f>
        <v>Healthy</v>
      </c>
    </row>
    <row r="356" customFormat="false" ht="15" hidden="false" customHeight="false" outlineLevel="0" collapsed="false">
      <c r="A356" s="8" t="s">
        <v>853</v>
      </c>
      <c r="B356" s="8" t="s">
        <v>854</v>
      </c>
      <c r="C356" s="8" t="s">
        <v>53</v>
      </c>
      <c r="D356" s="8" t="s">
        <v>326</v>
      </c>
      <c r="E356" s="8" t="s">
        <v>123</v>
      </c>
      <c r="F356" s="8" t="s">
        <v>190</v>
      </c>
      <c r="G356" s="8" t="s">
        <v>177</v>
      </c>
      <c r="H356" s="15" t="n">
        <v>4725</v>
      </c>
      <c r="I356" s="15" t="n">
        <v>4725</v>
      </c>
      <c r="J356" s="16" t="n">
        <v>0.81</v>
      </c>
      <c r="K356" s="8" t="n">
        <v>10</v>
      </c>
      <c r="L356" s="8" t="n">
        <v>9</v>
      </c>
      <c r="M356" s="8" t="n">
        <v>5</v>
      </c>
      <c r="N356" s="8" t="s">
        <v>120</v>
      </c>
      <c r="O356" s="15" t="n">
        <f aca="false">H356*12</f>
        <v>56700</v>
      </c>
      <c r="P356" s="8" t="n">
        <f aca="false">MIN(100,ROUND(100*J356/Assumptions!$B$8,0))</f>
        <v>90</v>
      </c>
      <c r="Q356" s="8" t="n">
        <f aca="false">IF(L356="",Assumptions!$B$9,L356*10)</f>
        <v>90</v>
      </c>
      <c r="R356" s="8" t="n">
        <f aca="false">IF(M356&lt;=1,Assumptions!$B$12,IF(M356&lt;=3,Assumptions!$B$13,IF(M356&lt;=6,Assumptions!$B$14,Assumptions!$B$15)))</f>
        <v>50</v>
      </c>
      <c r="S356" s="8" t="n">
        <f aca="false">IF(N356="Completed On Time",Assumptions!$B$16,IF(N356="Completed Late",Assumptions!$B$17,Assumptions!$B$18))</f>
        <v>100</v>
      </c>
      <c r="T356" s="8" t="n">
        <f aca="false">IF(I356=0,Assumptions!$B$20,IF(H356&gt;I356,Assumptions!$B$19,IF(H356=I356,Assumptions!$B$20,Assumptions!$B$21)))</f>
        <v>70</v>
      </c>
      <c r="U356" s="8" t="n">
        <f aca="false">ROUND(P356*Assumptions!$B$2+Q356*Assumptions!$B$3+R356*Assumptions!$B$4+S356*Assumptions!$B$5+T356*Assumptions!$B$6,0)</f>
        <v>81</v>
      </c>
      <c r="V356" s="8" t="str">
        <f aca="false">IF(U356&gt;=Assumptions!$B$10,"Healthy",IF(U356&gt;=Assumptions!$B$11,"Needs Attention","High Risk"))</f>
        <v>Healthy</v>
      </c>
    </row>
    <row r="357" customFormat="false" ht="15" hidden="false" customHeight="false" outlineLevel="0" collapsed="false">
      <c r="A357" s="8" t="s">
        <v>855</v>
      </c>
      <c r="B357" s="8" t="s">
        <v>856</v>
      </c>
      <c r="C357" s="8" t="s">
        <v>53</v>
      </c>
      <c r="D357" s="8" t="s">
        <v>326</v>
      </c>
      <c r="E357" s="8" t="s">
        <v>132</v>
      </c>
      <c r="F357" s="8" t="s">
        <v>151</v>
      </c>
      <c r="G357" s="8" t="s">
        <v>147</v>
      </c>
      <c r="H357" s="15" t="n">
        <v>4725</v>
      </c>
      <c r="I357" s="15" t="n">
        <v>4725</v>
      </c>
      <c r="J357" s="16" t="n">
        <v>0.51</v>
      </c>
      <c r="K357" s="8" t="n">
        <v>6</v>
      </c>
      <c r="L357" s="8" t="n">
        <v>5</v>
      </c>
      <c r="M357" s="8" t="n">
        <v>7</v>
      </c>
      <c r="N357" s="8" t="s">
        <v>148</v>
      </c>
      <c r="O357" s="15" t="n">
        <f aca="false">H357*12</f>
        <v>56700</v>
      </c>
      <c r="P357" s="8" t="n">
        <f aca="false">MIN(100,ROUND(100*J357/Assumptions!$B$8,0))</f>
        <v>57</v>
      </c>
      <c r="Q357" s="8" t="n">
        <f aca="false">IF(L357="",Assumptions!$B$9,L357*10)</f>
        <v>50</v>
      </c>
      <c r="R357" s="8" t="n">
        <f aca="false">IF(M357&lt;=1,Assumptions!$B$12,IF(M357&lt;=3,Assumptions!$B$13,IF(M357&lt;=6,Assumptions!$B$14,Assumptions!$B$15)))</f>
        <v>20</v>
      </c>
      <c r="S357" s="8" t="n">
        <f aca="false">IF(N357="Completed On Time",Assumptions!$B$16,IF(N357="Completed Late",Assumptions!$B$17,Assumptions!$B$18))</f>
        <v>60</v>
      </c>
      <c r="T357" s="8" t="n">
        <f aca="false">IF(I357=0,Assumptions!$B$20,IF(H357&gt;I357,Assumptions!$B$19,IF(H357=I357,Assumptions!$B$20,Assumptions!$B$21)))</f>
        <v>70</v>
      </c>
      <c r="U357" s="8" t="n">
        <f aca="false">ROUND(P357*Assumptions!$B$2+Q357*Assumptions!$B$3+R357*Assumptions!$B$4+S357*Assumptions!$B$5+T357*Assumptions!$B$6,0)</f>
        <v>53</v>
      </c>
      <c r="V357" s="8" t="str">
        <f aca="false">IF(U357&gt;=Assumptions!$B$10,"Healthy",IF(U357&gt;=Assumptions!$B$11,"Needs Attention","High Risk"))</f>
        <v>High Risk</v>
      </c>
    </row>
    <row r="358" customFormat="false" ht="15" hidden="false" customHeight="false" outlineLevel="0" collapsed="false">
      <c r="A358" s="8" t="s">
        <v>857</v>
      </c>
      <c r="B358" s="8" t="s">
        <v>858</v>
      </c>
      <c r="C358" s="8" t="s">
        <v>53</v>
      </c>
      <c r="D358" s="8" t="s">
        <v>326</v>
      </c>
      <c r="E358" s="8" t="s">
        <v>117</v>
      </c>
      <c r="F358" s="8" t="s">
        <v>124</v>
      </c>
      <c r="G358" s="8" t="s">
        <v>147</v>
      </c>
      <c r="H358" s="15" t="n">
        <v>4700</v>
      </c>
      <c r="I358" s="15" t="n">
        <v>4700</v>
      </c>
      <c r="J358" s="16" t="n">
        <v>0.663</v>
      </c>
      <c r="K358" s="8" t="n">
        <v>6.7</v>
      </c>
      <c r="L358" s="8" t="n">
        <v>8</v>
      </c>
      <c r="M358" s="8" t="n">
        <v>7</v>
      </c>
      <c r="N358" s="8" t="s">
        <v>120</v>
      </c>
      <c r="O358" s="15" t="n">
        <f aca="false">H358*12</f>
        <v>56400</v>
      </c>
      <c r="P358" s="8" t="n">
        <f aca="false">MIN(100,ROUND(100*J358/Assumptions!$B$8,0))</f>
        <v>74</v>
      </c>
      <c r="Q358" s="8" t="n">
        <f aca="false">IF(L358="",Assumptions!$B$9,L358*10)</f>
        <v>80</v>
      </c>
      <c r="R358" s="8" t="n">
        <f aca="false">IF(M358&lt;=1,Assumptions!$B$12,IF(M358&lt;=3,Assumptions!$B$13,IF(M358&lt;=6,Assumptions!$B$14,Assumptions!$B$15)))</f>
        <v>20</v>
      </c>
      <c r="S358" s="8" t="n">
        <f aca="false">IF(N358="Completed On Time",Assumptions!$B$16,IF(N358="Completed Late",Assumptions!$B$17,Assumptions!$B$18))</f>
        <v>100</v>
      </c>
      <c r="T358" s="8" t="n">
        <f aca="false">IF(I358=0,Assumptions!$B$20,IF(H358&gt;I358,Assumptions!$B$19,IF(H358=I358,Assumptions!$B$20,Assumptions!$B$21)))</f>
        <v>70</v>
      </c>
      <c r="U358" s="8" t="n">
        <f aca="false">ROUND(P358*Assumptions!$B$2+Q358*Assumptions!$B$3+R358*Assumptions!$B$4+S358*Assumptions!$B$5+T358*Assumptions!$B$6,0)</f>
        <v>69</v>
      </c>
      <c r="V358" s="8" t="str">
        <f aca="false">IF(U358&gt;=Assumptions!$B$10,"Healthy",IF(U358&gt;=Assumptions!$B$11,"Needs Attention","High Risk"))</f>
        <v>Needs Attention</v>
      </c>
    </row>
    <row r="359" customFormat="false" ht="15" hidden="false" customHeight="false" outlineLevel="0" collapsed="false">
      <c r="A359" s="8" t="s">
        <v>859</v>
      </c>
      <c r="B359" s="8" t="s">
        <v>860</v>
      </c>
      <c r="C359" s="8" t="s">
        <v>53</v>
      </c>
      <c r="D359" s="8" t="s">
        <v>326</v>
      </c>
      <c r="E359" s="8" t="s">
        <v>123</v>
      </c>
      <c r="F359" s="8" t="s">
        <v>166</v>
      </c>
      <c r="G359" s="8" t="s">
        <v>140</v>
      </c>
      <c r="H359" s="15" t="n">
        <v>4700</v>
      </c>
      <c r="I359" s="15" t="n">
        <v>4700</v>
      </c>
      <c r="J359" s="16" t="n">
        <v>0.461</v>
      </c>
      <c r="K359" s="8" t="n">
        <v>5</v>
      </c>
      <c r="L359" s="8" t="n">
        <v>7</v>
      </c>
      <c r="M359" s="8" t="n">
        <v>8</v>
      </c>
      <c r="N359" s="8" t="s">
        <v>120</v>
      </c>
      <c r="O359" s="15" t="n">
        <f aca="false">H359*12</f>
        <v>56400</v>
      </c>
      <c r="P359" s="8" t="n">
        <f aca="false">MIN(100,ROUND(100*J359/Assumptions!$B$8,0))</f>
        <v>51</v>
      </c>
      <c r="Q359" s="8" t="n">
        <f aca="false">IF(L359="",Assumptions!$B$9,L359*10)</f>
        <v>70</v>
      </c>
      <c r="R359" s="8" t="n">
        <f aca="false">IF(M359&lt;=1,Assumptions!$B$12,IF(M359&lt;=3,Assumptions!$B$13,IF(M359&lt;=6,Assumptions!$B$14,Assumptions!$B$15)))</f>
        <v>20</v>
      </c>
      <c r="S359" s="8" t="n">
        <f aca="false">IF(N359="Completed On Time",Assumptions!$B$16,IF(N359="Completed Late",Assumptions!$B$17,Assumptions!$B$18))</f>
        <v>100</v>
      </c>
      <c r="T359" s="8" t="n">
        <f aca="false">IF(I359=0,Assumptions!$B$20,IF(H359&gt;I359,Assumptions!$B$19,IF(H359=I359,Assumptions!$B$20,Assumptions!$B$21)))</f>
        <v>70</v>
      </c>
      <c r="U359" s="8" t="n">
        <f aca="false">ROUND(P359*Assumptions!$B$2+Q359*Assumptions!$B$3+R359*Assumptions!$B$4+S359*Assumptions!$B$5+T359*Assumptions!$B$6,0)</f>
        <v>59</v>
      </c>
      <c r="V359" s="8" t="str">
        <f aca="false">IF(U359&gt;=Assumptions!$B$10,"Healthy",IF(U359&gt;=Assumptions!$B$11,"Needs Attention","High Risk"))</f>
        <v>High Risk</v>
      </c>
    </row>
    <row r="360" customFormat="false" ht="15" hidden="false" customHeight="false" outlineLevel="0" collapsed="false">
      <c r="A360" s="8" t="s">
        <v>861</v>
      </c>
      <c r="B360" s="8" t="s">
        <v>862</v>
      </c>
      <c r="C360" s="8" t="s">
        <v>53</v>
      </c>
      <c r="D360" s="8" t="s">
        <v>326</v>
      </c>
      <c r="E360" s="8" t="s">
        <v>123</v>
      </c>
      <c r="F360" s="8" t="s">
        <v>223</v>
      </c>
      <c r="G360" s="8" t="s">
        <v>159</v>
      </c>
      <c r="H360" s="15" t="n">
        <v>4700</v>
      </c>
      <c r="I360" s="15" t="n">
        <v>4700</v>
      </c>
      <c r="J360" s="16" t="n">
        <v>0.95</v>
      </c>
      <c r="K360" s="8" t="n">
        <v>10.7</v>
      </c>
      <c r="L360" s="8" t="n">
        <v>7</v>
      </c>
      <c r="M360" s="8" t="n">
        <v>1</v>
      </c>
      <c r="N360" s="8" t="s">
        <v>120</v>
      </c>
      <c r="O360" s="15" t="n">
        <f aca="false">H360*12</f>
        <v>56400</v>
      </c>
      <c r="P360" s="8" t="n">
        <f aca="false">MIN(100,ROUND(100*J360/Assumptions!$B$8,0))</f>
        <v>100</v>
      </c>
      <c r="Q360" s="8" t="n">
        <f aca="false">IF(L360="",Assumptions!$B$9,L360*10)</f>
        <v>70</v>
      </c>
      <c r="R360" s="8" t="n">
        <f aca="false">IF(M360&lt;=1,Assumptions!$B$12,IF(M360&lt;=3,Assumptions!$B$13,IF(M360&lt;=6,Assumptions!$B$14,Assumptions!$B$15)))</f>
        <v>100</v>
      </c>
      <c r="S360" s="8" t="n">
        <f aca="false">IF(N360="Completed On Time",Assumptions!$B$16,IF(N360="Completed Late",Assumptions!$B$17,Assumptions!$B$18))</f>
        <v>100</v>
      </c>
      <c r="T360" s="8" t="n">
        <f aca="false">IF(I360=0,Assumptions!$B$20,IF(H360&gt;I360,Assumptions!$B$19,IF(H360=I360,Assumptions!$B$20,Assumptions!$B$21)))</f>
        <v>70</v>
      </c>
      <c r="U360" s="8" t="n">
        <f aca="false">ROUND(P360*Assumptions!$B$2+Q360*Assumptions!$B$3+R360*Assumptions!$B$4+S360*Assumptions!$B$5+T360*Assumptions!$B$6,0)</f>
        <v>88</v>
      </c>
      <c r="V360" s="8" t="str">
        <f aca="false">IF(U360&gt;=Assumptions!$B$10,"Healthy",IF(U360&gt;=Assumptions!$B$11,"Needs Attention","High Risk"))</f>
        <v>Healthy</v>
      </c>
    </row>
    <row r="361" customFormat="false" ht="15" hidden="false" customHeight="false" outlineLevel="0" collapsed="false">
      <c r="A361" s="8" t="s">
        <v>863</v>
      </c>
      <c r="B361" s="8" t="s">
        <v>864</v>
      </c>
      <c r="C361" s="8" t="s">
        <v>53</v>
      </c>
      <c r="D361" s="8" t="s">
        <v>55</v>
      </c>
      <c r="E361" s="8" t="s">
        <v>128</v>
      </c>
      <c r="F361" s="8" t="s">
        <v>151</v>
      </c>
      <c r="G361" s="8" t="s">
        <v>119</v>
      </c>
      <c r="H361" s="15" t="n">
        <v>4680</v>
      </c>
      <c r="I361" s="15" t="n">
        <v>4680</v>
      </c>
      <c r="J361" s="16" t="n">
        <v>0.724</v>
      </c>
      <c r="K361" s="8" t="n">
        <v>10</v>
      </c>
      <c r="L361" s="8" t="n">
        <v>7</v>
      </c>
      <c r="M361" s="8" t="n">
        <v>3</v>
      </c>
      <c r="N361" s="8" t="s">
        <v>148</v>
      </c>
      <c r="O361" s="15" t="n">
        <f aca="false">H361*12</f>
        <v>56160</v>
      </c>
      <c r="P361" s="8" t="n">
        <f aca="false">MIN(100,ROUND(100*J361/Assumptions!$B$8,0))</f>
        <v>80</v>
      </c>
      <c r="Q361" s="8" t="n">
        <f aca="false">IF(L361="",Assumptions!$B$9,L361*10)</f>
        <v>70</v>
      </c>
      <c r="R361" s="8" t="n">
        <f aca="false">IF(M361&lt;=1,Assumptions!$B$12,IF(M361&lt;=3,Assumptions!$B$13,IF(M361&lt;=6,Assumptions!$B$14,Assumptions!$B$15)))</f>
        <v>75</v>
      </c>
      <c r="S361" s="8" t="n">
        <f aca="false">IF(N361="Completed On Time",Assumptions!$B$16,IF(N361="Completed Late",Assumptions!$B$17,Assumptions!$B$18))</f>
        <v>60</v>
      </c>
      <c r="T361" s="8" t="n">
        <f aca="false">IF(I361=0,Assumptions!$B$20,IF(H361&gt;I361,Assumptions!$B$19,IF(H361=I361,Assumptions!$B$20,Assumptions!$B$21)))</f>
        <v>70</v>
      </c>
      <c r="U361" s="8" t="n">
        <f aca="false">ROUND(P361*Assumptions!$B$2+Q361*Assumptions!$B$3+R361*Assumptions!$B$4+S361*Assumptions!$B$5+T361*Assumptions!$B$6,0)</f>
        <v>73</v>
      </c>
      <c r="V361" s="8" t="str">
        <f aca="false">IF(U361&gt;=Assumptions!$B$10,"Healthy",IF(U361&gt;=Assumptions!$B$11,"Needs Attention","High Risk"))</f>
        <v>Needs Attention</v>
      </c>
    </row>
    <row r="362" customFormat="false" ht="15" hidden="false" customHeight="false" outlineLevel="0" collapsed="false">
      <c r="A362" s="8" t="s">
        <v>865</v>
      </c>
      <c r="B362" s="8" t="s">
        <v>866</v>
      </c>
      <c r="C362" s="8" t="s">
        <v>53</v>
      </c>
      <c r="D362" s="8" t="s">
        <v>326</v>
      </c>
      <c r="E362" s="8" t="s">
        <v>123</v>
      </c>
      <c r="F362" s="8" t="s">
        <v>190</v>
      </c>
      <c r="G362" s="8" t="s">
        <v>177</v>
      </c>
      <c r="H362" s="15" t="n">
        <v>4675</v>
      </c>
      <c r="I362" s="15" t="n">
        <v>4675</v>
      </c>
      <c r="J362" s="16" t="n">
        <v>0.768</v>
      </c>
      <c r="K362" s="8" t="n">
        <v>8.3</v>
      </c>
      <c r="L362" s="8" t="n">
        <v>7</v>
      </c>
      <c r="M362" s="8" t="n">
        <v>2</v>
      </c>
      <c r="N362" s="8" t="s">
        <v>120</v>
      </c>
      <c r="O362" s="15" t="n">
        <f aca="false">H362*12</f>
        <v>56100</v>
      </c>
      <c r="P362" s="8" t="n">
        <f aca="false">MIN(100,ROUND(100*J362/Assumptions!$B$8,0))</f>
        <v>85</v>
      </c>
      <c r="Q362" s="8" t="n">
        <f aca="false">IF(L362="",Assumptions!$B$9,L362*10)</f>
        <v>70</v>
      </c>
      <c r="R362" s="8" t="n">
        <f aca="false">IF(M362&lt;=1,Assumptions!$B$12,IF(M362&lt;=3,Assumptions!$B$13,IF(M362&lt;=6,Assumptions!$B$14,Assumptions!$B$15)))</f>
        <v>75</v>
      </c>
      <c r="S362" s="8" t="n">
        <f aca="false">IF(N362="Completed On Time",Assumptions!$B$16,IF(N362="Completed Late",Assumptions!$B$17,Assumptions!$B$18))</f>
        <v>100</v>
      </c>
      <c r="T362" s="8" t="n">
        <f aca="false">IF(I362=0,Assumptions!$B$20,IF(H362&gt;I362,Assumptions!$B$19,IF(H362=I362,Assumptions!$B$20,Assumptions!$B$21)))</f>
        <v>70</v>
      </c>
      <c r="U362" s="8" t="n">
        <f aca="false">ROUND(P362*Assumptions!$B$2+Q362*Assumptions!$B$3+R362*Assumptions!$B$4+S362*Assumptions!$B$5+T362*Assumptions!$B$6,0)</f>
        <v>79</v>
      </c>
      <c r="V362" s="8" t="str">
        <f aca="false">IF(U362&gt;=Assumptions!$B$10,"Healthy",IF(U362&gt;=Assumptions!$B$11,"Needs Attention","High Risk"))</f>
        <v>Needs Attention</v>
      </c>
    </row>
    <row r="363" customFormat="false" ht="15" hidden="false" customHeight="false" outlineLevel="0" collapsed="false">
      <c r="A363" s="8" t="s">
        <v>867</v>
      </c>
      <c r="B363" s="8" t="s">
        <v>868</v>
      </c>
      <c r="C363" s="8" t="s">
        <v>53</v>
      </c>
      <c r="D363" s="8" t="s">
        <v>326</v>
      </c>
      <c r="E363" s="8" t="s">
        <v>128</v>
      </c>
      <c r="F363" s="8" t="s">
        <v>223</v>
      </c>
      <c r="G363" s="8" t="s">
        <v>204</v>
      </c>
      <c r="H363" s="15" t="n">
        <v>4650</v>
      </c>
      <c r="I363" s="15" t="n">
        <v>4650</v>
      </c>
      <c r="J363" s="16" t="n">
        <v>0.686</v>
      </c>
      <c r="K363" s="8" t="n">
        <v>8</v>
      </c>
      <c r="L363" s="8" t="n">
        <v>6</v>
      </c>
      <c r="M363" s="8" t="n">
        <v>4</v>
      </c>
      <c r="N363" s="8" t="s">
        <v>120</v>
      </c>
      <c r="O363" s="15" t="n">
        <f aca="false">H363*12</f>
        <v>55800</v>
      </c>
      <c r="P363" s="8" t="n">
        <f aca="false">MIN(100,ROUND(100*J363/Assumptions!$B$8,0))</f>
        <v>76</v>
      </c>
      <c r="Q363" s="8" t="n">
        <f aca="false">IF(L363="",Assumptions!$B$9,L363*10)</f>
        <v>60</v>
      </c>
      <c r="R363" s="8" t="n">
        <f aca="false">IF(M363&lt;=1,Assumptions!$B$12,IF(M363&lt;=3,Assumptions!$B$13,IF(M363&lt;=6,Assumptions!$B$14,Assumptions!$B$15)))</f>
        <v>50</v>
      </c>
      <c r="S363" s="8" t="n">
        <f aca="false">IF(N363="Completed On Time",Assumptions!$B$16,IF(N363="Completed Late",Assumptions!$B$17,Assumptions!$B$18))</f>
        <v>100</v>
      </c>
      <c r="T363" s="8" t="n">
        <f aca="false">IF(I363=0,Assumptions!$B$20,IF(H363&gt;I363,Assumptions!$B$19,IF(H363=I363,Assumptions!$B$20,Assumptions!$B$21)))</f>
        <v>70</v>
      </c>
      <c r="U363" s="8" t="n">
        <f aca="false">ROUND(P363*Assumptions!$B$2+Q363*Assumptions!$B$3+R363*Assumptions!$B$4+S363*Assumptions!$B$5+T363*Assumptions!$B$6,0)</f>
        <v>70</v>
      </c>
      <c r="V363" s="8" t="str">
        <f aca="false">IF(U363&gt;=Assumptions!$B$10,"Healthy",IF(U363&gt;=Assumptions!$B$11,"Needs Attention","High Risk"))</f>
        <v>Needs Attention</v>
      </c>
    </row>
    <row r="364" customFormat="false" ht="15" hidden="false" customHeight="false" outlineLevel="0" collapsed="false">
      <c r="A364" s="8" t="s">
        <v>869</v>
      </c>
      <c r="B364" s="8" t="s">
        <v>870</v>
      </c>
      <c r="C364" s="8" t="s">
        <v>53</v>
      </c>
      <c r="D364" s="8" t="s">
        <v>326</v>
      </c>
      <c r="E364" s="8" t="s">
        <v>132</v>
      </c>
      <c r="F364" s="8" t="s">
        <v>124</v>
      </c>
      <c r="G364" s="8" t="s">
        <v>125</v>
      </c>
      <c r="H364" s="15" t="n">
        <v>4650</v>
      </c>
      <c r="I364" s="15" t="n">
        <v>4650</v>
      </c>
      <c r="J364" s="16" t="n">
        <v>0.595</v>
      </c>
      <c r="K364" s="8" t="n">
        <v>6.7</v>
      </c>
      <c r="L364" s="8" t="n">
        <v>8</v>
      </c>
      <c r="M364" s="8" t="n">
        <v>4</v>
      </c>
      <c r="N364" s="8" t="s">
        <v>120</v>
      </c>
      <c r="O364" s="15" t="n">
        <f aca="false">H364*12</f>
        <v>55800</v>
      </c>
      <c r="P364" s="8" t="n">
        <f aca="false">MIN(100,ROUND(100*J364/Assumptions!$B$8,0))</f>
        <v>66</v>
      </c>
      <c r="Q364" s="8" t="n">
        <f aca="false">IF(L364="",Assumptions!$B$9,L364*10)</f>
        <v>80</v>
      </c>
      <c r="R364" s="8" t="n">
        <f aca="false">IF(M364&lt;=1,Assumptions!$B$12,IF(M364&lt;=3,Assumptions!$B$13,IF(M364&lt;=6,Assumptions!$B$14,Assumptions!$B$15)))</f>
        <v>50</v>
      </c>
      <c r="S364" s="8" t="n">
        <f aca="false">IF(N364="Completed On Time",Assumptions!$B$16,IF(N364="Completed Late",Assumptions!$B$17,Assumptions!$B$18))</f>
        <v>100</v>
      </c>
      <c r="T364" s="8" t="n">
        <f aca="false">IF(I364=0,Assumptions!$B$20,IF(H364&gt;I364,Assumptions!$B$19,IF(H364=I364,Assumptions!$B$20,Assumptions!$B$21)))</f>
        <v>70</v>
      </c>
      <c r="U364" s="8" t="n">
        <f aca="false">ROUND(P364*Assumptions!$B$2+Q364*Assumptions!$B$3+R364*Assumptions!$B$4+S364*Assumptions!$B$5+T364*Assumptions!$B$6,0)</f>
        <v>71</v>
      </c>
      <c r="V364" s="8" t="str">
        <f aca="false">IF(U364&gt;=Assumptions!$B$10,"Healthy",IF(U364&gt;=Assumptions!$B$11,"Needs Attention","High Risk"))</f>
        <v>Needs Attention</v>
      </c>
    </row>
    <row r="365" customFormat="false" ht="15" hidden="false" customHeight="false" outlineLevel="0" collapsed="false">
      <c r="A365" s="8" t="s">
        <v>871</v>
      </c>
      <c r="B365" s="8" t="s">
        <v>872</v>
      </c>
      <c r="C365" s="8" t="s">
        <v>53</v>
      </c>
      <c r="D365" s="8" t="s">
        <v>326</v>
      </c>
      <c r="E365" s="8" t="s">
        <v>117</v>
      </c>
      <c r="F365" s="8" t="s">
        <v>118</v>
      </c>
      <c r="G365" s="8" t="s">
        <v>119</v>
      </c>
      <c r="H365" s="15" t="n">
        <v>4650</v>
      </c>
      <c r="I365" s="15" t="n">
        <v>4650</v>
      </c>
      <c r="J365" s="16" t="n">
        <v>0.441</v>
      </c>
      <c r="K365" s="8" t="n">
        <v>5.3</v>
      </c>
      <c r="L365" s="8" t="n">
        <v>8</v>
      </c>
      <c r="M365" s="8" t="n">
        <v>3</v>
      </c>
      <c r="N365" s="8" t="s">
        <v>148</v>
      </c>
      <c r="O365" s="15" t="n">
        <f aca="false">H365*12</f>
        <v>55800</v>
      </c>
      <c r="P365" s="8" t="n">
        <f aca="false">MIN(100,ROUND(100*J365/Assumptions!$B$8,0))</f>
        <v>49</v>
      </c>
      <c r="Q365" s="8" t="n">
        <f aca="false">IF(L365="",Assumptions!$B$9,L365*10)</f>
        <v>80</v>
      </c>
      <c r="R365" s="8" t="n">
        <f aca="false">IF(M365&lt;=1,Assumptions!$B$12,IF(M365&lt;=3,Assumptions!$B$13,IF(M365&lt;=6,Assumptions!$B$14,Assumptions!$B$15)))</f>
        <v>75</v>
      </c>
      <c r="S365" s="8" t="n">
        <f aca="false">IF(N365="Completed On Time",Assumptions!$B$16,IF(N365="Completed Late",Assumptions!$B$17,Assumptions!$B$18))</f>
        <v>60</v>
      </c>
      <c r="T365" s="8" t="n">
        <f aca="false">IF(I365=0,Assumptions!$B$20,IF(H365&gt;I365,Assumptions!$B$19,IF(H365=I365,Assumptions!$B$20,Assumptions!$B$21)))</f>
        <v>70</v>
      </c>
      <c r="U365" s="8" t="n">
        <f aca="false">ROUND(P365*Assumptions!$B$2+Q365*Assumptions!$B$3+R365*Assumptions!$B$4+S365*Assumptions!$B$5+T365*Assumptions!$B$6,0)</f>
        <v>64</v>
      </c>
      <c r="V365" s="8" t="str">
        <f aca="false">IF(U365&gt;=Assumptions!$B$10,"Healthy",IF(U365&gt;=Assumptions!$B$11,"Needs Attention","High Risk"))</f>
        <v>High Risk</v>
      </c>
    </row>
    <row r="366" customFormat="false" ht="15" hidden="false" customHeight="false" outlineLevel="0" collapsed="false">
      <c r="A366" s="8" t="s">
        <v>873</v>
      </c>
      <c r="B366" s="8" t="s">
        <v>874</v>
      </c>
      <c r="C366" s="8" t="s">
        <v>53</v>
      </c>
      <c r="D366" s="8" t="s">
        <v>326</v>
      </c>
      <c r="E366" s="8" t="s">
        <v>123</v>
      </c>
      <c r="F366" s="8" t="s">
        <v>143</v>
      </c>
      <c r="G366" s="8" t="s">
        <v>129</v>
      </c>
      <c r="H366" s="15" t="n">
        <v>4625</v>
      </c>
      <c r="I366" s="15" t="n">
        <v>4625</v>
      </c>
      <c r="J366" s="16" t="n">
        <v>0.786</v>
      </c>
      <c r="K366" s="8" t="n">
        <v>10</v>
      </c>
      <c r="L366" s="8" t="n">
        <v>9</v>
      </c>
      <c r="M366" s="8" t="n">
        <v>5</v>
      </c>
      <c r="N366" s="8" t="s">
        <v>120</v>
      </c>
      <c r="O366" s="15" t="n">
        <f aca="false">H366*12</f>
        <v>55500</v>
      </c>
      <c r="P366" s="8" t="n">
        <f aca="false">MIN(100,ROUND(100*J366/Assumptions!$B$8,0))</f>
        <v>87</v>
      </c>
      <c r="Q366" s="8" t="n">
        <f aca="false">IF(L366="",Assumptions!$B$9,L366*10)</f>
        <v>90</v>
      </c>
      <c r="R366" s="8" t="n">
        <f aca="false">IF(M366&lt;=1,Assumptions!$B$12,IF(M366&lt;=3,Assumptions!$B$13,IF(M366&lt;=6,Assumptions!$B$14,Assumptions!$B$15)))</f>
        <v>50</v>
      </c>
      <c r="S366" s="8" t="n">
        <f aca="false">IF(N366="Completed On Time",Assumptions!$B$16,IF(N366="Completed Late",Assumptions!$B$17,Assumptions!$B$18))</f>
        <v>100</v>
      </c>
      <c r="T366" s="8" t="n">
        <f aca="false">IF(I366=0,Assumptions!$B$20,IF(H366&gt;I366,Assumptions!$B$19,IF(H366=I366,Assumptions!$B$20,Assumptions!$B$21)))</f>
        <v>70</v>
      </c>
      <c r="U366" s="8" t="n">
        <f aca="false">ROUND(P366*Assumptions!$B$2+Q366*Assumptions!$B$3+R366*Assumptions!$B$4+S366*Assumptions!$B$5+T366*Assumptions!$B$6,0)</f>
        <v>80</v>
      </c>
      <c r="V366" s="8" t="str">
        <f aca="false">IF(U366&gt;=Assumptions!$B$10,"Healthy",IF(U366&gt;=Assumptions!$B$11,"Needs Attention","High Risk"))</f>
        <v>Healthy</v>
      </c>
    </row>
    <row r="367" customFormat="false" ht="15" hidden="false" customHeight="false" outlineLevel="0" collapsed="false">
      <c r="A367" s="8" t="s">
        <v>875</v>
      </c>
      <c r="B367" s="8" t="s">
        <v>876</v>
      </c>
      <c r="C367" s="8" t="s">
        <v>53</v>
      </c>
      <c r="D367" s="8" t="s">
        <v>326</v>
      </c>
      <c r="E367" s="8" t="s">
        <v>132</v>
      </c>
      <c r="F367" s="8" t="s">
        <v>166</v>
      </c>
      <c r="G367" s="8" t="s">
        <v>159</v>
      </c>
      <c r="H367" s="15" t="n">
        <v>4600</v>
      </c>
      <c r="I367" s="15" t="n">
        <v>4600</v>
      </c>
      <c r="J367" s="16" t="n">
        <v>0.978</v>
      </c>
      <c r="K367" s="8" t="n">
        <v>11.7</v>
      </c>
      <c r="L367" s="8" t="n">
        <v>10</v>
      </c>
      <c r="M367" s="8" t="n">
        <v>0</v>
      </c>
      <c r="N367" s="8" t="s">
        <v>120</v>
      </c>
      <c r="O367" s="15" t="n">
        <f aca="false">H367*12</f>
        <v>55200</v>
      </c>
      <c r="P367" s="8" t="n">
        <f aca="false">MIN(100,ROUND(100*J367/Assumptions!$B$8,0))</f>
        <v>100</v>
      </c>
      <c r="Q367" s="8" t="n">
        <f aca="false">IF(L367="",Assumptions!$B$9,L367*10)</f>
        <v>100</v>
      </c>
      <c r="R367" s="8" t="n">
        <f aca="false">IF(M367&lt;=1,Assumptions!$B$12,IF(M367&lt;=3,Assumptions!$B$13,IF(M367&lt;=6,Assumptions!$B$14,Assumptions!$B$15)))</f>
        <v>100</v>
      </c>
      <c r="S367" s="8" t="n">
        <f aca="false">IF(N367="Completed On Time",Assumptions!$B$16,IF(N367="Completed Late",Assumptions!$B$17,Assumptions!$B$18))</f>
        <v>100</v>
      </c>
      <c r="T367" s="8" t="n">
        <f aca="false">IF(I367=0,Assumptions!$B$20,IF(H367&gt;I367,Assumptions!$B$19,IF(H367=I367,Assumptions!$B$20,Assumptions!$B$21)))</f>
        <v>70</v>
      </c>
      <c r="U367" s="8" t="n">
        <f aca="false">ROUND(P367*Assumptions!$B$2+Q367*Assumptions!$B$3+R367*Assumptions!$B$4+S367*Assumptions!$B$5+T367*Assumptions!$B$6,0)</f>
        <v>94</v>
      </c>
      <c r="V367" s="8" t="str">
        <f aca="false">IF(U367&gt;=Assumptions!$B$10,"Healthy",IF(U367&gt;=Assumptions!$B$11,"Needs Attention","High Risk"))</f>
        <v>Healthy</v>
      </c>
    </row>
    <row r="368" customFormat="false" ht="15" hidden="false" customHeight="false" outlineLevel="0" collapsed="false">
      <c r="A368" s="8" t="s">
        <v>877</v>
      </c>
      <c r="B368" s="8" t="s">
        <v>878</v>
      </c>
      <c r="C368" s="8" t="s">
        <v>53</v>
      </c>
      <c r="D368" s="8" t="s">
        <v>326</v>
      </c>
      <c r="E368" s="8" t="s">
        <v>132</v>
      </c>
      <c r="F368" s="8" t="s">
        <v>190</v>
      </c>
      <c r="G368" s="8" t="s">
        <v>144</v>
      </c>
      <c r="H368" s="15" t="n">
        <v>4600</v>
      </c>
      <c r="I368" s="15" t="n">
        <v>4600</v>
      </c>
      <c r="J368" s="16" t="n">
        <v>0.723</v>
      </c>
      <c r="K368" s="8" t="n">
        <v>9</v>
      </c>
      <c r="L368" s="8" t="n">
        <v>8</v>
      </c>
      <c r="M368" s="8" t="n">
        <v>8</v>
      </c>
      <c r="N368" s="8" t="s">
        <v>120</v>
      </c>
      <c r="O368" s="15" t="n">
        <f aca="false">H368*12</f>
        <v>55200</v>
      </c>
      <c r="P368" s="8" t="n">
        <f aca="false">MIN(100,ROUND(100*J368/Assumptions!$B$8,0))</f>
        <v>80</v>
      </c>
      <c r="Q368" s="8" t="n">
        <f aca="false">IF(L368="",Assumptions!$B$9,L368*10)</f>
        <v>80</v>
      </c>
      <c r="R368" s="8" t="n">
        <f aca="false">IF(M368&lt;=1,Assumptions!$B$12,IF(M368&lt;=3,Assumptions!$B$13,IF(M368&lt;=6,Assumptions!$B$14,Assumptions!$B$15)))</f>
        <v>20</v>
      </c>
      <c r="S368" s="8" t="n">
        <f aca="false">IF(N368="Completed On Time",Assumptions!$B$16,IF(N368="Completed Late",Assumptions!$B$17,Assumptions!$B$18))</f>
        <v>100</v>
      </c>
      <c r="T368" s="8" t="n">
        <f aca="false">IF(I368=0,Assumptions!$B$20,IF(H368&gt;I368,Assumptions!$B$19,IF(H368=I368,Assumptions!$B$20,Assumptions!$B$21)))</f>
        <v>70</v>
      </c>
      <c r="U368" s="8" t="n">
        <f aca="false">ROUND(P368*Assumptions!$B$2+Q368*Assumptions!$B$3+R368*Assumptions!$B$4+S368*Assumptions!$B$5+T368*Assumptions!$B$6,0)</f>
        <v>71</v>
      </c>
      <c r="V368" s="8" t="str">
        <f aca="false">IF(U368&gt;=Assumptions!$B$10,"Healthy",IF(U368&gt;=Assumptions!$B$11,"Needs Attention","High Risk"))</f>
        <v>Needs Attention</v>
      </c>
    </row>
    <row r="369" customFormat="false" ht="15" hidden="false" customHeight="false" outlineLevel="0" collapsed="false">
      <c r="A369" s="8" t="s">
        <v>879</v>
      </c>
      <c r="B369" s="8" t="s">
        <v>880</v>
      </c>
      <c r="C369" s="8" t="s">
        <v>53</v>
      </c>
      <c r="D369" s="8" t="s">
        <v>326</v>
      </c>
      <c r="E369" s="8" t="s">
        <v>117</v>
      </c>
      <c r="F369" s="8" t="s">
        <v>154</v>
      </c>
      <c r="G369" s="8" t="s">
        <v>204</v>
      </c>
      <c r="H369" s="15" t="n">
        <v>4600</v>
      </c>
      <c r="I369" s="15" t="n">
        <v>5975</v>
      </c>
      <c r="J369" s="16" t="n">
        <v>0.684</v>
      </c>
      <c r="K369" s="8" t="n">
        <v>8</v>
      </c>
      <c r="L369" s="8" t="n">
        <v>9</v>
      </c>
      <c r="M369" s="8" t="n">
        <v>1</v>
      </c>
      <c r="N369" s="8" t="s">
        <v>120</v>
      </c>
      <c r="O369" s="15" t="n">
        <f aca="false">H369*12</f>
        <v>55200</v>
      </c>
      <c r="P369" s="8" t="n">
        <f aca="false">MIN(100,ROUND(100*J369/Assumptions!$B$8,0))</f>
        <v>76</v>
      </c>
      <c r="Q369" s="8" t="n">
        <f aca="false">IF(L369="",Assumptions!$B$9,L369*10)</f>
        <v>90</v>
      </c>
      <c r="R369" s="8" t="n">
        <f aca="false">IF(M369&lt;=1,Assumptions!$B$12,IF(M369&lt;=3,Assumptions!$B$13,IF(M369&lt;=6,Assumptions!$B$14,Assumptions!$B$15)))</f>
        <v>100</v>
      </c>
      <c r="S369" s="8" t="n">
        <f aca="false">IF(N369="Completed On Time",Assumptions!$B$16,IF(N369="Completed Late",Assumptions!$B$17,Assumptions!$B$18))</f>
        <v>100</v>
      </c>
      <c r="T369" s="8" t="n">
        <f aca="false">IF(I369=0,Assumptions!$B$20,IF(H369&gt;I369,Assumptions!$B$19,IF(H369=I369,Assumptions!$B$20,Assumptions!$B$21)))</f>
        <v>30</v>
      </c>
      <c r="U369" s="8" t="n">
        <f aca="false">ROUND(P369*Assumptions!$B$2+Q369*Assumptions!$B$3+R369*Assumptions!$B$4+S369*Assumptions!$B$5+T369*Assumptions!$B$6,0)</f>
        <v>76</v>
      </c>
      <c r="V369" s="8" t="str">
        <f aca="false">IF(U369&gt;=Assumptions!$B$10,"Healthy",IF(U369&gt;=Assumptions!$B$11,"Needs Attention","High Risk"))</f>
        <v>Needs Attention</v>
      </c>
    </row>
    <row r="370" customFormat="false" ht="15" hidden="false" customHeight="false" outlineLevel="0" collapsed="false">
      <c r="A370" s="8" t="s">
        <v>881</v>
      </c>
      <c r="B370" s="8" t="s">
        <v>882</v>
      </c>
      <c r="C370" s="8" t="s">
        <v>53</v>
      </c>
      <c r="D370" s="8" t="s">
        <v>326</v>
      </c>
      <c r="E370" s="8" t="s">
        <v>117</v>
      </c>
      <c r="F370" s="8" t="s">
        <v>143</v>
      </c>
      <c r="G370" s="8" t="s">
        <v>140</v>
      </c>
      <c r="H370" s="15" t="n">
        <v>4575</v>
      </c>
      <c r="I370" s="15" t="n">
        <v>4575</v>
      </c>
      <c r="J370" s="16" t="n">
        <v>0.931</v>
      </c>
      <c r="K370" s="8" t="n">
        <v>11.7</v>
      </c>
      <c r="L370" s="8" t="n">
        <v>10</v>
      </c>
      <c r="M370" s="8" t="n">
        <v>1</v>
      </c>
      <c r="N370" s="8" t="s">
        <v>120</v>
      </c>
      <c r="O370" s="15" t="n">
        <f aca="false">H370*12</f>
        <v>54900</v>
      </c>
      <c r="P370" s="8" t="n">
        <f aca="false">MIN(100,ROUND(100*J370/Assumptions!$B$8,0))</f>
        <v>100</v>
      </c>
      <c r="Q370" s="8" t="n">
        <f aca="false">IF(L370="",Assumptions!$B$9,L370*10)</f>
        <v>100</v>
      </c>
      <c r="R370" s="8" t="n">
        <f aca="false">IF(M370&lt;=1,Assumptions!$B$12,IF(M370&lt;=3,Assumptions!$B$13,IF(M370&lt;=6,Assumptions!$B$14,Assumptions!$B$15)))</f>
        <v>100</v>
      </c>
      <c r="S370" s="8" t="n">
        <f aca="false">IF(N370="Completed On Time",Assumptions!$B$16,IF(N370="Completed Late",Assumptions!$B$17,Assumptions!$B$18))</f>
        <v>100</v>
      </c>
      <c r="T370" s="8" t="n">
        <f aca="false">IF(I370=0,Assumptions!$B$20,IF(H370&gt;I370,Assumptions!$B$19,IF(H370=I370,Assumptions!$B$20,Assumptions!$B$21)))</f>
        <v>70</v>
      </c>
      <c r="U370" s="8" t="n">
        <f aca="false">ROUND(P370*Assumptions!$B$2+Q370*Assumptions!$B$3+R370*Assumptions!$B$4+S370*Assumptions!$B$5+T370*Assumptions!$B$6,0)</f>
        <v>94</v>
      </c>
      <c r="V370" s="8" t="str">
        <f aca="false">IF(U370&gt;=Assumptions!$B$10,"Healthy",IF(U370&gt;=Assumptions!$B$11,"Needs Attention","High Risk"))</f>
        <v>Healthy</v>
      </c>
    </row>
    <row r="371" customFormat="false" ht="15" hidden="false" customHeight="false" outlineLevel="0" collapsed="false">
      <c r="A371" s="8" t="s">
        <v>883</v>
      </c>
      <c r="B371" s="8" t="s">
        <v>884</v>
      </c>
      <c r="C371" s="8" t="s">
        <v>55</v>
      </c>
      <c r="D371" s="8" t="s">
        <v>326</v>
      </c>
      <c r="E371" s="8" t="s">
        <v>123</v>
      </c>
      <c r="F371" s="8" t="s">
        <v>136</v>
      </c>
      <c r="G371" s="8" t="s">
        <v>147</v>
      </c>
      <c r="H371" s="15" t="n">
        <v>4575</v>
      </c>
      <c r="I371" s="15" t="n">
        <v>4575</v>
      </c>
      <c r="J371" s="16" t="n">
        <v>0.803</v>
      </c>
      <c r="K371" s="8" t="n">
        <v>9.3</v>
      </c>
      <c r="L371" s="8" t="n">
        <v>10</v>
      </c>
      <c r="M371" s="8" t="n">
        <v>4</v>
      </c>
      <c r="N371" s="8" t="s">
        <v>120</v>
      </c>
      <c r="O371" s="15" t="n">
        <f aca="false">H371*12</f>
        <v>54900</v>
      </c>
      <c r="P371" s="8" t="n">
        <f aca="false">MIN(100,ROUND(100*J371/Assumptions!$B$8,0))</f>
        <v>89</v>
      </c>
      <c r="Q371" s="8" t="n">
        <f aca="false">IF(L371="",Assumptions!$B$9,L371*10)</f>
        <v>100</v>
      </c>
      <c r="R371" s="8" t="n">
        <f aca="false">IF(M371&lt;=1,Assumptions!$B$12,IF(M371&lt;=3,Assumptions!$B$13,IF(M371&lt;=6,Assumptions!$B$14,Assumptions!$B$15)))</f>
        <v>50</v>
      </c>
      <c r="S371" s="8" t="n">
        <f aca="false">IF(N371="Completed On Time",Assumptions!$B$16,IF(N371="Completed Late",Assumptions!$B$17,Assumptions!$B$18))</f>
        <v>100</v>
      </c>
      <c r="T371" s="8" t="n">
        <f aca="false">IF(I371=0,Assumptions!$B$20,IF(H371&gt;I371,Assumptions!$B$19,IF(H371=I371,Assumptions!$B$20,Assumptions!$B$21)))</f>
        <v>70</v>
      </c>
      <c r="U371" s="8" t="n">
        <f aca="false">ROUND(P371*Assumptions!$B$2+Q371*Assumptions!$B$3+R371*Assumptions!$B$4+S371*Assumptions!$B$5+T371*Assumptions!$B$6,0)</f>
        <v>83</v>
      </c>
      <c r="V371" s="8" t="str">
        <f aca="false">IF(U371&gt;=Assumptions!$B$10,"Healthy",IF(U371&gt;=Assumptions!$B$11,"Needs Attention","High Risk"))</f>
        <v>Healthy</v>
      </c>
    </row>
    <row r="372" customFormat="false" ht="15" hidden="false" customHeight="false" outlineLevel="0" collapsed="false">
      <c r="A372" s="8" t="s">
        <v>885</v>
      </c>
      <c r="B372" s="8" t="s">
        <v>886</v>
      </c>
      <c r="C372" s="8" t="s">
        <v>53</v>
      </c>
      <c r="D372" s="8" t="s">
        <v>326</v>
      </c>
      <c r="E372" s="8" t="s">
        <v>123</v>
      </c>
      <c r="F372" s="8" t="s">
        <v>143</v>
      </c>
      <c r="G372" s="8" t="s">
        <v>185</v>
      </c>
      <c r="H372" s="15" t="n">
        <v>4575</v>
      </c>
      <c r="I372" s="15" t="n">
        <v>4575</v>
      </c>
      <c r="J372" s="16" t="n">
        <v>0.57</v>
      </c>
      <c r="K372" s="8" t="n">
        <v>6.3</v>
      </c>
      <c r="L372" s="8" t="n">
        <v>5</v>
      </c>
      <c r="M372" s="8" t="n">
        <v>4</v>
      </c>
      <c r="N372" s="8" t="s">
        <v>148</v>
      </c>
      <c r="O372" s="15" t="n">
        <f aca="false">H372*12</f>
        <v>54900</v>
      </c>
      <c r="P372" s="8" t="n">
        <f aca="false">MIN(100,ROUND(100*J372/Assumptions!$B$8,0))</f>
        <v>63</v>
      </c>
      <c r="Q372" s="8" t="n">
        <f aca="false">IF(L372="",Assumptions!$B$9,L372*10)</f>
        <v>50</v>
      </c>
      <c r="R372" s="8" t="n">
        <f aca="false">IF(M372&lt;=1,Assumptions!$B$12,IF(M372&lt;=3,Assumptions!$B$13,IF(M372&lt;=6,Assumptions!$B$14,Assumptions!$B$15)))</f>
        <v>50</v>
      </c>
      <c r="S372" s="8" t="n">
        <f aca="false">IF(N372="Completed On Time",Assumptions!$B$16,IF(N372="Completed Late",Assumptions!$B$17,Assumptions!$B$18))</f>
        <v>60</v>
      </c>
      <c r="T372" s="8" t="n">
        <f aca="false">IF(I372=0,Assumptions!$B$20,IF(H372&gt;I372,Assumptions!$B$19,IF(H372=I372,Assumptions!$B$20,Assumptions!$B$21)))</f>
        <v>70</v>
      </c>
      <c r="U372" s="8" t="n">
        <f aca="false">ROUND(P372*Assumptions!$B$2+Q372*Assumptions!$B$3+R372*Assumptions!$B$4+S372*Assumptions!$B$5+T372*Assumptions!$B$6,0)</f>
        <v>60</v>
      </c>
      <c r="V372" s="8" t="str">
        <f aca="false">IF(U372&gt;=Assumptions!$B$10,"Healthy",IF(U372&gt;=Assumptions!$B$11,"Needs Attention","High Risk"))</f>
        <v>High Risk</v>
      </c>
    </row>
    <row r="373" customFormat="false" ht="15" hidden="false" customHeight="false" outlineLevel="0" collapsed="false">
      <c r="A373" s="8" t="s">
        <v>887</v>
      </c>
      <c r="B373" s="8" t="s">
        <v>888</v>
      </c>
      <c r="C373" s="8" t="s">
        <v>53</v>
      </c>
      <c r="D373" s="8" t="s">
        <v>326</v>
      </c>
      <c r="E373" s="8" t="s">
        <v>132</v>
      </c>
      <c r="F373" s="8" t="s">
        <v>190</v>
      </c>
      <c r="G373" s="8" t="s">
        <v>185</v>
      </c>
      <c r="H373" s="15" t="n">
        <v>4575</v>
      </c>
      <c r="I373" s="15" t="n">
        <v>4575</v>
      </c>
      <c r="J373" s="16" t="n">
        <v>0.705</v>
      </c>
      <c r="K373" s="8" t="n">
        <v>9.7</v>
      </c>
      <c r="L373" s="8" t="n">
        <v>7</v>
      </c>
      <c r="M373" s="8" t="n">
        <v>5</v>
      </c>
      <c r="N373" s="8" t="s">
        <v>120</v>
      </c>
      <c r="O373" s="15" t="n">
        <f aca="false">H373*12</f>
        <v>54900</v>
      </c>
      <c r="P373" s="8" t="n">
        <f aca="false">MIN(100,ROUND(100*J373/Assumptions!$B$8,0))</f>
        <v>78</v>
      </c>
      <c r="Q373" s="8" t="n">
        <f aca="false">IF(L373="",Assumptions!$B$9,L373*10)</f>
        <v>70</v>
      </c>
      <c r="R373" s="8" t="n">
        <f aca="false">IF(M373&lt;=1,Assumptions!$B$12,IF(M373&lt;=3,Assumptions!$B$13,IF(M373&lt;=6,Assumptions!$B$14,Assumptions!$B$15)))</f>
        <v>50</v>
      </c>
      <c r="S373" s="8" t="n">
        <f aca="false">IF(N373="Completed On Time",Assumptions!$B$16,IF(N373="Completed Late",Assumptions!$B$17,Assumptions!$B$18))</f>
        <v>100</v>
      </c>
      <c r="T373" s="8" t="n">
        <f aca="false">IF(I373=0,Assumptions!$B$20,IF(H373&gt;I373,Assumptions!$B$19,IF(H373=I373,Assumptions!$B$20,Assumptions!$B$21)))</f>
        <v>70</v>
      </c>
      <c r="U373" s="8" t="n">
        <f aca="false">ROUND(P373*Assumptions!$B$2+Q373*Assumptions!$B$3+R373*Assumptions!$B$4+S373*Assumptions!$B$5+T373*Assumptions!$B$6,0)</f>
        <v>73</v>
      </c>
      <c r="V373" s="8" t="str">
        <f aca="false">IF(U373&gt;=Assumptions!$B$10,"Healthy",IF(U373&gt;=Assumptions!$B$11,"Needs Attention","High Risk"))</f>
        <v>Needs Attention</v>
      </c>
    </row>
    <row r="374" customFormat="false" ht="15" hidden="false" customHeight="false" outlineLevel="0" collapsed="false">
      <c r="A374" s="8" t="s">
        <v>889</v>
      </c>
      <c r="B374" s="8" t="s">
        <v>890</v>
      </c>
      <c r="C374" s="8" t="s">
        <v>53</v>
      </c>
      <c r="D374" s="8" t="s">
        <v>326</v>
      </c>
      <c r="E374" s="8" t="s">
        <v>132</v>
      </c>
      <c r="F374" s="8" t="s">
        <v>118</v>
      </c>
      <c r="G374" s="8" t="s">
        <v>137</v>
      </c>
      <c r="H374" s="15" t="n">
        <v>4575</v>
      </c>
      <c r="I374" s="15" t="n">
        <v>4575</v>
      </c>
      <c r="J374" s="16" t="n">
        <v>0.581</v>
      </c>
      <c r="K374" s="8" t="n">
        <v>6</v>
      </c>
      <c r="L374" s="8" t="n">
        <v>9</v>
      </c>
      <c r="M374" s="8" t="n">
        <v>2</v>
      </c>
      <c r="N374" s="8" t="s">
        <v>148</v>
      </c>
      <c r="O374" s="15" t="n">
        <f aca="false">H374*12</f>
        <v>54900</v>
      </c>
      <c r="P374" s="8" t="n">
        <f aca="false">MIN(100,ROUND(100*J374/Assumptions!$B$8,0))</f>
        <v>65</v>
      </c>
      <c r="Q374" s="8" t="n">
        <f aca="false">IF(L374="",Assumptions!$B$9,L374*10)</f>
        <v>90</v>
      </c>
      <c r="R374" s="8" t="n">
        <f aca="false">IF(M374&lt;=1,Assumptions!$B$12,IF(M374&lt;=3,Assumptions!$B$13,IF(M374&lt;=6,Assumptions!$B$14,Assumptions!$B$15)))</f>
        <v>75</v>
      </c>
      <c r="S374" s="8" t="n">
        <f aca="false">IF(N374="Completed On Time",Assumptions!$B$16,IF(N374="Completed Late",Assumptions!$B$17,Assumptions!$B$18))</f>
        <v>60</v>
      </c>
      <c r="T374" s="8" t="n">
        <f aca="false">IF(I374=0,Assumptions!$B$20,IF(H374&gt;I374,Assumptions!$B$19,IF(H374=I374,Assumptions!$B$20,Assumptions!$B$21)))</f>
        <v>70</v>
      </c>
      <c r="U374" s="8" t="n">
        <f aca="false">ROUND(P374*Assumptions!$B$2+Q374*Assumptions!$B$3+R374*Assumptions!$B$4+S374*Assumptions!$B$5+T374*Assumptions!$B$6,0)</f>
        <v>72</v>
      </c>
      <c r="V374" s="8" t="str">
        <f aca="false">IF(U374&gt;=Assumptions!$B$10,"Healthy",IF(U374&gt;=Assumptions!$B$11,"Needs Attention","High Risk"))</f>
        <v>Needs Attention</v>
      </c>
    </row>
    <row r="375" customFormat="false" ht="15" hidden="false" customHeight="false" outlineLevel="0" collapsed="false">
      <c r="A375" s="8" t="s">
        <v>891</v>
      </c>
      <c r="B375" s="8" t="s">
        <v>892</v>
      </c>
      <c r="C375" s="8" t="s">
        <v>53</v>
      </c>
      <c r="D375" s="8" t="s">
        <v>326</v>
      </c>
      <c r="E375" s="8" t="s">
        <v>123</v>
      </c>
      <c r="F375" s="8" t="s">
        <v>118</v>
      </c>
      <c r="G375" s="8" t="s">
        <v>129</v>
      </c>
      <c r="H375" s="15" t="n">
        <v>4550</v>
      </c>
      <c r="I375" s="15" t="n">
        <v>4550</v>
      </c>
      <c r="J375" s="16" t="n">
        <v>0.775</v>
      </c>
      <c r="K375" s="8" t="n">
        <v>9.7</v>
      </c>
      <c r="L375" s="8" t="n">
        <v>10</v>
      </c>
      <c r="M375" s="8" t="n">
        <v>4</v>
      </c>
      <c r="N375" s="8" t="s">
        <v>120</v>
      </c>
      <c r="O375" s="15" t="n">
        <f aca="false">H375*12</f>
        <v>54600</v>
      </c>
      <c r="P375" s="8" t="n">
        <f aca="false">MIN(100,ROUND(100*J375/Assumptions!$B$8,0))</f>
        <v>86</v>
      </c>
      <c r="Q375" s="8" t="n">
        <f aca="false">IF(L375="",Assumptions!$B$9,L375*10)</f>
        <v>100</v>
      </c>
      <c r="R375" s="8" t="n">
        <f aca="false">IF(M375&lt;=1,Assumptions!$B$12,IF(M375&lt;=3,Assumptions!$B$13,IF(M375&lt;=6,Assumptions!$B$14,Assumptions!$B$15)))</f>
        <v>50</v>
      </c>
      <c r="S375" s="8" t="n">
        <f aca="false">IF(N375="Completed On Time",Assumptions!$B$16,IF(N375="Completed Late",Assumptions!$B$17,Assumptions!$B$18))</f>
        <v>100</v>
      </c>
      <c r="T375" s="8" t="n">
        <f aca="false">IF(I375=0,Assumptions!$B$20,IF(H375&gt;I375,Assumptions!$B$19,IF(H375=I375,Assumptions!$B$20,Assumptions!$B$21)))</f>
        <v>70</v>
      </c>
      <c r="U375" s="8" t="n">
        <f aca="false">ROUND(P375*Assumptions!$B$2+Q375*Assumptions!$B$3+R375*Assumptions!$B$4+S375*Assumptions!$B$5+T375*Assumptions!$B$6,0)</f>
        <v>82</v>
      </c>
      <c r="V375" s="8" t="str">
        <f aca="false">IF(U375&gt;=Assumptions!$B$10,"Healthy",IF(U375&gt;=Assumptions!$B$11,"Needs Attention","High Risk"))</f>
        <v>Healthy</v>
      </c>
    </row>
    <row r="376" customFormat="false" ht="15" hidden="false" customHeight="false" outlineLevel="0" collapsed="false">
      <c r="A376" s="8" t="s">
        <v>893</v>
      </c>
      <c r="B376" s="8" t="s">
        <v>894</v>
      </c>
      <c r="C376" s="8" t="s">
        <v>53</v>
      </c>
      <c r="D376" s="8" t="s">
        <v>326</v>
      </c>
      <c r="E376" s="8" t="s">
        <v>117</v>
      </c>
      <c r="F376" s="8" t="s">
        <v>118</v>
      </c>
      <c r="G376" s="8" t="s">
        <v>180</v>
      </c>
      <c r="H376" s="15" t="n">
        <v>4550</v>
      </c>
      <c r="I376" s="15" t="n">
        <v>4550</v>
      </c>
      <c r="J376" s="16" t="n">
        <v>0.879</v>
      </c>
      <c r="K376" s="8" t="n">
        <v>9.7</v>
      </c>
      <c r="L376" s="8" t="n">
        <v>10</v>
      </c>
      <c r="M376" s="8" t="n">
        <v>3</v>
      </c>
      <c r="N376" s="8" t="s">
        <v>120</v>
      </c>
      <c r="O376" s="15" t="n">
        <f aca="false">H376*12</f>
        <v>54600</v>
      </c>
      <c r="P376" s="8" t="n">
        <f aca="false">MIN(100,ROUND(100*J376/Assumptions!$B$8,0))</f>
        <v>98</v>
      </c>
      <c r="Q376" s="8" t="n">
        <f aca="false">IF(L376="",Assumptions!$B$9,L376*10)</f>
        <v>100</v>
      </c>
      <c r="R376" s="8" t="n">
        <f aca="false">IF(M376&lt;=1,Assumptions!$B$12,IF(M376&lt;=3,Assumptions!$B$13,IF(M376&lt;=6,Assumptions!$B$14,Assumptions!$B$15)))</f>
        <v>75</v>
      </c>
      <c r="S376" s="8" t="n">
        <f aca="false">IF(N376="Completed On Time",Assumptions!$B$16,IF(N376="Completed Late",Assumptions!$B$17,Assumptions!$B$18))</f>
        <v>100</v>
      </c>
      <c r="T376" s="8" t="n">
        <f aca="false">IF(I376=0,Assumptions!$B$20,IF(H376&gt;I376,Assumptions!$B$19,IF(H376=I376,Assumptions!$B$20,Assumptions!$B$21)))</f>
        <v>70</v>
      </c>
      <c r="U376" s="8" t="n">
        <f aca="false">ROUND(P376*Assumptions!$B$2+Q376*Assumptions!$B$3+R376*Assumptions!$B$4+S376*Assumptions!$B$5+T376*Assumptions!$B$6,0)</f>
        <v>90</v>
      </c>
      <c r="V376" s="8" t="str">
        <f aca="false">IF(U376&gt;=Assumptions!$B$10,"Healthy",IF(U376&gt;=Assumptions!$B$11,"Needs Attention","High Risk"))</f>
        <v>Healthy</v>
      </c>
    </row>
    <row r="377" customFormat="false" ht="15" hidden="false" customHeight="false" outlineLevel="0" collapsed="false">
      <c r="A377" s="8" t="s">
        <v>895</v>
      </c>
      <c r="B377" s="8" t="s">
        <v>896</v>
      </c>
      <c r="C377" s="8" t="s">
        <v>53</v>
      </c>
      <c r="D377" s="8" t="s">
        <v>55</v>
      </c>
      <c r="E377" s="8" t="s">
        <v>117</v>
      </c>
      <c r="F377" s="8" t="s">
        <v>118</v>
      </c>
      <c r="G377" s="8" t="s">
        <v>129</v>
      </c>
      <c r="H377" s="15" t="n">
        <v>4545</v>
      </c>
      <c r="I377" s="15" t="n">
        <v>4545</v>
      </c>
      <c r="J377" s="16" t="n">
        <v>0.696</v>
      </c>
      <c r="K377" s="8" t="n">
        <v>8</v>
      </c>
      <c r="L377" s="8" t="n">
        <v>8</v>
      </c>
      <c r="M377" s="8" t="n">
        <v>6</v>
      </c>
      <c r="N377" s="8" t="s">
        <v>120</v>
      </c>
      <c r="O377" s="15" t="n">
        <f aca="false">H377*12</f>
        <v>54540</v>
      </c>
      <c r="P377" s="8" t="n">
        <f aca="false">MIN(100,ROUND(100*J377/Assumptions!$B$8,0))</f>
        <v>77</v>
      </c>
      <c r="Q377" s="8" t="n">
        <f aca="false">IF(L377="",Assumptions!$B$9,L377*10)</f>
        <v>80</v>
      </c>
      <c r="R377" s="8" t="n">
        <f aca="false">IF(M377&lt;=1,Assumptions!$B$12,IF(M377&lt;=3,Assumptions!$B$13,IF(M377&lt;=6,Assumptions!$B$14,Assumptions!$B$15)))</f>
        <v>50</v>
      </c>
      <c r="S377" s="8" t="n">
        <f aca="false">IF(N377="Completed On Time",Assumptions!$B$16,IF(N377="Completed Late",Assumptions!$B$17,Assumptions!$B$18))</f>
        <v>100</v>
      </c>
      <c r="T377" s="8" t="n">
        <f aca="false">IF(I377=0,Assumptions!$B$20,IF(H377&gt;I377,Assumptions!$B$19,IF(H377=I377,Assumptions!$B$20,Assumptions!$B$21)))</f>
        <v>70</v>
      </c>
      <c r="U377" s="8" t="n">
        <f aca="false">ROUND(P377*Assumptions!$B$2+Q377*Assumptions!$B$3+R377*Assumptions!$B$4+S377*Assumptions!$B$5+T377*Assumptions!$B$6,0)</f>
        <v>74</v>
      </c>
      <c r="V377" s="8" t="str">
        <f aca="false">IF(U377&gt;=Assumptions!$B$10,"Healthy",IF(U377&gt;=Assumptions!$B$11,"Needs Attention","High Risk"))</f>
        <v>Needs Attention</v>
      </c>
    </row>
    <row r="378" customFormat="false" ht="15" hidden="false" customHeight="false" outlineLevel="0" collapsed="false">
      <c r="A378" s="8" t="s">
        <v>897</v>
      </c>
      <c r="B378" s="8" t="s">
        <v>898</v>
      </c>
      <c r="C378" s="8" t="s">
        <v>53</v>
      </c>
      <c r="D378" s="8" t="s">
        <v>326</v>
      </c>
      <c r="E378" s="8" t="s">
        <v>123</v>
      </c>
      <c r="F378" s="8" t="s">
        <v>223</v>
      </c>
      <c r="G378" s="8" t="s">
        <v>119</v>
      </c>
      <c r="H378" s="15" t="n">
        <v>4525</v>
      </c>
      <c r="I378" s="15" t="n">
        <v>4525</v>
      </c>
      <c r="J378" s="16" t="n">
        <v>0.619</v>
      </c>
      <c r="K378" s="8" t="n">
        <v>7.3</v>
      </c>
      <c r="L378" s="8" t="n">
        <v>9</v>
      </c>
      <c r="M378" s="8" t="n">
        <v>2</v>
      </c>
      <c r="N378" s="8" t="s">
        <v>120</v>
      </c>
      <c r="O378" s="15" t="n">
        <f aca="false">H378*12</f>
        <v>54300</v>
      </c>
      <c r="P378" s="8" t="n">
        <f aca="false">MIN(100,ROUND(100*J378/Assumptions!$B$8,0))</f>
        <v>69</v>
      </c>
      <c r="Q378" s="8" t="n">
        <f aca="false">IF(L378="",Assumptions!$B$9,L378*10)</f>
        <v>90</v>
      </c>
      <c r="R378" s="8" t="n">
        <f aca="false">IF(M378&lt;=1,Assumptions!$B$12,IF(M378&lt;=3,Assumptions!$B$13,IF(M378&lt;=6,Assumptions!$B$14,Assumptions!$B$15)))</f>
        <v>75</v>
      </c>
      <c r="S378" s="8" t="n">
        <f aca="false">IF(N378="Completed On Time",Assumptions!$B$16,IF(N378="Completed Late",Assumptions!$B$17,Assumptions!$B$18))</f>
        <v>100</v>
      </c>
      <c r="T378" s="8" t="n">
        <f aca="false">IF(I378=0,Assumptions!$B$20,IF(H378&gt;I378,Assumptions!$B$19,IF(H378=I378,Assumptions!$B$20,Assumptions!$B$21)))</f>
        <v>70</v>
      </c>
      <c r="U378" s="8" t="n">
        <f aca="false">ROUND(P378*Assumptions!$B$2+Q378*Assumptions!$B$3+R378*Assumptions!$B$4+S378*Assumptions!$B$5+T378*Assumptions!$B$6,0)</f>
        <v>77</v>
      </c>
      <c r="V378" s="8" t="str">
        <f aca="false">IF(U378&gt;=Assumptions!$B$10,"Healthy",IF(U378&gt;=Assumptions!$B$11,"Needs Attention","High Risk"))</f>
        <v>Needs Attention</v>
      </c>
    </row>
    <row r="379" customFormat="false" ht="15" hidden="false" customHeight="false" outlineLevel="0" collapsed="false">
      <c r="A379" s="8" t="s">
        <v>899</v>
      </c>
      <c r="B379" s="8" t="s">
        <v>900</v>
      </c>
      <c r="C379" s="8" t="s">
        <v>53</v>
      </c>
      <c r="D379" s="8" t="s">
        <v>326</v>
      </c>
      <c r="E379" s="8" t="s">
        <v>132</v>
      </c>
      <c r="F379" s="8" t="s">
        <v>143</v>
      </c>
      <c r="G379" s="8" t="s">
        <v>125</v>
      </c>
      <c r="H379" s="15" t="n">
        <v>4525</v>
      </c>
      <c r="I379" s="15" t="n">
        <v>4525</v>
      </c>
      <c r="J379" s="16" t="n">
        <v>0.681</v>
      </c>
      <c r="K379" s="8" t="n">
        <v>7.3</v>
      </c>
      <c r="L379" s="8" t="n">
        <v>10</v>
      </c>
      <c r="M379" s="8" t="n">
        <v>3</v>
      </c>
      <c r="N379" s="8" t="s">
        <v>120</v>
      </c>
      <c r="O379" s="15" t="n">
        <f aca="false">H379*12</f>
        <v>54300</v>
      </c>
      <c r="P379" s="8" t="n">
        <f aca="false">MIN(100,ROUND(100*J379/Assumptions!$B$8,0))</f>
        <v>76</v>
      </c>
      <c r="Q379" s="8" t="n">
        <f aca="false">IF(L379="",Assumptions!$B$9,L379*10)</f>
        <v>100</v>
      </c>
      <c r="R379" s="8" t="n">
        <f aca="false">IF(M379&lt;=1,Assumptions!$B$12,IF(M379&lt;=3,Assumptions!$B$13,IF(M379&lt;=6,Assumptions!$B$14,Assumptions!$B$15)))</f>
        <v>75</v>
      </c>
      <c r="S379" s="8" t="n">
        <f aca="false">IF(N379="Completed On Time",Assumptions!$B$16,IF(N379="Completed Late",Assumptions!$B$17,Assumptions!$B$18))</f>
        <v>100</v>
      </c>
      <c r="T379" s="8" t="n">
        <f aca="false">IF(I379=0,Assumptions!$B$20,IF(H379&gt;I379,Assumptions!$B$19,IF(H379=I379,Assumptions!$B$20,Assumptions!$B$21)))</f>
        <v>70</v>
      </c>
      <c r="U379" s="8" t="n">
        <f aca="false">ROUND(P379*Assumptions!$B$2+Q379*Assumptions!$B$3+R379*Assumptions!$B$4+S379*Assumptions!$B$5+T379*Assumptions!$B$6,0)</f>
        <v>82</v>
      </c>
      <c r="V379" s="8" t="str">
        <f aca="false">IF(U379&gt;=Assumptions!$B$10,"Healthy",IF(U379&gt;=Assumptions!$B$11,"Needs Attention","High Risk"))</f>
        <v>Healthy</v>
      </c>
    </row>
    <row r="380" customFormat="false" ht="15" hidden="false" customHeight="false" outlineLevel="0" collapsed="false">
      <c r="A380" s="8" t="s">
        <v>901</v>
      </c>
      <c r="B380" s="8" t="s">
        <v>902</v>
      </c>
      <c r="C380" s="8" t="s">
        <v>53</v>
      </c>
      <c r="D380" s="8" t="s">
        <v>326</v>
      </c>
      <c r="E380" s="8" t="s">
        <v>132</v>
      </c>
      <c r="F380" s="8" t="s">
        <v>133</v>
      </c>
      <c r="G380" s="8" t="s">
        <v>204</v>
      </c>
      <c r="H380" s="15" t="n">
        <v>4525</v>
      </c>
      <c r="I380" s="15" t="n">
        <v>4525</v>
      </c>
      <c r="J380" s="16" t="n">
        <v>0.597</v>
      </c>
      <c r="K380" s="8" t="n">
        <v>8.3</v>
      </c>
      <c r="L380" s="8" t="n">
        <v>9</v>
      </c>
      <c r="M380" s="8" t="n">
        <v>3</v>
      </c>
      <c r="N380" s="8" t="s">
        <v>120</v>
      </c>
      <c r="O380" s="15" t="n">
        <f aca="false">H380*12</f>
        <v>54300</v>
      </c>
      <c r="P380" s="8" t="n">
        <f aca="false">MIN(100,ROUND(100*J380/Assumptions!$B$8,0))</f>
        <v>66</v>
      </c>
      <c r="Q380" s="8" t="n">
        <f aca="false">IF(L380="",Assumptions!$B$9,L380*10)</f>
        <v>90</v>
      </c>
      <c r="R380" s="8" t="n">
        <f aca="false">IF(M380&lt;=1,Assumptions!$B$12,IF(M380&lt;=3,Assumptions!$B$13,IF(M380&lt;=6,Assumptions!$B$14,Assumptions!$B$15)))</f>
        <v>75</v>
      </c>
      <c r="S380" s="8" t="n">
        <f aca="false">IF(N380="Completed On Time",Assumptions!$B$16,IF(N380="Completed Late",Assumptions!$B$17,Assumptions!$B$18))</f>
        <v>100</v>
      </c>
      <c r="T380" s="8" t="n">
        <f aca="false">IF(I380=0,Assumptions!$B$20,IF(H380&gt;I380,Assumptions!$B$19,IF(H380=I380,Assumptions!$B$20,Assumptions!$B$21)))</f>
        <v>70</v>
      </c>
      <c r="U380" s="8" t="n">
        <f aca="false">ROUND(P380*Assumptions!$B$2+Q380*Assumptions!$B$3+R380*Assumptions!$B$4+S380*Assumptions!$B$5+T380*Assumptions!$B$6,0)</f>
        <v>76</v>
      </c>
      <c r="V380" s="8" t="str">
        <f aca="false">IF(U380&gt;=Assumptions!$B$10,"Healthy",IF(U380&gt;=Assumptions!$B$11,"Needs Attention","High Risk"))</f>
        <v>Needs Attention</v>
      </c>
    </row>
    <row r="381" customFormat="false" ht="15" hidden="false" customHeight="false" outlineLevel="0" collapsed="false">
      <c r="A381" s="8" t="s">
        <v>903</v>
      </c>
      <c r="B381" s="8" t="s">
        <v>904</v>
      </c>
      <c r="C381" s="8" t="s">
        <v>53</v>
      </c>
      <c r="D381" s="8" t="s">
        <v>55</v>
      </c>
      <c r="E381" s="8" t="s">
        <v>123</v>
      </c>
      <c r="F381" s="8" t="s">
        <v>190</v>
      </c>
      <c r="G381" s="8" t="s">
        <v>129</v>
      </c>
      <c r="H381" s="15" t="n">
        <v>4500</v>
      </c>
      <c r="I381" s="15" t="n">
        <v>4500</v>
      </c>
      <c r="J381" s="16" t="n">
        <v>0.6</v>
      </c>
      <c r="K381" s="8" t="n">
        <v>8</v>
      </c>
      <c r="L381" s="8" t="n">
        <v>6</v>
      </c>
      <c r="M381" s="8" t="n">
        <v>1</v>
      </c>
      <c r="N381" s="8" t="s">
        <v>120</v>
      </c>
      <c r="O381" s="15" t="n">
        <f aca="false">H381*12</f>
        <v>54000</v>
      </c>
      <c r="P381" s="8" t="n">
        <f aca="false">MIN(100,ROUND(100*J381/Assumptions!$B$8,0))</f>
        <v>67</v>
      </c>
      <c r="Q381" s="8" t="n">
        <f aca="false">IF(L381="",Assumptions!$B$9,L381*10)</f>
        <v>60</v>
      </c>
      <c r="R381" s="8" t="n">
        <f aca="false">IF(M381&lt;=1,Assumptions!$B$12,IF(M381&lt;=3,Assumptions!$B$13,IF(M381&lt;=6,Assumptions!$B$14,Assumptions!$B$15)))</f>
        <v>100</v>
      </c>
      <c r="S381" s="8" t="n">
        <f aca="false">IF(N381="Completed On Time",Assumptions!$B$16,IF(N381="Completed Late",Assumptions!$B$17,Assumptions!$B$18))</f>
        <v>100</v>
      </c>
      <c r="T381" s="8" t="n">
        <f aca="false">IF(I381=0,Assumptions!$B$20,IF(H381&gt;I381,Assumptions!$B$19,IF(H381=I381,Assumptions!$B$20,Assumptions!$B$21)))</f>
        <v>70</v>
      </c>
      <c r="U381" s="8" t="n">
        <f aca="false">ROUND(P381*Assumptions!$B$2+Q381*Assumptions!$B$3+R381*Assumptions!$B$4+S381*Assumptions!$B$5+T381*Assumptions!$B$6,0)</f>
        <v>74</v>
      </c>
      <c r="V381" s="8" t="str">
        <f aca="false">IF(U381&gt;=Assumptions!$B$10,"Healthy",IF(U381&gt;=Assumptions!$B$11,"Needs Attention","High Risk"))</f>
        <v>Needs Attention</v>
      </c>
    </row>
    <row r="382" customFormat="false" ht="15" hidden="false" customHeight="false" outlineLevel="0" collapsed="false">
      <c r="A382" s="8" t="s">
        <v>905</v>
      </c>
      <c r="B382" s="8" t="s">
        <v>906</v>
      </c>
      <c r="C382" s="8" t="s">
        <v>53</v>
      </c>
      <c r="D382" s="8" t="s">
        <v>326</v>
      </c>
      <c r="E382" s="8" t="s">
        <v>123</v>
      </c>
      <c r="F382" s="8" t="s">
        <v>151</v>
      </c>
      <c r="G382" s="8" t="s">
        <v>144</v>
      </c>
      <c r="H382" s="15" t="n">
        <v>4475</v>
      </c>
      <c r="I382" s="15" t="n">
        <v>4475</v>
      </c>
      <c r="J382" s="16" t="n">
        <v>0.771</v>
      </c>
      <c r="K382" s="8" t="n">
        <v>9</v>
      </c>
      <c r="L382" s="8" t="n">
        <v>9</v>
      </c>
      <c r="M382" s="8" t="n">
        <v>2</v>
      </c>
      <c r="N382" s="8" t="s">
        <v>120</v>
      </c>
      <c r="O382" s="15" t="n">
        <f aca="false">H382*12</f>
        <v>53700</v>
      </c>
      <c r="P382" s="8" t="n">
        <f aca="false">MIN(100,ROUND(100*J382/Assumptions!$B$8,0))</f>
        <v>86</v>
      </c>
      <c r="Q382" s="8" t="n">
        <f aca="false">IF(L382="",Assumptions!$B$9,L382*10)</f>
        <v>90</v>
      </c>
      <c r="R382" s="8" t="n">
        <f aca="false">IF(M382&lt;=1,Assumptions!$B$12,IF(M382&lt;=3,Assumptions!$B$13,IF(M382&lt;=6,Assumptions!$B$14,Assumptions!$B$15)))</f>
        <v>75</v>
      </c>
      <c r="S382" s="8" t="n">
        <f aca="false">IF(N382="Completed On Time",Assumptions!$B$16,IF(N382="Completed Late",Assumptions!$B$17,Assumptions!$B$18))</f>
        <v>100</v>
      </c>
      <c r="T382" s="8" t="n">
        <f aca="false">IF(I382=0,Assumptions!$B$20,IF(H382&gt;I382,Assumptions!$B$19,IF(H382=I382,Assumptions!$B$20,Assumptions!$B$21)))</f>
        <v>70</v>
      </c>
      <c r="U382" s="8" t="n">
        <f aca="false">ROUND(P382*Assumptions!$B$2+Q382*Assumptions!$B$3+R382*Assumptions!$B$4+S382*Assumptions!$B$5+T382*Assumptions!$B$6,0)</f>
        <v>83</v>
      </c>
      <c r="V382" s="8" t="str">
        <f aca="false">IF(U382&gt;=Assumptions!$B$10,"Healthy",IF(U382&gt;=Assumptions!$B$11,"Needs Attention","High Risk"))</f>
        <v>Healthy</v>
      </c>
    </row>
    <row r="383" customFormat="false" ht="15" hidden="false" customHeight="false" outlineLevel="0" collapsed="false">
      <c r="A383" s="8" t="s">
        <v>907</v>
      </c>
      <c r="B383" s="8" t="s">
        <v>908</v>
      </c>
      <c r="C383" s="8" t="s">
        <v>53</v>
      </c>
      <c r="D383" s="8" t="s">
        <v>326</v>
      </c>
      <c r="E383" s="8" t="s">
        <v>117</v>
      </c>
      <c r="F383" s="8" t="s">
        <v>136</v>
      </c>
      <c r="G383" s="8" t="s">
        <v>140</v>
      </c>
      <c r="H383" s="15" t="n">
        <v>4475</v>
      </c>
      <c r="I383" s="15" t="n">
        <v>4475</v>
      </c>
      <c r="J383" s="16" t="n">
        <v>0.758</v>
      </c>
      <c r="K383" s="8" t="n">
        <v>10</v>
      </c>
      <c r="L383" s="8" t="n">
        <v>7</v>
      </c>
      <c r="M383" s="8" t="n">
        <v>2</v>
      </c>
      <c r="N383" s="8" t="s">
        <v>120</v>
      </c>
      <c r="O383" s="15" t="n">
        <f aca="false">H383*12</f>
        <v>53700</v>
      </c>
      <c r="P383" s="8" t="n">
        <f aca="false">MIN(100,ROUND(100*J383/Assumptions!$B$8,0))</f>
        <v>84</v>
      </c>
      <c r="Q383" s="8" t="n">
        <f aca="false">IF(L383="",Assumptions!$B$9,L383*10)</f>
        <v>70</v>
      </c>
      <c r="R383" s="8" t="n">
        <f aca="false">IF(M383&lt;=1,Assumptions!$B$12,IF(M383&lt;=3,Assumptions!$B$13,IF(M383&lt;=6,Assumptions!$B$14,Assumptions!$B$15)))</f>
        <v>75</v>
      </c>
      <c r="S383" s="8" t="n">
        <f aca="false">IF(N383="Completed On Time",Assumptions!$B$16,IF(N383="Completed Late",Assumptions!$B$17,Assumptions!$B$18))</f>
        <v>100</v>
      </c>
      <c r="T383" s="8" t="n">
        <f aca="false">IF(I383=0,Assumptions!$B$20,IF(H383&gt;I383,Assumptions!$B$19,IF(H383=I383,Assumptions!$B$20,Assumptions!$B$21)))</f>
        <v>70</v>
      </c>
      <c r="U383" s="8" t="n">
        <f aca="false">ROUND(P383*Assumptions!$B$2+Q383*Assumptions!$B$3+R383*Assumptions!$B$4+S383*Assumptions!$B$5+T383*Assumptions!$B$6,0)</f>
        <v>79</v>
      </c>
      <c r="V383" s="8" t="str">
        <f aca="false">IF(U383&gt;=Assumptions!$B$10,"Healthy",IF(U383&gt;=Assumptions!$B$11,"Needs Attention","High Risk"))</f>
        <v>Needs Attention</v>
      </c>
    </row>
    <row r="384" customFormat="false" ht="15" hidden="false" customHeight="false" outlineLevel="0" collapsed="false">
      <c r="A384" s="8" t="s">
        <v>909</v>
      </c>
      <c r="B384" s="8" t="s">
        <v>910</v>
      </c>
      <c r="C384" s="8" t="s">
        <v>53</v>
      </c>
      <c r="D384" s="8" t="s">
        <v>326</v>
      </c>
      <c r="E384" s="8" t="s">
        <v>123</v>
      </c>
      <c r="F384" s="8" t="s">
        <v>136</v>
      </c>
      <c r="G384" s="8" t="s">
        <v>147</v>
      </c>
      <c r="H384" s="15" t="n">
        <v>4475</v>
      </c>
      <c r="I384" s="15" t="n">
        <v>4475</v>
      </c>
      <c r="J384" s="16" t="n">
        <v>0.724</v>
      </c>
      <c r="K384" s="8" t="n">
        <v>8.3</v>
      </c>
      <c r="L384" s="8" t="n">
        <v>7</v>
      </c>
      <c r="M384" s="8" t="n">
        <v>4</v>
      </c>
      <c r="N384" s="8" t="s">
        <v>120</v>
      </c>
      <c r="O384" s="15" t="n">
        <f aca="false">H384*12</f>
        <v>53700</v>
      </c>
      <c r="P384" s="8" t="n">
        <f aca="false">MIN(100,ROUND(100*J384/Assumptions!$B$8,0))</f>
        <v>80</v>
      </c>
      <c r="Q384" s="8" t="n">
        <f aca="false">IF(L384="",Assumptions!$B$9,L384*10)</f>
        <v>70</v>
      </c>
      <c r="R384" s="8" t="n">
        <f aca="false">IF(M384&lt;=1,Assumptions!$B$12,IF(M384&lt;=3,Assumptions!$B$13,IF(M384&lt;=6,Assumptions!$B$14,Assumptions!$B$15)))</f>
        <v>50</v>
      </c>
      <c r="S384" s="8" t="n">
        <f aca="false">IF(N384="Completed On Time",Assumptions!$B$16,IF(N384="Completed Late",Assumptions!$B$17,Assumptions!$B$18))</f>
        <v>100</v>
      </c>
      <c r="T384" s="8" t="n">
        <f aca="false">IF(I384=0,Assumptions!$B$20,IF(H384&gt;I384,Assumptions!$B$19,IF(H384=I384,Assumptions!$B$20,Assumptions!$B$21)))</f>
        <v>70</v>
      </c>
      <c r="U384" s="8" t="n">
        <f aca="false">ROUND(P384*Assumptions!$B$2+Q384*Assumptions!$B$3+R384*Assumptions!$B$4+S384*Assumptions!$B$5+T384*Assumptions!$B$6,0)</f>
        <v>74</v>
      </c>
      <c r="V384" s="8" t="str">
        <f aca="false">IF(U384&gt;=Assumptions!$B$10,"Healthy",IF(U384&gt;=Assumptions!$B$11,"Needs Attention","High Risk"))</f>
        <v>Needs Attention</v>
      </c>
    </row>
    <row r="385" customFormat="false" ht="15" hidden="false" customHeight="false" outlineLevel="0" collapsed="false">
      <c r="A385" s="8" t="s">
        <v>911</v>
      </c>
      <c r="B385" s="8" t="s">
        <v>912</v>
      </c>
      <c r="C385" s="8" t="s">
        <v>53</v>
      </c>
      <c r="D385" s="8" t="s">
        <v>326</v>
      </c>
      <c r="E385" s="8" t="s">
        <v>123</v>
      </c>
      <c r="F385" s="8" t="s">
        <v>136</v>
      </c>
      <c r="G385" s="8" t="s">
        <v>159</v>
      </c>
      <c r="H385" s="15" t="n">
        <v>4475</v>
      </c>
      <c r="I385" s="15" t="n">
        <v>4475</v>
      </c>
      <c r="J385" s="16" t="n">
        <v>0.723</v>
      </c>
      <c r="K385" s="8" t="n">
        <v>7.3</v>
      </c>
      <c r="L385" s="8" t="n">
        <v>8</v>
      </c>
      <c r="M385" s="8" t="n">
        <v>3</v>
      </c>
      <c r="N385" s="8" t="s">
        <v>148</v>
      </c>
      <c r="O385" s="15" t="n">
        <f aca="false">H385*12</f>
        <v>53700</v>
      </c>
      <c r="P385" s="8" t="n">
        <f aca="false">MIN(100,ROUND(100*J385/Assumptions!$B$8,0))</f>
        <v>80</v>
      </c>
      <c r="Q385" s="8" t="n">
        <f aca="false">IF(L385="",Assumptions!$B$9,L385*10)</f>
        <v>80</v>
      </c>
      <c r="R385" s="8" t="n">
        <f aca="false">IF(M385&lt;=1,Assumptions!$B$12,IF(M385&lt;=3,Assumptions!$B$13,IF(M385&lt;=6,Assumptions!$B$14,Assumptions!$B$15)))</f>
        <v>75</v>
      </c>
      <c r="S385" s="8" t="n">
        <f aca="false">IF(N385="Completed On Time",Assumptions!$B$16,IF(N385="Completed Late",Assumptions!$B$17,Assumptions!$B$18))</f>
        <v>60</v>
      </c>
      <c r="T385" s="8" t="n">
        <f aca="false">IF(I385=0,Assumptions!$B$20,IF(H385&gt;I385,Assumptions!$B$19,IF(H385=I385,Assumptions!$B$20,Assumptions!$B$21)))</f>
        <v>70</v>
      </c>
      <c r="U385" s="8" t="n">
        <f aca="false">ROUND(P385*Assumptions!$B$2+Q385*Assumptions!$B$3+R385*Assumptions!$B$4+S385*Assumptions!$B$5+T385*Assumptions!$B$6,0)</f>
        <v>75</v>
      </c>
      <c r="V385" s="8" t="str">
        <f aca="false">IF(U385&gt;=Assumptions!$B$10,"Healthy",IF(U385&gt;=Assumptions!$B$11,"Needs Attention","High Risk"))</f>
        <v>Needs Attention</v>
      </c>
    </row>
    <row r="386" customFormat="false" ht="15" hidden="false" customHeight="false" outlineLevel="0" collapsed="false">
      <c r="A386" s="8" t="s">
        <v>913</v>
      </c>
      <c r="B386" s="8" t="s">
        <v>914</v>
      </c>
      <c r="C386" s="8" t="s">
        <v>53</v>
      </c>
      <c r="D386" s="8" t="s">
        <v>326</v>
      </c>
      <c r="E386" s="8" t="s">
        <v>128</v>
      </c>
      <c r="F386" s="8" t="s">
        <v>154</v>
      </c>
      <c r="G386" s="8" t="s">
        <v>119</v>
      </c>
      <c r="H386" s="15" t="n">
        <v>4475</v>
      </c>
      <c r="I386" s="15" t="n">
        <v>4475</v>
      </c>
      <c r="J386" s="16" t="n">
        <v>0.814</v>
      </c>
      <c r="K386" s="8" t="n">
        <v>11</v>
      </c>
      <c r="L386" s="8" t="n">
        <v>10</v>
      </c>
      <c r="M386" s="8" t="n">
        <v>3</v>
      </c>
      <c r="N386" s="8" t="s">
        <v>120</v>
      </c>
      <c r="O386" s="15" t="n">
        <f aca="false">H386*12</f>
        <v>53700</v>
      </c>
      <c r="P386" s="8" t="n">
        <f aca="false">MIN(100,ROUND(100*J386/Assumptions!$B$8,0))</f>
        <v>90</v>
      </c>
      <c r="Q386" s="8" t="n">
        <f aca="false">IF(L386="",Assumptions!$B$9,L386*10)</f>
        <v>100</v>
      </c>
      <c r="R386" s="8" t="n">
        <f aca="false">IF(M386&lt;=1,Assumptions!$B$12,IF(M386&lt;=3,Assumptions!$B$13,IF(M386&lt;=6,Assumptions!$B$14,Assumptions!$B$15)))</f>
        <v>75</v>
      </c>
      <c r="S386" s="8" t="n">
        <f aca="false">IF(N386="Completed On Time",Assumptions!$B$16,IF(N386="Completed Late",Assumptions!$B$17,Assumptions!$B$18))</f>
        <v>100</v>
      </c>
      <c r="T386" s="8" t="n">
        <f aca="false">IF(I386=0,Assumptions!$B$20,IF(H386&gt;I386,Assumptions!$B$19,IF(H386=I386,Assumptions!$B$20,Assumptions!$B$21)))</f>
        <v>70</v>
      </c>
      <c r="U386" s="8" t="n">
        <f aca="false">ROUND(P386*Assumptions!$B$2+Q386*Assumptions!$B$3+R386*Assumptions!$B$4+S386*Assumptions!$B$5+T386*Assumptions!$B$6,0)</f>
        <v>87</v>
      </c>
      <c r="V386" s="8" t="str">
        <f aca="false">IF(U386&gt;=Assumptions!$B$10,"Healthy",IF(U386&gt;=Assumptions!$B$11,"Needs Attention","High Risk"))</f>
        <v>Healthy</v>
      </c>
    </row>
    <row r="387" customFormat="false" ht="15" hidden="false" customHeight="false" outlineLevel="0" collapsed="false">
      <c r="A387" s="8" t="s">
        <v>915</v>
      </c>
      <c r="B387" s="8" t="s">
        <v>916</v>
      </c>
      <c r="C387" s="8" t="s">
        <v>53</v>
      </c>
      <c r="D387" s="8" t="s">
        <v>326</v>
      </c>
      <c r="E387" s="8" t="s">
        <v>123</v>
      </c>
      <c r="F387" s="8" t="s">
        <v>136</v>
      </c>
      <c r="G387" s="8" t="s">
        <v>159</v>
      </c>
      <c r="H387" s="15" t="n">
        <v>4450</v>
      </c>
      <c r="I387" s="15" t="n">
        <v>3675</v>
      </c>
      <c r="J387" s="16" t="n">
        <v>0.682</v>
      </c>
      <c r="K387" s="8" t="n">
        <v>7</v>
      </c>
      <c r="L387" s="8" t="n">
        <v>9</v>
      </c>
      <c r="M387" s="8" t="n">
        <v>1</v>
      </c>
      <c r="N387" s="8" t="s">
        <v>120</v>
      </c>
      <c r="O387" s="15" t="n">
        <f aca="false">H387*12</f>
        <v>53400</v>
      </c>
      <c r="P387" s="8" t="n">
        <f aca="false">MIN(100,ROUND(100*J387/Assumptions!$B$8,0))</f>
        <v>76</v>
      </c>
      <c r="Q387" s="8" t="n">
        <f aca="false">IF(L387="",Assumptions!$B$9,L387*10)</f>
        <v>90</v>
      </c>
      <c r="R387" s="8" t="n">
        <f aca="false">IF(M387&lt;=1,Assumptions!$B$12,IF(M387&lt;=3,Assumptions!$B$13,IF(M387&lt;=6,Assumptions!$B$14,Assumptions!$B$15)))</f>
        <v>100</v>
      </c>
      <c r="S387" s="8" t="n">
        <f aca="false">IF(N387="Completed On Time",Assumptions!$B$16,IF(N387="Completed Late",Assumptions!$B$17,Assumptions!$B$18))</f>
        <v>100</v>
      </c>
      <c r="T387" s="8" t="n">
        <f aca="false">IF(I387=0,Assumptions!$B$20,IF(H387&gt;I387,Assumptions!$B$19,IF(H387=I387,Assumptions!$B$20,Assumptions!$B$21)))</f>
        <v>100</v>
      </c>
      <c r="U387" s="8" t="n">
        <f aca="false">ROUND(P387*Assumptions!$B$2+Q387*Assumptions!$B$3+R387*Assumptions!$B$4+S387*Assumptions!$B$5+T387*Assumptions!$B$6,0)</f>
        <v>90</v>
      </c>
      <c r="V387" s="8" t="str">
        <f aca="false">IF(U387&gt;=Assumptions!$B$10,"Healthy",IF(U387&gt;=Assumptions!$B$11,"Needs Attention","High Risk"))</f>
        <v>Healthy</v>
      </c>
    </row>
    <row r="388" customFormat="false" ht="15" hidden="false" customHeight="false" outlineLevel="0" collapsed="false">
      <c r="A388" s="8" t="s">
        <v>917</v>
      </c>
      <c r="B388" s="8" t="s">
        <v>918</v>
      </c>
      <c r="C388" s="8" t="s">
        <v>53</v>
      </c>
      <c r="D388" s="8" t="s">
        <v>326</v>
      </c>
      <c r="E388" s="8" t="s">
        <v>123</v>
      </c>
      <c r="F388" s="8" t="s">
        <v>151</v>
      </c>
      <c r="G388" s="8" t="s">
        <v>180</v>
      </c>
      <c r="H388" s="15" t="n">
        <v>4450</v>
      </c>
      <c r="I388" s="15" t="n">
        <v>0</v>
      </c>
      <c r="J388" s="16" t="n">
        <v>0.632</v>
      </c>
      <c r="K388" s="8" t="n">
        <v>4.5</v>
      </c>
      <c r="L388" s="8"/>
      <c r="M388" s="8" t="n">
        <v>0</v>
      </c>
      <c r="N388" s="8" t="s">
        <v>199</v>
      </c>
      <c r="O388" s="15" t="n">
        <f aca="false">H388*12</f>
        <v>53400</v>
      </c>
      <c r="P388" s="8" t="n">
        <f aca="false">MIN(100,ROUND(100*J388/Assumptions!$B$8,0))</f>
        <v>70</v>
      </c>
      <c r="Q388" s="8" t="n">
        <f aca="false">IF(L388="",Assumptions!$B$9,L388*10)</f>
        <v>50</v>
      </c>
      <c r="R388" s="8" t="n">
        <f aca="false">IF(M388&lt;=1,Assumptions!$B$12,IF(M388&lt;=3,Assumptions!$B$13,IF(M388&lt;=6,Assumptions!$B$14,Assumptions!$B$15)))</f>
        <v>100</v>
      </c>
      <c r="S388" s="8" t="n">
        <f aca="false">IF(N388="Completed On Time",Assumptions!$B$16,IF(N388="Completed Late",Assumptions!$B$17,Assumptions!$B$18))</f>
        <v>50</v>
      </c>
      <c r="T388" s="8" t="n">
        <f aca="false">IF(I388=0,Assumptions!$B$20,IF(H388&gt;I388,Assumptions!$B$19,IF(H388=I388,Assumptions!$B$20,Assumptions!$B$21)))</f>
        <v>70</v>
      </c>
      <c r="U388" s="8" t="n">
        <f aca="false">ROUND(P388*Assumptions!$B$2+Q388*Assumptions!$B$3+R388*Assumptions!$B$4+S388*Assumptions!$B$5+T388*Assumptions!$B$6,0)</f>
        <v>69</v>
      </c>
      <c r="V388" s="8" t="str">
        <f aca="false">IF(U388&gt;=Assumptions!$B$10,"Healthy",IF(U388&gt;=Assumptions!$B$11,"Needs Attention","High Risk"))</f>
        <v>Needs Attention</v>
      </c>
    </row>
    <row r="389" customFormat="false" ht="15" hidden="false" customHeight="false" outlineLevel="0" collapsed="false">
      <c r="A389" s="8" t="s">
        <v>919</v>
      </c>
      <c r="B389" s="8" t="s">
        <v>920</v>
      </c>
      <c r="C389" s="8" t="s">
        <v>53</v>
      </c>
      <c r="D389" s="8" t="s">
        <v>326</v>
      </c>
      <c r="E389" s="8" t="s">
        <v>132</v>
      </c>
      <c r="F389" s="8" t="s">
        <v>151</v>
      </c>
      <c r="G389" s="8" t="s">
        <v>119</v>
      </c>
      <c r="H389" s="15" t="n">
        <v>4450</v>
      </c>
      <c r="I389" s="15" t="n">
        <v>4450</v>
      </c>
      <c r="J389" s="16" t="n">
        <v>0.781</v>
      </c>
      <c r="K389" s="8" t="n">
        <v>9.3</v>
      </c>
      <c r="L389" s="8" t="n">
        <v>9</v>
      </c>
      <c r="M389" s="8" t="n">
        <v>3</v>
      </c>
      <c r="N389" s="8" t="s">
        <v>120</v>
      </c>
      <c r="O389" s="15" t="n">
        <f aca="false">H389*12</f>
        <v>53400</v>
      </c>
      <c r="P389" s="8" t="n">
        <f aca="false">MIN(100,ROUND(100*J389/Assumptions!$B$8,0))</f>
        <v>87</v>
      </c>
      <c r="Q389" s="8" t="n">
        <f aca="false">IF(L389="",Assumptions!$B$9,L389*10)</f>
        <v>90</v>
      </c>
      <c r="R389" s="8" t="n">
        <f aca="false">IF(M389&lt;=1,Assumptions!$B$12,IF(M389&lt;=3,Assumptions!$B$13,IF(M389&lt;=6,Assumptions!$B$14,Assumptions!$B$15)))</f>
        <v>75</v>
      </c>
      <c r="S389" s="8" t="n">
        <f aca="false">IF(N389="Completed On Time",Assumptions!$B$16,IF(N389="Completed Late",Assumptions!$B$17,Assumptions!$B$18))</f>
        <v>100</v>
      </c>
      <c r="T389" s="8" t="n">
        <f aca="false">IF(I389=0,Assumptions!$B$20,IF(H389&gt;I389,Assumptions!$B$19,IF(H389=I389,Assumptions!$B$20,Assumptions!$B$21)))</f>
        <v>70</v>
      </c>
      <c r="U389" s="8" t="n">
        <f aca="false">ROUND(P389*Assumptions!$B$2+Q389*Assumptions!$B$3+R389*Assumptions!$B$4+S389*Assumptions!$B$5+T389*Assumptions!$B$6,0)</f>
        <v>84</v>
      </c>
      <c r="V389" s="8" t="str">
        <f aca="false">IF(U389&gt;=Assumptions!$B$10,"Healthy",IF(U389&gt;=Assumptions!$B$11,"Needs Attention","High Risk"))</f>
        <v>Healthy</v>
      </c>
    </row>
    <row r="390" customFormat="false" ht="15" hidden="false" customHeight="false" outlineLevel="0" collapsed="false">
      <c r="A390" s="8" t="s">
        <v>921</v>
      </c>
      <c r="B390" s="8" t="s">
        <v>922</v>
      </c>
      <c r="C390" s="8" t="s">
        <v>53</v>
      </c>
      <c r="D390" s="8" t="s">
        <v>326</v>
      </c>
      <c r="E390" s="8" t="s">
        <v>117</v>
      </c>
      <c r="F390" s="8" t="s">
        <v>166</v>
      </c>
      <c r="G390" s="8" t="s">
        <v>140</v>
      </c>
      <c r="H390" s="15" t="n">
        <v>4450</v>
      </c>
      <c r="I390" s="15" t="n">
        <v>4450</v>
      </c>
      <c r="J390" s="16" t="n">
        <v>0.957</v>
      </c>
      <c r="K390" s="8" t="n">
        <v>11.7</v>
      </c>
      <c r="L390" s="8" t="n">
        <v>7</v>
      </c>
      <c r="M390" s="8" t="n">
        <v>2</v>
      </c>
      <c r="N390" s="8" t="s">
        <v>120</v>
      </c>
      <c r="O390" s="15" t="n">
        <f aca="false">H390*12</f>
        <v>53400</v>
      </c>
      <c r="P390" s="8" t="n">
        <f aca="false">MIN(100,ROUND(100*J390/Assumptions!$B$8,0))</f>
        <v>100</v>
      </c>
      <c r="Q390" s="8" t="n">
        <f aca="false">IF(L390="",Assumptions!$B$9,L390*10)</f>
        <v>70</v>
      </c>
      <c r="R390" s="8" t="n">
        <f aca="false">IF(M390&lt;=1,Assumptions!$B$12,IF(M390&lt;=3,Assumptions!$B$13,IF(M390&lt;=6,Assumptions!$B$14,Assumptions!$B$15)))</f>
        <v>75</v>
      </c>
      <c r="S390" s="8" t="n">
        <f aca="false">IF(N390="Completed On Time",Assumptions!$B$16,IF(N390="Completed Late",Assumptions!$B$17,Assumptions!$B$18))</f>
        <v>100</v>
      </c>
      <c r="T390" s="8" t="n">
        <f aca="false">IF(I390=0,Assumptions!$B$20,IF(H390&gt;I390,Assumptions!$B$19,IF(H390=I390,Assumptions!$B$20,Assumptions!$B$21)))</f>
        <v>70</v>
      </c>
      <c r="U390" s="8" t="n">
        <f aca="false">ROUND(P390*Assumptions!$B$2+Q390*Assumptions!$B$3+R390*Assumptions!$B$4+S390*Assumptions!$B$5+T390*Assumptions!$B$6,0)</f>
        <v>84</v>
      </c>
      <c r="V390" s="8" t="str">
        <f aca="false">IF(U390&gt;=Assumptions!$B$10,"Healthy",IF(U390&gt;=Assumptions!$B$11,"Needs Attention","High Risk"))</f>
        <v>Healthy</v>
      </c>
    </row>
    <row r="391" customFormat="false" ht="15" hidden="false" customHeight="false" outlineLevel="0" collapsed="false">
      <c r="A391" s="8" t="s">
        <v>923</v>
      </c>
      <c r="B391" s="8" t="s">
        <v>924</v>
      </c>
      <c r="C391" s="8" t="s">
        <v>53</v>
      </c>
      <c r="D391" s="8" t="s">
        <v>326</v>
      </c>
      <c r="E391" s="8" t="s">
        <v>132</v>
      </c>
      <c r="F391" s="8" t="s">
        <v>154</v>
      </c>
      <c r="G391" s="8" t="s">
        <v>204</v>
      </c>
      <c r="H391" s="15" t="n">
        <v>4450</v>
      </c>
      <c r="I391" s="15" t="n">
        <v>4450</v>
      </c>
      <c r="J391" s="16" t="n">
        <v>0.85</v>
      </c>
      <c r="K391" s="8" t="n">
        <v>9.7</v>
      </c>
      <c r="L391" s="8" t="n">
        <v>9</v>
      </c>
      <c r="M391" s="8" t="n">
        <v>1</v>
      </c>
      <c r="N391" s="8" t="s">
        <v>120</v>
      </c>
      <c r="O391" s="15" t="n">
        <f aca="false">H391*12</f>
        <v>53400</v>
      </c>
      <c r="P391" s="8" t="n">
        <f aca="false">MIN(100,ROUND(100*J391/Assumptions!$B$8,0))</f>
        <v>94</v>
      </c>
      <c r="Q391" s="8" t="n">
        <f aca="false">IF(L391="",Assumptions!$B$9,L391*10)</f>
        <v>90</v>
      </c>
      <c r="R391" s="8" t="n">
        <f aca="false">IF(M391&lt;=1,Assumptions!$B$12,IF(M391&lt;=3,Assumptions!$B$13,IF(M391&lt;=6,Assumptions!$B$14,Assumptions!$B$15)))</f>
        <v>100</v>
      </c>
      <c r="S391" s="8" t="n">
        <f aca="false">IF(N391="Completed On Time",Assumptions!$B$16,IF(N391="Completed Late",Assumptions!$B$17,Assumptions!$B$18))</f>
        <v>100</v>
      </c>
      <c r="T391" s="8" t="n">
        <f aca="false">IF(I391=0,Assumptions!$B$20,IF(H391&gt;I391,Assumptions!$B$19,IF(H391=I391,Assumptions!$B$20,Assumptions!$B$21)))</f>
        <v>70</v>
      </c>
      <c r="U391" s="8" t="n">
        <f aca="false">ROUND(P391*Assumptions!$B$2+Q391*Assumptions!$B$3+R391*Assumptions!$B$4+S391*Assumptions!$B$5+T391*Assumptions!$B$6,0)</f>
        <v>90</v>
      </c>
      <c r="V391" s="8" t="str">
        <f aca="false">IF(U391&gt;=Assumptions!$B$10,"Healthy",IF(U391&gt;=Assumptions!$B$11,"Needs Attention","High Risk"))</f>
        <v>Healthy</v>
      </c>
    </row>
    <row r="392" customFormat="false" ht="15" hidden="false" customHeight="false" outlineLevel="0" collapsed="false">
      <c r="A392" s="8" t="s">
        <v>925</v>
      </c>
      <c r="B392" s="8" t="s">
        <v>926</v>
      </c>
      <c r="C392" s="8" t="s">
        <v>53</v>
      </c>
      <c r="D392" s="8" t="s">
        <v>326</v>
      </c>
      <c r="E392" s="8" t="s">
        <v>123</v>
      </c>
      <c r="F392" s="8" t="s">
        <v>151</v>
      </c>
      <c r="G392" s="8" t="s">
        <v>119</v>
      </c>
      <c r="H392" s="15" t="n">
        <v>4450</v>
      </c>
      <c r="I392" s="15" t="n">
        <v>4450</v>
      </c>
      <c r="J392" s="16" t="n">
        <v>0.852</v>
      </c>
      <c r="K392" s="8" t="n">
        <v>11</v>
      </c>
      <c r="L392" s="8" t="n">
        <v>10</v>
      </c>
      <c r="M392" s="8" t="n">
        <v>3</v>
      </c>
      <c r="N392" s="8" t="s">
        <v>120</v>
      </c>
      <c r="O392" s="15" t="n">
        <f aca="false">H392*12</f>
        <v>53400</v>
      </c>
      <c r="P392" s="8" t="n">
        <f aca="false">MIN(100,ROUND(100*J392/Assumptions!$B$8,0))</f>
        <v>95</v>
      </c>
      <c r="Q392" s="8" t="n">
        <f aca="false">IF(L392="",Assumptions!$B$9,L392*10)</f>
        <v>100</v>
      </c>
      <c r="R392" s="8" t="n">
        <f aca="false">IF(M392&lt;=1,Assumptions!$B$12,IF(M392&lt;=3,Assumptions!$B$13,IF(M392&lt;=6,Assumptions!$B$14,Assumptions!$B$15)))</f>
        <v>75</v>
      </c>
      <c r="S392" s="8" t="n">
        <f aca="false">IF(N392="Completed On Time",Assumptions!$B$16,IF(N392="Completed Late",Assumptions!$B$17,Assumptions!$B$18))</f>
        <v>100</v>
      </c>
      <c r="T392" s="8" t="n">
        <f aca="false">IF(I392=0,Assumptions!$B$20,IF(H392&gt;I392,Assumptions!$B$19,IF(H392=I392,Assumptions!$B$20,Assumptions!$B$21)))</f>
        <v>70</v>
      </c>
      <c r="U392" s="8" t="n">
        <f aca="false">ROUND(P392*Assumptions!$B$2+Q392*Assumptions!$B$3+R392*Assumptions!$B$4+S392*Assumptions!$B$5+T392*Assumptions!$B$6,0)</f>
        <v>89</v>
      </c>
      <c r="V392" s="8" t="str">
        <f aca="false">IF(U392&gt;=Assumptions!$B$10,"Healthy",IF(U392&gt;=Assumptions!$B$11,"Needs Attention","High Risk"))</f>
        <v>Healthy</v>
      </c>
    </row>
    <row r="393" customFormat="false" ht="15" hidden="false" customHeight="false" outlineLevel="0" collapsed="false">
      <c r="A393" s="8" t="s">
        <v>927</v>
      </c>
      <c r="B393" s="8" t="s">
        <v>928</v>
      </c>
      <c r="C393" s="8" t="s">
        <v>53</v>
      </c>
      <c r="D393" s="8" t="s">
        <v>326</v>
      </c>
      <c r="E393" s="8" t="s">
        <v>132</v>
      </c>
      <c r="F393" s="8" t="s">
        <v>223</v>
      </c>
      <c r="G393" s="8" t="s">
        <v>159</v>
      </c>
      <c r="H393" s="15" t="n">
        <v>4450</v>
      </c>
      <c r="I393" s="15" t="n">
        <v>4450</v>
      </c>
      <c r="J393" s="16" t="n">
        <v>0.648</v>
      </c>
      <c r="K393" s="8" t="n">
        <v>8.3</v>
      </c>
      <c r="L393" s="8" t="n">
        <v>8</v>
      </c>
      <c r="M393" s="8" t="n">
        <v>4</v>
      </c>
      <c r="N393" s="8" t="s">
        <v>120</v>
      </c>
      <c r="O393" s="15" t="n">
        <f aca="false">H393*12</f>
        <v>53400</v>
      </c>
      <c r="P393" s="8" t="n">
        <f aca="false">MIN(100,ROUND(100*J393/Assumptions!$B$8,0))</f>
        <v>72</v>
      </c>
      <c r="Q393" s="8" t="n">
        <f aca="false">IF(L393="",Assumptions!$B$9,L393*10)</f>
        <v>80</v>
      </c>
      <c r="R393" s="8" t="n">
        <f aca="false">IF(M393&lt;=1,Assumptions!$B$12,IF(M393&lt;=3,Assumptions!$B$13,IF(M393&lt;=6,Assumptions!$B$14,Assumptions!$B$15)))</f>
        <v>50</v>
      </c>
      <c r="S393" s="8" t="n">
        <f aca="false">IF(N393="Completed On Time",Assumptions!$B$16,IF(N393="Completed Late",Assumptions!$B$17,Assumptions!$B$18))</f>
        <v>100</v>
      </c>
      <c r="T393" s="8" t="n">
        <f aca="false">IF(I393=0,Assumptions!$B$20,IF(H393&gt;I393,Assumptions!$B$19,IF(H393=I393,Assumptions!$B$20,Assumptions!$B$21)))</f>
        <v>70</v>
      </c>
      <c r="U393" s="8" t="n">
        <f aca="false">ROUND(P393*Assumptions!$B$2+Q393*Assumptions!$B$3+R393*Assumptions!$B$4+S393*Assumptions!$B$5+T393*Assumptions!$B$6,0)</f>
        <v>73</v>
      </c>
      <c r="V393" s="8" t="str">
        <f aca="false">IF(U393&gt;=Assumptions!$B$10,"Healthy",IF(U393&gt;=Assumptions!$B$11,"Needs Attention","High Risk"))</f>
        <v>Needs Attention</v>
      </c>
    </row>
    <row r="394" customFormat="false" ht="15" hidden="false" customHeight="false" outlineLevel="0" collapsed="false">
      <c r="A394" s="8" t="s">
        <v>929</v>
      </c>
      <c r="B394" s="8" t="s">
        <v>930</v>
      </c>
      <c r="C394" s="8" t="s">
        <v>53</v>
      </c>
      <c r="D394" s="8" t="s">
        <v>326</v>
      </c>
      <c r="E394" s="8" t="s">
        <v>117</v>
      </c>
      <c r="F394" s="8" t="s">
        <v>223</v>
      </c>
      <c r="G394" s="8" t="s">
        <v>119</v>
      </c>
      <c r="H394" s="15" t="n">
        <v>4450</v>
      </c>
      <c r="I394" s="15" t="n">
        <v>4450</v>
      </c>
      <c r="J394" s="16" t="n">
        <v>0.775</v>
      </c>
      <c r="K394" s="8" t="n">
        <v>7.3</v>
      </c>
      <c r="L394" s="8" t="n">
        <v>5</v>
      </c>
      <c r="M394" s="8" t="n">
        <v>3</v>
      </c>
      <c r="N394" s="8" t="s">
        <v>120</v>
      </c>
      <c r="O394" s="15" t="n">
        <f aca="false">H394*12</f>
        <v>53400</v>
      </c>
      <c r="P394" s="8" t="n">
        <f aca="false">MIN(100,ROUND(100*J394/Assumptions!$B$8,0))</f>
        <v>86</v>
      </c>
      <c r="Q394" s="8" t="n">
        <f aca="false">IF(L394="",Assumptions!$B$9,L394*10)</f>
        <v>50</v>
      </c>
      <c r="R394" s="8" t="n">
        <f aca="false">IF(M394&lt;=1,Assumptions!$B$12,IF(M394&lt;=3,Assumptions!$B$13,IF(M394&lt;=6,Assumptions!$B$14,Assumptions!$B$15)))</f>
        <v>75</v>
      </c>
      <c r="S394" s="8" t="n">
        <f aca="false">IF(N394="Completed On Time",Assumptions!$B$16,IF(N394="Completed Late",Assumptions!$B$17,Assumptions!$B$18))</f>
        <v>100</v>
      </c>
      <c r="T394" s="8" t="n">
        <f aca="false">IF(I394=0,Assumptions!$B$20,IF(H394&gt;I394,Assumptions!$B$19,IF(H394=I394,Assumptions!$B$20,Assumptions!$B$21)))</f>
        <v>70</v>
      </c>
      <c r="U394" s="8" t="n">
        <f aca="false">ROUND(P394*Assumptions!$B$2+Q394*Assumptions!$B$3+R394*Assumptions!$B$4+S394*Assumptions!$B$5+T394*Assumptions!$B$6,0)</f>
        <v>75</v>
      </c>
      <c r="V394" s="8" t="str">
        <f aca="false">IF(U394&gt;=Assumptions!$B$10,"Healthy",IF(U394&gt;=Assumptions!$B$11,"Needs Attention","High Risk"))</f>
        <v>Needs Attention</v>
      </c>
    </row>
    <row r="395" customFormat="false" ht="15" hidden="false" customHeight="false" outlineLevel="0" collapsed="false">
      <c r="A395" s="8" t="s">
        <v>931</v>
      </c>
      <c r="B395" s="8" t="s">
        <v>932</v>
      </c>
      <c r="C395" s="8" t="s">
        <v>53</v>
      </c>
      <c r="D395" s="8" t="s">
        <v>326</v>
      </c>
      <c r="E395" s="8" t="s">
        <v>123</v>
      </c>
      <c r="F395" s="8" t="s">
        <v>136</v>
      </c>
      <c r="G395" s="8" t="s">
        <v>137</v>
      </c>
      <c r="H395" s="15" t="n">
        <v>4425</v>
      </c>
      <c r="I395" s="15" t="n">
        <v>4425</v>
      </c>
      <c r="J395" s="16" t="n">
        <v>0.721</v>
      </c>
      <c r="K395" s="8" t="n">
        <v>6</v>
      </c>
      <c r="L395" s="8" t="n">
        <v>7</v>
      </c>
      <c r="M395" s="8" t="n">
        <v>5</v>
      </c>
      <c r="N395" s="8" t="s">
        <v>120</v>
      </c>
      <c r="O395" s="15" t="n">
        <f aca="false">H395*12</f>
        <v>53100</v>
      </c>
      <c r="P395" s="8" t="n">
        <f aca="false">MIN(100,ROUND(100*J395/Assumptions!$B$8,0))</f>
        <v>80</v>
      </c>
      <c r="Q395" s="8" t="n">
        <f aca="false">IF(L395="",Assumptions!$B$9,L395*10)</f>
        <v>70</v>
      </c>
      <c r="R395" s="8" t="n">
        <f aca="false">IF(M395&lt;=1,Assumptions!$B$12,IF(M395&lt;=3,Assumptions!$B$13,IF(M395&lt;=6,Assumptions!$B$14,Assumptions!$B$15)))</f>
        <v>50</v>
      </c>
      <c r="S395" s="8" t="n">
        <f aca="false">IF(N395="Completed On Time",Assumptions!$B$16,IF(N395="Completed Late",Assumptions!$B$17,Assumptions!$B$18))</f>
        <v>100</v>
      </c>
      <c r="T395" s="8" t="n">
        <f aca="false">IF(I395=0,Assumptions!$B$20,IF(H395&gt;I395,Assumptions!$B$19,IF(H395=I395,Assumptions!$B$20,Assumptions!$B$21)))</f>
        <v>70</v>
      </c>
      <c r="U395" s="8" t="n">
        <f aca="false">ROUND(P395*Assumptions!$B$2+Q395*Assumptions!$B$3+R395*Assumptions!$B$4+S395*Assumptions!$B$5+T395*Assumptions!$B$6,0)</f>
        <v>74</v>
      </c>
      <c r="V395" s="8" t="str">
        <f aca="false">IF(U395&gt;=Assumptions!$B$10,"Healthy",IF(U395&gt;=Assumptions!$B$11,"Needs Attention","High Risk"))</f>
        <v>Needs Attention</v>
      </c>
    </row>
    <row r="396" customFormat="false" ht="15" hidden="false" customHeight="false" outlineLevel="0" collapsed="false">
      <c r="A396" s="8" t="s">
        <v>933</v>
      </c>
      <c r="B396" s="8" t="s">
        <v>934</v>
      </c>
      <c r="C396" s="8" t="s">
        <v>53</v>
      </c>
      <c r="D396" s="8" t="s">
        <v>326</v>
      </c>
      <c r="E396" s="8" t="s">
        <v>132</v>
      </c>
      <c r="F396" s="8" t="s">
        <v>151</v>
      </c>
      <c r="G396" s="8" t="s">
        <v>119</v>
      </c>
      <c r="H396" s="15" t="n">
        <v>4425</v>
      </c>
      <c r="I396" s="15" t="n">
        <v>4425</v>
      </c>
      <c r="J396" s="16" t="n">
        <v>0.674</v>
      </c>
      <c r="K396" s="8" t="n">
        <v>8.7</v>
      </c>
      <c r="L396" s="8" t="n">
        <v>8</v>
      </c>
      <c r="M396" s="8" t="n">
        <v>3</v>
      </c>
      <c r="N396" s="8" t="s">
        <v>120</v>
      </c>
      <c r="O396" s="15" t="n">
        <f aca="false">H396*12</f>
        <v>53100</v>
      </c>
      <c r="P396" s="8" t="n">
        <f aca="false">MIN(100,ROUND(100*J396/Assumptions!$B$8,0))</f>
        <v>75</v>
      </c>
      <c r="Q396" s="8" t="n">
        <f aca="false">IF(L396="",Assumptions!$B$9,L396*10)</f>
        <v>80</v>
      </c>
      <c r="R396" s="8" t="n">
        <f aca="false">IF(M396&lt;=1,Assumptions!$B$12,IF(M396&lt;=3,Assumptions!$B$13,IF(M396&lt;=6,Assumptions!$B$14,Assumptions!$B$15)))</f>
        <v>75</v>
      </c>
      <c r="S396" s="8" t="n">
        <f aca="false">IF(N396="Completed On Time",Assumptions!$B$16,IF(N396="Completed Late",Assumptions!$B$17,Assumptions!$B$18))</f>
        <v>100</v>
      </c>
      <c r="T396" s="8" t="n">
        <f aca="false">IF(I396=0,Assumptions!$B$20,IF(H396&gt;I396,Assumptions!$B$19,IF(H396=I396,Assumptions!$B$20,Assumptions!$B$21)))</f>
        <v>70</v>
      </c>
      <c r="U396" s="8" t="n">
        <f aca="false">ROUND(P396*Assumptions!$B$2+Q396*Assumptions!$B$3+R396*Assumptions!$B$4+S396*Assumptions!$B$5+T396*Assumptions!$B$6,0)</f>
        <v>78</v>
      </c>
      <c r="V396" s="8" t="str">
        <f aca="false">IF(U396&gt;=Assumptions!$B$10,"Healthy",IF(U396&gt;=Assumptions!$B$11,"Needs Attention","High Risk"))</f>
        <v>Needs Attention</v>
      </c>
    </row>
    <row r="397" customFormat="false" ht="15" hidden="false" customHeight="false" outlineLevel="0" collapsed="false">
      <c r="A397" s="8" t="s">
        <v>935</v>
      </c>
      <c r="B397" s="8" t="s">
        <v>936</v>
      </c>
      <c r="C397" s="8" t="s">
        <v>53</v>
      </c>
      <c r="D397" s="8" t="s">
        <v>326</v>
      </c>
      <c r="E397" s="8" t="s">
        <v>117</v>
      </c>
      <c r="F397" s="8" t="s">
        <v>136</v>
      </c>
      <c r="G397" s="8" t="s">
        <v>177</v>
      </c>
      <c r="H397" s="15" t="n">
        <v>4425</v>
      </c>
      <c r="I397" s="15" t="n">
        <v>0</v>
      </c>
      <c r="J397" s="16" t="n">
        <v>0.821</v>
      </c>
      <c r="K397" s="8" t="n">
        <v>10.7</v>
      </c>
      <c r="L397" s="8"/>
      <c r="M397" s="8" t="n">
        <v>0</v>
      </c>
      <c r="N397" s="8" t="s">
        <v>120</v>
      </c>
      <c r="O397" s="15" t="n">
        <f aca="false">H397*12</f>
        <v>53100</v>
      </c>
      <c r="P397" s="8" t="n">
        <f aca="false">MIN(100,ROUND(100*J397/Assumptions!$B$8,0))</f>
        <v>91</v>
      </c>
      <c r="Q397" s="8" t="n">
        <f aca="false">IF(L397="",Assumptions!$B$9,L397*10)</f>
        <v>50</v>
      </c>
      <c r="R397" s="8" t="n">
        <f aca="false">IF(M397&lt;=1,Assumptions!$B$12,IF(M397&lt;=3,Assumptions!$B$13,IF(M397&lt;=6,Assumptions!$B$14,Assumptions!$B$15)))</f>
        <v>100</v>
      </c>
      <c r="S397" s="8" t="n">
        <f aca="false">IF(N397="Completed On Time",Assumptions!$B$16,IF(N397="Completed Late",Assumptions!$B$17,Assumptions!$B$18))</f>
        <v>100</v>
      </c>
      <c r="T397" s="8" t="n">
        <f aca="false">IF(I397=0,Assumptions!$B$20,IF(H397&gt;I397,Assumptions!$B$19,IF(H397=I397,Assumptions!$B$20,Assumptions!$B$21)))</f>
        <v>70</v>
      </c>
      <c r="U397" s="8" t="n">
        <f aca="false">ROUND(P397*Assumptions!$B$2+Q397*Assumptions!$B$3+R397*Assumptions!$B$4+S397*Assumptions!$B$5+T397*Assumptions!$B$6,0)</f>
        <v>81</v>
      </c>
      <c r="V397" s="8" t="str">
        <f aca="false">IF(U397&gt;=Assumptions!$B$10,"Healthy",IF(U397&gt;=Assumptions!$B$11,"Needs Attention","High Risk"))</f>
        <v>Healthy</v>
      </c>
    </row>
    <row r="398" customFormat="false" ht="15" hidden="false" customHeight="false" outlineLevel="0" collapsed="false">
      <c r="A398" s="8" t="s">
        <v>937</v>
      </c>
      <c r="B398" s="8" t="s">
        <v>938</v>
      </c>
      <c r="C398" s="8" t="s">
        <v>53</v>
      </c>
      <c r="D398" s="8" t="s">
        <v>55</v>
      </c>
      <c r="E398" s="8" t="s">
        <v>117</v>
      </c>
      <c r="F398" s="8" t="s">
        <v>143</v>
      </c>
      <c r="G398" s="8" t="s">
        <v>144</v>
      </c>
      <c r="H398" s="15" t="n">
        <v>4410</v>
      </c>
      <c r="I398" s="15" t="n">
        <v>4410</v>
      </c>
      <c r="J398" s="16" t="n">
        <v>0.782</v>
      </c>
      <c r="K398" s="8" t="n">
        <v>9</v>
      </c>
      <c r="L398" s="8" t="n">
        <v>7</v>
      </c>
      <c r="M398" s="8" t="n">
        <v>0</v>
      </c>
      <c r="N398" s="8" t="s">
        <v>120</v>
      </c>
      <c r="O398" s="15" t="n">
        <f aca="false">H398*12</f>
        <v>52920</v>
      </c>
      <c r="P398" s="8" t="n">
        <f aca="false">MIN(100,ROUND(100*J398/Assumptions!$B$8,0))</f>
        <v>87</v>
      </c>
      <c r="Q398" s="8" t="n">
        <f aca="false">IF(L398="",Assumptions!$B$9,L398*10)</f>
        <v>70</v>
      </c>
      <c r="R398" s="8" t="n">
        <f aca="false">IF(M398&lt;=1,Assumptions!$B$12,IF(M398&lt;=3,Assumptions!$B$13,IF(M398&lt;=6,Assumptions!$B$14,Assumptions!$B$15)))</f>
        <v>100</v>
      </c>
      <c r="S398" s="8" t="n">
        <f aca="false">IF(N398="Completed On Time",Assumptions!$B$16,IF(N398="Completed Late",Assumptions!$B$17,Assumptions!$B$18))</f>
        <v>100</v>
      </c>
      <c r="T398" s="8" t="n">
        <f aca="false">IF(I398=0,Assumptions!$B$20,IF(H398&gt;I398,Assumptions!$B$19,IF(H398=I398,Assumptions!$B$20,Assumptions!$B$21)))</f>
        <v>70</v>
      </c>
      <c r="U398" s="8" t="n">
        <f aca="false">ROUND(P398*Assumptions!$B$2+Q398*Assumptions!$B$3+R398*Assumptions!$B$4+S398*Assumptions!$B$5+T398*Assumptions!$B$6,0)</f>
        <v>83</v>
      </c>
      <c r="V398" s="8" t="str">
        <f aca="false">IF(U398&gt;=Assumptions!$B$10,"Healthy",IF(U398&gt;=Assumptions!$B$11,"Needs Attention","High Risk"))</f>
        <v>Healthy</v>
      </c>
    </row>
    <row r="399" customFormat="false" ht="15" hidden="false" customHeight="false" outlineLevel="0" collapsed="false">
      <c r="A399" s="8" t="s">
        <v>939</v>
      </c>
      <c r="B399" s="8" t="s">
        <v>940</v>
      </c>
      <c r="C399" s="8" t="s">
        <v>53</v>
      </c>
      <c r="D399" s="8" t="s">
        <v>55</v>
      </c>
      <c r="E399" s="8" t="s">
        <v>117</v>
      </c>
      <c r="F399" s="8" t="s">
        <v>118</v>
      </c>
      <c r="G399" s="8" t="s">
        <v>204</v>
      </c>
      <c r="H399" s="15" t="n">
        <v>4365</v>
      </c>
      <c r="I399" s="15" t="n">
        <v>4365</v>
      </c>
      <c r="J399" s="16" t="n">
        <v>0.533</v>
      </c>
      <c r="K399" s="8" t="n">
        <v>5.3</v>
      </c>
      <c r="L399" s="8" t="n">
        <v>7</v>
      </c>
      <c r="M399" s="8" t="n">
        <v>5</v>
      </c>
      <c r="N399" s="8" t="s">
        <v>120</v>
      </c>
      <c r="O399" s="15" t="n">
        <f aca="false">H399*12</f>
        <v>52380</v>
      </c>
      <c r="P399" s="8" t="n">
        <f aca="false">MIN(100,ROUND(100*J399/Assumptions!$B$8,0))</f>
        <v>59</v>
      </c>
      <c r="Q399" s="8" t="n">
        <f aca="false">IF(L399="",Assumptions!$B$9,L399*10)</f>
        <v>70</v>
      </c>
      <c r="R399" s="8" t="n">
        <f aca="false">IF(M399&lt;=1,Assumptions!$B$12,IF(M399&lt;=3,Assumptions!$B$13,IF(M399&lt;=6,Assumptions!$B$14,Assumptions!$B$15)))</f>
        <v>50</v>
      </c>
      <c r="S399" s="8" t="n">
        <f aca="false">IF(N399="Completed On Time",Assumptions!$B$16,IF(N399="Completed Late",Assumptions!$B$17,Assumptions!$B$18))</f>
        <v>100</v>
      </c>
      <c r="T399" s="8" t="n">
        <f aca="false">IF(I399=0,Assumptions!$B$20,IF(H399&gt;I399,Assumptions!$B$19,IF(H399=I399,Assumptions!$B$20,Assumptions!$B$21)))</f>
        <v>70</v>
      </c>
      <c r="U399" s="8" t="n">
        <f aca="false">ROUND(P399*Assumptions!$B$2+Q399*Assumptions!$B$3+R399*Assumptions!$B$4+S399*Assumptions!$B$5+T399*Assumptions!$B$6,0)</f>
        <v>66</v>
      </c>
      <c r="V399" s="8" t="str">
        <f aca="false">IF(U399&gt;=Assumptions!$B$10,"Healthy",IF(U399&gt;=Assumptions!$B$11,"Needs Attention","High Risk"))</f>
        <v>Needs Attention</v>
      </c>
    </row>
    <row r="400" customFormat="false" ht="15" hidden="false" customHeight="false" outlineLevel="0" collapsed="false">
      <c r="A400" s="8" t="s">
        <v>941</v>
      </c>
      <c r="B400" s="8" t="s">
        <v>942</v>
      </c>
      <c r="C400" s="8" t="s">
        <v>53</v>
      </c>
      <c r="D400" s="8" t="s">
        <v>326</v>
      </c>
      <c r="E400" s="8" t="s">
        <v>123</v>
      </c>
      <c r="F400" s="8" t="s">
        <v>143</v>
      </c>
      <c r="G400" s="8" t="s">
        <v>125</v>
      </c>
      <c r="H400" s="15" t="n">
        <v>4350</v>
      </c>
      <c r="I400" s="15" t="n">
        <v>4350</v>
      </c>
      <c r="J400" s="16" t="n">
        <v>0.556</v>
      </c>
      <c r="K400" s="8" t="n">
        <v>7</v>
      </c>
      <c r="L400" s="8" t="n">
        <v>6</v>
      </c>
      <c r="M400" s="8" t="n">
        <v>3</v>
      </c>
      <c r="N400" s="8" t="s">
        <v>120</v>
      </c>
      <c r="O400" s="15" t="n">
        <f aca="false">H400*12</f>
        <v>52200</v>
      </c>
      <c r="P400" s="8" t="n">
        <f aca="false">MIN(100,ROUND(100*J400/Assumptions!$B$8,0))</f>
        <v>62</v>
      </c>
      <c r="Q400" s="8" t="n">
        <f aca="false">IF(L400="",Assumptions!$B$9,L400*10)</f>
        <v>60</v>
      </c>
      <c r="R400" s="8" t="n">
        <f aca="false">IF(M400&lt;=1,Assumptions!$B$12,IF(M400&lt;=3,Assumptions!$B$13,IF(M400&lt;=6,Assumptions!$B$14,Assumptions!$B$15)))</f>
        <v>75</v>
      </c>
      <c r="S400" s="8" t="n">
        <f aca="false">IF(N400="Completed On Time",Assumptions!$B$16,IF(N400="Completed Late",Assumptions!$B$17,Assumptions!$B$18))</f>
        <v>100</v>
      </c>
      <c r="T400" s="8" t="n">
        <f aca="false">IF(I400=0,Assumptions!$B$20,IF(H400&gt;I400,Assumptions!$B$19,IF(H400=I400,Assumptions!$B$20,Assumptions!$B$21)))</f>
        <v>70</v>
      </c>
      <c r="U400" s="8" t="n">
        <f aca="false">ROUND(P400*Assumptions!$B$2+Q400*Assumptions!$B$3+R400*Assumptions!$B$4+S400*Assumptions!$B$5+T400*Assumptions!$B$6,0)</f>
        <v>69</v>
      </c>
      <c r="V400" s="8" t="str">
        <f aca="false">IF(U400&gt;=Assumptions!$B$10,"Healthy",IF(U400&gt;=Assumptions!$B$11,"Needs Attention","High Risk"))</f>
        <v>Needs Attention</v>
      </c>
    </row>
    <row r="401" customFormat="false" ht="15" hidden="false" customHeight="false" outlineLevel="0" collapsed="false">
      <c r="A401" s="8" t="s">
        <v>943</v>
      </c>
      <c r="B401" s="8" t="s">
        <v>944</v>
      </c>
      <c r="C401" s="8" t="s">
        <v>53</v>
      </c>
      <c r="D401" s="8" t="s">
        <v>326</v>
      </c>
      <c r="E401" s="8" t="s">
        <v>132</v>
      </c>
      <c r="F401" s="8" t="s">
        <v>124</v>
      </c>
      <c r="G401" s="8" t="s">
        <v>144</v>
      </c>
      <c r="H401" s="15" t="n">
        <v>4325</v>
      </c>
      <c r="I401" s="15" t="n">
        <v>4325</v>
      </c>
      <c r="J401" s="16" t="n">
        <v>0.909</v>
      </c>
      <c r="K401" s="8" t="n">
        <v>10</v>
      </c>
      <c r="L401" s="8" t="n">
        <v>9</v>
      </c>
      <c r="M401" s="8" t="n">
        <v>4</v>
      </c>
      <c r="N401" s="8" t="s">
        <v>120</v>
      </c>
      <c r="O401" s="15" t="n">
        <f aca="false">H401*12</f>
        <v>51900</v>
      </c>
      <c r="P401" s="8" t="n">
        <f aca="false">MIN(100,ROUND(100*J401/Assumptions!$B$8,0))</f>
        <v>100</v>
      </c>
      <c r="Q401" s="8" t="n">
        <f aca="false">IF(L401="",Assumptions!$B$9,L401*10)</f>
        <v>90</v>
      </c>
      <c r="R401" s="8" t="n">
        <f aca="false">IF(M401&lt;=1,Assumptions!$B$12,IF(M401&lt;=3,Assumptions!$B$13,IF(M401&lt;=6,Assumptions!$B$14,Assumptions!$B$15)))</f>
        <v>50</v>
      </c>
      <c r="S401" s="8" t="n">
        <f aca="false">IF(N401="Completed On Time",Assumptions!$B$16,IF(N401="Completed Late",Assumptions!$B$17,Assumptions!$B$18))</f>
        <v>100</v>
      </c>
      <c r="T401" s="8" t="n">
        <f aca="false">IF(I401=0,Assumptions!$B$20,IF(H401&gt;I401,Assumptions!$B$19,IF(H401=I401,Assumptions!$B$20,Assumptions!$B$21)))</f>
        <v>70</v>
      </c>
      <c r="U401" s="8" t="n">
        <f aca="false">ROUND(P401*Assumptions!$B$2+Q401*Assumptions!$B$3+R401*Assumptions!$B$4+S401*Assumptions!$B$5+T401*Assumptions!$B$6,0)</f>
        <v>85</v>
      </c>
      <c r="V401" s="8" t="str">
        <f aca="false">IF(U401&gt;=Assumptions!$B$10,"Healthy",IF(U401&gt;=Assumptions!$B$11,"Needs Attention","High Risk"))</f>
        <v>Healthy</v>
      </c>
    </row>
    <row r="402" customFormat="false" ht="15" hidden="false" customHeight="false" outlineLevel="0" collapsed="false">
      <c r="A402" s="8" t="s">
        <v>945</v>
      </c>
      <c r="B402" s="8" t="s">
        <v>946</v>
      </c>
      <c r="C402" s="8" t="s">
        <v>53</v>
      </c>
      <c r="D402" s="8" t="s">
        <v>326</v>
      </c>
      <c r="E402" s="8" t="s">
        <v>132</v>
      </c>
      <c r="F402" s="8" t="s">
        <v>190</v>
      </c>
      <c r="G402" s="8" t="s">
        <v>204</v>
      </c>
      <c r="H402" s="15" t="n">
        <v>4325</v>
      </c>
      <c r="I402" s="15" t="n">
        <v>4325</v>
      </c>
      <c r="J402" s="16" t="n">
        <v>0.699</v>
      </c>
      <c r="K402" s="8" t="n">
        <v>9</v>
      </c>
      <c r="L402" s="8" t="n">
        <v>9</v>
      </c>
      <c r="M402" s="8" t="n">
        <v>1</v>
      </c>
      <c r="N402" s="8" t="s">
        <v>120</v>
      </c>
      <c r="O402" s="15" t="n">
        <f aca="false">H402*12</f>
        <v>51900</v>
      </c>
      <c r="P402" s="8" t="n">
        <f aca="false">MIN(100,ROUND(100*J402/Assumptions!$B$8,0))</f>
        <v>78</v>
      </c>
      <c r="Q402" s="8" t="n">
        <f aca="false">IF(L402="",Assumptions!$B$9,L402*10)</f>
        <v>90</v>
      </c>
      <c r="R402" s="8" t="n">
        <f aca="false">IF(M402&lt;=1,Assumptions!$B$12,IF(M402&lt;=3,Assumptions!$B$13,IF(M402&lt;=6,Assumptions!$B$14,Assumptions!$B$15)))</f>
        <v>100</v>
      </c>
      <c r="S402" s="8" t="n">
        <f aca="false">IF(N402="Completed On Time",Assumptions!$B$16,IF(N402="Completed Late",Assumptions!$B$17,Assumptions!$B$18))</f>
        <v>100</v>
      </c>
      <c r="T402" s="8" t="n">
        <f aca="false">IF(I402=0,Assumptions!$B$20,IF(H402&gt;I402,Assumptions!$B$19,IF(H402=I402,Assumptions!$B$20,Assumptions!$B$21)))</f>
        <v>70</v>
      </c>
      <c r="U402" s="8" t="n">
        <f aca="false">ROUND(P402*Assumptions!$B$2+Q402*Assumptions!$B$3+R402*Assumptions!$B$4+S402*Assumptions!$B$5+T402*Assumptions!$B$6,0)</f>
        <v>84</v>
      </c>
      <c r="V402" s="8" t="str">
        <f aca="false">IF(U402&gt;=Assumptions!$B$10,"Healthy",IF(U402&gt;=Assumptions!$B$11,"Needs Attention","High Risk"))</f>
        <v>Healthy</v>
      </c>
    </row>
    <row r="403" customFormat="false" ht="15" hidden="false" customHeight="false" outlineLevel="0" collapsed="false">
      <c r="A403" s="8" t="s">
        <v>947</v>
      </c>
      <c r="B403" s="8" t="s">
        <v>948</v>
      </c>
      <c r="C403" s="8" t="s">
        <v>53</v>
      </c>
      <c r="D403" s="8" t="s">
        <v>326</v>
      </c>
      <c r="E403" s="8" t="s">
        <v>132</v>
      </c>
      <c r="F403" s="8" t="s">
        <v>166</v>
      </c>
      <c r="G403" s="8" t="s">
        <v>119</v>
      </c>
      <c r="H403" s="15" t="n">
        <v>4325</v>
      </c>
      <c r="I403" s="15" t="n">
        <v>4325</v>
      </c>
      <c r="J403" s="16" t="n">
        <v>0.94</v>
      </c>
      <c r="K403" s="8" t="n">
        <v>9</v>
      </c>
      <c r="L403" s="8" t="n">
        <v>10</v>
      </c>
      <c r="M403" s="8" t="n">
        <v>1</v>
      </c>
      <c r="N403" s="8" t="s">
        <v>148</v>
      </c>
      <c r="O403" s="15" t="n">
        <f aca="false">H403*12</f>
        <v>51900</v>
      </c>
      <c r="P403" s="8" t="n">
        <f aca="false">MIN(100,ROUND(100*J403/Assumptions!$B$8,0))</f>
        <v>100</v>
      </c>
      <c r="Q403" s="8" t="n">
        <f aca="false">IF(L403="",Assumptions!$B$9,L403*10)</f>
        <v>100</v>
      </c>
      <c r="R403" s="8" t="n">
        <f aca="false">IF(M403&lt;=1,Assumptions!$B$12,IF(M403&lt;=3,Assumptions!$B$13,IF(M403&lt;=6,Assumptions!$B$14,Assumptions!$B$15)))</f>
        <v>100</v>
      </c>
      <c r="S403" s="8" t="n">
        <f aca="false">IF(N403="Completed On Time",Assumptions!$B$16,IF(N403="Completed Late",Assumptions!$B$17,Assumptions!$B$18))</f>
        <v>60</v>
      </c>
      <c r="T403" s="8" t="n">
        <f aca="false">IF(I403=0,Assumptions!$B$20,IF(H403&gt;I403,Assumptions!$B$19,IF(H403=I403,Assumptions!$B$20,Assumptions!$B$21)))</f>
        <v>70</v>
      </c>
      <c r="U403" s="8" t="n">
        <f aca="false">ROUND(P403*Assumptions!$B$2+Q403*Assumptions!$B$3+R403*Assumptions!$B$4+S403*Assumptions!$B$5+T403*Assumptions!$B$6,0)</f>
        <v>90</v>
      </c>
      <c r="V403" s="8" t="str">
        <f aca="false">IF(U403&gt;=Assumptions!$B$10,"Healthy",IF(U403&gt;=Assumptions!$B$11,"Needs Attention","High Risk"))</f>
        <v>Healthy</v>
      </c>
    </row>
    <row r="404" customFormat="false" ht="15" hidden="false" customHeight="false" outlineLevel="0" collapsed="false">
      <c r="A404" s="8" t="s">
        <v>949</v>
      </c>
      <c r="B404" s="8" t="s">
        <v>950</v>
      </c>
      <c r="C404" s="8" t="s">
        <v>53</v>
      </c>
      <c r="D404" s="8" t="s">
        <v>326</v>
      </c>
      <c r="E404" s="8" t="s">
        <v>123</v>
      </c>
      <c r="F404" s="8" t="s">
        <v>190</v>
      </c>
      <c r="G404" s="8" t="s">
        <v>140</v>
      </c>
      <c r="H404" s="15" t="n">
        <v>4325</v>
      </c>
      <c r="I404" s="15" t="n">
        <v>4325</v>
      </c>
      <c r="J404" s="16" t="n">
        <v>0.886</v>
      </c>
      <c r="K404" s="8" t="n">
        <v>11.7</v>
      </c>
      <c r="L404" s="8" t="n">
        <v>10</v>
      </c>
      <c r="M404" s="8" t="n">
        <v>2</v>
      </c>
      <c r="N404" s="8" t="s">
        <v>120</v>
      </c>
      <c r="O404" s="15" t="n">
        <f aca="false">H404*12</f>
        <v>51900</v>
      </c>
      <c r="P404" s="8" t="n">
        <f aca="false">MIN(100,ROUND(100*J404/Assumptions!$B$8,0))</f>
        <v>98</v>
      </c>
      <c r="Q404" s="8" t="n">
        <f aca="false">IF(L404="",Assumptions!$B$9,L404*10)</f>
        <v>100</v>
      </c>
      <c r="R404" s="8" t="n">
        <f aca="false">IF(M404&lt;=1,Assumptions!$B$12,IF(M404&lt;=3,Assumptions!$B$13,IF(M404&lt;=6,Assumptions!$B$14,Assumptions!$B$15)))</f>
        <v>75</v>
      </c>
      <c r="S404" s="8" t="n">
        <f aca="false">IF(N404="Completed On Time",Assumptions!$B$16,IF(N404="Completed Late",Assumptions!$B$17,Assumptions!$B$18))</f>
        <v>100</v>
      </c>
      <c r="T404" s="8" t="n">
        <f aca="false">IF(I404=0,Assumptions!$B$20,IF(H404&gt;I404,Assumptions!$B$19,IF(H404=I404,Assumptions!$B$20,Assumptions!$B$21)))</f>
        <v>70</v>
      </c>
      <c r="U404" s="8" t="n">
        <f aca="false">ROUND(P404*Assumptions!$B$2+Q404*Assumptions!$B$3+R404*Assumptions!$B$4+S404*Assumptions!$B$5+T404*Assumptions!$B$6,0)</f>
        <v>90</v>
      </c>
      <c r="V404" s="8" t="str">
        <f aca="false">IF(U404&gt;=Assumptions!$B$10,"Healthy",IF(U404&gt;=Assumptions!$B$11,"Needs Attention","High Risk"))</f>
        <v>Healthy</v>
      </c>
    </row>
    <row r="405" customFormat="false" ht="15" hidden="false" customHeight="false" outlineLevel="0" collapsed="false">
      <c r="A405" s="8" t="s">
        <v>951</v>
      </c>
      <c r="B405" s="8" t="s">
        <v>952</v>
      </c>
      <c r="C405" s="8" t="s">
        <v>53</v>
      </c>
      <c r="D405" s="8" t="s">
        <v>326</v>
      </c>
      <c r="E405" s="8" t="s">
        <v>132</v>
      </c>
      <c r="F405" s="8" t="s">
        <v>124</v>
      </c>
      <c r="G405" s="8" t="s">
        <v>125</v>
      </c>
      <c r="H405" s="15" t="n">
        <v>4300</v>
      </c>
      <c r="I405" s="15" t="n">
        <v>4300</v>
      </c>
      <c r="J405" s="16" t="n">
        <v>0.64</v>
      </c>
      <c r="K405" s="8" t="n">
        <v>8</v>
      </c>
      <c r="L405" s="8" t="n">
        <v>10</v>
      </c>
      <c r="M405" s="8" t="n">
        <v>6</v>
      </c>
      <c r="N405" s="8" t="s">
        <v>120</v>
      </c>
      <c r="O405" s="15" t="n">
        <f aca="false">H405*12</f>
        <v>51600</v>
      </c>
      <c r="P405" s="8" t="n">
        <f aca="false">MIN(100,ROUND(100*J405/Assumptions!$B$8,0))</f>
        <v>71</v>
      </c>
      <c r="Q405" s="8" t="n">
        <f aca="false">IF(L405="",Assumptions!$B$9,L405*10)</f>
        <v>100</v>
      </c>
      <c r="R405" s="8" t="n">
        <f aca="false">IF(M405&lt;=1,Assumptions!$B$12,IF(M405&lt;=3,Assumptions!$B$13,IF(M405&lt;=6,Assumptions!$B$14,Assumptions!$B$15)))</f>
        <v>50</v>
      </c>
      <c r="S405" s="8" t="n">
        <f aca="false">IF(N405="Completed On Time",Assumptions!$B$16,IF(N405="Completed Late",Assumptions!$B$17,Assumptions!$B$18))</f>
        <v>100</v>
      </c>
      <c r="T405" s="8" t="n">
        <f aca="false">IF(I405=0,Assumptions!$B$20,IF(H405&gt;I405,Assumptions!$B$19,IF(H405=I405,Assumptions!$B$20,Assumptions!$B$21)))</f>
        <v>70</v>
      </c>
      <c r="U405" s="8" t="n">
        <f aca="false">ROUND(P405*Assumptions!$B$2+Q405*Assumptions!$B$3+R405*Assumptions!$B$4+S405*Assumptions!$B$5+T405*Assumptions!$B$6,0)</f>
        <v>76</v>
      </c>
      <c r="V405" s="8" t="str">
        <f aca="false">IF(U405&gt;=Assumptions!$B$10,"Healthy",IF(U405&gt;=Assumptions!$B$11,"Needs Attention","High Risk"))</f>
        <v>Needs Attention</v>
      </c>
    </row>
    <row r="406" customFormat="false" ht="15" hidden="false" customHeight="false" outlineLevel="0" collapsed="false">
      <c r="A406" s="8" t="s">
        <v>953</v>
      </c>
      <c r="B406" s="8" t="s">
        <v>954</v>
      </c>
      <c r="C406" s="8" t="s">
        <v>53</v>
      </c>
      <c r="D406" s="8" t="s">
        <v>326</v>
      </c>
      <c r="E406" s="8" t="s">
        <v>123</v>
      </c>
      <c r="F406" s="8" t="s">
        <v>118</v>
      </c>
      <c r="G406" s="8" t="s">
        <v>129</v>
      </c>
      <c r="H406" s="15" t="n">
        <v>4275</v>
      </c>
      <c r="I406" s="15" t="n">
        <v>4275</v>
      </c>
      <c r="J406" s="16" t="n">
        <v>0.622</v>
      </c>
      <c r="K406" s="8" t="n">
        <v>8</v>
      </c>
      <c r="L406" s="8" t="n">
        <v>8</v>
      </c>
      <c r="M406" s="8" t="n">
        <v>3</v>
      </c>
      <c r="N406" s="8" t="s">
        <v>120</v>
      </c>
      <c r="O406" s="15" t="n">
        <f aca="false">H406*12</f>
        <v>51300</v>
      </c>
      <c r="P406" s="8" t="n">
        <f aca="false">MIN(100,ROUND(100*J406/Assumptions!$B$8,0))</f>
        <v>69</v>
      </c>
      <c r="Q406" s="8" t="n">
        <f aca="false">IF(L406="",Assumptions!$B$9,L406*10)</f>
        <v>80</v>
      </c>
      <c r="R406" s="8" t="n">
        <f aca="false">IF(M406&lt;=1,Assumptions!$B$12,IF(M406&lt;=3,Assumptions!$B$13,IF(M406&lt;=6,Assumptions!$B$14,Assumptions!$B$15)))</f>
        <v>75</v>
      </c>
      <c r="S406" s="8" t="n">
        <f aca="false">IF(N406="Completed On Time",Assumptions!$B$16,IF(N406="Completed Late",Assumptions!$B$17,Assumptions!$B$18))</f>
        <v>100</v>
      </c>
      <c r="T406" s="8" t="n">
        <f aca="false">IF(I406=0,Assumptions!$B$20,IF(H406&gt;I406,Assumptions!$B$19,IF(H406=I406,Assumptions!$B$20,Assumptions!$B$21)))</f>
        <v>70</v>
      </c>
      <c r="U406" s="8" t="n">
        <f aca="false">ROUND(P406*Assumptions!$B$2+Q406*Assumptions!$B$3+R406*Assumptions!$B$4+S406*Assumptions!$B$5+T406*Assumptions!$B$6,0)</f>
        <v>75</v>
      </c>
      <c r="V406" s="8" t="str">
        <f aca="false">IF(U406&gt;=Assumptions!$B$10,"Healthy",IF(U406&gt;=Assumptions!$B$11,"Needs Attention","High Risk"))</f>
        <v>Needs Attention</v>
      </c>
    </row>
    <row r="407" customFormat="false" ht="15" hidden="false" customHeight="false" outlineLevel="0" collapsed="false">
      <c r="A407" s="8" t="s">
        <v>955</v>
      </c>
      <c r="B407" s="8" t="s">
        <v>956</v>
      </c>
      <c r="C407" s="8" t="s">
        <v>53</v>
      </c>
      <c r="D407" s="8" t="s">
        <v>326</v>
      </c>
      <c r="E407" s="8" t="s">
        <v>123</v>
      </c>
      <c r="F407" s="8" t="s">
        <v>143</v>
      </c>
      <c r="G407" s="8" t="s">
        <v>159</v>
      </c>
      <c r="H407" s="15" t="n">
        <v>4250</v>
      </c>
      <c r="I407" s="15" t="n">
        <v>4250</v>
      </c>
      <c r="J407" s="16" t="n">
        <v>0.749</v>
      </c>
      <c r="K407" s="8" t="n">
        <v>10</v>
      </c>
      <c r="L407" s="8" t="n">
        <v>8</v>
      </c>
      <c r="M407" s="8" t="n">
        <v>1</v>
      </c>
      <c r="N407" s="8" t="s">
        <v>120</v>
      </c>
      <c r="O407" s="15" t="n">
        <f aca="false">H407*12</f>
        <v>51000</v>
      </c>
      <c r="P407" s="8" t="n">
        <f aca="false">MIN(100,ROUND(100*J407/Assumptions!$B$8,0))</f>
        <v>83</v>
      </c>
      <c r="Q407" s="8" t="n">
        <f aca="false">IF(L407="",Assumptions!$B$9,L407*10)</f>
        <v>80</v>
      </c>
      <c r="R407" s="8" t="n">
        <f aca="false">IF(M407&lt;=1,Assumptions!$B$12,IF(M407&lt;=3,Assumptions!$B$13,IF(M407&lt;=6,Assumptions!$B$14,Assumptions!$B$15)))</f>
        <v>100</v>
      </c>
      <c r="S407" s="8" t="n">
        <f aca="false">IF(N407="Completed On Time",Assumptions!$B$16,IF(N407="Completed Late",Assumptions!$B$17,Assumptions!$B$18))</f>
        <v>100</v>
      </c>
      <c r="T407" s="8" t="n">
        <f aca="false">IF(I407=0,Assumptions!$B$20,IF(H407&gt;I407,Assumptions!$B$19,IF(H407=I407,Assumptions!$B$20,Assumptions!$B$21)))</f>
        <v>70</v>
      </c>
      <c r="U407" s="8" t="n">
        <f aca="false">ROUND(P407*Assumptions!$B$2+Q407*Assumptions!$B$3+R407*Assumptions!$B$4+S407*Assumptions!$B$5+T407*Assumptions!$B$6,0)</f>
        <v>84</v>
      </c>
      <c r="V407" s="8" t="str">
        <f aca="false">IF(U407&gt;=Assumptions!$B$10,"Healthy",IF(U407&gt;=Assumptions!$B$11,"Needs Attention","High Risk"))</f>
        <v>Healthy</v>
      </c>
    </row>
    <row r="408" customFormat="false" ht="15" hidden="false" customHeight="false" outlineLevel="0" collapsed="false">
      <c r="A408" s="8" t="s">
        <v>957</v>
      </c>
      <c r="B408" s="8" t="s">
        <v>958</v>
      </c>
      <c r="C408" s="8" t="s">
        <v>53</v>
      </c>
      <c r="D408" s="8" t="s">
        <v>326</v>
      </c>
      <c r="E408" s="8" t="s">
        <v>132</v>
      </c>
      <c r="F408" s="8" t="s">
        <v>154</v>
      </c>
      <c r="G408" s="8" t="s">
        <v>140</v>
      </c>
      <c r="H408" s="15" t="n">
        <v>4250</v>
      </c>
      <c r="I408" s="15" t="n">
        <v>4250</v>
      </c>
      <c r="J408" s="16" t="n">
        <v>0.751</v>
      </c>
      <c r="K408" s="8" t="n">
        <v>7.7</v>
      </c>
      <c r="L408" s="8" t="n">
        <v>10</v>
      </c>
      <c r="M408" s="8" t="n">
        <v>3</v>
      </c>
      <c r="N408" s="8" t="s">
        <v>120</v>
      </c>
      <c r="O408" s="15" t="n">
        <f aca="false">H408*12</f>
        <v>51000</v>
      </c>
      <c r="P408" s="8" t="n">
        <f aca="false">MIN(100,ROUND(100*J408/Assumptions!$B$8,0))</f>
        <v>83</v>
      </c>
      <c r="Q408" s="8" t="n">
        <f aca="false">IF(L408="",Assumptions!$B$9,L408*10)</f>
        <v>100</v>
      </c>
      <c r="R408" s="8" t="n">
        <f aca="false">IF(M408&lt;=1,Assumptions!$B$12,IF(M408&lt;=3,Assumptions!$B$13,IF(M408&lt;=6,Assumptions!$B$14,Assumptions!$B$15)))</f>
        <v>75</v>
      </c>
      <c r="S408" s="8" t="n">
        <f aca="false">IF(N408="Completed On Time",Assumptions!$B$16,IF(N408="Completed Late",Assumptions!$B$17,Assumptions!$B$18))</f>
        <v>100</v>
      </c>
      <c r="T408" s="8" t="n">
        <f aca="false">IF(I408=0,Assumptions!$B$20,IF(H408&gt;I408,Assumptions!$B$19,IF(H408=I408,Assumptions!$B$20,Assumptions!$B$21)))</f>
        <v>70</v>
      </c>
      <c r="U408" s="8" t="n">
        <f aca="false">ROUND(P408*Assumptions!$B$2+Q408*Assumptions!$B$3+R408*Assumptions!$B$4+S408*Assumptions!$B$5+T408*Assumptions!$B$6,0)</f>
        <v>84</v>
      </c>
      <c r="V408" s="8" t="str">
        <f aca="false">IF(U408&gt;=Assumptions!$B$10,"Healthy",IF(U408&gt;=Assumptions!$B$11,"Needs Attention","High Risk"))</f>
        <v>Healthy</v>
      </c>
    </row>
    <row r="409" customFormat="false" ht="15" hidden="false" customHeight="false" outlineLevel="0" collapsed="false">
      <c r="A409" s="8" t="s">
        <v>959</v>
      </c>
      <c r="B409" s="8" t="s">
        <v>960</v>
      </c>
      <c r="C409" s="8" t="s">
        <v>53</v>
      </c>
      <c r="D409" s="8" t="s">
        <v>326</v>
      </c>
      <c r="E409" s="8" t="s">
        <v>123</v>
      </c>
      <c r="F409" s="8" t="s">
        <v>143</v>
      </c>
      <c r="G409" s="8" t="s">
        <v>177</v>
      </c>
      <c r="H409" s="15" t="n">
        <v>4250</v>
      </c>
      <c r="I409" s="15" t="n">
        <v>0</v>
      </c>
      <c r="J409" s="16" t="n">
        <v>0.71</v>
      </c>
      <c r="K409" s="8" t="n">
        <v>7</v>
      </c>
      <c r="L409" s="8"/>
      <c r="M409" s="8" t="n">
        <v>0</v>
      </c>
      <c r="N409" s="8" t="s">
        <v>199</v>
      </c>
      <c r="O409" s="15" t="n">
        <f aca="false">H409*12</f>
        <v>51000</v>
      </c>
      <c r="P409" s="8" t="n">
        <f aca="false">MIN(100,ROUND(100*J409/Assumptions!$B$8,0))</f>
        <v>79</v>
      </c>
      <c r="Q409" s="8" t="n">
        <f aca="false">IF(L409="",Assumptions!$B$9,L409*10)</f>
        <v>50</v>
      </c>
      <c r="R409" s="8" t="n">
        <f aca="false">IF(M409&lt;=1,Assumptions!$B$12,IF(M409&lt;=3,Assumptions!$B$13,IF(M409&lt;=6,Assumptions!$B$14,Assumptions!$B$15)))</f>
        <v>100</v>
      </c>
      <c r="S409" s="8" t="n">
        <f aca="false">IF(N409="Completed On Time",Assumptions!$B$16,IF(N409="Completed Late",Assumptions!$B$17,Assumptions!$B$18))</f>
        <v>50</v>
      </c>
      <c r="T409" s="8" t="n">
        <f aca="false">IF(I409=0,Assumptions!$B$20,IF(H409&gt;I409,Assumptions!$B$19,IF(H409=I409,Assumptions!$B$20,Assumptions!$B$21)))</f>
        <v>70</v>
      </c>
      <c r="U409" s="8" t="n">
        <f aca="false">ROUND(P409*Assumptions!$B$2+Q409*Assumptions!$B$3+R409*Assumptions!$B$4+S409*Assumptions!$B$5+T409*Assumptions!$B$6,0)</f>
        <v>72</v>
      </c>
      <c r="V409" s="8" t="str">
        <f aca="false">IF(U409&gt;=Assumptions!$B$10,"Healthy",IF(U409&gt;=Assumptions!$B$11,"Needs Attention","High Risk"))</f>
        <v>Needs Attention</v>
      </c>
    </row>
    <row r="410" customFormat="false" ht="15" hidden="false" customHeight="false" outlineLevel="0" collapsed="false">
      <c r="A410" s="8" t="s">
        <v>961</v>
      </c>
      <c r="B410" s="8" t="s">
        <v>962</v>
      </c>
      <c r="C410" s="8" t="s">
        <v>53</v>
      </c>
      <c r="D410" s="8" t="s">
        <v>326</v>
      </c>
      <c r="E410" s="8" t="s">
        <v>132</v>
      </c>
      <c r="F410" s="8" t="s">
        <v>151</v>
      </c>
      <c r="G410" s="8" t="s">
        <v>140</v>
      </c>
      <c r="H410" s="15" t="n">
        <v>4250</v>
      </c>
      <c r="I410" s="15" t="n">
        <v>4250</v>
      </c>
      <c r="J410" s="16" t="n">
        <v>0.651</v>
      </c>
      <c r="K410" s="8" t="n">
        <v>6</v>
      </c>
      <c r="L410" s="8" t="n">
        <v>5</v>
      </c>
      <c r="M410" s="8" t="n">
        <v>2</v>
      </c>
      <c r="N410" s="8" t="s">
        <v>120</v>
      </c>
      <c r="O410" s="15" t="n">
        <f aca="false">H410*12</f>
        <v>51000</v>
      </c>
      <c r="P410" s="8" t="n">
        <f aca="false">MIN(100,ROUND(100*J410/Assumptions!$B$8,0))</f>
        <v>72</v>
      </c>
      <c r="Q410" s="8" t="n">
        <f aca="false">IF(L410="",Assumptions!$B$9,L410*10)</f>
        <v>50</v>
      </c>
      <c r="R410" s="8" t="n">
        <f aca="false">IF(M410&lt;=1,Assumptions!$B$12,IF(M410&lt;=3,Assumptions!$B$13,IF(M410&lt;=6,Assumptions!$B$14,Assumptions!$B$15)))</f>
        <v>75</v>
      </c>
      <c r="S410" s="8" t="n">
        <f aca="false">IF(N410="Completed On Time",Assumptions!$B$16,IF(N410="Completed Late",Assumptions!$B$17,Assumptions!$B$18))</f>
        <v>100</v>
      </c>
      <c r="T410" s="8" t="n">
        <f aca="false">IF(I410=0,Assumptions!$B$20,IF(H410&gt;I410,Assumptions!$B$19,IF(H410=I410,Assumptions!$B$20,Assumptions!$B$21)))</f>
        <v>70</v>
      </c>
      <c r="U410" s="8" t="n">
        <f aca="false">ROUND(P410*Assumptions!$B$2+Q410*Assumptions!$B$3+R410*Assumptions!$B$4+S410*Assumptions!$B$5+T410*Assumptions!$B$6,0)</f>
        <v>70</v>
      </c>
      <c r="V410" s="8" t="str">
        <f aca="false">IF(U410&gt;=Assumptions!$B$10,"Healthy",IF(U410&gt;=Assumptions!$B$11,"Needs Attention","High Risk"))</f>
        <v>Needs Attention</v>
      </c>
    </row>
    <row r="411" customFormat="false" ht="15" hidden="false" customHeight="false" outlineLevel="0" collapsed="false">
      <c r="A411" s="8" t="s">
        <v>963</v>
      </c>
      <c r="B411" s="8" t="s">
        <v>964</v>
      </c>
      <c r="C411" s="8" t="s">
        <v>53</v>
      </c>
      <c r="D411" s="8" t="s">
        <v>326</v>
      </c>
      <c r="E411" s="8" t="s">
        <v>123</v>
      </c>
      <c r="F411" s="8" t="s">
        <v>223</v>
      </c>
      <c r="G411" s="8" t="s">
        <v>140</v>
      </c>
      <c r="H411" s="15" t="n">
        <v>4250</v>
      </c>
      <c r="I411" s="15" t="n">
        <v>4250</v>
      </c>
      <c r="J411" s="16" t="n">
        <v>0.72</v>
      </c>
      <c r="K411" s="8" t="n">
        <v>8</v>
      </c>
      <c r="L411" s="8" t="n">
        <v>10</v>
      </c>
      <c r="M411" s="8" t="n">
        <v>3</v>
      </c>
      <c r="N411" s="8" t="s">
        <v>120</v>
      </c>
      <c r="O411" s="15" t="n">
        <f aca="false">H411*12</f>
        <v>51000</v>
      </c>
      <c r="P411" s="8" t="n">
        <f aca="false">MIN(100,ROUND(100*J411/Assumptions!$B$8,0))</f>
        <v>80</v>
      </c>
      <c r="Q411" s="8" t="n">
        <f aca="false">IF(L411="",Assumptions!$B$9,L411*10)</f>
        <v>100</v>
      </c>
      <c r="R411" s="8" t="n">
        <f aca="false">IF(M411&lt;=1,Assumptions!$B$12,IF(M411&lt;=3,Assumptions!$B$13,IF(M411&lt;=6,Assumptions!$B$14,Assumptions!$B$15)))</f>
        <v>75</v>
      </c>
      <c r="S411" s="8" t="n">
        <f aca="false">IF(N411="Completed On Time",Assumptions!$B$16,IF(N411="Completed Late",Assumptions!$B$17,Assumptions!$B$18))</f>
        <v>100</v>
      </c>
      <c r="T411" s="8" t="n">
        <f aca="false">IF(I411=0,Assumptions!$B$20,IF(H411&gt;I411,Assumptions!$B$19,IF(H411=I411,Assumptions!$B$20,Assumptions!$B$21)))</f>
        <v>70</v>
      </c>
      <c r="U411" s="8" t="n">
        <f aca="false">ROUND(P411*Assumptions!$B$2+Q411*Assumptions!$B$3+R411*Assumptions!$B$4+S411*Assumptions!$B$5+T411*Assumptions!$B$6,0)</f>
        <v>83</v>
      </c>
      <c r="V411" s="8" t="str">
        <f aca="false">IF(U411&gt;=Assumptions!$B$10,"Healthy",IF(U411&gt;=Assumptions!$B$11,"Needs Attention","High Risk"))</f>
        <v>Healthy</v>
      </c>
    </row>
    <row r="412" customFormat="false" ht="15" hidden="false" customHeight="false" outlineLevel="0" collapsed="false">
      <c r="A412" s="8" t="s">
        <v>965</v>
      </c>
      <c r="B412" s="8" t="s">
        <v>966</v>
      </c>
      <c r="C412" s="8" t="s">
        <v>53</v>
      </c>
      <c r="D412" s="8" t="s">
        <v>326</v>
      </c>
      <c r="E412" s="8" t="s">
        <v>123</v>
      </c>
      <c r="F412" s="8" t="s">
        <v>118</v>
      </c>
      <c r="G412" s="8" t="s">
        <v>159</v>
      </c>
      <c r="H412" s="15" t="n">
        <v>4200</v>
      </c>
      <c r="I412" s="15" t="n">
        <v>4200</v>
      </c>
      <c r="J412" s="16" t="n">
        <v>0.754</v>
      </c>
      <c r="K412" s="8" t="n">
        <v>7.7</v>
      </c>
      <c r="L412" s="8" t="n">
        <v>8</v>
      </c>
      <c r="M412" s="8" t="n">
        <v>2</v>
      </c>
      <c r="N412" s="8" t="s">
        <v>120</v>
      </c>
      <c r="O412" s="15" t="n">
        <f aca="false">H412*12</f>
        <v>50400</v>
      </c>
      <c r="P412" s="8" t="n">
        <f aca="false">MIN(100,ROUND(100*J412/Assumptions!$B$8,0))</f>
        <v>84</v>
      </c>
      <c r="Q412" s="8" t="n">
        <f aca="false">IF(L412="",Assumptions!$B$9,L412*10)</f>
        <v>80</v>
      </c>
      <c r="R412" s="8" t="n">
        <f aca="false">IF(M412&lt;=1,Assumptions!$B$12,IF(M412&lt;=3,Assumptions!$B$13,IF(M412&lt;=6,Assumptions!$B$14,Assumptions!$B$15)))</f>
        <v>75</v>
      </c>
      <c r="S412" s="8" t="n">
        <f aca="false">IF(N412="Completed On Time",Assumptions!$B$16,IF(N412="Completed Late",Assumptions!$B$17,Assumptions!$B$18))</f>
        <v>100</v>
      </c>
      <c r="T412" s="8" t="n">
        <f aca="false">IF(I412=0,Assumptions!$B$20,IF(H412&gt;I412,Assumptions!$B$19,IF(H412=I412,Assumptions!$B$20,Assumptions!$B$21)))</f>
        <v>70</v>
      </c>
      <c r="U412" s="8" t="n">
        <f aca="false">ROUND(P412*Assumptions!$B$2+Q412*Assumptions!$B$3+R412*Assumptions!$B$4+S412*Assumptions!$B$5+T412*Assumptions!$B$6,0)</f>
        <v>81</v>
      </c>
      <c r="V412" s="8" t="str">
        <f aca="false">IF(U412&gt;=Assumptions!$B$10,"Healthy",IF(U412&gt;=Assumptions!$B$11,"Needs Attention","High Risk"))</f>
        <v>Healthy</v>
      </c>
    </row>
    <row r="413" customFormat="false" ht="15" hidden="false" customHeight="false" outlineLevel="0" collapsed="false">
      <c r="A413" s="8" t="s">
        <v>967</v>
      </c>
      <c r="B413" s="8" t="s">
        <v>968</v>
      </c>
      <c r="C413" s="8" t="s">
        <v>53</v>
      </c>
      <c r="D413" s="8" t="s">
        <v>326</v>
      </c>
      <c r="E413" s="8" t="s">
        <v>132</v>
      </c>
      <c r="F413" s="8" t="s">
        <v>154</v>
      </c>
      <c r="G413" s="8" t="s">
        <v>119</v>
      </c>
      <c r="H413" s="15" t="n">
        <v>4200</v>
      </c>
      <c r="I413" s="15" t="n">
        <v>4200</v>
      </c>
      <c r="J413" s="16" t="n">
        <v>0.692</v>
      </c>
      <c r="K413" s="8" t="n">
        <v>6.3</v>
      </c>
      <c r="L413" s="8" t="n">
        <v>6</v>
      </c>
      <c r="M413" s="8" t="n">
        <v>4</v>
      </c>
      <c r="N413" s="8" t="s">
        <v>120</v>
      </c>
      <c r="O413" s="15" t="n">
        <f aca="false">H413*12</f>
        <v>50400</v>
      </c>
      <c r="P413" s="8" t="n">
        <f aca="false">MIN(100,ROUND(100*J413/Assumptions!$B$8,0))</f>
        <v>77</v>
      </c>
      <c r="Q413" s="8" t="n">
        <f aca="false">IF(L413="",Assumptions!$B$9,L413*10)</f>
        <v>60</v>
      </c>
      <c r="R413" s="8" t="n">
        <f aca="false">IF(M413&lt;=1,Assumptions!$B$12,IF(M413&lt;=3,Assumptions!$B$13,IF(M413&lt;=6,Assumptions!$B$14,Assumptions!$B$15)))</f>
        <v>50</v>
      </c>
      <c r="S413" s="8" t="n">
        <f aca="false">IF(N413="Completed On Time",Assumptions!$B$16,IF(N413="Completed Late",Assumptions!$B$17,Assumptions!$B$18))</f>
        <v>100</v>
      </c>
      <c r="T413" s="8" t="n">
        <f aca="false">IF(I413=0,Assumptions!$B$20,IF(H413&gt;I413,Assumptions!$B$19,IF(H413=I413,Assumptions!$B$20,Assumptions!$B$21)))</f>
        <v>70</v>
      </c>
      <c r="U413" s="8" t="n">
        <f aca="false">ROUND(P413*Assumptions!$B$2+Q413*Assumptions!$B$3+R413*Assumptions!$B$4+S413*Assumptions!$B$5+T413*Assumptions!$B$6,0)</f>
        <v>70</v>
      </c>
      <c r="V413" s="8" t="str">
        <f aca="false">IF(U413&gt;=Assumptions!$B$10,"Healthy",IF(U413&gt;=Assumptions!$B$11,"Needs Attention","High Risk"))</f>
        <v>Needs Attention</v>
      </c>
    </row>
    <row r="414" customFormat="false" ht="15" hidden="false" customHeight="false" outlineLevel="0" collapsed="false">
      <c r="A414" s="8" t="s">
        <v>969</v>
      </c>
      <c r="B414" s="8" t="s">
        <v>970</v>
      </c>
      <c r="C414" s="8" t="s">
        <v>53</v>
      </c>
      <c r="D414" s="8" t="s">
        <v>326</v>
      </c>
      <c r="E414" s="8" t="s">
        <v>123</v>
      </c>
      <c r="F414" s="8" t="s">
        <v>154</v>
      </c>
      <c r="G414" s="8" t="s">
        <v>129</v>
      </c>
      <c r="H414" s="15" t="n">
        <v>4200</v>
      </c>
      <c r="I414" s="15" t="n">
        <v>4200</v>
      </c>
      <c r="J414" s="16" t="n">
        <v>0.79</v>
      </c>
      <c r="K414" s="8" t="n">
        <v>10.3</v>
      </c>
      <c r="L414" s="8" t="n">
        <v>8</v>
      </c>
      <c r="M414" s="8" t="n">
        <v>4</v>
      </c>
      <c r="N414" s="8" t="s">
        <v>148</v>
      </c>
      <c r="O414" s="15" t="n">
        <f aca="false">H414*12</f>
        <v>50400</v>
      </c>
      <c r="P414" s="8" t="n">
        <f aca="false">MIN(100,ROUND(100*J414/Assumptions!$B$8,0))</f>
        <v>88</v>
      </c>
      <c r="Q414" s="8" t="n">
        <f aca="false">IF(L414="",Assumptions!$B$9,L414*10)</f>
        <v>80</v>
      </c>
      <c r="R414" s="8" t="n">
        <f aca="false">IF(M414&lt;=1,Assumptions!$B$12,IF(M414&lt;=3,Assumptions!$B$13,IF(M414&lt;=6,Assumptions!$B$14,Assumptions!$B$15)))</f>
        <v>50</v>
      </c>
      <c r="S414" s="8" t="n">
        <f aca="false">IF(N414="Completed On Time",Assumptions!$B$16,IF(N414="Completed Late",Assumptions!$B$17,Assumptions!$B$18))</f>
        <v>60</v>
      </c>
      <c r="T414" s="8" t="n">
        <f aca="false">IF(I414=0,Assumptions!$B$20,IF(H414&gt;I414,Assumptions!$B$19,IF(H414=I414,Assumptions!$B$20,Assumptions!$B$21)))</f>
        <v>70</v>
      </c>
      <c r="U414" s="8" t="n">
        <f aca="false">ROUND(P414*Assumptions!$B$2+Q414*Assumptions!$B$3+R414*Assumptions!$B$4+S414*Assumptions!$B$5+T414*Assumptions!$B$6,0)</f>
        <v>74</v>
      </c>
      <c r="V414" s="8" t="str">
        <f aca="false">IF(U414&gt;=Assumptions!$B$10,"Healthy",IF(U414&gt;=Assumptions!$B$11,"Needs Attention","High Risk"))</f>
        <v>Needs Attention</v>
      </c>
    </row>
    <row r="415" customFormat="false" ht="15" hidden="false" customHeight="false" outlineLevel="0" collapsed="false">
      <c r="A415" s="8" t="s">
        <v>971</v>
      </c>
      <c r="B415" s="8" t="s">
        <v>972</v>
      </c>
      <c r="C415" s="8" t="s">
        <v>53</v>
      </c>
      <c r="D415" s="8" t="s">
        <v>55</v>
      </c>
      <c r="E415" s="8" t="s">
        <v>132</v>
      </c>
      <c r="F415" s="8" t="s">
        <v>136</v>
      </c>
      <c r="G415" s="8" t="s">
        <v>180</v>
      </c>
      <c r="H415" s="15" t="n">
        <v>4185</v>
      </c>
      <c r="I415" s="15" t="n">
        <v>4185</v>
      </c>
      <c r="J415" s="16" t="n">
        <v>0.642</v>
      </c>
      <c r="K415" s="8" t="n">
        <v>7.7</v>
      </c>
      <c r="L415" s="8" t="n">
        <v>10</v>
      </c>
      <c r="M415" s="8" t="n">
        <v>2</v>
      </c>
      <c r="N415" s="8" t="s">
        <v>120</v>
      </c>
      <c r="O415" s="15" t="n">
        <f aca="false">H415*12</f>
        <v>50220</v>
      </c>
      <c r="P415" s="8" t="n">
        <f aca="false">MIN(100,ROUND(100*J415/Assumptions!$B$8,0))</f>
        <v>71</v>
      </c>
      <c r="Q415" s="8" t="n">
        <f aca="false">IF(L415="",Assumptions!$B$9,L415*10)</f>
        <v>100</v>
      </c>
      <c r="R415" s="8" t="n">
        <f aca="false">IF(M415&lt;=1,Assumptions!$B$12,IF(M415&lt;=3,Assumptions!$B$13,IF(M415&lt;=6,Assumptions!$B$14,Assumptions!$B$15)))</f>
        <v>75</v>
      </c>
      <c r="S415" s="8" t="n">
        <f aca="false">IF(N415="Completed On Time",Assumptions!$B$16,IF(N415="Completed Late",Assumptions!$B$17,Assumptions!$B$18))</f>
        <v>100</v>
      </c>
      <c r="T415" s="8" t="n">
        <f aca="false">IF(I415=0,Assumptions!$B$20,IF(H415&gt;I415,Assumptions!$B$19,IF(H415=I415,Assumptions!$B$20,Assumptions!$B$21)))</f>
        <v>70</v>
      </c>
      <c r="U415" s="8" t="n">
        <f aca="false">ROUND(P415*Assumptions!$B$2+Q415*Assumptions!$B$3+R415*Assumptions!$B$4+S415*Assumptions!$B$5+T415*Assumptions!$B$6,0)</f>
        <v>80</v>
      </c>
      <c r="V415" s="8" t="str">
        <f aca="false">IF(U415&gt;=Assumptions!$B$10,"Healthy",IF(U415&gt;=Assumptions!$B$11,"Needs Attention","High Risk"))</f>
        <v>Healthy</v>
      </c>
    </row>
    <row r="416" customFormat="false" ht="15" hidden="false" customHeight="false" outlineLevel="0" collapsed="false">
      <c r="A416" s="8" t="s">
        <v>973</v>
      </c>
      <c r="B416" s="8" t="s">
        <v>974</v>
      </c>
      <c r="C416" s="8" t="s">
        <v>53</v>
      </c>
      <c r="D416" s="8" t="s">
        <v>55</v>
      </c>
      <c r="E416" s="8" t="s">
        <v>123</v>
      </c>
      <c r="F416" s="8" t="s">
        <v>136</v>
      </c>
      <c r="G416" s="8" t="s">
        <v>204</v>
      </c>
      <c r="H416" s="15" t="n">
        <v>4185</v>
      </c>
      <c r="I416" s="15" t="n">
        <v>4185</v>
      </c>
      <c r="J416" s="16" t="n">
        <v>0.634</v>
      </c>
      <c r="K416" s="8" t="n">
        <v>9</v>
      </c>
      <c r="L416" s="8" t="n">
        <v>7</v>
      </c>
      <c r="M416" s="8" t="n">
        <v>3</v>
      </c>
      <c r="N416" s="8" t="s">
        <v>120</v>
      </c>
      <c r="O416" s="15" t="n">
        <f aca="false">H416*12</f>
        <v>50220</v>
      </c>
      <c r="P416" s="8" t="n">
        <f aca="false">MIN(100,ROUND(100*J416/Assumptions!$B$8,0))</f>
        <v>70</v>
      </c>
      <c r="Q416" s="8" t="n">
        <f aca="false">IF(L416="",Assumptions!$B$9,L416*10)</f>
        <v>70</v>
      </c>
      <c r="R416" s="8" t="n">
        <f aca="false">IF(M416&lt;=1,Assumptions!$B$12,IF(M416&lt;=3,Assumptions!$B$13,IF(M416&lt;=6,Assumptions!$B$14,Assumptions!$B$15)))</f>
        <v>75</v>
      </c>
      <c r="S416" s="8" t="n">
        <f aca="false">IF(N416="Completed On Time",Assumptions!$B$16,IF(N416="Completed Late",Assumptions!$B$17,Assumptions!$B$18))</f>
        <v>100</v>
      </c>
      <c r="T416" s="8" t="n">
        <f aca="false">IF(I416=0,Assumptions!$B$20,IF(H416&gt;I416,Assumptions!$B$19,IF(H416=I416,Assumptions!$B$20,Assumptions!$B$21)))</f>
        <v>70</v>
      </c>
      <c r="U416" s="8" t="n">
        <f aca="false">ROUND(P416*Assumptions!$B$2+Q416*Assumptions!$B$3+R416*Assumptions!$B$4+S416*Assumptions!$B$5+T416*Assumptions!$B$6,0)</f>
        <v>74</v>
      </c>
      <c r="V416" s="8" t="str">
        <f aca="false">IF(U416&gt;=Assumptions!$B$10,"Healthy",IF(U416&gt;=Assumptions!$B$11,"Needs Attention","High Risk"))</f>
        <v>Needs Attention</v>
      </c>
    </row>
    <row r="417" customFormat="false" ht="15" hidden="false" customHeight="false" outlineLevel="0" collapsed="false">
      <c r="A417" s="8" t="s">
        <v>975</v>
      </c>
      <c r="B417" s="8" t="s">
        <v>976</v>
      </c>
      <c r="C417" s="8" t="s">
        <v>53</v>
      </c>
      <c r="D417" s="8" t="s">
        <v>55</v>
      </c>
      <c r="E417" s="8" t="s">
        <v>132</v>
      </c>
      <c r="F417" s="8" t="s">
        <v>136</v>
      </c>
      <c r="G417" s="8" t="s">
        <v>137</v>
      </c>
      <c r="H417" s="15" t="n">
        <v>4185</v>
      </c>
      <c r="I417" s="15" t="n">
        <v>4185</v>
      </c>
      <c r="J417" s="16" t="n">
        <v>0.778</v>
      </c>
      <c r="K417" s="8" t="n">
        <v>9</v>
      </c>
      <c r="L417" s="8" t="n">
        <v>7</v>
      </c>
      <c r="M417" s="8" t="n">
        <v>0</v>
      </c>
      <c r="N417" s="8" t="s">
        <v>120</v>
      </c>
      <c r="O417" s="15" t="n">
        <f aca="false">H417*12</f>
        <v>50220</v>
      </c>
      <c r="P417" s="8" t="n">
        <f aca="false">MIN(100,ROUND(100*J417/Assumptions!$B$8,0))</f>
        <v>86</v>
      </c>
      <c r="Q417" s="8" t="n">
        <f aca="false">IF(L417="",Assumptions!$B$9,L417*10)</f>
        <v>70</v>
      </c>
      <c r="R417" s="8" t="n">
        <f aca="false">IF(M417&lt;=1,Assumptions!$B$12,IF(M417&lt;=3,Assumptions!$B$13,IF(M417&lt;=6,Assumptions!$B$14,Assumptions!$B$15)))</f>
        <v>100</v>
      </c>
      <c r="S417" s="8" t="n">
        <f aca="false">IF(N417="Completed On Time",Assumptions!$B$16,IF(N417="Completed Late",Assumptions!$B$17,Assumptions!$B$18))</f>
        <v>100</v>
      </c>
      <c r="T417" s="8" t="n">
        <f aca="false">IF(I417=0,Assumptions!$B$20,IF(H417&gt;I417,Assumptions!$B$19,IF(H417=I417,Assumptions!$B$20,Assumptions!$B$21)))</f>
        <v>70</v>
      </c>
      <c r="U417" s="8" t="n">
        <f aca="false">ROUND(P417*Assumptions!$B$2+Q417*Assumptions!$B$3+R417*Assumptions!$B$4+S417*Assumptions!$B$5+T417*Assumptions!$B$6,0)</f>
        <v>83</v>
      </c>
      <c r="V417" s="8" t="str">
        <f aca="false">IF(U417&gt;=Assumptions!$B$10,"Healthy",IF(U417&gt;=Assumptions!$B$11,"Needs Attention","High Risk"))</f>
        <v>Healthy</v>
      </c>
    </row>
    <row r="418" customFormat="false" ht="15" hidden="false" customHeight="false" outlineLevel="0" collapsed="false">
      <c r="A418" s="8" t="s">
        <v>977</v>
      </c>
      <c r="B418" s="8" t="s">
        <v>978</v>
      </c>
      <c r="C418" s="8" t="s">
        <v>53</v>
      </c>
      <c r="D418" s="8" t="s">
        <v>326</v>
      </c>
      <c r="E418" s="8" t="s">
        <v>132</v>
      </c>
      <c r="F418" s="8" t="s">
        <v>136</v>
      </c>
      <c r="G418" s="8" t="s">
        <v>204</v>
      </c>
      <c r="H418" s="15" t="n">
        <v>4175</v>
      </c>
      <c r="I418" s="15" t="n">
        <v>4175</v>
      </c>
      <c r="J418" s="16" t="n">
        <v>0.848</v>
      </c>
      <c r="K418" s="8" t="n">
        <v>10.3</v>
      </c>
      <c r="L418" s="8" t="n">
        <v>10</v>
      </c>
      <c r="M418" s="8" t="n">
        <v>4</v>
      </c>
      <c r="N418" s="8" t="s">
        <v>120</v>
      </c>
      <c r="O418" s="15" t="n">
        <f aca="false">H418*12</f>
        <v>50100</v>
      </c>
      <c r="P418" s="8" t="n">
        <f aca="false">MIN(100,ROUND(100*J418/Assumptions!$B$8,0))</f>
        <v>94</v>
      </c>
      <c r="Q418" s="8" t="n">
        <f aca="false">IF(L418="",Assumptions!$B$9,L418*10)</f>
        <v>100</v>
      </c>
      <c r="R418" s="8" t="n">
        <f aca="false">IF(M418&lt;=1,Assumptions!$B$12,IF(M418&lt;=3,Assumptions!$B$13,IF(M418&lt;=6,Assumptions!$B$14,Assumptions!$B$15)))</f>
        <v>50</v>
      </c>
      <c r="S418" s="8" t="n">
        <f aca="false">IF(N418="Completed On Time",Assumptions!$B$16,IF(N418="Completed Late",Assumptions!$B$17,Assumptions!$B$18))</f>
        <v>100</v>
      </c>
      <c r="T418" s="8" t="n">
        <f aca="false">IF(I418=0,Assumptions!$B$20,IF(H418&gt;I418,Assumptions!$B$19,IF(H418=I418,Assumptions!$B$20,Assumptions!$B$21)))</f>
        <v>70</v>
      </c>
      <c r="U418" s="8" t="n">
        <f aca="false">ROUND(P418*Assumptions!$B$2+Q418*Assumptions!$B$3+R418*Assumptions!$B$4+S418*Assumptions!$B$5+T418*Assumptions!$B$6,0)</f>
        <v>84</v>
      </c>
      <c r="V418" s="8" t="str">
        <f aca="false">IF(U418&gt;=Assumptions!$B$10,"Healthy",IF(U418&gt;=Assumptions!$B$11,"Needs Attention","High Risk"))</f>
        <v>Healthy</v>
      </c>
    </row>
    <row r="419" customFormat="false" ht="15" hidden="false" customHeight="false" outlineLevel="0" collapsed="false">
      <c r="A419" s="8" t="s">
        <v>979</v>
      </c>
      <c r="B419" s="8" t="s">
        <v>980</v>
      </c>
      <c r="C419" s="8" t="s">
        <v>53</v>
      </c>
      <c r="D419" s="8" t="s">
        <v>326</v>
      </c>
      <c r="E419" s="8" t="s">
        <v>123</v>
      </c>
      <c r="F419" s="8" t="s">
        <v>190</v>
      </c>
      <c r="G419" s="8" t="s">
        <v>185</v>
      </c>
      <c r="H419" s="15" t="n">
        <v>4175</v>
      </c>
      <c r="I419" s="15" t="n">
        <v>4175</v>
      </c>
      <c r="J419" s="16" t="n">
        <v>0.892</v>
      </c>
      <c r="K419" s="8" t="n">
        <v>12</v>
      </c>
      <c r="L419" s="8" t="n">
        <v>10</v>
      </c>
      <c r="M419" s="8" t="n">
        <v>2</v>
      </c>
      <c r="N419" s="8" t="s">
        <v>120</v>
      </c>
      <c r="O419" s="15" t="n">
        <f aca="false">H419*12</f>
        <v>50100</v>
      </c>
      <c r="P419" s="8" t="n">
        <f aca="false">MIN(100,ROUND(100*J419/Assumptions!$B$8,0))</f>
        <v>99</v>
      </c>
      <c r="Q419" s="8" t="n">
        <f aca="false">IF(L419="",Assumptions!$B$9,L419*10)</f>
        <v>100</v>
      </c>
      <c r="R419" s="8" t="n">
        <f aca="false">IF(M419&lt;=1,Assumptions!$B$12,IF(M419&lt;=3,Assumptions!$B$13,IF(M419&lt;=6,Assumptions!$B$14,Assumptions!$B$15)))</f>
        <v>75</v>
      </c>
      <c r="S419" s="8" t="n">
        <f aca="false">IF(N419="Completed On Time",Assumptions!$B$16,IF(N419="Completed Late",Assumptions!$B$17,Assumptions!$B$18))</f>
        <v>100</v>
      </c>
      <c r="T419" s="8" t="n">
        <f aca="false">IF(I419=0,Assumptions!$B$20,IF(H419&gt;I419,Assumptions!$B$19,IF(H419=I419,Assumptions!$B$20,Assumptions!$B$21)))</f>
        <v>70</v>
      </c>
      <c r="U419" s="8" t="n">
        <f aca="false">ROUND(P419*Assumptions!$B$2+Q419*Assumptions!$B$3+R419*Assumptions!$B$4+S419*Assumptions!$B$5+T419*Assumptions!$B$6,0)</f>
        <v>90</v>
      </c>
      <c r="V419" s="8" t="str">
        <f aca="false">IF(U419&gt;=Assumptions!$B$10,"Healthy",IF(U419&gt;=Assumptions!$B$11,"Needs Attention","High Risk"))</f>
        <v>Healthy</v>
      </c>
    </row>
    <row r="420" customFormat="false" ht="15" hidden="false" customHeight="false" outlineLevel="0" collapsed="false">
      <c r="A420" s="8" t="s">
        <v>981</v>
      </c>
      <c r="B420" s="8" t="s">
        <v>982</v>
      </c>
      <c r="C420" s="8" t="s">
        <v>53</v>
      </c>
      <c r="D420" s="8" t="s">
        <v>326</v>
      </c>
      <c r="E420" s="8" t="s">
        <v>132</v>
      </c>
      <c r="F420" s="8" t="s">
        <v>151</v>
      </c>
      <c r="G420" s="8" t="s">
        <v>204</v>
      </c>
      <c r="H420" s="15" t="n">
        <v>4175</v>
      </c>
      <c r="I420" s="15" t="n">
        <v>4175</v>
      </c>
      <c r="J420" s="16" t="n">
        <v>0.687</v>
      </c>
      <c r="K420" s="8" t="n">
        <v>9.7</v>
      </c>
      <c r="L420" s="8" t="n">
        <v>9</v>
      </c>
      <c r="M420" s="8" t="n">
        <v>5</v>
      </c>
      <c r="N420" s="8" t="s">
        <v>120</v>
      </c>
      <c r="O420" s="15" t="n">
        <f aca="false">H420*12</f>
        <v>50100</v>
      </c>
      <c r="P420" s="8" t="n">
        <f aca="false">MIN(100,ROUND(100*J420/Assumptions!$B$8,0))</f>
        <v>76</v>
      </c>
      <c r="Q420" s="8" t="n">
        <f aca="false">IF(L420="",Assumptions!$B$9,L420*10)</f>
        <v>90</v>
      </c>
      <c r="R420" s="8" t="n">
        <f aca="false">IF(M420&lt;=1,Assumptions!$B$12,IF(M420&lt;=3,Assumptions!$B$13,IF(M420&lt;=6,Assumptions!$B$14,Assumptions!$B$15)))</f>
        <v>50</v>
      </c>
      <c r="S420" s="8" t="n">
        <f aca="false">IF(N420="Completed On Time",Assumptions!$B$16,IF(N420="Completed Late",Assumptions!$B$17,Assumptions!$B$18))</f>
        <v>100</v>
      </c>
      <c r="T420" s="8" t="n">
        <f aca="false">IF(I420=0,Assumptions!$B$20,IF(H420&gt;I420,Assumptions!$B$19,IF(H420=I420,Assumptions!$B$20,Assumptions!$B$21)))</f>
        <v>70</v>
      </c>
      <c r="U420" s="8" t="n">
        <f aca="false">ROUND(P420*Assumptions!$B$2+Q420*Assumptions!$B$3+R420*Assumptions!$B$4+S420*Assumptions!$B$5+T420*Assumptions!$B$6,0)</f>
        <v>76</v>
      </c>
      <c r="V420" s="8" t="str">
        <f aca="false">IF(U420&gt;=Assumptions!$B$10,"Healthy",IF(U420&gt;=Assumptions!$B$11,"Needs Attention","High Risk"))</f>
        <v>Needs Attention</v>
      </c>
    </row>
    <row r="421" customFormat="false" ht="15" hidden="false" customHeight="false" outlineLevel="0" collapsed="false">
      <c r="A421" s="8" t="s">
        <v>983</v>
      </c>
      <c r="B421" s="8" t="s">
        <v>984</v>
      </c>
      <c r="C421" s="8" t="s">
        <v>53</v>
      </c>
      <c r="D421" s="8" t="s">
        <v>326</v>
      </c>
      <c r="E421" s="8" t="s">
        <v>117</v>
      </c>
      <c r="F421" s="8" t="s">
        <v>223</v>
      </c>
      <c r="G421" s="8" t="s">
        <v>147</v>
      </c>
      <c r="H421" s="15" t="n">
        <v>4175</v>
      </c>
      <c r="I421" s="15" t="n">
        <v>4175</v>
      </c>
      <c r="J421" s="16" t="n">
        <v>0.581</v>
      </c>
      <c r="K421" s="8" t="n">
        <v>6</v>
      </c>
      <c r="L421" s="8" t="n">
        <v>6</v>
      </c>
      <c r="M421" s="8" t="n">
        <v>2</v>
      </c>
      <c r="N421" s="8" t="s">
        <v>148</v>
      </c>
      <c r="O421" s="15" t="n">
        <f aca="false">H421*12</f>
        <v>50100</v>
      </c>
      <c r="P421" s="8" t="n">
        <f aca="false">MIN(100,ROUND(100*J421/Assumptions!$B$8,0))</f>
        <v>65</v>
      </c>
      <c r="Q421" s="8" t="n">
        <f aca="false">IF(L421="",Assumptions!$B$9,L421*10)</f>
        <v>60</v>
      </c>
      <c r="R421" s="8" t="n">
        <f aca="false">IF(M421&lt;=1,Assumptions!$B$12,IF(M421&lt;=3,Assumptions!$B$13,IF(M421&lt;=6,Assumptions!$B$14,Assumptions!$B$15)))</f>
        <v>75</v>
      </c>
      <c r="S421" s="8" t="n">
        <f aca="false">IF(N421="Completed On Time",Assumptions!$B$16,IF(N421="Completed Late",Assumptions!$B$17,Assumptions!$B$18))</f>
        <v>60</v>
      </c>
      <c r="T421" s="8" t="n">
        <f aca="false">IF(I421=0,Assumptions!$B$20,IF(H421&gt;I421,Assumptions!$B$19,IF(H421=I421,Assumptions!$B$20,Assumptions!$B$21)))</f>
        <v>70</v>
      </c>
      <c r="U421" s="8" t="n">
        <f aca="false">ROUND(P421*Assumptions!$B$2+Q421*Assumptions!$B$3+R421*Assumptions!$B$4+S421*Assumptions!$B$5+T421*Assumptions!$B$6,0)</f>
        <v>66</v>
      </c>
      <c r="V421" s="8" t="str">
        <f aca="false">IF(U421&gt;=Assumptions!$B$10,"Healthy",IF(U421&gt;=Assumptions!$B$11,"Needs Attention","High Risk"))</f>
        <v>Needs Attention</v>
      </c>
    </row>
    <row r="422" customFormat="false" ht="15" hidden="false" customHeight="false" outlineLevel="0" collapsed="false">
      <c r="A422" s="8" t="s">
        <v>985</v>
      </c>
      <c r="B422" s="8" t="s">
        <v>986</v>
      </c>
      <c r="C422" s="8" t="s">
        <v>53</v>
      </c>
      <c r="D422" s="8" t="s">
        <v>326</v>
      </c>
      <c r="E422" s="8" t="s">
        <v>117</v>
      </c>
      <c r="F422" s="8" t="s">
        <v>124</v>
      </c>
      <c r="G422" s="8" t="s">
        <v>147</v>
      </c>
      <c r="H422" s="15" t="n">
        <v>4175</v>
      </c>
      <c r="I422" s="15" t="n">
        <v>4175</v>
      </c>
      <c r="J422" s="16" t="n">
        <v>0.661</v>
      </c>
      <c r="K422" s="8" t="n">
        <v>6.3</v>
      </c>
      <c r="L422" s="8" t="n">
        <v>6</v>
      </c>
      <c r="M422" s="8" t="n">
        <v>3</v>
      </c>
      <c r="N422" s="8" t="s">
        <v>120</v>
      </c>
      <c r="O422" s="15" t="n">
        <f aca="false">H422*12</f>
        <v>50100</v>
      </c>
      <c r="P422" s="8" t="n">
        <f aca="false">MIN(100,ROUND(100*J422/Assumptions!$B$8,0))</f>
        <v>73</v>
      </c>
      <c r="Q422" s="8" t="n">
        <f aca="false">IF(L422="",Assumptions!$B$9,L422*10)</f>
        <v>60</v>
      </c>
      <c r="R422" s="8" t="n">
        <f aca="false">IF(M422&lt;=1,Assumptions!$B$12,IF(M422&lt;=3,Assumptions!$B$13,IF(M422&lt;=6,Assumptions!$B$14,Assumptions!$B$15)))</f>
        <v>75</v>
      </c>
      <c r="S422" s="8" t="n">
        <f aca="false">IF(N422="Completed On Time",Assumptions!$B$16,IF(N422="Completed Late",Assumptions!$B$17,Assumptions!$B$18))</f>
        <v>100</v>
      </c>
      <c r="T422" s="8" t="n">
        <f aca="false">IF(I422=0,Assumptions!$B$20,IF(H422&gt;I422,Assumptions!$B$19,IF(H422=I422,Assumptions!$B$20,Assumptions!$B$21)))</f>
        <v>70</v>
      </c>
      <c r="U422" s="8" t="n">
        <f aca="false">ROUND(P422*Assumptions!$B$2+Q422*Assumptions!$B$3+R422*Assumptions!$B$4+S422*Assumptions!$B$5+T422*Assumptions!$B$6,0)</f>
        <v>73</v>
      </c>
      <c r="V422" s="8" t="str">
        <f aca="false">IF(U422&gt;=Assumptions!$B$10,"Healthy",IF(U422&gt;=Assumptions!$B$11,"Needs Attention","High Risk"))</f>
        <v>Needs Attention</v>
      </c>
    </row>
    <row r="423" customFormat="false" ht="15" hidden="false" customHeight="false" outlineLevel="0" collapsed="false">
      <c r="A423" s="8" t="s">
        <v>987</v>
      </c>
      <c r="B423" s="8" t="s">
        <v>988</v>
      </c>
      <c r="C423" s="8" t="s">
        <v>53</v>
      </c>
      <c r="D423" s="8" t="s">
        <v>326</v>
      </c>
      <c r="E423" s="8" t="s">
        <v>132</v>
      </c>
      <c r="F423" s="8" t="s">
        <v>154</v>
      </c>
      <c r="G423" s="8" t="s">
        <v>180</v>
      </c>
      <c r="H423" s="15" t="n">
        <v>4175</v>
      </c>
      <c r="I423" s="15" t="n">
        <v>4175</v>
      </c>
      <c r="J423" s="16" t="n">
        <v>0.727</v>
      </c>
      <c r="K423" s="8" t="n">
        <v>8.3</v>
      </c>
      <c r="L423" s="8" t="n">
        <v>8</v>
      </c>
      <c r="M423" s="8" t="n">
        <v>2</v>
      </c>
      <c r="N423" s="8" t="s">
        <v>120</v>
      </c>
      <c r="O423" s="15" t="n">
        <f aca="false">H423*12</f>
        <v>50100</v>
      </c>
      <c r="P423" s="8" t="n">
        <f aca="false">MIN(100,ROUND(100*J423/Assumptions!$B$8,0))</f>
        <v>81</v>
      </c>
      <c r="Q423" s="8" t="n">
        <f aca="false">IF(L423="",Assumptions!$B$9,L423*10)</f>
        <v>80</v>
      </c>
      <c r="R423" s="8" t="n">
        <f aca="false">IF(M423&lt;=1,Assumptions!$B$12,IF(M423&lt;=3,Assumptions!$B$13,IF(M423&lt;=6,Assumptions!$B$14,Assumptions!$B$15)))</f>
        <v>75</v>
      </c>
      <c r="S423" s="8" t="n">
        <f aca="false">IF(N423="Completed On Time",Assumptions!$B$16,IF(N423="Completed Late",Assumptions!$B$17,Assumptions!$B$18))</f>
        <v>100</v>
      </c>
      <c r="T423" s="8" t="n">
        <f aca="false">IF(I423=0,Assumptions!$B$20,IF(H423&gt;I423,Assumptions!$B$19,IF(H423=I423,Assumptions!$B$20,Assumptions!$B$21)))</f>
        <v>70</v>
      </c>
      <c r="U423" s="8" t="n">
        <f aca="false">ROUND(P423*Assumptions!$B$2+Q423*Assumptions!$B$3+R423*Assumptions!$B$4+S423*Assumptions!$B$5+T423*Assumptions!$B$6,0)</f>
        <v>80</v>
      </c>
      <c r="V423" s="8" t="str">
        <f aca="false">IF(U423&gt;=Assumptions!$B$10,"Healthy",IF(U423&gt;=Assumptions!$B$11,"Needs Attention","High Risk"))</f>
        <v>Healthy</v>
      </c>
    </row>
    <row r="424" customFormat="false" ht="15" hidden="false" customHeight="false" outlineLevel="0" collapsed="false">
      <c r="A424" s="8" t="s">
        <v>989</v>
      </c>
      <c r="B424" s="8" t="s">
        <v>990</v>
      </c>
      <c r="C424" s="8" t="s">
        <v>53</v>
      </c>
      <c r="D424" s="8" t="s">
        <v>326</v>
      </c>
      <c r="E424" s="8" t="s">
        <v>117</v>
      </c>
      <c r="F424" s="8" t="s">
        <v>190</v>
      </c>
      <c r="G424" s="8" t="s">
        <v>147</v>
      </c>
      <c r="H424" s="15" t="n">
        <v>4150</v>
      </c>
      <c r="I424" s="15" t="n">
        <v>4150</v>
      </c>
      <c r="J424" s="16" t="n">
        <v>0.667</v>
      </c>
      <c r="K424" s="8" t="n">
        <v>7.7</v>
      </c>
      <c r="L424" s="8" t="n">
        <v>8</v>
      </c>
      <c r="M424" s="8" t="n">
        <v>5</v>
      </c>
      <c r="N424" s="8" t="s">
        <v>120</v>
      </c>
      <c r="O424" s="15" t="n">
        <f aca="false">H424*12</f>
        <v>49800</v>
      </c>
      <c r="P424" s="8" t="n">
        <f aca="false">MIN(100,ROUND(100*J424/Assumptions!$B$8,0))</f>
        <v>74</v>
      </c>
      <c r="Q424" s="8" t="n">
        <f aca="false">IF(L424="",Assumptions!$B$9,L424*10)</f>
        <v>80</v>
      </c>
      <c r="R424" s="8" t="n">
        <f aca="false">IF(M424&lt;=1,Assumptions!$B$12,IF(M424&lt;=3,Assumptions!$B$13,IF(M424&lt;=6,Assumptions!$B$14,Assumptions!$B$15)))</f>
        <v>50</v>
      </c>
      <c r="S424" s="8" t="n">
        <f aca="false">IF(N424="Completed On Time",Assumptions!$B$16,IF(N424="Completed Late",Assumptions!$B$17,Assumptions!$B$18))</f>
        <v>100</v>
      </c>
      <c r="T424" s="8" t="n">
        <f aca="false">IF(I424=0,Assumptions!$B$20,IF(H424&gt;I424,Assumptions!$B$19,IF(H424=I424,Assumptions!$B$20,Assumptions!$B$21)))</f>
        <v>70</v>
      </c>
      <c r="U424" s="8" t="n">
        <f aca="false">ROUND(P424*Assumptions!$B$2+Q424*Assumptions!$B$3+R424*Assumptions!$B$4+S424*Assumptions!$B$5+T424*Assumptions!$B$6,0)</f>
        <v>73</v>
      </c>
      <c r="V424" s="8" t="str">
        <f aca="false">IF(U424&gt;=Assumptions!$B$10,"Healthy",IF(U424&gt;=Assumptions!$B$11,"Needs Attention","High Risk"))</f>
        <v>Needs Attention</v>
      </c>
    </row>
    <row r="425" customFormat="false" ht="15" hidden="false" customHeight="false" outlineLevel="0" collapsed="false">
      <c r="A425" s="8" t="s">
        <v>991</v>
      </c>
      <c r="B425" s="8" t="s">
        <v>992</v>
      </c>
      <c r="C425" s="8" t="s">
        <v>53</v>
      </c>
      <c r="D425" s="8" t="s">
        <v>326</v>
      </c>
      <c r="E425" s="8" t="s">
        <v>123</v>
      </c>
      <c r="F425" s="8" t="s">
        <v>143</v>
      </c>
      <c r="G425" s="8" t="s">
        <v>129</v>
      </c>
      <c r="H425" s="15" t="n">
        <v>4150</v>
      </c>
      <c r="I425" s="15" t="n">
        <v>4150</v>
      </c>
      <c r="J425" s="16" t="n">
        <v>0.805</v>
      </c>
      <c r="K425" s="8" t="n">
        <v>12</v>
      </c>
      <c r="L425" s="8" t="n">
        <v>10</v>
      </c>
      <c r="M425" s="8" t="n">
        <v>0</v>
      </c>
      <c r="N425" s="8" t="s">
        <v>120</v>
      </c>
      <c r="O425" s="15" t="n">
        <f aca="false">H425*12</f>
        <v>49800</v>
      </c>
      <c r="P425" s="8" t="n">
        <f aca="false">MIN(100,ROUND(100*J425/Assumptions!$B$8,0))</f>
        <v>89</v>
      </c>
      <c r="Q425" s="8" t="n">
        <f aca="false">IF(L425="",Assumptions!$B$9,L425*10)</f>
        <v>100</v>
      </c>
      <c r="R425" s="8" t="n">
        <f aca="false">IF(M425&lt;=1,Assumptions!$B$12,IF(M425&lt;=3,Assumptions!$B$13,IF(M425&lt;=6,Assumptions!$B$14,Assumptions!$B$15)))</f>
        <v>100</v>
      </c>
      <c r="S425" s="8" t="n">
        <f aca="false">IF(N425="Completed On Time",Assumptions!$B$16,IF(N425="Completed Late",Assumptions!$B$17,Assumptions!$B$18))</f>
        <v>100</v>
      </c>
      <c r="T425" s="8" t="n">
        <f aca="false">IF(I425=0,Assumptions!$B$20,IF(H425&gt;I425,Assumptions!$B$19,IF(H425=I425,Assumptions!$B$20,Assumptions!$B$21)))</f>
        <v>70</v>
      </c>
      <c r="U425" s="8" t="n">
        <f aca="false">ROUND(P425*Assumptions!$B$2+Q425*Assumptions!$B$3+R425*Assumptions!$B$4+S425*Assumptions!$B$5+T425*Assumptions!$B$6,0)</f>
        <v>90</v>
      </c>
      <c r="V425" s="8" t="str">
        <f aca="false">IF(U425&gt;=Assumptions!$B$10,"Healthy",IF(U425&gt;=Assumptions!$B$11,"Needs Attention","High Risk"))</f>
        <v>Healthy</v>
      </c>
    </row>
    <row r="426" customFormat="false" ht="15" hidden="false" customHeight="false" outlineLevel="0" collapsed="false">
      <c r="A426" s="8" t="s">
        <v>993</v>
      </c>
      <c r="B426" s="8" t="s">
        <v>994</v>
      </c>
      <c r="C426" s="8" t="s">
        <v>53</v>
      </c>
      <c r="D426" s="8" t="s">
        <v>326</v>
      </c>
      <c r="E426" s="8" t="s">
        <v>117</v>
      </c>
      <c r="F426" s="8" t="s">
        <v>223</v>
      </c>
      <c r="G426" s="8" t="s">
        <v>119</v>
      </c>
      <c r="H426" s="15" t="n">
        <v>4150</v>
      </c>
      <c r="I426" s="15" t="n">
        <v>4150</v>
      </c>
      <c r="J426" s="16" t="n">
        <v>0.741</v>
      </c>
      <c r="K426" s="8" t="n">
        <v>7</v>
      </c>
      <c r="L426" s="8" t="n">
        <v>10</v>
      </c>
      <c r="M426" s="8" t="n">
        <v>2</v>
      </c>
      <c r="N426" s="8" t="s">
        <v>148</v>
      </c>
      <c r="O426" s="15" t="n">
        <f aca="false">H426*12</f>
        <v>49800</v>
      </c>
      <c r="P426" s="8" t="n">
        <f aca="false">MIN(100,ROUND(100*J426/Assumptions!$B$8,0))</f>
        <v>82</v>
      </c>
      <c r="Q426" s="8" t="n">
        <f aca="false">IF(L426="",Assumptions!$B$9,L426*10)</f>
        <v>100</v>
      </c>
      <c r="R426" s="8" t="n">
        <f aca="false">IF(M426&lt;=1,Assumptions!$B$12,IF(M426&lt;=3,Assumptions!$B$13,IF(M426&lt;=6,Assumptions!$B$14,Assumptions!$B$15)))</f>
        <v>75</v>
      </c>
      <c r="S426" s="8" t="n">
        <f aca="false">IF(N426="Completed On Time",Assumptions!$B$16,IF(N426="Completed Late",Assumptions!$B$17,Assumptions!$B$18))</f>
        <v>60</v>
      </c>
      <c r="T426" s="8" t="n">
        <f aca="false">IF(I426=0,Assumptions!$B$20,IF(H426&gt;I426,Assumptions!$B$19,IF(H426=I426,Assumptions!$B$20,Assumptions!$B$21)))</f>
        <v>70</v>
      </c>
      <c r="U426" s="8" t="n">
        <f aca="false">ROUND(P426*Assumptions!$B$2+Q426*Assumptions!$B$3+R426*Assumptions!$B$4+S426*Assumptions!$B$5+T426*Assumptions!$B$6,0)</f>
        <v>80</v>
      </c>
      <c r="V426" s="8" t="str">
        <f aca="false">IF(U426&gt;=Assumptions!$B$10,"Healthy",IF(U426&gt;=Assumptions!$B$11,"Needs Attention","High Risk"))</f>
        <v>Healthy</v>
      </c>
    </row>
    <row r="427" customFormat="false" ht="15" hidden="false" customHeight="false" outlineLevel="0" collapsed="false">
      <c r="A427" s="8" t="s">
        <v>995</v>
      </c>
      <c r="B427" s="8" t="s">
        <v>996</v>
      </c>
      <c r="C427" s="8" t="s">
        <v>53</v>
      </c>
      <c r="D427" s="8" t="s">
        <v>326</v>
      </c>
      <c r="E427" s="8" t="s">
        <v>123</v>
      </c>
      <c r="F427" s="8" t="s">
        <v>154</v>
      </c>
      <c r="G427" s="8" t="s">
        <v>140</v>
      </c>
      <c r="H427" s="15" t="n">
        <v>4150</v>
      </c>
      <c r="I427" s="15" t="n">
        <v>4150</v>
      </c>
      <c r="J427" s="16" t="n">
        <v>0.542</v>
      </c>
      <c r="K427" s="8" t="n">
        <v>6</v>
      </c>
      <c r="L427" s="8" t="n">
        <v>7</v>
      </c>
      <c r="M427" s="8" t="n">
        <v>2</v>
      </c>
      <c r="N427" s="8" t="s">
        <v>120</v>
      </c>
      <c r="O427" s="15" t="n">
        <f aca="false">H427*12</f>
        <v>49800</v>
      </c>
      <c r="P427" s="8" t="n">
        <f aca="false">MIN(100,ROUND(100*J427/Assumptions!$B$8,0))</f>
        <v>60</v>
      </c>
      <c r="Q427" s="8" t="n">
        <f aca="false">IF(L427="",Assumptions!$B$9,L427*10)</f>
        <v>70</v>
      </c>
      <c r="R427" s="8" t="n">
        <f aca="false">IF(M427&lt;=1,Assumptions!$B$12,IF(M427&lt;=3,Assumptions!$B$13,IF(M427&lt;=6,Assumptions!$B$14,Assumptions!$B$15)))</f>
        <v>75</v>
      </c>
      <c r="S427" s="8" t="n">
        <f aca="false">IF(N427="Completed On Time",Assumptions!$B$16,IF(N427="Completed Late",Assumptions!$B$17,Assumptions!$B$18))</f>
        <v>100</v>
      </c>
      <c r="T427" s="8" t="n">
        <f aca="false">IF(I427=0,Assumptions!$B$20,IF(H427&gt;I427,Assumptions!$B$19,IF(H427=I427,Assumptions!$B$20,Assumptions!$B$21)))</f>
        <v>70</v>
      </c>
      <c r="U427" s="8" t="n">
        <f aca="false">ROUND(P427*Assumptions!$B$2+Q427*Assumptions!$B$3+R427*Assumptions!$B$4+S427*Assumptions!$B$5+T427*Assumptions!$B$6,0)</f>
        <v>70</v>
      </c>
      <c r="V427" s="8" t="str">
        <f aca="false">IF(U427&gt;=Assumptions!$B$10,"Healthy",IF(U427&gt;=Assumptions!$B$11,"Needs Attention","High Risk"))</f>
        <v>Needs Attention</v>
      </c>
    </row>
    <row r="428" customFormat="false" ht="15" hidden="false" customHeight="false" outlineLevel="0" collapsed="false">
      <c r="A428" s="8" t="s">
        <v>997</v>
      </c>
      <c r="B428" s="8" t="s">
        <v>998</v>
      </c>
      <c r="C428" s="8" t="s">
        <v>53</v>
      </c>
      <c r="D428" s="8" t="s">
        <v>55</v>
      </c>
      <c r="E428" s="8" t="s">
        <v>123</v>
      </c>
      <c r="F428" s="8" t="s">
        <v>124</v>
      </c>
      <c r="G428" s="8" t="s">
        <v>147</v>
      </c>
      <c r="H428" s="15" t="n">
        <v>4140</v>
      </c>
      <c r="I428" s="15" t="n">
        <v>4140</v>
      </c>
      <c r="J428" s="16" t="n">
        <v>0.812</v>
      </c>
      <c r="K428" s="8" t="n">
        <v>9.3</v>
      </c>
      <c r="L428" s="8" t="n">
        <v>10</v>
      </c>
      <c r="M428" s="8" t="n">
        <v>2</v>
      </c>
      <c r="N428" s="8" t="s">
        <v>120</v>
      </c>
      <c r="O428" s="15" t="n">
        <f aca="false">H428*12</f>
        <v>49680</v>
      </c>
      <c r="P428" s="8" t="n">
        <f aca="false">MIN(100,ROUND(100*J428/Assumptions!$B$8,0))</f>
        <v>90</v>
      </c>
      <c r="Q428" s="8" t="n">
        <f aca="false">IF(L428="",Assumptions!$B$9,L428*10)</f>
        <v>100</v>
      </c>
      <c r="R428" s="8" t="n">
        <f aca="false">IF(M428&lt;=1,Assumptions!$B$12,IF(M428&lt;=3,Assumptions!$B$13,IF(M428&lt;=6,Assumptions!$B$14,Assumptions!$B$15)))</f>
        <v>75</v>
      </c>
      <c r="S428" s="8" t="n">
        <f aca="false">IF(N428="Completed On Time",Assumptions!$B$16,IF(N428="Completed Late",Assumptions!$B$17,Assumptions!$B$18))</f>
        <v>100</v>
      </c>
      <c r="T428" s="8" t="n">
        <f aca="false">IF(I428=0,Assumptions!$B$20,IF(H428&gt;I428,Assumptions!$B$19,IF(H428=I428,Assumptions!$B$20,Assumptions!$B$21)))</f>
        <v>70</v>
      </c>
      <c r="U428" s="8" t="n">
        <f aca="false">ROUND(P428*Assumptions!$B$2+Q428*Assumptions!$B$3+R428*Assumptions!$B$4+S428*Assumptions!$B$5+T428*Assumptions!$B$6,0)</f>
        <v>87</v>
      </c>
      <c r="V428" s="8" t="str">
        <f aca="false">IF(U428&gt;=Assumptions!$B$10,"Healthy",IF(U428&gt;=Assumptions!$B$11,"Needs Attention","High Risk"))</f>
        <v>Healthy</v>
      </c>
    </row>
    <row r="429" customFormat="false" ht="15" hidden="false" customHeight="false" outlineLevel="0" collapsed="false">
      <c r="A429" s="8" t="s">
        <v>999</v>
      </c>
      <c r="B429" s="8" t="s">
        <v>1000</v>
      </c>
      <c r="C429" s="8" t="s">
        <v>53</v>
      </c>
      <c r="D429" s="8" t="s">
        <v>326</v>
      </c>
      <c r="E429" s="8" t="s">
        <v>123</v>
      </c>
      <c r="F429" s="8" t="s">
        <v>154</v>
      </c>
      <c r="G429" s="8" t="s">
        <v>204</v>
      </c>
      <c r="H429" s="15" t="n">
        <v>4125</v>
      </c>
      <c r="I429" s="15" t="n">
        <v>4125</v>
      </c>
      <c r="J429" s="16" t="n">
        <v>0.776</v>
      </c>
      <c r="K429" s="8" t="n">
        <v>7.7</v>
      </c>
      <c r="L429" s="8" t="n">
        <v>8</v>
      </c>
      <c r="M429" s="8" t="n">
        <v>2</v>
      </c>
      <c r="N429" s="8" t="s">
        <v>120</v>
      </c>
      <c r="O429" s="15" t="n">
        <f aca="false">H429*12</f>
        <v>49500</v>
      </c>
      <c r="P429" s="8" t="n">
        <f aca="false">MIN(100,ROUND(100*J429/Assumptions!$B$8,0))</f>
        <v>86</v>
      </c>
      <c r="Q429" s="8" t="n">
        <f aca="false">IF(L429="",Assumptions!$B$9,L429*10)</f>
        <v>80</v>
      </c>
      <c r="R429" s="8" t="n">
        <f aca="false">IF(M429&lt;=1,Assumptions!$B$12,IF(M429&lt;=3,Assumptions!$B$13,IF(M429&lt;=6,Assumptions!$B$14,Assumptions!$B$15)))</f>
        <v>75</v>
      </c>
      <c r="S429" s="8" t="n">
        <f aca="false">IF(N429="Completed On Time",Assumptions!$B$16,IF(N429="Completed Late",Assumptions!$B$17,Assumptions!$B$18))</f>
        <v>100</v>
      </c>
      <c r="T429" s="8" t="n">
        <f aca="false">IF(I429=0,Assumptions!$B$20,IF(H429&gt;I429,Assumptions!$B$19,IF(H429=I429,Assumptions!$B$20,Assumptions!$B$21)))</f>
        <v>70</v>
      </c>
      <c r="U429" s="8" t="n">
        <f aca="false">ROUND(P429*Assumptions!$B$2+Q429*Assumptions!$B$3+R429*Assumptions!$B$4+S429*Assumptions!$B$5+T429*Assumptions!$B$6,0)</f>
        <v>81</v>
      </c>
      <c r="V429" s="8" t="str">
        <f aca="false">IF(U429&gt;=Assumptions!$B$10,"Healthy",IF(U429&gt;=Assumptions!$B$11,"Needs Attention","High Risk"))</f>
        <v>Healthy</v>
      </c>
    </row>
    <row r="430" customFormat="false" ht="15" hidden="false" customHeight="false" outlineLevel="0" collapsed="false">
      <c r="A430" s="8" t="s">
        <v>1001</v>
      </c>
      <c r="B430" s="8" t="s">
        <v>1002</v>
      </c>
      <c r="C430" s="8" t="s">
        <v>53</v>
      </c>
      <c r="D430" s="8" t="s">
        <v>326</v>
      </c>
      <c r="E430" s="8" t="s">
        <v>117</v>
      </c>
      <c r="F430" s="8" t="s">
        <v>124</v>
      </c>
      <c r="G430" s="8" t="s">
        <v>204</v>
      </c>
      <c r="H430" s="15" t="n">
        <v>4125</v>
      </c>
      <c r="I430" s="15" t="n">
        <v>4125</v>
      </c>
      <c r="J430" s="16" t="n">
        <v>0.774</v>
      </c>
      <c r="K430" s="8" t="n">
        <v>11.7</v>
      </c>
      <c r="L430" s="8" t="n">
        <v>10</v>
      </c>
      <c r="M430" s="8" t="n">
        <v>3</v>
      </c>
      <c r="N430" s="8" t="s">
        <v>120</v>
      </c>
      <c r="O430" s="15" t="n">
        <f aca="false">H430*12</f>
        <v>49500</v>
      </c>
      <c r="P430" s="8" t="n">
        <f aca="false">MIN(100,ROUND(100*J430/Assumptions!$B$8,0))</f>
        <v>86</v>
      </c>
      <c r="Q430" s="8" t="n">
        <f aca="false">IF(L430="",Assumptions!$B$9,L430*10)</f>
        <v>100</v>
      </c>
      <c r="R430" s="8" t="n">
        <f aca="false">IF(M430&lt;=1,Assumptions!$B$12,IF(M430&lt;=3,Assumptions!$B$13,IF(M430&lt;=6,Assumptions!$B$14,Assumptions!$B$15)))</f>
        <v>75</v>
      </c>
      <c r="S430" s="8" t="n">
        <f aca="false">IF(N430="Completed On Time",Assumptions!$B$16,IF(N430="Completed Late",Assumptions!$B$17,Assumptions!$B$18))</f>
        <v>100</v>
      </c>
      <c r="T430" s="8" t="n">
        <f aca="false">IF(I430=0,Assumptions!$B$20,IF(H430&gt;I430,Assumptions!$B$19,IF(H430=I430,Assumptions!$B$20,Assumptions!$B$21)))</f>
        <v>70</v>
      </c>
      <c r="U430" s="8" t="n">
        <f aca="false">ROUND(P430*Assumptions!$B$2+Q430*Assumptions!$B$3+R430*Assumptions!$B$4+S430*Assumptions!$B$5+T430*Assumptions!$B$6,0)</f>
        <v>85</v>
      </c>
      <c r="V430" s="8" t="str">
        <f aca="false">IF(U430&gt;=Assumptions!$B$10,"Healthy",IF(U430&gt;=Assumptions!$B$11,"Needs Attention","High Risk"))</f>
        <v>Healthy</v>
      </c>
    </row>
    <row r="431" customFormat="false" ht="15" hidden="false" customHeight="false" outlineLevel="0" collapsed="false">
      <c r="A431" s="8" t="s">
        <v>1003</v>
      </c>
      <c r="B431" s="8" t="s">
        <v>1004</v>
      </c>
      <c r="C431" s="8" t="s">
        <v>53</v>
      </c>
      <c r="D431" s="8" t="s">
        <v>326</v>
      </c>
      <c r="E431" s="8" t="s">
        <v>123</v>
      </c>
      <c r="F431" s="8" t="s">
        <v>151</v>
      </c>
      <c r="G431" s="8" t="s">
        <v>147</v>
      </c>
      <c r="H431" s="15" t="n">
        <v>4125</v>
      </c>
      <c r="I431" s="15" t="n">
        <v>4125</v>
      </c>
      <c r="J431" s="16" t="n">
        <v>0.786</v>
      </c>
      <c r="K431" s="8" t="n">
        <v>10</v>
      </c>
      <c r="L431" s="8" t="n">
        <v>7</v>
      </c>
      <c r="M431" s="8" t="n">
        <v>2</v>
      </c>
      <c r="N431" s="8" t="s">
        <v>120</v>
      </c>
      <c r="O431" s="15" t="n">
        <f aca="false">H431*12</f>
        <v>49500</v>
      </c>
      <c r="P431" s="8" t="n">
        <f aca="false">MIN(100,ROUND(100*J431/Assumptions!$B$8,0))</f>
        <v>87</v>
      </c>
      <c r="Q431" s="8" t="n">
        <f aca="false">IF(L431="",Assumptions!$B$9,L431*10)</f>
        <v>70</v>
      </c>
      <c r="R431" s="8" t="n">
        <f aca="false">IF(M431&lt;=1,Assumptions!$B$12,IF(M431&lt;=3,Assumptions!$B$13,IF(M431&lt;=6,Assumptions!$B$14,Assumptions!$B$15)))</f>
        <v>75</v>
      </c>
      <c r="S431" s="8" t="n">
        <f aca="false">IF(N431="Completed On Time",Assumptions!$B$16,IF(N431="Completed Late",Assumptions!$B$17,Assumptions!$B$18))</f>
        <v>100</v>
      </c>
      <c r="T431" s="8" t="n">
        <f aca="false">IF(I431=0,Assumptions!$B$20,IF(H431&gt;I431,Assumptions!$B$19,IF(H431=I431,Assumptions!$B$20,Assumptions!$B$21)))</f>
        <v>70</v>
      </c>
      <c r="U431" s="8" t="n">
        <f aca="false">ROUND(P431*Assumptions!$B$2+Q431*Assumptions!$B$3+R431*Assumptions!$B$4+S431*Assumptions!$B$5+T431*Assumptions!$B$6,0)</f>
        <v>80</v>
      </c>
      <c r="V431" s="8" t="str">
        <f aca="false">IF(U431&gt;=Assumptions!$B$10,"Healthy",IF(U431&gt;=Assumptions!$B$11,"Needs Attention","High Risk"))</f>
        <v>Healthy</v>
      </c>
    </row>
    <row r="432" customFormat="false" ht="15" hidden="false" customHeight="false" outlineLevel="0" collapsed="false">
      <c r="A432" s="8" t="s">
        <v>1005</v>
      </c>
      <c r="B432" s="8" t="s">
        <v>1006</v>
      </c>
      <c r="C432" s="8" t="s">
        <v>53</v>
      </c>
      <c r="D432" s="8" t="s">
        <v>326</v>
      </c>
      <c r="E432" s="8" t="s">
        <v>117</v>
      </c>
      <c r="F432" s="8" t="s">
        <v>154</v>
      </c>
      <c r="G432" s="8" t="s">
        <v>129</v>
      </c>
      <c r="H432" s="15" t="n">
        <v>4125</v>
      </c>
      <c r="I432" s="15" t="n">
        <v>4125</v>
      </c>
      <c r="J432" s="16" t="n">
        <v>0.768</v>
      </c>
      <c r="K432" s="8" t="n">
        <v>10.3</v>
      </c>
      <c r="L432" s="8" t="n">
        <v>9</v>
      </c>
      <c r="M432" s="8" t="n">
        <v>5</v>
      </c>
      <c r="N432" s="8" t="s">
        <v>120</v>
      </c>
      <c r="O432" s="15" t="n">
        <f aca="false">H432*12</f>
        <v>49500</v>
      </c>
      <c r="P432" s="8" t="n">
        <f aca="false">MIN(100,ROUND(100*J432/Assumptions!$B$8,0))</f>
        <v>85</v>
      </c>
      <c r="Q432" s="8" t="n">
        <f aca="false">IF(L432="",Assumptions!$B$9,L432*10)</f>
        <v>90</v>
      </c>
      <c r="R432" s="8" t="n">
        <f aca="false">IF(M432&lt;=1,Assumptions!$B$12,IF(M432&lt;=3,Assumptions!$B$13,IF(M432&lt;=6,Assumptions!$B$14,Assumptions!$B$15)))</f>
        <v>50</v>
      </c>
      <c r="S432" s="8" t="n">
        <f aca="false">IF(N432="Completed On Time",Assumptions!$B$16,IF(N432="Completed Late",Assumptions!$B$17,Assumptions!$B$18))</f>
        <v>100</v>
      </c>
      <c r="T432" s="8" t="n">
        <f aca="false">IF(I432=0,Assumptions!$B$20,IF(H432&gt;I432,Assumptions!$B$19,IF(H432=I432,Assumptions!$B$20,Assumptions!$B$21)))</f>
        <v>70</v>
      </c>
      <c r="U432" s="8" t="n">
        <f aca="false">ROUND(P432*Assumptions!$B$2+Q432*Assumptions!$B$3+R432*Assumptions!$B$4+S432*Assumptions!$B$5+T432*Assumptions!$B$6,0)</f>
        <v>79</v>
      </c>
      <c r="V432" s="8" t="str">
        <f aca="false">IF(U432&gt;=Assumptions!$B$10,"Healthy",IF(U432&gt;=Assumptions!$B$11,"Needs Attention","High Risk"))</f>
        <v>Needs Attention</v>
      </c>
    </row>
    <row r="433" customFormat="false" ht="15" hidden="false" customHeight="false" outlineLevel="0" collapsed="false">
      <c r="A433" s="8" t="s">
        <v>1007</v>
      </c>
      <c r="B433" s="8" t="s">
        <v>1008</v>
      </c>
      <c r="C433" s="8" t="s">
        <v>53</v>
      </c>
      <c r="D433" s="8" t="s">
        <v>326</v>
      </c>
      <c r="E433" s="8" t="s">
        <v>123</v>
      </c>
      <c r="F433" s="8" t="s">
        <v>154</v>
      </c>
      <c r="G433" s="8" t="s">
        <v>177</v>
      </c>
      <c r="H433" s="15" t="n">
        <v>4125</v>
      </c>
      <c r="I433" s="15" t="n">
        <v>4125</v>
      </c>
      <c r="J433" s="16" t="n">
        <v>0.848</v>
      </c>
      <c r="K433" s="8" t="n">
        <v>11.3</v>
      </c>
      <c r="L433" s="8" t="n">
        <v>10</v>
      </c>
      <c r="M433" s="8" t="n">
        <v>4</v>
      </c>
      <c r="N433" s="8" t="s">
        <v>120</v>
      </c>
      <c r="O433" s="15" t="n">
        <f aca="false">H433*12</f>
        <v>49500</v>
      </c>
      <c r="P433" s="8" t="n">
        <f aca="false">MIN(100,ROUND(100*J433/Assumptions!$B$8,0))</f>
        <v>94</v>
      </c>
      <c r="Q433" s="8" t="n">
        <f aca="false">IF(L433="",Assumptions!$B$9,L433*10)</f>
        <v>100</v>
      </c>
      <c r="R433" s="8" t="n">
        <f aca="false">IF(M433&lt;=1,Assumptions!$B$12,IF(M433&lt;=3,Assumptions!$B$13,IF(M433&lt;=6,Assumptions!$B$14,Assumptions!$B$15)))</f>
        <v>50</v>
      </c>
      <c r="S433" s="8" t="n">
        <f aca="false">IF(N433="Completed On Time",Assumptions!$B$16,IF(N433="Completed Late",Assumptions!$B$17,Assumptions!$B$18))</f>
        <v>100</v>
      </c>
      <c r="T433" s="8" t="n">
        <f aca="false">IF(I433=0,Assumptions!$B$20,IF(H433&gt;I433,Assumptions!$B$19,IF(H433=I433,Assumptions!$B$20,Assumptions!$B$21)))</f>
        <v>70</v>
      </c>
      <c r="U433" s="8" t="n">
        <f aca="false">ROUND(P433*Assumptions!$B$2+Q433*Assumptions!$B$3+R433*Assumptions!$B$4+S433*Assumptions!$B$5+T433*Assumptions!$B$6,0)</f>
        <v>84</v>
      </c>
      <c r="V433" s="8" t="str">
        <f aca="false">IF(U433&gt;=Assumptions!$B$10,"Healthy",IF(U433&gt;=Assumptions!$B$11,"Needs Attention","High Risk"))</f>
        <v>Healthy</v>
      </c>
    </row>
    <row r="434" customFormat="false" ht="15" hidden="false" customHeight="false" outlineLevel="0" collapsed="false">
      <c r="A434" s="8" t="s">
        <v>1009</v>
      </c>
      <c r="B434" s="8" t="s">
        <v>1010</v>
      </c>
      <c r="C434" s="8" t="s">
        <v>53</v>
      </c>
      <c r="D434" s="8" t="s">
        <v>326</v>
      </c>
      <c r="E434" s="8" t="s">
        <v>123</v>
      </c>
      <c r="F434" s="8" t="s">
        <v>133</v>
      </c>
      <c r="G434" s="8" t="s">
        <v>180</v>
      </c>
      <c r="H434" s="15" t="n">
        <v>4100</v>
      </c>
      <c r="I434" s="15" t="n">
        <v>4100</v>
      </c>
      <c r="J434" s="16" t="n">
        <v>0.744</v>
      </c>
      <c r="K434" s="8" t="n">
        <v>8.3</v>
      </c>
      <c r="L434" s="8" t="n">
        <v>8</v>
      </c>
      <c r="M434" s="8" t="n">
        <v>5</v>
      </c>
      <c r="N434" s="8" t="s">
        <v>120</v>
      </c>
      <c r="O434" s="15" t="n">
        <f aca="false">H434*12</f>
        <v>49200</v>
      </c>
      <c r="P434" s="8" t="n">
        <f aca="false">MIN(100,ROUND(100*J434/Assumptions!$B$8,0))</f>
        <v>83</v>
      </c>
      <c r="Q434" s="8" t="n">
        <f aca="false">IF(L434="",Assumptions!$B$9,L434*10)</f>
        <v>80</v>
      </c>
      <c r="R434" s="8" t="n">
        <f aca="false">IF(M434&lt;=1,Assumptions!$B$12,IF(M434&lt;=3,Assumptions!$B$13,IF(M434&lt;=6,Assumptions!$B$14,Assumptions!$B$15)))</f>
        <v>50</v>
      </c>
      <c r="S434" s="8" t="n">
        <f aca="false">IF(N434="Completed On Time",Assumptions!$B$16,IF(N434="Completed Late",Assumptions!$B$17,Assumptions!$B$18))</f>
        <v>100</v>
      </c>
      <c r="T434" s="8" t="n">
        <f aca="false">IF(I434=0,Assumptions!$B$20,IF(H434&gt;I434,Assumptions!$B$19,IF(H434=I434,Assumptions!$B$20,Assumptions!$B$21)))</f>
        <v>70</v>
      </c>
      <c r="U434" s="8" t="n">
        <f aca="false">ROUND(P434*Assumptions!$B$2+Q434*Assumptions!$B$3+R434*Assumptions!$B$4+S434*Assumptions!$B$5+T434*Assumptions!$B$6,0)</f>
        <v>77</v>
      </c>
      <c r="V434" s="8" t="str">
        <f aca="false">IF(U434&gt;=Assumptions!$B$10,"Healthy",IF(U434&gt;=Assumptions!$B$11,"Needs Attention","High Risk"))</f>
        <v>Needs Attention</v>
      </c>
    </row>
    <row r="435" customFormat="false" ht="15" hidden="false" customHeight="false" outlineLevel="0" collapsed="false">
      <c r="A435" s="8" t="s">
        <v>1011</v>
      </c>
      <c r="B435" s="8" t="s">
        <v>1012</v>
      </c>
      <c r="C435" s="8" t="s">
        <v>53</v>
      </c>
      <c r="D435" s="8" t="s">
        <v>326</v>
      </c>
      <c r="E435" s="8" t="s">
        <v>117</v>
      </c>
      <c r="F435" s="8" t="s">
        <v>136</v>
      </c>
      <c r="G435" s="8" t="s">
        <v>159</v>
      </c>
      <c r="H435" s="15" t="n">
        <v>4100</v>
      </c>
      <c r="I435" s="15" t="n">
        <v>4100</v>
      </c>
      <c r="J435" s="16" t="n">
        <v>0.746</v>
      </c>
      <c r="K435" s="8" t="n">
        <v>9.7</v>
      </c>
      <c r="L435" s="8" t="n">
        <v>10</v>
      </c>
      <c r="M435" s="8" t="n">
        <v>5</v>
      </c>
      <c r="N435" s="8" t="s">
        <v>120</v>
      </c>
      <c r="O435" s="15" t="n">
        <f aca="false">H435*12</f>
        <v>49200</v>
      </c>
      <c r="P435" s="8" t="n">
        <f aca="false">MIN(100,ROUND(100*J435/Assumptions!$B$8,0))</f>
        <v>83</v>
      </c>
      <c r="Q435" s="8" t="n">
        <f aca="false">IF(L435="",Assumptions!$B$9,L435*10)</f>
        <v>100</v>
      </c>
      <c r="R435" s="8" t="n">
        <f aca="false">IF(M435&lt;=1,Assumptions!$B$12,IF(M435&lt;=3,Assumptions!$B$13,IF(M435&lt;=6,Assumptions!$B$14,Assumptions!$B$15)))</f>
        <v>50</v>
      </c>
      <c r="S435" s="8" t="n">
        <f aca="false">IF(N435="Completed On Time",Assumptions!$B$16,IF(N435="Completed Late",Assumptions!$B$17,Assumptions!$B$18))</f>
        <v>100</v>
      </c>
      <c r="T435" s="8" t="n">
        <f aca="false">IF(I435=0,Assumptions!$B$20,IF(H435&gt;I435,Assumptions!$B$19,IF(H435=I435,Assumptions!$B$20,Assumptions!$B$21)))</f>
        <v>70</v>
      </c>
      <c r="U435" s="8" t="n">
        <f aca="false">ROUND(P435*Assumptions!$B$2+Q435*Assumptions!$B$3+R435*Assumptions!$B$4+S435*Assumptions!$B$5+T435*Assumptions!$B$6,0)</f>
        <v>81</v>
      </c>
      <c r="V435" s="8" t="str">
        <f aca="false">IF(U435&gt;=Assumptions!$B$10,"Healthy",IF(U435&gt;=Assumptions!$B$11,"Needs Attention","High Risk"))</f>
        <v>Healthy</v>
      </c>
    </row>
    <row r="436" customFormat="false" ht="15" hidden="false" customHeight="false" outlineLevel="0" collapsed="false">
      <c r="A436" s="8" t="s">
        <v>1013</v>
      </c>
      <c r="B436" s="8" t="s">
        <v>1014</v>
      </c>
      <c r="C436" s="8" t="s">
        <v>53</v>
      </c>
      <c r="D436" s="8" t="s">
        <v>326</v>
      </c>
      <c r="E436" s="8" t="s">
        <v>117</v>
      </c>
      <c r="F436" s="8" t="s">
        <v>143</v>
      </c>
      <c r="G436" s="8" t="s">
        <v>185</v>
      </c>
      <c r="H436" s="15" t="n">
        <v>4100</v>
      </c>
      <c r="I436" s="15" t="n">
        <v>4100</v>
      </c>
      <c r="J436" s="16" t="n">
        <v>0.705</v>
      </c>
      <c r="K436" s="8" t="n">
        <v>6.3</v>
      </c>
      <c r="L436" s="8" t="n">
        <v>7</v>
      </c>
      <c r="M436" s="8" t="n">
        <v>6</v>
      </c>
      <c r="N436" s="8" t="s">
        <v>120</v>
      </c>
      <c r="O436" s="15" t="n">
        <f aca="false">H436*12</f>
        <v>49200</v>
      </c>
      <c r="P436" s="8" t="n">
        <f aca="false">MIN(100,ROUND(100*J436/Assumptions!$B$8,0))</f>
        <v>78</v>
      </c>
      <c r="Q436" s="8" t="n">
        <f aca="false">IF(L436="",Assumptions!$B$9,L436*10)</f>
        <v>70</v>
      </c>
      <c r="R436" s="8" t="n">
        <f aca="false">IF(M436&lt;=1,Assumptions!$B$12,IF(M436&lt;=3,Assumptions!$B$13,IF(M436&lt;=6,Assumptions!$B$14,Assumptions!$B$15)))</f>
        <v>50</v>
      </c>
      <c r="S436" s="8" t="n">
        <f aca="false">IF(N436="Completed On Time",Assumptions!$B$16,IF(N436="Completed Late",Assumptions!$B$17,Assumptions!$B$18))</f>
        <v>100</v>
      </c>
      <c r="T436" s="8" t="n">
        <f aca="false">IF(I436=0,Assumptions!$B$20,IF(H436&gt;I436,Assumptions!$B$19,IF(H436=I436,Assumptions!$B$20,Assumptions!$B$21)))</f>
        <v>70</v>
      </c>
      <c r="U436" s="8" t="n">
        <f aca="false">ROUND(P436*Assumptions!$B$2+Q436*Assumptions!$B$3+R436*Assumptions!$B$4+S436*Assumptions!$B$5+T436*Assumptions!$B$6,0)</f>
        <v>73</v>
      </c>
      <c r="V436" s="8" t="str">
        <f aca="false">IF(U436&gt;=Assumptions!$B$10,"Healthy",IF(U436&gt;=Assumptions!$B$11,"Needs Attention","High Risk"))</f>
        <v>Needs Attention</v>
      </c>
    </row>
    <row r="437" customFormat="false" ht="15" hidden="false" customHeight="false" outlineLevel="0" collapsed="false">
      <c r="A437" s="8" t="s">
        <v>1015</v>
      </c>
      <c r="B437" s="8" t="s">
        <v>1016</v>
      </c>
      <c r="C437" s="8" t="s">
        <v>55</v>
      </c>
      <c r="D437" s="8" t="s">
        <v>326</v>
      </c>
      <c r="E437" s="8" t="s">
        <v>123</v>
      </c>
      <c r="F437" s="8" t="s">
        <v>190</v>
      </c>
      <c r="G437" s="8" t="s">
        <v>140</v>
      </c>
      <c r="H437" s="15" t="n">
        <v>4075</v>
      </c>
      <c r="I437" s="15" t="n">
        <v>4075</v>
      </c>
      <c r="J437" s="16" t="n">
        <v>0.589</v>
      </c>
      <c r="K437" s="8" t="n">
        <v>8.3</v>
      </c>
      <c r="L437" s="8" t="n">
        <v>8</v>
      </c>
      <c r="M437" s="8" t="n">
        <v>6</v>
      </c>
      <c r="N437" s="8" t="s">
        <v>120</v>
      </c>
      <c r="O437" s="15" t="n">
        <f aca="false">H437*12</f>
        <v>48900</v>
      </c>
      <c r="P437" s="8" t="n">
        <f aca="false">MIN(100,ROUND(100*J437/Assumptions!$B$8,0))</f>
        <v>65</v>
      </c>
      <c r="Q437" s="8" t="n">
        <f aca="false">IF(L437="",Assumptions!$B$9,L437*10)</f>
        <v>80</v>
      </c>
      <c r="R437" s="8" t="n">
        <f aca="false">IF(M437&lt;=1,Assumptions!$B$12,IF(M437&lt;=3,Assumptions!$B$13,IF(M437&lt;=6,Assumptions!$B$14,Assumptions!$B$15)))</f>
        <v>50</v>
      </c>
      <c r="S437" s="8" t="n">
        <f aca="false">IF(N437="Completed On Time",Assumptions!$B$16,IF(N437="Completed Late",Assumptions!$B$17,Assumptions!$B$18))</f>
        <v>100</v>
      </c>
      <c r="T437" s="8" t="n">
        <f aca="false">IF(I437=0,Assumptions!$B$20,IF(H437&gt;I437,Assumptions!$B$19,IF(H437=I437,Assumptions!$B$20,Assumptions!$B$21)))</f>
        <v>70</v>
      </c>
      <c r="U437" s="8" t="n">
        <f aca="false">ROUND(P437*Assumptions!$B$2+Q437*Assumptions!$B$3+R437*Assumptions!$B$4+S437*Assumptions!$B$5+T437*Assumptions!$B$6,0)</f>
        <v>70</v>
      </c>
      <c r="V437" s="8" t="str">
        <f aca="false">IF(U437&gt;=Assumptions!$B$10,"Healthy",IF(U437&gt;=Assumptions!$B$11,"Needs Attention","High Risk"))</f>
        <v>Needs Attention</v>
      </c>
    </row>
    <row r="438" customFormat="false" ht="15" hidden="false" customHeight="false" outlineLevel="0" collapsed="false">
      <c r="A438" s="8" t="s">
        <v>1017</v>
      </c>
      <c r="B438" s="8" t="s">
        <v>1018</v>
      </c>
      <c r="C438" s="8" t="s">
        <v>53</v>
      </c>
      <c r="D438" s="8" t="s">
        <v>326</v>
      </c>
      <c r="E438" s="8" t="s">
        <v>132</v>
      </c>
      <c r="F438" s="8" t="s">
        <v>136</v>
      </c>
      <c r="G438" s="8" t="s">
        <v>144</v>
      </c>
      <c r="H438" s="15" t="n">
        <v>4075</v>
      </c>
      <c r="I438" s="15" t="n">
        <v>4075</v>
      </c>
      <c r="J438" s="16" t="n">
        <v>0.501</v>
      </c>
      <c r="K438" s="8" t="n">
        <v>5.7</v>
      </c>
      <c r="L438" s="8" t="n">
        <v>5</v>
      </c>
      <c r="M438" s="8" t="n">
        <v>5</v>
      </c>
      <c r="N438" s="8" t="s">
        <v>120</v>
      </c>
      <c r="O438" s="15" t="n">
        <f aca="false">H438*12</f>
        <v>48900</v>
      </c>
      <c r="P438" s="8" t="n">
        <f aca="false">MIN(100,ROUND(100*J438/Assumptions!$B$8,0))</f>
        <v>56</v>
      </c>
      <c r="Q438" s="8" t="n">
        <f aca="false">IF(L438="",Assumptions!$B$9,L438*10)</f>
        <v>50</v>
      </c>
      <c r="R438" s="8" t="n">
        <f aca="false">IF(M438&lt;=1,Assumptions!$B$12,IF(M438&lt;=3,Assumptions!$B$13,IF(M438&lt;=6,Assumptions!$B$14,Assumptions!$B$15)))</f>
        <v>50</v>
      </c>
      <c r="S438" s="8" t="n">
        <f aca="false">IF(N438="Completed On Time",Assumptions!$B$16,IF(N438="Completed Late",Assumptions!$B$17,Assumptions!$B$18))</f>
        <v>100</v>
      </c>
      <c r="T438" s="8" t="n">
        <f aca="false">IF(I438=0,Assumptions!$B$20,IF(H438&gt;I438,Assumptions!$B$19,IF(H438=I438,Assumptions!$B$20,Assumptions!$B$21)))</f>
        <v>70</v>
      </c>
      <c r="U438" s="8" t="n">
        <f aca="false">ROUND(P438*Assumptions!$B$2+Q438*Assumptions!$B$3+R438*Assumptions!$B$4+S438*Assumptions!$B$5+T438*Assumptions!$B$6,0)</f>
        <v>61</v>
      </c>
      <c r="V438" s="8" t="str">
        <f aca="false">IF(U438&gt;=Assumptions!$B$10,"Healthy",IF(U438&gt;=Assumptions!$B$11,"Needs Attention","High Risk"))</f>
        <v>High Risk</v>
      </c>
    </row>
    <row r="439" customFormat="false" ht="15" hidden="false" customHeight="false" outlineLevel="0" collapsed="false">
      <c r="A439" s="8" t="s">
        <v>1019</v>
      </c>
      <c r="B439" s="8" t="s">
        <v>1020</v>
      </c>
      <c r="C439" s="8" t="s">
        <v>55</v>
      </c>
      <c r="D439" s="8" t="s">
        <v>326</v>
      </c>
      <c r="E439" s="8" t="s">
        <v>132</v>
      </c>
      <c r="F439" s="8" t="s">
        <v>136</v>
      </c>
      <c r="G439" s="8" t="s">
        <v>140</v>
      </c>
      <c r="H439" s="15" t="n">
        <v>4075</v>
      </c>
      <c r="I439" s="15" t="n">
        <v>4075</v>
      </c>
      <c r="J439" s="16" t="n">
        <v>0.742</v>
      </c>
      <c r="K439" s="8" t="n">
        <v>7</v>
      </c>
      <c r="L439" s="8" t="n">
        <v>6</v>
      </c>
      <c r="M439" s="8" t="n">
        <v>4</v>
      </c>
      <c r="N439" s="8" t="s">
        <v>120</v>
      </c>
      <c r="O439" s="15" t="n">
        <f aca="false">H439*12</f>
        <v>48900</v>
      </c>
      <c r="P439" s="8" t="n">
        <f aca="false">MIN(100,ROUND(100*J439/Assumptions!$B$8,0))</f>
        <v>82</v>
      </c>
      <c r="Q439" s="8" t="n">
        <f aca="false">IF(L439="",Assumptions!$B$9,L439*10)</f>
        <v>60</v>
      </c>
      <c r="R439" s="8" t="n">
        <f aca="false">IF(M439&lt;=1,Assumptions!$B$12,IF(M439&lt;=3,Assumptions!$B$13,IF(M439&lt;=6,Assumptions!$B$14,Assumptions!$B$15)))</f>
        <v>50</v>
      </c>
      <c r="S439" s="8" t="n">
        <f aca="false">IF(N439="Completed On Time",Assumptions!$B$16,IF(N439="Completed Late",Assumptions!$B$17,Assumptions!$B$18))</f>
        <v>100</v>
      </c>
      <c r="T439" s="8" t="n">
        <f aca="false">IF(I439=0,Assumptions!$B$20,IF(H439&gt;I439,Assumptions!$B$19,IF(H439=I439,Assumptions!$B$20,Assumptions!$B$21)))</f>
        <v>70</v>
      </c>
      <c r="U439" s="8" t="n">
        <f aca="false">ROUND(P439*Assumptions!$B$2+Q439*Assumptions!$B$3+R439*Assumptions!$B$4+S439*Assumptions!$B$5+T439*Assumptions!$B$6,0)</f>
        <v>72</v>
      </c>
      <c r="V439" s="8" t="str">
        <f aca="false">IF(U439&gt;=Assumptions!$B$10,"Healthy",IF(U439&gt;=Assumptions!$B$11,"Needs Attention","High Risk"))</f>
        <v>Needs Attention</v>
      </c>
    </row>
    <row r="440" customFormat="false" ht="15" hidden="false" customHeight="false" outlineLevel="0" collapsed="false">
      <c r="A440" s="8" t="s">
        <v>1021</v>
      </c>
      <c r="B440" s="8" t="s">
        <v>1022</v>
      </c>
      <c r="C440" s="8" t="s">
        <v>53</v>
      </c>
      <c r="D440" s="8" t="s">
        <v>326</v>
      </c>
      <c r="E440" s="8" t="s">
        <v>123</v>
      </c>
      <c r="F440" s="8" t="s">
        <v>118</v>
      </c>
      <c r="G440" s="8" t="s">
        <v>204</v>
      </c>
      <c r="H440" s="15" t="n">
        <v>4050</v>
      </c>
      <c r="I440" s="15" t="n">
        <v>4050</v>
      </c>
      <c r="J440" s="16" t="n">
        <v>0.619</v>
      </c>
      <c r="K440" s="8" t="n">
        <v>8.3</v>
      </c>
      <c r="L440" s="8" t="n">
        <v>8</v>
      </c>
      <c r="M440" s="8" t="n">
        <v>7</v>
      </c>
      <c r="N440" s="8" t="s">
        <v>148</v>
      </c>
      <c r="O440" s="15" t="n">
        <f aca="false">H440*12</f>
        <v>48600</v>
      </c>
      <c r="P440" s="8" t="n">
        <f aca="false">MIN(100,ROUND(100*J440/Assumptions!$B$8,0))</f>
        <v>69</v>
      </c>
      <c r="Q440" s="8" t="n">
        <f aca="false">IF(L440="",Assumptions!$B$9,L440*10)</f>
        <v>80</v>
      </c>
      <c r="R440" s="8" t="n">
        <f aca="false">IF(M440&lt;=1,Assumptions!$B$12,IF(M440&lt;=3,Assumptions!$B$13,IF(M440&lt;=6,Assumptions!$B$14,Assumptions!$B$15)))</f>
        <v>20</v>
      </c>
      <c r="S440" s="8" t="n">
        <f aca="false">IF(N440="Completed On Time",Assumptions!$B$16,IF(N440="Completed Late",Assumptions!$B$17,Assumptions!$B$18))</f>
        <v>60</v>
      </c>
      <c r="T440" s="8" t="n">
        <f aca="false">IF(I440=0,Assumptions!$B$20,IF(H440&gt;I440,Assumptions!$B$19,IF(H440=I440,Assumptions!$B$20,Assumptions!$B$21)))</f>
        <v>70</v>
      </c>
      <c r="U440" s="8" t="n">
        <f aca="false">ROUND(P440*Assumptions!$B$2+Q440*Assumptions!$B$3+R440*Assumptions!$B$4+S440*Assumptions!$B$5+T440*Assumptions!$B$6,0)</f>
        <v>63</v>
      </c>
      <c r="V440" s="8" t="str">
        <f aca="false">IF(U440&gt;=Assumptions!$B$10,"Healthy",IF(U440&gt;=Assumptions!$B$11,"Needs Attention","High Risk"))</f>
        <v>High Risk</v>
      </c>
    </row>
    <row r="441" customFormat="false" ht="15" hidden="false" customHeight="false" outlineLevel="0" collapsed="false">
      <c r="A441" s="8" t="s">
        <v>1023</v>
      </c>
      <c r="B441" s="8" t="s">
        <v>1024</v>
      </c>
      <c r="C441" s="8" t="s">
        <v>53</v>
      </c>
      <c r="D441" s="8" t="s">
        <v>326</v>
      </c>
      <c r="E441" s="8" t="s">
        <v>123</v>
      </c>
      <c r="F441" s="8" t="s">
        <v>124</v>
      </c>
      <c r="G441" s="8" t="s">
        <v>159</v>
      </c>
      <c r="H441" s="15" t="n">
        <v>4000</v>
      </c>
      <c r="I441" s="15" t="n">
        <v>4000</v>
      </c>
      <c r="J441" s="16" t="n">
        <v>0.744</v>
      </c>
      <c r="K441" s="8" t="n">
        <v>9.7</v>
      </c>
      <c r="L441" s="8" t="n">
        <v>6</v>
      </c>
      <c r="M441" s="8" t="n">
        <v>3</v>
      </c>
      <c r="N441" s="8" t="s">
        <v>120</v>
      </c>
      <c r="O441" s="15" t="n">
        <f aca="false">H441*12</f>
        <v>48000</v>
      </c>
      <c r="P441" s="8" t="n">
        <f aca="false">MIN(100,ROUND(100*J441/Assumptions!$B$8,0))</f>
        <v>83</v>
      </c>
      <c r="Q441" s="8" t="n">
        <f aca="false">IF(L441="",Assumptions!$B$9,L441*10)</f>
        <v>60</v>
      </c>
      <c r="R441" s="8" t="n">
        <f aca="false">IF(M441&lt;=1,Assumptions!$B$12,IF(M441&lt;=3,Assumptions!$B$13,IF(M441&lt;=6,Assumptions!$B$14,Assumptions!$B$15)))</f>
        <v>75</v>
      </c>
      <c r="S441" s="8" t="n">
        <f aca="false">IF(N441="Completed On Time",Assumptions!$B$16,IF(N441="Completed Late",Assumptions!$B$17,Assumptions!$B$18))</f>
        <v>100</v>
      </c>
      <c r="T441" s="8" t="n">
        <f aca="false">IF(I441=0,Assumptions!$B$20,IF(H441&gt;I441,Assumptions!$B$19,IF(H441=I441,Assumptions!$B$20,Assumptions!$B$21)))</f>
        <v>70</v>
      </c>
      <c r="U441" s="8" t="n">
        <f aca="false">ROUND(P441*Assumptions!$B$2+Q441*Assumptions!$B$3+R441*Assumptions!$B$4+S441*Assumptions!$B$5+T441*Assumptions!$B$6,0)</f>
        <v>76</v>
      </c>
      <c r="V441" s="8" t="str">
        <f aca="false">IF(U441&gt;=Assumptions!$B$10,"Healthy",IF(U441&gt;=Assumptions!$B$11,"Needs Attention","High Risk"))</f>
        <v>Needs Attention</v>
      </c>
    </row>
    <row r="442" customFormat="false" ht="15" hidden="false" customHeight="false" outlineLevel="0" collapsed="false">
      <c r="A442" s="8" t="s">
        <v>1025</v>
      </c>
      <c r="B442" s="8" t="s">
        <v>1026</v>
      </c>
      <c r="C442" s="8" t="s">
        <v>53</v>
      </c>
      <c r="D442" s="8" t="s">
        <v>326</v>
      </c>
      <c r="E442" s="8" t="s">
        <v>123</v>
      </c>
      <c r="F442" s="8" t="s">
        <v>136</v>
      </c>
      <c r="G442" s="8" t="s">
        <v>147</v>
      </c>
      <c r="H442" s="15" t="n">
        <v>4000</v>
      </c>
      <c r="I442" s="15" t="n">
        <v>4000</v>
      </c>
      <c r="J442" s="16" t="n">
        <v>0.683</v>
      </c>
      <c r="K442" s="8" t="n">
        <v>8.3</v>
      </c>
      <c r="L442" s="8" t="n">
        <v>7</v>
      </c>
      <c r="M442" s="8" t="n">
        <v>1</v>
      </c>
      <c r="N442" s="8" t="s">
        <v>148</v>
      </c>
      <c r="O442" s="15" t="n">
        <f aca="false">H442*12</f>
        <v>48000</v>
      </c>
      <c r="P442" s="8" t="n">
        <f aca="false">MIN(100,ROUND(100*J442/Assumptions!$B$8,0))</f>
        <v>76</v>
      </c>
      <c r="Q442" s="8" t="n">
        <f aca="false">IF(L442="",Assumptions!$B$9,L442*10)</f>
        <v>70</v>
      </c>
      <c r="R442" s="8" t="n">
        <f aca="false">IF(M442&lt;=1,Assumptions!$B$12,IF(M442&lt;=3,Assumptions!$B$13,IF(M442&lt;=6,Assumptions!$B$14,Assumptions!$B$15)))</f>
        <v>100</v>
      </c>
      <c r="S442" s="8" t="n">
        <f aca="false">IF(N442="Completed On Time",Assumptions!$B$16,IF(N442="Completed Late",Assumptions!$B$17,Assumptions!$B$18))</f>
        <v>60</v>
      </c>
      <c r="T442" s="8" t="n">
        <f aca="false">IF(I442=0,Assumptions!$B$20,IF(H442&gt;I442,Assumptions!$B$19,IF(H442=I442,Assumptions!$B$20,Assumptions!$B$21)))</f>
        <v>70</v>
      </c>
      <c r="U442" s="8" t="n">
        <f aca="false">ROUND(P442*Assumptions!$B$2+Q442*Assumptions!$B$3+R442*Assumptions!$B$4+S442*Assumptions!$B$5+T442*Assumptions!$B$6,0)</f>
        <v>76</v>
      </c>
      <c r="V442" s="8" t="str">
        <f aca="false">IF(U442&gt;=Assumptions!$B$10,"Healthy",IF(U442&gt;=Assumptions!$B$11,"Needs Attention","High Risk"))</f>
        <v>Needs Attention</v>
      </c>
    </row>
    <row r="443" customFormat="false" ht="15" hidden="false" customHeight="false" outlineLevel="0" collapsed="false">
      <c r="A443" s="8" t="s">
        <v>1027</v>
      </c>
      <c r="B443" s="8" t="s">
        <v>1028</v>
      </c>
      <c r="C443" s="8" t="s">
        <v>53</v>
      </c>
      <c r="D443" s="8" t="s">
        <v>326</v>
      </c>
      <c r="E443" s="8" t="s">
        <v>123</v>
      </c>
      <c r="F443" s="8" t="s">
        <v>154</v>
      </c>
      <c r="G443" s="8" t="s">
        <v>159</v>
      </c>
      <c r="H443" s="15" t="n">
        <v>4000</v>
      </c>
      <c r="I443" s="15" t="n">
        <v>4000</v>
      </c>
      <c r="J443" s="16" t="n">
        <v>0.667</v>
      </c>
      <c r="K443" s="8" t="n">
        <v>8.3</v>
      </c>
      <c r="L443" s="8" t="n">
        <v>8</v>
      </c>
      <c r="M443" s="8" t="n">
        <v>0</v>
      </c>
      <c r="N443" s="8" t="s">
        <v>120</v>
      </c>
      <c r="O443" s="15" t="n">
        <f aca="false">H443*12</f>
        <v>48000</v>
      </c>
      <c r="P443" s="8" t="n">
        <f aca="false">MIN(100,ROUND(100*J443/Assumptions!$B$8,0))</f>
        <v>74</v>
      </c>
      <c r="Q443" s="8" t="n">
        <f aca="false">IF(L443="",Assumptions!$B$9,L443*10)</f>
        <v>80</v>
      </c>
      <c r="R443" s="8" t="n">
        <f aca="false">IF(M443&lt;=1,Assumptions!$B$12,IF(M443&lt;=3,Assumptions!$B$13,IF(M443&lt;=6,Assumptions!$B$14,Assumptions!$B$15)))</f>
        <v>100</v>
      </c>
      <c r="S443" s="8" t="n">
        <f aca="false">IF(N443="Completed On Time",Assumptions!$B$16,IF(N443="Completed Late",Assumptions!$B$17,Assumptions!$B$18))</f>
        <v>100</v>
      </c>
      <c r="T443" s="8" t="n">
        <f aca="false">IF(I443=0,Assumptions!$B$20,IF(H443&gt;I443,Assumptions!$B$19,IF(H443=I443,Assumptions!$B$20,Assumptions!$B$21)))</f>
        <v>70</v>
      </c>
      <c r="U443" s="8" t="n">
        <f aca="false">ROUND(P443*Assumptions!$B$2+Q443*Assumptions!$B$3+R443*Assumptions!$B$4+S443*Assumptions!$B$5+T443*Assumptions!$B$6,0)</f>
        <v>81</v>
      </c>
      <c r="V443" s="8" t="str">
        <f aca="false">IF(U443&gt;=Assumptions!$B$10,"Healthy",IF(U443&gt;=Assumptions!$B$11,"Needs Attention","High Risk"))</f>
        <v>Healthy</v>
      </c>
    </row>
    <row r="444" customFormat="false" ht="15" hidden="false" customHeight="false" outlineLevel="0" collapsed="false">
      <c r="A444" s="8" t="s">
        <v>1029</v>
      </c>
      <c r="B444" s="8" t="s">
        <v>1030</v>
      </c>
      <c r="C444" s="8" t="s">
        <v>53</v>
      </c>
      <c r="D444" s="8" t="s">
        <v>326</v>
      </c>
      <c r="E444" s="8" t="s">
        <v>123</v>
      </c>
      <c r="F444" s="8" t="s">
        <v>190</v>
      </c>
      <c r="G444" s="8" t="s">
        <v>137</v>
      </c>
      <c r="H444" s="15" t="n">
        <v>4000</v>
      </c>
      <c r="I444" s="15" t="n">
        <v>4000</v>
      </c>
      <c r="J444" s="16" t="n">
        <v>0.819</v>
      </c>
      <c r="K444" s="8" t="n">
        <v>10.3</v>
      </c>
      <c r="L444" s="8" t="n">
        <v>9</v>
      </c>
      <c r="M444" s="8" t="n">
        <v>1</v>
      </c>
      <c r="N444" s="8" t="s">
        <v>120</v>
      </c>
      <c r="O444" s="15" t="n">
        <f aca="false">H444*12</f>
        <v>48000</v>
      </c>
      <c r="P444" s="8" t="n">
        <f aca="false">MIN(100,ROUND(100*J444/Assumptions!$B$8,0))</f>
        <v>91</v>
      </c>
      <c r="Q444" s="8" t="n">
        <f aca="false">IF(L444="",Assumptions!$B$9,L444*10)</f>
        <v>90</v>
      </c>
      <c r="R444" s="8" t="n">
        <f aca="false">IF(M444&lt;=1,Assumptions!$B$12,IF(M444&lt;=3,Assumptions!$B$13,IF(M444&lt;=6,Assumptions!$B$14,Assumptions!$B$15)))</f>
        <v>100</v>
      </c>
      <c r="S444" s="8" t="n">
        <f aca="false">IF(N444="Completed On Time",Assumptions!$B$16,IF(N444="Completed Late",Assumptions!$B$17,Assumptions!$B$18))</f>
        <v>100</v>
      </c>
      <c r="T444" s="8" t="n">
        <f aca="false">IF(I444=0,Assumptions!$B$20,IF(H444&gt;I444,Assumptions!$B$19,IF(H444=I444,Assumptions!$B$20,Assumptions!$B$21)))</f>
        <v>70</v>
      </c>
      <c r="U444" s="8" t="n">
        <f aca="false">ROUND(P444*Assumptions!$B$2+Q444*Assumptions!$B$3+R444*Assumptions!$B$4+S444*Assumptions!$B$5+T444*Assumptions!$B$6,0)</f>
        <v>89</v>
      </c>
      <c r="V444" s="8" t="str">
        <f aca="false">IF(U444&gt;=Assumptions!$B$10,"Healthy",IF(U444&gt;=Assumptions!$B$11,"Needs Attention","High Risk"))</f>
        <v>Healthy</v>
      </c>
    </row>
    <row r="445" customFormat="false" ht="15" hidden="false" customHeight="false" outlineLevel="0" collapsed="false">
      <c r="A445" s="8" t="s">
        <v>1031</v>
      </c>
      <c r="B445" s="8" t="s">
        <v>1032</v>
      </c>
      <c r="C445" s="8" t="s">
        <v>53</v>
      </c>
      <c r="D445" s="8" t="s">
        <v>326</v>
      </c>
      <c r="E445" s="8" t="s">
        <v>117</v>
      </c>
      <c r="F445" s="8" t="s">
        <v>223</v>
      </c>
      <c r="G445" s="8" t="s">
        <v>185</v>
      </c>
      <c r="H445" s="15" t="n">
        <v>4000</v>
      </c>
      <c r="I445" s="15" t="n">
        <v>4000</v>
      </c>
      <c r="J445" s="16" t="n">
        <v>0.746</v>
      </c>
      <c r="K445" s="8" t="n">
        <v>10.3</v>
      </c>
      <c r="L445" s="8" t="n">
        <v>9</v>
      </c>
      <c r="M445" s="8" t="n">
        <v>5</v>
      </c>
      <c r="N445" s="8" t="s">
        <v>120</v>
      </c>
      <c r="O445" s="15" t="n">
        <f aca="false">H445*12</f>
        <v>48000</v>
      </c>
      <c r="P445" s="8" t="n">
        <f aca="false">MIN(100,ROUND(100*J445/Assumptions!$B$8,0))</f>
        <v>83</v>
      </c>
      <c r="Q445" s="8" t="n">
        <f aca="false">IF(L445="",Assumptions!$B$9,L445*10)</f>
        <v>90</v>
      </c>
      <c r="R445" s="8" t="n">
        <f aca="false">IF(M445&lt;=1,Assumptions!$B$12,IF(M445&lt;=3,Assumptions!$B$13,IF(M445&lt;=6,Assumptions!$B$14,Assumptions!$B$15)))</f>
        <v>50</v>
      </c>
      <c r="S445" s="8" t="n">
        <f aca="false">IF(N445="Completed On Time",Assumptions!$B$16,IF(N445="Completed Late",Assumptions!$B$17,Assumptions!$B$18))</f>
        <v>100</v>
      </c>
      <c r="T445" s="8" t="n">
        <f aca="false">IF(I445=0,Assumptions!$B$20,IF(H445&gt;I445,Assumptions!$B$19,IF(H445=I445,Assumptions!$B$20,Assumptions!$B$21)))</f>
        <v>70</v>
      </c>
      <c r="U445" s="8" t="n">
        <f aca="false">ROUND(P445*Assumptions!$B$2+Q445*Assumptions!$B$3+R445*Assumptions!$B$4+S445*Assumptions!$B$5+T445*Assumptions!$B$6,0)</f>
        <v>79</v>
      </c>
      <c r="V445" s="8" t="str">
        <f aca="false">IF(U445&gt;=Assumptions!$B$10,"Healthy",IF(U445&gt;=Assumptions!$B$11,"Needs Attention","High Risk"))</f>
        <v>Needs Attention</v>
      </c>
    </row>
    <row r="446" customFormat="false" ht="15" hidden="false" customHeight="false" outlineLevel="0" collapsed="false">
      <c r="A446" s="8" t="s">
        <v>1033</v>
      </c>
      <c r="B446" s="8" t="s">
        <v>1034</v>
      </c>
      <c r="C446" s="8" t="s">
        <v>53</v>
      </c>
      <c r="D446" s="8" t="s">
        <v>326</v>
      </c>
      <c r="E446" s="8" t="s">
        <v>123</v>
      </c>
      <c r="F446" s="8" t="s">
        <v>124</v>
      </c>
      <c r="G446" s="8" t="s">
        <v>204</v>
      </c>
      <c r="H446" s="15" t="n">
        <v>3975</v>
      </c>
      <c r="I446" s="15" t="n">
        <v>3975</v>
      </c>
      <c r="J446" s="16" t="n">
        <v>0.683</v>
      </c>
      <c r="K446" s="8" t="n">
        <v>6</v>
      </c>
      <c r="L446" s="8" t="n">
        <v>6</v>
      </c>
      <c r="M446" s="8" t="n">
        <v>3</v>
      </c>
      <c r="N446" s="8" t="s">
        <v>148</v>
      </c>
      <c r="O446" s="15" t="n">
        <f aca="false">H446*12</f>
        <v>47700</v>
      </c>
      <c r="P446" s="8" t="n">
        <f aca="false">MIN(100,ROUND(100*J446/Assumptions!$B$8,0))</f>
        <v>76</v>
      </c>
      <c r="Q446" s="8" t="n">
        <f aca="false">IF(L446="",Assumptions!$B$9,L446*10)</f>
        <v>60</v>
      </c>
      <c r="R446" s="8" t="n">
        <f aca="false">IF(M446&lt;=1,Assumptions!$B$12,IF(M446&lt;=3,Assumptions!$B$13,IF(M446&lt;=6,Assumptions!$B$14,Assumptions!$B$15)))</f>
        <v>75</v>
      </c>
      <c r="S446" s="8" t="n">
        <f aca="false">IF(N446="Completed On Time",Assumptions!$B$16,IF(N446="Completed Late",Assumptions!$B$17,Assumptions!$B$18))</f>
        <v>60</v>
      </c>
      <c r="T446" s="8" t="n">
        <f aca="false">IF(I446=0,Assumptions!$B$20,IF(H446&gt;I446,Assumptions!$B$19,IF(H446=I446,Assumptions!$B$20,Assumptions!$B$21)))</f>
        <v>70</v>
      </c>
      <c r="U446" s="8" t="n">
        <f aca="false">ROUND(P446*Assumptions!$B$2+Q446*Assumptions!$B$3+R446*Assumptions!$B$4+S446*Assumptions!$B$5+T446*Assumptions!$B$6,0)</f>
        <v>70</v>
      </c>
      <c r="V446" s="8" t="str">
        <f aca="false">IF(U446&gt;=Assumptions!$B$10,"Healthy",IF(U446&gt;=Assumptions!$B$11,"Needs Attention","High Risk"))</f>
        <v>Needs Attention</v>
      </c>
    </row>
    <row r="447" customFormat="false" ht="15" hidden="false" customHeight="false" outlineLevel="0" collapsed="false">
      <c r="A447" s="8" t="s">
        <v>1035</v>
      </c>
      <c r="B447" s="8" t="s">
        <v>1036</v>
      </c>
      <c r="C447" s="8" t="s">
        <v>53</v>
      </c>
      <c r="D447" s="8" t="s">
        <v>326</v>
      </c>
      <c r="E447" s="8" t="s">
        <v>123</v>
      </c>
      <c r="F447" s="8" t="s">
        <v>190</v>
      </c>
      <c r="G447" s="8" t="s">
        <v>119</v>
      </c>
      <c r="H447" s="15" t="n">
        <v>3975</v>
      </c>
      <c r="I447" s="15" t="n">
        <v>3975</v>
      </c>
      <c r="J447" s="16" t="n">
        <v>0.771</v>
      </c>
      <c r="K447" s="8" t="n">
        <v>8.7</v>
      </c>
      <c r="L447" s="8" t="n">
        <v>8</v>
      </c>
      <c r="M447" s="8" t="n">
        <v>2</v>
      </c>
      <c r="N447" s="8" t="s">
        <v>120</v>
      </c>
      <c r="O447" s="15" t="n">
        <f aca="false">H447*12</f>
        <v>47700</v>
      </c>
      <c r="P447" s="8" t="n">
        <f aca="false">MIN(100,ROUND(100*J447/Assumptions!$B$8,0))</f>
        <v>86</v>
      </c>
      <c r="Q447" s="8" t="n">
        <f aca="false">IF(L447="",Assumptions!$B$9,L447*10)</f>
        <v>80</v>
      </c>
      <c r="R447" s="8" t="n">
        <f aca="false">IF(M447&lt;=1,Assumptions!$B$12,IF(M447&lt;=3,Assumptions!$B$13,IF(M447&lt;=6,Assumptions!$B$14,Assumptions!$B$15)))</f>
        <v>75</v>
      </c>
      <c r="S447" s="8" t="n">
        <f aca="false">IF(N447="Completed On Time",Assumptions!$B$16,IF(N447="Completed Late",Assumptions!$B$17,Assumptions!$B$18))</f>
        <v>100</v>
      </c>
      <c r="T447" s="8" t="n">
        <f aca="false">IF(I447=0,Assumptions!$B$20,IF(H447&gt;I447,Assumptions!$B$19,IF(H447=I447,Assumptions!$B$20,Assumptions!$B$21)))</f>
        <v>70</v>
      </c>
      <c r="U447" s="8" t="n">
        <f aca="false">ROUND(P447*Assumptions!$B$2+Q447*Assumptions!$B$3+R447*Assumptions!$B$4+S447*Assumptions!$B$5+T447*Assumptions!$B$6,0)</f>
        <v>81</v>
      </c>
      <c r="V447" s="8" t="str">
        <f aca="false">IF(U447&gt;=Assumptions!$B$10,"Healthy",IF(U447&gt;=Assumptions!$B$11,"Needs Attention","High Risk"))</f>
        <v>Healthy</v>
      </c>
    </row>
    <row r="448" customFormat="false" ht="15" hidden="false" customHeight="false" outlineLevel="0" collapsed="false">
      <c r="A448" s="8" t="s">
        <v>1037</v>
      </c>
      <c r="B448" s="8" t="s">
        <v>1038</v>
      </c>
      <c r="C448" s="8" t="s">
        <v>53</v>
      </c>
      <c r="D448" s="8" t="s">
        <v>326</v>
      </c>
      <c r="E448" s="8" t="s">
        <v>132</v>
      </c>
      <c r="F448" s="8" t="s">
        <v>124</v>
      </c>
      <c r="G448" s="8" t="s">
        <v>129</v>
      </c>
      <c r="H448" s="15" t="n">
        <v>3975</v>
      </c>
      <c r="I448" s="15" t="n">
        <v>3975</v>
      </c>
      <c r="J448" s="16" t="n">
        <v>0.736</v>
      </c>
      <c r="K448" s="8" t="n">
        <v>11</v>
      </c>
      <c r="L448" s="8" t="n">
        <v>7</v>
      </c>
      <c r="M448" s="8" t="n">
        <v>3</v>
      </c>
      <c r="N448" s="8" t="s">
        <v>120</v>
      </c>
      <c r="O448" s="15" t="n">
        <f aca="false">H448*12</f>
        <v>47700</v>
      </c>
      <c r="P448" s="8" t="n">
        <f aca="false">MIN(100,ROUND(100*J448/Assumptions!$B$8,0))</f>
        <v>82</v>
      </c>
      <c r="Q448" s="8" t="n">
        <f aca="false">IF(L448="",Assumptions!$B$9,L448*10)</f>
        <v>70</v>
      </c>
      <c r="R448" s="8" t="n">
        <f aca="false">IF(M448&lt;=1,Assumptions!$B$12,IF(M448&lt;=3,Assumptions!$B$13,IF(M448&lt;=6,Assumptions!$B$14,Assumptions!$B$15)))</f>
        <v>75</v>
      </c>
      <c r="S448" s="8" t="n">
        <f aca="false">IF(N448="Completed On Time",Assumptions!$B$16,IF(N448="Completed Late",Assumptions!$B$17,Assumptions!$B$18))</f>
        <v>100</v>
      </c>
      <c r="T448" s="8" t="n">
        <f aca="false">IF(I448=0,Assumptions!$B$20,IF(H448&gt;I448,Assumptions!$B$19,IF(H448=I448,Assumptions!$B$20,Assumptions!$B$21)))</f>
        <v>70</v>
      </c>
      <c r="U448" s="8" t="n">
        <f aca="false">ROUND(P448*Assumptions!$B$2+Q448*Assumptions!$B$3+R448*Assumptions!$B$4+S448*Assumptions!$B$5+T448*Assumptions!$B$6,0)</f>
        <v>78</v>
      </c>
      <c r="V448" s="8" t="str">
        <f aca="false">IF(U448&gt;=Assumptions!$B$10,"Healthy",IF(U448&gt;=Assumptions!$B$11,"Needs Attention","High Risk"))</f>
        <v>Needs Attention</v>
      </c>
    </row>
    <row r="449" customFormat="false" ht="15" hidden="false" customHeight="false" outlineLevel="0" collapsed="false">
      <c r="A449" s="8" t="s">
        <v>1039</v>
      </c>
      <c r="B449" s="8" t="s">
        <v>1040</v>
      </c>
      <c r="C449" s="8" t="s">
        <v>53</v>
      </c>
      <c r="D449" s="8" t="s">
        <v>55</v>
      </c>
      <c r="E449" s="8" t="s">
        <v>123</v>
      </c>
      <c r="F449" s="8" t="s">
        <v>151</v>
      </c>
      <c r="G449" s="8" t="s">
        <v>129</v>
      </c>
      <c r="H449" s="15" t="n">
        <v>3960</v>
      </c>
      <c r="I449" s="15" t="n">
        <v>3960</v>
      </c>
      <c r="J449" s="16" t="n">
        <v>0.689</v>
      </c>
      <c r="K449" s="8" t="n">
        <v>9.3</v>
      </c>
      <c r="L449" s="8" t="n">
        <v>8</v>
      </c>
      <c r="M449" s="8" t="n">
        <v>2</v>
      </c>
      <c r="N449" s="8" t="s">
        <v>120</v>
      </c>
      <c r="O449" s="15" t="n">
        <f aca="false">H449*12</f>
        <v>47520</v>
      </c>
      <c r="P449" s="8" t="n">
        <f aca="false">MIN(100,ROUND(100*J449/Assumptions!$B$8,0))</f>
        <v>77</v>
      </c>
      <c r="Q449" s="8" t="n">
        <f aca="false">IF(L449="",Assumptions!$B$9,L449*10)</f>
        <v>80</v>
      </c>
      <c r="R449" s="8" t="n">
        <f aca="false">IF(M449&lt;=1,Assumptions!$B$12,IF(M449&lt;=3,Assumptions!$B$13,IF(M449&lt;=6,Assumptions!$B$14,Assumptions!$B$15)))</f>
        <v>75</v>
      </c>
      <c r="S449" s="8" t="n">
        <f aca="false">IF(N449="Completed On Time",Assumptions!$B$16,IF(N449="Completed Late",Assumptions!$B$17,Assumptions!$B$18))</f>
        <v>100</v>
      </c>
      <c r="T449" s="8" t="n">
        <f aca="false">IF(I449=0,Assumptions!$B$20,IF(H449&gt;I449,Assumptions!$B$19,IF(H449=I449,Assumptions!$B$20,Assumptions!$B$21)))</f>
        <v>70</v>
      </c>
      <c r="U449" s="8" t="n">
        <f aca="false">ROUND(P449*Assumptions!$B$2+Q449*Assumptions!$B$3+R449*Assumptions!$B$4+S449*Assumptions!$B$5+T449*Assumptions!$B$6,0)</f>
        <v>78</v>
      </c>
      <c r="V449" s="8" t="str">
        <f aca="false">IF(U449&gt;=Assumptions!$B$10,"Healthy",IF(U449&gt;=Assumptions!$B$11,"Needs Attention","High Risk"))</f>
        <v>Needs Attention</v>
      </c>
    </row>
    <row r="450" customFormat="false" ht="15" hidden="false" customHeight="false" outlineLevel="0" collapsed="false">
      <c r="A450" s="8" t="s">
        <v>1041</v>
      </c>
      <c r="B450" s="8" t="s">
        <v>1042</v>
      </c>
      <c r="C450" s="8" t="s">
        <v>53</v>
      </c>
      <c r="D450" s="8" t="s">
        <v>55</v>
      </c>
      <c r="E450" s="8" t="s">
        <v>123</v>
      </c>
      <c r="F450" s="8" t="s">
        <v>136</v>
      </c>
      <c r="G450" s="8" t="s">
        <v>147</v>
      </c>
      <c r="H450" s="15" t="n">
        <v>3960</v>
      </c>
      <c r="I450" s="15" t="n">
        <v>3960</v>
      </c>
      <c r="J450" s="16" t="n">
        <v>0.727</v>
      </c>
      <c r="K450" s="8" t="n">
        <v>10</v>
      </c>
      <c r="L450" s="8" t="n">
        <v>10</v>
      </c>
      <c r="M450" s="8" t="n">
        <v>2</v>
      </c>
      <c r="N450" s="8" t="s">
        <v>120</v>
      </c>
      <c r="O450" s="15" t="n">
        <f aca="false">H450*12</f>
        <v>47520</v>
      </c>
      <c r="P450" s="8" t="n">
        <f aca="false">MIN(100,ROUND(100*J450/Assumptions!$B$8,0))</f>
        <v>81</v>
      </c>
      <c r="Q450" s="8" t="n">
        <f aca="false">IF(L450="",Assumptions!$B$9,L450*10)</f>
        <v>100</v>
      </c>
      <c r="R450" s="8" t="n">
        <f aca="false">IF(M450&lt;=1,Assumptions!$B$12,IF(M450&lt;=3,Assumptions!$B$13,IF(M450&lt;=6,Assumptions!$B$14,Assumptions!$B$15)))</f>
        <v>75</v>
      </c>
      <c r="S450" s="8" t="n">
        <f aca="false">IF(N450="Completed On Time",Assumptions!$B$16,IF(N450="Completed Late",Assumptions!$B$17,Assumptions!$B$18))</f>
        <v>100</v>
      </c>
      <c r="T450" s="8" t="n">
        <f aca="false">IF(I450=0,Assumptions!$B$20,IF(H450&gt;I450,Assumptions!$B$19,IF(H450=I450,Assumptions!$B$20,Assumptions!$B$21)))</f>
        <v>70</v>
      </c>
      <c r="U450" s="8" t="n">
        <f aca="false">ROUND(P450*Assumptions!$B$2+Q450*Assumptions!$B$3+R450*Assumptions!$B$4+S450*Assumptions!$B$5+T450*Assumptions!$B$6,0)</f>
        <v>84</v>
      </c>
      <c r="V450" s="8" t="str">
        <f aca="false">IF(U450&gt;=Assumptions!$B$10,"Healthy",IF(U450&gt;=Assumptions!$B$11,"Needs Attention","High Risk"))</f>
        <v>Healthy</v>
      </c>
    </row>
    <row r="451" customFormat="false" ht="15" hidden="false" customHeight="false" outlineLevel="0" collapsed="false">
      <c r="A451" s="8" t="s">
        <v>1043</v>
      </c>
      <c r="B451" s="8" t="s">
        <v>1044</v>
      </c>
      <c r="C451" s="8" t="s">
        <v>53</v>
      </c>
      <c r="D451" s="8" t="s">
        <v>326</v>
      </c>
      <c r="E451" s="8" t="s">
        <v>117</v>
      </c>
      <c r="F451" s="8" t="s">
        <v>136</v>
      </c>
      <c r="G451" s="8" t="s">
        <v>204</v>
      </c>
      <c r="H451" s="15" t="n">
        <v>3950</v>
      </c>
      <c r="I451" s="15" t="n">
        <v>3950</v>
      </c>
      <c r="J451" s="16" t="n">
        <v>0.808</v>
      </c>
      <c r="K451" s="8" t="n">
        <v>11.3</v>
      </c>
      <c r="L451" s="8" t="n">
        <v>10</v>
      </c>
      <c r="M451" s="8" t="n">
        <v>4</v>
      </c>
      <c r="N451" s="8" t="s">
        <v>120</v>
      </c>
      <c r="O451" s="15" t="n">
        <f aca="false">H451*12</f>
        <v>47400</v>
      </c>
      <c r="P451" s="8" t="n">
        <f aca="false">MIN(100,ROUND(100*J451/Assumptions!$B$8,0))</f>
        <v>90</v>
      </c>
      <c r="Q451" s="8" t="n">
        <f aca="false">IF(L451="",Assumptions!$B$9,L451*10)</f>
        <v>100</v>
      </c>
      <c r="R451" s="8" t="n">
        <f aca="false">IF(M451&lt;=1,Assumptions!$B$12,IF(M451&lt;=3,Assumptions!$B$13,IF(M451&lt;=6,Assumptions!$B$14,Assumptions!$B$15)))</f>
        <v>50</v>
      </c>
      <c r="S451" s="8" t="n">
        <f aca="false">IF(N451="Completed On Time",Assumptions!$B$16,IF(N451="Completed Late",Assumptions!$B$17,Assumptions!$B$18))</f>
        <v>100</v>
      </c>
      <c r="T451" s="8" t="n">
        <f aca="false">IF(I451=0,Assumptions!$B$20,IF(H451&gt;I451,Assumptions!$B$19,IF(H451=I451,Assumptions!$B$20,Assumptions!$B$21)))</f>
        <v>70</v>
      </c>
      <c r="U451" s="8" t="n">
        <f aca="false">ROUND(P451*Assumptions!$B$2+Q451*Assumptions!$B$3+R451*Assumptions!$B$4+S451*Assumptions!$B$5+T451*Assumptions!$B$6,0)</f>
        <v>83</v>
      </c>
      <c r="V451" s="8" t="str">
        <f aca="false">IF(U451&gt;=Assumptions!$B$10,"Healthy",IF(U451&gt;=Assumptions!$B$11,"Needs Attention","High Risk"))</f>
        <v>Healthy</v>
      </c>
    </row>
    <row r="452" customFormat="false" ht="15" hidden="false" customHeight="false" outlineLevel="0" collapsed="false">
      <c r="A452" s="8" t="s">
        <v>1045</v>
      </c>
      <c r="B452" s="8" t="s">
        <v>1046</v>
      </c>
      <c r="C452" s="8" t="s">
        <v>53</v>
      </c>
      <c r="D452" s="8" t="s">
        <v>326</v>
      </c>
      <c r="E452" s="8" t="s">
        <v>123</v>
      </c>
      <c r="F452" s="8" t="s">
        <v>151</v>
      </c>
      <c r="G452" s="8" t="s">
        <v>144</v>
      </c>
      <c r="H452" s="15" t="n">
        <v>3950</v>
      </c>
      <c r="I452" s="15" t="n">
        <v>3950</v>
      </c>
      <c r="J452" s="16" t="n">
        <v>0.684</v>
      </c>
      <c r="K452" s="8" t="n">
        <v>9</v>
      </c>
      <c r="L452" s="8" t="n">
        <v>8</v>
      </c>
      <c r="M452" s="8" t="n">
        <v>1</v>
      </c>
      <c r="N452" s="8" t="s">
        <v>120</v>
      </c>
      <c r="O452" s="15" t="n">
        <f aca="false">H452*12</f>
        <v>47400</v>
      </c>
      <c r="P452" s="8" t="n">
        <f aca="false">MIN(100,ROUND(100*J452/Assumptions!$B$8,0))</f>
        <v>76</v>
      </c>
      <c r="Q452" s="8" t="n">
        <f aca="false">IF(L452="",Assumptions!$B$9,L452*10)</f>
        <v>80</v>
      </c>
      <c r="R452" s="8" t="n">
        <f aca="false">IF(M452&lt;=1,Assumptions!$B$12,IF(M452&lt;=3,Assumptions!$B$13,IF(M452&lt;=6,Assumptions!$B$14,Assumptions!$B$15)))</f>
        <v>100</v>
      </c>
      <c r="S452" s="8" t="n">
        <f aca="false">IF(N452="Completed On Time",Assumptions!$B$16,IF(N452="Completed Late",Assumptions!$B$17,Assumptions!$B$18))</f>
        <v>100</v>
      </c>
      <c r="T452" s="8" t="n">
        <f aca="false">IF(I452=0,Assumptions!$B$20,IF(H452&gt;I452,Assumptions!$B$19,IF(H452=I452,Assumptions!$B$20,Assumptions!$B$21)))</f>
        <v>70</v>
      </c>
      <c r="U452" s="8" t="n">
        <f aca="false">ROUND(P452*Assumptions!$B$2+Q452*Assumptions!$B$3+R452*Assumptions!$B$4+S452*Assumptions!$B$5+T452*Assumptions!$B$6,0)</f>
        <v>82</v>
      </c>
      <c r="V452" s="8" t="str">
        <f aca="false">IF(U452&gt;=Assumptions!$B$10,"Healthy",IF(U452&gt;=Assumptions!$B$11,"Needs Attention","High Risk"))</f>
        <v>Healthy</v>
      </c>
    </row>
    <row r="453" customFormat="false" ht="15" hidden="false" customHeight="false" outlineLevel="0" collapsed="false">
      <c r="A453" s="8" t="s">
        <v>1047</v>
      </c>
      <c r="B453" s="8" t="s">
        <v>1048</v>
      </c>
      <c r="C453" s="8" t="s">
        <v>53</v>
      </c>
      <c r="D453" s="8" t="s">
        <v>326</v>
      </c>
      <c r="E453" s="8" t="s">
        <v>117</v>
      </c>
      <c r="F453" s="8" t="s">
        <v>154</v>
      </c>
      <c r="G453" s="8" t="s">
        <v>144</v>
      </c>
      <c r="H453" s="15" t="n">
        <v>3925</v>
      </c>
      <c r="I453" s="15" t="n">
        <v>3925</v>
      </c>
      <c r="J453" s="16" t="n">
        <v>0.752</v>
      </c>
      <c r="K453" s="8" t="n">
        <v>9</v>
      </c>
      <c r="L453" s="8" t="n">
        <v>9</v>
      </c>
      <c r="M453" s="8" t="n">
        <v>2</v>
      </c>
      <c r="N453" s="8" t="s">
        <v>120</v>
      </c>
      <c r="O453" s="15" t="n">
        <f aca="false">H453*12</f>
        <v>47100</v>
      </c>
      <c r="P453" s="8" t="n">
        <f aca="false">MIN(100,ROUND(100*J453/Assumptions!$B$8,0))</f>
        <v>84</v>
      </c>
      <c r="Q453" s="8" t="n">
        <f aca="false">IF(L453="",Assumptions!$B$9,L453*10)</f>
        <v>90</v>
      </c>
      <c r="R453" s="8" t="n">
        <f aca="false">IF(M453&lt;=1,Assumptions!$B$12,IF(M453&lt;=3,Assumptions!$B$13,IF(M453&lt;=6,Assumptions!$B$14,Assumptions!$B$15)))</f>
        <v>75</v>
      </c>
      <c r="S453" s="8" t="n">
        <f aca="false">IF(N453="Completed On Time",Assumptions!$B$16,IF(N453="Completed Late",Assumptions!$B$17,Assumptions!$B$18))</f>
        <v>100</v>
      </c>
      <c r="T453" s="8" t="n">
        <f aca="false">IF(I453=0,Assumptions!$B$20,IF(H453&gt;I453,Assumptions!$B$19,IF(H453=I453,Assumptions!$B$20,Assumptions!$B$21)))</f>
        <v>70</v>
      </c>
      <c r="U453" s="8" t="n">
        <f aca="false">ROUND(P453*Assumptions!$B$2+Q453*Assumptions!$B$3+R453*Assumptions!$B$4+S453*Assumptions!$B$5+T453*Assumptions!$B$6,0)</f>
        <v>83</v>
      </c>
      <c r="V453" s="8" t="str">
        <f aca="false">IF(U453&gt;=Assumptions!$B$10,"Healthy",IF(U453&gt;=Assumptions!$B$11,"Needs Attention","High Risk"))</f>
        <v>Healthy</v>
      </c>
    </row>
    <row r="454" customFormat="false" ht="15" hidden="false" customHeight="false" outlineLevel="0" collapsed="false">
      <c r="A454" s="8" t="s">
        <v>1049</v>
      </c>
      <c r="B454" s="8" t="s">
        <v>1050</v>
      </c>
      <c r="C454" s="8" t="s">
        <v>53</v>
      </c>
      <c r="D454" s="8" t="s">
        <v>326</v>
      </c>
      <c r="E454" s="8" t="s">
        <v>132</v>
      </c>
      <c r="F454" s="8" t="s">
        <v>143</v>
      </c>
      <c r="G454" s="8" t="s">
        <v>144</v>
      </c>
      <c r="H454" s="15" t="n">
        <v>3925</v>
      </c>
      <c r="I454" s="15" t="n">
        <v>3925</v>
      </c>
      <c r="J454" s="16" t="n">
        <v>0.834</v>
      </c>
      <c r="K454" s="8" t="n">
        <v>8.3</v>
      </c>
      <c r="L454" s="8" t="n">
        <v>8</v>
      </c>
      <c r="M454" s="8" t="n">
        <v>2</v>
      </c>
      <c r="N454" s="8" t="s">
        <v>120</v>
      </c>
      <c r="O454" s="15" t="n">
        <f aca="false">H454*12</f>
        <v>47100</v>
      </c>
      <c r="P454" s="8" t="n">
        <f aca="false">MIN(100,ROUND(100*J454/Assumptions!$B$8,0))</f>
        <v>93</v>
      </c>
      <c r="Q454" s="8" t="n">
        <f aca="false">IF(L454="",Assumptions!$B$9,L454*10)</f>
        <v>80</v>
      </c>
      <c r="R454" s="8" t="n">
        <f aca="false">IF(M454&lt;=1,Assumptions!$B$12,IF(M454&lt;=3,Assumptions!$B$13,IF(M454&lt;=6,Assumptions!$B$14,Assumptions!$B$15)))</f>
        <v>75</v>
      </c>
      <c r="S454" s="8" t="n">
        <f aca="false">IF(N454="Completed On Time",Assumptions!$B$16,IF(N454="Completed Late",Assumptions!$B$17,Assumptions!$B$18))</f>
        <v>100</v>
      </c>
      <c r="T454" s="8" t="n">
        <f aca="false">IF(I454=0,Assumptions!$B$20,IF(H454&gt;I454,Assumptions!$B$19,IF(H454=I454,Assumptions!$B$20,Assumptions!$B$21)))</f>
        <v>70</v>
      </c>
      <c r="U454" s="8" t="n">
        <f aca="false">ROUND(P454*Assumptions!$B$2+Q454*Assumptions!$B$3+R454*Assumptions!$B$4+S454*Assumptions!$B$5+T454*Assumptions!$B$6,0)</f>
        <v>84</v>
      </c>
      <c r="V454" s="8" t="str">
        <f aca="false">IF(U454&gt;=Assumptions!$B$10,"Healthy",IF(U454&gt;=Assumptions!$B$11,"Needs Attention","High Risk"))</f>
        <v>Healthy</v>
      </c>
    </row>
    <row r="455" customFormat="false" ht="15" hidden="false" customHeight="false" outlineLevel="0" collapsed="false">
      <c r="A455" s="8" t="s">
        <v>1051</v>
      </c>
      <c r="B455" s="8" t="s">
        <v>1052</v>
      </c>
      <c r="C455" s="8" t="s">
        <v>53</v>
      </c>
      <c r="D455" s="8" t="s">
        <v>326</v>
      </c>
      <c r="E455" s="8" t="s">
        <v>132</v>
      </c>
      <c r="F455" s="8" t="s">
        <v>133</v>
      </c>
      <c r="G455" s="8" t="s">
        <v>180</v>
      </c>
      <c r="H455" s="15" t="n">
        <v>3925</v>
      </c>
      <c r="I455" s="15" t="n">
        <v>3925</v>
      </c>
      <c r="J455" s="16" t="n">
        <v>0.643</v>
      </c>
      <c r="K455" s="8" t="n">
        <v>8</v>
      </c>
      <c r="L455" s="8" t="n">
        <v>5</v>
      </c>
      <c r="M455" s="8" t="n">
        <v>1</v>
      </c>
      <c r="N455" s="8" t="s">
        <v>120</v>
      </c>
      <c r="O455" s="15" t="n">
        <f aca="false">H455*12</f>
        <v>47100</v>
      </c>
      <c r="P455" s="8" t="n">
        <f aca="false">MIN(100,ROUND(100*J455/Assumptions!$B$8,0))</f>
        <v>71</v>
      </c>
      <c r="Q455" s="8" t="n">
        <f aca="false">IF(L455="",Assumptions!$B$9,L455*10)</f>
        <v>50</v>
      </c>
      <c r="R455" s="8" t="n">
        <f aca="false">IF(M455&lt;=1,Assumptions!$B$12,IF(M455&lt;=3,Assumptions!$B$13,IF(M455&lt;=6,Assumptions!$B$14,Assumptions!$B$15)))</f>
        <v>100</v>
      </c>
      <c r="S455" s="8" t="n">
        <f aca="false">IF(N455="Completed On Time",Assumptions!$B$16,IF(N455="Completed Late",Assumptions!$B$17,Assumptions!$B$18))</f>
        <v>100</v>
      </c>
      <c r="T455" s="8" t="n">
        <f aca="false">IF(I455=0,Assumptions!$B$20,IF(H455&gt;I455,Assumptions!$B$19,IF(H455=I455,Assumptions!$B$20,Assumptions!$B$21)))</f>
        <v>70</v>
      </c>
      <c r="U455" s="8" t="n">
        <f aca="false">ROUND(P455*Assumptions!$B$2+Q455*Assumptions!$B$3+R455*Assumptions!$B$4+S455*Assumptions!$B$5+T455*Assumptions!$B$6,0)</f>
        <v>74</v>
      </c>
      <c r="V455" s="8" t="str">
        <f aca="false">IF(U455&gt;=Assumptions!$B$10,"Healthy",IF(U455&gt;=Assumptions!$B$11,"Needs Attention","High Risk"))</f>
        <v>Needs Attention</v>
      </c>
    </row>
    <row r="456" customFormat="false" ht="15" hidden="false" customHeight="false" outlineLevel="0" collapsed="false">
      <c r="A456" s="8" t="s">
        <v>1053</v>
      </c>
      <c r="B456" s="8" t="s">
        <v>1054</v>
      </c>
      <c r="C456" s="8" t="s">
        <v>53</v>
      </c>
      <c r="D456" s="8" t="s">
        <v>55</v>
      </c>
      <c r="E456" s="8" t="s">
        <v>123</v>
      </c>
      <c r="F456" s="8" t="s">
        <v>133</v>
      </c>
      <c r="G456" s="8" t="s">
        <v>129</v>
      </c>
      <c r="H456" s="15" t="n">
        <v>3915</v>
      </c>
      <c r="I456" s="15" t="n">
        <v>3915</v>
      </c>
      <c r="J456" s="16" t="n">
        <v>0.793</v>
      </c>
      <c r="K456" s="8" t="n">
        <v>9.7</v>
      </c>
      <c r="L456" s="8" t="n">
        <v>9</v>
      </c>
      <c r="M456" s="8" t="n">
        <v>0</v>
      </c>
      <c r="N456" s="8" t="s">
        <v>120</v>
      </c>
      <c r="O456" s="15" t="n">
        <f aca="false">H456*12</f>
        <v>46980</v>
      </c>
      <c r="P456" s="8" t="n">
        <f aca="false">MIN(100,ROUND(100*J456/Assumptions!$B$8,0))</f>
        <v>88</v>
      </c>
      <c r="Q456" s="8" t="n">
        <f aca="false">IF(L456="",Assumptions!$B$9,L456*10)</f>
        <v>90</v>
      </c>
      <c r="R456" s="8" t="n">
        <f aca="false">IF(M456&lt;=1,Assumptions!$B$12,IF(M456&lt;=3,Assumptions!$B$13,IF(M456&lt;=6,Assumptions!$B$14,Assumptions!$B$15)))</f>
        <v>100</v>
      </c>
      <c r="S456" s="8" t="n">
        <f aca="false">IF(N456="Completed On Time",Assumptions!$B$16,IF(N456="Completed Late",Assumptions!$B$17,Assumptions!$B$18))</f>
        <v>100</v>
      </c>
      <c r="T456" s="8" t="n">
        <f aca="false">IF(I456=0,Assumptions!$B$20,IF(H456&gt;I456,Assumptions!$B$19,IF(H456=I456,Assumptions!$B$20,Assumptions!$B$21)))</f>
        <v>70</v>
      </c>
      <c r="U456" s="8" t="n">
        <f aca="false">ROUND(P456*Assumptions!$B$2+Q456*Assumptions!$B$3+R456*Assumptions!$B$4+S456*Assumptions!$B$5+T456*Assumptions!$B$6,0)</f>
        <v>88</v>
      </c>
      <c r="V456" s="8" t="str">
        <f aca="false">IF(U456&gt;=Assumptions!$B$10,"Healthy",IF(U456&gt;=Assumptions!$B$11,"Needs Attention","High Risk"))</f>
        <v>Healthy</v>
      </c>
    </row>
    <row r="457" customFormat="false" ht="15" hidden="false" customHeight="false" outlineLevel="0" collapsed="false">
      <c r="A457" s="8" t="s">
        <v>1055</v>
      </c>
      <c r="B457" s="8" t="s">
        <v>1056</v>
      </c>
      <c r="C457" s="8" t="s">
        <v>53</v>
      </c>
      <c r="D457" s="8" t="s">
        <v>55</v>
      </c>
      <c r="E457" s="8" t="s">
        <v>123</v>
      </c>
      <c r="F457" s="8" t="s">
        <v>143</v>
      </c>
      <c r="G457" s="8" t="s">
        <v>147</v>
      </c>
      <c r="H457" s="15" t="n">
        <v>3915</v>
      </c>
      <c r="I457" s="15" t="n">
        <v>3915</v>
      </c>
      <c r="J457" s="16" t="n">
        <v>0.625</v>
      </c>
      <c r="K457" s="8" t="n">
        <v>7.7</v>
      </c>
      <c r="L457" s="8" t="n">
        <v>8</v>
      </c>
      <c r="M457" s="8" t="n">
        <v>6</v>
      </c>
      <c r="N457" s="8" t="s">
        <v>148</v>
      </c>
      <c r="O457" s="15" t="n">
        <f aca="false">H457*12</f>
        <v>46980</v>
      </c>
      <c r="P457" s="8" t="n">
        <f aca="false">MIN(100,ROUND(100*J457/Assumptions!$B$8,0))</f>
        <v>69</v>
      </c>
      <c r="Q457" s="8" t="n">
        <f aca="false">IF(L457="",Assumptions!$B$9,L457*10)</f>
        <v>80</v>
      </c>
      <c r="R457" s="8" t="n">
        <f aca="false">IF(M457&lt;=1,Assumptions!$B$12,IF(M457&lt;=3,Assumptions!$B$13,IF(M457&lt;=6,Assumptions!$B$14,Assumptions!$B$15)))</f>
        <v>50</v>
      </c>
      <c r="S457" s="8" t="n">
        <f aca="false">IF(N457="Completed On Time",Assumptions!$B$16,IF(N457="Completed Late",Assumptions!$B$17,Assumptions!$B$18))</f>
        <v>60</v>
      </c>
      <c r="T457" s="8" t="n">
        <f aca="false">IF(I457=0,Assumptions!$B$20,IF(H457&gt;I457,Assumptions!$B$19,IF(H457=I457,Assumptions!$B$20,Assumptions!$B$21)))</f>
        <v>70</v>
      </c>
      <c r="U457" s="8" t="n">
        <f aca="false">ROUND(P457*Assumptions!$B$2+Q457*Assumptions!$B$3+R457*Assumptions!$B$4+S457*Assumptions!$B$5+T457*Assumptions!$B$6,0)</f>
        <v>68</v>
      </c>
      <c r="V457" s="8" t="str">
        <f aca="false">IF(U457&gt;=Assumptions!$B$10,"Healthy",IF(U457&gt;=Assumptions!$B$11,"Needs Attention","High Risk"))</f>
        <v>Needs Attention</v>
      </c>
    </row>
    <row r="458" customFormat="false" ht="15" hidden="false" customHeight="false" outlineLevel="0" collapsed="false">
      <c r="A458" s="8" t="s">
        <v>1057</v>
      </c>
      <c r="B458" s="8" t="s">
        <v>1058</v>
      </c>
      <c r="C458" s="8" t="s">
        <v>53</v>
      </c>
      <c r="D458" s="8" t="s">
        <v>326</v>
      </c>
      <c r="E458" s="8" t="s">
        <v>132</v>
      </c>
      <c r="F458" s="8" t="s">
        <v>151</v>
      </c>
      <c r="G458" s="8" t="s">
        <v>204</v>
      </c>
      <c r="H458" s="15" t="n">
        <v>3900</v>
      </c>
      <c r="I458" s="15" t="n">
        <v>3900</v>
      </c>
      <c r="J458" s="16" t="n">
        <v>0.917</v>
      </c>
      <c r="K458" s="8" t="n">
        <v>10.7</v>
      </c>
      <c r="L458" s="8" t="n">
        <v>10</v>
      </c>
      <c r="M458" s="8" t="n">
        <v>2</v>
      </c>
      <c r="N458" s="8" t="s">
        <v>120</v>
      </c>
      <c r="O458" s="15" t="n">
        <f aca="false">H458*12</f>
        <v>46800</v>
      </c>
      <c r="P458" s="8" t="n">
        <f aca="false">MIN(100,ROUND(100*J458/Assumptions!$B$8,0))</f>
        <v>100</v>
      </c>
      <c r="Q458" s="8" t="n">
        <f aca="false">IF(L458="",Assumptions!$B$9,L458*10)</f>
        <v>100</v>
      </c>
      <c r="R458" s="8" t="n">
        <f aca="false">IF(M458&lt;=1,Assumptions!$B$12,IF(M458&lt;=3,Assumptions!$B$13,IF(M458&lt;=6,Assumptions!$B$14,Assumptions!$B$15)))</f>
        <v>75</v>
      </c>
      <c r="S458" s="8" t="n">
        <f aca="false">IF(N458="Completed On Time",Assumptions!$B$16,IF(N458="Completed Late",Assumptions!$B$17,Assumptions!$B$18))</f>
        <v>100</v>
      </c>
      <c r="T458" s="8" t="n">
        <f aca="false">IF(I458=0,Assumptions!$B$20,IF(H458&gt;I458,Assumptions!$B$19,IF(H458=I458,Assumptions!$B$20,Assumptions!$B$21)))</f>
        <v>70</v>
      </c>
      <c r="U458" s="8" t="n">
        <f aca="false">ROUND(P458*Assumptions!$B$2+Q458*Assumptions!$B$3+R458*Assumptions!$B$4+S458*Assumptions!$B$5+T458*Assumptions!$B$6,0)</f>
        <v>90</v>
      </c>
      <c r="V458" s="8" t="str">
        <f aca="false">IF(U458&gt;=Assumptions!$B$10,"Healthy",IF(U458&gt;=Assumptions!$B$11,"Needs Attention","High Risk"))</f>
        <v>Healthy</v>
      </c>
    </row>
    <row r="459" customFormat="false" ht="15" hidden="false" customHeight="false" outlineLevel="0" collapsed="false">
      <c r="A459" s="8" t="s">
        <v>1059</v>
      </c>
      <c r="B459" s="8" t="s">
        <v>1060</v>
      </c>
      <c r="C459" s="8" t="s">
        <v>53</v>
      </c>
      <c r="D459" s="8" t="s">
        <v>55</v>
      </c>
      <c r="E459" s="8" t="s">
        <v>132</v>
      </c>
      <c r="F459" s="8" t="s">
        <v>133</v>
      </c>
      <c r="G459" s="8" t="s">
        <v>137</v>
      </c>
      <c r="H459" s="15" t="n">
        <v>3870</v>
      </c>
      <c r="I459" s="15" t="n">
        <v>3870</v>
      </c>
      <c r="J459" s="16" t="n">
        <v>0.601</v>
      </c>
      <c r="K459" s="8" t="n">
        <v>7</v>
      </c>
      <c r="L459" s="8" t="n">
        <v>6</v>
      </c>
      <c r="M459" s="8" t="n">
        <v>2</v>
      </c>
      <c r="N459" s="8" t="s">
        <v>120</v>
      </c>
      <c r="O459" s="15" t="n">
        <f aca="false">H459*12</f>
        <v>46440</v>
      </c>
      <c r="P459" s="8" t="n">
        <f aca="false">MIN(100,ROUND(100*J459/Assumptions!$B$8,0))</f>
        <v>67</v>
      </c>
      <c r="Q459" s="8" t="n">
        <f aca="false">IF(L459="",Assumptions!$B$9,L459*10)</f>
        <v>60</v>
      </c>
      <c r="R459" s="8" t="n">
        <f aca="false">IF(M459&lt;=1,Assumptions!$B$12,IF(M459&lt;=3,Assumptions!$B$13,IF(M459&lt;=6,Assumptions!$B$14,Assumptions!$B$15)))</f>
        <v>75</v>
      </c>
      <c r="S459" s="8" t="n">
        <f aca="false">IF(N459="Completed On Time",Assumptions!$B$16,IF(N459="Completed Late",Assumptions!$B$17,Assumptions!$B$18))</f>
        <v>100</v>
      </c>
      <c r="T459" s="8" t="n">
        <f aca="false">IF(I459=0,Assumptions!$B$20,IF(H459&gt;I459,Assumptions!$B$19,IF(H459=I459,Assumptions!$B$20,Assumptions!$B$21)))</f>
        <v>70</v>
      </c>
      <c r="U459" s="8" t="n">
        <f aca="false">ROUND(P459*Assumptions!$B$2+Q459*Assumptions!$B$3+R459*Assumptions!$B$4+S459*Assumptions!$B$5+T459*Assumptions!$B$6,0)</f>
        <v>71</v>
      </c>
      <c r="V459" s="8" t="str">
        <f aca="false">IF(U459&gt;=Assumptions!$B$10,"Healthy",IF(U459&gt;=Assumptions!$B$11,"Needs Attention","High Risk"))</f>
        <v>Needs Attention</v>
      </c>
    </row>
    <row r="460" customFormat="false" ht="15" hidden="false" customHeight="false" outlineLevel="0" collapsed="false">
      <c r="A460" s="8" t="s">
        <v>1061</v>
      </c>
      <c r="B460" s="8" t="s">
        <v>1062</v>
      </c>
      <c r="C460" s="8" t="s">
        <v>53</v>
      </c>
      <c r="D460" s="8" t="s">
        <v>326</v>
      </c>
      <c r="E460" s="8" t="s">
        <v>132</v>
      </c>
      <c r="F460" s="8" t="s">
        <v>136</v>
      </c>
      <c r="G460" s="8" t="s">
        <v>137</v>
      </c>
      <c r="H460" s="15" t="n">
        <v>3850</v>
      </c>
      <c r="I460" s="15" t="n">
        <v>3850</v>
      </c>
      <c r="J460" s="16" t="n">
        <v>0.68</v>
      </c>
      <c r="K460" s="8" t="n">
        <v>7</v>
      </c>
      <c r="L460" s="8" t="n">
        <v>5</v>
      </c>
      <c r="M460" s="8" t="n">
        <v>3</v>
      </c>
      <c r="N460" s="8" t="s">
        <v>148</v>
      </c>
      <c r="O460" s="15" t="n">
        <f aca="false">H460*12</f>
        <v>46200</v>
      </c>
      <c r="P460" s="8" t="n">
        <f aca="false">MIN(100,ROUND(100*J460/Assumptions!$B$8,0))</f>
        <v>76</v>
      </c>
      <c r="Q460" s="8" t="n">
        <f aca="false">IF(L460="",Assumptions!$B$9,L460*10)</f>
        <v>50</v>
      </c>
      <c r="R460" s="8" t="n">
        <f aca="false">IF(M460&lt;=1,Assumptions!$B$12,IF(M460&lt;=3,Assumptions!$B$13,IF(M460&lt;=6,Assumptions!$B$14,Assumptions!$B$15)))</f>
        <v>75</v>
      </c>
      <c r="S460" s="8" t="n">
        <f aca="false">IF(N460="Completed On Time",Assumptions!$B$16,IF(N460="Completed Late",Assumptions!$B$17,Assumptions!$B$18))</f>
        <v>60</v>
      </c>
      <c r="T460" s="8" t="n">
        <f aca="false">IF(I460=0,Assumptions!$B$20,IF(H460&gt;I460,Assumptions!$B$19,IF(H460=I460,Assumptions!$B$20,Assumptions!$B$21)))</f>
        <v>70</v>
      </c>
      <c r="U460" s="8" t="n">
        <f aca="false">ROUND(P460*Assumptions!$B$2+Q460*Assumptions!$B$3+R460*Assumptions!$B$4+S460*Assumptions!$B$5+T460*Assumptions!$B$6,0)</f>
        <v>68</v>
      </c>
      <c r="V460" s="8" t="str">
        <f aca="false">IF(U460&gt;=Assumptions!$B$10,"Healthy",IF(U460&gt;=Assumptions!$B$11,"Needs Attention","High Risk"))</f>
        <v>Needs Attention</v>
      </c>
    </row>
    <row r="461" customFormat="false" ht="15" hidden="false" customHeight="false" outlineLevel="0" collapsed="false">
      <c r="A461" s="8" t="s">
        <v>1063</v>
      </c>
      <c r="B461" s="8" t="s">
        <v>1064</v>
      </c>
      <c r="C461" s="8" t="s">
        <v>53</v>
      </c>
      <c r="D461" s="8" t="s">
        <v>326</v>
      </c>
      <c r="E461" s="8" t="s">
        <v>123</v>
      </c>
      <c r="F461" s="8" t="s">
        <v>133</v>
      </c>
      <c r="G461" s="8" t="s">
        <v>137</v>
      </c>
      <c r="H461" s="15" t="n">
        <v>3825</v>
      </c>
      <c r="I461" s="15" t="n">
        <v>3825</v>
      </c>
      <c r="J461" s="16" t="n">
        <v>0.68</v>
      </c>
      <c r="K461" s="8" t="n">
        <v>9.3</v>
      </c>
      <c r="L461" s="8" t="n">
        <v>7</v>
      </c>
      <c r="M461" s="8" t="n">
        <v>3</v>
      </c>
      <c r="N461" s="8" t="s">
        <v>120</v>
      </c>
      <c r="O461" s="15" t="n">
        <f aca="false">H461*12</f>
        <v>45900</v>
      </c>
      <c r="P461" s="8" t="n">
        <f aca="false">MIN(100,ROUND(100*J461/Assumptions!$B$8,0))</f>
        <v>76</v>
      </c>
      <c r="Q461" s="8" t="n">
        <f aca="false">IF(L461="",Assumptions!$B$9,L461*10)</f>
        <v>70</v>
      </c>
      <c r="R461" s="8" t="n">
        <f aca="false">IF(M461&lt;=1,Assumptions!$B$12,IF(M461&lt;=3,Assumptions!$B$13,IF(M461&lt;=6,Assumptions!$B$14,Assumptions!$B$15)))</f>
        <v>75</v>
      </c>
      <c r="S461" s="8" t="n">
        <f aca="false">IF(N461="Completed On Time",Assumptions!$B$16,IF(N461="Completed Late",Assumptions!$B$17,Assumptions!$B$18))</f>
        <v>100</v>
      </c>
      <c r="T461" s="8" t="n">
        <f aca="false">IF(I461=0,Assumptions!$B$20,IF(H461&gt;I461,Assumptions!$B$19,IF(H461=I461,Assumptions!$B$20,Assumptions!$B$21)))</f>
        <v>70</v>
      </c>
      <c r="U461" s="8" t="n">
        <f aca="false">ROUND(P461*Assumptions!$B$2+Q461*Assumptions!$B$3+R461*Assumptions!$B$4+S461*Assumptions!$B$5+T461*Assumptions!$B$6,0)</f>
        <v>76</v>
      </c>
      <c r="V461" s="8" t="str">
        <f aca="false">IF(U461&gt;=Assumptions!$B$10,"Healthy",IF(U461&gt;=Assumptions!$B$11,"Needs Attention","High Risk"))</f>
        <v>Needs Attention</v>
      </c>
    </row>
    <row r="462" customFormat="false" ht="15" hidden="false" customHeight="false" outlineLevel="0" collapsed="false">
      <c r="A462" s="8" t="s">
        <v>1065</v>
      </c>
      <c r="B462" s="8" t="s">
        <v>1066</v>
      </c>
      <c r="C462" s="8" t="s">
        <v>53</v>
      </c>
      <c r="D462" s="8" t="s">
        <v>326</v>
      </c>
      <c r="E462" s="8" t="s">
        <v>117</v>
      </c>
      <c r="F462" s="8" t="s">
        <v>133</v>
      </c>
      <c r="G462" s="8" t="s">
        <v>204</v>
      </c>
      <c r="H462" s="15" t="n">
        <v>3825</v>
      </c>
      <c r="I462" s="15" t="n">
        <v>3825</v>
      </c>
      <c r="J462" s="16" t="n">
        <v>0.841</v>
      </c>
      <c r="K462" s="8" t="n">
        <v>11</v>
      </c>
      <c r="L462" s="8" t="n">
        <v>10</v>
      </c>
      <c r="M462" s="8" t="n">
        <v>1</v>
      </c>
      <c r="N462" s="8" t="s">
        <v>120</v>
      </c>
      <c r="O462" s="15" t="n">
        <f aca="false">H462*12</f>
        <v>45900</v>
      </c>
      <c r="P462" s="8" t="n">
        <f aca="false">MIN(100,ROUND(100*J462/Assumptions!$B$8,0))</f>
        <v>93</v>
      </c>
      <c r="Q462" s="8" t="n">
        <f aca="false">IF(L462="",Assumptions!$B$9,L462*10)</f>
        <v>100</v>
      </c>
      <c r="R462" s="8" t="n">
        <f aca="false">IF(M462&lt;=1,Assumptions!$B$12,IF(M462&lt;=3,Assumptions!$B$13,IF(M462&lt;=6,Assumptions!$B$14,Assumptions!$B$15)))</f>
        <v>100</v>
      </c>
      <c r="S462" s="8" t="n">
        <f aca="false">IF(N462="Completed On Time",Assumptions!$B$16,IF(N462="Completed Late",Assumptions!$B$17,Assumptions!$B$18))</f>
        <v>100</v>
      </c>
      <c r="T462" s="8" t="n">
        <f aca="false">IF(I462=0,Assumptions!$B$20,IF(H462&gt;I462,Assumptions!$B$19,IF(H462=I462,Assumptions!$B$20,Assumptions!$B$21)))</f>
        <v>70</v>
      </c>
      <c r="U462" s="8" t="n">
        <f aca="false">ROUND(P462*Assumptions!$B$2+Q462*Assumptions!$B$3+R462*Assumptions!$B$4+S462*Assumptions!$B$5+T462*Assumptions!$B$6,0)</f>
        <v>92</v>
      </c>
      <c r="V462" s="8" t="str">
        <f aca="false">IF(U462&gt;=Assumptions!$B$10,"Healthy",IF(U462&gt;=Assumptions!$B$11,"Needs Attention","High Risk"))</f>
        <v>Healthy</v>
      </c>
    </row>
    <row r="463" customFormat="false" ht="15" hidden="false" customHeight="false" outlineLevel="0" collapsed="false">
      <c r="A463" s="8" t="s">
        <v>1067</v>
      </c>
      <c r="B463" s="8" t="s">
        <v>1068</v>
      </c>
      <c r="C463" s="8" t="s">
        <v>53</v>
      </c>
      <c r="D463" s="8" t="s">
        <v>326</v>
      </c>
      <c r="E463" s="8" t="s">
        <v>132</v>
      </c>
      <c r="F463" s="8" t="s">
        <v>124</v>
      </c>
      <c r="G463" s="8" t="s">
        <v>137</v>
      </c>
      <c r="H463" s="15" t="n">
        <v>3825</v>
      </c>
      <c r="I463" s="15" t="n">
        <v>4200</v>
      </c>
      <c r="J463" s="16" t="n">
        <v>0.53</v>
      </c>
      <c r="K463" s="8" t="n">
        <v>7.3</v>
      </c>
      <c r="L463" s="8" t="n">
        <v>7</v>
      </c>
      <c r="M463" s="8" t="n">
        <v>5</v>
      </c>
      <c r="N463" s="8" t="s">
        <v>120</v>
      </c>
      <c r="O463" s="15" t="n">
        <f aca="false">H463*12</f>
        <v>45900</v>
      </c>
      <c r="P463" s="8" t="n">
        <f aca="false">MIN(100,ROUND(100*J463/Assumptions!$B$8,0))</f>
        <v>59</v>
      </c>
      <c r="Q463" s="8" t="n">
        <f aca="false">IF(L463="",Assumptions!$B$9,L463*10)</f>
        <v>70</v>
      </c>
      <c r="R463" s="8" t="n">
        <f aca="false">IF(M463&lt;=1,Assumptions!$B$12,IF(M463&lt;=3,Assumptions!$B$13,IF(M463&lt;=6,Assumptions!$B$14,Assumptions!$B$15)))</f>
        <v>50</v>
      </c>
      <c r="S463" s="8" t="n">
        <f aca="false">IF(N463="Completed On Time",Assumptions!$B$16,IF(N463="Completed Late",Assumptions!$B$17,Assumptions!$B$18))</f>
        <v>100</v>
      </c>
      <c r="T463" s="8" t="n">
        <f aca="false">IF(I463=0,Assumptions!$B$20,IF(H463&gt;I463,Assumptions!$B$19,IF(H463=I463,Assumptions!$B$20,Assumptions!$B$21)))</f>
        <v>30</v>
      </c>
      <c r="U463" s="8" t="n">
        <f aca="false">ROUND(P463*Assumptions!$B$2+Q463*Assumptions!$B$3+R463*Assumptions!$B$4+S463*Assumptions!$B$5+T463*Assumptions!$B$6,0)</f>
        <v>58</v>
      </c>
      <c r="V463" s="8" t="str">
        <f aca="false">IF(U463&gt;=Assumptions!$B$10,"Healthy",IF(U463&gt;=Assumptions!$B$11,"Needs Attention","High Risk"))</f>
        <v>High Risk</v>
      </c>
    </row>
    <row r="464" customFormat="false" ht="15" hidden="false" customHeight="false" outlineLevel="0" collapsed="false">
      <c r="A464" s="8" t="s">
        <v>1069</v>
      </c>
      <c r="B464" s="8" t="s">
        <v>1070</v>
      </c>
      <c r="C464" s="8" t="s">
        <v>53</v>
      </c>
      <c r="D464" s="8" t="s">
        <v>55</v>
      </c>
      <c r="E464" s="8" t="s">
        <v>123</v>
      </c>
      <c r="F464" s="8" t="s">
        <v>118</v>
      </c>
      <c r="G464" s="8" t="s">
        <v>119</v>
      </c>
      <c r="H464" s="15" t="n">
        <v>3825</v>
      </c>
      <c r="I464" s="15" t="n">
        <v>3825</v>
      </c>
      <c r="J464" s="16" t="n">
        <v>0.616</v>
      </c>
      <c r="K464" s="8" t="n">
        <v>8.3</v>
      </c>
      <c r="L464" s="8" t="n">
        <v>10</v>
      </c>
      <c r="M464" s="8" t="n">
        <v>5</v>
      </c>
      <c r="N464" s="8" t="s">
        <v>148</v>
      </c>
      <c r="O464" s="15" t="n">
        <f aca="false">H464*12</f>
        <v>45900</v>
      </c>
      <c r="P464" s="8" t="n">
        <f aca="false">MIN(100,ROUND(100*J464/Assumptions!$B$8,0))</f>
        <v>68</v>
      </c>
      <c r="Q464" s="8" t="n">
        <f aca="false">IF(L464="",Assumptions!$B$9,L464*10)</f>
        <v>100</v>
      </c>
      <c r="R464" s="8" t="n">
        <f aca="false">IF(M464&lt;=1,Assumptions!$B$12,IF(M464&lt;=3,Assumptions!$B$13,IF(M464&lt;=6,Assumptions!$B$14,Assumptions!$B$15)))</f>
        <v>50</v>
      </c>
      <c r="S464" s="8" t="n">
        <f aca="false">IF(N464="Completed On Time",Assumptions!$B$16,IF(N464="Completed Late",Assumptions!$B$17,Assumptions!$B$18))</f>
        <v>60</v>
      </c>
      <c r="T464" s="8" t="n">
        <f aca="false">IF(I464=0,Assumptions!$B$20,IF(H464&gt;I464,Assumptions!$B$19,IF(H464=I464,Assumptions!$B$20,Assumptions!$B$21)))</f>
        <v>70</v>
      </c>
      <c r="U464" s="8" t="n">
        <f aca="false">ROUND(P464*Assumptions!$B$2+Q464*Assumptions!$B$3+R464*Assumptions!$B$4+S464*Assumptions!$B$5+T464*Assumptions!$B$6,0)</f>
        <v>71</v>
      </c>
      <c r="V464" s="8" t="str">
        <f aca="false">IF(U464&gt;=Assumptions!$B$10,"Healthy",IF(U464&gt;=Assumptions!$B$11,"Needs Attention","High Risk"))</f>
        <v>Needs Attention</v>
      </c>
    </row>
    <row r="465" customFormat="false" ht="15" hidden="false" customHeight="false" outlineLevel="0" collapsed="false">
      <c r="A465" s="8" t="s">
        <v>1071</v>
      </c>
      <c r="B465" s="8" t="s">
        <v>1072</v>
      </c>
      <c r="C465" s="8" t="s">
        <v>53</v>
      </c>
      <c r="D465" s="8" t="s">
        <v>326</v>
      </c>
      <c r="E465" s="8" t="s">
        <v>123</v>
      </c>
      <c r="F465" s="8" t="s">
        <v>143</v>
      </c>
      <c r="G465" s="8" t="s">
        <v>125</v>
      </c>
      <c r="H465" s="15" t="n">
        <v>3800</v>
      </c>
      <c r="I465" s="15" t="n">
        <v>3800</v>
      </c>
      <c r="J465" s="16" t="n">
        <v>0.603</v>
      </c>
      <c r="K465" s="8" t="n">
        <v>8.3</v>
      </c>
      <c r="L465" s="8" t="n">
        <v>7</v>
      </c>
      <c r="M465" s="8" t="n">
        <v>3</v>
      </c>
      <c r="N465" s="8" t="s">
        <v>120</v>
      </c>
      <c r="O465" s="15" t="n">
        <f aca="false">H465*12</f>
        <v>45600</v>
      </c>
      <c r="P465" s="8" t="n">
        <f aca="false">MIN(100,ROUND(100*J465/Assumptions!$B$8,0))</f>
        <v>67</v>
      </c>
      <c r="Q465" s="8" t="n">
        <f aca="false">IF(L465="",Assumptions!$B$9,L465*10)</f>
        <v>70</v>
      </c>
      <c r="R465" s="8" t="n">
        <f aca="false">IF(M465&lt;=1,Assumptions!$B$12,IF(M465&lt;=3,Assumptions!$B$13,IF(M465&lt;=6,Assumptions!$B$14,Assumptions!$B$15)))</f>
        <v>75</v>
      </c>
      <c r="S465" s="8" t="n">
        <f aca="false">IF(N465="Completed On Time",Assumptions!$B$16,IF(N465="Completed Late",Assumptions!$B$17,Assumptions!$B$18))</f>
        <v>100</v>
      </c>
      <c r="T465" s="8" t="n">
        <f aca="false">IF(I465=0,Assumptions!$B$20,IF(H465&gt;I465,Assumptions!$B$19,IF(H465=I465,Assumptions!$B$20,Assumptions!$B$21)))</f>
        <v>70</v>
      </c>
      <c r="U465" s="8" t="n">
        <f aca="false">ROUND(P465*Assumptions!$B$2+Q465*Assumptions!$B$3+R465*Assumptions!$B$4+S465*Assumptions!$B$5+T465*Assumptions!$B$6,0)</f>
        <v>73</v>
      </c>
      <c r="V465" s="8" t="str">
        <f aca="false">IF(U465&gt;=Assumptions!$B$10,"Healthy",IF(U465&gt;=Assumptions!$B$11,"Needs Attention","High Risk"))</f>
        <v>Needs Attention</v>
      </c>
    </row>
    <row r="466" customFormat="false" ht="15" hidden="false" customHeight="false" outlineLevel="0" collapsed="false">
      <c r="A466" s="8" t="s">
        <v>1073</v>
      </c>
      <c r="B466" s="8" t="s">
        <v>1074</v>
      </c>
      <c r="C466" s="8" t="s">
        <v>53</v>
      </c>
      <c r="D466" s="8" t="s">
        <v>326</v>
      </c>
      <c r="E466" s="8" t="s">
        <v>117</v>
      </c>
      <c r="F466" s="8" t="s">
        <v>143</v>
      </c>
      <c r="G466" s="8" t="s">
        <v>185</v>
      </c>
      <c r="H466" s="15" t="n">
        <v>3800</v>
      </c>
      <c r="I466" s="15" t="n">
        <v>3800</v>
      </c>
      <c r="J466" s="16" t="n">
        <v>0.888</v>
      </c>
      <c r="K466" s="8" t="n">
        <v>11.3</v>
      </c>
      <c r="L466" s="8" t="n">
        <v>10</v>
      </c>
      <c r="M466" s="8" t="n">
        <v>2</v>
      </c>
      <c r="N466" s="8" t="s">
        <v>120</v>
      </c>
      <c r="O466" s="15" t="n">
        <f aca="false">H466*12</f>
        <v>45600</v>
      </c>
      <c r="P466" s="8" t="n">
        <f aca="false">MIN(100,ROUND(100*J466/Assumptions!$B$8,0))</f>
        <v>99</v>
      </c>
      <c r="Q466" s="8" t="n">
        <f aca="false">IF(L466="",Assumptions!$B$9,L466*10)</f>
        <v>100</v>
      </c>
      <c r="R466" s="8" t="n">
        <f aca="false">IF(M466&lt;=1,Assumptions!$B$12,IF(M466&lt;=3,Assumptions!$B$13,IF(M466&lt;=6,Assumptions!$B$14,Assumptions!$B$15)))</f>
        <v>75</v>
      </c>
      <c r="S466" s="8" t="n">
        <f aca="false">IF(N466="Completed On Time",Assumptions!$B$16,IF(N466="Completed Late",Assumptions!$B$17,Assumptions!$B$18))</f>
        <v>100</v>
      </c>
      <c r="T466" s="8" t="n">
        <f aca="false">IF(I466=0,Assumptions!$B$20,IF(H466&gt;I466,Assumptions!$B$19,IF(H466=I466,Assumptions!$B$20,Assumptions!$B$21)))</f>
        <v>70</v>
      </c>
      <c r="U466" s="8" t="n">
        <f aca="false">ROUND(P466*Assumptions!$B$2+Q466*Assumptions!$B$3+R466*Assumptions!$B$4+S466*Assumptions!$B$5+T466*Assumptions!$B$6,0)</f>
        <v>90</v>
      </c>
      <c r="V466" s="8" t="str">
        <f aca="false">IF(U466&gt;=Assumptions!$B$10,"Healthy",IF(U466&gt;=Assumptions!$B$11,"Needs Attention","High Risk"))</f>
        <v>Healthy</v>
      </c>
    </row>
    <row r="467" customFormat="false" ht="15" hidden="false" customHeight="false" outlineLevel="0" collapsed="false">
      <c r="A467" s="8" t="s">
        <v>1075</v>
      </c>
      <c r="B467" s="8" t="s">
        <v>1076</v>
      </c>
      <c r="C467" s="8" t="s">
        <v>53</v>
      </c>
      <c r="D467" s="8" t="s">
        <v>326</v>
      </c>
      <c r="E467" s="8" t="s">
        <v>123</v>
      </c>
      <c r="F467" s="8" t="s">
        <v>118</v>
      </c>
      <c r="G467" s="8" t="s">
        <v>140</v>
      </c>
      <c r="H467" s="15" t="n">
        <v>3800</v>
      </c>
      <c r="I467" s="15" t="n">
        <v>3800</v>
      </c>
      <c r="J467" s="16" t="n">
        <v>0.816</v>
      </c>
      <c r="K467" s="8" t="n">
        <v>9.3</v>
      </c>
      <c r="L467" s="8" t="n">
        <v>8</v>
      </c>
      <c r="M467" s="8" t="n">
        <v>2</v>
      </c>
      <c r="N467" s="8" t="s">
        <v>120</v>
      </c>
      <c r="O467" s="15" t="n">
        <f aca="false">H467*12</f>
        <v>45600</v>
      </c>
      <c r="P467" s="8" t="n">
        <f aca="false">MIN(100,ROUND(100*J467/Assumptions!$B$8,0))</f>
        <v>91</v>
      </c>
      <c r="Q467" s="8" t="n">
        <f aca="false">IF(L467="",Assumptions!$B$9,L467*10)</f>
        <v>80</v>
      </c>
      <c r="R467" s="8" t="n">
        <f aca="false">IF(M467&lt;=1,Assumptions!$B$12,IF(M467&lt;=3,Assumptions!$B$13,IF(M467&lt;=6,Assumptions!$B$14,Assumptions!$B$15)))</f>
        <v>75</v>
      </c>
      <c r="S467" s="8" t="n">
        <f aca="false">IF(N467="Completed On Time",Assumptions!$B$16,IF(N467="Completed Late",Assumptions!$B$17,Assumptions!$B$18))</f>
        <v>100</v>
      </c>
      <c r="T467" s="8" t="n">
        <f aca="false">IF(I467=0,Assumptions!$B$20,IF(H467&gt;I467,Assumptions!$B$19,IF(H467=I467,Assumptions!$B$20,Assumptions!$B$21)))</f>
        <v>70</v>
      </c>
      <c r="U467" s="8" t="n">
        <f aca="false">ROUND(P467*Assumptions!$B$2+Q467*Assumptions!$B$3+R467*Assumptions!$B$4+S467*Assumptions!$B$5+T467*Assumptions!$B$6,0)</f>
        <v>83</v>
      </c>
      <c r="V467" s="8" t="str">
        <f aca="false">IF(U467&gt;=Assumptions!$B$10,"Healthy",IF(U467&gt;=Assumptions!$B$11,"Needs Attention","High Risk"))</f>
        <v>Healthy</v>
      </c>
    </row>
    <row r="468" customFormat="false" ht="15" hidden="false" customHeight="false" outlineLevel="0" collapsed="false">
      <c r="A468" s="8" t="s">
        <v>1077</v>
      </c>
      <c r="B468" s="8" t="s">
        <v>1078</v>
      </c>
      <c r="C468" s="8" t="s">
        <v>53</v>
      </c>
      <c r="D468" s="8" t="s">
        <v>326</v>
      </c>
      <c r="E468" s="8" t="s">
        <v>123</v>
      </c>
      <c r="F468" s="8" t="s">
        <v>154</v>
      </c>
      <c r="G468" s="8" t="s">
        <v>119</v>
      </c>
      <c r="H468" s="15" t="n">
        <v>3800</v>
      </c>
      <c r="I468" s="15" t="n">
        <v>3800</v>
      </c>
      <c r="J468" s="16" t="n">
        <v>0.717</v>
      </c>
      <c r="K468" s="8" t="n">
        <v>9.3</v>
      </c>
      <c r="L468" s="8" t="n">
        <v>5</v>
      </c>
      <c r="M468" s="8" t="n">
        <v>5</v>
      </c>
      <c r="N468" s="8" t="s">
        <v>120</v>
      </c>
      <c r="O468" s="15" t="n">
        <f aca="false">H468*12</f>
        <v>45600</v>
      </c>
      <c r="P468" s="8" t="n">
        <f aca="false">MIN(100,ROUND(100*J468/Assumptions!$B$8,0))</f>
        <v>80</v>
      </c>
      <c r="Q468" s="8" t="n">
        <f aca="false">IF(L468="",Assumptions!$B$9,L468*10)</f>
        <v>50</v>
      </c>
      <c r="R468" s="8" t="n">
        <f aca="false">IF(M468&lt;=1,Assumptions!$B$12,IF(M468&lt;=3,Assumptions!$B$13,IF(M468&lt;=6,Assumptions!$B$14,Assumptions!$B$15)))</f>
        <v>50</v>
      </c>
      <c r="S468" s="8" t="n">
        <f aca="false">IF(N468="Completed On Time",Assumptions!$B$16,IF(N468="Completed Late",Assumptions!$B$17,Assumptions!$B$18))</f>
        <v>100</v>
      </c>
      <c r="T468" s="8" t="n">
        <f aca="false">IF(I468=0,Assumptions!$B$20,IF(H468&gt;I468,Assumptions!$B$19,IF(H468=I468,Assumptions!$B$20,Assumptions!$B$21)))</f>
        <v>70</v>
      </c>
      <c r="U468" s="8" t="n">
        <f aca="false">ROUND(P468*Assumptions!$B$2+Q468*Assumptions!$B$3+R468*Assumptions!$B$4+S468*Assumptions!$B$5+T468*Assumptions!$B$6,0)</f>
        <v>70</v>
      </c>
      <c r="V468" s="8" t="str">
        <f aca="false">IF(U468&gt;=Assumptions!$B$10,"Healthy",IF(U468&gt;=Assumptions!$B$11,"Needs Attention","High Risk"))</f>
        <v>Needs Attention</v>
      </c>
    </row>
    <row r="469" customFormat="false" ht="15" hidden="false" customHeight="false" outlineLevel="0" collapsed="false">
      <c r="A469" s="8" t="s">
        <v>1079</v>
      </c>
      <c r="B469" s="8" t="s">
        <v>1080</v>
      </c>
      <c r="C469" s="8" t="s">
        <v>53</v>
      </c>
      <c r="D469" s="8" t="s">
        <v>326</v>
      </c>
      <c r="E469" s="8" t="s">
        <v>117</v>
      </c>
      <c r="F469" s="8" t="s">
        <v>154</v>
      </c>
      <c r="G469" s="8" t="s">
        <v>185</v>
      </c>
      <c r="H469" s="15" t="n">
        <v>3800</v>
      </c>
      <c r="I469" s="15" t="n">
        <v>3800</v>
      </c>
      <c r="J469" s="16" t="n">
        <v>0.717</v>
      </c>
      <c r="K469" s="8" t="n">
        <v>8.3</v>
      </c>
      <c r="L469" s="8" t="n">
        <v>8</v>
      </c>
      <c r="M469" s="8" t="n">
        <v>3</v>
      </c>
      <c r="N469" s="8" t="s">
        <v>120</v>
      </c>
      <c r="O469" s="15" t="n">
        <f aca="false">H469*12</f>
        <v>45600</v>
      </c>
      <c r="P469" s="8" t="n">
        <f aca="false">MIN(100,ROUND(100*J469/Assumptions!$B$8,0))</f>
        <v>80</v>
      </c>
      <c r="Q469" s="8" t="n">
        <f aca="false">IF(L469="",Assumptions!$B$9,L469*10)</f>
        <v>80</v>
      </c>
      <c r="R469" s="8" t="n">
        <f aca="false">IF(M469&lt;=1,Assumptions!$B$12,IF(M469&lt;=3,Assumptions!$B$13,IF(M469&lt;=6,Assumptions!$B$14,Assumptions!$B$15)))</f>
        <v>75</v>
      </c>
      <c r="S469" s="8" t="n">
        <f aca="false">IF(N469="Completed On Time",Assumptions!$B$16,IF(N469="Completed Late",Assumptions!$B$17,Assumptions!$B$18))</f>
        <v>100</v>
      </c>
      <c r="T469" s="8" t="n">
        <f aca="false">IF(I469=0,Assumptions!$B$20,IF(H469&gt;I469,Assumptions!$B$19,IF(H469=I469,Assumptions!$B$20,Assumptions!$B$21)))</f>
        <v>70</v>
      </c>
      <c r="U469" s="8" t="n">
        <f aca="false">ROUND(P469*Assumptions!$B$2+Q469*Assumptions!$B$3+R469*Assumptions!$B$4+S469*Assumptions!$B$5+T469*Assumptions!$B$6,0)</f>
        <v>79</v>
      </c>
      <c r="V469" s="8" t="str">
        <f aca="false">IF(U469&gt;=Assumptions!$B$10,"Healthy",IF(U469&gt;=Assumptions!$B$11,"Needs Attention","High Risk"))</f>
        <v>Needs Attention</v>
      </c>
    </row>
    <row r="470" customFormat="false" ht="15" hidden="false" customHeight="false" outlineLevel="0" collapsed="false">
      <c r="A470" s="8" t="s">
        <v>1081</v>
      </c>
      <c r="B470" s="8" t="s">
        <v>1082</v>
      </c>
      <c r="C470" s="8" t="s">
        <v>53</v>
      </c>
      <c r="D470" s="8" t="s">
        <v>326</v>
      </c>
      <c r="E470" s="8" t="s">
        <v>132</v>
      </c>
      <c r="F470" s="8" t="s">
        <v>154</v>
      </c>
      <c r="G470" s="8" t="s">
        <v>144</v>
      </c>
      <c r="H470" s="15" t="n">
        <v>3800</v>
      </c>
      <c r="I470" s="15" t="n">
        <v>3800</v>
      </c>
      <c r="J470" s="16" t="n">
        <v>0.673</v>
      </c>
      <c r="K470" s="8" t="n">
        <v>8.7</v>
      </c>
      <c r="L470" s="8" t="n">
        <v>9</v>
      </c>
      <c r="M470" s="8" t="n">
        <v>4</v>
      </c>
      <c r="N470" s="8" t="s">
        <v>120</v>
      </c>
      <c r="O470" s="15" t="n">
        <f aca="false">H470*12</f>
        <v>45600</v>
      </c>
      <c r="P470" s="8" t="n">
        <f aca="false">MIN(100,ROUND(100*J470/Assumptions!$B$8,0))</f>
        <v>75</v>
      </c>
      <c r="Q470" s="8" t="n">
        <f aca="false">IF(L470="",Assumptions!$B$9,L470*10)</f>
        <v>90</v>
      </c>
      <c r="R470" s="8" t="n">
        <f aca="false">IF(M470&lt;=1,Assumptions!$B$12,IF(M470&lt;=3,Assumptions!$B$13,IF(M470&lt;=6,Assumptions!$B$14,Assumptions!$B$15)))</f>
        <v>50</v>
      </c>
      <c r="S470" s="8" t="n">
        <f aca="false">IF(N470="Completed On Time",Assumptions!$B$16,IF(N470="Completed Late",Assumptions!$B$17,Assumptions!$B$18))</f>
        <v>100</v>
      </c>
      <c r="T470" s="8" t="n">
        <f aca="false">IF(I470=0,Assumptions!$B$20,IF(H470&gt;I470,Assumptions!$B$19,IF(H470=I470,Assumptions!$B$20,Assumptions!$B$21)))</f>
        <v>70</v>
      </c>
      <c r="U470" s="8" t="n">
        <f aca="false">ROUND(P470*Assumptions!$B$2+Q470*Assumptions!$B$3+R470*Assumptions!$B$4+S470*Assumptions!$B$5+T470*Assumptions!$B$6,0)</f>
        <v>76</v>
      </c>
      <c r="V470" s="8" t="str">
        <f aca="false">IF(U470&gt;=Assumptions!$B$10,"Healthy",IF(U470&gt;=Assumptions!$B$11,"Needs Attention","High Risk"))</f>
        <v>Needs Attention</v>
      </c>
    </row>
    <row r="471" customFormat="false" ht="15" hidden="false" customHeight="false" outlineLevel="0" collapsed="false">
      <c r="A471" s="8" t="s">
        <v>1083</v>
      </c>
      <c r="B471" s="8" t="s">
        <v>1084</v>
      </c>
      <c r="C471" s="8" t="s">
        <v>53</v>
      </c>
      <c r="D471" s="8" t="s">
        <v>326</v>
      </c>
      <c r="E471" s="8" t="s">
        <v>132</v>
      </c>
      <c r="F471" s="8" t="s">
        <v>124</v>
      </c>
      <c r="G471" s="8" t="s">
        <v>204</v>
      </c>
      <c r="H471" s="15" t="n">
        <v>3775</v>
      </c>
      <c r="I471" s="15" t="n">
        <v>3775</v>
      </c>
      <c r="J471" s="16" t="n">
        <v>0.572</v>
      </c>
      <c r="K471" s="8" t="n">
        <v>7.3</v>
      </c>
      <c r="L471" s="8" t="n">
        <v>6</v>
      </c>
      <c r="M471" s="8" t="n">
        <v>3</v>
      </c>
      <c r="N471" s="8" t="s">
        <v>120</v>
      </c>
      <c r="O471" s="15" t="n">
        <f aca="false">H471*12</f>
        <v>45300</v>
      </c>
      <c r="P471" s="8" t="n">
        <f aca="false">MIN(100,ROUND(100*J471/Assumptions!$B$8,0))</f>
        <v>64</v>
      </c>
      <c r="Q471" s="8" t="n">
        <f aca="false">IF(L471="",Assumptions!$B$9,L471*10)</f>
        <v>60</v>
      </c>
      <c r="R471" s="8" t="n">
        <f aca="false">IF(M471&lt;=1,Assumptions!$B$12,IF(M471&lt;=3,Assumptions!$B$13,IF(M471&lt;=6,Assumptions!$B$14,Assumptions!$B$15)))</f>
        <v>75</v>
      </c>
      <c r="S471" s="8" t="n">
        <f aca="false">IF(N471="Completed On Time",Assumptions!$B$16,IF(N471="Completed Late",Assumptions!$B$17,Assumptions!$B$18))</f>
        <v>100</v>
      </c>
      <c r="T471" s="8" t="n">
        <f aca="false">IF(I471=0,Assumptions!$B$20,IF(H471&gt;I471,Assumptions!$B$19,IF(H471=I471,Assumptions!$B$20,Assumptions!$B$21)))</f>
        <v>70</v>
      </c>
      <c r="U471" s="8" t="n">
        <f aca="false">ROUND(P471*Assumptions!$B$2+Q471*Assumptions!$B$3+R471*Assumptions!$B$4+S471*Assumptions!$B$5+T471*Assumptions!$B$6,0)</f>
        <v>70</v>
      </c>
      <c r="V471" s="8" t="str">
        <f aca="false">IF(U471&gt;=Assumptions!$B$10,"Healthy",IF(U471&gt;=Assumptions!$B$11,"Needs Attention","High Risk"))</f>
        <v>Needs Attention</v>
      </c>
    </row>
    <row r="472" customFormat="false" ht="15" hidden="false" customHeight="false" outlineLevel="0" collapsed="false">
      <c r="A472" s="8" t="s">
        <v>1085</v>
      </c>
      <c r="B472" s="8" t="s">
        <v>1086</v>
      </c>
      <c r="C472" s="8" t="s">
        <v>53</v>
      </c>
      <c r="D472" s="8" t="s">
        <v>326</v>
      </c>
      <c r="E472" s="8" t="s">
        <v>117</v>
      </c>
      <c r="F472" s="8" t="s">
        <v>166</v>
      </c>
      <c r="G472" s="8" t="s">
        <v>144</v>
      </c>
      <c r="H472" s="15" t="n">
        <v>3775</v>
      </c>
      <c r="I472" s="15" t="n">
        <v>3775</v>
      </c>
      <c r="J472" s="16" t="n">
        <v>0.775</v>
      </c>
      <c r="K472" s="8" t="n">
        <v>7</v>
      </c>
      <c r="L472" s="8" t="n">
        <v>6</v>
      </c>
      <c r="M472" s="8" t="n">
        <v>2</v>
      </c>
      <c r="N472" s="8" t="s">
        <v>148</v>
      </c>
      <c r="O472" s="15" t="n">
        <f aca="false">H472*12</f>
        <v>45300</v>
      </c>
      <c r="P472" s="8" t="n">
        <f aca="false">MIN(100,ROUND(100*J472/Assumptions!$B$8,0))</f>
        <v>86</v>
      </c>
      <c r="Q472" s="8" t="n">
        <f aca="false">IF(L472="",Assumptions!$B$9,L472*10)</f>
        <v>60</v>
      </c>
      <c r="R472" s="8" t="n">
        <f aca="false">IF(M472&lt;=1,Assumptions!$B$12,IF(M472&lt;=3,Assumptions!$B$13,IF(M472&lt;=6,Assumptions!$B$14,Assumptions!$B$15)))</f>
        <v>75</v>
      </c>
      <c r="S472" s="8" t="n">
        <f aca="false">IF(N472="Completed On Time",Assumptions!$B$16,IF(N472="Completed Late",Assumptions!$B$17,Assumptions!$B$18))</f>
        <v>60</v>
      </c>
      <c r="T472" s="8" t="n">
        <f aca="false">IF(I472=0,Assumptions!$B$20,IF(H472&gt;I472,Assumptions!$B$19,IF(H472=I472,Assumptions!$B$20,Assumptions!$B$21)))</f>
        <v>70</v>
      </c>
      <c r="U472" s="8" t="n">
        <f aca="false">ROUND(P472*Assumptions!$B$2+Q472*Assumptions!$B$3+R472*Assumptions!$B$4+S472*Assumptions!$B$5+T472*Assumptions!$B$6,0)</f>
        <v>73</v>
      </c>
      <c r="V472" s="8" t="str">
        <f aca="false">IF(U472&gt;=Assumptions!$B$10,"Healthy",IF(U472&gt;=Assumptions!$B$11,"Needs Attention","High Risk"))</f>
        <v>Needs Attention</v>
      </c>
    </row>
    <row r="473" customFormat="false" ht="15" hidden="false" customHeight="false" outlineLevel="0" collapsed="false">
      <c r="A473" s="8" t="s">
        <v>1087</v>
      </c>
      <c r="B473" s="8" t="s">
        <v>1088</v>
      </c>
      <c r="C473" s="8" t="s">
        <v>53</v>
      </c>
      <c r="D473" s="8" t="s">
        <v>326</v>
      </c>
      <c r="E473" s="8" t="s">
        <v>132</v>
      </c>
      <c r="F473" s="8" t="s">
        <v>133</v>
      </c>
      <c r="G473" s="8" t="s">
        <v>159</v>
      </c>
      <c r="H473" s="15" t="n">
        <v>3775</v>
      </c>
      <c r="I473" s="15" t="n">
        <v>3775</v>
      </c>
      <c r="J473" s="16" t="n">
        <v>0.625</v>
      </c>
      <c r="K473" s="8" t="n">
        <v>6.7</v>
      </c>
      <c r="L473" s="8" t="n">
        <v>6</v>
      </c>
      <c r="M473" s="8" t="n">
        <v>5</v>
      </c>
      <c r="N473" s="8" t="s">
        <v>120</v>
      </c>
      <c r="O473" s="15" t="n">
        <f aca="false">H473*12</f>
        <v>45300</v>
      </c>
      <c r="P473" s="8" t="n">
        <f aca="false">MIN(100,ROUND(100*J473/Assumptions!$B$8,0))</f>
        <v>69</v>
      </c>
      <c r="Q473" s="8" t="n">
        <f aca="false">IF(L473="",Assumptions!$B$9,L473*10)</f>
        <v>60</v>
      </c>
      <c r="R473" s="8" t="n">
        <f aca="false">IF(M473&lt;=1,Assumptions!$B$12,IF(M473&lt;=3,Assumptions!$B$13,IF(M473&lt;=6,Assumptions!$B$14,Assumptions!$B$15)))</f>
        <v>50</v>
      </c>
      <c r="S473" s="8" t="n">
        <f aca="false">IF(N473="Completed On Time",Assumptions!$B$16,IF(N473="Completed Late",Assumptions!$B$17,Assumptions!$B$18))</f>
        <v>100</v>
      </c>
      <c r="T473" s="8" t="n">
        <f aca="false">IF(I473=0,Assumptions!$B$20,IF(H473&gt;I473,Assumptions!$B$19,IF(H473=I473,Assumptions!$B$20,Assumptions!$B$21)))</f>
        <v>70</v>
      </c>
      <c r="U473" s="8" t="n">
        <f aca="false">ROUND(P473*Assumptions!$B$2+Q473*Assumptions!$B$3+R473*Assumptions!$B$4+S473*Assumptions!$B$5+T473*Assumptions!$B$6,0)</f>
        <v>68</v>
      </c>
      <c r="V473" s="8" t="str">
        <f aca="false">IF(U473&gt;=Assumptions!$B$10,"Healthy",IF(U473&gt;=Assumptions!$B$11,"Needs Attention","High Risk"))</f>
        <v>Needs Attention</v>
      </c>
    </row>
    <row r="474" customFormat="false" ht="15" hidden="false" customHeight="false" outlineLevel="0" collapsed="false">
      <c r="A474" s="8" t="s">
        <v>1089</v>
      </c>
      <c r="B474" s="8" t="s">
        <v>1090</v>
      </c>
      <c r="C474" s="8" t="s">
        <v>53</v>
      </c>
      <c r="D474" s="8" t="s">
        <v>326</v>
      </c>
      <c r="E474" s="8" t="s">
        <v>123</v>
      </c>
      <c r="F474" s="8" t="s">
        <v>143</v>
      </c>
      <c r="G474" s="8" t="s">
        <v>185</v>
      </c>
      <c r="H474" s="15" t="n">
        <v>3750</v>
      </c>
      <c r="I474" s="15" t="n">
        <v>3750</v>
      </c>
      <c r="J474" s="16" t="n">
        <v>0.84</v>
      </c>
      <c r="K474" s="8" t="n">
        <v>8.7</v>
      </c>
      <c r="L474" s="8" t="n">
        <v>9</v>
      </c>
      <c r="M474" s="8" t="n">
        <v>2</v>
      </c>
      <c r="N474" s="8" t="s">
        <v>120</v>
      </c>
      <c r="O474" s="15" t="n">
        <f aca="false">H474*12</f>
        <v>45000</v>
      </c>
      <c r="P474" s="8" t="n">
        <f aca="false">MIN(100,ROUND(100*J474/Assumptions!$B$8,0))</f>
        <v>93</v>
      </c>
      <c r="Q474" s="8" t="n">
        <f aca="false">IF(L474="",Assumptions!$B$9,L474*10)</f>
        <v>90</v>
      </c>
      <c r="R474" s="8" t="n">
        <f aca="false">IF(M474&lt;=1,Assumptions!$B$12,IF(M474&lt;=3,Assumptions!$B$13,IF(M474&lt;=6,Assumptions!$B$14,Assumptions!$B$15)))</f>
        <v>75</v>
      </c>
      <c r="S474" s="8" t="n">
        <f aca="false">IF(N474="Completed On Time",Assumptions!$B$16,IF(N474="Completed Late",Assumptions!$B$17,Assumptions!$B$18))</f>
        <v>100</v>
      </c>
      <c r="T474" s="8" t="n">
        <f aca="false">IF(I474=0,Assumptions!$B$20,IF(H474&gt;I474,Assumptions!$B$19,IF(H474=I474,Assumptions!$B$20,Assumptions!$B$21)))</f>
        <v>70</v>
      </c>
      <c r="U474" s="8" t="n">
        <f aca="false">ROUND(P474*Assumptions!$B$2+Q474*Assumptions!$B$3+R474*Assumptions!$B$4+S474*Assumptions!$B$5+T474*Assumptions!$B$6,0)</f>
        <v>86</v>
      </c>
      <c r="V474" s="8" t="str">
        <f aca="false">IF(U474&gt;=Assumptions!$B$10,"Healthy",IF(U474&gt;=Assumptions!$B$11,"Needs Attention","High Risk"))</f>
        <v>Healthy</v>
      </c>
    </row>
    <row r="475" customFormat="false" ht="15" hidden="false" customHeight="false" outlineLevel="0" collapsed="false">
      <c r="A475" s="8" t="s">
        <v>1091</v>
      </c>
      <c r="B475" s="8" t="s">
        <v>1092</v>
      </c>
      <c r="C475" s="8" t="s">
        <v>53</v>
      </c>
      <c r="D475" s="8" t="s">
        <v>326</v>
      </c>
      <c r="E475" s="8" t="s">
        <v>117</v>
      </c>
      <c r="F475" s="8" t="s">
        <v>133</v>
      </c>
      <c r="G475" s="8" t="s">
        <v>185</v>
      </c>
      <c r="H475" s="15" t="n">
        <v>3750</v>
      </c>
      <c r="I475" s="15" t="n">
        <v>3750</v>
      </c>
      <c r="J475" s="16" t="n">
        <v>0.953</v>
      </c>
      <c r="K475" s="8" t="n">
        <v>11.7</v>
      </c>
      <c r="L475" s="8" t="n">
        <v>10</v>
      </c>
      <c r="M475" s="8" t="n">
        <v>1</v>
      </c>
      <c r="N475" s="8" t="s">
        <v>120</v>
      </c>
      <c r="O475" s="15" t="n">
        <f aca="false">H475*12</f>
        <v>45000</v>
      </c>
      <c r="P475" s="8" t="n">
        <f aca="false">MIN(100,ROUND(100*J475/Assumptions!$B$8,0))</f>
        <v>100</v>
      </c>
      <c r="Q475" s="8" t="n">
        <f aca="false">IF(L475="",Assumptions!$B$9,L475*10)</f>
        <v>100</v>
      </c>
      <c r="R475" s="8" t="n">
        <f aca="false">IF(M475&lt;=1,Assumptions!$B$12,IF(M475&lt;=3,Assumptions!$B$13,IF(M475&lt;=6,Assumptions!$B$14,Assumptions!$B$15)))</f>
        <v>100</v>
      </c>
      <c r="S475" s="8" t="n">
        <f aca="false">IF(N475="Completed On Time",Assumptions!$B$16,IF(N475="Completed Late",Assumptions!$B$17,Assumptions!$B$18))</f>
        <v>100</v>
      </c>
      <c r="T475" s="8" t="n">
        <f aca="false">IF(I475=0,Assumptions!$B$20,IF(H475&gt;I475,Assumptions!$B$19,IF(H475=I475,Assumptions!$B$20,Assumptions!$B$21)))</f>
        <v>70</v>
      </c>
      <c r="U475" s="8" t="n">
        <f aca="false">ROUND(P475*Assumptions!$B$2+Q475*Assumptions!$B$3+R475*Assumptions!$B$4+S475*Assumptions!$B$5+T475*Assumptions!$B$6,0)</f>
        <v>94</v>
      </c>
      <c r="V475" s="8" t="str">
        <f aca="false">IF(U475&gt;=Assumptions!$B$10,"Healthy",IF(U475&gt;=Assumptions!$B$11,"Needs Attention","High Risk"))</f>
        <v>Healthy</v>
      </c>
    </row>
    <row r="476" customFormat="false" ht="15" hidden="false" customHeight="false" outlineLevel="0" collapsed="false">
      <c r="A476" s="8" t="s">
        <v>1093</v>
      </c>
      <c r="B476" s="8" t="s">
        <v>1094</v>
      </c>
      <c r="C476" s="8" t="s">
        <v>53</v>
      </c>
      <c r="D476" s="8" t="s">
        <v>326</v>
      </c>
      <c r="E476" s="8" t="s">
        <v>132</v>
      </c>
      <c r="F476" s="8" t="s">
        <v>133</v>
      </c>
      <c r="G476" s="8" t="s">
        <v>140</v>
      </c>
      <c r="H476" s="15" t="n">
        <v>3750</v>
      </c>
      <c r="I476" s="15" t="n">
        <v>3750</v>
      </c>
      <c r="J476" s="16" t="n">
        <v>0.842</v>
      </c>
      <c r="K476" s="8" t="n">
        <v>11.7</v>
      </c>
      <c r="L476" s="8" t="n">
        <v>8</v>
      </c>
      <c r="M476" s="8" t="n">
        <v>0</v>
      </c>
      <c r="N476" s="8" t="s">
        <v>120</v>
      </c>
      <c r="O476" s="15" t="n">
        <f aca="false">H476*12</f>
        <v>45000</v>
      </c>
      <c r="P476" s="8" t="n">
        <f aca="false">MIN(100,ROUND(100*J476/Assumptions!$B$8,0))</f>
        <v>94</v>
      </c>
      <c r="Q476" s="8" t="n">
        <f aca="false">IF(L476="",Assumptions!$B$9,L476*10)</f>
        <v>80</v>
      </c>
      <c r="R476" s="8" t="n">
        <f aca="false">IF(M476&lt;=1,Assumptions!$B$12,IF(M476&lt;=3,Assumptions!$B$13,IF(M476&lt;=6,Assumptions!$B$14,Assumptions!$B$15)))</f>
        <v>100</v>
      </c>
      <c r="S476" s="8" t="n">
        <f aca="false">IF(N476="Completed On Time",Assumptions!$B$16,IF(N476="Completed Late",Assumptions!$B$17,Assumptions!$B$18))</f>
        <v>100</v>
      </c>
      <c r="T476" s="8" t="n">
        <f aca="false">IF(I476=0,Assumptions!$B$20,IF(H476&gt;I476,Assumptions!$B$19,IF(H476=I476,Assumptions!$B$20,Assumptions!$B$21)))</f>
        <v>70</v>
      </c>
      <c r="U476" s="8" t="n">
        <f aca="false">ROUND(P476*Assumptions!$B$2+Q476*Assumptions!$B$3+R476*Assumptions!$B$4+S476*Assumptions!$B$5+T476*Assumptions!$B$6,0)</f>
        <v>88</v>
      </c>
      <c r="V476" s="8" t="str">
        <f aca="false">IF(U476&gt;=Assumptions!$B$10,"Healthy",IF(U476&gt;=Assumptions!$B$11,"Needs Attention","High Risk"))</f>
        <v>Healthy</v>
      </c>
    </row>
    <row r="477" customFormat="false" ht="15" hidden="false" customHeight="false" outlineLevel="0" collapsed="false">
      <c r="A477" s="8" t="s">
        <v>1095</v>
      </c>
      <c r="B477" s="8" t="s">
        <v>1096</v>
      </c>
      <c r="C477" s="8" t="s">
        <v>53</v>
      </c>
      <c r="D477" s="8" t="s">
        <v>55</v>
      </c>
      <c r="E477" s="8" t="s">
        <v>123</v>
      </c>
      <c r="F477" s="8" t="s">
        <v>124</v>
      </c>
      <c r="G477" s="8" t="s">
        <v>137</v>
      </c>
      <c r="H477" s="15" t="n">
        <v>3735</v>
      </c>
      <c r="I477" s="15" t="n">
        <v>3735</v>
      </c>
      <c r="J477" s="16" t="n">
        <v>0.586</v>
      </c>
      <c r="K477" s="8" t="n">
        <v>9.3</v>
      </c>
      <c r="L477" s="8" t="n">
        <v>7</v>
      </c>
      <c r="M477" s="8" t="n">
        <v>4</v>
      </c>
      <c r="N477" s="8" t="s">
        <v>120</v>
      </c>
      <c r="O477" s="15" t="n">
        <f aca="false">H477*12</f>
        <v>44820</v>
      </c>
      <c r="P477" s="8" t="n">
        <f aca="false">MIN(100,ROUND(100*J477/Assumptions!$B$8,0))</f>
        <v>65</v>
      </c>
      <c r="Q477" s="8" t="n">
        <f aca="false">IF(L477="",Assumptions!$B$9,L477*10)</f>
        <v>70</v>
      </c>
      <c r="R477" s="8" t="n">
        <f aca="false">IF(M477&lt;=1,Assumptions!$B$12,IF(M477&lt;=3,Assumptions!$B$13,IF(M477&lt;=6,Assumptions!$B$14,Assumptions!$B$15)))</f>
        <v>50</v>
      </c>
      <c r="S477" s="8" t="n">
        <f aca="false">IF(N477="Completed On Time",Assumptions!$B$16,IF(N477="Completed Late",Assumptions!$B$17,Assumptions!$B$18))</f>
        <v>100</v>
      </c>
      <c r="T477" s="8" t="n">
        <f aca="false">IF(I477=0,Assumptions!$B$20,IF(H477&gt;I477,Assumptions!$B$19,IF(H477=I477,Assumptions!$B$20,Assumptions!$B$21)))</f>
        <v>70</v>
      </c>
      <c r="U477" s="8" t="n">
        <f aca="false">ROUND(P477*Assumptions!$B$2+Q477*Assumptions!$B$3+R477*Assumptions!$B$4+S477*Assumptions!$B$5+T477*Assumptions!$B$6,0)</f>
        <v>68</v>
      </c>
      <c r="V477" s="8" t="str">
        <f aca="false">IF(U477&gt;=Assumptions!$B$10,"Healthy",IF(U477&gt;=Assumptions!$B$11,"Needs Attention","High Risk"))</f>
        <v>Needs Attention</v>
      </c>
    </row>
    <row r="478" customFormat="false" ht="15" hidden="false" customHeight="false" outlineLevel="0" collapsed="false">
      <c r="A478" s="8" t="s">
        <v>1097</v>
      </c>
      <c r="B478" s="8" t="s">
        <v>1098</v>
      </c>
      <c r="C478" s="8" t="s">
        <v>53</v>
      </c>
      <c r="D478" s="8" t="s">
        <v>55</v>
      </c>
      <c r="E478" s="8" t="s">
        <v>123</v>
      </c>
      <c r="F478" s="8" t="s">
        <v>190</v>
      </c>
      <c r="G478" s="8" t="s">
        <v>177</v>
      </c>
      <c r="H478" s="15" t="n">
        <v>3735</v>
      </c>
      <c r="I478" s="15" t="n">
        <v>0</v>
      </c>
      <c r="J478" s="16" t="n">
        <v>0.755</v>
      </c>
      <c r="K478" s="8" t="n">
        <v>10.3</v>
      </c>
      <c r="L478" s="8"/>
      <c r="M478" s="8" t="n">
        <v>3</v>
      </c>
      <c r="N478" s="8" t="s">
        <v>199</v>
      </c>
      <c r="O478" s="15" t="n">
        <f aca="false">H478*12</f>
        <v>44820</v>
      </c>
      <c r="P478" s="8" t="n">
        <f aca="false">MIN(100,ROUND(100*J478/Assumptions!$B$8,0))</f>
        <v>84</v>
      </c>
      <c r="Q478" s="8" t="n">
        <f aca="false">IF(L478="",Assumptions!$B$9,L478*10)</f>
        <v>50</v>
      </c>
      <c r="R478" s="8" t="n">
        <f aca="false">IF(M478&lt;=1,Assumptions!$B$12,IF(M478&lt;=3,Assumptions!$B$13,IF(M478&lt;=6,Assumptions!$B$14,Assumptions!$B$15)))</f>
        <v>75</v>
      </c>
      <c r="S478" s="8" t="n">
        <f aca="false">IF(N478="Completed On Time",Assumptions!$B$16,IF(N478="Completed Late",Assumptions!$B$17,Assumptions!$B$18))</f>
        <v>50</v>
      </c>
      <c r="T478" s="8" t="n">
        <f aca="false">IF(I478=0,Assumptions!$B$20,IF(H478&gt;I478,Assumptions!$B$19,IF(H478=I478,Assumptions!$B$20,Assumptions!$B$21)))</f>
        <v>70</v>
      </c>
      <c r="U478" s="8" t="n">
        <f aca="false">ROUND(P478*Assumptions!$B$2+Q478*Assumptions!$B$3+R478*Assumptions!$B$4+S478*Assumptions!$B$5+T478*Assumptions!$B$6,0)</f>
        <v>70</v>
      </c>
      <c r="V478" s="8" t="str">
        <f aca="false">IF(U478&gt;=Assumptions!$B$10,"Healthy",IF(U478&gt;=Assumptions!$B$11,"Needs Attention","High Risk"))</f>
        <v>Needs Attention</v>
      </c>
    </row>
    <row r="479" customFormat="false" ht="15" hidden="false" customHeight="false" outlineLevel="0" collapsed="false">
      <c r="A479" s="8" t="s">
        <v>1099</v>
      </c>
      <c r="B479" s="8" t="s">
        <v>1100</v>
      </c>
      <c r="C479" s="8" t="s">
        <v>53</v>
      </c>
      <c r="D479" s="8" t="s">
        <v>55</v>
      </c>
      <c r="E479" s="8" t="s">
        <v>128</v>
      </c>
      <c r="F479" s="8" t="s">
        <v>133</v>
      </c>
      <c r="G479" s="8" t="s">
        <v>144</v>
      </c>
      <c r="H479" s="15" t="n">
        <v>3735</v>
      </c>
      <c r="I479" s="15" t="n">
        <v>3735</v>
      </c>
      <c r="J479" s="16" t="n">
        <v>0.787</v>
      </c>
      <c r="K479" s="8" t="n">
        <v>9.3</v>
      </c>
      <c r="L479" s="8" t="n">
        <v>9</v>
      </c>
      <c r="M479" s="8" t="n">
        <v>1</v>
      </c>
      <c r="N479" s="8" t="s">
        <v>120</v>
      </c>
      <c r="O479" s="15" t="n">
        <f aca="false">H479*12</f>
        <v>44820</v>
      </c>
      <c r="P479" s="8" t="n">
        <f aca="false">MIN(100,ROUND(100*J479/Assumptions!$B$8,0))</f>
        <v>87</v>
      </c>
      <c r="Q479" s="8" t="n">
        <f aca="false">IF(L479="",Assumptions!$B$9,L479*10)</f>
        <v>90</v>
      </c>
      <c r="R479" s="8" t="n">
        <f aca="false">IF(M479&lt;=1,Assumptions!$B$12,IF(M479&lt;=3,Assumptions!$B$13,IF(M479&lt;=6,Assumptions!$B$14,Assumptions!$B$15)))</f>
        <v>100</v>
      </c>
      <c r="S479" s="8" t="n">
        <f aca="false">IF(N479="Completed On Time",Assumptions!$B$16,IF(N479="Completed Late",Assumptions!$B$17,Assumptions!$B$18))</f>
        <v>100</v>
      </c>
      <c r="T479" s="8" t="n">
        <f aca="false">IF(I479=0,Assumptions!$B$20,IF(H479&gt;I479,Assumptions!$B$19,IF(H479=I479,Assumptions!$B$20,Assumptions!$B$21)))</f>
        <v>70</v>
      </c>
      <c r="U479" s="8" t="n">
        <f aca="false">ROUND(P479*Assumptions!$B$2+Q479*Assumptions!$B$3+R479*Assumptions!$B$4+S479*Assumptions!$B$5+T479*Assumptions!$B$6,0)</f>
        <v>87</v>
      </c>
      <c r="V479" s="8" t="str">
        <f aca="false">IF(U479&gt;=Assumptions!$B$10,"Healthy",IF(U479&gt;=Assumptions!$B$11,"Needs Attention","High Risk"))</f>
        <v>Healthy</v>
      </c>
    </row>
    <row r="480" customFormat="false" ht="15" hidden="false" customHeight="false" outlineLevel="0" collapsed="false">
      <c r="A480" s="8" t="s">
        <v>1101</v>
      </c>
      <c r="B480" s="8" t="s">
        <v>1102</v>
      </c>
      <c r="C480" s="8" t="s">
        <v>53</v>
      </c>
      <c r="D480" s="8" t="s">
        <v>326</v>
      </c>
      <c r="E480" s="8" t="s">
        <v>128</v>
      </c>
      <c r="F480" s="8" t="s">
        <v>118</v>
      </c>
      <c r="G480" s="8" t="s">
        <v>119</v>
      </c>
      <c r="H480" s="15" t="n">
        <v>3725</v>
      </c>
      <c r="I480" s="15" t="n">
        <v>3725</v>
      </c>
      <c r="J480" s="16" t="n">
        <v>0.935</v>
      </c>
      <c r="K480" s="8" t="n">
        <v>9.7</v>
      </c>
      <c r="L480" s="8" t="n">
        <v>9</v>
      </c>
      <c r="M480" s="8" t="n">
        <v>2</v>
      </c>
      <c r="N480" s="8" t="s">
        <v>120</v>
      </c>
      <c r="O480" s="15" t="n">
        <f aca="false">H480*12</f>
        <v>44700</v>
      </c>
      <c r="P480" s="8" t="n">
        <f aca="false">MIN(100,ROUND(100*J480/Assumptions!$B$8,0))</f>
        <v>100</v>
      </c>
      <c r="Q480" s="8" t="n">
        <f aca="false">IF(L480="",Assumptions!$B$9,L480*10)</f>
        <v>90</v>
      </c>
      <c r="R480" s="8" t="n">
        <f aca="false">IF(M480&lt;=1,Assumptions!$B$12,IF(M480&lt;=3,Assumptions!$B$13,IF(M480&lt;=6,Assumptions!$B$14,Assumptions!$B$15)))</f>
        <v>75</v>
      </c>
      <c r="S480" s="8" t="n">
        <f aca="false">IF(N480="Completed On Time",Assumptions!$B$16,IF(N480="Completed Late",Assumptions!$B$17,Assumptions!$B$18))</f>
        <v>100</v>
      </c>
      <c r="T480" s="8" t="n">
        <f aca="false">IF(I480=0,Assumptions!$B$20,IF(H480&gt;I480,Assumptions!$B$19,IF(H480=I480,Assumptions!$B$20,Assumptions!$B$21)))</f>
        <v>70</v>
      </c>
      <c r="U480" s="8" t="n">
        <f aca="false">ROUND(P480*Assumptions!$B$2+Q480*Assumptions!$B$3+R480*Assumptions!$B$4+S480*Assumptions!$B$5+T480*Assumptions!$B$6,0)</f>
        <v>88</v>
      </c>
      <c r="V480" s="8" t="str">
        <f aca="false">IF(U480&gt;=Assumptions!$B$10,"Healthy",IF(U480&gt;=Assumptions!$B$11,"Needs Attention","High Risk"))</f>
        <v>Healthy</v>
      </c>
    </row>
    <row r="481" customFormat="false" ht="15" hidden="false" customHeight="false" outlineLevel="0" collapsed="false">
      <c r="A481" s="8" t="s">
        <v>1103</v>
      </c>
      <c r="B481" s="8" t="s">
        <v>1104</v>
      </c>
      <c r="C481" s="8" t="s">
        <v>53</v>
      </c>
      <c r="D481" s="8" t="s">
        <v>326</v>
      </c>
      <c r="E481" s="8" t="s">
        <v>128</v>
      </c>
      <c r="F481" s="8" t="s">
        <v>133</v>
      </c>
      <c r="G481" s="8" t="s">
        <v>129</v>
      </c>
      <c r="H481" s="15" t="n">
        <v>3700</v>
      </c>
      <c r="I481" s="15" t="n">
        <v>3700</v>
      </c>
      <c r="J481" s="16" t="n">
        <v>0.554</v>
      </c>
      <c r="K481" s="8" t="n">
        <v>7</v>
      </c>
      <c r="L481" s="8" t="n">
        <v>5</v>
      </c>
      <c r="M481" s="8" t="n">
        <v>9</v>
      </c>
      <c r="N481" s="8" t="s">
        <v>120</v>
      </c>
      <c r="O481" s="15" t="n">
        <f aca="false">H481*12</f>
        <v>44400</v>
      </c>
      <c r="P481" s="8" t="n">
        <f aca="false">MIN(100,ROUND(100*J481/Assumptions!$B$8,0))</f>
        <v>62</v>
      </c>
      <c r="Q481" s="8" t="n">
        <f aca="false">IF(L481="",Assumptions!$B$9,L481*10)</f>
        <v>50</v>
      </c>
      <c r="R481" s="8" t="n">
        <f aca="false">IF(M481&lt;=1,Assumptions!$B$12,IF(M481&lt;=3,Assumptions!$B$13,IF(M481&lt;=6,Assumptions!$B$14,Assumptions!$B$15)))</f>
        <v>20</v>
      </c>
      <c r="S481" s="8" t="n">
        <f aca="false">IF(N481="Completed On Time",Assumptions!$B$16,IF(N481="Completed Late",Assumptions!$B$17,Assumptions!$B$18))</f>
        <v>100</v>
      </c>
      <c r="T481" s="8" t="n">
        <f aca="false">IF(I481=0,Assumptions!$B$20,IF(H481&gt;I481,Assumptions!$B$19,IF(H481=I481,Assumptions!$B$20,Assumptions!$B$21)))</f>
        <v>70</v>
      </c>
      <c r="U481" s="8" t="n">
        <f aca="false">ROUND(P481*Assumptions!$B$2+Q481*Assumptions!$B$3+R481*Assumptions!$B$4+S481*Assumptions!$B$5+T481*Assumptions!$B$6,0)</f>
        <v>59</v>
      </c>
      <c r="V481" s="8" t="str">
        <f aca="false">IF(U481&gt;=Assumptions!$B$10,"Healthy",IF(U481&gt;=Assumptions!$B$11,"Needs Attention","High Risk"))</f>
        <v>High Risk</v>
      </c>
    </row>
    <row r="482" customFormat="false" ht="15" hidden="false" customHeight="false" outlineLevel="0" collapsed="false">
      <c r="A482" s="8" t="s">
        <v>1105</v>
      </c>
      <c r="B482" s="8" t="s">
        <v>1106</v>
      </c>
      <c r="C482" s="8" t="s">
        <v>53</v>
      </c>
      <c r="D482" s="8" t="s">
        <v>326</v>
      </c>
      <c r="E482" s="8" t="s">
        <v>132</v>
      </c>
      <c r="F482" s="8" t="s">
        <v>136</v>
      </c>
      <c r="G482" s="8" t="s">
        <v>129</v>
      </c>
      <c r="H482" s="15" t="n">
        <v>3700</v>
      </c>
      <c r="I482" s="15" t="n">
        <v>3700</v>
      </c>
      <c r="J482" s="16" t="n">
        <v>0.669</v>
      </c>
      <c r="K482" s="8" t="n">
        <v>7</v>
      </c>
      <c r="L482" s="8" t="n">
        <v>7</v>
      </c>
      <c r="M482" s="8" t="n">
        <v>2</v>
      </c>
      <c r="N482" s="8" t="s">
        <v>120</v>
      </c>
      <c r="O482" s="15" t="n">
        <f aca="false">H482*12</f>
        <v>44400</v>
      </c>
      <c r="P482" s="8" t="n">
        <f aca="false">MIN(100,ROUND(100*J482/Assumptions!$B$8,0))</f>
        <v>74</v>
      </c>
      <c r="Q482" s="8" t="n">
        <f aca="false">IF(L482="",Assumptions!$B$9,L482*10)</f>
        <v>70</v>
      </c>
      <c r="R482" s="8" t="n">
        <f aca="false">IF(M482&lt;=1,Assumptions!$B$12,IF(M482&lt;=3,Assumptions!$B$13,IF(M482&lt;=6,Assumptions!$B$14,Assumptions!$B$15)))</f>
        <v>75</v>
      </c>
      <c r="S482" s="8" t="n">
        <f aca="false">IF(N482="Completed On Time",Assumptions!$B$16,IF(N482="Completed Late",Assumptions!$B$17,Assumptions!$B$18))</f>
        <v>100</v>
      </c>
      <c r="T482" s="8" t="n">
        <f aca="false">IF(I482=0,Assumptions!$B$20,IF(H482&gt;I482,Assumptions!$B$19,IF(H482=I482,Assumptions!$B$20,Assumptions!$B$21)))</f>
        <v>70</v>
      </c>
      <c r="U482" s="8" t="n">
        <f aca="false">ROUND(P482*Assumptions!$B$2+Q482*Assumptions!$B$3+R482*Assumptions!$B$4+S482*Assumptions!$B$5+T482*Assumptions!$B$6,0)</f>
        <v>75</v>
      </c>
      <c r="V482" s="8" t="str">
        <f aca="false">IF(U482&gt;=Assumptions!$B$10,"Healthy",IF(U482&gt;=Assumptions!$B$11,"Needs Attention","High Risk"))</f>
        <v>Needs Attention</v>
      </c>
    </row>
    <row r="483" customFormat="false" ht="15" hidden="false" customHeight="false" outlineLevel="0" collapsed="false">
      <c r="A483" s="8" t="s">
        <v>1107</v>
      </c>
      <c r="B483" s="8" t="s">
        <v>1108</v>
      </c>
      <c r="C483" s="8" t="s">
        <v>53</v>
      </c>
      <c r="D483" s="8" t="s">
        <v>55</v>
      </c>
      <c r="E483" s="8" t="s">
        <v>123</v>
      </c>
      <c r="F483" s="8" t="s">
        <v>151</v>
      </c>
      <c r="G483" s="8" t="s">
        <v>159</v>
      </c>
      <c r="H483" s="15" t="n">
        <v>3690</v>
      </c>
      <c r="I483" s="15" t="n">
        <v>3690</v>
      </c>
      <c r="J483" s="16" t="n">
        <v>0.764</v>
      </c>
      <c r="K483" s="8" t="n">
        <v>9.3</v>
      </c>
      <c r="L483" s="8" t="n">
        <v>7</v>
      </c>
      <c r="M483" s="8" t="n">
        <v>2</v>
      </c>
      <c r="N483" s="8" t="s">
        <v>148</v>
      </c>
      <c r="O483" s="15" t="n">
        <f aca="false">H483*12</f>
        <v>44280</v>
      </c>
      <c r="P483" s="8" t="n">
        <f aca="false">MIN(100,ROUND(100*J483/Assumptions!$B$8,0))</f>
        <v>85</v>
      </c>
      <c r="Q483" s="8" t="n">
        <f aca="false">IF(L483="",Assumptions!$B$9,L483*10)</f>
        <v>70</v>
      </c>
      <c r="R483" s="8" t="n">
        <f aca="false">IF(M483&lt;=1,Assumptions!$B$12,IF(M483&lt;=3,Assumptions!$B$13,IF(M483&lt;=6,Assumptions!$B$14,Assumptions!$B$15)))</f>
        <v>75</v>
      </c>
      <c r="S483" s="8" t="n">
        <f aca="false">IF(N483="Completed On Time",Assumptions!$B$16,IF(N483="Completed Late",Assumptions!$B$17,Assumptions!$B$18))</f>
        <v>60</v>
      </c>
      <c r="T483" s="8" t="n">
        <f aca="false">IF(I483=0,Assumptions!$B$20,IF(H483&gt;I483,Assumptions!$B$19,IF(H483=I483,Assumptions!$B$20,Assumptions!$B$21)))</f>
        <v>70</v>
      </c>
      <c r="U483" s="8" t="n">
        <f aca="false">ROUND(P483*Assumptions!$B$2+Q483*Assumptions!$B$3+R483*Assumptions!$B$4+S483*Assumptions!$B$5+T483*Assumptions!$B$6,0)</f>
        <v>75</v>
      </c>
      <c r="V483" s="8" t="str">
        <f aca="false">IF(U483&gt;=Assumptions!$B$10,"Healthy",IF(U483&gt;=Assumptions!$B$11,"Needs Attention","High Risk"))</f>
        <v>Needs Attention</v>
      </c>
    </row>
    <row r="484" customFormat="false" ht="15" hidden="false" customHeight="false" outlineLevel="0" collapsed="false">
      <c r="A484" s="8" t="s">
        <v>1109</v>
      </c>
      <c r="B484" s="8" t="s">
        <v>1110</v>
      </c>
      <c r="C484" s="8" t="s">
        <v>53</v>
      </c>
      <c r="D484" s="8" t="s">
        <v>55</v>
      </c>
      <c r="E484" s="8" t="s">
        <v>117</v>
      </c>
      <c r="F484" s="8" t="s">
        <v>223</v>
      </c>
      <c r="G484" s="8" t="s">
        <v>159</v>
      </c>
      <c r="H484" s="15" t="n">
        <v>3690</v>
      </c>
      <c r="I484" s="15" t="n">
        <v>3690</v>
      </c>
      <c r="J484" s="16" t="n">
        <v>0.768</v>
      </c>
      <c r="K484" s="8" t="n">
        <v>9</v>
      </c>
      <c r="L484" s="8" t="n">
        <v>9</v>
      </c>
      <c r="M484" s="8" t="n">
        <v>0</v>
      </c>
      <c r="N484" s="8" t="s">
        <v>120</v>
      </c>
      <c r="O484" s="15" t="n">
        <f aca="false">H484*12</f>
        <v>44280</v>
      </c>
      <c r="P484" s="8" t="n">
        <f aca="false">MIN(100,ROUND(100*J484/Assumptions!$B$8,0))</f>
        <v>85</v>
      </c>
      <c r="Q484" s="8" t="n">
        <f aca="false">IF(L484="",Assumptions!$B$9,L484*10)</f>
        <v>90</v>
      </c>
      <c r="R484" s="8" t="n">
        <f aca="false">IF(M484&lt;=1,Assumptions!$B$12,IF(M484&lt;=3,Assumptions!$B$13,IF(M484&lt;=6,Assumptions!$B$14,Assumptions!$B$15)))</f>
        <v>100</v>
      </c>
      <c r="S484" s="8" t="n">
        <f aca="false">IF(N484="Completed On Time",Assumptions!$B$16,IF(N484="Completed Late",Assumptions!$B$17,Assumptions!$B$18))</f>
        <v>100</v>
      </c>
      <c r="T484" s="8" t="n">
        <f aca="false">IF(I484=0,Assumptions!$B$20,IF(H484&gt;I484,Assumptions!$B$19,IF(H484=I484,Assumptions!$B$20,Assumptions!$B$21)))</f>
        <v>70</v>
      </c>
      <c r="U484" s="8" t="n">
        <f aca="false">ROUND(P484*Assumptions!$B$2+Q484*Assumptions!$B$3+R484*Assumptions!$B$4+S484*Assumptions!$B$5+T484*Assumptions!$B$6,0)</f>
        <v>87</v>
      </c>
      <c r="V484" s="8" t="str">
        <f aca="false">IF(U484&gt;=Assumptions!$B$10,"Healthy",IF(U484&gt;=Assumptions!$B$11,"Needs Attention","High Risk"))</f>
        <v>Healthy</v>
      </c>
    </row>
    <row r="485" customFormat="false" ht="15" hidden="false" customHeight="false" outlineLevel="0" collapsed="false">
      <c r="A485" s="8" t="s">
        <v>1111</v>
      </c>
      <c r="B485" s="8" t="s">
        <v>1112</v>
      </c>
      <c r="C485" s="8" t="s">
        <v>53</v>
      </c>
      <c r="D485" s="8" t="s">
        <v>55</v>
      </c>
      <c r="E485" s="8" t="s">
        <v>132</v>
      </c>
      <c r="F485" s="8" t="s">
        <v>143</v>
      </c>
      <c r="G485" s="8" t="s">
        <v>125</v>
      </c>
      <c r="H485" s="15" t="n">
        <v>3690</v>
      </c>
      <c r="I485" s="15" t="n">
        <v>3690</v>
      </c>
      <c r="J485" s="16" t="n">
        <v>0.577</v>
      </c>
      <c r="K485" s="8" t="n">
        <v>8</v>
      </c>
      <c r="L485" s="8" t="n">
        <v>3</v>
      </c>
      <c r="M485" s="8" t="n">
        <v>5</v>
      </c>
      <c r="N485" s="8" t="s">
        <v>120</v>
      </c>
      <c r="O485" s="15" t="n">
        <f aca="false">H485*12</f>
        <v>44280</v>
      </c>
      <c r="P485" s="8" t="n">
        <f aca="false">MIN(100,ROUND(100*J485/Assumptions!$B$8,0))</f>
        <v>64</v>
      </c>
      <c r="Q485" s="8" t="n">
        <f aca="false">IF(L485="",Assumptions!$B$9,L485*10)</f>
        <v>30</v>
      </c>
      <c r="R485" s="8" t="n">
        <f aca="false">IF(M485&lt;=1,Assumptions!$B$12,IF(M485&lt;=3,Assumptions!$B$13,IF(M485&lt;=6,Assumptions!$B$14,Assumptions!$B$15)))</f>
        <v>50</v>
      </c>
      <c r="S485" s="8" t="n">
        <f aca="false">IF(N485="Completed On Time",Assumptions!$B$16,IF(N485="Completed Late",Assumptions!$B$17,Assumptions!$B$18))</f>
        <v>100</v>
      </c>
      <c r="T485" s="8" t="n">
        <f aca="false">IF(I485=0,Assumptions!$B$20,IF(H485&gt;I485,Assumptions!$B$19,IF(H485=I485,Assumptions!$B$20,Assumptions!$B$21)))</f>
        <v>70</v>
      </c>
      <c r="U485" s="8" t="n">
        <f aca="false">ROUND(P485*Assumptions!$B$2+Q485*Assumptions!$B$3+R485*Assumptions!$B$4+S485*Assumptions!$B$5+T485*Assumptions!$B$6,0)</f>
        <v>60</v>
      </c>
      <c r="V485" s="8" t="str">
        <f aca="false">IF(U485&gt;=Assumptions!$B$10,"Healthy",IF(U485&gt;=Assumptions!$B$11,"Needs Attention","High Risk"))</f>
        <v>High Risk</v>
      </c>
    </row>
    <row r="486" customFormat="false" ht="15" hidden="false" customHeight="false" outlineLevel="0" collapsed="false">
      <c r="A486" s="8" t="s">
        <v>1113</v>
      </c>
      <c r="B486" s="8" t="s">
        <v>1114</v>
      </c>
      <c r="C486" s="8" t="s">
        <v>53</v>
      </c>
      <c r="D486" s="8" t="s">
        <v>55</v>
      </c>
      <c r="E486" s="8" t="s">
        <v>132</v>
      </c>
      <c r="F486" s="8" t="s">
        <v>136</v>
      </c>
      <c r="G486" s="8" t="s">
        <v>147</v>
      </c>
      <c r="H486" s="15" t="n">
        <v>3690</v>
      </c>
      <c r="I486" s="15" t="n">
        <v>3690</v>
      </c>
      <c r="J486" s="16" t="n">
        <v>0.837</v>
      </c>
      <c r="K486" s="8" t="n">
        <v>12</v>
      </c>
      <c r="L486" s="8" t="n">
        <v>10</v>
      </c>
      <c r="M486" s="8" t="n">
        <v>1</v>
      </c>
      <c r="N486" s="8" t="s">
        <v>120</v>
      </c>
      <c r="O486" s="15" t="n">
        <f aca="false">H486*12</f>
        <v>44280</v>
      </c>
      <c r="P486" s="8" t="n">
        <f aca="false">MIN(100,ROUND(100*J486/Assumptions!$B$8,0))</f>
        <v>93</v>
      </c>
      <c r="Q486" s="8" t="n">
        <f aca="false">IF(L486="",Assumptions!$B$9,L486*10)</f>
        <v>100</v>
      </c>
      <c r="R486" s="8" t="n">
        <f aca="false">IF(M486&lt;=1,Assumptions!$B$12,IF(M486&lt;=3,Assumptions!$B$13,IF(M486&lt;=6,Assumptions!$B$14,Assumptions!$B$15)))</f>
        <v>100</v>
      </c>
      <c r="S486" s="8" t="n">
        <f aca="false">IF(N486="Completed On Time",Assumptions!$B$16,IF(N486="Completed Late",Assumptions!$B$17,Assumptions!$B$18))</f>
        <v>100</v>
      </c>
      <c r="T486" s="8" t="n">
        <f aca="false">IF(I486=0,Assumptions!$B$20,IF(H486&gt;I486,Assumptions!$B$19,IF(H486=I486,Assumptions!$B$20,Assumptions!$B$21)))</f>
        <v>70</v>
      </c>
      <c r="U486" s="8" t="n">
        <f aca="false">ROUND(P486*Assumptions!$B$2+Q486*Assumptions!$B$3+R486*Assumptions!$B$4+S486*Assumptions!$B$5+T486*Assumptions!$B$6,0)</f>
        <v>92</v>
      </c>
      <c r="V486" s="8" t="str">
        <f aca="false">IF(U486&gt;=Assumptions!$B$10,"Healthy",IF(U486&gt;=Assumptions!$B$11,"Needs Attention","High Risk"))</f>
        <v>Healthy</v>
      </c>
    </row>
    <row r="487" customFormat="false" ht="15" hidden="false" customHeight="false" outlineLevel="0" collapsed="false">
      <c r="A487" s="8" t="s">
        <v>1115</v>
      </c>
      <c r="B487" s="8" t="s">
        <v>1116</v>
      </c>
      <c r="C487" s="8" t="s">
        <v>53</v>
      </c>
      <c r="D487" s="8" t="s">
        <v>326</v>
      </c>
      <c r="E487" s="8" t="s">
        <v>123</v>
      </c>
      <c r="F487" s="8" t="s">
        <v>190</v>
      </c>
      <c r="G487" s="8" t="s">
        <v>159</v>
      </c>
      <c r="H487" s="15" t="n">
        <v>3675</v>
      </c>
      <c r="I487" s="15" t="n">
        <v>3675</v>
      </c>
      <c r="J487" s="16" t="n">
        <v>0.961</v>
      </c>
      <c r="K487" s="8" t="n">
        <v>11.7</v>
      </c>
      <c r="L487" s="8" t="n">
        <v>10</v>
      </c>
      <c r="M487" s="8" t="n">
        <v>1</v>
      </c>
      <c r="N487" s="8" t="s">
        <v>120</v>
      </c>
      <c r="O487" s="15" t="n">
        <f aca="false">H487*12</f>
        <v>44100</v>
      </c>
      <c r="P487" s="8" t="n">
        <f aca="false">MIN(100,ROUND(100*J487/Assumptions!$B$8,0))</f>
        <v>100</v>
      </c>
      <c r="Q487" s="8" t="n">
        <f aca="false">IF(L487="",Assumptions!$B$9,L487*10)</f>
        <v>100</v>
      </c>
      <c r="R487" s="8" t="n">
        <f aca="false">IF(M487&lt;=1,Assumptions!$B$12,IF(M487&lt;=3,Assumptions!$B$13,IF(M487&lt;=6,Assumptions!$B$14,Assumptions!$B$15)))</f>
        <v>100</v>
      </c>
      <c r="S487" s="8" t="n">
        <f aca="false">IF(N487="Completed On Time",Assumptions!$B$16,IF(N487="Completed Late",Assumptions!$B$17,Assumptions!$B$18))</f>
        <v>100</v>
      </c>
      <c r="T487" s="8" t="n">
        <f aca="false">IF(I487=0,Assumptions!$B$20,IF(H487&gt;I487,Assumptions!$B$19,IF(H487=I487,Assumptions!$B$20,Assumptions!$B$21)))</f>
        <v>70</v>
      </c>
      <c r="U487" s="8" t="n">
        <f aca="false">ROUND(P487*Assumptions!$B$2+Q487*Assumptions!$B$3+R487*Assumptions!$B$4+S487*Assumptions!$B$5+T487*Assumptions!$B$6,0)</f>
        <v>94</v>
      </c>
      <c r="V487" s="8" t="str">
        <f aca="false">IF(U487&gt;=Assumptions!$B$10,"Healthy",IF(U487&gt;=Assumptions!$B$11,"Needs Attention","High Risk"))</f>
        <v>Healthy</v>
      </c>
    </row>
    <row r="488" customFormat="false" ht="15" hidden="false" customHeight="false" outlineLevel="0" collapsed="false">
      <c r="A488" s="8" t="s">
        <v>1117</v>
      </c>
      <c r="B488" s="8" t="s">
        <v>1118</v>
      </c>
      <c r="C488" s="8" t="s">
        <v>53</v>
      </c>
      <c r="D488" s="8" t="s">
        <v>326</v>
      </c>
      <c r="E488" s="8" t="s">
        <v>132</v>
      </c>
      <c r="F488" s="8" t="s">
        <v>118</v>
      </c>
      <c r="G488" s="8" t="s">
        <v>119</v>
      </c>
      <c r="H488" s="15" t="n">
        <v>3675</v>
      </c>
      <c r="I488" s="15" t="n">
        <v>3675</v>
      </c>
      <c r="J488" s="16" t="n">
        <v>0.841</v>
      </c>
      <c r="K488" s="8" t="n">
        <v>11</v>
      </c>
      <c r="L488" s="8" t="n">
        <v>8</v>
      </c>
      <c r="M488" s="8" t="n">
        <v>6</v>
      </c>
      <c r="N488" s="8" t="s">
        <v>120</v>
      </c>
      <c r="O488" s="15" t="n">
        <f aca="false">H488*12</f>
        <v>44100</v>
      </c>
      <c r="P488" s="8" t="n">
        <f aca="false">MIN(100,ROUND(100*J488/Assumptions!$B$8,0))</f>
        <v>93</v>
      </c>
      <c r="Q488" s="8" t="n">
        <f aca="false">IF(L488="",Assumptions!$B$9,L488*10)</f>
        <v>80</v>
      </c>
      <c r="R488" s="8" t="n">
        <f aca="false">IF(M488&lt;=1,Assumptions!$B$12,IF(M488&lt;=3,Assumptions!$B$13,IF(M488&lt;=6,Assumptions!$B$14,Assumptions!$B$15)))</f>
        <v>50</v>
      </c>
      <c r="S488" s="8" t="n">
        <f aca="false">IF(N488="Completed On Time",Assumptions!$B$16,IF(N488="Completed Late",Assumptions!$B$17,Assumptions!$B$18))</f>
        <v>100</v>
      </c>
      <c r="T488" s="8" t="n">
        <f aca="false">IF(I488=0,Assumptions!$B$20,IF(H488&gt;I488,Assumptions!$B$19,IF(H488=I488,Assumptions!$B$20,Assumptions!$B$21)))</f>
        <v>70</v>
      </c>
      <c r="U488" s="8" t="n">
        <f aca="false">ROUND(P488*Assumptions!$B$2+Q488*Assumptions!$B$3+R488*Assumptions!$B$4+S488*Assumptions!$B$5+T488*Assumptions!$B$6,0)</f>
        <v>80</v>
      </c>
      <c r="V488" s="8" t="str">
        <f aca="false">IF(U488&gt;=Assumptions!$B$10,"Healthy",IF(U488&gt;=Assumptions!$B$11,"Needs Attention","High Risk"))</f>
        <v>Healthy</v>
      </c>
    </row>
    <row r="489" customFormat="false" ht="15" hidden="false" customHeight="false" outlineLevel="0" collapsed="false">
      <c r="A489" s="8" t="s">
        <v>1119</v>
      </c>
      <c r="B489" s="8" t="s">
        <v>1120</v>
      </c>
      <c r="C489" s="8" t="s">
        <v>53</v>
      </c>
      <c r="D489" s="8" t="s">
        <v>326</v>
      </c>
      <c r="E489" s="8" t="s">
        <v>117</v>
      </c>
      <c r="F489" s="8" t="s">
        <v>154</v>
      </c>
      <c r="G489" s="8" t="s">
        <v>125</v>
      </c>
      <c r="H489" s="15" t="n">
        <v>3675</v>
      </c>
      <c r="I489" s="15" t="n">
        <v>3675</v>
      </c>
      <c r="J489" s="16" t="n">
        <v>0.916</v>
      </c>
      <c r="K489" s="8" t="n">
        <v>11</v>
      </c>
      <c r="L489" s="8" t="n">
        <v>9</v>
      </c>
      <c r="M489" s="8" t="n">
        <v>0</v>
      </c>
      <c r="N489" s="8" t="s">
        <v>120</v>
      </c>
      <c r="O489" s="15" t="n">
        <f aca="false">H489*12</f>
        <v>44100</v>
      </c>
      <c r="P489" s="8" t="n">
        <f aca="false">MIN(100,ROUND(100*J489/Assumptions!$B$8,0))</f>
        <v>100</v>
      </c>
      <c r="Q489" s="8" t="n">
        <f aca="false">IF(L489="",Assumptions!$B$9,L489*10)</f>
        <v>90</v>
      </c>
      <c r="R489" s="8" t="n">
        <f aca="false">IF(M489&lt;=1,Assumptions!$B$12,IF(M489&lt;=3,Assumptions!$B$13,IF(M489&lt;=6,Assumptions!$B$14,Assumptions!$B$15)))</f>
        <v>100</v>
      </c>
      <c r="S489" s="8" t="n">
        <f aca="false">IF(N489="Completed On Time",Assumptions!$B$16,IF(N489="Completed Late",Assumptions!$B$17,Assumptions!$B$18))</f>
        <v>100</v>
      </c>
      <c r="T489" s="8" t="n">
        <f aca="false">IF(I489=0,Assumptions!$B$20,IF(H489&gt;I489,Assumptions!$B$19,IF(H489=I489,Assumptions!$B$20,Assumptions!$B$21)))</f>
        <v>70</v>
      </c>
      <c r="U489" s="8" t="n">
        <f aca="false">ROUND(P489*Assumptions!$B$2+Q489*Assumptions!$B$3+R489*Assumptions!$B$4+S489*Assumptions!$B$5+T489*Assumptions!$B$6,0)</f>
        <v>92</v>
      </c>
      <c r="V489" s="8" t="str">
        <f aca="false">IF(U489&gt;=Assumptions!$B$10,"Healthy",IF(U489&gt;=Assumptions!$B$11,"Needs Attention","High Risk"))</f>
        <v>Healthy</v>
      </c>
    </row>
    <row r="490" customFormat="false" ht="15" hidden="false" customHeight="false" outlineLevel="0" collapsed="false">
      <c r="A490" s="8" t="s">
        <v>1121</v>
      </c>
      <c r="B490" s="8" t="s">
        <v>1122</v>
      </c>
      <c r="C490" s="8" t="s">
        <v>53</v>
      </c>
      <c r="D490" s="8" t="s">
        <v>326</v>
      </c>
      <c r="E490" s="8" t="s">
        <v>132</v>
      </c>
      <c r="F490" s="8" t="s">
        <v>223</v>
      </c>
      <c r="G490" s="8" t="s">
        <v>177</v>
      </c>
      <c r="H490" s="15" t="n">
        <v>3650</v>
      </c>
      <c r="I490" s="15" t="n">
        <v>3650</v>
      </c>
      <c r="J490" s="16" t="n">
        <v>0.678</v>
      </c>
      <c r="K490" s="8" t="n">
        <v>8.7</v>
      </c>
      <c r="L490" s="8" t="n">
        <v>6</v>
      </c>
      <c r="M490" s="8" t="n">
        <v>4</v>
      </c>
      <c r="N490" s="8" t="s">
        <v>120</v>
      </c>
      <c r="O490" s="15" t="n">
        <f aca="false">H490*12</f>
        <v>43800</v>
      </c>
      <c r="P490" s="8" t="n">
        <f aca="false">MIN(100,ROUND(100*J490/Assumptions!$B$8,0))</f>
        <v>75</v>
      </c>
      <c r="Q490" s="8" t="n">
        <f aca="false">IF(L490="",Assumptions!$B$9,L490*10)</f>
        <v>60</v>
      </c>
      <c r="R490" s="8" t="n">
        <f aca="false">IF(M490&lt;=1,Assumptions!$B$12,IF(M490&lt;=3,Assumptions!$B$13,IF(M490&lt;=6,Assumptions!$B$14,Assumptions!$B$15)))</f>
        <v>50</v>
      </c>
      <c r="S490" s="8" t="n">
        <f aca="false">IF(N490="Completed On Time",Assumptions!$B$16,IF(N490="Completed Late",Assumptions!$B$17,Assumptions!$B$18))</f>
        <v>100</v>
      </c>
      <c r="T490" s="8" t="n">
        <f aca="false">IF(I490=0,Assumptions!$B$20,IF(H490&gt;I490,Assumptions!$B$19,IF(H490=I490,Assumptions!$B$20,Assumptions!$B$21)))</f>
        <v>70</v>
      </c>
      <c r="U490" s="8" t="n">
        <f aca="false">ROUND(P490*Assumptions!$B$2+Q490*Assumptions!$B$3+R490*Assumptions!$B$4+S490*Assumptions!$B$5+T490*Assumptions!$B$6,0)</f>
        <v>70</v>
      </c>
      <c r="V490" s="8" t="str">
        <f aca="false">IF(U490&gt;=Assumptions!$B$10,"Healthy",IF(U490&gt;=Assumptions!$B$11,"Needs Attention","High Risk"))</f>
        <v>Needs Attention</v>
      </c>
    </row>
    <row r="491" customFormat="false" ht="15" hidden="false" customHeight="false" outlineLevel="0" collapsed="false">
      <c r="A491" s="8" t="s">
        <v>1123</v>
      </c>
      <c r="B491" s="8" t="s">
        <v>1124</v>
      </c>
      <c r="C491" s="8" t="s">
        <v>53</v>
      </c>
      <c r="D491" s="8" t="s">
        <v>326</v>
      </c>
      <c r="E491" s="8" t="s">
        <v>123</v>
      </c>
      <c r="F491" s="8" t="s">
        <v>133</v>
      </c>
      <c r="G491" s="8" t="s">
        <v>180</v>
      </c>
      <c r="H491" s="15" t="n">
        <v>3650</v>
      </c>
      <c r="I491" s="15" t="n">
        <v>0</v>
      </c>
      <c r="J491" s="16" t="n">
        <v>0.644</v>
      </c>
      <c r="K491" s="8" t="n">
        <v>5.5</v>
      </c>
      <c r="L491" s="8"/>
      <c r="M491" s="8" t="n">
        <v>3</v>
      </c>
      <c r="N491" s="8" t="s">
        <v>199</v>
      </c>
      <c r="O491" s="15" t="n">
        <f aca="false">H491*12</f>
        <v>43800</v>
      </c>
      <c r="P491" s="8" t="n">
        <f aca="false">MIN(100,ROUND(100*J491/Assumptions!$B$8,0))</f>
        <v>72</v>
      </c>
      <c r="Q491" s="8" t="n">
        <f aca="false">IF(L491="",Assumptions!$B$9,L491*10)</f>
        <v>50</v>
      </c>
      <c r="R491" s="8" t="n">
        <f aca="false">IF(M491&lt;=1,Assumptions!$B$12,IF(M491&lt;=3,Assumptions!$B$13,IF(M491&lt;=6,Assumptions!$B$14,Assumptions!$B$15)))</f>
        <v>75</v>
      </c>
      <c r="S491" s="8" t="n">
        <f aca="false">IF(N491="Completed On Time",Assumptions!$B$16,IF(N491="Completed Late",Assumptions!$B$17,Assumptions!$B$18))</f>
        <v>50</v>
      </c>
      <c r="T491" s="8" t="n">
        <f aca="false">IF(I491=0,Assumptions!$B$20,IF(H491&gt;I491,Assumptions!$B$19,IF(H491=I491,Assumptions!$B$20,Assumptions!$B$21)))</f>
        <v>70</v>
      </c>
      <c r="U491" s="8" t="n">
        <f aca="false">ROUND(P491*Assumptions!$B$2+Q491*Assumptions!$B$3+R491*Assumptions!$B$4+S491*Assumptions!$B$5+T491*Assumptions!$B$6,0)</f>
        <v>65</v>
      </c>
      <c r="V491" s="8" t="str">
        <f aca="false">IF(U491&gt;=Assumptions!$B$10,"Healthy",IF(U491&gt;=Assumptions!$B$11,"Needs Attention","High Risk"))</f>
        <v>Needs Attention</v>
      </c>
    </row>
    <row r="492" customFormat="false" ht="15" hidden="false" customHeight="false" outlineLevel="0" collapsed="false">
      <c r="A492" s="8" t="s">
        <v>1125</v>
      </c>
      <c r="B492" s="8" t="s">
        <v>1126</v>
      </c>
      <c r="C492" s="8" t="s">
        <v>53</v>
      </c>
      <c r="D492" s="8" t="s">
        <v>55</v>
      </c>
      <c r="E492" s="8" t="s">
        <v>117</v>
      </c>
      <c r="F492" s="8" t="s">
        <v>143</v>
      </c>
      <c r="G492" s="8" t="s">
        <v>140</v>
      </c>
      <c r="H492" s="15" t="n">
        <v>3645</v>
      </c>
      <c r="I492" s="15" t="n">
        <v>3645</v>
      </c>
      <c r="J492" s="16" t="n">
        <v>0.889</v>
      </c>
      <c r="K492" s="8" t="n">
        <v>11.7</v>
      </c>
      <c r="L492" s="8" t="n">
        <v>10</v>
      </c>
      <c r="M492" s="8" t="n">
        <v>2</v>
      </c>
      <c r="N492" s="8" t="s">
        <v>120</v>
      </c>
      <c r="O492" s="15" t="n">
        <f aca="false">H492*12</f>
        <v>43740</v>
      </c>
      <c r="P492" s="8" t="n">
        <f aca="false">MIN(100,ROUND(100*J492/Assumptions!$B$8,0))</f>
        <v>99</v>
      </c>
      <c r="Q492" s="8" t="n">
        <f aca="false">IF(L492="",Assumptions!$B$9,L492*10)</f>
        <v>100</v>
      </c>
      <c r="R492" s="8" t="n">
        <f aca="false">IF(M492&lt;=1,Assumptions!$B$12,IF(M492&lt;=3,Assumptions!$B$13,IF(M492&lt;=6,Assumptions!$B$14,Assumptions!$B$15)))</f>
        <v>75</v>
      </c>
      <c r="S492" s="8" t="n">
        <f aca="false">IF(N492="Completed On Time",Assumptions!$B$16,IF(N492="Completed Late",Assumptions!$B$17,Assumptions!$B$18))</f>
        <v>100</v>
      </c>
      <c r="T492" s="8" t="n">
        <f aca="false">IF(I492=0,Assumptions!$B$20,IF(H492&gt;I492,Assumptions!$B$19,IF(H492=I492,Assumptions!$B$20,Assumptions!$B$21)))</f>
        <v>70</v>
      </c>
      <c r="U492" s="8" t="n">
        <f aca="false">ROUND(P492*Assumptions!$B$2+Q492*Assumptions!$B$3+R492*Assumptions!$B$4+S492*Assumptions!$B$5+T492*Assumptions!$B$6,0)</f>
        <v>90</v>
      </c>
      <c r="V492" s="8" t="str">
        <f aca="false">IF(U492&gt;=Assumptions!$B$10,"Healthy",IF(U492&gt;=Assumptions!$B$11,"Needs Attention","High Risk"))</f>
        <v>Healthy</v>
      </c>
    </row>
    <row r="493" customFormat="false" ht="15" hidden="false" customHeight="false" outlineLevel="0" collapsed="false">
      <c r="A493" s="8" t="s">
        <v>1127</v>
      </c>
      <c r="B493" s="8" t="s">
        <v>1128</v>
      </c>
      <c r="C493" s="8" t="s">
        <v>53</v>
      </c>
      <c r="D493" s="8" t="s">
        <v>326</v>
      </c>
      <c r="E493" s="8" t="s">
        <v>123</v>
      </c>
      <c r="F493" s="8" t="s">
        <v>118</v>
      </c>
      <c r="G493" s="8" t="s">
        <v>185</v>
      </c>
      <c r="H493" s="15" t="n">
        <v>3625</v>
      </c>
      <c r="I493" s="15" t="n">
        <v>2775</v>
      </c>
      <c r="J493" s="16" t="n">
        <v>0.717</v>
      </c>
      <c r="K493" s="8" t="n">
        <v>11.7</v>
      </c>
      <c r="L493" s="8" t="n">
        <v>8</v>
      </c>
      <c r="M493" s="8" t="n">
        <v>2</v>
      </c>
      <c r="N493" s="8" t="s">
        <v>120</v>
      </c>
      <c r="O493" s="15" t="n">
        <f aca="false">H493*12</f>
        <v>43500</v>
      </c>
      <c r="P493" s="8" t="n">
        <f aca="false">MIN(100,ROUND(100*J493/Assumptions!$B$8,0))</f>
        <v>80</v>
      </c>
      <c r="Q493" s="8" t="n">
        <f aca="false">IF(L493="",Assumptions!$B$9,L493*10)</f>
        <v>80</v>
      </c>
      <c r="R493" s="8" t="n">
        <f aca="false">IF(M493&lt;=1,Assumptions!$B$12,IF(M493&lt;=3,Assumptions!$B$13,IF(M493&lt;=6,Assumptions!$B$14,Assumptions!$B$15)))</f>
        <v>75</v>
      </c>
      <c r="S493" s="8" t="n">
        <f aca="false">IF(N493="Completed On Time",Assumptions!$B$16,IF(N493="Completed Late",Assumptions!$B$17,Assumptions!$B$18))</f>
        <v>100</v>
      </c>
      <c r="T493" s="8" t="n">
        <f aca="false">IF(I493=0,Assumptions!$B$20,IF(H493&gt;I493,Assumptions!$B$19,IF(H493=I493,Assumptions!$B$20,Assumptions!$B$21)))</f>
        <v>100</v>
      </c>
      <c r="U493" s="8" t="n">
        <f aca="false">ROUND(P493*Assumptions!$B$2+Q493*Assumptions!$B$3+R493*Assumptions!$B$4+S493*Assumptions!$B$5+T493*Assumptions!$B$6,0)</f>
        <v>85</v>
      </c>
      <c r="V493" s="8" t="str">
        <f aca="false">IF(U493&gt;=Assumptions!$B$10,"Healthy",IF(U493&gt;=Assumptions!$B$11,"Needs Attention","High Risk"))</f>
        <v>Healthy</v>
      </c>
    </row>
    <row r="494" customFormat="false" ht="15" hidden="false" customHeight="false" outlineLevel="0" collapsed="false">
      <c r="A494" s="8" t="s">
        <v>1129</v>
      </c>
      <c r="B494" s="8" t="s">
        <v>1130</v>
      </c>
      <c r="C494" s="8" t="s">
        <v>53</v>
      </c>
      <c r="D494" s="8" t="s">
        <v>326</v>
      </c>
      <c r="E494" s="8" t="s">
        <v>123</v>
      </c>
      <c r="F494" s="8" t="s">
        <v>151</v>
      </c>
      <c r="G494" s="8" t="s">
        <v>177</v>
      </c>
      <c r="H494" s="15" t="n">
        <v>3625</v>
      </c>
      <c r="I494" s="15" t="n">
        <v>3625</v>
      </c>
      <c r="J494" s="16" t="n">
        <v>0.655</v>
      </c>
      <c r="K494" s="8" t="n">
        <v>7.7</v>
      </c>
      <c r="L494" s="8" t="n">
        <v>8</v>
      </c>
      <c r="M494" s="8" t="n">
        <v>1</v>
      </c>
      <c r="N494" s="8" t="s">
        <v>120</v>
      </c>
      <c r="O494" s="15" t="n">
        <f aca="false">H494*12</f>
        <v>43500</v>
      </c>
      <c r="P494" s="8" t="n">
        <f aca="false">MIN(100,ROUND(100*J494/Assumptions!$B$8,0))</f>
        <v>73</v>
      </c>
      <c r="Q494" s="8" t="n">
        <f aca="false">IF(L494="",Assumptions!$B$9,L494*10)</f>
        <v>80</v>
      </c>
      <c r="R494" s="8" t="n">
        <f aca="false">IF(M494&lt;=1,Assumptions!$B$12,IF(M494&lt;=3,Assumptions!$B$13,IF(M494&lt;=6,Assumptions!$B$14,Assumptions!$B$15)))</f>
        <v>100</v>
      </c>
      <c r="S494" s="8" t="n">
        <f aca="false">IF(N494="Completed On Time",Assumptions!$B$16,IF(N494="Completed Late",Assumptions!$B$17,Assumptions!$B$18))</f>
        <v>100</v>
      </c>
      <c r="T494" s="8" t="n">
        <f aca="false">IF(I494=0,Assumptions!$B$20,IF(H494&gt;I494,Assumptions!$B$19,IF(H494=I494,Assumptions!$B$20,Assumptions!$B$21)))</f>
        <v>70</v>
      </c>
      <c r="U494" s="8" t="n">
        <f aca="false">ROUND(P494*Assumptions!$B$2+Q494*Assumptions!$B$3+R494*Assumptions!$B$4+S494*Assumptions!$B$5+T494*Assumptions!$B$6,0)</f>
        <v>81</v>
      </c>
      <c r="V494" s="8" t="str">
        <f aca="false">IF(U494&gt;=Assumptions!$B$10,"Healthy",IF(U494&gt;=Assumptions!$B$11,"Needs Attention","High Risk"))</f>
        <v>Healthy</v>
      </c>
    </row>
    <row r="495" customFormat="false" ht="15" hidden="false" customHeight="false" outlineLevel="0" collapsed="false">
      <c r="A495" s="8" t="s">
        <v>1131</v>
      </c>
      <c r="B495" s="8" t="s">
        <v>1132</v>
      </c>
      <c r="C495" s="8" t="s">
        <v>53</v>
      </c>
      <c r="D495" s="8" t="s">
        <v>326</v>
      </c>
      <c r="E495" s="8" t="s">
        <v>123</v>
      </c>
      <c r="F495" s="8" t="s">
        <v>133</v>
      </c>
      <c r="G495" s="8" t="s">
        <v>140</v>
      </c>
      <c r="H495" s="15" t="n">
        <v>3625</v>
      </c>
      <c r="I495" s="15" t="n">
        <v>3625</v>
      </c>
      <c r="J495" s="16" t="n">
        <v>0.791</v>
      </c>
      <c r="K495" s="8" t="n">
        <v>9</v>
      </c>
      <c r="L495" s="8" t="n">
        <v>10</v>
      </c>
      <c r="M495" s="8" t="n">
        <v>1</v>
      </c>
      <c r="N495" s="8" t="s">
        <v>120</v>
      </c>
      <c r="O495" s="15" t="n">
        <f aca="false">H495*12</f>
        <v>43500</v>
      </c>
      <c r="P495" s="8" t="n">
        <f aca="false">MIN(100,ROUND(100*J495/Assumptions!$B$8,0))</f>
        <v>88</v>
      </c>
      <c r="Q495" s="8" t="n">
        <f aca="false">IF(L495="",Assumptions!$B$9,L495*10)</f>
        <v>100</v>
      </c>
      <c r="R495" s="8" t="n">
        <f aca="false">IF(M495&lt;=1,Assumptions!$B$12,IF(M495&lt;=3,Assumptions!$B$13,IF(M495&lt;=6,Assumptions!$B$14,Assumptions!$B$15)))</f>
        <v>100</v>
      </c>
      <c r="S495" s="8" t="n">
        <f aca="false">IF(N495="Completed On Time",Assumptions!$B$16,IF(N495="Completed Late",Assumptions!$B$17,Assumptions!$B$18))</f>
        <v>100</v>
      </c>
      <c r="T495" s="8" t="n">
        <f aca="false">IF(I495=0,Assumptions!$B$20,IF(H495&gt;I495,Assumptions!$B$19,IF(H495=I495,Assumptions!$B$20,Assumptions!$B$21)))</f>
        <v>70</v>
      </c>
      <c r="U495" s="8" t="n">
        <f aca="false">ROUND(P495*Assumptions!$B$2+Q495*Assumptions!$B$3+R495*Assumptions!$B$4+S495*Assumptions!$B$5+T495*Assumptions!$B$6,0)</f>
        <v>90</v>
      </c>
      <c r="V495" s="8" t="str">
        <f aca="false">IF(U495&gt;=Assumptions!$B$10,"Healthy",IF(U495&gt;=Assumptions!$B$11,"Needs Attention","High Risk"))</f>
        <v>Healthy</v>
      </c>
    </row>
    <row r="496" customFormat="false" ht="15" hidden="false" customHeight="false" outlineLevel="0" collapsed="false">
      <c r="A496" s="8" t="s">
        <v>1133</v>
      </c>
      <c r="B496" s="8" t="s">
        <v>1134</v>
      </c>
      <c r="C496" s="8" t="s">
        <v>53</v>
      </c>
      <c r="D496" s="8" t="s">
        <v>326</v>
      </c>
      <c r="E496" s="8" t="s">
        <v>128</v>
      </c>
      <c r="F496" s="8" t="s">
        <v>136</v>
      </c>
      <c r="G496" s="8" t="s">
        <v>140</v>
      </c>
      <c r="H496" s="15" t="n">
        <v>3600</v>
      </c>
      <c r="I496" s="15" t="n">
        <v>3600</v>
      </c>
      <c r="J496" s="16" t="n">
        <v>0.917</v>
      </c>
      <c r="K496" s="8" t="n">
        <v>11</v>
      </c>
      <c r="L496" s="8" t="n">
        <v>9</v>
      </c>
      <c r="M496" s="8" t="n">
        <v>1</v>
      </c>
      <c r="N496" s="8" t="s">
        <v>120</v>
      </c>
      <c r="O496" s="15" t="n">
        <f aca="false">H496*12</f>
        <v>43200</v>
      </c>
      <c r="P496" s="8" t="n">
        <f aca="false">MIN(100,ROUND(100*J496/Assumptions!$B$8,0))</f>
        <v>100</v>
      </c>
      <c r="Q496" s="8" t="n">
        <f aca="false">IF(L496="",Assumptions!$B$9,L496*10)</f>
        <v>90</v>
      </c>
      <c r="R496" s="8" t="n">
        <f aca="false">IF(M496&lt;=1,Assumptions!$B$12,IF(M496&lt;=3,Assumptions!$B$13,IF(M496&lt;=6,Assumptions!$B$14,Assumptions!$B$15)))</f>
        <v>100</v>
      </c>
      <c r="S496" s="8" t="n">
        <f aca="false">IF(N496="Completed On Time",Assumptions!$B$16,IF(N496="Completed Late",Assumptions!$B$17,Assumptions!$B$18))</f>
        <v>100</v>
      </c>
      <c r="T496" s="8" t="n">
        <f aca="false">IF(I496=0,Assumptions!$B$20,IF(H496&gt;I496,Assumptions!$B$19,IF(H496=I496,Assumptions!$B$20,Assumptions!$B$21)))</f>
        <v>70</v>
      </c>
      <c r="U496" s="8" t="n">
        <f aca="false">ROUND(P496*Assumptions!$B$2+Q496*Assumptions!$B$3+R496*Assumptions!$B$4+S496*Assumptions!$B$5+T496*Assumptions!$B$6,0)</f>
        <v>92</v>
      </c>
      <c r="V496" s="8" t="str">
        <f aca="false">IF(U496&gt;=Assumptions!$B$10,"Healthy",IF(U496&gt;=Assumptions!$B$11,"Needs Attention","High Risk"))</f>
        <v>Healthy</v>
      </c>
    </row>
    <row r="497" customFormat="false" ht="15" hidden="false" customHeight="false" outlineLevel="0" collapsed="false">
      <c r="A497" s="8" t="s">
        <v>1135</v>
      </c>
      <c r="B497" s="8" t="s">
        <v>1136</v>
      </c>
      <c r="C497" s="8" t="s">
        <v>53</v>
      </c>
      <c r="D497" s="8" t="s">
        <v>55</v>
      </c>
      <c r="E497" s="8" t="s">
        <v>123</v>
      </c>
      <c r="F497" s="8" t="s">
        <v>151</v>
      </c>
      <c r="G497" s="8" t="s">
        <v>204</v>
      </c>
      <c r="H497" s="15" t="n">
        <v>3600</v>
      </c>
      <c r="I497" s="15" t="n">
        <v>3600</v>
      </c>
      <c r="J497" s="16" t="n">
        <v>0.783</v>
      </c>
      <c r="K497" s="8" t="n">
        <v>9.7</v>
      </c>
      <c r="L497" s="8" t="n">
        <v>10</v>
      </c>
      <c r="M497" s="8" t="n">
        <v>0</v>
      </c>
      <c r="N497" s="8" t="s">
        <v>120</v>
      </c>
      <c r="O497" s="15" t="n">
        <f aca="false">H497*12</f>
        <v>43200</v>
      </c>
      <c r="P497" s="8" t="n">
        <f aca="false">MIN(100,ROUND(100*J497/Assumptions!$B$8,0))</f>
        <v>87</v>
      </c>
      <c r="Q497" s="8" t="n">
        <f aca="false">IF(L497="",Assumptions!$B$9,L497*10)</f>
        <v>100</v>
      </c>
      <c r="R497" s="8" t="n">
        <f aca="false">IF(M497&lt;=1,Assumptions!$B$12,IF(M497&lt;=3,Assumptions!$B$13,IF(M497&lt;=6,Assumptions!$B$14,Assumptions!$B$15)))</f>
        <v>100</v>
      </c>
      <c r="S497" s="8" t="n">
        <f aca="false">IF(N497="Completed On Time",Assumptions!$B$16,IF(N497="Completed Late",Assumptions!$B$17,Assumptions!$B$18))</f>
        <v>100</v>
      </c>
      <c r="T497" s="8" t="n">
        <f aca="false">IF(I497=0,Assumptions!$B$20,IF(H497&gt;I497,Assumptions!$B$19,IF(H497=I497,Assumptions!$B$20,Assumptions!$B$21)))</f>
        <v>70</v>
      </c>
      <c r="U497" s="8" t="n">
        <f aca="false">ROUND(P497*Assumptions!$B$2+Q497*Assumptions!$B$3+R497*Assumptions!$B$4+S497*Assumptions!$B$5+T497*Assumptions!$B$6,0)</f>
        <v>89</v>
      </c>
      <c r="V497" s="8" t="str">
        <f aca="false">IF(U497&gt;=Assumptions!$B$10,"Healthy",IF(U497&gt;=Assumptions!$B$11,"Needs Attention","High Risk"))</f>
        <v>Healthy</v>
      </c>
    </row>
    <row r="498" customFormat="false" ht="15" hidden="false" customHeight="false" outlineLevel="0" collapsed="false">
      <c r="A498" s="8" t="s">
        <v>1137</v>
      </c>
      <c r="B498" s="8" t="s">
        <v>1138</v>
      </c>
      <c r="C498" s="8" t="s">
        <v>53</v>
      </c>
      <c r="D498" s="8" t="s">
        <v>326</v>
      </c>
      <c r="E498" s="8" t="s">
        <v>132</v>
      </c>
      <c r="F498" s="8" t="s">
        <v>124</v>
      </c>
      <c r="G498" s="8" t="s">
        <v>140</v>
      </c>
      <c r="H498" s="15" t="n">
        <v>3600</v>
      </c>
      <c r="I498" s="15" t="n">
        <v>3600</v>
      </c>
      <c r="J498" s="16" t="n">
        <v>0.843</v>
      </c>
      <c r="K498" s="8" t="n">
        <v>10.7</v>
      </c>
      <c r="L498" s="8" t="n">
        <v>8</v>
      </c>
      <c r="M498" s="8" t="n">
        <v>2</v>
      </c>
      <c r="N498" s="8" t="s">
        <v>120</v>
      </c>
      <c r="O498" s="15" t="n">
        <f aca="false">H498*12</f>
        <v>43200</v>
      </c>
      <c r="P498" s="8" t="n">
        <f aca="false">MIN(100,ROUND(100*J498/Assumptions!$B$8,0))</f>
        <v>94</v>
      </c>
      <c r="Q498" s="8" t="n">
        <f aca="false">IF(L498="",Assumptions!$B$9,L498*10)</f>
        <v>80</v>
      </c>
      <c r="R498" s="8" t="n">
        <f aca="false">IF(M498&lt;=1,Assumptions!$B$12,IF(M498&lt;=3,Assumptions!$B$13,IF(M498&lt;=6,Assumptions!$B$14,Assumptions!$B$15)))</f>
        <v>75</v>
      </c>
      <c r="S498" s="8" t="n">
        <f aca="false">IF(N498="Completed On Time",Assumptions!$B$16,IF(N498="Completed Late",Assumptions!$B$17,Assumptions!$B$18))</f>
        <v>100</v>
      </c>
      <c r="T498" s="8" t="n">
        <f aca="false">IF(I498=0,Assumptions!$B$20,IF(H498&gt;I498,Assumptions!$B$19,IF(H498=I498,Assumptions!$B$20,Assumptions!$B$21)))</f>
        <v>70</v>
      </c>
      <c r="U498" s="8" t="n">
        <f aca="false">ROUND(P498*Assumptions!$B$2+Q498*Assumptions!$B$3+R498*Assumptions!$B$4+S498*Assumptions!$B$5+T498*Assumptions!$B$6,0)</f>
        <v>84</v>
      </c>
      <c r="V498" s="8" t="str">
        <f aca="false">IF(U498&gt;=Assumptions!$B$10,"Healthy",IF(U498&gt;=Assumptions!$B$11,"Needs Attention","High Risk"))</f>
        <v>Healthy</v>
      </c>
    </row>
    <row r="499" customFormat="false" ht="15" hidden="false" customHeight="false" outlineLevel="0" collapsed="false">
      <c r="A499" s="8" t="s">
        <v>1139</v>
      </c>
      <c r="B499" s="8" t="s">
        <v>1140</v>
      </c>
      <c r="C499" s="8" t="s">
        <v>53</v>
      </c>
      <c r="D499" s="8" t="s">
        <v>326</v>
      </c>
      <c r="E499" s="8" t="s">
        <v>123</v>
      </c>
      <c r="F499" s="8" t="s">
        <v>166</v>
      </c>
      <c r="G499" s="8" t="s">
        <v>119</v>
      </c>
      <c r="H499" s="15" t="n">
        <v>3600</v>
      </c>
      <c r="I499" s="15" t="n">
        <v>3600</v>
      </c>
      <c r="J499" s="16" t="n">
        <v>0.667</v>
      </c>
      <c r="K499" s="8" t="n">
        <v>8.7</v>
      </c>
      <c r="L499" s="8" t="n">
        <v>8</v>
      </c>
      <c r="M499" s="8" t="n">
        <v>7</v>
      </c>
      <c r="N499" s="8" t="s">
        <v>120</v>
      </c>
      <c r="O499" s="15" t="n">
        <f aca="false">H499*12</f>
        <v>43200</v>
      </c>
      <c r="P499" s="8" t="n">
        <f aca="false">MIN(100,ROUND(100*J499/Assumptions!$B$8,0))</f>
        <v>74</v>
      </c>
      <c r="Q499" s="8" t="n">
        <f aca="false">IF(L499="",Assumptions!$B$9,L499*10)</f>
        <v>80</v>
      </c>
      <c r="R499" s="8" t="n">
        <f aca="false">IF(M499&lt;=1,Assumptions!$B$12,IF(M499&lt;=3,Assumptions!$B$13,IF(M499&lt;=6,Assumptions!$B$14,Assumptions!$B$15)))</f>
        <v>20</v>
      </c>
      <c r="S499" s="8" t="n">
        <f aca="false">IF(N499="Completed On Time",Assumptions!$B$16,IF(N499="Completed Late",Assumptions!$B$17,Assumptions!$B$18))</f>
        <v>100</v>
      </c>
      <c r="T499" s="8" t="n">
        <f aca="false">IF(I499=0,Assumptions!$B$20,IF(H499&gt;I499,Assumptions!$B$19,IF(H499=I499,Assumptions!$B$20,Assumptions!$B$21)))</f>
        <v>70</v>
      </c>
      <c r="U499" s="8" t="n">
        <f aca="false">ROUND(P499*Assumptions!$B$2+Q499*Assumptions!$B$3+R499*Assumptions!$B$4+S499*Assumptions!$B$5+T499*Assumptions!$B$6,0)</f>
        <v>69</v>
      </c>
      <c r="V499" s="8" t="str">
        <f aca="false">IF(U499&gt;=Assumptions!$B$10,"Healthy",IF(U499&gt;=Assumptions!$B$11,"Needs Attention","High Risk"))</f>
        <v>Needs Attention</v>
      </c>
    </row>
    <row r="500" customFormat="false" ht="15" hidden="false" customHeight="false" outlineLevel="0" collapsed="false">
      <c r="A500" s="8" t="s">
        <v>1141</v>
      </c>
      <c r="B500" s="8" t="s">
        <v>1142</v>
      </c>
      <c r="C500" s="8" t="s">
        <v>53</v>
      </c>
      <c r="D500" s="8" t="s">
        <v>326</v>
      </c>
      <c r="E500" s="8" t="s">
        <v>123</v>
      </c>
      <c r="F500" s="8" t="s">
        <v>166</v>
      </c>
      <c r="G500" s="8" t="s">
        <v>129</v>
      </c>
      <c r="H500" s="15" t="n">
        <v>3600</v>
      </c>
      <c r="I500" s="15" t="n">
        <v>3600</v>
      </c>
      <c r="J500" s="16" t="n">
        <v>0.738</v>
      </c>
      <c r="K500" s="8" t="n">
        <v>9.7</v>
      </c>
      <c r="L500" s="8" t="n">
        <v>7</v>
      </c>
      <c r="M500" s="8" t="n">
        <v>2</v>
      </c>
      <c r="N500" s="8" t="s">
        <v>120</v>
      </c>
      <c r="O500" s="15" t="n">
        <f aca="false">H500*12</f>
        <v>43200</v>
      </c>
      <c r="P500" s="8" t="n">
        <f aca="false">MIN(100,ROUND(100*J500/Assumptions!$B$8,0))</f>
        <v>82</v>
      </c>
      <c r="Q500" s="8" t="n">
        <f aca="false">IF(L500="",Assumptions!$B$9,L500*10)</f>
        <v>70</v>
      </c>
      <c r="R500" s="8" t="n">
        <f aca="false">IF(M500&lt;=1,Assumptions!$B$12,IF(M500&lt;=3,Assumptions!$B$13,IF(M500&lt;=6,Assumptions!$B$14,Assumptions!$B$15)))</f>
        <v>75</v>
      </c>
      <c r="S500" s="8" t="n">
        <f aca="false">IF(N500="Completed On Time",Assumptions!$B$16,IF(N500="Completed Late",Assumptions!$B$17,Assumptions!$B$18))</f>
        <v>100</v>
      </c>
      <c r="T500" s="8" t="n">
        <f aca="false">IF(I500=0,Assumptions!$B$20,IF(H500&gt;I500,Assumptions!$B$19,IF(H500=I500,Assumptions!$B$20,Assumptions!$B$21)))</f>
        <v>70</v>
      </c>
      <c r="U500" s="8" t="n">
        <f aca="false">ROUND(P500*Assumptions!$B$2+Q500*Assumptions!$B$3+R500*Assumptions!$B$4+S500*Assumptions!$B$5+T500*Assumptions!$B$6,0)</f>
        <v>78</v>
      </c>
      <c r="V500" s="8" t="str">
        <f aca="false">IF(U500&gt;=Assumptions!$B$10,"Healthy",IF(U500&gt;=Assumptions!$B$11,"Needs Attention","High Risk"))</f>
        <v>Needs Attention</v>
      </c>
    </row>
    <row r="501" customFormat="false" ht="15" hidden="false" customHeight="false" outlineLevel="0" collapsed="false">
      <c r="A501" s="8" t="s">
        <v>1143</v>
      </c>
      <c r="B501" s="8" t="s">
        <v>1144</v>
      </c>
      <c r="C501" s="8" t="s">
        <v>53</v>
      </c>
      <c r="D501" s="8" t="s">
        <v>326</v>
      </c>
      <c r="E501" s="8" t="s">
        <v>117</v>
      </c>
      <c r="F501" s="8" t="s">
        <v>223</v>
      </c>
      <c r="G501" s="8" t="s">
        <v>147</v>
      </c>
      <c r="H501" s="15" t="n">
        <v>3600</v>
      </c>
      <c r="I501" s="15" t="n">
        <v>3600</v>
      </c>
      <c r="J501" s="16" t="n">
        <v>0.743</v>
      </c>
      <c r="K501" s="8" t="n">
        <v>8</v>
      </c>
      <c r="L501" s="8" t="n">
        <v>10</v>
      </c>
      <c r="M501" s="8" t="n">
        <v>3</v>
      </c>
      <c r="N501" s="8" t="s">
        <v>120</v>
      </c>
      <c r="O501" s="15" t="n">
        <f aca="false">H501*12</f>
        <v>43200</v>
      </c>
      <c r="P501" s="8" t="n">
        <f aca="false">MIN(100,ROUND(100*J501/Assumptions!$B$8,0))</f>
        <v>83</v>
      </c>
      <c r="Q501" s="8" t="n">
        <f aca="false">IF(L501="",Assumptions!$B$9,L501*10)</f>
        <v>100</v>
      </c>
      <c r="R501" s="8" t="n">
        <f aca="false">IF(M501&lt;=1,Assumptions!$B$12,IF(M501&lt;=3,Assumptions!$B$13,IF(M501&lt;=6,Assumptions!$B$14,Assumptions!$B$15)))</f>
        <v>75</v>
      </c>
      <c r="S501" s="8" t="n">
        <f aca="false">IF(N501="Completed On Time",Assumptions!$B$16,IF(N501="Completed Late",Assumptions!$B$17,Assumptions!$B$18))</f>
        <v>100</v>
      </c>
      <c r="T501" s="8" t="n">
        <f aca="false">IF(I501=0,Assumptions!$B$20,IF(H501&gt;I501,Assumptions!$B$19,IF(H501=I501,Assumptions!$B$20,Assumptions!$B$21)))</f>
        <v>70</v>
      </c>
      <c r="U501" s="8" t="n">
        <f aca="false">ROUND(P501*Assumptions!$B$2+Q501*Assumptions!$B$3+R501*Assumptions!$B$4+S501*Assumptions!$B$5+T501*Assumptions!$B$6,0)</f>
        <v>84</v>
      </c>
      <c r="V501" s="8" t="str">
        <f aca="false">IF(U501&gt;=Assumptions!$B$10,"Healthy",IF(U501&gt;=Assumptions!$B$11,"Needs Attention","High Risk"))</f>
        <v>Healthy</v>
      </c>
    </row>
    <row r="502" customFormat="false" ht="15" hidden="false" customHeight="false" outlineLevel="0" collapsed="false">
      <c r="A502" s="8" t="s">
        <v>1145</v>
      </c>
      <c r="B502" s="8" t="s">
        <v>1146</v>
      </c>
      <c r="C502" s="8" t="s">
        <v>53</v>
      </c>
      <c r="D502" s="8" t="s">
        <v>326</v>
      </c>
      <c r="E502" s="8" t="s">
        <v>132</v>
      </c>
      <c r="F502" s="8" t="s">
        <v>124</v>
      </c>
      <c r="G502" s="8" t="s">
        <v>140</v>
      </c>
      <c r="H502" s="15" t="n">
        <v>3575</v>
      </c>
      <c r="I502" s="15" t="n">
        <v>3575</v>
      </c>
      <c r="J502" s="16" t="n">
        <v>0.762</v>
      </c>
      <c r="K502" s="8" t="n">
        <v>7.3</v>
      </c>
      <c r="L502" s="8" t="n">
        <v>10</v>
      </c>
      <c r="M502" s="8" t="n">
        <v>2</v>
      </c>
      <c r="N502" s="8" t="s">
        <v>120</v>
      </c>
      <c r="O502" s="15" t="n">
        <f aca="false">H502*12</f>
        <v>42900</v>
      </c>
      <c r="P502" s="8" t="n">
        <f aca="false">MIN(100,ROUND(100*J502/Assumptions!$B$8,0))</f>
        <v>85</v>
      </c>
      <c r="Q502" s="8" t="n">
        <f aca="false">IF(L502="",Assumptions!$B$9,L502*10)</f>
        <v>100</v>
      </c>
      <c r="R502" s="8" t="n">
        <f aca="false">IF(M502&lt;=1,Assumptions!$B$12,IF(M502&lt;=3,Assumptions!$B$13,IF(M502&lt;=6,Assumptions!$B$14,Assumptions!$B$15)))</f>
        <v>75</v>
      </c>
      <c r="S502" s="8" t="n">
        <f aca="false">IF(N502="Completed On Time",Assumptions!$B$16,IF(N502="Completed Late",Assumptions!$B$17,Assumptions!$B$18))</f>
        <v>100</v>
      </c>
      <c r="T502" s="8" t="n">
        <f aca="false">IF(I502=0,Assumptions!$B$20,IF(H502&gt;I502,Assumptions!$B$19,IF(H502=I502,Assumptions!$B$20,Assumptions!$B$21)))</f>
        <v>70</v>
      </c>
      <c r="U502" s="8" t="n">
        <f aca="false">ROUND(P502*Assumptions!$B$2+Q502*Assumptions!$B$3+R502*Assumptions!$B$4+S502*Assumptions!$B$5+T502*Assumptions!$B$6,0)</f>
        <v>85</v>
      </c>
      <c r="V502" s="8" t="str">
        <f aca="false">IF(U502&gt;=Assumptions!$B$10,"Healthy",IF(U502&gt;=Assumptions!$B$11,"Needs Attention","High Risk"))</f>
        <v>Healthy</v>
      </c>
    </row>
    <row r="503" customFormat="false" ht="15" hidden="false" customHeight="false" outlineLevel="0" collapsed="false">
      <c r="A503" s="8" t="s">
        <v>1147</v>
      </c>
      <c r="B503" s="8" t="s">
        <v>1148</v>
      </c>
      <c r="C503" s="8" t="s">
        <v>53</v>
      </c>
      <c r="D503" s="8" t="s">
        <v>55</v>
      </c>
      <c r="E503" s="8" t="s">
        <v>132</v>
      </c>
      <c r="F503" s="8" t="s">
        <v>118</v>
      </c>
      <c r="G503" s="8" t="s">
        <v>144</v>
      </c>
      <c r="H503" s="15" t="n">
        <v>3555</v>
      </c>
      <c r="I503" s="15" t="n">
        <v>3555</v>
      </c>
      <c r="J503" s="16" t="n">
        <v>0.688</v>
      </c>
      <c r="K503" s="8" t="n">
        <v>8</v>
      </c>
      <c r="L503" s="8" t="n">
        <v>5</v>
      </c>
      <c r="M503" s="8" t="n">
        <v>4</v>
      </c>
      <c r="N503" s="8" t="s">
        <v>120</v>
      </c>
      <c r="O503" s="15" t="n">
        <f aca="false">H503*12</f>
        <v>42660</v>
      </c>
      <c r="P503" s="8" t="n">
        <f aca="false">MIN(100,ROUND(100*J503/Assumptions!$B$8,0))</f>
        <v>76</v>
      </c>
      <c r="Q503" s="8" t="n">
        <f aca="false">IF(L503="",Assumptions!$B$9,L503*10)</f>
        <v>50</v>
      </c>
      <c r="R503" s="8" t="n">
        <f aca="false">IF(M503&lt;=1,Assumptions!$B$12,IF(M503&lt;=3,Assumptions!$B$13,IF(M503&lt;=6,Assumptions!$B$14,Assumptions!$B$15)))</f>
        <v>50</v>
      </c>
      <c r="S503" s="8" t="n">
        <f aca="false">IF(N503="Completed On Time",Assumptions!$B$16,IF(N503="Completed Late",Assumptions!$B$17,Assumptions!$B$18))</f>
        <v>100</v>
      </c>
      <c r="T503" s="8" t="n">
        <f aca="false">IF(I503=0,Assumptions!$B$20,IF(H503&gt;I503,Assumptions!$B$19,IF(H503=I503,Assumptions!$B$20,Assumptions!$B$21)))</f>
        <v>70</v>
      </c>
      <c r="U503" s="8" t="n">
        <f aca="false">ROUND(P503*Assumptions!$B$2+Q503*Assumptions!$B$3+R503*Assumptions!$B$4+S503*Assumptions!$B$5+T503*Assumptions!$B$6,0)</f>
        <v>68</v>
      </c>
      <c r="V503" s="8" t="str">
        <f aca="false">IF(U503&gt;=Assumptions!$B$10,"Healthy",IF(U503&gt;=Assumptions!$B$11,"Needs Attention","High Risk"))</f>
        <v>Needs Attention</v>
      </c>
    </row>
    <row r="504" customFormat="false" ht="15" hidden="false" customHeight="false" outlineLevel="0" collapsed="false">
      <c r="A504" s="8" t="s">
        <v>1149</v>
      </c>
      <c r="B504" s="8" t="s">
        <v>1150</v>
      </c>
      <c r="C504" s="8" t="s">
        <v>53</v>
      </c>
      <c r="D504" s="8" t="s">
        <v>326</v>
      </c>
      <c r="E504" s="8" t="s">
        <v>132</v>
      </c>
      <c r="F504" s="8" t="s">
        <v>151</v>
      </c>
      <c r="G504" s="8" t="s">
        <v>204</v>
      </c>
      <c r="H504" s="15" t="n">
        <v>3550</v>
      </c>
      <c r="I504" s="15" t="n">
        <v>3550</v>
      </c>
      <c r="J504" s="16" t="n">
        <v>0.674</v>
      </c>
      <c r="K504" s="8" t="n">
        <v>6</v>
      </c>
      <c r="L504" s="8" t="n">
        <v>5</v>
      </c>
      <c r="M504" s="8" t="n">
        <v>4</v>
      </c>
      <c r="N504" s="8" t="s">
        <v>120</v>
      </c>
      <c r="O504" s="15" t="n">
        <f aca="false">H504*12</f>
        <v>42600</v>
      </c>
      <c r="P504" s="8" t="n">
        <f aca="false">MIN(100,ROUND(100*J504/Assumptions!$B$8,0))</f>
        <v>75</v>
      </c>
      <c r="Q504" s="8" t="n">
        <f aca="false">IF(L504="",Assumptions!$B$9,L504*10)</f>
        <v>50</v>
      </c>
      <c r="R504" s="8" t="n">
        <f aca="false">IF(M504&lt;=1,Assumptions!$B$12,IF(M504&lt;=3,Assumptions!$B$13,IF(M504&lt;=6,Assumptions!$B$14,Assumptions!$B$15)))</f>
        <v>50</v>
      </c>
      <c r="S504" s="8" t="n">
        <f aca="false">IF(N504="Completed On Time",Assumptions!$B$16,IF(N504="Completed Late",Assumptions!$B$17,Assumptions!$B$18))</f>
        <v>100</v>
      </c>
      <c r="T504" s="8" t="n">
        <f aca="false">IF(I504=0,Assumptions!$B$20,IF(H504&gt;I504,Assumptions!$B$19,IF(H504=I504,Assumptions!$B$20,Assumptions!$B$21)))</f>
        <v>70</v>
      </c>
      <c r="U504" s="8" t="n">
        <f aca="false">ROUND(P504*Assumptions!$B$2+Q504*Assumptions!$B$3+R504*Assumptions!$B$4+S504*Assumptions!$B$5+T504*Assumptions!$B$6,0)</f>
        <v>68</v>
      </c>
      <c r="V504" s="8" t="str">
        <f aca="false">IF(U504&gt;=Assumptions!$B$10,"Healthy",IF(U504&gt;=Assumptions!$B$11,"Needs Attention","High Risk"))</f>
        <v>Needs Attention</v>
      </c>
    </row>
    <row r="505" customFormat="false" ht="15" hidden="false" customHeight="false" outlineLevel="0" collapsed="false">
      <c r="A505" s="8" t="s">
        <v>1151</v>
      </c>
      <c r="B505" s="8" t="s">
        <v>1152</v>
      </c>
      <c r="C505" s="8" t="s">
        <v>53</v>
      </c>
      <c r="D505" s="8" t="s">
        <v>326</v>
      </c>
      <c r="E505" s="8" t="s">
        <v>123</v>
      </c>
      <c r="F505" s="8" t="s">
        <v>136</v>
      </c>
      <c r="G505" s="8" t="s">
        <v>180</v>
      </c>
      <c r="H505" s="15" t="n">
        <v>3550</v>
      </c>
      <c r="I505" s="15" t="n">
        <v>3550</v>
      </c>
      <c r="J505" s="16" t="n">
        <v>0.777</v>
      </c>
      <c r="K505" s="8" t="n">
        <v>8.3</v>
      </c>
      <c r="L505" s="8" t="n">
        <v>9</v>
      </c>
      <c r="M505" s="8" t="n">
        <v>2</v>
      </c>
      <c r="N505" s="8" t="s">
        <v>120</v>
      </c>
      <c r="O505" s="15" t="n">
        <f aca="false">H505*12</f>
        <v>42600</v>
      </c>
      <c r="P505" s="8" t="n">
        <f aca="false">MIN(100,ROUND(100*J505/Assumptions!$B$8,0))</f>
        <v>86</v>
      </c>
      <c r="Q505" s="8" t="n">
        <f aca="false">IF(L505="",Assumptions!$B$9,L505*10)</f>
        <v>90</v>
      </c>
      <c r="R505" s="8" t="n">
        <f aca="false">IF(M505&lt;=1,Assumptions!$B$12,IF(M505&lt;=3,Assumptions!$B$13,IF(M505&lt;=6,Assumptions!$B$14,Assumptions!$B$15)))</f>
        <v>75</v>
      </c>
      <c r="S505" s="8" t="n">
        <f aca="false">IF(N505="Completed On Time",Assumptions!$B$16,IF(N505="Completed Late",Assumptions!$B$17,Assumptions!$B$18))</f>
        <v>100</v>
      </c>
      <c r="T505" s="8" t="n">
        <f aca="false">IF(I505=0,Assumptions!$B$20,IF(H505&gt;I505,Assumptions!$B$19,IF(H505=I505,Assumptions!$B$20,Assumptions!$B$21)))</f>
        <v>70</v>
      </c>
      <c r="U505" s="8" t="n">
        <f aca="false">ROUND(P505*Assumptions!$B$2+Q505*Assumptions!$B$3+R505*Assumptions!$B$4+S505*Assumptions!$B$5+T505*Assumptions!$B$6,0)</f>
        <v>83</v>
      </c>
      <c r="V505" s="8" t="str">
        <f aca="false">IF(U505&gt;=Assumptions!$B$10,"Healthy",IF(U505&gt;=Assumptions!$B$11,"Needs Attention","High Risk"))</f>
        <v>Healthy</v>
      </c>
    </row>
    <row r="506" customFormat="false" ht="15" hidden="false" customHeight="false" outlineLevel="0" collapsed="false">
      <c r="A506" s="8" t="s">
        <v>1153</v>
      </c>
      <c r="B506" s="8" t="s">
        <v>1154</v>
      </c>
      <c r="C506" s="8" t="s">
        <v>53</v>
      </c>
      <c r="D506" s="8" t="s">
        <v>326</v>
      </c>
      <c r="E506" s="8" t="s">
        <v>117</v>
      </c>
      <c r="F506" s="8" t="s">
        <v>166</v>
      </c>
      <c r="G506" s="8" t="s">
        <v>125</v>
      </c>
      <c r="H506" s="15" t="n">
        <v>3550</v>
      </c>
      <c r="I506" s="15" t="n">
        <v>3550</v>
      </c>
      <c r="J506" s="16" t="n">
        <v>0.437</v>
      </c>
      <c r="K506" s="8" t="n">
        <v>4.3</v>
      </c>
      <c r="L506" s="8" t="n">
        <v>6</v>
      </c>
      <c r="M506" s="8" t="n">
        <v>8</v>
      </c>
      <c r="N506" s="8" t="s">
        <v>120</v>
      </c>
      <c r="O506" s="15" t="n">
        <f aca="false">H506*12</f>
        <v>42600</v>
      </c>
      <c r="P506" s="8" t="n">
        <f aca="false">MIN(100,ROUND(100*J506/Assumptions!$B$8,0))</f>
        <v>49</v>
      </c>
      <c r="Q506" s="8" t="n">
        <f aca="false">IF(L506="",Assumptions!$B$9,L506*10)</f>
        <v>60</v>
      </c>
      <c r="R506" s="8" t="n">
        <f aca="false">IF(M506&lt;=1,Assumptions!$B$12,IF(M506&lt;=3,Assumptions!$B$13,IF(M506&lt;=6,Assumptions!$B$14,Assumptions!$B$15)))</f>
        <v>20</v>
      </c>
      <c r="S506" s="8" t="n">
        <f aca="false">IF(N506="Completed On Time",Assumptions!$B$16,IF(N506="Completed Late",Assumptions!$B$17,Assumptions!$B$18))</f>
        <v>100</v>
      </c>
      <c r="T506" s="8" t="n">
        <f aca="false">IF(I506=0,Assumptions!$B$20,IF(H506&gt;I506,Assumptions!$B$19,IF(H506=I506,Assumptions!$B$20,Assumptions!$B$21)))</f>
        <v>70</v>
      </c>
      <c r="U506" s="8" t="n">
        <f aca="false">ROUND(P506*Assumptions!$B$2+Q506*Assumptions!$B$3+R506*Assumptions!$B$4+S506*Assumptions!$B$5+T506*Assumptions!$B$6,0)</f>
        <v>56</v>
      </c>
      <c r="V506" s="8" t="str">
        <f aca="false">IF(U506&gt;=Assumptions!$B$10,"Healthy",IF(U506&gt;=Assumptions!$B$11,"Needs Attention","High Risk"))</f>
        <v>High Risk</v>
      </c>
    </row>
    <row r="507" customFormat="false" ht="15" hidden="false" customHeight="false" outlineLevel="0" collapsed="false">
      <c r="A507" s="8" t="s">
        <v>1155</v>
      </c>
      <c r="B507" s="8" t="s">
        <v>1156</v>
      </c>
      <c r="C507" s="8" t="s">
        <v>53</v>
      </c>
      <c r="D507" s="8" t="s">
        <v>326</v>
      </c>
      <c r="E507" s="8" t="s">
        <v>123</v>
      </c>
      <c r="F507" s="8" t="s">
        <v>166</v>
      </c>
      <c r="G507" s="8" t="s">
        <v>119</v>
      </c>
      <c r="H507" s="15" t="n">
        <v>3525</v>
      </c>
      <c r="I507" s="15" t="n">
        <v>3525</v>
      </c>
      <c r="J507" s="16" t="n">
        <v>0.619</v>
      </c>
      <c r="K507" s="8" t="n">
        <v>6.7</v>
      </c>
      <c r="L507" s="8" t="n">
        <v>6</v>
      </c>
      <c r="M507" s="8" t="n">
        <v>2</v>
      </c>
      <c r="N507" s="8" t="s">
        <v>120</v>
      </c>
      <c r="O507" s="15" t="n">
        <f aca="false">H507*12</f>
        <v>42300</v>
      </c>
      <c r="P507" s="8" t="n">
        <f aca="false">MIN(100,ROUND(100*J507/Assumptions!$B$8,0))</f>
        <v>69</v>
      </c>
      <c r="Q507" s="8" t="n">
        <f aca="false">IF(L507="",Assumptions!$B$9,L507*10)</f>
        <v>60</v>
      </c>
      <c r="R507" s="8" t="n">
        <f aca="false">IF(M507&lt;=1,Assumptions!$B$12,IF(M507&lt;=3,Assumptions!$B$13,IF(M507&lt;=6,Assumptions!$B$14,Assumptions!$B$15)))</f>
        <v>75</v>
      </c>
      <c r="S507" s="8" t="n">
        <f aca="false">IF(N507="Completed On Time",Assumptions!$B$16,IF(N507="Completed Late",Assumptions!$B$17,Assumptions!$B$18))</f>
        <v>100</v>
      </c>
      <c r="T507" s="8" t="n">
        <f aca="false">IF(I507=0,Assumptions!$B$20,IF(H507&gt;I507,Assumptions!$B$19,IF(H507=I507,Assumptions!$B$20,Assumptions!$B$21)))</f>
        <v>70</v>
      </c>
      <c r="U507" s="8" t="n">
        <f aca="false">ROUND(P507*Assumptions!$B$2+Q507*Assumptions!$B$3+R507*Assumptions!$B$4+S507*Assumptions!$B$5+T507*Assumptions!$B$6,0)</f>
        <v>71</v>
      </c>
      <c r="V507" s="8" t="str">
        <f aca="false">IF(U507&gt;=Assumptions!$B$10,"Healthy",IF(U507&gt;=Assumptions!$B$11,"Needs Attention","High Risk"))</f>
        <v>Needs Attention</v>
      </c>
    </row>
    <row r="508" customFormat="false" ht="15" hidden="false" customHeight="false" outlineLevel="0" collapsed="false">
      <c r="A508" s="8" t="s">
        <v>1157</v>
      </c>
      <c r="B508" s="8" t="s">
        <v>1158</v>
      </c>
      <c r="C508" s="8" t="s">
        <v>53</v>
      </c>
      <c r="D508" s="8" t="s">
        <v>326</v>
      </c>
      <c r="E508" s="8" t="s">
        <v>117</v>
      </c>
      <c r="F508" s="8" t="s">
        <v>190</v>
      </c>
      <c r="G508" s="8" t="s">
        <v>144</v>
      </c>
      <c r="H508" s="15" t="n">
        <v>3525</v>
      </c>
      <c r="I508" s="15" t="n">
        <v>3525</v>
      </c>
      <c r="J508" s="16" t="n">
        <v>0.678</v>
      </c>
      <c r="K508" s="8" t="n">
        <v>8</v>
      </c>
      <c r="L508" s="8" t="n">
        <v>8</v>
      </c>
      <c r="M508" s="8" t="n">
        <v>2</v>
      </c>
      <c r="N508" s="8" t="s">
        <v>120</v>
      </c>
      <c r="O508" s="15" t="n">
        <f aca="false">H508*12</f>
        <v>42300</v>
      </c>
      <c r="P508" s="8" t="n">
        <f aca="false">MIN(100,ROUND(100*J508/Assumptions!$B$8,0))</f>
        <v>75</v>
      </c>
      <c r="Q508" s="8" t="n">
        <f aca="false">IF(L508="",Assumptions!$B$9,L508*10)</f>
        <v>80</v>
      </c>
      <c r="R508" s="8" t="n">
        <f aca="false">IF(M508&lt;=1,Assumptions!$B$12,IF(M508&lt;=3,Assumptions!$B$13,IF(M508&lt;=6,Assumptions!$B$14,Assumptions!$B$15)))</f>
        <v>75</v>
      </c>
      <c r="S508" s="8" t="n">
        <f aca="false">IF(N508="Completed On Time",Assumptions!$B$16,IF(N508="Completed Late",Assumptions!$B$17,Assumptions!$B$18))</f>
        <v>100</v>
      </c>
      <c r="T508" s="8" t="n">
        <f aca="false">IF(I508=0,Assumptions!$B$20,IF(H508&gt;I508,Assumptions!$B$19,IF(H508=I508,Assumptions!$B$20,Assumptions!$B$21)))</f>
        <v>70</v>
      </c>
      <c r="U508" s="8" t="n">
        <f aca="false">ROUND(P508*Assumptions!$B$2+Q508*Assumptions!$B$3+R508*Assumptions!$B$4+S508*Assumptions!$B$5+T508*Assumptions!$B$6,0)</f>
        <v>78</v>
      </c>
      <c r="V508" s="8" t="str">
        <f aca="false">IF(U508&gt;=Assumptions!$B$10,"Healthy",IF(U508&gt;=Assumptions!$B$11,"Needs Attention","High Risk"))</f>
        <v>Needs Attention</v>
      </c>
    </row>
    <row r="509" customFormat="false" ht="15" hidden="false" customHeight="false" outlineLevel="0" collapsed="false">
      <c r="A509" s="8" t="s">
        <v>1159</v>
      </c>
      <c r="B509" s="8" t="s">
        <v>1160</v>
      </c>
      <c r="C509" s="8" t="s">
        <v>53</v>
      </c>
      <c r="D509" s="8" t="s">
        <v>326</v>
      </c>
      <c r="E509" s="8" t="s">
        <v>123</v>
      </c>
      <c r="F509" s="8" t="s">
        <v>118</v>
      </c>
      <c r="G509" s="8" t="s">
        <v>204</v>
      </c>
      <c r="H509" s="15" t="n">
        <v>3525</v>
      </c>
      <c r="I509" s="15" t="n">
        <v>3525</v>
      </c>
      <c r="J509" s="16" t="n">
        <v>0.948</v>
      </c>
      <c r="K509" s="8" t="n">
        <v>11</v>
      </c>
      <c r="L509" s="8" t="n">
        <v>8</v>
      </c>
      <c r="M509" s="8" t="n">
        <v>1</v>
      </c>
      <c r="N509" s="8" t="s">
        <v>120</v>
      </c>
      <c r="O509" s="15" t="n">
        <f aca="false">H509*12</f>
        <v>42300</v>
      </c>
      <c r="P509" s="8" t="n">
        <f aca="false">MIN(100,ROUND(100*J509/Assumptions!$B$8,0))</f>
        <v>100</v>
      </c>
      <c r="Q509" s="8" t="n">
        <f aca="false">IF(L509="",Assumptions!$B$9,L509*10)</f>
        <v>80</v>
      </c>
      <c r="R509" s="8" t="n">
        <f aca="false">IF(M509&lt;=1,Assumptions!$B$12,IF(M509&lt;=3,Assumptions!$B$13,IF(M509&lt;=6,Assumptions!$B$14,Assumptions!$B$15)))</f>
        <v>100</v>
      </c>
      <c r="S509" s="8" t="n">
        <f aca="false">IF(N509="Completed On Time",Assumptions!$B$16,IF(N509="Completed Late",Assumptions!$B$17,Assumptions!$B$18))</f>
        <v>100</v>
      </c>
      <c r="T509" s="8" t="n">
        <f aca="false">IF(I509=0,Assumptions!$B$20,IF(H509&gt;I509,Assumptions!$B$19,IF(H509=I509,Assumptions!$B$20,Assumptions!$B$21)))</f>
        <v>70</v>
      </c>
      <c r="U509" s="8" t="n">
        <f aca="false">ROUND(P509*Assumptions!$B$2+Q509*Assumptions!$B$3+R509*Assumptions!$B$4+S509*Assumptions!$B$5+T509*Assumptions!$B$6,0)</f>
        <v>90</v>
      </c>
      <c r="V509" s="8" t="str">
        <f aca="false">IF(U509&gt;=Assumptions!$B$10,"Healthy",IF(U509&gt;=Assumptions!$B$11,"Needs Attention","High Risk"))</f>
        <v>Healthy</v>
      </c>
    </row>
    <row r="510" customFormat="false" ht="15" hidden="false" customHeight="false" outlineLevel="0" collapsed="false">
      <c r="A510" s="8" t="s">
        <v>1161</v>
      </c>
      <c r="B510" s="8" t="s">
        <v>1162</v>
      </c>
      <c r="C510" s="8" t="s">
        <v>53</v>
      </c>
      <c r="D510" s="8" t="s">
        <v>326</v>
      </c>
      <c r="E510" s="8" t="s">
        <v>117</v>
      </c>
      <c r="F510" s="8" t="s">
        <v>151</v>
      </c>
      <c r="G510" s="8" t="s">
        <v>140</v>
      </c>
      <c r="H510" s="15" t="n">
        <v>3525</v>
      </c>
      <c r="I510" s="15" t="n">
        <v>3525</v>
      </c>
      <c r="J510" s="16" t="n">
        <v>0.615</v>
      </c>
      <c r="K510" s="8" t="n">
        <v>6</v>
      </c>
      <c r="L510" s="8" t="n">
        <v>7</v>
      </c>
      <c r="M510" s="8" t="n">
        <v>6</v>
      </c>
      <c r="N510" s="8" t="s">
        <v>120</v>
      </c>
      <c r="O510" s="15" t="n">
        <f aca="false">H510*12</f>
        <v>42300</v>
      </c>
      <c r="P510" s="8" t="n">
        <f aca="false">MIN(100,ROUND(100*J510/Assumptions!$B$8,0))</f>
        <v>68</v>
      </c>
      <c r="Q510" s="8" t="n">
        <f aca="false">IF(L510="",Assumptions!$B$9,L510*10)</f>
        <v>70</v>
      </c>
      <c r="R510" s="8" t="n">
        <f aca="false">IF(M510&lt;=1,Assumptions!$B$12,IF(M510&lt;=3,Assumptions!$B$13,IF(M510&lt;=6,Assumptions!$B$14,Assumptions!$B$15)))</f>
        <v>50</v>
      </c>
      <c r="S510" s="8" t="n">
        <f aca="false">IF(N510="Completed On Time",Assumptions!$B$16,IF(N510="Completed Late",Assumptions!$B$17,Assumptions!$B$18))</f>
        <v>100</v>
      </c>
      <c r="T510" s="8" t="n">
        <f aca="false">IF(I510=0,Assumptions!$B$20,IF(H510&gt;I510,Assumptions!$B$19,IF(H510=I510,Assumptions!$B$20,Assumptions!$B$21)))</f>
        <v>70</v>
      </c>
      <c r="U510" s="8" t="n">
        <f aca="false">ROUND(P510*Assumptions!$B$2+Q510*Assumptions!$B$3+R510*Assumptions!$B$4+S510*Assumptions!$B$5+T510*Assumptions!$B$6,0)</f>
        <v>69</v>
      </c>
      <c r="V510" s="8" t="str">
        <f aca="false">IF(U510&gt;=Assumptions!$B$10,"Healthy",IF(U510&gt;=Assumptions!$B$11,"Needs Attention","High Risk"))</f>
        <v>Needs Attention</v>
      </c>
    </row>
    <row r="511" customFormat="false" ht="15" hidden="false" customHeight="false" outlineLevel="0" collapsed="false">
      <c r="A511" s="8" t="s">
        <v>1163</v>
      </c>
      <c r="B511" s="8" t="s">
        <v>1164</v>
      </c>
      <c r="C511" s="8" t="s">
        <v>53</v>
      </c>
      <c r="D511" s="8" t="s">
        <v>326</v>
      </c>
      <c r="E511" s="8" t="s">
        <v>123</v>
      </c>
      <c r="F511" s="8" t="s">
        <v>118</v>
      </c>
      <c r="G511" s="8" t="s">
        <v>119</v>
      </c>
      <c r="H511" s="15" t="n">
        <v>3525</v>
      </c>
      <c r="I511" s="15" t="n">
        <v>3525</v>
      </c>
      <c r="J511" s="16" t="n">
        <v>0.645</v>
      </c>
      <c r="K511" s="8" t="n">
        <v>9</v>
      </c>
      <c r="L511" s="8" t="n">
        <v>5</v>
      </c>
      <c r="M511" s="8" t="n">
        <v>4</v>
      </c>
      <c r="N511" s="8" t="s">
        <v>120</v>
      </c>
      <c r="O511" s="15" t="n">
        <f aca="false">H511*12</f>
        <v>42300</v>
      </c>
      <c r="P511" s="8" t="n">
        <f aca="false">MIN(100,ROUND(100*J511/Assumptions!$B$8,0))</f>
        <v>72</v>
      </c>
      <c r="Q511" s="8" t="n">
        <f aca="false">IF(L511="",Assumptions!$B$9,L511*10)</f>
        <v>50</v>
      </c>
      <c r="R511" s="8" t="n">
        <f aca="false">IF(M511&lt;=1,Assumptions!$B$12,IF(M511&lt;=3,Assumptions!$B$13,IF(M511&lt;=6,Assumptions!$B$14,Assumptions!$B$15)))</f>
        <v>50</v>
      </c>
      <c r="S511" s="8" t="n">
        <f aca="false">IF(N511="Completed On Time",Assumptions!$B$16,IF(N511="Completed Late",Assumptions!$B$17,Assumptions!$B$18))</f>
        <v>100</v>
      </c>
      <c r="T511" s="8" t="n">
        <f aca="false">IF(I511=0,Assumptions!$B$20,IF(H511&gt;I511,Assumptions!$B$19,IF(H511=I511,Assumptions!$B$20,Assumptions!$B$21)))</f>
        <v>70</v>
      </c>
      <c r="U511" s="8" t="n">
        <f aca="false">ROUND(P511*Assumptions!$B$2+Q511*Assumptions!$B$3+R511*Assumptions!$B$4+S511*Assumptions!$B$5+T511*Assumptions!$B$6,0)</f>
        <v>67</v>
      </c>
      <c r="V511" s="8" t="str">
        <f aca="false">IF(U511&gt;=Assumptions!$B$10,"Healthy",IF(U511&gt;=Assumptions!$B$11,"Needs Attention","High Risk"))</f>
        <v>Needs Attention</v>
      </c>
    </row>
    <row r="512" customFormat="false" ht="15" hidden="false" customHeight="false" outlineLevel="0" collapsed="false">
      <c r="A512" s="8" t="s">
        <v>1165</v>
      </c>
      <c r="B512" s="8" t="s">
        <v>1166</v>
      </c>
      <c r="C512" s="8" t="s">
        <v>53</v>
      </c>
      <c r="D512" s="8" t="s">
        <v>326</v>
      </c>
      <c r="E512" s="8" t="s">
        <v>132</v>
      </c>
      <c r="F512" s="8" t="s">
        <v>124</v>
      </c>
      <c r="G512" s="8" t="s">
        <v>140</v>
      </c>
      <c r="H512" s="15" t="n">
        <v>3525</v>
      </c>
      <c r="I512" s="15" t="n">
        <v>3525</v>
      </c>
      <c r="J512" s="16" t="n">
        <v>0.726</v>
      </c>
      <c r="K512" s="8" t="n">
        <v>9.3</v>
      </c>
      <c r="L512" s="8" t="n">
        <v>10</v>
      </c>
      <c r="M512" s="8" t="n">
        <v>3</v>
      </c>
      <c r="N512" s="8" t="s">
        <v>120</v>
      </c>
      <c r="O512" s="15" t="n">
        <f aca="false">H512*12</f>
        <v>42300</v>
      </c>
      <c r="P512" s="8" t="n">
        <f aca="false">MIN(100,ROUND(100*J512/Assumptions!$B$8,0))</f>
        <v>81</v>
      </c>
      <c r="Q512" s="8" t="n">
        <f aca="false">IF(L512="",Assumptions!$B$9,L512*10)</f>
        <v>100</v>
      </c>
      <c r="R512" s="8" t="n">
        <f aca="false">IF(M512&lt;=1,Assumptions!$B$12,IF(M512&lt;=3,Assumptions!$B$13,IF(M512&lt;=6,Assumptions!$B$14,Assumptions!$B$15)))</f>
        <v>75</v>
      </c>
      <c r="S512" s="8" t="n">
        <f aca="false">IF(N512="Completed On Time",Assumptions!$B$16,IF(N512="Completed Late",Assumptions!$B$17,Assumptions!$B$18))</f>
        <v>100</v>
      </c>
      <c r="T512" s="8" t="n">
        <f aca="false">IF(I512=0,Assumptions!$B$20,IF(H512&gt;I512,Assumptions!$B$19,IF(H512=I512,Assumptions!$B$20,Assumptions!$B$21)))</f>
        <v>70</v>
      </c>
      <c r="U512" s="8" t="n">
        <f aca="false">ROUND(P512*Assumptions!$B$2+Q512*Assumptions!$B$3+R512*Assumptions!$B$4+S512*Assumptions!$B$5+T512*Assumptions!$B$6,0)</f>
        <v>84</v>
      </c>
      <c r="V512" s="8" t="str">
        <f aca="false">IF(U512&gt;=Assumptions!$B$10,"Healthy",IF(U512&gt;=Assumptions!$B$11,"Needs Attention","High Risk"))</f>
        <v>Healthy</v>
      </c>
    </row>
    <row r="513" customFormat="false" ht="15" hidden="false" customHeight="false" outlineLevel="0" collapsed="false">
      <c r="A513" s="8" t="s">
        <v>1167</v>
      </c>
      <c r="B513" s="8" t="s">
        <v>1168</v>
      </c>
      <c r="C513" s="8" t="s">
        <v>53</v>
      </c>
      <c r="D513" s="8" t="s">
        <v>55</v>
      </c>
      <c r="E513" s="8" t="s">
        <v>123</v>
      </c>
      <c r="F513" s="8" t="s">
        <v>118</v>
      </c>
      <c r="G513" s="8" t="s">
        <v>185</v>
      </c>
      <c r="H513" s="15" t="n">
        <v>3510</v>
      </c>
      <c r="I513" s="15" t="n">
        <v>3510</v>
      </c>
      <c r="J513" s="16" t="n">
        <v>0.833</v>
      </c>
      <c r="K513" s="8" t="n">
        <v>10</v>
      </c>
      <c r="L513" s="8" t="n">
        <v>10</v>
      </c>
      <c r="M513" s="8" t="n">
        <v>2</v>
      </c>
      <c r="N513" s="8" t="s">
        <v>120</v>
      </c>
      <c r="O513" s="15" t="n">
        <f aca="false">H513*12</f>
        <v>42120</v>
      </c>
      <c r="P513" s="8" t="n">
        <f aca="false">MIN(100,ROUND(100*J513/Assumptions!$B$8,0))</f>
        <v>93</v>
      </c>
      <c r="Q513" s="8" t="n">
        <f aca="false">IF(L513="",Assumptions!$B$9,L513*10)</f>
        <v>100</v>
      </c>
      <c r="R513" s="8" t="n">
        <f aca="false">IF(M513&lt;=1,Assumptions!$B$12,IF(M513&lt;=3,Assumptions!$B$13,IF(M513&lt;=6,Assumptions!$B$14,Assumptions!$B$15)))</f>
        <v>75</v>
      </c>
      <c r="S513" s="8" t="n">
        <f aca="false">IF(N513="Completed On Time",Assumptions!$B$16,IF(N513="Completed Late",Assumptions!$B$17,Assumptions!$B$18))</f>
        <v>100</v>
      </c>
      <c r="T513" s="8" t="n">
        <f aca="false">IF(I513=0,Assumptions!$B$20,IF(H513&gt;I513,Assumptions!$B$19,IF(H513=I513,Assumptions!$B$20,Assumptions!$B$21)))</f>
        <v>70</v>
      </c>
      <c r="U513" s="8" t="n">
        <f aca="false">ROUND(P513*Assumptions!$B$2+Q513*Assumptions!$B$3+R513*Assumptions!$B$4+S513*Assumptions!$B$5+T513*Assumptions!$B$6,0)</f>
        <v>88</v>
      </c>
      <c r="V513" s="8" t="str">
        <f aca="false">IF(U513&gt;=Assumptions!$B$10,"Healthy",IF(U513&gt;=Assumptions!$B$11,"Needs Attention","High Risk"))</f>
        <v>Healthy</v>
      </c>
    </row>
    <row r="514" customFormat="false" ht="15" hidden="false" customHeight="false" outlineLevel="0" collapsed="false">
      <c r="A514" s="8" t="s">
        <v>1169</v>
      </c>
      <c r="B514" s="8" t="s">
        <v>1170</v>
      </c>
      <c r="C514" s="8" t="s">
        <v>53</v>
      </c>
      <c r="D514" s="8" t="s">
        <v>326</v>
      </c>
      <c r="E514" s="8" t="s">
        <v>123</v>
      </c>
      <c r="F514" s="8" t="s">
        <v>136</v>
      </c>
      <c r="G514" s="8" t="s">
        <v>177</v>
      </c>
      <c r="H514" s="15" t="n">
        <v>3500</v>
      </c>
      <c r="I514" s="15" t="n">
        <v>3500</v>
      </c>
      <c r="J514" s="16" t="n">
        <v>0.705</v>
      </c>
      <c r="K514" s="8" t="n">
        <v>7</v>
      </c>
      <c r="L514" s="8" t="n">
        <v>6</v>
      </c>
      <c r="M514" s="8" t="n">
        <v>3</v>
      </c>
      <c r="N514" s="8" t="s">
        <v>120</v>
      </c>
      <c r="O514" s="15" t="n">
        <f aca="false">H514*12</f>
        <v>42000</v>
      </c>
      <c r="P514" s="8" t="n">
        <f aca="false">MIN(100,ROUND(100*J514/Assumptions!$B$8,0))</f>
        <v>78</v>
      </c>
      <c r="Q514" s="8" t="n">
        <f aca="false">IF(L514="",Assumptions!$B$9,L514*10)</f>
        <v>60</v>
      </c>
      <c r="R514" s="8" t="n">
        <f aca="false">IF(M514&lt;=1,Assumptions!$B$12,IF(M514&lt;=3,Assumptions!$B$13,IF(M514&lt;=6,Assumptions!$B$14,Assumptions!$B$15)))</f>
        <v>75</v>
      </c>
      <c r="S514" s="8" t="n">
        <f aca="false">IF(N514="Completed On Time",Assumptions!$B$16,IF(N514="Completed Late",Assumptions!$B$17,Assumptions!$B$18))</f>
        <v>100</v>
      </c>
      <c r="T514" s="8" t="n">
        <f aca="false">IF(I514=0,Assumptions!$B$20,IF(H514&gt;I514,Assumptions!$B$19,IF(H514=I514,Assumptions!$B$20,Assumptions!$B$21)))</f>
        <v>70</v>
      </c>
      <c r="U514" s="8" t="n">
        <f aca="false">ROUND(P514*Assumptions!$B$2+Q514*Assumptions!$B$3+R514*Assumptions!$B$4+S514*Assumptions!$B$5+T514*Assumptions!$B$6,0)</f>
        <v>75</v>
      </c>
      <c r="V514" s="8" t="str">
        <f aca="false">IF(U514&gt;=Assumptions!$B$10,"Healthy",IF(U514&gt;=Assumptions!$B$11,"Needs Attention","High Risk"))</f>
        <v>Needs Attention</v>
      </c>
    </row>
    <row r="515" customFormat="false" ht="15" hidden="false" customHeight="false" outlineLevel="0" collapsed="false">
      <c r="A515" s="8" t="s">
        <v>1171</v>
      </c>
      <c r="B515" s="8" t="s">
        <v>1172</v>
      </c>
      <c r="C515" s="8" t="s">
        <v>53</v>
      </c>
      <c r="D515" s="8" t="s">
        <v>326</v>
      </c>
      <c r="E515" s="8" t="s">
        <v>132</v>
      </c>
      <c r="F515" s="8" t="s">
        <v>143</v>
      </c>
      <c r="G515" s="8" t="s">
        <v>137</v>
      </c>
      <c r="H515" s="15" t="n">
        <v>3500</v>
      </c>
      <c r="I515" s="15" t="n">
        <v>3500</v>
      </c>
      <c r="J515" s="16" t="n">
        <v>0.607</v>
      </c>
      <c r="K515" s="8" t="n">
        <v>6</v>
      </c>
      <c r="L515" s="8" t="n">
        <v>7</v>
      </c>
      <c r="M515" s="8" t="n">
        <v>2</v>
      </c>
      <c r="N515" s="8" t="s">
        <v>120</v>
      </c>
      <c r="O515" s="15" t="n">
        <f aca="false">H515*12</f>
        <v>42000</v>
      </c>
      <c r="P515" s="8" t="n">
        <f aca="false">MIN(100,ROUND(100*J515/Assumptions!$B$8,0))</f>
        <v>67</v>
      </c>
      <c r="Q515" s="8" t="n">
        <f aca="false">IF(L515="",Assumptions!$B$9,L515*10)</f>
        <v>70</v>
      </c>
      <c r="R515" s="8" t="n">
        <f aca="false">IF(M515&lt;=1,Assumptions!$B$12,IF(M515&lt;=3,Assumptions!$B$13,IF(M515&lt;=6,Assumptions!$B$14,Assumptions!$B$15)))</f>
        <v>75</v>
      </c>
      <c r="S515" s="8" t="n">
        <f aca="false">IF(N515="Completed On Time",Assumptions!$B$16,IF(N515="Completed Late",Assumptions!$B$17,Assumptions!$B$18))</f>
        <v>100</v>
      </c>
      <c r="T515" s="8" t="n">
        <f aca="false">IF(I515=0,Assumptions!$B$20,IF(H515&gt;I515,Assumptions!$B$19,IF(H515=I515,Assumptions!$B$20,Assumptions!$B$21)))</f>
        <v>70</v>
      </c>
      <c r="U515" s="8" t="n">
        <f aca="false">ROUND(P515*Assumptions!$B$2+Q515*Assumptions!$B$3+R515*Assumptions!$B$4+S515*Assumptions!$B$5+T515*Assumptions!$B$6,0)</f>
        <v>73</v>
      </c>
      <c r="V515" s="8" t="str">
        <f aca="false">IF(U515&gt;=Assumptions!$B$10,"Healthy",IF(U515&gt;=Assumptions!$B$11,"Needs Attention","High Risk"))</f>
        <v>Needs Attention</v>
      </c>
    </row>
    <row r="516" customFormat="false" ht="15" hidden="false" customHeight="false" outlineLevel="0" collapsed="false">
      <c r="A516" s="8" t="s">
        <v>1173</v>
      </c>
      <c r="B516" s="8" t="s">
        <v>1174</v>
      </c>
      <c r="C516" s="8" t="s">
        <v>53</v>
      </c>
      <c r="D516" s="8" t="s">
        <v>326</v>
      </c>
      <c r="E516" s="8" t="s">
        <v>132</v>
      </c>
      <c r="F516" s="8" t="s">
        <v>166</v>
      </c>
      <c r="G516" s="8" t="s">
        <v>159</v>
      </c>
      <c r="H516" s="15" t="n">
        <v>3500</v>
      </c>
      <c r="I516" s="15" t="n">
        <v>3500</v>
      </c>
      <c r="J516" s="16" t="n">
        <v>0.598</v>
      </c>
      <c r="K516" s="8" t="n">
        <v>5.3</v>
      </c>
      <c r="L516" s="8" t="n">
        <v>7</v>
      </c>
      <c r="M516" s="8" t="n">
        <v>3</v>
      </c>
      <c r="N516" s="8" t="s">
        <v>120</v>
      </c>
      <c r="O516" s="15" t="n">
        <f aca="false">H516*12</f>
        <v>42000</v>
      </c>
      <c r="P516" s="8" t="n">
        <f aca="false">MIN(100,ROUND(100*J516/Assumptions!$B$8,0))</f>
        <v>66</v>
      </c>
      <c r="Q516" s="8" t="n">
        <f aca="false">IF(L516="",Assumptions!$B$9,L516*10)</f>
        <v>70</v>
      </c>
      <c r="R516" s="8" t="n">
        <f aca="false">IF(M516&lt;=1,Assumptions!$B$12,IF(M516&lt;=3,Assumptions!$B$13,IF(M516&lt;=6,Assumptions!$B$14,Assumptions!$B$15)))</f>
        <v>75</v>
      </c>
      <c r="S516" s="8" t="n">
        <f aca="false">IF(N516="Completed On Time",Assumptions!$B$16,IF(N516="Completed Late",Assumptions!$B$17,Assumptions!$B$18))</f>
        <v>100</v>
      </c>
      <c r="T516" s="8" t="n">
        <f aca="false">IF(I516=0,Assumptions!$B$20,IF(H516&gt;I516,Assumptions!$B$19,IF(H516=I516,Assumptions!$B$20,Assumptions!$B$21)))</f>
        <v>70</v>
      </c>
      <c r="U516" s="8" t="n">
        <f aca="false">ROUND(P516*Assumptions!$B$2+Q516*Assumptions!$B$3+R516*Assumptions!$B$4+S516*Assumptions!$B$5+T516*Assumptions!$B$6,0)</f>
        <v>72</v>
      </c>
      <c r="V516" s="8" t="str">
        <f aca="false">IF(U516&gt;=Assumptions!$B$10,"Healthy",IF(U516&gt;=Assumptions!$B$11,"Needs Attention","High Risk"))</f>
        <v>Needs Attention</v>
      </c>
    </row>
    <row r="517" customFormat="false" ht="15" hidden="false" customHeight="false" outlineLevel="0" collapsed="false">
      <c r="A517" s="8" t="s">
        <v>1175</v>
      </c>
      <c r="B517" s="8" t="s">
        <v>1176</v>
      </c>
      <c r="C517" s="8" t="s">
        <v>53</v>
      </c>
      <c r="D517" s="8" t="s">
        <v>326</v>
      </c>
      <c r="E517" s="8" t="s">
        <v>123</v>
      </c>
      <c r="F517" s="8" t="s">
        <v>124</v>
      </c>
      <c r="G517" s="8" t="s">
        <v>140</v>
      </c>
      <c r="H517" s="15" t="n">
        <v>3475</v>
      </c>
      <c r="I517" s="15" t="n">
        <v>5325</v>
      </c>
      <c r="J517" s="16" t="n">
        <v>0.754</v>
      </c>
      <c r="K517" s="8" t="n">
        <v>8</v>
      </c>
      <c r="L517" s="8" t="n">
        <v>8</v>
      </c>
      <c r="M517" s="8" t="n">
        <v>2</v>
      </c>
      <c r="N517" s="8" t="s">
        <v>120</v>
      </c>
      <c r="O517" s="15" t="n">
        <f aca="false">H517*12</f>
        <v>41700</v>
      </c>
      <c r="P517" s="8" t="n">
        <f aca="false">MIN(100,ROUND(100*J517/Assumptions!$B$8,0))</f>
        <v>84</v>
      </c>
      <c r="Q517" s="8" t="n">
        <f aca="false">IF(L517="",Assumptions!$B$9,L517*10)</f>
        <v>80</v>
      </c>
      <c r="R517" s="8" t="n">
        <f aca="false">IF(M517&lt;=1,Assumptions!$B$12,IF(M517&lt;=3,Assumptions!$B$13,IF(M517&lt;=6,Assumptions!$B$14,Assumptions!$B$15)))</f>
        <v>75</v>
      </c>
      <c r="S517" s="8" t="n">
        <f aca="false">IF(N517="Completed On Time",Assumptions!$B$16,IF(N517="Completed Late",Assumptions!$B$17,Assumptions!$B$18))</f>
        <v>100</v>
      </c>
      <c r="T517" s="8" t="n">
        <f aca="false">IF(I517=0,Assumptions!$B$20,IF(H517&gt;I517,Assumptions!$B$19,IF(H517=I517,Assumptions!$B$20,Assumptions!$B$21)))</f>
        <v>30</v>
      </c>
      <c r="U517" s="8" t="n">
        <f aca="false">ROUND(P517*Assumptions!$B$2+Q517*Assumptions!$B$3+R517*Assumptions!$B$4+S517*Assumptions!$B$5+T517*Assumptions!$B$6,0)</f>
        <v>73</v>
      </c>
      <c r="V517" s="8" t="str">
        <f aca="false">IF(U517&gt;=Assumptions!$B$10,"Healthy",IF(U517&gt;=Assumptions!$B$11,"Needs Attention","High Risk"))</f>
        <v>Needs Attention</v>
      </c>
    </row>
    <row r="518" customFormat="false" ht="15" hidden="false" customHeight="false" outlineLevel="0" collapsed="false">
      <c r="A518" s="8" t="s">
        <v>1177</v>
      </c>
      <c r="B518" s="8" t="s">
        <v>1178</v>
      </c>
      <c r="C518" s="8" t="s">
        <v>53</v>
      </c>
      <c r="D518" s="8" t="s">
        <v>326</v>
      </c>
      <c r="E518" s="8" t="s">
        <v>123</v>
      </c>
      <c r="F518" s="8" t="s">
        <v>136</v>
      </c>
      <c r="G518" s="8" t="s">
        <v>140</v>
      </c>
      <c r="H518" s="15" t="n">
        <v>3475</v>
      </c>
      <c r="I518" s="15" t="n">
        <v>3475</v>
      </c>
      <c r="J518" s="16" t="n">
        <v>0.945</v>
      </c>
      <c r="K518" s="8" t="n">
        <v>10.7</v>
      </c>
      <c r="L518" s="8" t="n">
        <v>10</v>
      </c>
      <c r="M518" s="8" t="n">
        <v>2</v>
      </c>
      <c r="N518" s="8" t="s">
        <v>120</v>
      </c>
      <c r="O518" s="15" t="n">
        <f aca="false">H518*12</f>
        <v>41700</v>
      </c>
      <c r="P518" s="8" t="n">
        <f aca="false">MIN(100,ROUND(100*J518/Assumptions!$B$8,0))</f>
        <v>100</v>
      </c>
      <c r="Q518" s="8" t="n">
        <f aca="false">IF(L518="",Assumptions!$B$9,L518*10)</f>
        <v>100</v>
      </c>
      <c r="R518" s="8" t="n">
        <f aca="false">IF(M518&lt;=1,Assumptions!$B$12,IF(M518&lt;=3,Assumptions!$B$13,IF(M518&lt;=6,Assumptions!$B$14,Assumptions!$B$15)))</f>
        <v>75</v>
      </c>
      <c r="S518" s="8" t="n">
        <f aca="false">IF(N518="Completed On Time",Assumptions!$B$16,IF(N518="Completed Late",Assumptions!$B$17,Assumptions!$B$18))</f>
        <v>100</v>
      </c>
      <c r="T518" s="8" t="n">
        <f aca="false">IF(I518=0,Assumptions!$B$20,IF(H518&gt;I518,Assumptions!$B$19,IF(H518=I518,Assumptions!$B$20,Assumptions!$B$21)))</f>
        <v>70</v>
      </c>
      <c r="U518" s="8" t="n">
        <f aca="false">ROUND(P518*Assumptions!$B$2+Q518*Assumptions!$B$3+R518*Assumptions!$B$4+S518*Assumptions!$B$5+T518*Assumptions!$B$6,0)</f>
        <v>90</v>
      </c>
      <c r="V518" s="8" t="str">
        <f aca="false">IF(U518&gt;=Assumptions!$B$10,"Healthy",IF(U518&gt;=Assumptions!$B$11,"Needs Attention","High Risk"))</f>
        <v>Healthy</v>
      </c>
    </row>
    <row r="519" customFormat="false" ht="15" hidden="false" customHeight="false" outlineLevel="0" collapsed="false">
      <c r="A519" s="8" t="s">
        <v>1179</v>
      </c>
      <c r="B519" s="8" t="s">
        <v>1180</v>
      </c>
      <c r="C519" s="8" t="s">
        <v>53</v>
      </c>
      <c r="D519" s="8" t="s">
        <v>326</v>
      </c>
      <c r="E519" s="8" t="s">
        <v>123</v>
      </c>
      <c r="F519" s="8" t="s">
        <v>190</v>
      </c>
      <c r="G519" s="8" t="s">
        <v>125</v>
      </c>
      <c r="H519" s="15" t="n">
        <v>3450</v>
      </c>
      <c r="I519" s="15" t="n">
        <v>3450</v>
      </c>
      <c r="J519" s="16" t="n">
        <v>0.671</v>
      </c>
      <c r="K519" s="8" t="n">
        <v>8.7</v>
      </c>
      <c r="L519" s="8" t="n">
        <v>9</v>
      </c>
      <c r="M519" s="8" t="n">
        <v>4</v>
      </c>
      <c r="N519" s="8" t="s">
        <v>120</v>
      </c>
      <c r="O519" s="15" t="n">
        <f aca="false">H519*12</f>
        <v>41400</v>
      </c>
      <c r="P519" s="8" t="n">
        <f aca="false">MIN(100,ROUND(100*J519/Assumptions!$B$8,0))</f>
        <v>75</v>
      </c>
      <c r="Q519" s="8" t="n">
        <f aca="false">IF(L519="",Assumptions!$B$9,L519*10)</f>
        <v>90</v>
      </c>
      <c r="R519" s="8" t="n">
        <f aca="false">IF(M519&lt;=1,Assumptions!$B$12,IF(M519&lt;=3,Assumptions!$B$13,IF(M519&lt;=6,Assumptions!$B$14,Assumptions!$B$15)))</f>
        <v>50</v>
      </c>
      <c r="S519" s="8" t="n">
        <f aca="false">IF(N519="Completed On Time",Assumptions!$B$16,IF(N519="Completed Late",Assumptions!$B$17,Assumptions!$B$18))</f>
        <v>100</v>
      </c>
      <c r="T519" s="8" t="n">
        <f aca="false">IF(I519=0,Assumptions!$B$20,IF(H519&gt;I519,Assumptions!$B$19,IF(H519=I519,Assumptions!$B$20,Assumptions!$B$21)))</f>
        <v>70</v>
      </c>
      <c r="U519" s="8" t="n">
        <f aca="false">ROUND(P519*Assumptions!$B$2+Q519*Assumptions!$B$3+R519*Assumptions!$B$4+S519*Assumptions!$B$5+T519*Assumptions!$B$6,0)</f>
        <v>76</v>
      </c>
      <c r="V519" s="8" t="str">
        <f aca="false">IF(U519&gt;=Assumptions!$B$10,"Healthy",IF(U519&gt;=Assumptions!$B$11,"Needs Attention","High Risk"))</f>
        <v>Needs Attention</v>
      </c>
    </row>
    <row r="520" customFormat="false" ht="15" hidden="false" customHeight="false" outlineLevel="0" collapsed="false">
      <c r="A520" s="8" t="s">
        <v>1181</v>
      </c>
      <c r="B520" s="8" t="s">
        <v>1182</v>
      </c>
      <c r="C520" s="8" t="s">
        <v>53</v>
      </c>
      <c r="D520" s="8" t="s">
        <v>326</v>
      </c>
      <c r="E520" s="8" t="s">
        <v>123</v>
      </c>
      <c r="F520" s="8" t="s">
        <v>136</v>
      </c>
      <c r="G520" s="8" t="s">
        <v>119</v>
      </c>
      <c r="H520" s="15" t="n">
        <v>3450</v>
      </c>
      <c r="I520" s="15" t="n">
        <v>3450</v>
      </c>
      <c r="J520" s="16" t="n">
        <v>0.604</v>
      </c>
      <c r="K520" s="8" t="n">
        <v>7.3</v>
      </c>
      <c r="L520" s="8" t="n">
        <v>8</v>
      </c>
      <c r="M520" s="8" t="n">
        <v>5</v>
      </c>
      <c r="N520" s="8" t="s">
        <v>120</v>
      </c>
      <c r="O520" s="15" t="n">
        <f aca="false">H520*12</f>
        <v>41400</v>
      </c>
      <c r="P520" s="8" t="n">
        <f aca="false">MIN(100,ROUND(100*J520/Assumptions!$B$8,0))</f>
        <v>67</v>
      </c>
      <c r="Q520" s="8" t="n">
        <f aca="false">IF(L520="",Assumptions!$B$9,L520*10)</f>
        <v>80</v>
      </c>
      <c r="R520" s="8" t="n">
        <f aca="false">IF(M520&lt;=1,Assumptions!$B$12,IF(M520&lt;=3,Assumptions!$B$13,IF(M520&lt;=6,Assumptions!$B$14,Assumptions!$B$15)))</f>
        <v>50</v>
      </c>
      <c r="S520" s="8" t="n">
        <f aca="false">IF(N520="Completed On Time",Assumptions!$B$16,IF(N520="Completed Late",Assumptions!$B$17,Assumptions!$B$18))</f>
        <v>100</v>
      </c>
      <c r="T520" s="8" t="n">
        <f aca="false">IF(I520=0,Assumptions!$B$20,IF(H520&gt;I520,Assumptions!$B$19,IF(H520=I520,Assumptions!$B$20,Assumptions!$B$21)))</f>
        <v>70</v>
      </c>
      <c r="U520" s="8" t="n">
        <f aca="false">ROUND(P520*Assumptions!$B$2+Q520*Assumptions!$B$3+R520*Assumptions!$B$4+S520*Assumptions!$B$5+T520*Assumptions!$B$6,0)</f>
        <v>71</v>
      </c>
      <c r="V520" s="8" t="str">
        <f aca="false">IF(U520&gt;=Assumptions!$B$10,"Healthy",IF(U520&gt;=Assumptions!$B$11,"Needs Attention","High Risk"))</f>
        <v>Needs Attention</v>
      </c>
    </row>
    <row r="521" customFormat="false" ht="15" hidden="false" customHeight="false" outlineLevel="0" collapsed="false">
      <c r="A521" s="8" t="s">
        <v>1183</v>
      </c>
      <c r="B521" s="8" t="s">
        <v>1184</v>
      </c>
      <c r="C521" s="8" t="s">
        <v>53</v>
      </c>
      <c r="D521" s="8" t="s">
        <v>326</v>
      </c>
      <c r="E521" s="8" t="s">
        <v>123</v>
      </c>
      <c r="F521" s="8" t="s">
        <v>223</v>
      </c>
      <c r="G521" s="8" t="s">
        <v>137</v>
      </c>
      <c r="H521" s="15" t="n">
        <v>3425</v>
      </c>
      <c r="I521" s="15" t="n">
        <v>3425</v>
      </c>
      <c r="J521" s="16" t="n">
        <v>0.937</v>
      </c>
      <c r="K521" s="8" t="n">
        <v>11.3</v>
      </c>
      <c r="L521" s="8" t="n">
        <v>10</v>
      </c>
      <c r="M521" s="8" t="n">
        <v>1</v>
      </c>
      <c r="N521" s="8" t="s">
        <v>120</v>
      </c>
      <c r="O521" s="15" t="n">
        <f aca="false">H521*12</f>
        <v>41100</v>
      </c>
      <c r="P521" s="8" t="n">
        <f aca="false">MIN(100,ROUND(100*J521/Assumptions!$B$8,0))</f>
        <v>100</v>
      </c>
      <c r="Q521" s="8" t="n">
        <f aca="false">IF(L521="",Assumptions!$B$9,L521*10)</f>
        <v>100</v>
      </c>
      <c r="R521" s="8" t="n">
        <f aca="false">IF(M521&lt;=1,Assumptions!$B$12,IF(M521&lt;=3,Assumptions!$B$13,IF(M521&lt;=6,Assumptions!$B$14,Assumptions!$B$15)))</f>
        <v>100</v>
      </c>
      <c r="S521" s="8" t="n">
        <f aca="false">IF(N521="Completed On Time",Assumptions!$B$16,IF(N521="Completed Late",Assumptions!$B$17,Assumptions!$B$18))</f>
        <v>100</v>
      </c>
      <c r="T521" s="8" t="n">
        <f aca="false">IF(I521=0,Assumptions!$B$20,IF(H521&gt;I521,Assumptions!$B$19,IF(H521=I521,Assumptions!$B$20,Assumptions!$B$21)))</f>
        <v>70</v>
      </c>
      <c r="U521" s="8" t="n">
        <f aca="false">ROUND(P521*Assumptions!$B$2+Q521*Assumptions!$B$3+R521*Assumptions!$B$4+S521*Assumptions!$B$5+T521*Assumptions!$B$6,0)</f>
        <v>94</v>
      </c>
      <c r="V521" s="8" t="str">
        <f aca="false">IF(U521&gt;=Assumptions!$B$10,"Healthy",IF(U521&gt;=Assumptions!$B$11,"Needs Attention","High Risk"))</f>
        <v>Healthy</v>
      </c>
    </row>
    <row r="522" customFormat="false" ht="15" hidden="false" customHeight="false" outlineLevel="0" collapsed="false">
      <c r="A522" s="8" t="s">
        <v>1185</v>
      </c>
      <c r="B522" s="8" t="s">
        <v>1186</v>
      </c>
      <c r="C522" s="8" t="s">
        <v>53</v>
      </c>
      <c r="D522" s="8" t="s">
        <v>326</v>
      </c>
      <c r="E522" s="8" t="s">
        <v>123</v>
      </c>
      <c r="F522" s="8" t="s">
        <v>223</v>
      </c>
      <c r="G522" s="8" t="s">
        <v>119</v>
      </c>
      <c r="H522" s="15" t="n">
        <v>3425</v>
      </c>
      <c r="I522" s="15" t="n">
        <v>3425</v>
      </c>
      <c r="J522" s="16" t="n">
        <v>0.611</v>
      </c>
      <c r="K522" s="8" t="n">
        <v>7</v>
      </c>
      <c r="L522" s="8" t="n">
        <v>6</v>
      </c>
      <c r="M522" s="8" t="n">
        <v>2</v>
      </c>
      <c r="N522" s="8" t="s">
        <v>120</v>
      </c>
      <c r="O522" s="15" t="n">
        <f aca="false">H522*12</f>
        <v>41100</v>
      </c>
      <c r="P522" s="8" t="n">
        <f aca="false">MIN(100,ROUND(100*J522/Assumptions!$B$8,0))</f>
        <v>68</v>
      </c>
      <c r="Q522" s="8" t="n">
        <f aca="false">IF(L522="",Assumptions!$B$9,L522*10)</f>
        <v>60</v>
      </c>
      <c r="R522" s="8" t="n">
        <f aca="false">IF(M522&lt;=1,Assumptions!$B$12,IF(M522&lt;=3,Assumptions!$B$13,IF(M522&lt;=6,Assumptions!$B$14,Assumptions!$B$15)))</f>
        <v>75</v>
      </c>
      <c r="S522" s="8" t="n">
        <f aca="false">IF(N522="Completed On Time",Assumptions!$B$16,IF(N522="Completed Late",Assumptions!$B$17,Assumptions!$B$18))</f>
        <v>100</v>
      </c>
      <c r="T522" s="8" t="n">
        <f aca="false">IF(I522=0,Assumptions!$B$20,IF(H522&gt;I522,Assumptions!$B$19,IF(H522=I522,Assumptions!$B$20,Assumptions!$B$21)))</f>
        <v>70</v>
      </c>
      <c r="U522" s="8" t="n">
        <f aca="false">ROUND(P522*Assumptions!$B$2+Q522*Assumptions!$B$3+R522*Assumptions!$B$4+S522*Assumptions!$B$5+T522*Assumptions!$B$6,0)</f>
        <v>71</v>
      </c>
      <c r="V522" s="8" t="str">
        <f aca="false">IF(U522&gt;=Assumptions!$B$10,"Healthy",IF(U522&gt;=Assumptions!$B$11,"Needs Attention","High Risk"))</f>
        <v>Needs Attention</v>
      </c>
    </row>
    <row r="523" customFormat="false" ht="15" hidden="false" customHeight="false" outlineLevel="0" collapsed="false">
      <c r="A523" s="8" t="s">
        <v>1187</v>
      </c>
      <c r="B523" s="8" t="s">
        <v>1188</v>
      </c>
      <c r="C523" s="8" t="s">
        <v>53</v>
      </c>
      <c r="D523" s="8" t="s">
        <v>326</v>
      </c>
      <c r="E523" s="8" t="s">
        <v>123</v>
      </c>
      <c r="F523" s="8" t="s">
        <v>154</v>
      </c>
      <c r="G523" s="8" t="s">
        <v>159</v>
      </c>
      <c r="H523" s="15" t="n">
        <v>3425</v>
      </c>
      <c r="I523" s="15" t="n">
        <v>3425</v>
      </c>
      <c r="J523" s="16" t="n">
        <v>0.949</v>
      </c>
      <c r="K523" s="8" t="n">
        <v>11.7</v>
      </c>
      <c r="L523" s="8" t="n">
        <v>10</v>
      </c>
      <c r="M523" s="8" t="n">
        <v>2</v>
      </c>
      <c r="N523" s="8" t="s">
        <v>120</v>
      </c>
      <c r="O523" s="15" t="n">
        <f aca="false">H523*12</f>
        <v>41100</v>
      </c>
      <c r="P523" s="8" t="n">
        <f aca="false">MIN(100,ROUND(100*J523/Assumptions!$B$8,0))</f>
        <v>100</v>
      </c>
      <c r="Q523" s="8" t="n">
        <f aca="false">IF(L523="",Assumptions!$B$9,L523*10)</f>
        <v>100</v>
      </c>
      <c r="R523" s="8" t="n">
        <f aca="false">IF(M523&lt;=1,Assumptions!$B$12,IF(M523&lt;=3,Assumptions!$B$13,IF(M523&lt;=6,Assumptions!$B$14,Assumptions!$B$15)))</f>
        <v>75</v>
      </c>
      <c r="S523" s="8" t="n">
        <f aca="false">IF(N523="Completed On Time",Assumptions!$B$16,IF(N523="Completed Late",Assumptions!$B$17,Assumptions!$B$18))</f>
        <v>100</v>
      </c>
      <c r="T523" s="8" t="n">
        <f aca="false">IF(I523=0,Assumptions!$B$20,IF(H523&gt;I523,Assumptions!$B$19,IF(H523=I523,Assumptions!$B$20,Assumptions!$B$21)))</f>
        <v>70</v>
      </c>
      <c r="U523" s="8" t="n">
        <f aca="false">ROUND(P523*Assumptions!$B$2+Q523*Assumptions!$B$3+R523*Assumptions!$B$4+S523*Assumptions!$B$5+T523*Assumptions!$B$6,0)</f>
        <v>90</v>
      </c>
      <c r="V523" s="8" t="str">
        <f aca="false">IF(U523&gt;=Assumptions!$B$10,"Healthy",IF(U523&gt;=Assumptions!$B$11,"Needs Attention","High Risk"))</f>
        <v>Healthy</v>
      </c>
    </row>
    <row r="524" customFormat="false" ht="15" hidden="false" customHeight="false" outlineLevel="0" collapsed="false">
      <c r="A524" s="8" t="s">
        <v>1189</v>
      </c>
      <c r="B524" s="8" t="s">
        <v>1190</v>
      </c>
      <c r="C524" s="8" t="s">
        <v>53</v>
      </c>
      <c r="D524" s="8" t="s">
        <v>326</v>
      </c>
      <c r="E524" s="8" t="s">
        <v>128</v>
      </c>
      <c r="F524" s="8" t="s">
        <v>154</v>
      </c>
      <c r="G524" s="8" t="s">
        <v>159</v>
      </c>
      <c r="H524" s="15" t="n">
        <v>3425</v>
      </c>
      <c r="I524" s="15" t="n">
        <v>3425</v>
      </c>
      <c r="J524" s="16" t="n">
        <v>0.706</v>
      </c>
      <c r="K524" s="8" t="n">
        <v>8.7</v>
      </c>
      <c r="L524" s="8" t="n">
        <v>8</v>
      </c>
      <c r="M524" s="8" t="n">
        <v>3</v>
      </c>
      <c r="N524" s="8" t="s">
        <v>120</v>
      </c>
      <c r="O524" s="15" t="n">
        <f aca="false">H524*12</f>
        <v>41100</v>
      </c>
      <c r="P524" s="8" t="n">
        <f aca="false">MIN(100,ROUND(100*J524/Assumptions!$B$8,0))</f>
        <v>78</v>
      </c>
      <c r="Q524" s="8" t="n">
        <f aca="false">IF(L524="",Assumptions!$B$9,L524*10)</f>
        <v>80</v>
      </c>
      <c r="R524" s="8" t="n">
        <f aca="false">IF(M524&lt;=1,Assumptions!$B$12,IF(M524&lt;=3,Assumptions!$B$13,IF(M524&lt;=6,Assumptions!$B$14,Assumptions!$B$15)))</f>
        <v>75</v>
      </c>
      <c r="S524" s="8" t="n">
        <f aca="false">IF(N524="Completed On Time",Assumptions!$B$16,IF(N524="Completed Late",Assumptions!$B$17,Assumptions!$B$18))</f>
        <v>100</v>
      </c>
      <c r="T524" s="8" t="n">
        <f aca="false">IF(I524=0,Assumptions!$B$20,IF(H524&gt;I524,Assumptions!$B$19,IF(H524=I524,Assumptions!$B$20,Assumptions!$B$21)))</f>
        <v>70</v>
      </c>
      <c r="U524" s="8" t="n">
        <f aca="false">ROUND(P524*Assumptions!$B$2+Q524*Assumptions!$B$3+R524*Assumptions!$B$4+S524*Assumptions!$B$5+T524*Assumptions!$B$6,0)</f>
        <v>79</v>
      </c>
      <c r="V524" s="8" t="str">
        <f aca="false">IF(U524&gt;=Assumptions!$B$10,"Healthy",IF(U524&gt;=Assumptions!$B$11,"Needs Attention","High Risk"))</f>
        <v>Needs Attention</v>
      </c>
    </row>
    <row r="525" customFormat="false" ht="15" hidden="false" customHeight="false" outlineLevel="0" collapsed="false">
      <c r="A525" s="8" t="s">
        <v>1191</v>
      </c>
      <c r="B525" s="8" t="s">
        <v>1192</v>
      </c>
      <c r="C525" s="8" t="s">
        <v>53</v>
      </c>
      <c r="D525" s="8" t="s">
        <v>55</v>
      </c>
      <c r="E525" s="8" t="s">
        <v>123</v>
      </c>
      <c r="F525" s="8" t="s">
        <v>223</v>
      </c>
      <c r="G525" s="8" t="s">
        <v>177</v>
      </c>
      <c r="H525" s="15" t="n">
        <v>3420</v>
      </c>
      <c r="I525" s="15" t="n">
        <v>0</v>
      </c>
      <c r="J525" s="16" t="n">
        <v>0.789</v>
      </c>
      <c r="K525" s="8" t="n">
        <v>10.3</v>
      </c>
      <c r="L525" s="8"/>
      <c r="M525" s="8" t="n">
        <v>1</v>
      </c>
      <c r="N525" s="8" t="s">
        <v>120</v>
      </c>
      <c r="O525" s="15" t="n">
        <f aca="false">H525*12</f>
        <v>41040</v>
      </c>
      <c r="P525" s="8" t="n">
        <f aca="false">MIN(100,ROUND(100*J525/Assumptions!$B$8,0))</f>
        <v>88</v>
      </c>
      <c r="Q525" s="8" t="n">
        <f aca="false">IF(L525="",Assumptions!$B$9,L525*10)</f>
        <v>50</v>
      </c>
      <c r="R525" s="8" t="n">
        <f aca="false">IF(M525&lt;=1,Assumptions!$B$12,IF(M525&lt;=3,Assumptions!$B$13,IF(M525&lt;=6,Assumptions!$B$14,Assumptions!$B$15)))</f>
        <v>100</v>
      </c>
      <c r="S525" s="8" t="n">
        <f aca="false">IF(N525="Completed On Time",Assumptions!$B$16,IF(N525="Completed Late",Assumptions!$B$17,Assumptions!$B$18))</f>
        <v>100</v>
      </c>
      <c r="T525" s="8" t="n">
        <f aca="false">IF(I525=0,Assumptions!$B$20,IF(H525&gt;I525,Assumptions!$B$19,IF(H525=I525,Assumptions!$B$20,Assumptions!$B$21)))</f>
        <v>70</v>
      </c>
      <c r="U525" s="8" t="n">
        <f aca="false">ROUND(P525*Assumptions!$B$2+Q525*Assumptions!$B$3+R525*Assumptions!$B$4+S525*Assumptions!$B$5+T525*Assumptions!$B$6,0)</f>
        <v>80</v>
      </c>
      <c r="V525" s="8" t="str">
        <f aca="false">IF(U525&gt;=Assumptions!$B$10,"Healthy",IF(U525&gt;=Assumptions!$B$11,"Needs Attention","High Risk"))</f>
        <v>Healthy</v>
      </c>
    </row>
    <row r="526" customFormat="false" ht="15" hidden="false" customHeight="false" outlineLevel="0" collapsed="false">
      <c r="A526" s="8" t="s">
        <v>1193</v>
      </c>
      <c r="B526" s="8" t="s">
        <v>1194</v>
      </c>
      <c r="C526" s="8" t="s">
        <v>53</v>
      </c>
      <c r="D526" s="8" t="s">
        <v>326</v>
      </c>
      <c r="E526" s="8" t="s">
        <v>132</v>
      </c>
      <c r="F526" s="8" t="s">
        <v>166</v>
      </c>
      <c r="G526" s="8" t="s">
        <v>119</v>
      </c>
      <c r="H526" s="15" t="n">
        <v>3400</v>
      </c>
      <c r="I526" s="15" t="n">
        <v>3400</v>
      </c>
      <c r="J526" s="16" t="n">
        <v>0.944</v>
      </c>
      <c r="K526" s="8" t="n">
        <v>12</v>
      </c>
      <c r="L526" s="8" t="n">
        <v>10</v>
      </c>
      <c r="M526" s="8" t="n">
        <v>0</v>
      </c>
      <c r="N526" s="8" t="s">
        <v>120</v>
      </c>
      <c r="O526" s="15" t="n">
        <f aca="false">H526*12</f>
        <v>40800</v>
      </c>
      <c r="P526" s="8" t="n">
        <f aca="false">MIN(100,ROUND(100*J526/Assumptions!$B$8,0))</f>
        <v>100</v>
      </c>
      <c r="Q526" s="8" t="n">
        <f aca="false">IF(L526="",Assumptions!$B$9,L526*10)</f>
        <v>100</v>
      </c>
      <c r="R526" s="8" t="n">
        <f aca="false">IF(M526&lt;=1,Assumptions!$B$12,IF(M526&lt;=3,Assumptions!$B$13,IF(M526&lt;=6,Assumptions!$B$14,Assumptions!$B$15)))</f>
        <v>100</v>
      </c>
      <c r="S526" s="8" t="n">
        <f aca="false">IF(N526="Completed On Time",Assumptions!$B$16,IF(N526="Completed Late",Assumptions!$B$17,Assumptions!$B$18))</f>
        <v>100</v>
      </c>
      <c r="T526" s="8" t="n">
        <f aca="false">IF(I526=0,Assumptions!$B$20,IF(H526&gt;I526,Assumptions!$B$19,IF(H526=I526,Assumptions!$B$20,Assumptions!$B$21)))</f>
        <v>70</v>
      </c>
      <c r="U526" s="8" t="n">
        <f aca="false">ROUND(P526*Assumptions!$B$2+Q526*Assumptions!$B$3+R526*Assumptions!$B$4+S526*Assumptions!$B$5+T526*Assumptions!$B$6,0)</f>
        <v>94</v>
      </c>
      <c r="V526" s="8" t="str">
        <f aca="false">IF(U526&gt;=Assumptions!$B$10,"Healthy",IF(U526&gt;=Assumptions!$B$11,"Needs Attention","High Risk"))</f>
        <v>Healthy</v>
      </c>
    </row>
    <row r="527" customFormat="false" ht="15" hidden="false" customHeight="false" outlineLevel="0" collapsed="false">
      <c r="A527" s="8" t="s">
        <v>1195</v>
      </c>
      <c r="B527" s="8" t="s">
        <v>1196</v>
      </c>
      <c r="C527" s="8" t="s">
        <v>53</v>
      </c>
      <c r="D527" s="8" t="s">
        <v>326</v>
      </c>
      <c r="E527" s="8" t="s">
        <v>128</v>
      </c>
      <c r="F527" s="8" t="s">
        <v>124</v>
      </c>
      <c r="G527" s="8" t="s">
        <v>125</v>
      </c>
      <c r="H527" s="15" t="n">
        <v>3400</v>
      </c>
      <c r="I527" s="15" t="n">
        <v>3400</v>
      </c>
      <c r="J527" s="16" t="n">
        <v>0.578</v>
      </c>
      <c r="K527" s="8" t="n">
        <v>8</v>
      </c>
      <c r="L527" s="8" t="n">
        <v>8</v>
      </c>
      <c r="M527" s="8" t="n">
        <v>6</v>
      </c>
      <c r="N527" s="8" t="s">
        <v>120</v>
      </c>
      <c r="O527" s="15" t="n">
        <f aca="false">H527*12</f>
        <v>40800</v>
      </c>
      <c r="P527" s="8" t="n">
        <f aca="false">MIN(100,ROUND(100*J527/Assumptions!$B$8,0))</f>
        <v>64</v>
      </c>
      <c r="Q527" s="8" t="n">
        <f aca="false">IF(L527="",Assumptions!$B$9,L527*10)</f>
        <v>80</v>
      </c>
      <c r="R527" s="8" t="n">
        <f aca="false">IF(M527&lt;=1,Assumptions!$B$12,IF(M527&lt;=3,Assumptions!$B$13,IF(M527&lt;=6,Assumptions!$B$14,Assumptions!$B$15)))</f>
        <v>50</v>
      </c>
      <c r="S527" s="8" t="n">
        <f aca="false">IF(N527="Completed On Time",Assumptions!$B$16,IF(N527="Completed Late",Assumptions!$B$17,Assumptions!$B$18))</f>
        <v>100</v>
      </c>
      <c r="T527" s="8" t="n">
        <f aca="false">IF(I527=0,Assumptions!$B$20,IF(H527&gt;I527,Assumptions!$B$19,IF(H527=I527,Assumptions!$B$20,Assumptions!$B$21)))</f>
        <v>70</v>
      </c>
      <c r="U527" s="8" t="n">
        <f aca="false">ROUND(P527*Assumptions!$B$2+Q527*Assumptions!$B$3+R527*Assumptions!$B$4+S527*Assumptions!$B$5+T527*Assumptions!$B$6,0)</f>
        <v>70</v>
      </c>
      <c r="V527" s="8" t="str">
        <f aca="false">IF(U527&gt;=Assumptions!$B$10,"Healthy",IF(U527&gt;=Assumptions!$B$11,"Needs Attention","High Risk"))</f>
        <v>Needs Attention</v>
      </c>
    </row>
    <row r="528" customFormat="false" ht="15" hidden="false" customHeight="false" outlineLevel="0" collapsed="false">
      <c r="A528" s="8" t="s">
        <v>1197</v>
      </c>
      <c r="B528" s="8" t="s">
        <v>1198</v>
      </c>
      <c r="C528" s="8" t="s">
        <v>53</v>
      </c>
      <c r="D528" s="8" t="s">
        <v>326</v>
      </c>
      <c r="E528" s="8" t="s">
        <v>123</v>
      </c>
      <c r="F528" s="8" t="s">
        <v>151</v>
      </c>
      <c r="G528" s="8" t="s">
        <v>119</v>
      </c>
      <c r="H528" s="15" t="n">
        <v>3400</v>
      </c>
      <c r="I528" s="15" t="n">
        <v>3400</v>
      </c>
      <c r="J528" s="16" t="n">
        <v>0.725</v>
      </c>
      <c r="K528" s="8" t="n">
        <v>8</v>
      </c>
      <c r="L528" s="8" t="n">
        <v>9</v>
      </c>
      <c r="M528" s="8" t="n">
        <v>3</v>
      </c>
      <c r="N528" s="8" t="s">
        <v>120</v>
      </c>
      <c r="O528" s="15" t="n">
        <f aca="false">H528*12</f>
        <v>40800</v>
      </c>
      <c r="P528" s="8" t="n">
        <f aca="false">MIN(100,ROUND(100*J528/Assumptions!$B$8,0))</f>
        <v>81</v>
      </c>
      <c r="Q528" s="8" t="n">
        <f aca="false">IF(L528="",Assumptions!$B$9,L528*10)</f>
        <v>90</v>
      </c>
      <c r="R528" s="8" t="n">
        <f aca="false">IF(M528&lt;=1,Assumptions!$B$12,IF(M528&lt;=3,Assumptions!$B$13,IF(M528&lt;=6,Assumptions!$B$14,Assumptions!$B$15)))</f>
        <v>75</v>
      </c>
      <c r="S528" s="8" t="n">
        <f aca="false">IF(N528="Completed On Time",Assumptions!$B$16,IF(N528="Completed Late",Assumptions!$B$17,Assumptions!$B$18))</f>
        <v>100</v>
      </c>
      <c r="T528" s="8" t="n">
        <f aca="false">IF(I528=0,Assumptions!$B$20,IF(H528&gt;I528,Assumptions!$B$19,IF(H528=I528,Assumptions!$B$20,Assumptions!$B$21)))</f>
        <v>70</v>
      </c>
      <c r="U528" s="8" t="n">
        <f aca="false">ROUND(P528*Assumptions!$B$2+Q528*Assumptions!$B$3+R528*Assumptions!$B$4+S528*Assumptions!$B$5+T528*Assumptions!$B$6,0)</f>
        <v>82</v>
      </c>
      <c r="V528" s="8" t="str">
        <f aca="false">IF(U528&gt;=Assumptions!$B$10,"Healthy",IF(U528&gt;=Assumptions!$B$11,"Needs Attention","High Risk"))</f>
        <v>Healthy</v>
      </c>
    </row>
    <row r="529" customFormat="false" ht="15" hidden="false" customHeight="false" outlineLevel="0" collapsed="false">
      <c r="A529" s="8" t="s">
        <v>1199</v>
      </c>
      <c r="B529" s="8" t="s">
        <v>1200</v>
      </c>
      <c r="C529" s="8" t="s">
        <v>53</v>
      </c>
      <c r="D529" s="8" t="s">
        <v>326</v>
      </c>
      <c r="E529" s="8" t="s">
        <v>132</v>
      </c>
      <c r="F529" s="8" t="s">
        <v>124</v>
      </c>
      <c r="G529" s="8" t="s">
        <v>204</v>
      </c>
      <c r="H529" s="15" t="n">
        <v>3400</v>
      </c>
      <c r="I529" s="15" t="n">
        <v>2800</v>
      </c>
      <c r="J529" s="16" t="n">
        <v>0.883</v>
      </c>
      <c r="K529" s="8" t="n">
        <v>9</v>
      </c>
      <c r="L529" s="8" t="n">
        <v>8</v>
      </c>
      <c r="M529" s="8" t="n">
        <v>2</v>
      </c>
      <c r="N529" s="8" t="s">
        <v>120</v>
      </c>
      <c r="O529" s="15" t="n">
        <f aca="false">H529*12</f>
        <v>40800</v>
      </c>
      <c r="P529" s="8" t="n">
        <f aca="false">MIN(100,ROUND(100*J529/Assumptions!$B$8,0))</f>
        <v>98</v>
      </c>
      <c r="Q529" s="8" t="n">
        <f aca="false">IF(L529="",Assumptions!$B$9,L529*10)</f>
        <v>80</v>
      </c>
      <c r="R529" s="8" t="n">
        <f aca="false">IF(M529&lt;=1,Assumptions!$B$12,IF(M529&lt;=3,Assumptions!$B$13,IF(M529&lt;=6,Assumptions!$B$14,Assumptions!$B$15)))</f>
        <v>75</v>
      </c>
      <c r="S529" s="8" t="n">
        <f aca="false">IF(N529="Completed On Time",Assumptions!$B$16,IF(N529="Completed Late",Assumptions!$B$17,Assumptions!$B$18))</f>
        <v>100</v>
      </c>
      <c r="T529" s="8" t="n">
        <f aca="false">IF(I529=0,Assumptions!$B$20,IF(H529&gt;I529,Assumptions!$B$19,IF(H529=I529,Assumptions!$B$20,Assumptions!$B$21)))</f>
        <v>100</v>
      </c>
      <c r="U529" s="8" t="n">
        <f aca="false">ROUND(P529*Assumptions!$B$2+Q529*Assumptions!$B$3+R529*Assumptions!$B$4+S529*Assumptions!$B$5+T529*Assumptions!$B$6,0)</f>
        <v>92</v>
      </c>
      <c r="V529" s="8" t="str">
        <f aca="false">IF(U529&gt;=Assumptions!$B$10,"Healthy",IF(U529&gt;=Assumptions!$B$11,"Needs Attention","High Risk"))</f>
        <v>Healthy</v>
      </c>
    </row>
    <row r="530" customFormat="false" ht="15" hidden="false" customHeight="false" outlineLevel="0" collapsed="false">
      <c r="A530" s="8" t="s">
        <v>1201</v>
      </c>
      <c r="B530" s="8" t="s">
        <v>1202</v>
      </c>
      <c r="C530" s="8" t="s">
        <v>53</v>
      </c>
      <c r="D530" s="8" t="s">
        <v>326</v>
      </c>
      <c r="E530" s="8" t="s">
        <v>132</v>
      </c>
      <c r="F530" s="8" t="s">
        <v>133</v>
      </c>
      <c r="G530" s="8" t="s">
        <v>140</v>
      </c>
      <c r="H530" s="15" t="n">
        <v>3400</v>
      </c>
      <c r="I530" s="15" t="n">
        <v>3400</v>
      </c>
      <c r="J530" s="16" t="n">
        <v>0.865</v>
      </c>
      <c r="K530" s="8" t="n">
        <v>10.7</v>
      </c>
      <c r="L530" s="8" t="n">
        <v>9</v>
      </c>
      <c r="M530" s="8" t="n">
        <v>2</v>
      </c>
      <c r="N530" s="8" t="s">
        <v>120</v>
      </c>
      <c r="O530" s="15" t="n">
        <f aca="false">H530*12</f>
        <v>40800</v>
      </c>
      <c r="P530" s="8" t="n">
        <f aca="false">MIN(100,ROUND(100*J530/Assumptions!$B$8,0))</f>
        <v>96</v>
      </c>
      <c r="Q530" s="8" t="n">
        <f aca="false">IF(L530="",Assumptions!$B$9,L530*10)</f>
        <v>90</v>
      </c>
      <c r="R530" s="8" t="n">
        <f aca="false">IF(M530&lt;=1,Assumptions!$B$12,IF(M530&lt;=3,Assumptions!$B$13,IF(M530&lt;=6,Assumptions!$B$14,Assumptions!$B$15)))</f>
        <v>75</v>
      </c>
      <c r="S530" s="8" t="n">
        <f aca="false">IF(N530="Completed On Time",Assumptions!$B$16,IF(N530="Completed Late",Assumptions!$B$17,Assumptions!$B$18))</f>
        <v>100</v>
      </c>
      <c r="T530" s="8" t="n">
        <f aca="false">IF(I530=0,Assumptions!$B$20,IF(H530&gt;I530,Assumptions!$B$19,IF(H530=I530,Assumptions!$B$20,Assumptions!$B$21)))</f>
        <v>70</v>
      </c>
      <c r="U530" s="8" t="n">
        <f aca="false">ROUND(P530*Assumptions!$B$2+Q530*Assumptions!$B$3+R530*Assumptions!$B$4+S530*Assumptions!$B$5+T530*Assumptions!$B$6,0)</f>
        <v>87</v>
      </c>
      <c r="V530" s="8" t="str">
        <f aca="false">IF(U530&gt;=Assumptions!$B$10,"Healthy",IF(U530&gt;=Assumptions!$B$11,"Needs Attention","High Risk"))</f>
        <v>Healthy</v>
      </c>
    </row>
    <row r="531" customFormat="false" ht="15" hidden="false" customHeight="false" outlineLevel="0" collapsed="false">
      <c r="A531" s="8" t="s">
        <v>1203</v>
      </c>
      <c r="B531" s="8" t="s">
        <v>1204</v>
      </c>
      <c r="C531" s="8" t="s">
        <v>53</v>
      </c>
      <c r="D531" s="8" t="s">
        <v>326</v>
      </c>
      <c r="E531" s="8" t="s">
        <v>117</v>
      </c>
      <c r="F531" s="8" t="s">
        <v>133</v>
      </c>
      <c r="G531" s="8" t="s">
        <v>140</v>
      </c>
      <c r="H531" s="15" t="n">
        <v>3400</v>
      </c>
      <c r="I531" s="15" t="n">
        <v>3400</v>
      </c>
      <c r="J531" s="16" t="n">
        <v>0.684</v>
      </c>
      <c r="K531" s="8" t="n">
        <v>11.3</v>
      </c>
      <c r="L531" s="8" t="n">
        <v>9</v>
      </c>
      <c r="M531" s="8" t="n">
        <v>3</v>
      </c>
      <c r="N531" s="8" t="s">
        <v>120</v>
      </c>
      <c r="O531" s="15" t="n">
        <f aca="false">H531*12</f>
        <v>40800</v>
      </c>
      <c r="P531" s="8" t="n">
        <f aca="false">MIN(100,ROUND(100*J531/Assumptions!$B$8,0))</f>
        <v>76</v>
      </c>
      <c r="Q531" s="8" t="n">
        <f aca="false">IF(L531="",Assumptions!$B$9,L531*10)</f>
        <v>90</v>
      </c>
      <c r="R531" s="8" t="n">
        <f aca="false">IF(M531&lt;=1,Assumptions!$B$12,IF(M531&lt;=3,Assumptions!$B$13,IF(M531&lt;=6,Assumptions!$B$14,Assumptions!$B$15)))</f>
        <v>75</v>
      </c>
      <c r="S531" s="8" t="n">
        <f aca="false">IF(N531="Completed On Time",Assumptions!$B$16,IF(N531="Completed Late",Assumptions!$B$17,Assumptions!$B$18))</f>
        <v>100</v>
      </c>
      <c r="T531" s="8" t="n">
        <f aca="false">IF(I531=0,Assumptions!$B$20,IF(H531&gt;I531,Assumptions!$B$19,IF(H531=I531,Assumptions!$B$20,Assumptions!$B$21)))</f>
        <v>70</v>
      </c>
      <c r="U531" s="8" t="n">
        <f aca="false">ROUND(P531*Assumptions!$B$2+Q531*Assumptions!$B$3+R531*Assumptions!$B$4+S531*Assumptions!$B$5+T531*Assumptions!$B$6,0)</f>
        <v>80</v>
      </c>
      <c r="V531" s="8" t="str">
        <f aca="false">IF(U531&gt;=Assumptions!$B$10,"Healthy",IF(U531&gt;=Assumptions!$B$11,"Needs Attention","High Risk"))</f>
        <v>Healthy</v>
      </c>
    </row>
    <row r="532" customFormat="false" ht="15" hidden="false" customHeight="false" outlineLevel="0" collapsed="false">
      <c r="A532" s="8" t="s">
        <v>1205</v>
      </c>
      <c r="B532" s="8" t="s">
        <v>1206</v>
      </c>
      <c r="C532" s="8" t="s">
        <v>53</v>
      </c>
      <c r="D532" s="8" t="s">
        <v>326</v>
      </c>
      <c r="E532" s="8" t="s">
        <v>123</v>
      </c>
      <c r="F532" s="8" t="s">
        <v>166</v>
      </c>
      <c r="G532" s="8" t="s">
        <v>177</v>
      </c>
      <c r="H532" s="15" t="n">
        <v>3400</v>
      </c>
      <c r="I532" s="15" t="n">
        <v>0</v>
      </c>
      <c r="J532" s="16" t="n">
        <v>0.75</v>
      </c>
      <c r="K532" s="8" t="n">
        <v>10.3</v>
      </c>
      <c r="L532" s="8"/>
      <c r="M532" s="8" t="n">
        <v>4</v>
      </c>
      <c r="N532" s="8" t="s">
        <v>120</v>
      </c>
      <c r="O532" s="15" t="n">
        <f aca="false">H532*12</f>
        <v>40800</v>
      </c>
      <c r="P532" s="8" t="n">
        <f aca="false">MIN(100,ROUND(100*J532/Assumptions!$B$8,0))</f>
        <v>83</v>
      </c>
      <c r="Q532" s="8" t="n">
        <f aca="false">IF(L532="",Assumptions!$B$9,L532*10)</f>
        <v>50</v>
      </c>
      <c r="R532" s="8" t="n">
        <f aca="false">IF(M532&lt;=1,Assumptions!$B$12,IF(M532&lt;=3,Assumptions!$B$13,IF(M532&lt;=6,Assumptions!$B$14,Assumptions!$B$15)))</f>
        <v>50</v>
      </c>
      <c r="S532" s="8" t="n">
        <f aca="false">IF(N532="Completed On Time",Assumptions!$B$16,IF(N532="Completed Late",Assumptions!$B$17,Assumptions!$B$18))</f>
        <v>100</v>
      </c>
      <c r="T532" s="8" t="n">
        <f aca="false">IF(I532=0,Assumptions!$B$20,IF(H532&gt;I532,Assumptions!$B$19,IF(H532=I532,Assumptions!$B$20,Assumptions!$B$21)))</f>
        <v>70</v>
      </c>
      <c r="U532" s="8" t="n">
        <f aca="false">ROUND(P532*Assumptions!$B$2+Q532*Assumptions!$B$3+R532*Assumptions!$B$4+S532*Assumptions!$B$5+T532*Assumptions!$B$6,0)</f>
        <v>71</v>
      </c>
      <c r="V532" s="8" t="str">
        <f aca="false">IF(U532&gt;=Assumptions!$B$10,"Healthy",IF(U532&gt;=Assumptions!$B$11,"Needs Attention","High Risk"))</f>
        <v>Needs Attention</v>
      </c>
    </row>
    <row r="533" customFormat="false" ht="15" hidden="false" customHeight="false" outlineLevel="0" collapsed="false">
      <c r="A533" s="8" t="s">
        <v>1207</v>
      </c>
      <c r="B533" s="8" t="s">
        <v>1208</v>
      </c>
      <c r="C533" s="8" t="s">
        <v>53</v>
      </c>
      <c r="D533" s="8" t="s">
        <v>326</v>
      </c>
      <c r="E533" s="8" t="s">
        <v>132</v>
      </c>
      <c r="F533" s="8" t="s">
        <v>136</v>
      </c>
      <c r="G533" s="8" t="s">
        <v>177</v>
      </c>
      <c r="H533" s="15" t="n">
        <v>3375</v>
      </c>
      <c r="I533" s="15" t="n">
        <v>0</v>
      </c>
      <c r="J533" s="16" t="n">
        <v>0.835</v>
      </c>
      <c r="K533" s="8" t="n">
        <v>9</v>
      </c>
      <c r="L533" s="8"/>
      <c r="M533" s="8" t="n">
        <v>0</v>
      </c>
      <c r="N533" s="8" t="s">
        <v>199</v>
      </c>
      <c r="O533" s="15" t="n">
        <f aca="false">H533*12</f>
        <v>40500</v>
      </c>
      <c r="P533" s="8" t="n">
        <f aca="false">MIN(100,ROUND(100*J533/Assumptions!$B$8,0))</f>
        <v>93</v>
      </c>
      <c r="Q533" s="8" t="n">
        <f aca="false">IF(L533="",Assumptions!$B$9,L533*10)</f>
        <v>50</v>
      </c>
      <c r="R533" s="8" t="n">
        <f aca="false">IF(M533&lt;=1,Assumptions!$B$12,IF(M533&lt;=3,Assumptions!$B$13,IF(M533&lt;=6,Assumptions!$B$14,Assumptions!$B$15)))</f>
        <v>100</v>
      </c>
      <c r="S533" s="8" t="n">
        <f aca="false">IF(N533="Completed On Time",Assumptions!$B$16,IF(N533="Completed Late",Assumptions!$B$17,Assumptions!$B$18))</f>
        <v>50</v>
      </c>
      <c r="T533" s="8" t="n">
        <f aca="false">IF(I533=0,Assumptions!$B$20,IF(H533&gt;I533,Assumptions!$B$19,IF(H533=I533,Assumptions!$B$20,Assumptions!$B$21)))</f>
        <v>70</v>
      </c>
      <c r="U533" s="8" t="n">
        <f aca="false">ROUND(P533*Assumptions!$B$2+Q533*Assumptions!$B$3+R533*Assumptions!$B$4+S533*Assumptions!$B$5+T533*Assumptions!$B$6,0)</f>
        <v>77</v>
      </c>
      <c r="V533" s="8" t="str">
        <f aca="false">IF(U533&gt;=Assumptions!$B$10,"Healthy",IF(U533&gt;=Assumptions!$B$11,"Needs Attention","High Risk"))</f>
        <v>Needs Attention</v>
      </c>
    </row>
    <row r="534" customFormat="false" ht="15" hidden="false" customHeight="false" outlineLevel="0" collapsed="false">
      <c r="A534" s="8" t="s">
        <v>1209</v>
      </c>
      <c r="B534" s="8" t="s">
        <v>1210</v>
      </c>
      <c r="C534" s="8" t="s">
        <v>53</v>
      </c>
      <c r="D534" s="8" t="s">
        <v>326</v>
      </c>
      <c r="E534" s="8" t="s">
        <v>128</v>
      </c>
      <c r="F534" s="8" t="s">
        <v>118</v>
      </c>
      <c r="G534" s="8" t="s">
        <v>185</v>
      </c>
      <c r="H534" s="15" t="n">
        <v>3375</v>
      </c>
      <c r="I534" s="15" t="n">
        <v>3375</v>
      </c>
      <c r="J534" s="16" t="n">
        <v>0.778</v>
      </c>
      <c r="K534" s="8" t="n">
        <v>10.3</v>
      </c>
      <c r="L534" s="8" t="n">
        <v>8</v>
      </c>
      <c r="M534" s="8" t="n">
        <v>4</v>
      </c>
      <c r="N534" s="8" t="s">
        <v>120</v>
      </c>
      <c r="O534" s="15" t="n">
        <f aca="false">H534*12</f>
        <v>40500</v>
      </c>
      <c r="P534" s="8" t="n">
        <f aca="false">MIN(100,ROUND(100*J534/Assumptions!$B$8,0))</f>
        <v>86</v>
      </c>
      <c r="Q534" s="8" t="n">
        <f aca="false">IF(L534="",Assumptions!$B$9,L534*10)</f>
        <v>80</v>
      </c>
      <c r="R534" s="8" t="n">
        <f aca="false">IF(M534&lt;=1,Assumptions!$B$12,IF(M534&lt;=3,Assumptions!$B$13,IF(M534&lt;=6,Assumptions!$B$14,Assumptions!$B$15)))</f>
        <v>50</v>
      </c>
      <c r="S534" s="8" t="n">
        <f aca="false">IF(N534="Completed On Time",Assumptions!$B$16,IF(N534="Completed Late",Assumptions!$B$17,Assumptions!$B$18))</f>
        <v>100</v>
      </c>
      <c r="T534" s="8" t="n">
        <f aca="false">IF(I534=0,Assumptions!$B$20,IF(H534&gt;I534,Assumptions!$B$19,IF(H534=I534,Assumptions!$B$20,Assumptions!$B$21)))</f>
        <v>70</v>
      </c>
      <c r="U534" s="8" t="n">
        <f aca="false">ROUND(P534*Assumptions!$B$2+Q534*Assumptions!$B$3+R534*Assumptions!$B$4+S534*Assumptions!$B$5+T534*Assumptions!$B$6,0)</f>
        <v>78</v>
      </c>
      <c r="V534" s="8" t="str">
        <f aca="false">IF(U534&gt;=Assumptions!$B$10,"Healthy",IF(U534&gt;=Assumptions!$B$11,"Needs Attention","High Risk"))</f>
        <v>Needs Attention</v>
      </c>
    </row>
    <row r="535" customFormat="false" ht="15" hidden="false" customHeight="false" outlineLevel="0" collapsed="false">
      <c r="A535" s="8" t="s">
        <v>1211</v>
      </c>
      <c r="B535" s="8" t="s">
        <v>1212</v>
      </c>
      <c r="C535" s="8" t="s">
        <v>53</v>
      </c>
      <c r="D535" s="8" t="s">
        <v>326</v>
      </c>
      <c r="E535" s="8" t="s">
        <v>117</v>
      </c>
      <c r="F535" s="8" t="s">
        <v>190</v>
      </c>
      <c r="G535" s="8" t="s">
        <v>204</v>
      </c>
      <c r="H535" s="15" t="n">
        <v>3375</v>
      </c>
      <c r="I535" s="15" t="n">
        <v>3375</v>
      </c>
      <c r="J535" s="16" t="n">
        <v>0.894</v>
      </c>
      <c r="K535" s="8" t="n">
        <v>11.7</v>
      </c>
      <c r="L535" s="8" t="n">
        <v>10</v>
      </c>
      <c r="M535" s="8" t="n">
        <v>0</v>
      </c>
      <c r="N535" s="8" t="s">
        <v>120</v>
      </c>
      <c r="O535" s="15" t="n">
        <f aca="false">H535*12</f>
        <v>40500</v>
      </c>
      <c r="P535" s="8" t="n">
        <f aca="false">MIN(100,ROUND(100*J535/Assumptions!$B$8,0))</f>
        <v>99</v>
      </c>
      <c r="Q535" s="8" t="n">
        <f aca="false">IF(L535="",Assumptions!$B$9,L535*10)</f>
        <v>100</v>
      </c>
      <c r="R535" s="8" t="n">
        <f aca="false">IF(M535&lt;=1,Assumptions!$B$12,IF(M535&lt;=3,Assumptions!$B$13,IF(M535&lt;=6,Assumptions!$B$14,Assumptions!$B$15)))</f>
        <v>100</v>
      </c>
      <c r="S535" s="8" t="n">
        <f aca="false">IF(N535="Completed On Time",Assumptions!$B$16,IF(N535="Completed Late",Assumptions!$B$17,Assumptions!$B$18))</f>
        <v>100</v>
      </c>
      <c r="T535" s="8" t="n">
        <f aca="false">IF(I535=0,Assumptions!$B$20,IF(H535&gt;I535,Assumptions!$B$19,IF(H535=I535,Assumptions!$B$20,Assumptions!$B$21)))</f>
        <v>70</v>
      </c>
      <c r="U535" s="8" t="n">
        <f aca="false">ROUND(P535*Assumptions!$B$2+Q535*Assumptions!$B$3+R535*Assumptions!$B$4+S535*Assumptions!$B$5+T535*Assumptions!$B$6,0)</f>
        <v>94</v>
      </c>
      <c r="V535" s="8" t="str">
        <f aca="false">IF(U535&gt;=Assumptions!$B$10,"Healthy",IF(U535&gt;=Assumptions!$B$11,"Needs Attention","High Risk"))</f>
        <v>Healthy</v>
      </c>
    </row>
    <row r="536" customFormat="false" ht="15" hidden="false" customHeight="false" outlineLevel="0" collapsed="false">
      <c r="A536" s="8" t="s">
        <v>1213</v>
      </c>
      <c r="B536" s="8" t="s">
        <v>1214</v>
      </c>
      <c r="C536" s="8" t="s">
        <v>53</v>
      </c>
      <c r="D536" s="8" t="s">
        <v>326</v>
      </c>
      <c r="E536" s="8" t="s">
        <v>132</v>
      </c>
      <c r="F536" s="8" t="s">
        <v>133</v>
      </c>
      <c r="G536" s="8" t="s">
        <v>129</v>
      </c>
      <c r="H536" s="15" t="n">
        <v>3375</v>
      </c>
      <c r="I536" s="15" t="n">
        <v>3375</v>
      </c>
      <c r="J536" s="16" t="n">
        <v>0.899</v>
      </c>
      <c r="K536" s="8" t="n">
        <v>11.7</v>
      </c>
      <c r="L536" s="8" t="n">
        <v>10</v>
      </c>
      <c r="M536" s="8" t="n">
        <v>4</v>
      </c>
      <c r="N536" s="8" t="s">
        <v>120</v>
      </c>
      <c r="O536" s="15" t="n">
        <f aca="false">H536*12</f>
        <v>40500</v>
      </c>
      <c r="P536" s="8" t="n">
        <f aca="false">MIN(100,ROUND(100*J536/Assumptions!$B$8,0))</f>
        <v>100</v>
      </c>
      <c r="Q536" s="8" t="n">
        <f aca="false">IF(L536="",Assumptions!$B$9,L536*10)</f>
        <v>100</v>
      </c>
      <c r="R536" s="8" t="n">
        <f aca="false">IF(M536&lt;=1,Assumptions!$B$12,IF(M536&lt;=3,Assumptions!$B$13,IF(M536&lt;=6,Assumptions!$B$14,Assumptions!$B$15)))</f>
        <v>50</v>
      </c>
      <c r="S536" s="8" t="n">
        <f aca="false">IF(N536="Completed On Time",Assumptions!$B$16,IF(N536="Completed Late",Assumptions!$B$17,Assumptions!$B$18))</f>
        <v>100</v>
      </c>
      <c r="T536" s="8" t="n">
        <f aca="false">IF(I536=0,Assumptions!$B$20,IF(H536&gt;I536,Assumptions!$B$19,IF(H536=I536,Assumptions!$B$20,Assumptions!$B$21)))</f>
        <v>70</v>
      </c>
      <c r="U536" s="8" t="n">
        <f aca="false">ROUND(P536*Assumptions!$B$2+Q536*Assumptions!$B$3+R536*Assumptions!$B$4+S536*Assumptions!$B$5+T536*Assumptions!$B$6,0)</f>
        <v>87</v>
      </c>
      <c r="V536" s="8" t="str">
        <f aca="false">IF(U536&gt;=Assumptions!$B$10,"Healthy",IF(U536&gt;=Assumptions!$B$11,"Needs Attention","High Risk"))</f>
        <v>Healthy</v>
      </c>
    </row>
    <row r="537" customFormat="false" ht="15" hidden="false" customHeight="false" outlineLevel="0" collapsed="false">
      <c r="A537" s="8" t="s">
        <v>1215</v>
      </c>
      <c r="B537" s="8" t="s">
        <v>1216</v>
      </c>
      <c r="C537" s="8" t="s">
        <v>53</v>
      </c>
      <c r="D537" s="8" t="s">
        <v>326</v>
      </c>
      <c r="E537" s="8" t="s">
        <v>117</v>
      </c>
      <c r="F537" s="8" t="s">
        <v>143</v>
      </c>
      <c r="G537" s="8" t="s">
        <v>159</v>
      </c>
      <c r="H537" s="15" t="n">
        <v>3350</v>
      </c>
      <c r="I537" s="15" t="n">
        <v>3350</v>
      </c>
      <c r="J537" s="16" t="n">
        <v>0.779</v>
      </c>
      <c r="K537" s="8" t="n">
        <v>11</v>
      </c>
      <c r="L537" s="8" t="n">
        <v>5</v>
      </c>
      <c r="M537" s="8" t="n">
        <v>1</v>
      </c>
      <c r="N537" s="8" t="s">
        <v>120</v>
      </c>
      <c r="O537" s="15" t="n">
        <f aca="false">H537*12</f>
        <v>40200</v>
      </c>
      <c r="P537" s="8" t="n">
        <f aca="false">MIN(100,ROUND(100*J537/Assumptions!$B$8,0))</f>
        <v>87</v>
      </c>
      <c r="Q537" s="8" t="n">
        <f aca="false">IF(L537="",Assumptions!$B$9,L537*10)</f>
        <v>50</v>
      </c>
      <c r="R537" s="8" t="n">
        <f aca="false">IF(M537&lt;=1,Assumptions!$B$12,IF(M537&lt;=3,Assumptions!$B$13,IF(M537&lt;=6,Assumptions!$B$14,Assumptions!$B$15)))</f>
        <v>100</v>
      </c>
      <c r="S537" s="8" t="n">
        <f aca="false">IF(N537="Completed On Time",Assumptions!$B$16,IF(N537="Completed Late",Assumptions!$B$17,Assumptions!$B$18))</f>
        <v>100</v>
      </c>
      <c r="T537" s="8" t="n">
        <f aca="false">IF(I537=0,Assumptions!$B$20,IF(H537&gt;I537,Assumptions!$B$19,IF(H537=I537,Assumptions!$B$20,Assumptions!$B$21)))</f>
        <v>70</v>
      </c>
      <c r="U537" s="8" t="n">
        <f aca="false">ROUND(P537*Assumptions!$B$2+Q537*Assumptions!$B$3+R537*Assumptions!$B$4+S537*Assumptions!$B$5+T537*Assumptions!$B$6,0)</f>
        <v>79</v>
      </c>
      <c r="V537" s="8" t="str">
        <f aca="false">IF(U537&gt;=Assumptions!$B$10,"Healthy",IF(U537&gt;=Assumptions!$B$11,"Needs Attention","High Risk"))</f>
        <v>Needs Attention</v>
      </c>
    </row>
    <row r="538" customFormat="false" ht="15" hidden="false" customHeight="false" outlineLevel="0" collapsed="false">
      <c r="A538" s="8" t="s">
        <v>1217</v>
      </c>
      <c r="B538" s="8" t="s">
        <v>1218</v>
      </c>
      <c r="C538" s="8" t="s">
        <v>53</v>
      </c>
      <c r="D538" s="8" t="s">
        <v>326</v>
      </c>
      <c r="E538" s="8" t="s">
        <v>117</v>
      </c>
      <c r="F538" s="8" t="s">
        <v>190</v>
      </c>
      <c r="G538" s="8" t="s">
        <v>144</v>
      </c>
      <c r="H538" s="15" t="n">
        <v>3350</v>
      </c>
      <c r="I538" s="15" t="n">
        <v>3350</v>
      </c>
      <c r="J538" s="16" t="n">
        <v>0.609</v>
      </c>
      <c r="K538" s="8" t="n">
        <v>5.7</v>
      </c>
      <c r="L538" s="8" t="n">
        <v>5</v>
      </c>
      <c r="M538" s="8" t="n">
        <v>5</v>
      </c>
      <c r="N538" s="8" t="s">
        <v>148</v>
      </c>
      <c r="O538" s="15" t="n">
        <f aca="false">H538*12</f>
        <v>40200</v>
      </c>
      <c r="P538" s="8" t="n">
        <f aca="false">MIN(100,ROUND(100*J538/Assumptions!$B$8,0))</f>
        <v>68</v>
      </c>
      <c r="Q538" s="8" t="n">
        <f aca="false">IF(L538="",Assumptions!$B$9,L538*10)</f>
        <v>50</v>
      </c>
      <c r="R538" s="8" t="n">
        <f aca="false">IF(M538&lt;=1,Assumptions!$B$12,IF(M538&lt;=3,Assumptions!$B$13,IF(M538&lt;=6,Assumptions!$B$14,Assumptions!$B$15)))</f>
        <v>50</v>
      </c>
      <c r="S538" s="8" t="n">
        <f aca="false">IF(N538="Completed On Time",Assumptions!$B$16,IF(N538="Completed Late",Assumptions!$B$17,Assumptions!$B$18))</f>
        <v>60</v>
      </c>
      <c r="T538" s="8" t="n">
        <f aca="false">IF(I538=0,Assumptions!$B$20,IF(H538&gt;I538,Assumptions!$B$19,IF(H538=I538,Assumptions!$B$20,Assumptions!$B$21)))</f>
        <v>70</v>
      </c>
      <c r="U538" s="8" t="n">
        <f aca="false">ROUND(P538*Assumptions!$B$2+Q538*Assumptions!$B$3+R538*Assumptions!$B$4+S538*Assumptions!$B$5+T538*Assumptions!$B$6,0)</f>
        <v>61</v>
      </c>
      <c r="V538" s="8" t="str">
        <f aca="false">IF(U538&gt;=Assumptions!$B$10,"Healthy",IF(U538&gt;=Assumptions!$B$11,"Needs Attention","High Risk"))</f>
        <v>High Risk</v>
      </c>
    </row>
    <row r="539" customFormat="false" ht="15" hidden="false" customHeight="false" outlineLevel="0" collapsed="false">
      <c r="A539" s="8" t="s">
        <v>1219</v>
      </c>
      <c r="B539" s="8" t="s">
        <v>1220</v>
      </c>
      <c r="C539" s="8" t="s">
        <v>53</v>
      </c>
      <c r="D539" s="8" t="s">
        <v>326</v>
      </c>
      <c r="E539" s="8" t="s">
        <v>117</v>
      </c>
      <c r="F539" s="8" t="s">
        <v>143</v>
      </c>
      <c r="G539" s="8" t="s">
        <v>119</v>
      </c>
      <c r="H539" s="15" t="n">
        <v>3350</v>
      </c>
      <c r="I539" s="15" t="n">
        <v>3350</v>
      </c>
      <c r="J539" s="16" t="n">
        <v>0.565</v>
      </c>
      <c r="K539" s="8" t="n">
        <v>5.7</v>
      </c>
      <c r="L539" s="8" t="n">
        <v>8</v>
      </c>
      <c r="M539" s="8" t="n">
        <v>9</v>
      </c>
      <c r="N539" s="8" t="s">
        <v>120</v>
      </c>
      <c r="O539" s="15" t="n">
        <f aca="false">H539*12</f>
        <v>40200</v>
      </c>
      <c r="P539" s="8" t="n">
        <f aca="false">MIN(100,ROUND(100*J539/Assumptions!$B$8,0))</f>
        <v>63</v>
      </c>
      <c r="Q539" s="8" t="n">
        <f aca="false">IF(L539="",Assumptions!$B$9,L539*10)</f>
        <v>80</v>
      </c>
      <c r="R539" s="8" t="n">
        <f aca="false">IF(M539&lt;=1,Assumptions!$B$12,IF(M539&lt;=3,Assumptions!$B$13,IF(M539&lt;=6,Assumptions!$B$14,Assumptions!$B$15)))</f>
        <v>20</v>
      </c>
      <c r="S539" s="8" t="n">
        <f aca="false">IF(N539="Completed On Time",Assumptions!$B$16,IF(N539="Completed Late",Assumptions!$B$17,Assumptions!$B$18))</f>
        <v>100</v>
      </c>
      <c r="T539" s="8" t="n">
        <f aca="false">IF(I539=0,Assumptions!$B$20,IF(H539&gt;I539,Assumptions!$B$19,IF(H539=I539,Assumptions!$B$20,Assumptions!$B$21)))</f>
        <v>70</v>
      </c>
      <c r="U539" s="8" t="n">
        <f aca="false">ROUND(P539*Assumptions!$B$2+Q539*Assumptions!$B$3+R539*Assumptions!$B$4+S539*Assumptions!$B$5+T539*Assumptions!$B$6,0)</f>
        <v>65</v>
      </c>
      <c r="V539" s="8" t="str">
        <f aca="false">IF(U539&gt;=Assumptions!$B$10,"Healthy",IF(U539&gt;=Assumptions!$B$11,"Needs Attention","High Risk"))</f>
        <v>Needs Attention</v>
      </c>
    </row>
    <row r="540" customFormat="false" ht="15" hidden="false" customHeight="false" outlineLevel="0" collapsed="false">
      <c r="A540" s="8" t="s">
        <v>1221</v>
      </c>
      <c r="B540" s="8" t="s">
        <v>1222</v>
      </c>
      <c r="C540" s="8" t="s">
        <v>53</v>
      </c>
      <c r="D540" s="8" t="s">
        <v>326</v>
      </c>
      <c r="E540" s="8" t="s">
        <v>117</v>
      </c>
      <c r="F540" s="8" t="s">
        <v>143</v>
      </c>
      <c r="G540" s="8" t="s">
        <v>185</v>
      </c>
      <c r="H540" s="15" t="n">
        <v>3325</v>
      </c>
      <c r="I540" s="15" t="n">
        <v>3325</v>
      </c>
      <c r="J540" s="16" t="n">
        <v>0.604</v>
      </c>
      <c r="K540" s="8" t="n">
        <v>5.7</v>
      </c>
      <c r="L540" s="8" t="n">
        <v>5</v>
      </c>
      <c r="M540" s="8" t="n">
        <v>3</v>
      </c>
      <c r="N540" s="8" t="s">
        <v>120</v>
      </c>
      <c r="O540" s="15" t="n">
        <f aca="false">H540*12</f>
        <v>39900</v>
      </c>
      <c r="P540" s="8" t="n">
        <f aca="false">MIN(100,ROUND(100*J540/Assumptions!$B$8,0))</f>
        <v>67</v>
      </c>
      <c r="Q540" s="8" t="n">
        <f aca="false">IF(L540="",Assumptions!$B$9,L540*10)</f>
        <v>50</v>
      </c>
      <c r="R540" s="8" t="n">
        <f aca="false">IF(M540&lt;=1,Assumptions!$B$12,IF(M540&lt;=3,Assumptions!$B$13,IF(M540&lt;=6,Assumptions!$B$14,Assumptions!$B$15)))</f>
        <v>75</v>
      </c>
      <c r="S540" s="8" t="n">
        <f aca="false">IF(N540="Completed On Time",Assumptions!$B$16,IF(N540="Completed Late",Assumptions!$B$17,Assumptions!$B$18))</f>
        <v>100</v>
      </c>
      <c r="T540" s="8" t="n">
        <f aca="false">IF(I540=0,Assumptions!$B$20,IF(H540&gt;I540,Assumptions!$B$19,IF(H540=I540,Assumptions!$B$20,Assumptions!$B$21)))</f>
        <v>70</v>
      </c>
      <c r="U540" s="8" t="n">
        <f aca="false">ROUND(P540*Assumptions!$B$2+Q540*Assumptions!$B$3+R540*Assumptions!$B$4+S540*Assumptions!$B$5+T540*Assumptions!$B$6,0)</f>
        <v>69</v>
      </c>
      <c r="V540" s="8" t="str">
        <f aca="false">IF(U540&gt;=Assumptions!$B$10,"Healthy",IF(U540&gt;=Assumptions!$B$11,"Needs Attention","High Risk"))</f>
        <v>Needs Attention</v>
      </c>
    </row>
    <row r="541" customFormat="false" ht="15" hidden="false" customHeight="false" outlineLevel="0" collapsed="false">
      <c r="A541" s="8" t="s">
        <v>1223</v>
      </c>
      <c r="B541" s="8" t="s">
        <v>1224</v>
      </c>
      <c r="C541" s="8" t="s">
        <v>53</v>
      </c>
      <c r="D541" s="8" t="s">
        <v>326</v>
      </c>
      <c r="E541" s="8" t="s">
        <v>132</v>
      </c>
      <c r="F541" s="8" t="s">
        <v>143</v>
      </c>
      <c r="G541" s="8" t="s">
        <v>204</v>
      </c>
      <c r="H541" s="15" t="n">
        <v>3300</v>
      </c>
      <c r="I541" s="15" t="n">
        <v>3300</v>
      </c>
      <c r="J541" s="16" t="n">
        <v>0.727</v>
      </c>
      <c r="K541" s="8" t="n">
        <v>7</v>
      </c>
      <c r="L541" s="8" t="n">
        <v>7</v>
      </c>
      <c r="M541" s="8" t="n">
        <v>4</v>
      </c>
      <c r="N541" s="8" t="s">
        <v>148</v>
      </c>
      <c r="O541" s="15" t="n">
        <f aca="false">H541*12</f>
        <v>39600</v>
      </c>
      <c r="P541" s="8" t="n">
        <f aca="false">MIN(100,ROUND(100*J541/Assumptions!$B$8,0))</f>
        <v>81</v>
      </c>
      <c r="Q541" s="8" t="n">
        <f aca="false">IF(L541="",Assumptions!$B$9,L541*10)</f>
        <v>70</v>
      </c>
      <c r="R541" s="8" t="n">
        <f aca="false">IF(M541&lt;=1,Assumptions!$B$12,IF(M541&lt;=3,Assumptions!$B$13,IF(M541&lt;=6,Assumptions!$B$14,Assumptions!$B$15)))</f>
        <v>50</v>
      </c>
      <c r="S541" s="8" t="n">
        <f aca="false">IF(N541="Completed On Time",Assumptions!$B$16,IF(N541="Completed Late",Assumptions!$B$17,Assumptions!$B$18))</f>
        <v>60</v>
      </c>
      <c r="T541" s="8" t="n">
        <f aca="false">IF(I541=0,Assumptions!$B$20,IF(H541&gt;I541,Assumptions!$B$19,IF(H541=I541,Assumptions!$B$20,Assumptions!$B$21)))</f>
        <v>70</v>
      </c>
      <c r="U541" s="8" t="n">
        <f aca="false">ROUND(P541*Assumptions!$B$2+Q541*Assumptions!$B$3+R541*Assumptions!$B$4+S541*Assumptions!$B$5+T541*Assumptions!$B$6,0)</f>
        <v>70</v>
      </c>
      <c r="V541" s="8" t="str">
        <f aca="false">IF(U541&gt;=Assumptions!$B$10,"Healthy",IF(U541&gt;=Assumptions!$B$11,"Needs Attention","High Risk"))</f>
        <v>Needs Attention</v>
      </c>
    </row>
    <row r="542" customFormat="false" ht="15" hidden="false" customHeight="false" outlineLevel="0" collapsed="false">
      <c r="A542" s="8" t="s">
        <v>1225</v>
      </c>
      <c r="B542" s="8" t="s">
        <v>1226</v>
      </c>
      <c r="C542" s="8" t="s">
        <v>53</v>
      </c>
      <c r="D542" s="8" t="s">
        <v>326</v>
      </c>
      <c r="E542" s="8" t="s">
        <v>123</v>
      </c>
      <c r="F542" s="8" t="s">
        <v>124</v>
      </c>
      <c r="G542" s="8" t="s">
        <v>177</v>
      </c>
      <c r="H542" s="15" t="n">
        <v>3300</v>
      </c>
      <c r="I542" s="15" t="n">
        <v>3300</v>
      </c>
      <c r="J542" s="16" t="n">
        <v>0.639</v>
      </c>
      <c r="K542" s="8" t="n">
        <v>6</v>
      </c>
      <c r="L542" s="8" t="n">
        <v>6</v>
      </c>
      <c r="M542" s="8" t="n">
        <v>6</v>
      </c>
      <c r="N542" s="8" t="s">
        <v>120</v>
      </c>
      <c r="O542" s="15" t="n">
        <f aca="false">H542*12</f>
        <v>39600</v>
      </c>
      <c r="P542" s="8" t="n">
        <f aca="false">MIN(100,ROUND(100*J542/Assumptions!$B$8,0))</f>
        <v>71</v>
      </c>
      <c r="Q542" s="8" t="n">
        <f aca="false">IF(L542="",Assumptions!$B$9,L542*10)</f>
        <v>60</v>
      </c>
      <c r="R542" s="8" t="n">
        <f aca="false">IF(M542&lt;=1,Assumptions!$B$12,IF(M542&lt;=3,Assumptions!$B$13,IF(M542&lt;=6,Assumptions!$B$14,Assumptions!$B$15)))</f>
        <v>50</v>
      </c>
      <c r="S542" s="8" t="n">
        <f aca="false">IF(N542="Completed On Time",Assumptions!$B$16,IF(N542="Completed Late",Assumptions!$B$17,Assumptions!$B$18))</f>
        <v>100</v>
      </c>
      <c r="T542" s="8" t="n">
        <f aca="false">IF(I542=0,Assumptions!$B$20,IF(H542&gt;I542,Assumptions!$B$19,IF(H542=I542,Assumptions!$B$20,Assumptions!$B$21)))</f>
        <v>70</v>
      </c>
      <c r="U542" s="8" t="n">
        <f aca="false">ROUND(P542*Assumptions!$B$2+Q542*Assumptions!$B$3+R542*Assumptions!$B$4+S542*Assumptions!$B$5+T542*Assumptions!$B$6,0)</f>
        <v>68</v>
      </c>
      <c r="V542" s="8" t="str">
        <f aca="false">IF(U542&gt;=Assumptions!$B$10,"Healthy",IF(U542&gt;=Assumptions!$B$11,"Needs Attention","High Risk"))</f>
        <v>Needs Attention</v>
      </c>
    </row>
    <row r="543" customFormat="false" ht="15" hidden="false" customHeight="false" outlineLevel="0" collapsed="false">
      <c r="A543" s="8" t="s">
        <v>1227</v>
      </c>
      <c r="B543" s="8" t="s">
        <v>1228</v>
      </c>
      <c r="C543" s="8" t="s">
        <v>53</v>
      </c>
      <c r="D543" s="8" t="s">
        <v>55</v>
      </c>
      <c r="E543" s="8" t="s">
        <v>123</v>
      </c>
      <c r="F543" s="8" t="s">
        <v>154</v>
      </c>
      <c r="G543" s="8" t="s">
        <v>159</v>
      </c>
      <c r="H543" s="15" t="n">
        <v>3285</v>
      </c>
      <c r="I543" s="15" t="n">
        <v>3285</v>
      </c>
      <c r="J543" s="16" t="n">
        <v>0.708</v>
      </c>
      <c r="K543" s="8" t="n">
        <v>8.7</v>
      </c>
      <c r="L543" s="8" t="n">
        <v>10</v>
      </c>
      <c r="M543" s="8" t="n">
        <v>3</v>
      </c>
      <c r="N543" s="8" t="s">
        <v>148</v>
      </c>
      <c r="O543" s="15" t="n">
        <f aca="false">H543*12</f>
        <v>39420</v>
      </c>
      <c r="P543" s="8" t="n">
        <f aca="false">MIN(100,ROUND(100*J543/Assumptions!$B$8,0))</f>
        <v>79</v>
      </c>
      <c r="Q543" s="8" t="n">
        <f aca="false">IF(L543="",Assumptions!$B$9,L543*10)</f>
        <v>100</v>
      </c>
      <c r="R543" s="8" t="n">
        <f aca="false">IF(M543&lt;=1,Assumptions!$B$12,IF(M543&lt;=3,Assumptions!$B$13,IF(M543&lt;=6,Assumptions!$B$14,Assumptions!$B$15)))</f>
        <v>75</v>
      </c>
      <c r="S543" s="8" t="n">
        <f aca="false">IF(N543="Completed On Time",Assumptions!$B$16,IF(N543="Completed Late",Assumptions!$B$17,Assumptions!$B$18))</f>
        <v>60</v>
      </c>
      <c r="T543" s="8" t="n">
        <f aca="false">IF(I543=0,Assumptions!$B$20,IF(H543&gt;I543,Assumptions!$B$19,IF(H543=I543,Assumptions!$B$20,Assumptions!$B$21)))</f>
        <v>70</v>
      </c>
      <c r="U543" s="8" t="n">
        <f aca="false">ROUND(P543*Assumptions!$B$2+Q543*Assumptions!$B$3+R543*Assumptions!$B$4+S543*Assumptions!$B$5+T543*Assumptions!$B$6,0)</f>
        <v>79</v>
      </c>
      <c r="V543" s="8" t="str">
        <f aca="false">IF(U543&gt;=Assumptions!$B$10,"Healthy",IF(U543&gt;=Assumptions!$B$11,"Needs Attention","High Risk"))</f>
        <v>Needs Attention</v>
      </c>
    </row>
    <row r="544" customFormat="false" ht="15" hidden="false" customHeight="false" outlineLevel="0" collapsed="false">
      <c r="A544" s="8" t="s">
        <v>1229</v>
      </c>
      <c r="B544" s="8" t="s">
        <v>1230</v>
      </c>
      <c r="C544" s="8" t="s">
        <v>53</v>
      </c>
      <c r="D544" s="8" t="s">
        <v>326</v>
      </c>
      <c r="E544" s="8" t="s">
        <v>117</v>
      </c>
      <c r="F544" s="8" t="s">
        <v>124</v>
      </c>
      <c r="G544" s="8" t="s">
        <v>159</v>
      </c>
      <c r="H544" s="15" t="n">
        <v>3275</v>
      </c>
      <c r="I544" s="15" t="n">
        <v>3275</v>
      </c>
      <c r="J544" s="16" t="n">
        <v>0.779</v>
      </c>
      <c r="K544" s="8" t="n">
        <v>9</v>
      </c>
      <c r="L544" s="8" t="n">
        <v>10</v>
      </c>
      <c r="M544" s="8" t="n">
        <v>1</v>
      </c>
      <c r="N544" s="8" t="s">
        <v>148</v>
      </c>
      <c r="O544" s="15" t="n">
        <f aca="false">H544*12</f>
        <v>39300</v>
      </c>
      <c r="P544" s="8" t="n">
        <f aca="false">MIN(100,ROUND(100*J544/Assumptions!$B$8,0))</f>
        <v>87</v>
      </c>
      <c r="Q544" s="8" t="n">
        <f aca="false">IF(L544="",Assumptions!$B$9,L544*10)</f>
        <v>100</v>
      </c>
      <c r="R544" s="8" t="n">
        <f aca="false">IF(M544&lt;=1,Assumptions!$B$12,IF(M544&lt;=3,Assumptions!$B$13,IF(M544&lt;=6,Assumptions!$B$14,Assumptions!$B$15)))</f>
        <v>100</v>
      </c>
      <c r="S544" s="8" t="n">
        <f aca="false">IF(N544="Completed On Time",Assumptions!$B$16,IF(N544="Completed Late",Assumptions!$B$17,Assumptions!$B$18))</f>
        <v>60</v>
      </c>
      <c r="T544" s="8" t="n">
        <f aca="false">IF(I544=0,Assumptions!$B$20,IF(H544&gt;I544,Assumptions!$B$19,IF(H544=I544,Assumptions!$B$20,Assumptions!$B$21)))</f>
        <v>70</v>
      </c>
      <c r="U544" s="8" t="n">
        <f aca="false">ROUND(P544*Assumptions!$B$2+Q544*Assumptions!$B$3+R544*Assumptions!$B$4+S544*Assumptions!$B$5+T544*Assumptions!$B$6,0)</f>
        <v>85</v>
      </c>
      <c r="V544" s="8" t="str">
        <f aca="false">IF(U544&gt;=Assumptions!$B$10,"Healthy",IF(U544&gt;=Assumptions!$B$11,"Needs Attention","High Risk"))</f>
        <v>Healthy</v>
      </c>
    </row>
    <row r="545" customFormat="false" ht="15" hidden="false" customHeight="false" outlineLevel="0" collapsed="false">
      <c r="A545" s="8" t="s">
        <v>1231</v>
      </c>
      <c r="B545" s="8" t="s">
        <v>1232</v>
      </c>
      <c r="C545" s="8" t="s">
        <v>53</v>
      </c>
      <c r="D545" s="8" t="s">
        <v>326</v>
      </c>
      <c r="E545" s="8" t="s">
        <v>117</v>
      </c>
      <c r="F545" s="8" t="s">
        <v>124</v>
      </c>
      <c r="G545" s="8" t="s">
        <v>185</v>
      </c>
      <c r="H545" s="15" t="n">
        <v>3275</v>
      </c>
      <c r="I545" s="15" t="n">
        <v>3275</v>
      </c>
      <c r="J545" s="16" t="n">
        <v>0.756</v>
      </c>
      <c r="K545" s="8" t="n">
        <v>9.7</v>
      </c>
      <c r="L545" s="8" t="n">
        <v>10</v>
      </c>
      <c r="M545" s="8" t="n">
        <v>1</v>
      </c>
      <c r="N545" s="8" t="s">
        <v>120</v>
      </c>
      <c r="O545" s="15" t="n">
        <f aca="false">H545*12</f>
        <v>39300</v>
      </c>
      <c r="P545" s="8" t="n">
        <f aca="false">MIN(100,ROUND(100*J545/Assumptions!$B$8,0))</f>
        <v>84</v>
      </c>
      <c r="Q545" s="8" t="n">
        <f aca="false">IF(L545="",Assumptions!$B$9,L545*10)</f>
        <v>100</v>
      </c>
      <c r="R545" s="8" t="n">
        <f aca="false">IF(M545&lt;=1,Assumptions!$B$12,IF(M545&lt;=3,Assumptions!$B$13,IF(M545&lt;=6,Assumptions!$B$14,Assumptions!$B$15)))</f>
        <v>100</v>
      </c>
      <c r="S545" s="8" t="n">
        <f aca="false">IF(N545="Completed On Time",Assumptions!$B$16,IF(N545="Completed Late",Assumptions!$B$17,Assumptions!$B$18))</f>
        <v>100</v>
      </c>
      <c r="T545" s="8" t="n">
        <f aca="false">IF(I545=0,Assumptions!$B$20,IF(H545&gt;I545,Assumptions!$B$19,IF(H545=I545,Assumptions!$B$20,Assumptions!$B$21)))</f>
        <v>70</v>
      </c>
      <c r="U545" s="8" t="n">
        <f aca="false">ROUND(P545*Assumptions!$B$2+Q545*Assumptions!$B$3+R545*Assumptions!$B$4+S545*Assumptions!$B$5+T545*Assumptions!$B$6,0)</f>
        <v>88</v>
      </c>
      <c r="V545" s="8" t="str">
        <f aca="false">IF(U545&gt;=Assumptions!$B$10,"Healthy",IF(U545&gt;=Assumptions!$B$11,"Needs Attention","High Risk"))</f>
        <v>Healthy</v>
      </c>
    </row>
    <row r="546" customFormat="false" ht="15" hidden="false" customHeight="false" outlineLevel="0" collapsed="false">
      <c r="A546" s="8" t="s">
        <v>1233</v>
      </c>
      <c r="B546" s="8" t="s">
        <v>1234</v>
      </c>
      <c r="C546" s="8" t="s">
        <v>53</v>
      </c>
      <c r="D546" s="8" t="s">
        <v>326</v>
      </c>
      <c r="E546" s="8" t="s">
        <v>123</v>
      </c>
      <c r="F546" s="8" t="s">
        <v>136</v>
      </c>
      <c r="G546" s="8" t="s">
        <v>204</v>
      </c>
      <c r="H546" s="15" t="n">
        <v>3275</v>
      </c>
      <c r="I546" s="15" t="n">
        <v>3275</v>
      </c>
      <c r="J546" s="16" t="n">
        <v>0.57</v>
      </c>
      <c r="K546" s="8" t="n">
        <v>6.7</v>
      </c>
      <c r="L546" s="8" t="n">
        <v>8</v>
      </c>
      <c r="M546" s="8" t="n">
        <v>5</v>
      </c>
      <c r="N546" s="8" t="s">
        <v>120</v>
      </c>
      <c r="O546" s="15" t="n">
        <f aca="false">H546*12</f>
        <v>39300</v>
      </c>
      <c r="P546" s="8" t="n">
        <f aca="false">MIN(100,ROUND(100*J546/Assumptions!$B$8,0))</f>
        <v>63</v>
      </c>
      <c r="Q546" s="8" t="n">
        <f aca="false">IF(L546="",Assumptions!$B$9,L546*10)</f>
        <v>80</v>
      </c>
      <c r="R546" s="8" t="n">
        <f aca="false">IF(M546&lt;=1,Assumptions!$B$12,IF(M546&lt;=3,Assumptions!$B$13,IF(M546&lt;=6,Assumptions!$B$14,Assumptions!$B$15)))</f>
        <v>50</v>
      </c>
      <c r="S546" s="8" t="n">
        <f aca="false">IF(N546="Completed On Time",Assumptions!$B$16,IF(N546="Completed Late",Assumptions!$B$17,Assumptions!$B$18))</f>
        <v>100</v>
      </c>
      <c r="T546" s="8" t="n">
        <f aca="false">IF(I546=0,Assumptions!$B$20,IF(H546&gt;I546,Assumptions!$B$19,IF(H546=I546,Assumptions!$B$20,Assumptions!$B$21)))</f>
        <v>70</v>
      </c>
      <c r="U546" s="8" t="n">
        <f aca="false">ROUND(P546*Assumptions!$B$2+Q546*Assumptions!$B$3+R546*Assumptions!$B$4+S546*Assumptions!$B$5+T546*Assumptions!$B$6,0)</f>
        <v>70</v>
      </c>
      <c r="V546" s="8" t="str">
        <f aca="false">IF(U546&gt;=Assumptions!$B$10,"Healthy",IF(U546&gt;=Assumptions!$B$11,"Needs Attention","High Risk"))</f>
        <v>Needs Attention</v>
      </c>
    </row>
    <row r="547" customFormat="false" ht="15" hidden="false" customHeight="false" outlineLevel="0" collapsed="false">
      <c r="A547" s="8" t="s">
        <v>1235</v>
      </c>
      <c r="B547" s="8" t="s">
        <v>1236</v>
      </c>
      <c r="C547" s="8" t="s">
        <v>53</v>
      </c>
      <c r="D547" s="8" t="s">
        <v>326</v>
      </c>
      <c r="E547" s="8" t="s">
        <v>117</v>
      </c>
      <c r="F547" s="8" t="s">
        <v>190</v>
      </c>
      <c r="G547" s="8" t="s">
        <v>144</v>
      </c>
      <c r="H547" s="15" t="n">
        <v>3250</v>
      </c>
      <c r="I547" s="15" t="n">
        <v>3250</v>
      </c>
      <c r="J547" s="16" t="n">
        <v>0.897</v>
      </c>
      <c r="K547" s="8" t="n">
        <v>10.7</v>
      </c>
      <c r="L547" s="8" t="n">
        <v>9</v>
      </c>
      <c r="M547" s="8" t="n">
        <v>1</v>
      </c>
      <c r="N547" s="8" t="s">
        <v>120</v>
      </c>
      <c r="O547" s="15" t="n">
        <f aca="false">H547*12</f>
        <v>39000</v>
      </c>
      <c r="P547" s="8" t="n">
        <f aca="false">MIN(100,ROUND(100*J547/Assumptions!$B$8,0))</f>
        <v>100</v>
      </c>
      <c r="Q547" s="8" t="n">
        <f aca="false">IF(L547="",Assumptions!$B$9,L547*10)</f>
        <v>90</v>
      </c>
      <c r="R547" s="8" t="n">
        <f aca="false">IF(M547&lt;=1,Assumptions!$B$12,IF(M547&lt;=3,Assumptions!$B$13,IF(M547&lt;=6,Assumptions!$B$14,Assumptions!$B$15)))</f>
        <v>100</v>
      </c>
      <c r="S547" s="8" t="n">
        <f aca="false">IF(N547="Completed On Time",Assumptions!$B$16,IF(N547="Completed Late",Assumptions!$B$17,Assumptions!$B$18))</f>
        <v>100</v>
      </c>
      <c r="T547" s="8" t="n">
        <f aca="false">IF(I547=0,Assumptions!$B$20,IF(H547&gt;I547,Assumptions!$B$19,IF(H547=I547,Assumptions!$B$20,Assumptions!$B$21)))</f>
        <v>70</v>
      </c>
      <c r="U547" s="8" t="n">
        <f aca="false">ROUND(P547*Assumptions!$B$2+Q547*Assumptions!$B$3+R547*Assumptions!$B$4+S547*Assumptions!$B$5+T547*Assumptions!$B$6,0)</f>
        <v>92</v>
      </c>
      <c r="V547" s="8" t="str">
        <f aca="false">IF(U547&gt;=Assumptions!$B$10,"Healthy",IF(U547&gt;=Assumptions!$B$11,"Needs Attention","High Risk"))</f>
        <v>Healthy</v>
      </c>
    </row>
    <row r="548" customFormat="false" ht="15" hidden="false" customHeight="false" outlineLevel="0" collapsed="false">
      <c r="A548" s="8" t="s">
        <v>1237</v>
      </c>
      <c r="B548" s="8" t="s">
        <v>1238</v>
      </c>
      <c r="C548" s="8" t="s">
        <v>53</v>
      </c>
      <c r="D548" s="8" t="s">
        <v>326</v>
      </c>
      <c r="E548" s="8" t="s">
        <v>132</v>
      </c>
      <c r="F548" s="8" t="s">
        <v>118</v>
      </c>
      <c r="G548" s="8" t="s">
        <v>144</v>
      </c>
      <c r="H548" s="15" t="n">
        <v>3250</v>
      </c>
      <c r="I548" s="15" t="n">
        <v>3250</v>
      </c>
      <c r="J548" s="16" t="n">
        <v>0.61</v>
      </c>
      <c r="K548" s="8" t="n">
        <v>7.3</v>
      </c>
      <c r="L548" s="8" t="n">
        <v>8</v>
      </c>
      <c r="M548" s="8" t="n">
        <v>4</v>
      </c>
      <c r="N548" s="8" t="s">
        <v>148</v>
      </c>
      <c r="O548" s="15" t="n">
        <f aca="false">H548*12</f>
        <v>39000</v>
      </c>
      <c r="P548" s="8" t="n">
        <f aca="false">MIN(100,ROUND(100*J548/Assumptions!$B$8,0))</f>
        <v>68</v>
      </c>
      <c r="Q548" s="8" t="n">
        <f aca="false">IF(L548="",Assumptions!$B$9,L548*10)</f>
        <v>80</v>
      </c>
      <c r="R548" s="8" t="n">
        <f aca="false">IF(M548&lt;=1,Assumptions!$B$12,IF(M548&lt;=3,Assumptions!$B$13,IF(M548&lt;=6,Assumptions!$B$14,Assumptions!$B$15)))</f>
        <v>50</v>
      </c>
      <c r="S548" s="8" t="n">
        <f aca="false">IF(N548="Completed On Time",Assumptions!$B$16,IF(N548="Completed Late",Assumptions!$B$17,Assumptions!$B$18))</f>
        <v>60</v>
      </c>
      <c r="T548" s="8" t="n">
        <f aca="false">IF(I548=0,Assumptions!$B$20,IF(H548&gt;I548,Assumptions!$B$19,IF(H548=I548,Assumptions!$B$20,Assumptions!$B$21)))</f>
        <v>70</v>
      </c>
      <c r="U548" s="8" t="n">
        <f aca="false">ROUND(P548*Assumptions!$B$2+Q548*Assumptions!$B$3+R548*Assumptions!$B$4+S548*Assumptions!$B$5+T548*Assumptions!$B$6,0)</f>
        <v>67</v>
      </c>
      <c r="V548" s="8" t="str">
        <f aca="false">IF(U548&gt;=Assumptions!$B$10,"Healthy",IF(U548&gt;=Assumptions!$B$11,"Needs Attention","High Risk"))</f>
        <v>Needs Attention</v>
      </c>
    </row>
    <row r="549" customFormat="false" ht="15" hidden="false" customHeight="false" outlineLevel="0" collapsed="false">
      <c r="A549" s="8" t="s">
        <v>1239</v>
      </c>
      <c r="B549" s="8" t="s">
        <v>1240</v>
      </c>
      <c r="C549" s="8" t="s">
        <v>53</v>
      </c>
      <c r="D549" s="8" t="s">
        <v>326</v>
      </c>
      <c r="E549" s="8" t="s">
        <v>117</v>
      </c>
      <c r="F549" s="8" t="s">
        <v>143</v>
      </c>
      <c r="G549" s="8" t="s">
        <v>144</v>
      </c>
      <c r="H549" s="15" t="n">
        <v>3250</v>
      </c>
      <c r="I549" s="15" t="n">
        <v>3250</v>
      </c>
      <c r="J549" s="16" t="n">
        <v>0.677</v>
      </c>
      <c r="K549" s="8" t="n">
        <v>8.7</v>
      </c>
      <c r="L549" s="8" t="n">
        <v>5</v>
      </c>
      <c r="M549" s="8" t="n">
        <v>5</v>
      </c>
      <c r="N549" s="8" t="s">
        <v>120</v>
      </c>
      <c r="O549" s="15" t="n">
        <f aca="false">H549*12</f>
        <v>39000</v>
      </c>
      <c r="P549" s="8" t="n">
        <f aca="false">MIN(100,ROUND(100*J549/Assumptions!$B$8,0))</f>
        <v>75</v>
      </c>
      <c r="Q549" s="8" t="n">
        <f aca="false">IF(L549="",Assumptions!$B$9,L549*10)</f>
        <v>50</v>
      </c>
      <c r="R549" s="8" t="n">
        <f aca="false">IF(M549&lt;=1,Assumptions!$B$12,IF(M549&lt;=3,Assumptions!$B$13,IF(M549&lt;=6,Assumptions!$B$14,Assumptions!$B$15)))</f>
        <v>50</v>
      </c>
      <c r="S549" s="8" t="n">
        <f aca="false">IF(N549="Completed On Time",Assumptions!$B$16,IF(N549="Completed Late",Assumptions!$B$17,Assumptions!$B$18))</f>
        <v>100</v>
      </c>
      <c r="T549" s="8" t="n">
        <f aca="false">IF(I549=0,Assumptions!$B$20,IF(H549&gt;I549,Assumptions!$B$19,IF(H549=I549,Assumptions!$B$20,Assumptions!$B$21)))</f>
        <v>70</v>
      </c>
      <c r="U549" s="8" t="n">
        <f aca="false">ROUND(P549*Assumptions!$B$2+Q549*Assumptions!$B$3+R549*Assumptions!$B$4+S549*Assumptions!$B$5+T549*Assumptions!$B$6,0)</f>
        <v>68</v>
      </c>
      <c r="V549" s="8" t="str">
        <f aca="false">IF(U549&gt;=Assumptions!$B$10,"Healthy",IF(U549&gt;=Assumptions!$B$11,"Needs Attention","High Risk"))</f>
        <v>Needs Attention</v>
      </c>
    </row>
    <row r="550" customFormat="false" ht="15" hidden="false" customHeight="false" outlineLevel="0" collapsed="false">
      <c r="A550" s="8" t="s">
        <v>1241</v>
      </c>
      <c r="B550" s="8" t="s">
        <v>1242</v>
      </c>
      <c r="C550" s="8" t="s">
        <v>53</v>
      </c>
      <c r="D550" s="8" t="s">
        <v>326</v>
      </c>
      <c r="E550" s="8" t="s">
        <v>123</v>
      </c>
      <c r="F550" s="8" t="s">
        <v>143</v>
      </c>
      <c r="G550" s="8" t="s">
        <v>137</v>
      </c>
      <c r="H550" s="15" t="n">
        <v>3250</v>
      </c>
      <c r="I550" s="15" t="n">
        <v>3250</v>
      </c>
      <c r="J550" s="16" t="n">
        <v>0.818</v>
      </c>
      <c r="K550" s="8" t="n">
        <v>11.7</v>
      </c>
      <c r="L550" s="8" t="n">
        <v>10</v>
      </c>
      <c r="M550" s="8" t="n">
        <v>1</v>
      </c>
      <c r="N550" s="8" t="s">
        <v>120</v>
      </c>
      <c r="O550" s="15" t="n">
        <f aca="false">H550*12</f>
        <v>39000</v>
      </c>
      <c r="P550" s="8" t="n">
        <f aca="false">MIN(100,ROUND(100*J550/Assumptions!$B$8,0))</f>
        <v>91</v>
      </c>
      <c r="Q550" s="8" t="n">
        <f aca="false">IF(L550="",Assumptions!$B$9,L550*10)</f>
        <v>100</v>
      </c>
      <c r="R550" s="8" t="n">
        <f aca="false">IF(M550&lt;=1,Assumptions!$B$12,IF(M550&lt;=3,Assumptions!$B$13,IF(M550&lt;=6,Assumptions!$B$14,Assumptions!$B$15)))</f>
        <v>100</v>
      </c>
      <c r="S550" s="8" t="n">
        <f aca="false">IF(N550="Completed On Time",Assumptions!$B$16,IF(N550="Completed Late",Assumptions!$B$17,Assumptions!$B$18))</f>
        <v>100</v>
      </c>
      <c r="T550" s="8" t="n">
        <f aca="false">IF(I550=0,Assumptions!$B$20,IF(H550&gt;I550,Assumptions!$B$19,IF(H550=I550,Assumptions!$B$20,Assumptions!$B$21)))</f>
        <v>70</v>
      </c>
      <c r="U550" s="8" t="n">
        <f aca="false">ROUND(P550*Assumptions!$B$2+Q550*Assumptions!$B$3+R550*Assumptions!$B$4+S550*Assumptions!$B$5+T550*Assumptions!$B$6,0)</f>
        <v>91</v>
      </c>
      <c r="V550" s="8" t="str">
        <f aca="false">IF(U550&gt;=Assumptions!$B$10,"Healthy",IF(U550&gt;=Assumptions!$B$11,"Needs Attention","High Risk"))</f>
        <v>Healthy</v>
      </c>
    </row>
    <row r="551" customFormat="false" ht="15" hidden="false" customHeight="false" outlineLevel="0" collapsed="false">
      <c r="A551" s="8" t="s">
        <v>1243</v>
      </c>
      <c r="B551" s="8" t="s">
        <v>1244</v>
      </c>
      <c r="C551" s="8" t="s">
        <v>53</v>
      </c>
      <c r="D551" s="8" t="s">
        <v>326</v>
      </c>
      <c r="E551" s="8" t="s">
        <v>117</v>
      </c>
      <c r="F551" s="8" t="s">
        <v>143</v>
      </c>
      <c r="G551" s="8" t="s">
        <v>140</v>
      </c>
      <c r="H551" s="15" t="n">
        <v>3250</v>
      </c>
      <c r="I551" s="15" t="n">
        <v>3250</v>
      </c>
      <c r="J551" s="16" t="n">
        <v>0.677</v>
      </c>
      <c r="K551" s="8" t="n">
        <v>8.3</v>
      </c>
      <c r="L551" s="8" t="n">
        <v>6</v>
      </c>
      <c r="M551" s="8" t="n">
        <v>3</v>
      </c>
      <c r="N551" s="8" t="s">
        <v>120</v>
      </c>
      <c r="O551" s="15" t="n">
        <f aca="false">H551*12</f>
        <v>39000</v>
      </c>
      <c r="P551" s="8" t="n">
        <f aca="false">MIN(100,ROUND(100*J551/Assumptions!$B$8,0))</f>
        <v>75</v>
      </c>
      <c r="Q551" s="8" t="n">
        <f aca="false">IF(L551="",Assumptions!$B$9,L551*10)</f>
        <v>60</v>
      </c>
      <c r="R551" s="8" t="n">
        <f aca="false">IF(M551&lt;=1,Assumptions!$B$12,IF(M551&lt;=3,Assumptions!$B$13,IF(M551&lt;=6,Assumptions!$B$14,Assumptions!$B$15)))</f>
        <v>75</v>
      </c>
      <c r="S551" s="8" t="n">
        <f aca="false">IF(N551="Completed On Time",Assumptions!$B$16,IF(N551="Completed Late",Assumptions!$B$17,Assumptions!$B$18))</f>
        <v>100</v>
      </c>
      <c r="T551" s="8" t="n">
        <f aca="false">IF(I551=0,Assumptions!$B$20,IF(H551&gt;I551,Assumptions!$B$19,IF(H551=I551,Assumptions!$B$20,Assumptions!$B$21)))</f>
        <v>70</v>
      </c>
      <c r="U551" s="8" t="n">
        <f aca="false">ROUND(P551*Assumptions!$B$2+Q551*Assumptions!$B$3+R551*Assumptions!$B$4+S551*Assumptions!$B$5+T551*Assumptions!$B$6,0)</f>
        <v>74</v>
      </c>
      <c r="V551" s="8" t="str">
        <f aca="false">IF(U551&gt;=Assumptions!$B$10,"Healthy",IF(U551&gt;=Assumptions!$B$11,"Needs Attention","High Risk"))</f>
        <v>Needs Attention</v>
      </c>
    </row>
    <row r="552" customFormat="false" ht="15" hidden="false" customHeight="false" outlineLevel="0" collapsed="false">
      <c r="A552" s="8" t="s">
        <v>1245</v>
      </c>
      <c r="B552" s="8" t="s">
        <v>1246</v>
      </c>
      <c r="C552" s="8" t="s">
        <v>53</v>
      </c>
      <c r="D552" s="8" t="s">
        <v>55</v>
      </c>
      <c r="E552" s="8" t="s">
        <v>123</v>
      </c>
      <c r="F552" s="8" t="s">
        <v>118</v>
      </c>
      <c r="G552" s="8" t="s">
        <v>180</v>
      </c>
      <c r="H552" s="15" t="n">
        <v>3240</v>
      </c>
      <c r="I552" s="15" t="n">
        <v>0</v>
      </c>
      <c r="J552" s="16" t="n">
        <v>0.792</v>
      </c>
      <c r="K552" s="8" t="n">
        <v>9</v>
      </c>
      <c r="L552" s="8"/>
      <c r="M552" s="8" t="n">
        <v>0</v>
      </c>
      <c r="N552" s="8" t="s">
        <v>120</v>
      </c>
      <c r="O552" s="15" t="n">
        <f aca="false">H552*12</f>
        <v>38880</v>
      </c>
      <c r="P552" s="8" t="n">
        <f aca="false">MIN(100,ROUND(100*J552/Assumptions!$B$8,0))</f>
        <v>88</v>
      </c>
      <c r="Q552" s="8" t="n">
        <f aca="false">IF(L552="",Assumptions!$B$9,L552*10)</f>
        <v>50</v>
      </c>
      <c r="R552" s="8" t="n">
        <f aca="false">IF(M552&lt;=1,Assumptions!$B$12,IF(M552&lt;=3,Assumptions!$B$13,IF(M552&lt;=6,Assumptions!$B$14,Assumptions!$B$15)))</f>
        <v>100</v>
      </c>
      <c r="S552" s="8" t="n">
        <f aca="false">IF(N552="Completed On Time",Assumptions!$B$16,IF(N552="Completed Late",Assumptions!$B$17,Assumptions!$B$18))</f>
        <v>100</v>
      </c>
      <c r="T552" s="8" t="n">
        <f aca="false">IF(I552=0,Assumptions!$B$20,IF(H552&gt;I552,Assumptions!$B$19,IF(H552=I552,Assumptions!$B$20,Assumptions!$B$21)))</f>
        <v>70</v>
      </c>
      <c r="U552" s="8" t="n">
        <f aca="false">ROUND(P552*Assumptions!$B$2+Q552*Assumptions!$B$3+R552*Assumptions!$B$4+S552*Assumptions!$B$5+T552*Assumptions!$B$6,0)</f>
        <v>80</v>
      </c>
      <c r="V552" s="8" t="str">
        <f aca="false">IF(U552&gt;=Assumptions!$B$10,"Healthy",IF(U552&gt;=Assumptions!$B$11,"Needs Attention","High Risk"))</f>
        <v>Healthy</v>
      </c>
    </row>
    <row r="553" customFormat="false" ht="15" hidden="false" customHeight="false" outlineLevel="0" collapsed="false">
      <c r="A553" s="8" t="s">
        <v>1247</v>
      </c>
      <c r="B553" s="8" t="s">
        <v>1248</v>
      </c>
      <c r="C553" s="8" t="s">
        <v>53</v>
      </c>
      <c r="D553" s="8" t="s">
        <v>326</v>
      </c>
      <c r="E553" s="8" t="s">
        <v>117</v>
      </c>
      <c r="F553" s="8" t="s">
        <v>151</v>
      </c>
      <c r="G553" s="8" t="s">
        <v>204</v>
      </c>
      <c r="H553" s="15" t="n">
        <v>3225</v>
      </c>
      <c r="I553" s="15" t="n">
        <v>3225</v>
      </c>
      <c r="J553" s="16" t="n">
        <v>0.592</v>
      </c>
      <c r="K553" s="8" t="n">
        <v>6</v>
      </c>
      <c r="L553" s="8" t="n">
        <v>8</v>
      </c>
      <c r="M553" s="8" t="n">
        <v>5</v>
      </c>
      <c r="N553" s="8" t="s">
        <v>120</v>
      </c>
      <c r="O553" s="15" t="n">
        <f aca="false">H553*12</f>
        <v>38700</v>
      </c>
      <c r="P553" s="8" t="n">
        <f aca="false">MIN(100,ROUND(100*J553/Assumptions!$B$8,0))</f>
        <v>66</v>
      </c>
      <c r="Q553" s="8" t="n">
        <f aca="false">IF(L553="",Assumptions!$B$9,L553*10)</f>
        <v>80</v>
      </c>
      <c r="R553" s="8" t="n">
        <f aca="false">IF(M553&lt;=1,Assumptions!$B$12,IF(M553&lt;=3,Assumptions!$B$13,IF(M553&lt;=6,Assumptions!$B$14,Assumptions!$B$15)))</f>
        <v>50</v>
      </c>
      <c r="S553" s="8" t="n">
        <f aca="false">IF(N553="Completed On Time",Assumptions!$B$16,IF(N553="Completed Late",Assumptions!$B$17,Assumptions!$B$18))</f>
        <v>100</v>
      </c>
      <c r="T553" s="8" t="n">
        <f aca="false">IF(I553=0,Assumptions!$B$20,IF(H553&gt;I553,Assumptions!$B$19,IF(H553=I553,Assumptions!$B$20,Assumptions!$B$21)))</f>
        <v>70</v>
      </c>
      <c r="U553" s="8" t="n">
        <f aca="false">ROUND(P553*Assumptions!$B$2+Q553*Assumptions!$B$3+R553*Assumptions!$B$4+S553*Assumptions!$B$5+T553*Assumptions!$B$6,0)</f>
        <v>71</v>
      </c>
      <c r="V553" s="8" t="str">
        <f aca="false">IF(U553&gt;=Assumptions!$B$10,"Healthy",IF(U553&gt;=Assumptions!$B$11,"Needs Attention","High Risk"))</f>
        <v>Needs Attention</v>
      </c>
    </row>
    <row r="554" customFormat="false" ht="15" hidden="false" customHeight="false" outlineLevel="0" collapsed="false">
      <c r="A554" s="8" t="s">
        <v>1249</v>
      </c>
      <c r="B554" s="8" t="s">
        <v>1250</v>
      </c>
      <c r="C554" s="8" t="s">
        <v>53</v>
      </c>
      <c r="D554" s="8" t="s">
        <v>326</v>
      </c>
      <c r="E554" s="8" t="s">
        <v>132</v>
      </c>
      <c r="F554" s="8" t="s">
        <v>124</v>
      </c>
      <c r="G554" s="8" t="s">
        <v>129</v>
      </c>
      <c r="H554" s="15" t="n">
        <v>3225</v>
      </c>
      <c r="I554" s="15" t="n">
        <v>3225</v>
      </c>
      <c r="J554" s="16" t="n">
        <v>0.871</v>
      </c>
      <c r="K554" s="8" t="n">
        <v>11.3</v>
      </c>
      <c r="L554" s="8" t="n">
        <v>9</v>
      </c>
      <c r="M554" s="8" t="n">
        <v>2</v>
      </c>
      <c r="N554" s="8" t="s">
        <v>120</v>
      </c>
      <c r="O554" s="15" t="n">
        <f aca="false">H554*12</f>
        <v>38700</v>
      </c>
      <c r="P554" s="8" t="n">
        <f aca="false">MIN(100,ROUND(100*J554/Assumptions!$B$8,0))</f>
        <v>97</v>
      </c>
      <c r="Q554" s="8" t="n">
        <f aca="false">IF(L554="",Assumptions!$B$9,L554*10)</f>
        <v>90</v>
      </c>
      <c r="R554" s="8" t="n">
        <f aca="false">IF(M554&lt;=1,Assumptions!$B$12,IF(M554&lt;=3,Assumptions!$B$13,IF(M554&lt;=6,Assumptions!$B$14,Assumptions!$B$15)))</f>
        <v>75</v>
      </c>
      <c r="S554" s="8" t="n">
        <f aca="false">IF(N554="Completed On Time",Assumptions!$B$16,IF(N554="Completed Late",Assumptions!$B$17,Assumptions!$B$18))</f>
        <v>100</v>
      </c>
      <c r="T554" s="8" t="n">
        <f aca="false">IF(I554=0,Assumptions!$B$20,IF(H554&gt;I554,Assumptions!$B$19,IF(H554=I554,Assumptions!$B$20,Assumptions!$B$21)))</f>
        <v>70</v>
      </c>
      <c r="U554" s="8" t="n">
        <f aca="false">ROUND(P554*Assumptions!$B$2+Q554*Assumptions!$B$3+R554*Assumptions!$B$4+S554*Assumptions!$B$5+T554*Assumptions!$B$6,0)</f>
        <v>87</v>
      </c>
      <c r="V554" s="8" t="str">
        <f aca="false">IF(U554&gt;=Assumptions!$B$10,"Healthy",IF(U554&gt;=Assumptions!$B$11,"Needs Attention","High Risk"))</f>
        <v>Healthy</v>
      </c>
    </row>
    <row r="555" customFormat="false" ht="15" hidden="false" customHeight="false" outlineLevel="0" collapsed="false">
      <c r="A555" s="8" t="s">
        <v>1251</v>
      </c>
      <c r="B555" s="8" t="s">
        <v>1252</v>
      </c>
      <c r="C555" s="8" t="s">
        <v>53</v>
      </c>
      <c r="D555" s="8" t="s">
        <v>326</v>
      </c>
      <c r="E555" s="8" t="s">
        <v>132</v>
      </c>
      <c r="F555" s="8" t="s">
        <v>154</v>
      </c>
      <c r="G555" s="8" t="s">
        <v>140</v>
      </c>
      <c r="H555" s="15" t="n">
        <v>3225</v>
      </c>
      <c r="I555" s="15" t="n">
        <v>2750</v>
      </c>
      <c r="J555" s="16" t="n">
        <v>0.883</v>
      </c>
      <c r="K555" s="8" t="n">
        <v>10.7</v>
      </c>
      <c r="L555" s="8" t="n">
        <v>10</v>
      </c>
      <c r="M555" s="8" t="n">
        <v>3</v>
      </c>
      <c r="N555" s="8" t="s">
        <v>120</v>
      </c>
      <c r="O555" s="15" t="n">
        <f aca="false">H555*12</f>
        <v>38700</v>
      </c>
      <c r="P555" s="8" t="n">
        <f aca="false">MIN(100,ROUND(100*J555/Assumptions!$B$8,0))</f>
        <v>98</v>
      </c>
      <c r="Q555" s="8" t="n">
        <f aca="false">IF(L555="",Assumptions!$B$9,L555*10)</f>
        <v>100</v>
      </c>
      <c r="R555" s="8" t="n">
        <f aca="false">IF(M555&lt;=1,Assumptions!$B$12,IF(M555&lt;=3,Assumptions!$B$13,IF(M555&lt;=6,Assumptions!$B$14,Assumptions!$B$15)))</f>
        <v>75</v>
      </c>
      <c r="S555" s="8" t="n">
        <f aca="false">IF(N555="Completed On Time",Assumptions!$B$16,IF(N555="Completed Late",Assumptions!$B$17,Assumptions!$B$18))</f>
        <v>100</v>
      </c>
      <c r="T555" s="8" t="n">
        <f aca="false">IF(I555=0,Assumptions!$B$20,IF(H555&gt;I555,Assumptions!$B$19,IF(H555=I555,Assumptions!$B$20,Assumptions!$B$21)))</f>
        <v>100</v>
      </c>
      <c r="U555" s="8" t="n">
        <f aca="false">ROUND(P555*Assumptions!$B$2+Q555*Assumptions!$B$3+R555*Assumptions!$B$4+S555*Assumptions!$B$5+T555*Assumptions!$B$6,0)</f>
        <v>96</v>
      </c>
      <c r="V555" s="8" t="str">
        <f aca="false">IF(U555&gt;=Assumptions!$B$10,"Healthy",IF(U555&gt;=Assumptions!$B$11,"Needs Attention","High Risk"))</f>
        <v>Healthy</v>
      </c>
    </row>
    <row r="556" customFormat="false" ht="15" hidden="false" customHeight="false" outlineLevel="0" collapsed="false">
      <c r="A556" s="8" t="s">
        <v>1253</v>
      </c>
      <c r="B556" s="8" t="s">
        <v>1254</v>
      </c>
      <c r="C556" s="8" t="s">
        <v>53</v>
      </c>
      <c r="D556" s="8" t="s">
        <v>326</v>
      </c>
      <c r="E556" s="8" t="s">
        <v>132</v>
      </c>
      <c r="F556" s="8" t="s">
        <v>166</v>
      </c>
      <c r="G556" s="8" t="s">
        <v>147</v>
      </c>
      <c r="H556" s="15" t="n">
        <v>3225</v>
      </c>
      <c r="I556" s="15" t="n">
        <v>3225</v>
      </c>
      <c r="J556" s="16" t="n">
        <v>0.804</v>
      </c>
      <c r="K556" s="8" t="n">
        <v>11</v>
      </c>
      <c r="L556" s="8" t="n">
        <v>10</v>
      </c>
      <c r="M556" s="8" t="n">
        <v>2</v>
      </c>
      <c r="N556" s="8" t="s">
        <v>120</v>
      </c>
      <c r="O556" s="15" t="n">
        <f aca="false">H556*12</f>
        <v>38700</v>
      </c>
      <c r="P556" s="8" t="n">
        <f aca="false">MIN(100,ROUND(100*J556/Assumptions!$B$8,0))</f>
        <v>89</v>
      </c>
      <c r="Q556" s="8" t="n">
        <f aca="false">IF(L556="",Assumptions!$B$9,L556*10)</f>
        <v>100</v>
      </c>
      <c r="R556" s="8" t="n">
        <f aca="false">IF(M556&lt;=1,Assumptions!$B$12,IF(M556&lt;=3,Assumptions!$B$13,IF(M556&lt;=6,Assumptions!$B$14,Assumptions!$B$15)))</f>
        <v>75</v>
      </c>
      <c r="S556" s="8" t="n">
        <f aca="false">IF(N556="Completed On Time",Assumptions!$B$16,IF(N556="Completed Late",Assumptions!$B$17,Assumptions!$B$18))</f>
        <v>100</v>
      </c>
      <c r="T556" s="8" t="n">
        <f aca="false">IF(I556=0,Assumptions!$B$20,IF(H556&gt;I556,Assumptions!$B$19,IF(H556=I556,Assumptions!$B$20,Assumptions!$B$21)))</f>
        <v>70</v>
      </c>
      <c r="U556" s="8" t="n">
        <f aca="false">ROUND(P556*Assumptions!$B$2+Q556*Assumptions!$B$3+R556*Assumptions!$B$4+S556*Assumptions!$B$5+T556*Assumptions!$B$6,0)</f>
        <v>86</v>
      </c>
      <c r="V556" s="8" t="str">
        <f aca="false">IF(U556&gt;=Assumptions!$B$10,"Healthy",IF(U556&gt;=Assumptions!$B$11,"Needs Attention","High Risk"))</f>
        <v>Healthy</v>
      </c>
    </row>
    <row r="557" customFormat="false" ht="15" hidden="false" customHeight="false" outlineLevel="0" collapsed="false">
      <c r="A557" s="8" t="s">
        <v>1255</v>
      </c>
      <c r="B557" s="8" t="s">
        <v>1256</v>
      </c>
      <c r="C557" s="8" t="s">
        <v>53</v>
      </c>
      <c r="D557" s="8" t="s">
        <v>326</v>
      </c>
      <c r="E557" s="8" t="s">
        <v>128</v>
      </c>
      <c r="F557" s="8" t="s">
        <v>151</v>
      </c>
      <c r="G557" s="8" t="s">
        <v>177</v>
      </c>
      <c r="H557" s="15" t="n">
        <v>3225</v>
      </c>
      <c r="I557" s="15" t="n">
        <v>3225</v>
      </c>
      <c r="J557" s="16" t="n">
        <v>0.928</v>
      </c>
      <c r="K557" s="8" t="n">
        <v>11.3</v>
      </c>
      <c r="L557" s="8" t="n">
        <v>10</v>
      </c>
      <c r="M557" s="8" t="n">
        <v>1</v>
      </c>
      <c r="N557" s="8" t="s">
        <v>120</v>
      </c>
      <c r="O557" s="15" t="n">
        <f aca="false">H557*12</f>
        <v>38700</v>
      </c>
      <c r="P557" s="8" t="n">
        <f aca="false">MIN(100,ROUND(100*J557/Assumptions!$B$8,0))</f>
        <v>100</v>
      </c>
      <c r="Q557" s="8" t="n">
        <f aca="false">IF(L557="",Assumptions!$B$9,L557*10)</f>
        <v>100</v>
      </c>
      <c r="R557" s="8" t="n">
        <f aca="false">IF(M557&lt;=1,Assumptions!$B$12,IF(M557&lt;=3,Assumptions!$B$13,IF(M557&lt;=6,Assumptions!$B$14,Assumptions!$B$15)))</f>
        <v>100</v>
      </c>
      <c r="S557" s="8" t="n">
        <f aca="false">IF(N557="Completed On Time",Assumptions!$B$16,IF(N557="Completed Late",Assumptions!$B$17,Assumptions!$B$18))</f>
        <v>100</v>
      </c>
      <c r="T557" s="8" t="n">
        <f aca="false">IF(I557=0,Assumptions!$B$20,IF(H557&gt;I557,Assumptions!$B$19,IF(H557=I557,Assumptions!$B$20,Assumptions!$B$21)))</f>
        <v>70</v>
      </c>
      <c r="U557" s="8" t="n">
        <f aca="false">ROUND(P557*Assumptions!$B$2+Q557*Assumptions!$B$3+R557*Assumptions!$B$4+S557*Assumptions!$B$5+T557*Assumptions!$B$6,0)</f>
        <v>94</v>
      </c>
      <c r="V557" s="8" t="str">
        <f aca="false">IF(U557&gt;=Assumptions!$B$10,"Healthy",IF(U557&gt;=Assumptions!$B$11,"Needs Attention","High Risk"))</f>
        <v>Healthy</v>
      </c>
    </row>
    <row r="558" customFormat="false" ht="15" hidden="false" customHeight="false" outlineLevel="0" collapsed="false">
      <c r="A558" s="8" t="s">
        <v>1257</v>
      </c>
      <c r="B558" s="8" t="s">
        <v>1258</v>
      </c>
      <c r="C558" s="8" t="s">
        <v>53</v>
      </c>
      <c r="D558" s="8" t="s">
        <v>326</v>
      </c>
      <c r="E558" s="8" t="s">
        <v>123</v>
      </c>
      <c r="F558" s="8" t="s">
        <v>154</v>
      </c>
      <c r="G558" s="8" t="s">
        <v>159</v>
      </c>
      <c r="H558" s="15" t="n">
        <v>3200</v>
      </c>
      <c r="I558" s="15" t="n">
        <v>3200</v>
      </c>
      <c r="J558" s="16" t="n">
        <v>0.706</v>
      </c>
      <c r="K558" s="8" t="n">
        <v>7</v>
      </c>
      <c r="L558" s="8" t="n">
        <v>9</v>
      </c>
      <c r="M558" s="8" t="n">
        <v>3</v>
      </c>
      <c r="N558" s="8" t="s">
        <v>120</v>
      </c>
      <c r="O558" s="15" t="n">
        <f aca="false">H558*12</f>
        <v>38400</v>
      </c>
      <c r="P558" s="8" t="n">
        <f aca="false">MIN(100,ROUND(100*J558/Assumptions!$B$8,0))</f>
        <v>78</v>
      </c>
      <c r="Q558" s="8" t="n">
        <f aca="false">IF(L558="",Assumptions!$B$9,L558*10)</f>
        <v>90</v>
      </c>
      <c r="R558" s="8" t="n">
        <f aca="false">IF(M558&lt;=1,Assumptions!$B$12,IF(M558&lt;=3,Assumptions!$B$13,IF(M558&lt;=6,Assumptions!$B$14,Assumptions!$B$15)))</f>
        <v>75</v>
      </c>
      <c r="S558" s="8" t="n">
        <f aca="false">IF(N558="Completed On Time",Assumptions!$B$16,IF(N558="Completed Late",Assumptions!$B$17,Assumptions!$B$18))</f>
        <v>100</v>
      </c>
      <c r="T558" s="8" t="n">
        <f aca="false">IF(I558=0,Assumptions!$B$20,IF(H558&gt;I558,Assumptions!$B$19,IF(H558=I558,Assumptions!$B$20,Assumptions!$B$21)))</f>
        <v>70</v>
      </c>
      <c r="U558" s="8" t="n">
        <f aca="false">ROUND(P558*Assumptions!$B$2+Q558*Assumptions!$B$3+R558*Assumptions!$B$4+S558*Assumptions!$B$5+T558*Assumptions!$B$6,0)</f>
        <v>81</v>
      </c>
      <c r="V558" s="8" t="str">
        <f aca="false">IF(U558&gt;=Assumptions!$B$10,"Healthy",IF(U558&gt;=Assumptions!$B$11,"Needs Attention","High Risk"))</f>
        <v>Healthy</v>
      </c>
    </row>
    <row r="559" customFormat="false" ht="15" hidden="false" customHeight="false" outlineLevel="0" collapsed="false">
      <c r="A559" s="8" t="s">
        <v>1259</v>
      </c>
      <c r="B559" s="8" t="s">
        <v>1260</v>
      </c>
      <c r="C559" s="8" t="s">
        <v>53</v>
      </c>
      <c r="D559" s="8" t="s">
        <v>326</v>
      </c>
      <c r="E559" s="8" t="s">
        <v>132</v>
      </c>
      <c r="F559" s="8" t="s">
        <v>136</v>
      </c>
      <c r="G559" s="8" t="s">
        <v>185</v>
      </c>
      <c r="H559" s="15" t="n">
        <v>3200</v>
      </c>
      <c r="I559" s="15" t="n">
        <v>3200</v>
      </c>
      <c r="J559" s="16" t="n">
        <v>0.656</v>
      </c>
      <c r="K559" s="8" t="n">
        <v>7.3</v>
      </c>
      <c r="L559" s="8" t="n">
        <v>8</v>
      </c>
      <c r="M559" s="8" t="n">
        <v>4</v>
      </c>
      <c r="N559" s="8" t="s">
        <v>120</v>
      </c>
      <c r="O559" s="15" t="n">
        <f aca="false">H559*12</f>
        <v>38400</v>
      </c>
      <c r="P559" s="8" t="n">
        <f aca="false">MIN(100,ROUND(100*J559/Assumptions!$B$8,0))</f>
        <v>73</v>
      </c>
      <c r="Q559" s="8" t="n">
        <f aca="false">IF(L559="",Assumptions!$B$9,L559*10)</f>
        <v>80</v>
      </c>
      <c r="R559" s="8" t="n">
        <f aca="false">IF(M559&lt;=1,Assumptions!$B$12,IF(M559&lt;=3,Assumptions!$B$13,IF(M559&lt;=6,Assumptions!$B$14,Assumptions!$B$15)))</f>
        <v>50</v>
      </c>
      <c r="S559" s="8" t="n">
        <f aca="false">IF(N559="Completed On Time",Assumptions!$B$16,IF(N559="Completed Late",Assumptions!$B$17,Assumptions!$B$18))</f>
        <v>100</v>
      </c>
      <c r="T559" s="8" t="n">
        <f aca="false">IF(I559=0,Assumptions!$B$20,IF(H559&gt;I559,Assumptions!$B$19,IF(H559=I559,Assumptions!$B$20,Assumptions!$B$21)))</f>
        <v>70</v>
      </c>
      <c r="U559" s="8" t="n">
        <f aca="false">ROUND(P559*Assumptions!$B$2+Q559*Assumptions!$B$3+R559*Assumptions!$B$4+S559*Assumptions!$B$5+T559*Assumptions!$B$6,0)</f>
        <v>73</v>
      </c>
      <c r="V559" s="8" t="str">
        <f aca="false">IF(U559&gt;=Assumptions!$B$10,"Healthy",IF(U559&gt;=Assumptions!$B$11,"Needs Attention","High Risk"))</f>
        <v>Needs Attention</v>
      </c>
    </row>
    <row r="560" customFormat="false" ht="15" hidden="false" customHeight="false" outlineLevel="0" collapsed="false">
      <c r="A560" s="8" t="s">
        <v>1261</v>
      </c>
      <c r="B560" s="8" t="s">
        <v>1262</v>
      </c>
      <c r="C560" s="8" t="s">
        <v>53</v>
      </c>
      <c r="D560" s="8" t="s">
        <v>55</v>
      </c>
      <c r="E560" s="8" t="s">
        <v>132</v>
      </c>
      <c r="F560" s="8" t="s">
        <v>124</v>
      </c>
      <c r="G560" s="8" t="s">
        <v>180</v>
      </c>
      <c r="H560" s="15" t="n">
        <v>3195</v>
      </c>
      <c r="I560" s="15" t="n">
        <v>0</v>
      </c>
      <c r="J560" s="16" t="n">
        <v>0.683</v>
      </c>
      <c r="K560" s="8" t="n">
        <v>7</v>
      </c>
      <c r="L560" s="8"/>
      <c r="M560" s="8" t="n">
        <v>2</v>
      </c>
      <c r="N560" s="8" t="s">
        <v>199</v>
      </c>
      <c r="O560" s="15" t="n">
        <f aca="false">H560*12</f>
        <v>38340</v>
      </c>
      <c r="P560" s="8" t="n">
        <f aca="false">MIN(100,ROUND(100*J560/Assumptions!$B$8,0))</f>
        <v>76</v>
      </c>
      <c r="Q560" s="8" t="n">
        <f aca="false">IF(L560="",Assumptions!$B$9,L560*10)</f>
        <v>50</v>
      </c>
      <c r="R560" s="8" t="n">
        <f aca="false">IF(M560&lt;=1,Assumptions!$B$12,IF(M560&lt;=3,Assumptions!$B$13,IF(M560&lt;=6,Assumptions!$B$14,Assumptions!$B$15)))</f>
        <v>75</v>
      </c>
      <c r="S560" s="8" t="n">
        <f aca="false">IF(N560="Completed On Time",Assumptions!$B$16,IF(N560="Completed Late",Assumptions!$B$17,Assumptions!$B$18))</f>
        <v>50</v>
      </c>
      <c r="T560" s="8" t="n">
        <f aca="false">IF(I560=0,Assumptions!$B$20,IF(H560&gt;I560,Assumptions!$B$19,IF(H560=I560,Assumptions!$B$20,Assumptions!$B$21)))</f>
        <v>70</v>
      </c>
      <c r="U560" s="8" t="n">
        <f aca="false">ROUND(P560*Assumptions!$B$2+Q560*Assumptions!$B$3+R560*Assumptions!$B$4+S560*Assumptions!$B$5+T560*Assumptions!$B$6,0)</f>
        <v>67</v>
      </c>
      <c r="V560" s="8" t="str">
        <f aca="false">IF(U560&gt;=Assumptions!$B$10,"Healthy",IF(U560&gt;=Assumptions!$B$11,"Needs Attention","High Risk"))</f>
        <v>Needs Attention</v>
      </c>
    </row>
    <row r="561" customFormat="false" ht="15" hidden="false" customHeight="false" outlineLevel="0" collapsed="false">
      <c r="A561" s="8" t="s">
        <v>1263</v>
      </c>
      <c r="B561" s="8" t="s">
        <v>1264</v>
      </c>
      <c r="C561" s="8" t="s">
        <v>53</v>
      </c>
      <c r="D561" s="8" t="s">
        <v>55</v>
      </c>
      <c r="E561" s="8" t="s">
        <v>132</v>
      </c>
      <c r="F561" s="8" t="s">
        <v>124</v>
      </c>
      <c r="G561" s="8" t="s">
        <v>140</v>
      </c>
      <c r="H561" s="15" t="n">
        <v>3195</v>
      </c>
      <c r="I561" s="15" t="n">
        <v>3195</v>
      </c>
      <c r="J561" s="16" t="n">
        <v>0.789</v>
      </c>
      <c r="K561" s="8" t="n">
        <v>9.7</v>
      </c>
      <c r="L561" s="8" t="n">
        <v>10</v>
      </c>
      <c r="M561" s="8" t="n">
        <v>3</v>
      </c>
      <c r="N561" s="8" t="s">
        <v>120</v>
      </c>
      <c r="O561" s="15" t="n">
        <f aca="false">H561*12</f>
        <v>38340</v>
      </c>
      <c r="P561" s="8" t="n">
        <f aca="false">MIN(100,ROUND(100*J561/Assumptions!$B$8,0))</f>
        <v>88</v>
      </c>
      <c r="Q561" s="8" t="n">
        <f aca="false">IF(L561="",Assumptions!$B$9,L561*10)</f>
        <v>100</v>
      </c>
      <c r="R561" s="8" t="n">
        <f aca="false">IF(M561&lt;=1,Assumptions!$B$12,IF(M561&lt;=3,Assumptions!$B$13,IF(M561&lt;=6,Assumptions!$B$14,Assumptions!$B$15)))</f>
        <v>75</v>
      </c>
      <c r="S561" s="8" t="n">
        <f aca="false">IF(N561="Completed On Time",Assumptions!$B$16,IF(N561="Completed Late",Assumptions!$B$17,Assumptions!$B$18))</f>
        <v>100</v>
      </c>
      <c r="T561" s="8" t="n">
        <f aca="false">IF(I561=0,Assumptions!$B$20,IF(H561&gt;I561,Assumptions!$B$19,IF(H561=I561,Assumptions!$B$20,Assumptions!$B$21)))</f>
        <v>70</v>
      </c>
      <c r="U561" s="8" t="n">
        <f aca="false">ROUND(P561*Assumptions!$B$2+Q561*Assumptions!$B$3+R561*Assumptions!$B$4+S561*Assumptions!$B$5+T561*Assumptions!$B$6,0)</f>
        <v>86</v>
      </c>
      <c r="V561" s="8" t="str">
        <f aca="false">IF(U561&gt;=Assumptions!$B$10,"Healthy",IF(U561&gt;=Assumptions!$B$11,"Needs Attention","High Risk"))</f>
        <v>Healthy</v>
      </c>
    </row>
    <row r="562" customFormat="false" ht="15" hidden="false" customHeight="false" outlineLevel="0" collapsed="false">
      <c r="A562" s="8" t="s">
        <v>1265</v>
      </c>
      <c r="B562" s="8" t="s">
        <v>1266</v>
      </c>
      <c r="C562" s="8" t="s">
        <v>53</v>
      </c>
      <c r="D562" s="8" t="s">
        <v>55</v>
      </c>
      <c r="E562" s="8" t="s">
        <v>132</v>
      </c>
      <c r="F562" s="8" t="s">
        <v>190</v>
      </c>
      <c r="G562" s="8" t="s">
        <v>137</v>
      </c>
      <c r="H562" s="15" t="n">
        <v>3195</v>
      </c>
      <c r="I562" s="15" t="n">
        <v>3195</v>
      </c>
      <c r="J562" s="16" t="n">
        <v>0.765</v>
      </c>
      <c r="K562" s="8" t="n">
        <v>8</v>
      </c>
      <c r="L562" s="8" t="n">
        <v>7</v>
      </c>
      <c r="M562" s="8" t="n">
        <v>1</v>
      </c>
      <c r="N562" s="8" t="s">
        <v>120</v>
      </c>
      <c r="O562" s="15" t="n">
        <f aca="false">H562*12</f>
        <v>38340</v>
      </c>
      <c r="P562" s="8" t="n">
        <f aca="false">MIN(100,ROUND(100*J562/Assumptions!$B$8,0))</f>
        <v>85</v>
      </c>
      <c r="Q562" s="8" t="n">
        <f aca="false">IF(L562="",Assumptions!$B$9,L562*10)</f>
        <v>70</v>
      </c>
      <c r="R562" s="8" t="n">
        <f aca="false">IF(M562&lt;=1,Assumptions!$B$12,IF(M562&lt;=3,Assumptions!$B$13,IF(M562&lt;=6,Assumptions!$B$14,Assumptions!$B$15)))</f>
        <v>100</v>
      </c>
      <c r="S562" s="8" t="n">
        <f aca="false">IF(N562="Completed On Time",Assumptions!$B$16,IF(N562="Completed Late",Assumptions!$B$17,Assumptions!$B$18))</f>
        <v>100</v>
      </c>
      <c r="T562" s="8" t="n">
        <f aca="false">IF(I562=0,Assumptions!$B$20,IF(H562&gt;I562,Assumptions!$B$19,IF(H562=I562,Assumptions!$B$20,Assumptions!$B$21)))</f>
        <v>70</v>
      </c>
      <c r="U562" s="8" t="n">
        <f aca="false">ROUND(P562*Assumptions!$B$2+Q562*Assumptions!$B$3+R562*Assumptions!$B$4+S562*Assumptions!$B$5+T562*Assumptions!$B$6,0)</f>
        <v>83</v>
      </c>
      <c r="V562" s="8" t="str">
        <f aca="false">IF(U562&gt;=Assumptions!$B$10,"Healthy",IF(U562&gt;=Assumptions!$B$11,"Needs Attention","High Risk"))</f>
        <v>Healthy</v>
      </c>
    </row>
    <row r="563" customFormat="false" ht="15" hidden="false" customHeight="false" outlineLevel="0" collapsed="false">
      <c r="A563" s="8" t="s">
        <v>1267</v>
      </c>
      <c r="B563" s="8" t="s">
        <v>1268</v>
      </c>
      <c r="C563" s="8" t="s">
        <v>53</v>
      </c>
      <c r="D563" s="8" t="s">
        <v>55</v>
      </c>
      <c r="E563" s="8" t="s">
        <v>123</v>
      </c>
      <c r="F563" s="8" t="s">
        <v>190</v>
      </c>
      <c r="G563" s="8" t="s">
        <v>125</v>
      </c>
      <c r="H563" s="15" t="n">
        <v>3195</v>
      </c>
      <c r="I563" s="15" t="n">
        <v>3195</v>
      </c>
      <c r="J563" s="16" t="n">
        <v>0.498</v>
      </c>
      <c r="K563" s="8" t="n">
        <v>7</v>
      </c>
      <c r="L563" s="8" t="n">
        <v>6</v>
      </c>
      <c r="M563" s="8" t="n">
        <v>4</v>
      </c>
      <c r="N563" s="8" t="s">
        <v>148</v>
      </c>
      <c r="O563" s="15" t="n">
        <f aca="false">H563*12</f>
        <v>38340</v>
      </c>
      <c r="P563" s="8" t="n">
        <f aca="false">MIN(100,ROUND(100*J563/Assumptions!$B$8,0))</f>
        <v>55</v>
      </c>
      <c r="Q563" s="8" t="n">
        <f aca="false">IF(L563="",Assumptions!$B$9,L563*10)</f>
        <v>60</v>
      </c>
      <c r="R563" s="8" t="n">
        <f aca="false">IF(M563&lt;=1,Assumptions!$B$12,IF(M563&lt;=3,Assumptions!$B$13,IF(M563&lt;=6,Assumptions!$B$14,Assumptions!$B$15)))</f>
        <v>50</v>
      </c>
      <c r="S563" s="8" t="n">
        <f aca="false">IF(N563="Completed On Time",Assumptions!$B$16,IF(N563="Completed Late",Assumptions!$B$17,Assumptions!$B$18))</f>
        <v>60</v>
      </c>
      <c r="T563" s="8" t="n">
        <f aca="false">IF(I563=0,Assumptions!$B$20,IF(H563&gt;I563,Assumptions!$B$19,IF(H563=I563,Assumptions!$B$20,Assumptions!$B$21)))</f>
        <v>70</v>
      </c>
      <c r="U563" s="8" t="n">
        <f aca="false">ROUND(P563*Assumptions!$B$2+Q563*Assumptions!$B$3+R563*Assumptions!$B$4+S563*Assumptions!$B$5+T563*Assumptions!$B$6,0)</f>
        <v>59</v>
      </c>
      <c r="V563" s="8" t="str">
        <f aca="false">IF(U563&gt;=Assumptions!$B$10,"Healthy",IF(U563&gt;=Assumptions!$B$11,"Needs Attention","High Risk"))</f>
        <v>High Risk</v>
      </c>
    </row>
    <row r="564" customFormat="false" ht="15" hidden="false" customHeight="false" outlineLevel="0" collapsed="false">
      <c r="A564" s="8" t="s">
        <v>1269</v>
      </c>
      <c r="B564" s="8" t="s">
        <v>1270</v>
      </c>
      <c r="C564" s="8" t="s">
        <v>53</v>
      </c>
      <c r="D564" s="8" t="s">
        <v>326</v>
      </c>
      <c r="E564" s="8" t="s">
        <v>117</v>
      </c>
      <c r="F564" s="8" t="s">
        <v>136</v>
      </c>
      <c r="G564" s="8" t="s">
        <v>125</v>
      </c>
      <c r="H564" s="15" t="n">
        <v>3175</v>
      </c>
      <c r="I564" s="15" t="n">
        <v>3175</v>
      </c>
      <c r="J564" s="16" t="n">
        <v>0.858</v>
      </c>
      <c r="K564" s="8" t="n">
        <v>9.3</v>
      </c>
      <c r="L564" s="8" t="n">
        <v>9</v>
      </c>
      <c r="M564" s="8" t="n">
        <v>1</v>
      </c>
      <c r="N564" s="8" t="s">
        <v>120</v>
      </c>
      <c r="O564" s="15" t="n">
        <f aca="false">H564*12</f>
        <v>38100</v>
      </c>
      <c r="P564" s="8" t="n">
        <f aca="false">MIN(100,ROUND(100*J564/Assumptions!$B$8,0))</f>
        <v>95</v>
      </c>
      <c r="Q564" s="8" t="n">
        <f aca="false">IF(L564="",Assumptions!$B$9,L564*10)</f>
        <v>90</v>
      </c>
      <c r="R564" s="8" t="n">
        <f aca="false">IF(M564&lt;=1,Assumptions!$B$12,IF(M564&lt;=3,Assumptions!$B$13,IF(M564&lt;=6,Assumptions!$B$14,Assumptions!$B$15)))</f>
        <v>100</v>
      </c>
      <c r="S564" s="8" t="n">
        <f aca="false">IF(N564="Completed On Time",Assumptions!$B$16,IF(N564="Completed Late",Assumptions!$B$17,Assumptions!$B$18))</f>
        <v>100</v>
      </c>
      <c r="T564" s="8" t="n">
        <f aca="false">IF(I564=0,Assumptions!$B$20,IF(H564&gt;I564,Assumptions!$B$19,IF(H564=I564,Assumptions!$B$20,Assumptions!$B$21)))</f>
        <v>70</v>
      </c>
      <c r="U564" s="8" t="n">
        <f aca="false">ROUND(P564*Assumptions!$B$2+Q564*Assumptions!$B$3+R564*Assumptions!$B$4+S564*Assumptions!$B$5+T564*Assumptions!$B$6,0)</f>
        <v>90</v>
      </c>
      <c r="V564" s="8" t="str">
        <f aca="false">IF(U564&gt;=Assumptions!$B$10,"Healthy",IF(U564&gt;=Assumptions!$B$11,"Needs Attention","High Risk"))</f>
        <v>Healthy</v>
      </c>
    </row>
    <row r="565" customFormat="false" ht="15" hidden="false" customHeight="false" outlineLevel="0" collapsed="false">
      <c r="A565" s="8" t="s">
        <v>1271</v>
      </c>
      <c r="B565" s="8" t="s">
        <v>1272</v>
      </c>
      <c r="C565" s="8" t="s">
        <v>53</v>
      </c>
      <c r="D565" s="8" t="s">
        <v>326</v>
      </c>
      <c r="E565" s="8" t="s">
        <v>123</v>
      </c>
      <c r="F565" s="8" t="s">
        <v>136</v>
      </c>
      <c r="G565" s="8" t="s">
        <v>119</v>
      </c>
      <c r="H565" s="15" t="n">
        <v>3175</v>
      </c>
      <c r="I565" s="15" t="n">
        <v>3175</v>
      </c>
      <c r="J565" s="16" t="n">
        <v>0.64</v>
      </c>
      <c r="K565" s="8" t="n">
        <v>8.3</v>
      </c>
      <c r="L565" s="8" t="n">
        <v>6</v>
      </c>
      <c r="M565" s="8" t="n">
        <v>9</v>
      </c>
      <c r="N565" s="8" t="s">
        <v>148</v>
      </c>
      <c r="O565" s="15" t="n">
        <f aca="false">H565*12</f>
        <v>38100</v>
      </c>
      <c r="P565" s="8" t="n">
        <f aca="false">MIN(100,ROUND(100*J565/Assumptions!$B$8,0))</f>
        <v>71</v>
      </c>
      <c r="Q565" s="8" t="n">
        <f aca="false">IF(L565="",Assumptions!$B$9,L565*10)</f>
        <v>60</v>
      </c>
      <c r="R565" s="8" t="n">
        <f aca="false">IF(M565&lt;=1,Assumptions!$B$12,IF(M565&lt;=3,Assumptions!$B$13,IF(M565&lt;=6,Assumptions!$B$14,Assumptions!$B$15)))</f>
        <v>20</v>
      </c>
      <c r="S565" s="8" t="n">
        <f aca="false">IF(N565="Completed On Time",Assumptions!$B$16,IF(N565="Completed Late",Assumptions!$B$17,Assumptions!$B$18))</f>
        <v>60</v>
      </c>
      <c r="T565" s="8" t="n">
        <f aca="false">IF(I565=0,Assumptions!$B$20,IF(H565&gt;I565,Assumptions!$B$19,IF(H565=I565,Assumptions!$B$20,Assumptions!$B$21)))</f>
        <v>70</v>
      </c>
      <c r="U565" s="8" t="n">
        <f aca="false">ROUND(P565*Assumptions!$B$2+Q565*Assumptions!$B$3+R565*Assumptions!$B$4+S565*Assumptions!$B$5+T565*Assumptions!$B$6,0)</f>
        <v>60</v>
      </c>
      <c r="V565" s="8" t="str">
        <f aca="false">IF(U565&gt;=Assumptions!$B$10,"Healthy",IF(U565&gt;=Assumptions!$B$11,"Needs Attention","High Risk"))</f>
        <v>High Risk</v>
      </c>
    </row>
    <row r="566" customFormat="false" ht="15" hidden="false" customHeight="false" outlineLevel="0" collapsed="false">
      <c r="A566" s="8" t="s">
        <v>1273</v>
      </c>
      <c r="B566" s="8" t="s">
        <v>1274</v>
      </c>
      <c r="C566" s="8" t="s">
        <v>53</v>
      </c>
      <c r="D566" s="8" t="s">
        <v>326</v>
      </c>
      <c r="E566" s="8" t="s">
        <v>117</v>
      </c>
      <c r="F566" s="8" t="s">
        <v>154</v>
      </c>
      <c r="G566" s="8" t="s">
        <v>177</v>
      </c>
      <c r="H566" s="15" t="n">
        <v>3175</v>
      </c>
      <c r="I566" s="15" t="n">
        <v>3175</v>
      </c>
      <c r="J566" s="16" t="n">
        <v>0.766</v>
      </c>
      <c r="K566" s="8" t="n">
        <v>10</v>
      </c>
      <c r="L566" s="8" t="n">
        <v>10</v>
      </c>
      <c r="M566" s="8" t="n">
        <v>2</v>
      </c>
      <c r="N566" s="8" t="s">
        <v>120</v>
      </c>
      <c r="O566" s="15" t="n">
        <f aca="false">H566*12</f>
        <v>38100</v>
      </c>
      <c r="P566" s="8" t="n">
        <f aca="false">MIN(100,ROUND(100*J566/Assumptions!$B$8,0))</f>
        <v>85</v>
      </c>
      <c r="Q566" s="8" t="n">
        <f aca="false">IF(L566="",Assumptions!$B$9,L566*10)</f>
        <v>100</v>
      </c>
      <c r="R566" s="8" t="n">
        <f aca="false">IF(M566&lt;=1,Assumptions!$B$12,IF(M566&lt;=3,Assumptions!$B$13,IF(M566&lt;=6,Assumptions!$B$14,Assumptions!$B$15)))</f>
        <v>75</v>
      </c>
      <c r="S566" s="8" t="n">
        <f aca="false">IF(N566="Completed On Time",Assumptions!$B$16,IF(N566="Completed Late",Assumptions!$B$17,Assumptions!$B$18))</f>
        <v>100</v>
      </c>
      <c r="T566" s="8" t="n">
        <f aca="false">IF(I566=0,Assumptions!$B$20,IF(H566&gt;I566,Assumptions!$B$19,IF(H566=I566,Assumptions!$B$20,Assumptions!$B$21)))</f>
        <v>70</v>
      </c>
      <c r="U566" s="8" t="n">
        <f aca="false">ROUND(P566*Assumptions!$B$2+Q566*Assumptions!$B$3+R566*Assumptions!$B$4+S566*Assumptions!$B$5+T566*Assumptions!$B$6,0)</f>
        <v>85</v>
      </c>
      <c r="V566" s="8" t="str">
        <f aca="false">IF(U566&gt;=Assumptions!$B$10,"Healthy",IF(U566&gt;=Assumptions!$B$11,"Needs Attention","High Risk"))</f>
        <v>Healthy</v>
      </c>
    </row>
    <row r="567" customFormat="false" ht="15" hidden="false" customHeight="false" outlineLevel="0" collapsed="false">
      <c r="A567" s="8" t="s">
        <v>1275</v>
      </c>
      <c r="B567" s="8" t="s">
        <v>1276</v>
      </c>
      <c r="C567" s="8" t="s">
        <v>53</v>
      </c>
      <c r="D567" s="8" t="s">
        <v>326</v>
      </c>
      <c r="E567" s="8" t="s">
        <v>123</v>
      </c>
      <c r="F567" s="8" t="s">
        <v>151</v>
      </c>
      <c r="G567" s="8" t="s">
        <v>180</v>
      </c>
      <c r="H567" s="15" t="n">
        <v>3175</v>
      </c>
      <c r="I567" s="15" t="n">
        <v>0</v>
      </c>
      <c r="J567" s="16" t="n">
        <v>0.831</v>
      </c>
      <c r="K567" s="8" t="n">
        <v>11</v>
      </c>
      <c r="L567" s="8"/>
      <c r="M567" s="8" t="n">
        <v>2</v>
      </c>
      <c r="N567" s="8" t="s">
        <v>199</v>
      </c>
      <c r="O567" s="15" t="n">
        <f aca="false">H567*12</f>
        <v>38100</v>
      </c>
      <c r="P567" s="8" t="n">
        <f aca="false">MIN(100,ROUND(100*J567/Assumptions!$B$8,0))</f>
        <v>92</v>
      </c>
      <c r="Q567" s="8" t="n">
        <f aca="false">IF(L567="",Assumptions!$B$9,L567*10)</f>
        <v>50</v>
      </c>
      <c r="R567" s="8" t="n">
        <f aca="false">IF(M567&lt;=1,Assumptions!$B$12,IF(M567&lt;=3,Assumptions!$B$13,IF(M567&lt;=6,Assumptions!$B$14,Assumptions!$B$15)))</f>
        <v>75</v>
      </c>
      <c r="S567" s="8" t="n">
        <f aca="false">IF(N567="Completed On Time",Assumptions!$B$16,IF(N567="Completed Late",Assumptions!$B$17,Assumptions!$B$18))</f>
        <v>50</v>
      </c>
      <c r="T567" s="8" t="n">
        <f aca="false">IF(I567=0,Assumptions!$B$20,IF(H567&gt;I567,Assumptions!$B$19,IF(H567=I567,Assumptions!$B$20,Assumptions!$B$21)))</f>
        <v>70</v>
      </c>
      <c r="U567" s="8" t="n">
        <f aca="false">ROUND(P567*Assumptions!$B$2+Q567*Assumptions!$B$3+R567*Assumptions!$B$4+S567*Assumptions!$B$5+T567*Assumptions!$B$6,0)</f>
        <v>72</v>
      </c>
      <c r="V567" s="8" t="str">
        <f aca="false">IF(U567&gt;=Assumptions!$B$10,"Healthy",IF(U567&gt;=Assumptions!$B$11,"Needs Attention","High Risk"))</f>
        <v>Needs Attention</v>
      </c>
    </row>
    <row r="568" customFormat="false" ht="15" hidden="false" customHeight="false" outlineLevel="0" collapsed="false">
      <c r="A568" s="8" t="s">
        <v>1277</v>
      </c>
      <c r="B568" s="8" t="s">
        <v>1278</v>
      </c>
      <c r="C568" s="8" t="s">
        <v>53</v>
      </c>
      <c r="D568" s="8" t="s">
        <v>326</v>
      </c>
      <c r="E568" s="8" t="s">
        <v>117</v>
      </c>
      <c r="F568" s="8" t="s">
        <v>166</v>
      </c>
      <c r="G568" s="8" t="s">
        <v>129</v>
      </c>
      <c r="H568" s="15" t="n">
        <v>3150</v>
      </c>
      <c r="I568" s="15" t="n">
        <v>3150</v>
      </c>
      <c r="J568" s="16" t="n">
        <v>0.733</v>
      </c>
      <c r="K568" s="8" t="n">
        <v>7</v>
      </c>
      <c r="L568" s="8" t="n">
        <v>5</v>
      </c>
      <c r="M568" s="8" t="n">
        <v>8</v>
      </c>
      <c r="N568" s="8" t="s">
        <v>148</v>
      </c>
      <c r="O568" s="15" t="n">
        <f aca="false">H568*12</f>
        <v>37800</v>
      </c>
      <c r="P568" s="8" t="n">
        <f aca="false">MIN(100,ROUND(100*J568/Assumptions!$B$8,0))</f>
        <v>81</v>
      </c>
      <c r="Q568" s="8" t="n">
        <f aca="false">IF(L568="",Assumptions!$B$9,L568*10)</f>
        <v>50</v>
      </c>
      <c r="R568" s="8" t="n">
        <f aca="false">IF(M568&lt;=1,Assumptions!$B$12,IF(M568&lt;=3,Assumptions!$B$13,IF(M568&lt;=6,Assumptions!$B$14,Assumptions!$B$15)))</f>
        <v>20</v>
      </c>
      <c r="S568" s="8" t="n">
        <f aca="false">IF(N568="Completed On Time",Assumptions!$B$16,IF(N568="Completed Late",Assumptions!$B$17,Assumptions!$B$18))</f>
        <v>60</v>
      </c>
      <c r="T568" s="8" t="n">
        <f aca="false">IF(I568=0,Assumptions!$B$20,IF(H568&gt;I568,Assumptions!$B$19,IF(H568=I568,Assumptions!$B$20,Assumptions!$B$21)))</f>
        <v>70</v>
      </c>
      <c r="U568" s="8" t="n">
        <f aca="false">ROUND(P568*Assumptions!$B$2+Q568*Assumptions!$B$3+R568*Assumptions!$B$4+S568*Assumptions!$B$5+T568*Assumptions!$B$6,0)</f>
        <v>61</v>
      </c>
      <c r="V568" s="8" t="str">
        <f aca="false">IF(U568&gt;=Assumptions!$B$10,"Healthy",IF(U568&gt;=Assumptions!$B$11,"Needs Attention","High Risk"))</f>
        <v>High Risk</v>
      </c>
    </row>
    <row r="569" customFormat="false" ht="15" hidden="false" customHeight="false" outlineLevel="0" collapsed="false">
      <c r="A569" s="8" t="s">
        <v>1279</v>
      </c>
      <c r="B569" s="8" t="s">
        <v>1280</v>
      </c>
      <c r="C569" s="8" t="s">
        <v>53</v>
      </c>
      <c r="D569" s="8" t="s">
        <v>326</v>
      </c>
      <c r="E569" s="8" t="s">
        <v>123</v>
      </c>
      <c r="F569" s="8" t="s">
        <v>154</v>
      </c>
      <c r="G569" s="8" t="s">
        <v>177</v>
      </c>
      <c r="H569" s="15" t="n">
        <v>3150</v>
      </c>
      <c r="I569" s="15" t="n">
        <v>3150</v>
      </c>
      <c r="J569" s="16" t="n">
        <v>0.659</v>
      </c>
      <c r="K569" s="8" t="n">
        <v>5.7</v>
      </c>
      <c r="L569" s="8" t="n">
        <v>7</v>
      </c>
      <c r="M569" s="8" t="n">
        <v>4</v>
      </c>
      <c r="N569" s="8" t="s">
        <v>120</v>
      </c>
      <c r="O569" s="15" t="n">
        <f aca="false">H569*12</f>
        <v>37800</v>
      </c>
      <c r="P569" s="8" t="n">
        <f aca="false">MIN(100,ROUND(100*J569/Assumptions!$B$8,0))</f>
        <v>73</v>
      </c>
      <c r="Q569" s="8" t="n">
        <f aca="false">IF(L569="",Assumptions!$B$9,L569*10)</f>
        <v>70</v>
      </c>
      <c r="R569" s="8" t="n">
        <f aca="false">IF(M569&lt;=1,Assumptions!$B$12,IF(M569&lt;=3,Assumptions!$B$13,IF(M569&lt;=6,Assumptions!$B$14,Assumptions!$B$15)))</f>
        <v>50</v>
      </c>
      <c r="S569" s="8" t="n">
        <f aca="false">IF(N569="Completed On Time",Assumptions!$B$16,IF(N569="Completed Late",Assumptions!$B$17,Assumptions!$B$18))</f>
        <v>100</v>
      </c>
      <c r="T569" s="8" t="n">
        <f aca="false">IF(I569=0,Assumptions!$B$20,IF(H569&gt;I569,Assumptions!$B$19,IF(H569=I569,Assumptions!$B$20,Assumptions!$B$21)))</f>
        <v>70</v>
      </c>
      <c r="U569" s="8" t="n">
        <f aca="false">ROUND(P569*Assumptions!$B$2+Q569*Assumptions!$B$3+R569*Assumptions!$B$4+S569*Assumptions!$B$5+T569*Assumptions!$B$6,0)</f>
        <v>71</v>
      </c>
      <c r="V569" s="8" t="str">
        <f aca="false">IF(U569&gt;=Assumptions!$B$10,"Healthy",IF(U569&gt;=Assumptions!$B$11,"Needs Attention","High Risk"))</f>
        <v>Needs Attention</v>
      </c>
    </row>
    <row r="570" customFormat="false" ht="15" hidden="false" customHeight="false" outlineLevel="0" collapsed="false">
      <c r="A570" s="8" t="s">
        <v>1281</v>
      </c>
      <c r="B570" s="8" t="s">
        <v>1282</v>
      </c>
      <c r="C570" s="8" t="s">
        <v>53</v>
      </c>
      <c r="D570" s="8" t="s">
        <v>326</v>
      </c>
      <c r="E570" s="8" t="s">
        <v>117</v>
      </c>
      <c r="F570" s="8" t="s">
        <v>133</v>
      </c>
      <c r="G570" s="8" t="s">
        <v>147</v>
      </c>
      <c r="H570" s="15" t="n">
        <v>3150</v>
      </c>
      <c r="I570" s="15" t="n">
        <v>3150</v>
      </c>
      <c r="J570" s="16" t="n">
        <v>0.765</v>
      </c>
      <c r="K570" s="8" t="n">
        <v>9.7</v>
      </c>
      <c r="L570" s="8" t="n">
        <v>8</v>
      </c>
      <c r="M570" s="8" t="n">
        <v>1</v>
      </c>
      <c r="N570" s="8" t="s">
        <v>120</v>
      </c>
      <c r="O570" s="15" t="n">
        <f aca="false">H570*12</f>
        <v>37800</v>
      </c>
      <c r="P570" s="8" t="n">
        <f aca="false">MIN(100,ROUND(100*J570/Assumptions!$B$8,0))</f>
        <v>85</v>
      </c>
      <c r="Q570" s="8" t="n">
        <f aca="false">IF(L570="",Assumptions!$B$9,L570*10)</f>
        <v>80</v>
      </c>
      <c r="R570" s="8" t="n">
        <f aca="false">IF(M570&lt;=1,Assumptions!$B$12,IF(M570&lt;=3,Assumptions!$B$13,IF(M570&lt;=6,Assumptions!$B$14,Assumptions!$B$15)))</f>
        <v>100</v>
      </c>
      <c r="S570" s="8" t="n">
        <f aca="false">IF(N570="Completed On Time",Assumptions!$B$16,IF(N570="Completed Late",Assumptions!$B$17,Assumptions!$B$18))</f>
        <v>100</v>
      </c>
      <c r="T570" s="8" t="n">
        <f aca="false">IF(I570=0,Assumptions!$B$20,IF(H570&gt;I570,Assumptions!$B$19,IF(H570=I570,Assumptions!$B$20,Assumptions!$B$21)))</f>
        <v>70</v>
      </c>
      <c r="U570" s="8" t="n">
        <f aca="false">ROUND(P570*Assumptions!$B$2+Q570*Assumptions!$B$3+R570*Assumptions!$B$4+S570*Assumptions!$B$5+T570*Assumptions!$B$6,0)</f>
        <v>85</v>
      </c>
      <c r="V570" s="8" t="str">
        <f aca="false">IF(U570&gt;=Assumptions!$B$10,"Healthy",IF(U570&gt;=Assumptions!$B$11,"Needs Attention","High Risk"))</f>
        <v>Healthy</v>
      </c>
    </row>
    <row r="571" customFormat="false" ht="15" hidden="false" customHeight="false" outlineLevel="0" collapsed="false">
      <c r="A571" s="8" t="s">
        <v>1283</v>
      </c>
      <c r="B571" s="8" t="s">
        <v>1284</v>
      </c>
      <c r="C571" s="8" t="s">
        <v>53</v>
      </c>
      <c r="D571" s="8" t="s">
        <v>326</v>
      </c>
      <c r="E571" s="8" t="s">
        <v>128</v>
      </c>
      <c r="F571" s="8" t="s">
        <v>151</v>
      </c>
      <c r="G571" s="8" t="s">
        <v>129</v>
      </c>
      <c r="H571" s="15" t="n">
        <v>3150</v>
      </c>
      <c r="I571" s="15" t="n">
        <v>3650</v>
      </c>
      <c r="J571" s="16" t="n">
        <v>0.611</v>
      </c>
      <c r="K571" s="8" t="n">
        <v>6.7</v>
      </c>
      <c r="L571" s="8" t="n">
        <v>6</v>
      </c>
      <c r="M571" s="8" t="n">
        <v>10</v>
      </c>
      <c r="N571" s="8" t="s">
        <v>120</v>
      </c>
      <c r="O571" s="15" t="n">
        <f aca="false">H571*12</f>
        <v>37800</v>
      </c>
      <c r="P571" s="8" t="n">
        <f aca="false">MIN(100,ROUND(100*J571/Assumptions!$B$8,0))</f>
        <v>68</v>
      </c>
      <c r="Q571" s="8" t="n">
        <f aca="false">IF(L571="",Assumptions!$B$9,L571*10)</f>
        <v>60</v>
      </c>
      <c r="R571" s="8" t="n">
        <f aca="false">IF(M571&lt;=1,Assumptions!$B$12,IF(M571&lt;=3,Assumptions!$B$13,IF(M571&lt;=6,Assumptions!$B$14,Assumptions!$B$15)))</f>
        <v>20</v>
      </c>
      <c r="S571" s="8" t="n">
        <f aca="false">IF(N571="Completed On Time",Assumptions!$B$16,IF(N571="Completed Late",Assumptions!$B$17,Assumptions!$B$18))</f>
        <v>100</v>
      </c>
      <c r="T571" s="8" t="n">
        <f aca="false">IF(I571=0,Assumptions!$B$20,IF(H571&gt;I571,Assumptions!$B$19,IF(H571=I571,Assumptions!$B$20,Assumptions!$B$21)))</f>
        <v>30</v>
      </c>
      <c r="U571" s="8" t="n">
        <f aca="false">ROUND(P571*Assumptions!$B$2+Q571*Assumptions!$B$3+R571*Assumptions!$B$4+S571*Assumptions!$B$5+T571*Assumptions!$B$6,0)</f>
        <v>55</v>
      </c>
      <c r="V571" s="8" t="str">
        <f aca="false">IF(U571&gt;=Assumptions!$B$10,"Healthy",IF(U571&gt;=Assumptions!$B$11,"Needs Attention","High Risk"))</f>
        <v>High Risk</v>
      </c>
    </row>
    <row r="572" customFormat="false" ht="15" hidden="false" customHeight="false" outlineLevel="0" collapsed="false">
      <c r="A572" s="8" t="s">
        <v>1285</v>
      </c>
      <c r="B572" s="8" t="s">
        <v>1286</v>
      </c>
      <c r="C572" s="8" t="s">
        <v>53</v>
      </c>
      <c r="D572" s="8" t="s">
        <v>326</v>
      </c>
      <c r="E572" s="8" t="s">
        <v>132</v>
      </c>
      <c r="F572" s="8" t="s">
        <v>154</v>
      </c>
      <c r="G572" s="8" t="s">
        <v>180</v>
      </c>
      <c r="H572" s="15" t="n">
        <v>3125</v>
      </c>
      <c r="I572" s="15" t="n">
        <v>3125</v>
      </c>
      <c r="J572" s="16" t="n">
        <v>0.597</v>
      </c>
      <c r="K572" s="8" t="n">
        <v>6.7</v>
      </c>
      <c r="L572" s="8" t="n">
        <v>8</v>
      </c>
      <c r="M572" s="8" t="n">
        <v>5</v>
      </c>
      <c r="N572" s="8" t="s">
        <v>148</v>
      </c>
      <c r="O572" s="15" t="n">
        <f aca="false">H572*12</f>
        <v>37500</v>
      </c>
      <c r="P572" s="8" t="n">
        <f aca="false">MIN(100,ROUND(100*J572/Assumptions!$B$8,0))</f>
        <v>66</v>
      </c>
      <c r="Q572" s="8" t="n">
        <f aca="false">IF(L572="",Assumptions!$B$9,L572*10)</f>
        <v>80</v>
      </c>
      <c r="R572" s="8" t="n">
        <f aca="false">IF(M572&lt;=1,Assumptions!$B$12,IF(M572&lt;=3,Assumptions!$B$13,IF(M572&lt;=6,Assumptions!$B$14,Assumptions!$B$15)))</f>
        <v>50</v>
      </c>
      <c r="S572" s="8" t="n">
        <f aca="false">IF(N572="Completed On Time",Assumptions!$B$16,IF(N572="Completed Late",Assumptions!$B$17,Assumptions!$B$18))</f>
        <v>60</v>
      </c>
      <c r="T572" s="8" t="n">
        <f aca="false">IF(I572=0,Assumptions!$B$20,IF(H572&gt;I572,Assumptions!$B$19,IF(H572=I572,Assumptions!$B$20,Assumptions!$B$21)))</f>
        <v>70</v>
      </c>
      <c r="U572" s="8" t="n">
        <f aca="false">ROUND(P572*Assumptions!$B$2+Q572*Assumptions!$B$3+R572*Assumptions!$B$4+S572*Assumptions!$B$5+T572*Assumptions!$B$6,0)</f>
        <v>67</v>
      </c>
      <c r="V572" s="8" t="str">
        <f aca="false">IF(U572&gt;=Assumptions!$B$10,"Healthy",IF(U572&gt;=Assumptions!$B$11,"Needs Attention","High Risk"))</f>
        <v>Needs Attention</v>
      </c>
    </row>
    <row r="573" customFormat="false" ht="15" hidden="false" customHeight="false" outlineLevel="0" collapsed="false">
      <c r="A573" s="8" t="s">
        <v>1287</v>
      </c>
      <c r="B573" s="8" t="s">
        <v>1288</v>
      </c>
      <c r="C573" s="8" t="s">
        <v>53</v>
      </c>
      <c r="D573" s="8" t="s">
        <v>326</v>
      </c>
      <c r="E573" s="8" t="s">
        <v>123</v>
      </c>
      <c r="F573" s="8" t="s">
        <v>136</v>
      </c>
      <c r="G573" s="8" t="s">
        <v>144</v>
      </c>
      <c r="H573" s="15" t="n">
        <v>3125</v>
      </c>
      <c r="I573" s="15" t="n">
        <v>3125</v>
      </c>
      <c r="J573" s="16" t="n">
        <v>0.757</v>
      </c>
      <c r="K573" s="8" t="n">
        <v>11</v>
      </c>
      <c r="L573" s="8" t="n">
        <v>10</v>
      </c>
      <c r="M573" s="8" t="n">
        <v>2</v>
      </c>
      <c r="N573" s="8" t="s">
        <v>120</v>
      </c>
      <c r="O573" s="15" t="n">
        <f aca="false">H573*12</f>
        <v>37500</v>
      </c>
      <c r="P573" s="8" t="n">
        <f aca="false">MIN(100,ROUND(100*J573/Assumptions!$B$8,0))</f>
        <v>84</v>
      </c>
      <c r="Q573" s="8" t="n">
        <f aca="false">IF(L573="",Assumptions!$B$9,L573*10)</f>
        <v>100</v>
      </c>
      <c r="R573" s="8" t="n">
        <f aca="false">IF(M573&lt;=1,Assumptions!$B$12,IF(M573&lt;=3,Assumptions!$B$13,IF(M573&lt;=6,Assumptions!$B$14,Assumptions!$B$15)))</f>
        <v>75</v>
      </c>
      <c r="S573" s="8" t="n">
        <f aca="false">IF(N573="Completed On Time",Assumptions!$B$16,IF(N573="Completed Late",Assumptions!$B$17,Assumptions!$B$18))</f>
        <v>100</v>
      </c>
      <c r="T573" s="8" t="n">
        <f aca="false">IF(I573=0,Assumptions!$B$20,IF(H573&gt;I573,Assumptions!$B$19,IF(H573=I573,Assumptions!$B$20,Assumptions!$B$21)))</f>
        <v>70</v>
      </c>
      <c r="U573" s="8" t="n">
        <f aca="false">ROUND(P573*Assumptions!$B$2+Q573*Assumptions!$B$3+R573*Assumptions!$B$4+S573*Assumptions!$B$5+T573*Assumptions!$B$6,0)</f>
        <v>85</v>
      </c>
      <c r="V573" s="8" t="str">
        <f aca="false">IF(U573&gt;=Assumptions!$B$10,"Healthy",IF(U573&gt;=Assumptions!$B$11,"Needs Attention","High Risk"))</f>
        <v>Healthy</v>
      </c>
    </row>
    <row r="574" customFormat="false" ht="15" hidden="false" customHeight="false" outlineLevel="0" collapsed="false">
      <c r="A574" s="8" t="s">
        <v>1289</v>
      </c>
      <c r="B574" s="8" t="s">
        <v>1290</v>
      </c>
      <c r="C574" s="8" t="s">
        <v>53</v>
      </c>
      <c r="D574" s="8" t="s">
        <v>55</v>
      </c>
      <c r="E574" s="8" t="s">
        <v>132</v>
      </c>
      <c r="F574" s="8" t="s">
        <v>166</v>
      </c>
      <c r="G574" s="8" t="s">
        <v>125</v>
      </c>
      <c r="H574" s="15" t="n">
        <v>3105</v>
      </c>
      <c r="I574" s="15" t="n">
        <v>3105</v>
      </c>
      <c r="J574" s="16" t="n">
        <v>0.749</v>
      </c>
      <c r="K574" s="8" t="n">
        <v>9.3</v>
      </c>
      <c r="L574" s="8" t="n">
        <v>9</v>
      </c>
      <c r="M574" s="8" t="n">
        <v>0</v>
      </c>
      <c r="N574" s="8" t="s">
        <v>120</v>
      </c>
      <c r="O574" s="15" t="n">
        <f aca="false">H574*12</f>
        <v>37260</v>
      </c>
      <c r="P574" s="8" t="n">
        <f aca="false">MIN(100,ROUND(100*J574/Assumptions!$B$8,0))</f>
        <v>83</v>
      </c>
      <c r="Q574" s="8" t="n">
        <f aca="false">IF(L574="",Assumptions!$B$9,L574*10)</f>
        <v>90</v>
      </c>
      <c r="R574" s="8" t="n">
        <f aca="false">IF(M574&lt;=1,Assumptions!$B$12,IF(M574&lt;=3,Assumptions!$B$13,IF(M574&lt;=6,Assumptions!$B$14,Assumptions!$B$15)))</f>
        <v>100</v>
      </c>
      <c r="S574" s="8" t="n">
        <f aca="false">IF(N574="Completed On Time",Assumptions!$B$16,IF(N574="Completed Late",Assumptions!$B$17,Assumptions!$B$18))</f>
        <v>100</v>
      </c>
      <c r="T574" s="8" t="n">
        <f aca="false">IF(I574=0,Assumptions!$B$20,IF(H574&gt;I574,Assumptions!$B$19,IF(H574=I574,Assumptions!$B$20,Assumptions!$B$21)))</f>
        <v>70</v>
      </c>
      <c r="U574" s="8" t="n">
        <f aca="false">ROUND(P574*Assumptions!$B$2+Q574*Assumptions!$B$3+R574*Assumptions!$B$4+S574*Assumptions!$B$5+T574*Assumptions!$B$6,0)</f>
        <v>86</v>
      </c>
      <c r="V574" s="8" t="str">
        <f aca="false">IF(U574&gt;=Assumptions!$B$10,"Healthy",IF(U574&gt;=Assumptions!$B$11,"Needs Attention","High Risk"))</f>
        <v>Healthy</v>
      </c>
    </row>
    <row r="575" customFormat="false" ht="15" hidden="false" customHeight="false" outlineLevel="0" collapsed="false">
      <c r="A575" s="8" t="s">
        <v>1291</v>
      </c>
      <c r="B575" s="8" t="s">
        <v>1292</v>
      </c>
      <c r="C575" s="8" t="s">
        <v>53</v>
      </c>
      <c r="D575" s="8" t="s">
        <v>326</v>
      </c>
      <c r="E575" s="8" t="s">
        <v>117</v>
      </c>
      <c r="F575" s="8" t="s">
        <v>143</v>
      </c>
      <c r="G575" s="8" t="s">
        <v>119</v>
      </c>
      <c r="H575" s="15" t="n">
        <v>3100</v>
      </c>
      <c r="I575" s="15" t="n">
        <v>3100</v>
      </c>
      <c r="J575" s="16" t="n">
        <v>0.906</v>
      </c>
      <c r="K575" s="8" t="n">
        <v>8.7</v>
      </c>
      <c r="L575" s="8" t="n">
        <v>7</v>
      </c>
      <c r="M575" s="8" t="n">
        <v>1</v>
      </c>
      <c r="N575" s="8" t="s">
        <v>120</v>
      </c>
      <c r="O575" s="15" t="n">
        <f aca="false">H575*12</f>
        <v>37200</v>
      </c>
      <c r="P575" s="8" t="n">
        <f aca="false">MIN(100,ROUND(100*J575/Assumptions!$B$8,0))</f>
        <v>100</v>
      </c>
      <c r="Q575" s="8" t="n">
        <f aca="false">IF(L575="",Assumptions!$B$9,L575*10)</f>
        <v>70</v>
      </c>
      <c r="R575" s="8" t="n">
        <f aca="false">IF(M575&lt;=1,Assumptions!$B$12,IF(M575&lt;=3,Assumptions!$B$13,IF(M575&lt;=6,Assumptions!$B$14,Assumptions!$B$15)))</f>
        <v>100</v>
      </c>
      <c r="S575" s="8" t="n">
        <f aca="false">IF(N575="Completed On Time",Assumptions!$B$16,IF(N575="Completed Late",Assumptions!$B$17,Assumptions!$B$18))</f>
        <v>100</v>
      </c>
      <c r="T575" s="8" t="n">
        <f aca="false">IF(I575=0,Assumptions!$B$20,IF(H575&gt;I575,Assumptions!$B$19,IF(H575=I575,Assumptions!$B$20,Assumptions!$B$21)))</f>
        <v>70</v>
      </c>
      <c r="U575" s="8" t="n">
        <f aca="false">ROUND(P575*Assumptions!$B$2+Q575*Assumptions!$B$3+R575*Assumptions!$B$4+S575*Assumptions!$B$5+T575*Assumptions!$B$6,0)</f>
        <v>88</v>
      </c>
      <c r="V575" s="8" t="str">
        <f aca="false">IF(U575&gt;=Assumptions!$B$10,"Healthy",IF(U575&gt;=Assumptions!$B$11,"Needs Attention","High Risk"))</f>
        <v>Healthy</v>
      </c>
    </row>
    <row r="576" customFormat="false" ht="15" hidden="false" customHeight="false" outlineLevel="0" collapsed="false">
      <c r="A576" s="8" t="s">
        <v>1293</v>
      </c>
      <c r="B576" s="8" t="s">
        <v>1294</v>
      </c>
      <c r="C576" s="8" t="s">
        <v>53</v>
      </c>
      <c r="D576" s="8" t="s">
        <v>326</v>
      </c>
      <c r="E576" s="8" t="s">
        <v>128</v>
      </c>
      <c r="F576" s="8" t="s">
        <v>118</v>
      </c>
      <c r="G576" s="8" t="s">
        <v>147</v>
      </c>
      <c r="H576" s="15" t="n">
        <v>3100</v>
      </c>
      <c r="I576" s="15" t="n">
        <v>3100</v>
      </c>
      <c r="J576" s="16" t="n">
        <v>0.79</v>
      </c>
      <c r="K576" s="8" t="n">
        <v>8.3</v>
      </c>
      <c r="L576" s="8" t="n">
        <v>8</v>
      </c>
      <c r="M576" s="8" t="n">
        <v>2</v>
      </c>
      <c r="N576" s="8" t="s">
        <v>120</v>
      </c>
      <c r="O576" s="15" t="n">
        <f aca="false">H576*12</f>
        <v>37200</v>
      </c>
      <c r="P576" s="8" t="n">
        <f aca="false">MIN(100,ROUND(100*J576/Assumptions!$B$8,0))</f>
        <v>88</v>
      </c>
      <c r="Q576" s="8" t="n">
        <f aca="false">IF(L576="",Assumptions!$B$9,L576*10)</f>
        <v>80</v>
      </c>
      <c r="R576" s="8" t="n">
        <f aca="false">IF(M576&lt;=1,Assumptions!$B$12,IF(M576&lt;=3,Assumptions!$B$13,IF(M576&lt;=6,Assumptions!$B$14,Assumptions!$B$15)))</f>
        <v>75</v>
      </c>
      <c r="S576" s="8" t="n">
        <f aca="false">IF(N576="Completed On Time",Assumptions!$B$16,IF(N576="Completed Late",Assumptions!$B$17,Assumptions!$B$18))</f>
        <v>100</v>
      </c>
      <c r="T576" s="8" t="n">
        <f aca="false">IF(I576=0,Assumptions!$B$20,IF(H576&gt;I576,Assumptions!$B$19,IF(H576=I576,Assumptions!$B$20,Assumptions!$B$21)))</f>
        <v>70</v>
      </c>
      <c r="U576" s="8" t="n">
        <f aca="false">ROUND(P576*Assumptions!$B$2+Q576*Assumptions!$B$3+R576*Assumptions!$B$4+S576*Assumptions!$B$5+T576*Assumptions!$B$6,0)</f>
        <v>82</v>
      </c>
      <c r="V576" s="8" t="str">
        <f aca="false">IF(U576&gt;=Assumptions!$B$10,"Healthy",IF(U576&gt;=Assumptions!$B$11,"Needs Attention","High Risk"))</f>
        <v>Healthy</v>
      </c>
    </row>
    <row r="577" customFormat="false" ht="15" hidden="false" customHeight="false" outlineLevel="0" collapsed="false">
      <c r="A577" s="8" t="s">
        <v>1295</v>
      </c>
      <c r="B577" s="8" t="s">
        <v>1296</v>
      </c>
      <c r="C577" s="8" t="s">
        <v>53</v>
      </c>
      <c r="D577" s="8" t="s">
        <v>326</v>
      </c>
      <c r="E577" s="8" t="s">
        <v>132</v>
      </c>
      <c r="F577" s="8" t="s">
        <v>190</v>
      </c>
      <c r="G577" s="8" t="s">
        <v>119</v>
      </c>
      <c r="H577" s="15" t="n">
        <v>3075</v>
      </c>
      <c r="I577" s="15" t="n">
        <v>3075</v>
      </c>
      <c r="J577" s="16" t="n">
        <v>0.626</v>
      </c>
      <c r="K577" s="8" t="n">
        <v>6.3</v>
      </c>
      <c r="L577" s="8" t="n">
        <v>5</v>
      </c>
      <c r="M577" s="8" t="n">
        <v>3</v>
      </c>
      <c r="N577" s="8" t="s">
        <v>148</v>
      </c>
      <c r="O577" s="15" t="n">
        <f aca="false">H577*12</f>
        <v>36900</v>
      </c>
      <c r="P577" s="8" t="n">
        <f aca="false">MIN(100,ROUND(100*J577/Assumptions!$B$8,0))</f>
        <v>70</v>
      </c>
      <c r="Q577" s="8" t="n">
        <f aca="false">IF(L577="",Assumptions!$B$9,L577*10)</f>
        <v>50</v>
      </c>
      <c r="R577" s="8" t="n">
        <f aca="false">IF(M577&lt;=1,Assumptions!$B$12,IF(M577&lt;=3,Assumptions!$B$13,IF(M577&lt;=6,Assumptions!$B$14,Assumptions!$B$15)))</f>
        <v>75</v>
      </c>
      <c r="S577" s="8" t="n">
        <f aca="false">IF(N577="Completed On Time",Assumptions!$B$16,IF(N577="Completed Late",Assumptions!$B$17,Assumptions!$B$18))</f>
        <v>60</v>
      </c>
      <c r="T577" s="8" t="n">
        <f aca="false">IF(I577=0,Assumptions!$B$20,IF(H577&gt;I577,Assumptions!$B$19,IF(H577=I577,Assumptions!$B$20,Assumptions!$B$21)))</f>
        <v>70</v>
      </c>
      <c r="U577" s="8" t="n">
        <f aca="false">ROUND(P577*Assumptions!$B$2+Q577*Assumptions!$B$3+R577*Assumptions!$B$4+S577*Assumptions!$B$5+T577*Assumptions!$B$6,0)</f>
        <v>66</v>
      </c>
      <c r="V577" s="8" t="str">
        <f aca="false">IF(U577&gt;=Assumptions!$B$10,"Healthy",IF(U577&gt;=Assumptions!$B$11,"Needs Attention","High Risk"))</f>
        <v>Needs Attention</v>
      </c>
    </row>
    <row r="578" customFormat="false" ht="15" hidden="false" customHeight="false" outlineLevel="0" collapsed="false">
      <c r="A578" s="8" t="s">
        <v>1297</v>
      </c>
      <c r="B578" s="8" t="s">
        <v>1298</v>
      </c>
      <c r="C578" s="8" t="s">
        <v>53</v>
      </c>
      <c r="D578" s="8" t="s">
        <v>55</v>
      </c>
      <c r="E578" s="8" t="s">
        <v>117</v>
      </c>
      <c r="F578" s="8" t="s">
        <v>223</v>
      </c>
      <c r="G578" s="8" t="s">
        <v>180</v>
      </c>
      <c r="H578" s="15" t="n">
        <v>3060</v>
      </c>
      <c r="I578" s="15" t="n">
        <v>3060</v>
      </c>
      <c r="J578" s="16" t="n">
        <v>0.819</v>
      </c>
      <c r="K578" s="8" t="n">
        <v>11</v>
      </c>
      <c r="L578" s="8" t="n">
        <v>10</v>
      </c>
      <c r="M578" s="8" t="n">
        <v>2</v>
      </c>
      <c r="N578" s="8" t="s">
        <v>120</v>
      </c>
      <c r="O578" s="15" t="n">
        <f aca="false">H578*12</f>
        <v>36720</v>
      </c>
      <c r="P578" s="8" t="n">
        <f aca="false">MIN(100,ROUND(100*J578/Assumptions!$B$8,0))</f>
        <v>91</v>
      </c>
      <c r="Q578" s="8" t="n">
        <f aca="false">IF(L578="",Assumptions!$B$9,L578*10)</f>
        <v>100</v>
      </c>
      <c r="R578" s="8" t="n">
        <f aca="false">IF(M578&lt;=1,Assumptions!$B$12,IF(M578&lt;=3,Assumptions!$B$13,IF(M578&lt;=6,Assumptions!$B$14,Assumptions!$B$15)))</f>
        <v>75</v>
      </c>
      <c r="S578" s="8" t="n">
        <f aca="false">IF(N578="Completed On Time",Assumptions!$B$16,IF(N578="Completed Late",Assumptions!$B$17,Assumptions!$B$18))</f>
        <v>100</v>
      </c>
      <c r="T578" s="8" t="n">
        <f aca="false">IF(I578=0,Assumptions!$B$20,IF(H578&gt;I578,Assumptions!$B$19,IF(H578=I578,Assumptions!$B$20,Assumptions!$B$21)))</f>
        <v>70</v>
      </c>
      <c r="U578" s="8" t="n">
        <f aca="false">ROUND(P578*Assumptions!$B$2+Q578*Assumptions!$B$3+R578*Assumptions!$B$4+S578*Assumptions!$B$5+T578*Assumptions!$B$6,0)</f>
        <v>87</v>
      </c>
      <c r="V578" s="8" t="str">
        <f aca="false">IF(U578&gt;=Assumptions!$B$10,"Healthy",IF(U578&gt;=Assumptions!$B$11,"Needs Attention","High Risk"))</f>
        <v>Healthy</v>
      </c>
    </row>
    <row r="579" customFormat="false" ht="15" hidden="false" customHeight="false" outlineLevel="0" collapsed="false">
      <c r="A579" s="8" t="s">
        <v>1299</v>
      </c>
      <c r="B579" s="8" t="s">
        <v>1300</v>
      </c>
      <c r="C579" s="8" t="s">
        <v>53</v>
      </c>
      <c r="D579" s="8" t="s">
        <v>55</v>
      </c>
      <c r="E579" s="8" t="s">
        <v>117</v>
      </c>
      <c r="F579" s="8" t="s">
        <v>223</v>
      </c>
      <c r="G579" s="8" t="s">
        <v>129</v>
      </c>
      <c r="H579" s="15" t="n">
        <v>3060</v>
      </c>
      <c r="I579" s="15" t="n">
        <v>3060</v>
      </c>
      <c r="J579" s="16" t="n">
        <v>0.559</v>
      </c>
      <c r="K579" s="8" t="n">
        <v>7.3</v>
      </c>
      <c r="L579" s="8" t="n">
        <v>5</v>
      </c>
      <c r="M579" s="8" t="n">
        <v>3</v>
      </c>
      <c r="N579" s="8" t="s">
        <v>120</v>
      </c>
      <c r="O579" s="15" t="n">
        <f aca="false">H579*12</f>
        <v>36720</v>
      </c>
      <c r="P579" s="8" t="n">
        <f aca="false">MIN(100,ROUND(100*J579/Assumptions!$B$8,0))</f>
        <v>62</v>
      </c>
      <c r="Q579" s="8" t="n">
        <f aca="false">IF(L579="",Assumptions!$B$9,L579*10)</f>
        <v>50</v>
      </c>
      <c r="R579" s="8" t="n">
        <f aca="false">IF(M579&lt;=1,Assumptions!$B$12,IF(M579&lt;=3,Assumptions!$B$13,IF(M579&lt;=6,Assumptions!$B$14,Assumptions!$B$15)))</f>
        <v>75</v>
      </c>
      <c r="S579" s="8" t="n">
        <f aca="false">IF(N579="Completed On Time",Assumptions!$B$16,IF(N579="Completed Late",Assumptions!$B$17,Assumptions!$B$18))</f>
        <v>100</v>
      </c>
      <c r="T579" s="8" t="n">
        <f aca="false">IF(I579=0,Assumptions!$B$20,IF(H579&gt;I579,Assumptions!$B$19,IF(H579=I579,Assumptions!$B$20,Assumptions!$B$21)))</f>
        <v>70</v>
      </c>
      <c r="U579" s="8" t="n">
        <f aca="false">ROUND(P579*Assumptions!$B$2+Q579*Assumptions!$B$3+R579*Assumptions!$B$4+S579*Assumptions!$B$5+T579*Assumptions!$B$6,0)</f>
        <v>67</v>
      </c>
      <c r="V579" s="8" t="str">
        <f aca="false">IF(U579&gt;=Assumptions!$B$10,"Healthy",IF(U579&gt;=Assumptions!$B$11,"Needs Attention","High Risk"))</f>
        <v>Needs Attention</v>
      </c>
    </row>
    <row r="580" customFormat="false" ht="15" hidden="false" customHeight="false" outlineLevel="0" collapsed="false">
      <c r="A580" s="8" t="s">
        <v>1301</v>
      </c>
      <c r="B580" s="8" t="s">
        <v>1302</v>
      </c>
      <c r="C580" s="8" t="s">
        <v>53</v>
      </c>
      <c r="D580" s="8" t="s">
        <v>326</v>
      </c>
      <c r="E580" s="8" t="s">
        <v>123</v>
      </c>
      <c r="F580" s="8" t="s">
        <v>154</v>
      </c>
      <c r="G580" s="8" t="s">
        <v>140</v>
      </c>
      <c r="H580" s="15" t="n">
        <v>3050</v>
      </c>
      <c r="I580" s="15" t="n">
        <v>3050</v>
      </c>
      <c r="J580" s="16" t="n">
        <v>0.716</v>
      </c>
      <c r="K580" s="8" t="n">
        <v>9</v>
      </c>
      <c r="L580" s="8" t="n">
        <v>9</v>
      </c>
      <c r="M580" s="8" t="n">
        <v>2</v>
      </c>
      <c r="N580" s="8" t="s">
        <v>120</v>
      </c>
      <c r="O580" s="15" t="n">
        <f aca="false">H580*12</f>
        <v>36600</v>
      </c>
      <c r="P580" s="8" t="n">
        <f aca="false">MIN(100,ROUND(100*J580/Assumptions!$B$8,0))</f>
        <v>80</v>
      </c>
      <c r="Q580" s="8" t="n">
        <f aca="false">IF(L580="",Assumptions!$B$9,L580*10)</f>
        <v>90</v>
      </c>
      <c r="R580" s="8" t="n">
        <f aca="false">IF(M580&lt;=1,Assumptions!$B$12,IF(M580&lt;=3,Assumptions!$B$13,IF(M580&lt;=6,Assumptions!$B$14,Assumptions!$B$15)))</f>
        <v>75</v>
      </c>
      <c r="S580" s="8" t="n">
        <f aca="false">IF(N580="Completed On Time",Assumptions!$B$16,IF(N580="Completed Late",Assumptions!$B$17,Assumptions!$B$18))</f>
        <v>100</v>
      </c>
      <c r="T580" s="8" t="n">
        <f aca="false">IF(I580=0,Assumptions!$B$20,IF(H580&gt;I580,Assumptions!$B$19,IF(H580=I580,Assumptions!$B$20,Assumptions!$B$21)))</f>
        <v>70</v>
      </c>
      <c r="U580" s="8" t="n">
        <f aca="false">ROUND(P580*Assumptions!$B$2+Q580*Assumptions!$B$3+R580*Assumptions!$B$4+S580*Assumptions!$B$5+T580*Assumptions!$B$6,0)</f>
        <v>81</v>
      </c>
      <c r="V580" s="8" t="str">
        <f aca="false">IF(U580&gt;=Assumptions!$B$10,"Healthy",IF(U580&gt;=Assumptions!$B$11,"Needs Attention","High Risk"))</f>
        <v>Healthy</v>
      </c>
    </row>
    <row r="581" customFormat="false" ht="15" hidden="false" customHeight="false" outlineLevel="0" collapsed="false">
      <c r="A581" s="8" t="s">
        <v>1303</v>
      </c>
      <c r="B581" s="8" t="s">
        <v>1304</v>
      </c>
      <c r="C581" s="8" t="s">
        <v>53</v>
      </c>
      <c r="D581" s="8" t="s">
        <v>326</v>
      </c>
      <c r="E581" s="8" t="s">
        <v>123</v>
      </c>
      <c r="F581" s="8" t="s">
        <v>143</v>
      </c>
      <c r="G581" s="8" t="s">
        <v>125</v>
      </c>
      <c r="H581" s="15" t="n">
        <v>3025</v>
      </c>
      <c r="I581" s="15" t="n">
        <v>3025</v>
      </c>
      <c r="J581" s="16" t="n">
        <v>0.788</v>
      </c>
      <c r="K581" s="8" t="n">
        <v>9</v>
      </c>
      <c r="L581" s="8" t="n">
        <v>7</v>
      </c>
      <c r="M581" s="8" t="n">
        <v>2</v>
      </c>
      <c r="N581" s="8" t="s">
        <v>120</v>
      </c>
      <c r="O581" s="15" t="n">
        <f aca="false">H581*12</f>
        <v>36300</v>
      </c>
      <c r="P581" s="8" t="n">
        <f aca="false">MIN(100,ROUND(100*J581/Assumptions!$B$8,0))</f>
        <v>88</v>
      </c>
      <c r="Q581" s="8" t="n">
        <f aca="false">IF(L581="",Assumptions!$B$9,L581*10)</f>
        <v>70</v>
      </c>
      <c r="R581" s="8" t="n">
        <f aca="false">IF(M581&lt;=1,Assumptions!$B$12,IF(M581&lt;=3,Assumptions!$B$13,IF(M581&lt;=6,Assumptions!$B$14,Assumptions!$B$15)))</f>
        <v>75</v>
      </c>
      <c r="S581" s="8" t="n">
        <f aca="false">IF(N581="Completed On Time",Assumptions!$B$16,IF(N581="Completed Late",Assumptions!$B$17,Assumptions!$B$18))</f>
        <v>100</v>
      </c>
      <c r="T581" s="8" t="n">
        <f aca="false">IF(I581=0,Assumptions!$B$20,IF(H581&gt;I581,Assumptions!$B$19,IF(H581=I581,Assumptions!$B$20,Assumptions!$B$21)))</f>
        <v>70</v>
      </c>
      <c r="U581" s="8" t="n">
        <f aca="false">ROUND(P581*Assumptions!$B$2+Q581*Assumptions!$B$3+R581*Assumptions!$B$4+S581*Assumptions!$B$5+T581*Assumptions!$B$6,0)</f>
        <v>80</v>
      </c>
      <c r="V581" s="8" t="str">
        <f aca="false">IF(U581&gt;=Assumptions!$B$10,"Healthy",IF(U581&gt;=Assumptions!$B$11,"Needs Attention","High Risk"))</f>
        <v>Healthy</v>
      </c>
    </row>
    <row r="582" customFormat="false" ht="15" hidden="false" customHeight="false" outlineLevel="0" collapsed="false">
      <c r="A582" s="8" t="s">
        <v>1305</v>
      </c>
      <c r="B582" s="8" t="s">
        <v>1306</v>
      </c>
      <c r="C582" s="8" t="s">
        <v>53</v>
      </c>
      <c r="D582" s="8" t="s">
        <v>326</v>
      </c>
      <c r="E582" s="8" t="s">
        <v>123</v>
      </c>
      <c r="F582" s="8" t="s">
        <v>118</v>
      </c>
      <c r="G582" s="8" t="s">
        <v>129</v>
      </c>
      <c r="H582" s="15" t="n">
        <v>3025</v>
      </c>
      <c r="I582" s="15" t="n">
        <v>4050</v>
      </c>
      <c r="J582" s="16" t="n">
        <v>0.495</v>
      </c>
      <c r="K582" s="8" t="n">
        <v>5.7</v>
      </c>
      <c r="L582" s="8" t="n">
        <v>7</v>
      </c>
      <c r="M582" s="8" t="n">
        <v>9</v>
      </c>
      <c r="N582" s="8" t="s">
        <v>120</v>
      </c>
      <c r="O582" s="15" t="n">
        <f aca="false">H582*12</f>
        <v>36300</v>
      </c>
      <c r="P582" s="8" t="n">
        <f aca="false">MIN(100,ROUND(100*J582/Assumptions!$B$8,0))</f>
        <v>55</v>
      </c>
      <c r="Q582" s="8" t="n">
        <f aca="false">IF(L582="",Assumptions!$B$9,L582*10)</f>
        <v>70</v>
      </c>
      <c r="R582" s="8" t="n">
        <f aca="false">IF(M582&lt;=1,Assumptions!$B$12,IF(M582&lt;=3,Assumptions!$B$13,IF(M582&lt;=6,Assumptions!$B$14,Assumptions!$B$15)))</f>
        <v>20</v>
      </c>
      <c r="S582" s="8" t="n">
        <f aca="false">IF(N582="Completed On Time",Assumptions!$B$16,IF(N582="Completed Late",Assumptions!$B$17,Assumptions!$B$18))</f>
        <v>100</v>
      </c>
      <c r="T582" s="8" t="n">
        <f aca="false">IF(I582=0,Assumptions!$B$20,IF(H582&gt;I582,Assumptions!$B$19,IF(H582=I582,Assumptions!$B$20,Assumptions!$B$21)))</f>
        <v>30</v>
      </c>
      <c r="U582" s="8" t="n">
        <f aca="false">ROUND(P582*Assumptions!$B$2+Q582*Assumptions!$B$3+R582*Assumptions!$B$4+S582*Assumptions!$B$5+T582*Assumptions!$B$6,0)</f>
        <v>52</v>
      </c>
      <c r="V582" s="8" t="str">
        <f aca="false">IF(U582&gt;=Assumptions!$B$10,"Healthy",IF(U582&gt;=Assumptions!$B$11,"Needs Attention","High Risk"))</f>
        <v>High Risk</v>
      </c>
    </row>
    <row r="583" customFormat="false" ht="15" hidden="false" customHeight="false" outlineLevel="0" collapsed="false">
      <c r="A583" s="8" t="s">
        <v>1307</v>
      </c>
      <c r="B583" s="8" t="s">
        <v>1308</v>
      </c>
      <c r="C583" s="8" t="s">
        <v>53</v>
      </c>
      <c r="D583" s="8" t="s">
        <v>326</v>
      </c>
      <c r="E583" s="8" t="s">
        <v>123</v>
      </c>
      <c r="F583" s="8" t="s">
        <v>190</v>
      </c>
      <c r="G583" s="8" t="s">
        <v>137</v>
      </c>
      <c r="H583" s="15" t="n">
        <v>3025</v>
      </c>
      <c r="I583" s="15" t="n">
        <v>3025</v>
      </c>
      <c r="J583" s="16" t="n">
        <v>0.824</v>
      </c>
      <c r="K583" s="8" t="n">
        <v>11</v>
      </c>
      <c r="L583" s="8" t="n">
        <v>10</v>
      </c>
      <c r="M583" s="8" t="n">
        <v>3</v>
      </c>
      <c r="N583" s="8" t="s">
        <v>120</v>
      </c>
      <c r="O583" s="15" t="n">
        <f aca="false">H583*12</f>
        <v>36300</v>
      </c>
      <c r="P583" s="8" t="n">
        <f aca="false">MIN(100,ROUND(100*J583/Assumptions!$B$8,0))</f>
        <v>92</v>
      </c>
      <c r="Q583" s="8" t="n">
        <f aca="false">IF(L583="",Assumptions!$B$9,L583*10)</f>
        <v>100</v>
      </c>
      <c r="R583" s="8" t="n">
        <f aca="false">IF(M583&lt;=1,Assumptions!$B$12,IF(M583&lt;=3,Assumptions!$B$13,IF(M583&lt;=6,Assumptions!$B$14,Assumptions!$B$15)))</f>
        <v>75</v>
      </c>
      <c r="S583" s="8" t="n">
        <f aca="false">IF(N583="Completed On Time",Assumptions!$B$16,IF(N583="Completed Late",Assumptions!$B$17,Assumptions!$B$18))</f>
        <v>100</v>
      </c>
      <c r="T583" s="8" t="n">
        <f aca="false">IF(I583=0,Assumptions!$B$20,IF(H583&gt;I583,Assumptions!$B$19,IF(H583=I583,Assumptions!$B$20,Assumptions!$B$21)))</f>
        <v>70</v>
      </c>
      <c r="U583" s="8" t="n">
        <f aca="false">ROUND(P583*Assumptions!$B$2+Q583*Assumptions!$B$3+R583*Assumptions!$B$4+S583*Assumptions!$B$5+T583*Assumptions!$B$6,0)</f>
        <v>87</v>
      </c>
      <c r="V583" s="8" t="str">
        <f aca="false">IF(U583&gt;=Assumptions!$B$10,"Healthy",IF(U583&gt;=Assumptions!$B$11,"Needs Attention","High Risk"))</f>
        <v>Healthy</v>
      </c>
    </row>
    <row r="584" customFormat="false" ht="15" hidden="false" customHeight="false" outlineLevel="0" collapsed="false">
      <c r="A584" s="8" t="s">
        <v>1309</v>
      </c>
      <c r="B584" s="8" t="s">
        <v>1310</v>
      </c>
      <c r="C584" s="8" t="s">
        <v>53</v>
      </c>
      <c r="D584" s="8" t="s">
        <v>326</v>
      </c>
      <c r="E584" s="8" t="s">
        <v>128</v>
      </c>
      <c r="F584" s="8" t="s">
        <v>124</v>
      </c>
      <c r="G584" s="8" t="s">
        <v>204</v>
      </c>
      <c r="H584" s="15" t="n">
        <v>3000</v>
      </c>
      <c r="I584" s="15" t="n">
        <v>3000</v>
      </c>
      <c r="J584" s="16" t="n">
        <v>0.708</v>
      </c>
      <c r="K584" s="8" t="n">
        <v>9.3</v>
      </c>
      <c r="L584" s="8" t="n">
        <v>7</v>
      </c>
      <c r="M584" s="8" t="n">
        <v>0</v>
      </c>
      <c r="N584" s="8" t="s">
        <v>120</v>
      </c>
      <c r="O584" s="15" t="n">
        <f aca="false">H584*12</f>
        <v>36000</v>
      </c>
      <c r="P584" s="8" t="n">
        <f aca="false">MIN(100,ROUND(100*J584/Assumptions!$B$8,0))</f>
        <v>79</v>
      </c>
      <c r="Q584" s="8" t="n">
        <f aca="false">IF(L584="",Assumptions!$B$9,L584*10)</f>
        <v>70</v>
      </c>
      <c r="R584" s="8" t="n">
        <f aca="false">IF(M584&lt;=1,Assumptions!$B$12,IF(M584&lt;=3,Assumptions!$B$13,IF(M584&lt;=6,Assumptions!$B$14,Assumptions!$B$15)))</f>
        <v>100</v>
      </c>
      <c r="S584" s="8" t="n">
        <f aca="false">IF(N584="Completed On Time",Assumptions!$B$16,IF(N584="Completed Late",Assumptions!$B$17,Assumptions!$B$18))</f>
        <v>100</v>
      </c>
      <c r="T584" s="8" t="n">
        <f aca="false">IF(I584=0,Assumptions!$B$20,IF(H584&gt;I584,Assumptions!$B$19,IF(H584=I584,Assumptions!$B$20,Assumptions!$B$21)))</f>
        <v>70</v>
      </c>
      <c r="U584" s="8" t="n">
        <f aca="false">ROUND(P584*Assumptions!$B$2+Q584*Assumptions!$B$3+R584*Assumptions!$B$4+S584*Assumptions!$B$5+T584*Assumptions!$B$6,0)</f>
        <v>81</v>
      </c>
      <c r="V584" s="8" t="str">
        <f aca="false">IF(U584&gt;=Assumptions!$B$10,"Healthy",IF(U584&gt;=Assumptions!$B$11,"Needs Attention","High Risk"))</f>
        <v>Healthy</v>
      </c>
    </row>
    <row r="585" customFormat="false" ht="15" hidden="false" customHeight="false" outlineLevel="0" collapsed="false">
      <c r="A585" s="8" t="s">
        <v>1311</v>
      </c>
      <c r="B585" s="8" t="s">
        <v>1312</v>
      </c>
      <c r="C585" s="8" t="s">
        <v>53</v>
      </c>
      <c r="D585" s="8" t="s">
        <v>326</v>
      </c>
      <c r="E585" s="8" t="s">
        <v>132</v>
      </c>
      <c r="F585" s="8" t="s">
        <v>143</v>
      </c>
      <c r="G585" s="8" t="s">
        <v>129</v>
      </c>
      <c r="H585" s="15" t="n">
        <v>3000</v>
      </c>
      <c r="I585" s="15" t="n">
        <v>3000</v>
      </c>
      <c r="J585" s="16" t="n">
        <v>0.781</v>
      </c>
      <c r="K585" s="8" t="n">
        <v>9.3</v>
      </c>
      <c r="L585" s="8" t="n">
        <v>10</v>
      </c>
      <c r="M585" s="8" t="n">
        <v>1</v>
      </c>
      <c r="N585" s="8" t="s">
        <v>120</v>
      </c>
      <c r="O585" s="15" t="n">
        <f aca="false">H585*12</f>
        <v>36000</v>
      </c>
      <c r="P585" s="8" t="n">
        <f aca="false">MIN(100,ROUND(100*J585/Assumptions!$B$8,0))</f>
        <v>87</v>
      </c>
      <c r="Q585" s="8" t="n">
        <f aca="false">IF(L585="",Assumptions!$B$9,L585*10)</f>
        <v>100</v>
      </c>
      <c r="R585" s="8" t="n">
        <f aca="false">IF(M585&lt;=1,Assumptions!$B$12,IF(M585&lt;=3,Assumptions!$B$13,IF(M585&lt;=6,Assumptions!$B$14,Assumptions!$B$15)))</f>
        <v>100</v>
      </c>
      <c r="S585" s="8" t="n">
        <f aca="false">IF(N585="Completed On Time",Assumptions!$B$16,IF(N585="Completed Late",Assumptions!$B$17,Assumptions!$B$18))</f>
        <v>100</v>
      </c>
      <c r="T585" s="8" t="n">
        <f aca="false">IF(I585=0,Assumptions!$B$20,IF(H585&gt;I585,Assumptions!$B$19,IF(H585=I585,Assumptions!$B$20,Assumptions!$B$21)))</f>
        <v>70</v>
      </c>
      <c r="U585" s="8" t="n">
        <f aca="false">ROUND(P585*Assumptions!$B$2+Q585*Assumptions!$B$3+R585*Assumptions!$B$4+S585*Assumptions!$B$5+T585*Assumptions!$B$6,0)</f>
        <v>89</v>
      </c>
      <c r="V585" s="8" t="str">
        <f aca="false">IF(U585&gt;=Assumptions!$B$10,"Healthy",IF(U585&gt;=Assumptions!$B$11,"Needs Attention","High Risk"))</f>
        <v>Healthy</v>
      </c>
    </row>
    <row r="586" customFormat="false" ht="15" hidden="false" customHeight="false" outlineLevel="0" collapsed="false">
      <c r="A586" s="8" t="s">
        <v>1313</v>
      </c>
      <c r="B586" s="8" t="s">
        <v>1314</v>
      </c>
      <c r="C586" s="8" t="s">
        <v>53</v>
      </c>
      <c r="D586" s="8" t="s">
        <v>326</v>
      </c>
      <c r="E586" s="8" t="s">
        <v>117</v>
      </c>
      <c r="F586" s="8" t="s">
        <v>143</v>
      </c>
      <c r="G586" s="8" t="s">
        <v>119</v>
      </c>
      <c r="H586" s="15" t="n">
        <v>3000</v>
      </c>
      <c r="I586" s="15" t="n">
        <v>3000</v>
      </c>
      <c r="J586" s="16" t="n">
        <v>0.622</v>
      </c>
      <c r="K586" s="8" t="n">
        <v>7</v>
      </c>
      <c r="L586" s="8" t="n">
        <v>10</v>
      </c>
      <c r="M586" s="8" t="n">
        <v>1</v>
      </c>
      <c r="N586" s="8" t="s">
        <v>120</v>
      </c>
      <c r="O586" s="15" t="n">
        <f aca="false">H586*12</f>
        <v>36000</v>
      </c>
      <c r="P586" s="8" t="n">
        <f aca="false">MIN(100,ROUND(100*J586/Assumptions!$B$8,0))</f>
        <v>69</v>
      </c>
      <c r="Q586" s="8" t="n">
        <f aca="false">IF(L586="",Assumptions!$B$9,L586*10)</f>
        <v>100</v>
      </c>
      <c r="R586" s="8" t="n">
        <f aca="false">IF(M586&lt;=1,Assumptions!$B$12,IF(M586&lt;=3,Assumptions!$B$13,IF(M586&lt;=6,Assumptions!$B$14,Assumptions!$B$15)))</f>
        <v>100</v>
      </c>
      <c r="S586" s="8" t="n">
        <f aca="false">IF(N586="Completed On Time",Assumptions!$B$16,IF(N586="Completed Late",Assumptions!$B$17,Assumptions!$B$18))</f>
        <v>100</v>
      </c>
      <c r="T586" s="8" t="n">
        <f aca="false">IF(I586=0,Assumptions!$B$20,IF(H586&gt;I586,Assumptions!$B$19,IF(H586=I586,Assumptions!$B$20,Assumptions!$B$21)))</f>
        <v>70</v>
      </c>
      <c r="U586" s="8" t="n">
        <f aca="false">ROUND(P586*Assumptions!$B$2+Q586*Assumptions!$B$3+R586*Assumptions!$B$4+S586*Assumptions!$B$5+T586*Assumptions!$B$6,0)</f>
        <v>83</v>
      </c>
      <c r="V586" s="8" t="str">
        <f aca="false">IF(U586&gt;=Assumptions!$B$10,"Healthy",IF(U586&gt;=Assumptions!$B$11,"Needs Attention","High Risk"))</f>
        <v>Healthy</v>
      </c>
    </row>
    <row r="587" customFormat="false" ht="15" hidden="false" customHeight="false" outlineLevel="0" collapsed="false">
      <c r="A587" s="8" t="s">
        <v>1315</v>
      </c>
      <c r="B587" s="8" t="s">
        <v>1316</v>
      </c>
      <c r="C587" s="8" t="s">
        <v>53</v>
      </c>
      <c r="D587" s="8" t="s">
        <v>326</v>
      </c>
      <c r="E587" s="8" t="s">
        <v>123</v>
      </c>
      <c r="F587" s="8" t="s">
        <v>166</v>
      </c>
      <c r="G587" s="8" t="s">
        <v>125</v>
      </c>
      <c r="H587" s="15" t="n">
        <v>3000</v>
      </c>
      <c r="I587" s="15" t="n">
        <v>3000</v>
      </c>
      <c r="J587" s="16" t="n">
        <v>0.844</v>
      </c>
      <c r="K587" s="8" t="n">
        <v>9.3</v>
      </c>
      <c r="L587" s="8" t="n">
        <v>8</v>
      </c>
      <c r="M587" s="8" t="n">
        <v>0</v>
      </c>
      <c r="N587" s="8" t="s">
        <v>120</v>
      </c>
      <c r="O587" s="15" t="n">
        <f aca="false">H587*12</f>
        <v>36000</v>
      </c>
      <c r="P587" s="8" t="n">
        <f aca="false">MIN(100,ROUND(100*J587/Assumptions!$B$8,0))</f>
        <v>94</v>
      </c>
      <c r="Q587" s="8" t="n">
        <f aca="false">IF(L587="",Assumptions!$B$9,L587*10)</f>
        <v>80</v>
      </c>
      <c r="R587" s="8" t="n">
        <f aca="false">IF(M587&lt;=1,Assumptions!$B$12,IF(M587&lt;=3,Assumptions!$B$13,IF(M587&lt;=6,Assumptions!$B$14,Assumptions!$B$15)))</f>
        <v>100</v>
      </c>
      <c r="S587" s="8" t="n">
        <f aca="false">IF(N587="Completed On Time",Assumptions!$B$16,IF(N587="Completed Late",Assumptions!$B$17,Assumptions!$B$18))</f>
        <v>100</v>
      </c>
      <c r="T587" s="8" t="n">
        <f aca="false">IF(I587=0,Assumptions!$B$20,IF(H587&gt;I587,Assumptions!$B$19,IF(H587=I587,Assumptions!$B$20,Assumptions!$B$21)))</f>
        <v>70</v>
      </c>
      <c r="U587" s="8" t="n">
        <f aca="false">ROUND(P587*Assumptions!$B$2+Q587*Assumptions!$B$3+R587*Assumptions!$B$4+S587*Assumptions!$B$5+T587*Assumptions!$B$6,0)</f>
        <v>88</v>
      </c>
      <c r="V587" s="8" t="str">
        <f aca="false">IF(U587&gt;=Assumptions!$B$10,"Healthy",IF(U587&gt;=Assumptions!$B$11,"Needs Attention","High Risk"))</f>
        <v>Healthy</v>
      </c>
    </row>
    <row r="588" customFormat="false" ht="15" hidden="false" customHeight="false" outlineLevel="0" collapsed="false">
      <c r="A588" s="8" t="s">
        <v>1317</v>
      </c>
      <c r="B588" s="8" t="s">
        <v>1318</v>
      </c>
      <c r="C588" s="8" t="s">
        <v>53</v>
      </c>
      <c r="D588" s="8" t="s">
        <v>326</v>
      </c>
      <c r="E588" s="8" t="s">
        <v>132</v>
      </c>
      <c r="F588" s="8" t="s">
        <v>166</v>
      </c>
      <c r="G588" s="8" t="s">
        <v>177</v>
      </c>
      <c r="H588" s="15" t="n">
        <v>2975</v>
      </c>
      <c r="I588" s="15" t="n">
        <v>0</v>
      </c>
      <c r="J588" s="16" t="n">
        <v>0.924</v>
      </c>
      <c r="K588" s="8" t="n">
        <v>10.7</v>
      </c>
      <c r="L588" s="8"/>
      <c r="M588" s="8" t="n">
        <v>2</v>
      </c>
      <c r="N588" s="8" t="s">
        <v>120</v>
      </c>
      <c r="O588" s="15" t="n">
        <f aca="false">H588*12</f>
        <v>35700</v>
      </c>
      <c r="P588" s="8" t="n">
        <f aca="false">MIN(100,ROUND(100*J588/Assumptions!$B$8,0))</f>
        <v>100</v>
      </c>
      <c r="Q588" s="8" t="n">
        <f aca="false">IF(L588="",Assumptions!$B$9,L588*10)</f>
        <v>50</v>
      </c>
      <c r="R588" s="8" t="n">
        <f aca="false">IF(M588&lt;=1,Assumptions!$B$12,IF(M588&lt;=3,Assumptions!$B$13,IF(M588&lt;=6,Assumptions!$B$14,Assumptions!$B$15)))</f>
        <v>75</v>
      </c>
      <c r="S588" s="8" t="n">
        <f aca="false">IF(N588="Completed On Time",Assumptions!$B$16,IF(N588="Completed Late",Assumptions!$B$17,Assumptions!$B$18))</f>
        <v>100</v>
      </c>
      <c r="T588" s="8" t="n">
        <f aca="false">IF(I588=0,Assumptions!$B$20,IF(H588&gt;I588,Assumptions!$B$19,IF(H588=I588,Assumptions!$B$20,Assumptions!$B$21)))</f>
        <v>70</v>
      </c>
      <c r="U588" s="8" t="n">
        <f aca="false">ROUND(P588*Assumptions!$B$2+Q588*Assumptions!$B$3+R588*Assumptions!$B$4+S588*Assumptions!$B$5+T588*Assumptions!$B$6,0)</f>
        <v>80</v>
      </c>
      <c r="V588" s="8" t="str">
        <f aca="false">IF(U588&gt;=Assumptions!$B$10,"Healthy",IF(U588&gt;=Assumptions!$B$11,"Needs Attention","High Risk"))</f>
        <v>Healthy</v>
      </c>
    </row>
    <row r="589" customFormat="false" ht="15" hidden="false" customHeight="false" outlineLevel="0" collapsed="false">
      <c r="A589" s="8" t="s">
        <v>1319</v>
      </c>
      <c r="B589" s="8" t="s">
        <v>1320</v>
      </c>
      <c r="C589" s="8" t="s">
        <v>53</v>
      </c>
      <c r="D589" s="8" t="s">
        <v>326</v>
      </c>
      <c r="E589" s="8" t="s">
        <v>123</v>
      </c>
      <c r="F589" s="8" t="s">
        <v>190</v>
      </c>
      <c r="G589" s="8" t="s">
        <v>185</v>
      </c>
      <c r="H589" s="15" t="n">
        <v>2975</v>
      </c>
      <c r="I589" s="15" t="n">
        <v>2200</v>
      </c>
      <c r="J589" s="16" t="n">
        <v>0.761</v>
      </c>
      <c r="K589" s="8" t="n">
        <v>9.3</v>
      </c>
      <c r="L589" s="8" t="n">
        <v>8</v>
      </c>
      <c r="M589" s="8" t="n">
        <v>5</v>
      </c>
      <c r="N589" s="8" t="s">
        <v>120</v>
      </c>
      <c r="O589" s="15" t="n">
        <f aca="false">H589*12</f>
        <v>35700</v>
      </c>
      <c r="P589" s="8" t="n">
        <f aca="false">MIN(100,ROUND(100*J589/Assumptions!$B$8,0))</f>
        <v>85</v>
      </c>
      <c r="Q589" s="8" t="n">
        <f aca="false">IF(L589="",Assumptions!$B$9,L589*10)</f>
        <v>80</v>
      </c>
      <c r="R589" s="8" t="n">
        <f aca="false">IF(M589&lt;=1,Assumptions!$B$12,IF(M589&lt;=3,Assumptions!$B$13,IF(M589&lt;=6,Assumptions!$B$14,Assumptions!$B$15)))</f>
        <v>50</v>
      </c>
      <c r="S589" s="8" t="n">
        <f aca="false">IF(N589="Completed On Time",Assumptions!$B$16,IF(N589="Completed Late",Assumptions!$B$17,Assumptions!$B$18))</f>
        <v>100</v>
      </c>
      <c r="T589" s="8" t="n">
        <f aca="false">IF(I589=0,Assumptions!$B$20,IF(H589&gt;I589,Assumptions!$B$19,IF(H589=I589,Assumptions!$B$20,Assumptions!$B$21)))</f>
        <v>100</v>
      </c>
      <c r="U589" s="8" t="n">
        <f aca="false">ROUND(P589*Assumptions!$B$2+Q589*Assumptions!$B$3+R589*Assumptions!$B$4+S589*Assumptions!$B$5+T589*Assumptions!$B$6,0)</f>
        <v>83</v>
      </c>
      <c r="V589" s="8" t="str">
        <f aca="false">IF(U589&gt;=Assumptions!$B$10,"Healthy",IF(U589&gt;=Assumptions!$B$11,"Needs Attention","High Risk"))</f>
        <v>Healthy</v>
      </c>
    </row>
    <row r="590" customFormat="false" ht="15" hidden="false" customHeight="false" outlineLevel="0" collapsed="false">
      <c r="A590" s="8" t="s">
        <v>1321</v>
      </c>
      <c r="B590" s="8" t="s">
        <v>1322</v>
      </c>
      <c r="C590" s="8" t="s">
        <v>53</v>
      </c>
      <c r="D590" s="8" t="s">
        <v>326</v>
      </c>
      <c r="E590" s="8" t="s">
        <v>123</v>
      </c>
      <c r="F590" s="8" t="s">
        <v>124</v>
      </c>
      <c r="G590" s="8" t="s">
        <v>177</v>
      </c>
      <c r="H590" s="15" t="n">
        <v>2975</v>
      </c>
      <c r="I590" s="15" t="n">
        <v>0</v>
      </c>
      <c r="J590" s="16" t="n">
        <v>0.706</v>
      </c>
      <c r="K590" s="8" t="n">
        <v>9.7</v>
      </c>
      <c r="L590" s="8"/>
      <c r="M590" s="8" t="n">
        <v>4</v>
      </c>
      <c r="N590" s="8" t="s">
        <v>148</v>
      </c>
      <c r="O590" s="15" t="n">
        <f aca="false">H590*12</f>
        <v>35700</v>
      </c>
      <c r="P590" s="8" t="n">
        <f aca="false">MIN(100,ROUND(100*J590/Assumptions!$B$8,0))</f>
        <v>78</v>
      </c>
      <c r="Q590" s="8" t="n">
        <f aca="false">IF(L590="",Assumptions!$B$9,L590*10)</f>
        <v>50</v>
      </c>
      <c r="R590" s="8" t="n">
        <f aca="false">IF(M590&lt;=1,Assumptions!$B$12,IF(M590&lt;=3,Assumptions!$B$13,IF(M590&lt;=6,Assumptions!$B$14,Assumptions!$B$15)))</f>
        <v>50</v>
      </c>
      <c r="S590" s="8" t="n">
        <f aca="false">IF(N590="Completed On Time",Assumptions!$B$16,IF(N590="Completed Late",Assumptions!$B$17,Assumptions!$B$18))</f>
        <v>60</v>
      </c>
      <c r="T590" s="8" t="n">
        <f aca="false">IF(I590=0,Assumptions!$B$20,IF(H590&gt;I590,Assumptions!$B$19,IF(H590=I590,Assumptions!$B$20,Assumptions!$B$21)))</f>
        <v>70</v>
      </c>
      <c r="U590" s="8" t="n">
        <f aca="false">ROUND(P590*Assumptions!$B$2+Q590*Assumptions!$B$3+R590*Assumptions!$B$4+S590*Assumptions!$B$5+T590*Assumptions!$B$6,0)</f>
        <v>65</v>
      </c>
      <c r="V590" s="8" t="str">
        <f aca="false">IF(U590&gt;=Assumptions!$B$10,"Healthy",IF(U590&gt;=Assumptions!$B$11,"Needs Attention","High Risk"))</f>
        <v>Needs Attention</v>
      </c>
    </row>
    <row r="591" customFormat="false" ht="15" hidden="false" customHeight="false" outlineLevel="0" collapsed="false">
      <c r="A591" s="8" t="s">
        <v>1323</v>
      </c>
      <c r="B591" s="8" t="s">
        <v>1324</v>
      </c>
      <c r="C591" s="8" t="s">
        <v>53</v>
      </c>
      <c r="D591" s="8" t="s">
        <v>326</v>
      </c>
      <c r="E591" s="8" t="s">
        <v>132</v>
      </c>
      <c r="F591" s="8" t="s">
        <v>151</v>
      </c>
      <c r="G591" s="8" t="s">
        <v>159</v>
      </c>
      <c r="H591" s="15" t="n">
        <v>2975</v>
      </c>
      <c r="I591" s="15" t="n">
        <v>2975</v>
      </c>
      <c r="J591" s="16" t="n">
        <v>0.801</v>
      </c>
      <c r="K591" s="8" t="n">
        <v>8.7</v>
      </c>
      <c r="L591" s="8" t="n">
        <v>9</v>
      </c>
      <c r="M591" s="8" t="n">
        <v>2</v>
      </c>
      <c r="N591" s="8" t="s">
        <v>120</v>
      </c>
      <c r="O591" s="15" t="n">
        <f aca="false">H591*12</f>
        <v>35700</v>
      </c>
      <c r="P591" s="8" t="n">
        <f aca="false">MIN(100,ROUND(100*J591/Assumptions!$B$8,0))</f>
        <v>89</v>
      </c>
      <c r="Q591" s="8" t="n">
        <f aca="false">IF(L591="",Assumptions!$B$9,L591*10)</f>
        <v>90</v>
      </c>
      <c r="R591" s="8" t="n">
        <f aca="false">IF(M591&lt;=1,Assumptions!$B$12,IF(M591&lt;=3,Assumptions!$B$13,IF(M591&lt;=6,Assumptions!$B$14,Assumptions!$B$15)))</f>
        <v>75</v>
      </c>
      <c r="S591" s="8" t="n">
        <f aca="false">IF(N591="Completed On Time",Assumptions!$B$16,IF(N591="Completed Late",Assumptions!$B$17,Assumptions!$B$18))</f>
        <v>100</v>
      </c>
      <c r="T591" s="8" t="n">
        <f aca="false">IF(I591=0,Assumptions!$B$20,IF(H591&gt;I591,Assumptions!$B$19,IF(H591=I591,Assumptions!$B$20,Assumptions!$B$21)))</f>
        <v>70</v>
      </c>
      <c r="U591" s="8" t="n">
        <f aca="false">ROUND(P591*Assumptions!$B$2+Q591*Assumptions!$B$3+R591*Assumptions!$B$4+S591*Assumptions!$B$5+T591*Assumptions!$B$6,0)</f>
        <v>84</v>
      </c>
      <c r="V591" s="8" t="str">
        <f aca="false">IF(U591&gt;=Assumptions!$B$10,"Healthy",IF(U591&gt;=Assumptions!$B$11,"Needs Attention","High Risk"))</f>
        <v>Healthy</v>
      </c>
    </row>
    <row r="592" customFormat="false" ht="15" hidden="false" customHeight="false" outlineLevel="0" collapsed="false">
      <c r="A592" s="8" t="s">
        <v>1325</v>
      </c>
      <c r="B592" s="8" t="s">
        <v>1326</v>
      </c>
      <c r="C592" s="8" t="s">
        <v>53</v>
      </c>
      <c r="D592" s="8" t="s">
        <v>326</v>
      </c>
      <c r="E592" s="8" t="s">
        <v>132</v>
      </c>
      <c r="F592" s="8" t="s">
        <v>118</v>
      </c>
      <c r="G592" s="8" t="s">
        <v>137</v>
      </c>
      <c r="H592" s="15" t="n">
        <v>2975</v>
      </c>
      <c r="I592" s="15" t="n">
        <v>2975</v>
      </c>
      <c r="J592" s="16" t="n">
        <v>0.703</v>
      </c>
      <c r="K592" s="8" t="n">
        <v>8</v>
      </c>
      <c r="L592" s="8" t="n">
        <v>7</v>
      </c>
      <c r="M592" s="8" t="n">
        <v>4</v>
      </c>
      <c r="N592" s="8" t="s">
        <v>120</v>
      </c>
      <c r="O592" s="15" t="n">
        <f aca="false">H592*12</f>
        <v>35700</v>
      </c>
      <c r="P592" s="8" t="n">
        <f aca="false">MIN(100,ROUND(100*J592/Assumptions!$B$8,0))</f>
        <v>78</v>
      </c>
      <c r="Q592" s="8" t="n">
        <f aca="false">IF(L592="",Assumptions!$B$9,L592*10)</f>
        <v>70</v>
      </c>
      <c r="R592" s="8" t="n">
        <f aca="false">IF(M592&lt;=1,Assumptions!$B$12,IF(M592&lt;=3,Assumptions!$B$13,IF(M592&lt;=6,Assumptions!$B$14,Assumptions!$B$15)))</f>
        <v>50</v>
      </c>
      <c r="S592" s="8" t="n">
        <f aca="false">IF(N592="Completed On Time",Assumptions!$B$16,IF(N592="Completed Late",Assumptions!$B$17,Assumptions!$B$18))</f>
        <v>100</v>
      </c>
      <c r="T592" s="8" t="n">
        <f aca="false">IF(I592=0,Assumptions!$B$20,IF(H592&gt;I592,Assumptions!$B$19,IF(H592=I592,Assumptions!$B$20,Assumptions!$B$21)))</f>
        <v>70</v>
      </c>
      <c r="U592" s="8" t="n">
        <f aca="false">ROUND(P592*Assumptions!$B$2+Q592*Assumptions!$B$3+R592*Assumptions!$B$4+S592*Assumptions!$B$5+T592*Assumptions!$B$6,0)</f>
        <v>73</v>
      </c>
      <c r="V592" s="8" t="str">
        <f aca="false">IF(U592&gt;=Assumptions!$B$10,"Healthy",IF(U592&gt;=Assumptions!$B$11,"Needs Attention","High Risk"))</f>
        <v>Needs Attention</v>
      </c>
    </row>
    <row r="593" customFormat="false" ht="15" hidden="false" customHeight="false" outlineLevel="0" collapsed="false">
      <c r="A593" s="8" t="s">
        <v>1327</v>
      </c>
      <c r="B593" s="8" t="s">
        <v>1328</v>
      </c>
      <c r="C593" s="8" t="s">
        <v>53</v>
      </c>
      <c r="D593" s="8" t="s">
        <v>326</v>
      </c>
      <c r="E593" s="8" t="s">
        <v>123</v>
      </c>
      <c r="F593" s="8" t="s">
        <v>154</v>
      </c>
      <c r="G593" s="8" t="s">
        <v>147</v>
      </c>
      <c r="H593" s="15" t="n">
        <v>2950</v>
      </c>
      <c r="I593" s="15" t="n">
        <v>2950</v>
      </c>
      <c r="J593" s="16" t="n">
        <v>0.774</v>
      </c>
      <c r="K593" s="8" t="n">
        <v>10</v>
      </c>
      <c r="L593" s="8" t="n">
        <v>7</v>
      </c>
      <c r="M593" s="8" t="n">
        <v>3</v>
      </c>
      <c r="N593" s="8" t="s">
        <v>120</v>
      </c>
      <c r="O593" s="15" t="n">
        <f aca="false">H593*12</f>
        <v>35400</v>
      </c>
      <c r="P593" s="8" t="n">
        <f aca="false">MIN(100,ROUND(100*J593/Assumptions!$B$8,0))</f>
        <v>86</v>
      </c>
      <c r="Q593" s="8" t="n">
        <f aca="false">IF(L593="",Assumptions!$B$9,L593*10)</f>
        <v>70</v>
      </c>
      <c r="R593" s="8" t="n">
        <f aca="false">IF(M593&lt;=1,Assumptions!$B$12,IF(M593&lt;=3,Assumptions!$B$13,IF(M593&lt;=6,Assumptions!$B$14,Assumptions!$B$15)))</f>
        <v>75</v>
      </c>
      <c r="S593" s="8" t="n">
        <f aca="false">IF(N593="Completed On Time",Assumptions!$B$16,IF(N593="Completed Late",Assumptions!$B$17,Assumptions!$B$18))</f>
        <v>100</v>
      </c>
      <c r="T593" s="8" t="n">
        <f aca="false">IF(I593=0,Assumptions!$B$20,IF(H593&gt;I593,Assumptions!$B$19,IF(H593=I593,Assumptions!$B$20,Assumptions!$B$21)))</f>
        <v>70</v>
      </c>
      <c r="U593" s="8" t="n">
        <f aca="false">ROUND(P593*Assumptions!$B$2+Q593*Assumptions!$B$3+R593*Assumptions!$B$4+S593*Assumptions!$B$5+T593*Assumptions!$B$6,0)</f>
        <v>79</v>
      </c>
      <c r="V593" s="8" t="str">
        <f aca="false">IF(U593&gt;=Assumptions!$B$10,"Healthy",IF(U593&gt;=Assumptions!$B$11,"Needs Attention","High Risk"))</f>
        <v>Needs Attention</v>
      </c>
    </row>
    <row r="594" customFormat="false" ht="15" hidden="false" customHeight="false" outlineLevel="0" collapsed="false">
      <c r="A594" s="8" t="s">
        <v>1329</v>
      </c>
      <c r="B594" s="8" t="s">
        <v>1330</v>
      </c>
      <c r="C594" s="8" t="s">
        <v>53</v>
      </c>
      <c r="D594" s="8" t="s">
        <v>326</v>
      </c>
      <c r="E594" s="8" t="s">
        <v>117</v>
      </c>
      <c r="F594" s="8" t="s">
        <v>118</v>
      </c>
      <c r="G594" s="8" t="s">
        <v>144</v>
      </c>
      <c r="H594" s="15" t="n">
        <v>2950</v>
      </c>
      <c r="I594" s="15" t="n">
        <v>2950</v>
      </c>
      <c r="J594" s="16" t="n">
        <v>0.749</v>
      </c>
      <c r="K594" s="8" t="n">
        <v>7.3</v>
      </c>
      <c r="L594" s="8" t="n">
        <v>7</v>
      </c>
      <c r="M594" s="8" t="n">
        <v>5</v>
      </c>
      <c r="N594" s="8" t="s">
        <v>120</v>
      </c>
      <c r="O594" s="15" t="n">
        <f aca="false">H594*12</f>
        <v>35400</v>
      </c>
      <c r="P594" s="8" t="n">
        <f aca="false">MIN(100,ROUND(100*J594/Assumptions!$B$8,0))</f>
        <v>83</v>
      </c>
      <c r="Q594" s="8" t="n">
        <f aca="false">IF(L594="",Assumptions!$B$9,L594*10)</f>
        <v>70</v>
      </c>
      <c r="R594" s="8" t="n">
        <f aca="false">IF(M594&lt;=1,Assumptions!$B$12,IF(M594&lt;=3,Assumptions!$B$13,IF(M594&lt;=6,Assumptions!$B$14,Assumptions!$B$15)))</f>
        <v>50</v>
      </c>
      <c r="S594" s="8" t="n">
        <f aca="false">IF(N594="Completed On Time",Assumptions!$B$16,IF(N594="Completed Late",Assumptions!$B$17,Assumptions!$B$18))</f>
        <v>100</v>
      </c>
      <c r="T594" s="8" t="n">
        <f aca="false">IF(I594=0,Assumptions!$B$20,IF(H594&gt;I594,Assumptions!$B$19,IF(H594=I594,Assumptions!$B$20,Assumptions!$B$21)))</f>
        <v>70</v>
      </c>
      <c r="U594" s="8" t="n">
        <f aca="false">ROUND(P594*Assumptions!$B$2+Q594*Assumptions!$B$3+R594*Assumptions!$B$4+S594*Assumptions!$B$5+T594*Assumptions!$B$6,0)</f>
        <v>75</v>
      </c>
      <c r="V594" s="8" t="str">
        <f aca="false">IF(U594&gt;=Assumptions!$B$10,"Healthy",IF(U594&gt;=Assumptions!$B$11,"Needs Attention","High Risk"))</f>
        <v>Needs Attention</v>
      </c>
    </row>
    <row r="595" customFormat="false" ht="15" hidden="false" customHeight="false" outlineLevel="0" collapsed="false">
      <c r="A595" s="8" t="s">
        <v>1331</v>
      </c>
      <c r="B595" s="8" t="s">
        <v>1332</v>
      </c>
      <c r="C595" s="8" t="s">
        <v>53</v>
      </c>
      <c r="D595" s="8" t="s">
        <v>326</v>
      </c>
      <c r="E595" s="8" t="s">
        <v>132</v>
      </c>
      <c r="F595" s="8" t="s">
        <v>143</v>
      </c>
      <c r="G595" s="8" t="s">
        <v>144</v>
      </c>
      <c r="H595" s="15" t="n">
        <v>2950</v>
      </c>
      <c r="I595" s="15" t="n">
        <v>2950</v>
      </c>
      <c r="J595" s="16" t="n">
        <v>0.847</v>
      </c>
      <c r="K595" s="8" t="n">
        <v>12</v>
      </c>
      <c r="L595" s="8" t="n">
        <v>10</v>
      </c>
      <c r="M595" s="8" t="n">
        <v>0</v>
      </c>
      <c r="N595" s="8" t="s">
        <v>120</v>
      </c>
      <c r="O595" s="15" t="n">
        <f aca="false">H595*12</f>
        <v>35400</v>
      </c>
      <c r="P595" s="8" t="n">
        <f aca="false">MIN(100,ROUND(100*J595/Assumptions!$B$8,0))</f>
        <v>94</v>
      </c>
      <c r="Q595" s="8" t="n">
        <f aca="false">IF(L595="",Assumptions!$B$9,L595*10)</f>
        <v>100</v>
      </c>
      <c r="R595" s="8" t="n">
        <f aca="false">IF(M595&lt;=1,Assumptions!$B$12,IF(M595&lt;=3,Assumptions!$B$13,IF(M595&lt;=6,Assumptions!$B$14,Assumptions!$B$15)))</f>
        <v>100</v>
      </c>
      <c r="S595" s="8" t="n">
        <f aca="false">IF(N595="Completed On Time",Assumptions!$B$16,IF(N595="Completed Late",Assumptions!$B$17,Assumptions!$B$18))</f>
        <v>100</v>
      </c>
      <c r="T595" s="8" t="n">
        <f aca="false">IF(I595=0,Assumptions!$B$20,IF(H595&gt;I595,Assumptions!$B$19,IF(H595=I595,Assumptions!$B$20,Assumptions!$B$21)))</f>
        <v>70</v>
      </c>
      <c r="U595" s="8" t="n">
        <f aca="false">ROUND(P595*Assumptions!$B$2+Q595*Assumptions!$B$3+R595*Assumptions!$B$4+S595*Assumptions!$B$5+T595*Assumptions!$B$6,0)</f>
        <v>92</v>
      </c>
      <c r="V595" s="8" t="str">
        <f aca="false">IF(U595&gt;=Assumptions!$B$10,"Healthy",IF(U595&gt;=Assumptions!$B$11,"Needs Attention","High Risk"))</f>
        <v>Healthy</v>
      </c>
    </row>
    <row r="596" customFormat="false" ht="15" hidden="false" customHeight="false" outlineLevel="0" collapsed="false">
      <c r="A596" s="8" t="s">
        <v>1333</v>
      </c>
      <c r="B596" s="8" t="s">
        <v>1334</v>
      </c>
      <c r="C596" s="8" t="s">
        <v>53</v>
      </c>
      <c r="D596" s="8" t="s">
        <v>326</v>
      </c>
      <c r="E596" s="8" t="s">
        <v>132</v>
      </c>
      <c r="F596" s="8" t="s">
        <v>154</v>
      </c>
      <c r="G596" s="8" t="s">
        <v>140</v>
      </c>
      <c r="H596" s="15" t="n">
        <v>2925</v>
      </c>
      <c r="I596" s="15" t="n">
        <v>2925</v>
      </c>
      <c r="J596" s="16" t="n">
        <v>0.689</v>
      </c>
      <c r="K596" s="8" t="n">
        <v>8</v>
      </c>
      <c r="L596" s="8" t="n">
        <v>6</v>
      </c>
      <c r="M596" s="8" t="n">
        <v>6</v>
      </c>
      <c r="N596" s="8" t="s">
        <v>120</v>
      </c>
      <c r="O596" s="15" t="n">
        <f aca="false">H596*12</f>
        <v>35100</v>
      </c>
      <c r="P596" s="8" t="n">
        <f aca="false">MIN(100,ROUND(100*J596/Assumptions!$B$8,0))</f>
        <v>77</v>
      </c>
      <c r="Q596" s="8" t="n">
        <f aca="false">IF(L596="",Assumptions!$B$9,L596*10)</f>
        <v>60</v>
      </c>
      <c r="R596" s="8" t="n">
        <f aca="false">IF(M596&lt;=1,Assumptions!$B$12,IF(M596&lt;=3,Assumptions!$B$13,IF(M596&lt;=6,Assumptions!$B$14,Assumptions!$B$15)))</f>
        <v>50</v>
      </c>
      <c r="S596" s="8" t="n">
        <f aca="false">IF(N596="Completed On Time",Assumptions!$B$16,IF(N596="Completed Late",Assumptions!$B$17,Assumptions!$B$18))</f>
        <v>100</v>
      </c>
      <c r="T596" s="8" t="n">
        <f aca="false">IF(I596=0,Assumptions!$B$20,IF(H596&gt;I596,Assumptions!$B$19,IF(H596=I596,Assumptions!$B$20,Assumptions!$B$21)))</f>
        <v>70</v>
      </c>
      <c r="U596" s="8" t="n">
        <f aca="false">ROUND(P596*Assumptions!$B$2+Q596*Assumptions!$B$3+R596*Assumptions!$B$4+S596*Assumptions!$B$5+T596*Assumptions!$B$6,0)</f>
        <v>70</v>
      </c>
      <c r="V596" s="8" t="str">
        <f aca="false">IF(U596&gt;=Assumptions!$B$10,"Healthy",IF(U596&gt;=Assumptions!$B$11,"Needs Attention","High Risk"))</f>
        <v>Needs Attention</v>
      </c>
    </row>
    <row r="597" customFormat="false" ht="15" hidden="false" customHeight="false" outlineLevel="0" collapsed="false">
      <c r="A597" s="8" t="s">
        <v>1335</v>
      </c>
      <c r="B597" s="8" t="s">
        <v>1336</v>
      </c>
      <c r="C597" s="8" t="s">
        <v>53</v>
      </c>
      <c r="D597" s="8" t="s">
        <v>326</v>
      </c>
      <c r="E597" s="8" t="s">
        <v>132</v>
      </c>
      <c r="F597" s="8" t="s">
        <v>118</v>
      </c>
      <c r="G597" s="8" t="s">
        <v>204</v>
      </c>
      <c r="H597" s="15" t="n">
        <v>2925</v>
      </c>
      <c r="I597" s="15" t="n">
        <v>2925</v>
      </c>
      <c r="J597" s="16" t="n">
        <v>0.744</v>
      </c>
      <c r="K597" s="8" t="n">
        <v>7.7</v>
      </c>
      <c r="L597" s="8" t="n">
        <v>6</v>
      </c>
      <c r="M597" s="8" t="n">
        <v>2</v>
      </c>
      <c r="N597" s="8" t="s">
        <v>120</v>
      </c>
      <c r="O597" s="15" t="n">
        <f aca="false">H597*12</f>
        <v>35100</v>
      </c>
      <c r="P597" s="8" t="n">
        <f aca="false">MIN(100,ROUND(100*J597/Assumptions!$B$8,0))</f>
        <v>83</v>
      </c>
      <c r="Q597" s="8" t="n">
        <f aca="false">IF(L597="",Assumptions!$B$9,L597*10)</f>
        <v>60</v>
      </c>
      <c r="R597" s="8" t="n">
        <f aca="false">IF(M597&lt;=1,Assumptions!$B$12,IF(M597&lt;=3,Assumptions!$B$13,IF(M597&lt;=6,Assumptions!$B$14,Assumptions!$B$15)))</f>
        <v>75</v>
      </c>
      <c r="S597" s="8" t="n">
        <f aca="false">IF(N597="Completed On Time",Assumptions!$B$16,IF(N597="Completed Late",Assumptions!$B$17,Assumptions!$B$18))</f>
        <v>100</v>
      </c>
      <c r="T597" s="8" t="n">
        <f aca="false">IF(I597=0,Assumptions!$B$20,IF(H597&gt;I597,Assumptions!$B$19,IF(H597=I597,Assumptions!$B$20,Assumptions!$B$21)))</f>
        <v>70</v>
      </c>
      <c r="U597" s="8" t="n">
        <f aca="false">ROUND(P597*Assumptions!$B$2+Q597*Assumptions!$B$3+R597*Assumptions!$B$4+S597*Assumptions!$B$5+T597*Assumptions!$B$6,0)</f>
        <v>76</v>
      </c>
      <c r="V597" s="8" t="str">
        <f aca="false">IF(U597&gt;=Assumptions!$B$10,"Healthy",IF(U597&gt;=Assumptions!$B$11,"Needs Attention","High Risk"))</f>
        <v>Needs Attention</v>
      </c>
    </row>
    <row r="598" customFormat="false" ht="15" hidden="false" customHeight="false" outlineLevel="0" collapsed="false">
      <c r="A598" s="8" t="s">
        <v>1337</v>
      </c>
      <c r="B598" s="8" t="s">
        <v>1338</v>
      </c>
      <c r="C598" s="8" t="s">
        <v>53</v>
      </c>
      <c r="D598" s="8" t="s">
        <v>326</v>
      </c>
      <c r="E598" s="8" t="s">
        <v>132</v>
      </c>
      <c r="F598" s="8" t="s">
        <v>151</v>
      </c>
      <c r="G598" s="8" t="s">
        <v>185</v>
      </c>
      <c r="H598" s="15" t="n">
        <v>2925</v>
      </c>
      <c r="I598" s="15" t="n">
        <v>2925</v>
      </c>
      <c r="J598" s="16" t="n">
        <v>0.707</v>
      </c>
      <c r="K598" s="8" t="n">
        <v>8.3</v>
      </c>
      <c r="L598" s="8" t="n">
        <v>6</v>
      </c>
      <c r="M598" s="8" t="n">
        <v>1</v>
      </c>
      <c r="N598" s="8" t="s">
        <v>120</v>
      </c>
      <c r="O598" s="15" t="n">
        <f aca="false">H598*12</f>
        <v>35100</v>
      </c>
      <c r="P598" s="8" t="n">
        <f aca="false">MIN(100,ROUND(100*J598/Assumptions!$B$8,0))</f>
        <v>79</v>
      </c>
      <c r="Q598" s="8" t="n">
        <f aca="false">IF(L598="",Assumptions!$B$9,L598*10)</f>
        <v>60</v>
      </c>
      <c r="R598" s="8" t="n">
        <f aca="false">IF(M598&lt;=1,Assumptions!$B$12,IF(M598&lt;=3,Assumptions!$B$13,IF(M598&lt;=6,Assumptions!$B$14,Assumptions!$B$15)))</f>
        <v>100</v>
      </c>
      <c r="S598" s="8" t="n">
        <f aca="false">IF(N598="Completed On Time",Assumptions!$B$16,IF(N598="Completed Late",Assumptions!$B$17,Assumptions!$B$18))</f>
        <v>100</v>
      </c>
      <c r="T598" s="8" t="n">
        <f aca="false">IF(I598=0,Assumptions!$B$20,IF(H598&gt;I598,Assumptions!$B$19,IF(H598=I598,Assumptions!$B$20,Assumptions!$B$21)))</f>
        <v>70</v>
      </c>
      <c r="U598" s="8" t="n">
        <f aca="false">ROUND(P598*Assumptions!$B$2+Q598*Assumptions!$B$3+R598*Assumptions!$B$4+S598*Assumptions!$B$5+T598*Assumptions!$B$6,0)</f>
        <v>79</v>
      </c>
      <c r="V598" s="8" t="str">
        <f aca="false">IF(U598&gt;=Assumptions!$B$10,"Healthy",IF(U598&gt;=Assumptions!$B$11,"Needs Attention","High Risk"))</f>
        <v>Needs Attention</v>
      </c>
    </row>
    <row r="599" customFormat="false" ht="15" hidden="false" customHeight="false" outlineLevel="0" collapsed="false">
      <c r="A599" s="8" t="s">
        <v>1339</v>
      </c>
      <c r="B599" s="8" t="s">
        <v>1340</v>
      </c>
      <c r="C599" s="8" t="s">
        <v>53</v>
      </c>
      <c r="D599" s="8" t="s">
        <v>326</v>
      </c>
      <c r="E599" s="8" t="s">
        <v>117</v>
      </c>
      <c r="F599" s="8" t="s">
        <v>118</v>
      </c>
      <c r="G599" s="8" t="s">
        <v>140</v>
      </c>
      <c r="H599" s="15" t="n">
        <v>2900</v>
      </c>
      <c r="I599" s="15" t="n">
        <v>2900</v>
      </c>
      <c r="J599" s="16" t="n">
        <v>0.555</v>
      </c>
      <c r="K599" s="8" t="n">
        <v>6</v>
      </c>
      <c r="L599" s="8" t="n">
        <v>8</v>
      </c>
      <c r="M599" s="8" t="n">
        <v>4</v>
      </c>
      <c r="N599" s="8" t="s">
        <v>120</v>
      </c>
      <c r="O599" s="15" t="n">
        <f aca="false">H599*12</f>
        <v>34800</v>
      </c>
      <c r="P599" s="8" t="n">
        <f aca="false">MIN(100,ROUND(100*J599/Assumptions!$B$8,0))</f>
        <v>62</v>
      </c>
      <c r="Q599" s="8" t="n">
        <f aca="false">IF(L599="",Assumptions!$B$9,L599*10)</f>
        <v>80</v>
      </c>
      <c r="R599" s="8" t="n">
        <f aca="false">IF(M599&lt;=1,Assumptions!$B$12,IF(M599&lt;=3,Assumptions!$B$13,IF(M599&lt;=6,Assumptions!$B$14,Assumptions!$B$15)))</f>
        <v>50</v>
      </c>
      <c r="S599" s="8" t="n">
        <f aca="false">IF(N599="Completed On Time",Assumptions!$B$16,IF(N599="Completed Late",Assumptions!$B$17,Assumptions!$B$18))</f>
        <v>100</v>
      </c>
      <c r="T599" s="8" t="n">
        <f aca="false">IF(I599=0,Assumptions!$B$20,IF(H599&gt;I599,Assumptions!$B$19,IF(H599=I599,Assumptions!$B$20,Assumptions!$B$21)))</f>
        <v>70</v>
      </c>
      <c r="U599" s="8" t="n">
        <f aca="false">ROUND(P599*Assumptions!$B$2+Q599*Assumptions!$B$3+R599*Assumptions!$B$4+S599*Assumptions!$B$5+T599*Assumptions!$B$6,0)</f>
        <v>69</v>
      </c>
      <c r="V599" s="8" t="str">
        <f aca="false">IF(U599&gt;=Assumptions!$B$10,"Healthy",IF(U599&gt;=Assumptions!$B$11,"Needs Attention","High Risk"))</f>
        <v>Needs Attention</v>
      </c>
    </row>
    <row r="600" customFormat="false" ht="15" hidden="false" customHeight="false" outlineLevel="0" collapsed="false">
      <c r="A600" s="8" t="s">
        <v>1341</v>
      </c>
      <c r="B600" s="8" t="s">
        <v>1342</v>
      </c>
      <c r="C600" s="8" t="s">
        <v>53</v>
      </c>
      <c r="D600" s="8" t="s">
        <v>326</v>
      </c>
      <c r="E600" s="8" t="s">
        <v>123</v>
      </c>
      <c r="F600" s="8" t="s">
        <v>133</v>
      </c>
      <c r="G600" s="8" t="s">
        <v>204</v>
      </c>
      <c r="H600" s="15" t="n">
        <v>2900</v>
      </c>
      <c r="I600" s="15" t="n">
        <v>2900</v>
      </c>
      <c r="J600" s="16" t="n">
        <v>0.914</v>
      </c>
      <c r="K600" s="8" t="n">
        <v>10.3</v>
      </c>
      <c r="L600" s="8" t="n">
        <v>9</v>
      </c>
      <c r="M600" s="8" t="n">
        <v>2</v>
      </c>
      <c r="N600" s="8" t="s">
        <v>120</v>
      </c>
      <c r="O600" s="15" t="n">
        <f aca="false">H600*12</f>
        <v>34800</v>
      </c>
      <c r="P600" s="8" t="n">
        <f aca="false">MIN(100,ROUND(100*J600/Assumptions!$B$8,0))</f>
        <v>100</v>
      </c>
      <c r="Q600" s="8" t="n">
        <f aca="false">IF(L600="",Assumptions!$B$9,L600*10)</f>
        <v>90</v>
      </c>
      <c r="R600" s="8" t="n">
        <f aca="false">IF(M600&lt;=1,Assumptions!$B$12,IF(M600&lt;=3,Assumptions!$B$13,IF(M600&lt;=6,Assumptions!$B$14,Assumptions!$B$15)))</f>
        <v>75</v>
      </c>
      <c r="S600" s="8" t="n">
        <f aca="false">IF(N600="Completed On Time",Assumptions!$B$16,IF(N600="Completed Late",Assumptions!$B$17,Assumptions!$B$18))</f>
        <v>100</v>
      </c>
      <c r="T600" s="8" t="n">
        <f aca="false">IF(I600=0,Assumptions!$B$20,IF(H600&gt;I600,Assumptions!$B$19,IF(H600=I600,Assumptions!$B$20,Assumptions!$B$21)))</f>
        <v>70</v>
      </c>
      <c r="U600" s="8" t="n">
        <f aca="false">ROUND(P600*Assumptions!$B$2+Q600*Assumptions!$B$3+R600*Assumptions!$B$4+S600*Assumptions!$B$5+T600*Assumptions!$B$6,0)</f>
        <v>88</v>
      </c>
      <c r="V600" s="8" t="str">
        <f aca="false">IF(U600&gt;=Assumptions!$B$10,"Healthy",IF(U600&gt;=Assumptions!$B$11,"Needs Attention","High Risk"))</f>
        <v>Healthy</v>
      </c>
    </row>
    <row r="601" customFormat="false" ht="15" hidden="false" customHeight="false" outlineLevel="0" collapsed="false">
      <c r="A601" s="8" t="s">
        <v>1343</v>
      </c>
      <c r="B601" s="8" t="s">
        <v>1344</v>
      </c>
      <c r="C601" s="8" t="s">
        <v>53</v>
      </c>
      <c r="D601" s="8" t="s">
        <v>326</v>
      </c>
      <c r="E601" s="8" t="s">
        <v>123</v>
      </c>
      <c r="F601" s="8" t="s">
        <v>223</v>
      </c>
      <c r="G601" s="8" t="s">
        <v>144</v>
      </c>
      <c r="H601" s="15" t="n">
        <v>2900</v>
      </c>
      <c r="I601" s="15" t="n">
        <v>2900</v>
      </c>
      <c r="J601" s="16" t="n">
        <v>0.822</v>
      </c>
      <c r="K601" s="8" t="n">
        <v>8.3</v>
      </c>
      <c r="L601" s="8" t="n">
        <v>10</v>
      </c>
      <c r="M601" s="8" t="n">
        <v>0</v>
      </c>
      <c r="N601" s="8" t="s">
        <v>120</v>
      </c>
      <c r="O601" s="15" t="n">
        <f aca="false">H601*12</f>
        <v>34800</v>
      </c>
      <c r="P601" s="8" t="n">
        <f aca="false">MIN(100,ROUND(100*J601/Assumptions!$B$8,0))</f>
        <v>91</v>
      </c>
      <c r="Q601" s="8" t="n">
        <f aca="false">IF(L601="",Assumptions!$B$9,L601*10)</f>
        <v>100</v>
      </c>
      <c r="R601" s="8" t="n">
        <f aca="false">IF(M601&lt;=1,Assumptions!$B$12,IF(M601&lt;=3,Assumptions!$B$13,IF(M601&lt;=6,Assumptions!$B$14,Assumptions!$B$15)))</f>
        <v>100</v>
      </c>
      <c r="S601" s="8" t="n">
        <f aca="false">IF(N601="Completed On Time",Assumptions!$B$16,IF(N601="Completed Late",Assumptions!$B$17,Assumptions!$B$18))</f>
        <v>100</v>
      </c>
      <c r="T601" s="8" t="n">
        <f aca="false">IF(I601=0,Assumptions!$B$20,IF(H601&gt;I601,Assumptions!$B$19,IF(H601=I601,Assumptions!$B$20,Assumptions!$B$21)))</f>
        <v>70</v>
      </c>
      <c r="U601" s="8" t="n">
        <f aca="false">ROUND(P601*Assumptions!$B$2+Q601*Assumptions!$B$3+R601*Assumptions!$B$4+S601*Assumptions!$B$5+T601*Assumptions!$B$6,0)</f>
        <v>91</v>
      </c>
      <c r="V601" s="8" t="str">
        <f aca="false">IF(U601&gt;=Assumptions!$B$10,"Healthy",IF(U601&gt;=Assumptions!$B$11,"Needs Attention","High Risk"))</f>
        <v>Healthy</v>
      </c>
    </row>
    <row r="602" customFormat="false" ht="15" hidden="false" customHeight="false" outlineLevel="0" collapsed="false">
      <c r="A602" s="8" t="s">
        <v>1345</v>
      </c>
      <c r="B602" s="8" t="s">
        <v>1346</v>
      </c>
      <c r="C602" s="8" t="s">
        <v>53</v>
      </c>
      <c r="D602" s="8" t="s">
        <v>55</v>
      </c>
      <c r="E602" s="8" t="s">
        <v>123</v>
      </c>
      <c r="F602" s="8" t="s">
        <v>143</v>
      </c>
      <c r="G602" s="8" t="s">
        <v>177</v>
      </c>
      <c r="H602" s="15" t="n">
        <v>2880</v>
      </c>
      <c r="I602" s="15" t="n">
        <v>2565</v>
      </c>
      <c r="J602" s="16" t="n">
        <v>0.574</v>
      </c>
      <c r="K602" s="8" t="n">
        <v>5.3</v>
      </c>
      <c r="L602" s="8" t="n">
        <v>6</v>
      </c>
      <c r="M602" s="8" t="n">
        <v>5</v>
      </c>
      <c r="N602" s="8" t="s">
        <v>120</v>
      </c>
      <c r="O602" s="15" t="n">
        <f aca="false">H602*12</f>
        <v>34560</v>
      </c>
      <c r="P602" s="8" t="n">
        <f aca="false">MIN(100,ROUND(100*J602/Assumptions!$B$8,0))</f>
        <v>64</v>
      </c>
      <c r="Q602" s="8" t="n">
        <f aca="false">IF(L602="",Assumptions!$B$9,L602*10)</f>
        <v>60</v>
      </c>
      <c r="R602" s="8" t="n">
        <f aca="false">IF(M602&lt;=1,Assumptions!$B$12,IF(M602&lt;=3,Assumptions!$B$13,IF(M602&lt;=6,Assumptions!$B$14,Assumptions!$B$15)))</f>
        <v>50</v>
      </c>
      <c r="S602" s="8" t="n">
        <f aca="false">IF(N602="Completed On Time",Assumptions!$B$16,IF(N602="Completed Late",Assumptions!$B$17,Assumptions!$B$18))</f>
        <v>100</v>
      </c>
      <c r="T602" s="8" t="n">
        <f aca="false">IF(I602=0,Assumptions!$B$20,IF(H602&gt;I602,Assumptions!$B$19,IF(H602=I602,Assumptions!$B$20,Assumptions!$B$21)))</f>
        <v>100</v>
      </c>
      <c r="U602" s="8" t="n">
        <f aca="false">ROUND(P602*Assumptions!$B$2+Q602*Assumptions!$B$3+R602*Assumptions!$B$4+S602*Assumptions!$B$5+T602*Assumptions!$B$6,0)</f>
        <v>72</v>
      </c>
      <c r="V602" s="8" t="str">
        <f aca="false">IF(U602&gt;=Assumptions!$B$10,"Healthy",IF(U602&gt;=Assumptions!$B$11,"Needs Attention","High Risk"))</f>
        <v>Needs Attention</v>
      </c>
    </row>
    <row r="603" customFormat="false" ht="15" hidden="false" customHeight="false" outlineLevel="0" collapsed="false">
      <c r="A603" s="8" t="s">
        <v>1347</v>
      </c>
      <c r="B603" s="8" t="s">
        <v>1348</v>
      </c>
      <c r="C603" s="8" t="s">
        <v>53</v>
      </c>
      <c r="D603" s="8" t="s">
        <v>326</v>
      </c>
      <c r="E603" s="8" t="s">
        <v>123</v>
      </c>
      <c r="F603" s="8" t="s">
        <v>190</v>
      </c>
      <c r="G603" s="8" t="s">
        <v>140</v>
      </c>
      <c r="H603" s="15" t="n">
        <v>2875</v>
      </c>
      <c r="I603" s="15" t="n">
        <v>2875</v>
      </c>
      <c r="J603" s="16" t="n">
        <v>0.6</v>
      </c>
      <c r="K603" s="8" t="n">
        <v>10</v>
      </c>
      <c r="L603" s="8" t="n">
        <v>9</v>
      </c>
      <c r="M603" s="8" t="n">
        <v>1</v>
      </c>
      <c r="N603" s="8" t="s">
        <v>120</v>
      </c>
      <c r="O603" s="15" t="n">
        <f aca="false">H603*12</f>
        <v>34500</v>
      </c>
      <c r="P603" s="8" t="n">
        <f aca="false">MIN(100,ROUND(100*J603/Assumptions!$B$8,0))</f>
        <v>67</v>
      </c>
      <c r="Q603" s="8" t="n">
        <f aca="false">IF(L603="",Assumptions!$B$9,L603*10)</f>
        <v>90</v>
      </c>
      <c r="R603" s="8" t="n">
        <f aca="false">IF(M603&lt;=1,Assumptions!$B$12,IF(M603&lt;=3,Assumptions!$B$13,IF(M603&lt;=6,Assumptions!$B$14,Assumptions!$B$15)))</f>
        <v>100</v>
      </c>
      <c r="S603" s="8" t="n">
        <f aca="false">IF(N603="Completed On Time",Assumptions!$B$16,IF(N603="Completed Late",Assumptions!$B$17,Assumptions!$B$18))</f>
        <v>100</v>
      </c>
      <c r="T603" s="8" t="n">
        <f aca="false">IF(I603=0,Assumptions!$B$20,IF(H603&gt;I603,Assumptions!$B$19,IF(H603=I603,Assumptions!$B$20,Assumptions!$B$21)))</f>
        <v>70</v>
      </c>
      <c r="U603" s="8" t="n">
        <f aca="false">ROUND(P603*Assumptions!$B$2+Q603*Assumptions!$B$3+R603*Assumptions!$B$4+S603*Assumptions!$B$5+T603*Assumptions!$B$6,0)</f>
        <v>80</v>
      </c>
      <c r="V603" s="8" t="str">
        <f aca="false">IF(U603&gt;=Assumptions!$B$10,"Healthy",IF(U603&gt;=Assumptions!$B$11,"Needs Attention","High Risk"))</f>
        <v>Healthy</v>
      </c>
    </row>
    <row r="604" customFormat="false" ht="15" hidden="false" customHeight="false" outlineLevel="0" collapsed="false">
      <c r="A604" s="8" t="s">
        <v>1349</v>
      </c>
      <c r="B604" s="8" t="s">
        <v>1350</v>
      </c>
      <c r="C604" s="8" t="s">
        <v>53</v>
      </c>
      <c r="D604" s="8" t="s">
        <v>326</v>
      </c>
      <c r="E604" s="8" t="s">
        <v>132</v>
      </c>
      <c r="F604" s="8" t="s">
        <v>190</v>
      </c>
      <c r="G604" s="8" t="s">
        <v>119</v>
      </c>
      <c r="H604" s="15" t="n">
        <v>2875</v>
      </c>
      <c r="I604" s="15" t="n">
        <v>2875</v>
      </c>
      <c r="J604" s="16" t="n">
        <v>0.603</v>
      </c>
      <c r="K604" s="8" t="n">
        <v>6.3</v>
      </c>
      <c r="L604" s="8" t="n">
        <v>7</v>
      </c>
      <c r="M604" s="8" t="n">
        <v>6</v>
      </c>
      <c r="N604" s="8" t="s">
        <v>120</v>
      </c>
      <c r="O604" s="15" t="n">
        <f aca="false">H604*12</f>
        <v>34500</v>
      </c>
      <c r="P604" s="8" t="n">
        <f aca="false">MIN(100,ROUND(100*J604/Assumptions!$B$8,0))</f>
        <v>67</v>
      </c>
      <c r="Q604" s="8" t="n">
        <f aca="false">IF(L604="",Assumptions!$B$9,L604*10)</f>
        <v>70</v>
      </c>
      <c r="R604" s="8" t="n">
        <f aca="false">IF(M604&lt;=1,Assumptions!$B$12,IF(M604&lt;=3,Assumptions!$B$13,IF(M604&lt;=6,Assumptions!$B$14,Assumptions!$B$15)))</f>
        <v>50</v>
      </c>
      <c r="S604" s="8" t="n">
        <f aca="false">IF(N604="Completed On Time",Assumptions!$B$16,IF(N604="Completed Late",Assumptions!$B$17,Assumptions!$B$18))</f>
        <v>100</v>
      </c>
      <c r="T604" s="8" t="n">
        <f aca="false">IF(I604=0,Assumptions!$B$20,IF(H604&gt;I604,Assumptions!$B$19,IF(H604=I604,Assumptions!$B$20,Assumptions!$B$21)))</f>
        <v>70</v>
      </c>
      <c r="U604" s="8" t="n">
        <f aca="false">ROUND(P604*Assumptions!$B$2+Q604*Assumptions!$B$3+R604*Assumptions!$B$4+S604*Assumptions!$B$5+T604*Assumptions!$B$6,0)</f>
        <v>69</v>
      </c>
      <c r="V604" s="8" t="str">
        <f aca="false">IF(U604&gt;=Assumptions!$B$10,"Healthy",IF(U604&gt;=Assumptions!$B$11,"Needs Attention","High Risk"))</f>
        <v>Needs Attention</v>
      </c>
    </row>
    <row r="605" customFormat="false" ht="15" hidden="false" customHeight="false" outlineLevel="0" collapsed="false">
      <c r="A605" s="8" t="s">
        <v>1351</v>
      </c>
      <c r="B605" s="8" t="s">
        <v>1352</v>
      </c>
      <c r="C605" s="8" t="s">
        <v>53</v>
      </c>
      <c r="D605" s="8" t="s">
        <v>326</v>
      </c>
      <c r="E605" s="8" t="s">
        <v>132</v>
      </c>
      <c r="F605" s="8" t="s">
        <v>143</v>
      </c>
      <c r="G605" s="8" t="s">
        <v>137</v>
      </c>
      <c r="H605" s="15" t="n">
        <v>2875</v>
      </c>
      <c r="I605" s="15" t="n">
        <v>2875</v>
      </c>
      <c r="J605" s="16" t="n">
        <v>0.771</v>
      </c>
      <c r="K605" s="8" t="n">
        <v>8.7</v>
      </c>
      <c r="L605" s="8" t="n">
        <v>8</v>
      </c>
      <c r="M605" s="8" t="n">
        <v>4</v>
      </c>
      <c r="N605" s="8" t="s">
        <v>120</v>
      </c>
      <c r="O605" s="15" t="n">
        <f aca="false">H605*12</f>
        <v>34500</v>
      </c>
      <c r="P605" s="8" t="n">
        <f aca="false">MIN(100,ROUND(100*J605/Assumptions!$B$8,0))</f>
        <v>86</v>
      </c>
      <c r="Q605" s="8" t="n">
        <f aca="false">IF(L605="",Assumptions!$B$9,L605*10)</f>
        <v>80</v>
      </c>
      <c r="R605" s="8" t="n">
        <f aca="false">IF(M605&lt;=1,Assumptions!$B$12,IF(M605&lt;=3,Assumptions!$B$13,IF(M605&lt;=6,Assumptions!$B$14,Assumptions!$B$15)))</f>
        <v>50</v>
      </c>
      <c r="S605" s="8" t="n">
        <f aca="false">IF(N605="Completed On Time",Assumptions!$B$16,IF(N605="Completed Late",Assumptions!$B$17,Assumptions!$B$18))</f>
        <v>100</v>
      </c>
      <c r="T605" s="8" t="n">
        <f aca="false">IF(I605=0,Assumptions!$B$20,IF(H605&gt;I605,Assumptions!$B$19,IF(H605=I605,Assumptions!$B$20,Assumptions!$B$21)))</f>
        <v>70</v>
      </c>
      <c r="U605" s="8" t="n">
        <f aca="false">ROUND(P605*Assumptions!$B$2+Q605*Assumptions!$B$3+R605*Assumptions!$B$4+S605*Assumptions!$B$5+T605*Assumptions!$B$6,0)</f>
        <v>78</v>
      </c>
      <c r="V605" s="8" t="str">
        <f aca="false">IF(U605&gt;=Assumptions!$B$10,"Healthy",IF(U605&gt;=Assumptions!$B$11,"Needs Attention","High Risk"))</f>
        <v>Needs Attention</v>
      </c>
    </row>
    <row r="606" customFormat="false" ht="15" hidden="false" customHeight="false" outlineLevel="0" collapsed="false">
      <c r="A606" s="8" t="s">
        <v>1353</v>
      </c>
      <c r="B606" s="8" t="s">
        <v>1354</v>
      </c>
      <c r="C606" s="8" t="s">
        <v>53</v>
      </c>
      <c r="D606" s="8" t="s">
        <v>326</v>
      </c>
      <c r="E606" s="8" t="s">
        <v>132</v>
      </c>
      <c r="F606" s="8" t="s">
        <v>166</v>
      </c>
      <c r="G606" s="8" t="s">
        <v>129</v>
      </c>
      <c r="H606" s="15" t="n">
        <v>2875</v>
      </c>
      <c r="I606" s="15" t="n">
        <v>2875</v>
      </c>
      <c r="J606" s="16" t="n">
        <v>0.762</v>
      </c>
      <c r="K606" s="8" t="n">
        <v>8.3</v>
      </c>
      <c r="L606" s="8" t="n">
        <v>8</v>
      </c>
      <c r="M606" s="8" t="n">
        <v>4</v>
      </c>
      <c r="N606" s="8" t="s">
        <v>120</v>
      </c>
      <c r="O606" s="15" t="n">
        <f aca="false">H606*12</f>
        <v>34500</v>
      </c>
      <c r="P606" s="8" t="n">
        <f aca="false">MIN(100,ROUND(100*J606/Assumptions!$B$8,0))</f>
        <v>85</v>
      </c>
      <c r="Q606" s="8" t="n">
        <f aca="false">IF(L606="",Assumptions!$B$9,L606*10)</f>
        <v>80</v>
      </c>
      <c r="R606" s="8" t="n">
        <f aca="false">IF(M606&lt;=1,Assumptions!$B$12,IF(M606&lt;=3,Assumptions!$B$13,IF(M606&lt;=6,Assumptions!$B$14,Assumptions!$B$15)))</f>
        <v>50</v>
      </c>
      <c r="S606" s="8" t="n">
        <f aca="false">IF(N606="Completed On Time",Assumptions!$B$16,IF(N606="Completed Late",Assumptions!$B$17,Assumptions!$B$18))</f>
        <v>100</v>
      </c>
      <c r="T606" s="8" t="n">
        <f aca="false">IF(I606=0,Assumptions!$B$20,IF(H606&gt;I606,Assumptions!$B$19,IF(H606=I606,Assumptions!$B$20,Assumptions!$B$21)))</f>
        <v>70</v>
      </c>
      <c r="U606" s="8" t="n">
        <f aca="false">ROUND(P606*Assumptions!$B$2+Q606*Assumptions!$B$3+R606*Assumptions!$B$4+S606*Assumptions!$B$5+T606*Assumptions!$B$6,0)</f>
        <v>77</v>
      </c>
      <c r="V606" s="8" t="str">
        <f aca="false">IF(U606&gt;=Assumptions!$B$10,"Healthy",IF(U606&gt;=Assumptions!$B$11,"Needs Attention","High Risk"))</f>
        <v>Needs Attention</v>
      </c>
    </row>
    <row r="607" customFormat="false" ht="15" hidden="false" customHeight="false" outlineLevel="0" collapsed="false">
      <c r="A607" s="8" t="s">
        <v>1355</v>
      </c>
      <c r="B607" s="8" t="s">
        <v>1356</v>
      </c>
      <c r="C607" s="8" t="s">
        <v>53</v>
      </c>
      <c r="D607" s="8" t="s">
        <v>326</v>
      </c>
      <c r="E607" s="8" t="s">
        <v>123</v>
      </c>
      <c r="F607" s="8" t="s">
        <v>118</v>
      </c>
      <c r="G607" s="8" t="s">
        <v>137</v>
      </c>
      <c r="H607" s="15" t="n">
        <v>2850</v>
      </c>
      <c r="I607" s="15" t="n">
        <v>2850</v>
      </c>
      <c r="J607" s="16" t="n">
        <v>0.684</v>
      </c>
      <c r="K607" s="8" t="n">
        <v>8.3</v>
      </c>
      <c r="L607" s="8" t="n">
        <v>8</v>
      </c>
      <c r="M607" s="8" t="n">
        <v>0</v>
      </c>
      <c r="N607" s="8" t="s">
        <v>120</v>
      </c>
      <c r="O607" s="15" t="n">
        <f aca="false">H607*12</f>
        <v>34200</v>
      </c>
      <c r="P607" s="8" t="n">
        <f aca="false">MIN(100,ROUND(100*J607/Assumptions!$B$8,0))</f>
        <v>76</v>
      </c>
      <c r="Q607" s="8" t="n">
        <f aca="false">IF(L607="",Assumptions!$B$9,L607*10)</f>
        <v>80</v>
      </c>
      <c r="R607" s="8" t="n">
        <f aca="false">IF(M607&lt;=1,Assumptions!$B$12,IF(M607&lt;=3,Assumptions!$B$13,IF(M607&lt;=6,Assumptions!$B$14,Assumptions!$B$15)))</f>
        <v>100</v>
      </c>
      <c r="S607" s="8" t="n">
        <f aca="false">IF(N607="Completed On Time",Assumptions!$B$16,IF(N607="Completed Late",Assumptions!$B$17,Assumptions!$B$18))</f>
        <v>100</v>
      </c>
      <c r="T607" s="8" t="n">
        <f aca="false">IF(I607=0,Assumptions!$B$20,IF(H607&gt;I607,Assumptions!$B$19,IF(H607=I607,Assumptions!$B$20,Assumptions!$B$21)))</f>
        <v>70</v>
      </c>
      <c r="U607" s="8" t="n">
        <f aca="false">ROUND(P607*Assumptions!$B$2+Q607*Assumptions!$B$3+R607*Assumptions!$B$4+S607*Assumptions!$B$5+T607*Assumptions!$B$6,0)</f>
        <v>82</v>
      </c>
      <c r="V607" s="8" t="str">
        <f aca="false">IF(U607&gt;=Assumptions!$B$10,"Healthy",IF(U607&gt;=Assumptions!$B$11,"Needs Attention","High Risk"))</f>
        <v>Healthy</v>
      </c>
    </row>
    <row r="608" customFormat="false" ht="15" hidden="false" customHeight="false" outlineLevel="0" collapsed="false">
      <c r="A608" s="8" t="s">
        <v>1357</v>
      </c>
      <c r="B608" s="8" t="s">
        <v>1358</v>
      </c>
      <c r="C608" s="8" t="s">
        <v>53</v>
      </c>
      <c r="D608" s="8" t="s">
        <v>326</v>
      </c>
      <c r="E608" s="8" t="s">
        <v>132</v>
      </c>
      <c r="F608" s="8" t="s">
        <v>136</v>
      </c>
      <c r="G608" s="8" t="s">
        <v>147</v>
      </c>
      <c r="H608" s="15" t="n">
        <v>2850</v>
      </c>
      <c r="I608" s="15" t="n">
        <v>2850</v>
      </c>
      <c r="J608" s="16" t="n">
        <v>0.825</v>
      </c>
      <c r="K608" s="8" t="n">
        <v>12</v>
      </c>
      <c r="L608" s="8" t="n">
        <v>10</v>
      </c>
      <c r="M608" s="8" t="n">
        <v>1</v>
      </c>
      <c r="N608" s="8" t="s">
        <v>120</v>
      </c>
      <c r="O608" s="15" t="n">
        <f aca="false">H608*12</f>
        <v>34200</v>
      </c>
      <c r="P608" s="8" t="n">
        <f aca="false">MIN(100,ROUND(100*J608/Assumptions!$B$8,0))</f>
        <v>92</v>
      </c>
      <c r="Q608" s="8" t="n">
        <f aca="false">IF(L608="",Assumptions!$B$9,L608*10)</f>
        <v>100</v>
      </c>
      <c r="R608" s="8" t="n">
        <f aca="false">IF(M608&lt;=1,Assumptions!$B$12,IF(M608&lt;=3,Assumptions!$B$13,IF(M608&lt;=6,Assumptions!$B$14,Assumptions!$B$15)))</f>
        <v>100</v>
      </c>
      <c r="S608" s="8" t="n">
        <f aca="false">IF(N608="Completed On Time",Assumptions!$B$16,IF(N608="Completed Late",Assumptions!$B$17,Assumptions!$B$18))</f>
        <v>100</v>
      </c>
      <c r="T608" s="8" t="n">
        <f aca="false">IF(I608=0,Assumptions!$B$20,IF(H608&gt;I608,Assumptions!$B$19,IF(H608=I608,Assumptions!$B$20,Assumptions!$B$21)))</f>
        <v>70</v>
      </c>
      <c r="U608" s="8" t="n">
        <f aca="false">ROUND(P608*Assumptions!$B$2+Q608*Assumptions!$B$3+R608*Assumptions!$B$4+S608*Assumptions!$B$5+T608*Assumptions!$B$6,0)</f>
        <v>91</v>
      </c>
      <c r="V608" s="8" t="str">
        <f aca="false">IF(U608&gt;=Assumptions!$B$10,"Healthy",IF(U608&gt;=Assumptions!$B$11,"Needs Attention","High Risk"))</f>
        <v>Healthy</v>
      </c>
    </row>
    <row r="609" customFormat="false" ht="15" hidden="false" customHeight="false" outlineLevel="0" collapsed="false">
      <c r="A609" s="8" t="s">
        <v>1359</v>
      </c>
      <c r="B609" s="8" t="s">
        <v>1360</v>
      </c>
      <c r="C609" s="8" t="s">
        <v>53</v>
      </c>
      <c r="D609" s="8" t="s">
        <v>326</v>
      </c>
      <c r="E609" s="8" t="s">
        <v>132</v>
      </c>
      <c r="F609" s="8" t="s">
        <v>143</v>
      </c>
      <c r="G609" s="8" t="s">
        <v>144</v>
      </c>
      <c r="H609" s="15" t="n">
        <v>2850</v>
      </c>
      <c r="I609" s="15" t="n">
        <v>2300</v>
      </c>
      <c r="J609" s="16" t="n">
        <v>0.601</v>
      </c>
      <c r="K609" s="8" t="n">
        <v>8.3</v>
      </c>
      <c r="L609" s="8" t="n">
        <v>10</v>
      </c>
      <c r="M609" s="8" t="n">
        <v>5</v>
      </c>
      <c r="N609" s="8" t="s">
        <v>120</v>
      </c>
      <c r="O609" s="15" t="n">
        <f aca="false">H609*12</f>
        <v>34200</v>
      </c>
      <c r="P609" s="8" t="n">
        <f aca="false">MIN(100,ROUND(100*J609/Assumptions!$B$8,0))</f>
        <v>67</v>
      </c>
      <c r="Q609" s="8" t="n">
        <f aca="false">IF(L609="",Assumptions!$B$9,L609*10)</f>
        <v>100</v>
      </c>
      <c r="R609" s="8" t="n">
        <f aca="false">IF(M609&lt;=1,Assumptions!$B$12,IF(M609&lt;=3,Assumptions!$B$13,IF(M609&lt;=6,Assumptions!$B$14,Assumptions!$B$15)))</f>
        <v>50</v>
      </c>
      <c r="S609" s="8" t="n">
        <f aca="false">IF(N609="Completed On Time",Assumptions!$B$16,IF(N609="Completed Late",Assumptions!$B$17,Assumptions!$B$18))</f>
        <v>100</v>
      </c>
      <c r="T609" s="8" t="n">
        <f aca="false">IF(I609=0,Assumptions!$B$20,IF(H609&gt;I609,Assumptions!$B$19,IF(H609=I609,Assumptions!$B$20,Assumptions!$B$21)))</f>
        <v>100</v>
      </c>
      <c r="U609" s="8" t="n">
        <f aca="false">ROUND(P609*Assumptions!$B$2+Q609*Assumptions!$B$3+R609*Assumptions!$B$4+S609*Assumptions!$B$5+T609*Assumptions!$B$6,0)</f>
        <v>81</v>
      </c>
      <c r="V609" s="8" t="str">
        <f aca="false">IF(U609&gt;=Assumptions!$B$10,"Healthy",IF(U609&gt;=Assumptions!$B$11,"Needs Attention","High Risk"))</f>
        <v>Healthy</v>
      </c>
    </row>
    <row r="610" customFormat="false" ht="15" hidden="false" customHeight="false" outlineLevel="0" collapsed="false">
      <c r="A610" s="8" t="s">
        <v>1361</v>
      </c>
      <c r="B610" s="8" t="s">
        <v>1362</v>
      </c>
      <c r="C610" s="8" t="s">
        <v>53</v>
      </c>
      <c r="D610" s="8" t="s">
        <v>326</v>
      </c>
      <c r="E610" s="8" t="s">
        <v>123</v>
      </c>
      <c r="F610" s="8" t="s">
        <v>190</v>
      </c>
      <c r="G610" s="8" t="s">
        <v>204</v>
      </c>
      <c r="H610" s="15" t="n">
        <v>2850</v>
      </c>
      <c r="I610" s="15" t="n">
        <v>2850</v>
      </c>
      <c r="J610" s="16" t="n">
        <v>0.816</v>
      </c>
      <c r="K610" s="8" t="n">
        <v>11.7</v>
      </c>
      <c r="L610" s="8" t="n">
        <v>10</v>
      </c>
      <c r="M610" s="8" t="n">
        <v>0</v>
      </c>
      <c r="N610" s="8" t="s">
        <v>120</v>
      </c>
      <c r="O610" s="15" t="n">
        <f aca="false">H610*12</f>
        <v>34200</v>
      </c>
      <c r="P610" s="8" t="n">
        <f aca="false">MIN(100,ROUND(100*J610/Assumptions!$B$8,0))</f>
        <v>91</v>
      </c>
      <c r="Q610" s="8" t="n">
        <f aca="false">IF(L610="",Assumptions!$B$9,L610*10)</f>
        <v>100</v>
      </c>
      <c r="R610" s="8" t="n">
        <f aca="false">IF(M610&lt;=1,Assumptions!$B$12,IF(M610&lt;=3,Assumptions!$B$13,IF(M610&lt;=6,Assumptions!$B$14,Assumptions!$B$15)))</f>
        <v>100</v>
      </c>
      <c r="S610" s="8" t="n">
        <f aca="false">IF(N610="Completed On Time",Assumptions!$B$16,IF(N610="Completed Late",Assumptions!$B$17,Assumptions!$B$18))</f>
        <v>100</v>
      </c>
      <c r="T610" s="8" t="n">
        <f aca="false">IF(I610=0,Assumptions!$B$20,IF(H610&gt;I610,Assumptions!$B$19,IF(H610=I610,Assumptions!$B$20,Assumptions!$B$21)))</f>
        <v>70</v>
      </c>
      <c r="U610" s="8" t="n">
        <f aca="false">ROUND(P610*Assumptions!$B$2+Q610*Assumptions!$B$3+R610*Assumptions!$B$4+S610*Assumptions!$B$5+T610*Assumptions!$B$6,0)</f>
        <v>91</v>
      </c>
      <c r="V610" s="8" t="str">
        <f aca="false">IF(U610&gt;=Assumptions!$B$10,"Healthy",IF(U610&gt;=Assumptions!$B$11,"Needs Attention","High Risk"))</f>
        <v>Healthy</v>
      </c>
    </row>
    <row r="611" customFormat="false" ht="15" hidden="false" customHeight="false" outlineLevel="0" collapsed="false">
      <c r="A611" s="8" t="s">
        <v>1363</v>
      </c>
      <c r="B611" s="8" t="s">
        <v>1364</v>
      </c>
      <c r="C611" s="8" t="s">
        <v>53</v>
      </c>
      <c r="D611" s="8" t="s">
        <v>55</v>
      </c>
      <c r="E611" s="8" t="s">
        <v>132</v>
      </c>
      <c r="F611" s="8" t="s">
        <v>136</v>
      </c>
      <c r="G611" s="8" t="s">
        <v>129</v>
      </c>
      <c r="H611" s="15" t="n">
        <v>2835</v>
      </c>
      <c r="I611" s="15" t="n">
        <v>2835</v>
      </c>
      <c r="J611" s="16" t="n">
        <v>0.757</v>
      </c>
      <c r="K611" s="8" t="n">
        <v>7.7</v>
      </c>
      <c r="L611" s="8" t="n">
        <v>7</v>
      </c>
      <c r="M611" s="8" t="n">
        <v>0</v>
      </c>
      <c r="N611" s="8" t="s">
        <v>120</v>
      </c>
      <c r="O611" s="15" t="n">
        <f aca="false">H611*12</f>
        <v>34020</v>
      </c>
      <c r="P611" s="8" t="n">
        <f aca="false">MIN(100,ROUND(100*J611/Assumptions!$B$8,0))</f>
        <v>84</v>
      </c>
      <c r="Q611" s="8" t="n">
        <f aca="false">IF(L611="",Assumptions!$B$9,L611*10)</f>
        <v>70</v>
      </c>
      <c r="R611" s="8" t="n">
        <f aca="false">IF(M611&lt;=1,Assumptions!$B$12,IF(M611&lt;=3,Assumptions!$B$13,IF(M611&lt;=6,Assumptions!$B$14,Assumptions!$B$15)))</f>
        <v>100</v>
      </c>
      <c r="S611" s="8" t="n">
        <f aca="false">IF(N611="Completed On Time",Assumptions!$B$16,IF(N611="Completed Late",Assumptions!$B$17,Assumptions!$B$18))</f>
        <v>100</v>
      </c>
      <c r="T611" s="8" t="n">
        <f aca="false">IF(I611=0,Assumptions!$B$20,IF(H611&gt;I611,Assumptions!$B$19,IF(H611=I611,Assumptions!$B$20,Assumptions!$B$21)))</f>
        <v>70</v>
      </c>
      <c r="U611" s="8" t="n">
        <f aca="false">ROUND(P611*Assumptions!$B$2+Q611*Assumptions!$B$3+R611*Assumptions!$B$4+S611*Assumptions!$B$5+T611*Assumptions!$B$6,0)</f>
        <v>82</v>
      </c>
      <c r="V611" s="8" t="str">
        <f aca="false">IF(U611&gt;=Assumptions!$B$10,"Healthy",IF(U611&gt;=Assumptions!$B$11,"Needs Attention","High Risk"))</f>
        <v>Healthy</v>
      </c>
    </row>
    <row r="612" customFormat="false" ht="15" hidden="false" customHeight="false" outlineLevel="0" collapsed="false">
      <c r="A612" s="8" t="s">
        <v>1365</v>
      </c>
      <c r="B612" s="8" t="s">
        <v>1366</v>
      </c>
      <c r="C612" s="8" t="s">
        <v>53</v>
      </c>
      <c r="D612" s="8" t="s">
        <v>326</v>
      </c>
      <c r="E612" s="8" t="s">
        <v>117</v>
      </c>
      <c r="F612" s="8" t="s">
        <v>133</v>
      </c>
      <c r="G612" s="8" t="s">
        <v>185</v>
      </c>
      <c r="H612" s="15" t="n">
        <v>2825</v>
      </c>
      <c r="I612" s="15" t="n">
        <v>2825</v>
      </c>
      <c r="J612" s="16" t="n">
        <v>0.82</v>
      </c>
      <c r="K612" s="8" t="n">
        <v>9.7</v>
      </c>
      <c r="L612" s="8" t="n">
        <v>8</v>
      </c>
      <c r="M612" s="8" t="n">
        <v>1</v>
      </c>
      <c r="N612" s="8" t="s">
        <v>120</v>
      </c>
      <c r="O612" s="15" t="n">
        <f aca="false">H612*12</f>
        <v>33900</v>
      </c>
      <c r="P612" s="8" t="n">
        <f aca="false">MIN(100,ROUND(100*J612/Assumptions!$B$8,0))</f>
        <v>91</v>
      </c>
      <c r="Q612" s="8" t="n">
        <f aca="false">IF(L612="",Assumptions!$B$9,L612*10)</f>
        <v>80</v>
      </c>
      <c r="R612" s="8" t="n">
        <f aca="false">IF(M612&lt;=1,Assumptions!$B$12,IF(M612&lt;=3,Assumptions!$B$13,IF(M612&lt;=6,Assumptions!$B$14,Assumptions!$B$15)))</f>
        <v>100</v>
      </c>
      <c r="S612" s="8" t="n">
        <f aca="false">IF(N612="Completed On Time",Assumptions!$B$16,IF(N612="Completed Late",Assumptions!$B$17,Assumptions!$B$18))</f>
        <v>100</v>
      </c>
      <c r="T612" s="8" t="n">
        <f aca="false">IF(I612=0,Assumptions!$B$20,IF(H612&gt;I612,Assumptions!$B$19,IF(H612=I612,Assumptions!$B$20,Assumptions!$B$21)))</f>
        <v>70</v>
      </c>
      <c r="U612" s="8" t="n">
        <f aca="false">ROUND(P612*Assumptions!$B$2+Q612*Assumptions!$B$3+R612*Assumptions!$B$4+S612*Assumptions!$B$5+T612*Assumptions!$B$6,0)</f>
        <v>87</v>
      </c>
      <c r="V612" s="8" t="str">
        <f aca="false">IF(U612&gt;=Assumptions!$B$10,"Healthy",IF(U612&gt;=Assumptions!$B$11,"Needs Attention","High Risk"))</f>
        <v>Healthy</v>
      </c>
    </row>
    <row r="613" customFormat="false" ht="15" hidden="false" customHeight="false" outlineLevel="0" collapsed="false">
      <c r="A613" s="8" t="s">
        <v>1367</v>
      </c>
      <c r="B613" s="8" t="s">
        <v>1368</v>
      </c>
      <c r="C613" s="8" t="s">
        <v>53</v>
      </c>
      <c r="D613" s="8" t="s">
        <v>326</v>
      </c>
      <c r="E613" s="8" t="s">
        <v>132</v>
      </c>
      <c r="F613" s="8" t="s">
        <v>166</v>
      </c>
      <c r="G613" s="8" t="s">
        <v>180</v>
      </c>
      <c r="H613" s="15" t="n">
        <v>2800</v>
      </c>
      <c r="I613" s="15" t="n">
        <v>2800</v>
      </c>
      <c r="J613" s="16" t="n">
        <v>0.649</v>
      </c>
      <c r="K613" s="8" t="n">
        <v>6.3</v>
      </c>
      <c r="L613" s="8" t="n">
        <v>7</v>
      </c>
      <c r="M613" s="8" t="n">
        <v>2</v>
      </c>
      <c r="N613" s="8" t="s">
        <v>120</v>
      </c>
      <c r="O613" s="15" t="n">
        <f aca="false">H613*12</f>
        <v>33600</v>
      </c>
      <c r="P613" s="8" t="n">
        <f aca="false">MIN(100,ROUND(100*J613/Assumptions!$B$8,0))</f>
        <v>72</v>
      </c>
      <c r="Q613" s="8" t="n">
        <f aca="false">IF(L613="",Assumptions!$B$9,L613*10)</f>
        <v>70</v>
      </c>
      <c r="R613" s="8" t="n">
        <f aca="false">IF(M613&lt;=1,Assumptions!$B$12,IF(M613&lt;=3,Assumptions!$B$13,IF(M613&lt;=6,Assumptions!$B$14,Assumptions!$B$15)))</f>
        <v>75</v>
      </c>
      <c r="S613" s="8" t="n">
        <f aca="false">IF(N613="Completed On Time",Assumptions!$B$16,IF(N613="Completed Late",Assumptions!$B$17,Assumptions!$B$18))</f>
        <v>100</v>
      </c>
      <c r="T613" s="8" t="n">
        <f aca="false">IF(I613=0,Assumptions!$B$20,IF(H613&gt;I613,Assumptions!$B$19,IF(H613=I613,Assumptions!$B$20,Assumptions!$B$21)))</f>
        <v>70</v>
      </c>
      <c r="U613" s="8" t="n">
        <f aca="false">ROUND(P613*Assumptions!$B$2+Q613*Assumptions!$B$3+R613*Assumptions!$B$4+S613*Assumptions!$B$5+T613*Assumptions!$B$6,0)</f>
        <v>74</v>
      </c>
      <c r="V613" s="8" t="str">
        <f aca="false">IF(U613&gt;=Assumptions!$B$10,"Healthy",IF(U613&gt;=Assumptions!$B$11,"Needs Attention","High Risk"))</f>
        <v>Needs Attention</v>
      </c>
    </row>
    <row r="614" customFormat="false" ht="15" hidden="false" customHeight="false" outlineLevel="0" collapsed="false">
      <c r="A614" s="8" t="s">
        <v>1369</v>
      </c>
      <c r="B614" s="8" t="s">
        <v>1370</v>
      </c>
      <c r="C614" s="8" t="s">
        <v>53</v>
      </c>
      <c r="D614" s="8" t="s">
        <v>326</v>
      </c>
      <c r="E614" s="8" t="s">
        <v>123</v>
      </c>
      <c r="F614" s="8" t="s">
        <v>118</v>
      </c>
      <c r="G614" s="8" t="s">
        <v>129</v>
      </c>
      <c r="H614" s="15" t="n">
        <v>2800</v>
      </c>
      <c r="I614" s="15" t="n">
        <v>2800</v>
      </c>
      <c r="J614" s="16" t="n">
        <v>0.86</v>
      </c>
      <c r="K614" s="8" t="n">
        <v>8.7</v>
      </c>
      <c r="L614" s="8" t="n">
        <v>8</v>
      </c>
      <c r="M614" s="8" t="n">
        <v>0</v>
      </c>
      <c r="N614" s="8" t="s">
        <v>120</v>
      </c>
      <c r="O614" s="15" t="n">
        <f aca="false">H614*12</f>
        <v>33600</v>
      </c>
      <c r="P614" s="8" t="n">
        <f aca="false">MIN(100,ROUND(100*J614/Assumptions!$B$8,0))</f>
        <v>96</v>
      </c>
      <c r="Q614" s="8" t="n">
        <f aca="false">IF(L614="",Assumptions!$B$9,L614*10)</f>
        <v>80</v>
      </c>
      <c r="R614" s="8" t="n">
        <f aca="false">IF(M614&lt;=1,Assumptions!$B$12,IF(M614&lt;=3,Assumptions!$B$13,IF(M614&lt;=6,Assumptions!$B$14,Assumptions!$B$15)))</f>
        <v>100</v>
      </c>
      <c r="S614" s="8" t="n">
        <f aca="false">IF(N614="Completed On Time",Assumptions!$B$16,IF(N614="Completed Late",Assumptions!$B$17,Assumptions!$B$18))</f>
        <v>100</v>
      </c>
      <c r="T614" s="8" t="n">
        <f aca="false">IF(I614=0,Assumptions!$B$20,IF(H614&gt;I614,Assumptions!$B$19,IF(H614=I614,Assumptions!$B$20,Assumptions!$B$21)))</f>
        <v>70</v>
      </c>
      <c r="U614" s="8" t="n">
        <f aca="false">ROUND(P614*Assumptions!$B$2+Q614*Assumptions!$B$3+R614*Assumptions!$B$4+S614*Assumptions!$B$5+T614*Assumptions!$B$6,0)</f>
        <v>89</v>
      </c>
      <c r="V614" s="8" t="str">
        <f aca="false">IF(U614&gt;=Assumptions!$B$10,"Healthy",IF(U614&gt;=Assumptions!$B$11,"Needs Attention","High Risk"))</f>
        <v>Healthy</v>
      </c>
    </row>
    <row r="615" customFormat="false" ht="15" hidden="false" customHeight="false" outlineLevel="0" collapsed="false">
      <c r="A615" s="8" t="s">
        <v>1371</v>
      </c>
      <c r="B615" s="8" t="s">
        <v>1372</v>
      </c>
      <c r="C615" s="8" t="s">
        <v>53</v>
      </c>
      <c r="D615" s="8" t="s">
        <v>326</v>
      </c>
      <c r="E615" s="8" t="s">
        <v>123</v>
      </c>
      <c r="F615" s="8" t="s">
        <v>223</v>
      </c>
      <c r="G615" s="8" t="s">
        <v>140</v>
      </c>
      <c r="H615" s="15" t="n">
        <v>2775</v>
      </c>
      <c r="I615" s="15" t="n">
        <v>2775</v>
      </c>
      <c r="J615" s="16" t="n">
        <v>0.799</v>
      </c>
      <c r="K615" s="8" t="n">
        <v>7.7</v>
      </c>
      <c r="L615" s="8" t="n">
        <v>9</v>
      </c>
      <c r="M615" s="8" t="n">
        <v>3</v>
      </c>
      <c r="N615" s="8" t="s">
        <v>120</v>
      </c>
      <c r="O615" s="15" t="n">
        <f aca="false">H615*12</f>
        <v>33300</v>
      </c>
      <c r="P615" s="8" t="n">
        <f aca="false">MIN(100,ROUND(100*J615/Assumptions!$B$8,0))</f>
        <v>89</v>
      </c>
      <c r="Q615" s="8" t="n">
        <f aca="false">IF(L615="",Assumptions!$B$9,L615*10)</f>
        <v>90</v>
      </c>
      <c r="R615" s="8" t="n">
        <f aca="false">IF(M615&lt;=1,Assumptions!$B$12,IF(M615&lt;=3,Assumptions!$B$13,IF(M615&lt;=6,Assumptions!$B$14,Assumptions!$B$15)))</f>
        <v>75</v>
      </c>
      <c r="S615" s="8" t="n">
        <f aca="false">IF(N615="Completed On Time",Assumptions!$B$16,IF(N615="Completed Late",Assumptions!$B$17,Assumptions!$B$18))</f>
        <v>100</v>
      </c>
      <c r="T615" s="8" t="n">
        <f aca="false">IF(I615=0,Assumptions!$B$20,IF(H615&gt;I615,Assumptions!$B$19,IF(H615=I615,Assumptions!$B$20,Assumptions!$B$21)))</f>
        <v>70</v>
      </c>
      <c r="U615" s="8" t="n">
        <f aca="false">ROUND(P615*Assumptions!$B$2+Q615*Assumptions!$B$3+R615*Assumptions!$B$4+S615*Assumptions!$B$5+T615*Assumptions!$B$6,0)</f>
        <v>84</v>
      </c>
      <c r="V615" s="8" t="str">
        <f aca="false">IF(U615&gt;=Assumptions!$B$10,"Healthy",IF(U615&gt;=Assumptions!$B$11,"Needs Attention","High Risk"))</f>
        <v>Healthy</v>
      </c>
    </row>
    <row r="616" customFormat="false" ht="15" hidden="false" customHeight="false" outlineLevel="0" collapsed="false">
      <c r="A616" s="8" t="s">
        <v>1373</v>
      </c>
      <c r="B616" s="8" t="s">
        <v>1374</v>
      </c>
      <c r="C616" s="8" t="s">
        <v>53</v>
      </c>
      <c r="D616" s="8" t="s">
        <v>326</v>
      </c>
      <c r="E616" s="8" t="s">
        <v>132</v>
      </c>
      <c r="F616" s="8" t="s">
        <v>118</v>
      </c>
      <c r="G616" s="8" t="s">
        <v>119</v>
      </c>
      <c r="H616" s="15" t="n">
        <v>2775</v>
      </c>
      <c r="I616" s="15" t="n">
        <v>2775</v>
      </c>
      <c r="J616" s="16" t="n">
        <v>0.601</v>
      </c>
      <c r="K616" s="8" t="n">
        <v>5.3</v>
      </c>
      <c r="L616" s="8" t="n">
        <v>4</v>
      </c>
      <c r="M616" s="8" t="n">
        <v>2</v>
      </c>
      <c r="N616" s="8" t="s">
        <v>120</v>
      </c>
      <c r="O616" s="15" t="n">
        <f aca="false">H616*12</f>
        <v>33300</v>
      </c>
      <c r="P616" s="8" t="n">
        <f aca="false">MIN(100,ROUND(100*J616/Assumptions!$B$8,0))</f>
        <v>67</v>
      </c>
      <c r="Q616" s="8" t="n">
        <f aca="false">IF(L616="",Assumptions!$B$9,L616*10)</f>
        <v>40</v>
      </c>
      <c r="R616" s="8" t="n">
        <f aca="false">IF(M616&lt;=1,Assumptions!$B$12,IF(M616&lt;=3,Assumptions!$B$13,IF(M616&lt;=6,Assumptions!$B$14,Assumptions!$B$15)))</f>
        <v>75</v>
      </c>
      <c r="S616" s="8" t="n">
        <f aca="false">IF(N616="Completed On Time",Assumptions!$B$16,IF(N616="Completed Late",Assumptions!$B$17,Assumptions!$B$18))</f>
        <v>100</v>
      </c>
      <c r="T616" s="8" t="n">
        <f aca="false">IF(I616=0,Assumptions!$B$20,IF(H616&gt;I616,Assumptions!$B$19,IF(H616=I616,Assumptions!$B$20,Assumptions!$B$21)))</f>
        <v>70</v>
      </c>
      <c r="U616" s="8" t="n">
        <f aca="false">ROUND(P616*Assumptions!$B$2+Q616*Assumptions!$B$3+R616*Assumptions!$B$4+S616*Assumptions!$B$5+T616*Assumptions!$B$6,0)</f>
        <v>67</v>
      </c>
      <c r="V616" s="8" t="str">
        <f aca="false">IF(U616&gt;=Assumptions!$B$10,"Healthy",IF(U616&gt;=Assumptions!$B$11,"Needs Attention","High Risk"))</f>
        <v>Needs Attention</v>
      </c>
    </row>
    <row r="617" customFormat="false" ht="15" hidden="false" customHeight="false" outlineLevel="0" collapsed="false">
      <c r="A617" s="8" t="s">
        <v>1375</v>
      </c>
      <c r="B617" s="8" t="s">
        <v>1376</v>
      </c>
      <c r="C617" s="8" t="s">
        <v>53</v>
      </c>
      <c r="D617" s="8" t="s">
        <v>326</v>
      </c>
      <c r="E617" s="8" t="s">
        <v>132</v>
      </c>
      <c r="F617" s="8" t="s">
        <v>118</v>
      </c>
      <c r="G617" s="8" t="s">
        <v>140</v>
      </c>
      <c r="H617" s="15" t="n">
        <v>2775</v>
      </c>
      <c r="I617" s="15" t="n">
        <v>2775</v>
      </c>
      <c r="J617" s="16" t="n">
        <v>0.838</v>
      </c>
      <c r="K617" s="8" t="n">
        <v>10</v>
      </c>
      <c r="L617" s="8" t="n">
        <v>10</v>
      </c>
      <c r="M617" s="8" t="n">
        <v>5</v>
      </c>
      <c r="N617" s="8" t="s">
        <v>120</v>
      </c>
      <c r="O617" s="15" t="n">
        <f aca="false">H617*12</f>
        <v>33300</v>
      </c>
      <c r="P617" s="8" t="n">
        <f aca="false">MIN(100,ROUND(100*J617/Assumptions!$B$8,0))</f>
        <v>93</v>
      </c>
      <c r="Q617" s="8" t="n">
        <f aca="false">IF(L617="",Assumptions!$B$9,L617*10)</f>
        <v>100</v>
      </c>
      <c r="R617" s="8" t="n">
        <f aca="false">IF(M617&lt;=1,Assumptions!$B$12,IF(M617&lt;=3,Assumptions!$B$13,IF(M617&lt;=6,Assumptions!$B$14,Assumptions!$B$15)))</f>
        <v>50</v>
      </c>
      <c r="S617" s="8" t="n">
        <f aca="false">IF(N617="Completed On Time",Assumptions!$B$16,IF(N617="Completed Late",Assumptions!$B$17,Assumptions!$B$18))</f>
        <v>100</v>
      </c>
      <c r="T617" s="8" t="n">
        <f aca="false">IF(I617=0,Assumptions!$B$20,IF(H617&gt;I617,Assumptions!$B$19,IF(H617=I617,Assumptions!$B$20,Assumptions!$B$21)))</f>
        <v>70</v>
      </c>
      <c r="U617" s="8" t="n">
        <f aca="false">ROUND(P617*Assumptions!$B$2+Q617*Assumptions!$B$3+R617*Assumptions!$B$4+S617*Assumptions!$B$5+T617*Assumptions!$B$6,0)</f>
        <v>84</v>
      </c>
      <c r="V617" s="8" t="str">
        <f aca="false">IF(U617&gt;=Assumptions!$B$10,"Healthy",IF(U617&gt;=Assumptions!$B$11,"Needs Attention","High Risk"))</f>
        <v>Healthy</v>
      </c>
    </row>
    <row r="618" customFormat="false" ht="15" hidden="false" customHeight="false" outlineLevel="0" collapsed="false">
      <c r="A618" s="8" t="s">
        <v>1377</v>
      </c>
      <c r="B618" s="8" t="s">
        <v>1378</v>
      </c>
      <c r="C618" s="8" t="s">
        <v>53</v>
      </c>
      <c r="D618" s="8" t="s">
        <v>326</v>
      </c>
      <c r="E618" s="8" t="s">
        <v>132</v>
      </c>
      <c r="F618" s="8" t="s">
        <v>154</v>
      </c>
      <c r="G618" s="8" t="s">
        <v>137</v>
      </c>
      <c r="H618" s="15" t="n">
        <v>2750</v>
      </c>
      <c r="I618" s="15" t="n">
        <v>2750</v>
      </c>
      <c r="J618" s="16" t="n">
        <v>0.561</v>
      </c>
      <c r="K618" s="8" t="n">
        <v>5</v>
      </c>
      <c r="L618" s="8" t="n">
        <v>6</v>
      </c>
      <c r="M618" s="8" t="n">
        <v>6</v>
      </c>
      <c r="N618" s="8" t="s">
        <v>148</v>
      </c>
      <c r="O618" s="15" t="n">
        <f aca="false">H618*12</f>
        <v>33000</v>
      </c>
      <c r="P618" s="8" t="n">
        <f aca="false">MIN(100,ROUND(100*J618/Assumptions!$B$8,0))</f>
        <v>62</v>
      </c>
      <c r="Q618" s="8" t="n">
        <f aca="false">IF(L618="",Assumptions!$B$9,L618*10)</f>
        <v>60</v>
      </c>
      <c r="R618" s="8" t="n">
        <f aca="false">IF(M618&lt;=1,Assumptions!$B$12,IF(M618&lt;=3,Assumptions!$B$13,IF(M618&lt;=6,Assumptions!$B$14,Assumptions!$B$15)))</f>
        <v>50</v>
      </c>
      <c r="S618" s="8" t="n">
        <f aca="false">IF(N618="Completed On Time",Assumptions!$B$16,IF(N618="Completed Late",Assumptions!$B$17,Assumptions!$B$18))</f>
        <v>60</v>
      </c>
      <c r="T618" s="8" t="n">
        <f aca="false">IF(I618=0,Assumptions!$B$20,IF(H618&gt;I618,Assumptions!$B$19,IF(H618=I618,Assumptions!$B$20,Assumptions!$B$21)))</f>
        <v>70</v>
      </c>
      <c r="U618" s="8" t="n">
        <f aca="false">ROUND(P618*Assumptions!$B$2+Q618*Assumptions!$B$3+R618*Assumptions!$B$4+S618*Assumptions!$B$5+T618*Assumptions!$B$6,0)</f>
        <v>61</v>
      </c>
      <c r="V618" s="8" t="str">
        <f aca="false">IF(U618&gt;=Assumptions!$B$10,"Healthy",IF(U618&gt;=Assumptions!$B$11,"Needs Attention","High Risk"))</f>
        <v>High Risk</v>
      </c>
    </row>
    <row r="619" customFormat="false" ht="15" hidden="false" customHeight="false" outlineLevel="0" collapsed="false">
      <c r="A619" s="8" t="s">
        <v>1379</v>
      </c>
      <c r="B619" s="8" t="s">
        <v>1380</v>
      </c>
      <c r="C619" s="8" t="s">
        <v>53</v>
      </c>
      <c r="D619" s="8" t="s">
        <v>326</v>
      </c>
      <c r="E619" s="8" t="s">
        <v>132</v>
      </c>
      <c r="F619" s="8" t="s">
        <v>166</v>
      </c>
      <c r="G619" s="8" t="s">
        <v>144</v>
      </c>
      <c r="H619" s="15" t="n">
        <v>2750</v>
      </c>
      <c r="I619" s="15" t="n">
        <v>2750</v>
      </c>
      <c r="J619" s="16" t="n">
        <v>0.806</v>
      </c>
      <c r="K619" s="8" t="n">
        <v>10.3</v>
      </c>
      <c r="L619" s="8" t="n">
        <v>10</v>
      </c>
      <c r="M619" s="8" t="n">
        <v>2</v>
      </c>
      <c r="N619" s="8" t="s">
        <v>120</v>
      </c>
      <c r="O619" s="15" t="n">
        <f aca="false">H619*12</f>
        <v>33000</v>
      </c>
      <c r="P619" s="8" t="n">
        <f aca="false">MIN(100,ROUND(100*J619/Assumptions!$B$8,0))</f>
        <v>90</v>
      </c>
      <c r="Q619" s="8" t="n">
        <f aca="false">IF(L619="",Assumptions!$B$9,L619*10)</f>
        <v>100</v>
      </c>
      <c r="R619" s="8" t="n">
        <f aca="false">IF(M619&lt;=1,Assumptions!$B$12,IF(M619&lt;=3,Assumptions!$B$13,IF(M619&lt;=6,Assumptions!$B$14,Assumptions!$B$15)))</f>
        <v>75</v>
      </c>
      <c r="S619" s="8" t="n">
        <f aca="false">IF(N619="Completed On Time",Assumptions!$B$16,IF(N619="Completed Late",Assumptions!$B$17,Assumptions!$B$18))</f>
        <v>100</v>
      </c>
      <c r="T619" s="8" t="n">
        <f aca="false">IF(I619=0,Assumptions!$B$20,IF(H619&gt;I619,Assumptions!$B$19,IF(H619=I619,Assumptions!$B$20,Assumptions!$B$21)))</f>
        <v>70</v>
      </c>
      <c r="U619" s="8" t="n">
        <f aca="false">ROUND(P619*Assumptions!$B$2+Q619*Assumptions!$B$3+R619*Assumptions!$B$4+S619*Assumptions!$B$5+T619*Assumptions!$B$6,0)</f>
        <v>87</v>
      </c>
      <c r="V619" s="8" t="str">
        <f aca="false">IF(U619&gt;=Assumptions!$B$10,"Healthy",IF(U619&gt;=Assumptions!$B$11,"Needs Attention","High Risk"))</f>
        <v>Healthy</v>
      </c>
    </row>
    <row r="620" customFormat="false" ht="15" hidden="false" customHeight="false" outlineLevel="0" collapsed="false">
      <c r="A620" s="8" t="s">
        <v>1381</v>
      </c>
      <c r="B620" s="8" t="s">
        <v>1382</v>
      </c>
      <c r="C620" s="8" t="s">
        <v>53</v>
      </c>
      <c r="D620" s="8" t="s">
        <v>326</v>
      </c>
      <c r="E620" s="8" t="s">
        <v>132</v>
      </c>
      <c r="F620" s="8" t="s">
        <v>124</v>
      </c>
      <c r="G620" s="8" t="s">
        <v>144</v>
      </c>
      <c r="H620" s="15" t="n">
        <v>2725</v>
      </c>
      <c r="I620" s="15" t="n">
        <v>3575</v>
      </c>
      <c r="J620" s="16" t="n">
        <v>0.587</v>
      </c>
      <c r="K620" s="8" t="n">
        <v>7.3</v>
      </c>
      <c r="L620" s="8" t="n">
        <v>6</v>
      </c>
      <c r="M620" s="8" t="n">
        <v>3</v>
      </c>
      <c r="N620" s="8" t="s">
        <v>120</v>
      </c>
      <c r="O620" s="15" t="n">
        <f aca="false">H620*12</f>
        <v>32700</v>
      </c>
      <c r="P620" s="8" t="n">
        <f aca="false">MIN(100,ROUND(100*J620/Assumptions!$B$8,0))</f>
        <v>65</v>
      </c>
      <c r="Q620" s="8" t="n">
        <f aca="false">IF(L620="",Assumptions!$B$9,L620*10)</f>
        <v>60</v>
      </c>
      <c r="R620" s="8" t="n">
        <f aca="false">IF(M620&lt;=1,Assumptions!$B$12,IF(M620&lt;=3,Assumptions!$B$13,IF(M620&lt;=6,Assumptions!$B$14,Assumptions!$B$15)))</f>
        <v>75</v>
      </c>
      <c r="S620" s="8" t="n">
        <f aca="false">IF(N620="Completed On Time",Assumptions!$B$16,IF(N620="Completed Late",Assumptions!$B$17,Assumptions!$B$18))</f>
        <v>100</v>
      </c>
      <c r="T620" s="8" t="n">
        <f aca="false">IF(I620=0,Assumptions!$B$20,IF(H620&gt;I620,Assumptions!$B$19,IF(H620=I620,Assumptions!$B$20,Assumptions!$B$21)))</f>
        <v>30</v>
      </c>
      <c r="U620" s="8" t="n">
        <f aca="false">ROUND(P620*Assumptions!$B$2+Q620*Assumptions!$B$3+R620*Assumptions!$B$4+S620*Assumptions!$B$5+T620*Assumptions!$B$6,0)</f>
        <v>62</v>
      </c>
      <c r="V620" s="8" t="str">
        <f aca="false">IF(U620&gt;=Assumptions!$B$10,"Healthy",IF(U620&gt;=Assumptions!$B$11,"Needs Attention","High Risk"))</f>
        <v>High Risk</v>
      </c>
    </row>
    <row r="621" customFormat="false" ht="15" hidden="false" customHeight="false" outlineLevel="0" collapsed="false">
      <c r="A621" s="8" t="s">
        <v>1383</v>
      </c>
      <c r="B621" s="8" t="s">
        <v>1384</v>
      </c>
      <c r="C621" s="8" t="s">
        <v>53</v>
      </c>
      <c r="D621" s="8" t="s">
        <v>326</v>
      </c>
      <c r="E621" s="8" t="s">
        <v>132</v>
      </c>
      <c r="F621" s="8" t="s">
        <v>118</v>
      </c>
      <c r="G621" s="8" t="s">
        <v>140</v>
      </c>
      <c r="H621" s="15" t="n">
        <v>2725</v>
      </c>
      <c r="I621" s="15" t="n">
        <v>2725</v>
      </c>
      <c r="J621" s="16" t="n">
        <v>0.716</v>
      </c>
      <c r="K621" s="8" t="n">
        <v>10</v>
      </c>
      <c r="L621" s="8" t="n">
        <v>9</v>
      </c>
      <c r="M621" s="8" t="n">
        <v>1</v>
      </c>
      <c r="N621" s="8" t="s">
        <v>120</v>
      </c>
      <c r="O621" s="15" t="n">
        <f aca="false">H621*12</f>
        <v>32700</v>
      </c>
      <c r="P621" s="8" t="n">
        <f aca="false">MIN(100,ROUND(100*J621/Assumptions!$B$8,0))</f>
        <v>80</v>
      </c>
      <c r="Q621" s="8" t="n">
        <f aca="false">IF(L621="",Assumptions!$B$9,L621*10)</f>
        <v>90</v>
      </c>
      <c r="R621" s="8" t="n">
        <f aca="false">IF(M621&lt;=1,Assumptions!$B$12,IF(M621&lt;=3,Assumptions!$B$13,IF(M621&lt;=6,Assumptions!$B$14,Assumptions!$B$15)))</f>
        <v>100</v>
      </c>
      <c r="S621" s="8" t="n">
        <f aca="false">IF(N621="Completed On Time",Assumptions!$B$16,IF(N621="Completed Late",Assumptions!$B$17,Assumptions!$B$18))</f>
        <v>100</v>
      </c>
      <c r="T621" s="8" t="n">
        <f aca="false">IF(I621=0,Assumptions!$B$20,IF(H621&gt;I621,Assumptions!$B$19,IF(H621=I621,Assumptions!$B$20,Assumptions!$B$21)))</f>
        <v>70</v>
      </c>
      <c r="U621" s="8" t="n">
        <f aca="false">ROUND(P621*Assumptions!$B$2+Q621*Assumptions!$B$3+R621*Assumptions!$B$4+S621*Assumptions!$B$5+T621*Assumptions!$B$6,0)</f>
        <v>85</v>
      </c>
      <c r="V621" s="8" t="str">
        <f aca="false">IF(U621&gt;=Assumptions!$B$10,"Healthy",IF(U621&gt;=Assumptions!$B$11,"Needs Attention","High Risk"))</f>
        <v>Healthy</v>
      </c>
    </row>
    <row r="622" customFormat="false" ht="15" hidden="false" customHeight="false" outlineLevel="0" collapsed="false">
      <c r="A622" s="8" t="s">
        <v>1385</v>
      </c>
      <c r="B622" s="8" t="s">
        <v>1386</v>
      </c>
      <c r="C622" s="8" t="s">
        <v>53</v>
      </c>
      <c r="D622" s="8" t="s">
        <v>326</v>
      </c>
      <c r="E622" s="8" t="s">
        <v>132</v>
      </c>
      <c r="F622" s="8" t="s">
        <v>166</v>
      </c>
      <c r="G622" s="8" t="s">
        <v>185</v>
      </c>
      <c r="H622" s="15" t="n">
        <v>2725</v>
      </c>
      <c r="I622" s="15" t="n">
        <v>2725</v>
      </c>
      <c r="J622" s="16" t="n">
        <v>0.685</v>
      </c>
      <c r="K622" s="8" t="n">
        <v>6.3</v>
      </c>
      <c r="L622" s="8" t="n">
        <v>10</v>
      </c>
      <c r="M622" s="8" t="n">
        <v>6</v>
      </c>
      <c r="N622" s="8" t="s">
        <v>120</v>
      </c>
      <c r="O622" s="15" t="n">
        <f aca="false">H622*12</f>
        <v>32700</v>
      </c>
      <c r="P622" s="8" t="n">
        <f aca="false">MIN(100,ROUND(100*J622/Assumptions!$B$8,0))</f>
        <v>76</v>
      </c>
      <c r="Q622" s="8" t="n">
        <f aca="false">IF(L622="",Assumptions!$B$9,L622*10)</f>
        <v>100</v>
      </c>
      <c r="R622" s="8" t="n">
        <f aca="false">IF(M622&lt;=1,Assumptions!$B$12,IF(M622&lt;=3,Assumptions!$B$13,IF(M622&lt;=6,Assumptions!$B$14,Assumptions!$B$15)))</f>
        <v>50</v>
      </c>
      <c r="S622" s="8" t="n">
        <f aca="false">IF(N622="Completed On Time",Assumptions!$B$16,IF(N622="Completed Late",Assumptions!$B$17,Assumptions!$B$18))</f>
        <v>100</v>
      </c>
      <c r="T622" s="8" t="n">
        <f aca="false">IF(I622=0,Assumptions!$B$20,IF(H622&gt;I622,Assumptions!$B$19,IF(H622=I622,Assumptions!$B$20,Assumptions!$B$21)))</f>
        <v>70</v>
      </c>
      <c r="U622" s="8" t="n">
        <f aca="false">ROUND(P622*Assumptions!$B$2+Q622*Assumptions!$B$3+R622*Assumptions!$B$4+S622*Assumptions!$B$5+T622*Assumptions!$B$6,0)</f>
        <v>78</v>
      </c>
      <c r="V622" s="8" t="str">
        <f aca="false">IF(U622&gt;=Assumptions!$B$10,"Healthy",IF(U622&gt;=Assumptions!$B$11,"Needs Attention","High Risk"))</f>
        <v>Needs Attention</v>
      </c>
    </row>
    <row r="623" customFormat="false" ht="15" hidden="false" customHeight="false" outlineLevel="0" collapsed="false">
      <c r="A623" s="8" t="s">
        <v>1387</v>
      </c>
      <c r="B623" s="8" t="s">
        <v>1388</v>
      </c>
      <c r="C623" s="8" t="s">
        <v>53</v>
      </c>
      <c r="D623" s="8" t="s">
        <v>326</v>
      </c>
      <c r="E623" s="8" t="s">
        <v>132</v>
      </c>
      <c r="F623" s="8" t="s">
        <v>190</v>
      </c>
      <c r="G623" s="8" t="s">
        <v>147</v>
      </c>
      <c r="H623" s="15" t="n">
        <v>2700</v>
      </c>
      <c r="I623" s="15" t="n">
        <v>2700</v>
      </c>
      <c r="J623" s="16" t="n">
        <v>0.639</v>
      </c>
      <c r="K623" s="8" t="n">
        <v>7</v>
      </c>
      <c r="L623" s="8" t="n">
        <v>7</v>
      </c>
      <c r="M623" s="8" t="n">
        <v>5</v>
      </c>
      <c r="N623" s="8" t="s">
        <v>120</v>
      </c>
      <c r="O623" s="15" t="n">
        <f aca="false">H623*12</f>
        <v>32400</v>
      </c>
      <c r="P623" s="8" t="n">
        <f aca="false">MIN(100,ROUND(100*J623/Assumptions!$B$8,0))</f>
        <v>71</v>
      </c>
      <c r="Q623" s="8" t="n">
        <f aca="false">IF(L623="",Assumptions!$B$9,L623*10)</f>
        <v>70</v>
      </c>
      <c r="R623" s="8" t="n">
        <f aca="false">IF(M623&lt;=1,Assumptions!$B$12,IF(M623&lt;=3,Assumptions!$B$13,IF(M623&lt;=6,Assumptions!$B$14,Assumptions!$B$15)))</f>
        <v>50</v>
      </c>
      <c r="S623" s="8" t="n">
        <f aca="false">IF(N623="Completed On Time",Assumptions!$B$16,IF(N623="Completed Late",Assumptions!$B$17,Assumptions!$B$18))</f>
        <v>100</v>
      </c>
      <c r="T623" s="8" t="n">
        <f aca="false">IF(I623=0,Assumptions!$B$20,IF(H623&gt;I623,Assumptions!$B$19,IF(H623=I623,Assumptions!$B$20,Assumptions!$B$21)))</f>
        <v>70</v>
      </c>
      <c r="U623" s="8" t="n">
        <f aca="false">ROUND(P623*Assumptions!$B$2+Q623*Assumptions!$B$3+R623*Assumptions!$B$4+S623*Assumptions!$B$5+T623*Assumptions!$B$6,0)</f>
        <v>70</v>
      </c>
      <c r="V623" s="8" t="str">
        <f aca="false">IF(U623&gt;=Assumptions!$B$10,"Healthy",IF(U623&gt;=Assumptions!$B$11,"Needs Attention","High Risk"))</f>
        <v>Needs Attention</v>
      </c>
    </row>
    <row r="624" customFormat="false" ht="15" hidden="false" customHeight="false" outlineLevel="0" collapsed="false">
      <c r="A624" s="8" t="s">
        <v>1389</v>
      </c>
      <c r="B624" s="8" t="s">
        <v>1390</v>
      </c>
      <c r="C624" s="8" t="s">
        <v>53</v>
      </c>
      <c r="D624" s="8" t="s">
        <v>326</v>
      </c>
      <c r="E624" s="8" t="s">
        <v>123</v>
      </c>
      <c r="F624" s="8" t="s">
        <v>136</v>
      </c>
      <c r="G624" s="8" t="s">
        <v>180</v>
      </c>
      <c r="H624" s="15" t="n">
        <v>2700</v>
      </c>
      <c r="I624" s="15" t="n">
        <v>2700</v>
      </c>
      <c r="J624" s="16" t="n">
        <v>0.83</v>
      </c>
      <c r="K624" s="8" t="n">
        <v>9.3</v>
      </c>
      <c r="L624" s="8" t="n">
        <v>8</v>
      </c>
      <c r="M624" s="8" t="n">
        <v>1</v>
      </c>
      <c r="N624" s="8" t="s">
        <v>120</v>
      </c>
      <c r="O624" s="15" t="n">
        <f aca="false">H624*12</f>
        <v>32400</v>
      </c>
      <c r="P624" s="8" t="n">
        <f aca="false">MIN(100,ROUND(100*J624/Assumptions!$B$8,0))</f>
        <v>92</v>
      </c>
      <c r="Q624" s="8" t="n">
        <f aca="false">IF(L624="",Assumptions!$B$9,L624*10)</f>
        <v>80</v>
      </c>
      <c r="R624" s="8" t="n">
        <f aca="false">IF(M624&lt;=1,Assumptions!$B$12,IF(M624&lt;=3,Assumptions!$B$13,IF(M624&lt;=6,Assumptions!$B$14,Assumptions!$B$15)))</f>
        <v>100</v>
      </c>
      <c r="S624" s="8" t="n">
        <f aca="false">IF(N624="Completed On Time",Assumptions!$B$16,IF(N624="Completed Late",Assumptions!$B$17,Assumptions!$B$18))</f>
        <v>100</v>
      </c>
      <c r="T624" s="8" t="n">
        <f aca="false">IF(I624=0,Assumptions!$B$20,IF(H624&gt;I624,Assumptions!$B$19,IF(H624=I624,Assumptions!$B$20,Assumptions!$B$21)))</f>
        <v>70</v>
      </c>
      <c r="U624" s="8" t="n">
        <f aca="false">ROUND(P624*Assumptions!$B$2+Q624*Assumptions!$B$3+R624*Assumptions!$B$4+S624*Assumptions!$B$5+T624*Assumptions!$B$6,0)</f>
        <v>87</v>
      </c>
      <c r="V624" s="8" t="str">
        <f aca="false">IF(U624&gt;=Assumptions!$B$10,"Healthy",IF(U624&gt;=Assumptions!$B$11,"Needs Attention","High Risk"))</f>
        <v>Healthy</v>
      </c>
    </row>
    <row r="625" customFormat="false" ht="15" hidden="false" customHeight="false" outlineLevel="0" collapsed="false">
      <c r="A625" s="8" t="s">
        <v>1391</v>
      </c>
      <c r="B625" s="8" t="s">
        <v>1392</v>
      </c>
      <c r="C625" s="8" t="s">
        <v>53</v>
      </c>
      <c r="D625" s="8" t="s">
        <v>326</v>
      </c>
      <c r="E625" s="8" t="s">
        <v>132</v>
      </c>
      <c r="F625" s="8" t="s">
        <v>136</v>
      </c>
      <c r="G625" s="8" t="s">
        <v>204</v>
      </c>
      <c r="H625" s="15" t="n">
        <v>2700</v>
      </c>
      <c r="I625" s="15" t="n">
        <v>2700</v>
      </c>
      <c r="J625" s="16" t="n">
        <v>0.586</v>
      </c>
      <c r="K625" s="8" t="n">
        <v>7</v>
      </c>
      <c r="L625" s="8" t="n">
        <v>7</v>
      </c>
      <c r="M625" s="8" t="n">
        <v>4</v>
      </c>
      <c r="N625" s="8" t="s">
        <v>120</v>
      </c>
      <c r="O625" s="15" t="n">
        <f aca="false">H625*12</f>
        <v>32400</v>
      </c>
      <c r="P625" s="8" t="n">
        <f aca="false">MIN(100,ROUND(100*J625/Assumptions!$B$8,0))</f>
        <v>65</v>
      </c>
      <c r="Q625" s="8" t="n">
        <f aca="false">IF(L625="",Assumptions!$B$9,L625*10)</f>
        <v>70</v>
      </c>
      <c r="R625" s="8" t="n">
        <f aca="false">IF(M625&lt;=1,Assumptions!$B$12,IF(M625&lt;=3,Assumptions!$B$13,IF(M625&lt;=6,Assumptions!$B$14,Assumptions!$B$15)))</f>
        <v>50</v>
      </c>
      <c r="S625" s="8" t="n">
        <f aca="false">IF(N625="Completed On Time",Assumptions!$B$16,IF(N625="Completed Late",Assumptions!$B$17,Assumptions!$B$18))</f>
        <v>100</v>
      </c>
      <c r="T625" s="8" t="n">
        <f aca="false">IF(I625=0,Assumptions!$B$20,IF(H625&gt;I625,Assumptions!$B$19,IF(H625=I625,Assumptions!$B$20,Assumptions!$B$21)))</f>
        <v>70</v>
      </c>
      <c r="U625" s="8" t="n">
        <f aca="false">ROUND(P625*Assumptions!$B$2+Q625*Assumptions!$B$3+R625*Assumptions!$B$4+S625*Assumptions!$B$5+T625*Assumptions!$B$6,0)</f>
        <v>68</v>
      </c>
      <c r="V625" s="8" t="str">
        <f aca="false">IF(U625&gt;=Assumptions!$B$10,"Healthy",IF(U625&gt;=Assumptions!$B$11,"Needs Attention","High Risk"))</f>
        <v>Needs Attention</v>
      </c>
    </row>
    <row r="626" customFormat="false" ht="15" hidden="false" customHeight="false" outlineLevel="0" collapsed="false">
      <c r="A626" s="8" t="s">
        <v>1393</v>
      </c>
      <c r="B626" s="8" t="s">
        <v>1394</v>
      </c>
      <c r="C626" s="8" t="s">
        <v>53</v>
      </c>
      <c r="D626" s="8" t="s">
        <v>326</v>
      </c>
      <c r="E626" s="8" t="s">
        <v>123</v>
      </c>
      <c r="F626" s="8" t="s">
        <v>124</v>
      </c>
      <c r="G626" s="8" t="s">
        <v>119</v>
      </c>
      <c r="H626" s="15" t="n">
        <v>2700</v>
      </c>
      <c r="I626" s="15" t="n">
        <v>2700</v>
      </c>
      <c r="J626" s="16" t="n">
        <v>0.691</v>
      </c>
      <c r="K626" s="8" t="n">
        <v>9.7</v>
      </c>
      <c r="L626" s="8" t="n">
        <v>10</v>
      </c>
      <c r="M626" s="8" t="n">
        <v>1</v>
      </c>
      <c r="N626" s="8" t="s">
        <v>148</v>
      </c>
      <c r="O626" s="15" t="n">
        <f aca="false">H626*12</f>
        <v>32400</v>
      </c>
      <c r="P626" s="8" t="n">
        <f aca="false">MIN(100,ROUND(100*J626/Assumptions!$B$8,0))</f>
        <v>77</v>
      </c>
      <c r="Q626" s="8" t="n">
        <f aca="false">IF(L626="",Assumptions!$B$9,L626*10)</f>
        <v>100</v>
      </c>
      <c r="R626" s="8" t="n">
        <f aca="false">IF(M626&lt;=1,Assumptions!$B$12,IF(M626&lt;=3,Assumptions!$B$13,IF(M626&lt;=6,Assumptions!$B$14,Assumptions!$B$15)))</f>
        <v>100</v>
      </c>
      <c r="S626" s="8" t="n">
        <f aca="false">IF(N626="Completed On Time",Assumptions!$B$16,IF(N626="Completed Late",Assumptions!$B$17,Assumptions!$B$18))</f>
        <v>60</v>
      </c>
      <c r="T626" s="8" t="n">
        <f aca="false">IF(I626=0,Assumptions!$B$20,IF(H626&gt;I626,Assumptions!$B$19,IF(H626=I626,Assumptions!$B$20,Assumptions!$B$21)))</f>
        <v>70</v>
      </c>
      <c r="U626" s="8" t="n">
        <f aca="false">ROUND(P626*Assumptions!$B$2+Q626*Assumptions!$B$3+R626*Assumptions!$B$4+S626*Assumptions!$B$5+T626*Assumptions!$B$6,0)</f>
        <v>82</v>
      </c>
      <c r="V626" s="8" t="str">
        <f aca="false">IF(U626&gt;=Assumptions!$B$10,"Healthy",IF(U626&gt;=Assumptions!$B$11,"Needs Attention","High Risk"))</f>
        <v>Healthy</v>
      </c>
    </row>
    <row r="627" customFormat="false" ht="15" hidden="false" customHeight="false" outlineLevel="0" collapsed="false">
      <c r="A627" s="8" t="s">
        <v>1395</v>
      </c>
      <c r="B627" s="8" t="s">
        <v>1396</v>
      </c>
      <c r="C627" s="8" t="s">
        <v>53</v>
      </c>
      <c r="D627" s="8" t="s">
        <v>326</v>
      </c>
      <c r="E627" s="8" t="s">
        <v>132</v>
      </c>
      <c r="F627" s="8" t="s">
        <v>190</v>
      </c>
      <c r="G627" s="8" t="s">
        <v>185</v>
      </c>
      <c r="H627" s="15" t="n">
        <v>2675</v>
      </c>
      <c r="I627" s="15" t="n">
        <v>2675</v>
      </c>
      <c r="J627" s="16" t="n">
        <v>0.492</v>
      </c>
      <c r="K627" s="8" t="n">
        <v>5</v>
      </c>
      <c r="L627" s="8" t="n">
        <v>7</v>
      </c>
      <c r="M627" s="8" t="n">
        <v>3</v>
      </c>
      <c r="N627" s="8" t="s">
        <v>148</v>
      </c>
      <c r="O627" s="15" t="n">
        <f aca="false">H627*12</f>
        <v>32100</v>
      </c>
      <c r="P627" s="8" t="n">
        <f aca="false">MIN(100,ROUND(100*J627/Assumptions!$B$8,0))</f>
        <v>55</v>
      </c>
      <c r="Q627" s="8" t="n">
        <f aca="false">IF(L627="",Assumptions!$B$9,L627*10)</f>
        <v>70</v>
      </c>
      <c r="R627" s="8" t="n">
        <f aca="false">IF(M627&lt;=1,Assumptions!$B$12,IF(M627&lt;=3,Assumptions!$B$13,IF(M627&lt;=6,Assumptions!$B$14,Assumptions!$B$15)))</f>
        <v>75</v>
      </c>
      <c r="S627" s="8" t="n">
        <f aca="false">IF(N627="Completed On Time",Assumptions!$B$16,IF(N627="Completed Late",Assumptions!$B$17,Assumptions!$B$18))</f>
        <v>60</v>
      </c>
      <c r="T627" s="8" t="n">
        <f aca="false">IF(I627=0,Assumptions!$B$20,IF(H627&gt;I627,Assumptions!$B$19,IF(H627=I627,Assumptions!$B$20,Assumptions!$B$21)))</f>
        <v>70</v>
      </c>
      <c r="U627" s="8" t="n">
        <f aca="false">ROUND(P627*Assumptions!$B$2+Q627*Assumptions!$B$3+R627*Assumptions!$B$4+S627*Assumptions!$B$5+T627*Assumptions!$B$6,0)</f>
        <v>65</v>
      </c>
      <c r="V627" s="8" t="str">
        <f aca="false">IF(U627&gt;=Assumptions!$B$10,"Healthy",IF(U627&gt;=Assumptions!$B$11,"Needs Attention","High Risk"))</f>
        <v>Needs Attention</v>
      </c>
    </row>
    <row r="628" customFormat="false" ht="15" hidden="false" customHeight="false" outlineLevel="0" collapsed="false">
      <c r="A628" s="8" t="s">
        <v>1397</v>
      </c>
      <c r="B628" s="8" t="s">
        <v>1398</v>
      </c>
      <c r="C628" s="8" t="s">
        <v>53</v>
      </c>
      <c r="D628" s="8" t="s">
        <v>326</v>
      </c>
      <c r="E628" s="8" t="s">
        <v>123</v>
      </c>
      <c r="F628" s="8" t="s">
        <v>151</v>
      </c>
      <c r="G628" s="8" t="s">
        <v>147</v>
      </c>
      <c r="H628" s="15" t="n">
        <v>2675</v>
      </c>
      <c r="I628" s="15" t="n">
        <v>2675</v>
      </c>
      <c r="J628" s="16" t="n">
        <v>0.629</v>
      </c>
      <c r="K628" s="8" t="n">
        <v>6.3</v>
      </c>
      <c r="L628" s="8" t="n">
        <v>8</v>
      </c>
      <c r="M628" s="8" t="n">
        <v>7</v>
      </c>
      <c r="N628" s="8" t="s">
        <v>120</v>
      </c>
      <c r="O628" s="15" t="n">
        <f aca="false">H628*12</f>
        <v>32100</v>
      </c>
      <c r="P628" s="8" t="n">
        <f aca="false">MIN(100,ROUND(100*J628/Assumptions!$B$8,0))</f>
        <v>70</v>
      </c>
      <c r="Q628" s="8" t="n">
        <f aca="false">IF(L628="",Assumptions!$B$9,L628*10)</f>
        <v>80</v>
      </c>
      <c r="R628" s="8" t="n">
        <f aca="false">IF(M628&lt;=1,Assumptions!$B$12,IF(M628&lt;=3,Assumptions!$B$13,IF(M628&lt;=6,Assumptions!$B$14,Assumptions!$B$15)))</f>
        <v>20</v>
      </c>
      <c r="S628" s="8" t="n">
        <f aca="false">IF(N628="Completed On Time",Assumptions!$B$16,IF(N628="Completed Late",Assumptions!$B$17,Assumptions!$B$18))</f>
        <v>100</v>
      </c>
      <c r="T628" s="8" t="n">
        <f aca="false">IF(I628=0,Assumptions!$B$20,IF(H628&gt;I628,Assumptions!$B$19,IF(H628=I628,Assumptions!$B$20,Assumptions!$B$21)))</f>
        <v>70</v>
      </c>
      <c r="U628" s="8" t="n">
        <f aca="false">ROUND(P628*Assumptions!$B$2+Q628*Assumptions!$B$3+R628*Assumptions!$B$4+S628*Assumptions!$B$5+T628*Assumptions!$B$6,0)</f>
        <v>68</v>
      </c>
      <c r="V628" s="8" t="str">
        <f aca="false">IF(U628&gt;=Assumptions!$B$10,"Healthy",IF(U628&gt;=Assumptions!$B$11,"Needs Attention","High Risk"))</f>
        <v>Needs Attention</v>
      </c>
    </row>
    <row r="629" customFormat="false" ht="15" hidden="false" customHeight="false" outlineLevel="0" collapsed="false">
      <c r="A629" s="8" t="s">
        <v>1399</v>
      </c>
      <c r="B629" s="8" t="s">
        <v>1400</v>
      </c>
      <c r="C629" s="8" t="s">
        <v>53</v>
      </c>
      <c r="D629" s="8" t="s">
        <v>326</v>
      </c>
      <c r="E629" s="8" t="s">
        <v>132</v>
      </c>
      <c r="F629" s="8" t="s">
        <v>143</v>
      </c>
      <c r="G629" s="8" t="s">
        <v>140</v>
      </c>
      <c r="H629" s="15" t="n">
        <v>2650</v>
      </c>
      <c r="I629" s="15" t="n">
        <v>2650</v>
      </c>
      <c r="J629" s="16" t="n">
        <v>0.755</v>
      </c>
      <c r="K629" s="8" t="n">
        <v>9</v>
      </c>
      <c r="L629" s="8" t="n">
        <v>9</v>
      </c>
      <c r="M629" s="8" t="n">
        <v>2</v>
      </c>
      <c r="N629" s="8" t="s">
        <v>120</v>
      </c>
      <c r="O629" s="15" t="n">
        <f aca="false">H629*12</f>
        <v>31800</v>
      </c>
      <c r="P629" s="8" t="n">
        <f aca="false">MIN(100,ROUND(100*J629/Assumptions!$B$8,0))</f>
        <v>84</v>
      </c>
      <c r="Q629" s="8" t="n">
        <f aca="false">IF(L629="",Assumptions!$B$9,L629*10)</f>
        <v>90</v>
      </c>
      <c r="R629" s="8" t="n">
        <f aca="false">IF(M629&lt;=1,Assumptions!$B$12,IF(M629&lt;=3,Assumptions!$B$13,IF(M629&lt;=6,Assumptions!$B$14,Assumptions!$B$15)))</f>
        <v>75</v>
      </c>
      <c r="S629" s="8" t="n">
        <f aca="false">IF(N629="Completed On Time",Assumptions!$B$16,IF(N629="Completed Late",Assumptions!$B$17,Assumptions!$B$18))</f>
        <v>100</v>
      </c>
      <c r="T629" s="8" t="n">
        <f aca="false">IF(I629=0,Assumptions!$B$20,IF(H629&gt;I629,Assumptions!$B$19,IF(H629=I629,Assumptions!$B$20,Assumptions!$B$21)))</f>
        <v>70</v>
      </c>
      <c r="U629" s="8" t="n">
        <f aca="false">ROUND(P629*Assumptions!$B$2+Q629*Assumptions!$B$3+R629*Assumptions!$B$4+S629*Assumptions!$B$5+T629*Assumptions!$B$6,0)</f>
        <v>83</v>
      </c>
      <c r="V629" s="8" t="str">
        <f aca="false">IF(U629&gt;=Assumptions!$B$10,"Healthy",IF(U629&gt;=Assumptions!$B$11,"Needs Attention","High Risk"))</f>
        <v>Healthy</v>
      </c>
    </row>
    <row r="630" customFormat="false" ht="15" hidden="false" customHeight="false" outlineLevel="0" collapsed="false">
      <c r="A630" s="8" t="s">
        <v>1401</v>
      </c>
      <c r="B630" s="8" t="s">
        <v>1402</v>
      </c>
      <c r="C630" s="8" t="s">
        <v>53</v>
      </c>
      <c r="D630" s="8" t="s">
        <v>326</v>
      </c>
      <c r="E630" s="8" t="s">
        <v>117</v>
      </c>
      <c r="F630" s="8" t="s">
        <v>118</v>
      </c>
      <c r="G630" s="8" t="s">
        <v>159</v>
      </c>
      <c r="H630" s="15" t="n">
        <v>2650</v>
      </c>
      <c r="I630" s="15" t="n">
        <v>2650</v>
      </c>
      <c r="J630" s="16" t="n">
        <v>0.903</v>
      </c>
      <c r="K630" s="8" t="n">
        <v>12</v>
      </c>
      <c r="L630" s="8" t="n">
        <v>10</v>
      </c>
      <c r="M630" s="8" t="n">
        <v>0</v>
      </c>
      <c r="N630" s="8" t="s">
        <v>120</v>
      </c>
      <c r="O630" s="15" t="n">
        <f aca="false">H630*12</f>
        <v>31800</v>
      </c>
      <c r="P630" s="8" t="n">
        <f aca="false">MIN(100,ROUND(100*J630/Assumptions!$B$8,0))</f>
        <v>100</v>
      </c>
      <c r="Q630" s="8" t="n">
        <f aca="false">IF(L630="",Assumptions!$B$9,L630*10)</f>
        <v>100</v>
      </c>
      <c r="R630" s="8" t="n">
        <f aca="false">IF(M630&lt;=1,Assumptions!$B$12,IF(M630&lt;=3,Assumptions!$B$13,IF(M630&lt;=6,Assumptions!$B$14,Assumptions!$B$15)))</f>
        <v>100</v>
      </c>
      <c r="S630" s="8" t="n">
        <f aca="false">IF(N630="Completed On Time",Assumptions!$B$16,IF(N630="Completed Late",Assumptions!$B$17,Assumptions!$B$18))</f>
        <v>100</v>
      </c>
      <c r="T630" s="8" t="n">
        <f aca="false">IF(I630=0,Assumptions!$B$20,IF(H630&gt;I630,Assumptions!$B$19,IF(H630=I630,Assumptions!$B$20,Assumptions!$B$21)))</f>
        <v>70</v>
      </c>
      <c r="U630" s="8" t="n">
        <f aca="false">ROUND(P630*Assumptions!$B$2+Q630*Assumptions!$B$3+R630*Assumptions!$B$4+S630*Assumptions!$B$5+T630*Assumptions!$B$6,0)</f>
        <v>94</v>
      </c>
      <c r="V630" s="8" t="str">
        <f aca="false">IF(U630&gt;=Assumptions!$B$10,"Healthy",IF(U630&gt;=Assumptions!$B$11,"Needs Attention","High Risk"))</f>
        <v>Healthy</v>
      </c>
    </row>
    <row r="631" customFormat="false" ht="15" hidden="false" customHeight="false" outlineLevel="0" collapsed="false">
      <c r="A631" s="8" t="s">
        <v>1403</v>
      </c>
      <c r="B631" s="8" t="s">
        <v>1404</v>
      </c>
      <c r="C631" s="8" t="s">
        <v>53</v>
      </c>
      <c r="D631" s="8" t="s">
        <v>326</v>
      </c>
      <c r="E631" s="8" t="s">
        <v>117</v>
      </c>
      <c r="F631" s="8" t="s">
        <v>151</v>
      </c>
      <c r="G631" s="8" t="s">
        <v>159</v>
      </c>
      <c r="H631" s="15" t="n">
        <v>2650</v>
      </c>
      <c r="I631" s="15" t="n">
        <v>2650</v>
      </c>
      <c r="J631" s="16" t="n">
        <v>0.802</v>
      </c>
      <c r="K631" s="8" t="n">
        <v>10</v>
      </c>
      <c r="L631" s="8" t="n">
        <v>9</v>
      </c>
      <c r="M631" s="8" t="n">
        <v>5</v>
      </c>
      <c r="N631" s="8" t="s">
        <v>120</v>
      </c>
      <c r="O631" s="15" t="n">
        <f aca="false">H631*12</f>
        <v>31800</v>
      </c>
      <c r="P631" s="8" t="n">
        <f aca="false">MIN(100,ROUND(100*J631/Assumptions!$B$8,0))</f>
        <v>89</v>
      </c>
      <c r="Q631" s="8" t="n">
        <f aca="false">IF(L631="",Assumptions!$B$9,L631*10)</f>
        <v>90</v>
      </c>
      <c r="R631" s="8" t="n">
        <f aca="false">IF(M631&lt;=1,Assumptions!$B$12,IF(M631&lt;=3,Assumptions!$B$13,IF(M631&lt;=6,Assumptions!$B$14,Assumptions!$B$15)))</f>
        <v>50</v>
      </c>
      <c r="S631" s="8" t="n">
        <f aca="false">IF(N631="Completed On Time",Assumptions!$B$16,IF(N631="Completed Late",Assumptions!$B$17,Assumptions!$B$18))</f>
        <v>100</v>
      </c>
      <c r="T631" s="8" t="n">
        <f aca="false">IF(I631=0,Assumptions!$B$20,IF(H631&gt;I631,Assumptions!$B$19,IF(H631=I631,Assumptions!$B$20,Assumptions!$B$21)))</f>
        <v>70</v>
      </c>
      <c r="U631" s="8" t="n">
        <f aca="false">ROUND(P631*Assumptions!$B$2+Q631*Assumptions!$B$3+R631*Assumptions!$B$4+S631*Assumptions!$B$5+T631*Assumptions!$B$6,0)</f>
        <v>81</v>
      </c>
      <c r="V631" s="8" t="str">
        <f aca="false">IF(U631&gt;=Assumptions!$B$10,"Healthy",IF(U631&gt;=Assumptions!$B$11,"Needs Attention","High Risk"))</f>
        <v>Healthy</v>
      </c>
    </row>
    <row r="632" customFormat="false" ht="15" hidden="false" customHeight="false" outlineLevel="0" collapsed="false">
      <c r="A632" s="8" t="s">
        <v>1405</v>
      </c>
      <c r="B632" s="8" t="s">
        <v>1406</v>
      </c>
      <c r="C632" s="8" t="s">
        <v>53</v>
      </c>
      <c r="D632" s="8" t="s">
        <v>326</v>
      </c>
      <c r="E632" s="8" t="s">
        <v>123</v>
      </c>
      <c r="F632" s="8" t="s">
        <v>133</v>
      </c>
      <c r="G632" s="8" t="s">
        <v>159</v>
      </c>
      <c r="H632" s="15" t="n">
        <v>2650</v>
      </c>
      <c r="I632" s="15" t="n">
        <v>2650</v>
      </c>
      <c r="J632" s="16" t="n">
        <v>0.865</v>
      </c>
      <c r="K632" s="8" t="n">
        <v>11.3</v>
      </c>
      <c r="L632" s="8" t="n">
        <v>9</v>
      </c>
      <c r="M632" s="8" t="n">
        <v>0</v>
      </c>
      <c r="N632" s="8" t="s">
        <v>120</v>
      </c>
      <c r="O632" s="15" t="n">
        <f aca="false">H632*12</f>
        <v>31800</v>
      </c>
      <c r="P632" s="8" t="n">
        <f aca="false">MIN(100,ROUND(100*J632/Assumptions!$B$8,0))</f>
        <v>96</v>
      </c>
      <c r="Q632" s="8" t="n">
        <f aca="false">IF(L632="",Assumptions!$B$9,L632*10)</f>
        <v>90</v>
      </c>
      <c r="R632" s="8" t="n">
        <f aca="false">IF(M632&lt;=1,Assumptions!$B$12,IF(M632&lt;=3,Assumptions!$B$13,IF(M632&lt;=6,Assumptions!$B$14,Assumptions!$B$15)))</f>
        <v>100</v>
      </c>
      <c r="S632" s="8" t="n">
        <f aca="false">IF(N632="Completed On Time",Assumptions!$B$16,IF(N632="Completed Late",Assumptions!$B$17,Assumptions!$B$18))</f>
        <v>100</v>
      </c>
      <c r="T632" s="8" t="n">
        <f aca="false">IF(I632=0,Assumptions!$B$20,IF(H632&gt;I632,Assumptions!$B$19,IF(H632=I632,Assumptions!$B$20,Assumptions!$B$21)))</f>
        <v>70</v>
      </c>
      <c r="U632" s="8" t="n">
        <f aca="false">ROUND(P632*Assumptions!$B$2+Q632*Assumptions!$B$3+R632*Assumptions!$B$4+S632*Assumptions!$B$5+T632*Assumptions!$B$6,0)</f>
        <v>91</v>
      </c>
      <c r="V632" s="8" t="str">
        <f aca="false">IF(U632&gt;=Assumptions!$B$10,"Healthy",IF(U632&gt;=Assumptions!$B$11,"Needs Attention","High Risk"))</f>
        <v>Healthy</v>
      </c>
    </row>
    <row r="633" customFormat="false" ht="15" hidden="false" customHeight="false" outlineLevel="0" collapsed="false">
      <c r="A633" s="8" t="s">
        <v>1407</v>
      </c>
      <c r="B633" s="8" t="s">
        <v>1408</v>
      </c>
      <c r="C633" s="8" t="s">
        <v>53</v>
      </c>
      <c r="D633" s="8" t="s">
        <v>326</v>
      </c>
      <c r="E633" s="8" t="s">
        <v>123</v>
      </c>
      <c r="F633" s="8" t="s">
        <v>154</v>
      </c>
      <c r="G633" s="8" t="s">
        <v>137</v>
      </c>
      <c r="H633" s="15" t="n">
        <v>2625</v>
      </c>
      <c r="I633" s="15" t="n">
        <v>2625</v>
      </c>
      <c r="J633" s="16" t="n">
        <v>0.768</v>
      </c>
      <c r="K633" s="8" t="n">
        <v>9</v>
      </c>
      <c r="L633" s="8" t="n">
        <v>9</v>
      </c>
      <c r="M633" s="8" t="n">
        <v>2</v>
      </c>
      <c r="N633" s="8" t="s">
        <v>120</v>
      </c>
      <c r="O633" s="15" t="n">
        <f aca="false">H633*12</f>
        <v>31500</v>
      </c>
      <c r="P633" s="8" t="n">
        <f aca="false">MIN(100,ROUND(100*J633/Assumptions!$B$8,0))</f>
        <v>85</v>
      </c>
      <c r="Q633" s="8" t="n">
        <f aca="false">IF(L633="",Assumptions!$B$9,L633*10)</f>
        <v>90</v>
      </c>
      <c r="R633" s="8" t="n">
        <f aca="false">IF(M633&lt;=1,Assumptions!$B$12,IF(M633&lt;=3,Assumptions!$B$13,IF(M633&lt;=6,Assumptions!$B$14,Assumptions!$B$15)))</f>
        <v>75</v>
      </c>
      <c r="S633" s="8" t="n">
        <f aca="false">IF(N633="Completed On Time",Assumptions!$B$16,IF(N633="Completed Late",Assumptions!$B$17,Assumptions!$B$18))</f>
        <v>100</v>
      </c>
      <c r="T633" s="8" t="n">
        <f aca="false">IF(I633=0,Assumptions!$B$20,IF(H633&gt;I633,Assumptions!$B$19,IF(H633=I633,Assumptions!$B$20,Assumptions!$B$21)))</f>
        <v>70</v>
      </c>
      <c r="U633" s="8" t="n">
        <f aca="false">ROUND(P633*Assumptions!$B$2+Q633*Assumptions!$B$3+R633*Assumptions!$B$4+S633*Assumptions!$B$5+T633*Assumptions!$B$6,0)</f>
        <v>83</v>
      </c>
      <c r="V633" s="8" t="str">
        <f aca="false">IF(U633&gt;=Assumptions!$B$10,"Healthy",IF(U633&gt;=Assumptions!$B$11,"Needs Attention","High Risk"))</f>
        <v>Healthy</v>
      </c>
    </row>
    <row r="634" customFormat="false" ht="15" hidden="false" customHeight="false" outlineLevel="0" collapsed="false">
      <c r="A634" s="8" t="s">
        <v>1409</v>
      </c>
      <c r="B634" s="8" t="s">
        <v>1410</v>
      </c>
      <c r="C634" s="8" t="s">
        <v>53</v>
      </c>
      <c r="D634" s="8" t="s">
        <v>326</v>
      </c>
      <c r="E634" s="8" t="s">
        <v>117</v>
      </c>
      <c r="F634" s="8" t="s">
        <v>136</v>
      </c>
      <c r="G634" s="8" t="s">
        <v>177</v>
      </c>
      <c r="H634" s="15" t="n">
        <v>2600</v>
      </c>
      <c r="I634" s="15" t="n">
        <v>2600</v>
      </c>
      <c r="J634" s="16" t="n">
        <v>0.574</v>
      </c>
      <c r="K634" s="8" t="n">
        <v>6</v>
      </c>
      <c r="L634" s="8" t="n">
        <v>8</v>
      </c>
      <c r="M634" s="8" t="n">
        <v>7</v>
      </c>
      <c r="N634" s="8" t="s">
        <v>120</v>
      </c>
      <c r="O634" s="15" t="n">
        <f aca="false">H634*12</f>
        <v>31200</v>
      </c>
      <c r="P634" s="8" t="n">
        <f aca="false">MIN(100,ROUND(100*J634/Assumptions!$B$8,0))</f>
        <v>64</v>
      </c>
      <c r="Q634" s="8" t="n">
        <f aca="false">IF(L634="",Assumptions!$B$9,L634*10)</f>
        <v>80</v>
      </c>
      <c r="R634" s="8" t="n">
        <f aca="false">IF(M634&lt;=1,Assumptions!$B$12,IF(M634&lt;=3,Assumptions!$B$13,IF(M634&lt;=6,Assumptions!$B$14,Assumptions!$B$15)))</f>
        <v>20</v>
      </c>
      <c r="S634" s="8" t="n">
        <f aca="false">IF(N634="Completed On Time",Assumptions!$B$16,IF(N634="Completed Late",Assumptions!$B$17,Assumptions!$B$18))</f>
        <v>100</v>
      </c>
      <c r="T634" s="8" t="n">
        <f aca="false">IF(I634=0,Assumptions!$B$20,IF(H634&gt;I634,Assumptions!$B$19,IF(H634=I634,Assumptions!$B$20,Assumptions!$B$21)))</f>
        <v>70</v>
      </c>
      <c r="U634" s="8" t="n">
        <f aca="false">ROUND(P634*Assumptions!$B$2+Q634*Assumptions!$B$3+R634*Assumptions!$B$4+S634*Assumptions!$B$5+T634*Assumptions!$B$6,0)</f>
        <v>65</v>
      </c>
      <c r="V634" s="8" t="str">
        <f aca="false">IF(U634&gt;=Assumptions!$B$10,"Healthy",IF(U634&gt;=Assumptions!$B$11,"Needs Attention","High Risk"))</f>
        <v>Needs Attention</v>
      </c>
    </row>
    <row r="635" customFormat="false" ht="15" hidden="false" customHeight="false" outlineLevel="0" collapsed="false">
      <c r="A635" s="8" t="s">
        <v>1411</v>
      </c>
      <c r="B635" s="8" t="s">
        <v>1412</v>
      </c>
      <c r="C635" s="8" t="s">
        <v>53</v>
      </c>
      <c r="D635" s="8" t="s">
        <v>326</v>
      </c>
      <c r="E635" s="8" t="s">
        <v>123</v>
      </c>
      <c r="F635" s="8" t="s">
        <v>118</v>
      </c>
      <c r="G635" s="8" t="s">
        <v>147</v>
      </c>
      <c r="H635" s="15" t="n">
        <v>2575</v>
      </c>
      <c r="I635" s="15" t="n">
        <v>2575</v>
      </c>
      <c r="J635" s="16" t="n">
        <v>0.57</v>
      </c>
      <c r="K635" s="8" t="n">
        <v>5.3</v>
      </c>
      <c r="L635" s="8" t="n">
        <v>10</v>
      </c>
      <c r="M635" s="8" t="n">
        <v>3</v>
      </c>
      <c r="N635" s="8" t="s">
        <v>120</v>
      </c>
      <c r="O635" s="15" t="n">
        <f aca="false">H635*12</f>
        <v>30900</v>
      </c>
      <c r="P635" s="8" t="n">
        <f aca="false">MIN(100,ROUND(100*J635/Assumptions!$B$8,0))</f>
        <v>63</v>
      </c>
      <c r="Q635" s="8" t="n">
        <f aca="false">IF(L635="",Assumptions!$B$9,L635*10)</f>
        <v>100</v>
      </c>
      <c r="R635" s="8" t="n">
        <f aca="false">IF(M635&lt;=1,Assumptions!$B$12,IF(M635&lt;=3,Assumptions!$B$13,IF(M635&lt;=6,Assumptions!$B$14,Assumptions!$B$15)))</f>
        <v>75</v>
      </c>
      <c r="S635" s="8" t="n">
        <f aca="false">IF(N635="Completed On Time",Assumptions!$B$16,IF(N635="Completed Late",Assumptions!$B$17,Assumptions!$B$18))</f>
        <v>100</v>
      </c>
      <c r="T635" s="8" t="n">
        <f aca="false">IF(I635=0,Assumptions!$B$20,IF(H635&gt;I635,Assumptions!$B$19,IF(H635=I635,Assumptions!$B$20,Assumptions!$B$21)))</f>
        <v>70</v>
      </c>
      <c r="U635" s="8" t="n">
        <f aca="false">ROUND(P635*Assumptions!$B$2+Q635*Assumptions!$B$3+R635*Assumptions!$B$4+S635*Assumptions!$B$5+T635*Assumptions!$B$6,0)</f>
        <v>77</v>
      </c>
      <c r="V635" s="8" t="str">
        <f aca="false">IF(U635&gt;=Assumptions!$B$10,"Healthy",IF(U635&gt;=Assumptions!$B$11,"Needs Attention","High Risk"))</f>
        <v>Needs Attention</v>
      </c>
    </row>
    <row r="636" customFormat="false" ht="15" hidden="false" customHeight="false" outlineLevel="0" collapsed="false">
      <c r="A636" s="8" t="s">
        <v>1413</v>
      </c>
      <c r="B636" s="8" t="s">
        <v>1414</v>
      </c>
      <c r="C636" s="8" t="s">
        <v>53</v>
      </c>
      <c r="D636" s="8" t="s">
        <v>326</v>
      </c>
      <c r="E636" s="8" t="s">
        <v>123</v>
      </c>
      <c r="F636" s="8" t="s">
        <v>190</v>
      </c>
      <c r="G636" s="8" t="s">
        <v>177</v>
      </c>
      <c r="H636" s="15" t="n">
        <v>2575</v>
      </c>
      <c r="I636" s="15" t="n">
        <v>0</v>
      </c>
      <c r="J636" s="16" t="n">
        <v>0.437</v>
      </c>
      <c r="K636" s="8" t="n">
        <v>7.3</v>
      </c>
      <c r="L636" s="8"/>
      <c r="M636" s="8" t="n">
        <v>3</v>
      </c>
      <c r="N636" s="8" t="s">
        <v>148</v>
      </c>
      <c r="O636" s="15" t="n">
        <f aca="false">H636*12</f>
        <v>30900</v>
      </c>
      <c r="P636" s="8" t="n">
        <f aca="false">MIN(100,ROUND(100*J636/Assumptions!$B$8,0))</f>
        <v>49</v>
      </c>
      <c r="Q636" s="8" t="n">
        <f aca="false">IF(L636="",Assumptions!$B$9,L636*10)</f>
        <v>50</v>
      </c>
      <c r="R636" s="8" t="n">
        <f aca="false">IF(M636&lt;=1,Assumptions!$B$12,IF(M636&lt;=3,Assumptions!$B$13,IF(M636&lt;=6,Assumptions!$B$14,Assumptions!$B$15)))</f>
        <v>75</v>
      </c>
      <c r="S636" s="8" t="n">
        <f aca="false">IF(N636="Completed On Time",Assumptions!$B$16,IF(N636="Completed Late",Assumptions!$B$17,Assumptions!$B$18))</f>
        <v>60</v>
      </c>
      <c r="T636" s="8" t="n">
        <f aca="false">IF(I636=0,Assumptions!$B$20,IF(H636&gt;I636,Assumptions!$B$19,IF(H636=I636,Assumptions!$B$20,Assumptions!$B$21)))</f>
        <v>70</v>
      </c>
      <c r="U636" s="8" t="n">
        <f aca="false">ROUND(P636*Assumptions!$B$2+Q636*Assumptions!$B$3+R636*Assumptions!$B$4+S636*Assumptions!$B$5+T636*Assumptions!$B$6,0)</f>
        <v>58</v>
      </c>
      <c r="V636" s="8" t="str">
        <f aca="false">IF(U636&gt;=Assumptions!$B$10,"Healthy",IF(U636&gt;=Assumptions!$B$11,"Needs Attention","High Risk"))</f>
        <v>High Risk</v>
      </c>
    </row>
    <row r="637" customFormat="false" ht="15" hidden="false" customHeight="false" outlineLevel="0" collapsed="false">
      <c r="A637" s="8" t="s">
        <v>1415</v>
      </c>
      <c r="B637" s="8" t="s">
        <v>1416</v>
      </c>
      <c r="C637" s="8" t="s">
        <v>53</v>
      </c>
      <c r="D637" s="8" t="s">
        <v>326</v>
      </c>
      <c r="E637" s="8" t="s">
        <v>123</v>
      </c>
      <c r="F637" s="8" t="s">
        <v>133</v>
      </c>
      <c r="G637" s="8" t="s">
        <v>204</v>
      </c>
      <c r="H637" s="15" t="n">
        <v>2575</v>
      </c>
      <c r="I637" s="15" t="n">
        <v>2575</v>
      </c>
      <c r="J637" s="16" t="n">
        <v>0.731</v>
      </c>
      <c r="K637" s="8" t="n">
        <v>7.3</v>
      </c>
      <c r="L637" s="8" t="n">
        <v>5</v>
      </c>
      <c r="M637" s="8" t="n">
        <v>4</v>
      </c>
      <c r="N637" s="8" t="s">
        <v>120</v>
      </c>
      <c r="O637" s="15" t="n">
        <f aca="false">H637*12</f>
        <v>30900</v>
      </c>
      <c r="P637" s="8" t="n">
        <f aca="false">MIN(100,ROUND(100*J637/Assumptions!$B$8,0))</f>
        <v>81</v>
      </c>
      <c r="Q637" s="8" t="n">
        <f aca="false">IF(L637="",Assumptions!$B$9,L637*10)</f>
        <v>50</v>
      </c>
      <c r="R637" s="8" t="n">
        <f aca="false">IF(M637&lt;=1,Assumptions!$B$12,IF(M637&lt;=3,Assumptions!$B$13,IF(M637&lt;=6,Assumptions!$B$14,Assumptions!$B$15)))</f>
        <v>50</v>
      </c>
      <c r="S637" s="8" t="n">
        <f aca="false">IF(N637="Completed On Time",Assumptions!$B$16,IF(N637="Completed Late",Assumptions!$B$17,Assumptions!$B$18))</f>
        <v>100</v>
      </c>
      <c r="T637" s="8" t="n">
        <f aca="false">IF(I637=0,Assumptions!$B$20,IF(H637&gt;I637,Assumptions!$B$19,IF(H637=I637,Assumptions!$B$20,Assumptions!$B$21)))</f>
        <v>70</v>
      </c>
      <c r="U637" s="8" t="n">
        <f aca="false">ROUND(P637*Assumptions!$B$2+Q637*Assumptions!$B$3+R637*Assumptions!$B$4+S637*Assumptions!$B$5+T637*Assumptions!$B$6,0)</f>
        <v>70</v>
      </c>
      <c r="V637" s="8" t="str">
        <f aca="false">IF(U637&gt;=Assumptions!$B$10,"Healthy",IF(U637&gt;=Assumptions!$B$11,"Needs Attention","High Risk"))</f>
        <v>Needs Attention</v>
      </c>
    </row>
    <row r="638" customFormat="false" ht="15" hidden="false" customHeight="false" outlineLevel="0" collapsed="false">
      <c r="A638" s="8" t="s">
        <v>1417</v>
      </c>
      <c r="B638" s="8" t="s">
        <v>1418</v>
      </c>
      <c r="C638" s="8" t="s">
        <v>53</v>
      </c>
      <c r="D638" s="8" t="s">
        <v>55</v>
      </c>
      <c r="E638" s="8" t="s">
        <v>132</v>
      </c>
      <c r="F638" s="8" t="s">
        <v>190</v>
      </c>
      <c r="G638" s="8" t="s">
        <v>159</v>
      </c>
      <c r="H638" s="15" t="n">
        <v>2565</v>
      </c>
      <c r="I638" s="15" t="n">
        <v>2565</v>
      </c>
      <c r="J638" s="16" t="n">
        <v>0.76</v>
      </c>
      <c r="K638" s="8" t="n">
        <v>9.3</v>
      </c>
      <c r="L638" s="8" t="n">
        <v>8</v>
      </c>
      <c r="M638" s="8" t="n">
        <v>1</v>
      </c>
      <c r="N638" s="8" t="s">
        <v>120</v>
      </c>
      <c r="O638" s="15" t="n">
        <f aca="false">H638*12</f>
        <v>30780</v>
      </c>
      <c r="P638" s="8" t="n">
        <f aca="false">MIN(100,ROUND(100*J638/Assumptions!$B$8,0))</f>
        <v>84</v>
      </c>
      <c r="Q638" s="8" t="n">
        <f aca="false">IF(L638="",Assumptions!$B$9,L638*10)</f>
        <v>80</v>
      </c>
      <c r="R638" s="8" t="n">
        <f aca="false">IF(M638&lt;=1,Assumptions!$B$12,IF(M638&lt;=3,Assumptions!$B$13,IF(M638&lt;=6,Assumptions!$B$14,Assumptions!$B$15)))</f>
        <v>100</v>
      </c>
      <c r="S638" s="8" t="n">
        <f aca="false">IF(N638="Completed On Time",Assumptions!$B$16,IF(N638="Completed Late",Assumptions!$B$17,Assumptions!$B$18))</f>
        <v>100</v>
      </c>
      <c r="T638" s="8" t="n">
        <f aca="false">IF(I638=0,Assumptions!$B$20,IF(H638&gt;I638,Assumptions!$B$19,IF(H638=I638,Assumptions!$B$20,Assumptions!$B$21)))</f>
        <v>70</v>
      </c>
      <c r="U638" s="8" t="n">
        <f aca="false">ROUND(P638*Assumptions!$B$2+Q638*Assumptions!$B$3+R638*Assumptions!$B$4+S638*Assumptions!$B$5+T638*Assumptions!$B$6,0)</f>
        <v>84</v>
      </c>
      <c r="V638" s="8" t="str">
        <f aca="false">IF(U638&gt;=Assumptions!$B$10,"Healthy",IF(U638&gt;=Assumptions!$B$11,"Needs Attention","High Risk"))</f>
        <v>Healthy</v>
      </c>
    </row>
    <row r="639" customFormat="false" ht="15" hidden="false" customHeight="false" outlineLevel="0" collapsed="false">
      <c r="A639" s="8" t="s">
        <v>1419</v>
      </c>
      <c r="B639" s="8" t="s">
        <v>1420</v>
      </c>
      <c r="C639" s="8" t="s">
        <v>53</v>
      </c>
      <c r="D639" s="8" t="s">
        <v>326</v>
      </c>
      <c r="E639" s="8" t="s">
        <v>117</v>
      </c>
      <c r="F639" s="8" t="s">
        <v>124</v>
      </c>
      <c r="G639" s="8" t="s">
        <v>185</v>
      </c>
      <c r="H639" s="15" t="n">
        <v>2550</v>
      </c>
      <c r="I639" s="15" t="n">
        <v>2550</v>
      </c>
      <c r="J639" s="16" t="n">
        <v>0.892</v>
      </c>
      <c r="K639" s="8" t="n">
        <v>9.7</v>
      </c>
      <c r="L639" s="8" t="n">
        <v>9</v>
      </c>
      <c r="M639" s="8" t="n">
        <v>5</v>
      </c>
      <c r="N639" s="8" t="s">
        <v>120</v>
      </c>
      <c r="O639" s="15" t="n">
        <f aca="false">H639*12</f>
        <v>30600</v>
      </c>
      <c r="P639" s="8" t="n">
        <f aca="false">MIN(100,ROUND(100*J639/Assumptions!$B$8,0))</f>
        <v>99</v>
      </c>
      <c r="Q639" s="8" t="n">
        <f aca="false">IF(L639="",Assumptions!$B$9,L639*10)</f>
        <v>90</v>
      </c>
      <c r="R639" s="8" t="n">
        <f aca="false">IF(M639&lt;=1,Assumptions!$B$12,IF(M639&lt;=3,Assumptions!$B$13,IF(M639&lt;=6,Assumptions!$B$14,Assumptions!$B$15)))</f>
        <v>50</v>
      </c>
      <c r="S639" s="8" t="n">
        <f aca="false">IF(N639="Completed On Time",Assumptions!$B$16,IF(N639="Completed Late",Assumptions!$B$17,Assumptions!$B$18))</f>
        <v>100</v>
      </c>
      <c r="T639" s="8" t="n">
        <f aca="false">IF(I639=0,Assumptions!$B$20,IF(H639&gt;I639,Assumptions!$B$19,IF(H639=I639,Assumptions!$B$20,Assumptions!$B$21)))</f>
        <v>70</v>
      </c>
      <c r="U639" s="8" t="n">
        <f aca="false">ROUND(P639*Assumptions!$B$2+Q639*Assumptions!$B$3+R639*Assumptions!$B$4+S639*Assumptions!$B$5+T639*Assumptions!$B$6,0)</f>
        <v>84</v>
      </c>
      <c r="V639" s="8" t="str">
        <f aca="false">IF(U639&gt;=Assumptions!$B$10,"Healthy",IF(U639&gt;=Assumptions!$B$11,"Needs Attention","High Risk"))</f>
        <v>Healthy</v>
      </c>
    </row>
    <row r="640" customFormat="false" ht="15" hidden="false" customHeight="false" outlineLevel="0" collapsed="false">
      <c r="A640" s="8" t="s">
        <v>1421</v>
      </c>
      <c r="B640" s="8" t="s">
        <v>1422</v>
      </c>
      <c r="C640" s="8" t="s">
        <v>53</v>
      </c>
      <c r="D640" s="8" t="s">
        <v>326</v>
      </c>
      <c r="E640" s="8" t="s">
        <v>123</v>
      </c>
      <c r="F640" s="8" t="s">
        <v>190</v>
      </c>
      <c r="G640" s="8" t="s">
        <v>119</v>
      </c>
      <c r="H640" s="15" t="n">
        <v>2525</v>
      </c>
      <c r="I640" s="15" t="n">
        <v>2525</v>
      </c>
      <c r="J640" s="16" t="n">
        <v>0.891</v>
      </c>
      <c r="K640" s="8" t="n">
        <v>10.7</v>
      </c>
      <c r="L640" s="8" t="n">
        <v>10</v>
      </c>
      <c r="M640" s="8" t="n">
        <v>1</v>
      </c>
      <c r="N640" s="8" t="s">
        <v>120</v>
      </c>
      <c r="O640" s="15" t="n">
        <f aca="false">H640*12</f>
        <v>30300</v>
      </c>
      <c r="P640" s="8" t="n">
        <f aca="false">MIN(100,ROUND(100*J640/Assumptions!$B$8,0))</f>
        <v>99</v>
      </c>
      <c r="Q640" s="8" t="n">
        <f aca="false">IF(L640="",Assumptions!$B$9,L640*10)</f>
        <v>100</v>
      </c>
      <c r="R640" s="8" t="n">
        <f aca="false">IF(M640&lt;=1,Assumptions!$B$12,IF(M640&lt;=3,Assumptions!$B$13,IF(M640&lt;=6,Assumptions!$B$14,Assumptions!$B$15)))</f>
        <v>100</v>
      </c>
      <c r="S640" s="8" t="n">
        <f aca="false">IF(N640="Completed On Time",Assumptions!$B$16,IF(N640="Completed Late",Assumptions!$B$17,Assumptions!$B$18))</f>
        <v>100</v>
      </c>
      <c r="T640" s="8" t="n">
        <f aca="false">IF(I640=0,Assumptions!$B$20,IF(H640&gt;I640,Assumptions!$B$19,IF(H640=I640,Assumptions!$B$20,Assumptions!$B$21)))</f>
        <v>70</v>
      </c>
      <c r="U640" s="8" t="n">
        <f aca="false">ROUND(P640*Assumptions!$B$2+Q640*Assumptions!$B$3+R640*Assumptions!$B$4+S640*Assumptions!$B$5+T640*Assumptions!$B$6,0)</f>
        <v>94</v>
      </c>
      <c r="V640" s="8" t="str">
        <f aca="false">IF(U640&gt;=Assumptions!$B$10,"Healthy",IF(U640&gt;=Assumptions!$B$11,"Needs Attention","High Risk"))</f>
        <v>Healthy</v>
      </c>
    </row>
    <row r="641" customFormat="false" ht="15" hidden="false" customHeight="false" outlineLevel="0" collapsed="false">
      <c r="A641" s="8" t="s">
        <v>1423</v>
      </c>
      <c r="B641" s="8" t="s">
        <v>1424</v>
      </c>
      <c r="C641" s="8" t="s">
        <v>53</v>
      </c>
      <c r="D641" s="8" t="s">
        <v>326</v>
      </c>
      <c r="E641" s="8" t="s">
        <v>123</v>
      </c>
      <c r="F641" s="8" t="s">
        <v>143</v>
      </c>
      <c r="G641" s="8" t="s">
        <v>159</v>
      </c>
      <c r="H641" s="15" t="n">
        <v>2525</v>
      </c>
      <c r="I641" s="15" t="n">
        <v>2525</v>
      </c>
      <c r="J641" s="16" t="n">
        <v>0.842</v>
      </c>
      <c r="K641" s="8" t="n">
        <v>9.3</v>
      </c>
      <c r="L641" s="8" t="n">
        <v>6</v>
      </c>
      <c r="M641" s="8" t="n">
        <v>1</v>
      </c>
      <c r="N641" s="8" t="s">
        <v>120</v>
      </c>
      <c r="O641" s="15" t="n">
        <f aca="false">H641*12</f>
        <v>30300</v>
      </c>
      <c r="P641" s="8" t="n">
        <f aca="false">MIN(100,ROUND(100*J641/Assumptions!$B$8,0))</f>
        <v>94</v>
      </c>
      <c r="Q641" s="8" t="n">
        <f aca="false">IF(L641="",Assumptions!$B$9,L641*10)</f>
        <v>60</v>
      </c>
      <c r="R641" s="8" t="n">
        <f aca="false">IF(M641&lt;=1,Assumptions!$B$12,IF(M641&lt;=3,Assumptions!$B$13,IF(M641&lt;=6,Assumptions!$B$14,Assumptions!$B$15)))</f>
        <v>100</v>
      </c>
      <c r="S641" s="8" t="n">
        <f aca="false">IF(N641="Completed On Time",Assumptions!$B$16,IF(N641="Completed Late",Assumptions!$B$17,Assumptions!$B$18))</f>
        <v>100</v>
      </c>
      <c r="T641" s="8" t="n">
        <f aca="false">IF(I641=0,Assumptions!$B$20,IF(H641&gt;I641,Assumptions!$B$19,IF(H641=I641,Assumptions!$B$20,Assumptions!$B$21)))</f>
        <v>70</v>
      </c>
      <c r="U641" s="8" t="n">
        <f aca="false">ROUND(P641*Assumptions!$B$2+Q641*Assumptions!$B$3+R641*Assumptions!$B$4+S641*Assumptions!$B$5+T641*Assumptions!$B$6,0)</f>
        <v>84</v>
      </c>
      <c r="V641" s="8" t="str">
        <f aca="false">IF(U641&gt;=Assumptions!$B$10,"Healthy",IF(U641&gt;=Assumptions!$B$11,"Needs Attention","High Risk"))</f>
        <v>Healthy</v>
      </c>
    </row>
    <row r="642" customFormat="false" ht="15" hidden="false" customHeight="false" outlineLevel="0" collapsed="false">
      <c r="A642" s="8" t="s">
        <v>1425</v>
      </c>
      <c r="B642" s="8" t="s">
        <v>1426</v>
      </c>
      <c r="C642" s="8" t="s">
        <v>53</v>
      </c>
      <c r="D642" s="8" t="s">
        <v>326</v>
      </c>
      <c r="E642" s="8" t="s">
        <v>132</v>
      </c>
      <c r="F642" s="8" t="s">
        <v>190</v>
      </c>
      <c r="G642" s="8" t="s">
        <v>137</v>
      </c>
      <c r="H642" s="15" t="n">
        <v>2525</v>
      </c>
      <c r="I642" s="15" t="n">
        <v>2525</v>
      </c>
      <c r="J642" s="16" t="n">
        <v>0.614</v>
      </c>
      <c r="K642" s="8" t="n">
        <v>7.3</v>
      </c>
      <c r="L642" s="8" t="n">
        <v>8</v>
      </c>
      <c r="M642" s="8" t="n">
        <v>4</v>
      </c>
      <c r="N642" s="8" t="s">
        <v>120</v>
      </c>
      <c r="O642" s="15" t="n">
        <f aca="false">H642*12</f>
        <v>30300</v>
      </c>
      <c r="P642" s="8" t="n">
        <f aca="false">MIN(100,ROUND(100*J642/Assumptions!$B$8,0))</f>
        <v>68</v>
      </c>
      <c r="Q642" s="8" t="n">
        <f aca="false">IF(L642="",Assumptions!$B$9,L642*10)</f>
        <v>80</v>
      </c>
      <c r="R642" s="8" t="n">
        <f aca="false">IF(M642&lt;=1,Assumptions!$B$12,IF(M642&lt;=3,Assumptions!$B$13,IF(M642&lt;=6,Assumptions!$B$14,Assumptions!$B$15)))</f>
        <v>50</v>
      </c>
      <c r="S642" s="8" t="n">
        <f aca="false">IF(N642="Completed On Time",Assumptions!$B$16,IF(N642="Completed Late",Assumptions!$B$17,Assumptions!$B$18))</f>
        <v>100</v>
      </c>
      <c r="T642" s="8" t="n">
        <f aca="false">IF(I642=0,Assumptions!$B$20,IF(H642&gt;I642,Assumptions!$B$19,IF(H642=I642,Assumptions!$B$20,Assumptions!$B$21)))</f>
        <v>70</v>
      </c>
      <c r="U642" s="8" t="n">
        <f aca="false">ROUND(P642*Assumptions!$B$2+Q642*Assumptions!$B$3+R642*Assumptions!$B$4+S642*Assumptions!$B$5+T642*Assumptions!$B$6,0)</f>
        <v>71</v>
      </c>
      <c r="V642" s="8" t="str">
        <f aca="false">IF(U642&gt;=Assumptions!$B$10,"Healthy",IF(U642&gt;=Assumptions!$B$11,"Needs Attention","High Risk"))</f>
        <v>Needs Attention</v>
      </c>
    </row>
    <row r="643" customFormat="false" ht="15" hidden="false" customHeight="false" outlineLevel="0" collapsed="false">
      <c r="A643" s="8" t="s">
        <v>1427</v>
      </c>
      <c r="B643" s="8" t="s">
        <v>1428</v>
      </c>
      <c r="C643" s="8" t="s">
        <v>53</v>
      </c>
      <c r="D643" s="8" t="s">
        <v>326</v>
      </c>
      <c r="E643" s="8" t="s">
        <v>117</v>
      </c>
      <c r="F643" s="8" t="s">
        <v>166</v>
      </c>
      <c r="G643" s="8" t="s">
        <v>204</v>
      </c>
      <c r="H643" s="15" t="n">
        <v>2525</v>
      </c>
      <c r="I643" s="15" t="n">
        <v>2525</v>
      </c>
      <c r="J643" s="16" t="n">
        <v>0.64</v>
      </c>
      <c r="K643" s="8" t="n">
        <v>8</v>
      </c>
      <c r="L643" s="8" t="n">
        <v>5</v>
      </c>
      <c r="M643" s="8" t="n">
        <v>2</v>
      </c>
      <c r="N643" s="8" t="s">
        <v>148</v>
      </c>
      <c r="O643" s="15" t="n">
        <f aca="false">H643*12</f>
        <v>30300</v>
      </c>
      <c r="P643" s="8" t="n">
        <f aca="false">MIN(100,ROUND(100*J643/Assumptions!$B$8,0))</f>
        <v>71</v>
      </c>
      <c r="Q643" s="8" t="n">
        <f aca="false">IF(L643="",Assumptions!$B$9,L643*10)</f>
        <v>50</v>
      </c>
      <c r="R643" s="8" t="n">
        <f aca="false">IF(M643&lt;=1,Assumptions!$B$12,IF(M643&lt;=3,Assumptions!$B$13,IF(M643&lt;=6,Assumptions!$B$14,Assumptions!$B$15)))</f>
        <v>75</v>
      </c>
      <c r="S643" s="8" t="n">
        <f aca="false">IF(N643="Completed On Time",Assumptions!$B$16,IF(N643="Completed Late",Assumptions!$B$17,Assumptions!$B$18))</f>
        <v>60</v>
      </c>
      <c r="T643" s="8" t="n">
        <f aca="false">IF(I643=0,Assumptions!$B$20,IF(H643&gt;I643,Assumptions!$B$19,IF(H643=I643,Assumptions!$B$20,Assumptions!$B$21)))</f>
        <v>70</v>
      </c>
      <c r="U643" s="8" t="n">
        <f aca="false">ROUND(P643*Assumptions!$B$2+Q643*Assumptions!$B$3+R643*Assumptions!$B$4+S643*Assumptions!$B$5+T643*Assumptions!$B$6,0)</f>
        <v>66</v>
      </c>
      <c r="V643" s="8" t="str">
        <f aca="false">IF(U643&gt;=Assumptions!$B$10,"Healthy",IF(U643&gt;=Assumptions!$B$11,"Needs Attention","High Risk"))</f>
        <v>Needs Attention</v>
      </c>
    </row>
    <row r="644" customFormat="false" ht="15" hidden="false" customHeight="false" outlineLevel="0" collapsed="false">
      <c r="A644" s="8" t="s">
        <v>1429</v>
      </c>
      <c r="B644" s="8" t="s">
        <v>1430</v>
      </c>
      <c r="C644" s="8" t="s">
        <v>53</v>
      </c>
      <c r="D644" s="8" t="s">
        <v>55</v>
      </c>
      <c r="E644" s="8" t="s">
        <v>123</v>
      </c>
      <c r="F644" s="8" t="s">
        <v>136</v>
      </c>
      <c r="G644" s="8" t="s">
        <v>140</v>
      </c>
      <c r="H644" s="15" t="n">
        <v>2520</v>
      </c>
      <c r="I644" s="15" t="n">
        <v>2520</v>
      </c>
      <c r="J644" s="16" t="n">
        <v>0.815</v>
      </c>
      <c r="K644" s="8" t="n">
        <v>9</v>
      </c>
      <c r="L644" s="8" t="n">
        <v>9</v>
      </c>
      <c r="M644" s="8" t="n">
        <v>4</v>
      </c>
      <c r="N644" s="8" t="s">
        <v>120</v>
      </c>
      <c r="O644" s="15" t="n">
        <f aca="false">H644*12</f>
        <v>30240</v>
      </c>
      <c r="P644" s="8" t="n">
        <f aca="false">MIN(100,ROUND(100*J644/Assumptions!$B$8,0))</f>
        <v>91</v>
      </c>
      <c r="Q644" s="8" t="n">
        <f aca="false">IF(L644="",Assumptions!$B$9,L644*10)</f>
        <v>90</v>
      </c>
      <c r="R644" s="8" t="n">
        <f aca="false">IF(M644&lt;=1,Assumptions!$B$12,IF(M644&lt;=3,Assumptions!$B$13,IF(M644&lt;=6,Assumptions!$B$14,Assumptions!$B$15)))</f>
        <v>50</v>
      </c>
      <c r="S644" s="8" t="n">
        <f aca="false">IF(N644="Completed On Time",Assumptions!$B$16,IF(N644="Completed Late",Assumptions!$B$17,Assumptions!$B$18))</f>
        <v>100</v>
      </c>
      <c r="T644" s="8" t="n">
        <f aca="false">IF(I644=0,Assumptions!$B$20,IF(H644&gt;I644,Assumptions!$B$19,IF(H644=I644,Assumptions!$B$20,Assumptions!$B$21)))</f>
        <v>70</v>
      </c>
      <c r="U644" s="8" t="n">
        <f aca="false">ROUND(P644*Assumptions!$B$2+Q644*Assumptions!$B$3+R644*Assumptions!$B$4+S644*Assumptions!$B$5+T644*Assumptions!$B$6,0)</f>
        <v>81</v>
      </c>
      <c r="V644" s="8" t="str">
        <f aca="false">IF(U644&gt;=Assumptions!$B$10,"Healthy",IF(U644&gt;=Assumptions!$B$11,"Needs Attention","High Risk"))</f>
        <v>Healthy</v>
      </c>
    </row>
    <row r="645" customFormat="false" ht="15" hidden="false" customHeight="false" outlineLevel="0" collapsed="false">
      <c r="A645" s="8" t="s">
        <v>1431</v>
      </c>
      <c r="B645" s="8" t="s">
        <v>1432</v>
      </c>
      <c r="C645" s="8" t="s">
        <v>53</v>
      </c>
      <c r="D645" s="8" t="s">
        <v>326</v>
      </c>
      <c r="E645" s="8" t="s">
        <v>123</v>
      </c>
      <c r="F645" s="8" t="s">
        <v>133</v>
      </c>
      <c r="G645" s="8" t="s">
        <v>129</v>
      </c>
      <c r="H645" s="15" t="n">
        <v>2500</v>
      </c>
      <c r="I645" s="15" t="n">
        <v>2500</v>
      </c>
      <c r="J645" s="16" t="n">
        <v>0.693</v>
      </c>
      <c r="K645" s="8" t="n">
        <v>7.3</v>
      </c>
      <c r="L645" s="8" t="n">
        <v>9</v>
      </c>
      <c r="M645" s="8" t="n">
        <v>0</v>
      </c>
      <c r="N645" s="8" t="s">
        <v>120</v>
      </c>
      <c r="O645" s="15" t="n">
        <f aca="false">H645*12</f>
        <v>30000</v>
      </c>
      <c r="P645" s="8" t="n">
        <f aca="false">MIN(100,ROUND(100*J645/Assumptions!$B$8,0))</f>
        <v>77</v>
      </c>
      <c r="Q645" s="8" t="n">
        <f aca="false">IF(L645="",Assumptions!$B$9,L645*10)</f>
        <v>90</v>
      </c>
      <c r="R645" s="8" t="n">
        <f aca="false">IF(M645&lt;=1,Assumptions!$B$12,IF(M645&lt;=3,Assumptions!$B$13,IF(M645&lt;=6,Assumptions!$B$14,Assumptions!$B$15)))</f>
        <v>100</v>
      </c>
      <c r="S645" s="8" t="n">
        <f aca="false">IF(N645="Completed On Time",Assumptions!$B$16,IF(N645="Completed Late",Assumptions!$B$17,Assumptions!$B$18))</f>
        <v>100</v>
      </c>
      <c r="T645" s="8" t="n">
        <f aca="false">IF(I645=0,Assumptions!$B$20,IF(H645&gt;I645,Assumptions!$B$19,IF(H645=I645,Assumptions!$B$20,Assumptions!$B$21)))</f>
        <v>70</v>
      </c>
      <c r="U645" s="8" t="n">
        <f aca="false">ROUND(P645*Assumptions!$B$2+Q645*Assumptions!$B$3+R645*Assumptions!$B$4+S645*Assumptions!$B$5+T645*Assumptions!$B$6,0)</f>
        <v>84</v>
      </c>
      <c r="V645" s="8" t="str">
        <f aca="false">IF(U645&gt;=Assumptions!$B$10,"Healthy",IF(U645&gt;=Assumptions!$B$11,"Needs Attention","High Risk"))</f>
        <v>Healthy</v>
      </c>
    </row>
    <row r="646" customFormat="false" ht="15" hidden="false" customHeight="false" outlineLevel="0" collapsed="false">
      <c r="A646" s="8" t="s">
        <v>1433</v>
      </c>
      <c r="B646" s="8" t="s">
        <v>1434</v>
      </c>
      <c r="C646" s="8" t="s">
        <v>53</v>
      </c>
      <c r="D646" s="8" t="s">
        <v>55</v>
      </c>
      <c r="E646" s="8" t="s">
        <v>117</v>
      </c>
      <c r="F646" s="8" t="s">
        <v>151</v>
      </c>
      <c r="G646" s="8" t="s">
        <v>185</v>
      </c>
      <c r="H646" s="15" t="n">
        <v>2475</v>
      </c>
      <c r="I646" s="15" t="n">
        <v>2475</v>
      </c>
      <c r="J646" s="16" t="n">
        <v>0.77</v>
      </c>
      <c r="K646" s="8" t="n">
        <v>7.7</v>
      </c>
      <c r="L646" s="8" t="n">
        <v>7</v>
      </c>
      <c r="M646" s="8" t="n">
        <v>2</v>
      </c>
      <c r="N646" s="8" t="s">
        <v>120</v>
      </c>
      <c r="O646" s="15" t="n">
        <f aca="false">H646*12</f>
        <v>29700</v>
      </c>
      <c r="P646" s="8" t="n">
        <f aca="false">MIN(100,ROUND(100*J646/Assumptions!$B$8,0))</f>
        <v>86</v>
      </c>
      <c r="Q646" s="8" t="n">
        <f aca="false">IF(L646="",Assumptions!$B$9,L646*10)</f>
        <v>70</v>
      </c>
      <c r="R646" s="8" t="n">
        <f aca="false">IF(M646&lt;=1,Assumptions!$B$12,IF(M646&lt;=3,Assumptions!$B$13,IF(M646&lt;=6,Assumptions!$B$14,Assumptions!$B$15)))</f>
        <v>75</v>
      </c>
      <c r="S646" s="8" t="n">
        <f aca="false">IF(N646="Completed On Time",Assumptions!$B$16,IF(N646="Completed Late",Assumptions!$B$17,Assumptions!$B$18))</f>
        <v>100</v>
      </c>
      <c r="T646" s="8" t="n">
        <f aca="false">IF(I646=0,Assumptions!$B$20,IF(H646&gt;I646,Assumptions!$B$19,IF(H646=I646,Assumptions!$B$20,Assumptions!$B$21)))</f>
        <v>70</v>
      </c>
      <c r="U646" s="8" t="n">
        <f aca="false">ROUND(P646*Assumptions!$B$2+Q646*Assumptions!$B$3+R646*Assumptions!$B$4+S646*Assumptions!$B$5+T646*Assumptions!$B$6,0)</f>
        <v>79</v>
      </c>
      <c r="V646" s="8" t="str">
        <f aca="false">IF(U646&gt;=Assumptions!$B$10,"Healthy",IF(U646&gt;=Assumptions!$B$11,"Needs Attention","High Risk"))</f>
        <v>Needs Attention</v>
      </c>
    </row>
    <row r="647" customFormat="false" ht="15" hidden="false" customHeight="false" outlineLevel="0" collapsed="false">
      <c r="A647" s="8" t="s">
        <v>1435</v>
      </c>
      <c r="B647" s="8" t="s">
        <v>1436</v>
      </c>
      <c r="C647" s="8" t="s">
        <v>53</v>
      </c>
      <c r="D647" s="8" t="s">
        <v>326</v>
      </c>
      <c r="E647" s="8" t="s">
        <v>132</v>
      </c>
      <c r="F647" s="8" t="s">
        <v>143</v>
      </c>
      <c r="G647" s="8" t="s">
        <v>140</v>
      </c>
      <c r="H647" s="15" t="n">
        <v>2475</v>
      </c>
      <c r="I647" s="15" t="n">
        <v>2475</v>
      </c>
      <c r="J647" s="16" t="n">
        <v>0.781</v>
      </c>
      <c r="K647" s="8" t="n">
        <v>10.3</v>
      </c>
      <c r="L647" s="8" t="n">
        <v>9</v>
      </c>
      <c r="M647" s="8" t="n">
        <v>3</v>
      </c>
      <c r="N647" s="8" t="s">
        <v>120</v>
      </c>
      <c r="O647" s="15" t="n">
        <f aca="false">H647*12</f>
        <v>29700</v>
      </c>
      <c r="P647" s="8" t="n">
        <f aca="false">MIN(100,ROUND(100*J647/Assumptions!$B$8,0))</f>
        <v>87</v>
      </c>
      <c r="Q647" s="8" t="n">
        <f aca="false">IF(L647="",Assumptions!$B$9,L647*10)</f>
        <v>90</v>
      </c>
      <c r="R647" s="8" t="n">
        <f aca="false">IF(M647&lt;=1,Assumptions!$B$12,IF(M647&lt;=3,Assumptions!$B$13,IF(M647&lt;=6,Assumptions!$B$14,Assumptions!$B$15)))</f>
        <v>75</v>
      </c>
      <c r="S647" s="8" t="n">
        <f aca="false">IF(N647="Completed On Time",Assumptions!$B$16,IF(N647="Completed Late",Assumptions!$B$17,Assumptions!$B$18))</f>
        <v>100</v>
      </c>
      <c r="T647" s="8" t="n">
        <f aca="false">IF(I647=0,Assumptions!$B$20,IF(H647&gt;I647,Assumptions!$B$19,IF(H647=I647,Assumptions!$B$20,Assumptions!$B$21)))</f>
        <v>70</v>
      </c>
      <c r="U647" s="8" t="n">
        <f aca="false">ROUND(P647*Assumptions!$B$2+Q647*Assumptions!$B$3+R647*Assumptions!$B$4+S647*Assumptions!$B$5+T647*Assumptions!$B$6,0)</f>
        <v>84</v>
      </c>
      <c r="V647" s="8" t="str">
        <f aca="false">IF(U647&gt;=Assumptions!$B$10,"Healthy",IF(U647&gt;=Assumptions!$B$11,"Needs Attention","High Risk"))</f>
        <v>Healthy</v>
      </c>
    </row>
    <row r="648" customFormat="false" ht="15" hidden="false" customHeight="false" outlineLevel="0" collapsed="false">
      <c r="A648" s="8" t="s">
        <v>1437</v>
      </c>
      <c r="B648" s="8" t="s">
        <v>1438</v>
      </c>
      <c r="C648" s="8" t="s">
        <v>53</v>
      </c>
      <c r="D648" s="8" t="s">
        <v>326</v>
      </c>
      <c r="E648" s="8" t="s">
        <v>132</v>
      </c>
      <c r="F648" s="8" t="s">
        <v>143</v>
      </c>
      <c r="G648" s="8" t="s">
        <v>125</v>
      </c>
      <c r="H648" s="15" t="n">
        <v>2450</v>
      </c>
      <c r="I648" s="15" t="n">
        <v>2450</v>
      </c>
      <c r="J648" s="16" t="n">
        <v>0.823</v>
      </c>
      <c r="K648" s="8" t="n">
        <v>8.3</v>
      </c>
      <c r="L648" s="8" t="n">
        <v>5</v>
      </c>
      <c r="M648" s="8" t="n">
        <v>3</v>
      </c>
      <c r="N648" s="8" t="s">
        <v>120</v>
      </c>
      <c r="O648" s="15" t="n">
        <f aca="false">H648*12</f>
        <v>29400</v>
      </c>
      <c r="P648" s="8" t="n">
        <f aca="false">MIN(100,ROUND(100*J648/Assumptions!$B$8,0))</f>
        <v>91</v>
      </c>
      <c r="Q648" s="8" t="n">
        <f aca="false">IF(L648="",Assumptions!$B$9,L648*10)</f>
        <v>50</v>
      </c>
      <c r="R648" s="8" t="n">
        <f aca="false">IF(M648&lt;=1,Assumptions!$B$12,IF(M648&lt;=3,Assumptions!$B$13,IF(M648&lt;=6,Assumptions!$B$14,Assumptions!$B$15)))</f>
        <v>75</v>
      </c>
      <c r="S648" s="8" t="n">
        <f aca="false">IF(N648="Completed On Time",Assumptions!$B$16,IF(N648="Completed Late",Assumptions!$B$17,Assumptions!$B$18))</f>
        <v>100</v>
      </c>
      <c r="T648" s="8" t="n">
        <f aca="false">IF(I648=0,Assumptions!$B$20,IF(H648&gt;I648,Assumptions!$B$19,IF(H648=I648,Assumptions!$B$20,Assumptions!$B$21)))</f>
        <v>70</v>
      </c>
      <c r="U648" s="8" t="n">
        <f aca="false">ROUND(P648*Assumptions!$B$2+Q648*Assumptions!$B$3+R648*Assumptions!$B$4+S648*Assumptions!$B$5+T648*Assumptions!$B$6,0)</f>
        <v>77</v>
      </c>
      <c r="V648" s="8" t="str">
        <f aca="false">IF(U648&gt;=Assumptions!$B$10,"Healthy",IF(U648&gt;=Assumptions!$B$11,"Needs Attention","High Risk"))</f>
        <v>Needs Attention</v>
      </c>
    </row>
    <row r="649" customFormat="false" ht="15" hidden="false" customHeight="false" outlineLevel="0" collapsed="false">
      <c r="A649" s="8" t="s">
        <v>1439</v>
      </c>
      <c r="B649" s="8" t="s">
        <v>1440</v>
      </c>
      <c r="C649" s="8" t="s">
        <v>53</v>
      </c>
      <c r="D649" s="8" t="s">
        <v>326</v>
      </c>
      <c r="E649" s="8" t="s">
        <v>132</v>
      </c>
      <c r="F649" s="8" t="s">
        <v>136</v>
      </c>
      <c r="G649" s="8" t="s">
        <v>119</v>
      </c>
      <c r="H649" s="15" t="n">
        <v>2425</v>
      </c>
      <c r="I649" s="15" t="n">
        <v>2425</v>
      </c>
      <c r="J649" s="16" t="n">
        <v>0.89</v>
      </c>
      <c r="K649" s="8" t="n">
        <v>10.3</v>
      </c>
      <c r="L649" s="8" t="n">
        <v>10</v>
      </c>
      <c r="M649" s="8" t="n">
        <v>1</v>
      </c>
      <c r="N649" s="8" t="s">
        <v>120</v>
      </c>
      <c r="O649" s="15" t="n">
        <f aca="false">H649*12</f>
        <v>29100</v>
      </c>
      <c r="P649" s="8" t="n">
        <f aca="false">MIN(100,ROUND(100*J649/Assumptions!$B$8,0))</f>
        <v>99</v>
      </c>
      <c r="Q649" s="8" t="n">
        <f aca="false">IF(L649="",Assumptions!$B$9,L649*10)</f>
        <v>100</v>
      </c>
      <c r="R649" s="8" t="n">
        <f aca="false">IF(M649&lt;=1,Assumptions!$B$12,IF(M649&lt;=3,Assumptions!$B$13,IF(M649&lt;=6,Assumptions!$B$14,Assumptions!$B$15)))</f>
        <v>100</v>
      </c>
      <c r="S649" s="8" t="n">
        <f aca="false">IF(N649="Completed On Time",Assumptions!$B$16,IF(N649="Completed Late",Assumptions!$B$17,Assumptions!$B$18))</f>
        <v>100</v>
      </c>
      <c r="T649" s="8" t="n">
        <f aca="false">IF(I649=0,Assumptions!$B$20,IF(H649&gt;I649,Assumptions!$B$19,IF(H649=I649,Assumptions!$B$20,Assumptions!$B$21)))</f>
        <v>70</v>
      </c>
      <c r="U649" s="8" t="n">
        <f aca="false">ROUND(P649*Assumptions!$B$2+Q649*Assumptions!$B$3+R649*Assumptions!$B$4+S649*Assumptions!$B$5+T649*Assumptions!$B$6,0)</f>
        <v>94</v>
      </c>
      <c r="V649" s="8" t="str">
        <f aca="false">IF(U649&gt;=Assumptions!$B$10,"Healthy",IF(U649&gt;=Assumptions!$B$11,"Needs Attention","High Risk"))</f>
        <v>Healthy</v>
      </c>
    </row>
    <row r="650" customFormat="false" ht="15" hidden="false" customHeight="false" outlineLevel="0" collapsed="false">
      <c r="A650" s="8" t="s">
        <v>1441</v>
      </c>
      <c r="B650" s="8" t="s">
        <v>1442</v>
      </c>
      <c r="C650" s="8" t="s">
        <v>53</v>
      </c>
      <c r="D650" s="8" t="s">
        <v>326</v>
      </c>
      <c r="E650" s="8" t="s">
        <v>123</v>
      </c>
      <c r="F650" s="8" t="s">
        <v>151</v>
      </c>
      <c r="G650" s="8" t="s">
        <v>129</v>
      </c>
      <c r="H650" s="15" t="n">
        <v>2425</v>
      </c>
      <c r="I650" s="15" t="n">
        <v>2425</v>
      </c>
      <c r="J650" s="16" t="n">
        <v>0.842</v>
      </c>
      <c r="K650" s="8" t="n">
        <v>11</v>
      </c>
      <c r="L650" s="8" t="n">
        <v>9</v>
      </c>
      <c r="M650" s="8" t="n">
        <v>0</v>
      </c>
      <c r="N650" s="8" t="s">
        <v>120</v>
      </c>
      <c r="O650" s="15" t="n">
        <f aca="false">H650*12</f>
        <v>29100</v>
      </c>
      <c r="P650" s="8" t="n">
        <f aca="false">MIN(100,ROUND(100*J650/Assumptions!$B$8,0))</f>
        <v>94</v>
      </c>
      <c r="Q650" s="8" t="n">
        <f aca="false">IF(L650="",Assumptions!$B$9,L650*10)</f>
        <v>90</v>
      </c>
      <c r="R650" s="8" t="n">
        <f aca="false">IF(M650&lt;=1,Assumptions!$B$12,IF(M650&lt;=3,Assumptions!$B$13,IF(M650&lt;=6,Assumptions!$B$14,Assumptions!$B$15)))</f>
        <v>100</v>
      </c>
      <c r="S650" s="8" t="n">
        <f aca="false">IF(N650="Completed On Time",Assumptions!$B$16,IF(N650="Completed Late",Assumptions!$B$17,Assumptions!$B$18))</f>
        <v>100</v>
      </c>
      <c r="T650" s="8" t="n">
        <f aca="false">IF(I650=0,Assumptions!$B$20,IF(H650&gt;I650,Assumptions!$B$19,IF(H650=I650,Assumptions!$B$20,Assumptions!$B$21)))</f>
        <v>70</v>
      </c>
      <c r="U650" s="8" t="n">
        <f aca="false">ROUND(P650*Assumptions!$B$2+Q650*Assumptions!$B$3+R650*Assumptions!$B$4+S650*Assumptions!$B$5+T650*Assumptions!$B$6,0)</f>
        <v>90</v>
      </c>
      <c r="V650" s="8" t="str">
        <f aca="false">IF(U650&gt;=Assumptions!$B$10,"Healthy",IF(U650&gt;=Assumptions!$B$11,"Needs Attention","High Risk"))</f>
        <v>Healthy</v>
      </c>
    </row>
    <row r="651" customFormat="false" ht="15" hidden="false" customHeight="false" outlineLevel="0" collapsed="false">
      <c r="A651" s="8" t="s">
        <v>1443</v>
      </c>
      <c r="B651" s="8" t="s">
        <v>1444</v>
      </c>
      <c r="C651" s="8" t="s">
        <v>53</v>
      </c>
      <c r="D651" s="8" t="s">
        <v>326</v>
      </c>
      <c r="E651" s="8" t="s">
        <v>117</v>
      </c>
      <c r="F651" s="8" t="s">
        <v>151</v>
      </c>
      <c r="G651" s="8" t="s">
        <v>180</v>
      </c>
      <c r="H651" s="15" t="n">
        <v>2425</v>
      </c>
      <c r="I651" s="15" t="n">
        <v>2425</v>
      </c>
      <c r="J651" s="16" t="n">
        <v>0.832</v>
      </c>
      <c r="K651" s="8" t="n">
        <v>10</v>
      </c>
      <c r="L651" s="8" t="n">
        <v>7</v>
      </c>
      <c r="M651" s="8" t="n">
        <v>2</v>
      </c>
      <c r="N651" s="8" t="s">
        <v>120</v>
      </c>
      <c r="O651" s="15" t="n">
        <f aca="false">H651*12</f>
        <v>29100</v>
      </c>
      <c r="P651" s="8" t="n">
        <f aca="false">MIN(100,ROUND(100*J651/Assumptions!$B$8,0))</f>
        <v>92</v>
      </c>
      <c r="Q651" s="8" t="n">
        <f aca="false">IF(L651="",Assumptions!$B$9,L651*10)</f>
        <v>70</v>
      </c>
      <c r="R651" s="8" t="n">
        <f aca="false">IF(M651&lt;=1,Assumptions!$B$12,IF(M651&lt;=3,Assumptions!$B$13,IF(M651&lt;=6,Assumptions!$B$14,Assumptions!$B$15)))</f>
        <v>75</v>
      </c>
      <c r="S651" s="8" t="n">
        <f aca="false">IF(N651="Completed On Time",Assumptions!$B$16,IF(N651="Completed Late",Assumptions!$B$17,Assumptions!$B$18))</f>
        <v>100</v>
      </c>
      <c r="T651" s="8" t="n">
        <f aca="false">IF(I651=0,Assumptions!$B$20,IF(H651&gt;I651,Assumptions!$B$19,IF(H651=I651,Assumptions!$B$20,Assumptions!$B$21)))</f>
        <v>70</v>
      </c>
      <c r="U651" s="8" t="n">
        <f aca="false">ROUND(P651*Assumptions!$B$2+Q651*Assumptions!$B$3+R651*Assumptions!$B$4+S651*Assumptions!$B$5+T651*Assumptions!$B$6,0)</f>
        <v>81</v>
      </c>
      <c r="V651" s="8" t="str">
        <f aca="false">IF(U651&gt;=Assumptions!$B$10,"Healthy",IF(U651&gt;=Assumptions!$B$11,"Needs Attention","High Risk"))</f>
        <v>Healthy</v>
      </c>
    </row>
    <row r="652" customFormat="false" ht="15" hidden="false" customHeight="false" outlineLevel="0" collapsed="false">
      <c r="A652" s="8" t="s">
        <v>1445</v>
      </c>
      <c r="B652" s="8" t="s">
        <v>1446</v>
      </c>
      <c r="C652" s="8" t="s">
        <v>53</v>
      </c>
      <c r="D652" s="8" t="s">
        <v>326</v>
      </c>
      <c r="E652" s="8" t="s">
        <v>117</v>
      </c>
      <c r="F652" s="8" t="s">
        <v>190</v>
      </c>
      <c r="G652" s="8" t="s">
        <v>125</v>
      </c>
      <c r="H652" s="15" t="n">
        <v>2425</v>
      </c>
      <c r="I652" s="15" t="n">
        <v>2425</v>
      </c>
      <c r="J652" s="16" t="n">
        <v>0.674</v>
      </c>
      <c r="K652" s="8" t="n">
        <v>7.3</v>
      </c>
      <c r="L652" s="8" t="n">
        <v>6</v>
      </c>
      <c r="M652" s="8" t="n">
        <v>2</v>
      </c>
      <c r="N652" s="8" t="s">
        <v>120</v>
      </c>
      <c r="O652" s="15" t="n">
        <f aca="false">H652*12</f>
        <v>29100</v>
      </c>
      <c r="P652" s="8" t="n">
        <f aca="false">MIN(100,ROUND(100*J652/Assumptions!$B$8,0))</f>
        <v>75</v>
      </c>
      <c r="Q652" s="8" t="n">
        <f aca="false">IF(L652="",Assumptions!$B$9,L652*10)</f>
        <v>60</v>
      </c>
      <c r="R652" s="8" t="n">
        <f aca="false">IF(M652&lt;=1,Assumptions!$B$12,IF(M652&lt;=3,Assumptions!$B$13,IF(M652&lt;=6,Assumptions!$B$14,Assumptions!$B$15)))</f>
        <v>75</v>
      </c>
      <c r="S652" s="8" t="n">
        <f aca="false">IF(N652="Completed On Time",Assumptions!$B$16,IF(N652="Completed Late",Assumptions!$B$17,Assumptions!$B$18))</f>
        <v>100</v>
      </c>
      <c r="T652" s="8" t="n">
        <f aca="false">IF(I652=0,Assumptions!$B$20,IF(H652&gt;I652,Assumptions!$B$19,IF(H652=I652,Assumptions!$B$20,Assumptions!$B$21)))</f>
        <v>70</v>
      </c>
      <c r="U652" s="8" t="n">
        <f aca="false">ROUND(P652*Assumptions!$B$2+Q652*Assumptions!$B$3+R652*Assumptions!$B$4+S652*Assumptions!$B$5+T652*Assumptions!$B$6,0)</f>
        <v>74</v>
      </c>
      <c r="V652" s="8" t="str">
        <f aca="false">IF(U652&gt;=Assumptions!$B$10,"Healthy",IF(U652&gt;=Assumptions!$B$11,"Needs Attention","High Risk"))</f>
        <v>Needs Attention</v>
      </c>
    </row>
    <row r="653" customFormat="false" ht="15" hidden="false" customHeight="false" outlineLevel="0" collapsed="false">
      <c r="A653" s="8" t="s">
        <v>1447</v>
      </c>
      <c r="B653" s="8" t="s">
        <v>1448</v>
      </c>
      <c r="C653" s="8" t="s">
        <v>53</v>
      </c>
      <c r="D653" s="8" t="s">
        <v>326</v>
      </c>
      <c r="E653" s="8" t="s">
        <v>123</v>
      </c>
      <c r="F653" s="8" t="s">
        <v>166</v>
      </c>
      <c r="G653" s="8" t="s">
        <v>185</v>
      </c>
      <c r="H653" s="15" t="n">
        <v>2400</v>
      </c>
      <c r="I653" s="15" t="n">
        <v>2400</v>
      </c>
      <c r="J653" s="16" t="n">
        <v>0.806</v>
      </c>
      <c r="K653" s="8" t="n">
        <v>10</v>
      </c>
      <c r="L653" s="8" t="n">
        <v>9</v>
      </c>
      <c r="M653" s="8" t="n">
        <v>3</v>
      </c>
      <c r="N653" s="8" t="s">
        <v>120</v>
      </c>
      <c r="O653" s="15" t="n">
        <f aca="false">H653*12</f>
        <v>28800</v>
      </c>
      <c r="P653" s="8" t="n">
        <f aca="false">MIN(100,ROUND(100*J653/Assumptions!$B$8,0))</f>
        <v>90</v>
      </c>
      <c r="Q653" s="8" t="n">
        <f aca="false">IF(L653="",Assumptions!$B$9,L653*10)</f>
        <v>90</v>
      </c>
      <c r="R653" s="8" t="n">
        <f aca="false">IF(M653&lt;=1,Assumptions!$B$12,IF(M653&lt;=3,Assumptions!$B$13,IF(M653&lt;=6,Assumptions!$B$14,Assumptions!$B$15)))</f>
        <v>75</v>
      </c>
      <c r="S653" s="8" t="n">
        <f aca="false">IF(N653="Completed On Time",Assumptions!$B$16,IF(N653="Completed Late",Assumptions!$B$17,Assumptions!$B$18))</f>
        <v>100</v>
      </c>
      <c r="T653" s="8" t="n">
        <f aca="false">IF(I653=0,Assumptions!$B$20,IF(H653&gt;I653,Assumptions!$B$19,IF(H653=I653,Assumptions!$B$20,Assumptions!$B$21)))</f>
        <v>70</v>
      </c>
      <c r="U653" s="8" t="n">
        <f aca="false">ROUND(P653*Assumptions!$B$2+Q653*Assumptions!$B$3+R653*Assumptions!$B$4+S653*Assumptions!$B$5+T653*Assumptions!$B$6,0)</f>
        <v>85</v>
      </c>
      <c r="V653" s="8" t="str">
        <f aca="false">IF(U653&gt;=Assumptions!$B$10,"Healthy",IF(U653&gt;=Assumptions!$B$11,"Needs Attention","High Risk"))</f>
        <v>Healthy</v>
      </c>
    </row>
    <row r="654" customFormat="false" ht="15" hidden="false" customHeight="false" outlineLevel="0" collapsed="false">
      <c r="A654" s="8" t="s">
        <v>1449</v>
      </c>
      <c r="B654" s="8" t="s">
        <v>1450</v>
      </c>
      <c r="C654" s="8" t="s">
        <v>53</v>
      </c>
      <c r="D654" s="8" t="s">
        <v>326</v>
      </c>
      <c r="E654" s="8" t="s">
        <v>123</v>
      </c>
      <c r="F654" s="8" t="s">
        <v>124</v>
      </c>
      <c r="G654" s="8" t="s">
        <v>147</v>
      </c>
      <c r="H654" s="15" t="n">
        <v>2400</v>
      </c>
      <c r="I654" s="15" t="n">
        <v>2400</v>
      </c>
      <c r="J654" s="16" t="n">
        <v>0.799</v>
      </c>
      <c r="K654" s="8" t="n">
        <v>7.7</v>
      </c>
      <c r="L654" s="8" t="n">
        <v>6</v>
      </c>
      <c r="M654" s="8" t="n">
        <v>2</v>
      </c>
      <c r="N654" s="8" t="s">
        <v>120</v>
      </c>
      <c r="O654" s="15" t="n">
        <f aca="false">H654*12</f>
        <v>28800</v>
      </c>
      <c r="P654" s="8" t="n">
        <f aca="false">MIN(100,ROUND(100*J654/Assumptions!$B$8,0))</f>
        <v>89</v>
      </c>
      <c r="Q654" s="8" t="n">
        <f aca="false">IF(L654="",Assumptions!$B$9,L654*10)</f>
        <v>60</v>
      </c>
      <c r="R654" s="8" t="n">
        <f aca="false">IF(M654&lt;=1,Assumptions!$B$12,IF(M654&lt;=3,Assumptions!$B$13,IF(M654&lt;=6,Assumptions!$B$14,Assumptions!$B$15)))</f>
        <v>75</v>
      </c>
      <c r="S654" s="8" t="n">
        <f aca="false">IF(N654="Completed On Time",Assumptions!$B$16,IF(N654="Completed Late",Assumptions!$B$17,Assumptions!$B$18))</f>
        <v>100</v>
      </c>
      <c r="T654" s="8" t="n">
        <f aca="false">IF(I654=0,Assumptions!$B$20,IF(H654&gt;I654,Assumptions!$B$19,IF(H654=I654,Assumptions!$B$20,Assumptions!$B$21)))</f>
        <v>70</v>
      </c>
      <c r="U654" s="8" t="n">
        <f aca="false">ROUND(P654*Assumptions!$B$2+Q654*Assumptions!$B$3+R654*Assumptions!$B$4+S654*Assumptions!$B$5+T654*Assumptions!$B$6,0)</f>
        <v>78</v>
      </c>
      <c r="V654" s="8" t="str">
        <f aca="false">IF(U654&gt;=Assumptions!$B$10,"Healthy",IF(U654&gt;=Assumptions!$B$11,"Needs Attention","High Risk"))</f>
        <v>Needs Attention</v>
      </c>
    </row>
    <row r="655" customFormat="false" ht="15" hidden="false" customHeight="false" outlineLevel="0" collapsed="false">
      <c r="A655" s="8" t="s">
        <v>1451</v>
      </c>
      <c r="B655" s="8" t="s">
        <v>1452</v>
      </c>
      <c r="C655" s="8" t="s">
        <v>53</v>
      </c>
      <c r="D655" s="8" t="s">
        <v>326</v>
      </c>
      <c r="E655" s="8" t="s">
        <v>128</v>
      </c>
      <c r="F655" s="8" t="s">
        <v>151</v>
      </c>
      <c r="G655" s="8" t="s">
        <v>159</v>
      </c>
      <c r="H655" s="15" t="n">
        <v>2375</v>
      </c>
      <c r="I655" s="15" t="n">
        <v>2375</v>
      </c>
      <c r="J655" s="16" t="n">
        <v>0.751</v>
      </c>
      <c r="K655" s="8" t="n">
        <v>7.3</v>
      </c>
      <c r="L655" s="8" t="n">
        <v>9</v>
      </c>
      <c r="M655" s="8" t="n">
        <v>3</v>
      </c>
      <c r="N655" s="8" t="s">
        <v>120</v>
      </c>
      <c r="O655" s="15" t="n">
        <f aca="false">H655*12</f>
        <v>28500</v>
      </c>
      <c r="P655" s="8" t="n">
        <f aca="false">MIN(100,ROUND(100*J655/Assumptions!$B$8,0))</f>
        <v>83</v>
      </c>
      <c r="Q655" s="8" t="n">
        <f aca="false">IF(L655="",Assumptions!$B$9,L655*10)</f>
        <v>90</v>
      </c>
      <c r="R655" s="8" t="n">
        <f aca="false">IF(M655&lt;=1,Assumptions!$B$12,IF(M655&lt;=3,Assumptions!$B$13,IF(M655&lt;=6,Assumptions!$B$14,Assumptions!$B$15)))</f>
        <v>75</v>
      </c>
      <c r="S655" s="8" t="n">
        <f aca="false">IF(N655="Completed On Time",Assumptions!$B$16,IF(N655="Completed Late",Assumptions!$B$17,Assumptions!$B$18))</f>
        <v>100</v>
      </c>
      <c r="T655" s="8" t="n">
        <f aca="false">IF(I655=0,Assumptions!$B$20,IF(H655&gt;I655,Assumptions!$B$19,IF(H655=I655,Assumptions!$B$20,Assumptions!$B$21)))</f>
        <v>70</v>
      </c>
      <c r="U655" s="8" t="n">
        <f aca="false">ROUND(P655*Assumptions!$B$2+Q655*Assumptions!$B$3+R655*Assumptions!$B$4+S655*Assumptions!$B$5+T655*Assumptions!$B$6,0)</f>
        <v>82</v>
      </c>
      <c r="V655" s="8" t="str">
        <f aca="false">IF(U655&gt;=Assumptions!$B$10,"Healthy",IF(U655&gt;=Assumptions!$B$11,"Needs Attention","High Risk"))</f>
        <v>Healthy</v>
      </c>
    </row>
    <row r="656" customFormat="false" ht="15" hidden="false" customHeight="false" outlineLevel="0" collapsed="false">
      <c r="A656" s="8" t="s">
        <v>1453</v>
      </c>
      <c r="B656" s="8" t="s">
        <v>1454</v>
      </c>
      <c r="C656" s="8" t="s">
        <v>53</v>
      </c>
      <c r="D656" s="8" t="s">
        <v>326</v>
      </c>
      <c r="E656" s="8" t="s">
        <v>123</v>
      </c>
      <c r="F656" s="8" t="s">
        <v>166</v>
      </c>
      <c r="G656" s="8" t="s">
        <v>119</v>
      </c>
      <c r="H656" s="15" t="n">
        <v>2375</v>
      </c>
      <c r="I656" s="15" t="n">
        <v>2375</v>
      </c>
      <c r="J656" s="16" t="n">
        <v>0.909</v>
      </c>
      <c r="K656" s="8" t="n">
        <v>11.3</v>
      </c>
      <c r="L656" s="8" t="n">
        <v>8</v>
      </c>
      <c r="M656" s="8" t="n">
        <v>1</v>
      </c>
      <c r="N656" s="8" t="s">
        <v>120</v>
      </c>
      <c r="O656" s="15" t="n">
        <f aca="false">H656*12</f>
        <v>28500</v>
      </c>
      <c r="P656" s="8" t="n">
        <f aca="false">MIN(100,ROUND(100*J656/Assumptions!$B$8,0))</f>
        <v>100</v>
      </c>
      <c r="Q656" s="8" t="n">
        <f aca="false">IF(L656="",Assumptions!$B$9,L656*10)</f>
        <v>80</v>
      </c>
      <c r="R656" s="8" t="n">
        <f aca="false">IF(M656&lt;=1,Assumptions!$B$12,IF(M656&lt;=3,Assumptions!$B$13,IF(M656&lt;=6,Assumptions!$B$14,Assumptions!$B$15)))</f>
        <v>100</v>
      </c>
      <c r="S656" s="8" t="n">
        <f aca="false">IF(N656="Completed On Time",Assumptions!$B$16,IF(N656="Completed Late",Assumptions!$B$17,Assumptions!$B$18))</f>
        <v>100</v>
      </c>
      <c r="T656" s="8" t="n">
        <f aca="false">IF(I656=0,Assumptions!$B$20,IF(H656&gt;I656,Assumptions!$B$19,IF(H656=I656,Assumptions!$B$20,Assumptions!$B$21)))</f>
        <v>70</v>
      </c>
      <c r="U656" s="8" t="n">
        <f aca="false">ROUND(P656*Assumptions!$B$2+Q656*Assumptions!$B$3+R656*Assumptions!$B$4+S656*Assumptions!$B$5+T656*Assumptions!$B$6,0)</f>
        <v>90</v>
      </c>
      <c r="V656" s="8" t="str">
        <f aca="false">IF(U656&gt;=Assumptions!$B$10,"Healthy",IF(U656&gt;=Assumptions!$B$11,"Needs Attention","High Risk"))</f>
        <v>Healthy</v>
      </c>
    </row>
    <row r="657" customFormat="false" ht="15" hidden="false" customHeight="false" outlineLevel="0" collapsed="false">
      <c r="A657" s="8" t="s">
        <v>1455</v>
      </c>
      <c r="B657" s="8" t="s">
        <v>1456</v>
      </c>
      <c r="C657" s="8" t="s">
        <v>53</v>
      </c>
      <c r="D657" s="8" t="s">
        <v>326</v>
      </c>
      <c r="E657" s="8" t="s">
        <v>132</v>
      </c>
      <c r="F657" s="8" t="s">
        <v>151</v>
      </c>
      <c r="G657" s="8" t="s">
        <v>140</v>
      </c>
      <c r="H657" s="15" t="n">
        <v>2375</v>
      </c>
      <c r="I657" s="15" t="n">
        <v>1975</v>
      </c>
      <c r="J657" s="16" t="n">
        <v>0.842</v>
      </c>
      <c r="K657" s="8" t="n">
        <v>9.3</v>
      </c>
      <c r="L657" s="8" t="n">
        <v>9</v>
      </c>
      <c r="M657" s="8" t="n">
        <v>3</v>
      </c>
      <c r="N657" s="8" t="s">
        <v>120</v>
      </c>
      <c r="O657" s="15" t="n">
        <f aca="false">H657*12</f>
        <v>28500</v>
      </c>
      <c r="P657" s="8" t="n">
        <f aca="false">MIN(100,ROUND(100*J657/Assumptions!$B$8,0))</f>
        <v>94</v>
      </c>
      <c r="Q657" s="8" t="n">
        <f aca="false">IF(L657="",Assumptions!$B$9,L657*10)</f>
        <v>90</v>
      </c>
      <c r="R657" s="8" t="n">
        <f aca="false">IF(M657&lt;=1,Assumptions!$B$12,IF(M657&lt;=3,Assumptions!$B$13,IF(M657&lt;=6,Assumptions!$B$14,Assumptions!$B$15)))</f>
        <v>75</v>
      </c>
      <c r="S657" s="8" t="n">
        <f aca="false">IF(N657="Completed On Time",Assumptions!$B$16,IF(N657="Completed Late",Assumptions!$B$17,Assumptions!$B$18))</f>
        <v>100</v>
      </c>
      <c r="T657" s="8" t="n">
        <f aca="false">IF(I657=0,Assumptions!$B$20,IF(H657&gt;I657,Assumptions!$B$19,IF(H657=I657,Assumptions!$B$20,Assumptions!$B$21)))</f>
        <v>100</v>
      </c>
      <c r="U657" s="8" t="n">
        <f aca="false">ROUND(P657*Assumptions!$B$2+Q657*Assumptions!$B$3+R657*Assumptions!$B$4+S657*Assumptions!$B$5+T657*Assumptions!$B$6,0)</f>
        <v>92</v>
      </c>
      <c r="V657" s="8" t="str">
        <f aca="false">IF(U657&gt;=Assumptions!$B$10,"Healthy",IF(U657&gt;=Assumptions!$B$11,"Needs Attention","High Risk"))</f>
        <v>Healthy</v>
      </c>
    </row>
    <row r="658" customFormat="false" ht="15" hidden="false" customHeight="false" outlineLevel="0" collapsed="false">
      <c r="A658" s="8" t="s">
        <v>1457</v>
      </c>
      <c r="B658" s="8" t="s">
        <v>1458</v>
      </c>
      <c r="C658" s="8" t="s">
        <v>53</v>
      </c>
      <c r="D658" s="8" t="s">
        <v>326</v>
      </c>
      <c r="E658" s="8" t="s">
        <v>117</v>
      </c>
      <c r="F658" s="8" t="s">
        <v>190</v>
      </c>
      <c r="G658" s="8" t="s">
        <v>204</v>
      </c>
      <c r="H658" s="15" t="n">
        <v>2350</v>
      </c>
      <c r="I658" s="15" t="n">
        <v>2825</v>
      </c>
      <c r="J658" s="16" t="n">
        <v>0.672</v>
      </c>
      <c r="K658" s="8" t="n">
        <v>6.7</v>
      </c>
      <c r="L658" s="8" t="n">
        <v>6</v>
      </c>
      <c r="M658" s="8" t="n">
        <v>3</v>
      </c>
      <c r="N658" s="8" t="s">
        <v>120</v>
      </c>
      <c r="O658" s="15" t="n">
        <f aca="false">H658*12</f>
        <v>28200</v>
      </c>
      <c r="P658" s="8" t="n">
        <f aca="false">MIN(100,ROUND(100*J658/Assumptions!$B$8,0))</f>
        <v>75</v>
      </c>
      <c r="Q658" s="8" t="n">
        <f aca="false">IF(L658="",Assumptions!$B$9,L658*10)</f>
        <v>60</v>
      </c>
      <c r="R658" s="8" t="n">
        <f aca="false">IF(M658&lt;=1,Assumptions!$B$12,IF(M658&lt;=3,Assumptions!$B$13,IF(M658&lt;=6,Assumptions!$B$14,Assumptions!$B$15)))</f>
        <v>75</v>
      </c>
      <c r="S658" s="8" t="n">
        <f aca="false">IF(N658="Completed On Time",Assumptions!$B$16,IF(N658="Completed Late",Assumptions!$B$17,Assumptions!$B$18))</f>
        <v>100</v>
      </c>
      <c r="T658" s="8" t="n">
        <f aca="false">IF(I658=0,Assumptions!$B$20,IF(H658&gt;I658,Assumptions!$B$19,IF(H658=I658,Assumptions!$B$20,Assumptions!$B$21)))</f>
        <v>30</v>
      </c>
      <c r="U658" s="8" t="n">
        <f aca="false">ROUND(P658*Assumptions!$B$2+Q658*Assumptions!$B$3+R658*Assumptions!$B$4+S658*Assumptions!$B$5+T658*Assumptions!$B$6,0)</f>
        <v>66</v>
      </c>
      <c r="V658" s="8" t="str">
        <f aca="false">IF(U658&gt;=Assumptions!$B$10,"Healthy",IF(U658&gt;=Assumptions!$B$11,"Needs Attention","High Risk"))</f>
        <v>Needs Attention</v>
      </c>
    </row>
    <row r="659" customFormat="false" ht="15" hidden="false" customHeight="false" outlineLevel="0" collapsed="false">
      <c r="A659" s="8" t="s">
        <v>1459</v>
      </c>
      <c r="B659" s="8" t="s">
        <v>1460</v>
      </c>
      <c r="C659" s="8" t="s">
        <v>53</v>
      </c>
      <c r="D659" s="8" t="s">
        <v>326</v>
      </c>
      <c r="E659" s="8" t="s">
        <v>117</v>
      </c>
      <c r="F659" s="8" t="s">
        <v>190</v>
      </c>
      <c r="G659" s="8" t="s">
        <v>185</v>
      </c>
      <c r="H659" s="15" t="n">
        <v>2350</v>
      </c>
      <c r="I659" s="15" t="n">
        <v>2350</v>
      </c>
      <c r="J659" s="16" t="n">
        <v>0.745</v>
      </c>
      <c r="K659" s="8" t="n">
        <v>8.7</v>
      </c>
      <c r="L659" s="8" t="n">
        <v>7</v>
      </c>
      <c r="M659" s="8" t="n">
        <v>1</v>
      </c>
      <c r="N659" s="8" t="s">
        <v>120</v>
      </c>
      <c r="O659" s="15" t="n">
        <f aca="false">H659*12</f>
        <v>28200</v>
      </c>
      <c r="P659" s="8" t="n">
        <f aca="false">MIN(100,ROUND(100*J659/Assumptions!$B$8,0))</f>
        <v>83</v>
      </c>
      <c r="Q659" s="8" t="n">
        <f aca="false">IF(L659="",Assumptions!$B$9,L659*10)</f>
        <v>70</v>
      </c>
      <c r="R659" s="8" t="n">
        <f aca="false">IF(M659&lt;=1,Assumptions!$B$12,IF(M659&lt;=3,Assumptions!$B$13,IF(M659&lt;=6,Assumptions!$B$14,Assumptions!$B$15)))</f>
        <v>100</v>
      </c>
      <c r="S659" s="8" t="n">
        <f aca="false">IF(N659="Completed On Time",Assumptions!$B$16,IF(N659="Completed Late",Assumptions!$B$17,Assumptions!$B$18))</f>
        <v>100</v>
      </c>
      <c r="T659" s="8" t="n">
        <f aca="false">IF(I659=0,Assumptions!$B$20,IF(H659&gt;I659,Assumptions!$B$19,IF(H659=I659,Assumptions!$B$20,Assumptions!$B$21)))</f>
        <v>70</v>
      </c>
      <c r="U659" s="8" t="n">
        <f aca="false">ROUND(P659*Assumptions!$B$2+Q659*Assumptions!$B$3+R659*Assumptions!$B$4+S659*Assumptions!$B$5+T659*Assumptions!$B$6,0)</f>
        <v>82</v>
      </c>
      <c r="V659" s="8" t="str">
        <f aca="false">IF(U659&gt;=Assumptions!$B$10,"Healthy",IF(U659&gt;=Assumptions!$B$11,"Needs Attention","High Risk"))</f>
        <v>Healthy</v>
      </c>
    </row>
    <row r="660" customFormat="false" ht="15" hidden="false" customHeight="false" outlineLevel="0" collapsed="false">
      <c r="A660" s="8" t="s">
        <v>1461</v>
      </c>
      <c r="B660" s="8" t="s">
        <v>1462</v>
      </c>
      <c r="C660" s="8" t="s">
        <v>53</v>
      </c>
      <c r="D660" s="8" t="s">
        <v>326</v>
      </c>
      <c r="E660" s="8" t="s">
        <v>132</v>
      </c>
      <c r="F660" s="8" t="s">
        <v>136</v>
      </c>
      <c r="G660" s="8" t="s">
        <v>125</v>
      </c>
      <c r="H660" s="15" t="n">
        <v>2350</v>
      </c>
      <c r="I660" s="15" t="n">
        <v>2350</v>
      </c>
      <c r="J660" s="16" t="n">
        <v>0.823</v>
      </c>
      <c r="K660" s="8" t="n">
        <v>8</v>
      </c>
      <c r="L660" s="8" t="n">
        <v>8</v>
      </c>
      <c r="M660" s="8" t="n">
        <v>3</v>
      </c>
      <c r="N660" s="8" t="s">
        <v>120</v>
      </c>
      <c r="O660" s="15" t="n">
        <f aca="false">H660*12</f>
        <v>28200</v>
      </c>
      <c r="P660" s="8" t="n">
        <f aca="false">MIN(100,ROUND(100*J660/Assumptions!$B$8,0))</f>
        <v>91</v>
      </c>
      <c r="Q660" s="8" t="n">
        <f aca="false">IF(L660="",Assumptions!$B$9,L660*10)</f>
        <v>80</v>
      </c>
      <c r="R660" s="8" t="n">
        <f aca="false">IF(M660&lt;=1,Assumptions!$B$12,IF(M660&lt;=3,Assumptions!$B$13,IF(M660&lt;=6,Assumptions!$B$14,Assumptions!$B$15)))</f>
        <v>75</v>
      </c>
      <c r="S660" s="8" t="n">
        <f aca="false">IF(N660="Completed On Time",Assumptions!$B$16,IF(N660="Completed Late",Assumptions!$B$17,Assumptions!$B$18))</f>
        <v>100</v>
      </c>
      <c r="T660" s="8" t="n">
        <f aca="false">IF(I660=0,Assumptions!$B$20,IF(H660&gt;I660,Assumptions!$B$19,IF(H660=I660,Assumptions!$B$20,Assumptions!$B$21)))</f>
        <v>70</v>
      </c>
      <c r="U660" s="8" t="n">
        <f aca="false">ROUND(P660*Assumptions!$B$2+Q660*Assumptions!$B$3+R660*Assumptions!$B$4+S660*Assumptions!$B$5+T660*Assumptions!$B$6,0)</f>
        <v>83</v>
      </c>
      <c r="V660" s="8" t="str">
        <f aca="false">IF(U660&gt;=Assumptions!$B$10,"Healthy",IF(U660&gt;=Assumptions!$B$11,"Needs Attention","High Risk"))</f>
        <v>Healthy</v>
      </c>
    </row>
    <row r="661" customFormat="false" ht="15" hidden="false" customHeight="false" outlineLevel="0" collapsed="false">
      <c r="A661" s="8" t="s">
        <v>1463</v>
      </c>
      <c r="B661" s="8" t="s">
        <v>1464</v>
      </c>
      <c r="C661" s="8" t="s">
        <v>53</v>
      </c>
      <c r="D661" s="8" t="s">
        <v>326</v>
      </c>
      <c r="E661" s="8" t="s">
        <v>117</v>
      </c>
      <c r="F661" s="8" t="s">
        <v>166</v>
      </c>
      <c r="G661" s="8" t="s">
        <v>140</v>
      </c>
      <c r="H661" s="15" t="n">
        <v>2350</v>
      </c>
      <c r="I661" s="15" t="n">
        <v>2350</v>
      </c>
      <c r="J661" s="16" t="n">
        <v>0.67</v>
      </c>
      <c r="K661" s="8" t="n">
        <v>8</v>
      </c>
      <c r="L661" s="8" t="n">
        <v>9</v>
      </c>
      <c r="M661" s="8" t="n">
        <v>1</v>
      </c>
      <c r="N661" s="8" t="s">
        <v>120</v>
      </c>
      <c r="O661" s="15" t="n">
        <f aca="false">H661*12</f>
        <v>28200</v>
      </c>
      <c r="P661" s="8" t="n">
        <f aca="false">MIN(100,ROUND(100*J661/Assumptions!$B$8,0))</f>
        <v>74</v>
      </c>
      <c r="Q661" s="8" t="n">
        <f aca="false">IF(L661="",Assumptions!$B$9,L661*10)</f>
        <v>90</v>
      </c>
      <c r="R661" s="8" t="n">
        <f aca="false">IF(M661&lt;=1,Assumptions!$B$12,IF(M661&lt;=3,Assumptions!$B$13,IF(M661&lt;=6,Assumptions!$B$14,Assumptions!$B$15)))</f>
        <v>100</v>
      </c>
      <c r="S661" s="8" t="n">
        <f aca="false">IF(N661="Completed On Time",Assumptions!$B$16,IF(N661="Completed Late",Assumptions!$B$17,Assumptions!$B$18))</f>
        <v>100</v>
      </c>
      <c r="T661" s="8" t="n">
        <f aca="false">IF(I661=0,Assumptions!$B$20,IF(H661&gt;I661,Assumptions!$B$19,IF(H661=I661,Assumptions!$B$20,Assumptions!$B$21)))</f>
        <v>70</v>
      </c>
      <c r="U661" s="8" t="n">
        <f aca="false">ROUND(P661*Assumptions!$B$2+Q661*Assumptions!$B$3+R661*Assumptions!$B$4+S661*Assumptions!$B$5+T661*Assumptions!$B$6,0)</f>
        <v>83</v>
      </c>
      <c r="V661" s="8" t="str">
        <f aca="false">IF(U661&gt;=Assumptions!$B$10,"Healthy",IF(U661&gt;=Assumptions!$B$11,"Needs Attention","High Risk"))</f>
        <v>Healthy</v>
      </c>
    </row>
    <row r="662" customFormat="false" ht="15" hidden="false" customHeight="false" outlineLevel="0" collapsed="false">
      <c r="A662" s="8" t="s">
        <v>1465</v>
      </c>
      <c r="B662" s="8" t="s">
        <v>1466</v>
      </c>
      <c r="C662" s="8" t="s">
        <v>53</v>
      </c>
      <c r="D662" s="8" t="s">
        <v>326</v>
      </c>
      <c r="E662" s="8" t="s">
        <v>117</v>
      </c>
      <c r="F662" s="8" t="s">
        <v>190</v>
      </c>
      <c r="G662" s="8" t="s">
        <v>185</v>
      </c>
      <c r="H662" s="15" t="n">
        <v>2350</v>
      </c>
      <c r="I662" s="15" t="n">
        <v>2350</v>
      </c>
      <c r="J662" s="16" t="n">
        <v>0.699</v>
      </c>
      <c r="K662" s="8" t="n">
        <v>9.7</v>
      </c>
      <c r="L662" s="8" t="n">
        <v>8</v>
      </c>
      <c r="M662" s="8" t="n">
        <v>2</v>
      </c>
      <c r="N662" s="8" t="s">
        <v>120</v>
      </c>
      <c r="O662" s="15" t="n">
        <f aca="false">H662*12</f>
        <v>28200</v>
      </c>
      <c r="P662" s="8" t="n">
        <f aca="false">MIN(100,ROUND(100*J662/Assumptions!$B$8,0))</f>
        <v>78</v>
      </c>
      <c r="Q662" s="8" t="n">
        <f aca="false">IF(L662="",Assumptions!$B$9,L662*10)</f>
        <v>80</v>
      </c>
      <c r="R662" s="8" t="n">
        <f aca="false">IF(M662&lt;=1,Assumptions!$B$12,IF(M662&lt;=3,Assumptions!$B$13,IF(M662&lt;=6,Assumptions!$B$14,Assumptions!$B$15)))</f>
        <v>75</v>
      </c>
      <c r="S662" s="8" t="n">
        <f aca="false">IF(N662="Completed On Time",Assumptions!$B$16,IF(N662="Completed Late",Assumptions!$B$17,Assumptions!$B$18))</f>
        <v>100</v>
      </c>
      <c r="T662" s="8" t="n">
        <f aca="false">IF(I662=0,Assumptions!$B$20,IF(H662&gt;I662,Assumptions!$B$19,IF(H662=I662,Assumptions!$B$20,Assumptions!$B$21)))</f>
        <v>70</v>
      </c>
      <c r="U662" s="8" t="n">
        <f aca="false">ROUND(P662*Assumptions!$B$2+Q662*Assumptions!$B$3+R662*Assumptions!$B$4+S662*Assumptions!$B$5+T662*Assumptions!$B$6,0)</f>
        <v>79</v>
      </c>
      <c r="V662" s="8" t="str">
        <f aca="false">IF(U662&gt;=Assumptions!$B$10,"Healthy",IF(U662&gt;=Assumptions!$B$11,"Needs Attention","High Risk"))</f>
        <v>Needs Attention</v>
      </c>
    </row>
    <row r="663" customFormat="false" ht="15" hidden="false" customHeight="false" outlineLevel="0" collapsed="false">
      <c r="A663" s="8" t="s">
        <v>1467</v>
      </c>
      <c r="B663" s="8" t="s">
        <v>1468</v>
      </c>
      <c r="C663" s="8" t="s">
        <v>53</v>
      </c>
      <c r="D663" s="8" t="s">
        <v>326</v>
      </c>
      <c r="E663" s="8" t="s">
        <v>117</v>
      </c>
      <c r="F663" s="8" t="s">
        <v>151</v>
      </c>
      <c r="G663" s="8" t="s">
        <v>180</v>
      </c>
      <c r="H663" s="15" t="n">
        <v>2350</v>
      </c>
      <c r="I663" s="15" t="n">
        <v>2350</v>
      </c>
      <c r="J663" s="16" t="n">
        <v>0.791</v>
      </c>
      <c r="K663" s="8" t="n">
        <v>8.7</v>
      </c>
      <c r="L663" s="8" t="n">
        <v>10</v>
      </c>
      <c r="M663" s="8" t="n">
        <v>1</v>
      </c>
      <c r="N663" s="8" t="s">
        <v>120</v>
      </c>
      <c r="O663" s="15" t="n">
        <f aca="false">H663*12</f>
        <v>28200</v>
      </c>
      <c r="P663" s="8" t="n">
        <f aca="false">MIN(100,ROUND(100*J663/Assumptions!$B$8,0))</f>
        <v>88</v>
      </c>
      <c r="Q663" s="8" t="n">
        <f aca="false">IF(L663="",Assumptions!$B$9,L663*10)</f>
        <v>100</v>
      </c>
      <c r="R663" s="8" t="n">
        <f aca="false">IF(M663&lt;=1,Assumptions!$B$12,IF(M663&lt;=3,Assumptions!$B$13,IF(M663&lt;=6,Assumptions!$B$14,Assumptions!$B$15)))</f>
        <v>100</v>
      </c>
      <c r="S663" s="8" t="n">
        <f aca="false">IF(N663="Completed On Time",Assumptions!$B$16,IF(N663="Completed Late",Assumptions!$B$17,Assumptions!$B$18))</f>
        <v>100</v>
      </c>
      <c r="T663" s="8" t="n">
        <f aca="false">IF(I663=0,Assumptions!$B$20,IF(H663&gt;I663,Assumptions!$B$19,IF(H663=I663,Assumptions!$B$20,Assumptions!$B$21)))</f>
        <v>70</v>
      </c>
      <c r="U663" s="8" t="n">
        <f aca="false">ROUND(P663*Assumptions!$B$2+Q663*Assumptions!$B$3+R663*Assumptions!$B$4+S663*Assumptions!$B$5+T663*Assumptions!$B$6,0)</f>
        <v>90</v>
      </c>
      <c r="V663" s="8" t="str">
        <f aca="false">IF(U663&gt;=Assumptions!$B$10,"Healthy",IF(U663&gt;=Assumptions!$B$11,"Needs Attention","High Risk"))</f>
        <v>Healthy</v>
      </c>
    </row>
    <row r="664" customFormat="false" ht="15" hidden="false" customHeight="false" outlineLevel="0" collapsed="false">
      <c r="A664" s="8" t="s">
        <v>1469</v>
      </c>
      <c r="B664" s="8" t="s">
        <v>1470</v>
      </c>
      <c r="C664" s="8" t="s">
        <v>53</v>
      </c>
      <c r="D664" s="8" t="s">
        <v>326</v>
      </c>
      <c r="E664" s="8" t="s">
        <v>132</v>
      </c>
      <c r="F664" s="8" t="s">
        <v>124</v>
      </c>
      <c r="G664" s="8" t="s">
        <v>159</v>
      </c>
      <c r="H664" s="15" t="n">
        <v>2350</v>
      </c>
      <c r="I664" s="15" t="n">
        <v>2350</v>
      </c>
      <c r="J664" s="16" t="n">
        <v>0.691</v>
      </c>
      <c r="K664" s="8" t="n">
        <v>7.7</v>
      </c>
      <c r="L664" s="8" t="n">
        <v>6</v>
      </c>
      <c r="M664" s="8" t="n">
        <v>4</v>
      </c>
      <c r="N664" s="8" t="s">
        <v>120</v>
      </c>
      <c r="O664" s="15" t="n">
        <f aca="false">H664*12</f>
        <v>28200</v>
      </c>
      <c r="P664" s="8" t="n">
        <f aca="false">MIN(100,ROUND(100*J664/Assumptions!$B$8,0))</f>
        <v>77</v>
      </c>
      <c r="Q664" s="8" t="n">
        <f aca="false">IF(L664="",Assumptions!$B$9,L664*10)</f>
        <v>60</v>
      </c>
      <c r="R664" s="8" t="n">
        <f aca="false">IF(M664&lt;=1,Assumptions!$B$12,IF(M664&lt;=3,Assumptions!$B$13,IF(M664&lt;=6,Assumptions!$B$14,Assumptions!$B$15)))</f>
        <v>50</v>
      </c>
      <c r="S664" s="8" t="n">
        <f aca="false">IF(N664="Completed On Time",Assumptions!$B$16,IF(N664="Completed Late",Assumptions!$B$17,Assumptions!$B$18))</f>
        <v>100</v>
      </c>
      <c r="T664" s="8" t="n">
        <f aca="false">IF(I664=0,Assumptions!$B$20,IF(H664&gt;I664,Assumptions!$B$19,IF(H664=I664,Assumptions!$B$20,Assumptions!$B$21)))</f>
        <v>70</v>
      </c>
      <c r="U664" s="8" t="n">
        <f aca="false">ROUND(P664*Assumptions!$B$2+Q664*Assumptions!$B$3+R664*Assumptions!$B$4+S664*Assumptions!$B$5+T664*Assumptions!$B$6,0)</f>
        <v>70</v>
      </c>
      <c r="V664" s="8" t="str">
        <f aca="false">IF(U664&gt;=Assumptions!$B$10,"Healthy",IF(U664&gt;=Assumptions!$B$11,"Needs Attention","High Risk"))</f>
        <v>Needs Attention</v>
      </c>
    </row>
    <row r="665" customFormat="false" ht="15" hidden="false" customHeight="false" outlineLevel="0" collapsed="false">
      <c r="A665" s="8" t="s">
        <v>1471</v>
      </c>
      <c r="B665" s="8" t="s">
        <v>1472</v>
      </c>
      <c r="C665" s="8" t="s">
        <v>53</v>
      </c>
      <c r="D665" s="8" t="s">
        <v>55</v>
      </c>
      <c r="E665" s="8" t="s">
        <v>132</v>
      </c>
      <c r="F665" s="8" t="s">
        <v>143</v>
      </c>
      <c r="G665" s="8" t="s">
        <v>137</v>
      </c>
      <c r="H665" s="15" t="n">
        <v>2340</v>
      </c>
      <c r="I665" s="15" t="n">
        <v>2340</v>
      </c>
      <c r="J665" s="16" t="n">
        <v>0.513</v>
      </c>
      <c r="K665" s="8" t="n">
        <v>8</v>
      </c>
      <c r="L665" s="8" t="n">
        <v>3</v>
      </c>
      <c r="M665" s="8" t="n">
        <v>6</v>
      </c>
      <c r="N665" s="8" t="s">
        <v>120</v>
      </c>
      <c r="O665" s="15" t="n">
        <f aca="false">H665*12</f>
        <v>28080</v>
      </c>
      <c r="P665" s="8" t="n">
        <f aca="false">MIN(100,ROUND(100*J665/Assumptions!$B$8,0))</f>
        <v>57</v>
      </c>
      <c r="Q665" s="8" t="n">
        <f aca="false">IF(L665="",Assumptions!$B$9,L665*10)</f>
        <v>30</v>
      </c>
      <c r="R665" s="8" t="n">
        <f aca="false">IF(M665&lt;=1,Assumptions!$B$12,IF(M665&lt;=3,Assumptions!$B$13,IF(M665&lt;=6,Assumptions!$B$14,Assumptions!$B$15)))</f>
        <v>50</v>
      </c>
      <c r="S665" s="8" t="n">
        <f aca="false">IF(N665="Completed On Time",Assumptions!$B$16,IF(N665="Completed Late",Assumptions!$B$17,Assumptions!$B$18))</f>
        <v>100</v>
      </c>
      <c r="T665" s="8" t="n">
        <f aca="false">IF(I665=0,Assumptions!$B$20,IF(H665&gt;I665,Assumptions!$B$19,IF(H665=I665,Assumptions!$B$20,Assumptions!$B$21)))</f>
        <v>70</v>
      </c>
      <c r="U665" s="8" t="n">
        <f aca="false">ROUND(P665*Assumptions!$B$2+Q665*Assumptions!$B$3+R665*Assumptions!$B$4+S665*Assumptions!$B$5+T665*Assumptions!$B$6,0)</f>
        <v>57</v>
      </c>
      <c r="V665" s="8" t="str">
        <f aca="false">IF(U665&gt;=Assumptions!$B$10,"Healthy",IF(U665&gt;=Assumptions!$B$11,"Needs Attention","High Risk"))</f>
        <v>High Risk</v>
      </c>
    </row>
    <row r="666" customFormat="false" ht="15" hidden="false" customHeight="false" outlineLevel="0" collapsed="false">
      <c r="A666" s="8" t="s">
        <v>1473</v>
      </c>
      <c r="B666" s="8" t="s">
        <v>1474</v>
      </c>
      <c r="C666" s="8" t="s">
        <v>53</v>
      </c>
      <c r="D666" s="8" t="s">
        <v>326</v>
      </c>
      <c r="E666" s="8" t="s">
        <v>123</v>
      </c>
      <c r="F666" s="8" t="s">
        <v>136</v>
      </c>
      <c r="G666" s="8" t="s">
        <v>180</v>
      </c>
      <c r="H666" s="15" t="n">
        <v>2325</v>
      </c>
      <c r="I666" s="15" t="n">
        <v>0</v>
      </c>
      <c r="J666" s="16" t="n">
        <v>0.591</v>
      </c>
      <c r="K666" s="8" t="n">
        <v>9.5</v>
      </c>
      <c r="L666" s="8"/>
      <c r="M666" s="8" t="n">
        <v>2</v>
      </c>
      <c r="N666" s="8" t="s">
        <v>199</v>
      </c>
      <c r="O666" s="15" t="n">
        <f aca="false">H666*12</f>
        <v>27900</v>
      </c>
      <c r="P666" s="8" t="n">
        <f aca="false">MIN(100,ROUND(100*J666/Assumptions!$B$8,0))</f>
        <v>66</v>
      </c>
      <c r="Q666" s="8" t="n">
        <f aca="false">IF(L666="",Assumptions!$B$9,L666*10)</f>
        <v>50</v>
      </c>
      <c r="R666" s="8" t="n">
        <f aca="false">IF(M666&lt;=1,Assumptions!$B$12,IF(M666&lt;=3,Assumptions!$B$13,IF(M666&lt;=6,Assumptions!$B$14,Assumptions!$B$15)))</f>
        <v>75</v>
      </c>
      <c r="S666" s="8" t="n">
        <f aca="false">IF(N666="Completed On Time",Assumptions!$B$16,IF(N666="Completed Late",Assumptions!$B$17,Assumptions!$B$18))</f>
        <v>50</v>
      </c>
      <c r="T666" s="8" t="n">
        <f aca="false">IF(I666=0,Assumptions!$B$20,IF(H666&gt;I666,Assumptions!$B$19,IF(H666=I666,Assumptions!$B$20,Assumptions!$B$21)))</f>
        <v>70</v>
      </c>
      <c r="U666" s="8" t="n">
        <f aca="false">ROUND(P666*Assumptions!$B$2+Q666*Assumptions!$B$3+R666*Assumptions!$B$4+S666*Assumptions!$B$5+T666*Assumptions!$B$6,0)</f>
        <v>63</v>
      </c>
      <c r="V666" s="8" t="str">
        <f aca="false">IF(U666&gt;=Assumptions!$B$10,"Healthy",IF(U666&gt;=Assumptions!$B$11,"Needs Attention","High Risk"))</f>
        <v>High Risk</v>
      </c>
    </row>
    <row r="667" customFormat="false" ht="15" hidden="false" customHeight="false" outlineLevel="0" collapsed="false">
      <c r="A667" s="8" t="s">
        <v>1475</v>
      </c>
      <c r="B667" s="8" t="s">
        <v>1476</v>
      </c>
      <c r="C667" s="8" t="s">
        <v>53</v>
      </c>
      <c r="D667" s="8" t="s">
        <v>326</v>
      </c>
      <c r="E667" s="8" t="s">
        <v>132</v>
      </c>
      <c r="F667" s="8" t="s">
        <v>154</v>
      </c>
      <c r="G667" s="8" t="s">
        <v>125</v>
      </c>
      <c r="H667" s="15" t="n">
        <v>2325</v>
      </c>
      <c r="I667" s="15" t="n">
        <v>2325</v>
      </c>
      <c r="J667" s="16" t="n">
        <v>0.631</v>
      </c>
      <c r="K667" s="8" t="n">
        <v>6.3</v>
      </c>
      <c r="L667" s="8" t="n">
        <v>8</v>
      </c>
      <c r="M667" s="8" t="n">
        <v>5</v>
      </c>
      <c r="N667" s="8" t="s">
        <v>120</v>
      </c>
      <c r="O667" s="15" t="n">
        <f aca="false">H667*12</f>
        <v>27900</v>
      </c>
      <c r="P667" s="8" t="n">
        <f aca="false">MIN(100,ROUND(100*J667/Assumptions!$B$8,0))</f>
        <v>70</v>
      </c>
      <c r="Q667" s="8" t="n">
        <f aca="false">IF(L667="",Assumptions!$B$9,L667*10)</f>
        <v>80</v>
      </c>
      <c r="R667" s="8" t="n">
        <f aca="false">IF(M667&lt;=1,Assumptions!$B$12,IF(M667&lt;=3,Assumptions!$B$13,IF(M667&lt;=6,Assumptions!$B$14,Assumptions!$B$15)))</f>
        <v>50</v>
      </c>
      <c r="S667" s="8" t="n">
        <f aca="false">IF(N667="Completed On Time",Assumptions!$B$16,IF(N667="Completed Late",Assumptions!$B$17,Assumptions!$B$18))</f>
        <v>100</v>
      </c>
      <c r="T667" s="8" t="n">
        <f aca="false">IF(I667=0,Assumptions!$B$20,IF(H667&gt;I667,Assumptions!$B$19,IF(H667=I667,Assumptions!$B$20,Assumptions!$B$21)))</f>
        <v>70</v>
      </c>
      <c r="U667" s="8" t="n">
        <f aca="false">ROUND(P667*Assumptions!$B$2+Q667*Assumptions!$B$3+R667*Assumptions!$B$4+S667*Assumptions!$B$5+T667*Assumptions!$B$6,0)</f>
        <v>72</v>
      </c>
      <c r="V667" s="8" t="str">
        <f aca="false">IF(U667&gt;=Assumptions!$B$10,"Healthy",IF(U667&gt;=Assumptions!$B$11,"Needs Attention","High Risk"))</f>
        <v>Needs Attention</v>
      </c>
    </row>
    <row r="668" customFormat="false" ht="15" hidden="false" customHeight="false" outlineLevel="0" collapsed="false">
      <c r="A668" s="8" t="s">
        <v>1477</v>
      </c>
      <c r="B668" s="8" t="s">
        <v>1478</v>
      </c>
      <c r="C668" s="8" t="s">
        <v>53</v>
      </c>
      <c r="D668" s="8" t="s">
        <v>326</v>
      </c>
      <c r="E668" s="8" t="s">
        <v>123</v>
      </c>
      <c r="F668" s="8" t="s">
        <v>133</v>
      </c>
      <c r="G668" s="8" t="s">
        <v>137</v>
      </c>
      <c r="H668" s="15" t="n">
        <v>2325</v>
      </c>
      <c r="I668" s="15" t="n">
        <v>2325</v>
      </c>
      <c r="J668" s="16" t="n">
        <v>0.57</v>
      </c>
      <c r="K668" s="8" t="n">
        <v>7</v>
      </c>
      <c r="L668" s="8" t="n">
        <v>5</v>
      </c>
      <c r="M668" s="8" t="n">
        <v>2</v>
      </c>
      <c r="N668" s="8" t="s">
        <v>120</v>
      </c>
      <c r="O668" s="15" t="n">
        <f aca="false">H668*12</f>
        <v>27900</v>
      </c>
      <c r="P668" s="8" t="n">
        <f aca="false">MIN(100,ROUND(100*J668/Assumptions!$B$8,0))</f>
        <v>63</v>
      </c>
      <c r="Q668" s="8" t="n">
        <f aca="false">IF(L668="",Assumptions!$B$9,L668*10)</f>
        <v>50</v>
      </c>
      <c r="R668" s="8" t="n">
        <f aca="false">IF(M668&lt;=1,Assumptions!$B$12,IF(M668&lt;=3,Assumptions!$B$13,IF(M668&lt;=6,Assumptions!$B$14,Assumptions!$B$15)))</f>
        <v>75</v>
      </c>
      <c r="S668" s="8" t="n">
        <f aca="false">IF(N668="Completed On Time",Assumptions!$B$16,IF(N668="Completed Late",Assumptions!$B$17,Assumptions!$B$18))</f>
        <v>100</v>
      </c>
      <c r="T668" s="8" t="n">
        <f aca="false">IF(I668=0,Assumptions!$B$20,IF(H668&gt;I668,Assumptions!$B$19,IF(H668=I668,Assumptions!$B$20,Assumptions!$B$21)))</f>
        <v>70</v>
      </c>
      <c r="U668" s="8" t="n">
        <f aca="false">ROUND(P668*Assumptions!$B$2+Q668*Assumptions!$B$3+R668*Assumptions!$B$4+S668*Assumptions!$B$5+T668*Assumptions!$B$6,0)</f>
        <v>67</v>
      </c>
      <c r="V668" s="8" t="str">
        <f aca="false">IF(U668&gt;=Assumptions!$B$10,"Healthy",IF(U668&gt;=Assumptions!$B$11,"Needs Attention","High Risk"))</f>
        <v>Needs Attention</v>
      </c>
    </row>
    <row r="669" customFormat="false" ht="15" hidden="false" customHeight="false" outlineLevel="0" collapsed="false">
      <c r="A669" s="8" t="s">
        <v>1479</v>
      </c>
      <c r="B669" s="8" t="s">
        <v>1480</v>
      </c>
      <c r="C669" s="8" t="s">
        <v>53</v>
      </c>
      <c r="D669" s="8" t="s">
        <v>326</v>
      </c>
      <c r="E669" s="8" t="s">
        <v>123</v>
      </c>
      <c r="F669" s="8" t="s">
        <v>223</v>
      </c>
      <c r="G669" s="8" t="s">
        <v>140</v>
      </c>
      <c r="H669" s="15" t="n">
        <v>2325</v>
      </c>
      <c r="I669" s="15" t="n">
        <v>2325</v>
      </c>
      <c r="J669" s="16" t="n">
        <v>0.878</v>
      </c>
      <c r="K669" s="8" t="n">
        <v>10.3</v>
      </c>
      <c r="L669" s="8" t="n">
        <v>8</v>
      </c>
      <c r="M669" s="8" t="n">
        <v>4</v>
      </c>
      <c r="N669" s="8" t="s">
        <v>120</v>
      </c>
      <c r="O669" s="15" t="n">
        <f aca="false">H669*12</f>
        <v>27900</v>
      </c>
      <c r="P669" s="8" t="n">
        <f aca="false">MIN(100,ROUND(100*J669/Assumptions!$B$8,0))</f>
        <v>98</v>
      </c>
      <c r="Q669" s="8" t="n">
        <f aca="false">IF(L669="",Assumptions!$B$9,L669*10)</f>
        <v>80</v>
      </c>
      <c r="R669" s="8" t="n">
        <f aca="false">IF(M669&lt;=1,Assumptions!$B$12,IF(M669&lt;=3,Assumptions!$B$13,IF(M669&lt;=6,Assumptions!$B$14,Assumptions!$B$15)))</f>
        <v>50</v>
      </c>
      <c r="S669" s="8" t="n">
        <f aca="false">IF(N669="Completed On Time",Assumptions!$B$16,IF(N669="Completed Late",Assumptions!$B$17,Assumptions!$B$18))</f>
        <v>100</v>
      </c>
      <c r="T669" s="8" t="n">
        <f aca="false">IF(I669=0,Assumptions!$B$20,IF(H669&gt;I669,Assumptions!$B$19,IF(H669=I669,Assumptions!$B$20,Assumptions!$B$21)))</f>
        <v>70</v>
      </c>
      <c r="U669" s="8" t="n">
        <f aca="false">ROUND(P669*Assumptions!$B$2+Q669*Assumptions!$B$3+R669*Assumptions!$B$4+S669*Assumptions!$B$5+T669*Assumptions!$B$6,0)</f>
        <v>82</v>
      </c>
      <c r="V669" s="8" t="str">
        <f aca="false">IF(U669&gt;=Assumptions!$B$10,"Healthy",IF(U669&gt;=Assumptions!$B$11,"Needs Attention","High Risk"))</f>
        <v>Healthy</v>
      </c>
    </row>
    <row r="670" customFormat="false" ht="15" hidden="false" customHeight="false" outlineLevel="0" collapsed="false">
      <c r="A670" s="8" t="s">
        <v>1481</v>
      </c>
      <c r="B670" s="8" t="s">
        <v>1482</v>
      </c>
      <c r="C670" s="8" t="s">
        <v>53</v>
      </c>
      <c r="D670" s="8" t="s">
        <v>326</v>
      </c>
      <c r="E670" s="8" t="s">
        <v>123</v>
      </c>
      <c r="F670" s="8" t="s">
        <v>190</v>
      </c>
      <c r="G670" s="8" t="s">
        <v>180</v>
      </c>
      <c r="H670" s="15" t="n">
        <v>2300</v>
      </c>
      <c r="I670" s="15" t="n">
        <v>0</v>
      </c>
      <c r="J670" s="16" t="n">
        <v>0.793</v>
      </c>
      <c r="K670" s="8" t="n">
        <v>5.5</v>
      </c>
      <c r="L670" s="8"/>
      <c r="M670" s="8" t="n">
        <v>0</v>
      </c>
      <c r="N670" s="8" t="s">
        <v>199</v>
      </c>
      <c r="O670" s="15" t="n">
        <f aca="false">H670*12</f>
        <v>27600</v>
      </c>
      <c r="P670" s="8" t="n">
        <f aca="false">MIN(100,ROUND(100*J670/Assumptions!$B$8,0))</f>
        <v>88</v>
      </c>
      <c r="Q670" s="8" t="n">
        <f aca="false">IF(L670="",Assumptions!$B$9,L670*10)</f>
        <v>50</v>
      </c>
      <c r="R670" s="8" t="n">
        <f aca="false">IF(M670&lt;=1,Assumptions!$B$12,IF(M670&lt;=3,Assumptions!$B$13,IF(M670&lt;=6,Assumptions!$B$14,Assumptions!$B$15)))</f>
        <v>100</v>
      </c>
      <c r="S670" s="8" t="n">
        <f aca="false">IF(N670="Completed On Time",Assumptions!$B$16,IF(N670="Completed Late",Assumptions!$B$17,Assumptions!$B$18))</f>
        <v>50</v>
      </c>
      <c r="T670" s="8" t="n">
        <f aca="false">IF(I670=0,Assumptions!$B$20,IF(H670&gt;I670,Assumptions!$B$19,IF(H670=I670,Assumptions!$B$20,Assumptions!$B$21)))</f>
        <v>70</v>
      </c>
      <c r="U670" s="8" t="n">
        <f aca="false">ROUND(P670*Assumptions!$B$2+Q670*Assumptions!$B$3+R670*Assumptions!$B$4+S670*Assumptions!$B$5+T670*Assumptions!$B$6,0)</f>
        <v>75</v>
      </c>
      <c r="V670" s="8" t="str">
        <f aca="false">IF(U670&gt;=Assumptions!$B$10,"Healthy",IF(U670&gt;=Assumptions!$B$11,"Needs Attention","High Risk"))</f>
        <v>Needs Attention</v>
      </c>
    </row>
    <row r="671" customFormat="false" ht="15" hidden="false" customHeight="false" outlineLevel="0" collapsed="false">
      <c r="A671" s="8" t="s">
        <v>1483</v>
      </c>
      <c r="B671" s="8" t="s">
        <v>1484</v>
      </c>
      <c r="C671" s="8" t="s">
        <v>53</v>
      </c>
      <c r="D671" s="8" t="s">
        <v>326</v>
      </c>
      <c r="E671" s="8" t="s">
        <v>128</v>
      </c>
      <c r="F671" s="8" t="s">
        <v>136</v>
      </c>
      <c r="G671" s="8" t="s">
        <v>119</v>
      </c>
      <c r="H671" s="15" t="n">
        <v>2300</v>
      </c>
      <c r="I671" s="15" t="n">
        <v>2300</v>
      </c>
      <c r="J671" s="16" t="n">
        <v>0.746</v>
      </c>
      <c r="K671" s="8" t="n">
        <v>8.7</v>
      </c>
      <c r="L671" s="8" t="n">
        <v>7</v>
      </c>
      <c r="M671" s="8" t="n">
        <v>2</v>
      </c>
      <c r="N671" s="8" t="s">
        <v>120</v>
      </c>
      <c r="O671" s="15" t="n">
        <f aca="false">H671*12</f>
        <v>27600</v>
      </c>
      <c r="P671" s="8" t="n">
        <f aca="false">MIN(100,ROUND(100*J671/Assumptions!$B$8,0))</f>
        <v>83</v>
      </c>
      <c r="Q671" s="8" t="n">
        <f aca="false">IF(L671="",Assumptions!$B$9,L671*10)</f>
        <v>70</v>
      </c>
      <c r="R671" s="8" t="n">
        <f aca="false">IF(M671&lt;=1,Assumptions!$B$12,IF(M671&lt;=3,Assumptions!$B$13,IF(M671&lt;=6,Assumptions!$B$14,Assumptions!$B$15)))</f>
        <v>75</v>
      </c>
      <c r="S671" s="8" t="n">
        <f aca="false">IF(N671="Completed On Time",Assumptions!$B$16,IF(N671="Completed Late",Assumptions!$B$17,Assumptions!$B$18))</f>
        <v>100</v>
      </c>
      <c r="T671" s="8" t="n">
        <f aca="false">IF(I671=0,Assumptions!$B$20,IF(H671&gt;I671,Assumptions!$B$19,IF(H671=I671,Assumptions!$B$20,Assumptions!$B$21)))</f>
        <v>70</v>
      </c>
      <c r="U671" s="8" t="n">
        <f aca="false">ROUND(P671*Assumptions!$B$2+Q671*Assumptions!$B$3+R671*Assumptions!$B$4+S671*Assumptions!$B$5+T671*Assumptions!$B$6,0)</f>
        <v>78</v>
      </c>
      <c r="V671" s="8" t="str">
        <f aca="false">IF(U671&gt;=Assumptions!$B$10,"Healthy",IF(U671&gt;=Assumptions!$B$11,"Needs Attention","High Risk"))</f>
        <v>Needs Attention</v>
      </c>
    </row>
    <row r="672" customFormat="false" ht="15" hidden="false" customHeight="false" outlineLevel="0" collapsed="false">
      <c r="A672" s="8" t="s">
        <v>1485</v>
      </c>
      <c r="B672" s="8" t="s">
        <v>1486</v>
      </c>
      <c r="C672" s="8" t="s">
        <v>53</v>
      </c>
      <c r="D672" s="8" t="s">
        <v>326</v>
      </c>
      <c r="E672" s="8" t="s">
        <v>117</v>
      </c>
      <c r="F672" s="8" t="s">
        <v>223</v>
      </c>
      <c r="G672" s="8" t="s">
        <v>147</v>
      </c>
      <c r="H672" s="15" t="n">
        <v>2300</v>
      </c>
      <c r="I672" s="15" t="n">
        <v>2300</v>
      </c>
      <c r="J672" s="16" t="n">
        <v>0.899</v>
      </c>
      <c r="K672" s="8" t="n">
        <v>10.7</v>
      </c>
      <c r="L672" s="8" t="n">
        <v>10</v>
      </c>
      <c r="M672" s="8" t="n">
        <v>2</v>
      </c>
      <c r="N672" s="8" t="s">
        <v>120</v>
      </c>
      <c r="O672" s="15" t="n">
        <f aca="false">H672*12</f>
        <v>27600</v>
      </c>
      <c r="P672" s="8" t="n">
        <f aca="false">MIN(100,ROUND(100*J672/Assumptions!$B$8,0))</f>
        <v>100</v>
      </c>
      <c r="Q672" s="8" t="n">
        <f aca="false">IF(L672="",Assumptions!$B$9,L672*10)</f>
        <v>100</v>
      </c>
      <c r="R672" s="8" t="n">
        <f aca="false">IF(M672&lt;=1,Assumptions!$B$12,IF(M672&lt;=3,Assumptions!$B$13,IF(M672&lt;=6,Assumptions!$B$14,Assumptions!$B$15)))</f>
        <v>75</v>
      </c>
      <c r="S672" s="8" t="n">
        <f aca="false">IF(N672="Completed On Time",Assumptions!$B$16,IF(N672="Completed Late",Assumptions!$B$17,Assumptions!$B$18))</f>
        <v>100</v>
      </c>
      <c r="T672" s="8" t="n">
        <f aca="false">IF(I672=0,Assumptions!$B$20,IF(H672&gt;I672,Assumptions!$B$19,IF(H672=I672,Assumptions!$B$20,Assumptions!$B$21)))</f>
        <v>70</v>
      </c>
      <c r="U672" s="8" t="n">
        <f aca="false">ROUND(P672*Assumptions!$B$2+Q672*Assumptions!$B$3+R672*Assumptions!$B$4+S672*Assumptions!$B$5+T672*Assumptions!$B$6,0)</f>
        <v>90</v>
      </c>
      <c r="V672" s="8" t="str">
        <f aca="false">IF(U672&gt;=Assumptions!$B$10,"Healthy",IF(U672&gt;=Assumptions!$B$11,"Needs Attention","High Risk"))</f>
        <v>Healthy</v>
      </c>
    </row>
    <row r="673" customFormat="false" ht="15" hidden="false" customHeight="false" outlineLevel="0" collapsed="false">
      <c r="A673" s="8" t="s">
        <v>1487</v>
      </c>
      <c r="B673" s="8" t="s">
        <v>1488</v>
      </c>
      <c r="C673" s="8" t="s">
        <v>53</v>
      </c>
      <c r="D673" s="8" t="s">
        <v>326</v>
      </c>
      <c r="E673" s="8" t="s">
        <v>132</v>
      </c>
      <c r="F673" s="8" t="s">
        <v>151</v>
      </c>
      <c r="G673" s="8" t="s">
        <v>177</v>
      </c>
      <c r="H673" s="15" t="n">
        <v>2300</v>
      </c>
      <c r="I673" s="15" t="n">
        <v>2300</v>
      </c>
      <c r="J673" s="16" t="n">
        <v>0.924</v>
      </c>
      <c r="K673" s="8" t="n">
        <v>11.3</v>
      </c>
      <c r="L673" s="8" t="n">
        <v>9</v>
      </c>
      <c r="M673" s="8" t="n">
        <v>1</v>
      </c>
      <c r="N673" s="8" t="s">
        <v>148</v>
      </c>
      <c r="O673" s="15" t="n">
        <f aca="false">H673*12</f>
        <v>27600</v>
      </c>
      <c r="P673" s="8" t="n">
        <f aca="false">MIN(100,ROUND(100*J673/Assumptions!$B$8,0))</f>
        <v>100</v>
      </c>
      <c r="Q673" s="8" t="n">
        <f aca="false">IF(L673="",Assumptions!$B$9,L673*10)</f>
        <v>90</v>
      </c>
      <c r="R673" s="8" t="n">
        <f aca="false">IF(M673&lt;=1,Assumptions!$B$12,IF(M673&lt;=3,Assumptions!$B$13,IF(M673&lt;=6,Assumptions!$B$14,Assumptions!$B$15)))</f>
        <v>100</v>
      </c>
      <c r="S673" s="8" t="n">
        <f aca="false">IF(N673="Completed On Time",Assumptions!$B$16,IF(N673="Completed Late",Assumptions!$B$17,Assumptions!$B$18))</f>
        <v>60</v>
      </c>
      <c r="T673" s="8" t="n">
        <f aca="false">IF(I673=0,Assumptions!$B$20,IF(H673&gt;I673,Assumptions!$B$19,IF(H673=I673,Assumptions!$B$20,Assumptions!$B$21)))</f>
        <v>70</v>
      </c>
      <c r="U673" s="8" t="n">
        <f aca="false">ROUND(P673*Assumptions!$B$2+Q673*Assumptions!$B$3+R673*Assumptions!$B$4+S673*Assumptions!$B$5+T673*Assumptions!$B$6,0)</f>
        <v>88</v>
      </c>
      <c r="V673" s="8" t="str">
        <f aca="false">IF(U673&gt;=Assumptions!$B$10,"Healthy",IF(U673&gt;=Assumptions!$B$11,"Needs Attention","High Risk"))</f>
        <v>Healthy</v>
      </c>
    </row>
    <row r="674" customFormat="false" ht="15" hidden="false" customHeight="false" outlineLevel="0" collapsed="false">
      <c r="A674" s="8" t="s">
        <v>1489</v>
      </c>
      <c r="B674" s="8" t="s">
        <v>1490</v>
      </c>
      <c r="C674" s="8" t="s">
        <v>53</v>
      </c>
      <c r="D674" s="8" t="s">
        <v>326</v>
      </c>
      <c r="E674" s="8" t="s">
        <v>132</v>
      </c>
      <c r="F674" s="8" t="s">
        <v>166</v>
      </c>
      <c r="G674" s="8" t="s">
        <v>159</v>
      </c>
      <c r="H674" s="15" t="n">
        <v>2300</v>
      </c>
      <c r="I674" s="15" t="n">
        <v>2300</v>
      </c>
      <c r="J674" s="16" t="n">
        <v>0.71</v>
      </c>
      <c r="K674" s="8" t="n">
        <v>8.7</v>
      </c>
      <c r="L674" s="8" t="n">
        <v>7</v>
      </c>
      <c r="M674" s="8" t="n">
        <v>2</v>
      </c>
      <c r="N674" s="8" t="s">
        <v>120</v>
      </c>
      <c r="O674" s="15" t="n">
        <f aca="false">H674*12</f>
        <v>27600</v>
      </c>
      <c r="P674" s="8" t="n">
        <f aca="false">MIN(100,ROUND(100*J674/Assumptions!$B$8,0))</f>
        <v>79</v>
      </c>
      <c r="Q674" s="8" t="n">
        <f aca="false">IF(L674="",Assumptions!$B$9,L674*10)</f>
        <v>70</v>
      </c>
      <c r="R674" s="8" t="n">
        <f aca="false">IF(M674&lt;=1,Assumptions!$B$12,IF(M674&lt;=3,Assumptions!$B$13,IF(M674&lt;=6,Assumptions!$B$14,Assumptions!$B$15)))</f>
        <v>75</v>
      </c>
      <c r="S674" s="8" t="n">
        <f aca="false">IF(N674="Completed On Time",Assumptions!$B$16,IF(N674="Completed Late",Assumptions!$B$17,Assumptions!$B$18))</f>
        <v>100</v>
      </c>
      <c r="T674" s="8" t="n">
        <f aca="false">IF(I674=0,Assumptions!$B$20,IF(H674&gt;I674,Assumptions!$B$19,IF(H674=I674,Assumptions!$B$20,Assumptions!$B$21)))</f>
        <v>70</v>
      </c>
      <c r="U674" s="8" t="n">
        <f aca="false">ROUND(P674*Assumptions!$B$2+Q674*Assumptions!$B$3+R674*Assumptions!$B$4+S674*Assumptions!$B$5+T674*Assumptions!$B$6,0)</f>
        <v>77</v>
      </c>
      <c r="V674" s="8" t="str">
        <f aca="false">IF(U674&gt;=Assumptions!$B$10,"Healthy",IF(U674&gt;=Assumptions!$B$11,"Needs Attention","High Risk"))</f>
        <v>Needs Attention</v>
      </c>
    </row>
    <row r="675" customFormat="false" ht="15" hidden="false" customHeight="false" outlineLevel="0" collapsed="false">
      <c r="A675" s="8" t="s">
        <v>1491</v>
      </c>
      <c r="B675" s="8" t="s">
        <v>1492</v>
      </c>
      <c r="C675" s="8" t="s">
        <v>53</v>
      </c>
      <c r="D675" s="8" t="s">
        <v>326</v>
      </c>
      <c r="E675" s="8" t="s">
        <v>132</v>
      </c>
      <c r="F675" s="8" t="s">
        <v>223</v>
      </c>
      <c r="G675" s="8" t="s">
        <v>177</v>
      </c>
      <c r="H675" s="15" t="n">
        <v>2300</v>
      </c>
      <c r="I675" s="15" t="n">
        <v>0</v>
      </c>
      <c r="J675" s="16" t="n">
        <v>0.569</v>
      </c>
      <c r="K675" s="8" t="n">
        <v>8</v>
      </c>
      <c r="L675" s="8"/>
      <c r="M675" s="8" t="n">
        <v>3</v>
      </c>
      <c r="N675" s="8" t="s">
        <v>120</v>
      </c>
      <c r="O675" s="15" t="n">
        <f aca="false">H675*12</f>
        <v>27600</v>
      </c>
      <c r="P675" s="8" t="n">
        <f aca="false">MIN(100,ROUND(100*J675/Assumptions!$B$8,0))</f>
        <v>63</v>
      </c>
      <c r="Q675" s="8" t="n">
        <f aca="false">IF(L675="",Assumptions!$B$9,L675*10)</f>
        <v>50</v>
      </c>
      <c r="R675" s="8" t="n">
        <f aca="false">IF(M675&lt;=1,Assumptions!$B$12,IF(M675&lt;=3,Assumptions!$B$13,IF(M675&lt;=6,Assumptions!$B$14,Assumptions!$B$15)))</f>
        <v>75</v>
      </c>
      <c r="S675" s="8" t="n">
        <f aca="false">IF(N675="Completed On Time",Assumptions!$B$16,IF(N675="Completed Late",Assumptions!$B$17,Assumptions!$B$18))</f>
        <v>100</v>
      </c>
      <c r="T675" s="8" t="n">
        <f aca="false">IF(I675=0,Assumptions!$B$20,IF(H675&gt;I675,Assumptions!$B$19,IF(H675=I675,Assumptions!$B$20,Assumptions!$B$21)))</f>
        <v>70</v>
      </c>
      <c r="U675" s="8" t="n">
        <f aca="false">ROUND(P675*Assumptions!$B$2+Q675*Assumptions!$B$3+R675*Assumptions!$B$4+S675*Assumptions!$B$5+T675*Assumptions!$B$6,0)</f>
        <v>67</v>
      </c>
      <c r="V675" s="8" t="str">
        <f aca="false">IF(U675&gt;=Assumptions!$B$10,"Healthy",IF(U675&gt;=Assumptions!$B$11,"Needs Attention","High Risk"))</f>
        <v>Needs Attention</v>
      </c>
    </row>
    <row r="676" customFormat="false" ht="15" hidden="false" customHeight="false" outlineLevel="0" collapsed="false">
      <c r="A676" s="8" t="s">
        <v>1493</v>
      </c>
      <c r="B676" s="8" t="s">
        <v>1494</v>
      </c>
      <c r="C676" s="8" t="s">
        <v>53</v>
      </c>
      <c r="D676" s="8" t="s">
        <v>326</v>
      </c>
      <c r="E676" s="8" t="s">
        <v>117</v>
      </c>
      <c r="F676" s="8" t="s">
        <v>118</v>
      </c>
      <c r="G676" s="8" t="s">
        <v>159</v>
      </c>
      <c r="H676" s="15" t="n">
        <v>2300</v>
      </c>
      <c r="I676" s="15" t="n">
        <v>2300</v>
      </c>
      <c r="J676" s="16" t="n">
        <v>0.728</v>
      </c>
      <c r="K676" s="8" t="n">
        <v>8.7</v>
      </c>
      <c r="L676" s="8" t="n">
        <v>9</v>
      </c>
      <c r="M676" s="8" t="n">
        <v>0</v>
      </c>
      <c r="N676" s="8" t="s">
        <v>148</v>
      </c>
      <c r="O676" s="15" t="n">
        <f aca="false">H676*12</f>
        <v>27600</v>
      </c>
      <c r="P676" s="8" t="n">
        <f aca="false">MIN(100,ROUND(100*J676/Assumptions!$B$8,0))</f>
        <v>81</v>
      </c>
      <c r="Q676" s="8" t="n">
        <f aca="false">IF(L676="",Assumptions!$B$9,L676*10)</f>
        <v>90</v>
      </c>
      <c r="R676" s="8" t="n">
        <f aca="false">IF(M676&lt;=1,Assumptions!$B$12,IF(M676&lt;=3,Assumptions!$B$13,IF(M676&lt;=6,Assumptions!$B$14,Assumptions!$B$15)))</f>
        <v>100</v>
      </c>
      <c r="S676" s="8" t="n">
        <f aca="false">IF(N676="Completed On Time",Assumptions!$B$16,IF(N676="Completed Late",Assumptions!$B$17,Assumptions!$B$18))</f>
        <v>60</v>
      </c>
      <c r="T676" s="8" t="n">
        <f aca="false">IF(I676=0,Assumptions!$B$20,IF(H676&gt;I676,Assumptions!$B$19,IF(H676=I676,Assumptions!$B$20,Assumptions!$B$21)))</f>
        <v>70</v>
      </c>
      <c r="U676" s="8" t="n">
        <f aca="false">ROUND(P676*Assumptions!$B$2+Q676*Assumptions!$B$3+R676*Assumptions!$B$4+S676*Assumptions!$B$5+T676*Assumptions!$B$6,0)</f>
        <v>81</v>
      </c>
      <c r="V676" s="8" t="str">
        <f aca="false">IF(U676&gt;=Assumptions!$B$10,"Healthy",IF(U676&gt;=Assumptions!$B$11,"Needs Attention","High Risk"))</f>
        <v>Healthy</v>
      </c>
    </row>
    <row r="677" customFormat="false" ht="15" hidden="false" customHeight="false" outlineLevel="0" collapsed="false">
      <c r="A677" s="8" t="s">
        <v>1495</v>
      </c>
      <c r="B677" s="8" t="s">
        <v>1496</v>
      </c>
      <c r="C677" s="8" t="s">
        <v>53</v>
      </c>
      <c r="D677" s="8" t="s">
        <v>55</v>
      </c>
      <c r="E677" s="8" t="s">
        <v>132</v>
      </c>
      <c r="F677" s="8" t="s">
        <v>124</v>
      </c>
      <c r="G677" s="8" t="s">
        <v>147</v>
      </c>
      <c r="H677" s="15" t="n">
        <v>2295</v>
      </c>
      <c r="I677" s="15" t="n">
        <v>2295</v>
      </c>
      <c r="J677" s="16" t="n">
        <v>0.451</v>
      </c>
      <c r="K677" s="8" t="n">
        <v>3.7</v>
      </c>
      <c r="L677" s="8" t="n">
        <v>6</v>
      </c>
      <c r="M677" s="8" t="n">
        <v>8</v>
      </c>
      <c r="N677" s="8" t="s">
        <v>148</v>
      </c>
      <c r="O677" s="15" t="n">
        <f aca="false">H677*12</f>
        <v>27540</v>
      </c>
      <c r="P677" s="8" t="n">
        <f aca="false">MIN(100,ROUND(100*J677/Assumptions!$B$8,0))</f>
        <v>50</v>
      </c>
      <c r="Q677" s="8" t="n">
        <f aca="false">IF(L677="",Assumptions!$B$9,L677*10)</f>
        <v>60</v>
      </c>
      <c r="R677" s="8" t="n">
        <f aca="false">IF(M677&lt;=1,Assumptions!$B$12,IF(M677&lt;=3,Assumptions!$B$13,IF(M677&lt;=6,Assumptions!$B$14,Assumptions!$B$15)))</f>
        <v>20</v>
      </c>
      <c r="S677" s="8" t="n">
        <f aca="false">IF(N677="Completed On Time",Assumptions!$B$16,IF(N677="Completed Late",Assumptions!$B$17,Assumptions!$B$18))</f>
        <v>60</v>
      </c>
      <c r="T677" s="8" t="n">
        <f aca="false">IF(I677=0,Assumptions!$B$20,IF(H677&gt;I677,Assumptions!$B$19,IF(H677=I677,Assumptions!$B$20,Assumptions!$B$21)))</f>
        <v>70</v>
      </c>
      <c r="U677" s="8" t="n">
        <f aca="false">ROUND(P677*Assumptions!$B$2+Q677*Assumptions!$B$3+R677*Assumptions!$B$4+S677*Assumptions!$B$5+T677*Assumptions!$B$6,0)</f>
        <v>53</v>
      </c>
      <c r="V677" s="8" t="str">
        <f aca="false">IF(U677&gt;=Assumptions!$B$10,"Healthy",IF(U677&gt;=Assumptions!$B$11,"Needs Attention","High Risk"))</f>
        <v>High Risk</v>
      </c>
    </row>
    <row r="678" customFormat="false" ht="15" hidden="false" customHeight="false" outlineLevel="0" collapsed="false">
      <c r="A678" s="8" t="s">
        <v>1497</v>
      </c>
      <c r="B678" s="8" t="s">
        <v>1498</v>
      </c>
      <c r="C678" s="8" t="s">
        <v>53</v>
      </c>
      <c r="D678" s="8" t="s">
        <v>326</v>
      </c>
      <c r="E678" s="8" t="s">
        <v>123</v>
      </c>
      <c r="F678" s="8" t="s">
        <v>124</v>
      </c>
      <c r="G678" s="8" t="s">
        <v>144</v>
      </c>
      <c r="H678" s="15" t="n">
        <v>2275</v>
      </c>
      <c r="I678" s="15" t="n">
        <v>2275</v>
      </c>
      <c r="J678" s="16" t="n">
        <v>0.678</v>
      </c>
      <c r="K678" s="8" t="n">
        <v>8.7</v>
      </c>
      <c r="L678" s="8" t="n">
        <v>9</v>
      </c>
      <c r="M678" s="8" t="n">
        <v>2</v>
      </c>
      <c r="N678" s="8" t="s">
        <v>120</v>
      </c>
      <c r="O678" s="15" t="n">
        <f aca="false">H678*12</f>
        <v>27300</v>
      </c>
      <c r="P678" s="8" t="n">
        <f aca="false">MIN(100,ROUND(100*J678/Assumptions!$B$8,0))</f>
        <v>75</v>
      </c>
      <c r="Q678" s="8" t="n">
        <f aca="false">IF(L678="",Assumptions!$B$9,L678*10)</f>
        <v>90</v>
      </c>
      <c r="R678" s="8" t="n">
        <f aca="false">IF(M678&lt;=1,Assumptions!$B$12,IF(M678&lt;=3,Assumptions!$B$13,IF(M678&lt;=6,Assumptions!$B$14,Assumptions!$B$15)))</f>
        <v>75</v>
      </c>
      <c r="S678" s="8" t="n">
        <f aca="false">IF(N678="Completed On Time",Assumptions!$B$16,IF(N678="Completed Late",Assumptions!$B$17,Assumptions!$B$18))</f>
        <v>100</v>
      </c>
      <c r="T678" s="8" t="n">
        <f aca="false">IF(I678=0,Assumptions!$B$20,IF(H678&gt;I678,Assumptions!$B$19,IF(H678=I678,Assumptions!$B$20,Assumptions!$B$21)))</f>
        <v>70</v>
      </c>
      <c r="U678" s="8" t="n">
        <f aca="false">ROUND(P678*Assumptions!$B$2+Q678*Assumptions!$B$3+R678*Assumptions!$B$4+S678*Assumptions!$B$5+T678*Assumptions!$B$6,0)</f>
        <v>80</v>
      </c>
      <c r="V678" s="8" t="str">
        <f aca="false">IF(U678&gt;=Assumptions!$B$10,"Healthy",IF(U678&gt;=Assumptions!$B$11,"Needs Attention","High Risk"))</f>
        <v>Healthy</v>
      </c>
    </row>
    <row r="679" customFormat="false" ht="15" hidden="false" customHeight="false" outlineLevel="0" collapsed="false">
      <c r="A679" s="8" t="s">
        <v>1499</v>
      </c>
      <c r="B679" s="8" t="s">
        <v>1500</v>
      </c>
      <c r="C679" s="8" t="s">
        <v>53</v>
      </c>
      <c r="D679" s="8" t="s">
        <v>326</v>
      </c>
      <c r="E679" s="8" t="s">
        <v>132</v>
      </c>
      <c r="F679" s="8" t="s">
        <v>143</v>
      </c>
      <c r="G679" s="8" t="s">
        <v>177</v>
      </c>
      <c r="H679" s="15" t="n">
        <v>2275</v>
      </c>
      <c r="I679" s="15" t="n">
        <v>2275</v>
      </c>
      <c r="J679" s="16" t="n">
        <v>0.744</v>
      </c>
      <c r="K679" s="8" t="n">
        <v>10</v>
      </c>
      <c r="L679" s="8" t="n">
        <v>10</v>
      </c>
      <c r="M679" s="8" t="n">
        <v>1</v>
      </c>
      <c r="N679" s="8" t="s">
        <v>120</v>
      </c>
      <c r="O679" s="15" t="n">
        <f aca="false">H679*12</f>
        <v>27300</v>
      </c>
      <c r="P679" s="8" t="n">
        <f aca="false">MIN(100,ROUND(100*J679/Assumptions!$B$8,0))</f>
        <v>83</v>
      </c>
      <c r="Q679" s="8" t="n">
        <f aca="false">IF(L679="",Assumptions!$B$9,L679*10)</f>
        <v>100</v>
      </c>
      <c r="R679" s="8" t="n">
        <f aca="false">IF(M679&lt;=1,Assumptions!$B$12,IF(M679&lt;=3,Assumptions!$B$13,IF(M679&lt;=6,Assumptions!$B$14,Assumptions!$B$15)))</f>
        <v>100</v>
      </c>
      <c r="S679" s="8" t="n">
        <f aca="false">IF(N679="Completed On Time",Assumptions!$B$16,IF(N679="Completed Late",Assumptions!$B$17,Assumptions!$B$18))</f>
        <v>100</v>
      </c>
      <c r="T679" s="8" t="n">
        <f aca="false">IF(I679=0,Assumptions!$B$20,IF(H679&gt;I679,Assumptions!$B$19,IF(H679=I679,Assumptions!$B$20,Assumptions!$B$21)))</f>
        <v>70</v>
      </c>
      <c r="U679" s="8" t="n">
        <f aca="false">ROUND(P679*Assumptions!$B$2+Q679*Assumptions!$B$3+R679*Assumptions!$B$4+S679*Assumptions!$B$5+T679*Assumptions!$B$6,0)</f>
        <v>88</v>
      </c>
      <c r="V679" s="8" t="str">
        <f aca="false">IF(U679&gt;=Assumptions!$B$10,"Healthy",IF(U679&gt;=Assumptions!$B$11,"Needs Attention","High Risk"))</f>
        <v>Healthy</v>
      </c>
    </row>
    <row r="680" customFormat="false" ht="15" hidden="false" customHeight="false" outlineLevel="0" collapsed="false">
      <c r="A680" s="8" t="s">
        <v>1501</v>
      </c>
      <c r="B680" s="8" t="s">
        <v>1502</v>
      </c>
      <c r="C680" s="8" t="s">
        <v>53</v>
      </c>
      <c r="D680" s="8" t="s">
        <v>55</v>
      </c>
      <c r="E680" s="8" t="s">
        <v>123</v>
      </c>
      <c r="F680" s="8" t="s">
        <v>151</v>
      </c>
      <c r="G680" s="8" t="s">
        <v>185</v>
      </c>
      <c r="H680" s="15" t="n">
        <v>2250</v>
      </c>
      <c r="I680" s="15" t="n">
        <v>2250</v>
      </c>
      <c r="J680" s="16" t="n">
        <v>0.687</v>
      </c>
      <c r="K680" s="8" t="n">
        <v>6.3</v>
      </c>
      <c r="L680" s="8" t="n">
        <v>9</v>
      </c>
      <c r="M680" s="8" t="n">
        <v>1</v>
      </c>
      <c r="N680" s="8" t="s">
        <v>148</v>
      </c>
      <c r="O680" s="15" t="n">
        <f aca="false">H680*12</f>
        <v>27000</v>
      </c>
      <c r="P680" s="8" t="n">
        <f aca="false">MIN(100,ROUND(100*J680/Assumptions!$B$8,0))</f>
        <v>76</v>
      </c>
      <c r="Q680" s="8" t="n">
        <f aca="false">IF(L680="",Assumptions!$B$9,L680*10)</f>
        <v>90</v>
      </c>
      <c r="R680" s="8" t="n">
        <f aca="false">IF(M680&lt;=1,Assumptions!$B$12,IF(M680&lt;=3,Assumptions!$B$13,IF(M680&lt;=6,Assumptions!$B$14,Assumptions!$B$15)))</f>
        <v>100</v>
      </c>
      <c r="S680" s="8" t="n">
        <f aca="false">IF(N680="Completed On Time",Assumptions!$B$16,IF(N680="Completed Late",Assumptions!$B$17,Assumptions!$B$18))</f>
        <v>60</v>
      </c>
      <c r="T680" s="8" t="n">
        <f aca="false">IF(I680=0,Assumptions!$B$20,IF(H680&gt;I680,Assumptions!$B$19,IF(H680=I680,Assumptions!$B$20,Assumptions!$B$21)))</f>
        <v>70</v>
      </c>
      <c r="U680" s="8" t="n">
        <f aca="false">ROUND(P680*Assumptions!$B$2+Q680*Assumptions!$B$3+R680*Assumptions!$B$4+S680*Assumptions!$B$5+T680*Assumptions!$B$6,0)</f>
        <v>80</v>
      </c>
      <c r="V680" s="8" t="str">
        <f aca="false">IF(U680&gt;=Assumptions!$B$10,"Healthy",IF(U680&gt;=Assumptions!$B$11,"Needs Attention","High Risk"))</f>
        <v>Healthy</v>
      </c>
    </row>
    <row r="681" customFormat="false" ht="15" hidden="false" customHeight="false" outlineLevel="0" collapsed="false">
      <c r="A681" s="8" t="s">
        <v>1503</v>
      </c>
      <c r="B681" s="8" t="s">
        <v>1504</v>
      </c>
      <c r="C681" s="8" t="s">
        <v>53</v>
      </c>
      <c r="D681" s="8" t="s">
        <v>326</v>
      </c>
      <c r="E681" s="8" t="s">
        <v>123</v>
      </c>
      <c r="F681" s="8" t="s">
        <v>223</v>
      </c>
      <c r="G681" s="8" t="s">
        <v>119</v>
      </c>
      <c r="H681" s="15" t="n">
        <v>2250</v>
      </c>
      <c r="I681" s="15" t="n">
        <v>2250</v>
      </c>
      <c r="J681" s="16" t="n">
        <v>0.7</v>
      </c>
      <c r="K681" s="8" t="n">
        <v>8.7</v>
      </c>
      <c r="L681" s="8" t="n">
        <v>10</v>
      </c>
      <c r="M681" s="8" t="n">
        <v>3</v>
      </c>
      <c r="N681" s="8" t="s">
        <v>120</v>
      </c>
      <c r="O681" s="15" t="n">
        <f aca="false">H681*12</f>
        <v>27000</v>
      </c>
      <c r="P681" s="8" t="n">
        <f aca="false">MIN(100,ROUND(100*J681/Assumptions!$B$8,0))</f>
        <v>78</v>
      </c>
      <c r="Q681" s="8" t="n">
        <f aca="false">IF(L681="",Assumptions!$B$9,L681*10)</f>
        <v>100</v>
      </c>
      <c r="R681" s="8" t="n">
        <f aca="false">IF(M681&lt;=1,Assumptions!$B$12,IF(M681&lt;=3,Assumptions!$B$13,IF(M681&lt;=6,Assumptions!$B$14,Assumptions!$B$15)))</f>
        <v>75</v>
      </c>
      <c r="S681" s="8" t="n">
        <f aca="false">IF(N681="Completed On Time",Assumptions!$B$16,IF(N681="Completed Late",Assumptions!$B$17,Assumptions!$B$18))</f>
        <v>100</v>
      </c>
      <c r="T681" s="8" t="n">
        <f aca="false">IF(I681=0,Assumptions!$B$20,IF(H681&gt;I681,Assumptions!$B$19,IF(H681=I681,Assumptions!$B$20,Assumptions!$B$21)))</f>
        <v>70</v>
      </c>
      <c r="U681" s="8" t="n">
        <f aca="false">ROUND(P681*Assumptions!$B$2+Q681*Assumptions!$B$3+R681*Assumptions!$B$4+S681*Assumptions!$B$5+T681*Assumptions!$B$6,0)</f>
        <v>83</v>
      </c>
      <c r="V681" s="8" t="str">
        <f aca="false">IF(U681&gt;=Assumptions!$B$10,"Healthy",IF(U681&gt;=Assumptions!$B$11,"Needs Attention","High Risk"))</f>
        <v>Healthy</v>
      </c>
    </row>
    <row r="682" customFormat="false" ht="15" hidden="false" customHeight="false" outlineLevel="0" collapsed="false">
      <c r="A682" s="8" t="s">
        <v>1505</v>
      </c>
      <c r="B682" s="8" t="s">
        <v>1506</v>
      </c>
      <c r="C682" s="8" t="s">
        <v>53</v>
      </c>
      <c r="D682" s="8" t="s">
        <v>326</v>
      </c>
      <c r="E682" s="8" t="s">
        <v>117</v>
      </c>
      <c r="F682" s="8" t="s">
        <v>118</v>
      </c>
      <c r="G682" s="8" t="s">
        <v>185</v>
      </c>
      <c r="H682" s="15" t="n">
        <v>2250</v>
      </c>
      <c r="I682" s="15" t="n">
        <v>2250</v>
      </c>
      <c r="J682" s="16" t="n">
        <v>0.763</v>
      </c>
      <c r="K682" s="8" t="n">
        <v>10</v>
      </c>
      <c r="L682" s="8" t="n">
        <v>8</v>
      </c>
      <c r="M682" s="8" t="n">
        <v>4</v>
      </c>
      <c r="N682" s="8" t="s">
        <v>120</v>
      </c>
      <c r="O682" s="15" t="n">
        <f aca="false">H682*12</f>
        <v>27000</v>
      </c>
      <c r="P682" s="8" t="n">
        <f aca="false">MIN(100,ROUND(100*J682/Assumptions!$B$8,0))</f>
        <v>85</v>
      </c>
      <c r="Q682" s="8" t="n">
        <f aca="false">IF(L682="",Assumptions!$B$9,L682*10)</f>
        <v>80</v>
      </c>
      <c r="R682" s="8" t="n">
        <f aca="false">IF(M682&lt;=1,Assumptions!$B$12,IF(M682&lt;=3,Assumptions!$B$13,IF(M682&lt;=6,Assumptions!$B$14,Assumptions!$B$15)))</f>
        <v>50</v>
      </c>
      <c r="S682" s="8" t="n">
        <f aca="false">IF(N682="Completed On Time",Assumptions!$B$16,IF(N682="Completed Late",Assumptions!$B$17,Assumptions!$B$18))</f>
        <v>100</v>
      </c>
      <c r="T682" s="8" t="n">
        <f aca="false">IF(I682=0,Assumptions!$B$20,IF(H682&gt;I682,Assumptions!$B$19,IF(H682=I682,Assumptions!$B$20,Assumptions!$B$21)))</f>
        <v>70</v>
      </c>
      <c r="U682" s="8" t="n">
        <f aca="false">ROUND(P682*Assumptions!$B$2+Q682*Assumptions!$B$3+R682*Assumptions!$B$4+S682*Assumptions!$B$5+T682*Assumptions!$B$6,0)</f>
        <v>77</v>
      </c>
      <c r="V682" s="8" t="str">
        <f aca="false">IF(U682&gt;=Assumptions!$B$10,"Healthy",IF(U682&gt;=Assumptions!$B$11,"Needs Attention","High Risk"))</f>
        <v>Needs Attention</v>
      </c>
    </row>
    <row r="683" customFormat="false" ht="15" hidden="false" customHeight="false" outlineLevel="0" collapsed="false">
      <c r="A683" s="8" t="s">
        <v>1507</v>
      </c>
      <c r="B683" s="8" t="s">
        <v>1508</v>
      </c>
      <c r="C683" s="8" t="s">
        <v>53</v>
      </c>
      <c r="D683" s="8" t="s">
        <v>326</v>
      </c>
      <c r="E683" s="8" t="s">
        <v>117</v>
      </c>
      <c r="F683" s="8" t="s">
        <v>166</v>
      </c>
      <c r="G683" s="8" t="s">
        <v>204</v>
      </c>
      <c r="H683" s="15" t="n">
        <v>2250</v>
      </c>
      <c r="I683" s="15" t="n">
        <v>2250</v>
      </c>
      <c r="J683" s="16" t="n">
        <v>0.667</v>
      </c>
      <c r="K683" s="8" t="n">
        <v>6</v>
      </c>
      <c r="L683" s="8" t="n">
        <v>8</v>
      </c>
      <c r="M683" s="8" t="n">
        <v>1</v>
      </c>
      <c r="N683" s="8" t="s">
        <v>120</v>
      </c>
      <c r="O683" s="15" t="n">
        <f aca="false">H683*12</f>
        <v>27000</v>
      </c>
      <c r="P683" s="8" t="n">
        <f aca="false">MIN(100,ROUND(100*J683/Assumptions!$B$8,0))</f>
        <v>74</v>
      </c>
      <c r="Q683" s="8" t="n">
        <f aca="false">IF(L683="",Assumptions!$B$9,L683*10)</f>
        <v>80</v>
      </c>
      <c r="R683" s="8" t="n">
        <f aca="false">IF(M683&lt;=1,Assumptions!$B$12,IF(M683&lt;=3,Assumptions!$B$13,IF(M683&lt;=6,Assumptions!$B$14,Assumptions!$B$15)))</f>
        <v>100</v>
      </c>
      <c r="S683" s="8" t="n">
        <f aca="false">IF(N683="Completed On Time",Assumptions!$B$16,IF(N683="Completed Late",Assumptions!$B$17,Assumptions!$B$18))</f>
        <v>100</v>
      </c>
      <c r="T683" s="8" t="n">
        <f aca="false">IF(I683=0,Assumptions!$B$20,IF(H683&gt;I683,Assumptions!$B$19,IF(H683=I683,Assumptions!$B$20,Assumptions!$B$21)))</f>
        <v>70</v>
      </c>
      <c r="U683" s="8" t="n">
        <f aca="false">ROUND(P683*Assumptions!$B$2+Q683*Assumptions!$B$3+R683*Assumptions!$B$4+S683*Assumptions!$B$5+T683*Assumptions!$B$6,0)</f>
        <v>81</v>
      </c>
      <c r="V683" s="8" t="str">
        <f aca="false">IF(U683&gt;=Assumptions!$B$10,"Healthy",IF(U683&gt;=Assumptions!$B$11,"Needs Attention","High Risk"))</f>
        <v>Healthy</v>
      </c>
    </row>
    <row r="684" customFormat="false" ht="15" hidden="false" customHeight="false" outlineLevel="0" collapsed="false">
      <c r="A684" s="8" t="s">
        <v>1509</v>
      </c>
      <c r="B684" s="8" t="s">
        <v>1510</v>
      </c>
      <c r="C684" s="8" t="s">
        <v>53</v>
      </c>
      <c r="D684" s="8" t="s">
        <v>55</v>
      </c>
      <c r="E684" s="8" t="s">
        <v>132</v>
      </c>
      <c r="F684" s="8" t="s">
        <v>166</v>
      </c>
      <c r="G684" s="8" t="s">
        <v>137</v>
      </c>
      <c r="H684" s="15" t="n">
        <v>2250</v>
      </c>
      <c r="I684" s="15" t="n">
        <v>2250</v>
      </c>
      <c r="J684" s="16" t="n">
        <v>0.633</v>
      </c>
      <c r="K684" s="8" t="n">
        <v>6</v>
      </c>
      <c r="L684" s="8" t="n">
        <v>5</v>
      </c>
      <c r="M684" s="8" t="n">
        <v>3</v>
      </c>
      <c r="N684" s="8" t="s">
        <v>120</v>
      </c>
      <c r="O684" s="15" t="n">
        <f aca="false">H684*12</f>
        <v>27000</v>
      </c>
      <c r="P684" s="8" t="n">
        <f aca="false">MIN(100,ROUND(100*J684/Assumptions!$B$8,0))</f>
        <v>70</v>
      </c>
      <c r="Q684" s="8" t="n">
        <f aca="false">IF(L684="",Assumptions!$B$9,L684*10)</f>
        <v>50</v>
      </c>
      <c r="R684" s="8" t="n">
        <f aca="false">IF(M684&lt;=1,Assumptions!$B$12,IF(M684&lt;=3,Assumptions!$B$13,IF(M684&lt;=6,Assumptions!$B$14,Assumptions!$B$15)))</f>
        <v>75</v>
      </c>
      <c r="S684" s="8" t="n">
        <f aca="false">IF(N684="Completed On Time",Assumptions!$B$16,IF(N684="Completed Late",Assumptions!$B$17,Assumptions!$B$18))</f>
        <v>100</v>
      </c>
      <c r="T684" s="8" t="n">
        <f aca="false">IF(I684=0,Assumptions!$B$20,IF(H684&gt;I684,Assumptions!$B$19,IF(H684=I684,Assumptions!$B$20,Assumptions!$B$21)))</f>
        <v>70</v>
      </c>
      <c r="U684" s="8" t="n">
        <f aca="false">ROUND(P684*Assumptions!$B$2+Q684*Assumptions!$B$3+R684*Assumptions!$B$4+S684*Assumptions!$B$5+T684*Assumptions!$B$6,0)</f>
        <v>70</v>
      </c>
      <c r="V684" s="8" t="str">
        <f aca="false">IF(U684&gt;=Assumptions!$B$10,"Healthy",IF(U684&gt;=Assumptions!$B$11,"Needs Attention","High Risk"))</f>
        <v>Needs Attention</v>
      </c>
    </row>
    <row r="685" customFormat="false" ht="15" hidden="false" customHeight="false" outlineLevel="0" collapsed="false">
      <c r="A685" s="8" t="s">
        <v>1511</v>
      </c>
      <c r="B685" s="8" t="s">
        <v>1512</v>
      </c>
      <c r="C685" s="8" t="s">
        <v>53</v>
      </c>
      <c r="D685" s="8" t="s">
        <v>326</v>
      </c>
      <c r="E685" s="8" t="s">
        <v>123</v>
      </c>
      <c r="F685" s="8" t="s">
        <v>190</v>
      </c>
      <c r="G685" s="8" t="s">
        <v>204</v>
      </c>
      <c r="H685" s="15" t="n">
        <v>2250</v>
      </c>
      <c r="I685" s="15" t="n">
        <v>2250</v>
      </c>
      <c r="J685" s="16" t="n">
        <v>0.767</v>
      </c>
      <c r="K685" s="8" t="n">
        <v>8.3</v>
      </c>
      <c r="L685" s="8" t="n">
        <v>8</v>
      </c>
      <c r="M685" s="8" t="n">
        <v>0</v>
      </c>
      <c r="N685" s="8" t="s">
        <v>120</v>
      </c>
      <c r="O685" s="15" t="n">
        <f aca="false">H685*12</f>
        <v>27000</v>
      </c>
      <c r="P685" s="8" t="n">
        <f aca="false">MIN(100,ROUND(100*J685/Assumptions!$B$8,0))</f>
        <v>85</v>
      </c>
      <c r="Q685" s="8" t="n">
        <f aca="false">IF(L685="",Assumptions!$B$9,L685*10)</f>
        <v>80</v>
      </c>
      <c r="R685" s="8" t="n">
        <f aca="false">IF(M685&lt;=1,Assumptions!$B$12,IF(M685&lt;=3,Assumptions!$B$13,IF(M685&lt;=6,Assumptions!$B$14,Assumptions!$B$15)))</f>
        <v>100</v>
      </c>
      <c r="S685" s="8" t="n">
        <f aca="false">IF(N685="Completed On Time",Assumptions!$B$16,IF(N685="Completed Late",Assumptions!$B$17,Assumptions!$B$18))</f>
        <v>100</v>
      </c>
      <c r="T685" s="8" t="n">
        <f aca="false">IF(I685=0,Assumptions!$B$20,IF(H685&gt;I685,Assumptions!$B$19,IF(H685=I685,Assumptions!$B$20,Assumptions!$B$21)))</f>
        <v>70</v>
      </c>
      <c r="U685" s="8" t="n">
        <f aca="false">ROUND(P685*Assumptions!$B$2+Q685*Assumptions!$B$3+R685*Assumptions!$B$4+S685*Assumptions!$B$5+T685*Assumptions!$B$6,0)</f>
        <v>85</v>
      </c>
      <c r="V685" s="8" t="str">
        <f aca="false">IF(U685&gt;=Assumptions!$B$10,"Healthy",IF(U685&gt;=Assumptions!$B$11,"Needs Attention","High Risk"))</f>
        <v>Healthy</v>
      </c>
    </row>
    <row r="686" customFormat="false" ht="15" hidden="false" customHeight="false" outlineLevel="0" collapsed="false">
      <c r="A686" s="8" t="s">
        <v>1513</v>
      </c>
      <c r="B686" s="8" t="s">
        <v>1514</v>
      </c>
      <c r="C686" s="8" t="s">
        <v>53</v>
      </c>
      <c r="D686" s="8" t="s">
        <v>326</v>
      </c>
      <c r="E686" s="8" t="s">
        <v>132</v>
      </c>
      <c r="F686" s="8" t="s">
        <v>143</v>
      </c>
      <c r="G686" s="8" t="s">
        <v>147</v>
      </c>
      <c r="H686" s="15" t="n">
        <v>2225</v>
      </c>
      <c r="I686" s="15" t="n">
        <v>2225</v>
      </c>
      <c r="J686" s="16" t="n">
        <v>0.697</v>
      </c>
      <c r="K686" s="8" t="n">
        <v>8.7</v>
      </c>
      <c r="L686" s="8" t="n">
        <v>5</v>
      </c>
      <c r="M686" s="8" t="n">
        <v>0</v>
      </c>
      <c r="N686" s="8" t="s">
        <v>120</v>
      </c>
      <c r="O686" s="15" t="n">
        <f aca="false">H686*12</f>
        <v>26700</v>
      </c>
      <c r="P686" s="8" t="n">
        <f aca="false">MIN(100,ROUND(100*J686/Assumptions!$B$8,0))</f>
        <v>77</v>
      </c>
      <c r="Q686" s="8" t="n">
        <f aca="false">IF(L686="",Assumptions!$B$9,L686*10)</f>
        <v>50</v>
      </c>
      <c r="R686" s="8" t="n">
        <f aca="false">IF(M686&lt;=1,Assumptions!$B$12,IF(M686&lt;=3,Assumptions!$B$13,IF(M686&lt;=6,Assumptions!$B$14,Assumptions!$B$15)))</f>
        <v>100</v>
      </c>
      <c r="S686" s="8" t="n">
        <f aca="false">IF(N686="Completed On Time",Assumptions!$B$16,IF(N686="Completed Late",Assumptions!$B$17,Assumptions!$B$18))</f>
        <v>100</v>
      </c>
      <c r="T686" s="8" t="n">
        <f aca="false">IF(I686=0,Assumptions!$B$20,IF(H686&gt;I686,Assumptions!$B$19,IF(H686=I686,Assumptions!$B$20,Assumptions!$B$21)))</f>
        <v>70</v>
      </c>
      <c r="U686" s="8" t="n">
        <f aca="false">ROUND(P686*Assumptions!$B$2+Q686*Assumptions!$B$3+R686*Assumptions!$B$4+S686*Assumptions!$B$5+T686*Assumptions!$B$6,0)</f>
        <v>76</v>
      </c>
      <c r="V686" s="8" t="str">
        <f aca="false">IF(U686&gt;=Assumptions!$B$10,"Healthy",IF(U686&gt;=Assumptions!$B$11,"Needs Attention","High Risk"))</f>
        <v>Needs Attention</v>
      </c>
    </row>
    <row r="687" customFormat="false" ht="15" hidden="false" customHeight="false" outlineLevel="0" collapsed="false">
      <c r="A687" s="8" t="s">
        <v>1515</v>
      </c>
      <c r="B687" s="8" t="s">
        <v>1516</v>
      </c>
      <c r="C687" s="8" t="s">
        <v>53</v>
      </c>
      <c r="D687" s="8" t="s">
        <v>326</v>
      </c>
      <c r="E687" s="8" t="s">
        <v>123</v>
      </c>
      <c r="F687" s="8" t="s">
        <v>166</v>
      </c>
      <c r="G687" s="8" t="s">
        <v>144</v>
      </c>
      <c r="H687" s="15" t="n">
        <v>2225</v>
      </c>
      <c r="I687" s="15" t="n">
        <v>2225</v>
      </c>
      <c r="J687" s="16" t="n">
        <v>0.7</v>
      </c>
      <c r="K687" s="8" t="n">
        <v>8</v>
      </c>
      <c r="L687" s="8" t="n">
        <v>8</v>
      </c>
      <c r="M687" s="8" t="n">
        <v>3</v>
      </c>
      <c r="N687" s="8" t="s">
        <v>120</v>
      </c>
      <c r="O687" s="15" t="n">
        <f aca="false">H687*12</f>
        <v>26700</v>
      </c>
      <c r="P687" s="8" t="n">
        <f aca="false">MIN(100,ROUND(100*J687/Assumptions!$B$8,0))</f>
        <v>78</v>
      </c>
      <c r="Q687" s="8" t="n">
        <f aca="false">IF(L687="",Assumptions!$B$9,L687*10)</f>
        <v>80</v>
      </c>
      <c r="R687" s="8" t="n">
        <f aca="false">IF(M687&lt;=1,Assumptions!$B$12,IF(M687&lt;=3,Assumptions!$B$13,IF(M687&lt;=6,Assumptions!$B$14,Assumptions!$B$15)))</f>
        <v>75</v>
      </c>
      <c r="S687" s="8" t="n">
        <f aca="false">IF(N687="Completed On Time",Assumptions!$B$16,IF(N687="Completed Late",Assumptions!$B$17,Assumptions!$B$18))</f>
        <v>100</v>
      </c>
      <c r="T687" s="8" t="n">
        <f aca="false">IF(I687=0,Assumptions!$B$20,IF(H687&gt;I687,Assumptions!$B$19,IF(H687=I687,Assumptions!$B$20,Assumptions!$B$21)))</f>
        <v>70</v>
      </c>
      <c r="U687" s="8" t="n">
        <f aca="false">ROUND(P687*Assumptions!$B$2+Q687*Assumptions!$B$3+R687*Assumptions!$B$4+S687*Assumptions!$B$5+T687*Assumptions!$B$6,0)</f>
        <v>79</v>
      </c>
      <c r="V687" s="8" t="str">
        <f aca="false">IF(U687&gt;=Assumptions!$B$10,"Healthy",IF(U687&gt;=Assumptions!$B$11,"Needs Attention","High Risk"))</f>
        <v>Needs Attention</v>
      </c>
    </row>
    <row r="688" customFormat="false" ht="15" hidden="false" customHeight="false" outlineLevel="0" collapsed="false">
      <c r="A688" s="8" t="s">
        <v>1517</v>
      </c>
      <c r="B688" s="8" t="s">
        <v>1518</v>
      </c>
      <c r="C688" s="8" t="s">
        <v>53</v>
      </c>
      <c r="D688" s="8" t="s">
        <v>326</v>
      </c>
      <c r="E688" s="8" t="s">
        <v>117</v>
      </c>
      <c r="F688" s="8" t="s">
        <v>166</v>
      </c>
      <c r="G688" s="8" t="s">
        <v>137</v>
      </c>
      <c r="H688" s="15" t="n">
        <v>2225</v>
      </c>
      <c r="I688" s="15" t="n">
        <v>1750</v>
      </c>
      <c r="J688" s="16" t="n">
        <v>0.772</v>
      </c>
      <c r="K688" s="8" t="n">
        <v>9</v>
      </c>
      <c r="L688" s="8" t="n">
        <v>9</v>
      </c>
      <c r="M688" s="8" t="n">
        <v>0</v>
      </c>
      <c r="N688" s="8" t="s">
        <v>120</v>
      </c>
      <c r="O688" s="15" t="n">
        <f aca="false">H688*12</f>
        <v>26700</v>
      </c>
      <c r="P688" s="8" t="n">
        <f aca="false">MIN(100,ROUND(100*J688/Assumptions!$B$8,0))</f>
        <v>86</v>
      </c>
      <c r="Q688" s="8" t="n">
        <f aca="false">IF(L688="",Assumptions!$B$9,L688*10)</f>
        <v>90</v>
      </c>
      <c r="R688" s="8" t="n">
        <f aca="false">IF(M688&lt;=1,Assumptions!$B$12,IF(M688&lt;=3,Assumptions!$B$13,IF(M688&lt;=6,Assumptions!$B$14,Assumptions!$B$15)))</f>
        <v>100</v>
      </c>
      <c r="S688" s="8" t="n">
        <f aca="false">IF(N688="Completed On Time",Assumptions!$B$16,IF(N688="Completed Late",Assumptions!$B$17,Assumptions!$B$18))</f>
        <v>100</v>
      </c>
      <c r="T688" s="8" t="n">
        <f aca="false">IF(I688=0,Assumptions!$B$20,IF(H688&gt;I688,Assumptions!$B$19,IF(H688=I688,Assumptions!$B$20,Assumptions!$B$21)))</f>
        <v>100</v>
      </c>
      <c r="U688" s="8" t="n">
        <f aca="false">ROUND(P688*Assumptions!$B$2+Q688*Assumptions!$B$3+R688*Assumptions!$B$4+S688*Assumptions!$B$5+T688*Assumptions!$B$6,0)</f>
        <v>93</v>
      </c>
      <c r="V688" s="8" t="str">
        <f aca="false">IF(U688&gt;=Assumptions!$B$10,"Healthy",IF(U688&gt;=Assumptions!$B$11,"Needs Attention","High Risk"))</f>
        <v>Healthy</v>
      </c>
    </row>
    <row r="689" customFormat="false" ht="15" hidden="false" customHeight="false" outlineLevel="0" collapsed="false">
      <c r="A689" s="8" t="s">
        <v>1519</v>
      </c>
      <c r="B689" s="8" t="s">
        <v>1520</v>
      </c>
      <c r="C689" s="8" t="s">
        <v>53</v>
      </c>
      <c r="D689" s="8" t="s">
        <v>326</v>
      </c>
      <c r="E689" s="8" t="s">
        <v>123</v>
      </c>
      <c r="F689" s="8" t="s">
        <v>154</v>
      </c>
      <c r="G689" s="8" t="s">
        <v>137</v>
      </c>
      <c r="H689" s="15" t="n">
        <v>2225</v>
      </c>
      <c r="I689" s="15" t="n">
        <v>2225</v>
      </c>
      <c r="J689" s="16" t="n">
        <v>0.854</v>
      </c>
      <c r="K689" s="8" t="n">
        <v>9.3</v>
      </c>
      <c r="L689" s="8" t="n">
        <v>10</v>
      </c>
      <c r="M689" s="8" t="n">
        <v>0</v>
      </c>
      <c r="N689" s="8" t="s">
        <v>120</v>
      </c>
      <c r="O689" s="15" t="n">
        <f aca="false">H689*12</f>
        <v>26700</v>
      </c>
      <c r="P689" s="8" t="n">
        <f aca="false">MIN(100,ROUND(100*J689/Assumptions!$B$8,0))</f>
        <v>95</v>
      </c>
      <c r="Q689" s="8" t="n">
        <f aca="false">IF(L689="",Assumptions!$B$9,L689*10)</f>
        <v>100</v>
      </c>
      <c r="R689" s="8" t="n">
        <f aca="false">IF(M689&lt;=1,Assumptions!$B$12,IF(M689&lt;=3,Assumptions!$B$13,IF(M689&lt;=6,Assumptions!$B$14,Assumptions!$B$15)))</f>
        <v>100</v>
      </c>
      <c r="S689" s="8" t="n">
        <f aca="false">IF(N689="Completed On Time",Assumptions!$B$16,IF(N689="Completed Late",Assumptions!$B$17,Assumptions!$B$18))</f>
        <v>100</v>
      </c>
      <c r="T689" s="8" t="n">
        <f aca="false">IF(I689=0,Assumptions!$B$20,IF(H689&gt;I689,Assumptions!$B$19,IF(H689=I689,Assumptions!$B$20,Assumptions!$B$21)))</f>
        <v>70</v>
      </c>
      <c r="U689" s="8" t="n">
        <f aca="false">ROUND(P689*Assumptions!$B$2+Q689*Assumptions!$B$3+R689*Assumptions!$B$4+S689*Assumptions!$B$5+T689*Assumptions!$B$6,0)</f>
        <v>92</v>
      </c>
      <c r="V689" s="8" t="str">
        <f aca="false">IF(U689&gt;=Assumptions!$B$10,"Healthy",IF(U689&gt;=Assumptions!$B$11,"Needs Attention","High Risk"))</f>
        <v>Healthy</v>
      </c>
    </row>
    <row r="690" customFormat="false" ht="15" hidden="false" customHeight="false" outlineLevel="0" collapsed="false">
      <c r="A690" s="8" t="s">
        <v>1521</v>
      </c>
      <c r="B690" s="8" t="s">
        <v>1522</v>
      </c>
      <c r="C690" s="8" t="s">
        <v>53</v>
      </c>
      <c r="D690" s="8" t="s">
        <v>326</v>
      </c>
      <c r="E690" s="8" t="s">
        <v>123</v>
      </c>
      <c r="F690" s="8" t="s">
        <v>151</v>
      </c>
      <c r="G690" s="8" t="s">
        <v>159</v>
      </c>
      <c r="H690" s="15" t="n">
        <v>2225</v>
      </c>
      <c r="I690" s="15" t="n">
        <v>2225</v>
      </c>
      <c r="J690" s="16" t="n">
        <v>0.513</v>
      </c>
      <c r="K690" s="8" t="n">
        <v>7.7</v>
      </c>
      <c r="L690" s="8" t="n">
        <v>8</v>
      </c>
      <c r="M690" s="8" t="n">
        <v>1</v>
      </c>
      <c r="N690" s="8" t="s">
        <v>120</v>
      </c>
      <c r="O690" s="15" t="n">
        <f aca="false">H690*12</f>
        <v>26700</v>
      </c>
      <c r="P690" s="8" t="n">
        <f aca="false">MIN(100,ROUND(100*J690/Assumptions!$B$8,0))</f>
        <v>57</v>
      </c>
      <c r="Q690" s="8" t="n">
        <f aca="false">IF(L690="",Assumptions!$B$9,L690*10)</f>
        <v>80</v>
      </c>
      <c r="R690" s="8" t="n">
        <f aca="false">IF(M690&lt;=1,Assumptions!$B$12,IF(M690&lt;=3,Assumptions!$B$13,IF(M690&lt;=6,Assumptions!$B$14,Assumptions!$B$15)))</f>
        <v>100</v>
      </c>
      <c r="S690" s="8" t="n">
        <f aca="false">IF(N690="Completed On Time",Assumptions!$B$16,IF(N690="Completed Late",Assumptions!$B$17,Assumptions!$B$18))</f>
        <v>100</v>
      </c>
      <c r="T690" s="8" t="n">
        <f aca="false">IF(I690=0,Assumptions!$B$20,IF(H690&gt;I690,Assumptions!$B$19,IF(H690=I690,Assumptions!$B$20,Assumptions!$B$21)))</f>
        <v>70</v>
      </c>
      <c r="U690" s="8" t="n">
        <f aca="false">ROUND(P690*Assumptions!$B$2+Q690*Assumptions!$B$3+R690*Assumptions!$B$4+S690*Assumptions!$B$5+T690*Assumptions!$B$6,0)</f>
        <v>75</v>
      </c>
      <c r="V690" s="8" t="str">
        <f aca="false">IF(U690&gt;=Assumptions!$B$10,"Healthy",IF(U690&gt;=Assumptions!$B$11,"Needs Attention","High Risk"))</f>
        <v>Needs Attention</v>
      </c>
    </row>
    <row r="691" customFormat="false" ht="15" hidden="false" customHeight="false" outlineLevel="0" collapsed="false">
      <c r="A691" s="8" t="s">
        <v>1523</v>
      </c>
      <c r="B691" s="8" t="s">
        <v>1524</v>
      </c>
      <c r="C691" s="8" t="s">
        <v>53</v>
      </c>
      <c r="D691" s="8" t="s">
        <v>55</v>
      </c>
      <c r="E691" s="8" t="s">
        <v>123</v>
      </c>
      <c r="F691" s="8" t="s">
        <v>166</v>
      </c>
      <c r="G691" s="8" t="s">
        <v>185</v>
      </c>
      <c r="H691" s="15" t="n">
        <v>2205</v>
      </c>
      <c r="I691" s="15" t="n">
        <v>2205</v>
      </c>
      <c r="J691" s="16" t="n">
        <v>0.694</v>
      </c>
      <c r="K691" s="8" t="n">
        <v>8.7</v>
      </c>
      <c r="L691" s="8" t="n">
        <v>8</v>
      </c>
      <c r="M691" s="8" t="n">
        <v>5</v>
      </c>
      <c r="N691" s="8" t="s">
        <v>148</v>
      </c>
      <c r="O691" s="15" t="n">
        <f aca="false">H691*12</f>
        <v>26460</v>
      </c>
      <c r="P691" s="8" t="n">
        <f aca="false">MIN(100,ROUND(100*J691/Assumptions!$B$8,0))</f>
        <v>77</v>
      </c>
      <c r="Q691" s="8" t="n">
        <f aca="false">IF(L691="",Assumptions!$B$9,L691*10)</f>
        <v>80</v>
      </c>
      <c r="R691" s="8" t="n">
        <f aca="false">IF(M691&lt;=1,Assumptions!$B$12,IF(M691&lt;=3,Assumptions!$B$13,IF(M691&lt;=6,Assumptions!$B$14,Assumptions!$B$15)))</f>
        <v>50</v>
      </c>
      <c r="S691" s="8" t="n">
        <f aca="false">IF(N691="Completed On Time",Assumptions!$B$16,IF(N691="Completed Late",Assumptions!$B$17,Assumptions!$B$18))</f>
        <v>60</v>
      </c>
      <c r="T691" s="8" t="n">
        <f aca="false">IF(I691=0,Assumptions!$B$20,IF(H691&gt;I691,Assumptions!$B$19,IF(H691=I691,Assumptions!$B$20,Assumptions!$B$21)))</f>
        <v>70</v>
      </c>
      <c r="U691" s="8" t="n">
        <f aca="false">ROUND(P691*Assumptions!$B$2+Q691*Assumptions!$B$3+R691*Assumptions!$B$4+S691*Assumptions!$B$5+T691*Assumptions!$B$6,0)</f>
        <v>70</v>
      </c>
      <c r="V691" s="8" t="str">
        <f aca="false">IF(U691&gt;=Assumptions!$B$10,"Healthy",IF(U691&gt;=Assumptions!$B$11,"Needs Attention","High Risk"))</f>
        <v>Needs Attention</v>
      </c>
    </row>
    <row r="692" customFormat="false" ht="15" hidden="false" customHeight="false" outlineLevel="0" collapsed="false">
      <c r="A692" s="8" t="s">
        <v>1525</v>
      </c>
      <c r="B692" s="8" t="s">
        <v>1526</v>
      </c>
      <c r="C692" s="8" t="s">
        <v>53</v>
      </c>
      <c r="D692" s="8" t="s">
        <v>326</v>
      </c>
      <c r="E692" s="8" t="s">
        <v>123</v>
      </c>
      <c r="F692" s="8" t="s">
        <v>166</v>
      </c>
      <c r="G692" s="8" t="s">
        <v>129</v>
      </c>
      <c r="H692" s="15" t="n">
        <v>2200</v>
      </c>
      <c r="I692" s="15" t="n">
        <v>2200</v>
      </c>
      <c r="J692" s="16" t="n">
        <v>0.769</v>
      </c>
      <c r="K692" s="8" t="n">
        <v>9</v>
      </c>
      <c r="L692" s="8" t="n">
        <v>6</v>
      </c>
      <c r="M692" s="8" t="n">
        <v>2</v>
      </c>
      <c r="N692" s="8" t="s">
        <v>120</v>
      </c>
      <c r="O692" s="15" t="n">
        <f aca="false">H692*12</f>
        <v>26400</v>
      </c>
      <c r="P692" s="8" t="n">
        <f aca="false">MIN(100,ROUND(100*J692/Assumptions!$B$8,0))</f>
        <v>85</v>
      </c>
      <c r="Q692" s="8" t="n">
        <f aca="false">IF(L692="",Assumptions!$B$9,L692*10)</f>
        <v>60</v>
      </c>
      <c r="R692" s="8" t="n">
        <f aca="false">IF(M692&lt;=1,Assumptions!$B$12,IF(M692&lt;=3,Assumptions!$B$13,IF(M692&lt;=6,Assumptions!$B$14,Assumptions!$B$15)))</f>
        <v>75</v>
      </c>
      <c r="S692" s="8" t="n">
        <f aca="false">IF(N692="Completed On Time",Assumptions!$B$16,IF(N692="Completed Late",Assumptions!$B$17,Assumptions!$B$18))</f>
        <v>100</v>
      </c>
      <c r="T692" s="8" t="n">
        <f aca="false">IF(I692=0,Assumptions!$B$20,IF(H692&gt;I692,Assumptions!$B$19,IF(H692=I692,Assumptions!$B$20,Assumptions!$B$21)))</f>
        <v>70</v>
      </c>
      <c r="U692" s="8" t="n">
        <f aca="false">ROUND(P692*Assumptions!$B$2+Q692*Assumptions!$B$3+R692*Assumptions!$B$4+S692*Assumptions!$B$5+T692*Assumptions!$B$6,0)</f>
        <v>77</v>
      </c>
      <c r="V692" s="8" t="str">
        <f aca="false">IF(U692&gt;=Assumptions!$B$10,"Healthy",IF(U692&gt;=Assumptions!$B$11,"Needs Attention","High Risk"))</f>
        <v>Needs Attention</v>
      </c>
    </row>
    <row r="693" customFormat="false" ht="15" hidden="false" customHeight="false" outlineLevel="0" collapsed="false">
      <c r="A693" s="8" t="s">
        <v>1527</v>
      </c>
      <c r="B693" s="8" t="s">
        <v>1528</v>
      </c>
      <c r="C693" s="8" t="s">
        <v>53</v>
      </c>
      <c r="D693" s="8" t="s">
        <v>326</v>
      </c>
      <c r="E693" s="8" t="s">
        <v>132</v>
      </c>
      <c r="F693" s="8" t="s">
        <v>151</v>
      </c>
      <c r="G693" s="8" t="s">
        <v>204</v>
      </c>
      <c r="H693" s="15" t="n">
        <v>2200</v>
      </c>
      <c r="I693" s="15" t="n">
        <v>2200</v>
      </c>
      <c r="J693" s="16" t="n">
        <v>0.678</v>
      </c>
      <c r="K693" s="8" t="n">
        <v>7.3</v>
      </c>
      <c r="L693" s="8" t="n">
        <v>7</v>
      </c>
      <c r="M693" s="8" t="n">
        <v>3</v>
      </c>
      <c r="N693" s="8" t="s">
        <v>120</v>
      </c>
      <c r="O693" s="15" t="n">
        <f aca="false">H693*12</f>
        <v>26400</v>
      </c>
      <c r="P693" s="8" t="n">
        <f aca="false">MIN(100,ROUND(100*J693/Assumptions!$B$8,0))</f>
        <v>75</v>
      </c>
      <c r="Q693" s="8" t="n">
        <f aca="false">IF(L693="",Assumptions!$B$9,L693*10)</f>
        <v>70</v>
      </c>
      <c r="R693" s="8" t="n">
        <f aca="false">IF(M693&lt;=1,Assumptions!$B$12,IF(M693&lt;=3,Assumptions!$B$13,IF(M693&lt;=6,Assumptions!$B$14,Assumptions!$B$15)))</f>
        <v>75</v>
      </c>
      <c r="S693" s="8" t="n">
        <f aca="false">IF(N693="Completed On Time",Assumptions!$B$16,IF(N693="Completed Late",Assumptions!$B$17,Assumptions!$B$18))</f>
        <v>100</v>
      </c>
      <c r="T693" s="8" t="n">
        <f aca="false">IF(I693=0,Assumptions!$B$20,IF(H693&gt;I693,Assumptions!$B$19,IF(H693=I693,Assumptions!$B$20,Assumptions!$B$21)))</f>
        <v>70</v>
      </c>
      <c r="U693" s="8" t="n">
        <f aca="false">ROUND(P693*Assumptions!$B$2+Q693*Assumptions!$B$3+R693*Assumptions!$B$4+S693*Assumptions!$B$5+T693*Assumptions!$B$6,0)</f>
        <v>76</v>
      </c>
      <c r="V693" s="8" t="str">
        <f aca="false">IF(U693&gt;=Assumptions!$B$10,"Healthy",IF(U693&gt;=Assumptions!$B$11,"Needs Attention","High Risk"))</f>
        <v>Needs Attention</v>
      </c>
    </row>
    <row r="694" customFormat="false" ht="15" hidden="false" customHeight="false" outlineLevel="0" collapsed="false">
      <c r="A694" s="8" t="s">
        <v>1529</v>
      </c>
      <c r="B694" s="8" t="s">
        <v>1530</v>
      </c>
      <c r="C694" s="8" t="s">
        <v>53</v>
      </c>
      <c r="D694" s="8" t="s">
        <v>326</v>
      </c>
      <c r="E694" s="8" t="s">
        <v>123</v>
      </c>
      <c r="F694" s="8" t="s">
        <v>151</v>
      </c>
      <c r="G694" s="8" t="s">
        <v>140</v>
      </c>
      <c r="H694" s="15" t="n">
        <v>2175</v>
      </c>
      <c r="I694" s="15" t="n">
        <v>2175</v>
      </c>
      <c r="J694" s="16" t="n">
        <v>0.958</v>
      </c>
      <c r="K694" s="8" t="n">
        <v>11.7</v>
      </c>
      <c r="L694" s="8" t="n">
        <v>6</v>
      </c>
      <c r="M694" s="8" t="n">
        <v>0</v>
      </c>
      <c r="N694" s="8" t="s">
        <v>120</v>
      </c>
      <c r="O694" s="15" t="n">
        <f aca="false">H694*12</f>
        <v>26100</v>
      </c>
      <c r="P694" s="8" t="n">
        <f aca="false">MIN(100,ROUND(100*J694/Assumptions!$B$8,0))</f>
        <v>100</v>
      </c>
      <c r="Q694" s="8" t="n">
        <f aca="false">IF(L694="",Assumptions!$B$9,L694*10)</f>
        <v>60</v>
      </c>
      <c r="R694" s="8" t="n">
        <f aca="false">IF(M694&lt;=1,Assumptions!$B$12,IF(M694&lt;=3,Assumptions!$B$13,IF(M694&lt;=6,Assumptions!$B$14,Assumptions!$B$15)))</f>
        <v>100</v>
      </c>
      <c r="S694" s="8" t="n">
        <f aca="false">IF(N694="Completed On Time",Assumptions!$B$16,IF(N694="Completed Late",Assumptions!$B$17,Assumptions!$B$18))</f>
        <v>100</v>
      </c>
      <c r="T694" s="8" t="n">
        <f aca="false">IF(I694=0,Assumptions!$B$20,IF(H694&gt;I694,Assumptions!$B$19,IF(H694=I694,Assumptions!$B$20,Assumptions!$B$21)))</f>
        <v>70</v>
      </c>
      <c r="U694" s="8" t="n">
        <f aca="false">ROUND(P694*Assumptions!$B$2+Q694*Assumptions!$B$3+R694*Assumptions!$B$4+S694*Assumptions!$B$5+T694*Assumptions!$B$6,0)</f>
        <v>86</v>
      </c>
      <c r="V694" s="8" t="str">
        <f aca="false">IF(U694&gt;=Assumptions!$B$10,"Healthy",IF(U694&gt;=Assumptions!$B$11,"Needs Attention","High Risk"))</f>
        <v>Healthy</v>
      </c>
    </row>
    <row r="695" customFormat="false" ht="15" hidden="false" customHeight="false" outlineLevel="0" collapsed="false">
      <c r="A695" s="8" t="s">
        <v>1531</v>
      </c>
      <c r="B695" s="8" t="s">
        <v>1532</v>
      </c>
      <c r="C695" s="8" t="s">
        <v>53</v>
      </c>
      <c r="D695" s="8" t="s">
        <v>326</v>
      </c>
      <c r="E695" s="8" t="s">
        <v>123</v>
      </c>
      <c r="F695" s="8" t="s">
        <v>118</v>
      </c>
      <c r="G695" s="8" t="s">
        <v>177</v>
      </c>
      <c r="H695" s="15" t="n">
        <v>2175</v>
      </c>
      <c r="I695" s="15" t="n">
        <v>0</v>
      </c>
      <c r="J695" s="16" t="n">
        <v>0.575</v>
      </c>
      <c r="K695" s="8" t="n">
        <v>6.7</v>
      </c>
      <c r="L695" s="8"/>
      <c r="M695" s="8" t="n">
        <v>2</v>
      </c>
      <c r="N695" s="8" t="s">
        <v>120</v>
      </c>
      <c r="O695" s="15" t="n">
        <f aca="false">H695*12</f>
        <v>26100</v>
      </c>
      <c r="P695" s="8" t="n">
        <f aca="false">MIN(100,ROUND(100*J695/Assumptions!$B$8,0))</f>
        <v>64</v>
      </c>
      <c r="Q695" s="8" t="n">
        <f aca="false">IF(L695="",Assumptions!$B$9,L695*10)</f>
        <v>50</v>
      </c>
      <c r="R695" s="8" t="n">
        <f aca="false">IF(M695&lt;=1,Assumptions!$B$12,IF(M695&lt;=3,Assumptions!$B$13,IF(M695&lt;=6,Assumptions!$B$14,Assumptions!$B$15)))</f>
        <v>75</v>
      </c>
      <c r="S695" s="8" t="n">
        <f aca="false">IF(N695="Completed On Time",Assumptions!$B$16,IF(N695="Completed Late",Assumptions!$B$17,Assumptions!$B$18))</f>
        <v>100</v>
      </c>
      <c r="T695" s="8" t="n">
        <f aca="false">IF(I695=0,Assumptions!$B$20,IF(H695&gt;I695,Assumptions!$B$19,IF(H695=I695,Assumptions!$B$20,Assumptions!$B$21)))</f>
        <v>70</v>
      </c>
      <c r="U695" s="8" t="n">
        <f aca="false">ROUND(P695*Assumptions!$B$2+Q695*Assumptions!$B$3+R695*Assumptions!$B$4+S695*Assumptions!$B$5+T695*Assumptions!$B$6,0)</f>
        <v>68</v>
      </c>
      <c r="V695" s="8" t="str">
        <f aca="false">IF(U695&gt;=Assumptions!$B$10,"Healthy",IF(U695&gt;=Assumptions!$B$11,"Needs Attention","High Risk"))</f>
        <v>Needs Attention</v>
      </c>
    </row>
    <row r="696" customFormat="false" ht="15" hidden="false" customHeight="false" outlineLevel="0" collapsed="false">
      <c r="A696" s="8" t="s">
        <v>1533</v>
      </c>
      <c r="B696" s="8" t="s">
        <v>1534</v>
      </c>
      <c r="C696" s="8" t="s">
        <v>53</v>
      </c>
      <c r="D696" s="8" t="s">
        <v>326</v>
      </c>
      <c r="E696" s="8" t="s">
        <v>123</v>
      </c>
      <c r="F696" s="8" t="s">
        <v>154</v>
      </c>
      <c r="G696" s="8" t="s">
        <v>177</v>
      </c>
      <c r="H696" s="15" t="n">
        <v>2150</v>
      </c>
      <c r="I696" s="15" t="n">
        <v>2150</v>
      </c>
      <c r="J696" s="16" t="n">
        <v>0.872</v>
      </c>
      <c r="K696" s="8" t="n">
        <v>9</v>
      </c>
      <c r="L696" s="8" t="n">
        <v>9</v>
      </c>
      <c r="M696" s="8" t="n">
        <v>0</v>
      </c>
      <c r="N696" s="8" t="s">
        <v>120</v>
      </c>
      <c r="O696" s="15" t="n">
        <f aca="false">H696*12</f>
        <v>25800</v>
      </c>
      <c r="P696" s="8" t="n">
        <f aca="false">MIN(100,ROUND(100*J696/Assumptions!$B$8,0))</f>
        <v>97</v>
      </c>
      <c r="Q696" s="8" t="n">
        <f aca="false">IF(L696="",Assumptions!$B$9,L696*10)</f>
        <v>90</v>
      </c>
      <c r="R696" s="8" t="n">
        <f aca="false">IF(M696&lt;=1,Assumptions!$B$12,IF(M696&lt;=3,Assumptions!$B$13,IF(M696&lt;=6,Assumptions!$B$14,Assumptions!$B$15)))</f>
        <v>100</v>
      </c>
      <c r="S696" s="8" t="n">
        <f aca="false">IF(N696="Completed On Time",Assumptions!$B$16,IF(N696="Completed Late",Assumptions!$B$17,Assumptions!$B$18))</f>
        <v>100</v>
      </c>
      <c r="T696" s="8" t="n">
        <f aca="false">IF(I696=0,Assumptions!$B$20,IF(H696&gt;I696,Assumptions!$B$19,IF(H696=I696,Assumptions!$B$20,Assumptions!$B$21)))</f>
        <v>70</v>
      </c>
      <c r="U696" s="8" t="n">
        <f aca="false">ROUND(P696*Assumptions!$B$2+Q696*Assumptions!$B$3+R696*Assumptions!$B$4+S696*Assumptions!$B$5+T696*Assumptions!$B$6,0)</f>
        <v>91</v>
      </c>
      <c r="V696" s="8" t="str">
        <f aca="false">IF(U696&gt;=Assumptions!$B$10,"Healthy",IF(U696&gt;=Assumptions!$B$11,"Needs Attention","High Risk"))</f>
        <v>Healthy</v>
      </c>
    </row>
    <row r="697" customFormat="false" ht="15" hidden="false" customHeight="false" outlineLevel="0" collapsed="false">
      <c r="A697" s="8" t="s">
        <v>1535</v>
      </c>
      <c r="B697" s="8" t="s">
        <v>1536</v>
      </c>
      <c r="C697" s="8" t="s">
        <v>53</v>
      </c>
      <c r="D697" s="8" t="s">
        <v>326</v>
      </c>
      <c r="E697" s="8" t="s">
        <v>117</v>
      </c>
      <c r="F697" s="8" t="s">
        <v>151</v>
      </c>
      <c r="G697" s="8" t="s">
        <v>204</v>
      </c>
      <c r="H697" s="15" t="n">
        <v>2150</v>
      </c>
      <c r="I697" s="15" t="n">
        <v>2150</v>
      </c>
      <c r="J697" s="16" t="n">
        <v>0.69</v>
      </c>
      <c r="K697" s="8" t="n">
        <v>8.3</v>
      </c>
      <c r="L697" s="8" t="n">
        <v>8</v>
      </c>
      <c r="M697" s="8" t="n">
        <v>1</v>
      </c>
      <c r="N697" s="8" t="s">
        <v>120</v>
      </c>
      <c r="O697" s="15" t="n">
        <f aca="false">H697*12</f>
        <v>25800</v>
      </c>
      <c r="P697" s="8" t="n">
        <f aca="false">MIN(100,ROUND(100*J697/Assumptions!$B$8,0))</f>
        <v>77</v>
      </c>
      <c r="Q697" s="8" t="n">
        <f aca="false">IF(L697="",Assumptions!$B$9,L697*10)</f>
        <v>80</v>
      </c>
      <c r="R697" s="8" t="n">
        <f aca="false">IF(M697&lt;=1,Assumptions!$B$12,IF(M697&lt;=3,Assumptions!$B$13,IF(M697&lt;=6,Assumptions!$B$14,Assumptions!$B$15)))</f>
        <v>100</v>
      </c>
      <c r="S697" s="8" t="n">
        <f aca="false">IF(N697="Completed On Time",Assumptions!$B$16,IF(N697="Completed Late",Assumptions!$B$17,Assumptions!$B$18))</f>
        <v>100</v>
      </c>
      <c r="T697" s="8" t="n">
        <f aca="false">IF(I697=0,Assumptions!$B$20,IF(H697&gt;I697,Assumptions!$B$19,IF(H697=I697,Assumptions!$B$20,Assumptions!$B$21)))</f>
        <v>70</v>
      </c>
      <c r="U697" s="8" t="n">
        <f aca="false">ROUND(P697*Assumptions!$B$2+Q697*Assumptions!$B$3+R697*Assumptions!$B$4+S697*Assumptions!$B$5+T697*Assumptions!$B$6,0)</f>
        <v>82</v>
      </c>
      <c r="V697" s="8" t="str">
        <f aca="false">IF(U697&gt;=Assumptions!$B$10,"Healthy",IF(U697&gt;=Assumptions!$B$11,"Needs Attention","High Risk"))</f>
        <v>Healthy</v>
      </c>
    </row>
    <row r="698" customFormat="false" ht="15" hidden="false" customHeight="false" outlineLevel="0" collapsed="false">
      <c r="A698" s="8" t="s">
        <v>1537</v>
      </c>
      <c r="B698" s="8" t="s">
        <v>1538</v>
      </c>
      <c r="C698" s="8" t="s">
        <v>53</v>
      </c>
      <c r="D698" s="8" t="s">
        <v>326</v>
      </c>
      <c r="E698" s="8" t="s">
        <v>132</v>
      </c>
      <c r="F698" s="8" t="s">
        <v>118</v>
      </c>
      <c r="G698" s="8" t="s">
        <v>185</v>
      </c>
      <c r="H698" s="15" t="n">
        <v>2150</v>
      </c>
      <c r="I698" s="15" t="n">
        <v>2150</v>
      </c>
      <c r="J698" s="16" t="n">
        <v>0.849</v>
      </c>
      <c r="K698" s="8" t="n">
        <v>10.3</v>
      </c>
      <c r="L698" s="8" t="n">
        <v>10</v>
      </c>
      <c r="M698" s="8" t="n">
        <v>2</v>
      </c>
      <c r="N698" s="8" t="s">
        <v>120</v>
      </c>
      <c r="O698" s="15" t="n">
        <f aca="false">H698*12</f>
        <v>25800</v>
      </c>
      <c r="P698" s="8" t="n">
        <f aca="false">MIN(100,ROUND(100*J698/Assumptions!$B$8,0))</f>
        <v>94</v>
      </c>
      <c r="Q698" s="8" t="n">
        <f aca="false">IF(L698="",Assumptions!$B$9,L698*10)</f>
        <v>100</v>
      </c>
      <c r="R698" s="8" t="n">
        <f aca="false">IF(M698&lt;=1,Assumptions!$B$12,IF(M698&lt;=3,Assumptions!$B$13,IF(M698&lt;=6,Assumptions!$B$14,Assumptions!$B$15)))</f>
        <v>75</v>
      </c>
      <c r="S698" s="8" t="n">
        <f aca="false">IF(N698="Completed On Time",Assumptions!$B$16,IF(N698="Completed Late",Assumptions!$B$17,Assumptions!$B$18))</f>
        <v>100</v>
      </c>
      <c r="T698" s="8" t="n">
        <f aca="false">IF(I698=0,Assumptions!$B$20,IF(H698&gt;I698,Assumptions!$B$19,IF(H698=I698,Assumptions!$B$20,Assumptions!$B$21)))</f>
        <v>70</v>
      </c>
      <c r="U698" s="8" t="n">
        <f aca="false">ROUND(P698*Assumptions!$B$2+Q698*Assumptions!$B$3+R698*Assumptions!$B$4+S698*Assumptions!$B$5+T698*Assumptions!$B$6,0)</f>
        <v>88</v>
      </c>
      <c r="V698" s="8" t="str">
        <f aca="false">IF(U698&gt;=Assumptions!$B$10,"Healthy",IF(U698&gt;=Assumptions!$B$11,"Needs Attention","High Risk"))</f>
        <v>Healthy</v>
      </c>
    </row>
    <row r="699" customFormat="false" ht="15" hidden="false" customHeight="false" outlineLevel="0" collapsed="false">
      <c r="A699" s="8" t="s">
        <v>1539</v>
      </c>
      <c r="B699" s="8" t="s">
        <v>1540</v>
      </c>
      <c r="C699" s="8" t="s">
        <v>53</v>
      </c>
      <c r="D699" s="8" t="s">
        <v>326</v>
      </c>
      <c r="E699" s="8" t="s">
        <v>123</v>
      </c>
      <c r="F699" s="8" t="s">
        <v>136</v>
      </c>
      <c r="G699" s="8" t="s">
        <v>119</v>
      </c>
      <c r="H699" s="15" t="n">
        <v>2150</v>
      </c>
      <c r="I699" s="15" t="n">
        <v>1675</v>
      </c>
      <c r="J699" s="16" t="n">
        <v>0.736</v>
      </c>
      <c r="K699" s="8" t="n">
        <v>9</v>
      </c>
      <c r="L699" s="8" t="n">
        <v>9</v>
      </c>
      <c r="M699" s="8" t="n">
        <v>1</v>
      </c>
      <c r="N699" s="8" t="s">
        <v>120</v>
      </c>
      <c r="O699" s="15" t="n">
        <f aca="false">H699*12</f>
        <v>25800</v>
      </c>
      <c r="P699" s="8" t="n">
        <f aca="false">MIN(100,ROUND(100*J699/Assumptions!$B$8,0))</f>
        <v>82</v>
      </c>
      <c r="Q699" s="8" t="n">
        <f aca="false">IF(L699="",Assumptions!$B$9,L699*10)</f>
        <v>90</v>
      </c>
      <c r="R699" s="8" t="n">
        <f aca="false">IF(M699&lt;=1,Assumptions!$B$12,IF(M699&lt;=3,Assumptions!$B$13,IF(M699&lt;=6,Assumptions!$B$14,Assumptions!$B$15)))</f>
        <v>100</v>
      </c>
      <c r="S699" s="8" t="n">
        <f aca="false">IF(N699="Completed On Time",Assumptions!$B$16,IF(N699="Completed Late",Assumptions!$B$17,Assumptions!$B$18))</f>
        <v>100</v>
      </c>
      <c r="T699" s="8" t="n">
        <f aca="false">IF(I699=0,Assumptions!$B$20,IF(H699&gt;I699,Assumptions!$B$19,IF(H699=I699,Assumptions!$B$20,Assumptions!$B$21)))</f>
        <v>100</v>
      </c>
      <c r="U699" s="8" t="n">
        <f aca="false">ROUND(P699*Assumptions!$B$2+Q699*Assumptions!$B$3+R699*Assumptions!$B$4+S699*Assumptions!$B$5+T699*Assumptions!$B$6,0)</f>
        <v>92</v>
      </c>
      <c r="V699" s="8" t="str">
        <f aca="false">IF(U699&gt;=Assumptions!$B$10,"Healthy",IF(U699&gt;=Assumptions!$B$11,"Needs Attention","High Risk"))</f>
        <v>Healthy</v>
      </c>
    </row>
    <row r="700" customFormat="false" ht="15" hidden="false" customHeight="false" outlineLevel="0" collapsed="false">
      <c r="A700" s="8" t="s">
        <v>1541</v>
      </c>
      <c r="B700" s="8" t="s">
        <v>1542</v>
      </c>
      <c r="C700" s="8" t="s">
        <v>53</v>
      </c>
      <c r="D700" s="8" t="s">
        <v>326</v>
      </c>
      <c r="E700" s="8" t="s">
        <v>132</v>
      </c>
      <c r="F700" s="8" t="s">
        <v>166</v>
      </c>
      <c r="G700" s="8" t="s">
        <v>177</v>
      </c>
      <c r="H700" s="15" t="n">
        <v>2125</v>
      </c>
      <c r="I700" s="15" t="n">
        <v>2125</v>
      </c>
      <c r="J700" s="16" t="n">
        <v>0.737</v>
      </c>
      <c r="K700" s="8" t="n">
        <v>9</v>
      </c>
      <c r="L700" s="8" t="n">
        <v>10</v>
      </c>
      <c r="M700" s="8" t="n">
        <v>2</v>
      </c>
      <c r="N700" s="8" t="s">
        <v>120</v>
      </c>
      <c r="O700" s="15" t="n">
        <f aca="false">H700*12</f>
        <v>25500</v>
      </c>
      <c r="P700" s="8" t="n">
        <f aca="false">MIN(100,ROUND(100*J700/Assumptions!$B$8,0))</f>
        <v>82</v>
      </c>
      <c r="Q700" s="8" t="n">
        <f aca="false">IF(L700="",Assumptions!$B$9,L700*10)</f>
        <v>100</v>
      </c>
      <c r="R700" s="8" t="n">
        <f aca="false">IF(M700&lt;=1,Assumptions!$B$12,IF(M700&lt;=3,Assumptions!$B$13,IF(M700&lt;=6,Assumptions!$B$14,Assumptions!$B$15)))</f>
        <v>75</v>
      </c>
      <c r="S700" s="8" t="n">
        <f aca="false">IF(N700="Completed On Time",Assumptions!$B$16,IF(N700="Completed Late",Assumptions!$B$17,Assumptions!$B$18))</f>
        <v>100</v>
      </c>
      <c r="T700" s="8" t="n">
        <f aca="false">IF(I700=0,Assumptions!$B$20,IF(H700&gt;I700,Assumptions!$B$19,IF(H700=I700,Assumptions!$B$20,Assumptions!$B$21)))</f>
        <v>70</v>
      </c>
      <c r="U700" s="8" t="n">
        <f aca="false">ROUND(P700*Assumptions!$B$2+Q700*Assumptions!$B$3+R700*Assumptions!$B$4+S700*Assumptions!$B$5+T700*Assumptions!$B$6,0)</f>
        <v>84</v>
      </c>
      <c r="V700" s="8" t="str">
        <f aca="false">IF(U700&gt;=Assumptions!$B$10,"Healthy",IF(U700&gt;=Assumptions!$B$11,"Needs Attention","High Risk"))</f>
        <v>Healthy</v>
      </c>
    </row>
    <row r="701" customFormat="false" ht="15" hidden="false" customHeight="false" outlineLevel="0" collapsed="false">
      <c r="A701" s="8" t="s">
        <v>1543</v>
      </c>
      <c r="B701" s="8" t="s">
        <v>1544</v>
      </c>
      <c r="C701" s="8" t="s">
        <v>53</v>
      </c>
      <c r="D701" s="8" t="s">
        <v>326</v>
      </c>
      <c r="E701" s="8" t="s">
        <v>128</v>
      </c>
      <c r="F701" s="8" t="s">
        <v>154</v>
      </c>
      <c r="G701" s="8" t="s">
        <v>140</v>
      </c>
      <c r="H701" s="15" t="n">
        <v>2125</v>
      </c>
      <c r="I701" s="15" t="n">
        <v>2125</v>
      </c>
      <c r="J701" s="16" t="n">
        <v>0.796</v>
      </c>
      <c r="K701" s="8" t="n">
        <v>8.7</v>
      </c>
      <c r="L701" s="8" t="n">
        <v>9</v>
      </c>
      <c r="M701" s="8" t="n">
        <v>4</v>
      </c>
      <c r="N701" s="8" t="s">
        <v>120</v>
      </c>
      <c r="O701" s="15" t="n">
        <f aca="false">H701*12</f>
        <v>25500</v>
      </c>
      <c r="P701" s="8" t="n">
        <f aca="false">MIN(100,ROUND(100*J701/Assumptions!$B$8,0))</f>
        <v>88</v>
      </c>
      <c r="Q701" s="8" t="n">
        <f aca="false">IF(L701="",Assumptions!$B$9,L701*10)</f>
        <v>90</v>
      </c>
      <c r="R701" s="8" t="n">
        <f aca="false">IF(M701&lt;=1,Assumptions!$B$12,IF(M701&lt;=3,Assumptions!$B$13,IF(M701&lt;=6,Assumptions!$B$14,Assumptions!$B$15)))</f>
        <v>50</v>
      </c>
      <c r="S701" s="8" t="n">
        <f aca="false">IF(N701="Completed On Time",Assumptions!$B$16,IF(N701="Completed Late",Assumptions!$B$17,Assumptions!$B$18))</f>
        <v>100</v>
      </c>
      <c r="T701" s="8" t="n">
        <f aca="false">IF(I701=0,Assumptions!$B$20,IF(H701&gt;I701,Assumptions!$B$19,IF(H701=I701,Assumptions!$B$20,Assumptions!$B$21)))</f>
        <v>70</v>
      </c>
      <c r="U701" s="8" t="n">
        <f aca="false">ROUND(P701*Assumptions!$B$2+Q701*Assumptions!$B$3+R701*Assumptions!$B$4+S701*Assumptions!$B$5+T701*Assumptions!$B$6,0)</f>
        <v>80</v>
      </c>
      <c r="V701" s="8" t="str">
        <f aca="false">IF(U701&gt;=Assumptions!$B$10,"Healthy",IF(U701&gt;=Assumptions!$B$11,"Needs Attention","High Risk"))</f>
        <v>Healthy</v>
      </c>
    </row>
    <row r="702" customFormat="false" ht="15" hidden="false" customHeight="false" outlineLevel="0" collapsed="false">
      <c r="A702" s="8" t="s">
        <v>1545</v>
      </c>
      <c r="B702" s="8" t="s">
        <v>1546</v>
      </c>
      <c r="C702" s="8" t="s">
        <v>53</v>
      </c>
      <c r="D702" s="8" t="s">
        <v>326</v>
      </c>
      <c r="E702" s="8" t="s">
        <v>123</v>
      </c>
      <c r="F702" s="8" t="s">
        <v>223</v>
      </c>
      <c r="G702" s="8" t="s">
        <v>204</v>
      </c>
      <c r="H702" s="15" t="n">
        <v>2125</v>
      </c>
      <c r="I702" s="15" t="n">
        <v>2125</v>
      </c>
      <c r="J702" s="16" t="n">
        <v>0.847</v>
      </c>
      <c r="K702" s="8" t="n">
        <v>10</v>
      </c>
      <c r="L702" s="8" t="n">
        <v>8</v>
      </c>
      <c r="M702" s="8" t="n">
        <v>2</v>
      </c>
      <c r="N702" s="8" t="s">
        <v>120</v>
      </c>
      <c r="O702" s="15" t="n">
        <f aca="false">H702*12</f>
        <v>25500</v>
      </c>
      <c r="P702" s="8" t="n">
        <f aca="false">MIN(100,ROUND(100*J702/Assumptions!$B$8,0))</f>
        <v>94</v>
      </c>
      <c r="Q702" s="8" t="n">
        <f aca="false">IF(L702="",Assumptions!$B$9,L702*10)</f>
        <v>80</v>
      </c>
      <c r="R702" s="8" t="n">
        <f aca="false">IF(M702&lt;=1,Assumptions!$B$12,IF(M702&lt;=3,Assumptions!$B$13,IF(M702&lt;=6,Assumptions!$B$14,Assumptions!$B$15)))</f>
        <v>75</v>
      </c>
      <c r="S702" s="8" t="n">
        <f aca="false">IF(N702="Completed On Time",Assumptions!$B$16,IF(N702="Completed Late",Assumptions!$B$17,Assumptions!$B$18))</f>
        <v>100</v>
      </c>
      <c r="T702" s="8" t="n">
        <f aca="false">IF(I702=0,Assumptions!$B$20,IF(H702&gt;I702,Assumptions!$B$19,IF(H702=I702,Assumptions!$B$20,Assumptions!$B$21)))</f>
        <v>70</v>
      </c>
      <c r="U702" s="8" t="n">
        <f aca="false">ROUND(P702*Assumptions!$B$2+Q702*Assumptions!$B$3+R702*Assumptions!$B$4+S702*Assumptions!$B$5+T702*Assumptions!$B$6,0)</f>
        <v>84</v>
      </c>
      <c r="V702" s="8" t="str">
        <f aca="false">IF(U702&gt;=Assumptions!$B$10,"Healthy",IF(U702&gt;=Assumptions!$B$11,"Needs Attention","High Risk"))</f>
        <v>Healthy</v>
      </c>
    </row>
    <row r="703" customFormat="false" ht="15" hidden="false" customHeight="false" outlineLevel="0" collapsed="false">
      <c r="A703" s="8" t="s">
        <v>1547</v>
      </c>
      <c r="B703" s="8" t="s">
        <v>1548</v>
      </c>
      <c r="C703" s="8" t="s">
        <v>53</v>
      </c>
      <c r="D703" s="8" t="s">
        <v>326</v>
      </c>
      <c r="E703" s="8" t="s">
        <v>123</v>
      </c>
      <c r="F703" s="8" t="s">
        <v>154</v>
      </c>
      <c r="G703" s="8" t="s">
        <v>125</v>
      </c>
      <c r="H703" s="15" t="n">
        <v>2100</v>
      </c>
      <c r="I703" s="15" t="n">
        <v>2525</v>
      </c>
      <c r="J703" s="16" t="n">
        <v>0.68</v>
      </c>
      <c r="K703" s="8" t="n">
        <v>7.3</v>
      </c>
      <c r="L703" s="8" t="n">
        <v>8</v>
      </c>
      <c r="M703" s="8" t="n">
        <v>3</v>
      </c>
      <c r="N703" s="8" t="s">
        <v>120</v>
      </c>
      <c r="O703" s="15" t="n">
        <f aca="false">H703*12</f>
        <v>25200</v>
      </c>
      <c r="P703" s="8" t="n">
        <f aca="false">MIN(100,ROUND(100*J703/Assumptions!$B$8,0))</f>
        <v>76</v>
      </c>
      <c r="Q703" s="8" t="n">
        <f aca="false">IF(L703="",Assumptions!$B$9,L703*10)</f>
        <v>80</v>
      </c>
      <c r="R703" s="8" t="n">
        <f aca="false">IF(M703&lt;=1,Assumptions!$B$12,IF(M703&lt;=3,Assumptions!$B$13,IF(M703&lt;=6,Assumptions!$B$14,Assumptions!$B$15)))</f>
        <v>75</v>
      </c>
      <c r="S703" s="8" t="n">
        <f aca="false">IF(N703="Completed On Time",Assumptions!$B$16,IF(N703="Completed Late",Assumptions!$B$17,Assumptions!$B$18))</f>
        <v>100</v>
      </c>
      <c r="T703" s="8" t="n">
        <f aca="false">IF(I703=0,Assumptions!$B$20,IF(H703&gt;I703,Assumptions!$B$19,IF(H703=I703,Assumptions!$B$20,Assumptions!$B$21)))</f>
        <v>30</v>
      </c>
      <c r="U703" s="8" t="n">
        <f aca="false">ROUND(P703*Assumptions!$B$2+Q703*Assumptions!$B$3+R703*Assumptions!$B$4+S703*Assumptions!$B$5+T703*Assumptions!$B$6,0)</f>
        <v>70</v>
      </c>
      <c r="V703" s="8" t="str">
        <f aca="false">IF(U703&gt;=Assumptions!$B$10,"Healthy",IF(U703&gt;=Assumptions!$B$11,"Needs Attention","High Risk"))</f>
        <v>Needs Attention</v>
      </c>
    </row>
    <row r="704" customFormat="false" ht="15" hidden="false" customHeight="false" outlineLevel="0" collapsed="false">
      <c r="A704" s="8" t="s">
        <v>1549</v>
      </c>
      <c r="B704" s="8" t="s">
        <v>1550</v>
      </c>
      <c r="C704" s="8" t="s">
        <v>53</v>
      </c>
      <c r="D704" s="8" t="s">
        <v>326</v>
      </c>
      <c r="E704" s="8" t="s">
        <v>117</v>
      </c>
      <c r="F704" s="8" t="s">
        <v>136</v>
      </c>
      <c r="G704" s="8" t="s">
        <v>125</v>
      </c>
      <c r="H704" s="15" t="n">
        <v>2100</v>
      </c>
      <c r="I704" s="15" t="n">
        <v>2100</v>
      </c>
      <c r="J704" s="16" t="n">
        <v>0.813</v>
      </c>
      <c r="K704" s="8" t="n">
        <v>8.7</v>
      </c>
      <c r="L704" s="8" t="n">
        <v>9</v>
      </c>
      <c r="M704" s="8" t="n">
        <v>2</v>
      </c>
      <c r="N704" s="8" t="s">
        <v>120</v>
      </c>
      <c r="O704" s="15" t="n">
        <f aca="false">H704*12</f>
        <v>25200</v>
      </c>
      <c r="P704" s="8" t="n">
        <f aca="false">MIN(100,ROUND(100*J704/Assumptions!$B$8,0))</f>
        <v>90</v>
      </c>
      <c r="Q704" s="8" t="n">
        <f aca="false">IF(L704="",Assumptions!$B$9,L704*10)</f>
        <v>90</v>
      </c>
      <c r="R704" s="8" t="n">
        <f aca="false">IF(M704&lt;=1,Assumptions!$B$12,IF(M704&lt;=3,Assumptions!$B$13,IF(M704&lt;=6,Assumptions!$B$14,Assumptions!$B$15)))</f>
        <v>75</v>
      </c>
      <c r="S704" s="8" t="n">
        <f aca="false">IF(N704="Completed On Time",Assumptions!$B$16,IF(N704="Completed Late",Assumptions!$B$17,Assumptions!$B$18))</f>
        <v>100</v>
      </c>
      <c r="T704" s="8" t="n">
        <f aca="false">IF(I704=0,Assumptions!$B$20,IF(H704&gt;I704,Assumptions!$B$19,IF(H704=I704,Assumptions!$B$20,Assumptions!$B$21)))</f>
        <v>70</v>
      </c>
      <c r="U704" s="8" t="n">
        <f aca="false">ROUND(P704*Assumptions!$B$2+Q704*Assumptions!$B$3+R704*Assumptions!$B$4+S704*Assumptions!$B$5+T704*Assumptions!$B$6,0)</f>
        <v>85</v>
      </c>
      <c r="V704" s="8" t="str">
        <f aca="false">IF(U704&gt;=Assumptions!$B$10,"Healthy",IF(U704&gt;=Assumptions!$B$11,"Needs Attention","High Risk"))</f>
        <v>Healthy</v>
      </c>
    </row>
    <row r="705" customFormat="false" ht="15" hidden="false" customHeight="false" outlineLevel="0" collapsed="false">
      <c r="A705" s="8" t="s">
        <v>1551</v>
      </c>
      <c r="B705" s="8" t="s">
        <v>1552</v>
      </c>
      <c r="C705" s="8" t="s">
        <v>53</v>
      </c>
      <c r="D705" s="8" t="s">
        <v>326</v>
      </c>
      <c r="E705" s="8" t="s">
        <v>123</v>
      </c>
      <c r="F705" s="8" t="s">
        <v>166</v>
      </c>
      <c r="G705" s="8" t="s">
        <v>119</v>
      </c>
      <c r="H705" s="15" t="n">
        <v>2100</v>
      </c>
      <c r="I705" s="15" t="n">
        <v>1550</v>
      </c>
      <c r="J705" s="16" t="n">
        <v>0.943</v>
      </c>
      <c r="K705" s="8" t="n">
        <v>11.3</v>
      </c>
      <c r="L705" s="8" t="n">
        <v>10</v>
      </c>
      <c r="M705" s="8" t="n">
        <v>0</v>
      </c>
      <c r="N705" s="8" t="s">
        <v>120</v>
      </c>
      <c r="O705" s="15" t="n">
        <f aca="false">H705*12</f>
        <v>25200</v>
      </c>
      <c r="P705" s="8" t="n">
        <f aca="false">MIN(100,ROUND(100*J705/Assumptions!$B$8,0))</f>
        <v>100</v>
      </c>
      <c r="Q705" s="8" t="n">
        <f aca="false">IF(L705="",Assumptions!$B$9,L705*10)</f>
        <v>100</v>
      </c>
      <c r="R705" s="8" t="n">
        <f aca="false">IF(M705&lt;=1,Assumptions!$B$12,IF(M705&lt;=3,Assumptions!$B$13,IF(M705&lt;=6,Assumptions!$B$14,Assumptions!$B$15)))</f>
        <v>100</v>
      </c>
      <c r="S705" s="8" t="n">
        <f aca="false">IF(N705="Completed On Time",Assumptions!$B$16,IF(N705="Completed Late",Assumptions!$B$17,Assumptions!$B$18))</f>
        <v>100</v>
      </c>
      <c r="T705" s="8" t="n">
        <f aca="false">IF(I705=0,Assumptions!$B$20,IF(H705&gt;I705,Assumptions!$B$19,IF(H705=I705,Assumptions!$B$20,Assumptions!$B$21)))</f>
        <v>100</v>
      </c>
      <c r="U705" s="8" t="n">
        <f aca="false">ROUND(P705*Assumptions!$B$2+Q705*Assumptions!$B$3+R705*Assumptions!$B$4+S705*Assumptions!$B$5+T705*Assumptions!$B$6,0)</f>
        <v>100</v>
      </c>
      <c r="V705" s="8" t="str">
        <f aca="false">IF(U705&gt;=Assumptions!$B$10,"Healthy",IF(U705&gt;=Assumptions!$B$11,"Needs Attention","High Risk"))</f>
        <v>Healthy</v>
      </c>
    </row>
    <row r="706" customFormat="false" ht="15" hidden="false" customHeight="false" outlineLevel="0" collapsed="false">
      <c r="A706" s="8" t="s">
        <v>1553</v>
      </c>
      <c r="B706" s="8" t="s">
        <v>1554</v>
      </c>
      <c r="C706" s="8" t="s">
        <v>53</v>
      </c>
      <c r="D706" s="8" t="s">
        <v>326</v>
      </c>
      <c r="E706" s="8" t="s">
        <v>132</v>
      </c>
      <c r="F706" s="8" t="s">
        <v>143</v>
      </c>
      <c r="G706" s="8" t="s">
        <v>119</v>
      </c>
      <c r="H706" s="15" t="n">
        <v>2075</v>
      </c>
      <c r="I706" s="15" t="n">
        <v>1875</v>
      </c>
      <c r="J706" s="16" t="n">
        <v>0.88</v>
      </c>
      <c r="K706" s="8" t="n">
        <v>10</v>
      </c>
      <c r="L706" s="8" t="n">
        <v>10</v>
      </c>
      <c r="M706" s="8" t="n">
        <v>0</v>
      </c>
      <c r="N706" s="8" t="s">
        <v>120</v>
      </c>
      <c r="O706" s="15" t="n">
        <f aca="false">H706*12</f>
        <v>24900</v>
      </c>
      <c r="P706" s="8" t="n">
        <f aca="false">MIN(100,ROUND(100*J706/Assumptions!$B$8,0))</f>
        <v>98</v>
      </c>
      <c r="Q706" s="8" t="n">
        <f aca="false">IF(L706="",Assumptions!$B$9,L706*10)</f>
        <v>100</v>
      </c>
      <c r="R706" s="8" t="n">
        <f aca="false">IF(M706&lt;=1,Assumptions!$B$12,IF(M706&lt;=3,Assumptions!$B$13,IF(M706&lt;=6,Assumptions!$B$14,Assumptions!$B$15)))</f>
        <v>100</v>
      </c>
      <c r="S706" s="8" t="n">
        <f aca="false">IF(N706="Completed On Time",Assumptions!$B$16,IF(N706="Completed Late",Assumptions!$B$17,Assumptions!$B$18))</f>
        <v>100</v>
      </c>
      <c r="T706" s="8" t="n">
        <f aca="false">IF(I706=0,Assumptions!$B$20,IF(H706&gt;I706,Assumptions!$B$19,IF(H706=I706,Assumptions!$B$20,Assumptions!$B$21)))</f>
        <v>100</v>
      </c>
      <c r="U706" s="8" t="n">
        <f aca="false">ROUND(P706*Assumptions!$B$2+Q706*Assumptions!$B$3+R706*Assumptions!$B$4+S706*Assumptions!$B$5+T706*Assumptions!$B$6,0)</f>
        <v>99</v>
      </c>
      <c r="V706" s="8" t="str">
        <f aca="false">IF(U706&gt;=Assumptions!$B$10,"Healthy",IF(U706&gt;=Assumptions!$B$11,"Needs Attention","High Risk"))</f>
        <v>Healthy</v>
      </c>
    </row>
    <row r="707" customFormat="false" ht="15" hidden="false" customHeight="false" outlineLevel="0" collapsed="false">
      <c r="A707" s="8" t="s">
        <v>1555</v>
      </c>
      <c r="B707" s="8" t="s">
        <v>1556</v>
      </c>
      <c r="C707" s="8" t="s">
        <v>53</v>
      </c>
      <c r="D707" s="8" t="s">
        <v>326</v>
      </c>
      <c r="E707" s="8" t="s">
        <v>132</v>
      </c>
      <c r="F707" s="8" t="s">
        <v>223</v>
      </c>
      <c r="G707" s="8" t="s">
        <v>159</v>
      </c>
      <c r="H707" s="15" t="n">
        <v>2050</v>
      </c>
      <c r="I707" s="15" t="n">
        <v>2050</v>
      </c>
      <c r="J707" s="16" t="n">
        <v>0.646</v>
      </c>
      <c r="K707" s="8" t="n">
        <v>5.7</v>
      </c>
      <c r="L707" s="8" t="n">
        <v>6</v>
      </c>
      <c r="M707" s="8" t="n">
        <v>4</v>
      </c>
      <c r="N707" s="8" t="s">
        <v>120</v>
      </c>
      <c r="O707" s="15" t="n">
        <f aca="false">H707*12</f>
        <v>24600</v>
      </c>
      <c r="P707" s="8" t="n">
        <f aca="false">MIN(100,ROUND(100*J707/Assumptions!$B$8,0))</f>
        <v>72</v>
      </c>
      <c r="Q707" s="8" t="n">
        <f aca="false">IF(L707="",Assumptions!$B$9,L707*10)</f>
        <v>60</v>
      </c>
      <c r="R707" s="8" t="n">
        <f aca="false">IF(M707&lt;=1,Assumptions!$B$12,IF(M707&lt;=3,Assumptions!$B$13,IF(M707&lt;=6,Assumptions!$B$14,Assumptions!$B$15)))</f>
        <v>50</v>
      </c>
      <c r="S707" s="8" t="n">
        <f aca="false">IF(N707="Completed On Time",Assumptions!$B$16,IF(N707="Completed Late",Assumptions!$B$17,Assumptions!$B$18))</f>
        <v>100</v>
      </c>
      <c r="T707" s="8" t="n">
        <f aca="false">IF(I707=0,Assumptions!$B$20,IF(H707&gt;I707,Assumptions!$B$19,IF(H707=I707,Assumptions!$B$20,Assumptions!$B$21)))</f>
        <v>70</v>
      </c>
      <c r="U707" s="8" t="n">
        <f aca="false">ROUND(P707*Assumptions!$B$2+Q707*Assumptions!$B$3+R707*Assumptions!$B$4+S707*Assumptions!$B$5+T707*Assumptions!$B$6,0)</f>
        <v>69</v>
      </c>
      <c r="V707" s="8" t="str">
        <f aca="false">IF(U707&gt;=Assumptions!$B$10,"Healthy",IF(U707&gt;=Assumptions!$B$11,"Needs Attention","High Risk"))</f>
        <v>Needs Attention</v>
      </c>
    </row>
    <row r="708" customFormat="false" ht="15" hidden="false" customHeight="false" outlineLevel="0" collapsed="false">
      <c r="A708" s="8" t="s">
        <v>1557</v>
      </c>
      <c r="B708" s="8" t="s">
        <v>1558</v>
      </c>
      <c r="C708" s="8" t="s">
        <v>53</v>
      </c>
      <c r="D708" s="8" t="s">
        <v>326</v>
      </c>
      <c r="E708" s="8" t="s">
        <v>132</v>
      </c>
      <c r="F708" s="8" t="s">
        <v>133</v>
      </c>
      <c r="G708" s="8" t="s">
        <v>177</v>
      </c>
      <c r="H708" s="15" t="n">
        <v>2025</v>
      </c>
      <c r="I708" s="15" t="n">
        <v>2025</v>
      </c>
      <c r="J708" s="16" t="n">
        <v>0.675</v>
      </c>
      <c r="K708" s="8" t="n">
        <v>8.3</v>
      </c>
      <c r="L708" s="8" t="n">
        <v>9</v>
      </c>
      <c r="M708" s="8" t="n">
        <v>4</v>
      </c>
      <c r="N708" s="8" t="s">
        <v>120</v>
      </c>
      <c r="O708" s="15" t="n">
        <f aca="false">H708*12</f>
        <v>24300</v>
      </c>
      <c r="P708" s="8" t="n">
        <f aca="false">MIN(100,ROUND(100*J708/Assumptions!$B$8,0))</f>
        <v>75</v>
      </c>
      <c r="Q708" s="8" t="n">
        <f aca="false">IF(L708="",Assumptions!$B$9,L708*10)</f>
        <v>90</v>
      </c>
      <c r="R708" s="8" t="n">
        <f aca="false">IF(M708&lt;=1,Assumptions!$B$12,IF(M708&lt;=3,Assumptions!$B$13,IF(M708&lt;=6,Assumptions!$B$14,Assumptions!$B$15)))</f>
        <v>50</v>
      </c>
      <c r="S708" s="8" t="n">
        <f aca="false">IF(N708="Completed On Time",Assumptions!$B$16,IF(N708="Completed Late",Assumptions!$B$17,Assumptions!$B$18))</f>
        <v>100</v>
      </c>
      <c r="T708" s="8" t="n">
        <f aca="false">IF(I708=0,Assumptions!$B$20,IF(H708&gt;I708,Assumptions!$B$19,IF(H708=I708,Assumptions!$B$20,Assumptions!$B$21)))</f>
        <v>70</v>
      </c>
      <c r="U708" s="8" t="n">
        <f aca="false">ROUND(P708*Assumptions!$B$2+Q708*Assumptions!$B$3+R708*Assumptions!$B$4+S708*Assumptions!$B$5+T708*Assumptions!$B$6,0)</f>
        <v>76</v>
      </c>
      <c r="V708" s="8" t="str">
        <f aca="false">IF(U708&gt;=Assumptions!$B$10,"Healthy",IF(U708&gt;=Assumptions!$B$11,"Needs Attention","High Risk"))</f>
        <v>Needs Attention</v>
      </c>
    </row>
    <row r="709" customFormat="false" ht="15" hidden="false" customHeight="false" outlineLevel="0" collapsed="false">
      <c r="A709" s="8" t="s">
        <v>1559</v>
      </c>
      <c r="B709" s="8" t="s">
        <v>1560</v>
      </c>
      <c r="C709" s="8" t="s">
        <v>53</v>
      </c>
      <c r="D709" s="8" t="s">
        <v>326</v>
      </c>
      <c r="E709" s="8" t="s">
        <v>123</v>
      </c>
      <c r="F709" s="8" t="s">
        <v>190</v>
      </c>
      <c r="G709" s="8" t="s">
        <v>129</v>
      </c>
      <c r="H709" s="15" t="n">
        <v>2000</v>
      </c>
      <c r="I709" s="15" t="n">
        <v>2000</v>
      </c>
      <c r="J709" s="16" t="n">
        <v>0.662</v>
      </c>
      <c r="K709" s="8" t="n">
        <v>6.7</v>
      </c>
      <c r="L709" s="8" t="n">
        <v>9</v>
      </c>
      <c r="M709" s="8" t="n">
        <v>2</v>
      </c>
      <c r="N709" s="8" t="s">
        <v>120</v>
      </c>
      <c r="O709" s="15" t="n">
        <f aca="false">H709*12</f>
        <v>24000</v>
      </c>
      <c r="P709" s="8" t="n">
        <f aca="false">MIN(100,ROUND(100*J709/Assumptions!$B$8,0))</f>
        <v>74</v>
      </c>
      <c r="Q709" s="8" t="n">
        <f aca="false">IF(L709="",Assumptions!$B$9,L709*10)</f>
        <v>90</v>
      </c>
      <c r="R709" s="8" t="n">
        <f aca="false">IF(M709&lt;=1,Assumptions!$B$12,IF(M709&lt;=3,Assumptions!$B$13,IF(M709&lt;=6,Assumptions!$B$14,Assumptions!$B$15)))</f>
        <v>75</v>
      </c>
      <c r="S709" s="8" t="n">
        <f aca="false">IF(N709="Completed On Time",Assumptions!$B$16,IF(N709="Completed Late",Assumptions!$B$17,Assumptions!$B$18))</f>
        <v>100</v>
      </c>
      <c r="T709" s="8" t="n">
        <f aca="false">IF(I709=0,Assumptions!$B$20,IF(H709&gt;I709,Assumptions!$B$19,IF(H709=I709,Assumptions!$B$20,Assumptions!$B$21)))</f>
        <v>70</v>
      </c>
      <c r="U709" s="8" t="n">
        <f aca="false">ROUND(P709*Assumptions!$B$2+Q709*Assumptions!$B$3+R709*Assumptions!$B$4+S709*Assumptions!$B$5+T709*Assumptions!$B$6,0)</f>
        <v>79</v>
      </c>
      <c r="V709" s="8" t="str">
        <f aca="false">IF(U709&gt;=Assumptions!$B$10,"Healthy",IF(U709&gt;=Assumptions!$B$11,"Needs Attention","High Risk"))</f>
        <v>Needs Attention</v>
      </c>
    </row>
    <row r="710" customFormat="false" ht="15" hidden="false" customHeight="false" outlineLevel="0" collapsed="false">
      <c r="A710" s="8" t="s">
        <v>1561</v>
      </c>
      <c r="B710" s="8" t="s">
        <v>1562</v>
      </c>
      <c r="C710" s="8" t="s">
        <v>53</v>
      </c>
      <c r="D710" s="8" t="s">
        <v>326</v>
      </c>
      <c r="E710" s="8" t="s">
        <v>123</v>
      </c>
      <c r="F710" s="8" t="s">
        <v>166</v>
      </c>
      <c r="G710" s="8" t="s">
        <v>129</v>
      </c>
      <c r="H710" s="15" t="n">
        <v>2000</v>
      </c>
      <c r="I710" s="15" t="n">
        <v>2000</v>
      </c>
      <c r="J710" s="16" t="n">
        <v>0.608</v>
      </c>
      <c r="K710" s="8" t="n">
        <v>6</v>
      </c>
      <c r="L710" s="8" t="n">
        <v>6</v>
      </c>
      <c r="M710" s="8" t="n">
        <v>5</v>
      </c>
      <c r="N710" s="8" t="s">
        <v>120</v>
      </c>
      <c r="O710" s="15" t="n">
        <f aca="false">H710*12</f>
        <v>24000</v>
      </c>
      <c r="P710" s="8" t="n">
        <f aca="false">MIN(100,ROUND(100*J710/Assumptions!$B$8,0))</f>
        <v>68</v>
      </c>
      <c r="Q710" s="8" t="n">
        <f aca="false">IF(L710="",Assumptions!$B$9,L710*10)</f>
        <v>60</v>
      </c>
      <c r="R710" s="8" t="n">
        <f aca="false">IF(M710&lt;=1,Assumptions!$B$12,IF(M710&lt;=3,Assumptions!$B$13,IF(M710&lt;=6,Assumptions!$B$14,Assumptions!$B$15)))</f>
        <v>50</v>
      </c>
      <c r="S710" s="8" t="n">
        <f aca="false">IF(N710="Completed On Time",Assumptions!$B$16,IF(N710="Completed Late",Assumptions!$B$17,Assumptions!$B$18))</f>
        <v>100</v>
      </c>
      <c r="T710" s="8" t="n">
        <f aca="false">IF(I710=0,Assumptions!$B$20,IF(H710&gt;I710,Assumptions!$B$19,IF(H710=I710,Assumptions!$B$20,Assumptions!$B$21)))</f>
        <v>70</v>
      </c>
      <c r="U710" s="8" t="n">
        <f aca="false">ROUND(P710*Assumptions!$B$2+Q710*Assumptions!$B$3+R710*Assumptions!$B$4+S710*Assumptions!$B$5+T710*Assumptions!$B$6,0)</f>
        <v>67</v>
      </c>
      <c r="V710" s="8" t="str">
        <f aca="false">IF(U710&gt;=Assumptions!$B$10,"Healthy",IF(U710&gt;=Assumptions!$B$11,"Needs Attention","High Risk"))</f>
        <v>Needs Attention</v>
      </c>
    </row>
    <row r="711" customFormat="false" ht="15" hidden="false" customHeight="false" outlineLevel="0" collapsed="false">
      <c r="A711" s="8" t="s">
        <v>1563</v>
      </c>
      <c r="B711" s="8" t="s">
        <v>1564</v>
      </c>
      <c r="C711" s="8" t="s">
        <v>53</v>
      </c>
      <c r="D711" s="8" t="s">
        <v>326</v>
      </c>
      <c r="E711" s="8" t="s">
        <v>123</v>
      </c>
      <c r="F711" s="8" t="s">
        <v>190</v>
      </c>
      <c r="G711" s="8" t="s">
        <v>177</v>
      </c>
      <c r="H711" s="15" t="n">
        <v>2000</v>
      </c>
      <c r="I711" s="15" t="n">
        <v>2000</v>
      </c>
      <c r="J711" s="16" t="n">
        <v>0.529</v>
      </c>
      <c r="K711" s="8" t="n">
        <v>6.3</v>
      </c>
      <c r="L711" s="8" t="n">
        <v>4</v>
      </c>
      <c r="M711" s="8" t="n">
        <v>5</v>
      </c>
      <c r="N711" s="8" t="s">
        <v>148</v>
      </c>
      <c r="O711" s="15" t="n">
        <f aca="false">H711*12</f>
        <v>24000</v>
      </c>
      <c r="P711" s="8" t="n">
        <f aca="false">MIN(100,ROUND(100*J711/Assumptions!$B$8,0))</f>
        <v>59</v>
      </c>
      <c r="Q711" s="8" t="n">
        <f aca="false">IF(L711="",Assumptions!$B$9,L711*10)</f>
        <v>40</v>
      </c>
      <c r="R711" s="8" t="n">
        <f aca="false">IF(M711&lt;=1,Assumptions!$B$12,IF(M711&lt;=3,Assumptions!$B$13,IF(M711&lt;=6,Assumptions!$B$14,Assumptions!$B$15)))</f>
        <v>50</v>
      </c>
      <c r="S711" s="8" t="n">
        <f aca="false">IF(N711="Completed On Time",Assumptions!$B$16,IF(N711="Completed Late",Assumptions!$B$17,Assumptions!$B$18))</f>
        <v>60</v>
      </c>
      <c r="T711" s="8" t="n">
        <f aca="false">IF(I711=0,Assumptions!$B$20,IF(H711&gt;I711,Assumptions!$B$19,IF(H711=I711,Assumptions!$B$20,Assumptions!$B$21)))</f>
        <v>70</v>
      </c>
      <c r="U711" s="8" t="n">
        <f aca="false">ROUND(P711*Assumptions!$B$2+Q711*Assumptions!$B$3+R711*Assumptions!$B$4+S711*Assumptions!$B$5+T711*Assumptions!$B$6,0)</f>
        <v>56</v>
      </c>
      <c r="V711" s="8" t="str">
        <f aca="false">IF(U711&gt;=Assumptions!$B$10,"Healthy",IF(U711&gt;=Assumptions!$B$11,"Needs Attention","High Risk"))</f>
        <v>High Risk</v>
      </c>
    </row>
    <row r="712" customFormat="false" ht="15" hidden="false" customHeight="false" outlineLevel="0" collapsed="false">
      <c r="A712" s="8" t="s">
        <v>1565</v>
      </c>
      <c r="B712" s="8" t="s">
        <v>1566</v>
      </c>
      <c r="C712" s="8" t="s">
        <v>53</v>
      </c>
      <c r="D712" s="8" t="s">
        <v>326</v>
      </c>
      <c r="E712" s="8" t="s">
        <v>132</v>
      </c>
      <c r="F712" s="8" t="s">
        <v>136</v>
      </c>
      <c r="G712" s="8" t="s">
        <v>125</v>
      </c>
      <c r="H712" s="15" t="n">
        <v>2000</v>
      </c>
      <c r="I712" s="15" t="n">
        <v>2000</v>
      </c>
      <c r="J712" s="16" t="n">
        <v>0.571</v>
      </c>
      <c r="K712" s="8" t="n">
        <v>5.3</v>
      </c>
      <c r="L712" s="8" t="n">
        <v>8</v>
      </c>
      <c r="M712" s="8" t="n">
        <v>1</v>
      </c>
      <c r="N712" s="8" t="s">
        <v>120</v>
      </c>
      <c r="O712" s="15" t="n">
        <f aca="false">H712*12</f>
        <v>24000</v>
      </c>
      <c r="P712" s="8" t="n">
        <f aca="false">MIN(100,ROUND(100*J712/Assumptions!$B$8,0))</f>
        <v>63</v>
      </c>
      <c r="Q712" s="8" t="n">
        <f aca="false">IF(L712="",Assumptions!$B$9,L712*10)</f>
        <v>80</v>
      </c>
      <c r="R712" s="8" t="n">
        <f aca="false">IF(M712&lt;=1,Assumptions!$B$12,IF(M712&lt;=3,Assumptions!$B$13,IF(M712&lt;=6,Assumptions!$B$14,Assumptions!$B$15)))</f>
        <v>100</v>
      </c>
      <c r="S712" s="8" t="n">
        <f aca="false">IF(N712="Completed On Time",Assumptions!$B$16,IF(N712="Completed Late",Assumptions!$B$17,Assumptions!$B$18))</f>
        <v>100</v>
      </c>
      <c r="T712" s="8" t="n">
        <f aca="false">IF(I712=0,Assumptions!$B$20,IF(H712&gt;I712,Assumptions!$B$19,IF(H712=I712,Assumptions!$B$20,Assumptions!$B$21)))</f>
        <v>70</v>
      </c>
      <c r="U712" s="8" t="n">
        <f aca="false">ROUND(P712*Assumptions!$B$2+Q712*Assumptions!$B$3+R712*Assumptions!$B$4+S712*Assumptions!$B$5+T712*Assumptions!$B$6,0)</f>
        <v>77</v>
      </c>
      <c r="V712" s="8" t="str">
        <f aca="false">IF(U712&gt;=Assumptions!$B$10,"Healthy",IF(U712&gt;=Assumptions!$B$11,"Needs Attention","High Risk"))</f>
        <v>Needs Attention</v>
      </c>
    </row>
    <row r="713" customFormat="false" ht="15" hidden="false" customHeight="false" outlineLevel="0" collapsed="false">
      <c r="A713" s="8" t="s">
        <v>1567</v>
      </c>
      <c r="B713" s="8" t="s">
        <v>1568</v>
      </c>
      <c r="C713" s="8" t="s">
        <v>53</v>
      </c>
      <c r="D713" s="8" t="s">
        <v>326</v>
      </c>
      <c r="E713" s="8" t="s">
        <v>123</v>
      </c>
      <c r="F713" s="8" t="s">
        <v>223</v>
      </c>
      <c r="G713" s="8" t="s">
        <v>159</v>
      </c>
      <c r="H713" s="15" t="n">
        <v>1975</v>
      </c>
      <c r="I713" s="15" t="n">
        <v>1975</v>
      </c>
      <c r="J713" s="16" t="n">
        <v>0.759</v>
      </c>
      <c r="K713" s="8" t="n">
        <v>9.3</v>
      </c>
      <c r="L713" s="8" t="n">
        <v>10</v>
      </c>
      <c r="M713" s="8" t="n">
        <v>5</v>
      </c>
      <c r="N713" s="8" t="s">
        <v>120</v>
      </c>
      <c r="O713" s="15" t="n">
        <f aca="false">H713*12</f>
        <v>23700</v>
      </c>
      <c r="P713" s="8" t="n">
        <f aca="false">MIN(100,ROUND(100*J713/Assumptions!$B$8,0))</f>
        <v>84</v>
      </c>
      <c r="Q713" s="8" t="n">
        <f aca="false">IF(L713="",Assumptions!$B$9,L713*10)</f>
        <v>100</v>
      </c>
      <c r="R713" s="8" t="n">
        <f aca="false">IF(M713&lt;=1,Assumptions!$B$12,IF(M713&lt;=3,Assumptions!$B$13,IF(M713&lt;=6,Assumptions!$B$14,Assumptions!$B$15)))</f>
        <v>50</v>
      </c>
      <c r="S713" s="8" t="n">
        <f aca="false">IF(N713="Completed On Time",Assumptions!$B$16,IF(N713="Completed Late",Assumptions!$B$17,Assumptions!$B$18))</f>
        <v>100</v>
      </c>
      <c r="T713" s="8" t="n">
        <f aca="false">IF(I713=0,Assumptions!$B$20,IF(H713&gt;I713,Assumptions!$B$19,IF(H713=I713,Assumptions!$B$20,Assumptions!$B$21)))</f>
        <v>70</v>
      </c>
      <c r="U713" s="8" t="n">
        <f aca="false">ROUND(P713*Assumptions!$B$2+Q713*Assumptions!$B$3+R713*Assumptions!$B$4+S713*Assumptions!$B$5+T713*Assumptions!$B$6,0)</f>
        <v>81</v>
      </c>
      <c r="V713" s="8" t="str">
        <f aca="false">IF(U713&gt;=Assumptions!$B$10,"Healthy",IF(U713&gt;=Assumptions!$B$11,"Needs Attention","High Risk"))</f>
        <v>Healthy</v>
      </c>
    </row>
    <row r="714" customFormat="false" ht="15" hidden="false" customHeight="false" outlineLevel="0" collapsed="false">
      <c r="A714" s="8" t="s">
        <v>1569</v>
      </c>
      <c r="B714" s="8" t="s">
        <v>1570</v>
      </c>
      <c r="C714" s="8" t="s">
        <v>53</v>
      </c>
      <c r="D714" s="8" t="s">
        <v>326</v>
      </c>
      <c r="E714" s="8" t="s">
        <v>117</v>
      </c>
      <c r="F714" s="8" t="s">
        <v>154</v>
      </c>
      <c r="G714" s="8" t="s">
        <v>177</v>
      </c>
      <c r="H714" s="15" t="n">
        <v>1975</v>
      </c>
      <c r="I714" s="15" t="n">
        <v>1975</v>
      </c>
      <c r="J714" s="16" t="n">
        <v>0.738</v>
      </c>
      <c r="K714" s="8" t="n">
        <v>7.3</v>
      </c>
      <c r="L714" s="8" t="n">
        <v>7</v>
      </c>
      <c r="M714" s="8" t="n">
        <v>2</v>
      </c>
      <c r="N714" s="8" t="s">
        <v>120</v>
      </c>
      <c r="O714" s="15" t="n">
        <f aca="false">H714*12</f>
        <v>23700</v>
      </c>
      <c r="P714" s="8" t="n">
        <f aca="false">MIN(100,ROUND(100*J714/Assumptions!$B$8,0))</f>
        <v>82</v>
      </c>
      <c r="Q714" s="8" t="n">
        <f aca="false">IF(L714="",Assumptions!$B$9,L714*10)</f>
        <v>70</v>
      </c>
      <c r="R714" s="8" t="n">
        <f aca="false">IF(M714&lt;=1,Assumptions!$B$12,IF(M714&lt;=3,Assumptions!$B$13,IF(M714&lt;=6,Assumptions!$B$14,Assumptions!$B$15)))</f>
        <v>75</v>
      </c>
      <c r="S714" s="8" t="n">
        <f aca="false">IF(N714="Completed On Time",Assumptions!$B$16,IF(N714="Completed Late",Assumptions!$B$17,Assumptions!$B$18))</f>
        <v>100</v>
      </c>
      <c r="T714" s="8" t="n">
        <f aca="false">IF(I714=0,Assumptions!$B$20,IF(H714&gt;I714,Assumptions!$B$19,IF(H714=I714,Assumptions!$B$20,Assumptions!$B$21)))</f>
        <v>70</v>
      </c>
      <c r="U714" s="8" t="n">
        <f aca="false">ROUND(P714*Assumptions!$B$2+Q714*Assumptions!$B$3+R714*Assumptions!$B$4+S714*Assumptions!$B$5+T714*Assumptions!$B$6,0)</f>
        <v>78</v>
      </c>
      <c r="V714" s="8" t="str">
        <f aca="false">IF(U714&gt;=Assumptions!$B$10,"Healthy",IF(U714&gt;=Assumptions!$B$11,"Needs Attention","High Risk"))</f>
        <v>Needs Attention</v>
      </c>
    </row>
    <row r="715" customFormat="false" ht="15" hidden="false" customHeight="false" outlineLevel="0" collapsed="false">
      <c r="A715" s="8" t="s">
        <v>1571</v>
      </c>
      <c r="B715" s="8" t="s">
        <v>1572</v>
      </c>
      <c r="C715" s="8" t="s">
        <v>53</v>
      </c>
      <c r="D715" s="8" t="s">
        <v>326</v>
      </c>
      <c r="E715" s="8" t="s">
        <v>123</v>
      </c>
      <c r="F715" s="8" t="s">
        <v>154</v>
      </c>
      <c r="G715" s="8" t="s">
        <v>125</v>
      </c>
      <c r="H715" s="15" t="n">
        <v>1975</v>
      </c>
      <c r="I715" s="15" t="n">
        <v>1975</v>
      </c>
      <c r="J715" s="16" t="n">
        <v>0.544</v>
      </c>
      <c r="K715" s="8" t="n">
        <v>6</v>
      </c>
      <c r="L715" s="8" t="n">
        <v>9</v>
      </c>
      <c r="M715" s="8" t="n">
        <v>5</v>
      </c>
      <c r="N715" s="8" t="s">
        <v>120</v>
      </c>
      <c r="O715" s="15" t="n">
        <f aca="false">H715*12</f>
        <v>23700</v>
      </c>
      <c r="P715" s="8" t="n">
        <f aca="false">MIN(100,ROUND(100*J715/Assumptions!$B$8,0))</f>
        <v>60</v>
      </c>
      <c r="Q715" s="8" t="n">
        <f aca="false">IF(L715="",Assumptions!$B$9,L715*10)</f>
        <v>90</v>
      </c>
      <c r="R715" s="8" t="n">
        <f aca="false">IF(M715&lt;=1,Assumptions!$B$12,IF(M715&lt;=3,Assumptions!$B$13,IF(M715&lt;=6,Assumptions!$B$14,Assumptions!$B$15)))</f>
        <v>50</v>
      </c>
      <c r="S715" s="8" t="n">
        <f aca="false">IF(N715="Completed On Time",Assumptions!$B$16,IF(N715="Completed Late",Assumptions!$B$17,Assumptions!$B$18))</f>
        <v>100</v>
      </c>
      <c r="T715" s="8" t="n">
        <f aca="false">IF(I715=0,Assumptions!$B$20,IF(H715&gt;I715,Assumptions!$B$19,IF(H715=I715,Assumptions!$B$20,Assumptions!$B$21)))</f>
        <v>70</v>
      </c>
      <c r="U715" s="8" t="n">
        <f aca="false">ROUND(P715*Assumptions!$B$2+Q715*Assumptions!$B$3+R715*Assumptions!$B$4+S715*Assumptions!$B$5+T715*Assumptions!$B$6,0)</f>
        <v>71</v>
      </c>
      <c r="V715" s="8" t="str">
        <f aca="false">IF(U715&gt;=Assumptions!$B$10,"Healthy",IF(U715&gt;=Assumptions!$B$11,"Needs Attention","High Risk"))</f>
        <v>Needs Attention</v>
      </c>
    </row>
    <row r="716" customFormat="false" ht="15" hidden="false" customHeight="false" outlineLevel="0" collapsed="false">
      <c r="A716" s="8" t="s">
        <v>1573</v>
      </c>
      <c r="B716" s="8" t="s">
        <v>1574</v>
      </c>
      <c r="C716" s="8" t="s">
        <v>53</v>
      </c>
      <c r="D716" s="8" t="s">
        <v>326</v>
      </c>
      <c r="E716" s="8" t="s">
        <v>123</v>
      </c>
      <c r="F716" s="8" t="s">
        <v>124</v>
      </c>
      <c r="G716" s="8" t="s">
        <v>177</v>
      </c>
      <c r="H716" s="15" t="n">
        <v>1975</v>
      </c>
      <c r="I716" s="15" t="n">
        <v>0</v>
      </c>
      <c r="J716" s="16" t="n">
        <v>0.418</v>
      </c>
      <c r="K716" s="8" t="n">
        <v>4.3</v>
      </c>
      <c r="L716" s="8"/>
      <c r="M716" s="8" t="n">
        <v>5</v>
      </c>
      <c r="N716" s="8" t="s">
        <v>199</v>
      </c>
      <c r="O716" s="15" t="n">
        <f aca="false">H716*12</f>
        <v>23700</v>
      </c>
      <c r="P716" s="8" t="n">
        <f aca="false">MIN(100,ROUND(100*J716/Assumptions!$B$8,0))</f>
        <v>46</v>
      </c>
      <c r="Q716" s="8" t="n">
        <f aca="false">IF(L716="",Assumptions!$B$9,L716*10)</f>
        <v>50</v>
      </c>
      <c r="R716" s="8" t="n">
        <f aca="false">IF(M716&lt;=1,Assumptions!$B$12,IF(M716&lt;=3,Assumptions!$B$13,IF(M716&lt;=6,Assumptions!$B$14,Assumptions!$B$15)))</f>
        <v>50</v>
      </c>
      <c r="S716" s="8" t="n">
        <f aca="false">IF(N716="Completed On Time",Assumptions!$B$16,IF(N716="Completed Late",Assumptions!$B$17,Assumptions!$B$18))</f>
        <v>50</v>
      </c>
      <c r="T716" s="8" t="n">
        <f aca="false">IF(I716=0,Assumptions!$B$20,IF(H716&gt;I716,Assumptions!$B$19,IF(H716=I716,Assumptions!$B$20,Assumptions!$B$21)))</f>
        <v>70</v>
      </c>
      <c r="U716" s="8" t="n">
        <f aca="false">ROUND(P716*Assumptions!$B$2+Q716*Assumptions!$B$3+R716*Assumptions!$B$4+S716*Assumptions!$B$5+T716*Assumptions!$B$6,0)</f>
        <v>53</v>
      </c>
      <c r="V716" s="8" t="str">
        <f aca="false">IF(U716&gt;=Assumptions!$B$10,"Healthy",IF(U716&gt;=Assumptions!$B$11,"Needs Attention","High Risk"))</f>
        <v>High Risk</v>
      </c>
    </row>
    <row r="717" customFormat="false" ht="15" hidden="false" customHeight="false" outlineLevel="0" collapsed="false">
      <c r="A717" s="8" t="s">
        <v>1575</v>
      </c>
      <c r="B717" s="8" t="s">
        <v>1576</v>
      </c>
      <c r="C717" s="8" t="s">
        <v>53</v>
      </c>
      <c r="D717" s="8" t="s">
        <v>326</v>
      </c>
      <c r="E717" s="8" t="s">
        <v>132</v>
      </c>
      <c r="F717" s="8" t="s">
        <v>124</v>
      </c>
      <c r="G717" s="8" t="s">
        <v>159</v>
      </c>
      <c r="H717" s="15" t="n">
        <v>1950</v>
      </c>
      <c r="I717" s="15" t="n">
        <v>1950</v>
      </c>
      <c r="J717" s="16" t="n">
        <v>0.756</v>
      </c>
      <c r="K717" s="8" t="n">
        <v>8</v>
      </c>
      <c r="L717" s="8" t="n">
        <v>8</v>
      </c>
      <c r="M717" s="8" t="n">
        <v>0</v>
      </c>
      <c r="N717" s="8" t="s">
        <v>120</v>
      </c>
      <c r="O717" s="15" t="n">
        <f aca="false">H717*12</f>
        <v>23400</v>
      </c>
      <c r="P717" s="8" t="n">
        <f aca="false">MIN(100,ROUND(100*J717/Assumptions!$B$8,0))</f>
        <v>84</v>
      </c>
      <c r="Q717" s="8" t="n">
        <f aca="false">IF(L717="",Assumptions!$B$9,L717*10)</f>
        <v>80</v>
      </c>
      <c r="R717" s="8" t="n">
        <f aca="false">IF(M717&lt;=1,Assumptions!$B$12,IF(M717&lt;=3,Assumptions!$B$13,IF(M717&lt;=6,Assumptions!$B$14,Assumptions!$B$15)))</f>
        <v>100</v>
      </c>
      <c r="S717" s="8" t="n">
        <f aca="false">IF(N717="Completed On Time",Assumptions!$B$16,IF(N717="Completed Late",Assumptions!$B$17,Assumptions!$B$18))</f>
        <v>100</v>
      </c>
      <c r="T717" s="8" t="n">
        <f aca="false">IF(I717=0,Assumptions!$B$20,IF(H717&gt;I717,Assumptions!$B$19,IF(H717=I717,Assumptions!$B$20,Assumptions!$B$21)))</f>
        <v>70</v>
      </c>
      <c r="U717" s="8" t="n">
        <f aca="false">ROUND(P717*Assumptions!$B$2+Q717*Assumptions!$B$3+R717*Assumptions!$B$4+S717*Assumptions!$B$5+T717*Assumptions!$B$6,0)</f>
        <v>84</v>
      </c>
      <c r="V717" s="8" t="str">
        <f aca="false">IF(U717&gt;=Assumptions!$B$10,"Healthy",IF(U717&gt;=Assumptions!$B$11,"Needs Attention","High Risk"))</f>
        <v>Healthy</v>
      </c>
    </row>
    <row r="718" customFormat="false" ht="15" hidden="false" customHeight="false" outlineLevel="0" collapsed="false">
      <c r="A718" s="8" t="s">
        <v>1577</v>
      </c>
      <c r="B718" s="8" t="s">
        <v>1578</v>
      </c>
      <c r="C718" s="8" t="s">
        <v>53</v>
      </c>
      <c r="D718" s="8" t="s">
        <v>55</v>
      </c>
      <c r="E718" s="8" t="s">
        <v>132</v>
      </c>
      <c r="F718" s="8" t="s">
        <v>143</v>
      </c>
      <c r="G718" s="8" t="s">
        <v>119</v>
      </c>
      <c r="H718" s="15" t="n">
        <v>1935</v>
      </c>
      <c r="I718" s="15" t="n">
        <v>1935</v>
      </c>
      <c r="J718" s="16" t="n">
        <v>0.612</v>
      </c>
      <c r="K718" s="8" t="n">
        <v>6</v>
      </c>
      <c r="L718" s="8" t="n">
        <v>7</v>
      </c>
      <c r="M718" s="8" t="n">
        <v>2</v>
      </c>
      <c r="N718" s="8" t="s">
        <v>148</v>
      </c>
      <c r="O718" s="15" t="n">
        <f aca="false">H718*12</f>
        <v>23220</v>
      </c>
      <c r="P718" s="8" t="n">
        <f aca="false">MIN(100,ROUND(100*J718/Assumptions!$B$8,0))</f>
        <v>68</v>
      </c>
      <c r="Q718" s="8" t="n">
        <f aca="false">IF(L718="",Assumptions!$B$9,L718*10)</f>
        <v>70</v>
      </c>
      <c r="R718" s="8" t="n">
        <f aca="false">IF(M718&lt;=1,Assumptions!$B$12,IF(M718&lt;=3,Assumptions!$B$13,IF(M718&lt;=6,Assumptions!$B$14,Assumptions!$B$15)))</f>
        <v>75</v>
      </c>
      <c r="S718" s="8" t="n">
        <f aca="false">IF(N718="Completed On Time",Assumptions!$B$16,IF(N718="Completed Late",Assumptions!$B$17,Assumptions!$B$18))</f>
        <v>60</v>
      </c>
      <c r="T718" s="8" t="n">
        <f aca="false">IF(I718=0,Assumptions!$B$20,IF(H718&gt;I718,Assumptions!$B$19,IF(H718=I718,Assumptions!$B$20,Assumptions!$B$21)))</f>
        <v>70</v>
      </c>
      <c r="U718" s="8" t="n">
        <f aca="false">ROUND(P718*Assumptions!$B$2+Q718*Assumptions!$B$3+R718*Assumptions!$B$4+S718*Assumptions!$B$5+T718*Assumptions!$B$6,0)</f>
        <v>69</v>
      </c>
      <c r="V718" s="8" t="str">
        <f aca="false">IF(U718&gt;=Assumptions!$B$10,"Healthy",IF(U718&gt;=Assumptions!$B$11,"Needs Attention","High Risk"))</f>
        <v>Needs Attention</v>
      </c>
    </row>
    <row r="719" customFormat="false" ht="15" hidden="false" customHeight="false" outlineLevel="0" collapsed="false">
      <c r="A719" s="8" t="s">
        <v>1579</v>
      </c>
      <c r="B719" s="8" t="s">
        <v>1580</v>
      </c>
      <c r="C719" s="8" t="s">
        <v>53</v>
      </c>
      <c r="D719" s="8" t="s">
        <v>326</v>
      </c>
      <c r="E719" s="8" t="s">
        <v>132</v>
      </c>
      <c r="F719" s="8" t="s">
        <v>166</v>
      </c>
      <c r="G719" s="8" t="s">
        <v>140</v>
      </c>
      <c r="H719" s="15" t="n">
        <v>1925</v>
      </c>
      <c r="I719" s="15" t="n">
        <v>1925</v>
      </c>
      <c r="J719" s="16" t="n">
        <v>0.848</v>
      </c>
      <c r="K719" s="8" t="n">
        <v>11</v>
      </c>
      <c r="L719" s="8" t="n">
        <v>10</v>
      </c>
      <c r="M719" s="8" t="n">
        <v>1</v>
      </c>
      <c r="N719" s="8" t="s">
        <v>120</v>
      </c>
      <c r="O719" s="15" t="n">
        <f aca="false">H719*12</f>
        <v>23100</v>
      </c>
      <c r="P719" s="8" t="n">
        <f aca="false">MIN(100,ROUND(100*J719/Assumptions!$B$8,0))</f>
        <v>94</v>
      </c>
      <c r="Q719" s="8" t="n">
        <f aca="false">IF(L719="",Assumptions!$B$9,L719*10)</f>
        <v>100</v>
      </c>
      <c r="R719" s="8" t="n">
        <f aca="false">IF(M719&lt;=1,Assumptions!$B$12,IF(M719&lt;=3,Assumptions!$B$13,IF(M719&lt;=6,Assumptions!$B$14,Assumptions!$B$15)))</f>
        <v>100</v>
      </c>
      <c r="S719" s="8" t="n">
        <f aca="false">IF(N719="Completed On Time",Assumptions!$B$16,IF(N719="Completed Late",Assumptions!$B$17,Assumptions!$B$18))</f>
        <v>100</v>
      </c>
      <c r="T719" s="8" t="n">
        <f aca="false">IF(I719=0,Assumptions!$B$20,IF(H719&gt;I719,Assumptions!$B$19,IF(H719=I719,Assumptions!$B$20,Assumptions!$B$21)))</f>
        <v>70</v>
      </c>
      <c r="U719" s="8" t="n">
        <f aca="false">ROUND(P719*Assumptions!$B$2+Q719*Assumptions!$B$3+R719*Assumptions!$B$4+S719*Assumptions!$B$5+T719*Assumptions!$B$6,0)</f>
        <v>92</v>
      </c>
      <c r="V719" s="8" t="str">
        <f aca="false">IF(U719&gt;=Assumptions!$B$10,"Healthy",IF(U719&gt;=Assumptions!$B$11,"Needs Attention","High Risk"))</f>
        <v>Healthy</v>
      </c>
    </row>
    <row r="720" customFormat="false" ht="15" hidden="false" customHeight="false" outlineLevel="0" collapsed="false">
      <c r="A720" s="8" t="s">
        <v>1581</v>
      </c>
      <c r="B720" s="8" t="s">
        <v>1582</v>
      </c>
      <c r="C720" s="8" t="s">
        <v>53</v>
      </c>
      <c r="D720" s="8" t="s">
        <v>326</v>
      </c>
      <c r="E720" s="8" t="s">
        <v>123</v>
      </c>
      <c r="F720" s="8" t="s">
        <v>133</v>
      </c>
      <c r="G720" s="8" t="s">
        <v>159</v>
      </c>
      <c r="H720" s="15" t="n">
        <v>1925</v>
      </c>
      <c r="I720" s="15" t="n">
        <v>1925</v>
      </c>
      <c r="J720" s="16" t="n">
        <v>0.944</v>
      </c>
      <c r="K720" s="8" t="n">
        <v>12</v>
      </c>
      <c r="L720" s="8" t="n">
        <v>10</v>
      </c>
      <c r="M720" s="8" t="n">
        <v>0</v>
      </c>
      <c r="N720" s="8" t="s">
        <v>120</v>
      </c>
      <c r="O720" s="15" t="n">
        <f aca="false">H720*12</f>
        <v>23100</v>
      </c>
      <c r="P720" s="8" t="n">
        <f aca="false">MIN(100,ROUND(100*J720/Assumptions!$B$8,0))</f>
        <v>100</v>
      </c>
      <c r="Q720" s="8" t="n">
        <f aca="false">IF(L720="",Assumptions!$B$9,L720*10)</f>
        <v>100</v>
      </c>
      <c r="R720" s="8" t="n">
        <f aca="false">IF(M720&lt;=1,Assumptions!$B$12,IF(M720&lt;=3,Assumptions!$B$13,IF(M720&lt;=6,Assumptions!$B$14,Assumptions!$B$15)))</f>
        <v>100</v>
      </c>
      <c r="S720" s="8" t="n">
        <f aca="false">IF(N720="Completed On Time",Assumptions!$B$16,IF(N720="Completed Late",Assumptions!$B$17,Assumptions!$B$18))</f>
        <v>100</v>
      </c>
      <c r="T720" s="8" t="n">
        <f aca="false">IF(I720=0,Assumptions!$B$20,IF(H720&gt;I720,Assumptions!$B$19,IF(H720=I720,Assumptions!$B$20,Assumptions!$B$21)))</f>
        <v>70</v>
      </c>
      <c r="U720" s="8" t="n">
        <f aca="false">ROUND(P720*Assumptions!$B$2+Q720*Assumptions!$B$3+R720*Assumptions!$B$4+S720*Assumptions!$B$5+T720*Assumptions!$B$6,0)</f>
        <v>94</v>
      </c>
      <c r="V720" s="8" t="str">
        <f aca="false">IF(U720&gt;=Assumptions!$B$10,"Healthy",IF(U720&gt;=Assumptions!$B$11,"Needs Attention","High Risk"))</f>
        <v>Healthy</v>
      </c>
    </row>
    <row r="721" customFormat="false" ht="15" hidden="false" customHeight="false" outlineLevel="0" collapsed="false">
      <c r="A721" s="8" t="s">
        <v>1583</v>
      </c>
      <c r="B721" s="8" t="s">
        <v>1584</v>
      </c>
      <c r="C721" s="8" t="s">
        <v>53</v>
      </c>
      <c r="D721" s="8" t="s">
        <v>326</v>
      </c>
      <c r="E721" s="8" t="s">
        <v>123</v>
      </c>
      <c r="F721" s="8" t="s">
        <v>143</v>
      </c>
      <c r="G721" s="8" t="s">
        <v>204</v>
      </c>
      <c r="H721" s="15" t="n">
        <v>1900</v>
      </c>
      <c r="I721" s="15" t="n">
        <v>1900</v>
      </c>
      <c r="J721" s="16" t="n">
        <v>0.934</v>
      </c>
      <c r="K721" s="8" t="n">
        <v>10</v>
      </c>
      <c r="L721" s="8" t="n">
        <v>10</v>
      </c>
      <c r="M721" s="8" t="n">
        <v>0</v>
      </c>
      <c r="N721" s="8" t="s">
        <v>120</v>
      </c>
      <c r="O721" s="15" t="n">
        <f aca="false">H721*12</f>
        <v>22800</v>
      </c>
      <c r="P721" s="8" t="n">
        <f aca="false">MIN(100,ROUND(100*J721/Assumptions!$B$8,0))</f>
        <v>100</v>
      </c>
      <c r="Q721" s="8" t="n">
        <f aca="false">IF(L721="",Assumptions!$B$9,L721*10)</f>
        <v>100</v>
      </c>
      <c r="R721" s="8" t="n">
        <f aca="false">IF(M721&lt;=1,Assumptions!$B$12,IF(M721&lt;=3,Assumptions!$B$13,IF(M721&lt;=6,Assumptions!$B$14,Assumptions!$B$15)))</f>
        <v>100</v>
      </c>
      <c r="S721" s="8" t="n">
        <f aca="false">IF(N721="Completed On Time",Assumptions!$B$16,IF(N721="Completed Late",Assumptions!$B$17,Assumptions!$B$18))</f>
        <v>100</v>
      </c>
      <c r="T721" s="8" t="n">
        <f aca="false">IF(I721=0,Assumptions!$B$20,IF(H721&gt;I721,Assumptions!$B$19,IF(H721=I721,Assumptions!$B$20,Assumptions!$B$21)))</f>
        <v>70</v>
      </c>
      <c r="U721" s="8" t="n">
        <f aca="false">ROUND(P721*Assumptions!$B$2+Q721*Assumptions!$B$3+R721*Assumptions!$B$4+S721*Assumptions!$B$5+T721*Assumptions!$B$6,0)</f>
        <v>94</v>
      </c>
      <c r="V721" s="8" t="str">
        <f aca="false">IF(U721&gt;=Assumptions!$B$10,"Healthy",IF(U721&gt;=Assumptions!$B$11,"Needs Attention","High Risk"))</f>
        <v>Healthy</v>
      </c>
    </row>
    <row r="722" customFormat="false" ht="15" hidden="false" customHeight="false" outlineLevel="0" collapsed="false">
      <c r="A722" s="8" t="s">
        <v>1585</v>
      </c>
      <c r="B722" s="8" t="s">
        <v>1586</v>
      </c>
      <c r="C722" s="8" t="s">
        <v>53</v>
      </c>
      <c r="D722" s="8" t="s">
        <v>326</v>
      </c>
      <c r="E722" s="8" t="s">
        <v>117</v>
      </c>
      <c r="F722" s="8" t="s">
        <v>151</v>
      </c>
      <c r="G722" s="8" t="s">
        <v>177</v>
      </c>
      <c r="H722" s="15" t="n">
        <v>1875</v>
      </c>
      <c r="I722" s="15" t="n">
        <v>1875</v>
      </c>
      <c r="J722" s="16" t="n">
        <v>0.92</v>
      </c>
      <c r="K722" s="8" t="n">
        <v>11.7</v>
      </c>
      <c r="L722" s="8" t="n">
        <v>10</v>
      </c>
      <c r="M722" s="8" t="n">
        <v>0</v>
      </c>
      <c r="N722" s="8" t="s">
        <v>120</v>
      </c>
      <c r="O722" s="15" t="n">
        <f aca="false">H722*12</f>
        <v>22500</v>
      </c>
      <c r="P722" s="8" t="n">
        <f aca="false">MIN(100,ROUND(100*J722/Assumptions!$B$8,0))</f>
        <v>100</v>
      </c>
      <c r="Q722" s="8" t="n">
        <f aca="false">IF(L722="",Assumptions!$B$9,L722*10)</f>
        <v>100</v>
      </c>
      <c r="R722" s="8" t="n">
        <f aca="false">IF(M722&lt;=1,Assumptions!$B$12,IF(M722&lt;=3,Assumptions!$B$13,IF(M722&lt;=6,Assumptions!$B$14,Assumptions!$B$15)))</f>
        <v>100</v>
      </c>
      <c r="S722" s="8" t="n">
        <f aca="false">IF(N722="Completed On Time",Assumptions!$B$16,IF(N722="Completed Late",Assumptions!$B$17,Assumptions!$B$18))</f>
        <v>100</v>
      </c>
      <c r="T722" s="8" t="n">
        <f aca="false">IF(I722=0,Assumptions!$B$20,IF(H722&gt;I722,Assumptions!$B$19,IF(H722=I722,Assumptions!$B$20,Assumptions!$B$21)))</f>
        <v>70</v>
      </c>
      <c r="U722" s="8" t="n">
        <f aca="false">ROUND(P722*Assumptions!$B$2+Q722*Assumptions!$B$3+R722*Assumptions!$B$4+S722*Assumptions!$B$5+T722*Assumptions!$B$6,0)</f>
        <v>94</v>
      </c>
      <c r="V722" s="8" t="str">
        <f aca="false">IF(U722&gt;=Assumptions!$B$10,"Healthy",IF(U722&gt;=Assumptions!$B$11,"Needs Attention","High Risk"))</f>
        <v>Healthy</v>
      </c>
    </row>
    <row r="723" customFormat="false" ht="15" hidden="false" customHeight="false" outlineLevel="0" collapsed="false">
      <c r="A723" s="8" t="s">
        <v>1587</v>
      </c>
      <c r="B723" s="8" t="s">
        <v>1588</v>
      </c>
      <c r="C723" s="8" t="s">
        <v>53</v>
      </c>
      <c r="D723" s="8" t="s">
        <v>326</v>
      </c>
      <c r="E723" s="8" t="s">
        <v>123</v>
      </c>
      <c r="F723" s="8" t="s">
        <v>151</v>
      </c>
      <c r="G723" s="8" t="s">
        <v>140</v>
      </c>
      <c r="H723" s="15" t="n">
        <v>1875</v>
      </c>
      <c r="I723" s="15" t="n">
        <v>1875</v>
      </c>
      <c r="J723" s="16" t="n">
        <v>0.618</v>
      </c>
      <c r="K723" s="8" t="n">
        <v>7.3</v>
      </c>
      <c r="L723" s="8" t="n">
        <v>8</v>
      </c>
      <c r="M723" s="8" t="n">
        <v>5</v>
      </c>
      <c r="N723" s="8" t="s">
        <v>120</v>
      </c>
      <c r="O723" s="15" t="n">
        <f aca="false">H723*12</f>
        <v>22500</v>
      </c>
      <c r="P723" s="8" t="n">
        <f aca="false">MIN(100,ROUND(100*J723/Assumptions!$B$8,0))</f>
        <v>69</v>
      </c>
      <c r="Q723" s="8" t="n">
        <f aca="false">IF(L723="",Assumptions!$B$9,L723*10)</f>
        <v>80</v>
      </c>
      <c r="R723" s="8" t="n">
        <f aca="false">IF(M723&lt;=1,Assumptions!$B$12,IF(M723&lt;=3,Assumptions!$B$13,IF(M723&lt;=6,Assumptions!$B$14,Assumptions!$B$15)))</f>
        <v>50</v>
      </c>
      <c r="S723" s="8" t="n">
        <f aca="false">IF(N723="Completed On Time",Assumptions!$B$16,IF(N723="Completed Late",Assumptions!$B$17,Assumptions!$B$18))</f>
        <v>100</v>
      </c>
      <c r="T723" s="8" t="n">
        <f aca="false">IF(I723=0,Assumptions!$B$20,IF(H723&gt;I723,Assumptions!$B$19,IF(H723=I723,Assumptions!$B$20,Assumptions!$B$21)))</f>
        <v>70</v>
      </c>
      <c r="U723" s="8" t="n">
        <f aca="false">ROUND(P723*Assumptions!$B$2+Q723*Assumptions!$B$3+R723*Assumptions!$B$4+S723*Assumptions!$B$5+T723*Assumptions!$B$6,0)</f>
        <v>72</v>
      </c>
      <c r="V723" s="8" t="str">
        <f aca="false">IF(U723&gt;=Assumptions!$B$10,"Healthy",IF(U723&gt;=Assumptions!$B$11,"Needs Attention","High Risk"))</f>
        <v>Needs Attention</v>
      </c>
    </row>
    <row r="724" customFormat="false" ht="15" hidden="false" customHeight="false" outlineLevel="0" collapsed="false">
      <c r="A724" s="8" t="s">
        <v>1589</v>
      </c>
      <c r="B724" s="8" t="s">
        <v>1590</v>
      </c>
      <c r="C724" s="8" t="s">
        <v>53</v>
      </c>
      <c r="D724" s="8" t="s">
        <v>326</v>
      </c>
      <c r="E724" s="8" t="s">
        <v>123</v>
      </c>
      <c r="F724" s="8" t="s">
        <v>166</v>
      </c>
      <c r="G724" s="8" t="s">
        <v>137</v>
      </c>
      <c r="H724" s="15" t="n">
        <v>1850</v>
      </c>
      <c r="I724" s="15" t="n">
        <v>1850</v>
      </c>
      <c r="J724" s="16" t="n">
        <v>0.667</v>
      </c>
      <c r="K724" s="8" t="n">
        <v>7.3</v>
      </c>
      <c r="L724" s="8" t="n">
        <v>7</v>
      </c>
      <c r="M724" s="8" t="n">
        <v>5</v>
      </c>
      <c r="N724" s="8" t="s">
        <v>120</v>
      </c>
      <c r="O724" s="15" t="n">
        <f aca="false">H724*12</f>
        <v>22200</v>
      </c>
      <c r="P724" s="8" t="n">
        <f aca="false">MIN(100,ROUND(100*J724/Assumptions!$B$8,0))</f>
        <v>74</v>
      </c>
      <c r="Q724" s="8" t="n">
        <f aca="false">IF(L724="",Assumptions!$B$9,L724*10)</f>
        <v>70</v>
      </c>
      <c r="R724" s="8" t="n">
        <f aca="false">IF(M724&lt;=1,Assumptions!$B$12,IF(M724&lt;=3,Assumptions!$B$13,IF(M724&lt;=6,Assumptions!$B$14,Assumptions!$B$15)))</f>
        <v>50</v>
      </c>
      <c r="S724" s="8" t="n">
        <f aca="false">IF(N724="Completed On Time",Assumptions!$B$16,IF(N724="Completed Late",Assumptions!$B$17,Assumptions!$B$18))</f>
        <v>100</v>
      </c>
      <c r="T724" s="8" t="n">
        <f aca="false">IF(I724=0,Assumptions!$B$20,IF(H724&gt;I724,Assumptions!$B$19,IF(H724=I724,Assumptions!$B$20,Assumptions!$B$21)))</f>
        <v>70</v>
      </c>
      <c r="U724" s="8" t="n">
        <f aca="false">ROUND(P724*Assumptions!$B$2+Q724*Assumptions!$B$3+R724*Assumptions!$B$4+S724*Assumptions!$B$5+T724*Assumptions!$B$6,0)</f>
        <v>71</v>
      </c>
      <c r="V724" s="8" t="str">
        <f aca="false">IF(U724&gt;=Assumptions!$B$10,"Healthy",IF(U724&gt;=Assumptions!$B$11,"Needs Attention","High Risk"))</f>
        <v>Needs Attention</v>
      </c>
    </row>
    <row r="725" customFormat="false" ht="15" hidden="false" customHeight="false" outlineLevel="0" collapsed="false">
      <c r="A725" s="8" t="s">
        <v>1591</v>
      </c>
      <c r="B725" s="8" t="s">
        <v>1592</v>
      </c>
      <c r="C725" s="8" t="s">
        <v>53</v>
      </c>
      <c r="D725" s="8" t="s">
        <v>326</v>
      </c>
      <c r="E725" s="8" t="s">
        <v>123</v>
      </c>
      <c r="F725" s="8" t="s">
        <v>190</v>
      </c>
      <c r="G725" s="8" t="s">
        <v>185</v>
      </c>
      <c r="H725" s="15" t="n">
        <v>1825</v>
      </c>
      <c r="I725" s="15" t="n">
        <v>1825</v>
      </c>
      <c r="J725" s="16" t="n">
        <v>0.635</v>
      </c>
      <c r="K725" s="8" t="n">
        <v>5.7</v>
      </c>
      <c r="L725" s="8" t="n">
        <v>8</v>
      </c>
      <c r="M725" s="8" t="n">
        <v>2</v>
      </c>
      <c r="N725" s="8" t="s">
        <v>120</v>
      </c>
      <c r="O725" s="15" t="n">
        <f aca="false">H725*12</f>
        <v>21900</v>
      </c>
      <c r="P725" s="8" t="n">
        <f aca="false">MIN(100,ROUND(100*J725/Assumptions!$B$8,0))</f>
        <v>71</v>
      </c>
      <c r="Q725" s="8" t="n">
        <f aca="false">IF(L725="",Assumptions!$B$9,L725*10)</f>
        <v>80</v>
      </c>
      <c r="R725" s="8" t="n">
        <f aca="false">IF(M725&lt;=1,Assumptions!$B$12,IF(M725&lt;=3,Assumptions!$B$13,IF(M725&lt;=6,Assumptions!$B$14,Assumptions!$B$15)))</f>
        <v>75</v>
      </c>
      <c r="S725" s="8" t="n">
        <f aca="false">IF(N725="Completed On Time",Assumptions!$B$16,IF(N725="Completed Late",Assumptions!$B$17,Assumptions!$B$18))</f>
        <v>100</v>
      </c>
      <c r="T725" s="8" t="n">
        <f aca="false">IF(I725=0,Assumptions!$B$20,IF(H725&gt;I725,Assumptions!$B$19,IF(H725=I725,Assumptions!$B$20,Assumptions!$B$21)))</f>
        <v>70</v>
      </c>
      <c r="U725" s="8" t="n">
        <f aca="false">ROUND(P725*Assumptions!$B$2+Q725*Assumptions!$B$3+R725*Assumptions!$B$4+S725*Assumptions!$B$5+T725*Assumptions!$B$6,0)</f>
        <v>76</v>
      </c>
      <c r="V725" s="8" t="str">
        <f aca="false">IF(U725&gt;=Assumptions!$B$10,"Healthy",IF(U725&gt;=Assumptions!$B$11,"Needs Attention","High Risk"))</f>
        <v>Needs Attention</v>
      </c>
    </row>
    <row r="726" customFormat="false" ht="15" hidden="false" customHeight="false" outlineLevel="0" collapsed="false">
      <c r="A726" s="8" t="s">
        <v>1593</v>
      </c>
      <c r="B726" s="8" t="s">
        <v>1594</v>
      </c>
      <c r="C726" s="8" t="s">
        <v>51</v>
      </c>
      <c r="D726" s="8" t="s">
        <v>326</v>
      </c>
      <c r="E726" s="8" t="s">
        <v>117</v>
      </c>
      <c r="F726" s="8" t="s">
        <v>151</v>
      </c>
      <c r="G726" s="8" t="s">
        <v>137</v>
      </c>
      <c r="H726" s="15" t="n">
        <v>1825</v>
      </c>
      <c r="I726" s="15" t="n">
        <v>1825</v>
      </c>
      <c r="J726" s="16" t="n">
        <v>0.89</v>
      </c>
      <c r="K726" s="8" t="n">
        <v>12</v>
      </c>
      <c r="L726" s="8" t="n">
        <v>10</v>
      </c>
      <c r="M726" s="8" t="n">
        <v>0</v>
      </c>
      <c r="N726" s="8" t="s">
        <v>120</v>
      </c>
      <c r="O726" s="15" t="n">
        <f aca="false">H726*12</f>
        <v>21900</v>
      </c>
      <c r="P726" s="8" t="n">
        <f aca="false">MIN(100,ROUND(100*J726/Assumptions!$B$8,0))</f>
        <v>99</v>
      </c>
      <c r="Q726" s="8" t="n">
        <f aca="false">IF(L726="",Assumptions!$B$9,L726*10)</f>
        <v>100</v>
      </c>
      <c r="R726" s="8" t="n">
        <f aca="false">IF(M726&lt;=1,Assumptions!$B$12,IF(M726&lt;=3,Assumptions!$B$13,IF(M726&lt;=6,Assumptions!$B$14,Assumptions!$B$15)))</f>
        <v>100</v>
      </c>
      <c r="S726" s="8" t="n">
        <f aca="false">IF(N726="Completed On Time",Assumptions!$B$16,IF(N726="Completed Late",Assumptions!$B$17,Assumptions!$B$18))</f>
        <v>100</v>
      </c>
      <c r="T726" s="8" t="n">
        <f aca="false">IF(I726=0,Assumptions!$B$20,IF(H726&gt;I726,Assumptions!$B$19,IF(H726=I726,Assumptions!$B$20,Assumptions!$B$21)))</f>
        <v>70</v>
      </c>
      <c r="U726" s="8" t="n">
        <f aca="false">ROUND(P726*Assumptions!$B$2+Q726*Assumptions!$B$3+R726*Assumptions!$B$4+S726*Assumptions!$B$5+T726*Assumptions!$B$6,0)</f>
        <v>94</v>
      </c>
      <c r="V726" s="8" t="str">
        <f aca="false">IF(U726&gt;=Assumptions!$B$10,"Healthy",IF(U726&gt;=Assumptions!$B$11,"Needs Attention","High Risk"))</f>
        <v>Healthy</v>
      </c>
    </row>
    <row r="727" customFormat="false" ht="15" hidden="false" customHeight="false" outlineLevel="0" collapsed="false">
      <c r="A727" s="8" t="s">
        <v>1595</v>
      </c>
      <c r="B727" s="8" t="s">
        <v>1596</v>
      </c>
      <c r="C727" s="8" t="s">
        <v>53</v>
      </c>
      <c r="D727" s="8" t="s">
        <v>326</v>
      </c>
      <c r="E727" s="8" t="s">
        <v>132</v>
      </c>
      <c r="F727" s="8" t="s">
        <v>151</v>
      </c>
      <c r="G727" s="8" t="s">
        <v>177</v>
      </c>
      <c r="H727" s="15" t="n">
        <v>1825</v>
      </c>
      <c r="I727" s="15" t="n">
        <v>0</v>
      </c>
      <c r="J727" s="16" t="n">
        <v>0.662</v>
      </c>
      <c r="K727" s="8" t="n">
        <v>6.7</v>
      </c>
      <c r="L727" s="8"/>
      <c r="M727" s="8" t="n">
        <v>3</v>
      </c>
      <c r="N727" s="8" t="s">
        <v>120</v>
      </c>
      <c r="O727" s="15" t="n">
        <f aca="false">H727*12</f>
        <v>21900</v>
      </c>
      <c r="P727" s="8" t="n">
        <f aca="false">MIN(100,ROUND(100*J727/Assumptions!$B$8,0))</f>
        <v>74</v>
      </c>
      <c r="Q727" s="8" t="n">
        <f aca="false">IF(L727="",Assumptions!$B$9,L727*10)</f>
        <v>50</v>
      </c>
      <c r="R727" s="8" t="n">
        <f aca="false">IF(M727&lt;=1,Assumptions!$B$12,IF(M727&lt;=3,Assumptions!$B$13,IF(M727&lt;=6,Assumptions!$B$14,Assumptions!$B$15)))</f>
        <v>75</v>
      </c>
      <c r="S727" s="8" t="n">
        <f aca="false">IF(N727="Completed On Time",Assumptions!$B$16,IF(N727="Completed Late",Assumptions!$B$17,Assumptions!$B$18))</f>
        <v>100</v>
      </c>
      <c r="T727" s="8" t="n">
        <f aca="false">IF(I727=0,Assumptions!$B$20,IF(H727&gt;I727,Assumptions!$B$19,IF(H727=I727,Assumptions!$B$20,Assumptions!$B$21)))</f>
        <v>70</v>
      </c>
      <c r="U727" s="8" t="n">
        <f aca="false">ROUND(P727*Assumptions!$B$2+Q727*Assumptions!$B$3+R727*Assumptions!$B$4+S727*Assumptions!$B$5+T727*Assumptions!$B$6,0)</f>
        <v>71</v>
      </c>
      <c r="V727" s="8" t="str">
        <f aca="false">IF(U727&gt;=Assumptions!$B$10,"Healthy",IF(U727&gt;=Assumptions!$B$11,"Needs Attention","High Risk"))</f>
        <v>Needs Attention</v>
      </c>
    </row>
    <row r="728" customFormat="false" ht="15" hidden="false" customHeight="false" outlineLevel="0" collapsed="false">
      <c r="A728" s="8" t="s">
        <v>1597</v>
      </c>
      <c r="B728" s="8" t="s">
        <v>1598</v>
      </c>
      <c r="C728" s="8" t="s">
        <v>53</v>
      </c>
      <c r="D728" s="8" t="s">
        <v>326</v>
      </c>
      <c r="E728" s="8" t="s">
        <v>117</v>
      </c>
      <c r="F728" s="8" t="s">
        <v>190</v>
      </c>
      <c r="G728" s="8" t="s">
        <v>119</v>
      </c>
      <c r="H728" s="15" t="n">
        <v>1825</v>
      </c>
      <c r="I728" s="15" t="n">
        <v>1825</v>
      </c>
      <c r="J728" s="16" t="n">
        <v>0.936</v>
      </c>
      <c r="K728" s="8" t="n">
        <v>11.7</v>
      </c>
      <c r="L728" s="8" t="n">
        <v>10</v>
      </c>
      <c r="M728" s="8" t="n">
        <v>0</v>
      </c>
      <c r="N728" s="8" t="s">
        <v>120</v>
      </c>
      <c r="O728" s="15" t="n">
        <f aca="false">H728*12</f>
        <v>21900</v>
      </c>
      <c r="P728" s="8" t="n">
        <f aca="false">MIN(100,ROUND(100*J728/Assumptions!$B$8,0))</f>
        <v>100</v>
      </c>
      <c r="Q728" s="8" t="n">
        <f aca="false">IF(L728="",Assumptions!$B$9,L728*10)</f>
        <v>100</v>
      </c>
      <c r="R728" s="8" t="n">
        <f aca="false">IF(M728&lt;=1,Assumptions!$B$12,IF(M728&lt;=3,Assumptions!$B$13,IF(M728&lt;=6,Assumptions!$B$14,Assumptions!$B$15)))</f>
        <v>100</v>
      </c>
      <c r="S728" s="8" t="n">
        <f aca="false">IF(N728="Completed On Time",Assumptions!$B$16,IF(N728="Completed Late",Assumptions!$B$17,Assumptions!$B$18))</f>
        <v>100</v>
      </c>
      <c r="T728" s="8" t="n">
        <f aca="false">IF(I728=0,Assumptions!$B$20,IF(H728&gt;I728,Assumptions!$B$19,IF(H728=I728,Assumptions!$B$20,Assumptions!$B$21)))</f>
        <v>70</v>
      </c>
      <c r="U728" s="8" t="n">
        <f aca="false">ROUND(P728*Assumptions!$B$2+Q728*Assumptions!$B$3+R728*Assumptions!$B$4+S728*Assumptions!$B$5+T728*Assumptions!$B$6,0)</f>
        <v>94</v>
      </c>
      <c r="V728" s="8" t="str">
        <f aca="false">IF(U728&gt;=Assumptions!$B$10,"Healthy",IF(U728&gt;=Assumptions!$B$11,"Needs Attention","High Risk"))</f>
        <v>Healthy</v>
      </c>
    </row>
    <row r="729" customFormat="false" ht="15" hidden="false" customHeight="false" outlineLevel="0" collapsed="false">
      <c r="A729" s="8" t="s">
        <v>1599</v>
      </c>
      <c r="B729" s="8" t="s">
        <v>1600</v>
      </c>
      <c r="C729" s="8" t="s">
        <v>53</v>
      </c>
      <c r="D729" s="8" t="s">
        <v>326</v>
      </c>
      <c r="E729" s="8" t="s">
        <v>123</v>
      </c>
      <c r="F729" s="8" t="s">
        <v>190</v>
      </c>
      <c r="G729" s="8" t="s">
        <v>204</v>
      </c>
      <c r="H729" s="15" t="n">
        <v>1825</v>
      </c>
      <c r="I729" s="15" t="n">
        <v>1600</v>
      </c>
      <c r="J729" s="16" t="n">
        <v>0.617</v>
      </c>
      <c r="K729" s="8" t="n">
        <v>7</v>
      </c>
      <c r="L729" s="8" t="n">
        <v>6</v>
      </c>
      <c r="M729" s="8" t="n">
        <v>2</v>
      </c>
      <c r="N729" s="8" t="s">
        <v>120</v>
      </c>
      <c r="O729" s="15" t="n">
        <f aca="false">H729*12</f>
        <v>21900</v>
      </c>
      <c r="P729" s="8" t="n">
        <f aca="false">MIN(100,ROUND(100*J729/Assumptions!$B$8,0))</f>
        <v>69</v>
      </c>
      <c r="Q729" s="8" t="n">
        <f aca="false">IF(L729="",Assumptions!$B$9,L729*10)</f>
        <v>60</v>
      </c>
      <c r="R729" s="8" t="n">
        <f aca="false">IF(M729&lt;=1,Assumptions!$B$12,IF(M729&lt;=3,Assumptions!$B$13,IF(M729&lt;=6,Assumptions!$B$14,Assumptions!$B$15)))</f>
        <v>75</v>
      </c>
      <c r="S729" s="8" t="n">
        <f aca="false">IF(N729="Completed On Time",Assumptions!$B$16,IF(N729="Completed Late",Assumptions!$B$17,Assumptions!$B$18))</f>
        <v>100</v>
      </c>
      <c r="T729" s="8" t="n">
        <f aca="false">IF(I729=0,Assumptions!$B$20,IF(H729&gt;I729,Assumptions!$B$19,IF(H729=I729,Assumptions!$B$20,Assumptions!$B$21)))</f>
        <v>100</v>
      </c>
      <c r="U729" s="8" t="n">
        <f aca="false">ROUND(P729*Assumptions!$B$2+Q729*Assumptions!$B$3+R729*Assumptions!$B$4+S729*Assumptions!$B$5+T729*Assumptions!$B$6,0)</f>
        <v>77</v>
      </c>
      <c r="V729" s="8" t="str">
        <f aca="false">IF(U729&gt;=Assumptions!$B$10,"Healthy",IF(U729&gt;=Assumptions!$B$11,"Needs Attention","High Risk"))</f>
        <v>Needs Attention</v>
      </c>
    </row>
    <row r="730" customFormat="false" ht="15" hidden="false" customHeight="false" outlineLevel="0" collapsed="false">
      <c r="A730" s="8" t="s">
        <v>1601</v>
      </c>
      <c r="B730" s="8" t="s">
        <v>1602</v>
      </c>
      <c r="C730" s="8" t="s">
        <v>53</v>
      </c>
      <c r="D730" s="8" t="s">
        <v>326</v>
      </c>
      <c r="E730" s="8" t="s">
        <v>132</v>
      </c>
      <c r="F730" s="8" t="s">
        <v>136</v>
      </c>
      <c r="G730" s="8" t="s">
        <v>204</v>
      </c>
      <c r="H730" s="15" t="n">
        <v>1800</v>
      </c>
      <c r="I730" s="15" t="n">
        <v>1800</v>
      </c>
      <c r="J730" s="16" t="n">
        <v>0.833</v>
      </c>
      <c r="K730" s="8" t="n">
        <v>10.3</v>
      </c>
      <c r="L730" s="8" t="n">
        <v>8</v>
      </c>
      <c r="M730" s="8" t="n">
        <v>4</v>
      </c>
      <c r="N730" s="8" t="s">
        <v>120</v>
      </c>
      <c r="O730" s="15" t="n">
        <f aca="false">H730*12</f>
        <v>21600</v>
      </c>
      <c r="P730" s="8" t="n">
        <f aca="false">MIN(100,ROUND(100*J730/Assumptions!$B$8,0))</f>
        <v>93</v>
      </c>
      <c r="Q730" s="8" t="n">
        <f aca="false">IF(L730="",Assumptions!$B$9,L730*10)</f>
        <v>80</v>
      </c>
      <c r="R730" s="8" t="n">
        <f aca="false">IF(M730&lt;=1,Assumptions!$B$12,IF(M730&lt;=3,Assumptions!$B$13,IF(M730&lt;=6,Assumptions!$B$14,Assumptions!$B$15)))</f>
        <v>50</v>
      </c>
      <c r="S730" s="8" t="n">
        <f aca="false">IF(N730="Completed On Time",Assumptions!$B$16,IF(N730="Completed Late",Assumptions!$B$17,Assumptions!$B$18))</f>
        <v>100</v>
      </c>
      <c r="T730" s="8" t="n">
        <f aca="false">IF(I730=0,Assumptions!$B$20,IF(H730&gt;I730,Assumptions!$B$19,IF(H730=I730,Assumptions!$B$20,Assumptions!$B$21)))</f>
        <v>70</v>
      </c>
      <c r="U730" s="8" t="n">
        <f aca="false">ROUND(P730*Assumptions!$B$2+Q730*Assumptions!$B$3+R730*Assumptions!$B$4+S730*Assumptions!$B$5+T730*Assumptions!$B$6,0)</f>
        <v>80</v>
      </c>
      <c r="V730" s="8" t="str">
        <f aca="false">IF(U730&gt;=Assumptions!$B$10,"Healthy",IF(U730&gt;=Assumptions!$B$11,"Needs Attention","High Risk"))</f>
        <v>Healthy</v>
      </c>
    </row>
    <row r="731" customFormat="false" ht="15" hidden="false" customHeight="false" outlineLevel="0" collapsed="false">
      <c r="A731" s="8" t="s">
        <v>1603</v>
      </c>
      <c r="B731" s="8" t="s">
        <v>1604</v>
      </c>
      <c r="C731" s="8" t="s">
        <v>53</v>
      </c>
      <c r="D731" s="8" t="s">
        <v>55</v>
      </c>
      <c r="E731" s="8" t="s">
        <v>123</v>
      </c>
      <c r="F731" s="8" t="s">
        <v>151</v>
      </c>
      <c r="G731" s="8" t="s">
        <v>129</v>
      </c>
      <c r="H731" s="15" t="n">
        <v>1800</v>
      </c>
      <c r="I731" s="15" t="n">
        <v>1800</v>
      </c>
      <c r="J731" s="16" t="n">
        <v>0.742</v>
      </c>
      <c r="K731" s="8" t="n">
        <v>7.3</v>
      </c>
      <c r="L731" s="8" t="n">
        <v>9</v>
      </c>
      <c r="M731" s="8" t="n">
        <v>0</v>
      </c>
      <c r="N731" s="8" t="s">
        <v>148</v>
      </c>
      <c r="O731" s="15" t="n">
        <f aca="false">H731*12</f>
        <v>21600</v>
      </c>
      <c r="P731" s="8" t="n">
        <f aca="false">MIN(100,ROUND(100*J731/Assumptions!$B$8,0))</f>
        <v>82</v>
      </c>
      <c r="Q731" s="8" t="n">
        <f aca="false">IF(L731="",Assumptions!$B$9,L731*10)</f>
        <v>90</v>
      </c>
      <c r="R731" s="8" t="n">
        <f aca="false">IF(M731&lt;=1,Assumptions!$B$12,IF(M731&lt;=3,Assumptions!$B$13,IF(M731&lt;=6,Assumptions!$B$14,Assumptions!$B$15)))</f>
        <v>100</v>
      </c>
      <c r="S731" s="8" t="n">
        <f aca="false">IF(N731="Completed On Time",Assumptions!$B$16,IF(N731="Completed Late",Assumptions!$B$17,Assumptions!$B$18))</f>
        <v>60</v>
      </c>
      <c r="T731" s="8" t="n">
        <f aca="false">IF(I731=0,Assumptions!$B$20,IF(H731&gt;I731,Assumptions!$B$19,IF(H731=I731,Assumptions!$B$20,Assumptions!$B$21)))</f>
        <v>70</v>
      </c>
      <c r="U731" s="8" t="n">
        <f aca="false">ROUND(P731*Assumptions!$B$2+Q731*Assumptions!$B$3+R731*Assumptions!$B$4+S731*Assumptions!$B$5+T731*Assumptions!$B$6,0)</f>
        <v>82</v>
      </c>
      <c r="V731" s="8" t="str">
        <f aca="false">IF(U731&gt;=Assumptions!$B$10,"Healthy",IF(U731&gt;=Assumptions!$B$11,"Needs Attention","High Risk"))</f>
        <v>Healthy</v>
      </c>
    </row>
    <row r="732" customFormat="false" ht="15" hidden="false" customHeight="false" outlineLevel="0" collapsed="false">
      <c r="A732" s="8" t="s">
        <v>1605</v>
      </c>
      <c r="B732" s="8" t="s">
        <v>1606</v>
      </c>
      <c r="C732" s="8" t="s">
        <v>53</v>
      </c>
      <c r="D732" s="8" t="s">
        <v>326</v>
      </c>
      <c r="E732" s="8" t="s">
        <v>132</v>
      </c>
      <c r="F732" s="8" t="s">
        <v>166</v>
      </c>
      <c r="G732" s="8" t="s">
        <v>147</v>
      </c>
      <c r="H732" s="15" t="n">
        <v>1800</v>
      </c>
      <c r="I732" s="15" t="n">
        <v>1800</v>
      </c>
      <c r="J732" s="16" t="n">
        <v>0.625</v>
      </c>
      <c r="K732" s="8" t="n">
        <v>6.7</v>
      </c>
      <c r="L732" s="8" t="n">
        <v>8</v>
      </c>
      <c r="M732" s="8" t="n">
        <v>3</v>
      </c>
      <c r="N732" s="8" t="s">
        <v>120</v>
      </c>
      <c r="O732" s="15" t="n">
        <f aca="false">H732*12</f>
        <v>21600</v>
      </c>
      <c r="P732" s="8" t="n">
        <f aca="false">MIN(100,ROUND(100*J732/Assumptions!$B$8,0))</f>
        <v>69</v>
      </c>
      <c r="Q732" s="8" t="n">
        <f aca="false">IF(L732="",Assumptions!$B$9,L732*10)</f>
        <v>80</v>
      </c>
      <c r="R732" s="8" t="n">
        <f aca="false">IF(M732&lt;=1,Assumptions!$B$12,IF(M732&lt;=3,Assumptions!$B$13,IF(M732&lt;=6,Assumptions!$B$14,Assumptions!$B$15)))</f>
        <v>75</v>
      </c>
      <c r="S732" s="8" t="n">
        <f aca="false">IF(N732="Completed On Time",Assumptions!$B$16,IF(N732="Completed Late",Assumptions!$B$17,Assumptions!$B$18))</f>
        <v>100</v>
      </c>
      <c r="T732" s="8" t="n">
        <f aca="false">IF(I732=0,Assumptions!$B$20,IF(H732&gt;I732,Assumptions!$B$19,IF(H732=I732,Assumptions!$B$20,Assumptions!$B$21)))</f>
        <v>70</v>
      </c>
      <c r="U732" s="8" t="n">
        <f aca="false">ROUND(P732*Assumptions!$B$2+Q732*Assumptions!$B$3+R732*Assumptions!$B$4+S732*Assumptions!$B$5+T732*Assumptions!$B$6,0)</f>
        <v>75</v>
      </c>
      <c r="V732" s="8" t="str">
        <f aca="false">IF(U732&gt;=Assumptions!$B$10,"Healthy",IF(U732&gt;=Assumptions!$B$11,"Needs Attention","High Risk"))</f>
        <v>Needs Attention</v>
      </c>
    </row>
    <row r="733" customFormat="false" ht="15" hidden="false" customHeight="false" outlineLevel="0" collapsed="false">
      <c r="A733" s="8" t="s">
        <v>1607</v>
      </c>
      <c r="B733" s="8" t="s">
        <v>1608</v>
      </c>
      <c r="C733" s="8" t="s">
        <v>53</v>
      </c>
      <c r="D733" s="8" t="s">
        <v>326</v>
      </c>
      <c r="E733" s="8" t="s">
        <v>123</v>
      </c>
      <c r="F733" s="8" t="s">
        <v>151</v>
      </c>
      <c r="G733" s="8" t="s">
        <v>177</v>
      </c>
      <c r="H733" s="15" t="n">
        <v>1775</v>
      </c>
      <c r="I733" s="15" t="n">
        <v>1775</v>
      </c>
      <c r="J733" s="16" t="n">
        <v>0.577</v>
      </c>
      <c r="K733" s="8" t="n">
        <v>7.3</v>
      </c>
      <c r="L733" s="8" t="n">
        <v>8</v>
      </c>
      <c r="M733" s="8" t="n">
        <v>5</v>
      </c>
      <c r="N733" s="8" t="s">
        <v>120</v>
      </c>
      <c r="O733" s="15" t="n">
        <f aca="false">H733*12</f>
        <v>21300</v>
      </c>
      <c r="P733" s="8" t="n">
        <f aca="false">MIN(100,ROUND(100*J733/Assumptions!$B$8,0))</f>
        <v>64</v>
      </c>
      <c r="Q733" s="8" t="n">
        <f aca="false">IF(L733="",Assumptions!$B$9,L733*10)</f>
        <v>80</v>
      </c>
      <c r="R733" s="8" t="n">
        <f aca="false">IF(M733&lt;=1,Assumptions!$B$12,IF(M733&lt;=3,Assumptions!$B$13,IF(M733&lt;=6,Assumptions!$B$14,Assumptions!$B$15)))</f>
        <v>50</v>
      </c>
      <c r="S733" s="8" t="n">
        <f aca="false">IF(N733="Completed On Time",Assumptions!$B$16,IF(N733="Completed Late",Assumptions!$B$17,Assumptions!$B$18))</f>
        <v>100</v>
      </c>
      <c r="T733" s="8" t="n">
        <f aca="false">IF(I733=0,Assumptions!$B$20,IF(H733&gt;I733,Assumptions!$B$19,IF(H733=I733,Assumptions!$B$20,Assumptions!$B$21)))</f>
        <v>70</v>
      </c>
      <c r="U733" s="8" t="n">
        <f aca="false">ROUND(P733*Assumptions!$B$2+Q733*Assumptions!$B$3+R733*Assumptions!$B$4+S733*Assumptions!$B$5+T733*Assumptions!$B$6,0)</f>
        <v>70</v>
      </c>
      <c r="V733" s="8" t="str">
        <f aca="false">IF(U733&gt;=Assumptions!$B$10,"Healthy",IF(U733&gt;=Assumptions!$B$11,"Needs Attention","High Risk"))</f>
        <v>Needs Attention</v>
      </c>
    </row>
    <row r="734" customFormat="false" ht="15" hidden="false" customHeight="false" outlineLevel="0" collapsed="false">
      <c r="A734" s="8" t="s">
        <v>1609</v>
      </c>
      <c r="B734" s="8" t="s">
        <v>1610</v>
      </c>
      <c r="C734" s="8" t="s">
        <v>51</v>
      </c>
      <c r="D734" s="8" t="s">
        <v>326</v>
      </c>
      <c r="E734" s="8" t="s">
        <v>123</v>
      </c>
      <c r="F734" s="8" t="s">
        <v>166</v>
      </c>
      <c r="G734" s="8" t="s">
        <v>185</v>
      </c>
      <c r="H734" s="15" t="n">
        <v>1775</v>
      </c>
      <c r="I734" s="15" t="n">
        <v>1775</v>
      </c>
      <c r="J734" s="16" t="n">
        <v>0.728</v>
      </c>
      <c r="K734" s="8" t="n">
        <v>9.3</v>
      </c>
      <c r="L734" s="8" t="n">
        <v>10</v>
      </c>
      <c r="M734" s="8" t="n">
        <v>2</v>
      </c>
      <c r="N734" s="8" t="s">
        <v>120</v>
      </c>
      <c r="O734" s="15" t="n">
        <f aca="false">H734*12</f>
        <v>21300</v>
      </c>
      <c r="P734" s="8" t="n">
        <f aca="false">MIN(100,ROUND(100*J734/Assumptions!$B$8,0))</f>
        <v>81</v>
      </c>
      <c r="Q734" s="8" t="n">
        <f aca="false">IF(L734="",Assumptions!$B$9,L734*10)</f>
        <v>100</v>
      </c>
      <c r="R734" s="8" t="n">
        <f aca="false">IF(M734&lt;=1,Assumptions!$B$12,IF(M734&lt;=3,Assumptions!$B$13,IF(M734&lt;=6,Assumptions!$B$14,Assumptions!$B$15)))</f>
        <v>75</v>
      </c>
      <c r="S734" s="8" t="n">
        <f aca="false">IF(N734="Completed On Time",Assumptions!$B$16,IF(N734="Completed Late",Assumptions!$B$17,Assumptions!$B$18))</f>
        <v>100</v>
      </c>
      <c r="T734" s="8" t="n">
        <f aca="false">IF(I734=0,Assumptions!$B$20,IF(H734&gt;I734,Assumptions!$B$19,IF(H734=I734,Assumptions!$B$20,Assumptions!$B$21)))</f>
        <v>70</v>
      </c>
      <c r="U734" s="8" t="n">
        <f aca="false">ROUND(P734*Assumptions!$B$2+Q734*Assumptions!$B$3+R734*Assumptions!$B$4+S734*Assumptions!$B$5+T734*Assumptions!$B$6,0)</f>
        <v>84</v>
      </c>
      <c r="V734" s="8" t="str">
        <f aca="false">IF(U734&gt;=Assumptions!$B$10,"Healthy",IF(U734&gt;=Assumptions!$B$11,"Needs Attention","High Risk"))</f>
        <v>Healthy</v>
      </c>
    </row>
    <row r="735" customFormat="false" ht="15" hidden="false" customHeight="false" outlineLevel="0" collapsed="false">
      <c r="A735" s="8" t="s">
        <v>1611</v>
      </c>
      <c r="B735" s="8" t="s">
        <v>1612</v>
      </c>
      <c r="C735" s="8" t="s">
        <v>53</v>
      </c>
      <c r="D735" s="8" t="s">
        <v>326</v>
      </c>
      <c r="E735" s="8" t="s">
        <v>117</v>
      </c>
      <c r="F735" s="8" t="s">
        <v>143</v>
      </c>
      <c r="G735" s="8" t="s">
        <v>125</v>
      </c>
      <c r="H735" s="15" t="n">
        <v>1750</v>
      </c>
      <c r="I735" s="15" t="n">
        <v>1750</v>
      </c>
      <c r="J735" s="16" t="n">
        <v>0.876</v>
      </c>
      <c r="K735" s="8" t="n">
        <v>9.7</v>
      </c>
      <c r="L735" s="8" t="n">
        <v>10</v>
      </c>
      <c r="M735" s="8" t="n">
        <v>2</v>
      </c>
      <c r="N735" s="8" t="s">
        <v>120</v>
      </c>
      <c r="O735" s="15" t="n">
        <f aca="false">H735*12</f>
        <v>21000</v>
      </c>
      <c r="P735" s="8" t="n">
        <f aca="false">MIN(100,ROUND(100*J735/Assumptions!$B$8,0))</f>
        <v>97</v>
      </c>
      <c r="Q735" s="8" t="n">
        <f aca="false">IF(L735="",Assumptions!$B$9,L735*10)</f>
        <v>100</v>
      </c>
      <c r="R735" s="8" t="n">
        <f aca="false">IF(M735&lt;=1,Assumptions!$B$12,IF(M735&lt;=3,Assumptions!$B$13,IF(M735&lt;=6,Assumptions!$B$14,Assumptions!$B$15)))</f>
        <v>75</v>
      </c>
      <c r="S735" s="8" t="n">
        <f aca="false">IF(N735="Completed On Time",Assumptions!$B$16,IF(N735="Completed Late",Assumptions!$B$17,Assumptions!$B$18))</f>
        <v>100</v>
      </c>
      <c r="T735" s="8" t="n">
        <f aca="false">IF(I735=0,Assumptions!$B$20,IF(H735&gt;I735,Assumptions!$B$19,IF(H735=I735,Assumptions!$B$20,Assumptions!$B$21)))</f>
        <v>70</v>
      </c>
      <c r="U735" s="8" t="n">
        <f aca="false">ROUND(P735*Assumptions!$B$2+Q735*Assumptions!$B$3+R735*Assumptions!$B$4+S735*Assumptions!$B$5+T735*Assumptions!$B$6,0)</f>
        <v>89</v>
      </c>
      <c r="V735" s="8" t="str">
        <f aca="false">IF(U735&gt;=Assumptions!$B$10,"Healthy",IF(U735&gt;=Assumptions!$B$11,"Needs Attention","High Risk"))</f>
        <v>Healthy</v>
      </c>
    </row>
    <row r="736" customFormat="false" ht="15" hidden="false" customHeight="false" outlineLevel="0" collapsed="false">
      <c r="A736" s="8" t="s">
        <v>1613</v>
      </c>
      <c r="B736" s="8" t="s">
        <v>1614</v>
      </c>
      <c r="C736" s="8" t="s">
        <v>53</v>
      </c>
      <c r="D736" s="8" t="s">
        <v>326</v>
      </c>
      <c r="E736" s="8" t="s">
        <v>132</v>
      </c>
      <c r="F736" s="8" t="s">
        <v>143</v>
      </c>
      <c r="G736" s="8" t="s">
        <v>125</v>
      </c>
      <c r="H736" s="15" t="n">
        <v>1750</v>
      </c>
      <c r="I736" s="15" t="n">
        <v>1750</v>
      </c>
      <c r="J736" s="16" t="n">
        <v>0.752</v>
      </c>
      <c r="K736" s="8" t="n">
        <v>9</v>
      </c>
      <c r="L736" s="8" t="n">
        <v>10</v>
      </c>
      <c r="M736" s="8" t="n">
        <v>5</v>
      </c>
      <c r="N736" s="8" t="s">
        <v>120</v>
      </c>
      <c r="O736" s="15" t="n">
        <f aca="false">H736*12</f>
        <v>21000</v>
      </c>
      <c r="P736" s="8" t="n">
        <f aca="false">MIN(100,ROUND(100*J736/Assumptions!$B$8,0))</f>
        <v>84</v>
      </c>
      <c r="Q736" s="8" t="n">
        <f aca="false">IF(L736="",Assumptions!$B$9,L736*10)</f>
        <v>100</v>
      </c>
      <c r="R736" s="8" t="n">
        <f aca="false">IF(M736&lt;=1,Assumptions!$B$12,IF(M736&lt;=3,Assumptions!$B$13,IF(M736&lt;=6,Assumptions!$B$14,Assumptions!$B$15)))</f>
        <v>50</v>
      </c>
      <c r="S736" s="8" t="n">
        <f aca="false">IF(N736="Completed On Time",Assumptions!$B$16,IF(N736="Completed Late",Assumptions!$B$17,Assumptions!$B$18))</f>
        <v>100</v>
      </c>
      <c r="T736" s="8" t="n">
        <f aca="false">IF(I736=0,Assumptions!$B$20,IF(H736&gt;I736,Assumptions!$B$19,IF(H736=I736,Assumptions!$B$20,Assumptions!$B$21)))</f>
        <v>70</v>
      </c>
      <c r="U736" s="8" t="n">
        <f aca="false">ROUND(P736*Assumptions!$B$2+Q736*Assumptions!$B$3+R736*Assumptions!$B$4+S736*Assumptions!$B$5+T736*Assumptions!$B$6,0)</f>
        <v>81</v>
      </c>
      <c r="V736" s="8" t="str">
        <f aca="false">IF(U736&gt;=Assumptions!$B$10,"Healthy",IF(U736&gt;=Assumptions!$B$11,"Needs Attention","High Risk"))</f>
        <v>Healthy</v>
      </c>
    </row>
    <row r="737" customFormat="false" ht="15" hidden="false" customHeight="false" outlineLevel="0" collapsed="false">
      <c r="A737" s="8" t="s">
        <v>1615</v>
      </c>
      <c r="B737" s="8" t="s">
        <v>1616</v>
      </c>
      <c r="C737" s="8" t="s">
        <v>53</v>
      </c>
      <c r="D737" s="8" t="s">
        <v>326</v>
      </c>
      <c r="E737" s="8" t="s">
        <v>123</v>
      </c>
      <c r="F737" s="8" t="s">
        <v>133</v>
      </c>
      <c r="G737" s="8" t="s">
        <v>180</v>
      </c>
      <c r="H737" s="15" t="n">
        <v>1750</v>
      </c>
      <c r="I737" s="15" t="n">
        <v>1750</v>
      </c>
      <c r="J737" s="16" t="n">
        <v>0.695</v>
      </c>
      <c r="K737" s="8" t="n">
        <v>7.3</v>
      </c>
      <c r="L737" s="8" t="n">
        <v>7</v>
      </c>
      <c r="M737" s="8" t="n">
        <v>2</v>
      </c>
      <c r="N737" s="8" t="s">
        <v>148</v>
      </c>
      <c r="O737" s="15" t="n">
        <f aca="false">H737*12</f>
        <v>21000</v>
      </c>
      <c r="P737" s="8" t="n">
        <f aca="false">MIN(100,ROUND(100*J737/Assumptions!$B$8,0))</f>
        <v>77</v>
      </c>
      <c r="Q737" s="8" t="n">
        <f aca="false">IF(L737="",Assumptions!$B$9,L737*10)</f>
        <v>70</v>
      </c>
      <c r="R737" s="8" t="n">
        <f aca="false">IF(M737&lt;=1,Assumptions!$B$12,IF(M737&lt;=3,Assumptions!$B$13,IF(M737&lt;=6,Assumptions!$B$14,Assumptions!$B$15)))</f>
        <v>75</v>
      </c>
      <c r="S737" s="8" t="n">
        <f aca="false">IF(N737="Completed On Time",Assumptions!$B$16,IF(N737="Completed Late",Assumptions!$B$17,Assumptions!$B$18))</f>
        <v>60</v>
      </c>
      <c r="T737" s="8" t="n">
        <f aca="false">IF(I737=0,Assumptions!$B$20,IF(H737&gt;I737,Assumptions!$B$19,IF(H737=I737,Assumptions!$B$20,Assumptions!$B$21)))</f>
        <v>70</v>
      </c>
      <c r="U737" s="8" t="n">
        <f aca="false">ROUND(P737*Assumptions!$B$2+Q737*Assumptions!$B$3+R737*Assumptions!$B$4+S737*Assumptions!$B$5+T737*Assumptions!$B$6,0)</f>
        <v>72</v>
      </c>
      <c r="V737" s="8" t="str">
        <f aca="false">IF(U737&gt;=Assumptions!$B$10,"Healthy",IF(U737&gt;=Assumptions!$B$11,"Needs Attention","High Risk"))</f>
        <v>Needs Attention</v>
      </c>
    </row>
    <row r="738" customFormat="false" ht="15" hidden="false" customHeight="false" outlineLevel="0" collapsed="false">
      <c r="A738" s="8" t="s">
        <v>1617</v>
      </c>
      <c r="B738" s="8" t="s">
        <v>1618</v>
      </c>
      <c r="C738" s="8" t="s">
        <v>51</v>
      </c>
      <c r="D738" s="8" t="s">
        <v>326</v>
      </c>
      <c r="E738" s="8" t="s">
        <v>132</v>
      </c>
      <c r="F738" s="8" t="s">
        <v>154</v>
      </c>
      <c r="G738" s="8" t="s">
        <v>159</v>
      </c>
      <c r="H738" s="15" t="n">
        <v>1725</v>
      </c>
      <c r="I738" s="15" t="n">
        <v>1725</v>
      </c>
      <c r="J738" s="16" t="n">
        <v>0.657</v>
      </c>
      <c r="K738" s="8" t="n">
        <v>8</v>
      </c>
      <c r="L738" s="8" t="n">
        <v>9</v>
      </c>
      <c r="M738" s="8" t="n">
        <v>2</v>
      </c>
      <c r="N738" s="8" t="s">
        <v>120</v>
      </c>
      <c r="O738" s="15" t="n">
        <f aca="false">H738*12</f>
        <v>20700</v>
      </c>
      <c r="P738" s="8" t="n">
        <f aca="false">MIN(100,ROUND(100*J738/Assumptions!$B$8,0))</f>
        <v>73</v>
      </c>
      <c r="Q738" s="8" t="n">
        <f aca="false">IF(L738="",Assumptions!$B$9,L738*10)</f>
        <v>90</v>
      </c>
      <c r="R738" s="8" t="n">
        <f aca="false">IF(M738&lt;=1,Assumptions!$B$12,IF(M738&lt;=3,Assumptions!$B$13,IF(M738&lt;=6,Assumptions!$B$14,Assumptions!$B$15)))</f>
        <v>75</v>
      </c>
      <c r="S738" s="8" t="n">
        <f aca="false">IF(N738="Completed On Time",Assumptions!$B$16,IF(N738="Completed Late",Assumptions!$B$17,Assumptions!$B$18))</f>
        <v>100</v>
      </c>
      <c r="T738" s="8" t="n">
        <f aca="false">IF(I738=0,Assumptions!$B$20,IF(H738&gt;I738,Assumptions!$B$19,IF(H738=I738,Assumptions!$B$20,Assumptions!$B$21)))</f>
        <v>70</v>
      </c>
      <c r="U738" s="8" t="n">
        <f aca="false">ROUND(P738*Assumptions!$B$2+Q738*Assumptions!$B$3+R738*Assumptions!$B$4+S738*Assumptions!$B$5+T738*Assumptions!$B$6,0)</f>
        <v>79</v>
      </c>
      <c r="V738" s="8" t="str">
        <f aca="false">IF(U738&gt;=Assumptions!$B$10,"Healthy",IF(U738&gt;=Assumptions!$B$11,"Needs Attention","High Risk"))</f>
        <v>Needs Attention</v>
      </c>
    </row>
    <row r="739" customFormat="false" ht="15" hidden="false" customHeight="false" outlineLevel="0" collapsed="false">
      <c r="A739" s="8" t="s">
        <v>1619</v>
      </c>
      <c r="B739" s="8" t="s">
        <v>1620</v>
      </c>
      <c r="C739" s="8" t="s">
        <v>53</v>
      </c>
      <c r="D739" s="8" t="s">
        <v>326</v>
      </c>
      <c r="E739" s="8" t="s">
        <v>132</v>
      </c>
      <c r="F739" s="8" t="s">
        <v>190</v>
      </c>
      <c r="G739" s="8" t="s">
        <v>137</v>
      </c>
      <c r="H739" s="15" t="n">
        <v>1725</v>
      </c>
      <c r="I739" s="15" t="n">
        <v>1725</v>
      </c>
      <c r="J739" s="16" t="n">
        <v>0.845</v>
      </c>
      <c r="K739" s="8" t="n">
        <v>9.7</v>
      </c>
      <c r="L739" s="8" t="n">
        <v>8</v>
      </c>
      <c r="M739" s="8" t="n">
        <v>0</v>
      </c>
      <c r="N739" s="8" t="s">
        <v>120</v>
      </c>
      <c r="O739" s="15" t="n">
        <f aca="false">H739*12</f>
        <v>20700</v>
      </c>
      <c r="P739" s="8" t="n">
        <f aca="false">MIN(100,ROUND(100*J739/Assumptions!$B$8,0))</f>
        <v>94</v>
      </c>
      <c r="Q739" s="8" t="n">
        <f aca="false">IF(L739="",Assumptions!$B$9,L739*10)</f>
        <v>80</v>
      </c>
      <c r="R739" s="8" t="n">
        <f aca="false">IF(M739&lt;=1,Assumptions!$B$12,IF(M739&lt;=3,Assumptions!$B$13,IF(M739&lt;=6,Assumptions!$B$14,Assumptions!$B$15)))</f>
        <v>100</v>
      </c>
      <c r="S739" s="8" t="n">
        <f aca="false">IF(N739="Completed On Time",Assumptions!$B$16,IF(N739="Completed Late",Assumptions!$B$17,Assumptions!$B$18))</f>
        <v>100</v>
      </c>
      <c r="T739" s="8" t="n">
        <f aca="false">IF(I739=0,Assumptions!$B$20,IF(H739&gt;I739,Assumptions!$B$19,IF(H739=I739,Assumptions!$B$20,Assumptions!$B$21)))</f>
        <v>70</v>
      </c>
      <c r="U739" s="8" t="n">
        <f aca="false">ROUND(P739*Assumptions!$B$2+Q739*Assumptions!$B$3+R739*Assumptions!$B$4+S739*Assumptions!$B$5+T739*Assumptions!$B$6,0)</f>
        <v>88</v>
      </c>
      <c r="V739" s="8" t="str">
        <f aca="false">IF(U739&gt;=Assumptions!$B$10,"Healthy",IF(U739&gt;=Assumptions!$B$11,"Needs Attention","High Risk"))</f>
        <v>Healthy</v>
      </c>
    </row>
    <row r="740" customFormat="false" ht="15" hidden="false" customHeight="false" outlineLevel="0" collapsed="false">
      <c r="A740" s="8" t="s">
        <v>1621</v>
      </c>
      <c r="B740" s="8" t="s">
        <v>1622</v>
      </c>
      <c r="C740" s="8" t="s">
        <v>53</v>
      </c>
      <c r="D740" s="8" t="s">
        <v>326</v>
      </c>
      <c r="E740" s="8" t="s">
        <v>117</v>
      </c>
      <c r="F740" s="8" t="s">
        <v>136</v>
      </c>
      <c r="G740" s="8" t="s">
        <v>180</v>
      </c>
      <c r="H740" s="15" t="n">
        <v>1725</v>
      </c>
      <c r="I740" s="15" t="n">
        <v>1725</v>
      </c>
      <c r="J740" s="16" t="n">
        <v>0.763</v>
      </c>
      <c r="K740" s="8" t="n">
        <v>9</v>
      </c>
      <c r="L740" s="8" t="n">
        <v>7</v>
      </c>
      <c r="M740" s="8" t="n">
        <v>1</v>
      </c>
      <c r="N740" s="8" t="s">
        <v>120</v>
      </c>
      <c r="O740" s="15" t="n">
        <f aca="false">H740*12</f>
        <v>20700</v>
      </c>
      <c r="P740" s="8" t="n">
        <f aca="false">MIN(100,ROUND(100*J740/Assumptions!$B$8,0))</f>
        <v>85</v>
      </c>
      <c r="Q740" s="8" t="n">
        <f aca="false">IF(L740="",Assumptions!$B$9,L740*10)</f>
        <v>70</v>
      </c>
      <c r="R740" s="8" t="n">
        <f aca="false">IF(M740&lt;=1,Assumptions!$B$12,IF(M740&lt;=3,Assumptions!$B$13,IF(M740&lt;=6,Assumptions!$B$14,Assumptions!$B$15)))</f>
        <v>100</v>
      </c>
      <c r="S740" s="8" t="n">
        <f aca="false">IF(N740="Completed On Time",Assumptions!$B$16,IF(N740="Completed Late",Assumptions!$B$17,Assumptions!$B$18))</f>
        <v>100</v>
      </c>
      <c r="T740" s="8" t="n">
        <f aca="false">IF(I740=0,Assumptions!$B$20,IF(H740&gt;I740,Assumptions!$B$19,IF(H740=I740,Assumptions!$B$20,Assumptions!$B$21)))</f>
        <v>70</v>
      </c>
      <c r="U740" s="8" t="n">
        <f aca="false">ROUND(P740*Assumptions!$B$2+Q740*Assumptions!$B$3+R740*Assumptions!$B$4+S740*Assumptions!$B$5+T740*Assumptions!$B$6,0)</f>
        <v>83</v>
      </c>
      <c r="V740" s="8" t="str">
        <f aca="false">IF(U740&gt;=Assumptions!$B$10,"Healthy",IF(U740&gt;=Assumptions!$B$11,"Needs Attention","High Risk"))</f>
        <v>Healthy</v>
      </c>
    </row>
    <row r="741" customFormat="false" ht="15" hidden="false" customHeight="false" outlineLevel="0" collapsed="false">
      <c r="A741" s="8" t="s">
        <v>1623</v>
      </c>
      <c r="B741" s="8" t="s">
        <v>1624</v>
      </c>
      <c r="C741" s="8" t="s">
        <v>53</v>
      </c>
      <c r="D741" s="8" t="s">
        <v>326</v>
      </c>
      <c r="E741" s="8" t="s">
        <v>123</v>
      </c>
      <c r="F741" s="8" t="s">
        <v>136</v>
      </c>
      <c r="G741" s="8" t="s">
        <v>204</v>
      </c>
      <c r="H741" s="15" t="n">
        <v>1700</v>
      </c>
      <c r="I741" s="15" t="n">
        <v>1700</v>
      </c>
      <c r="J741" s="16" t="n">
        <v>0.5</v>
      </c>
      <c r="K741" s="8" t="n">
        <v>7.7</v>
      </c>
      <c r="L741" s="8" t="n">
        <v>6</v>
      </c>
      <c r="M741" s="8" t="n">
        <v>5</v>
      </c>
      <c r="N741" s="8" t="s">
        <v>148</v>
      </c>
      <c r="O741" s="15" t="n">
        <f aca="false">H741*12</f>
        <v>20400</v>
      </c>
      <c r="P741" s="8" t="n">
        <f aca="false">MIN(100,ROUND(100*J741/Assumptions!$B$8,0))</f>
        <v>56</v>
      </c>
      <c r="Q741" s="8" t="n">
        <f aca="false">IF(L741="",Assumptions!$B$9,L741*10)</f>
        <v>60</v>
      </c>
      <c r="R741" s="8" t="n">
        <f aca="false">IF(M741&lt;=1,Assumptions!$B$12,IF(M741&lt;=3,Assumptions!$B$13,IF(M741&lt;=6,Assumptions!$B$14,Assumptions!$B$15)))</f>
        <v>50</v>
      </c>
      <c r="S741" s="8" t="n">
        <f aca="false">IF(N741="Completed On Time",Assumptions!$B$16,IF(N741="Completed Late",Assumptions!$B$17,Assumptions!$B$18))</f>
        <v>60</v>
      </c>
      <c r="T741" s="8" t="n">
        <f aca="false">IF(I741=0,Assumptions!$B$20,IF(H741&gt;I741,Assumptions!$B$19,IF(H741=I741,Assumptions!$B$20,Assumptions!$B$21)))</f>
        <v>70</v>
      </c>
      <c r="U741" s="8" t="n">
        <f aca="false">ROUND(P741*Assumptions!$B$2+Q741*Assumptions!$B$3+R741*Assumptions!$B$4+S741*Assumptions!$B$5+T741*Assumptions!$B$6,0)</f>
        <v>59</v>
      </c>
      <c r="V741" s="8" t="str">
        <f aca="false">IF(U741&gt;=Assumptions!$B$10,"Healthy",IF(U741&gt;=Assumptions!$B$11,"Needs Attention","High Risk"))</f>
        <v>High Risk</v>
      </c>
    </row>
    <row r="742" customFormat="false" ht="15" hidden="false" customHeight="false" outlineLevel="0" collapsed="false">
      <c r="A742" s="8" t="s">
        <v>1625</v>
      </c>
      <c r="B742" s="8" t="s">
        <v>1626</v>
      </c>
      <c r="C742" s="8" t="s">
        <v>53</v>
      </c>
      <c r="D742" s="8" t="s">
        <v>326</v>
      </c>
      <c r="E742" s="8" t="s">
        <v>132</v>
      </c>
      <c r="F742" s="8" t="s">
        <v>166</v>
      </c>
      <c r="G742" s="8" t="s">
        <v>180</v>
      </c>
      <c r="H742" s="15" t="n">
        <v>1700</v>
      </c>
      <c r="I742" s="15" t="n">
        <v>1700</v>
      </c>
      <c r="J742" s="16" t="n">
        <v>0.863</v>
      </c>
      <c r="K742" s="8" t="n">
        <v>11</v>
      </c>
      <c r="L742" s="8" t="n">
        <v>10</v>
      </c>
      <c r="M742" s="8" t="n">
        <v>0</v>
      </c>
      <c r="N742" s="8" t="s">
        <v>120</v>
      </c>
      <c r="O742" s="15" t="n">
        <f aca="false">H742*12</f>
        <v>20400</v>
      </c>
      <c r="P742" s="8" t="n">
        <f aca="false">MIN(100,ROUND(100*J742/Assumptions!$B$8,0))</f>
        <v>96</v>
      </c>
      <c r="Q742" s="8" t="n">
        <f aca="false">IF(L742="",Assumptions!$B$9,L742*10)</f>
        <v>100</v>
      </c>
      <c r="R742" s="8" t="n">
        <f aca="false">IF(M742&lt;=1,Assumptions!$B$12,IF(M742&lt;=3,Assumptions!$B$13,IF(M742&lt;=6,Assumptions!$B$14,Assumptions!$B$15)))</f>
        <v>100</v>
      </c>
      <c r="S742" s="8" t="n">
        <f aca="false">IF(N742="Completed On Time",Assumptions!$B$16,IF(N742="Completed Late",Assumptions!$B$17,Assumptions!$B$18))</f>
        <v>100</v>
      </c>
      <c r="T742" s="8" t="n">
        <f aca="false">IF(I742=0,Assumptions!$B$20,IF(H742&gt;I742,Assumptions!$B$19,IF(H742=I742,Assumptions!$B$20,Assumptions!$B$21)))</f>
        <v>70</v>
      </c>
      <c r="U742" s="8" t="n">
        <f aca="false">ROUND(P742*Assumptions!$B$2+Q742*Assumptions!$B$3+R742*Assumptions!$B$4+S742*Assumptions!$B$5+T742*Assumptions!$B$6,0)</f>
        <v>93</v>
      </c>
      <c r="V742" s="8" t="str">
        <f aca="false">IF(U742&gt;=Assumptions!$B$10,"Healthy",IF(U742&gt;=Assumptions!$B$11,"Needs Attention","High Risk"))</f>
        <v>Healthy</v>
      </c>
    </row>
    <row r="743" customFormat="false" ht="15" hidden="false" customHeight="false" outlineLevel="0" collapsed="false">
      <c r="A743" s="8" t="s">
        <v>1627</v>
      </c>
      <c r="B743" s="8" t="s">
        <v>1628</v>
      </c>
      <c r="C743" s="8" t="s">
        <v>53</v>
      </c>
      <c r="D743" s="8" t="s">
        <v>326</v>
      </c>
      <c r="E743" s="8" t="s">
        <v>123</v>
      </c>
      <c r="F743" s="8" t="s">
        <v>133</v>
      </c>
      <c r="G743" s="8" t="s">
        <v>177</v>
      </c>
      <c r="H743" s="15" t="n">
        <v>1700</v>
      </c>
      <c r="I743" s="15" t="n">
        <v>1700</v>
      </c>
      <c r="J743" s="16" t="n">
        <v>0.618</v>
      </c>
      <c r="K743" s="8" t="n">
        <v>7</v>
      </c>
      <c r="L743" s="8" t="n">
        <v>9</v>
      </c>
      <c r="M743" s="8" t="n">
        <v>7</v>
      </c>
      <c r="N743" s="8" t="s">
        <v>120</v>
      </c>
      <c r="O743" s="15" t="n">
        <f aca="false">H743*12</f>
        <v>20400</v>
      </c>
      <c r="P743" s="8" t="n">
        <f aca="false">MIN(100,ROUND(100*J743/Assumptions!$B$8,0))</f>
        <v>69</v>
      </c>
      <c r="Q743" s="8" t="n">
        <f aca="false">IF(L743="",Assumptions!$B$9,L743*10)</f>
        <v>90</v>
      </c>
      <c r="R743" s="8" t="n">
        <f aca="false">IF(M743&lt;=1,Assumptions!$B$12,IF(M743&lt;=3,Assumptions!$B$13,IF(M743&lt;=6,Assumptions!$B$14,Assumptions!$B$15)))</f>
        <v>20</v>
      </c>
      <c r="S743" s="8" t="n">
        <f aca="false">IF(N743="Completed On Time",Assumptions!$B$16,IF(N743="Completed Late",Assumptions!$B$17,Assumptions!$B$18))</f>
        <v>100</v>
      </c>
      <c r="T743" s="8" t="n">
        <f aca="false">IF(I743=0,Assumptions!$B$20,IF(H743&gt;I743,Assumptions!$B$19,IF(H743=I743,Assumptions!$B$20,Assumptions!$B$21)))</f>
        <v>70</v>
      </c>
      <c r="U743" s="8" t="n">
        <f aca="false">ROUND(P743*Assumptions!$B$2+Q743*Assumptions!$B$3+R743*Assumptions!$B$4+S743*Assumptions!$B$5+T743*Assumptions!$B$6,0)</f>
        <v>69</v>
      </c>
      <c r="V743" s="8" t="str">
        <f aca="false">IF(U743&gt;=Assumptions!$B$10,"Healthy",IF(U743&gt;=Assumptions!$B$11,"Needs Attention","High Risk"))</f>
        <v>Needs Attention</v>
      </c>
    </row>
    <row r="744" customFormat="false" ht="15" hidden="false" customHeight="false" outlineLevel="0" collapsed="false">
      <c r="A744" s="8" t="s">
        <v>1629</v>
      </c>
      <c r="B744" s="8" t="s">
        <v>1630</v>
      </c>
      <c r="C744" s="8" t="s">
        <v>53</v>
      </c>
      <c r="D744" s="8" t="s">
        <v>326</v>
      </c>
      <c r="E744" s="8" t="s">
        <v>132</v>
      </c>
      <c r="F744" s="8" t="s">
        <v>143</v>
      </c>
      <c r="G744" s="8" t="s">
        <v>147</v>
      </c>
      <c r="H744" s="15" t="n">
        <v>1675</v>
      </c>
      <c r="I744" s="15" t="n">
        <v>1675</v>
      </c>
      <c r="J744" s="16" t="n">
        <v>0.856</v>
      </c>
      <c r="K744" s="8" t="n">
        <v>9.7</v>
      </c>
      <c r="L744" s="8" t="n">
        <v>10</v>
      </c>
      <c r="M744" s="8" t="n">
        <v>3</v>
      </c>
      <c r="N744" s="8" t="s">
        <v>120</v>
      </c>
      <c r="O744" s="15" t="n">
        <f aca="false">H744*12</f>
        <v>20100</v>
      </c>
      <c r="P744" s="8" t="n">
        <f aca="false">MIN(100,ROUND(100*J744/Assumptions!$B$8,0))</f>
        <v>95</v>
      </c>
      <c r="Q744" s="8" t="n">
        <f aca="false">IF(L744="",Assumptions!$B$9,L744*10)</f>
        <v>100</v>
      </c>
      <c r="R744" s="8" t="n">
        <f aca="false">IF(M744&lt;=1,Assumptions!$B$12,IF(M744&lt;=3,Assumptions!$B$13,IF(M744&lt;=6,Assumptions!$B$14,Assumptions!$B$15)))</f>
        <v>75</v>
      </c>
      <c r="S744" s="8" t="n">
        <f aca="false">IF(N744="Completed On Time",Assumptions!$B$16,IF(N744="Completed Late",Assumptions!$B$17,Assumptions!$B$18))</f>
        <v>100</v>
      </c>
      <c r="T744" s="8" t="n">
        <f aca="false">IF(I744=0,Assumptions!$B$20,IF(H744&gt;I744,Assumptions!$B$19,IF(H744=I744,Assumptions!$B$20,Assumptions!$B$21)))</f>
        <v>70</v>
      </c>
      <c r="U744" s="8" t="n">
        <f aca="false">ROUND(P744*Assumptions!$B$2+Q744*Assumptions!$B$3+R744*Assumptions!$B$4+S744*Assumptions!$B$5+T744*Assumptions!$B$6,0)</f>
        <v>89</v>
      </c>
      <c r="V744" s="8" t="str">
        <f aca="false">IF(U744&gt;=Assumptions!$B$10,"Healthy",IF(U744&gt;=Assumptions!$B$11,"Needs Attention","High Risk"))</f>
        <v>Healthy</v>
      </c>
    </row>
    <row r="745" customFormat="false" ht="15" hidden="false" customHeight="false" outlineLevel="0" collapsed="false">
      <c r="A745" s="8" t="s">
        <v>1631</v>
      </c>
      <c r="B745" s="8" t="s">
        <v>1632</v>
      </c>
      <c r="C745" s="8" t="s">
        <v>53</v>
      </c>
      <c r="D745" s="8" t="s">
        <v>326</v>
      </c>
      <c r="E745" s="8" t="s">
        <v>123</v>
      </c>
      <c r="F745" s="8" t="s">
        <v>166</v>
      </c>
      <c r="G745" s="8" t="s">
        <v>140</v>
      </c>
      <c r="H745" s="15" t="n">
        <v>1675</v>
      </c>
      <c r="I745" s="15" t="n">
        <v>1675</v>
      </c>
      <c r="J745" s="16" t="n">
        <v>0.781</v>
      </c>
      <c r="K745" s="8" t="n">
        <v>8.7</v>
      </c>
      <c r="L745" s="8" t="n">
        <v>10</v>
      </c>
      <c r="M745" s="8" t="n">
        <v>1</v>
      </c>
      <c r="N745" s="8" t="s">
        <v>120</v>
      </c>
      <c r="O745" s="15" t="n">
        <f aca="false">H745*12</f>
        <v>20100</v>
      </c>
      <c r="P745" s="8" t="n">
        <f aca="false">MIN(100,ROUND(100*J745/Assumptions!$B$8,0))</f>
        <v>87</v>
      </c>
      <c r="Q745" s="8" t="n">
        <f aca="false">IF(L745="",Assumptions!$B$9,L745*10)</f>
        <v>100</v>
      </c>
      <c r="R745" s="8" t="n">
        <f aca="false">IF(M745&lt;=1,Assumptions!$B$12,IF(M745&lt;=3,Assumptions!$B$13,IF(M745&lt;=6,Assumptions!$B$14,Assumptions!$B$15)))</f>
        <v>100</v>
      </c>
      <c r="S745" s="8" t="n">
        <f aca="false">IF(N745="Completed On Time",Assumptions!$B$16,IF(N745="Completed Late",Assumptions!$B$17,Assumptions!$B$18))</f>
        <v>100</v>
      </c>
      <c r="T745" s="8" t="n">
        <f aca="false">IF(I745=0,Assumptions!$B$20,IF(H745&gt;I745,Assumptions!$B$19,IF(H745=I745,Assumptions!$B$20,Assumptions!$B$21)))</f>
        <v>70</v>
      </c>
      <c r="U745" s="8" t="n">
        <f aca="false">ROUND(P745*Assumptions!$B$2+Q745*Assumptions!$B$3+R745*Assumptions!$B$4+S745*Assumptions!$B$5+T745*Assumptions!$B$6,0)</f>
        <v>89</v>
      </c>
      <c r="V745" s="8" t="str">
        <f aca="false">IF(U745&gt;=Assumptions!$B$10,"Healthy",IF(U745&gt;=Assumptions!$B$11,"Needs Attention","High Risk"))</f>
        <v>Healthy</v>
      </c>
    </row>
    <row r="746" customFormat="false" ht="15" hidden="false" customHeight="false" outlineLevel="0" collapsed="false">
      <c r="A746" s="8" t="s">
        <v>1633</v>
      </c>
      <c r="B746" s="8" t="s">
        <v>1634</v>
      </c>
      <c r="C746" s="8" t="s">
        <v>53</v>
      </c>
      <c r="D746" s="8" t="s">
        <v>326</v>
      </c>
      <c r="E746" s="8" t="s">
        <v>132</v>
      </c>
      <c r="F746" s="8" t="s">
        <v>223</v>
      </c>
      <c r="G746" s="8" t="s">
        <v>180</v>
      </c>
      <c r="H746" s="15" t="n">
        <v>1650</v>
      </c>
      <c r="I746" s="15" t="n">
        <v>1650</v>
      </c>
      <c r="J746" s="16" t="n">
        <v>0.727</v>
      </c>
      <c r="K746" s="8" t="n">
        <v>9.3</v>
      </c>
      <c r="L746" s="8" t="n">
        <v>9</v>
      </c>
      <c r="M746" s="8" t="n">
        <v>1</v>
      </c>
      <c r="N746" s="8" t="s">
        <v>120</v>
      </c>
      <c r="O746" s="15" t="n">
        <f aca="false">H746*12</f>
        <v>19800</v>
      </c>
      <c r="P746" s="8" t="n">
        <f aca="false">MIN(100,ROUND(100*J746/Assumptions!$B$8,0))</f>
        <v>81</v>
      </c>
      <c r="Q746" s="8" t="n">
        <f aca="false">IF(L746="",Assumptions!$B$9,L746*10)</f>
        <v>90</v>
      </c>
      <c r="R746" s="8" t="n">
        <f aca="false">IF(M746&lt;=1,Assumptions!$B$12,IF(M746&lt;=3,Assumptions!$B$13,IF(M746&lt;=6,Assumptions!$B$14,Assumptions!$B$15)))</f>
        <v>100</v>
      </c>
      <c r="S746" s="8" t="n">
        <f aca="false">IF(N746="Completed On Time",Assumptions!$B$16,IF(N746="Completed Late",Assumptions!$B$17,Assumptions!$B$18))</f>
        <v>100</v>
      </c>
      <c r="T746" s="8" t="n">
        <f aca="false">IF(I746=0,Assumptions!$B$20,IF(H746&gt;I746,Assumptions!$B$19,IF(H746=I746,Assumptions!$B$20,Assumptions!$B$21)))</f>
        <v>70</v>
      </c>
      <c r="U746" s="8" t="n">
        <f aca="false">ROUND(P746*Assumptions!$B$2+Q746*Assumptions!$B$3+R746*Assumptions!$B$4+S746*Assumptions!$B$5+T746*Assumptions!$B$6,0)</f>
        <v>85</v>
      </c>
      <c r="V746" s="8" t="str">
        <f aca="false">IF(U746&gt;=Assumptions!$B$10,"Healthy",IF(U746&gt;=Assumptions!$B$11,"Needs Attention","High Risk"))</f>
        <v>Healthy</v>
      </c>
    </row>
    <row r="747" customFormat="false" ht="15" hidden="false" customHeight="false" outlineLevel="0" collapsed="false">
      <c r="A747" s="8" t="s">
        <v>1635</v>
      </c>
      <c r="B747" s="8" t="s">
        <v>1636</v>
      </c>
      <c r="C747" s="8" t="s">
        <v>53</v>
      </c>
      <c r="D747" s="8" t="s">
        <v>326</v>
      </c>
      <c r="E747" s="8" t="s">
        <v>132</v>
      </c>
      <c r="F747" s="8" t="s">
        <v>166</v>
      </c>
      <c r="G747" s="8" t="s">
        <v>180</v>
      </c>
      <c r="H747" s="15" t="n">
        <v>1650</v>
      </c>
      <c r="I747" s="15" t="n">
        <v>0</v>
      </c>
      <c r="J747" s="16" t="n">
        <v>0.773</v>
      </c>
      <c r="K747" s="8" t="n">
        <v>11</v>
      </c>
      <c r="L747" s="8"/>
      <c r="M747" s="8" t="n">
        <v>3</v>
      </c>
      <c r="N747" s="8" t="s">
        <v>120</v>
      </c>
      <c r="O747" s="15" t="n">
        <f aca="false">H747*12</f>
        <v>19800</v>
      </c>
      <c r="P747" s="8" t="n">
        <f aca="false">MIN(100,ROUND(100*J747/Assumptions!$B$8,0))</f>
        <v>86</v>
      </c>
      <c r="Q747" s="8" t="n">
        <f aca="false">IF(L747="",Assumptions!$B$9,L747*10)</f>
        <v>50</v>
      </c>
      <c r="R747" s="8" t="n">
        <f aca="false">IF(M747&lt;=1,Assumptions!$B$12,IF(M747&lt;=3,Assumptions!$B$13,IF(M747&lt;=6,Assumptions!$B$14,Assumptions!$B$15)))</f>
        <v>75</v>
      </c>
      <c r="S747" s="8" t="n">
        <f aca="false">IF(N747="Completed On Time",Assumptions!$B$16,IF(N747="Completed Late",Assumptions!$B$17,Assumptions!$B$18))</f>
        <v>100</v>
      </c>
      <c r="T747" s="8" t="n">
        <f aca="false">IF(I747=0,Assumptions!$B$20,IF(H747&gt;I747,Assumptions!$B$19,IF(H747=I747,Assumptions!$B$20,Assumptions!$B$21)))</f>
        <v>70</v>
      </c>
      <c r="U747" s="8" t="n">
        <f aca="false">ROUND(P747*Assumptions!$B$2+Q747*Assumptions!$B$3+R747*Assumptions!$B$4+S747*Assumptions!$B$5+T747*Assumptions!$B$6,0)</f>
        <v>75</v>
      </c>
      <c r="V747" s="8" t="str">
        <f aca="false">IF(U747&gt;=Assumptions!$B$10,"Healthy",IF(U747&gt;=Assumptions!$B$11,"Needs Attention","High Risk"))</f>
        <v>Needs Attention</v>
      </c>
    </row>
    <row r="748" customFormat="false" ht="15" hidden="false" customHeight="false" outlineLevel="0" collapsed="false">
      <c r="A748" s="8" t="s">
        <v>1637</v>
      </c>
      <c r="B748" s="8" t="s">
        <v>1638</v>
      </c>
      <c r="C748" s="8" t="s">
        <v>53</v>
      </c>
      <c r="D748" s="8" t="s">
        <v>326</v>
      </c>
      <c r="E748" s="8" t="s">
        <v>123</v>
      </c>
      <c r="F748" s="8" t="s">
        <v>124</v>
      </c>
      <c r="G748" s="8" t="s">
        <v>129</v>
      </c>
      <c r="H748" s="15" t="n">
        <v>1650</v>
      </c>
      <c r="I748" s="15" t="n">
        <v>1650</v>
      </c>
      <c r="J748" s="16" t="n">
        <v>0.662</v>
      </c>
      <c r="K748" s="8" t="n">
        <v>8.3</v>
      </c>
      <c r="L748" s="8" t="n">
        <v>7</v>
      </c>
      <c r="M748" s="8" t="n">
        <v>3</v>
      </c>
      <c r="N748" s="8" t="s">
        <v>120</v>
      </c>
      <c r="O748" s="15" t="n">
        <f aca="false">H748*12</f>
        <v>19800</v>
      </c>
      <c r="P748" s="8" t="n">
        <f aca="false">MIN(100,ROUND(100*J748/Assumptions!$B$8,0))</f>
        <v>74</v>
      </c>
      <c r="Q748" s="8" t="n">
        <f aca="false">IF(L748="",Assumptions!$B$9,L748*10)</f>
        <v>70</v>
      </c>
      <c r="R748" s="8" t="n">
        <f aca="false">IF(M748&lt;=1,Assumptions!$B$12,IF(M748&lt;=3,Assumptions!$B$13,IF(M748&lt;=6,Assumptions!$B$14,Assumptions!$B$15)))</f>
        <v>75</v>
      </c>
      <c r="S748" s="8" t="n">
        <f aca="false">IF(N748="Completed On Time",Assumptions!$B$16,IF(N748="Completed Late",Assumptions!$B$17,Assumptions!$B$18))</f>
        <v>100</v>
      </c>
      <c r="T748" s="8" t="n">
        <f aca="false">IF(I748=0,Assumptions!$B$20,IF(H748&gt;I748,Assumptions!$B$19,IF(H748=I748,Assumptions!$B$20,Assumptions!$B$21)))</f>
        <v>70</v>
      </c>
      <c r="U748" s="8" t="n">
        <f aca="false">ROUND(P748*Assumptions!$B$2+Q748*Assumptions!$B$3+R748*Assumptions!$B$4+S748*Assumptions!$B$5+T748*Assumptions!$B$6,0)</f>
        <v>75</v>
      </c>
      <c r="V748" s="8" t="str">
        <f aca="false">IF(U748&gt;=Assumptions!$B$10,"Healthy",IF(U748&gt;=Assumptions!$B$11,"Needs Attention","High Risk"))</f>
        <v>Needs Attention</v>
      </c>
    </row>
    <row r="749" customFormat="false" ht="15" hidden="false" customHeight="false" outlineLevel="0" collapsed="false">
      <c r="A749" s="8" t="s">
        <v>1639</v>
      </c>
      <c r="B749" s="8" t="s">
        <v>1640</v>
      </c>
      <c r="C749" s="8" t="s">
        <v>53</v>
      </c>
      <c r="D749" s="8" t="s">
        <v>326</v>
      </c>
      <c r="E749" s="8" t="s">
        <v>132</v>
      </c>
      <c r="F749" s="8" t="s">
        <v>151</v>
      </c>
      <c r="G749" s="8" t="s">
        <v>185</v>
      </c>
      <c r="H749" s="15" t="n">
        <v>1650</v>
      </c>
      <c r="I749" s="15" t="n">
        <v>1650</v>
      </c>
      <c r="J749" s="16" t="n">
        <v>0.859</v>
      </c>
      <c r="K749" s="8" t="n">
        <v>9</v>
      </c>
      <c r="L749" s="8" t="n">
        <v>8</v>
      </c>
      <c r="M749" s="8" t="n">
        <v>1</v>
      </c>
      <c r="N749" s="8" t="s">
        <v>120</v>
      </c>
      <c r="O749" s="15" t="n">
        <f aca="false">H749*12</f>
        <v>19800</v>
      </c>
      <c r="P749" s="8" t="n">
        <f aca="false">MIN(100,ROUND(100*J749/Assumptions!$B$8,0))</f>
        <v>95</v>
      </c>
      <c r="Q749" s="8" t="n">
        <f aca="false">IF(L749="",Assumptions!$B$9,L749*10)</f>
        <v>80</v>
      </c>
      <c r="R749" s="8" t="n">
        <f aca="false">IF(M749&lt;=1,Assumptions!$B$12,IF(M749&lt;=3,Assumptions!$B$13,IF(M749&lt;=6,Assumptions!$B$14,Assumptions!$B$15)))</f>
        <v>100</v>
      </c>
      <c r="S749" s="8" t="n">
        <f aca="false">IF(N749="Completed On Time",Assumptions!$B$16,IF(N749="Completed Late",Assumptions!$B$17,Assumptions!$B$18))</f>
        <v>100</v>
      </c>
      <c r="T749" s="8" t="n">
        <f aca="false">IF(I749=0,Assumptions!$B$20,IF(H749&gt;I749,Assumptions!$B$19,IF(H749=I749,Assumptions!$B$20,Assumptions!$B$21)))</f>
        <v>70</v>
      </c>
      <c r="U749" s="8" t="n">
        <f aca="false">ROUND(P749*Assumptions!$B$2+Q749*Assumptions!$B$3+R749*Assumptions!$B$4+S749*Assumptions!$B$5+T749*Assumptions!$B$6,0)</f>
        <v>88</v>
      </c>
      <c r="V749" s="8" t="str">
        <f aca="false">IF(U749&gt;=Assumptions!$B$10,"Healthy",IF(U749&gt;=Assumptions!$B$11,"Needs Attention","High Risk"))</f>
        <v>Healthy</v>
      </c>
    </row>
    <row r="750" customFormat="false" ht="15" hidden="false" customHeight="false" outlineLevel="0" collapsed="false">
      <c r="A750" s="8" t="s">
        <v>1641</v>
      </c>
      <c r="B750" s="8" t="s">
        <v>1642</v>
      </c>
      <c r="C750" s="8" t="s">
        <v>53</v>
      </c>
      <c r="D750" s="8" t="s">
        <v>326</v>
      </c>
      <c r="E750" s="8" t="s">
        <v>132</v>
      </c>
      <c r="F750" s="8" t="s">
        <v>223</v>
      </c>
      <c r="G750" s="8" t="s">
        <v>119</v>
      </c>
      <c r="H750" s="15" t="n">
        <v>1600</v>
      </c>
      <c r="I750" s="15" t="n">
        <v>1600</v>
      </c>
      <c r="J750" s="16" t="n">
        <v>0.74</v>
      </c>
      <c r="K750" s="8" t="n">
        <v>9</v>
      </c>
      <c r="L750" s="8" t="n">
        <v>9</v>
      </c>
      <c r="M750" s="8" t="n">
        <v>0</v>
      </c>
      <c r="N750" s="8" t="s">
        <v>120</v>
      </c>
      <c r="O750" s="15" t="n">
        <f aca="false">H750*12</f>
        <v>19200</v>
      </c>
      <c r="P750" s="8" t="n">
        <f aca="false">MIN(100,ROUND(100*J750/Assumptions!$B$8,0))</f>
        <v>82</v>
      </c>
      <c r="Q750" s="8" t="n">
        <f aca="false">IF(L750="",Assumptions!$B$9,L750*10)</f>
        <v>90</v>
      </c>
      <c r="R750" s="8" t="n">
        <f aca="false">IF(M750&lt;=1,Assumptions!$B$12,IF(M750&lt;=3,Assumptions!$B$13,IF(M750&lt;=6,Assumptions!$B$14,Assumptions!$B$15)))</f>
        <v>100</v>
      </c>
      <c r="S750" s="8" t="n">
        <f aca="false">IF(N750="Completed On Time",Assumptions!$B$16,IF(N750="Completed Late",Assumptions!$B$17,Assumptions!$B$18))</f>
        <v>100</v>
      </c>
      <c r="T750" s="8" t="n">
        <f aca="false">IF(I750=0,Assumptions!$B$20,IF(H750&gt;I750,Assumptions!$B$19,IF(H750=I750,Assumptions!$B$20,Assumptions!$B$21)))</f>
        <v>70</v>
      </c>
      <c r="U750" s="8" t="n">
        <f aca="false">ROUND(P750*Assumptions!$B$2+Q750*Assumptions!$B$3+R750*Assumptions!$B$4+S750*Assumptions!$B$5+T750*Assumptions!$B$6,0)</f>
        <v>86</v>
      </c>
      <c r="V750" s="8" t="str">
        <f aca="false">IF(U750&gt;=Assumptions!$B$10,"Healthy",IF(U750&gt;=Assumptions!$B$11,"Needs Attention","High Risk"))</f>
        <v>Healthy</v>
      </c>
    </row>
    <row r="751" customFormat="false" ht="15" hidden="false" customHeight="false" outlineLevel="0" collapsed="false">
      <c r="A751" s="8" t="s">
        <v>1643</v>
      </c>
      <c r="B751" s="8" t="s">
        <v>1644</v>
      </c>
      <c r="C751" s="8" t="s">
        <v>53</v>
      </c>
      <c r="D751" s="8" t="s">
        <v>326</v>
      </c>
      <c r="E751" s="8" t="s">
        <v>117</v>
      </c>
      <c r="F751" s="8" t="s">
        <v>154</v>
      </c>
      <c r="G751" s="8" t="s">
        <v>204</v>
      </c>
      <c r="H751" s="15" t="n">
        <v>1550</v>
      </c>
      <c r="I751" s="15" t="n">
        <v>1875</v>
      </c>
      <c r="J751" s="16" t="n">
        <v>0.665</v>
      </c>
      <c r="K751" s="8" t="n">
        <v>8.7</v>
      </c>
      <c r="L751" s="8" t="n">
        <v>4</v>
      </c>
      <c r="M751" s="8" t="n">
        <v>4</v>
      </c>
      <c r="N751" s="8" t="s">
        <v>120</v>
      </c>
      <c r="O751" s="15" t="n">
        <f aca="false">H751*12</f>
        <v>18600</v>
      </c>
      <c r="P751" s="8" t="n">
        <f aca="false">MIN(100,ROUND(100*J751/Assumptions!$B$8,0))</f>
        <v>74</v>
      </c>
      <c r="Q751" s="8" t="n">
        <f aca="false">IF(L751="",Assumptions!$B$9,L751*10)</f>
        <v>40</v>
      </c>
      <c r="R751" s="8" t="n">
        <f aca="false">IF(M751&lt;=1,Assumptions!$B$12,IF(M751&lt;=3,Assumptions!$B$13,IF(M751&lt;=6,Assumptions!$B$14,Assumptions!$B$15)))</f>
        <v>50</v>
      </c>
      <c r="S751" s="8" t="n">
        <f aca="false">IF(N751="Completed On Time",Assumptions!$B$16,IF(N751="Completed Late",Assumptions!$B$17,Assumptions!$B$18))</f>
        <v>100</v>
      </c>
      <c r="T751" s="8" t="n">
        <f aca="false">IF(I751=0,Assumptions!$B$20,IF(H751&gt;I751,Assumptions!$B$19,IF(H751=I751,Assumptions!$B$20,Assumptions!$B$21)))</f>
        <v>30</v>
      </c>
      <c r="U751" s="8" t="n">
        <f aca="false">ROUND(P751*Assumptions!$B$2+Q751*Assumptions!$B$3+R751*Assumptions!$B$4+S751*Assumptions!$B$5+T751*Assumptions!$B$6,0)</f>
        <v>57</v>
      </c>
      <c r="V751" s="8" t="str">
        <f aca="false">IF(U751&gt;=Assumptions!$B$10,"Healthy",IF(U751&gt;=Assumptions!$B$11,"Needs Attention","High Risk"))</f>
        <v>High Risk</v>
      </c>
    </row>
    <row r="752" customFormat="false" ht="15" hidden="false" customHeight="false" outlineLevel="0" collapsed="false">
      <c r="A752" s="8" t="s">
        <v>1645</v>
      </c>
      <c r="B752" s="8" t="s">
        <v>1646</v>
      </c>
      <c r="C752" s="8" t="s">
        <v>53</v>
      </c>
      <c r="D752" s="8" t="s">
        <v>326</v>
      </c>
      <c r="E752" s="8" t="s">
        <v>123</v>
      </c>
      <c r="F752" s="8" t="s">
        <v>124</v>
      </c>
      <c r="G752" s="8" t="s">
        <v>125</v>
      </c>
      <c r="H752" s="15" t="n">
        <v>1550</v>
      </c>
      <c r="I752" s="15" t="n">
        <v>1550</v>
      </c>
      <c r="J752" s="16" t="n">
        <v>0.769</v>
      </c>
      <c r="K752" s="8" t="n">
        <v>8</v>
      </c>
      <c r="L752" s="8" t="n">
        <v>10</v>
      </c>
      <c r="M752" s="8" t="n">
        <v>3</v>
      </c>
      <c r="N752" s="8" t="s">
        <v>120</v>
      </c>
      <c r="O752" s="15" t="n">
        <f aca="false">H752*12</f>
        <v>18600</v>
      </c>
      <c r="P752" s="8" t="n">
        <f aca="false">MIN(100,ROUND(100*J752/Assumptions!$B$8,0))</f>
        <v>85</v>
      </c>
      <c r="Q752" s="8" t="n">
        <f aca="false">IF(L752="",Assumptions!$B$9,L752*10)</f>
        <v>100</v>
      </c>
      <c r="R752" s="8" t="n">
        <f aca="false">IF(M752&lt;=1,Assumptions!$B$12,IF(M752&lt;=3,Assumptions!$B$13,IF(M752&lt;=6,Assumptions!$B$14,Assumptions!$B$15)))</f>
        <v>75</v>
      </c>
      <c r="S752" s="8" t="n">
        <f aca="false">IF(N752="Completed On Time",Assumptions!$B$16,IF(N752="Completed Late",Assumptions!$B$17,Assumptions!$B$18))</f>
        <v>100</v>
      </c>
      <c r="T752" s="8" t="n">
        <f aca="false">IF(I752=0,Assumptions!$B$20,IF(H752&gt;I752,Assumptions!$B$19,IF(H752=I752,Assumptions!$B$20,Assumptions!$B$21)))</f>
        <v>70</v>
      </c>
      <c r="U752" s="8" t="n">
        <f aca="false">ROUND(P752*Assumptions!$B$2+Q752*Assumptions!$B$3+R752*Assumptions!$B$4+S752*Assumptions!$B$5+T752*Assumptions!$B$6,0)</f>
        <v>85</v>
      </c>
      <c r="V752" s="8" t="str">
        <f aca="false">IF(U752&gt;=Assumptions!$B$10,"Healthy",IF(U752&gt;=Assumptions!$B$11,"Needs Attention","High Risk"))</f>
        <v>Healthy</v>
      </c>
    </row>
    <row r="753" customFormat="false" ht="15" hidden="false" customHeight="false" outlineLevel="0" collapsed="false">
      <c r="A753" s="8" t="s">
        <v>1647</v>
      </c>
      <c r="B753" s="8" t="s">
        <v>1648</v>
      </c>
      <c r="C753" s="8" t="s">
        <v>53</v>
      </c>
      <c r="D753" s="8" t="s">
        <v>326</v>
      </c>
      <c r="E753" s="8" t="s">
        <v>132</v>
      </c>
      <c r="F753" s="8" t="s">
        <v>151</v>
      </c>
      <c r="G753" s="8" t="s">
        <v>185</v>
      </c>
      <c r="H753" s="15" t="n">
        <v>1550</v>
      </c>
      <c r="I753" s="15" t="n">
        <v>1550</v>
      </c>
      <c r="J753" s="16" t="n">
        <v>0.651</v>
      </c>
      <c r="K753" s="8" t="n">
        <v>6.3</v>
      </c>
      <c r="L753" s="8" t="n">
        <v>5</v>
      </c>
      <c r="M753" s="8" t="n">
        <v>2</v>
      </c>
      <c r="N753" s="8" t="s">
        <v>148</v>
      </c>
      <c r="O753" s="15" t="n">
        <f aca="false">H753*12</f>
        <v>18600</v>
      </c>
      <c r="P753" s="8" t="n">
        <f aca="false">MIN(100,ROUND(100*J753/Assumptions!$B$8,0))</f>
        <v>72</v>
      </c>
      <c r="Q753" s="8" t="n">
        <f aca="false">IF(L753="",Assumptions!$B$9,L753*10)</f>
        <v>50</v>
      </c>
      <c r="R753" s="8" t="n">
        <f aca="false">IF(M753&lt;=1,Assumptions!$B$12,IF(M753&lt;=3,Assumptions!$B$13,IF(M753&lt;=6,Assumptions!$B$14,Assumptions!$B$15)))</f>
        <v>75</v>
      </c>
      <c r="S753" s="8" t="n">
        <f aca="false">IF(N753="Completed On Time",Assumptions!$B$16,IF(N753="Completed Late",Assumptions!$B$17,Assumptions!$B$18))</f>
        <v>60</v>
      </c>
      <c r="T753" s="8" t="n">
        <f aca="false">IF(I753=0,Assumptions!$B$20,IF(H753&gt;I753,Assumptions!$B$19,IF(H753=I753,Assumptions!$B$20,Assumptions!$B$21)))</f>
        <v>70</v>
      </c>
      <c r="U753" s="8" t="n">
        <f aca="false">ROUND(P753*Assumptions!$B$2+Q753*Assumptions!$B$3+R753*Assumptions!$B$4+S753*Assumptions!$B$5+T753*Assumptions!$B$6,0)</f>
        <v>66</v>
      </c>
      <c r="V753" s="8" t="str">
        <f aca="false">IF(U753&gt;=Assumptions!$B$10,"Healthy",IF(U753&gt;=Assumptions!$B$11,"Needs Attention","High Risk"))</f>
        <v>Needs Attention</v>
      </c>
    </row>
    <row r="754" customFormat="false" ht="15" hidden="false" customHeight="false" outlineLevel="0" collapsed="false">
      <c r="A754" s="8" t="s">
        <v>1649</v>
      </c>
      <c r="B754" s="8" t="s">
        <v>1650</v>
      </c>
      <c r="C754" s="8" t="s">
        <v>53</v>
      </c>
      <c r="D754" s="8" t="s">
        <v>326</v>
      </c>
      <c r="E754" s="8" t="s">
        <v>128</v>
      </c>
      <c r="F754" s="8" t="s">
        <v>154</v>
      </c>
      <c r="G754" s="8" t="s">
        <v>185</v>
      </c>
      <c r="H754" s="15" t="n">
        <v>1525</v>
      </c>
      <c r="I754" s="15" t="n">
        <v>1525</v>
      </c>
      <c r="J754" s="16" t="n">
        <v>0.858</v>
      </c>
      <c r="K754" s="8" t="n">
        <v>10</v>
      </c>
      <c r="L754" s="8" t="n">
        <v>9</v>
      </c>
      <c r="M754" s="8" t="n">
        <v>0</v>
      </c>
      <c r="N754" s="8" t="s">
        <v>120</v>
      </c>
      <c r="O754" s="15" t="n">
        <f aca="false">H754*12</f>
        <v>18300</v>
      </c>
      <c r="P754" s="8" t="n">
        <f aca="false">MIN(100,ROUND(100*J754/Assumptions!$B$8,0))</f>
        <v>95</v>
      </c>
      <c r="Q754" s="8" t="n">
        <f aca="false">IF(L754="",Assumptions!$B$9,L754*10)</f>
        <v>90</v>
      </c>
      <c r="R754" s="8" t="n">
        <f aca="false">IF(M754&lt;=1,Assumptions!$B$12,IF(M754&lt;=3,Assumptions!$B$13,IF(M754&lt;=6,Assumptions!$B$14,Assumptions!$B$15)))</f>
        <v>100</v>
      </c>
      <c r="S754" s="8" t="n">
        <f aca="false">IF(N754="Completed On Time",Assumptions!$B$16,IF(N754="Completed Late",Assumptions!$B$17,Assumptions!$B$18))</f>
        <v>100</v>
      </c>
      <c r="T754" s="8" t="n">
        <f aca="false">IF(I754=0,Assumptions!$B$20,IF(H754&gt;I754,Assumptions!$B$19,IF(H754=I754,Assumptions!$B$20,Assumptions!$B$21)))</f>
        <v>70</v>
      </c>
      <c r="U754" s="8" t="n">
        <f aca="false">ROUND(P754*Assumptions!$B$2+Q754*Assumptions!$B$3+R754*Assumptions!$B$4+S754*Assumptions!$B$5+T754*Assumptions!$B$6,0)</f>
        <v>90</v>
      </c>
      <c r="V754" s="8" t="str">
        <f aca="false">IF(U754&gt;=Assumptions!$B$10,"Healthy",IF(U754&gt;=Assumptions!$B$11,"Needs Attention","High Risk"))</f>
        <v>Healthy</v>
      </c>
    </row>
    <row r="755" customFormat="false" ht="15" hidden="false" customHeight="false" outlineLevel="0" collapsed="false">
      <c r="A755" s="8" t="s">
        <v>1651</v>
      </c>
      <c r="B755" s="8" t="s">
        <v>1652</v>
      </c>
      <c r="C755" s="8" t="s">
        <v>53</v>
      </c>
      <c r="D755" s="8" t="s">
        <v>326</v>
      </c>
      <c r="E755" s="8" t="s">
        <v>123</v>
      </c>
      <c r="F755" s="8" t="s">
        <v>151</v>
      </c>
      <c r="G755" s="8" t="s">
        <v>177</v>
      </c>
      <c r="H755" s="15" t="n">
        <v>1525</v>
      </c>
      <c r="I755" s="15" t="n">
        <v>0</v>
      </c>
      <c r="J755" s="16" t="n">
        <v>0.699</v>
      </c>
      <c r="K755" s="8" t="n">
        <v>9.7</v>
      </c>
      <c r="L755" s="8"/>
      <c r="M755" s="8" t="n">
        <v>1</v>
      </c>
      <c r="N755" s="8" t="s">
        <v>120</v>
      </c>
      <c r="O755" s="15" t="n">
        <f aca="false">H755*12</f>
        <v>18300</v>
      </c>
      <c r="P755" s="8" t="n">
        <f aca="false">MIN(100,ROUND(100*J755/Assumptions!$B$8,0))</f>
        <v>78</v>
      </c>
      <c r="Q755" s="8" t="n">
        <f aca="false">IF(L755="",Assumptions!$B$9,L755*10)</f>
        <v>50</v>
      </c>
      <c r="R755" s="8" t="n">
        <f aca="false">IF(M755&lt;=1,Assumptions!$B$12,IF(M755&lt;=3,Assumptions!$B$13,IF(M755&lt;=6,Assumptions!$B$14,Assumptions!$B$15)))</f>
        <v>100</v>
      </c>
      <c r="S755" s="8" t="n">
        <f aca="false">IF(N755="Completed On Time",Assumptions!$B$16,IF(N755="Completed Late",Assumptions!$B$17,Assumptions!$B$18))</f>
        <v>100</v>
      </c>
      <c r="T755" s="8" t="n">
        <f aca="false">IF(I755=0,Assumptions!$B$20,IF(H755&gt;I755,Assumptions!$B$19,IF(H755=I755,Assumptions!$B$20,Assumptions!$B$21)))</f>
        <v>70</v>
      </c>
      <c r="U755" s="8" t="n">
        <f aca="false">ROUND(P755*Assumptions!$B$2+Q755*Assumptions!$B$3+R755*Assumptions!$B$4+S755*Assumptions!$B$5+T755*Assumptions!$B$6,0)</f>
        <v>76</v>
      </c>
      <c r="V755" s="8" t="str">
        <f aca="false">IF(U755&gt;=Assumptions!$B$10,"Healthy",IF(U755&gt;=Assumptions!$B$11,"Needs Attention","High Risk"))</f>
        <v>Needs Attention</v>
      </c>
    </row>
    <row r="756" customFormat="false" ht="15" hidden="false" customHeight="false" outlineLevel="0" collapsed="false">
      <c r="A756" s="8" t="s">
        <v>1653</v>
      </c>
      <c r="B756" s="8" t="s">
        <v>1654</v>
      </c>
      <c r="C756" s="8" t="s">
        <v>53</v>
      </c>
      <c r="D756" s="8" t="s">
        <v>326</v>
      </c>
      <c r="E756" s="8" t="s">
        <v>123</v>
      </c>
      <c r="F756" s="8" t="s">
        <v>124</v>
      </c>
      <c r="G756" s="8" t="s">
        <v>125</v>
      </c>
      <c r="H756" s="15" t="n">
        <v>1500</v>
      </c>
      <c r="I756" s="15" t="n">
        <v>1500</v>
      </c>
      <c r="J756" s="16" t="n">
        <v>0.706</v>
      </c>
      <c r="K756" s="8" t="n">
        <v>7</v>
      </c>
      <c r="L756" s="8" t="n">
        <v>9</v>
      </c>
      <c r="M756" s="8" t="n">
        <v>1</v>
      </c>
      <c r="N756" s="8" t="s">
        <v>120</v>
      </c>
      <c r="O756" s="15" t="n">
        <f aca="false">H756*12</f>
        <v>18000</v>
      </c>
      <c r="P756" s="8" t="n">
        <f aca="false">MIN(100,ROUND(100*J756/Assumptions!$B$8,0))</f>
        <v>78</v>
      </c>
      <c r="Q756" s="8" t="n">
        <f aca="false">IF(L756="",Assumptions!$B$9,L756*10)</f>
        <v>90</v>
      </c>
      <c r="R756" s="8" t="n">
        <f aca="false">IF(M756&lt;=1,Assumptions!$B$12,IF(M756&lt;=3,Assumptions!$B$13,IF(M756&lt;=6,Assumptions!$B$14,Assumptions!$B$15)))</f>
        <v>100</v>
      </c>
      <c r="S756" s="8" t="n">
        <f aca="false">IF(N756="Completed On Time",Assumptions!$B$16,IF(N756="Completed Late",Assumptions!$B$17,Assumptions!$B$18))</f>
        <v>100</v>
      </c>
      <c r="T756" s="8" t="n">
        <f aca="false">IF(I756=0,Assumptions!$B$20,IF(H756&gt;I756,Assumptions!$B$19,IF(H756=I756,Assumptions!$B$20,Assumptions!$B$21)))</f>
        <v>70</v>
      </c>
      <c r="U756" s="8" t="n">
        <f aca="false">ROUND(P756*Assumptions!$B$2+Q756*Assumptions!$B$3+R756*Assumptions!$B$4+S756*Assumptions!$B$5+T756*Assumptions!$B$6,0)</f>
        <v>84</v>
      </c>
      <c r="V756" s="8" t="str">
        <f aca="false">IF(U756&gt;=Assumptions!$B$10,"Healthy",IF(U756&gt;=Assumptions!$B$11,"Needs Attention","High Risk"))</f>
        <v>Healthy</v>
      </c>
    </row>
    <row r="757" customFormat="false" ht="15" hidden="false" customHeight="false" outlineLevel="0" collapsed="false">
      <c r="A757" s="8" t="s">
        <v>1655</v>
      </c>
      <c r="B757" s="8" t="s">
        <v>1656</v>
      </c>
      <c r="C757" s="8" t="s">
        <v>53</v>
      </c>
      <c r="D757" s="8" t="s">
        <v>326</v>
      </c>
      <c r="E757" s="8" t="s">
        <v>132</v>
      </c>
      <c r="F757" s="8" t="s">
        <v>136</v>
      </c>
      <c r="G757" s="8" t="s">
        <v>159</v>
      </c>
      <c r="H757" s="15" t="n">
        <v>1500</v>
      </c>
      <c r="I757" s="15" t="n">
        <v>1500</v>
      </c>
      <c r="J757" s="16" t="n">
        <v>0.683</v>
      </c>
      <c r="K757" s="8" t="n">
        <v>7.7</v>
      </c>
      <c r="L757" s="8" t="n">
        <v>7</v>
      </c>
      <c r="M757" s="8" t="n">
        <v>6</v>
      </c>
      <c r="N757" s="8" t="s">
        <v>148</v>
      </c>
      <c r="O757" s="15" t="n">
        <f aca="false">H757*12</f>
        <v>18000</v>
      </c>
      <c r="P757" s="8" t="n">
        <f aca="false">MIN(100,ROUND(100*J757/Assumptions!$B$8,0))</f>
        <v>76</v>
      </c>
      <c r="Q757" s="8" t="n">
        <f aca="false">IF(L757="",Assumptions!$B$9,L757*10)</f>
        <v>70</v>
      </c>
      <c r="R757" s="8" t="n">
        <f aca="false">IF(M757&lt;=1,Assumptions!$B$12,IF(M757&lt;=3,Assumptions!$B$13,IF(M757&lt;=6,Assumptions!$B$14,Assumptions!$B$15)))</f>
        <v>50</v>
      </c>
      <c r="S757" s="8" t="n">
        <f aca="false">IF(N757="Completed On Time",Assumptions!$B$16,IF(N757="Completed Late",Assumptions!$B$17,Assumptions!$B$18))</f>
        <v>60</v>
      </c>
      <c r="T757" s="8" t="n">
        <f aca="false">IF(I757=0,Assumptions!$B$20,IF(H757&gt;I757,Assumptions!$B$19,IF(H757=I757,Assumptions!$B$20,Assumptions!$B$21)))</f>
        <v>70</v>
      </c>
      <c r="U757" s="8" t="n">
        <f aca="false">ROUND(P757*Assumptions!$B$2+Q757*Assumptions!$B$3+R757*Assumptions!$B$4+S757*Assumptions!$B$5+T757*Assumptions!$B$6,0)</f>
        <v>68</v>
      </c>
      <c r="V757" s="8" t="str">
        <f aca="false">IF(U757&gt;=Assumptions!$B$10,"Healthy",IF(U757&gt;=Assumptions!$B$11,"Needs Attention","High Risk"))</f>
        <v>Needs Attention</v>
      </c>
    </row>
    <row r="758" customFormat="false" ht="15" hidden="false" customHeight="false" outlineLevel="0" collapsed="false">
      <c r="A758" s="8" t="s">
        <v>1657</v>
      </c>
      <c r="B758" s="8" t="s">
        <v>1658</v>
      </c>
      <c r="C758" s="8" t="s">
        <v>53</v>
      </c>
      <c r="D758" s="8" t="s">
        <v>326</v>
      </c>
      <c r="E758" s="8" t="s">
        <v>132</v>
      </c>
      <c r="F758" s="8" t="s">
        <v>166</v>
      </c>
      <c r="G758" s="8" t="s">
        <v>140</v>
      </c>
      <c r="H758" s="15" t="n">
        <v>1500</v>
      </c>
      <c r="I758" s="15" t="n">
        <v>1500</v>
      </c>
      <c r="J758" s="16" t="n">
        <v>0.706</v>
      </c>
      <c r="K758" s="8" t="n">
        <v>10</v>
      </c>
      <c r="L758" s="8" t="n">
        <v>7</v>
      </c>
      <c r="M758" s="8" t="n">
        <v>5</v>
      </c>
      <c r="N758" s="8" t="s">
        <v>120</v>
      </c>
      <c r="O758" s="15" t="n">
        <f aca="false">H758*12</f>
        <v>18000</v>
      </c>
      <c r="P758" s="8" t="n">
        <f aca="false">MIN(100,ROUND(100*J758/Assumptions!$B$8,0))</f>
        <v>78</v>
      </c>
      <c r="Q758" s="8" t="n">
        <f aca="false">IF(L758="",Assumptions!$B$9,L758*10)</f>
        <v>70</v>
      </c>
      <c r="R758" s="8" t="n">
        <f aca="false">IF(M758&lt;=1,Assumptions!$B$12,IF(M758&lt;=3,Assumptions!$B$13,IF(M758&lt;=6,Assumptions!$B$14,Assumptions!$B$15)))</f>
        <v>50</v>
      </c>
      <c r="S758" s="8" t="n">
        <f aca="false">IF(N758="Completed On Time",Assumptions!$B$16,IF(N758="Completed Late",Assumptions!$B$17,Assumptions!$B$18))</f>
        <v>100</v>
      </c>
      <c r="T758" s="8" t="n">
        <f aca="false">IF(I758=0,Assumptions!$B$20,IF(H758&gt;I758,Assumptions!$B$19,IF(H758=I758,Assumptions!$B$20,Assumptions!$B$21)))</f>
        <v>70</v>
      </c>
      <c r="U758" s="8" t="n">
        <f aca="false">ROUND(P758*Assumptions!$B$2+Q758*Assumptions!$B$3+R758*Assumptions!$B$4+S758*Assumptions!$B$5+T758*Assumptions!$B$6,0)</f>
        <v>73</v>
      </c>
      <c r="V758" s="8" t="str">
        <f aca="false">IF(U758&gt;=Assumptions!$B$10,"Healthy",IF(U758&gt;=Assumptions!$B$11,"Needs Attention","High Risk"))</f>
        <v>Needs Attention</v>
      </c>
    </row>
    <row r="759" customFormat="false" ht="15" hidden="false" customHeight="false" outlineLevel="0" collapsed="false">
      <c r="A759" s="8" t="s">
        <v>1659</v>
      </c>
      <c r="B759" s="8" t="s">
        <v>1660</v>
      </c>
      <c r="C759" s="8" t="s">
        <v>53</v>
      </c>
      <c r="D759" s="8" t="s">
        <v>326</v>
      </c>
      <c r="E759" s="8" t="s">
        <v>128</v>
      </c>
      <c r="F759" s="8" t="s">
        <v>190</v>
      </c>
      <c r="G759" s="8" t="s">
        <v>204</v>
      </c>
      <c r="H759" s="15" t="n">
        <v>1500</v>
      </c>
      <c r="I759" s="15" t="n">
        <v>1500</v>
      </c>
      <c r="J759" s="16" t="n">
        <v>0.85</v>
      </c>
      <c r="K759" s="8" t="n">
        <v>12</v>
      </c>
      <c r="L759" s="8" t="n">
        <v>9</v>
      </c>
      <c r="M759" s="8" t="n">
        <v>2</v>
      </c>
      <c r="N759" s="8" t="s">
        <v>120</v>
      </c>
      <c r="O759" s="15" t="n">
        <f aca="false">H759*12</f>
        <v>18000</v>
      </c>
      <c r="P759" s="8" t="n">
        <f aca="false">MIN(100,ROUND(100*J759/Assumptions!$B$8,0))</f>
        <v>94</v>
      </c>
      <c r="Q759" s="8" t="n">
        <f aca="false">IF(L759="",Assumptions!$B$9,L759*10)</f>
        <v>90</v>
      </c>
      <c r="R759" s="8" t="n">
        <f aca="false">IF(M759&lt;=1,Assumptions!$B$12,IF(M759&lt;=3,Assumptions!$B$13,IF(M759&lt;=6,Assumptions!$B$14,Assumptions!$B$15)))</f>
        <v>75</v>
      </c>
      <c r="S759" s="8" t="n">
        <f aca="false">IF(N759="Completed On Time",Assumptions!$B$16,IF(N759="Completed Late",Assumptions!$B$17,Assumptions!$B$18))</f>
        <v>100</v>
      </c>
      <c r="T759" s="8" t="n">
        <f aca="false">IF(I759=0,Assumptions!$B$20,IF(H759&gt;I759,Assumptions!$B$19,IF(H759=I759,Assumptions!$B$20,Assumptions!$B$21)))</f>
        <v>70</v>
      </c>
      <c r="U759" s="8" t="n">
        <f aca="false">ROUND(P759*Assumptions!$B$2+Q759*Assumptions!$B$3+R759*Assumptions!$B$4+S759*Assumptions!$B$5+T759*Assumptions!$B$6,0)</f>
        <v>86</v>
      </c>
      <c r="V759" s="8" t="str">
        <f aca="false">IF(U759&gt;=Assumptions!$B$10,"Healthy",IF(U759&gt;=Assumptions!$B$11,"Needs Attention","High Risk"))</f>
        <v>Healthy</v>
      </c>
    </row>
    <row r="760" customFormat="false" ht="15" hidden="false" customHeight="false" outlineLevel="0" collapsed="false">
      <c r="A760" s="8" t="s">
        <v>1661</v>
      </c>
      <c r="B760" s="8" t="s">
        <v>1662</v>
      </c>
      <c r="C760" s="8" t="s">
        <v>53</v>
      </c>
      <c r="D760" s="8" t="s">
        <v>326</v>
      </c>
      <c r="E760" s="8" t="s">
        <v>128</v>
      </c>
      <c r="F760" s="8" t="s">
        <v>143</v>
      </c>
      <c r="G760" s="8" t="s">
        <v>204</v>
      </c>
      <c r="H760" s="15" t="n">
        <v>1500</v>
      </c>
      <c r="I760" s="15" t="n">
        <v>1500</v>
      </c>
      <c r="J760" s="16" t="n">
        <v>0.794</v>
      </c>
      <c r="K760" s="8" t="n">
        <v>9.7</v>
      </c>
      <c r="L760" s="8" t="n">
        <v>8</v>
      </c>
      <c r="M760" s="8" t="n">
        <v>4</v>
      </c>
      <c r="N760" s="8" t="s">
        <v>120</v>
      </c>
      <c r="O760" s="15" t="n">
        <f aca="false">H760*12</f>
        <v>18000</v>
      </c>
      <c r="P760" s="8" t="n">
        <f aca="false">MIN(100,ROUND(100*J760/Assumptions!$B$8,0))</f>
        <v>88</v>
      </c>
      <c r="Q760" s="8" t="n">
        <f aca="false">IF(L760="",Assumptions!$B$9,L760*10)</f>
        <v>80</v>
      </c>
      <c r="R760" s="8" t="n">
        <f aca="false">IF(M760&lt;=1,Assumptions!$B$12,IF(M760&lt;=3,Assumptions!$B$13,IF(M760&lt;=6,Assumptions!$B$14,Assumptions!$B$15)))</f>
        <v>50</v>
      </c>
      <c r="S760" s="8" t="n">
        <f aca="false">IF(N760="Completed On Time",Assumptions!$B$16,IF(N760="Completed Late",Assumptions!$B$17,Assumptions!$B$18))</f>
        <v>100</v>
      </c>
      <c r="T760" s="8" t="n">
        <f aca="false">IF(I760=0,Assumptions!$B$20,IF(H760&gt;I760,Assumptions!$B$19,IF(H760=I760,Assumptions!$B$20,Assumptions!$B$21)))</f>
        <v>70</v>
      </c>
      <c r="U760" s="8" t="n">
        <f aca="false">ROUND(P760*Assumptions!$B$2+Q760*Assumptions!$B$3+R760*Assumptions!$B$4+S760*Assumptions!$B$5+T760*Assumptions!$B$6,0)</f>
        <v>78</v>
      </c>
      <c r="V760" s="8" t="str">
        <f aca="false">IF(U760&gt;=Assumptions!$B$10,"Healthy",IF(U760&gt;=Assumptions!$B$11,"Needs Attention","High Risk"))</f>
        <v>Needs Attention</v>
      </c>
    </row>
    <row r="761" customFormat="false" ht="15" hidden="false" customHeight="false" outlineLevel="0" collapsed="false">
      <c r="A761" s="8" t="s">
        <v>1663</v>
      </c>
      <c r="B761" s="8" t="s">
        <v>1664</v>
      </c>
      <c r="C761" s="8" t="s">
        <v>53</v>
      </c>
      <c r="D761" s="8" t="s">
        <v>326</v>
      </c>
      <c r="E761" s="8" t="s">
        <v>132</v>
      </c>
      <c r="F761" s="8" t="s">
        <v>190</v>
      </c>
      <c r="G761" s="8" t="s">
        <v>159</v>
      </c>
      <c r="H761" s="15" t="n">
        <v>1500</v>
      </c>
      <c r="I761" s="15" t="n">
        <v>1500</v>
      </c>
      <c r="J761" s="16" t="n">
        <v>0.828</v>
      </c>
      <c r="K761" s="8" t="n">
        <v>9.7</v>
      </c>
      <c r="L761" s="8" t="n">
        <v>7</v>
      </c>
      <c r="M761" s="8" t="n">
        <v>6</v>
      </c>
      <c r="N761" s="8" t="s">
        <v>120</v>
      </c>
      <c r="O761" s="15" t="n">
        <f aca="false">H761*12</f>
        <v>18000</v>
      </c>
      <c r="P761" s="8" t="n">
        <f aca="false">MIN(100,ROUND(100*J761/Assumptions!$B$8,0))</f>
        <v>92</v>
      </c>
      <c r="Q761" s="8" t="n">
        <f aca="false">IF(L761="",Assumptions!$B$9,L761*10)</f>
        <v>70</v>
      </c>
      <c r="R761" s="8" t="n">
        <f aca="false">IF(M761&lt;=1,Assumptions!$B$12,IF(M761&lt;=3,Assumptions!$B$13,IF(M761&lt;=6,Assumptions!$B$14,Assumptions!$B$15)))</f>
        <v>50</v>
      </c>
      <c r="S761" s="8" t="n">
        <f aca="false">IF(N761="Completed On Time",Assumptions!$B$16,IF(N761="Completed Late",Assumptions!$B$17,Assumptions!$B$18))</f>
        <v>100</v>
      </c>
      <c r="T761" s="8" t="n">
        <f aca="false">IF(I761=0,Assumptions!$B$20,IF(H761&gt;I761,Assumptions!$B$19,IF(H761=I761,Assumptions!$B$20,Assumptions!$B$21)))</f>
        <v>70</v>
      </c>
      <c r="U761" s="8" t="n">
        <f aca="false">ROUND(P761*Assumptions!$B$2+Q761*Assumptions!$B$3+R761*Assumptions!$B$4+S761*Assumptions!$B$5+T761*Assumptions!$B$6,0)</f>
        <v>78</v>
      </c>
      <c r="V761" s="8" t="str">
        <f aca="false">IF(U761&gt;=Assumptions!$B$10,"Healthy",IF(U761&gt;=Assumptions!$B$11,"Needs Attention","High Risk"))</f>
        <v>Needs Attention</v>
      </c>
    </row>
    <row r="762" customFormat="false" ht="15" hidden="false" customHeight="false" outlineLevel="0" collapsed="false">
      <c r="A762" s="8" t="s">
        <v>1665</v>
      </c>
      <c r="B762" s="8" t="s">
        <v>1666</v>
      </c>
      <c r="C762" s="8" t="s">
        <v>53</v>
      </c>
      <c r="D762" s="8" t="s">
        <v>326</v>
      </c>
      <c r="E762" s="8" t="s">
        <v>132</v>
      </c>
      <c r="F762" s="8" t="s">
        <v>223</v>
      </c>
      <c r="G762" s="8" t="s">
        <v>129</v>
      </c>
      <c r="H762" s="15" t="n">
        <v>1450</v>
      </c>
      <c r="I762" s="15" t="n">
        <v>1450</v>
      </c>
      <c r="J762" s="16" t="n">
        <v>0.575</v>
      </c>
      <c r="K762" s="8" t="n">
        <v>6</v>
      </c>
      <c r="L762" s="8" t="n">
        <v>8</v>
      </c>
      <c r="M762" s="8" t="n">
        <v>4</v>
      </c>
      <c r="N762" s="8" t="s">
        <v>120</v>
      </c>
      <c r="O762" s="15" t="n">
        <f aca="false">H762*12</f>
        <v>17400</v>
      </c>
      <c r="P762" s="8" t="n">
        <f aca="false">MIN(100,ROUND(100*J762/Assumptions!$B$8,0))</f>
        <v>64</v>
      </c>
      <c r="Q762" s="8" t="n">
        <f aca="false">IF(L762="",Assumptions!$B$9,L762*10)</f>
        <v>80</v>
      </c>
      <c r="R762" s="8" t="n">
        <f aca="false">IF(M762&lt;=1,Assumptions!$B$12,IF(M762&lt;=3,Assumptions!$B$13,IF(M762&lt;=6,Assumptions!$B$14,Assumptions!$B$15)))</f>
        <v>50</v>
      </c>
      <c r="S762" s="8" t="n">
        <f aca="false">IF(N762="Completed On Time",Assumptions!$B$16,IF(N762="Completed Late",Assumptions!$B$17,Assumptions!$B$18))</f>
        <v>100</v>
      </c>
      <c r="T762" s="8" t="n">
        <f aca="false">IF(I762=0,Assumptions!$B$20,IF(H762&gt;I762,Assumptions!$B$19,IF(H762=I762,Assumptions!$B$20,Assumptions!$B$21)))</f>
        <v>70</v>
      </c>
      <c r="U762" s="8" t="n">
        <f aca="false">ROUND(P762*Assumptions!$B$2+Q762*Assumptions!$B$3+R762*Assumptions!$B$4+S762*Assumptions!$B$5+T762*Assumptions!$B$6,0)</f>
        <v>70</v>
      </c>
      <c r="V762" s="8" t="str">
        <f aca="false">IF(U762&gt;=Assumptions!$B$10,"Healthy",IF(U762&gt;=Assumptions!$B$11,"Needs Attention","High Risk"))</f>
        <v>Needs Attention</v>
      </c>
    </row>
    <row r="763" customFormat="false" ht="15" hidden="false" customHeight="false" outlineLevel="0" collapsed="false">
      <c r="A763" s="8" t="s">
        <v>1667</v>
      </c>
      <c r="B763" s="8" t="s">
        <v>1668</v>
      </c>
      <c r="C763" s="8" t="s">
        <v>53</v>
      </c>
      <c r="D763" s="8" t="s">
        <v>326</v>
      </c>
      <c r="E763" s="8" t="s">
        <v>117</v>
      </c>
      <c r="F763" s="8" t="s">
        <v>154</v>
      </c>
      <c r="G763" s="8" t="s">
        <v>125</v>
      </c>
      <c r="H763" s="15" t="n">
        <v>1450</v>
      </c>
      <c r="I763" s="15" t="n">
        <v>1450</v>
      </c>
      <c r="J763" s="16" t="n">
        <v>0.655</v>
      </c>
      <c r="K763" s="8" t="n">
        <v>7.3</v>
      </c>
      <c r="L763" s="8" t="n">
        <v>8</v>
      </c>
      <c r="M763" s="8" t="n">
        <v>4</v>
      </c>
      <c r="N763" s="8" t="s">
        <v>148</v>
      </c>
      <c r="O763" s="15" t="n">
        <f aca="false">H763*12</f>
        <v>17400</v>
      </c>
      <c r="P763" s="8" t="n">
        <f aca="false">MIN(100,ROUND(100*J763/Assumptions!$B$8,0))</f>
        <v>73</v>
      </c>
      <c r="Q763" s="8" t="n">
        <f aca="false">IF(L763="",Assumptions!$B$9,L763*10)</f>
        <v>80</v>
      </c>
      <c r="R763" s="8" t="n">
        <f aca="false">IF(M763&lt;=1,Assumptions!$B$12,IF(M763&lt;=3,Assumptions!$B$13,IF(M763&lt;=6,Assumptions!$B$14,Assumptions!$B$15)))</f>
        <v>50</v>
      </c>
      <c r="S763" s="8" t="n">
        <f aca="false">IF(N763="Completed On Time",Assumptions!$B$16,IF(N763="Completed Late",Assumptions!$B$17,Assumptions!$B$18))</f>
        <v>60</v>
      </c>
      <c r="T763" s="8" t="n">
        <f aca="false">IF(I763=0,Assumptions!$B$20,IF(H763&gt;I763,Assumptions!$B$19,IF(H763=I763,Assumptions!$B$20,Assumptions!$B$21)))</f>
        <v>70</v>
      </c>
      <c r="U763" s="8" t="n">
        <f aca="false">ROUND(P763*Assumptions!$B$2+Q763*Assumptions!$B$3+R763*Assumptions!$B$4+S763*Assumptions!$B$5+T763*Assumptions!$B$6,0)</f>
        <v>69</v>
      </c>
      <c r="V763" s="8" t="str">
        <f aca="false">IF(U763&gt;=Assumptions!$B$10,"Healthy",IF(U763&gt;=Assumptions!$B$11,"Needs Attention","High Risk"))</f>
        <v>Needs Attention</v>
      </c>
    </row>
    <row r="764" customFormat="false" ht="15" hidden="false" customHeight="false" outlineLevel="0" collapsed="false">
      <c r="A764" s="8" t="s">
        <v>1669</v>
      </c>
      <c r="B764" s="8" t="s">
        <v>1670</v>
      </c>
      <c r="C764" s="8" t="s">
        <v>53</v>
      </c>
      <c r="D764" s="8" t="s">
        <v>326</v>
      </c>
      <c r="E764" s="8" t="s">
        <v>117</v>
      </c>
      <c r="F764" s="8" t="s">
        <v>136</v>
      </c>
      <c r="G764" s="8" t="s">
        <v>137</v>
      </c>
      <c r="H764" s="15" t="n">
        <v>1450</v>
      </c>
      <c r="I764" s="15" t="n">
        <v>1450</v>
      </c>
      <c r="J764" s="16" t="n">
        <v>0.695</v>
      </c>
      <c r="K764" s="8" t="n">
        <v>8.3</v>
      </c>
      <c r="L764" s="8" t="n">
        <v>6</v>
      </c>
      <c r="M764" s="8" t="n">
        <v>2</v>
      </c>
      <c r="N764" s="8" t="s">
        <v>120</v>
      </c>
      <c r="O764" s="15" t="n">
        <f aca="false">H764*12</f>
        <v>17400</v>
      </c>
      <c r="P764" s="8" t="n">
        <f aca="false">MIN(100,ROUND(100*J764/Assumptions!$B$8,0))</f>
        <v>77</v>
      </c>
      <c r="Q764" s="8" t="n">
        <f aca="false">IF(L764="",Assumptions!$B$9,L764*10)</f>
        <v>60</v>
      </c>
      <c r="R764" s="8" t="n">
        <f aca="false">IF(M764&lt;=1,Assumptions!$B$12,IF(M764&lt;=3,Assumptions!$B$13,IF(M764&lt;=6,Assumptions!$B$14,Assumptions!$B$15)))</f>
        <v>75</v>
      </c>
      <c r="S764" s="8" t="n">
        <f aca="false">IF(N764="Completed On Time",Assumptions!$B$16,IF(N764="Completed Late",Assumptions!$B$17,Assumptions!$B$18))</f>
        <v>100</v>
      </c>
      <c r="T764" s="8" t="n">
        <f aca="false">IF(I764=0,Assumptions!$B$20,IF(H764&gt;I764,Assumptions!$B$19,IF(H764=I764,Assumptions!$B$20,Assumptions!$B$21)))</f>
        <v>70</v>
      </c>
      <c r="U764" s="8" t="n">
        <f aca="false">ROUND(P764*Assumptions!$B$2+Q764*Assumptions!$B$3+R764*Assumptions!$B$4+S764*Assumptions!$B$5+T764*Assumptions!$B$6,0)</f>
        <v>74</v>
      </c>
      <c r="V764" s="8" t="str">
        <f aca="false">IF(U764&gt;=Assumptions!$B$10,"Healthy",IF(U764&gt;=Assumptions!$B$11,"Needs Attention","High Risk"))</f>
        <v>Needs Attention</v>
      </c>
    </row>
    <row r="765" customFormat="false" ht="15" hidden="false" customHeight="false" outlineLevel="0" collapsed="false">
      <c r="A765" s="8" t="s">
        <v>1671</v>
      </c>
      <c r="B765" s="8" t="s">
        <v>1672</v>
      </c>
      <c r="C765" s="8" t="s">
        <v>53</v>
      </c>
      <c r="D765" s="8" t="s">
        <v>326</v>
      </c>
      <c r="E765" s="8" t="s">
        <v>132</v>
      </c>
      <c r="F765" s="8" t="s">
        <v>118</v>
      </c>
      <c r="G765" s="8" t="s">
        <v>204</v>
      </c>
      <c r="H765" s="15" t="n">
        <v>1425</v>
      </c>
      <c r="I765" s="15" t="n">
        <v>1425</v>
      </c>
      <c r="J765" s="16" t="n">
        <v>0.836</v>
      </c>
      <c r="K765" s="8" t="n">
        <v>9.3</v>
      </c>
      <c r="L765" s="8" t="n">
        <v>8</v>
      </c>
      <c r="M765" s="8" t="n">
        <v>5</v>
      </c>
      <c r="N765" s="8" t="s">
        <v>120</v>
      </c>
      <c r="O765" s="15" t="n">
        <f aca="false">H765*12</f>
        <v>17100</v>
      </c>
      <c r="P765" s="8" t="n">
        <f aca="false">MIN(100,ROUND(100*J765/Assumptions!$B$8,0))</f>
        <v>93</v>
      </c>
      <c r="Q765" s="8" t="n">
        <f aca="false">IF(L765="",Assumptions!$B$9,L765*10)</f>
        <v>80</v>
      </c>
      <c r="R765" s="8" t="n">
        <f aca="false">IF(M765&lt;=1,Assumptions!$B$12,IF(M765&lt;=3,Assumptions!$B$13,IF(M765&lt;=6,Assumptions!$B$14,Assumptions!$B$15)))</f>
        <v>50</v>
      </c>
      <c r="S765" s="8" t="n">
        <f aca="false">IF(N765="Completed On Time",Assumptions!$B$16,IF(N765="Completed Late",Assumptions!$B$17,Assumptions!$B$18))</f>
        <v>100</v>
      </c>
      <c r="T765" s="8" t="n">
        <f aca="false">IF(I765=0,Assumptions!$B$20,IF(H765&gt;I765,Assumptions!$B$19,IF(H765=I765,Assumptions!$B$20,Assumptions!$B$21)))</f>
        <v>70</v>
      </c>
      <c r="U765" s="8" t="n">
        <f aca="false">ROUND(P765*Assumptions!$B$2+Q765*Assumptions!$B$3+R765*Assumptions!$B$4+S765*Assumptions!$B$5+T765*Assumptions!$B$6,0)</f>
        <v>80</v>
      </c>
      <c r="V765" s="8" t="str">
        <f aca="false">IF(U765&gt;=Assumptions!$B$10,"Healthy",IF(U765&gt;=Assumptions!$B$11,"Needs Attention","High Risk"))</f>
        <v>Healthy</v>
      </c>
    </row>
    <row r="766" customFormat="false" ht="15" hidden="false" customHeight="false" outlineLevel="0" collapsed="false">
      <c r="A766" s="8" t="s">
        <v>1673</v>
      </c>
      <c r="B766" s="8" t="s">
        <v>1674</v>
      </c>
      <c r="C766" s="8" t="s">
        <v>53</v>
      </c>
      <c r="D766" s="8" t="s">
        <v>326</v>
      </c>
      <c r="E766" s="8" t="s">
        <v>132</v>
      </c>
      <c r="F766" s="8" t="s">
        <v>166</v>
      </c>
      <c r="G766" s="8" t="s">
        <v>137</v>
      </c>
      <c r="H766" s="15" t="n">
        <v>1425</v>
      </c>
      <c r="I766" s="15" t="n">
        <v>1425</v>
      </c>
      <c r="J766" s="16" t="n">
        <v>0.825</v>
      </c>
      <c r="K766" s="8" t="n">
        <v>10</v>
      </c>
      <c r="L766" s="8" t="n">
        <v>10</v>
      </c>
      <c r="M766" s="8" t="n">
        <v>3</v>
      </c>
      <c r="N766" s="8" t="s">
        <v>120</v>
      </c>
      <c r="O766" s="15" t="n">
        <f aca="false">H766*12</f>
        <v>17100</v>
      </c>
      <c r="P766" s="8" t="n">
        <f aca="false">MIN(100,ROUND(100*J766/Assumptions!$B$8,0))</f>
        <v>92</v>
      </c>
      <c r="Q766" s="8" t="n">
        <f aca="false">IF(L766="",Assumptions!$B$9,L766*10)</f>
        <v>100</v>
      </c>
      <c r="R766" s="8" t="n">
        <f aca="false">IF(M766&lt;=1,Assumptions!$B$12,IF(M766&lt;=3,Assumptions!$B$13,IF(M766&lt;=6,Assumptions!$B$14,Assumptions!$B$15)))</f>
        <v>75</v>
      </c>
      <c r="S766" s="8" t="n">
        <f aca="false">IF(N766="Completed On Time",Assumptions!$B$16,IF(N766="Completed Late",Assumptions!$B$17,Assumptions!$B$18))</f>
        <v>100</v>
      </c>
      <c r="T766" s="8" t="n">
        <f aca="false">IF(I766=0,Assumptions!$B$20,IF(H766&gt;I766,Assumptions!$B$19,IF(H766=I766,Assumptions!$B$20,Assumptions!$B$21)))</f>
        <v>70</v>
      </c>
      <c r="U766" s="8" t="n">
        <f aca="false">ROUND(P766*Assumptions!$B$2+Q766*Assumptions!$B$3+R766*Assumptions!$B$4+S766*Assumptions!$B$5+T766*Assumptions!$B$6,0)</f>
        <v>87</v>
      </c>
      <c r="V766" s="8" t="str">
        <f aca="false">IF(U766&gt;=Assumptions!$B$10,"Healthy",IF(U766&gt;=Assumptions!$B$11,"Needs Attention","High Risk"))</f>
        <v>Healthy</v>
      </c>
    </row>
    <row r="767" customFormat="false" ht="15" hidden="false" customHeight="false" outlineLevel="0" collapsed="false">
      <c r="A767" s="8" t="s">
        <v>1675</v>
      </c>
      <c r="B767" s="8" t="s">
        <v>1676</v>
      </c>
      <c r="C767" s="8" t="s">
        <v>53</v>
      </c>
      <c r="D767" s="8" t="s">
        <v>326</v>
      </c>
      <c r="E767" s="8" t="s">
        <v>117</v>
      </c>
      <c r="F767" s="8" t="s">
        <v>154</v>
      </c>
      <c r="G767" s="8" t="s">
        <v>140</v>
      </c>
      <c r="H767" s="15" t="n">
        <v>1400</v>
      </c>
      <c r="I767" s="15" t="n">
        <v>1400</v>
      </c>
      <c r="J767" s="16" t="n">
        <v>0.601</v>
      </c>
      <c r="K767" s="8" t="n">
        <v>7</v>
      </c>
      <c r="L767" s="8" t="n">
        <v>8</v>
      </c>
      <c r="M767" s="8" t="n">
        <v>6</v>
      </c>
      <c r="N767" s="8" t="s">
        <v>148</v>
      </c>
      <c r="O767" s="15" t="n">
        <f aca="false">H767*12</f>
        <v>16800</v>
      </c>
      <c r="P767" s="8" t="n">
        <f aca="false">MIN(100,ROUND(100*J767/Assumptions!$B$8,0))</f>
        <v>67</v>
      </c>
      <c r="Q767" s="8" t="n">
        <f aca="false">IF(L767="",Assumptions!$B$9,L767*10)</f>
        <v>80</v>
      </c>
      <c r="R767" s="8" t="n">
        <f aca="false">IF(M767&lt;=1,Assumptions!$B$12,IF(M767&lt;=3,Assumptions!$B$13,IF(M767&lt;=6,Assumptions!$B$14,Assumptions!$B$15)))</f>
        <v>50</v>
      </c>
      <c r="S767" s="8" t="n">
        <f aca="false">IF(N767="Completed On Time",Assumptions!$B$16,IF(N767="Completed Late",Assumptions!$B$17,Assumptions!$B$18))</f>
        <v>60</v>
      </c>
      <c r="T767" s="8" t="n">
        <f aca="false">IF(I767=0,Assumptions!$B$20,IF(H767&gt;I767,Assumptions!$B$19,IF(H767=I767,Assumptions!$B$20,Assumptions!$B$21)))</f>
        <v>70</v>
      </c>
      <c r="U767" s="8" t="n">
        <f aca="false">ROUND(P767*Assumptions!$B$2+Q767*Assumptions!$B$3+R767*Assumptions!$B$4+S767*Assumptions!$B$5+T767*Assumptions!$B$6,0)</f>
        <v>67</v>
      </c>
      <c r="V767" s="8" t="str">
        <f aca="false">IF(U767&gt;=Assumptions!$B$10,"Healthy",IF(U767&gt;=Assumptions!$B$11,"Needs Attention","High Risk"))</f>
        <v>Needs Attention</v>
      </c>
    </row>
    <row r="768" customFormat="false" ht="15" hidden="false" customHeight="false" outlineLevel="0" collapsed="false">
      <c r="A768" s="8" t="s">
        <v>1677</v>
      </c>
      <c r="B768" s="8" t="s">
        <v>1678</v>
      </c>
      <c r="C768" s="8" t="s">
        <v>53</v>
      </c>
      <c r="D768" s="8" t="s">
        <v>326</v>
      </c>
      <c r="E768" s="8" t="s">
        <v>132</v>
      </c>
      <c r="F768" s="8" t="s">
        <v>133</v>
      </c>
      <c r="G768" s="8" t="s">
        <v>140</v>
      </c>
      <c r="H768" s="15" t="n">
        <v>1400</v>
      </c>
      <c r="I768" s="15" t="n">
        <v>1400</v>
      </c>
      <c r="J768" s="16" t="n">
        <v>0.827</v>
      </c>
      <c r="K768" s="8" t="n">
        <v>9.7</v>
      </c>
      <c r="L768" s="8" t="n">
        <v>9</v>
      </c>
      <c r="M768" s="8" t="n">
        <v>0</v>
      </c>
      <c r="N768" s="8" t="s">
        <v>120</v>
      </c>
      <c r="O768" s="15" t="n">
        <f aca="false">H768*12</f>
        <v>16800</v>
      </c>
      <c r="P768" s="8" t="n">
        <f aca="false">MIN(100,ROUND(100*J768/Assumptions!$B$8,0))</f>
        <v>92</v>
      </c>
      <c r="Q768" s="8" t="n">
        <f aca="false">IF(L768="",Assumptions!$B$9,L768*10)</f>
        <v>90</v>
      </c>
      <c r="R768" s="8" t="n">
        <f aca="false">IF(M768&lt;=1,Assumptions!$B$12,IF(M768&lt;=3,Assumptions!$B$13,IF(M768&lt;=6,Assumptions!$B$14,Assumptions!$B$15)))</f>
        <v>100</v>
      </c>
      <c r="S768" s="8" t="n">
        <f aca="false">IF(N768="Completed On Time",Assumptions!$B$16,IF(N768="Completed Late",Assumptions!$B$17,Assumptions!$B$18))</f>
        <v>100</v>
      </c>
      <c r="T768" s="8" t="n">
        <f aca="false">IF(I768=0,Assumptions!$B$20,IF(H768&gt;I768,Assumptions!$B$19,IF(H768=I768,Assumptions!$B$20,Assumptions!$B$21)))</f>
        <v>70</v>
      </c>
      <c r="U768" s="8" t="n">
        <f aca="false">ROUND(P768*Assumptions!$B$2+Q768*Assumptions!$B$3+R768*Assumptions!$B$4+S768*Assumptions!$B$5+T768*Assumptions!$B$6,0)</f>
        <v>89</v>
      </c>
      <c r="V768" s="8" t="str">
        <f aca="false">IF(U768&gt;=Assumptions!$B$10,"Healthy",IF(U768&gt;=Assumptions!$B$11,"Needs Attention","High Risk"))</f>
        <v>Healthy</v>
      </c>
    </row>
    <row r="769" customFormat="false" ht="15" hidden="false" customHeight="false" outlineLevel="0" collapsed="false">
      <c r="A769" s="8" t="s">
        <v>1679</v>
      </c>
      <c r="B769" s="8" t="s">
        <v>1680</v>
      </c>
      <c r="C769" s="8" t="s">
        <v>53</v>
      </c>
      <c r="D769" s="8" t="s">
        <v>326</v>
      </c>
      <c r="E769" s="8" t="s">
        <v>128</v>
      </c>
      <c r="F769" s="8" t="s">
        <v>118</v>
      </c>
      <c r="G769" s="8" t="s">
        <v>119</v>
      </c>
      <c r="H769" s="15" t="n">
        <v>1400</v>
      </c>
      <c r="I769" s="15" t="n">
        <v>1400</v>
      </c>
      <c r="J769" s="16" t="n">
        <v>0.494</v>
      </c>
      <c r="K769" s="8" t="n">
        <v>5.3</v>
      </c>
      <c r="L769" s="8" t="n">
        <v>4</v>
      </c>
      <c r="M769" s="8" t="n">
        <v>4</v>
      </c>
      <c r="N769" s="8" t="s">
        <v>148</v>
      </c>
      <c r="O769" s="15" t="n">
        <f aca="false">H769*12</f>
        <v>16800</v>
      </c>
      <c r="P769" s="8" t="n">
        <f aca="false">MIN(100,ROUND(100*J769/Assumptions!$B$8,0))</f>
        <v>55</v>
      </c>
      <c r="Q769" s="8" t="n">
        <f aca="false">IF(L769="",Assumptions!$B$9,L769*10)</f>
        <v>40</v>
      </c>
      <c r="R769" s="8" t="n">
        <f aca="false">IF(M769&lt;=1,Assumptions!$B$12,IF(M769&lt;=3,Assumptions!$B$13,IF(M769&lt;=6,Assumptions!$B$14,Assumptions!$B$15)))</f>
        <v>50</v>
      </c>
      <c r="S769" s="8" t="n">
        <f aca="false">IF(N769="Completed On Time",Assumptions!$B$16,IF(N769="Completed Late",Assumptions!$B$17,Assumptions!$B$18))</f>
        <v>60</v>
      </c>
      <c r="T769" s="8" t="n">
        <f aca="false">IF(I769=0,Assumptions!$B$20,IF(H769&gt;I769,Assumptions!$B$19,IF(H769=I769,Assumptions!$B$20,Assumptions!$B$21)))</f>
        <v>70</v>
      </c>
      <c r="U769" s="8" t="n">
        <f aca="false">ROUND(P769*Assumptions!$B$2+Q769*Assumptions!$B$3+R769*Assumptions!$B$4+S769*Assumptions!$B$5+T769*Assumptions!$B$6,0)</f>
        <v>55</v>
      </c>
      <c r="V769" s="8" t="str">
        <f aca="false">IF(U769&gt;=Assumptions!$B$10,"Healthy",IF(U769&gt;=Assumptions!$B$11,"Needs Attention","High Risk"))</f>
        <v>High Risk</v>
      </c>
    </row>
    <row r="770" customFormat="false" ht="15" hidden="false" customHeight="false" outlineLevel="0" collapsed="false">
      <c r="A770" s="8" t="s">
        <v>1681</v>
      </c>
      <c r="B770" s="8" t="s">
        <v>1682</v>
      </c>
      <c r="C770" s="8" t="s">
        <v>53</v>
      </c>
      <c r="D770" s="8" t="s">
        <v>326</v>
      </c>
      <c r="E770" s="8" t="s">
        <v>123</v>
      </c>
      <c r="F770" s="8" t="s">
        <v>223</v>
      </c>
      <c r="G770" s="8" t="s">
        <v>147</v>
      </c>
      <c r="H770" s="15" t="n">
        <v>1400</v>
      </c>
      <c r="I770" s="15" t="n">
        <v>1400</v>
      </c>
      <c r="J770" s="16" t="n">
        <v>0.679</v>
      </c>
      <c r="K770" s="8" t="n">
        <v>9.7</v>
      </c>
      <c r="L770" s="8" t="n">
        <v>7</v>
      </c>
      <c r="M770" s="8" t="n">
        <v>6</v>
      </c>
      <c r="N770" s="8" t="s">
        <v>120</v>
      </c>
      <c r="O770" s="15" t="n">
        <f aca="false">H770*12</f>
        <v>16800</v>
      </c>
      <c r="P770" s="8" t="n">
        <f aca="false">MIN(100,ROUND(100*J770/Assumptions!$B$8,0))</f>
        <v>75</v>
      </c>
      <c r="Q770" s="8" t="n">
        <f aca="false">IF(L770="",Assumptions!$B$9,L770*10)</f>
        <v>70</v>
      </c>
      <c r="R770" s="8" t="n">
        <f aca="false">IF(M770&lt;=1,Assumptions!$B$12,IF(M770&lt;=3,Assumptions!$B$13,IF(M770&lt;=6,Assumptions!$B$14,Assumptions!$B$15)))</f>
        <v>50</v>
      </c>
      <c r="S770" s="8" t="n">
        <f aca="false">IF(N770="Completed On Time",Assumptions!$B$16,IF(N770="Completed Late",Assumptions!$B$17,Assumptions!$B$18))</f>
        <v>100</v>
      </c>
      <c r="T770" s="8" t="n">
        <f aca="false">IF(I770=0,Assumptions!$B$20,IF(H770&gt;I770,Assumptions!$B$19,IF(H770=I770,Assumptions!$B$20,Assumptions!$B$21)))</f>
        <v>70</v>
      </c>
      <c r="U770" s="8" t="n">
        <f aca="false">ROUND(P770*Assumptions!$B$2+Q770*Assumptions!$B$3+R770*Assumptions!$B$4+S770*Assumptions!$B$5+T770*Assumptions!$B$6,0)</f>
        <v>72</v>
      </c>
      <c r="V770" s="8" t="str">
        <f aca="false">IF(U770&gt;=Assumptions!$B$10,"Healthy",IF(U770&gt;=Assumptions!$B$11,"Needs Attention","High Risk"))</f>
        <v>Needs Attention</v>
      </c>
    </row>
    <row r="771" customFormat="false" ht="15" hidden="false" customHeight="false" outlineLevel="0" collapsed="false">
      <c r="A771" s="8" t="s">
        <v>1683</v>
      </c>
      <c r="B771" s="8" t="s">
        <v>1684</v>
      </c>
      <c r="C771" s="8" t="s">
        <v>53</v>
      </c>
      <c r="D771" s="8" t="s">
        <v>326</v>
      </c>
      <c r="E771" s="8" t="s">
        <v>132</v>
      </c>
      <c r="F771" s="8" t="s">
        <v>223</v>
      </c>
      <c r="G771" s="8" t="s">
        <v>140</v>
      </c>
      <c r="H771" s="15" t="n">
        <v>1375</v>
      </c>
      <c r="I771" s="15" t="n">
        <v>1375</v>
      </c>
      <c r="J771" s="16" t="n">
        <v>0.655</v>
      </c>
      <c r="K771" s="8" t="n">
        <v>7.7</v>
      </c>
      <c r="L771" s="8" t="n">
        <v>8</v>
      </c>
      <c r="M771" s="8" t="n">
        <v>4</v>
      </c>
      <c r="N771" s="8" t="s">
        <v>148</v>
      </c>
      <c r="O771" s="15" t="n">
        <f aca="false">H771*12</f>
        <v>16500</v>
      </c>
      <c r="P771" s="8" t="n">
        <f aca="false">MIN(100,ROUND(100*J771/Assumptions!$B$8,0))</f>
        <v>73</v>
      </c>
      <c r="Q771" s="8" t="n">
        <f aca="false">IF(L771="",Assumptions!$B$9,L771*10)</f>
        <v>80</v>
      </c>
      <c r="R771" s="8" t="n">
        <f aca="false">IF(M771&lt;=1,Assumptions!$B$12,IF(M771&lt;=3,Assumptions!$B$13,IF(M771&lt;=6,Assumptions!$B$14,Assumptions!$B$15)))</f>
        <v>50</v>
      </c>
      <c r="S771" s="8" t="n">
        <f aca="false">IF(N771="Completed On Time",Assumptions!$B$16,IF(N771="Completed Late",Assumptions!$B$17,Assumptions!$B$18))</f>
        <v>60</v>
      </c>
      <c r="T771" s="8" t="n">
        <f aca="false">IF(I771=0,Assumptions!$B$20,IF(H771&gt;I771,Assumptions!$B$19,IF(H771=I771,Assumptions!$B$20,Assumptions!$B$21)))</f>
        <v>70</v>
      </c>
      <c r="U771" s="8" t="n">
        <f aca="false">ROUND(P771*Assumptions!$B$2+Q771*Assumptions!$B$3+R771*Assumptions!$B$4+S771*Assumptions!$B$5+T771*Assumptions!$B$6,0)</f>
        <v>69</v>
      </c>
      <c r="V771" s="8" t="str">
        <f aca="false">IF(U771&gt;=Assumptions!$B$10,"Healthy",IF(U771&gt;=Assumptions!$B$11,"Needs Attention","High Risk"))</f>
        <v>Needs Attention</v>
      </c>
    </row>
    <row r="772" customFormat="false" ht="15" hidden="false" customHeight="false" outlineLevel="0" collapsed="false">
      <c r="A772" s="8" t="s">
        <v>1685</v>
      </c>
      <c r="B772" s="8" t="s">
        <v>1686</v>
      </c>
      <c r="C772" s="8" t="s">
        <v>53</v>
      </c>
      <c r="D772" s="8" t="s">
        <v>326</v>
      </c>
      <c r="E772" s="8" t="s">
        <v>123</v>
      </c>
      <c r="F772" s="8" t="s">
        <v>133</v>
      </c>
      <c r="G772" s="8" t="s">
        <v>129</v>
      </c>
      <c r="H772" s="15" t="n">
        <v>1375</v>
      </c>
      <c r="I772" s="15" t="n">
        <v>1375</v>
      </c>
      <c r="J772" s="16" t="n">
        <v>0.752</v>
      </c>
      <c r="K772" s="8" t="n">
        <v>7.7</v>
      </c>
      <c r="L772" s="8" t="n">
        <v>8</v>
      </c>
      <c r="M772" s="8" t="n">
        <v>6</v>
      </c>
      <c r="N772" s="8" t="s">
        <v>120</v>
      </c>
      <c r="O772" s="15" t="n">
        <f aca="false">H772*12</f>
        <v>16500</v>
      </c>
      <c r="P772" s="8" t="n">
        <f aca="false">MIN(100,ROUND(100*J772/Assumptions!$B$8,0))</f>
        <v>84</v>
      </c>
      <c r="Q772" s="8" t="n">
        <f aca="false">IF(L772="",Assumptions!$B$9,L772*10)</f>
        <v>80</v>
      </c>
      <c r="R772" s="8" t="n">
        <f aca="false">IF(M772&lt;=1,Assumptions!$B$12,IF(M772&lt;=3,Assumptions!$B$13,IF(M772&lt;=6,Assumptions!$B$14,Assumptions!$B$15)))</f>
        <v>50</v>
      </c>
      <c r="S772" s="8" t="n">
        <f aca="false">IF(N772="Completed On Time",Assumptions!$B$16,IF(N772="Completed Late",Assumptions!$B$17,Assumptions!$B$18))</f>
        <v>100</v>
      </c>
      <c r="T772" s="8" t="n">
        <f aca="false">IF(I772=0,Assumptions!$B$20,IF(H772&gt;I772,Assumptions!$B$19,IF(H772=I772,Assumptions!$B$20,Assumptions!$B$21)))</f>
        <v>70</v>
      </c>
      <c r="U772" s="8" t="n">
        <f aca="false">ROUND(P772*Assumptions!$B$2+Q772*Assumptions!$B$3+R772*Assumptions!$B$4+S772*Assumptions!$B$5+T772*Assumptions!$B$6,0)</f>
        <v>77</v>
      </c>
      <c r="V772" s="8" t="str">
        <f aca="false">IF(U772&gt;=Assumptions!$B$10,"Healthy",IF(U772&gt;=Assumptions!$B$11,"Needs Attention","High Risk"))</f>
        <v>Needs Attention</v>
      </c>
    </row>
    <row r="773" customFormat="false" ht="15" hidden="false" customHeight="false" outlineLevel="0" collapsed="false">
      <c r="A773" s="8" t="s">
        <v>1687</v>
      </c>
      <c r="B773" s="8" t="s">
        <v>1688</v>
      </c>
      <c r="C773" s="8" t="s">
        <v>51</v>
      </c>
      <c r="D773" s="8" t="s">
        <v>326</v>
      </c>
      <c r="E773" s="8" t="s">
        <v>117</v>
      </c>
      <c r="F773" s="8" t="s">
        <v>124</v>
      </c>
      <c r="G773" s="8" t="s">
        <v>137</v>
      </c>
      <c r="H773" s="15" t="n">
        <v>1375</v>
      </c>
      <c r="I773" s="15" t="n">
        <v>1375</v>
      </c>
      <c r="J773" s="16" t="n">
        <v>0.824</v>
      </c>
      <c r="K773" s="8" t="n">
        <v>10</v>
      </c>
      <c r="L773" s="8" t="n">
        <v>9</v>
      </c>
      <c r="M773" s="8" t="n">
        <v>0</v>
      </c>
      <c r="N773" s="8" t="s">
        <v>120</v>
      </c>
      <c r="O773" s="15" t="n">
        <f aca="false">H773*12</f>
        <v>16500</v>
      </c>
      <c r="P773" s="8" t="n">
        <f aca="false">MIN(100,ROUND(100*J773/Assumptions!$B$8,0))</f>
        <v>92</v>
      </c>
      <c r="Q773" s="8" t="n">
        <f aca="false">IF(L773="",Assumptions!$B$9,L773*10)</f>
        <v>90</v>
      </c>
      <c r="R773" s="8" t="n">
        <f aca="false">IF(M773&lt;=1,Assumptions!$B$12,IF(M773&lt;=3,Assumptions!$B$13,IF(M773&lt;=6,Assumptions!$B$14,Assumptions!$B$15)))</f>
        <v>100</v>
      </c>
      <c r="S773" s="8" t="n">
        <f aca="false">IF(N773="Completed On Time",Assumptions!$B$16,IF(N773="Completed Late",Assumptions!$B$17,Assumptions!$B$18))</f>
        <v>100</v>
      </c>
      <c r="T773" s="8" t="n">
        <f aca="false">IF(I773=0,Assumptions!$B$20,IF(H773&gt;I773,Assumptions!$B$19,IF(H773=I773,Assumptions!$B$20,Assumptions!$B$21)))</f>
        <v>70</v>
      </c>
      <c r="U773" s="8" t="n">
        <f aca="false">ROUND(P773*Assumptions!$B$2+Q773*Assumptions!$B$3+R773*Assumptions!$B$4+S773*Assumptions!$B$5+T773*Assumptions!$B$6,0)</f>
        <v>89</v>
      </c>
      <c r="V773" s="8" t="str">
        <f aca="false">IF(U773&gt;=Assumptions!$B$10,"Healthy",IF(U773&gt;=Assumptions!$B$11,"Needs Attention","High Risk"))</f>
        <v>Healthy</v>
      </c>
    </row>
    <row r="774" customFormat="false" ht="15" hidden="false" customHeight="false" outlineLevel="0" collapsed="false">
      <c r="A774" s="8" t="s">
        <v>1689</v>
      </c>
      <c r="B774" s="8" t="s">
        <v>1690</v>
      </c>
      <c r="C774" s="8" t="s">
        <v>51</v>
      </c>
      <c r="D774" s="8" t="s">
        <v>326</v>
      </c>
      <c r="E774" s="8" t="s">
        <v>132</v>
      </c>
      <c r="F774" s="8" t="s">
        <v>223</v>
      </c>
      <c r="G774" s="8" t="s">
        <v>129</v>
      </c>
      <c r="H774" s="15" t="n">
        <v>1375</v>
      </c>
      <c r="I774" s="15" t="n">
        <v>1100</v>
      </c>
      <c r="J774" s="16" t="n">
        <v>0.935</v>
      </c>
      <c r="K774" s="8" t="n">
        <v>9.7</v>
      </c>
      <c r="L774" s="8" t="n">
        <v>10</v>
      </c>
      <c r="M774" s="8" t="n">
        <v>1</v>
      </c>
      <c r="N774" s="8" t="s">
        <v>120</v>
      </c>
      <c r="O774" s="15" t="n">
        <f aca="false">H774*12</f>
        <v>16500</v>
      </c>
      <c r="P774" s="8" t="n">
        <f aca="false">MIN(100,ROUND(100*J774/Assumptions!$B$8,0))</f>
        <v>100</v>
      </c>
      <c r="Q774" s="8" t="n">
        <f aca="false">IF(L774="",Assumptions!$B$9,L774*10)</f>
        <v>100</v>
      </c>
      <c r="R774" s="8" t="n">
        <f aca="false">IF(M774&lt;=1,Assumptions!$B$12,IF(M774&lt;=3,Assumptions!$B$13,IF(M774&lt;=6,Assumptions!$B$14,Assumptions!$B$15)))</f>
        <v>100</v>
      </c>
      <c r="S774" s="8" t="n">
        <f aca="false">IF(N774="Completed On Time",Assumptions!$B$16,IF(N774="Completed Late",Assumptions!$B$17,Assumptions!$B$18))</f>
        <v>100</v>
      </c>
      <c r="T774" s="8" t="n">
        <f aca="false">IF(I774=0,Assumptions!$B$20,IF(H774&gt;I774,Assumptions!$B$19,IF(H774=I774,Assumptions!$B$20,Assumptions!$B$21)))</f>
        <v>100</v>
      </c>
      <c r="U774" s="8" t="n">
        <f aca="false">ROUND(P774*Assumptions!$B$2+Q774*Assumptions!$B$3+R774*Assumptions!$B$4+S774*Assumptions!$B$5+T774*Assumptions!$B$6,0)</f>
        <v>100</v>
      </c>
      <c r="V774" s="8" t="str">
        <f aca="false">IF(U774&gt;=Assumptions!$B$10,"Healthy",IF(U774&gt;=Assumptions!$B$11,"Needs Attention","High Risk"))</f>
        <v>Healthy</v>
      </c>
    </row>
    <row r="775" customFormat="false" ht="15" hidden="false" customHeight="false" outlineLevel="0" collapsed="false">
      <c r="A775" s="8" t="s">
        <v>1691</v>
      </c>
      <c r="B775" s="8" t="s">
        <v>1692</v>
      </c>
      <c r="C775" s="8" t="s">
        <v>51</v>
      </c>
      <c r="D775" s="8" t="s">
        <v>326</v>
      </c>
      <c r="E775" s="8" t="s">
        <v>123</v>
      </c>
      <c r="F775" s="8" t="s">
        <v>151</v>
      </c>
      <c r="G775" s="8" t="s">
        <v>185</v>
      </c>
      <c r="H775" s="15" t="n">
        <v>1375</v>
      </c>
      <c r="I775" s="15" t="n">
        <v>1375</v>
      </c>
      <c r="J775" s="16" t="n">
        <v>0.885</v>
      </c>
      <c r="K775" s="8" t="n">
        <v>11.7</v>
      </c>
      <c r="L775" s="8" t="n">
        <v>9</v>
      </c>
      <c r="M775" s="8" t="n">
        <v>2</v>
      </c>
      <c r="N775" s="8" t="s">
        <v>120</v>
      </c>
      <c r="O775" s="15" t="n">
        <f aca="false">H775*12</f>
        <v>16500</v>
      </c>
      <c r="P775" s="8" t="n">
        <f aca="false">MIN(100,ROUND(100*J775/Assumptions!$B$8,0))</f>
        <v>98</v>
      </c>
      <c r="Q775" s="8" t="n">
        <f aca="false">IF(L775="",Assumptions!$B$9,L775*10)</f>
        <v>90</v>
      </c>
      <c r="R775" s="8" t="n">
        <f aca="false">IF(M775&lt;=1,Assumptions!$B$12,IF(M775&lt;=3,Assumptions!$B$13,IF(M775&lt;=6,Assumptions!$B$14,Assumptions!$B$15)))</f>
        <v>75</v>
      </c>
      <c r="S775" s="8" t="n">
        <f aca="false">IF(N775="Completed On Time",Assumptions!$B$16,IF(N775="Completed Late",Assumptions!$B$17,Assumptions!$B$18))</f>
        <v>100</v>
      </c>
      <c r="T775" s="8" t="n">
        <f aca="false">IF(I775=0,Assumptions!$B$20,IF(H775&gt;I775,Assumptions!$B$19,IF(H775=I775,Assumptions!$B$20,Assumptions!$B$21)))</f>
        <v>70</v>
      </c>
      <c r="U775" s="8" t="n">
        <f aca="false">ROUND(P775*Assumptions!$B$2+Q775*Assumptions!$B$3+R775*Assumptions!$B$4+S775*Assumptions!$B$5+T775*Assumptions!$B$6,0)</f>
        <v>88</v>
      </c>
      <c r="V775" s="8" t="str">
        <f aca="false">IF(U775&gt;=Assumptions!$B$10,"Healthy",IF(U775&gt;=Assumptions!$B$11,"Needs Attention","High Risk"))</f>
        <v>Healthy</v>
      </c>
    </row>
    <row r="776" customFormat="false" ht="15" hidden="false" customHeight="false" outlineLevel="0" collapsed="false">
      <c r="A776" s="8" t="s">
        <v>1693</v>
      </c>
      <c r="B776" s="8" t="s">
        <v>1694</v>
      </c>
      <c r="C776" s="8" t="s">
        <v>53</v>
      </c>
      <c r="D776" s="8" t="s">
        <v>326</v>
      </c>
      <c r="E776" s="8" t="s">
        <v>117</v>
      </c>
      <c r="F776" s="8" t="s">
        <v>223</v>
      </c>
      <c r="G776" s="8" t="s">
        <v>140</v>
      </c>
      <c r="H776" s="15" t="n">
        <v>1350</v>
      </c>
      <c r="I776" s="15" t="n">
        <v>1350</v>
      </c>
      <c r="J776" s="16" t="n">
        <v>0.673</v>
      </c>
      <c r="K776" s="8" t="n">
        <v>7.3</v>
      </c>
      <c r="L776" s="8" t="n">
        <v>8</v>
      </c>
      <c r="M776" s="8" t="n">
        <v>3</v>
      </c>
      <c r="N776" s="8" t="s">
        <v>120</v>
      </c>
      <c r="O776" s="15" t="n">
        <f aca="false">H776*12</f>
        <v>16200</v>
      </c>
      <c r="P776" s="8" t="n">
        <f aca="false">MIN(100,ROUND(100*J776/Assumptions!$B$8,0))</f>
        <v>75</v>
      </c>
      <c r="Q776" s="8" t="n">
        <f aca="false">IF(L776="",Assumptions!$B$9,L776*10)</f>
        <v>80</v>
      </c>
      <c r="R776" s="8" t="n">
        <f aca="false">IF(M776&lt;=1,Assumptions!$B$12,IF(M776&lt;=3,Assumptions!$B$13,IF(M776&lt;=6,Assumptions!$B$14,Assumptions!$B$15)))</f>
        <v>75</v>
      </c>
      <c r="S776" s="8" t="n">
        <f aca="false">IF(N776="Completed On Time",Assumptions!$B$16,IF(N776="Completed Late",Assumptions!$B$17,Assumptions!$B$18))</f>
        <v>100</v>
      </c>
      <c r="T776" s="8" t="n">
        <f aca="false">IF(I776=0,Assumptions!$B$20,IF(H776&gt;I776,Assumptions!$B$19,IF(H776=I776,Assumptions!$B$20,Assumptions!$B$21)))</f>
        <v>70</v>
      </c>
      <c r="U776" s="8" t="n">
        <f aca="false">ROUND(P776*Assumptions!$B$2+Q776*Assumptions!$B$3+R776*Assumptions!$B$4+S776*Assumptions!$B$5+T776*Assumptions!$B$6,0)</f>
        <v>78</v>
      </c>
      <c r="V776" s="8" t="str">
        <f aca="false">IF(U776&gt;=Assumptions!$B$10,"Healthy",IF(U776&gt;=Assumptions!$B$11,"Needs Attention","High Risk"))</f>
        <v>Needs Attention</v>
      </c>
    </row>
    <row r="777" customFormat="false" ht="15" hidden="false" customHeight="false" outlineLevel="0" collapsed="false">
      <c r="A777" s="8" t="s">
        <v>1695</v>
      </c>
      <c r="B777" s="8" t="s">
        <v>1696</v>
      </c>
      <c r="C777" s="8" t="s">
        <v>53</v>
      </c>
      <c r="D777" s="8" t="s">
        <v>326</v>
      </c>
      <c r="E777" s="8" t="s">
        <v>132</v>
      </c>
      <c r="F777" s="8" t="s">
        <v>223</v>
      </c>
      <c r="G777" s="8" t="s">
        <v>137</v>
      </c>
      <c r="H777" s="15" t="n">
        <v>1350</v>
      </c>
      <c r="I777" s="15" t="n">
        <v>1350</v>
      </c>
      <c r="J777" s="16" t="n">
        <v>0.71</v>
      </c>
      <c r="K777" s="8" t="n">
        <v>10.3</v>
      </c>
      <c r="L777" s="8" t="n">
        <v>10</v>
      </c>
      <c r="M777" s="8" t="n">
        <v>1</v>
      </c>
      <c r="N777" s="8" t="s">
        <v>120</v>
      </c>
      <c r="O777" s="15" t="n">
        <f aca="false">H777*12</f>
        <v>16200</v>
      </c>
      <c r="P777" s="8" t="n">
        <f aca="false">MIN(100,ROUND(100*J777/Assumptions!$B$8,0))</f>
        <v>79</v>
      </c>
      <c r="Q777" s="8" t="n">
        <f aca="false">IF(L777="",Assumptions!$B$9,L777*10)</f>
        <v>100</v>
      </c>
      <c r="R777" s="8" t="n">
        <f aca="false">IF(M777&lt;=1,Assumptions!$B$12,IF(M777&lt;=3,Assumptions!$B$13,IF(M777&lt;=6,Assumptions!$B$14,Assumptions!$B$15)))</f>
        <v>100</v>
      </c>
      <c r="S777" s="8" t="n">
        <f aca="false">IF(N777="Completed On Time",Assumptions!$B$16,IF(N777="Completed Late",Assumptions!$B$17,Assumptions!$B$18))</f>
        <v>100</v>
      </c>
      <c r="T777" s="8" t="n">
        <f aca="false">IF(I777=0,Assumptions!$B$20,IF(H777&gt;I777,Assumptions!$B$19,IF(H777=I777,Assumptions!$B$20,Assumptions!$B$21)))</f>
        <v>70</v>
      </c>
      <c r="U777" s="8" t="n">
        <f aca="false">ROUND(P777*Assumptions!$B$2+Q777*Assumptions!$B$3+R777*Assumptions!$B$4+S777*Assumptions!$B$5+T777*Assumptions!$B$6,0)</f>
        <v>87</v>
      </c>
      <c r="V777" s="8" t="str">
        <f aca="false">IF(U777&gt;=Assumptions!$B$10,"Healthy",IF(U777&gt;=Assumptions!$B$11,"Needs Attention","High Risk"))</f>
        <v>Healthy</v>
      </c>
    </row>
    <row r="778" customFormat="false" ht="15" hidden="false" customHeight="false" outlineLevel="0" collapsed="false">
      <c r="A778" s="8" t="s">
        <v>1697</v>
      </c>
      <c r="B778" s="8" t="s">
        <v>1698</v>
      </c>
      <c r="C778" s="8" t="s">
        <v>53</v>
      </c>
      <c r="D778" s="8" t="s">
        <v>326</v>
      </c>
      <c r="E778" s="8" t="s">
        <v>117</v>
      </c>
      <c r="F778" s="8" t="s">
        <v>118</v>
      </c>
      <c r="G778" s="8" t="s">
        <v>159</v>
      </c>
      <c r="H778" s="15" t="n">
        <v>1350</v>
      </c>
      <c r="I778" s="15" t="n">
        <v>1350</v>
      </c>
      <c r="J778" s="16" t="n">
        <v>0.642</v>
      </c>
      <c r="K778" s="8" t="n">
        <v>6.7</v>
      </c>
      <c r="L778" s="8" t="n">
        <v>5</v>
      </c>
      <c r="M778" s="8" t="n">
        <v>1</v>
      </c>
      <c r="N778" s="8" t="s">
        <v>120</v>
      </c>
      <c r="O778" s="15" t="n">
        <f aca="false">H778*12</f>
        <v>16200</v>
      </c>
      <c r="P778" s="8" t="n">
        <f aca="false">MIN(100,ROUND(100*J778/Assumptions!$B$8,0))</f>
        <v>71</v>
      </c>
      <c r="Q778" s="8" t="n">
        <f aca="false">IF(L778="",Assumptions!$B$9,L778*10)</f>
        <v>50</v>
      </c>
      <c r="R778" s="8" t="n">
        <f aca="false">IF(M778&lt;=1,Assumptions!$B$12,IF(M778&lt;=3,Assumptions!$B$13,IF(M778&lt;=6,Assumptions!$B$14,Assumptions!$B$15)))</f>
        <v>100</v>
      </c>
      <c r="S778" s="8" t="n">
        <f aca="false">IF(N778="Completed On Time",Assumptions!$B$16,IF(N778="Completed Late",Assumptions!$B$17,Assumptions!$B$18))</f>
        <v>100</v>
      </c>
      <c r="T778" s="8" t="n">
        <f aca="false">IF(I778=0,Assumptions!$B$20,IF(H778&gt;I778,Assumptions!$B$19,IF(H778=I778,Assumptions!$B$20,Assumptions!$B$21)))</f>
        <v>70</v>
      </c>
      <c r="U778" s="8" t="n">
        <f aca="false">ROUND(P778*Assumptions!$B$2+Q778*Assumptions!$B$3+R778*Assumptions!$B$4+S778*Assumptions!$B$5+T778*Assumptions!$B$6,0)</f>
        <v>74</v>
      </c>
      <c r="V778" s="8" t="str">
        <f aca="false">IF(U778&gt;=Assumptions!$B$10,"Healthy",IF(U778&gt;=Assumptions!$B$11,"Needs Attention","High Risk"))</f>
        <v>Needs Attention</v>
      </c>
    </row>
    <row r="779" customFormat="false" ht="15" hidden="false" customHeight="false" outlineLevel="0" collapsed="false">
      <c r="A779" s="8" t="s">
        <v>1699</v>
      </c>
      <c r="B779" s="8" t="s">
        <v>1700</v>
      </c>
      <c r="C779" s="8" t="s">
        <v>53</v>
      </c>
      <c r="D779" s="8" t="s">
        <v>326</v>
      </c>
      <c r="E779" s="8" t="s">
        <v>128</v>
      </c>
      <c r="F779" s="8" t="s">
        <v>124</v>
      </c>
      <c r="G779" s="8" t="s">
        <v>144</v>
      </c>
      <c r="H779" s="15" t="n">
        <v>1350</v>
      </c>
      <c r="I779" s="15" t="n">
        <v>1125</v>
      </c>
      <c r="J779" s="16" t="n">
        <v>0.986</v>
      </c>
      <c r="K779" s="8" t="n">
        <v>10</v>
      </c>
      <c r="L779" s="8" t="n">
        <v>10</v>
      </c>
      <c r="M779" s="8" t="n">
        <v>0</v>
      </c>
      <c r="N779" s="8" t="s">
        <v>120</v>
      </c>
      <c r="O779" s="15" t="n">
        <f aca="false">H779*12</f>
        <v>16200</v>
      </c>
      <c r="P779" s="8" t="n">
        <f aca="false">MIN(100,ROUND(100*J779/Assumptions!$B$8,0))</f>
        <v>100</v>
      </c>
      <c r="Q779" s="8" t="n">
        <f aca="false">IF(L779="",Assumptions!$B$9,L779*10)</f>
        <v>100</v>
      </c>
      <c r="R779" s="8" t="n">
        <f aca="false">IF(M779&lt;=1,Assumptions!$B$12,IF(M779&lt;=3,Assumptions!$B$13,IF(M779&lt;=6,Assumptions!$B$14,Assumptions!$B$15)))</f>
        <v>100</v>
      </c>
      <c r="S779" s="8" t="n">
        <f aca="false">IF(N779="Completed On Time",Assumptions!$B$16,IF(N779="Completed Late",Assumptions!$B$17,Assumptions!$B$18))</f>
        <v>100</v>
      </c>
      <c r="T779" s="8" t="n">
        <f aca="false">IF(I779=0,Assumptions!$B$20,IF(H779&gt;I779,Assumptions!$B$19,IF(H779=I779,Assumptions!$B$20,Assumptions!$B$21)))</f>
        <v>100</v>
      </c>
      <c r="U779" s="8" t="n">
        <f aca="false">ROUND(P779*Assumptions!$B$2+Q779*Assumptions!$B$3+R779*Assumptions!$B$4+S779*Assumptions!$B$5+T779*Assumptions!$B$6,0)</f>
        <v>100</v>
      </c>
      <c r="V779" s="8" t="str">
        <f aca="false">IF(U779&gt;=Assumptions!$B$10,"Healthy",IF(U779&gt;=Assumptions!$B$11,"Needs Attention","High Risk"))</f>
        <v>Healthy</v>
      </c>
    </row>
    <row r="780" customFormat="false" ht="15" hidden="false" customHeight="false" outlineLevel="0" collapsed="false">
      <c r="A780" s="8" t="s">
        <v>1701</v>
      </c>
      <c r="B780" s="8" t="s">
        <v>1702</v>
      </c>
      <c r="C780" s="8" t="s">
        <v>53</v>
      </c>
      <c r="D780" s="8" t="s">
        <v>326</v>
      </c>
      <c r="E780" s="8" t="s">
        <v>117</v>
      </c>
      <c r="F780" s="8" t="s">
        <v>151</v>
      </c>
      <c r="G780" s="8" t="s">
        <v>159</v>
      </c>
      <c r="H780" s="15" t="n">
        <v>1350</v>
      </c>
      <c r="I780" s="15" t="n">
        <v>1200</v>
      </c>
      <c r="J780" s="16" t="n">
        <v>0.558</v>
      </c>
      <c r="K780" s="8" t="n">
        <v>7</v>
      </c>
      <c r="L780" s="8" t="n">
        <v>8</v>
      </c>
      <c r="M780" s="8" t="n">
        <v>2</v>
      </c>
      <c r="N780" s="8" t="s">
        <v>120</v>
      </c>
      <c r="O780" s="15" t="n">
        <f aca="false">H780*12</f>
        <v>16200</v>
      </c>
      <c r="P780" s="8" t="n">
        <f aca="false">MIN(100,ROUND(100*J780/Assumptions!$B$8,0))</f>
        <v>62</v>
      </c>
      <c r="Q780" s="8" t="n">
        <f aca="false">IF(L780="",Assumptions!$B$9,L780*10)</f>
        <v>80</v>
      </c>
      <c r="R780" s="8" t="n">
        <f aca="false">IF(M780&lt;=1,Assumptions!$B$12,IF(M780&lt;=3,Assumptions!$B$13,IF(M780&lt;=6,Assumptions!$B$14,Assumptions!$B$15)))</f>
        <v>75</v>
      </c>
      <c r="S780" s="8" t="n">
        <f aca="false">IF(N780="Completed On Time",Assumptions!$B$16,IF(N780="Completed Late",Assumptions!$B$17,Assumptions!$B$18))</f>
        <v>100</v>
      </c>
      <c r="T780" s="8" t="n">
        <f aca="false">IF(I780=0,Assumptions!$B$20,IF(H780&gt;I780,Assumptions!$B$19,IF(H780=I780,Assumptions!$B$20,Assumptions!$B$21)))</f>
        <v>100</v>
      </c>
      <c r="U780" s="8" t="n">
        <f aca="false">ROUND(P780*Assumptions!$B$2+Q780*Assumptions!$B$3+R780*Assumptions!$B$4+S780*Assumptions!$B$5+T780*Assumptions!$B$6,0)</f>
        <v>79</v>
      </c>
      <c r="V780" s="8" t="str">
        <f aca="false">IF(U780&gt;=Assumptions!$B$10,"Healthy",IF(U780&gt;=Assumptions!$B$11,"Needs Attention","High Risk"))</f>
        <v>Needs Attention</v>
      </c>
    </row>
    <row r="781" customFormat="false" ht="15" hidden="false" customHeight="false" outlineLevel="0" collapsed="false">
      <c r="A781" s="8" t="s">
        <v>1703</v>
      </c>
      <c r="B781" s="8" t="s">
        <v>1704</v>
      </c>
      <c r="C781" s="8" t="s">
        <v>53</v>
      </c>
      <c r="D781" s="8" t="s">
        <v>326</v>
      </c>
      <c r="E781" s="8" t="s">
        <v>123</v>
      </c>
      <c r="F781" s="8" t="s">
        <v>166</v>
      </c>
      <c r="G781" s="8" t="s">
        <v>137</v>
      </c>
      <c r="H781" s="15" t="n">
        <v>1350</v>
      </c>
      <c r="I781" s="15" t="n">
        <v>1350</v>
      </c>
      <c r="J781" s="16" t="n">
        <v>0.58</v>
      </c>
      <c r="K781" s="8" t="n">
        <v>6</v>
      </c>
      <c r="L781" s="8" t="n">
        <v>4</v>
      </c>
      <c r="M781" s="8" t="n">
        <v>4</v>
      </c>
      <c r="N781" s="8" t="s">
        <v>148</v>
      </c>
      <c r="O781" s="15" t="n">
        <f aca="false">H781*12</f>
        <v>16200</v>
      </c>
      <c r="P781" s="8" t="n">
        <f aca="false">MIN(100,ROUND(100*J781/Assumptions!$B$8,0))</f>
        <v>64</v>
      </c>
      <c r="Q781" s="8" t="n">
        <f aca="false">IF(L781="",Assumptions!$B$9,L781*10)</f>
        <v>40</v>
      </c>
      <c r="R781" s="8" t="n">
        <f aca="false">IF(M781&lt;=1,Assumptions!$B$12,IF(M781&lt;=3,Assumptions!$B$13,IF(M781&lt;=6,Assumptions!$B$14,Assumptions!$B$15)))</f>
        <v>50</v>
      </c>
      <c r="S781" s="8" t="n">
        <f aca="false">IF(N781="Completed On Time",Assumptions!$B$16,IF(N781="Completed Late",Assumptions!$B$17,Assumptions!$B$18))</f>
        <v>60</v>
      </c>
      <c r="T781" s="8" t="n">
        <f aca="false">IF(I781=0,Assumptions!$B$20,IF(H781&gt;I781,Assumptions!$B$19,IF(H781=I781,Assumptions!$B$20,Assumptions!$B$21)))</f>
        <v>70</v>
      </c>
      <c r="U781" s="8" t="n">
        <f aca="false">ROUND(P781*Assumptions!$B$2+Q781*Assumptions!$B$3+R781*Assumptions!$B$4+S781*Assumptions!$B$5+T781*Assumptions!$B$6,0)</f>
        <v>58</v>
      </c>
      <c r="V781" s="8" t="str">
        <f aca="false">IF(U781&gt;=Assumptions!$B$10,"Healthy",IF(U781&gt;=Assumptions!$B$11,"Needs Attention","High Risk"))</f>
        <v>High Risk</v>
      </c>
    </row>
    <row r="782" customFormat="false" ht="15" hidden="false" customHeight="false" outlineLevel="0" collapsed="false">
      <c r="A782" s="8" t="s">
        <v>1705</v>
      </c>
      <c r="B782" s="8" t="s">
        <v>1706</v>
      </c>
      <c r="C782" s="8" t="s">
        <v>53</v>
      </c>
      <c r="D782" s="8" t="s">
        <v>326</v>
      </c>
      <c r="E782" s="8" t="s">
        <v>123</v>
      </c>
      <c r="F782" s="8" t="s">
        <v>136</v>
      </c>
      <c r="G782" s="8" t="s">
        <v>140</v>
      </c>
      <c r="H782" s="15" t="n">
        <v>1350</v>
      </c>
      <c r="I782" s="15" t="n">
        <v>1350</v>
      </c>
      <c r="J782" s="16" t="n">
        <v>0.63</v>
      </c>
      <c r="K782" s="8" t="n">
        <v>6.3</v>
      </c>
      <c r="L782" s="8" t="n">
        <v>9</v>
      </c>
      <c r="M782" s="8" t="n">
        <v>2</v>
      </c>
      <c r="N782" s="8" t="s">
        <v>120</v>
      </c>
      <c r="O782" s="15" t="n">
        <f aca="false">H782*12</f>
        <v>16200</v>
      </c>
      <c r="P782" s="8" t="n">
        <f aca="false">MIN(100,ROUND(100*J782/Assumptions!$B$8,0))</f>
        <v>70</v>
      </c>
      <c r="Q782" s="8" t="n">
        <f aca="false">IF(L782="",Assumptions!$B$9,L782*10)</f>
        <v>90</v>
      </c>
      <c r="R782" s="8" t="n">
        <f aca="false">IF(M782&lt;=1,Assumptions!$B$12,IF(M782&lt;=3,Assumptions!$B$13,IF(M782&lt;=6,Assumptions!$B$14,Assumptions!$B$15)))</f>
        <v>75</v>
      </c>
      <c r="S782" s="8" t="n">
        <f aca="false">IF(N782="Completed On Time",Assumptions!$B$16,IF(N782="Completed Late",Assumptions!$B$17,Assumptions!$B$18))</f>
        <v>100</v>
      </c>
      <c r="T782" s="8" t="n">
        <f aca="false">IF(I782=0,Assumptions!$B$20,IF(H782&gt;I782,Assumptions!$B$19,IF(H782=I782,Assumptions!$B$20,Assumptions!$B$21)))</f>
        <v>70</v>
      </c>
      <c r="U782" s="8" t="n">
        <f aca="false">ROUND(P782*Assumptions!$B$2+Q782*Assumptions!$B$3+R782*Assumptions!$B$4+S782*Assumptions!$B$5+T782*Assumptions!$B$6,0)</f>
        <v>78</v>
      </c>
      <c r="V782" s="8" t="str">
        <f aca="false">IF(U782&gt;=Assumptions!$B$10,"Healthy",IF(U782&gt;=Assumptions!$B$11,"Needs Attention","High Risk"))</f>
        <v>Needs Attention</v>
      </c>
    </row>
    <row r="783" customFormat="false" ht="15" hidden="false" customHeight="false" outlineLevel="0" collapsed="false">
      <c r="A783" s="8" t="s">
        <v>1707</v>
      </c>
      <c r="B783" s="8" t="s">
        <v>1708</v>
      </c>
      <c r="C783" s="8" t="s">
        <v>53</v>
      </c>
      <c r="D783" s="8" t="s">
        <v>326</v>
      </c>
      <c r="E783" s="8" t="s">
        <v>123</v>
      </c>
      <c r="F783" s="8" t="s">
        <v>166</v>
      </c>
      <c r="G783" s="8" t="s">
        <v>140</v>
      </c>
      <c r="H783" s="15" t="n">
        <v>1325</v>
      </c>
      <c r="I783" s="15" t="n">
        <v>1325</v>
      </c>
      <c r="J783" s="16" t="n">
        <v>0.893</v>
      </c>
      <c r="K783" s="8" t="n">
        <v>10</v>
      </c>
      <c r="L783" s="8" t="n">
        <v>10</v>
      </c>
      <c r="M783" s="8" t="n">
        <v>2</v>
      </c>
      <c r="N783" s="8" t="s">
        <v>120</v>
      </c>
      <c r="O783" s="15" t="n">
        <f aca="false">H783*12</f>
        <v>15900</v>
      </c>
      <c r="P783" s="8" t="n">
        <f aca="false">MIN(100,ROUND(100*J783/Assumptions!$B$8,0))</f>
        <v>99</v>
      </c>
      <c r="Q783" s="8" t="n">
        <f aca="false">IF(L783="",Assumptions!$B$9,L783*10)</f>
        <v>100</v>
      </c>
      <c r="R783" s="8" t="n">
        <f aca="false">IF(M783&lt;=1,Assumptions!$B$12,IF(M783&lt;=3,Assumptions!$B$13,IF(M783&lt;=6,Assumptions!$B$14,Assumptions!$B$15)))</f>
        <v>75</v>
      </c>
      <c r="S783" s="8" t="n">
        <f aca="false">IF(N783="Completed On Time",Assumptions!$B$16,IF(N783="Completed Late",Assumptions!$B$17,Assumptions!$B$18))</f>
        <v>100</v>
      </c>
      <c r="T783" s="8" t="n">
        <f aca="false">IF(I783=0,Assumptions!$B$20,IF(H783&gt;I783,Assumptions!$B$19,IF(H783=I783,Assumptions!$B$20,Assumptions!$B$21)))</f>
        <v>70</v>
      </c>
      <c r="U783" s="8" t="n">
        <f aca="false">ROUND(P783*Assumptions!$B$2+Q783*Assumptions!$B$3+R783*Assumptions!$B$4+S783*Assumptions!$B$5+T783*Assumptions!$B$6,0)</f>
        <v>90</v>
      </c>
      <c r="V783" s="8" t="str">
        <f aca="false">IF(U783&gt;=Assumptions!$B$10,"Healthy",IF(U783&gt;=Assumptions!$B$11,"Needs Attention","High Risk"))</f>
        <v>Healthy</v>
      </c>
    </row>
    <row r="784" customFormat="false" ht="15" hidden="false" customHeight="false" outlineLevel="0" collapsed="false">
      <c r="A784" s="8" t="s">
        <v>1709</v>
      </c>
      <c r="B784" s="8" t="s">
        <v>1710</v>
      </c>
      <c r="C784" s="8" t="s">
        <v>53</v>
      </c>
      <c r="D784" s="8" t="s">
        <v>326</v>
      </c>
      <c r="E784" s="8" t="s">
        <v>132</v>
      </c>
      <c r="F784" s="8" t="s">
        <v>190</v>
      </c>
      <c r="G784" s="8" t="s">
        <v>159</v>
      </c>
      <c r="H784" s="15" t="n">
        <v>1325</v>
      </c>
      <c r="I784" s="15" t="n">
        <v>1325</v>
      </c>
      <c r="J784" s="16" t="n">
        <v>0.585</v>
      </c>
      <c r="K784" s="8" t="n">
        <v>6</v>
      </c>
      <c r="L784" s="8" t="n">
        <v>5</v>
      </c>
      <c r="M784" s="8" t="n">
        <v>3</v>
      </c>
      <c r="N784" s="8" t="s">
        <v>120</v>
      </c>
      <c r="O784" s="15" t="n">
        <f aca="false">H784*12</f>
        <v>15900</v>
      </c>
      <c r="P784" s="8" t="n">
        <f aca="false">MIN(100,ROUND(100*J784/Assumptions!$B$8,0))</f>
        <v>65</v>
      </c>
      <c r="Q784" s="8" t="n">
        <f aca="false">IF(L784="",Assumptions!$B$9,L784*10)</f>
        <v>50</v>
      </c>
      <c r="R784" s="8" t="n">
        <f aca="false">IF(M784&lt;=1,Assumptions!$B$12,IF(M784&lt;=3,Assumptions!$B$13,IF(M784&lt;=6,Assumptions!$B$14,Assumptions!$B$15)))</f>
        <v>75</v>
      </c>
      <c r="S784" s="8" t="n">
        <f aca="false">IF(N784="Completed On Time",Assumptions!$B$16,IF(N784="Completed Late",Assumptions!$B$17,Assumptions!$B$18))</f>
        <v>100</v>
      </c>
      <c r="T784" s="8" t="n">
        <f aca="false">IF(I784=0,Assumptions!$B$20,IF(H784&gt;I784,Assumptions!$B$19,IF(H784=I784,Assumptions!$B$20,Assumptions!$B$21)))</f>
        <v>70</v>
      </c>
      <c r="U784" s="8" t="n">
        <f aca="false">ROUND(P784*Assumptions!$B$2+Q784*Assumptions!$B$3+R784*Assumptions!$B$4+S784*Assumptions!$B$5+T784*Assumptions!$B$6,0)</f>
        <v>68</v>
      </c>
      <c r="V784" s="8" t="str">
        <f aca="false">IF(U784&gt;=Assumptions!$B$10,"Healthy",IF(U784&gt;=Assumptions!$B$11,"Needs Attention","High Risk"))</f>
        <v>Needs Attention</v>
      </c>
    </row>
    <row r="785" customFormat="false" ht="15" hidden="false" customHeight="false" outlineLevel="0" collapsed="false">
      <c r="A785" s="8" t="s">
        <v>1711</v>
      </c>
      <c r="B785" s="8" t="s">
        <v>1712</v>
      </c>
      <c r="C785" s="8" t="s">
        <v>51</v>
      </c>
      <c r="D785" s="8" t="s">
        <v>326</v>
      </c>
      <c r="E785" s="8" t="s">
        <v>123</v>
      </c>
      <c r="F785" s="8" t="s">
        <v>166</v>
      </c>
      <c r="G785" s="8" t="s">
        <v>159</v>
      </c>
      <c r="H785" s="15" t="n">
        <v>1325</v>
      </c>
      <c r="I785" s="15" t="n">
        <v>1150</v>
      </c>
      <c r="J785" s="16" t="n">
        <v>0.799</v>
      </c>
      <c r="K785" s="8" t="n">
        <v>9.7</v>
      </c>
      <c r="L785" s="8" t="n">
        <v>10</v>
      </c>
      <c r="M785" s="8" t="n">
        <v>4</v>
      </c>
      <c r="N785" s="8" t="s">
        <v>120</v>
      </c>
      <c r="O785" s="15" t="n">
        <f aca="false">H785*12</f>
        <v>15900</v>
      </c>
      <c r="P785" s="8" t="n">
        <f aca="false">MIN(100,ROUND(100*J785/Assumptions!$B$8,0))</f>
        <v>89</v>
      </c>
      <c r="Q785" s="8" t="n">
        <f aca="false">IF(L785="",Assumptions!$B$9,L785*10)</f>
        <v>100</v>
      </c>
      <c r="R785" s="8" t="n">
        <f aca="false">IF(M785&lt;=1,Assumptions!$B$12,IF(M785&lt;=3,Assumptions!$B$13,IF(M785&lt;=6,Assumptions!$B$14,Assumptions!$B$15)))</f>
        <v>50</v>
      </c>
      <c r="S785" s="8" t="n">
        <f aca="false">IF(N785="Completed On Time",Assumptions!$B$16,IF(N785="Completed Late",Assumptions!$B$17,Assumptions!$B$18))</f>
        <v>100</v>
      </c>
      <c r="T785" s="8" t="n">
        <f aca="false">IF(I785=0,Assumptions!$B$20,IF(H785&gt;I785,Assumptions!$B$19,IF(H785=I785,Assumptions!$B$20,Assumptions!$B$21)))</f>
        <v>100</v>
      </c>
      <c r="U785" s="8" t="n">
        <f aca="false">ROUND(P785*Assumptions!$B$2+Q785*Assumptions!$B$3+R785*Assumptions!$B$4+S785*Assumptions!$B$5+T785*Assumptions!$B$6,0)</f>
        <v>89</v>
      </c>
      <c r="V785" s="8" t="str">
        <f aca="false">IF(U785&gt;=Assumptions!$B$10,"Healthy",IF(U785&gt;=Assumptions!$B$11,"Needs Attention","High Risk"))</f>
        <v>Healthy</v>
      </c>
    </row>
    <row r="786" customFormat="false" ht="15" hidden="false" customHeight="false" outlineLevel="0" collapsed="false">
      <c r="A786" s="8" t="s">
        <v>1713</v>
      </c>
      <c r="B786" s="8" t="s">
        <v>1714</v>
      </c>
      <c r="C786" s="8" t="s">
        <v>53</v>
      </c>
      <c r="D786" s="8" t="s">
        <v>326</v>
      </c>
      <c r="E786" s="8" t="s">
        <v>132</v>
      </c>
      <c r="F786" s="8" t="s">
        <v>190</v>
      </c>
      <c r="G786" s="8" t="s">
        <v>180</v>
      </c>
      <c r="H786" s="15" t="n">
        <v>1325</v>
      </c>
      <c r="I786" s="15" t="n">
        <v>0</v>
      </c>
      <c r="J786" s="16" t="n">
        <v>0.642</v>
      </c>
      <c r="K786" s="8" t="n">
        <v>7</v>
      </c>
      <c r="L786" s="8"/>
      <c r="M786" s="8" t="n">
        <v>0</v>
      </c>
      <c r="N786" s="8" t="s">
        <v>199</v>
      </c>
      <c r="O786" s="15" t="n">
        <f aca="false">H786*12</f>
        <v>15900</v>
      </c>
      <c r="P786" s="8" t="n">
        <f aca="false">MIN(100,ROUND(100*J786/Assumptions!$B$8,0))</f>
        <v>71</v>
      </c>
      <c r="Q786" s="8" t="n">
        <f aca="false">IF(L786="",Assumptions!$B$9,L786*10)</f>
        <v>50</v>
      </c>
      <c r="R786" s="8" t="n">
        <f aca="false">IF(M786&lt;=1,Assumptions!$B$12,IF(M786&lt;=3,Assumptions!$B$13,IF(M786&lt;=6,Assumptions!$B$14,Assumptions!$B$15)))</f>
        <v>100</v>
      </c>
      <c r="S786" s="8" t="n">
        <f aca="false">IF(N786="Completed On Time",Assumptions!$B$16,IF(N786="Completed Late",Assumptions!$B$17,Assumptions!$B$18))</f>
        <v>50</v>
      </c>
      <c r="T786" s="8" t="n">
        <f aca="false">IF(I786=0,Assumptions!$B$20,IF(H786&gt;I786,Assumptions!$B$19,IF(H786=I786,Assumptions!$B$20,Assumptions!$B$21)))</f>
        <v>70</v>
      </c>
      <c r="U786" s="8" t="n">
        <f aca="false">ROUND(P786*Assumptions!$B$2+Q786*Assumptions!$B$3+R786*Assumptions!$B$4+S786*Assumptions!$B$5+T786*Assumptions!$B$6,0)</f>
        <v>69</v>
      </c>
      <c r="V786" s="8" t="str">
        <f aca="false">IF(U786&gt;=Assumptions!$B$10,"Healthy",IF(U786&gt;=Assumptions!$B$11,"Needs Attention","High Risk"))</f>
        <v>Needs Attention</v>
      </c>
    </row>
    <row r="787" customFormat="false" ht="15" hidden="false" customHeight="false" outlineLevel="0" collapsed="false">
      <c r="A787" s="8" t="s">
        <v>1715</v>
      </c>
      <c r="B787" s="8" t="s">
        <v>1716</v>
      </c>
      <c r="C787" s="8" t="s">
        <v>51</v>
      </c>
      <c r="D787" s="8" t="s">
        <v>326</v>
      </c>
      <c r="E787" s="8" t="s">
        <v>123</v>
      </c>
      <c r="F787" s="8" t="s">
        <v>133</v>
      </c>
      <c r="G787" s="8" t="s">
        <v>125</v>
      </c>
      <c r="H787" s="15" t="n">
        <v>1325</v>
      </c>
      <c r="I787" s="15" t="n">
        <v>1325</v>
      </c>
      <c r="J787" s="16" t="n">
        <v>0.811</v>
      </c>
      <c r="K787" s="8" t="n">
        <v>9</v>
      </c>
      <c r="L787" s="8" t="n">
        <v>7</v>
      </c>
      <c r="M787" s="8" t="n">
        <v>4</v>
      </c>
      <c r="N787" s="8" t="s">
        <v>120</v>
      </c>
      <c r="O787" s="15" t="n">
        <f aca="false">H787*12</f>
        <v>15900</v>
      </c>
      <c r="P787" s="8" t="n">
        <f aca="false">MIN(100,ROUND(100*J787/Assumptions!$B$8,0))</f>
        <v>90</v>
      </c>
      <c r="Q787" s="8" t="n">
        <f aca="false">IF(L787="",Assumptions!$B$9,L787*10)</f>
        <v>70</v>
      </c>
      <c r="R787" s="8" t="n">
        <f aca="false">IF(M787&lt;=1,Assumptions!$B$12,IF(M787&lt;=3,Assumptions!$B$13,IF(M787&lt;=6,Assumptions!$B$14,Assumptions!$B$15)))</f>
        <v>50</v>
      </c>
      <c r="S787" s="8" t="n">
        <f aca="false">IF(N787="Completed On Time",Assumptions!$B$16,IF(N787="Completed Late",Assumptions!$B$17,Assumptions!$B$18))</f>
        <v>100</v>
      </c>
      <c r="T787" s="8" t="n">
        <f aca="false">IF(I787=0,Assumptions!$B$20,IF(H787&gt;I787,Assumptions!$B$19,IF(H787=I787,Assumptions!$B$20,Assumptions!$B$21)))</f>
        <v>70</v>
      </c>
      <c r="U787" s="8" t="n">
        <f aca="false">ROUND(P787*Assumptions!$B$2+Q787*Assumptions!$B$3+R787*Assumptions!$B$4+S787*Assumptions!$B$5+T787*Assumptions!$B$6,0)</f>
        <v>77</v>
      </c>
      <c r="V787" s="8" t="str">
        <f aca="false">IF(U787&gt;=Assumptions!$B$10,"Healthy",IF(U787&gt;=Assumptions!$B$11,"Needs Attention","High Risk"))</f>
        <v>Needs Attention</v>
      </c>
    </row>
    <row r="788" customFormat="false" ht="15" hidden="false" customHeight="false" outlineLevel="0" collapsed="false">
      <c r="A788" s="8" t="s">
        <v>1717</v>
      </c>
      <c r="B788" s="8" t="s">
        <v>1718</v>
      </c>
      <c r="C788" s="8" t="s">
        <v>53</v>
      </c>
      <c r="D788" s="8" t="s">
        <v>326</v>
      </c>
      <c r="E788" s="8" t="s">
        <v>123</v>
      </c>
      <c r="F788" s="8" t="s">
        <v>136</v>
      </c>
      <c r="G788" s="8" t="s">
        <v>159</v>
      </c>
      <c r="H788" s="15" t="n">
        <v>1325</v>
      </c>
      <c r="I788" s="15" t="n">
        <v>1325</v>
      </c>
      <c r="J788" s="16" t="n">
        <v>0.642</v>
      </c>
      <c r="K788" s="8" t="n">
        <v>8</v>
      </c>
      <c r="L788" s="8" t="n">
        <v>7</v>
      </c>
      <c r="M788" s="8" t="n">
        <v>5</v>
      </c>
      <c r="N788" s="8" t="s">
        <v>148</v>
      </c>
      <c r="O788" s="15" t="n">
        <f aca="false">H788*12</f>
        <v>15900</v>
      </c>
      <c r="P788" s="8" t="n">
        <f aca="false">MIN(100,ROUND(100*J788/Assumptions!$B$8,0))</f>
        <v>71</v>
      </c>
      <c r="Q788" s="8" t="n">
        <f aca="false">IF(L788="",Assumptions!$B$9,L788*10)</f>
        <v>70</v>
      </c>
      <c r="R788" s="8" t="n">
        <f aca="false">IF(M788&lt;=1,Assumptions!$B$12,IF(M788&lt;=3,Assumptions!$B$13,IF(M788&lt;=6,Assumptions!$B$14,Assumptions!$B$15)))</f>
        <v>50</v>
      </c>
      <c r="S788" s="8" t="n">
        <f aca="false">IF(N788="Completed On Time",Assumptions!$B$16,IF(N788="Completed Late",Assumptions!$B$17,Assumptions!$B$18))</f>
        <v>60</v>
      </c>
      <c r="T788" s="8" t="n">
        <f aca="false">IF(I788=0,Assumptions!$B$20,IF(H788&gt;I788,Assumptions!$B$19,IF(H788=I788,Assumptions!$B$20,Assumptions!$B$21)))</f>
        <v>70</v>
      </c>
      <c r="U788" s="8" t="n">
        <f aca="false">ROUND(P788*Assumptions!$B$2+Q788*Assumptions!$B$3+R788*Assumptions!$B$4+S788*Assumptions!$B$5+T788*Assumptions!$B$6,0)</f>
        <v>66</v>
      </c>
      <c r="V788" s="8" t="str">
        <f aca="false">IF(U788&gt;=Assumptions!$B$10,"Healthy",IF(U788&gt;=Assumptions!$B$11,"Needs Attention","High Risk"))</f>
        <v>Needs Attention</v>
      </c>
    </row>
    <row r="789" customFormat="false" ht="15" hidden="false" customHeight="false" outlineLevel="0" collapsed="false">
      <c r="A789" s="8" t="s">
        <v>1719</v>
      </c>
      <c r="B789" s="8" t="s">
        <v>1720</v>
      </c>
      <c r="C789" s="8" t="s">
        <v>53</v>
      </c>
      <c r="D789" s="8" t="s">
        <v>326</v>
      </c>
      <c r="E789" s="8" t="s">
        <v>123</v>
      </c>
      <c r="F789" s="8" t="s">
        <v>136</v>
      </c>
      <c r="G789" s="8" t="s">
        <v>129</v>
      </c>
      <c r="H789" s="15" t="n">
        <v>1300</v>
      </c>
      <c r="I789" s="15" t="n">
        <v>1300</v>
      </c>
      <c r="J789" s="16" t="n">
        <v>0.712</v>
      </c>
      <c r="K789" s="8" t="n">
        <v>5.7</v>
      </c>
      <c r="L789" s="8" t="n">
        <v>6</v>
      </c>
      <c r="M789" s="8" t="n">
        <v>4</v>
      </c>
      <c r="N789" s="8" t="s">
        <v>120</v>
      </c>
      <c r="O789" s="15" t="n">
        <f aca="false">H789*12</f>
        <v>15600</v>
      </c>
      <c r="P789" s="8" t="n">
        <f aca="false">MIN(100,ROUND(100*J789/Assumptions!$B$8,0))</f>
        <v>79</v>
      </c>
      <c r="Q789" s="8" t="n">
        <f aca="false">IF(L789="",Assumptions!$B$9,L789*10)</f>
        <v>60</v>
      </c>
      <c r="R789" s="8" t="n">
        <f aca="false">IF(M789&lt;=1,Assumptions!$B$12,IF(M789&lt;=3,Assumptions!$B$13,IF(M789&lt;=6,Assumptions!$B$14,Assumptions!$B$15)))</f>
        <v>50</v>
      </c>
      <c r="S789" s="8" t="n">
        <f aca="false">IF(N789="Completed On Time",Assumptions!$B$16,IF(N789="Completed Late",Assumptions!$B$17,Assumptions!$B$18))</f>
        <v>100</v>
      </c>
      <c r="T789" s="8" t="n">
        <f aca="false">IF(I789=0,Assumptions!$B$20,IF(H789&gt;I789,Assumptions!$B$19,IF(H789=I789,Assumptions!$B$20,Assumptions!$B$21)))</f>
        <v>70</v>
      </c>
      <c r="U789" s="8" t="n">
        <f aca="false">ROUND(P789*Assumptions!$B$2+Q789*Assumptions!$B$3+R789*Assumptions!$B$4+S789*Assumptions!$B$5+T789*Assumptions!$B$6,0)</f>
        <v>71</v>
      </c>
      <c r="V789" s="8" t="str">
        <f aca="false">IF(U789&gt;=Assumptions!$B$10,"Healthy",IF(U789&gt;=Assumptions!$B$11,"Needs Attention","High Risk"))</f>
        <v>Needs Attention</v>
      </c>
    </row>
    <row r="790" customFormat="false" ht="15" hidden="false" customHeight="false" outlineLevel="0" collapsed="false">
      <c r="A790" s="8" t="s">
        <v>1721</v>
      </c>
      <c r="B790" s="8" t="s">
        <v>1722</v>
      </c>
      <c r="C790" s="8" t="s">
        <v>53</v>
      </c>
      <c r="D790" s="8" t="s">
        <v>326</v>
      </c>
      <c r="E790" s="8" t="s">
        <v>132</v>
      </c>
      <c r="F790" s="8" t="s">
        <v>133</v>
      </c>
      <c r="G790" s="8" t="s">
        <v>185</v>
      </c>
      <c r="H790" s="15" t="n">
        <v>1300</v>
      </c>
      <c r="I790" s="15" t="n">
        <v>1300</v>
      </c>
      <c r="J790" s="16" t="n">
        <v>0.667</v>
      </c>
      <c r="K790" s="8" t="n">
        <v>7</v>
      </c>
      <c r="L790" s="8" t="n">
        <v>4</v>
      </c>
      <c r="M790" s="8" t="n">
        <v>4</v>
      </c>
      <c r="N790" s="8" t="s">
        <v>120</v>
      </c>
      <c r="O790" s="15" t="n">
        <f aca="false">H790*12</f>
        <v>15600</v>
      </c>
      <c r="P790" s="8" t="n">
        <f aca="false">MIN(100,ROUND(100*J790/Assumptions!$B$8,0))</f>
        <v>74</v>
      </c>
      <c r="Q790" s="8" t="n">
        <f aca="false">IF(L790="",Assumptions!$B$9,L790*10)</f>
        <v>40</v>
      </c>
      <c r="R790" s="8" t="n">
        <f aca="false">IF(M790&lt;=1,Assumptions!$B$12,IF(M790&lt;=3,Assumptions!$B$13,IF(M790&lt;=6,Assumptions!$B$14,Assumptions!$B$15)))</f>
        <v>50</v>
      </c>
      <c r="S790" s="8" t="n">
        <f aca="false">IF(N790="Completed On Time",Assumptions!$B$16,IF(N790="Completed Late",Assumptions!$B$17,Assumptions!$B$18))</f>
        <v>100</v>
      </c>
      <c r="T790" s="8" t="n">
        <f aca="false">IF(I790=0,Assumptions!$B$20,IF(H790&gt;I790,Assumptions!$B$19,IF(H790=I790,Assumptions!$B$20,Assumptions!$B$21)))</f>
        <v>70</v>
      </c>
      <c r="U790" s="8" t="n">
        <f aca="false">ROUND(P790*Assumptions!$B$2+Q790*Assumptions!$B$3+R790*Assumptions!$B$4+S790*Assumptions!$B$5+T790*Assumptions!$B$6,0)</f>
        <v>65</v>
      </c>
      <c r="V790" s="8" t="str">
        <f aca="false">IF(U790&gt;=Assumptions!$B$10,"Healthy",IF(U790&gt;=Assumptions!$B$11,"Needs Attention","High Risk"))</f>
        <v>Needs Attention</v>
      </c>
    </row>
    <row r="791" customFormat="false" ht="15" hidden="false" customHeight="false" outlineLevel="0" collapsed="false">
      <c r="A791" s="8" t="s">
        <v>1723</v>
      </c>
      <c r="B791" s="8" t="s">
        <v>1724</v>
      </c>
      <c r="C791" s="8" t="s">
        <v>53</v>
      </c>
      <c r="D791" s="8" t="s">
        <v>326</v>
      </c>
      <c r="E791" s="8" t="s">
        <v>117</v>
      </c>
      <c r="F791" s="8" t="s">
        <v>124</v>
      </c>
      <c r="G791" s="8" t="s">
        <v>159</v>
      </c>
      <c r="H791" s="15" t="n">
        <v>1300</v>
      </c>
      <c r="I791" s="15" t="n">
        <v>1300</v>
      </c>
      <c r="J791" s="16" t="n">
        <v>0.776</v>
      </c>
      <c r="K791" s="8" t="n">
        <v>9.7</v>
      </c>
      <c r="L791" s="8" t="n">
        <v>10</v>
      </c>
      <c r="M791" s="8" t="n">
        <v>2</v>
      </c>
      <c r="N791" s="8" t="s">
        <v>120</v>
      </c>
      <c r="O791" s="15" t="n">
        <f aca="false">H791*12</f>
        <v>15600</v>
      </c>
      <c r="P791" s="8" t="n">
        <f aca="false">MIN(100,ROUND(100*J791/Assumptions!$B$8,0))</f>
        <v>86</v>
      </c>
      <c r="Q791" s="8" t="n">
        <f aca="false">IF(L791="",Assumptions!$B$9,L791*10)</f>
        <v>100</v>
      </c>
      <c r="R791" s="8" t="n">
        <f aca="false">IF(M791&lt;=1,Assumptions!$B$12,IF(M791&lt;=3,Assumptions!$B$13,IF(M791&lt;=6,Assumptions!$B$14,Assumptions!$B$15)))</f>
        <v>75</v>
      </c>
      <c r="S791" s="8" t="n">
        <f aca="false">IF(N791="Completed On Time",Assumptions!$B$16,IF(N791="Completed Late",Assumptions!$B$17,Assumptions!$B$18))</f>
        <v>100</v>
      </c>
      <c r="T791" s="8" t="n">
        <f aca="false">IF(I791=0,Assumptions!$B$20,IF(H791&gt;I791,Assumptions!$B$19,IF(H791=I791,Assumptions!$B$20,Assumptions!$B$21)))</f>
        <v>70</v>
      </c>
      <c r="U791" s="8" t="n">
        <f aca="false">ROUND(P791*Assumptions!$B$2+Q791*Assumptions!$B$3+R791*Assumptions!$B$4+S791*Assumptions!$B$5+T791*Assumptions!$B$6,0)</f>
        <v>85</v>
      </c>
      <c r="V791" s="8" t="str">
        <f aca="false">IF(U791&gt;=Assumptions!$B$10,"Healthy",IF(U791&gt;=Assumptions!$B$11,"Needs Attention","High Risk"))</f>
        <v>Healthy</v>
      </c>
    </row>
    <row r="792" customFormat="false" ht="15" hidden="false" customHeight="false" outlineLevel="0" collapsed="false">
      <c r="A792" s="8" t="s">
        <v>1725</v>
      </c>
      <c r="B792" s="8" t="s">
        <v>1726</v>
      </c>
      <c r="C792" s="8" t="s">
        <v>53</v>
      </c>
      <c r="D792" s="8" t="s">
        <v>326</v>
      </c>
      <c r="E792" s="8" t="s">
        <v>123</v>
      </c>
      <c r="F792" s="8" t="s">
        <v>151</v>
      </c>
      <c r="G792" s="8" t="s">
        <v>144</v>
      </c>
      <c r="H792" s="15" t="n">
        <v>1300</v>
      </c>
      <c r="I792" s="15" t="n">
        <v>1300</v>
      </c>
      <c r="J792" s="16" t="n">
        <v>0.609</v>
      </c>
      <c r="K792" s="8" t="n">
        <v>5</v>
      </c>
      <c r="L792" s="8" t="n">
        <v>6</v>
      </c>
      <c r="M792" s="8" t="n">
        <v>4</v>
      </c>
      <c r="N792" s="8" t="s">
        <v>120</v>
      </c>
      <c r="O792" s="15" t="n">
        <f aca="false">H792*12</f>
        <v>15600</v>
      </c>
      <c r="P792" s="8" t="n">
        <f aca="false">MIN(100,ROUND(100*J792/Assumptions!$B$8,0))</f>
        <v>68</v>
      </c>
      <c r="Q792" s="8" t="n">
        <f aca="false">IF(L792="",Assumptions!$B$9,L792*10)</f>
        <v>60</v>
      </c>
      <c r="R792" s="8" t="n">
        <f aca="false">IF(M792&lt;=1,Assumptions!$B$12,IF(M792&lt;=3,Assumptions!$B$13,IF(M792&lt;=6,Assumptions!$B$14,Assumptions!$B$15)))</f>
        <v>50</v>
      </c>
      <c r="S792" s="8" t="n">
        <f aca="false">IF(N792="Completed On Time",Assumptions!$B$16,IF(N792="Completed Late",Assumptions!$B$17,Assumptions!$B$18))</f>
        <v>100</v>
      </c>
      <c r="T792" s="8" t="n">
        <f aca="false">IF(I792=0,Assumptions!$B$20,IF(H792&gt;I792,Assumptions!$B$19,IF(H792=I792,Assumptions!$B$20,Assumptions!$B$21)))</f>
        <v>70</v>
      </c>
      <c r="U792" s="8" t="n">
        <f aca="false">ROUND(P792*Assumptions!$B$2+Q792*Assumptions!$B$3+R792*Assumptions!$B$4+S792*Assumptions!$B$5+T792*Assumptions!$B$6,0)</f>
        <v>67</v>
      </c>
      <c r="V792" s="8" t="str">
        <f aca="false">IF(U792&gt;=Assumptions!$B$10,"Healthy",IF(U792&gt;=Assumptions!$B$11,"Needs Attention","High Risk"))</f>
        <v>Needs Attention</v>
      </c>
    </row>
    <row r="793" customFormat="false" ht="15" hidden="false" customHeight="false" outlineLevel="0" collapsed="false">
      <c r="A793" s="8" t="s">
        <v>1727</v>
      </c>
      <c r="B793" s="8" t="s">
        <v>1728</v>
      </c>
      <c r="C793" s="8" t="s">
        <v>53</v>
      </c>
      <c r="D793" s="8" t="s">
        <v>326</v>
      </c>
      <c r="E793" s="8" t="s">
        <v>132</v>
      </c>
      <c r="F793" s="8" t="s">
        <v>143</v>
      </c>
      <c r="G793" s="8" t="s">
        <v>204</v>
      </c>
      <c r="H793" s="15" t="n">
        <v>1300</v>
      </c>
      <c r="I793" s="15" t="n">
        <v>1300</v>
      </c>
      <c r="J793" s="16" t="n">
        <v>0.635</v>
      </c>
      <c r="K793" s="8" t="n">
        <v>7.7</v>
      </c>
      <c r="L793" s="8" t="n">
        <v>6</v>
      </c>
      <c r="M793" s="8" t="n">
        <v>1</v>
      </c>
      <c r="N793" s="8" t="s">
        <v>120</v>
      </c>
      <c r="O793" s="15" t="n">
        <f aca="false">H793*12</f>
        <v>15600</v>
      </c>
      <c r="P793" s="8" t="n">
        <f aca="false">MIN(100,ROUND(100*J793/Assumptions!$B$8,0))</f>
        <v>71</v>
      </c>
      <c r="Q793" s="8" t="n">
        <f aca="false">IF(L793="",Assumptions!$B$9,L793*10)</f>
        <v>60</v>
      </c>
      <c r="R793" s="8" t="n">
        <f aca="false">IF(M793&lt;=1,Assumptions!$B$12,IF(M793&lt;=3,Assumptions!$B$13,IF(M793&lt;=6,Assumptions!$B$14,Assumptions!$B$15)))</f>
        <v>100</v>
      </c>
      <c r="S793" s="8" t="n">
        <f aca="false">IF(N793="Completed On Time",Assumptions!$B$16,IF(N793="Completed Late",Assumptions!$B$17,Assumptions!$B$18))</f>
        <v>100</v>
      </c>
      <c r="T793" s="8" t="n">
        <f aca="false">IF(I793=0,Assumptions!$B$20,IF(H793&gt;I793,Assumptions!$B$19,IF(H793=I793,Assumptions!$B$20,Assumptions!$B$21)))</f>
        <v>70</v>
      </c>
      <c r="U793" s="8" t="n">
        <f aca="false">ROUND(P793*Assumptions!$B$2+Q793*Assumptions!$B$3+R793*Assumptions!$B$4+S793*Assumptions!$B$5+T793*Assumptions!$B$6,0)</f>
        <v>76</v>
      </c>
      <c r="V793" s="8" t="str">
        <f aca="false">IF(U793&gt;=Assumptions!$B$10,"Healthy",IF(U793&gt;=Assumptions!$B$11,"Needs Attention","High Risk"))</f>
        <v>Needs Attention</v>
      </c>
    </row>
    <row r="794" customFormat="false" ht="15" hidden="false" customHeight="false" outlineLevel="0" collapsed="false">
      <c r="A794" s="8" t="s">
        <v>1729</v>
      </c>
      <c r="B794" s="8" t="s">
        <v>1730</v>
      </c>
      <c r="C794" s="8" t="s">
        <v>53</v>
      </c>
      <c r="D794" s="8" t="s">
        <v>326</v>
      </c>
      <c r="E794" s="8" t="s">
        <v>132</v>
      </c>
      <c r="F794" s="8" t="s">
        <v>124</v>
      </c>
      <c r="G794" s="8" t="s">
        <v>144</v>
      </c>
      <c r="H794" s="15" t="n">
        <v>1275</v>
      </c>
      <c r="I794" s="15" t="n">
        <v>1275</v>
      </c>
      <c r="J794" s="16" t="n">
        <v>0.686</v>
      </c>
      <c r="K794" s="8" t="n">
        <v>9.3</v>
      </c>
      <c r="L794" s="8" t="n">
        <v>8</v>
      </c>
      <c r="M794" s="8" t="n">
        <v>1</v>
      </c>
      <c r="N794" s="8" t="s">
        <v>120</v>
      </c>
      <c r="O794" s="15" t="n">
        <f aca="false">H794*12</f>
        <v>15300</v>
      </c>
      <c r="P794" s="8" t="n">
        <f aca="false">MIN(100,ROUND(100*J794/Assumptions!$B$8,0))</f>
        <v>76</v>
      </c>
      <c r="Q794" s="8" t="n">
        <f aca="false">IF(L794="",Assumptions!$B$9,L794*10)</f>
        <v>80</v>
      </c>
      <c r="R794" s="8" t="n">
        <f aca="false">IF(M794&lt;=1,Assumptions!$B$12,IF(M794&lt;=3,Assumptions!$B$13,IF(M794&lt;=6,Assumptions!$B$14,Assumptions!$B$15)))</f>
        <v>100</v>
      </c>
      <c r="S794" s="8" t="n">
        <f aca="false">IF(N794="Completed On Time",Assumptions!$B$16,IF(N794="Completed Late",Assumptions!$B$17,Assumptions!$B$18))</f>
        <v>100</v>
      </c>
      <c r="T794" s="8" t="n">
        <f aca="false">IF(I794=0,Assumptions!$B$20,IF(H794&gt;I794,Assumptions!$B$19,IF(H794=I794,Assumptions!$B$20,Assumptions!$B$21)))</f>
        <v>70</v>
      </c>
      <c r="U794" s="8" t="n">
        <f aca="false">ROUND(P794*Assumptions!$B$2+Q794*Assumptions!$B$3+R794*Assumptions!$B$4+S794*Assumptions!$B$5+T794*Assumptions!$B$6,0)</f>
        <v>82</v>
      </c>
      <c r="V794" s="8" t="str">
        <f aca="false">IF(U794&gt;=Assumptions!$B$10,"Healthy",IF(U794&gt;=Assumptions!$B$11,"Needs Attention","High Risk"))</f>
        <v>Healthy</v>
      </c>
    </row>
    <row r="795" customFormat="false" ht="15" hidden="false" customHeight="false" outlineLevel="0" collapsed="false">
      <c r="A795" s="8" t="s">
        <v>1731</v>
      </c>
      <c r="B795" s="8" t="s">
        <v>1732</v>
      </c>
      <c r="C795" s="8" t="s">
        <v>51</v>
      </c>
      <c r="D795" s="8" t="s">
        <v>326</v>
      </c>
      <c r="E795" s="8" t="s">
        <v>123</v>
      </c>
      <c r="F795" s="8" t="s">
        <v>124</v>
      </c>
      <c r="G795" s="8" t="s">
        <v>180</v>
      </c>
      <c r="H795" s="15" t="n">
        <v>1275</v>
      </c>
      <c r="I795" s="15" t="n">
        <v>1275</v>
      </c>
      <c r="J795" s="16" t="n">
        <v>0.85</v>
      </c>
      <c r="K795" s="8" t="n">
        <v>7.3</v>
      </c>
      <c r="L795" s="8" t="n">
        <v>6</v>
      </c>
      <c r="M795" s="8" t="n">
        <v>1</v>
      </c>
      <c r="N795" s="8" t="s">
        <v>120</v>
      </c>
      <c r="O795" s="15" t="n">
        <f aca="false">H795*12</f>
        <v>15300</v>
      </c>
      <c r="P795" s="8" t="n">
        <f aca="false">MIN(100,ROUND(100*J795/Assumptions!$B$8,0))</f>
        <v>94</v>
      </c>
      <c r="Q795" s="8" t="n">
        <f aca="false">IF(L795="",Assumptions!$B$9,L795*10)</f>
        <v>60</v>
      </c>
      <c r="R795" s="8" t="n">
        <f aca="false">IF(M795&lt;=1,Assumptions!$B$12,IF(M795&lt;=3,Assumptions!$B$13,IF(M795&lt;=6,Assumptions!$B$14,Assumptions!$B$15)))</f>
        <v>100</v>
      </c>
      <c r="S795" s="8" t="n">
        <f aca="false">IF(N795="Completed On Time",Assumptions!$B$16,IF(N795="Completed Late",Assumptions!$B$17,Assumptions!$B$18))</f>
        <v>100</v>
      </c>
      <c r="T795" s="8" t="n">
        <f aca="false">IF(I795=0,Assumptions!$B$20,IF(H795&gt;I795,Assumptions!$B$19,IF(H795=I795,Assumptions!$B$20,Assumptions!$B$21)))</f>
        <v>70</v>
      </c>
      <c r="U795" s="8" t="n">
        <f aca="false">ROUND(P795*Assumptions!$B$2+Q795*Assumptions!$B$3+R795*Assumptions!$B$4+S795*Assumptions!$B$5+T795*Assumptions!$B$6,0)</f>
        <v>84</v>
      </c>
      <c r="V795" s="8" t="str">
        <f aca="false">IF(U795&gt;=Assumptions!$B$10,"Healthy",IF(U795&gt;=Assumptions!$B$11,"Needs Attention","High Risk"))</f>
        <v>Healthy</v>
      </c>
    </row>
    <row r="796" customFormat="false" ht="15" hidden="false" customHeight="false" outlineLevel="0" collapsed="false">
      <c r="A796" s="8" t="s">
        <v>1733</v>
      </c>
      <c r="B796" s="8" t="s">
        <v>1734</v>
      </c>
      <c r="C796" s="8" t="s">
        <v>51</v>
      </c>
      <c r="D796" s="8" t="s">
        <v>326</v>
      </c>
      <c r="E796" s="8" t="s">
        <v>123</v>
      </c>
      <c r="F796" s="8" t="s">
        <v>223</v>
      </c>
      <c r="G796" s="8" t="s">
        <v>159</v>
      </c>
      <c r="H796" s="15" t="n">
        <v>1275</v>
      </c>
      <c r="I796" s="15" t="n">
        <v>1275</v>
      </c>
      <c r="J796" s="16" t="n">
        <v>0.85</v>
      </c>
      <c r="K796" s="8" t="n">
        <v>10.3</v>
      </c>
      <c r="L796" s="8" t="n">
        <v>10</v>
      </c>
      <c r="M796" s="8" t="n">
        <v>4</v>
      </c>
      <c r="N796" s="8" t="s">
        <v>120</v>
      </c>
      <c r="O796" s="15" t="n">
        <f aca="false">H796*12</f>
        <v>15300</v>
      </c>
      <c r="P796" s="8" t="n">
        <f aca="false">MIN(100,ROUND(100*J796/Assumptions!$B$8,0))</f>
        <v>94</v>
      </c>
      <c r="Q796" s="8" t="n">
        <f aca="false">IF(L796="",Assumptions!$B$9,L796*10)</f>
        <v>100</v>
      </c>
      <c r="R796" s="8" t="n">
        <f aca="false">IF(M796&lt;=1,Assumptions!$B$12,IF(M796&lt;=3,Assumptions!$B$13,IF(M796&lt;=6,Assumptions!$B$14,Assumptions!$B$15)))</f>
        <v>50</v>
      </c>
      <c r="S796" s="8" t="n">
        <f aca="false">IF(N796="Completed On Time",Assumptions!$B$16,IF(N796="Completed Late",Assumptions!$B$17,Assumptions!$B$18))</f>
        <v>100</v>
      </c>
      <c r="T796" s="8" t="n">
        <f aca="false">IF(I796=0,Assumptions!$B$20,IF(H796&gt;I796,Assumptions!$B$19,IF(H796=I796,Assumptions!$B$20,Assumptions!$B$21)))</f>
        <v>70</v>
      </c>
      <c r="U796" s="8" t="n">
        <f aca="false">ROUND(P796*Assumptions!$B$2+Q796*Assumptions!$B$3+R796*Assumptions!$B$4+S796*Assumptions!$B$5+T796*Assumptions!$B$6,0)</f>
        <v>84</v>
      </c>
      <c r="V796" s="8" t="str">
        <f aca="false">IF(U796&gt;=Assumptions!$B$10,"Healthy",IF(U796&gt;=Assumptions!$B$11,"Needs Attention","High Risk"))</f>
        <v>Healthy</v>
      </c>
    </row>
    <row r="797" customFormat="false" ht="15" hidden="false" customHeight="false" outlineLevel="0" collapsed="false">
      <c r="A797" s="8" t="s">
        <v>1735</v>
      </c>
      <c r="B797" s="8" t="s">
        <v>1736</v>
      </c>
      <c r="C797" s="8" t="s">
        <v>53</v>
      </c>
      <c r="D797" s="8" t="s">
        <v>326</v>
      </c>
      <c r="E797" s="8" t="s">
        <v>123</v>
      </c>
      <c r="F797" s="8" t="s">
        <v>190</v>
      </c>
      <c r="G797" s="8" t="s">
        <v>125</v>
      </c>
      <c r="H797" s="15" t="n">
        <v>1275</v>
      </c>
      <c r="I797" s="15" t="n">
        <v>1275</v>
      </c>
      <c r="J797" s="16" t="n">
        <v>0.68</v>
      </c>
      <c r="K797" s="8" t="n">
        <v>8</v>
      </c>
      <c r="L797" s="8" t="n">
        <v>7</v>
      </c>
      <c r="M797" s="8" t="n">
        <v>3</v>
      </c>
      <c r="N797" s="8" t="s">
        <v>120</v>
      </c>
      <c r="O797" s="15" t="n">
        <f aca="false">H797*12</f>
        <v>15300</v>
      </c>
      <c r="P797" s="8" t="n">
        <f aca="false">MIN(100,ROUND(100*J797/Assumptions!$B$8,0))</f>
        <v>76</v>
      </c>
      <c r="Q797" s="8" t="n">
        <f aca="false">IF(L797="",Assumptions!$B$9,L797*10)</f>
        <v>70</v>
      </c>
      <c r="R797" s="8" t="n">
        <f aca="false">IF(M797&lt;=1,Assumptions!$B$12,IF(M797&lt;=3,Assumptions!$B$13,IF(M797&lt;=6,Assumptions!$B$14,Assumptions!$B$15)))</f>
        <v>75</v>
      </c>
      <c r="S797" s="8" t="n">
        <f aca="false">IF(N797="Completed On Time",Assumptions!$B$16,IF(N797="Completed Late",Assumptions!$B$17,Assumptions!$B$18))</f>
        <v>100</v>
      </c>
      <c r="T797" s="8" t="n">
        <f aca="false">IF(I797=0,Assumptions!$B$20,IF(H797&gt;I797,Assumptions!$B$19,IF(H797=I797,Assumptions!$B$20,Assumptions!$B$21)))</f>
        <v>70</v>
      </c>
      <c r="U797" s="8" t="n">
        <f aca="false">ROUND(P797*Assumptions!$B$2+Q797*Assumptions!$B$3+R797*Assumptions!$B$4+S797*Assumptions!$B$5+T797*Assumptions!$B$6,0)</f>
        <v>76</v>
      </c>
      <c r="V797" s="8" t="str">
        <f aca="false">IF(U797&gt;=Assumptions!$B$10,"Healthy",IF(U797&gt;=Assumptions!$B$11,"Needs Attention","High Risk"))</f>
        <v>Needs Attention</v>
      </c>
    </row>
    <row r="798" customFormat="false" ht="15" hidden="false" customHeight="false" outlineLevel="0" collapsed="false">
      <c r="A798" s="8" t="s">
        <v>1737</v>
      </c>
      <c r="B798" s="8" t="s">
        <v>1738</v>
      </c>
      <c r="C798" s="8" t="s">
        <v>53</v>
      </c>
      <c r="D798" s="8" t="s">
        <v>326</v>
      </c>
      <c r="E798" s="8" t="s">
        <v>132</v>
      </c>
      <c r="F798" s="8" t="s">
        <v>136</v>
      </c>
      <c r="G798" s="8" t="s">
        <v>119</v>
      </c>
      <c r="H798" s="15" t="n">
        <v>1250</v>
      </c>
      <c r="I798" s="15" t="n">
        <v>1250</v>
      </c>
      <c r="J798" s="16" t="n">
        <v>0.887</v>
      </c>
      <c r="K798" s="8" t="n">
        <v>11</v>
      </c>
      <c r="L798" s="8" t="n">
        <v>10</v>
      </c>
      <c r="M798" s="8" t="n">
        <v>0</v>
      </c>
      <c r="N798" s="8" t="s">
        <v>120</v>
      </c>
      <c r="O798" s="15" t="n">
        <f aca="false">H798*12</f>
        <v>15000</v>
      </c>
      <c r="P798" s="8" t="n">
        <f aca="false">MIN(100,ROUND(100*J798/Assumptions!$B$8,0))</f>
        <v>99</v>
      </c>
      <c r="Q798" s="8" t="n">
        <f aca="false">IF(L798="",Assumptions!$B$9,L798*10)</f>
        <v>100</v>
      </c>
      <c r="R798" s="8" t="n">
        <f aca="false">IF(M798&lt;=1,Assumptions!$B$12,IF(M798&lt;=3,Assumptions!$B$13,IF(M798&lt;=6,Assumptions!$B$14,Assumptions!$B$15)))</f>
        <v>100</v>
      </c>
      <c r="S798" s="8" t="n">
        <f aca="false">IF(N798="Completed On Time",Assumptions!$B$16,IF(N798="Completed Late",Assumptions!$B$17,Assumptions!$B$18))</f>
        <v>100</v>
      </c>
      <c r="T798" s="8" t="n">
        <f aca="false">IF(I798=0,Assumptions!$B$20,IF(H798&gt;I798,Assumptions!$B$19,IF(H798=I798,Assumptions!$B$20,Assumptions!$B$21)))</f>
        <v>70</v>
      </c>
      <c r="U798" s="8" t="n">
        <f aca="false">ROUND(P798*Assumptions!$B$2+Q798*Assumptions!$B$3+R798*Assumptions!$B$4+S798*Assumptions!$B$5+T798*Assumptions!$B$6,0)</f>
        <v>94</v>
      </c>
      <c r="V798" s="8" t="str">
        <f aca="false">IF(U798&gt;=Assumptions!$B$10,"Healthy",IF(U798&gt;=Assumptions!$B$11,"Needs Attention","High Risk"))</f>
        <v>Healthy</v>
      </c>
    </row>
    <row r="799" customFormat="false" ht="15" hidden="false" customHeight="false" outlineLevel="0" collapsed="false">
      <c r="A799" s="8" t="s">
        <v>1739</v>
      </c>
      <c r="B799" s="8" t="s">
        <v>1740</v>
      </c>
      <c r="C799" s="8" t="s">
        <v>51</v>
      </c>
      <c r="D799" s="8" t="s">
        <v>326</v>
      </c>
      <c r="E799" s="8" t="s">
        <v>123</v>
      </c>
      <c r="F799" s="8" t="s">
        <v>151</v>
      </c>
      <c r="G799" s="8" t="s">
        <v>185</v>
      </c>
      <c r="H799" s="15" t="n">
        <v>1250</v>
      </c>
      <c r="I799" s="15" t="n">
        <v>1250</v>
      </c>
      <c r="J799" s="16" t="n">
        <v>0.74</v>
      </c>
      <c r="K799" s="8" t="n">
        <v>8.7</v>
      </c>
      <c r="L799" s="8" t="n">
        <v>8</v>
      </c>
      <c r="M799" s="8" t="n">
        <v>4</v>
      </c>
      <c r="N799" s="8" t="s">
        <v>120</v>
      </c>
      <c r="O799" s="15" t="n">
        <f aca="false">H799*12</f>
        <v>15000</v>
      </c>
      <c r="P799" s="8" t="n">
        <f aca="false">MIN(100,ROUND(100*J799/Assumptions!$B$8,0))</f>
        <v>82</v>
      </c>
      <c r="Q799" s="8" t="n">
        <f aca="false">IF(L799="",Assumptions!$B$9,L799*10)</f>
        <v>80</v>
      </c>
      <c r="R799" s="8" t="n">
        <f aca="false">IF(M799&lt;=1,Assumptions!$B$12,IF(M799&lt;=3,Assumptions!$B$13,IF(M799&lt;=6,Assumptions!$B$14,Assumptions!$B$15)))</f>
        <v>50</v>
      </c>
      <c r="S799" s="8" t="n">
        <f aca="false">IF(N799="Completed On Time",Assumptions!$B$16,IF(N799="Completed Late",Assumptions!$B$17,Assumptions!$B$18))</f>
        <v>100</v>
      </c>
      <c r="T799" s="8" t="n">
        <f aca="false">IF(I799=0,Assumptions!$B$20,IF(H799&gt;I799,Assumptions!$B$19,IF(H799=I799,Assumptions!$B$20,Assumptions!$B$21)))</f>
        <v>70</v>
      </c>
      <c r="U799" s="8" t="n">
        <f aca="false">ROUND(P799*Assumptions!$B$2+Q799*Assumptions!$B$3+R799*Assumptions!$B$4+S799*Assumptions!$B$5+T799*Assumptions!$B$6,0)</f>
        <v>76</v>
      </c>
      <c r="V799" s="8" t="str">
        <f aca="false">IF(U799&gt;=Assumptions!$B$10,"Healthy",IF(U799&gt;=Assumptions!$B$11,"Needs Attention","High Risk"))</f>
        <v>Needs Attention</v>
      </c>
    </row>
    <row r="800" customFormat="false" ht="15" hidden="false" customHeight="false" outlineLevel="0" collapsed="false">
      <c r="A800" s="8" t="s">
        <v>1741</v>
      </c>
      <c r="B800" s="8" t="s">
        <v>1742</v>
      </c>
      <c r="C800" s="8" t="s">
        <v>51</v>
      </c>
      <c r="D800" s="8" t="s">
        <v>326</v>
      </c>
      <c r="E800" s="8" t="s">
        <v>117</v>
      </c>
      <c r="F800" s="8" t="s">
        <v>143</v>
      </c>
      <c r="G800" s="8" t="s">
        <v>185</v>
      </c>
      <c r="H800" s="15" t="n">
        <v>1250</v>
      </c>
      <c r="I800" s="15" t="n">
        <v>1250</v>
      </c>
      <c r="J800" s="16" t="n">
        <v>0.727</v>
      </c>
      <c r="K800" s="8" t="n">
        <v>8</v>
      </c>
      <c r="L800" s="8" t="n">
        <v>7</v>
      </c>
      <c r="M800" s="8" t="n">
        <v>7</v>
      </c>
      <c r="N800" s="8" t="s">
        <v>120</v>
      </c>
      <c r="O800" s="15" t="n">
        <f aca="false">H800*12</f>
        <v>15000</v>
      </c>
      <c r="P800" s="8" t="n">
        <f aca="false">MIN(100,ROUND(100*J800/Assumptions!$B$8,0))</f>
        <v>81</v>
      </c>
      <c r="Q800" s="8" t="n">
        <f aca="false">IF(L800="",Assumptions!$B$9,L800*10)</f>
        <v>70</v>
      </c>
      <c r="R800" s="8" t="n">
        <f aca="false">IF(M800&lt;=1,Assumptions!$B$12,IF(M800&lt;=3,Assumptions!$B$13,IF(M800&lt;=6,Assumptions!$B$14,Assumptions!$B$15)))</f>
        <v>20</v>
      </c>
      <c r="S800" s="8" t="n">
        <f aca="false">IF(N800="Completed On Time",Assumptions!$B$16,IF(N800="Completed Late",Assumptions!$B$17,Assumptions!$B$18))</f>
        <v>100</v>
      </c>
      <c r="T800" s="8" t="n">
        <f aca="false">IF(I800=0,Assumptions!$B$20,IF(H800&gt;I800,Assumptions!$B$19,IF(H800=I800,Assumptions!$B$20,Assumptions!$B$21)))</f>
        <v>70</v>
      </c>
      <c r="U800" s="8" t="n">
        <f aca="false">ROUND(P800*Assumptions!$B$2+Q800*Assumptions!$B$3+R800*Assumptions!$B$4+S800*Assumptions!$B$5+T800*Assumptions!$B$6,0)</f>
        <v>69</v>
      </c>
      <c r="V800" s="8" t="str">
        <f aca="false">IF(U800&gt;=Assumptions!$B$10,"Healthy",IF(U800&gt;=Assumptions!$B$11,"Needs Attention","High Risk"))</f>
        <v>Needs Attention</v>
      </c>
    </row>
    <row r="801" customFormat="false" ht="15" hidden="false" customHeight="false" outlineLevel="0" collapsed="false">
      <c r="A801" s="8" t="s">
        <v>1743</v>
      </c>
      <c r="B801" s="8" t="s">
        <v>1744</v>
      </c>
      <c r="C801" s="8" t="s">
        <v>51</v>
      </c>
      <c r="D801" s="8" t="s">
        <v>326</v>
      </c>
      <c r="E801" s="8" t="s">
        <v>123</v>
      </c>
      <c r="F801" s="8" t="s">
        <v>124</v>
      </c>
      <c r="G801" s="8" t="s">
        <v>204</v>
      </c>
      <c r="H801" s="15" t="n">
        <v>1250</v>
      </c>
      <c r="I801" s="15" t="n">
        <v>1250</v>
      </c>
      <c r="J801" s="16" t="n">
        <v>0.633</v>
      </c>
      <c r="K801" s="8" t="n">
        <v>6.3</v>
      </c>
      <c r="L801" s="8" t="n">
        <v>8</v>
      </c>
      <c r="M801" s="8" t="n">
        <v>2</v>
      </c>
      <c r="N801" s="8" t="s">
        <v>120</v>
      </c>
      <c r="O801" s="15" t="n">
        <f aca="false">H801*12</f>
        <v>15000</v>
      </c>
      <c r="P801" s="8" t="n">
        <f aca="false">MIN(100,ROUND(100*J801/Assumptions!$B$8,0))</f>
        <v>70</v>
      </c>
      <c r="Q801" s="8" t="n">
        <f aca="false">IF(L801="",Assumptions!$B$9,L801*10)</f>
        <v>80</v>
      </c>
      <c r="R801" s="8" t="n">
        <f aca="false">IF(M801&lt;=1,Assumptions!$B$12,IF(M801&lt;=3,Assumptions!$B$13,IF(M801&lt;=6,Assumptions!$B$14,Assumptions!$B$15)))</f>
        <v>75</v>
      </c>
      <c r="S801" s="8" t="n">
        <f aca="false">IF(N801="Completed On Time",Assumptions!$B$16,IF(N801="Completed Late",Assumptions!$B$17,Assumptions!$B$18))</f>
        <v>100</v>
      </c>
      <c r="T801" s="8" t="n">
        <f aca="false">IF(I801=0,Assumptions!$B$20,IF(H801&gt;I801,Assumptions!$B$19,IF(H801=I801,Assumptions!$B$20,Assumptions!$B$21)))</f>
        <v>70</v>
      </c>
      <c r="U801" s="8" t="n">
        <f aca="false">ROUND(P801*Assumptions!$B$2+Q801*Assumptions!$B$3+R801*Assumptions!$B$4+S801*Assumptions!$B$5+T801*Assumptions!$B$6,0)</f>
        <v>76</v>
      </c>
      <c r="V801" s="8" t="str">
        <f aca="false">IF(U801&gt;=Assumptions!$B$10,"Healthy",IF(U801&gt;=Assumptions!$B$11,"Needs Attention","High Risk"))</f>
        <v>Needs Attention</v>
      </c>
    </row>
    <row r="802" customFormat="false" ht="15" hidden="false" customHeight="false" outlineLevel="0" collapsed="false">
      <c r="A802" s="8" t="s">
        <v>1745</v>
      </c>
      <c r="B802" s="8" t="s">
        <v>1746</v>
      </c>
      <c r="C802" s="8" t="s">
        <v>53</v>
      </c>
      <c r="D802" s="8" t="s">
        <v>326</v>
      </c>
      <c r="E802" s="8" t="s">
        <v>123</v>
      </c>
      <c r="F802" s="8" t="s">
        <v>190</v>
      </c>
      <c r="G802" s="8" t="s">
        <v>119</v>
      </c>
      <c r="H802" s="15" t="n">
        <v>1250</v>
      </c>
      <c r="I802" s="15" t="n">
        <v>1250</v>
      </c>
      <c r="J802" s="16" t="n">
        <v>0.653</v>
      </c>
      <c r="K802" s="8" t="n">
        <v>7.7</v>
      </c>
      <c r="L802" s="8" t="n">
        <v>7</v>
      </c>
      <c r="M802" s="8" t="n">
        <v>1</v>
      </c>
      <c r="N802" s="8" t="s">
        <v>120</v>
      </c>
      <c r="O802" s="15" t="n">
        <f aca="false">H802*12</f>
        <v>15000</v>
      </c>
      <c r="P802" s="8" t="n">
        <f aca="false">MIN(100,ROUND(100*J802/Assumptions!$B$8,0))</f>
        <v>73</v>
      </c>
      <c r="Q802" s="8" t="n">
        <f aca="false">IF(L802="",Assumptions!$B$9,L802*10)</f>
        <v>70</v>
      </c>
      <c r="R802" s="8" t="n">
        <f aca="false">IF(M802&lt;=1,Assumptions!$B$12,IF(M802&lt;=3,Assumptions!$B$13,IF(M802&lt;=6,Assumptions!$B$14,Assumptions!$B$15)))</f>
        <v>100</v>
      </c>
      <c r="S802" s="8" t="n">
        <f aca="false">IF(N802="Completed On Time",Assumptions!$B$16,IF(N802="Completed Late",Assumptions!$B$17,Assumptions!$B$18))</f>
        <v>100</v>
      </c>
      <c r="T802" s="8" t="n">
        <f aca="false">IF(I802=0,Assumptions!$B$20,IF(H802&gt;I802,Assumptions!$B$19,IF(H802=I802,Assumptions!$B$20,Assumptions!$B$21)))</f>
        <v>70</v>
      </c>
      <c r="U802" s="8" t="n">
        <f aca="false">ROUND(P802*Assumptions!$B$2+Q802*Assumptions!$B$3+R802*Assumptions!$B$4+S802*Assumptions!$B$5+T802*Assumptions!$B$6,0)</f>
        <v>79</v>
      </c>
      <c r="V802" s="8" t="str">
        <f aca="false">IF(U802&gt;=Assumptions!$B$10,"Healthy",IF(U802&gt;=Assumptions!$B$11,"Needs Attention","High Risk"))</f>
        <v>Needs Attention</v>
      </c>
    </row>
    <row r="803" customFormat="false" ht="15" hidden="false" customHeight="false" outlineLevel="0" collapsed="false">
      <c r="A803" s="8" t="s">
        <v>1747</v>
      </c>
      <c r="B803" s="8" t="s">
        <v>1748</v>
      </c>
      <c r="C803" s="8" t="s">
        <v>53</v>
      </c>
      <c r="D803" s="8" t="s">
        <v>326</v>
      </c>
      <c r="E803" s="8" t="s">
        <v>123</v>
      </c>
      <c r="F803" s="8" t="s">
        <v>136</v>
      </c>
      <c r="G803" s="8" t="s">
        <v>140</v>
      </c>
      <c r="H803" s="15" t="n">
        <v>1225</v>
      </c>
      <c r="I803" s="15" t="n">
        <v>1225</v>
      </c>
      <c r="J803" s="16" t="n">
        <v>0.639</v>
      </c>
      <c r="K803" s="8" t="n">
        <v>9</v>
      </c>
      <c r="L803" s="8" t="n">
        <v>6</v>
      </c>
      <c r="M803" s="8" t="n">
        <v>0</v>
      </c>
      <c r="N803" s="8" t="s">
        <v>120</v>
      </c>
      <c r="O803" s="15" t="n">
        <f aca="false">H803*12</f>
        <v>14700</v>
      </c>
      <c r="P803" s="8" t="n">
        <f aca="false">MIN(100,ROUND(100*J803/Assumptions!$B$8,0))</f>
        <v>71</v>
      </c>
      <c r="Q803" s="8" t="n">
        <f aca="false">IF(L803="",Assumptions!$B$9,L803*10)</f>
        <v>60</v>
      </c>
      <c r="R803" s="8" t="n">
        <f aca="false">IF(M803&lt;=1,Assumptions!$B$12,IF(M803&lt;=3,Assumptions!$B$13,IF(M803&lt;=6,Assumptions!$B$14,Assumptions!$B$15)))</f>
        <v>100</v>
      </c>
      <c r="S803" s="8" t="n">
        <f aca="false">IF(N803="Completed On Time",Assumptions!$B$16,IF(N803="Completed Late",Assumptions!$B$17,Assumptions!$B$18))</f>
        <v>100</v>
      </c>
      <c r="T803" s="8" t="n">
        <f aca="false">IF(I803=0,Assumptions!$B$20,IF(H803&gt;I803,Assumptions!$B$19,IF(H803=I803,Assumptions!$B$20,Assumptions!$B$21)))</f>
        <v>70</v>
      </c>
      <c r="U803" s="8" t="n">
        <f aca="false">ROUND(P803*Assumptions!$B$2+Q803*Assumptions!$B$3+R803*Assumptions!$B$4+S803*Assumptions!$B$5+T803*Assumptions!$B$6,0)</f>
        <v>76</v>
      </c>
      <c r="V803" s="8" t="str">
        <f aca="false">IF(U803&gt;=Assumptions!$B$10,"Healthy",IF(U803&gt;=Assumptions!$B$11,"Needs Attention","High Risk"))</f>
        <v>Needs Attention</v>
      </c>
    </row>
    <row r="804" customFormat="false" ht="15" hidden="false" customHeight="false" outlineLevel="0" collapsed="false">
      <c r="A804" s="8" t="s">
        <v>1749</v>
      </c>
      <c r="B804" s="8" t="s">
        <v>1750</v>
      </c>
      <c r="C804" s="8" t="s">
        <v>53</v>
      </c>
      <c r="D804" s="8" t="s">
        <v>326</v>
      </c>
      <c r="E804" s="8" t="s">
        <v>117</v>
      </c>
      <c r="F804" s="8" t="s">
        <v>166</v>
      </c>
      <c r="G804" s="8" t="s">
        <v>137</v>
      </c>
      <c r="H804" s="15" t="n">
        <v>1200</v>
      </c>
      <c r="I804" s="15" t="n">
        <v>1200</v>
      </c>
      <c r="J804" s="16" t="n">
        <v>0.729</v>
      </c>
      <c r="K804" s="8" t="n">
        <v>9.7</v>
      </c>
      <c r="L804" s="8" t="n">
        <v>10</v>
      </c>
      <c r="M804" s="8" t="n">
        <v>4</v>
      </c>
      <c r="N804" s="8" t="s">
        <v>120</v>
      </c>
      <c r="O804" s="15" t="n">
        <f aca="false">H804*12</f>
        <v>14400</v>
      </c>
      <c r="P804" s="8" t="n">
        <f aca="false">MIN(100,ROUND(100*J804/Assumptions!$B$8,0))</f>
        <v>81</v>
      </c>
      <c r="Q804" s="8" t="n">
        <f aca="false">IF(L804="",Assumptions!$B$9,L804*10)</f>
        <v>100</v>
      </c>
      <c r="R804" s="8" t="n">
        <f aca="false">IF(M804&lt;=1,Assumptions!$B$12,IF(M804&lt;=3,Assumptions!$B$13,IF(M804&lt;=6,Assumptions!$B$14,Assumptions!$B$15)))</f>
        <v>50</v>
      </c>
      <c r="S804" s="8" t="n">
        <f aca="false">IF(N804="Completed On Time",Assumptions!$B$16,IF(N804="Completed Late",Assumptions!$B$17,Assumptions!$B$18))</f>
        <v>100</v>
      </c>
      <c r="T804" s="8" t="n">
        <f aca="false">IF(I804=0,Assumptions!$B$20,IF(H804&gt;I804,Assumptions!$B$19,IF(H804=I804,Assumptions!$B$20,Assumptions!$B$21)))</f>
        <v>70</v>
      </c>
      <c r="U804" s="8" t="n">
        <f aca="false">ROUND(P804*Assumptions!$B$2+Q804*Assumptions!$B$3+R804*Assumptions!$B$4+S804*Assumptions!$B$5+T804*Assumptions!$B$6,0)</f>
        <v>80</v>
      </c>
      <c r="V804" s="8" t="str">
        <f aca="false">IF(U804&gt;=Assumptions!$B$10,"Healthy",IF(U804&gt;=Assumptions!$B$11,"Needs Attention","High Risk"))</f>
        <v>Healthy</v>
      </c>
    </row>
    <row r="805" customFormat="false" ht="15" hidden="false" customHeight="false" outlineLevel="0" collapsed="false">
      <c r="A805" s="8" t="s">
        <v>1751</v>
      </c>
      <c r="B805" s="8" t="s">
        <v>1752</v>
      </c>
      <c r="C805" s="8" t="s">
        <v>53</v>
      </c>
      <c r="D805" s="8" t="s">
        <v>326</v>
      </c>
      <c r="E805" s="8" t="s">
        <v>132</v>
      </c>
      <c r="F805" s="8" t="s">
        <v>166</v>
      </c>
      <c r="G805" s="8" t="s">
        <v>180</v>
      </c>
      <c r="H805" s="15" t="n">
        <v>1200</v>
      </c>
      <c r="I805" s="15" t="n">
        <v>0</v>
      </c>
      <c r="J805" s="16" t="n">
        <v>0.458</v>
      </c>
      <c r="K805" s="8" t="n">
        <v>6.5</v>
      </c>
      <c r="L805" s="8"/>
      <c r="M805" s="8" t="n">
        <v>5</v>
      </c>
      <c r="N805" s="8" t="s">
        <v>199</v>
      </c>
      <c r="O805" s="15" t="n">
        <f aca="false">H805*12</f>
        <v>14400</v>
      </c>
      <c r="P805" s="8" t="n">
        <f aca="false">MIN(100,ROUND(100*J805/Assumptions!$B$8,0))</f>
        <v>51</v>
      </c>
      <c r="Q805" s="8" t="n">
        <f aca="false">IF(L805="",Assumptions!$B$9,L805*10)</f>
        <v>50</v>
      </c>
      <c r="R805" s="8" t="n">
        <f aca="false">IF(M805&lt;=1,Assumptions!$B$12,IF(M805&lt;=3,Assumptions!$B$13,IF(M805&lt;=6,Assumptions!$B$14,Assumptions!$B$15)))</f>
        <v>50</v>
      </c>
      <c r="S805" s="8" t="n">
        <f aca="false">IF(N805="Completed On Time",Assumptions!$B$16,IF(N805="Completed Late",Assumptions!$B$17,Assumptions!$B$18))</f>
        <v>50</v>
      </c>
      <c r="T805" s="8" t="n">
        <f aca="false">IF(I805=0,Assumptions!$B$20,IF(H805&gt;I805,Assumptions!$B$19,IF(H805=I805,Assumptions!$B$20,Assumptions!$B$21)))</f>
        <v>70</v>
      </c>
      <c r="U805" s="8" t="n">
        <f aca="false">ROUND(P805*Assumptions!$B$2+Q805*Assumptions!$B$3+R805*Assumptions!$B$4+S805*Assumptions!$B$5+T805*Assumptions!$B$6,0)</f>
        <v>54</v>
      </c>
      <c r="V805" s="8" t="str">
        <f aca="false">IF(U805&gt;=Assumptions!$B$10,"Healthy",IF(U805&gt;=Assumptions!$B$11,"Needs Attention","High Risk"))</f>
        <v>High Risk</v>
      </c>
    </row>
    <row r="806" customFormat="false" ht="15" hidden="false" customHeight="false" outlineLevel="0" collapsed="false">
      <c r="A806" s="8" t="s">
        <v>1753</v>
      </c>
      <c r="B806" s="8" t="s">
        <v>1754</v>
      </c>
      <c r="C806" s="8" t="s">
        <v>53</v>
      </c>
      <c r="D806" s="8" t="s">
        <v>326</v>
      </c>
      <c r="E806" s="8" t="s">
        <v>132</v>
      </c>
      <c r="F806" s="8" t="s">
        <v>166</v>
      </c>
      <c r="G806" s="8" t="s">
        <v>119</v>
      </c>
      <c r="H806" s="15" t="n">
        <v>1200</v>
      </c>
      <c r="I806" s="15" t="n">
        <v>1200</v>
      </c>
      <c r="J806" s="16" t="n">
        <v>0.667</v>
      </c>
      <c r="K806" s="8" t="n">
        <v>9</v>
      </c>
      <c r="L806" s="8" t="n">
        <v>7</v>
      </c>
      <c r="M806" s="8" t="n">
        <v>3</v>
      </c>
      <c r="N806" s="8" t="s">
        <v>120</v>
      </c>
      <c r="O806" s="15" t="n">
        <f aca="false">H806*12</f>
        <v>14400</v>
      </c>
      <c r="P806" s="8" t="n">
        <f aca="false">MIN(100,ROUND(100*J806/Assumptions!$B$8,0))</f>
        <v>74</v>
      </c>
      <c r="Q806" s="8" t="n">
        <f aca="false">IF(L806="",Assumptions!$B$9,L806*10)</f>
        <v>70</v>
      </c>
      <c r="R806" s="8" t="n">
        <f aca="false">IF(M806&lt;=1,Assumptions!$B$12,IF(M806&lt;=3,Assumptions!$B$13,IF(M806&lt;=6,Assumptions!$B$14,Assumptions!$B$15)))</f>
        <v>75</v>
      </c>
      <c r="S806" s="8" t="n">
        <f aca="false">IF(N806="Completed On Time",Assumptions!$B$16,IF(N806="Completed Late",Assumptions!$B$17,Assumptions!$B$18))</f>
        <v>100</v>
      </c>
      <c r="T806" s="8" t="n">
        <f aca="false">IF(I806=0,Assumptions!$B$20,IF(H806&gt;I806,Assumptions!$B$19,IF(H806=I806,Assumptions!$B$20,Assumptions!$B$21)))</f>
        <v>70</v>
      </c>
      <c r="U806" s="8" t="n">
        <f aca="false">ROUND(P806*Assumptions!$B$2+Q806*Assumptions!$B$3+R806*Assumptions!$B$4+S806*Assumptions!$B$5+T806*Assumptions!$B$6,0)</f>
        <v>75</v>
      </c>
      <c r="V806" s="8" t="str">
        <f aca="false">IF(U806&gt;=Assumptions!$B$10,"Healthy",IF(U806&gt;=Assumptions!$B$11,"Needs Attention","High Risk"))</f>
        <v>Needs Attention</v>
      </c>
    </row>
    <row r="807" customFormat="false" ht="15" hidden="false" customHeight="false" outlineLevel="0" collapsed="false">
      <c r="A807" s="8" t="s">
        <v>1755</v>
      </c>
      <c r="B807" s="8" t="s">
        <v>1756</v>
      </c>
      <c r="C807" s="8" t="s">
        <v>53</v>
      </c>
      <c r="D807" s="8" t="s">
        <v>326</v>
      </c>
      <c r="E807" s="8" t="s">
        <v>117</v>
      </c>
      <c r="F807" s="8" t="s">
        <v>124</v>
      </c>
      <c r="G807" s="8" t="s">
        <v>159</v>
      </c>
      <c r="H807" s="15" t="n">
        <v>1200</v>
      </c>
      <c r="I807" s="15" t="n">
        <v>1200</v>
      </c>
      <c r="J807" s="16" t="n">
        <v>0.611</v>
      </c>
      <c r="K807" s="8" t="n">
        <v>5.7</v>
      </c>
      <c r="L807" s="8" t="n">
        <v>8</v>
      </c>
      <c r="M807" s="8" t="n">
        <v>1</v>
      </c>
      <c r="N807" s="8" t="s">
        <v>120</v>
      </c>
      <c r="O807" s="15" t="n">
        <f aca="false">H807*12</f>
        <v>14400</v>
      </c>
      <c r="P807" s="8" t="n">
        <f aca="false">MIN(100,ROUND(100*J807/Assumptions!$B$8,0))</f>
        <v>68</v>
      </c>
      <c r="Q807" s="8" t="n">
        <f aca="false">IF(L807="",Assumptions!$B$9,L807*10)</f>
        <v>80</v>
      </c>
      <c r="R807" s="8" t="n">
        <f aca="false">IF(M807&lt;=1,Assumptions!$B$12,IF(M807&lt;=3,Assumptions!$B$13,IF(M807&lt;=6,Assumptions!$B$14,Assumptions!$B$15)))</f>
        <v>100</v>
      </c>
      <c r="S807" s="8" t="n">
        <f aca="false">IF(N807="Completed On Time",Assumptions!$B$16,IF(N807="Completed Late",Assumptions!$B$17,Assumptions!$B$18))</f>
        <v>100</v>
      </c>
      <c r="T807" s="8" t="n">
        <f aca="false">IF(I807=0,Assumptions!$B$20,IF(H807&gt;I807,Assumptions!$B$19,IF(H807=I807,Assumptions!$B$20,Assumptions!$B$21)))</f>
        <v>70</v>
      </c>
      <c r="U807" s="8" t="n">
        <f aca="false">ROUND(P807*Assumptions!$B$2+Q807*Assumptions!$B$3+R807*Assumptions!$B$4+S807*Assumptions!$B$5+T807*Assumptions!$B$6,0)</f>
        <v>79</v>
      </c>
      <c r="V807" s="8" t="str">
        <f aca="false">IF(U807&gt;=Assumptions!$B$10,"Healthy",IF(U807&gt;=Assumptions!$B$11,"Needs Attention","High Risk"))</f>
        <v>Needs Attention</v>
      </c>
    </row>
    <row r="808" customFormat="false" ht="15" hidden="false" customHeight="false" outlineLevel="0" collapsed="false">
      <c r="A808" s="8" t="s">
        <v>1757</v>
      </c>
      <c r="B808" s="8" t="s">
        <v>1758</v>
      </c>
      <c r="C808" s="8" t="s">
        <v>53</v>
      </c>
      <c r="D808" s="8" t="s">
        <v>326</v>
      </c>
      <c r="E808" s="8" t="s">
        <v>117</v>
      </c>
      <c r="F808" s="8" t="s">
        <v>133</v>
      </c>
      <c r="G808" s="8" t="s">
        <v>185</v>
      </c>
      <c r="H808" s="15" t="n">
        <v>1200</v>
      </c>
      <c r="I808" s="15" t="n">
        <v>1200</v>
      </c>
      <c r="J808" s="16" t="n">
        <v>0.847</v>
      </c>
      <c r="K808" s="8" t="n">
        <v>9.7</v>
      </c>
      <c r="L808" s="8" t="n">
        <v>10</v>
      </c>
      <c r="M808" s="8" t="n">
        <v>1</v>
      </c>
      <c r="N808" s="8" t="s">
        <v>120</v>
      </c>
      <c r="O808" s="15" t="n">
        <f aca="false">H808*12</f>
        <v>14400</v>
      </c>
      <c r="P808" s="8" t="n">
        <f aca="false">MIN(100,ROUND(100*J808/Assumptions!$B$8,0))</f>
        <v>94</v>
      </c>
      <c r="Q808" s="8" t="n">
        <f aca="false">IF(L808="",Assumptions!$B$9,L808*10)</f>
        <v>100</v>
      </c>
      <c r="R808" s="8" t="n">
        <f aca="false">IF(M808&lt;=1,Assumptions!$B$12,IF(M808&lt;=3,Assumptions!$B$13,IF(M808&lt;=6,Assumptions!$B$14,Assumptions!$B$15)))</f>
        <v>100</v>
      </c>
      <c r="S808" s="8" t="n">
        <f aca="false">IF(N808="Completed On Time",Assumptions!$B$16,IF(N808="Completed Late",Assumptions!$B$17,Assumptions!$B$18))</f>
        <v>100</v>
      </c>
      <c r="T808" s="8" t="n">
        <f aca="false">IF(I808=0,Assumptions!$B$20,IF(H808&gt;I808,Assumptions!$B$19,IF(H808=I808,Assumptions!$B$20,Assumptions!$B$21)))</f>
        <v>70</v>
      </c>
      <c r="U808" s="8" t="n">
        <f aca="false">ROUND(P808*Assumptions!$B$2+Q808*Assumptions!$B$3+R808*Assumptions!$B$4+S808*Assumptions!$B$5+T808*Assumptions!$B$6,0)</f>
        <v>92</v>
      </c>
      <c r="V808" s="8" t="str">
        <f aca="false">IF(U808&gt;=Assumptions!$B$10,"Healthy",IF(U808&gt;=Assumptions!$B$11,"Needs Attention","High Risk"))</f>
        <v>Healthy</v>
      </c>
    </row>
    <row r="809" customFormat="false" ht="15" hidden="false" customHeight="false" outlineLevel="0" collapsed="false">
      <c r="A809" s="8" t="s">
        <v>1759</v>
      </c>
      <c r="B809" s="8" t="s">
        <v>1760</v>
      </c>
      <c r="C809" s="8" t="s">
        <v>51</v>
      </c>
      <c r="D809" s="8" t="s">
        <v>326</v>
      </c>
      <c r="E809" s="8" t="s">
        <v>132</v>
      </c>
      <c r="F809" s="8" t="s">
        <v>151</v>
      </c>
      <c r="G809" s="8" t="s">
        <v>204</v>
      </c>
      <c r="H809" s="15" t="n">
        <v>1200</v>
      </c>
      <c r="I809" s="15" t="n">
        <v>1200</v>
      </c>
      <c r="J809" s="16" t="n">
        <v>0.722</v>
      </c>
      <c r="K809" s="8" t="n">
        <v>7.3</v>
      </c>
      <c r="L809" s="8" t="n">
        <v>10</v>
      </c>
      <c r="M809" s="8" t="n">
        <v>1</v>
      </c>
      <c r="N809" s="8" t="s">
        <v>120</v>
      </c>
      <c r="O809" s="15" t="n">
        <f aca="false">H809*12</f>
        <v>14400</v>
      </c>
      <c r="P809" s="8" t="n">
        <f aca="false">MIN(100,ROUND(100*J809/Assumptions!$B$8,0))</f>
        <v>80</v>
      </c>
      <c r="Q809" s="8" t="n">
        <f aca="false">IF(L809="",Assumptions!$B$9,L809*10)</f>
        <v>100</v>
      </c>
      <c r="R809" s="8" t="n">
        <f aca="false">IF(M809&lt;=1,Assumptions!$B$12,IF(M809&lt;=3,Assumptions!$B$13,IF(M809&lt;=6,Assumptions!$B$14,Assumptions!$B$15)))</f>
        <v>100</v>
      </c>
      <c r="S809" s="8" t="n">
        <f aca="false">IF(N809="Completed On Time",Assumptions!$B$16,IF(N809="Completed Late",Assumptions!$B$17,Assumptions!$B$18))</f>
        <v>100</v>
      </c>
      <c r="T809" s="8" t="n">
        <f aca="false">IF(I809=0,Assumptions!$B$20,IF(H809&gt;I809,Assumptions!$B$19,IF(H809=I809,Assumptions!$B$20,Assumptions!$B$21)))</f>
        <v>70</v>
      </c>
      <c r="U809" s="8" t="n">
        <f aca="false">ROUND(P809*Assumptions!$B$2+Q809*Assumptions!$B$3+R809*Assumptions!$B$4+S809*Assumptions!$B$5+T809*Assumptions!$B$6,0)</f>
        <v>87</v>
      </c>
      <c r="V809" s="8" t="str">
        <f aca="false">IF(U809&gt;=Assumptions!$B$10,"Healthy",IF(U809&gt;=Assumptions!$B$11,"Needs Attention","High Risk"))</f>
        <v>Healthy</v>
      </c>
    </row>
    <row r="810" customFormat="false" ht="15" hidden="false" customHeight="false" outlineLevel="0" collapsed="false">
      <c r="A810" s="8" t="s">
        <v>1761</v>
      </c>
      <c r="B810" s="8" t="s">
        <v>1762</v>
      </c>
      <c r="C810" s="8" t="s">
        <v>51</v>
      </c>
      <c r="D810" s="8" t="s">
        <v>326</v>
      </c>
      <c r="E810" s="8" t="s">
        <v>117</v>
      </c>
      <c r="F810" s="8" t="s">
        <v>124</v>
      </c>
      <c r="G810" s="8" t="s">
        <v>144</v>
      </c>
      <c r="H810" s="15" t="n">
        <v>1175</v>
      </c>
      <c r="I810" s="15" t="n">
        <v>1175</v>
      </c>
      <c r="J810" s="16" t="n">
        <v>0.858</v>
      </c>
      <c r="K810" s="8" t="n">
        <v>10.7</v>
      </c>
      <c r="L810" s="8" t="n">
        <v>10</v>
      </c>
      <c r="M810" s="8" t="n">
        <v>0</v>
      </c>
      <c r="N810" s="8" t="s">
        <v>120</v>
      </c>
      <c r="O810" s="15" t="n">
        <f aca="false">H810*12</f>
        <v>14100</v>
      </c>
      <c r="P810" s="8" t="n">
        <f aca="false">MIN(100,ROUND(100*J810/Assumptions!$B$8,0))</f>
        <v>95</v>
      </c>
      <c r="Q810" s="8" t="n">
        <f aca="false">IF(L810="",Assumptions!$B$9,L810*10)</f>
        <v>100</v>
      </c>
      <c r="R810" s="8" t="n">
        <f aca="false">IF(M810&lt;=1,Assumptions!$B$12,IF(M810&lt;=3,Assumptions!$B$13,IF(M810&lt;=6,Assumptions!$B$14,Assumptions!$B$15)))</f>
        <v>100</v>
      </c>
      <c r="S810" s="8" t="n">
        <f aca="false">IF(N810="Completed On Time",Assumptions!$B$16,IF(N810="Completed Late",Assumptions!$B$17,Assumptions!$B$18))</f>
        <v>100</v>
      </c>
      <c r="T810" s="8" t="n">
        <f aca="false">IF(I810=0,Assumptions!$B$20,IF(H810&gt;I810,Assumptions!$B$19,IF(H810=I810,Assumptions!$B$20,Assumptions!$B$21)))</f>
        <v>70</v>
      </c>
      <c r="U810" s="8" t="n">
        <f aca="false">ROUND(P810*Assumptions!$B$2+Q810*Assumptions!$B$3+R810*Assumptions!$B$4+S810*Assumptions!$B$5+T810*Assumptions!$B$6,0)</f>
        <v>92</v>
      </c>
      <c r="V810" s="8" t="str">
        <f aca="false">IF(U810&gt;=Assumptions!$B$10,"Healthy",IF(U810&gt;=Assumptions!$B$11,"Needs Attention","High Risk"))</f>
        <v>Healthy</v>
      </c>
    </row>
    <row r="811" customFormat="false" ht="15" hidden="false" customHeight="false" outlineLevel="0" collapsed="false">
      <c r="A811" s="8" t="s">
        <v>1763</v>
      </c>
      <c r="B811" s="8" t="s">
        <v>1764</v>
      </c>
      <c r="C811" s="8" t="s">
        <v>53</v>
      </c>
      <c r="D811" s="8" t="s">
        <v>326</v>
      </c>
      <c r="E811" s="8" t="s">
        <v>132</v>
      </c>
      <c r="F811" s="8" t="s">
        <v>190</v>
      </c>
      <c r="G811" s="8" t="s">
        <v>204</v>
      </c>
      <c r="H811" s="15" t="n">
        <v>1175</v>
      </c>
      <c r="I811" s="15" t="n">
        <v>1175</v>
      </c>
      <c r="J811" s="16" t="n">
        <v>0.908</v>
      </c>
      <c r="K811" s="8" t="n">
        <v>9.7</v>
      </c>
      <c r="L811" s="8" t="n">
        <v>10</v>
      </c>
      <c r="M811" s="8" t="n">
        <v>2</v>
      </c>
      <c r="N811" s="8" t="s">
        <v>120</v>
      </c>
      <c r="O811" s="15" t="n">
        <f aca="false">H811*12</f>
        <v>14100</v>
      </c>
      <c r="P811" s="8" t="n">
        <f aca="false">MIN(100,ROUND(100*J811/Assumptions!$B$8,0))</f>
        <v>100</v>
      </c>
      <c r="Q811" s="8" t="n">
        <f aca="false">IF(L811="",Assumptions!$B$9,L811*10)</f>
        <v>100</v>
      </c>
      <c r="R811" s="8" t="n">
        <f aca="false">IF(M811&lt;=1,Assumptions!$B$12,IF(M811&lt;=3,Assumptions!$B$13,IF(M811&lt;=6,Assumptions!$B$14,Assumptions!$B$15)))</f>
        <v>75</v>
      </c>
      <c r="S811" s="8" t="n">
        <f aca="false">IF(N811="Completed On Time",Assumptions!$B$16,IF(N811="Completed Late",Assumptions!$B$17,Assumptions!$B$18))</f>
        <v>100</v>
      </c>
      <c r="T811" s="8" t="n">
        <f aca="false">IF(I811=0,Assumptions!$B$20,IF(H811&gt;I811,Assumptions!$B$19,IF(H811=I811,Assumptions!$B$20,Assumptions!$B$21)))</f>
        <v>70</v>
      </c>
      <c r="U811" s="8" t="n">
        <f aca="false">ROUND(P811*Assumptions!$B$2+Q811*Assumptions!$B$3+R811*Assumptions!$B$4+S811*Assumptions!$B$5+T811*Assumptions!$B$6,0)</f>
        <v>90</v>
      </c>
      <c r="V811" s="8" t="str">
        <f aca="false">IF(U811&gt;=Assumptions!$B$10,"Healthy",IF(U811&gt;=Assumptions!$B$11,"Needs Attention","High Risk"))</f>
        <v>Healthy</v>
      </c>
    </row>
    <row r="812" customFormat="false" ht="15" hidden="false" customHeight="false" outlineLevel="0" collapsed="false">
      <c r="A812" s="8" t="s">
        <v>1765</v>
      </c>
      <c r="B812" s="8" t="s">
        <v>1766</v>
      </c>
      <c r="C812" s="8" t="s">
        <v>51</v>
      </c>
      <c r="D812" s="8" t="s">
        <v>326</v>
      </c>
      <c r="E812" s="8" t="s">
        <v>123</v>
      </c>
      <c r="F812" s="8" t="s">
        <v>190</v>
      </c>
      <c r="G812" s="8" t="s">
        <v>137</v>
      </c>
      <c r="H812" s="15" t="n">
        <v>1175</v>
      </c>
      <c r="I812" s="15" t="n">
        <v>1175</v>
      </c>
      <c r="J812" s="16" t="n">
        <v>0.837</v>
      </c>
      <c r="K812" s="8" t="n">
        <v>8.7</v>
      </c>
      <c r="L812" s="8" t="n">
        <v>10</v>
      </c>
      <c r="M812" s="8" t="n">
        <v>2</v>
      </c>
      <c r="N812" s="8" t="s">
        <v>148</v>
      </c>
      <c r="O812" s="15" t="n">
        <f aca="false">H812*12</f>
        <v>14100</v>
      </c>
      <c r="P812" s="8" t="n">
        <f aca="false">MIN(100,ROUND(100*J812/Assumptions!$B$8,0))</f>
        <v>93</v>
      </c>
      <c r="Q812" s="8" t="n">
        <f aca="false">IF(L812="",Assumptions!$B$9,L812*10)</f>
        <v>100</v>
      </c>
      <c r="R812" s="8" t="n">
        <f aca="false">IF(M812&lt;=1,Assumptions!$B$12,IF(M812&lt;=3,Assumptions!$B$13,IF(M812&lt;=6,Assumptions!$B$14,Assumptions!$B$15)))</f>
        <v>75</v>
      </c>
      <c r="S812" s="8" t="n">
        <f aca="false">IF(N812="Completed On Time",Assumptions!$B$16,IF(N812="Completed Late",Assumptions!$B$17,Assumptions!$B$18))</f>
        <v>60</v>
      </c>
      <c r="T812" s="8" t="n">
        <f aca="false">IF(I812=0,Assumptions!$B$20,IF(H812&gt;I812,Assumptions!$B$19,IF(H812=I812,Assumptions!$B$20,Assumptions!$B$21)))</f>
        <v>70</v>
      </c>
      <c r="U812" s="8" t="n">
        <f aca="false">ROUND(P812*Assumptions!$B$2+Q812*Assumptions!$B$3+R812*Assumptions!$B$4+S812*Assumptions!$B$5+T812*Assumptions!$B$6,0)</f>
        <v>84</v>
      </c>
      <c r="V812" s="8" t="str">
        <f aca="false">IF(U812&gt;=Assumptions!$B$10,"Healthy",IF(U812&gt;=Assumptions!$B$11,"Needs Attention","High Risk"))</f>
        <v>Healthy</v>
      </c>
    </row>
    <row r="813" customFormat="false" ht="15" hidden="false" customHeight="false" outlineLevel="0" collapsed="false">
      <c r="A813" s="8" t="s">
        <v>1767</v>
      </c>
      <c r="B813" s="8" t="s">
        <v>1768</v>
      </c>
      <c r="C813" s="8" t="s">
        <v>51</v>
      </c>
      <c r="D813" s="8" t="s">
        <v>326</v>
      </c>
      <c r="E813" s="8" t="s">
        <v>123</v>
      </c>
      <c r="F813" s="8" t="s">
        <v>154</v>
      </c>
      <c r="G813" s="8" t="s">
        <v>185</v>
      </c>
      <c r="H813" s="15" t="n">
        <v>1175</v>
      </c>
      <c r="I813" s="15" t="n">
        <v>1175</v>
      </c>
      <c r="J813" s="16" t="n">
        <v>0.596</v>
      </c>
      <c r="K813" s="8" t="n">
        <v>7</v>
      </c>
      <c r="L813" s="8" t="n">
        <v>7</v>
      </c>
      <c r="M813" s="8" t="n">
        <v>2</v>
      </c>
      <c r="N813" s="8" t="s">
        <v>120</v>
      </c>
      <c r="O813" s="15" t="n">
        <f aca="false">H813*12</f>
        <v>14100</v>
      </c>
      <c r="P813" s="8" t="n">
        <f aca="false">MIN(100,ROUND(100*J813/Assumptions!$B$8,0))</f>
        <v>66</v>
      </c>
      <c r="Q813" s="8" t="n">
        <f aca="false">IF(L813="",Assumptions!$B$9,L813*10)</f>
        <v>70</v>
      </c>
      <c r="R813" s="8" t="n">
        <f aca="false">IF(M813&lt;=1,Assumptions!$B$12,IF(M813&lt;=3,Assumptions!$B$13,IF(M813&lt;=6,Assumptions!$B$14,Assumptions!$B$15)))</f>
        <v>75</v>
      </c>
      <c r="S813" s="8" t="n">
        <f aca="false">IF(N813="Completed On Time",Assumptions!$B$16,IF(N813="Completed Late",Assumptions!$B$17,Assumptions!$B$18))</f>
        <v>100</v>
      </c>
      <c r="T813" s="8" t="n">
        <f aca="false">IF(I813=0,Assumptions!$B$20,IF(H813&gt;I813,Assumptions!$B$19,IF(H813=I813,Assumptions!$B$20,Assumptions!$B$21)))</f>
        <v>70</v>
      </c>
      <c r="U813" s="8" t="n">
        <f aca="false">ROUND(P813*Assumptions!$B$2+Q813*Assumptions!$B$3+R813*Assumptions!$B$4+S813*Assumptions!$B$5+T813*Assumptions!$B$6,0)</f>
        <v>72</v>
      </c>
      <c r="V813" s="8" t="str">
        <f aca="false">IF(U813&gt;=Assumptions!$B$10,"Healthy",IF(U813&gt;=Assumptions!$B$11,"Needs Attention","High Risk"))</f>
        <v>Needs Attention</v>
      </c>
    </row>
    <row r="814" customFormat="false" ht="15" hidden="false" customHeight="false" outlineLevel="0" collapsed="false">
      <c r="A814" s="8" t="s">
        <v>1769</v>
      </c>
      <c r="B814" s="8" t="s">
        <v>1770</v>
      </c>
      <c r="C814" s="8" t="s">
        <v>51</v>
      </c>
      <c r="D814" s="8" t="s">
        <v>326</v>
      </c>
      <c r="E814" s="8" t="s">
        <v>132</v>
      </c>
      <c r="F814" s="8" t="s">
        <v>223</v>
      </c>
      <c r="G814" s="8" t="s">
        <v>159</v>
      </c>
      <c r="H814" s="15" t="n">
        <v>1175</v>
      </c>
      <c r="I814" s="15" t="n">
        <v>1175</v>
      </c>
      <c r="J814" s="16" t="n">
        <v>0.816</v>
      </c>
      <c r="K814" s="8" t="n">
        <v>10.3</v>
      </c>
      <c r="L814" s="8" t="n">
        <v>9</v>
      </c>
      <c r="M814" s="8" t="n">
        <v>1</v>
      </c>
      <c r="N814" s="8" t="s">
        <v>120</v>
      </c>
      <c r="O814" s="15" t="n">
        <f aca="false">H814*12</f>
        <v>14100</v>
      </c>
      <c r="P814" s="8" t="n">
        <f aca="false">MIN(100,ROUND(100*J814/Assumptions!$B$8,0))</f>
        <v>91</v>
      </c>
      <c r="Q814" s="8" t="n">
        <f aca="false">IF(L814="",Assumptions!$B$9,L814*10)</f>
        <v>90</v>
      </c>
      <c r="R814" s="8" t="n">
        <f aca="false">IF(M814&lt;=1,Assumptions!$B$12,IF(M814&lt;=3,Assumptions!$B$13,IF(M814&lt;=6,Assumptions!$B$14,Assumptions!$B$15)))</f>
        <v>100</v>
      </c>
      <c r="S814" s="8" t="n">
        <f aca="false">IF(N814="Completed On Time",Assumptions!$B$16,IF(N814="Completed Late",Assumptions!$B$17,Assumptions!$B$18))</f>
        <v>100</v>
      </c>
      <c r="T814" s="8" t="n">
        <f aca="false">IF(I814=0,Assumptions!$B$20,IF(H814&gt;I814,Assumptions!$B$19,IF(H814=I814,Assumptions!$B$20,Assumptions!$B$21)))</f>
        <v>70</v>
      </c>
      <c r="U814" s="8" t="n">
        <f aca="false">ROUND(P814*Assumptions!$B$2+Q814*Assumptions!$B$3+R814*Assumptions!$B$4+S814*Assumptions!$B$5+T814*Assumptions!$B$6,0)</f>
        <v>89</v>
      </c>
      <c r="V814" s="8" t="str">
        <f aca="false">IF(U814&gt;=Assumptions!$B$10,"Healthy",IF(U814&gt;=Assumptions!$B$11,"Needs Attention","High Risk"))</f>
        <v>Healthy</v>
      </c>
    </row>
    <row r="815" customFormat="false" ht="15" hidden="false" customHeight="false" outlineLevel="0" collapsed="false">
      <c r="A815" s="8" t="s">
        <v>1771</v>
      </c>
      <c r="B815" s="8" t="s">
        <v>1772</v>
      </c>
      <c r="C815" s="8" t="s">
        <v>53</v>
      </c>
      <c r="D815" s="8" t="s">
        <v>326</v>
      </c>
      <c r="E815" s="8" t="s">
        <v>123</v>
      </c>
      <c r="F815" s="8" t="s">
        <v>118</v>
      </c>
      <c r="G815" s="8" t="s">
        <v>119</v>
      </c>
      <c r="H815" s="15" t="n">
        <v>1150</v>
      </c>
      <c r="I815" s="15" t="n">
        <v>1150</v>
      </c>
      <c r="J815" s="16" t="n">
        <v>0.848</v>
      </c>
      <c r="K815" s="8" t="n">
        <v>8.3</v>
      </c>
      <c r="L815" s="8" t="n">
        <v>8</v>
      </c>
      <c r="M815" s="8" t="n">
        <v>3</v>
      </c>
      <c r="N815" s="8" t="s">
        <v>120</v>
      </c>
      <c r="O815" s="15" t="n">
        <f aca="false">H815*12</f>
        <v>13800</v>
      </c>
      <c r="P815" s="8" t="n">
        <f aca="false">MIN(100,ROUND(100*J815/Assumptions!$B$8,0))</f>
        <v>94</v>
      </c>
      <c r="Q815" s="8" t="n">
        <f aca="false">IF(L815="",Assumptions!$B$9,L815*10)</f>
        <v>80</v>
      </c>
      <c r="R815" s="8" t="n">
        <f aca="false">IF(M815&lt;=1,Assumptions!$B$12,IF(M815&lt;=3,Assumptions!$B$13,IF(M815&lt;=6,Assumptions!$B$14,Assumptions!$B$15)))</f>
        <v>75</v>
      </c>
      <c r="S815" s="8" t="n">
        <f aca="false">IF(N815="Completed On Time",Assumptions!$B$16,IF(N815="Completed Late",Assumptions!$B$17,Assumptions!$B$18))</f>
        <v>100</v>
      </c>
      <c r="T815" s="8" t="n">
        <f aca="false">IF(I815=0,Assumptions!$B$20,IF(H815&gt;I815,Assumptions!$B$19,IF(H815=I815,Assumptions!$B$20,Assumptions!$B$21)))</f>
        <v>70</v>
      </c>
      <c r="U815" s="8" t="n">
        <f aca="false">ROUND(P815*Assumptions!$B$2+Q815*Assumptions!$B$3+R815*Assumptions!$B$4+S815*Assumptions!$B$5+T815*Assumptions!$B$6,0)</f>
        <v>84</v>
      </c>
      <c r="V815" s="8" t="str">
        <f aca="false">IF(U815&gt;=Assumptions!$B$10,"Healthy",IF(U815&gt;=Assumptions!$B$11,"Needs Attention","High Risk"))</f>
        <v>Healthy</v>
      </c>
    </row>
    <row r="816" customFormat="false" ht="15" hidden="false" customHeight="false" outlineLevel="0" collapsed="false">
      <c r="A816" s="8" t="s">
        <v>1773</v>
      </c>
      <c r="B816" s="8" t="s">
        <v>1774</v>
      </c>
      <c r="C816" s="8" t="s">
        <v>53</v>
      </c>
      <c r="D816" s="8" t="s">
        <v>326</v>
      </c>
      <c r="E816" s="8" t="s">
        <v>132</v>
      </c>
      <c r="F816" s="8" t="s">
        <v>154</v>
      </c>
      <c r="G816" s="8" t="s">
        <v>119</v>
      </c>
      <c r="H816" s="15" t="n">
        <v>1150</v>
      </c>
      <c r="I816" s="15" t="n">
        <v>1150</v>
      </c>
      <c r="J816" s="16" t="n">
        <v>0.696</v>
      </c>
      <c r="K816" s="8" t="n">
        <v>7.7</v>
      </c>
      <c r="L816" s="8" t="n">
        <v>7</v>
      </c>
      <c r="M816" s="8" t="n">
        <v>2</v>
      </c>
      <c r="N816" s="8" t="s">
        <v>120</v>
      </c>
      <c r="O816" s="15" t="n">
        <f aca="false">H816*12</f>
        <v>13800</v>
      </c>
      <c r="P816" s="8" t="n">
        <f aca="false">MIN(100,ROUND(100*J816/Assumptions!$B$8,0))</f>
        <v>77</v>
      </c>
      <c r="Q816" s="8" t="n">
        <f aca="false">IF(L816="",Assumptions!$B$9,L816*10)</f>
        <v>70</v>
      </c>
      <c r="R816" s="8" t="n">
        <f aca="false">IF(M816&lt;=1,Assumptions!$B$12,IF(M816&lt;=3,Assumptions!$B$13,IF(M816&lt;=6,Assumptions!$B$14,Assumptions!$B$15)))</f>
        <v>75</v>
      </c>
      <c r="S816" s="8" t="n">
        <f aca="false">IF(N816="Completed On Time",Assumptions!$B$16,IF(N816="Completed Late",Assumptions!$B$17,Assumptions!$B$18))</f>
        <v>100</v>
      </c>
      <c r="T816" s="8" t="n">
        <f aca="false">IF(I816=0,Assumptions!$B$20,IF(H816&gt;I816,Assumptions!$B$19,IF(H816=I816,Assumptions!$B$20,Assumptions!$B$21)))</f>
        <v>70</v>
      </c>
      <c r="U816" s="8" t="n">
        <f aca="false">ROUND(P816*Assumptions!$B$2+Q816*Assumptions!$B$3+R816*Assumptions!$B$4+S816*Assumptions!$B$5+T816*Assumptions!$B$6,0)</f>
        <v>76</v>
      </c>
      <c r="V816" s="8" t="str">
        <f aca="false">IF(U816&gt;=Assumptions!$B$10,"Healthy",IF(U816&gt;=Assumptions!$B$11,"Needs Attention","High Risk"))</f>
        <v>Needs Attention</v>
      </c>
    </row>
    <row r="817" customFormat="false" ht="15" hidden="false" customHeight="false" outlineLevel="0" collapsed="false">
      <c r="A817" s="8" t="s">
        <v>1775</v>
      </c>
      <c r="B817" s="8" t="s">
        <v>1776</v>
      </c>
      <c r="C817" s="8" t="s">
        <v>53</v>
      </c>
      <c r="D817" s="8" t="s">
        <v>326</v>
      </c>
      <c r="E817" s="8" t="s">
        <v>123</v>
      </c>
      <c r="F817" s="8" t="s">
        <v>154</v>
      </c>
      <c r="G817" s="8" t="s">
        <v>119</v>
      </c>
      <c r="H817" s="15" t="n">
        <v>1150</v>
      </c>
      <c r="I817" s="15" t="n">
        <v>1150</v>
      </c>
      <c r="J817" s="16" t="n">
        <v>0.674</v>
      </c>
      <c r="K817" s="8" t="n">
        <v>7.7</v>
      </c>
      <c r="L817" s="8" t="n">
        <v>8</v>
      </c>
      <c r="M817" s="8" t="n">
        <v>8</v>
      </c>
      <c r="N817" s="8" t="s">
        <v>120</v>
      </c>
      <c r="O817" s="15" t="n">
        <f aca="false">H817*12</f>
        <v>13800</v>
      </c>
      <c r="P817" s="8" t="n">
        <f aca="false">MIN(100,ROUND(100*J817/Assumptions!$B$8,0))</f>
        <v>75</v>
      </c>
      <c r="Q817" s="8" t="n">
        <f aca="false">IF(L817="",Assumptions!$B$9,L817*10)</f>
        <v>80</v>
      </c>
      <c r="R817" s="8" t="n">
        <f aca="false">IF(M817&lt;=1,Assumptions!$B$12,IF(M817&lt;=3,Assumptions!$B$13,IF(M817&lt;=6,Assumptions!$B$14,Assumptions!$B$15)))</f>
        <v>20</v>
      </c>
      <c r="S817" s="8" t="n">
        <f aca="false">IF(N817="Completed On Time",Assumptions!$B$16,IF(N817="Completed Late",Assumptions!$B$17,Assumptions!$B$18))</f>
        <v>100</v>
      </c>
      <c r="T817" s="8" t="n">
        <f aca="false">IF(I817=0,Assumptions!$B$20,IF(H817&gt;I817,Assumptions!$B$19,IF(H817=I817,Assumptions!$B$20,Assumptions!$B$21)))</f>
        <v>70</v>
      </c>
      <c r="U817" s="8" t="n">
        <f aca="false">ROUND(P817*Assumptions!$B$2+Q817*Assumptions!$B$3+R817*Assumptions!$B$4+S817*Assumptions!$B$5+T817*Assumptions!$B$6,0)</f>
        <v>69</v>
      </c>
      <c r="V817" s="8" t="str">
        <f aca="false">IF(U817&gt;=Assumptions!$B$10,"Healthy",IF(U817&gt;=Assumptions!$B$11,"Needs Attention","High Risk"))</f>
        <v>Needs Attention</v>
      </c>
    </row>
    <row r="818" customFormat="false" ht="15" hidden="false" customHeight="false" outlineLevel="0" collapsed="false">
      <c r="A818" s="8" t="s">
        <v>1777</v>
      </c>
      <c r="B818" s="8" t="s">
        <v>1778</v>
      </c>
      <c r="C818" s="8" t="s">
        <v>53</v>
      </c>
      <c r="D818" s="8" t="s">
        <v>326</v>
      </c>
      <c r="E818" s="8" t="s">
        <v>123</v>
      </c>
      <c r="F818" s="8" t="s">
        <v>143</v>
      </c>
      <c r="G818" s="8" t="s">
        <v>180</v>
      </c>
      <c r="H818" s="15" t="n">
        <v>1150</v>
      </c>
      <c r="I818" s="15" t="n">
        <v>1150</v>
      </c>
      <c r="J818" s="16" t="n">
        <v>0.732</v>
      </c>
      <c r="K818" s="8" t="n">
        <v>7.7</v>
      </c>
      <c r="L818" s="8" t="n">
        <v>9</v>
      </c>
      <c r="M818" s="8" t="n">
        <v>3</v>
      </c>
      <c r="N818" s="8" t="s">
        <v>120</v>
      </c>
      <c r="O818" s="15" t="n">
        <f aca="false">H818*12</f>
        <v>13800</v>
      </c>
      <c r="P818" s="8" t="n">
        <f aca="false">MIN(100,ROUND(100*J818/Assumptions!$B$8,0))</f>
        <v>81</v>
      </c>
      <c r="Q818" s="8" t="n">
        <f aca="false">IF(L818="",Assumptions!$B$9,L818*10)</f>
        <v>90</v>
      </c>
      <c r="R818" s="8" t="n">
        <f aca="false">IF(M818&lt;=1,Assumptions!$B$12,IF(M818&lt;=3,Assumptions!$B$13,IF(M818&lt;=6,Assumptions!$B$14,Assumptions!$B$15)))</f>
        <v>75</v>
      </c>
      <c r="S818" s="8" t="n">
        <f aca="false">IF(N818="Completed On Time",Assumptions!$B$16,IF(N818="Completed Late",Assumptions!$B$17,Assumptions!$B$18))</f>
        <v>100</v>
      </c>
      <c r="T818" s="8" t="n">
        <f aca="false">IF(I818=0,Assumptions!$B$20,IF(H818&gt;I818,Assumptions!$B$19,IF(H818=I818,Assumptions!$B$20,Assumptions!$B$21)))</f>
        <v>70</v>
      </c>
      <c r="U818" s="8" t="n">
        <f aca="false">ROUND(P818*Assumptions!$B$2+Q818*Assumptions!$B$3+R818*Assumptions!$B$4+S818*Assumptions!$B$5+T818*Assumptions!$B$6,0)</f>
        <v>82</v>
      </c>
      <c r="V818" s="8" t="str">
        <f aca="false">IF(U818&gt;=Assumptions!$B$10,"Healthy",IF(U818&gt;=Assumptions!$B$11,"Needs Attention","High Risk"))</f>
        <v>Healthy</v>
      </c>
    </row>
    <row r="819" customFormat="false" ht="15" hidden="false" customHeight="false" outlineLevel="0" collapsed="false">
      <c r="A819" s="8" t="s">
        <v>1779</v>
      </c>
      <c r="B819" s="8" t="s">
        <v>1780</v>
      </c>
      <c r="C819" s="8" t="s">
        <v>53</v>
      </c>
      <c r="D819" s="8" t="s">
        <v>326</v>
      </c>
      <c r="E819" s="8" t="s">
        <v>123</v>
      </c>
      <c r="F819" s="8" t="s">
        <v>166</v>
      </c>
      <c r="G819" s="8" t="s">
        <v>137</v>
      </c>
      <c r="H819" s="15" t="n">
        <v>1125</v>
      </c>
      <c r="I819" s="15" t="n">
        <v>1125</v>
      </c>
      <c r="J819" s="16" t="n">
        <v>0.667</v>
      </c>
      <c r="K819" s="8" t="n">
        <v>7.7</v>
      </c>
      <c r="L819" s="8" t="n">
        <v>8</v>
      </c>
      <c r="M819" s="8" t="n">
        <v>5</v>
      </c>
      <c r="N819" s="8" t="s">
        <v>120</v>
      </c>
      <c r="O819" s="15" t="n">
        <f aca="false">H819*12</f>
        <v>13500</v>
      </c>
      <c r="P819" s="8" t="n">
        <f aca="false">MIN(100,ROUND(100*J819/Assumptions!$B$8,0))</f>
        <v>74</v>
      </c>
      <c r="Q819" s="8" t="n">
        <f aca="false">IF(L819="",Assumptions!$B$9,L819*10)</f>
        <v>80</v>
      </c>
      <c r="R819" s="8" t="n">
        <f aca="false">IF(M819&lt;=1,Assumptions!$B$12,IF(M819&lt;=3,Assumptions!$B$13,IF(M819&lt;=6,Assumptions!$B$14,Assumptions!$B$15)))</f>
        <v>50</v>
      </c>
      <c r="S819" s="8" t="n">
        <f aca="false">IF(N819="Completed On Time",Assumptions!$B$16,IF(N819="Completed Late",Assumptions!$B$17,Assumptions!$B$18))</f>
        <v>100</v>
      </c>
      <c r="T819" s="8" t="n">
        <f aca="false">IF(I819=0,Assumptions!$B$20,IF(H819&gt;I819,Assumptions!$B$19,IF(H819=I819,Assumptions!$B$20,Assumptions!$B$21)))</f>
        <v>70</v>
      </c>
      <c r="U819" s="8" t="n">
        <f aca="false">ROUND(P819*Assumptions!$B$2+Q819*Assumptions!$B$3+R819*Assumptions!$B$4+S819*Assumptions!$B$5+T819*Assumptions!$B$6,0)</f>
        <v>73</v>
      </c>
      <c r="V819" s="8" t="str">
        <f aca="false">IF(U819&gt;=Assumptions!$B$10,"Healthy",IF(U819&gt;=Assumptions!$B$11,"Needs Attention","High Risk"))</f>
        <v>Needs Attention</v>
      </c>
    </row>
    <row r="820" customFormat="false" ht="15" hidden="false" customHeight="false" outlineLevel="0" collapsed="false">
      <c r="A820" s="8" t="s">
        <v>1781</v>
      </c>
      <c r="B820" s="8" t="s">
        <v>1782</v>
      </c>
      <c r="C820" s="8" t="s">
        <v>53</v>
      </c>
      <c r="D820" s="8" t="s">
        <v>326</v>
      </c>
      <c r="E820" s="8" t="s">
        <v>132</v>
      </c>
      <c r="F820" s="8" t="s">
        <v>143</v>
      </c>
      <c r="G820" s="8" t="s">
        <v>159</v>
      </c>
      <c r="H820" s="15" t="n">
        <v>1125</v>
      </c>
      <c r="I820" s="15" t="n">
        <v>1125</v>
      </c>
      <c r="J820" s="16" t="n">
        <v>0.711</v>
      </c>
      <c r="K820" s="8" t="n">
        <v>8</v>
      </c>
      <c r="L820" s="8" t="n">
        <v>8</v>
      </c>
      <c r="M820" s="8" t="n">
        <v>3</v>
      </c>
      <c r="N820" s="8" t="s">
        <v>120</v>
      </c>
      <c r="O820" s="15" t="n">
        <f aca="false">H820*12</f>
        <v>13500</v>
      </c>
      <c r="P820" s="8" t="n">
        <f aca="false">MIN(100,ROUND(100*J820/Assumptions!$B$8,0))</f>
        <v>79</v>
      </c>
      <c r="Q820" s="8" t="n">
        <f aca="false">IF(L820="",Assumptions!$B$9,L820*10)</f>
        <v>80</v>
      </c>
      <c r="R820" s="8" t="n">
        <f aca="false">IF(M820&lt;=1,Assumptions!$B$12,IF(M820&lt;=3,Assumptions!$B$13,IF(M820&lt;=6,Assumptions!$B$14,Assumptions!$B$15)))</f>
        <v>75</v>
      </c>
      <c r="S820" s="8" t="n">
        <f aca="false">IF(N820="Completed On Time",Assumptions!$B$16,IF(N820="Completed Late",Assumptions!$B$17,Assumptions!$B$18))</f>
        <v>100</v>
      </c>
      <c r="T820" s="8" t="n">
        <f aca="false">IF(I820=0,Assumptions!$B$20,IF(H820&gt;I820,Assumptions!$B$19,IF(H820=I820,Assumptions!$B$20,Assumptions!$B$21)))</f>
        <v>70</v>
      </c>
      <c r="U820" s="8" t="n">
        <f aca="false">ROUND(P820*Assumptions!$B$2+Q820*Assumptions!$B$3+R820*Assumptions!$B$4+S820*Assumptions!$B$5+T820*Assumptions!$B$6,0)</f>
        <v>79</v>
      </c>
      <c r="V820" s="8" t="str">
        <f aca="false">IF(U820&gt;=Assumptions!$B$10,"Healthy",IF(U820&gt;=Assumptions!$B$11,"Needs Attention","High Risk"))</f>
        <v>Needs Attention</v>
      </c>
    </row>
    <row r="821" customFormat="false" ht="15" hidden="false" customHeight="false" outlineLevel="0" collapsed="false">
      <c r="A821" s="8" t="s">
        <v>1783</v>
      </c>
      <c r="B821" s="8" t="s">
        <v>1784</v>
      </c>
      <c r="C821" s="8" t="s">
        <v>53</v>
      </c>
      <c r="D821" s="8" t="s">
        <v>326</v>
      </c>
      <c r="E821" s="8" t="s">
        <v>123</v>
      </c>
      <c r="F821" s="8" t="s">
        <v>118</v>
      </c>
      <c r="G821" s="8" t="s">
        <v>129</v>
      </c>
      <c r="H821" s="15" t="n">
        <v>1125</v>
      </c>
      <c r="I821" s="15" t="n">
        <v>1125</v>
      </c>
      <c r="J821" s="16" t="n">
        <v>0.844</v>
      </c>
      <c r="K821" s="8" t="n">
        <v>8.7</v>
      </c>
      <c r="L821" s="8" t="n">
        <v>9</v>
      </c>
      <c r="M821" s="8" t="n">
        <v>3</v>
      </c>
      <c r="N821" s="8" t="s">
        <v>120</v>
      </c>
      <c r="O821" s="15" t="n">
        <f aca="false">H821*12</f>
        <v>13500</v>
      </c>
      <c r="P821" s="8" t="n">
        <f aca="false">MIN(100,ROUND(100*J821/Assumptions!$B$8,0))</f>
        <v>94</v>
      </c>
      <c r="Q821" s="8" t="n">
        <f aca="false">IF(L821="",Assumptions!$B$9,L821*10)</f>
        <v>90</v>
      </c>
      <c r="R821" s="8" t="n">
        <f aca="false">IF(M821&lt;=1,Assumptions!$B$12,IF(M821&lt;=3,Assumptions!$B$13,IF(M821&lt;=6,Assumptions!$B$14,Assumptions!$B$15)))</f>
        <v>75</v>
      </c>
      <c r="S821" s="8" t="n">
        <f aca="false">IF(N821="Completed On Time",Assumptions!$B$16,IF(N821="Completed Late",Assumptions!$B$17,Assumptions!$B$18))</f>
        <v>100</v>
      </c>
      <c r="T821" s="8" t="n">
        <f aca="false">IF(I821=0,Assumptions!$B$20,IF(H821&gt;I821,Assumptions!$B$19,IF(H821=I821,Assumptions!$B$20,Assumptions!$B$21)))</f>
        <v>70</v>
      </c>
      <c r="U821" s="8" t="n">
        <f aca="false">ROUND(P821*Assumptions!$B$2+Q821*Assumptions!$B$3+R821*Assumptions!$B$4+S821*Assumptions!$B$5+T821*Assumptions!$B$6,0)</f>
        <v>86</v>
      </c>
      <c r="V821" s="8" t="str">
        <f aca="false">IF(U821&gt;=Assumptions!$B$10,"Healthy",IF(U821&gt;=Assumptions!$B$11,"Needs Attention","High Risk"))</f>
        <v>Healthy</v>
      </c>
    </row>
    <row r="822" customFormat="false" ht="15" hidden="false" customHeight="false" outlineLevel="0" collapsed="false">
      <c r="A822" s="8" t="s">
        <v>1785</v>
      </c>
      <c r="B822" s="8" t="s">
        <v>1786</v>
      </c>
      <c r="C822" s="8" t="s">
        <v>51</v>
      </c>
      <c r="D822" s="8" t="s">
        <v>326</v>
      </c>
      <c r="E822" s="8" t="s">
        <v>117</v>
      </c>
      <c r="F822" s="8" t="s">
        <v>154</v>
      </c>
      <c r="G822" s="8" t="s">
        <v>129</v>
      </c>
      <c r="H822" s="15" t="n">
        <v>1125</v>
      </c>
      <c r="I822" s="15" t="n">
        <v>1125</v>
      </c>
      <c r="J822" s="16" t="n">
        <v>0.763</v>
      </c>
      <c r="K822" s="8" t="n">
        <v>9.7</v>
      </c>
      <c r="L822" s="8" t="n">
        <v>10</v>
      </c>
      <c r="M822" s="8" t="n">
        <v>3</v>
      </c>
      <c r="N822" s="8" t="s">
        <v>120</v>
      </c>
      <c r="O822" s="15" t="n">
        <f aca="false">H822*12</f>
        <v>13500</v>
      </c>
      <c r="P822" s="8" t="n">
        <f aca="false">MIN(100,ROUND(100*J822/Assumptions!$B$8,0))</f>
        <v>85</v>
      </c>
      <c r="Q822" s="8" t="n">
        <f aca="false">IF(L822="",Assumptions!$B$9,L822*10)</f>
        <v>100</v>
      </c>
      <c r="R822" s="8" t="n">
        <f aca="false">IF(M822&lt;=1,Assumptions!$B$12,IF(M822&lt;=3,Assumptions!$B$13,IF(M822&lt;=6,Assumptions!$B$14,Assumptions!$B$15)))</f>
        <v>75</v>
      </c>
      <c r="S822" s="8" t="n">
        <f aca="false">IF(N822="Completed On Time",Assumptions!$B$16,IF(N822="Completed Late",Assumptions!$B$17,Assumptions!$B$18))</f>
        <v>100</v>
      </c>
      <c r="T822" s="8" t="n">
        <f aca="false">IF(I822=0,Assumptions!$B$20,IF(H822&gt;I822,Assumptions!$B$19,IF(H822=I822,Assumptions!$B$20,Assumptions!$B$21)))</f>
        <v>70</v>
      </c>
      <c r="U822" s="8" t="n">
        <f aca="false">ROUND(P822*Assumptions!$B$2+Q822*Assumptions!$B$3+R822*Assumptions!$B$4+S822*Assumptions!$B$5+T822*Assumptions!$B$6,0)</f>
        <v>85</v>
      </c>
      <c r="V822" s="8" t="str">
        <f aca="false">IF(U822&gt;=Assumptions!$B$10,"Healthy",IF(U822&gt;=Assumptions!$B$11,"Needs Attention","High Risk"))</f>
        <v>Healthy</v>
      </c>
    </row>
    <row r="823" customFormat="false" ht="15" hidden="false" customHeight="false" outlineLevel="0" collapsed="false">
      <c r="A823" s="8" t="s">
        <v>1787</v>
      </c>
      <c r="B823" s="8" t="s">
        <v>1788</v>
      </c>
      <c r="C823" s="8" t="s">
        <v>53</v>
      </c>
      <c r="D823" s="8" t="s">
        <v>326</v>
      </c>
      <c r="E823" s="8" t="s">
        <v>117</v>
      </c>
      <c r="F823" s="8" t="s">
        <v>136</v>
      </c>
      <c r="G823" s="8" t="s">
        <v>129</v>
      </c>
      <c r="H823" s="15" t="n">
        <v>1125</v>
      </c>
      <c r="I823" s="15" t="n">
        <v>1125</v>
      </c>
      <c r="J823" s="16" t="n">
        <v>0.859</v>
      </c>
      <c r="K823" s="8" t="n">
        <v>10</v>
      </c>
      <c r="L823" s="8" t="n">
        <v>10</v>
      </c>
      <c r="M823" s="8" t="n">
        <v>3</v>
      </c>
      <c r="N823" s="8" t="s">
        <v>120</v>
      </c>
      <c r="O823" s="15" t="n">
        <f aca="false">H823*12</f>
        <v>13500</v>
      </c>
      <c r="P823" s="8" t="n">
        <f aca="false">MIN(100,ROUND(100*J823/Assumptions!$B$8,0))</f>
        <v>95</v>
      </c>
      <c r="Q823" s="8" t="n">
        <f aca="false">IF(L823="",Assumptions!$B$9,L823*10)</f>
        <v>100</v>
      </c>
      <c r="R823" s="8" t="n">
        <f aca="false">IF(M823&lt;=1,Assumptions!$B$12,IF(M823&lt;=3,Assumptions!$B$13,IF(M823&lt;=6,Assumptions!$B$14,Assumptions!$B$15)))</f>
        <v>75</v>
      </c>
      <c r="S823" s="8" t="n">
        <f aca="false">IF(N823="Completed On Time",Assumptions!$B$16,IF(N823="Completed Late",Assumptions!$B$17,Assumptions!$B$18))</f>
        <v>100</v>
      </c>
      <c r="T823" s="8" t="n">
        <f aca="false">IF(I823=0,Assumptions!$B$20,IF(H823&gt;I823,Assumptions!$B$19,IF(H823=I823,Assumptions!$B$20,Assumptions!$B$21)))</f>
        <v>70</v>
      </c>
      <c r="U823" s="8" t="n">
        <f aca="false">ROUND(P823*Assumptions!$B$2+Q823*Assumptions!$B$3+R823*Assumptions!$B$4+S823*Assumptions!$B$5+T823*Assumptions!$B$6,0)</f>
        <v>89</v>
      </c>
      <c r="V823" s="8" t="str">
        <f aca="false">IF(U823&gt;=Assumptions!$B$10,"Healthy",IF(U823&gt;=Assumptions!$B$11,"Needs Attention","High Risk"))</f>
        <v>Healthy</v>
      </c>
    </row>
    <row r="824" customFormat="false" ht="15" hidden="false" customHeight="false" outlineLevel="0" collapsed="false">
      <c r="A824" s="8" t="s">
        <v>1789</v>
      </c>
      <c r="B824" s="8" t="s">
        <v>1790</v>
      </c>
      <c r="C824" s="8" t="s">
        <v>53</v>
      </c>
      <c r="D824" s="8" t="s">
        <v>326</v>
      </c>
      <c r="E824" s="8" t="s">
        <v>123</v>
      </c>
      <c r="F824" s="8" t="s">
        <v>136</v>
      </c>
      <c r="G824" s="8" t="s">
        <v>119</v>
      </c>
      <c r="H824" s="15" t="n">
        <v>1100</v>
      </c>
      <c r="I824" s="15" t="n">
        <v>1100</v>
      </c>
      <c r="J824" s="16" t="n">
        <v>0.689</v>
      </c>
      <c r="K824" s="8" t="n">
        <v>8</v>
      </c>
      <c r="L824" s="8" t="n">
        <v>6</v>
      </c>
      <c r="M824" s="8" t="n">
        <v>3</v>
      </c>
      <c r="N824" s="8" t="s">
        <v>120</v>
      </c>
      <c r="O824" s="15" t="n">
        <f aca="false">H824*12</f>
        <v>13200</v>
      </c>
      <c r="P824" s="8" t="n">
        <f aca="false">MIN(100,ROUND(100*J824/Assumptions!$B$8,0))</f>
        <v>77</v>
      </c>
      <c r="Q824" s="8" t="n">
        <f aca="false">IF(L824="",Assumptions!$B$9,L824*10)</f>
        <v>60</v>
      </c>
      <c r="R824" s="8" t="n">
        <f aca="false">IF(M824&lt;=1,Assumptions!$B$12,IF(M824&lt;=3,Assumptions!$B$13,IF(M824&lt;=6,Assumptions!$B$14,Assumptions!$B$15)))</f>
        <v>75</v>
      </c>
      <c r="S824" s="8" t="n">
        <f aca="false">IF(N824="Completed On Time",Assumptions!$B$16,IF(N824="Completed Late",Assumptions!$B$17,Assumptions!$B$18))</f>
        <v>100</v>
      </c>
      <c r="T824" s="8" t="n">
        <f aca="false">IF(I824=0,Assumptions!$B$20,IF(H824&gt;I824,Assumptions!$B$19,IF(H824=I824,Assumptions!$B$20,Assumptions!$B$21)))</f>
        <v>70</v>
      </c>
      <c r="U824" s="8" t="n">
        <f aca="false">ROUND(P824*Assumptions!$B$2+Q824*Assumptions!$B$3+R824*Assumptions!$B$4+S824*Assumptions!$B$5+T824*Assumptions!$B$6,0)</f>
        <v>74</v>
      </c>
      <c r="V824" s="8" t="str">
        <f aca="false">IF(U824&gt;=Assumptions!$B$10,"Healthy",IF(U824&gt;=Assumptions!$B$11,"Needs Attention","High Risk"))</f>
        <v>Needs Attention</v>
      </c>
    </row>
    <row r="825" customFormat="false" ht="15" hidden="false" customHeight="false" outlineLevel="0" collapsed="false">
      <c r="A825" s="8" t="s">
        <v>1791</v>
      </c>
      <c r="B825" s="8" t="s">
        <v>1792</v>
      </c>
      <c r="C825" s="8" t="s">
        <v>53</v>
      </c>
      <c r="D825" s="8" t="s">
        <v>326</v>
      </c>
      <c r="E825" s="8" t="s">
        <v>123</v>
      </c>
      <c r="F825" s="8" t="s">
        <v>118</v>
      </c>
      <c r="G825" s="8" t="s">
        <v>159</v>
      </c>
      <c r="H825" s="15" t="n">
        <v>1100</v>
      </c>
      <c r="I825" s="15" t="n">
        <v>1100</v>
      </c>
      <c r="J825" s="16" t="n">
        <v>0.659</v>
      </c>
      <c r="K825" s="8" t="n">
        <v>4.7</v>
      </c>
      <c r="L825" s="8" t="n">
        <v>8</v>
      </c>
      <c r="M825" s="8" t="n">
        <v>2</v>
      </c>
      <c r="N825" s="8" t="s">
        <v>120</v>
      </c>
      <c r="O825" s="15" t="n">
        <f aca="false">H825*12</f>
        <v>13200</v>
      </c>
      <c r="P825" s="8" t="n">
        <f aca="false">MIN(100,ROUND(100*J825/Assumptions!$B$8,0))</f>
        <v>73</v>
      </c>
      <c r="Q825" s="8" t="n">
        <f aca="false">IF(L825="",Assumptions!$B$9,L825*10)</f>
        <v>80</v>
      </c>
      <c r="R825" s="8" t="n">
        <f aca="false">IF(M825&lt;=1,Assumptions!$B$12,IF(M825&lt;=3,Assumptions!$B$13,IF(M825&lt;=6,Assumptions!$B$14,Assumptions!$B$15)))</f>
        <v>75</v>
      </c>
      <c r="S825" s="8" t="n">
        <f aca="false">IF(N825="Completed On Time",Assumptions!$B$16,IF(N825="Completed Late",Assumptions!$B$17,Assumptions!$B$18))</f>
        <v>100</v>
      </c>
      <c r="T825" s="8" t="n">
        <f aca="false">IF(I825=0,Assumptions!$B$20,IF(H825&gt;I825,Assumptions!$B$19,IF(H825=I825,Assumptions!$B$20,Assumptions!$B$21)))</f>
        <v>70</v>
      </c>
      <c r="U825" s="8" t="n">
        <f aca="false">ROUND(P825*Assumptions!$B$2+Q825*Assumptions!$B$3+R825*Assumptions!$B$4+S825*Assumptions!$B$5+T825*Assumptions!$B$6,0)</f>
        <v>77</v>
      </c>
      <c r="V825" s="8" t="str">
        <f aca="false">IF(U825&gt;=Assumptions!$B$10,"Healthy",IF(U825&gt;=Assumptions!$B$11,"Needs Attention","High Risk"))</f>
        <v>Needs Attention</v>
      </c>
    </row>
    <row r="826" customFormat="false" ht="15" hidden="false" customHeight="false" outlineLevel="0" collapsed="false">
      <c r="A826" s="8" t="s">
        <v>1793</v>
      </c>
      <c r="B826" s="8" t="s">
        <v>1794</v>
      </c>
      <c r="C826" s="8" t="s">
        <v>51</v>
      </c>
      <c r="D826" s="8" t="s">
        <v>326</v>
      </c>
      <c r="E826" s="8" t="s">
        <v>117</v>
      </c>
      <c r="F826" s="8" t="s">
        <v>118</v>
      </c>
      <c r="G826" s="8" t="s">
        <v>159</v>
      </c>
      <c r="H826" s="15" t="n">
        <v>1100</v>
      </c>
      <c r="I826" s="15" t="n">
        <v>875</v>
      </c>
      <c r="J826" s="16" t="n">
        <v>0.712</v>
      </c>
      <c r="K826" s="8" t="n">
        <v>9</v>
      </c>
      <c r="L826" s="8" t="n">
        <v>9</v>
      </c>
      <c r="M826" s="8" t="n">
        <v>4</v>
      </c>
      <c r="N826" s="8" t="s">
        <v>120</v>
      </c>
      <c r="O826" s="15" t="n">
        <f aca="false">H826*12</f>
        <v>13200</v>
      </c>
      <c r="P826" s="8" t="n">
        <f aca="false">MIN(100,ROUND(100*J826/Assumptions!$B$8,0))</f>
        <v>79</v>
      </c>
      <c r="Q826" s="8" t="n">
        <f aca="false">IF(L826="",Assumptions!$B$9,L826*10)</f>
        <v>90</v>
      </c>
      <c r="R826" s="8" t="n">
        <f aca="false">IF(M826&lt;=1,Assumptions!$B$12,IF(M826&lt;=3,Assumptions!$B$13,IF(M826&lt;=6,Assumptions!$B$14,Assumptions!$B$15)))</f>
        <v>50</v>
      </c>
      <c r="S826" s="8" t="n">
        <f aca="false">IF(N826="Completed On Time",Assumptions!$B$16,IF(N826="Completed Late",Assumptions!$B$17,Assumptions!$B$18))</f>
        <v>100</v>
      </c>
      <c r="T826" s="8" t="n">
        <f aca="false">IF(I826=0,Assumptions!$B$20,IF(H826&gt;I826,Assumptions!$B$19,IF(H826=I826,Assumptions!$B$20,Assumptions!$B$21)))</f>
        <v>100</v>
      </c>
      <c r="U826" s="8" t="n">
        <f aca="false">ROUND(P826*Assumptions!$B$2+Q826*Assumptions!$B$3+R826*Assumptions!$B$4+S826*Assumptions!$B$5+T826*Assumptions!$B$6,0)</f>
        <v>83</v>
      </c>
      <c r="V826" s="8" t="str">
        <f aca="false">IF(U826&gt;=Assumptions!$B$10,"Healthy",IF(U826&gt;=Assumptions!$B$11,"Needs Attention","High Risk"))</f>
        <v>Healthy</v>
      </c>
    </row>
    <row r="827" customFormat="false" ht="15" hidden="false" customHeight="false" outlineLevel="0" collapsed="false">
      <c r="A827" s="8" t="s">
        <v>1795</v>
      </c>
      <c r="B827" s="8" t="s">
        <v>1796</v>
      </c>
      <c r="C827" s="8" t="s">
        <v>53</v>
      </c>
      <c r="D827" s="8" t="s">
        <v>326</v>
      </c>
      <c r="E827" s="8" t="s">
        <v>117</v>
      </c>
      <c r="F827" s="8" t="s">
        <v>118</v>
      </c>
      <c r="G827" s="8" t="s">
        <v>144</v>
      </c>
      <c r="H827" s="15" t="n">
        <v>1100</v>
      </c>
      <c r="I827" s="15" t="n">
        <v>1100</v>
      </c>
      <c r="J827" s="16" t="n">
        <v>0.576</v>
      </c>
      <c r="K827" s="8" t="n">
        <v>5.7</v>
      </c>
      <c r="L827" s="8" t="n">
        <v>5</v>
      </c>
      <c r="M827" s="8" t="n">
        <v>4</v>
      </c>
      <c r="N827" s="8" t="s">
        <v>120</v>
      </c>
      <c r="O827" s="15" t="n">
        <f aca="false">H827*12</f>
        <v>13200</v>
      </c>
      <c r="P827" s="8" t="n">
        <f aca="false">MIN(100,ROUND(100*J827/Assumptions!$B$8,0))</f>
        <v>64</v>
      </c>
      <c r="Q827" s="8" t="n">
        <f aca="false">IF(L827="",Assumptions!$B$9,L827*10)</f>
        <v>50</v>
      </c>
      <c r="R827" s="8" t="n">
        <f aca="false">IF(M827&lt;=1,Assumptions!$B$12,IF(M827&lt;=3,Assumptions!$B$13,IF(M827&lt;=6,Assumptions!$B$14,Assumptions!$B$15)))</f>
        <v>50</v>
      </c>
      <c r="S827" s="8" t="n">
        <f aca="false">IF(N827="Completed On Time",Assumptions!$B$16,IF(N827="Completed Late",Assumptions!$B$17,Assumptions!$B$18))</f>
        <v>100</v>
      </c>
      <c r="T827" s="8" t="n">
        <f aca="false">IF(I827=0,Assumptions!$B$20,IF(H827&gt;I827,Assumptions!$B$19,IF(H827=I827,Assumptions!$B$20,Assumptions!$B$21)))</f>
        <v>70</v>
      </c>
      <c r="U827" s="8" t="n">
        <f aca="false">ROUND(P827*Assumptions!$B$2+Q827*Assumptions!$B$3+R827*Assumptions!$B$4+S827*Assumptions!$B$5+T827*Assumptions!$B$6,0)</f>
        <v>64</v>
      </c>
      <c r="V827" s="8" t="str">
        <f aca="false">IF(U827&gt;=Assumptions!$B$10,"Healthy",IF(U827&gt;=Assumptions!$B$11,"Needs Attention","High Risk"))</f>
        <v>High Risk</v>
      </c>
    </row>
    <row r="828" customFormat="false" ht="15" hidden="false" customHeight="false" outlineLevel="0" collapsed="false">
      <c r="A828" s="8" t="s">
        <v>1797</v>
      </c>
      <c r="B828" s="8" t="s">
        <v>1798</v>
      </c>
      <c r="C828" s="8" t="s">
        <v>53</v>
      </c>
      <c r="D828" s="8" t="s">
        <v>326</v>
      </c>
      <c r="E828" s="8" t="s">
        <v>128</v>
      </c>
      <c r="F828" s="8" t="s">
        <v>118</v>
      </c>
      <c r="G828" s="8" t="s">
        <v>119</v>
      </c>
      <c r="H828" s="15" t="n">
        <v>1100</v>
      </c>
      <c r="I828" s="15" t="n">
        <v>1100</v>
      </c>
      <c r="J828" s="16" t="n">
        <v>0.727</v>
      </c>
      <c r="K828" s="8" t="n">
        <v>9</v>
      </c>
      <c r="L828" s="8" t="n">
        <v>8</v>
      </c>
      <c r="M828" s="8" t="n">
        <v>3</v>
      </c>
      <c r="N828" s="8" t="s">
        <v>120</v>
      </c>
      <c r="O828" s="15" t="n">
        <f aca="false">H828*12</f>
        <v>13200</v>
      </c>
      <c r="P828" s="8" t="n">
        <f aca="false">MIN(100,ROUND(100*J828/Assumptions!$B$8,0))</f>
        <v>81</v>
      </c>
      <c r="Q828" s="8" t="n">
        <f aca="false">IF(L828="",Assumptions!$B$9,L828*10)</f>
        <v>80</v>
      </c>
      <c r="R828" s="8" t="n">
        <f aca="false">IF(M828&lt;=1,Assumptions!$B$12,IF(M828&lt;=3,Assumptions!$B$13,IF(M828&lt;=6,Assumptions!$B$14,Assumptions!$B$15)))</f>
        <v>75</v>
      </c>
      <c r="S828" s="8" t="n">
        <f aca="false">IF(N828="Completed On Time",Assumptions!$B$16,IF(N828="Completed Late",Assumptions!$B$17,Assumptions!$B$18))</f>
        <v>100</v>
      </c>
      <c r="T828" s="8" t="n">
        <f aca="false">IF(I828=0,Assumptions!$B$20,IF(H828&gt;I828,Assumptions!$B$19,IF(H828=I828,Assumptions!$B$20,Assumptions!$B$21)))</f>
        <v>70</v>
      </c>
      <c r="U828" s="8" t="n">
        <f aca="false">ROUND(P828*Assumptions!$B$2+Q828*Assumptions!$B$3+R828*Assumptions!$B$4+S828*Assumptions!$B$5+T828*Assumptions!$B$6,0)</f>
        <v>80</v>
      </c>
      <c r="V828" s="8" t="str">
        <f aca="false">IF(U828&gt;=Assumptions!$B$10,"Healthy",IF(U828&gt;=Assumptions!$B$11,"Needs Attention","High Risk"))</f>
        <v>Healthy</v>
      </c>
    </row>
    <row r="829" customFormat="false" ht="15" hidden="false" customHeight="false" outlineLevel="0" collapsed="false">
      <c r="A829" s="8" t="s">
        <v>1799</v>
      </c>
      <c r="B829" s="8" t="s">
        <v>1800</v>
      </c>
      <c r="C829" s="8" t="s">
        <v>53</v>
      </c>
      <c r="D829" s="8" t="s">
        <v>326</v>
      </c>
      <c r="E829" s="8" t="s">
        <v>123</v>
      </c>
      <c r="F829" s="8" t="s">
        <v>154</v>
      </c>
      <c r="G829" s="8" t="s">
        <v>204</v>
      </c>
      <c r="H829" s="15" t="n">
        <v>1100</v>
      </c>
      <c r="I829" s="15" t="n">
        <v>1100</v>
      </c>
      <c r="J829" s="16" t="n">
        <v>0.652</v>
      </c>
      <c r="K829" s="8" t="n">
        <v>9</v>
      </c>
      <c r="L829" s="8" t="n">
        <v>7</v>
      </c>
      <c r="M829" s="8" t="n">
        <v>3</v>
      </c>
      <c r="N829" s="8" t="s">
        <v>120</v>
      </c>
      <c r="O829" s="15" t="n">
        <f aca="false">H829*12</f>
        <v>13200</v>
      </c>
      <c r="P829" s="8" t="n">
        <f aca="false">MIN(100,ROUND(100*J829/Assumptions!$B$8,0))</f>
        <v>72</v>
      </c>
      <c r="Q829" s="8" t="n">
        <f aca="false">IF(L829="",Assumptions!$B$9,L829*10)</f>
        <v>70</v>
      </c>
      <c r="R829" s="8" t="n">
        <f aca="false">IF(M829&lt;=1,Assumptions!$B$12,IF(M829&lt;=3,Assumptions!$B$13,IF(M829&lt;=6,Assumptions!$B$14,Assumptions!$B$15)))</f>
        <v>75</v>
      </c>
      <c r="S829" s="8" t="n">
        <f aca="false">IF(N829="Completed On Time",Assumptions!$B$16,IF(N829="Completed Late",Assumptions!$B$17,Assumptions!$B$18))</f>
        <v>100</v>
      </c>
      <c r="T829" s="8" t="n">
        <f aca="false">IF(I829=0,Assumptions!$B$20,IF(H829&gt;I829,Assumptions!$B$19,IF(H829=I829,Assumptions!$B$20,Assumptions!$B$21)))</f>
        <v>70</v>
      </c>
      <c r="U829" s="8" t="n">
        <f aca="false">ROUND(P829*Assumptions!$B$2+Q829*Assumptions!$B$3+R829*Assumptions!$B$4+S829*Assumptions!$B$5+T829*Assumptions!$B$6,0)</f>
        <v>74</v>
      </c>
      <c r="V829" s="8" t="str">
        <f aca="false">IF(U829&gt;=Assumptions!$B$10,"Healthy",IF(U829&gt;=Assumptions!$B$11,"Needs Attention","High Risk"))</f>
        <v>Needs Attention</v>
      </c>
    </row>
    <row r="830" customFormat="false" ht="15" hidden="false" customHeight="false" outlineLevel="0" collapsed="false">
      <c r="A830" s="8" t="s">
        <v>1801</v>
      </c>
      <c r="B830" s="8" t="s">
        <v>1802</v>
      </c>
      <c r="C830" s="8" t="s">
        <v>51</v>
      </c>
      <c r="D830" s="8" t="s">
        <v>326</v>
      </c>
      <c r="E830" s="8" t="s">
        <v>123</v>
      </c>
      <c r="F830" s="8" t="s">
        <v>223</v>
      </c>
      <c r="G830" s="8" t="s">
        <v>180</v>
      </c>
      <c r="H830" s="15" t="n">
        <v>1050</v>
      </c>
      <c r="I830" s="15" t="n">
        <v>825</v>
      </c>
      <c r="J830" s="16" t="n">
        <v>0.843</v>
      </c>
      <c r="K830" s="8" t="n">
        <v>10</v>
      </c>
      <c r="L830" s="8" t="n">
        <v>10</v>
      </c>
      <c r="M830" s="8" t="n">
        <v>2</v>
      </c>
      <c r="N830" s="8" t="s">
        <v>120</v>
      </c>
      <c r="O830" s="15" t="n">
        <f aca="false">H830*12</f>
        <v>12600</v>
      </c>
      <c r="P830" s="8" t="n">
        <f aca="false">MIN(100,ROUND(100*J830/Assumptions!$B$8,0))</f>
        <v>94</v>
      </c>
      <c r="Q830" s="8" t="n">
        <f aca="false">IF(L830="",Assumptions!$B$9,L830*10)</f>
        <v>100</v>
      </c>
      <c r="R830" s="8" t="n">
        <f aca="false">IF(M830&lt;=1,Assumptions!$B$12,IF(M830&lt;=3,Assumptions!$B$13,IF(M830&lt;=6,Assumptions!$B$14,Assumptions!$B$15)))</f>
        <v>75</v>
      </c>
      <c r="S830" s="8" t="n">
        <f aca="false">IF(N830="Completed On Time",Assumptions!$B$16,IF(N830="Completed Late",Assumptions!$B$17,Assumptions!$B$18))</f>
        <v>100</v>
      </c>
      <c r="T830" s="8" t="n">
        <f aca="false">IF(I830=0,Assumptions!$B$20,IF(H830&gt;I830,Assumptions!$B$19,IF(H830=I830,Assumptions!$B$20,Assumptions!$B$21)))</f>
        <v>100</v>
      </c>
      <c r="U830" s="8" t="n">
        <f aca="false">ROUND(P830*Assumptions!$B$2+Q830*Assumptions!$B$3+R830*Assumptions!$B$4+S830*Assumptions!$B$5+T830*Assumptions!$B$6,0)</f>
        <v>94</v>
      </c>
      <c r="V830" s="8" t="str">
        <f aca="false">IF(U830&gt;=Assumptions!$B$10,"Healthy",IF(U830&gt;=Assumptions!$B$11,"Needs Attention","High Risk"))</f>
        <v>Healthy</v>
      </c>
    </row>
    <row r="831" customFormat="false" ht="15" hidden="false" customHeight="false" outlineLevel="0" collapsed="false">
      <c r="A831" s="8" t="s">
        <v>1803</v>
      </c>
      <c r="B831" s="8" t="s">
        <v>1804</v>
      </c>
      <c r="C831" s="8" t="s">
        <v>53</v>
      </c>
      <c r="D831" s="8" t="s">
        <v>326</v>
      </c>
      <c r="E831" s="8" t="s">
        <v>123</v>
      </c>
      <c r="F831" s="8" t="s">
        <v>143</v>
      </c>
      <c r="G831" s="8" t="s">
        <v>140</v>
      </c>
      <c r="H831" s="15" t="n">
        <v>1050</v>
      </c>
      <c r="I831" s="15" t="n">
        <v>1050</v>
      </c>
      <c r="J831" s="16" t="n">
        <v>0.833</v>
      </c>
      <c r="K831" s="8" t="n">
        <v>10.7</v>
      </c>
      <c r="L831" s="8" t="n">
        <v>9</v>
      </c>
      <c r="M831" s="8" t="n">
        <v>2</v>
      </c>
      <c r="N831" s="8" t="s">
        <v>120</v>
      </c>
      <c r="O831" s="15" t="n">
        <f aca="false">H831*12</f>
        <v>12600</v>
      </c>
      <c r="P831" s="8" t="n">
        <f aca="false">MIN(100,ROUND(100*J831/Assumptions!$B$8,0))</f>
        <v>93</v>
      </c>
      <c r="Q831" s="8" t="n">
        <f aca="false">IF(L831="",Assumptions!$B$9,L831*10)</f>
        <v>90</v>
      </c>
      <c r="R831" s="8" t="n">
        <f aca="false">IF(M831&lt;=1,Assumptions!$B$12,IF(M831&lt;=3,Assumptions!$B$13,IF(M831&lt;=6,Assumptions!$B$14,Assumptions!$B$15)))</f>
        <v>75</v>
      </c>
      <c r="S831" s="8" t="n">
        <f aca="false">IF(N831="Completed On Time",Assumptions!$B$16,IF(N831="Completed Late",Assumptions!$B$17,Assumptions!$B$18))</f>
        <v>100</v>
      </c>
      <c r="T831" s="8" t="n">
        <f aca="false">IF(I831=0,Assumptions!$B$20,IF(H831&gt;I831,Assumptions!$B$19,IF(H831=I831,Assumptions!$B$20,Assumptions!$B$21)))</f>
        <v>70</v>
      </c>
      <c r="U831" s="8" t="n">
        <f aca="false">ROUND(P831*Assumptions!$B$2+Q831*Assumptions!$B$3+R831*Assumptions!$B$4+S831*Assumptions!$B$5+T831*Assumptions!$B$6,0)</f>
        <v>86</v>
      </c>
      <c r="V831" s="8" t="str">
        <f aca="false">IF(U831&gt;=Assumptions!$B$10,"Healthy",IF(U831&gt;=Assumptions!$B$11,"Needs Attention","High Risk"))</f>
        <v>Healthy</v>
      </c>
    </row>
    <row r="832" customFormat="false" ht="15" hidden="false" customHeight="false" outlineLevel="0" collapsed="false">
      <c r="A832" s="8" t="s">
        <v>1805</v>
      </c>
      <c r="B832" s="8" t="s">
        <v>1806</v>
      </c>
      <c r="C832" s="8" t="s">
        <v>53</v>
      </c>
      <c r="D832" s="8" t="s">
        <v>326</v>
      </c>
      <c r="E832" s="8" t="s">
        <v>132</v>
      </c>
      <c r="F832" s="8" t="s">
        <v>136</v>
      </c>
      <c r="G832" s="8" t="s">
        <v>125</v>
      </c>
      <c r="H832" s="15" t="n">
        <v>1050</v>
      </c>
      <c r="I832" s="15" t="n">
        <v>1050</v>
      </c>
      <c r="J832" s="16" t="n">
        <v>0.794</v>
      </c>
      <c r="K832" s="8" t="n">
        <v>9.3</v>
      </c>
      <c r="L832" s="8" t="n">
        <v>8</v>
      </c>
      <c r="M832" s="8" t="n">
        <v>4</v>
      </c>
      <c r="N832" s="8" t="s">
        <v>120</v>
      </c>
      <c r="O832" s="15" t="n">
        <f aca="false">H832*12</f>
        <v>12600</v>
      </c>
      <c r="P832" s="8" t="n">
        <f aca="false">MIN(100,ROUND(100*J832/Assumptions!$B$8,0))</f>
        <v>88</v>
      </c>
      <c r="Q832" s="8" t="n">
        <f aca="false">IF(L832="",Assumptions!$B$9,L832*10)</f>
        <v>80</v>
      </c>
      <c r="R832" s="8" t="n">
        <f aca="false">IF(M832&lt;=1,Assumptions!$B$12,IF(M832&lt;=3,Assumptions!$B$13,IF(M832&lt;=6,Assumptions!$B$14,Assumptions!$B$15)))</f>
        <v>50</v>
      </c>
      <c r="S832" s="8" t="n">
        <f aca="false">IF(N832="Completed On Time",Assumptions!$B$16,IF(N832="Completed Late",Assumptions!$B$17,Assumptions!$B$18))</f>
        <v>100</v>
      </c>
      <c r="T832" s="8" t="n">
        <f aca="false">IF(I832=0,Assumptions!$B$20,IF(H832&gt;I832,Assumptions!$B$19,IF(H832=I832,Assumptions!$B$20,Assumptions!$B$21)))</f>
        <v>70</v>
      </c>
      <c r="U832" s="8" t="n">
        <f aca="false">ROUND(P832*Assumptions!$B$2+Q832*Assumptions!$B$3+R832*Assumptions!$B$4+S832*Assumptions!$B$5+T832*Assumptions!$B$6,0)</f>
        <v>78</v>
      </c>
      <c r="V832" s="8" t="str">
        <f aca="false">IF(U832&gt;=Assumptions!$B$10,"Healthy",IF(U832&gt;=Assumptions!$B$11,"Needs Attention","High Risk"))</f>
        <v>Needs Attention</v>
      </c>
    </row>
    <row r="833" customFormat="false" ht="15" hidden="false" customHeight="false" outlineLevel="0" collapsed="false">
      <c r="A833" s="8" t="s">
        <v>1807</v>
      </c>
      <c r="B833" s="8" t="s">
        <v>1808</v>
      </c>
      <c r="C833" s="8" t="s">
        <v>51</v>
      </c>
      <c r="D833" s="8" t="s">
        <v>326</v>
      </c>
      <c r="E833" s="8" t="s">
        <v>117</v>
      </c>
      <c r="F833" s="8" t="s">
        <v>166</v>
      </c>
      <c r="G833" s="8" t="s">
        <v>204</v>
      </c>
      <c r="H833" s="15" t="n">
        <v>1050</v>
      </c>
      <c r="I833" s="15" t="n">
        <v>1050</v>
      </c>
      <c r="J833" s="16" t="n">
        <v>0.706</v>
      </c>
      <c r="K833" s="8" t="n">
        <v>9.3</v>
      </c>
      <c r="L833" s="8" t="n">
        <v>8</v>
      </c>
      <c r="M833" s="8" t="n">
        <v>1</v>
      </c>
      <c r="N833" s="8" t="s">
        <v>120</v>
      </c>
      <c r="O833" s="15" t="n">
        <f aca="false">H833*12</f>
        <v>12600</v>
      </c>
      <c r="P833" s="8" t="n">
        <f aca="false">MIN(100,ROUND(100*J833/Assumptions!$B$8,0))</f>
        <v>78</v>
      </c>
      <c r="Q833" s="8" t="n">
        <f aca="false">IF(L833="",Assumptions!$B$9,L833*10)</f>
        <v>80</v>
      </c>
      <c r="R833" s="8" t="n">
        <f aca="false">IF(M833&lt;=1,Assumptions!$B$12,IF(M833&lt;=3,Assumptions!$B$13,IF(M833&lt;=6,Assumptions!$B$14,Assumptions!$B$15)))</f>
        <v>100</v>
      </c>
      <c r="S833" s="8" t="n">
        <f aca="false">IF(N833="Completed On Time",Assumptions!$B$16,IF(N833="Completed Late",Assumptions!$B$17,Assumptions!$B$18))</f>
        <v>100</v>
      </c>
      <c r="T833" s="8" t="n">
        <f aca="false">IF(I833=0,Assumptions!$B$20,IF(H833&gt;I833,Assumptions!$B$19,IF(H833=I833,Assumptions!$B$20,Assumptions!$B$21)))</f>
        <v>70</v>
      </c>
      <c r="U833" s="8" t="n">
        <f aca="false">ROUND(P833*Assumptions!$B$2+Q833*Assumptions!$B$3+R833*Assumptions!$B$4+S833*Assumptions!$B$5+T833*Assumptions!$B$6,0)</f>
        <v>82</v>
      </c>
      <c r="V833" s="8" t="str">
        <f aca="false">IF(U833&gt;=Assumptions!$B$10,"Healthy",IF(U833&gt;=Assumptions!$B$11,"Needs Attention","High Risk"))</f>
        <v>Healthy</v>
      </c>
    </row>
    <row r="834" customFormat="false" ht="15" hidden="false" customHeight="false" outlineLevel="0" collapsed="false">
      <c r="A834" s="8" t="s">
        <v>1809</v>
      </c>
      <c r="B834" s="8" t="s">
        <v>1810</v>
      </c>
      <c r="C834" s="8" t="s">
        <v>51</v>
      </c>
      <c r="D834" s="8" t="s">
        <v>326</v>
      </c>
      <c r="E834" s="8" t="s">
        <v>132</v>
      </c>
      <c r="F834" s="8" t="s">
        <v>118</v>
      </c>
      <c r="G834" s="8" t="s">
        <v>144</v>
      </c>
      <c r="H834" s="15" t="n">
        <v>1050</v>
      </c>
      <c r="I834" s="15" t="n">
        <v>1050</v>
      </c>
      <c r="J834" s="16" t="n">
        <v>0.579</v>
      </c>
      <c r="K834" s="8" t="n">
        <v>6.7</v>
      </c>
      <c r="L834" s="8" t="n">
        <v>7</v>
      </c>
      <c r="M834" s="8" t="n">
        <v>7</v>
      </c>
      <c r="N834" s="8" t="s">
        <v>120</v>
      </c>
      <c r="O834" s="15" t="n">
        <f aca="false">H834*12</f>
        <v>12600</v>
      </c>
      <c r="P834" s="8" t="n">
        <f aca="false">MIN(100,ROUND(100*J834/Assumptions!$B$8,0))</f>
        <v>64</v>
      </c>
      <c r="Q834" s="8" t="n">
        <f aca="false">IF(L834="",Assumptions!$B$9,L834*10)</f>
        <v>70</v>
      </c>
      <c r="R834" s="8" t="n">
        <f aca="false">IF(M834&lt;=1,Assumptions!$B$12,IF(M834&lt;=3,Assumptions!$B$13,IF(M834&lt;=6,Assumptions!$B$14,Assumptions!$B$15)))</f>
        <v>20</v>
      </c>
      <c r="S834" s="8" t="n">
        <f aca="false">IF(N834="Completed On Time",Assumptions!$B$16,IF(N834="Completed Late",Assumptions!$B$17,Assumptions!$B$18))</f>
        <v>100</v>
      </c>
      <c r="T834" s="8" t="n">
        <f aca="false">IF(I834=0,Assumptions!$B$20,IF(H834&gt;I834,Assumptions!$B$19,IF(H834=I834,Assumptions!$B$20,Assumptions!$B$21)))</f>
        <v>70</v>
      </c>
      <c r="U834" s="8" t="n">
        <f aca="false">ROUND(P834*Assumptions!$B$2+Q834*Assumptions!$B$3+R834*Assumptions!$B$4+S834*Assumptions!$B$5+T834*Assumptions!$B$6,0)</f>
        <v>63</v>
      </c>
      <c r="V834" s="8" t="str">
        <f aca="false">IF(U834&gt;=Assumptions!$B$10,"Healthy",IF(U834&gt;=Assumptions!$B$11,"Needs Attention","High Risk"))</f>
        <v>High Risk</v>
      </c>
    </row>
    <row r="835" customFormat="false" ht="15" hidden="false" customHeight="false" outlineLevel="0" collapsed="false">
      <c r="A835" s="8" t="s">
        <v>1811</v>
      </c>
      <c r="B835" s="8" t="s">
        <v>1812</v>
      </c>
      <c r="C835" s="8" t="s">
        <v>51</v>
      </c>
      <c r="D835" s="8" t="s">
        <v>326</v>
      </c>
      <c r="E835" s="8" t="s">
        <v>132</v>
      </c>
      <c r="F835" s="8" t="s">
        <v>151</v>
      </c>
      <c r="G835" s="8" t="s">
        <v>129</v>
      </c>
      <c r="H835" s="15" t="n">
        <v>1025</v>
      </c>
      <c r="I835" s="15" t="n">
        <v>1025</v>
      </c>
      <c r="J835" s="16" t="n">
        <v>0.878</v>
      </c>
      <c r="K835" s="8" t="n">
        <v>10.3</v>
      </c>
      <c r="L835" s="8" t="n">
        <v>10</v>
      </c>
      <c r="M835" s="8" t="n">
        <v>2</v>
      </c>
      <c r="N835" s="8" t="s">
        <v>120</v>
      </c>
      <c r="O835" s="15" t="n">
        <f aca="false">H835*12</f>
        <v>12300</v>
      </c>
      <c r="P835" s="8" t="n">
        <f aca="false">MIN(100,ROUND(100*J835/Assumptions!$B$8,0))</f>
        <v>98</v>
      </c>
      <c r="Q835" s="8" t="n">
        <f aca="false">IF(L835="",Assumptions!$B$9,L835*10)</f>
        <v>100</v>
      </c>
      <c r="R835" s="8" t="n">
        <f aca="false">IF(M835&lt;=1,Assumptions!$B$12,IF(M835&lt;=3,Assumptions!$B$13,IF(M835&lt;=6,Assumptions!$B$14,Assumptions!$B$15)))</f>
        <v>75</v>
      </c>
      <c r="S835" s="8" t="n">
        <f aca="false">IF(N835="Completed On Time",Assumptions!$B$16,IF(N835="Completed Late",Assumptions!$B$17,Assumptions!$B$18))</f>
        <v>100</v>
      </c>
      <c r="T835" s="8" t="n">
        <f aca="false">IF(I835=0,Assumptions!$B$20,IF(H835&gt;I835,Assumptions!$B$19,IF(H835=I835,Assumptions!$B$20,Assumptions!$B$21)))</f>
        <v>70</v>
      </c>
      <c r="U835" s="8" t="n">
        <f aca="false">ROUND(P835*Assumptions!$B$2+Q835*Assumptions!$B$3+R835*Assumptions!$B$4+S835*Assumptions!$B$5+T835*Assumptions!$B$6,0)</f>
        <v>90</v>
      </c>
      <c r="V835" s="8" t="str">
        <f aca="false">IF(U835&gt;=Assumptions!$B$10,"Healthy",IF(U835&gt;=Assumptions!$B$11,"Needs Attention","High Risk"))</f>
        <v>Healthy</v>
      </c>
    </row>
    <row r="836" customFormat="false" ht="15" hidden="false" customHeight="false" outlineLevel="0" collapsed="false">
      <c r="A836" s="8" t="s">
        <v>1813</v>
      </c>
      <c r="B836" s="8" t="s">
        <v>1814</v>
      </c>
      <c r="C836" s="8" t="s">
        <v>51</v>
      </c>
      <c r="D836" s="8" t="s">
        <v>326</v>
      </c>
      <c r="E836" s="8" t="s">
        <v>117</v>
      </c>
      <c r="F836" s="8" t="s">
        <v>151</v>
      </c>
      <c r="G836" s="8" t="s">
        <v>159</v>
      </c>
      <c r="H836" s="15" t="n">
        <v>1025</v>
      </c>
      <c r="I836" s="15" t="n">
        <v>1025</v>
      </c>
      <c r="J836" s="16" t="n">
        <v>0.675</v>
      </c>
      <c r="K836" s="8" t="n">
        <v>8.3</v>
      </c>
      <c r="L836" s="8" t="n">
        <v>7</v>
      </c>
      <c r="M836" s="8" t="n">
        <v>1</v>
      </c>
      <c r="N836" s="8" t="s">
        <v>120</v>
      </c>
      <c r="O836" s="15" t="n">
        <f aca="false">H836*12</f>
        <v>12300</v>
      </c>
      <c r="P836" s="8" t="n">
        <f aca="false">MIN(100,ROUND(100*J836/Assumptions!$B$8,0))</f>
        <v>75</v>
      </c>
      <c r="Q836" s="8" t="n">
        <f aca="false">IF(L836="",Assumptions!$B$9,L836*10)</f>
        <v>70</v>
      </c>
      <c r="R836" s="8" t="n">
        <f aca="false">IF(M836&lt;=1,Assumptions!$B$12,IF(M836&lt;=3,Assumptions!$B$13,IF(M836&lt;=6,Assumptions!$B$14,Assumptions!$B$15)))</f>
        <v>100</v>
      </c>
      <c r="S836" s="8" t="n">
        <f aca="false">IF(N836="Completed On Time",Assumptions!$B$16,IF(N836="Completed Late",Assumptions!$B$17,Assumptions!$B$18))</f>
        <v>100</v>
      </c>
      <c r="T836" s="8" t="n">
        <f aca="false">IF(I836=0,Assumptions!$B$20,IF(H836&gt;I836,Assumptions!$B$19,IF(H836=I836,Assumptions!$B$20,Assumptions!$B$21)))</f>
        <v>70</v>
      </c>
      <c r="U836" s="8" t="n">
        <f aca="false">ROUND(P836*Assumptions!$B$2+Q836*Assumptions!$B$3+R836*Assumptions!$B$4+S836*Assumptions!$B$5+T836*Assumptions!$B$6,0)</f>
        <v>79</v>
      </c>
      <c r="V836" s="8" t="str">
        <f aca="false">IF(U836&gt;=Assumptions!$B$10,"Healthy",IF(U836&gt;=Assumptions!$B$11,"Needs Attention","High Risk"))</f>
        <v>Needs Attention</v>
      </c>
    </row>
    <row r="837" customFormat="false" ht="15" hidden="false" customHeight="false" outlineLevel="0" collapsed="false">
      <c r="A837" s="8" t="s">
        <v>1815</v>
      </c>
      <c r="B837" s="8" t="s">
        <v>1816</v>
      </c>
      <c r="C837" s="8" t="s">
        <v>53</v>
      </c>
      <c r="D837" s="8" t="s">
        <v>326</v>
      </c>
      <c r="E837" s="8" t="s">
        <v>117</v>
      </c>
      <c r="F837" s="8" t="s">
        <v>143</v>
      </c>
      <c r="G837" s="8" t="s">
        <v>119</v>
      </c>
      <c r="H837" s="15" t="n">
        <v>1025</v>
      </c>
      <c r="I837" s="15" t="n">
        <v>1025</v>
      </c>
      <c r="J837" s="16" t="n">
        <v>0.715</v>
      </c>
      <c r="K837" s="8" t="n">
        <v>8</v>
      </c>
      <c r="L837" s="8" t="n">
        <v>7</v>
      </c>
      <c r="M837" s="8" t="n">
        <v>6</v>
      </c>
      <c r="N837" s="8" t="s">
        <v>120</v>
      </c>
      <c r="O837" s="15" t="n">
        <f aca="false">H837*12</f>
        <v>12300</v>
      </c>
      <c r="P837" s="8" t="n">
        <f aca="false">MIN(100,ROUND(100*J837/Assumptions!$B$8,0))</f>
        <v>79</v>
      </c>
      <c r="Q837" s="8" t="n">
        <f aca="false">IF(L837="",Assumptions!$B$9,L837*10)</f>
        <v>70</v>
      </c>
      <c r="R837" s="8" t="n">
        <f aca="false">IF(M837&lt;=1,Assumptions!$B$12,IF(M837&lt;=3,Assumptions!$B$13,IF(M837&lt;=6,Assumptions!$B$14,Assumptions!$B$15)))</f>
        <v>50</v>
      </c>
      <c r="S837" s="8" t="n">
        <f aca="false">IF(N837="Completed On Time",Assumptions!$B$16,IF(N837="Completed Late",Assumptions!$B$17,Assumptions!$B$18))</f>
        <v>100</v>
      </c>
      <c r="T837" s="8" t="n">
        <f aca="false">IF(I837=0,Assumptions!$B$20,IF(H837&gt;I837,Assumptions!$B$19,IF(H837=I837,Assumptions!$B$20,Assumptions!$B$21)))</f>
        <v>70</v>
      </c>
      <c r="U837" s="8" t="n">
        <f aca="false">ROUND(P837*Assumptions!$B$2+Q837*Assumptions!$B$3+R837*Assumptions!$B$4+S837*Assumptions!$B$5+T837*Assumptions!$B$6,0)</f>
        <v>73</v>
      </c>
      <c r="V837" s="8" t="str">
        <f aca="false">IF(U837&gt;=Assumptions!$B$10,"Healthy",IF(U837&gt;=Assumptions!$B$11,"Needs Attention","High Risk"))</f>
        <v>Needs Attention</v>
      </c>
    </row>
    <row r="838" customFormat="false" ht="15" hidden="false" customHeight="false" outlineLevel="0" collapsed="false">
      <c r="A838" s="8" t="s">
        <v>1817</v>
      </c>
      <c r="B838" s="8" t="s">
        <v>1818</v>
      </c>
      <c r="C838" s="8" t="s">
        <v>51</v>
      </c>
      <c r="D838" s="8" t="s">
        <v>326</v>
      </c>
      <c r="E838" s="8" t="s">
        <v>123</v>
      </c>
      <c r="F838" s="8" t="s">
        <v>143</v>
      </c>
      <c r="G838" s="8" t="s">
        <v>119</v>
      </c>
      <c r="H838" s="15" t="n">
        <v>1025</v>
      </c>
      <c r="I838" s="15" t="n">
        <v>1025</v>
      </c>
      <c r="J838" s="16" t="n">
        <v>0.472</v>
      </c>
      <c r="K838" s="8" t="n">
        <v>7</v>
      </c>
      <c r="L838" s="8" t="n">
        <v>10</v>
      </c>
      <c r="M838" s="8" t="n">
        <v>0</v>
      </c>
      <c r="N838" s="8" t="s">
        <v>120</v>
      </c>
      <c r="O838" s="15" t="n">
        <f aca="false">H838*12</f>
        <v>12300</v>
      </c>
      <c r="P838" s="8" t="n">
        <f aca="false">MIN(100,ROUND(100*J838/Assumptions!$B$8,0))</f>
        <v>52</v>
      </c>
      <c r="Q838" s="8" t="n">
        <f aca="false">IF(L838="",Assumptions!$B$9,L838*10)</f>
        <v>100</v>
      </c>
      <c r="R838" s="8" t="n">
        <f aca="false">IF(M838&lt;=1,Assumptions!$B$12,IF(M838&lt;=3,Assumptions!$B$13,IF(M838&lt;=6,Assumptions!$B$14,Assumptions!$B$15)))</f>
        <v>100</v>
      </c>
      <c r="S838" s="8" t="n">
        <f aca="false">IF(N838="Completed On Time",Assumptions!$B$16,IF(N838="Completed Late",Assumptions!$B$17,Assumptions!$B$18))</f>
        <v>100</v>
      </c>
      <c r="T838" s="8" t="n">
        <f aca="false">IF(I838=0,Assumptions!$B$20,IF(H838&gt;I838,Assumptions!$B$19,IF(H838=I838,Assumptions!$B$20,Assumptions!$B$21)))</f>
        <v>70</v>
      </c>
      <c r="U838" s="8" t="n">
        <f aca="false">ROUND(P838*Assumptions!$B$2+Q838*Assumptions!$B$3+R838*Assumptions!$B$4+S838*Assumptions!$B$5+T838*Assumptions!$B$6,0)</f>
        <v>77</v>
      </c>
      <c r="V838" s="8" t="str">
        <f aca="false">IF(U838&gt;=Assumptions!$B$10,"Healthy",IF(U838&gt;=Assumptions!$B$11,"Needs Attention","High Risk"))</f>
        <v>Needs Attention</v>
      </c>
    </row>
    <row r="839" customFormat="false" ht="15" hidden="false" customHeight="false" outlineLevel="0" collapsed="false">
      <c r="A839" s="8" t="s">
        <v>1819</v>
      </c>
      <c r="B839" s="8" t="s">
        <v>1820</v>
      </c>
      <c r="C839" s="8" t="s">
        <v>53</v>
      </c>
      <c r="D839" s="8" t="s">
        <v>326</v>
      </c>
      <c r="E839" s="8" t="s">
        <v>128</v>
      </c>
      <c r="F839" s="8" t="s">
        <v>166</v>
      </c>
      <c r="G839" s="8" t="s">
        <v>177</v>
      </c>
      <c r="H839" s="15" t="n">
        <v>1025</v>
      </c>
      <c r="I839" s="15" t="n">
        <v>1025</v>
      </c>
      <c r="J839" s="16" t="n">
        <v>0.675</v>
      </c>
      <c r="K839" s="8" t="n">
        <v>7</v>
      </c>
      <c r="L839" s="8" t="n">
        <v>8</v>
      </c>
      <c r="M839" s="8" t="n">
        <v>4</v>
      </c>
      <c r="N839" s="8" t="s">
        <v>120</v>
      </c>
      <c r="O839" s="15" t="n">
        <f aca="false">H839*12</f>
        <v>12300</v>
      </c>
      <c r="P839" s="8" t="n">
        <f aca="false">MIN(100,ROUND(100*J839/Assumptions!$B$8,0))</f>
        <v>75</v>
      </c>
      <c r="Q839" s="8" t="n">
        <f aca="false">IF(L839="",Assumptions!$B$9,L839*10)</f>
        <v>80</v>
      </c>
      <c r="R839" s="8" t="n">
        <f aca="false">IF(M839&lt;=1,Assumptions!$B$12,IF(M839&lt;=3,Assumptions!$B$13,IF(M839&lt;=6,Assumptions!$B$14,Assumptions!$B$15)))</f>
        <v>50</v>
      </c>
      <c r="S839" s="8" t="n">
        <f aca="false">IF(N839="Completed On Time",Assumptions!$B$16,IF(N839="Completed Late",Assumptions!$B$17,Assumptions!$B$18))</f>
        <v>100</v>
      </c>
      <c r="T839" s="8" t="n">
        <f aca="false">IF(I839=0,Assumptions!$B$20,IF(H839&gt;I839,Assumptions!$B$19,IF(H839=I839,Assumptions!$B$20,Assumptions!$B$21)))</f>
        <v>70</v>
      </c>
      <c r="U839" s="8" t="n">
        <f aca="false">ROUND(P839*Assumptions!$B$2+Q839*Assumptions!$B$3+R839*Assumptions!$B$4+S839*Assumptions!$B$5+T839*Assumptions!$B$6,0)</f>
        <v>74</v>
      </c>
      <c r="V839" s="8" t="str">
        <f aca="false">IF(U839&gt;=Assumptions!$B$10,"Healthy",IF(U839&gt;=Assumptions!$B$11,"Needs Attention","High Risk"))</f>
        <v>Needs Attention</v>
      </c>
    </row>
    <row r="840" customFormat="false" ht="15" hidden="false" customHeight="false" outlineLevel="0" collapsed="false">
      <c r="A840" s="8" t="s">
        <v>1821</v>
      </c>
      <c r="B840" s="8" t="s">
        <v>1822</v>
      </c>
      <c r="C840" s="8" t="s">
        <v>51</v>
      </c>
      <c r="D840" s="8" t="s">
        <v>326</v>
      </c>
      <c r="E840" s="8" t="s">
        <v>123</v>
      </c>
      <c r="F840" s="8" t="s">
        <v>136</v>
      </c>
      <c r="G840" s="8" t="s">
        <v>159</v>
      </c>
      <c r="H840" s="15" t="n">
        <v>1000</v>
      </c>
      <c r="I840" s="15" t="n">
        <v>1000</v>
      </c>
      <c r="J840" s="16" t="n">
        <v>0.808</v>
      </c>
      <c r="K840" s="8" t="n">
        <v>8.3</v>
      </c>
      <c r="L840" s="8" t="n">
        <v>10</v>
      </c>
      <c r="M840" s="8" t="n">
        <v>0</v>
      </c>
      <c r="N840" s="8" t="s">
        <v>120</v>
      </c>
      <c r="O840" s="15" t="n">
        <f aca="false">H840*12</f>
        <v>12000</v>
      </c>
      <c r="P840" s="8" t="n">
        <f aca="false">MIN(100,ROUND(100*J840/Assumptions!$B$8,0))</f>
        <v>90</v>
      </c>
      <c r="Q840" s="8" t="n">
        <f aca="false">IF(L840="",Assumptions!$B$9,L840*10)</f>
        <v>100</v>
      </c>
      <c r="R840" s="8" t="n">
        <f aca="false">IF(M840&lt;=1,Assumptions!$B$12,IF(M840&lt;=3,Assumptions!$B$13,IF(M840&lt;=6,Assumptions!$B$14,Assumptions!$B$15)))</f>
        <v>100</v>
      </c>
      <c r="S840" s="8" t="n">
        <f aca="false">IF(N840="Completed On Time",Assumptions!$B$16,IF(N840="Completed Late",Assumptions!$B$17,Assumptions!$B$18))</f>
        <v>100</v>
      </c>
      <c r="T840" s="8" t="n">
        <f aca="false">IF(I840=0,Assumptions!$B$20,IF(H840&gt;I840,Assumptions!$B$19,IF(H840=I840,Assumptions!$B$20,Assumptions!$B$21)))</f>
        <v>70</v>
      </c>
      <c r="U840" s="8" t="n">
        <f aca="false">ROUND(P840*Assumptions!$B$2+Q840*Assumptions!$B$3+R840*Assumptions!$B$4+S840*Assumptions!$B$5+T840*Assumptions!$B$6,0)</f>
        <v>91</v>
      </c>
      <c r="V840" s="8" t="str">
        <f aca="false">IF(U840&gt;=Assumptions!$B$10,"Healthy",IF(U840&gt;=Assumptions!$B$11,"Needs Attention","High Risk"))</f>
        <v>Healthy</v>
      </c>
    </row>
    <row r="841" customFormat="false" ht="15" hidden="false" customHeight="false" outlineLevel="0" collapsed="false">
      <c r="A841" s="8" t="s">
        <v>1823</v>
      </c>
      <c r="B841" s="8" t="s">
        <v>1824</v>
      </c>
      <c r="C841" s="8" t="s">
        <v>51</v>
      </c>
      <c r="D841" s="8" t="s">
        <v>326</v>
      </c>
      <c r="E841" s="8" t="s">
        <v>123</v>
      </c>
      <c r="F841" s="8" t="s">
        <v>136</v>
      </c>
      <c r="G841" s="8" t="s">
        <v>125</v>
      </c>
      <c r="H841" s="15" t="n">
        <v>1000</v>
      </c>
      <c r="I841" s="15" t="n">
        <v>1000</v>
      </c>
      <c r="J841" s="16" t="n">
        <v>0.675</v>
      </c>
      <c r="K841" s="8" t="n">
        <v>7.3</v>
      </c>
      <c r="L841" s="8" t="n">
        <v>8</v>
      </c>
      <c r="M841" s="8" t="n">
        <v>3</v>
      </c>
      <c r="N841" s="8" t="s">
        <v>120</v>
      </c>
      <c r="O841" s="15" t="n">
        <f aca="false">H841*12</f>
        <v>12000</v>
      </c>
      <c r="P841" s="8" t="n">
        <f aca="false">MIN(100,ROUND(100*J841/Assumptions!$B$8,0))</f>
        <v>75</v>
      </c>
      <c r="Q841" s="8" t="n">
        <f aca="false">IF(L841="",Assumptions!$B$9,L841*10)</f>
        <v>80</v>
      </c>
      <c r="R841" s="8" t="n">
        <f aca="false">IF(M841&lt;=1,Assumptions!$B$12,IF(M841&lt;=3,Assumptions!$B$13,IF(M841&lt;=6,Assumptions!$B$14,Assumptions!$B$15)))</f>
        <v>75</v>
      </c>
      <c r="S841" s="8" t="n">
        <f aca="false">IF(N841="Completed On Time",Assumptions!$B$16,IF(N841="Completed Late",Assumptions!$B$17,Assumptions!$B$18))</f>
        <v>100</v>
      </c>
      <c r="T841" s="8" t="n">
        <f aca="false">IF(I841=0,Assumptions!$B$20,IF(H841&gt;I841,Assumptions!$B$19,IF(H841=I841,Assumptions!$B$20,Assumptions!$B$21)))</f>
        <v>70</v>
      </c>
      <c r="U841" s="8" t="n">
        <f aca="false">ROUND(P841*Assumptions!$B$2+Q841*Assumptions!$B$3+R841*Assumptions!$B$4+S841*Assumptions!$B$5+T841*Assumptions!$B$6,0)</f>
        <v>78</v>
      </c>
      <c r="V841" s="8" t="str">
        <f aca="false">IF(U841&gt;=Assumptions!$B$10,"Healthy",IF(U841&gt;=Assumptions!$B$11,"Needs Attention","High Risk"))</f>
        <v>Needs Attention</v>
      </c>
    </row>
    <row r="842" customFormat="false" ht="15" hidden="false" customHeight="false" outlineLevel="0" collapsed="false">
      <c r="A842" s="8" t="s">
        <v>1825</v>
      </c>
      <c r="B842" s="8" t="s">
        <v>1826</v>
      </c>
      <c r="C842" s="8" t="s">
        <v>51</v>
      </c>
      <c r="D842" s="8" t="s">
        <v>326</v>
      </c>
      <c r="E842" s="8" t="s">
        <v>132</v>
      </c>
      <c r="F842" s="8" t="s">
        <v>154</v>
      </c>
      <c r="G842" s="8" t="s">
        <v>177</v>
      </c>
      <c r="H842" s="15" t="n">
        <v>1000</v>
      </c>
      <c r="I842" s="15" t="n">
        <v>1000</v>
      </c>
      <c r="J842" s="16" t="n">
        <v>0.667</v>
      </c>
      <c r="K842" s="8" t="n">
        <v>8</v>
      </c>
      <c r="L842" s="8" t="n">
        <v>8</v>
      </c>
      <c r="M842" s="8" t="n">
        <v>2</v>
      </c>
      <c r="N842" s="8" t="s">
        <v>120</v>
      </c>
      <c r="O842" s="15" t="n">
        <f aca="false">H842*12</f>
        <v>12000</v>
      </c>
      <c r="P842" s="8" t="n">
        <f aca="false">MIN(100,ROUND(100*J842/Assumptions!$B$8,0))</f>
        <v>74</v>
      </c>
      <c r="Q842" s="8" t="n">
        <f aca="false">IF(L842="",Assumptions!$B$9,L842*10)</f>
        <v>80</v>
      </c>
      <c r="R842" s="8" t="n">
        <f aca="false">IF(M842&lt;=1,Assumptions!$B$12,IF(M842&lt;=3,Assumptions!$B$13,IF(M842&lt;=6,Assumptions!$B$14,Assumptions!$B$15)))</f>
        <v>75</v>
      </c>
      <c r="S842" s="8" t="n">
        <f aca="false">IF(N842="Completed On Time",Assumptions!$B$16,IF(N842="Completed Late",Assumptions!$B$17,Assumptions!$B$18))</f>
        <v>100</v>
      </c>
      <c r="T842" s="8" t="n">
        <f aca="false">IF(I842=0,Assumptions!$B$20,IF(H842&gt;I842,Assumptions!$B$19,IF(H842=I842,Assumptions!$B$20,Assumptions!$B$21)))</f>
        <v>70</v>
      </c>
      <c r="U842" s="8" t="n">
        <f aca="false">ROUND(P842*Assumptions!$B$2+Q842*Assumptions!$B$3+R842*Assumptions!$B$4+S842*Assumptions!$B$5+T842*Assumptions!$B$6,0)</f>
        <v>77</v>
      </c>
      <c r="V842" s="8" t="str">
        <f aca="false">IF(U842&gt;=Assumptions!$B$10,"Healthy",IF(U842&gt;=Assumptions!$B$11,"Needs Attention","High Risk"))</f>
        <v>Needs Attention</v>
      </c>
    </row>
    <row r="843" customFormat="false" ht="15" hidden="false" customHeight="false" outlineLevel="0" collapsed="false">
      <c r="A843" s="8" t="s">
        <v>1827</v>
      </c>
      <c r="B843" s="8" t="s">
        <v>1828</v>
      </c>
      <c r="C843" s="8" t="s">
        <v>51</v>
      </c>
      <c r="D843" s="8" t="s">
        <v>326</v>
      </c>
      <c r="E843" s="8" t="s">
        <v>132</v>
      </c>
      <c r="F843" s="8" t="s">
        <v>151</v>
      </c>
      <c r="G843" s="8" t="s">
        <v>159</v>
      </c>
      <c r="H843" s="15" t="n">
        <v>1000</v>
      </c>
      <c r="I843" s="15" t="n">
        <v>1000</v>
      </c>
      <c r="J843" s="16" t="n">
        <v>0.767</v>
      </c>
      <c r="K843" s="8" t="n">
        <v>8.7</v>
      </c>
      <c r="L843" s="8" t="n">
        <v>7</v>
      </c>
      <c r="M843" s="8" t="n">
        <v>3</v>
      </c>
      <c r="N843" s="8" t="s">
        <v>120</v>
      </c>
      <c r="O843" s="15" t="n">
        <f aca="false">H843*12</f>
        <v>12000</v>
      </c>
      <c r="P843" s="8" t="n">
        <f aca="false">MIN(100,ROUND(100*J843/Assumptions!$B$8,0))</f>
        <v>85</v>
      </c>
      <c r="Q843" s="8" t="n">
        <f aca="false">IF(L843="",Assumptions!$B$9,L843*10)</f>
        <v>70</v>
      </c>
      <c r="R843" s="8" t="n">
        <f aca="false">IF(M843&lt;=1,Assumptions!$B$12,IF(M843&lt;=3,Assumptions!$B$13,IF(M843&lt;=6,Assumptions!$B$14,Assumptions!$B$15)))</f>
        <v>75</v>
      </c>
      <c r="S843" s="8" t="n">
        <f aca="false">IF(N843="Completed On Time",Assumptions!$B$16,IF(N843="Completed Late",Assumptions!$B$17,Assumptions!$B$18))</f>
        <v>100</v>
      </c>
      <c r="T843" s="8" t="n">
        <f aca="false">IF(I843=0,Assumptions!$B$20,IF(H843&gt;I843,Assumptions!$B$19,IF(H843=I843,Assumptions!$B$20,Assumptions!$B$21)))</f>
        <v>70</v>
      </c>
      <c r="U843" s="8" t="n">
        <f aca="false">ROUND(P843*Assumptions!$B$2+Q843*Assumptions!$B$3+R843*Assumptions!$B$4+S843*Assumptions!$B$5+T843*Assumptions!$B$6,0)</f>
        <v>79</v>
      </c>
      <c r="V843" s="8" t="str">
        <f aca="false">IF(U843&gt;=Assumptions!$B$10,"Healthy",IF(U843&gt;=Assumptions!$B$11,"Needs Attention","High Risk"))</f>
        <v>Needs Attention</v>
      </c>
    </row>
    <row r="844" customFormat="false" ht="15" hidden="false" customHeight="false" outlineLevel="0" collapsed="false">
      <c r="A844" s="8" t="s">
        <v>1829</v>
      </c>
      <c r="B844" s="8" t="s">
        <v>1830</v>
      </c>
      <c r="C844" s="8" t="s">
        <v>51</v>
      </c>
      <c r="D844" s="8" t="s">
        <v>326</v>
      </c>
      <c r="E844" s="8" t="s">
        <v>117</v>
      </c>
      <c r="F844" s="8" t="s">
        <v>143</v>
      </c>
      <c r="G844" s="8" t="s">
        <v>185</v>
      </c>
      <c r="H844" s="15" t="n">
        <v>1000</v>
      </c>
      <c r="I844" s="15" t="n">
        <v>1000</v>
      </c>
      <c r="J844" s="16" t="n">
        <v>0.642</v>
      </c>
      <c r="K844" s="8" t="n">
        <v>6</v>
      </c>
      <c r="L844" s="8" t="n">
        <v>6</v>
      </c>
      <c r="M844" s="8" t="n">
        <v>3</v>
      </c>
      <c r="N844" s="8" t="s">
        <v>120</v>
      </c>
      <c r="O844" s="15" t="n">
        <f aca="false">H844*12</f>
        <v>12000</v>
      </c>
      <c r="P844" s="8" t="n">
        <f aca="false">MIN(100,ROUND(100*J844/Assumptions!$B$8,0))</f>
        <v>71</v>
      </c>
      <c r="Q844" s="8" t="n">
        <f aca="false">IF(L844="",Assumptions!$B$9,L844*10)</f>
        <v>60</v>
      </c>
      <c r="R844" s="8" t="n">
        <f aca="false">IF(M844&lt;=1,Assumptions!$B$12,IF(M844&lt;=3,Assumptions!$B$13,IF(M844&lt;=6,Assumptions!$B$14,Assumptions!$B$15)))</f>
        <v>75</v>
      </c>
      <c r="S844" s="8" t="n">
        <f aca="false">IF(N844="Completed On Time",Assumptions!$B$16,IF(N844="Completed Late",Assumptions!$B$17,Assumptions!$B$18))</f>
        <v>100</v>
      </c>
      <c r="T844" s="8" t="n">
        <f aca="false">IF(I844=0,Assumptions!$B$20,IF(H844&gt;I844,Assumptions!$B$19,IF(H844=I844,Assumptions!$B$20,Assumptions!$B$21)))</f>
        <v>70</v>
      </c>
      <c r="U844" s="8" t="n">
        <f aca="false">ROUND(P844*Assumptions!$B$2+Q844*Assumptions!$B$3+R844*Assumptions!$B$4+S844*Assumptions!$B$5+T844*Assumptions!$B$6,0)</f>
        <v>72</v>
      </c>
      <c r="V844" s="8" t="str">
        <f aca="false">IF(U844&gt;=Assumptions!$B$10,"Healthy",IF(U844&gt;=Assumptions!$B$11,"Needs Attention","High Risk"))</f>
        <v>Needs Attention</v>
      </c>
    </row>
    <row r="845" customFormat="false" ht="15" hidden="false" customHeight="false" outlineLevel="0" collapsed="false">
      <c r="A845" s="8" t="s">
        <v>1831</v>
      </c>
      <c r="B845" s="8" t="s">
        <v>1832</v>
      </c>
      <c r="C845" s="8" t="s">
        <v>51</v>
      </c>
      <c r="D845" s="8" t="s">
        <v>326</v>
      </c>
      <c r="E845" s="8" t="s">
        <v>123</v>
      </c>
      <c r="F845" s="8" t="s">
        <v>190</v>
      </c>
      <c r="G845" s="8" t="s">
        <v>119</v>
      </c>
      <c r="H845" s="15" t="n">
        <v>975</v>
      </c>
      <c r="I845" s="15" t="n">
        <v>975</v>
      </c>
      <c r="J845" s="16" t="n">
        <v>0.564</v>
      </c>
      <c r="K845" s="8" t="n">
        <v>8.7</v>
      </c>
      <c r="L845" s="8" t="n">
        <v>6</v>
      </c>
      <c r="M845" s="8" t="n">
        <v>6</v>
      </c>
      <c r="N845" s="8" t="s">
        <v>120</v>
      </c>
      <c r="O845" s="15" t="n">
        <f aca="false">H845*12</f>
        <v>11700</v>
      </c>
      <c r="P845" s="8" t="n">
        <f aca="false">MIN(100,ROUND(100*J845/Assumptions!$B$8,0))</f>
        <v>63</v>
      </c>
      <c r="Q845" s="8" t="n">
        <f aca="false">IF(L845="",Assumptions!$B$9,L845*10)</f>
        <v>60</v>
      </c>
      <c r="R845" s="8" t="n">
        <f aca="false">IF(M845&lt;=1,Assumptions!$B$12,IF(M845&lt;=3,Assumptions!$B$13,IF(M845&lt;=6,Assumptions!$B$14,Assumptions!$B$15)))</f>
        <v>50</v>
      </c>
      <c r="S845" s="8" t="n">
        <f aca="false">IF(N845="Completed On Time",Assumptions!$B$16,IF(N845="Completed Late",Assumptions!$B$17,Assumptions!$B$18))</f>
        <v>100</v>
      </c>
      <c r="T845" s="8" t="n">
        <f aca="false">IF(I845=0,Assumptions!$B$20,IF(H845&gt;I845,Assumptions!$B$19,IF(H845=I845,Assumptions!$B$20,Assumptions!$B$21)))</f>
        <v>70</v>
      </c>
      <c r="U845" s="8" t="n">
        <f aca="false">ROUND(P845*Assumptions!$B$2+Q845*Assumptions!$B$3+R845*Assumptions!$B$4+S845*Assumptions!$B$5+T845*Assumptions!$B$6,0)</f>
        <v>66</v>
      </c>
      <c r="V845" s="8" t="str">
        <f aca="false">IF(U845&gt;=Assumptions!$B$10,"Healthy",IF(U845&gt;=Assumptions!$B$11,"Needs Attention","High Risk"))</f>
        <v>Needs Attention</v>
      </c>
    </row>
    <row r="846" customFormat="false" ht="15" hidden="false" customHeight="false" outlineLevel="0" collapsed="false">
      <c r="A846" s="8" t="s">
        <v>1833</v>
      </c>
      <c r="B846" s="8" t="s">
        <v>1834</v>
      </c>
      <c r="C846" s="8" t="s">
        <v>51</v>
      </c>
      <c r="D846" s="8" t="s">
        <v>326</v>
      </c>
      <c r="E846" s="8" t="s">
        <v>117</v>
      </c>
      <c r="F846" s="8" t="s">
        <v>133</v>
      </c>
      <c r="G846" s="8" t="s">
        <v>185</v>
      </c>
      <c r="H846" s="15" t="n">
        <v>975</v>
      </c>
      <c r="I846" s="15" t="n">
        <v>775</v>
      </c>
      <c r="J846" s="16" t="n">
        <v>0.578</v>
      </c>
      <c r="K846" s="8" t="n">
        <v>7.7</v>
      </c>
      <c r="L846" s="8" t="n">
        <v>4</v>
      </c>
      <c r="M846" s="8" t="n">
        <v>3</v>
      </c>
      <c r="N846" s="8" t="s">
        <v>120</v>
      </c>
      <c r="O846" s="15" t="n">
        <f aca="false">H846*12</f>
        <v>11700</v>
      </c>
      <c r="P846" s="8" t="n">
        <f aca="false">MIN(100,ROUND(100*J846/Assumptions!$B$8,0))</f>
        <v>64</v>
      </c>
      <c r="Q846" s="8" t="n">
        <f aca="false">IF(L846="",Assumptions!$B$9,L846*10)</f>
        <v>40</v>
      </c>
      <c r="R846" s="8" t="n">
        <f aca="false">IF(M846&lt;=1,Assumptions!$B$12,IF(M846&lt;=3,Assumptions!$B$13,IF(M846&lt;=6,Assumptions!$B$14,Assumptions!$B$15)))</f>
        <v>75</v>
      </c>
      <c r="S846" s="8" t="n">
        <f aca="false">IF(N846="Completed On Time",Assumptions!$B$16,IF(N846="Completed Late",Assumptions!$B$17,Assumptions!$B$18))</f>
        <v>100</v>
      </c>
      <c r="T846" s="8" t="n">
        <f aca="false">IF(I846=0,Assumptions!$B$20,IF(H846&gt;I846,Assumptions!$B$19,IF(H846=I846,Assumptions!$B$20,Assumptions!$B$21)))</f>
        <v>100</v>
      </c>
      <c r="U846" s="8" t="n">
        <f aca="false">ROUND(P846*Assumptions!$B$2+Q846*Assumptions!$B$3+R846*Assumptions!$B$4+S846*Assumptions!$B$5+T846*Assumptions!$B$6,0)</f>
        <v>72</v>
      </c>
      <c r="V846" s="8" t="str">
        <f aca="false">IF(U846&gt;=Assumptions!$B$10,"Healthy",IF(U846&gt;=Assumptions!$B$11,"Needs Attention","High Risk"))</f>
        <v>Needs Attention</v>
      </c>
    </row>
    <row r="847" customFormat="false" ht="15" hidden="false" customHeight="false" outlineLevel="0" collapsed="false">
      <c r="A847" s="8" t="s">
        <v>1835</v>
      </c>
      <c r="B847" s="8" t="s">
        <v>1836</v>
      </c>
      <c r="C847" s="8" t="s">
        <v>51</v>
      </c>
      <c r="D847" s="8" t="s">
        <v>326</v>
      </c>
      <c r="E847" s="8" t="s">
        <v>123</v>
      </c>
      <c r="F847" s="8" t="s">
        <v>151</v>
      </c>
      <c r="G847" s="8" t="s">
        <v>119</v>
      </c>
      <c r="H847" s="15" t="n">
        <v>975</v>
      </c>
      <c r="I847" s="15" t="n">
        <v>975</v>
      </c>
      <c r="J847" s="16" t="n">
        <v>0.786</v>
      </c>
      <c r="K847" s="8" t="n">
        <v>9.3</v>
      </c>
      <c r="L847" s="8" t="n">
        <v>10</v>
      </c>
      <c r="M847" s="8" t="n">
        <v>3</v>
      </c>
      <c r="N847" s="8" t="s">
        <v>120</v>
      </c>
      <c r="O847" s="15" t="n">
        <f aca="false">H847*12</f>
        <v>11700</v>
      </c>
      <c r="P847" s="8" t="n">
        <f aca="false">MIN(100,ROUND(100*J847/Assumptions!$B$8,0))</f>
        <v>87</v>
      </c>
      <c r="Q847" s="8" t="n">
        <f aca="false">IF(L847="",Assumptions!$B$9,L847*10)</f>
        <v>100</v>
      </c>
      <c r="R847" s="8" t="n">
        <f aca="false">IF(M847&lt;=1,Assumptions!$B$12,IF(M847&lt;=3,Assumptions!$B$13,IF(M847&lt;=6,Assumptions!$B$14,Assumptions!$B$15)))</f>
        <v>75</v>
      </c>
      <c r="S847" s="8" t="n">
        <f aca="false">IF(N847="Completed On Time",Assumptions!$B$16,IF(N847="Completed Late",Assumptions!$B$17,Assumptions!$B$18))</f>
        <v>100</v>
      </c>
      <c r="T847" s="8" t="n">
        <f aca="false">IF(I847=0,Assumptions!$B$20,IF(H847&gt;I847,Assumptions!$B$19,IF(H847=I847,Assumptions!$B$20,Assumptions!$B$21)))</f>
        <v>70</v>
      </c>
      <c r="U847" s="8" t="n">
        <f aca="false">ROUND(P847*Assumptions!$B$2+Q847*Assumptions!$B$3+R847*Assumptions!$B$4+S847*Assumptions!$B$5+T847*Assumptions!$B$6,0)</f>
        <v>86</v>
      </c>
      <c r="V847" s="8" t="str">
        <f aca="false">IF(U847&gt;=Assumptions!$B$10,"Healthy",IF(U847&gt;=Assumptions!$B$11,"Needs Attention","High Risk"))</f>
        <v>Healthy</v>
      </c>
    </row>
    <row r="848" customFormat="false" ht="15" hidden="false" customHeight="false" outlineLevel="0" collapsed="false">
      <c r="A848" s="8" t="s">
        <v>1837</v>
      </c>
      <c r="B848" s="8" t="s">
        <v>1838</v>
      </c>
      <c r="C848" s="8" t="s">
        <v>51</v>
      </c>
      <c r="D848" s="8" t="s">
        <v>326</v>
      </c>
      <c r="E848" s="8" t="s">
        <v>123</v>
      </c>
      <c r="F848" s="8" t="s">
        <v>166</v>
      </c>
      <c r="G848" s="8" t="s">
        <v>125</v>
      </c>
      <c r="H848" s="15" t="n">
        <v>975</v>
      </c>
      <c r="I848" s="15" t="n">
        <v>975</v>
      </c>
      <c r="J848" s="16" t="n">
        <v>0.846</v>
      </c>
      <c r="K848" s="8" t="n">
        <v>11</v>
      </c>
      <c r="L848" s="8" t="n">
        <v>10</v>
      </c>
      <c r="M848" s="8" t="n">
        <v>1</v>
      </c>
      <c r="N848" s="8" t="s">
        <v>120</v>
      </c>
      <c r="O848" s="15" t="n">
        <f aca="false">H848*12</f>
        <v>11700</v>
      </c>
      <c r="P848" s="8" t="n">
        <f aca="false">MIN(100,ROUND(100*J848/Assumptions!$B$8,0))</f>
        <v>94</v>
      </c>
      <c r="Q848" s="8" t="n">
        <f aca="false">IF(L848="",Assumptions!$B$9,L848*10)</f>
        <v>100</v>
      </c>
      <c r="R848" s="8" t="n">
        <f aca="false">IF(M848&lt;=1,Assumptions!$B$12,IF(M848&lt;=3,Assumptions!$B$13,IF(M848&lt;=6,Assumptions!$B$14,Assumptions!$B$15)))</f>
        <v>100</v>
      </c>
      <c r="S848" s="8" t="n">
        <f aca="false">IF(N848="Completed On Time",Assumptions!$B$16,IF(N848="Completed Late",Assumptions!$B$17,Assumptions!$B$18))</f>
        <v>100</v>
      </c>
      <c r="T848" s="8" t="n">
        <f aca="false">IF(I848=0,Assumptions!$B$20,IF(H848&gt;I848,Assumptions!$B$19,IF(H848=I848,Assumptions!$B$20,Assumptions!$B$21)))</f>
        <v>70</v>
      </c>
      <c r="U848" s="8" t="n">
        <f aca="false">ROUND(P848*Assumptions!$B$2+Q848*Assumptions!$B$3+R848*Assumptions!$B$4+S848*Assumptions!$B$5+T848*Assumptions!$B$6,0)</f>
        <v>92</v>
      </c>
      <c r="V848" s="8" t="str">
        <f aca="false">IF(U848&gt;=Assumptions!$B$10,"Healthy",IF(U848&gt;=Assumptions!$B$11,"Needs Attention","High Risk"))</f>
        <v>Healthy</v>
      </c>
    </row>
    <row r="849" customFormat="false" ht="15" hidden="false" customHeight="false" outlineLevel="0" collapsed="false">
      <c r="A849" s="8" t="s">
        <v>1839</v>
      </c>
      <c r="B849" s="8" t="s">
        <v>1840</v>
      </c>
      <c r="C849" s="8" t="s">
        <v>51</v>
      </c>
      <c r="D849" s="8" t="s">
        <v>326</v>
      </c>
      <c r="E849" s="8" t="s">
        <v>123</v>
      </c>
      <c r="F849" s="8" t="s">
        <v>223</v>
      </c>
      <c r="G849" s="8" t="s">
        <v>177</v>
      </c>
      <c r="H849" s="15" t="n">
        <v>975</v>
      </c>
      <c r="I849" s="15" t="n">
        <v>975</v>
      </c>
      <c r="J849" s="16" t="n">
        <v>0.906</v>
      </c>
      <c r="K849" s="8" t="n">
        <v>10.7</v>
      </c>
      <c r="L849" s="8" t="n">
        <v>10</v>
      </c>
      <c r="M849" s="8" t="n">
        <v>3</v>
      </c>
      <c r="N849" s="8" t="s">
        <v>120</v>
      </c>
      <c r="O849" s="15" t="n">
        <f aca="false">H849*12</f>
        <v>11700</v>
      </c>
      <c r="P849" s="8" t="n">
        <f aca="false">MIN(100,ROUND(100*J849/Assumptions!$B$8,0))</f>
        <v>100</v>
      </c>
      <c r="Q849" s="8" t="n">
        <f aca="false">IF(L849="",Assumptions!$B$9,L849*10)</f>
        <v>100</v>
      </c>
      <c r="R849" s="8" t="n">
        <f aca="false">IF(M849&lt;=1,Assumptions!$B$12,IF(M849&lt;=3,Assumptions!$B$13,IF(M849&lt;=6,Assumptions!$B$14,Assumptions!$B$15)))</f>
        <v>75</v>
      </c>
      <c r="S849" s="8" t="n">
        <f aca="false">IF(N849="Completed On Time",Assumptions!$B$16,IF(N849="Completed Late",Assumptions!$B$17,Assumptions!$B$18))</f>
        <v>100</v>
      </c>
      <c r="T849" s="8" t="n">
        <f aca="false">IF(I849=0,Assumptions!$B$20,IF(H849&gt;I849,Assumptions!$B$19,IF(H849=I849,Assumptions!$B$20,Assumptions!$B$21)))</f>
        <v>70</v>
      </c>
      <c r="U849" s="8" t="n">
        <f aca="false">ROUND(P849*Assumptions!$B$2+Q849*Assumptions!$B$3+R849*Assumptions!$B$4+S849*Assumptions!$B$5+T849*Assumptions!$B$6,0)</f>
        <v>90</v>
      </c>
      <c r="V849" s="8" t="str">
        <f aca="false">IF(U849&gt;=Assumptions!$B$10,"Healthy",IF(U849&gt;=Assumptions!$B$11,"Needs Attention","High Risk"))</f>
        <v>Healthy</v>
      </c>
    </row>
    <row r="850" customFormat="false" ht="15" hidden="false" customHeight="false" outlineLevel="0" collapsed="false">
      <c r="A850" s="8" t="s">
        <v>1841</v>
      </c>
      <c r="B850" s="8" t="s">
        <v>1842</v>
      </c>
      <c r="C850" s="8" t="s">
        <v>51</v>
      </c>
      <c r="D850" s="8" t="s">
        <v>326</v>
      </c>
      <c r="E850" s="8" t="s">
        <v>123</v>
      </c>
      <c r="F850" s="8" t="s">
        <v>154</v>
      </c>
      <c r="G850" s="8" t="s">
        <v>185</v>
      </c>
      <c r="H850" s="15" t="n">
        <v>975</v>
      </c>
      <c r="I850" s="15" t="n">
        <v>975</v>
      </c>
      <c r="J850" s="16" t="n">
        <v>0.744</v>
      </c>
      <c r="K850" s="8" t="n">
        <v>9</v>
      </c>
      <c r="L850" s="8" t="n">
        <v>9</v>
      </c>
      <c r="M850" s="8" t="n">
        <v>2</v>
      </c>
      <c r="N850" s="8" t="s">
        <v>120</v>
      </c>
      <c r="O850" s="15" t="n">
        <f aca="false">H850*12</f>
        <v>11700</v>
      </c>
      <c r="P850" s="8" t="n">
        <f aca="false">MIN(100,ROUND(100*J850/Assumptions!$B$8,0))</f>
        <v>83</v>
      </c>
      <c r="Q850" s="8" t="n">
        <f aca="false">IF(L850="",Assumptions!$B$9,L850*10)</f>
        <v>90</v>
      </c>
      <c r="R850" s="8" t="n">
        <f aca="false">IF(M850&lt;=1,Assumptions!$B$12,IF(M850&lt;=3,Assumptions!$B$13,IF(M850&lt;=6,Assumptions!$B$14,Assumptions!$B$15)))</f>
        <v>75</v>
      </c>
      <c r="S850" s="8" t="n">
        <f aca="false">IF(N850="Completed On Time",Assumptions!$B$16,IF(N850="Completed Late",Assumptions!$B$17,Assumptions!$B$18))</f>
        <v>100</v>
      </c>
      <c r="T850" s="8" t="n">
        <f aca="false">IF(I850=0,Assumptions!$B$20,IF(H850&gt;I850,Assumptions!$B$19,IF(H850=I850,Assumptions!$B$20,Assumptions!$B$21)))</f>
        <v>70</v>
      </c>
      <c r="U850" s="8" t="n">
        <f aca="false">ROUND(P850*Assumptions!$B$2+Q850*Assumptions!$B$3+R850*Assumptions!$B$4+S850*Assumptions!$B$5+T850*Assumptions!$B$6,0)</f>
        <v>82</v>
      </c>
      <c r="V850" s="8" t="str">
        <f aca="false">IF(U850&gt;=Assumptions!$B$10,"Healthy",IF(U850&gt;=Assumptions!$B$11,"Needs Attention","High Risk"))</f>
        <v>Healthy</v>
      </c>
    </row>
    <row r="851" customFormat="false" ht="15" hidden="false" customHeight="false" outlineLevel="0" collapsed="false">
      <c r="A851" s="8" t="s">
        <v>1843</v>
      </c>
      <c r="B851" s="8" t="s">
        <v>1844</v>
      </c>
      <c r="C851" s="8" t="s">
        <v>51</v>
      </c>
      <c r="D851" s="8" t="s">
        <v>326</v>
      </c>
      <c r="E851" s="8" t="s">
        <v>132</v>
      </c>
      <c r="F851" s="8" t="s">
        <v>124</v>
      </c>
      <c r="G851" s="8" t="s">
        <v>185</v>
      </c>
      <c r="H851" s="15" t="n">
        <v>975</v>
      </c>
      <c r="I851" s="15" t="n">
        <v>975</v>
      </c>
      <c r="J851" s="16" t="n">
        <v>0.556</v>
      </c>
      <c r="K851" s="8" t="n">
        <v>5.7</v>
      </c>
      <c r="L851" s="8" t="n">
        <v>10</v>
      </c>
      <c r="M851" s="8" t="n">
        <v>5</v>
      </c>
      <c r="N851" s="8" t="s">
        <v>120</v>
      </c>
      <c r="O851" s="15" t="n">
        <f aca="false">H851*12</f>
        <v>11700</v>
      </c>
      <c r="P851" s="8" t="n">
        <f aca="false">MIN(100,ROUND(100*J851/Assumptions!$B$8,0))</f>
        <v>62</v>
      </c>
      <c r="Q851" s="8" t="n">
        <f aca="false">IF(L851="",Assumptions!$B$9,L851*10)</f>
        <v>100</v>
      </c>
      <c r="R851" s="8" t="n">
        <f aca="false">IF(M851&lt;=1,Assumptions!$B$12,IF(M851&lt;=3,Assumptions!$B$13,IF(M851&lt;=6,Assumptions!$B$14,Assumptions!$B$15)))</f>
        <v>50</v>
      </c>
      <c r="S851" s="8" t="n">
        <f aca="false">IF(N851="Completed On Time",Assumptions!$B$16,IF(N851="Completed Late",Assumptions!$B$17,Assumptions!$B$18))</f>
        <v>100</v>
      </c>
      <c r="T851" s="8" t="n">
        <f aca="false">IF(I851=0,Assumptions!$B$20,IF(H851&gt;I851,Assumptions!$B$19,IF(H851=I851,Assumptions!$B$20,Assumptions!$B$21)))</f>
        <v>70</v>
      </c>
      <c r="U851" s="8" t="n">
        <f aca="false">ROUND(P851*Assumptions!$B$2+Q851*Assumptions!$B$3+R851*Assumptions!$B$4+S851*Assumptions!$B$5+T851*Assumptions!$B$6,0)</f>
        <v>73</v>
      </c>
      <c r="V851" s="8" t="str">
        <f aca="false">IF(U851&gt;=Assumptions!$B$10,"Healthy",IF(U851&gt;=Assumptions!$B$11,"Needs Attention","High Risk"))</f>
        <v>Needs Attention</v>
      </c>
    </row>
    <row r="852" customFormat="false" ht="15" hidden="false" customHeight="false" outlineLevel="0" collapsed="false">
      <c r="A852" s="8" t="s">
        <v>1845</v>
      </c>
      <c r="B852" s="8" t="s">
        <v>1846</v>
      </c>
      <c r="C852" s="8" t="s">
        <v>51</v>
      </c>
      <c r="D852" s="8" t="s">
        <v>326</v>
      </c>
      <c r="E852" s="8" t="s">
        <v>117</v>
      </c>
      <c r="F852" s="8" t="s">
        <v>133</v>
      </c>
      <c r="G852" s="8" t="s">
        <v>185</v>
      </c>
      <c r="H852" s="15" t="n">
        <v>975</v>
      </c>
      <c r="I852" s="15" t="n">
        <v>975</v>
      </c>
      <c r="J852" s="16" t="n">
        <v>0.744</v>
      </c>
      <c r="K852" s="8" t="n">
        <v>9</v>
      </c>
      <c r="L852" s="8" t="n">
        <v>9</v>
      </c>
      <c r="M852" s="8" t="n">
        <v>4</v>
      </c>
      <c r="N852" s="8" t="s">
        <v>120</v>
      </c>
      <c r="O852" s="15" t="n">
        <f aca="false">H852*12</f>
        <v>11700</v>
      </c>
      <c r="P852" s="8" t="n">
        <f aca="false">MIN(100,ROUND(100*J852/Assumptions!$B$8,0))</f>
        <v>83</v>
      </c>
      <c r="Q852" s="8" t="n">
        <f aca="false">IF(L852="",Assumptions!$B$9,L852*10)</f>
        <v>90</v>
      </c>
      <c r="R852" s="8" t="n">
        <f aca="false">IF(M852&lt;=1,Assumptions!$B$12,IF(M852&lt;=3,Assumptions!$B$13,IF(M852&lt;=6,Assumptions!$B$14,Assumptions!$B$15)))</f>
        <v>50</v>
      </c>
      <c r="S852" s="8" t="n">
        <f aca="false">IF(N852="Completed On Time",Assumptions!$B$16,IF(N852="Completed Late",Assumptions!$B$17,Assumptions!$B$18))</f>
        <v>100</v>
      </c>
      <c r="T852" s="8" t="n">
        <f aca="false">IF(I852=0,Assumptions!$B$20,IF(H852&gt;I852,Assumptions!$B$19,IF(H852=I852,Assumptions!$B$20,Assumptions!$B$21)))</f>
        <v>70</v>
      </c>
      <c r="U852" s="8" t="n">
        <f aca="false">ROUND(P852*Assumptions!$B$2+Q852*Assumptions!$B$3+R852*Assumptions!$B$4+S852*Assumptions!$B$5+T852*Assumptions!$B$6,0)</f>
        <v>79</v>
      </c>
      <c r="V852" s="8" t="str">
        <f aca="false">IF(U852&gt;=Assumptions!$B$10,"Healthy",IF(U852&gt;=Assumptions!$B$11,"Needs Attention","High Risk"))</f>
        <v>Needs Attention</v>
      </c>
    </row>
    <row r="853" customFormat="false" ht="15" hidden="false" customHeight="false" outlineLevel="0" collapsed="false">
      <c r="A853" s="8" t="s">
        <v>1847</v>
      </c>
      <c r="B853" s="8" t="s">
        <v>1848</v>
      </c>
      <c r="C853" s="8" t="s">
        <v>51</v>
      </c>
      <c r="D853" s="8" t="s">
        <v>326</v>
      </c>
      <c r="E853" s="8" t="s">
        <v>123</v>
      </c>
      <c r="F853" s="8" t="s">
        <v>118</v>
      </c>
      <c r="G853" s="8" t="s">
        <v>180</v>
      </c>
      <c r="H853" s="15" t="n">
        <v>975</v>
      </c>
      <c r="I853" s="15" t="n">
        <v>0</v>
      </c>
      <c r="J853" s="16" t="n">
        <v>0.641</v>
      </c>
      <c r="K853" s="8" t="n">
        <v>7.5</v>
      </c>
      <c r="L853" s="8"/>
      <c r="M853" s="8" t="n">
        <v>1</v>
      </c>
      <c r="N853" s="8" t="s">
        <v>120</v>
      </c>
      <c r="O853" s="15" t="n">
        <f aca="false">H853*12</f>
        <v>11700</v>
      </c>
      <c r="P853" s="8" t="n">
        <f aca="false">MIN(100,ROUND(100*J853/Assumptions!$B$8,0))</f>
        <v>71</v>
      </c>
      <c r="Q853" s="8" t="n">
        <f aca="false">IF(L853="",Assumptions!$B$9,L853*10)</f>
        <v>50</v>
      </c>
      <c r="R853" s="8" t="n">
        <f aca="false">IF(M853&lt;=1,Assumptions!$B$12,IF(M853&lt;=3,Assumptions!$B$13,IF(M853&lt;=6,Assumptions!$B$14,Assumptions!$B$15)))</f>
        <v>100</v>
      </c>
      <c r="S853" s="8" t="n">
        <f aca="false">IF(N853="Completed On Time",Assumptions!$B$16,IF(N853="Completed Late",Assumptions!$B$17,Assumptions!$B$18))</f>
        <v>100</v>
      </c>
      <c r="T853" s="8" t="n">
        <f aca="false">IF(I853=0,Assumptions!$B$20,IF(H853&gt;I853,Assumptions!$B$19,IF(H853=I853,Assumptions!$B$20,Assumptions!$B$21)))</f>
        <v>70</v>
      </c>
      <c r="U853" s="8" t="n">
        <f aca="false">ROUND(P853*Assumptions!$B$2+Q853*Assumptions!$B$3+R853*Assumptions!$B$4+S853*Assumptions!$B$5+T853*Assumptions!$B$6,0)</f>
        <v>74</v>
      </c>
      <c r="V853" s="8" t="str">
        <f aca="false">IF(U853&gt;=Assumptions!$B$10,"Healthy",IF(U853&gt;=Assumptions!$B$11,"Needs Attention","High Risk"))</f>
        <v>Needs Attention</v>
      </c>
    </row>
    <row r="854" customFormat="false" ht="15" hidden="false" customHeight="false" outlineLevel="0" collapsed="false">
      <c r="A854" s="8" t="s">
        <v>1849</v>
      </c>
      <c r="B854" s="8" t="s">
        <v>1850</v>
      </c>
      <c r="C854" s="8" t="s">
        <v>51</v>
      </c>
      <c r="D854" s="8" t="s">
        <v>326</v>
      </c>
      <c r="E854" s="8" t="s">
        <v>132</v>
      </c>
      <c r="F854" s="8" t="s">
        <v>118</v>
      </c>
      <c r="G854" s="8" t="s">
        <v>147</v>
      </c>
      <c r="H854" s="15" t="n">
        <v>950</v>
      </c>
      <c r="I854" s="15" t="n">
        <v>950</v>
      </c>
      <c r="J854" s="16" t="n">
        <v>0.807</v>
      </c>
      <c r="K854" s="8" t="n">
        <v>9.7</v>
      </c>
      <c r="L854" s="8" t="n">
        <v>10</v>
      </c>
      <c r="M854" s="8" t="n">
        <v>2</v>
      </c>
      <c r="N854" s="8" t="s">
        <v>120</v>
      </c>
      <c r="O854" s="15" t="n">
        <f aca="false">H854*12</f>
        <v>11400</v>
      </c>
      <c r="P854" s="8" t="n">
        <f aca="false">MIN(100,ROUND(100*J854/Assumptions!$B$8,0))</f>
        <v>90</v>
      </c>
      <c r="Q854" s="8" t="n">
        <f aca="false">IF(L854="",Assumptions!$B$9,L854*10)</f>
        <v>100</v>
      </c>
      <c r="R854" s="8" t="n">
        <f aca="false">IF(M854&lt;=1,Assumptions!$B$12,IF(M854&lt;=3,Assumptions!$B$13,IF(M854&lt;=6,Assumptions!$B$14,Assumptions!$B$15)))</f>
        <v>75</v>
      </c>
      <c r="S854" s="8" t="n">
        <f aca="false">IF(N854="Completed On Time",Assumptions!$B$16,IF(N854="Completed Late",Assumptions!$B$17,Assumptions!$B$18))</f>
        <v>100</v>
      </c>
      <c r="T854" s="8" t="n">
        <f aca="false">IF(I854=0,Assumptions!$B$20,IF(H854&gt;I854,Assumptions!$B$19,IF(H854=I854,Assumptions!$B$20,Assumptions!$B$21)))</f>
        <v>70</v>
      </c>
      <c r="U854" s="8" t="n">
        <f aca="false">ROUND(P854*Assumptions!$B$2+Q854*Assumptions!$B$3+R854*Assumptions!$B$4+S854*Assumptions!$B$5+T854*Assumptions!$B$6,0)</f>
        <v>87</v>
      </c>
      <c r="V854" s="8" t="str">
        <f aca="false">IF(U854&gt;=Assumptions!$B$10,"Healthy",IF(U854&gt;=Assumptions!$B$11,"Needs Attention","High Risk"))</f>
        <v>Healthy</v>
      </c>
    </row>
    <row r="855" customFormat="false" ht="15" hidden="false" customHeight="false" outlineLevel="0" collapsed="false">
      <c r="A855" s="8" t="s">
        <v>1851</v>
      </c>
      <c r="B855" s="8" t="s">
        <v>1852</v>
      </c>
      <c r="C855" s="8" t="s">
        <v>51</v>
      </c>
      <c r="D855" s="8" t="s">
        <v>326</v>
      </c>
      <c r="E855" s="8" t="s">
        <v>128</v>
      </c>
      <c r="F855" s="8" t="s">
        <v>190</v>
      </c>
      <c r="G855" s="8" t="s">
        <v>147</v>
      </c>
      <c r="H855" s="15" t="n">
        <v>950</v>
      </c>
      <c r="I855" s="15" t="n">
        <v>950</v>
      </c>
      <c r="J855" s="16" t="n">
        <v>0.667</v>
      </c>
      <c r="K855" s="8" t="n">
        <v>7.7</v>
      </c>
      <c r="L855" s="8" t="n">
        <v>6</v>
      </c>
      <c r="M855" s="8" t="n">
        <v>4</v>
      </c>
      <c r="N855" s="8" t="s">
        <v>120</v>
      </c>
      <c r="O855" s="15" t="n">
        <f aca="false">H855*12</f>
        <v>11400</v>
      </c>
      <c r="P855" s="8" t="n">
        <f aca="false">MIN(100,ROUND(100*J855/Assumptions!$B$8,0))</f>
        <v>74</v>
      </c>
      <c r="Q855" s="8" t="n">
        <f aca="false">IF(L855="",Assumptions!$B$9,L855*10)</f>
        <v>60</v>
      </c>
      <c r="R855" s="8" t="n">
        <f aca="false">IF(M855&lt;=1,Assumptions!$B$12,IF(M855&lt;=3,Assumptions!$B$13,IF(M855&lt;=6,Assumptions!$B$14,Assumptions!$B$15)))</f>
        <v>50</v>
      </c>
      <c r="S855" s="8" t="n">
        <f aca="false">IF(N855="Completed On Time",Assumptions!$B$16,IF(N855="Completed Late",Assumptions!$B$17,Assumptions!$B$18))</f>
        <v>100</v>
      </c>
      <c r="T855" s="8" t="n">
        <f aca="false">IF(I855=0,Assumptions!$B$20,IF(H855&gt;I855,Assumptions!$B$19,IF(H855=I855,Assumptions!$B$20,Assumptions!$B$21)))</f>
        <v>70</v>
      </c>
      <c r="U855" s="8" t="n">
        <f aca="false">ROUND(P855*Assumptions!$B$2+Q855*Assumptions!$B$3+R855*Assumptions!$B$4+S855*Assumptions!$B$5+T855*Assumptions!$B$6,0)</f>
        <v>69</v>
      </c>
      <c r="V855" s="8" t="str">
        <f aca="false">IF(U855&gt;=Assumptions!$B$10,"Healthy",IF(U855&gt;=Assumptions!$B$11,"Needs Attention","High Risk"))</f>
        <v>Needs Attention</v>
      </c>
    </row>
    <row r="856" customFormat="false" ht="15" hidden="false" customHeight="false" outlineLevel="0" collapsed="false">
      <c r="A856" s="8" t="s">
        <v>1853</v>
      </c>
      <c r="B856" s="8" t="s">
        <v>1854</v>
      </c>
      <c r="C856" s="8" t="s">
        <v>51</v>
      </c>
      <c r="D856" s="8" t="s">
        <v>326</v>
      </c>
      <c r="E856" s="8" t="s">
        <v>132</v>
      </c>
      <c r="F856" s="8" t="s">
        <v>124</v>
      </c>
      <c r="G856" s="8" t="s">
        <v>204</v>
      </c>
      <c r="H856" s="15" t="n">
        <v>950</v>
      </c>
      <c r="I856" s="15" t="n">
        <v>950</v>
      </c>
      <c r="J856" s="16" t="n">
        <v>0.614</v>
      </c>
      <c r="K856" s="8" t="n">
        <v>7</v>
      </c>
      <c r="L856" s="8" t="n">
        <v>8</v>
      </c>
      <c r="M856" s="8" t="n">
        <v>2</v>
      </c>
      <c r="N856" s="8" t="s">
        <v>120</v>
      </c>
      <c r="O856" s="15" t="n">
        <f aca="false">H856*12</f>
        <v>11400</v>
      </c>
      <c r="P856" s="8" t="n">
        <f aca="false">MIN(100,ROUND(100*J856/Assumptions!$B$8,0))</f>
        <v>68</v>
      </c>
      <c r="Q856" s="8" t="n">
        <f aca="false">IF(L856="",Assumptions!$B$9,L856*10)</f>
        <v>80</v>
      </c>
      <c r="R856" s="8" t="n">
        <f aca="false">IF(M856&lt;=1,Assumptions!$B$12,IF(M856&lt;=3,Assumptions!$B$13,IF(M856&lt;=6,Assumptions!$B$14,Assumptions!$B$15)))</f>
        <v>75</v>
      </c>
      <c r="S856" s="8" t="n">
        <f aca="false">IF(N856="Completed On Time",Assumptions!$B$16,IF(N856="Completed Late",Assumptions!$B$17,Assumptions!$B$18))</f>
        <v>100</v>
      </c>
      <c r="T856" s="8" t="n">
        <f aca="false">IF(I856=0,Assumptions!$B$20,IF(H856&gt;I856,Assumptions!$B$19,IF(H856=I856,Assumptions!$B$20,Assumptions!$B$21)))</f>
        <v>70</v>
      </c>
      <c r="U856" s="8" t="n">
        <f aca="false">ROUND(P856*Assumptions!$B$2+Q856*Assumptions!$B$3+R856*Assumptions!$B$4+S856*Assumptions!$B$5+T856*Assumptions!$B$6,0)</f>
        <v>75</v>
      </c>
      <c r="V856" s="8" t="str">
        <f aca="false">IF(U856&gt;=Assumptions!$B$10,"Healthy",IF(U856&gt;=Assumptions!$B$11,"Needs Attention","High Risk"))</f>
        <v>Needs Attention</v>
      </c>
    </row>
    <row r="857" customFormat="false" ht="15" hidden="false" customHeight="false" outlineLevel="0" collapsed="false">
      <c r="A857" s="8" t="s">
        <v>1855</v>
      </c>
      <c r="B857" s="8" t="s">
        <v>1856</v>
      </c>
      <c r="C857" s="8" t="s">
        <v>51</v>
      </c>
      <c r="D857" s="8" t="s">
        <v>326</v>
      </c>
      <c r="E857" s="8" t="s">
        <v>117</v>
      </c>
      <c r="F857" s="8" t="s">
        <v>143</v>
      </c>
      <c r="G857" s="8" t="s">
        <v>137</v>
      </c>
      <c r="H857" s="15" t="n">
        <v>950</v>
      </c>
      <c r="I857" s="15" t="n">
        <v>950</v>
      </c>
      <c r="J857" s="16" t="n">
        <v>0.605</v>
      </c>
      <c r="K857" s="8" t="n">
        <v>6.3</v>
      </c>
      <c r="L857" s="8" t="n">
        <v>6</v>
      </c>
      <c r="M857" s="8" t="n">
        <v>4</v>
      </c>
      <c r="N857" s="8" t="s">
        <v>120</v>
      </c>
      <c r="O857" s="15" t="n">
        <f aca="false">H857*12</f>
        <v>11400</v>
      </c>
      <c r="P857" s="8" t="n">
        <f aca="false">MIN(100,ROUND(100*J857/Assumptions!$B$8,0))</f>
        <v>67</v>
      </c>
      <c r="Q857" s="8" t="n">
        <f aca="false">IF(L857="",Assumptions!$B$9,L857*10)</f>
        <v>60</v>
      </c>
      <c r="R857" s="8" t="n">
        <f aca="false">IF(M857&lt;=1,Assumptions!$B$12,IF(M857&lt;=3,Assumptions!$B$13,IF(M857&lt;=6,Assumptions!$B$14,Assumptions!$B$15)))</f>
        <v>50</v>
      </c>
      <c r="S857" s="8" t="n">
        <f aca="false">IF(N857="Completed On Time",Assumptions!$B$16,IF(N857="Completed Late",Assumptions!$B$17,Assumptions!$B$18))</f>
        <v>100</v>
      </c>
      <c r="T857" s="8" t="n">
        <f aca="false">IF(I857=0,Assumptions!$B$20,IF(H857&gt;I857,Assumptions!$B$19,IF(H857=I857,Assumptions!$B$20,Assumptions!$B$21)))</f>
        <v>70</v>
      </c>
      <c r="U857" s="8" t="n">
        <f aca="false">ROUND(P857*Assumptions!$B$2+Q857*Assumptions!$B$3+R857*Assumptions!$B$4+S857*Assumptions!$B$5+T857*Assumptions!$B$6,0)</f>
        <v>67</v>
      </c>
      <c r="V857" s="8" t="str">
        <f aca="false">IF(U857&gt;=Assumptions!$B$10,"Healthy",IF(U857&gt;=Assumptions!$B$11,"Needs Attention","High Risk"))</f>
        <v>Needs Attention</v>
      </c>
    </row>
    <row r="858" customFormat="false" ht="15" hidden="false" customHeight="false" outlineLevel="0" collapsed="false">
      <c r="A858" s="8" t="s">
        <v>1857</v>
      </c>
      <c r="B858" s="8" t="s">
        <v>1858</v>
      </c>
      <c r="C858" s="8" t="s">
        <v>53</v>
      </c>
      <c r="D858" s="8" t="s">
        <v>326</v>
      </c>
      <c r="E858" s="8" t="s">
        <v>128</v>
      </c>
      <c r="F858" s="8" t="s">
        <v>166</v>
      </c>
      <c r="G858" s="8" t="s">
        <v>137</v>
      </c>
      <c r="H858" s="15" t="n">
        <v>950</v>
      </c>
      <c r="I858" s="15" t="n">
        <v>950</v>
      </c>
      <c r="J858" s="16" t="n">
        <v>0.702</v>
      </c>
      <c r="K858" s="8" t="n">
        <v>9</v>
      </c>
      <c r="L858" s="8" t="n">
        <v>7</v>
      </c>
      <c r="M858" s="8" t="n">
        <v>4</v>
      </c>
      <c r="N858" s="8" t="s">
        <v>120</v>
      </c>
      <c r="O858" s="15" t="n">
        <f aca="false">H858*12</f>
        <v>11400</v>
      </c>
      <c r="P858" s="8" t="n">
        <f aca="false">MIN(100,ROUND(100*J858/Assumptions!$B$8,0))</f>
        <v>78</v>
      </c>
      <c r="Q858" s="8" t="n">
        <f aca="false">IF(L858="",Assumptions!$B$9,L858*10)</f>
        <v>70</v>
      </c>
      <c r="R858" s="8" t="n">
        <f aca="false">IF(M858&lt;=1,Assumptions!$B$12,IF(M858&lt;=3,Assumptions!$B$13,IF(M858&lt;=6,Assumptions!$B$14,Assumptions!$B$15)))</f>
        <v>50</v>
      </c>
      <c r="S858" s="8" t="n">
        <f aca="false">IF(N858="Completed On Time",Assumptions!$B$16,IF(N858="Completed Late",Assumptions!$B$17,Assumptions!$B$18))</f>
        <v>100</v>
      </c>
      <c r="T858" s="8" t="n">
        <f aca="false">IF(I858=0,Assumptions!$B$20,IF(H858&gt;I858,Assumptions!$B$19,IF(H858=I858,Assumptions!$B$20,Assumptions!$B$21)))</f>
        <v>70</v>
      </c>
      <c r="U858" s="8" t="n">
        <f aca="false">ROUND(P858*Assumptions!$B$2+Q858*Assumptions!$B$3+R858*Assumptions!$B$4+S858*Assumptions!$B$5+T858*Assumptions!$B$6,0)</f>
        <v>73</v>
      </c>
      <c r="V858" s="8" t="str">
        <f aca="false">IF(U858&gt;=Assumptions!$B$10,"Healthy",IF(U858&gt;=Assumptions!$B$11,"Needs Attention","High Risk"))</f>
        <v>Needs Attention</v>
      </c>
    </row>
    <row r="859" customFormat="false" ht="15" hidden="false" customHeight="false" outlineLevel="0" collapsed="false">
      <c r="A859" s="8" t="s">
        <v>1859</v>
      </c>
      <c r="B859" s="8" t="s">
        <v>1860</v>
      </c>
      <c r="C859" s="8" t="s">
        <v>51</v>
      </c>
      <c r="D859" s="8" t="s">
        <v>326</v>
      </c>
      <c r="E859" s="8" t="s">
        <v>132</v>
      </c>
      <c r="F859" s="8" t="s">
        <v>124</v>
      </c>
      <c r="G859" s="8" t="s">
        <v>144</v>
      </c>
      <c r="H859" s="15" t="n">
        <v>950</v>
      </c>
      <c r="I859" s="15" t="n">
        <v>750</v>
      </c>
      <c r="J859" s="16" t="n">
        <v>0.754</v>
      </c>
      <c r="K859" s="8" t="n">
        <v>10.3</v>
      </c>
      <c r="L859" s="8" t="n">
        <v>9</v>
      </c>
      <c r="M859" s="8" t="n">
        <v>2</v>
      </c>
      <c r="N859" s="8" t="s">
        <v>120</v>
      </c>
      <c r="O859" s="15" t="n">
        <f aca="false">H859*12</f>
        <v>11400</v>
      </c>
      <c r="P859" s="8" t="n">
        <f aca="false">MIN(100,ROUND(100*J859/Assumptions!$B$8,0))</f>
        <v>84</v>
      </c>
      <c r="Q859" s="8" t="n">
        <f aca="false">IF(L859="",Assumptions!$B$9,L859*10)</f>
        <v>90</v>
      </c>
      <c r="R859" s="8" t="n">
        <f aca="false">IF(M859&lt;=1,Assumptions!$B$12,IF(M859&lt;=3,Assumptions!$B$13,IF(M859&lt;=6,Assumptions!$B$14,Assumptions!$B$15)))</f>
        <v>75</v>
      </c>
      <c r="S859" s="8" t="n">
        <f aca="false">IF(N859="Completed On Time",Assumptions!$B$16,IF(N859="Completed Late",Assumptions!$B$17,Assumptions!$B$18))</f>
        <v>100</v>
      </c>
      <c r="T859" s="8" t="n">
        <f aca="false">IF(I859=0,Assumptions!$B$20,IF(H859&gt;I859,Assumptions!$B$19,IF(H859=I859,Assumptions!$B$20,Assumptions!$B$21)))</f>
        <v>100</v>
      </c>
      <c r="U859" s="8" t="n">
        <f aca="false">ROUND(P859*Assumptions!$B$2+Q859*Assumptions!$B$3+R859*Assumptions!$B$4+S859*Assumptions!$B$5+T859*Assumptions!$B$6,0)</f>
        <v>89</v>
      </c>
      <c r="V859" s="8" t="str">
        <f aca="false">IF(U859&gt;=Assumptions!$B$10,"Healthy",IF(U859&gt;=Assumptions!$B$11,"Needs Attention","High Risk"))</f>
        <v>Healthy</v>
      </c>
    </row>
    <row r="860" customFormat="false" ht="15" hidden="false" customHeight="false" outlineLevel="0" collapsed="false">
      <c r="A860" s="8" t="s">
        <v>1861</v>
      </c>
      <c r="B860" s="8" t="s">
        <v>1862</v>
      </c>
      <c r="C860" s="8" t="s">
        <v>51</v>
      </c>
      <c r="D860" s="8" t="s">
        <v>326</v>
      </c>
      <c r="E860" s="8" t="s">
        <v>128</v>
      </c>
      <c r="F860" s="8" t="s">
        <v>133</v>
      </c>
      <c r="G860" s="8" t="s">
        <v>177</v>
      </c>
      <c r="H860" s="15" t="n">
        <v>950</v>
      </c>
      <c r="I860" s="15" t="n">
        <v>950</v>
      </c>
      <c r="J860" s="16" t="n">
        <v>0.877</v>
      </c>
      <c r="K860" s="8" t="n">
        <v>10</v>
      </c>
      <c r="L860" s="8" t="n">
        <v>8</v>
      </c>
      <c r="M860" s="8" t="n">
        <v>1</v>
      </c>
      <c r="N860" s="8" t="s">
        <v>120</v>
      </c>
      <c r="O860" s="15" t="n">
        <f aca="false">H860*12</f>
        <v>11400</v>
      </c>
      <c r="P860" s="8" t="n">
        <f aca="false">MIN(100,ROUND(100*J860/Assumptions!$B$8,0))</f>
        <v>97</v>
      </c>
      <c r="Q860" s="8" t="n">
        <f aca="false">IF(L860="",Assumptions!$B$9,L860*10)</f>
        <v>80</v>
      </c>
      <c r="R860" s="8" t="n">
        <f aca="false">IF(M860&lt;=1,Assumptions!$B$12,IF(M860&lt;=3,Assumptions!$B$13,IF(M860&lt;=6,Assumptions!$B$14,Assumptions!$B$15)))</f>
        <v>100</v>
      </c>
      <c r="S860" s="8" t="n">
        <f aca="false">IF(N860="Completed On Time",Assumptions!$B$16,IF(N860="Completed Late",Assumptions!$B$17,Assumptions!$B$18))</f>
        <v>100</v>
      </c>
      <c r="T860" s="8" t="n">
        <f aca="false">IF(I860=0,Assumptions!$B$20,IF(H860&gt;I860,Assumptions!$B$19,IF(H860=I860,Assumptions!$B$20,Assumptions!$B$21)))</f>
        <v>70</v>
      </c>
      <c r="U860" s="8" t="n">
        <f aca="false">ROUND(P860*Assumptions!$B$2+Q860*Assumptions!$B$3+R860*Assumptions!$B$4+S860*Assumptions!$B$5+T860*Assumptions!$B$6,0)</f>
        <v>89</v>
      </c>
      <c r="V860" s="8" t="str">
        <f aca="false">IF(U860&gt;=Assumptions!$B$10,"Healthy",IF(U860&gt;=Assumptions!$B$11,"Needs Attention","High Risk"))</f>
        <v>Healthy</v>
      </c>
    </row>
    <row r="861" customFormat="false" ht="15" hidden="false" customHeight="false" outlineLevel="0" collapsed="false">
      <c r="A861" s="8" t="s">
        <v>1863</v>
      </c>
      <c r="B861" s="8" t="s">
        <v>1864</v>
      </c>
      <c r="C861" s="8" t="s">
        <v>51</v>
      </c>
      <c r="D861" s="8" t="s">
        <v>326</v>
      </c>
      <c r="E861" s="8" t="s">
        <v>123</v>
      </c>
      <c r="F861" s="8" t="s">
        <v>190</v>
      </c>
      <c r="G861" s="8" t="s">
        <v>140</v>
      </c>
      <c r="H861" s="15" t="n">
        <v>950</v>
      </c>
      <c r="I861" s="15" t="n">
        <v>950</v>
      </c>
      <c r="J861" s="16" t="n">
        <v>0.798</v>
      </c>
      <c r="K861" s="8" t="n">
        <v>10</v>
      </c>
      <c r="L861" s="8" t="n">
        <v>7</v>
      </c>
      <c r="M861" s="8" t="n">
        <v>1</v>
      </c>
      <c r="N861" s="8" t="s">
        <v>120</v>
      </c>
      <c r="O861" s="15" t="n">
        <f aca="false">H861*12</f>
        <v>11400</v>
      </c>
      <c r="P861" s="8" t="n">
        <f aca="false">MIN(100,ROUND(100*J861/Assumptions!$B$8,0))</f>
        <v>89</v>
      </c>
      <c r="Q861" s="8" t="n">
        <f aca="false">IF(L861="",Assumptions!$B$9,L861*10)</f>
        <v>70</v>
      </c>
      <c r="R861" s="8" t="n">
        <f aca="false">IF(M861&lt;=1,Assumptions!$B$12,IF(M861&lt;=3,Assumptions!$B$13,IF(M861&lt;=6,Assumptions!$B$14,Assumptions!$B$15)))</f>
        <v>100</v>
      </c>
      <c r="S861" s="8" t="n">
        <f aca="false">IF(N861="Completed On Time",Assumptions!$B$16,IF(N861="Completed Late",Assumptions!$B$17,Assumptions!$B$18))</f>
        <v>100</v>
      </c>
      <c r="T861" s="8" t="n">
        <f aca="false">IF(I861=0,Assumptions!$B$20,IF(H861&gt;I861,Assumptions!$B$19,IF(H861=I861,Assumptions!$B$20,Assumptions!$B$21)))</f>
        <v>70</v>
      </c>
      <c r="U861" s="8" t="n">
        <f aca="false">ROUND(P861*Assumptions!$B$2+Q861*Assumptions!$B$3+R861*Assumptions!$B$4+S861*Assumptions!$B$5+T861*Assumptions!$B$6,0)</f>
        <v>84</v>
      </c>
      <c r="V861" s="8" t="str">
        <f aca="false">IF(U861&gt;=Assumptions!$B$10,"Healthy",IF(U861&gt;=Assumptions!$B$11,"Needs Attention","High Risk"))</f>
        <v>Healthy</v>
      </c>
    </row>
    <row r="862" customFormat="false" ht="15" hidden="false" customHeight="false" outlineLevel="0" collapsed="false">
      <c r="A862" s="8" t="s">
        <v>1865</v>
      </c>
      <c r="B862" s="8" t="s">
        <v>1866</v>
      </c>
      <c r="C862" s="8" t="s">
        <v>51</v>
      </c>
      <c r="D862" s="8" t="s">
        <v>326</v>
      </c>
      <c r="E862" s="8" t="s">
        <v>117</v>
      </c>
      <c r="F862" s="8" t="s">
        <v>151</v>
      </c>
      <c r="G862" s="8" t="s">
        <v>180</v>
      </c>
      <c r="H862" s="15" t="n">
        <v>950</v>
      </c>
      <c r="I862" s="15" t="n">
        <v>950</v>
      </c>
      <c r="J862" s="16" t="n">
        <v>0.728</v>
      </c>
      <c r="K862" s="8" t="n">
        <v>9.3</v>
      </c>
      <c r="L862" s="8" t="n">
        <v>10</v>
      </c>
      <c r="M862" s="8" t="n">
        <v>2</v>
      </c>
      <c r="N862" s="8" t="s">
        <v>120</v>
      </c>
      <c r="O862" s="15" t="n">
        <f aca="false">H862*12</f>
        <v>11400</v>
      </c>
      <c r="P862" s="8" t="n">
        <f aca="false">MIN(100,ROUND(100*J862/Assumptions!$B$8,0))</f>
        <v>81</v>
      </c>
      <c r="Q862" s="8" t="n">
        <f aca="false">IF(L862="",Assumptions!$B$9,L862*10)</f>
        <v>100</v>
      </c>
      <c r="R862" s="8" t="n">
        <f aca="false">IF(M862&lt;=1,Assumptions!$B$12,IF(M862&lt;=3,Assumptions!$B$13,IF(M862&lt;=6,Assumptions!$B$14,Assumptions!$B$15)))</f>
        <v>75</v>
      </c>
      <c r="S862" s="8" t="n">
        <f aca="false">IF(N862="Completed On Time",Assumptions!$B$16,IF(N862="Completed Late",Assumptions!$B$17,Assumptions!$B$18))</f>
        <v>100</v>
      </c>
      <c r="T862" s="8" t="n">
        <f aca="false">IF(I862=0,Assumptions!$B$20,IF(H862&gt;I862,Assumptions!$B$19,IF(H862=I862,Assumptions!$B$20,Assumptions!$B$21)))</f>
        <v>70</v>
      </c>
      <c r="U862" s="8" t="n">
        <f aca="false">ROUND(P862*Assumptions!$B$2+Q862*Assumptions!$B$3+R862*Assumptions!$B$4+S862*Assumptions!$B$5+T862*Assumptions!$B$6,0)</f>
        <v>84</v>
      </c>
      <c r="V862" s="8" t="str">
        <f aca="false">IF(U862&gt;=Assumptions!$B$10,"Healthy",IF(U862&gt;=Assumptions!$B$11,"Needs Attention","High Risk"))</f>
        <v>Healthy</v>
      </c>
    </row>
    <row r="863" customFormat="false" ht="15" hidden="false" customHeight="false" outlineLevel="0" collapsed="false">
      <c r="A863" s="8" t="s">
        <v>1867</v>
      </c>
      <c r="B863" s="8" t="s">
        <v>1868</v>
      </c>
      <c r="C863" s="8" t="s">
        <v>51</v>
      </c>
      <c r="D863" s="8" t="s">
        <v>326</v>
      </c>
      <c r="E863" s="8" t="s">
        <v>123</v>
      </c>
      <c r="F863" s="8" t="s">
        <v>166</v>
      </c>
      <c r="G863" s="8" t="s">
        <v>137</v>
      </c>
      <c r="H863" s="15" t="n">
        <v>950</v>
      </c>
      <c r="I863" s="15" t="n">
        <v>950</v>
      </c>
      <c r="J863" s="16" t="n">
        <v>0.754</v>
      </c>
      <c r="K863" s="8" t="n">
        <v>9</v>
      </c>
      <c r="L863" s="8" t="n">
        <v>8</v>
      </c>
      <c r="M863" s="8" t="n">
        <v>2</v>
      </c>
      <c r="N863" s="8" t="s">
        <v>120</v>
      </c>
      <c r="O863" s="15" t="n">
        <f aca="false">H863*12</f>
        <v>11400</v>
      </c>
      <c r="P863" s="8" t="n">
        <f aca="false">MIN(100,ROUND(100*J863/Assumptions!$B$8,0))</f>
        <v>84</v>
      </c>
      <c r="Q863" s="8" t="n">
        <f aca="false">IF(L863="",Assumptions!$B$9,L863*10)</f>
        <v>80</v>
      </c>
      <c r="R863" s="8" t="n">
        <f aca="false">IF(M863&lt;=1,Assumptions!$B$12,IF(M863&lt;=3,Assumptions!$B$13,IF(M863&lt;=6,Assumptions!$B$14,Assumptions!$B$15)))</f>
        <v>75</v>
      </c>
      <c r="S863" s="8" t="n">
        <f aca="false">IF(N863="Completed On Time",Assumptions!$B$16,IF(N863="Completed Late",Assumptions!$B$17,Assumptions!$B$18))</f>
        <v>100</v>
      </c>
      <c r="T863" s="8" t="n">
        <f aca="false">IF(I863=0,Assumptions!$B$20,IF(H863&gt;I863,Assumptions!$B$19,IF(H863=I863,Assumptions!$B$20,Assumptions!$B$21)))</f>
        <v>70</v>
      </c>
      <c r="U863" s="8" t="n">
        <f aca="false">ROUND(P863*Assumptions!$B$2+Q863*Assumptions!$B$3+R863*Assumptions!$B$4+S863*Assumptions!$B$5+T863*Assumptions!$B$6,0)</f>
        <v>81</v>
      </c>
      <c r="V863" s="8" t="str">
        <f aca="false">IF(U863&gt;=Assumptions!$B$10,"Healthy",IF(U863&gt;=Assumptions!$B$11,"Needs Attention","High Risk"))</f>
        <v>Healthy</v>
      </c>
    </row>
    <row r="864" customFormat="false" ht="15" hidden="false" customHeight="false" outlineLevel="0" collapsed="false">
      <c r="A864" s="8" t="s">
        <v>1869</v>
      </c>
      <c r="B864" s="8" t="s">
        <v>1870</v>
      </c>
      <c r="C864" s="8" t="s">
        <v>51</v>
      </c>
      <c r="D864" s="8" t="s">
        <v>326</v>
      </c>
      <c r="E864" s="8" t="s">
        <v>132</v>
      </c>
      <c r="F864" s="8" t="s">
        <v>190</v>
      </c>
      <c r="G864" s="8" t="s">
        <v>180</v>
      </c>
      <c r="H864" s="15" t="n">
        <v>925</v>
      </c>
      <c r="I864" s="15" t="n">
        <v>0</v>
      </c>
      <c r="J864" s="16" t="n">
        <v>0.797</v>
      </c>
      <c r="K864" s="8" t="n">
        <v>11.5</v>
      </c>
      <c r="L864" s="8"/>
      <c r="M864" s="8" t="n">
        <v>0</v>
      </c>
      <c r="N864" s="8" t="s">
        <v>120</v>
      </c>
      <c r="O864" s="15" t="n">
        <f aca="false">H864*12</f>
        <v>11100</v>
      </c>
      <c r="P864" s="8" t="n">
        <f aca="false">MIN(100,ROUND(100*J864/Assumptions!$B$8,0))</f>
        <v>89</v>
      </c>
      <c r="Q864" s="8" t="n">
        <f aca="false">IF(L864="",Assumptions!$B$9,L864*10)</f>
        <v>50</v>
      </c>
      <c r="R864" s="8" t="n">
        <f aca="false">IF(M864&lt;=1,Assumptions!$B$12,IF(M864&lt;=3,Assumptions!$B$13,IF(M864&lt;=6,Assumptions!$B$14,Assumptions!$B$15)))</f>
        <v>100</v>
      </c>
      <c r="S864" s="8" t="n">
        <f aca="false">IF(N864="Completed On Time",Assumptions!$B$16,IF(N864="Completed Late",Assumptions!$B$17,Assumptions!$B$18))</f>
        <v>100</v>
      </c>
      <c r="T864" s="8" t="n">
        <f aca="false">IF(I864=0,Assumptions!$B$20,IF(H864&gt;I864,Assumptions!$B$19,IF(H864=I864,Assumptions!$B$20,Assumptions!$B$21)))</f>
        <v>70</v>
      </c>
      <c r="U864" s="8" t="n">
        <f aca="false">ROUND(P864*Assumptions!$B$2+Q864*Assumptions!$B$3+R864*Assumptions!$B$4+S864*Assumptions!$B$5+T864*Assumptions!$B$6,0)</f>
        <v>80</v>
      </c>
      <c r="V864" s="8" t="str">
        <f aca="false">IF(U864&gt;=Assumptions!$B$10,"Healthy",IF(U864&gt;=Assumptions!$B$11,"Needs Attention","High Risk"))</f>
        <v>Healthy</v>
      </c>
    </row>
    <row r="865" customFormat="false" ht="15" hidden="false" customHeight="false" outlineLevel="0" collapsed="false">
      <c r="A865" s="8" t="s">
        <v>1871</v>
      </c>
      <c r="B865" s="8" t="s">
        <v>1872</v>
      </c>
      <c r="C865" s="8" t="s">
        <v>51</v>
      </c>
      <c r="D865" s="8" t="s">
        <v>326</v>
      </c>
      <c r="E865" s="8" t="s">
        <v>123</v>
      </c>
      <c r="F865" s="8" t="s">
        <v>190</v>
      </c>
      <c r="G865" s="8" t="s">
        <v>140</v>
      </c>
      <c r="H865" s="15" t="n">
        <v>925</v>
      </c>
      <c r="I865" s="15" t="n">
        <v>925</v>
      </c>
      <c r="J865" s="16" t="n">
        <v>0.847</v>
      </c>
      <c r="K865" s="8" t="n">
        <v>10</v>
      </c>
      <c r="L865" s="8" t="n">
        <v>10</v>
      </c>
      <c r="M865" s="8" t="n">
        <v>3</v>
      </c>
      <c r="N865" s="8" t="s">
        <v>120</v>
      </c>
      <c r="O865" s="15" t="n">
        <f aca="false">H865*12</f>
        <v>11100</v>
      </c>
      <c r="P865" s="8" t="n">
        <f aca="false">MIN(100,ROUND(100*J865/Assumptions!$B$8,0))</f>
        <v>94</v>
      </c>
      <c r="Q865" s="8" t="n">
        <f aca="false">IF(L865="",Assumptions!$B$9,L865*10)</f>
        <v>100</v>
      </c>
      <c r="R865" s="8" t="n">
        <f aca="false">IF(M865&lt;=1,Assumptions!$B$12,IF(M865&lt;=3,Assumptions!$B$13,IF(M865&lt;=6,Assumptions!$B$14,Assumptions!$B$15)))</f>
        <v>75</v>
      </c>
      <c r="S865" s="8" t="n">
        <f aca="false">IF(N865="Completed On Time",Assumptions!$B$16,IF(N865="Completed Late",Assumptions!$B$17,Assumptions!$B$18))</f>
        <v>100</v>
      </c>
      <c r="T865" s="8" t="n">
        <f aca="false">IF(I865=0,Assumptions!$B$20,IF(H865&gt;I865,Assumptions!$B$19,IF(H865=I865,Assumptions!$B$20,Assumptions!$B$21)))</f>
        <v>70</v>
      </c>
      <c r="U865" s="8" t="n">
        <f aca="false">ROUND(P865*Assumptions!$B$2+Q865*Assumptions!$B$3+R865*Assumptions!$B$4+S865*Assumptions!$B$5+T865*Assumptions!$B$6,0)</f>
        <v>88</v>
      </c>
      <c r="V865" s="8" t="str">
        <f aca="false">IF(U865&gt;=Assumptions!$B$10,"Healthy",IF(U865&gt;=Assumptions!$B$11,"Needs Attention","High Risk"))</f>
        <v>Healthy</v>
      </c>
    </row>
    <row r="866" customFormat="false" ht="15" hidden="false" customHeight="false" outlineLevel="0" collapsed="false">
      <c r="A866" s="8" t="s">
        <v>1873</v>
      </c>
      <c r="B866" s="8" t="s">
        <v>1874</v>
      </c>
      <c r="C866" s="8" t="s">
        <v>51</v>
      </c>
      <c r="D866" s="8" t="s">
        <v>326</v>
      </c>
      <c r="E866" s="8" t="s">
        <v>132</v>
      </c>
      <c r="F866" s="8" t="s">
        <v>133</v>
      </c>
      <c r="G866" s="8" t="s">
        <v>185</v>
      </c>
      <c r="H866" s="15" t="n">
        <v>925</v>
      </c>
      <c r="I866" s="15" t="n">
        <v>925</v>
      </c>
      <c r="J866" s="16" t="n">
        <v>0.703</v>
      </c>
      <c r="K866" s="8" t="n">
        <v>9.7</v>
      </c>
      <c r="L866" s="8" t="n">
        <v>10</v>
      </c>
      <c r="M866" s="8" t="n">
        <v>4</v>
      </c>
      <c r="N866" s="8" t="s">
        <v>120</v>
      </c>
      <c r="O866" s="15" t="n">
        <f aca="false">H866*12</f>
        <v>11100</v>
      </c>
      <c r="P866" s="8" t="n">
        <f aca="false">MIN(100,ROUND(100*J866/Assumptions!$B$8,0))</f>
        <v>78</v>
      </c>
      <c r="Q866" s="8" t="n">
        <f aca="false">IF(L866="",Assumptions!$B$9,L866*10)</f>
        <v>100</v>
      </c>
      <c r="R866" s="8" t="n">
        <f aca="false">IF(M866&lt;=1,Assumptions!$B$12,IF(M866&lt;=3,Assumptions!$B$13,IF(M866&lt;=6,Assumptions!$B$14,Assumptions!$B$15)))</f>
        <v>50</v>
      </c>
      <c r="S866" s="8" t="n">
        <f aca="false">IF(N866="Completed On Time",Assumptions!$B$16,IF(N866="Completed Late",Assumptions!$B$17,Assumptions!$B$18))</f>
        <v>100</v>
      </c>
      <c r="T866" s="8" t="n">
        <f aca="false">IF(I866=0,Assumptions!$B$20,IF(H866&gt;I866,Assumptions!$B$19,IF(H866=I866,Assumptions!$B$20,Assumptions!$B$21)))</f>
        <v>70</v>
      </c>
      <c r="U866" s="8" t="n">
        <f aca="false">ROUND(P866*Assumptions!$B$2+Q866*Assumptions!$B$3+R866*Assumptions!$B$4+S866*Assumptions!$B$5+T866*Assumptions!$B$6,0)</f>
        <v>79</v>
      </c>
      <c r="V866" s="8" t="str">
        <f aca="false">IF(U866&gt;=Assumptions!$B$10,"Healthy",IF(U866&gt;=Assumptions!$B$11,"Needs Attention","High Risk"))</f>
        <v>Needs Attention</v>
      </c>
    </row>
    <row r="867" customFormat="false" ht="15" hidden="false" customHeight="false" outlineLevel="0" collapsed="false">
      <c r="A867" s="8" t="s">
        <v>1875</v>
      </c>
      <c r="B867" s="8" t="s">
        <v>1876</v>
      </c>
      <c r="C867" s="8" t="s">
        <v>51</v>
      </c>
      <c r="D867" s="8" t="s">
        <v>326</v>
      </c>
      <c r="E867" s="8" t="s">
        <v>132</v>
      </c>
      <c r="F867" s="8" t="s">
        <v>133</v>
      </c>
      <c r="G867" s="8" t="s">
        <v>177</v>
      </c>
      <c r="H867" s="15" t="n">
        <v>925</v>
      </c>
      <c r="I867" s="15" t="n">
        <v>925</v>
      </c>
      <c r="J867" s="16" t="n">
        <v>0.676</v>
      </c>
      <c r="K867" s="8" t="n">
        <v>9</v>
      </c>
      <c r="L867" s="8" t="n">
        <v>10</v>
      </c>
      <c r="M867" s="8" t="n">
        <v>2</v>
      </c>
      <c r="N867" s="8" t="s">
        <v>120</v>
      </c>
      <c r="O867" s="15" t="n">
        <f aca="false">H867*12</f>
        <v>11100</v>
      </c>
      <c r="P867" s="8" t="n">
        <f aca="false">MIN(100,ROUND(100*J867/Assumptions!$B$8,0))</f>
        <v>75</v>
      </c>
      <c r="Q867" s="8" t="n">
        <f aca="false">IF(L867="",Assumptions!$B$9,L867*10)</f>
        <v>100</v>
      </c>
      <c r="R867" s="8" t="n">
        <f aca="false">IF(M867&lt;=1,Assumptions!$B$12,IF(M867&lt;=3,Assumptions!$B$13,IF(M867&lt;=6,Assumptions!$B$14,Assumptions!$B$15)))</f>
        <v>75</v>
      </c>
      <c r="S867" s="8" t="n">
        <f aca="false">IF(N867="Completed On Time",Assumptions!$B$16,IF(N867="Completed Late",Assumptions!$B$17,Assumptions!$B$18))</f>
        <v>100</v>
      </c>
      <c r="T867" s="8" t="n">
        <f aca="false">IF(I867=0,Assumptions!$B$20,IF(H867&gt;I867,Assumptions!$B$19,IF(H867=I867,Assumptions!$B$20,Assumptions!$B$21)))</f>
        <v>70</v>
      </c>
      <c r="U867" s="8" t="n">
        <f aca="false">ROUND(P867*Assumptions!$B$2+Q867*Assumptions!$B$3+R867*Assumptions!$B$4+S867*Assumptions!$B$5+T867*Assumptions!$B$6,0)</f>
        <v>82</v>
      </c>
      <c r="V867" s="8" t="str">
        <f aca="false">IF(U867&gt;=Assumptions!$B$10,"Healthy",IF(U867&gt;=Assumptions!$B$11,"Needs Attention","High Risk"))</f>
        <v>Healthy</v>
      </c>
    </row>
    <row r="868" customFormat="false" ht="15" hidden="false" customHeight="false" outlineLevel="0" collapsed="false">
      <c r="A868" s="8" t="s">
        <v>1877</v>
      </c>
      <c r="B868" s="8" t="s">
        <v>1878</v>
      </c>
      <c r="C868" s="8" t="s">
        <v>51</v>
      </c>
      <c r="D868" s="8" t="s">
        <v>326</v>
      </c>
      <c r="E868" s="8" t="s">
        <v>132</v>
      </c>
      <c r="F868" s="8" t="s">
        <v>118</v>
      </c>
      <c r="G868" s="8" t="s">
        <v>147</v>
      </c>
      <c r="H868" s="15" t="n">
        <v>925</v>
      </c>
      <c r="I868" s="15" t="n">
        <v>925</v>
      </c>
      <c r="J868" s="16" t="n">
        <v>0.802</v>
      </c>
      <c r="K868" s="8" t="n">
        <v>9.7</v>
      </c>
      <c r="L868" s="8" t="n">
        <v>9</v>
      </c>
      <c r="M868" s="8" t="n">
        <v>3</v>
      </c>
      <c r="N868" s="8" t="s">
        <v>120</v>
      </c>
      <c r="O868" s="15" t="n">
        <f aca="false">H868*12</f>
        <v>11100</v>
      </c>
      <c r="P868" s="8" t="n">
        <f aca="false">MIN(100,ROUND(100*J868/Assumptions!$B$8,0))</f>
        <v>89</v>
      </c>
      <c r="Q868" s="8" t="n">
        <f aca="false">IF(L868="",Assumptions!$B$9,L868*10)</f>
        <v>90</v>
      </c>
      <c r="R868" s="8" t="n">
        <f aca="false">IF(M868&lt;=1,Assumptions!$B$12,IF(M868&lt;=3,Assumptions!$B$13,IF(M868&lt;=6,Assumptions!$B$14,Assumptions!$B$15)))</f>
        <v>75</v>
      </c>
      <c r="S868" s="8" t="n">
        <f aca="false">IF(N868="Completed On Time",Assumptions!$B$16,IF(N868="Completed Late",Assumptions!$B$17,Assumptions!$B$18))</f>
        <v>100</v>
      </c>
      <c r="T868" s="8" t="n">
        <f aca="false">IF(I868=0,Assumptions!$B$20,IF(H868&gt;I868,Assumptions!$B$19,IF(H868=I868,Assumptions!$B$20,Assumptions!$B$21)))</f>
        <v>70</v>
      </c>
      <c r="U868" s="8" t="n">
        <f aca="false">ROUND(P868*Assumptions!$B$2+Q868*Assumptions!$B$3+R868*Assumptions!$B$4+S868*Assumptions!$B$5+T868*Assumptions!$B$6,0)</f>
        <v>84</v>
      </c>
      <c r="V868" s="8" t="str">
        <f aca="false">IF(U868&gt;=Assumptions!$B$10,"Healthy",IF(U868&gt;=Assumptions!$B$11,"Needs Attention","High Risk"))</f>
        <v>Healthy</v>
      </c>
    </row>
    <row r="869" customFormat="false" ht="15" hidden="false" customHeight="false" outlineLevel="0" collapsed="false">
      <c r="A869" s="8" t="s">
        <v>1879</v>
      </c>
      <c r="B869" s="8" t="s">
        <v>1880</v>
      </c>
      <c r="C869" s="8" t="s">
        <v>53</v>
      </c>
      <c r="D869" s="8" t="s">
        <v>326</v>
      </c>
      <c r="E869" s="8" t="s">
        <v>123</v>
      </c>
      <c r="F869" s="8" t="s">
        <v>124</v>
      </c>
      <c r="G869" s="8" t="s">
        <v>144</v>
      </c>
      <c r="H869" s="15" t="n">
        <v>925</v>
      </c>
      <c r="I869" s="15" t="n">
        <v>925</v>
      </c>
      <c r="J869" s="16" t="n">
        <v>0.793</v>
      </c>
      <c r="K869" s="8" t="n">
        <v>10</v>
      </c>
      <c r="L869" s="8" t="n">
        <v>9</v>
      </c>
      <c r="M869" s="8" t="n">
        <v>1</v>
      </c>
      <c r="N869" s="8" t="s">
        <v>120</v>
      </c>
      <c r="O869" s="15" t="n">
        <f aca="false">H869*12</f>
        <v>11100</v>
      </c>
      <c r="P869" s="8" t="n">
        <f aca="false">MIN(100,ROUND(100*J869/Assumptions!$B$8,0))</f>
        <v>88</v>
      </c>
      <c r="Q869" s="8" t="n">
        <f aca="false">IF(L869="",Assumptions!$B$9,L869*10)</f>
        <v>90</v>
      </c>
      <c r="R869" s="8" t="n">
        <f aca="false">IF(M869&lt;=1,Assumptions!$B$12,IF(M869&lt;=3,Assumptions!$B$13,IF(M869&lt;=6,Assumptions!$B$14,Assumptions!$B$15)))</f>
        <v>100</v>
      </c>
      <c r="S869" s="8" t="n">
        <f aca="false">IF(N869="Completed On Time",Assumptions!$B$16,IF(N869="Completed Late",Assumptions!$B$17,Assumptions!$B$18))</f>
        <v>100</v>
      </c>
      <c r="T869" s="8" t="n">
        <f aca="false">IF(I869=0,Assumptions!$B$20,IF(H869&gt;I869,Assumptions!$B$19,IF(H869=I869,Assumptions!$B$20,Assumptions!$B$21)))</f>
        <v>70</v>
      </c>
      <c r="U869" s="8" t="n">
        <f aca="false">ROUND(P869*Assumptions!$B$2+Q869*Assumptions!$B$3+R869*Assumptions!$B$4+S869*Assumptions!$B$5+T869*Assumptions!$B$6,0)</f>
        <v>88</v>
      </c>
      <c r="V869" s="8" t="str">
        <f aca="false">IF(U869&gt;=Assumptions!$B$10,"Healthy",IF(U869&gt;=Assumptions!$B$11,"Needs Attention","High Risk"))</f>
        <v>Healthy</v>
      </c>
    </row>
    <row r="870" customFormat="false" ht="15" hidden="false" customHeight="false" outlineLevel="0" collapsed="false">
      <c r="A870" s="8" t="s">
        <v>1881</v>
      </c>
      <c r="B870" s="8" t="s">
        <v>1882</v>
      </c>
      <c r="C870" s="8" t="s">
        <v>51</v>
      </c>
      <c r="D870" s="8" t="s">
        <v>326</v>
      </c>
      <c r="E870" s="8" t="s">
        <v>128</v>
      </c>
      <c r="F870" s="8" t="s">
        <v>143</v>
      </c>
      <c r="G870" s="8" t="s">
        <v>129</v>
      </c>
      <c r="H870" s="15" t="n">
        <v>925</v>
      </c>
      <c r="I870" s="15" t="n">
        <v>925</v>
      </c>
      <c r="J870" s="16" t="n">
        <v>0.784</v>
      </c>
      <c r="K870" s="8" t="n">
        <v>8.7</v>
      </c>
      <c r="L870" s="8" t="n">
        <v>10</v>
      </c>
      <c r="M870" s="8" t="n">
        <v>1</v>
      </c>
      <c r="N870" s="8" t="s">
        <v>120</v>
      </c>
      <c r="O870" s="15" t="n">
        <f aca="false">H870*12</f>
        <v>11100</v>
      </c>
      <c r="P870" s="8" t="n">
        <f aca="false">MIN(100,ROUND(100*J870/Assumptions!$B$8,0))</f>
        <v>87</v>
      </c>
      <c r="Q870" s="8" t="n">
        <f aca="false">IF(L870="",Assumptions!$B$9,L870*10)</f>
        <v>100</v>
      </c>
      <c r="R870" s="8" t="n">
        <f aca="false">IF(M870&lt;=1,Assumptions!$B$12,IF(M870&lt;=3,Assumptions!$B$13,IF(M870&lt;=6,Assumptions!$B$14,Assumptions!$B$15)))</f>
        <v>100</v>
      </c>
      <c r="S870" s="8" t="n">
        <f aca="false">IF(N870="Completed On Time",Assumptions!$B$16,IF(N870="Completed Late",Assumptions!$B$17,Assumptions!$B$18))</f>
        <v>100</v>
      </c>
      <c r="T870" s="8" t="n">
        <f aca="false">IF(I870=0,Assumptions!$B$20,IF(H870&gt;I870,Assumptions!$B$19,IF(H870=I870,Assumptions!$B$20,Assumptions!$B$21)))</f>
        <v>70</v>
      </c>
      <c r="U870" s="8" t="n">
        <f aca="false">ROUND(P870*Assumptions!$B$2+Q870*Assumptions!$B$3+R870*Assumptions!$B$4+S870*Assumptions!$B$5+T870*Assumptions!$B$6,0)</f>
        <v>89</v>
      </c>
      <c r="V870" s="8" t="str">
        <f aca="false">IF(U870&gt;=Assumptions!$B$10,"Healthy",IF(U870&gt;=Assumptions!$B$11,"Needs Attention","High Risk"))</f>
        <v>Healthy</v>
      </c>
    </row>
    <row r="871" customFormat="false" ht="15" hidden="false" customHeight="false" outlineLevel="0" collapsed="false">
      <c r="A871" s="8" t="s">
        <v>1883</v>
      </c>
      <c r="B871" s="8" t="s">
        <v>1884</v>
      </c>
      <c r="C871" s="8" t="s">
        <v>51</v>
      </c>
      <c r="D871" s="8" t="s">
        <v>326</v>
      </c>
      <c r="E871" s="8" t="s">
        <v>132</v>
      </c>
      <c r="F871" s="8" t="s">
        <v>118</v>
      </c>
      <c r="G871" s="8" t="s">
        <v>147</v>
      </c>
      <c r="H871" s="15" t="n">
        <v>925</v>
      </c>
      <c r="I871" s="15" t="n">
        <v>925</v>
      </c>
      <c r="J871" s="16" t="n">
        <v>0.793</v>
      </c>
      <c r="K871" s="8" t="n">
        <v>11</v>
      </c>
      <c r="L871" s="8" t="n">
        <v>9</v>
      </c>
      <c r="M871" s="8" t="n">
        <v>1</v>
      </c>
      <c r="N871" s="8" t="s">
        <v>120</v>
      </c>
      <c r="O871" s="15" t="n">
        <f aca="false">H871*12</f>
        <v>11100</v>
      </c>
      <c r="P871" s="8" t="n">
        <f aca="false">MIN(100,ROUND(100*J871/Assumptions!$B$8,0))</f>
        <v>88</v>
      </c>
      <c r="Q871" s="8" t="n">
        <f aca="false">IF(L871="",Assumptions!$B$9,L871*10)</f>
        <v>90</v>
      </c>
      <c r="R871" s="8" t="n">
        <f aca="false">IF(M871&lt;=1,Assumptions!$B$12,IF(M871&lt;=3,Assumptions!$B$13,IF(M871&lt;=6,Assumptions!$B$14,Assumptions!$B$15)))</f>
        <v>100</v>
      </c>
      <c r="S871" s="8" t="n">
        <f aca="false">IF(N871="Completed On Time",Assumptions!$B$16,IF(N871="Completed Late",Assumptions!$B$17,Assumptions!$B$18))</f>
        <v>100</v>
      </c>
      <c r="T871" s="8" t="n">
        <f aca="false">IF(I871=0,Assumptions!$B$20,IF(H871&gt;I871,Assumptions!$B$19,IF(H871=I871,Assumptions!$B$20,Assumptions!$B$21)))</f>
        <v>70</v>
      </c>
      <c r="U871" s="8" t="n">
        <f aca="false">ROUND(P871*Assumptions!$B$2+Q871*Assumptions!$B$3+R871*Assumptions!$B$4+S871*Assumptions!$B$5+T871*Assumptions!$B$6,0)</f>
        <v>88</v>
      </c>
      <c r="V871" s="8" t="str">
        <f aca="false">IF(U871&gt;=Assumptions!$B$10,"Healthy",IF(U871&gt;=Assumptions!$B$11,"Needs Attention","High Risk"))</f>
        <v>Healthy</v>
      </c>
    </row>
    <row r="872" customFormat="false" ht="15" hidden="false" customHeight="false" outlineLevel="0" collapsed="false">
      <c r="A872" s="8" t="s">
        <v>1885</v>
      </c>
      <c r="B872" s="8" t="s">
        <v>1886</v>
      </c>
      <c r="C872" s="8" t="s">
        <v>51</v>
      </c>
      <c r="D872" s="8" t="s">
        <v>326</v>
      </c>
      <c r="E872" s="8" t="s">
        <v>117</v>
      </c>
      <c r="F872" s="8" t="s">
        <v>124</v>
      </c>
      <c r="G872" s="8" t="s">
        <v>119</v>
      </c>
      <c r="H872" s="15" t="n">
        <v>925</v>
      </c>
      <c r="I872" s="15" t="n">
        <v>925</v>
      </c>
      <c r="J872" s="16" t="n">
        <v>0.55</v>
      </c>
      <c r="K872" s="8" t="n">
        <v>5.7</v>
      </c>
      <c r="L872" s="8" t="n">
        <v>7</v>
      </c>
      <c r="M872" s="8" t="n">
        <v>5</v>
      </c>
      <c r="N872" s="8" t="s">
        <v>120</v>
      </c>
      <c r="O872" s="15" t="n">
        <f aca="false">H872*12</f>
        <v>11100</v>
      </c>
      <c r="P872" s="8" t="n">
        <f aca="false">MIN(100,ROUND(100*J872/Assumptions!$B$8,0))</f>
        <v>61</v>
      </c>
      <c r="Q872" s="8" t="n">
        <f aca="false">IF(L872="",Assumptions!$B$9,L872*10)</f>
        <v>70</v>
      </c>
      <c r="R872" s="8" t="n">
        <f aca="false">IF(M872&lt;=1,Assumptions!$B$12,IF(M872&lt;=3,Assumptions!$B$13,IF(M872&lt;=6,Assumptions!$B$14,Assumptions!$B$15)))</f>
        <v>50</v>
      </c>
      <c r="S872" s="8" t="n">
        <f aca="false">IF(N872="Completed On Time",Assumptions!$B$16,IF(N872="Completed Late",Assumptions!$B$17,Assumptions!$B$18))</f>
        <v>100</v>
      </c>
      <c r="T872" s="8" t="n">
        <f aca="false">IF(I872=0,Assumptions!$B$20,IF(H872&gt;I872,Assumptions!$B$19,IF(H872=I872,Assumptions!$B$20,Assumptions!$B$21)))</f>
        <v>70</v>
      </c>
      <c r="U872" s="8" t="n">
        <f aca="false">ROUND(P872*Assumptions!$B$2+Q872*Assumptions!$B$3+R872*Assumptions!$B$4+S872*Assumptions!$B$5+T872*Assumptions!$B$6,0)</f>
        <v>67</v>
      </c>
      <c r="V872" s="8" t="str">
        <f aca="false">IF(U872&gt;=Assumptions!$B$10,"Healthy",IF(U872&gt;=Assumptions!$B$11,"Needs Attention","High Risk"))</f>
        <v>Needs Attention</v>
      </c>
    </row>
    <row r="873" customFormat="false" ht="15" hidden="false" customHeight="false" outlineLevel="0" collapsed="false">
      <c r="A873" s="8" t="s">
        <v>1887</v>
      </c>
      <c r="B873" s="8" t="s">
        <v>1888</v>
      </c>
      <c r="C873" s="8" t="s">
        <v>51</v>
      </c>
      <c r="D873" s="8" t="s">
        <v>326</v>
      </c>
      <c r="E873" s="8" t="s">
        <v>123</v>
      </c>
      <c r="F873" s="8" t="s">
        <v>223</v>
      </c>
      <c r="G873" s="8" t="s">
        <v>137</v>
      </c>
      <c r="H873" s="15" t="n">
        <v>925</v>
      </c>
      <c r="I873" s="15" t="n">
        <v>925</v>
      </c>
      <c r="J873" s="16" t="n">
        <v>0.685</v>
      </c>
      <c r="K873" s="8" t="n">
        <v>7.7</v>
      </c>
      <c r="L873" s="8" t="n">
        <v>9</v>
      </c>
      <c r="M873" s="8" t="n">
        <v>3</v>
      </c>
      <c r="N873" s="8" t="s">
        <v>120</v>
      </c>
      <c r="O873" s="15" t="n">
        <f aca="false">H873*12</f>
        <v>11100</v>
      </c>
      <c r="P873" s="8" t="n">
        <f aca="false">MIN(100,ROUND(100*J873/Assumptions!$B$8,0))</f>
        <v>76</v>
      </c>
      <c r="Q873" s="8" t="n">
        <f aca="false">IF(L873="",Assumptions!$B$9,L873*10)</f>
        <v>90</v>
      </c>
      <c r="R873" s="8" t="n">
        <f aca="false">IF(M873&lt;=1,Assumptions!$B$12,IF(M873&lt;=3,Assumptions!$B$13,IF(M873&lt;=6,Assumptions!$B$14,Assumptions!$B$15)))</f>
        <v>75</v>
      </c>
      <c r="S873" s="8" t="n">
        <f aca="false">IF(N873="Completed On Time",Assumptions!$B$16,IF(N873="Completed Late",Assumptions!$B$17,Assumptions!$B$18))</f>
        <v>100</v>
      </c>
      <c r="T873" s="8" t="n">
        <f aca="false">IF(I873=0,Assumptions!$B$20,IF(H873&gt;I873,Assumptions!$B$19,IF(H873=I873,Assumptions!$B$20,Assumptions!$B$21)))</f>
        <v>70</v>
      </c>
      <c r="U873" s="8" t="n">
        <f aca="false">ROUND(P873*Assumptions!$B$2+Q873*Assumptions!$B$3+R873*Assumptions!$B$4+S873*Assumptions!$B$5+T873*Assumptions!$B$6,0)</f>
        <v>80</v>
      </c>
      <c r="V873" s="8" t="str">
        <f aca="false">IF(U873&gt;=Assumptions!$B$10,"Healthy",IF(U873&gt;=Assumptions!$B$11,"Needs Attention","High Risk"))</f>
        <v>Healthy</v>
      </c>
    </row>
    <row r="874" customFormat="false" ht="15" hidden="false" customHeight="false" outlineLevel="0" collapsed="false">
      <c r="A874" s="8" t="s">
        <v>1889</v>
      </c>
      <c r="B874" s="8" t="s">
        <v>1890</v>
      </c>
      <c r="C874" s="8" t="s">
        <v>51</v>
      </c>
      <c r="D874" s="8" t="s">
        <v>326</v>
      </c>
      <c r="E874" s="8" t="s">
        <v>132</v>
      </c>
      <c r="F874" s="8" t="s">
        <v>190</v>
      </c>
      <c r="G874" s="8" t="s">
        <v>147</v>
      </c>
      <c r="H874" s="15" t="n">
        <v>925</v>
      </c>
      <c r="I874" s="15" t="n">
        <v>925</v>
      </c>
      <c r="J874" s="16" t="n">
        <v>0.658</v>
      </c>
      <c r="K874" s="8" t="n">
        <v>7.3</v>
      </c>
      <c r="L874" s="8" t="n">
        <v>8</v>
      </c>
      <c r="M874" s="8" t="n">
        <v>2</v>
      </c>
      <c r="N874" s="8" t="s">
        <v>120</v>
      </c>
      <c r="O874" s="15" t="n">
        <f aca="false">H874*12</f>
        <v>11100</v>
      </c>
      <c r="P874" s="8" t="n">
        <f aca="false">MIN(100,ROUND(100*J874/Assumptions!$B$8,0))</f>
        <v>73</v>
      </c>
      <c r="Q874" s="8" t="n">
        <f aca="false">IF(L874="",Assumptions!$B$9,L874*10)</f>
        <v>80</v>
      </c>
      <c r="R874" s="8" t="n">
        <f aca="false">IF(M874&lt;=1,Assumptions!$B$12,IF(M874&lt;=3,Assumptions!$B$13,IF(M874&lt;=6,Assumptions!$B$14,Assumptions!$B$15)))</f>
        <v>75</v>
      </c>
      <c r="S874" s="8" t="n">
        <f aca="false">IF(N874="Completed On Time",Assumptions!$B$16,IF(N874="Completed Late",Assumptions!$B$17,Assumptions!$B$18))</f>
        <v>100</v>
      </c>
      <c r="T874" s="8" t="n">
        <f aca="false">IF(I874=0,Assumptions!$B$20,IF(H874&gt;I874,Assumptions!$B$19,IF(H874=I874,Assumptions!$B$20,Assumptions!$B$21)))</f>
        <v>70</v>
      </c>
      <c r="U874" s="8" t="n">
        <f aca="false">ROUND(P874*Assumptions!$B$2+Q874*Assumptions!$B$3+R874*Assumptions!$B$4+S874*Assumptions!$B$5+T874*Assumptions!$B$6,0)</f>
        <v>77</v>
      </c>
      <c r="V874" s="8" t="str">
        <f aca="false">IF(U874&gt;=Assumptions!$B$10,"Healthy",IF(U874&gt;=Assumptions!$B$11,"Needs Attention","High Risk"))</f>
        <v>Needs Attention</v>
      </c>
    </row>
    <row r="875" customFormat="false" ht="15" hidden="false" customHeight="false" outlineLevel="0" collapsed="false">
      <c r="A875" s="8" t="s">
        <v>1891</v>
      </c>
      <c r="B875" s="8" t="s">
        <v>1892</v>
      </c>
      <c r="C875" s="8" t="s">
        <v>51</v>
      </c>
      <c r="D875" s="8" t="s">
        <v>326</v>
      </c>
      <c r="E875" s="8" t="s">
        <v>132</v>
      </c>
      <c r="F875" s="8" t="s">
        <v>118</v>
      </c>
      <c r="G875" s="8" t="s">
        <v>177</v>
      </c>
      <c r="H875" s="15" t="n">
        <v>925</v>
      </c>
      <c r="I875" s="15" t="n">
        <v>0</v>
      </c>
      <c r="J875" s="16" t="n">
        <v>0.784</v>
      </c>
      <c r="K875" s="8" t="n">
        <v>11</v>
      </c>
      <c r="L875" s="8"/>
      <c r="M875" s="8" t="n">
        <v>1</v>
      </c>
      <c r="N875" s="8" t="s">
        <v>120</v>
      </c>
      <c r="O875" s="15" t="n">
        <f aca="false">H875*12</f>
        <v>11100</v>
      </c>
      <c r="P875" s="8" t="n">
        <f aca="false">MIN(100,ROUND(100*J875/Assumptions!$B$8,0))</f>
        <v>87</v>
      </c>
      <c r="Q875" s="8" t="n">
        <f aca="false">IF(L875="",Assumptions!$B$9,L875*10)</f>
        <v>50</v>
      </c>
      <c r="R875" s="8" t="n">
        <f aca="false">IF(M875&lt;=1,Assumptions!$B$12,IF(M875&lt;=3,Assumptions!$B$13,IF(M875&lt;=6,Assumptions!$B$14,Assumptions!$B$15)))</f>
        <v>100</v>
      </c>
      <c r="S875" s="8" t="n">
        <f aca="false">IF(N875="Completed On Time",Assumptions!$B$16,IF(N875="Completed Late",Assumptions!$B$17,Assumptions!$B$18))</f>
        <v>100</v>
      </c>
      <c r="T875" s="8" t="n">
        <f aca="false">IF(I875=0,Assumptions!$B$20,IF(H875&gt;I875,Assumptions!$B$19,IF(H875=I875,Assumptions!$B$20,Assumptions!$B$21)))</f>
        <v>70</v>
      </c>
      <c r="U875" s="8" t="n">
        <f aca="false">ROUND(P875*Assumptions!$B$2+Q875*Assumptions!$B$3+R875*Assumptions!$B$4+S875*Assumptions!$B$5+T875*Assumptions!$B$6,0)</f>
        <v>79</v>
      </c>
      <c r="V875" s="8" t="str">
        <f aca="false">IF(U875&gt;=Assumptions!$B$10,"Healthy",IF(U875&gt;=Assumptions!$B$11,"Needs Attention","High Risk"))</f>
        <v>Needs Attention</v>
      </c>
    </row>
    <row r="876" customFormat="false" ht="15" hidden="false" customHeight="false" outlineLevel="0" collapsed="false">
      <c r="A876" s="8" t="s">
        <v>1893</v>
      </c>
      <c r="B876" s="8" t="s">
        <v>1894</v>
      </c>
      <c r="C876" s="8" t="s">
        <v>51</v>
      </c>
      <c r="D876" s="8" t="s">
        <v>326</v>
      </c>
      <c r="E876" s="8" t="s">
        <v>123</v>
      </c>
      <c r="F876" s="8" t="s">
        <v>124</v>
      </c>
      <c r="G876" s="8" t="s">
        <v>137</v>
      </c>
      <c r="H876" s="15" t="n">
        <v>925</v>
      </c>
      <c r="I876" s="15" t="n">
        <v>925</v>
      </c>
      <c r="J876" s="16" t="n">
        <v>0.793</v>
      </c>
      <c r="K876" s="8" t="n">
        <v>12</v>
      </c>
      <c r="L876" s="8" t="n">
        <v>8</v>
      </c>
      <c r="M876" s="8" t="n">
        <v>1</v>
      </c>
      <c r="N876" s="8" t="s">
        <v>120</v>
      </c>
      <c r="O876" s="15" t="n">
        <f aca="false">H876*12</f>
        <v>11100</v>
      </c>
      <c r="P876" s="8" t="n">
        <f aca="false">MIN(100,ROUND(100*J876/Assumptions!$B$8,0))</f>
        <v>88</v>
      </c>
      <c r="Q876" s="8" t="n">
        <f aca="false">IF(L876="",Assumptions!$B$9,L876*10)</f>
        <v>80</v>
      </c>
      <c r="R876" s="8" t="n">
        <f aca="false">IF(M876&lt;=1,Assumptions!$B$12,IF(M876&lt;=3,Assumptions!$B$13,IF(M876&lt;=6,Assumptions!$B$14,Assumptions!$B$15)))</f>
        <v>100</v>
      </c>
      <c r="S876" s="8" t="n">
        <f aca="false">IF(N876="Completed On Time",Assumptions!$B$16,IF(N876="Completed Late",Assumptions!$B$17,Assumptions!$B$18))</f>
        <v>100</v>
      </c>
      <c r="T876" s="8" t="n">
        <f aca="false">IF(I876=0,Assumptions!$B$20,IF(H876&gt;I876,Assumptions!$B$19,IF(H876=I876,Assumptions!$B$20,Assumptions!$B$21)))</f>
        <v>70</v>
      </c>
      <c r="U876" s="8" t="n">
        <f aca="false">ROUND(P876*Assumptions!$B$2+Q876*Assumptions!$B$3+R876*Assumptions!$B$4+S876*Assumptions!$B$5+T876*Assumptions!$B$6,0)</f>
        <v>86</v>
      </c>
      <c r="V876" s="8" t="str">
        <f aca="false">IF(U876&gt;=Assumptions!$B$10,"Healthy",IF(U876&gt;=Assumptions!$B$11,"Needs Attention","High Risk"))</f>
        <v>Healthy</v>
      </c>
    </row>
    <row r="877" customFormat="false" ht="15" hidden="false" customHeight="false" outlineLevel="0" collapsed="false">
      <c r="A877" s="8" t="s">
        <v>1895</v>
      </c>
      <c r="B877" s="8" t="s">
        <v>1896</v>
      </c>
      <c r="C877" s="8" t="s">
        <v>51</v>
      </c>
      <c r="D877" s="8" t="s">
        <v>326</v>
      </c>
      <c r="E877" s="8" t="s">
        <v>123</v>
      </c>
      <c r="F877" s="8" t="s">
        <v>118</v>
      </c>
      <c r="G877" s="8" t="s">
        <v>147</v>
      </c>
      <c r="H877" s="15" t="n">
        <v>900</v>
      </c>
      <c r="I877" s="15" t="n">
        <v>900</v>
      </c>
      <c r="J877" s="16" t="n">
        <v>0.861</v>
      </c>
      <c r="K877" s="8" t="n">
        <v>12</v>
      </c>
      <c r="L877" s="8" t="n">
        <v>10</v>
      </c>
      <c r="M877" s="8" t="n">
        <v>1</v>
      </c>
      <c r="N877" s="8" t="s">
        <v>120</v>
      </c>
      <c r="O877" s="15" t="n">
        <f aca="false">H877*12</f>
        <v>10800</v>
      </c>
      <c r="P877" s="8" t="n">
        <f aca="false">MIN(100,ROUND(100*J877/Assumptions!$B$8,0))</f>
        <v>96</v>
      </c>
      <c r="Q877" s="8" t="n">
        <f aca="false">IF(L877="",Assumptions!$B$9,L877*10)</f>
        <v>100</v>
      </c>
      <c r="R877" s="8" t="n">
        <f aca="false">IF(M877&lt;=1,Assumptions!$B$12,IF(M877&lt;=3,Assumptions!$B$13,IF(M877&lt;=6,Assumptions!$B$14,Assumptions!$B$15)))</f>
        <v>100</v>
      </c>
      <c r="S877" s="8" t="n">
        <f aca="false">IF(N877="Completed On Time",Assumptions!$B$16,IF(N877="Completed Late",Assumptions!$B$17,Assumptions!$B$18))</f>
        <v>100</v>
      </c>
      <c r="T877" s="8" t="n">
        <f aca="false">IF(I877=0,Assumptions!$B$20,IF(H877&gt;I877,Assumptions!$B$19,IF(H877=I877,Assumptions!$B$20,Assumptions!$B$21)))</f>
        <v>70</v>
      </c>
      <c r="U877" s="8" t="n">
        <f aca="false">ROUND(P877*Assumptions!$B$2+Q877*Assumptions!$B$3+R877*Assumptions!$B$4+S877*Assumptions!$B$5+T877*Assumptions!$B$6,0)</f>
        <v>93</v>
      </c>
      <c r="V877" s="8" t="str">
        <f aca="false">IF(U877&gt;=Assumptions!$B$10,"Healthy",IF(U877&gt;=Assumptions!$B$11,"Needs Attention","High Risk"))</f>
        <v>Healthy</v>
      </c>
    </row>
    <row r="878" customFormat="false" ht="15" hidden="false" customHeight="false" outlineLevel="0" collapsed="false">
      <c r="A878" s="8" t="s">
        <v>1897</v>
      </c>
      <c r="B878" s="8" t="s">
        <v>1898</v>
      </c>
      <c r="C878" s="8" t="s">
        <v>51</v>
      </c>
      <c r="D878" s="8" t="s">
        <v>326</v>
      </c>
      <c r="E878" s="8" t="s">
        <v>123</v>
      </c>
      <c r="F878" s="8" t="s">
        <v>133</v>
      </c>
      <c r="G878" s="8" t="s">
        <v>204</v>
      </c>
      <c r="H878" s="15" t="n">
        <v>900</v>
      </c>
      <c r="I878" s="15" t="n">
        <v>900</v>
      </c>
      <c r="J878" s="16" t="n">
        <v>0.787</v>
      </c>
      <c r="K878" s="8" t="n">
        <v>10</v>
      </c>
      <c r="L878" s="8" t="n">
        <v>10</v>
      </c>
      <c r="M878" s="8" t="n">
        <v>3</v>
      </c>
      <c r="N878" s="8" t="s">
        <v>120</v>
      </c>
      <c r="O878" s="15" t="n">
        <f aca="false">H878*12</f>
        <v>10800</v>
      </c>
      <c r="P878" s="8" t="n">
        <f aca="false">MIN(100,ROUND(100*J878/Assumptions!$B$8,0))</f>
        <v>87</v>
      </c>
      <c r="Q878" s="8" t="n">
        <f aca="false">IF(L878="",Assumptions!$B$9,L878*10)</f>
        <v>100</v>
      </c>
      <c r="R878" s="8" t="n">
        <f aca="false">IF(M878&lt;=1,Assumptions!$B$12,IF(M878&lt;=3,Assumptions!$B$13,IF(M878&lt;=6,Assumptions!$B$14,Assumptions!$B$15)))</f>
        <v>75</v>
      </c>
      <c r="S878" s="8" t="n">
        <f aca="false">IF(N878="Completed On Time",Assumptions!$B$16,IF(N878="Completed Late",Assumptions!$B$17,Assumptions!$B$18))</f>
        <v>100</v>
      </c>
      <c r="T878" s="8" t="n">
        <f aca="false">IF(I878=0,Assumptions!$B$20,IF(H878&gt;I878,Assumptions!$B$19,IF(H878=I878,Assumptions!$B$20,Assumptions!$B$21)))</f>
        <v>70</v>
      </c>
      <c r="U878" s="8" t="n">
        <f aca="false">ROUND(P878*Assumptions!$B$2+Q878*Assumptions!$B$3+R878*Assumptions!$B$4+S878*Assumptions!$B$5+T878*Assumptions!$B$6,0)</f>
        <v>86</v>
      </c>
      <c r="V878" s="8" t="str">
        <f aca="false">IF(U878&gt;=Assumptions!$B$10,"Healthy",IF(U878&gt;=Assumptions!$B$11,"Needs Attention","High Risk"))</f>
        <v>Healthy</v>
      </c>
    </row>
    <row r="879" customFormat="false" ht="15" hidden="false" customHeight="false" outlineLevel="0" collapsed="false">
      <c r="A879" s="8" t="s">
        <v>1899</v>
      </c>
      <c r="B879" s="8" t="s">
        <v>1900</v>
      </c>
      <c r="C879" s="8" t="s">
        <v>51</v>
      </c>
      <c r="D879" s="8" t="s">
        <v>326</v>
      </c>
      <c r="E879" s="8" t="s">
        <v>132</v>
      </c>
      <c r="F879" s="8" t="s">
        <v>143</v>
      </c>
      <c r="G879" s="8" t="s">
        <v>180</v>
      </c>
      <c r="H879" s="15" t="n">
        <v>900</v>
      </c>
      <c r="I879" s="15" t="n">
        <v>900</v>
      </c>
      <c r="J879" s="16" t="n">
        <v>0.713</v>
      </c>
      <c r="K879" s="8" t="n">
        <v>9.3</v>
      </c>
      <c r="L879" s="8" t="n">
        <v>9</v>
      </c>
      <c r="M879" s="8" t="n">
        <v>1</v>
      </c>
      <c r="N879" s="8" t="s">
        <v>120</v>
      </c>
      <c r="O879" s="15" t="n">
        <f aca="false">H879*12</f>
        <v>10800</v>
      </c>
      <c r="P879" s="8" t="n">
        <f aca="false">MIN(100,ROUND(100*J879/Assumptions!$B$8,0))</f>
        <v>79</v>
      </c>
      <c r="Q879" s="8" t="n">
        <f aca="false">IF(L879="",Assumptions!$B$9,L879*10)</f>
        <v>90</v>
      </c>
      <c r="R879" s="8" t="n">
        <f aca="false">IF(M879&lt;=1,Assumptions!$B$12,IF(M879&lt;=3,Assumptions!$B$13,IF(M879&lt;=6,Assumptions!$B$14,Assumptions!$B$15)))</f>
        <v>100</v>
      </c>
      <c r="S879" s="8" t="n">
        <f aca="false">IF(N879="Completed On Time",Assumptions!$B$16,IF(N879="Completed Late",Assumptions!$B$17,Assumptions!$B$18))</f>
        <v>100</v>
      </c>
      <c r="T879" s="8" t="n">
        <f aca="false">IF(I879=0,Assumptions!$B$20,IF(H879&gt;I879,Assumptions!$B$19,IF(H879=I879,Assumptions!$B$20,Assumptions!$B$21)))</f>
        <v>70</v>
      </c>
      <c r="U879" s="8" t="n">
        <f aca="false">ROUND(P879*Assumptions!$B$2+Q879*Assumptions!$B$3+R879*Assumptions!$B$4+S879*Assumptions!$B$5+T879*Assumptions!$B$6,0)</f>
        <v>85</v>
      </c>
      <c r="V879" s="8" t="str">
        <f aca="false">IF(U879&gt;=Assumptions!$B$10,"Healthy",IF(U879&gt;=Assumptions!$B$11,"Needs Attention","High Risk"))</f>
        <v>Healthy</v>
      </c>
    </row>
    <row r="880" customFormat="false" ht="15" hidden="false" customHeight="false" outlineLevel="0" collapsed="false">
      <c r="A880" s="8" t="s">
        <v>1901</v>
      </c>
      <c r="B880" s="8" t="s">
        <v>1902</v>
      </c>
      <c r="C880" s="8" t="s">
        <v>51</v>
      </c>
      <c r="D880" s="8" t="s">
        <v>326</v>
      </c>
      <c r="E880" s="8" t="s">
        <v>123</v>
      </c>
      <c r="F880" s="8" t="s">
        <v>133</v>
      </c>
      <c r="G880" s="8" t="s">
        <v>125</v>
      </c>
      <c r="H880" s="15" t="n">
        <v>900</v>
      </c>
      <c r="I880" s="15" t="n">
        <v>900</v>
      </c>
      <c r="J880" s="16" t="n">
        <v>0.796</v>
      </c>
      <c r="K880" s="8" t="n">
        <v>9.3</v>
      </c>
      <c r="L880" s="8" t="n">
        <v>8</v>
      </c>
      <c r="M880" s="8" t="n">
        <v>3</v>
      </c>
      <c r="N880" s="8" t="s">
        <v>120</v>
      </c>
      <c r="O880" s="15" t="n">
        <f aca="false">H880*12</f>
        <v>10800</v>
      </c>
      <c r="P880" s="8" t="n">
        <f aca="false">MIN(100,ROUND(100*J880/Assumptions!$B$8,0))</f>
        <v>88</v>
      </c>
      <c r="Q880" s="8" t="n">
        <f aca="false">IF(L880="",Assumptions!$B$9,L880*10)</f>
        <v>80</v>
      </c>
      <c r="R880" s="8" t="n">
        <f aca="false">IF(M880&lt;=1,Assumptions!$B$12,IF(M880&lt;=3,Assumptions!$B$13,IF(M880&lt;=6,Assumptions!$B$14,Assumptions!$B$15)))</f>
        <v>75</v>
      </c>
      <c r="S880" s="8" t="n">
        <f aca="false">IF(N880="Completed On Time",Assumptions!$B$16,IF(N880="Completed Late",Assumptions!$B$17,Assumptions!$B$18))</f>
        <v>100</v>
      </c>
      <c r="T880" s="8" t="n">
        <f aca="false">IF(I880=0,Assumptions!$B$20,IF(H880&gt;I880,Assumptions!$B$19,IF(H880=I880,Assumptions!$B$20,Assumptions!$B$21)))</f>
        <v>70</v>
      </c>
      <c r="U880" s="8" t="n">
        <f aca="false">ROUND(P880*Assumptions!$B$2+Q880*Assumptions!$B$3+R880*Assumptions!$B$4+S880*Assumptions!$B$5+T880*Assumptions!$B$6,0)</f>
        <v>82</v>
      </c>
      <c r="V880" s="8" t="str">
        <f aca="false">IF(U880&gt;=Assumptions!$B$10,"Healthy",IF(U880&gt;=Assumptions!$B$11,"Needs Attention","High Risk"))</f>
        <v>Healthy</v>
      </c>
    </row>
    <row r="881" customFormat="false" ht="15" hidden="false" customHeight="false" outlineLevel="0" collapsed="false">
      <c r="A881" s="8" t="s">
        <v>1903</v>
      </c>
      <c r="B881" s="8" t="s">
        <v>1904</v>
      </c>
      <c r="C881" s="8" t="s">
        <v>51</v>
      </c>
      <c r="D881" s="8" t="s">
        <v>326</v>
      </c>
      <c r="E881" s="8" t="s">
        <v>132</v>
      </c>
      <c r="F881" s="8" t="s">
        <v>124</v>
      </c>
      <c r="G881" s="8" t="s">
        <v>204</v>
      </c>
      <c r="H881" s="15" t="n">
        <v>900</v>
      </c>
      <c r="I881" s="15" t="n">
        <v>900</v>
      </c>
      <c r="J881" s="16" t="n">
        <v>0.537</v>
      </c>
      <c r="K881" s="8" t="n">
        <v>6.3</v>
      </c>
      <c r="L881" s="8" t="n">
        <v>7</v>
      </c>
      <c r="M881" s="8" t="n">
        <v>4</v>
      </c>
      <c r="N881" s="8" t="s">
        <v>148</v>
      </c>
      <c r="O881" s="15" t="n">
        <f aca="false">H881*12</f>
        <v>10800</v>
      </c>
      <c r="P881" s="8" t="n">
        <f aca="false">MIN(100,ROUND(100*J881/Assumptions!$B$8,0))</f>
        <v>60</v>
      </c>
      <c r="Q881" s="8" t="n">
        <f aca="false">IF(L881="",Assumptions!$B$9,L881*10)</f>
        <v>70</v>
      </c>
      <c r="R881" s="8" t="n">
        <f aca="false">IF(M881&lt;=1,Assumptions!$B$12,IF(M881&lt;=3,Assumptions!$B$13,IF(M881&lt;=6,Assumptions!$B$14,Assumptions!$B$15)))</f>
        <v>50</v>
      </c>
      <c r="S881" s="8" t="n">
        <f aca="false">IF(N881="Completed On Time",Assumptions!$B$16,IF(N881="Completed Late",Assumptions!$B$17,Assumptions!$B$18))</f>
        <v>60</v>
      </c>
      <c r="T881" s="8" t="n">
        <f aca="false">IF(I881=0,Assumptions!$B$20,IF(H881&gt;I881,Assumptions!$B$19,IF(H881=I881,Assumptions!$B$20,Assumptions!$B$21)))</f>
        <v>70</v>
      </c>
      <c r="U881" s="8" t="n">
        <f aca="false">ROUND(P881*Assumptions!$B$2+Q881*Assumptions!$B$3+R881*Assumptions!$B$4+S881*Assumptions!$B$5+T881*Assumptions!$B$6,0)</f>
        <v>63</v>
      </c>
      <c r="V881" s="8" t="str">
        <f aca="false">IF(U881&gt;=Assumptions!$B$10,"Healthy",IF(U881&gt;=Assumptions!$B$11,"Needs Attention","High Risk"))</f>
        <v>High Risk</v>
      </c>
    </row>
    <row r="882" customFormat="false" ht="15" hidden="false" customHeight="false" outlineLevel="0" collapsed="false">
      <c r="A882" s="8" t="s">
        <v>1905</v>
      </c>
      <c r="B882" s="8" t="s">
        <v>1906</v>
      </c>
      <c r="C882" s="8" t="s">
        <v>51</v>
      </c>
      <c r="D882" s="8" t="s">
        <v>326</v>
      </c>
      <c r="E882" s="8" t="s">
        <v>123</v>
      </c>
      <c r="F882" s="8" t="s">
        <v>124</v>
      </c>
      <c r="G882" s="8" t="s">
        <v>125</v>
      </c>
      <c r="H882" s="15" t="n">
        <v>900</v>
      </c>
      <c r="I882" s="15" t="n">
        <v>900</v>
      </c>
      <c r="J882" s="16" t="n">
        <v>0.667</v>
      </c>
      <c r="K882" s="8" t="n">
        <v>8</v>
      </c>
      <c r="L882" s="8" t="n">
        <v>10</v>
      </c>
      <c r="M882" s="8" t="n">
        <v>2</v>
      </c>
      <c r="N882" s="8" t="s">
        <v>120</v>
      </c>
      <c r="O882" s="15" t="n">
        <f aca="false">H882*12</f>
        <v>10800</v>
      </c>
      <c r="P882" s="8" t="n">
        <f aca="false">MIN(100,ROUND(100*J882/Assumptions!$B$8,0))</f>
        <v>74</v>
      </c>
      <c r="Q882" s="8" t="n">
        <f aca="false">IF(L882="",Assumptions!$B$9,L882*10)</f>
        <v>100</v>
      </c>
      <c r="R882" s="8" t="n">
        <f aca="false">IF(M882&lt;=1,Assumptions!$B$12,IF(M882&lt;=3,Assumptions!$B$13,IF(M882&lt;=6,Assumptions!$B$14,Assumptions!$B$15)))</f>
        <v>75</v>
      </c>
      <c r="S882" s="8" t="n">
        <f aca="false">IF(N882="Completed On Time",Assumptions!$B$16,IF(N882="Completed Late",Assumptions!$B$17,Assumptions!$B$18))</f>
        <v>100</v>
      </c>
      <c r="T882" s="8" t="n">
        <f aca="false">IF(I882=0,Assumptions!$B$20,IF(H882&gt;I882,Assumptions!$B$19,IF(H882=I882,Assumptions!$B$20,Assumptions!$B$21)))</f>
        <v>70</v>
      </c>
      <c r="U882" s="8" t="n">
        <f aca="false">ROUND(P882*Assumptions!$B$2+Q882*Assumptions!$B$3+R882*Assumptions!$B$4+S882*Assumptions!$B$5+T882*Assumptions!$B$6,0)</f>
        <v>81</v>
      </c>
      <c r="V882" s="8" t="str">
        <f aca="false">IF(U882&gt;=Assumptions!$B$10,"Healthy",IF(U882&gt;=Assumptions!$B$11,"Needs Attention","High Risk"))</f>
        <v>Healthy</v>
      </c>
    </row>
    <row r="883" customFormat="false" ht="15" hidden="false" customHeight="false" outlineLevel="0" collapsed="false">
      <c r="A883" s="8" t="s">
        <v>1907</v>
      </c>
      <c r="B883" s="8" t="s">
        <v>1908</v>
      </c>
      <c r="C883" s="8" t="s">
        <v>51</v>
      </c>
      <c r="D883" s="8" t="s">
        <v>326</v>
      </c>
      <c r="E883" s="8" t="s">
        <v>132</v>
      </c>
      <c r="F883" s="8" t="s">
        <v>143</v>
      </c>
      <c r="G883" s="8" t="s">
        <v>137</v>
      </c>
      <c r="H883" s="15" t="n">
        <v>900</v>
      </c>
      <c r="I883" s="15" t="n">
        <v>900</v>
      </c>
      <c r="J883" s="16" t="n">
        <v>0.75</v>
      </c>
      <c r="K883" s="8" t="n">
        <v>10.7</v>
      </c>
      <c r="L883" s="8" t="n">
        <v>10</v>
      </c>
      <c r="M883" s="8" t="n">
        <v>4</v>
      </c>
      <c r="N883" s="8" t="s">
        <v>120</v>
      </c>
      <c r="O883" s="15" t="n">
        <f aca="false">H883*12</f>
        <v>10800</v>
      </c>
      <c r="P883" s="8" t="n">
        <f aca="false">MIN(100,ROUND(100*J883/Assumptions!$B$8,0))</f>
        <v>83</v>
      </c>
      <c r="Q883" s="8" t="n">
        <f aca="false">IF(L883="",Assumptions!$B$9,L883*10)</f>
        <v>100</v>
      </c>
      <c r="R883" s="8" t="n">
        <f aca="false">IF(M883&lt;=1,Assumptions!$B$12,IF(M883&lt;=3,Assumptions!$B$13,IF(M883&lt;=6,Assumptions!$B$14,Assumptions!$B$15)))</f>
        <v>50</v>
      </c>
      <c r="S883" s="8" t="n">
        <f aca="false">IF(N883="Completed On Time",Assumptions!$B$16,IF(N883="Completed Late",Assumptions!$B$17,Assumptions!$B$18))</f>
        <v>100</v>
      </c>
      <c r="T883" s="8" t="n">
        <f aca="false">IF(I883=0,Assumptions!$B$20,IF(H883&gt;I883,Assumptions!$B$19,IF(H883=I883,Assumptions!$B$20,Assumptions!$B$21)))</f>
        <v>70</v>
      </c>
      <c r="U883" s="8" t="n">
        <f aca="false">ROUND(P883*Assumptions!$B$2+Q883*Assumptions!$B$3+R883*Assumptions!$B$4+S883*Assumptions!$B$5+T883*Assumptions!$B$6,0)</f>
        <v>81</v>
      </c>
      <c r="V883" s="8" t="str">
        <f aca="false">IF(U883&gt;=Assumptions!$B$10,"Healthy",IF(U883&gt;=Assumptions!$B$11,"Needs Attention","High Risk"))</f>
        <v>Healthy</v>
      </c>
    </row>
    <row r="884" customFormat="false" ht="15" hidden="false" customHeight="false" outlineLevel="0" collapsed="false">
      <c r="A884" s="8" t="s">
        <v>1909</v>
      </c>
      <c r="B884" s="8" t="s">
        <v>1910</v>
      </c>
      <c r="C884" s="8" t="s">
        <v>51</v>
      </c>
      <c r="D884" s="8" t="s">
        <v>326</v>
      </c>
      <c r="E884" s="8" t="s">
        <v>132</v>
      </c>
      <c r="F884" s="8" t="s">
        <v>118</v>
      </c>
      <c r="G884" s="8" t="s">
        <v>159</v>
      </c>
      <c r="H884" s="15" t="n">
        <v>900</v>
      </c>
      <c r="I884" s="15" t="n">
        <v>900</v>
      </c>
      <c r="J884" s="16" t="n">
        <v>0.657</v>
      </c>
      <c r="K884" s="8" t="n">
        <v>6.7</v>
      </c>
      <c r="L884" s="8" t="n">
        <v>6</v>
      </c>
      <c r="M884" s="8" t="n">
        <v>3</v>
      </c>
      <c r="N884" s="8" t="s">
        <v>120</v>
      </c>
      <c r="O884" s="15" t="n">
        <f aca="false">H884*12</f>
        <v>10800</v>
      </c>
      <c r="P884" s="8" t="n">
        <f aca="false">MIN(100,ROUND(100*J884/Assumptions!$B$8,0))</f>
        <v>73</v>
      </c>
      <c r="Q884" s="8" t="n">
        <f aca="false">IF(L884="",Assumptions!$B$9,L884*10)</f>
        <v>60</v>
      </c>
      <c r="R884" s="8" t="n">
        <f aca="false">IF(M884&lt;=1,Assumptions!$B$12,IF(M884&lt;=3,Assumptions!$B$13,IF(M884&lt;=6,Assumptions!$B$14,Assumptions!$B$15)))</f>
        <v>75</v>
      </c>
      <c r="S884" s="8" t="n">
        <f aca="false">IF(N884="Completed On Time",Assumptions!$B$16,IF(N884="Completed Late",Assumptions!$B$17,Assumptions!$B$18))</f>
        <v>100</v>
      </c>
      <c r="T884" s="8" t="n">
        <f aca="false">IF(I884=0,Assumptions!$B$20,IF(H884&gt;I884,Assumptions!$B$19,IF(H884=I884,Assumptions!$B$20,Assumptions!$B$21)))</f>
        <v>70</v>
      </c>
      <c r="U884" s="8" t="n">
        <f aca="false">ROUND(P884*Assumptions!$B$2+Q884*Assumptions!$B$3+R884*Assumptions!$B$4+S884*Assumptions!$B$5+T884*Assumptions!$B$6,0)</f>
        <v>73</v>
      </c>
      <c r="V884" s="8" t="str">
        <f aca="false">IF(U884&gt;=Assumptions!$B$10,"Healthy",IF(U884&gt;=Assumptions!$B$11,"Needs Attention","High Risk"))</f>
        <v>Needs Attention</v>
      </c>
    </row>
    <row r="885" customFormat="false" ht="15" hidden="false" customHeight="false" outlineLevel="0" collapsed="false">
      <c r="A885" s="8" t="s">
        <v>1911</v>
      </c>
      <c r="B885" s="8" t="s">
        <v>1912</v>
      </c>
      <c r="C885" s="8" t="s">
        <v>51</v>
      </c>
      <c r="D885" s="8" t="s">
        <v>326</v>
      </c>
      <c r="E885" s="8" t="s">
        <v>123</v>
      </c>
      <c r="F885" s="8" t="s">
        <v>166</v>
      </c>
      <c r="G885" s="8" t="s">
        <v>129</v>
      </c>
      <c r="H885" s="15" t="n">
        <v>900</v>
      </c>
      <c r="I885" s="15" t="n">
        <v>900</v>
      </c>
      <c r="J885" s="16" t="n">
        <v>0.667</v>
      </c>
      <c r="K885" s="8" t="n">
        <v>8</v>
      </c>
      <c r="L885" s="8" t="n">
        <v>9</v>
      </c>
      <c r="M885" s="8" t="n">
        <v>3</v>
      </c>
      <c r="N885" s="8" t="s">
        <v>120</v>
      </c>
      <c r="O885" s="15" t="n">
        <f aca="false">H885*12</f>
        <v>10800</v>
      </c>
      <c r="P885" s="8" t="n">
        <f aca="false">MIN(100,ROUND(100*J885/Assumptions!$B$8,0))</f>
        <v>74</v>
      </c>
      <c r="Q885" s="8" t="n">
        <f aca="false">IF(L885="",Assumptions!$B$9,L885*10)</f>
        <v>90</v>
      </c>
      <c r="R885" s="8" t="n">
        <f aca="false">IF(M885&lt;=1,Assumptions!$B$12,IF(M885&lt;=3,Assumptions!$B$13,IF(M885&lt;=6,Assumptions!$B$14,Assumptions!$B$15)))</f>
        <v>75</v>
      </c>
      <c r="S885" s="8" t="n">
        <f aca="false">IF(N885="Completed On Time",Assumptions!$B$16,IF(N885="Completed Late",Assumptions!$B$17,Assumptions!$B$18))</f>
        <v>100</v>
      </c>
      <c r="T885" s="8" t="n">
        <f aca="false">IF(I885=0,Assumptions!$B$20,IF(H885&gt;I885,Assumptions!$B$19,IF(H885=I885,Assumptions!$B$20,Assumptions!$B$21)))</f>
        <v>70</v>
      </c>
      <c r="U885" s="8" t="n">
        <f aca="false">ROUND(P885*Assumptions!$B$2+Q885*Assumptions!$B$3+R885*Assumptions!$B$4+S885*Assumptions!$B$5+T885*Assumptions!$B$6,0)</f>
        <v>79</v>
      </c>
      <c r="V885" s="8" t="str">
        <f aca="false">IF(U885&gt;=Assumptions!$B$10,"Healthy",IF(U885&gt;=Assumptions!$B$11,"Needs Attention","High Risk"))</f>
        <v>Needs Attention</v>
      </c>
    </row>
    <row r="886" customFormat="false" ht="15" hidden="false" customHeight="false" outlineLevel="0" collapsed="false">
      <c r="A886" s="8" t="s">
        <v>1913</v>
      </c>
      <c r="B886" s="8" t="s">
        <v>1914</v>
      </c>
      <c r="C886" s="8" t="s">
        <v>51</v>
      </c>
      <c r="D886" s="8" t="s">
        <v>326</v>
      </c>
      <c r="E886" s="8" t="s">
        <v>117</v>
      </c>
      <c r="F886" s="8" t="s">
        <v>118</v>
      </c>
      <c r="G886" s="8" t="s">
        <v>144</v>
      </c>
      <c r="H886" s="15" t="n">
        <v>900</v>
      </c>
      <c r="I886" s="15" t="n">
        <v>900</v>
      </c>
      <c r="J886" s="16" t="n">
        <v>0.62</v>
      </c>
      <c r="K886" s="8" t="n">
        <v>6.7</v>
      </c>
      <c r="L886" s="8" t="n">
        <v>7</v>
      </c>
      <c r="M886" s="8" t="n">
        <v>5</v>
      </c>
      <c r="N886" s="8" t="s">
        <v>120</v>
      </c>
      <c r="O886" s="15" t="n">
        <f aca="false">H886*12</f>
        <v>10800</v>
      </c>
      <c r="P886" s="8" t="n">
        <f aca="false">MIN(100,ROUND(100*J886/Assumptions!$B$8,0))</f>
        <v>69</v>
      </c>
      <c r="Q886" s="8" t="n">
        <f aca="false">IF(L886="",Assumptions!$B$9,L886*10)</f>
        <v>70</v>
      </c>
      <c r="R886" s="8" t="n">
        <f aca="false">IF(M886&lt;=1,Assumptions!$B$12,IF(M886&lt;=3,Assumptions!$B$13,IF(M886&lt;=6,Assumptions!$B$14,Assumptions!$B$15)))</f>
        <v>50</v>
      </c>
      <c r="S886" s="8" t="n">
        <f aca="false">IF(N886="Completed On Time",Assumptions!$B$16,IF(N886="Completed Late",Assumptions!$B$17,Assumptions!$B$18))</f>
        <v>100</v>
      </c>
      <c r="T886" s="8" t="n">
        <f aca="false">IF(I886=0,Assumptions!$B$20,IF(H886&gt;I886,Assumptions!$B$19,IF(H886=I886,Assumptions!$B$20,Assumptions!$B$21)))</f>
        <v>70</v>
      </c>
      <c r="U886" s="8" t="n">
        <f aca="false">ROUND(P886*Assumptions!$B$2+Q886*Assumptions!$B$3+R886*Assumptions!$B$4+S886*Assumptions!$B$5+T886*Assumptions!$B$6,0)</f>
        <v>70</v>
      </c>
      <c r="V886" s="8" t="str">
        <f aca="false">IF(U886&gt;=Assumptions!$B$10,"Healthy",IF(U886&gt;=Assumptions!$B$11,"Needs Attention","High Risk"))</f>
        <v>Needs Attention</v>
      </c>
    </row>
    <row r="887" customFormat="false" ht="15" hidden="false" customHeight="false" outlineLevel="0" collapsed="false">
      <c r="A887" s="8" t="s">
        <v>1915</v>
      </c>
      <c r="B887" s="8" t="s">
        <v>1916</v>
      </c>
      <c r="C887" s="8" t="s">
        <v>51</v>
      </c>
      <c r="D887" s="8" t="s">
        <v>326</v>
      </c>
      <c r="E887" s="8" t="s">
        <v>117</v>
      </c>
      <c r="F887" s="8" t="s">
        <v>133</v>
      </c>
      <c r="G887" s="8" t="s">
        <v>177</v>
      </c>
      <c r="H887" s="15" t="n">
        <v>875</v>
      </c>
      <c r="I887" s="15" t="n">
        <v>875</v>
      </c>
      <c r="J887" s="16" t="n">
        <v>0.695</v>
      </c>
      <c r="K887" s="8" t="n">
        <v>9.7</v>
      </c>
      <c r="L887" s="8" t="n">
        <v>6</v>
      </c>
      <c r="M887" s="8" t="n">
        <v>4</v>
      </c>
      <c r="N887" s="8" t="s">
        <v>120</v>
      </c>
      <c r="O887" s="15" t="n">
        <f aca="false">H887*12</f>
        <v>10500</v>
      </c>
      <c r="P887" s="8" t="n">
        <f aca="false">MIN(100,ROUND(100*J887/Assumptions!$B$8,0))</f>
        <v>77</v>
      </c>
      <c r="Q887" s="8" t="n">
        <f aca="false">IF(L887="",Assumptions!$B$9,L887*10)</f>
        <v>60</v>
      </c>
      <c r="R887" s="8" t="n">
        <f aca="false">IF(M887&lt;=1,Assumptions!$B$12,IF(M887&lt;=3,Assumptions!$B$13,IF(M887&lt;=6,Assumptions!$B$14,Assumptions!$B$15)))</f>
        <v>50</v>
      </c>
      <c r="S887" s="8" t="n">
        <f aca="false">IF(N887="Completed On Time",Assumptions!$B$16,IF(N887="Completed Late",Assumptions!$B$17,Assumptions!$B$18))</f>
        <v>100</v>
      </c>
      <c r="T887" s="8" t="n">
        <f aca="false">IF(I887=0,Assumptions!$B$20,IF(H887&gt;I887,Assumptions!$B$19,IF(H887=I887,Assumptions!$B$20,Assumptions!$B$21)))</f>
        <v>70</v>
      </c>
      <c r="U887" s="8" t="n">
        <f aca="false">ROUND(P887*Assumptions!$B$2+Q887*Assumptions!$B$3+R887*Assumptions!$B$4+S887*Assumptions!$B$5+T887*Assumptions!$B$6,0)</f>
        <v>70</v>
      </c>
      <c r="V887" s="8" t="str">
        <f aca="false">IF(U887&gt;=Assumptions!$B$10,"Healthy",IF(U887&gt;=Assumptions!$B$11,"Needs Attention","High Risk"))</f>
        <v>Needs Attention</v>
      </c>
    </row>
    <row r="888" customFormat="false" ht="15" hidden="false" customHeight="false" outlineLevel="0" collapsed="false">
      <c r="A888" s="8" t="s">
        <v>1917</v>
      </c>
      <c r="B888" s="8" t="s">
        <v>1918</v>
      </c>
      <c r="C888" s="8" t="s">
        <v>51</v>
      </c>
      <c r="D888" s="8" t="s">
        <v>326</v>
      </c>
      <c r="E888" s="8" t="s">
        <v>123</v>
      </c>
      <c r="F888" s="8" t="s">
        <v>133</v>
      </c>
      <c r="G888" s="8" t="s">
        <v>140</v>
      </c>
      <c r="H888" s="15" t="n">
        <v>875</v>
      </c>
      <c r="I888" s="15" t="n">
        <v>875</v>
      </c>
      <c r="J888" s="16" t="n">
        <v>0.695</v>
      </c>
      <c r="K888" s="8" t="n">
        <v>9.7</v>
      </c>
      <c r="L888" s="8" t="n">
        <v>7</v>
      </c>
      <c r="M888" s="8" t="n">
        <v>3</v>
      </c>
      <c r="N888" s="8" t="s">
        <v>120</v>
      </c>
      <c r="O888" s="15" t="n">
        <f aca="false">H888*12</f>
        <v>10500</v>
      </c>
      <c r="P888" s="8" t="n">
        <f aca="false">MIN(100,ROUND(100*J888/Assumptions!$B$8,0))</f>
        <v>77</v>
      </c>
      <c r="Q888" s="8" t="n">
        <f aca="false">IF(L888="",Assumptions!$B$9,L888*10)</f>
        <v>70</v>
      </c>
      <c r="R888" s="8" t="n">
        <f aca="false">IF(M888&lt;=1,Assumptions!$B$12,IF(M888&lt;=3,Assumptions!$B$13,IF(M888&lt;=6,Assumptions!$B$14,Assumptions!$B$15)))</f>
        <v>75</v>
      </c>
      <c r="S888" s="8" t="n">
        <f aca="false">IF(N888="Completed On Time",Assumptions!$B$16,IF(N888="Completed Late",Assumptions!$B$17,Assumptions!$B$18))</f>
        <v>100</v>
      </c>
      <c r="T888" s="8" t="n">
        <f aca="false">IF(I888=0,Assumptions!$B$20,IF(H888&gt;I888,Assumptions!$B$19,IF(H888=I888,Assumptions!$B$20,Assumptions!$B$21)))</f>
        <v>70</v>
      </c>
      <c r="U888" s="8" t="n">
        <f aca="false">ROUND(P888*Assumptions!$B$2+Q888*Assumptions!$B$3+R888*Assumptions!$B$4+S888*Assumptions!$B$5+T888*Assumptions!$B$6,0)</f>
        <v>76</v>
      </c>
      <c r="V888" s="8" t="str">
        <f aca="false">IF(U888&gt;=Assumptions!$B$10,"Healthy",IF(U888&gt;=Assumptions!$B$11,"Needs Attention","High Risk"))</f>
        <v>Needs Attention</v>
      </c>
    </row>
    <row r="889" customFormat="false" ht="15" hidden="false" customHeight="false" outlineLevel="0" collapsed="false">
      <c r="A889" s="8" t="s">
        <v>1919</v>
      </c>
      <c r="B889" s="8" t="s">
        <v>1920</v>
      </c>
      <c r="C889" s="8" t="s">
        <v>51</v>
      </c>
      <c r="D889" s="8" t="s">
        <v>326</v>
      </c>
      <c r="E889" s="8" t="s">
        <v>123</v>
      </c>
      <c r="F889" s="8" t="s">
        <v>143</v>
      </c>
      <c r="G889" s="8" t="s">
        <v>159</v>
      </c>
      <c r="H889" s="15" t="n">
        <v>875</v>
      </c>
      <c r="I889" s="15" t="n">
        <v>875</v>
      </c>
      <c r="J889" s="16" t="n">
        <v>0.705</v>
      </c>
      <c r="K889" s="8" t="n">
        <v>8</v>
      </c>
      <c r="L889" s="8" t="n">
        <v>10</v>
      </c>
      <c r="M889" s="8" t="n">
        <v>3</v>
      </c>
      <c r="N889" s="8" t="s">
        <v>120</v>
      </c>
      <c r="O889" s="15" t="n">
        <f aca="false">H889*12</f>
        <v>10500</v>
      </c>
      <c r="P889" s="8" t="n">
        <f aca="false">MIN(100,ROUND(100*J889/Assumptions!$B$8,0))</f>
        <v>78</v>
      </c>
      <c r="Q889" s="8" t="n">
        <f aca="false">IF(L889="",Assumptions!$B$9,L889*10)</f>
        <v>100</v>
      </c>
      <c r="R889" s="8" t="n">
        <f aca="false">IF(M889&lt;=1,Assumptions!$B$12,IF(M889&lt;=3,Assumptions!$B$13,IF(M889&lt;=6,Assumptions!$B$14,Assumptions!$B$15)))</f>
        <v>75</v>
      </c>
      <c r="S889" s="8" t="n">
        <f aca="false">IF(N889="Completed On Time",Assumptions!$B$16,IF(N889="Completed Late",Assumptions!$B$17,Assumptions!$B$18))</f>
        <v>100</v>
      </c>
      <c r="T889" s="8" t="n">
        <f aca="false">IF(I889=0,Assumptions!$B$20,IF(H889&gt;I889,Assumptions!$B$19,IF(H889=I889,Assumptions!$B$20,Assumptions!$B$21)))</f>
        <v>70</v>
      </c>
      <c r="U889" s="8" t="n">
        <f aca="false">ROUND(P889*Assumptions!$B$2+Q889*Assumptions!$B$3+R889*Assumptions!$B$4+S889*Assumptions!$B$5+T889*Assumptions!$B$6,0)</f>
        <v>83</v>
      </c>
      <c r="V889" s="8" t="str">
        <f aca="false">IF(U889&gt;=Assumptions!$B$10,"Healthy",IF(U889&gt;=Assumptions!$B$11,"Needs Attention","High Risk"))</f>
        <v>Healthy</v>
      </c>
    </row>
    <row r="890" customFormat="false" ht="15" hidden="false" customHeight="false" outlineLevel="0" collapsed="false">
      <c r="A890" s="8" t="s">
        <v>1921</v>
      </c>
      <c r="B890" s="8" t="s">
        <v>1922</v>
      </c>
      <c r="C890" s="8" t="s">
        <v>51</v>
      </c>
      <c r="D890" s="8" t="s">
        <v>326</v>
      </c>
      <c r="E890" s="8" t="s">
        <v>123</v>
      </c>
      <c r="F890" s="8" t="s">
        <v>133</v>
      </c>
      <c r="G890" s="8" t="s">
        <v>185</v>
      </c>
      <c r="H890" s="15" t="n">
        <v>875</v>
      </c>
      <c r="I890" s="15" t="n">
        <v>875</v>
      </c>
      <c r="J890" s="16" t="n">
        <v>0.838</v>
      </c>
      <c r="K890" s="8" t="n">
        <v>9.7</v>
      </c>
      <c r="L890" s="8" t="n">
        <v>9</v>
      </c>
      <c r="M890" s="8" t="n">
        <v>3</v>
      </c>
      <c r="N890" s="8" t="s">
        <v>120</v>
      </c>
      <c r="O890" s="15" t="n">
        <f aca="false">H890*12</f>
        <v>10500</v>
      </c>
      <c r="P890" s="8" t="n">
        <f aca="false">MIN(100,ROUND(100*J890/Assumptions!$B$8,0))</f>
        <v>93</v>
      </c>
      <c r="Q890" s="8" t="n">
        <f aca="false">IF(L890="",Assumptions!$B$9,L890*10)</f>
        <v>90</v>
      </c>
      <c r="R890" s="8" t="n">
        <f aca="false">IF(M890&lt;=1,Assumptions!$B$12,IF(M890&lt;=3,Assumptions!$B$13,IF(M890&lt;=6,Assumptions!$B$14,Assumptions!$B$15)))</f>
        <v>75</v>
      </c>
      <c r="S890" s="8" t="n">
        <f aca="false">IF(N890="Completed On Time",Assumptions!$B$16,IF(N890="Completed Late",Assumptions!$B$17,Assumptions!$B$18))</f>
        <v>100</v>
      </c>
      <c r="T890" s="8" t="n">
        <f aca="false">IF(I890=0,Assumptions!$B$20,IF(H890&gt;I890,Assumptions!$B$19,IF(H890=I890,Assumptions!$B$20,Assumptions!$B$21)))</f>
        <v>70</v>
      </c>
      <c r="U890" s="8" t="n">
        <f aca="false">ROUND(P890*Assumptions!$B$2+Q890*Assumptions!$B$3+R890*Assumptions!$B$4+S890*Assumptions!$B$5+T890*Assumptions!$B$6,0)</f>
        <v>86</v>
      </c>
      <c r="V890" s="8" t="str">
        <f aca="false">IF(U890&gt;=Assumptions!$B$10,"Healthy",IF(U890&gt;=Assumptions!$B$11,"Needs Attention","High Risk"))</f>
        <v>Healthy</v>
      </c>
    </row>
    <row r="891" customFormat="false" ht="15" hidden="false" customHeight="false" outlineLevel="0" collapsed="false">
      <c r="A891" s="8" t="s">
        <v>1923</v>
      </c>
      <c r="B891" s="8" t="s">
        <v>1924</v>
      </c>
      <c r="C891" s="8" t="s">
        <v>51</v>
      </c>
      <c r="D891" s="8" t="s">
        <v>326</v>
      </c>
      <c r="E891" s="8" t="s">
        <v>132</v>
      </c>
      <c r="F891" s="8" t="s">
        <v>136</v>
      </c>
      <c r="G891" s="8" t="s">
        <v>119</v>
      </c>
      <c r="H891" s="15" t="n">
        <v>875</v>
      </c>
      <c r="I891" s="15" t="n">
        <v>875</v>
      </c>
      <c r="J891" s="16" t="n">
        <v>0.762</v>
      </c>
      <c r="K891" s="8" t="n">
        <v>7</v>
      </c>
      <c r="L891" s="8" t="n">
        <v>9</v>
      </c>
      <c r="M891" s="8" t="n">
        <v>2</v>
      </c>
      <c r="N891" s="8" t="s">
        <v>120</v>
      </c>
      <c r="O891" s="15" t="n">
        <f aca="false">H891*12</f>
        <v>10500</v>
      </c>
      <c r="P891" s="8" t="n">
        <f aca="false">MIN(100,ROUND(100*J891/Assumptions!$B$8,0))</f>
        <v>85</v>
      </c>
      <c r="Q891" s="8" t="n">
        <f aca="false">IF(L891="",Assumptions!$B$9,L891*10)</f>
        <v>90</v>
      </c>
      <c r="R891" s="8" t="n">
        <f aca="false">IF(M891&lt;=1,Assumptions!$B$12,IF(M891&lt;=3,Assumptions!$B$13,IF(M891&lt;=6,Assumptions!$B$14,Assumptions!$B$15)))</f>
        <v>75</v>
      </c>
      <c r="S891" s="8" t="n">
        <f aca="false">IF(N891="Completed On Time",Assumptions!$B$16,IF(N891="Completed Late",Assumptions!$B$17,Assumptions!$B$18))</f>
        <v>100</v>
      </c>
      <c r="T891" s="8" t="n">
        <f aca="false">IF(I891=0,Assumptions!$B$20,IF(H891&gt;I891,Assumptions!$B$19,IF(H891=I891,Assumptions!$B$20,Assumptions!$B$21)))</f>
        <v>70</v>
      </c>
      <c r="U891" s="8" t="n">
        <f aca="false">ROUND(P891*Assumptions!$B$2+Q891*Assumptions!$B$3+R891*Assumptions!$B$4+S891*Assumptions!$B$5+T891*Assumptions!$B$6,0)</f>
        <v>83</v>
      </c>
      <c r="V891" s="8" t="str">
        <f aca="false">IF(U891&gt;=Assumptions!$B$10,"Healthy",IF(U891&gt;=Assumptions!$B$11,"Needs Attention","High Risk"))</f>
        <v>Healthy</v>
      </c>
    </row>
    <row r="892" customFormat="false" ht="15" hidden="false" customHeight="false" outlineLevel="0" collapsed="false">
      <c r="A892" s="8" t="s">
        <v>1925</v>
      </c>
      <c r="B892" s="8" t="s">
        <v>1926</v>
      </c>
      <c r="C892" s="8" t="s">
        <v>51</v>
      </c>
      <c r="D892" s="8" t="s">
        <v>326</v>
      </c>
      <c r="E892" s="8" t="s">
        <v>123</v>
      </c>
      <c r="F892" s="8" t="s">
        <v>118</v>
      </c>
      <c r="G892" s="8" t="s">
        <v>119</v>
      </c>
      <c r="H892" s="15" t="n">
        <v>875</v>
      </c>
      <c r="I892" s="15" t="n">
        <v>875</v>
      </c>
      <c r="J892" s="16" t="n">
        <v>0.676</v>
      </c>
      <c r="K892" s="8" t="n">
        <v>6.7</v>
      </c>
      <c r="L892" s="8" t="n">
        <v>6</v>
      </c>
      <c r="M892" s="8" t="n">
        <v>4</v>
      </c>
      <c r="N892" s="8" t="s">
        <v>120</v>
      </c>
      <c r="O892" s="15" t="n">
        <f aca="false">H892*12</f>
        <v>10500</v>
      </c>
      <c r="P892" s="8" t="n">
        <f aca="false">MIN(100,ROUND(100*J892/Assumptions!$B$8,0))</f>
        <v>75</v>
      </c>
      <c r="Q892" s="8" t="n">
        <f aca="false">IF(L892="",Assumptions!$B$9,L892*10)</f>
        <v>60</v>
      </c>
      <c r="R892" s="8" t="n">
        <f aca="false">IF(M892&lt;=1,Assumptions!$B$12,IF(M892&lt;=3,Assumptions!$B$13,IF(M892&lt;=6,Assumptions!$B$14,Assumptions!$B$15)))</f>
        <v>50</v>
      </c>
      <c r="S892" s="8" t="n">
        <f aca="false">IF(N892="Completed On Time",Assumptions!$B$16,IF(N892="Completed Late",Assumptions!$B$17,Assumptions!$B$18))</f>
        <v>100</v>
      </c>
      <c r="T892" s="8" t="n">
        <f aca="false">IF(I892=0,Assumptions!$B$20,IF(H892&gt;I892,Assumptions!$B$19,IF(H892=I892,Assumptions!$B$20,Assumptions!$B$21)))</f>
        <v>70</v>
      </c>
      <c r="U892" s="8" t="n">
        <f aca="false">ROUND(P892*Assumptions!$B$2+Q892*Assumptions!$B$3+R892*Assumptions!$B$4+S892*Assumptions!$B$5+T892*Assumptions!$B$6,0)</f>
        <v>70</v>
      </c>
      <c r="V892" s="8" t="str">
        <f aca="false">IF(U892&gt;=Assumptions!$B$10,"Healthy",IF(U892&gt;=Assumptions!$B$11,"Needs Attention","High Risk"))</f>
        <v>Needs Attention</v>
      </c>
    </row>
    <row r="893" customFormat="false" ht="15" hidden="false" customHeight="false" outlineLevel="0" collapsed="false">
      <c r="A893" s="8" t="s">
        <v>1927</v>
      </c>
      <c r="B893" s="8" t="s">
        <v>1928</v>
      </c>
      <c r="C893" s="8" t="s">
        <v>51</v>
      </c>
      <c r="D893" s="8" t="s">
        <v>326</v>
      </c>
      <c r="E893" s="8" t="s">
        <v>123</v>
      </c>
      <c r="F893" s="8" t="s">
        <v>166</v>
      </c>
      <c r="G893" s="8" t="s">
        <v>159</v>
      </c>
      <c r="H893" s="15" t="n">
        <v>875</v>
      </c>
      <c r="I893" s="15" t="n">
        <v>875</v>
      </c>
      <c r="J893" s="16" t="n">
        <v>0.505</v>
      </c>
      <c r="K893" s="8" t="n">
        <v>5</v>
      </c>
      <c r="L893" s="8" t="n">
        <v>6</v>
      </c>
      <c r="M893" s="8" t="n">
        <v>4</v>
      </c>
      <c r="N893" s="8" t="s">
        <v>120</v>
      </c>
      <c r="O893" s="15" t="n">
        <f aca="false">H893*12</f>
        <v>10500</v>
      </c>
      <c r="P893" s="8" t="n">
        <f aca="false">MIN(100,ROUND(100*J893/Assumptions!$B$8,0))</f>
        <v>56</v>
      </c>
      <c r="Q893" s="8" t="n">
        <f aca="false">IF(L893="",Assumptions!$B$9,L893*10)</f>
        <v>60</v>
      </c>
      <c r="R893" s="8" t="n">
        <f aca="false">IF(M893&lt;=1,Assumptions!$B$12,IF(M893&lt;=3,Assumptions!$B$13,IF(M893&lt;=6,Assumptions!$B$14,Assumptions!$B$15)))</f>
        <v>50</v>
      </c>
      <c r="S893" s="8" t="n">
        <f aca="false">IF(N893="Completed On Time",Assumptions!$B$16,IF(N893="Completed Late",Assumptions!$B$17,Assumptions!$B$18))</f>
        <v>100</v>
      </c>
      <c r="T893" s="8" t="n">
        <f aca="false">IF(I893=0,Assumptions!$B$20,IF(H893&gt;I893,Assumptions!$B$19,IF(H893=I893,Assumptions!$B$20,Assumptions!$B$21)))</f>
        <v>70</v>
      </c>
      <c r="U893" s="8" t="n">
        <f aca="false">ROUND(P893*Assumptions!$B$2+Q893*Assumptions!$B$3+R893*Assumptions!$B$4+S893*Assumptions!$B$5+T893*Assumptions!$B$6,0)</f>
        <v>63</v>
      </c>
      <c r="V893" s="8" t="str">
        <f aca="false">IF(U893&gt;=Assumptions!$B$10,"Healthy",IF(U893&gt;=Assumptions!$B$11,"Needs Attention","High Risk"))</f>
        <v>High Risk</v>
      </c>
    </row>
    <row r="894" customFormat="false" ht="15" hidden="false" customHeight="false" outlineLevel="0" collapsed="false">
      <c r="A894" s="8" t="s">
        <v>1929</v>
      </c>
      <c r="B894" s="8" t="s">
        <v>1930</v>
      </c>
      <c r="C894" s="8" t="s">
        <v>51</v>
      </c>
      <c r="D894" s="8" t="s">
        <v>326</v>
      </c>
      <c r="E894" s="8" t="s">
        <v>128</v>
      </c>
      <c r="F894" s="8" t="s">
        <v>190</v>
      </c>
      <c r="G894" s="8" t="s">
        <v>147</v>
      </c>
      <c r="H894" s="15" t="n">
        <v>875</v>
      </c>
      <c r="I894" s="15" t="n">
        <v>875</v>
      </c>
      <c r="J894" s="16" t="n">
        <v>0.676</v>
      </c>
      <c r="K894" s="8" t="n">
        <v>7.3</v>
      </c>
      <c r="L894" s="8" t="n">
        <v>10</v>
      </c>
      <c r="M894" s="8" t="n">
        <v>3</v>
      </c>
      <c r="N894" s="8" t="s">
        <v>120</v>
      </c>
      <c r="O894" s="15" t="n">
        <f aca="false">H894*12</f>
        <v>10500</v>
      </c>
      <c r="P894" s="8" t="n">
        <f aca="false">MIN(100,ROUND(100*J894/Assumptions!$B$8,0))</f>
        <v>75</v>
      </c>
      <c r="Q894" s="8" t="n">
        <f aca="false">IF(L894="",Assumptions!$B$9,L894*10)</f>
        <v>100</v>
      </c>
      <c r="R894" s="8" t="n">
        <f aca="false">IF(M894&lt;=1,Assumptions!$B$12,IF(M894&lt;=3,Assumptions!$B$13,IF(M894&lt;=6,Assumptions!$B$14,Assumptions!$B$15)))</f>
        <v>75</v>
      </c>
      <c r="S894" s="8" t="n">
        <f aca="false">IF(N894="Completed On Time",Assumptions!$B$16,IF(N894="Completed Late",Assumptions!$B$17,Assumptions!$B$18))</f>
        <v>100</v>
      </c>
      <c r="T894" s="8" t="n">
        <f aca="false">IF(I894=0,Assumptions!$B$20,IF(H894&gt;I894,Assumptions!$B$19,IF(H894=I894,Assumptions!$B$20,Assumptions!$B$21)))</f>
        <v>70</v>
      </c>
      <c r="U894" s="8" t="n">
        <f aca="false">ROUND(P894*Assumptions!$B$2+Q894*Assumptions!$B$3+R894*Assumptions!$B$4+S894*Assumptions!$B$5+T894*Assumptions!$B$6,0)</f>
        <v>82</v>
      </c>
      <c r="V894" s="8" t="str">
        <f aca="false">IF(U894&gt;=Assumptions!$B$10,"Healthy",IF(U894&gt;=Assumptions!$B$11,"Needs Attention","High Risk"))</f>
        <v>Healthy</v>
      </c>
    </row>
    <row r="895" customFormat="false" ht="15" hidden="false" customHeight="false" outlineLevel="0" collapsed="false">
      <c r="A895" s="8" t="s">
        <v>1931</v>
      </c>
      <c r="B895" s="8" t="s">
        <v>1932</v>
      </c>
      <c r="C895" s="8" t="s">
        <v>51</v>
      </c>
      <c r="D895" s="8" t="s">
        <v>326</v>
      </c>
      <c r="E895" s="8" t="s">
        <v>123</v>
      </c>
      <c r="F895" s="8" t="s">
        <v>223</v>
      </c>
      <c r="G895" s="8" t="s">
        <v>125</v>
      </c>
      <c r="H895" s="15" t="n">
        <v>875</v>
      </c>
      <c r="I895" s="15" t="n">
        <v>875</v>
      </c>
      <c r="J895" s="16" t="n">
        <v>0.714</v>
      </c>
      <c r="K895" s="8" t="n">
        <v>8</v>
      </c>
      <c r="L895" s="8" t="n">
        <v>8</v>
      </c>
      <c r="M895" s="8" t="n">
        <v>1</v>
      </c>
      <c r="N895" s="8" t="s">
        <v>120</v>
      </c>
      <c r="O895" s="15" t="n">
        <f aca="false">H895*12</f>
        <v>10500</v>
      </c>
      <c r="P895" s="8" t="n">
        <f aca="false">MIN(100,ROUND(100*J895/Assumptions!$B$8,0))</f>
        <v>79</v>
      </c>
      <c r="Q895" s="8" t="n">
        <f aca="false">IF(L895="",Assumptions!$B$9,L895*10)</f>
        <v>80</v>
      </c>
      <c r="R895" s="8" t="n">
        <f aca="false">IF(M895&lt;=1,Assumptions!$B$12,IF(M895&lt;=3,Assumptions!$B$13,IF(M895&lt;=6,Assumptions!$B$14,Assumptions!$B$15)))</f>
        <v>100</v>
      </c>
      <c r="S895" s="8" t="n">
        <f aca="false">IF(N895="Completed On Time",Assumptions!$B$16,IF(N895="Completed Late",Assumptions!$B$17,Assumptions!$B$18))</f>
        <v>100</v>
      </c>
      <c r="T895" s="8" t="n">
        <f aca="false">IF(I895=0,Assumptions!$B$20,IF(H895&gt;I895,Assumptions!$B$19,IF(H895=I895,Assumptions!$B$20,Assumptions!$B$21)))</f>
        <v>70</v>
      </c>
      <c r="U895" s="8" t="n">
        <f aca="false">ROUND(P895*Assumptions!$B$2+Q895*Assumptions!$B$3+R895*Assumptions!$B$4+S895*Assumptions!$B$5+T895*Assumptions!$B$6,0)</f>
        <v>83</v>
      </c>
      <c r="V895" s="8" t="str">
        <f aca="false">IF(U895&gt;=Assumptions!$B$10,"Healthy",IF(U895&gt;=Assumptions!$B$11,"Needs Attention","High Risk"))</f>
        <v>Healthy</v>
      </c>
    </row>
    <row r="896" customFormat="false" ht="15" hidden="false" customHeight="false" outlineLevel="0" collapsed="false">
      <c r="A896" s="8" t="s">
        <v>1933</v>
      </c>
      <c r="B896" s="8" t="s">
        <v>1934</v>
      </c>
      <c r="C896" s="8" t="s">
        <v>51</v>
      </c>
      <c r="D896" s="8" t="s">
        <v>326</v>
      </c>
      <c r="E896" s="8" t="s">
        <v>117</v>
      </c>
      <c r="F896" s="8" t="s">
        <v>118</v>
      </c>
      <c r="G896" s="8" t="s">
        <v>180</v>
      </c>
      <c r="H896" s="15" t="n">
        <v>875</v>
      </c>
      <c r="I896" s="15" t="n">
        <v>650</v>
      </c>
      <c r="J896" s="16" t="n">
        <v>0.906</v>
      </c>
      <c r="K896" s="8" t="n">
        <v>10.3</v>
      </c>
      <c r="L896" s="8" t="n">
        <v>6</v>
      </c>
      <c r="M896" s="8" t="n">
        <v>2</v>
      </c>
      <c r="N896" s="8" t="s">
        <v>120</v>
      </c>
      <c r="O896" s="15" t="n">
        <f aca="false">H896*12</f>
        <v>10500</v>
      </c>
      <c r="P896" s="8" t="n">
        <f aca="false">MIN(100,ROUND(100*J896/Assumptions!$B$8,0))</f>
        <v>100</v>
      </c>
      <c r="Q896" s="8" t="n">
        <f aca="false">IF(L896="",Assumptions!$B$9,L896*10)</f>
        <v>60</v>
      </c>
      <c r="R896" s="8" t="n">
        <f aca="false">IF(M896&lt;=1,Assumptions!$B$12,IF(M896&lt;=3,Assumptions!$B$13,IF(M896&lt;=6,Assumptions!$B$14,Assumptions!$B$15)))</f>
        <v>75</v>
      </c>
      <c r="S896" s="8" t="n">
        <f aca="false">IF(N896="Completed On Time",Assumptions!$B$16,IF(N896="Completed Late",Assumptions!$B$17,Assumptions!$B$18))</f>
        <v>100</v>
      </c>
      <c r="T896" s="8" t="n">
        <f aca="false">IF(I896=0,Assumptions!$B$20,IF(H896&gt;I896,Assumptions!$B$19,IF(H896=I896,Assumptions!$B$20,Assumptions!$B$21)))</f>
        <v>100</v>
      </c>
      <c r="U896" s="8" t="n">
        <f aca="false">ROUND(P896*Assumptions!$B$2+Q896*Assumptions!$B$3+R896*Assumptions!$B$4+S896*Assumptions!$B$5+T896*Assumptions!$B$6,0)</f>
        <v>88</v>
      </c>
      <c r="V896" s="8" t="str">
        <f aca="false">IF(U896&gt;=Assumptions!$B$10,"Healthy",IF(U896&gt;=Assumptions!$B$11,"Needs Attention","High Risk"))</f>
        <v>Healthy</v>
      </c>
    </row>
    <row r="897" customFormat="false" ht="15" hidden="false" customHeight="false" outlineLevel="0" collapsed="false">
      <c r="A897" s="8" t="s">
        <v>1935</v>
      </c>
      <c r="B897" s="8" t="s">
        <v>1936</v>
      </c>
      <c r="C897" s="8" t="s">
        <v>51</v>
      </c>
      <c r="D897" s="8" t="s">
        <v>326</v>
      </c>
      <c r="E897" s="8" t="s">
        <v>132</v>
      </c>
      <c r="F897" s="8" t="s">
        <v>223</v>
      </c>
      <c r="G897" s="8" t="s">
        <v>129</v>
      </c>
      <c r="H897" s="15" t="n">
        <v>850</v>
      </c>
      <c r="I897" s="15" t="n">
        <v>775</v>
      </c>
      <c r="J897" s="16" t="n">
        <v>0.76</v>
      </c>
      <c r="K897" s="8" t="n">
        <v>9</v>
      </c>
      <c r="L897" s="8" t="n">
        <v>10</v>
      </c>
      <c r="M897" s="8" t="n">
        <v>2</v>
      </c>
      <c r="N897" s="8" t="s">
        <v>120</v>
      </c>
      <c r="O897" s="15" t="n">
        <f aca="false">H897*12</f>
        <v>10200</v>
      </c>
      <c r="P897" s="8" t="n">
        <f aca="false">MIN(100,ROUND(100*J897/Assumptions!$B$8,0))</f>
        <v>84</v>
      </c>
      <c r="Q897" s="8" t="n">
        <f aca="false">IF(L897="",Assumptions!$B$9,L897*10)</f>
        <v>100</v>
      </c>
      <c r="R897" s="8" t="n">
        <f aca="false">IF(M897&lt;=1,Assumptions!$B$12,IF(M897&lt;=3,Assumptions!$B$13,IF(M897&lt;=6,Assumptions!$B$14,Assumptions!$B$15)))</f>
        <v>75</v>
      </c>
      <c r="S897" s="8" t="n">
        <f aca="false">IF(N897="Completed On Time",Assumptions!$B$16,IF(N897="Completed Late",Assumptions!$B$17,Assumptions!$B$18))</f>
        <v>100</v>
      </c>
      <c r="T897" s="8" t="n">
        <f aca="false">IF(I897=0,Assumptions!$B$20,IF(H897&gt;I897,Assumptions!$B$19,IF(H897=I897,Assumptions!$B$20,Assumptions!$B$21)))</f>
        <v>100</v>
      </c>
      <c r="U897" s="8" t="n">
        <f aca="false">ROUND(P897*Assumptions!$B$2+Q897*Assumptions!$B$3+R897*Assumptions!$B$4+S897*Assumptions!$B$5+T897*Assumptions!$B$6,0)</f>
        <v>91</v>
      </c>
      <c r="V897" s="8" t="str">
        <f aca="false">IF(U897&gt;=Assumptions!$B$10,"Healthy",IF(U897&gt;=Assumptions!$B$11,"Needs Attention","High Risk"))</f>
        <v>Healthy</v>
      </c>
    </row>
    <row r="898" customFormat="false" ht="15" hidden="false" customHeight="false" outlineLevel="0" collapsed="false">
      <c r="A898" s="8" t="s">
        <v>1937</v>
      </c>
      <c r="B898" s="8" t="s">
        <v>1938</v>
      </c>
      <c r="C898" s="8" t="s">
        <v>51</v>
      </c>
      <c r="D898" s="8" t="s">
        <v>326</v>
      </c>
      <c r="E898" s="8" t="s">
        <v>117</v>
      </c>
      <c r="F898" s="8" t="s">
        <v>223</v>
      </c>
      <c r="G898" s="8" t="s">
        <v>159</v>
      </c>
      <c r="H898" s="15" t="n">
        <v>850</v>
      </c>
      <c r="I898" s="15" t="n">
        <v>850</v>
      </c>
      <c r="J898" s="16" t="n">
        <v>0.912</v>
      </c>
      <c r="K898" s="8" t="n">
        <v>11</v>
      </c>
      <c r="L898" s="8" t="n">
        <v>9</v>
      </c>
      <c r="M898" s="8" t="n">
        <v>1</v>
      </c>
      <c r="N898" s="8" t="s">
        <v>120</v>
      </c>
      <c r="O898" s="15" t="n">
        <f aca="false">H898*12</f>
        <v>10200</v>
      </c>
      <c r="P898" s="8" t="n">
        <f aca="false">MIN(100,ROUND(100*J898/Assumptions!$B$8,0))</f>
        <v>100</v>
      </c>
      <c r="Q898" s="8" t="n">
        <f aca="false">IF(L898="",Assumptions!$B$9,L898*10)</f>
        <v>90</v>
      </c>
      <c r="R898" s="8" t="n">
        <f aca="false">IF(M898&lt;=1,Assumptions!$B$12,IF(M898&lt;=3,Assumptions!$B$13,IF(M898&lt;=6,Assumptions!$B$14,Assumptions!$B$15)))</f>
        <v>100</v>
      </c>
      <c r="S898" s="8" t="n">
        <f aca="false">IF(N898="Completed On Time",Assumptions!$B$16,IF(N898="Completed Late",Assumptions!$B$17,Assumptions!$B$18))</f>
        <v>100</v>
      </c>
      <c r="T898" s="8" t="n">
        <f aca="false">IF(I898=0,Assumptions!$B$20,IF(H898&gt;I898,Assumptions!$B$19,IF(H898=I898,Assumptions!$B$20,Assumptions!$B$21)))</f>
        <v>70</v>
      </c>
      <c r="U898" s="8" t="n">
        <f aca="false">ROUND(P898*Assumptions!$B$2+Q898*Assumptions!$B$3+R898*Assumptions!$B$4+S898*Assumptions!$B$5+T898*Assumptions!$B$6,0)</f>
        <v>92</v>
      </c>
      <c r="V898" s="8" t="str">
        <f aca="false">IF(U898&gt;=Assumptions!$B$10,"Healthy",IF(U898&gt;=Assumptions!$B$11,"Needs Attention","High Risk"))</f>
        <v>Healthy</v>
      </c>
    </row>
    <row r="899" customFormat="false" ht="15" hidden="false" customHeight="false" outlineLevel="0" collapsed="false">
      <c r="A899" s="8" t="s">
        <v>1939</v>
      </c>
      <c r="B899" s="8" t="s">
        <v>1940</v>
      </c>
      <c r="C899" s="8" t="s">
        <v>51</v>
      </c>
      <c r="D899" s="8" t="s">
        <v>326</v>
      </c>
      <c r="E899" s="8" t="s">
        <v>132</v>
      </c>
      <c r="F899" s="8" t="s">
        <v>166</v>
      </c>
      <c r="G899" s="8" t="s">
        <v>177</v>
      </c>
      <c r="H899" s="15" t="n">
        <v>850</v>
      </c>
      <c r="I899" s="15" t="n">
        <v>850</v>
      </c>
      <c r="J899" s="16" t="n">
        <v>0.578</v>
      </c>
      <c r="K899" s="8" t="n">
        <v>7.7</v>
      </c>
      <c r="L899" s="8" t="n">
        <v>8</v>
      </c>
      <c r="M899" s="8" t="n">
        <v>3</v>
      </c>
      <c r="N899" s="8" t="s">
        <v>120</v>
      </c>
      <c r="O899" s="15" t="n">
        <f aca="false">H899*12</f>
        <v>10200</v>
      </c>
      <c r="P899" s="8" t="n">
        <f aca="false">MIN(100,ROUND(100*J899/Assumptions!$B$8,0))</f>
        <v>64</v>
      </c>
      <c r="Q899" s="8" t="n">
        <f aca="false">IF(L899="",Assumptions!$B$9,L899*10)</f>
        <v>80</v>
      </c>
      <c r="R899" s="8" t="n">
        <f aca="false">IF(M899&lt;=1,Assumptions!$B$12,IF(M899&lt;=3,Assumptions!$B$13,IF(M899&lt;=6,Assumptions!$B$14,Assumptions!$B$15)))</f>
        <v>75</v>
      </c>
      <c r="S899" s="8" t="n">
        <f aca="false">IF(N899="Completed On Time",Assumptions!$B$16,IF(N899="Completed Late",Assumptions!$B$17,Assumptions!$B$18))</f>
        <v>100</v>
      </c>
      <c r="T899" s="8" t="n">
        <f aca="false">IF(I899=0,Assumptions!$B$20,IF(H899&gt;I899,Assumptions!$B$19,IF(H899=I899,Assumptions!$B$20,Assumptions!$B$21)))</f>
        <v>70</v>
      </c>
      <c r="U899" s="8" t="n">
        <f aca="false">ROUND(P899*Assumptions!$B$2+Q899*Assumptions!$B$3+R899*Assumptions!$B$4+S899*Assumptions!$B$5+T899*Assumptions!$B$6,0)</f>
        <v>74</v>
      </c>
      <c r="V899" s="8" t="str">
        <f aca="false">IF(U899&gt;=Assumptions!$B$10,"Healthy",IF(U899&gt;=Assumptions!$B$11,"Needs Attention","High Risk"))</f>
        <v>Needs Attention</v>
      </c>
    </row>
    <row r="900" customFormat="false" ht="15" hidden="false" customHeight="false" outlineLevel="0" collapsed="false">
      <c r="A900" s="8" t="s">
        <v>1941</v>
      </c>
      <c r="B900" s="8" t="s">
        <v>1942</v>
      </c>
      <c r="C900" s="8" t="s">
        <v>53</v>
      </c>
      <c r="D900" s="8" t="s">
        <v>326</v>
      </c>
      <c r="E900" s="8" t="s">
        <v>123</v>
      </c>
      <c r="F900" s="8" t="s">
        <v>223</v>
      </c>
      <c r="G900" s="8" t="s">
        <v>137</v>
      </c>
      <c r="H900" s="15" t="n">
        <v>850</v>
      </c>
      <c r="I900" s="15" t="n">
        <v>850</v>
      </c>
      <c r="J900" s="16" t="n">
        <v>0.51</v>
      </c>
      <c r="K900" s="8" t="n">
        <v>5</v>
      </c>
      <c r="L900" s="8" t="n">
        <v>8</v>
      </c>
      <c r="M900" s="8" t="n">
        <v>7</v>
      </c>
      <c r="N900" s="8" t="s">
        <v>120</v>
      </c>
      <c r="O900" s="15" t="n">
        <f aca="false">H900*12</f>
        <v>10200</v>
      </c>
      <c r="P900" s="8" t="n">
        <f aca="false">MIN(100,ROUND(100*J900/Assumptions!$B$8,0))</f>
        <v>57</v>
      </c>
      <c r="Q900" s="8" t="n">
        <f aca="false">IF(L900="",Assumptions!$B$9,L900*10)</f>
        <v>80</v>
      </c>
      <c r="R900" s="8" t="n">
        <f aca="false">IF(M900&lt;=1,Assumptions!$B$12,IF(M900&lt;=3,Assumptions!$B$13,IF(M900&lt;=6,Assumptions!$B$14,Assumptions!$B$15)))</f>
        <v>20</v>
      </c>
      <c r="S900" s="8" t="n">
        <f aca="false">IF(N900="Completed On Time",Assumptions!$B$16,IF(N900="Completed Late",Assumptions!$B$17,Assumptions!$B$18))</f>
        <v>100</v>
      </c>
      <c r="T900" s="8" t="n">
        <f aca="false">IF(I900=0,Assumptions!$B$20,IF(H900&gt;I900,Assumptions!$B$19,IF(H900=I900,Assumptions!$B$20,Assumptions!$B$21)))</f>
        <v>70</v>
      </c>
      <c r="U900" s="8" t="n">
        <f aca="false">ROUND(P900*Assumptions!$B$2+Q900*Assumptions!$B$3+R900*Assumptions!$B$4+S900*Assumptions!$B$5+T900*Assumptions!$B$6,0)</f>
        <v>63</v>
      </c>
      <c r="V900" s="8" t="str">
        <f aca="false">IF(U900&gt;=Assumptions!$B$10,"Healthy",IF(U900&gt;=Assumptions!$B$11,"Needs Attention","High Risk"))</f>
        <v>High Risk</v>
      </c>
    </row>
    <row r="901" customFormat="false" ht="15" hidden="false" customHeight="false" outlineLevel="0" collapsed="false">
      <c r="A901" s="8" t="s">
        <v>1943</v>
      </c>
      <c r="B901" s="8" t="s">
        <v>1944</v>
      </c>
      <c r="C901" s="8" t="s">
        <v>51</v>
      </c>
      <c r="D901" s="8" t="s">
        <v>326</v>
      </c>
      <c r="E901" s="8" t="s">
        <v>132</v>
      </c>
      <c r="F901" s="8" t="s">
        <v>154</v>
      </c>
      <c r="G901" s="8" t="s">
        <v>140</v>
      </c>
      <c r="H901" s="15" t="n">
        <v>850</v>
      </c>
      <c r="I901" s="15" t="n">
        <v>850</v>
      </c>
      <c r="J901" s="16" t="n">
        <v>0.765</v>
      </c>
      <c r="K901" s="8" t="n">
        <v>10.7</v>
      </c>
      <c r="L901" s="8" t="n">
        <v>9</v>
      </c>
      <c r="M901" s="8" t="n">
        <v>4</v>
      </c>
      <c r="N901" s="8" t="s">
        <v>120</v>
      </c>
      <c r="O901" s="15" t="n">
        <f aca="false">H901*12</f>
        <v>10200</v>
      </c>
      <c r="P901" s="8" t="n">
        <f aca="false">MIN(100,ROUND(100*J901/Assumptions!$B$8,0))</f>
        <v>85</v>
      </c>
      <c r="Q901" s="8" t="n">
        <f aca="false">IF(L901="",Assumptions!$B$9,L901*10)</f>
        <v>90</v>
      </c>
      <c r="R901" s="8" t="n">
        <f aca="false">IF(M901&lt;=1,Assumptions!$B$12,IF(M901&lt;=3,Assumptions!$B$13,IF(M901&lt;=6,Assumptions!$B$14,Assumptions!$B$15)))</f>
        <v>50</v>
      </c>
      <c r="S901" s="8" t="n">
        <f aca="false">IF(N901="Completed On Time",Assumptions!$B$16,IF(N901="Completed Late",Assumptions!$B$17,Assumptions!$B$18))</f>
        <v>100</v>
      </c>
      <c r="T901" s="8" t="n">
        <f aca="false">IF(I901=0,Assumptions!$B$20,IF(H901&gt;I901,Assumptions!$B$19,IF(H901=I901,Assumptions!$B$20,Assumptions!$B$21)))</f>
        <v>70</v>
      </c>
      <c r="U901" s="8" t="n">
        <f aca="false">ROUND(P901*Assumptions!$B$2+Q901*Assumptions!$B$3+R901*Assumptions!$B$4+S901*Assumptions!$B$5+T901*Assumptions!$B$6,0)</f>
        <v>79</v>
      </c>
      <c r="V901" s="8" t="str">
        <f aca="false">IF(U901&gt;=Assumptions!$B$10,"Healthy",IF(U901&gt;=Assumptions!$B$11,"Needs Attention","High Risk"))</f>
        <v>Needs Attention</v>
      </c>
    </row>
    <row r="902" customFormat="false" ht="15" hidden="false" customHeight="false" outlineLevel="0" collapsed="false">
      <c r="A902" s="8" t="s">
        <v>1945</v>
      </c>
      <c r="B902" s="8" t="s">
        <v>1946</v>
      </c>
      <c r="C902" s="8" t="s">
        <v>51</v>
      </c>
      <c r="D902" s="8" t="s">
        <v>326</v>
      </c>
      <c r="E902" s="8" t="s">
        <v>117</v>
      </c>
      <c r="F902" s="8" t="s">
        <v>166</v>
      </c>
      <c r="G902" s="8" t="s">
        <v>147</v>
      </c>
      <c r="H902" s="15" t="n">
        <v>850</v>
      </c>
      <c r="I902" s="15" t="n">
        <v>850</v>
      </c>
      <c r="J902" s="16" t="n">
        <v>0.676</v>
      </c>
      <c r="K902" s="8" t="n">
        <v>9.7</v>
      </c>
      <c r="L902" s="8" t="n">
        <v>9</v>
      </c>
      <c r="M902" s="8" t="n">
        <v>3</v>
      </c>
      <c r="N902" s="8" t="s">
        <v>120</v>
      </c>
      <c r="O902" s="15" t="n">
        <f aca="false">H902*12</f>
        <v>10200</v>
      </c>
      <c r="P902" s="8" t="n">
        <f aca="false">MIN(100,ROUND(100*J902/Assumptions!$B$8,0))</f>
        <v>75</v>
      </c>
      <c r="Q902" s="8" t="n">
        <f aca="false">IF(L902="",Assumptions!$B$9,L902*10)</f>
        <v>90</v>
      </c>
      <c r="R902" s="8" t="n">
        <f aca="false">IF(M902&lt;=1,Assumptions!$B$12,IF(M902&lt;=3,Assumptions!$B$13,IF(M902&lt;=6,Assumptions!$B$14,Assumptions!$B$15)))</f>
        <v>75</v>
      </c>
      <c r="S902" s="8" t="n">
        <f aca="false">IF(N902="Completed On Time",Assumptions!$B$16,IF(N902="Completed Late",Assumptions!$B$17,Assumptions!$B$18))</f>
        <v>100</v>
      </c>
      <c r="T902" s="8" t="n">
        <f aca="false">IF(I902=0,Assumptions!$B$20,IF(H902&gt;I902,Assumptions!$B$19,IF(H902=I902,Assumptions!$B$20,Assumptions!$B$21)))</f>
        <v>70</v>
      </c>
      <c r="U902" s="8" t="n">
        <f aca="false">ROUND(P902*Assumptions!$B$2+Q902*Assumptions!$B$3+R902*Assumptions!$B$4+S902*Assumptions!$B$5+T902*Assumptions!$B$6,0)</f>
        <v>80</v>
      </c>
      <c r="V902" s="8" t="str">
        <f aca="false">IF(U902&gt;=Assumptions!$B$10,"Healthy",IF(U902&gt;=Assumptions!$B$11,"Needs Attention","High Risk"))</f>
        <v>Healthy</v>
      </c>
    </row>
    <row r="903" customFormat="false" ht="15" hidden="false" customHeight="false" outlineLevel="0" collapsed="false">
      <c r="A903" s="8" t="s">
        <v>1947</v>
      </c>
      <c r="B903" s="8" t="s">
        <v>1948</v>
      </c>
      <c r="C903" s="8" t="s">
        <v>51</v>
      </c>
      <c r="D903" s="8" t="s">
        <v>326</v>
      </c>
      <c r="E903" s="8" t="s">
        <v>123</v>
      </c>
      <c r="F903" s="8" t="s">
        <v>133</v>
      </c>
      <c r="G903" s="8" t="s">
        <v>204</v>
      </c>
      <c r="H903" s="15" t="n">
        <v>850</v>
      </c>
      <c r="I903" s="15" t="n">
        <v>850</v>
      </c>
      <c r="J903" s="16" t="n">
        <v>0.676</v>
      </c>
      <c r="K903" s="8" t="n">
        <v>8</v>
      </c>
      <c r="L903" s="8" t="n">
        <v>6</v>
      </c>
      <c r="M903" s="8" t="n">
        <v>2</v>
      </c>
      <c r="N903" s="8" t="s">
        <v>120</v>
      </c>
      <c r="O903" s="15" t="n">
        <f aca="false">H903*12</f>
        <v>10200</v>
      </c>
      <c r="P903" s="8" t="n">
        <f aca="false">MIN(100,ROUND(100*J903/Assumptions!$B$8,0))</f>
        <v>75</v>
      </c>
      <c r="Q903" s="8" t="n">
        <f aca="false">IF(L903="",Assumptions!$B$9,L903*10)</f>
        <v>60</v>
      </c>
      <c r="R903" s="8" t="n">
        <f aca="false">IF(M903&lt;=1,Assumptions!$B$12,IF(M903&lt;=3,Assumptions!$B$13,IF(M903&lt;=6,Assumptions!$B$14,Assumptions!$B$15)))</f>
        <v>75</v>
      </c>
      <c r="S903" s="8" t="n">
        <f aca="false">IF(N903="Completed On Time",Assumptions!$B$16,IF(N903="Completed Late",Assumptions!$B$17,Assumptions!$B$18))</f>
        <v>100</v>
      </c>
      <c r="T903" s="8" t="n">
        <f aca="false">IF(I903=0,Assumptions!$B$20,IF(H903&gt;I903,Assumptions!$B$19,IF(H903=I903,Assumptions!$B$20,Assumptions!$B$21)))</f>
        <v>70</v>
      </c>
      <c r="U903" s="8" t="n">
        <f aca="false">ROUND(P903*Assumptions!$B$2+Q903*Assumptions!$B$3+R903*Assumptions!$B$4+S903*Assumptions!$B$5+T903*Assumptions!$B$6,0)</f>
        <v>74</v>
      </c>
      <c r="V903" s="8" t="str">
        <f aca="false">IF(U903&gt;=Assumptions!$B$10,"Healthy",IF(U903&gt;=Assumptions!$B$11,"Needs Attention","High Risk"))</f>
        <v>Needs Attention</v>
      </c>
    </row>
    <row r="904" customFormat="false" ht="15" hidden="false" customHeight="false" outlineLevel="0" collapsed="false">
      <c r="A904" s="8" t="s">
        <v>1949</v>
      </c>
      <c r="B904" s="8" t="s">
        <v>1950</v>
      </c>
      <c r="C904" s="8" t="s">
        <v>51</v>
      </c>
      <c r="D904" s="8" t="s">
        <v>326</v>
      </c>
      <c r="E904" s="8" t="s">
        <v>123</v>
      </c>
      <c r="F904" s="8" t="s">
        <v>151</v>
      </c>
      <c r="G904" s="8" t="s">
        <v>180</v>
      </c>
      <c r="H904" s="15" t="n">
        <v>850</v>
      </c>
      <c r="I904" s="15" t="n">
        <v>850</v>
      </c>
      <c r="J904" s="16" t="n">
        <v>0.882</v>
      </c>
      <c r="K904" s="8" t="n">
        <v>10.7</v>
      </c>
      <c r="L904" s="8" t="n">
        <v>9</v>
      </c>
      <c r="M904" s="8" t="n">
        <v>2</v>
      </c>
      <c r="N904" s="8" t="s">
        <v>120</v>
      </c>
      <c r="O904" s="15" t="n">
        <f aca="false">H904*12</f>
        <v>10200</v>
      </c>
      <c r="P904" s="8" t="n">
        <f aca="false">MIN(100,ROUND(100*J904/Assumptions!$B$8,0))</f>
        <v>98</v>
      </c>
      <c r="Q904" s="8" t="n">
        <f aca="false">IF(L904="",Assumptions!$B$9,L904*10)</f>
        <v>90</v>
      </c>
      <c r="R904" s="8" t="n">
        <f aca="false">IF(M904&lt;=1,Assumptions!$B$12,IF(M904&lt;=3,Assumptions!$B$13,IF(M904&lt;=6,Assumptions!$B$14,Assumptions!$B$15)))</f>
        <v>75</v>
      </c>
      <c r="S904" s="8" t="n">
        <f aca="false">IF(N904="Completed On Time",Assumptions!$B$16,IF(N904="Completed Late",Assumptions!$B$17,Assumptions!$B$18))</f>
        <v>100</v>
      </c>
      <c r="T904" s="8" t="n">
        <f aca="false">IF(I904=0,Assumptions!$B$20,IF(H904&gt;I904,Assumptions!$B$19,IF(H904=I904,Assumptions!$B$20,Assumptions!$B$21)))</f>
        <v>70</v>
      </c>
      <c r="U904" s="8" t="n">
        <f aca="false">ROUND(P904*Assumptions!$B$2+Q904*Assumptions!$B$3+R904*Assumptions!$B$4+S904*Assumptions!$B$5+T904*Assumptions!$B$6,0)</f>
        <v>88</v>
      </c>
      <c r="V904" s="8" t="str">
        <f aca="false">IF(U904&gt;=Assumptions!$B$10,"Healthy",IF(U904&gt;=Assumptions!$B$11,"Needs Attention","High Risk"))</f>
        <v>Healthy</v>
      </c>
    </row>
    <row r="905" customFormat="false" ht="15" hidden="false" customHeight="false" outlineLevel="0" collapsed="false">
      <c r="A905" s="8" t="s">
        <v>1951</v>
      </c>
      <c r="B905" s="8" t="s">
        <v>1952</v>
      </c>
      <c r="C905" s="8" t="s">
        <v>51</v>
      </c>
      <c r="D905" s="8" t="s">
        <v>326</v>
      </c>
      <c r="E905" s="8" t="s">
        <v>132</v>
      </c>
      <c r="F905" s="8" t="s">
        <v>133</v>
      </c>
      <c r="G905" s="8" t="s">
        <v>125</v>
      </c>
      <c r="H905" s="15" t="n">
        <v>850</v>
      </c>
      <c r="I905" s="15" t="n">
        <v>850</v>
      </c>
      <c r="J905" s="16" t="n">
        <v>0.824</v>
      </c>
      <c r="K905" s="8" t="n">
        <v>9</v>
      </c>
      <c r="L905" s="8" t="n">
        <v>8</v>
      </c>
      <c r="M905" s="8" t="n">
        <v>0</v>
      </c>
      <c r="N905" s="8" t="s">
        <v>120</v>
      </c>
      <c r="O905" s="15" t="n">
        <f aca="false">H905*12</f>
        <v>10200</v>
      </c>
      <c r="P905" s="8" t="n">
        <f aca="false">MIN(100,ROUND(100*J905/Assumptions!$B$8,0))</f>
        <v>92</v>
      </c>
      <c r="Q905" s="8" t="n">
        <f aca="false">IF(L905="",Assumptions!$B$9,L905*10)</f>
        <v>80</v>
      </c>
      <c r="R905" s="8" t="n">
        <f aca="false">IF(M905&lt;=1,Assumptions!$B$12,IF(M905&lt;=3,Assumptions!$B$13,IF(M905&lt;=6,Assumptions!$B$14,Assumptions!$B$15)))</f>
        <v>100</v>
      </c>
      <c r="S905" s="8" t="n">
        <f aca="false">IF(N905="Completed On Time",Assumptions!$B$16,IF(N905="Completed Late",Assumptions!$B$17,Assumptions!$B$18))</f>
        <v>100</v>
      </c>
      <c r="T905" s="8" t="n">
        <f aca="false">IF(I905=0,Assumptions!$B$20,IF(H905&gt;I905,Assumptions!$B$19,IF(H905=I905,Assumptions!$B$20,Assumptions!$B$21)))</f>
        <v>70</v>
      </c>
      <c r="U905" s="8" t="n">
        <f aca="false">ROUND(P905*Assumptions!$B$2+Q905*Assumptions!$B$3+R905*Assumptions!$B$4+S905*Assumptions!$B$5+T905*Assumptions!$B$6,0)</f>
        <v>87</v>
      </c>
      <c r="V905" s="8" t="str">
        <f aca="false">IF(U905&gt;=Assumptions!$B$10,"Healthy",IF(U905&gt;=Assumptions!$B$11,"Needs Attention","High Risk"))</f>
        <v>Healthy</v>
      </c>
    </row>
    <row r="906" customFormat="false" ht="15" hidden="false" customHeight="false" outlineLevel="0" collapsed="false">
      <c r="A906" s="8" t="s">
        <v>1953</v>
      </c>
      <c r="B906" s="8" t="s">
        <v>1954</v>
      </c>
      <c r="C906" s="8" t="s">
        <v>51</v>
      </c>
      <c r="D906" s="8" t="s">
        <v>326</v>
      </c>
      <c r="E906" s="8" t="s">
        <v>132</v>
      </c>
      <c r="F906" s="8" t="s">
        <v>151</v>
      </c>
      <c r="G906" s="8" t="s">
        <v>125</v>
      </c>
      <c r="H906" s="15" t="n">
        <v>850</v>
      </c>
      <c r="I906" s="15" t="n">
        <v>850</v>
      </c>
      <c r="J906" s="16" t="n">
        <v>0.794</v>
      </c>
      <c r="K906" s="8" t="n">
        <v>11.3</v>
      </c>
      <c r="L906" s="8" t="n">
        <v>7</v>
      </c>
      <c r="M906" s="8" t="n">
        <v>1</v>
      </c>
      <c r="N906" s="8" t="s">
        <v>120</v>
      </c>
      <c r="O906" s="15" t="n">
        <f aca="false">H906*12</f>
        <v>10200</v>
      </c>
      <c r="P906" s="8" t="n">
        <f aca="false">MIN(100,ROUND(100*J906/Assumptions!$B$8,0))</f>
        <v>88</v>
      </c>
      <c r="Q906" s="8" t="n">
        <f aca="false">IF(L906="",Assumptions!$B$9,L906*10)</f>
        <v>70</v>
      </c>
      <c r="R906" s="8" t="n">
        <f aca="false">IF(M906&lt;=1,Assumptions!$B$12,IF(M906&lt;=3,Assumptions!$B$13,IF(M906&lt;=6,Assumptions!$B$14,Assumptions!$B$15)))</f>
        <v>100</v>
      </c>
      <c r="S906" s="8" t="n">
        <f aca="false">IF(N906="Completed On Time",Assumptions!$B$16,IF(N906="Completed Late",Assumptions!$B$17,Assumptions!$B$18))</f>
        <v>100</v>
      </c>
      <c r="T906" s="8" t="n">
        <f aca="false">IF(I906=0,Assumptions!$B$20,IF(H906&gt;I906,Assumptions!$B$19,IF(H906=I906,Assumptions!$B$20,Assumptions!$B$21)))</f>
        <v>70</v>
      </c>
      <c r="U906" s="8" t="n">
        <f aca="false">ROUND(P906*Assumptions!$B$2+Q906*Assumptions!$B$3+R906*Assumptions!$B$4+S906*Assumptions!$B$5+T906*Assumptions!$B$6,0)</f>
        <v>84</v>
      </c>
      <c r="V906" s="8" t="str">
        <f aca="false">IF(U906&gt;=Assumptions!$B$10,"Healthy",IF(U906&gt;=Assumptions!$B$11,"Needs Attention","High Risk"))</f>
        <v>Healthy</v>
      </c>
    </row>
    <row r="907" customFormat="false" ht="15" hidden="false" customHeight="false" outlineLevel="0" collapsed="false">
      <c r="A907" s="8" t="s">
        <v>1955</v>
      </c>
      <c r="B907" s="8" t="s">
        <v>1956</v>
      </c>
      <c r="C907" s="8" t="s">
        <v>53</v>
      </c>
      <c r="D907" s="8" t="s">
        <v>326</v>
      </c>
      <c r="E907" s="8" t="s">
        <v>123</v>
      </c>
      <c r="F907" s="8" t="s">
        <v>124</v>
      </c>
      <c r="G907" s="8" t="s">
        <v>180</v>
      </c>
      <c r="H907" s="15" t="n">
        <v>850</v>
      </c>
      <c r="I907" s="15" t="n">
        <v>1125</v>
      </c>
      <c r="J907" s="16" t="n">
        <v>0.873</v>
      </c>
      <c r="K907" s="8" t="n">
        <v>9</v>
      </c>
      <c r="L907" s="8" t="n">
        <v>8</v>
      </c>
      <c r="M907" s="8" t="n">
        <v>0</v>
      </c>
      <c r="N907" s="8" t="s">
        <v>120</v>
      </c>
      <c r="O907" s="15" t="n">
        <f aca="false">H907*12</f>
        <v>10200</v>
      </c>
      <c r="P907" s="8" t="n">
        <f aca="false">MIN(100,ROUND(100*J907/Assumptions!$B$8,0))</f>
        <v>97</v>
      </c>
      <c r="Q907" s="8" t="n">
        <f aca="false">IF(L907="",Assumptions!$B$9,L907*10)</f>
        <v>80</v>
      </c>
      <c r="R907" s="8" t="n">
        <f aca="false">IF(M907&lt;=1,Assumptions!$B$12,IF(M907&lt;=3,Assumptions!$B$13,IF(M907&lt;=6,Assumptions!$B$14,Assumptions!$B$15)))</f>
        <v>100</v>
      </c>
      <c r="S907" s="8" t="n">
        <f aca="false">IF(N907="Completed On Time",Assumptions!$B$16,IF(N907="Completed Late",Assumptions!$B$17,Assumptions!$B$18))</f>
        <v>100</v>
      </c>
      <c r="T907" s="8" t="n">
        <f aca="false">IF(I907=0,Assumptions!$B$20,IF(H907&gt;I907,Assumptions!$B$19,IF(H907=I907,Assumptions!$B$20,Assumptions!$B$21)))</f>
        <v>30</v>
      </c>
      <c r="U907" s="8" t="n">
        <f aca="false">ROUND(P907*Assumptions!$B$2+Q907*Assumptions!$B$3+R907*Assumptions!$B$4+S907*Assumptions!$B$5+T907*Assumptions!$B$6,0)</f>
        <v>81</v>
      </c>
      <c r="V907" s="8" t="str">
        <f aca="false">IF(U907&gt;=Assumptions!$B$10,"Healthy",IF(U907&gt;=Assumptions!$B$11,"Needs Attention","High Risk"))</f>
        <v>Healthy</v>
      </c>
    </row>
    <row r="908" customFormat="false" ht="15" hidden="false" customHeight="false" outlineLevel="0" collapsed="false">
      <c r="A908" s="8" t="s">
        <v>1957</v>
      </c>
      <c r="B908" s="8" t="s">
        <v>1958</v>
      </c>
      <c r="C908" s="8" t="s">
        <v>51</v>
      </c>
      <c r="D908" s="8" t="s">
        <v>326</v>
      </c>
      <c r="E908" s="8" t="s">
        <v>132</v>
      </c>
      <c r="F908" s="8" t="s">
        <v>151</v>
      </c>
      <c r="G908" s="8" t="s">
        <v>185</v>
      </c>
      <c r="H908" s="15" t="n">
        <v>850</v>
      </c>
      <c r="I908" s="15" t="n">
        <v>750</v>
      </c>
      <c r="J908" s="16" t="n">
        <v>0.798</v>
      </c>
      <c r="K908" s="8" t="n">
        <v>9</v>
      </c>
      <c r="L908" s="8" t="n">
        <v>6</v>
      </c>
      <c r="M908" s="8" t="n">
        <v>4</v>
      </c>
      <c r="N908" s="8" t="s">
        <v>120</v>
      </c>
      <c r="O908" s="15" t="n">
        <f aca="false">H908*12</f>
        <v>10200</v>
      </c>
      <c r="P908" s="8" t="n">
        <f aca="false">MIN(100,ROUND(100*J908/Assumptions!$B$8,0))</f>
        <v>89</v>
      </c>
      <c r="Q908" s="8" t="n">
        <f aca="false">IF(L908="",Assumptions!$B$9,L908*10)</f>
        <v>60</v>
      </c>
      <c r="R908" s="8" t="n">
        <f aca="false">IF(M908&lt;=1,Assumptions!$B$12,IF(M908&lt;=3,Assumptions!$B$13,IF(M908&lt;=6,Assumptions!$B$14,Assumptions!$B$15)))</f>
        <v>50</v>
      </c>
      <c r="S908" s="8" t="n">
        <f aca="false">IF(N908="Completed On Time",Assumptions!$B$16,IF(N908="Completed Late",Assumptions!$B$17,Assumptions!$B$18))</f>
        <v>100</v>
      </c>
      <c r="T908" s="8" t="n">
        <f aca="false">IF(I908=0,Assumptions!$B$20,IF(H908&gt;I908,Assumptions!$B$19,IF(H908=I908,Assumptions!$B$20,Assumptions!$B$21)))</f>
        <v>100</v>
      </c>
      <c r="U908" s="8" t="n">
        <f aca="false">ROUND(P908*Assumptions!$B$2+Q908*Assumptions!$B$3+R908*Assumptions!$B$4+S908*Assumptions!$B$5+T908*Assumptions!$B$6,0)</f>
        <v>81</v>
      </c>
      <c r="V908" s="8" t="str">
        <f aca="false">IF(U908&gt;=Assumptions!$B$10,"Healthy",IF(U908&gt;=Assumptions!$B$11,"Needs Attention","High Risk"))</f>
        <v>Healthy</v>
      </c>
    </row>
    <row r="909" customFormat="false" ht="15" hidden="false" customHeight="false" outlineLevel="0" collapsed="false">
      <c r="A909" s="8" t="s">
        <v>1959</v>
      </c>
      <c r="B909" s="8" t="s">
        <v>1960</v>
      </c>
      <c r="C909" s="8" t="s">
        <v>51</v>
      </c>
      <c r="D909" s="8" t="s">
        <v>326</v>
      </c>
      <c r="E909" s="8" t="s">
        <v>123</v>
      </c>
      <c r="F909" s="8" t="s">
        <v>124</v>
      </c>
      <c r="G909" s="8" t="s">
        <v>177</v>
      </c>
      <c r="H909" s="15" t="n">
        <v>850</v>
      </c>
      <c r="I909" s="15" t="n">
        <v>850</v>
      </c>
      <c r="J909" s="16" t="n">
        <v>0.657</v>
      </c>
      <c r="K909" s="8" t="n">
        <v>10</v>
      </c>
      <c r="L909" s="8" t="n">
        <v>9</v>
      </c>
      <c r="M909" s="8" t="n">
        <v>2</v>
      </c>
      <c r="N909" s="8" t="s">
        <v>120</v>
      </c>
      <c r="O909" s="15" t="n">
        <f aca="false">H909*12</f>
        <v>10200</v>
      </c>
      <c r="P909" s="8" t="n">
        <f aca="false">MIN(100,ROUND(100*J909/Assumptions!$B$8,0))</f>
        <v>73</v>
      </c>
      <c r="Q909" s="8" t="n">
        <f aca="false">IF(L909="",Assumptions!$B$9,L909*10)</f>
        <v>90</v>
      </c>
      <c r="R909" s="8" t="n">
        <f aca="false">IF(M909&lt;=1,Assumptions!$B$12,IF(M909&lt;=3,Assumptions!$B$13,IF(M909&lt;=6,Assumptions!$B$14,Assumptions!$B$15)))</f>
        <v>75</v>
      </c>
      <c r="S909" s="8" t="n">
        <f aca="false">IF(N909="Completed On Time",Assumptions!$B$16,IF(N909="Completed Late",Assumptions!$B$17,Assumptions!$B$18))</f>
        <v>100</v>
      </c>
      <c r="T909" s="8" t="n">
        <f aca="false">IF(I909=0,Assumptions!$B$20,IF(H909&gt;I909,Assumptions!$B$19,IF(H909=I909,Assumptions!$B$20,Assumptions!$B$21)))</f>
        <v>70</v>
      </c>
      <c r="U909" s="8" t="n">
        <f aca="false">ROUND(P909*Assumptions!$B$2+Q909*Assumptions!$B$3+R909*Assumptions!$B$4+S909*Assumptions!$B$5+T909*Assumptions!$B$6,0)</f>
        <v>79</v>
      </c>
      <c r="V909" s="8" t="str">
        <f aca="false">IF(U909&gt;=Assumptions!$B$10,"Healthy",IF(U909&gt;=Assumptions!$B$11,"Needs Attention","High Risk"))</f>
        <v>Needs Attention</v>
      </c>
    </row>
    <row r="910" customFormat="false" ht="15" hidden="false" customHeight="false" outlineLevel="0" collapsed="false">
      <c r="A910" s="8" t="s">
        <v>1961</v>
      </c>
      <c r="B910" s="8" t="s">
        <v>1962</v>
      </c>
      <c r="C910" s="8" t="s">
        <v>51</v>
      </c>
      <c r="D910" s="8" t="s">
        <v>326</v>
      </c>
      <c r="E910" s="8" t="s">
        <v>132</v>
      </c>
      <c r="F910" s="8" t="s">
        <v>143</v>
      </c>
      <c r="G910" s="8" t="s">
        <v>159</v>
      </c>
      <c r="H910" s="15" t="n">
        <v>850</v>
      </c>
      <c r="I910" s="15" t="n">
        <v>850</v>
      </c>
      <c r="J910" s="16" t="n">
        <v>0.735</v>
      </c>
      <c r="K910" s="8" t="n">
        <v>8.7</v>
      </c>
      <c r="L910" s="8" t="n">
        <v>5</v>
      </c>
      <c r="M910" s="8" t="n">
        <v>4</v>
      </c>
      <c r="N910" s="8" t="s">
        <v>120</v>
      </c>
      <c r="O910" s="15" t="n">
        <f aca="false">H910*12</f>
        <v>10200</v>
      </c>
      <c r="P910" s="8" t="n">
        <f aca="false">MIN(100,ROUND(100*J910/Assumptions!$B$8,0))</f>
        <v>82</v>
      </c>
      <c r="Q910" s="8" t="n">
        <f aca="false">IF(L910="",Assumptions!$B$9,L910*10)</f>
        <v>50</v>
      </c>
      <c r="R910" s="8" t="n">
        <f aca="false">IF(M910&lt;=1,Assumptions!$B$12,IF(M910&lt;=3,Assumptions!$B$13,IF(M910&lt;=6,Assumptions!$B$14,Assumptions!$B$15)))</f>
        <v>50</v>
      </c>
      <c r="S910" s="8" t="n">
        <f aca="false">IF(N910="Completed On Time",Assumptions!$B$16,IF(N910="Completed Late",Assumptions!$B$17,Assumptions!$B$18))</f>
        <v>100</v>
      </c>
      <c r="T910" s="8" t="n">
        <f aca="false">IF(I910=0,Assumptions!$B$20,IF(H910&gt;I910,Assumptions!$B$19,IF(H910=I910,Assumptions!$B$20,Assumptions!$B$21)))</f>
        <v>70</v>
      </c>
      <c r="U910" s="8" t="n">
        <f aca="false">ROUND(P910*Assumptions!$B$2+Q910*Assumptions!$B$3+R910*Assumptions!$B$4+S910*Assumptions!$B$5+T910*Assumptions!$B$6,0)</f>
        <v>70</v>
      </c>
      <c r="V910" s="8" t="str">
        <f aca="false">IF(U910&gt;=Assumptions!$B$10,"Healthy",IF(U910&gt;=Assumptions!$B$11,"Needs Attention","High Risk"))</f>
        <v>Needs Attention</v>
      </c>
    </row>
    <row r="911" customFormat="false" ht="15" hidden="false" customHeight="false" outlineLevel="0" collapsed="false">
      <c r="A911" s="8" t="s">
        <v>1963</v>
      </c>
      <c r="B911" s="8" t="s">
        <v>1964</v>
      </c>
      <c r="C911" s="8" t="s">
        <v>51</v>
      </c>
      <c r="D911" s="8" t="s">
        <v>326</v>
      </c>
      <c r="E911" s="8" t="s">
        <v>123</v>
      </c>
      <c r="F911" s="8" t="s">
        <v>223</v>
      </c>
      <c r="G911" s="8" t="s">
        <v>180</v>
      </c>
      <c r="H911" s="15" t="n">
        <v>850</v>
      </c>
      <c r="I911" s="15" t="n">
        <v>850</v>
      </c>
      <c r="J911" s="16" t="n">
        <v>0.539</v>
      </c>
      <c r="K911" s="8" t="n">
        <v>4.3</v>
      </c>
      <c r="L911" s="8" t="n">
        <v>7</v>
      </c>
      <c r="M911" s="8" t="n">
        <v>6</v>
      </c>
      <c r="N911" s="8" t="s">
        <v>120</v>
      </c>
      <c r="O911" s="15" t="n">
        <f aca="false">H911*12</f>
        <v>10200</v>
      </c>
      <c r="P911" s="8" t="n">
        <f aca="false">MIN(100,ROUND(100*J911/Assumptions!$B$8,0))</f>
        <v>60</v>
      </c>
      <c r="Q911" s="8" t="n">
        <f aca="false">IF(L911="",Assumptions!$B$9,L911*10)</f>
        <v>70</v>
      </c>
      <c r="R911" s="8" t="n">
        <f aca="false">IF(M911&lt;=1,Assumptions!$B$12,IF(M911&lt;=3,Assumptions!$B$13,IF(M911&lt;=6,Assumptions!$B$14,Assumptions!$B$15)))</f>
        <v>50</v>
      </c>
      <c r="S911" s="8" t="n">
        <f aca="false">IF(N911="Completed On Time",Assumptions!$B$16,IF(N911="Completed Late",Assumptions!$B$17,Assumptions!$B$18))</f>
        <v>100</v>
      </c>
      <c r="T911" s="8" t="n">
        <f aca="false">IF(I911=0,Assumptions!$B$20,IF(H911&gt;I911,Assumptions!$B$19,IF(H911=I911,Assumptions!$B$20,Assumptions!$B$21)))</f>
        <v>70</v>
      </c>
      <c r="U911" s="8" t="n">
        <f aca="false">ROUND(P911*Assumptions!$B$2+Q911*Assumptions!$B$3+R911*Assumptions!$B$4+S911*Assumptions!$B$5+T911*Assumptions!$B$6,0)</f>
        <v>67</v>
      </c>
      <c r="V911" s="8" t="str">
        <f aca="false">IF(U911&gt;=Assumptions!$B$10,"Healthy",IF(U911&gt;=Assumptions!$B$11,"Needs Attention","High Risk"))</f>
        <v>Needs Attention</v>
      </c>
    </row>
    <row r="912" customFormat="false" ht="15" hidden="false" customHeight="false" outlineLevel="0" collapsed="false">
      <c r="A912" s="8" t="s">
        <v>1965</v>
      </c>
      <c r="B912" s="8" t="s">
        <v>1966</v>
      </c>
      <c r="C912" s="8" t="s">
        <v>51</v>
      </c>
      <c r="D912" s="8" t="s">
        <v>326</v>
      </c>
      <c r="E912" s="8" t="s">
        <v>123</v>
      </c>
      <c r="F912" s="8" t="s">
        <v>190</v>
      </c>
      <c r="G912" s="8" t="s">
        <v>125</v>
      </c>
      <c r="H912" s="15" t="n">
        <v>825</v>
      </c>
      <c r="I912" s="15" t="n">
        <v>825</v>
      </c>
      <c r="J912" s="16" t="n">
        <v>0.798</v>
      </c>
      <c r="K912" s="8" t="n">
        <v>8.7</v>
      </c>
      <c r="L912" s="8" t="n">
        <v>9</v>
      </c>
      <c r="M912" s="8" t="n">
        <v>3</v>
      </c>
      <c r="N912" s="8" t="s">
        <v>120</v>
      </c>
      <c r="O912" s="15" t="n">
        <f aca="false">H912*12</f>
        <v>9900</v>
      </c>
      <c r="P912" s="8" t="n">
        <f aca="false">MIN(100,ROUND(100*J912/Assumptions!$B$8,0))</f>
        <v>89</v>
      </c>
      <c r="Q912" s="8" t="n">
        <f aca="false">IF(L912="",Assumptions!$B$9,L912*10)</f>
        <v>90</v>
      </c>
      <c r="R912" s="8" t="n">
        <f aca="false">IF(M912&lt;=1,Assumptions!$B$12,IF(M912&lt;=3,Assumptions!$B$13,IF(M912&lt;=6,Assumptions!$B$14,Assumptions!$B$15)))</f>
        <v>75</v>
      </c>
      <c r="S912" s="8" t="n">
        <f aca="false">IF(N912="Completed On Time",Assumptions!$B$16,IF(N912="Completed Late",Assumptions!$B$17,Assumptions!$B$18))</f>
        <v>100</v>
      </c>
      <c r="T912" s="8" t="n">
        <f aca="false">IF(I912=0,Assumptions!$B$20,IF(H912&gt;I912,Assumptions!$B$19,IF(H912=I912,Assumptions!$B$20,Assumptions!$B$21)))</f>
        <v>70</v>
      </c>
      <c r="U912" s="8" t="n">
        <f aca="false">ROUND(P912*Assumptions!$B$2+Q912*Assumptions!$B$3+R912*Assumptions!$B$4+S912*Assumptions!$B$5+T912*Assumptions!$B$6,0)</f>
        <v>84</v>
      </c>
      <c r="V912" s="8" t="str">
        <f aca="false">IF(U912&gt;=Assumptions!$B$10,"Healthy",IF(U912&gt;=Assumptions!$B$11,"Needs Attention","High Risk"))</f>
        <v>Healthy</v>
      </c>
    </row>
    <row r="913" customFormat="false" ht="15" hidden="false" customHeight="false" outlineLevel="0" collapsed="false">
      <c r="A913" s="8" t="s">
        <v>1967</v>
      </c>
      <c r="B913" s="8" t="s">
        <v>1968</v>
      </c>
      <c r="C913" s="8" t="s">
        <v>51</v>
      </c>
      <c r="D913" s="8" t="s">
        <v>326</v>
      </c>
      <c r="E913" s="8" t="s">
        <v>132</v>
      </c>
      <c r="F913" s="8" t="s">
        <v>223</v>
      </c>
      <c r="G913" s="8" t="s">
        <v>140</v>
      </c>
      <c r="H913" s="15" t="n">
        <v>825</v>
      </c>
      <c r="I913" s="15" t="n">
        <v>825</v>
      </c>
      <c r="J913" s="16" t="n">
        <v>0.758</v>
      </c>
      <c r="K913" s="8" t="n">
        <v>9.3</v>
      </c>
      <c r="L913" s="8" t="n">
        <v>7</v>
      </c>
      <c r="M913" s="8" t="n">
        <v>1</v>
      </c>
      <c r="N913" s="8" t="s">
        <v>120</v>
      </c>
      <c r="O913" s="15" t="n">
        <f aca="false">H913*12</f>
        <v>9900</v>
      </c>
      <c r="P913" s="8" t="n">
        <f aca="false">MIN(100,ROUND(100*J913/Assumptions!$B$8,0))</f>
        <v>84</v>
      </c>
      <c r="Q913" s="8" t="n">
        <f aca="false">IF(L913="",Assumptions!$B$9,L913*10)</f>
        <v>70</v>
      </c>
      <c r="R913" s="8" t="n">
        <f aca="false">IF(M913&lt;=1,Assumptions!$B$12,IF(M913&lt;=3,Assumptions!$B$13,IF(M913&lt;=6,Assumptions!$B$14,Assumptions!$B$15)))</f>
        <v>100</v>
      </c>
      <c r="S913" s="8" t="n">
        <f aca="false">IF(N913="Completed On Time",Assumptions!$B$16,IF(N913="Completed Late",Assumptions!$B$17,Assumptions!$B$18))</f>
        <v>100</v>
      </c>
      <c r="T913" s="8" t="n">
        <f aca="false">IF(I913=0,Assumptions!$B$20,IF(H913&gt;I913,Assumptions!$B$19,IF(H913=I913,Assumptions!$B$20,Assumptions!$B$21)))</f>
        <v>70</v>
      </c>
      <c r="U913" s="8" t="n">
        <f aca="false">ROUND(P913*Assumptions!$B$2+Q913*Assumptions!$B$3+R913*Assumptions!$B$4+S913*Assumptions!$B$5+T913*Assumptions!$B$6,0)</f>
        <v>82</v>
      </c>
      <c r="V913" s="8" t="str">
        <f aca="false">IF(U913&gt;=Assumptions!$B$10,"Healthy",IF(U913&gt;=Assumptions!$B$11,"Needs Attention","High Risk"))</f>
        <v>Healthy</v>
      </c>
    </row>
    <row r="914" customFormat="false" ht="15" hidden="false" customHeight="false" outlineLevel="0" collapsed="false">
      <c r="A914" s="8" t="s">
        <v>1969</v>
      </c>
      <c r="B914" s="8" t="s">
        <v>1970</v>
      </c>
      <c r="C914" s="8" t="s">
        <v>51</v>
      </c>
      <c r="D914" s="8" t="s">
        <v>326</v>
      </c>
      <c r="E914" s="8" t="s">
        <v>123</v>
      </c>
      <c r="F914" s="8" t="s">
        <v>143</v>
      </c>
      <c r="G914" s="8" t="s">
        <v>180</v>
      </c>
      <c r="H914" s="15" t="n">
        <v>825</v>
      </c>
      <c r="I914" s="15" t="n">
        <v>825</v>
      </c>
      <c r="J914" s="16" t="n">
        <v>0.808</v>
      </c>
      <c r="K914" s="8" t="n">
        <v>9.3</v>
      </c>
      <c r="L914" s="8" t="n">
        <v>10</v>
      </c>
      <c r="M914" s="8" t="n">
        <v>1</v>
      </c>
      <c r="N914" s="8" t="s">
        <v>120</v>
      </c>
      <c r="O914" s="15" t="n">
        <f aca="false">H914*12</f>
        <v>9900</v>
      </c>
      <c r="P914" s="8" t="n">
        <f aca="false">MIN(100,ROUND(100*J914/Assumptions!$B$8,0))</f>
        <v>90</v>
      </c>
      <c r="Q914" s="8" t="n">
        <f aca="false">IF(L914="",Assumptions!$B$9,L914*10)</f>
        <v>100</v>
      </c>
      <c r="R914" s="8" t="n">
        <f aca="false">IF(M914&lt;=1,Assumptions!$B$12,IF(M914&lt;=3,Assumptions!$B$13,IF(M914&lt;=6,Assumptions!$B$14,Assumptions!$B$15)))</f>
        <v>100</v>
      </c>
      <c r="S914" s="8" t="n">
        <f aca="false">IF(N914="Completed On Time",Assumptions!$B$16,IF(N914="Completed Late",Assumptions!$B$17,Assumptions!$B$18))</f>
        <v>100</v>
      </c>
      <c r="T914" s="8" t="n">
        <f aca="false">IF(I914=0,Assumptions!$B$20,IF(H914&gt;I914,Assumptions!$B$19,IF(H914=I914,Assumptions!$B$20,Assumptions!$B$21)))</f>
        <v>70</v>
      </c>
      <c r="U914" s="8" t="n">
        <f aca="false">ROUND(P914*Assumptions!$B$2+Q914*Assumptions!$B$3+R914*Assumptions!$B$4+S914*Assumptions!$B$5+T914*Assumptions!$B$6,0)</f>
        <v>91</v>
      </c>
      <c r="V914" s="8" t="str">
        <f aca="false">IF(U914&gt;=Assumptions!$B$10,"Healthy",IF(U914&gt;=Assumptions!$B$11,"Needs Attention","High Risk"))</f>
        <v>Healthy</v>
      </c>
    </row>
    <row r="915" customFormat="false" ht="15" hidden="false" customHeight="false" outlineLevel="0" collapsed="false">
      <c r="A915" s="8" t="s">
        <v>1971</v>
      </c>
      <c r="B915" s="8" t="s">
        <v>1972</v>
      </c>
      <c r="C915" s="8" t="s">
        <v>51</v>
      </c>
      <c r="D915" s="8" t="s">
        <v>326</v>
      </c>
      <c r="E915" s="8" t="s">
        <v>123</v>
      </c>
      <c r="F915" s="8" t="s">
        <v>143</v>
      </c>
      <c r="G915" s="8" t="s">
        <v>137</v>
      </c>
      <c r="H915" s="15" t="n">
        <v>825</v>
      </c>
      <c r="I915" s="15" t="n">
        <v>825</v>
      </c>
      <c r="J915" s="16" t="n">
        <v>0.818</v>
      </c>
      <c r="K915" s="8" t="n">
        <v>11.7</v>
      </c>
      <c r="L915" s="8" t="n">
        <v>10</v>
      </c>
      <c r="M915" s="8" t="n">
        <v>4</v>
      </c>
      <c r="N915" s="8" t="s">
        <v>120</v>
      </c>
      <c r="O915" s="15" t="n">
        <f aca="false">H915*12</f>
        <v>9900</v>
      </c>
      <c r="P915" s="8" t="n">
        <f aca="false">MIN(100,ROUND(100*J915/Assumptions!$B$8,0))</f>
        <v>91</v>
      </c>
      <c r="Q915" s="8" t="n">
        <f aca="false">IF(L915="",Assumptions!$B$9,L915*10)</f>
        <v>100</v>
      </c>
      <c r="R915" s="8" t="n">
        <f aca="false">IF(M915&lt;=1,Assumptions!$B$12,IF(M915&lt;=3,Assumptions!$B$13,IF(M915&lt;=6,Assumptions!$B$14,Assumptions!$B$15)))</f>
        <v>50</v>
      </c>
      <c r="S915" s="8" t="n">
        <f aca="false">IF(N915="Completed On Time",Assumptions!$B$16,IF(N915="Completed Late",Assumptions!$B$17,Assumptions!$B$18))</f>
        <v>100</v>
      </c>
      <c r="T915" s="8" t="n">
        <f aca="false">IF(I915=0,Assumptions!$B$20,IF(H915&gt;I915,Assumptions!$B$19,IF(H915=I915,Assumptions!$B$20,Assumptions!$B$21)))</f>
        <v>70</v>
      </c>
      <c r="U915" s="8" t="n">
        <f aca="false">ROUND(P915*Assumptions!$B$2+Q915*Assumptions!$B$3+R915*Assumptions!$B$4+S915*Assumptions!$B$5+T915*Assumptions!$B$6,0)</f>
        <v>83</v>
      </c>
      <c r="V915" s="8" t="str">
        <f aca="false">IF(U915&gt;=Assumptions!$B$10,"Healthy",IF(U915&gt;=Assumptions!$B$11,"Needs Attention","High Risk"))</f>
        <v>Healthy</v>
      </c>
    </row>
    <row r="916" customFormat="false" ht="15" hidden="false" customHeight="false" outlineLevel="0" collapsed="false">
      <c r="A916" s="8" t="s">
        <v>1973</v>
      </c>
      <c r="B916" s="8" t="s">
        <v>1974</v>
      </c>
      <c r="C916" s="8" t="s">
        <v>51</v>
      </c>
      <c r="D916" s="8" t="s">
        <v>326</v>
      </c>
      <c r="E916" s="8" t="s">
        <v>123</v>
      </c>
      <c r="F916" s="8" t="s">
        <v>143</v>
      </c>
      <c r="G916" s="8" t="s">
        <v>204</v>
      </c>
      <c r="H916" s="15" t="n">
        <v>825</v>
      </c>
      <c r="I916" s="15" t="n">
        <v>825</v>
      </c>
      <c r="J916" s="16" t="n">
        <v>0.838</v>
      </c>
      <c r="K916" s="8" t="n">
        <v>10.3</v>
      </c>
      <c r="L916" s="8" t="n">
        <v>10</v>
      </c>
      <c r="M916" s="8" t="n">
        <v>2</v>
      </c>
      <c r="N916" s="8" t="s">
        <v>120</v>
      </c>
      <c r="O916" s="15" t="n">
        <f aca="false">H916*12</f>
        <v>9900</v>
      </c>
      <c r="P916" s="8" t="n">
        <f aca="false">MIN(100,ROUND(100*J916/Assumptions!$B$8,0))</f>
        <v>93</v>
      </c>
      <c r="Q916" s="8" t="n">
        <f aca="false">IF(L916="",Assumptions!$B$9,L916*10)</f>
        <v>100</v>
      </c>
      <c r="R916" s="8" t="n">
        <f aca="false">IF(M916&lt;=1,Assumptions!$B$12,IF(M916&lt;=3,Assumptions!$B$13,IF(M916&lt;=6,Assumptions!$B$14,Assumptions!$B$15)))</f>
        <v>75</v>
      </c>
      <c r="S916" s="8" t="n">
        <f aca="false">IF(N916="Completed On Time",Assumptions!$B$16,IF(N916="Completed Late",Assumptions!$B$17,Assumptions!$B$18))</f>
        <v>100</v>
      </c>
      <c r="T916" s="8" t="n">
        <f aca="false">IF(I916=0,Assumptions!$B$20,IF(H916&gt;I916,Assumptions!$B$19,IF(H916=I916,Assumptions!$B$20,Assumptions!$B$21)))</f>
        <v>70</v>
      </c>
      <c r="U916" s="8" t="n">
        <f aca="false">ROUND(P916*Assumptions!$B$2+Q916*Assumptions!$B$3+R916*Assumptions!$B$4+S916*Assumptions!$B$5+T916*Assumptions!$B$6,0)</f>
        <v>88</v>
      </c>
      <c r="V916" s="8" t="str">
        <f aca="false">IF(U916&gt;=Assumptions!$B$10,"Healthy",IF(U916&gt;=Assumptions!$B$11,"Needs Attention","High Risk"))</f>
        <v>Healthy</v>
      </c>
    </row>
    <row r="917" customFormat="false" ht="15" hidden="false" customHeight="false" outlineLevel="0" collapsed="false">
      <c r="A917" s="8" t="s">
        <v>1975</v>
      </c>
      <c r="B917" s="8" t="s">
        <v>1976</v>
      </c>
      <c r="C917" s="8" t="s">
        <v>51</v>
      </c>
      <c r="D917" s="8" t="s">
        <v>326</v>
      </c>
      <c r="E917" s="8" t="s">
        <v>123</v>
      </c>
      <c r="F917" s="8" t="s">
        <v>118</v>
      </c>
      <c r="G917" s="8" t="s">
        <v>140</v>
      </c>
      <c r="H917" s="15" t="n">
        <v>825</v>
      </c>
      <c r="I917" s="15" t="n">
        <v>975</v>
      </c>
      <c r="J917" s="16" t="n">
        <v>0.658</v>
      </c>
      <c r="K917" s="8" t="n">
        <v>7.3</v>
      </c>
      <c r="L917" s="8" t="n">
        <v>9</v>
      </c>
      <c r="M917" s="8" t="n">
        <v>0</v>
      </c>
      <c r="N917" s="8" t="s">
        <v>120</v>
      </c>
      <c r="O917" s="15" t="n">
        <f aca="false">H917*12</f>
        <v>9900</v>
      </c>
      <c r="P917" s="8" t="n">
        <f aca="false">MIN(100,ROUND(100*J917/Assumptions!$B$8,0))</f>
        <v>73</v>
      </c>
      <c r="Q917" s="8" t="n">
        <f aca="false">IF(L917="",Assumptions!$B$9,L917*10)</f>
        <v>90</v>
      </c>
      <c r="R917" s="8" t="n">
        <f aca="false">IF(M917&lt;=1,Assumptions!$B$12,IF(M917&lt;=3,Assumptions!$B$13,IF(M917&lt;=6,Assumptions!$B$14,Assumptions!$B$15)))</f>
        <v>100</v>
      </c>
      <c r="S917" s="8" t="n">
        <f aca="false">IF(N917="Completed On Time",Assumptions!$B$16,IF(N917="Completed Late",Assumptions!$B$17,Assumptions!$B$18))</f>
        <v>100</v>
      </c>
      <c r="T917" s="8" t="n">
        <f aca="false">IF(I917=0,Assumptions!$B$20,IF(H917&gt;I917,Assumptions!$B$19,IF(H917=I917,Assumptions!$B$20,Assumptions!$B$21)))</f>
        <v>30</v>
      </c>
      <c r="U917" s="8" t="n">
        <f aca="false">ROUND(P917*Assumptions!$B$2+Q917*Assumptions!$B$3+R917*Assumptions!$B$4+S917*Assumptions!$B$5+T917*Assumptions!$B$6,0)</f>
        <v>75</v>
      </c>
      <c r="V917" s="8" t="str">
        <f aca="false">IF(U917&gt;=Assumptions!$B$10,"Healthy",IF(U917&gt;=Assumptions!$B$11,"Needs Attention","High Risk"))</f>
        <v>Needs Attention</v>
      </c>
    </row>
    <row r="918" customFormat="false" ht="15" hidden="false" customHeight="false" outlineLevel="0" collapsed="false">
      <c r="A918" s="8" t="s">
        <v>1977</v>
      </c>
      <c r="B918" s="8" t="s">
        <v>1978</v>
      </c>
      <c r="C918" s="8" t="s">
        <v>51</v>
      </c>
      <c r="D918" s="8" t="s">
        <v>326</v>
      </c>
      <c r="E918" s="8" t="s">
        <v>123</v>
      </c>
      <c r="F918" s="8" t="s">
        <v>143</v>
      </c>
      <c r="G918" s="8" t="s">
        <v>125</v>
      </c>
      <c r="H918" s="15" t="n">
        <v>825</v>
      </c>
      <c r="I918" s="15" t="n">
        <v>825</v>
      </c>
      <c r="J918" s="16" t="n">
        <v>0.636</v>
      </c>
      <c r="K918" s="8" t="n">
        <v>8.7</v>
      </c>
      <c r="L918" s="8" t="n">
        <v>5</v>
      </c>
      <c r="M918" s="8" t="n">
        <v>2</v>
      </c>
      <c r="N918" s="8" t="s">
        <v>120</v>
      </c>
      <c r="O918" s="15" t="n">
        <f aca="false">H918*12</f>
        <v>9900</v>
      </c>
      <c r="P918" s="8" t="n">
        <f aca="false">MIN(100,ROUND(100*J918/Assumptions!$B$8,0))</f>
        <v>71</v>
      </c>
      <c r="Q918" s="8" t="n">
        <f aca="false">IF(L918="",Assumptions!$B$9,L918*10)</f>
        <v>50</v>
      </c>
      <c r="R918" s="8" t="n">
        <f aca="false">IF(M918&lt;=1,Assumptions!$B$12,IF(M918&lt;=3,Assumptions!$B$13,IF(M918&lt;=6,Assumptions!$B$14,Assumptions!$B$15)))</f>
        <v>75</v>
      </c>
      <c r="S918" s="8" t="n">
        <f aca="false">IF(N918="Completed On Time",Assumptions!$B$16,IF(N918="Completed Late",Assumptions!$B$17,Assumptions!$B$18))</f>
        <v>100</v>
      </c>
      <c r="T918" s="8" t="n">
        <f aca="false">IF(I918=0,Assumptions!$B$20,IF(H918&gt;I918,Assumptions!$B$19,IF(H918=I918,Assumptions!$B$20,Assumptions!$B$21)))</f>
        <v>70</v>
      </c>
      <c r="U918" s="8" t="n">
        <f aca="false">ROUND(P918*Assumptions!$B$2+Q918*Assumptions!$B$3+R918*Assumptions!$B$4+S918*Assumptions!$B$5+T918*Assumptions!$B$6,0)</f>
        <v>70</v>
      </c>
      <c r="V918" s="8" t="str">
        <f aca="false">IF(U918&gt;=Assumptions!$B$10,"Healthy",IF(U918&gt;=Assumptions!$B$11,"Needs Attention","High Risk"))</f>
        <v>Needs Attention</v>
      </c>
    </row>
    <row r="919" customFormat="false" ht="15" hidden="false" customHeight="false" outlineLevel="0" collapsed="false">
      <c r="A919" s="8" t="s">
        <v>1979</v>
      </c>
      <c r="B919" s="8" t="s">
        <v>1980</v>
      </c>
      <c r="C919" s="8" t="s">
        <v>51</v>
      </c>
      <c r="D919" s="8" t="s">
        <v>326</v>
      </c>
      <c r="E919" s="8" t="s">
        <v>117</v>
      </c>
      <c r="F919" s="8" t="s">
        <v>133</v>
      </c>
      <c r="G919" s="8" t="s">
        <v>119</v>
      </c>
      <c r="H919" s="15" t="n">
        <v>800</v>
      </c>
      <c r="I919" s="15" t="n">
        <v>800</v>
      </c>
      <c r="J919" s="16" t="n">
        <v>0.75</v>
      </c>
      <c r="K919" s="8" t="n">
        <v>9.7</v>
      </c>
      <c r="L919" s="8" t="n">
        <v>8</v>
      </c>
      <c r="M919" s="8" t="n">
        <v>2</v>
      </c>
      <c r="N919" s="8" t="s">
        <v>148</v>
      </c>
      <c r="O919" s="15" t="n">
        <f aca="false">H919*12</f>
        <v>9600</v>
      </c>
      <c r="P919" s="8" t="n">
        <f aca="false">MIN(100,ROUND(100*J919/Assumptions!$B$8,0))</f>
        <v>83</v>
      </c>
      <c r="Q919" s="8" t="n">
        <f aca="false">IF(L919="",Assumptions!$B$9,L919*10)</f>
        <v>80</v>
      </c>
      <c r="R919" s="8" t="n">
        <f aca="false">IF(M919&lt;=1,Assumptions!$B$12,IF(M919&lt;=3,Assumptions!$B$13,IF(M919&lt;=6,Assumptions!$B$14,Assumptions!$B$15)))</f>
        <v>75</v>
      </c>
      <c r="S919" s="8" t="n">
        <f aca="false">IF(N919="Completed On Time",Assumptions!$B$16,IF(N919="Completed Late",Assumptions!$B$17,Assumptions!$B$18))</f>
        <v>60</v>
      </c>
      <c r="T919" s="8" t="n">
        <f aca="false">IF(I919=0,Assumptions!$B$20,IF(H919&gt;I919,Assumptions!$B$19,IF(H919=I919,Assumptions!$B$20,Assumptions!$B$21)))</f>
        <v>70</v>
      </c>
      <c r="U919" s="8" t="n">
        <f aca="false">ROUND(P919*Assumptions!$B$2+Q919*Assumptions!$B$3+R919*Assumptions!$B$4+S919*Assumptions!$B$5+T919*Assumptions!$B$6,0)</f>
        <v>76</v>
      </c>
      <c r="V919" s="8" t="str">
        <f aca="false">IF(U919&gt;=Assumptions!$B$10,"Healthy",IF(U919&gt;=Assumptions!$B$11,"Needs Attention","High Risk"))</f>
        <v>Needs Attention</v>
      </c>
    </row>
    <row r="920" customFormat="false" ht="15" hidden="false" customHeight="false" outlineLevel="0" collapsed="false">
      <c r="A920" s="8" t="s">
        <v>1981</v>
      </c>
      <c r="B920" s="8" t="s">
        <v>1982</v>
      </c>
      <c r="C920" s="8" t="s">
        <v>51</v>
      </c>
      <c r="D920" s="8" t="s">
        <v>326</v>
      </c>
      <c r="E920" s="8" t="s">
        <v>123</v>
      </c>
      <c r="F920" s="8" t="s">
        <v>136</v>
      </c>
      <c r="G920" s="8" t="s">
        <v>137</v>
      </c>
      <c r="H920" s="15" t="n">
        <v>800</v>
      </c>
      <c r="I920" s="15" t="n">
        <v>800</v>
      </c>
      <c r="J920" s="16" t="n">
        <v>0.729</v>
      </c>
      <c r="K920" s="8" t="n">
        <v>9.7</v>
      </c>
      <c r="L920" s="8" t="n">
        <v>9</v>
      </c>
      <c r="M920" s="8" t="n">
        <v>3</v>
      </c>
      <c r="N920" s="8" t="s">
        <v>120</v>
      </c>
      <c r="O920" s="15" t="n">
        <f aca="false">H920*12</f>
        <v>9600</v>
      </c>
      <c r="P920" s="8" t="n">
        <f aca="false">MIN(100,ROUND(100*J920/Assumptions!$B$8,0))</f>
        <v>81</v>
      </c>
      <c r="Q920" s="8" t="n">
        <f aca="false">IF(L920="",Assumptions!$B$9,L920*10)</f>
        <v>90</v>
      </c>
      <c r="R920" s="8" t="n">
        <f aca="false">IF(M920&lt;=1,Assumptions!$B$12,IF(M920&lt;=3,Assumptions!$B$13,IF(M920&lt;=6,Assumptions!$B$14,Assumptions!$B$15)))</f>
        <v>75</v>
      </c>
      <c r="S920" s="8" t="n">
        <f aca="false">IF(N920="Completed On Time",Assumptions!$B$16,IF(N920="Completed Late",Assumptions!$B$17,Assumptions!$B$18))</f>
        <v>100</v>
      </c>
      <c r="T920" s="8" t="n">
        <f aca="false">IF(I920=0,Assumptions!$B$20,IF(H920&gt;I920,Assumptions!$B$19,IF(H920=I920,Assumptions!$B$20,Assumptions!$B$21)))</f>
        <v>70</v>
      </c>
      <c r="U920" s="8" t="n">
        <f aca="false">ROUND(P920*Assumptions!$B$2+Q920*Assumptions!$B$3+R920*Assumptions!$B$4+S920*Assumptions!$B$5+T920*Assumptions!$B$6,0)</f>
        <v>82</v>
      </c>
      <c r="V920" s="8" t="str">
        <f aca="false">IF(U920&gt;=Assumptions!$B$10,"Healthy",IF(U920&gt;=Assumptions!$B$11,"Needs Attention","High Risk"))</f>
        <v>Healthy</v>
      </c>
    </row>
    <row r="921" customFormat="false" ht="15" hidden="false" customHeight="false" outlineLevel="0" collapsed="false">
      <c r="A921" s="8" t="s">
        <v>1983</v>
      </c>
      <c r="B921" s="8" t="s">
        <v>1984</v>
      </c>
      <c r="C921" s="8" t="s">
        <v>51</v>
      </c>
      <c r="D921" s="8" t="s">
        <v>326</v>
      </c>
      <c r="E921" s="8" t="s">
        <v>123</v>
      </c>
      <c r="F921" s="8" t="s">
        <v>133</v>
      </c>
      <c r="G921" s="8" t="s">
        <v>177</v>
      </c>
      <c r="H921" s="15" t="n">
        <v>800</v>
      </c>
      <c r="I921" s="15" t="n">
        <v>800</v>
      </c>
      <c r="J921" s="16" t="n">
        <v>0.885</v>
      </c>
      <c r="K921" s="8" t="n">
        <v>10</v>
      </c>
      <c r="L921" s="8" t="n">
        <v>10</v>
      </c>
      <c r="M921" s="8" t="n">
        <v>3</v>
      </c>
      <c r="N921" s="8" t="s">
        <v>120</v>
      </c>
      <c r="O921" s="15" t="n">
        <f aca="false">H921*12</f>
        <v>9600</v>
      </c>
      <c r="P921" s="8" t="n">
        <f aca="false">MIN(100,ROUND(100*J921/Assumptions!$B$8,0))</f>
        <v>98</v>
      </c>
      <c r="Q921" s="8" t="n">
        <f aca="false">IF(L921="",Assumptions!$B$9,L921*10)</f>
        <v>100</v>
      </c>
      <c r="R921" s="8" t="n">
        <f aca="false">IF(M921&lt;=1,Assumptions!$B$12,IF(M921&lt;=3,Assumptions!$B$13,IF(M921&lt;=6,Assumptions!$B$14,Assumptions!$B$15)))</f>
        <v>75</v>
      </c>
      <c r="S921" s="8" t="n">
        <f aca="false">IF(N921="Completed On Time",Assumptions!$B$16,IF(N921="Completed Late",Assumptions!$B$17,Assumptions!$B$18))</f>
        <v>100</v>
      </c>
      <c r="T921" s="8" t="n">
        <f aca="false">IF(I921=0,Assumptions!$B$20,IF(H921&gt;I921,Assumptions!$B$19,IF(H921=I921,Assumptions!$B$20,Assumptions!$B$21)))</f>
        <v>70</v>
      </c>
      <c r="U921" s="8" t="n">
        <f aca="false">ROUND(P921*Assumptions!$B$2+Q921*Assumptions!$B$3+R921*Assumptions!$B$4+S921*Assumptions!$B$5+T921*Assumptions!$B$6,0)</f>
        <v>90</v>
      </c>
      <c r="V921" s="8" t="str">
        <f aca="false">IF(U921&gt;=Assumptions!$B$10,"Healthy",IF(U921&gt;=Assumptions!$B$11,"Needs Attention","High Risk"))</f>
        <v>Healthy</v>
      </c>
    </row>
    <row r="922" customFormat="false" ht="15" hidden="false" customHeight="false" outlineLevel="0" collapsed="false">
      <c r="A922" s="8" t="s">
        <v>1985</v>
      </c>
      <c r="B922" s="8" t="s">
        <v>1986</v>
      </c>
      <c r="C922" s="8" t="s">
        <v>51</v>
      </c>
      <c r="D922" s="8" t="s">
        <v>326</v>
      </c>
      <c r="E922" s="8" t="s">
        <v>117</v>
      </c>
      <c r="F922" s="8" t="s">
        <v>154</v>
      </c>
      <c r="G922" s="8" t="s">
        <v>147</v>
      </c>
      <c r="H922" s="15" t="n">
        <v>800</v>
      </c>
      <c r="I922" s="15" t="n">
        <v>800</v>
      </c>
      <c r="J922" s="16" t="n">
        <v>0.875</v>
      </c>
      <c r="K922" s="8" t="n">
        <v>10.3</v>
      </c>
      <c r="L922" s="8" t="n">
        <v>10</v>
      </c>
      <c r="M922" s="8" t="n">
        <v>1</v>
      </c>
      <c r="N922" s="8" t="s">
        <v>120</v>
      </c>
      <c r="O922" s="15" t="n">
        <f aca="false">H922*12</f>
        <v>9600</v>
      </c>
      <c r="P922" s="8" t="n">
        <f aca="false">MIN(100,ROUND(100*J922/Assumptions!$B$8,0))</f>
        <v>97</v>
      </c>
      <c r="Q922" s="8" t="n">
        <f aca="false">IF(L922="",Assumptions!$B$9,L922*10)</f>
        <v>100</v>
      </c>
      <c r="R922" s="8" t="n">
        <f aca="false">IF(M922&lt;=1,Assumptions!$B$12,IF(M922&lt;=3,Assumptions!$B$13,IF(M922&lt;=6,Assumptions!$B$14,Assumptions!$B$15)))</f>
        <v>100</v>
      </c>
      <c r="S922" s="8" t="n">
        <f aca="false">IF(N922="Completed On Time",Assumptions!$B$16,IF(N922="Completed Late",Assumptions!$B$17,Assumptions!$B$18))</f>
        <v>100</v>
      </c>
      <c r="T922" s="8" t="n">
        <f aca="false">IF(I922=0,Assumptions!$B$20,IF(H922&gt;I922,Assumptions!$B$19,IF(H922=I922,Assumptions!$B$20,Assumptions!$B$21)))</f>
        <v>70</v>
      </c>
      <c r="U922" s="8" t="n">
        <f aca="false">ROUND(P922*Assumptions!$B$2+Q922*Assumptions!$B$3+R922*Assumptions!$B$4+S922*Assumptions!$B$5+T922*Assumptions!$B$6,0)</f>
        <v>93</v>
      </c>
      <c r="V922" s="8" t="str">
        <f aca="false">IF(U922&gt;=Assumptions!$B$10,"Healthy",IF(U922&gt;=Assumptions!$B$11,"Needs Attention","High Risk"))</f>
        <v>Healthy</v>
      </c>
    </row>
    <row r="923" customFormat="false" ht="15" hidden="false" customHeight="false" outlineLevel="0" collapsed="false">
      <c r="A923" s="8" t="s">
        <v>1987</v>
      </c>
      <c r="B923" s="8" t="s">
        <v>1988</v>
      </c>
      <c r="C923" s="8" t="s">
        <v>51</v>
      </c>
      <c r="D923" s="8" t="s">
        <v>326</v>
      </c>
      <c r="E923" s="8" t="s">
        <v>123</v>
      </c>
      <c r="F923" s="8" t="s">
        <v>124</v>
      </c>
      <c r="G923" s="8" t="s">
        <v>125</v>
      </c>
      <c r="H923" s="15" t="n">
        <v>800</v>
      </c>
      <c r="I923" s="15" t="n">
        <v>800</v>
      </c>
      <c r="J923" s="16" t="n">
        <v>0.865</v>
      </c>
      <c r="K923" s="8" t="n">
        <v>9</v>
      </c>
      <c r="L923" s="8" t="n">
        <v>9</v>
      </c>
      <c r="M923" s="8" t="n">
        <v>2</v>
      </c>
      <c r="N923" s="8" t="s">
        <v>120</v>
      </c>
      <c r="O923" s="15" t="n">
        <f aca="false">H923*12</f>
        <v>9600</v>
      </c>
      <c r="P923" s="8" t="n">
        <f aca="false">MIN(100,ROUND(100*J923/Assumptions!$B$8,0))</f>
        <v>96</v>
      </c>
      <c r="Q923" s="8" t="n">
        <f aca="false">IF(L923="",Assumptions!$B$9,L923*10)</f>
        <v>90</v>
      </c>
      <c r="R923" s="8" t="n">
        <f aca="false">IF(M923&lt;=1,Assumptions!$B$12,IF(M923&lt;=3,Assumptions!$B$13,IF(M923&lt;=6,Assumptions!$B$14,Assumptions!$B$15)))</f>
        <v>75</v>
      </c>
      <c r="S923" s="8" t="n">
        <f aca="false">IF(N923="Completed On Time",Assumptions!$B$16,IF(N923="Completed Late",Assumptions!$B$17,Assumptions!$B$18))</f>
        <v>100</v>
      </c>
      <c r="T923" s="8" t="n">
        <f aca="false">IF(I923=0,Assumptions!$B$20,IF(H923&gt;I923,Assumptions!$B$19,IF(H923=I923,Assumptions!$B$20,Assumptions!$B$21)))</f>
        <v>70</v>
      </c>
      <c r="U923" s="8" t="n">
        <f aca="false">ROUND(P923*Assumptions!$B$2+Q923*Assumptions!$B$3+R923*Assumptions!$B$4+S923*Assumptions!$B$5+T923*Assumptions!$B$6,0)</f>
        <v>87</v>
      </c>
      <c r="V923" s="8" t="str">
        <f aca="false">IF(U923&gt;=Assumptions!$B$10,"Healthy",IF(U923&gt;=Assumptions!$B$11,"Needs Attention","High Risk"))</f>
        <v>Healthy</v>
      </c>
    </row>
    <row r="924" customFormat="false" ht="15" hidden="false" customHeight="false" outlineLevel="0" collapsed="false">
      <c r="A924" s="8" t="s">
        <v>1989</v>
      </c>
      <c r="B924" s="8" t="s">
        <v>1990</v>
      </c>
      <c r="C924" s="8" t="s">
        <v>51</v>
      </c>
      <c r="D924" s="8" t="s">
        <v>326</v>
      </c>
      <c r="E924" s="8" t="s">
        <v>117</v>
      </c>
      <c r="F924" s="8" t="s">
        <v>223</v>
      </c>
      <c r="G924" s="8" t="s">
        <v>140</v>
      </c>
      <c r="H924" s="15" t="n">
        <v>800</v>
      </c>
      <c r="I924" s="15" t="n">
        <v>800</v>
      </c>
      <c r="J924" s="16" t="n">
        <v>0.792</v>
      </c>
      <c r="K924" s="8" t="n">
        <v>10.7</v>
      </c>
      <c r="L924" s="8" t="n">
        <v>10</v>
      </c>
      <c r="M924" s="8" t="n">
        <v>2</v>
      </c>
      <c r="N924" s="8" t="s">
        <v>120</v>
      </c>
      <c r="O924" s="15" t="n">
        <f aca="false">H924*12</f>
        <v>9600</v>
      </c>
      <c r="P924" s="8" t="n">
        <f aca="false">MIN(100,ROUND(100*J924/Assumptions!$B$8,0))</f>
        <v>88</v>
      </c>
      <c r="Q924" s="8" t="n">
        <f aca="false">IF(L924="",Assumptions!$B$9,L924*10)</f>
        <v>100</v>
      </c>
      <c r="R924" s="8" t="n">
        <f aca="false">IF(M924&lt;=1,Assumptions!$B$12,IF(M924&lt;=3,Assumptions!$B$13,IF(M924&lt;=6,Assumptions!$B$14,Assumptions!$B$15)))</f>
        <v>75</v>
      </c>
      <c r="S924" s="8" t="n">
        <f aca="false">IF(N924="Completed On Time",Assumptions!$B$16,IF(N924="Completed Late",Assumptions!$B$17,Assumptions!$B$18))</f>
        <v>100</v>
      </c>
      <c r="T924" s="8" t="n">
        <f aca="false">IF(I924=0,Assumptions!$B$20,IF(H924&gt;I924,Assumptions!$B$19,IF(H924=I924,Assumptions!$B$20,Assumptions!$B$21)))</f>
        <v>70</v>
      </c>
      <c r="U924" s="8" t="n">
        <f aca="false">ROUND(P924*Assumptions!$B$2+Q924*Assumptions!$B$3+R924*Assumptions!$B$4+S924*Assumptions!$B$5+T924*Assumptions!$B$6,0)</f>
        <v>86</v>
      </c>
      <c r="V924" s="8" t="str">
        <f aca="false">IF(U924&gt;=Assumptions!$B$10,"Healthy",IF(U924&gt;=Assumptions!$B$11,"Needs Attention","High Risk"))</f>
        <v>Healthy</v>
      </c>
    </row>
    <row r="925" customFormat="false" ht="15" hidden="false" customHeight="false" outlineLevel="0" collapsed="false">
      <c r="A925" s="8" t="s">
        <v>1991</v>
      </c>
      <c r="B925" s="8" t="s">
        <v>1992</v>
      </c>
      <c r="C925" s="8" t="s">
        <v>51</v>
      </c>
      <c r="D925" s="8" t="s">
        <v>326</v>
      </c>
      <c r="E925" s="8" t="s">
        <v>132</v>
      </c>
      <c r="F925" s="8" t="s">
        <v>136</v>
      </c>
      <c r="G925" s="8" t="s">
        <v>177</v>
      </c>
      <c r="H925" s="15" t="n">
        <v>800</v>
      </c>
      <c r="I925" s="15" t="n">
        <v>0</v>
      </c>
      <c r="J925" s="16" t="n">
        <v>0.854</v>
      </c>
      <c r="K925" s="8" t="n">
        <v>11</v>
      </c>
      <c r="L925" s="8"/>
      <c r="M925" s="8" t="n">
        <v>0</v>
      </c>
      <c r="N925" s="8" t="s">
        <v>120</v>
      </c>
      <c r="O925" s="15" t="n">
        <f aca="false">H925*12</f>
        <v>9600</v>
      </c>
      <c r="P925" s="8" t="n">
        <f aca="false">MIN(100,ROUND(100*J925/Assumptions!$B$8,0))</f>
        <v>95</v>
      </c>
      <c r="Q925" s="8" t="n">
        <f aca="false">IF(L925="",Assumptions!$B$9,L925*10)</f>
        <v>50</v>
      </c>
      <c r="R925" s="8" t="n">
        <f aca="false">IF(M925&lt;=1,Assumptions!$B$12,IF(M925&lt;=3,Assumptions!$B$13,IF(M925&lt;=6,Assumptions!$B$14,Assumptions!$B$15)))</f>
        <v>100</v>
      </c>
      <c r="S925" s="8" t="n">
        <f aca="false">IF(N925="Completed On Time",Assumptions!$B$16,IF(N925="Completed Late",Assumptions!$B$17,Assumptions!$B$18))</f>
        <v>100</v>
      </c>
      <c r="T925" s="8" t="n">
        <f aca="false">IF(I925=0,Assumptions!$B$20,IF(H925&gt;I925,Assumptions!$B$19,IF(H925=I925,Assumptions!$B$20,Assumptions!$B$21)))</f>
        <v>70</v>
      </c>
      <c r="U925" s="8" t="n">
        <f aca="false">ROUND(P925*Assumptions!$B$2+Q925*Assumptions!$B$3+R925*Assumptions!$B$4+S925*Assumptions!$B$5+T925*Assumptions!$B$6,0)</f>
        <v>82</v>
      </c>
      <c r="V925" s="8" t="str">
        <f aca="false">IF(U925&gt;=Assumptions!$B$10,"Healthy",IF(U925&gt;=Assumptions!$B$11,"Needs Attention","High Risk"))</f>
        <v>Healthy</v>
      </c>
    </row>
    <row r="926" customFormat="false" ht="15" hidden="false" customHeight="false" outlineLevel="0" collapsed="false">
      <c r="A926" s="8" t="s">
        <v>1993</v>
      </c>
      <c r="B926" s="8" t="s">
        <v>1994</v>
      </c>
      <c r="C926" s="8" t="s">
        <v>51</v>
      </c>
      <c r="D926" s="8" t="s">
        <v>326</v>
      </c>
      <c r="E926" s="8" t="s">
        <v>117</v>
      </c>
      <c r="F926" s="8" t="s">
        <v>166</v>
      </c>
      <c r="G926" s="8" t="s">
        <v>180</v>
      </c>
      <c r="H926" s="15" t="n">
        <v>800</v>
      </c>
      <c r="I926" s="15" t="n">
        <v>0</v>
      </c>
      <c r="J926" s="16" t="n">
        <v>0.844</v>
      </c>
      <c r="K926" s="8" t="n">
        <v>10</v>
      </c>
      <c r="L926" s="8"/>
      <c r="M926" s="8" t="n">
        <v>0</v>
      </c>
      <c r="N926" s="8" t="s">
        <v>120</v>
      </c>
      <c r="O926" s="15" t="n">
        <f aca="false">H926*12</f>
        <v>9600</v>
      </c>
      <c r="P926" s="8" t="n">
        <f aca="false">MIN(100,ROUND(100*J926/Assumptions!$B$8,0))</f>
        <v>94</v>
      </c>
      <c r="Q926" s="8" t="n">
        <f aca="false">IF(L926="",Assumptions!$B$9,L926*10)</f>
        <v>50</v>
      </c>
      <c r="R926" s="8" t="n">
        <f aca="false">IF(M926&lt;=1,Assumptions!$B$12,IF(M926&lt;=3,Assumptions!$B$13,IF(M926&lt;=6,Assumptions!$B$14,Assumptions!$B$15)))</f>
        <v>100</v>
      </c>
      <c r="S926" s="8" t="n">
        <f aca="false">IF(N926="Completed On Time",Assumptions!$B$16,IF(N926="Completed Late",Assumptions!$B$17,Assumptions!$B$18))</f>
        <v>100</v>
      </c>
      <c r="T926" s="8" t="n">
        <f aca="false">IF(I926=0,Assumptions!$B$20,IF(H926&gt;I926,Assumptions!$B$19,IF(H926=I926,Assumptions!$B$20,Assumptions!$B$21)))</f>
        <v>70</v>
      </c>
      <c r="U926" s="8" t="n">
        <f aca="false">ROUND(P926*Assumptions!$B$2+Q926*Assumptions!$B$3+R926*Assumptions!$B$4+S926*Assumptions!$B$5+T926*Assumptions!$B$6,0)</f>
        <v>82</v>
      </c>
      <c r="V926" s="8" t="str">
        <f aca="false">IF(U926&gt;=Assumptions!$B$10,"Healthy",IF(U926&gt;=Assumptions!$B$11,"Needs Attention","High Risk"))</f>
        <v>Healthy</v>
      </c>
    </row>
    <row r="927" customFormat="false" ht="15" hidden="false" customHeight="false" outlineLevel="0" collapsed="false">
      <c r="A927" s="8" t="s">
        <v>1995</v>
      </c>
      <c r="B927" s="8" t="s">
        <v>1996</v>
      </c>
      <c r="C927" s="8" t="s">
        <v>51</v>
      </c>
      <c r="D927" s="8" t="s">
        <v>326</v>
      </c>
      <c r="E927" s="8" t="s">
        <v>123</v>
      </c>
      <c r="F927" s="8" t="s">
        <v>166</v>
      </c>
      <c r="G927" s="8" t="s">
        <v>185</v>
      </c>
      <c r="H927" s="15" t="n">
        <v>800</v>
      </c>
      <c r="I927" s="15" t="n">
        <v>800</v>
      </c>
      <c r="J927" s="16" t="n">
        <v>0.583</v>
      </c>
      <c r="K927" s="8" t="n">
        <v>8.3</v>
      </c>
      <c r="L927" s="8" t="n">
        <v>10</v>
      </c>
      <c r="M927" s="8" t="n">
        <v>2</v>
      </c>
      <c r="N927" s="8" t="s">
        <v>120</v>
      </c>
      <c r="O927" s="15" t="n">
        <f aca="false">H927*12</f>
        <v>9600</v>
      </c>
      <c r="P927" s="8" t="n">
        <f aca="false">MIN(100,ROUND(100*J927/Assumptions!$B$8,0))</f>
        <v>65</v>
      </c>
      <c r="Q927" s="8" t="n">
        <f aca="false">IF(L927="",Assumptions!$B$9,L927*10)</f>
        <v>100</v>
      </c>
      <c r="R927" s="8" t="n">
        <f aca="false">IF(M927&lt;=1,Assumptions!$B$12,IF(M927&lt;=3,Assumptions!$B$13,IF(M927&lt;=6,Assumptions!$B$14,Assumptions!$B$15)))</f>
        <v>75</v>
      </c>
      <c r="S927" s="8" t="n">
        <f aca="false">IF(N927="Completed On Time",Assumptions!$B$16,IF(N927="Completed Late",Assumptions!$B$17,Assumptions!$B$18))</f>
        <v>100</v>
      </c>
      <c r="T927" s="8" t="n">
        <f aca="false">IF(I927=0,Assumptions!$B$20,IF(H927&gt;I927,Assumptions!$B$19,IF(H927=I927,Assumptions!$B$20,Assumptions!$B$21)))</f>
        <v>70</v>
      </c>
      <c r="U927" s="8" t="n">
        <f aca="false">ROUND(P927*Assumptions!$B$2+Q927*Assumptions!$B$3+R927*Assumptions!$B$4+S927*Assumptions!$B$5+T927*Assumptions!$B$6,0)</f>
        <v>78</v>
      </c>
      <c r="V927" s="8" t="str">
        <f aca="false">IF(U927&gt;=Assumptions!$B$10,"Healthy",IF(U927&gt;=Assumptions!$B$11,"Needs Attention","High Risk"))</f>
        <v>Needs Attention</v>
      </c>
    </row>
    <row r="928" customFormat="false" ht="15" hidden="false" customHeight="false" outlineLevel="0" collapsed="false">
      <c r="A928" s="8" t="s">
        <v>1997</v>
      </c>
      <c r="B928" s="8" t="s">
        <v>1998</v>
      </c>
      <c r="C928" s="8" t="s">
        <v>51</v>
      </c>
      <c r="D928" s="8" t="s">
        <v>326</v>
      </c>
      <c r="E928" s="8" t="s">
        <v>117</v>
      </c>
      <c r="F928" s="8" t="s">
        <v>136</v>
      </c>
      <c r="G928" s="8" t="s">
        <v>185</v>
      </c>
      <c r="H928" s="15" t="n">
        <v>800</v>
      </c>
      <c r="I928" s="15" t="n">
        <v>800</v>
      </c>
      <c r="J928" s="16" t="n">
        <v>0.719</v>
      </c>
      <c r="K928" s="8" t="n">
        <v>8.3</v>
      </c>
      <c r="L928" s="8" t="n">
        <v>7</v>
      </c>
      <c r="M928" s="8" t="n">
        <v>2</v>
      </c>
      <c r="N928" s="8" t="s">
        <v>120</v>
      </c>
      <c r="O928" s="15" t="n">
        <f aca="false">H928*12</f>
        <v>9600</v>
      </c>
      <c r="P928" s="8" t="n">
        <f aca="false">MIN(100,ROUND(100*J928/Assumptions!$B$8,0))</f>
        <v>80</v>
      </c>
      <c r="Q928" s="8" t="n">
        <f aca="false">IF(L928="",Assumptions!$B$9,L928*10)</f>
        <v>70</v>
      </c>
      <c r="R928" s="8" t="n">
        <f aca="false">IF(M928&lt;=1,Assumptions!$B$12,IF(M928&lt;=3,Assumptions!$B$13,IF(M928&lt;=6,Assumptions!$B$14,Assumptions!$B$15)))</f>
        <v>75</v>
      </c>
      <c r="S928" s="8" t="n">
        <f aca="false">IF(N928="Completed On Time",Assumptions!$B$16,IF(N928="Completed Late",Assumptions!$B$17,Assumptions!$B$18))</f>
        <v>100</v>
      </c>
      <c r="T928" s="8" t="n">
        <f aca="false">IF(I928=0,Assumptions!$B$20,IF(H928&gt;I928,Assumptions!$B$19,IF(H928=I928,Assumptions!$B$20,Assumptions!$B$21)))</f>
        <v>70</v>
      </c>
      <c r="U928" s="8" t="n">
        <f aca="false">ROUND(P928*Assumptions!$B$2+Q928*Assumptions!$B$3+R928*Assumptions!$B$4+S928*Assumptions!$B$5+T928*Assumptions!$B$6,0)</f>
        <v>77</v>
      </c>
      <c r="V928" s="8" t="str">
        <f aca="false">IF(U928&gt;=Assumptions!$B$10,"Healthy",IF(U928&gt;=Assumptions!$B$11,"Needs Attention","High Risk"))</f>
        <v>Needs Attention</v>
      </c>
    </row>
    <row r="929" customFormat="false" ht="15" hidden="false" customHeight="false" outlineLevel="0" collapsed="false">
      <c r="A929" s="8" t="s">
        <v>1999</v>
      </c>
      <c r="B929" s="8" t="s">
        <v>2000</v>
      </c>
      <c r="C929" s="8" t="s">
        <v>51</v>
      </c>
      <c r="D929" s="8" t="s">
        <v>326</v>
      </c>
      <c r="E929" s="8" t="s">
        <v>123</v>
      </c>
      <c r="F929" s="8" t="s">
        <v>166</v>
      </c>
      <c r="G929" s="8" t="s">
        <v>144</v>
      </c>
      <c r="H929" s="15" t="n">
        <v>800</v>
      </c>
      <c r="I929" s="15" t="n">
        <v>800</v>
      </c>
      <c r="J929" s="16" t="n">
        <v>0.813</v>
      </c>
      <c r="K929" s="8" t="n">
        <v>10.7</v>
      </c>
      <c r="L929" s="8" t="n">
        <v>10</v>
      </c>
      <c r="M929" s="8" t="n">
        <v>4</v>
      </c>
      <c r="N929" s="8" t="s">
        <v>120</v>
      </c>
      <c r="O929" s="15" t="n">
        <f aca="false">H929*12</f>
        <v>9600</v>
      </c>
      <c r="P929" s="8" t="n">
        <f aca="false">MIN(100,ROUND(100*J929/Assumptions!$B$8,0))</f>
        <v>90</v>
      </c>
      <c r="Q929" s="8" t="n">
        <f aca="false">IF(L929="",Assumptions!$B$9,L929*10)</f>
        <v>100</v>
      </c>
      <c r="R929" s="8" t="n">
        <f aca="false">IF(M929&lt;=1,Assumptions!$B$12,IF(M929&lt;=3,Assumptions!$B$13,IF(M929&lt;=6,Assumptions!$B$14,Assumptions!$B$15)))</f>
        <v>50</v>
      </c>
      <c r="S929" s="8" t="n">
        <f aca="false">IF(N929="Completed On Time",Assumptions!$B$16,IF(N929="Completed Late",Assumptions!$B$17,Assumptions!$B$18))</f>
        <v>100</v>
      </c>
      <c r="T929" s="8" t="n">
        <f aca="false">IF(I929=0,Assumptions!$B$20,IF(H929&gt;I929,Assumptions!$B$19,IF(H929=I929,Assumptions!$B$20,Assumptions!$B$21)))</f>
        <v>70</v>
      </c>
      <c r="U929" s="8" t="n">
        <f aca="false">ROUND(P929*Assumptions!$B$2+Q929*Assumptions!$B$3+R929*Assumptions!$B$4+S929*Assumptions!$B$5+T929*Assumptions!$B$6,0)</f>
        <v>83</v>
      </c>
      <c r="V929" s="8" t="str">
        <f aca="false">IF(U929&gt;=Assumptions!$B$10,"Healthy",IF(U929&gt;=Assumptions!$B$11,"Needs Attention","High Risk"))</f>
        <v>Healthy</v>
      </c>
    </row>
    <row r="930" customFormat="false" ht="15" hidden="false" customHeight="false" outlineLevel="0" collapsed="false">
      <c r="A930" s="8" t="s">
        <v>2001</v>
      </c>
      <c r="B930" s="8" t="s">
        <v>2002</v>
      </c>
      <c r="C930" s="8" t="s">
        <v>51</v>
      </c>
      <c r="D930" s="8" t="s">
        <v>326</v>
      </c>
      <c r="E930" s="8" t="s">
        <v>117</v>
      </c>
      <c r="F930" s="8" t="s">
        <v>124</v>
      </c>
      <c r="G930" s="8" t="s">
        <v>185</v>
      </c>
      <c r="H930" s="15" t="n">
        <v>775</v>
      </c>
      <c r="I930" s="15" t="n">
        <v>775</v>
      </c>
      <c r="J930" s="16" t="n">
        <v>0.806</v>
      </c>
      <c r="K930" s="8" t="n">
        <v>9</v>
      </c>
      <c r="L930" s="8" t="n">
        <v>8</v>
      </c>
      <c r="M930" s="8" t="n">
        <v>1</v>
      </c>
      <c r="N930" s="8" t="s">
        <v>120</v>
      </c>
      <c r="O930" s="15" t="n">
        <f aca="false">H930*12</f>
        <v>9300</v>
      </c>
      <c r="P930" s="8" t="n">
        <f aca="false">MIN(100,ROUND(100*J930/Assumptions!$B$8,0))</f>
        <v>90</v>
      </c>
      <c r="Q930" s="8" t="n">
        <f aca="false">IF(L930="",Assumptions!$B$9,L930*10)</f>
        <v>80</v>
      </c>
      <c r="R930" s="8" t="n">
        <f aca="false">IF(M930&lt;=1,Assumptions!$B$12,IF(M930&lt;=3,Assumptions!$B$13,IF(M930&lt;=6,Assumptions!$B$14,Assumptions!$B$15)))</f>
        <v>100</v>
      </c>
      <c r="S930" s="8" t="n">
        <f aca="false">IF(N930="Completed On Time",Assumptions!$B$16,IF(N930="Completed Late",Assumptions!$B$17,Assumptions!$B$18))</f>
        <v>100</v>
      </c>
      <c r="T930" s="8" t="n">
        <f aca="false">IF(I930=0,Assumptions!$B$20,IF(H930&gt;I930,Assumptions!$B$19,IF(H930=I930,Assumptions!$B$20,Assumptions!$B$21)))</f>
        <v>70</v>
      </c>
      <c r="U930" s="8" t="n">
        <f aca="false">ROUND(P930*Assumptions!$B$2+Q930*Assumptions!$B$3+R930*Assumptions!$B$4+S930*Assumptions!$B$5+T930*Assumptions!$B$6,0)</f>
        <v>87</v>
      </c>
      <c r="V930" s="8" t="str">
        <f aca="false">IF(U930&gt;=Assumptions!$B$10,"Healthy",IF(U930&gt;=Assumptions!$B$11,"Needs Attention","High Risk"))</f>
        <v>Healthy</v>
      </c>
    </row>
    <row r="931" customFormat="false" ht="15" hidden="false" customHeight="false" outlineLevel="0" collapsed="false">
      <c r="A931" s="8" t="s">
        <v>2003</v>
      </c>
      <c r="B931" s="8" t="s">
        <v>2004</v>
      </c>
      <c r="C931" s="8" t="s">
        <v>51</v>
      </c>
      <c r="D931" s="8" t="s">
        <v>326</v>
      </c>
      <c r="E931" s="8" t="s">
        <v>123</v>
      </c>
      <c r="F931" s="8" t="s">
        <v>133</v>
      </c>
      <c r="G931" s="8" t="s">
        <v>147</v>
      </c>
      <c r="H931" s="15" t="n">
        <v>775</v>
      </c>
      <c r="I931" s="15" t="n">
        <v>775</v>
      </c>
      <c r="J931" s="16" t="n">
        <v>0.828</v>
      </c>
      <c r="K931" s="8" t="n">
        <v>10.3</v>
      </c>
      <c r="L931" s="8" t="n">
        <v>10</v>
      </c>
      <c r="M931" s="8" t="n">
        <v>5</v>
      </c>
      <c r="N931" s="8" t="s">
        <v>120</v>
      </c>
      <c r="O931" s="15" t="n">
        <f aca="false">H931*12</f>
        <v>9300</v>
      </c>
      <c r="P931" s="8" t="n">
        <f aca="false">MIN(100,ROUND(100*J931/Assumptions!$B$8,0))</f>
        <v>92</v>
      </c>
      <c r="Q931" s="8" t="n">
        <f aca="false">IF(L931="",Assumptions!$B$9,L931*10)</f>
        <v>100</v>
      </c>
      <c r="R931" s="8" t="n">
        <f aca="false">IF(M931&lt;=1,Assumptions!$B$12,IF(M931&lt;=3,Assumptions!$B$13,IF(M931&lt;=6,Assumptions!$B$14,Assumptions!$B$15)))</f>
        <v>50</v>
      </c>
      <c r="S931" s="8" t="n">
        <f aca="false">IF(N931="Completed On Time",Assumptions!$B$16,IF(N931="Completed Late",Assumptions!$B$17,Assumptions!$B$18))</f>
        <v>100</v>
      </c>
      <c r="T931" s="8" t="n">
        <f aca="false">IF(I931=0,Assumptions!$B$20,IF(H931&gt;I931,Assumptions!$B$19,IF(H931=I931,Assumptions!$B$20,Assumptions!$B$21)))</f>
        <v>70</v>
      </c>
      <c r="U931" s="8" t="n">
        <f aca="false">ROUND(P931*Assumptions!$B$2+Q931*Assumptions!$B$3+R931*Assumptions!$B$4+S931*Assumptions!$B$5+T931*Assumptions!$B$6,0)</f>
        <v>84</v>
      </c>
      <c r="V931" s="8" t="str">
        <f aca="false">IF(U931&gt;=Assumptions!$B$10,"Healthy",IF(U931&gt;=Assumptions!$B$11,"Needs Attention","High Risk"))</f>
        <v>Healthy</v>
      </c>
    </row>
    <row r="932" customFormat="false" ht="15" hidden="false" customHeight="false" outlineLevel="0" collapsed="false">
      <c r="A932" s="8" t="s">
        <v>2005</v>
      </c>
      <c r="B932" s="8" t="s">
        <v>2006</v>
      </c>
      <c r="C932" s="8" t="s">
        <v>51</v>
      </c>
      <c r="D932" s="8" t="s">
        <v>326</v>
      </c>
      <c r="E932" s="8" t="s">
        <v>123</v>
      </c>
      <c r="F932" s="8" t="s">
        <v>151</v>
      </c>
      <c r="G932" s="8" t="s">
        <v>125</v>
      </c>
      <c r="H932" s="15" t="n">
        <v>775</v>
      </c>
      <c r="I932" s="15" t="n">
        <v>775</v>
      </c>
      <c r="J932" s="16" t="n">
        <v>0.903</v>
      </c>
      <c r="K932" s="8" t="n">
        <v>9.7</v>
      </c>
      <c r="L932" s="8" t="n">
        <v>8</v>
      </c>
      <c r="M932" s="8" t="n">
        <v>1</v>
      </c>
      <c r="N932" s="8" t="s">
        <v>120</v>
      </c>
      <c r="O932" s="15" t="n">
        <f aca="false">H932*12</f>
        <v>9300</v>
      </c>
      <c r="P932" s="8" t="n">
        <f aca="false">MIN(100,ROUND(100*J932/Assumptions!$B$8,0))</f>
        <v>100</v>
      </c>
      <c r="Q932" s="8" t="n">
        <f aca="false">IF(L932="",Assumptions!$B$9,L932*10)</f>
        <v>80</v>
      </c>
      <c r="R932" s="8" t="n">
        <f aca="false">IF(M932&lt;=1,Assumptions!$B$12,IF(M932&lt;=3,Assumptions!$B$13,IF(M932&lt;=6,Assumptions!$B$14,Assumptions!$B$15)))</f>
        <v>100</v>
      </c>
      <c r="S932" s="8" t="n">
        <f aca="false">IF(N932="Completed On Time",Assumptions!$B$16,IF(N932="Completed Late",Assumptions!$B$17,Assumptions!$B$18))</f>
        <v>100</v>
      </c>
      <c r="T932" s="8" t="n">
        <f aca="false">IF(I932=0,Assumptions!$B$20,IF(H932&gt;I932,Assumptions!$B$19,IF(H932=I932,Assumptions!$B$20,Assumptions!$B$21)))</f>
        <v>70</v>
      </c>
      <c r="U932" s="8" t="n">
        <f aca="false">ROUND(P932*Assumptions!$B$2+Q932*Assumptions!$B$3+R932*Assumptions!$B$4+S932*Assumptions!$B$5+T932*Assumptions!$B$6,0)</f>
        <v>90</v>
      </c>
      <c r="V932" s="8" t="str">
        <f aca="false">IF(U932&gt;=Assumptions!$B$10,"Healthy",IF(U932&gt;=Assumptions!$B$11,"Needs Attention","High Risk"))</f>
        <v>Healthy</v>
      </c>
    </row>
    <row r="933" customFormat="false" ht="15" hidden="false" customHeight="false" outlineLevel="0" collapsed="false">
      <c r="A933" s="8" t="s">
        <v>2007</v>
      </c>
      <c r="B933" s="8" t="s">
        <v>2008</v>
      </c>
      <c r="C933" s="8" t="s">
        <v>51</v>
      </c>
      <c r="D933" s="8" t="s">
        <v>326</v>
      </c>
      <c r="E933" s="8" t="s">
        <v>132</v>
      </c>
      <c r="F933" s="8" t="s">
        <v>223</v>
      </c>
      <c r="G933" s="8" t="s">
        <v>144</v>
      </c>
      <c r="H933" s="15" t="n">
        <v>775</v>
      </c>
      <c r="I933" s="15" t="n">
        <v>775</v>
      </c>
      <c r="J933" s="16" t="n">
        <v>0.667</v>
      </c>
      <c r="K933" s="8" t="n">
        <v>7</v>
      </c>
      <c r="L933" s="8" t="n">
        <v>7</v>
      </c>
      <c r="M933" s="8" t="n">
        <v>5</v>
      </c>
      <c r="N933" s="8" t="s">
        <v>120</v>
      </c>
      <c r="O933" s="15" t="n">
        <f aca="false">H933*12</f>
        <v>9300</v>
      </c>
      <c r="P933" s="8" t="n">
        <f aca="false">MIN(100,ROUND(100*J933/Assumptions!$B$8,0))</f>
        <v>74</v>
      </c>
      <c r="Q933" s="8" t="n">
        <f aca="false">IF(L933="",Assumptions!$B$9,L933*10)</f>
        <v>70</v>
      </c>
      <c r="R933" s="8" t="n">
        <f aca="false">IF(M933&lt;=1,Assumptions!$B$12,IF(M933&lt;=3,Assumptions!$B$13,IF(M933&lt;=6,Assumptions!$B$14,Assumptions!$B$15)))</f>
        <v>50</v>
      </c>
      <c r="S933" s="8" t="n">
        <f aca="false">IF(N933="Completed On Time",Assumptions!$B$16,IF(N933="Completed Late",Assumptions!$B$17,Assumptions!$B$18))</f>
        <v>100</v>
      </c>
      <c r="T933" s="8" t="n">
        <f aca="false">IF(I933=0,Assumptions!$B$20,IF(H933&gt;I933,Assumptions!$B$19,IF(H933=I933,Assumptions!$B$20,Assumptions!$B$21)))</f>
        <v>70</v>
      </c>
      <c r="U933" s="8" t="n">
        <f aca="false">ROUND(P933*Assumptions!$B$2+Q933*Assumptions!$B$3+R933*Assumptions!$B$4+S933*Assumptions!$B$5+T933*Assumptions!$B$6,0)</f>
        <v>71</v>
      </c>
      <c r="V933" s="8" t="str">
        <f aca="false">IF(U933&gt;=Assumptions!$B$10,"Healthy",IF(U933&gt;=Assumptions!$B$11,"Needs Attention","High Risk"))</f>
        <v>Needs Attention</v>
      </c>
    </row>
    <row r="934" customFormat="false" ht="15" hidden="false" customHeight="false" outlineLevel="0" collapsed="false">
      <c r="A934" s="8" t="s">
        <v>2009</v>
      </c>
      <c r="B934" s="8" t="s">
        <v>2010</v>
      </c>
      <c r="C934" s="8" t="s">
        <v>51</v>
      </c>
      <c r="D934" s="8" t="s">
        <v>326</v>
      </c>
      <c r="E934" s="8" t="s">
        <v>117</v>
      </c>
      <c r="F934" s="8" t="s">
        <v>151</v>
      </c>
      <c r="G934" s="8" t="s">
        <v>147</v>
      </c>
      <c r="H934" s="15" t="n">
        <v>775</v>
      </c>
      <c r="I934" s="15" t="n">
        <v>775</v>
      </c>
      <c r="J934" s="16" t="n">
        <v>0.753</v>
      </c>
      <c r="K934" s="8" t="n">
        <v>9.3</v>
      </c>
      <c r="L934" s="8" t="n">
        <v>9</v>
      </c>
      <c r="M934" s="8" t="n">
        <v>3</v>
      </c>
      <c r="N934" s="8" t="s">
        <v>120</v>
      </c>
      <c r="O934" s="15" t="n">
        <f aca="false">H934*12</f>
        <v>9300</v>
      </c>
      <c r="P934" s="8" t="n">
        <f aca="false">MIN(100,ROUND(100*J934/Assumptions!$B$8,0))</f>
        <v>84</v>
      </c>
      <c r="Q934" s="8" t="n">
        <f aca="false">IF(L934="",Assumptions!$B$9,L934*10)</f>
        <v>90</v>
      </c>
      <c r="R934" s="8" t="n">
        <f aca="false">IF(M934&lt;=1,Assumptions!$B$12,IF(M934&lt;=3,Assumptions!$B$13,IF(M934&lt;=6,Assumptions!$B$14,Assumptions!$B$15)))</f>
        <v>75</v>
      </c>
      <c r="S934" s="8" t="n">
        <f aca="false">IF(N934="Completed On Time",Assumptions!$B$16,IF(N934="Completed Late",Assumptions!$B$17,Assumptions!$B$18))</f>
        <v>100</v>
      </c>
      <c r="T934" s="8" t="n">
        <f aca="false">IF(I934=0,Assumptions!$B$20,IF(H934&gt;I934,Assumptions!$B$19,IF(H934=I934,Assumptions!$B$20,Assumptions!$B$21)))</f>
        <v>70</v>
      </c>
      <c r="U934" s="8" t="n">
        <f aca="false">ROUND(P934*Assumptions!$B$2+Q934*Assumptions!$B$3+R934*Assumptions!$B$4+S934*Assumptions!$B$5+T934*Assumptions!$B$6,0)</f>
        <v>83</v>
      </c>
      <c r="V934" s="8" t="str">
        <f aca="false">IF(U934&gt;=Assumptions!$B$10,"Healthy",IF(U934&gt;=Assumptions!$B$11,"Needs Attention","High Risk"))</f>
        <v>Healthy</v>
      </c>
    </row>
    <row r="935" customFormat="false" ht="15" hidden="false" customHeight="false" outlineLevel="0" collapsed="false">
      <c r="A935" s="8" t="s">
        <v>2011</v>
      </c>
      <c r="B935" s="8" t="s">
        <v>2012</v>
      </c>
      <c r="C935" s="8" t="s">
        <v>51</v>
      </c>
      <c r="D935" s="8" t="s">
        <v>326</v>
      </c>
      <c r="E935" s="8" t="s">
        <v>123</v>
      </c>
      <c r="F935" s="8" t="s">
        <v>151</v>
      </c>
      <c r="G935" s="8" t="s">
        <v>140</v>
      </c>
      <c r="H935" s="15" t="n">
        <v>775</v>
      </c>
      <c r="I935" s="15" t="n">
        <v>775</v>
      </c>
      <c r="J935" s="16" t="n">
        <v>0.785</v>
      </c>
      <c r="K935" s="8" t="n">
        <v>9</v>
      </c>
      <c r="L935" s="8" t="n">
        <v>9</v>
      </c>
      <c r="M935" s="8" t="n">
        <v>3</v>
      </c>
      <c r="N935" s="8" t="s">
        <v>120</v>
      </c>
      <c r="O935" s="15" t="n">
        <f aca="false">H935*12</f>
        <v>9300</v>
      </c>
      <c r="P935" s="8" t="n">
        <f aca="false">MIN(100,ROUND(100*J935/Assumptions!$B$8,0))</f>
        <v>87</v>
      </c>
      <c r="Q935" s="8" t="n">
        <f aca="false">IF(L935="",Assumptions!$B$9,L935*10)</f>
        <v>90</v>
      </c>
      <c r="R935" s="8" t="n">
        <f aca="false">IF(M935&lt;=1,Assumptions!$B$12,IF(M935&lt;=3,Assumptions!$B$13,IF(M935&lt;=6,Assumptions!$B$14,Assumptions!$B$15)))</f>
        <v>75</v>
      </c>
      <c r="S935" s="8" t="n">
        <f aca="false">IF(N935="Completed On Time",Assumptions!$B$16,IF(N935="Completed Late",Assumptions!$B$17,Assumptions!$B$18))</f>
        <v>100</v>
      </c>
      <c r="T935" s="8" t="n">
        <f aca="false">IF(I935=0,Assumptions!$B$20,IF(H935&gt;I935,Assumptions!$B$19,IF(H935=I935,Assumptions!$B$20,Assumptions!$B$21)))</f>
        <v>70</v>
      </c>
      <c r="U935" s="8" t="n">
        <f aca="false">ROUND(P935*Assumptions!$B$2+Q935*Assumptions!$B$3+R935*Assumptions!$B$4+S935*Assumptions!$B$5+T935*Assumptions!$B$6,0)</f>
        <v>84</v>
      </c>
      <c r="V935" s="8" t="str">
        <f aca="false">IF(U935&gt;=Assumptions!$B$10,"Healthy",IF(U935&gt;=Assumptions!$B$11,"Needs Attention","High Risk"))</f>
        <v>Healthy</v>
      </c>
    </row>
    <row r="936" customFormat="false" ht="15" hidden="false" customHeight="false" outlineLevel="0" collapsed="false">
      <c r="A936" s="8" t="s">
        <v>2013</v>
      </c>
      <c r="B936" s="8" t="s">
        <v>2014</v>
      </c>
      <c r="C936" s="8" t="s">
        <v>51</v>
      </c>
      <c r="D936" s="8" t="s">
        <v>326</v>
      </c>
      <c r="E936" s="8" t="s">
        <v>123</v>
      </c>
      <c r="F936" s="8" t="s">
        <v>133</v>
      </c>
      <c r="G936" s="8" t="s">
        <v>137</v>
      </c>
      <c r="H936" s="15" t="n">
        <v>775</v>
      </c>
      <c r="I936" s="15" t="n">
        <v>775</v>
      </c>
      <c r="J936" s="16" t="n">
        <v>0.688</v>
      </c>
      <c r="K936" s="8" t="n">
        <v>9.3</v>
      </c>
      <c r="L936" s="8" t="n">
        <v>10</v>
      </c>
      <c r="M936" s="8" t="n">
        <v>1</v>
      </c>
      <c r="N936" s="8" t="s">
        <v>120</v>
      </c>
      <c r="O936" s="15" t="n">
        <f aca="false">H936*12</f>
        <v>9300</v>
      </c>
      <c r="P936" s="8" t="n">
        <f aca="false">MIN(100,ROUND(100*J936/Assumptions!$B$8,0))</f>
        <v>76</v>
      </c>
      <c r="Q936" s="8" t="n">
        <f aca="false">IF(L936="",Assumptions!$B$9,L936*10)</f>
        <v>100</v>
      </c>
      <c r="R936" s="8" t="n">
        <f aca="false">IF(M936&lt;=1,Assumptions!$B$12,IF(M936&lt;=3,Assumptions!$B$13,IF(M936&lt;=6,Assumptions!$B$14,Assumptions!$B$15)))</f>
        <v>100</v>
      </c>
      <c r="S936" s="8" t="n">
        <f aca="false">IF(N936="Completed On Time",Assumptions!$B$16,IF(N936="Completed Late",Assumptions!$B$17,Assumptions!$B$18))</f>
        <v>100</v>
      </c>
      <c r="T936" s="8" t="n">
        <f aca="false">IF(I936=0,Assumptions!$B$20,IF(H936&gt;I936,Assumptions!$B$19,IF(H936=I936,Assumptions!$B$20,Assumptions!$B$21)))</f>
        <v>70</v>
      </c>
      <c r="U936" s="8" t="n">
        <f aca="false">ROUND(P936*Assumptions!$B$2+Q936*Assumptions!$B$3+R936*Assumptions!$B$4+S936*Assumptions!$B$5+T936*Assumptions!$B$6,0)</f>
        <v>86</v>
      </c>
      <c r="V936" s="8" t="str">
        <f aca="false">IF(U936&gt;=Assumptions!$B$10,"Healthy",IF(U936&gt;=Assumptions!$B$11,"Needs Attention","High Risk"))</f>
        <v>Healthy</v>
      </c>
    </row>
    <row r="937" customFormat="false" ht="15" hidden="false" customHeight="false" outlineLevel="0" collapsed="false">
      <c r="A937" s="8" t="s">
        <v>2015</v>
      </c>
      <c r="B937" s="8" t="s">
        <v>2016</v>
      </c>
      <c r="C937" s="8" t="s">
        <v>51</v>
      </c>
      <c r="D937" s="8" t="s">
        <v>326</v>
      </c>
      <c r="E937" s="8" t="s">
        <v>128</v>
      </c>
      <c r="F937" s="8" t="s">
        <v>118</v>
      </c>
      <c r="G937" s="8" t="s">
        <v>177</v>
      </c>
      <c r="H937" s="15" t="n">
        <v>775</v>
      </c>
      <c r="I937" s="15" t="n">
        <v>775</v>
      </c>
      <c r="J937" s="16" t="n">
        <v>0.667</v>
      </c>
      <c r="K937" s="8" t="n">
        <v>5.7</v>
      </c>
      <c r="L937" s="8" t="n">
        <v>7</v>
      </c>
      <c r="M937" s="8" t="n">
        <v>1</v>
      </c>
      <c r="N937" s="8" t="s">
        <v>120</v>
      </c>
      <c r="O937" s="15" t="n">
        <f aca="false">H937*12</f>
        <v>9300</v>
      </c>
      <c r="P937" s="8" t="n">
        <f aca="false">MIN(100,ROUND(100*J937/Assumptions!$B$8,0))</f>
        <v>74</v>
      </c>
      <c r="Q937" s="8" t="n">
        <f aca="false">IF(L937="",Assumptions!$B$9,L937*10)</f>
        <v>70</v>
      </c>
      <c r="R937" s="8" t="n">
        <f aca="false">IF(M937&lt;=1,Assumptions!$B$12,IF(M937&lt;=3,Assumptions!$B$13,IF(M937&lt;=6,Assumptions!$B$14,Assumptions!$B$15)))</f>
        <v>100</v>
      </c>
      <c r="S937" s="8" t="n">
        <f aca="false">IF(N937="Completed On Time",Assumptions!$B$16,IF(N937="Completed Late",Assumptions!$B$17,Assumptions!$B$18))</f>
        <v>100</v>
      </c>
      <c r="T937" s="8" t="n">
        <f aca="false">IF(I937=0,Assumptions!$B$20,IF(H937&gt;I937,Assumptions!$B$19,IF(H937=I937,Assumptions!$B$20,Assumptions!$B$21)))</f>
        <v>70</v>
      </c>
      <c r="U937" s="8" t="n">
        <f aca="false">ROUND(P937*Assumptions!$B$2+Q937*Assumptions!$B$3+R937*Assumptions!$B$4+S937*Assumptions!$B$5+T937*Assumptions!$B$6,0)</f>
        <v>79</v>
      </c>
      <c r="V937" s="8" t="str">
        <f aca="false">IF(U937&gt;=Assumptions!$B$10,"Healthy",IF(U937&gt;=Assumptions!$B$11,"Needs Attention","High Risk"))</f>
        <v>Needs Attention</v>
      </c>
    </row>
    <row r="938" customFormat="false" ht="15" hidden="false" customHeight="false" outlineLevel="0" collapsed="false">
      <c r="A938" s="8" t="s">
        <v>2017</v>
      </c>
      <c r="B938" s="8" t="s">
        <v>2018</v>
      </c>
      <c r="C938" s="8" t="s">
        <v>51</v>
      </c>
      <c r="D938" s="8" t="s">
        <v>326</v>
      </c>
      <c r="E938" s="8" t="s">
        <v>132</v>
      </c>
      <c r="F938" s="8" t="s">
        <v>154</v>
      </c>
      <c r="G938" s="8" t="s">
        <v>144</v>
      </c>
      <c r="H938" s="15" t="n">
        <v>775</v>
      </c>
      <c r="I938" s="15" t="n">
        <v>775</v>
      </c>
      <c r="J938" s="16" t="n">
        <v>0.925</v>
      </c>
      <c r="K938" s="8" t="n">
        <v>10.3</v>
      </c>
      <c r="L938" s="8" t="n">
        <v>10</v>
      </c>
      <c r="M938" s="8" t="n">
        <v>0</v>
      </c>
      <c r="N938" s="8" t="s">
        <v>120</v>
      </c>
      <c r="O938" s="15" t="n">
        <f aca="false">H938*12</f>
        <v>9300</v>
      </c>
      <c r="P938" s="8" t="n">
        <f aca="false">MIN(100,ROUND(100*J938/Assumptions!$B$8,0))</f>
        <v>100</v>
      </c>
      <c r="Q938" s="8" t="n">
        <f aca="false">IF(L938="",Assumptions!$B$9,L938*10)</f>
        <v>100</v>
      </c>
      <c r="R938" s="8" t="n">
        <f aca="false">IF(M938&lt;=1,Assumptions!$B$12,IF(M938&lt;=3,Assumptions!$B$13,IF(M938&lt;=6,Assumptions!$B$14,Assumptions!$B$15)))</f>
        <v>100</v>
      </c>
      <c r="S938" s="8" t="n">
        <f aca="false">IF(N938="Completed On Time",Assumptions!$B$16,IF(N938="Completed Late",Assumptions!$B$17,Assumptions!$B$18))</f>
        <v>100</v>
      </c>
      <c r="T938" s="8" t="n">
        <f aca="false">IF(I938=0,Assumptions!$B$20,IF(H938&gt;I938,Assumptions!$B$19,IF(H938=I938,Assumptions!$B$20,Assumptions!$B$21)))</f>
        <v>70</v>
      </c>
      <c r="U938" s="8" t="n">
        <f aca="false">ROUND(P938*Assumptions!$B$2+Q938*Assumptions!$B$3+R938*Assumptions!$B$4+S938*Assumptions!$B$5+T938*Assumptions!$B$6,0)</f>
        <v>94</v>
      </c>
      <c r="V938" s="8" t="str">
        <f aca="false">IF(U938&gt;=Assumptions!$B$10,"Healthy",IF(U938&gt;=Assumptions!$B$11,"Needs Attention","High Risk"))</f>
        <v>Healthy</v>
      </c>
    </row>
    <row r="939" customFormat="false" ht="15" hidden="false" customHeight="false" outlineLevel="0" collapsed="false">
      <c r="A939" s="8" t="s">
        <v>2019</v>
      </c>
      <c r="B939" s="8" t="s">
        <v>2020</v>
      </c>
      <c r="C939" s="8" t="s">
        <v>51</v>
      </c>
      <c r="D939" s="8" t="s">
        <v>326</v>
      </c>
      <c r="E939" s="8" t="s">
        <v>123</v>
      </c>
      <c r="F939" s="8" t="s">
        <v>124</v>
      </c>
      <c r="G939" s="8" t="s">
        <v>185</v>
      </c>
      <c r="H939" s="15" t="n">
        <v>775</v>
      </c>
      <c r="I939" s="15" t="n">
        <v>775</v>
      </c>
      <c r="J939" s="16" t="n">
        <v>0.785</v>
      </c>
      <c r="K939" s="8" t="n">
        <v>9</v>
      </c>
      <c r="L939" s="8" t="n">
        <v>8</v>
      </c>
      <c r="M939" s="8" t="n">
        <v>3</v>
      </c>
      <c r="N939" s="8" t="s">
        <v>120</v>
      </c>
      <c r="O939" s="15" t="n">
        <f aca="false">H939*12</f>
        <v>9300</v>
      </c>
      <c r="P939" s="8" t="n">
        <f aca="false">MIN(100,ROUND(100*J939/Assumptions!$B$8,0))</f>
        <v>87</v>
      </c>
      <c r="Q939" s="8" t="n">
        <f aca="false">IF(L939="",Assumptions!$B$9,L939*10)</f>
        <v>80</v>
      </c>
      <c r="R939" s="8" t="n">
        <f aca="false">IF(M939&lt;=1,Assumptions!$B$12,IF(M939&lt;=3,Assumptions!$B$13,IF(M939&lt;=6,Assumptions!$B$14,Assumptions!$B$15)))</f>
        <v>75</v>
      </c>
      <c r="S939" s="8" t="n">
        <f aca="false">IF(N939="Completed On Time",Assumptions!$B$16,IF(N939="Completed Late",Assumptions!$B$17,Assumptions!$B$18))</f>
        <v>100</v>
      </c>
      <c r="T939" s="8" t="n">
        <f aca="false">IF(I939=0,Assumptions!$B$20,IF(H939&gt;I939,Assumptions!$B$19,IF(H939=I939,Assumptions!$B$20,Assumptions!$B$21)))</f>
        <v>70</v>
      </c>
      <c r="U939" s="8" t="n">
        <f aca="false">ROUND(P939*Assumptions!$B$2+Q939*Assumptions!$B$3+R939*Assumptions!$B$4+S939*Assumptions!$B$5+T939*Assumptions!$B$6,0)</f>
        <v>82</v>
      </c>
      <c r="V939" s="8" t="str">
        <f aca="false">IF(U939&gt;=Assumptions!$B$10,"Healthy",IF(U939&gt;=Assumptions!$B$11,"Needs Attention","High Risk"))</f>
        <v>Healthy</v>
      </c>
    </row>
    <row r="940" customFormat="false" ht="15" hidden="false" customHeight="false" outlineLevel="0" collapsed="false">
      <c r="A940" s="8" t="s">
        <v>2021</v>
      </c>
      <c r="B940" s="8" t="s">
        <v>2022</v>
      </c>
      <c r="C940" s="8" t="s">
        <v>51</v>
      </c>
      <c r="D940" s="8" t="s">
        <v>326</v>
      </c>
      <c r="E940" s="8" t="s">
        <v>123</v>
      </c>
      <c r="F940" s="8" t="s">
        <v>154</v>
      </c>
      <c r="G940" s="8" t="s">
        <v>137</v>
      </c>
      <c r="H940" s="15" t="n">
        <v>775</v>
      </c>
      <c r="I940" s="15" t="n">
        <v>775</v>
      </c>
      <c r="J940" s="16" t="n">
        <v>0.774</v>
      </c>
      <c r="K940" s="8" t="n">
        <v>8.7</v>
      </c>
      <c r="L940" s="8" t="n">
        <v>7</v>
      </c>
      <c r="M940" s="8" t="n">
        <v>1</v>
      </c>
      <c r="N940" s="8" t="s">
        <v>120</v>
      </c>
      <c r="O940" s="15" t="n">
        <f aca="false">H940*12</f>
        <v>9300</v>
      </c>
      <c r="P940" s="8" t="n">
        <f aca="false">MIN(100,ROUND(100*J940/Assumptions!$B$8,0))</f>
        <v>86</v>
      </c>
      <c r="Q940" s="8" t="n">
        <f aca="false">IF(L940="",Assumptions!$B$9,L940*10)</f>
        <v>70</v>
      </c>
      <c r="R940" s="8" t="n">
        <f aca="false">IF(M940&lt;=1,Assumptions!$B$12,IF(M940&lt;=3,Assumptions!$B$13,IF(M940&lt;=6,Assumptions!$B$14,Assumptions!$B$15)))</f>
        <v>100</v>
      </c>
      <c r="S940" s="8" t="n">
        <f aca="false">IF(N940="Completed On Time",Assumptions!$B$16,IF(N940="Completed Late",Assumptions!$B$17,Assumptions!$B$18))</f>
        <v>100</v>
      </c>
      <c r="T940" s="8" t="n">
        <f aca="false">IF(I940=0,Assumptions!$B$20,IF(H940&gt;I940,Assumptions!$B$19,IF(H940=I940,Assumptions!$B$20,Assumptions!$B$21)))</f>
        <v>70</v>
      </c>
      <c r="U940" s="8" t="n">
        <f aca="false">ROUND(P940*Assumptions!$B$2+Q940*Assumptions!$B$3+R940*Assumptions!$B$4+S940*Assumptions!$B$5+T940*Assumptions!$B$6,0)</f>
        <v>83</v>
      </c>
      <c r="V940" s="8" t="str">
        <f aca="false">IF(U940&gt;=Assumptions!$B$10,"Healthy",IF(U940&gt;=Assumptions!$B$11,"Needs Attention","High Risk"))</f>
        <v>Healthy</v>
      </c>
    </row>
    <row r="941" customFormat="false" ht="15" hidden="false" customHeight="false" outlineLevel="0" collapsed="false">
      <c r="A941" s="8" t="s">
        <v>2023</v>
      </c>
      <c r="B941" s="8" t="s">
        <v>2024</v>
      </c>
      <c r="C941" s="8" t="s">
        <v>51</v>
      </c>
      <c r="D941" s="8" t="s">
        <v>326</v>
      </c>
      <c r="E941" s="8" t="s">
        <v>132</v>
      </c>
      <c r="F941" s="8" t="s">
        <v>133</v>
      </c>
      <c r="G941" s="8" t="s">
        <v>177</v>
      </c>
      <c r="H941" s="15" t="n">
        <v>775</v>
      </c>
      <c r="I941" s="15" t="n">
        <v>775</v>
      </c>
      <c r="J941" s="16" t="n">
        <v>0.624</v>
      </c>
      <c r="K941" s="8" t="n">
        <v>6</v>
      </c>
      <c r="L941" s="8" t="n">
        <v>7</v>
      </c>
      <c r="M941" s="8" t="n">
        <v>5</v>
      </c>
      <c r="N941" s="8" t="s">
        <v>120</v>
      </c>
      <c r="O941" s="15" t="n">
        <f aca="false">H941*12</f>
        <v>9300</v>
      </c>
      <c r="P941" s="8" t="n">
        <f aca="false">MIN(100,ROUND(100*J941/Assumptions!$B$8,0))</f>
        <v>69</v>
      </c>
      <c r="Q941" s="8" t="n">
        <f aca="false">IF(L941="",Assumptions!$B$9,L941*10)</f>
        <v>70</v>
      </c>
      <c r="R941" s="8" t="n">
        <f aca="false">IF(M941&lt;=1,Assumptions!$B$12,IF(M941&lt;=3,Assumptions!$B$13,IF(M941&lt;=6,Assumptions!$B$14,Assumptions!$B$15)))</f>
        <v>50</v>
      </c>
      <c r="S941" s="8" t="n">
        <f aca="false">IF(N941="Completed On Time",Assumptions!$B$16,IF(N941="Completed Late",Assumptions!$B$17,Assumptions!$B$18))</f>
        <v>100</v>
      </c>
      <c r="T941" s="8" t="n">
        <f aca="false">IF(I941=0,Assumptions!$B$20,IF(H941&gt;I941,Assumptions!$B$19,IF(H941=I941,Assumptions!$B$20,Assumptions!$B$21)))</f>
        <v>70</v>
      </c>
      <c r="U941" s="8" t="n">
        <f aca="false">ROUND(P941*Assumptions!$B$2+Q941*Assumptions!$B$3+R941*Assumptions!$B$4+S941*Assumptions!$B$5+T941*Assumptions!$B$6,0)</f>
        <v>70</v>
      </c>
      <c r="V941" s="8" t="str">
        <f aca="false">IF(U941&gt;=Assumptions!$B$10,"Healthy",IF(U941&gt;=Assumptions!$B$11,"Needs Attention","High Risk"))</f>
        <v>Needs Attention</v>
      </c>
    </row>
    <row r="942" customFormat="false" ht="15" hidden="false" customHeight="false" outlineLevel="0" collapsed="false">
      <c r="A942" s="8" t="s">
        <v>2025</v>
      </c>
      <c r="B942" s="8" t="s">
        <v>2026</v>
      </c>
      <c r="C942" s="8" t="s">
        <v>51</v>
      </c>
      <c r="D942" s="8" t="s">
        <v>2027</v>
      </c>
      <c r="E942" s="8" t="s">
        <v>123</v>
      </c>
      <c r="F942" s="8" t="s">
        <v>143</v>
      </c>
      <c r="G942" s="8" t="s">
        <v>119</v>
      </c>
      <c r="H942" s="15" t="n">
        <v>768</v>
      </c>
      <c r="I942" s="15" t="n">
        <v>768</v>
      </c>
      <c r="J942" s="16" t="n">
        <v>0.917</v>
      </c>
      <c r="K942" s="8" t="n">
        <v>12</v>
      </c>
      <c r="L942" s="8" t="n">
        <v>6</v>
      </c>
      <c r="M942" s="8" t="n">
        <v>0</v>
      </c>
      <c r="N942" s="8" t="s">
        <v>120</v>
      </c>
      <c r="O942" s="15" t="n">
        <f aca="false">H942*12</f>
        <v>9216</v>
      </c>
      <c r="P942" s="8" t="n">
        <f aca="false">MIN(100,ROUND(100*J942/Assumptions!$B$8,0))</f>
        <v>100</v>
      </c>
      <c r="Q942" s="8" t="n">
        <f aca="false">IF(L942="",Assumptions!$B$9,L942*10)</f>
        <v>60</v>
      </c>
      <c r="R942" s="8" t="n">
        <f aca="false">IF(M942&lt;=1,Assumptions!$B$12,IF(M942&lt;=3,Assumptions!$B$13,IF(M942&lt;=6,Assumptions!$B$14,Assumptions!$B$15)))</f>
        <v>100</v>
      </c>
      <c r="S942" s="8" t="n">
        <f aca="false">IF(N942="Completed On Time",Assumptions!$B$16,IF(N942="Completed Late",Assumptions!$B$17,Assumptions!$B$18))</f>
        <v>100</v>
      </c>
      <c r="T942" s="8" t="n">
        <f aca="false">IF(I942=0,Assumptions!$B$20,IF(H942&gt;I942,Assumptions!$B$19,IF(H942=I942,Assumptions!$B$20,Assumptions!$B$21)))</f>
        <v>70</v>
      </c>
      <c r="U942" s="8" t="n">
        <f aca="false">ROUND(P942*Assumptions!$B$2+Q942*Assumptions!$B$3+R942*Assumptions!$B$4+S942*Assumptions!$B$5+T942*Assumptions!$B$6,0)</f>
        <v>86</v>
      </c>
      <c r="V942" s="8" t="str">
        <f aca="false">IF(U942&gt;=Assumptions!$B$10,"Healthy",IF(U942&gt;=Assumptions!$B$11,"Needs Attention","High Risk"))</f>
        <v>Healthy</v>
      </c>
    </row>
    <row r="943" customFormat="false" ht="15" hidden="false" customHeight="false" outlineLevel="0" collapsed="false">
      <c r="A943" s="8" t="s">
        <v>2028</v>
      </c>
      <c r="B943" s="8" t="s">
        <v>2029</v>
      </c>
      <c r="C943" s="8" t="s">
        <v>51</v>
      </c>
      <c r="D943" s="8" t="s">
        <v>326</v>
      </c>
      <c r="E943" s="8" t="s">
        <v>117</v>
      </c>
      <c r="F943" s="8" t="s">
        <v>124</v>
      </c>
      <c r="G943" s="8" t="s">
        <v>180</v>
      </c>
      <c r="H943" s="15" t="n">
        <v>750</v>
      </c>
      <c r="I943" s="15" t="n">
        <v>0</v>
      </c>
      <c r="J943" s="16" t="n">
        <v>0.65</v>
      </c>
      <c r="K943" s="8" t="n">
        <v>6</v>
      </c>
      <c r="L943" s="8"/>
      <c r="M943" s="8" t="n">
        <v>2</v>
      </c>
      <c r="N943" s="8" t="s">
        <v>120</v>
      </c>
      <c r="O943" s="15" t="n">
        <f aca="false">H943*12</f>
        <v>9000</v>
      </c>
      <c r="P943" s="8" t="n">
        <f aca="false">MIN(100,ROUND(100*J943/Assumptions!$B$8,0))</f>
        <v>72</v>
      </c>
      <c r="Q943" s="8" t="n">
        <f aca="false">IF(L943="",Assumptions!$B$9,L943*10)</f>
        <v>50</v>
      </c>
      <c r="R943" s="8" t="n">
        <f aca="false">IF(M943&lt;=1,Assumptions!$B$12,IF(M943&lt;=3,Assumptions!$B$13,IF(M943&lt;=6,Assumptions!$B$14,Assumptions!$B$15)))</f>
        <v>75</v>
      </c>
      <c r="S943" s="8" t="n">
        <f aca="false">IF(N943="Completed On Time",Assumptions!$B$16,IF(N943="Completed Late",Assumptions!$B$17,Assumptions!$B$18))</f>
        <v>100</v>
      </c>
      <c r="T943" s="8" t="n">
        <f aca="false">IF(I943=0,Assumptions!$B$20,IF(H943&gt;I943,Assumptions!$B$19,IF(H943=I943,Assumptions!$B$20,Assumptions!$B$21)))</f>
        <v>70</v>
      </c>
      <c r="U943" s="8" t="n">
        <f aca="false">ROUND(P943*Assumptions!$B$2+Q943*Assumptions!$B$3+R943*Assumptions!$B$4+S943*Assumptions!$B$5+T943*Assumptions!$B$6,0)</f>
        <v>70</v>
      </c>
      <c r="V943" s="8" t="str">
        <f aca="false">IF(U943&gt;=Assumptions!$B$10,"Healthy",IF(U943&gt;=Assumptions!$B$11,"Needs Attention","High Risk"))</f>
        <v>Needs Attention</v>
      </c>
    </row>
    <row r="944" customFormat="false" ht="15" hidden="false" customHeight="false" outlineLevel="0" collapsed="false">
      <c r="A944" s="8" t="s">
        <v>2030</v>
      </c>
      <c r="B944" s="8" t="s">
        <v>2031</v>
      </c>
      <c r="C944" s="8" t="s">
        <v>51</v>
      </c>
      <c r="D944" s="8" t="s">
        <v>326</v>
      </c>
      <c r="E944" s="8" t="s">
        <v>123</v>
      </c>
      <c r="F944" s="8" t="s">
        <v>124</v>
      </c>
      <c r="G944" s="8" t="s">
        <v>204</v>
      </c>
      <c r="H944" s="15" t="n">
        <v>750</v>
      </c>
      <c r="I944" s="15" t="n">
        <v>750</v>
      </c>
      <c r="J944" s="16" t="n">
        <v>0.878</v>
      </c>
      <c r="K944" s="8" t="n">
        <v>11.7</v>
      </c>
      <c r="L944" s="8" t="n">
        <v>10</v>
      </c>
      <c r="M944" s="8" t="n">
        <v>0</v>
      </c>
      <c r="N944" s="8" t="s">
        <v>120</v>
      </c>
      <c r="O944" s="15" t="n">
        <f aca="false">H944*12</f>
        <v>9000</v>
      </c>
      <c r="P944" s="8" t="n">
        <f aca="false">MIN(100,ROUND(100*J944/Assumptions!$B$8,0))</f>
        <v>98</v>
      </c>
      <c r="Q944" s="8" t="n">
        <f aca="false">IF(L944="",Assumptions!$B$9,L944*10)</f>
        <v>100</v>
      </c>
      <c r="R944" s="8" t="n">
        <f aca="false">IF(M944&lt;=1,Assumptions!$B$12,IF(M944&lt;=3,Assumptions!$B$13,IF(M944&lt;=6,Assumptions!$B$14,Assumptions!$B$15)))</f>
        <v>100</v>
      </c>
      <c r="S944" s="8" t="n">
        <f aca="false">IF(N944="Completed On Time",Assumptions!$B$16,IF(N944="Completed Late",Assumptions!$B$17,Assumptions!$B$18))</f>
        <v>100</v>
      </c>
      <c r="T944" s="8" t="n">
        <f aca="false">IF(I944=0,Assumptions!$B$20,IF(H944&gt;I944,Assumptions!$B$19,IF(H944=I944,Assumptions!$B$20,Assumptions!$B$21)))</f>
        <v>70</v>
      </c>
      <c r="U944" s="8" t="n">
        <f aca="false">ROUND(P944*Assumptions!$B$2+Q944*Assumptions!$B$3+R944*Assumptions!$B$4+S944*Assumptions!$B$5+T944*Assumptions!$B$6,0)</f>
        <v>93</v>
      </c>
      <c r="V944" s="8" t="str">
        <f aca="false">IF(U944&gt;=Assumptions!$B$10,"Healthy",IF(U944&gt;=Assumptions!$B$11,"Needs Attention","High Risk"))</f>
        <v>Healthy</v>
      </c>
    </row>
    <row r="945" customFormat="false" ht="15" hidden="false" customHeight="false" outlineLevel="0" collapsed="false">
      <c r="A945" s="8" t="s">
        <v>2032</v>
      </c>
      <c r="B945" s="8" t="s">
        <v>2033</v>
      </c>
      <c r="C945" s="8" t="s">
        <v>51</v>
      </c>
      <c r="D945" s="8" t="s">
        <v>326</v>
      </c>
      <c r="E945" s="8" t="s">
        <v>117</v>
      </c>
      <c r="F945" s="8" t="s">
        <v>143</v>
      </c>
      <c r="G945" s="8" t="s">
        <v>140</v>
      </c>
      <c r="H945" s="15" t="n">
        <v>750</v>
      </c>
      <c r="I945" s="15" t="n">
        <v>750</v>
      </c>
      <c r="J945" s="16" t="n">
        <v>0.556</v>
      </c>
      <c r="K945" s="8" t="n">
        <v>6.3</v>
      </c>
      <c r="L945" s="8" t="n">
        <v>7</v>
      </c>
      <c r="M945" s="8" t="n">
        <v>5</v>
      </c>
      <c r="N945" s="8" t="s">
        <v>120</v>
      </c>
      <c r="O945" s="15" t="n">
        <f aca="false">H945*12</f>
        <v>9000</v>
      </c>
      <c r="P945" s="8" t="n">
        <f aca="false">MIN(100,ROUND(100*J945/Assumptions!$B$8,0))</f>
        <v>62</v>
      </c>
      <c r="Q945" s="8" t="n">
        <f aca="false">IF(L945="",Assumptions!$B$9,L945*10)</f>
        <v>70</v>
      </c>
      <c r="R945" s="8" t="n">
        <f aca="false">IF(M945&lt;=1,Assumptions!$B$12,IF(M945&lt;=3,Assumptions!$B$13,IF(M945&lt;=6,Assumptions!$B$14,Assumptions!$B$15)))</f>
        <v>50</v>
      </c>
      <c r="S945" s="8" t="n">
        <f aca="false">IF(N945="Completed On Time",Assumptions!$B$16,IF(N945="Completed Late",Assumptions!$B$17,Assumptions!$B$18))</f>
        <v>100</v>
      </c>
      <c r="T945" s="8" t="n">
        <f aca="false">IF(I945=0,Assumptions!$B$20,IF(H945&gt;I945,Assumptions!$B$19,IF(H945=I945,Assumptions!$B$20,Assumptions!$B$21)))</f>
        <v>70</v>
      </c>
      <c r="U945" s="8" t="n">
        <f aca="false">ROUND(P945*Assumptions!$B$2+Q945*Assumptions!$B$3+R945*Assumptions!$B$4+S945*Assumptions!$B$5+T945*Assumptions!$B$6,0)</f>
        <v>67</v>
      </c>
      <c r="V945" s="8" t="str">
        <f aca="false">IF(U945&gt;=Assumptions!$B$10,"Healthy",IF(U945&gt;=Assumptions!$B$11,"Needs Attention","High Risk"))</f>
        <v>Needs Attention</v>
      </c>
    </row>
    <row r="946" customFormat="false" ht="15" hidden="false" customHeight="false" outlineLevel="0" collapsed="false">
      <c r="A946" s="8" t="s">
        <v>2034</v>
      </c>
      <c r="B946" s="8" t="s">
        <v>2035</v>
      </c>
      <c r="C946" s="8" t="s">
        <v>51</v>
      </c>
      <c r="D946" s="8" t="s">
        <v>326</v>
      </c>
      <c r="E946" s="8" t="s">
        <v>123</v>
      </c>
      <c r="F946" s="8" t="s">
        <v>136</v>
      </c>
      <c r="G946" s="8" t="s">
        <v>204</v>
      </c>
      <c r="H946" s="15" t="n">
        <v>750</v>
      </c>
      <c r="I946" s="15" t="n">
        <v>750</v>
      </c>
      <c r="J946" s="16" t="n">
        <v>0.767</v>
      </c>
      <c r="K946" s="8" t="n">
        <v>10.3</v>
      </c>
      <c r="L946" s="8" t="n">
        <v>10</v>
      </c>
      <c r="M946" s="8" t="n">
        <v>4</v>
      </c>
      <c r="N946" s="8" t="s">
        <v>120</v>
      </c>
      <c r="O946" s="15" t="n">
        <f aca="false">H946*12</f>
        <v>9000</v>
      </c>
      <c r="P946" s="8" t="n">
        <f aca="false">MIN(100,ROUND(100*J946/Assumptions!$B$8,0))</f>
        <v>85</v>
      </c>
      <c r="Q946" s="8" t="n">
        <f aca="false">IF(L946="",Assumptions!$B$9,L946*10)</f>
        <v>100</v>
      </c>
      <c r="R946" s="8" t="n">
        <f aca="false">IF(M946&lt;=1,Assumptions!$B$12,IF(M946&lt;=3,Assumptions!$B$13,IF(M946&lt;=6,Assumptions!$B$14,Assumptions!$B$15)))</f>
        <v>50</v>
      </c>
      <c r="S946" s="8" t="n">
        <f aca="false">IF(N946="Completed On Time",Assumptions!$B$16,IF(N946="Completed Late",Assumptions!$B$17,Assumptions!$B$18))</f>
        <v>100</v>
      </c>
      <c r="T946" s="8" t="n">
        <f aca="false">IF(I946=0,Assumptions!$B$20,IF(H946&gt;I946,Assumptions!$B$19,IF(H946=I946,Assumptions!$B$20,Assumptions!$B$21)))</f>
        <v>70</v>
      </c>
      <c r="U946" s="8" t="n">
        <f aca="false">ROUND(P946*Assumptions!$B$2+Q946*Assumptions!$B$3+R946*Assumptions!$B$4+S946*Assumptions!$B$5+T946*Assumptions!$B$6,0)</f>
        <v>81</v>
      </c>
      <c r="V946" s="8" t="str">
        <f aca="false">IF(U946&gt;=Assumptions!$B$10,"Healthy",IF(U946&gt;=Assumptions!$B$11,"Needs Attention","High Risk"))</f>
        <v>Healthy</v>
      </c>
    </row>
    <row r="947" customFormat="false" ht="15" hidden="false" customHeight="false" outlineLevel="0" collapsed="false">
      <c r="A947" s="8" t="s">
        <v>2036</v>
      </c>
      <c r="B947" s="8" t="s">
        <v>2037</v>
      </c>
      <c r="C947" s="8" t="s">
        <v>51</v>
      </c>
      <c r="D947" s="8" t="s">
        <v>326</v>
      </c>
      <c r="E947" s="8" t="s">
        <v>117</v>
      </c>
      <c r="F947" s="8" t="s">
        <v>166</v>
      </c>
      <c r="G947" s="8" t="s">
        <v>140</v>
      </c>
      <c r="H947" s="15" t="n">
        <v>750</v>
      </c>
      <c r="I947" s="15" t="n">
        <v>750</v>
      </c>
      <c r="J947" s="16" t="n">
        <v>0.7</v>
      </c>
      <c r="K947" s="8" t="n">
        <v>6.7</v>
      </c>
      <c r="L947" s="8" t="n">
        <v>8</v>
      </c>
      <c r="M947" s="8" t="n">
        <v>3</v>
      </c>
      <c r="N947" s="8" t="s">
        <v>120</v>
      </c>
      <c r="O947" s="15" t="n">
        <f aca="false">H947*12</f>
        <v>9000</v>
      </c>
      <c r="P947" s="8" t="n">
        <f aca="false">MIN(100,ROUND(100*J947/Assumptions!$B$8,0))</f>
        <v>78</v>
      </c>
      <c r="Q947" s="8" t="n">
        <f aca="false">IF(L947="",Assumptions!$B$9,L947*10)</f>
        <v>80</v>
      </c>
      <c r="R947" s="8" t="n">
        <f aca="false">IF(M947&lt;=1,Assumptions!$B$12,IF(M947&lt;=3,Assumptions!$B$13,IF(M947&lt;=6,Assumptions!$B$14,Assumptions!$B$15)))</f>
        <v>75</v>
      </c>
      <c r="S947" s="8" t="n">
        <f aca="false">IF(N947="Completed On Time",Assumptions!$B$16,IF(N947="Completed Late",Assumptions!$B$17,Assumptions!$B$18))</f>
        <v>100</v>
      </c>
      <c r="T947" s="8" t="n">
        <f aca="false">IF(I947=0,Assumptions!$B$20,IF(H947&gt;I947,Assumptions!$B$19,IF(H947=I947,Assumptions!$B$20,Assumptions!$B$21)))</f>
        <v>70</v>
      </c>
      <c r="U947" s="8" t="n">
        <f aca="false">ROUND(P947*Assumptions!$B$2+Q947*Assumptions!$B$3+R947*Assumptions!$B$4+S947*Assumptions!$B$5+T947*Assumptions!$B$6,0)</f>
        <v>79</v>
      </c>
      <c r="V947" s="8" t="str">
        <f aca="false">IF(U947&gt;=Assumptions!$B$10,"Healthy",IF(U947&gt;=Assumptions!$B$11,"Needs Attention","High Risk"))</f>
        <v>Needs Attention</v>
      </c>
    </row>
    <row r="948" customFormat="false" ht="15" hidden="false" customHeight="false" outlineLevel="0" collapsed="false">
      <c r="A948" s="8" t="s">
        <v>2038</v>
      </c>
      <c r="B948" s="8" t="s">
        <v>2039</v>
      </c>
      <c r="C948" s="8" t="s">
        <v>51</v>
      </c>
      <c r="D948" s="8" t="s">
        <v>326</v>
      </c>
      <c r="E948" s="8" t="s">
        <v>132</v>
      </c>
      <c r="F948" s="8" t="s">
        <v>190</v>
      </c>
      <c r="G948" s="8" t="s">
        <v>185</v>
      </c>
      <c r="H948" s="15" t="n">
        <v>750</v>
      </c>
      <c r="I948" s="15" t="n">
        <v>750</v>
      </c>
      <c r="J948" s="16" t="n">
        <v>0.789</v>
      </c>
      <c r="K948" s="8" t="n">
        <v>11</v>
      </c>
      <c r="L948" s="8" t="n">
        <v>10</v>
      </c>
      <c r="M948" s="8" t="n">
        <v>1</v>
      </c>
      <c r="N948" s="8" t="s">
        <v>120</v>
      </c>
      <c r="O948" s="15" t="n">
        <f aca="false">H948*12</f>
        <v>9000</v>
      </c>
      <c r="P948" s="8" t="n">
        <f aca="false">MIN(100,ROUND(100*J948/Assumptions!$B$8,0))</f>
        <v>88</v>
      </c>
      <c r="Q948" s="8" t="n">
        <f aca="false">IF(L948="",Assumptions!$B$9,L948*10)</f>
        <v>100</v>
      </c>
      <c r="R948" s="8" t="n">
        <f aca="false">IF(M948&lt;=1,Assumptions!$B$12,IF(M948&lt;=3,Assumptions!$B$13,IF(M948&lt;=6,Assumptions!$B$14,Assumptions!$B$15)))</f>
        <v>100</v>
      </c>
      <c r="S948" s="8" t="n">
        <f aca="false">IF(N948="Completed On Time",Assumptions!$B$16,IF(N948="Completed Late",Assumptions!$B$17,Assumptions!$B$18))</f>
        <v>100</v>
      </c>
      <c r="T948" s="8" t="n">
        <f aca="false">IF(I948=0,Assumptions!$B$20,IF(H948&gt;I948,Assumptions!$B$19,IF(H948=I948,Assumptions!$B$20,Assumptions!$B$21)))</f>
        <v>70</v>
      </c>
      <c r="U948" s="8" t="n">
        <f aca="false">ROUND(P948*Assumptions!$B$2+Q948*Assumptions!$B$3+R948*Assumptions!$B$4+S948*Assumptions!$B$5+T948*Assumptions!$B$6,0)</f>
        <v>90</v>
      </c>
      <c r="V948" s="8" t="str">
        <f aca="false">IF(U948&gt;=Assumptions!$B$10,"Healthy",IF(U948&gt;=Assumptions!$B$11,"Needs Attention","High Risk"))</f>
        <v>Healthy</v>
      </c>
    </row>
    <row r="949" customFormat="false" ht="15" hidden="false" customHeight="false" outlineLevel="0" collapsed="false">
      <c r="A949" s="8" t="s">
        <v>2040</v>
      </c>
      <c r="B949" s="8" t="s">
        <v>2041</v>
      </c>
      <c r="C949" s="8" t="s">
        <v>51</v>
      </c>
      <c r="D949" s="8" t="s">
        <v>326</v>
      </c>
      <c r="E949" s="8" t="s">
        <v>117</v>
      </c>
      <c r="F949" s="8" t="s">
        <v>166</v>
      </c>
      <c r="G949" s="8" t="s">
        <v>119</v>
      </c>
      <c r="H949" s="15" t="n">
        <v>750</v>
      </c>
      <c r="I949" s="15" t="n">
        <v>750</v>
      </c>
      <c r="J949" s="16" t="n">
        <v>0.656</v>
      </c>
      <c r="K949" s="8" t="n">
        <v>6.7</v>
      </c>
      <c r="L949" s="8" t="n">
        <v>7</v>
      </c>
      <c r="M949" s="8" t="n">
        <v>3</v>
      </c>
      <c r="N949" s="8" t="s">
        <v>120</v>
      </c>
      <c r="O949" s="15" t="n">
        <f aca="false">H949*12</f>
        <v>9000</v>
      </c>
      <c r="P949" s="8" t="n">
        <f aca="false">MIN(100,ROUND(100*J949/Assumptions!$B$8,0))</f>
        <v>73</v>
      </c>
      <c r="Q949" s="8" t="n">
        <f aca="false">IF(L949="",Assumptions!$B$9,L949*10)</f>
        <v>70</v>
      </c>
      <c r="R949" s="8" t="n">
        <f aca="false">IF(M949&lt;=1,Assumptions!$B$12,IF(M949&lt;=3,Assumptions!$B$13,IF(M949&lt;=6,Assumptions!$B$14,Assumptions!$B$15)))</f>
        <v>75</v>
      </c>
      <c r="S949" s="8" t="n">
        <f aca="false">IF(N949="Completed On Time",Assumptions!$B$16,IF(N949="Completed Late",Assumptions!$B$17,Assumptions!$B$18))</f>
        <v>100</v>
      </c>
      <c r="T949" s="8" t="n">
        <f aca="false">IF(I949=0,Assumptions!$B$20,IF(H949&gt;I949,Assumptions!$B$19,IF(H949=I949,Assumptions!$B$20,Assumptions!$B$21)))</f>
        <v>70</v>
      </c>
      <c r="U949" s="8" t="n">
        <f aca="false">ROUND(P949*Assumptions!$B$2+Q949*Assumptions!$B$3+R949*Assumptions!$B$4+S949*Assumptions!$B$5+T949*Assumptions!$B$6,0)</f>
        <v>75</v>
      </c>
      <c r="V949" s="8" t="str">
        <f aca="false">IF(U949&gt;=Assumptions!$B$10,"Healthy",IF(U949&gt;=Assumptions!$B$11,"Needs Attention","High Risk"))</f>
        <v>Needs Attention</v>
      </c>
    </row>
    <row r="950" customFormat="false" ht="15" hidden="false" customHeight="false" outlineLevel="0" collapsed="false">
      <c r="A950" s="8" t="s">
        <v>2042</v>
      </c>
      <c r="B950" s="8" t="s">
        <v>2043</v>
      </c>
      <c r="C950" s="8" t="s">
        <v>51</v>
      </c>
      <c r="D950" s="8" t="s">
        <v>326</v>
      </c>
      <c r="E950" s="8" t="s">
        <v>132</v>
      </c>
      <c r="F950" s="8" t="s">
        <v>118</v>
      </c>
      <c r="G950" s="8" t="s">
        <v>147</v>
      </c>
      <c r="H950" s="15" t="n">
        <v>750</v>
      </c>
      <c r="I950" s="15" t="n">
        <v>750</v>
      </c>
      <c r="J950" s="16" t="n">
        <v>0.867</v>
      </c>
      <c r="K950" s="8" t="n">
        <v>11</v>
      </c>
      <c r="L950" s="8" t="n">
        <v>10</v>
      </c>
      <c r="M950" s="8" t="n">
        <v>0</v>
      </c>
      <c r="N950" s="8" t="s">
        <v>120</v>
      </c>
      <c r="O950" s="15" t="n">
        <f aca="false">H950*12</f>
        <v>9000</v>
      </c>
      <c r="P950" s="8" t="n">
        <f aca="false">MIN(100,ROUND(100*J950/Assumptions!$B$8,0))</f>
        <v>96</v>
      </c>
      <c r="Q950" s="8" t="n">
        <f aca="false">IF(L950="",Assumptions!$B$9,L950*10)</f>
        <v>100</v>
      </c>
      <c r="R950" s="8" t="n">
        <f aca="false">IF(M950&lt;=1,Assumptions!$B$12,IF(M950&lt;=3,Assumptions!$B$13,IF(M950&lt;=6,Assumptions!$B$14,Assumptions!$B$15)))</f>
        <v>100</v>
      </c>
      <c r="S950" s="8" t="n">
        <f aca="false">IF(N950="Completed On Time",Assumptions!$B$16,IF(N950="Completed Late",Assumptions!$B$17,Assumptions!$B$18))</f>
        <v>100</v>
      </c>
      <c r="T950" s="8" t="n">
        <f aca="false">IF(I950=0,Assumptions!$B$20,IF(H950&gt;I950,Assumptions!$B$19,IF(H950=I950,Assumptions!$B$20,Assumptions!$B$21)))</f>
        <v>70</v>
      </c>
      <c r="U950" s="8" t="n">
        <f aca="false">ROUND(P950*Assumptions!$B$2+Q950*Assumptions!$B$3+R950*Assumptions!$B$4+S950*Assumptions!$B$5+T950*Assumptions!$B$6,0)</f>
        <v>93</v>
      </c>
      <c r="V950" s="8" t="str">
        <f aca="false">IF(U950&gt;=Assumptions!$B$10,"Healthy",IF(U950&gt;=Assumptions!$B$11,"Needs Attention","High Risk"))</f>
        <v>Healthy</v>
      </c>
    </row>
    <row r="951" customFormat="false" ht="15" hidden="false" customHeight="false" outlineLevel="0" collapsed="false">
      <c r="A951" s="8" t="s">
        <v>2044</v>
      </c>
      <c r="B951" s="8" t="s">
        <v>2045</v>
      </c>
      <c r="C951" s="8" t="s">
        <v>51</v>
      </c>
      <c r="D951" s="8" t="s">
        <v>326</v>
      </c>
      <c r="E951" s="8" t="s">
        <v>117</v>
      </c>
      <c r="F951" s="8" t="s">
        <v>143</v>
      </c>
      <c r="G951" s="8" t="s">
        <v>180</v>
      </c>
      <c r="H951" s="15" t="n">
        <v>750</v>
      </c>
      <c r="I951" s="15" t="n">
        <v>0</v>
      </c>
      <c r="J951" s="16" t="n">
        <v>0.7</v>
      </c>
      <c r="K951" s="8" t="n">
        <v>9</v>
      </c>
      <c r="L951" s="8"/>
      <c r="M951" s="8" t="n">
        <v>2</v>
      </c>
      <c r="N951" s="8" t="s">
        <v>120</v>
      </c>
      <c r="O951" s="15" t="n">
        <f aca="false">H951*12</f>
        <v>9000</v>
      </c>
      <c r="P951" s="8" t="n">
        <f aca="false">MIN(100,ROUND(100*J951/Assumptions!$B$8,0))</f>
        <v>78</v>
      </c>
      <c r="Q951" s="8" t="n">
        <f aca="false">IF(L951="",Assumptions!$B$9,L951*10)</f>
        <v>50</v>
      </c>
      <c r="R951" s="8" t="n">
        <f aca="false">IF(M951&lt;=1,Assumptions!$B$12,IF(M951&lt;=3,Assumptions!$B$13,IF(M951&lt;=6,Assumptions!$B$14,Assumptions!$B$15)))</f>
        <v>75</v>
      </c>
      <c r="S951" s="8" t="n">
        <f aca="false">IF(N951="Completed On Time",Assumptions!$B$16,IF(N951="Completed Late",Assumptions!$B$17,Assumptions!$B$18))</f>
        <v>100</v>
      </c>
      <c r="T951" s="8" t="n">
        <f aca="false">IF(I951=0,Assumptions!$B$20,IF(H951&gt;I951,Assumptions!$B$19,IF(H951=I951,Assumptions!$B$20,Assumptions!$B$21)))</f>
        <v>70</v>
      </c>
      <c r="U951" s="8" t="n">
        <f aca="false">ROUND(P951*Assumptions!$B$2+Q951*Assumptions!$B$3+R951*Assumptions!$B$4+S951*Assumptions!$B$5+T951*Assumptions!$B$6,0)</f>
        <v>73</v>
      </c>
      <c r="V951" s="8" t="str">
        <f aca="false">IF(U951&gt;=Assumptions!$B$10,"Healthy",IF(U951&gt;=Assumptions!$B$11,"Needs Attention","High Risk"))</f>
        <v>Needs Attention</v>
      </c>
    </row>
    <row r="952" customFormat="false" ht="15" hidden="false" customHeight="false" outlineLevel="0" collapsed="false">
      <c r="A952" s="8" t="s">
        <v>2046</v>
      </c>
      <c r="B952" s="8" t="s">
        <v>2047</v>
      </c>
      <c r="C952" s="8" t="s">
        <v>51</v>
      </c>
      <c r="D952" s="8" t="s">
        <v>326</v>
      </c>
      <c r="E952" s="8" t="s">
        <v>132</v>
      </c>
      <c r="F952" s="8" t="s">
        <v>154</v>
      </c>
      <c r="G952" s="8" t="s">
        <v>159</v>
      </c>
      <c r="H952" s="15" t="n">
        <v>750</v>
      </c>
      <c r="I952" s="15" t="n">
        <v>750</v>
      </c>
      <c r="J952" s="16" t="n">
        <v>0.622</v>
      </c>
      <c r="K952" s="8" t="n">
        <v>7</v>
      </c>
      <c r="L952" s="8" t="n">
        <v>9</v>
      </c>
      <c r="M952" s="8" t="n">
        <v>1</v>
      </c>
      <c r="N952" s="8" t="s">
        <v>120</v>
      </c>
      <c r="O952" s="15" t="n">
        <f aca="false">H952*12</f>
        <v>9000</v>
      </c>
      <c r="P952" s="8" t="n">
        <f aca="false">MIN(100,ROUND(100*J952/Assumptions!$B$8,0))</f>
        <v>69</v>
      </c>
      <c r="Q952" s="8" t="n">
        <f aca="false">IF(L952="",Assumptions!$B$9,L952*10)</f>
        <v>90</v>
      </c>
      <c r="R952" s="8" t="n">
        <f aca="false">IF(M952&lt;=1,Assumptions!$B$12,IF(M952&lt;=3,Assumptions!$B$13,IF(M952&lt;=6,Assumptions!$B$14,Assumptions!$B$15)))</f>
        <v>100</v>
      </c>
      <c r="S952" s="8" t="n">
        <f aca="false">IF(N952="Completed On Time",Assumptions!$B$16,IF(N952="Completed Late",Assumptions!$B$17,Assumptions!$B$18))</f>
        <v>100</v>
      </c>
      <c r="T952" s="8" t="n">
        <f aca="false">IF(I952=0,Assumptions!$B$20,IF(H952&gt;I952,Assumptions!$B$19,IF(H952=I952,Assumptions!$B$20,Assumptions!$B$21)))</f>
        <v>70</v>
      </c>
      <c r="U952" s="8" t="n">
        <f aca="false">ROUND(P952*Assumptions!$B$2+Q952*Assumptions!$B$3+R952*Assumptions!$B$4+S952*Assumptions!$B$5+T952*Assumptions!$B$6,0)</f>
        <v>81</v>
      </c>
      <c r="V952" s="8" t="str">
        <f aca="false">IF(U952&gt;=Assumptions!$B$10,"Healthy",IF(U952&gt;=Assumptions!$B$11,"Needs Attention","High Risk"))</f>
        <v>Healthy</v>
      </c>
    </row>
    <row r="953" customFormat="false" ht="15" hidden="false" customHeight="false" outlineLevel="0" collapsed="false">
      <c r="A953" s="8" t="s">
        <v>2048</v>
      </c>
      <c r="B953" s="8" t="s">
        <v>2049</v>
      </c>
      <c r="C953" s="8" t="s">
        <v>51</v>
      </c>
      <c r="D953" s="8" t="s">
        <v>326</v>
      </c>
      <c r="E953" s="8" t="s">
        <v>128</v>
      </c>
      <c r="F953" s="8" t="s">
        <v>136</v>
      </c>
      <c r="G953" s="8" t="s">
        <v>137</v>
      </c>
      <c r="H953" s="15" t="n">
        <v>750</v>
      </c>
      <c r="I953" s="15" t="n">
        <v>750</v>
      </c>
      <c r="J953" s="16" t="n">
        <v>0.7</v>
      </c>
      <c r="K953" s="8" t="n">
        <v>9</v>
      </c>
      <c r="L953" s="8" t="n">
        <v>7</v>
      </c>
      <c r="M953" s="8" t="n">
        <v>2</v>
      </c>
      <c r="N953" s="8" t="s">
        <v>120</v>
      </c>
      <c r="O953" s="15" t="n">
        <f aca="false">H953*12</f>
        <v>9000</v>
      </c>
      <c r="P953" s="8" t="n">
        <f aca="false">MIN(100,ROUND(100*J953/Assumptions!$B$8,0))</f>
        <v>78</v>
      </c>
      <c r="Q953" s="8" t="n">
        <f aca="false">IF(L953="",Assumptions!$B$9,L953*10)</f>
        <v>70</v>
      </c>
      <c r="R953" s="8" t="n">
        <f aca="false">IF(M953&lt;=1,Assumptions!$B$12,IF(M953&lt;=3,Assumptions!$B$13,IF(M953&lt;=6,Assumptions!$B$14,Assumptions!$B$15)))</f>
        <v>75</v>
      </c>
      <c r="S953" s="8" t="n">
        <f aca="false">IF(N953="Completed On Time",Assumptions!$B$16,IF(N953="Completed Late",Assumptions!$B$17,Assumptions!$B$18))</f>
        <v>100</v>
      </c>
      <c r="T953" s="8" t="n">
        <f aca="false">IF(I953=0,Assumptions!$B$20,IF(H953&gt;I953,Assumptions!$B$19,IF(H953=I953,Assumptions!$B$20,Assumptions!$B$21)))</f>
        <v>70</v>
      </c>
      <c r="U953" s="8" t="n">
        <f aca="false">ROUND(P953*Assumptions!$B$2+Q953*Assumptions!$B$3+R953*Assumptions!$B$4+S953*Assumptions!$B$5+T953*Assumptions!$B$6,0)</f>
        <v>77</v>
      </c>
      <c r="V953" s="8" t="str">
        <f aca="false">IF(U953&gt;=Assumptions!$B$10,"Healthy",IF(U953&gt;=Assumptions!$B$11,"Needs Attention","High Risk"))</f>
        <v>Needs Attention</v>
      </c>
    </row>
    <row r="954" customFormat="false" ht="15" hidden="false" customHeight="false" outlineLevel="0" collapsed="false">
      <c r="A954" s="8" t="s">
        <v>2050</v>
      </c>
      <c r="B954" s="8" t="s">
        <v>2051</v>
      </c>
      <c r="C954" s="8" t="s">
        <v>51</v>
      </c>
      <c r="D954" s="8" t="s">
        <v>326</v>
      </c>
      <c r="E954" s="8" t="s">
        <v>117</v>
      </c>
      <c r="F954" s="8" t="s">
        <v>190</v>
      </c>
      <c r="G954" s="8" t="s">
        <v>137</v>
      </c>
      <c r="H954" s="15" t="n">
        <v>750</v>
      </c>
      <c r="I954" s="15" t="n">
        <v>750</v>
      </c>
      <c r="J954" s="16" t="n">
        <v>0.7</v>
      </c>
      <c r="K954" s="8" t="n">
        <v>9</v>
      </c>
      <c r="L954" s="8" t="n">
        <v>10</v>
      </c>
      <c r="M954" s="8" t="n">
        <v>3</v>
      </c>
      <c r="N954" s="8" t="s">
        <v>120</v>
      </c>
      <c r="O954" s="15" t="n">
        <f aca="false">H954*12</f>
        <v>9000</v>
      </c>
      <c r="P954" s="8" t="n">
        <f aca="false">MIN(100,ROUND(100*J954/Assumptions!$B$8,0))</f>
        <v>78</v>
      </c>
      <c r="Q954" s="8" t="n">
        <f aca="false">IF(L954="",Assumptions!$B$9,L954*10)</f>
        <v>100</v>
      </c>
      <c r="R954" s="8" t="n">
        <f aca="false">IF(M954&lt;=1,Assumptions!$B$12,IF(M954&lt;=3,Assumptions!$B$13,IF(M954&lt;=6,Assumptions!$B$14,Assumptions!$B$15)))</f>
        <v>75</v>
      </c>
      <c r="S954" s="8" t="n">
        <f aca="false">IF(N954="Completed On Time",Assumptions!$B$16,IF(N954="Completed Late",Assumptions!$B$17,Assumptions!$B$18))</f>
        <v>100</v>
      </c>
      <c r="T954" s="8" t="n">
        <f aca="false">IF(I954=0,Assumptions!$B$20,IF(H954&gt;I954,Assumptions!$B$19,IF(H954=I954,Assumptions!$B$20,Assumptions!$B$21)))</f>
        <v>70</v>
      </c>
      <c r="U954" s="8" t="n">
        <f aca="false">ROUND(P954*Assumptions!$B$2+Q954*Assumptions!$B$3+R954*Assumptions!$B$4+S954*Assumptions!$B$5+T954*Assumptions!$B$6,0)</f>
        <v>83</v>
      </c>
      <c r="V954" s="8" t="str">
        <f aca="false">IF(U954&gt;=Assumptions!$B$10,"Healthy",IF(U954&gt;=Assumptions!$B$11,"Needs Attention","High Risk"))</f>
        <v>Healthy</v>
      </c>
    </row>
    <row r="955" customFormat="false" ht="15" hidden="false" customHeight="false" outlineLevel="0" collapsed="false">
      <c r="A955" s="8" t="s">
        <v>2052</v>
      </c>
      <c r="B955" s="8" t="s">
        <v>2053</v>
      </c>
      <c r="C955" s="8" t="s">
        <v>51</v>
      </c>
      <c r="D955" s="8" t="s">
        <v>326</v>
      </c>
      <c r="E955" s="8" t="s">
        <v>132</v>
      </c>
      <c r="F955" s="8" t="s">
        <v>166</v>
      </c>
      <c r="G955" s="8" t="s">
        <v>185</v>
      </c>
      <c r="H955" s="15" t="n">
        <v>750</v>
      </c>
      <c r="I955" s="15" t="n">
        <v>750</v>
      </c>
      <c r="J955" s="16" t="n">
        <v>0.933</v>
      </c>
      <c r="K955" s="8" t="n">
        <v>10.3</v>
      </c>
      <c r="L955" s="8" t="n">
        <v>9</v>
      </c>
      <c r="M955" s="8" t="n">
        <v>0</v>
      </c>
      <c r="N955" s="8" t="s">
        <v>120</v>
      </c>
      <c r="O955" s="15" t="n">
        <f aca="false">H955*12</f>
        <v>9000</v>
      </c>
      <c r="P955" s="8" t="n">
        <f aca="false">MIN(100,ROUND(100*J955/Assumptions!$B$8,0))</f>
        <v>100</v>
      </c>
      <c r="Q955" s="8" t="n">
        <f aca="false">IF(L955="",Assumptions!$B$9,L955*10)</f>
        <v>90</v>
      </c>
      <c r="R955" s="8" t="n">
        <f aca="false">IF(M955&lt;=1,Assumptions!$B$12,IF(M955&lt;=3,Assumptions!$B$13,IF(M955&lt;=6,Assumptions!$B$14,Assumptions!$B$15)))</f>
        <v>100</v>
      </c>
      <c r="S955" s="8" t="n">
        <f aca="false">IF(N955="Completed On Time",Assumptions!$B$16,IF(N955="Completed Late",Assumptions!$B$17,Assumptions!$B$18))</f>
        <v>100</v>
      </c>
      <c r="T955" s="8" t="n">
        <f aca="false">IF(I955=0,Assumptions!$B$20,IF(H955&gt;I955,Assumptions!$B$19,IF(H955=I955,Assumptions!$B$20,Assumptions!$B$21)))</f>
        <v>70</v>
      </c>
      <c r="U955" s="8" t="n">
        <f aca="false">ROUND(P955*Assumptions!$B$2+Q955*Assumptions!$B$3+R955*Assumptions!$B$4+S955*Assumptions!$B$5+T955*Assumptions!$B$6,0)</f>
        <v>92</v>
      </c>
      <c r="V955" s="8" t="str">
        <f aca="false">IF(U955&gt;=Assumptions!$B$10,"Healthy",IF(U955&gt;=Assumptions!$B$11,"Needs Attention","High Risk"))</f>
        <v>Healthy</v>
      </c>
    </row>
    <row r="956" customFormat="false" ht="15" hidden="false" customHeight="false" outlineLevel="0" collapsed="false">
      <c r="A956" s="8" t="s">
        <v>2054</v>
      </c>
      <c r="B956" s="8" t="s">
        <v>2055</v>
      </c>
      <c r="C956" s="8" t="s">
        <v>51</v>
      </c>
      <c r="D956" s="8" t="s">
        <v>326</v>
      </c>
      <c r="E956" s="8" t="s">
        <v>123</v>
      </c>
      <c r="F956" s="8" t="s">
        <v>166</v>
      </c>
      <c r="G956" s="8" t="s">
        <v>177</v>
      </c>
      <c r="H956" s="15" t="n">
        <v>750</v>
      </c>
      <c r="I956" s="15" t="n">
        <v>750</v>
      </c>
      <c r="J956" s="16" t="n">
        <v>0.489</v>
      </c>
      <c r="K956" s="8" t="n">
        <v>6</v>
      </c>
      <c r="L956" s="8" t="n">
        <v>5</v>
      </c>
      <c r="M956" s="8" t="n">
        <v>3</v>
      </c>
      <c r="N956" s="8" t="s">
        <v>120</v>
      </c>
      <c r="O956" s="15" t="n">
        <f aca="false">H956*12</f>
        <v>9000</v>
      </c>
      <c r="P956" s="8" t="n">
        <f aca="false">MIN(100,ROUND(100*J956/Assumptions!$B$8,0))</f>
        <v>54</v>
      </c>
      <c r="Q956" s="8" t="n">
        <f aca="false">IF(L956="",Assumptions!$B$9,L956*10)</f>
        <v>50</v>
      </c>
      <c r="R956" s="8" t="n">
        <f aca="false">IF(M956&lt;=1,Assumptions!$B$12,IF(M956&lt;=3,Assumptions!$B$13,IF(M956&lt;=6,Assumptions!$B$14,Assumptions!$B$15)))</f>
        <v>75</v>
      </c>
      <c r="S956" s="8" t="n">
        <f aca="false">IF(N956="Completed On Time",Assumptions!$B$16,IF(N956="Completed Late",Assumptions!$B$17,Assumptions!$B$18))</f>
        <v>100</v>
      </c>
      <c r="T956" s="8" t="n">
        <f aca="false">IF(I956=0,Assumptions!$B$20,IF(H956&gt;I956,Assumptions!$B$19,IF(H956=I956,Assumptions!$B$20,Assumptions!$B$21)))</f>
        <v>70</v>
      </c>
      <c r="U956" s="8" t="n">
        <f aca="false">ROUND(P956*Assumptions!$B$2+Q956*Assumptions!$B$3+R956*Assumptions!$B$4+S956*Assumptions!$B$5+T956*Assumptions!$B$6,0)</f>
        <v>64</v>
      </c>
      <c r="V956" s="8" t="str">
        <f aca="false">IF(U956&gt;=Assumptions!$B$10,"Healthy",IF(U956&gt;=Assumptions!$B$11,"Needs Attention","High Risk"))</f>
        <v>High Risk</v>
      </c>
    </row>
    <row r="957" customFormat="false" ht="15" hidden="false" customHeight="false" outlineLevel="0" collapsed="false">
      <c r="A957" s="8" t="s">
        <v>2056</v>
      </c>
      <c r="B957" s="8" t="s">
        <v>2057</v>
      </c>
      <c r="C957" s="8" t="s">
        <v>51</v>
      </c>
      <c r="D957" s="8" t="s">
        <v>326</v>
      </c>
      <c r="E957" s="8" t="s">
        <v>132</v>
      </c>
      <c r="F957" s="8" t="s">
        <v>118</v>
      </c>
      <c r="G957" s="8" t="s">
        <v>137</v>
      </c>
      <c r="H957" s="15" t="n">
        <v>750</v>
      </c>
      <c r="I957" s="15" t="n">
        <v>750</v>
      </c>
      <c r="J957" s="16" t="n">
        <v>0.789</v>
      </c>
      <c r="K957" s="8" t="n">
        <v>9</v>
      </c>
      <c r="L957" s="8" t="n">
        <v>10</v>
      </c>
      <c r="M957" s="8" t="n">
        <v>1</v>
      </c>
      <c r="N957" s="8" t="s">
        <v>120</v>
      </c>
      <c r="O957" s="15" t="n">
        <f aca="false">H957*12</f>
        <v>9000</v>
      </c>
      <c r="P957" s="8" t="n">
        <f aca="false">MIN(100,ROUND(100*J957/Assumptions!$B$8,0))</f>
        <v>88</v>
      </c>
      <c r="Q957" s="8" t="n">
        <f aca="false">IF(L957="",Assumptions!$B$9,L957*10)</f>
        <v>100</v>
      </c>
      <c r="R957" s="8" t="n">
        <f aca="false">IF(M957&lt;=1,Assumptions!$B$12,IF(M957&lt;=3,Assumptions!$B$13,IF(M957&lt;=6,Assumptions!$B$14,Assumptions!$B$15)))</f>
        <v>100</v>
      </c>
      <c r="S957" s="8" t="n">
        <f aca="false">IF(N957="Completed On Time",Assumptions!$B$16,IF(N957="Completed Late",Assumptions!$B$17,Assumptions!$B$18))</f>
        <v>100</v>
      </c>
      <c r="T957" s="8" t="n">
        <f aca="false">IF(I957=0,Assumptions!$B$20,IF(H957&gt;I957,Assumptions!$B$19,IF(H957=I957,Assumptions!$B$20,Assumptions!$B$21)))</f>
        <v>70</v>
      </c>
      <c r="U957" s="8" t="n">
        <f aca="false">ROUND(P957*Assumptions!$B$2+Q957*Assumptions!$B$3+R957*Assumptions!$B$4+S957*Assumptions!$B$5+T957*Assumptions!$B$6,0)</f>
        <v>90</v>
      </c>
      <c r="V957" s="8" t="str">
        <f aca="false">IF(U957&gt;=Assumptions!$B$10,"Healthy",IF(U957&gt;=Assumptions!$B$11,"Needs Attention","High Risk"))</f>
        <v>Healthy</v>
      </c>
    </row>
    <row r="958" customFormat="false" ht="15" hidden="false" customHeight="false" outlineLevel="0" collapsed="false">
      <c r="A958" s="8" t="s">
        <v>2058</v>
      </c>
      <c r="B958" s="8" t="s">
        <v>2059</v>
      </c>
      <c r="C958" s="8" t="s">
        <v>51</v>
      </c>
      <c r="D958" s="8" t="s">
        <v>326</v>
      </c>
      <c r="E958" s="8" t="s">
        <v>132</v>
      </c>
      <c r="F958" s="8" t="s">
        <v>136</v>
      </c>
      <c r="G958" s="8" t="s">
        <v>180</v>
      </c>
      <c r="H958" s="15" t="n">
        <v>750</v>
      </c>
      <c r="I958" s="15" t="n">
        <v>750</v>
      </c>
      <c r="J958" s="16" t="n">
        <v>0.733</v>
      </c>
      <c r="K958" s="8" t="n">
        <v>9.3</v>
      </c>
      <c r="L958" s="8" t="n">
        <v>7</v>
      </c>
      <c r="M958" s="8" t="n">
        <v>2</v>
      </c>
      <c r="N958" s="8" t="s">
        <v>120</v>
      </c>
      <c r="O958" s="15" t="n">
        <f aca="false">H958*12</f>
        <v>9000</v>
      </c>
      <c r="P958" s="8" t="n">
        <f aca="false">MIN(100,ROUND(100*J958/Assumptions!$B$8,0))</f>
        <v>81</v>
      </c>
      <c r="Q958" s="8" t="n">
        <f aca="false">IF(L958="",Assumptions!$B$9,L958*10)</f>
        <v>70</v>
      </c>
      <c r="R958" s="8" t="n">
        <f aca="false">IF(M958&lt;=1,Assumptions!$B$12,IF(M958&lt;=3,Assumptions!$B$13,IF(M958&lt;=6,Assumptions!$B$14,Assumptions!$B$15)))</f>
        <v>75</v>
      </c>
      <c r="S958" s="8" t="n">
        <f aca="false">IF(N958="Completed On Time",Assumptions!$B$16,IF(N958="Completed Late",Assumptions!$B$17,Assumptions!$B$18))</f>
        <v>100</v>
      </c>
      <c r="T958" s="8" t="n">
        <f aca="false">IF(I958=0,Assumptions!$B$20,IF(H958&gt;I958,Assumptions!$B$19,IF(H958=I958,Assumptions!$B$20,Assumptions!$B$21)))</f>
        <v>70</v>
      </c>
      <c r="U958" s="8" t="n">
        <f aca="false">ROUND(P958*Assumptions!$B$2+Q958*Assumptions!$B$3+R958*Assumptions!$B$4+S958*Assumptions!$B$5+T958*Assumptions!$B$6,0)</f>
        <v>78</v>
      </c>
      <c r="V958" s="8" t="str">
        <f aca="false">IF(U958&gt;=Assumptions!$B$10,"Healthy",IF(U958&gt;=Assumptions!$B$11,"Needs Attention","High Risk"))</f>
        <v>Needs Attention</v>
      </c>
    </row>
    <row r="959" customFormat="false" ht="15" hidden="false" customHeight="false" outlineLevel="0" collapsed="false">
      <c r="A959" s="8" t="s">
        <v>2060</v>
      </c>
      <c r="B959" s="8" t="s">
        <v>2061</v>
      </c>
      <c r="C959" s="8" t="s">
        <v>51</v>
      </c>
      <c r="D959" s="8" t="s">
        <v>326</v>
      </c>
      <c r="E959" s="8" t="s">
        <v>123</v>
      </c>
      <c r="F959" s="8" t="s">
        <v>166</v>
      </c>
      <c r="G959" s="8" t="s">
        <v>119</v>
      </c>
      <c r="H959" s="15" t="n">
        <v>750</v>
      </c>
      <c r="I959" s="15" t="n">
        <v>750</v>
      </c>
      <c r="J959" s="16" t="n">
        <v>0.767</v>
      </c>
      <c r="K959" s="8" t="n">
        <v>10</v>
      </c>
      <c r="L959" s="8" t="n">
        <v>7</v>
      </c>
      <c r="M959" s="8" t="n">
        <v>2</v>
      </c>
      <c r="N959" s="8" t="s">
        <v>120</v>
      </c>
      <c r="O959" s="15" t="n">
        <f aca="false">H959*12</f>
        <v>9000</v>
      </c>
      <c r="P959" s="8" t="n">
        <f aca="false">MIN(100,ROUND(100*J959/Assumptions!$B$8,0))</f>
        <v>85</v>
      </c>
      <c r="Q959" s="8" t="n">
        <f aca="false">IF(L959="",Assumptions!$B$9,L959*10)</f>
        <v>70</v>
      </c>
      <c r="R959" s="8" t="n">
        <f aca="false">IF(M959&lt;=1,Assumptions!$B$12,IF(M959&lt;=3,Assumptions!$B$13,IF(M959&lt;=6,Assumptions!$B$14,Assumptions!$B$15)))</f>
        <v>75</v>
      </c>
      <c r="S959" s="8" t="n">
        <f aca="false">IF(N959="Completed On Time",Assumptions!$B$16,IF(N959="Completed Late",Assumptions!$B$17,Assumptions!$B$18))</f>
        <v>100</v>
      </c>
      <c r="T959" s="8" t="n">
        <f aca="false">IF(I959=0,Assumptions!$B$20,IF(H959&gt;I959,Assumptions!$B$19,IF(H959=I959,Assumptions!$B$20,Assumptions!$B$21)))</f>
        <v>70</v>
      </c>
      <c r="U959" s="8" t="n">
        <f aca="false">ROUND(P959*Assumptions!$B$2+Q959*Assumptions!$B$3+R959*Assumptions!$B$4+S959*Assumptions!$B$5+T959*Assumptions!$B$6,0)</f>
        <v>79</v>
      </c>
      <c r="V959" s="8" t="str">
        <f aca="false">IF(U959&gt;=Assumptions!$B$10,"Healthy",IF(U959&gt;=Assumptions!$B$11,"Needs Attention","High Risk"))</f>
        <v>Needs Attention</v>
      </c>
    </row>
    <row r="960" customFormat="false" ht="15" hidden="false" customHeight="false" outlineLevel="0" collapsed="false">
      <c r="A960" s="8" t="s">
        <v>2062</v>
      </c>
      <c r="B960" s="8" t="s">
        <v>2063</v>
      </c>
      <c r="C960" s="8" t="s">
        <v>51</v>
      </c>
      <c r="D960" s="8" t="s">
        <v>326</v>
      </c>
      <c r="E960" s="8" t="s">
        <v>123</v>
      </c>
      <c r="F960" s="8" t="s">
        <v>223</v>
      </c>
      <c r="G960" s="8" t="s">
        <v>144</v>
      </c>
      <c r="H960" s="15" t="n">
        <v>750</v>
      </c>
      <c r="I960" s="15" t="n">
        <v>750</v>
      </c>
      <c r="J960" s="16" t="n">
        <v>0.811</v>
      </c>
      <c r="K960" s="8" t="n">
        <v>9.7</v>
      </c>
      <c r="L960" s="8" t="n">
        <v>7</v>
      </c>
      <c r="M960" s="8" t="n">
        <v>4</v>
      </c>
      <c r="N960" s="8" t="s">
        <v>120</v>
      </c>
      <c r="O960" s="15" t="n">
        <f aca="false">H960*12</f>
        <v>9000</v>
      </c>
      <c r="P960" s="8" t="n">
        <f aca="false">MIN(100,ROUND(100*J960/Assumptions!$B$8,0))</f>
        <v>90</v>
      </c>
      <c r="Q960" s="8" t="n">
        <f aca="false">IF(L960="",Assumptions!$B$9,L960*10)</f>
        <v>70</v>
      </c>
      <c r="R960" s="8" t="n">
        <f aca="false">IF(M960&lt;=1,Assumptions!$B$12,IF(M960&lt;=3,Assumptions!$B$13,IF(M960&lt;=6,Assumptions!$B$14,Assumptions!$B$15)))</f>
        <v>50</v>
      </c>
      <c r="S960" s="8" t="n">
        <f aca="false">IF(N960="Completed On Time",Assumptions!$B$16,IF(N960="Completed Late",Assumptions!$B$17,Assumptions!$B$18))</f>
        <v>100</v>
      </c>
      <c r="T960" s="8" t="n">
        <f aca="false">IF(I960=0,Assumptions!$B$20,IF(H960&gt;I960,Assumptions!$B$19,IF(H960=I960,Assumptions!$B$20,Assumptions!$B$21)))</f>
        <v>70</v>
      </c>
      <c r="U960" s="8" t="n">
        <f aca="false">ROUND(P960*Assumptions!$B$2+Q960*Assumptions!$B$3+R960*Assumptions!$B$4+S960*Assumptions!$B$5+T960*Assumptions!$B$6,0)</f>
        <v>77</v>
      </c>
      <c r="V960" s="8" t="str">
        <f aca="false">IF(U960&gt;=Assumptions!$B$10,"Healthy",IF(U960&gt;=Assumptions!$B$11,"Needs Attention","High Risk"))</f>
        <v>Needs Attention</v>
      </c>
    </row>
    <row r="961" customFormat="false" ht="15" hidden="false" customHeight="false" outlineLevel="0" collapsed="false">
      <c r="A961" s="8" t="s">
        <v>2064</v>
      </c>
      <c r="B961" s="8" t="s">
        <v>2065</v>
      </c>
      <c r="C961" s="8" t="s">
        <v>51</v>
      </c>
      <c r="D961" s="8" t="s">
        <v>326</v>
      </c>
      <c r="E961" s="8" t="s">
        <v>132</v>
      </c>
      <c r="F961" s="8" t="s">
        <v>124</v>
      </c>
      <c r="G961" s="8" t="s">
        <v>185</v>
      </c>
      <c r="H961" s="15" t="n">
        <v>750</v>
      </c>
      <c r="I961" s="15" t="n">
        <v>750</v>
      </c>
      <c r="J961" s="16" t="n">
        <v>0.711</v>
      </c>
      <c r="K961" s="8" t="n">
        <v>8.3</v>
      </c>
      <c r="L961" s="8" t="n">
        <v>10</v>
      </c>
      <c r="M961" s="8" t="n">
        <v>4</v>
      </c>
      <c r="N961" s="8" t="s">
        <v>120</v>
      </c>
      <c r="O961" s="15" t="n">
        <f aca="false">H961*12</f>
        <v>9000</v>
      </c>
      <c r="P961" s="8" t="n">
        <f aca="false">MIN(100,ROUND(100*J961/Assumptions!$B$8,0))</f>
        <v>79</v>
      </c>
      <c r="Q961" s="8" t="n">
        <f aca="false">IF(L961="",Assumptions!$B$9,L961*10)</f>
        <v>100</v>
      </c>
      <c r="R961" s="8" t="n">
        <f aca="false">IF(M961&lt;=1,Assumptions!$B$12,IF(M961&lt;=3,Assumptions!$B$13,IF(M961&lt;=6,Assumptions!$B$14,Assumptions!$B$15)))</f>
        <v>50</v>
      </c>
      <c r="S961" s="8" t="n">
        <f aca="false">IF(N961="Completed On Time",Assumptions!$B$16,IF(N961="Completed Late",Assumptions!$B$17,Assumptions!$B$18))</f>
        <v>100</v>
      </c>
      <c r="T961" s="8" t="n">
        <f aca="false">IF(I961=0,Assumptions!$B$20,IF(H961&gt;I961,Assumptions!$B$19,IF(H961=I961,Assumptions!$B$20,Assumptions!$B$21)))</f>
        <v>70</v>
      </c>
      <c r="U961" s="8" t="n">
        <f aca="false">ROUND(P961*Assumptions!$B$2+Q961*Assumptions!$B$3+R961*Assumptions!$B$4+S961*Assumptions!$B$5+T961*Assumptions!$B$6,0)</f>
        <v>79</v>
      </c>
      <c r="V961" s="8" t="str">
        <f aca="false">IF(U961&gt;=Assumptions!$B$10,"Healthy",IF(U961&gt;=Assumptions!$B$11,"Needs Attention","High Risk"))</f>
        <v>Needs Attention</v>
      </c>
    </row>
    <row r="962" customFormat="false" ht="15" hidden="false" customHeight="false" outlineLevel="0" collapsed="false">
      <c r="A962" s="8" t="s">
        <v>2066</v>
      </c>
      <c r="B962" s="8" t="s">
        <v>2067</v>
      </c>
      <c r="C962" s="8" t="s">
        <v>51</v>
      </c>
      <c r="D962" s="8" t="s">
        <v>326</v>
      </c>
      <c r="E962" s="8" t="s">
        <v>128</v>
      </c>
      <c r="F962" s="8" t="s">
        <v>133</v>
      </c>
      <c r="G962" s="8" t="s">
        <v>125</v>
      </c>
      <c r="H962" s="15" t="n">
        <v>725</v>
      </c>
      <c r="I962" s="15" t="n">
        <v>725</v>
      </c>
      <c r="J962" s="16" t="n">
        <v>0.701</v>
      </c>
      <c r="K962" s="8" t="n">
        <v>8.7</v>
      </c>
      <c r="L962" s="8" t="n">
        <v>10</v>
      </c>
      <c r="M962" s="8" t="n">
        <v>1</v>
      </c>
      <c r="N962" s="8" t="s">
        <v>120</v>
      </c>
      <c r="O962" s="15" t="n">
        <f aca="false">H962*12</f>
        <v>8700</v>
      </c>
      <c r="P962" s="8" t="n">
        <f aca="false">MIN(100,ROUND(100*J962/Assumptions!$B$8,0))</f>
        <v>78</v>
      </c>
      <c r="Q962" s="8" t="n">
        <f aca="false">IF(L962="",Assumptions!$B$9,L962*10)</f>
        <v>100</v>
      </c>
      <c r="R962" s="8" t="n">
        <f aca="false">IF(M962&lt;=1,Assumptions!$B$12,IF(M962&lt;=3,Assumptions!$B$13,IF(M962&lt;=6,Assumptions!$B$14,Assumptions!$B$15)))</f>
        <v>100</v>
      </c>
      <c r="S962" s="8" t="n">
        <f aca="false">IF(N962="Completed On Time",Assumptions!$B$16,IF(N962="Completed Late",Assumptions!$B$17,Assumptions!$B$18))</f>
        <v>100</v>
      </c>
      <c r="T962" s="8" t="n">
        <f aca="false">IF(I962=0,Assumptions!$B$20,IF(H962&gt;I962,Assumptions!$B$19,IF(H962=I962,Assumptions!$B$20,Assumptions!$B$21)))</f>
        <v>70</v>
      </c>
      <c r="U962" s="8" t="n">
        <f aca="false">ROUND(P962*Assumptions!$B$2+Q962*Assumptions!$B$3+R962*Assumptions!$B$4+S962*Assumptions!$B$5+T962*Assumptions!$B$6,0)</f>
        <v>86</v>
      </c>
      <c r="V962" s="8" t="str">
        <f aca="false">IF(U962&gt;=Assumptions!$B$10,"Healthy",IF(U962&gt;=Assumptions!$B$11,"Needs Attention","High Risk"))</f>
        <v>Healthy</v>
      </c>
    </row>
    <row r="963" customFormat="false" ht="15" hidden="false" customHeight="false" outlineLevel="0" collapsed="false">
      <c r="A963" s="8" t="s">
        <v>2068</v>
      </c>
      <c r="B963" s="8" t="s">
        <v>2069</v>
      </c>
      <c r="C963" s="8" t="s">
        <v>51</v>
      </c>
      <c r="D963" s="8" t="s">
        <v>326</v>
      </c>
      <c r="E963" s="8" t="s">
        <v>123</v>
      </c>
      <c r="F963" s="8" t="s">
        <v>143</v>
      </c>
      <c r="G963" s="8" t="s">
        <v>204</v>
      </c>
      <c r="H963" s="15" t="n">
        <v>725</v>
      </c>
      <c r="I963" s="15" t="n">
        <v>725</v>
      </c>
      <c r="J963" s="16" t="n">
        <v>0.943</v>
      </c>
      <c r="K963" s="8" t="n">
        <v>11</v>
      </c>
      <c r="L963" s="8" t="n">
        <v>10</v>
      </c>
      <c r="M963" s="8" t="n">
        <v>2</v>
      </c>
      <c r="N963" s="8" t="s">
        <v>120</v>
      </c>
      <c r="O963" s="15" t="n">
        <f aca="false">H963*12</f>
        <v>8700</v>
      </c>
      <c r="P963" s="8" t="n">
        <f aca="false">MIN(100,ROUND(100*J963/Assumptions!$B$8,0))</f>
        <v>100</v>
      </c>
      <c r="Q963" s="8" t="n">
        <f aca="false">IF(L963="",Assumptions!$B$9,L963*10)</f>
        <v>100</v>
      </c>
      <c r="R963" s="8" t="n">
        <f aca="false">IF(M963&lt;=1,Assumptions!$B$12,IF(M963&lt;=3,Assumptions!$B$13,IF(M963&lt;=6,Assumptions!$B$14,Assumptions!$B$15)))</f>
        <v>75</v>
      </c>
      <c r="S963" s="8" t="n">
        <f aca="false">IF(N963="Completed On Time",Assumptions!$B$16,IF(N963="Completed Late",Assumptions!$B$17,Assumptions!$B$18))</f>
        <v>100</v>
      </c>
      <c r="T963" s="8" t="n">
        <f aca="false">IF(I963=0,Assumptions!$B$20,IF(H963&gt;I963,Assumptions!$B$19,IF(H963=I963,Assumptions!$B$20,Assumptions!$B$21)))</f>
        <v>70</v>
      </c>
      <c r="U963" s="8" t="n">
        <f aca="false">ROUND(P963*Assumptions!$B$2+Q963*Assumptions!$B$3+R963*Assumptions!$B$4+S963*Assumptions!$B$5+T963*Assumptions!$B$6,0)</f>
        <v>90</v>
      </c>
      <c r="V963" s="8" t="str">
        <f aca="false">IF(U963&gt;=Assumptions!$B$10,"Healthy",IF(U963&gt;=Assumptions!$B$11,"Needs Attention","High Risk"))</f>
        <v>Healthy</v>
      </c>
    </row>
    <row r="964" customFormat="false" ht="15" hidden="false" customHeight="false" outlineLevel="0" collapsed="false">
      <c r="A964" s="8" t="s">
        <v>2070</v>
      </c>
      <c r="B964" s="8" t="s">
        <v>2071</v>
      </c>
      <c r="C964" s="8" t="s">
        <v>51</v>
      </c>
      <c r="D964" s="8" t="s">
        <v>326</v>
      </c>
      <c r="E964" s="8" t="s">
        <v>123</v>
      </c>
      <c r="F964" s="8" t="s">
        <v>124</v>
      </c>
      <c r="G964" s="8" t="s">
        <v>177</v>
      </c>
      <c r="H964" s="15" t="n">
        <v>725</v>
      </c>
      <c r="I964" s="15" t="n">
        <v>0</v>
      </c>
      <c r="J964" s="16" t="n">
        <v>0.759</v>
      </c>
      <c r="K964" s="8" t="n">
        <v>7.3</v>
      </c>
      <c r="L964" s="8"/>
      <c r="M964" s="8" t="n">
        <v>3</v>
      </c>
      <c r="N964" s="8" t="s">
        <v>120</v>
      </c>
      <c r="O964" s="15" t="n">
        <f aca="false">H964*12</f>
        <v>8700</v>
      </c>
      <c r="P964" s="8" t="n">
        <f aca="false">MIN(100,ROUND(100*J964/Assumptions!$B$8,0))</f>
        <v>84</v>
      </c>
      <c r="Q964" s="8" t="n">
        <f aca="false">IF(L964="",Assumptions!$B$9,L964*10)</f>
        <v>50</v>
      </c>
      <c r="R964" s="8" t="n">
        <f aca="false">IF(M964&lt;=1,Assumptions!$B$12,IF(M964&lt;=3,Assumptions!$B$13,IF(M964&lt;=6,Assumptions!$B$14,Assumptions!$B$15)))</f>
        <v>75</v>
      </c>
      <c r="S964" s="8" t="n">
        <f aca="false">IF(N964="Completed On Time",Assumptions!$B$16,IF(N964="Completed Late",Assumptions!$B$17,Assumptions!$B$18))</f>
        <v>100</v>
      </c>
      <c r="T964" s="8" t="n">
        <f aca="false">IF(I964=0,Assumptions!$B$20,IF(H964&gt;I964,Assumptions!$B$19,IF(H964=I964,Assumptions!$B$20,Assumptions!$B$21)))</f>
        <v>70</v>
      </c>
      <c r="U964" s="8" t="n">
        <f aca="false">ROUND(P964*Assumptions!$B$2+Q964*Assumptions!$B$3+R964*Assumptions!$B$4+S964*Assumptions!$B$5+T964*Assumptions!$B$6,0)</f>
        <v>75</v>
      </c>
      <c r="V964" s="8" t="str">
        <f aca="false">IF(U964&gt;=Assumptions!$B$10,"Healthy",IF(U964&gt;=Assumptions!$B$11,"Needs Attention","High Risk"))</f>
        <v>Needs Attention</v>
      </c>
    </row>
    <row r="965" customFormat="false" ht="15" hidden="false" customHeight="false" outlineLevel="0" collapsed="false">
      <c r="A965" s="8" t="s">
        <v>2072</v>
      </c>
      <c r="B965" s="8" t="s">
        <v>2073</v>
      </c>
      <c r="C965" s="8" t="s">
        <v>51</v>
      </c>
      <c r="D965" s="8" t="s">
        <v>326</v>
      </c>
      <c r="E965" s="8" t="s">
        <v>132</v>
      </c>
      <c r="F965" s="8" t="s">
        <v>133</v>
      </c>
      <c r="G965" s="8" t="s">
        <v>185</v>
      </c>
      <c r="H965" s="15" t="n">
        <v>725</v>
      </c>
      <c r="I965" s="15" t="n">
        <v>725</v>
      </c>
      <c r="J965" s="16" t="n">
        <v>0.77</v>
      </c>
      <c r="K965" s="8" t="n">
        <v>7.7</v>
      </c>
      <c r="L965" s="8" t="n">
        <v>10</v>
      </c>
      <c r="M965" s="8" t="n">
        <v>1</v>
      </c>
      <c r="N965" s="8" t="s">
        <v>120</v>
      </c>
      <c r="O965" s="15" t="n">
        <f aca="false">H965*12</f>
        <v>8700</v>
      </c>
      <c r="P965" s="8" t="n">
        <f aca="false">MIN(100,ROUND(100*J965/Assumptions!$B$8,0))</f>
        <v>86</v>
      </c>
      <c r="Q965" s="8" t="n">
        <f aca="false">IF(L965="",Assumptions!$B$9,L965*10)</f>
        <v>100</v>
      </c>
      <c r="R965" s="8" t="n">
        <f aca="false">IF(M965&lt;=1,Assumptions!$B$12,IF(M965&lt;=3,Assumptions!$B$13,IF(M965&lt;=6,Assumptions!$B$14,Assumptions!$B$15)))</f>
        <v>100</v>
      </c>
      <c r="S965" s="8" t="n">
        <f aca="false">IF(N965="Completed On Time",Assumptions!$B$16,IF(N965="Completed Late",Assumptions!$B$17,Assumptions!$B$18))</f>
        <v>100</v>
      </c>
      <c r="T965" s="8" t="n">
        <f aca="false">IF(I965=0,Assumptions!$B$20,IF(H965&gt;I965,Assumptions!$B$19,IF(H965=I965,Assumptions!$B$20,Assumptions!$B$21)))</f>
        <v>70</v>
      </c>
      <c r="U965" s="8" t="n">
        <f aca="false">ROUND(P965*Assumptions!$B$2+Q965*Assumptions!$B$3+R965*Assumptions!$B$4+S965*Assumptions!$B$5+T965*Assumptions!$B$6,0)</f>
        <v>89</v>
      </c>
      <c r="V965" s="8" t="str">
        <f aca="false">IF(U965&gt;=Assumptions!$B$10,"Healthy",IF(U965&gt;=Assumptions!$B$11,"Needs Attention","High Risk"))</f>
        <v>Healthy</v>
      </c>
    </row>
    <row r="966" customFormat="false" ht="15" hidden="false" customHeight="false" outlineLevel="0" collapsed="false">
      <c r="A966" s="8" t="s">
        <v>2074</v>
      </c>
      <c r="B966" s="8" t="s">
        <v>2075</v>
      </c>
      <c r="C966" s="8" t="s">
        <v>51</v>
      </c>
      <c r="D966" s="8" t="s">
        <v>326</v>
      </c>
      <c r="E966" s="8" t="s">
        <v>123</v>
      </c>
      <c r="F966" s="8" t="s">
        <v>190</v>
      </c>
      <c r="G966" s="8" t="s">
        <v>147</v>
      </c>
      <c r="H966" s="15" t="n">
        <v>725</v>
      </c>
      <c r="I966" s="15" t="n">
        <v>725</v>
      </c>
      <c r="J966" s="16" t="n">
        <v>0.736</v>
      </c>
      <c r="K966" s="8" t="n">
        <v>8</v>
      </c>
      <c r="L966" s="8" t="n">
        <v>10</v>
      </c>
      <c r="M966" s="8" t="n">
        <v>2</v>
      </c>
      <c r="N966" s="8" t="s">
        <v>120</v>
      </c>
      <c r="O966" s="15" t="n">
        <f aca="false">H966*12</f>
        <v>8700</v>
      </c>
      <c r="P966" s="8" t="n">
        <f aca="false">MIN(100,ROUND(100*J966/Assumptions!$B$8,0))</f>
        <v>82</v>
      </c>
      <c r="Q966" s="8" t="n">
        <f aca="false">IF(L966="",Assumptions!$B$9,L966*10)</f>
        <v>100</v>
      </c>
      <c r="R966" s="8" t="n">
        <f aca="false">IF(M966&lt;=1,Assumptions!$B$12,IF(M966&lt;=3,Assumptions!$B$13,IF(M966&lt;=6,Assumptions!$B$14,Assumptions!$B$15)))</f>
        <v>75</v>
      </c>
      <c r="S966" s="8" t="n">
        <f aca="false">IF(N966="Completed On Time",Assumptions!$B$16,IF(N966="Completed Late",Assumptions!$B$17,Assumptions!$B$18))</f>
        <v>100</v>
      </c>
      <c r="T966" s="8" t="n">
        <f aca="false">IF(I966=0,Assumptions!$B$20,IF(H966&gt;I966,Assumptions!$B$19,IF(H966=I966,Assumptions!$B$20,Assumptions!$B$21)))</f>
        <v>70</v>
      </c>
      <c r="U966" s="8" t="n">
        <f aca="false">ROUND(P966*Assumptions!$B$2+Q966*Assumptions!$B$3+R966*Assumptions!$B$4+S966*Assumptions!$B$5+T966*Assumptions!$B$6,0)</f>
        <v>84</v>
      </c>
      <c r="V966" s="8" t="str">
        <f aca="false">IF(U966&gt;=Assumptions!$B$10,"Healthy",IF(U966&gt;=Assumptions!$B$11,"Needs Attention","High Risk"))</f>
        <v>Healthy</v>
      </c>
    </row>
    <row r="967" customFormat="false" ht="15" hidden="false" customHeight="false" outlineLevel="0" collapsed="false">
      <c r="A967" s="8" t="s">
        <v>2076</v>
      </c>
      <c r="B967" s="8" t="s">
        <v>2077</v>
      </c>
      <c r="C967" s="8" t="s">
        <v>51</v>
      </c>
      <c r="D967" s="8" t="s">
        <v>326</v>
      </c>
      <c r="E967" s="8" t="s">
        <v>123</v>
      </c>
      <c r="F967" s="8" t="s">
        <v>190</v>
      </c>
      <c r="G967" s="8" t="s">
        <v>177</v>
      </c>
      <c r="H967" s="15" t="n">
        <v>725</v>
      </c>
      <c r="I967" s="15" t="n">
        <v>725</v>
      </c>
      <c r="J967" s="16" t="n">
        <v>0.77</v>
      </c>
      <c r="K967" s="8" t="n">
        <v>11</v>
      </c>
      <c r="L967" s="8" t="n">
        <v>9</v>
      </c>
      <c r="M967" s="8" t="n">
        <v>1</v>
      </c>
      <c r="N967" s="8" t="s">
        <v>120</v>
      </c>
      <c r="O967" s="15" t="n">
        <f aca="false">H967*12</f>
        <v>8700</v>
      </c>
      <c r="P967" s="8" t="n">
        <f aca="false">MIN(100,ROUND(100*J967/Assumptions!$B$8,0))</f>
        <v>86</v>
      </c>
      <c r="Q967" s="8" t="n">
        <f aca="false">IF(L967="",Assumptions!$B$9,L967*10)</f>
        <v>90</v>
      </c>
      <c r="R967" s="8" t="n">
        <f aca="false">IF(M967&lt;=1,Assumptions!$B$12,IF(M967&lt;=3,Assumptions!$B$13,IF(M967&lt;=6,Assumptions!$B$14,Assumptions!$B$15)))</f>
        <v>100</v>
      </c>
      <c r="S967" s="8" t="n">
        <f aca="false">IF(N967="Completed On Time",Assumptions!$B$16,IF(N967="Completed Late",Assumptions!$B$17,Assumptions!$B$18))</f>
        <v>100</v>
      </c>
      <c r="T967" s="8" t="n">
        <f aca="false">IF(I967=0,Assumptions!$B$20,IF(H967&gt;I967,Assumptions!$B$19,IF(H967=I967,Assumptions!$B$20,Assumptions!$B$21)))</f>
        <v>70</v>
      </c>
      <c r="U967" s="8" t="n">
        <f aca="false">ROUND(P967*Assumptions!$B$2+Q967*Assumptions!$B$3+R967*Assumptions!$B$4+S967*Assumptions!$B$5+T967*Assumptions!$B$6,0)</f>
        <v>87</v>
      </c>
      <c r="V967" s="8" t="str">
        <f aca="false">IF(U967&gt;=Assumptions!$B$10,"Healthy",IF(U967&gt;=Assumptions!$B$11,"Needs Attention","High Risk"))</f>
        <v>Healthy</v>
      </c>
    </row>
    <row r="968" customFormat="false" ht="15" hidden="false" customHeight="false" outlineLevel="0" collapsed="false">
      <c r="A968" s="8" t="s">
        <v>2078</v>
      </c>
      <c r="B968" s="8" t="s">
        <v>2079</v>
      </c>
      <c r="C968" s="8" t="s">
        <v>51</v>
      </c>
      <c r="D968" s="8" t="s">
        <v>326</v>
      </c>
      <c r="E968" s="8" t="s">
        <v>117</v>
      </c>
      <c r="F968" s="8" t="s">
        <v>143</v>
      </c>
      <c r="G968" s="8" t="s">
        <v>129</v>
      </c>
      <c r="H968" s="15" t="n">
        <v>725</v>
      </c>
      <c r="I968" s="15" t="n">
        <v>725</v>
      </c>
      <c r="J968" s="16" t="n">
        <v>0.632</v>
      </c>
      <c r="K968" s="8" t="n">
        <v>6</v>
      </c>
      <c r="L968" s="8" t="n">
        <v>8</v>
      </c>
      <c r="M968" s="8" t="n">
        <v>5</v>
      </c>
      <c r="N968" s="8" t="s">
        <v>120</v>
      </c>
      <c r="O968" s="15" t="n">
        <f aca="false">H968*12</f>
        <v>8700</v>
      </c>
      <c r="P968" s="8" t="n">
        <f aca="false">MIN(100,ROUND(100*J968/Assumptions!$B$8,0))</f>
        <v>70</v>
      </c>
      <c r="Q968" s="8" t="n">
        <f aca="false">IF(L968="",Assumptions!$B$9,L968*10)</f>
        <v>80</v>
      </c>
      <c r="R968" s="8" t="n">
        <f aca="false">IF(M968&lt;=1,Assumptions!$B$12,IF(M968&lt;=3,Assumptions!$B$13,IF(M968&lt;=6,Assumptions!$B$14,Assumptions!$B$15)))</f>
        <v>50</v>
      </c>
      <c r="S968" s="8" t="n">
        <f aca="false">IF(N968="Completed On Time",Assumptions!$B$16,IF(N968="Completed Late",Assumptions!$B$17,Assumptions!$B$18))</f>
        <v>100</v>
      </c>
      <c r="T968" s="8" t="n">
        <f aca="false">IF(I968=0,Assumptions!$B$20,IF(H968&gt;I968,Assumptions!$B$19,IF(H968=I968,Assumptions!$B$20,Assumptions!$B$21)))</f>
        <v>70</v>
      </c>
      <c r="U968" s="8" t="n">
        <f aca="false">ROUND(P968*Assumptions!$B$2+Q968*Assumptions!$B$3+R968*Assumptions!$B$4+S968*Assumptions!$B$5+T968*Assumptions!$B$6,0)</f>
        <v>72</v>
      </c>
      <c r="V968" s="8" t="str">
        <f aca="false">IF(U968&gt;=Assumptions!$B$10,"Healthy",IF(U968&gt;=Assumptions!$B$11,"Needs Attention","High Risk"))</f>
        <v>Needs Attention</v>
      </c>
    </row>
    <row r="969" customFormat="false" ht="15" hidden="false" customHeight="false" outlineLevel="0" collapsed="false">
      <c r="A969" s="8" t="s">
        <v>2080</v>
      </c>
      <c r="B969" s="8" t="s">
        <v>2081</v>
      </c>
      <c r="C969" s="8" t="s">
        <v>51</v>
      </c>
      <c r="D969" s="8" t="s">
        <v>326</v>
      </c>
      <c r="E969" s="8" t="s">
        <v>123</v>
      </c>
      <c r="F969" s="8" t="s">
        <v>154</v>
      </c>
      <c r="G969" s="8" t="s">
        <v>144</v>
      </c>
      <c r="H969" s="15" t="n">
        <v>725</v>
      </c>
      <c r="I969" s="15" t="n">
        <v>725</v>
      </c>
      <c r="J969" s="16" t="n">
        <v>0.586</v>
      </c>
      <c r="K969" s="8" t="n">
        <v>7.7</v>
      </c>
      <c r="L969" s="8" t="n">
        <v>7</v>
      </c>
      <c r="M969" s="8" t="n">
        <v>2</v>
      </c>
      <c r="N969" s="8" t="s">
        <v>120</v>
      </c>
      <c r="O969" s="15" t="n">
        <f aca="false">H969*12</f>
        <v>8700</v>
      </c>
      <c r="P969" s="8" t="n">
        <f aca="false">MIN(100,ROUND(100*J969/Assumptions!$B$8,0))</f>
        <v>65</v>
      </c>
      <c r="Q969" s="8" t="n">
        <f aca="false">IF(L969="",Assumptions!$B$9,L969*10)</f>
        <v>70</v>
      </c>
      <c r="R969" s="8" t="n">
        <f aca="false">IF(M969&lt;=1,Assumptions!$B$12,IF(M969&lt;=3,Assumptions!$B$13,IF(M969&lt;=6,Assumptions!$B$14,Assumptions!$B$15)))</f>
        <v>75</v>
      </c>
      <c r="S969" s="8" t="n">
        <f aca="false">IF(N969="Completed On Time",Assumptions!$B$16,IF(N969="Completed Late",Assumptions!$B$17,Assumptions!$B$18))</f>
        <v>100</v>
      </c>
      <c r="T969" s="8" t="n">
        <f aca="false">IF(I969=0,Assumptions!$B$20,IF(H969&gt;I969,Assumptions!$B$19,IF(H969=I969,Assumptions!$B$20,Assumptions!$B$21)))</f>
        <v>70</v>
      </c>
      <c r="U969" s="8" t="n">
        <f aca="false">ROUND(P969*Assumptions!$B$2+Q969*Assumptions!$B$3+R969*Assumptions!$B$4+S969*Assumptions!$B$5+T969*Assumptions!$B$6,0)</f>
        <v>72</v>
      </c>
      <c r="V969" s="8" t="str">
        <f aca="false">IF(U969&gt;=Assumptions!$B$10,"Healthy",IF(U969&gt;=Assumptions!$B$11,"Needs Attention","High Risk"))</f>
        <v>Needs Attention</v>
      </c>
    </row>
    <row r="970" customFormat="false" ht="15" hidden="false" customHeight="false" outlineLevel="0" collapsed="false">
      <c r="A970" s="8" t="s">
        <v>2082</v>
      </c>
      <c r="B970" s="8" t="s">
        <v>2083</v>
      </c>
      <c r="C970" s="8" t="s">
        <v>51</v>
      </c>
      <c r="D970" s="8" t="s">
        <v>326</v>
      </c>
      <c r="E970" s="8" t="s">
        <v>132</v>
      </c>
      <c r="F970" s="8" t="s">
        <v>190</v>
      </c>
      <c r="G970" s="8" t="s">
        <v>177</v>
      </c>
      <c r="H970" s="15" t="n">
        <v>725</v>
      </c>
      <c r="I970" s="15" t="n">
        <v>725</v>
      </c>
      <c r="J970" s="16" t="n">
        <v>0.816</v>
      </c>
      <c r="K970" s="8" t="n">
        <v>11.3</v>
      </c>
      <c r="L970" s="8" t="n">
        <v>10</v>
      </c>
      <c r="M970" s="8" t="n">
        <v>1</v>
      </c>
      <c r="N970" s="8" t="s">
        <v>120</v>
      </c>
      <c r="O970" s="15" t="n">
        <f aca="false">H970*12</f>
        <v>8700</v>
      </c>
      <c r="P970" s="8" t="n">
        <f aca="false">MIN(100,ROUND(100*J970/Assumptions!$B$8,0))</f>
        <v>91</v>
      </c>
      <c r="Q970" s="8" t="n">
        <f aca="false">IF(L970="",Assumptions!$B$9,L970*10)</f>
        <v>100</v>
      </c>
      <c r="R970" s="8" t="n">
        <f aca="false">IF(M970&lt;=1,Assumptions!$B$12,IF(M970&lt;=3,Assumptions!$B$13,IF(M970&lt;=6,Assumptions!$B$14,Assumptions!$B$15)))</f>
        <v>100</v>
      </c>
      <c r="S970" s="8" t="n">
        <f aca="false">IF(N970="Completed On Time",Assumptions!$B$16,IF(N970="Completed Late",Assumptions!$B$17,Assumptions!$B$18))</f>
        <v>100</v>
      </c>
      <c r="T970" s="8" t="n">
        <f aca="false">IF(I970=0,Assumptions!$B$20,IF(H970&gt;I970,Assumptions!$B$19,IF(H970=I970,Assumptions!$B$20,Assumptions!$B$21)))</f>
        <v>70</v>
      </c>
      <c r="U970" s="8" t="n">
        <f aca="false">ROUND(P970*Assumptions!$B$2+Q970*Assumptions!$B$3+R970*Assumptions!$B$4+S970*Assumptions!$B$5+T970*Assumptions!$B$6,0)</f>
        <v>91</v>
      </c>
      <c r="V970" s="8" t="str">
        <f aca="false">IF(U970&gt;=Assumptions!$B$10,"Healthy",IF(U970&gt;=Assumptions!$B$11,"Needs Attention","High Risk"))</f>
        <v>Healthy</v>
      </c>
    </row>
    <row r="971" customFormat="false" ht="15" hidden="false" customHeight="false" outlineLevel="0" collapsed="false">
      <c r="A971" s="8" t="s">
        <v>2084</v>
      </c>
      <c r="B971" s="8" t="s">
        <v>2085</v>
      </c>
      <c r="C971" s="8" t="s">
        <v>51</v>
      </c>
      <c r="D971" s="8" t="s">
        <v>326</v>
      </c>
      <c r="E971" s="8" t="s">
        <v>123</v>
      </c>
      <c r="F971" s="8" t="s">
        <v>223</v>
      </c>
      <c r="G971" s="8" t="s">
        <v>140</v>
      </c>
      <c r="H971" s="15" t="n">
        <v>725</v>
      </c>
      <c r="I971" s="15" t="n">
        <v>725</v>
      </c>
      <c r="J971" s="16" t="n">
        <v>0.816</v>
      </c>
      <c r="K971" s="8" t="n">
        <v>10</v>
      </c>
      <c r="L971" s="8" t="n">
        <v>10</v>
      </c>
      <c r="M971" s="8" t="n">
        <v>2</v>
      </c>
      <c r="N971" s="8" t="s">
        <v>120</v>
      </c>
      <c r="O971" s="15" t="n">
        <f aca="false">H971*12</f>
        <v>8700</v>
      </c>
      <c r="P971" s="8" t="n">
        <f aca="false">MIN(100,ROUND(100*J971/Assumptions!$B$8,0))</f>
        <v>91</v>
      </c>
      <c r="Q971" s="8" t="n">
        <f aca="false">IF(L971="",Assumptions!$B$9,L971*10)</f>
        <v>100</v>
      </c>
      <c r="R971" s="8" t="n">
        <f aca="false">IF(M971&lt;=1,Assumptions!$B$12,IF(M971&lt;=3,Assumptions!$B$13,IF(M971&lt;=6,Assumptions!$B$14,Assumptions!$B$15)))</f>
        <v>75</v>
      </c>
      <c r="S971" s="8" t="n">
        <f aca="false">IF(N971="Completed On Time",Assumptions!$B$16,IF(N971="Completed Late",Assumptions!$B$17,Assumptions!$B$18))</f>
        <v>100</v>
      </c>
      <c r="T971" s="8" t="n">
        <f aca="false">IF(I971=0,Assumptions!$B$20,IF(H971&gt;I971,Assumptions!$B$19,IF(H971=I971,Assumptions!$B$20,Assumptions!$B$21)))</f>
        <v>70</v>
      </c>
      <c r="U971" s="8" t="n">
        <f aca="false">ROUND(P971*Assumptions!$B$2+Q971*Assumptions!$B$3+R971*Assumptions!$B$4+S971*Assumptions!$B$5+T971*Assumptions!$B$6,0)</f>
        <v>87</v>
      </c>
      <c r="V971" s="8" t="str">
        <f aca="false">IF(U971&gt;=Assumptions!$B$10,"Healthy",IF(U971&gt;=Assumptions!$B$11,"Needs Attention","High Risk"))</f>
        <v>Healthy</v>
      </c>
    </row>
    <row r="972" customFormat="false" ht="15" hidden="false" customHeight="false" outlineLevel="0" collapsed="false">
      <c r="A972" s="8" t="s">
        <v>2086</v>
      </c>
      <c r="B972" s="8" t="s">
        <v>2087</v>
      </c>
      <c r="C972" s="8" t="s">
        <v>51</v>
      </c>
      <c r="D972" s="8" t="s">
        <v>326</v>
      </c>
      <c r="E972" s="8" t="s">
        <v>132</v>
      </c>
      <c r="F972" s="8" t="s">
        <v>118</v>
      </c>
      <c r="G972" s="8" t="s">
        <v>147</v>
      </c>
      <c r="H972" s="15" t="n">
        <v>725</v>
      </c>
      <c r="I972" s="15" t="n">
        <v>725</v>
      </c>
      <c r="J972" s="16" t="n">
        <v>0.54</v>
      </c>
      <c r="K972" s="8" t="n">
        <v>5.3</v>
      </c>
      <c r="L972" s="8" t="n">
        <v>5</v>
      </c>
      <c r="M972" s="8" t="n">
        <v>1</v>
      </c>
      <c r="N972" s="8" t="s">
        <v>120</v>
      </c>
      <c r="O972" s="15" t="n">
        <f aca="false">H972*12</f>
        <v>8700</v>
      </c>
      <c r="P972" s="8" t="n">
        <f aca="false">MIN(100,ROUND(100*J972/Assumptions!$B$8,0))</f>
        <v>60</v>
      </c>
      <c r="Q972" s="8" t="n">
        <f aca="false">IF(L972="",Assumptions!$B$9,L972*10)</f>
        <v>50</v>
      </c>
      <c r="R972" s="8" t="n">
        <f aca="false">IF(M972&lt;=1,Assumptions!$B$12,IF(M972&lt;=3,Assumptions!$B$13,IF(M972&lt;=6,Assumptions!$B$14,Assumptions!$B$15)))</f>
        <v>100</v>
      </c>
      <c r="S972" s="8" t="n">
        <f aca="false">IF(N972="Completed On Time",Assumptions!$B$16,IF(N972="Completed Late",Assumptions!$B$17,Assumptions!$B$18))</f>
        <v>100</v>
      </c>
      <c r="T972" s="8" t="n">
        <f aca="false">IF(I972=0,Assumptions!$B$20,IF(H972&gt;I972,Assumptions!$B$19,IF(H972=I972,Assumptions!$B$20,Assumptions!$B$21)))</f>
        <v>70</v>
      </c>
      <c r="U972" s="8" t="n">
        <f aca="false">ROUND(P972*Assumptions!$B$2+Q972*Assumptions!$B$3+R972*Assumptions!$B$4+S972*Assumptions!$B$5+T972*Assumptions!$B$6,0)</f>
        <v>70</v>
      </c>
      <c r="V972" s="8" t="str">
        <f aca="false">IF(U972&gt;=Assumptions!$B$10,"Healthy",IF(U972&gt;=Assumptions!$B$11,"Needs Attention","High Risk"))</f>
        <v>Needs Attention</v>
      </c>
    </row>
    <row r="973" customFormat="false" ht="15" hidden="false" customHeight="false" outlineLevel="0" collapsed="false">
      <c r="A973" s="8" t="s">
        <v>2088</v>
      </c>
      <c r="B973" s="8" t="s">
        <v>2089</v>
      </c>
      <c r="C973" s="8" t="s">
        <v>51</v>
      </c>
      <c r="D973" s="8" t="s">
        <v>326</v>
      </c>
      <c r="E973" s="8" t="s">
        <v>132</v>
      </c>
      <c r="F973" s="8" t="s">
        <v>124</v>
      </c>
      <c r="G973" s="8" t="s">
        <v>119</v>
      </c>
      <c r="H973" s="15" t="n">
        <v>700</v>
      </c>
      <c r="I973" s="15" t="n">
        <v>700</v>
      </c>
      <c r="J973" s="16" t="n">
        <v>0.679</v>
      </c>
      <c r="K973" s="8" t="n">
        <v>9</v>
      </c>
      <c r="L973" s="8" t="n">
        <v>8</v>
      </c>
      <c r="M973" s="8" t="n">
        <v>2</v>
      </c>
      <c r="N973" s="8" t="s">
        <v>120</v>
      </c>
      <c r="O973" s="15" t="n">
        <f aca="false">H973*12</f>
        <v>8400</v>
      </c>
      <c r="P973" s="8" t="n">
        <f aca="false">MIN(100,ROUND(100*J973/Assumptions!$B$8,0))</f>
        <v>75</v>
      </c>
      <c r="Q973" s="8" t="n">
        <f aca="false">IF(L973="",Assumptions!$B$9,L973*10)</f>
        <v>80</v>
      </c>
      <c r="R973" s="8" t="n">
        <f aca="false">IF(M973&lt;=1,Assumptions!$B$12,IF(M973&lt;=3,Assumptions!$B$13,IF(M973&lt;=6,Assumptions!$B$14,Assumptions!$B$15)))</f>
        <v>75</v>
      </c>
      <c r="S973" s="8" t="n">
        <f aca="false">IF(N973="Completed On Time",Assumptions!$B$16,IF(N973="Completed Late",Assumptions!$B$17,Assumptions!$B$18))</f>
        <v>100</v>
      </c>
      <c r="T973" s="8" t="n">
        <f aca="false">IF(I973=0,Assumptions!$B$20,IF(H973&gt;I973,Assumptions!$B$19,IF(H973=I973,Assumptions!$B$20,Assumptions!$B$21)))</f>
        <v>70</v>
      </c>
      <c r="U973" s="8" t="n">
        <f aca="false">ROUND(P973*Assumptions!$B$2+Q973*Assumptions!$B$3+R973*Assumptions!$B$4+S973*Assumptions!$B$5+T973*Assumptions!$B$6,0)</f>
        <v>78</v>
      </c>
      <c r="V973" s="8" t="str">
        <f aca="false">IF(U973&gt;=Assumptions!$B$10,"Healthy",IF(U973&gt;=Assumptions!$B$11,"Needs Attention","High Risk"))</f>
        <v>Needs Attention</v>
      </c>
    </row>
    <row r="974" customFormat="false" ht="15" hidden="false" customHeight="false" outlineLevel="0" collapsed="false">
      <c r="A974" s="8" t="s">
        <v>2090</v>
      </c>
      <c r="B974" s="8" t="s">
        <v>2091</v>
      </c>
      <c r="C974" s="8" t="s">
        <v>51</v>
      </c>
      <c r="D974" s="8" t="s">
        <v>326</v>
      </c>
      <c r="E974" s="8" t="s">
        <v>123</v>
      </c>
      <c r="F974" s="8" t="s">
        <v>151</v>
      </c>
      <c r="G974" s="8" t="s">
        <v>159</v>
      </c>
      <c r="H974" s="15" t="n">
        <v>700</v>
      </c>
      <c r="I974" s="15" t="n">
        <v>700</v>
      </c>
      <c r="J974" s="16" t="n">
        <v>0.679</v>
      </c>
      <c r="K974" s="8" t="n">
        <v>9</v>
      </c>
      <c r="L974" s="8" t="n">
        <v>8</v>
      </c>
      <c r="M974" s="8" t="n">
        <v>1</v>
      </c>
      <c r="N974" s="8" t="s">
        <v>120</v>
      </c>
      <c r="O974" s="15" t="n">
        <f aca="false">H974*12</f>
        <v>8400</v>
      </c>
      <c r="P974" s="8" t="n">
        <f aca="false">MIN(100,ROUND(100*J974/Assumptions!$B$8,0))</f>
        <v>75</v>
      </c>
      <c r="Q974" s="8" t="n">
        <f aca="false">IF(L974="",Assumptions!$B$9,L974*10)</f>
        <v>80</v>
      </c>
      <c r="R974" s="8" t="n">
        <f aca="false">IF(M974&lt;=1,Assumptions!$B$12,IF(M974&lt;=3,Assumptions!$B$13,IF(M974&lt;=6,Assumptions!$B$14,Assumptions!$B$15)))</f>
        <v>100</v>
      </c>
      <c r="S974" s="8" t="n">
        <f aca="false">IF(N974="Completed On Time",Assumptions!$B$16,IF(N974="Completed Late",Assumptions!$B$17,Assumptions!$B$18))</f>
        <v>100</v>
      </c>
      <c r="T974" s="8" t="n">
        <f aca="false">IF(I974=0,Assumptions!$B$20,IF(H974&gt;I974,Assumptions!$B$19,IF(H974=I974,Assumptions!$B$20,Assumptions!$B$21)))</f>
        <v>70</v>
      </c>
      <c r="U974" s="8" t="n">
        <f aca="false">ROUND(P974*Assumptions!$B$2+Q974*Assumptions!$B$3+R974*Assumptions!$B$4+S974*Assumptions!$B$5+T974*Assumptions!$B$6,0)</f>
        <v>81</v>
      </c>
      <c r="V974" s="8" t="str">
        <f aca="false">IF(U974&gt;=Assumptions!$B$10,"Healthy",IF(U974&gt;=Assumptions!$B$11,"Needs Attention","High Risk"))</f>
        <v>Healthy</v>
      </c>
    </row>
    <row r="975" customFormat="false" ht="15" hidden="false" customHeight="false" outlineLevel="0" collapsed="false">
      <c r="A975" s="8" t="s">
        <v>2092</v>
      </c>
      <c r="B975" s="8" t="s">
        <v>2093</v>
      </c>
      <c r="C975" s="8" t="s">
        <v>51</v>
      </c>
      <c r="D975" s="8" t="s">
        <v>326</v>
      </c>
      <c r="E975" s="8" t="s">
        <v>132</v>
      </c>
      <c r="F975" s="8" t="s">
        <v>133</v>
      </c>
      <c r="G975" s="8" t="s">
        <v>177</v>
      </c>
      <c r="H975" s="15" t="n">
        <v>700</v>
      </c>
      <c r="I975" s="15" t="n">
        <v>700</v>
      </c>
      <c r="J975" s="16" t="n">
        <v>0.452</v>
      </c>
      <c r="K975" s="8" t="n">
        <v>8</v>
      </c>
      <c r="L975" s="8" t="n">
        <v>9</v>
      </c>
      <c r="M975" s="8" t="n">
        <v>8</v>
      </c>
      <c r="N975" s="8" t="s">
        <v>120</v>
      </c>
      <c r="O975" s="15" t="n">
        <f aca="false">H975*12</f>
        <v>8400</v>
      </c>
      <c r="P975" s="8" t="n">
        <f aca="false">MIN(100,ROUND(100*J975/Assumptions!$B$8,0))</f>
        <v>50</v>
      </c>
      <c r="Q975" s="8" t="n">
        <f aca="false">IF(L975="",Assumptions!$B$9,L975*10)</f>
        <v>90</v>
      </c>
      <c r="R975" s="8" t="n">
        <f aca="false">IF(M975&lt;=1,Assumptions!$B$12,IF(M975&lt;=3,Assumptions!$B$13,IF(M975&lt;=6,Assumptions!$B$14,Assumptions!$B$15)))</f>
        <v>20</v>
      </c>
      <c r="S975" s="8" t="n">
        <f aca="false">IF(N975="Completed On Time",Assumptions!$B$16,IF(N975="Completed Late",Assumptions!$B$17,Assumptions!$B$18))</f>
        <v>100</v>
      </c>
      <c r="T975" s="8" t="n">
        <f aca="false">IF(I975=0,Assumptions!$B$20,IF(H975&gt;I975,Assumptions!$B$19,IF(H975=I975,Assumptions!$B$20,Assumptions!$B$21)))</f>
        <v>70</v>
      </c>
      <c r="U975" s="8" t="n">
        <f aca="false">ROUND(P975*Assumptions!$B$2+Q975*Assumptions!$B$3+R975*Assumptions!$B$4+S975*Assumptions!$B$5+T975*Assumptions!$B$6,0)</f>
        <v>63</v>
      </c>
      <c r="V975" s="8" t="str">
        <f aca="false">IF(U975&gt;=Assumptions!$B$10,"Healthy",IF(U975&gt;=Assumptions!$B$11,"Needs Attention","High Risk"))</f>
        <v>High Risk</v>
      </c>
    </row>
    <row r="976" customFormat="false" ht="15" hidden="false" customHeight="false" outlineLevel="0" collapsed="false">
      <c r="A976" s="8" t="s">
        <v>2094</v>
      </c>
      <c r="B976" s="8" t="s">
        <v>2095</v>
      </c>
      <c r="C976" s="8" t="s">
        <v>51</v>
      </c>
      <c r="D976" s="8" t="s">
        <v>326</v>
      </c>
      <c r="E976" s="8" t="s">
        <v>128</v>
      </c>
      <c r="F976" s="8" t="s">
        <v>118</v>
      </c>
      <c r="G976" s="8" t="s">
        <v>144</v>
      </c>
      <c r="H976" s="15" t="n">
        <v>700</v>
      </c>
      <c r="I976" s="15" t="n">
        <v>700</v>
      </c>
      <c r="J976" s="16" t="n">
        <v>0.69</v>
      </c>
      <c r="K976" s="8" t="n">
        <v>8</v>
      </c>
      <c r="L976" s="8" t="n">
        <v>7</v>
      </c>
      <c r="M976" s="8" t="n">
        <v>8</v>
      </c>
      <c r="N976" s="8" t="s">
        <v>120</v>
      </c>
      <c r="O976" s="15" t="n">
        <f aca="false">H976*12</f>
        <v>8400</v>
      </c>
      <c r="P976" s="8" t="n">
        <f aca="false">MIN(100,ROUND(100*J976/Assumptions!$B$8,0))</f>
        <v>77</v>
      </c>
      <c r="Q976" s="8" t="n">
        <f aca="false">IF(L976="",Assumptions!$B$9,L976*10)</f>
        <v>70</v>
      </c>
      <c r="R976" s="8" t="n">
        <f aca="false">IF(M976&lt;=1,Assumptions!$B$12,IF(M976&lt;=3,Assumptions!$B$13,IF(M976&lt;=6,Assumptions!$B$14,Assumptions!$B$15)))</f>
        <v>20</v>
      </c>
      <c r="S976" s="8" t="n">
        <f aca="false">IF(N976="Completed On Time",Assumptions!$B$16,IF(N976="Completed Late",Assumptions!$B$17,Assumptions!$B$18))</f>
        <v>100</v>
      </c>
      <c r="T976" s="8" t="n">
        <f aca="false">IF(I976=0,Assumptions!$B$20,IF(H976&gt;I976,Assumptions!$B$19,IF(H976=I976,Assumptions!$B$20,Assumptions!$B$21)))</f>
        <v>70</v>
      </c>
      <c r="U976" s="8" t="n">
        <f aca="false">ROUND(P976*Assumptions!$B$2+Q976*Assumptions!$B$3+R976*Assumptions!$B$4+S976*Assumptions!$B$5+T976*Assumptions!$B$6,0)</f>
        <v>68</v>
      </c>
      <c r="V976" s="8" t="str">
        <f aca="false">IF(U976&gt;=Assumptions!$B$10,"Healthy",IF(U976&gt;=Assumptions!$B$11,"Needs Attention","High Risk"))</f>
        <v>Needs Attention</v>
      </c>
    </row>
    <row r="977" customFormat="false" ht="15" hidden="false" customHeight="false" outlineLevel="0" collapsed="false">
      <c r="A977" s="8" t="s">
        <v>2096</v>
      </c>
      <c r="B977" s="8" t="s">
        <v>2097</v>
      </c>
      <c r="C977" s="8" t="s">
        <v>51</v>
      </c>
      <c r="D977" s="8" t="s">
        <v>326</v>
      </c>
      <c r="E977" s="8" t="s">
        <v>123</v>
      </c>
      <c r="F977" s="8" t="s">
        <v>136</v>
      </c>
      <c r="G977" s="8" t="s">
        <v>119</v>
      </c>
      <c r="H977" s="15" t="n">
        <v>700</v>
      </c>
      <c r="I977" s="15" t="n">
        <v>700</v>
      </c>
      <c r="J977" s="16" t="n">
        <v>0.821</v>
      </c>
      <c r="K977" s="8" t="n">
        <v>10.3</v>
      </c>
      <c r="L977" s="8" t="n">
        <v>9</v>
      </c>
      <c r="M977" s="8" t="n">
        <v>2</v>
      </c>
      <c r="N977" s="8" t="s">
        <v>120</v>
      </c>
      <c r="O977" s="15" t="n">
        <f aca="false">H977*12</f>
        <v>8400</v>
      </c>
      <c r="P977" s="8" t="n">
        <f aca="false">MIN(100,ROUND(100*J977/Assumptions!$B$8,0))</f>
        <v>91</v>
      </c>
      <c r="Q977" s="8" t="n">
        <f aca="false">IF(L977="",Assumptions!$B$9,L977*10)</f>
        <v>90</v>
      </c>
      <c r="R977" s="8" t="n">
        <f aca="false">IF(M977&lt;=1,Assumptions!$B$12,IF(M977&lt;=3,Assumptions!$B$13,IF(M977&lt;=6,Assumptions!$B$14,Assumptions!$B$15)))</f>
        <v>75</v>
      </c>
      <c r="S977" s="8" t="n">
        <f aca="false">IF(N977="Completed On Time",Assumptions!$B$16,IF(N977="Completed Late",Assumptions!$B$17,Assumptions!$B$18))</f>
        <v>100</v>
      </c>
      <c r="T977" s="8" t="n">
        <f aca="false">IF(I977=0,Assumptions!$B$20,IF(H977&gt;I977,Assumptions!$B$19,IF(H977=I977,Assumptions!$B$20,Assumptions!$B$21)))</f>
        <v>70</v>
      </c>
      <c r="U977" s="8" t="n">
        <f aca="false">ROUND(P977*Assumptions!$B$2+Q977*Assumptions!$B$3+R977*Assumptions!$B$4+S977*Assumptions!$B$5+T977*Assumptions!$B$6,0)</f>
        <v>85</v>
      </c>
      <c r="V977" s="8" t="str">
        <f aca="false">IF(U977&gt;=Assumptions!$B$10,"Healthy",IF(U977&gt;=Assumptions!$B$11,"Needs Attention","High Risk"))</f>
        <v>Healthy</v>
      </c>
    </row>
    <row r="978" customFormat="false" ht="15" hidden="false" customHeight="false" outlineLevel="0" collapsed="false">
      <c r="A978" s="8" t="s">
        <v>2098</v>
      </c>
      <c r="B978" s="8" t="s">
        <v>2099</v>
      </c>
      <c r="C978" s="8" t="s">
        <v>51</v>
      </c>
      <c r="D978" s="8" t="s">
        <v>326</v>
      </c>
      <c r="E978" s="8" t="s">
        <v>123</v>
      </c>
      <c r="F978" s="8" t="s">
        <v>136</v>
      </c>
      <c r="G978" s="8" t="s">
        <v>144</v>
      </c>
      <c r="H978" s="15" t="n">
        <v>700</v>
      </c>
      <c r="I978" s="15" t="n">
        <v>700</v>
      </c>
      <c r="J978" s="16" t="n">
        <v>0.702</v>
      </c>
      <c r="K978" s="8" t="n">
        <v>7</v>
      </c>
      <c r="L978" s="8" t="n">
        <v>9</v>
      </c>
      <c r="M978" s="8" t="n">
        <v>2</v>
      </c>
      <c r="N978" s="8" t="s">
        <v>120</v>
      </c>
      <c r="O978" s="15" t="n">
        <f aca="false">H978*12</f>
        <v>8400</v>
      </c>
      <c r="P978" s="8" t="n">
        <f aca="false">MIN(100,ROUND(100*J978/Assumptions!$B$8,0))</f>
        <v>78</v>
      </c>
      <c r="Q978" s="8" t="n">
        <f aca="false">IF(L978="",Assumptions!$B$9,L978*10)</f>
        <v>90</v>
      </c>
      <c r="R978" s="8" t="n">
        <f aca="false">IF(M978&lt;=1,Assumptions!$B$12,IF(M978&lt;=3,Assumptions!$B$13,IF(M978&lt;=6,Assumptions!$B$14,Assumptions!$B$15)))</f>
        <v>75</v>
      </c>
      <c r="S978" s="8" t="n">
        <f aca="false">IF(N978="Completed On Time",Assumptions!$B$16,IF(N978="Completed Late",Assumptions!$B$17,Assumptions!$B$18))</f>
        <v>100</v>
      </c>
      <c r="T978" s="8" t="n">
        <f aca="false">IF(I978=0,Assumptions!$B$20,IF(H978&gt;I978,Assumptions!$B$19,IF(H978=I978,Assumptions!$B$20,Assumptions!$B$21)))</f>
        <v>70</v>
      </c>
      <c r="U978" s="8" t="n">
        <f aca="false">ROUND(P978*Assumptions!$B$2+Q978*Assumptions!$B$3+R978*Assumptions!$B$4+S978*Assumptions!$B$5+T978*Assumptions!$B$6,0)</f>
        <v>81</v>
      </c>
      <c r="V978" s="8" t="str">
        <f aca="false">IF(U978&gt;=Assumptions!$B$10,"Healthy",IF(U978&gt;=Assumptions!$B$11,"Needs Attention","High Risk"))</f>
        <v>Healthy</v>
      </c>
    </row>
    <row r="979" customFormat="false" ht="15" hidden="false" customHeight="false" outlineLevel="0" collapsed="false">
      <c r="A979" s="8" t="s">
        <v>2100</v>
      </c>
      <c r="B979" s="8" t="s">
        <v>2101</v>
      </c>
      <c r="C979" s="8" t="s">
        <v>51</v>
      </c>
      <c r="D979" s="8" t="s">
        <v>326</v>
      </c>
      <c r="E979" s="8" t="s">
        <v>123</v>
      </c>
      <c r="F979" s="8" t="s">
        <v>133</v>
      </c>
      <c r="G979" s="8" t="s">
        <v>180</v>
      </c>
      <c r="H979" s="15" t="n">
        <v>700</v>
      </c>
      <c r="I979" s="15" t="n">
        <v>700</v>
      </c>
      <c r="J979" s="16" t="n">
        <v>0.81</v>
      </c>
      <c r="K979" s="8" t="n">
        <v>10.7</v>
      </c>
      <c r="L979" s="8" t="n">
        <v>10</v>
      </c>
      <c r="M979" s="8" t="n">
        <v>0</v>
      </c>
      <c r="N979" s="8" t="s">
        <v>120</v>
      </c>
      <c r="O979" s="15" t="n">
        <f aca="false">H979*12</f>
        <v>8400</v>
      </c>
      <c r="P979" s="8" t="n">
        <f aca="false">MIN(100,ROUND(100*J979/Assumptions!$B$8,0))</f>
        <v>90</v>
      </c>
      <c r="Q979" s="8" t="n">
        <f aca="false">IF(L979="",Assumptions!$B$9,L979*10)</f>
        <v>100</v>
      </c>
      <c r="R979" s="8" t="n">
        <f aca="false">IF(M979&lt;=1,Assumptions!$B$12,IF(M979&lt;=3,Assumptions!$B$13,IF(M979&lt;=6,Assumptions!$B$14,Assumptions!$B$15)))</f>
        <v>100</v>
      </c>
      <c r="S979" s="8" t="n">
        <f aca="false">IF(N979="Completed On Time",Assumptions!$B$16,IF(N979="Completed Late",Assumptions!$B$17,Assumptions!$B$18))</f>
        <v>100</v>
      </c>
      <c r="T979" s="8" t="n">
        <f aca="false">IF(I979=0,Assumptions!$B$20,IF(H979&gt;I979,Assumptions!$B$19,IF(H979=I979,Assumptions!$B$20,Assumptions!$B$21)))</f>
        <v>70</v>
      </c>
      <c r="U979" s="8" t="n">
        <f aca="false">ROUND(P979*Assumptions!$B$2+Q979*Assumptions!$B$3+R979*Assumptions!$B$4+S979*Assumptions!$B$5+T979*Assumptions!$B$6,0)</f>
        <v>91</v>
      </c>
      <c r="V979" s="8" t="str">
        <f aca="false">IF(U979&gt;=Assumptions!$B$10,"Healthy",IF(U979&gt;=Assumptions!$B$11,"Needs Attention","High Risk"))</f>
        <v>Healthy</v>
      </c>
    </row>
    <row r="980" customFormat="false" ht="15" hidden="false" customHeight="false" outlineLevel="0" collapsed="false">
      <c r="A980" s="8" t="s">
        <v>2102</v>
      </c>
      <c r="B980" s="8" t="s">
        <v>2103</v>
      </c>
      <c r="C980" s="8" t="s">
        <v>51</v>
      </c>
      <c r="D980" s="8" t="s">
        <v>326</v>
      </c>
      <c r="E980" s="8" t="s">
        <v>123</v>
      </c>
      <c r="F980" s="8" t="s">
        <v>124</v>
      </c>
      <c r="G980" s="8" t="s">
        <v>185</v>
      </c>
      <c r="H980" s="15" t="n">
        <v>700</v>
      </c>
      <c r="I980" s="15" t="n">
        <v>700</v>
      </c>
      <c r="J980" s="16" t="n">
        <v>0.548</v>
      </c>
      <c r="K980" s="8" t="n">
        <v>4.7</v>
      </c>
      <c r="L980" s="8" t="n">
        <v>6</v>
      </c>
      <c r="M980" s="8" t="n">
        <v>4</v>
      </c>
      <c r="N980" s="8" t="s">
        <v>120</v>
      </c>
      <c r="O980" s="15" t="n">
        <f aca="false">H980*12</f>
        <v>8400</v>
      </c>
      <c r="P980" s="8" t="n">
        <f aca="false">MIN(100,ROUND(100*J980/Assumptions!$B$8,0))</f>
        <v>61</v>
      </c>
      <c r="Q980" s="8" t="n">
        <f aca="false">IF(L980="",Assumptions!$B$9,L980*10)</f>
        <v>60</v>
      </c>
      <c r="R980" s="8" t="n">
        <f aca="false">IF(M980&lt;=1,Assumptions!$B$12,IF(M980&lt;=3,Assumptions!$B$13,IF(M980&lt;=6,Assumptions!$B$14,Assumptions!$B$15)))</f>
        <v>50</v>
      </c>
      <c r="S980" s="8" t="n">
        <f aca="false">IF(N980="Completed On Time",Assumptions!$B$16,IF(N980="Completed Late",Assumptions!$B$17,Assumptions!$B$18))</f>
        <v>100</v>
      </c>
      <c r="T980" s="8" t="n">
        <f aca="false">IF(I980=0,Assumptions!$B$20,IF(H980&gt;I980,Assumptions!$B$19,IF(H980=I980,Assumptions!$B$20,Assumptions!$B$21)))</f>
        <v>70</v>
      </c>
      <c r="U980" s="8" t="n">
        <f aca="false">ROUND(P980*Assumptions!$B$2+Q980*Assumptions!$B$3+R980*Assumptions!$B$4+S980*Assumptions!$B$5+T980*Assumptions!$B$6,0)</f>
        <v>65</v>
      </c>
      <c r="V980" s="8" t="str">
        <f aca="false">IF(U980&gt;=Assumptions!$B$10,"Healthy",IF(U980&gt;=Assumptions!$B$11,"Needs Attention","High Risk"))</f>
        <v>Needs Attention</v>
      </c>
    </row>
    <row r="981" customFormat="false" ht="15" hidden="false" customHeight="false" outlineLevel="0" collapsed="false">
      <c r="A981" s="8" t="s">
        <v>2104</v>
      </c>
      <c r="B981" s="8" t="s">
        <v>2105</v>
      </c>
      <c r="C981" s="8" t="s">
        <v>51</v>
      </c>
      <c r="D981" s="8" t="s">
        <v>326</v>
      </c>
      <c r="E981" s="8" t="s">
        <v>132</v>
      </c>
      <c r="F981" s="8" t="s">
        <v>151</v>
      </c>
      <c r="G981" s="8" t="s">
        <v>177</v>
      </c>
      <c r="H981" s="15" t="n">
        <v>700</v>
      </c>
      <c r="I981" s="15" t="n">
        <v>0</v>
      </c>
      <c r="J981" s="16" t="n">
        <v>0.869</v>
      </c>
      <c r="K981" s="8" t="n">
        <v>9</v>
      </c>
      <c r="L981" s="8"/>
      <c r="M981" s="8" t="n">
        <v>2</v>
      </c>
      <c r="N981" s="8" t="s">
        <v>120</v>
      </c>
      <c r="O981" s="15" t="n">
        <f aca="false">H981*12</f>
        <v>8400</v>
      </c>
      <c r="P981" s="8" t="n">
        <f aca="false">MIN(100,ROUND(100*J981/Assumptions!$B$8,0))</f>
        <v>97</v>
      </c>
      <c r="Q981" s="8" t="n">
        <f aca="false">IF(L981="",Assumptions!$B$9,L981*10)</f>
        <v>50</v>
      </c>
      <c r="R981" s="8" t="n">
        <f aca="false">IF(M981&lt;=1,Assumptions!$B$12,IF(M981&lt;=3,Assumptions!$B$13,IF(M981&lt;=6,Assumptions!$B$14,Assumptions!$B$15)))</f>
        <v>75</v>
      </c>
      <c r="S981" s="8" t="n">
        <f aca="false">IF(N981="Completed On Time",Assumptions!$B$16,IF(N981="Completed Late",Assumptions!$B$17,Assumptions!$B$18))</f>
        <v>100</v>
      </c>
      <c r="T981" s="8" t="n">
        <f aca="false">IF(I981=0,Assumptions!$B$20,IF(H981&gt;I981,Assumptions!$B$19,IF(H981=I981,Assumptions!$B$20,Assumptions!$B$21)))</f>
        <v>70</v>
      </c>
      <c r="U981" s="8" t="n">
        <f aca="false">ROUND(P981*Assumptions!$B$2+Q981*Assumptions!$B$3+R981*Assumptions!$B$4+S981*Assumptions!$B$5+T981*Assumptions!$B$6,0)</f>
        <v>79</v>
      </c>
      <c r="V981" s="8" t="str">
        <f aca="false">IF(U981&gt;=Assumptions!$B$10,"Healthy",IF(U981&gt;=Assumptions!$B$11,"Needs Attention","High Risk"))</f>
        <v>Needs Attention</v>
      </c>
    </row>
    <row r="982" customFormat="false" ht="15" hidden="false" customHeight="false" outlineLevel="0" collapsed="false">
      <c r="A982" s="8" t="s">
        <v>2106</v>
      </c>
      <c r="B982" s="8" t="s">
        <v>2107</v>
      </c>
      <c r="C982" s="8" t="s">
        <v>51</v>
      </c>
      <c r="D982" s="8" t="s">
        <v>326</v>
      </c>
      <c r="E982" s="8" t="s">
        <v>123</v>
      </c>
      <c r="F982" s="8" t="s">
        <v>143</v>
      </c>
      <c r="G982" s="8" t="s">
        <v>140</v>
      </c>
      <c r="H982" s="15" t="n">
        <v>700</v>
      </c>
      <c r="I982" s="15" t="n">
        <v>700</v>
      </c>
      <c r="J982" s="16" t="n">
        <v>0.762</v>
      </c>
      <c r="K982" s="8" t="n">
        <v>9.7</v>
      </c>
      <c r="L982" s="8" t="n">
        <v>8</v>
      </c>
      <c r="M982" s="8" t="n">
        <v>1</v>
      </c>
      <c r="N982" s="8" t="s">
        <v>120</v>
      </c>
      <c r="O982" s="15" t="n">
        <f aca="false">H982*12</f>
        <v>8400</v>
      </c>
      <c r="P982" s="8" t="n">
        <f aca="false">MIN(100,ROUND(100*J982/Assumptions!$B$8,0))</f>
        <v>85</v>
      </c>
      <c r="Q982" s="8" t="n">
        <f aca="false">IF(L982="",Assumptions!$B$9,L982*10)</f>
        <v>80</v>
      </c>
      <c r="R982" s="8" t="n">
        <f aca="false">IF(M982&lt;=1,Assumptions!$B$12,IF(M982&lt;=3,Assumptions!$B$13,IF(M982&lt;=6,Assumptions!$B$14,Assumptions!$B$15)))</f>
        <v>100</v>
      </c>
      <c r="S982" s="8" t="n">
        <f aca="false">IF(N982="Completed On Time",Assumptions!$B$16,IF(N982="Completed Late",Assumptions!$B$17,Assumptions!$B$18))</f>
        <v>100</v>
      </c>
      <c r="T982" s="8" t="n">
        <f aca="false">IF(I982=0,Assumptions!$B$20,IF(H982&gt;I982,Assumptions!$B$19,IF(H982=I982,Assumptions!$B$20,Assumptions!$B$21)))</f>
        <v>70</v>
      </c>
      <c r="U982" s="8" t="n">
        <f aca="false">ROUND(P982*Assumptions!$B$2+Q982*Assumptions!$B$3+R982*Assumptions!$B$4+S982*Assumptions!$B$5+T982*Assumptions!$B$6,0)</f>
        <v>85</v>
      </c>
      <c r="V982" s="8" t="str">
        <f aca="false">IF(U982&gt;=Assumptions!$B$10,"Healthy",IF(U982&gt;=Assumptions!$B$11,"Needs Attention","High Risk"))</f>
        <v>Healthy</v>
      </c>
    </row>
    <row r="983" customFormat="false" ht="15" hidden="false" customHeight="false" outlineLevel="0" collapsed="false">
      <c r="A983" s="8" t="s">
        <v>2108</v>
      </c>
      <c r="B983" s="8" t="s">
        <v>2109</v>
      </c>
      <c r="C983" s="8" t="s">
        <v>51</v>
      </c>
      <c r="D983" s="8" t="s">
        <v>326</v>
      </c>
      <c r="E983" s="8" t="s">
        <v>132</v>
      </c>
      <c r="F983" s="8" t="s">
        <v>124</v>
      </c>
      <c r="G983" s="8" t="s">
        <v>185</v>
      </c>
      <c r="H983" s="15" t="n">
        <v>700</v>
      </c>
      <c r="I983" s="15" t="n">
        <v>700</v>
      </c>
      <c r="J983" s="16" t="n">
        <v>0.679</v>
      </c>
      <c r="K983" s="8" t="n">
        <v>8.3</v>
      </c>
      <c r="L983" s="8" t="n">
        <v>7</v>
      </c>
      <c r="M983" s="8" t="n">
        <v>1</v>
      </c>
      <c r="N983" s="8" t="s">
        <v>120</v>
      </c>
      <c r="O983" s="15" t="n">
        <f aca="false">H983*12</f>
        <v>8400</v>
      </c>
      <c r="P983" s="8" t="n">
        <f aca="false">MIN(100,ROUND(100*J983/Assumptions!$B$8,0))</f>
        <v>75</v>
      </c>
      <c r="Q983" s="8" t="n">
        <f aca="false">IF(L983="",Assumptions!$B$9,L983*10)</f>
        <v>70</v>
      </c>
      <c r="R983" s="8" t="n">
        <f aca="false">IF(M983&lt;=1,Assumptions!$B$12,IF(M983&lt;=3,Assumptions!$B$13,IF(M983&lt;=6,Assumptions!$B$14,Assumptions!$B$15)))</f>
        <v>100</v>
      </c>
      <c r="S983" s="8" t="n">
        <f aca="false">IF(N983="Completed On Time",Assumptions!$B$16,IF(N983="Completed Late",Assumptions!$B$17,Assumptions!$B$18))</f>
        <v>100</v>
      </c>
      <c r="T983" s="8" t="n">
        <f aca="false">IF(I983=0,Assumptions!$B$20,IF(H983&gt;I983,Assumptions!$B$19,IF(H983=I983,Assumptions!$B$20,Assumptions!$B$21)))</f>
        <v>70</v>
      </c>
      <c r="U983" s="8" t="n">
        <f aca="false">ROUND(P983*Assumptions!$B$2+Q983*Assumptions!$B$3+R983*Assumptions!$B$4+S983*Assumptions!$B$5+T983*Assumptions!$B$6,0)</f>
        <v>79</v>
      </c>
      <c r="V983" s="8" t="str">
        <f aca="false">IF(U983&gt;=Assumptions!$B$10,"Healthy",IF(U983&gt;=Assumptions!$B$11,"Needs Attention","High Risk"))</f>
        <v>Needs Attention</v>
      </c>
    </row>
    <row r="984" customFormat="false" ht="15" hidden="false" customHeight="false" outlineLevel="0" collapsed="false">
      <c r="A984" s="8" t="s">
        <v>2110</v>
      </c>
      <c r="B984" s="8" t="s">
        <v>2111</v>
      </c>
      <c r="C984" s="8" t="s">
        <v>51</v>
      </c>
      <c r="D984" s="8" t="s">
        <v>326</v>
      </c>
      <c r="E984" s="8" t="s">
        <v>123</v>
      </c>
      <c r="F984" s="8" t="s">
        <v>166</v>
      </c>
      <c r="G984" s="8" t="s">
        <v>185</v>
      </c>
      <c r="H984" s="15" t="n">
        <v>700</v>
      </c>
      <c r="I984" s="15" t="n">
        <v>700</v>
      </c>
      <c r="J984" s="16" t="n">
        <v>0.81</v>
      </c>
      <c r="K984" s="8" t="n">
        <v>8.3</v>
      </c>
      <c r="L984" s="8" t="n">
        <v>8</v>
      </c>
      <c r="M984" s="8" t="n">
        <v>3</v>
      </c>
      <c r="N984" s="8" t="s">
        <v>120</v>
      </c>
      <c r="O984" s="15" t="n">
        <f aca="false">H984*12</f>
        <v>8400</v>
      </c>
      <c r="P984" s="8" t="n">
        <f aca="false">MIN(100,ROUND(100*J984/Assumptions!$B$8,0))</f>
        <v>90</v>
      </c>
      <c r="Q984" s="8" t="n">
        <f aca="false">IF(L984="",Assumptions!$B$9,L984*10)</f>
        <v>80</v>
      </c>
      <c r="R984" s="8" t="n">
        <f aca="false">IF(M984&lt;=1,Assumptions!$B$12,IF(M984&lt;=3,Assumptions!$B$13,IF(M984&lt;=6,Assumptions!$B$14,Assumptions!$B$15)))</f>
        <v>75</v>
      </c>
      <c r="S984" s="8" t="n">
        <f aca="false">IF(N984="Completed On Time",Assumptions!$B$16,IF(N984="Completed Late",Assumptions!$B$17,Assumptions!$B$18))</f>
        <v>100</v>
      </c>
      <c r="T984" s="8" t="n">
        <f aca="false">IF(I984=0,Assumptions!$B$20,IF(H984&gt;I984,Assumptions!$B$19,IF(H984=I984,Assumptions!$B$20,Assumptions!$B$21)))</f>
        <v>70</v>
      </c>
      <c r="U984" s="8" t="n">
        <f aca="false">ROUND(P984*Assumptions!$B$2+Q984*Assumptions!$B$3+R984*Assumptions!$B$4+S984*Assumptions!$B$5+T984*Assumptions!$B$6,0)</f>
        <v>83</v>
      </c>
      <c r="V984" s="8" t="str">
        <f aca="false">IF(U984&gt;=Assumptions!$B$10,"Healthy",IF(U984&gt;=Assumptions!$B$11,"Needs Attention","High Risk"))</f>
        <v>Healthy</v>
      </c>
    </row>
    <row r="985" customFormat="false" ht="15" hidden="false" customHeight="false" outlineLevel="0" collapsed="false">
      <c r="A985" s="8" t="s">
        <v>2112</v>
      </c>
      <c r="B985" s="8" t="s">
        <v>2113</v>
      </c>
      <c r="C985" s="8" t="s">
        <v>51</v>
      </c>
      <c r="D985" s="8" t="s">
        <v>326</v>
      </c>
      <c r="E985" s="8" t="s">
        <v>123</v>
      </c>
      <c r="F985" s="8" t="s">
        <v>118</v>
      </c>
      <c r="G985" s="8" t="s">
        <v>204</v>
      </c>
      <c r="H985" s="15" t="n">
        <v>700</v>
      </c>
      <c r="I985" s="15" t="n">
        <v>700</v>
      </c>
      <c r="J985" s="16" t="n">
        <v>0.94</v>
      </c>
      <c r="K985" s="8" t="n">
        <v>10.7</v>
      </c>
      <c r="L985" s="8" t="n">
        <v>10</v>
      </c>
      <c r="M985" s="8" t="n">
        <v>0</v>
      </c>
      <c r="N985" s="8" t="s">
        <v>120</v>
      </c>
      <c r="O985" s="15" t="n">
        <f aca="false">H985*12</f>
        <v>8400</v>
      </c>
      <c r="P985" s="8" t="n">
        <f aca="false">MIN(100,ROUND(100*J985/Assumptions!$B$8,0))</f>
        <v>100</v>
      </c>
      <c r="Q985" s="8" t="n">
        <f aca="false">IF(L985="",Assumptions!$B$9,L985*10)</f>
        <v>100</v>
      </c>
      <c r="R985" s="8" t="n">
        <f aca="false">IF(M985&lt;=1,Assumptions!$B$12,IF(M985&lt;=3,Assumptions!$B$13,IF(M985&lt;=6,Assumptions!$B$14,Assumptions!$B$15)))</f>
        <v>100</v>
      </c>
      <c r="S985" s="8" t="n">
        <f aca="false">IF(N985="Completed On Time",Assumptions!$B$16,IF(N985="Completed Late",Assumptions!$B$17,Assumptions!$B$18))</f>
        <v>100</v>
      </c>
      <c r="T985" s="8" t="n">
        <f aca="false">IF(I985=0,Assumptions!$B$20,IF(H985&gt;I985,Assumptions!$B$19,IF(H985=I985,Assumptions!$B$20,Assumptions!$B$21)))</f>
        <v>70</v>
      </c>
      <c r="U985" s="8" t="n">
        <f aca="false">ROUND(P985*Assumptions!$B$2+Q985*Assumptions!$B$3+R985*Assumptions!$B$4+S985*Assumptions!$B$5+T985*Assumptions!$B$6,0)</f>
        <v>94</v>
      </c>
      <c r="V985" s="8" t="str">
        <f aca="false">IF(U985&gt;=Assumptions!$B$10,"Healthy",IF(U985&gt;=Assumptions!$B$11,"Needs Attention","High Risk"))</f>
        <v>Healthy</v>
      </c>
    </row>
    <row r="986" customFormat="false" ht="15" hidden="false" customHeight="false" outlineLevel="0" collapsed="false">
      <c r="A986" s="8" t="s">
        <v>2114</v>
      </c>
      <c r="B986" s="8" t="s">
        <v>2115</v>
      </c>
      <c r="C986" s="8" t="s">
        <v>51</v>
      </c>
      <c r="D986" s="8" t="s">
        <v>326</v>
      </c>
      <c r="E986" s="8" t="s">
        <v>132</v>
      </c>
      <c r="F986" s="8" t="s">
        <v>136</v>
      </c>
      <c r="G986" s="8" t="s">
        <v>119</v>
      </c>
      <c r="H986" s="15" t="n">
        <v>700</v>
      </c>
      <c r="I986" s="15" t="n">
        <v>700</v>
      </c>
      <c r="J986" s="16" t="n">
        <v>0.798</v>
      </c>
      <c r="K986" s="8" t="n">
        <v>8.3</v>
      </c>
      <c r="L986" s="8" t="n">
        <v>9</v>
      </c>
      <c r="M986" s="8" t="n">
        <v>2</v>
      </c>
      <c r="N986" s="8" t="s">
        <v>120</v>
      </c>
      <c r="O986" s="15" t="n">
        <f aca="false">H986*12</f>
        <v>8400</v>
      </c>
      <c r="P986" s="8" t="n">
        <f aca="false">MIN(100,ROUND(100*J986/Assumptions!$B$8,0))</f>
        <v>89</v>
      </c>
      <c r="Q986" s="8" t="n">
        <f aca="false">IF(L986="",Assumptions!$B$9,L986*10)</f>
        <v>90</v>
      </c>
      <c r="R986" s="8" t="n">
        <f aca="false">IF(M986&lt;=1,Assumptions!$B$12,IF(M986&lt;=3,Assumptions!$B$13,IF(M986&lt;=6,Assumptions!$B$14,Assumptions!$B$15)))</f>
        <v>75</v>
      </c>
      <c r="S986" s="8" t="n">
        <f aca="false">IF(N986="Completed On Time",Assumptions!$B$16,IF(N986="Completed Late",Assumptions!$B$17,Assumptions!$B$18))</f>
        <v>100</v>
      </c>
      <c r="T986" s="8" t="n">
        <f aca="false">IF(I986=0,Assumptions!$B$20,IF(H986&gt;I986,Assumptions!$B$19,IF(H986=I986,Assumptions!$B$20,Assumptions!$B$21)))</f>
        <v>70</v>
      </c>
      <c r="U986" s="8" t="n">
        <f aca="false">ROUND(P986*Assumptions!$B$2+Q986*Assumptions!$B$3+R986*Assumptions!$B$4+S986*Assumptions!$B$5+T986*Assumptions!$B$6,0)</f>
        <v>84</v>
      </c>
      <c r="V986" s="8" t="str">
        <f aca="false">IF(U986&gt;=Assumptions!$B$10,"Healthy",IF(U986&gt;=Assumptions!$B$11,"Needs Attention","High Risk"))</f>
        <v>Healthy</v>
      </c>
    </row>
    <row r="987" customFormat="false" ht="15" hidden="false" customHeight="false" outlineLevel="0" collapsed="false">
      <c r="A987" s="8" t="s">
        <v>2116</v>
      </c>
      <c r="B987" s="8" t="s">
        <v>2117</v>
      </c>
      <c r="C987" s="8" t="s">
        <v>51</v>
      </c>
      <c r="D987" s="8" t="s">
        <v>326</v>
      </c>
      <c r="E987" s="8" t="s">
        <v>132</v>
      </c>
      <c r="F987" s="8" t="s">
        <v>223</v>
      </c>
      <c r="G987" s="8" t="s">
        <v>137</v>
      </c>
      <c r="H987" s="15" t="n">
        <v>700</v>
      </c>
      <c r="I987" s="15" t="n">
        <v>700</v>
      </c>
      <c r="J987" s="16" t="n">
        <v>0.905</v>
      </c>
      <c r="K987" s="8" t="n">
        <v>12</v>
      </c>
      <c r="L987" s="8" t="n">
        <v>10</v>
      </c>
      <c r="M987" s="8" t="n">
        <v>1</v>
      </c>
      <c r="N987" s="8" t="s">
        <v>120</v>
      </c>
      <c r="O987" s="15" t="n">
        <f aca="false">H987*12</f>
        <v>8400</v>
      </c>
      <c r="P987" s="8" t="n">
        <f aca="false">MIN(100,ROUND(100*J987/Assumptions!$B$8,0))</f>
        <v>100</v>
      </c>
      <c r="Q987" s="8" t="n">
        <f aca="false">IF(L987="",Assumptions!$B$9,L987*10)</f>
        <v>100</v>
      </c>
      <c r="R987" s="8" t="n">
        <f aca="false">IF(M987&lt;=1,Assumptions!$B$12,IF(M987&lt;=3,Assumptions!$B$13,IF(M987&lt;=6,Assumptions!$B$14,Assumptions!$B$15)))</f>
        <v>100</v>
      </c>
      <c r="S987" s="8" t="n">
        <f aca="false">IF(N987="Completed On Time",Assumptions!$B$16,IF(N987="Completed Late",Assumptions!$B$17,Assumptions!$B$18))</f>
        <v>100</v>
      </c>
      <c r="T987" s="8" t="n">
        <f aca="false">IF(I987=0,Assumptions!$B$20,IF(H987&gt;I987,Assumptions!$B$19,IF(H987=I987,Assumptions!$B$20,Assumptions!$B$21)))</f>
        <v>70</v>
      </c>
      <c r="U987" s="8" t="n">
        <f aca="false">ROUND(P987*Assumptions!$B$2+Q987*Assumptions!$B$3+R987*Assumptions!$B$4+S987*Assumptions!$B$5+T987*Assumptions!$B$6,0)</f>
        <v>94</v>
      </c>
      <c r="V987" s="8" t="str">
        <f aca="false">IF(U987&gt;=Assumptions!$B$10,"Healthy",IF(U987&gt;=Assumptions!$B$11,"Needs Attention","High Risk"))</f>
        <v>Healthy</v>
      </c>
    </row>
    <row r="988" customFormat="false" ht="15" hidden="false" customHeight="false" outlineLevel="0" collapsed="false">
      <c r="A988" s="8" t="s">
        <v>2118</v>
      </c>
      <c r="B988" s="8" t="s">
        <v>2119</v>
      </c>
      <c r="C988" s="8" t="s">
        <v>51</v>
      </c>
      <c r="D988" s="8" t="s">
        <v>326</v>
      </c>
      <c r="E988" s="8" t="s">
        <v>123</v>
      </c>
      <c r="F988" s="8" t="s">
        <v>143</v>
      </c>
      <c r="G988" s="8" t="s">
        <v>147</v>
      </c>
      <c r="H988" s="15" t="n">
        <v>675</v>
      </c>
      <c r="I988" s="15" t="n">
        <v>675</v>
      </c>
      <c r="J988" s="16" t="n">
        <v>0.728</v>
      </c>
      <c r="K988" s="8" t="n">
        <v>7.7</v>
      </c>
      <c r="L988" s="8" t="n">
        <v>8</v>
      </c>
      <c r="M988" s="8" t="n">
        <v>3</v>
      </c>
      <c r="N988" s="8" t="s">
        <v>120</v>
      </c>
      <c r="O988" s="15" t="n">
        <f aca="false">H988*12</f>
        <v>8100</v>
      </c>
      <c r="P988" s="8" t="n">
        <f aca="false">MIN(100,ROUND(100*J988/Assumptions!$B$8,0))</f>
        <v>81</v>
      </c>
      <c r="Q988" s="8" t="n">
        <f aca="false">IF(L988="",Assumptions!$B$9,L988*10)</f>
        <v>80</v>
      </c>
      <c r="R988" s="8" t="n">
        <f aca="false">IF(M988&lt;=1,Assumptions!$B$12,IF(M988&lt;=3,Assumptions!$B$13,IF(M988&lt;=6,Assumptions!$B$14,Assumptions!$B$15)))</f>
        <v>75</v>
      </c>
      <c r="S988" s="8" t="n">
        <f aca="false">IF(N988="Completed On Time",Assumptions!$B$16,IF(N988="Completed Late",Assumptions!$B$17,Assumptions!$B$18))</f>
        <v>100</v>
      </c>
      <c r="T988" s="8" t="n">
        <f aca="false">IF(I988=0,Assumptions!$B$20,IF(H988&gt;I988,Assumptions!$B$19,IF(H988=I988,Assumptions!$B$20,Assumptions!$B$21)))</f>
        <v>70</v>
      </c>
      <c r="U988" s="8" t="n">
        <f aca="false">ROUND(P988*Assumptions!$B$2+Q988*Assumptions!$B$3+R988*Assumptions!$B$4+S988*Assumptions!$B$5+T988*Assumptions!$B$6,0)</f>
        <v>80</v>
      </c>
      <c r="V988" s="8" t="str">
        <f aca="false">IF(U988&gt;=Assumptions!$B$10,"Healthy",IF(U988&gt;=Assumptions!$B$11,"Needs Attention","High Risk"))</f>
        <v>Healthy</v>
      </c>
    </row>
    <row r="989" customFormat="false" ht="15" hidden="false" customHeight="false" outlineLevel="0" collapsed="false">
      <c r="A989" s="8" t="s">
        <v>2120</v>
      </c>
      <c r="B989" s="8" t="s">
        <v>2121</v>
      </c>
      <c r="C989" s="8" t="s">
        <v>51</v>
      </c>
      <c r="D989" s="8" t="s">
        <v>326</v>
      </c>
      <c r="E989" s="8" t="s">
        <v>132</v>
      </c>
      <c r="F989" s="8" t="s">
        <v>166</v>
      </c>
      <c r="G989" s="8" t="s">
        <v>140</v>
      </c>
      <c r="H989" s="15" t="n">
        <v>675</v>
      </c>
      <c r="I989" s="15" t="n">
        <v>675</v>
      </c>
      <c r="J989" s="16" t="n">
        <v>0.765</v>
      </c>
      <c r="K989" s="8" t="n">
        <v>8.3</v>
      </c>
      <c r="L989" s="8" t="n">
        <v>9</v>
      </c>
      <c r="M989" s="8" t="n">
        <v>4</v>
      </c>
      <c r="N989" s="8" t="s">
        <v>120</v>
      </c>
      <c r="O989" s="15" t="n">
        <f aca="false">H989*12</f>
        <v>8100</v>
      </c>
      <c r="P989" s="8" t="n">
        <f aca="false">MIN(100,ROUND(100*J989/Assumptions!$B$8,0))</f>
        <v>85</v>
      </c>
      <c r="Q989" s="8" t="n">
        <f aca="false">IF(L989="",Assumptions!$B$9,L989*10)</f>
        <v>90</v>
      </c>
      <c r="R989" s="8" t="n">
        <f aca="false">IF(M989&lt;=1,Assumptions!$B$12,IF(M989&lt;=3,Assumptions!$B$13,IF(M989&lt;=6,Assumptions!$B$14,Assumptions!$B$15)))</f>
        <v>50</v>
      </c>
      <c r="S989" s="8" t="n">
        <f aca="false">IF(N989="Completed On Time",Assumptions!$B$16,IF(N989="Completed Late",Assumptions!$B$17,Assumptions!$B$18))</f>
        <v>100</v>
      </c>
      <c r="T989" s="8" t="n">
        <f aca="false">IF(I989=0,Assumptions!$B$20,IF(H989&gt;I989,Assumptions!$B$19,IF(H989=I989,Assumptions!$B$20,Assumptions!$B$21)))</f>
        <v>70</v>
      </c>
      <c r="U989" s="8" t="n">
        <f aca="false">ROUND(P989*Assumptions!$B$2+Q989*Assumptions!$B$3+R989*Assumptions!$B$4+S989*Assumptions!$B$5+T989*Assumptions!$B$6,0)</f>
        <v>79</v>
      </c>
      <c r="V989" s="8" t="str">
        <f aca="false">IF(U989&gt;=Assumptions!$B$10,"Healthy",IF(U989&gt;=Assumptions!$B$11,"Needs Attention","High Risk"))</f>
        <v>Needs Attention</v>
      </c>
    </row>
    <row r="990" customFormat="false" ht="15" hidden="false" customHeight="false" outlineLevel="0" collapsed="false">
      <c r="A990" s="8" t="s">
        <v>2122</v>
      </c>
      <c r="B990" s="8" t="s">
        <v>2123</v>
      </c>
      <c r="C990" s="8" t="s">
        <v>51</v>
      </c>
      <c r="D990" s="8" t="s">
        <v>326</v>
      </c>
      <c r="E990" s="8" t="s">
        <v>123</v>
      </c>
      <c r="F990" s="8" t="s">
        <v>124</v>
      </c>
      <c r="G990" s="8" t="s">
        <v>180</v>
      </c>
      <c r="H990" s="15" t="n">
        <v>675</v>
      </c>
      <c r="I990" s="15" t="n">
        <v>675</v>
      </c>
      <c r="J990" s="16" t="n">
        <v>0.765</v>
      </c>
      <c r="K990" s="8" t="n">
        <v>10</v>
      </c>
      <c r="L990" s="8" t="n">
        <v>10</v>
      </c>
      <c r="M990" s="8" t="n">
        <v>4</v>
      </c>
      <c r="N990" s="8" t="s">
        <v>120</v>
      </c>
      <c r="O990" s="15" t="n">
        <f aca="false">H990*12</f>
        <v>8100</v>
      </c>
      <c r="P990" s="8" t="n">
        <f aca="false">MIN(100,ROUND(100*J990/Assumptions!$B$8,0))</f>
        <v>85</v>
      </c>
      <c r="Q990" s="8" t="n">
        <f aca="false">IF(L990="",Assumptions!$B$9,L990*10)</f>
        <v>100</v>
      </c>
      <c r="R990" s="8" t="n">
        <f aca="false">IF(M990&lt;=1,Assumptions!$B$12,IF(M990&lt;=3,Assumptions!$B$13,IF(M990&lt;=6,Assumptions!$B$14,Assumptions!$B$15)))</f>
        <v>50</v>
      </c>
      <c r="S990" s="8" t="n">
        <f aca="false">IF(N990="Completed On Time",Assumptions!$B$16,IF(N990="Completed Late",Assumptions!$B$17,Assumptions!$B$18))</f>
        <v>100</v>
      </c>
      <c r="T990" s="8" t="n">
        <f aca="false">IF(I990=0,Assumptions!$B$20,IF(H990&gt;I990,Assumptions!$B$19,IF(H990=I990,Assumptions!$B$20,Assumptions!$B$21)))</f>
        <v>70</v>
      </c>
      <c r="U990" s="8" t="n">
        <f aca="false">ROUND(P990*Assumptions!$B$2+Q990*Assumptions!$B$3+R990*Assumptions!$B$4+S990*Assumptions!$B$5+T990*Assumptions!$B$6,0)</f>
        <v>81</v>
      </c>
      <c r="V990" s="8" t="str">
        <f aca="false">IF(U990&gt;=Assumptions!$B$10,"Healthy",IF(U990&gt;=Assumptions!$B$11,"Needs Attention","High Risk"))</f>
        <v>Healthy</v>
      </c>
    </row>
    <row r="991" customFormat="false" ht="15" hidden="false" customHeight="false" outlineLevel="0" collapsed="false">
      <c r="A991" s="8" t="s">
        <v>2124</v>
      </c>
      <c r="B991" s="8" t="s">
        <v>2125</v>
      </c>
      <c r="C991" s="8" t="s">
        <v>51</v>
      </c>
      <c r="D991" s="8" t="s">
        <v>326</v>
      </c>
      <c r="E991" s="8" t="s">
        <v>123</v>
      </c>
      <c r="F991" s="8" t="s">
        <v>154</v>
      </c>
      <c r="G991" s="8" t="s">
        <v>180</v>
      </c>
      <c r="H991" s="15" t="n">
        <v>675</v>
      </c>
      <c r="I991" s="15" t="n">
        <v>675</v>
      </c>
      <c r="J991" s="16" t="n">
        <v>0.568</v>
      </c>
      <c r="K991" s="8" t="n">
        <v>8</v>
      </c>
      <c r="L991" s="8" t="n">
        <v>8</v>
      </c>
      <c r="M991" s="8" t="n">
        <v>2</v>
      </c>
      <c r="N991" s="8" t="s">
        <v>120</v>
      </c>
      <c r="O991" s="15" t="n">
        <f aca="false">H991*12</f>
        <v>8100</v>
      </c>
      <c r="P991" s="8" t="n">
        <f aca="false">MIN(100,ROUND(100*J991/Assumptions!$B$8,0))</f>
        <v>63</v>
      </c>
      <c r="Q991" s="8" t="n">
        <f aca="false">IF(L991="",Assumptions!$B$9,L991*10)</f>
        <v>80</v>
      </c>
      <c r="R991" s="8" t="n">
        <f aca="false">IF(M991&lt;=1,Assumptions!$B$12,IF(M991&lt;=3,Assumptions!$B$13,IF(M991&lt;=6,Assumptions!$B$14,Assumptions!$B$15)))</f>
        <v>75</v>
      </c>
      <c r="S991" s="8" t="n">
        <f aca="false">IF(N991="Completed On Time",Assumptions!$B$16,IF(N991="Completed Late",Assumptions!$B$17,Assumptions!$B$18))</f>
        <v>100</v>
      </c>
      <c r="T991" s="8" t="n">
        <f aca="false">IF(I991=0,Assumptions!$B$20,IF(H991&gt;I991,Assumptions!$B$19,IF(H991=I991,Assumptions!$B$20,Assumptions!$B$21)))</f>
        <v>70</v>
      </c>
      <c r="U991" s="8" t="n">
        <f aca="false">ROUND(P991*Assumptions!$B$2+Q991*Assumptions!$B$3+R991*Assumptions!$B$4+S991*Assumptions!$B$5+T991*Assumptions!$B$6,0)</f>
        <v>73</v>
      </c>
      <c r="V991" s="8" t="str">
        <f aca="false">IF(U991&gt;=Assumptions!$B$10,"Healthy",IF(U991&gt;=Assumptions!$B$11,"Needs Attention","High Risk"))</f>
        <v>Needs Attention</v>
      </c>
    </row>
    <row r="992" customFormat="false" ht="15" hidden="false" customHeight="false" outlineLevel="0" collapsed="false">
      <c r="A992" s="8" t="s">
        <v>2126</v>
      </c>
      <c r="B992" s="8" t="s">
        <v>2127</v>
      </c>
      <c r="C992" s="8" t="s">
        <v>51</v>
      </c>
      <c r="D992" s="8" t="s">
        <v>326</v>
      </c>
      <c r="E992" s="8" t="s">
        <v>123</v>
      </c>
      <c r="F992" s="8" t="s">
        <v>124</v>
      </c>
      <c r="G992" s="8" t="s">
        <v>177</v>
      </c>
      <c r="H992" s="15" t="n">
        <v>675</v>
      </c>
      <c r="I992" s="15" t="n">
        <v>675</v>
      </c>
      <c r="J992" s="16" t="n">
        <v>0.864</v>
      </c>
      <c r="K992" s="8" t="n">
        <v>9.7</v>
      </c>
      <c r="L992" s="8" t="n">
        <v>10</v>
      </c>
      <c r="M992" s="8" t="n">
        <v>1</v>
      </c>
      <c r="N992" s="8" t="s">
        <v>120</v>
      </c>
      <c r="O992" s="15" t="n">
        <f aca="false">H992*12</f>
        <v>8100</v>
      </c>
      <c r="P992" s="8" t="n">
        <f aca="false">MIN(100,ROUND(100*J992/Assumptions!$B$8,0))</f>
        <v>96</v>
      </c>
      <c r="Q992" s="8" t="n">
        <f aca="false">IF(L992="",Assumptions!$B$9,L992*10)</f>
        <v>100</v>
      </c>
      <c r="R992" s="8" t="n">
        <f aca="false">IF(M992&lt;=1,Assumptions!$B$12,IF(M992&lt;=3,Assumptions!$B$13,IF(M992&lt;=6,Assumptions!$B$14,Assumptions!$B$15)))</f>
        <v>100</v>
      </c>
      <c r="S992" s="8" t="n">
        <f aca="false">IF(N992="Completed On Time",Assumptions!$B$16,IF(N992="Completed Late",Assumptions!$B$17,Assumptions!$B$18))</f>
        <v>100</v>
      </c>
      <c r="T992" s="8" t="n">
        <f aca="false">IF(I992=0,Assumptions!$B$20,IF(H992&gt;I992,Assumptions!$B$19,IF(H992=I992,Assumptions!$B$20,Assumptions!$B$21)))</f>
        <v>70</v>
      </c>
      <c r="U992" s="8" t="n">
        <f aca="false">ROUND(P992*Assumptions!$B$2+Q992*Assumptions!$B$3+R992*Assumptions!$B$4+S992*Assumptions!$B$5+T992*Assumptions!$B$6,0)</f>
        <v>93</v>
      </c>
      <c r="V992" s="8" t="str">
        <f aca="false">IF(U992&gt;=Assumptions!$B$10,"Healthy",IF(U992&gt;=Assumptions!$B$11,"Needs Attention","High Risk"))</f>
        <v>Healthy</v>
      </c>
    </row>
    <row r="993" customFormat="false" ht="15" hidden="false" customHeight="false" outlineLevel="0" collapsed="false">
      <c r="A993" s="8" t="s">
        <v>2128</v>
      </c>
      <c r="B993" s="8" t="s">
        <v>2129</v>
      </c>
      <c r="C993" s="8" t="s">
        <v>51</v>
      </c>
      <c r="D993" s="8" t="s">
        <v>326</v>
      </c>
      <c r="E993" s="8" t="s">
        <v>123</v>
      </c>
      <c r="F993" s="8" t="s">
        <v>124</v>
      </c>
      <c r="G993" s="8" t="s">
        <v>119</v>
      </c>
      <c r="H993" s="15" t="n">
        <v>675</v>
      </c>
      <c r="I993" s="15" t="n">
        <v>675</v>
      </c>
      <c r="J993" s="16" t="n">
        <v>0.716</v>
      </c>
      <c r="K993" s="8" t="n">
        <v>7</v>
      </c>
      <c r="L993" s="8" t="n">
        <v>8</v>
      </c>
      <c r="M993" s="8" t="n">
        <v>3</v>
      </c>
      <c r="N993" s="8" t="s">
        <v>120</v>
      </c>
      <c r="O993" s="15" t="n">
        <f aca="false">H993*12</f>
        <v>8100</v>
      </c>
      <c r="P993" s="8" t="n">
        <f aca="false">MIN(100,ROUND(100*J993/Assumptions!$B$8,0))</f>
        <v>80</v>
      </c>
      <c r="Q993" s="8" t="n">
        <f aca="false">IF(L993="",Assumptions!$B$9,L993*10)</f>
        <v>80</v>
      </c>
      <c r="R993" s="8" t="n">
        <f aca="false">IF(M993&lt;=1,Assumptions!$B$12,IF(M993&lt;=3,Assumptions!$B$13,IF(M993&lt;=6,Assumptions!$B$14,Assumptions!$B$15)))</f>
        <v>75</v>
      </c>
      <c r="S993" s="8" t="n">
        <f aca="false">IF(N993="Completed On Time",Assumptions!$B$16,IF(N993="Completed Late",Assumptions!$B$17,Assumptions!$B$18))</f>
        <v>100</v>
      </c>
      <c r="T993" s="8" t="n">
        <f aca="false">IF(I993=0,Assumptions!$B$20,IF(H993&gt;I993,Assumptions!$B$19,IF(H993=I993,Assumptions!$B$20,Assumptions!$B$21)))</f>
        <v>70</v>
      </c>
      <c r="U993" s="8" t="n">
        <f aca="false">ROUND(P993*Assumptions!$B$2+Q993*Assumptions!$B$3+R993*Assumptions!$B$4+S993*Assumptions!$B$5+T993*Assumptions!$B$6,0)</f>
        <v>79</v>
      </c>
      <c r="V993" s="8" t="str">
        <f aca="false">IF(U993&gt;=Assumptions!$B$10,"Healthy",IF(U993&gt;=Assumptions!$B$11,"Needs Attention","High Risk"))</f>
        <v>Needs Attention</v>
      </c>
    </row>
    <row r="994" customFormat="false" ht="15" hidden="false" customHeight="false" outlineLevel="0" collapsed="false">
      <c r="A994" s="8" t="s">
        <v>2130</v>
      </c>
      <c r="B994" s="8" t="s">
        <v>2131</v>
      </c>
      <c r="C994" s="8" t="s">
        <v>51</v>
      </c>
      <c r="D994" s="8" t="s">
        <v>326</v>
      </c>
      <c r="E994" s="8" t="s">
        <v>132</v>
      </c>
      <c r="F994" s="8" t="s">
        <v>124</v>
      </c>
      <c r="G994" s="8" t="s">
        <v>204</v>
      </c>
      <c r="H994" s="15" t="n">
        <v>675</v>
      </c>
      <c r="I994" s="15" t="n">
        <v>675</v>
      </c>
      <c r="J994" s="16" t="n">
        <v>0.519</v>
      </c>
      <c r="K994" s="8" t="n">
        <v>7</v>
      </c>
      <c r="L994" s="8" t="n">
        <v>6</v>
      </c>
      <c r="M994" s="8" t="n">
        <v>2</v>
      </c>
      <c r="N994" s="8" t="s">
        <v>148</v>
      </c>
      <c r="O994" s="15" t="n">
        <f aca="false">H994*12</f>
        <v>8100</v>
      </c>
      <c r="P994" s="8" t="n">
        <f aca="false">MIN(100,ROUND(100*J994/Assumptions!$B$8,0))</f>
        <v>58</v>
      </c>
      <c r="Q994" s="8" t="n">
        <f aca="false">IF(L994="",Assumptions!$B$9,L994*10)</f>
        <v>60</v>
      </c>
      <c r="R994" s="8" t="n">
        <f aca="false">IF(M994&lt;=1,Assumptions!$B$12,IF(M994&lt;=3,Assumptions!$B$13,IF(M994&lt;=6,Assumptions!$B$14,Assumptions!$B$15)))</f>
        <v>75</v>
      </c>
      <c r="S994" s="8" t="n">
        <f aca="false">IF(N994="Completed On Time",Assumptions!$B$16,IF(N994="Completed Late",Assumptions!$B$17,Assumptions!$B$18))</f>
        <v>60</v>
      </c>
      <c r="T994" s="8" t="n">
        <f aca="false">IF(I994=0,Assumptions!$B$20,IF(H994&gt;I994,Assumptions!$B$19,IF(H994=I994,Assumptions!$B$20,Assumptions!$B$21)))</f>
        <v>70</v>
      </c>
      <c r="U994" s="8" t="n">
        <f aca="false">ROUND(P994*Assumptions!$B$2+Q994*Assumptions!$B$3+R994*Assumptions!$B$4+S994*Assumptions!$B$5+T994*Assumptions!$B$6,0)</f>
        <v>64</v>
      </c>
      <c r="V994" s="8" t="str">
        <f aca="false">IF(U994&gt;=Assumptions!$B$10,"Healthy",IF(U994&gt;=Assumptions!$B$11,"Needs Attention","High Risk"))</f>
        <v>High Risk</v>
      </c>
    </row>
    <row r="995" customFormat="false" ht="15" hidden="false" customHeight="false" outlineLevel="0" collapsed="false">
      <c r="A995" s="8" t="s">
        <v>2132</v>
      </c>
      <c r="B995" s="8" t="s">
        <v>2133</v>
      </c>
      <c r="C995" s="8" t="s">
        <v>51</v>
      </c>
      <c r="D995" s="8" t="s">
        <v>326</v>
      </c>
      <c r="E995" s="8" t="s">
        <v>123</v>
      </c>
      <c r="F995" s="8" t="s">
        <v>118</v>
      </c>
      <c r="G995" s="8" t="s">
        <v>147</v>
      </c>
      <c r="H995" s="15" t="n">
        <v>675</v>
      </c>
      <c r="I995" s="15" t="n">
        <v>675</v>
      </c>
      <c r="J995" s="16" t="n">
        <v>0.815</v>
      </c>
      <c r="K995" s="8" t="n">
        <v>8.3</v>
      </c>
      <c r="L995" s="8" t="n">
        <v>6</v>
      </c>
      <c r="M995" s="8" t="n">
        <v>4</v>
      </c>
      <c r="N995" s="8" t="s">
        <v>120</v>
      </c>
      <c r="O995" s="15" t="n">
        <f aca="false">H995*12</f>
        <v>8100</v>
      </c>
      <c r="P995" s="8" t="n">
        <f aca="false">MIN(100,ROUND(100*J995/Assumptions!$B$8,0))</f>
        <v>91</v>
      </c>
      <c r="Q995" s="8" t="n">
        <f aca="false">IF(L995="",Assumptions!$B$9,L995*10)</f>
        <v>60</v>
      </c>
      <c r="R995" s="8" t="n">
        <f aca="false">IF(M995&lt;=1,Assumptions!$B$12,IF(M995&lt;=3,Assumptions!$B$13,IF(M995&lt;=6,Assumptions!$B$14,Assumptions!$B$15)))</f>
        <v>50</v>
      </c>
      <c r="S995" s="8" t="n">
        <f aca="false">IF(N995="Completed On Time",Assumptions!$B$16,IF(N995="Completed Late",Assumptions!$B$17,Assumptions!$B$18))</f>
        <v>100</v>
      </c>
      <c r="T995" s="8" t="n">
        <f aca="false">IF(I995=0,Assumptions!$B$20,IF(H995&gt;I995,Assumptions!$B$19,IF(H995=I995,Assumptions!$B$20,Assumptions!$B$21)))</f>
        <v>70</v>
      </c>
      <c r="U995" s="8" t="n">
        <f aca="false">ROUND(P995*Assumptions!$B$2+Q995*Assumptions!$B$3+R995*Assumptions!$B$4+S995*Assumptions!$B$5+T995*Assumptions!$B$6,0)</f>
        <v>75</v>
      </c>
      <c r="V995" s="8" t="str">
        <f aca="false">IF(U995&gt;=Assumptions!$B$10,"Healthy",IF(U995&gt;=Assumptions!$B$11,"Needs Attention","High Risk"))</f>
        <v>Needs Attention</v>
      </c>
    </row>
    <row r="996" customFormat="false" ht="15" hidden="false" customHeight="false" outlineLevel="0" collapsed="false">
      <c r="A996" s="8" t="s">
        <v>2134</v>
      </c>
      <c r="B996" s="8" t="s">
        <v>2135</v>
      </c>
      <c r="C996" s="8" t="s">
        <v>51</v>
      </c>
      <c r="D996" s="8" t="s">
        <v>326</v>
      </c>
      <c r="E996" s="8" t="s">
        <v>117</v>
      </c>
      <c r="F996" s="8" t="s">
        <v>118</v>
      </c>
      <c r="G996" s="8" t="s">
        <v>119</v>
      </c>
      <c r="H996" s="15" t="n">
        <v>675</v>
      </c>
      <c r="I996" s="15" t="n">
        <v>675</v>
      </c>
      <c r="J996" s="16" t="n">
        <v>0.593</v>
      </c>
      <c r="K996" s="8" t="n">
        <v>8.3</v>
      </c>
      <c r="L996" s="8" t="n">
        <v>7</v>
      </c>
      <c r="M996" s="8" t="n">
        <v>4</v>
      </c>
      <c r="N996" s="8" t="s">
        <v>120</v>
      </c>
      <c r="O996" s="15" t="n">
        <f aca="false">H996*12</f>
        <v>8100</v>
      </c>
      <c r="P996" s="8" t="n">
        <f aca="false">MIN(100,ROUND(100*J996/Assumptions!$B$8,0))</f>
        <v>66</v>
      </c>
      <c r="Q996" s="8" t="n">
        <f aca="false">IF(L996="",Assumptions!$B$9,L996*10)</f>
        <v>70</v>
      </c>
      <c r="R996" s="8" t="n">
        <f aca="false">IF(M996&lt;=1,Assumptions!$B$12,IF(M996&lt;=3,Assumptions!$B$13,IF(M996&lt;=6,Assumptions!$B$14,Assumptions!$B$15)))</f>
        <v>50</v>
      </c>
      <c r="S996" s="8" t="n">
        <f aca="false">IF(N996="Completed On Time",Assumptions!$B$16,IF(N996="Completed Late",Assumptions!$B$17,Assumptions!$B$18))</f>
        <v>100</v>
      </c>
      <c r="T996" s="8" t="n">
        <f aca="false">IF(I996=0,Assumptions!$B$20,IF(H996&gt;I996,Assumptions!$B$19,IF(H996=I996,Assumptions!$B$20,Assumptions!$B$21)))</f>
        <v>70</v>
      </c>
      <c r="U996" s="8" t="n">
        <f aca="false">ROUND(P996*Assumptions!$B$2+Q996*Assumptions!$B$3+R996*Assumptions!$B$4+S996*Assumptions!$B$5+T996*Assumptions!$B$6,0)</f>
        <v>69</v>
      </c>
      <c r="V996" s="8" t="str">
        <f aca="false">IF(U996&gt;=Assumptions!$B$10,"Healthy",IF(U996&gt;=Assumptions!$B$11,"Needs Attention","High Risk"))</f>
        <v>Needs Attention</v>
      </c>
    </row>
    <row r="997" customFormat="false" ht="15" hidden="false" customHeight="false" outlineLevel="0" collapsed="false">
      <c r="A997" s="8" t="s">
        <v>2136</v>
      </c>
      <c r="B997" s="8" t="s">
        <v>2137</v>
      </c>
      <c r="C997" s="8" t="s">
        <v>51</v>
      </c>
      <c r="D997" s="8" t="s">
        <v>326</v>
      </c>
      <c r="E997" s="8" t="s">
        <v>117</v>
      </c>
      <c r="F997" s="8" t="s">
        <v>133</v>
      </c>
      <c r="G997" s="8" t="s">
        <v>137</v>
      </c>
      <c r="H997" s="15" t="n">
        <v>675</v>
      </c>
      <c r="I997" s="15" t="n">
        <v>675</v>
      </c>
      <c r="J997" s="16" t="n">
        <v>0.79</v>
      </c>
      <c r="K997" s="8" t="n">
        <v>9.7</v>
      </c>
      <c r="L997" s="8" t="n">
        <v>10</v>
      </c>
      <c r="M997" s="8" t="n">
        <v>2</v>
      </c>
      <c r="N997" s="8" t="s">
        <v>120</v>
      </c>
      <c r="O997" s="15" t="n">
        <f aca="false">H997*12</f>
        <v>8100</v>
      </c>
      <c r="P997" s="8" t="n">
        <f aca="false">MIN(100,ROUND(100*J997/Assumptions!$B$8,0))</f>
        <v>88</v>
      </c>
      <c r="Q997" s="8" t="n">
        <f aca="false">IF(L997="",Assumptions!$B$9,L997*10)</f>
        <v>100</v>
      </c>
      <c r="R997" s="8" t="n">
        <f aca="false">IF(M997&lt;=1,Assumptions!$B$12,IF(M997&lt;=3,Assumptions!$B$13,IF(M997&lt;=6,Assumptions!$B$14,Assumptions!$B$15)))</f>
        <v>75</v>
      </c>
      <c r="S997" s="8" t="n">
        <f aca="false">IF(N997="Completed On Time",Assumptions!$B$16,IF(N997="Completed Late",Assumptions!$B$17,Assumptions!$B$18))</f>
        <v>100</v>
      </c>
      <c r="T997" s="8" t="n">
        <f aca="false">IF(I997=0,Assumptions!$B$20,IF(H997&gt;I997,Assumptions!$B$19,IF(H997=I997,Assumptions!$B$20,Assumptions!$B$21)))</f>
        <v>70</v>
      </c>
      <c r="U997" s="8" t="n">
        <f aca="false">ROUND(P997*Assumptions!$B$2+Q997*Assumptions!$B$3+R997*Assumptions!$B$4+S997*Assumptions!$B$5+T997*Assumptions!$B$6,0)</f>
        <v>86</v>
      </c>
      <c r="V997" s="8" t="str">
        <f aca="false">IF(U997&gt;=Assumptions!$B$10,"Healthy",IF(U997&gt;=Assumptions!$B$11,"Needs Attention","High Risk"))</f>
        <v>Healthy</v>
      </c>
    </row>
    <row r="998" customFormat="false" ht="15" hidden="false" customHeight="false" outlineLevel="0" collapsed="false">
      <c r="A998" s="8" t="s">
        <v>2138</v>
      </c>
      <c r="B998" s="8" t="s">
        <v>2139</v>
      </c>
      <c r="C998" s="8" t="s">
        <v>51</v>
      </c>
      <c r="D998" s="8" t="s">
        <v>326</v>
      </c>
      <c r="E998" s="8" t="s">
        <v>117</v>
      </c>
      <c r="F998" s="8" t="s">
        <v>143</v>
      </c>
      <c r="G998" s="8" t="s">
        <v>119</v>
      </c>
      <c r="H998" s="15" t="n">
        <v>675</v>
      </c>
      <c r="I998" s="15" t="n">
        <v>675</v>
      </c>
      <c r="J998" s="16" t="n">
        <v>0.728</v>
      </c>
      <c r="K998" s="8" t="n">
        <v>9.7</v>
      </c>
      <c r="L998" s="8" t="n">
        <v>10</v>
      </c>
      <c r="M998" s="8" t="n">
        <v>1</v>
      </c>
      <c r="N998" s="8" t="s">
        <v>120</v>
      </c>
      <c r="O998" s="15" t="n">
        <f aca="false">H998*12</f>
        <v>8100</v>
      </c>
      <c r="P998" s="8" t="n">
        <f aca="false">MIN(100,ROUND(100*J998/Assumptions!$B$8,0))</f>
        <v>81</v>
      </c>
      <c r="Q998" s="8" t="n">
        <f aca="false">IF(L998="",Assumptions!$B$9,L998*10)</f>
        <v>100</v>
      </c>
      <c r="R998" s="8" t="n">
        <f aca="false">IF(M998&lt;=1,Assumptions!$B$12,IF(M998&lt;=3,Assumptions!$B$13,IF(M998&lt;=6,Assumptions!$B$14,Assumptions!$B$15)))</f>
        <v>100</v>
      </c>
      <c r="S998" s="8" t="n">
        <f aca="false">IF(N998="Completed On Time",Assumptions!$B$16,IF(N998="Completed Late",Assumptions!$B$17,Assumptions!$B$18))</f>
        <v>100</v>
      </c>
      <c r="T998" s="8" t="n">
        <f aca="false">IF(I998=0,Assumptions!$B$20,IF(H998&gt;I998,Assumptions!$B$19,IF(H998=I998,Assumptions!$B$20,Assumptions!$B$21)))</f>
        <v>70</v>
      </c>
      <c r="U998" s="8" t="n">
        <f aca="false">ROUND(P998*Assumptions!$B$2+Q998*Assumptions!$B$3+R998*Assumptions!$B$4+S998*Assumptions!$B$5+T998*Assumptions!$B$6,0)</f>
        <v>87</v>
      </c>
      <c r="V998" s="8" t="str">
        <f aca="false">IF(U998&gt;=Assumptions!$B$10,"Healthy",IF(U998&gt;=Assumptions!$B$11,"Needs Attention","High Risk"))</f>
        <v>Healthy</v>
      </c>
    </row>
    <row r="999" customFormat="false" ht="15" hidden="false" customHeight="false" outlineLevel="0" collapsed="false">
      <c r="A999" s="8" t="s">
        <v>2140</v>
      </c>
      <c r="B999" s="8" t="s">
        <v>2141</v>
      </c>
      <c r="C999" s="8" t="s">
        <v>51</v>
      </c>
      <c r="D999" s="8" t="s">
        <v>326</v>
      </c>
      <c r="E999" s="8" t="s">
        <v>123</v>
      </c>
      <c r="F999" s="8" t="s">
        <v>124</v>
      </c>
      <c r="G999" s="8" t="s">
        <v>137</v>
      </c>
      <c r="H999" s="15" t="n">
        <v>675</v>
      </c>
      <c r="I999" s="15" t="n">
        <v>675</v>
      </c>
      <c r="J999" s="16" t="n">
        <v>0.778</v>
      </c>
      <c r="K999" s="8" t="n">
        <v>8.7</v>
      </c>
      <c r="L999" s="8" t="n">
        <v>7</v>
      </c>
      <c r="M999" s="8" t="n">
        <v>6</v>
      </c>
      <c r="N999" s="8" t="s">
        <v>120</v>
      </c>
      <c r="O999" s="15" t="n">
        <f aca="false">H999*12</f>
        <v>8100</v>
      </c>
      <c r="P999" s="8" t="n">
        <f aca="false">MIN(100,ROUND(100*J999/Assumptions!$B$8,0))</f>
        <v>86</v>
      </c>
      <c r="Q999" s="8" t="n">
        <f aca="false">IF(L999="",Assumptions!$B$9,L999*10)</f>
        <v>70</v>
      </c>
      <c r="R999" s="8" t="n">
        <f aca="false">IF(M999&lt;=1,Assumptions!$B$12,IF(M999&lt;=3,Assumptions!$B$13,IF(M999&lt;=6,Assumptions!$B$14,Assumptions!$B$15)))</f>
        <v>50</v>
      </c>
      <c r="S999" s="8" t="n">
        <f aca="false">IF(N999="Completed On Time",Assumptions!$B$16,IF(N999="Completed Late",Assumptions!$B$17,Assumptions!$B$18))</f>
        <v>100</v>
      </c>
      <c r="T999" s="8" t="n">
        <f aca="false">IF(I999=0,Assumptions!$B$20,IF(H999&gt;I999,Assumptions!$B$19,IF(H999=I999,Assumptions!$B$20,Assumptions!$B$21)))</f>
        <v>70</v>
      </c>
      <c r="U999" s="8" t="n">
        <f aca="false">ROUND(P999*Assumptions!$B$2+Q999*Assumptions!$B$3+R999*Assumptions!$B$4+S999*Assumptions!$B$5+T999*Assumptions!$B$6,0)</f>
        <v>76</v>
      </c>
      <c r="V999" s="8" t="str">
        <f aca="false">IF(U999&gt;=Assumptions!$B$10,"Healthy",IF(U999&gt;=Assumptions!$B$11,"Needs Attention","High Risk"))</f>
        <v>Needs Attention</v>
      </c>
    </row>
    <row r="1000" customFormat="false" ht="15" hidden="false" customHeight="false" outlineLevel="0" collapsed="false">
      <c r="A1000" s="8" t="s">
        <v>2142</v>
      </c>
      <c r="B1000" s="8" t="s">
        <v>2143</v>
      </c>
      <c r="C1000" s="8" t="s">
        <v>51</v>
      </c>
      <c r="D1000" s="8" t="s">
        <v>326</v>
      </c>
      <c r="E1000" s="8" t="s">
        <v>123</v>
      </c>
      <c r="F1000" s="8" t="s">
        <v>133</v>
      </c>
      <c r="G1000" s="8" t="s">
        <v>147</v>
      </c>
      <c r="H1000" s="15" t="n">
        <v>675</v>
      </c>
      <c r="I1000" s="15" t="n">
        <v>675</v>
      </c>
      <c r="J1000" s="16" t="n">
        <v>0.691</v>
      </c>
      <c r="K1000" s="8" t="n">
        <v>7.7</v>
      </c>
      <c r="L1000" s="8" t="n">
        <v>8</v>
      </c>
      <c r="M1000" s="8" t="n">
        <v>4</v>
      </c>
      <c r="N1000" s="8" t="s">
        <v>120</v>
      </c>
      <c r="O1000" s="15" t="n">
        <f aca="false">H1000*12</f>
        <v>8100</v>
      </c>
      <c r="P1000" s="8" t="n">
        <f aca="false">MIN(100,ROUND(100*J1000/Assumptions!$B$8,0))</f>
        <v>77</v>
      </c>
      <c r="Q1000" s="8" t="n">
        <f aca="false">IF(L1000="",Assumptions!$B$9,L1000*10)</f>
        <v>80</v>
      </c>
      <c r="R1000" s="8" t="n">
        <f aca="false">IF(M1000&lt;=1,Assumptions!$B$12,IF(M1000&lt;=3,Assumptions!$B$13,IF(M1000&lt;=6,Assumptions!$B$14,Assumptions!$B$15)))</f>
        <v>50</v>
      </c>
      <c r="S1000" s="8" t="n">
        <f aca="false">IF(N1000="Completed On Time",Assumptions!$B$16,IF(N1000="Completed Late",Assumptions!$B$17,Assumptions!$B$18))</f>
        <v>100</v>
      </c>
      <c r="T1000" s="8" t="n">
        <f aca="false">IF(I1000=0,Assumptions!$B$20,IF(H1000&gt;I1000,Assumptions!$B$19,IF(H1000=I1000,Assumptions!$B$20,Assumptions!$B$21)))</f>
        <v>70</v>
      </c>
      <c r="U1000" s="8" t="n">
        <f aca="false">ROUND(P1000*Assumptions!$B$2+Q1000*Assumptions!$B$3+R1000*Assumptions!$B$4+S1000*Assumptions!$B$5+T1000*Assumptions!$B$6,0)</f>
        <v>74</v>
      </c>
      <c r="V1000" s="8" t="str">
        <f aca="false">IF(U1000&gt;=Assumptions!$B$10,"Healthy",IF(U1000&gt;=Assumptions!$B$11,"Needs Attention","High Risk"))</f>
        <v>Needs Attention</v>
      </c>
    </row>
    <row r="1001" customFormat="false" ht="15" hidden="false" customHeight="false" outlineLevel="0" collapsed="false">
      <c r="A1001" s="8" t="s">
        <v>2144</v>
      </c>
      <c r="B1001" s="8" t="s">
        <v>2145</v>
      </c>
      <c r="C1001" s="8" t="s">
        <v>51</v>
      </c>
      <c r="D1001" s="8" t="s">
        <v>326</v>
      </c>
      <c r="E1001" s="8" t="s">
        <v>123</v>
      </c>
      <c r="F1001" s="8" t="s">
        <v>133</v>
      </c>
      <c r="G1001" s="8" t="s">
        <v>185</v>
      </c>
      <c r="H1001" s="15" t="n">
        <v>675</v>
      </c>
      <c r="I1001" s="15" t="n">
        <v>675</v>
      </c>
      <c r="J1001" s="16" t="n">
        <v>0.63</v>
      </c>
      <c r="K1001" s="8" t="n">
        <v>6.7</v>
      </c>
      <c r="L1001" s="8" t="n">
        <v>7</v>
      </c>
      <c r="M1001" s="8" t="n">
        <v>1</v>
      </c>
      <c r="N1001" s="8" t="s">
        <v>120</v>
      </c>
      <c r="O1001" s="15" t="n">
        <f aca="false">H1001*12</f>
        <v>8100</v>
      </c>
      <c r="P1001" s="8" t="n">
        <f aca="false">MIN(100,ROUND(100*J1001/Assumptions!$B$8,0))</f>
        <v>70</v>
      </c>
      <c r="Q1001" s="8" t="n">
        <f aca="false">IF(L1001="",Assumptions!$B$9,L1001*10)</f>
        <v>70</v>
      </c>
      <c r="R1001" s="8" t="n">
        <f aca="false">IF(M1001&lt;=1,Assumptions!$B$12,IF(M1001&lt;=3,Assumptions!$B$13,IF(M1001&lt;=6,Assumptions!$B$14,Assumptions!$B$15)))</f>
        <v>100</v>
      </c>
      <c r="S1001" s="8" t="n">
        <f aca="false">IF(N1001="Completed On Time",Assumptions!$B$16,IF(N1001="Completed Late",Assumptions!$B$17,Assumptions!$B$18))</f>
        <v>100</v>
      </c>
      <c r="T1001" s="8" t="n">
        <f aca="false">IF(I1001=0,Assumptions!$B$20,IF(H1001&gt;I1001,Assumptions!$B$19,IF(H1001=I1001,Assumptions!$B$20,Assumptions!$B$21)))</f>
        <v>70</v>
      </c>
      <c r="U1001" s="8" t="n">
        <f aca="false">ROUND(P1001*Assumptions!$B$2+Q1001*Assumptions!$B$3+R1001*Assumptions!$B$4+S1001*Assumptions!$B$5+T1001*Assumptions!$B$6,0)</f>
        <v>78</v>
      </c>
      <c r="V1001" s="8" t="str">
        <f aca="false">IF(U1001&gt;=Assumptions!$B$10,"Healthy",IF(U1001&gt;=Assumptions!$B$11,"Needs Attention","High Risk"))</f>
        <v>Needs Attention</v>
      </c>
    </row>
    <row r="1002" customFormat="false" ht="15" hidden="false" customHeight="false" outlineLevel="0" collapsed="false">
      <c r="A1002" s="8" t="s">
        <v>2146</v>
      </c>
      <c r="B1002" s="8" t="s">
        <v>2147</v>
      </c>
      <c r="C1002" s="8" t="s">
        <v>51</v>
      </c>
      <c r="D1002" s="8" t="s">
        <v>2027</v>
      </c>
      <c r="E1002" s="8" t="s">
        <v>117</v>
      </c>
      <c r="F1002" s="8" t="s">
        <v>166</v>
      </c>
      <c r="G1002" s="8" t="s">
        <v>140</v>
      </c>
      <c r="H1002" s="15" t="n">
        <v>660</v>
      </c>
      <c r="I1002" s="15" t="n">
        <v>492</v>
      </c>
      <c r="J1002" s="16" t="n">
        <v>0.801</v>
      </c>
      <c r="K1002" s="8" t="n">
        <v>9.7</v>
      </c>
      <c r="L1002" s="8" t="n">
        <v>7</v>
      </c>
      <c r="M1002" s="8" t="n">
        <v>3</v>
      </c>
      <c r="N1002" s="8" t="s">
        <v>120</v>
      </c>
      <c r="O1002" s="15" t="n">
        <f aca="false">H1002*12</f>
        <v>7920</v>
      </c>
      <c r="P1002" s="8" t="n">
        <f aca="false">MIN(100,ROUND(100*J1002/Assumptions!$B$8,0))</f>
        <v>89</v>
      </c>
      <c r="Q1002" s="8" t="n">
        <f aca="false">IF(L1002="",Assumptions!$B$9,L1002*10)</f>
        <v>70</v>
      </c>
      <c r="R1002" s="8" t="n">
        <f aca="false">IF(M1002&lt;=1,Assumptions!$B$12,IF(M1002&lt;=3,Assumptions!$B$13,IF(M1002&lt;=6,Assumptions!$B$14,Assumptions!$B$15)))</f>
        <v>75</v>
      </c>
      <c r="S1002" s="8" t="n">
        <f aca="false">IF(N1002="Completed On Time",Assumptions!$B$16,IF(N1002="Completed Late",Assumptions!$B$17,Assumptions!$B$18))</f>
        <v>100</v>
      </c>
      <c r="T1002" s="8" t="n">
        <f aca="false">IF(I1002=0,Assumptions!$B$20,IF(H1002&gt;I1002,Assumptions!$B$19,IF(H1002=I1002,Assumptions!$B$20,Assumptions!$B$21)))</f>
        <v>100</v>
      </c>
      <c r="U1002" s="8" t="n">
        <f aca="false">ROUND(P1002*Assumptions!$B$2+Q1002*Assumptions!$B$3+R1002*Assumptions!$B$4+S1002*Assumptions!$B$5+T1002*Assumptions!$B$6,0)</f>
        <v>86</v>
      </c>
      <c r="V1002" s="8" t="str">
        <f aca="false">IF(U1002&gt;=Assumptions!$B$10,"Healthy",IF(U1002&gt;=Assumptions!$B$11,"Needs Attention","High Risk"))</f>
        <v>Healthy</v>
      </c>
    </row>
    <row r="1003" customFormat="false" ht="15" hidden="false" customHeight="false" outlineLevel="0" collapsed="false">
      <c r="A1003" s="8" t="s">
        <v>2148</v>
      </c>
      <c r="B1003" s="8" t="s">
        <v>2149</v>
      </c>
      <c r="C1003" s="8" t="s">
        <v>51</v>
      </c>
      <c r="D1003" s="8" t="s">
        <v>2027</v>
      </c>
      <c r="E1003" s="8" t="s">
        <v>123</v>
      </c>
      <c r="F1003" s="8" t="s">
        <v>223</v>
      </c>
      <c r="G1003" s="8" t="s">
        <v>147</v>
      </c>
      <c r="H1003" s="15" t="n">
        <v>660</v>
      </c>
      <c r="I1003" s="15" t="n">
        <v>660</v>
      </c>
      <c r="J1003" s="16" t="n">
        <v>0.63</v>
      </c>
      <c r="K1003" s="8" t="n">
        <v>6</v>
      </c>
      <c r="L1003" s="8" t="n">
        <v>6</v>
      </c>
      <c r="M1003" s="8" t="n">
        <v>1</v>
      </c>
      <c r="N1003" s="8" t="s">
        <v>120</v>
      </c>
      <c r="O1003" s="15" t="n">
        <f aca="false">H1003*12</f>
        <v>7920</v>
      </c>
      <c r="P1003" s="8" t="n">
        <f aca="false">MIN(100,ROUND(100*J1003/Assumptions!$B$8,0))</f>
        <v>70</v>
      </c>
      <c r="Q1003" s="8" t="n">
        <f aca="false">IF(L1003="",Assumptions!$B$9,L1003*10)</f>
        <v>60</v>
      </c>
      <c r="R1003" s="8" t="n">
        <f aca="false">IF(M1003&lt;=1,Assumptions!$B$12,IF(M1003&lt;=3,Assumptions!$B$13,IF(M1003&lt;=6,Assumptions!$B$14,Assumptions!$B$15)))</f>
        <v>100</v>
      </c>
      <c r="S1003" s="8" t="n">
        <f aca="false">IF(N1003="Completed On Time",Assumptions!$B$16,IF(N1003="Completed Late",Assumptions!$B$17,Assumptions!$B$18))</f>
        <v>100</v>
      </c>
      <c r="T1003" s="8" t="n">
        <f aca="false">IF(I1003=0,Assumptions!$B$20,IF(H1003&gt;I1003,Assumptions!$B$19,IF(H1003=I1003,Assumptions!$B$20,Assumptions!$B$21)))</f>
        <v>70</v>
      </c>
      <c r="U1003" s="8" t="n">
        <f aca="false">ROUND(P1003*Assumptions!$B$2+Q1003*Assumptions!$B$3+R1003*Assumptions!$B$4+S1003*Assumptions!$B$5+T1003*Assumptions!$B$6,0)</f>
        <v>76</v>
      </c>
      <c r="V1003" s="8" t="str">
        <f aca="false">IF(U1003&gt;=Assumptions!$B$10,"Healthy",IF(U1003&gt;=Assumptions!$B$11,"Needs Attention","High Risk"))</f>
        <v>Needs Attention</v>
      </c>
    </row>
    <row r="1004" customFormat="false" ht="15" hidden="false" customHeight="false" outlineLevel="0" collapsed="false">
      <c r="A1004" s="8" t="s">
        <v>2150</v>
      </c>
      <c r="B1004" s="8" t="s">
        <v>2151</v>
      </c>
      <c r="C1004" s="8" t="s">
        <v>51</v>
      </c>
      <c r="D1004" s="8" t="s">
        <v>2027</v>
      </c>
      <c r="E1004" s="8" t="s">
        <v>123</v>
      </c>
      <c r="F1004" s="8" t="s">
        <v>136</v>
      </c>
      <c r="G1004" s="8" t="s">
        <v>125</v>
      </c>
      <c r="H1004" s="15" t="n">
        <v>660</v>
      </c>
      <c r="I1004" s="15" t="n">
        <v>660</v>
      </c>
      <c r="J1004" s="16" t="n">
        <v>0.818</v>
      </c>
      <c r="K1004" s="8" t="n">
        <v>9.3</v>
      </c>
      <c r="L1004" s="8" t="n">
        <v>6</v>
      </c>
      <c r="M1004" s="8" t="n">
        <v>3</v>
      </c>
      <c r="N1004" s="8" t="s">
        <v>120</v>
      </c>
      <c r="O1004" s="15" t="n">
        <f aca="false">H1004*12</f>
        <v>7920</v>
      </c>
      <c r="P1004" s="8" t="n">
        <f aca="false">MIN(100,ROUND(100*J1004/Assumptions!$B$8,0))</f>
        <v>91</v>
      </c>
      <c r="Q1004" s="8" t="n">
        <f aca="false">IF(L1004="",Assumptions!$B$9,L1004*10)</f>
        <v>60</v>
      </c>
      <c r="R1004" s="8" t="n">
        <f aca="false">IF(M1004&lt;=1,Assumptions!$B$12,IF(M1004&lt;=3,Assumptions!$B$13,IF(M1004&lt;=6,Assumptions!$B$14,Assumptions!$B$15)))</f>
        <v>75</v>
      </c>
      <c r="S1004" s="8" t="n">
        <f aca="false">IF(N1004="Completed On Time",Assumptions!$B$16,IF(N1004="Completed Late",Assumptions!$B$17,Assumptions!$B$18))</f>
        <v>100</v>
      </c>
      <c r="T1004" s="8" t="n">
        <f aca="false">IF(I1004=0,Assumptions!$B$20,IF(H1004&gt;I1004,Assumptions!$B$19,IF(H1004=I1004,Assumptions!$B$20,Assumptions!$B$21)))</f>
        <v>70</v>
      </c>
      <c r="U1004" s="8" t="n">
        <f aca="false">ROUND(P1004*Assumptions!$B$2+Q1004*Assumptions!$B$3+R1004*Assumptions!$B$4+S1004*Assumptions!$B$5+T1004*Assumptions!$B$6,0)</f>
        <v>79</v>
      </c>
      <c r="V1004" s="8" t="str">
        <f aca="false">IF(U1004&gt;=Assumptions!$B$10,"Healthy",IF(U1004&gt;=Assumptions!$B$11,"Needs Attention","High Risk"))</f>
        <v>Needs Attention</v>
      </c>
    </row>
    <row r="1005" customFormat="false" ht="15" hidden="false" customHeight="false" outlineLevel="0" collapsed="false">
      <c r="A1005" s="8" t="s">
        <v>2152</v>
      </c>
      <c r="B1005" s="8" t="s">
        <v>2153</v>
      </c>
      <c r="C1005" s="8" t="s">
        <v>51</v>
      </c>
      <c r="D1005" s="8" t="s">
        <v>326</v>
      </c>
      <c r="E1005" s="8" t="s">
        <v>117</v>
      </c>
      <c r="F1005" s="8" t="s">
        <v>143</v>
      </c>
      <c r="G1005" s="8" t="s">
        <v>119</v>
      </c>
      <c r="H1005" s="15" t="n">
        <v>650</v>
      </c>
      <c r="I1005" s="15" t="n">
        <v>650</v>
      </c>
      <c r="J1005" s="16" t="n">
        <v>0.705</v>
      </c>
      <c r="K1005" s="8" t="n">
        <v>9.3</v>
      </c>
      <c r="L1005" s="8" t="n">
        <v>9</v>
      </c>
      <c r="M1005" s="8" t="n">
        <v>1</v>
      </c>
      <c r="N1005" s="8" t="s">
        <v>120</v>
      </c>
      <c r="O1005" s="15" t="n">
        <f aca="false">H1005*12</f>
        <v>7800</v>
      </c>
      <c r="P1005" s="8" t="n">
        <f aca="false">MIN(100,ROUND(100*J1005/Assumptions!$B$8,0))</f>
        <v>78</v>
      </c>
      <c r="Q1005" s="8" t="n">
        <f aca="false">IF(L1005="",Assumptions!$B$9,L1005*10)</f>
        <v>90</v>
      </c>
      <c r="R1005" s="8" t="n">
        <f aca="false">IF(M1005&lt;=1,Assumptions!$B$12,IF(M1005&lt;=3,Assumptions!$B$13,IF(M1005&lt;=6,Assumptions!$B$14,Assumptions!$B$15)))</f>
        <v>100</v>
      </c>
      <c r="S1005" s="8" t="n">
        <f aca="false">IF(N1005="Completed On Time",Assumptions!$B$16,IF(N1005="Completed Late",Assumptions!$B$17,Assumptions!$B$18))</f>
        <v>100</v>
      </c>
      <c r="T1005" s="8" t="n">
        <f aca="false">IF(I1005=0,Assumptions!$B$20,IF(H1005&gt;I1005,Assumptions!$B$19,IF(H1005=I1005,Assumptions!$B$20,Assumptions!$B$21)))</f>
        <v>70</v>
      </c>
      <c r="U1005" s="8" t="n">
        <f aca="false">ROUND(P1005*Assumptions!$B$2+Q1005*Assumptions!$B$3+R1005*Assumptions!$B$4+S1005*Assumptions!$B$5+T1005*Assumptions!$B$6,0)</f>
        <v>84</v>
      </c>
      <c r="V1005" s="8" t="str">
        <f aca="false">IF(U1005&gt;=Assumptions!$B$10,"Healthy",IF(U1005&gt;=Assumptions!$B$11,"Needs Attention","High Risk"))</f>
        <v>Healthy</v>
      </c>
    </row>
    <row r="1006" customFormat="false" ht="15" hidden="false" customHeight="false" outlineLevel="0" collapsed="false">
      <c r="A1006" s="8" t="s">
        <v>2154</v>
      </c>
      <c r="B1006" s="8" t="s">
        <v>2155</v>
      </c>
      <c r="C1006" s="8" t="s">
        <v>51</v>
      </c>
      <c r="D1006" s="8" t="s">
        <v>326</v>
      </c>
      <c r="E1006" s="8" t="s">
        <v>123</v>
      </c>
      <c r="F1006" s="8" t="s">
        <v>166</v>
      </c>
      <c r="G1006" s="8" t="s">
        <v>185</v>
      </c>
      <c r="H1006" s="15" t="n">
        <v>650</v>
      </c>
      <c r="I1006" s="15" t="n">
        <v>650</v>
      </c>
      <c r="J1006" s="16" t="n">
        <v>0.5</v>
      </c>
      <c r="K1006" s="8" t="n">
        <v>5.7</v>
      </c>
      <c r="L1006" s="8" t="n">
        <v>8</v>
      </c>
      <c r="M1006" s="8" t="n">
        <v>2</v>
      </c>
      <c r="N1006" s="8" t="s">
        <v>120</v>
      </c>
      <c r="O1006" s="15" t="n">
        <f aca="false">H1006*12</f>
        <v>7800</v>
      </c>
      <c r="P1006" s="8" t="n">
        <f aca="false">MIN(100,ROUND(100*J1006/Assumptions!$B$8,0))</f>
        <v>56</v>
      </c>
      <c r="Q1006" s="8" t="n">
        <f aca="false">IF(L1006="",Assumptions!$B$9,L1006*10)</f>
        <v>80</v>
      </c>
      <c r="R1006" s="8" t="n">
        <f aca="false">IF(M1006&lt;=1,Assumptions!$B$12,IF(M1006&lt;=3,Assumptions!$B$13,IF(M1006&lt;=6,Assumptions!$B$14,Assumptions!$B$15)))</f>
        <v>75</v>
      </c>
      <c r="S1006" s="8" t="n">
        <f aca="false">IF(N1006="Completed On Time",Assumptions!$B$16,IF(N1006="Completed Late",Assumptions!$B$17,Assumptions!$B$18))</f>
        <v>100</v>
      </c>
      <c r="T1006" s="8" t="n">
        <f aca="false">IF(I1006=0,Assumptions!$B$20,IF(H1006&gt;I1006,Assumptions!$B$19,IF(H1006=I1006,Assumptions!$B$20,Assumptions!$B$21)))</f>
        <v>70</v>
      </c>
      <c r="U1006" s="8" t="n">
        <f aca="false">ROUND(P1006*Assumptions!$B$2+Q1006*Assumptions!$B$3+R1006*Assumptions!$B$4+S1006*Assumptions!$B$5+T1006*Assumptions!$B$6,0)</f>
        <v>71</v>
      </c>
      <c r="V1006" s="8" t="str">
        <f aca="false">IF(U1006&gt;=Assumptions!$B$10,"Healthy",IF(U1006&gt;=Assumptions!$B$11,"Needs Attention","High Risk"))</f>
        <v>Needs Attention</v>
      </c>
    </row>
    <row r="1007" customFormat="false" ht="15" hidden="false" customHeight="false" outlineLevel="0" collapsed="false">
      <c r="A1007" s="8" t="s">
        <v>2156</v>
      </c>
      <c r="B1007" s="8" t="s">
        <v>2157</v>
      </c>
      <c r="C1007" s="8" t="s">
        <v>51</v>
      </c>
      <c r="D1007" s="8" t="s">
        <v>326</v>
      </c>
      <c r="E1007" s="8" t="s">
        <v>117</v>
      </c>
      <c r="F1007" s="8" t="s">
        <v>190</v>
      </c>
      <c r="G1007" s="8" t="s">
        <v>180</v>
      </c>
      <c r="H1007" s="15" t="n">
        <v>650</v>
      </c>
      <c r="I1007" s="15" t="n">
        <v>650</v>
      </c>
      <c r="J1007" s="16" t="n">
        <v>0.667</v>
      </c>
      <c r="K1007" s="8" t="n">
        <v>9.3</v>
      </c>
      <c r="L1007" s="8" t="n">
        <v>10</v>
      </c>
      <c r="M1007" s="8" t="n">
        <v>0</v>
      </c>
      <c r="N1007" s="8" t="s">
        <v>120</v>
      </c>
      <c r="O1007" s="15" t="n">
        <f aca="false">H1007*12</f>
        <v>7800</v>
      </c>
      <c r="P1007" s="8" t="n">
        <f aca="false">MIN(100,ROUND(100*J1007/Assumptions!$B$8,0))</f>
        <v>74</v>
      </c>
      <c r="Q1007" s="8" t="n">
        <f aca="false">IF(L1007="",Assumptions!$B$9,L1007*10)</f>
        <v>100</v>
      </c>
      <c r="R1007" s="8" t="n">
        <f aca="false">IF(M1007&lt;=1,Assumptions!$B$12,IF(M1007&lt;=3,Assumptions!$B$13,IF(M1007&lt;=6,Assumptions!$B$14,Assumptions!$B$15)))</f>
        <v>100</v>
      </c>
      <c r="S1007" s="8" t="n">
        <f aca="false">IF(N1007="Completed On Time",Assumptions!$B$16,IF(N1007="Completed Late",Assumptions!$B$17,Assumptions!$B$18))</f>
        <v>100</v>
      </c>
      <c r="T1007" s="8" t="n">
        <f aca="false">IF(I1007=0,Assumptions!$B$20,IF(H1007&gt;I1007,Assumptions!$B$19,IF(H1007=I1007,Assumptions!$B$20,Assumptions!$B$21)))</f>
        <v>70</v>
      </c>
      <c r="U1007" s="8" t="n">
        <f aca="false">ROUND(P1007*Assumptions!$B$2+Q1007*Assumptions!$B$3+R1007*Assumptions!$B$4+S1007*Assumptions!$B$5+T1007*Assumptions!$B$6,0)</f>
        <v>85</v>
      </c>
      <c r="V1007" s="8" t="str">
        <f aca="false">IF(U1007&gt;=Assumptions!$B$10,"Healthy",IF(U1007&gt;=Assumptions!$B$11,"Needs Attention","High Risk"))</f>
        <v>Healthy</v>
      </c>
    </row>
    <row r="1008" customFormat="false" ht="15" hidden="false" customHeight="false" outlineLevel="0" collapsed="false">
      <c r="A1008" s="8" t="s">
        <v>2158</v>
      </c>
      <c r="B1008" s="8" t="s">
        <v>2159</v>
      </c>
      <c r="C1008" s="8" t="s">
        <v>51</v>
      </c>
      <c r="D1008" s="8" t="s">
        <v>326</v>
      </c>
      <c r="E1008" s="8" t="s">
        <v>123</v>
      </c>
      <c r="F1008" s="8" t="s">
        <v>136</v>
      </c>
      <c r="G1008" s="8" t="s">
        <v>140</v>
      </c>
      <c r="H1008" s="15" t="n">
        <v>650</v>
      </c>
      <c r="I1008" s="15" t="n">
        <v>650</v>
      </c>
      <c r="J1008" s="16" t="n">
        <v>0.769</v>
      </c>
      <c r="K1008" s="8" t="n">
        <v>9</v>
      </c>
      <c r="L1008" s="8" t="n">
        <v>10</v>
      </c>
      <c r="M1008" s="8" t="n">
        <v>0</v>
      </c>
      <c r="N1008" s="8" t="s">
        <v>120</v>
      </c>
      <c r="O1008" s="15" t="n">
        <f aca="false">H1008*12</f>
        <v>7800</v>
      </c>
      <c r="P1008" s="8" t="n">
        <f aca="false">MIN(100,ROUND(100*J1008/Assumptions!$B$8,0))</f>
        <v>85</v>
      </c>
      <c r="Q1008" s="8" t="n">
        <f aca="false">IF(L1008="",Assumptions!$B$9,L1008*10)</f>
        <v>100</v>
      </c>
      <c r="R1008" s="8" t="n">
        <f aca="false">IF(M1008&lt;=1,Assumptions!$B$12,IF(M1008&lt;=3,Assumptions!$B$13,IF(M1008&lt;=6,Assumptions!$B$14,Assumptions!$B$15)))</f>
        <v>100</v>
      </c>
      <c r="S1008" s="8" t="n">
        <f aca="false">IF(N1008="Completed On Time",Assumptions!$B$16,IF(N1008="Completed Late",Assumptions!$B$17,Assumptions!$B$18))</f>
        <v>100</v>
      </c>
      <c r="T1008" s="8" t="n">
        <f aca="false">IF(I1008=0,Assumptions!$B$20,IF(H1008&gt;I1008,Assumptions!$B$19,IF(H1008=I1008,Assumptions!$B$20,Assumptions!$B$21)))</f>
        <v>70</v>
      </c>
      <c r="U1008" s="8" t="n">
        <f aca="false">ROUND(P1008*Assumptions!$B$2+Q1008*Assumptions!$B$3+R1008*Assumptions!$B$4+S1008*Assumptions!$B$5+T1008*Assumptions!$B$6,0)</f>
        <v>89</v>
      </c>
      <c r="V1008" s="8" t="str">
        <f aca="false">IF(U1008&gt;=Assumptions!$B$10,"Healthy",IF(U1008&gt;=Assumptions!$B$11,"Needs Attention","High Risk"))</f>
        <v>Healthy</v>
      </c>
    </row>
    <row r="1009" customFormat="false" ht="15" hidden="false" customHeight="false" outlineLevel="0" collapsed="false">
      <c r="A1009" s="8" t="s">
        <v>2160</v>
      </c>
      <c r="B1009" s="8" t="s">
        <v>2161</v>
      </c>
      <c r="C1009" s="8" t="s">
        <v>51</v>
      </c>
      <c r="D1009" s="8" t="s">
        <v>326</v>
      </c>
      <c r="E1009" s="8" t="s">
        <v>132</v>
      </c>
      <c r="F1009" s="8" t="s">
        <v>118</v>
      </c>
      <c r="G1009" s="8" t="s">
        <v>147</v>
      </c>
      <c r="H1009" s="15" t="n">
        <v>650</v>
      </c>
      <c r="I1009" s="15" t="n">
        <v>650</v>
      </c>
      <c r="J1009" s="16" t="n">
        <v>0.731</v>
      </c>
      <c r="K1009" s="8" t="n">
        <v>7.7</v>
      </c>
      <c r="L1009" s="8" t="n">
        <v>9</v>
      </c>
      <c r="M1009" s="8" t="n">
        <v>1</v>
      </c>
      <c r="N1009" s="8" t="s">
        <v>120</v>
      </c>
      <c r="O1009" s="15" t="n">
        <f aca="false">H1009*12</f>
        <v>7800</v>
      </c>
      <c r="P1009" s="8" t="n">
        <f aca="false">MIN(100,ROUND(100*J1009/Assumptions!$B$8,0))</f>
        <v>81</v>
      </c>
      <c r="Q1009" s="8" t="n">
        <f aca="false">IF(L1009="",Assumptions!$B$9,L1009*10)</f>
        <v>90</v>
      </c>
      <c r="R1009" s="8" t="n">
        <f aca="false">IF(M1009&lt;=1,Assumptions!$B$12,IF(M1009&lt;=3,Assumptions!$B$13,IF(M1009&lt;=6,Assumptions!$B$14,Assumptions!$B$15)))</f>
        <v>100</v>
      </c>
      <c r="S1009" s="8" t="n">
        <f aca="false">IF(N1009="Completed On Time",Assumptions!$B$16,IF(N1009="Completed Late",Assumptions!$B$17,Assumptions!$B$18))</f>
        <v>100</v>
      </c>
      <c r="T1009" s="8" t="n">
        <f aca="false">IF(I1009=0,Assumptions!$B$20,IF(H1009&gt;I1009,Assumptions!$B$19,IF(H1009=I1009,Assumptions!$B$20,Assumptions!$B$21)))</f>
        <v>70</v>
      </c>
      <c r="U1009" s="8" t="n">
        <f aca="false">ROUND(P1009*Assumptions!$B$2+Q1009*Assumptions!$B$3+R1009*Assumptions!$B$4+S1009*Assumptions!$B$5+T1009*Assumptions!$B$6,0)</f>
        <v>85</v>
      </c>
      <c r="V1009" s="8" t="str">
        <f aca="false">IF(U1009&gt;=Assumptions!$B$10,"Healthy",IF(U1009&gt;=Assumptions!$B$11,"Needs Attention","High Risk"))</f>
        <v>Healthy</v>
      </c>
    </row>
    <row r="1010" customFormat="false" ht="15" hidden="false" customHeight="false" outlineLevel="0" collapsed="false">
      <c r="A1010" s="8" t="s">
        <v>2162</v>
      </c>
      <c r="B1010" s="8" t="s">
        <v>2163</v>
      </c>
      <c r="C1010" s="8" t="s">
        <v>51</v>
      </c>
      <c r="D1010" s="8" t="s">
        <v>326</v>
      </c>
      <c r="E1010" s="8" t="s">
        <v>132</v>
      </c>
      <c r="F1010" s="8" t="s">
        <v>223</v>
      </c>
      <c r="G1010" s="8" t="s">
        <v>159</v>
      </c>
      <c r="H1010" s="15" t="n">
        <v>650</v>
      </c>
      <c r="I1010" s="15" t="n">
        <v>650</v>
      </c>
      <c r="J1010" s="16" t="n">
        <v>0.962</v>
      </c>
      <c r="K1010" s="8" t="n">
        <v>12</v>
      </c>
      <c r="L1010" s="8" t="n">
        <v>10</v>
      </c>
      <c r="M1010" s="8" t="n">
        <v>0</v>
      </c>
      <c r="N1010" s="8" t="s">
        <v>120</v>
      </c>
      <c r="O1010" s="15" t="n">
        <f aca="false">H1010*12</f>
        <v>7800</v>
      </c>
      <c r="P1010" s="8" t="n">
        <f aca="false">MIN(100,ROUND(100*J1010/Assumptions!$B$8,0))</f>
        <v>100</v>
      </c>
      <c r="Q1010" s="8" t="n">
        <f aca="false">IF(L1010="",Assumptions!$B$9,L1010*10)</f>
        <v>100</v>
      </c>
      <c r="R1010" s="8" t="n">
        <f aca="false">IF(M1010&lt;=1,Assumptions!$B$12,IF(M1010&lt;=3,Assumptions!$B$13,IF(M1010&lt;=6,Assumptions!$B$14,Assumptions!$B$15)))</f>
        <v>100</v>
      </c>
      <c r="S1010" s="8" t="n">
        <f aca="false">IF(N1010="Completed On Time",Assumptions!$B$16,IF(N1010="Completed Late",Assumptions!$B$17,Assumptions!$B$18))</f>
        <v>100</v>
      </c>
      <c r="T1010" s="8" t="n">
        <f aca="false">IF(I1010=0,Assumptions!$B$20,IF(H1010&gt;I1010,Assumptions!$B$19,IF(H1010=I1010,Assumptions!$B$20,Assumptions!$B$21)))</f>
        <v>70</v>
      </c>
      <c r="U1010" s="8" t="n">
        <f aca="false">ROUND(P1010*Assumptions!$B$2+Q1010*Assumptions!$B$3+R1010*Assumptions!$B$4+S1010*Assumptions!$B$5+T1010*Assumptions!$B$6,0)</f>
        <v>94</v>
      </c>
      <c r="V1010" s="8" t="str">
        <f aca="false">IF(U1010&gt;=Assumptions!$B$10,"Healthy",IF(U1010&gt;=Assumptions!$B$11,"Needs Attention","High Risk"))</f>
        <v>Healthy</v>
      </c>
    </row>
    <row r="1011" customFormat="false" ht="15" hidden="false" customHeight="false" outlineLevel="0" collapsed="false">
      <c r="A1011" s="8" t="s">
        <v>2164</v>
      </c>
      <c r="B1011" s="8" t="s">
        <v>2165</v>
      </c>
      <c r="C1011" s="8" t="s">
        <v>51</v>
      </c>
      <c r="D1011" s="8" t="s">
        <v>326</v>
      </c>
      <c r="E1011" s="8" t="s">
        <v>128</v>
      </c>
      <c r="F1011" s="8" t="s">
        <v>223</v>
      </c>
      <c r="G1011" s="8" t="s">
        <v>119</v>
      </c>
      <c r="H1011" s="15" t="n">
        <v>650</v>
      </c>
      <c r="I1011" s="15" t="n">
        <v>650</v>
      </c>
      <c r="J1011" s="16" t="n">
        <v>0.846</v>
      </c>
      <c r="K1011" s="8" t="n">
        <v>9.3</v>
      </c>
      <c r="L1011" s="8" t="n">
        <v>9</v>
      </c>
      <c r="M1011" s="8" t="n">
        <v>2</v>
      </c>
      <c r="N1011" s="8" t="s">
        <v>120</v>
      </c>
      <c r="O1011" s="15" t="n">
        <f aca="false">H1011*12</f>
        <v>7800</v>
      </c>
      <c r="P1011" s="8" t="n">
        <f aca="false">MIN(100,ROUND(100*J1011/Assumptions!$B$8,0))</f>
        <v>94</v>
      </c>
      <c r="Q1011" s="8" t="n">
        <f aca="false">IF(L1011="",Assumptions!$B$9,L1011*10)</f>
        <v>90</v>
      </c>
      <c r="R1011" s="8" t="n">
        <f aca="false">IF(M1011&lt;=1,Assumptions!$B$12,IF(M1011&lt;=3,Assumptions!$B$13,IF(M1011&lt;=6,Assumptions!$B$14,Assumptions!$B$15)))</f>
        <v>75</v>
      </c>
      <c r="S1011" s="8" t="n">
        <f aca="false">IF(N1011="Completed On Time",Assumptions!$B$16,IF(N1011="Completed Late",Assumptions!$B$17,Assumptions!$B$18))</f>
        <v>100</v>
      </c>
      <c r="T1011" s="8" t="n">
        <f aca="false">IF(I1011=0,Assumptions!$B$20,IF(H1011&gt;I1011,Assumptions!$B$19,IF(H1011=I1011,Assumptions!$B$20,Assumptions!$B$21)))</f>
        <v>70</v>
      </c>
      <c r="U1011" s="8" t="n">
        <f aca="false">ROUND(P1011*Assumptions!$B$2+Q1011*Assumptions!$B$3+R1011*Assumptions!$B$4+S1011*Assumptions!$B$5+T1011*Assumptions!$B$6,0)</f>
        <v>86</v>
      </c>
      <c r="V1011" s="8" t="str">
        <f aca="false">IF(U1011&gt;=Assumptions!$B$10,"Healthy",IF(U1011&gt;=Assumptions!$B$11,"Needs Attention","High Risk"))</f>
        <v>Healthy</v>
      </c>
    </row>
    <row r="1012" customFormat="false" ht="15" hidden="false" customHeight="false" outlineLevel="0" collapsed="false">
      <c r="A1012" s="8" t="s">
        <v>2166</v>
      </c>
      <c r="B1012" s="8" t="s">
        <v>2167</v>
      </c>
      <c r="C1012" s="8" t="s">
        <v>51</v>
      </c>
      <c r="D1012" s="8" t="s">
        <v>326</v>
      </c>
      <c r="E1012" s="8" t="s">
        <v>123</v>
      </c>
      <c r="F1012" s="8" t="s">
        <v>154</v>
      </c>
      <c r="G1012" s="8" t="s">
        <v>144</v>
      </c>
      <c r="H1012" s="15" t="n">
        <v>650</v>
      </c>
      <c r="I1012" s="15" t="n">
        <v>475</v>
      </c>
      <c r="J1012" s="16" t="n">
        <v>0.719</v>
      </c>
      <c r="K1012" s="8" t="n">
        <v>8</v>
      </c>
      <c r="L1012" s="8" t="n">
        <v>8</v>
      </c>
      <c r="M1012" s="8" t="n">
        <v>5</v>
      </c>
      <c r="N1012" s="8" t="s">
        <v>120</v>
      </c>
      <c r="O1012" s="15" t="n">
        <f aca="false">H1012*12</f>
        <v>7800</v>
      </c>
      <c r="P1012" s="8" t="n">
        <f aca="false">MIN(100,ROUND(100*J1012/Assumptions!$B$8,0))</f>
        <v>80</v>
      </c>
      <c r="Q1012" s="8" t="n">
        <f aca="false">IF(L1012="",Assumptions!$B$9,L1012*10)</f>
        <v>80</v>
      </c>
      <c r="R1012" s="8" t="n">
        <f aca="false">IF(M1012&lt;=1,Assumptions!$B$12,IF(M1012&lt;=3,Assumptions!$B$13,IF(M1012&lt;=6,Assumptions!$B$14,Assumptions!$B$15)))</f>
        <v>50</v>
      </c>
      <c r="S1012" s="8" t="n">
        <f aca="false">IF(N1012="Completed On Time",Assumptions!$B$16,IF(N1012="Completed Late",Assumptions!$B$17,Assumptions!$B$18))</f>
        <v>100</v>
      </c>
      <c r="T1012" s="8" t="n">
        <f aca="false">IF(I1012=0,Assumptions!$B$20,IF(H1012&gt;I1012,Assumptions!$B$19,IF(H1012=I1012,Assumptions!$B$20,Assumptions!$B$21)))</f>
        <v>100</v>
      </c>
      <c r="U1012" s="8" t="n">
        <f aca="false">ROUND(P1012*Assumptions!$B$2+Q1012*Assumptions!$B$3+R1012*Assumptions!$B$4+S1012*Assumptions!$B$5+T1012*Assumptions!$B$6,0)</f>
        <v>82</v>
      </c>
      <c r="V1012" s="8" t="str">
        <f aca="false">IF(U1012&gt;=Assumptions!$B$10,"Healthy",IF(U1012&gt;=Assumptions!$B$11,"Needs Attention","High Risk"))</f>
        <v>Healthy</v>
      </c>
    </row>
    <row r="1013" customFormat="false" ht="15" hidden="false" customHeight="false" outlineLevel="0" collapsed="false">
      <c r="A1013" s="8" t="s">
        <v>2168</v>
      </c>
      <c r="B1013" s="8" t="s">
        <v>2169</v>
      </c>
      <c r="C1013" s="8" t="s">
        <v>51</v>
      </c>
      <c r="D1013" s="8" t="s">
        <v>326</v>
      </c>
      <c r="E1013" s="8" t="s">
        <v>123</v>
      </c>
      <c r="F1013" s="8" t="s">
        <v>133</v>
      </c>
      <c r="G1013" s="8" t="s">
        <v>125</v>
      </c>
      <c r="H1013" s="15" t="n">
        <v>650</v>
      </c>
      <c r="I1013" s="15" t="n">
        <v>650</v>
      </c>
      <c r="J1013" s="16" t="n">
        <v>0.654</v>
      </c>
      <c r="K1013" s="8" t="n">
        <v>8</v>
      </c>
      <c r="L1013" s="8" t="n">
        <v>10</v>
      </c>
      <c r="M1013" s="8" t="n">
        <v>1</v>
      </c>
      <c r="N1013" s="8" t="s">
        <v>120</v>
      </c>
      <c r="O1013" s="15" t="n">
        <f aca="false">H1013*12</f>
        <v>7800</v>
      </c>
      <c r="P1013" s="8" t="n">
        <f aca="false">MIN(100,ROUND(100*J1013/Assumptions!$B$8,0))</f>
        <v>73</v>
      </c>
      <c r="Q1013" s="8" t="n">
        <f aca="false">IF(L1013="",Assumptions!$B$9,L1013*10)</f>
        <v>100</v>
      </c>
      <c r="R1013" s="8" t="n">
        <f aca="false">IF(M1013&lt;=1,Assumptions!$B$12,IF(M1013&lt;=3,Assumptions!$B$13,IF(M1013&lt;=6,Assumptions!$B$14,Assumptions!$B$15)))</f>
        <v>100</v>
      </c>
      <c r="S1013" s="8" t="n">
        <f aca="false">IF(N1013="Completed On Time",Assumptions!$B$16,IF(N1013="Completed Late",Assumptions!$B$17,Assumptions!$B$18))</f>
        <v>100</v>
      </c>
      <c r="T1013" s="8" t="n">
        <f aca="false">IF(I1013=0,Assumptions!$B$20,IF(H1013&gt;I1013,Assumptions!$B$19,IF(H1013=I1013,Assumptions!$B$20,Assumptions!$B$21)))</f>
        <v>70</v>
      </c>
      <c r="U1013" s="8" t="n">
        <f aca="false">ROUND(P1013*Assumptions!$B$2+Q1013*Assumptions!$B$3+R1013*Assumptions!$B$4+S1013*Assumptions!$B$5+T1013*Assumptions!$B$6,0)</f>
        <v>85</v>
      </c>
      <c r="V1013" s="8" t="str">
        <f aca="false">IF(U1013&gt;=Assumptions!$B$10,"Healthy",IF(U1013&gt;=Assumptions!$B$11,"Needs Attention","High Risk"))</f>
        <v>Healthy</v>
      </c>
    </row>
    <row r="1014" customFormat="false" ht="15" hidden="false" customHeight="false" outlineLevel="0" collapsed="false">
      <c r="A1014" s="8" t="s">
        <v>2170</v>
      </c>
      <c r="B1014" s="8" t="s">
        <v>2171</v>
      </c>
      <c r="C1014" s="8" t="s">
        <v>51</v>
      </c>
      <c r="D1014" s="8" t="s">
        <v>326</v>
      </c>
      <c r="E1014" s="8" t="s">
        <v>117</v>
      </c>
      <c r="F1014" s="8" t="s">
        <v>151</v>
      </c>
      <c r="G1014" s="8" t="s">
        <v>177</v>
      </c>
      <c r="H1014" s="15" t="n">
        <v>650</v>
      </c>
      <c r="I1014" s="15" t="n">
        <v>650</v>
      </c>
      <c r="J1014" s="16" t="n">
        <v>0.397</v>
      </c>
      <c r="K1014" s="8" t="n">
        <v>6.3</v>
      </c>
      <c r="L1014" s="8" t="n">
        <v>5</v>
      </c>
      <c r="M1014" s="8" t="n">
        <v>1</v>
      </c>
      <c r="N1014" s="8" t="s">
        <v>120</v>
      </c>
      <c r="O1014" s="15" t="n">
        <f aca="false">H1014*12</f>
        <v>7800</v>
      </c>
      <c r="P1014" s="8" t="n">
        <f aca="false">MIN(100,ROUND(100*J1014/Assumptions!$B$8,0))</f>
        <v>44</v>
      </c>
      <c r="Q1014" s="8" t="n">
        <f aca="false">IF(L1014="",Assumptions!$B$9,L1014*10)</f>
        <v>50</v>
      </c>
      <c r="R1014" s="8" t="n">
        <f aca="false">IF(M1014&lt;=1,Assumptions!$B$12,IF(M1014&lt;=3,Assumptions!$B$13,IF(M1014&lt;=6,Assumptions!$B$14,Assumptions!$B$15)))</f>
        <v>100</v>
      </c>
      <c r="S1014" s="8" t="n">
        <f aca="false">IF(N1014="Completed On Time",Assumptions!$B$16,IF(N1014="Completed Late",Assumptions!$B$17,Assumptions!$B$18))</f>
        <v>100</v>
      </c>
      <c r="T1014" s="8" t="n">
        <f aca="false">IF(I1014=0,Assumptions!$B$20,IF(H1014&gt;I1014,Assumptions!$B$19,IF(H1014=I1014,Assumptions!$B$20,Assumptions!$B$21)))</f>
        <v>70</v>
      </c>
      <c r="U1014" s="8" t="n">
        <f aca="false">ROUND(P1014*Assumptions!$B$2+Q1014*Assumptions!$B$3+R1014*Assumptions!$B$4+S1014*Assumptions!$B$5+T1014*Assumptions!$B$6,0)</f>
        <v>64</v>
      </c>
      <c r="V1014" s="8" t="str">
        <f aca="false">IF(U1014&gt;=Assumptions!$B$10,"Healthy",IF(U1014&gt;=Assumptions!$B$11,"Needs Attention","High Risk"))</f>
        <v>High Risk</v>
      </c>
    </row>
    <row r="1015" customFormat="false" ht="15" hidden="false" customHeight="false" outlineLevel="0" collapsed="false">
      <c r="A1015" s="8" t="s">
        <v>2172</v>
      </c>
      <c r="B1015" s="8" t="s">
        <v>2173</v>
      </c>
      <c r="C1015" s="8" t="s">
        <v>51</v>
      </c>
      <c r="D1015" s="8" t="s">
        <v>326</v>
      </c>
      <c r="E1015" s="8" t="s">
        <v>117</v>
      </c>
      <c r="F1015" s="8" t="s">
        <v>166</v>
      </c>
      <c r="G1015" s="8" t="s">
        <v>147</v>
      </c>
      <c r="H1015" s="15" t="n">
        <v>625</v>
      </c>
      <c r="I1015" s="15" t="n">
        <v>625</v>
      </c>
      <c r="J1015" s="16" t="n">
        <v>0.693</v>
      </c>
      <c r="K1015" s="8" t="n">
        <v>7.7</v>
      </c>
      <c r="L1015" s="8" t="n">
        <v>9</v>
      </c>
      <c r="M1015" s="8" t="n">
        <v>0</v>
      </c>
      <c r="N1015" s="8" t="s">
        <v>120</v>
      </c>
      <c r="O1015" s="15" t="n">
        <f aca="false">H1015*12</f>
        <v>7500</v>
      </c>
      <c r="P1015" s="8" t="n">
        <f aca="false">MIN(100,ROUND(100*J1015/Assumptions!$B$8,0))</f>
        <v>77</v>
      </c>
      <c r="Q1015" s="8" t="n">
        <f aca="false">IF(L1015="",Assumptions!$B$9,L1015*10)</f>
        <v>90</v>
      </c>
      <c r="R1015" s="8" t="n">
        <f aca="false">IF(M1015&lt;=1,Assumptions!$B$12,IF(M1015&lt;=3,Assumptions!$B$13,IF(M1015&lt;=6,Assumptions!$B$14,Assumptions!$B$15)))</f>
        <v>100</v>
      </c>
      <c r="S1015" s="8" t="n">
        <f aca="false">IF(N1015="Completed On Time",Assumptions!$B$16,IF(N1015="Completed Late",Assumptions!$B$17,Assumptions!$B$18))</f>
        <v>100</v>
      </c>
      <c r="T1015" s="8" t="n">
        <f aca="false">IF(I1015=0,Assumptions!$B$20,IF(H1015&gt;I1015,Assumptions!$B$19,IF(H1015=I1015,Assumptions!$B$20,Assumptions!$B$21)))</f>
        <v>70</v>
      </c>
      <c r="U1015" s="8" t="n">
        <f aca="false">ROUND(P1015*Assumptions!$B$2+Q1015*Assumptions!$B$3+R1015*Assumptions!$B$4+S1015*Assumptions!$B$5+T1015*Assumptions!$B$6,0)</f>
        <v>84</v>
      </c>
      <c r="V1015" s="8" t="str">
        <f aca="false">IF(U1015&gt;=Assumptions!$B$10,"Healthy",IF(U1015&gt;=Assumptions!$B$11,"Needs Attention","High Risk"))</f>
        <v>Healthy</v>
      </c>
    </row>
    <row r="1016" customFormat="false" ht="15" hidden="false" customHeight="false" outlineLevel="0" collapsed="false">
      <c r="A1016" s="8" t="s">
        <v>2174</v>
      </c>
      <c r="B1016" s="8" t="s">
        <v>2175</v>
      </c>
      <c r="C1016" s="8" t="s">
        <v>51</v>
      </c>
      <c r="D1016" s="8" t="s">
        <v>326</v>
      </c>
      <c r="E1016" s="8" t="s">
        <v>132</v>
      </c>
      <c r="F1016" s="8" t="s">
        <v>154</v>
      </c>
      <c r="G1016" s="8" t="s">
        <v>129</v>
      </c>
      <c r="H1016" s="15" t="n">
        <v>625</v>
      </c>
      <c r="I1016" s="15" t="n">
        <v>625</v>
      </c>
      <c r="J1016" s="16" t="n">
        <v>0.6</v>
      </c>
      <c r="K1016" s="8" t="n">
        <v>6.7</v>
      </c>
      <c r="L1016" s="8" t="n">
        <v>9</v>
      </c>
      <c r="M1016" s="8" t="n">
        <v>3</v>
      </c>
      <c r="N1016" s="8" t="s">
        <v>120</v>
      </c>
      <c r="O1016" s="15" t="n">
        <f aca="false">H1016*12</f>
        <v>7500</v>
      </c>
      <c r="P1016" s="8" t="n">
        <f aca="false">MIN(100,ROUND(100*J1016/Assumptions!$B$8,0))</f>
        <v>67</v>
      </c>
      <c r="Q1016" s="8" t="n">
        <f aca="false">IF(L1016="",Assumptions!$B$9,L1016*10)</f>
        <v>90</v>
      </c>
      <c r="R1016" s="8" t="n">
        <f aca="false">IF(M1016&lt;=1,Assumptions!$B$12,IF(M1016&lt;=3,Assumptions!$B$13,IF(M1016&lt;=6,Assumptions!$B$14,Assumptions!$B$15)))</f>
        <v>75</v>
      </c>
      <c r="S1016" s="8" t="n">
        <f aca="false">IF(N1016="Completed On Time",Assumptions!$B$16,IF(N1016="Completed Late",Assumptions!$B$17,Assumptions!$B$18))</f>
        <v>100</v>
      </c>
      <c r="T1016" s="8" t="n">
        <f aca="false">IF(I1016=0,Assumptions!$B$20,IF(H1016&gt;I1016,Assumptions!$B$19,IF(H1016=I1016,Assumptions!$B$20,Assumptions!$B$21)))</f>
        <v>70</v>
      </c>
      <c r="U1016" s="8" t="n">
        <f aca="false">ROUND(P1016*Assumptions!$B$2+Q1016*Assumptions!$B$3+R1016*Assumptions!$B$4+S1016*Assumptions!$B$5+T1016*Assumptions!$B$6,0)</f>
        <v>77</v>
      </c>
      <c r="V1016" s="8" t="str">
        <f aca="false">IF(U1016&gt;=Assumptions!$B$10,"Healthy",IF(U1016&gt;=Assumptions!$B$11,"Needs Attention","High Risk"))</f>
        <v>Needs Attention</v>
      </c>
    </row>
    <row r="1017" customFormat="false" ht="15" hidden="false" customHeight="false" outlineLevel="0" collapsed="false">
      <c r="A1017" s="8" t="s">
        <v>2176</v>
      </c>
      <c r="B1017" s="8" t="s">
        <v>2177</v>
      </c>
      <c r="C1017" s="8" t="s">
        <v>51</v>
      </c>
      <c r="D1017" s="8" t="s">
        <v>326</v>
      </c>
      <c r="E1017" s="8" t="s">
        <v>132</v>
      </c>
      <c r="F1017" s="8" t="s">
        <v>118</v>
      </c>
      <c r="G1017" s="8" t="s">
        <v>140</v>
      </c>
      <c r="H1017" s="15" t="n">
        <v>625</v>
      </c>
      <c r="I1017" s="15" t="n">
        <v>725</v>
      </c>
      <c r="J1017" s="16" t="n">
        <v>0.843</v>
      </c>
      <c r="K1017" s="8" t="n">
        <v>8.3</v>
      </c>
      <c r="L1017" s="8" t="n">
        <v>7</v>
      </c>
      <c r="M1017" s="8" t="n">
        <v>6</v>
      </c>
      <c r="N1017" s="8" t="s">
        <v>120</v>
      </c>
      <c r="O1017" s="15" t="n">
        <f aca="false">H1017*12</f>
        <v>7500</v>
      </c>
      <c r="P1017" s="8" t="n">
        <f aca="false">MIN(100,ROUND(100*J1017/Assumptions!$B$8,0))</f>
        <v>94</v>
      </c>
      <c r="Q1017" s="8" t="n">
        <f aca="false">IF(L1017="",Assumptions!$B$9,L1017*10)</f>
        <v>70</v>
      </c>
      <c r="R1017" s="8" t="n">
        <f aca="false">IF(M1017&lt;=1,Assumptions!$B$12,IF(M1017&lt;=3,Assumptions!$B$13,IF(M1017&lt;=6,Assumptions!$B$14,Assumptions!$B$15)))</f>
        <v>50</v>
      </c>
      <c r="S1017" s="8" t="n">
        <f aca="false">IF(N1017="Completed On Time",Assumptions!$B$16,IF(N1017="Completed Late",Assumptions!$B$17,Assumptions!$B$18))</f>
        <v>100</v>
      </c>
      <c r="T1017" s="8" t="n">
        <f aca="false">IF(I1017=0,Assumptions!$B$20,IF(H1017&gt;I1017,Assumptions!$B$19,IF(H1017=I1017,Assumptions!$B$20,Assumptions!$B$21)))</f>
        <v>30</v>
      </c>
      <c r="U1017" s="8" t="n">
        <f aca="false">ROUND(P1017*Assumptions!$B$2+Q1017*Assumptions!$B$3+R1017*Assumptions!$B$4+S1017*Assumptions!$B$5+T1017*Assumptions!$B$6,0)</f>
        <v>70</v>
      </c>
      <c r="V1017" s="8" t="str">
        <f aca="false">IF(U1017&gt;=Assumptions!$B$10,"Healthy",IF(U1017&gt;=Assumptions!$B$11,"Needs Attention","High Risk"))</f>
        <v>Needs Attention</v>
      </c>
    </row>
    <row r="1018" customFormat="false" ht="15" hidden="false" customHeight="false" outlineLevel="0" collapsed="false">
      <c r="A1018" s="8" t="s">
        <v>2178</v>
      </c>
      <c r="B1018" s="8" t="s">
        <v>2179</v>
      </c>
      <c r="C1018" s="8" t="s">
        <v>51</v>
      </c>
      <c r="D1018" s="8" t="s">
        <v>326</v>
      </c>
      <c r="E1018" s="8" t="s">
        <v>117</v>
      </c>
      <c r="F1018" s="8" t="s">
        <v>143</v>
      </c>
      <c r="G1018" s="8" t="s">
        <v>129</v>
      </c>
      <c r="H1018" s="15" t="n">
        <v>625</v>
      </c>
      <c r="I1018" s="15" t="n">
        <v>625</v>
      </c>
      <c r="J1018" s="16" t="n">
        <v>0.92</v>
      </c>
      <c r="K1018" s="8" t="n">
        <v>12</v>
      </c>
      <c r="L1018" s="8" t="n">
        <v>10</v>
      </c>
      <c r="M1018" s="8" t="n">
        <v>1</v>
      </c>
      <c r="N1018" s="8" t="s">
        <v>120</v>
      </c>
      <c r="O1018" s="15" t="n">
        <f aca="false">H1018*12</f>
        <v>7500</v>
      </c>
      <c r="P1018" s="8" t="n">
        <f aca="false">MIN(100,ROUND(100*J1018/Assumptions!$B$8,0))</f>
        <v>100</v>
      </c>
      <c r="Q1018" s="8" t="n">
        <f aca="false">IF(L1018="",Assumptions!$B$9,L1018*10)</f>
        <v>100</v>
      </c>
      <c r="R1018" s="8" t="n">
        <f aca="false">IF(M1018&lt;=1,Assumptions!$B$12,IF(M1018&lt;=3,Assumptions!$B$13,IF(M1018&lt;=6,Assumptions!$B$14,Assumptions!$B$15)))</f>
        <v>100</v>
      </c>
      <c r="S1018" s="8" t="n">
        <f aca="false">IF(N1018="Completed On Time",Assumptions!$B$16,IF(N1018="Completed Late",Assumptions!$B$17,Assumptions!$B$18))</f>
        <v>100</v>
      </c>
      <c r="T1018" s="8" t="n">
        <f aca="false">IF(I1018=0,Assumptions!$B$20,IF(H1018&gt;I1018,Assumptions!$B$19,IF(H1018=I1018,Assumptions!$B$20,Assumptions!$B$21)))</f>
        <v>70</v>
      </c>
      <c r="U1018" s="8" t="n">
        <f aca="false">ROUND(P1018*Assumptions!$B$2+Q1018*Assumptions!$B$3+R1018*Assumptions!$B$4+S1018*Assumptions!$B$5+T1018*Assumptions!$B$6,0)</f>
        <v>94</v>
      </c>
      <c r="V1018" s="8" t="str">
        <f aca="false">IF(U1018&gt;=Assumptions!$B$10,"Healthy",IF(U1018&gt;=Assumptions!$B$11,"Needs Attention","High Risk"))</f>
        <v>Healthy</v>
      </c>
    </row>
    <row r="1019" customFormat="false" ht="15" hidden="false" customHeight="false" outlineLevel="0" collapsed="false">
      <c r="A1019" s="8" t="s">
        <v>2180</v>
      </c>
      <c r="B1019" s="8" t="s">
        <v>2181</v>
      </c>
      <c r="C1019" s="8" t="s">
        <v>51</v>
      </c>
      <c r="D1019" s="8" t="s">
        <v>326</v>
      </c>
      <c r="E1019" s="8" t="s">
        <v>128</v>
      </c>
      <c r="F1019" s="8" t="s">
        <v>190</v>
      </c>
      <c r="G1019" s="8" t="s">
        <v>125</v>
      </c>
      <c r="H1019" s="15" t="n">
        <v>625</v>
      </c>
      <c r="I1019" s="15" t="n">
        <v>625</v>
      </c>
      <c r="J1019" s="16" t="n">
        <v>0.64</v>
      </c>
      <c r="K1019" s="8" t="n">
        <v>5.7</v>
      </c>
      <c r="L1019" s="8" t="n">
        <v>5</v>
      </c>
      <c r="M1019" s="8" t="n">
        <v>3</v>
      </c>
      <c r="N1019" s="8" t="s">
        <v>120</v>
      </c>
      <c r="O1019" s="15" t="n">
        <f aca="false">H1019*12</f>
        <v>7500</v>
      </c>
      <c r="P1019" s="8" t="n">
        <f aca="false">MIN(100,ROUND(100*J1019/Assumptions!$B$8,0))</f>
        <v>71</v>
      </c>
      <c r="Q1019" s="8" t="n">
        <f aca="false">IF(L1019="",Assumptions!$B$9,L1019*10)</f>
        <v>50</v>
      </c>
      <c r="R1019" s="8" t="n">
        <f aca="false">IF(M1019&lt;=1,Assumptions!$B$12,IF(M1019&lt;=3,Assumptions!$B$13,IF(M1019&lt;=6,Assumptions!$B$14,Assumptions!$B$15)))</f>
        <v>75</v>
      </c>
      <c r="S1019" s="8" t="n">
        <f aca="false">IF(N1019="Completed On Time",Assumptions!$B$16,IF(N1019="Completed Late",Assumptions!$B$17,Assumptions!$B$18))</f>
        <v>100</v>
      </c>
      <c r="T1019" s="8" t="n">
        <f aca="false">IF(I1019=0,Assumptions!$B$20,IF(H1019&gt;I1019,Assumptions!$B$19,IF(H1019=I1019,Assumptions!$B$20,Assumptions!$B$21)))</f>
        <v>70</v>
      </c>
      <c r="U1019" s="8" t="n">
        <f aca="false">ROUND(P1019*Assumptions!$B$2+Q1019*Assumptions!$B$3+R1019*Assumptions!$B$4+S1019*Assumptions!$B$5+T1019*Assumptions!$B$6,0)</f>
        <v>70</v>
      </c>
      <c r="V1019" s="8" t="str">
        <f aca="false">IF(U1019&gt;=Assumptions!$B$10,"Healthy",IF(U1019&gt;=Assumptions!$B$11,"Needs Attention","High Risk"))</f>
        <v>Needs Attention</v>
      </c>
    </row>
    <row r="1020" customFormat="false" ht="15" hidden="false" customHeight="false" outlineLevel="0" collapsed="false">
      <c r="A1020" s="8" t="s">
        <v>2182</v>
      </c>
      <c r="B1020" s="8" t="s">
        <v>2183</v>
      </c>
      <c r="C1020" s="8" t="s">
        <v>51</v>
      </c>
      <c r="D1020" s="8" t="s">
        <v>326</v>
      </c>
      <c r="E1020" s="8" t="s">
        <v>123</v>
      </c>
      <c r="F1020" s="8" t="s">
        <v>223</v>
      </c>
      <c r="G1020" s="8" t="s">
        <v>177</v>
      </c>
      <c r="H1020" s="15" t="n">
        <v>625</v>
      </c>
      <c r="I1020" s="15" t="n">
        <v>0</v>
      </c>
      <c r="J1020" s="16" t="n">
        <v>0.707</v>
      </c>
      <c r="K1020" s="8" t="n">
        <v>7.7</v>
      </c>
      <c r="L1020" s="8"/>
      <c r="M1020" s="8" t="n">
        <v>1</v>
      </c>
      <c r="N1020" s="8" t="s">
        <v>120</v>
      </c>
      <c r="O1020" s="15" t="n">
        <f aca="false">H1020*12</f>
        <v>7500</v>
      </c>
      <c r="P1020" s="8" t="n">
        <f aca="false">MIN(100,ROUND(100*J1020/Assumptions!$B$8,0))</f>
        <v>79</v>
      </c>
      <c r="Q1020" s="8" t="n">
        <f aca="false">IF(L1020="",Assumptions!$B$9,L1020*10)</f>
        <v>50</v>
      </c>
      <c r="R1020" s="8" t="n">
        <f aca="false">IF(M1020&lt;=1,Assumptions!$B$12,IF(M1020&lt;=3,Assumptions!$B$13,IF(M1020&lt;=6,Assumptions!$B$14,Assumptions!$B$15)))</f>
        <v>100</v>
      </c>
      <c r="S1020" s="8" t="n">
        <f aca="false">IF(N1020="Completed On Time",Assumptions!$B$16,IF(N1020="Completed Late",Assumptions!$B$17,Assumptions!$B$18))</f>
        <v>100</v>
      </c>
      <c r="T1020" s="8" t="n">
        <f aca="false">IF(I1020=0,Assumptions!$B$20,IF(H1020&gt;I1020,Assumptions!$B$19,IF(H1020=I1020,Assumptions!$B$20,Assumptions!$B$21)))</f>
        <v>70</v>
      </c>
      <c r="U1020" s="8" t="n">
        <f aca="false">ROUND(P1020*Assumptions!$B$2+Q1020*Assumptions!$B$3+R1020*Assumptions!$B$4+S1020*Assumptions!$B$5+T1020*Assumptions!$B$6,0)</f>
        <v>77</v>
      </c>
      <c r="V1020" s="8" t="str">
        <f aca="false">IF(U1020&gt;=Assumptions!$B$10,"Healthy",IF(U1020&gt;=Assumptions!$B$11,"Needs Attention","High Risk"))</f>
        <v>Needs Attention</v>
      </c>
    </row>
    <row r="1021" customFormat="false" ht="15" hidden="false" customHeight="false" outlineLevel="0" collapsed="false">
      <c r="A1021" s="8" t="s">
        <v>2184</v>
      </c>
      <c r="B1021" s="8" t="s">
        <v>2185</v>
      </c>
      <c r="C1021" s="8" t="s">
        <v>51</v>
      </c>
      <c r="D1021" s="8" t="s">
        <v>326</v>
      </c>
      <c r="E1021" s="8" t="s">
        <v>123</v>
      </c>
      <c r="F1021" s="8" t="s">
        <v>136</v>
      </c>
      <c r="G1021" s="8" t="s">
        <v>129</v>
      </c>
      <c r="H1021" s="15" t="n">
        <v>625</v>
      </c>
      <c r="I1021" s="15" t="n">
        <v>625</v>
      </c>
      <c r="J1021" s="16" t="n">
        <v>0.867</v>
      </c>
      <c r="K1021" s="8" t="n">
        <v>11</v>
      </c>
      <c r="L1021" s="8" t="n">
        <v>10</v>
      </c>
      <c r="M1021" s="8" t="n">
        <v>2</v>
      </c>
      <c r="N1021" s="8" t="s">
        <v>120</v>
      </c>
      <c r="O1021" s="15" t="n">
        <f aca="false">H1021*12</f>
        <v>7500</v>
      </c>
      <c r="P1021" s="8" t="n">
        <f aca="false">MIN(100,ROUND(100*J1021/Assumptions!$B$8,0))</f>
        <v>96</v>
      </c>
      <c r="Q1021" s="8" t="n">
        <f aca="false">IF(L1021="",Assumptions!$B$9,L1021*10)</f>
        <v>100</v>
      </c>
      <c r="R1021" s="8" t="n">
        <f aca="false">IF(M1021&lt;=1,Assumptions!$B$12,IF(M1021&lt;=3,Assumptions!$B$13,IF(M1021&lt;=6,Assumptions!$B$14,Assumptions!$B$15)))</f>
        <v>75</v>
      </c>
      <c r="S1021" s="8" t="n">
        <f aca="false">IF(N1021="Completed On Time",Assumptions!$B$16,IF(N1021="Completed Late",Assumptions!$B$17,Assumptions!$B$18))</f>
        <v>100</v>
      </c>
      <c r="T1021" s="8" t="n">
        <f aca="false">IF(I1021=0,Assumptions!$B$20,IF(H1021&gt;I1021,Assumptions!$B$19,IF(H1021=I1021,Assumptions!$B$20,Assumptions!$B$21)))</f>
        <v>70</v>
      </c>
      <c r="U1021" s="8" t="n">
        <f aca="false">ROUND(P1021*Assumptions!$B$2+Q1021*Assumptions!$B$3+R1021*Assumptions!$B$4+S1021*Assumptions!$B$5+T1021*Assumptions!$B$6,0)</f>
        <v>89</v>
      </c>
      <c r="V1021" s="8" t="str">
        <f aca="false">IF(U1021&gt;=Assumptions!$B$10,"Healthy",IF(U1021&gt;=Assumptions!$B$11,"Needs Attention","High Risk"))</f>
        <v>Healthy</v>
      </c>
    </row>
    <row r="1022" customFormat="false" ht="15" hidden="false" customHeight="false" outlineLevel="0" collapsed="false">
      <c r="A1022" s="8" t="s">
        <v>2186</v>
      </c>
      <c r="B1022" s="8" t="s">
        <v>2187</v>
      </c>
      <c r="C1022" s="8" t="s">
        <v>51</v>
      </c>
      <c r="D1022" s="8" t="s">
        <v>326</v>
      </c>
      <c r="E1022" s="8" t="s">
        <v>132</v>
      </c>
      <c r="F1022" s="8" t="s">
        <v>133</v>
      </c>
      <c r="G1022" s="8" t="s">
        <v>177</v>
      </c>
      <c r="H1022" s="15" t="n">
        <v>625</v>
      </c>
      <c r="I1022" s="15" t="n">
        <v>0</v>
      </c>
      <c r="J1022" s="16" t="n">
        <v>0.747</v>
      </c>
      <c r="K1022" s="8" t="n">
        <v>9.7</v>
      </c>
      <c r="L1022" s="8"/>
      <c r="M1022" s="8" t="n">
        <v>2</v>
      </c>
      <c r="N1022" s="8" t="s">
        <v>120</v>
      </c>
      <c r="O1022" s="15" t="n">
        <f aca="false">H1022*12</f>
        <v>7500</v>
      </c>
      <c r="P1022" s="8" t="n">
        <f aca="false">MIN(100,ROUND(100*J1022/Assumptions!$B$8,0))</f>
        <v>83</v>
      </c>
      <c r="Q1022" s="8" t="n">
        <f aca="false">IF(L1022="",Assumptions!$B$9,L1022*10)</f>
        <v>50</v>
      </c>
      <c r="R1022" s="8" t="n">
        <f aca="false">IF(M1022&lt;=1,Assumptions!$B$12,IF(M1022&lt;=3,Assumptions!$B$13,IF(M1022&lt;=6,Assumptions!$B$14,Assumptions!$B$15)))</f>
        <v>75</v>
      </c>
      <c r="S1022" s="8" t="n">
        <f aca="false">IF(N1022="Completed On Time",Assumptions!$B$16,IF(N1022="Completed Late",Assumptions!$B$17,Assumptions!$B$18))</f>
        <v>100</v>
      </c>
      <c r="T1022" s="8" t="n">
        <f aca="false">IF(I1022=0,Assumptions!$B$20,IF(H1022&gt;I1022,Assumptions!$B$19,IF(H1022=I1022,Assumptions!$B$20,Assumptions!$B$21)))</f>
        <v>70</v>
      </c>
      <c r="U1022" s="8" t="n">
        <f aca="false">ROUND(P1022*Assumptions!$B$2+Q1022*Assumptions!$B$3+R1022*Assumptions!$B$4+S1022*Assumptions!$B$5+T1022*Assumptions!$B$6,0)</f>
        <v>74</v>
      </c>
      <c r="V1022" s="8" t="str">
        <f aca="false">IF(U1022&gt;=Assumptions!$B$10,"Healthy",IF(U1022&gt;=Assumptions!$B$11,"Needs Attention","High Risk"))</f>
        <v>Needs Attention</v>
      </c>
    </row>
    <row r="1023" customFormat="false" ht="15" hidden="false" customHeight="false" outlineLevel="0" collapsed="false">
      <c r="A1023" s="8" t="s">
        <v>2188</v>
      </c>
      <c r="B1023" s="8" t="s">
        <v>2189</v>
      </c>
      <c r="C1023" s="8" t="s">
        <v>51</v>
      </c>
      <c r="D1023" s="8" t="s">
        <v>326</v>
      </c>
      <c r="E1023" s="8" t="s">
        <v>132</v>
      </c>
      <c r="F1023" s="8" t="s">
        <v>118</v>
      </c>
      <c r="G1023" s="8" t="s">
        <v>129</v>
      </c>
      <c r="H1023" s="15" t="n">
        <v>625</v>
      </c>
      <c r="I1023" s="15" t="n">
        <v>625</v>
      </c>
      <c r="J1023" s="16" t="n">
        <v>0.853</v>
      </c>
      <c r="K1023" s="8" t="n">
        <v>10.3</v>
      </c>
      <c r="L1023" s="8" t="n">
        <v>7</v>
      </c>
      <c r="M1023" s="8" t="n">
        <v>0</v>
      </c>
      <c r="N1023" s="8" t="s">
        <v>120</v>
      </c>
      <c r="O1023" s="15" t="n">
        <f aca="false">H1023*12</f>
        <v>7500</v>
      </c>
      <c r="P1023" s="8" t="n">
        <f aca="false">MIN(100,ROUND(100*J1023/Assumptions!$B$8,0))</f>
        <v>95</v>
      </c>
      <c r="Q1023" s="8" t="n">
        <f aca="false">IF(L1023="",Assumptions!$B$9,L1023*10)</f>
        <v>70</v>
      </c>
      <c r="R1023" s="8" t="n">
        <f aca="false">IF(M1023&lt;=1,Assumptions!$B$12,IF(M1023&lt;=3,Assumptions!$B$13,IF(M1023&lt;=6,Assumptions!$B$14,Assumptions!$B$15)))</f>
        <v>100</v>
      </c>
      <c r="S1023" s="8" t="n">
        <f aca="false">IF(N1023="Completed On Time",Assumptions!$B$16,IF(N1023="Completed Late",Assumptions!$B$17,Assumptions!$B$18))</f>
        <v>100</v>
      </c>
      <c r="T1023" s="8" t="n">
        <f aca="false">IF(I1023=0,Assumptions!$B$20,IF(H1023&gt;I1023,Assumptions!$B$19,IF(H1023=I1023,Assumptions!$B$20,Assumptions!$B$21)))</f>
        <v>70</v>
      </c>
      <c r="U1023" s="8" t="n">
        <f aca="false">ROUND(P1023*Assumptions!$B$2+Q1023*Assumptions!$B$3+R1023*Assumptions!$B$4+S1023*Assumptions!$B$5+T1023*Assumptions!$B$6,0)</f>
        <v>86</v>
      </c>
      <c r="V1023" s="8" t="str">
        <f aca="false">IF(U1023&gt;=Assumptions!$B$10,"Healthy",IF(U1023&gt;=Assumptions!$B$11,"Needs Attention","High Risk"))</f>
        <v>Healthy</v>
      </c>
    </row>
    <row r="1024" customFormat="false" ht="15" hidden="false" customHeight="false" outlineLevel="0" collapsed="false">
      <c r="A1024" s="8" t="s">
        <v>2190</v>
      </c>
      <c r="B1024" s="8" t="s">
        <v>2191</v>
      </c>
      <c r="C1024" s="8" t="s">
        <v>51</v>
      </c>
      <c r="D1024" s="8" t="s">
        <v>326</v>
      </c>
      <c r="E1024" s="8" t="s">
        <v>132</v>
      </c>
      <c r="F1024" s="8" t="s">
        <v>151</v>
      </c>
      <c r="G1024" s="8" t="s">
        <v>119</v>
      </c>
      <c r="H1024" s="15" t="n">
        <v>625</v>
      </c>
      <c r="I1024" s="15" t="n">
        <v>625</v>
      </c>
      <c r="J1024" s="16" t="n">
        <v>0.84</v>
      </c>
      <c r="K1024" s="8" t="n">
        <v>11</v>
      </c>
      <c r="L1024" s="8" t="n">
        <v>10</v>
      </c>
      <c r="M1024" s="8" t="n">
        <v>0</v>
      </c>
      <c r="N1024" s="8" t="s">
        <v>120</v>
      </c>
      <c r="O1024" s="15" t="n">
        <f aca="false">H1024*12</f>
        <v>7500</v>
      </c>
      <c r="P1024" s="8" t="n">
        <f aca="false">MIN(100,ROUND(100*J1024/Assumptions!$B$8,0))</f>
        <v>93</v>
      </c>
      <c r="Q1024" s="8" t="n">
        <f aca="false">IF(L1024="",Assumptions!$B$9,L1024*10)</f>
        <v>100</v>
      </c>
      <c r="R1024" s="8" t="n">
        <f aca="false">IF(M1024&lt;=1,Assumptions!$B$12,IF(M1024&lt;=3,Assumptions!$B$13,IF(M1024&lt;=6,Assumptions!$B$14,Assumptions!$B$15)))</f>
        <v>100</v>
      </c>
      <c r="S1024" s="8" t="n">
        <f aca="false">IF(N1024="Completed On Time",Assumptions!$B$16,IF(N1024="Completed Late",Assumptions!$B$17,Assumptions!$B$18))</f>
        <v>100</v>
      </c>
      <c r="T1024" s="8" t="n">
        <f aca="false">IF(I1024=0,Assumptions!$B$20,IF(H1024&gt;I1024,Assumptions!$B$19,IF(H1024=I1024,Assumptions!$B$20,Assumptions!$B$21)))</f>
        <v>70</v>
      </c>
      <c r="U1024" s="8" t="n">
        <f aca="false">ROUND(P1024*Assumptions!$B$2+Q1024*Assumptions!$B$3+R1024*Assumptions!$B$4+S1024*Assumptions!$B$5+T1024*Assumptions!$B$6,0)</f>
        <v>92</v>
      </c>
      <c r="V1024" s="8" t="str">
        <f aca="false">IF(U1024&gt;=Assumptions!$B$10,"Healthy",IF(U1024&gt;=Assumptions!$B$11,"Needs Attention","High Risk"))</f>
        <v>Healthy</v>
      </c>
    </row>
    <row r="1025" customFormat="false" ht="15" hidden="false" customHeight="false" outlineLevel="0" collapsed="false">
      <c r="A1025" s="8" t="s">
        <v>2192</v>
      </c>
      <c r="B1025" s="8" t="s">
        <v>2193</v>
      </c>
      <c r="C1025" s="8" t="s">
        <v>51</v>
      </c>
      <c r="D1025" s="8" t="s">
        <v>326</v>
      </c>
      <c r="E1025" s="8" t="s">
        <v>117</v>
      </c>
      <c r="F1025" s="8" t="s">
        <v>143</v>
      </c>
      <c r="G1025" s="8" t="s">
        <v>140</v>
      </c>
      <c r="H1025" s="15" t="n">
        <v>625</v>
      </c>
      <c r="I1025" s="15" t="n">
        <v>625</v>
      </c>
      <c r="J1025" s="16" t="n">
        <v>0.8</v>
      </c>
      <c r="K1025" s="8" t="n">
        <v>9.7</v>
      </c>
      <c r="L1025" s="8" t="n">
        <v>8</v>
      </c>
      <c r="M1025" s="8" t="n">
        <v>4</v>
      </c>
      <c r="N1025" s="8" t="s">
        <v>120</v>
      </c>
      <c r="O1025" s="15" t="n">
        <f aca="false">H1025*12</f>
        <v>7500</v>
      </c>
      <c r="P1025" s="8" t="n">
        <f aca="false">MIN(100,ROUND(100*J1025/Assumptions!$B$8,0))</f>
        <v>89</v>
      </c>
      <c r="Q1025" s="8" t="n">
        <f aca="false">IF(L1025="",Assumptions!$B$9,L1025*10)</f>
        <v>80</v>
      </c>
      <c r="R1025" s="8" t="n">
        <f aca="false">IF(M1025&lt;=1,Assumptions!$B$12,IF(M1025&lt;=3,Assumptions!$B$13,IF(M1025&lt;=6,Assumptions!$B$14,Assumptions!$B$15)))</f>
        <v>50</v>
      </c>
      <c r="S1025" s="8" t="n">
        <f aca="false">IF(N1025="Completed On Time",Assumptions!$B$16,IF(N1025="Completed Late",Assumptions!$B$17,Assumptions!$B$18))</f>
        <v>100</v>
      </c>
      <c r="T1025" s="8" t="n">
        <f aca="false">IF(I1025=0,Assumptions!$B$20,IF(H1025&gt;I1025,Assumptions!$B$19,IF(H1025=I1025,Assumptions!$B$20,Assumptions!$B$21)))</f>
        <v>70</v>
      </c>
      <c r="U1025" s="8" t="n">
        <f aca="false">ROUND(P1025*Assumptions!$B$2+Q1025*Assumptions!$B$3+R1025*Assumptions!$B$4+S1025*Assumptions!$B$5+T1025*Assumptions!$B$6,0)</f>
        <v>79</v>
      </c>
      <c r="V1025" s="8" t="str">
        <f aca="false">IF(U1025&gt;=Assumptions!$B$10,"Healthy",IF(U1025&gt;=Assumptions!$B$11,"Needs Attention","High Risk"))</f>
        <v>Needs Attention</v>
      </c>
    </row>
    <row r="1026" customFormat="false" ht="15" hidden="false" customHeight="false" outlineLevel="0" collapsed="false">
      <c r="A1026" s="8" t="s">
        <v>2194</v>
      </c>
      <c r="B1026" s="8" t="s">
        <v>2195</v>
      </c>
      <c r="C1026" s="8" t="s">
        <v>51</v>
      </c>
      <c r="D1026" s="8" t="s">
        <v>2027</v>
      </c>
      <c r="E1026" s="8" t="s">
        <v>132</v>
      </c>
      <c r="F1026" s="8" t="s">
        <v>166</v>
      </c>
      <c r="G1026" s="8" t="s">
        <v>177</v>
      </c>
      <c r="H1026" s="15" t="n">
        <v>624</v>
      </c>
      <c r="I1026" s="15" t="n">
        <v>456</v>
      </c>
      <c r="J1026" s="16" t="n">
        <v>0.795</v>
      </c>
      <c r="K1026" s="8" t="n">
        <v>11.3</v>
      </c>
      <c r="L1026" s="8" t="n">
        <v>9</v>
      </c>
      <c r="M1026" s="8" t="n">
        <v>4</v>
      </c>
      <c r="N1026" s="8" t="s">
        <v>120</v>
      </c>
      <c r="O1026" s="15" t="n">
        <f aca="false">H1026*12</f>
        <v>7488</v>
      </c>
      <c r="P1026" s="8" t="n">
        <f aca="false">MIN(100,ROUND(100*J1026/Assumptions!$B$8,0))</f>
        <v>88</v>
      </c>
      <c r="Q1026" s="8" t="n">
        <f aca="false">IF(L1026="",Assumptions!$B$9,L1026*10)</f>
        <v>90</v>
      </c>
      <c r="R1026" s="8" t="n">
        <f aca="false">IF(M1026&lt;=1,Assumptions!$B$12,IF(M1026&lt;=3,Assumptions!$B$13,IF(M1026&lt;=6,Assumptions!$B$14,Assumptions!$B$15)))</f>
        <v>50</v>
      </c>
      <c r="S1026" s="8" t="n">
        <f aca="false">IF(N1026="Completed On Time",Assumptions!$B$16,IF(N1026="Completed Late",Assumptions!$B$17,Assumptions!$B$18))</f>
        <v>100</v>
      </c>
      <c r="T1026" s="8" t="n">
        <f aca="false">IF(I1026=0,Assumptions!$B$20,IF(H1026&gt;I1026,Assumptions!$B$19,IF(H1026=I1026,Assumptions!$B$20,Assumptions!$B$21)))</f>
        <v>100</v>
      </c>
      <c r="U1026" s="8" t="n">
        <f aca="false">ROUND(P1026*Assumptions!$B$2+Q1026*Assumptions!$B$3+R1026*Assumptions!$B$4+S1026*Assumptions!$B$5+T1026*Assumptions!$B$6,0)</f>
        <v>86</v>
      </c>
      <c r="V1026" s="8" t="str">
        <f aca="false">IF(U1026&gt;=Assumptions!$B$10,"Healthy",IF(U1026&gt;=Assumptions!$B$11,"Needs Attention","High Risk"))</f>
        <v>Healthy</v>
      </c>
    </row>
    <row r="1027" customFormat="false" ht="15" hidden="false" customHeight="false" outlineLevel="0" collapsed="false">
      <c r="A1027" s="8" t="s">
        <v>2196</v>
      </c>
      <c r="B1027" s="8" t="s">
        <v>2197</v>
      </c>
      <c r="C1027" s="8" t="s">
        <v>51</v>
      </c>
      <c r="D1027" s="8" t="s">
        <v>2027</v>
      </c>
      <c r="E1027" s="8" t="s">
        <v>123</v>
      </c>
      <c r="F1027" s="8" t="s">
        <v>133</v>
      </c>
      <c r="G1027" s="8" t="s">
        <v>177</v>
      </c>
      <c r="H1027" s="15" t="n">
        <v>624</v>
      </c>
      <c r="I1027" s="15" t="n">
        <v>480</v>
      </c>
      <c r="J1027" s="16" t="n">
        <v>0.859</v>
      </c>
      <c r="K1027" s="8" t="n">
        <v>11</v>
      </c>
      <c r="L1027" s="8" t="n">
        <v>10</v>
      </c>
      <c r="M1027" s="8" t="n">
        <v>2</v>
      </c>
      <c r="N1027" s="8" t="s">
        <v>120</v>
      </c>
      <c r="O1027" s="15" t="n">
        <f aca="false">H1027*12</f>
        <v>7488</v>
      </c>
      <c r="P1027" s="8" t="n">
        <f aca="false">MIN(100,ROUND(100*J1027/Assumptions!$B$8,0))</f>
        <v>95</v>
      </c>
      <c r="Q1027" s="8" t="n">
        <f aca="false">IF(L1027="",Assumptions!$B$9,L1027*10)</f>
        <v>100</v>
      </c>
      <c r="R1027" s="8" t="n">
        <f aca="false">IF(M1027&lt;=1,Assumptions!$B$12,IF(M1027&lt;=3,Assumptions!$B$13,IF(M1027&lt;=6,Assumptions!$B$14,Assumptions!$B$15)))</f>
        <v>75</v>
      </c>
      <c r="S1027" s="8" t="n">
        <f aca="false">IF(N1027="Completed On Time",Assumptions!$B$16,IF(N1027="Completed Late",Assumptions!$B$17,Assumptions!$B$18))</f>
        <v>100</v>
      </c>
      <c r="T1027" s="8" t="n">
        <f aca="false">IF(I1027=0,Assumptions!$B$20,IF(H1027&gt;I1027,Assumptions!$B$19,IF(H1027=I1027,Assumptions!$B$20,Assumptions!$B$21)))</f>
        <v>100</v>
      </c>
      <c r="U1027" s="8" t="n">
        <f aca="false">ROUND(P1027*Assumptions!$B$2+Q1027*Assumptions!$B$3+R1027*Assumptions!$B$4+S1027*Assumptions!$B$5+T1027*Assumptions!$B$6,0)</f>
        <v>95</v>
      </c>
      <c r="V1027" s="8" t="str">
        <f aca="false">IF(U1027&gt;=Assumptions!$B$10,"Healthy",IF(U1027&gt;=Assumptions!$B$11,"Needs Attention","High Risk"))</f>
        <v>Healthy</v>
      </c>
    </row>
    <row r="1028" customFormat="false" ht="15" hidden="false" customHeight="false" outlineLevel="0" collapsed="false">
      <c r="A1028" s="8" t="s">
        <v>2198</v>
      </c>
      <c r="B1028" s="8" t="s">
        <v>2199</v>
      </c>
      <c r="C1028" s="8" t="s">
        <v>51</v>
      </c>
      <c r="D1028" s="8" t="s">
        <v>2027</v>
      </c>
      <c r="E1028" s="8" t="s">
        <v>123</v>
      </c>
      <c r="F1028" s="8" t="s">
        <v>151</v>
      </c>
      <c r="G1028" s="8" t="s">
        <v>125</v>
      </c>
      <c r="H1028" s="15" t="n">
        <v>624</v>
      </c>
      <c r="I1028" s="15" t="n">
        <v>564</v>
      </c>
      <c r="J1028" s="16" t="n">
        <v>0.664</v>
      </c>
      <c r="K1028" s="8" t="n">
        <v>9.7</v>
      </c>
      <c r="L1028" s="8" t="n">
        <v>6</v>
      </c>
      <c r="M1028" s="8" t="n">
        <v>2</v>
      </c>
      <c r="N1028" s="8" t="s">
        <v>120</v>
      </c>
      <c r="O1028" s="15" t="n">
        <f aca="false">H1028*12</f>
        <v>7488</v>
      </c>
      <c r="P1028" s="8" t="n">
        <f aca="false">MIN(100,ROUND(100*J1028/Assumptions!$B$8,0))</f>
        <v>74</v>
      </c>
      <c r="Q1028" s="8" t="n">
        <f aca="false">IF(L1028="",Assumptions!$B$9,L1028*10)</f>
        <v>60</v>
      </c>
      <c r="R1028" s="8" t="n">
        <f aca="false">IF(M1028&lt;=1,Assumptions!$B$12,IF(M1028&lt;=3,Assumptions!$B$13,IF(M1028&lt;=6,Assumptions!$B$14,Assumptions!$B$15)))</f>
        <v>75</v>
      </c>
      <c r="S1028" s="8" t="n">
        <f aca="false">IF(N1028="Completed On Time",Assumptions!$B$16,IF(N1028="Completed Late",Assumptions!$B$17,Assumptions!$B$18))</f>
        <v>100</v>
      </c>
      <c r="T1028" s="8" t="n">
        <f aca="false">IF(I1028=0,Assumptions!$B$20,IF(H1028&gt;I1028,Assumptions!$B$19,IF(H1028=I1028,Assumptions!$B$20,Assumptions!$B$21)))</f>
        <v>100</v>
      </c>
      <c r="U1028" s="8" t="n">
        <f aca="false">ROUND(P1028*Assumptions!$B$2+Q1028*Assumptions!$B$3+R1028*Assumptions!$B$4+S1028*Assumptions!$B$5+T1028*Assumptions!$B$6,0)</f>
        <v>79</v>
      </c>
      <c r="V1028" s="8" t="str">
        <f aca="false">IF(U1028&gt;=Assumptions!$B$10,"Healthy",IF(U1028&gt;=Assumptions!$B$11,"Needs Attention","High Risk"))</f>
        <v>Needs Attention</v>
      </c>
    </row>
    <row r="1029" customFormat="false" ht="15" hidden="false" customHeight="false" outlineLevel="0" collapsed="false">
      <c r="A1029" s="8" t="s">
        <v>2200</v>
      </c>
      <c r="B1029" s="8" t="s">
        <v>2201</v>
      </c>
      <c r="C1029" s="8" t="s">
        <v>51</v>
      </c>
      <c r="D1029" s="8" t="s">
        <v>2027</v>
      </c>
      <c r="E1029" s="8" t="s">
        <v>123</v>
      </c>
      <c r="F1029" s="8" t="s">
        <v>118</v>
      </c>
      <c r="G1029" s="8" t="s">
        <v>204</v>
      </c>
      <c r="H1029" s="15" t="n">
        <v>612</v>
      </c>
      <c r="I1029" s="15" t="n">
        <v>612</v>
      </c>
      <c r="J1029" s="16" t="n">
        <v>0.889</v>
      </c>
      <c r="K1029" s="8" t="n">
        <v>11.7</v>
      </c>
      <c r="L1029" s="8" t="n">
        <v>8</v>
      </c>
      <c r="M1029" s="8" t="n">
        <v>0</v>
      </c>
      <c r="N1029" s="8" t="s">
        <v>120</v>
      </c>
      <c r="O1029" s="15" t="n">
        <f aca="false">H1029*12</f>
        <v>7344</v>
      </c>
      <c r="P1029" s="8" t="n">
        <f aca="false">MIN(100,ROUND(100*J1029/Assumptions!$B$8,0))</f>
        <v>99</v>
      </c>
      <c r="Q1029" s="8" t="n">
        <f aca="false">IF(L1029="",Assumptions!$B$9,L1029*10)</f>
        <v>80</v>
      </c>
      <c r="R1029" s="8" t="n">
        <f aca="false">IF(M1029&lt;=1,Assumptions!$B$12,IF(M1029&lt;=3,Assumptions!$B$13,IF(M1029&lt;=6,Assumptions!$B$14,Assumptions!$B$15)))</f>
        <v>100</v>
      </c>
      <c r="S1029" s="8" t="n">
        <f aca="false">IF(N1029="Completed On Time",Assumptions!$B$16,IF(N1029="Completed Late",Assumptions!$B$17,Assumptions!$B$18))</f>
        <v>100</v>
      </c>
      <c r="T1029" s="8" t="n">
        <f aca="false">IF(I1029=0,Assumptions!$B$20,IF(H1029&gt;I1029,Assumptions!$B$19,IF(H1029=I1029,Assumptions!$B$20,Assumptions!$B$21)))</f>
        <v>70</v>
      </c>
      <c r="U1029" s="8" t="n">
        <f aca="false">ROUND(P1029*Assumptions!$B$2+Q1029*Assumptions!$B$3+R1029*Assumptions!$B$4+S1029*Assumptions!$B$5+T1029*Assumptions!$B$6,0)</f>
        <v>90</v>
      </c>
      <c r="V1029" s="8" t="str">
        <f aca="false">IF(U1029&gt;=Assumptions!$B$10,"Healthy",IF(U1029&gt;=Assumptions!$B$11,"Needs Attention","High Risk"))</f>
        <v>Healthy</v>
      </c>
    </row>
    <row r="1030" customFormat="false" ht="15" hidden="false" customHeight="false" outlineLevel="0" collapsed="false">
      <c r="A1030" s="8" t="s">
        <v>2202</v>
      </c>
      <c r="B1030" s="8" t="s">
        <v>2203</v>
      </c>
      <c r="C1030" s="8" t="s">
        <v>51</v>
      </c>
      <c r="D1030" s="8" t="s">
        <v>2027</v>
      </c>
      <c r="E1030" s="8" t="s">
        <v>132</v>
      </c>
      <c r="F1030" s="8" t="s">
        <v>223</v>
      </c>
      <c r="G1030" s="8" t="s">
        <v>177</v>
      </c>
      <c r="H1030" s="15" t="n">
        <v>612</v>
      </c>
      <c r="I1030" s="15" t="n">
        <v>612</v>
      </c>
      <c r="J1030" s="16" t="n">
        <v>0.895</v>
      </c>
      <c r="K1030" s="8" t="n">
        <v>11.7</v>
      </c>
      <c r="L1030" s="8" t="n">
        <v>9</v>
      </c>
      <c r="M1030" s="8" t="n">
        <v>0</v>
      </c>
      <c r="N1030" s="8" t="s">
        <v>120</v>
      </c>
      <c r="O1030" s="15" t="n">
        <f aca="false">H1030*12</f>
        <v>7344</v>
      </c>
      <c r="P1030" s="8" t="n">
        <f aca="false">MIN(100,ROUND(100*J1030/Assumptions!$B$8,0))</f>
        <v>99</v>
      </c>
      <c r="Q1030" s="8" t="n">
        <f aca="false">IF(L1030="",Assumptions!$B$9,L1030*10)</f>
        <v>90</v>
      </c>
      <c r="R1030" s="8" t="n">
        <f aca="false">IF(M1030&lt;=1,Assumptions!$B$12,IF(M1030&lt;=3,Assumptions!$B$13,IF(M1030&lt;=6,Assumptions!$B$14,Assumptions!$B$15)))</f>
        <v>100</v>
      </c>
      <c r="S1030" s="8" t="n">
        <f aca="false">IF(N1030="Completed On Time",Assumptions!$B$16,IF(N1030="Completed Late",Assumptions!$B$17,Assumptions!$B$18))</f>
        <v>100</v>
      </c>
      <c r="T1030" s="8" t="n">
        <f aca="false">IF(I1030=0,Assumptions!$B$20,IF(H1030&gt;I1030,Assumptions!$B$19,IF(H1030=I1030,Assumptions!$B$20,Assumptions!$B$21)))</f>
        <v>70</v>
      </c>
      <c r="U1030" s="8" t="n">
        <f aca="false">ROUND(P1030*Assumptions!$B$2+Q1030*Assumptions!$B$3+R1030*Assumptions!$B$4+S1030*Assumptions!$B$5+T1030*Assumptions!$B$6,0)</f>
        <v>92</v>
      </c>
      <c r="V1030" s="8" t="str">
        <f aca="false">IF(U1030&gt;=Assumptions!$B$10,"Healthy",IF(U1030&gt;=Assumptions!$B$11,"Needs Attention","High Risk"))</f>
        <v>Healthy</v>
      </c>
    </row>
    <row r="1031" customFormat="false" ht="15" hidden="false" customHeight="false" outlineLevel="0" collapsed="false">
      <c r="A1031" s="8" t="s">
        <v>2204</v>
      </c>
      <c r="B1031" s="8" t="s">
        <v>2205</v>
      </c>
      <c r="C1031" s="8" t="s">
        <v>51</v>
      </c>
      <c r="D1031" s="8" t="s">
        <v>2027</v>
      </c>
      <c r="E1031" s="8" t="s">
        <v>123</v>
      </c>
      <c r="F1031" s="8" t="s">
        <v>190</v>
      </c>
      <c r="G1031" s="8" t="s">
        <v>159</v>
      </c>
      <c r="H1031" s="15" t="n">
        <v>612</v>
      </c>
      <c r="I1031" s="15" t="n">
        <v>612</v>
      </c>
      <c r="J1031" s="16" t="n">
        <v>0.549</v>
      </c>
      <c r="K1031" s="8" t="n">
        <v>8</v>
      </c>
      <c r="L1031" s="8" t="n">
        <v>7</v>
      </c>
      <c r="M1031" s="8" t="n">
        <v>0</v>
      </c>
      <c r="N1031" s="8" t="s">
        <v>120</v>
      </c>
      <c r="O1031" s="15" t="n">
        <f aca="false">H1031*12</f>
        <v>7344</v>
      </c>
      <c r="P1031" s="8" t="n">
        <f aca="false">MIN(100,ROUND(100*J1031/Assumptions!$B$8,0))</f>
        <v>61</v>
      </c>
      <c r="Q1031" s="8" t="n">
        <f aca="false">IF(L1031="",Assumptions!$B$9,L1031*10)</f>
        <v>70</v>
      </c>
      <c r="R1031" s="8" t="n">
        <f aca="false">IF(M1031&lt;=1,Assumptions!$B$12,IF(M1031&lt;=3,Assumptions!$B$13,IF(M1031&lt;=6,Assumptions!$B$14,Assumptions!$B$15)))</f>
        <v>100</v>
      </c>
      <c r="S1031" s="8" t="n">
        <f aca="false">IF(N1031="Completed On Time",Assumptions!$B$16,IF(N1031="Completed Late",Assumptions!$B$17,Assumptions!$B$18))</f>
        <v>100</v>
      </c>
      <c r="T1031" s="8" t="n">
        <f aca="false">IF(I1031=0,Assumptions!$B$20,IF(H1031&gt;I1031,Assumptions!$B$19,IF(H1031=I1031,Assumptions!$B$20,Assumptions!$B$21)))</f>
        <v>70</v>
      </c>
      <c r="U1031" s="8" t="n">
        <f aca="false">ROUND(P1031*Assumptions!$B$2+Q1031*Assumptions!$B$3+R1031*Assumptions!$B$4+S1031*Assumptions!$B$5+T1031*Assumptions!$B$6,0)</f>
        <v>74</v>
      </c>
      <c r="V1031" s="8" t="str">
        <f aca="false">IF(U1031&gt;=Assumptions!$B$10,"Healthy",IF(U1031&gt;=Assumptions!$B$11,"Needs Attention","High Risk"))</f>
        <v>Needs Attention</v>
      </c>
    </row>
    <row r="1032" customFormat="false" ht="15" hidden="false" customHeight="false" outlineLevel="0" collapsed="false">
      <c r="A1032" s="8" t="s">
        <v>2206</v>
      </c>
      <c r="B1032" s="8" t="s">
        <v>2207</v>
      </c>
      <c r="C1032" s="8" t="s">
        <v>51</v>
      </c>
      <c r="D1032" s="8" t="s">
        <v>2027</v>
      </c>
      <c r="E1032" s="8" t="s">
        <v>132</v>
      </c>
      <c r="F1032" s="8" t="s">
        <v>190</v>
      </c>
      <c r="G1032" s="8" t="s">
        <v>137</v>
      </c>
      <c r="H1032" s="15" t="n">
        <v>612</v>
      </c>
      <c r="I1032" s="15" t="n">
        <v>612</v>
      </c>
      <c r="J1032" s="16" t="n">
        <v>0.719</v>
      </c>
      <c r="K1032" s="8" t="n">
        <v>7.7</v>
      </c>
      <c r="L1032" s="8" t="n">
        <v>7</v>
      </c>
      <c r="M1032" s="8" t="n">
        <v>6</v>
      </c>
      <c r="N1032" s="8" t="s">
        <v>120</v>
      </c>
      <c r="O1032" s="15" t="n">
        <f aca="false">H1032*12</f>
        <v>7344</v>
      </c>
      <c r="P1032" s="8" t="n">
        <f aca="false">MIN(100,ROUND(100*J1032/Assumptions!$B$8,0))</f>
        <v>80</v>
      </c>
      <c r="Q1032" s="8" t="n">
        <f aca="false">IF(L1032="",Assumptions!$B$9,L1032*10)</f>
        <v>70</v>
      </c>
      <c r="R1032" s="8" t="n">
        <f aca="false">IF(M1032&lt;=1,Assumptions!$B$12,IF(M1032&lt;=3,Assumptions!$B$13,IF(M1032&lt;=6,Assumptions!$B$14,Assumptions!$B$15)))</f>
        <v>50</v>
      </c>
      <c r="S1032" s="8" t="n">
        <f aca="false">IF(N1032="Completed On Time",Assumptions!$B$16,IF(N1032="Completed Late",Assumptions!$B$17,Assumptions!$B$18))</f>
        <v>100</v>
      </c>
      <c r="T1032" s="8" t="n">
        <f aca="false">IF(I1032=0,Assumptions!$B$20,IF(H1032&gt;I1032,Assumptions!$B$19,IF(H1032=I1032,Assumptions!$B$20,Assumptions!$B$21)))</f>
        <v>70</v>
      </c>
      <c r="U1032" s="8" t="n">
        <f aca="false">ROUND(P1032*Assumptions!$B$2+Q1032*Assumptions!$B$3+R1032*Assumptions!$B$4+S1032*Assumptions!$B$5+T1032*Assumptions!$B$6,0)</f>
        <v>74</v>
      </c>
      <c r="V1032" s="8" t="str">
        <f aca="false">IF(U1032&gt;=Assumptions!$B$10,"Healthy",IF(U1032&gt;=Assumptions!$B$11,"Needs Attention","High Risk"))</f>
        <v>Needs Attention</v>
      </c>
    </row>
    <row r="1033" customFormat="false" ht="15" hidden="false" customHeight="false" outlineLevel="0" collapsed="false">
      <c r="A1033" s="8" t="s">
        <v>2208</v>
      </c>
      <c r="B1033" s="8" t="s">
        <v>2209</v>
      </c>
      <c r="C1033" s="8" t="s">
        <v>51</v>
      </c>
      <c r="D1033" s="8" t="s">
        <v>326</v>
      </c>
      <c r="E1033" s="8" t="s">
        <v>132</v>
      </c>
      <c r="F1033" s="8" t="s">
        <v>133</v>
      </c>
      <c r="G1033" s="8" t="s">
        <v>204</v>
      </c>
      <c r="H1033" s="15" t="n">
        <v>600</v>
      </c>
      <c r="I1033" s="15" t="n">
        <v>600</v>
      </c>
      <c r="J1033" s="16" t="n">
        <v>0.958</v>
      </c>
      <c r="K1033" s="8" t="n">
        <v>10.7</v>
      </c>
      <c r="L1033" s="8" t="n">
        <v>10</v>
      </c>
      <c r="M1033" s="8" t="n">
        <v>1</v>
      </c>
      <c r="N1033" s="8" t="s">
        <v>120</v>
      </c>
      <c r="O1033" s="15" t="n">
        <f aca="false">H1033*12</f>
        <v>7200</v>
      </c>
      <c r="P1033" s="8" t="n">
        <f aca="false">MIN(100,ROUND(100*J1033/Assumptions!$B$8,0))</f>
        <v>100</v>
      </c>
      <c r="Q1033" s="8" t="n">
        <f aca="false">IF(L1033="",Assumptions!$B$9,L1033*10)</f>
        <v>100</v>
      </c>
      <c r="R1033" s="8" t="n">
        <f aca="false">IF(M1033&lt;=1,Assumptions!$B$12,IF(M1033&lt;=3,Assumptions!$B$13,IF(M1033&lt;=6,Assumptions!$B$14,Assumptions!$B$15)))</f>
        <v>100</v>
      </c>
      <c r="S1033" s="8" t="n">
        <f aca="false">IF(N1033="Completed On Time",Assumptions!$B$16,IF(N1033="Completed Late",Assumptions!$B$17,Assumptions!$B$18))</f>
        <v>100</v>
      </c>
      <c r="T1033" s="8" t="n">
        <f aca="false">IF(I1033=0,Assumptions!$B$20,IF(H1033&gt;I1033,Assumptions!$B$19,IF(H1033=I1033,Assumptions!$B$20,Assumptions!$B$21)))</f>
        <v>70</v>
      </c>
      <c r="U1033" s="8" t="n">
        <f aca="false">ROUND(P1033*Assumptions!$B$2+Q1033*Assumptions!$B$3+R1033*Assumptions!$B$4+S1033*Assumptions!$B$5+T1033*Assumptions!$B$6,0)</f>
        <v>94</v>
      </c>
      <c r="V1033" s="8" t="str">
        <f aca="false">IF(U1033&gt;=Assumptions!$B$10,"Healthy",IF(U1033&gt;=Assumptions!$B$11,"Needs Attention","High Risk"))</f>
        <v>Healthy</v>
      </c>
    </row>
    <row r="1034" customFormat="false" ht="15" hidden="false" customHeight="false" outlineLevel="0" collapsed="false">
      <c r="A1034" s="8" t="s">
        <v>2210</v>
      </c>
      <c r="B1034" s="8" t="s">
        <v>2211</v>
      </c>
      <c r="C1034" s="8" t="s">
        <v>51</v>
      </c>
      <c r="D1034" s="8" t="s">
        <v>326</v>
      </c>
      <c r="E1034" s="8" t="s">
        <v>132</v>
      </c>
      <c r="F1034" s="8" t="s">
        <v>124</v>
      </c>
      <c r="G1034" s="8" t="s">
        <v>185</v>
      </c>
      <c r="H1034" s="15" t="n">
        <v>600</v>
      </c>
      <c r="I1034" s="15" t="n">
        <v>600</v>
      </c>
      <c r="J1034" s="16" t="n">
        <v>0.639</v>
      </c>
      <c r="K1034" s="8" t="n">
        <v>6</v>
      </c>
      <c r="L1034" s="8" t="n">
        <v>6</v>
      </c>
      <c r="M1034" s="8" t="n">
        <v>4</v>
      </c>
      <c r="N1034" s="8" t="s">
        <v>120</v>
      </c>
      <c r="O1034" s="15" t="n">
        <f aca="false">H1034*12</f>
        <v>7200</v>
      </c>
      <c r="P1034" s="8" t="n">
        <f aca="false">MIN(100,ROUND(100*J1034/Assumptions!$B$8,0))</f>
        <v>71</v>
      </c>
      <c r="Q1034" s="8" t="n">
        <f aca="false">IF(L1034="",Assumptions!$B$9,L1034*10)</f>
        <v>60</v>
      </c>
      <c r="R1034" s="8" t="n">
        <f aca="false">IF(M1034&lt;=1,Assumptions!$B$12,IF(M1034&lt;=3,Assumptions!$B$13,IF(M1034&lt;=6,Assumptions!$B$14,Assumptions!$B$15)))</f>
        <v>50</v>
      </c>
      <c r="S1034" s="8" t="n">
        <f aca="false">IF(N1034="Completed On Time",Assumptions!$B$16,IF(N1034="Completed Late",Assumptions!$B$17,Assumptions!$B$18))</f>
        <v>100</v>
      </c>
      <c r="T1034" s="8" t="n">
        <f aca="false">IF(I1034=0,Assumptions!$B$20,IF(H1034&gt;I1034,Assumptions!$B$19,IF(H1034=I1034,Assumptions!$B$20,Assumptions!$B$21)))</f>
        <v>70</v>
      </c>
      <c r="U1034" s="8" t="n">
        <f aca="false">ROUND(P1034*Assumptions!$B$2+Q1034*Assumptions!$B$3+R1034*Assumptions!$B$4+S1034*Assumptions!$B$5+T1034*Assumptions!$B$6,0)</f>
        <v>68</v>
      </c>
      <c r="V1034" s="8" t="str">
        <f aca="false">IF(U1034&gt;=Assumptions!$B$10,"Healthy",IF(U1034&gt;=Assumptions!$B$11,"Needs Attention","High Risk"))</f>
        <v>Needs Attention</v>
      </c>
    </row>
    <row r="1035" customFormat="false" ht="15" hidden="false" customHeight="false" outlineLevel="0" collapsed="false">
      <c r="A1035" s="8" t="s">
        <v>2212</v>
      </c>
      <c r="B1035" s="8" t="s">
        <v>2213</v>
      </c>
      <c r="C1035" s="8" t="s">
        <v>51</v>
      </c>
      <c r="D1035" s="8" t="s">
        <v>326</v>
      </c>
      <c r="E1035" s="8" t="s">
        <v>123</v>
      </c>
      <c r="F1035" s="8" t="s">
        <v>133</v>
      </c>
      <c r="G1035" s="8" t="s">
        <v>137</v>
      </c>
      <c r="H1035" s="15" t="n">
        <v>600</v>
      </c>
      <c r="I1035" s="15" t="n">
        <v>600</v>
      </c>
      <c r="J1035" s="16" t="n">
        <v>0.597</v>
      </c>
      <c r="K1035" s="8" t="n">
        <v>7.7</v>
      </c>
      <c r="L1035" s="8" t="n">
        <v>6</v>
      </c>
      <c r="M1035" s="8" t="n">
        <v>2</v>
      </c>
      <c r="N1035" s="8" t="s">
        <v>120</v>
      </c>
      <c r="O1035" s="15" t="n">
        <f aca="false">H1035*12</f>
        <v>7200</v>
      </c>
      <c r="P1035" s="8" t="n">
        <f aca="false">MIN(100,ROUND(100*J1035/Assumptions!$B$8,0))</f>
        <v>66</v>
      </c>
      <c r="Q1035" s="8" t="n">
        <f aca="false">IF(L1035="",Assumptions!$B$9,L1035*10)</f>
        <v>60</v>
      </c>
      <c r="R1035" s="8" t="n">
        <f aca="false">IF(M1035&lt;=1,Assumptions!$B$12,IF(M1035&lt;=3,Assumptions!$B$13,IF(M1035&lt;=6,Assumptions!$B$14,Assumptions!$B$15)))</f>
        <v>75</v>
      </c>
      <c r="S1035" s="8" t="n">
        <f aca="false">IF(N1035="Completed On Time",Assumptions!$B$16,IF(N1035="Completed Late",Assumptions!$B$17,Assumptions!$B$18))</f>
        <v>100</v>
      </c>
      <c r="T1035" s="8" t="n">
        <f aca="false">IF(I1035=0,Assumptions!$B$20,IF(H1035&gt;I1035,Assumptions!$B$19,IF(H1035=I1035,Assumptions!$B$20,Assumptions!$B$21)))</f>
        <v>70</v>
      </c>
      <c r="U1035" s="8" t="n">
        <f aca="false">ROUND(P1035*Assumptions!$B$2+Q1035*Assumptions!$B$3+R1035*Assumptions!$B$4+S1035*Assumptions!$B$5+T1035*Assumptions!$B$6,0)</f>
        <v>70</v>
      </c>
      <c r="V1035" s="8" t="str">
        <f aca="false">IF(U1035&gt;=Assumptions!$B$10,"Healthy",IF(U1035&gt;=Assumptions!$B$11,"Needs Attention","High Risk"))</f>
        <v>Needs Attention</v>
      </c>
    </row>
    <row r="1036" customFormat="false" ht="15" hidden="false" customHeight="false" outlineLevel="0" collapsed="false">
      <c r="A1036" s="8" t="s">
        <v>2214</v>
      </c>
      <c r="B1036" s="8" t="s">
        <v>2215</v>
      </c>
      <c r="C1036" s="8" t="s">
        <v>51</v>
      </c>
      <c r="D1036" s="8" t="s">
        <v>326</v>
      </c>
      <c r="E1036" s="8" t="s">
        <v>123</v>
      </c>
      <c r="F1036" s="8" t="s">
        <v>133</v>
      </c>
      <c r="G1036" s="8" t="s">
        <v>177</v>
      </c>
      <c r="H1036" s="15" t="n">
        <v>600</v>
      </c>
      <c r="I1036" s="15" t="n">
        <v>600</v>
      </c>
      <c r="J1036" s="16" t="n">
        <v>0.736</v>
      </c>
      <c r="K1036" s="8" t="n">
        <v>8.7</v>
      </c>
      <c r="L1036" s="8" t="n">
        <v>7</v>
      </c>
      <c r="M1036" s="8" t="n">
        <v>4</v>
      </c>
      <c r="N1036" s="8" t="s">
        <v>120</v>
      </c>
      <c r="O1036" s="15" t="n">
        <f aca="false">H1036*12</f>
        <v>7200</v>
      </c>
      <c r="P1036" s="8" t="n">
        <f aca="false">MIN(100,ROUND(100*J1036/Assumptions!$B$8,0))</f>
        <v>82</v>
      </c>
      <c r="Q1036" s="8" t="n">
        <f aca="false">IF(L1036="",Assumptions!$B$9,L1036*10)</f>
        <v>70</v>
      </c>
      <c r="R1036" s="8" t="n">
        <f aca="false">IF(M1036&lt;=1,Assumptions!$B$12,IF(M1036&lt;=3,Assumptions!$B$13,IF(M1036&lt;=6,Assumptions!$B$14,Assumptions!$B$15)))</f>
        <v>50</v>
      </c>
      <c r="S1036" s="8" t="n">
        <f aca="false">IF(N1036="Completed On Time",Assumptions!$B$16,IF(N1036="Completed Late",Assumptions!$B$17,Assumptions!$B$18))</f>
        <v>100</v>
      </c>
      <c r="T1036" s="8" t="n">
        <f aca="false">IF(I1036=0,Assumptions!$B$20,IF(H1036&gt;I1036,Assumptions!$B$19,IF(H1036=I1036,Assumptions!$B$20,Assumptions!$B$21)))</f>
        <v>70</v>
      </c>
      <c r="U1036" s="8" t="n">
        <f aca="false">ROUND(P1036*Assumptions!$B$2+Q1036*Assumptions!$B$3+R1036*Assumptions!$B$4+S1036*Assumptions!$B$5+T1036*Assumptions!$B$6,0)</f>
        <v>74</v>
      </c>
      <c r="V1036" s="8" t="str">
        <f aca="false">IF(U1036&gt;=Assumptions!$B$10,"Healthy",IF(U1036&gt;=Assumptions!$B$11,"Needs Attention","High Risk"))</f>
        <v>Needs Attention</v>
      </c>
    </row>
    <row r="1037" customFormat="false" ht="15" hidden="false" customHeight="false" outlineLevel="0" collapsed="false">
      <c r="A1037" s="8" t="s">
        <v>2216</v>
      </c>
      <c r="B1037" s="8" t="s">
        <v>2217</v>
      </c>
      <c r="C1037" s="8" t="s">
        <v>51</v>
      </c>
      <c r="D1037" s="8" t="s">
        <v>326</v>
      </c>
      <c r="E1037" s="8" t="s">
        <v>132</v>
      </c>
      <c r="F1037" s="8" t="s">
        <v>133</v>
      </c>
      <c r="G1037" s="8" t="s">
        <v>137</v>
      </c>
      <c r="H1037" s="15" t="n">
        <v>600</v>
      </c>
      <c r="I1037" s="15" t="n">
        <v>600</v>
      </c>
      <c r="J1037" s="16" t="n">
        <v>0.583</v>
      </c>
      <c r="K1037" s="8" t="n">
        <v>5</v>
      </c>
      <c r="L1037" s="8" t="n">
        <v>7</v>
      </c>
      <c r="M1037" s="8" t="n">
        <v>2</v>
      </c>
      <c r="N1037" s="8" t="s">
        <v>148</v>
      </c>
      <c r="O1037" s="15" t="n">
        <f aca="false">H1037*12</f>
        <v>7200</v>
      </c>
      <c r="P1037" s="8" t="n">
        <f aca="false">MIN(100,ROUND(100*J1037/Assumptions!$B$8,0))</f>
        <v>65</v>
      </c>
      <c r="Q1037" s="8" t="n">
        <f aca="false">IF(L1037="",Assumptions!$B$9,L1037*10)</f>
        <v>70</v>
      </c>
      <c r="R1037" s="8" t="n">
        <f aca="false">IF(M1037&lt;=1,Assumptions!$B$12,IF(M1037&lt;=3,Assumptions!$B$13,IF(M1037&lt;=6,Assumptions!$B$14,Assumptions!$B$15)))</f>
        <v>75</v>
      </c>
      <c r="S1037" s="8" t="n">
        <f aca="false">IF(N1037="Completed On Time",Assumptions!$B$16,IF(N1037="Completed Late",Assumptions!$B$17,Assumptions!$B$18))</f>
        <v>60</v>
      </c>
      <c r="T1037" s="8" t="n">
        <f aca="false">IF(I1037=0,Assumptions!$B$20,IF(H1037&gt;I1037,Assumptions!$B$19,IF(H1037=I1037,Assumptions!$B$20,Assumptions!$B$21)))</f>
        <v>70</v>
      </c>
      <c r="U1037" s="8" t="n">
        <f aca="false">ROUND(P1037*Assumptions!$B$2+Q1037*Assumptions!$B$3+R1037*Assumptions!$B$4+S1037*Assumptions!$B$5+T1037*Assumptions!$B$6,0)</f>
        <v>68</v>
      </c>
      <c r="V1037" s="8" t="str">
        <f aca="false">IF(U1037&gt;=Assumptions!$B$10,"Healthy",IF(U1037&gt;=Assumptions!$B$11,"Needs Attention","High Risk"))</f>
        <v>Needs Attention</v>
      </c>
    </row>
    <row r="1038" customFormat="false" ht="15" hidden="false" customHeight="false" outlineLevel="0" collapsed="false">
      <c r="A1038" s="8" t="s">
        <v>2218</v>
      </c>
      <c r="B1038" s="8" t="s">
        <v>2219</v>
      </c>
      <c r="C1038" s="8" t="s">
        <v>51</v>
      </c>
      <c r="D1038" s="8" t="s">
        <v>326</v>
      </c>
      <c r="E1038" s="8" t="s">
        <v>123</v>
      </c>
      <c r="F1038" s="8" t="s">
        <v>151</v>
      </c>
      <c r="G1038" s="8" t="s">
        <v>147</v>
      </c>
      <c r="H1038" s="15" t="n">
        <v>600</v>
      </c>
      <c r="I1038" s="15" t="n">
        <v>600</v>
      </c>
      <c r="J1038" s="16" t="n">
        <v>0.792</v>
      </c>
      <c r="K1038" s="8" t="n">
        <v>8</v>
      </c>
      <c r="L1038" s="8" t="n">
        <v>10</v>
      </c>
      <c r="M1038" s="8" t="n">
        <v>3</v>
      </c>
      <c r="N1038" s="8" t="s">
        <v>120</v>
      </c>
      <c r="O1038" s="15" t="n">
        <f aca="false">H1038*12</f>
        <v>7200</v>
      </c>
      <c r="P1038" s="8" t="n">
        <f aca="false">MIN(100,ROUND(100*J1038/Assumptions!$B$8,0))</f>
        <v>88</v>
      </c>
      <c r="Q1038" s="8" t="n">
        <f aca="false">IF(L1038="",Assumptions!$B$9,L1038*10)</f>
        <v>100</v>
      </c>
      <c r="R1038" s="8" t="n">
        <f aca="false">IF(M1038&lt;=1,Assumptions!$B$12,IF(M1038&lt;=3,Assumptions!$B$13,IF(M1038&lt;=6,Assumptions!$B$14,Assumptions!$B$15)))</f>
        <v>75</v>
      </c>
      <c r="S1038" s="8" t="n">
        <f aca="false">IF(N1038="Completed On Time",Assumptions!$B$16,IF(N1038="Completed Late",Assumptions!$B$17,Assumptions!$B$18))</f>
        <v>100</v>
      </c>
      <c r="T1038" s="8" t="n">
        <f aca="false">IF(I1038=0,Assumptions!$B$20,IF(H1038&gt;I1038,Assumptions!$B$19,IF(H1038=I1038,Assumptions!$B$20,Assumptions!$B$21)))</f>
        <v>70</v>
      </c>
      <c r="U1038" s="8" t="n">
        <f aca="false">ROUND(P1038*Assumptions!$B$2+Q1038*Assumptions!$B$3+R1038*Assumptions!$B$4+S1038*Assumptions!$B$5+T1038*Assumptions!$B$6,0)</f>
        <v>86</v>
      </c>
      <c r="V1038" s="8" t="str">
        <f aca="false">IF(U1038&gt;=Assumptions!$B$10,"Healthy",IF(U1038&gt;=Assumptions!$B$11,"Needs Attention","High Risk"))</f>
        <v>Healthy</v>
      </c>
    </row>
    <row r="1039" customFormat="false" ht="15" hidden="false" customHeight="false" outlineLevel="0" collapsed="false">
      <c r="A1039" s="8" t="s">
        <v>2220</v>
      </c>
      <c r="B1039" s="8" t="s">
        <v>2221</v>
      </c>
      <c r="C1039" s="8" t="s">
        <v>51</v>
      </c>
      <c r="D1039" s="8" t="s">
        <v>326</v>
      </c>
      <c r="E1039" s="8" t="s">
        <v>123</v>
      </c>
      <c r="F1039" s="8" t="s">
        <v>154</v>
      </c>
      <c r="G1039" s="8" t="s">
        <v>177</v>
      </c>
      <c r="H1039" s="15" t="n">
        <v>600</v>
      </c>
      <c r="I1039" s="15" t="n">
        <v>600</v>
      </c>
      <c r="J1039" s="16" t="n">
        <v>0.764</v>
      </c>
      <c r="K1039" s="8" t="n">
        <v>7</v>
      </c>
      <c r="L1039" s="8" t="n">
        <v>6</v>
      </c>
      <c r="M1039" s="8" t="n">
        <v>6</v>
      </c>
      <c r="N1039" s="8" t="s">
        <v>120</v>
      </c>
      <c r="O1039" s="15" t="n">
        <f aca="false">H1039*12</f>
        <v>7200</v>
      </c>
      <c r="P1039" s="8" t="n">
        <f aca="false">MIN(100,ROUND(100*J1039/Assumptions!$B$8,0))</f>
        <v>85</v>
      </c>
      <c r="Q1039" s="8" t="n">
        <f aca="false">IF(L1039="",Assumptions!$B$9,L1039*10)</f>
        <v>60</v>
      </c>
      <c r="R1039" s="8" t="n">
        <f aca="false">IF(M1039&lt;=1,Assumptions!$B$12,IF(M1039&lt;=3,Assumptions!$B$13,IF(M1039&lt;=6,Assumptions!$B$14,Assumptions!$B$15)))</f>
        <v>50</v>
      </c>
      <c r="S1039" s="8" t="n">
        <f aca="false">IF(N1039="Completed On Time",Assumptions!$B$16,IF(N1039="Completed Late",Assumptions!$B$17,Assumptions!$B$18))</f>
        <v>100</v>
      </c>
      <c r="T1039" s="8" t="n">
        <f aca="false">IF(I1039=0,Assumptions!$B$20,IF(H1039&gt;I1039,Assumptions!$B$19,IF(H1039=I1039,Assumptions!$B$20,Assumptions!$B$21)))</f>
        <v>70</v>
      </c>
      <c r="U1039" s="8" t="n">
        <f aca="false">ROUND(P1039*Assumptions!$B$2+Q1039*Assumptions!$B$3+R1039*Assumptions!$B$4+S1039*Assumptions!$B$5+T1039*Assumptions!$B$6,0)</f>
        <v>73</v>
      </c>
      <c r="V1039" s="8" t="str">
        <f aca="false">IF(U1039&gt;=Assumptions!$B$10,"Healthy",IF(U1039&gt;=Assumptions!$B$11,"Needs Attention","High Risk"))</f>
        <v>Needs Attention</v>
      </c>
    </row>
    <row r="1040" customFormat="false" ht="15" hidden="false" customHeight="false" outlineLevel="0" collapsed="false">
      <c r="A1040" s="8" t="s">
        <v>2222</v>
      </c>
      <c r="B1040" s="8" t="s">
        <v>2223</v>
      </c>
      <c r="C1040" s="8" t="s">
        <v>51</v>
      </c>
      <c r="D1040" s="8" t="s">
        <v>326</v>
      </c>
      <c r="E1040" s="8" t="s">
        <v>117</v>
      </c>
      <c r="F1040" s="8" t="s">
        <v>223</v>
      </c>
      <c r="G1040" s="8" t="s">
        <v>204</v>
      </c>
      <c r="H1040" s="15" t="n">
        <v>600</v>
      </c>
      <c r="I1040" s="15" t="n">
        <v>600</v>
      </c>
      <c r="J1040" s="16" t="n">
        <v>0.889</v>
      </c>
      <c r="K1040" s="8" t="n">
        <v>9.7</v>
      </c>
      <c r="L1040" s="8" t="n">
        <v>10</v>
      </c>
      <c r="M1040" s="8" t="n">
        <v>0</v>
      </c>
      <c r="N1040" s="8" t="s">
        <v>120</v>
      </c>
      <c r="O1040" s="15" t="n">
        <f aca="false">H1040*12</f>
        <v>7200</v>
      </c>
      <c r="P1040" s="8" t="n">
        <f aca="false">MIN(100,ROUND(100*J1040/Assumptions!$B$8,0))</f>
        <v>99</v>
      </c>
      <c r="Q1040" s="8" t="n">
        <f aca="false">IF(L1040="",Assumptions!$B$9,L1040*10)</f>
        <v>100</v>
      </c>
      <c r="R1040" s="8" t="n">
        <f aca="false">IF(M1040&lt;=1,Assumptions!$B$12,IF(M1040&lt;=3,Assumptions!$B$13,IF(M1040&lt;=6,Assumptions!$B$14,Assumptions!$B$15)))</f>
        <v>100</v>
      </c>
      <c r="S1040" s="8" t="n">
        <f aca="false">IF(N1040="Completed On Time",Assumptions!$B$16,IF(N1040="Completed Late",Assumptions!$B$17,Assumptions!$B$18))</f>
        <v>100</v>
      </c>
      <c r="T1040" s="8" t="n">
        <f aca="false">IF(I1040=0,Assumptions!$B$20,IF(H1040&gt;I1040,Assumptions!$B$19,IF(H1040=I1040,Assumptions!$B$20,Assumptions!$B$21)))</f>
        <v>70</v>
      </c>
      <c r="U1040" s="8" t="n">
        <f aca="false">ROUND(P1040*Assumptions!$B$2+Q1040*Assumptions!$B$3+R1040*Assumptions!$B$4+S1040*Assumptions!$B$5+T1040*Assumptions!$B$6,0)</f>
        <v>94</v>
      </c>
      <c r="V1040" s="8" t="str">
        <f aca="false">IF(U1040&gt;=Assumptions!$B$10,"Healthy",IF(U1040&gt;=Assumptions!$B$11,"Needs Attention","High Risk"))</f>
        <v>Healthy</v>
      </c>
    </row>
    <row r="1041" customFormat="false" ht="15" hidden="false" customHeight="false" outlineLevel="0" collapsed="false">
      <c r="A1041" s="8" t="s">
        <v>2224</v>
      </c>
      <c r="B1041" s="8" t="s">
        <v>2225</v>
      </c>
      <c r="C1041" s="8" t="s">
        <v>51</v>
      </c>
      <c r="D1041" s="8" t="s">
        <v>326</v>
      </c>
      <c r="E1041" s="8" t="s">
        <v>117</v>
      </c>
      <c r="F1041" s="8" t="s">
        <v>166</v>
      </c>
      <c r="G1041" s="8" t="s">
        <v>159</v>
      </c>
      <c r="H1041" s="15" t="n">
        <v>600</v>
      </c>
      <c r="I1041" s="15" t="n">
        <v>600</v>
      </c>
      <c r="J1041" s="16" t="n">
        <v>0.542</v>
      </c>
      <c r="K1041" s="8" t="n">
        <v>5.7</v>
      </c>
      <c r="L1041" s="8" t="n">
        <v>7</v>
      </c>
      <c r="M1041" s="8" t="n">
        <v>1</v>
      </c>
      <c r="N1041" s="8" t="s">
        <v>120</v>
      </c>
      <c r="O1041" s="15" t="n">
        <f aca="false">H1041*12</f>
        <v>7200</v>
      </c>
      <c r="P1041" s="8" t="n">
        <f aca="false">MIN(100,ROUND(100*J1041/Assumptions!$B$8,0))</f>
        <v>60</v>
      </c>
      <c r="Q1041" s="8" t="n">
        <f aca="false">IF(L1041="",Assumptions!$B$9,L1041*10)</f>
        <v>70</v>
      </c>
      <c r="R1041" s="8" t="n">
        <f aca="false">IF(M1041&lt;=1,Assumptions!$B$12,IF(M1041&lt;=3,Assumptions!$B$13,IF(M1041&lt;=6,Assumptions!$B$14,Assumptions!$B$15)))</f>
        <v>100</v>
      </c>
      <c r="S1041" s="8" t="n">
        <f aca="false">IF(N1041="Completed On Time",Assumptions!$B$16,IF(N1041="Completed Late",Assumptions!$B$17,Assumptions!$B$18))</f>
        <v>100</v>
      </c>
      <c r="T1041" s="8" t="n">
        <f aca="false">IF(I1041=0,Assumptions!$B$20,IF(H1041&gt;I1041,Assumptions!$B$19,IF(H1041=I1041,Assumptions!$B$20,Assumptions!$B$21)))</f>
        <v>70</v>
      </c>
      <c r="U1041" s="8" t="n">
        <f aca="false">ROUND(P1041*Assumptions!$B$2+Q1041*Assumptions!$B$3+R1041*Assumptions!$B$4+S1041*Assumptions!$B$5+T1041*Assumptions!$B$6,0)</f>
        <v>74</v>
      </c>
      <c r="V1041" s="8" t="str">
        <f aca="false">IF(U1041&gt;=Assumptions!$B$10,"Healthy",IF(U1041&gt;=Assumptions!$B$11,"Needs Attention","High Risk"))</f>
        <v>Needs Attention</v>
      </c>
    </row>
    <row r="1042" customFormat="false" ht="15" hidden="false" customHeight="false" outlineLevel="0" collapsed="false">
      <c r="A1042" s="8" t="s">
        <v>2226</v>
      </c>
      <c r="B1042" s="8" t="s">
        <v>2227</v>
      </c>
      <c r="C1042" s="8" t="s">
        <v>51</v>
      </c>
      <c r="D1042" s="8" t="s">
        <v>326</v>
      </c>
      <c r="E1042" s="8" t="s">
        <v>123</v>
      </c>
      <c r="F1042" s="8" t="s">
        <v>223</v>
      </c>
      <c r="G1042" s="8" t="s">
        <v>159</v>
      </c>
      <c r="H1042" s="15" t="n">
        <v>600</v>
      </c>
      <c r="I1042" s="15" t="n">
        <v>600</v>
      </c>
      <c r="J1042" s="16" t="n">
        <v>0.847</v>
      </c>
      <c r="K1042" s="8" t="n">
        <v>9.7</v>
      </c>
      <c r="L1042" s="8" t="n">
        <v>10</v>
      </c>
      <c r="M1042" s="8" t="n">
        <v>1</v>
      </c>
      <c r="N1042" s="8" t="s">
        <v>120</v>
      </c>
      <c r="O1042" s="15" t="n">
        <f aca="false">H1042*12</f>
        <v>7200</v>
      </c>
      <c r="P1042" s="8" t="n">
        <f aca="false">MIN(100,ROUND(100*J1042/Assumptions!$B$8,0))</f>
        <v>94</v>
      </c>
      <c r="Q1042" s="8" t="n">
        <f aca="false">IF(L1042="",Assumptions!$B$9,L1042*10)</f>
        <v>100</v>
      </c>
      <c r="R1042" s="8" t="n">
        <f aca="false">IF(M1042&lt;=1,Assumptions!$B$12,IF(M1042&lt;=3,Assumptions!$B$13,IF(M1042&lt;=6,Assumptions!$B$14,Assumptions!$B$15)))</f>
        <v>100</v>
      </c>
      <c r="S1042" s="8" t="n">
        <f aca="false">IF(N1042="Completed On Time",Assumptions!$B$16,IF(N1042="Completed Late",Assumptions!$B$17,Assumptions!$B$18))</f>
        <v>100</v>
      </c>
      <c r="T1042" s="8" t="n">
        <f aca="false">IF(I1042=0,Assumptions!$B$20,IF(H1042&gt;I1042,Assumptions!$B$19,IF(H1042=I1042,Assumptions!$B$20,Assumptions!$B$21)))</f>
        <v>70</v>
      </c>
      <c r="U1042" s="8" t="n">
        <f aca="false">ROUND(P1042*Assumptions!$B$2+Q1042*Assumptions!$B$3+R1042*Assumptions!$B$4+S1042*Assumptions!$B$5+T1042*Assumptions!$B$6,0)</f>
        <v>92</v>
      </c>
      <c r="V1042" s="8" t="str">
        <f aca="false">IF(U1042&gt;=Assumptions!$B$10,"Healthy",IF(U1042&gt;=Assumptions!$B$11,"Needs Attention","High Risk"))</f>
        <v>Healthy</v>
      </c>
    </row>
    <row r="1043" customFormat="false" ht="15" hidden="false" customHeight="false" outlineLevel="0" collapsed="false">
      <c r="A1043" s="8" t="s">
        <v>2228</v>
      </c>
      <c r="B1043" s="8" t="s">
        <v>2229</v>
      </c>
      <c r="C1043" s="8" t="s">
        <v>51</v>
      </c>
      <c r="D1043" s="8" t="s">
        <v>326</v>
      </c>
      <c r="E1043" s="8" t="s">
        <v>123</v>
      </c>
      <c r="F1043" s="8" t="s">
        <v>133</v>
      </c>
      <c r="G1043" s="8" t="s">
        <v>144</v>
      </c>
      <c r="H1043" s="15" t="n">
        <v>600</v>
      </c>
      <c r="I1043" s="15" t="n">
        <v>600</v>
      </c>
      <c r="J1043" s="16" t="n">
        <v>0.847</v>
      </c>
      <c r="K1043" s="8" t="n">
        <v>10</v>
      </c>
      <c r="L1043" s="8" t="n">
        <v>10</v>
      </c>
      <c r="M1043" s="8" t="n">
        <v>0</v>
      </c>
      <c r="N1043" s="8" t="s">
        <v>120</v>
      </c>
      <c r="O1043" s="15" t="n">
        <f aca="false">H1043*12</f>
        <v>7200</v>
      </c>
      <c r="P1043" s="8" t="n">
        <f aca="false">MIN(100,ROUND(100*J1043/Assumptions!$B$8,0))</f>
        <v>94</v>
      </c>
      <c r="Q1043" s="8" t="n">
        <f aca="false">IF(L1043="",Assumptions!$B$9,L1043*10)</f>
        <v>100</v>
      </c>
      <c r="R1043" s="8" t="n">
        <f aca="false">IF(M1043&lt;=1,Assumptions!$B$12,IF(M1043&lt;=3,Assumptions!$B$13,IF(M1043&lt;=6,Assumptions!$B$14,Assumptions!$B$15)))</f>
        <v>100</v>
      </c>
      <c r="S1043" s="8" t="n">
        <f aca="false">IF(N1043="Completed On Time",Assumptions!$B$16,IF(N1043="Completed Late",Assumptions!$B$17,Assumptions!$B$18))</f>
        <v>100</v>
      </c>
      <c r="T1043" s="8" t="n">
        <f aca="false">IF(I1043=0,Assumptions!$B$20,IF(H1043&gt;I1043,Assumptions!$B$19,IF(H1043=I1043,Assumptions!$B$20,Assumptions!$B$21)))</f>
        <v>70</v>
      </c>
      <c r="U1043" s="8" t="n">
        <f aca="false">ROUND(P1043*Assumptions!$B$2+Q1043*Assumptions!$B$3+R1043*Assumptions!$B$4+S1043*Assumptions!$B$5+T1043*Assumptions!$B$6,0)</f>
        <v>92</v>
      </c>
      <c r="V1043" s="8" t="str">
        <f aca="false">IF(U1043&gt;=Assumptions!$B$10,"Healthy",IF(U1043&gt;=Assumptions!$B$11,"Needs Attention","High Risk"))</f>
        <v>Healthy</v>
      </c>
    </row>
    <row r="1044" customFormat="false" ht="15" hidden="false" customHeight="false" outlineLevel="0" collapsed="false">
      <c r="A1044" s="8" t="s">
        <v>2230</v>
      </c>
      <c r="B1044" s="8" t="s">
        <v>2231</v>
      </c>
      <c r="C1044" s="8" t="s">
        <v>51</v>
      </c>
      <c r="D1044" s="8" t="s">
        <v>2027</v>
      </c>
      <c r="E1044" s="8" t="s">
        <v>128</v>
      </c>
      <c r="F1044" s="8" t="s">
        <v>133</v>
      </c>
      <c r="G1044" s="8" t="s">
        <v>180</v>
      </c>
      <c r="H1044" s="15" t="n">
        <v>600</v>
      </c>
      <c r="I1044" s="15" t="n">
        <v>600</v>
      </c>
      <c r="J1044" s="16" t="n">
        <v>0.833</v>
      </c>
      <c r="K1044" s="8" t="n">
        <v>9.7</v>
      </c>
      <c r="L1044" s="8" t="n">
        <v>10</v>
      </c>
      <c r="M1044" s="8" t="n">
        <v>2</v>
      </c>
      <c r="N1044" s="8" t="s">
        <v>120</v>
      </c>
      <c r="O1044" s="15" t="n">
        <f aca="false">H1044*12</f>
        <v>7200</v>
      </c>
      <c r="P1044" s="8" t="n">
        <f aca="false">MIN(100,ROUND(100*J1044/Assumptions!$B$8,0))</f>
        <v>93</v>
      </c>
      <c r="Q1044" s="8" t="n">
        <f aca="false">IF(L1044="",Assumptions!$B$9,L1044*10)</f>
        <v>100</v>
      </c>
      <c r="R1044" s="8" t="n">
        <f aca="false">IF(M1044&lt;=1,Assumptions!$B$12,IF(M1044&lt;=3,Assumptions!$B$13,IF(M1044&lt;=6,Assumptions!$B$14,Assumptions!$B$15)))</f>
        <v>75</v>
      </c>
      <c r="S1044" s="8" t="n">
        <f aca="false">IF(N1044="Completed On Time",Assumptions!$B$16,IF(N1044="Completed Late",Assumptions!$B$17,Assumptions!$B$18))</f>
        <v>100</v>
      </c>
      <c r="T1044" s="8" t="n">
        <f aca="false">IF(I1044=0,Assumptions!$B$20,IF(H1044&gt;I1044,Assumptions!$B$19,IF(H1044=I1044,Assumptions!$B$20,Assumptions!$B$21)))</f>
        <v>70</v>
      </c>
      <c r="U1044" s="8" t="n">
        <f aca="false">ROUND(P1044*Assumptions!$B$2+Q1044*Assumptions!$B$3+R1044*Assumptions!$B$4+S1044*Assumptions!$B$5+T1044*Assumptions!$B$6,0)</f>
        <v>88</v>
      </c>
      <c r="V1044" s="8" t="str">
        <f aca="false">IF(U1044&gt;=Assumptions!$B$10,"Healthy",IF(U1044&gt;=Assumptions!$B$11,"Needs Attention","High Risk"))</f>
        <v>Healthy</v>
      </c>
    </row>
    <row r="1045" customFormat="false" ht="15" hidden="false" customHeight="false" outlineLevel="0" collapsed="false">
      <c r="A1045" s="8" t="s">
        <v>2232</v>
      </c>
      <c r="B1045" s="8" t="s">
        <v>2233</v>
      </c>
      <c r="C1045" s="8" t="s">
        <v>51</v>
      </c>
      <c r="D1045" s="8" t="s">
        <v>2027</v>
      </c>
      <c r="E1045" s="8" t="s">
        <v>123</v>
      </c>
      <c r="F1045" s="8" t="s">
        <v>136</v>
      </c>
      <c r="G1045" s="8" t="s">
        <v>125</v>
      </c>
      <c r="H1045" s="15" t="n">
        <v>588</v>
      </c>
      <c r="I1045" s="15" t="n">
        <v>588</v>
      </c>
      <c r="J1045" s="16" t="n">
        <v>0.85</v>
      </c>
      <c r="K1045" s="8" t="n">
        <v>11</v>
      </c>
      <c r="L1045" s="8" t="n">
        <v>10</v>
      </c>
      <c r="M1045" s="8" t="n">
        <v>2</v>
      </c>
      <c r="N1045" s="8" t="s">
        <v>120</v>
      </c>
      <c r="O1045" s="15" t="n">
        <f aca="false">H1045*12</f>
        <v>7056</v>
      </c>
      <c r="P1045" s="8" t="n">
        <f aca="false">MIN(100,ROUND(100*J1045/Assumptions!$B$8,0))</f>
        <v>94</v>
      </c>
      <c r="Q1045" s="8" t="n">
        <f aca="false">IF(L1045="",Assumptions!$B$9,L1045*10)</f>
        <v>100</v>
      </c>
      <c r="R1045" s="8" t="n">
        <f aca="false">IF(M1045&lt;=1,Assumptions!$B$12,IF(M1045&lt;=3,Assumptions!$B$13,IF(M1045&lt;=6,Assumptions!$B$14,Assumptions!$B$15)))</f>
        <v>75</v>
      </c>
      <c r="S1045" s="8" t="n">
        <f aca="false">IF(N1045="Completed On Time",Assumptions!$B$16,IF(N1045="Completed Late",Assumptions!$B$17,Assumptions!$B$18))</f>
        <v>100</v>
      </c>
      <c r="T1045" s="8" t="n">
        <f aca="false">IF(I1045=0,Assumptions!$B$20,IF(H1045&gt;I1045,Assumptions!$B$19,IF(H1045=I1045,Assumptions!$B$20,Assumptions!$B$21)))</f>
        <v>70</v>
      </c>
      <c r="U1045" s="8" t="n">
        <f aca="false">ROUND(P1045*Assumptions!$B$2+Q1045*Assumptions!$B$3+R1045*Assumptions!$B$4+S1045*Assumptions!$B$5+T1045*Assumptions!$B$6,0)</f>
        <v>88</v>
      </c>
      <c r="V1045" s="8" t="str">
        <f aca="false">IF(U1045&gt;=Assumptions!$B$10,"Healthy",IF(U1045&gt;=Assumptions!$B$11,"Needs Attention","High Risk"))</f>
        <v>Healthy</v>
      </c>
    </row>
    <row r="1046" customFormat="false" ht="15" hidden="false" customHeight="false" outlineLevel="0" collapsed="false">
      <c r="A1046" s="8" t="s">
        <v>2234</v>
      </c>
      <c r="B1046" s="8" t="s">
        <v>2235</v>
      </c>
      <c r="C1046" s="8" t="s">
        <v>51</v>
      </c>
      <c r="D1046" s="8" t="s">
        <v>2027</v>
      </c>
      <c r="E1046" s="8" t="s">
        <v>132</v>
      </c>
      <c r="F1046" s="8" t="s">
        <v>136</v>
      </c>
      <c r="G1046" s="8" t="s">
        <v>159</v>
      </c>
      <c r="H1046" s="15" t="n">
        <v>588</v>
      </c>
      <c r="I1046" s="15" t="n">
        <v>588</v>
      </c>
      <c r="J1046" s="16" t="n">
        <v>0.592</v>
      </c>
      <c r="K1046" s="8" t="n">
        <v>5</v>
      </c>
      <c r="L1046" s="8" t="n">
        <v>8</v>
      </c>
      <c r="M1046" s="8" t="n">
        <v>5</v>
      </c>
      <c r="N1046" s="8" t="s">
        <v>120</v>
      </c>
      <c r="O1046" s="15" t="n">
        <f aca="false">H1046*12</f>
        <v>7056</v>
      </c>
      <c r="P1046" s="8" t="n">
        <f aca="false">MIN(100,ROUND(100*J1046/Assumptions!$B$8,0))</f>
        <v>66</v>
      </c>
      <c r="Q1046" s="8" t="n">
        <f aca="false">IF(L1046="",Assumptions!$B$9,L1046*10)</f>
        <v>80</v>
      </c>
      <c r="R1046" s="8" t="n">
        <f aca="false">IF(M1046&lt;=1,Assumptions!$B$12,IF(M1046&lt;=3,Assumptions!$B$13,IF(M1046&lt;=6,Assumptions!$B$14,Assumptions!$B$15)))</f>
        <v>50</v>
      </c>
      <c r="S1046" s="8" t="n">
        <f aca="false">IF(N1046="Completed On Time",Assumptions!$B$16,IF(N1046="Completed Late",Assumptions!$B$17,Assumptions!$B$18))</f>
        <v>100</v>
      </c>
      <c r="T1046" s="8" t="n">
        <f aca="false">IF(I1046=0,Assumptions!$B$20,IF(H1046&gt;I1046,Assumptions!$B$19,IF(H1046=I1046,Assumptions!$B$20,Assumptions!$B$21)))</f>
        <v>70</v>
      </c>
      <c r="U1046" s="8" t="n">
        <f aca="false">ROUND(P1046*Assumptions!$B$2+Q1046*Assumptions!$B$3+R1046*Assumptions!$B$4+S1046*Assumptions!$B$5+T1046*Assumptions!$B$6,0)</f>
        <v>71</v>
      </c>
      <c r="V1046" s="8" t="str">
        <f aca="false">IF(U1046&gt;=Assumptions!$B$10,"Healthy",IF(U1046&gt;=Assumptions!$B$11,"Needs Attention","High Risk"))</f>
        <v>Needs Attention</v>
      </c>
    </row>
    <row r="1047" customFormat="false" ht="15" hidden="false" customHeight="false" outlineLevel="0" collapsed="false">
      <c r="A1047" s="8" t="s">
        <v>2236</v>
      </c>
      <c r="B1047" s="8" t="s">
        <v>2237</v>
      </c>
      <c r="C1047" s="8" t="s">
        <v>51</v>
      </c>
      <c r="D1047" s="8" t="s">
        <v>2027</v>
      </c>
      <c r="E1047" s="8" t="s">
        <v>123</v>
      </c>
      <c r="F1047" s="8" t="s">
        <v>136</v>
      </c>
      <c r="G1047" s="8" t="s">
        <v>177</v>
      </c>
      <c r="H1047" s="15" t="n">
        <v>576</v>
      </c>
      <c r="I1047" s="15" t="n">
        <v>576</v>
      </c>
      <c r="J1047" s="16" t="n">
        <v>0.986</v>
      </c>
      <c r="K1047" s="8" t="n">
        <v>11.3</v>
      </c>
      <c r="L1047" s="8" t="n">
        <v>10</v>
      </c>
      <c r="M1047" s="8" t="n">
        <v>1</v>
      </c>
      <c r="N1047" s="8" t="s">
        <v>120</v>
      </c>
      <c r="O1047" s="15" t="n">
        <f aca="false">H1047*12</f>
        <v>6912</v>
      </c>
      <c r="P1047" s="8" t="n">
        <f aca="false">MIN(100,ROUND(100*J1047/Assumptions!$B$8,0))</f>
        <v>100</v>
      </c>
      <c r="Q1047" s="8" t="n">
        <f aca="false">IF(L1047="",Assumptions!$B$9,L1047*10)</f>
        <v>100</v>
      </c>
      <c r="R1047" s="8" t="n">
        <f aca="false">IF(M1047&lt;=1,Assumptions!$B$12,IF(M1047&lt;=3,Assumptions!$B$13,IF(M1047&lt;=6,Assumptions!$B$14,Assumptions!$B$15)))</f>
        <v>100</v>
      </c>
      <c r="S1047" s="8" t="n">
        <f aca="false">IF(N1047="Completed On Time",Assumptions!$B$16,IF(N1047="Completed Late",Assumptions!$B$17,Assumptions!$B$18))</f>
        <v>100</v>
      </c>
      <c r="T1047" s="8" t="n">
        <f aca="false">IF(I1047=0,Assumptions!$B$20,IF(H1047&gt;I1047,Assumptions!$B$19,IF(H1047=I1047,Assumptions!$B$20,Assumptions!$B$21)))</f>
        <v>70</v>
      </c>
      <c r="U1047" s="8" t="n">
        <f aca="false">ROUND(P1047*Assumptions!$B$2+Q1047*Assumptions!$B$3+R1047*Assumptions!$B$4+S1047*Assumptions!$B$5+T1047*Assumptions!$B$6,0)</f>
        <v>94</v>
      </c>
      <c r="V1047" s="8" t="str">
        <f aca="false">IF(U1047&gt;=Assumptions!$B$10,"Healthy",IF(U1047&gt;=Assumptions!$B$11,"Needs Attention","High Risk"))</f>
        <v>Healthy</v>
      </c>
    </row>
    <row r="1048" customFormat="false" ht="15" hidden="false" customHeight="false" outlineLevel="0" collapsed="false">
      <c r="A1048" s="8" t="s">
        <v>2238</v>
      </c>
      <c r="B1048" s="8" t="s">
        <v>2239</v>
      </c>
      <c r="C1048" s="8" t="s">
        <v>51</v>
      </c>
      <c r="D1048" s="8" t="s">
        <v>2027</v>
      </c>
      <c r="E1048" s="8" t="s">
        <v>123</v>
      </c>
      <c r="F1048" s="8" t="s">
        <v>143</v>
      </c>
      <c r="G1048" s="8" t="s">
        <v>159</v>
      </c>
      <c r="H1048" s="15" t="n">
        <v>576</v>
      </c>
      <c r="I1048" s="15" t="n">
        <v>576</v>
      </c>
      <c r="J1048" s="16" t="n">
        <v>0.833</v>
      </c>
      <c r="K1048" s="8" t="n">
        <v>10.7</v>
      </c>
      <c r="L1048" s="8" t="n">
        <v>10</v>
      </c>
      <c r="M1048" s="8" t="n">
        <v>6</v>
      </c>
      <c r="N1048" s="8" t="s">
        <v>120</v>
      </c>
      <c r="O1048" s="15" t="n">
        <f aca="false">H1048*12</f>
        <v>6912</v>
      </c>
      <c r="P1048" s="8" t="n">
        <f aca="false">MIN(100,ROUND(100*J1048/Assumptions!$B$8,0))</f>
        <v>93</v>
      </c>
      <c r="Q1048" s="8" t="n">
        <f aca="false">IF(L1048="",Assumptions!$B$9,L1048*10)</f>
        <v>100</v>
      </c>
      <c r="R1048" s="8" t="n">
        <f aca="false">IF(M1048&lt;=1,Assumptions!$B$12,IF(M1048&lt;=3,Assumptions!$B$13,IF(M1048&lt;=6,Assumptions!$B$14,Assumptions!$B$15)))</f>
        <v>50</v>
      </c>
      <c r="S1048" s="8" t="n">
        <f aca="false">IF(N1048="Completed On Time",Assumptions!$B$16,IF(N1048="Completed Late",Assumptions!$B$17,Assumptions!$B$18))</f>
        <v>100</v>
      </c>
      <c r="T1048" s="8" t="n">
        <f aca="false">IF(I1048=0,Assumptions!$B$20,IF(H1048&gt;I1048,Assumptions!$B$19,IF(H1048=I1048,Assumptions!$B$20,Assumptions!$B$21)))</f>
        <v>70</v>
      </c>
      <c r="U1048" s="8" t="n">
        <f aca="false">ROUND(P1048*Assumptions!$B$2+Q1048*Assumptions!$B$3+R1048*Assumptions!$B$4+S1048*Assumptions!$B$5+T1048*Assumptions!$B$6,0)</f>
        <v>84</v>
      </c>
      <c r="V1048" s="8" t="str">
        <f aca="false">IF(U1048&gt;=Assumptions!$B$10,"Healthy",IF(U1048&gt;=Assumptions!$B$11,"Needs Attention","High Risk"))</f>
        <v>Healthy</v>
      </c>
    </row>
    <row r="1049" customFormat="false" ht="15" hidden="false" customHeight="false" outlineLevel="0" collapsed="false">
      <c r="A1049" s="8" t="s">
        <v>2240</v>
      </c>
      <c r="B1049" s="8" t="s">
        <v>2241</v>
      </c>
      <c r="C1049" s="8" t="s">
        <v>51</v>
      </c>
      <c r="D1049" s="8" t="s">
        <v>2027</v>
      </c>
      <c r="E1049" s="8" t="s">
        <v>132</v>
      </c>
      <c r="F1049" s="8" t="s">
        <v>223</v>
      </c>
      <c r="G1049" s="8" t="s">
        <v>144</v>
      </c>
      <c r="H1049" s="15" t="n">
        <v>576</v>
      </c>
      <c r="I1049" s="15" t="n">
        <v>576</v>
      </c>
      <c r="J1049" s="16" t="n">
        <v>0.868</v>
      </c>
      <c r="K1049" s="8" t="n">
        <v>10.7</v>
      </c>
      <c r="L1049" s="8" t="n">
        <v>10</v>
      </c>
      <c r="M1049" s="8" t="n">
        <v>4</v>
      </c>
      <c r="N1049" s="8" t="s">
        <v>120</v>
      </c>
      <c r="O1049" s="15" t="n">
        <f aca="false">H1049*12</f>
        <v>6912</v>
      </c>
      <c r="P1049" s="8" t="n">
        <f aca="false">MIN(100,ROUND(100*J1049/Assumptions!$B$8,0))</f>
        <v>96</v>
      </c>
      <c r="Q1049" s="8" t="n">
        <f aca="false">IF(L1049="",Assumptions!$B$9,L1049*10)</f>
        <v>100</v>
      </c>
      <c r="R1049" s="8" t="n">
        <f aca="false">IF(M1049&lt;=1,Assumptions!$B$12,IF(M1049&lt;=3,Assumptions!$B$13,IF(M1049&lt;=6,Assumptions!$B$14,Assumptions!$B$15)))</f>
        <v>50</v>
      </c>
      <c r="S1049" s="8" t="n">
        <f aca="false">IF(N1049="Completed On Time",Assumptions!$B$16,IF(N1049="Completed Late",Assumptions!$B$17,Assumptions!$B$18))</f>
        <v>100</v>
      </c>
      <c r="T1049" s="8" t="n">
        <f aca="false">IF(I1049=0,Assumptions!$B$20,IF(H1049&gt;I1049,Assumptions!$B$19,IF(H1049=I1049,Assumptions!$B$20,Assumptions!$B$21)))</f>
        <v>70</v>
      </c>
      <c r="U1049" s="8" t="n">
        <f aca="false">ROUND(P1049*Assumptions!$B$2+Q1049*Assumptions!$B$3+R1049*Assumptions!$B$4+S1049*Assumptions!$B$5+T1049*Assumptions!$B$6,0)</f>
        <v>85</v>
      </c>
      <c r="V1049" s="8" t="str">
        <f aca="false">IF(U1049&gt;=Assumptions!$B$10,"Healthy",IF(U1049&gt;=Assumptions!$B$11,"Needs Attention","High Risk"))</f>
        <v>Healthy</v>
      </c>
    </row>
    <row r="1050" customFormat="false" ht="15" hidden="false" customHeight="false" outlineLevel="0" collapsed="false">
      <c r="A1050" s="8" t="s">
        <v>2242</v>
      </c>
      <c r="B1050" s="8" t="s">
        <v>2243</v>
      </c>
      <c r="C1050" s="8" t="s">
        <v>51</v>
      </c>
      <c r="D1050" s="8" t="s">
        <v>2027</v>
      </c>
      <c r="E1050" s="8" t="s">
        <v>123</v>
      </c>
      <c r="F1050" s="8" t="s">
        <v>118</v>
      </c>
      <c r="G1050" s="8" t="s">
        <v>177</v>
      </c>
      <c r="H1050" s="15" t="n">
        <v>576</v>
      </c>
      <c r="I1050" s="15" t="n">
        <v>576</v>
      </c>
      <c r="J1050" s="16" t="n">
        <v>0.743</v>
      </c>
      <c r="K1050" s="8" t="n">
        <v>10</v>
      </c>
      <c r="L1050" s="8" t="n">
        <v>7</v>
      </c>
      <c r="M1050" s="8" t="n">
        <v>5</v>
      </c>
      <c r="N1050" s="8" t="s">
        <v>120</v>
      </c>
      <c r="O1050" s="15" t="n">
        <f aca="false">H1050*12</f>
        <v>6912</v>
      </c>
      <c r="P1050" s="8" t="n">
        <f aca="false">MIN(100,ROUND(100*J1050/Assumptions!$B$8,0))</f>
        <v>83</v>
      </c>
      <c r="Q1050" s="8" t="n">
        <f aca="false">IF(L1050="",Assumptions!$B$9,L1050*10)</f>
        <v>70</v>
      </c>
      <c r="R1050" s="8" t="n">
        <f aca="false">IF(M1050&lt;=1,Assumptions!$B$12,IF(M1050&lt;=3,Assumptions!$B$13,IF(M1050&lt;=6,Assumptions!$B$14,Assumptions!$B$15)))</f>
        <v>50</v>
      </c>
      <c r="S1050" s="8" t="n">
        <f aca="false">IF(N1050="Completed On Time",Assumptions!$B$16,IF(N1050="Completed Late",Assumptions!$B$17,Assumptions!$B$18))</f>
        <v>100</v>
      </c>
      <c r="T1050" s="8" t="n">
        <f aca="false">IF(I1050=0,Assumptions!$B$20,IF(H1050&gt;I1050,Assumptions!$B$19,IF(H1050=I1050,Assumptions!$B$20,Assumptions!$B$21)))</f>
        <v>70</v>
      </c>
      <c r="U1050" s="8" t="n">
        <f aca="false">ROUND(P1050*Assumptions!$B$2+Q1050*Assumptions!$B$3+R1050*Assumptions!$B$4+S1050*Assumptions!$B$5+T1050*Assumptions!$B$6,0)</f>
        <v>75</v>
      </c>
      <c r="V1050" s="8" t="str">
        <f aca="false">IF(U1050&gt;=Assumptions!$B$10,"Healthy",IF(U1050&gt;=Assumptions!$B$11,"Needs Attention","High Risk"))</f>
        <v>Needs Attention</v>
      </c>
    </row>
    <row r="1051" customFormat="false" ht="15" hidden="false" customHeight="false" outlineLevel="0" collapsed="false">
      <c r="A1051" s="8" t="s">
        <v>2244</v>
      </c>
      <c r="B1051" s="8" t="s">
        <v>2245</v>
      </c>
      <c r="C1051" s="8" t="s">
        <v>51</v>
      </c>
      <c r="D1051" s="8" t="s">
        <v>2027</v>
      </c>
      <c r="E1051" s="8" t="s">
        <v>132</v>
      </c>
      <c r="F1051" s="8" t="s">
        <v>136</v>
      </c>
      <c r="G1051" s="8" t="s">
        <v>125</v>
      </c>
      <c r="H1051" s="15" t="n">
        <v>576</v>
      </c>
      <c r="I1051" s="15" t="n">
        <v>576</v>
      </c>
      <c r="J1051" s="16" t="n">
        <v>0.625</v>
      </c>
      <c r="K1051" s="8" t="n">
        <v>7</v>
      </c>
      <c r="L1051" s="8" t="n">
        <v>6</v>
      </c>
      <c r="M1051" s="8" t="n">
        <v>1</v>
      </c>
      <c r="N1051" s="8" t="s">
        <v>120</v>
      </c>
      <c r="O1051" s="15" t="n">
        <f aca="false">H1051*12</f>
        <v>6912</v>
      </c>
      <c r="P1051" s="8" t="n">
        <f aca="false">MIN(100,ROUND(100*J1051/Assumptions!$B$8,0))</f>
        <v>69</v>
      </c>
      <c r="Q1051" s="8" t="n">
        <f aca="false">IF(L1051="",Assumptions!$B$9,L1051*10)</f>
        <v>60</v>
      </c>
      <c r="R1051" s="8" t="n">
        <f aca="false">IF(M1051&lt;=1,Assumptions!$B$12,IF(M1051&lt;=3,Assumptions!$B$13,IF(M1051&lt;=6,Assumptions!$B$14,Assumptions!$B$15)))</f>
        <v>100</v>
      </c>
      <c r="S1051" s="8" t="n">
        <f aca="false">IF(N1051="Completed On Time",Assumptions!$B$16,IF(N1051="Completed Late",Assumptions!$B$17,Assumptions!$B$18))</f>
        <v>100</v>
      </c>
      <c r="T1051" s="8" t="n">
        <f aca="false">IF(I1051=0,Assumptions!$B$20,IF(H1051&gt;I1051,Assumptions!$B$19,IF(H1051=I1051,Assumptions!$B$20,Assumptions!$B$21)))</f>
        <v>70</v>
      </c>
      <c r="U1051" s="8" t="n">
        <f aca="false">ROUND(P1051*Assumptions!$B$2+Q1051*Assumptions!$B$3+R1051*Assumptions!$B$4+S1051*Assumptions!$B$5+T1051*Assumptions!$B$6,0)</f>
        <v>75</v>
      </c>
      <c r="V1051" s="8" t="str">
        <f aca="false">IF(U1051&gt;=Assumptions!$B$10,"Healthy",IF(U1051&gt;=Assumptions!$B$11,"Needs Attention","High Risk"))</f>
        <v>Needs Attention</v>
      </c>
    </row>
    <row r="1052" customFormat="false" ht="15" hidden="false" customHeight="false" outlineLevel="0" collapsed="false">
      <c r="A1052" s="8" t="s">
        <v>2246</v>
      </c>
      <c r="B1052" s="8" t="s">
        <v>2247</v>
      </c>
      <c r="C1052" s="8" t="s">
        <v>51</v>
      </c>
      <c r="D1052" s="8" t="s">
        <v>2027</v>
      </c>
      <c r="E1052" s="8" t="s">
        <v>132</v>
      </c>
      <c r="F1052" s="8" t="s">
        <v>190</v>
      </c>
      <c r="G1052" s="8" t="s">
        <v>204</v>
      </c>
      <c r="H1052" s="15" t="n">
        <v>576</v>
      </c>
      <c r="I1052" s="15" t="n">
        <v>576</v>
      </c>
      <c r="J1052" s="16" t="n">
        <v>0.708</v>
      </c>
      <c r="K1052" s="8" t="n">
        <v>9</v>
      </c>
      <c r="L1052" s="8" t="n">
        <v>7</v>
      </c>
      <c r="M1052" s="8" t="n">
        <v>1</v>
      </c>
      <c r="N1052" s="8" t="s">
        <v>120</v>
      </c>
      <c r="O1052" s="15" t="n">
        <f aca="false">H1052*12</f>
        <v>6912</v>
      </c>
      <c r="P1052" s="8" t="n">
        <f aca="false">MIN(100,ROUND(100*J1052/Assumptions!$B$8,0))</f>
        <v>79</v>
      </c>
      <c r="Q1052" s="8" t="n">
        <f aca="false">IF(L1052="",Assumptions!$B$9,L1052*10)</f>
        <v>70</v>
      </c>
      <c r="R1052" s="8" t="n">
        <f aca="false">IF(M1052&lt;=1,Assumptions!$B$12,IF(M1052&lt;=3,Assumptions!$B$13,IF(M1052&lt;=6,Assumptions!$B$14,Assumptions!$B$15)))</f>
        <v>100</v>
      </c>
      <c r="S1052" s="8" t="n">
        <f aca="false">IF(N1052="Completed On Time",Assumptions!$B$16,IF(N1052="Completed Late",Assumptions!$B$17,Assumptions!$B$18))</f>
        <v>100</v>
      </c>
      <c r="T1052" s="8" t="n">
        <f aca="false">IF(I1052=0,Assumptions!$B$20,IF(H1052&gt;I1052,Assumptions!$B$19,IF(H1052=I1052,Assumptions!$B$20,Assumptions!$B$21)))</f>
        <v>70</v>
      </c>
      <c r="U1052" s="8" t="n">
        <f aca="false">ROUND(P1052*Assumptions!$B$2+Q1052*Assumptions!$B$3+R1052*Assumptions!$B$4+S1052*Assumptions!$B$5+T1052*Assumptions!$B$6,0)</f>
        <v>81</v>
      </c>
      <c r="V1052" s="8" t="str">
        <f aca="false">IF(U1052&gt;=Assumptions!$B$10,"Healthy",IF(U1052&gt;=Assumptions!$B$11,"Needs Attention","High Risk"))</f>
        <v>Healthy</v>
      </c>
    </row>
    <row r="1053" customFormat="false" ht="15" hidden="false" customHeight="false" outlineLevel="0" collapsed="false">
      <c r="A1053" s="8" t="s">
        <v>2248</v>
      </c>
      <c r="B1053" s="8" t="s">
        <v>2249</v>
      </c>
      <c r="C1053" s="8" t="s">
        <v>51</v>
      </c>
      <c r="D1053" s="8" t="s">
        <v>326</v>
      </c>
      <c r="E1053" s="8" t="s">
        <v>123</v>
      </c>
      <c r="F1053" s="8" t="s">
        <v>166</v>
      </c>
      <c r="G1053" s="8" t="s">
        <v>144</v>
      </c>
      <c r="H1053" s="15" t="n">
        <v>575</v>
      </c>
      <c r="I1053" s="15" t="n">
        <v>575</v>
      </c>
      <c r="J1053" s="16" t="n">
        <v>0.536</v>
      </c>
      <c r="K1053" s="8" t="n">
        <v>7.3</v>
      </c>
      <c r="L1053" s="8" t="n">
        <v>5</v>
      </c>
      <c r="M1053" s="8" t="n">
        <v>3</v>
      </c>
      <c r="N1053" s="8" t="s">
        <v>148</v>
      </c>
      <c r="O1053" s="15" t="n">
        <f aca="false">H1053*12</f>
        <v>6900</v>
      </c>
      <c r="P1053" s="8" t="n">
        <f aca="false">MIN(100,ROUND(100*J1053/Assumptions!$B$8,0))</f>
        <v>60</v>
      </c>
      <c r="Q1053" s="8" t="n">
        <f aca="false">IF(L1053="",Assumptions!$B$9,L1053*10)</f>
        <v>50</v>
      </c>
      <c r="R1053" s="8" t="n">
        <f aca="false">IF(M1053&lt;=1,Assumptions!$B$12,IF(M1053&lt;=3,Assumptions!$B$13,IF(M1053&lt;=6,Assumptions!$B$14,Assumptions!$B$15)))</f>
        <v>75</v>
      </c>
      <c r="S1053" s="8" t="n">
        <f aca="false">IF(N1053="Completed On Time",Assumptions!$B$16,IF(N1053="Completed Late",Assumptions!$B$17,Assumptions!$B$18))</f>
        <v>60</v>
      </c>
      <c r="T1053" s="8" t="n">
        <f aca="false">IF(I1053=0,Assumptions!$B$20,IF(H1053&gt;I1053,Assumptions!$B$19,IF(H1053=I1053,Assumptions!$B$20,Assumptions!$B$21)))</f>
        <v>70</v>
      </c>
      <c r="U1053" s="8" t="n">
        <f aca="false">ROUND(P1053*Assumptions!$B$2+Q1053*Assumptions!$B$3+R1053*Assumptions!$B$4+S1053*Assumptions!$B$5+T1053*Assumptions!$B$6,0)</f>
        <v>62</v>
      </c>
      <c r="V1053" s="8" t="str">
        <f aca="false">IF(U1053&gt;=Assumptions!$B$10,"Healthy",IF(U1053&gt;=Assumptions!$B$11,"Needs Attention","High Risk"))</f>
        <v>High Risk</v>
      </c>
    </row>
    <row r="1054" customFormat="false" ht="15" hidden="false" customHeight="false" outlineLevel="0" collapsed="false">
      <c r="A1054" s="8" t="s">
        <v>2250</v>
      </c>
      <c r="B1054" s="8" t="s">
        <v>2251</v>
      </c>
      <c r="C1054" s="8" t="s">
        <v>51</v>
      </c>
      <c r="D1054" s="8" t="s">
        <v>326</v>
      </c>
      <c r="E1054" s="8" t="s">
        <v>132</v>
      </c>
      <c r="F1054" s="8" t="s">
        <v>136</v>
      </c>
      <c r="G1054" s="8" t="s">
        <v>185</v>
      </c>
      <c r="H1054" s="15" t="n">
        <v>575</v>
      </c>
      <c r="I1054" s="15" t="n">
        <v>575</v>
      </c>
      <c r="J1054" s="16" t="n">
        <v>0.855</v>
      </c>
      <c r="K1054" s="8" t="n">
        <v>10.7</v>
      </c>
      <c r="L1054" s="8" t="n">
        <v>7</v>
      </c>
      <c r="M1054" s="8" t="n">
        <v>1</v>
      </c>
      <c r="N1054" s="8" t="s">
        <v>120</v>
      </c>
      <c r="O1054" s="15" t="n">
        <f aca="false">H1054*12</f>
        <v>6900</v>
      </c>
      <c r="P1054" s="8" t="n">
        <f aca="false">MIN(100,ROUND(100*J1054/Assumptions!$B$8,0))</f>
        <v>95</v>
      </c>
      <c r="Q1054" s="8" t="n">
        <f aca="false">IF(L1054="",Assumptions!$B$9,L1054*10)</f>
        <v>70</v>
      </c>
      <c r="R1054" s="8" t="n">
        <f aca="false">IF(M1054&lt;=1,Assumptions!$B$12,IF(M1054&lt;=3,Assumptions!$B$13,IF(M1054&lt;=6,Assumptions!$B$14,Assumptions!$B$15)))</f>
        <v>100</v>
      </c>
      <c r="S1054" s="8" t="n">
        <f aca="false">IF(N1054="Completed On Time",Assumptions!$B$16,IF(N1054="Completed Late",Assumptions!$B$17,Assumptions!$B$18))</f>
        <v>100</v>
      </c>
      <c r="T1054" s="8" t="n">
        <f aca="false">IF(I1054=0,Assumptions!$B$20,IF(H1054&gt;I1054,Assumptions!$B$19,IF(H1054=I1054,Assumptions!$B$20,Assumptions!$B$21)))</f>
        <v>70</v>
      </c>
      <c r="U1054" s="8" t="n">
        <f aca="false">ROUND(P1054*Assumptions!$B$2+Q1054*Assumptions!$B$3+R1054*Assumptions!$B$4+S1054*Assumptions!$B$5+T1054*Assumptions!$B$6,0)</f>
        <v>86</v>
      </c>
      <c r="V1054" s="8" t="str">
        <f aca="false">IF(U1054&gt;=Assumptions!$B$10,"Healthy",IF(U1054&gt;=Assumptions!$B$11,"Needs Attention","High Risk"))</f>
        <v>Healthy</v>
      </c>
    </row>
    <row r="1055" customFormat="false" ht="15" hidden="false" customHeight="false" outlineLevel="0" collapsed="false">
      <c r="A1055" s="8" t="s">
        <v>2252</v>
      </c>
      <c r="B1055" s="8" t="s">
        <v>2253</v>
      </c>
      <c r="C1055" s="8" t="s">
        <v>51</v>
      </c>
      <c r="D1055" s="8" t="s">
        <v>326</v>
      </c>
      <c r="E1055" s="8" t="s">
        <v>123</v>
      </c>
      <c r="F1055" s="8" t="s">
        <v>143</v>
      </c>
      <c r="G1055" s="8" t="s">
        <v>119</v>
      </c>
      <c r="H1055" s="15" t="n">
        <v>575</v>
      </c>
      <c r="I1055" s="15" t="n">
        <v>575</v>
      </c>
      <c r="J1055" s="16" t="n">
        <v>0.812</v>
      </c>
      <c r="K1055" s="8" t="n">
        <v>10.3</v>
      </c>
      <c r="L1055" s="8" t="n">
        <v>8</v>
      </c>
      <c r="M1055" s="8" t="n">
        <v>3</v>
      </c>
      <c r="N1055" s="8" t="s">
        <v>120</v>
      </c>
      <c r="O1055" s="15" t="n">
        <f aca="false">H1055*12</f>
        <v>6900</v>
      </c>
      <c r="P1055" s="8" t="n">
        <f aca="false">MIN(100,ROUND(100*J1055/Assumptions!$B$8,0))</f>
        <v>90</v>
      </c>
      <c r="Q1055" s="8" t="n">
        <f aca="false">IF(L1055="",Assumptions!$B$9,L1055*10)</f>
        <v>80</v>
      </c>
      <c r="R1055" s="8" t="n">
        <f aca="false">IF(M1055&lt;=1,Assumptions!$B$12,IF(M1055&lt;=3,Assumptions!$B$13,IF(M1055&lt;=6,Assumptions!$B$14,Assumptions!$B$15)))</f>
        <v>75</v>
      </c>
      <c r="S1055" s="8" t="n">
        <f aca="false">IF(N1055="Completed On Time",Assumptions!$B$16,IF(N1055="Completed Late",Assumptions!$B$17,Assumptions!$B$18))</f>
        <v>100</v>
      </c>
      <c r="T1055" s="8" t="n">
        <f aca="false">IF(I1055=0,Assumptions!$B$20,IF(H1055&gt;I1055,Assumptions!$B$19,IF(H1055=I1055,Assumptions!$B$20,Assumptions!$B$21)))</f>
        <v>70</v>
      </c>
      <c r="U1055" s="8" t="n">
        <f aca="false">ROUND(P1055*Assumptions!$B$2+Q1055*Assumptions!$B$3+R1055*Assumptions!$B$4+S1055*Assumptions!$B$5+T1055*Assumptions!$B$6,0)</f>
        <v>83</v>
      </c>
      <c r="V1055" s="8" t="str">
        <f aca="false">IF(U1055&gt;=Assumptions!$B$10,"Healthy",IF(U1055&gt;=Assumptions!$B$11,"Needs Attention","High Risk"))</f>
        <v>Healthy</v>
      </c>
    </row>
    <row r="1056" customFormat="false" ht="15" hidden="false" customHeight="false" outlineLevel="0" collapsed="false">
      <c r="A1056" s="8" t="s">
        <v>2254</v>
      </c>
      <c r="B1056" s="8" t="s">
        <v>2255</v>
      </c>
      <c r="C1056" s="8" t="s">
        <v>51</v>
      </c>
      <c r="D1056" s="8" t="s">
        <v>326</v>
      </c>
      <c r="E1056" s="8" t="s">
        <v>123</v>
      </c>
      <c r="F1056" s="8" t="s">
        <v>136</v>
      </c>
      <c r="G1056" s="8" t="s">
        <v>119</v>
      </c>
      <c r="H1056" s="15" t="n">
        <v>575</v>
      </c>
      <c r="I1056" s="15" t="n">
        <v>575</v>
      </c>
      <c r="J1056" s="16" t="n">
        <v>0.754</v>
      </c>
      <c r="K1056" s="8" t="n">
        <v>9.3</v>
      </c>
      <c r="L1056" s="8" t="n">
        <v>10</v>
      </c>
      <c r="M1056" s="8" t="n">
        <v>4</v>
      </c>
      <c r="N1056" s="8" t="s">
        <v>120</v>
      </c>
      <c r="O1056" s="15" t="n">
        <f aca="false">H1056*12</f>
        <v>6900</v>
      </c>
      <c r="P1056" s="8" t="n">
        <f aca="false">MIN(100,ROUND(100*J1056/Assumptions!$B$8,0))</f>
        <v>84</v>
      </c>
      <c r="Q1056" s="8" t="n">
        <f aca="false">IF(L1056="",Assumptions!$B$9,L1056*10)</f>
        <v>100</v>
      </c>
      <c r="R1056" s="8" t="n">
        <f aca="false">IF(M1056&lt;=1,Assumptions!$B$12,IF(M1056&lt;=3,Assumptions!$B$13,IF(M1056&lt;=6,Assumptions!$B$14,Assumptions!$B$15)))</f>
        <v>50</v>
      </c>
      <c r="S1056" s="8" t="n">
        <f aca="false">IF(N1056="Completed On Time",Assumptions!$B$16,IF(N1056="Completed Late",Assumptions!$B$17,Assumptions!$B$18))</f>
        <v>100</v>
      </c>
      <c r="T1056" s="8" t="n">
        <f aca="false">IF(I1056=0,Assumptions!$B$20,IF(H1056&gt;I1056,Assumptions!$B$19,IF(H1056=I1056,Assumptions!$B$20,Assumptions!$B$21)))</f>
        <v>70</v>
      </c>
      <c r="U1056" s="8" t="n">
        <f aca="false">ROUND(P1056*Assumptions!$B$2+Q1056*Assumptions!$B$3+R1056*Assumptions!$B$4+S1056*Assumptions!$B$5+T1056*Assumptions!$B$6,0)</f>
        <v>81</v>
      </c>
      <c r="V1056" s="8" t="str">
        <f aca="false">IF(U1056&gt;=Assumptions!$B$10,"Healthy",IF(U1056&gt;=Assumptions!$B$11,"Needs Attention","High Risk"))</f>
        <v>Healthy</v>
      </c>
    </row>
    <row r="1057" customFormat="false" ht="15" hidden="false" customHeight="false" outlineLevel="0" collapsed="false">
      <c r="A1057" s="8" t="s">
        <v>2256</v>
      </c>
      <c r="B1057" s="8" t="s">
        <v>2257</v>
      </c>
      <c r="C1057" s="8" t="s">
        <v>51</v>
      </c>
      <c r="D1057" s="8" t="s">
        <v>326</v>
      </c>
      <c r="E1057" s="8" t="s">
        <v>132</v>
      </c>
      <c r="F1057" s="8" t="s">
        <v>151</v>
      </c>
      <c r="G1057" s="8" t="s">
        <v>159</v>
      </c>
      <c r="H1057" s="15" t="n">
        <v>575</v>
      </c>
      <c r="I1057" s="15" t="n">
        <v>575</v>
      </c>
      <c r="J1057" s="16" t="n">
        <v>0.594</v>
      </c>
      <c r="K1057" s="8" t="n">
        <v>8.3</v>
      </c>
      <c r="L1057" s="8" t="n">
        <v>8</v>
      </c>
      <c r="M1057" s="8" t="n">
        <v>3</v>
      </c>
      <c r="N1057" s="8" t="s">
        <v>120</v>
      </c>
      <c r="O1057" s="15" t="n">
        <f aca="false">H1057*12</f>
        <v>6900</v>
      </c>
      <c r="P1057" s="8" t="n">
        <f aca="false">MIN(100,ROUND(100*J1057/Assumptions!$B$8,0))</f>
        <v>66</v>
      </c>
      <c r="Q1057" s="8" t="n">
        <f aca="false">IF(L1057="",Assumptions!$B$9,L1057*10)</f>
        <v>80</v>
      </c>
      <c r="R1057" s="8" t="n">
        <f aca="false">IF(M1057&lt;=1,Assumptions!$B$12,IF(M1057&lt;=3,Assumptions!$B$13,IF(M1057&lt;=6,Assumptions!$B$14,Assumptions!$B$15)))</f>
        <v>75</v>
      </c>
      <c r="S1057" s="8" t="n">
        <f aca="false">IF(N1057="Completed On Time",Assumptions!$B$16,IF(N1057="Completed Late",Assumptions!$B$17,Assumptions!$B$18))</f>
        <v>100</v>
      </c>
      <c r="T1057" s="8" t="n">
        <f aca="false">IF(I1057=0,Assumptions!$B$20,IF(H1057&gt;I1057,Assumptions!$B$19,IF(H1057=I1057,Assumptions!$B$20,Assumptions!$B$21)))</f>
        <v>70</v>
      </c>
      <c r="U1057" s="8" t="n">
        <f aca="false">ROUND(P1057*Assumptions!$B$2+Q1057*Assumptions!$B$3+R1057*Assumptions!$B$4+S1057*Assumptions!$B$5+T1057*Assumptions!$B$6,0)</f>
        <v>74</v>
      </c>
      <c r="V1057" s="8" t="str">
        <f aca="false">IF(U1057&gt;=Assumptions!$B$10,"Healthy",IF(U1057&gt;=Assumptions!$B$11,"Needs Attention","High Risk"))</f>
        <v>Needs Attention</v>
      </c>
    </row>
    <row r="1058" customFormat="false" ht="15" hidden="false" customHeight="false" outlineLevel="0" collapsed="false">
      <c r="A1058" s="8" t="s">
        <v>2258</v>
      </c>
      <c r="B1058" s="8" t="s">
        <v>2259</v>
      </c>
      <c r="C1058" s="8" t="s">
        <v>51</v>
      </c>
      <c r="D1058" s="8" t="s">
        <v>326</v>
      </c>
      <c r="E1058" s="8" t="s">
        <v>117</v>
      </c>
      <c r="F1058" s="8" t="s">
        <v>166</v>
      </c>
      <c r="G1058" s="8" t="s">
        <v>137</v>
      </c>
      <c r="H1058" s="15" t="n">
        <v>575</v>
      </c>
      <c r="I1058" s="15" t="n">
        <v>950</v>
      </c>
      <c r="J1058" s="16" t="n">
        <v>0.52</v>
      </c>
      <c r="K1058" s="8" t="n">
        <v>5.3</v>
      </c>
      <c r="L1058" s="8" t="n">
        <v>9</v>
      </c>
      <c r="M1058" s="8" t="n">
        <v>2</v>
      </c>
      <c r="N1058" s="8" t="s">
        <v>148</v>
      </c>
      <c r="O1058" s="15" t="n">
        <f aca="false">H1058*12</f>
        <v>6900</v>
      </c>
      <c r="P1058" s="8" t="n">
        <f aca="false">MIN(100,ROUND(100*J1058/Assumptions!$B$8,0))</f>
        <v>58</v>
      </c>
      <c r="Q1058" s="8" t="n">
        <f aca="false">IF(L1058="",Assumptions!$B$9,L1058*10)</f>
        <v>90</v>
      </c>
      <c r="R1058" s="8" t="n">
        <f aca="false">IF(M1058&lt;=1,Assumptions!$B$12,IF(M1058&lt;=3,Assumptions!$B$13,IF(M1058&lt;=6,Assumptions!$B$14,Assumptions!$B$15)))</f>
        <v>75</v>
      </c>
      <c r="S1058" s="8" t="n">
        <f aca="false">IF(N1058="Completed On Time",Assumptions!$B$16,IF(N1058="Completed Late",Assumptions!$B$17,Assumptions!$B$18))</f>
        <v>60</v>
      </c>
      <c r="T1058" s="8" t="n">
        <f aca="false">IF(I1058=0,Assumptions!$B$20,IF(H1058&gt;I1058,Assumptions!$B$19,IF(H1058=I1058,Assumptions!$B$20,Assumptions!$B$21)))</f>
        <v>30</v>
      </c>
      <c r="U1058" s="8" t="n">
        <f aca="false">ROUND(P1058*Assumptions!$B$2+Q1058*Assumptions!$B$3+R1058*Assumptions!$B$4+S1058*Assumptions!$B$5+T1058*Assumptions!$B$6,0)</f>
        <v>62</v>
      </c>
      <c r="V1058" s="8" t="str">
        <f aca="false">IF(U1058&gt;=Assumptions!$B$10,"Healthy",IF(U1058&gt;=Assumptions!$B$11,"Needs Attention","High Risk"))</f>
        <v>High Risk</v>
      </c>
    </row>
    <row r="1059" customFormat="false" ht="15" hidden="false" customHeight="false" outlineLevel="0" collapsed="false">
      <c r="A1059" s="8" t="s">
        <v>2260</v>
      </c>
      <c r="B1059" s="8" t="s">
        <v>2261</v>
      </c>
      <c r="C1059" s="8" t="s">
        <v>51</v>
      </c>
      <c r="D1059" s="8" t="s">
        <v>326</v>
      </c>
      <c r="E1059" s="8" t="s">
        <v>132</v>
      </c>
      <c r="F1059" s="8" t="s">
        <v>154</v>
      </c>
      <c r="G1059" s="8" t="s">
        <v>180</v>
      </c>
      <c r="H1059" s="15" t="n">
        <v>575</v>
      </c>
      <c r="I1059" s="15" t="n">
        <v>575</v>
      </c>
      <c r="J1059" s="16" t="n">
        <v>0.797</v>
      </c>
      <c r="K1059" s="8" t="n">
        <v>9.3</v>
      </c>
      <c r="L1059" s="8" t="n">
        <v>8</v>
      </c>
      <c r="M1059" s="8" t="n">
        <v>1</v>
      </c>
      <c r="N1059" s="8" t="s">
        <v>120</v>
      </c>
      <c r="O1059" s="15" t="n">
        <f aca="false">H1059*12</f>
        <v>6900</v>
      </c>
      <c r="P1059" s="8" t="n">
        <f aca="false">MIN(100,ROUND(100*J1059/Assumptions!$B$8,0))</f>
        <v>89</v>
      </c>
      <c r="Q1059" s="8" t="n">
        <f aca="false">IF(L1059="",Assumptions!$B$9,L1059*10)</f>
        <v>80</v>
      </c>
      <c r="R1059" s="8" t="n">
        <f aca="false">IF(M1059&lt;=1,Assumptions!$B$12,IF(M1059&lt;=3,Assumptions!$B$13,IF(M1059&lt;=6,Assumptions!$B$14,Assumptions!$B$15)))</f>
        <v>100</v>
      </c>
      <c r="S1059" s="8" t="n">
        <f aca="false">IF(N1059="Completed On Time",Assumptions!$B$16,IF(N1059="Completed Late",Assumptions!$B$17,Assumptions!$B$18))</f>
        <v>100</v>
      </c>
      <c r="T1059" s="8" t="n">
        <f aca="false">IF(I1059=0,Assumptions!$B$20,IF(H1059&gt;I1059,Assumptions!$B$19,IF(H1059=I1059,Assumptions!$B$20,Assumptions!$B$21)))</f>
        <v>70</v>
      </c>
      <c r="U1059" s="8" t="n">
        <f aca="false">ROUND(P1059*Assumptions!$B$2+Q1059*Assumptions!$B$3+R1059*Assumptions!$B$4+S1059*Assumptions!$B$5+T1059*Assumptions!$B$6,0)</f>
        <v>86</v>
      </c>
      <c r="V1059" s="8" t="str">
        <f aca="false">IF(U1059&gt;=Assumptions!$B$10,"Healthy",IF(U1059&gt;=Assumptions!$B$11,"Needs Attention","High Risk"))</f>
        <v>Healthy</v>
      </c>
    </row>
    <row r="1060" customFormat="false" ht="15" hidden="false" customHeight="false" outlineLevel="0" collapsed="false">
      <c r="A1060" s="8" t="s">
        <v>2262</v>
      </c>
      <c r="B1060" s="8" t="s">
        <v>2263</v>
      </c>
      <c r="C1060" s="8" t="s">
        <v>51</v>
      </c>
      <c r="D1060" s="8" t="s">
        <v>326</v>
      </c>
      <c r="E1060" s="8" t="s">
        <v>132</v>
      </c>
      <c r="F1060" s="8" t="s">
        <v>166</v>
      </c>
      <c r="G1060" s="8" t="s">
        <v>140</v>
      </c>
      <c r="H1060" s="15" t="n">
        <v>575</v>
      </c>
      <c r="I1060" s="15" t="n">
        <v>575</v>
      </c>
      <c r="J1060" s="16" t="n">
        <v>0.681</v>
      </c>
      <c r="K1060" s="8" t="n">
        <v>7</v>
      </c>
      <c r="L1060" s="8" t="n">
        <v>8</v>
      </c>
      <c r="M1060" s="8" t="n">
        <v>1</v>
      </c>
      <c r="N1060" s="8" t="s">
        <v>120</v>
      </c>
      <c r="O1060" s="15" t="n">
        <f aca="false">H1060*12</f>
        <v>6900</v>
      </c>
      <c r="P1060" s="8" t="n">
        <f aca="false">MIN(100,ROUND(100*J1060/Assumptions!$B$8,0))</f>
        <v>76</v>
      </c>
      <c r="Q1060" s="8" t="n">
        <f aca="false">IF(L1060="",Assumptions!$B$9,L1060*10)</f>
        <v>80</v>
      </c>
      <c r="R1060" s="8" t="n">
        <f aca="false">IF(M1060&lt;=1,Assumptions!$B$12,IF(M1060&lt;=3,Assumptions!$B$13,IF(M1060&lt;=6,Assumptions!$B$14,Assumptions!$B$15)))</f>
        <v>100</v>
      </c>
      <c r="S1060" s="8" t="n">
        <f aca="false">IF(N1060="Completed On Time",Assumptions!$B$16,IF(N1060="Completed Late",Assumptions!$B$17,Assumptions!$B$18))</f>
        <v>100</v>
      </c>
      <c r="T1060" s="8" t="n">
        <f aca="false">IF(I1060=0,Assumptions!$B$20,IF(H1060&gt;I1060,Assumptions!$B$19,IF(H1060=I1060,Assumptions!$B$20,Assumptions!$B$21)))</f>
        <v>70</v>
      </c>
      <c r="U1060" s="8" t="n">
        <f aca="false">ROUND(P1060*Assumptions!$B$2+Q1060*Assumptions!$B$3+R1060*Assumptions!$B$4+S1060*Assumptions!$B$5+T1060*Assumptions!$B$6,0)</f>
        <v>82</v>
      </c>
      <c r="V1060" s="8" t="str">
        <f aca="false">IF(U1060&gt;=Assumptions!$B$10,"Healthy",IF(U1060&gt;=Assumptions!$B$11,"Needs Attention","High Risk"))</f>
        <v>Healthy</v>
      </c>
    </row>
    <row r="1061" customFormat="false" ht="15" hidden="false" customHeight="false" outlineLevel="0" collapsed="false">
      <c r="A1061" s="8" t="s">
        <v>2264</v>
      </c>
      <c r="B1061" s="8" t="s">
        <v>2265</v>
      </c>
      <c r="C1061" s="8" t="s">
        <v>51</v>
      </c>
      <c r="D1061" s="8" t="s">
        <v>326</v>
      </c>
      <c r="E1061" s="8" t="s">
        <v>123</v>
      </c>
      <c r="F1061" s="8" t="s">
        <v>154</v>
      </c>
      <c r="G1061" s="8" t="s">
        <v>129</v>
      </c>
      <c r="H1061" s="15" t="n">
        <v>575</v>
      </c>
      <c r="I1061" s="15" t="n">
        <v>575</v>
      </c>
      <c r="J1061" s="16" t="n">
        <v>0.797</v>
      </c>
      <c r="K1061" s="8" t="n">
        <v>10</v>
      </c>
      <c r="L1061" s="8" t="n">
        <v>8</v>
      </c>
      <c r="M1061" s="8" t="n">
        <v>3</v>
      </c>
      <c r="N1061" s="8" t="s">
        <v>120</v>
      </c>
      <c r="O1061" s="15" t="n">
        <f aca="false">H1061*12</f>
        <v>6900</v>
      </c>
      <c r="P1061" s="8" t="n">
        <f aca="false">MIN(100,ROUND(100*J1061/Assumptions!$B$8,0))</f>
        <v>89</v>
      </c>
      <c r="Q1061" s="8" t="n">
        <f aca="false">IF(L1061="",Assumptions!$B$9,L1061*10)</f>
        <v>80</v>
      </c>
      <c r="R1061" s="8" t="n">
        <f aca="false">IF(M1061&lt;=1,Assumptions!$B$12,IF(M1061&lt;=3,Assumptions!$B$13,IF(M1061&lt;=6,Assumptions!$B$14,Assumptions!$B$15)))</f>
        <v>75</v>
      </c>
      <c r="S1061" s="8" t="n">
        <f aca="false">IF(N1061="Completed On Time",Assumptions!$B$16,IF(N1061="Completed Late",Assumptions!$B$17,Assumptions!$B$18))</f>
        <v>100</v>
      </c>
      <c r="T1061" s="8" t="n">
        <f aca="false">IF(I1061=0,Assumptions!$B$20,IF(H1061&gt;I1061,Assumptions!$B$19,IF(H1061=I1061,Assumptions!$B$20,Assumptions!$B$21)))</f>
        <v>70</v>
      </c>
      <c r="U1061" s="8" t="n">
        <f aca="false">ROUND(P1061*Assumptions!$B$2+Q1061*Assumptions!$B$3+R1061*Assumptions!$B$4+S1061*Assumptions!$B$5+T1061*Assumptions!$B$6,0)</f>
        <v>82</v>
      </c>
      <c r="V1061" s="8" t="str">
        <f aca="false">IF(U1061&gt;=Assumptions!$B$10,"Healthy",IF(U1061&gt;=Assumptions!$B$11,"Needs Attention","High Risk"))</f>
        <v>Healthy</v>
      </c>
    </row>
    <row r="1062" customFormat="false" ht="15" hidden="false" customHeight="false" outlineLevel="0" collapsed="false">
      <c r="A1062" s="8" t="s">
        <v>2266</v>
      </c>
      <c r="B1062" s="8" t="s">
        <v>2267</v>
      </c>
      <c r="C1062" s="8" t="s">
        <v>51</v>
      </c>
      <c r="D1062" s="8" t="s">
        <v>326</v>
      </c>
      <c r="E1062" s="8" t="s">
        <v>117</v>
      </c>
      <c r="F1062" s="8" t="s">
        <v>154</v>
      </c>
      <c r="G1062" s="8" t="s">
        <v>180</v>
      </c>
      <c r="H1062" s="15" t="n">
        <v>575</v>
      </c>
      <c r="I1062" s="15" t="n">
        <v>0</v>
      </c>
      <c r="J1062" s="16" t="n">
        <v>0.522</v>
      </c>
      <c r="K1062" s="8" t="n">
        <v>5.5</v>
      </c>
      <c r="L1062" s="8"/>
      <c r="M1062" s="8" t="n">
        <v>1</v>
      </c>
      <c r="N1062" s="8" t="s">
        <v>120</v>
      </c>
      <c r="O1062" s="15" t="n">
        <f aca="false">H1062*12</f>
        <v>6900</v>
      </c>
      <c r="P1062" s="8" t="n">
        <f aca="false">MIN(100,ROUND(100*J1062/Assumptions!$B$8,0))</f>
        <v>58</v>
      </c>
      <c r="Q1062" s="8" t="n">
        <f aca="false">IF(L1062="",Assumptions!$B$9,L1062*10)</f>
        <v>50</v>
      </c>
      <c r="R1062" s="8" t="n">
        <f aca="false">IF(M1062&lt;=1,Assumptions!$B$12,IF(M1062&lt;=3,Assumptions!$B$13,IF(M1062&lt;=6,Assumptions!$B$14,Assumptions!$B$15)))</f>
        <v>100</v>
      </c>
      <c r="S1062" s="8" t="n">
        <f aca="false">IF(N1062="Completed On Time",Assumptions!$B$16,IF(N1062="Completed Late",Assumptions!$B$17,Assumptions!$B$18))</f>
        <v>100</v>
      </c>
      <c r="T1062" s="8" t="n">
        <f aca="false">IF(I1062=0,Assumptions!$B$20,IF(H1062&gt;I1062,Assumptions!$B$19,IF(H1062=I1062,Assumptions!$B$20,Assumptions!$B$21)))</f>
        <v>70</v>
      </c>
      <c r="U1062" s="8" t="n">
        <f aca="false">ROUND(P1062*Assumptions!$B$2+Q1062*Assumptions!$B$3+R1062*Assumptions!$B$4+S1062*Assumptions!$B$5+T1062*Assumptions!$B$6,0)</f>
        <v>69</v>
      </c>
      <c r="V1062" s="8" t="str">
        <f aca="false">IF(U1062&gt;=Assumptions!$B$10,"Healthy",IF(U1062&gt;=Assumptions!$B$11,"Needs Attention","High Risk"))</f>
        <v>Needs Attention</v>
      </c>
    </row>
    <row r="1063" customFormat="false" ht="15" hidden="false" customHeight="false" outlineLevel="0" collapsed="false">
      <c r="A1063" s="8" t="s">
        <v>2268</v>
      </c>
      <c r="B1063" s="8" t="s">
        <v>2269</v>
      </c>
      <c r="C1063" s="8" t="s">
        <v>51</v>
      </c>
      <c r="D1063" s="8" t="s">
        <v>326</v>
      </c>
      <c r="E1063" s="8" t="s">
        <v>123</v>
      </c>
      <c r="F1063" s="8" t="s">
        <v>143</v>
      </c>
      <c r="G1063" s="8" t="s">
        <v>140</v>
      </c>
      <c r="H1063" s="15" t="n">
        <v>575</v>
      </c>
      <c r="I1063" s="15" t="n">
        <v>575</v>
      </c>
      <c r="J1063" s="16" t="n">
        <v>0.71</v>
      </c>
      <c r="K1063" s="8" t="n">
        <v>8</v>
      </c>
      <c r="L1063" s="8" t="n">
        <v>10</v>
      </c>
      <c r="M1063" s="8" t="n">
        <v>5</v>
      </c>
      <c r="N1063" s="8" t="s">
        <v>120</v>
      </c>
      <c r="O1063" s="15" t="n">
        <f aca="false">H1063*12</f>
        <v>6900</v>
      </c>
      <c r="P1063" s="8" t="n">
        <f aca="false">MIN(100,ROUND(100*J1063/Assumptions!$B$8,0))</f>
        <v>79</v>
      </c>
      <c r="Q1063" s="8" t="n">
        <f aca="false">IF(L1063="",Assumptions!$B$9,L1063*10)</f>
        <v>100</v>
      </c>
      <c r="R1063" s="8" t="n">
        <f aca="false">IF(M1063&lt;=1,Assumptions!$B$12,IF(M1063&lt;=3,Assumptions!$B$13,IF(M1063&lt;=6,Assumptions!$B$14,Assumptions!$B$15)))</f>
        <v>50</v>
      </c>
      <c r="S1063" s="8" t="n">
        <f aca="false">IF(N1063="Completed On Time",Assumptions!$B$16,IF(N1063="Completed Late",Assumptions!$B$17,Assumptions!$B$18))</f>
        <v>100</v>
      </c>
      <c r="T1063" s="8" t="n">
        <f aca="false">IF(I1063=0,Assumptions!$B$20,IF(H1063&gt;I1063,Assumptions!$B$19,IF(H1063=I1063,Assumptions!$B$20,Assumptions!$B$21)))</f>
        <v>70</v>
      </c>
      <c r="U1063" s="8" t="n">
        <f aca="false">ROUND(P1063*Assumptions!$B$2+Q1063*Assumptions!$B$3+R1063*Assumptions!$B$4+S1063*Assumptions!$B$5+T1063*Assumptions!$B$6,0)</f>
        <v>79</v>
      </c>
      <c r="V1063" s="8" t="str">
        <f aca="false">IF(U1063&gt;=Assumptions!$B$10,"Healthy",IF(U1063&gt;=Assumptions!$B$11,"Needs Attention","High Risk"))</f>
        <v>Needs Attention</v>
      </c>
    </row>
    <row r="1064" customFormat="false" ht="15" hidden="false" customHeight="false" outlineLevel="0" collapsed="false">
      <c r="A1064" s="8" t="s">
        <v>2270</v>
      </c>
      <c r="B1064" s="8" t="s">
        <v>2271</v>
      </c>
      <c r="C1064" s="8" t="s">
        <v>51</v>
      </c>
      <c r="D1064" s="8" t="s">
        <v>2027</v>
      </c>
      <c r="E1064" s="8" t="s">
        <v>128</v>
      </c>
      <c r="F1064" s="8" t="s">
        <v>151</v>
      </c>
      <c r="G1064" s="8" t="s">
        <v>185</v>
      </c>
      <c r="H1064" s="15" t="n">
        <v>564</v>
      </c>
      <c r="I1064" s="15" t="n">
        <v>564</v>
      </c>
      <c r="J1064" s="16" t="n">
        <v>0.745</v>
      </c>
      <c r="K1064" s="8" t="n">
        <v>8</v>
      </c>
      <c r="L1064" s="8" t="n">
        <v>7</v>
      </c>
      <c r="M1064" s="8" t="n">
        <v>1</v>
      </c>
      <c r="N1064" s="8" t="s">
        <v>120</v>
      </c>
      <c r="O1064" s="15" t="n">
        <f aca="false">H1064*12</f>
        <v>6768</v>
      </c>
      <c r="P1064" s="8" t="n">
        <f aca="false">MIN(100,ROUND(100*J1064/Assumptions!$B$8,0))</f>
        <v>83</v>
      </c>
      <c r="Q1064" s="8" t="n">
        <f aca="false">IF(L1064="",Assumptions!$B$9,L1064*10)</f>
        <v>70</v>
      </c>
      <c r="R1064" s="8" t="n">
        <f aca="false">IF(M1064&lt;=1,Assumptions!$B$12,IF(M1064&lt;=3,Assumptions!$B$13,IF(M1064&lt;=6,Assumptions!$B$14,Assumptions!$B$15)))</f>
        <v>100</v>
      </c>
      <c r="S1064" s="8" t="n">
        <f aca="false">IF(N1064="Completed On Time",Assumptions!$B$16,IF(N1064="Completed Late",Assumptions!$B$17,Assumptions!$B$18))</f>
        <v>100</v>
      </c>
      <c r="T1064" s="8" t="n">
        <f aca="false">IF(I1064=0,Assumptions!$B$20,IF(H1064&gt;I1064,Assumptions!$B$19,IF(H1064=I1064,Assumptions!$B$20,Assumptions!$B$21)))</f>
        <v>70</v>
      </c>
      <c r="U1064" s="8" t="n">
        <f aca="false">ROUND(P1064*Assumptions!$B$2+Q1064*Assumptions!$B$3+R1064*Assumptions!$B$4+S1064*Assumptions!$B$5+T1064*Assumptions!$B$6,0)</f>
        <v>82</v>
      </c>
      <c r="V1064" s="8" t="str">
        <f aca="false">IF(U1064&gt;=Assumptions!$B$10,"Healthy",IF(U1064&gt;=Assumptions!$B$11,"Needs Attention","High Risk"))</f>
        <v>Healthy</v>
      </c>
    </row>
    <row r="1065" customFormat="false" ht="15" hidden="false" customHeight="false" outlineLevel="0" collapsed="false">
      <c r="A1065" s="8" t="s">
        <v>2272</v>
      </c>
      <c r="B1065" s="8" t="s">
        <v>2273</v>
      </c>
      <c r="C1065" s="8" t="s">
        <v>51</v>
      </c>
      <c r="D1065" s="8" t="s">
        <v>2027</v>
      </c>
      <c r="E1065" s="8" t="s">
        <v>132</v>
      </c>
      <c r="F1065" s="8" t="s">
        <v>166</v>
      </c>
      <c r="G1065" s="8" t="s">
        <v>125</v>
      </c>
      <c r="H1065" s="15" t="n">
        <v>564</v>
      </c>
      <c r="I1065" s="15" t="n">
        <v>564</v>
      </c>
      <c r="J1065" s="16" t="n">
        <v>0.865</v>
      </c>
      <c r="K1065" s="8" t="n">
        <v>10.3</v>
      </c>
      <c r="L1065" s="8" t="n">
        <v>6</v>
      </c>
      <c r="M1065" s="8" t="n">
        <v>1</v>
      </c>
      <c r="N1065" s="8" t="s">
        <v>120</v>
      </c>
      <c r="O1065" s="15" t="n">
        <f aca="false">H1065*12</f>
        <v>6768</v>
      </c>
      <c r="P1065" s="8" t="n">
        <f aca="false">MIN(100,ROUND(100*J1065/Assumptions!$B$8,0))</f>
        <v>96</v>
      </c>
      <c r="Q1065" s="8" t="n">
        <f aca="false">IF(L1065="",Assumptions!$B$9,L1065*10)</f>
        <v>60</v>
      </c>
      <c r="R1065" s="8" t="n">
        <f aca="false">IF(M1065&lt;=1,Assumptions!$B$12,IF(M1065&lt;=3,Assumptions!$B$13,IF(M1065&lt;=6,Assumptions!$B$14,Assumptions!$B$15)))</f>
        <v>100</v>
      </c>
      <c r="S1065" s="8" t="n">
        <f aca="false">IF(N1065="Completed On Time",Assumptions!$B$16,IF(N1065="Completed Late",Assumptions!$B$17,Assumptions!$B$18))</f>
        <v>100</v>
      </c>
      <c r="T1065" s="8" t="n">
        <f aca="false">IF(I1065=0,Assumptions!$B$20,IF(H1065&gt;I1065,Assumptions!$B$19,IF(H1065=I1065,Assumptions!$B$20,Assumptions!$B$21)))</f>
        <v>70</v>
      </c>
      <c r="U1065" s="8" t="n">
        <f aca="false">ROUND(P1065*Assumptions!$B$2+Q1065*Assumptions!$B$3+R1065*Assumptions!$B$4+S1065*Assumptions!$B$5+T1065*Assumptions!$B$6,0)</f>
        <v>85</v>
      </c>
      <c r="V1065" s="8" t="str">
        <f aca="false">IF(U1065&gt;=Assumptions!$B$10,"Healthy",IF(U1065&gt;=Assumptions!$B$11,"Needs Attention","High Risk"))</f>
        <v>Healthy</v>
      </c>
    </row>
    <row r="1066" customFormat="false" ht="15" hidden="false" customHeight="false" outlineLevel="0" collapsed="false">
      <c r="A1066" s="8" t="s">
        <v>2274</v>
      </c>
      <c r="B1066" s="8" t="s">
        <v>2275</v>
      </c>
      <c r="C1066" s="8" t="s">
        <v>51</v>
      </c>
      <c r="D1066" s="8" t="s">
        <v>2027</v>
      </c>
      <c r="E1066" s="8" t="s">
        <v>132</v>
      </c>
      <c r="F1066" s="8" t="s">
        <v>133</v>
      </c>
      <c r="G1066" s="8" t="s">
        <v>180</v>
      </c>
      <c r="H1066" s="15" t="n">
        <v>552</v>
      </c>
      <c r="I1066" s="15" t="n">
        <v>552</v>
      </c>
      <c r="J1066" s="16" t="n">
        <v>0.891</v>
      </c>
      <c r="K1066" s="8" t="n">
        <v>12</v>
      </c>
      <c r="L1066" s="8" t="n">
        <v>10</v>
      </c>
      <c r="M1066" s="8" t="n">
        <v>1</v>
      </c>
      <c r="N1066" s="8" t="s">
        <v>120</v>
      </c>
      <c r="O1066" s="15" t="n">
        <f aca="false">H1066*12</f>
        <v>6624</v>
      </c>
      <c r="P1066" s="8" t="n">
        <f aca="false">MIN(100,ROUND(100*J1066/Assumptions!$B$8,0))</f>
        <v>99</v>
      </c>
      <c r="Q1066" s="8" t="n">
        <f aca="false">IF(L1066="",Assumptions!$B$9,L1066*10)</f>
        <v>100</v>
      </c>
      <c r="R1066" s="8" t="n">
        <f aca="false">IF(M1066&lt;=1,Assumptions!$B$12,IF(M1066&lt;=3,Assumptions!$B$13,IF(M1066&lt;=6,Assumptions!$B$14,Assumptions!$B$15)))</f>
        <v>100</v>
      </c>
      <c r="S1066" s="8" t="n">
        <f aca="false">IF(N1066="Completed On Time",Assumptions!$B$16,IF(N1066="Completed Late",Assumptions!$B$17,Assumptions!$B$18))</f>
        <v>100</v>
      </c>
      <c r="T1066" s="8" t="n">
        <f aca="false">IF(I1066=0,Assumptions!$B$20,IF(H1066&gt;I1066,Assumptions!$B$19,IF(H1066=I1066,Assumptions!$B$20,Assumptions!$B$21)))</f>
        <v>70</v>
      </c>
      <c r="U1066" s="8" t="n">
        <f aca="false">ROUND(P1066*Assumptions!$B$2+Q1066*Assumptions!$B$3+R1066*Assumptions!$B$4+S1066*Assumptions!$B$5+T1066*Assumptions!$B$6,0)</f>
        <v>94</v>
      </c>
      <c r="V1066" s="8" t="str">
        <f aca="false">IF(U1066&gt;=Assumptions!$B$10,"Healthy",IF(U1066&gt;=Assumptions!$B$11,"Needs Attention","High Risk"))</f>
        <v>Healthy</v>
      </c>
    </row>
    <row r="1067" customFormat="false" ht="15" hidden="false" customHeight="false" outlineLevel="0" collapsed="false">
      <c r="A1067" s="8" t="s">
        <v>2276</v>
      </c>
      <c r="B1067" s="8" t="s">
        <v>2277</v>
      </c>
      <c r="C1067" s="8" t="s">
        <v>51</v>
      </c>
      <c r="D1067" s="8" t="s">
        <v>2027</v>
      </c>
      <c r="E1067" s="8" t="s">
        <v>132</v>
      </c>
      <c r="F1067" s="8" t="s">
        <v>136</v>
      </c>
      <c r="G1067" s="8" t="s">
        <v>125</v>
      </c>
      <c r="H1067" s="15" t="n">
        <v>552</v>
      </c>
      <c r="I1067" s="15" t="n">
        <v>492</v>
      </c>
      <c r="J1067" s="16" t="n">
        <v>0.942</v>
      </c>
      <c r="K1067" s="8" t="n">
        <v>11.3</v>
      </c>
      <c r="L1067" s="8" t="n">
        <v>9</v>
      </c>
      <c r="M1067" s="8" t="n">
        <v>0</v>
      </c>
      <c r="N1067" s="8" t="s">
        <v>120</v>
      </c>
      <c r="O1067" s="15" t="n">
        <f aca="false">H1067*12</f>
        <v>6624</v>
      </c>
      <c r="P1067" s="8" t="n">
        <f aca="false">MIN(100,ROUND(100*J1067/Assumptions!$B$8,0))</f>
        <v>100</v>
      </c>
      <c r="Q1067" s="8" t="n">
        <f aca="false">IF(L1067="",Assumptions!$B$9,L1067*10)</f>
        <v>90</v>
      </c>
      <c r="R1067" s="8" t="n">
        <f aca="false">IF(M1067&lt;=1,Assumptions!$B$12,IF(M1067&lt;=3,Assumptions!$B$13,IF(M1067&lt;=6,Assumptions!$B$14,Assumptions!$B$15)))</f>
        <v>100</v>
      </c>
      <c r="S1067" s="8" t="n">
        <f aca="false">IF(N1067="Completed On Time",Assumptions!$B$16,IF(N1067="Completed Late",Assumptions!$B$17,Assumptions!$B$18))</f>
        <v>100</v>
      </c>
      <c r="T1067" s="8" t="n">
        <f aca="false">IF(I1067=0,Assumptions!$B$20,IF(H1067&gt;I1067,Assumptions!$B$19,IF(H1067=I1067,Assumptions!$B$20,Assumptions!$B$21)))</f>
        <v>100</v>
      </c>
      <c r="U1067" s="8" t="n">
        <f aca="false">ROUND(P1067*Assumptions!$B$2+Q1067*Assumptions!$B$3+R1067*Assumptions!$B$4+S1067*Assumptions!$B$5+T1067*Assumptions!$B$6,0)</f>
        <v>98</v>
      </c>
      <c r="V1067" s="8" t="str">
        <f aca="false">IF(U1067&gt;=Assumptions!$B$10,"Healthy",IF(U1067&gt;=Assumptions!$B$11,"Needs Attention","High Risk"))</f>
        <v>Healthy</v>
      </c>
    </row>
    <row r="1068" customFormat="false" ht="15" hidden="false" customHeight="false" outlineLevel="0" collapsed="false">
      <c r="A1068" s="8" t="s">
        <v>2278</v>
      </c>
      <c r="B1068" s="8" t="s">
        <v>2279</v>
      </c>
      <c r="C1068" s="8" t="s">
        <v>51</v>
      </c>
      <c r="D1068" s="8" t="s">
        <v>2027</v>
      </c>
      <c r="E1068" s="8" t="s">
        <v>123</v>
      </c>
      <c r="F1068" s="8" t="s">
        <v>223</v>
      </c>
      <c r="G1068" s="8" t="s">
        <v>204</v>
      </c>
      <c r="H1068" s="15" t="n">
        <v>552</v>
      </c>
      <c r="I1068" s="15" t="n">
        <v>552</v>
      </c>
      <c r="J1068" s="16" t="n">
        <v>0.754</v>
      </c>
      <c r="K1068" s="8" t="n">
        <v>8</v>
      </c>
      <c r="L1068" s="8" t="n">
        <v>10</v>
      </c>
      <c r="M1068" s="8" t="n">
        <v>5</v>
      </c>
      <c r="N1068" s="8" t="s">
        <v>120</v>
      </c>
      <c r="O1068" s="15" t="n">
        <f aca="false">H1068*12</f>
        <v>6624</v>
      </c>
      <c r="P1068" s="8" t="n">
        <f aca="false">MIN(100,ROUND(100*J1068/Assumptions!$B$8,0))</f>
        <v>84</v>
      </c>
      <c r="Q1068" s="8" t="n">
        <f aca="false">IF(L1068="",Assumptions!$B$9,L1068*10)</f>
        <v>100</v>
      </c>
      <c r="R1068" s="8" t="n">
        <f aca="false">IF(M1068&lt;=1,Assumptions!$B$12,IF(M1068&lt;=3,Assumptions!$B$13,IF(M1068&lt;=6,Assumptions!$B$14,Assumptions!$B$15)))</f>
        <v>50</v>
      </c>
      <c r="S1068" s="8" t="n">
        <f aca="false">IF(N1068="Completed On Time",Assumptions!$B$16,IF(N1068="Completed Late",Assumptions!$B$17,Assumptions!$B$18))</f>
        <v>100</v>
      </c>
      <c r="T1068" s="8" t="n">
        <f aca="false">IF(I1068=0,Assumptions!$B$20,IF(H1068&gt;I1068,Assumptions!$B$19,IF(H1068=I1068,Assumptions!$B$20,Assumptions!$B$21)))</f>
        <v>70</v>
      </c>
      <c r="U1068" s="8" t="n">
        <f aca="false">ROUND(P1068*Assumptions!$B$2+Q1068*Assumptions!$B$3+R1068*Assumptions!$B$4+S1068*Assumptions!$B$5+T1068*Assumptions!$B$6,0)</f>
        <v>81</v>
      </c>
      <c r="V1068" s="8" t="str">
        <f aca="false">IF(U1068&gt;=Assumptions!$B$10,"Healthy",IF(U1068&gt;=Assumptions!$B$11,"Needs Attention","High Risk"))</f>
        <v>Healthy</v>
      </c>
    </row>
    <row r="1069" customFormat="false" ht="15" hidden="false" customHeight="false" outlineLevel="0" collapsed="false">
      <c r="A1069" s="8" t="s">
        <v>2280</v>
      </c>
      <c r="B1069" s="8" t="s">
        <v>2281</v>
      </c>
      <c r="C1069" s="8" t="s">
        <v>51</v>
      </c>
      <c r="D1069" s="8" t="s">
        <v>2027</v>
      </c>
      <c r="E1069" s="8" t="s">
        <v>123</v>
      </c>
      <c r="F1069" s="8" t="s">
        <v>124</v>
      </c>
      <c r="G1069" s="8" t="s">
        <v>144</v>
      </c>
      <c r="H1069" s="15" t="n">
        <v>552</v>
      </c>
      <c r="I1069" s="15" t="n">
        <v>420</v>
      </c>
      <c r="J1069" s="16" t="n">
        <v>0.552</v>
      </c>
      <c r="K1069" s="8" t="n">
        <v>6.7</v>
      </c>
      <c r="L1069" s="8" t="n">
        <v>4</v>
      </c>
      <c r="M1069" s="8" t="n">
        <v>6</v>
      </c>
      <c r="N1069" s="8" t="s">
        <v>120</v>
      </c>
      <c r="O1069" s="15" t="n">
        <f aca="false">H1069*12</f>
        <v>6624</v>
      </c>
      <c r="P1069" s="8" t="n">
        <f aca="false">MIN(100,ROUND(100*J1069/Assumptions!$B$8,0))</f>
        <v>61</v>
      </c>
      <c r="Q1069" s="8" t="n">
        <f aca="false">IF(L1069="",Assumptions!$B$9,L1069*10)</f>
        <v>40</v>
      </c>
      <c r="R1069" s="8" t="n">
        <f aca="false">IF(M1069&lt;=1,Assumptions!$B$12,IF(M1069&lt;=3,Assumptions!$B$13,IF(M1069&lt;=6,Assumptions!$B$14,Assumptions!$B$15)))</f>
        <v>50</v>
      </c>
      <c r="S1069" s="8" t="n">
        <f aca="false">IF(N1069="Completed On Time",Assumptions!$B$16,IF(N1069="Completed Late",Assumptions!$B$17,Assumptions!$B$18))</f>
        <v>100</v>
      </c>
      <c r="T1069" s="8" t="n">
        <f aca="false">IF(I1069=0,Assumptions!$B$20,IF(H1069&gt;I1069,Assumptions!$B$19,IF(H1069=I1069,Assumptions!$B$20,Assumptions!$B$21)))</f>
        <v>100</v>
      </c>
      <c r="U1069" s="8" t="n">
        <f aca="false">ROUND(P1069*Assumptions!$B$2+Q1069*Assumptions!$B$3+R1069*Assumptions!$B$4+S1069*Assumptions!$B$5+T1069*Assumptions!$B$6,0)</f>
        <v>67</v>
      </c>
      <c r="V1069" s="8" t="str">
        <f aca="false">IF(U1069&gt;=Assumptions!$B$10,"Healthy",IF(U1069&gt;=Assumptions!$B$11,"Needs Attention","High Risk"))</f>
        <v>Needs Attention</v>
      </c>
    </row>
    <row r="1070" customFormat="false" ht="15" hidden="false" customHeight="false" outlineLevel="0" collapsed="false">
      <c r="A1070" s="8" t="s">
        <v>2282</v>
      </c>
      <c r="B1070" s="8" t="s">
        <v>2283</v>
      </c>
      <c r="C1070" s="8" t="s">
        <v>51</v>
      </c>
      <c r="D1070" s="8" t="s">
        <v>326</v>
      </c>
      <c r="E1070" s="8" t="s">
        <v>117</v>
      </c>
      <c r="F1070" s="8" t="s">
        <v>166</v>
      </c>
      <c r="G1070" s="8" t="s">
        <v>159</v>
      </c>
      <c r="H1070" s="15" t="n">
        <v>550</v>
      </c>
      <c r="I1070" s="15" t="n">
        <v>550</v>
      </c>
      <c r="J1070" s="16" t="n">
        <v>0.833</v>
      </c>
      <c r="K1070" s="8" t="n">
        <v>8</v>
      </c>
      <c r="L1070" s="8" t="n">
        <v>9</v>
      </c>
      <c r="M1070" s="8" t="n">
        <v>1</v>
      </c>
      <c r="N1070" s="8" t="s">
        <v>120</v>
      </c>
      <c r="O1070" s="15" t="n">
        <f aca="false">H1070*12</f>
        <v>6600</v>
      </c>
      <c r="P1070" s="8" t="n">
        <f aca="false">MIN(100,ROUND(100*J1070/Assumptions!$B$8,0))</f>
        <v>93</v>
      </c>
      <c r="Q1070" s="8" t="n">
        <f aca="false">IF(L1070="",Assumptions!$B$9,L1070*10)</f>
        <v>90</v>
      </c>
      <c r="R1070" s="8" t="n">
        <f aca="false">IF(M1070&lt;=1,Assumptions!$B$12,IF(M1070&lt;=3,Assumptions!$B$13,IF(M1070&lt;=6,Assumptions!$B$14,Assumptions!$B$15)))</f>
        <v>100</v>
      </c>
      <c r="S1070" s="8" t="n">
        <f aca="false">IF(N1070="Completed On Time",Assumptions!$B$16,IF(N1070="Completed Late",Assumptions!$B$17,Assumptions!$B$18))</f>
        <v>100</v>
      </c>
      <c r="T1070" s="8" t="n">
        <f aca="false">IF(I1070=0,Assumptions!$B$20,IF(H1070&gt;I1070,Assumptions!$B$19,IF(H1070=I1070,Assumptions!$B$20,Assumptions!$B$21)))</f>
        <v>70</v>
      </c>
      <c r="U1070" s="8" t="n">
        <f aca="false">ROUND(P1070*Assumptions!$B$2+Q1070*Assumptions!$B$3+R1070*Assumptions!$B$4+S1070*Assumptions!$B$5+T1070*Assumptions!$B$6,0)</f>
        <v>90</v>
      </c>
      <c r="V1070" s="8" t="str">
        <f aca="false">IF(U1070&gt;=Assumptions!$B$10,"Healthy",IF(U1070&gt;=Assumptions!$B$11,"Needs Attention","High Risk"))</f>
        <v>Healthy</v>
      </c>
    </row>
    <row r="1071" customFormat="false" ht="15" hidden="false" customHeight="false" outlineLevel="0" collapsed="false">
      <c r="A1071" s="8" t="s">
        <v>2284</v>
      </c>
      <c r="B1071" s="8" t="s">
        <v>2285</v>
      </c>
      <c r="C1071" s="8" t="s">
        <v>51</v>
      </c>
      <c r="D1071" s="8" t="s">
        <v>326</v>
      </c>
      <c r="E1071" s="8" t="s">
        <v>132</v>
      </c>
      <c r="F1071" s="8" t="s">
        <v>223</v>
      </c>
      <c r="G1071" s="8" t="s">
        <v>177</v>
      </c>
      <c r="H1071" s="15" t="n">
        <v>550</v>
      </c>
      <c r="I1071" s="15" t="n">
        <v>500</v>
      </c>
      <c r="J1071" s="16" t="n">
        <v>0.79</v>
      </c>
      <c r="K1071" s="8" t="n">
        <v>10.3</v>
      </c>
      <c r="L1071" s="8" t="n">
        <v>9</v>
      </c>
      <c r="M1071" s="8" t="n">
        <v>2</v>
      </c>
      <c r="N1071" s="8" t="s">
        <v>120</v>
      </c>
      <c r="O1071" s="15" t="n">
        <f aca="false">H1071*12</f>
        <v>6600</v>
      </c>
      <c r="P1071" s="8" t="n">
        <f aca="false">MIN(100,ROUND(100*J1071/Assumptions!$B$8,0))</f>
        <v>88</v>
      </c>
      <c r="Q1071" s="8" t="n">
        <f aca="false">IF(L1071="",Assumptions!$B$9,L1071*10)</f>
        <v>90</v>
      </c>
      <c r="R1071" s="8" t="n">
        <f aca="false">IF(M1071&lt;=1,Assumptions!$B$12,IF(M1071&lt;=3,Assumptions!$B$13,IF(M1071&lt;=6,Assumptions!$B$14,Assumptions!$B$15)))</f>
        <v>75</v>
      </c>
      <c r="S1071" s="8" t="n">
        <f aca="false">IF(N1071="Completed On Time",Assumptions!$B$16,IF(N1071="Completed Late",Assumptions!$B$17,Assumptions!$B$18))</f>
        <v>100</v>
      </c>
      <c r="T1071" s="8" t="n">
        <f aca="false">IF(I1071=0,Assumptions!$B$20,IF(H1071&gt;I1071,Assumptions!$B$19,IF(H1071=I1071,Assumptions!$B$20,Assumptions!$B$21)))</f>
        <v>100</v>
      </c>
      <c r="U1071" s="8" t="n">
        <f aca="false">ROUND(P1071*Assumptions!$B$2+Q1071*Assumptions!$B$3+R1071*Assumptions!$B$4+S1071*Assumptions!$B$5+T1071*Assumptions!$B$6,0)</f>
        <v>90</v>
      </c>
      <c r="V1071" s="8" t="str">
        <f aca="false">IF(U1071&gt;=Assumptions!$B$10,"Healthy",IF(U1071&gt;=Assumptions!$B$11,"Needs Attention","High Risk"))</f>
        <v>Healthy</v>
      </c>
    </row>
    <row r="1072" customFormat="false" ht="15" hidden="false" customHeight="false" outlineLevel="0" collapsed="false">
      <c r="A1072" s="8" t="s">
        <v>2286</v>
      </c>
      <c r="B1072" s="8" t="s">
        <v>2287</v>
      </c>
      <c r="C1072" s="8" t="s">
        <v>51</v>
      </c>
      <c r="D1072" s="8" t="s">
        <v>326</v>
      </c>
      <c r="E1072" s="8" t="s">
        <v>128</v>
      </c>
      <c r="F1072" s="8" t="s">
        <v>223</v>
      </c>
      <c r="G1072" s="8" t="s">
        <v>129</v>
      </c>
      <c r="H1072" s="15" t="n">
        <v>550</v>
      </c>
      <c r="I1072" s="15" t="n">
        <v>550</v>
      </c>
      <c r="J1072" s="16" t="n">
        <v>0.864</v>
      </c>
      <c r="K1072" s="8" t="n">
        <v>11.3</v>
      </c>
      <c r="L1072" s="8" t="n">
        <v>10</v>
      </c>
      <c r="M1072" s="8" t="n">
        <v>0</v>
      </c>
      <c r="N1072" s="8" t="s">
        <v>120</v>
      </c>
      <c r="O1072" s="15" t="n">
        <f aca="false">H1072*12</f>
        <v>6600</v>
      </c>
      <c r="P1072" s="8" t="n">
        <f aca="false">MIN(100,ROUND(100*J1072/Assumptions!$B$8,0))</f>
        <v>96</v>
      </c>
      <c r="Q1072" s="8" t="n">
        <f aca="false">IF(L1072="",Assumptions!$B$9,L1072*10)</f>
        <v>100</v>
      </c>
      <c r="R1072" s="8" t="n">
        <f aca="false">IF(M1072&lt;=1,Assumptions!$B$12,IF(M1072&lt;=3,Assumptions!$B$13,IF(M1072&lt;=6,Assumptions!$B$14,Assumptions!$B$15)))</f>
        <v>100</v>
      </c>
      <c r="S1072" s="8" t="n">
        <f aca="false">IF(N1072="Completed On Time",Assumptions!$B$16,IF(N1072="Completed Late",Assumptions!$B$17,Assumptions!$B$18))</f>
        <v>100</v>
      </c>
      <c r="T1072" s="8" t="n">
        <f aca="false">IF(I1072=0,Assumptions!$B$20,IF(H1072&gt;I1072,Assumptions!$B$19,IF(H1072=I1072,Assumptions!$B$20,Assumptions!$B$21)))</f>
        <v>70</v>
      </c>
      <c r="U1072" s="8" t="n">
        <f aca="false">ROUND(P1072*Assumptions!$B$2+Q1072*Assumptions!$B$3+R1072*Assumptions!$B$4+S1072*Assumptions!$B$5+T1072*Assumptions!$B$6,0)</f>
        <v>93</v>
      </c>
      <c r="V1072" s="8" t="str">
        <f aca="false">IF(U1072&gt;=Assumptions!$B$10,"Healthy",IF(U1072&gt;=Assumptions!$B$11,"Needs Attention","High Risk"))</f>
        <v>Healthy</v>
      </c>
    </row>
    <row r="1073" customFormat="false" ht="15" hidden="false" customHeight="false" outlineLevel="0" collapsed="false">
      <c r="A1073" s="8" t="s">
        <v>2288</v>
      </c>
      <c r="B1073" s="8" t="s">
        <v>2289</v>
      </c>
      <c r="C1073" s="8" t="s">
        <v>51</v>
      </c>
      <c r="D1073" s="8" t="s">
        <v>326</v>
      </c>
      <c r="E1073" s="8" t="s">
        <v>123</v>
      </c>
      <c r="F1073" s="8" t="s">
        <v>136</v>
      </c>
      <c r="G1073" s="8" t="s">
        <v>129</v>
      </c>
      <c r="H1073" s="15" t="n">
        <v>550</v>
      </c>
      <c r="I1073" s="15" t="n">
        <v>550</v>
      </c>
      <c r="J1073" s="16" t="n">
        <v>0.712</v>
      </c>
      <c r="K1073" s="8" t="n">
        <v>7</v>
      </c>
      <c r="L1073" s="8" t="n">
        <v>9</v>
      </c>
      <c r="M1073" s="8" t="n">
        <v>4</v>
      </c>
      <c r="N1073" s="8" t="s">
        <v>120</v>
      </c>
      <c r="O1073" s="15" t="n">
        <f aca="false">H1073*12</f>
        <v>6600</v>
      </c>
      <c r="P1073" s="8" t="n">
        <f aca="false">MIN(100,ROUND(100*J1073/Assumptions!$B$8,0))</f>
        <v>79</v>
      </c>
      <c r="Q1073" s="8" t="n">
        <f aca="false">IF(L1073="",Assumptions!$B$9,L1073*10)</f>
        <v>90</v>
      </c>
      <c r="R1073" s="8" t="n">
        <f aca="false">IF(M1073&lt;=1,Assumptions!$B$12,IF(M1073&lt;=3,Assumptions!$B$13,IF(M1073&lt;=6,Assumptions!$B$14,Assumptions!$B$15)))</f>
        <v>50</v>
      </c>
      <c r="S1073" s="8" t="n">
        <f aca="false">IF(N1073="Completed On Time",Assumptions!$B$16,IF(N1073="Completed Late",Assumptions!$B$17,Assumptions!$B$18))</f>
        <v>100</v>
      </c>
      <c r="T1073" s="8" t="n">
        <f aca="false">IF(I1073=0,Assumptions!$B$20,IF(H1073&gt;I1073,Assumptions!$B$19,IF(H1073=I1073,Assumptions!$B$20,Assumptions!$B$21)))</f>
        <v>70</v>
      </c>
      <c r="U1073" s="8" t="n">
        <f aca="false">ROUND(P1073*Assumptions!$B$2+Q1073*Assumptions!$B$3+R1073*Assumptions!$B$4+S1073*Assumptions!$B$5+T1073*Assumptions!$B$6,0)</f>
        <v>77</v>
      </c>
      <c r="V1073" s="8" t="str">
        <f aca="false">IF(U1073&gt;=Assumptions!$B$10,"Healthy",IF(U1073&gt;=Assumptions!$B$11,"Needs Attention","High Risk"))</f>
        <v>Needs Attention</v>
      </c>
    </row>
    <row r="1074" customFormat="false" ht="15" hidden="false" customHeight="false" outlineLevel="0" collapsed="false">
      <c r="A1074" s="8" t="s">
        <v>2290</v>
      </c>
      <c r="B1074" s="8" t="s">
        <v>2291</v>
      </c>
      <c r="C1074" s="8" t="s">
        <v>51</v>
      </c>
      <c r="D1074" s="8" t="s">
        <v>326</v>
      </c>
      <c r="E1074" s="8" t="s">
        <v>123</v>
      </c>
      <c r="F1074" s="8" t="s">
        <v>154</v>
      </c>
      <c r="G1074" s="8" t="s">
        <v>144</v>
      </c>
      <c r="H1074" s="15" t="n">
        <v>550</v>
      </c>
      <c r="I1074" s="15" t="n">
        <v>550</v>
      </c>
      <c r="J1074" s="16" t="n">
        <v>0.833</v>
      </c>
      <c r="K1074" s="8" t="n">
        <v>9.3</v>
      </c>
      <c r="L1074" s="8" t="n">
        <v>9</v>
      </c>
      <c r="M1074" s="8" t="n">
        <v>2</v>
      </c>
      <c r="N1074" s="8" t="s">
        <v>120</v>
      </c>
      <c r="O1074" s="15" t="n">
        <f aca="false">H1074*12</f>
        <v>6600</v>
      </c>
      <c r="P1074" s="8" t="n">
        <f aca="false">MIN(100,ROUND(100*J1074/Assumptions!$B$8,0))</f>
        <v>93</v>
      </c>
      <c r="Q1074" s="8" t="n">
        <f aca="false">IF(L1074="",Assumptions!$B$9,L1074*10)</f>
        <v>90</v>
      </c>
      <c r="R1074" s="8" t="n">
        <f aca="false">IF(M1074&lt;=1,Assumptions!$B$12,IF(M1074&lt;=3,Assumptions!$B$13,IF(M1074&lt;=6,Assumptions!$B$14,Assumptions!$B$15)))</f>
        <v>75</v>
      </c>
      <c r="S1074" s="8" t="n">
        <f aca="false">IF(N1074="Completed On Time",Assumptions!$B$16,IF(N1074="Completed Late",Assumptions!$B$17,Assumptions!$B$18))</f>
        <v>100</v>
      </c>
      <c r="T1074" s="8" t="n">
        <f aca="false">IF(I1074=0,Assumptions!$B$20,IF(H1074&gt;I1074,Assumptions!$B$19,IF(H1074=I1074,Assumptions!$B$20,Assumptions!$B$21)))</f>
        <v>70</v>
      </c>
      <c r="U1074" s="8" t="n">
        <f aca="false">ROUND(P1074*Assumptions!$B$2+Q1074*Assumptions!$B$3+R1074*Assumptions!$B$4+S1074*Assumptions!$B$5+T1074*Assumptions!$B$6,0)</f>
        <v>86</v>
      </c>
      <c r="V1074" s="8" t="str">
        <f aca="false">IF(U1074&gt;=Assumptions!$B$10,"Healthy",IF(U1074&gt;=Assumptions!$B$11,"Needs Attention","High Risk"))</f>
        <v>Healthy</v>
      </c>
    </row>
    <row r="1075" customFormat="false" ht="15" hidden="false" customHeight="false" outlineLevel="0" collapsed="false">
      <c r="A1075" s="8" t="s">
        <v>2292</v>
      </c>
      <c r="B1075" s="8" t="s">
        <v>2293</v>
      </c>
      <c r="C1075" s="8" t="s">
        <v>51</v>
      </c>
      <c r="D1075" s="8" t="s">
        <v>326</v>
      </c>
      <c r="E1075" s="8" t="s">
        <v>117</v>
      </c>
      <c r="F1075" s="8" t="s">
        <v>154</v>
      </c>
      <c r="G1075" s="8" t="s">
        <v>159</v>
      </c>
      <c r="H1075" s="15" t="n">
        <v>550</v>
      </c>
      <c r="I1075" s="15" t="n">
        <v>550</v>
      </c>
      <c r="J1075" s="16" t="n">
        <v>0.955</v>
      </c>
      <c r="K1075" s="8" t="n">
        <v>11.3</v>
      </c>
      <c r="L1075" s="8" t="n">
        <v>10</v>
      </c>
      <c r="M1075" s="8" t="n">
        <v>0</v>
      </c>
      <c r="N1075" s="8" t="s">
        <v>120</v>
      </c>
      <c r="O1075" s="15" t="n">
        <f aca="false">H1075*12</f>
        <v>6600</v>
      </c>
      <c r="P1075" s="8" t="n">
        <f aca="false">MIN(100,ROUND(100*J1075/Assumptions!$B$8,0))</f>
        <v>100</v>
      </c>
      <c r="Q1075" s="8" t="n">
        <f aca="false">IF(L1075="",Assumptions!$B$9,L1075*10)</f>
        <v>100</v>
      </c>
      <c r="R1075" s="8" t="n">
        <f aca="false">IF(M1075&lt;=1,Assumptions!$B$12,IF(M1075&lt;=3,Assumptions!$B$13,IF(M1075&lt;=6,Assumptions!$B$14,Assumptions!$B$15)))</f>
        <v>100</v>
      </c>
      <c r="S1075" s="8" t="n">
        <f aca="false">IF(N1075="Completed On Time",Assumptions!$B$16,IF(N1075="Completed Late",Assumptions!$B$17,Assumptions!$B$18))</f>
        <v>100</v>
      </c>
      <c r="T1075" s="8" t="n">
        <f aca="false">IF(I1075=0,Assumptions!$B$20,IF(H1075&gt;I1075,Assumptions!$B$19,IF(H1075=I1075,Assumptions!$B$20,Assumptions!$B$21)))</f>
        <v>70</v>
      </c>
      <c r="U1075" s="8" t="n">
        <f aca="false">ROUND(P1075*Assumptions!$B$2+Q1075*Assumptions!$B$3+R1075*Assumptions!$B$4+S1075*Assumptions!$B$5+T1075*Assumptions!$B$6,0)</f>
        <v>94</v>
      </c>
      <c r="V1075" s="8" t="str">
        <f aca="false">IF(U1075&gt;=Assumptions!$B$10,"Healthy",IF(U1075&gt;=Assumptions!$B$11,"Needs Attention","High Risk"))</f>
        <v>Healthy</v>
      </c>
    </row>
    <row r="1076" customFormat="false" ht="15" hidden="false" customHeight="false" outlineLevel="0" collapsed="false">
      <c r="A1076" s="8" t="s">
        <v>2294</v>
      </c>
      <c r="B1076" s="8" t="s">
        <v>2295</v>
      </c>
      <c r="C1076" s="8" t="s">
        <v>51</v>
      </c>
      <c r="D1076" s="8" t="s">
        <v>326</v>
      </c>
      <c r="E1076" s="8" t="s">
        <v>123</v>
      </c>
      <c r="F1076" s="8" t="s">
        <v>151</v>
      </c>
      <c r="G1076" s="8" t="s">
        <v>185</v>
      </c>
      <c r="H1076" s="15" t="n">
        <v>550</v>
      </c>
      <c r="I1076" s="15" t="n">
        <v>550</v>
      </c>
      <c r="J1076" s="16" t="n">
        <v>0.818</v>
      </c>
      <c r="K1076" s="8" t="n">
        <v>10</v>
      </c>
      <c r="L1076" s="8" t="n">
        <v>9</v>
      </c>
      <c r="M1076" s="8" t="n">
        <v>1</v>
      </c>
      <c r="N1076" s="8" t="s">
        <v>120</v>
      </c>
      <c r="O1076" s="15" t="n">
        <f aca="false">H1076*12</f>
        <v>6600</v>
      </c>
      <c r="P1076" s="8" t="n">
        <f aca="false">MIN(100,ROUND(100*J1076/Assumptions!$B$8,0))</f>
        <v>91</v>
      </c>
      <c r="Q1076" s="8" t="n">
        <f aca="false">IF(L1076="",Assumptions!$B$9,L1076*10)</f>
        <v>90</v>
      </c>
      <c r="R1076" s="8" t="n">
        <f aca="false">IF(M1076&lt;=1,Assumptions!$B$12,IF(M1076&lt;=3,Assumptions!$B$13,IF(M1076&lt;=6,Assumptions!$B$14,Assumptions!$B$15)))</f>
        <v>100</v>
      </c>
      <c r="S1076" s="8" t="n">
        <f aca="false">IF(N1076="Completed On Time",Assumptions!$B$16,IF(N1076="Completed Late",Assumptions!$B$17,Assumptions!$B$18))</f>
        <v>100</v>
      </c>
      <c r="T1076" s="8" t="n">
        <f aca="false">IF(I1076=0,Assumptions!$B$20,IF(H1076&gt;I1076,Assumptions!$B$19,IF(H1076=I1076,Assumptions!$B$20,Assumptions!$B$21)))</f>
        <v>70</v>
      </c>
      <c r="U1076" s="8" t="n">
        <f aca="false">ROUND(P1076*Assumptions!$B$2+Q1076*Assumptions!$B$3+R1076*Assumptions!$B$4+S1076*Assumptions!$B$5+T1076*Assumptions!$B$6,0)</f>
        <v>89</v>
      </c>
      <c r="V1076" s="8" t="str">
        <f aca="false">IF(U1076&gt;=Assumptions!$B$10,"Healthy",IF(U1076&gt;=Assumptions!$B$11,"Needs Attention","High Risk"))</f>
        <v>Healthy</v>
      </c>
    </row>
    <row r="1077" customFormat="false" ht="15" hidden="false" customHeight="false" outlineLevel="0" collapsed="false">
      <c r="A1077" s="8" t="s">
        <v>2296</v>
      </c>
      <c r="B1077" s="8" t="s">
        <v>2297</v>
      </c>
      <c r="C1077" s="8" t="s">
        <v>51</v>
      </c>
      <c r="D1077" s="8" t="s">
        <v>326</v>
      </c>
      <c r="E1077" s="8" t="s">
        <v>117</v>
      </c>
      <c r="F1077" s="8" t="s">
        <v>133</v>
      </c>
      <c r="G1077" s="8" t="s">
        <v>144</v>
      </c>
      <c r="H1077" s="15" t="n">
        <v>550</v>
      </c>
      <c r="I1077" s="15" t="n">
        <v>550</v>
      </c>
      <c r="J1077" s="16" t="n">
        <v>0.697</v>
      </c>
      <c r="K1077" s="8" t="n">
        <v>7.7</v>
      </c>
      <c r="L1077" s="8" t="n">
        <v>10</v>
      </c>
      <c r="M1077" s="8" t="n">
        <v>3</v>
      </c>
      <c r="N1077" s="8" t="s">
        <v>148</v>
      </c>
      <c r="O1077" s="15" t="n">
        <f aca="false">H1077*12</f>
        <v>6600</v>
      </c>
      <c r="P1077" s="8" t="n">
        <f aca="false">MIN(100,ROUND(100*J1077/Assumptions!$B$8,0))</f>
        <v>77</v>
      </c>
      <c r="Q1077" s="8" t="n">
        <f aca="false">IF(L1077="",Assumptions!$B$9,L1077*10)</f>
        <v>100</v>
      </c>
      <c r="R1077" s="8" t="n">
        <f aca="false">IF(M1077&lt;=1,Assumptions!$B$12,IF(M1077&lt;=3,Assumptions!$B$13,IF(M1077&lt;=6,Assumptions!$B$14,Assumptions!$B$15)))</f>
        <v>75</v>
      </c>
      <c r="S1077" s="8" t="n">
        <f aca="false">IF(N1077="Completed On Time",Assumptions!$B$16,IF(N1077="Completed Late",Assumptions!$B$17,Assumptions!$B$18))</f>
        <v>60</v>
      </c>
      <c r="T1077" s="8" t="n">
        <f aca="false">IF(I1077=0,Assumptions!$B$20,IF(H1077&gt;I1077,Assumptions!$B$19,IF(H1077=I1077,Assumptions!$B$20,Assumptions!$B$21)))</f>
        <v>70</v>
      </c>
      <c r="U1077" s="8" t="n">
        <f aca="false">ROUND(P1077*Assumptions!$B$2+Q1077*Assumptions!$B$3+R1077*Assumptions!$B$4+S1077*Assumptions!$B$5+T1077*Assumptions!$B$6,0)</f>
        <v>78</v>
      </c>
      <c r="V1077" s="8" t="str">
        <f aca="false">IF(U1077&gt;=Assumptions!$B$10,"Healthy",IF(U1077&gt;=Assumptions!$B$11,"Needs Attention","High Risk"))</f>
        <v>Needs Attention</v>
      </c>
    </row>
    <row r="1078" customFormat="false" ht="15" hidden="false" customHeight="false" outlineLevel="0" collapsed="false">
      <c r="A1078" s="8" t="s">
        <v>2298</v>
      </c>
      <c r="B1078" s="8" t="s">
        <v>2299</v>
      </c>
      <c r="C1078" s="8" t="s">
        <v>51</v>
      </c>
      <c r="D1078" s="8" t="s">
        <v>326</v>
      </c>
      <c r="E1078" s="8" t="s">
        <v>117</v>
      </c>
      <c r="F1078" s="8" t="s">
        <v>166</v>
      </c>
      <c r="G1078" s="8" t="s">
        <v>137</v>
      </c>
      <c r="H1078" s="15" t="n">
        <v>550</v>
      </c>
      <c r="I1078" s="15" t="n">
        <v>550</v>
      </c>
      <c r="J1078" s="16" t="n">
        <v>0.636</v>
      </c>
      <c r="K1078" s="8" t="n">
        <v>6.7</v>
      </c>
      <c r="L1078" s="8" t="n">
        <v>8</v>
      </c>
      <c r="M1078" s="8" t="n">
        <v>1</v>
      </c>
      <c r="N1078" s="8" t="s">
        <v>120</v>
      </c>
      <c r="O1078" s="15" t="n">
        <f aca="false">H1078*12</f>
        <v>6600</v>
      </c>
      <c r="P1078" s="8" t="n">
        <f aca="false">MIN(100,ROUND(100*J1078/Assumptions!$B$8,0))</f>
        <v>71</v>
      </c>
      <c r="Q1078" s="8" t="n">
        <f aca="false">IF(L1078="",Assumptions!$B$9,L1078*10)</f>
        <v>80</v>
      </c>
      <c r="R1078" s="8" t="n">
        <f aca="false">IF(M1078&lt;=1,Assumptions!$B$12,IF(M1078&lt;=3,Assumptions!$B$13,IF(M1078&lt;=6,Assumptions!$B$14,Assumptions!$B$15)))</f>
        <v>100</v>
      </c>
      <c r="S1078" s="8" t="n">
        <f aca="false">IF(N1078="Completed On Time",Assumptions!$B$16,IF(N1078="Completed Late",Assumptions!$B$17,Assumptions!$B$18))</f>
        <v>100</v>
      </c>
      <c r="T1078" s="8" t="n">
        <f aca="false">IF(I1078=0,Assumptions!$B$20,IF(H1078&gt;I1078,Assumptions!$B$19,IF(H1078=I1078,Assumptions!$B$20,Assumptions!$B$21)))</f>
        <v>70</v>
      </c>
      <c r="U1078" s="8" t="n">
        <f aca="false">ROUND(P1078*Assumptions!$B$2+Q1078*Assumptions!$B$3+R1078*Assumptions!$B$4+S1078*Assumptions!$B$5+T1078*Assumptions!$B$6,0)</f>
        <v>80</v>
      </c>
      <c r="V1078" s="8" t="str">
        <f aca="false">IF(U1078&gt;=Assumptions!$B$10,"Healthy",IF(U1078&gt;=Assumptions!$B$11,"Needs Attention","High Risk"))</f>
        <v>Healthy</v>
      </c>
    </row>
    <row r="1079" customFormat="false" ht="15" hidden="false" customHeight="false" outlineLevel="0" collapsed="false">
      <c r="A1079" s="8" t="s">
        <v>2300</v>
      </c>
      <c r="B1079" s="8" t="s">
        <v>2301</v>
      </c>
      <c r="C1079" s="8" t="s">
        <v>51</v>
      </c>
      <c r="D1079" s="8" t="s">
        <v>326</v>
      </c>
      <c r="E1079" s="8" t="s">
        <v>128</v>
      </c>
      <c r="F1079" s="8" t="s">
        <v>223</v>
      </c>
      <c r="G1079" s="8" t="s">
        <v>177</v>
      </c>
      <c r="H1079" s="15" t="n">
        <v>550</v>
      </c>
      <c r="I1079" s="15" t="n">
        <v>550</v>
      </c>
      <c r="J1079" s="16" t="n">
        <v>0.788</v>
      </c>
      <c r="K1079" s="8" t="n">
        <v>10.3</v>
      </c>
      <c r="L1079" s="8" t="n">
        <v>10</v>
      </c>
      <c r="M1079" s="8" t="n">
        <v>2</v>
      </c>
      <c r="N1079" s="8" t="s">
        <v>120</v>
      </c>
      <c r="O1079" s="15" t="n">
        <f aca="false">H1079*12</f>
        <v>6600</v>
      </c>
      <c r="P1079" s="8" t="n">
        <f aca="false">MIN(100,ROUND(100*J1079/Assumptions!$B$8,0))</f>
        <v>88</v>
      </c>
      <c r="Q1079" s="8" t="n">
        <f aca="false">IF(L1079="",Assumptions!$B$9,L1079*10)</f>
        <v>100</v>
      </c>
      <c r="R1079" s="8" t="n">
        <f aca="false">IF(M1079&lt;=1,Assumptions!$B$12,IF(M1079&lt;=3,Assumptions!$B$13,IF(M1079&lt;=6,Assumptions!$B$14,Assumptions!$B$15)))</f>
        <v>75</v>
      </c>
      <c r="S1079" s="8" t="n">
        <f aca="false">IF(N1079="Completed On Time",Assumptions!$B$16,IF(N1079="Completed Late",Assumptions!$B$17,Assumptions!$B$18))</f>
        <v>100</v>
      </c>
      <c r="T1079" s="8" t="n">
        <f aca="false">IF(I1079=0,Assumptions!$B$20,IF(H1079&gt;I1079,Assumptions!$B$19,IF(H1079=I1079,Assumptions!$B$20,Assumptions!$B$21)))</f>
        <v>70</v>
      </c>
      <c r="U1079" s="8" t="n">
        <f aca="false">ROUND(P1079*Assumptions!$B$2+Q1079*Assumptions!$B$3+R1079*Assumptions!$B$4+S1079*Assumptions!$B$5+T1079*Assumptions!$B$6,0)</f>
        <v>86</v>
      </c>
      <c r="V1079" s="8" t="str">
        <f aca="false">IF(U1079&gt;=Assumptions!$B$10,"Healthy",IF(U1079&gt;=Assumptions!$B$11,"Needs Attention","High Risk"))</f>
        <v>Healthy</v>
      </c>
    </row>
    <row r="1080" customFormat="false" ht="15" hidden="false" customHeight="false" outlineLevel="0" collapsed="false">
      <c r="A1080" s="8" t="s">
        <v>2302</v>
      </c>
      <c r="B1080" s="8" t="s">
        <v>2303</v>
      </c>
      <c r="C1080" s="8" t="s">
        <v>51</v>
      </c>
      <c r="D1080" s="8" t="s">
        <v>326</v>
      </c>
      <c r="E1080" s="8" t="s">
        <v>132</v>
      </c>
      <c r="F1080" s="8" t="s">
        <v>166</v>
      </c>
      <c r="G1080" s="8" t="s">
        <v>129</v>
      </c>
      <c r="H1080" s="15" t="n">
        <v>550</v>
      </c>
      <c r="I1080" s="15" t="n">
        <v>550</v>
      </c>
      <c r="J1080" s="16" t="n">
        <v>0.864</v>
      </c>
      <c r="K1080" s="8" t="n">
        <v>10.7</v>
      </c>
      <c r="L1080" s="8" t="n">
        <v>10</v>
      </c>
      <c r="M1080" s="8" t="n">
        <v>0</v>
      </c>
      <c r="N1080" s="8" t="s">
        <v>120</v>
      </c>
      <c r="O1080" s="15" t="n">
        <f aca="false">H1080*12</f>
        <v>6600</v>
      </c>
      <c r="P1080" s="8" t="n">
        <f aca="false">MIN(100,ROUND(100*J1080/Assumptions!$B$8,0))</f>
        <v>96</v>
      </c>
      <c r="Q1080" s="8" t="n">
        <f aca="false">IF(L1080="",Assumptions!$B$9,L1080*10)</f>
        <v>100</v>
      </c>
      <c r="R1080" s="8" t="n">
        <f aca="false">IF(M1080&lt;=1,Assumptions!$B$12,IF(M1080&lt;=3,Assumptions!$B$13,IF(M1080&lt;=6,Assumptions!$B$14,Assumptions!$B$15)))</f>
        <v>100</v>
      </c>
      <c r="S1080" s="8" t="n">
        <f aca="false">IF(N1080="Completed On Time",Assumptions!$B$16,IF(N1080="Completed Late",Assumptions!$B$17,Assumptions!$B$18))</f>
        <v>100</v>
      </c>
      <c r="T1080" s="8" t="n">
        <f aca="false">IF(I1080=0,Assumptions!$B$20,IF(H1080&gt;I1080,Assumptions!$B$19,IF(H1080=I1080,Assumptions!$B$20,Assumptions!$B$21)))</f>
        <v>70</v>
      </c>
      <c r="U1080" s="8" t="n">
        <f aca="false">ROUND(P1080*Assumptions!$B$2+Q1080*Assumptions!$B$3+R1080*Assumptions!$B$4+S1080*Assumptions!$B$5+T1080*Assumptions!$B$6,0)</f>
        <v>93</v>
      </c>
      <c r="V1080" s="8" t="str">
        <f aca="false">IF(U1080&gt;=Assumptions!$B$10,"Healthy",IF(U1080&gt;=Assumptions!$B$11,"Needs Attention","High Risk"))</f>
        <v>Healthy</v>
      </c>
    </row>
    <row r="1081" customFormat="false" ht="15" hidden="false" customHeight="false" outlineLevel="0" collapsed="false">
      <c r="A1081" s="8" t="s">
        <v>2304</v>
      </c>
      <c r="B1081" s="8" t="s">
        <v>2305</v>
      </c>
      <c r="C1081" s="8" t="s">
        <v>51</v>
      </c>
      <c r="D1081" s="8" t="s">
        <v>326</v>
      </c>
      <c r="E1081" s="8" t="s">
        <v>123</v>
      </c>
      <c r="F1081" s="8" t="s">
        <v>151</v>
      </c>
      <c r="G1081" s="8" t="s">
        <v>125</v>
      </c>
      <c r="H1081" s="15" t="n">
        <v>550</v>
      </c>
      <c r="I1081" s="15" t="n">
        <v>700</v>
      </c>
      <c r="J1081" s="16" t="n">
        <v>0.742</v>
      </c>
      <c r="K1081" s="8" t="n">
        <v>9.3</v>
      </c>
      <c r="L1081" s="8" t="n">
        <v>9</v>
      </c>
      <c r="M1081" s="8" t="n">
        <v>2</v>
      </c>
      <c r="N1081" s="8" t="s">
        <v>120</v>
      </c>
      <c r="O1081" s="15" t="n">
        <f aca="false">H1081*12</f>
        <v>6600</v>
      </c>
      <c r="P1081" s="8" t="n">
        <f aca="false">MIN(100,ROUND(100*J1081/Assumptions!$B$8,0))</f>
        <v>82</v>
      </c>
      <c r="Q1081" s="8" t="n">
        <f aca="false">IF(L1081="",Assumptions!$B$9,L1081*10)</f>
        <v>90</v>
      </c>
      <c r="R1081" s="8" t="n">
        <f aca="false">IF(M1081&lt;=1,Assumptions!$B$12,IF(M1081&lt;=3,Assumptions!$B$13,IF(M1081&lt;=6,Assumptions!$B$14,Assumptions!$B$15)))</f>
        <v>75</v>
      </c>
      <c r="S1081" s="8" t="n">
        <f aca="false">IF(N1081="Completed On Time",Assumptions!$B$16,IF(N1081="Completed Late",Assumptions!$B$17,Assumptions!$B$18))</f>
        <v>100</v>
      </c>
      <c r="T1081" s="8" t="n">
        <f aca="false">IF(I1081=0,Assumptions!$B$20,IF(H1081&gt;I1081,Assumptions!$B$19,IF(H1081=I1081,Assumptions!$B$20,Assumptions!$B$21)))</f>
        <v>30</v>
      </c>
      <c r="U1081" s="8" t="n">
        <f aca="false">ROUND(P1081*Assumptions!$B$2+Q1081*Assumptions!$B$3+R1081*Assumptions!$B$4+S1081*Assumptions!$B$5+T1081*Assumptions!$B$6,0)</f>
        <v>74</v>
      </c>
      <c r="V1081" s="8" t="str">
        <f aca="false">IF(U1081&gt;=Assumptions!$B$10,"Healthy",IF(U1081&gt;=Assumptions!$B$11,"Needs Attention","High Risk"))</f>
        <v>Needs Attention</v>
      </c>
    </row>
    <row r="1082" customFormat="false" ht="15" hidden="false" customHeight="false" outlineLevel="0" collapsed="false">
      <c r="A1082" s="8" t="s">
        <v>2306</v>
      </c>
      <c r="B1082" s="8" t="s">
        <v>2307</v>
      </c>
      <c r="C1082" s="8" t="s">
        <v>51</v>
      </c>
      <c r="D1082" s="8" t="s">
        <v>326</v>
      </c>
      <c r="E1082" s="8" t="s">
        <v>128</v>
      </c>
      <c r="F1082" s="8" t="s">
        <v>133</v>
      </c>
      <c r="G1082" s="8" t="s">
        <v>129</v>
      </c>
      <c r="H1082" s="15" t="n">
        <v>550</v>
      </c>
      <c r="I1082" s="15" t="n">
        <v>550</v>
      </c>
      <c r="J1082" s="16" t="n">
        <v>0.879</v>
      </c>
      <c r="K1082" s="8" t="n">
        <v>10</v>
      </c>
      <c r="L1082" s="8" t="n">
        <v>10</v>
      </c>
      <c r="M1082" s="8" t="n">
        <v>0</v>
      </c>
      <c r="N1082" s="8" t="s">
        <v>120</v>
      </c>
      <c r="O1082" s="15" t="n">
        <f aca="false">H1082*12</f>
        <v>6600</v>
      </c>
      <c r="P1082" s="8" t="n">
        <f aca="false">MIN(100,ROUND(100*J1082/Assumptions!$B$8,0))</f>
        <v>98</v>
      </c>
      <c r="Q1082" s="8" t="n">
        <f aca="false">IF(L1082="",Assumptions!$B$9,L1082*10)</f>
        <v>100</v>
      </c>
      <c r="R1082" s="8" t="n">
        <f aca="false">IF(M1082&lt;=1,Assumptions!$B$12,IF(M1082&lt;=3,Assumptions!$B$13,IF(M1082&lt;=6,Assumptions!$B$14,Assumptions!$B$15)))</f>
        <v>100</v>
      </c>
      <c r="S1082" s="8" t="n">
        <f aca="false">IF(N1082="Completed On Time",Assumptions!$B$16,IF(N1082="Completed Late",Assumptions!$B$17,Assumptions!$B$18))</f>
        <v>100</v>
      </c>
      <c r="T1082" s="8" t="n">
        <f aca="false">IF(I1082=0,Assumptions!$B$20,IF(H1082&gt;I1082,Assumptions!$B$19,IF(H1082=I1082,Assumptions!$B$20,Assumptions!$B$21)))</f>
        <v>70</v>
      </c>
      <c r="U1082" s="8" t="n">
        <f aca="false">ROUND(P1082*Assumptions!$B$2+Q1082*Assumptions!$B$3+R1082*Assumptions!$B$4+S1082*Assumptions!$B$5+T1082*Assumptions!$B$6,0)</f>
        <v>93</v>
      </c>
      <c r="V1082" s="8" t="str">
        <f aca="false">IF(U1082&gt;=Assumptions!$B$10,"Healthy",IF(U1082&gt;=Assumptions!$B$11,"Needs Attention","High Risk"))</f>
        <v>Healthy</v>
      </c>
    </row>
    <row r="1083" customFormat="false" ht="15" hidden="false" customHeight="false" outlineLevel="0" collapsed="false">
      <c r="A1083" s="8" t="s">
        <v>2308</v>
      </c>
      <c r="B1083" s="8" t="s">
        <v>2309</v>
      </c>
      <c r="C1083" s="8" t="s">
        <v>51</v>
      </c>
      <c r="D1083" s="8" t="s">
        <v>2027</v>
      </c>
      <c r="E1083" s="8" t="s">
        <v>117</v>
      </c>
      <c r="F1083" s="8" t="s">
        <v>136</v>
      </c>
      <c r="G1083" s="8" t="s">
        <v>144</v>
      </c>
      <c r="H1083" s="15" t="n">
        <v>540</v>
      </c>
      <c r="I1083" s="15" t="n">
        <v>540</v>
      </c>
      <c r="J1083" s="16" t="n">
        <v>0.593</v>
      </c>
      <c r="K1083" s="8" t="n">
        <v>4.7</v>
      </c>
      <c r="L1083" s="8" t="n">
        <v>7</v>
      </c>
      <c r="M1083" s="8" t="n">
        <v>4</v>
      </c>
      <c r="N1083" s="8" t="s">
        <v>120</v>
      </c>
      <c r="O1083" s="15" t="n">
        <f aca="false">H1083*12</f>
        <v>6480</v>
      </c>
      <c r="P1083" s="8" t="n">
        <f aca="false">MIN(100,ROUND(100*J1083/Assumptions!$B$8,0))</f>
        <v>66</v>
      </c>
      <c r="Q1083" s="8" t="n">
        <f aca="false">IF(L1083="",Assumptions!$B$9,L1083*10)</f>
        <v>70</v>
      </c>
      <c r="R1083" s="8" t="n">
        <f aca="false">IF(M1083&lt;=1,Assumptions!$B$12,IF(M1083&lt;=3,Assumptions!$B$13,IF(M1083&lt;=6,Assumptions!$B$14,Assumptions!$B$15)))</f>
        <v>50</v>
      </c>
      <c r="S1083" s="8" t="n">
        <f aca="false">IF(N1083="Completed On Time",Assumptions!$B$16,IF(N1083="Completed Late",Assumptions!$B$17,Assumptions!$B$18))</f>
        <v>100</v>
      </c>
      <c r="T1083" s="8" t="n">
        <f aca="false">IF(I1083=0,Assumptions!$B$20,IF(H1083&gt;I1083,Assumptions!$B$19,IF(H1083=I1083,Assumptions!$B$20,Assumptions!$B$21)))</f>
        <v>70</v>
      </c>
      <c r="U1083" s="8" t="n">
        <f aca="false">ROUND(P1083*Assumptions!$B$2+Q1083*Assumptions!$B$3+R1083*Assumptions!$B$4+S1083*Assumptions!$B$5+T1083*Assumptions!$B$6,0)</f>
        <v>69</v>
      </c>
      <c r="V1083" s="8" t="str">
        <f aca="false">IF(U1083&gt;=Assumptions!$B$10,"Healthy",IF(U1083&gt;=Assumptions!$B$11,"Needs Attention","High Risk"))</f>
        <v>Needs Attention</v>
      </c>
    </row>
    <row r="1084" customFormat="false" ht="15" hidden="false" customHeight="false" outlineLevel="0" collapsed="false">
      <c r="A1084" s="8" t="s">
        <v>2310</v>
      </c>
      <c r="B1084" s="8" t="s">
        <v>2311</v>
      </c>
      <c r="C1084" s="8" t="s">
        <v>51</v>
      </c>
      <c r="D1084" s="8" t="s">
        <v>2027</v>
      </c>
      <c r="E1084" s="8" t="s">
        <v>117</v>
      </c>
      <c r="F1084" s="8" t="s">
        <v>124</v>
      </c>
      <c r="G1084" s="8" t="s">
        <v>119</v>
      </c>
      <c r="H1084" s="15" t="n">
        <v>540</v>
      </c>
      <c r="I1084" s="15" t="n">
        <v>540</v>
      </c>
      <c r="J1084" s="16" t="n">
        <v>0.504</v>
      </c>
      <c r="K1084" s="8" t="n">
        <v>6</v>
      </c>
      <c r="L1084" s="8" t="n">
        <v>7</v>
      </c>
      <c r="M1084" s="8" t="n">
        <v>4</v>
      </c>
      <c r="N1084" s="8" t="s">
        <v>120</v>
      </c>
      <c r="O1084" s="15" t="n">
        <f aca="false">H1084*12</f>
        <v>6480</v>
      </c>
      <c r="P1084" s="8" t="n">
        <f aca="false">MIN(100,ROUND(100*J1084/Assumptions!$B$8,0))</f>
        <v>56</v>
      </c>
      <c r="Q1084" s="8" t="n">
        <f aca="false">IF(L1084="",Assumptions!$B$9,L1084*10)</f>
        <v>70</v>
      </c>
      <c r="R1084" s="8" t="n">
        <f aca="false">IF(M1084&lt;=1,Assumptions!$B$12,IF(M1084&lt;=3,Assumptions!$B$13,IF(M1084&lt;=6,Assumptions!$B$14,Assumptions!$B$15)))</f>
        <v>50</v>
      </c>
      <c r="S1084" s="8" t="n">
        <f aca="false">IF(N1084="Completed On Time",Assumptions!$B$16,IF(N1084="Completed Late",Assumptions!$B$17,Assumptions!$B$18))</f>
        <v>100</v>
      </c>
      <c r="T1084" s="8" t="n">
        <f aca="false">IF(I1084=0,Assumptions!$B$20,IF(H1084&gt;I1084,Assumptions!$B$19,IF(H1084=I1084,Assumptions!$B$20,Assumptions!$B$21)))</f>
        <v>70</v>
      </c>
      <c r="U1084" s="8" t="n">
        <f aca="false">ROUND(P1084*Assumptions!$B$2+Q1084*Assumptions!$B$3+R1084*Assumptions!$B$4+S1084*Assumptions!$B$5+T1084*Assumptions!$B$6,0)</f>
        <v>65</v>
      </c>
      <c r="V1084" s="8" t="str">
        <f aca="false">IF(U1084&gt;=Assumptions!$B$10,"Healthy",IF(U1084&gt;=Assumptions!$B$11,"Needs Attention","High Risk"))</f>
        <v>Needs Attention</v>
      </c>
    </row>
    <row r="1085" customFormat="false" ht="15" hidden="false" customHeight="false" outlineLevel="0" collapsed="false">
      <c r="A1085" s="8" t="s">
        <v>2312</v>
      </c>
      <c r="B1085" s="8" t="s">
        <v>2313</v>
      </c>
      <c r="C1085" s="8" t="s">
        <v>51</v>
      </c>
      <c r="D1085" s="8" t="s">
        <v>2027</v>
      </c>
      <c r="E1085" s="8" t="s">
        <v>132</v>
      </c>
      <c r="F1085" s="8" t="s">
        <v>166</v>
      </c>
      <c r="G1085" s="8" t="s">
        <v>144</v>
      </c>
      <c r="H1085" s="15" t="n">
        <v>540</v>
      </c>
      <c r="I1085" s="15" t="n">
        <v>540</v>
      </c>
      <c r="J1085" s="16" t="n">
        <v>0.733</v>
      </c>
      <c r="K1085" s="8" t="n">
        <v>9.7</v>
      </c>
      <c r="L1085" s="8" t="n">
        <v>10</v>
      </c>
      <c r="M1085" s="8" t="n">
        <v>1</v>
      </c>
      <c r="N1085" s="8" t="s">
        <v>120</v>
      </c>
      <c r="O1085" s="15" t="n">
        <f aca="false">H1085*12</f>
        <v>6480</v>
      </c>
      <c r="P1085" s="8" t="n">
        <f aca="false">MIN(100,ROUND(100*J1085/Assumptions!$B$8,0))</f>
        <v>81</v>
      </c>
      <c r="Q1085" s="8" t="n">
        <f aca="false">IF(L1085="",Assumptions!$B$9,L1085*10)</f>
        <v>100</v>
      </c>
      <c r="R1085" s="8" t="n">
        <f aca="false">IF(M1085&lt;=1,Assumptions!$B$12,IF(M1085&lt;=3,Assumptions!$B$13,IF(M1085&lt;=6,Assumptions!$B$14,Assumptions!$B$15)))</f>
        <v>100</v>
      </c>
      <c r="S1085" s="8" t="n">
        <f aca="false">IF(N1085="Completed On Time",Assumptions!$B$16,IF(N1085="Completed Late",Assumptions!$B$17,Assumptions!$B$18))</f>
        <v>100</v>
      </c>
      <c r="T1085" s="8" t="n">
        <f aca="false">IF(I1085=0,Assumptions!$B$20,IF(H1085&gt;I1085,Assumptions!$B$19,IF(H1085=I1085,Assumptions!$B$20,Assumptions!$B$21)))</f>
        <v>70</v>
      </c>
      <c r="U1085" s="8" t="n">
        <f aca="false">ROUND(P1085*Assumptions!$B$2+Q1085*Assumptions!$B$3+R1085*Assumptions!$B$4+S1085*Assumptions!$B$5+T1085*Assumptions!$B$6,0)</f>
        <v>87</v>
      </c>
      <c r="V1085" s="8" t="str">
        <f aca="false">IF(U1085&gt;=Assumptions!$B$10,"Healthy",IF(U1085&gt;=Assumptions!$B$11,"Needs Attention","High Risk"))</f>
        <v>Healthy</v>
      </c>
    </row>
    <row r="1086" customFormat="false" ht="15" hidden="false" customHeight="false" outlineLevel="0" collapsed="false">
      <c r="A1086" s="8" t="s">
        <v>2314</v>
      </c>
      <c r="B1086" s="8" t="s">
        <v>2315</v>
      </c>
      <c r="C1086" s="8" t="s">
        <v>51</v>
      </c>
      <c r="D1086" s="8" t="s">
        <v>2027</v>
      </c>
      <c r="E1086" s="8" t="s">
        <v>123</v>
      </c>
      <c r="F1086" s="8" t="s">
        <v>166</v>
      </c>
      <c r="G1086" s="8" t="s">
        <v>140</v>
      </c>
      <c r="H1086" s="15" t="n">
        <v>528</v>
      </c>
      <c r="I1086" s="15" t="n">
        <v>528</v>
      </c>
      <c r="J1086" s="16" t="n">
        <v>0.705</v>
      </c>
      <c r="K1086" s="8" t="n">
        <v>9.3</v>
      </c>
      <c r="L1086" s="8" t="n">
        <v>8</v>
      </c>
      <c r="M1086" s="8" t="n">
        <v>1</v>
      </c>
      <c r="N1086" s="8" t="s">
        <v>120</v>
      </c>
      <c r="O1086" s="15" t="n">
        <f aca="false">H1086*12</f>
        <v>6336</v>
      </c>
      <c r="P1086" s="8" t="n">
        <f aca="false">MIN(100,ROUND(100*J1086/Assumptions!$B$8,0))</f>
        <v>78</v>
      </c>
      <c r="Q1086" s="8" t="n">
        <f aca="false">IF(L1086="",Assumptions!$B$9,L1086*10)</f>
        <v>80</v>
      </c>
      <c r="R1086" s="8" t="n">
        <f aca="false">IF(M1086&lt;=1,Assumptions!$B$12,IF(M1086&lt;=3,Assumptions!$B$13,IF(M1086&lt;=6,Assumptions!$B$14,Assumptions!$B$15)))</f>
        <v>100</v>
      </c>
      <c r="S1086" s="8" t="n">
        <f aca="false">IF(N1086="Completed On Time",Assumptions!$B$16,IF(N1086="Completed Late",Assumptions!$B$17,Assumptions!$B$18))</f>
        <v>100</v>
      </c>
      <c r="T1086" s="8" t="n">
        <f aca="false">IF(I1086=0,Assumptions!$B$20,IF(H1086&gt;I1086,Assumptions!$B$19,IF(H1086=I1086,Assumptions!$B$20,Assumptions!$B$21)))</f>
        <v>70</v>
      </c>
      <c r="U1086" s="8" t="n">
        <f aca="false">ROUND(P1086*Assumptions!$B$2+Q1086*Assumptions!$B$3+R1086*Assumptions!$B$4+S1086*Assumptions!$B$5+T1086*Assumptions!$B$6,0)</f>
        <v>82</v>
      </c>
      <c r="V1086" s="8" t="str">
        <f aca="false">IF(U1086&gt;=Assumptions!$B$10,"Healthy",IF(U1086&gt;=Assumptions!$B$11,"Needs Attention","High Risk"))</f>
        <v>Healthy</v>
      </c>
    </row>
    <row r="1087" customFormat="false" ht="15" hidden="false" customHeight="false" outlineLevel="0" collapsed="false">
      <c r="A1087" s="8" t="s">
        <v>2316</v>
      </c>
      <c r="B1087" s="8" t="s">
        <v>2317</v>
      </c>
      <c r="C1087" s="8" t="s">
        <v>51</v>
      </c>
      <c r="D1087" s="8" t="s">
        <v>2027</v>
      </c>
      <c r="E1087" s="8" t="s">
        <v>123</v>
      </c>
      <c r="F1087" s="8" t="s">
        <v>223</v>
      </c>
      <c r="G1087" s="8" t="s">
        <v>177</v>
      </c>
      <c r="H1087" s="15" t="n">
        <v>528</v>
      </c>
      <c r="I1087" s="15" t="n">
        <v>528</v>
      </c>
      <c r="J1087" s="16" t="n">
        <v>0.765</v>
      </c>
      <c r="K1087" s="8" t="n">
        <v>10</v>
      </c>
      <c r="L1087" s="8" t="n">
        <v>9</v>
      </c>
      <c r="M1087" s="8" t="n">
        <v>0</v>
      </c>
      <c r="N1087" s="8" t="s">
        <v>120</v>
      </c>
      <c r="O1087" s="15" t="n">
        <f aca="false">H1087*12</f>
        <v>6336</v>
      </c>
      <c r="P1087" s="8" t="n">
        <f aca="false">MIN(100,ROUND(100*J1087/Assumptions!$B$8,0))</f>
        <v>85</v>
      </c>
      <c r="Q1087" s="8" t="n">
        <f aca="false">IF(L1087="",Assumptions!$B$9,L1087*10)</f>
        <v>90</v>
      </c>
      <c r="R1087" s="8" t="n">
        <f aca="false">IF(M1087&lt;=1,Assumptions!$B$12,IF(M1087&lt;=3,Assumptions!$B$13,IF(M1087&lt;=6,Assumptions!$B$14,Assumptions!$B$15)))</f>
        <v>100</v>
      </c>
      <c r="S1087" s="8" t="n">
        <f aca="false">IF(N1087="Completed On Time",Assumptions!$B$16,IF(N1087="Completed Late",Assumptions!$B$17,Assumptions!$B$18))</f>
        <v>100</v>
      </c>
      <c r="T1087" s="8" t="n">
        <f aca="false">IF(I1087=0,Assumptions!$B$20,IF(H1087&gt;I1087,Assumptions!$B$19,IF(H1087=I1087,Assumptions!$B$20,Assumptions!$B$21)))</f>
        <v>70</v>
      </c>
      <c r="U1087" s="8" t="n">
        <f aca="false">ROUND(P1087*Assumptions!$B$2+Q1087*Assumptions!$B$3+R1087*Assumptions!$B$4+S1087*Assumptions!$B$5+T1087*Assumptions!$B$6,0)</f>
        <v>87</v>
      </c>
      <c r="V1087" s="8" t="str">
        <f aca="false">IF(U1087&gt;=Assumptions!$B$10,"Healthy",IF(U1087&gt;=Assumptions!$B$11,"Needs Attention","High Risk"))</f>
        <v>Healthy</v>
      </c>
    </row>
    <row r="1088" customFormat="false" ht="15" hidden="false" customHeight="false" outlineLevel="0" collapsed="false">
      <c r="A1088" s="8" t="s">
        <v>2318</v>
      </c>
      <c r="B1088" s="8" t="s">
        <v>2319</v>
      </c>
      <c r="C1088" s="8" t="s">
        <v>51</v>
      </c>
      <c r="D1088" s="8" t="s">
        <v>2027</v>
      </c>
      <c r="E1088" s="8" t="s">
        <v>117</v>
      </c>
      <c r="F1088" s="8" t="s">
        <v>133</v>
      </c>
      <c r="G1088" s="8" t="s">
        <v>180</v>
      </c>
      <c r="H1088" s="15" t="n">
        <v>528</v>
      </c>
      <c r="I1088" s="15" t="n">
        <v>528</v>
      </c>
      <c r="J1088" s="16" t="n">
        <v>0.955</v>
      </c>
      <c r="K1088" s="8" t="n">
        <v>10.3</v>
      </c>
      <c r="L1088" s="8" t="n">
        <v>10</v>
      </c>
      <c r="M1088" s="8" t="n">
        <v>0</v>
      </c>
      <c r="N1088" s="8" t="s">
        <v>120</v>
      </c>
      <c r="O1088" s="15" t="n">
        <f aca="false">H1088*12</f>
        <v>6336</v>
      </c>
      <c r="P1088" s="8" t="n">
        <f aca="false">MIN(100,ROUND(100*J1088/Assumptions!$B$8,0))</f>
        <v>100</v>
      </c>
      <c r="Q1088" s="8" t="n">
        <f aca="false">IF(L1088="",Assumptions!$B$9,L1088*10)</f>
        <v>100</v>
      </c>
      <c r="R1088" s="8" t="n">
        <f aca="false">IF(M1088&lt;=1,Assumptions!$B$12,IF(M1088&lt;=3,Assumptions!$B$13,IF(M1088&lt;=6,Assumptions!$B$14,Assumptions!$B$15)))</f>
        <v>100</v>
      </c>
      <c r="S1088" s="8" t="n">
        <f aca="false">IF(N1088="Completed On Time",Assumptions!$B$16,IF(N1088="Completed Late",Assumptions!$B$17,Assumptions!$B$18))</f>
        <v>100</v>
      </c>
      <c r="T1088" s="8" t="n">
        <f aca="false">IF(I1088=0,Assumptions!$B$20,IF(H1088&gt;I1088,Assumptions!$B$19,IF(H1088=I1088,Assumptions!$B$20,Assumptions!$B$21)))</f>
        <v>70</v>
      </c>
      <c r="U1088" s="8" t="n">
        <f aca="false">ROUND(P1088*Assumptions!$B$2+Q1088*Assumptions!$B$3+R1088*Assumptions!$B$4+S1088*Assumptions!$B$5+T1088*Assumptions!$B$6,0)</f>
        <v>94</v>
      </c>
      <c r="V1088" s="8" t="str">
        <f aca="false">IF(U1088&gt;=Assumptions!$B$10,"Healthy",IF(U1088&gt;=Assumptions!$B$11,"Needs Attention","High Risk"))</f>
        <v>Healthy</v>
      </c>
    </row>
    <row r="1089" customFormat="false" ht="15" hidden="false" customHeight="false" outlineLevel="0" collapsed="false">
      <c r="A1089" s="8" t="s">
        <v>2320</v>
      </c>
      <c r="B1089" s="8" t="s">
        <v>2321</v>
      </c>
      <c r="C1089" s="8" t="s">
        <v>51</v>
      </c>
      <c r="D1089" s="8" t="s">
        <v>2027</v>
      </c>
      <c r="E1089" s="8" t="s">
        <v>123</v>
      </c>
      <c r="F1089" s="8" t="s">
        <v>143</v>
      </c>
      <c r="G1089" s="8" t="s">
        <v>119</v>
      </c>
      <c r="H1089" s="15" t="n">
        <v>528</v>
      </c>
      <c r="I1089" s="15" t="n">
        <v>528</v>
      </c>
      <c r="J1089" s="16" t="n">
        <v>0.871</v>
      </c>
      <c r="K1089" s="8" t="n">
        <v>10</v>
      </c>
      <c r="L1089" s="8" t="n">
        <v>10</v>
      </c>
      <c r="M1089" s="8" t="n">
        <v>0</v>
      </c>
      <c r="N1089" s="8" t="s">
        <v>120</v>
      </c>
      <c r="O1089" s="15" t="n">
        <f aca="false">H1089*12</f>
        <v>6336</v>
      </c>
      <c r="P1089" s="8" t="n">
        <f aca="false">MIN(100,ROUND(100*J1089/Assumptions!$B$8,0))</f>
        <v>97</v>
      </c>
      <c r="Q1089" s="8" t="n">
        <f aca="false">IF(L1089="",Assumptions!$B$9,L1089*10)</f>
        <v>100</v>
      </c>
      <c r="R1089" s="8" t="n">
        <f aca="false">IF(M1089&lt;=1,Assumptions!$B$12,IF(M1089&lt;=3,Assumptions!$B$13,IF(M1089&lt;=6,Assumptions!$B$14,Assumptions!$B$15)))</f>
        <v>100</v>
      </c>
      <c r="S1089" s="8" t="n">
        <f aca="false">IF(N1089="Completed On Time",Assumptions!$B$16,IF(N1089="Completed Late",Assumptions!$B$17,Assumptions!$B$18))</f>
        <v>100</v>
      </c>
      <c r="T1089" s="8" t="n">
        <f aca="false">IF(I1089=0,Assumptions!$B$20,IF(H1089&gt;I1089,Assumptions!$B$19,IF(H1089=I1089,Assumptions!$B$20,Assumptions!$B$21)))</f>
        <v>70</v>
      </c>
      <c r="U1089" s="8" t="n">
        <f aca="false">ROUND(P1089*Assumptions!$B$2+Q1089*Assumptions!$B$3+R1089*Assumptions!$B$4+S1089*Assumptions!$B$5+T1089*Assumptions!$B$6,0)</f>
        <v>93</v>
      </c>
      <c r="V1089" s="8" t="str">
        <f aca="false">IF(U1089&gt;=Assumptions!$B$10,"Healthy",IF(U1089&gt;=Assumptions!$B$11,"Needs Attention","High Risk"))</f>
        <v>Healthy</v>
      </c>
    </row>
    <row r="1090" customFormat="false" ht="15" hidden="false" customHeight="false" outlineLevel="0" collapsed="false">
      <c r="A1090" s="8" t="s">
        <v>2322</v>
      </c>
      <c r="B1090" s="8" t="s">
        <v>2323</v>
      </c>
      <c r="C1090" s="8" t="s">
        <v>51</v>
      </c>
      <c r="D1090" s="8" t="s">
        <v>2027</v>
      </c>
      <c r="E1090" s="8" t="s">
        <v>123</v>
      </c>
      <c r="F1090" s="8" t="s">
        <v>118</v>
      </c>
      <c r="G1090" s="8" t="s">
        <v>180</v>
      </c>
      <c r="H1090" s="15" t="n">
        <v>528</v>
      </c>
      <c r="I1090" s="15" t="n">
        <v>408</v>
      </c>
      <c r="J1090" s="16" t="n">
        <v>0.625</v>
      </c>
      <c r="K1090" s="8" t="n">
        <v>8.3</v>
      </c>
      <c r="L1090" s="8" t="n">
        <v>8</v>
      </c>
      <c r="M1090" s="8" t="n">
        <v>1</v>
      </c>
      <c r="N1090" s="8" t="s">
        <v>120</v>
      </c>
      <c r="O1090" s="15" t="n">
        <f aca="false">H1090*12</f>
        <v>6336</v>
      </c>
      <c r="P1090" s="8" t="n">
        <f aca="false">MIN(100,ROUND(100*J1090/Assumptions!$B$8,0))</f>
        <v>69</v>
      </c>
      <c r="Q1090" s="8" t="n">
        <f aca="false">IF(L1090="",Assumptions!$B$9,L1090*10)</f>
        <v>80</v>
      </c>
      <c r="R1090" s="8" t="n">
        <f aca="false">IF(M1090&lt;=1,Assumptions!$B$12,IF(M1090&lt;=3,Assumptions!$B$13,IF(M1090&lt;=6,Assumptions!$B$14,Assumptions!$B$15)))</f>
        <v>100</v>
      </c>
      <c r="S1090" s="8" t="n">
        <f aca="false">IF(N1090="Completed On Time",Assumptions!$B$16,IF(N1090="Completed Late",Assumptions!$B$17,Assumptions!$B$18))</f>
        <v>100</v>
      </c>
      <c r="T1090" s="8" t="n">
        <f aca="false">IF(I1090=0,Assumptions!$B$20,IF(H1090&gt;I1090,Assumptions!$B$19,IF(H1090=I1090,Assumptions!$B$20,Assumptions!$B$21)))</f>
        <v>100</v>
      </c>
      <c r="U1090" s="8" t="n">
        <f aca="false">ROUND(P1090*Assumptions!$B$2+Q1090*Assumptions!$B$3+R1090*Assumptions!$B$4+S1090*Assumptions!$B$5+T1090*Assumptions!$B$6,0)</f>
        <v>85</v>
      </c>
      <c r="V1090" s="8" t="str">
        <f aca="false">IF(U1090&gt;=Assumptions!$B$10,"Healthy",IF(U1090&gt;=Assumptions!$B$11,"Needs Attention","High Risk"))</f>
        <v>Healthy</v>
      </c>
    </row>
    <row r="1091" customFormat="false" ht="15" hidden="false" customHeight="false" outlineLevel="0" collapsed="false">
      <c r="A1091" s="8" t="s">
        <v>2324</v>
      </c>
      <c r="B1091" s="8" t="s">
        <v>2325</v>
      </c>
      <c r="C1091" s="8" t="s">
        <v>51</v>
      </c>
      <c r="D1091" s="8" t="s">
        <v>2027</v>
      </c>
      <c r="E1091" s="8" t="s">
        <v>123</v>
      </c>
      <c r="F1091" s="8" t="s">
        <v>136</v>
      </c>
      <c r="G1091" s="8" t="s">
        <v>180</v>
      </c>
      <c r="H1091" s="15" t="n">
        <v>528</v>
      </c>
      <c r="I1091" s="15" t="n">
        <v>528</v>
      </c>
      <c r="J1091" s="16" t="n">
        <v>0.712</v>
      </c>
      <c r="K1091" s="8" t="n">
        <v>9.3</v>
      </c>
      <c r="L1091" s="8" t="n">
        <v>9</v>
      </c>
      <c r="M1091" s="8" t="n">
        <v>2</v>
      </c>
      <c r="N1091" s="8" t="s">
        <v>120</v>
      </c>
      <c r="O1091" s="15" t="n">
        <f aca="false">H1091*12</f>
        <v>6336</v>
      </c>
      <c r="P1091" s="8" t="n">
        <f aca="false">MIN(100,ROUND(100*J1091/Assumptions!$B$8,0))</f>
        <v>79</v>
      </c>
      <c r="Q1091" s="8" t="n">
        <f aca="false">IF(L1091="",Assumptions!$B$9,L1091*10)</f>
        <v>90</v>
      </c>
      <c r="R1091" s="8" t="n">
        <f aca="false">IF(M1091&lt;=1,Assumptions!$B$12,IF(M1091&lt;=3,Assumptions!$B$13,IF(M1091&lt;=6,Assumptions!$B$14,Assumptions!$B$15)))</f>
        <v>75</v>
      </c>
      <c r="S1091" s="8" t="n">
        <f aca="false">IF(N1091="Completed On Time",Assumptions!$B$16,IF(N1091="Completed Late",Assumptions!$B$17,Assumptions!$B$18))</f>
        <v>100</v>
      </c>
      <c r="T1091" s="8" t="n">
        <f aca="false">IF(I1091=0,Assumptions!$B$20,IF(H1091&gt;I1091,Assumptions!$B$19,IF(H1091=I1091,Assumptions!$B$20,Assumptions!$B$21)))</f>
        <v>70</v>
      </c>
      <c r="U1091" s="8" t="n">
        <f aca="false">ROUND(P1091*Assumptions!$B$2+Q1091*Assumptions!$B$3+R1091*Assumptions!$B$4+S1091*Assumptions!$B$5+T1091*Assumptions!$B$6,0)</f>
        <v>81</v>
      </c>
      <c r="V1091" s="8" t="str">
        <f aca="false">IF(U1091&gt;=Assumptions!$B$10,"Healthy",IF(U1091&gt;=Assumptions!$B$11,"Needs Attention","High Risk"))</f>
        <v>Healthy</v>
      </c>
    </row>
    <row r="1092" customFormat="false" ht="15" hidden="false" customHeight="false" outlineLevel="0" collapsed="false">
      <c r="A1092" s="8" t="s">
        <v>2326</v>
      </c>
      <c r="B1092" s="8" t="s">
        <v>2327</v>
      </c>
      <c r="C1092" s="8" t="s">
        <v>51</v>
      </c>
      <c r="D1092" s="8" t="s">
        <v>326</v>
      </c>
      <c r="E1092" s="8" t="s">
        <v>117</v>
      </c>
      <c r="F1092" s="8" t="s">
        <v>223</v>
      </c>
      <c r="G1092" s="8" t="s">
        <v>177</v>
      </c>
      <c r="H1092" s="15" t="n">
        <v>525</v>
      </c>
      <c r="I1092" s="15" t="n">
        <v>525</v>
      </c>
      <c r="J1092" s="16" t="n">
        <v>0.778</v>
      </c>
      <c r="K1092" s="8" t="n">
        <v>7.7</v>
      </c>
      <c r="L1092" s="8" t="n">
        <v>10</v>
      </c>
      <c r="M1092" s="8" t="n">
        <v>0</v>
      </c>
      <c r="N1092" s="8" t="s">
        <v>120</v>
      </c>
      <c r="O1092" s="15" t="n">
        <f aca="false">H1092*12</f>
        <v>6300</v>
      </c>
      <c r="P1092" s="8" t="n">
        <f aca="false">MIN(100,ROUND(100*J1092/Assumptions!$B$8,0))</f>
        <v>86</v>
      </c>
      <c r="Q1092" s="8" t="n">
        <f aca="false">IF(L1092="",Assumptions!$B$9,L1092*10)</f>
        <v>100</v>
      </c>
      <c r="R1092" s="8" t="n">
        <f aca="false">IF(M1092&lt;=1,Assumptions!$B$12,IF(M1092&lt;=3,Assumptions!$B$13,IF(M1092&lt;=6,Assumptions!$B$14,Assumptions!$B$15)))</f>
        <v>100</v>
      </c>
      <c r="S1092" s="8" t="n">
        <f aca="false">IF(N1092="Completed On Time",Assumptions!$B$16,IF(N1092="Completed Late",Assumptions!$B$17,Assumptions!$B$18))</f>
        <v>100</v>
      </c>
      <c r="T1092" s="8" t="n">
        <f aca="false">IF(I1092=0,Assumptions!$B$20,IF(H1092&gt;I1092,Assumptions!$B$19,IF(H1092=I1092,Assumptions!$B$20,Assumptions!$B$21)))</f>
        <v>70</v>
      </c>
      <c r="U1092" s="8" t="n">
        <f aca="false">ROUND(P1092*Assumptions!$B$2+Q1092*Assumptions!$B$3+R1092*Assumptions!$B$4+S1092*Assumptions!$B$5+T1092*Assumptions!$B$6,0)</f>
        <v>89</v>
      </c>
      <c r="V1092" s="8" t="str">
        <f aca="false">IF(U1092&gt;=Assumptions!$B$10,"Healthy",IF(U1092&gt;=Assumptions!$B$11,"Needs Attention","High Risk"))</f>
        <v>Healthy</v>
      </c>
    </row>
    <row r="1093" customFormat="false" ht="15" hidden="false" customHeight="false" outlineLevel="0" collapsed="false">
      <c r="A1093" s="8" t="s">
        <v>2328</v>
      </c>
      <c r="B1093" s="8" t="s">
        <v>2329</v>
      </c>
      <c r="C1093" s="8" t="s">
        <v>51</v>
      </c>
      <c r="D1093" s="8" t="s">
        <v>326</v>
      </c>
      <c r="E1093" s="8" t="s">
        <v>123</v>
      </c>
      <c r="F1093" s="8" t="s">
        <v>143</v>
      </c>
      <c r="G1093" s="8" t="s">
        <v>159</v>
      </c>
      <c r="H1093" s="15" t="n">
        <v>525</v>
      </c>
      <c r="I1093" s="15" t="n">
        <v>525</v>
      </c>
      <c r="J1093" s="16" t="n">
        <v>0.794</v>
      </c>
      <c r="K1093" s="8" t="n">
        <v>9.7</v>
      </c>
      <c r="L1093" s="8" t="n">
        <v>10</v>
      </c>
      <c r="M1093" s="8" t="n">
        <v>2</v>
      </c>
      <c r="N1093" s="8" t="s">
        <v>120</v>
      </c>
      <c r="O1093" s="15" t="n">
        <f aca="false">H1093*12</f>
        <v>6300</v>
      </c>
      <c r="P1093" s="8" t="n">
        <f aca="false">MIN(100,ROUND(100*J1093/Assumptions!$B$8,0))</f>
        <v>88</v>
      </c>
      <c r="Q1093" s="8" t="n">
        <f aca="false">IF(L1093="",Assumptions!$B$9,L1093*10)</f>
        <v>100</v>
      </c>
      <c r="R1093" s="8" t="n">
        <f aca="false">IF(M1093&lt;=1,Assumptions!$B$12,IF(M1093&lt;=3,Assumptions!$B$13,IF(M1093&lt;=6,Assumptions!$B$14,Assumptions!$B$15)))</f>
        <v>75</v>
      </c>
      <c r="S1093" s="8" t="n">
        <f aca="false">IF(N1093="Completed On Time",Assumptions!$B$16,IF(N1093="Completed Late",Assumptions!$B$17,Assumptions!$B$18))</f>
        <v>100</v>
      </c>
      <c r="T1093" s="8" t="n">
        <f aca="false">IF(I1093=0,Assumptions!$B$20,IF(H1093&gt;I1093,Assumptions!$B$19,IF(H1093=I1093,Assumptions!$B$20,Assumptions!$B$21)))</f>
        <v>70</v>
      </c>
      <c r="U1093" s="8" t="n">
        <f aca="false">ROUND(P1093*Assumptions!$B$2+Q1093*Assumptions!$B$3+R1093*Assumptions!$B$4+S1093*Assumptions!$B$5+T1093*Assumptions!$B$6,0)</f>
        <v>86</v>
      </c>
      <c r="V1093" s="8" t="str">
        <f aca="false">IF(U1093&gt;=Assumptions!$B$10,"Healthy",IF(U1093&gt;=Assumptions!$B$11,"Needs Attention","High Risk"))</f>
        <v>Healthy</v>
      </c>
    </row>
    <row r="1094" customFormat="false" ht="15" hidden="false" customHeight="false" outlineLevel="0" collapsed="false">
      <c r="A1094" s="8" t="s">
        <v>2330</v>
      </c>
      <c r="B1094" s="8" t="s">
        <v>2331</v>
      </c>
      <c r="C1094" s="8" t="s">
        <v>51</v>
      </c>
      <c r="D1094" s="8" t="s">
        <v>326</v>
      </c>
      <c r="E1094" s="8" t="s">
        <v>117</v>
      </c>
      <c r="F1094" s="8" t="s">
        <v>154</v>
      </c>
      <c r="G1094" s="8" t="s">
        <v>144</v>
      </c>
      <c r="H1094" s="15" t="n">
        <v>525</v>
      </c>
      <c r="I1094" s="15" t="n">
        <v>425</v>
      </c>
      <c r="J1094" s="16" t="n">
        <v>0.841</v>
      </c>
      <c r="K1094" s="8" t="n">
        <v>12</v>
      </c>
      <c r="L1094" s="8" t="n">
        <v>10</v>
      </c>
      <c r="M1094" s="8" t="n">
        <v>1</v>
      </c>
      <c r="N1094" s="8" t="s">
        <v>120</v>
      </c>
      <c r="O1094" s="15" t="n">
        <f aca="false">H1094*12</f>
        <v>6300</v>
      </c>
      <c r="P1094" s="8" t="n">
        <f aca="false">MIN(100,ROUND(100*J1094/Assumptions!$B$8,0))</f>
        <v>93</v>
      </c>
      <c r="Q1094" s="8" t="n">
        <f aca="false">IF(L1094="",Assumptions!$B$9,L1094*10)</f>
        <v>100</v>
      </c>
      <c r="R1094" s="8" t="n">
        <f aca="false">IF(M1094&lt;=1,Assumptions!$B$12,IF(M1094&lt;=3,Assumptions!$B$13,IF(M1094&lt;=6,Assumptions!$B$14,Assumptions!$B$15)))</f>
        <v>100</v>
      </c>
      <c r="S1094" s="8" t="n">
        <f aca="false">IF(N1094="Completed On Time",Assumptions!$B$16,IF(N1094="Completed Late",Assumptions!$B$17,Assumptions!$B$18))</f>
        <v>100</v>
      </c>
      <c r="T1094" s="8" t="n">
        <f aca="false">IF(I1094=0,Assumptions!$B$20,IF(H1094&gt;I1094,Assumptions!$B$19,IF(H1094=I1094,Assumptions!$B$20,Assumptions!$B$21)))</f>
        <v>100</v>
      </c>
      <c r="U1094" s="8" t="n">
        <f aca="false">ROUND(P1094*Assumptions!$B$2+Q1094*Assumptions!$B$3+R1094*Assumptions!$B$4+S1094*Assumptions!$B$5+T1094*Assumptions!$B$6,0)</f>
        <v>98</v>
      </c>
      <c r="V1094" s="8" t="str">
        <f aca="false">IF(U1094&gt;=Assumptions!$B$10,"Healthy",IF(U1094&gt;=Assumptions!$B$11,"Needs Attention","High Risk"))</f>
        <v>Healthy</v>
      </c>
    </row>
    <row r="1095" customFormat="false" ht="15" hidden="false" customHeight="false" outlineLevel="0" collapsed="false">
      <c r="A1095" s="8" t="s">
        <v>2332</v>
      </c>
      <c r="B1095" s="8" t="s">
        <v>2333</v>
      </c>
      <c r="C1095" s="8" t="s">
        <v>51</v>
      </c>
      <c r="D1095" s="8" t="s">
        <v>326</v>
      </c>
      <c r="E1095" s="8" t="s">
        <v>117</v>
      </c>
      <c r="F1095" s="8" t="s">
        <v>124</v>
      </c>
      <c r="G1095" s="8" t="s">
        <v>185</v>
      </c>
      <c r="H1095" s="15" t="n">
        <v>525</v>
      </c>
      <c r="I1095" s="15" t="n">
        <v>525</v>
      </c>
      <c r="J1095" s="16" t="n">
        <v>0.873</v>
      </c>
      <c r="K1095" s="8" t="n">
        <v>10</v>
      </c>
      <c r="L1095" s="8" t="n">
        <v>10</v>
      </c>
      <c r="M1095" s="8" t="n">
        <v>0</v>
      </c>
      <c r="N1095" s="8" t="s">
        <v>120</v>
      </c>
      <c r="O1095" s="15" t="n">
        <f aca="false">H1095*12</f>
        <v>6300</v>
      </c>
      <c r="P1095" s="8" t="n">
        <f aca="false">MIN(100,ROUND(100*J1095/Assumptions!$B$8,0))</f>
        <v>97</v>
      </c>
      <c r="Q1095" s="8" t="n">
        <f aca="false">IF(L1095="",Assumptions!$B$9,L1095*10)</f>
        <v>100</v>
      </c>
      <c r="R1095" s="8" t="n">
        <f aca="false">IF(M1095&lt;=1,Assumptions!$B$12,IF(M1095&lt;=3,Assumptions!$B$13,IF(M1095&lt;=6,Assumptions!$B$14,Assumptions!$B$15)))</f>
        <v>100</v>
      </c>
      <c r="S1095" s="8" t="n">
        <f aca="false">IF(N1095="Completed On Time",Assumptions!$B$16,IF(N1095="Completed Late",Assumptions!$B$17,Assumptions!$B$18))</f>
        <v>100</v>
      </c>
      <c r="T1095" s="8" t="n">
        <f aca="false">IF(I1095=0,Assumptions!$B$20,IF(H1095&gt;I1095,Assumptions!$B$19,IF(H1095=I1095,Assumptions!$B$20,Assumptions!$B$21)))</f>
        <v>70</v>
      </c>
      <c r="U1095" s="8" t="n">
        <f aca="false">ROUND(P1095*Assumptions!$B$2+Q1095*Assumptions!$B$3+R1095*Assumptions!$B$4+S1095*Assumptions!$B$5+T1095*Assumptions!$B$6,0)</f>
        <v>93</v>
      </c>
      <c r="V1095" s="8" t="str">
        <f aca="false">IF(U1095&gt;=Assumptions!$B$10,"Healthy",IF(U1095&gt;=Assumptions!$B$11,"Needs Attention","High Risk"))</f>
        <v>Healthy</v>
      </c>
    </row>
    <row r="1096" customFormat="false" ht="15" hidden="false" customHeight="false" outlineLevel="0" collapsed="false">
      <c r="A1096" s="8" t="s">
        <v>2334</v>
      </c>
      <c r="B1096" s="8" t="s">
        <v>2335</v>
      </c>
      <c r="C1096" s="8" t="s">
        <v>51</v>
      </c>
      <c r="D1096" s="8" t="s">
        <v>326</v>
      </c>
      <c r="E1096" s="8" t="s">
        <v>132</v>
      </c>
      <c r="F1096" s="8" t="s">
        <v>143</v>
      </c>
      <c r="G1096" s="8" t="s">
        <v>137</v>
      </c>
      <c r="H1096" s="15" t="n">
        <v>525</v>
      </c>
      <c r="I1096" s="15" t="n">
        <v>525</v>
      </c>
      <c r="J1096" s="16" t="n">
        <v>0.651</v>
      </c>
      <c r="K1096" s="8" t="n">
        <v>8</v>
      </c>
      <c r="L1096" s="8" t="n">
        <v>7</v>
      </c>
      <c r="M1096" s="8" t="n">
        <v>1</v>
      </c>
      <c r="N1096" s="8" t="s">
        <v>120</v>
      </c>
      <c r="O1096" s="15" t="n">
        <f aca="false">H1096*12</f>
        <v>6300</v>
      </c>
      <c r="P1096" s="8" t="n">
        <f aca="false">MIN(100,ROUND(100*J1096/Assumptions!$B$8,0))</f>
        <v>72</v>
      </c>
      <c r="Q1096" s="8" t="n">
        <f aca="false">IF(L1096="",Assumptions!$B$9,L1096*10)</f>
        <v>70</v>
      </c>
      <c r="R1096" s="8" t="n">
        <f aca="false">IF(M1096&lt;=1,Assumptions!$B$12,IF(M1096&lt;=3,Assumptions!$B$13,IF(M1096&lt;=6,Assumptions!$B$14,Assumptions!$B$15)))</f>
        <v>100</v>
      </c>
      <c r="S1096" s="8" t="n">
        <f aca="false">IF(N1096="Completed On Time",Assumptions!$B$16,IF(N1096="Completed Late",Assumptions!$B$17,Assumptions!$B$18))</f>
        <v>100</v>
      </c>
      <c r="T1096" s="8" t="n">
        <f aca="false">IF(I1096=0,Assumptions!$B$20,IF(H1096&gt;I1096,Assumptions!$B$19,IF(H1096=I1096,Assumptions!$B$20,Assumptions!$B$21)))</f>
        <v>70</v>
      </c>
      <c r="U1096" s="8" t="n">
        <f aca="false">ROUND(P1096*Assumptions!$B$2+Q1096*Assumptions!$B$3+R1096*Assumptions!$B$4+S1096*Assumptions!$B$5+T1096*Assumptions!$B$6,0)</f>
        <v>78</v>
      </c>
      <c r="V1096" s="8" t="str">
        <f aca="false">IF(U1096&gt;=Assumptions!$B$10,"Healthy",IF(U1096&gt;=Assumptions!$B$11,"Needs Attention","High Risk"))</f>
        <v>Needs Attention</v>
      </c>
    </row>
    <row r="1097" customFormat="false" ht="15" hidden="false" customHeight="false" outlineLevel="0" collapsed="false">
      <c r="A1097" s="8" t="s">
        <v>2336</v>
      </c>
      <c r="B1097" s="8" t="s">
        <v>2337</v>
      </c>
      <c r="C1097" s="8" t="s">
        <v>51</v>
      </c>
      <c r="D1097" s="8" t="s">
        <v>2027</v>
      </c>
      <c r="E1097" s="8" t="s">
        <v>128</v>
      </c>
      <c r="F1097" s="8" t="s">
        <v>151</v>
      </c>
      <c r="G1097" s="8" t="s">
        <v>144</v>
      </c>
      <c r="H1097" s="15" t="n">
        <v>516</v>
      </c>
      <c r="I1097" s="15" t="n">
        <v>432</v>
      </c>
      <c r="J1097" s="16" t="n">
        <v>0.617</v>
      </c>
      <c r="K1097" s="8" t="n">
        <v>8.7</v>
      </c>
      <c r="L1097" s="8" t="n">
        <v>9</v>
      </c>
      <c r="M1097" s="8" t="n">
        <v>3</v>
      </c>
      <c r="N1097" s="8" t="s">
        <v>120</v>
      </c>
      <c r="O1097" s="15" t="n">
        <f aca="false">H1097*12</f>
        <v>6192</v>
      </c>
      <c r="P1097" s="8" t="n">
        <f aca="false">MIN(100,ROUND(100*J1097/Assumptions!$B$8,0))</f>
        <v>69</v>
      </c>
      <c r="Q1097" s="8" t="n">
        <f aca="false">IF(L1097="",Assumptions!$B$9,L1097*10)</f>
        <v>90</v>
      </c>
      <c r="R1097" s="8" t="n">
        <f aca="false">IF(M1097&lt;=1,Assumptions!$B$12,IF(M1097&lt;=3,Assumptions!$B$13,IF(M1097&lt;=6,Assumptions!$B$14,Assumptions!$B$15)))</f>
        <v>75</v>
      </c>
      <c r="S1097" s="8" t="n">
        <f aca="false">IF(N1097="Completed On Time",Assumptions!$B$16,IF(N1097="Completed Late",Assumptions!$B$17,Assumptions!$B$18))</f>
        <v>100</v>
      </c>
      <c r="T1097" s="8" t="n">
        <f aca="false">IF(I1097=0,Assumptions!$B$20,IF(H1097&gt;I1097,Assumptions!$B$19,IF(H1097=I1097,Assumptions!$B$20,Assumptions!$B$21)))</f>
        <v>100</v>
      </c>
      <c r="U1097" s="8" t="n">
        <f aca="false">ROUND(P1097*Assumptions!$B$2+Q1097*Assumptions!$B$3+R1097*Assumptions!$B$4+S1097*Assumptions!$B$5+T1097*Assumptions!$B$6,0)</f>
        <v>83</v>
      </c>
      <c r="V1097" s="8" t="str">
        <f aca="false">IF(U1097&gt;=Assumptions!$B$10,"Healthy",IF(U1097&gt;=Assumptions!$B$11,"Needs Attention","High Risk"))</f>
        <v>Healthy</v>
      </c>
    </row>
    <row r="1098" customFormat="false" ht="15" hidden="false" customHeight="false" outlineLevel="0" collapsed="false">
      <c r="A1098" s="8" t="s">
        <v>2338</v>
      </c>
      <c r="B1098" s="8" t="s">
        <v>2339</v>
      </c>
      <c r="C1098" s="8" t="s">
        <v>51</v>
      </c>
      <c r="D1098" s="8" t="s">
        <v>2027</v>
      </c>
      <c r="E1098" s="8" t="s">
        <v>117</v>
      </c>
      <c r="F1098" s="8" t="s">
        <v>118</v>
      </c>
      <c r="G1098" s="8" t="s">
        <v>144</v>
      </c>
      <c r="H1098" s="15" t="n">
        <v>516</v>
      </c>
      <c r="I1098" s="15" t="n">
        <v>516</v>
      </c>
      <c r="J1098" s="16" t="n">
        <v>0.721</v>
      </c>
      <c r="K1098" s="8" t="n">
        <v>9.7</v>
      </c>
      <c r="L1098" s="8" t="n">
        <v>9</v>
      </c>
      <c r="M1098" s="8" t="n">
        <v>3</v>
      </c>
      <c r="N1098" s="8" t="s">
        <v>120</v>
      </c>
      <c r="O1098" s="15" t="n">
        <f aca="false">H1098*12</f>
        <v>6192</v>
      </c>
      <c r="P1098" s="8" t="n">
        <f aca="false">MIN(100,ROUND(100*J1098/Assumptions!$B$8,0))</f>
        <v>80</v>
      </c>
      <c r="Q1098" s="8" t="n">
        <f aca="false">IF(L1098="",Assumptions!$B$9,L1098*10)</f>
        <v>90</v>
      </c>
      <c r="R1098" s="8" t="n">
        <f aca="false">IF(M1098&lt;=1,Assumptions!$B$12,IF(M1098&lt;=3,Assumptions!$B$13,IF(M1098&lt;=6,Assumptions!$B$14,Assumptions!$B$15)))</f>
        <v>75</v>
      </c>
      <c r="S1098" s="8" t="n">
        <f aca="false">IF(N1098="Completed On Time",Assumptions!$B$16,IF(N1098="Completed Late",Assumptions!$B$17,Assumptions!$B$18))</f>
        <v>100</v>
      </c>
      <c r="T1098" s="8" t="n">
        <f aca="false">IF(I1098=0,Assumptions!$B$20,IF(H1098&gt;I1098,Assumptions!$B$19,IF(H1098=I1098,Assumptions!$B$20,Assumptions!$B$21)))</f>
        <v>70</v>
      </c>
      <c r="U1098" s="8" t="n">
        <f aca="false">ROUND(P1098*Assumptions!$B$2+Q1098*Assumptions!$B$3+R1098*Assumptions!$B$4+S1098*Assumptions!$B$5+T1098*Assumptions!$B$6,0)</f>
        <v>81</v>
      </c>
      <c r="V1098" s="8" t="str">
        <f aca="false">IF(U1098&gt;=Assumptions!$B$10,"Healthy",IF(U1098&gt;=Assumptions!$B$11,"Needs Attention","High Risk"))</f>
        <v>Healthy</v>
      </c>
    </row>
    <row r="1099" customFormat="false" ht="15" hidden="false" customHeight="false" outlineLevel="0" collapsed="false">
      <c r="A1099" s="8" t="s">
        <v>2340</v>
      </c>
      <c r="B1099" s="8" t="s">
        <v>2341</v>
      </c>
      <c r="C1099" s="8" t="s">
        <v>51</v>
      </c>
      <c r="D1099" s="8" t="s">
        <v>2027</v>
      </c>
      <c r="E1099" s="8" t="s">
        <v>132</v>
      </c>
      <c r="F1099" s="8" t="s">
        <v>136</v>
      </c>
      <c r="G1099" s="8" t="s">
        <v>177</v>
      </c>
      <c r="H1099" s="15" t="n">
        <v>516</v>
      </c>
      <c r="I1099" s="15" t="n">
        <v>408</v>
      </c>
      <c r="J1099" s="16" t="n">
        <v>0.829</v>
      </c>
      <c r="K1099" s="8" t="n">
        <v>9.3</v>
      </c>
      <c r="L1099" s="8" t="n">
        <v>8</v>
      </c>
      <c r="M1099" s="8" t="n">
        <v>4</v>
      </c>
      <c r="N1099" s="8" t="s">
        <v>120</v>
      </c>
      <c r="O1099" s="15" t="n">
        <f aca="false">H1099*12</f>
        <v>6192</v>
      </c>
      <c r="P1099" s="8" t="n">
        <f aca="false">MIN(100,ROUND(100*J1099/Assumptions!$B$8,0))</f>
        <v>92</v>
      </c>
      <c r="Q1099" s="8" t="n">
        <f aca="false">IF(L1099="",Assumptions!$B$9,L1099*10)</f>
        <v>80</v>
      </c>
      <c r="R1099" s="8" t="n">
        <f aca="false">IF(M1099&lt;=1,Assumptions!$B$12,IF(M1099&lt;=3,Assumptions!$B$13,IF(M1099&lt;=6,Assumptions!$B$14,Assumptions!$B$15)))</f>
        <v>50</v>
      </c>
      <c r="S1099" s="8" t="n">
        <f aca="false">IF(N1099="Completed On Time",Assumptions!$B$16,IF(N1099="Completed Late",Assumptions!$B$17,Assumptions!$B$18))</f>
        <v>100</v>
      </c>
      <c r="T1099" s="8" t="n">
        <f aca="false">IF(I1099=0,Assumptions!$B$20,IF(H1099&gt;I1099,Assumptions!$B$19,IF(H1099=I1099,Assumptions!$B$20,Assumptions!$B$21)))</f>
        <v>100</v>
      </c>
      <c r="U1099" s="8" t="n">
        <f aca="false">ROUND(P1099*Assumptions!$B$2+Q1099*Assumptions!$B$3+R1099*Assumptions!$B$4+S1099*Assumptions!$B$5+T1099*Assumptions!$B$6,0)</f>
        <v>86</v>
      </c>
      <c r="V1099" s="8" t="str">
        <f aca="false">IF(U1099&gt;=Assumptions!$B$10,"Healthy",IF(U1099&gt;=Assumptions!$B$11,"Needs Attention","High Risk"))</f>
        <v>Healthy</v>
      </c>
    </row>
    <row r="1100" customFormat="false" ht="15" hidden="false" customHeight="false" outlineLevel="0" collapsed="false">
      <c r="A1100" s="8" t="s">
        <v>2342</v>
      </c>
      <c r="B1100" s="8" t="s">
        <v>2343</v>
      </c>
      <c r="C1100" s="8" t="s">
        <v>51</v>
      </c>
      <c r="D1100" s="8" t="s">
        <v>2027</v>
      </c>
      <c r="E1100" s="8" t="s">
        <v>132</v>
      </c>
      <c r="F1100" s="8" t="s">
        <v>118</v>
      </c>
      <c r="G1100" s="8" t="s">
        <v>180</v>
      </c>
      <c r="H1100" s="15" t="n">
        <v>516</v>
      </c>
      <c r="I1100" s="15" t="n">
        <v>420</v>
      </c>
      <c r="J1100" s="16" t="n">
        <v>0.843</v>
      </c>
      <c r="K1100" s="8" t="n">
        <v>9.7</v>
      </c>
      <c r="L1100" s="8" t="n">
        <v>9</v>
      </c>
      <c r="M1100" s="8" t="n">
        <v>1</v>
      </c>
      <c r="N1100" s="8" t="s">
        <v>120</v>
      </c>
      <c r="O1100" s="15" t="n">
        <f aca="false">H1100*12</f>
        <v>6192</v>
      </c>
      <c r="P1100" s="8" t="n">
        <f aca="false">MIN(100,ROUND(100*J1100/Assumptions!$B$8,0))</f>
        <v>94</v>
      </c>
      <c r="Q1100" s="8" t="n">
        <f aca="false">IF(L1100="",Assumptions!$B$9,L1100*10)</f>
        <v>90</v>
      </c>
      <c r="R1100" s="8" t="n">
        <f aca="false">IF(M1100&lt;=1,Assumptions!$B$12,IF(M1100&lt;=3,Assumptions!$B$13,IF(M1100&lt;=6,Assumptions!$B$14,Assumptions!$B$15)))</f>
        <v>100</v>
      </c>
      <c r="S1100" s="8" t="n">
        <f aca="false">IF(N1100="Completed On Time",Assumptions!$B$16,IF(N1100="Completed Late",Assumptions!$B$17,Assumptions!$B$18))</f>
        <v>100</v>
      </c>
      <c r="T1100" s="8" t="n">
        <f aca="false">IF(I1100=0,Assumptions!$B$20,IF(H1100&gt;I1100,Assumptions!$B$19,IF(H1100=I1100,Assumptions!$B$20,Assumptions!$B$21)))</f>
        <v>100</v>
      </c>
      <c r="U1100" s="8" t="n">
        <f aca="false">ROUND(P1100*Assumptions!$B$2+Q1100*Assumptions!$B$3+R1100*Assumptions!$B$4+S1100*Assumptions!$B$5+T1100*Assumptions!$B$6,0)</f>
        <v>96</v>
      </c>
      <c r="V1100" s="8" t="str">
        <f aca="false">IF(U1100&gt;=Assumptions!$B$10,"Healthy",IF(U1100&gt;=Assumptions!$B$11,"Needs Attention","High Risk"))</f>
        <v>Healthy</v>
      </c>
    </row>
    <row r="1101" customFormat="false" ht="15" hidden="false" customHeight="false" outlineLevel="0" collapsed="false">
      <c r="A1101" s="8" t="s">
        <v>2344</v>
      </c>
      <c r="B1101" s="8" t="s">
        <v>2345</v>
      </c>
      <c r="C1101" s="8" t="s">
        <v>51</v>
      </c>
      <c r="D1101" s="8" t="s">
        <v>2027</v>
      </c>
      <c r="E1101" s="8" t="s">
        <v>128</v>
      </c>
      <c r="F1101" s="8" t="s">
        <v>118</v>
      </c>
      <c r="G1101" s="8" t="s">
        <v>140</v>
      </c>
      <c r="H1101" s="15" t="n">
        <v>516</v>
      </c>
      <c r="I1101" s="15" t="n">
        <v>516</v>
      </c>
      <c r="J1101" s="16" t="n">
        <v>0.899</v>
      </c>
      <c r="K1101" s="8" t="n">
        <v>11.3</v>
      </c>
      <c r="L1101" s="8" t="n">
        <v>10</v>
      </c>
      <c r="M1101" s="8" t="n">
        <v>1</v>
      </c>
      <c r="N1101" s="8" t="s">
        <v>120</v>
      </c>
      <c r="O1101" s="15" t="n">
        <f aca="false">H1101*12</f>
        <v>6192</v>
      </c>
      <c r="P1101" s="8" t="n">
        <f aca="false">MIN(100,ROUND(100*J1101/Assumptions!$B$8,0))</f>
        <v>100</v>
      </c>
      <c r="Q1101" s="8" t="n">
        <f aca="false">IF(L1101="",Assumptions!$B$9,L1101*10)</f>
        <v>100</v>
      </c>
      <c r="R1101" s="8" t="n">
        <f aca="false">IF(M1101&lt;=1,Assumptions!$B$12,IF(M1101&lt;=3,Assumptions!$B$13,IF(M1101&lt;=6,Assumptions!$B$14,Assumptions!$B$15)))</f>
        <v>100</v>
      </c>
      <c r="S1101" s="8" t="n">
        <f aca="false">IF(N1101="Completed On Time",Assumptions!$B$16,IF(N1101="Completed Late",Assumptions!$B$17,Assumptions!$B$18))</f>
        <v>100</v>
      </c>
      <c r="T1101" s="8" t="n">
        <f aca="false">IF(I1101=0,Assumptions!$B$20,IF(H1101&gt;I1101,Assumptions!$B$19,IF(H1101=I1101,Assumptions!$B$20,Assumptions!$B$21)))</f>
        <v>70</v>
      </c>
      <c r="U1101" s="8" t="n">
        <f aca="false">ROUND(P1101*Assumptions!$B$2+Q1101*Assumptions!$B$3+R1101*Assumptions!$B$4+S1101*Assumptions!$B$5+T1101*Assumptions!$B$6,0)</f>
        <v>94</v>
      </c>
      <c r="V1101" s="8" t="str">
        <f aca="false">IF(U1101&gt;=Assumptions!$B$10,"Healthy",IF(U1101&gt;=Assumptions!$B$11,"Needs Attention","High Risk"))</f>
        <v>Healthy</v>
      </c>
    </row>
    <row r="1102" customFormat="false" ht="15" hidden="false" customHeight="false" outlineLevel="0" collapsed="false">
      <c r="A1102" s="8" t="s">
        <v>2346</v>
      </c>
      <c r="B1102" s="8" t="s">
        <v>2347</v>
      </c>
      <c r="C1102" s="8" t="s">
        <v>51</v>
      </c>
      <c r="D1102" s="8" t="s">
        <v>2027</v>
      </c>
      <c r="E1102" s="8" t="s">
        <v>123</v>
      </c>
      <c r="F1102" s="8" t="s">
        <v>223</v>
      </c>
      <c r="G1102" s="8" t="s">
        <v>129</v>
      </c>
      <c r="H1102" s="15" t="n">
        <v>516</v>
      </c>
      <c r="I1102" s="15" t="n">
        <v>516</v>
      </c>
      <c r="J1102" s="16" t="n">
        <v>0.721</v>
      </c>
      <c r="K1102" s="8" t="n">
        <v>9.3</v>
      </c>
      <c r="L1102" s="8" t="n">
        <v>9</v>
      </c>
      <c r="M1102" s="8" t="n">
        <v>3</v>
      </c>
      <c r="N1102" s="8" t="s">
        <v>120</v>
      </c>
      <c r="O1102" s="15" t="n">
        <f aca="false">H1102*12</f>
        <v>6192</v>
      </c>
      <c r="P1102" s="8" t="n">
        <f aca="false">MIN(100,ROUND(100*J1102/Assumptions!$B$8,0))</f>
        <v>80</v>
      </c>
      <c r="Q1102" s="8" t="n">
        <f aca="false">IF(L1102="",Assumptions!$B$9,L1102*10)</f>
        <v>90</v>
      </c>
      <c r="R1102" s="8" t="n">
        <f aca="false">IF(M1102&lt;=1,Assumptions!$B$12,IF(M1102&lt;=3,Assumptions!$B$13,IF(M1102&lt;=6,Assumptions!$B$14,Assumptions!$B$15)))</f>
        <v>75</v>
      </c>
      <c r="S1102" s="8" t="n">
        <f aca="false">IF(N1102="Completed On Time",Assumptions!$B$16,IF(N1102="Completed Late",Assumptions!$B$17,Assumptions!$B$18))</f>
        <v>100</v>
      </c>
      <c r="T1102" s="8" t="n">
        <f aca="false">IF(I1102=0,Assumptions!$B$20,IF(H1102&gt;I1102,Assumptions!$B$19,IF(H1102=I1102,Assumptions!$B$20,Assumptions!$B$21)))</f>
        <v>70</v>
      </c>
      <c r="U1102" s="8" t="n">
        <f aca="false">ROUND(P1102*Assumptions!$B$2+Q1102*Assumptions!$B$3+R1102*Assumptions!$B$4+S1102*Assumptions!$B$5+T1102*Assumptions!$B$6,0)</f>
        <v>81</v>
      </c>
      <c r="V1102" s="8" t="str">
        <f aca="false">IF(U1102&gt;=Assumptions!$B$10,"Healthy",IF(U1102&gt;=Assumptions!$B$11,"Needs Attention","High Risk"))</f>
        <v>Healthy</v>
      </c>
    </row>
    <row r="1103" customFormat="false" ht="15" hidden="false" customHeight="false" outlineLevel="0" collapsed="false">
      <c r="A1103" s="8" t="s">
        <v>2348</v>
      </c>
      <c r="B1103" s="8" t="s">
        <v>2349</v>
      </c>
      <c r="C1103" s="8" t="s">
        <v>51</v>
      </c>
      <c r="D1103" s="8" t="s">
        <v>2027</v>
      </c>
      <c r="E1103" s="8" t="s">
        <v>132</v>
      </c>
      <c r="F1103" s="8" t="s">
        <v>124</v>
      </c>
      <c r="G1103" s="8" t="s">
        <v>137</v>
      </c>
      <c r="H1103" s="15" t="n">
        <v>516</v>
      </c>
      <c r="I1103" s="15" t="n">
        <v>516</v>
      </c>
      <c r="J1103" s="16" t="n">
        <v>0.915</v>
      </c>
      <c r="K1103" s="8" t="n">
        <v>10.7</v>
      </c>
      <c r="L1103" s="8" t="n">
        <v>10</v>
      </c>
      <c r="M1103" s="8" t="n">
        <v>2</v>
      </c>
      <c r="N1103" s="8" t="s">
        <v>120</v>
      </c>
      <c r="O1103" s="15" t="n">
        <f aca="false">H1103*12</f>
        <v>6192</v>
      </c>
      <c r="P1103" s="8" t="n">
        <f aca="false">MIN(100,ROUND(100*J1103/Assumptions!$B$8,0))</f>
        <v>100</v>
      </c>
      <c r="Q1103" s="8" t="n">
        <f aca="false">IF(L1103="",Assumptions!$B$9,L1103*10)</f>
        <v>100</v>
      </c>
      <c r="R1103" s="8" t="n">
        <f aca="false">IF(M1103&lt;=1,Assumptions!$B$12,IF(M1103&lt;=3,Assumptions!$B$13,IF(M1103&lt;=6,Assumptions!$B$14,Assumptions!$B$15)))</f>
        <v>75</v>
      </c>
      <c r="S1103" s="8" t="n">
        <f aca="false">IF(N1103="Completed On Time",Assumptions!$B$16,IF(N1103="Completed Late",Assumptions!$B$17,Assumptions!$B$18))</f>
        <v>100</v>
      </c>
      <c r="T1103" s="8" t="n">
        <f aca="false">IF(I1103=0,Assumptions!$B$20,IF(H1103&gt;I1103,Assumptions!$B$19,IF(H1103=I1103,Assumptions!$B$20,Assumptions!$B$21)))</f>
        <v>70</v>
      </c>
      <c r="U1103" s="8" t="n">
        <f aca="false">ROUND(P1103*Assumptions!$B$2+Q1103*Assumptions!$B$3+R1103*Assumptions!$B$4+S1103*Assumptions!$B$5+T1103*Assumptions!$B$6,0)</f>
        <v>90</v>
      </c>
      <c r="V1103" s="8" t="str">
        <f aca="false">IF(U1103&gt;=Assumptions!$B$10,"Healthy",IF(U1103&gt;=Assumptions!$B$11,"Needs Attention","High Risk"))</f>
        <v>Healthy</v>
      </c>
    </row>
    <row r="1104" customFormat="false" ht="15" hidden="false" customHeight="false" outlineLevel="0" collapsed="false">
      <c r="A1104" s="8" t="s">
        <v>2350</v>
      </c>
      <c r="B1104" s="8" t="s">
        <v>2351</v>
      </c>
      <c r="C1104" s="8" t="s">
        <v>51</v>
      </c>
      <c r="D1104" s="8" t="s">
        <v>2027</v>
      </c>
      <c r="E1104" s="8" t="s">
        <v>132</v>
      </c>
      <c r="F1104" s="8" t="s">
        <v>133</v>
      </c>
      <c r="G1104" s="8" t="s">
        <v>159</v>
      </c>
      <c r="H1104" s="15" t="n">
        <v>516</v>
      </c>
      <c r="I1104" s="15" t="n">
        <v>384</v>
      </c>
      <c r="J1104" s="16" t="n">
        <v>0.467</v>
      </c>
      <c r="K1104" s="8" t="n">
        <v>6.3</v>
      </c>
      <c r="L1104" s="8" t="n">
        <v>7</v>
      </c>
      <c r="M1104" s="8" t="n">
        <v>3</v>
      </c>
      <c r="N1104" s="8" t="s">
        <v>148</v>
      </c>
      <c r="O1104" s="15" t="n">
        <f aca="false">H1104*12</f>
        <v>6192</v>
      </c>
      <c r="P1104" s="8" t="n">
        <f aca="false">MIN(100,ROUND(100*J1104/Assumptions!$B$8,0))</f>
        <v>52</v>
      </c>
      <c r="Q1104" s="8" t="n">
        <f aca="false">IF(L1104="",Assumptions!$B$9,L1104*10)</f>
        <v>70</v>
      </c>
      <c r="R1104" s="8" t="n">
        <f aca="false">IF(M1104&lt;=1,Assumptions!$B$12,IF(M1104&lt;=3,Assumptions!$B$13,IF(M1104&lt;=6,Assumptions!$B$14,Assumptions!$B$15)))</f>
        <v>75</v>
      </c>
      <c r="S1104" s="8" t="n">
        <f aca="false">IF(N1104="Completed On Time",Assumptions!$B$16,IF(N1104="Completed Late",Assumptions!$B$17,Assumptions!$B$18))</f>
        <v>60</v>
      </c>
      <c r="T1104" s="8" t="n">
        <f aca="false">IF(I1104=0,Assumptions!$B$20,IF(H1104&gt;I1104,Assumptions!$B$19,IF(H1104=I1104,Assumptions!$B$20,Assumptions!$B$21)))</f>
        <v>100</v>
      </c>
      <c r="U1104" s="8" t="n">
        <f aca="false">ROUND(P1104*Assumptions!$B$2+Q1104*Assumptions!$B$3+R1104*Assumptions!$B$4+S1104*Assumptions!$B$5+T1104*Assumptions!$B$6,0)</f>
        <v>69</v>
      </c>
      <c r="V1104" s="8" t="str">
        <f aca="false">IF(U1104&gt;=Assumptions!$B$10,"Healthy",IF(U1104&gt;=Assumptions!$B$11,"Needs Attention","High Risk"))</f>
        <v>Needs Attention</v>
      </c>
    </row>
    <row r="1105" customFormat="false" ht="15" hidden="false" customHeight="false" outlineLevel="0" collapsed="false">
      <c r="A1105" s="8" t="s">
        <v>2352</v>
      </c>
      <c r="B1105" s="8" t="s">
        <v>2353</v>
      </c>
      <c r="C1105" s="8" t="s">
        <v>51</v>
      </c>
      <c r="D1105" s="8" t="s">
        <v>2027</v>
      </c>
      <c r="E1105" s="8" t="s">
        <v>132</v>
      </c>
      <c r="F1105" s="8" t="s">
        <v>136</v>
      </c>
      <c r="G1105" s="8" t="s">
        <v>185</v>
      </c>
      <c r="H1105" s="15" t="n">
        <v>504</v>
      </c>
      <c r="I1105" s="15" t="n">
        <v>384</v>
      </c>
      <c r="J1105" s="16" t="n">
        <v>0.943</v>
      </c>
      <c r="K1105" s="8" t="n">
        <v>10</v>
      </c>
      <c r="L1105" s="8" t="n">
        <v>9</v>
      </c>
      <c r="M1105" s="8" t="n">
        <v>0</v>
      </c>
      <c r="N1105" s="8" t="s">
        <v>120</v>
      </c>
      <c r="O1105" s="15" t="n">
        <f aca="false">H1105*12</f>
        <v>6048</v>
      </c>
      <c r="P1105" s="8" t="n">
        <f aca="false">MIN(100,ROUND(100*J1105/Assumptions!$B$8,0))</f>
        <v>100</v>
      </c>
      <c r="Q1105" s="8" t="n">
        <f aca="false">IF(L1105="",Assumptions!$B$9,L1105*10)</f>
        <v>90</v>
      </c>
      <c r="R1105" s="8" t="n">
        <f aca="false">IF(M1105&lt;=1,Assumptions!$B$12,IF(M1105&lt;=3,Assumptions!$B$13,IF(M1105&lt;=6,Assumptions!$B$14,Assumptions!$B$15)))</f>
        <v>100</v>
      </c>
      <c r="S1105" s="8" t="n">
        <f aca="false">IF(N1105="Completed On Time",Assumptions!$B$16,IF(N1105="Completed Late",Assumptions!$B$17,Assumptions!$B$18))</f>
        <v>100</v>
      </c>
      <c r="T1105" s="8" t="n">
        <f aca="false">IF(I1105=0,Assumptions!$B$20,IF(H1105&gt;I1105,Assumptions!$B$19,IF(H1105=I1105,Assumptions!$B$20,Assumptions!$B$21)))</f>
        <v>100</v>
      </c>
      <c r="U1105" s="8" t="n">
        <f aca="false">ROUND(P1105*Assumptions!$B$2+Q1105*Assumptions!$B$3+R1105*Assumptions!$B$4+S1105*Assumptions!$B$5+T1105*Assumptions!$B$6,0)</f>
        <v>98</v>
      </c>
      <c r="V1105" s="8" t="str">
        <f aca="false">IF(U1105&gt;=Assumptions!$B$10,"Healthy",IF(U1105&gt;=Assumptions!$B$11,"Needs Attention","High Risk"))</f>
        <v>Healthy</v>
      </c>
    </row>
    <row r="1106" customFormat="false" ht="15" hidden="false" customHeight="false" outlineLevel="0" collapsed="false">
      <c r="A1106" s="8" t="s">
        <v>2354</v>
      </c>
      <c r="B1106" s="8" t="s">
        <v>2355</v>
      </c>
      <c r="C1106" s="8" t="s">
        <v>51</v>
      </c>
      <c r="D1106" s="8" t="s">
        <v>2027</v>
      </c>
      <c r="E1106" s="8" t="s">
        <v>128</v>
      </c>
      <c r="F1106" s="8" t="s">
        <v>190</v>
      </c>
      <c r="G1106" s="8" t="s">
        <v>129</v>
      </c>
      <c r="H1106" s="15" t="n">
        <v>504</v>
      </c>
      <c r="I1106" s="15" t="n">
        <v>504</v>
      </c>
      <c r="J1106" s="16" t="n">
        <v>0.571</v>
      </c>
      <c r="K1106" s="8" t="n">
        <v>6</v>
      </c>
      <c r="L1106" s="8" t="n">
        <v>4</v>
      </c>
      <c r="M1106" s="8" t="n">
        <v>5</v>
      </c>
      <c r="N1106" s="8" t="s">
        <v>120</v>
      </c>
      <c r="O1106" s="15" t="n">
        <f aca="false">H1106*12</f>
        <v>6048</v>
      </c>
      <c r="P1106" s="8" t="n">
        <f aca="false">MIN(100,ROUND(100*J1106/Assumptions!$B$8,0))</f>
        <v>63</v>
      </c>
      <c r="Q1106" s="8" t="n">
        <f aca="false">IF(L1106="",Assumptions!$B$9,L1106*10)</f>
        <v>40</v>
      </c>
      <c r="R1106" s="8" t="n">
        <f aca="false">IF(M1106&lt;=1,Assumptions!$B$12,IF(M1106&lt;=3,Assumptions!$B$13,IF(M1106&lt;=6,Assumptions!$B$14,Assumptions!$B$15)))</f>
        <v>50</v>
      </c>
      <c r="S1106" s="8" t="n">
        <f aca="false">IF(N1106="Completed On Time",Assumptions!$B$16,IF(N1106="Completed Late",Assumptions!$B$17,Assumptions!$B$18))</f>
        <v>100</v>
      </c>
      <c r="T1106" s="8" t="n">
        <f aca="false">IF(I1106=0,Assumptions!$B$20,IF(H1106&gt;I1106,Assumptions!$B$19,IF(H1106=I1106,Assumptions!$B$20,Assumptions!$B$21)))</f>
        <v>70</v>
      </c>
      <c r="U1106" s="8" t="n">
        <f aca="false">ROUND(P1106*Assumptions!$B$2+Q1106*Assumptions!$B$3+R1106*Assumptions!$B$4+S1106*Assumptions!$B$5+T1106*Assumptions!$B$6,0)</f>
        <v>62</v>
      </c>
      <c r="V1106" s="8" t="str">
        <f aca="false">IF(U1106&gt;=Assumptions!$B$10,"Healthy",IF(U1106&gt;=Assumptions!$B$11,"Needs Attention","High Risk"))</f>
        <v>High Risk</v>
      </c>
    </row>
    <row r="1107" customFormat="false" ht="15" hidden="false" customHeight="false" outlineLevel="0" collapsed="false">
      <c r="A1107" s="8" t="s">
        <v>2356</v>
      </c>
      <c r="B1107" s="8" t="s">
        <v>2357</v>
      </c>
      <c r="C1107" s="8" t="s">
        <v>51</v>
      </c>
      <c r="D1107" s="8" t="s">
        <v>2027</v>
      </c>
      <c r="E1107" s="8" t="s">
        <v>123</v>
      </c>
      <c r="F1107" s="8" t="s">
        <v>166</v>
      </c>
      <c r="G1107" s="8" t="s">
        <v>144</v>
      </c>
      <c r="H1107" s="15" t="n">
        <v>504</v>
      </c>
      <c r="I1107" s="15" t="n">
        <v>504</v>
      </c>
      <c r="J1107" s="16" t="n">
        <v>0.746</v>
      </c>
      <c r="K1107" s="8" t="n">
        <v>10</v>
      </c>
      <c r="L1107" s="8" t="n">
        <v>10</v>
      </c>
      <c r="M1107" s="8" t="n">
        <v>1</v>
      </c>
      <c r="N1107" s="8" t="s">
        <v>120</v>
      </c>
      <c r="O1107" s="15" t="n">
        <f aca="false">H1107*12</f>
        <v>6048</v>
      </c>
      <c r="P1107" s="8" t="n">
        <f aca="false">MIN(100,ROUND(100*J1107/Assumptions!$B$8,0))</f>
        <v>83</v>
      </c>
      <c r="Q1107" s="8" t="n">
        <f aca="false">IF(L1107="",Assumptions!$B$9,L1107*10)</f>
        <v>100</v>
      </c>
      <c r="R1107" s="8" t="n">
        <f aca="false">IF(M1107&lt;=1,Assumptions!$B$12,IF(M1107&lt;=3,Assumptions!$B$13,IF(M1107&lt;=6,Assumptions!$B$14,Assumptions!$B$15)))</f>
        <v>100</v>
      </c>
      <c r="S1107" s="8" t="n">
        <f aca="false">IF(N1107="Completed On Time",Assumptions!$B$16,IF(N1107="Completed Late",Assumptions!$B$17,Assumptions!$B$18))</f>
        <v>100</v>
      </c>
      <c r="T1107" s="8" t="n">
        <f aca="false">IF(I1107=0,Assumptions!$B$20,IF(H1107&gt;I1107,Assumptions!$B$19,IF(H1107=I1107,Assumptions!$B$20,Assumptions!$B$21)))</f>
        <v>70</v>
      </c>
      <c r="U1107" s="8" t="n">
        <f aca="false">ROUND(P1107*Assumptions!$B$2+Q1107*Assumptions!$B$3+R1107*Assumptions!$B$4+S1107*Assumptions!$B$5+T1107*Assumptions!$B$6,0)</f>
        <v>88</v>
      </c>
      <c r="V1107" s="8" t="str">
        <f aca="false">IF(U1107&gt;=Assumptions!$B$10,"Healthy",IF(U1107&gt;=Assumptions!$B$11,"Needs Attention","High Risk"))</f>
        <v>Healthy</v>
      </c>
    </row>
    <row r="1108" customFormat="false" ht="15" hidden="false" customHeight="false" outlineLevel="0" collapsed="false">
      <c r="A1108" s="8" t="s">
        <v>2358</v>
      </c>
      <c r="B1108" s="8" t="s">
        <v>2359</v>
      </c>
      <c r="C1108" s="8" t="s">
        <v>51</v>
      </c>
      <c r="D1108" s="8" t="s">
        <v>2027</v>
      </c>
      <c r="E1108" s="8" t="s">
        <v>117</v>
      </c>
      <c r="F1108" s="8" t="s">
        <v>166</v>
      </c>
      <c r="G1108" s="8" t="s">
        <v>159</v>
      </c>
      <c r="H1108" s="15" t="n">
        <v>504</v>
      </c>
      <c r="I1108" s="15" t="n">
        <v>504</v>
      </c>
      <c r="J1108" s="16" t="n">
        <v>0.786</v>
      </c>
      <c r="K1108" s="8" t="n">
        <v>9</v>
      </c>
      <c r="L1108" s="8" t="n">
        <v>10</v>
      </c>
      <c r="M1108" s="8" t="n">
        <v>2</v>
      </c>
      <c r="N1108" s="8" t="s">
        <v>120</v>
      </c>
      <c r="O1108" s="15" t="n">
        <f aca="false">H1108*12</f>
        <v>6048</v>
      </c>
      <c r="P1108" s="8" t="n">
        <f aca="false">MIN(100,ROUND(100*J1108/Assumptions!$B$8,0))</f>
        <v>87</v>
      </c>
      <c r="Q1108" s="8" t="n">
        <f aca="false">IF(L1108="",Assumptions!$B$9,L1108*10)</f>
        <v>100</v>
      </c>
      <c r="R1108" s="8" t="n">
        <f aca="false">IF(M1108&lt;=1,Assumptions!$B$12,IF(M1108&lt;=3,Assumptions!$B$13,IF(M1108&lt;=6,Assumptions!$B$14,Assumptions!$B$15)))</f>
        <v>75</v>
      </c>
      <c r="S1108" s="8" t="n">
        <f aca="false">IF(N1108="Completed On Time",Assumptions!$B$16,IF(N1108="Completed Late",Assumptions!$B$17,Assumptions!$B$18))</f>
        <v>100</v>
      </c>
      <c r="T1108" s="8" t="n">
        <f aca="false">IF(I1108=0,Assumptions!$B$20,IF(H1108&gt;I1108,Assumptions!$B$19,IF(H1108=I1108,Assumptions!$B$20,Assumptions!$B$21)))</f>
        <v>70</v>
      </c>
      <c r="U1108" s="8" t="n">
        <f aca="false">ROUND(P1108*Assumptions!$B$2+Q1108*Assumptions!$B$3+R1108*Assumptions!$B$4+S1108*Assumptions!$B$5+T1108*Assumptions!$B$6,0)</f>
        <v>86</v>
      </c>
      <c r="V1108" s="8" t="str">
        <f aca="false">IF(U1108&gt;=Assumptions!$B$10,"Healthy",IF(U1108&gt;=Assumptions!$B$11,"Needs Attention","High Risk"))</f>
        <v>Healthy</v>
      </c>
    </row>
    <row r="1109" customFormat="false" ht="15" hidden="false" customHeight="false" outlineLevel="0" collapsed="false">
      <c r="A1109" s="8" t="s">
        <v>2360</v>
      </c>
      <c r="B1109" s="8" t="s">
        <v>2361</v>
      </c>
      <c r="C1109" s="8" t="s">
        <v>51</v>
      </c>
      <c r="D1109" s="8" t="s">
        <v>2027</v>
      </c>
      <c r="E1109" s="8" t="s">
        <v>132</v>
      </c>
      <c r="F1109" s="8" t="s">
        <v>166</v>
      </c>
      <c r="G1109" s="8" t="s">
        <v>140</v>
      </c>
      <c r="H1109" s="15" t="n">
        <v>504</v>
      </c>
      <c r="I1109" s="15" t="n">
        <v>504</v>
      </c>
      <c r="J1109" s="16" t="n">
        <v>0.913</v>
      </c>
      <c r="K1109" s="8" t="n">
        <v>9.3</v>
      </c>
      <c r="L1109" s="8" t="n">
        <v>9</v>
      </c>
      <c r="M1109" s="8" t="n">
        <v>1</v>
      </c>
      <c r="N1109" s="8" t="s">
        <v>120</v>
      </c>
      <c r="O1109" s="15" t="n">
        <f aca="false">H1109*12</f>
        <v>6048</v>
      </c>
      <c r="P1109" s="8" t="n">
        <f aca="false">MIN(100,ROUND(100*J1109/Assumptions!$B$8,0))</f>
        <v>100</v>
      </c>
      <c r="Q1109" s="8" t="n">
        <f aca="false">IF(L1109="",Assumptions!$B$9,L1109*10)</f>
        <v>90</v>
      </c>
      <c r="R1109" s="8" t="n">
        <f aca="false">IF(M1109&lt;=1,Assumptions!$B$12,IF(M1109&lt;=3,Assumptions!$B$13,IF(M1109&lt;=6,Assumptions!$B$14,Assumptions!$B$15)))</f>
        <v>100</v>
      </c>
      <c r="S1109" s="8" t="n">
        <f aca="false">IF(N1109="Completed On Time",Assumptions!$B$16,IF(N1109="Completed Late",Assumptions!$B$17,Assumptions!$B$18))</f>
        <v>100</v>
      </c>
      <c r="T1109" s="8" t="n">
        <f aca="false">IF(I1109=0,Assumptions!$B$20,IF(H1109&gt;I1109,Assumptions!$B$19,IF(H1109=I1109,Assumptions!$B$20,Assumptions!$B$21)))</f>
        <v>70</v>
      </c>
      <c r="U1109" s="8" t="n">
        <f aca="false">ROUND(P1109*Assumptions!$B$2+Q1109*Assumptions!$B$3+R1109*Assumptions!$B$4+S1109*Assumptions!$B$5+T1109*Assumptions!$B$6,0)</f>
        <v>92</v>
      </c>
      <c r="V1109" s="8" t="str">
        <f aca="false">IF(U1109&gt;=Assumptions!$B$10,"Healthy",IF(U1109&gt;=Assumptions!$B$11,"Needs Attention","High Risk"))</f>
        <v>Healthy</v>
      </c>
    </row>
    <row r="1110" customFormat="false" ht="15" hidden="false" customHeight="false" outlineLevel="0" collapsed="false">
      <c r="A1110" s="8" t="s">
        <v>2362</v>
      </c>
      <c r="B1110" s="8" t="s">
        <v>2363</v>
      </c>
      <c r="C1110" s="8" t="s">
        <v>51</v>
      </c>
      <c r="D1110" s="8" t="s">
        <v>2027</v>
      </c>
      <c r="E1110" s="8" t="s">
        <v>117</v>
      </c>
      <c r="F1110" s="8" t="s">
        <v>124</v>
      </c>
      <c r="G1110" s="8" t="s">
        <v>185</v>
      </c>
      <c r="H1110" s="15" t="n">
        <v>504</v>
      </c>
      <c r="I1110" s="15" t="n">
        <v>504</v>
      </c>
      <c r="J1110" s="16" t="n">
        <v>0.762</v>
      </c>
      <c r="K1110" s="8" t="n">
        <v>8.3</v>
      </c>
      <c r="L1110" s="8" t="n">
        <v>10</v>
      </c>
      <c r="M1110" s="8" t="n">
        <v>2</v>
      </c>
      <c r="N1110" s="8" t="s">
        <v>120</v>
      </c>
      <c r="O1110" s="15" t="n">
        <f aca="false">H1110*12</f>
        <v>6048</v>
      </c>
      <c r="P1110" s="8" t="n">
        <f aca="false">MIN(100,ROUND(100*J1110/Assumptions!$B$8,0))</f>
        <v>85</v>
      </c>
      <c r="Q1110" s="8" t="n">
        <f aca="false">IF(L1110="",Assumptions!$B$9,L1110*10)</f>
        <v>100</v>
      </c>
      <c r="R1110" s="8" t="n">
        <f aca="false">IF(M1110&lt;=1,Assumptions!$B$12,IF(M1110&lt;=3,Assumptions!$B$13,IF(M1110&lt;=6,Assumptions!$B$14,Assumptions!$B$15)))</f>
        <v>75</v>
      </c>
      <c r="S1110" s="8" t="n">
        <f aca="false">IF(N1110="Completed On Time",Assumptions!$B$16,IF(N1110="Completed Late",Assumptions!$B$17,Assumptions!$B$18))</f>
        <v>100</v>
      </c>
      <c r="T1110" s="8" t="n">
        <f aca="false">IF(I1110=0,Assumptions!$B$20,IF(H1110&gt;I1110,Assumptions!$B$19,IF(H1110=I1110,Assumptions!$B$20,Assumptions!$B$21)))</f>
        <v>70</v>
      </c>
      <c r="U1110" s="8" t="n">
        <f aca="false">ROUND(P1110*Assumptions!$B$2+Q1110*Assumptions!$B$3+R1110*Assumptions!$B$4+S1110*Assumptions!$B$5+T1110*Assumptions!$B$6,0)</f>
        <v>85</v>
      </c>
      <c r="V1110" s="8" t="str">
        <f aca="false">IF(U1110&gt;=Assumptions!$B$10,"Healthy",IF(U1110&gt;=Assumptions!$B$11,"Needs Attention","High Risk"))</f>
        <v>Healthy</v>
      </c>
    </row>
    <row r="1111" customFormat="false" ht="15" hidden="false" customHeight="false" outlineLevel="0" collapsed="false">
      <c r="A1111" s="8" t="s">
        <v>2364</v>
      </c>
      <c r="B1111" s="8" t="s">
        <v>2365</v>
      </c>
      <c r="C1111" s="8" t="s">
        <v>51</v>
      </c>
      <c r="D1111" s="8" t="s">
        <v>326</v>
      </c>
      <c r="E1111" s="8" t="s">
        <v>123</v>
      </c>
      <c r="F1111" s="8" t="s">
        <v>223</v>
      </c>
      <c r="G1111" s="8" t="s">
        <v>159</v>
      </c>
      <c r="H1111" s="15" t="n">
        <v>500</v>
      </c>
      <c r="I1111" s="15" t="n">
        <v>500</v>
      </c>
      <c r="J1111" s="16" t="n">
        <v>0.717</v>
      </c>
      <c r="K1111" s="8" t="n">
        <v>7</v>
      </c>
      <c r="L1111" s="8" t="n">
        <v>6</v>
      </c>
      <c r="M1111" s="8" t="n">
        <v>3</v>
      </c>
      <c r="N1111" s="8" t="s">
        <v>120</v>
      </c>
      <c r="O1111" s="15" t="n">
        <f aca="false">H1111*12</f>
        <v>6000</v>
      </c>
      <c r="P1111" s="8" t="n">
        <f aca="false">MIN(100,ROUND(100*J1111/Assumptions!$B$8,0))</f>
        <v>80</v>
      </c>
      <c r="Q1111" s="8" t="n">
        <f aca="false">IF(L1111="",Assumptions!$B$9,L1111*10)</f>
        <v>60</v>
      </c>
      <c r="R1111" s="8" t="n">
        <f aca="false">IF(M1111&lt;=1,Assumptions!$B$12,IF(M1111&lt;=3,Assumptions!$B$13,IF(M1111&lt;=6,Assumptions!$B$14,Assumptions!$B$15)))</f>
        <v>75</v>
      </c>
      <c r="S1111" s="8" t="n">
        <f aca="false">IF(N1111="Completed On Time",Assumptions!$B$16,IF(N1111="Completed Late",Assumptions!$B$17,Assumptions!$B$18))</f>
        <v>100</v>
      </c>
      <c r="T1111" s="8" t="n">
        <f aca="false">IF(I1111=0,Assumptions!$B$20,IF(H1111&gt;I1111,Assumptions!$B$19,IF(H1111=I1111,Assumptions!$B$20,Assumptions!$B$21)))</f>
        <v>70</v>
      </c>
      <c r="U1111" s="8" t="n">
        <f aca="false">ROUND(P1111*Assumptions!$B$2+Q1111*Assumptions!$B$3+R1111*Assumptions!$B$4+S1111*Assumptions!$B$5+T1111*Assumptions!$B$6,0)</f>
        <v>75</v>
      </c>
      <c r="V1111" s="8" t="str">
        <f aca="false">IF(U1111&gt;=Assumptions!$B$10,"Healthy",IF(U1111&gt;=Assumptions!$B$11,"Needs Attention","High Risk"))</f>
        <v>Needs Attention</v>
      </c>
    </row>
    <row r="1112" customFormat="false" ht="15" hidden="false" customHeight="false" outlineLevel="0" collapsed="false">
      <c r="A1112" s="8" t="s">
        <v>2366</v>
      </c>
      <c r="B1112" s="8" t="s">
        <v>2367</v>
      </c>
      <c r="C1112" s="8" t="s">
        <v>51</v>
      </c>
      <c r="D1112" s="8" t="s">
        <v>326</v>
      </c>
      <c r="E1112" s="8" t="s">
        <v>132</v>
      </c>
      <c r="F1112" s="8" t="s">
        <v>223</v>
      </c>
      <c r="G1112" s="8" t="s">
        <v>204</v>
      </c>
      <c r="H1112" s="15" t="n">
        <v>500</v>
      </c>
      <c r="I1112" s="15" t="n">
        <v>500</v>
      </c>
      <c r="J1112" s="16" t="n">
        <v>0.8</v>
      </c>
      <c r="K1112" s="8" t="n">
        <v>9.7</v>
      </c>
      <c r="L1112" s="8" t="n">
        <v>10</v>
      </c>
      <c r="M1112" s="8" t="n">
        <v>4</v>
      </c>
      <c r="N1112" s="8" t="s">
        <v>120</v>
      </c>
      <c r="O1112" s="15" t="n">
        <f aca="false">H1112*12</f>
        <v>6000</v>
      </c>
      <c r="P1112" s="8" t="n">
        <f aca="false">MIN(100,ROUND(100*J1112/Assumptions!$B$8,0))</f>
        <v>89</v>
      </c>
      <c r="Q1112" s="8" t="n">
        <f aca="false">IF(L1112="",Assumptions!$B$9,L1112*10)</f>
        <v>100</v>
      </c>
      <c r="R1112" s="8" t="n">
        <f aca="false">IF(M1112&lt;=1,Assumptions!$B$12,IF(M1112&lt;=3,Assumptions!$B$13,IF(M1112&lt;=6,Assumptions!$B$14,Assumptions!$B$15)))</f>
        <v>50</v>
      </c>
      <c r="S1112" s="8" t="n">
        <f aca="false">IF(N1112="Completed On Time",Assumptions!$B$16,IF(N1112="Completed Late",Assumptions!$B$17,Assumptions!$B$18))</f>
        <v>100</v>
      </c>
      <c r="T1112" s="8" t="n">
        <f aca="false">IF(I1112=0,Assumptions!$B$20,IF(H1112&gt;I1112,Assumptions!$B$19,IF(H1112=I1112,Assumptions!$B$20,Assumptions!$B$21)))</f>
        <v>70</v>
      </c>
      <c r="U1112" s="8" t="n">
        <f aca="false">ROUND(P1112*Assumptions!$B$2+Q1112*Assumptions!$B$3+R1112*Assumptions!$B$4+S1112*Assumptions!$B$5+T1112*Assumptions!$B$6,0)</f>
        <v>83</v>
      </c>
      <c r="V1112" s="8" t="str">
        <f aca="false">IF(U1112&gt;=Assumptions!$B$10,"Healthy",IF(U1112&gt;=Assumptions!$B$11,"Needs Attention","High Risk"))</f>
        <v>Healthy</v>
      </c>
    </row>
    <row r="1113" customFormat="false" ht="15" hidden="false" customHeight="false" outlineLevel="0" collapsed="false">
      <c r="A1113" s="8" t="s">
        <v>2368</v>
      </c>
      <c r="B1113" s="8" t="s">
        <v>2369</v>
      </c>
      <c r="C1113" s="8" t="s">
        <v>51</v>
      </c>
      <c r="D1113" s="8" t="s">
        <v>326</v>
      </c>
      <c r="E1113" s="8" t="s">
        <v>117</v>
      </c>
      <c r="F1113" s="8" t="s">
        <v>118</v>
      </c>
      <c r="G1113" s="8" t="s">
        <v>125</v>
      </c>
      <c r="H1113" s="15" t="n">
        <v>500</v>
      </c>
      <c r="I1113" s="15" t="n">
        <v>425</v>
      </c>
      <c r="J1113" s="16" t="n">
        <v>0.737</v>
      </c>
      <c r="K1113" s="8" t="n">
        <v>10</v>
      </c>
      <c r="L1113" s="8" t="n">
        <v>7</v>
      </c>
      <c r="M1113" s="8" t="n">
        <v>1</v>
      </c>
      <c r="N1113" s="8" t="s">
        <v>120</v>
      </c>
      <c r="O1113" s="15" t="n">
        <f aca="false">H1113*12</f>
        <v>6000</v>
      </c>
      <c r="P1113" s="8" t="n">
        <f aca="false">MIN(100,ROUND(100*J1113/Assumptions!$B$8,0))</f>
        <v>82</v>
      </c>
      <c r="Q1113" s="8" t="n">
        <f aca="false">IF(L1113="",Assumptions!$B$9,L1113*10)</f>
        <v>70</v>
      </c>
      <c r="R1113" s="8" t="n">
        <f aca="false">IF(M1113&lt;=1,Assumptions!$B$12,IF(M1113&lt;=3,Assumptions!$B$13,IF(M1113&lt;=6,Assumptions!$B$14,Assumptions!$B$15)))</f>
        <v>100</v>
      </c>
      <c r="S1113" s="8" t="n">
        <f aca="false">IF(N1113="Completed On Time",Assumptions!$B$16,IF(N1113="Completed Late",Assumptions!$B$17,Assumptions!$B$18))</f>
        <v>100</v>
      </c>
      <c r="T1113" s="8" t="n">
        <f aca="false">IF(I1113=0,Assumptions!$B$20,IF(H1113&gt;I1113,Assumptions!$B$19,IF(H1113=I1113,Assumptions!$B$20,Assumptions!$B$21)))</f>
        <v>100</v>
      </c>
      <c r="U1113" s="8" t="n">
        <f aca="false">ROUND(P1113*Assumptions!$B$2+Q1113*Assumptions!$B$3+R1113*Assumptions!$B$4+S1113*Assumptions!$B$5+T1113*Assumptions!$B$6,0)</f>
        <v>88</v>
      </c>
      <c r="V1113" s="8" t="str">
        <f aca="false">IF(U1113&gt;=Assumptions!$B$10,"Healthy",IF(U1113&gt;=Assumptions!$B$11,"Needs Attention","High Risk"))</f>
        <v>Healthy</v>
      </c>
    </row>
    <row r="1114" customFormat="false" ht="15" hidden="false" customHeight="false" outlineLevel="0" collapsed="false">
      <c r="A1114" s="8" t="s">
        <v>2370</v>
      </c>
      <c r="B1114" s="8" t="s">
        <v>2371</v>
      </c>
      <c r="C1114" s="8" t="s">
        <v>51</v>
      </c>
      <c r="D1114" s="8" t="s">
        <v>326</v>
      </c>
      <c r="E1114" s="8" t="s">
        <v>128</v>
      </c>
      <c r="F1114" s="8" t="s">
        <v>136</v>
      </c>
      <c r="G1114" s="8" t="s">
        <v>185</v>
      </c>
      <c r="H1114" s="15" t="n">
        <v>500</v>
      </c>
      <c r="I1114" s="15" t="n">
        <v>500</v>
      </c>
      <c r="J1114" s="16" t="n">
        <v>0.817</v>
      </c>
      <c r="K1114" s="8" t="n">
        <v>8.7</v>
      </c>
      <c r="L1114" s="8" t="n">
        <v>8</v>
      </c>
      <c r="M1114" s="8" t="n">
        <v>3</v>
      </c>
      <c r="N1114" s="8" t="s">
        <v>120</v>
      </c>
      <c r="O1114" s="15" t="n">
        <f aca="false">H1114*12</f>
        <v>6000</v>
      </c>
      <c r="P1114" s="8" t="n">
        <f aca="false">MIN(100,ROUND(100*J1114/Assumptions!$B$8,0))</f>
        <v>91</v>
      </c>
      <c r="Q1114" s="8" t="n">
        <f aca="false">IF(L1114="",Assumptions!$B$9,L1114*10)</f>
        <v>80</v>
      </c>
      <c r="R1114" s="8" t="n">
        <f aca="false">IF(M1114&lt;=1,Assumptions!$B$12,IF(M1114&lt;=3,Assumptions!$B$13,IF(M1114&lt;=6,Assumptions!$B$14,Assumptions!$B$15)))</f>
        <v>75</v>
      </c>
      <c r="S1114" s="8" t="n">
        <f aca="false">IF(N1114="Completed On Time",Assumptions!$B$16,IF(N1114="Completed Late",Assumptions!$B$17,Assumptions!$B$18))</f>
        <v>100</v>
      </c>
      <c r="T1114" s="8" t="n">
        <f aca="false">IF(I1114=0,Assumptions!$B$20,IF(H1114&gt;I1114,Assumptions!$B$19,IF(H1114=I1114,Assumptions!$B$20,Assumptions!$B$21)))</f>
        <v>70</v>
      </c>
      <c r="U1114" s="8" t="n">
        <f aca="false">ROUND(P1114*Assumptions!$B$2+Q1114*Assumptions!$B$3+R1114*Assumptions!$B$4+S1114*Assumptions!$B$5+T1114*Assumptions!$B$6,0)</f>
        <v>83</v>
      </c>
      <c r="V1114" s="8" t="str">
        <f aca="false">IF(U1114&gt;=Assumptions!$B$10,"Healthy",IF(U1114&gt;=Assumptions!$B$11,"Needs Attention","High Risk"))</f>
        <v>Healthy</v>
      </c>
    </row>
    <row r="1115" customFormat="false" ht="15" hidden="false" customHeight="false" outlineLevel="0" collapsed="false">
      <c r="A1115" s="8" t="s">
        <v>2372</v>
      </c>
      <c r="B1115" s="8" t="s">
        <v>2373</v>
      </c>
      <c r="C1115" s="8" t="s">
        <v>51</v>
      </c>
      <c r="D1115" s="8" t="s">
        <v>326</v>
      </c>
      <c r="E1115" s="8" t="s">
        <v>132</v>
      </c>
      <c r="F1115" s="8" t="s">
        <v>166</v>
      </c>
      <c r="G1115" s="8" t="s">
        <v>129</v>
      </c>
      <c r="H1115" s="15" t="n">
        <v>500</v>
      </c>
      <c r="I1115" s="15" t="n">
        <v>500</v>
      </c>
      <c r="J1115" s="16" t="n">
        <v>0.783</v>
      </c>
      <c r="K1115" s="8" t="n">
        <v>9</v>
      </c>
      <c r="L1115" s="8" t="n">
        <v>9</v>
      </c>
      <c r="M1115" s="8" t="n">
        <v>5</v>
      </c>
      <c r="N1115" s="8" t="s">
        <v>120</v>
      </c>
      <c r="O1115" s="15" t="n">
        <f aca="false">H1115*12</f>
        <v>6000</v>
      </c>
      <c r="P1115" s="8" t="n">
        <f aca="false">MIN(100,ROUND(100*J1115/Assumptions!$B$8,0))</f>
        <v>87</v>
      </c>
      <c r="Q1115" s="8" t="n">
        <f aca="false">IF(L1115="",Assumptions!$B$9,L1115*10)</f>
        <v>90</v>
      </c>
      <c r="R1115" s="8" t="n">
        <f aca="false">IF(M1115&lt;=1,Assumptions!$B$12,IF(M1115&lt;=3,Assumptions!$B$13,IF(M1115&lt;=6,Assumptions!$B$14,Assumptions!$B$15)))</f>
        <v>50</v>
      </c>
      <c r="S1115" s="8" t="n">
        <f aca="false">IF(N1115="Completed On Time",Assumptions!$B$16,IF(N1115="Completed Late",Assumptions!$B$17,Assumptions!$B$18))</f>
        <v>100</v>
      </c>
      <c r="T1115" s="8" t="n">
        <f aca="false">IF(I1115=0,Assumptions!$B$20,IF(H1115&gt;I1115,Assumptions!$B$19,IF(H1115=I1115,Assumptions!$B$20,Assumptions!$B$21)))</f>
        <v>70</v>
      </c>
      <c r="U1115" s="8" t="n">
        <f aca="false">ROUND(P1115*Assumptions!$B$2+Q1115*Assumptions!$B$3+R1115*Assumptions!$B$4+S1115*Assumptions!$B$5+T1115*Assumptions!$B$6,0)</f>
        <v>80</v>
      </c>
      <c r="V1115" s="8" t="str">
        <f aca="false">IF(U1115&gt;=Assumptions!$B$10,"Healthy",IF(U1115&gt;=Assumptions!$B$11,"Needs Attention","High Risk"))</f>
        <v>Healthy</v>
      </c>
    </row>
    <row r="1116" customFormat="false" ht="15" hidden="false" customHeight="false" outlineLevel="0" collapsed="false">
      <c r="A1116" s="8" t="s">
        <v>2374</v>
      </c>
      <c r="B1116" s="8" t="s">
        <v>2375</v>
      </c>
      <c r="C1116" s="8" t="s">
        <v>51</v>
      </c>
      <c r="D1116" s="8" t="s">
        <v>326</v>
      </c>
      <c r="E1116" s="8" t="s">
        <v>123</v>
      </c>
      <c r="F1116" s="8" t="s">
        <v>143</v>
      </c>
      <c r="G1116" s="8" t="s">
        <v>180</v>
      </c>
      <c r="H1116" s="15" t="n">
        <v>500</v>
      </c>
      <c r="I1116" s="15" t="n">
        <v>500</v>
      </c>
      <c r="J1116" s="16" t="n">
        <v>0.6</v>
      </c>
      <c r="K1116" s="8" t="n">
        <v>9</v>
      </c>
      <c r="L1116" s="8" t="n">
        <v>9</v>
      </c>
      <c r="M1116" s="8" t="n">
        <v>3</v>
      </c>
      <c r="N1116" s="8" t="s">
        <v>120</v>
      </c>
      <c r="O1116" s="15" t="n">
        <f aca="false">H1116*12</f>
        <v>6000</v>
      </c>
      <c r="P1116" s="8" t="n">
        <f aca="false">MIN(100,ROUND(100*J1116/Assumptions!$B$8,0))</f>
        <v>67</v>
      </c>
      <c r="Q1116" s="8" t="n">
        <f aca="false">IF(L1116="",Assumptions!$B$9,L1116*10)</f>
        <v>90</v>
      </c>
      <c r="R1116" s="8" t="n">
        <f aca="false">IF(M1116&lt;=1,Assumptions!$B$12,IF(M1116&lt;=3,Assumptions!$B$13,IF(M1116&lt;=6,Assumptions!$B$14,Assumptions!$B$15)))</f>
        <v>75</v>
      </c>
      <c r="S1116" s="8" t="n">
        <f aca="false">IF(N1116="Completed On Time",Assumptions!$B$16,IF(N1116="Completed Late",Assumptions!$B$17,Assumptions!$B$18))</f>
        <v>100</v>
      </c>
      <c r="T1116" s="8" t="n">
        <f aca="false">IF(I1116=0,Assumptions!$B$20,IF(H1116&gt;I1116,Assumptions!$B$19,IF(H1116=I1116,Assumptions!$B$20,Assumptions!$B$21)))</f>
        <v>70</v>
      </c>
      <c r="U1116" s="8" t="n">
        <f aca="false">ROUND(P1116*Assumptions!$B$2+Q1116*Assumptions!$B$3+R1116*Assumptions!$B$4+S1116*Assumptions!$B$5+T1116*Assumptions!$B$6,0)</f>
        <v>77</v>
      </c>
      <c r="V1116" s="8" t="str">
        <f aca="false">IF(U1116&gt;=Assumptions!$B$10,"Healthy",IF(U1116&gt;=Assumptions!$B$11,"Needs Attention","High Risk"))</f>
        <v>Needs Attention</v>
      </c>
    </row>
    <row r="1117" customFormat="false" ht="15" hidden="false" customHeight="false" outlineLevel="0" collapsed="false">
      <c r="A1117" s="8" t="s">
        <v>2376</v>
      </c>
      <c r="B1117" s="8" t="s">
        <v>2377</v>
      </c>
      <c r="C1117" s="8" t="s">
        <v>51</v>
      </c>
      <c r="D1117" s="8" t="s">
        <v>326</v>
      </c>
      <c r="E1117" s="8" t="s">
        <v>123</v>
      </c>
      <c r="F1117" s="8" t="s">
        <v>143</v>
      </c>
      <c r="G1117" s="8" t="s">
        <v>125</v>
      </c>
      <c r="H1117" s="15" t="n">
        <v>500</v>
      </c>
      <c r="I1117" s="15" t="n">
        <v>500</v>
      </c>
      <c r="J1117" s="16" t="n">
        <v>0.7</v>
      </c>
      <c r="K1117" s="8" t="n">
        <v>9.3</v>
      </c>
      <c r="L1117" s="8" t="n">
        <v>10</v>
      </c>
      <c r="M1117" s="8" t="n">
        <v>3</v>
      </c>
      <c r="N1117" s="8" t="s">
        <v>120</v>
      </c>
      <c r="O1117" s="15" t="n">
        <f aca="false">H1117*12</f>
        <v>6000</v>
      </c>
      <c r="P1117" s="8" t="n">
        <f aca="false">MIN(100,ROUND(100*J1117/Assumptions!$B$8,0))</f>
        <v>78</v>
      </c>
      <c r="Q1117" s="8" t="n">
        <f aca="false">IF(L1117="",Assumptions!$B$9,L1117*10)</f>
        <v>100</v>
      </c>
      <c r="R1117" s="8" t="n">
        <f aca="false">IF(M1117&lt;=1,Assumptions!$B$12,IF(M1117&lt;=3,Assumptions!$B$13,IF(M1117&lt;=6,Assumptions!$B$14,Assumptions!$B$15)))</f>
        <v>75</v>
      </c>
      <c r="S1117" s="8" t="n">
        <f aca="false">IF(N1117="Completed On Time",Assumptions!$B$16,IF(N1117="Completed Late",Assumptions!$B$17,Assumptions!$B$18))</f>
        <v>100</v>
      </c>
      <c r="T1117" s="8" t="n">
        <f aca="false">IF(I1117=0,Assumptions!$B$20,IF(H1117&gt;I1117,Assumptions!$B$19,IF(H1117=I1117,Assumptions!$B$20,Assumptions!$B$21)))</f>
        <v>70</v>
      </c>
      <c r="U1117" s="8" t="n">
        <f aca="false">ROUND(P1117*Assumptions!$B$2+Q1117*Assumptions!$B$3+R1117*Assumptions!$B$4+S1117*Assumptions!$B$5+T1117*Assumptions!$B$6,0)</f>
        <v>83</v>
      </c>
      <c r="V1117" s="8" t="str">
        <f aca="false">IF(U1117&gt;=Assumptions!$B$10,"Healthy",IF(U1117&gt;=Assumptions!$B$11,"Needs Attention","High Risk"))</f>
        <v>Healthy</v>
      </c>
    </row>
    <row r="1118" customFormat="false" ht="15" hidden="false" customHeight="false" outlineLevel="0" collapsed="false">
      <c r="A1118" s="8" t="s">
        <v>2378</v>
      </c>
      <c r="B1118" s="8" t="s">
        <v>2379</v>
      </c>
      <c r="C1118" s="8" t="s">
        <v>51</v>
      </c>
      <c r="D1118" s="8" t="s">
        <v>326</v>
      </c>
      <c r="E1118" s="8" t="s">
        <v>123</v>
      </c>
      <c r="F1118" s="8" t="s">
        <v>124</v>
      </c>
      <c r="G1118" s="8" t="s">
        <v>137</v>
      </c>
      <c r="H1118" s="15" t="n">
        <v>500</v>
      </c>
      <c r="I1118" s="15" t="n">
        <v>500</v>
      </c>
      <c r="J1118" s="16" t="n">
        <v>0.75</v>
      </c>
      <c r="K1118" s="8" t="n">
        <v>9.3</v>
      </c>
      <c r="L1118" s="8" t="n">
        <v>7</v>
      </c>
      <c r="M1118" s="8" t="n">
        <v>2</v>
      </c>
      <c r="N1118" s="8" t="s">
        <v>120</v>
      </c>
      <c r="O1118" s="15" t="n">
        <f aca="false">H1118*12</f>
        <v>6000</v>
      </c>
      <c r="P1118" s="8" t="n">
        <f aca="false">MIN(100,ROUND(100*J1118/Assumptions!$B$8,0))</f>
        <v>83</v>
      </c>
      <c r="Q1118" s="8" t="n">
        <f aca="false">IF(L1118="",Assumptions!$B$9,L1118*10)</f>
        <v>70</v>
      </c>
      <c r="R1118" s="8" t="n">
        <f aca="false">IF(M1118&lt;=1,Assumptions!$B$12,IF(M1118&lt;=3,Assumptions!$B$13,IF(M1118&lt;=6,Assumptions!$B$14,Assumptions!$B$15)))</f>
        <v>75</v>
      </c>
      <c r="S1118" s="8" t="n">
        <f aca="false">IF(N1118="Completed On Time",Assumptions!$B$16,IF(N1118="Completed Late",Assumptions!$B$17,Assumptions!$B$18))</f>
        <v>100</v>
      </c>
      <c r="T1118" s="8" t="n">
        <f aca="false">IF(I1118=0,Assumptions!$B$20,IF(H1118&gt;I1118,Assumptions!$B$19,IF(H1118=I1118,Assumptions!$B$20,Assumptions!$B$21)))</f>
        <v>70</v>
      </c>
      <c r="U1118" s="8" t="n">
        <f aca="false">ROUND(P1118*Assumptions!$B$2+Q1118*Assumptions!$B$3+R1118*Assumptions!$B$4+S1118*Assumptions!$B$5+T1118*Assumptions!$B$6,0)</f>
        <v>78</v>
      </c>
      <c r="V1118" s="8" t="str">
        <f aca="false">IF(U1118&gt;=Assumptions!$B$10,"Healthy",IF(U1118&gt;=Assumptions!$B$11,"Needs Attention","High Risk"))</f>
        <v>Needs Attention</v>
      </c>
    </row>
    <row r="1119" customFormat="false" ht="15" hidden="false" customHeight="false" outlineLevel="0" collapsed="false">
      <c r="A1119" s="8" t="s">
        <v>2380</v>
      </c>
      <c r="B1119" s="8" t="s">
        <v>2381</v>
      </c>
      <c r="C1119" s="8" t="s">
        <v>51</v>
      </c>
      <c r="D1119" s="8" t="s">
        <v>326</v>
      </c>
      <c r="E1119" s="8" t="s">
        <v>123</v>
      </c>
      <c r="F1119" s="8" t="s">
        <v>223</v>
      </c>
      <c r="G1119" s="8" t="s">
        <v>129</v>
      </c>
      <c r="H1119" s="15" t="n">
        <v>500</v>
      </c>
      <c r="I1119" s="15" t="n">
        <v>500</v>
      </c>
      <c r="J1119" s="16" t="n">
        <v>0.767</v>
      </c>
      <c r="K1119" s="8" t="n">
        <v>8</v>
      </c>
      <c r="L1119" s="8" t="n">
        <v>9</v>
      </c>
      <c r="M1119" s="8" t="n">
        <v>4</v>
      </c>
      <c r="N1119" s="8" t="s">
        <v>120</v>
      </c>
      <c r="O1119" s="15" t="n">
        <f aca="false">H1119*12</f>
        <v>6000</v>
      </c>
      <c r="P1119" s="8" t="n">
        <f aca="false">MIN(100,ROUND(100*J1119/Assumptions!$B$8,0))</f>
        <v>85</v>
      </c>
      <c r="Q1119" s="8" t="n">
        <f aca="false">IF(L1119="",Assumptions!$B$9,L1119*10)</f>
        <v>90</v>
      </c>
      <c r="R1119" s="8" t="n">
        <f aca="false">IF(M1119&lt;=1,Assumptions!$B$12,IF(M1119&lt;=3,Assumptions!$B$13,IF(M1119&lt;=6,Assumptions!$B$14,Assumptions!$B$15)))</f>
        <v>50</v>
      </c>
      <c r="S1119" s="8" t="n">
        <f aca="false">IF(N1119="Completed On Time",Assumptions!$B$16,IF(N1119="Completed Late",Assumptions!$B$17,Assumptions!$B$18))</f>
        <v>100</v>
      </c>
      <c r="T1119" s="8" t="n">
        <f aca="false">IF(I1119=0,Assumptions!$B$20,IF(H1119&gt;I1119,Assumptions!$B$19,IF(H1119=I1119,Assumptions!$B$20,Assumptions!$B$21)))</f>
        <v>70</v>
      </c>
      <c r="U1119" s="8" t="n">
        <f aca="false">ROUND(P1119*Assumptions!$B$2+Q1119*Assumptions!$B$3+R1119*Assumptions!$B$4+S1119*Assumptions!$B$5+T1119*Assumptions!$B$6,0)</f>
        <v>79</v>
      </c>
      <c r="V1119" s="8" t="str">
        <f aca="false">IF(U1119&gt;=Assumptions!$B$10,"Healthy",IF(U1119&gt;=Assumptions!$B$11,"Needs Attention","High Risk"))</f>
        <v>Needs Attention</v>
      </c>
    </row>
    <row r="1120" customFormat="false" ht="15" hidden="false" customHeight="false" outlineLevel="0" collapsed="false">
      <c r="A1120" s="8" t="s">
        <v>2382</v>
      </c>
      <c r="B1120" s="8" t="s">
        <v>2383</v>
      </c>
      <c r="C1120" s="8" t="s">
        <v>51</v>
      </c>
      <c r="D1120" s="8" t="s">
        <v>326</v>
      </c>
      <c r="E1120" s="8" t="s">
        <v>123</v>
      </c>
      <c r="F1120" s="8" t="s">
        <v>118</v>
      </c>
      <c r="G1120" s="8" t="s">
        <v>177</v>
      </c>
      <c r="H1120" s="15" t="n">
        <v>500</v>
      </c>
      <c r="I1120" s="15" t="n">
        <v>0</v>
      </c>
      <c r="J1120" s="16" t="n">
        <v>0.6</v>
      </c>
      <c r="K1120" s="8" t="n">
        <v>7.7</v>
      </c>
      <c r="L1120" s="8"/>
      <c r="M1120" s="8" t="n">
        <v>6</v>
      </c>
      <c r="N1120" s="8" t="s">
        <v>120</v>
      </c>
      <c r="O1120" s="15" t="n">
        <f aca="false">H1120*12</f>
        <v>6000</v>
      </c>
      <c r="P1120" s="8" t="n">
        <f aca="false">MIN(100,ROUND(100*J1120/Assumptions!$B$8,0))</f>
        <v>67</v>
      </c>
      <c r="Q1120" s="8" t="n">
        <f aca="false">IF(L1120="",Assumptions!$B$9,L1120*10)</f>
        <v>50</v>
      </c>
      <c r="R1120" s="8" t="n">
        <f aca="false">IF(M1120&lt;=1,Assumptions!$B$12,IF(M1120&lt;=3,Assumptions!$B$13,IF(M1120&lt;=6,Assumptions!$B$14,Assumptions!$B$15)))</f>
        <v>50</v>
      </c>
      <c r="S1120" s="8" t="n">
        <f aca="false">IF(N1120="Completed On Time",Assumptions!$B$16,IF(N1120="Completed Late",Assumptions!$B$17,Assumptions!$B$18))</f>
        <v>100</v>
      </c>
      <c r="T1120" s="8" t="n">
        <f aca="false">IF(I1120=0,Assumptions!$B$20,IF(H1120&gt;I1120,Assumptions!$B$19,IF(H1120=I1120,Assumptions!$B$20,Assumptions!$B$21)))</f>
        <v>70</v>
      </c>
      <c r="U1120" s="8" t="n">
        <f aca="false">ROUND(P1120*Assumptions!$B$2+Q1120*Assumptions!$B$3+R1120*Assumptions!$B$4+S1120*Assumptions!$B$5+T1120*Assumptions!$B$6,0)</f>
        <v>65</v>
      </c>
      <c r="V1120" s="8" t="str">
        <f aca="false">IF(U1120&gt;=Assumptions!$B$10,"Healthy",IF(U1120&gt;=Assumptions!$B$11,"Needs Attention","High Risk"))</f>
        <v>Needs Attention</v>
      </c>
    </row>
    <row r="1121" customFormat="false" ht="15" hidden="false" customHeight="false" outlineLevel="0" collapsed="false">
      <c r="A1121" s="8" t="s">
        <v>2384</v>
      </c>
      <c r="B1121" s="8" t="s">
        <v>2385</v>
      </c>
      <c r="C1121" s="8" t="s">
        <v>51</v>
      </c>
      <c r="D1121" s="8" t="s">
        <v>326</v>
      </c>
      <c r="E1121" s="8" t="s">
        <v>132</v>
      </c>
      <c r="F1121" s="8" t="s">
        <v>124</v>
      </c>
      <c r="G1121" s="8" t="s">
        <v>137</v>
      </c>
      <c r="H1121" s="15" t="n">
        <v>500</v>
      </c>
      <c r="I1121" s="15" t="n">
        <v>500</v>
      </c>
      <c r="J1121" s="16" t="n">
        <v>0.817</v>
      </c>
      <c r="K1121" s="8" t="n">
        <v>11.3</v>
      </c>
      <c r="L1121" s="8" t="n">
        <v>8</v>
      </c>
      <c r="M1121" s="8" t="n">
        <v>3</v>
      </c>
      <c r="N1121" s="8" t="s">
        <v>120</v>
      </c>
      <c r="O1121" s="15" t="n">
        <f aca="false">H1121*12</f>
        <v>6000</v>
      </c>
      <c r="P1121" s="8" t="n">
        <f aca="false">MIN(100,ROUND(100*J1121/Assumptions!$B$8,0))</f>
        <v>91</v>
      </c>
      <c r="Q1121" s="8" t="n">
        <f aca="false">IF(L1121="",Assumptions!$B$9,L1121*10)</f>
        <v>80</v>
      </c>
      <c r="R1121" s="8" t="n">
        <f aca="false">IF(M1121&lt;=1,Assumptions!$B$12,IF(M1121&lt;=3,Assumptions!$B$13,IF(M1121&lt;=6,Assumptions!$B$14,Assumptions!$B$15)))</f>
        <v>75</v>
      </c>
      <c r="S1121" s="8" t="n">
        <f aca="false">IF(N1121="Completed On Time",Assumptions!$B$16,IF(N1121="Completed Late",Assumptions!$B$17,Assumptions!$B$18))</f>
        <v>100</v>
      </c>
      <c r="T1121" s="8" t="n">
        <f aca="false">IF(I1121=0,Assumptions!$B$20,IF(H1121&gt;I1121,Assumptions!$B$19,IF(H1121=I1121,Assumptions!$B$20,Assumptions!$B$21)))</f>
        <v>70</v>
      </c>
      <c r="U1121" s="8" t="n">
        <f aca="false">ROUND(P1121*Assumptions!$B$2+Q1121*Assumptions!$B$3+R1121*Assumptions!$B$4+S1121*Assumptions!$B$5+T1121*Assumptions!$B$6,0)</f>
        <v>83</v>
      </c>
      <c r="V1121" s="8" t="str">
        <f aca="false">IF(U1121&gt;=Assumptions!$B$10,"Healthy",IF(U1121&gt;=Assumptions!$B$11,"Needs Attention","High Risk"))</f>
        <v>Healthy</v>
      </c>
    </row>
    <row r="1122" customFormat="false" ht="15" hidden="false" customHeight="false" outlineLevel="0" collapsed="false">
      <c r="A1122" s="8" t="s">
        <v>2386</v>
      </c>
      <c r="B1122" s="8" t="s">
        <v>2387</v>
      </c>
      <c r="C1122" s="8" t="s">
        <v>51</v>
      </c>
      <c r="D1122" s="8" t="s">
        <v>326</v>
      </c>
      <c r="E1122" s="8" t="s">
        <v>132</v>
      </c>
      <c r="F1122" s="8" t="s">
        <v>143</v>
      </c>
      <c r="G1122" s="8" t="s">
        <v>119</v>
      </c>
      <c r="H1122" s="15" t="n">
        <v>500</v>
      </c>
      <c r="I1122" s="15" t="n">
        <v>600</v>
      </c>
      <c r="J1122" s="16" t="n">
        <v>0.609</v>
      </c>
      <c r="K1122" s="8" t="n">
        <v>7</v>
      </c>
      <c r="L1122" s="8" t="n">
        <v>6</v>
      </c>
      <c r="M1122" s="8" t="n">
        <v>5</v>
      </c>
      <c r="N1122" s="8" t="s">
        <v>120</v>
      </c>
      <c r="O1122" s="15" t="n">
        <f aca="false">H1122*12</f>
        <v>6000</v>
      </c>
      <c r="P1122" s="8" t="n">
        <f aca="false">MIN(100,ROUND(100*J1122/Assumptions!$B$8,0))</f>
        <v>68</v>
      </c>
      <c r="Q1122" s="8" t="n">
        <f aca="false">IF(L1122="",Assumptions!$B$9,L1122*10)</f>
        <v>60</v>
      </c>
      <c r="R1122" s="8" t="n">
        <f aca="false">IF(M1122&lt;=1,Assumptions!$B$12,IF(M1122&lt;=3,Assumptions!$B$13,IF(M1122&lt;=6,Assumptions!$B$14,Assumptions!$B$15)))</f>
        <v>50</v>
      </c>
      <c r="S1122" s="8" t="n">
        <f aca="false">IF(N1122="Completed On Time",Assumptions!$B$16,IF(N1122="Completed Late",Assumptions!$B$17,Assumptions!$B$18))</f>
        <v>100</v>
      </c>
      <c r="T1122" s="8" t="n">
        <f aca="false">IF(I1122=0,Assumptions!$B$20,IF(H1122&gt;I1122,Assumptions!$B$19,IF(H1122=I1122,Assumptions!$B$20,Assumptions!$B$21)))</f>
        <v>30</v>
      </c>
      <c r="U1122" s="8" t="n">
        <f aca="false">ROUND(P1122*Assumptions!$B$2+Q1122*Assumptions!$B$3+R1122*Assumptions!$B$4+S1122*Assumptions!$B$5+T1122*Assumptions!$B$6,0)</f>
        <v>59</v>
      </c>
      <c r="V1122" s="8" t="str">
        <f aca="false">IF(U1122&gt;=Assumptions!$B$10,"Healthy",IF(U1122&gt;=Assumptions!$B$11,"Needs Attention","High Risk"))</f>
        <v>High Risk</v>
      </c>
    </row>
    <row r="1123" customFormat="false" ht="15" hidden="false" customHeight="false" outlineLevel="0" collapsed="false">
      <c r="A1123" s="8" t="s">
        <v>2388</v>
      </c>
      <c r="B1123" s="8" t="s">
        <v>2389</v>
      </c>
      <c r="C1123" s="8" t="s">
        <v>51</v>
      </c>
      <c r="D1123" s="8" t="s">
        <v>326</v>
      </c>
      <c r="E1123" s="8" t="s">
        <v>132</v>
      </c>
      <c r="F1123" s="8" t="s">
        <v>151</v>
      </c>
      <c r="G1123" s="8" t="s">
        <v>177</v>
      </c>
      <c r="H1123" s="15" t="n">
        <v>500</v>
      </c>
      <c r="I1123" s="15" t="n">
        <v>500</v>
      </c>
      <c r="J1123" s="16" t="n">
        <v>0.783</v>
      </c>
      <c r="K1123" s="8" t="n">
        <v>11</v>
      </c>
      <c r="L1123" s="8" t="n">
        <v>7</v>
      </c>
      <c r="M1123" s="8" t="n">
        <v>2</v>
      </c>
      <c r="N1123" s="8" t="s">
        <v>120</v>
      </c>
      <c r="O1123" s="15" t="n">
        <f aca="false">H1123*12</f>
        <v>6000</v>
      </c>
      <c r="P1123" s="8" t="n">
        <f aca="false">MIN(100,ROUND(100*J1123/Assumptions!$B$8,0))</f>
        <v>87</v>
      </c>
      <c r="Q1123" s="8" t="n">
        <f aca="false">IF(L1123="",Assumptions!$B$9,L1123*10)</f>
        <v>70</v>
      </c>
      <c r="R1123" s="8" t="n">
        <f aca="false">IF(M1123&lt;=1,Assumptions!$B$12,IF(M1123&lt;=3,Assumptions!$B$13,IF(M1123&lt;=6,Assumptions!$B$14,Assumptions!$B$15)))</f>
        <v>75</v>
      </c>
      <c r="S1123" s="8" t="n">
        <f aca="false">IF(N1123="Completed On Time",Assumptions!$B$16,IF(N1123="Completed Late",Assumptions!$B$17,Assumptions!$B$18))</f>
        <v>100</v>
      </c>
      <c r="T1123" s="8" t="n">
        <f aca="false">IF(I1123=0,Assumptions!$B$20,IF(H1123&gt;I1123,Assumptions!$B$19,IF(H1123=I1123,Assumptions!$B$20,Assumptions!$B$21)))</f>
        <v>70</v>
      </c>
      <c r="U1123" s="8" t="n">
        <f aca="false">ROUND(P1123*Assumptions!$B$2+Q1123*Assumptions!$B$3+R1123*Assumptions!$B$4+S1123*Assumptions!$B$5+T1123*Assumptions!$B$6,0)</f>
        <v>80</v>
      </c>
      <c r="V1123" s="8" t="str">
        <f aca="false">IF(U1123&gt;=Assumptions!$B$10,"Healthy",IF(U1123&gt;=Assumptions!$B$11,"Needs Attention","High Risk"))</f>
        <v>Healthy</v>
      </c>
    </row>
    <row r="1124" customFormat="false" ht="15" hidden="false" customHeight="false" outlineLevel="0" collapsed="false">
      <c r="A1124" s="8" t="s">
        <v>2390</v>
      </c>
      <c r="B1124" s="8" t="s">
        <v>2391</v>
      </c>
      <c r="C1124" s="8" t="s">
        <v>51</v>
      </c>
      <c r="D1124" s="8" t="s">
        <v>326</v>
      </c>
      <c r="E1124" s="8" t="s">
        <v>123</v>
      </c>
      <c r="F1124" s="8" t="s">
        <v>136</v>
      </c>
      <c r="G1124" s="8" t="s">
        <v>204</v>
      </c>
      <c r="H1124" s="15" t="n">
        <v>500</v>
      </c>
      <c r="I1124" s="15" t="n">
        <v>500</v>
      </c>
      <c r="J1124" s="16" t="n">
        <v>0.85</v>
      </c>
      <c r="K1124" s="8" t="n">
        <v>11.3</v>
      </c>
      <c r="L1124" s="8" t="n">
        <v>10</v>
      </c>
      <c r="M1124" s="8" t="n">
        <v>2</v>
      </c>
      <c r="N1124" s="8" t="s">
        <v>120</v>
      </c>
      <c r="O1124" s="15" t="n">
        <f aca="false">H1124*12</f>
        <v>6000</v>
      </c>
      <c r="P1124" s="8" t="n">
        <f aca="false">MIN(100,ROUND(100*J1124/Assumptions!$B$8,0))</f>
        <v>94</v>
      </c>
      <c r="Q1124" s="8" t="n">
        <f aca="false">IF(L1124="",Assumptions!$B$9,L1124*10)</f>
        <v>100</v>
      </c>
      <c r="R1124" s="8" t="n">
        <f aca="false">IF(M1124&lt;=1,Assumptions!$B$12,IF(M1124&lt;=3,Assumptions!$B$13,IF(M1124&lt;=6,Assumptions!$B$14,Assumptions!$B$15)))</f>
        <v>75</v>
      </c>
      <c r="S1124" s="8" t="n">
        <f aca="false">IF(N1124="Completed On Time",Assumptions!$B$16,IF(N1124="Completed Late",Assumptions!$B$17,Assumptions!$B$18))</f>
        <v>100</v>
      </c>
      <c r="T1124" s="8" t="n">
        <f aca="false">IF(I1124=0,Assumptions!$B$20,IF(H1124&gt;I1124,Assumptions!$B$19,IF(H1124=I1124,Assumptions!$B$20,Assumptions!$B$21)))</f>
        <v>70</v>
      </c>
      <c r="U1124" s="8" t="n">
        <f aca="false">ROUND(P1124*Assumptions!$B$2+Q1124*Assumptions!$B$3+R1124*Assumptions!$B$4+S1124*Assumptions!$B$5+T1124*Assumptions!$B$6,0)</f>
        <v>88</v>
      </c>
      <c r="V1124" s="8" t="str">
        <f aca="false">IF(U1124&gt;=Assumptions!$B$10,"Healthy",IF(U1124&gt;=Assumptions!$B$11,"Needs Attention","High Risk"))</f>
        <v>Healthy</v>
      </c>
    </row>
    <row r="1125" customFormat="false" ht="15" hidden="false" customHeight="false" outlineLevel="0" collapsed="false">
      <c r="A1125" s="8" t="s">
        <v>2392</v>
      </c>
      <c r="B1125" s="8" t="s">
        <v>2393</v>
      </c>
      <c r="C1125" s="8" t="s">
        <v>51</v>
      </c>
      <c r="D1125" s="8" t="s">
        <v>326</v>
      </c>
      <c r="E1125" s="8" t="s">
        <v>117</v>
      </c>
      <c r="F1125" s="8" t="s">
        <v>143</v>
      </c>
      <c r="G1125" s="8" t="s">
        <v>140</v>
      </c>
      <c r="H1125" s="15" t="n">
        <v>500</v>
      </c>
      <c r="I1125" s="15" t="n">
        <v>500</v>
      </c>
      <c r="J1125" s="16" t="n">
        <v>0.8</v>
      </c>
      <c r="K1125" s="8" t="n">
        <v>10</v>
      </c>
      <c r="L1125" s="8" t="n">
        <v>10</v>
      </c>
      <c r="M1125" s="8" t="n">
        <v>3</v>
      </c>
      <c r="N1125" s="8" t="s">
        <v>120</v>
      </c>
      <c r="O1125" s="15" t="n">
        <f aca="false">H1125*12</f>
        <v>6000</v>
      </c>
      <c r="P1125" s="8" t="n">
        <f aca="false">MIN(100,ROUND(100*J1125/Assumptions!$B$8,0))</f>
        <v>89</v>
      </c>
      <c r="Q1125" s="8" t="n">
        <f aca="false">IF(L1125="",Assumptions!$B$9,L1125*10)</f>
        <v>100</v>
      </c>
      <c r="R1125" s="8" t="n">
        <f aca="false">IF(M1125&lt;=1,Assumptions!$B$12,IF(M1125&lt;=3,Assumptions!$B$13,IF(M1125&lt;=6,Assumptions!$B$14,Assumptions!$B$15)))</f>
        <v>75</v>
      </c>
      <c r="S1125" s="8" t="n">
        <f aca="false">IF(N1125="Completed On Time",Assumptions!$B$16,IF(N1125="Completed Late",Assumptions!$B$17,Assumptions!$B$18))</f>
        <v>100</v>
      </c>
      <c r="T1125" s="8" t="n">
        <f aca="false">IF(I1125=0,Assumptions!$B$20,IF(H1125&gt;I1125,Assumptions!$B$19,IF(H1125=I1125,Assumptions!$B$20,Assumptions!$B$21)))</f>
        <v>70</v>
      </c>
      <c r="U1125" s="8" t="n">
        <f aca="false">ROUND(P1125*Assumptions!$B$2+Q1125*Assumptions!$B$3+R1125*Assumptions!$B$4+S1125*Assumptions!$B$5+T1125*Assumptions!$B$6,0)</f>
        <v>86</v>
      </c>
      <c r="V1125" s="8" t="str">
        <f aca="false">IF(U1125&gt;=Assumptions!$B$10,"Healthy",IF(U1125&gt;=Assumptions!$B$11,"Needs Attention","High Risk"))</f>
        <v>Healthy</v>
      </c>
    </row>
    <row r="1126" customFormat="false" ht="15" hidden="false" customHeight="false" outlineLevel="0" collapsed="false">
      <c r="A1126" s="8" t="s">
        <v>2394</v>
      </c>
      <c r="B1126" s="8" t="s">
        <v>2395</v>
      </c>
      <c r="C1126" s="8" t="s">
        <v>51</v>
      </c>
      <c r="D1126" s="8" t="s">
        <v>326</v>
      </c>
      <c r="E1126" s="8" t="s">
        <v>117</v>
      </c>
      <c r="F1126" s="8" t="s">
        <v>124</v>
      </c>
      <c r="G1126" s="8" t="s">
        <v>177</v>
      </c>
      <c r="H1126" s="15" t="n">
        <v>500</v>
      </c>
      <c r="I1126" s="15" t="n">
        <v>500</v>
      </c>
      <c r="J1126" s="16" t="n">
        <v>0.7</v>
      </c>
      <c r="K1126" s="8" t="n">
        <v>8.7</v>
      </c>
      <c r="L1126" s="8" t="n">
        <v>8</v>
      </c>
      <c r="M1126" s="8" t="n">
        <v>2</v>
      </c>
      <c r="N1126" s="8" t="s">
        <v>120</v>
      </c>
      <c r="O1126" s="15" t="n">
        <f aca="false">H1126*12</f>
        <v>6000</v>
      </c>
      <c r="P1126" s="8" t="n">
        <f aca="false">MIN(100,ROUND(100*J1126/Assumptions!$B$8,0))</f>
        <v>78</v>
      </c>
      <c r="Q1126" s="8" t="n">
        <f aca="false">IF(L1126="",Assumptions!$B$9,L1126*10)</f>
        <v>80</v>
      </c>
      <c r="R1126" s="8" t="n">
        <f aca="false">IF(M1126&lt;=1,Assumptions!$B$12,IF(M1126&lt;=3,Assumptions!$B$13,IF(M1126&lt;=6,Assumptions!$B$14,Assumptions!$B$15)))</f>
        <v>75</v>
      </c>
      <c r="S1126" s="8" t="n">
        <f aca="false">IF(N1126="Completed On Time",Assumptions!$B$16,IF(N1126="Completed Late",Assumptions!$B$17,Assumptions!$B$18))</f>
        <v>100</v>
      </c>
      <c r="T1126" s="8" t="n">
        <f aca="false">IF(I1126=0,Assumptions!$B$20,IF(H1126&gt;I1126,Assumptions!$B$19,IF(H1126=I1126,Assumptions!$B$20,Assumptions!$B$21)))</f>
        <v>70</v>
      </c>
      <c r="U1126" s="8" t="n">
        <f aca="false">ROUND(P1126*Assumptions!$B$2+Q1126*Assumptions!$B$3+R1126*Assumptions!$B$4+S1126*Assumptions!$B$5+T1126*Assumptions!$B$6,0)</f>
        <v>79</v>
      </c>
      <c r="V1126" s="8" t="str">
        <f aca="false">IF(U1126&gt;=Assumptions!$B$10,"Healthy",IF(U1126&gt;=Assumptions!$B$11,"Needs Attention","High Risk"))</f>
        <v>Needs Attention</v>
      </c>
    </row>
    <row r="1127" customFormat="false" ht="15" hidden="false" customHeight="false" outlineLevel="0" collapsed="false">
      <c r="A1127" s="8" t="s">
        <v>2396</v>
      </c>
      <c r="B1127" s="8" t="s">
        <v>2397</v>
      </c>
      <c r="C1127" s="8" t="s">
        <v>51</v>
      </c>
      <c r="D1127" s="8" t="s">
        <v>326</v>
      </c>
      <c r="E1127" s="8" t="s">
        <v>132</v>
      </c>
      <c r="F1127" s="8" t="s">
        <v>166</v>
      </c>
      <c r="G1127" s="8" t="s">
        <v>119</v>
      </c>
      <c r="H1127" s="15" t="n">
        <v>500</v>
      </c>
      <c r="I1127" s="15" t="n">
        <v>500</v>
      </c>
      <c r="J1127" s="16" t="n">
        <v>0.6</v>
      </c>
      <c r="K1127" s="8" t="n">
        <v>7.3</v>
      </c>
      <c r="L1127" s="8" t="n">
        <v>8</v>
      </c>
      <c r="M1127" s="8" t="n">
        <v>3</v>
      </c>
      <c r="N1127" s="8" t="s">
        <v>120</v>
      </c>
      <c r="O1127" s="15" t="n">
        <f aca="false">H1127*12</f>
        <v>6000</v>
      </c>
      <c r="P1127" s="8" t="n">
        <f aca="false">MIN(100,ROUND(100*J1127/Assumptions!$B$8,0))</f>
        <v>67</v>
      </c>
      <c r="Q1127" s="8" t="n">
        <f aca="false">IF(L1127="",Assumptions!$B$9,L1127*10)</f>
        <v>80</v>
      </c>
      <c r="R1127" s="8" t="n">
        <f aca="false">IF(M1127&lt;=1,Assumptions!$B$12,IF(M1127&lt;=3,Assumptions!$B$13,IF(M1127&lt;=6,Assumptions!$B$14,Assumptions!$B$15)))</f>
        <v>75</v>
      </c>
      <c r="S1127" s="8" t="n">
        <f aca="false">IF(N1127="Completed On Time",Assumptions!$B$16,IF(N1127="Completed Late",Assumptions!$B$17,Assumptions!$B$18))</f>
        <v>100</v>
      </c>
      <c r="T1127" s="8" t="n">
        <f aca="false">IF(I1127=0,Assumptions!$B$20,IF(H1127&gt;I1127,Assumptions!$B$19,IF(H1127=I1127,Assumptions!$B$20,Assumptions!$B$21)))</f>
        <v>70</v>
      </c>
      <c r="U1127" s="8" t="n">
        <f aca="false">ROUND(P1127*Assumptions!$B$2+Q1127*Assumptions!$B$3+R1127*Assumptions!$B$4+S1127*Assumptions!$B$5+T1127*Assumptions!$B$6,0)</f>
        <v>75</v>
      </c>
      <c r="V1127" s="8" t="str">
        <f aca="false">IF(U1127&gt;=Assumptions!$B$10,"Healthy",IF(U1127&gt;=Assumptions!$B$11,"Needs Attention","High Risk"))</f>
        <v>Needs Attention</v>
      </c>
    </row>
    <row r="1128" customFormat="false" ht="15" hidden="false" customHeight="false" outlineLevel="0" collapsed="false">
      <c r="A1128" s="8" t="s">
        <v>2398</v>
      </c>
      <c r="B1128" s="8" t="s">
        <v>2399</v>
      </c>
      <c r="C1128" s="8" t="s">
        <v>51</v>
      </c>
      <c r="D1128" s="8" t="s">
        <v>326</v>
      </c>
      <c r="E1128" s="8" t="s">
        <v>123</v>
      </c>
      <c r="F1128" s="8" t="s">
        <v>151</v>
      </c>
      <c r="G1128" s="8" t="s">
        <v>204</v>
      </c>
      <c r="H1128" s="15" t="n">
        <v>500</v>
      </c>
      <c r="I1128" s="15" t="n">
        <v>500</v>
      </c>
      <c r="J1128" s="16" t="n">
        <v>0.833</v>
      </c>
      <c r="K1128" s="8" t="n">
        <v>10</v>
      </c>
      <c r="L1128" s="8" t="n">
        <v>7</v>
      </c>
      <c r="M1128" s="8" t="n">
        <v>2</v>
      </c>
      <c r="N1128" s="8" t="s">
        <v>120</v>
      </c>
      <c r="O1128" s="15" t="n">
        <f aca="false">H1128*12</f>
        <v>6000</v>
      </c>
      <c r="P1128" s="8" t="n">
        <f aca="false">MIN(100,ROUND(100*J1128/Assumptions!$B$8,0))</f>
        <v>93</v>
      </c>
      <c r="Q1128" s="8" t="n">
        <f aca="false">IF(L1128="",Assumptions!$B$9,L1128*10)</f>
        <v>70</v>
      </c>
      <c r="R1128" s="8" t="n">
        <f aca="false">IF(M1128&lt;=1,Assumptions!$B$12,IF(M1128&lt;=3,Assumptions!$B$13,IF(M1128&lt;=6,Assumptions!$B$14,Assumptions!$B$15)))</f>
        <v>75</v>
      </c>
      <c r="S1128" s="8" t="n">
        <f aca="false">IF(N1128="Completed On Time",Assumptions!$B$16,IF(N1128="Completed Late",Assumptions!$B$17,Assumptions!$B$18))</f>
        <v>100</v>
      </c>
      <c r="T1128" s="8" t="n">
        <f aca="false">IF(I1128=0,Assumptions!$B$20,IF(H1128&gt;I1128,Assumptions!$B$19,IF(H1128=I1128,Assumptions!$B$20,Assumptions!$B$21)))</f>
        <v>70</v>
      </c>
      <c r="U1128" s="8" t="n">
        <f aca="false">ROUND(P1128*Assumptions!$B$2+Q1128*Assumptions!$B$3+R1128*Assumptions!$B$4+S1128*Assumptions!$B$5+T1128*Assumptions!$B$6,0)</f>
        <v>82</v>
      </c>
      <c r="V1128" s="8" t="str">
        <f aca="false">IF(U1128&gt;=Assumptions!$B$10,"Healthy",IF(U1128&gt;=Assumptions!$B$11,"Needs Attention","High Risk"))</f>
        <v>Healthy</v>
      </c>
    </row>
    <row r="1129" customFormat="false" ht="15" hidden="false" customHeight="false" outlineLevel="0" collapsed="false">
      <c r="A1129" s="8" t="s">
        <v>2400</v>
      </c>
      <c r="B1129" s="8" t="s">
        <v>2401</v>
      </c>
      <c r="C1129" s="8" t="s">
        <v>51</v>
      </c>
      <c r="D1129" s="8" t="s">
        <v>2027</v>
      </c>
      <c r="E1129" s="8" t="s">
        <v>132</v>
      </c>
      <c r="F1129" s="8" t="s">
        <v>124</v>
      </c>
      <c r="G1129" s="8" t="s">
        <v>159</v>
      </c>
      <c r="H1129" s="15" t="n">
        <v>492</v>
      </c>
      <c r="I1129" s="15" t="n">
        <v>492</v>
      </c>
      <c r="J1129" s="16" t="n">
        <v>0.732</v>
      </c>
      <c r="K1129" s="8" t="n">
        <v>10.3</v>
      </c>
      <c r="L1129" s="8" t="n">
        <v>8</v>
      </c>
      <c r="M1129" s="8" t="n">
        <v>5</v>
      </c>
      <c r="N1129" s="8" t="s">
        <v>120</v>
      </c>
      <c r="O1129" s="15" t="n">
        <f aca="false">H1129*12</f>
        <v>5904</v>
      </c>
      <c r="P1129" s="8" t="n">
        <f aca="false">MIN(100,ROUND(100*J1129/Assumptions!$B$8,0))</f>
        <v>81</v>
      </c>
      <c r="Q1129" s="8" t="n">
        <f aca="false">IF(L1129="",Assumptions!$B$9,L1129*10)</f>
        <v>80</v>
      </c>
      <c r="R1129" s="8" t="n">
        <f aca="false">IF(M1129&lt;=1,Assumptions!$B$12,IF(M1129&lt;=3,Assumptions!$B$13,IF(M1129&lt;=6,Assumptions!$B$14,Assumptions!$B$15)))</f>
        <v>50</v>
      </c>
      <c r="S1129" s="8" t="n">
        <f aca="false">IF(N1129="Completed On Time",Assumptions!$B$16,IF(N1129="Completed Late",Assumptions!$B$17,Assumptions!$B$18))</f>
        <v>100</v>
      </c>
      <c r="T1129" s="8" t="n">
        <f aca="false">IF(I1129=0,Assumptions!$B$20,IF(H1129&gt;I1129,Assumptions!$B$19,IF(H1129=I1129,Assumptions!$B$20,Assumptions!$B$21)))</f>
        <v>70</v>
      </c>
      <c r="U1129" s="8" t="n">
        <f aca="false">ROUND(P1129*Assumptions!$B$2+Q1129*Assumptions!$B$3+R1129*Assumptions!$B$4+S1129*Assumptions!$B$5+T1129*Assumptions!$B$6,0)</f>
        <v>76</v>
      </c>
      <c r="V1129" s="8" t="str">
        <f aca="false">IF(U1129&gt;=Assumptions!$B$10,"Healthy",IF(U1129&gt;=Assumptions!$B$11,"Needs Attention","High Risk"))</f>
        <v>Needs Attention</v>
      </c>
    </row>
    <row r="1130" customFormat="false" ht="15" hidden="false" customHeight="false" outlineLevel="0" collapsed="false">
      <c r="A1130" s="8" t="s">
        <v>2402</v>
      </c>
      <c r="B1130" s="8" t="s">
        <v>2403</v>
      </c>
      <c r="C1130" s="8" t="s">
        <v>51</v>
      </c>
      <c r="D1130" s="8" t="s">
        <v>2027</v>
      </c>
      <c r="E1130" s="8" t="s">
        <v>132</v>
      </c>
      <c r="F1130" s="8" t="s">
        <v>118</v>
      </c>
      <c r="G1130" s="8" t="s">
        <v>140</v>
      </c>
      <c r="H1130" s="15" t="n">
        <v>492</v>
      </c>
      <c r="I1130" s="15" t="n">
        <v>492</v>
      </c>
      <c r="J1130" s="16" t="n">
        <v>0.724</v>
      </c>
      <c r="K1130" s="8" t="n">
        <v>10.3</v>
      </c>
      <c r="L1130" s="8" t="n">
        <v>10</v>
      </c>
      <c r="M1130" s="8" t="n">
        <v>1</v>
      </c>
      <c r="N1130" s="8" t="s">
        <v>120</v>
      </c>
      <c r="O1130" s="15" t="n">
        <f aca="false">H1130*12</f>
        <v>5904</v>
      </c>
      <c r="P1130" s="8" t="n">
        <f aca="false">MIN(100,ROUND(100*J1130/Assumptions!$B$8,0))</f>
        <v>80</v>
      </c>
      <c r="Q1130" s="8" t="n">
        <f aca="false">IF(L1130="",Assumptions!$B$9,L1130*10)</f>
        <v>100</v>
      </c>
      <c r="R1130" s="8" t="n">
        <f aca="false">IF(M1130&lt;=1,Assumptions!$B$12,IF(M1130&lt;=3,Assumptions!$B$13,IF(M1130&lt;=6,Assumptions!$B$14,Assumptions!$B$15)))</f>
        <v>100</v>
      </c>
      <c r="S1130" s="8" t="n">
        <f aca="false">IF(N1130="Completed On Time",Assumptions!$B$16,IF(N1130="Completed Late",Assumptions!$B$17,Assumptions!$B$18))</f>
        <v>100</v>
      </c>
      <c r="T1130" s="8" t="n">
        <f aca="false">IF(I1130=0,Assumptions!$B$20,IF(H1130&gt;I1130,Assumptions!$B$19,IF(H1130=I1130,Assumptions!$B$20,Assumptions!$B$21)))</f>
        <v>70</v>
      </c>
      <c r="U1130" s="8" t="n">
        <f aca="false">ROUND(P1130*Assumptions!$B$2+Q1130*Assumptions!$B$3+R1130*Assumptions!$B$4+S1130*Assumptions!$B$5+T1130*Assumptions!$B$6,0)</f>
        <v>87</v>
      </c>
      <c r="V1130" s="8" t="str">
        <f aca="false">IF(U1130&gt;=Assumptions!$B$10,"Healthy",IF(U1130&gt;=Assumptions!$B$11,"Needs Attention","High Risk"))</f>
        <v>Healthy</v>
      </c>
    </row>
    <row r="1131" customFormat="false" ht="15" hidden="false" customHeight="false" outlineLevel="0" collapsed="false">
      <c r="A1131" s="8" t="s">
        <v>2404</v>
      </c>
      <c r="B1131" s="8" t="s">
        <v>2405</v>
      </c>
      <c r="C1131" s="8" t="s">
        <v>51</v>
      </c>
      <c r="D1131" s="8" t="s">
        <v>2027</v>
      </c>
      <c r="E1131" s="8" t="s">
        <v>132</v>
      </c>
      <c r="F1131" s="8" t="s">
        <v>133</v>
      </c>
      <c r="G1131" s="8" t="s">
        <v>125</v>
      </c>
      <c r="H1131" s="15" t="n">
        <v>492</v>
      </c>
      <c r="I1131" s="15" t="n">
        <v>492</v>
      </c>
      <c r="J1131" s="16" t="n">
        <v>0.748</v>
      </c>
      <c r="K1131" s="8" t="n">
        <v>9.7</v>
      </c>
      <c r="L1131" s="8" t="n">
        <v>9</v>
      </c>
      <c r="M1131" s="8" t="n">
        <v>2</v>
      </c>
      <c r="N1131" s="8" t="s">
        <v>120</v>
      </c>
      <c r="O1131" s="15" t="n">
        <f aca="false">H1131*12</f>
        <v>5904</v>
      </c>
      <c r="P1131" s="8" t="n">
        <f aca="false">MIN(100,ROUND(100*J1131/Assumptions!$B$8,0))</f>
        <v>83</v>
      </c>
      <c r="Q1131" s="8" t="n">
        <f aca="false">IF(L1131="",Assumptions!$B$9,L1131*10)</f>
        <v>90</v>
      </c>
      <c r="R1131" s="8" t="n">
        <f aca="false">IF(M1131&lt;=1,Assumptions!$B$12,IF(M1131&lt;=3,Assumptions!$B$13,IF(M1131&lt;=6,Assumptions!$B$14,Assumptions!$B$15)))</f>
        <v>75</v>
      </c>
      <c r="S1131" s="8" t="n">
        <f aca="false">IF(N1131="Completed On Time",Assumptions!$B$16,IF(N1131="Completed Late",Assumptions!$B$17,Assumptions!$B$18))</f>
        <v>100</v>
      </c>
      <c r="T1131" s="8" t="n">
        <f aca="false">IF(I1131=0,Assumptions!$B$20,IF(H1131&gt;I1131,Assumptions!$B$19,IF(H1131=I1131,Assumptions!$B$20,Assumptions!$B$21)))</f>
        <v>70</v>
      </c>
      <c r="U1131" s="8" t="n">
        <f aca="false">ROUND(P1131*Assumptions!$B$2+Q1131*Assumptions!$B$3+R1131*Assumptions!$B$4+S1131*Assumptions!$B$5+T1131*Assumptions!$B$6,0)</f>
        <v>82</v>
      </c>
      <c r="V1131" s="8" t="str">
        <f aca="false">IF(U1131&gt;=Assumptions!$B$10,"Healthy",IF(U1131&gt;=Assumptions!$B$11,"Needs Attention","High Risk"))</f>
        <v>Healthy</v>
      </c>
    </row>
    <row r="1132" customFormat="false" ht="15" hidden="false" customHeight="false" outlineLevel="0" collapsed="false">
      <c r="A1132" s="8" t="s">
        <v>2406</v>
      </c>
      <c r="B1132" s="8" t="s">
        <v>2407</v>
      </c>
      <c r="C1132" s="8" t="s">
        <v>51</v>
      </c>
      <c r="D1132" s="8" t="s">
        <v>2027</v>
      </c>
      <c r="E1132" s="8" t="s">
        <v>132</v>
      </c>
      <c r="F1132" s="8" t="s">
        <v>133</v>
      </c>
      <c r="G1132" s="8" t="s">
        <v>204</v>
      </c>
      <c r="H1132" s="15" t="n">
        <v>480</v>
      </c>
      <c r="I1132" s="15" t="n">
        <v>372</v>
      </c>
      <c r="J1132" s="16" t="n">
        <v>0.863</v>
      </c>
      <c r="K1132" s="8" t="n">
        <v>11.3</v>
      </c>
      <c r="L1132" s="8" t="n">
        <v>10</v>
      </c>
      <c r="M1132" s="8" t="n">
        <v>0</v>
      </c>
      <c r="N1132" s="8" t="s">
        <v>120</v>
      </c>
      <c r="O1132" s="15" t="n">
        <f aca="false">H1132*12</f>
        <v>5760</v>
      </c>
      <c r="P1132" s="8" t="n">
        <f aca="false">MIN(100,ROUND(100*J1132/Assumptions!$B$8,0))</f>
        <v>96</v>
      </c>
      <c r="Q1132" s="8" t="n">
        <f aca="false">IF(L1132="",Assumptions!$B$9,L1132*10)</f>
        <v>100</v>
      </c>
      <c r="R1132" s="8" t="n">
        <f aca="false">IF(M1132&lt;=1,Assumptions!$B$12,IF(M1132&lt;=3,Assumptions!$B$13,IF(M1132&lt;=6,Assumptions!$B$14,Assumptions!$B$15)))</f>
        <v>100</v>
      </c>
      <c r="S1132" s="8" t="n">
        <f aca="false">IF(N1132="Completed On Time",Assumptions!$B$16,IF(N1132="Completed Late",Assumptions!$B$17,Assumptions!$B$18))</f>
        <v>100</v>
      </c>
      <c r="T1132" s="8" t="n">
        <f aca="false">IF(I1132=0,Assumptions!$B$20,IF(H1132&gt;I1132,Assumptions!$B$19,IF(H1132=I1132,Assumptions!$B$20,Assumptions!$B$21)))</f>
        <v>100</v>
      </c>
      <c r="U1132" s="8" t="n">
        <f aca="false">ROUND(P1132*Assumptions!$B$2+Q1132*Assumptions!$B$3+R1132*Assumptions!$B$4+S1132*Assumptions!$B$5+T1132*Assumptions!$B$6,0)</f>
        <v>99</v>
      </c>
      <c r="V1132" s="8" t="str">
        <f aca="false">IF(U1132&gt;=Assumptions!$B$10,"Healthy",IF(U1132&gt;=Assumptions!$B$11,"Needs Attention","High Risk"))</f>
        <v>Healthy</v>
      </c>
    </row>
    <row r="1133" customFormat="false" ht="15" hidden="false" customHeight="false" outlineLevel="0" collapsed="false">
      <c r="A1133" s="8" t="s">
        <v>2408</v>
      </c>
      <c r="B1133" s="8" t="s">
        <v>2409</v>
      </c>
      <c r="C1133" s="8" t="s">
        <v>51</v>
      </c>
      <c r="D1133" s="8" t="s">
        <v>2027</v>
      </c>
      <c r="E1133" s="8" t="s">
        <v>132</v>
      </c>
      <c r="F1133" s="8" t="s">
        <v>151</v>
      </c>
      <c r="G1133" s="8" t="s">
        <v>185</v>
      </c>
      <c r="H1133" s="15" t="n">
        <v>480</v>
      </c>
      <c r="I1133" s="15" t="n">
        <v>432</v>
      </c>
      <c r="J1133" s="16" t="n">
        <v>0.741</v>
      </c>
      <c r="K1133" s="8" t="n">
        <v>8.7</v>
      </c>
      <c r="L1133" s="8" t="n">
        <v>9</v>
      </c>
      <c r="M1133" s="8" t="n">
        <v>3</v>
      </c>
      <c r="N1133" s="8" t="s">
        <v>120</v>
      </c>
      <c r="O1133" s="15" t="n">
        <f aca="false">H1133*12</f>
        <v>5760</v>
      </c>
      <c r="P1133" s="8" t="n">
        <f aca="false">MIN(100,ROUND(100*J1133/Assumptions!$B$8,0))</f>
        <v>82</v>
      </c>
      <c r="Q1133" s="8" t="n">
        <f aca="false">IF(L1133="",Assumptions!$B$9,L1133*10)</f>
        <v>90</v>
      </c>
      <c r="R1133" s="8" t="n">
        <f aca="false">IF(M1133&lt;=1,Assumptions!$B$12,IF(M1133&lt;=3,Assumptions!$B$13,IF(M1133&lt;=6,Assumptions!$B$14,Assumptions!$B$15)))</f>
        <v>75</v>
      </c>
      <c r="S1133" s="8" t="n">
        <f aca="false">IF(N1133="Completed On Time",Assumptions!$B$16,IF(N1133="Completed Late",Assumptions!$B$17,Assumptions!$B$18))</f>
        <v>100</v>
      </c>
      <c r="T1133" s="8" t="n">
        <f aca="false">IF(I1133=0,Assumptions!$B$20,IF(H1133&gt;I1133,Assumptions!$B$19,IF(H1133=I1133,Assumptions!$B$20,Assumptions!$B$21)))</f>
        <v>100</v>
      </c>
      <c r="U1133" s="8" t="n">
        <f aca="false">ROUND(P1133*Assumptions!$B$2+Q1133*Assumptions!$B$3+R1133*Assumptions!$B$4+S1133*Assumptions!$B$5+T1133*Assumptions!$B$6,0)</f>
        <v>88</v>
      </c>
      <c r="V1133" s="8" t="str">
        <f aca="false">IF(U1133&gt;=Assumptions!$B$10,"Healthy",IF(U1133&gt;=Assumptions!$B$11,"Needs Attention","High Risk"))</f>
        <v>Healthy</v>
      </c>
    </row>
    <row r="1134" customFormat="false" ht="15" hidden="false" customHeight="false" outlineLevel="0" collapsed="false">
      <c r="A1134" s="8" t="s">
        <v>2410</v>
      </c>
      <c r="B1134" s="8" t="s">
        <v>2411</v>
      </c>
      <c r="C1134" s="8" t="s">
        <v>51</v>
      </c>
      <c r="D1134" s="8" t="s">
        <v>2027</v>
      </c>
      <c r="E1134" s="8" t="s">
        <v>132</v>
      </c>
      <c r="F1134" s="8" t="s">
        <v>124</v>
      </c>
      <c r="G1134" s="8" t="s">
        <v>125</v>
      </c>
      <c r="H1134" s="15" t="n">
        <v>480</v>
      </c>
      <c r="I1134" s="15" t="n">
        <v>480</v>
      </c>
      <c r="J1134" s="16" t="n">
        <v>0.8</v>
      </c>
      <c r="K1134" s="8" t="n">
        <v>9.7</v>
      </c>
      <c r="L1134" s="8" t="n">
        <v>5</v>
      </c>
      <c r="M1134" s="8" t="n">
        <v>7</v>
      </c>
      <c r="N1134" s="8" t="s">
        <v>120</v>
      </c>
      <c r="O1134" s="15" t="n">
        <f aca="false">H1134*12</f>
        <v>5760</v>
      </c>
      <c r="P1134" s="8" t="n">
        <f aca="false">MIN(100,ROUND(100*J1134/Assumptions!$B$8,0))</f>
        <v>89</v>
      </c>
      <c r="Q1134" s="8" t="n">
        <f aca="false">IF(L1134="",Assumptions!$B$9,L1134*10)</f>
        <v>50</v>
      </c>
      <c r="R1134" s="8" t="n">
        <f aca="false">IF(M1134&lt;=1,Assumptions!$B$12,IF(M1134&lt;=3,Assumptions!$B$13,IF(M1134&lt;=6,Assumptions!$B$14,Assumptions!$B$15)))</f>
        <v>20</v>
      </c>
      <c r="S1134" s="8" t="n">
        <f aca="false">IF(N1134="Completed On Time",Assumptions!$B$16,IF(N1134="Completed Late",Assumptions!$B$17,Assumptions!$B$18))</f>
        <v>100</v>
      </c>
      <c r="T1134" s="8" t="n">
        <f aca="false">IF(I1134=0,Assumptions!$B$20,IF(H1134&gt;I1134,Assumptions!$B$19,IF(H1134=I1134,Assumptions!$B$20,Assumptions!$B$21)))</f>
        <v>70</v>
      </c>
      <c r="U1134" s="8" t="n">
        <f aca="false">ROUND(P1134*Assumptions!$B$2+Q1134*Assumptions!$B$3+R1134*Assumptions!$B$4+S1134*Assumptions!$B$5+T1134*Assumptions!$B$6,0)</f>
        <v>68</v>
      </c>
      <c r="V1134" s="8" t="str">
        <f aca="false">IF(U1134&gt;=Assumptions!$B$10,"Healthy",IF(U1134&gt;=Assumptions!$B$11,"Needs Attention","High Risk"))</f>
        <v>Needs Attention</v>
      </c>
    </row>
    <row r="1135" customFormat="false" ht="15" hidden="false" customHeight="false" outlineLevel="0" collapsed="false">
      <c r="A1135" s="8" t="s">
        <v>2412</v>
      </c>
      <c r="B1135" s="8" t="s">
        <v>2413</v>
      </c>
      <c r="C1135" s="8" t="s">
        <v>51</v>
      </c>
      <c r="D1135" s="8" t="s">
        <v>2027</v>
      </c>
      <c r="E1135" s="8" t="s">
        <v>123</v>
      </c>
      <c r="F1135" s="8" t="s">
        <v>154</v>
      </c>
      <c r="G1135" s="8" t="s">
        <v>129</v>
      </c>
      <c r="H1135" s="15" t="n">
        <v>480</v>
      </c>
      <c r="I1135" s="15" t="n">
        <v>408</v>
      </c>
      <c r="J1135" s="16" t="n">
        <v>0.815</v>
      </c>
      <c r="K1135" s="8" t="n">
        <v>10.3</v>
      </c>
      <c r="L1135" s="8" t="n">
        <v>10</v>
      </c>
      <c r="M1135" s="8" t="n">
        <v>1</v>
      </c>
      <c r="N1135" s="8" t="s">
        <v>120</v>
      </c>
      <c r="O1135" s="15" t="n">
        <f aca="false">H1135*12</f>
        <v>5760</v>
      </c>
      <c r="P1135" s="8" t="n">
        <f aca="false">MIN(100,ROUND(100*J1135/Assumptions!$B$8,0))</f>
        <v>91</v>
      </c>
      <c r="Q1135" s="8" t="n">
        <f aca="false">IF(L1135="",Assumptions!$B$9,L1135*10)</f>
        <v>100</v>
      </c>
      <c r="R1135" s="8" t="n">
        <f aca="false">IF(M1135&lt;=1,Assumptions!$B$12,IF(M1135&lt;=3,Assumptions!$B$13,IF(M1135&lt;=6,Assumptions!$B$14,Assumptions!$B$15)))</f>
        <v>100</v>
      </c>
      <c r="S1135" s="8" t="n">
        <f aca="false">IF(N1135="Completed On Time",Assumptions!$B$16,IF(N1135="Completed Late",Assumptions!$B$17,Assumptions!$B$18))</f>
        <v>100</v>
      </c>
      <c r="T1135" s="8" t="n">
        <f aca="false">IF(I1135=0,Assumptions!$B$20,IF(H1135&gt;I1135,Assumptions!$B$19,IF(H1135=I1135,Assumptions!$B$20,Assumptions!$B$21)))</f>
        <v>100</v>
      </c>
      <c r="U1135" s="8" t="n">
        <f aca="false">ROUND(P1135*Assumptions!$B$2+Q1135*Assumptions!$B$3+R1135*Assumptions!$B$4+S1135*Assumptions!$B$5+T1135*Assumptions!$B$6,0)</f>
        <v>97</v>
      </c>
      <c r="V1135" s="8" t="str">
        <f aca="false">IF(U1135&gt;=Assumptions!$B$10,"Healthy",IF(U1135&gt;=Assumptions!$B$11,"Needs Attention","High Risk"))</f>
        <v>Healthy</v>
      </c>
    </row>
    <row r="1136" customFormat="false" ht="15" hidden="false" customHeight="false" outlineLevel="0" collapsed="false">
      <c r="A1136" s="8" t="s">
        <v>2414</v>
      </c>
      <c r="B1136" s="8" t="s">
        <v>2415</v>
      </c>
      <c r="C1136" s="8" t="s">
        <v>51</v>
      </c>
      <c r="D1136" s="8" t="s">
        <v>2027</v>
      </c>
      <c r="E1136" s="8" t="s">
        <v>128</v>
      </c>
      <c r="F1136" s="8" t="s">
        <v>124</v>
      </c>
      <c r="G1136" s="8" t="s">
        <v>140</v>
      </c>
      <c r="H1136" s="15" t="n">
        <v>480</v>
      </c>
      <c r="I1136" s="15" t="n">
        <v>480</v>
      </c>
      <c r="J1136" s="16" t="n">
        <v>0.758</v>
      </c>
      <c r="K1136" s="8" t="n">
        <v>9</v>
      </c>
      <c r="L1136" s="8" t="n">
        <v>9</v>
      </c>
      <c r="M1136" s="8" t="n">
        <v>1</v>
      </c>
      <c r="N1136" s="8" t="s">
        <v>120</v>
      </c>
      <c r="O1136" s="15" t="n">
        <f aca="false">H1136*12</f>
        <v>5760</v>
      </c>
      <c r="P1136" s="8" t="n">
        <f aca="false">MIN(100,ROUND(100*J1136/Assumptions!$B$8,0))</f>
        <v>84</v>
      </c>
      <c r="Q1136" s="8" t="n">
        <f aca="false">IF(L1136="",Assumptions!$B$9,L1136*10)</f>
        <v>90</v>
      </c>
      <c r="R1136" s="8" t="n">
        <f aca="false">IF(M1136&lt;=1,Assumptions!$B$12,IF(M1136&lt;=3,Assumptions!$B$13,IF(M1136&lt;=6,Assumptions!$B$14,Assumptions!$B$15)))</f>
        <v>100</v>
      </c>
      <c r="S1136" s="8" t="n">
        <f aca="false">IF(N1136="Completed On Time",Assumptions!$B$16,IF(N1136="Completed Late",Assumptions!$B$17,Assumptions!$B$18))</f>
        <v>100</v>
      </c>
      <c r="T1136" s="8" t="n">
        <f aca="false">IF(I1136=0,Assumptions!$B$20,IF(H1136&gt;I1136,Assumptions!$B$19,IF(H1136=I1136,Assumptions!$B$20,Assumptions!$B$21)))</f>
        <v>70</v>
      </c>
      <c r="U1136" s="8" t="n">
        <f aca="false">ROUND(P1136*Assumptions!$B$2+Q1136*Assumptions!$B$3+R1136*Assumptions!$B$4+S1136*Assumptions!$B$5+T1136*Assumptions!$B$6,0)</f>
        <v>86</v>
      </c>
      <c r="V1136" s="8" t="str">
        <f aca="false">IF(U1136&gt;=Assumptions!$B$10,"Healthy",IF(U1136&gt;=Assumptions!$B$11,"Needs Attention","High Risk"))</f>
        <v>Healthy</v>
      </c>
    </row>
    <row r="1137" customFormat="false" ht="15" hidden="false" customHeight="false" outlineLevel="0" collapsed="false">
      <c r="A1137" s="8" t="s">
        <v>2416</v>
      </c>
      <c r="B1137" s="8" t="s">
        <v>2417</v>
      </c>
      <c r="C1137" s="8" t="s">
        <v>51</v>
      </c>
      <c r="D1137" s="8" t="s">
        <v>2027</v>
      </c>
      <c r="E1137" s="8" t="s">
        <v>128</v>
      </c>
      <c r="F1137" s="8" t="s">
        <v>143</v>
      </c>
      <c r="G1137" s="8" t="s">
        <v>185</v>
      </c>
      <c r="H1137" s="15" t="n">
        <v>480</v>
      </c>
      <c r="I1137" s="15" t="n">
        <v>480</v>
      </c>
      <c r="J1137" s="16" t="n">
        <v>0.858</v>
      </c>
      <c r="K1137" s="8" t="n">
        <v>9.3</v>
      </c>
      <c r="L1137" s="8" t="n">
        <v>7</v>
      </c>
      <c r="M1137" s="8" t="n">
        <v>1</v>
      </c>
      <c r="N1137" s="8" t="s">
        <v>120</v>
      </c>
      <c r="O1137" s="15" t="n">
        <f aca="false">H1137*12</f>
        <v>5760</v>
      </c>
      <c r="P1137" s="8" t="n">
        <f aca="false">MIN(100,ROUND(100*J1137/Assumptions!$B$8,0))</f>
        <v>95</v>
      </c>
      <c r="Q1137" s="8" t="n">
        <f aca="false">IF(L1137="",Assumptions!$B$9,L1137*10)</f>
        <v>70</v>
      </c>
      <c r="R1137" s="8" t="n">
        <f aca="false">IF(M1137&lt;=1,Assumptions!$B$12,IF(M1137&lt;=3,Assumptions!$B$13,IF(M1137&lt;=6,Assumptions!$B$14,Assumptions!$B$15)))</f>
        <v>100</v>
      </c>
      <c r="S1137" s="8" t="n">
        <f aca="false">IF(N1137="Completed On Time",Assumptions!$B$16,IF(N1137="Completed Late",Assumptions!$B$17,Assumptions!$B$18))</f>
        <v>100</v>
      </c>
      <c r="T1137" s="8" t="n">
        <f aca="false">IF(I1137=0,Assumptions!$B$20,IF(H1137&gt;I1137,Assumptions!$B$19,IF(H1137=I1137,Assumptions!$B$20,Assumptions!$B$21)))</f>
        <v>70</v>
      </c>
      <c r="U1137" s="8" t="n">
        <f aca="false">ROUND(P1137*Assumptions!$B$2+Q1137*Assumptions!$B$3+R1137*Assumptions!$B$4+S1137*Assumptions!$B$5+T1137*Assumptions!$B$6,0)</f>
        <v>86</v>
      </c>
      <c r="V1137" s="8" t="str">
        <f aca="false">IF(U1137&gt;=Assumptions!$B$10,"Healthy",IF(U1137&gt;=Assumptions!$B$11,"Needs Attention","High Risk"))</f>
        <v>Healthy</v>
      </c>
    </row>
    <row r="1138" customFormat="false" ht="15" hidden="false" customHeight="false" outlineLevel="0" collapsed="false">
      <c r="A1138" s="8" t="s">
        <v>2418</v>
      </c>
      <c r="B1138" s="8" t="s">
        <v>2419</v>
      </c>
      <c r="C1138" s="8" t="s">
        <v>51</v>
      </c>
      <c r="D1138" s="8" t="s">
        <v>326</v>
      </c>
      <c r="E1138" s="8" t="s">
        <v>123</v>
      </c>
      <c r="F1138" s="8" t="s">
        <v>118</v>
      </c>
      <c r="G1138" s="8" t="s">
        <v>204</v>
      </c>
      <c r="H1138" s="15" t="n">
        <v>475</v>
      </c>
      <c r="I1138" s="15" t="n">
        <v>475</v>
      </c>
      <c r="J1138" s="16" t="n">
        <v>0.649</v>
      </c>
      <c r="K1138" s="8" t="n">
        <v>6.3</v>
      </c>
      <c r="L1138" s="8" t="n">
        <v>10</v>
      </c>
      <c r="M1138" s="8" t="n">
        <v>3</v>
      </c>
      <c r="N1138" s="8" t="s">
        <v>120</v>
      </c>
      <c r="O1138" s="15" t="n">
        <f aca="false">H1138*12</f>
        <v>5700</v>
      </c>
      <c r="P1138" s="8" t="n">
        <f aca="false">MIN(100,ROUND(100*J1138/Assumptions!$B$8,0))</f>
        <v>72</v>
      </c>
      <c r="Q1138" s="8" t="n">
        <f aca="false">IF(L1138="",Assumptions!$B$9,L1138*10)</f>
        <v>100</v>
      </c>
      <c r="R1138" s="8" t="n">
        <f aca="false">IF(M1138&lt;=1,Assumptions!$B$12,IF(M1138&lt;=3,Assumptions!$B$13,IF(M1138&lt;=6,Assumptions!$B$14,Assumptions!$B$15)))</f>
        <v>75</v>
      </c>
      <c r="S1138" s="8" t="n">
        <f aca="false">IF(N1138="Completed On Time",Assumptions!$B$16,IF(N1138="Completed Late",Assumptions!$B$17,Assumptions!$B$18))</f>
        <v>100</v>
      </c>
      <c r="T1138" s="8" t="n">
        <f aca="false">IF(I1138=0,Assumptions!$B$20,IF(H1138&gt;I1138,Assumptions!$B$19,IF(H1138=I1138,Assumptions!$B$20,Assumptions!$B$21)))</f>
        <v>70</v>
      </c>
      <c r="U1138" s="8" t="n">
        <f aca="false">ROUND(P1138*Assumptions!$B$2+Q1138*Assumptions!$B$3+R1138*Assumptions!$B$4+S1138*Assumptions!$B$5+T1138*Assumptions!$B$6,0)</f>
        <v>80</v>
      </c>
      <c r="V1138" s="8" t="str">
        <f aca="false">IF(U1138&gt;=Assumptions!$B$10,"Healthy",IF(U1138&gt;=Assumptions!$B$11,"Needs Attention","High Risk"))</f>
        <v>Healthy</v>
      </c>
    </row>
    <row r="1139" customFormat="false" ht="15" hidden="false" customHeight="false" outlineLevel="0" collapsed="false">
      <c r="A1139" s="8" t="s">
        <v>2420</v>
      </c>
      <c r="B1139" s="8" t="s">
        <v>2421</v>
      </c>
      <c r="C1139" s="8" t="s">
        <v>51</v>
      </c>
      <c r="D1139" s="8" t="s">
        <v>326</v>
      </c>
      <c r="E1139" s="8" t="s">
        <v>117</v>
      </c>
      <c r="F1139" s="8" t="s">
        <v>166</v>
      </c>
      <c r="G1139" s="8" t="s">
        <v>140</v>
      </c>
      <c r="H1139" s="15" t="n">
        <v>475</v>
      </c>
      <c r="I1139" s="15" t="n">
        <v>475</v>
      </c>
      <c r="J1139" s="16" t="n">
        <v>1</v>
      </c>
      <c r="K1139" s="8" t="n">
        <v>11</v>
      </c>
      <c r="L1139" s="8" t="n">
        <v>10</v>
      </c>
      <c r="M1139" s="8" t="n">
        <v>1</v>
      </c>
      <c r="N1139" s="8" t="s">
        <v>120</v>
      </c>
      <c r="O1139" s="15" t="n">
        <f aca="false">H1139*12</f>
        <v>5700</v>
      </c>
      <c r="P1139" s="8" t="n">
        <f aca="false">MIN(100,ROUND(100*J1139/Assumptions!$B$8,0))</f>
        <v>100</v>
      </c>
      <c r="Q1139" s="8" t="n">
        <f aca="false">IF(L1139="",Assumptions!$B$9,L1139*10)</f>
        <v>100</v>
      </c>
      <c r="R1139" s="8" t="n">
        <f aca="false">IF(M1139&lt;=1,Assumptions!$B$12,IF(M1139&lt;=3,Assumptions!$B$13,IF(M1139&lt;=6,Assumptions!$B$14,Assumptions!$B$15)))</f>
        <v>100</v>
      </c>
      <c r="S1139" s="8" t="n">
        <f aca="false">IF(N1139="Completed On Time",Assumptions!$B$16,IF(N1139="Completed Late",Assumptions!$B$17,Assumptions!$B$18))</f>
        <v>100</v>
      </c>
      <c r="T1139" s="8" t="n">
        <f aca="false">IF(I1139=0,Assumptions!$B$20,IF(H1139&gt;I1139,Assumptions!$B$19,IF(H1139=I1139,Assumptions!$B$20,Assumptions!$B$21)))</f>
        <v>70</v>
      </c>
      <c r="U1139" s="8" t="n">
        <f aca="false">ROUND(P1139*Assumptions!$B$2+Q1139*Assumptions!$B$3+R1139*Assumptions!$B$4+S1139*Assumptions!$B$5+T1139*Assumptions!$B$6,0)</f>
        <v>94</v>
      </c>
      <c r="V1139" s="8" t="str">
        <f aca="false">IF(U1139&gt;=Assumptions!$B$10,"Healthy",IF(U1139&gt;=Assumptions!$B$11,"Needs Attention","High Risk"))</f>
        <v>Healthy</v>
      </c>
    </row>
    <row r="1140" customFormat="false" ht="15" hidden="false" customHeight="false" outlineLevel="0" collapsed="false">
      <c r="A1140" s="8" t="s">
        <v>2422</v>
      </c>
      <c r="B1140" s="8" t="s">
        <v>2423</v>
      </c>
      <c r="C1140" s="8" t="s">
        <v>51</v>
      </c>
      <c r="D1140" s="8" t="s">
        <v>326</v>
      </c>
      <c r="E1140" s="8" t="s">
        <v>117</v>
      </c>
      <c r="F1140" s="8" t="s">
        <v>154</v>
      </c>
      <c r="G1140" s="8" t="s">
        <v>159</v>
      </c>
      <c r="H1140" s="15" t="n">
        <v>475</v>
      </c>
      <c r="I1140" s="15" t="n">
        <v>475</v>
      </c>
      <c r="J1140" s="16" t="n">
        <v>0.702</v>
      </c>
      <c r="K1140" s="8" t="n">
        <v>9.7</v>
      </c>
      <c r="L1140" s="8" t="n">
        <v>4</v>
      </c>
      <c r="M1140" s="8" t="n">
        <v>4</v>
      </c>
      <c r="N1140" s="8" t="s">
        <v>120</v>
      </c>
      <c r="O1140" s="15" t="n">
        <f aca="false">H1140*12</f>
        <v>5700</v>
      </c>
      <c r="P1140" s="8" t="n">
        <f aca="false">MIN(100,ROUND(100*J1140/Assumptions!$B$8,0))</f>
        <v>78</v>
      </c>
      <c r="Q1140" s="8" t="n">
        <f aca="false">IF(L1140="",Assumptions!$B$9,L1140*10)</f>
        <v>40</v>
      </c>
      <c r="R1140" s="8" t="n">
        <f aca="false">IF(M1140&lt;=1,Assumptions!$B$12,IF(M1140&lt;=3,Assumptions!$B$13,IF(M1140&lt;=6,Assumptions!$B$14,Assumptions!$B$15)))</f>
        <v>50</v>
      </c>
      <c r="S1140" s="8" t="n">
        <f aca="false">IF(N1140="Completed On Time",Assumptions!$B$16,IF(N1140="Completed Late",Assumptions!$B$17,Assumptions!$B$18))</f>
        <v>100</v>
      </c>
      <c r="T1140" s="8" t="n">
        <f aca="false">IF(I1140=0,Assumptions!$B$20,IF(H1140&gt;I1140,Assumptions!$B$19,IF(H1140=I1140,Assumptions!$B$20,Assumptions!$B$21)))</f>
        <v>70</v>
      </c>
      <c r="U1140" s="8" t="n">
        <f aca="false">ROUND(P1140*Assumptions!$B$2+Q1140*Assumptions!$B$3+R1140*Assumptions!$B$4+S1140*Assumptions!$B$5+T1140*Assumptions!$B$6,0)</f>
        <v>67</v>
      </c>
      <c r="V1140" s="8" t="str">
        <f aca="false">IF(U1140&gt;=Assumptions!$B$10,"Healthy",IF(U1140&gt;=Assumptions!$B$11,"Needs Attention","High Risk"))</f>
        <v>Needs Attention</v>
      </c>
    </row>
    <row r="1141" customFormat="false" ht="15" hidden="false" customHeight="false" outlineLevel="0" collapsed="false">
      <c r="A1141" s="8" t="s">
        <v>2424</v>
      </c>
      <c r="B1141" s="8" t="s">
        <v>2425</v>
      </c>
      <c r="C1141" s="8" t="s">
        <v>51</v>
      </c>
      <c r="D1141" s="8" t="s">
        <v>326</v>
      </c>
      <c r="E1141" s="8" t="s">
        <v>123</v>
      </c>
      <c r="F1141" s="8" t="s">
        <v>133</v>
      </c>
      <c r="G1141" s="8" t="s">
        <v>119</v>
      </c>
      <c r="H1141" s="15" t="n">
        <v>475</v>
      </c>
      <c r="I1141" s="15" t="n">
        <v>475</v>
      </c>
      <c r="J1141" s="16" t="n">
        <v>0.544</v>
      </c>
      <c r="K1141" s="8" t="n">
        <v>7.7</v>
      </c>
      <c r="L1141" s="8" t="n">
        <v>9</v>
      </c>
      <c r="M1141" s="8" t="n">
        <v>6</v>
      </c>
      <c r="N1141" s="8" t="s">
        <v>120</v>
      </c>
      <c r="O1141" s="15" t="n">
        <f aca="false">H1141*12</f>
        <v>5700</v>
      </c>
      <c r="P1141" s="8" t="n">
        <f aca="false">MIN(100,ROUND(100*J1141/Assumptions!$B$8,0))</f>
        <v>60</v>
      </c>
      <c r="Q1141" s="8" t="n">
        <f aca="false">IF(L1141="",Assumptions!$B$9,L1141*10)</f>
        <v>90</v>
      </c>
      <c r="R1141" s="8" t="n">
        <f aca="false">IF(M1141&lt;=1,Assumptions!$B$12,IF(M1141&lt;=3,Assumptions!$B$13,IF(M1141&lt;=6,Assumptions!$B$14,Assumptions!$B$15)))</f>
        <v>50</v>
      </c>
      <c r="S1141" s="8" t="n">
        <f aca="false">IF(N1141="Completed On Time",Assumptions!$B$16,IF(N1141="Completed Late",Assumptions!$B$17,Assumptions!$B$18))</f>
        <v>100</v>
      </c>
      <c r="T1141" s="8" t="n">
        <f aca="false">IF(I1141=0,Assumptions!$B$20,IF(H1141&gt;I1141,Assumptions!$B$19,IF(H1141=I1141,Assumptions!$B$20,Assumptions!$B$21)))</f>
        <v>70</v>
      </c>
      <c r="U1141" s="8" t="n">
        <f aca="false">ROUND(P1141*Assumptions!$B$2+Q1141*Assumptions!$B$3+R1141*Assumptions!$B$4+S1141*Assumptions!$B$5+T1141*Assumptions!$B$6,0)</f>
        <v>71</v>
      </c>
      <c r="V1141" s="8" t="str">
        <f aca="false">IF(U1141&gt;=Assumptions!$B$10,"Healthy",IF(U1141&gt;=Assumptions!$B$11,"Needs Attention","High Risk"))</f>
        <v>Needs Attention</v>
      </c>
    </row>
    <row r="1142" customFormat="false" ht="15" hidden="false" customHeight="false" outlineLevel="0" collapsed="false">
      <c r="A1142" s="8" t="s">
        <v>2426</v>
      </c>
      <c r="B1142" s="8" t="s">
        <v>2427</v>
      </c>
      <c r="C1142" s="8" t="s">
        <v>51</v>
      </c>
      <c r="D1142" s="8" t="s">
        <v>326</v>
      </c>
      <c r="E1142" s="8" t="s">
        <v>117</v>
      </c>
      <c r="F1142" s="8" t="s">
        <v>190</v>
      </c>
      <c r="G1142" s="8" t="s">
        <v>177</v>
      </c>
      <c r="H1142" s="15" t="n">
        <v>475</v>
      </c>
      <c r="I1142" s="15" t="n">
        <v>475</v>
      </c>
      <c r="J1142" s="16" t="n">
        <v>0.737</v>
      </c>
      <c r="K1142" s="8" t="n">
        <v>8.3</v>
      </c>
      <c r="L1142" s="8" t="n">
        <v>6</v>
      </c>
      <c r="M1142" s="8" t="n">
        <v>3</v>
      </c>
      <c r="N1142" s="8" t="s">
        <v>120</v>
      </c>
      <c r="O1142" s="15" t="n">
        <f aca="false">H1142*12</f>
        <v>5700</v>
      </c>
      <c r="P1142" s="8" t="n">
        <f aca="false">MIN(100,ROUND(100*J1142/Assumptions!$B$8,0))</f>
        <v>82</v>
      </c>
      <c r="Q1142" s="8" t="n">
        <f aca="false">IF(L1142="",Assumptions!$B$9,L1142*10)</f>
        <v>60</v>
      </c>
      <c r="R1142" s="8" t="n">
        <f aca="false">IF(M1142&lt;=1,Assumptions!$B$12,IF(M1142&lt;=3,Assumptions!$B$13,IF(M1142&lt;=6,Assumptions!$B$14,Assumptions!$B$15)))</f>
        <v>75</v>
      </c>
      <c r="S1142" s="8" t="n">
        <f aca="false">IF(N1142="Completed On Time",Assumptions!$B$16,IF(N1142="Completed Late",Assumptions!$B$17,Assumptions!$B$18))</f>
        <v>100</v>
      </c>
      <c r="T1142" s="8" t="n">
        <f aca="false">IF(I1142=0,Assumptions!$B$20,IF(H1142&gt;I1142,Assumptions!$B$19,IF(H1142=I1142,Assumptions!$B$20,Assumptions!$B$21)))</f>
        <v>70</v>
      </c>
      <c r="U1142" s="8" t="n">
        <f aca="false">ROUND(P1142*Assumptions!$B$2+Q1142*Assumptions!$B$3+R1142*Assumptions!$B$4+S1142*Assumptions!$B$5+T1142*Assumptions!$B$6,0)</f>
        <v>76</v>
      </c>
      <c r="V1142" s="8" t="str">
        <f aca="false">IF(U1142&gt;=Assumptions!$B$10,"Healthy",IF(U1142&gt;=Assumptions!$B$11,"Needs Attention","High Risk"))</f>
        <v>Needs Attention</v>
      </c>
    </row>
    <row r="1143" customFormat="false" ht="15" hidden="false" customHeight="false" outlineLevel="0" collapsed="false">
      <c r="A1143" s="8" t="s">
        <v>2428</v>
      </c>
      <c r="B1143" s="8" t="s">
        <v>2429</v>
      </c>
      <c r="C1143" s="8" t="s">
        <v>51</v>
      </c>
      <c r="D1143" s="8" t="s">
        <v>326</v>
      </c>
      <c r="E1143" s="8" t="s">
        <v>123</v>
      </c>
      <c r="F1143" s="8" t="s">
        <v>166</v>
      </c>
      <c r="G1143" s="8" t="s">
        <v>159</v>
      </c>
      <c r="H1143" s="15" t="n">
        <v>475</v>
      </c>
      <c r="I1143" s="15" t="n">
        <v>475</v>
      </c>
      <c r="J1143" s="16" t="n">
        <v>0.702</v>
      </c>
      <c r="K1143" s="8" t="n">
        <v>9.3</v>
      </c>
      <c r="L1143" s="8" t="n">
        <v>10</v>
      </c>
      <c r="M1143" s="8" t="n">
        <v>2</v>
      </c>
      <c r="N1143" s="8" t="s">
        <v>120</v>
      </c>
      <c r="O1143" s="15" t="n">
        <f aca="false">H1143*12</f>
        <v>5700</v>
      </c>
      <c r="P1143" s="8" t="n">
        <f aca="false">MIN(100,ROUND(100*J1143/Assumptions!$B$8,0))</f>
        <v>78</v>
      </c>
      <c r="Q1143" s="8" t="n">
        <f aca="false">IF(L1143="",Assumptions!$B$9,L1143*10)</f>
        <v>100</v>
      </c>
      <c r="R1143" s="8" t="n">
        <f aca="false">IF(M1143&lt;=1,Assumptions!$B$12,IF(M1143&lt;=3,Assumptions!$B$13,IF(M1143&lt;=6,Assumptions!$B$14,Assumptions!$B$15)))</f>
        <v>75</v>
      </c>
      <c r="S1143" s="8" t="n">
        <f aca="false">IF(N1143="Completed On Time",Assumptions!$B$16,IF(N1143="Completed Late",Assumptions!$B$17,Assumptions!$B$18))</f>
        <v>100</v>
      </c>
      <c r="T1143" s="8" t="n">
        <f aca="false">IF(I1143=0,Assumptions!$B$20,IF(H1143&gt;I1143,Assumptions!$B$19,IF(H1143=I1143,Assumptions!$B$20,Assumptions!$B$21)))</f>
        <v>70</v>
      </c>
      <c r="U1143" s="8" t="n">
        <f aca="false">ROUND(P1143*Assumptions!$B$2+Q1143*Assumptions!$B$3+R1143*Assumptions!$B$4+S1143*Assumptions!$B$5+T1143*Assumptions!$B$6,0)</f>
        <v>83</v>
      </c>
      <c r="V1143" s="8" t="str">
        <f aca="false">IF(U1143&gt;=Assumptions!$B$10,"Healthy",IF(U1143&gt;=Assumptions!$B$11,"Needs Attention","High Risk"))</f>
        <v>Healthy</v>
      </c>
    </row>
    <row r="1144" customFormat="false" ht="15" hidden="false" customHeight="false" outlineLevel="0" collapsed="false">
      <c r="A1144" s="8" t="s">
        <v>2430</v>
      </c>
      <c r="B1144" s="8" t="s">
        <v>2431</v>
      </c>
      <c r="C1144" s="8" t="s">
        <v>51</v>
      </c>
      <c r="D1144" s="8" t="s">
        <v>326</v>
      </c>
      <c r="E1144" s="8" t="s">
        <v>123</v>
      </c>
      <c r="F1144" s="8" t="s">
        <v>136</v>
      </c>
      <c r="G1144" s="8" t="s">
        <v>177</v>
      </c>
      <c r="H1144" s="15" t="n">
        <v>475</v>
      </c>
      <c r="I1144" s="15" t="n">
        <v>475</v>
      </c>
      <c r="J1144" s="16" t="n">
        <v>0.895</v>
      </c>
      <c r="K1144" s="8" t="n">
        <v>11.3</v>
      </c>
      <c r="L1144" s="8" t="n">
        <v>10</v>
      </c>
      <c r="M1144" s="8" t="n">
        <v>0</v>
      </c>
      <c r="N1144" s="8" t="s">
        <v>120</v>
      </c>
      <c r="O1144" s="15" t="n">
        <f aca="false">H1144*12</f>
        <v>5700</v>
      </c>
      <c r="P1144" s="8" t="n">
        <f aca="false">MIN(100,ROUND(100*J1144/Assumptions!$B$8,0))</f>
        <v>99</v>
      </c>
      <c r="Q1144" s="8" t="n">
        <f aca="false">IF(L1144="",Assumptions!$B$9,L1144*10)</f>
        <v>100</v>
      </c>
      <c r="R1144" s="8" t="n">
        <f aca="false">IF(M1144&lt;=1,Assumptions!$B$12,IF(M1144&lt;=3,Assumptions!$B$13,IF(M1144&lt;=6,Assumptions!$B$14,Assumptions!$B$15)))</f>
        <v>100</v>
      </c>
      <c r="S1144" s="8" t="n">
        <f aca="false">IF(N1144="Completed On Time",Assumptions!$B$16,IF(N1144="Completed Late",Assumptions!$B$17,Assumptions!$B$18))</f>
        <v>100</v>
      </c>
      <c r="T1144" s="8" t="n">
        <f aca="false">IF(I1144=0,Assumptions!$B$20,IF(H1144&gt;I1144,Assumptions!$B$19,IF(H1144=I1144,Assumptions!$B$20,Assumptions!$B$21)))</f>
        <v>70</v>
      </c>
      <c r="U1144" s="8" t="n">
        <f aca="false">ROUND(P1144*Assumptions!$B$2+Q1144*Assumptions!$B$3+R1144*Assumptions!$B$4+S1144*Assumptions!$B$5+T1144*Assumptions!$B$6,0)</f>
        <v>94</v>
      </c>
      <c r="V1144" s="8" t="str">
        <f aca="false">IF(U1144&gt;=Assumptions!$B$10,"Healthy",IF(U1144&gt;=Assumptions!$B$11,"Needs Attention","High Risk"))</f>
        <v>Healthy</v>
      </c>
    </row>
    <row r="1145" customFormat="false" ht="15" hidden="false" customHeight="false" outlineLevel="0" collapsed="false">
      <c r="A1145" s="8" t="s">
        <v>2432</v>
      </c>
      <c r="B1145" s="8" t="s">
        <v>2433</v>
      </c>
      <c r="C1145" s="8" t="s">
        <v>51</v>
      </c>
      <c r="D1145" s="8" t="s">
        <v>326</v>
      </c>
      <c r="E1145" s="8" t="s">
        <v>123</v>
      </c>
      <c r="F1145" s="8" t="s">
        <v>133</v>
      </c>
      <c r="G1145" s="8" t="s">
        <v>137</v>
      </c>
      <c r="H1145" s="15" t="n">
        <v>475</v>
      </c>
      <c r="I1145" s="15" t="n">
        <v>475</v>
      </c>
      <c r="J1145" s="16" t="n">
        <v>0.632</v>
      </c>
      <c r="K1145" s="8" t="n">
        <v>7</v>
      </c>
      <c r="L1145" s="8" t="n">
        <v>9</v>
      </c>
      <c r="M1145" s="8" t="n">
        <v>1</v>
      </c>
      <c r="N1145" s="8" t="s">
        <v>120</v>
      </c>
      <c r="O1145" s="15" t="n">
        <f aca="false">H1145*12</f>
        <v>5700</v>
      </c>
      <c r="P1145" s="8" t="n">
        <f aca="false">MIN(100,ROUND(100*J1145/Assumptions!$B$8,0))</f>
        <v>70</v>
      </c>
      <c r="Q1145" s="8" t="n">
        <f aca="false">IF(L1145="",Assumptions!$B$9,L1145*10)</f>
        <v>90</v>
      </c>
      <c r="R1145" s="8" t="n">
        <f aca="false">IF(M1145&lt;=1,Assumptions!$B$12,IF(M1145&lt;=3,Assumptions!$B$13,IF(M1145&lt;=6,Assumptions!$B$14,Assumptions!$B$15)))</f>
        <v>100</v>
      </c>
      <c r="S1145" s="8" t="n">
        <f aca="false">IF(N1145="Completed On Time",Assumptions!$B$16,IF(N1145="Completed Late",Assumptions!$B$17,Assumptions!$B$18))</f>
        <v>100</v>
      </c>
      <c r="T1145" s="8" t="n">
        <f aca="false">IF(I1145=0,Assumptions!$B$20,IF(H1145&gt;I1145,Assumptions!$B$19,IF(H1145=I1145,Assumptions!$B$20,Assumptions!$B$21)))</f>
        <v>70</v>
      </c>
      <c r="U1145" s="8" t="n">
        <f aca="false">ROUND(P1145*Assumptions!$B$2+Q1145*Assumptions!$B$3+R1145*Assumptions!$B$4+S1145*Assumptions!$B$5+T1145*Assumptions!$B$6,0)</f>
        <v>82</v>
      </c>
      <c r="V1145" s="8" t="str">
        <f aca="false">IF(U1145&gt;=Assumptions!$B$10,"Healthy",IF(U1145&gt;=Assumptions!$B$11,"Needs Attention","High Risk"))</f>
        <v>Healthy</v>
      </c>
    </row>
    <row r="1146" customFormat="false" ht="15" hidden="false" customHeight="false" outlineLevel="0" collapsed="false">
      <c r="A1146" s="8" t="s">
        <v>2434</v>
      </c>
      <c r="B1146" s="8" t="s">
        <v>2435</v>
      </c>
      <c r="C1146" s="8" t="s">
        <v>51</v>
      </c>
      <c r="D1146" s="8" t="s">
        <v>326</v>
      </c>
      <c r="E1146" s="8" t="s">
        <v>117</v>
      </c>
      <c r="F1146" s="8" t="s">
        <v>133</v>
      </c>
      <c r="G1146" s="8" t="s">
        <v>137</v>
      </c>
      <c r="H1146" s="15" t="n">
        <v>475</v>
      </c>
      <c r="I1146" s="15" t="n">
        <v>475</v>
      </c>
      <c r="J1146" s="16" t="n">
        <v>0.702</v>
      </c>
      <c r="K1146" s="8" t="n">
        <v>9</v>
      </c>
      <c r="L1146" s="8" t="n">
        <v>8</v>
      </c>
      <c r="M1146" s="8" t="n">
        <v>2</v>
      </c>
      <c r="N1146" s="8" t="s">
        <v>120</v>
      </c>
      <c r="O1146" s="15" t="n">
        <f aca="false">H1146*12</f>
        <v>5700</v>
      </c>
      <c r="P1146" s="8" t="n">
        <f aca="false">MIN(100,ROUND(100*J1146/Assumptions!$B$8,0))</f>
        <v>78</v>
      </c>
      <c r="Q1146" s="8" t="n">
        <f aca="false">IF(L1146="",Assumptions!$B$9,L1146*10)</f>
        <v>80</v>
      </c>
      <c r="R1146" s="8" t="n">
        <f aca="false">IF(M1146&lt;=1,Assumptions!$B$12,IF(M1146&lt;=3,Assumptions!$B$13,IF(M1146&lt;=6,Assumptions!$B$14,Assumptions!$B$15)))</f>
        <v>75</v>
      </c>
      <c r="S1146" s="8" t="n">
        <f aca="false">IF(N1146="Completed On Time",Assumptions!$B$16,IF(N1146="Completed Late",Assumptions!$B$17,Assumptions!$B$18))</f>
        <v>100</v>
      </c>
      <c r="T1146" s="8" t="n">
        <f aca="false">IF(I1146=0,Assumptions!$B$20,IF(H1146&gt;I1146,Assumptions!$B$19,IF(H1146=I1146,Assumptions!$B$20,Assumptions!$B$21)))</f>
        <v>70</v>
      </c>
      <c r="U1146" s="8" t="n">
        <f aca="false">ROUND(P1146*Assumptions!$B$2+Q1146*Assumptions!$B$3+R1146*Assumptions!$B$4+S1146*Assumptions!$B$5+T1146*Assumptions!$B$6,0)</f>
        <v>79</v>
      </c>
      <c r="V1146" s="8" t="str">
        <f aca="false">IF(U1146&gt;=Assumptions!$B$10,"Healthy",IF(U1146&gt;=Assumptions!$B$11,"Needs Attention","High Risk"))</f>
        <v>Needs Attention</v>
      </c>
    </row>
    <row r="1147" customFormat="false" ht="15" hidden="false" customHeight="false" outlineLevel="0" collapsed="false">
      <c r="A1147" s="8" t="s">
        <v>2436</v>
      </c>
      <c r="B1147" s="8" t="s">
        <v>2437</v>
      </c>
      <c r="C1147" s="8" t="s">
        <v>51</v>
      </c>
      <c r="D1147" s="8" t="s">
        <v>326</v>
      </c>
      <c r="E1147" s="8" t="s">
        <v>132</v>
      </c>
      <c r="F1147" s="8" t="s">
        <v>118</v>
      </c>
      <c r="G1147" s="8" t="s">
        <v>185</v>
      </c>
      <c r="H1147" s="15" t="n">
        <v>475</v>
      </c>
      <c r="I1147" s="15" t="n">
        <v>475</v>
      </c>
      <c r="J1147" s="16" t="n">
        <v>0.649</v>
      </c>
      <c r="K1147" s="8" t="n">
        <v>8</v>
      </c>
      <c r="L1147" s="8" t="n">
        <v>10</v>
      </c>
      <c r="M1147" s="8" t="n">
        <v>1</v>
      </c>
      <c r="N1147" s="8" t="s">
        <v>120</v>
      </c>
      <c r="O1147" s="15" t="n">
        <f aca="false">H1147*12</f>
        <v>5700</v>
      </c>
      <c r="P1147" s="8" t="n">
        <f aca="false">MIN(100,ROUND(100*J1147/Assumptions!$B$8,0))</f>
        <v>72</v>
      </c>
      <c r="Q1147" s="8" t="n">
        <f aca="false">IF(L1147="",Assumptions!$B$9,L1147*10)</f>
        <v>100</v>
      </c>
      <c r="R1147" s="8" t="n">
        <f aca="false">IF(M1147&lt;=1,Assumptions!$B$12,IF(M1147&lt;=3,Assumptions!$B$13,IF(M1147&lt;=6,Assumptions!$B$14,Assumptions!$B$15)))</f>
        <v>100</v>
      </c>
      <c r="S1147" s="8" t="n">
        <f aca="false">IF(N1147="Completed On Time",Assumptions!$B$16,IF(N1147="Completed Late",Assumptions!$B$17,Assumptions!$B$18))</f>
        <v>100</v>
      </c>
      <c r="T1147" s="8" t="n">
        <f aca="false">IF(I1147=0,Assumptions!$B$20,IF(H1147&gt;I1147,Assumptions!$B$19,IF(H1147=I1147,Assumptions!$B$20,Assumptions!$B$21)))</f>
        <v>70</v>
      </c>
      <c r="U1147" s="8" t="n">
        <f aca="false">ROUND(P1147*Assumptions!$B$2+Q1147*Assumptions!$B$3+R1147*Assumptions!$B$4+S1147*Assumptions!$B$5+T1147*Assumptions!$B$6,0)</f>
        <v>84</v>
      </c>
      <c r="V1147" s="8" t="str">
        <f aca="false">IF(U1147&gt;=Assumptions!$B$10,"Healthy",IF(U1147&gt;=Assumptions!$B$11,"Needs Attention","High Risk"))</f>
        <v>Healthy</v>
      </c>
    </row>
    <row r="1148" customFormat="false" ht="15" hidden="false" customHeight="false" outlineLevel="0" collapsed="false">
      <c r="A1148" s="8" t="s">
        <v>2438</v>
      </c>
      <c r="B1148" s="8" t="s">
        <v>2439</v>
      </c>
      <c r="C1148" s="8" t="s">
        <v>51</v>
      </c>
      <c r="D1148" s="8" t="s">
        <v>2027</v>
      </c>
      <c r="E1148" s="8" t="s">
        <v>123</v>
      </c>
      <c r="F1148" s="8" t="s">
        <v>223</v>
      </c>
      <c r="G1148" s="8" t="s">
        <v>177</v>
      </c>
      <c r="H1148" s="15" t="n">
        <v>468</v>
      </c>
      <c r="I1148" s="15" t="n">
        <v>468</v>
      </c>
      <c r="J1148" s="16" t="n">
        <v>0.496</v>
      </c>
      <c r="K1148" s="8" t="n">
        <v>7</v>
      </c>
      <c r="L1148" s="8" t="n">
        <v>6</v>
      </c>
      <c r="M1148" s="8" t="n">
        <v>2</v>
      </c>
      <c r="N1148" s="8" t="s">
        <v>120</v>
      </c>
      <c r="O1148" s="15" t="n">
        <f aca="false">H1148*12</f>
        <v>5616</v>
      </c>
      <c r="P1148" s="8" t="n">
        <f aca="false">MIN(100,ROUND(100*J1148/Assumptions!$B$8,0))</f>
        <v>55</v>
      </c>
      <c r="Q1148" s="8" t="n">
        <f aca="false">IF(L1148="",Assumptions!$B$9,L1148*10)</f>
        <v>60</v>
      </c>
      <c r="R1148" s="8" t="n">
        <f aca="false">IF(M1148&lt;=1,Assumptions!$B$12,IF(M1148&lt;=3,Assumptions!$B$13,IF(M1148&lt;=6,Assumptions!$B$14,Assumptions!$B$15)))</f>
        <v>75</v>
      </c>
      <c r="S1148" s="8" t="n">
        <f aca="false">IF(N1148="Completed On Time",Assumptions!$B$16,IF(N1148="Completed Late",Assumptions!$B$17,Assumptions!$B$18))</f>
        <v>100</v>
      </c>
      <c r="T1148" s="8" t="n">
        <f aca="false">IF(I1148=0,Assumptions!$B$20,IF(H1148&gt;I1148,Assumptions!$B$19,IF(H1148=I1148,Assumptions!$B$20,Assumptions!$B$21)))</f>
        <v>70</v>
      </c>
      <c r="U1148" s="8" t="n">
        <f aca="false">ROUND(P1148*Assumptions!$B$2+Q1148*Assumptions!$B$3+R1148*Assumptions!$B$4+S1148*Assumptions!$B$5+T1148*Assumptions!$B$6,0)</f>
        <v>67</v>
      </c>
      <c r="V1148" s="8" t="str">
        <f aca="false">IF(U1148&gt;=Assumptions!$B$10,"Healthy",IF(U1148&gt;=Assumptions!$B$11,"Needs Attention","High Risk"))</f>
        <v>Needs Attention</v>
      </c>
    </row>
    <row r="1149" customFormat="false" ht="15" hidden="false" customHeight="false" outlineLevel="0" collapsed="false">
      <c r="A1149" s="8" t="s">
        <v>2440</v>
      </c>
      <c r="B1149" s="8" t="s">
        <v>2441</v>
      </c>
      <c r="C1149" s="8" t="s">
        <v>51</v>
      </c>
      <c r="D1149" s="8" t="s">
        <v>2027</v>
      </c>
      <c r="E1149" s="8" t="s">
        <v>123</v>
      </c>
      <c r="F1149" s="8" t="s">
        <v>154</v>
      </c>
      <c r="G1149" s="8" t="s">
        <v>180</v>
      </c>
      <c r="H1149" s="15" t="n">
        <v>468</v>
      </c>
      <c r="I1149" s="15" t="n">
        <v>0</v>
      </c>
      <c r="J1149" s="16" t="n">
        <v>0.91</v>
      </c>
      <c r="K1149" s="8" t="n">
        <v>10</v>
      </c>
      <c r="L1149" s="8"/>
      <c r="M1149" s="8" t="n">
        <v>1</v>
      </c>
      <c r="N1149" s="8" t="s">
        <v>120</v>
      </c>
      <c r="O1149" s="15" t="n">
        <f aca="false">H1149*12</f>
        <v>5616</v>
      </c>
      <c r="P1149" s="8" t="n">
        <f aca="false">MIN(100,ROUND(100*J1149/Assumptions!$B$8,0))</f>
        <v>100</v>
      </c>
      <c r="Q1149" s="8" t="n">
        <f aca="false">IF(L1149="",Assumptions!$B$9,L1149*10)</f>
        <v>50</v>
      </c>
      <c r="R1149" s="8" t="n">
        <f aca="false">IF(M1149&lt;=1,Assumptions!$B$12,IF(M1149&lt;=3,Assumptions!$B$13,IF(M1149&lt;=6,Assumptions!$B$14,Assumptions!$B$15)))</f>
        <v>100</v>
      </c>
      <c r="S1149" s="8" t="n">
        <f aca="false">IF(N1149="Completed On Time",Assumptions!$B$16,IF(N1149="Completed Late",Assumptions!$B$17,Assumptions!$B$18))</f>
        <v>100</v>
      </c>
      <c r="T1149" s="8" t="n">
        <f aca="false">IF(I1149=0,Assumptions!$B$20,IF(H1149&gt;I1149,Assumptions!$B$19,IF(H1149=I1149,Assumptions!$B$20,Assumptions!$B$21)))</f>
        <v>70</v>
      </c>
      <c r="U1149" s="8" t="n">
        <f aca="false">ROUND(P1149*Assumptions!$B$2+Q1149*Assumptions!$B$3+R1149*Assumptions!$B$4+S1149*Assumptions!$B$5+T1149*Assumptions!$B$6,0)</f>
        <v>84</v>
      </c>
      <c r="V1149" s="8" t="str">
        <f aca="false">IF(U1149&gt;=Assumptions!$B$10,"Healthy",IF(U1149&gt;=Assumptions!$B$11,"Needs Attention","High Risk"))</f>
        <v>Healthy</v>
      </c>
    </row>
    <row r="1150" customFormat="false" ht="15" hidden="false" customHeight="false" outlineLevel="0" collapsed="false">
      <c r="A1150" s="8" t="s">
        <v>2442</v>
      </c>
      <c r="B1150" s="8" t="s">
        <v>2443</v>
      </c>
      <c r="C1150" s="8" t="s">
        <v>51</v>
      </c>
      <c r="D1150" s="8" t="s">
        <v>2027</v>
      </c>
      <c r="E1150" s="8" t="s">
        <v>128</v>
      </c>
      <c r="F1150" s="8" t="s">
        <v>124</v>
      </c>
      <c r="G1150" s="8" t="s">
        <v>159</v>
      </c>
      <c r="H1150" s="15" t="n">
        <v>468</v>
      </c>
      <c r="I1150" s="15" t="n">
        <v>468</v>
      </c>
      <c r="J1150" s="16" t="n">
        <v>0.684</v>
      </c>
      <c r="K1150" s="8" t="n">
        <v>8</v>
      </c>
      <c r="L1150" s="8" t="n">
        <v>8</v>
      </c>
      <c r="M1150" s="8" t="n">
        <v>1</v>
      </c>
      <c r="N1150" s="8" t="s">
        <v>120</v>
      </c>
      <c r="O1150" s="15" t="n">
        <f aca="false">H1150*12</f>
        <v>5616</v>
      </c>
      <c r="P1150" s="8" t="n">
        <f aca="false">MIN(100,ROUND(100*J1150/Assumptions!$B$8,0))</f>
        <v>76</v>
      </c>
      <c r="Q1150" s="8" t="n">
        <f aca="false">IF(L1150="",Assumptions!$B$9,L1150*10)</f>
        <v>80</v>
      </c>
      <c r="R1150" s="8" t="n">
        <f aca="false">IF(M1150&lt;=1,Assumptions!$B$12,IF(M1150&lt;=3,Assumptions!$B$13,IF(M1150&lt;=6,Assumptions!$B$14,Assumptions!$B$15)))</f>
        <v>100</v>
      </c>
      <c r="S1150" s="8" t="n">
        <f aca="false">IF(N1150="Completed On Time",Assumptions!$B$16,IF(N1150="Completed Late",Assumptions!$B$17,Assumptions!$B$18))</f>
        <v>100</v>
      </c>
      <c r="T1150" s="8" t="n">
        <f aca="false">IF(I1150=0,Assumptions!$B$20,IF(H1150&gt;I1150,Assumptions!$B$19,IF(H1150=I1150,Assumptions!$B$20,Assumptions!$B$21)))</f>
        <v>70</v>
      </c>
      <c r="U1150" s="8" t="n">
        <f aca="false">ROUND(P1150*Assumptions!$B$2+Q1150*Assumptions!$B$3+R1150*Assumptions!$B$4+S1150*Assumptions!$B$5+T1150*Assumptions!$B$6,0)</f>
        <v>82</v>
      </c>
      <c r="V1150" s="8" t="str">
        <f aca="false">IF(U1150&gt;=Assumptions!$B$10,"Healthy",IF(U1150&gt;=Assumptions!$B$11,"Needs Attention","High Risk"))</f>
        <v>Healthy</v>
      </c>
    </row>
    <row r="1151" customFormat="false" ht="15" hidden="false" customHeight="false" outlineLevel="0" collapsed="false">
      <c r="A1151" s="8" t="s">
        <v>2444</v>
      </c>
      <c r="B1151" s="8" t="s">
        <v>2445</v>
      </c>
      <c r="C1151" s="8" t="s">
        <v>51</v>
      </c>
      <c r="D1151" s="8" t="s">
        <v>2027</v>
      </c>
      <c r="E1151" s="8" t="s">
        <v>132</v>
      </c>
      <c r="F1151" s="8" t="s">
        <v>133</v>
      </c>
      <c r="G1151" s="8" t="s">
        <v>180</v>
      </c>
      <c r="H1151" s="15" t="n">
        <v>468</v>
      </c>
      <c r="I1151" s="15" t="n">
        <v>468</v>
      </c>
      <c r="J1151" s="16" t="n">
        <v>0.761</v>
      </c>
      <c r="K1151" s="8" t="n">
        <v>9</v>
      </c>
      <c r="L1151" s="8" t="n">
        <v>7</v>
      </c>
      <c r="M1151" s="8" t="n">
        <v>4</v>
      </c>
      <c r="N1151" s="8" t="s">
        <v>120</v>
      </c>
      <c r="O1151" s="15" t="n">
        <f aca="false">H1151*12</f>
        <v>5616</v>
      </c>
      <c r="P1151" s="8" t="n">
        <f aca="false">MIN(100,ROUND(100*J1151/Assumptions!$B$8,0))</f>
        <v>85</v>
      </c>
      <c r="Q1151" s="8" t="n">
        <f aca="false">IF(L1151="",Assumptions!$B$9,L1151*10)</f>
        <v>70</v>
      </c>
      <c r="R1151" s="8" t="n">
        <f aca="false">IF(M1151&lt;=1,Assumptions!$B$12,IF(M1151&lt;=3,Assumptions!$B$13,IF(M1151&lt;=6,Assumptions!$B$14,Assumptions!$B$15)))</f>
        <v>50</v>
      </c>
      <c r="S1151" s="8" t="n">
        <f aca="false">IF(N1151="Completed On Time",Assumptions!$B$16,IF(N1151="Completed Late",Assumptions!$B$17,Assumptions!$B$18))</f>
        <v>100</v>
      </c>
      <c r="T1151" s="8" t="n">
        <f aca="false">IF(I1151=0,Assumptions!$B$20,IF(H1151&gt;I1151,Assumptions!$B$19,IF(H1151=I1151,Assumptions!$B$20,Assumptions!$B$21)))</f>
        <v>70</v>
      </c>
      <c r="U1151" s="8" t="n">
        <f aca="false">ROUND(P1151*Assumptions!$B$2+Q1151*Assumptions!$B$3+R1151*Assumptions!$B$4+S1151*Assumptions!$B$5+T1151*Assumptions!$B$6,0)</f>
        <v>75</v>
      </c>
      <c r="V1151" s="8" t="str">
        <f aca="false">IF(U1151&gt;=Assumptions!$B$10,"Healthy",IF(U1151&gt;=Assumptions!$B$11,"Needs Attention","High Risk"))</f>
        <v>Needs Attention</v>
      </c>
    </row>
    <row r="1152" customFormat="false" ht="15" hidden="false" customHeight="false" outlineLevel="0" collapsed="false">
      <c r="A1152" s="8" t="s">
        <v>2446</v>
      </c>
      <c r="B1152" s="8" t="s">
        <v>2447</v>
      </c>
      <c r="C1152" s="8" t="s">
        <v>51</v>
      </c>
      <c r="D1152" s="8" t="s">
        <v>2027</v>
      </c>
      <c r="E1152" s="8" t="s">
        <v>123</v>
      </c>
      <c r="F1152" s="8" t="s">
        <v>124</v>
      </c>
      <c r="G1152" s="8" t="s">
        <v>129</v>
      </c>
      <c r="H1152" s="15" t="n">
        <v>468</v>
      </c>
      <c r="I1152" s="15" t="n">
        <v>468</v>
      </c>
      <c r="J1152" s="16" t="n">
        <v>0.838</v>
      </c>
      <c r="K1152" s="8" t="n">
        <v>9.3</v>
      </c>
      <c r="L1152" s="8" t="n">
        <v>10</v>
      </c>
      <c r="M1152" s="8" t="n">
        <v>0</v>
      </c>
      <c r="N1152" s="8" t="s">
        <v>120</v>
      </c>
      <c r="O1152" s="15" t="n">
        <f aca="false">H1152*12</f>
        <v>5616</v>
      </c>
      <c r="P1152" s="8" t="n">
        <f aca="false">MIN(100,ROUND(100*J1152/Assumptions!$B$8,0))</f>
        <v>93</v>
      </c>
      <c r="Q1152" s="8" t="n">
        <f aca="false">IF(L1152="",Assumptions!$B$9,L1152*10)</f>
        <v>100</v>
      </c>
      <c r="R1152" s="8" t="n">
        <f aca="false">IF(M1152&lt;=1,Assumptions!$B$12,IF(M1152&lt;=3,Assumptions!$B$13,IF(M1152&lt;=6,Assumptions!$B$14,Assumptions!$B$15)))</f>
        <v>100</v>
      </c>
      <c r="S1152" s="8" t="n">
        <f aca="false">IF(N1152="Completed On Time",Assumptions!$B$16,IF(N1152="Completed Late",Assumptions!$B$17,Assumptions!$B$18))</f>
        <v>100</v>
      </c>
      <c r="T1152" s="8" t="n">
        <f aca="false">IF(I1152=0,Assumptions!$B$20,IF(H1152&gt;I1152,Assumptions!$B$19,IF(H1152=I1152,Assumptions!$B$20,Assumptions!$B$21)))</f>
        <v>70</v>
      </c>
      <c r="U1152" s="8" t="n">
        <f aca="false">ROUND(P1152*Assumptions!$B$2+Q1152*Assumptions!$B$3+R1152*Assumptions!$B$4+S1152*Assumptions!$B$5+T1152*Assumptions!$B$6,0)</f>
        <v>92</v>
      </c>
      <c r="V1152" s="8" t="str">
        <f aca="false">IF(U1152&gt;=Assumptions!$B$10,"Healthy",IF(U1152&gt;=Assumptions!$B$11,"Needs Attention","High Risk"))</f>
        <v>Healthy</v>
      </c>
    </row>
    <row r="1153" customFormat="false" ht="15" hidden="false" customHeight="false" outlineLevel="0" collapsed="false">
      <c r="A1153" s="8" t="s">
        <v>2448</v>
      </c>
      <c r="B1153" s="8" t="s">
        <v>2449</v>
      </c>
      <c r="C1153" s="8" t="s">
        <v>51</v>
      </c>
      <c r="D1153" s="8" t="s">
        <v>2027</v>
      </c>
      <c r="E1153" s="8" t="s">
        <v>132</v>
      </c>
      <c r="F1153" s="8" t="s">
        <v>118</v>
      </c>
      <c r="G1153" s="8" t="s">
        <v>147</v>
      </c>
      <c r="H1153" s="15" t="n">
        <v>468</v>
      </c>
      <c r="I1153" s="15" t="n">
        <v>420</v>
      </c>
      <c r="J1153" s="16" t="n">
        <v>0.716</v>
      </c>
      <c r="K1153" s="8" t="n">
        <v>10</v>
      </c>
      <c r="L1153" s="8" t="n">
        <v>8</v>
      </c>
      <c r="M1153" s="8" t="n">
        <v>2</v>
      </c>
      <c r="N1153" s="8" t="s">
        <v>120</v>
      </c>
      <c r="O1153" s="15" t="n">
        <f aca="false">H1153*12</f>
        <v>5616</v>
      </c>
      <c r="P1153" s="8" t="n">
        <f aca="false">MIN(100,ROUND(100*J1153/Assumptions!$B$8,0))</f>
        <v>80</v>
      </c>
      <c r="Q1153" s="8" t="n">
        <f aca="false">IF(L1153="",Assumptions!$B$9,L1153*10)</f>
        <v>80</v>
      </c>
      <c r="R1153" s="8" t="n">
        <f aca="false">IF(M1153&lt;=1,Assumptions!$B$12,IF(M1153&lt;=3,Assumptions!$B$13,IF(M1153&lt;=6,Assumptions!$B$14,Assumptions!$B$15)))</f>
        <v>75</v>
      </c>
      <c r="S1153" s="8" t="n">
        <f aca="false">IF(N1153="Completed On Time",Assumptions!$B$16,IF(N1153="Completed Late",Assumptions!$B$17,Assumptions!$B$18))</f>
        <v>100</v>
      </c>
      <c r="T1153" s="8" t="n">
        <f aca="false">IF(I1153=0,Assumptions!$B$20,IF(H1153&gt;I1153,Assumptions!$B$19,IF(H1153=I1153,Assumptions!$B$20,Assumptions!$B$21)))</f>
        <v>100</v>
      </c>
      <c r="U1153" s="8" t="n">
        <f aca="false">ROUND(P1153*Assumptions!$B$2+Q1153*Assumptions!$B$3+R1153*Assumptions!$B$4+S1153*Assumptions!$B$5+T1153*Assumptions!$B$6,0)</f>
        <v>85</v>
      </c>
      <c r="V1153" s="8" t="str">
        <f aca="false">IF(U1153&gt;=Assumptions!$B$10,"Healthy",IF(U1153&gt;=Assumptions!$B$11,"Needs Attention","High Risk"))</f>
        <v>Healthy</v>
      </c>
    </row>
    <row r="1154" customFormat="false" ht="15" hidden="false" customHeight="false" outlineLevel="0" collapsed="false">
      <c r="A1154" s="8" t="s">
        <v>2450</v>
      </c>
      <c r="B1154" s="8" t="s">
        <v>2451</v>
      </c>
      <c r="C1154" s="8" t="s">
        <v>51</v>
      </c>
      <c r="D1154" s="8" t="s">
        <v>2027</v>
      </c>
      <c r="E1154" s="8" t="s">
        <v>117</v>
      </c>
      <c r="F1154" s="8" t="s">
        <v>190</v>
      </c>
      <c r="G1154" s="8" t="s">
        <v>137</v>
      </c>
      <c r="H1154" s="15" t="n">
        <v>468</v>
      </c>
      <c r="I1154" s="15" t="n">
        <v>468</v>
      </c>
      <c r="J1154" s="16" t="n">
        <v>0.838</v>
      </c>
      <c r="K1154" s="8" t="n">
        <v>8</v>
      </c>
      <c r="L1154" s="8" t="n">
        <v>10</v>
      </c>
      <c r="M1154" s="8" t="n">
        <v>1</v>
      </c>
      <c r="N1154" s="8" t="s">
        <v>120</v>
      </c>
      <c r="O1154" s="15" t="n">
        <f aca="false">H1154*12</f>
        <v>5616</v>
      </c>
      <c r="P1154" s="8" t="n">
        <f aca="false">MIN(100,ROUND(100*J1154/Assumptions!$B$8,0))</f>
        <v>93</v>
      </c>
      <c r="Q1154" s="8" t="n">
        <f aca="false">IF(L1154="",Assumptions!$B$9,L1154*10)</f>
        <v>100</v>
      </c>
      <c r="R1154" s="8" t="n">
        <f aca="false">IF(M1154&lt;=1,Assumptions!$B$12,IF(M1154&lt;=3,Assumptions!$B$13,IF(M1154&lt;=6,Assumptions!$B$14,Assumptions!$B$15)))</f>
        <v>100</v>
      </c>
      <c r="S1154" s="8" t="n">
        <f aca="false">IF(N1154="Completed On Time",Assumptions!$B$16,IF(N1154="Completed Late",Assumptions!$B$17,Assumptions!$B$18))</f>
        <v>100</v>
      </c>
      <c r="T1154" s="8" t="n">
        <f aca="false">IF(I1154=0,Assumptions!$B$20,IF(H1154&gt;I1154,Assumptions!$B$19,IF(H1154=I1154,Assumptions!$B$20,Assumptions!$B$21)))</f>
        <v>70</v>
      </c>
      <c r="U1154" s="8" t="n">
        <f aca="false">ROUND(P1154*Assumptions!$B$2+Q1154*Assumptions!$B$3+R1154*Assumptions!$B$4+S1154*Assumptions!$B$5+T1154*Assumptions!$B$6,0)</f>
        <v>92</v>
      </c>
      <c r="V1154" s="8" t="str">
        <f aca="false">IF(U1154&gt;=Assumptions!$B$10,"Healthy",IF(U1154&gt;=Assumptions!$B$11,"Needs Attention","High Risk"))</f>
        <v>Healthy</v>
      </c>
    </row>
    <row r="1155" customFormat="false" ht="15" hidden="false" customHeight="false" outlineLevel="0" collapsed="false">
      <c r="A1155" s="8" t="s">
        <v>2452</v>
      </c>
      <c r="B1155" s="8" t="s">
        <v>2453</v>
      </c>
      <c r="C1155" s="8" t="s">
        <v>51</v>
      </c>
      <c r="D1155" s="8" t="s">
        <v>2027</v>
      </c>
      <c r="E1155" s="8" t="s">
        <v>132</v>
      </c>
      <c r="F1155" s="8" t="s">
        <v>166</v>
      </c>
      <c r="G1155" s="8" t="s">
        <v>129</v>
      </c>
      <c r="H1155" s="15" t="n">
        <v>468</v>
      </c>
      <c r="I1155" s="15" t="n">
        <v>468</v>
      </c>
      <c r="J1155" s="16" t="n">
        <v>0.692</v>
      </c>
      <c r="K1155" s="8" t="n">
        <v>9.7</v>
      </c>
      <c r="L1155" s="8" t="n">
        <v>9</v>
      </c>
      <c r="M1155" s="8" t="n">
        <v>2</v>
      </c>
      <c r="N1155" s="8" t="s">
        <v>120</v>
      </c>
      <c r="O1155" s="15" t="n">
        <f aca="false">H1155*12</f>
        <v>5616</v>
      </c>
      <c r="P1155" s="8" t="n">
        <f aca="false">MIN(100,ROUND(100*J1155/Assumptions!$B$8,0))</f>
        <v>77</v>
      </c>
      <c r="Q1155" s="8" t="n">
        <f aca="false">IF(L1155="",Assumptions!$B$9,L1155*10)</f>
        <v>90</v>
      </c>
      <c r="R1155" s="8" t="n">
        <f aca="false">IF(M1155&lt;=1,Assumptions!$B$12,IF(M1155&lt;=3,Assumptions!$B$13,IF(M1155&lt;=6,Assumptions!$B$14,Assumptions!$B$15)))</f>
        <v>75</v>
      </c>
      <c r="S1155" s="8" t="n">
        <f aca="false">IF(N1155="Completed On Time",Assumptions!$B$16,IF(N1155="Completed Late",Assumptions!$B$17,Assumptions!$B$18))</f>
        <v>100</v>
      </c>
      <c r="T1155" s="8" t="n">
        <f aca="false">IF(I1155=0,Assumptions!$B$20,IF(H1155&gt;I1155,Assumptions!$B$19,IF(H1155=I1155,Assumptions!$B$20,Assumptions!$B$21)))</f>
        <v>70</v>
      </c>
      <c r="U1155" s="8" t="n">
        <f aca="false">ROUND(P1155*Assumptions!$B$2+Q1155*Assumptions!$B$3+R1155*Assumptions!$B$4+S1155*Assumptions!$B$5+T1155*Assumptions!$B$6,0)</f>
        <v>80</v>
      </c>
      <c r="V1155" s="8" t="str">
        <f aca="false">IF(U1155&gt;=Assumptions!$B$10,"Healthy",IF(U1155&gt;=Assumptions!$B$11,"Needs Attention","High Risk"))</f>
        <v>Healthy</v>
      </c>
    </row>
    <row r="1156" customFormat="false" ht="15" hidden="false" customHeight="false" outlineLevel="0" collapsed="false">
      <c r="A1156" s="8" t="s">
        <v>2454</v>
      </c>
      <c r="B1156" s="8" t="s">
        <v>2455</v>
      </c>
      <c r="C1156" s="8" t="s">
        <v>51</v>
      </c>
      <c r="D1156" s="8" t="s">
        <v>2027</v>
      </c>
      <c r="E1156" s="8" t="s">
        <v>123</v>
      </c>
      <c r="F1156" s="8" t="s">
        <v>124</v>
      </c>
      <c r="G1156" s="8" t="s">
        <v>180</v>
      </c>
      <c r="H1156" s="15" t="n">
        <v>468</v>
      </c>
      <c r="I1156" s="15" t="n">
        <v>468</v>
      </c>
      <c r="J1156" s="16" t="n">
        <v>0.692</v>
      </c>
      <c r="K1156" s="8" t="n">
        <v>10.3</v>
      </c>
      <c r="L1156" s="8" t="n">
        <v>7</v>
      </c>
      <c r="M1156" s="8" t="n">
        <v>3</v>
      </c>
      <c r="N1156" s="8" t="s">
        <v>120</v>
      </c>
      <c r="O1156" s="15" t="n">
        <f aca="false">H1156*12</f>
        <v>5616</v>
      </c>
      <c r="P1156" s="8" t="n">
        <f aca="false">MIN(100,ROUND(100*J1156/Assumptions!$B$8,0))</f>
        <v>77</v>
      </c>
      <c r="Q1156" s="8" t="n">
        <f aca="false">IF(L1156="",Assumptions!$B$9,L1156*10)</f>
        <v>70</v>
      </c>
      <c r="R1156" s="8" t="n">
        <f aca="false">IF(M1156&lt;=1,Assumptions!$B$12,IF(M1156&lt;=3,Assumptions!$B$13,IF(M1156&lt;=6,Assumptions!$B$14,Assumptions!$B$15)))</f>
        <v>75</v>
      </c>
      <c r="S1156" s="8" t="n">
        <f aca="false">IF(N1156="Completed On Time",Assumptions!$B$16,IF(N1156="Completed Late",Assumptions!$B$17,Assumptions!$B$18))</f>
        <v>100</v>
      </c>
      <c r="T1156" s="8" t="n">
        <f aca="false">IF(I1156=0,Assumptions!$B$20,IF(H1156&gt;I1156,Assumptions!$B$19,IF(H1156=I1156,Assumptions!$B$20,Assumptions!$B$21)))</f>
        <v>70</v>
      </c>
      <c r="U1156" s="8" t="n">
        <f aca="false">ROUND(P1156*Assumptions!$B$2+Q1156*Assumptions!$B$3+R1156*Assumptions!$B$4+S1156*Assumptions!$B$5+T1156*Assumptions!$B$6,0)</f>
        <v>76</v>
      </c>
      <c r="V1156" s="8" t="str">
        <f aca="false">IF(U1156&gt;=Assumptions!$B$10,"Healthy",IF(U1156&gt;=Assumptions!$B$11,"Needs Attention","High Risk"))</f>
        <v>Needs Attention</v>
      </c>
    </row>
    <row r="1157" customFormat="false" ht="15" hidden="false" customHeight="false" outlineLevel="0" collapsed="false">
      <c r="A1157" s="8" t="s">
        <v>2456</v>
      </c>
      <c r="B1157" s="8" t="s">
        <v>2457</v>
      </c>
      <c r="C1157" s="8" t="s">
        <v>51</v>
      </c>
      <c r="D1157" s="8" t="s">
        <v>2027</v>
      </c>
      <c r="E1157" s="8" t="s">
        <v>123</v>
      </c>
      <c r="F1157" s="8" t="s">
        <v>124</v>
      </c>
      <c r="G1157" s="8" t="s">
        <v>125</v>
      </c>
      <c r="H1157" s="15" t="n">
        <v>468</v>
      </c>
      <c r="I1157" s="15" t="n">
        <v>468</v>
      </c>
      <c r="J1157" s="16" t="n">
        <v>0.803</v>
      </c>
      <c r="K1157" s="8" t="n">
        <v>6.7</v>
      </c>
      <c r="L1157" s="8" t="n">
        <v>10</v>
      </c>
      <c r="M1157" s="8" t="n">
        <v>3</v>
      </c>
      <c r="N1157" s="8" t="s">
        <v>120</v>
      </c>
      <c r="O1157" s="15" t="n">
        <f aca="false">H1157*12</f>
        <v>5616</v>
      </c>
      <c r="P1157" s="8" t="n">
        <f aca="false">MIN(100,ROUND(100*J1157/Assumptions!$B$8,0))</f>
        <v>89</v>
      </c>
      <c r="Q1157" s="8" t="n">
        <f aca="false">IF(L1157="",Assumptions!$B$9,L1157*10)</f>
        <v>100</v>
      </c>
      <c r="R1157" s="8" t="n">
        <f aca="false">IF(M1157&lt;=1,Assumptions!$B$12,IF(M1157&lt;=3,Assumptions!$B$13,IF(M1157&lt;=6,Assumptions!$B$14,Assumptions!$B$15)))</f>
        <v>75</v>
      </c>
      <c r="S1157" s="8" t="n">
        <f aca="false">IF(N1157="Completed On Time",Assumptions!$B$16,IF(N1157="Completed Late",Assumptions!$B$17,Assumptions!$B$18))</f>
        <v>100</v>
      </c>
      <c r="T1157" s="8" t="n">
        <f aca="false">IF(I1157=0,Assumptions!$B$20,IF(H1157&gt;I1157,Assumptions!$B$19,IF(H1157=I1157,Assumptions!$B$20,Assumptions!$B$21)))</f>
        <v>70</v>
      </c>
      <c r="U1157" s="8" t="n">
        <f aca="false">ROUND(P1157*Assumptions!$B$2+Q1157*Assumptions!$B$3+R1157*Assumptions!$B$4+S1157*Assumptions!$B$5+T1157*Assumptions!$B$6,0)</f>
        <v>86</v>
      </c>
      <c r="V1157" s="8" t="str">
        <f aca="false">IF(U1157&gt;=Assumptions!$B$10,"Healthy",IF(U1157&gt;=Assumptions!$B$11,"Needs Attention","High Risk"))</f>
        <v>Healthy</v>
      </c>
    </row>
    <row r="1158" customFormat="false" ht="15" hidden="false" customHeight="false" outlineLevel="0" collapsed="false">
      <c r="A1158" s="8" t="s">
        <v>2458</v>
      </c>
      <c r="B1158" s="8" t="s">
        <v>2459</v>
      </c>
      <c r="C1158" s="8" t="s">
        <v>51</v>
      </c>
      <c r="D1158" s="8" t="s">
        <v>2027</v>
      </c>
      <c r="E1158" s="8" t="s">
        <v>123</v>
      </c>
      <c r="F1158" s="8" t="s">
        <v>118</v>
      </c>
      <c r="G1158" s="8" t="s">
        <v>140</v>
      </c>
      <c r="H1158" s="15" t="n">
        <v>468</v>
      </c>
      <c r="I1158" s="15" t="n">
        <v>468</v>
      </c>
      <c r="J1158" s="16" t="n">
        <v>0.564</v>
      </c>
      <c r="K1158" s="8" t="n">
        <v>5.7</v>
      </c>
      <c r="L1158" s="8" t="n">
        <v>8</v>
      </c>
      <c r="M1158" s="8" t="n">
        <v>5</v>
      </c>
      <c r="N1158" s="8" t="s">
        <v>120</v>
      </c>
      <c r="O1158" s="15" t="n">
        <f aca="false">H1158*12</f>
        <v>5616</v>
      </c>
      <c r="P1158" s="8" t="n">
        <f aca="false">MIN(100,ROUND(100*J1158/Assumptions!$B$8,0))</f>
        <v>63</v>
      </c>
      <c r="Q1158" s="8" t="n">
        <f aca="false">IF(L1158="",Assumptions!$B$9,L1158*10)</f>
        <v>80</v>
      </c>
      <c r="R1158" s="8" t="n">
        <f aca="false">IF(M1158&lt;=1,Assumptions!$B$12,IF(M1158&lt;=3,Assumptions!$B$13,IF(M1158&lt;=6,Assumptions!$B$14,Assumptions!$B$15)))</f>
        <v>50</v>
      </c>
      <c r="S1158" s="8" t="n">
        <f aca="false">IF(N1158="Completed On Time",Assumptions!$B$16,IF(N1158="Completed Late",Assumptions!$B$17,Assumptions!$B$18))</f>
        <v>100</v>
      </c>
      <c r="T1158" s="8" t="n">
        <f aca="false">IF(I1158=0,Assumptions!$B$20,IF(H1158&gt;I1158,Assumptions!$B$19,IF(H1158=I1158,Assumptions!$B$20,Assumptions!$B$21)))</f>
        <v>70</v>
      </c>
      <c r="U1158" s="8" t="n">
        <f aca="false">ROUND(P1158*Assumptions!$B$2+Q1158*Assumptions!$B$3+R1158*Assumptions!$B$4+S1158*Assumptions!$B$5+T1158*Assumptions!$B$6,0)</f>
        <v>70</v>
      </c>
      <c r="V1158" s="8" t="str">
        <f aca="false">IF(U1158&gt;=Assumptions!$B$10,"Healthy",IF(U1158&gt;=Assumptions!$B$11,"Needs Attention","High Risk"))</f>
        <v>Needs Attention</v>
      </c>
    </row>
    <row r="1159" customFormat="false" ht="15" hidden="false" customHeight="false" outlineLevel="0" collapsed="false">
      <c r="A1159" s="8" t="s">
        <v>2460</v>
      </c>
      <c r="B1159" s="8" t="s">
        <v>2461</v>
      </c>
      <c r="C1159" s="8" t="s">
        <v>51</v>
      </c>
      <c r="D1159" s="8" t="s">
        <v>2027</v>
      </c>
      <c r="E1159" s="8" t="s">
        <v>117</v>
      </c>
      <c r="F1159" s="8" t="s">
        <v>151</v>
      </c>
      <c r="G1159" s="8" t="s">
        <v>140</v>
      </c>
      <c r="H1159" s="15" t="n">
        <v>468</v>
      </c>
      <c r="I1159" s="15" t="n">
        <v>468</v>
      </c>
      <c r="J1159" s="16" t="n">
        <v>0.684</v>
      </c>
      <c r="K1159" s="8" t="n">
        <v>6.7</v>
      </c>
      <c r="L1159" s="8" t="n">
        <v>7</v>
      </c>
      <c r="M1159" s="8" t="n">
        <v>5</v>
      </c>
      <c r="N1159" s="8" t="s">
        <v>120</v>
      </c>
      <c r="O1159" s="15" t="n">
        <f aca="false">H1159*12</f>
        <v>5616</v>
      </c>
      <c r="P1159" s="8" t="n">
        <f aca="false">MIN(100,ROUND(100*J1159/Assumptions!$B$8,0))</f>
        <v>76</v>
      </c>
      <c r="Q1159" s="8" t="n">
        <f aca="false">IF(L1159="",Assumptions!$B$9,L1159*10)</f>
        <v>70</v>
      </c>
      <c r="R1159" s="8" t="n">
        <f aca="false">IF(M1159&lt;=1,Assumptions!$B$12,IF(M1159&lt;=3,Assumptions!$B$13,IF(M1159&lt;=6,Assumptions!$B$14,Assumptions!$B$15)))</f>
        <v>50</v>
      </c>
      <c r="S1159" s="8" t="n">
        <f aca="false">IF(N1159="Completed On Time",Assumptions!$B$16,IF(N1159="Completed Late",Assumptions!$B$17,Assumptions!$B$18))</f>
        <v>100</v>
      </c>
      <c r="T1159" s="8" t="n">
        <f aca="false">IF(I1159=0,Assumptions!$B$20,IF(H1159&gt;I1159,Assumptions!$B$19,IF(H1159=I1159,Assumptions!$B$20,Assumptions!$B$21)))</f>
        <v>70</v>
      </c>
      <c r="U1159" s="8" t="n">
        <f aca="false">ROUND(P1159*Assumptions!$B$2+Q1159*Assumptions!$B$3+R1159*Assumptions!$B$4+S1159*Assumptions!$B$5+T1159*Assumptions!$B$6,0)</f>
        <v>72</v>
      </c>
      <c r="V1159" s="8" t="str">
        <f aca="false">IF(U1159&gt;=Assumptions!$B$10,"Healthy",IF(U1159&gt;=Assumptions!$B$11,"Needs Attention","High Risk"))</f>
        <v>Needs Attention</v>
      </c>
    </row>
    <row r="1160" customFormat="false" ht="15" hidden="false" customHeight="false" outlineLevel="0" collapsed="false">
      <c r="A1160" s="8" t="s">
        <v>2462</v>
      </c>
      <c r="B1160" s="8" t="s">
        <v>2463</v>
      </c>
      <c r="C1160" s="8" t="s">
        <v>51</v>
      </c>
      <c r="D1160" s="8" t="s">
        <v>2027</v>
      </c>
      <c r="E1160" s="8" t="s">
        <v>132</v>
      </c>
      <c r="F1160" s="8" t="s">
        <v>166</v>
      </c>
      <c r="G1160" s="8" t="s">
        <v>125</v>
      </c>
      <c r="H1160" s="15" t="n">
        <v>468</v>
      </c>
      <c r="I1160" s="15" t="n">
        <v>468</v>
      </c>
      <c r="J1160" s="16" t="n">
        <v>0.701</v>
      </c>
      <c r="K1160" s="8" t="n">
        <v>6.3</v>
      </c>
      <c r="L1160" s="8" t="n">
        <v>6</v>
      </c>
      <c r="M1160" s="8" t="n">
        <v>5</v>
      </c>
      <c r="N1160" s="8" t="s">
        <v>120</v>
      </c>
      <c r="O1160" s="15" t="n">
        <f aca="false">H1160*12</f>
        <v>5616</v>
      </c>
      <c r="P1160" s="8" t="n">
        <f aca="false">MIN(100,ROUND(100*J1160/Assumptions!$B$8,0))</f>
        <v>78</v>
      </c>
      <c r="Q1160" s="8" t="n">
        <f aca="false">IF(L1160="",Assumptions!$B$9,L1160*10)</f>
        <v>60</v>
      </c>
      <c r="R1160" s="8" t="n">
        <f aca="false">IF(M1160&lt;=1,Assumptions!$B$12,IF(M1160&lt;=3,Assumptions!$B$13,IF(M1160&lt;=6,Assumptions!$B$14,Assumptions!$B$15)))</f>
        <v>50</v>
      </c>
      <c r="S1160" s="8" t="n">
        <f aca="false">IF(N1160="Completed On Time",Assumptions!$B$16,IF(N1160="Completed Late",Assumptions!$B$17,Assumptions!$B$18))</f>
        <v>100</v>
      </c>
      <c r="T1160" s="8" t="n">
        <f aca="false">IF(I1160=0,Assumptions!$B$20,IF(H1160&gt;I1160,Assumptions!$B$19,IF(H1160=I1160,Assumptions!$B$20,Assumptions!$B$21)))</f>
        <v>70</v>
      </c>
      <c r="U1160" s="8" t="n">
        <f aca="false">ROUND(P1160*Assumptions!$B$2+Q1160*Assumptions!$B$3+R1160*Assumptions!$B$4+S1160*Assumptions!$B$5+T1160*Assumptions!$B$6,0)</f>
        <v>71</v>
      </c>
      <c r="V1160" s="8" t="str">
        <f aca="false">IF(U1160&gt;=Assumptions!$B$10,"Healthy",IF(U1160&gt;=Assumptions!$B$11,"Needs Attention","High Risk"))</f>
        <v>Needs Attention</v>
      </c>
    </row>
    <row r="1161" customFormat="false" ht="15" hidden="false" customHeight="false" outlineLevel="0" collapsed="false">
      <c r="A1161" s="8" t="s">
        <v>2464</v>
      </c>
      <c r="B1161" s="8" t="s">
        <v>2465</v>
      </c>
      <c r="C1161" s="8" t="s">
        <v>51</v>
      </c>
      <c r="D1161" s="8" t="s">
        <v>2027</v>
      </c>
      <c r="E1161" s="8" t="s">
        <v>117</v>
      </c>
      <c r="F1161" s="8" t="s">
        <v>133</v>
      </c>
      <c r="G1161" s="8" t="s">
        <v>129</v>
      </c>
      <c r="H1161" s="15" t="n">
        <v>468</v>
      </c>
      <c r="I1161" s="15" t="n">
        <v>468</v>
      </c>
      <c r="J1161" s="16" t="n">
        <v>0.821</v>
      </c>
      <c r="K1161" s="8" t="n">
        <v>7.3</v>
      </c>
      <c r="L1161" s="8" t="n">
        <v>10</v>
      </c>
      <c r="M1161" s="8" t="n">
        <v>1</v>
      </c>
      <c r="N1161" s="8" t="s">
        <v>120</v>
      </c>
      <c r="O1161" s="15" t="n">
        <f aca="false">H1161*12</f>
        <v>5616</v>
      </c>
      <c r="P1161" s="8" t="n">
        <f aca="false">MIN(100,ROUND(100*J1161/Assumptions!$B$8,0))</f>
        <v>91</v>
      </c>
      <c r="Q1161" s="8" t="n">
        <f aca="false">IF(L1161="",Assumptions!$B$9,L1161*10)</f>
        <v>100</v>
      </c>
      <c r="R1161" s="8" t="n">
        <f aca="false">IF(M1161&lt;=1,Assumptions!$B$12,IF(M1161&lt;=3,Assumptions!$B$13,IF(M1161&lt;=6,Assumptions!$B$14,Assumptions!$B$15)))</f>
        <v>100</v>
      </c>
      <c r="S1161" s="8" t="n">
        <f aca="false">IF(N1161="Completed On Time",Assumptions!$B$16,IF(N1161="Completed Late",Assumptions!$B$17,Assumptions!$B$18))</f>
        <v>100</v>
      </c>
      <c r="T1161" s="8" t="n">
        <f aca="false">IF(I1161=0,Assumptions!$B$20,IF(H1161&gt;I1161,Assumptions!$B$19,IF(H1161=I1161,Assumptions!$B$20,Assumptions!$B$21)))</f>
        <v>70</v>
      </c>
      <c r="U1161" s="8" t="n">
        <f aca="false">ROUND(P1161*Assumptions!$B$2+Q1161*Assumptions!$B$3+R1161*Assumptions!$B$4+S1161*Assumptions!$B$5+T1161*Assumptions!$B$6,0)</f>
        <v>91</v>
      </c>
      <c r="V1161" s="8" t="str">
        <f aca="false">IF(U1161&gt;=Assumptions!$B$10,"Healthy",IF(U1161&gt;=Assumptions!$B$11,"Needs Attention","High Risk"))</f>
        <v>Healthy</v>
      </c>
    </row>
    <row r="1162" customFormat="false" ht="15" hidden="false" customHeight="false" outlineLevel="0" collapsed="false">
      <c r="A1162" s="8" t="s">
        <v>2466</v>
      </c>
      <c r="B1162" s="8" t="s">
        <v>2467</v>
      </c>
      <c r="C1162" s="8" t="s">
        <v>51</v>
      </c>
      <c r="D1162" s="8" t="s">
        <v>2027</v>
      </c>
      <c r="E1162" s="8" t="s">
        <v>117</v>
      </c>
      <c r="F1162" s="8" t="s">
        <v>136</v>
      </c>
      <c r="G1162" s="8" t="s">
        <v>185</v>
      </c>
      <c r="H1162" s="15" t="n">
        <v>468</v>
      </c>
      <c r="I1162" s="15" t="n">
        <v>468</v>
      </c>
      <c r="J1162" s="16" t="n">
        <v>0.795</v>
      </c>
      <c r="K1162" s="8" t="n">
        <v>9.3</v>
      </c>
      <c r="L1162" s="8" t="n">
        <v>10</v>
      </c>
      <c r="M1162" s="8" t="n">
        <v>0</v>
      </c>
      <c r="N1162" s="8" t="s">
        <v>120</v>
      </c>
      <c r="O1162" s="15" t="n">
        <f aca="false">H1162*12</f>
        <v>5616</v>
      </c>
      <c r="P1162" s="8" t="n">
        <f aca="false">MIN(100,ROUND(100*J1162/Assumptions!$B$8,0))</f>
        <v>88</v>
      </c>
      <c r="Q1162" s="8" t="n">
        <f aca="false">IF(L1162="",Assumptions!$B$9,L1162*10)</f>
        <v>100</v>
      </c>
      <c r="R1162" s="8" t="n">
        <f aca="false">IF(M1162&lt;=1,Assumptions!$B$12,IF(M1162&lt;=3,Assumptions!$B$13,IF(M1162&lt;=6,Assumptions!$B$14,Assumptions!$B$15)))</f>
        <v>100</v>
      </c>
      <c r="S1162" s="8" t="n">
        <f aca="false">IF(N1162="Completed On Time",Assumptions!$B$16,IF(N1162="Completed Late",Assumptions!$B$17,Assumptions!$B$18))</f>
        <v>100</v>
      </c>
      <c r="T1162" s="8" t="n">
        <f aca="false">IF(I1162=0,Assumptions!$B$20,IF(H1162&gt;I1162,Assumptions!$B$19,IF(H1162=I1162,Assumptions!$B$20,Assumptions!$B$21)))</f>
        <v>70</v>
      </c>
      <c r="U1162" s="8" t="n">
        <f aca="false">ROUND(P1162*Assumptions!$B$2+Q1162*Assumptions!$B$3+R1162*Assumptions!$B$4+S1162*Assumptions!$B$5+T1162*Assumptions!$B$6,0)</f>
        <v>90</v>
      </c>
      <c r="V1162" s="8" t="str">
        <f aca="false">IF(U1162&gt;=Assumptions!$B$10,"Healthy",IF(U1162&gt;=Assumptions!$B$11,"Needs Attention","High Risk"))</f>
        <v>Healthy</v>
      </c>
    </row>
    <row r="1163" customFormat="false" ht="15" hidden="false" customHeight="false" outlineLevel="0" collapsed="false">
      <c r="A1163" s="8" t="s">
        <v>2468</v>
      </c>
      <c r="B1163" s="8" t="s">
        <v>2469</v>
      </c>
      <c r="C1163" s="8" t="s">
        <v>51</v>
      </c>
      <c r="D1163" s="8" t="s">
        <v>2027</v>
      </c>
      <c r="E1163" s="8" t="s">
        <v>132</v>
      </c>
      <c r="F1163" s="8" t="s">
        <v>166</v>
      </c>
      <c r="G1163" s="8" t="s">
        <v>119</v>
      </c>
      <c r="H1163" s="15" t="n">
        <v>468</v>
      </c>
      <c r="I1163" s="15" t="n">
        <v>468</v>
      </c>
      <c r="J1163" s="16" t="n">
        <v>0.573</v>
      </c>
      <c r="K1163" s="8" t="n">
        <v>4.3</v>
      </c>
      <c r="L1163" s="8" t="n">
        <v>7</v>
      </c>
      <c r="M1163" s="8" t="n">
        <v>3</v>
      </c>
      <c r="N1163" s="8" t="s">
        <v>120</v>
      </c>
      <c r="O1163" s="15" t="n">
        <f aca="false">H1163*12</f>
        <v>5616</v>
      </c>
      <c r="P1163" s="8" t="n">
        <f aca="false">MIN(100,ROUND(100*J1163/Assumptions!$B$8,0))</f>
        <v>64</v>
      </c>
      <c r="Q1163" s="8" t="n">
        <f aca="false">IF(L1163="",Assumptions!$B$9,L1163*10)</f>
        <v>70</v>
      </c>
      <c r="R1163" s="8" t="n">
        <f aca="false">IF(M1163&lt;=1,Assumptions!$B$12,IF(M1163&lt;=3,Assumptions!$B$13,IF(M1163&lt;=6,Assumptions!$B$14,Assumptions!$B$15)))</f>
        <v>75</v>
      </c>
      <c r="S1163" s="8" t="n">
        <f aca="false">IF(N1163="Completed On Time",Assumptions!$B$16,IF(N1163="Completed Late",Assumptions!$B$17,Assumptions!$B$18))</f>
        <v>100</v>
      </c>
      <c r="T1163" s="8" t="n">
        <f aca="false">IF(I1163=0,Assumptions!$B$20,IF(H1163&gt;I1163,Assumptions!$B$19,IF(H1163=I1163,Assumptions!$B$20,Assumptions!$B$21)))</f>
        <v>70</v>
      </c>
      <c r="U1163" s="8" t="n">
        <f aca="false">ROUND(P1163*Assumptions!$B$2+Q1163*Assumptions!$B$3+R1163*Assumptions!$B$4+S1163*Assumptions!$B$5+T1163*Assumptions!$B$6,0)</f>
        <v>72</v>
      </c>
      <c r="V1163" s="8" t="str">
        <f aca="false">IF(U1163&gt;=Assumptions!$B$10,"Healthy",IF(U1163&gt;=Assumptions!$B$11,"Needs Attention","High Risk"))</f>
        <v>Needs Attention</v>
      </c>
    </row>
    <row r="1164" customFormat="false" ht="15" hidden="false" customHeight="false" outlineLevel="0" collapsed="false">
      <c r="A1164" s="8" t="s">
        <v>2470</v>
      </c>
      <c r="B1164" s="8" t="s">
        <v>2471</v>
      </c>
      <c r="C1164" s="8" t="s">
        <v>51</v>
      </c>
      <c r="D1164" s="8" t="s">
        <v>2027</v>
      </c>
      <c r="E1164" s="8" t="s">
        <v>117</v>
      </c>
      <c r="F1164" s="8" t="s">
        <v>166</v>
      </c>
      <c r="G1164" s="8" t="s">
        <v>177</v>
      </c>
      <c r="H1164" s="15" t="n">
        <v>468</v>
      </c>
      <c r="I1164" s="15" t="n">
        <v>468</v>
      </c>
      <c r="J1164" s="16" t="n">
        <v>0.709</v>
      </c>
      <c r="K1164" s="8" t="n">
        <v>8</v>
      </c>
      <c r="L1164" s="8" t="n">
        <v>9</v>
      </c>
      <c r="M1164" s="8" t="n">
        <v>2</v>
      </c>
      <c r="N1164" s="8" t="s">
        <v>120</v>
      </c>
      <c r="O1164" s="15" t="n">
        <f aca="false">H1164*12</f>
        <v>5616</v>
      </c>
      <c r="P1164" s="8" t="n">
        <f aca="false">MIN(100,ROUND(100*J1164/Assumptions!$B$8,0))</f>
        <v>79</v>
      </c>
      <c r="Q1164" s="8" t="n">
        <f aca="false">IF(L1164="",Assumptions!$B$9,L1164*10)</f>
        <v>90</v>
      </c>
      <c r="R1164" s="8" t="n">
        <f aca="false">IF(M1164&lt;=1,Assumptions!$B$12,IF(M1164&lt;=3,Assumptions!$B$13,IF(M1164&lt;=6,Assumptions!$B$14,Assumptions!$B$15)))</f>
        <v>75</v>
      </c>
      <c r="S1164" s="8" t="n">
        <f aca="false">IF(N1164="Completed On Time",Assumptions!$B$16,IF(N1164="Completed Late",Assumptions!$B$17,Assumptions!$B$18))</f>
        <v>100</v>
      </c>
      <c r="T1164" s="8" t="n">
        <f aca="false">IF(I1164=0,Assumptions!$B$20,IF(H1164&gt;I1164,Assumptions!$B$19,IF(H1164=I1164,Assumptions!$B$20,Assumptions!$B$21)))</f>
        <v>70</v>
      </c>
      <c r="U1164" s="8" t="n">
        <f aca="false">ROUND(P1164*Assumptions!$B$2+Q1164*Assumptions!$B$3+R1164*Assumptions!$B$4+S1164*Assumptions!$B$5+T1164*Assumptions!$B$6,0)</f>
        <v>81</v>
      </c>
      <c r="V1164" s="8" t="str">
        <f aca="false">IF(U1164&gt;=Assumptions!$B$10,"Healthy",IF(U1164&gt;=Assumptions!$B$11,"Needs Attention","High Risk"))</f>
        <v>Healthy</v>
      </c>
    </row>
    <row r="1165" customFormat="false" ht="15" hidden="false" customHeight="false" outlineLevel="0" collapsed="false">
      <c r="A1165" s="8" t="s">
        <v>2472</v>
      </c>
      <c r="B1165" s="8" t="s">
        <v>2473</v>
      </c>
      <c r="C1165" s="8" t="s">
        <v>51</v>
      </c>
      <c r="D1165" s="8" t="s">
        <v>2027</v>
      </c>
      <c r="E1165" s="8" t="s">
        <v>132</v>
      </c>
      <c r="F1165" s="8" t="s">
        <v>124</v>
      </c>
      <c r="G1165" s="8" t="s">
        <v>119</v>
      </c>
      <c r="H1165" s="15" t="n">
        <v>468</v>
      </c>
      <c r="I1165" s="15" t="n">
        <v>468</v>
      </c>
      <c r="J1165" s="16" t="n">
        <v>0.726</v>
      </c>
      <c r="K1165" s="8" t="n">
        <v>9</v>
      </c>
      <c r="L1165" s="8" t="n">
        <v>7</v>
      </c>
      <c r="M1165" s="8" t="n">
        <v>3</v>
      </c>
      <c r="N1165" s="8" t="s">
        <v>120</v>
      </c>
      <c r="O1165" s="15" t="n">
        <f aca="false">H1165*12</f>
        <v>5616</v>
      </c>
      <c r="P1165" s="8" t="n">
        <f aca="false">MIN(100,ROUND(100*J1165/Assumptions!$B$8,0))</f>
        <v>81</v>
      </c>
      <c r="Q1165" s="8" t="n">
        <f aca="false">IF(L1165="",Assumptions!$B$9,L1165*10)</f>
        <v>70</v>
      </c>
      <c r="R1165" s="8" t="n">
        <f aca="false">IF(M1165&lt;=1,Assumptions!$B$12,IF(M1165&lt;=3,Assumptions!$B$13,IF(M1165&lt;=6,Assumptions!$B$14,Assumptions!$B$15)))</f>
        <v>75</v>
      </c>
      <c r="S1165" s="8" t="n">
        <f aca="false">IF(N1165="Completed On Time",Assumptions!$B$16,IF(N1165="Completed Late",Assumptions!$B$17,Assumptions!$B$18))</f>
        <v>100</v>
      </c>
      <c r="T1165" s="8" t="n">
        <f aca="false">IF(I1165=0,Assumptions!$B$20,IF(H1165&gt;I1165,Assumptions!$B$19,IF(H1165=I1165,Assumptions!$B$20,Assumptions!$B$21)))</f>
        <v>70</v>
      </c>
      <c r="U1165" s="8" t="n">
        <f aca="false">ROUND(P1165*Assumptions!$B$2+Q1165*Assumptions!$B$3+R1165*Assumptions!$B$4+S1165*Assumptions!$B$5+T1165*Assumptions!$B$6,0)</f>
        <v>78</v>
      </c>
      <c r="V1165" s="8" t="str">
        <f aca="false">IF(U1165&gt;=Assumptions!$B$10,"Healthy",IF(U1165&gt;=Assumptions!$B$11,"Needs Attention","High Risk"))</f>
        <v>Needs Attention</v>
      </c>
    </row>
    <row r="1166" customFormat="false" ht="15" hidden="false" customHeight="false" outlineLevel="0" collapsed="false">
      <c r="A1166" s="8" t="s">
        <v>2474</v>
      </c>
      <c r="B1166" s="8" t="s">
        <v>2475</v>
      </c>
      <c r="C1166" s="8" t="s">
        <v>51</v>
      </c>
      <c r="D1166" s="8" t="s">
        <v>2027</v>
      </c>
      <c r="E1166" s="8" t="s">
        <v>132</v>
      </c>
      <c r="F1166" s="8" t="s">
        <v>124</v>
      </c>
      <c r="G1166" s="8" t="s">
        <v>185</v>
      </c>
      <c r="H1166" s="15" t="n">
        <v>468</v>
      </c>
      <c r="I1166" s="15" t="n">
        <v>468</v>
      </c>
      <c r="J1166" s="16" t="n">
        <v>0.769</v>
      </c>
      <c r="K1166" s="8" t="n">
        <v>8.3</v>
      </c>
      <c r="L1166" s="8" t="n">
        <v>6</v>
      </c>
      <c r="M1166" s="8" t="n">
        <v>4</v>
      </c>
      <c r="N1166" s="8" t="s">
        <v>120</v>
      </c>
      <c r="O1166" s="15" t="n">
        <f aca="false">H1166*12</f>
        <v>5616</v>
      </c>
      <c r="P1166" s="8" t="n">
        <f aca="false">MIN(100,ROUND(100*J1166/Assumptions!$B$8,0))</f>
        <v>85</v>
      </c>
      <c r="Q1166" s="8" t="n">
        <f aca="false">IF(L1166="",Assumptions!$B$9,L1166*10)</f>
        <v>60</v>
      </c>
      <c r="R1166" s="8" t="n">
        <f aca="false">IF(M1166&lt;=1,Assumptions!$B$12,IF(M1166&lt;=3,Assumptions!$B$13,IF(M1166&lt;=6,Assumptions!$B$14,Assumptions!$B$15)))</f>
        <v>50</v>
      </c>
      <c r="S1166" s="8" t="n">
        <f aca="false">IF(N1166="Completed On Time",Assumptions!$B$16,IF(N1166="Completed Late",Assumptions!$B$17,Assumptions!$B$18))</f>
        <v>100</v>
      </c>
      <c r="T1166" s="8" t="n">
        <f aca="false">IF(I1166=0,Assumptions!$B$20,IF(H1166&gt;I1166,Assumptions!$B$19,IF(H1166=I1166,Assumptions!$B$20,Assumptions!$B$21)))</f>
        <v>70</v>
      </c>
      <c r="U1166" s="8" t="n">
        <f aca="false">ROUND(P1166*Assumptions!$B$2+Q1166*Assumptions!$B$3+R1166*Assumptions!$B$4+S1166*Assumptions!$B$5+T1166*Assumptions!$B$6,0)</f>
        <v>73</v>
      </c>
      <c r="V1166" s="8" t="str">
        <f aca="false">IF(U1166&gt;=Assumptions!$B$10,"Healthy",IF(U1166&gt;=Assumptions!$B$11,"Needs Attention","High Risk"))</f>
        <v>Needs Attention</v>
      </c>
    </row>
    <row r="1167" customFormat="false" ht="15" hidden="false" customHeight="false" outlineLevel="0" collapsed="false">
      <c r="A1167" s="8" t="s">
        <v>2476</v>
      </c>
      <c r="B1167" s="8" t="s">
        <v>2477</v>
      </c>
      <c r="C1167" s="8" t="s">
        <v>51</v>
      </c>
      <c r="D1167" s="8" t="s">
        <v>2027</v>
      </c>
      <c r="E1167" s="8" t="s">
        <v>123</v>
      </c>
      <c r="F1167" s="8" t="s">
        <v>151</v>
      </c>
      <c r="G1167" s="8" t="s">
        <v>129</v>
      </c>
      <c r="H1167" s="15" t="n">
        <v>468</v>
      </c>
      <c r="I1167" s="15" t="n">
        <v>468</v>
      </c>
      <c r="J1167" s="16" t="n">
        <v>0.786</v>
      </c>
      <c r="K1167" s="8" t="n">
        <v>10</v>
      </c>
      <c r="L1167" s="8" t="n">
        <v>10</v>
      </c>
      <c r="M1167" s="8" t="n">
        <v>1</v>
      </c>
      <c r="N1167" s="8" t="s">
        <v>120</v>
      </c>
      <c r="O1167" s="15" t="n">
        <f aca="false">H1167*12</f>
        <v>5616</v>
      </c>
      <c r="P1167" s="8" t="n">
        <f aca="false">MIN(100,ROUND(100*J1167/Assumptions!$B$8,0))</f>
        <v>87</v>
      </c>
      <c r="Q1167" s="8" t="n">
        <f aca="false">IF(L1167="",Assumptions!$B$9,L1167*10)</f>
        <v>100</v>
      </c>
      <c r="R1167" s="8" t="n">
        <f aca="false">IF(M1167&lt;=1,Assumptions!$B$12,IF(M1167&lt;=3,Assumptions!$B$13,IF(M1167&lt;=6,Assumptions!$B$14,Assumptions!$B$15)))</f>
        <v>100</v>
      </c>
      <c r="S1167" s="8" t="n">
        <f aca="false">IF(N1167="Completed On Time",Assumptions!$B$16,IF(N1167="Completed Late",Assumptions!$B$17,Assumptions!$B$18))</f>
        <v>100</v>
      </c>
      <c r="T1167" s="8" t="n">
        <f aca="false">IF(I1167=0,Assumptions!$B$20,IF(H1167&gt;I1167,Assumptions!$B$19,IF(H1167=I1167,Assumptions!$B$20,Assumptions!$B$21)))</f>
        <v>70</v>
      </c>
      <c r="U1167" s="8" t="n">
        <f aca="false">ROUND(P1167*Assumptions!$B$2+Q1167*Assumptions!$B$3+R1167*Assumptions!$B$4+S1167*Assumptions!$B$5+T1167*Assumptions!$B$6,0)</f>
        <v>89</v>
      </c>
      <c r="V1167" s="8" t="str">
        <f aca="false">IF(U1167&gt;=Assumptions!$B$10,"Healthy",IF(U1167&gt;=Assumptions!$B$11,"Needs Attention","High Risk"))</f>
        <v>Healthy</v>
      </c>
    </row>
    <row r="1168" customFormat="false" ht="15" hidden="false" customHeight="false" outlineLevel="0" collapsed="false">
      <c r="A1168" s="8" t="s">
        <v>2478</v>
      </c>
      <c r="B1168" s="8" t="s">
        <v>2479</v>
      </c>
      <c r="C1168" s="8" t="s">
        <v>51</v>
      </c>
      <c r="D1168" s="8" t="s">
        <v>2027</v>
      </c>
      <c r="E1168" s="8" t="s">
        <v>132</v>
      </c>
      <c r="F1168" s="8" t="s">
        <v>154</v>
      </c>
      <c r="G1168" s="8" t="s">
        <v>177</v>
      </c>
      <c r="H1168" s="15" t="n">
        <v>468</v>
      </c>
      <c r="I1168" s="15" t="n">
        <v>468</v>
      </c>
      <c r="J1168" s="16" t="n">
        <v>0.829</v>
      </c>
      <c r="K1168" s="8" t="n">
        <v>11</v>
      </c>
      <c r="L1168" s="8" t="n">
        <v>6</v>
      </c>
      <c r="M1168" s="8" t="n">
        <v>1</v>
      </c>
      <c r="N1168" s="8" t="s">
        <v>120</v>
      </c>
      <c r="O1168" s="15" t="n">
        <f aca="false">H1168*12</f>
        <v>5616</v>
      </c>
      <c r="P1168" s="8" t="n">
        <f aca="false">MIN(100,ROUND(100*J1168/Assumptions!$B$8,0))</f>
        <v>92</v>
      </c>
      <c r="Q1168" s="8" t="n">
        <f aca="false">IF(L1168="",Assumptions!$B$9,L1168*10)</f>
        <v>60</v>
      </c>
      <c r="R1168" s="8" t="n">
        <f aca="false">IF(M1168&lt;=1,Assumptions!$B$12,IF(M1168&lt;=3,Assumptions!$B$13,IF(M1168&lt;=6,Assumptions!$B$14,Assumptions!$B$15)))</f>
        <v>100</v>
      </c>
      <c r="S1168" s="8" t="n">
        <f aca="false">IF(N1168="Completed On Time",Assumptions!$B$16,IF(N1168="Completed Late",Assumptions!$B$17,Assumptions!$B$18))</f>
        <v>100</v>
      </c>
      <c r="T1168" s="8" t="n">
        <f aca="false">IF(I1168=0,Assumptions!$B$20,IF(H1168&gt;I1168,Assumptions!$B$19,IF(H1168=I1168,Assumptions!$B$20,Assumptions!$B$21)))</f>
        <v>70</v>
      </c>
      <c r="U1168" s="8" t="n">
        <f aca="false">ROUND(P1168*Assumptions!$B$2+Q1168*Assumptions!$B$3+R1168*Assumptions!$B$4+S1168*Assumptions!$B$5+T1168*Assumptions!$B$6,0)</f>
        <v>83</v>
      </c>
      <c r="V1168" s="8" t="str">
        <f aca="false">IF(U1168&gt;=Assumptions!$B$10,"Healthy",IF(U1168&gt;=Assumptions!$B$11,"Needs Attention","High Risk"))</f>
        <v>Healthy</v>
      </c>
    </row>
    <row r="1169" customFormat="false" ht="15" hidden="false" customHeight="false" outlineLevel="0" collapsed="false">
      <c r="A1169" s="8" t="s">
        <v>2480</v>
      </c>
      <c r="B1169" s="8" t="s">
        <v>2481</v>
      </c>
      <c r="C1169" s="8" t="s">
        <v>51</v>
      </c>
      <c r="D1169" s="8" t="s">
        <v>2027</v>
      </c>
      <c r="E1169" s="8" t="s">
        <v>117</v>
      </c>
      <c r="F1169" s="8" t="s">
        <v>118</v>
      </c>
      <c r="G1169" s="8" t="s">
        <v>177</v>
      </c>
      <c r="H1169" s="15" t="n">
        <v>468</v>
      </c>
      <c r="I1169" s="15" t="n">
        <v>468</v>
      </c>
      <c r="J1169" s="16" t="n">
        <v>0.581</v>
      </c>
      <c r="K1169" s="8" t="n">
        <v>7.3</v>
      </c>
      <c r="L1169" s="8" t="n">
        <v>7</v>
      </c>
      <c r="M1169" s="8" t="n">
        <v>4</v>
      </c>
      <c r="N1169" s="8" t="s">
        <v>120</v>
      </c>
      <c r="O1169" s="15" t="n">
        <f aca="false">H1169*12</f>
        <v>5616</v>
      </c>
      <c r="P1169" s="8" t="n">
        <f aca="false">MIN(100,ROUND(100*J1169/Assumptions!$B$8,0))</f>
        <v>65</v>
      </c>
      <c r="Q1169" s="8" t="n">
        <f aca="false">IF(L1169="",Assumptions!$B$9,L1169*10)</f>
        <v>70</v>
      </c>
      <c r="R1169" s="8" t="n">
        <f aca="false">IF(M1169&lt;=1,Assumptions!$B$12,IF(M1169&lt;=3,Assumptions!$B$13,IF(M1169&lt;=6,Assumptions!$B$14,Assumptions!$B$15)))</f>
        <v>50</v>
      </c>
      <c r="S1169" s="8" t="n">
        <f aca="false">IF(N1169="Completed On Time",Assumptions!$B$16,IF(N1169="Completed Late",Assumptions!$B$17,Assumptions!$B$18))</f>
        <v>100</v>
      </c>
      <c r="T1169" s="8" t="n">
        <f aca="false">IF(I1169=0,Assumptions!$B$20,IF(H1169&gt;I1169,Assumptions!$B$19,IF(H1169=I1169,Assumptions!$B$20,Assumptions!$B$21)))</f>
        <v>70</v>
      </c>
      <c r="U1169" s="8" t="n">
        <f aca="false">ROUND(P1169*Assumptions!$B$2+Q1169*Assumptions!$B$3+R1169*Assumptions!$B$4+S1169*Assumptions!$B$5+T1169*Assumptions!$B$6,0)</f>
        <v>68</v>
      </c>
      <c r="V1169" s="8" t="str">
        <f aca="false">IF(U1169&gt;=Assumptions!$B$10,"Healthy",IF(U1169&gt;=Assumptions!$B$11,"Needs Attention","High Risk"))</f>
        <v>Needs Attention</v>
      </c>
    </row>
    <row r="1170" customFormat="false" ht="15" hidden="false" customHeight="false" outlineLevel="0" collapsed="false">
      <c r="A1170" s="8" t="s">
        <v>2482</v>
      </c>
      <c r="B1170" s="8" t="s">
        <v>2483</v>
      </c>
      <c r="C1170" s="8" t="s">
        <v>51</v>
      </c>
      <c r="D1170" s="8" t="s">
        <v>2027</v>
      </c>
      <c r="E1170" s="8" t="s">
        <v>123</v>
      </c>
      <c r="F1170" s="8" t="s">
        <v>124</v>
      </c>
      <c r="G1170" s="8" t="s">
        <v>129</v>
      </c>
      <c r="H1170" s="15" t="n">
        <v>468</v>
      </c>
      <c r="I1170" s="15" t="n">
        <v>468</v>
      </c>
      <c r="J1170" s="16" t="n">
        <v>0.761</v>
      </c>
      <c r="K1170" s="8" t="n">
        <v>10.7</v>
      </c>
      <c r="L1170" s="8" t="n">
        <v>9</v>
      </c>
      <c r="M1170" s="8" t="n">
        <v>0</v>
      </c>
      <c r="N1170" s="8" t="s">
        <v>120</v>
      </c>
      <c r="O1170" s="15" t="n">
        <f aca="false">H1170*12</f>
        <v>5616</v>
      </c>
      <c r="P1170" s="8" t="n">
        <f aca="false">MIN(100,ROUND(100*J1170/Assumptions!$B$8,0))</f>
        <v>85</v>
      </c>
      <c r="Q1170" s="8" t="n">
        <f aca="false">IF(L1170="",Assumptions!$B$9,L1170*10)</f>
        <v>90</v>
      </c>
      <c r="R1170" s="8" t="n">
        <f aca="false">IF(M1170&lt;=1,Assumptions!$B$12,IF(M1170&lt;=3,Assumptions!$B$13,IF(M1170&lt;=6,Assumptions!$B$14,Assumptions!$B$15)))</f>
        <v>100</v>
      </c>
      <c r="S1170" s="8" t="n">
        <f aca="false">IF(N1170="Completed On Time",Assumptions!$B$16,IF(N1170="Completed Late",Assumptions!$B$17,Assumptions!$B$18))</f>
        <v>100</v>
      </c>
      <c r="T1170" s="8" t="n">
        <f aca="false">IF(I1170=0,Assumptions!$B$20,IF(H1170&gt;I1170,Assumptions!$B$19,IF(H1170=I1170,Assumptions!$B$20,Assumptions!$B$21)))</f>
        <v>70</v>
      </c>
      <c r="U1170" s="8" t="n">
        <f aca="false">ROUND(P1170*Assumptions!$B$2+Q1170*Assumptions!$B$3+R1170*Assumptions!$B$4+S1170*Assumptions!$B$5+T1170*Assumptions!$B$6,0)</f>
        <v>87</v>
      </c>
      <c r="V1170" s="8" t="str">
        <f aca="false">IF(U1170&gt;=Assumptions!$B$10,"Healthy",IF(U1170&gt;=Assumptions!$B$11,"Needs Attention","High Risk"))</f>
        <v>Healthy</v>
      </c>
    </row>
    <row r="1171" customFormat="false" ht="15" hidden="false" customHeight="false" outlineLevel="0" collapsed="false">
      <c r="A1171" s="8" t="s">
        <v>2484</v>
      </c>
      <c r="B1171" s="8" t="s">
        <v>2485</v>
      </c>
      <c r="C1171" s="8" t="s">
        <v>51</v>
      </c>
      <c r="D1171" s="8" t="s">
        <v>2027</v>
      </c>
      <c r="E1171" s="8" t="s">
        <v>117</v>
      </c>
      <c r="F1171" s="8" t="s">
        <v>154</v>
      </c>
      <c r="G1171" s="8" t="s">
        <v>140</v>
      </c>
      <c r="H1171" s="15" t="n">
        <v>468</v>
      </c>
      <c r="I1171" s="15" t="n">
        <v>468</v>
      </c>
      <c r="J1171" s="16" t="n">
        <v>0.812</v>
      </c>
      <c r="K1171" s="8" t="n">
        <v>10</v>
      </c>
      <c r="L1171" s="8" t="n">
        <v>9</v>
      </c>
      <c r="M1171" s="8" t="n">
        <v>1</v>
      </c>
      <c r="N1171" s="8" t="s">
        <v>120</v>
      </c>
      <c r="O1171" s="15" t="n">
        <f aca="false">H1171*12</f>
        <v>5616</v>
      </c>
      <c r="P1171" s="8" t="n">
        <f aca="false">MIN(100,ROUND(100*J1171/Assumptions!$B$8,0))</f>
        <v>90</v>
      </c>
      <c r="Q1171" s="8" t="n">
        <f aca="false">IF(L1171="",Assumptions!$B$9,L1171*10)</f>
        <v>90</v>
      </c>
      <c r="R1171" s="8" t="n">
        <f aca="false">IF(M1171&lt;=1,Assumptions!$B$12,IF(M1171&lt;=3,Assumptions!$B$13,IF(M1171&lt;=6,Assumptions!$B$14,Assumptions!$B$15)))</f>
        <v>100</v>
      </c>
      <c r="S1171" s="8" t="n">
        <f aca="false">IF(N1171="Completed On Time",Assumptions!$B$16,IF(N1171="Completed Late",Assumptions!$B$17,Assumptions!$B$18))</f>
        <v>100</v>
      </c>
      <c r="T1171" s="8" t="n">
        <f aca="false">IF(I1171=0,Assumptions!$B$20,IF(H1171&gt;I1171,Assumptions!$B$19,IF(H1171=I1171,Assumptions!$B$20,Assumptions!$B$21)))</f>
        <v>70</v>
      </c>
      <c r="U1171" s="8" t="n">
        <f aca="false">ROUND(P1171*Assumptions!$B$2+Q1171*Assumptions!$B$3+R1171*Assumptions!$B$4+S1171*Assumptions!$B$5+T1171*Assumptions!$B$6,0)</f>
        <v>89</v>
      </c>
      <c r="V1171" s="8" t="str">
        <f aca="false">IF(U1171&gt;=Assumptions!$B$10,"Healthy",IF(U1171&gt;=Assumptions!$B$11,"Needs Attention","High Risk"))</f>
        <v>Healthy</v>
      </c>
    </row>
    <row r="1172" customFormat="false" ht="15" hidden="false" customHeight="false" outlineLevel="0" collapsed="false">
      <c r="A1172" s="8" t="s">
        <v>2486</v>
      </c>
      <c r="B1172" s="8" t="s">
        <v>2487</v>
      </c>
      <c r="C1172" s="8" t="s">
        <v>51</v>
      </c>
      <c r="D1172" s="8" t="s">
        <v>2027</v>
      </c>
      <c r="E1172" s="8" t="s">
        <v>123</v>
      </c>
      <c r="F1172" s="8" t="s">
        <v>118</v>
      </c>
      <c r="G1172" s="8" t="s">
        <v>204</v>
      </c>
      <c r="H1172" s="15" t="n">
        <v>456</v>
      </c>
      <c r="I1172" s="15" t="n">
        <v>456</v>
      </c>
      <c r="J1172" s="16" t="n">
        <v>0.912</v>
      </c>
      <c r="K1172" s="8" t="n">
        <v>12</v>
      </c>
      <c r="L1172" s="8" t="n">
        <v>10</v>
      </c>
      <c r="M1172" s="8" t="n">
        <v>1</v>
      </c>
      <c r="N1172" s="8" t="s">
        <v>120</v>
      </c>
      <c r="O1172" s="15" t="n">
        <f aca="false">H1172*12</f>
        <v>5472</v>
      </c>
      <c r="P1172" s="8" t="n">
        <f aca="false">MIN(100,ROUND(100*J1172/Assumptions!$B$8,0))</f>
        <v>100</v>
      </c>
      <c r="Q1172" s="8" t="n">
        <f aca="false">IF(L1172="",Assumptions!$B$9,L1172*10)</f>
        <v>100</v>
      </c>
      <c r="R1172" s="8" t="n">
        <f aca="false">IF(M1172&lt;=1,Assumptions!$B$12,IF(M1172&lt;=3,Assumptions!$B$13,IF(M1172&lt;=6,Assumptions!$B$14,Assumptions!$B$15)))</f>
        <v>100</v>
      </c>
      <c r="S1172" s="8" t="n">
        <f aca="false">IF(N1172="Completed On Time",Assumptions!$B$16,IF(N1172="Completed Late",Assumptions!$B$17,Assumptions!$B$18))</f>
        <v>100</v>
      </c>
      <c r="T1172" s="8" t="n">
        <f aca="false">IF(I1172=0,Assumptions!$B$20,IF(H1172&gt;I1172,Assumptions!$B$19,IF(H1172=I1172,Assumptions!$B$20,Assumptions!$B$21)))</f>
        <v>70</v>
      </c>
      <c r="U1172" s="8" t="n">
        <f aca="false">ROUND(P1172*Assumptions!$B$2+Q1172*Assumptions!$B$3+R1172*Assumptions!$B$4+S1172*Assumptions!$B$5+T1172*Assumptions!$B$6,0)</f>
        <v>94</v>
      </c>
      <c r="V1172" s="8" t="str">
        <f aca="false">IF(U1172&gt;=Assumptions!$B$10,"Healthy",IF(U1172&gt;=Assumptions!$B$11,"Needs Attention","High Risk"))</f>
        <v>Healthy</v>
      </c>
    </row>
    <row r="1173" customFormat="false" ht="15" hidden="false" customHeight="false" outlineLevel="0" collapsed="false">
      <c r="A1173" s="8" t="s">
        <v>2488</v>
      </c>
      <c r="B1173" s="8" t="s">
        <v>2489</v>
      </c>
      <c r="C1173" s="8" t="s">
        <v>51</v>
      </c>
      <c r="D1173" s="8" t="s">
        <v>2027</v>
      </c>
      <c r="E1173" s="8" t="s">
        <v>132</v>
      </c>
      <c r="F1173" s="8" t="s">
        <v>136</v>
      </c>
      <c r="G1173" s="8" t="s">
        <v>185</v>
      </c>
      <c r="H1173" s="15" t="n">
        <v>456</v>
      </c>
      <c r="I1173" s="15" t="n">
        <v>456</v>
      </c>
      <c r="J1173" s="16" t="n">
        <v>0.842</v>
      </c>
      <c r="K1173" s="8" t="n">
        <v>10</v>
      </c>
      <c r="L1173" s="8" t="n">
        <v>10</v>
      </c>
      <c r="M1173" s="8" t="n">
        <v>1</v>
      </c>
      <c r="N1173" s="8" t="s">
        <v>120</v>
      </c>
      <c r="O1173" s="15" t="n">
        <f aca="false">H1173*12</f>
        <v>5472</v>
      </c>
      <c r="P1173" s="8" t="n">
        <f aca="false">MIN(100,ROUND(100*J1173/Assumptions!$B$8,0))</f>
        <v>94</v>
      </c>
      <c r="Q1173" s="8" t="n">
        <f aca="false">IF(L1173="",Assumptions!$B$9,L1173*10)</f>
        <v>100</v>
      </c>
      <c r="R1173" s="8" t="n">
        <f aca="false">IF(M1173&lt;=1,Assumptions!$B$12,IF(M1173&lt;=3,Assumptions!$B$13,IF(M1173&lt;=6,Assumptions!$B$14,Assumptions!$B$15)))</f>
        <v>100</v>
      </c>
      <c r="S1173" s="8" t="n">
        <f aca="false">IF(N1173="Completed On Time",Assumptions!$B$16,IF(N1173="Completed Late",Assumptions!$B$17,Assumptions!$B$18))</f>
        <v>100</v>
      </c>
      <c r="T1173" s="8" t="n">
        <f aca="false">IF(I1173=0,Assumptions!$B$20,IF(H1173&gt;I1173,Assumptions!$B$19,IF(H1173=I1173,Assumptions!$B$20,Assumptions!$B$21)))</f>
        <v>70</v>
      </c>
      <c r="U1173" s="8" t="n">
        <f aca="false">ROUND(P1173*Assumptions!$B$2+Q1173*Assumptions!$B$3+R1173*Assumptions!$B$4+S1173*Assumptions!$B$5+T1173*Assumptions!$B$6,0)</f>
        <v>92</v>
      </c>
      <c r="V1173" s="8" t="str">
        <f aca="false">IF(U1173&gt;=Assumptions!$B$10,"Healthy",IF(U1173&gt;=Assumptions!$B$11,"Needs Attention","High Risk"))</f>
        <v>Healthy</v>
      </c>
    </row>
    <row r="1174" customFormat="false" ht="15" hidden="false" customHeight="false" outlineLevel="0" collapsed="false">
      <c r="A1174" s="8" t="s">
        <v>2490</v>
      </c>
      <c r="B1174" s="8" t="s">
        <v>2491</v>
      </c>
      <c r="C1174" s="8" t="s">
        <v>51</v>
      </c>
      <c r="D1174" s="8" t="s">
        <v>2027</v>
      </c>
      <c r="E1174" s="8" t="s">
        <v>123</v>
      </c>
      <c r="F1174" s="8" t="s">
        <v>151</v>
      </c>
      <c r="G1174" s="8" t="s">
        <v>144</v>
      </c>
      <c r="H1174" s="15" t="n">
        <v>456</v>
      </c>
      <c r="I1174" s="15" t="n">
        <v>456</v>
      </c>
      <c r="J1174" s="16" t="n">
        <v>0.684</v>
      </c>
      <c r="K1174" s="8" t="n">
        <v>7.7</v>
      </c>
      <c r="L1174" s="8" t="n">
        <v>8</v>
      </c>
      <c r="M1174" s="8" t="n">
        <v>2</v>
      </c>
      <c r="N1174" s="8" t="s">
        <v>120</v>
      </c>
      <c r="O1174" s="15" t="n">
        <f aca="false">H1174*12</f>
        <v>5472</v>
      </c>
      <c r="P1174" s="8" t="n">
        <f aca="false">MIN(100,ROUND(100*J1174/Assumptions!$B$8,0))</f>
        <v>76</v>
      </c>
      <c r="Q1174" s="8" t="n">
        <f aca="false">IF(L1174="",Assumptions!$B$9,L1174*10)</f>
        <v>80</v>
      </c>
      <c r="R1174" s="8" t="n">
        <f aca="false">IF(M1174&lt;=1,Assumptions!$B$12,IF(M1174&lt;=3,Assumptions!$B$13,IF(M1174&lt;=6,Assumptions!$B$14,Assumptions!$B$15)))</f>
        <v>75</v>
      </c>
      <c r="S1174" s="8" t="n">
        <f aca="false">IF(N1174="Completed On Time",Assumptions!$B$16,IF(N1174="Completed Late",Assumptions!$B$17,Assumptions!$B$18))</f>
        <v>100</v>
      </c>
      <c r="T1174" s="8" t="n">
        <f aca="false">IF(I1174=0,Assumptions!$B$20,IF(H1174&gt;I1174,Assumptions!$B$19,IF(H1174=I1174,Assumptions!$B$20,Assumptions!$B$21)))</f>
        <v>70</v>
      </c>
      <c r="U1174" s="8" t="n">
        <f aca="false">ROUND(P1174*Assumptions!$B$2+Q1174*Assumptions!$B$3+R1174*Assumptions!$B$4+S1174*Assumptions!$B$5+T1174*Assumptions!$B$6,0)</f>
        <v>78</v>
      </c>
      <c r="V1174" s="8" t="str">
        <f aca="false">IF(U1174&gt;=Assumptions!$B$10,"Healthy",IF(U1174&gt;=Assumptions!$B$11,"Needs Attention","High Risk"))</f>
        <v>Needs Attention</v>
      </c>
    </row>
    <row r="1175" customFormat="false" ht="15" hidden="false" customHeight="false" outlineLevel="0" collapsed="false">
      <c r="A1175" s="8" t="s">
        <v>2492</v>
      </c>
      <c r="B1175" s="8" t="s">
        <v>2493</v>
      </c>
      <c r="C1175" s="8" t="s">
        <v>51</v>
      </c>
      <c r="D1175" s="8" t="s">
        <v>2027</v>
      </c>
      <c r="E1175" s="8" t="s">
        <v>132</v>
      </c>
      <c r="F1175" s="8" t="s">
        <v>133</v>
      </c>
      <c r="G1175" s="8" t="s">
        <v>185</v>
      </c>
      <c r="H1175" s="15" t="n">
        <v>456</v>
      </c>
      <c r="I1175" s="15" t="n">
        <v>456</v>
      </c>
      <c r="J1175" s="16" t="n">
        <v>0.921</v>
      </c>
      <c r="K1175" s="8" t="n">
        <v>10.3</v>
      </c>
      <c r="L1175" s="8" t="n">
        <v>10</v>
      </c>
      <c r="M1175" s="8" t="n">
        <v>0</v>
      </c>
      <c r="N1175" s="8" t="s">
        <v>120</v>
      </c>
      <c r="O1175" s="15" t="n">
        <f aca="false">H1175*12</f>
        <v>5472</v>
      </c>
      <c r="P1175" s="8" t="n">
        <f aca="false">MIN(100,ROUND(100*J1175/Assumptions!$B$8,0))</f>
        <v>100</v>
      </c>
      <c r="Q1175" s="8" t="n">
        <f aca="false">IF(L1175="",Assumptions!$B$9,L1175*10)</f>
        <v>100</v>
      </c>
      <c r="R1175" s="8" t="n">
        <f aca="false">IF(M1175&lt;=1,Assumptions!$B$12,IF(M1175&lt;=3,Assumptions!$B$13,IF(M1175&lt;=6,Assumptions!$B$14,Assumptions!$B$15)))</f>
        <v>100</v>
      </c>
      <c r="S1175" s="8" t="n">
        <f aca="false">IF(N1175="Completed On Time",Assumptions!$B$16,IF(N1175="Completed Late",Assumptions!$B$17,Assumptions!$B$18))</f>
        <v>100</v>
      </c>
      <c r="T1175" s="8" t="n">
        <f aca="false">IF(I1175=0,Assumptions!$B$20,IF(H1175&gt;I1175,Assumptions!$B$19,IF(H1175=I1175,Assumptions!$B$20,Assumptions!$B$21)))</f>
        <v>70</v>
      </c>
      <c r="U1175" s="8" t="n">
        <f aca="false">ROUND(P1175*Assumptions!$B$2+Q1175*Assumptions!$B$3+R1175*Assumptions!$B$4+S1175*Assumptions!$B$5+T1175*Assumptions!$B$6,0)</f>
        <v>94</v>
      </c>
      <c r="V1175" s="8" t="str">
        <f aca="false">IF(U1175&gt;=Assumptions!$B$10,"Healthy",IF(U1175&gt;=Assumptions!$B$11,"Needs Attention","High Risk"))</f>
        <v>Healthy</v>
      </c>
    </row>
    <row r="1176" customFormat="false" ht="15" hidden="false" customHeight="false" outlineLevel="0" collapsed="false">
      <c r="A1176" s="8" t="s">
        <v>2494</v>
      </c>
      <c r="B1176" s="8" t="s">
        <v>2495</v>
      </c>
      <c r="C1176" s="8" t="s">
        <v>51</v>
      </c>
      <c r="D1176" s="8" t="s">
        <v>2027</v>
      </c>
      <c r="E1176" s="8" t="s">
        <v>132</v>
      </c>
      <c r="F1176" s="8" t="s">
        <v>223</v>
      </c>
      <c r="G1176" s="8" t="s">
        <v>185</v>
      </c>
      <c r="H1176" s="15" t="n">
        <v>456</v>
      </c>
      <c r="I1176" s="15" t="n">
        <v>456</v>
      </c>
      <c r="J1176" s="16" t="n">
        <v>0.675</v>
      </c>
      <c r="K1176" s="8" t="n">
        <v>10</v>
      </c>
      <c r="L1176" s="8" t="n">
        <v>10</v>
      </c>
      <c r="M1176" s="8" t="n">
        <v>4</v>
      </c>
      <c r="N1176" s="8" t="s">
        <v>120</v>
      </c>
      <c r="O1176" s="15" t="n">
        <f aca="false">H1176*12</f>
        <v>5472</v>
      </c>
      <c r="P1176" s="8" t="n">
        <f aca="false">MIN(100,ROUND(100*J1176/Assumptions!$B$8,0))</f>
        <v>75</v>
      </c>
      <c r="Q1176" s="8" t="n">
        <f aca="false">IF(L1176="",Assumptions!$B$9,L1176*10)</f>
        <v>100</v>
      </c>
      <c r="R1176" s="8" t="n">
        <f aca="false">IF(M1176&lt;=1,Assumptions!$B$12,IF(M1176&lt;=3,Assumptions!$B$13,IF(M1176&lt;=6,Assumptions!$B$14,Assumptions!$B$15)))</f>
        <v>50</v>
      </c>
      <c r="S1176" s="8" t="n">
        <f aca="false">IF(N1176="Completed On Time",Assumptions!$B$16,IF(N1176="Completed Late",Assumptions!$B$17,Assumptions!$B$18))</f>
        <v>100</v>
      </c>
      <c r="T1176" s="8" t="n">
        <f aca="false">IF(I1176=0,Assumptions!$B$20,IF(H1176&gt;I1176,Assumptions!$B$19,IF(H1176=I1176,Assumptions!$B$20,Assumptions!$B$21)))</f>
        <v>70</v>
      </c>
      <c r="U1176" s="8" t="n">
        <f aca="false">ROUND(P1176*Assumptions!$B$2+Q1176*Assumptions!$B$3+R1176*Assumptions!$B$4+S1176*Assumptions!$B$5+T1176*Assumptions!$B$6,0)</f>
        <v>78</v>
      </c>
      <c r="V1176" s="8" t="str">
        <f aca="false">IF(U1176&gt;=Assumptions!$B$10,"Healthy",IF(U1176&gt;=Assumptions!$B$11,"Needs Attention","High Risk"))</f>
        <v>Needs Attention</v>
      </c>
    </row>
    <row r="1177" customFormat="false" ht="15" hidden="false" customHeight="false" outlineLevel="0" collapsed="false">
      <c r="A1177" s="8" t="s">
        <v>2496</v>
      </c>
      <c r="B1177" s="8" t="s">
        <v>2497</v>
      </c>
      <c r="C1177" s="8" t="s">
        <v>51</v>
      </c>
      <c r="D1177" s="8" t="s">
        <v>2027</v>
      </c>
      <c r="E1177" s="8" t="s">
        <v>132</v>
      </c>
      <c r="F1177" s="8" t="s">
        <v>124</v>
      </c>
      <c r="G1177" s="8" t="s">
        <v>204</v>
      </c>
      <c r="H1177" s="15" t="n">
        <v>456</v>
      </c>
      <c r="I1177" s="15" t="n">
        <v>456</v>
      </c>
      <c r="J1177" s="16" t="n">
        <v>0.842</v>
      </c>
      <c r="K1177" s="8" t="n">
        <v>9</v>
      </c>
      <c r="L1177" s="8" t="n">
        <v>10</v>
      </c>
      <c r="M1177" s="8" t="n">
        <v>3</v>
      </c>
      <c r="N1177" s="8" t="s">
        <v>120</v>
      </c>
      <c r="O1177" s="15" t="n">
        <f aca="false">H1177*12</f>
        <v>5472</v>
      </c>
      <c r="P1177" s="8" t="n">
        <f aca="false">MIN(100,ROUND(100*J1177/Assumptions!$B$8,0))</f>
        <v>94</v>
      </c>
      <c r="Q1177" s="8" t="n">
        <f aca="false">IF(L1177="",Assumptions!$B$9,L1177*10)</f>
        <v>100</v>
      </c>
      <c r="R1177" s="8" t="n">
        <f aca="false">IF(M1177&lt;=1,Assumptions!$B$12,IF(M1177&lt;=3,Assumptions!$B$13,IF(M1177&lt;=6,Assumptions!$B$14,Assumptions!$B$15)))</f>
        <v>75</v>
      </c>
      <c r="S1177" s="8" t="n">
        <f aca="false">IF(N1177="Completed On Time",Assumptions!$B$16,IF(N1177="Completed Late",Assumptions!$B$17,Assumptions!$B$18))</f>
        <v>100</v>
      </c>
      <c r="T1177" s="8" t="n">
        <f aca="false">IF(I1177=0,Assumptions!$B$20,IF(H1177&gt;I1177,Assumptions!$B$19,IF(H1177=I1177,Assumptions!$B$20,Assumptions!$B$21)))</f>
        <v>70</v>
      </c>
      <c r="U1177" s="8" t="n">
        <f aca="false">ROUND(P1177*Assumptions!$B$2+Q1177*Assumptions!$B$3+R1177*Assumptions!$B$4+S1177*Assumptions!$B$5+T1177*Assumptions!$B$6,0)</f>
        <v>88</v>
      </c>
      <c r="V1177" s="8" t="str">
        <f aca="false">IF(U1177&gt;=Assumptions!$B$10,"Healthy",IF(U1177&gt;=Assumptions!$B$11,"Needs Attention","High Risk"))</f>
        <v>Healthy</v>
      </c>
    </row>
    <row r="1178" customFormat="false" ht="15" hidden="false" customHeight="false" outlineLevel="0" collapsed="false">
      <c r="A1178" s="8" t="s">
        <v>2498</v>
      </c>
      <c r="B1178" s="8" t="s">
        <v>2499</v>
      </c>
      <c r="C1178" s="8" t="s">
        <v>51</v>
      </c>
      <c r="D1178" s="8" t="s">
        <v>2027</v>
      </c>
      <c r="E1178" s="8" t="s">
        <v>132</v>
      </c>
      <c r="F1178" s="8" t="s">
        <v>151</v>
      </c>
      <c r="G1178" s="8" t="s">
        <v>147</v>
      </c>
      <c r="H1178" s="15" t="n">
        <v>456</v>
      </c>
      <c r="I1178" s="15" t="n">
        <v>456</v>
      </c>
      <c r="J1178" s="16" t="n">
        <v>0.754</v>
      </c>
      <c r="K1178" s="8" t="n">
        <v>10</v>
      </c>
      <c r="L1178" s="8" t="n">
        <v>6</v>
      </c>
      <c r="M1178" s="8" t="n">
        <v>4</v>
      </c>
      <c r="N1178" s="8" t="s">
        <v>120</v>
      </c>
      <c r="O1178" s="15" t="n">
        <f aca="false">H1178*12</f>
        <v>5472</v>
      </c>
      <c r="P1178" s="8" t="n">
        <f aca="false">MIN(100,ROUND(100*J1178/Assumptions!$B$8,0))</f>
        <v>84</v>
      </c>
      <c r="Q1178" s="8" t="n">
        <f aca="false">IF(L1178="",Assumptions!$B$9,L1178*10)</f>
        <v>60</v>
      </c>
      <c r="R1178" s="8" t="n">
        <f aca="false">IF(M1178&lt;=1,Assumptions!$B$12,IF(M1178&lt;=3,Assumptions!$B$13,IF(M1178&lt;=6,Assumptions!$B$14,Assumptions!$B$15)))</f>
        <v>50</v>
      </c>
      <c r="S1178" s="8" t="n">
        <f aca="false">IF(N1178="Completed On Time",Assumptions!$B$16,IF(N1178="Completed Late",Assumptions!$B$17,Assumptions!$B$18))</f>
        <v>100</v>
      </c>
      <c r="T1178" s="8" t="n">
        <f aca="false">IF(I1178=0,Assumptions!$B$20,IF(H1178&gt;I1178,Assumptions!$B$19,IF(H1178=I1178,Assumptions!$B$20,Assumptions!$B$21)))</f>
        <v>70</v>
      </c>
      <c r="U1178" s="8" t="n">
        <f aca="false">ROUND(P1178*Assumptions!$B$2+Q1178*Assumptions!$B$3+R1178*Assumptions!$B$4+S1178*Assumptions!$B$5+T1178*Assumptions!$B$6,0)</f>
        <v>73</v>
      </c>
      <c r="V1178" s="8" t="str">
        <f aca="false">IF(U1178&gt;=Assumptions!$B$10,"Healthy",IF(U1178&gt;=Assumptions!$B$11,"Needs Attention","High Risk"))</f>
        <v>Needs Attention</v>
      </c>
    </row>
    <row r="1179" customFormat="false" ht="15" hidden="false" customHeight="false" outlineLevel="0" collapsed="false">
      <c r="A1179" s="8" t="s">
        <v>2500</v>
      </c>
      <c r="B1179" s="8" t="s">
        <v>2501</v>
      </c>
      <c r="C1179" s="8" t="s">
        <v>51</v>
      </c>
      <c r="D1179" s="8" t="s">
        <v>2027</v>
      </c>
      <c r="E1179" s="8" t="s">
        <v>123</v>
      </c>
      <c r="F1179" s="8" t="s">
        <v>223</v>
      </c>
      <c r="G1179" s="8" t="s">
        <v>144</v>
      </c>
      <c r="H1179" s="15" t="n">
        <v>456</v>
      </c>
      <c r="I1179" s="15" t="n">
        <v>456</v>
      </c>
      <c r="J1179" s="16" t="n">
        <v>0.667</v>
      </c>
      <c r="K1179" s="8" t="n">
        <v>10</v>
      </c>
      <c r="L1179" s="8" t="n">
        <v>9</v>
      </c>
      <c r="M1179" s="8" t="n">
        <v>1</v>
      </c>
      <c r="N1179" s="8" t="s">
        <v>120</v>
      </c>
      <c r="O1179" s="15" t="n">
        <f aca="false">H1179*12</f>
        <v>5472</v>
      </c>
      <c r="P1179" s="8" t="n">
        <f aca="false">MIN(100,ROUND(100*J1179/Assumptions!$B$8,0))</f>
        <v>74</v>
      </c>
      <c r="Q1179" s="8" t="n">
        <f aca="false">IF(L1179="",Assumptions!$B$9,L1179*10)</f>
        <v>90</v>
      </c>
      <c r="R1179" s="8" t="n">
        <f aca="false">IF(M1179&lt;=1,Assumptions!$B$12,IF(M1179&lt;=3,Assumptions!$B$13,IF(M1179&lt;=6,Assumptions!$B$14,Assumptions!$B$15)))</f>
        <v>100</v>
      </c>
      <c r="S1179" s="8" t="n">
        <f aca="false">IF(N1179="Completed On Time",Assumptions!$B$16,IF(N1179="Completed Late",Assumptions!$B$17,Assumptions!$B$18))</f>
        <v>100</v>
      </c>
      <c r="T1179" s="8" t="n">
        <f aca="false">IF(I1179=0,Assumptions!$B$20,IF(H1179&gt;I1179,Assumptions!$B$19,IF(H1179=I1179,Assumptions!$B$20,Assumptions!$B$21)))</f>
        <v>70</v>
      </c>
      <c r="U1179" s="8" t="n">
        <f aca="false">ROUND(P1179*Assumptions!$B$2+Q1179*Assumptions!$B$3+R1179*Assumptions!$B$4+S1179*Assumptions!$B$5+T1179*Assumptions!$B$6,0)</f>
        <v>83</v>
      </c>
      <c r="V1179" s="8" t="str">
        <f aca="false">IF(U1179&gt;=Assumptions!$B$10,"Healthy",IF(U1179&gt;=Assumptions!$B$11,"Needs Attention","High Risk"))</f>
        <v>Healthy</v>
      </c>
    </row>
    <row r="1180" customFormat="false" ht="15" hidden="false" customHeight="false" outlineLevel="0" collapsed="false">
      <c r="A1180" s="8" t="s">
        <v>2502</v>
      </c>
      <c r="B1180" s="8" t="s">
        <v>2503</v>
      </c>
      <c r="C1180" s="8" t="s">
        <v>51</v>
      </c>
      <c r="D1180" s="8" t="s">
        <v>2027</v>
      </c>
      <c r="E1180" s="8" t="s">
        <v>123</v>
      </c>
      <c r="F1180" s="8" t="s">
        <v>190</v>
      </c>
      <c r="G1180" s="8" t="s">
        <v>204</v>
      </c>
      <c r="H1180" s="15" t="n">
        <v>456</v>
      </c>
      <c r="I1180" s="15" t="n">
        <v>456</v>
      </c>
      <c r="J1180" s="16" t="n">
        <v>0.86</v>
      </c>
      <c r="K1180" s="8" t="n">
        <v>10</v>
      </c>
      <c r="L1180" s="8" t="n">
        <v>10</v>
      </c>
      <c r="M1180" s="8" t="n">
        <v>3</v>
      </c>
      <c r="N1180" s="8" t="s">
        <v>120</v>
      </c>
      <c r="O1180" s="15" t="n">
        <f aca="false">H1180*12</f>
        <v>5472</v>
      </c>
      <c r="P1180" s="8" t="n">
        <f aca="false">MIN(100,ROUND(100*J1180/Assumptions!$B$8,0))</f>
        <v>96</v>
      </c>
      <c r="Q1180" s="8" t="n">
        <f aca="false">IF(L1180="",Assumptions!$B$9,L1180*10)</f>
        <v>100</v>
      </c>
      <c r="R1180" s="8" t="n">
        <f aca="false">IF(M1180&lt;=1,Assumptions!$B$12,IF(M1180&lt;=3,Assumptions!$B$13,IF(M1180&lt;=6,Assumptions!$B$14,Assumptions!$B$15)))</f>
        <v>75</v>
      </c>
      <c r="S1180" s="8" t="n">
        <f aca="false">IF(N1180="Completed On Time",Assumptions!$B$16,IF(N1180="Completed Late",Assumptions!$B$17,Assumptions!$B$18))</f>
        <v>100</v>
      </c>
      <c r="T1180" s="8" t="n">
        <f aca="false">IF(I1180=0,Assumptions!$B$20,IF(H1180&gt;I1180,Assumptions!$B$19,IF(H1180=I1180,Assumptions!$B$20,Assumptions!$B$21)))</f>
        <v>70</v>
      </c>
      <c r="U1180" s="8" t="n">
        <f aca="false">ROUND(P1180*Assumptions!$B$2+Q1180*Assumptions!$B$3+R1180*Assumptions!$B$4+S1180*Assumptions!$B$5+T1180*Assumptions!$B$6,0)</f>
        <v>89</v>
      </c>
      <c r="V1180" s="8" t="str">
        <f aca="false">IF(U1180&gt;=Assumptions!$B$10,"Healthy",IF(U1180&gt;=Assumptions!$B$11,"Needs Attention","High Risk"))</f>
        <v>Healthy</v>
      </c>
    </row>
    <row r="1181" customFormat="false" ht="15" hidden="false" customHeight="false" outlineLevel="0" collapsed="false">
      <c r="A1181" s="8" t="s">
        <v>2504</v>
      </c>
      <c r="B1181" s="8" t="s">
        <v>2505</v>
      </c>
      <c r="C1181" s="8" t="s">
        <v>51</v>
      </c>
      <c r="D1181" s="8" t="s">
        <v>2027</v>
      </c>
      <c r="E1181" s="8" t="s">
        <v>123</v>
      </c>
      <c r="F1181" s="8" t="s">
        <v>190</v>
      </c>
      <c r="G1181" s="8" t="s">
        <v>177</v>
      </c>
      <c r="H1181" s="15" t="n">
        <v>456</v>
      </c>
      <c r="I1181" s="15" t="n">
        <v>456</v>
      </c>
      <c r="J1181" s="16" t="n">
        <v>0.579</v>
      </c>
      <c r="K1181" s="8" t="n">
        <v>5.3</v>
      </c>
      <c r="L1181" s="8" t="n">
        <v>7</v>
      </c>
      <c r="M1181" s="8" t="n">
        <v>4</v>
      </c>
      <c r="N1181" s="8" t="s">
        <v>120</v>
      </c>
      <c r="O1181" s="15" t="n">
        <f aca="false">H1181*12</f>
        <v>5472</v>
      </c>
      <c r="P1181" s="8" t="n">
        <f aca="false">MIN(100,ROUND(100*J1181/Assumptions!$B$8,0))</f>
        <v>64</v>
      </c>
      <c r="Q1181" s="8" t="n">
        <f aca="false">IF(L1181="",Assumptions!$B$9,L1181*10)</f>
        <v>70</v>
      </c>
      <c r="R1181" s="8" t="n">
        <f aca="false">IF(M1181&lt;=1,Assumptions!$B$12,IF(M1181&lt;=3,Assumptions!$B$13,IF(M1181&lt;=6,Assumptions!$B$14,Assumptions!$B$15)))</f>
        <v>50</v>
      </c>
      <c r="S1181" s="8" t="n">
        <f aca="false">IF(N1181="Completed On Time",Assumptions!$B$16,IF(N1181="Completed Late",Assumptions!$B$17,Assumptions!$B$18))</f>
        <v>100</v>
      </c>
      <c r="T1181" s="8" t="n">
        <f aca="false">IF(I1181=0,Assumptions!$B$20,IF(H1181&gt;I1181,Assumptions!$B$19,IF(H1181=I1181,Assumptions!$B$20,Assumptions!$B$21)))</f>
        <v>70</v>
      </c>
      <c r="U1181" s="8" t="n">
        <f aca="false">ROUND(P1181*Assumptions!$B$2+Q1181*Assumptions!$B$3+R1181*Assumptions!$B$4+S1181*Assumptions!$B$5+T1181*Assumptions!$B$6,0)</f>
        <v>68</v>
      </c>
      <c r="V1181" s="8" t="str">
        <f aca="false">IF(U1181&gt;=Assumptions!$B$10,"Healthy",IF(U1181&gt;=Assumptions!$B$11,"Needs Attention","High Risk"))</f>
        <v>Needs Attention</v>
      </c>
    </row>
    <row r="1182" customFormat="false" ht="15" hidden="false" customHeight="false" outlineLevel="0" collapsed="false">
      <c r="A1182" s="8" t="s">
        <v>2506</v>
      </c>
      <c r="B1182" s="8" t="s">
        <v>2507</v>
      </c>
      <c r="C1182" s="8" t="s">
        <v>51</v>
      </c>
      <c r="D1182" s="8" t="s">
        <v>2027</v>
      </c>
      <c r="E1182" s="8" t="s">
        <v>132</v>
      </c>
      <c r="F1182" s="8" t="s">
        <v>223</v>
      </c>
      <c r="G1182" s="8" t="s">
        <v>125</v>
      </c>
      <c r="H1182" s="15" t="n">
        <v>456</v>
      </c>
      <c r="I1182" s="15" t="n">
        <v>408</v>
      </c>
      <c r="J1182" s="16" t="n">
        <v>0.745</v>
      </c>
      <c r="K1182" s="8" t="n">
        <v>9.3</v>
      </c>
      <c r="L1182" s="8" t="n">
        <v>8</v>
      </c>
      <c r="M1182" s="8" t="n">
        <v>1</v>
      </c>
      <c r="N1182" s="8" t="s">
        <v>120</v>
      </c>
      <c r="O1182" s="15" t="n">
        <f aca="false">H1182*12</f>
        <v>5472</v>
      </c>
      <c r="P1182" s="8" t="n">
        <f aca="false">MIN(100,ROUND(100*J1182/Assumptions!$B$8,0))</f>
        <v>83</v>
      </c>
      <c r="Q1182" s="8" t="n">
        <f aca="false">IF(L1182="",Assumptions!$B$9,L1182*10)</f>
        <v>80</v>
      </c>
      <c r="R1182" s="8" t="n">
        <f aca="false">IF(M1182&lt;=1,Assumptions!$B$12,IF(M1182&lt;=3,Assumptions!$B$13,IF(M1182&lt;=6,Assumptions!$B$14,Assumptions!$B$15)))</f>
        <v>100</v>
      </c>
      <c r="S1182" s="8" t="n">
        <f aca="false">IF(N1182="Completed On Time",Assumptions!$B$16,IF(N1182="Completed Late",Assumptions!$B$17,Assumptions!$B$18))</f>
        <v>100</v>
      </c>
      <c r="T1182" s="8" t="n">
        <f aca="false">IF(I1182=0,Assumptions!$B$20,IF(H1182&gt;I1182,Assumptions!$B$19,IF(H1182=I1182,Assumptions!$B$20,Assumptions!$B$21)))</f>
        <v>100</v>
      </c>
      <c r="U1182" s="8" t="n">
        <f aca="false">ROUND(P1182*Assumptions!$B$2+Q1182*Assumptions!$B$3+R1182*Assumptions!$B$4+S1182*Assumptions!$B$5+T1182*Assumptions!$B$6,0)</f>
        <v>90</v>
      </c>
      <c r="V1182" s="8" t="str">
        <f aca="false">IF(U1182&gt;=Assumptions!$B$10,"Healthy",IF(U1182&gt;=Assumptions!$B$11,"Needs Attention","High Risk"))</f>
        <v>Healthy</v>
      </c>
    </row>
    <row r="1183" customFormat="false" ht="15" hidden="false" customHeight="false" outlineLevel="0" collapsed="false">
      <c r="A1183" s="8" t="s">
        <v>2508</v>
      </c>
      <c r="B1183" s="8" t="s">
        <v>2509</v>
      </c>
      <c r="C1183" s="8" t="s">
        <v>51</v>
      </c>
      <c r="D1183" s="8" t="s">
        <v>2027</v>
      </c>
      <c r="E1183" s="8" t="s">
        <v>123</v>
      </c>
      <c r="F1183" s="8" t="s">
        <v>190</v>
      </c>
      <c r="G1183" s="8" t="s">
        <v>147</v>
      </c>
      <c r="H1183" s="15" t="n">
        <v>456</v>
      </c>
      <c r="I1183" s="15" t="n">
        <v>456</v>
      </c>
      <c r="J1183" s="16" t="n">
        <v>0.526</v>
      </c>
      <c r="K1183" s="8" t="n">
        <v>6.7</v>
      </c>
      <c r="L1183" s="8" t="n">
        <v>5</v>
      </c>
      <c r="M1183" s="8" t="n">
        <v>2</v>
      </c>
      <c r="N1183" s="8" t="s">
        <v>120</v>
      </c>
      <c r="O1183" s="15" t="n">
        <f aca="false">H1183*12</f>
        <v>5472</v>
      </c>
      <c r="P1183" s="8" t="n">
        <f aca="false">MIN(100,ROUND(100*J1183/Assumptions!$B$8,0))</f>
        <v>58</v>
      </c>
      <c r="Q1183" s="8" t="n">
        <f aca="false">IF(L1183="",Assumptions!$B$9,L1183*10)</f>
        <v>50</v>
      </c>
      <c r="R1183" s="8" t="n">
        <f aca="false">IF(M1183&lt;=1,Assumptions!$B$12,IF(M1183&lt;=3,Assumptions!$B$13,IF(M1183&lt;=6,Assumptions!$B$14,Assumptions!$B$15)))</f>
        <v>75</v>
      </c>
      <c r="S1183" s="8" t="n">
        <f aca="false">IF(N1183="Completed On Time",Assumptions!$B$16,IF(N1183="Completed Late",Assumptions!$B$17,Assumptions!$B$18))</f>
        <v>100</v>
      </c>
      <c r="T1183" s="8" t="n">
        <f aca="false">IF(I1183=0,Assumptions!$B$20,IF(H1183&gt;I1183,Assumptions!$B$19,IF(H1183=I1183,Assumptions!$B$20,Assumptions!$B$21)))</f>
        <v>70</v>
      </c>
      <c r="U1183" s="8" t="n">
        <f aca="false">ROUND(P1183*Assumptions!$B$2+Q1183*Assumptions!$B$3+R1183*Assumptions!$B$4+S1183*Assumptions!$B$5+T1183*Assumptions!$B$6,0)</f>
        <v>66</v>
      </c>
      <c r="V1183" s="8" t="str">
        <f aca="false">IF(U1183&gt;=Assumptions!$B$10,"Healthy",IF(U1183&gt;=Assumptions!$B$11,"Needs Attention","High Risk"))</f>
        <v>Needs Attention</v>
      </c>
    </row>
    <row r="1184" customFormat="false" ht="15" hidden="false" customHeight="false" outlineLevel="0" collapsed="false">
      <c r="A1184" s="8" t="s">
        <v>2510</v>
      </c>
      <c r="B1184" s="8" t="s">
        <v>2511</v>
      </c>
      <c r="C1184" s="8" t="s">
        <v>51</v>
      </c>
      <c r="D1184" s="8" t="s">
        <v>2027</v>
      </c>
      <c r="E1184" s="8" t="s">
        <v>123</v>
      </c>
      <c r="F1184" s="8" t="s">
        <v>133</v>
      </c>
      <c r="G1184" s="8" t="s">
        <v>129</v>
      </c>
      <c r="H1184" s="15" t="n">
        <v>456</v>
      </c>
      <c r="I1184" s="15" t="n">
        <v>456</v>
      </c>
      <c r="J1184" s="16" t="n">
        <v>0.702</v>
      </c>
      <c r="K1184" s="8" t="n">
        <v>8.7</v>
      </c>
      <c r="L1184" s="8" t="n">
        <v>7</v>
      </c>
      <c r="M1184" s="8" t="n">
        <v>1</v>
      </c>
      <c r="N1184" s="8" t="s">
        <v>120</v>
      </c>
      <c r="O1184" s="15" t="n">
        <f aca="false">H1184*12</f>
        <v>5472</v>
      </c>
      <c r="P1184" s="8" t="n">
        <f aca="false">MIN(100,ROUND(100*J1184/Assumptions!$B$8,0))</f>
        <v>78</v>
      </c>
      <c r="Q1184" s="8" t="n">
        <f aca="false">IF(L1184="",Assumptions!$B$9,L1184*10)</f>
        <v>70</v>
      </c>
      <c r="R1184" s="8" t="n">
        <f aca="false">IF(M1184&lt;=1,Assumptions!$B$12,IF(M1184&lt;=3,Assumptions!$B$13,IF(M1184&lt;=6,Assumptions!$B$14,Assumptions!$B$15)))</f>
        <v>100</v>
      </c>
      <c r="S1184" s="8" t="n">
        <f aca="false">IF(N1184="Completed On Time",Assumptions!$B$16,IF(N1184="Completed Late",Assumptions!$B$17,Assumptions!$B$18))</f>
        <v>100</v>
      </c>
      <c r="T1184" s="8" t="n">
        <f aca="false">IF(I1184=0,Assumptions!$B$20,IF(H1184&gt;I1184,Assumptions!$B$19,IF(H1184=I1184,Assumptions!$B$20,Assumptions!$B$21)))</f>
        <v>70</v>
      </c>
      <c r="U1184" s="8" t="n">
        <f aca="false">ROUND(P1184*Assumptions!$B$2+Q1184*Assumptions!$B$3+R1184*Assumptions!$B$4+S1184*Assumptions!$B$5+T1184*Assumptions!$B$6,0)</f>
        <v>80</v>
      </c>
      <c r="V1184" s="8" t="str">
        <f aca="false">IF(U1184&gt;=Assumptions!$B$10,"Healthy",IF(U1184&gt;=Assumptions!$B$11,"Needs Attention","High Risk"))</f>
        <v>Healthy</v>
      </c>
    </row>
    <row r="1185" customFormat="false" ht="15" hidden="false" customHeight="false" outlineLevel="0" collapsed="false">
      <c r="A1185" s="8" t="s">
        <v>2512</v>
      </c>
      <c r="B1185" s="8" t="s">
        <v>2513</v>
      </c>
      <c r="C1185" s="8" t="s">
        <v>51</v>
      </c>
      <c r="D1185" s="8" t="s">
        <v>2027</v>
      </c>
      <c r="E1185" s="8" t="s">
        <v>123</v>
      </c>
      <c r="F1185" s="8" t="s">
        <v>124</v>
      </c>
      <c r="G1185" s="8" t="s">
        <v>129</v>
      </c>
      <c r="H1185" s="15" t="n">
        <v>456</v>
      </c>
      <c r="I1185" s="15" t="n">
        <v>456</v>
      </c>
      <c r="J1185" s="16" t="n">
        <v>0.64</v>
      </c>
      <c r="K1185" s="8" t="n">
        <v>9.3</v>
      </c>
      <c r="L1185" s="8" t="n">
        <v>6</v>
      </c>
      <c r="M1185" s="8" t="n">
        <v>2</v>
      </c>
      <c r="N1185" s="8" t="s">
        <v>120</v>
      </c>
      <c r="O1185" s="15" t="n">
        <f aca="false">H1185*12</f>
        <v>5472</v>
      </c>
      <c r="P1185" s="8" t="n">
        <f aca="false">MIN(100,ROUND(100*J1185/Assumptions!$B$8,0))</f>
        <v>71</v>
      </c>
      <c r="Q1185" s="8" t="n">
        <f aca="false">IF(L1185="",Assumptions!$B$9,L1185*10)</f>
        <v>60</v>
      </c>
      <c r="R1185" s="8" t="n">
        <f aca="false">IF(M1185&lt;=1,Assumptions!$B$12,IF(M1185&lt;=3,Assumptions!$B$13,IF(M1185&lt;=6,Assumptions!$B$14,Assumptions!$B$15)))</f>
        <v>75</v>
      </c>
      <c r="S1185" s="8" t="n">
        <f aca="false">IF(N1185="Completed On Time",Assumptions!$B$16,IF(N1185="Completed Late",Assumptions!$B$17,Assumptions!$B$18))</f>
        <v>100</v>
      </c>
      <c r="T1185" s="8" t="n">
        <f aca="false">IF(I1185=0,Assumptions!$B$20,IF(H1185&gt;I1185,Assumptions!$B$19,IF(H1185=I1185,Assumptions!$B$20,Assumptions!$B$21)))</f>
        <v>70</v>
      </c>
      <c r="U1185" s="8" t="n">
        <f aca="false">ROUND(P1185*Assumptions!$B$2+Q1185*Assumptions!$B$3+R1185*Assumptions!$B$4+S1185*Assumptions!$B$5+T1185*Assumptions!$B$6,0)</f>
        <v>72</v>
      </c>
      <c r="V1185" s="8" t="str">
        <f aca="false">IF(U1185&gt;=Assumptions!$B$10,"Healthy",IF(U1185&gt;=Assumptions!$B$11,"Needs Attention","High Risk"))</f>
        <v>Needs Attention</v>
      </c>
    </row>
    <row r="1186" customFormat="false" ht="15" hidden="false" customHeight="false" outlineLevel="0" collapsed="false">
      <c r="A1186" s="8" t="s">
        <v>2514</v>
      </c>
      <c r="B1186" s="8" t="s">
        <v>2515</v>
      </c>
      <c r="C1186" s="8" t="s">
        <v>51</v>
      </c>
      <c r="D1186" s="8" t="s">
        <v>2027</v>
      </c>
      <c r="E1186" s="8" t="s">
        <v>123</v>
      </c>
      <c r="F1186" s="8" t="s">
        <v>124</v>
      </c>
      <c r="G1186" s="8" t="s">
        <v>159</v>
      </c>
      <c r="H1186" s="15" t="n">
        <v>456</v>
      </c>
      <c r="I1186" s="15" t="n">
        <v>456</v>
      </c>
      <c r="J1186" s="16" t="n">
        <v>0.737</v>
      </c>
      <c r="K1186" s="8" t="n">
        <v>7.3</v>
      </c>
      <c r="L1186" s="8" t="n">
        <v>9</v>
      </c>
      <c r="M1186" s="8" t="n">
        <v>2</v>
      </c>
      <c r="N1186" s="8" t="s">
        <v>120</v>
      </c>
      <c r="O1186" s="15" t="n">
        <f aca="false">H1186*12</f>
        <v>5472</v>
      </c>
      <c r="P1186" s="8" t="n">
        <f aca="false">MIN(100,ROUND(100*J1186/Assumptions!$B$8,0))</f>
        <v>82</v>
      </c>
      <c r="Q1186" s="8" t="n">
        <f aca="false">IF(L1186="",Assumptions!$B$9,L1186*10)</f>
        <v>90</v>
      </c>
      <c r="R1186" s="8" t="n">
        <f aca="false">IF(M1186&lt;=1,Assumptions!$B$12,IF(M1186&lt;=3,Assumptions!$B$13,IF(M1186&lt;=6,Assumptions!$B$14,Assumptions!$B$15)))</f>
        <v>75</v>
      </c>
      <c r="S1186" s="8" t="n">
        <f aca="false">IF(N1186="Completed On Time",Assumptions!$B$16,IF(N1186="Completed Late",Assumptions!$B$17,Assumptions!$B$18))</f>
        <v>100</v>
      </c>
      <c r="T1186" s="8" t="n">
        <f aca="false">IF(I1186=0,Assumptions!$B$20,IF(H1186&gt;I1186,Assumptions!$B$19,IF(H1186=I1186,Assumptions!$B$20,Assumptions!$B$21)))</f>
        <v>70</v>
      </c>
      <c r="U1186" s="8" t="n">
        <f aca="false">ROUND(P1186*Assumptions!$B$2+Q1186*Assumptions!$B$3+R1186*Assumptions!$B$4+S1186*Assumptions!$B$5+T1186*Assumptions!$B$6,0)</f>
        <v>82</v>
      </c>
      <c r="V1186" s="8" t="str">
        <f aca="false">IF(U1186&gt;=Assumptions!$B$10,"Healthy",IF(U1186&gt;=Assumptions!$B$11,"Needs Attention","High Risk"))</f>
        <v>Healthy</v>
      </c>
    </row>
    <row r="1187" customFormat="false" ht="15" hidden="false" customHeight="false" outlineLevel="0" collapsed="false">
      <c r="A1187" s="8" t="s">
        <v>2516</v>
      </c>
      <c r="B1187" s="8" t="s">
        <v>2517</v>
      </c>
      <c r="C1187" s="8" t="s">
        <v>51</v>
      </c>
      <c r="D1187" s="8" t="s">
        <v>2027</v>
      </c>
      <c r="E1187" s="8" t="s">
        <v>128</v>
      </c>
      <c r="F1187" s="8" t="s">
        <v>154</v>
      </c>
      <c r="G1187" s="8" t="s">
        <v>185</v>
      </c>
      <c r="H1187" s="15" t="n">
        <v>456</v>
      </c>
      <c r="I1187" s="15" t="n">
        <v>360</v>
      </c>
      <c r="J1187" s="16" t="n">
        <v>0.774</v>
      </c>
      <c r="K1187" s="8" t="n">
        <v>10.7</v>
      </c>
      <c r="L1187" s="8" t="n">
        <v>10</v>
      </c>
      <c r="M1187" s="8" t="n">
        <v>0</v>
      </c>
      <c r="N1187" s="8" t="s">
        <v>120</v>
      </c>
      <c r="O1187" s="15" t="n">
        <f aca="false">H1187*12</f>
        <v>5472</v>
      </c>
      <c r="P1187" s="8" t="n">
        <f aca="false">MIN(100,ROUND(100*J1187/Assumptions!$B$8,0))</f>
        <v>86</v>
      </c>
      <c r="Q1187" s="8" t="n">
        <f aca="false">IF(L1187="",Assumptions!$B$9,L1187*10)</f>
        <v>100</v>
      </c>
      <c r="R1187" s="8" t="n">
        <f aca="false">IF(M1187&lt;=1,Assumptions!$B$12,IF(M1187&lt;=3,Assumptions!$B$13,IF(M1187&lt;=6,Assumptions!$B$14,Assumptions!$B$15)))</f>
        <v>100</v>
      </c>
      <c r="S1187" s="8" t="n">
        <f aca="false">IF(N1187="Completed On Time",Assumptions!$B$16,IF(N1187="Completed Late",Assumptions!$B$17,Assumptions!$B$18))</f>
        <v>100</v>
      </c>
      <c r="T1187" s="8" t="n">
        <f aca="false">IF(I1187=0,Assumptions!$B$20,IF(H1187&gt;I1187,Assumptions!$B$19,IF(H1187=I1187,Assumptions!$B$20,Assumptions!$B$21)))</f>
        <v>100</v>
      </c>
      <c r="U1187" s="8" t="n">
        <f aca="false">ROUND(P1187*Assumptions!$B$2+Q1187*Assumptions!$B$3+R1187*Assumptions!$B$4+S1187*Assumptions!$B$5+T1187*Assumptions!$B$6,0)</f>
        <v>95</v>
      </c>
      <c r="V1187" s="8" t="str">
        <f aca="false">IF(U1187&gt;=Assumptions!$B$10,"Healthy",IF(U1187&gt;=Assumptions!$B$11,"Needs Attention","High Risk"))</f>
        <v>Healthy</v>
      </c>
    </row>
    <row r="1188" customFormat="false" ht="15" hidden="false" customHeight="false" outlineLevel="0" collapsed="false">
      <c r="A1188" s="8" t="s">
        <v>2518</v>
      </c>
      <c r="B1188" s="8" t="s">
        <v>2519</v>
      </c>
      <c r="C1188" s="8" t="s">
        <v>51</v>
      </c>
      <c r="D1188" s="8" t="s">
        <v>2027</v>
      </c>
      <c r="E1188" s="8" t="s">
        <v>132</v>
      </c>
      <c r="F1188" s="8" t="s">
        <v>151</v>
      </c>
      <c r="G1188" s="8" t="s">
        <v>204</v>
      </c>
      <c r="H1188" s="15" t="n">
        <v>456</v>
      </c>
      <c r="I1188" s="15" t="n">
        <v>456</v>
      </c>
      <c r="J1188" s="16" t="n">
        <v>0.798</v>
      </c>
      <c r="K1188" s="8" t="n">
        <v>8</v>
      </c>
      <c r="L1188" s="8" t="n">
        <v>9</v>
      </c>
      <c r="M1188" s="8" t="n">
        <v>3</v>
      </c>
      <c r="N1188" s="8" t="s">
        <v>120</v>
      </c>
      <c r="O1188" s="15" t="n">
        <f aca="false">H1188*12</f>
        <v>5472</v>
      </c>
      <c r="P1188" s="8" t="n">
        <f aca="false">MIN(100,ROUND(100*J1188/Assumptions!$B$8,0))</f>
        <v>89</v>
      </c>
      <c r="Q1188" s="8" t="n">
        <f aca="false">IF(L1188="",Assumptions!$B$9,L1188*10)</f>
        <v>90</v>
      </c>
      <c r="R1188" s="8" t="n">
        <f aca="false">IF(M1188&lt;=1,Assumptions!$B$12,IF(M1188&lt;=3,Assumptions!$B$13,IF(M1188&lt;=6,Assumptions!$B$14,Assumptions!$B$15)))</f>
        <v>75</v>
      </c>
      <c r="S1188" s="8" t="n">
        <f aca="false">IF(N1188="Completed On Time",Assumptions!$B$16,IF(N1188="Completed Late",Assumptions!$B$17,Assumptions!$B$18))</f>
        <v>100</v>
      </c>
      <c r="T1188" s="8" t="n">
        <f aca="false">IF(I1188=0,Assumptions!$B$20,IF(H1188&gt;I1188,Assumptions!$B$19,IF(H1188=I1188,Assumptions!$B$20,Assumptions!$B$21)))</f>
        <v>70</v>
      </c>
      <c r="U1188" s="8" t="n">
        <f aca="false">ROUND(P1188*Assumptions!$B$2+Q1188*Assumptions!$B$3+R1188*Assumptions!$B$4+S1188*Assumptions!$B$5+T1188*Assumptions!$B$6,0)</f>
        <v>84</v>
      </c>
      <c r="V1188" s="8" t="str">
        <f aca="false">IF(U1188&gt;=Assumptions!$B$10,"Healthy",IF(U1188&gt;=Assumptions!$B$11,"Needs Attention","High Risk"))</f>
        <v>Healthy</v>
      </c>
    </row>
    <row r="1189" customFormat="false" ht="15" hidden="false" customHeight="false" outlineLevel="0" collapsed="false">
      <c r="A1189" s="8" t="s">
        <v>2520</v>
      </c>
      <c r="B1189" s="8" t="s">
        <v>2521</v>
      </c>
      <c r="C1189" s="8" t="s">
        <v>51</v>
      </c>
      <c r="D1189" s="8" t="s">
        <v>2027</v>
      </c>
      <c r="E1189" s="8" t="s">
        <v>123</v>
      </c>
      <c r="F1189" s="8" t="s">
        <v>151</v>
      </c>
      <c r="G1189" s="8" t="s">
        <v>147</v>
      </c>
      <c r="H1189" s="15" t="n">
        <v>456</v>
      </c>
      <c r="I1189" s="15" t="n">
        <v>456</v>
      </c>
      <c r="J1189" s="16" t="n">
        <v>0.711</v>
      </c>
      <c r="K1189" s="8" t="n">
        <v>8</v>
      </c>
      <c r="L1189" s="8" t="n">
        <v>8</v>
      </c>
      <c r="M1189" s="8" t="n">
        <v>2</v>
      </c>
      <c r="N1189" s="8" t="s">
        <v>120</v>
      </c>
      <c r="O1189" s="15" t="n">
        <f aca="false">H1189*12</f>
        <v>5472</v>
      </c>
      <c r="P1189" s="8" t="n">
        <f aca="false">MIN(100,ROUND(100*J1189/Assumptions!$B$8,0))</f>
        <v>79</v>
      </c>
      <c r="Q1189" s="8" t="n">
        <f aca="false">IF(L1189="",Assumptions!$B$9,L1189*10)</f>
        <v>80</v>
      </c>
      <c r="R1189" s="8" t="n">
        <f aca="false">IF(M1189&lt;=1,Assumptions!$B$12,IF(M1189&lt;=3,Assumptions!$B$13,IF(M1189&lt;=6,Assumptions!$B$14,Assumptions!$B$15)))</f>
        <v>75</v>
      </c>
      <c r="S1189" s="8" t="n">
        <f aca="false">IF(N1189="Completed On Time",Assumptions!$B$16,IF(N1189="Completed Late",Assumptions!$B$17,Assumptions!$B$18))</f>
        <v>100</v>
      </c>
      <c r="T1189" s="8" t="n">
        <f aca="false">IF(I1189=0,Assumptions!$B$20,IF(H1189&gt;I1189,Assumptions!$B$19,IF(H1189=I1189,Assumptions!$B$20,Assumptions!$B$21)))</f>
        <v>70</v>
      </c>
      <c r="U1189" s="8" t="n">
        <f aca="false">ROUND(P1189*Assumptions!$B$2+Q1189*Assumptions!$B$3+R1189*Assumptions!$B$4+S1189*Assumptions!$B$5+T1189*Assumptions!$B$6,0)</f>
        <v>79</v>
      </c>
      <c r="V1189" s="8" t="str">
        <f aca="false">IF(U1189&gt;=Assumptions!$B$10,"Healthy",IF(U1189&gt;=Assumptions!$B$11,"Needs Attention","High Risk"))</f>
        <v>Needs Attention</v>
      </c>
    </row>
    <row r="1190" customFormat="false" ht="15" hidden="false" customHeight="false" outlineLevel="0" collapsed="false">
      <c r="A1190" s="8" t="s">
        <v>2522</v>
      </c>
      <c r="B1190" s="8" t="s">
        <v>2523</v>
      </c>
      <c r="C1190" s="8" t="s">
        <v>51</v>
      </c>
      <c r="D1190" s="8" t="s">
        <v>2027</v>
      </c>
      <c r="E1190" s="8" t="s">
        <v>123</v>
      </c>
      <c r="F1190" s="8" t="s">
        <v>118</v>
      </c>
      <c r="G1190" s="8" t="s">
        <v>180</v>
      </c>
      <c r="H1190" s="15" t="n">
        <v>456</v>
      </c>
      <c r="I1190" s="15" t="n">
        <v>456</v>
      </c>
      <c r="J1190" s="16" t="n">
        <v>0.886</v>
      </c>
      <c r="K1190" s="8" t="n">
        <v>9.7</v>
      </c>
      <c r="L1190" s="8" t="n">
        <v>10</v>
      </c>
      <c r="M1190" s="8" t="n">
        <v>0</v>
      </c>
      <c r="N1190" s="8" t="s">
        <v>120</v>
      </c>
      <c r="O1190" s="15" t="n">
        <f aca="false">H1190*12</f>
        <v>5472</v>
      </c>
      <c r="P1190" s="8" t="n">
        <f aca="false">MIN(100,ROUND(100*J1190/Assumptions!$B$8,0))</f>
        <v>98</v>
      </c>
      <c r="Q1190" s="8" t="n">
        <f aca="false">IF(L1190="",Assumptions!$B$9,L1190*10)</f>
        <v>100</v>
      </c>
      <c r="R1190" s="8" t="n">
        <f aca="false">IF(M1190&lt;=1,Assumptions!$B$12,IF(M1190&lt;=3,Assumptions!$B$13,IF(M1190&lt;=6,Assumptions!$B$14,Assumptions!$B$15)))</f>
        <v>100</v>
      </c>
      <c r="S1190" s="8" t="n">
        <f aca="false">IF(N1190="Completed On Time",Assumptions!$B$16,IF(N1190="Completed Late",Assumptions!$B$17,Assumptions!$B$18))</f>
        <v>100</v>
      </c>
      <c r="T1190" s="8" t="n">
        <f aca="false">IF(I1190=0,Assumptions!$B$20,IF(H1190&gt;I1190,Assumptions!$B$19,IF(H1190=I1190,Assumptions!$B$20,Assumptions!$B$21)))</f>
        <v>70</v>
      </c>
      <c r="U1190" s="8" t="n">
        <f aca="false">ROUND(P1190*Assumptions!$B$2+Q1190*Assumptions!$B$3+R1190*Assumptions!$B$4+S1190*Assumptions!$B$5+T1190*Assumptions!$B$6,0)</f>
        <v>93</v>
      </c>
      <c r="V1190" s="8" t="str">
        <f aca="false">IF(U1190&gt;=Assumptions!$B$10,"Healthy",IF(U1190&gt;=Assumptions!$B$11,"Needs Attention","High Risk"))</f>
        <v>Healthy</v>
      </c>
    </row>
    <row r="1191" customFormat="false" ht="15" hidden="false" customHeight="false" outlineLevel="0" collapsed="false">
      <c r="A1191" s="8" t="s">
        <v>2524</v>
      </c>
      <c r="B1191" s="8" t="s">
        <v>2525</v>
      </c>
      <c r="C1191" s="8" t="s">
        <v>51</v>
      </c>
      <c r="D1191" s="8" t="s">
        <v>2027</v>
      </c>
      <c r="E1191" s="8" t="s">
        <v>132</v>
      </c>
      <c r="F1191" s="8" t="s">
        <v>143</v>
      </c>
      <c r="G1191" s="8" t="s">
        <v>119</v>
      </c>
      <c r="H1191" s="15" t="n">
        <v>456</v>
      </c>
      <c r="I1191" s="15" t="n">
        <v>456</v>
      </c>
      <c r="J1191" s="16" t="n">
        <v>0.702</v>
      </c>
      <c r="K1191" s="8" t="n">
        <v>7.3</v>
      </c>
      <c r="L1191" s="8" t="n">
        <v>8</v>
      </c>
      <c r="M1191" s="8" t="n">
        <v>6</v>
      </c>
      <c r="N1191" s="8" t="s">
        <v>120</v>
      </c>
      <c r="O1191" s="15" t="n">
        <f aca="false">H1191*12</f>
        <v>5472</v>
      </c>
      <c r="P1191" s="8" t="n">
        <f aca="false">MIN(100,ROUND(100*J1191/Assumptions!$B$8,0))</f>
        <v>78</v>
      </c>
      <c r="Q1191" s="8" t="n">
        <f aca="false">IF(L1191="",Assumptions!$B$9,L1191*10)</f>
        <v>80</v>
      </c>
      <c r="R1191" s="8" t="n">
        <f aca="false">IF(M1191&lt;=1,Assumptions!$B$12,IF(M1191&lt;=3,Assumptions!$B$13,IF(M1191&lt;=6,Assumptions!$B$14,Assumptions!$B$15)))</f>
        <v>50</v>
      </c>
      <c r="S1191" s="8" t="n">
        <f aca="false">IF(N1191="Completed On Time",Assumptions!$B$16,IF(N1191="Completed Late",Assumptions!$B$17,Assumptions!$B$18))</f>
        <v>100</v>
      </c>
      <c r="T1191" s="8" t="n">
        <f aca="false">IF(I1191=0,Assumptions!$B$20,IF(H1191&gt;I1191,Assumptions!$B$19,IF(H1191=I1191,Assumptions!$B$20,Assumptions!$B$21)))</f>
        <v>70</v>
      </c>
      <c r="U1191" s="8" t="n">
        <f aca="false">ROUND(P1191*Assumptions!$B$2+Q1191*Assumptions!$B$3+R1191*Assumptions!$B$4+S1191*Assumptions!$B$5+T1191*Assumptions!$B$6,0)</f>
        <v>75</v>
      </c>
      <c r="V1191" s="8" t="str">
        <f aca="false">IF(U1191&gt;=Assumptions!$B$10,"Healthy",IF(U1191&gt;=Assumptions!$B$11,"Needs Attention","High Risk"))</f>
        <v>Needs Attention</v>
      </c>
    </row>
    <row r="1192" customFormat="false" ht="15" hidden="false" customHeight="false" outlineLevel="0" collapsed="false">
      <c r="A1192" s="8" t="s">
        <v>2526</v>
      </c>
      <c r="B1192" s="8" t="s">
        <v>2527</v>
      </c>
      <c r="C1192" s="8" t="s">
        <v>51</v>
      </c>
      <c r="D1192" s="8" t="s">
        <v>2027</v>
      </c>
      <c r="E1192" s="8" t="s">
        <v>132</v>
      </c>
      <c r="F1192" s="8" t="s">
        <v>151</v>
      </c>
      <c r="G1192" s="8" t="s">
        <v>144</v>
      </c>
      <c r="H1192" s="15" t="n">
        <v>456</v>
      </c>
      <c r="I1192" s="15" t="n">
        <v>408</v>
      </c>
      <c r="J1192" s="16" t="n">
        <v>0.754</v>
      </c>
      <c r="K1192" s="8" t="n">
        <v>8.3</v>
      </c>
      <c r="L1192" s="8" t="n">
        <v>8</v>
      </c>
      <c r="M1192" s="8" t="n">
        <v>3</v>
      </c>
      <c r="N1192" s="8" t="s">
        <v>120</v>
      </c>
      <c r="O1192" s="15" t="n">
        <f aca="false">H1192*12</f>
        <v>5472</v>
      </c>
      <c r="P1192" s="8" t="n">
        <f aca="false">MIN(100,ROUND(100*J1192/Assumptions!$B$8,0))</f>
        <v>84</v>
      </c>
      <c r="Q1192" s="8" t="n">
        <f aca="false">IF(L1192="",Assumptions!$B$9,L1192*10)</f>
        <v>80</v>
      </c>
      <c r="R1192" s="8" t="n">
        <f aca="false">IF(M1192&lt;=1,Assumptions!$B$12,IF(M1192&lt;=3,Assumptions!$B$13,IF(M1192&lt;=6,Assumptions!$B$14,Assumptions!$B$15)))</f>
        <v>75</v>
      </c>
      <c r="S1192" s="8" t="n">
        <f aca="false">IF(N1192="Completed On Time",Assumptions!$B$16,IF(N1192="Completed Late",Assumptions!$B$17,Assumptions!$B$18))</f>
        <v>100</v>
      </c>
      <c r="T1192" s="8" t="n">
        <f aca="false">IF(I1192=0,Assumptions!$B$20,IF(H1192&gt;I1192,Assumptions!$B$19,IF(H1192=I1192,Assumptions!$B$20,Assumptions!$B$21)))</f>
        <v>100</v>
      </c>
      <c r="U1192" s="8" t="n">
        <f aca="false">ROUND(P1192*Assumptions!$B$2+Q1192*Assumptions!$B$3+R1192*Assumptions!$B$4+S1192*Assumptions!$B$5+T1192*Assumptions!$B$6,0)</f>
        <v>87</v>
      </c>
      <c r="V1192" s="8" t="str">
        <f aca="false">IF(U1192&gt;=Assumptions!$B$10,"Healthy",IF(U1192&gt;=Assumptions!$B$11,"Needs Attention","High Risk"))</f>
        <v>Healthy</v>
      </c>
    </row>
    <row r="1193" customFormat="false" ht="15" hidden="false" customHeight="false" outlineLevel="0" collapsed="false">
      <c r="A1193" s="8" t="s">
        <v>2528</v>
      </c>
      <c r="B1193" s="8" t="s">
        <v>2529</v>
      </c>
      <c r="C1193" s="8" t="s">
        <v>51</v>
      </c>
      <c r="D1193" s="8" t="s">
        <v>2027</v>
      </c>
      <c r="E1193" s="8" t="s">
        <v>123</v>
      </c>
      <c r="F1193" s="8" t="s">
        <v>223</v>
      </c>
      <c r="G1193" s="8" t="s">
        <v>177</v>
      </c>
      <c r="H1193" s="15" t="n">
        <v>456</v>
      </c>
      <c r="I1193" s="15" t="n">
        <v>372</v>
      </c>
      <c r="J1193" s="16" t="n">
        <v>0.798</v>
      </c>
      <c r="K1193" s="8" t="n">
        <v>10.7</v>
      </c>
      <c r="L1193" s="8" t="n">
        <v>9</v>
      </c>
      <c r="M1193" s="8" t="n">
        <v>0</v>
      </c>
      <c r="N1193" s="8" t="s">
        <v>120</v>
      </c>
      <c r="O1193" s="15" t="n">
        <f aca="false">H1193*12</f>
        <v>5472</v>
      </c>
      <c r="P1193" s="8" t="n">
        <f aca="false">MIN(100,ROUND(100*J1193/Assumptions!$B$8,0))</f>
        <v>89</v>
      </c>
      <c r="Q1193" s="8" t="n">
        <f aca="false">IF(L1193="",Assumptions!$B$9,L1193*10)</f>
        <v>90</v>
      </c>
      <c r="R1193" s="8" t="n">
        <f aca="false">IF(M1193&lt;=1,Assumptions!$B$12,IF(M1193&lt;=3,Assumptions!$B$13,IF(M1193&lt;=6,Assumptions!$B$14,Assumptions!$B$15)))</f>
        <v>100</v>
      </c>
      <c r="S1193" s="8" t="n">
        <f aca="false">IF(N1193="Completed On Time",Assumptions!$B$16,IF(N1193="Completed Late",Assumptions!$B$17,Assumptions!$B$18))</f>
        <v>100</v>
      </c>
      <c r="T1193" s="8" t="n">
        <f aca="false">IF(I1193=0,Assumptions!$B$20,IF(H1193&gt;I1193,Assumptions!$B$19,IF(H1193=I1193,Assumptions!$B$20,Assumptions!$B$21)))</f>
        <v>100</v>
      </c>
      <c r="U1193" s="8" t="n">
        <f aca="false">ROUND(P1193*Assumptions!$B$2+Q1193*Assumptions!$B$3+R1193*Assumptions!$B$4+S1193*Assumptions!$B$5+T1193*Assumptions!$B$6,0)</f>
        <v>94</v>
      </c>
      <c r="V1193" s="8" t="str">
        <f aca="false">IF(U1193&gt;=Assumptions!$B$10,"Healthy",IF(U1193&gt;=Assumptions!$B$11,"Needs Attention","High Risk"))</f>
        <v>Healthy</v>
      </c>
    </row>
    <row r="1194" customFormat="false" ht="15" hidden="false" customHeight="false" outlineLevel="0" collapsed="false">
      <c r="A1194" s="8" t="s">
        <v>2530</v>
      </c>
      <c r="B1194" s="8" t="s">
        <v>2531</v>
      </c>
      <c r="C1194" s="8" t="s">
        <v>51</v>
      </c>
      <c r="D1194" s="8" t="s">
        <v>2027</v>
      </c>
      <c r="E1194" s="8" t="s">
        <v>128</v>
      </c>
      <c r="F1194" s="8" t="s">
        <v>151</v>
      </c>
      <c r="G1194" s="8" t="s">
        <v>125</v>
      </c>
      <c r="H1194" s="15" t="n">
        <v>456</v>
      </c>
      <c r="I1194" s="15" t="n">
        <v>456</v>
      </c>
      <c r="J1194" s="16" t="n">
        <v>0.623</v>
      </c>
      <c r="K1194" s="8" t="n">
        <v>8</v>
      </c>
      <c r="L1194" s="8" t="n">
        <v>5</v>
      </c>
      <c r="M1194" s="8" t="n">
        <v>4</v>
      </c>
      <c r="N1194" s="8" t="s">
        <v>120</v>
      </c>
      <c r="O1194" s="15" t="n">
        <f aca="false">H1194*12</f>
        <v>5472</v>
      </c>
      <c r="P1194" s="8" t="n">
        <f aca="false">MIN(100,ROUND(100*J1194/Assumptions!$B$8,0))</f>
        <v>69</v>
      </c>
      <c r="Q1194" s="8" t="n">
        <f aca="false">IF(L1194="",Assumptions!$B$9,L1194*10)</f>
        <v>50</v>
      </c>
      <c r="R1194" s="8" t="n">
        <f aca="false">IF(M1194&lt;=1,Assumptions!$B$12,IF(M1194&lt;=3,Assumptions!$B$13,IF(M1194&lt;=6,Assumptions!$B$14,Assumptions!$B$15)))</f>
        <v>50</v>
      </c>
      <c r="S1194" s="8" t="n">
        <f aca="false">IF(N1194="Completed On Time",Assumptions!$B$16,IF(N1194="Completed Late",Assumptions!$B$17,Assumptions!$B$18))</f>
        <v>100</v>
      </c>
      <c r="T1194" s="8" t="n">
        <f aca="false">IF(I1194=0,Assumptions!$B$20,IF(H1194&gt;I1194,Assumptions!$B$19,IF(H1194=I1194,Assumptions!$B$20,Assumptions!$B$21)))</f>
        <v>70</v>
      </c>
      <c r="U1194" s="8" t="n">
        <f aca="false">ROUND(P1194*Assumptions!$B$2+Q1194*Assumptions!$B$3+R1194*Assumptions!$B$4+S1194*Assumptions!$B$5+T1194*Assumptions!$B$6,0)</f>
        <v>66</v>
      </c>
      <c r="V1194" s="8" t="str">
        <f aca="false">IF(U1194&gt;=Assumptions!$B$10,"Healthy",IF(U1194&gt;=Assumptions!$B$11,"Needs Attention","High Risk"))</f>
        <v>Needs Attention</v>
      </c>
    </row>
    <row r="1195" customFormat="false" ht="15" hidden="false" customHeight="false" outlineLevel="0" collapsed="false">
      <c r="A1195" s="8" t="s">
        <v>2532</v>
      </c>
      <c r="B1195" s="8" t="s">
        <v>2533</v>
      </c>
      <c r="C1195" s="8" t="s">
        <v>51</v>
      </c>
      <c r="D1195" s="8" t="s">
        <v>2027</v>
      </c>
      <c r="E1195" s="8" t="s">
        <v>123</v>
      </c>
      <c r="F1195" s="8" t="s">
        <v>166</v>
      </c>
      <c r="G1195" s="8" t="s">
        <v>185</v>
      </c>
      <c r="H1195" s="15" t="n">
        <v>456</v>
      </c>
      <c r="I1195" s="15" t="n">
        <v>456</v>
      </c>
      <c r="J1195" s="16" t="n">
        <v>0.868</v>
      </c>
      <c r="K1195" s="8" t="n">
        <v>11</v>
      </c>
      <c r="L1195" s="8" t="n">
        <v>10</v>
      </c>
      <c r="M1195" s="8" t="n">
        <v>0</v>
      </c>
      <c r="N1195" s="8" t="s">
        <v>120</v>
      </c>
      <c r="O1195" s="15" t="n">
        <f aca="false">H1195*12</f>
        <v>5472</v>
      </c>
      <c r="P1195" s="8" t="n">
        <f aca="false">MIN(100,ROUND(100*J1195/Assumptions!$B$8,0))</f>
        <v>96</v>
      </c>
      <c r="Q1195" s="8" t="n">
        <f aca="false">IF(L1195="",Assumptions!$B$9,L1195*10)</f>
        <v>100</v>
      </c>
      <c r="R1195" s="8" t="n">
        <f aca="false">IF(M1195&lt;=1,Assumptions!$B$12,IF(M1195&lt;=3,Assumptions!$B$13,IF(M1195&lt;=6,Assumptions!$B$14,Assumptions!$B$15)))</f>
        <v>100</v>
      </c>
      <c r="S1195" s="8" t="n">
        <f aca="false">IF(N1195="Completed On Time",Assumptions!$B$16,IF(N1195="Completed Late",Assumptions!$B$17,Assumptions!$B$18))</f>
        <v>100</v>
      </c>
      <c r="T1195" s="8" t="n">
        <f aca="false">IF(I1195=0,Assumptions!$B$20,IF(H1195&gt;I1195,Assumptions!$B$19,IF(H1195=I1195,Assumptions!$B$20,Assumptions!$B$21)))</f>
        <v>70</v>
      </c>
      <c r="U1195" s="8" t="n">
        <f aca="false">ROUND(P1195*Assumptions!$B$2+Q1195*Assumptions!$B$3+R1195*Assumptions!$B$4+S1195*Assumptions!$B$5+T1195*Assumptions!$B$6,0)</f>
        <v>93</v>
      </c>
      <c r="V1195" s="8" t="str">
        <f aca="false">IF(U1195&gt;=Assumptions!$B$10,"Healthy",IF(U1195&gt;=Assumptions!$B$11,"Needs Attention","High Risk"))</f>
        <v>Healthy</v>
      </c>
    </row>
    <row r="1196" customFormat="false" ht="15" hidden="false" customHeight="false" outlineLevel="0" collapsed="false">
      <c r="A1196" s="8" t="s">
        <v>2534</v>
      </c>
      <c r="B1196" s="8" t="s">
        <v>2535</v>
      </c>
      <c r="C1196" s="8" t="s">
        <v>51</v>
      </c>
      <c r="D1196" s="8" t="s">
        <v>2027</v>
      </c>
      <c r="E1196" s="8" t="s">
        <v>132</v>
      </c>
      <c r="F1196" s="8" t="s">
        <v>133</v>
      </c>
      <c r="G1196" s="8" t="s">
        <v>137</v>
      </c>
      <c r="H1196" s="15" t="n">
        <v>456</v>
      </c>
      <c r="I1196" s="15" t="n">
        <v>456</v>
      </c>
      <c r="J1196" s="16" t="n">
        <v>0.675</v>
      </c>
      <c r="K1196" s="8" t="n">
        <v>7.7</v>
      </c>
      <c r="L1196" s="8" t="n">
        <v>8</v>
      </c>
      <c r="M1196" s="8" t="n">
        <v>2</v>
      </c>
      <c r="N1196" s="8" t="s">
        <v>120</v>
      </c>
      <c r="O1196" s="15" t="n">
        <f aca="false">H1196*12</f>
        <v>5472</v>
      </c>
      <c r="P1196" s="8" t="n">
        <f aca="false">MIN(100,ROUND(100*J1196/Assumptions!$B$8,0))</f>
        <v>75</v>
      </c>
      <c r="Q1196" s="8" t="n">
        <f aca="false">IF(L1196="",Assumptions!$B$9,L1196*10)</f>
        <v>80</v>
      </c>
      <c r="R1196" s="8" t="n">
        <f aca="false">IF(M1196&lt;=1,Assumptions!$B$12,IF(M1196&lt;=3,Assumptions!$B$13,IF(M1196&lt;=6,Assumptions!$B$14,Assumptions!$B$15)))</f>
        <v>75</v>
      </c>
      <c r="S1196" s="8" t="n">
        <f aca="false">IF(N1196="Completed On Time",Assumptions!$B$16,IF(N1196="Completed Late",Assumptions!$B$17,Assumptions!$B$18))</f>
        <v>100</v>
      </c>
      <c r="T1196" s="8" t="n">
        <f aca="false">IF(I1196=0,Assumptions!$B$20,IF(H1196&gt;I1196,Assumptions!$B$19,IF(H1196=I1196,Assumptions!$B$20,Assumptions!$B$21)))</f>
        <v>70</v>
      </c>
      <c r="U1196" s="8" t="n">
        <f aca="false">ROUND(P1196*Assumptions!$B$2+Q1196*Assumptions!$B$3+R1196*Assumptions!$B$4+S1196*Assumptions!$B$5+T1196*Assumptions!$B$6,0)</f>
        <v>78</v>
      </c>
      <c r="V1196" s="8" t="str">
        <f aca="false">IF(U1196&gt;=Assumptions!$B$10,"Healthy",IF(U1196&gt;=Assumptions!$B$11,"Needs Attention","High Risk"))</f>
        <v>Needs Attention</v>
      </c>
    </row>
    <row r="1197" customFormat="false" ht="15" hidden="false" customHeight="false" outlineLevel="0" collapsed="false">
      <c r="A1197" s="8" t="s">
        <v>2536</v>
      </c>
      <c r="B1197" s="8" t="s">
        <v>2537</v>
      </c>
      <c r="C1197" s="8" t="s">
        <v>51</v>
      </c>
      <c r="D1197" s="8" t="s">
        <v>2027</v>
      </c>
      <c r="E1197" s="8" t="s">
        <v>123</v>
      </c>
      <c r="F1197" s="8" t="s">
        <v>133</v>
      </c>
      <c r="G1197" s="8" t="s">
        <v>119</v>
      </c>
      <c r="H1197" s="15" t="n">
        <v>456</v>
      </c>
      <c r="I1197" s="15" t="n">
        <v>456</v>
      </c>
      <c r="J1197" s="16" t="n">
        <v>0.737</v>
      </c>
      <c r="K1197" s="8" t="n">
        <v>10.7</v>
      </c>
      <c r="L1197" s="8" t="n">
        <v>8</v>
      </c>
      <c r="M1197" s="8" t="n">
        <v>0</v>
      </c>
      <c r="N1197" s="8" t="s">
        <v>120</v>
      </c>
      <c r="O1197" s="15" t="n">
        <f aca="false">H1197*12</f>
        <v>5472</v>
      </c>
      <c r="P1197" s="8" t="n">
        <f aca="false">MIN(100,ROUND(100*J1197/Assumptions!$B$8,0))</f>
        <v>82</v>
      </c>
      <c r="Q1197" s="8" t="n">
        <f aca="false">IF(L1197="",Assumptions!$B$9,L1197*10)</f>
        <v>80</v>
      </c>
      <c r="R1197" s="8" t="n">
        <f aca="false">IF(M1197&lt;=1,Assumptions!$B$12,IF(M1197&lt;=3,Assumptions!$B$13,IF(M1197&lt;=6,Assumptions!$B$14,Assumptions!$B$15)))</f>
        <v>100</v>
      </c>
      <c r="S1197" s="8" t="n">
        <f aca="false">IF(N1197="Completed On Time",Assumptions!$B$16,IF(N1197="Completed Late",Assumptions!$B$17,Assumptions!$B$18))</f>
        <v>100</v>
      </c>
      <c r="T1197" s="8" t="n">
        <f aca="false">IF(I1197=0,Assumptions!$B$20,IF(H1197&gt;I1197,Assumptions!$B$19,IF(H1197=I1197,Assumptions!$B$20,Assumptions!$B$21)))</f>
        <v>70</v>
      </c>
      <c r="U1197" s="8" t="n">
        <f aca="false">ROUND(P1197*Assumptions!$B$2+Q1197*Assumptions!$B$3+R1197*Assumptions!$B$4+S1197*Assumptions!$B$5+T1197*Assumptions!$B$6,0)</f>
        <v>84</v>
      </c>
      <c r="V1197" s="8" t="str">
        <f aca="false">IF(U1197&gt;=Assumptions!$B$10,"Healthy",IF(U1197&gt;=Assumptions!$B$11,"Needs Attention","High Risk"))</f>
        <v>Healthy</v>
      </c>
    </row>
    <row r="1198" customFormat="false" ht="15" hidden="false" customHeight="false" outlineLevel="0" collapsed="false">
      <c r="A1198" s="8" t="s">
        <v>2538</v>
      </c>
      <c r="B1198" s="8" t="s">
        <v>2539</v>
      </c>
      <c r="C1198" s="8" t="s">
        <v>51</v>
      </c>
      <c r="D1198" s="8" t="s">
        <v>326</v>
      </c>
      <c r="E1198" s="8" t="s">
        <v>123</v>
      </c>
      <c r="F1198" s="8" t="s">
        <v>151</v>
      </c>
      <c r="G1198" s="8" t="s">
        <v>180</v>
      </c>
      <c r="H1198" s="15" t="n">
        <v>450</v>
      </c>
      <c r="I1198" s="15" t="n">
        <v>450</v>
      </c>
      <c r="J1198" s="16" t="n">
        <v>0.704</v>
      </c>
      <c r="K1198" s="8" t="n">
        <v>9.7</v>
      </c>
      <c r="L1198" s="8" t="n">
        <v>9</v>
      </c>
      <c r="M1198" s="8" t="n">
        <v>2</v>
      </c>
      <c r="N1198" s="8" t="s">
        <v>120</v>
      </c>
      <c r="O1198" s="15" t="n">
        <f aca="false">H1198*12</f>
        <v>5400</v>
      </c>
      <c r="P1198" s="8" t="n">
        <f aca="false">MIN(100,ROUND(100*J1198/Assumptions!$B$8,0))</f>
        <v>78</v>
      </c>
      <c r="Q1198" s="8" t="n">
        <f aca="false">IF(L1198="",Assumptions!$B$9,L1198*10)</f>
        <v>90</v>
      </c>
      <c r="R1198" s="8" t="n">
        <f aca="false">IF(M1198&lt;=1,Assumptions!$B$12,IF(M1198&lt;=3,Assumptions!$B$13,IF(M1198&lt;=6,Assumptions!$B$14,Assumptions!$B$15)))</f>
        <v>75</v>
      </c>
      <c r="S1198" s="8" t="n">
        <f aca="false">IF(N1198="Completed On Time",Assumptions!$B$16,IF(N1198="Completed Late",Assumptions!$B$17,Assumptions!$B$18))</f>
        <v>100</v>
      </c>
      <c r="T1198" s="8" t="n">
        <f aca="false">IF(I1198=0,Assumptions!$B$20,IF(H1198&gt;I1198,Assumptions!$B$19,IF(H1198=I1198,Assumptions!$B$20,Assumptions!$B$21)))</f>
        <v>70</v>
      </c>
      <c r="U1198" s="8" t="n">
        <f aca="false">ROUND(P1198*Assumptions!$B$2+Q1198*Assumptions!$B$3+R1198*Assumptions!$B$4+S1198*Assumptions!$B$5+T1198*Assumptions!$B$6,0)</f>
        <v>81</v>
      </c>
      <c r="V1198" s="8" t="str">
        <f aca="false">IF(U1198&gt;=Assumptions!$B$10,"Healthy",IF(U1198&gt;=Assumptions!$B$11,"Needs Attention","High Risk"))</f>
        <v>Healthy</v>
      </c>
    </row>
    <row r="1199" customFormat="false" ht="15" hidden="false" customHeight="false" outlineLevel="0" collapsed="false">
      <c r="A1199" s="8" t="s">
        <v>2540</v>
      </c>
      <c r="B1199" s="8" t="s">
        <v>2541</v>
      </c>
      <c r="C1199" s="8" t="s">
        <v>51</v>
      </c>
      <c r="D1199" s="8" t="s">
        <v>326</v>
      </c>
      <c r="E1199" s="8" t="s">
        <v>132</v>
      </c>
      <c r="F1199" s="8" t="s">
        <v>124</v>
      </c>
      <c r="G1199" s="8" t="s">
        <v>204</v>
      </c>
      <c r="H1199" s="15" t="n">
        <v>450</v>
      </c>
      <c r="I1199" s="15" t="n">
        <v>450</v>
      </c>
      <c r="J1199" s="16" t="n">
        <v>0.722</v>
      </c>
      <c r="K1199" s="8" t="n">
        <v>8.7</v>
      </c>
      <c r="L1199" s="8" t="n">
        <v>10</v>
      </c>
      <c r="M1199" s="8" t="n">
        <v>1</v>
      </c>
      <c r="N1199" s="8" t="s">
        <v>120</v>
      </c>
      <c r="O1199" s="15" t="n">
        <f aca="false">H1199*12</f>
        <v>5400</v>
      </c>
      <c r="P1199" s="8" t="n">
        <f aca="false">MIN(100,ROUND(100*J1199/Assumptions!$B$8,0))</f>
        <v>80</v>
      </c>
      <c r="Q1199" s="8" t="n">
        <f aca="false">IF(L1199="",Assumptions!$B$9,L1199*10)</f>
        <v>100</v>
      </c>
      <c r="R1199" s="8" t="n">
        <f aca="false">IF(M1199&lt;=1,Assumptions!$B$12,IF(M1199&lt;=3,Assumptions!$B$13,IF(M1199&lt;=6,Assumptions!$B$14,Assumptions!$B$15)))</f>
        <v>100</v>
      </c>
      <c r="S1199" s="8" t="n">
        <f aca="false">IF(N1199="Completed On Time",Assumptions!$B$16,IF(N1199="Completed Late",Assumptions!$B$17,Assumptions!$B$18))</f>
        <v>100</v>
      </c>
      <c r="T1199" s="8" t="n">
        <f aca="false">IF(I1199=0,Assumptions!$B$20,IF(H1199&gt;I1199,Assumptions!$B$19,IF(H1199=I1199,Assumptions!$B$20,Assumptions!$B$21)))</f>
        <v>70</v>
      </c>
      <c r="U1199" s="8" t="n">
        <f aca="false">ROUND(P1199*Assumptions!$B$2+Q1199*Assumptions!$B$3+R1199*Assumptions!$B$4+S1199*Assumptions!$B$5+T1199*Assumptions!$B$6,0)</f>
        <v>87</v>
      </c>
      <c r="V1199" s="8" t="str">
        <f aca="false">IF(U1199&gt;=Assumptions!$B$10,"Healthy",IF(U1199&gt;=Assumptions!$B$11,"Needs Attention","High Risk"))</f>
        <v>Healthy</v>
      </c>
    </row>
    <row r="1200" customFormat="false" ht="15" hidden="false" customHeight="false" outlineLevel="0" collapsed="false">
      <c r="A1200" s="8" t="s">
        <v>2542</v>
      </c>
      <c r="B1200" s="8" t="s">
        <v>2543</v>
      </c>
      <c r="C1200" s="8" t="s">
        <v>51</v>
      </c>
      <c r="D1200" s="8" t="s">
        <v>326</v>
      </c>
      <c r="E1200" s="8" t="s">
        <v>117</v>
      </c>
      <c r="F1200" s="8" t="s">
        <v>143</v>
      </c>
      <c r="G1200" s="8" t="s">
        <v>119</v>
      </c>
      <c r="H1200" s="15" t="n">
        <v>450</v>
      </c>
      <c r="I1200" s="15" t="n">
        <v>450</v>
      </c>
      <c r="J1200" s="16" t="n">
        <v>0.87</v>
      </c>
      <c r="K1200" s="8" t="n">
        <v>9.3</v>
      </c>
      <c r="L1200" s="8" t="n">
        <v>8</v>
      </c>
      <c r="M1200" s="8" t="n">
        <v>4</v>
      </c>
      <c r="N1200" s="8" t="s">
        <v>120</v>
      </c>
      <c r="O1200" s="15" t="n">
        <f aca="false">H1200*12</f>
        <v>5400</v>
      </c>
      <c r="P1200" s="8" t="n">
        <f aca="false">MIN(100,ROUND(100*J1200/Assumptions!$B$8,0))</f>
        <v>97</v>
      </c>
      <c r="Q1200" s="8" t="n">
        <f aca="false">IF(L1200="",Assumptions!$B$9,L1200*10)</f>
        <v>80</v>
      </c>
      <c r="R1200" s="8" t="n">
        <f aca="false">IF(M1200&lt;=1,Assumptions!$B$12,IF(M1200&lt;=3,Assumptions!$B$13,IF(M1200&lt;=6,Assumptions!$B$14,Assumptions!$B$15)))</f>
        <v>50</v>
      </c>
      <c r="S1200" s="8" t="n">
        <f aca="false">IF(N1200="Completed On Time",Assumptions!$B$16,IF(N1200="Completed Late",Assumptions!$B$17,Assumptions!$B$18))</f>
        <v>100</v>
      </c>
      <c r="T1200" s="8" t="n">
        <f aca="false">IF(I1200=0,Assumptions!$B$20,IF(H1200&gt;I1200,Assumptions!$B$19,IF(H1200=I1200,Assumptions!$B$20,Assumptions!$B$21)))</f>
        <v>70</v>
      </c>
      <c r="U1200" s="8" t="n">
        <f aca="false">ROUND(P1200*Assumptions!$B$2+Q1200*Assumptions!$B$3+R1200*Assumptions!$B$4+S1200*Assumptions!$B$5+T1200*Assumptions!$B$6,0)</f>
        <v>81</v>
      </c>
      <c r="V1200" s="8" t="str">
        <f aca="false">IF(U1200&gt;=Assumptions!$B$10,"Healthy",IF(U1200&gt;=Assumptions!$B$11,"Needs Attention","High Risk"))</f>
        <v>Healthy</v>
      </c>
    </row>
    <row r="1201" customFormat="false" ht="15" hidden="false" customHeight="false" outlineLevel="0" collapsed="false">
      <c r="A1201" s="8" t="s">
        <v>2544</v>
      </c>
      <c r="B1201" s="8" t="s">
        <v>2545</v>
      </c>
      <c r="C1201" s="8" t="s">
        <v>51</v>
      </c>
      <c r="D1201" s="8" t="s">
        <v>326</v>
      </c>
      <c r="E1201" s="8" t="s">
        <v>132</v>
      </c>
      <c r="F1201" s="8" t="s">
        <v>154</v>
      </c>
      <c r="G1201" s="8" t="s">
        <v>125</v>
      </c>
      <c r="H1201" s="15" t="n">
        <v>450</v>
      </c>
      <c r="I1201" s="15" t="n">
        <v>450</v>
      </c>
      <c r="J1201" s="16" t="n">
        <v>0.685</v>
      </c>
      <c r="K1201" s="8" t="n">
        <v>9.3</v>
      </c>
      <c r="L1201" s="8" t="n">
        <v>10</v>
      </c>
      <c r="M1201" s="8" t="n">
        <v>3</v>
      </c>
      <c r="N1201" s="8" t="s">
        <v>120</v>
      </c>
      <c r="O1201" s="15" t="n">
        <f aca="false">H1201*12</f>
        <v>5400</v>
      </c>
      <c r="P1201" s="8" t="n">
        <f aca="false">MIN(100,ROUND(100*J1201/Assumptions!$B$8,0))</f>
        <v>76</v>
      </c>
      <c r="Q1201" s="8" t="n">
        <f aca="false">IF(L1201="",Assumptions!$B$9,L1201*10)</f>
        <v>100</v>
      </c>
      <c r="R1201" s="8" t="n">
        <f aca="false">IF(M1201&lt;=1,Assumptions!$B$12,IF(M1201&lt;=3,Assumptions!$B$13,IF(M1201&lt;=6,Assumptions!$B$14,Assumptions!$B$15)))</f>
        <v>75</v>
      </c>
      <c r="S1201" s="8" t="n">
        <f aca="false">IF(N1201="Completed On Time",Assumptions!$B$16,IF(N1201="Completed Late",Assumptions!$B$17,Assumptions!$B$18))</f>
        <v>100</v>
      </c>
      <c r="T1201" s="8" t="n">
        <f aca="false">IF(I1201=0,Assumptions!$B$20,IF(H1201&gt;I1201,Assumptions!$B$19,IF(H1201=I1201,Assumptions!$B$20,Assumptions!$B$21)))</f>
        <v>70</v>
      </c>
      <c r="U1201" s="8" t="n">
        <f aca="false">ROUND(P1201*Assumptions!$B$2+Q1201*Assumptions!$B$3+R1201*Assumptions!$B$4+S1201*Assumptions!$B$5+T1201*Assumptions!$B$6,0)</f>
        <v>82</v>
      </c>
      <c r="V1201" s="8" t="str">
        <f aca="false">IF(U1201&gt;=Assumptions!$B$10,"Healthy",IF(U1201&gt;=Assumptions!$B$11,"Needs Attention","High Risk"))</f>
        <v>Healthy</v>
      </c>
    </row>
    <row r="1202" customFormat="false" ht="15" hidden="false" customHeight="false" outlineLevel="0" collapsed="false">
      <c r="A1202" s="8" t="s">
        <v>2546</v>
      </c>
      <c r="B1202" s="8" t="s">
        <v>2547</v>
      </c>
      <c r="C1202" s="8" t="s">
        <v>51</v>
      </c>
      <c r="D1202" s="8" t="s">
        <v>326</v>
      </c>
      <c r="E1202" s="8" t="s">
        <v>123</v>
      </c>
      <c r="F1202" s="8" t="s">
        <v>223</v>
      </c>
      <c r="G1202" s="8" t="s">
        <v>159</v>
      </c>
      <c r="H1202" s="15" t="n">
        <v>450</v>
      </c>
      <c r="I1202" s="15" t="n">
        <v>450</v>
      </c>
      <c r="J1202" s="16" t="n">
        <v>0.704</v>
      </c>
      <c r="K1202" s="8" t="n">
        <v>8</v>
      </c>
      <c r="L1202" s="8" t="n">
        <v>5</v>
      </c>
      <c r="M1202" s="8" t="n">
        <v>4</v>
      </c>
      <c r="N1202" s="8" t="s">
        <v>120</v>
      </c>
      <c r="O1202" s="15" t="n">
        <f aca="false">H1202*12</f>
        <v>5400</v>
      </c>
      <c r="P1202" s="8" t="n">
        <f aca="false">MIN(100,ROUND(100*J1202/Assumptions!$B$8,0))</f>
        <v>78</v>
      </c>
      <c r="Q1202" s="8" t="n">
        <f aca="false">IF(L1202="",Assumptions!$B$9,L1202*10)</f>
        <v>50</v>
      </c>
      <c r="R1202" s="8" t="n">
        <f aca="false">IF(M1202&lt;=1,Assumptions!$B$12,IF(M1202&lt;=3,Assumptions!$B$13,IF(M1202&lt;=6,Assumptions!$B$14,Assumptions!$B$15)))</f>
        <v>50</v>
      </c>
      <c r="S1202" s="8" t="n">
        <f aca="false">IF(N1202="Completed On Time",Assumptions!$B$16,IF(N1202="Completed Late",Assumptions!$B$17,Assumptions!$B$18))</f>
        <v>100</v>
      </c>
      <c r="T1202" s="8" t="n">
        <f aca="false">IF(I1202=0,Assumptions!$B$20,IF(H1202&gt;I1202,Assumptions!$B$19,IF(H1202=I1202,Assumptions!$B$20,Assumptions!$B$21)))</f>
        <v>70</v>
      </c>
      <c r="U1202" s="8" t="n">
        <f aca="false">ROUND(P1202*Assumptions!$B$2+Q1202*Assumptions!$B$3+R1202*Assumptions!$B$4+S1202*Assumptions!$B$5+T1202*Assumptions!$B$6,0)</f>
        <v>69</v>
      </c>
      <c r="V1202" s="8" t="str">
        <f aca="false">IF(U1202&gt;=Assumptions!$B$10,"Healthy",IF(U1202&gt;=Assumptions!$B$11,"Needs Attention","High Risk"))</f>
        <v>Needs Attention</v>
      </c>
    </row>
    <row r="1203" customFormat="false" ht="15" hidden="false" customHeight="false" outlineLevel="0" collapsed="false">
      <c r="A1203" s="8" t="s">
        <v>2548</v>
      </c>
      <c r="B1203" s="8" t="s">
        <v>2549</v>
      </c>
      <c r="C1203" s="8" t="s">
        <v>51</v>
      </c>
      <c r="D1203" s="8" t="s">
        <v>326</v>
      </c>
      <c r="E1203" s="8" t="s">
        <v>132</v>
      </c>
      <c r="F1203" s="8" t="s">
        <v>143</v>
      </c>
      <c r="G1203" s="8" t="s">
        <v>119</v>
      </c>
      <c r="H1203" s="15" t="n">
        <v>450</v>
      </c>
      <c r="I1203" s="15" t="n">
        <v>450</v>
      </c>
      <c r="J1203" s="16" t="n">
        <v>0.667</v>
      </c>
      <c r="K1203" s="8" t="n">
        <v>9</v>
      </c>
      <c r="L1203" s="8" t="n">
        <v>8</v>
      </c>
      <c r="M1203" s="8" t="n">
        <v>3</v>
      </c>
      <c r="N1203" s="8" t="s">
        <v>120</v>
      </c>
      <c r="O1203" s="15" t="n">
        <f aca="false">H1203*12</f>
        <v>5400</v>
      </c>
      <c r="P1203" s="8" t="n">
        <f aca="false">MIN(100,ROUND(100*J1203/Assumptions!$B$8,0))</f>
        <v>74</v>
      </c>
      <c r="Q1203" s="8" t="n">
        <f aca="false">IF(L1203="",Assumptions!$B$9,L1203*10)</f>
        <v>80</v>
      </c>
      <c r="R1203" s="8" t="n">
        <f aca="false">IF(M1203&lt;=1,Assumptions!$B$12,IF(M1203&lt;=3,Assumptions!$B$13,IF(M1203&lt;=6,Assumptions!$B$14,Assumptions!$B$15)))</f>
        <v>75</v>
      </c>
      <c r="S1203" s="8" t="n">
        <f aca="false">IF(N1203="Completed On Time",Assumptions!$B$16,IF(N1203="Completed Late",Assumptions!$B$17,Assumptions!$B$18))</f>
        <v>100</v>
      </c>
      <c r="T1203" s="8" t="n">
        <f aca="false">IF(I1203=0,Assumptions!$B$20,IF(H1203&gt;I1203,Assumptions!$B$19,IF(H1203=I1203,Assumptions!$B$20,Assumptions!$B$21)))</f>
        <v>70</v>
      </c>
      <c r="U1203" s="8" t="n">
        <f aca="false">ROUND(P1203*Assumptions!$B$2+Q1203*Assumptions!$B$3+R1203*Assumptions!$B$4+S1203*Assumptions!$B$5+T1203*Assumptions!$B$6,0)</f>
        <v>77</v>
      </c>
      <c r="V1203" s="8" t="str">
        <f aca="false">IF(U1203&gt;=Assumptions!$B$10,"Healthy",IF(U1203&gt;=Assumptions!$B$11,"Needs Attention","High Risk"))</f>
        <v>Needs Attention</v>
      </c>
    </row>
    <row r="1204" customFormat="false" ht="15" hidden="false" customHeight="false" outlineLevel="0" collapsed="false">
      <c r="A1204" s="8" t="s">
        <v>2550</v>
      </c>
      <c r="B1204" s="8" t="s">
        <v>2551</v>
      </c>
      <c r="C1204" s="8" t="s">
        <v>51</v>
      </c>
      <c r="D1204" s="8" t="s">
        <v>2027</v>
      </c>
      <c r="E1204" s="8" t="s">
        <v>123</v>
      </c>
      <c r="F1204" s="8" t="s">
        <v>166</v>
      </c>
      <c r="G1204" s="8" t="s">
        <v>185</v>
      </c>
      <c r="H1204" s="15" t="n">
        <v>444</v>
      </c>
      <c r="I1204" s="15" t="n">
        <v>444</v>
      </c>
      <c r="J1204" s="16" t="n">
        <v>0.568</v>
      </c>
      <c r="K1204" s="8" t="n">
        <v>6.3</v>
      </c>
      <c r="L1204" s="8" t="n">
        <v>8</v>
      </c>
      <c r="M1204" s="8" t="n">
        <v>3</v>
      </c>
      <c r="N1204" s="8" t="s">
        <v>120</v>
      </c>
      <c r="O1204" s="15" t="n">
        <f aca="false">H1204*12</f>
        <v>5328</v>
      </c>
      <c r="P1204" s="8" t="n">
        <f aca="false">MIN(100,ROUND(100*J1204/Assumptions!$B$8,0))</f>
        <v>63</v>
      </c>
      <c r="Q1204" s="8" t="n">
        <f aca="false">IF(L1204="",Assumptions!$B$9,L1204*10)</f>
        <v>80</v>
      </c>
      <c r="R1204" s="8" t="n">
        <f aca="false">IF(M1204&lt;=1,Assumptions!$B$12,IF(M1204&lt;=3,Assumptions!$B$13,IF(M1204&lt;=6,Assumptions!$B$14,Assumptions!$B$15)))</f>
        <v>75</v>
      </c>
      <c r="S1204" s="8" t="n">
        <f aca="false">IF(N1204="Completed On Time",Assumptions!$B$16,IF(N1204="Completed Late",Assumptions!$B$17,Assumptions!$B$18))</f>
        <v>100</v>
      </c>
      <c r="T1204" s="8" t="n">
        <f aca="false">IF(I1204=0,Assumptions!$B$20,IF(H1204&gt;I1204,Assumptions!$B$19,IF(H1204=I1204,Assumptions!$B$20,Assumptions!$B$21)))</f>
        <v>70</v>
      </c>
      <c r="U1204" s="8" t="n">
        <f aca="false">ROUND(P1204*Assumptions!$B$2+Q1204*Assumptions!$B$3+R1204*Assumptions!$B$4+S1204*Assumptions!$B$5+T1204*Assumptions!$B$6,0)</f>
        <v>73</v>
      </c>
      <c r="V1204" s="8" t="str">
        <f aca="false">IF(U1204&gt;=Assumptions!$B$10,"Healthy",IF(U1204&gt;=Assumptions!$B$11,"Needs Attention","High Risk"))</f>
        <v>Needs Attention</v>
      </c>
    </row>
    <row r="1205" customFormat="false" ht="15" hidden="false" customHeight="false" outlineLevel="0" collapsed="false">
      <c r="A1205" s="8" t="s">
        <v>2552</v>
      </c>
      <c r="B1205" s="8" t="s">
        <v>2553</v>
      </c>
      <c r="C1205" s="8" t="s">
        <v>51</v>
      </c>
      <c r="D1205" s="8" t="s">
        <v>2027</v>
      </c>
      <c r="E1205" s="8" t="s">
        <v>132</v>
      </c>
      <c r="F1205" s="8" t="s">
        <v>154</v>
      </c>
      <c r="G1205" s="8" t="s">
        <v>140</v>
      </c>
      <c r="H1205" s="15" t="n">
        <v>444</v>
      </c>
      <c r="I1205" s="15" t="n">
        <v>444</v>
      </c>
      <c r="J1205" s="16" t="n">
        <v>0.757</v>
      </c>
      <c r="K1205" s="8" t="n">
        <v>8.3</v>
      </c>
      <c r="L1205" s="8" t="n">
        <v>10</v>
      </c>
      <c r="M1205" s="8" t="n">
        <v>3</v>
      </c>
      <c r="N1205" s="8" t="s">
        <v>120</v>
      </c>
      <c r="O1205" s="15" t="n">
        <f aca="false">H1205*12</f>
        <v>5328</v>
      </c>
      <c r="P1205" s="8" t="n">
        <f aca="false">MIN(100,ROUND(100*J1205/Assumptions!$B$8,0))</f>
        <v>84</v>
      </c>
      <c r="Q1205" s="8" t="n">
        <f aca="false">IF(L1205="",Assumptions!$B$9,L1205*10)</f>
        <v>100</v>
      </c>
      <c r="R1205" s="8" t="n">
        <f aca="false">IF(M1205&lt;=1,Assumptions!$B$12,IF(M1205&lt;=3,Assumptions!$B$13,IF(M1205&lt;=6,Assumptions!$B$14,Assumptions!$B$15)))</f>
        <v>75</v>
      </c>
      <c r="S1205" s="8" t="n">
        <f aca="false">IF(N1205="Completed On Time",Assumptions!$B$16,IF(N1205="Completed Late",Assumptions!$B$17,Assumptions!$B$18))</f>
        <v>100</v>
      </c>
      <c r="T1205" s="8" t="n">
        <f aca="false">IF(I1205=0,Assumptions!$B$20,IF(H1205&gt;I1205,Assumptions!$B$19,IF(H1205=I1205,Assumptions!$B$20,Assumptions!$B$21)))</f>
        <v>70</v>
      </c>
      <c r="U1205" s="8" t="n">
        <f aca="false">ROUND(P1205*Assumptions!$B$2+Q1205*Assumptions!$B$3+R1205*Assumptions!$B$4+S1205*Assumptions!$B$5+T1205*Assumptions!$B$6,0)</f>
        <v>85</v>
      </c>
      <c r="V1205" s="8" t="str">
        <f aca="false">IF(U1205&gt;=Assumptions!$B$10,"Healthy",IF(U1205&gt;=Assumptions!$B$11,"Needs Attention","High Risk"))</f>
        <v>Healthy</v>
      </c>
    </row>
    <row r="1206" customFormat="false" ht="15" hidden="false" customHeight="false" outlineLevel="0" collapsed="false">
      <c r="A1206" s="8" t="s">
        <v>2554</v>
      </c>
      <c r="B1206" s="8" t="s">
        <v>2555</v>
      </c>
      <c r="C1206" s="8" t="s">
        <v>51</v>
      </c>
      <c r="D1206" s="8" t="s">
        <v>2027</v>
      </c>
      <c r="E1206" s="8" t="s">
        <v>123</v>
      </c>
      <c r="F1206" s="8" t="s">
        <v>143</v>
      </c>
      <c r="G1206" s="8" t="s">
        <v>177</v>
      </c>
      <c r="H1206" s="15" t="n">
        <v>444</v>
      </c>
      <c r="I1206" s="15" t="n">
        <v>444</v>
      </c>
      <c r="J1206" s="16" t="n">
        <v>0.721</v>
      </c>
      <c r="K1206" s="8" t="n">
        <v>9.7</v>
      </c>
      <c r="L1206" s="8" t="n">
        <v>7</v>
      </c>
      <c r="M1206" s="8" t="n">
        <v>3</v>
      </c>
      <c r="N1206" s="8" t="s">
        <v>120</v>
      </c>
      <c r="O1206" s="15" t="n">
        <f aca="false">H1206*12</f>
        <v>5328</v>
      </c>
      <c r="P1206" s="8" t="n">
        <f aca="false">MIN(100,ROUND(100*J1206/Assumptions!$B$8,0))</f>
        <v>80</v>
      </c>
      <c r="Q1206" s="8" t="n">
        <f aca="false">IF(L1206="",Assumptions!$B$9,L1206*10)</f>
        <v>70</v>
      </c>
      <c r="R1206" s="8" t="n">
        <f aca="false">IF(M1206&lt;=1,Assumptions!$B$12,IF(M1206&lt;=3,Assumptions!$B$13,IF(M1206&lt;=6,Assumptions!$B$14,Assumptions!$B$15)))</f>
        <v>75</v>
      </c>
      <c r="S1206" s="8" t="n">
        <f aca="false">IF(N1206="Completed On Time",Assumptions!$B$16,IF(N1206="Completed Late",Assumptions!$B$17,Assumptions!$B$18))</f>
        <v>100</v>
      </c>
      <c r="T1206" s="8" t="n">
        <f aca="false">IF(I1206=0,Assumptions!$B$20,IF(H1206&gt;I1206,Assumptions!$B$19,IF(H1206=I1206,Assumptions!$B$20,Assumptions!$B$21)))</f>
        <v>70</v>
      </c>
      <c r="U1206" s="8" t="n">
        <f aca="false">ROUND(P1206*Assumptions!$B$2+Q1206*Assumptions!$B$3+R1206*Assumptions!$B$4+S1206*Assumptions!$B$5+T1206*Assumptions!$B$6,0)</f>
        <v>77</v>
      </c>
      <c r="V1206" s="8" t="str">
        <f aca="false">IF(U1206&gt;=Assumptions!$B$10,"Healthy",IF(U1206&gt;=Assumptions!$B$11,"Needs Attention","High Risk"))</f>
        <v>Needs Attention</v>
      </c>
    </row>
    <row r="1207" customFormat="false" ht="15" hidden="false" customHeight="false" outlineLevel="0" collapsed="false">
      <c r="A1207" s="8" t="s">
        <v>2556</v>
      </c>
      <c r="B1207" s="8" t="s">
        <v>2557</v>
      </c>
      <c r="C1207" s="8" t="s">
        <v>51</v>
      </c>
      <c r="D1207" s="8" t="s">
        <v>2027</v>
      </c>
      <c r="E1207" s="8" t="s">
        <v>117</v>
      </c>
      <c r="F1207" s="8" t="s">
        <v>143</v>
      </c>
      <c r="G1207" s="8" t="s">
        <v>129</v>
      </c>
      <c r="H1207" s="15" t="n">
        <v>444</v>
      </c>
      <c r="I1207" s="15" t="n">
        <v>444</v>
      </c>
      <c r="J1207" s="16" t="n">
        <v>0.829</v>
      </c>
      <c r="K1207" s="8" t="n">
        <v>9.3</v>
      </c>
      <c r="L1207" s="8" t="n">
        <v>10</v>
      </c>
      <c r="M1207" s="8" t="n">
        <v>2</v>
      </c>
      <c r="N1207" s="8" t="s">
        <v>120</v>
      </c>
      <c r="O1207" s="15" t="n">
        <f aca="false">H1207*12</f>
        <v>5328</v>
      </c>
      <c r="P1207" s="8" t="n">
        <f aca="false">MIN(100,ROUND(100*J1207/Assumptions!$B$8,0))</f>
        <v>92</v>
      </c>
      <c r="Q1207" s="8" t="n">
        <f aca="false">IF(L1207="",Assumptions!$B$9,L1207*10)</f>
        <v>100</v>
      </c>
      <c r="R1207" s="8" t="n">
        <f aca="false">IF(M1207&lt;=1,Assumptions!$B$12,IF(M1207&lt;=3,Assumptions!$B$13,IF(M1207&lt;=6,Assumptions!$B$14,Assumptions!$B$15)))</f>
        <v>75</v>
      </c>
      <c r="S1207" s="8" t="n">
        <f aca="false">IF(N1207="Completed On Time",Assumptions!$B$16,IF(N1207="Completed Late",Assumptions!$B$17,Assumptions!$B$18))</f>
        <v>100</v>
      </c>
      <c r="T1207" s="8" t="n">
        <f aca="false">IF(I1207=0,Assumptions!$B$20,IF(H1207&gt;I1207,Assumptions!$B$19,IF(H1207=I1207,Assumptions!$B$20,Assumptions!$B$21)))</f>
        <v>70</v>
      </c>
      <c r="U1207" s="8" t="n">
        <f aca="false">ROUND(P1207*Assumptions!$B$2+Q1207*Assumptions!$B$3+R1207*Assumptions!$B$4+S1207*Assumptions!$B$5+T1207*Assumptions!$B$6,0)</f>
        <v>87</v>
      </c>
      <c r="V1207" s="8" t="str">
        <f aca="false">IF(U1207&gt;=Assumptions!$B$10,"Healthy",IF(U1207&gt;=Assumptions!$B$11,"Needs Attention","High Risk"))</f>
        <v>Healthy</v>
      </c>
    </row>
    <row r="1208" customFormat="false" ht="15" hidden="false" customHeight="false" outlineLevel="0" collapsed="false">
      <c r="A1208" s="8" t="s">
        <v>2558</v>
      </c>
      <c r="B1208" s="8" t="s">
        <v>2559</v>
      </c>
      <c r="C1208" s="8" t="s">
        <v>51</v>
      </c>
      <c r="D1208" s="8" t="s">
        <v>2027</v>
      </c>
      <c r="E1208" s="8" t="s">
        <v>132</v>
      </c>
      <c r="F1208" s="8" t="s">
        <v>124</v>
      </c>
      <c r="G1208" s="8" t="s">
        <v>185</v>
      </c>
      <c r="H1208" s="15" t="n">
        <v>444</v>
      </c>
      <c r="I1208" s="15" t="n">
        <v>444</v>
      </c>
      <c r="J1208" s="16" t="n">
        <v>0.595</v>
      </c>
      <c r="K1208" s="8" t="n">
        <v>6.7</v>
      </c>
      <c r="L1208" s="8" t="n">
        <v>6</v>
      </c>
      <c r="M1208" s="8" t="n">
        <v>7</v>
      </c>
      <c r="N1208" s="8" t="s">
        <v>120</v>
      </c>
      <c r="O1208" s="15" t="n">
        <f aca="false">H1208*12</f>
        <v>5328</v>
      </c>
      <c r="P1208" s="8" t="n">
        <f aca="false">MIN(100,ROUND(100*J1208/Assumptions!$B$8,0))</f>
        <v>66</v>
      </c>
      <c r="Q1208" s="8" t="n">
        <f aca="false">IF(L1208="",Assumptions!$B$9,L1208*10)</f>
        <v>60</v>
      </c>
      <c r="R1208" s="8" t="n">
        <f aca="false">IF(M1208&lt;=1,Assumptions!$B$12,IF(M1208&lt;=3,Assumptions!$B$13,IF(M1208&lt;=6,Assumptions!$B$14,Assumptions!$B$15)))</f>
        <v>20</v>
      </c>
      <c r="S1208" s="8" t="n">
        <f aca="false">IF(N1208="Completed On Time",Assumptions!$B$16,IF(N1208="Completed Late",Assumptions!$B$17,Assumptions!$B$18))</f>
        <v>100</v>
      </c>
      <c r="T1208" s="8" t="n">
        <f aca="false">IF(I1208=0,Assumptions!$B$20,IF(H1208&gt;I1208,Assumptions!$B$19,IF(H1208=I1208,Assumptions!$B$20,Assumptions!$B$21)))</f>
        <v>70</v>
      </c>
      <c r="U1208" s="8" t="n">
        <f aca="false">ROUND(P1208*Assumptions!$B$2+Q1208*Assumptions!$B$3+R1208*Assumptions!$B$4+S1208*Assumptions!$B$5+T1208*Assumptions!$B$6,0)</f>
        <v>62</v>
      </c>
      <c r="V1208" s="8" t="str">
        <f aca="false">IF(U1208&gt;=Assumptions!$B$10,"Healthy",IF(U1208&gt;=Assumptions!$B$11,"Needs Attention","High Risk"))</f>
        <v>High Risk</v>
      </c>
    </row>
    <row r="1209" customFormat="false" ht="15" hidden="false" customHeight="false" outlineLevel="0" collapsed="false">
      <c r="A1209" s="8" t="s">
        <v>2560</v>
      </c>
      <c r="B1209" s="8" t="s">
        <v>2561</v>
      </c>
      <c r="C1209" s="8" t="s">
        <v>51</v>
      </c>
      <c r="D1209" s="8" t="s">
        <v>2027</v>
      </c>
      <c r="E1209" s="8" t="s">
        <v>123</v>
      </c>
      <c r="F1209" s="8" t="s">
        <v>154</v>
      </c>
      <c r="G1209" s="8" t="s">
        <v>180</v>
      </c>
      <c r="H1209" s="15" t="n">
        <v>444</v>
      </c>
      <c r="I1209" s="15" t="n">
        <v>0</v>
      </c>
      <c r="J1209" s="16" t="n">
        <v>0.73</v>
      </c>
      <c r="K1209" s="8" t="n">
        <v>10.5</v>
      </c>
      <c r="L1209" s="8"/>
      <c r="M1209" s="8" t="n">
        <v>1</v>
      </c>
      <c r="N1209" s="8" t="s">
        <v>120</v>
      </c>
      <c r="O1209" s="15" t="n">
        <f aca="false">H1209*12</f>
        <v>5328</v>
      </c>
      <c r="P1209" s="8" t="n">
        <f aca="false">MIN(100,ROUND(100*J1209/Assumptions!$B$8,0))</f>
        <v>81</v>
      </c>
      <c r="Q1209" s="8" t="n">
        <f aca="false">IF(L1209="",Assumptions!$B$9,L1209*10)</f>
        <v>50</v>
      </c>
      <c r="R1209" s="8" t="n">
        <f aca="false">IF(M1209&lt;=1,Assumptions!$B$12,IF(M1209&lt;=3,Assumptions!$B$13,IF(M1209&lt;=6,Assumptions!$B$14,Assumptions!$B$15)))</f>
        <v>100</v>
      </c>
      <c r="S1209" s="8" t="n">
        <f aca="false">IF(N1209="Completed On Time",Assumptions!$B$16,IF(N1209="Completed Late",Assumptions!$B$17,Assumptions!$B$18))</f>
        <v>100</v>
      </c>
      <c r="T1209" s="8" t="n">
        <f aca="false">IF(I1209=0,Assumptions!$B$20,IF(H1209&gt;I1209,Assumptions!$B$19,IF(H1209=I1209,Assumptions!$B$20,Assumptions!$B$21)))</f>
        <v>70</v>
      </c>
      <c r="U1209" s="8" t="n">
        <f aca="false">ROUND(P1209*Assumptions!$B$2+Q1209*Assumptions!$B$3+R1209*Assumptions!$B$4+S1209*Assumptions!$B$5+T1209*Assumptions!$B$6,0)</f>
        <v>77</v>
      </c>
      <c r="V1209" s="8" t="str">
        <f aca="false">IF(U1209&gt;=Assumptions!$B$10,"Healthy",IF(U1209&gt;=Assumptions!$B$11,"Needs Attention","High Risk"))</f>
        <v>Needs Attention</v>
      </c>
    </row>
    <row r="1210" customFormat="false" ht="15" hidden="false" customHeight="false" outlineLevel="0" collapsed="false">
      <c r="A1210" s="8" t="s">
        <v>2562</v>
      </c>
      <c r="B1210" s="8" t="s">
        <v>2563</v>
      </c>
      <c r="C1210" s="8" t="s">
        <v>51</v>
      </c>
      <c r="D1210" s="8" t="s">
        <v>2027</v>
      </c>
      <c r="E1210" s="8" t="s">
        <v>123</v>
      </c>
      <c r="F1210" s="8" t="s">
        <v>190</v>
      </c>
      <c r="G1210" s="8" t="s">
        <v>177</v>
      </c>
      <c r="H1210" s="15" t="n">
        <v>444</v>
      </c>
      <c r="I1210" s="15" t="n">
        <v>0</v>
      </c>
      <c r="J1210" s="16" t="n">
        <v>0.802</v>
      </c>
      <c r="K1210" s="8" t="n">
        <v>8.7</v>
      </c>
      <c r="L1210" s="8"/>
      <c r="M1210" s="8" t="n">
        <v>0</v>
      </c>
      <c r="N1210" s="8" t="s">
        <v>120</v>
      </c>
      <c r="O1210" s="15" t="n">
        <f aca="false">H1210*12</f>
        <v>5328</v>
      </c>
      <c r="P1210" s="8" t="n">
        <f aca="false">MIN(100,ROUND(100*J1210/Assumptions!$B$8,0))</f>
        <v>89</v>
      </c>
      <c r="Q1210" s="8" t="n">
        <f aca="false">IF(L1210="",Assumptions!$B$9,L1210*10)</f>
        <v>50</v>
      </c>
      <c r="R1210" s="8" t="n">
        <f aca="false">IF(M1210&lt;=1,Assumptions!$B$12,IF(M1210&lt;=3,Assumptions!$B$13,IF(M1210&lt;=6,Assumptions!$B$14,Assumptions!$B$15)))</f>
        <v>100</v>
      </c>
      <c r="S1210" s="8" t="n">
        <f aca="false">IF(N1210="Completed On Time",Assumptions!$B$16,IF(N1210="Completed Late",Assumptions!$B$17,Assumptions!$B$18))</f>
        <v>100</v>
      </c>
      <c r="T1210" s="8" t="n">
        <f aca="false">IF(I1210=0,Assumptions!$B$20,IF(H1210&gt;I1210,Assumptions!$B$19,IF(H1210=I1210,Assumptions!$B$20,Assumptions!$B$21)))</f>
        <v>70</v>
      </c>
      <c r="U1210" s="8" t="n">
        <f aca="false">ROUND(P1210*Assumptions!$B$2+Q1210*Assumptions!$B$3+R1210*Assumptions!$B$4+S1210*Assumptions!$B$5+T1210*Assumptions!$B$6,0)</f>
        <v>80</v>
      </c>
      <c r="V1210" s="8" t="str">
        <f aca="false">IF(U1210&gt;=Assumptions!$B$10,"Healthy",IF(U1210&gt;=Assumptions!$B$11,"Needs Attention","High Risk"))</f>
        <v>Healthy</v>
      </c>
    </row>
    <row r="1211" customFormat="false" ht="15" hidden="false" customHeight="false" outlineLevel="0" collapsed="false">
      <c r="A1211" s="8" t="s">
        <v>2564</v>
      </c>
      <c r="B1211" s="8" t="s">
        <v>2565</v>
      </c>
      <c r="C1211" s="8" t="s">
        <v>51</v>
      </c>
      <c r="D1211" s="8" t="s">
        <v>2027</v>
      </c>
      <c r="E1211" s="8" t="s">
        <v>123</v>
      </c>
      <c r="F1211" s="8" t="s">
        <v>118</v>
      </c>
      <c r="G1211" s="8" t="s">
        <v>177</v>
      </c>
      <c r="H1211" s="15" t="n">
        <v>444</v>
      </c>
      <c r="I1211" s="15" t="n">
        <v>444</v>
      </c>
      <c r="J1211" s="16" t="n">
        <v>0.748</v>
      </c>
      <c r="K1211" s="8" t="n">
        <v>9.7</v>
      </c>
      <c r="L1211" s="8" t="n">
        <v>6</v>
      </c>
      <c r="M1211" s="8" t="n">
        <v>2</v>
      </c>
      <c r="N1211" s="8" t="s">
        <v>148</v>
      </c>
      <c r="O1211" s="15" t="n">
        <f aca="false">H1211*12</f>
        <v>5328</v>
      </c>
      <c r="P1211" s="8" t="n">
        <f aca="false">MIN(100,ROUND(100*J1211/Assumptions!$B$8,0))</f>
        <v>83</v>
      </c>
      <c r="Q1211" s="8" t="n">
        <f aca="false">IF(L1211="",Assumptions!$B$9,L1211*10)</f>
        <v>60</v>
      </c>
      <c r="R1211" s="8" t="n">
        <f aca="false">IF(M1211&lt;=1,Assumptions!$B$12,IF(M1211&lt;=3,Assumptions!$B$13,IF(M1211&lt;=6,Assumptions!$B$14,Assumptions!$B$15)))</f>
        <v>75</v>
      </c>
      <c r="S1211" s="8" t="n">
        <f aca="false">IF(N1211="Completed On Time",Assumptions!$B$16,IF(N1211="Completed Late",Assumptions!$B$17,Assumptions!$B$18))</f>
        <v>60</v>
      </c>
      <c r="T1211" s="8" t="n">
        <f aca="false">IF(I1211=0,Assumptions!$B$20,IF(H1211&gt;I1211,Assumptions!$B$19,IF(H1211=I1211,Assumptions!$B$20,Assumptions!$B$21)))</f>
        <v>70</v>
      </c>
      <c r="U1211" s="8" t="n">
        <f aca="false">ROUND(P1211*Assumptions!$B$2+Q1211*Assumptions!$B$3+R1211*Assumptions!$B$4+S1211*Assumptions!$B$5+T1211*Assumptions!$B$6,0)</f>
        <v>72</v>
      </c>
      <c r="V1211" s="8" t="str">
        <f aca="false">IF(U1211&gt;=Assumptions!$B$10,"Healthy",IF(U1211&gt;=Assumptions!$B$11,"Needs Attention","High Risk"))</f>
        <v>Needs Attention</v>
      </c>
    </row>
    <row r="1212" customFormat="false" ht="15" hidden="false" customHeight="false" outlineLevel="0" collapsed="false">
      <c r="A1212" s="8" t="s">
        <v>2566</v>
      </c>
      <c r="B1212" s="8" t="s">
        <v>2567</v>
      </c>
      <c r="C1212" s="8" t="s">
        <v>51</v>
      </c>
      <c r="D1212" s="8" t="s">
        <v>2027</v>
      </c>
      <c r="E1212" s="8" t="s">
        <v>117</v>
      </c>
      <c r="F1212" s="8" t="s">
        <v>136</v>
      </c>
      <c r="G1212" s="8" t="s">
        <v>119</v>
      </c>
      <c r="H1212" s="15" t="n">
        <v>444</v>
      </c>
      <c r="I1212" s="15" t="n">
        <v>444</v>
      </c>
      <c r="J1212" s="16" t="n">
        <v>0.802</v>
      </c>
      <c r="K1212" s="8" t="n">
        <v>10.7</v>
      </c>
      <c r="L1212" s="8" t="n">
        <v>10</v>
      </c>
      <c r="M1212" s="8" t="n">
        <v>1</v>
      </c>
      <c r="N1212" s="8" t="s">
        <v>120</v>
      </c>
      <c r="O1212" s="15" t="n">
        <f aca="false">H1212*12</f>
        <v>5328</v>
      </c>
      <c r="P1212" s="8" t="n">
        <f aca="false">MIN(100,ROUND(100*J1212/Assumptions!$B$8,0))</f>
        <v>89</v>
      </c>
      <c r="Q1212" s="8" t="n">
        <f aca="false">IF(L1212="",Assumptions!$B$9,L1212*10)</f>
        <v>100</v>
      </c>
      <c r="R1212" s="8" t="n">
        <f aca="false">IF(M1212&lt;=1,Assumptions!$B$12,IF(M1212&lt;=3,Assumptions!$B$13,IF(M1212&lt;=6,Assumptions!$B$14,Assumptions!$B$15)))</f>
        <v>100</v>
      </c>
      <c r="S1212" s="8" t="n">
        <f aca="false">IF(N1212="Completed On Time",Assumptions!$B$16,IF(N1212="Completed Late",Assumptions!$B$17,Assumptions!$B$18))</f>
        <v>100</v>
      </c>
      <c r="T1212" s="8" t="n">
        <f aca="false">IF(I1212=0,Assumptions!$B$20,IF(H1212&gt;I1212,Assumptions!$B$19,IF(H1212=I1212,Assumptions!$B$20,Assumptions!$B$21)))</f>
        <v>70</v>
      </c>
      <c r="U1212" s="8" t="n">
        <f aca="false">ROUND(P1212*Assumptions!$B$2+Q1212*Assumptions!$B$3+R1212*Assumptions!$B$4+S1212*Assumptions!$B$5+T1212*Assumptions!$B$6,0)</f>
        <v>90</v>
      </c>
      <c r="V1212" s="8" t="str">
        <f aca="false">IF(U1212&gt;=Assumptions!$B$10,"Healthy",IF(U1212&gt;=Assumptions!$B$11,"Needs Attention","High Risk"))</f>
        <v>Healthy</v>
      </c>
    </row>
    <row r="1213" customFormat="false" ht="15" hidden="false" customHeight="false" outlineLevel="0" collapsed="false">
      <c r="A1213" s="8" t="s">
        <v>2568</v>
      </c>
      <c r="B1213" s="8" t="s">
        <v>2569</v>
      </c>
      <c r="C1213" s="8" t="s">
        <v>51</v>
      </c>
      <c r="D1213" s="8" t="s">
        <v>2027</v>
      </c>
      <c r="E1213" s="8" t="s">
        <v>123</v>
      </c>
      <c r="F1213" s="8" t="s">
        <v>124</v>
      </c>
      <c r="G1213" s="8" t="s">
        <v>180</v>
      </c>
      <c r="H1213" s="15" t="n">
        <v>444</v>
      </c>
      <c r="I1213" s="15" t="n">
        <v>0</v>
      </c>
      <c r="J1213" s="16" t="n">
        <v>0.77</v>
      </c>
      <c r="K1213" s="8" t="n">
        <v>8</v>
      </c>
      <c r="L1213" s="8"/>
      <c r="M1213" s="8" t="n">
        <v>1</v>
      </c>
      <c r="N1213" s="8" t="s">
        <v>120</v>
      </c>
      <c r="O1213" s="15" t="n">
        <f aca="false">H1213*12</f>
        <v>5328</v>
      </c>
      <c r="P1213" s="8" t="n">
        <f aca="false">MIN(100,ROUND(100*J1213/Assumptions!$B$8,0))</f>
        <v>86</v>
      </c>
      <c r="Q1213" s="8" t="n">
        <f aca="false">IF(L1213="",Assumptions!$B$9,L1213*10)</f>
        <v>50</v>
      </c>
      <c r="R1213" s="8" t="n">
        <f aca="false">IF(M1213&lt;=1,Assumptions!$B$12,IF(M1213&lt;=3,Assumptions!$B$13,IF(M1213&lt;=6,Assumptions!$B$14,Assumptions!$B$15)))</f>
        <v>100</v>
      </c>
      <c r="S1213" s="8" t="n">
        <f aca="false">IF(N1213="Completed On Time",Assumptions!$B$16,IF(N1213="Completed Late",Assumptions!$B$17,Assumptions!$B$18))</f>
        <v>100</v>
      </c>
      <c r="T1213" s="8" t="n">
        <f aca="false">IF(I1213=0,Assumptions!$B$20,IF(H1213&gt;I1213,Assumptions!$B$19,IF(H1213=I1213,Assumptions!$B$20,Assumptions!$B$21)))</f>
        <v>70</v>
      </c>
      <c r="U1213" s="8" t="n">
        <f aca="false">ROUND(P1213*Assumptions!$B$2+Q1213*Assumptions!$B$3+R1213*Assumptions!$B$4+S1213*Assumptions!$B$5+T1213*Assumptions!$B$6,0)</f>
        <v>79</v>
      </c>
      <c r="V1213" s="8" t="str">
        <f aca="false">IF(U1213&gt;=Assumptions!$B$10,"Healthy",IF(U1213&gt;=Assumptions!$B$11,"Needs Attention","High Risk"))</f>
        <v>Needs Attention</v>
      </c>
    </row>
    <row r="1214" customFormat="false" ht="15" hidden="false" customHeight="false" outlineLevel="0" collapsed="false">
      <c r="A1214" s="8" t="s">
        <v>2570</v>
      </c>
      <c r="B1214" s="8" t="s">
        <v>2571</v>
      </c>
      <c r="C1214" s="8" t="s">
        <v>51</v>
      </c>
      <c r="D1214" s="8" t="s">
        <v>2027</v>
      </c>
      <c r="E1214" s="8" t="s">
        <v>123</v>
      </c>
      <c r="F1214" s="8" t="s">
        <v>136</v>
      </c>
      <c r="G1214" s="8" t="s">
        <v>159</v>
      </c>
      <c r="H1214" s="15" t="n">
        <v>444</v>
      </c>
      <c r="I1214" s="15" t="n">
        <v>444</v>
      </c>
      <c r="J1214" s="16" t="n">
        <v>0.649</v>
      </c>
      <c r="K1214" s="8" t="n">
        <v>6.3</v>
      </c>
      <c r="L1214" s="8" t="n">
        <v>7</v>
      </c>
      <c r="M1214" s="8" t="n">
        <v>1</v>
      </c>
      <c r="N1214" s="8" t="s">
        <v>120</v>
      </c>
      <c r="O1214" s="15" t="n">
        <f aca="false">H1214*12</f>
        <v>5328</v>
      </c>
      <c r="P1214" s="8" t="n">
        <f aca="false">MIN(100,ROUND(100*J1214/Assumptions!$B$8,0))</f>
        <v>72</v>
      </c>
      <c r="Q1214" s="8" t="n">
        <f aca="false">IF(L1214="",Assumptions!$B$9,L1214*10)</f>
        <v>70</v>
      </c>
      <c r="R1214" s="8" t="n">
        <f aca="false">IF(M1214&lt;=1,Assumptions!$B$12,IF(M1214&lt;=3,Assumptions!$B$13,IF(M1214&lt;=6,Assumptions!$B$14,Assumptions!$B$15)))</f>
        <v>100</v>
      </c>
      <c r="S1214" s="8" t="n">
        <f aca="false">IF(N1214="Completed On Time",Assumptions!$B$16,IF(N1214="Completed Late",Assumptions!$B$17,Assumptions!$B$18))</f>
        <v>100</v>
      </c>
      <c r="T1214" s="8" t="n">
        <f aca="false">IF(I1214=0,Assumptions!$B$20,IF(H1214&gt;I1214,Assumptions!$B$19,IF(H1214=I1214,Assumptions!$B$20,Assumptions!$B$21)))</f>
        <v>70</v>
      </c>
      <c r="U1214" s="8" t="n">
        <f aca="false">ROUND(P1214*Assumptions!$B$2+Q1214*Assumptions!$B$3+R1214*Assumptions!$B$4+S1214*Assumptions!$B$5+T1214*Assumptions!$B$6,0)</f>
        <v>78</v>
      </c>
      <c r="V1214" s="8" t="str">
        <f aca="false">IF(U1214&gt;=Assumptions!$B$10,"Healthy",IF(U1214&gt;=Assumptions!$B$11,"Needs Attention","High Risk"))</f>
        <v>Needs Attention</v>
      </c>
    </row>
    <row r="1215" customFormat="false" ht="15" hidden="false" customHeight="false" outlineLevel="0" collapsed="false">
      <c r="A1215" s="8" t="s">
        <v>2572</v>
      </c>
      <c r="B1215" s="8" t="s">
        <v>2573</v>
      </c>
      <c r="C1215" s="8" t="s">
        <v>51</v>
      </c>
      <c r="D1215" s="8" t="s">
        <v>2027</v>
      </c>
      <c r="E1215" s="8" t="s">
        <v>123</v>
      </c>
      <c r="F1215" s="8" t="s">
        <v>136</v>
      </c>
      <c r="G1215" s="8" t="s">
        <v>119</v>
      </c>
      <c r="H1215" s="15" t="n">
        <v>444</v>
      </c>
      <c r="I1215" s="15" t="n">
        <v>444</v>
      </c>
      <c r="J1215" s="16" t="n">
        <v>0.748</v>
      </c>
      <c r="K1215" s="8" t="n">
        <v>9.3</v>
      </c>
      <c r="L1215" s="8" t="n">
        <v>7</v>
      </c>
      <c r="M1215" s="8" t="n">
        <v>1</v>
      </c>
      <c r="N1215" s="8" t="s">
        <v>120</v>
      </c>
      <c r="O1215" s="15" t="n">
        <f aca="false">H1215*12</f>
        <v>5328</v>
      </c>
      <c r="P1215" s="8" t="n">
        <f aca="false">MIN(100,ROUND(100*J1215/Assumptions!$B$8,0))</f>
        <v>83</v>
      </c>
      <c r="Q1215" s="8" t="n">
        <f aca="false">IF(L1215="",Assumptions!$B$9,L1215*10)</f>
        <v>70</v>
      </c>
      <c r="R1215" s="8" t="n">
        <f aca="false">IF(M1215&lt;=1,Assumptions!$B$12,IF(M1215&lt;=3,Assumptions!$B$13,IF(M1215&lt;=6,Assumptions!$B$14,Assumptions!$B$15)))</f>
        <v>100</v>
      </c>
      <c r="S1215" s="8" t="n">
        <f aca="false">IF(N1215="Completed On Time",Assumptions!$B$16,IF(N1215="Completed Late",Assumptions!$B$17,Assumptions!$B$18))</f>
        <v>100</v>
      </c>
      <c r="T1215" s="8" t="n">
        <f aca="false">IF(I1215=0,Assumptions!$B$20,IF(H1215&gt;I1215,Assumptions!$B$19,IF(H1215=I1215,Assumptions!$B$20,Assumptions!$B$21)))</f>
        <v>70</v>
      </c>
      <c r="U1215" s="8" t="n">
        <f aca="false">ROUND(P1215*Assumptions!$B$2+Q1215*Assumptions!$B$3+R1215*Assumptions!$B$4+S1215*Assumptions!$B$5+T1215*Assumptions!$B$6,0)</f>
        <v>82</v>
      </c>
      <c r="V1215" s="8" t="str">
        <f aca="false">IF(U1215&gt;=Assumptions!$B$10,"Healthy",IF(U1215&gt;=Assumptions!$B$11,"Needs Attention","High Risk"))</f>
        <v>Healthy</v>
      </c>
    </row>
    <row r="1216" customFormat="false" ht="15" hidden="false" customHeight="false" outlineLevel="0" collapsed="false">
      <c r="A1216" s="8" t="s">
        <v>2574</v>
      </c>
      <c r="B1216" s="8" t="s">
        <v>2575</v>
      </c>
      <c r="C1216" s="8" t="s">
        <v>51</v>
      </c>
      <c r="D1216" s="8" t="s">
        <v>2027</v>
      </c>
      <c r="E1216" s="8" t="s">
        <v>117</v>
      </c>
      <c r="F1216" s="8" t="s">
        <v>166</v>
      </c>
      <c r="G1216" s="8" t="s">
        <v>159</v>
      </c>
      <c r="H1216" s="15" t="n">
        <v>444</v>
      </c>
      <c r="I1216" s="15" t="n">
        <v>444</v>
      </c>
      <c r="J1216" s="16" t="n">
        <v>0.946</v>
      </c>
      <c r="K1216" s="8" t="n">
        <v>10.7</v>
      </c>
      <c r="L1216" s="8" t="n">
        <v>10</v>
      </c>
      <c r="M1216" s="8" t="n">
        <v>1</v>
      </c>
      <c r="N1216" s="8" t="s">
        <v>120</v>
      </c>
      <c r="O1216" s="15" t="n">
        <f aca="false">H1216*12</f>
        <v>5328</v>
      </c>
      <c r="P1216" s="8" t="n">
        <f aca="false">MIN(100,ROUND(100*J1216/Assumptions!$B$8,0))</f>
        <v>100</v>
      </c>
      <c r="Q1216" s="8" t="n">
        <f aca="false">IF(L1216="",Assumptions!$B$9,L1216*10)</f>
        <v>100</v>
      </c>
      <c r="R1216" s="8" t="n">
        <f aca="false">IF(M1216&lt;=1,Assumptions!$B$12,IF(M1216&lt;=3,Assumptions!$B$13,IF(M1216&lt;=6,Assumptions!$B$14,Assumptions!$B$15)))</f>
        <v>100</v>
      </c>
      <c r="S1216" s="8" t="n">
        <f aca="false">IF(N1216="Completed On Time",Assumptions!$B$16,IF(N1216="Completed Late",Assumptions!$B$17,Assumptions!$B$18))</f>
        <v>100</v>
      </c>
      <c r="T1216" s="8" t="n">
        <f aca="false">IF(I1216=0,Assumptions!$B$20,IF(H1216&gt;I1216,Assumptions!$B$19,IF(H1216=I1216,Assumptions!$B$20,Assumptions!$B$21)))</f>
        <v>70</v>
      </c>
      <c r="U1216" s="8" t="n">
        <f aca="false">ROUND(P1216*Assumptions!$B$2+Q1216*Assumptions!$B$3+R1216*Assumptions!$B$4+S1216*Assumptions!$B$5+T1216*Assumptions!$B$6,0)</f>
        <v>94</v>
      </c>
      <c r="V1216" s="8" t="str">
        <f aca="false">IF(U1216&gt;=Assumptions!$B$10,"Healthy",IF(U1216&gt;=Assumptions!$B$11,"Needs Attention","High Risk"))</f>
        <v>Healthy</v>
      </c>
    </row>
    <row r="1217" customFormat="false" ht="15" hidden="false" customHeight="false" outlineLevel="0" collapsed="false">
      <c r="A1217" s="8" t="s">
        <v>2576</v>
      </c>
      <c r="B1217" s="8" t="s">
        <v>2577</v>
      </c>
      <c r="C1217" s="8" t="s">
        <v>51</v>
      </c>
      <c r="D1217" s="8" t="s">
        <v>2027</v>
      </c>
      <c r="E1217" s="8" t="s">
        <v>132</v>
      </c>
      <c r="F1217" s="8" t="s">
        <v>154</v>
      </c>
      <c r="G1217" s="8" t="s">
        <v>119</v>
      </c>
      <c r="H1217" s="15" t="n">
        <v>444</v>
      </c>
      <c r="I1217" s="15" t="n">
        <v>444</v>
      </c>
      <c r="J1217" s="16" t="n">
        <v>0.802</v>
      </c>
      <c r="K1217" s="8" t="n">
        <v>7.3</v>
      </c>
      <c r="L1217" s="8" t="n">
        <v>7</v>
      </c>
      <c r="M1217" s="8" t="n">
        <v>2</v>
      </c>
      <c r="N1217" s="8" t="s">
        <v>120</v>
      </c>
      <c r="O1217" s="15" t="n">
        <f aca="false">H1217*12</f>
        <v>5328</v>
      </c>
      <c r="P1217" s="8" t="n">
        <f aca="false">MIN(100,ROUND(100*J1217/Assumptions!$B$8,0))</f>
        <v>89</v>
      </c>
      <c r="Q1217" s="8" t="n">
        <f aca="false">IF(L1217="",Assumptions!$B$9,L1217*10)</f>
        <v>70</v>
      </c>
      <c r="R1217" s="8" t="n">
        <f aca="false">IF(M1217&lt;=1,Assumptions!$B$12,IF(M1217&lt;=3,Assumptions!$B$13,IF(M1217&lt;=6,Assumptions!$B$14,Assumptions!$B$15)))</f>
        <v>75</v>
      </c>
      <c r="S1217" s="8" t="n">
        <f aca="false">IF(N1217="Completed On Time",Assumptions!$B$16,IF(N1217="Completed Late",Assumptions!$B$17,Assumptions!$B$18))</f>
        <v>100</v>
      </c>
      <c r="T1217" s="8" t="n">
        <f aca="false">IF(I1217=0,Assumptions!$B$20,IF(H1217&gt;I1217,Assumptions!$B$19,IF(H1217=I1217,Assumptions!$B$20,Assumptions!$B$21)))</f>
        <v>70</v>
      </c>
      <c r="U1217" s="8" t="n">
        <f aca="false">ROUND(P1217*Assumptions!$B$2+Q1217*Assumptions!$B$3+R1217*Assumptions!$B$4+S1217*Assumptions!$B$5+T1217*Assumptions!$B$6,0)</f>
        <v>80</v>
      </c>
      <c r="V1217" s="8" t="str">
        <f aca="false">IF(U1217&gt;=Assumptions!$B$10,"Healthy",IF(U1217&gt;=Assumptions!$B$11,"Needs Attention","High Risk"))</f>
        <v>Healthy</v>
      </c>
    </row>
    <row r="1218" customFormat="false" ht="15" hidden="false" customHeight="false" outlineLevel="0" collapsed="false">
      <c r="A1218" s="8" t="s">
        <v>2578</v>
      </c>
      <c r="B1218" s="8" t="s">
        <v>2579</v>
      </c>
      <c r="C1218" s="8" t="s">
        <v>51</v>
      </c>
      <c r="D1218" s="8" t="s">
        <v>2027</v>
      </c>
      <c r="E1218" s="8" t="s">
        <v>132</v>
      </c>
      <c r="F1218" s="8" t="s">
        <v>154</v>
      </c>
      <c r="G1218" s="8" t="s">
        <v>180</v>
      </c>
      <c r="H1218" s="15" t="n">
        <v>444</v>
      </c>
      <c r="I1218" s="15" t="n">
        <v>444</v>
      </c>
      <c r="J1218" s="16" t="n">
        <v>0.703</v>
      </c>
      <c r="K1218" s="8" t="n">
        <v>8.7</v>
      </c>
      <c r="L1218" s="8" t="n">
        <v>8</v>
      </c>
      <c r="M1218" s="8" t="n">
        <v>1</v>
      </c>
      <c r="N1218" s="8" t="s">
        <v>120</v>
      </c>
      <c r="O1218" s="15" t="n">
        <f aca="false">H1218*12</f>
        <v>5328</v>
      </c>
      <c r="P1218" s="8" t="n">
        <f aca="false">MIN(100,ROUND(100*J1218/Assumptions!$B$8,0))</f>
        <v>78</v>
      </c>
      <c r="Q1218" s="8" t="n">
        <f aca="false">IF(L1218="",Assumptions!$B$9,L1218*10)</f>
        <v>80</v>
      </c>
      <c r="R1218" s="8" t="n">
        <f aca="false">IF(M1218&lt;=1,Assumptions!$B$12,IF(M1218&lt;=3,Assumptions!$B$13,IF(M1218&lt;=6,Assumptions!$B$14,Assumptions!$B$15)))</f>
        <v>100</v>
      </c>
      <c r="S1218" s="8" t="n">
        <f aca="false">IF(N1218="Completed On Time",Assumptions!$B$16,IF(N1218="Completed Late",Assumptions!$B$17,Assumptions!$B$18))</f>
        <v>100</v>
      </c>
      <c r="T1218" s="8" t="n">
        <f aca="false">IF(I1218=0,Assumptions!$B$20,IF(H1218&gt;I1218,Assumptions!$B$19,IF(H1218=I1218,Assumptions!$B$20,Assumptions!$B$21)))</f>
        <v>70</v>
      </c>
      <c r="U1218" s="8" t="n">
        <f aca="false">ROUND(P1218*Assumptions!$B$2+Q1218*Assumptions!$B$3+R1218*Assumptions!$B$4+S1218*Assumptions!$B$5+T1218*Assumptions!$B$6,0)</f>
        <v>82</v>
      </c>
      <c r="V1218" s="8" t="str">
        <f aca="false">IF(U1218&gt;=Assumptions!$B$10,"Healthy",IF(U1218&gt;=Assumptions!$B$11,"Needs Attention","High Risk"))</f>
        <v>Healthy</v>
      </c>
    </row>
    <row r="1219" customFormat="false" ht="15" hidden="false" customHeight="false" outlineLevel="0" collapsed="false">
      <c r="A1219" s="8" t="s">
        <v>2580</v>
      </c>
      <c r="B1219" s="8" t="s">
        <v>2581</v>
      </c>
      <c r="C1219" s="8" t="s">
        <v>51</v>
      </c>
      <c r="D1219" s="8" t="s">
        <v>2027</v>
      </c>
      <c r="E1219" s="8" t="s">
        <v>123</v>
      </c>
      <c r="F1219" s="8" t="s">
        <v>166</v>
      </c>
      <c r="G1219" s="8" t="s">
        <v>180</v>
      </c>
      <c r="H1219" s="15" t="n">
        <v>444</v>
      </c>
      <c r="I1219" s="15" t="n">
        <v>444</v>
      </c>
      <c r="J1219" s="16" t="n">
        <v>0.829</v>
      </c>
      <c r="K1219" s="8" t="n">
        <v>9</v>
      </c>
      <c r="L1219" s="8" t="n">
        <v>9</v>
      </c>
      <c r="M1219" s="8" t="n">
        <v>0</v>
      </c>
      <c r="N1219" s="8" t="s">
        <v>120</v>
      </c>
      <c r="O1219" s="15" t="n">
        <f aca="false">H1219*12</f>
        <v>5328</v>
      </c>
      <c r="P1219" s="8" t="n">
        <f aca="false">MIN(100,ROUND(100*J1219/Assumptions!$B$8,0))</f>
        <v>92</v>
      </c>
      <c r="Q1219" s="8" t="n">
        <f aca="false">IF(L1219="",Assumptions!$B$9,L1219*10)</f>
        <v>90</v>
      </c>
      <c r="R1219" s="8" t="n">
        <f aca="false">IF(M1219&lt;=1,Assumptions!$B$12,IF(M1219&lt;=3,Assumptions!$B$13,IF(M1219&lt;=6,Assumptions!$B$14,Assumptions!$B$15)))</f>
        <v>100</v>
      </c>
      <c r="S1219" s="8" t="n">
        <f aca="false">IF(N1219="Completed On Time",Assumptions!$B$16,IF(N1219="Completed Late",Assumptions!$B$17,Assumptions!$B$18))</f>
        <v>100</v>
      </c>
      <c r="T1219" s="8" t="n">
        <f aca="false">IF(I1219=0,Assumptions!$B$20,IF(H1219&gt;I1219,Assumptions!$B$19,IF(H1219=I1219,Assumptions!$B$20,Assumptions!$B$21)))</f>
        <v>70</v>
      </c>
      <c r="U1219" s="8" t="n">
        <f aca="false">ROUND(P1219*Assumptions!$B$2+Q1219*Assumptions!$B$3+R1219*Assumptions!$B$4+S1219*Assumptions!$B$5+T1219*Assumptions!$B$6,0)</f>
        <v>89</v>
      </c>
      <c r="V1219" s="8" t="str">
        <f aca="false">IF(U1219&gt;=Assumptions!$B$10,"Healthy",IF(U1219&gt;=Assumptions!$B$11,"Needs Attention","High Risk"))</f>
        <v>Healthy</v>
      </c>
    </row>
    <row r="1220" customFormat="false" ht="15" hidden="false" customHeight="false" outlineLevel="0" collapsed="false">
      <c r="A1220" s="8" t="s">
        <v>2582</v>
      </c>
      <c r="B1220" s="8" t="s">
        <v>2583</v>
      </c>
      <c r="C1220" s="8" t="s">
        <v>51</v>
      </c>
      <c r="D1220" s="8" t="s">
        <v>2027</v>
      </c>
      <c r="E1220" s="8" t="s">
        <v>123</v>
      </c>
      <c r="F1220" s="8" t="s">
        <v>166</v>
      </c>
      <c r="G1220" s="8" t="s">
        <v>185</v>
      </c>
      <c r="H1220" s="15" t="n">
        <v>444</v>
      </c>
      <c r="I1220" s="15" t="n">
        <v>444</v>
      </c>
      <c r="J1220" s="16" t="n">
        <v>0.658</v>
      </c>
      <c r="K1220" s="8" t="n">
        <v>7.7</v>
      </c>
      <c r="L1220" s="8" t="n">
        <v>5</v>
      </c>
      <c r="M1220" s="8" t="n">
        <v>2</v>
      </c>
      <c r="N1220" s="8" t="s">
        <v>120</v>
      </c>
      <c r="O1220" s="15" t="n">
        <f aca="false">H1220*12</f>
        <v>5328</v>
      </c>
      <c r="P1220" s="8" t="n">
        <f aca="false">MIN(100,ROUND(100*J1220/Assumptions!$B$8,0))</f>
        <v>73</v>
      </c>
      <c r="Q1220" s="8" t="n">
        <f aca="false">IF(L1220="",Assumptions!$B$9,L1220*10)</f>
        <v>50</v>
      </c>
      <c r="R1220" s="8" t="n">
        <f aca="false">IF(M1220&lt;=1,Assumptions!$B$12,IF(M1220&lt;=3,Assumptions!$B$13,IF(M1220&lt;=6,Assumptions!$B$14,Assumptions!$B$15)))</f>
        <v>75</v>
      </c>
      <c r="S1220" s="8" t="n">
        <f aca="false">IF(N1220="Completed On Time",Assumptions!$B$16,IF(N1220="Completed Late",Assumptions!$B$17,Assumptions!$B$18))</f>
        <v>100</v>
      </c>
      <c r="T1220" s="8" t="n">
        <f aca="false">IF(I1220=0,Assumptions!$B$20,IF(H1220&gt;I1220,Assumptions!$B$19,IF(H1220=I1220,Assumptions!$B$20,Assumptions!$B$21)))</f>
        <v>70</v>
      </c>
      <c r="U1220" s="8" t="n">
        <f aca="false">ROUND(P1220*Assumptions!$B$2+Q1220*Assumptions!$B$3+R1220*Assumptions!$B$4+S1220*Assumptions!$B$5+T1220*Assumptions!$B$6,0)</f>
        <v>71</v>
      </c>
      <c r="V1220" s="8" t="str">
        <f aca="false">IF(U1220&gt;=Assumptions!$B$10,"Healthy",IF(U1220&gt;=Assumptions!$B$11,"Needs Attention","High Risk"))</f>
        <v>Needs Attention</v>
      </c>
    </row>
    <row r="1221" customFormat="false" ht="15" hidden="false" customHeight="false" outlineLevel="0" collapsed="false">
      <c r="A1221" s="8" t="s">
        <v>2584</v>
      </c>
      <c r="B1221" s="8" t="s">
        <v>2585</v>
      </c>
      <c r="C1221" s="8" t="s">
        <v>51</v>
      </c>
      <c r="D1221" s="8" t="s">
        <v>2027</v>
      </c>
      <c r="E1221" s="8" t="s">
        <v>128</v>
      </c>
      <c r="F1221" s="8" t="s">
        <v>151</v>
      </c>
      <c r="G1221" s="8" t="s">
        <v>185</v>
      </c>
      <c r="H1221" s="15" t="n">
        <v>444</v>
      </c>
      <c r="I1221" s="15" t="n">
        <v>444</v>
      </c>
      <c r="J1221" s="16" t="n">
        <v>0.973</v>
      </c>
      <c r="K1221" s="8" t="n">
        <v>10.7</v>
      </c>
      <c r="L1221" s="8" t="n">
        <v>8</v>
      </c>
      <c r="M1221" s="8" t="n">
        <v>0</v>
      </c>
      <c r="N1221" s="8" t="s">
        <v>120</v>
      </c>
      <c r="O1221" s="15" t="n">
        <f aca="false">H1221*12</f>
        <v>5328</v>
      </c>
      <c r="P1221" s="8" t="n">
        <f aca="false">MIN(100,ROUND(100*J1221/Assumptions!$B$8,0))</f>
        <v>100</v>
      </c>
      <c r="Q1221" s="8" t="n">
        <f aca="false">IF(L1221="",Assumptions!$B$9,L1221*10)</f>
        <v>80</v>
      </c>
      <c r="R1221" s="8" t="n">
        <f aca="false">IF(M1221&lt;=1,Assumptions!$B$12,IF(M1221&lt;=3,Assumptions!$B$13,IF(M1221&lt;=6,Assumptions!$B$14,Assumptions!$B$15)))</f>
        <v>100</v>
      </c>
      <c r="S1221" s="8" t="n">
        <f aca="false">IF(N1221="Completed On Time",Assumptions!$B$16,IF(N1221="Completed Late",Assumptions!$B$17,Assumptions!$B$18))</f>
        <v>100</v>
      </c>
      <c r="T1221" s="8" t="n">
        <f aca="false">IF(I1221=0,Assumptions!$B$20,IF(H1221&gt;I1221,Assumptions!$B$19,IF(H1221=I1221,Assumptions!$B$20,Assumptions!$B$21)))</f>
        <v>70</v>
      </c>
      <c r="U1221" s="8" t="n">
        <f aca="false">ROUND(P1221*Assumptions!$B$2+Q1221*Assumptions!$B$3+R1221*Assumptions!$B$4+S1221*Assumptions!$B$5+T1221*Assumptions!$B$6,0)</f>
        <v>90</v>
      </c>
      <c r="V1221" s="8" t="str">
        <f aca="false">IF(U1221&gt;=Assumptions!$B$10,"Healthy",IF(U1221&gt;=Assumptions!$B$11,"Needs Attention","High Risk"))</f>
        <v>Healthy</v>
      </c>
    </row>
    <row r="1222" customFormat="false" ht="15" hidden="false" customHeight="false" outlineLevel="0" collapsed="false">
      <c r="A1222" s="8" t="s">
        <v>2586</v>
      </c>
      <c r="B1222" s="8" t="s">
        <v>2587</v>
      </c>
      <c r="C1222" s="8" t="s">
        <v>51</v>
      </c>
      <c r="D1222" s="8" t="s">
        <v>2027</v>
      </c>
      <c r="E1222" s="8" t="s">
        <v>117</v>
      </c>
      <c r="F1222" s="8" t="s">
        <v>154</v>
      </c>
      <c r="G1222" s="8" t="s">
        <v>180</v>
      </c>
      <c r="H1222" s="15" t="n">
        <v>432</v>
      </c>
      <c r="I1222" s="15" t="n">
        <v>432</v>
      </c>
      <c r="J1222" s="16" t="n">
        <v>0.815</v>
      </c>
      <c r="K1222" s="8" t="n">
        <v>9</v>
      </c>
      <c r="L1222" s="8" t="n">
        <v>10</v>
      </c>
      <c r="M1222" s="8" t="n">
        <v>1</v>
      </c>
      <c r="N1222" s="8" t="s">
        <v>120</v>
      </c>
      <c r="O1222" s="15" t="n">
        <f aca="false">H1222*12</f>
        <v>5184</v>
      </c>
      <c r="P1222" s="8" t="n">
        <f aca="false">MIN(100,ROUND(100*J1222/Assumptions!$B$8,0))</f>
        <v>91</v>
      </c>
      <c r="Q1222" s="8" t="n">
        <f aca="false">IF(L1222="",Assumptions!$B$9,L1222*10)</f>
        <v>100</v>
      </c>
      <c r="R1222" s="8" t="n">
        <f aca="false">IF(M1222&lt;=1,Assumptions!$B$12,IF(M1222&lt;=3,Assumptions!$B$13,IF(M1222&lt;=6,Assumptions!$B$14,Assumptions!$B$15)))</f>
        <v>100</v>
      </c>
      <c r="S1222" s="8" t="n">
        <f aca="false">IF(N1222="Completed On Time",Assumptions!$B$16,IF(N1222="Completed Late",Assumptions!$B$17,Assumptions!$B$18))</f>
        <v>100</v>
      </c>
      <c r="T1222" s="8" t="n">
        <f aca="false">IF(I1222=0,Assumptions!$B$20,IF(H1222&gt;I1222,Assumptions!$B$19,IF(H1222=I1222,Assumptions!$B$20,Assumptions!$B$21)))</f>
        <v>70</v>
      </c>
      <c r="U1222" s="8" t="n">
        <f aca="false">ROUND(P1222*Assumptions!$B$2+Q1222*Assumptions!$B$3+R1222*Assumptions!$B$4+S1222*Assumptions!$B$5+T1222*Assumptions!$B$6,0)</f>
        <v>91</v>
      </c>
      <c r="V1222" s="8" t="str">
        <f aca="false">IF(U1222&gt;=Assumptions!$B$10,"Healthy",IF(U1222&gt;=Assumptions!$B$11,"Needs Attention","High Risk"))</f>
        <v>Healthy</v>
      </c>
    </row>
    <row r="1223" customFormat="false" ht="15" hidden="false" customHeight="false" outlineLevel="0" collapsed="false">
      <c r="A1223" s="8" t="s">
        <v>2588</v>
      </c>
      <c r="B1223" s="8" t="s">
        <v>2589</v>
      </c>
      <c r="C1223" s="8" t="s">
        <v>51</v>
      </c>
      <c r="D1223" s="8" t="s">
        <v>2027</v>
      </c>
      <c r="E1223" s="8" t="s">
        <v>117</v>
      </c>
      <c r="F1223" s="8" t="s">
        <v>136</v>
      </c>
      <c r="G1223" s="8" t="s">
        <v>185</v>
      </c>
      <c r="H1223" s="15" t="n">
        <v>432</v>
      </c>
      <c r="I1223" s="15" t="n">
        <v>432</v>
      </c>
      <c r="J1223" s="16" t="n">
        <v>0.75</v>
      </c>
      <c r="K1223" s="8" t="n">
        <v>10</v>
      </c>
      <c r="L1223" s="8" t="n">
        <v>6</v>
      </c>
      <c r="M1223" s="8" t="n">
        <v>1</v>
      </c>
      <c r="N1223" s="8" t="s">
        <v>120</v>
      </c>
      <c r="O1223" s="15" t="n">
        <f aca="false">H1223*12</f>
        <v>5184</v>
      </c>
      <c r="P1223" s="8" t="n">
        <f aca="false">MIN(100,ROUND(100*J1223/Assumptions!$B$8,0))</f>
        <v>83</v>
      </c>
      <c r="Q1223" s="8" t="n">
        <f aca="false">IF(L1223="",Assumptions!$B$9,L1223*10)</f>
        <v>60</v>
      </c>
      <c r="R1223" s="8" t="n">
        <f aca="false">IF(M1223&lt;=1,Assumptions!$B$12,IF(M1223&lt;=3,Assumptions!$B$13,IF(M1223&lt;=6,Assumptions!$B$14,Assumptions!$B$15)))</f>
        <v>100</v>
      </c>
      <c r="S1223" s="8" t="n">
        <f aca="false">IF(N1223="Completed On Time",Assumptions!$B$16,IF(N1223="Completed Late",Assumptions!$B$17,Assumptions!$B$18))</f>
        <v>100</v>
      </c>
      <c r="T1223" s="8" t="n">
        <f aca="false">IF(I1223=0,Assumptions!$B$20,IF(H1223&gt;I1223,Assumptions!$B$19,IF(H1223=I1223,Assumptions!$B$20,Assumptions!$B$21)))</f>
        <v>70</v>
      </c>
      <c r="U1223" s="8" t="n">
        <f aca="false">ROUND(P1223*Assumptions!$B$2+Q1223*Assumptions!$B$3+R1223*Assumptions!$B$4+S1223*Assumptions!$B$5+T1223*Assumptions!$B$6,0)</f>
        <v>80</v>
      </c>
      <c r="V1223" s="8" t="str">
        <f aca="false">IF(U1223&gt;=Assumptions!$B$10,"Healthy",IF(U1223&gt;=Assumptions!$B$11,"Needs Attention","High Risk"))</f>
        <v>Healthy</v>
      </c>
    </row>
    <row r="1224" customFormat="false" ht="15" hidden="false" customHeight="false" outlineLevel="0" collapsed="false">
      <c r="A1224" s="8" t="s">
        <v>2590</v>
      </c>
      <c r="B1224" s="8" t="s">
        <v>2591</v>
      </c>
      <c r="C1224" s="8" t="s">
        <v>51</v>
      </c>
      <c r="D1224" s="8" t="s">
        <v>2027</v>
      </c>
      <c r="E1224" s="8" t="s">
        <v>123</v>
      </c>
      <c r="F1224" s="8" t="s">
        <v>154</v>
      </c>
      <c r="G1224" s="8" t="s">
        <v>177</v>
      </c>
      <c r="H1224" s="15" t="n">
        <v>432</v>
      </c>
      <c r="I1224" s="15" t="n">
        <v>432</v>
      </c>
      <c r="J1224" s="16" t="n">
        <v>0.778</v>
      </c>
      <c r="K1224" s="8" t="n">
        <v>9.3</v>
      </c>
      <c r="L1224" s="8" t="n">
        <v>10</v>
      </c>
      <c r="M1224" s="8" t="n">
        <v>2</v>
      </c>
      <c r="N1224" s="8" t="s">
        <v>120</v>
      </c>
      <c r="O1224" s="15" t="n">
        <f aca="false">H1224*12</f>
        <v>5184</v>
      </c>
      <c r="P1224" s="8" t="n">
        <f aca="false">MIN(100,ROUND(100*J1224/Assumptions!$B$8,0))</f>
        <v>86</v>
      </c>
      <c r="Q1224" s="8" t="n">
        <f aca="false">IF(L1224="",Assumptions!$B$9,L1224*10)</f>
        <v>100</v>
      </c>
      <c r="R1224" s="8" t="n">
        <f aca="false">IF(M1224&lt;=1,Assumptions!$B$12,IF(M1224&lt;=3,Assumptions!$B$13,IF(M1224&lt;=6,Assumptions!$B$14,Assumptions!$B$15)))</f>
        <v>75</v>
      </c>
      <c r="S1224" s="8" t="n">
        <f aca="false">IF(N1224="Completed On Time",Assumptions!$B$16,IF(N1224="Completed Late",Assumptions!$B$17,Assumptions!$B$18))</f>
        <v>100</v>
      </c>
      <c r="T1224" s="8" t="n">
        <f aca="false">IF(I1224=0,Assumptions!$B$20,IF(H1224&gt;I1224,Assumptions!$B$19,IF(H1224=I1224,Assumptions!$B$20,Assumptions!$B$21)))</f>
        <v>70</v>
      </c>
      <c r="U1224" s="8" t="n">
        <f aca="false">ROUND(P1224*Assumptions!$B$2+Q1224*Assumptions!$B$3+R1224*Assumptions!$B$4+S1224*Assumptions!$B$5+T1224*Assumptions!$B$6,0)</f>
        <v>85</v>
      </c>
      <c r="V1224" s="8" t="str">
        <f aca="false">IF(U1224&gt;=Assumptions!$B$10,"Healthy",IF(U1224&gt;=Assumptions!$B$11,"Needs Attention","High Risk"))</f>
        <v>Healthy</v>
      </c>
    </row>
    <row r="1225" customFormat="false" ht="15" hidden="false" customHeight="false" outlineLevel="0" collapsed="false">
      <c r="A1225" s="8" t="s">
        <v>2592</v>
      </c>
      <c r="B1225" s="8" t="s">
        <v>2593</v>
      </c>
      <c r="C1225" s="8" t="s">
        <v>51</v>
      </c>
      <c r="D1225" s="8" t="s">
        <v>2027</v>
      </c>
      <c r="E1225" s="8" t="s">
        <v>123</v>
      </c>
      <c r="F1225" s="8" t="s">
        <v>133</v>
      </c>
      <c r="G1225" s="8" t="s">
        <v>140</v>
      </c>
      <c r="H1225" s="15" t="n">
        <v>432</v>
      </c>
      <c r="I1225" s="15" t="n">
        <v>432</v>
      </c>
      <c r="J1225" s="16" t="n">
        <v>0.685</v>
      </c>
      <c r="K1225" s="8" t="n">
        <v>9</v>
      </c>
      <c r="L1225" s="8" t="n">
        <v>8</v>
      </c>
      <c r="M1225" s="8" t="n">
        <v>3</v>
      </c>
      <c r="N1225" s="8" t="s">
        <v>120</v>
      </c>
      <c r="O1225" s="15" t="n">
        <f aca="false">H1225*12</f>
        <v>5184</v>
      </c>
      <c r="P1225" s="8" t="n">
        <f aca="false">MIN(100,ROUND(100*J1225/Assumptions!$B$8,0))</f>
        <v>76</v>
      </c>
      <c r="Q1225" s="8" t="n">
        <f aca="false">IF(L1225="",Assumptions!$B$9,L1225*10)</f>
        <v>80</v>
      </c>
      <c r="R1225" s="8" t="n">
        <f aca="false">IF(M1225&lt;=1,Assumptions!$B$12,IF(M1225&lt;=3,Assumptions!$B$13,IF(M1225&lt;=6,Assumptions!$B$14,Assumptions!$B$15)))</f>
        <v>75</v>
      </c>
      <c r="S1225" s="8" t="n">
        <f aca="false">IF(N1225="Completed On Time",Assumptions!$B$16,IF(N1225="Completed Late",Assumptions!$B$17,Assumptions!$B$18))</f>
        <v>100</v>
      </c>
      <c r="T1225" s="8" t="n">
        <f aca="false">IF(I1225=0,Assumptions!$B$20,IF(H1225&gt;I1225,Assumptions!$B$19,IF(H1225=I1225,Assumptions!$B$20,Assumptions!$B$21)))</f>
        <v>70</v>
      </c>
      <c r="U1225" s="8" t="n">
        <f aca="false">ROUND(P1225*Assumptions!$B$2+Q1225*Assumptions!$B$3+R1225*Assumptions!$B$4+S1225*Assumptions!$B$5+T1225*Assumptions!$B$6,0)</f>
        <v>78</v>
      </c>
      <c r="V1225" s="8" t="str">
        <f aca="false">IF(U1225&gt;=Assumptions!$B$10,"Healthy",IF(U1225&gt;=Assumptions!$B$11,"Needs Attention","High Risk"))</f>
        <v>Needs Attention</v>
      </c>
    </row>
    <row r="1226" customFormat="false" ht="15" hidden="false" customHeight="false" outlineLevel="0" collapsed="false">
      <c r="A1226" s="8" t="s">
        <v>2594</v>
      </c>
      <c r="B1226" s="8" t="s">
        <v>2595</v>
      </c>
      <c r="C1226" s="8" t="s">
        <v>51</v>
      </c>
      <c r="D1226" s="8" t="s">
        <v>2027</v>
      </c>
      <c r="E1226" s="8" t="s">
        <v>123</v>
      </c>
      <c r="F1226" s="8" t="s">
        <v>124</v>
      </c>
      <c r="G1226" s="8" t="s">
        <v>125</v>
      </c>
      <c r="H1226" s="15" t="n">
        <v>432</v>
      </c>
      <c r="I1226" s="15" t="n">
        <v>432</v>
      </c>
      <c r="J1226" s="16" t="n">
        <v>0.769</v>
      </c>
      <c r="K1226" s="8" t="n">
        <v>9.7</v>
      </c>
      <c r="L1226" s="8" t="n">
        <v>8</v>
      </c>
      <c r="M1226" s="8" t="n">
        <v>3</v>
      </c>
      <c r="N1226" s="8" t="s">
        <v>120</v>
      </c>
      <c r="O1226" s="15" t="n">
        <f aca="false">H1226*12</f>
        <v>5184</v>
      </c>
      <c r="P1226" s="8" t="n">
        <f aca="false">MIN(100,ROUND(100*J1226/Assumptions!$B$8,0))</f>
        <v>85</v>
      </c>
      <c r="Q1226" s="8" t="n">
        <f aca="false">IF(L1226="",Assumptions!$B$9,L1226*10)</f>
        <v>80</v>
      </c>
      <c r="R1226" s="8" t="n">
        <f aca="false">IF(M1226&lt;=1,Assumptions!$B$12,IF(M1226&lt;=3,Assumptions!$B$13,IF(M1226&lt;=6,Assumptions!$B$14,Assumptions!$B$15)))</f>
        <v>75</v>
      </c>
      <c r="S1226" s="8" t="n">
        <f aca="false">IF(N1226="Completed On Time",Assumptions!$B$16,IF(N1226="Completed Late",Assumptions!$B$17,Assumptions!$B$18))</f>
        <v>100</v>
      </c>
      <c r="T1226" s="8" t="n">
        <f aca="false">IF(I1226=0,Assumptions!$B$20,IF(H1226&gt;I1226,Assumptions!$B$19,IF(H1226=I1226,Assumptions!$B$20,Assumptions!$B$21)))</f>
        <v>70</v>
      </c>
      <c r="U1226" s="8" t="n">
        <f aca="false">ROUND(P1226*Assumptions!$B$2+Q1226*Assumptions!$B$3+R1226*Assumptions!$B$4+S1226*Assumptions!$B$5+T1226*Assumptions!$B$6,0)</f>
        <v>81</v>
      </c>
      <c r="V1226" s="8" t="str">
        <f aca="false">IF(U1226&gt;=Assumptions!$B$10,"Healthy",IF(U1226&gt;=Assumptions!$B$11,"Needs Attention","High Risk"))</f>
        <v>Healthy</v>
      </c>
    </row>
    <row r="1227" customFormat="false" ht="15" hidden="false" customHeight="false" outlineLevel="0" collapsed="false">
      <c r="A1227" s="8" t="s">
        <v>2596</v>
      </c>
      <c r="B1227" s="8" t="s">
        <v>2597</v>
      </c>
      <c r="C1227" s="8" t="s">
        <v>51</v>
      </c>
      <c r="D1227" s="8" t="s">
        <v>2027</v>
      </c>
      <c r="E1227" s="8" t="s">
        <v>123</v>
      </c>
      <c r="F1227" s="8" t="s">
        <v>154</v>
      </c>
      <c r="G1227" s="8" t="s">
        <v>177</v>
      </c>
      <c r="H1227" s="15" t="n">
        <v>432</v>
      </c>
      <c r="I1227" s="15" t="n">
        <v>432</v>
      </c>
      <c r="J1227" s="16" t="n">
        <v>0.889</v>
      </c>
      <c r="K1227" s="8" t="n">
        <v>11</v>
      </c>
      <c r="L1227" s="8" t="n">
        <v>10</v>
      </c>
      <c r="M1227" s="8" t="n">
        <v>2</v>
      </c>
      <c r="N1227" s="8" t="s">
        <v>120</v>
      </c>
      <c r="O1227" s="15" t="n">
        <f aca="false">H1227*12</f>
        <v>5184</v>
      </c>
      <c r="P1227" s="8" t="n">
        <f aca="false">MIN(100,ROUND(100*J1227/Assumptions!$B$8,0))</f>
        <v>99</v>
      </c>
      <c r="Q1227" s="8" t="n">
        <f aca="false">IF(L1227="",Assumptions!$B$9,L1227*10)</f>
        <v>100</v>
      </c>
      <c r="R1227" s="8" t="n">
        <f aca="false">IF(M1227&lt;=1,Assumptions!$B$12,IF(M1227&lt;=3,Assumptions!$B$13,IF(M1227&lt;=6,Assumptions!$B$14,Assumptions!$B$15)))</f>
        <v>75</v>
      </c>
      <c r="S1227" s="8" t="n">
        <f aca="false">IF(N1227="Completed On Time",Assumptions!$B$16,IF(N1227="Completed Late",Assumptions!$B$17,Assumptions!$B$18))</f>
        <v>100</v>
      </c>
      <c r="T1227" s="8" t="n">
        <f aca="false">IF(I1227=0,Assumptions!$B$20,IF(H1227&gt;I1227,Assumptions!$B$19,IF(H1227=I1227,Assumptions!$B$20,Assumptions!$B$21)))</f>
        <v>70</v>
      </c>
      <c r="U1227" s="8" t="n">
        <f aca="false">ROUND(P1227*Assumptions!$B$2+Q1227*Assumptions!$B$3+R1227*Assumptions!$B$4+S1227*Assumptions!$B$5+T1227*Assumptions!$B$6,0)</f>
        <v>90</v>
      </c>
      <c r="V1227" s="8" t="str">
        <f aca="false">IF(U1227&gt;=Assumptions!$B$10,"Healthy",IF(U1227&gt;=Assumptions!$B$11,"Needs Attention","High Risk"))</f>
        <v>Healthy</v>
      </c>
    </row>
    <row r="1228" customFormat="false" ht="15" hidden="false" customHeight="false" outlineLevel="0" collapsed="false">
      <c r="A1228" s="8" t="s">
        <v>2598</v>
      </c>
      <c r="B1228" s="8" t="s">
        <v>2599</v>
      </c>
      <c r="C1228" s="8" t="s">
        <v>51</v>
      </c>
      <c r="D1228" s="8" t="s">
        <v>2027</v>
      </c>
      <c r="E1228" s="8" t="s">
        <v>123</v>
      </c>
      <c r="F1228" s="8" t="s">
        <v>223</v>
      </c>
      <c r="G1228" s="8" t="s">
        <v>119</v>
      </c>
      <c r="H1228" s="15" t="n">
        <v>432</v>
      </c>
      <c r="I1228" s="15" t="n">
        <v>432</v>
      </c>
      <c r="J1228" s="16" t="n">
        <v>0.722</v>
      </c>
      <c r="K1228" s="8" t="n">
        <v>7</v>
      </c>
      <c r="L1228" s="8" t="n">
        <v>8</v>
      </c>
      <c r="M1228" s="8" t="n">
        <v>0</v>
      </c>
      <c r="N1228" s="8" t="s">
        <v>120</v>
      </c>
      <c r="O1228" s="15" t="n">
        <f aca="false">H1228*12</f>
        <v>5184</v>
      </c>
      <c r="P1228" s="8" t="n">
        <f aca="false">MIN(100,ROUND(100*J1228/Assumptions!$B$8,0))</f>
        <v>80</v>
      </c>
      <c r="Q1228" s="8" t="n">
        <f aca="false">IF(L1228="",Assumptions!$B$9,L1228*10)</f>
        <v>80</v>
      </c>
      <c r="R1228" s="8" t="n">
        <f aca="false">IF(M1228&lt;=1,Assumptions!$B$12,IF(M1228&lt;=3,Assumptions!$B$13,IF(M1228&lt;=6,Assumptions!$B$14,Assumptions!$B$15)))</f>
        <v>100</v>
      </c>
      <c r="S1228" s="8" t="n">
        <f aca="false">IF(N1228="Completed On Time",Assumptions!$B$16,IF(N1228="Completed Late",Assumptions!$B$17,Assumptions!$B$18))</f>
        <v>100</v>
      </c>
      <c r="T1228" s="8" t="n">
        <f aca="false">IF(I1228=0,Assumptions!$B$20,IF(H1228&gt;I1228,Assumptions!$B$19,IF(H1228=I1228,Assumptions!$B$20,Assumptions!$B$21)))</f>
        <v>70</v>
      </c>
      <c r="U1228" s="8" t="n">
        <f aca="false">ROUND(P1228*Assumptions!$B$2+Q1228*Assumptions!$B$3+R1228*Assumptions!$B$4+S1228*Assumptions!$B$5+T1228*Assumptions!$B$6,0)</f>
        <v>83</v>
      </c>
      <c r="V1228" s="8" t="str">
        <f aca="false">IF(U1228&gt;=Assumptions!$B$10,"Healthy",IF(U1228&gt;=Assumptions!$B$11,"Needs Attention","High Risk"))</f>
        <v>Healthy</v>
      </c>
    </row>
    <row r="1229" customFormat="false" ht="15" hidden="false" customHeight="false" outlineLevel="0" collapsed="false">
      <c r="A1229" s="8" t="s">
        <v>2600</v>
      </c>
      <c r="B1229" s="8" t="s">
        <v>2601</v>
      </c>
      <c r="C1229" s="8" t="s">
        <v>51</v>
      </c>
      <c r="D1229" s="8" t="s">
        <v>2027</v>
      </c>
      <c r="E1229" s="8" t="s">
        <v>123</v>
      </c>
      <c r="F1229" s="8" t="s">
        <v>154</v>
      </c>
      <c r="G1229" s="8" t="s">
        <v>129</v>
      </c>
      <c r="H1229" s="15" t="n">
        <v>432</v>
      </c>
      <c r="I1229" s="15" t="n">
        <v>432</v>
      </c>
      <c r="J1229" s="16" t="n">
        <v>0.639</v>
      </c>
      <c r="K1229" s="8" t="n">
        <v>7.7</v>
      </c>
      <c r="L1229" s="8" t="n">
        <v>8</v>
      </c>
      <c r="M1229" s="8" t="n">
        <v>3</v>
      </c>
      <c r="N1229" s="8" t="s">
        <v>120</v>
      </c>
      <c r="O1229" s="15" t="n">
        <f aca="false">H1229*12</f>
        <v>5184</v>
      </c>
      <c r="P1229" s="8" t="n">
        <f aca="false">MIN(100,ROUND(100*J1229/Assumptions!$B$8,0))</f>
        <v>71</v>
      </c>
      <c r="Q1229" s="8" t="n">
        <f aca="false">IF(L1229="",Assumptions!$B$9,L1229*10)</f>
        <v>80</v>
      </c>
      <c r="R1229" s="8" t="n">
        <f aca="false">IF(M1229&lt;=1,Assumptions!$B$12,IF(M1229&lt;=3,Assumptions!$B$13,IF(M1229&lt;=6,Assumptions!$B$14,Assumptions!$B$15)))</f>
        <v>75</v>
      </c>
      <c r="S1229" s="8" t="n">
        <f aca="false">IF(N1229="Completed On Time",Assumptions!$B$16,IF(N1229="Completed Late",Assumptions!$B$17,Assumptions!$B$18))</f>
        <v>100</v>
      </c>
      <c r="T1229" s="8" t="n">
        <f aca="false">IF(I1229=0,Assumptions!$B$20,IF(H1229&gt;I1229,Assumptions!$B$19,IF(H1229=I1229,Assumptions!$B$20,Assumptions!$B$21)))</f>
        <v>70</v>
      </c>
      <c r="U1229" s="8" t="n">
        <f aca="false">ROUND(P1229*Assumptions!$B$2+Q1229*Assumptions!$B$3+R1229*Assumptions!$B$4+S1229*Assumptions!$B$5+T1229*Assumptions!$B$6,0)</f>
        <v>76</v>
      </c>
      <c r="V1229" s="8" t="str">
        <f aca="false">IF(U1229&gt;=Assumptions!$B$10,"Healthy",IF(U1229&gt;=Assumptions!$B$11,"Needs Attention","High Risk"))</f>
        <v>Needs Attention</v>
      </c>
    </row>
    <row r="1230" customFormat="false" ht="15" hidden="false" customHeight="false" outlineLevel="0" collapsed="false">
      <c r="A1230" s="8" t="s">
        <v>2602</v>
      </c>
      <c r="B1230" s="8" t="s">
        <v>2603</v>
      </c>
      <c r="C1230" s="8" t="s">
        <v>51</v>
      </c>
      <c r="D1230" s="8" t="s">
        <v>2027</v>
      </c>
      <c r="E1230" s="8" t="s">
        <v>128</v>
      </c>
      <c r="F1230" s="8" t="s">
        <v>133</v>
      </c>
      <c r="G1230" s="8" t="s">
        <v>119</v>
      </c>
      <c r="H1230" s="15" t="n">
        <v>432</v>
      </c>
      <c r="I1230" s="15" t="n">
        <v>432</v>
      </c>
      <c r="J1230" s="16" t="n">
        <v>0.796</v>
      </c>
      <c r="K1230" s="8" t="n">
        <v>9</v>
      </c>
      <c r="L1230" s="8" t="n">
        <v>7</v>
      </c>
      <c r="M1230" s="8" t="n">
        <v>3</v>
      </c>
      <c r="N1230" s="8" t="s">
        <v>120</v>
      </c>
      <c r="O1230" s="15" t="n">
        <f aca="false">H1230*12</f>
        <v>5184</v>
      </c>
      <c r="P1230" s="8" t="n">
        <f aca="false">MIN(100,ROUND(100*J1230/Assumptions!$B$8,0))</f>
        <v>88</v>
      </c>
      <c r="Q1230" s="8" t="n">
        <f aca="false">IF(L1230="",Assumptions!$B$9,L1230*10)</f>
        <v>70</v>
      </c>
      <c r="R1230" s="8" t="n">
        <f aca="false">IF(M1230&lt;=1,Assumptions!$B$12,IF(M1230&lt;=3,Assumptions!$B$13,IF(M1230&lt;=6,Assumptions!$B$14,Assumptions!$B$15)))</f>
        <v>75</v>
      </c>
      <c r="S1230" s="8" t="n">
        <f aca="false">IF(N1230="Completed On Time",Assumptions!$B$16,IF(N1230="Completed Late",Assumptions!$B$17,Assumptions!$B$18))</f>
        <v>100</v>
      </c>
      <c r="T1230" s="8" t="n">
        <f aca="false">IF(I1230=0,Assumptions!$B$20,IF(H1230&gt;I1230,Assumptions!$B$19,IF(H1230=I1230,Assumptions!$B$20,Assumptions!$B$21)))</f>
        <v>70</v>
      </c>
      <c r="U1230" s="8" t="n">
        <f aca="false">ROUND(P1230*Assumptions!$B$2+Q1230*Assumptions!$B$3+R1230*Assumptions!$B$4+S1230*Assumptions!$B$5+T1230*Assumptions!$B$6,0)</f>
        <v>80</v>
      </c>
      <c r="V1230" s="8" t="str">
        <f aca="false">IF(U1230&gt;=Assumptions!$B$10,"Healthy",IF(U1230&gt;=Assumptions!$B$11,"Needs Attention","High Risk"))</f>
        <v>Healthy</v>
      </c>
    </row>
    <row r="1231" customFormat="false" ht="15" hidden="false" customHeight="false" outlineLevel="0" collapsed="false">
      <c r="A1231" s="8" t="s">
        <v>2604</v>
      </c>
      <c r="B1231" s="8" t="s">
        <v>2605</v>
      </c>
      <c r="C1231" s="8" t="s">
        <v>51</v>
      </c>
      <c r="D1231" s="8" t="s">
        <v>2027</v>
      </c>
      <c r="E1231" s="8" t="s">
        <v>123</v>
      </c>
      <c r="F1231" s="8" t="s">
        <v>223</v>
      </c>
      <c r="G1231" s="8" t="s">
        <v>180</v>
      </c>
      <c r="H1231" s="15" t="n">
        <v>432</v>
      </c>
      <c r="I1231" s="15" t="n">
        <v>432</v>
      </c>
      <c r="J1231" s="16" t="n">
        <v>0.704</v>
      </c>
      <c r="K1231" s="8" t="n">
        <v>10.3</v>
      </c>
      <c r="L1231" s="8" t="n">
        <v>10</v>
      </c>
      <c r="M1231" s="8" t="n">
        <v>1</v>
      </c>
      <c r="N1231" s="8" t="s">
        <v>120</v>
      </c>
      <c r="O1231" s="15" t="n">
        <f aca="false">H1231*12</f>
        <v>5184</v>
      </c>
      <c r="P1231" s="8" t="n">
        <f aca="false">MIN(100,ROUND(100*J1231/Assumptions!$B$8,0))</f>
        <v>78</v>
      </c>
      <c r="Q1231" s="8" t="n">
        <f aca="false">IF(L1231="",Assumptions!$B$9,L1231*10)</f>
        <v>100</v>
      </c>
      <c r="R1231" s="8" t="n">
        <f aca="false">IF(M1231&lt;=1,Assumptions!$B$12,IF(M1231&lt;=3,Assumptions!$B$13,IF(M1231&lt;=6,Assumptions!$B$14,Assumptions!$B$15)))</f>
        <v>100</v>
      </c>
      <c r="S1231" s="8" t="n">
        <f aca="false">IF(N1231="Completed On Time",Assumptions!$B$16,IF(N1231="Completed Late",Assumptions!$B$17,Assumptions!$B$18))</f>
        <v>100</v>
      </c>
      <c r="T1231" s="8" t="n">
        <f aca="false">IF(I1231=0,Assumptions!$B$20,IF(H1231&gt;I1231,Assumptions!$B$19,IF(H1231=I1231,Assumptions!$B$20,Assumptions!$B$21)))</f>
        <v>70</v>
      </c>
      <c r="U1231" s="8" t="n">
        <f aca="false">ROUND(P1231*Assumptions!$B$2+Q1231*Assumptions!$B$3+R1231*Assumptions!$B$4+S1231*Assumptions!$B$5+T1231*Assumptions!$B$6,0)</f>
        <v>86</v>
      </c>
      <c r="V1231" s="8" t="str">
        <f aca="false">IF(U1231&gt;=Assumptions!$B$10,"Healthy",IF(U1231&gt;=Assumptions!$B$11,"Needs Attention","High Risk"))</f>
        <v>Healthy</v>
      </c>
    </row>
    <row r="1232" customFormat="false" ht="15" hidden="false" customHeight="false" outlineLevel="0" collapsed="false">
      <c r="A1232" s="8" t="s">
        <v>2606</v>
      </c>
      <c r="B1232" s="8" t="s">
        <v>2607</v>
      </c>
      <c r="C1232" s="8" t="s">
        <v>51</v>
      </c>
      <c r="D1232" s="8" t="s">
        <v>2027</v>
      </c>
      <c r="E1232" s="8" t="s">
        <v>132</v>
      </c>
      <c r="F1232" s="8" t="s">
        <v>154</v>
      </c>
      <c r="G1232" s="8" t="s">
        <v>144</v>
      </c>
      <c r="H1232" s="15" t="n">
        <v>432</v>
      </c>
      <c r="I1232" s="15" t="n">
        <v>432</v>
      </c>
      <c r="J1232" s="16" t="n">
        <v>0.75</v>
      </c>
      <c r="K1232" s="8" t="n">
        <v>9.3</v>
      </c>
      <c r="L1232" s="8" t="n">
        <v>9</v>
      </c>
      <c r="M1232" s="8" t="n">
        <v>2</v>
      </c>
      <c r="N1232" s="8" t="s">
        <v>120</v>
      </c>
      <c r="O1232" s="15" t="n">
        <f aca="false">H1232*12</f>
        <v>5184</v>
      </c>
      <c r="P1232" s="8" t="n">
        <f aca="false">MIN(100,ROUND(100*J1232/Assumptions!$B$8,0))</f>
        <v>83</v>
      </c>
      <c r="Q1232" s="8" t="n">
        <f aca="false">IF(L1232="",Assumptions!$B$9,L1232*10)</f>
        <v>90</v>
      </c>
      <c r="R1232" s="8" t="n">
        <f aca="false">IF(M1232&lt;=1,Assumptions!$B$12,IF(M1232&lt;=3,Assumptions!$B$13,IF(M1232&lt;=6,Assumptions!$B$14,Assumptions!$B$15)))</f>
        <v>75</v>
      </c>
      <c r="S1232" s="8" t="n">
        <f aca="false">IF(N1232="Completed On Time",Assumptions!$B$16,IF(N1232="Completed Late",Assumptions!$B$17,Assumptions!$B$18))</f>
        <v>100</v>
      </c>
      <c r="T1232" s="8" t="n">
        <f aca="false">IF(I1232=0,Assumptions!$B$20,IF(H1232&gt;I1232,Assumptions!$B$19,IF(H1232=I1232,Assumptions!$B$20,Assumptions!$B$21)))</f>
        <v>70</v>
      </c>
      <c r="U1232" s="8" t="n">
        <f aca="false">ROUND(P1232*Assumptions!$B$2+Q1232*Assumptions!$B$3+R1232*Assumptions!$B$4+S1232*Assumptions!$B$5+T1232*Assumptions!$B$6,0)</f>
        <v>82</v>
      </c>
      <c r="V1232" s="8" t="str">
        <f aca="false">IF(U1232&gt;=Assumptions!$B$10,"Healthy",IF(U1232&gt;=Assumptions!$B$11,"Needs Attention","High Risk"))</f>
        <v>Healthy</v>
      </c>
    </row>
    <row r="1233" customFormat="false" ht="15" hidden="false" customHeight="false" outlineLevel="0" collapsed="false">
      <c r="A1233" s="8" t="s">
        <v>2608</v>
      </c>
      <c r="B1233" s="8" t="s">
        <v>2609</v>
      </c>
      <c r="C1233" s="8" t="s">
        <v>51</v>
      </c>
      <c r="D1233" s="8" t="s">
        <v>2027</v>
      </c>
      <c r="E1233" s="8" t="s">
        <v>132</v>
      </c>
      <c r="F1233" s="8" t="s">
        <v>223</v>
      </c>
      <c r="G1233" s="8" t="s">
        <v>137</v>
      </c>
      <c r="H1233" s="15" t="n">
        <v>432</v>
      </c>
      <c r="I1233" s="15" t="n">
        <v>432</v>
      </c>
      <c r="J1233" s="16" t="n">
        <v>0.611</v>
      </c>
      <c r="K1233" s="8" t="n">
        <v>7.7</v>
      </c>
      <c r="L1233" s="8" t="n">
        <v>6</v>
      </c>
      <c r="M1233" s="8" t="n">
        <v>1</v>
      </c>
      <c r="N1233" s="8" t="s">
        <v>120</v>
      </c>
      <c r="O1233" s="15" t="n">
        <f aca="false">H1233*12</f>
        <v>5184</v>
      </c>
      <c r="P1233" s="8" t="n">
        <f aca="false">MIN(100,ROUND(100*J1233/Assumptions!$B$8,0))</f>
        <v>68</v>
      </c>
      <c r="Q1233" s="8" t="n">
        <f aca="false">IF(L1233="",Assumptions!$B$9,L1233*10)</f>
        <v>60</v>
      </c>
      <c r="R1233" s="8" t="n">
        <f aca="false">IF(M1233&lt;=1,Assumptions!$B$12,IF(M1233&lt;=3,Assumptions!$B$13,IF(M1233&lt;=6,Assumptions!$B$14,Assumptions!$B$15)))</f>
        <v>100</v>
      </c>
      <c r="S1233" s="8" t="n">
        <f aca="false">IF(N1233="Completed On Time",Assumptions!$B$16,IF(N1233="Completed Late",Assumptions!$B$17,Assumptions!$B$18))</f>
        <v>100</v>
      </c>
      <c r="T1233" s="8" t="n">
        <f aca="false">IF(I1233=0,Assumptions!$B$20,IF(H1233&gt;I1233,Assumptions!$B$19,IF(H1233=I1233,Assumptions!$B$20,Assumptions!$B$21)))</f>
        <v>70</v>
      </c>
      <c r="U1233" s="8" t="n">
        <f aca="false">ROUND(P1233*Assumptions!$B$2+Q1233*Assumptions!$B$3+R1233*Assumptions!$B$4+S1233*Assumptions!$B$5+T1233*Assumptions!$B$6,0)</f>
        <v>75</v>
      </c>
      <c r="V1233" s="8" t="str">
        <f aca="false">IF(U1233&gt;=Assumptions!$B$10,"Healthy",IF(U1233&gt;=Assumptions!$B$11,"Needs Attention","High Risk"))</f>
        <v>Needs Attention</v>
      </c>
    </row>
    <row r="1234" customFormat="false" ht="15" hidden="false" customHeight="false" outlineLevel="0" collapsed="false">
      <c r="A1234" s="8" t="s">
        <v>2610</v>
      </c>
      <c r="B1234" s="8" t="s">
        <v>2611</v>
      </c>
      <c r="C1234" s="8" t="s">
        <v>51</v>
      </c>
      <c r="D1234" s="8" t="s">
        <v>2027</v>
      </c>
      <c r="E1234" s="8" t="s">
        <v>132</v>
      </c>
      <c r="F1234" s="8" t="s">
        <v>124</v>
      </c>
      <c r="G1234" s="8" t="s">
        <v>140</v>
      </c>
      <c r="H1234" s="15" t="n">
        <v>432</v>
      </c>
      <c r="I1234" s="15" t="n">
        <v>432</v>
      </c>
      <c r="J1234" s="16" t="n">
        <v>0.639</v>
      </c>
      <c r="K1234" s="8" t="n">
        <v>6.3</v>
      </c>
      <c r="L1234" s="8" t="n">
        <v>6</v>
      </c>
      <c r="M1234" s="8" t="n">
        <v>1</v>
      </c>
      <c r="N1234" s="8" t="s">
        <v>120</v>
      </c>
      <c r="O1234" s="15" t="n">
        <f aca="false">H1234*12</f>
        <v>5184</v>
      </c>
      <c r="P1234" s="8" t="n">
        <f aca="false">MIN(100,ROUND(100*J1234/Assumptions!$B$8,0))</f>
        <v>71</v>
      </c>
      <c r="Q1234" s="8" t="n">
        <f aca="false">IF(L1234="",Assumptions!$B$9,L1234*10)</f>
        <v>60</v>
      </c>
      <c r="R1234" s="8" t="n">
        <f aca="false">IF(M1234&lt;=1,Assumptions!$B$12,IF(M1234&lt;=3,Assumptions!$B$13,IF(M1234&lt;=6,Assumptions!$B$14,Assumptions!$B$15)))</f>
        <v>100</v>
      </c>
      <c r="S1234" s="8" t="n">
        <f aca="false">IF(N1234="Completed On Time",Assumptions!$B$16,IF(N1234="Completed Late",Assumptions!$B$17,Assumptions!$B$18))</f>
        <v>100</v>
      </c>
      <c r="T1234" s="8" t="n">
        <f aca="false">IF(I1234=0,Assumptions!$B$20,IF(H1234&gt;I1234,Assumptions!$B$19,IF(H1234=I1234,Assumptions!$B$20,Assumptions!$B$21)))</f>
        <v>70</v>
      </c>
      <c r="U1234" s="8" t="n">
        <f aca="false">ROUND(P1234*Assumptions!$B$2+Q1234*Assumptions!$B$3+R1234*Assumptions!$B$4+S1234*Assumptions!$B$5+T1234*Assumptions!$B$6,0)</f>
        <v>76</v>
      </c>
      <c r="V1234" s="8" t="str">
        <f aca="false">IF(U1234&gt;=Assumptions!$B$10,"Healthy",IF(U1234&gt;=Assumptions!$B$11,"Needs Attention","High Risk"))</f>
        <v>Needs Attention</v>
      </c>
    </row>
    <row r="1235" customFormat="false" ht="15" hidden="false" customHeight="false" outlineLevel="0" collapsed="false">
      <c r="A1235" s="8" t="s">
        <v>2612</v>
      </c>
      <c r="B1235" s="8" t="s">
        <v>2613</v>
      </c>
      <c r="C1235" s="8" t="s">
        <v>51</v>
      </c>
      <c r="D1235" s="8" t="s">
        <v>2027</v>
      </c>
      <c r="E1235" s="8" t="s">
        <v>132</v>
      </c>
      <c r="F1235" s="8" t="s">
        <v>124</v>
      </c>
      <c r="G1235" s="8" t="s">
        <v>140</v>
      </c>
      <c r="H1235" s="15" t="n">
        <v>432</v>
      </c>
      <c r="I1235" s="15" t="n">
        <v>432</v>
      </c>
      <c r="J1235" s="16" t="n">
        <v>0.843</v>
      </c>
      <c r="K1235" s="8" t="n">
        <v>10.3</v>
      </c>
      <c r="L1235" s="8" t="n">
        <v>8</v>
      </c>
      <c r="M1235" s="8" t="n">
        <v>2</v>
      </c>
      <c r="N1235" s="8" t="s">
        <v>120</v>
      </c>
      <c r="O1235" s="15" t="n">
        <f aca="false">H1235*12</f>
        <v>5184</v>
      </c>
      <c r="P1235" s="8" t="n">
        <f aca="false">MIN(100,ROUND(100*J1235/Assumptions!$B$8,0))</f>
        <v>94</v>
      </c>
      <c r="Q1235" s="8" t="n">
        <f aca="false">IF(L1235="",Assumptions!$B$9,L1235*10)</f>
        <v>80</v>
      </c>
      <c r="R1235" s="8" t="n">
        <f aca="false">IF(M1235&lt;=1,Assumptions!$B$12,IF(M1235&lt;=3,Assumptions!$B$13,IF(M1235&lt;=6,Assumptions!$B$14,Assumptions!$B$15)))</f>
        <v>75</v>
      </c>
      <c r="S1235" s="8" t="n">
        <f aca="false">IF(N1235="Completed On Time",Assumptions!$B$16,IF(N1235="Completed Late",Assumptions!$B$17,Assumptions!$B$18))</f>
        <v>100</v>
      </c>
      <c r="T1235" s="8" t="n">
        <f aca="false">IF(I1235=0,Assumptions!$B$20,IF(H1235&gt;I1235,Assumptions!$B$19,IF(H1235=I1235,Assumptions!$B$20,Assumptions!$B$21)))</f>
        <v>70</v>
      </c>
      <c r="U1235" s="8" t="n">
        <f aca="false">ROUND(P1235*Assumptions!$B$2+Q1235*Assumptions!$B$3+R1235*Assumptions!$B$4+S1235*Assumptions!$B$5+T1235*Assumptions!$B$6,0)</f>
        <v>84</v>
      </c>
      <c r="V1235" s="8" t="str">
        <f aca="false">IF(U1235&gt;=Assumptions!$B$10,"Healthy",IF(U1235&gt;=Assumptions!$B$11,"Needs Attention","High Risk"))</f>
        <v>Healthy</v>
      </c>
    </row>
    <row r="1236" customFormat="false" ht="15" hidden="false" customHeight="false" outlineLevel="0" collapsed="false">
      <c r="A1236" s="8" t="s">
        <v>2614</v>
      </c>
      <c r="B1236" s="8" t="s">
        <v>2615</v>
      </c>
      <c r="C1236" s="8" t="s">
        <v>51</v>
      </c>
      <c r="D1236" s="8" t="s">
        <v>2027</v>
      </c>
      <c r="E1236" s="8" t="s">
        <v>123</v>
      </c>
      <c r="F1236" s="8" t="s">
        <v>143</v>
      </c>
      <c r="G1236" s="8" t="s">
        <v>119</v>
      </c>
      <c r="H1236" s="15" t="n">
        <v>432</v>
      </c>
      <c r="I1236" s="15" t="n">
        <v>432</v>
      </c>
      <c r="J1236" s="16" t="n">
        <v>0.676</v>
      </c>
      <c r="K1236" s="8" t="n">
        <v>7.3</v>
      </c>
      <c r="L1236" s="8" t="n">
        <v>7</v>
      </c>
      <c r="M1236" s="8" t="n">
        <v>6</v>
      </c>
      <c r="N1236" s="8" t="s">
        <v>120</v>
      </c>
      <c r="O1236" s="15" t="n">
        <f aca="false">H1236*12</f>
        <v>5184</v>
      </c>
      <c r="P1236" s="8" t="n">
        <f aca="false">MIN(100,ROUND(100*J1236/Assumptions!$B$8,0))</f>
        <v>75</v>
      </c>
      <c r="Q1236" s="8" t="n">
        <f aca="false">IF(L1236="",Assumptions!$B$9,L1236*10)</f>
        <v>70</v>
      </c>
      <c r="R1236" s="8" t="n">
        <f aca="false">IF(M1236&lt;=1,Assumptions!$B$12,IF(M1236&lt;=3,Assumptions!$B$13,IF(M1236&lt;=6,Assumptions!$B$14,Assumptions!$B$15)))</f>
        <v>50</v>
      </c>
      <c r="S1236" s="8" t="n">
        <f aca="false">IF(N1236="Completed On Time",Assumptions!$B$16,IF(N1236="Completed Late",Assumptions!$B$17,Assumptions!$B$18))</f>
        <v>100</v>
      </c>
      <c r="T1236" s="8" t="n">
        <f aca="false">IF(I1236=0,Assumptions!$B$20,IF(H1236&gt;I1236,Assumptions!$B$19,IF(H1236=I1236,Assumptions!$B$20,Assumptions!$B$21)))</f>
        <v>70</v>
      </c>
      <c r="U1236" s="8" t="n">
        <f aca="false">ROUND(P1236*Assumptions!$B$2+Q1236*Assumptions!$B$3+R1236*Assumptions!$B$4+S1236*Assumptions!$B$5+T1236*Assumptions!$B$6,0)</f>
        <v>72</v>
      </c>
      <c r="V1236" s="8" t="str">
        <f aca="false">IF(U1236&gt;=Assumptions!$B$10,"Healthy",IF(U1236&gt;=Assumptions!$B$11,"Needs Attention","High Risk"))</f>
        <v>Needs Attention</v>
      </c>
    </row>
    <row r="1237" customFormat="false" ht="15" hidden="false" customHeight="false" outlineLevel="0" collapsed="false">
      <c r="A1237" s="8" t="s">
        <v>2616</v>
      </c>
      <c r="B1237" s="8" t="s">
        <v>2617</v>
      </c>
      <c r="C1237" s="8" t="s">
        <v>51</v>
      </c>
      <c r="D1237" s="8" t="s">
        <v>2027</v>
      </c>
      <c r="E1237" s="8" t="s">
        <v>132</v>
      </c>
      <c r="F1237" s="8" t="s">
        <v>133</v>
      </c>
      <c r="G1237" s="8" t="s">
        <v>129</v>
      </c>
      <c r="H1237" s="15" t="n">
        <v>432</v>
      </c>
      <c r="I1237" s="15" t="n">
        <v>432</v>
      </c>
      <c r="J1237" s="16" t="n">
        <v>0.704</v>
      </c>
      <c r="K1237" s="8" t="n">
        <v>9</v>
      </c>
      <c r="L1237" s="8" t="n">
        <v>8</v>
      </c>
      <c r="M1237" s="8" t="n">
        <v>2</v>
      </c>
      <c r="N1237" s="8" t="s">
        <v>120</v>
      </c>
      <c r="O1237" s="15" t="n">
        <f aca="false">H1237*12</f>
        <v>5184</v>
      </c>
      <c r="P1237" s="8" t="n">
        <f aca="false">MIN(100,ROUND(100*J1237/Assumptions!$B$8,0))</f>
        <v>78</v>
      </c>
      <c r="Q1237" s="8" t="n">
        <f aca="false">IF(L1237="",Assumptions!$B$9,L1237*10)</f>
        <v>80</v>
      </c>
      <c r="R1237" s="8" t="n">
        <f aca="false">IF(M1237&lt;=1,Assumptions!$B$12,IF(M1237&lt;=3,Assumptions!$B$13,IF(M1237&lt;=6,Assumptions!$B$14,Assumptions!$B$15)))</f>
        <v>75</v>
      </c>
      <c r="S1237" s="8" t="n">
        <f aca="false">IF(N1237="Completed On Time",Assumptions!$B$16,IF(N1237="Completed Late",Assumptions!$B$17,Assumptions!$B$18))</f>
        <v>100</v>
      </c>
      <c r="T1237" s="8" t="n">
        <f aca="false">IF(I1237=0,Assumptions!$B$20,IF(H1237&gt;I1237,Assumptions!$B$19,IF(H1237=I1237,Assumptions!$B$20,Assumptions!$B$21)))</f>
        <v>70</v>
      </c>
      <c r="U1237" s="8" t="n">
        <f aca="false">ROUND(P1237*Assumptions!$B$2+Q1237*Assumptions!$B$3+R1237*Assumptions!$B$4+S1237*Assumptions!$B$5+T1237*Assumptions!$B$6,0)</f>
        <v>79</v>
      </c>
      <c r="V1237" s="8" t="str">
        <f aca="false">IF(U1237&gt;=Assumptions!$B$10,"Healthy",IF(U1237&gt;=Assumptions!$B$11,"Needs Attention","High Risk"))</f>
        <v>Needs Attention</v>
      </c>
    </row>
    <row r="1238" customFormat="false" ht="15" hidden="false" customHeight="false" outlineLevel="0" collapsed="false">
      <c r="A1238" s="8" t="s">
        <v>2618</v>
      </c>
      <c r="B1238" s="8" t="s">
        <v>2619</v>
      </c>
      <c r="C1238" s="8" t="s">
        <v>51</v>
      </c>
      <c r="D1238" s="8" t="s">
        <v>2027</v>
      </c>
      <c r="E1238" s="8" t="s">
        <v>123</v>
      </c>
      <c r="F1238" s="8" t="s">
        <v>190</v>
      </c>
      <c r="G1238" s="8" t="s">
        <v>147</v>
      </c>
      <c r="H1238" s="15" t="n">
        <v>432</v>
      </c>
      <c r="I1238" s="15" t="n">
        <v>432</v>
      </c>
      <c r="J1238" s="16" t="n">
        <v>0.907</v>
      </c>
      <c r="K1238" s="8" t="n">
        <v>10</v>
      </c>
      <c r="L1238" s="8" t="n">
        <v>10</v>
      </c>
      <c r="M1238" s="8" t="n">
        <v>3</v>
      </c>
      <c r="N1238" s="8" t="s">
        <v>120</v>
      </c>
      <c r="O1238" s="15" t="n">
        <f aca="false">H1238*12</f>
        <v>5184</v>
      </c>
      <c r="P1238" s="8" t="n">
        <f aca="false">MIN(100,ROUND(100*J1238/Assumptions!$B$8,0))</f>
        <v>100</v>
      </c>
      <c r="Q1238" s="8" t="n">
        <f aca="false">IF(L1238="",Assumptions!$B$9,L1238*10)</f>
        <v>100</v>
      </c>
      <c r="R1238" s="8" t="n">
        <f aca="false">IF(M1238&lt;=1,Assumptions!$B$12,IF(M1238&lt;=3,Assumptions!$B$13,IF(M1238&lt;=6,Assumptions!$B$14,Assumptions!$B$15)))</f>
        <v>75</v>
      </c>
      <c r="S1238" s="8" t="n">
        <f aca="false">IF(N1238="Completed On Time",Assumptions!$B$16,IF(N1238="Completed Late",Assumptions!$B$17,Assumptions!$B$18))</f>
        <v>100</v>
      </c>
      <c r="T1238" s="8" t="n">
        <f aca="false">IF(I1238=0,Assumptions!$B$20,IF(H1238&gt;I1238,Assumptions!$B$19,IF(H1238=I1238,Assumptions!$B$20,Assumptions!$B$21)))</f>
        <v>70</v>
      </c>
      <c r="U1238" s="8" t="n">
        <f aca="false">ROUND(P1238*Assumptions!$B$2+Q1238*Assumptions!$B$3+R1238*Assumptions!$B$4+S1238*Assumptions!$B$5+T1238*Assumptions!$B$6,0)</f>
        <v>90</v>
      </c>
      <c r="V1238" s="8" t="str">
        <f aca="false">IF(U1238&gt;=Assumptions!$B$10,"Healthy",IF(U1238&gt;=Assumptions!$B$11,"Needs Attention","High Risk"))</f>
        <v>Healthy</v>
      </c>
    </row>
    <row r="1239" customFormat="false" ht="15" hidden="false" customHeight="false" outlineLevel="0" collapsed="false">
      <c r="A1239" s="8" t="s">
        <v>2620</v>
      </c>
      <c r="B1239" s="8" t="s">
        <v>2621</v>
      </c>
      <c r="C1239" s="8" t="s">
        <v>51</v>
      </c>
      <c r="D1239" s="8" t="s">
        <v>2027</v>
      </c>
      <c r="E1239" s="8" t="s">
        <v>123</v>
      </c>
      <c r="F1239" s="8" t="s">
        <v>124</v>
      </c>
      <c r="G1239" s="8" t="s">
        <v>137</v>
      </c>
      <c r="H1239" s="15" t="n">
        <v>432</v>
      </c>
      <c r="I1239" s="15" t="n">
        <v>432</v>
      </c>
      <c r="J1239" s="16" t="n">
        <v>0.741</v>
      </c>
      <c r="K1239" s="8" t="n">
        <v>9</v>
      </c>
      <c r="L1239" s="8" t="n">
        <v>10</v>
      </c>
      <c r="M1239" s="8" t="n">
        <v>4</v>
      </c>
      <c r="N1239" s="8" t="s">
        <v>120</v>
      </c>
      <c r="O1239" s="15" t="n">
        <f aca="false">H1239*12</f>
        <v>5184</v>
      </c>
      <c r="P1239" s="8" t="n">
        <f aca="false">MIN(100,ROUND(100*J1239/Assumptions!$B$8,0))</f>
        <v>82</v>
      </c>
      <c r="Q1239" s="8" t="n">
        <f aca="false">IF(L1239="",Assumptions!$B$9,L1239*10)</f>
        <v>100</v>
      </c>
      <c r="R1239" s="8" t="n">
        <f aca="false">IF(M1239&lt;=1,Assumptions!$B$12,IF(M1239&lt;=3,Assumptions!$B$13,IF(M1239&lt;=6,Assumptions!$B$14,Assumptions!$B$15)))</f>
        <v>50</v>
      </c>
      <c r="S1239" s="8" t="n">
        <f aca="false">IF(N1239="Completed On Time",Assumptions!$B$16,IF(N1239="Completed Late",Assumptions!$B$17,Assumptions!$B$18))</f>
        <v>100</v>
      </c>
      <c r="T1239" s="8" t="n">
        <f aca="false">IF(I1239=0,Assumptions!$B$20,IF(H1239&gt;I1239,Assumptions!$B$19,IF(H1239=I1239,Assumptions!$B$20,Assumptions!$B$21)))</f>
        <v>70</v>
      </c>
      <c r="U1239" s="8" t="n">
        <f aca="false">ROUND(P1239*Assumptions!$B$2+Q1239*Assumptions!$B$3+R1239*Assumptions!$B$4+S1239*Assumptions!$B$5+T1239*Assumptions!$B$6,0)</f>
        <v>80</v>
      </c>
      <c r="V1239" s="8" t="str">
        <f aca="false">IF(U1239&gt;=Assumptions!$B$10,"Healthy",IF(U1239&gt;=Assumptions!$B$11,"Needs Attention","High Risk"))</f>
        <v>Healthy</v>
      </c>
    </row>
    <row r="1240" customFormat="false" ht="15" hidden="false" customHeight="false" outlineLevel="0" collapsed="false">
      <c r="A1240" s="8" t="s">
        <v>2622</v>
      </c>
      <c r="B1240" s="8" t="s">
        <v>2623</v>
      </c>
      <c r="C1240" s="8" t="s">
        <v>51</v>
      </c>
      <c r="D1240" s="8" t="s">
        <v>2027</v>
      </c>
      <c r="E1240" s="8" t="s">
        <v>123</v>
      </c>
      <c r="F1240" s="8" t="s">
        <v>151</v>
      </c>
      <c r="G1240" s="8" t="s">
        <v>147</v>
      </c>
      <c r="H1240" s="15" t="n">
        <v>432</v>
      </c>
      <c r="I1240" s="15" t="n">
        <v>432</v>
      </c>
      <c r="J1240" s="16" t="n">
        <v>0.843</v>
      </c>
      <c r="K1240" s="8" t="n">
        <v>10.7</v>
      </c>
      <c r="L1240" s="8" t="n">
        <v>7</v>
      </c>
      <c r="M1240" s="8" t="n">
        <v>1</v>
      </c>
      <c r="N1240" s="8" t="s">
        <v>120</v>
      </c>
      <c r="O1240" s="15" t="n">
        <f aca="false">H1240*12</f>
        <v>5184</v>
      </c>
      <c r="P1240" s="8" t="n">
        <f aca="false">MIN(100,ROUND(100*J1240/Assumptions!$B$8,0))</f>
        <v>94</v>
      </c>
      <c r="Q1240" s="8" t="n">
        <f aca="false">IF(L1240="",Assumptions!$B$9,L1240*10)</f>
        <v>70</v>
      </c>
      <c r="R1240" s="8" t="n">
        <f aca="false">IF(M1240&lt;=1,Assumptions!$B$12,IF(M1240&lt;=3,Assumptions!$B$13,IF(M1240&lt;=6,Assumptions!$B$14,Assumptions!$B$15)))</f>
        <v>100</v>
      </c>
      <c r="S1240" s="8" t="n">
        <f aca="false">IF(N1240="Completed On Time",Assumptions!$B$16,IF(N1240="Completed Late",Assumptions!$B$17,Assumptions!$B$18))</f>
        <v>100</v>
      </c>
      <c r="T1240" s="8" t="n">
        <f aca="false">IF(I1240=0,Assumptions!$B$20,IF(H1240&gt;I1240,Assumptions!$B$19,IF(H1240=I1240,Assumptions!$B$20,Assumptions!$B$21)))</f>
        <v>70</v>
      </c>
      <c r="U1240" s="8" t="n">
        <f aca="false">ROUND(P1240*Assumptions!$B$2+Q1240*Assumptions!$B$3+R1240*Assumptions!$B$4+S1240*Assumptions!$B$5+T1240*Assumptions!$B$6,0)</f>
        <v>86</v>
      </c>
      <c r="V1240" s="8" t="str">
        <f aca="false">IF(U1240&gt;=Assumptions!$B$10,"Healthy",IF(U1240&gt;=Assumptions!$B$11,"Needs Attention","High Risk"))</f>
        <v>Healthy</v>
      </c>
    </row>
    <row r="1241" customFormat="false" ht="15" hidden="false" customHeight="false" outlineLevel="0" collapsed="false">
      <c r="A1241" s="8" t="s">
        <v>2624</v>
      </c>
      <c r="B1241" s="8" t="s">
        <v>2625</v>
      </c>
      <c r="C1241" s="8" t="s">
        <v>51</v>
      </c>
      <c r="D1241" s="8" t="s">
        <v>2027</v>
      </c>
      <c r="E1241" s="8" t="s">
        <v>117</v>
      </c>
      <c r="F1241" s="8" t="s">
        <v>136</v>
      </c>
      <c r="G1241" s="8" t="s">
        <v>125</v>
      </c>
      <c r="H1241" s="15" t="n">
        <v>432</v>
      </c>
      <c r="I1241" s="15" t="n">
        <v>432</v>
      </c>
      <c r="J1241" s="16" t="n">
        <v>0.861</v>
      </c>
      <c r="K1241" s="8" t="n">
        <v>12</v>
      </c>
      <c r="L1241" s="8" t="n">
        <v>10</v>
      </c>
      <c r="M1241" s="8" t="n">
        <v>0</v>
      </c>
      <c r="N1241" s="8" t="s">
        <v>120</v>
      </c>
      <c r="O1241" s="15" t="n">
        <f aca="false">H1241*12</f>
        <v>5184</v>
      </c>
      <c r="P1241" s="8" t="n">
        <f aca="false">MIN(100,ROUND(100*J1241/Assumptions!$B$8,0))</f>
        <v>96</v>
      </c>
      <c r="Q1241" s="8" t="n">
        <f aca="false">IF(L1241="",Assumptions!$B$9,L1241*10)</f>
        <v>100</v>
      </c>
      <c r="R1241" s="8" t="n">
        <f aca="false">IF(M1241&lt;=1,Assumptions!$B$12,IF(M1241&lt;=3,Assumptions!$B$13,IF(M1241&lt;=6,Assumptions!$B$14,Assumptions!$B$15)))</f>
        <v>100</v>
      </c>
      <c r="S1241" s="8" t="n">
        <f aca="false">IF(N1241="Completed On Time",Assumptions!$B$16,IF(N1241="Completed Late",Assumptions!$B$17,Assumptions!$B$18))</f>
        <v>100</v>
      </c>
      <c r="T1241" s="8" t="n">
        <f aca="false">IF(I1241=0,Assumptions!$B$20,IF(H1241&gt;I1241,Assumptions!$B$19,IF(H1241=I1241,Assumptions!$B$20,Assumptions!$B$21)))</f>
        <v>70</v>
      </c>
      <c r="U1241" s="8" t="n">
        <f aca="false">ROUND(P1241*Assumptions!$B$2+Q1241*Assumptions!$B$3+R1241*Assumptions!$B$4+S1241*Assumptions!$B$5+T1241*Assumptions!$B$6,0)</f>
        <v>93</v>
      </c>
      <c r="V1241" s="8" t="str">
        <f aca="false">IF(U1241&gt;=Assumptions!$B$10,"Healthy",IF(U1241&gt;=Assumptions!$B$11,"Needs Attention","High Risk"))</f>
        <v>Healthy</v>
      </c>
    </row>
    <row r="1242" customFormat="false" ht="15" hidden="false" customHeight="false" outlineLevel="0" collapsed="false">
      <c r="A1242" s="8" t="s">
        <v>2626</v>
      </c>
      <c r="B1242" s="8" t="s">
        <v>2627</v>
      </c>
      <c r="C1242" s="8" t="s">
        <v>51</v>
      </c>
      <c r="D1242" s="8" t="s">
        <v>2027</v>
      </c>
      <c r="E1242" s="8" t="s">
        <v>132</v>
      </c>
      <c r="F1242" s="8" t="s">
        <v>133</v>
      </c>
      <c r="G1242" s="8" t="s">
        <v>180</v>
      </c>
      <c r="H1242" s="15" t="n">
        <v>432</v>
      </c>
      <c r="I1242" s="15" t="n">
        <v>432</v>
      </c>
      <c r="J1242" s="16" t="n">
        <v>0.731</v>
      </c>
      <c r="K1242" s="8" t="n">
        <v>9.3</v>
      </c>
      <c r="L1242" s="8" t="n">
        <v>8</v>
      </c>
      <c r="M1242" s="8" t="n">
        <v>5</v>
      </c>
      <c r="N1242" s="8" t="s">
        <v>120</v>
      </c>
      <c r="O1242" s="15" t="n">
        <f aca="false">H1242*12</f>
        <v>5184</v>
      </c>
      <c r="P1242" s="8" t="n">
        <f aca="false">MIN(100,ROUND(100*J1242/Assumptions!$B$8,0))</f>
        <v>81</v>
      </c>
      <c r="Q1242" s="8" t="n">
        <f aca="false">IF(L1242="",Assumptions!$B$9,L1242*10)</f>
        <v>80</v>
      </c>
      <c r="R1242" s="8" t="n">
        <f aca="false">IF(M1242&lt;=1,Assumptions!$B$12,IF(M1242&lt;=3,Assumptions!$B$13,IF(M1242&lt;=6,Assumptions!$B$14,Assumptions!$B$15)))</f>
        <v>50</v>
      </c>
      <c r="S1242" s="8" t="n">
        <f aca="false">IF(N1242="Completed On Time",Assumptions!$B$16,IF(N1242="Completed Late",Assumptions!$B$17,Assumptions!$B$18))</f>
        <v>100</v>
      </c>
      <c r="T1242" s="8" t="n">
        <f aca="false">IF(I1242=0,Assumptions!$B$20,IF(H1242&gt;I1242,Assumptions!$B$19,IF(H1242=I1242,Assumptions!$B$20,Assumptions!$B$21)))</f>
        <v>70</v>
      </c>
      <c r="U1242" s="8" t="n">
        <f aca="false">ROUND(P1242*Assumptions!$B$2+Q1242*Assumptions!$B$3+R1242*Assumptions!$B$4+S1242*Assumptions!$B$5+T1242*Assumptions!$B$6,0)</f>
        <v>76</v>
      </c>
      <c r="V1242" s="8" t="str">
        <f aca="false">IF(U1242&gt;=Assumptions!$B$10,"Healthy",IF(U1242&gt;=Assumptions!$B$11,"Needs Attention","High Risk"))</f>
        <v>Needs Attention</v>
      </c>
    </row>
    <row r="1243" customFormat="false" ht="15" hidden="false" customHeight="false" outlineLevel="0" collapsed="false">
      <c r="A1243" s="8" t="s">
        <v>2628</v>
      </c>
      <c r="B1243" s="8" t="s">
        <v>2629</v>
      </c>
      <c r="C1243" s="8" t="s">
        <v>51</v>
      </c>
      <c r="D1243" s="8" t="s">
        <v>2027</v>
      </c>
      <c r="E1243" s="8" t="s">
        <v>132</v>
      </c>
      <c r="F1243" s="8" t="s">
        <v>133</v>
      </c>
      <c r="G1243" s="8" t="s">
        <v>204</v>
      </c>
      <c r="H1243" s="15" t="n">
        <v>432</v>
      </c>
      <c r="I1243" s="15" t="n">
        <v>432</v>
      </c>
      <c r="J1243" s="16" t="n">
        <v>0.741</v>
      </c>
      <c r="K1243" s="8" t="n">
        <v>10</v>
      </c>
      <c r="L1243" s="8" t="n">
        <v>8</v>
      </c>
      <c r="M1243" s="8" t="n">
        <v>4</v>
      </c>
      <c r="N1243" s="8" t="s">
        <v>120</v>
      </c>
      <c r="O1243" s="15" t="n">
        <f aca="false">H1243*12</f>
        <v>5184</v>
      </c>
      <c r="P1243" s="8" t="n">
        <f aca="false">MIN(100,ROUND(100*J1243/Assumptions!$B$8,0))</f>
        <v>82</v>
      </c>
      <c r="Q1243" s="8" t="n">
        <f aca="false">IF(L1243="",Assumptions!$B$9,L1243*10)</f>
        <v>80</v>
      </c>
      <c r="R1243" s="8" t="n">
        <f aca="false">IF(M1243&lt;=1,Assumptions!$B$12,IF(M1243&lt;=3,Assumptions!$B$13,IF(M1243&lt;=6,Assumptions!$B$14,Assumptions!$B$15)))</f>
        <v>50</v>
      </c>
      <c r="S1243" s="8" t="n">
        <f aca="false">IF(N1243="Completed On Time",Assumptions!$B$16,IF(N1243="Completed Late",Assumptions!$B$17,Assumptions!$B$18))</f>
        <v>100</v>
      </c>
      <c r="T1243" s="8" t="n">
        <f aca="false">IF(I1243=0,Assumptions!$B$20,IF(H1243&gt;I1243,Assumptions!$B$19,IF(H1243=I1243,Assumptions!$B$20,Assumptions!$B$21)))</f>
        <v>70</v>
      </c>
      <c r="U1243" s="8" t="n">
        <f aca="false">ROUND(P1243*Assumptions!$B$2+Q1243*Assumptions!$B$3+R1243*Assumptions!$B$4+S1243*Assumptions!$B$5+T1243*Assumptions!$B$6,0)</f>
        <v>76</v>
      </c>
      <c r="V1243" s="8" t="str">
        <f aca="false">IF(U1243&gt;=Assumptions!$B$10,"Healthy",IF(U1243&gt;=Assumptions!$B$11,"Needs Attention","High Risk"))</f>
        <v>Needs Attention</v>
      </c>
    </row>
    <row r="1244" customFormat="false" ht="15" hidden="false" customHeight="false" outlineLevel="0" collapsed="false">
      <c r="A1244" s="8" t="s">
        <v>2630</v>
      </c>
      <c r="B1244" s="8" t="s">
        <v>2631</v>
      </c>
      <c r="C1244" s="8" t="s">
        <v>51</v>
      </c>
      <c r="D1244" s="8" t="s">
        <v>2027</v>
      </c>
      <c r="E1244" s="8" t="s">
        <v>132</v>
      </c>
      <c r="F1244" s="8" t="s">
        <v>223</v>
      </c>
      <c r="G1244" s="8" t="s">
        <v>185</v>
      </c>
      <c r="H1244" s="15" t="n">
        <v>432</v>
      </c>
      <c r="I1244" s="15" t="n">
        <v>432</v>
      </c>
      <c r="J1244" s="16" t="n">
        <v>0.88</v>
      </c>
      <c r="K1244" s="8" t="n">
        <v>12</v>
      </c>
      <c r="L1244" s="8" t="n">
        <v>9</v>
      </c>
      <c r="M1244" s="8" t="n">
        <v>1</v>
      </c>
      <c r="N1244" s="8" t="s">
        <v>120</v>
      </c>
      <c r="O1244" s="15" t="n">
        <f aca="false">H1244*12</f>
        <v>5184</v>
      </c>
      <c r="P1244" s="8" t="n">
        <f aca="false">MIN(100,ROUND(100*J1244/Assumptions!$B$8,0))</f>
        <v>98</v>
      </c>
      <c r="Q1244" s="8" t="n">
        <f aca="false">IF(L1244="",Assumptions!$B$9,L1244*10)</f>
        <v>90</v>
      </c>
      <c r="R1244" s="8" t="n">
        <f aca="false">IF(M1244&lt;=1,Assumptions!$B$12,IF(M1244&lt;=3,Assumptions!$B$13,IF(M1244&lt;=6,Assumptions!$B$14,Assumptions!$B$15)))</f>
        <v>100</v>
      </c>
      <c r="S1244" s="8" t="n">
        <f aca="false">IF(N1244="Completed On Time",Assumptions!$B$16,IF(N1244="Completed Late",Assumptions!$B$17,Assumptions!$B$18))</f>
        <v>100</v>
      </c>
      <c r="T1244" s="8" t="n">
        <f aca="false">IF(I1244=0,Assumptions!$B$20,IF(H1244&gt;I1244,Assumptions!$B$19,IF(H1244=I1244,Assumptions!$B$20,Assumptions!$B$21)))</f>
        <v>70</v>
      </c>
      <c r="U1244" s="8" t="n">
        <f aca="false">ROUND(P1244*Assumptions!$B$2+Q1244*Assumptions!$B$3+R1244*Assumptions!$B$4+S1244*Assumptions!$B$5+T1244*Assumptions!$B$6,0)</f>
        <v>91</v>
      </c>
      <c r="V1244" s="8" t="str">
        <f aca="false">IF(U1244&gt;=Assumptions!$B$10,"Healthy",IF(U1244&gt;=Assumptions!$B$11,"Needs Attention","High Risk"))</f>
        <v>Healthy</v>
      </c>
    </row>
    <row r="1245" customFormat="false" ht="15" hidden="false" customHeight="false" outlineLevel="0" collapsed="false">
      <c r="A1245" s="8" t="s">
        <v>2632</v>
      </c>
      <c r="B1245" s="8" t="s">
        <v>2633</v>
      </c>
      <c r="C1245" s="8" t="s">
        <v>51</v>
      </c>
      <c r="D1245" s="8" t="s">
        <v>2027</v>
      </c>
      <c r="E1245" s="8" t="s">
        <v>132</v>
      </c>
      <c r="F1245" s="8" t="s">
        <v>166</v>
      </c>
      <c r="G1245" s="8" t="s">
        <v>119</v>
      </c>
      <c r="H1245" s="15" t="n">
        <v>432</v>
      </c>
      <c r="I1245" s="15" t="n">
        <v>432</v>
      </c>
      <c r="J1245" s="16" t="n">
        <v>0.593</v>
      </c>
      <c r="K1245" s="8" t="n">
        <v>7</v>
      </c>
      <c r="L1245" s="8" t="n">
        <v>10</v>
      </c>
      <c r="M1245" s="8" t="n">
        <v>2</v>
      </c>
      <c r="N1245" s="8" t="s">
        <v>120</v>
      </c>
      <c r="O1245" s="15" t="n">
        <f aca="false">H1245*12</f>
        <v>5184</v>
      </c>
      <c r="P1245" s="8" t="n">
        <f aca="false">MIN(100,ROUND(100*J1245/Assumptions!$B$8,0))</f>
        <v>66</v>
      </c>
      <c r="Q1245" s="8" t="n">
        <f aca="false">IF(L1245="",Assumptions!$B$9,L1245*10)</f>
        <v>100</v>
      </c>
      <c r="R1245" s="8" t="n">
        <f aca="false">IF(M1245&lt;=1,Assumptions!$B$12,IF(M1245&lt;=3,Assumptions!$B$13,IF(M1245&lt;=6,Assumptions!$B$14,Assumptions!$B$15)))</f>
        <v>75</v>
      </c>
      <c r="S1245" s="8" t="n">
        <f aca="false">IF(N1245="Completed On Time",Assumptions!$B$16,IF(N1245="Completed Late",Assumptions!$B$17,Assumptions!$B$18))</f>
        <v>100</v>
      </c>
      <c r="T1245" s="8" t="n">
        <f aca="false">IF(I1245=0,Assumptions!$B$20,IF(H1245&gt;I1245,Assumptions!$B$19,IF(H1245=I1245,Assumptions!$B$20,Assumptions!$B$21)))</f>
        <v>70</v>
      </c>
      <c r="U1245" s="8" t="n">
        <f aca="false">ROUND(P1245*Assumptions!$B$2+Q1245*Assumptions!$B$3+R1245*Assumptions!$B$4+S1245*Assumptions!$B$5+T1245*Assumptions!$B$6,0)</f>
        <v>78</v>
      </c>
      <c r="V1245" s="8" t="str">
        <f aca="false">IF(U1245&gt;=Assumptions!$B$10,"Healthy",IF(U1245&gt;=Assumptions!$B$11,"Needs Attention","High Risk"))</f>
        <v>Needs Attention</v>
      </c>
    </row>
    <row r="1246" customFormat="false" ht="15" hidden="false" customHeight="false" outlineLevel="0" collapsed="false">
      <c r="A1246" s="8" t="s">
        <v>2634</v>
      </c>
      <c r="B1246" s="8" t="s">
        <v>2635</v>
      </c>
      <c r="C1246" s="8" t="s">
        <v>51</v>
      </c>
      <c r="D1246" s="8" t="s">
        <v>326</v>
      </c>
      <c r="E1246" s="8" t="s">
        <v>117</v>
      </c>
      <c r="F1246" s="8" t="s">
        <v>124</v>
      </c>
      <c r="G1246" s="8" t="s">
        <v>129</v>
      </c>
      <c r="H1246" s="15" t="n">
        <v>425</v>
      </c>
      <c r="I1246" s="15" t="n">
        <v>425</v>
      </c>
      <c r="J1246" s="16" t="n">
        <v>0.706</v>
      </c>
      <c r="K1246" s="8" t="n">
        <v>6.7</v>
      </c>
      <c r="L1246" s="8" t="n">
        <v>9</v>
      </c>
      <c r="M1246" s="8" t="n">
        <v>3</v>
      </c>
      <c r="N1246" s="8" t="s">
        <v>120</v>
      </c>
      <c r="O1246" s="15" t="n">
        <f aca="false">H1246*12</f>
        <v>5100</v>
      </c>
      <c r="P1246" s="8" t="n">
        <f aca="false">MIN(100,ROUND(100*J1246/Assumptions!$B$8,0))</f>
        <v>78</v>
      </c>
      <c r="Q1246" s="8" t="n">
        <f aca="false">IF(L1246="",Assumptions!$B$9,L1246*10)</f>
        <v>90</v>
      </c>
      <c r="R1246" s="8" t="n">
        <f aca="false">IF(M1246&lt;=1,Assumptions!$B$12,IF(M1246&lt;=3,Assumptions!$B$13,IF(M1246&lt;=6,Assumptions!$B$14,Assumptions!$B$15)))</f>
        <v>75</v>
      </c>
      <c r="S1246" s="8" t="n">
        <f aca="false">IF(N1246="Completed On Time",Assumptions!$B$16,IF(N1246="Completed Late",Assumptions!$B$17,Assumptions!$B$18))</f>
        <v>100</v>
      </c>
      <c r="T1246" s="8" t="n">
        <f aca="false">IF(I1246=0,Assumptions!$B$20,IF(H1246&gt;I1246,Assumptions!$B$19,IF(H1246=I1246,Assumptions!$B$20,Assumptions!$B$21)))</f>
        <v>70</v>
      </c>
      <c r="U1246" s="8" t="n">
        <f aca="false">ROUND(P1246*Assumptions!$B$2+Q1246*Assumptions!$B$3+R1246*Assumptions!$B$4+S1246*Assumptions!$B$5+T1246*Assumptions!$B$6,0)</f>
        <v>81</v>
      </c>
      <c r="V1246" s="8" t="str">
        <f aca="false">IF(U1246&gt;=Assumptions!$B$10,"Healthy",IF(U1246&gt;=Assumptions!$B$11,"Needs Attention","High Risk"))</f>
        <v>Healthy</v>
      </c>
    </row>
    <row r="1247" customFormat="false" ht="15" hidden="false" customHeight="false" outlineLevel="0" collapsed="false">
      <c r="A1247" s="8" t="s">
        <v>2636</v>
      </c>
      <c r="B1247" s="8" t="s">
        <v>2637</v>
      </c>
      <c r="C1247" s="8" t="s">
        <v>51</v>
      </c>
      <c r="D1247" s="8" t="s">
        <v>326</v>
      </c>
      <c r="E1247" s="8" t="s">
        <v>132</v>
      </c>
      <c r="F1247" s="8" t="s">
        <v>124</v>
      </c>
      <c r="G1247" s="8" t="s">
        <v>137</v>
      </c>
      <c r="H1247" s="15" t="n">
        <v>425</v>
      </c>
      <c r="I1247" s="15" t="n">
        <v>425</v>
      </c>
      <c r="J1247" s="16" t="n">
        <v>0.647</v>
      </c>
      <c r="K1247" s="8" t="n">
        <v>9</v>
      </c>
      <c r="L1247" s="8" t="n">
        <v>7</v>
      </c>
      <c r="M1247" s="8" t="n">
        <v>3</v>
      </c>
      <c r="N1247" s="8" t="s">
        <v>120</v>
      </c>
      <c r="O1247" s="15" t="n">
        <f aca="false">H1247*12</f>
        <v>5100</v>
      </c>
      <c r="P1247" s="8" t="n">
        <f aca="false">MIN(100,ROUND(100*J1247/Assumptions!$B$8,0))</f>
        <v>72</v>
      </c>
      <c r="Q1247" s="8" t="n">
        <f aca="false">IF(L1247="",Assumptions!$B$9,L1247*10)</f>
        <v>70</v>
      </c>
      <c r="R1247" s="8" t="n">
        <f aca="false">IF(M1247&lt;=1,Assumptions!$B$12,IF(M1247&lt;=3,Assumptions!$B$13,IF(M1247&lt;=6,Assumptions!$B$14,Assumptions!$B$15)))</f>
        <v>75</v>
      </c>
      <c r="S1247" s="8" t="n">
        <f aca="false">IF(N1247="Completed On Time",Assumptions!$B$16,IF(N1247="Completed Late",Assumptions!$B$17,Assumptions!$B$18))</f>
        <v>100</v>
      </c>
      <c r="T1247" s="8" t="n">
        <f aca="false">IF(I1247=0,Assumptions!$B$20,IF(H1247&gt;I1247,Assumptions!$B$19,IF(H1247=I1247,Assumptions!$B$20,Assumptions!$B$21)))</f>
        <v>70</v>
      </c>
      <c r="U1247" s="8" t="n">
        <f aca="false">ROUND(P1247*Assumptions!$B$2+Q1247*Assumptions!$B$3+R1247*Assumptions!$B$4+S1247*Assumptions!$B$5+T1247*Assumptions!$B$6,0)</f>
        <v>74</v>
      </c>
      <c r="V1247" s="8" t="str">
        <f aca="false">IF(U1247&gt;=Assumptions!$B$10,"Healthy",IF(U1247&gt;=Assumptions!$B$11,"Needs Attention","High Risk"))</f>
        <v>Needs Attention</v>
      </c>
    </row>
    <row r="1248" customFormat="false" ht="15" hidden="false" customHeight="false" outlineLevel="0" collapsed="false">
      <c r="A1248" s="8" t="s">
        <v>2638</v>
      </c>
      <c r="B1248" s="8" t="s">
        <v>2639</v>
      </c>
      <c r="C1248" s="8" t="s">
        <v>51</v>
      </c>
      <c r="D1248" s="8" t="s">
        <v>326</v>
      </c>
      <c r="E1248" s="8" t="s">
        <v>117</v>
      </c>
      <c r="F1248" s="8" t="s">
        <v>118</v>
      </c>
      <c r="G1248" s="8" t="s">
        <v>140</v>
      </c>
      <c r="H1248" s="15" t="n">
        <v>425</v>
      </c>
      <c r="I1248" s="15" t="n">
        <v>425</v>
      </c>
      <c r="J1248" s="16" t="n">
        <v>0.706</v>
      </c>
      <c r="K1248" s="8" t="n">
        <v>8.3</v>
      </c>
      <c r="L1248" s="8" t="n">
        <v>5</v>
      </c>
      <c r="M1248" s="8" t="n">
        <v>0</v>
      </c>
      <c r="N1248" s="8" t="s">
        <v>120</v>
      </c>
      <c r="O1248" s="15" t="n">
        <f aca="false">H1248*12</f>
        <v>5100</v>
      </c>
      <c r="P1248" s="8" t="n">
        <f aca="false">MIN(100,ROUND(100*J1248/Assumptions!$B$8,0))</f>
        <v>78</v>
      </c>
      <c r="Q1248" s="8" t="n">
        <f aca="false">IF(L1248="",Assumptions!$B$9,L1248*10)</f>
        <v>50</v>
      </c>
      <c r="R1248" s="8" t="n">
        <f aca="false">IF(M1248&lt;=1,Assumptions!$B$12,IF(M1248&lt;=3,Assumptions!$B$13,IF(M1248&lt;=6,Assumptions!$B$14,Assumptions!$B$15)))</f>
        <v>100</v>
      </c>
      <c r="S1248" s="8" t="n">
        <f aca="false">IF(N1248="Completed On Time",Assumptions!$B$16,IF(N1248="Completed Late",Assumptions!$B$17,Assumptions!$B$18))</f>
        <v>100</v>
      </c>
      <c r="T1248" s="8" t="n">
        <f aca="false">IF(I1248=0,Assumptions!$B$20,IF(H1248&gt;I1248,Assumptions!$B$19,IF(H1248=I1248,Assumptions!$B$20,Assumptions!$B$21)))</f>
        <v>70</v>
      </c>
      <c r="U1248" s="8" t="n">
        <f aca="false">ROUND(P1248*Assumptions!$B$2+Q1248*Assumptions!$B$3+R1248*Assumptions!$B$4+S1248*Assumptions!$B$5+T1248*Assumptions!$B$6,0)</f>
        <v>76</v>
      </c>
      <c r="V1248" s="8" t="str">
        <f aca="false">IF(U1248&gt;=Assumptions!$B$10,"Healthy",IF(U1248&gt;=Assumptions!$B$11,"Needs Attention","High Risk"))</f>
        <v>Needs Attention</v>
      </c>
    </row>
    <row r="1249" customFormat="false" ht="15" hidden="false" customHeight="false" outlineLevel="0" collapsed="false">
      <c r="A1249" s="8" t="s">
        <v>2640</v>
      </c>
      <c r="B1249" s="8" t="s">
        <v>2641</v>
      </c>
      <c r="C1249" s="8" t="s">
        <v>51</v>
      </c>
      <c r="D1249" s="8" t="s">
        <v>326</v>
      </c>
      <c r="E1249" s="8" t="s">
        <v>117</v>
      </c>
      <c r="F1249" s="8" t="s">
        <v>166</v>
      </c>
      <c r="G1249" s="8" t="s">
        <v>129</v>
      </c>
      <c r="H1249" s="15" t="n">
        <v>425</v>
      </c>
      <c r="I1249" s="15" t="n">
        <v>425</v>
      </c>
      <c r="J1249" s="16" t="n">
        <v>0.686</v>
      </c>
      <c r="K1249" s="8" t="n">
        <v>7.3</v>
      </c>
      <c r="L1249" s="8" t="n">
        <v>6</v>
      </c>
      <c r="M1249" s="8" t="n">
        <v>7</v>
      </c>
      <c r="N1249" s="8" t="s">
        <v>120</v>
      </c>
      <c r="O1249" s="15" t="n">
        <f aca="false">H1249*12</f>
        <v>5100</v>
      </c>
      <c r="P1249" s="8" t="n">
        <f aca="false">MIN(100,ROUND(100*J1249/Assumptions!$B$8,0))</f>
        <v>76</v>
      </c>
      <c r="Q1249" s="8" t="n">
        <f aca="false">IF(L1249="",Assumptions!$B$9,L1249*10)</f>
        <v>60</v>
      </c>
      <c r="R1249" s="8" t="n">
        <f aca="false">IF(M1249&lt;=1,Assumptions!$B$12,IF(M1249&lt;=3,Assumptions!$B$13,IF(M1249&lt;=6,Assumptions!$B$14,Assumptions!$B$15)))</f>
        <v>20</v>
      </c>
      <c r="S1249" s="8" t="n">
        <f aca="false">IF(N1249="Completed On Time",Assumptions!$B$16,IF(N1249="Completed Late",Assumptions!$B$17,Assumptions!$B$18))</f>
        <v>100</v>
      </c>
      <c r="T1249" s="8" t="n">
        <f aca="false">IF(I1249=0,Assumptions!$B$20,IF(H1249&gt;I1249,Assumptions!$B$19,IF(H1249=I1249,Assumptions!$B$20,Assumptions!$B$21)))</f>
        <v>70</v>
      </c>
      <c r="U1249" s="8" t="n">
        <f aca="false">ROUND(P1249*Assumptions!$B$2+Q1249*Assumptions!$B$3+R1249*Assumptions!$B$4+S1249*Assumptions!$B$5+T1249*Assumptions!$B$6,0)</f>
        <v>66</v>
      </c>
      <c r="V1249" s="8" t="str">
        <f aca="false">IF(U1249&gt;=Assumptions!$B$10,"Healthy",IF(U1249&gt;=Assumptions!$B$11,"Needs Attention","High Risk"))</f>
        <v>Needs Attention</v>
      </c>
    </row>
    <row r="1250" customFormat="false" ht="15" hidden="false" customHeight="false" outlineLevel="0" collapsed="false">
      <c r="A1250" s="8" t="s">
        <v>2642</v>
      </c>
      <c r="B1250" s="8" t="s">
        <v>2643</v>
      </c>
      <c r="C1250" s="8" t="s">
        <v>51</v>
      </c>
      <c r="D1250" s="8" t="s">
        <v>326</v>
      </c>
      <c r="E1250" s="8" t="s">
        <v>132</v>
      </c>
      <c r="F1250" s="8" t="s">
        <v>124</v>
      </c>
      <c r="G1250" s="8" t="s">
        <v>140</v>
      </c>
      <c r="H1250" s="15" t="n">
        <v>425</v>
      </c>
      <c r="I1250" s="15" t="n">
        <v>425</v>
      </c>
      <c r="J1250" s="16" t="n">
        <v>0.588</v>
      </c>
      <c r="K1250" s="8" t="n">
        <v>6.3</v>
      </c>
      <c r="L1250" s="8" t="n">
        <v>7</v>
      </c>
      <c r="M1250" s="8" t="n">
        <v>3</v>
      </c>
      <c r="N1250" s="8" t="s">
        <v>120</v>
      </c>
      <c r="O1250" s="15" t="n">
        <f aca="false">H1250*12</f>
        <v>5100</v>
      </c>
      <c r="P1250" s="8" t="n">
        <f aca="false">MIN(100,ROUND(100*J1250/Assumptions!$B$8,0))</f>
        <v>65</v>
      </c>
      <c r="Q1250" s="8" t="n">
        <f aca="false">IF(L1250="",Assumptions!$B$9,L1250*10)</f>
        <v>70</v>
      </c>
      <c r="R1250" s="8" t="n">
        <f aca="false">IF(M1250&lt;=1,Assumptions!$B$12,IF(M1250&lt;=3,Assumptions!$B$13,IF(M1250&lt;=6,Assumptions!$B$14,Assumptions!$B$15)))</f>
        <v>75</v>
      </c>
      <c r="S1250" s="8" t="n">
        <f aca="false">IF(N1250="Completed On Time",Assumptions!$B$16,IF(N1250="Completed Late",Assumptions!$B$17,Assumptions!$B$18))</f>
        <v>100</v>
      </c>
      <c r="T1250" s="8" t="n">
        <f aca="false">IF(I1250=0,Assumptions!$B$20,IF(H1250&gt;I1250,Assumptions!$B$19,IF(H1250=I1250,Assumptions!$B$20,Assumptions!$B$21)))</f>
        <v>70</v>
      </c>
      <c r="U1250" s="8" t="n">
        <f aca="false">ROUND(P1250*Assumptions!$B$2+Q1250*Assumptions!$B$3+R1250*Assumptions!$B$4+S1250*Assumptions!$B$5+T1250*Assumptions!$B$6,0)</f>
        <v>72</v>
      </c>
      <c r="V1250" s="8" t="str">
        <f aca="false">IF(U1250&gt;=Assumptions!$B$10,"Healthy",IF(U1250&gt;=Assumptions!$B$11,"Needs Attention","High Risk"))</f>
        <v>Needs Attention</v>
      </c>
    </row>
    <row r="1251" customFormat="false" ht="15" hidden="false" customHeight="false" outlineLevel="0" collapsed="false">
      <c r="A1251" s="8" t="s">
        <v>2644</v>
      </c>
      <c r="B1251" s="8" t="s">
        <v>2645</v>
      </c>
      <c r="C1251" s="8" t="s">
        <v>51</v>
      </c>
      <c r="D1251" s="8" t="s">
        <v>326</v>
      </c>
      <c r="E1251" s="8" t="s">
        <v>123</v>
      </c>
      <c r="F1251" s="8" t="s">
        <v>124</v>
      </c>
      <c r="G1251" s="8" t="s">
        <v>129</v>
      </c>
      <c r="H1251" s="15" t="n">
        <v>425</v>
      </c>
      <c r="I1251" s="15" t="n">
        <v>425</v>
      </c>
      <c r="J1251" s="16" t="n">
        <v>0.745</v>
      </c>
      <c r="K1251" s="8" t="n">
        <v>10</v>
      </c>
      <c r="L1251" s="8" t="n">
        <v>10</v>
      </c>
      <c r="M1251" s="8" t="n">
        <v>2</v>
      </c>
      <c r="N1251" s="8" t="s">
        <v>120</v>
      </c>
      <c r="O1251" s="15" t="n">
        <f aca="false">H1251*12</f>
        <v>5100</v>
      </c>
      <c r="P1251" s="8" t="n">
        <f aca="false">MIN(100,ROUND(100*J1251/Assumptions!$B$8,0))</f>
        <v>83</v>
      </c>
      <c r="Q1251" s="8" t="n">
        <f aca="false">IF(L1251="",Assumptions!$B$9,L1251*10)</f>
        <v>100</v>
      </c>
      <c r="R1251" s="8" t="n">
        <f aca="false">IF(M1251&lt;=1,Assumptions!$B$12,IF(M1251&lt;=3,Assumptions!$B$13,IF(M1251&lt;=6,Assumptions!$B$14,Assumptions!$B$15)))</f>
        <v>75</v>
      </c>
      <c r="S1251" s="8" t="n">
        <f aca="false">IF(N1251="Completed On Time",Assumptions!$B$16,IF(N1251="Completed Late",Assumptions!$B$17,Assumptions!$B$18))</f>
        <v>100</v>
      </c>
      <c r="T1251" s="8" t="n">
        <f aca="false">IF(I1251=0,Assumptions!$B$20,IF(H1251&gt;I1251,Assumptions!$B$19,IF(H1251=I1251,Assumptions!$B$20,Assumptions!$B$21)))</f>
        <v>70</v>
      </c>
      <c r="U1251" s="8" t="n">
        <f aca="false">ROUND(P1251*Assumptions!$B$2+Q1251*Assumptions!$B$3+R1251*Assumptions!$B$4+S1251*Assumptions!$B$5+T1251*Assumptions!$B$6,0)</f>
        <v>84</v>
      </c>
      <c r="V1251" s="8" t="str">
        <f aca="false">IF(U1251&gt;=Assumptions!$B$10,"Healthy",IF(U1251&gt;=Assumptions!$B$11,"Needs Attention","High Risk"))</f>
        <v>Healthy</v>
      </c>
    </row>
    <row r="1252" customFormat="false" ht="15" hidden="false" customHeight="false" outlineLevel="0" collapsed="false">
      <c r="A1252" s="8" t="s">
        <v>2646</v>
      </c>
      <c r="B1252" s="8" t="s">
        <v>2647</v>
      </c>
      <c r="C1252" s="8" t="s">
        <v>51</v>
      </c>
      <c r="D1252" s="8" t="s">
        <v>326</v>
      </c>
      <c r="E1252" s="8" t="s">
        <v>132</v>
      </c>
      <c r="F1252" s="8" t="s">
        <v>133</v>
      </c>
      <c r="G1252" s="8" t="s">
        <v>180</v>
      </c>
      <c r="H1252" s="15" t="n">
        <v>425</v>
      </c>
      <c r="I1252" s="15" t="n">
        <v>425</v>
      </c>
      <c r="J1252" s="16" t="n">
        <v>0.706</v>
      </c>
      <c r="K1252" s="8" t="n">
        <v>8.7</v>
      </c>
      <c r="L1252" s="8" t="n">
        <v>10</v>
      </c>
      <c r="M1252" s="8" t="n">
        <v>2</v>
      </c>
      <c r="N1252" s="8" t="s">
        <v>120</v>
      </c>
      <c r="O1252" s="15" t="n">
        <f aca="false">H1252*12</f>
        <v>5100</v>
      </c>
      <c r="P1252" s="8" t="n">
        <f aca="false">MIN(100,ROUND(100*J1252/Assumptions!$B$8,0))</f>
        <v>78</v>
      </c>
      <c r="Q1252" s="8" t="n">
        <f aca="false">IF(L1252="",Assumptions!$B$9,L1252*10)</f>
        <v>100</v>
      </c>
      <c r="R1252" s="8" t="n">
        <f aca="false">IF(M1252&lt;=1,Assumptions!$B$12,IF(M1252&lt;=3,Assumptions!$B$13,IF(M1252&lt;=6,Assumptions!$B$14,Assumptions!$B$15)))</f>
        <v>75</v>
      </c>
      <c r="S1252" s="8" t="n">
        <f aca="false">IF(N1252="Completed On Time",Assumptions!$B$16,IF(N1252="Completed Late",Assumptions!$B$17,Assumptions!$B$18))</f>
        <v>100</v>
      </c>
      <c r="T1252" s="8" t="n">
        <f aca="false">IF(I1252=0,Assumptions!$B$20,IF(H1252&gt;I1252,Assumptions!$B$19,IF(H1252=I1252,Assumptions!$B$20,Assumptions!$B$21)))</f>
        <v>70</v>
      </c>
      <c r="U1252" s="8" t="n">
        <f aca="false">ROUND(P1252*Assumptions!$B$2+Q1252*Assumptions!$B$3+R1252*Assumptions!$B$4+S1252*Assumptions!$B$5+T1252*Assumptions!$B$6,0)</f>
        <v>83</v>
      </c>
      <c r="V1252" s="8" t="str">
        <f aca="false">IF(U1252&gt;=Assumptions!$B$10,"Healthy",IF(U1252&gt;=Assumptions!$B$11,"Needs Attention","High Risk"))</f>
        <v>Healthy</v>
      </c>
    </row>
    <row r="1253" customFormat="false" ht="15" hidden="false" customHeight="false" outlineLevel="0" collapsed="false">
      <c r="A1253" s="8" t="s">
        <v>2648</v>
      </c>
      <c r="B1253" s="8" t="s">
        <v>2649</v>
      </c>
      <c r="C1253" s="8" t="s">
        <v>51</v>
      </c>
      <c r="D1253" s="8" t="s">
        <v>326</v>
      </c>
      <c r="E1253" s="8" t="s">
        <v>117</v>
      </c>
      <c r="F1253" s="8" t="s">
        <v>136</v>
      </c>
      <c r="G1253" s="8" t="s">
        <v>204</v>
      </c>
      <c r="H1253" s="15" t="n">
        <v>425</v>
      </c>
      <c r="I1253" s="15" t="n">
        <v>425</v>
      </c>
      <c r="J1253" s="16" t="n">
        <v>0.784</v>
      </c>
      <c r="K1253" s="8" t="n">
        <v>9.7</v>
      </c>
      <c r="L1253" s="8" t="n">
        <v>9</v>
      </c>
      <c r="M1253" s="8" t="n">
        <v>1</v>
      </c>
      <c r="N1253" s="8" t="s">
        <v>120</v>
      </c>
      <c r="O1253" s="15" t="n">
        <f aca="false">H1253*12</f>
        <v>5100</v>
      </c>
      <c r="P1253" s="8" t="n">
        <f aca="false">MIN(100,ROUND(100*J1253/Assumptions!$B$8,0))</f>
        <v>87</v>
      </c>
      <c r="Q1253" s="8" t="n">
        <f aca="false">IF(L1253="",Assumptions!$B$9,L1253*10)</f>
        <v>90</v>
      </c>
      <c r="R1253" s="8" t="n">
        <f aca="false">IF(M1253&lt;=1,Assumptions!$B$12,IF(M1253&lt;=3,Assumptions!$B$13,IF(M1253&lt;=6,Assumptions!$B$14,Assumptions!$B$15)))</f>
        <v>100</v>
      </c>
      <c r="S1253" s="8" t="n">
        <f aca="false">IF(N1253="Completed On Time",Assumptions!$B$16,IF(N1253="Completed Late",Assumptions!$B$17,Assumptions!$B$18))</f>
        <v>100</v>
      </c>
      <c r="T1253" s="8" t="n">
        <f aca="false">IF(I1253=0,Assumptions!$B$20,IF(H1253&gt;I1253,Assumptions!$B$19,IF(H1253=I1253,Assumptions!$B$20,Assumptions!$B$21)))</f>
        <v>70</v>
      </c>
      <c r="U1253" s="8" t="n">
        <f aca="false">ROUND(P1253*Assumptions!$B$2+Q1253*Assumptions!$B$3+R1253*Assumptions!$B$4+S1253*Assumptions!$B$5+T1253*Assumptions!$B$6,0)</f>
        <v>87</v>
      </c>
      <c r="V1253" s="8" t="str">
        <f aca="false">IF(U1253&gt;=Assumptions!$B$10,"Healthy",IF(U1253&gt;=Assumptions!$B$11,"Needs Attention","High Risk"))</f>
        <v>Healthy</v>
      </c>
    </row>
    <row r="1254" customFormat="false" ht="15" hidden="false" customHeight="false" outlineLevel="0" collapsed="false">
      <c r="A1254" s="8" t="s">
        <v>2650</v>
      </c>
      <c r="B1254" s="8" t="s">
        <v>2651</v>
      </c>
      <c r="C1254" s="8" t="s">
        <v>51</v>
      </c>
      <c r="D1254" s="8" t="s">
        <v>326</v>
      </c>
      <c r="E1254" s="8" t="s">
        <v>132</v>
      </c>
      <c r="F1254" s="8" t="s">
        <v>136</v>
      </c>
      <c r="G1254" s="8" t="s">
        <v>204</v>
      </c>
      <c r="H1254" s="15" t="n">
        <v>425</v>
      </c>
      <c r="I1254" s="15" t="n">
        <v>425</v>
      </c>
      <c r="J1254" s="16" t="n">
        <v>0.569</v>
      </c>
      <c r="K1254" s="8" t="n">
        <v>7.3</v>
      </c>
      <c r="L1254" s="8" t="n">
        <v>8</v>
      </c>
      <c r="M1254" s="8" t="n">
        <v>1</v>
      </c>
      <c r="N1254" s="8" t="s">
        <v>120</v>
      </c>
      <c r="O1254" s="15" t="n">
        <f aca="false">H1254*12</f>
        <v>5100</v>
      </c>
      <c r="P1254" s="8" t="n">
        <f aca="false">MIN(100,ROUND(100*J1254/Assumptions!$B$8,0))</f>
        <v>63</v>
      </c>
      <c r="Q1254" s="8" t="n">
        <f aca="false">IF(L1254="",Assumptions!$B$9,L1254*10)</f>
        <v>80</v>
      </c>
      <c r="R1254" s="8" t="n">
        <f aca="false">IF(M1254&lt;=1,Assumptions!$B$12,IF(M1254&lt;=3,Assumptions!$B$13,IF(M1254&lt;=6,Assumptions!$B$14,Assumptions!$B$15)))</f>
        <v>100</v>
      </c>
      <c r="S1254" s="8" t="n">
        <f aca="false">IF(N1254="Completed On Time",Assumptions!$B$16,IF(N1254="Completed Late",Assumptions!$B$17,Assumptions!$B$18))</f>
        <v>100</v>
      </c>
      <c r="T1254" s="8" t="n">
        <f aca="false">IF(I1254=0,Assumptions!$B$20,IF(H1254&gt;I1254,Assumptions!$B$19,IF(H1254=I1254,Assumptions!$B$20,Assumptions!$B$21)))</f>
        <v>70</v>
      </c>
      <c r="U1254" s="8" t="n">
        <f aca="false">ROUND(P1254*Assumptions!$B$2+Q1254*Assumptions!$B$3+R1254*Assumptions!$B$4+S1254*Assumptions!$B$5+T1254*Assumptions!$B$6,0)</f>
        <v>77</v>
      </c>
      <c r="V1254" s="8" t="str">
        <f aca="false">IF(U1254&gt;=Assumptions!$B$10,"Healthy",IF(U1254&gt;=Assumptions!$B$11,"Needs Attention","High Risk"))</f>
        <v>Needs Attention</v>
      </c>
    </row>
    <row r="1255" customFormat="false" ht="15" hidden="false" customHeight="false" outlineLevel="0" collapsed="false">
      <c r="A1255" s="8" t="s">
        <v>2652</v>
      </c>
      <c r="B1255" s="8" t="s">
        <v>2653</v>
      </c>
      <c r="C1255" s="8" t="s">
        <v>51</v>
      </c>
      <c r="D1255" s="8" t="s">
        <v>326</v>
      </c>
      <c r="E1255" s="8" t="s">
        <v>123</v>
      </c>
      <c r="F1255" s="8" t="s">
        <v>151</v>
      </c>
      <c r="G1255" s="8" t="s">
        <v>137</v>
      </c>
      <c r="H1255" s="15" t="n">
        <v>425</v>
      </c>
      <c r="I1255" s="15" t="n">
        <v>425</v>
      </c>
      <c r="J1255" s="16" t="n">
        <v>0.863</v>
      </c>
      <c r="K1255" s="8" t="n">
        <v>11.3</v>
      </c>
      <c r="L1255" s="8" t="n">
        <v>8</v>
      </c>
      <c r="M1255" s="8" t="n">
        <v>1</v>
      </c>
      <c r="N1255" s="8" t="s">
        <v>120</v>
      </c>
      <c r="O1255" s="15" t="n">
        <f aca="false">H1255*12</f>
        <v>5100</v>
      </c>
      <c r="P1255" s="8" t="n">
        <f aca="false">MIN(100,ROUND(100*J1255/Assumptions!$B$8,0))</f>
        <v>96</v>
      </c>
      <c r="Q1255" s="8" t="n">
        <f aca="false">IF(L1255="",Assumptions!$B$9,L1255*10)</f>
        <v>80</v>
      </c>
      <c r="R1255" s="8" t="n">
        <f aca="false">IF(M1255&lt;=1,Assumptions!$B$12,IF(M1255&lt;=3,Assumptions!$B$13,IF(M1255&lt;=6,Assumptions!$B$14,Assumptions!$B$15)))</f>
        <v>100</v>
      </c>
      <c r="S1255" s="8" t="n">
        <f aca="false">IF(N1255="Completed On Time",Assumptions!$B$16,IF(N1255="Completed Late",Assumptions!$B$17,Assumptions!$B$18))</f>
        <v>100</v>
      </c>
      <c r="T1255" s="8" t="n">
        <f aca="false">IF(I1255=0,Assumptions!$B$20,IF(H1255&gt;I1255,Assumptions!$B$19,IF(H1255=I1255,Assumptions!$B$20,Assumptions!$B$21)))</f>
        <v>70</v>
      </c>
      <c r="U1255" s="8" t="n">
        <f aca="false">ROUND(P1255*Assumptions!$B$2+Q1255*Assumptions!$B$3+R1255*Assumptions!$B$4+S1255*Assumptions!$B$5+T1255*Assumptions!$B$6,0)</f>
        <v>89</v>
      </c>
      <c r="V1255" s="8" t="str">
        <f aca="false">IF(U1255&gt;=Assumptions!$B$10,"Healthy",IF(U1255&gt;=Assumptions!$B$11,"Needs Attention","High Risk"))</f>
        <v>Healthy</v>
      </c>
    </row>
    <row r="1256" customFormat="false" ht="15" hidden="false" customHeight="false" outlineLevel="0" collapsed="false">
      <c r="A1256" s="8" t="s">
        <v>2654</v>
      </c>
      <c r="B1256" s="8" t="s">
        <v>2655</v>
      </c>
      <c r="C1256" s="8" t="s">
        <v>51</v>
      </c>
      <c r="D1256" s="8" t="s">
        <v>326</v>
      </c>
      <c r="E1256" s="8" t="s">
        <v>132</v>
      </c>
      <c r="F1256" s="8" t="s">
        <v>124</v>
      </c>
      <c r="G1256" s="8" t="s">
        <v>147</v>
      </c>
      <c r="H1256" s="15" t="n">
        <v>425</v>
      </c>
      <c r="I1256" s="15" t="n">
        <v>425</v>
      </c>
      <c r="J1256" s="16" t="n">
        <v>0.706</v>
      </c>
      <c r="K1256" s="8" t="n">
        <v>7.3</v>
      </c>
      <c r="L1256" s="8" t="n">
        <v>5</v>
      </c>
      <c r="M1256" s="8" t="n">
        <v>4</v>
      </c>
      <c r="N1256" s="8" t="s">
        <v>120</v>
      </c>
      <c r="O1256" s="15" t="n">
        <f aca="false">H1256*12</f>
        <v>5100</v>
      </c>
      <c r="P1256" s="8" t="n">
        <f aca="false">MIN(100,ROUND(100*J1256/Assumptions!$B$8,0))</f>
        <v>78</v>
      </c>
      <c r="Q1256" s="8" t="n">
        <f aca="false">IF(L1256="",Assumptions!$B$9,L1256*10)</f>
        <v>50</v>
      </c>
      <c r="R1256" s="8" t="n">
        <f aca="false">IF(M1256&lt;=1,Assumptions!$B$12,IF(M1256&lt;=3,Assumptions!$B$13,IF(M1256&lt;=6,Assumptions!$B$14,Assumptions!$B$15)))</f>
        <v>50</v>
      </c>
      <c r="S1256" s="8" t="n">
        <f aca="false">IF(N1256="Completed On Time",Assumptions!$B$16,IF(N1256="Completed Late",Assumptions!$B$17,Assumptions!$B$18))</f>
        <v>100</v>
      </c>
      <c r="T1256" s="8" t="n">
        <f aca="false">IF(I1256=0,Assumptions!$B$20,IF(H1256&gt;I1256,Assumptions!$B$19,IF(H1256=I1256,Assumptions!$B$20,Assumptions!$B$21)))</f>
        <v>70</v>
      </c>
      <c r="U1256" s="8" t="n">
        <f aca="false">ROUND(P1256*Assumptions!$B$2+Q1256*Assumptions!$B$3+R1256*Assumptions!$B$4+S1256*Assumptions!$B$5+T1256*Assumptions!$B$6,0)</f>
        <v>69</v>
      </c>
      <c r="V1256" s="8" t="str">
        <f aca="false">IF(U1256&gt;=Assumptions!$B$10,"Healthy",IF(U1256&gt;=Assumptions!$B$11,"Needs Attention","High Risk"))</f>
        <v>Needs Attention</v>
      </c>
    </row>
    <row r="1257" customFormat="false" ht="15" hidden="false" customHeight="false" outlineLevel="0" collapsed="false">
      <c r="A1257" s="8" t="s">
        <v>2656</v>
      </c>
      <c r="B1257" s="8" t="s">
        <v>2657</v>
      </c>
      <c r="C1257" s="8" t="s">
        <v>51</v>
      </c>
      <c r="D1257" s="8" t="s">
        <v>326</v>
      </c>
      <c r="E1257" s="8" t="s">
        <v>123</v>
      </c>
      <c r="F1257" s="8" t="s">
        <v>133</v>
      </c>
      <c r="G1257" s="8" t="s">
        <v>140</v>
      </c>
      <c r="H1257" s="15" t="n">
        <v>425</v>
      </c>
      <c r="I1257" s="15" t="n">
        <v>325</v>
      </c>
      <c r="J1257" s="16" t="n">
        <v>0.787</v>
      </c>
      <c r="K1257" s="8" t="n">
        <v>10.3</v>
      </c>
      <c r="L1257" s="8" t="n">
        <v>10</v>
      </c>
      <c r="M1257" s="8" t="n">
        <v>4</v>
      </c>
      <c r="N1257" s="8" t="s">
        <v>120</v>
      </c>
      <c r="O1257" s="15" t="n">
        <f aca="false">H1257*12</f>
        <v>5100</v>
      </c>
      <c r="P1257" s="8" t="n">
        <f aca="false">MIN(100,ROUND(100*J1257/Assumptions!$B$8,0))</f>
        <v>87</v>
      </c>
      <c r="Q1257" s="8" t="n">
        <f aca="false">IF(L1257="",Assumptions!$B$9,L1257*10)</f>
        <v>100</v>
      </c>
      <c r="R1257" s="8" t="n">
        <f aca="false">IF(M1257&lt;=1,Assumptions!$B$12,IF(M1257&lt;=3,Assumptions!$B$13,IF(M1257&lt;=6,Assumptions!$B$14,Assumptions!$B$15)))</f>
        <v>50</v>
      </c>
      <c r="S1257" s="8" t="n">
        <f aca="false">IF(N1257="Completed On Time",Assumptions!$B$16,IF(N1257="Completed Late",Assumptions!$B$17,Assumptions!$B$18))</f>
        <v>100</v>
      </c>
      <c r="T1257" s="8" t="n">
        <f aca="false">IF(I1257=0,Assumptions!$B$20,IF(H1257&gt;I1257,Assumptions!$B$19,IF(H1257=I1257,Assumptions!$B$20,Assumptions!$B$21)))</f>
        <v>100</v>
      </c>
      <c r="U1257" s="8" t="n">
        <f aca="false">ROUND(P1257*Assumptions!$B$2+Q1257*Assumptions!$B$3+R1257*Assumptions!$B$4+S1257*Assumptions!$B$5+T1257*Assumptions!$B$6,0)</f>
        <v>88</v>
      </c>
      <c r="V1257" s="8" t="str">
        <f aca="false">IF(U1257&gt;=Assumptions!$B$10,"Healthy",IF(U1257&gt;=Assumptions!$B$11,"Needs Attention","High Risk"))</f>
        <v>Healthy</v>
      </c>
    </row>
    <row r="1258" customFormat="false" ht="15" hidden="false" customHeight="false" outlineLevel="0" collapsed="false">
      <c r="A1258" s="8" t="s">
        <v>2658</v>
      </c>
      <c r="B1258" s="8" t="s">
        <v>2659</v>
      </c>
      <c r="C1258" s="8" t="s">
        <v>51</v>
      </c>
      <c r="D1258" s="8" t="s">
        <v>326</v>
      </c>
      <c r="E1258" s="8" t="s">
        <v>123</v>
      </c>
      <c r="F1258" s="8" t="s">
        <v>151</v>
      </c>
      <c r="G1258" s="8" t="s">
        <v>159</v>
      </c>
      <c r="H1258" s="15" t="n">
        <v>425</v>
      </c>
      <c r="I1258" s="15" t="n">
        <v>425</v>
      </c>
      <c r="J1258" s="16" t="n">
        <v>0.725</v>
      </c>
      <c r="K1258" s="8" t="n">
        <v>7.7</v>
      </c>
      <c r="L1258" s="8" t="n">
        <v>8</v>
      </c>
      <c r="M1258" s="8" t="n">
        <v>1</v>
      </c>
      <c r="N1258" s="8" t="s">
        <v>120</v>
      </c>
      <c r="O1258" s="15" t="n">
        <f aca="false">H1258*12</f>
        <v>5100</v>
      </c>
      <c r="P1258" s="8" t="n">
        <f aca="false">MIN(100,ROUND(100*J1258/Assumptions!$B$8,0))</f>
        <v>81</v>
      </c>
      <c r="Q1258" s="8" t="n">
        <f aca="false">IF(L1258="",Assumptions!$B$9,L1258*10)</f>
        <v>80</v>
      </c>
      <c r="R1258" s="8" t="n">
        <f aca="false">IF(M1258&lt;=1,Assumptions!$B$12,IF(M1258&lt;=3,Assumptions!$B$13,IF(M1258&lt;=6,Assumptions!$B$14,Assumptions!$B$15)))</f>
        <v>100</v>
      </c>
      <c r="S1258" s="8" t="n">
        <f aca="false">IF(N1258="Completed On Time",Assumptions!$B$16,IF(N1258="Completed Late",Assumptions!$B$17,Assumptions!$B$18))</f>
        <v>100</v>
      </c>
      <c r="T1258" s="8" t="n">
        <f aca="false">IF(I1258=0,Assumptions!$B$20,IF(H1258&gt;I1258,Assumptions!$B$19,IF(H1258=I1258,Assumptions!$B$20,Assumptions!$B$21)))</f>
        <v>70</v>
      </c>
      <c r="U1258" s="8" t="n">
        <f aca="false">ROUND(P1258*Assumptions!$B$2+Q1258*Assumptions!$B$3+R1258*Assumptions!$B$4+S1258*Assumptions!$B$5+T1258*Assumptions!$B$6,0)</f>
        <v>83</v>
      </c>
      <c r="V1258" s="8" t="str">
        <f aca="false">IF(U1258&gt;=Assumptions!$B$10,"Healthy",IF(U1258&gt;=Assumptions!$B$11,"Needs Attention","High Risk"))</f>
        <v>Healthy</v>
      </c>
    </row>
    <row r="1259" customFormat="false" ht="15" hidden="false" customHeight="false" outlineLevel="0" collapsed="false">
      <c r="A1259" s="8" t="s">
        <v>2660</v>
      </c>
      <c r="B1259" s="8" t="s">
        <v>2661</v>
      </c>
      <c r="C1259" s="8" t="s">
        <v>51</v>
      </c>
      <c r="D1259" s="8" t="s">
        <v>326</v>
      </c>
      <c r="E1259" s="8" t="s">
        <v>132</v>
      </c>
      <c r="F1259" s="8" t="s">
        <v>133</v>
      </c>
      <c r="G1259" s="8" t="s">
        <v>147</v>
      </c>
      <c r="H1259" s="15" t="n">
        <v>425</v>
      </c>
      <c r="I1259" s="15" t="n">
        <v>325</v>
      </c>
      <c r="J1259" s="16" t="n">
        <v>0.608</v>
      </c>
      <c r="K1259" s="8" t="n">
        <v>8.3</v>
      </c>
      <c r="L1259" s="8" t="n">
        <v>9</v>
      </c>
      <c r="M1259" s="8" t="n">
        <v>2</v>
      </c>
      <c r="N1259" s="8" t="s">
        <v>120</v>
      </c>
      <c r="O1259" s="15" t="n">
        <f aca="false">H1259*12</f>
        <v>5100</v>
      </c>
      <c r="P1259" s="8" t="n">
        <f aca="false">MIN(100,ROUND(100*J1259/Assumptions!$B$8,0))</f>
        <v>68</v>
      </c>
      <c r="Q1259" s="8" t="n">
        <f aca="false">IF(L1259="",Assumptions!$B$9,L1259*10)</f>
        <v>90</v>
      </c>
      <c r="R1259" s="8" t="n">
        <f aca="false">IF(M1259&lt;=1,Assumptions!$B$12,IF(M1259&lt;=3,Assumptions!$B$13,IF(M1259&lt;=6,Assumptions!$B$14,Assumptions!$B$15)))</f>
        <v>75</v>
      </c>
      <c r="S1259" s="8" t="n">
        <f aca="false">IF(N1259="Completed On Time",Assumptions!$B$16,IF(N1259="Completed Late",Assumptions!$B$17,Assumptions!$B$18))</f>
        <v>100</v>
      </c>
      <c r="T1259" s="8" t="n">
        <f aca="false">IF(I1259=0,Assumptions!$B$20,IF(H1259&gt;I1259,Assumptions!$B$19,IF(H1259=I1259,Assumptions!$B$20,Assumptions!$B$21)))</f>
        <v>100</v>
      </c>
      <c r="U1259" s="8" t="n">
        <f aca="false">ROUND(P1259*Assumptions!$B$2+Q1259*Assumptions!$B$3+R1259*Assumptions!$B$4+S1259*Assumptions!$B$5+T1259*Assumptions!$B$6,0)</f>
        <v>83</v>
      </c>
      <c r="V1259" s="8" t="str">
        <f aca="false">IF(U1259&gt;=Assumptions!$B$10,"Healthy",IF(U1259&gt;=Assumptions!$B$11,"Needs Attention","High Risk"))</f>
        <v>Healthy</v>
      </c>
    </row>
    <row r="1260" customFormat="false" ht="15" hidden="false" customHeight="false" outlineLevel="0" collapsed="false">
      <c r="A1260" s="8" t="s">
        <v>2662</v>
      </c>
      <c r="B1260" s="8" t="s">
        <v>2663</v>
      </c>
      <c r="C1260" s="8" t="s">
        <v>51</v>
      </c>
      <c r="D1260" s="8" t="s">
        <v>2027</v>
      </c>
      <c r="E1260" s="8" t="s">
        <v>117</v>
      </c>
      <c r="F1260" s="8" t="s">
        <v>190</v>
      </c>
      <c r="G1260" s="8" t="s">
        <v>204</v>
      </c>
      <c r="H1260" s="15" t="n">
        <v>420</v>
      </c>
      <c r="I1260" s="15" t="n">
        <v>372</v>
      </c>
      <c r="J1260" s="16" t="n">
        <v>0.794</v>
      </c>
      <c r="K1260" s="8" t="n">
        <v>10.3</v>
      </c>
      <c r="L1260" s="8" t="n">
        <v>10</v>
      </c>
      <c r="M1260" s="8" t="n">
        <v>3</v>
      </c>
      <c r="N1260" s="8" t="s">
        <v>120</v>
      </c>
      <c r="O1260" s="15" t="n">
        <f aca="false">H1260*12</f>
        <v>5040</v>
      </c>
      <c r="P1260" s="8" t="n">
        <f aca="false">MIN(100,ROUND(100*J1260/Assumptions!$B$8,0))</f>
        <v>88</v>
      </c>
      <c r="Q1260" s="8" t="n">
        <f aca="false">IF(L1260="",Assumptions!$B$9,L1260*10)</f>
        <v>100</v>
      </c>
      <c r="R1260" s="8" t="n">
        <f aca="false">IF(M1260&lt;=1,Assumptions!$B$12,IF(M1260&lt;=3,Assumptions!$B$13,IF(M1260&lt;=6,Assumptions!$B$14,Assumptions!$B$15)))</f>
        <v>75</v>
      </c>
      <c r="S1260" s="8" t="n">
        <f aca="false">IF(N1260="Completed On Time",Assumptions!$B$16,IF(N1260="Completed Late",Assumptions!$B$17,Assumptions!$B$18))</f>
        <v>100</v>
      </c>
      <c r="T1260" s="8" t="n">
        <f aca="false">IF(I1260=0,Assumptions!$B$20,IF(H1260&gt;I1260,Assumptions!$B$19,IF(H1260=I1260,Assumptions!$B$20,Assumptions!$B$21)))</f>
        <v>100</v>
      </c>
      <c r="U1260" s="8" t="n">
        <f aca="false">ROUND(P1260*Assumptions!$B$2+Q1260*Assumptions!$B$3+R1260*Assumptions!$B$4+S1260*Assumptions!$B$5+T1260*Assumptions!$B$6,0)</f>
        <v>92</v>
      </c>
      <c r="V1260" s="8" t="str">
        <f aca="false">IF(U1260&gt;=Assumptions!$B$10,"Healthy",IF(U1260&gt;=Assumptions!$B$11,"Needs Attention","High Risk"))</f>
        <v>Healthy</v>
      </c>
    </row>
    <row r="1261" customFormat="false" ht="15" hidden="false" customHeight="false" outlineLevel="0" collapsed="false">
      <c r="A1261" s="8" t="s">
        <v>2664</v>
      </c>
      <c r="B1261" s="8" t="s">
        <v>2665</v>
      </c>
      <c r="C1261" s="8" t="s">
        <v>51</v>
      </c>
      <c r="D1261" s="8" t="s">
        <v>2027</v>
      </c>
      <c r="E1261" s="8" t="s">
        <v>132</v>
      </c>
      <c r="F1261" s="8" t="s">
        <v>124</v>
      </c>
      <c r="G1261" s="8" t="s">
        <v>137</v>
      </c>
      <c r="H1261" s="15" t="n">
        <v>420</v>
      </c>
      <c r="I1261" s="15" t="n">
        <v>504</v>
      </c>
      <c r="J1261" s="16" t="n">
        <v>0.832</v>
      </c>
      <c r="K1261" s="8" t="n">
        <v>10.7</v>
      </c>
      <c r="L1261" s="8" t="n">
        <v>10</v>
      </c>
      <c r="M1261" s="8" t="n">
        <v>1</v>
      </c>
      <c r="N1261" s="8" t="s">
        <v>120</v>
      </c>
      <c r="O1261" s="15" t="n">
        <f aca="false">H1261*12</f>
        <v>5040</v>
      </c>
      <c r="P1261" s="8" t="n">
        <f aca="false">MIN(100,ROUND(100*J1261/Assumptions!$B$8,0))</f>
        <v>92</v>
      </c>
      <c r="Q1261" s="8" t="n">
        <f aca="false">IF(L1261="",Assumptions!$B$9,L1261*10)</f>
        <v>100</v>
      </c>
      <c r="R1261" s="8" t="n">
        <f aca="false">IF(M1261&lt;=1,Assumptions!$B$12,IF(M1261&lt;=3,Assumptions!$B$13,IF(M1261&lt;=6,Assumptions!$B$14,Assumptions!$B$15)))</f>
        <v>100</v>
      </c>
      <c r="S1261" s="8" t="n">
        <f aca="false">IF(N1261="Completed On Time",Assumptions!$B$16,IF(N1261="Completed Late",Assumptions!$B$17,Assumptions!$B$18))</f>
        <v>100</v>
      </c>
      <c r="T1261" s="8" t="n">
        <f aca="false">IF(I1261=0,Assumptions!$B$20,IF(H1261&gt;I1261,Assumptions!$B$19,IF(H1261=I1261,Assumptions!$B$20,Assumptions!$B$21)))</f>
        <v>30</v>
      </c>
      <c r="U1261" s="8" t="n">
        <f aca="false">ROUND(P1261*Assumptions!$B$2+Q1261*Assumptions!$B$3+R1261*Assumptions!$B$4+S1261*Assumptions!$B$5+T1261*Assumptions!$B$6,0)</f>
        <v>83</v>
      </c>
      <c r="V1261" s="8" t="str">
        <f aca="false">IF(U1261&gt;=Assumptions!$B$10,"Healthy",IF(U1261&gt;=Assumptions!$B$11,"Needs Attention","High Risk"))</f>
        <v>Healthy</v>
      </c>
    </row>
    <row r="1262" customFormat="false" ht="15" hidden="false" customHeight="false" outlineLevel="0" collapsed="false">
      <c r="A1262" s="8" t="s">
        <v>2666</v>
      </c>
      <c r="B1262" s="8" t="s">
        <v>2667</v>
      </c>
      <c r="C1262" s="8" t="s">
        <v>51</v>
      </c>
      <c r="D1262" s="8" t="s">
        <v>2027</v>
      </c>
      <c r="E1262" s="8" t="s">
        <v>123</v>
      </c>
      <c r="F1262" s="8" t="s">
        <v>223</v>
      </c>
      <c r="G1262" s="8" t="s">
        <v>137</v>
      </c>
      <c r="H1262" s="15" t="n">
        <v>420</v>
      </c>
      <c r="I1262" s="15" t="n">
        <v>420</v>
      </c>
      <c r="J1262" s="16" t="n">
        <v>0.829</v>
      </c>
      <c r="K1262" s="8" t="n">
        <v>9.7</v>
      </c>
      <c r="L1262" s="8" t="n">
        <v>8</v>
      </c>
      <c r="M1262" s="8" t="n">
        <v>3</v>
      </c>
      <c r="N1262" s="8" t="s">
        <v>120</v>
      </c>
      <c r="O1262" s="15" t="n">
        <f aca="false">H1262*12</f>
        <v>5040</v>
      </c>
      <c r="P1262" s="8" t="n">
        <f aca="false">MIN(100,ROUND(100*J1262/Assumptions!$B$8,0))</f>
        <v>92</v>
      </c>
      <c r="Q1262" s="8" t="n">
        <f aca="false">IF(L1262="",Assumptions!$B$9,L1262*10)</f>
        <v>80</v>
      </c>
      <c r="R1262" s="8" t="n">
        <f aca="false">IF(M1262&lt;=1,Assumptions!$B$12,IF(M1262&lt;=3,Assumptions!$B$13,IF(M1262&lt;=6,Assumptions!$B$14,Assumptions!$B$15)))</f>
        <v>75</v>
      </c>
      <c r="S1262" s="8" t="n">
        <f aca="false">IF(N1262="Completed On Time",Assumptions!$B$16,IF(N1262="Completed Late",Assumptions!$B$17,Assumptions!$B$18))</f>
        <v>100</v>
      </c>
      <c r="T1262" s="8" t="n">
        <f aca="false">IF(I1262=0,Assumptions!$B$20,IF(H1262&gt;I1262,Assumptions!$B$19,IF(H1262=I1262,Assumptions!$B$20,Assumptions!$B$21)))</f>
        <v>70</v>
      </c>
      <c r="U1262" s="8" t="n">
        <f aca="false">ROUND(P1262*Assumptions!$B$2+Q1262*Assumptions!$B$3+R1262*Assumptions!$B$4+S1262*Assumptions!$B$5+T1262*Assumptions!$B$6,0)</f>
        <v>83</v>
      </c>
      <c r="V1262" s="8" t="str">
        <f aca="false">IF(U1262&gt;=Assumptions!$B$10,"Healthy",IF(U1262&gt;=Assumptions!$B$11,"Needs Attention","High Risk"))</f>
        <v>Healthy</v>
      </c>
    </row>
    <row r="1263" customFormat="false" ht="15" hidden="false" customHeight="false" outlineLevel="0" collapsed="false">
      <c r="A1263" s="8" t="s">
        <v>2668</v>
      </c>
      <c r="B1263" s="8" t="s">
        <v>2669</v>
      </c>
      <c r="C1263" s="8" t="s">
        <v>51</v>
      </c>
      <c r="D1263" s="8" t="s">
        <v>2027</v>
      </c>
      <c r="E1263" s="8" t="s">
        <v>117</v>
      </c>
      <c r="F1263" s="8" t="s">
        <v>223</v>
      </c>
      <c r="G1263" s="8" t="s">
        <v>125</v>
      </c>
      <c r="H1263" s="15" t="n">
        <v>420</v>
      </c>
      <c r="I1263" s="15" t="n">
        <v>420</v>
      </c>
      <c r="J1263" s="16" t="n">
        <v>0.886</v>
      </c>
      <c r="K1263" s="8" t="n">
        <v>11</v>
      </c>
      <c r="L1263" s="8" t="n">
        <v>10</v>
      </c>
      <c r="M1263" s="8" t="n">
        <v>1</v>
      </c>
      <c r="N1263" s="8" t="s">
        <v>120</v>
      </c>
      <c r="O1263" s="15" t="n">
        <f aca="false">H1263*12</f>
        <v>5040</v>
      </c>
      <c r="P1263" s="8" t="n">
        <f aca="false">MIN(100,ROUND(100*J1263/Assumptions!$B$8,0))</f>
        <v>98</v>
      </c>
      <c r="Q1263" s="8" t="n">
        <f aca="false">IF(L1263="",Assumptions!$B$9,L1263*10)</f>
        <v>100</v>
      </c>
      <c r="R1263" s="8" t="n">
        <f aca="false">IF(M1263&lt;=1,Assumptions!$B$12,IF(M1263&lt;=3,Assumptions!$B$13,IF(M1263&lt;=6,Assumptions!$B$14,Assumptions!$B$15)))</f>
        <v>100</v>
      </c>
      <c r="S1263" s="8" t="n">
        <f aca="false">IF(N1263="Completed On Time",Assumptions!$B$16,IF(N1263="Completed Late",Assumptions!$B$17,Assumptions!$B$18))</f>
        <v>100</v>
      </c>
      <c r="T1263" s="8" t="n">
        <f aca="false">IF(I1263=0,Assumptions!$B$20,IF(H1263&gt;I1263,Assumptions!$B$19,IF(H1263=I1263,Assumptions!$B$20,Assumptions!$B$21)))</f>
        <v>70</v>
      </c>
      <c r="U1263" s="8" t="n">
        <f aca="false">ROUND(P1263*Assumptions!$B$2+Q1263*Assumptions!$B$3+R1263*Assumptions!$B$4+S1263*Assumptions!$B$5+T1263*Assumptions!$B$6,0)</f>
        <v>93</v>
      </c>
      <c r="V1263" s="8" t="str">
        <f aca="false">IF(U1263&gt;=Assumptions!$B$10,"Healthy",IF(U1263&gt;=Assumptions!$B$11,"Needs Attention","High Risk"))</f>
        <v>Healthy</v>
      </c>
    </row>
    <row r="1264" customFormat="false" ht="15" hidden="false" customHeight="false" outlineLevel="0" collapsed="false">
      <c r="A1264" s="8" t="s">
        <v>2670</v>
      </c>
      <c r="B1264" s="8" t="s">
        <v>2671</v>
      </c>
      <c r="C1264" s="8" t="s">
        <v>51</v>
      </c>
      <c r="D1264" s="8" t="s">
        <v>2027</v>
      </c>
      <c r="E1264" s="8" t="s">
        <v>128</v>
      </c>
      <c r="F1264" s="8" t="s">
        <v>166</v>
      </c>
      <c r="G1264" s="8" t="s">
        <v>119</v>
      </c>
      <c r="H1264" s="15" t="n">
        <v>420</v>
      </c>
      <c r="I1264" s="15" t="n">
        <v>420</v>
      </c>
      <c r="J1264" s="16" t="n">
        <v>0.81</v>
      </c>
      <c r="K1264" s="8" t="n">
        <v>9</v>
      </c>
      <c r="L1264" s="8" t="n">
        <v>10</v>
      </c>
      <c r="M1264" s="8" t="n">
        <v>2</v>
      </c>
      <c r="N1264" s="8" t="s">
        <v>120</v>
      </c>
      <c r="O1264" s="15" t="n">
        <f aca="false">H1264*12</f>
        <v>5040</v>
      </c>
      <c r="P1264" s="8" t="n">
        <f aca="false">MIN(100,ROUND(100*J1264/Assumptions!$B$8,0))</f>
        <v>90</v>
      </c>
      <c r="Q1264" s="8" t="n">
        <f aca="false">IF(L1264="",Assumptions!$B$9,L1264*10)</f>
        <v>100</v>
      </c>
      <c r="R1264" s="8" t="n">
        <f aca="false">IF(M1264&lt;=1,Assumptions!$B$12,IF(M1264&lt;=3,Assumptions!$B$13,IF(M1264&lt;=6,Assumptions!$B$14,Assumptions!$B$15)))</f>
        <v>75</v>
      </c>
      <c r="S1264" s="8" t="n">
        <f aca="false">IF(N1264="Completed On Time",Assumptions!$B$16,IF(N1264="Completed Late",Assumptions!$B$17,Assumptions!$B$18))</f>
        <v>100</v>
      </c>
      <c r="T1264" s="8" t="n">
        <f aca="false">IF(I1264=0,Assumptions!$B$20,IF(H1264&gt;I1264,Assumptions!$B$19,IF(H1264=I1264,Assumptions!$B$20,Assumptions!$B$21)))</f>
        <v>70</v>
      </c>
      <c r="U1264" s="8" t="n">
        <f aca="false">ROUND(P1264*Assumptions!$B$2+Q1264*Assumptions!$B$3+R1264*Assumptions!$B$4+S1264*Assumptions!$B$5+T1264*Assumptions!$B$6,0)</f>
        <v>87</v>
      </c>
      <c r="V1264" s="8" t="str">
        <f aca="false">IF(U1264&gt;=Assumptions!$B$10,"Healthy",IF(U1264&gt;=Assumptions!$B$11,"Needs Attention","High Risk"))</f>
        <v>Healthy</v>
      </c>
    </row>
    <row r="1265" customFormat="false" ht="15" hidden="false" customHeight="false" outlineLevel="0" collapsed="false">
      <c r="A1265" s="8" t="s">
        <v>2672</v>
      </c>
      <c r="B1265" s="8" t="s">
        <v>2673</v>
      </c>
      <c r="C1265" s="8" t="s">
        <v>51</v>
      </c>
      <c r="D1265" s="8" t="s">
        <v>2027</v>
      </c>
      <c r="E1265" s="8" t="s">
        <v>132</v>
      </c>
      <c r="F1265" s="8" t="s">
        <v>190</v>
      </c>
      <c r="G1265" s="8" t="s">
        <v>177</v>
      </c>
      <c r="H1265" s="15" t="n">
        <v>420</v>
      </c>
      <c r="I1265" s="15" t="n">
        <v>420</v>
      </c>
      <c r="J1265" s="16" t="n">
        <v>0.667</v>
      </c>
      <c r="K1265" s="8" t="n">
        <v>8.7</v>
      </c>
      <c r="L1265" s="8" t="n">
        <v>8</v>
      </c>
      <c r="M1265" s="8" t="n">
        <v>1</v>
      </c>
      <c r="N1265" s="8" t="s">
        <v>120</v>
      </c>
      <c r="O1265" s="15" t="n">
        <f aca="false">H1265*12</f>
        <v>5040</v>
      </c>
      <c r="P1265" s="8" t="n">
        <f aca="false">MIN(100,ROUND(100*J1265/Assumptions!$B$8,0))</f>
        <v>74</v>
      </c>
      <c r="Q1265" s="8" t="n">
        <f aca="false">IF(L1265="",Assumptions!$B$9,L1265*10)</f>
        <v>80</v>
      </c>
      <c r="R1265" s="8" t="n">
        <f aca="false">IF(M1265&lt;=1,Assumptions!$B$12,IF(M1265&lt;=3,Assumptions!$B$13,IF(M1265&lt;=6,Assumptions!$B$14,Assumptions!$B$15)))</f>
        <v>100</v>
      </c>
      <c r="S1265" s="8" t="n">
        <f aca="false">IF(N1265="Completed On Time",Assumptions!$B$16,IF(N1265="Completed Late",Assumptions!$B$17,Assumptions!$B$18))</f>
        <v>100</v>
      </c>
      <c r="T1265" s="8" t="n">
        <f aca="false">IF(I1265=0,Assumptions!$B$20,IF(H1265&gt;I1265,Assumptions!$B$19,IF(H1265=I1265,Assumptions!$B$20,Assumptions!$B$21)))</f>
        <v>70</v>
      </c>
      <c r="U1265" s="8" t="n">
        <f aca="false">ROUND(P1265*Assumptions!$B$2+Q1265*Assumptions!$B$3+R1265*Assumptions!$B$4+S1265*Assumptions!$B$5+T1265*Assumptions!$B$6,0)</f>
        <v>81</v>
      </c>
      <c r="V1265" s="8" t="str">
        <f aca="false">IF(U1265&gt;=Assumptions!$B$10,"Healthy",IF(U1265&gt;=Assumptions!$B$11,"Needs Attention","High Risk"))</f>
        <v>Healthy</v>
      </c>
    </row>
    <row r="1266" customFormat="false" ht="15" hidden="false" customHeight="false" outlineLevel="0" collapsed="false">
      <c r="A1266" s="8" t="s">
        <v>2674</v>
      </c>
      <c r="B1266" s="8" t="s">
        <v>2675</v>
      </c>
      <c r="C1266" s="8" t="s">
        <v>51</v>
      </c>
      <c r="D1266" s="8" t="s">
        <v>2027</v>
      </c>
      <c r="E1266" s="8" t="s">
        <v>132</v>
      </c>
      <c r="F1266" s="8" t="s">
        <v>133</v>
      </c>
      <c r="G1266" s="8" t="s">
        <v>180</v>
      </c>
      <c r="H1266" s="15" t="n">
        <v>420</v>
      </c>
      <c r="I1266" s="15" t="n">
        <v>420</v>
      </c>
      <c r="J1266" s="16" t="n">
        <v>0.714</v>
      </c>
      <c r="K1266" s="8" t="n">
        <v>7.7</v>
      </c>
      <c r="L1266" s="8" t="n">
        <v>8</v>
      </c>
      <c r="M1266" s="8" t="n">
        <v>3</v>
      </c>
      <c r="N1266" s="8" t="s">
        <v>120</v>
      </c>
      <c r="O1266" s="15" t="n">
        <f aca="false">H1266*12</f>
        <v>5040</v>
      </c>
      <c r="P1266" s="8" t="n">
        <f aca="false">MIN(100,ROUND(100*J1266/Assumptions!$B$8,0))</f>
        <v>79</v>
      </c>
      <c r="Q1266" s="8" t="n">
        <f aca="false">IF(L1266="",Assumptions!$B$9,L1266*10)</f>
        <v>80</v>
      </c>
      <c r="R1266" s="8" t="n">
        <f aca="false">IF(M1266&lt;=1,Assumptions!$B$12,IF(M1266&lt;=3,Assumptions!$B$13,IF(M1266&lt;=6,Assumptions!$B$14,Assumptions!$B$15)))</f>
        <v>75</v>
      </c>
      <c r="S1266" s="8" t="n">
        <f aca="false">IF(N1266="Completed On Time",Assumptions!$B$16,IF(N1266="Completed Late",Assumptions!$B$17,Assumptions!$B$18))</f>
        <v>100</v>
      </c>
      <c r="T1266" s="8" t="n">
        <f aca="false">IF(I1266=0,Assumptions!$B$20,IF(H1266&gt;I1266,Assumptions!$B$19,IF(H1266=I1266,Assumptions!$B$20,Assumptions!$B$21)))</f>
        <v>70</v>
      </c>
      <c r="U1266" s="8" t="n">
        <f aca="false">ROUND(P1266*Assumptions!$B$2+Q1266*Assumptions!$B$3+R1266*Assumptions!$B$4+S1266*Assumptions!$B$5+T1266*Assumptions!$B$6,0)</f>
        <v>79</v>
      </c>
      <c r="V1266" s="8" t="str">
        <f aca="false">IF(U1266&gt;=Assumptions!$B$10,"Healthy",IF(U1266&gt;=Assumptions!$B$11,"Needs Attention","High Risk"))</f>
        <v>Needs Attention</v>
      </c>
    </row>
    <row r="1267" customFormat="false" ht="15" hidden="false" customHeight="false" outlineLevel="0" collapsed="false">
      <c r="A1267" s="8" t="s">
        <v>2676</v>
      </c>
      <c r="B1267" s="8" t="s">
        <v>2677</v>
      </c>
      <c r="C1267" s="8" t="s">
        <v>51</v>
      </c>
      <c r="D1267" s="8" t="s">
        <v>2027</v>
      </c>
      <c r="E1267" s="8" t="s">
        <v>123</v>
      </c>
      <c r="F1267" s="8" t="s">
        <v>136</v>
      </c>
      <c r="G1267" s="8" t="s">
        <v>125</v>
      </c>
      <c r="H1267" s="15" t="n">
        <v>420</v>
      </c>
      <c r="I1267" s="15" t="n">
        <v>420</v>
      </c>
      <c r="J1267" s="16" t="n">
        <v>0.638</v>
      </c>
      <c r="K1267" s="8" t="n">
        <v>8.3</v>
      </c>
      <c r="L1267" s="8" t="n">
        <v>5</v>
      </c>
      <c r="M1267" s="8" t="n">
        <v>5</v>
      </c>
      <c r="N1267" s="8" t="s">
        <v>120</v>
      </c>
      <c r="O1267" s="15" t="n">
        <f aca="false">H1267*12</f>
        <v>5040</v>
      </c>
      <c r="P1267" s="8" t="n">
        <f aca="false">MIN(100,ROUND(100*J1267/Assumptions!$B$8,0))</f>
        <v>71</v>
      </c>
      <c r="Q1267" s="8" t="n">
        <f aca="false">IF(L1267="",Assumptions!$B$9,L1267*10)</f>
        <v>50</v>
      </c>
      <c r="R1267" s="8" t="n">
        <f aca="false">IF(M1267&lt;=1,Assumptions!$B$12,IF(M1267&lt;=3,Assumptions!$B$13,IF(M1267&lt;=6,Assumptions!$B$14,Assumptions!$B$15)))</f>
        <v>50</v>
      </c>
      <c r="S1267" s="8" t="n">
        <f aca="false">IF(N1267="Completed On Time",Assumptions!$B$16,IF(N1267="Completed Late",Assumptions!$B$17,Assumptions!$B$18))</f>
        <v>100</v>
      </c>
      <c r="T1267" s="8" t="n">
        <f aca="false">IF(I1267=0,Assumptions!$B$20,IF(H1267&gt;I1267,Assumptions!$B$19,IF(H1267=I1267,Assumptions!$B$20,Assumptions!$B$21)))</f>
        <v>70</v>
      </c>
      <c r="U1267" s="8" t="n">
        <f aca="false">ROUND(P1267*Assumptions!$B$2+Q1267*Assumptions!$B$3+R1267*Assumptions!$B$4+S1267*Assumptions!$B$5+T1267*Assumptions!$B$6,0)</f>
        <v>66</v>
      </c>
      <c r="V1267" s="8" t="str">
        <f aca="false">IF(U1267&gt;=Assumptions!$B$10,"Healthy",IF(U1267&gt;=Assumptions!$B$11,"Needs Attention","High Risk"))</f>
        <v>Needs Attention</v>
      </c>
    </row>
    <row r="1268" customFormat="false" ht="15" hidden="false" customHeight="false" outlineLevel="0" collapsed="false">
      <c r="A1268" s="8" t="s">
        <v>2678</v>
      </c>
      <c r="B1268" s="8" t="s">
        <v>2679</v>
      </c>
      <c r="C1268" s="8" t="s">
        <v>51</v>
      </c>
      <c r="D1268" s="8" t="s">
        <v>2027</v>
      </c>
      <c r="E1268" s="8" t="s">
        <v>123</v>
      </c>
      <c r="F1268" s="8" t="s">
        <v>151</v>
      </c>
      <c r="G1268" s="8" t="s">
        <v>125</v>
      </c>
      <c r="H1268" s="15" t="n">
        <v>420</v>
      </c>
      <c r="I1268" s="15" t="n">
        <v>420</v>
      </c>
      <c r="J1268" s="16" t="n">
        <v>0.829</v>
      </c>
      <c r="K1268" s="8" t="n">
        <v>9.3</v>
      </c>
      <c r="L1268" s="8" t="n">
        <v>6</v>
      </c>
      <c r="M1268" s="8" t="n">
        <v>1</v>
      </c>
      <c r="N1268" s="8" t="s">
        <v>120</v>
      </c>
      <c r="O1268" s="15" t="n">
        <f aca="false">H1268*12</f>
        <v>5040</v>
      </c>
      <c r="P1268" s="8" t="n">
        <f aca="false">MIN(100,ROUND(100*J1268/Assumptions!$B$8,0))</f>
        <v>92</v>
      </c>
      <c r="Q1268" s="8" t="n">
        <f aca="false">IF(L1268="",Assumptions!$B$9,L1268*10)</f>
        <v>60</v>
      </c>
      <c r="R1268" s="8" t="n">
        <f aca="false">IF(M1268&lt;=1,Assumptions!$B$12,IF(M1268&lt;=3,Assumptions!$B$13,IF(M1268&lt;=6,Assumptions!$B$14,Assumptions!$B$15)))</f>
        <v>100</v>
      </c>
      <c r="S1268" s="8" t="n">
        <f aca="false">IF(N1268="Completed On Time",Assumptions!$B$16,IF(N1268="Completed Late",Assumptions!$B$17,Assumptions!$B$18))</f>
        <v>100</v>
      </c>
      <c r="T1268" s="8" t="n">
        <f aca="false">IF(I1268=0,Assumptions!$B$20,IF(H1268&gt;I1268,Assumptions!$B$19,IF(H1268=I1268,Assumptions!$B$20,Assumptions!$B$21)))</f>
        <v>70</v>
      </c>
      <c r="U1268" s="8" t="n">
        <f aca="false">ROUND(P1268*Assumptions!$B$2+Q1268*Assumptions!$B$3+R1268*Assumptions!$B$4+S1268*Assumptions!$B$5+T1268*Assumptions!$B$6,0)</f>
        <v>83</v>
      </c>
      <c r="V1268" s="8" t="str">
        <f aca="false">IF(U1268&gt;=Assumptions!$B$10,"Healthy",IF(U1268&gt;=Assumptions!$B$11,"Needs Attention","High Risk"))</f>
        <v>Healthy</v>
      </c>
    </row>
    <row r="1269" customFormat="false" ht="15" hidden="false" customHeight="false" outlineLevel="0" collapsed="false">
      <c r="A1269" s="8" t="s">
        <v>2680</v>
      </c>
      <c r="B1269" s="8" t="s">
        <v>2681</v>
      </c>
      <c r="C1269" s="8" t="s">
        <v>51</v>
      </c>
      <c r="D1269" s="8" t="s">
        <v>2027</v>
      </c>
      <c r="E1269" s="8" t="s">
        <v>132</v>
      </c>
      <c r="F1269" s="8" t="s">
        <v>133</v>
      </c>
      <c r="G1269" s="8" t="s">
        <v>129</v>
      </c>
      <c r="H1269" s="15" t="n">
        <v>420</v>
      </c>
      <c r="I1269" s="15" t="n">
        <v>420</v>
      </c>
      <c r="J1269" s="16" t="n">
        <v>0.771</v>
      </c>
      <c r="K1269" s="8" t="n">
        <v>9</v>
      </c>
      <c r="L1269" s="8" t="n">
        <v>9</v>
      </c>
      <c r="M1269" s="8" t="n">
        <v>3</v>
      </c>
      <c r="N1269" s="8" t="s">
        <v>120</v>
      </c>
      <c r="O1269" s="15" t="n">
        <f aca="false">H1269*12</f>
        <v>5040</v>
      </c>
      <c r="P1269" s="8" t="n">
        <f aca="false">MIN(100,ROUND(100*J1269/Assumptions!$B$8,0))</f>
        <v>86</v>
      </c>
      <c r="Q1269" s="8" t="n">
        <f aca="false">IF(L1269="",Assumptions!$B$9,L1269*10)</f>
        <v>90</v>
      </c>
      <c r="R1269" s="8" t="n">
        <f aca="false">IF(M1269&lt;=1,Assumptions!$B$12,IF(M1269&lt;=3,Assumptions!$B$13,IF(M1269&lt;=6,Assumptions!$B$14,Assumptions!$B$15)))</f>
        <v>75</v>
      </c>
      <c r="S1269" s="8" t="n">
        <f aca="false">IF(N1269="Completed On Time",Assumptions!$B$16,IF(N1269="Completed Late",Assumptions!$B$17,Assumptions!$B$18))</f>
        <v>100</v>
      </c>
      <c r="T1269" s="8" t="n">
        <f aca="false">IF(I1269=0,Assumptions!$B$20,IF(H1269&gt;I1269,Assumptions!$B$19,IF(H1269=I1269,Assumptions!$B$20,Assumptions!$B$21)))</f>
        <v>70</v>
      </c>
      <c r="U1269" s="8" t="n">
        <f aca="false">ROUND(P1269*Assumptions!$B$2+Q1269*Assumptions!$B$3+R1269*Assumptions!$B$4+S1269*Assumptions!$B$5+T1269*Assumptions!$B$6,0)</f>
        <v>83</v>
      </c>
      <c r="V1269" s="8" t="str">
        <f aca="false">IF(U1269&gt;=Assumptions!$B$10,"Healthy",IF(U1269&gt;=Assumptions!$B$11,"Needs Attention","High Risk"))</f>
        <v>Healthy</v>
      </c>
    </row>
    <row r="1270" customFormat="false" ht="15" hidden="false" customHeight="false" outlineLevel="0" collapsed="false">
      <c r="A1270" s="8" t="s">
        <v>2682</v>
      </c>
      <c r="B1270" s="8" t="s">
        <v>2683</v>
      </c>
      <c r="C1270" s="8" t="s">
        <v>51</v>
      </c>
      <c r="D1270" s="8" t="s">
        <v>2027</v>
      </c>
      <c r="E1270" s="8" t="s">
        <v>132</v>
      </c>
      <c r="F1270" s="8" t="s">
        <v>154</v>
      </c>
      <c r="G1270" s="8" t="s">
        <v>119</v>
      </c>
      <c r="H1270" s="15" t="n">
        <v>420</v>
      </c>
      <c r="I1270" s="15" t="n">
        <v>420</v>
      </c>
      <c r="J1270" s="16" t="n">
        <v>0.629</v>
      </c>
      <c r="K1270" s="8" t="n">
        <v>6.3</v>
      </c>
      <c r="L1270" s="8" t="n">
        <v>7</v>
      </c>
      <c r="M1270" s="8" t="n">
        <v>3</v>
      </c>
      <c r="N1270" s="8" t="s">
        <v>120</v>
      </c>
      <c r="O1270" s="15" t="n">
        <f aca="false">H1270*12</f>
        <v>5040</v>
      </c>
      <c r="P1270" s="8" t="n">
        <f aca="false">MIN(100,ROUND(100*J1270/Assumptions!$B$8,0))</f>
        <v>70</v>
      </c>
      <c r="Q1270" s="8" t="n">
        <f aca="false">IF(L1270="",Assumptions!$B$9,L1270*10)</f>
        <v>70</v>
      </c>
      <c r="R1270" s="8" t="n">
        <f aca="false">IF(M1270&lt;=1,Assumptions!$B$12,IF(M1270&lt;=3,Assumptions!$B$13,IF(M1270&lt;=6,Assumptions!$B$14,Assumptions!$B$15)))</f>
        <v>75</v>
      </c>
      <c r="S1270" s="8" t="n">
        <f aca="false">IF(N1270="Completed On Time",Assumptions!$B$16,IF(N1270="Completed Late",Assumptions!$B$17,Assumptions!$B$18))</f>
        <v>100</v>
      </c>
      <c r="T1270" s="8" t="n">
        <f aca="false">IF(I1270=0,Assumptions!$B$20,IF(H1270&gt;I1270,Assumptions!$B$19,IF(H1270=I1270,Assumptions!$B$20,Assumptions!$B$21)))</f>
        <v>70</v>
      </c>
      <c r="U1270" s="8" t="n">
        <f aca="false">ROUND(P1270*Assumptions!$B$2+Q1270*Assumptions!$B$3+R1270*Assumptions!$B$4+S1270*Assumptions!$B$5+T1270*Assumptions!$B$6,0)</f>
        <v>74</v>
      </c>
      <c r="V1270" s="8" t="str">
        <f aca="false">IF(U1270&gt;=Assumptions!$B$10,"Healthy",IF(U1270&gt;=Assumptions!$B$11,"Needs Attention","High Risk"))</f>
        <v>Needs Attention</v>
      </c>
    </row>
    <row r="1271" customFormat="false" ht="15" hidden="false" customHeight="false" outlineLevel="0" collapsed="false">
      <c r="A1271" s="8" t="s">
        <v>2684</v>
      </c>
      <c r="B1271" s="8" t="s">
        <v>2685</v>
      </c>
      <c r="C1271" s="8" t="s">
        <v>51</v>
      </c>
      <c r="D1271" s="8" t="s">
        <v>2027</v>
      </c>
      <c r="E1271" s="8" t="s">
        <v>132</v>
      </c>
      <c r="F1271" s="8" t="s">
        <v>190</v>
      </c>
      <c r="G1271" s="8" t="s">
        <v>119</v>
      </c>
      <c r="H1271" s="15" t="n">
        <v>420</v>
      </c>
      <c r="I1271" s="15" t="n">
        <v>420</v>
      </c>
      <c r="J1271" s="16" t="n">
        <v>0.876</v>
      </c>
      <c r="K1271" s="8" t="n">
        <v>9.7</v>
      </c>
      <c r="L1271" s="8" t="n">
        <v>7</v>
      </c>
      <c r="M1271" s="8" t="n">
        <v>1</v>
      </c>
      <c r="N1271" s="8" t="s">
        <v>120</v>
      </c>
      <c r="O1271" s="15" t="n">
        <f aca="false">H1271*12</f>
        <v>5040</v>
      </c>
      <c r="P1271" s="8" t="n">
        <f aca="false">MIN(100,ROUND(100*J1271/Assumptions!$B$8,0))</f>
        <v>97</v>
      </c>
      <c r="Q1271" s="8" t="n">
        <f aca="false">IF(L1271="",Assumptions!$B$9,L1271*10)</f>
        <v>70</v>
      </c>
      <c r="R1271" s="8" t="n">
        <f aca="false">IF(M1271&lt;=1,Assumptions!$B$12,IF(M1271&lt;=3,Assumptions!$B$13,IF(M1271&lt;=6,Assumptions!$B$14,Assumptions!$B$15)))</f>
        <v>100</v>
      </c>
      <c r="S1271" s="8" t="n">
        <f aca="false">IF(N1271="Completed On Time",Assumptions!$B$16,IF(N1271="Completed Late",Assumptions!$B$17,Assumptions!$B$18))</f>
        <v>100</v>
      </c>
      <c r="T1271" s="8" t="n">
        <f aca="false">IF(I1271=0,Assumptions!$B$20,IF(H1271&gt;I1271,Assumptions!$B$19,IF(H1271=I1271,Assumptions!$B$20,Assumptions!$B$21)))</f>
        <v>70</v>
      </c>
      <c r="U1271" s="8" t="n">
        <f aca="false">ROUND(P1271*Assumptions!$B$2+Q1271*Assumptions!$B$3+R1271*Assumptions!$B$4+S1271*Assumptions!$B$5+T1271*Assumptions!$B$6,0)</f>
        <v>87</v>
      </c>
      <c r="V1271" s="8" t="str">
        <f aca="false">IF(U1271&gt;=Assumptions!$B$10,"Healthy",IF(U1271&gt;=Assumptions!$B$11,"Needs Attention","High Risk"))</f>
        <v>Healthy</v>
      </c>
    </row>
    <row r="1272" customFormat="false" ht="15" hidden="false" customHeight="false" outlineLevel="0" collapsed="false">
      <c r="A1272" s="8" t="s">
        <v>2686</v>
      </c>
      <c r="B1272" s="8" t="s">
        <v>2687</v>
      </c>
      <c r="C1272" s="8" t="s">
        <v>51</v>
      </c>
      <c r="D1272" s="8" t="s">
        <v>2027</v>
      </c>
      <c r="E1272" s="8" t="s">
        <v>123</v>
      </c>
      <c r="F1272" s="8" t="s">
        <v>190</v>
      </c>
      <c r="G1272" s="8" t="s">
        <v>177</v>
      </c>
      <c r="H1272" s="15" t="n">
        <v>420</v>
      </c>
      <c r="I1272" s="15" t="n">
        <v>420</v>
      </c>
      <c r="J1272" s="16" t="n">
        <v>0.743</v>
      </c>
      <c r="K1272" s="8" t="n">
        <v>8.3</v>
      </c>
      <c r="L1272" s="8" t="n">
        <v>10</v>
      </c>
      <c r="M1272" s="8" t="n">
        <v>1</v>
      </c>
      <c r="N1272" s="8" t="s">
        <v>120</v>
      </c>
      <c r="O1272" s="15" t="n">
        <f aca="false">H1272*12</f>
        <v>5040</v>
      </c>
      <c r="P1272" s="8" t="n">
        <f aca="false">MIN(100,ROUND(100*J1272/Assumptions!$B$8,0))</f>
        <v>83</v>
      </c>
      <c r="Q1272" s="8" t="n">
        <f aca="false">IF(L1272="",Assumptions!$B$9,L1272*10)</f>
        <v>100</v>
      </c>
      <c r="R1272" s="8" t="n">
        <f aca="false">IF(M1272&lt;=1,Assumptions!$B$12,IF(M1272&lt;=3,Assumptions!$B$13,IF(M1272&lt;=6,Assumptions!$B$14,Assumptions!$B$15)))</f>
        <v>100</v>
      </c>
      <c r="S1272" s="8" t="n">
        <f aca="false">IF(N1272="Completed On Time",Assumptions!$B$16,IF(N1272="Completed Late",Assumptions!$B$17,Assumptions!$B$18))</f>
        <v>100</v>
      </c>
      <c r="T1272" s="8" t="n">
        <f aca="false">IF(I1272=0,Assumptions!$B$20,IF(H1272&gt;I1272,Assumptions!$B$19,IF(H1272=I1272,Assumptions!$B$20,Assumptions!$B$21)))</f>
        <v>70</v>
      </c>
      <c r="U1272" s="8" t="n">
        <f aca="false">ROUND(P1272*Assumptions!$B$2+Q1272*Assumptions!$B$3+R1272*Assumptions!$B$4+S1272*Assumptions!$B$5+T1272*Assumptions!$B$6,0)</f>
        <v>88</v>
      </c>
      <c r="V1272" s="8" t="str">
        <f aca="false">IF(U1272&gt;=Assumptions!$B$10,"Healthy",IF(U1272&gt;=Assumptions!$B$11,"Needs Attention","High Risk"))</f>
        <v>Healthy</v>
      </c>
    </row>
    <row r="1273" customFormat="false" ht="15" hidden="false" customHeight="false" outlineLevel="0" collapsed="false">
      <c r="A1273" s="8" t="s">
        <v>2688</v>
      </c>
      <c r="B1273" s="8" t="s">
        <v>2689</v>
      </c>
      <c r="C1273" s="8" t="s">
        <v>51</v>
      </c>
      <c r="D1273" s="8" t="s">
        <v>2027</v>
      </c>
      <c r="E1273" s="8" t="s">
        <v>132</v>
      </c>
      <c r="F1273" s="8" t="s">
        <v>118</v>
      </c>
      <c r="G1273" s="8" t="s">
        <v>140</v>
      </c>
      <c r="H1273" s="15" t="n">
        <v>420</v>
      </c>
      <c r="I1273" s="15" t="n">
        <v>312</v>
      </c>
      <c r="J1273" s="16" t="n">
        <v>0.743</v>
      </c>
      <c r="K1273" s="8" t="n">
        <v>8</v>
      </c>
      <c r="L1273" s="8" t="n">
        <v>10</v>
      </c>
      <c r="M1273" s="8" t="n">
        <v>3</v>
      </c>
      <c r="N1273" s="8" t="s">
        <v>120</v>
      </c>
      <c r="O1273" s="15" t="n">
        <f aca="false">H1273*12</f>
        <v>5040</v>
      </c>
      <c r="P1273" s="8" t="n">
        <f aca="false">MIN(100,ROUND(100*J1273/Assumptions!$B$8,0))</f>
        <v>83</v>
      </c>
      <c r="Q1273" s="8" t="n">
        <f aca="false">IF(L1273="",Assumptions!$B$9,L1273*10)</f>
        <v>100</v>
      </c>
      <c r="R1273" s="8" t="n">
        <f aca="false">IF(M1273&lt;=1,Assumptions!$B$12,IF(M1273&lt;=3,Assumptions!$B$13,IF(M1273&lt;=6,Assumptions!$B$14,Assumptions!$B$15)))</f>
        <v>75</v>
      </c>
      <c r="S1273" s="8" t="n">
        <f aca="false">IF(N1273="Completed On Time",Assumptions!$B$16,IF(N1273="Completed Late",Assumptions!$B$17,Assumptions!$B$18))</f>
        <v>100</v>
      </c>
      <c r="T1273" s="8" t="n">
        <f aca="false">IF(I1273=0,Assumptions!$B$20,IF(H1273&gt;I1273,Assumptions!$B$19,IF(H1273=I1273,Assumptions!$B$20,Assumptions!$B$21)))</f>
        <v>100</v>
      </c>
      <c r="U1273" s="8" t="n">
        <f aca="false">ROUND(P1273*Assumptions!$B$2+Q1273*Assumptions!$B$3+R1273*Assumptions!$B$4+S1273*Assumptions!$B$5+T1273*Assumptions!$B$6,0)</f>
        <v>90</v>
      </c>
      <c r="V1273" s="8" t="str">
        <f aca="false">IF(U1273&gt;=Assumptions!$B$10,"Healthy",IF(U1273&gt;=Assumptions!$B$11,"Needs Attention","High Risk"))</f>
        <v>Healthy</v>
      </c>
    </row>
    <row r="1274" customFormat="false" ht="15" hidden="false" customHeight="false" outlineLevel="0" collapsed="false">
      <c r="A1274" s="8" t="s">
        <v>2690</v>
      </c>
      <c r="B1274" s="8" t="s">
        <v>2691</v>
      </c>
      <c r="C1274" s="8" t="s">
        <v>51</v>
      </c>
      <c r="D1274" s="8" t="s">
        <v>2027</v>
      </c>
      <c r="E1274" s="8" t="s">
        <v>132</v>
      </c>
      <c r="F1274" s="8" t="s">
        <v>166</v>
      </c>
      <c r="G1274" s="8" t="s">
        <v>129</v>
      </c>
      <c r="H1274" s="15" t="n">
        <v>420</v>
      </c>
      <c r="I1274" s="15" t="n">
        <v>420</v>
      </c>
      <c r="J1274" s="16" t="n">
        <v>0.448</v>
      </c>
      <c r="K1274" s="8" t="n">
        <v>4.3</v>
      </c>
      <c r="L1274" s="8" t="n">
        <v>3</v>
      </c>
      <c r="M1274" s="8" t="n">
        <v>6</v>
      </c>
      <c r="N1274" s="8" t="s">
        <v>120</v>
      </c>
      <c r="O1274" s="15" t="n">
        <f aca="false">H1274*12</f>
        <v>5040</v>
      </c>
      <c r="P1274" s="8" t="n">
        <f aca="false">MIN(100,ROUND(100*J1274/Assumptions!$B$8,0))</f>
        <v>50</v>
      </c>
      <c r="Q1274" s="8" t="n">
        <f aca="false">IF(L1274="",Assumptions!$B$9,L1274*10)</f>
        <v>30</v>
      </c>
      <c r="R1274" s="8" t="n">
        <f aca="false">IF(M1274&lt;=1,Assumptions!$B$12,IF(M1274&lt;=3,Assumptions!$B$13,IF(M1274&lt;=6,Assumptions!$B$14,Assumptions!$B$15)))</f>
        <v>50</v>
      </c>
      <c r="S1274" s="8" t="n">
        <f aca="false">IF(N1274="Completed On Time",Assumptions!$B$16,IF(N1274="Completed Late",Assumptions!$B$17,Assumptions!$B$18))</f>
        <v>100</v>
      </c>
      <c r="T1274" s="8" t="n">
        <f aca="false">IF(I1274=0,Assumptions!$B$20,IF(H1274&gt;I1274,Assumptions!$B$19,IF(H1274=I1274,Assumptions!$B$20,Assumptions!$B$21)))</f>
        <v>70</v>
      </c>
      <c r="U1274" s="8" t="n">
        <f aca="false">ROUND(P1274*Assumptions!$B$2+Q1274*Assumptions!$B$3+R1274*Assumptions!$B$4+S1274*Assumptions!$B$5+T1274*Assumptions!$B$6,0)</f>
        <v>55</v>
      </c>
      <c r="V1274" s="8" t="str">
        <f aca="false">IF(U1274&gt;=Assumptions!$B$10,"Healthy",IF(U1274&gt;=Assumptions!$B$11,"Needs Attention","High Risk"))</f>
        <v>High Risk</v>
      </c>
    </row>
    <row r="1275" customFormat="false" ht="15" hidden="false" customHeight="false" outlineLevel="0" collapsed="false">
      <c r="A1275" s="8" t="s">
        <v>2692</v>
      </c>
      <c r="B1275" s="8" t="s">
        <v>2693</v>
      </c>
      <c r="C1275" s="8" t="s">
        <v>51</v>
      </c>
      <c r="D1275" s="8" t="s">
        <v>2027</v>
      </c>
      <c r="E1275" s="8" t="s">
        <v>132</v>
      </c>
      <c r="F1275" s="8" t="s">
        <v>124</v>
      </c>
      <c r="G1275" s="8" t="s">
        <v>204</v>
      </c>
      <c r="H1275" s="15" t="n">
        <v>420</v>
      </c>
      <c r="I1275" s="15" t="n">
        <v>420</v>
      </c>
      <c r="J1275" s="16" t="n">
        <v>0.743</v>
      </c>
      <c r="K1275" s="8" t="n">
        <v>9.3</v>
      </c>
      <c r="L1275" s="8" t="n">
        <v>8</v>
      </c>
      <c r="M1275" s="8" t="n">
        <v>3</v>
      </c>
      <c r="N1275" s="8" t="s">
        <v>120</v>
      </c>
      <c r="O1275" s="15" t="n">
        <f aca="false">H1275*12</f>
        <v>5040</v>
      </c>
      <c r="P1275" s="8" t="n">
        <f aca="false">MIN(100,ROUND(100*J1275/Assumptions!$B$8,0))</f>
        <v>83</v>
      </c>
      <c r="Q1275" s="8" t="n">
        <f aca="false">IF(L1275="",Assumptions!$B$9,L1275*10)</f>
        <v>80</v>
      </c>
      <c r="R1275" s="8" t="n">
        <f aca="false">IF(M1275&lt;=1,Assumptions!$B$12,IF(M1275&lt;=3,Assumptions!$B$13,IF(M1275&lt;=6,Assumptions!$B$14,Assumptions!$B$15)))</f>
        <v>75</v>
      </c>
      <c r="S1275" s="8" t="n">
        <f aca="false">IF(N1275="Completed On Time",Assumptions!$B$16,IF(N1275="Completed Late",Assumptions!$B$17,Assumptions!$B$18))</f>
        <v>100</v>
      </c>
      <c r="T1275" s="8" t="n">
        <f aca="false">IF(I1275=0,Assumptions!$B$20,IF(H1275&gt;I1275,Assumptions!$B$19,IF(H1275=I1275,Assumptions!$B$20,Assumptions!$B$21)))</f>
        <v>70</v>
      </c>
      <c r="U1275" s="8" t="n">
        <f aca="false">ROUND(P1275*Assumptions!$B$2+Q1275*Assumptions!$B$3+R1275*Assumptions!$B$4+S1275*Assumptions!$B$5+T1275*Assumptions!$B$6,0)</f>
        <v>80</v>
      </c>
      <c r="V1275" s="8" t="str">
        <f aca="false">IF(U1275&gt;=Assumptions!$B$10,"Healthy",IF(U1275&gt;=Assumptions!$B$11,"Needs Attention","High Risk"))</f>
        <v>Healthy</v>
      </c>
    </row>
    <row r="1276" customFormat="false" ht="15" hidden="false" customHeight="false" outlineLevel="0" collapsed="false">
      <c r="A1276" s="8" t="s">
        <v>2694</v>
      </c>
      <c r="B1276" s="8" t="s">
        <v>2695</v>
      </c>
      <c r="C1276" s="8" t="s">
        <v>51</v>
      </c>
      <c r="D1276" s="8" t="s">
        <v>2027</v>
      </c>
      <c r="E1276" s="8" t="s">
        <v>123</v>
      </c>
      <c r="F1276" s="8" t="s">
        <v>133</v>
      </c>
      <c r="G1276" s="8" t="s">
        <v>140</v>
      </c>
      <c r="H1276" s="15" t="n">
        <v>420</v>
      </c>
      <c r="I1276" s="15" t="n">
        <v>420</v>
      </c>
      <c r="J1276" s="16" t="n">
        <v>0.895</v>
      </c>
      <c r="K1276" s="8" t="n">
        <v>11.7</v>
      </c>
      <c r="L1276" s="8" t="n">
        <v>9</v>
      </c>
      <c r="M1276" s="8" t="n">
        <v>1</v>
      </c>
      <c r="N1276" s="8" t="s">
        <v>120</v>
      </c>
      <c r="O1276" s="15" t="n">
        <f aca="false">H1276*12</f>
        <v>5040</v>
      </c>
      <c r="P1276" s="8" t="n">
        <f aca="false">MIN(100,ROUND(100*J1276/Assumptions!$B$8,0))</f>
        <v>99</v>
      </c>
      <c r="Q1276" s="8" t="n">
        <f aca="false">IF(L1276="",Assumptions!$B$9,L1276*10)</f>
        <v>90</v>
      </c>
      <c r="R1276" s="8" t="n">
        <f aca="false">IF(M1276&lt;=1,Assumptions!$B$12,IF(M1276&lt;=3,Assumptions!$B$13,IF(M1276&lt;=6,Assumptions!$B$14,Assumptions!$B$15)))</f>
        <v>100</v>
      </c>
      <c r="S1276" s="8" t="n">
        <f aca="false">IF(N1276="Completed On Time",Assumptions!$B$16,IF(N1276="Completed Late",Assumptions!$B$17,Assumptions!$B$18))</f>
        <v>100</v>
      </c>
      <c r="T1276" s="8" t="n">
        <f aca="false">IF(I1276=0,Assumptions!$B$20,IF(H1276&gt;I1276,Assumptions!$B$19,IF(H1276=I1276,Assumptions!$B$20,Assumptions!$B$21)))</f>
        <v>70</v>
      </c>
      <c r="U1276" s="8" t="n">
        <f aca="false">ROUND(P1276*Assumptions!$B$2+Q1276*Assumptions!$B$3+R1276*Assumptions!$B$4+S1276*Assumptions!$B$5+T1276*Assumptions!$B$6,0)</f>
        <v>92</v>
      </c>
      <c r="V1276" s="8" t="str">
        <f aca="false">IF(U1276&gt;=Assumptions!$B$10,"Healthy",IF(U1276&gt;=Assumptions!$B$11,"Needs Attention","High Risk"))</f>
        <v>Healthy</v>
      </c>
    </row>
    <row r="1277" customFormat="false" ht="15" hidden="false" customHeight="false" outlineLevel="0" collapsed="false">
      <c r="A1277" s="8" t="s">
        <v>2696</v>
      </c>
      <c r="B1277" s="8" t="s">
        <v>2697</v>
      </c>
      <c r="C1277" s="8" t="s">
        <v>51</v>
      </c>
      <c r="D1277" s="8" t="s">
        <v>2027</v>
      </c>
      <c r="E1277" s="8" t="s">
        <v>123</v>
      </c>
      <c r="F1277" s="8" t="s">
        <v>143</v>
      </c>
      <c r="G1277" s="8" t="s">
        <v>144</v>
      </c>
      <c r="H1277" s="15" t="n">
        <v>420</v>
      </c>
      <c r="I1277" s="15" t="n">
        <v>420</v>
      </c>
      <c r="J1277" s="16" t="n">
        <v>0.924</v>
      </c>
      <c r="K1277" s="8" t="n">
        <v>11.3</v>
      </c>
      <c r="L1277" s="8" t="n">
        <v>10</v>
      </c>
      <c r="M1277" s="8" t="n">
        <v>0</v>
      </c>
      <c r="N1277" s="8" t="s">
        <v>120</v>
      </c>
      <c r="O1277" s="15" t="n">
        <f aca="false">H1277*12</f>
        <v>5040</v>
      </c>
      <c r="P1277" s="8" t="n">
        <f aca="false">MIN(100,ROUND(100*J1277/Assumptions!$B$8,0))</f>
        <v>100</v>
      </c>
      <c r="Q1277" s="8" t="n">
        <f aca="false">IF(L1277="",Assumptions!$B$9,L1277*10)</f>
        <v>100</v>
      </c>
      <c r="R1277" s="8" t="n">
        <f aca="false">IF(M1277&lt;=1,Assumptions!$B$12,IF(M1277&lt;=3,Assumptions!$B$13,IF(M1277&lt;=6,Assumptions!$B$14,Assumptions!$B$15)))</f>
        <v>100</v>
      </c>
      <c r="S1277" s="8" t="n">
        <f aca="false">IF(N1277="Completed On Time",Assumptions!$B$16,IF(N1277="Completed Late",Assumptions!$B$17,Assumptions!$B$18))</f>
        <v>100</v>
      </c>
      <c r="T1277" s="8" t="n">
        <f aca="false">IF(I1277=0,Assumptions!$B$20,IF(H1277&gt;I1277,Assumptions!$B$19,IF(H1277=I1277,Assumptions!$B$20,Assumptions!$B$21)))</f>
        <v>70</v>
      </c>
      <c r="U1277" s="8" t="n">
        <f aca="false">ROUND(P1277*Assumptions!$B$2+Q1277*Assumptions!$B$3+R1277*Assumptions!$B$4+S1277*Assumptions!$B$5+T1277*Assumptions!$B$6,0)</f>
        <v>94</v>
      </c>
      <c r="V1277" s="8" t="str">
        <f aca="false">IF(U1277&gt;=Assumptions!$B$10,"Healthy",IF(U1277&gt;=Assumptions!$B$11,"Needs Attention","High Risk"))</f>
        <v>Healthy</v>
      </c>
    </row>
    <row r="1278" customFormat="false" ht="15" hidden="false" customHeight="false" outlineLevel="0" collapsed="false">
      <c r="A1278" s="8" t="s">
        <v>2698</v>
      </c>
      <c r="B1278" s="8" t="s">
        <v>2699</v>
      </c>
      <c r="C1278" s="8" t="s">
        <v>51</v>
      </c>
      <c r="D1278" s="8" t="s">
        <v>2027</v>
      </c>
      <c r="E1278" s="8" t="s">
        <v>123</v>
      </c>
      <c r="F1278" s="8" t="s">
        <v>136</v>
      </c>
      <c r="G1278" s="8" t="s">
        <v>180</v>
      </c>
      <c r="H1278" s="15" t="n">
        <v>420</v>
      </c>
      <c r="I1278" s="15" t="n">
        <v>324</v>
      </c>
      <c r="J1278" s="16" t="n">
        <v>0.918</v>
      </c>
      <c r="K1278" s="8" t="n">
        <v>11.3</v>
      </c>
      <c r="L1278" s="8" t="n">
        <v>10</v>
      </c>
      <c r="M1278" s="8" t="n">
        <v>0</v>
      </c>
      <c r="N1278" s="8" t="s">
        <v>120</v>
      </c>
      <c r="O1278" s="15" t="n">
        <f aca="false">H1278*12</f>
        <v>5040</v>
      </c>
      <c r="P1278" s="8" t="n">
        <f aca="false">MIN(100,ROUND(100*J1278/Assumptions!$B$8,0))</f>
        <v>100</v>
      </c>
      <c r="Q1278" s="8" t="n">
        <f aca="false">IF(L1278="",Assumptions!$B$9,L1278*10)</f>
        <v>100</v>
      </c>
      <c r="R1278" s="8" t="n">
        <f aca="false">IF(M1278&lt;=1,Assumptions!$B$12,IF(M1278&lt;=3,Assumptions!$B$13,IF(M1278&lt;=6,Assumptions!$B$14,Assumptions!$B$15)))</f>
        <v>100</v>
      </c>
      <c r="S1278" s="8" t="n">
        <f aca="false">IF(N1278="Completed On Time",Assumptions!$B$16,IF(N1278="Completed Late",Assumptions!$B$17,Assumptions!$B$18))</f>
        <v>100</v>
      </c>
      <c r="T1278" s="8" t="n">
        <f aca="false">IF(I1278=0,Assumptions!$B$20,IF(H1278&gt;I1278,Assumptions!$B$19,IF(H1278=I1278,Assumptions!$B$20,Assumptions!$B$21)))</f>
        <v>100</v>
      </c>
      <c r="U1278" s="8" t="n">
        <f aca="false">ROUND(P1278*Assumptions!$B$2+Q1278*Assumptions!$B$3+R1278*Assumptions!$B$4+S1278*Assumptions!$B$5+T1278*Assumptions!$B$6,0)</f>
        <v>100</v>
      </c>
      <c r="V1278" s="8" t="str">
        <f aca="false">IF(U1278&gt;=Assumptions!$B$10,"Healthy",IF(U1278&gt;=Assumptions!$B$11,"Needs Attention","High Risk"))</f>
        <v>Healthy</v>
      </c>
    </row>
    <row r="1279" customFormat="false" ht="15" hidden="false" customHeight="false" outlineLevel="0" collapsed="false">
      <c r="A1279" s="8" t="s">
        <v>2700</v>
      </c>
      <c r="B1279" s="8" t="s">
        <v>2701</v>
      </c>
      <c r="C1279" s="8" t="s">
        <v>51</v>
      </c>
      <c r="D1279" s="8" t="s">
        <v>2027</v>
      </c>
      <c r="E1279" s="8" t="s">
        <v>132</v>
      </c>
      <c r="F1279" s="8" t="s">
        <v>190</v>
      </c>
      <c r="G1279" s="8" t="s">
        <v>144</v>
      </c>
      <c r="H1279" s="15" t="n">
        <v>420</v>
      </c>
      <c r="I1279" s="15" t="n">
        <v>420</v>
      </c>
      <c r="J1279" s="16" t="n">
        <v>0.829</v>
      </c>
      <c r="K1279" s="8" t="n">
        <v>9.7</v>
      </c>
      <c r="L1279" s="8" t="n">
        <v>6</v>
      </c>
      <c r="M1279" s="8" t="n">
        <v>1</v>
      </c>
      <c r="N1279" s="8" t="s">
        <v>120</v>
      </c>
      <c r="O1279" s="15" t="n">
        <f aca="false">H1279*12</f>
        <v>5040</v>
      </c>
      <c r="P1279" s="8" t="n">
        <f aca="false">MIN(100,ROUND(100*J1279/Assumptions!$B$8,0))</f>
        <v>92</v>
      </c>
      <c r="Q1279" s="8" t="n">
        <f aca="false">IF(L1279="",Assumptions!$B$9,L1279*10)</f>
        <v>60</v>
      </c>
      <c r="R1279" s="8" t="n">
        <f aca="false">IF(M1279&lt;=1,Assumptions!$B$12,IF(M1279&lt;=3,Assumptions!$B$13,IF(M1279&lt;=6,Assumptions!$B$14,Assumptions!$B$15)))</f>
        <v>100</v>
      </c>
      <c r="S1279" s="8" t="n">
        <f aca="false">IF(N1279="Completed On Time",Assumptions!$B$16,IF(N1279="Completed Late",Assumptions!$B$17,Assumptions!$B$18))</f>
        <v>100</v>
      </c>
      <c r="T1279" s="8" t="n">
        <f aca="false">IF(I1279=0,Assumptions!$B$20,IF(H1279&gt;I1279,Assumptions!$B$19,IF(H1279=I1279,Assumptions!$B$20,Assumptions!$B$21)))</f>
        <v>70</v>
      </c>
      <c r="U1279" s="8" t="n">
        <f aca="false">ROUND(P1279*Assumptions!$B$2+Q1279*Assumptions!$B$3+R1279*Assumptions!$B$4+S1279*Assumptions!$B$5+T1279*Assumptions!$B$6,0)</f>
        <v>83</v>
      </c>
      <c r="V1279" s="8" t="str">
        <f aca="false">IF(U1279&gt;=Assumptions!$B$10,"Healthy",IF(U1279&gt;=Assumptions!$B$11,"Needs Attention","High Risk"))</f>
        <v>Healthy</v>
      </c>
    </row>
    <row r="1280" customFormat="false" ht="15" hidden="false" customHeight="false" outlineLevel="0" collapsed="false">
      <c r="A1280" s="8" t="s">
        <v>2702</v>
      </c>
      <c r="B1280" s="8" t="s">
        <v>2703</v>
      </c>
      <c r="C1280" s="8" t="s">
        <v>51</v>
      </c>
      <c r="D1280" s="8" t="s">
        <v>2027</v>
      </c>
      <c r="E1280" s="8" t="s">
        <v>117</v>
      </c>
      <c r="F1280" s="8" t="s">
        <v>133</v>
      </c>
      <c r="G1280" s="8" t="s">
        <v>125</v>
      </c>
      <c r="H1280" s="15" t="n">
        <v>420</v>
      </c>
      <c r="I1280" s="15" t="n">
        <v>420</v>
      </c>
      <c r="J1280" s="16" t="n">
        <v>0.771</v>
      </c>
      <c r="K1280" s="8" t="n">
        <v>8.7</v>
      </c>
      <c r="L1280" s="8" t="n">
        <v>6</v>
      </c>
      <c r="M1280" s="8" t="n">
        <v>2</v>
      </c>
      <c r="N1280" s="8" t="s">
        <v>120</v>
      </c>
      <c r="O1280" s="15" t="n">
        <f aca="false">H1280*12</f>
        <v>5040</v>
      </c>
      <c r="P1280" s="8" t="n">
        <f aca="false">MIN(100,ROUND(100*J1280/Assumptions!$B$8,0))</f>
        <v>86</v>
      </c>
      <c r="Q1280" s="8" t="n">
        <f aca="false">IF(L1280="",Assumptions!$B$9,L1280*10)</f>
        <v>60</v>
      </c>
      <c r="R1280" s="8" t="n">
        <f aca="false">IF(M1280&lt;=1,Assumptions!$B$12,IF(M1280&lt;=3,Assumptions!$B$13,IF(M1280&lt;=6,Assumptions!$B$14,Assumptions!$B$15)))</f>
        <v>75</v>
      </c>
      <c r="S1280" s="8" t="n">
        <f aca="false">IF(N1280="Completed On Time",Assumptions!$B$16,IF(N1280="Completed Late",Assumptions!$B$17,Assumptions!$B$18))</f>
        <v>100</v>
      </c>
      <c r="T1280" s="8" t="n">
        <f aca="false">IF(I1280=0,Assumptions!$B$20,IF(H1280&gt;I1280,Assumptions!$B$19,IF(H1280=I1280,Assumptions!$B$20,Assumptions!$B$21)))</f>
        <v>70</v>
      </c>
      <c r="U1280" s="8" t="n">
        <f aca="false">ROUND(P1280*Assumptions!$B$2+Q1280*Assumptions!$B$3+R1280*Assumptions!$B$4+S1280*Assumptions!$B$5+T1280*Assumptions!$B$6,0)</f>
        <v>77</v>
      </c>
      <c r="V1280" s="8" t="str">
        <f aca="false">IF(U1280&gt;=Assumptions!$B$10,"Healthy",IF(U1280&gt;=Assumptions!$B$11,"Needs Attention","High Risk"))</f>
        <v>Needs Attention</v>
      </c>
    </row>
    <row r="1281" customFormat="false" ht="15" hidden="false" customHeight="false" outlineLevel="0" collapsed="false">
      <c r="A1281" s="8" t="s">
        <v>2704</v>
      </c>
      <c r="B1281" s="8" t="s">
        <v>2705</v>
      </c>
      <c r="C1281" s="8" t="s">
        <v>51</v>
      </c>
      <c r="D1281" s="8" t="s">
        <v>2027</v>
      </c>
      <c r="E1281" s="8" t="s">
        <v>123</v>
      </c>
      <c r="F1281" s="8" t="s">
        <v>154</v>
      </c>
      <c r="G1281" s="8" t="s">
        <v>204</v>
      </c>
      <c r="H1281" s="15" t="n">
        <v>420</v>
      </c>
      <c r="I1281" s="15" t="n">
        <v>420</v>
      </c>
      <c r="J1281" s="16" t="n">
        <v>0.676</v>
      </c>
      <c r="K1281" s="8" t="n">
        <v>7.7</v>
      </c>
      <c r="L1281" s="8" t="n">
        <v>8</v>
      </c>
      <c r="M1281" s="8" t="n">
        <v>2</v>
      </c>
      <c r="N1281" s="8" t="s">
        <v>120</v>
      </c>
      <c r="O1281" s="15" t="n">
        <f aca="false">H1281*12</f>
        <v>5040</v>
      </c>
      <c r="P1281" s="8" t="n">
        <f aca="false">MIN(100,ROUND(100*J1281/Assumptions!$B$8,0))</f>
        <v>75</v>
      </c>
      <c r="Q1281" s="8" t="n">
        <f aca="false">IF(L1281="",Assumptions!$B$9,L1281*10)</f>
        <v>80</v>
      </c>
      <c r="R1281" s="8" t="n">
        <f aca="false">IF(M1281&lt;=1,Assumptions!$B$12,IF(M1281&lt;=3,Assumptions!$B$13,IF(M1281&lt;=6,Assumptions!$B$14,Assumptions!$B$15)))</f>
        <v>75</v>
      </c>
      <c r="S1281" s="8" t="n">
        <f aca="false">IF(N1281="Completed On Time",Assumptions!$B$16,IF(N1281="Completed Late",Assumptions!$B$17,Assumptions!$B$18))</f>
        <v>100</v>
      </c>
      <c r="T1281" s="8" t="n">
        <f aca="false">IF(I1281=0,Assumptions!$B$20,IF(H1281&gt;I1281,Assumptions!$B$19,IF(H1281=I1281,Assumptions!$B$20,Assumptions!$B$21)))</f>
        <v>70</v>
      </c>
      <c r="U1281" s="8" t="n">
        <f aca="false">ROUND(P1281*Assumptions!$B$2+Q1281*Assumptions!$B$3+R1281*Assumptions!$B$4+S1281*Assumptions!$B$5+T1281*Assumptions!$B$6,0)</f>
        <v>78</v>
      </c>
      <c r="V1281" s="8" t="str">
        <f aca="false">IF(U1281&gt;=Assumptions!$B$10,"Healthy",IF(U1281&gt;=Assumptions!$B$11,"Needs Attention","High Risk"))</f>
        <v>Needs Attention</v>
      </c>
    </row>
    <row r="1282" customFormat="false" ht="15" hidden="false" customHeight="false" outlineLevel="0" collapsed="false">
      <c r="A1282" s="8" t="s">
        <v>2706</v>
      </c>
      <c r="B1282" s="8" t="s">
        <v>2707</v>
      </c>
      <c r="C1282" s="8" t="s">
        <v>51</v>
      </c>
      <c r="D1282" s="8" t="s">
        <v>2027</v>
      </c>
      <c r="E1282" s="8" t="s">
        <v>123</v>
      </c>
      <c r="F1282" s="8" t="s">
        <v>136</v>
      </c>
      <c r="G1282" s="8" t="s">
        <v>125</v>
      </c>
      <c r="H1282" s="15" t="n">
        <v>420</v>
      </c>
      <c r="I1282" s="15" t="n">
        <v>420</v>
      </c>
      <c r="J1282" s="16" t="n">
        <v>0.829</v>
      </c>
      <c r="K1282" s="8" t="n">
        <v>11.7</v>
      </c>
      <c r="L1282" s="8" t="n">
        <v>9</v>
      </c>
      <c r="M1282" s="8" t="n">
        <v>4</v>
      </c>
      <c r="N1282" s="8" t="s">
        <v>120</v>
      </c>
      <c r="O1282" s="15" t="n">
        <f aca="false">H1282*12</f>
        <v>5040</v>
      </c>
      <c r="P1282" s="8" t="n">
        <f aca="false">MIN(100,ROUND(100*J1282/Assumptions!$B$8,0))</f>
        <v>92</v>
      </c>
      <c r="Q1282" s="8" t="n">
        <f aca="false">IF(L1282="",Assumptions!$B$9,L1282*10)</f>
        <v>90</v>
      </c>
      <c r="R1282" s="8" t="n">
        <f aca="false">IF(M1282&lt;=1,Assumptions!$B$12,IF(M1282&lt;=3,Assumptions!$B$13,IF(M1282&lt;=6,Assumptions!$B$14,Assumptions!$B$15)))</f>
        <v>50</v>
      </c>
      <c r="S1282" s="8" t="n">
        <f aca="false">IF(N1282="Completed On Time",Assumptions!$B$16,IF(N1282="Completed Late",Assumptions!$B$17,Assumptions!$B$18))</f>
        <v>100</v>
      </c>
      <c r="T1282" s="8" t="n">
        <f aca="false">IF(I1282=0,Assumptions!$B$20,IF(H1282&gt;I1282,Assumptions!$B$19,IF(H1282=I1282,Assumptions!$B$20,Assumptions!$B$21)))</f>
        <v>70</v>
      </c>
      <c r="U1282" s="8" t="n">
        <f aca="false">ROUND(P1282*Assumptions!$B$2+Q1282*Assumptions!$B$3+R1282*Assumptions!$B$4+S1282*Assumptions!$B$5+T1282*Assumptions!$B$6,0)</f>
        <v>82</v>
      </c>
      <c r="V1282" s="8" t="str">
        <f aca="false">IF(U1282&gt;=Assumptions!$B$10,"Healthy",IF(U1282&gt;=Assumptions!$B$11,"Needs Attention","High Risk"))</f>
        <v>Healthy</v>
      </c>
    </row>
    <row r="1283" customFormat="false" ht="15" hidden="false" customHeight="false" outlineLevel="0" collapsed="false">
      <c r="A1283" s="8" t="s">
        <v>2708</v>
      </c>
      <c r="B1283" s="8" t="s">
        <v>2709</v>
      </c>
      <c r="C1283" s="8" t="s">
        <v>51</v>
      </c>
      <c r="D1283" s="8" t="s">
        <v>2027</v>
      </c>
      <c r="E1283" s="8" t="s">
        <v>132</v>
      </c>
      <c r="F1283" s="8" t="s">
        <v>136</v>
      </c>
      <c r="G1283" s="8" t="s">
        <v>180</v>
      </c>
      <c r="H1283" s="15" t="n">
        <v>420</v>
      </c>
      <c r="I1283" s="15" t="n">
        <v>0</v>
      </c>
      <c r="J1283" s="16" t="n">
        <v>0.886</v>
      </c>
      <c r="K1283" s="8" t="n">
        <v>9.5</v>
      </c>
      <c r="L1283" s="8"/>
      <c r="M1283" s="8" t="n">
        <v>1</v>
      </c>
      <c r="N1283" s="8" t="s">
        <v>120</v>
      </c>
      <c r="O1283" s="15" t="n">
        <f aca="false">H1283*12</f>
        <v>5040</v>
      </c>
      <c r="P1283" s="8" t="n">
        <f aca="false">MIN(100,ROUND(100*J1283/Assumptions!$B$8,0))</f>
        <v>98</v>
      </c>
      <c r="Q1283" s="8" t="n">
        <f aca="false">IF(L1283="",Assumptions!$B$9,L1283*10)</f>
        <v>50</v>
      </c>
      <c r="R1283" s="8" t="n">
        <f aca="false">IF(M1283&lt;=1,Assumptions!$B$12,IF(M1283&lt;=3,Assumptions!$B$13,IF(M1283&lt;=6,Assumptions!$B$14,Assumptions!$B$15)))</f>
        <v>100</v>
      </c>
      <c r="S1283" s="8" t="n">
        <f aca="false">IF(N1283="Completed On Time",Assumptions!$B$16,IF(N1283="Completed Late",Assumptions!$B$17,Assumptions!$B$18))</f>
        <v>100</v>
      </c>
      <c r="T1283" s="8" t="n">
        <f aca="false">IF(I1283=0,Assumptions!$B$20,IF(H1283&gt;I1283,Assumptions!$B$19,IF(H1283=I1283,Assumptions!$B$20,Assumptions!$B$21)))</f>
        <v>70</v>
      </c>
      <c r="U1283" s="8" t="n">
        <f aca="false">ROUND(P1283*Assumptions!$B$2+Q1283*Assumptions!$B$3+R1283*Assumptions!$B$4+S1283*Assumptions!$B$5+T1283*Assumptions!$B$6,0)</f>
        <v>83</v>
      </c>
      <c r="V1283" s="8" t="str">
        <f aca="false">IF(U1283&gt;=Assumptions!$B$10,"Healthy",IF(U1283&gt;=Assumptions!$B$11,"Needs Attention","High Risk"))</f>
        <v>Healthy</v>
      </c>
    </row>
    <row r="1284" customFormat="false" ht="15" hidden="false" customHeight="false" outlineLevel="0" collapsed="false">
      <c r="A1284" s="8" t="s">
        <v>2710</v>
      </c>
      <c r="B1284" s="8" t="s">
        <v>2711</v>
      </c>
      <c r="C1284" s="8" t="s">
        <v>51</v>
      </c>
      <c r="D1284" s="8" t="s">
        <v>2027</v>
      </c>
      <c r="E1284" s="8" t="s">
        <v>123</v>
      </c>
      <c r="F1284" s="8" t="s">
        <v>136</v>
      </c>
      <c r="G1284" s="8" t="s">
        <v>159</v>
      </c>
      <c r="H1284" s="15" t="n">
        <v>420</v>
      </c>
      <c r="I1284" s="15" t="n">
        <v>420</v>
      </c>
      <c r="J1284" s="16" t="n">
        <v>0.752</v>
      </c>
      <c r="K1284" s="8" t="n">
        <v>8</v>
      </c>
      <c r="L1284" s="8" t="n">
        <v>10</v>
      </c>
      <c r="M1284" s="8" t="n">
        <v>2</v>
      </c>
      <c r="N1284" s="8" t="s">
        <v>120</v>
      </c>
      <c r="O1284" s="15" t="n">
        <f aca="false">H1284*12</f>
        <v>5040</v>
      </c>
      <c r="P1284" s="8" t="n">
        <f aca="false">MIN(100,ROUND(100*J1284/Assumptions!$B$8,0))</f>
        <v>84</v>
      </c>
      <c r="Q1284" s="8" t="n">
        <f aca="false">IF(L1284="",Assumptions!$B$9,L1284*10)</f>
        <v>100</v>
      </c>
      <c r="R1284" s="8" t="n">
        <f aca="false">IF(M1284&lt;=1,Assumptions!$B$12,IF(M1284&lt;=3,Assumptions!$B$13,IF(M1284&lt;=6,Assumptions!$B$14,Assumptions!$B$15)))</f>
        <v>75</v>
      </c>
      <c r="S1284" s="8" t="n">
        <f aca="false">IF(N1284="Completed On Time",Assumptions!$B$16,IF(N1284="Completed Late",Assumptions!$B$17,Assumptions!$B$18))</f>
        <v>100</v>
      </c>
      <c r="T1284" s="8" t="n">
        <f aca="false">IF(I1284=0,Assumptions!$B$20,IF(H1284&gt;I1284,Assumptions!$B$19,IF(H1284=I1284,Assumptions!$B$20,Assumptions!$B$21)))</f>
        <v>70</v>
      </c>
      <c r="U1284" s="8" t="n">
        <f aca="false">ROUND(P1284*Assumptions!$B$2+Q1284*Assumptions!$B$3+R1284*Assumptions!$B$4+S1284*Assumptions!$B$5+T1284*Assumptions!$B$6,0)</f>
        <v>85</v>
      </c>
      <c r="V1284" s="8" t="str">
        <f aca="false">IF(U1284&gt;=Assumptions!$B$10,"Healthy",IF(U1284&gt;=Assumptions!$B$11,"Needs Attention","High Risk"))</f>
        <v>Healthy</v>
      </c>
    </row>
    <row r="1285" customFormat="false" ht="15" hidden="false" customHeight="false" outlineLevel="0" collapsed="false">
      <c r="A1285" s="8" t="s">
        <v>2712</v>
      </c>
      <c r="B1285" s="8" t="s">
        <v>2713</v>
      </c>
      <c r="C1285" s="8" t="s">
        <v>51</v>
      </c>
      <c r="D1285" s="8" t="s">
        <v>2027</v>
      </c>
      <c r="E1285" s="8" t="s">
        <v>123</v>
      </c>
      <c r="F1285" s="8" t="s">
        <v>118</v>
      </c>
      <c r="G1285" s="8" t="s">
        <v>140</v>
      </c>
      <c r="H1285" s="15" t="n">
        <v>420</v>
      </c>
      <c r="I1285" s="15" t="n">
        <v>420</v>
      </c>
      <c r="J1285" s="16" t="n">
        <v>0.638</v>
      </c>
      <c r="K1285" s="8" t="n">
        <v>6.7</v>
      </c>
      <c r="L1285" s="8" t="n">
        <v>7</v>
      </c>
      <c r="M1285" s="8" t="n">
        <v>2</v>
      </c>
      <c r="N1285" s="8" t="s">
        <v>120</v>
      </c>
      <c r="O1285" s="15" t="n">
        <f aca="false">H1285*12</f>
        <v>5040</v>
      </c>
      <c r="P1285" s="8" t="n">
        <f aca="false">MIN(100,ROUND(100*J1285/Assumptions!$B$8,0))</f>
        <v>71</v>
      </c>
      <c r="Q1285" s="8" t="n">
        <f aca="false">IF(L1285="",Assumptions!$B$9,L1285*10)</f>
        <v>70</v>
      </c>
      <c r="R1285" s="8" t="n">
        <f aca="false">IF(M1285&lt;=1,Assumptions!$B$12,IF(M1285&lt;=3,Assumptions!$B$13,IF(M1285&lt;=6,Assumptions!$B$14,Assumptions!$B$15)))</f>
        <v>75</v>
      </c>
      <c r="S1285" s="8" t="n">
        <f aca="false">IF(N1285="Completed On Time",Assumptions!$B$16,IF(N1285="Completed Late",Assumptions!$B$17,Assumptions!$B$18))</f>
        <v>100</v>
      </c>
      <c r="T1285" s="8" t="n">
        <f aca="false">IF(I1285=0,Assumptions!$B$20,IF(H1285&gt;I1285,Assumptions!$B$19,IF(H1285=I1285,Assumptions!$B$20,Assumptions!$B$21)))</f>
        <v>70</v>
      </c>
      <c r="U1285" s="8" t="n">
        <f aca="false">ROUND(P1285*Assumptions!$B$2+Q1285*Assumptions!$B$3+R1285*Assumptions!$B$4+S1285*Assumptions!$B$5+T1285*Assumptions!$B$6,0)</f>
        <v>74</v>
      </c>
      <c r="V1285" s="8" t="str">
        <f aca="false">IF(U1285&gt;=Assumptions!$B$10,"Healthy",IF(U1285&gt;=Assumptions!$B$11,"Needs Attention","High Risk"))</f>
        <v>Needs Attention</v>
      </c>
    </row>
    <row r="1286" customFormat="false" ht="15" hidden="false" customHeight="false" outlineLevel="0" collapsed="false">
      <c r="A1286" s="8" t="s">
        <v>2714</v>
      </c>
      <c r="B1286" s="8" t="s">
        <v>2715</v>
      </c>
      <c r="C1286" s="8" t="s">
        <v>51</v>
      </c>
      <c r="D1286" s="8" t="s">
        <v>2027</v>
      </c>
      <c r="E1286" s="8" t="s">
        <v>123</v>
      </c>
      <c r="F1286" s="8" t="s">
        <v>143</v>
      </c>
      <c r="G1286" s="8" t="s">
        <v>129</v>
      </c>
      <c r="H1286" s="15" t="n">
        <v>420</v>
      </c>
      <c r="I1286" s="15" t="n">
        <v>420</v>
      </c>
      <c r="J1286" s="16" t="n">
        <v>0.648</v>
      </c>
      <c r="K1286" s="8" t="n">
        <v>8.3</v>
      </c>
      <c r="L1286" s="8" t="n">
        <v>10</v>
      </c>
      <c r="M1286" s="8" t="n">
        <v>1</v>
      </c>
      <c r="N1286" s="8" t="s">
        <v>120</v>
      </c>
      <c r="O1286" s="15" t="n">
        <f aca="false">H1286*12</f>
        <v>5040</v>
      </c>
      <c r="P1286" s="8" t="n">
        <f aca="false">MIN(100,ROUND(100*J1286/Assumptions!$B$8,0))</f>
        <v>72</v>
      </c>
      <c r="Q1286" s="8" t="n">
        <f aca="false">IF(L1286="",Assumptions!$B$9,L1286*10)</f>
        <v>100</v>
      </c>
      <c r="R1286" s="8" t="n">
        <f aca="false">IF(M1286&lt;=1,Assumptions!$B$12,IF(M1286&lt;=3,Assumptions!$B$13,IF(M1286&lt;=6,Assumptions!$B$14,Assumptions!$B$15)))</f>
        <v>100</v>
      </c>
      <c r="S1286" s="8" t="n">
        <f aca="false">IF(N1286="Completed On Time",Assumptions!$B$16,IF(N1286="Completed Late",Assumptions!$B$17,Assumptions!$B$18))</f>
        <v>100</v>
      </c>
      <c r="T1286" s="8" t="n">
        <f aca="false">IF(I1286=0,Assumptions!$B$20,IF(H1286&gt;I1286,Assumptions!$B$19,IF(H1286=I1286,Assumptions!$B$20,Assumptions!$B$21)))</f>
        <v>70</v>
      </c>
      <c r="U1286" s="8" t="n">
        <f aca="false">ROUND(P1286*Assumptions!$B$2+Q1286*Assumptions!$B$3+R1286*Assumptions!$B$4+S1286*Assumptions!$B$5+T1286*Assumptions!$B$6,0)</f>
        <v>84</v>
      </c>
      <c r="V1286" s="8" t="str">
        <f aca="false">IF(U1286&gt;=Assumptions!$B$10,"Healthy",IF(U1286&gt;=Assumptions!$B$11,"Needs Attention","High Risk"))</f>
        <v>Healthy</v>
      </c>
    </row>
    <row r="1287" customFormat="false" ht="15" hidden="false" customHeight="false" outlineLevel="0" collapsed="false">
      <c r="A1287" s="8" t="s">
        <v>2716</v>
      </c>
      <c r="B1287" s="8" t="s">
        <v>2717</v>
      </c>
      <c r="C1287" s="8" t="s">
        <v>51</v>
      </c>
      <c r="D1287" s="8" t="s">
        <v>2027</v>
      </c>
      <c r="E1287" s="8" t="s">
        <v>132</v>
      </c>
      <c r="F1287" s="8" t="s">
        <v>133</v>
      </c>
      <c r="G1287" s="8" t="s">
        <v>125</v>
      </c>
      <c r="H1287" s="15" t="n">
        <v>420</v>
      </c>
      <c r="I1287" s="15" t="n">
        <v>372</v>
      </c>
      <c r="J1287" s="16" t="n">
        <v>0.895</v>
      </c>
      <c r="K1287" s="8" t="n">
        <v>10.7</v>
      </c>
      <c r="L1287" s="8" t="n">
        <v>9</v>
      </c>
      <c r="M1287" s="8" t="n">
        <v>1</v>
      </c>
      <c r="N1287" s="8" t="s">
        <v>120</v>
      </c>
      <c r="O1287" s="15" t="n">
        <f aca="false">H1287*12</f>
        <v>5040</v>
      </c>
      <c r="P1287" s="8" t="n">
        <f aca="false">MIN(100,ROUND(100*J1287/Assumptions!$B$8,0))</f>
        <v>99</v>
      </c>
      <c r="Q1287" s="8" t="n">
        <f aca="false">IF(L1287="",Assumptions!$B$9,L1287*10)</f>
        <v>90</v>
      </c>
      <c r="R1287" s="8" t="n">
        <f aca="false">IF(M1287&lt;=1,Assumptions!$B$12,IF(M1287&lt;=3,Assumptions!$B$13,IF(M1287&lt;=6,Assumptions!$B$14,Assumptions!$B$15)))</f>
        <v>100</v>
      </c>
      <c r="S1287" s="8" t="n">
        <f aca="false">IF(N1287="Completed On Time",Assumptions!$B$16,IF(N1287="Completed Late",Assumptions!$B$17,Assumptions!$B$18))</f>
        <v>100</v>
      </c>
      <c r="T1287" s="8" t="n">
        <f aca="false">IF(I1287=0,Assumptions!$B$20,IF(H1287&gt;I1287,Assumptions!$B$19,IF(H1287=I1287,Assumptions!$B$20,Assumptions!$B$21)))</f>
        <v>100</v>
      </c>
      <c r="U1287" s="8" t="n">
        <f aca="false">ROUND(P1287*Assumptions!$B$2+Q1287*Assumptions!$B$3+R1287*Assumptions!$B$4+S1287*Assumptions!$B$5+T1287*Assumptions!$B$6,0)</f>
        <v>98</v>
      </c>
      <c r="V1287" s="8" t="str">
        <f aca="false">IF(U1287&gt;=Assumptions!$B$10,"Healthy",IF(U1287&gt;=Assumptions!$B$11,"Needs Attention","High Risk"))</f>
        <v>Healthy</v>
      </c>
    </row>
    <row r="1288" customFormat="false" ht="15" hidden="false" customHeight="false" outlineLevel="0" collapsed="false">
      <c r="A1288" s="8" t="s">
        <v>2718</v>
      </c>
      <c r="B1288" s="8" t="s">
        <v>2719</v>
      </c>
      <c r="C1288" s="8" t="s">
        <v>51</v>
      </c>
      <c r="D1288" s="8" t="s">
        <v>2027</v>
      </c>
      <c r="E1288" s="8" t="s">
        <v>123</v>
      </c>
      <c r="F1288" s="8" t="s">
        <v>166</v>
      </c>
      <c r="G1288" s="8" t="s">
        <v>125</v>
      </c>
      <c r="H1288" s="15" t="n">
        <v>420</v>
      </c>
      <c r="I1288" s="15" t="n">
        <v>420</v>
      </c>
      <c r="J1288" s="16" t="n">
        <v>0.781</v>
      </c>
      <c r="K1288" s="8" t="n">
        <v>7.3</v>
      </c>
      <c r="L1288" s="8" t="n">
        <v>10</v>
      </c>
      <c r="M1288" s="8" t="n">
        <v>2</v>
      </c>
      <c r="N1288" s="8" t="s">
        <v>120</v>
      </c>
      <c r="O1288" s="15" t="n">
        <f aca="false">H1288*12</f>
        <v>5040</v>
      </c>
      <c r="P1288" s="8" t="n">
        <f aca="false">MIN(100,ROUND(100*J1288/Assumptions!$B$8,0))</f>
        <v>87</v>
      </c>
      <c r="Q1288" s="8" t="n">
        <f aca="false">IF(L1288="",Assumptions!$B$9,L1288*10)</f>
        <v>100</v>
      </c>
      <c r="R1288" s="8" t="n">
        <f aca="false">IF(M1288&lt;=1,Assumptions!$B$12,IF(M1288&lt;=3,Assumptions!$B$13,IF(M1288&lt;=6,Assumptions!$B$14,Assumptions!$B$15)))</f>
        <v>75</v>
      </c>
      <c r="S1288" s="8" t="n">
        <f aca="false">IF(N1288="Completed On Time",Assumptions!$B$16,IF(N1288="Completed Late",Assumptions!$B$17,Assumptions!$B$18))</f>
        <v>100</v>
      </c>
      <c r="T1288" s="8" t="n">
        <f aca="false">IF(I1288=0,Assumptions!$B$20,IF(H1288&gt;I1288,Assumptions!$B$19,IF(H1288=I1288,Assumptions!$B$20,Assumptions!$B$21)))</f>
        <v>70</v>
      </c>
      <c r="U1288" s="8" t="n">
        <f aca="false">ROUND(P1288*Assumptions!$B$2+Q1288*Assumptions!$B$3+R1288*Assumptions!$B$4+S1288*Assumptions!$B$5+T1288*Assumptions!$B$6,0)</f>
        <v>86</v>
      </c>
      <c r="V1288" s="8" t="str">
        <f aca="false">IF(U1288&gt;=Assumptions!$B$10,"Healthy",IF(U1288&gt;=Assumptions!$B$11,"Needs Attention","High Risk"))</f>
        <v>Healthy</v>
      </c>
    </row>
    <row r="1289" customFormat="false" ht="15" hidden="false" customHeight="false" outlineLevel="0" collapsed="false">
      <c r="A1289" s="8" t="s">
        <v>2720</v>
      </c>
      <c r="B1289" s="8" t="s">
        <v>2721</v>
      </c>
      <c r="C1289" s="8" t="s">
        <v>51</v>
      </c>
      <c r="D1289" s="8" t="s">
        <v>2027</v>
      </c>
      <c r="E1289" s="8" t="s">
        <v>123</v>
      </c>
      <c r="F1289" s="8" t="s">
        <v>118</v>
      </c>
      <c r="G1289" s="8" t="s">
        <v>177</v>
      </c>
      <c r="H1289" s="15" t="n">
        <v>420</v>
      </c>
      <c r="I1289" s="15" t="n">
        <v>420</v>
      </c>
      <c r="J1289" s="16" t="n">
        <v>0.657</v>
      </c>
      <c r="K1289" s="8" t="n">
        <v>8</v>
      </c>
      <c r="L1289" s="8" t="n">
        <v>6</v>
      </c>
      <c r="M1289" s="8" t="n">
        <v>7</v>
      </c>
      <c r="N1289" s="8" t="s">
        <v>120</v>
      </c>
      <c r="O1289" s="15" t="n">
        <f aca="false">H1289*12</f>
        <v>5040</v>
      </c>
      <c r="P1289" s="8" t="n">
        <f aca="false">MIN(100,ROUND(100*J1289/Assumptions!$B$8,0))</f>
        <v>73</v>
      </c>
      <c r="Q1289" s="8" t="n">
        <f aca="false">IF(L1289="",Assumptions!$B$9,L1289*10)</f>
        <v>60</v>
      </c>
      <c r="R1289" s="8" t="n">
        <f aca="false">IF(M1289&lt;=1,Assumptions!$B$12,IF(M1289&lt;=3,Assumptions!$B$13,IF(M1289&lt;=6,Assumptions!$B$14,Assumptions!$B$15)))</f>
        <v>20</v>
      </c>
      <c r="S1289" s="8" t="n">
        <f aca="false">IF(N1289="Completed On Time",Assumptions!$B$16,IF(N1289="Completed Late",Assumptions!$B$17,Assumptions!$B$18))</f>
        <v>100</v>
      </c>
      <c r="T1289" s="8" t="n">
        <f aca="false">IF(I1289=0,Assumptions!$B$20,IF(H1289&gt;I1289,Assumptions!$B$19,IF(H1289=I1289,Assumptions!$B$20,Assumptions!$B$21)))</f>
        <v>70</v>
      </c>
      <c r="U1289" s="8" t="n">
        <f aca="false">ROUND(P1289*Assumptions!$B$2+Q1289*Assumptions!$B$3+R1289*Assumptions!$B$4+S1289*Assumptions!$B$5+T1289*Assumptions!$B$6,0)</f>
        <v>65</v>
      </c>
      <c r="V1289" s="8" t="str">
        <f aca="false">IF(U1289&gt;=Assumptions!$B$10,"Healthy",IF(U1289&gt;=Assumptions!$B$11,"Needs Attention","High Risk"))</f>
        <v>Needs Attention</v>
      </c>
    </row>
    <row r="1290" customFormat="false" ht="15" hidden="false" customHeight="false" outlineLevel="0" collapsed="false">
      <c r="A1290" s="8" t="s">
        <v>2722</v>
      </c>
      <c r="B1290" s="8" t="s">
        <v>2723</v>
      </c>
      <c r="C1290" s="8" t="s">
        <v>51</v>
      </c>
      <c r="D1290" s="8" t="s">
        <v>2027</v>
      </c>
      <c r="E1290" s="8" t="s">
        <v>132</v>
      </c>
      <c r="F1290" s="8" t="s">
        <v>166</v>
      </c>
      <c r="G1290" s="8" t="s">
        <v>159</v>
      </c>
      <c r="H1290" s="15" t="n">
        <v>420</v>
      </c>
      <c r="I1290" s="15" t="n">
        <v>420</v>
      </c>
      <c r="J1290" s="16" t="n">
        <v>0.41</v>
      </c>
      <c r="K1290" s="8" t="n">
        <v>2.7</v>
      </c>
      <c r="L1290" s="8" t="n">
        <v>5</v>
      </c>
      <c r="M1290" s="8" t="n">
        <v>7</v>
      </c>
      <c r="N1290" s="8" t="s">
        <v>120</v>
      </c>
      <c r="O1290" s="15" t="n">
        <f aca="false">H1290*12</f>
        <v>5040</v>
      </c>
      <c r="P1290" s="8" t="n">
        <f aca="false">MIN(100,ROUND(100*J1290/Assumptions!$B$8,0))</f>
        <v>46</v>
      </c>
      <c r="Q1290" s="8" t="n">
        <f aca="false">IF(L1290="",Assumptions!$B$9,L1290*10)</f>
        <v>50</v>
      </c>
      <c r="R1290" s="8" t="n">
        <f aca="false">IF(M1290&lt;=1,Assumptions!$B$12,IF(M1290&lt;=3,Assumptions!$B$13,IF(M1290&lt;=6,Assumptions!$B$14,Assumptions!$B$15)))</f>
        <v>20</v>
      </c>
      <c r="S1290" s="8" t="n">
        <f aca="false">IF(N1290="Completed On Time",Assumptions!$B$16,IF(N1290="Completed Late",Assumptions!$B$17,Assumptions!$B$18))</f>
        <v>100</v>
      </c>
      <c r="T1290" s="8" t="n">
        <f aca="false">IF(I1290=0,Assumptions!$B$20,IF(H1290&gt;I1290,Assumptions!$B$19,IF(H1290=I1290,Assumptions!$B$20,Assumptions!$B$21)))</f>
        <v>70</v>
      </c>
      <c r="U1290" s="8" t="n">
        <f aca="false">ROUND(P1290*Assumptions!$B$2+Q1290*Assumptions!$B$3+R1290*Assumptions!$B$4+S1290*Assumptions!$B$5+T1290*Assumptions!$B$6,0)</f>
        <v>53</v>
      </c>
      <c r="V1290" s="8" t="str">
        <f aca="false">IF(U1290&gt;=Assumptions!$B$10,"Healthy",IF(U1290&gt;=Assumptions!$B$11,"Needs Attention","High Risk"))</f>
        <v>High Risk</v>
      </c>
    </row>
    <row r="1291" customFormat="false" ht="15" hidden="false" customHeight="false" outlineLevel="0" collapsed="false">
      <c r="A1291" s="8" t="s">
        <v>2724</v>
      </c>
      <c r="B1291" s="8" t="s">
        <v>2725</v>
      </c>
      <c r="C1291" s="8" t="s">
        <v>51</v>
      </c>
      <c r="D1291" s="8" t="s">
        <v>2027</v>
      </c>
      <c r="E1291" s="8" t="s">
        <v>132</v>
      </c>
      <c r="F1291" s="8" t="s">
        <v>154</v>
      </c>
      <c r="G1291" s="8" t="s">
        <v>159</v>
      </c>
      <c r="H1291" s="15" t="n">
        <v>420</v>
      </c>
      <c r="I1291" s="15" t="n">
        <v>420</v>
      </c>
      <c r="J1291" s="16" t="n">
        <v>0.819</v>
      </c>
      <c r="K1291" s="8" t="n">
        <v>10</v>
      </c>
      <c r="L1291" s="8" t="n">
        <v>10</v>
      </c>
      <c r="M1291" s="8" t="n">
        <v>4</v>
      </c>
      <c r="N1291" s="8" t="s">
        <v>120</v>
      </c>
      <c r="O1291" s="15" t="n">
        <f aca="false">H1291*12</f>
        <v>5040</v>
      </c>
      <c r="P1291" s="8" t="n">
        <f aca="false">MIN(100,ROUND(100*J1291/Assumptions!$B$8,0))</f>
        <v>91</v>
      </c>
      <c r="Q1291" s="8" t="n">
        <f aca="false">IF(L1291="",Assumptions!$B$9,L1291*10)</f>
        <v>100</v>
      </c>
      <c r="R1291" s="8" t="n">
        <f aca="false">IF(M1291&lt;=1,Assumptions!$B$12,IF(M1291&lt;=3,Assumptions!$B$13,IF(M1291&lt;=6,Assumptions!$B$14,Assumptions!$B$15)))</f>
        <v>50</v>
      </c>
      <c r="S1291" s="8" t="n">
        <f aca="false">IF(N1291="Completed On Time",Assumptions!$B$16,IF(N1291="Completed Late",Assumptions!$B$17,Assumptions!$B$18))</f>
        <v>100</v>
      </c>
      <c r="T1291" s="8" t="n">
        <f aca="false">IF(I1291=0,Assumptions!$B$20,IF(H1291&gt;I1291,Assumptions!$B$19,IF(H1291=I1291,Assumptions!$B$20,Assumptions!$B$21)))</f>
        <v>70</v>
      </c>
      <c r="U1291" s="8" t="n">
        <f aca="false">ROUND(P1291*Assumptions!$B$2+Q1291*Assumptions!$B$3+R1291*Assumptions!$B$4+S1291*Assumptions!$B$5+T1291*Assumptions!$B$6,0)</f>
        <v>83</v>
      </c>
      <c r="V1291" s="8" t="str">
        <f aca="false">IF(U1291&gt;=Assumptions!$B$10,"Healthy",IF(U1291&gt;=Assumptions!$B$11,"Needs Attention","High Risk"))</f>
        <v>Healthy</v>
      </c>
    </row>
    <row r="1292" customFormat="false" ht="15" hidden="false" customHeight="false" outlineLevel="0" collapsed="false">
      <c r="A1292" s="8" t="s">
        <v>2726</v>
      </c>
      <c r="B1292" s="8" t="s">
        <v>2727</v>
      </c>
      <c r="C1292" s="8" t="s">
        <v>51</v>
      </c>
      <c r="D1292" s="8" t="s">
        <v>2027</v>
      </c>
      <c r="E1292" s="8" t="s">
        <v>123</v>
      </c>
      <c r="F1292" s="8" t="s">
        <v>154</v>
      </c>
      <c r="G1292" s="8" t="s">
        <v>147</v>
      </c>
      <c r="H1292" s="15" t="n">
        <v>420</v>
      </c>
      <c r="I1292" s="15" t="n">
        <v>420</v>
      </c>
      <c r="J1292" s="16" t="n">
        <v>0.59</v>
      </c>
      <c r="K1292" s="8" t="n">
        <v>7.3</v>
      </c>
      <c r="L1292" s="8" t="n">
        <v>8</v>
      </c>
      <c r="M1292" s="8" t="n">
        <v>3</v>
      </c>
      <c r="N1292" s="8" t="s">
        <v>120</v>
      </c>
      <c r="O1292" s="15" t="n">
        <f aca="false">H1292*12</f>
        <v>5040</v>
      </c>
      <c r="P1292" s="8" t="n">
        <f aca="false">MIN(100,ROUND(100*J1292/Assumptions!$B$8,0))</f>
        <v>66</v>
      </c>
      <c r="Q1292" s="8" t="n">
        <f aca="false">IF(L1292="",Assumptions!$B$9,L1292*10)</f>
        <v>80</v>
      </c>
      <c r="R1292" s="8" t="n">
        <f aca="false">IF(M1292&lt;=1,Assumptions!$B$12,IF(M1292&lt;=3,Assumptions!$B$13,IF(M1292&lt;=6,Assumptions!$B$14,Assumptions!$B$15)))</f>
        <v>75</v>
      </c>
      <c r="S1292" s="8" t="n">
        <f aca="false">IF(N1292="Completed On Time",Assumptions!$B$16,IF(N1292="Completed Late",Assumptions!$B$17,Assumptions!$B$18))</f>
        <v>100</v>
      </c>
      <c r="T1292" s="8" t="n">
        <f aca="false">IF(I1292=0,Assumptions!$B$20,IF(H1292&gt;I1292,Assumptions!$B$19,IF(H1292=I1292,Assumptions!$B$20,Assumptions!$B$21)))</f>
        <v>70</v>
      </c>
      <c r="U1292" s="8" t="n">
        <f aca="false">ROUND(P1292*Assumptions!$B$2+Q1292*Assumptions!$B$3+R1292*Assumptions!$B$4+S1292*Assumptions!$B$5+T1292*Assumptions!$B$6,0)</f>
        <v>74</v>
      </c>
      <c r="V1292" s="8" t="str">
        <f aca="false">IF(U1292&gt;=Assumptions!$B$10,"Healthy",IF(U1292&gt;=Assumptions!$B$11,"Needs Attention","High Risk"))</f>
        <v>Needs Attention</v>
      </c>
    </row>
    <row r="1293" customFormat="false" ht="15" hidden="false" customHeight="false" outlineLevel="0" collapsed="false">
      <c r="A1293" s="8" t="s">
        <v>2728</v>
      </c>
      <c r="B1293" s="8" t="s">
        <v>2729</v>
      </c>
      <c r="C1293" s="8" t="s">
        <v>51</v>
      </c>
      <c r="D1293" s="8" t="s">
        <v>2027</v>
      </c>
      <c r="E1293" s="8" t="s">
        <v>123</v>
      </c>
      <c r="F1293" s="8" t="s">
        <v>133</v>
      </c>
      <c r="G1293" s="8" t="s">
        <v>140</v>
      </c>
      <c r="H1293" s="15" t="n">
        <v>420</v>
      </c>
      <c r="I1293" s="15" t="n">
        <v>420</v>
      </c>
      <c r="J1293" s="16" t="n">
        <v>0.752</v>
      </c>
      <c r="K1293" s="8" t="n">
        <v>6.3</v>
      </c>
      <c r="L1293" s="8" t="n">
        <v>10</v>
      </c>
      <c r="M1293" s="8" t="n">
        <v>1</v>
      </c>
      <c r="N1293" s="8" t="s">
        <v>120</v>
      </c>
      <c r="O1293" s="15" t="n">
        <f aca="false">H1293*12</f>
        <v>5040</v>
      </c>
      <c r="P1293" s="8" t="n">
        <f aca="false">MIN(100,ROUND(100*J1293/Assumptions!$B$8,0))</f>
        <v>84</v>
      </c>
      <c r="Q1293" s="8" t="n">
        <f aca="false">IF(L1293="",Assumptions!$B$9,L1293*10)</f>
        <v>100</v>
      </c>
      <c r="R1293" s="8" t="n">
        <f aca="false">IF(M1293&lt;=1,Assumptions!$B$12,IF(M1293&lt;=3,Assumptions!$B$13,IF(M1293&lt;=6,Assumptions!$B$14,Assumptions!$B$15)))</f>
        <v>100</v>
      </c>
      <c r="S1293" s="8" t="n">
        <f aca="false">IF(N1293="Completed On Time",Assumptions!$B$16,IF(N1293="Completed Late",Assumptions!$B$17,Assumptions!$B$18))</f>
        <v>100</v>
      </c>
      <c r="T1293" s="8" t="n">
        <f aca="false">IF(I1293=0,Assumptions!$B$20,IF(H1293&gt;I1293,Assumptions!$B$19,IF(H1293=I1293,Assumptions!$B$20,Assumptions!$B$21)))</f>
        <v>70</v>
      </c>
      <c r="U1293" s="8" t="n">
        <f aca="false">ROUND(P1293*Assumptions!$B$2+Q1293*Assumptions!$B$3+R1293*Assumptions!$B$4+S1293*Assumptions!$B$5+T1293*Assumptions!$B$6,0)</f>
        <v>88</v>
      </c>
      <c r="V1293" s="8" t="str">
        <f aca="false">IF(U1293&gt;=Assumptions!$B$10,"Healthy",IF(U1293&gt;=Assumptions!$B$11,"Needs Attention","High Risk"))</f>
        <v>Healthy</v>
      </c>
    </row>
    <row r="1294" customFormat="false" ht="15" hidden="false" customHeight="false" outlineLevel="0" collapsed="false">
      <c r="A1294" s="8" t="s">
        <v>2730</v>
      </c>
      <c r="B1294" s="8" t="s">
        <v>2731</v>
      </c>
      <c r="C1294" s="8" t="s">
        <v>51</v>
      </c>
      <c r="D1294" s="8" t="s">
        <v>2027</v>
      </c>
      <c r="E1294" s="8" t="s">
        <v>132</v>
      </c>
      <c r="F1294" s="8" t="s">
        <v>143</v>
      </c>
      <c r="G1294" s="8" t="s">
        <v>159</v>
      </c>
      <c r="H1294" s="15" t="n">
        <v>408</v>
      </c>
      <c r="I1294" s="15" t="n">
        <v>408</v>
      </c>
      <c r="J1294" s="16" t="n">
        <v>0.814</v>
      </c>
      <c r="K1294" s="8" t="n">
        <v>9.7</v>
      </c>
      <c r="L1294" s="8" t="n">
        <v>10</v>
      </c>
      <c r="M1294" s="8" t="n">
        <v>1</v>
      </c>
      <c r="N1294" s="8" t="s">
        <v>120</v>
      </c>
      <c r="O1294" s="15" t="n">
        <f aca="false">H1294*12</f>
        <v>4896</v>
      </c>
      <c r="P1294" s="8" t="n">
        <f aca="false">MIN(100,ROUND(100*J1294/Assumptions!$B$8,0))</f>
        <v>90</v>
      </c>
      <c r="Q1294" s="8" t="n">
        <f aca="false">IF(L1294="",Assumptions!$B$9,L1294*10)</f>
        <v>100</v>
      </c>
      <c r="R1294" s="8" t="n">
        <f aca="false">IF(M1294&lt;=1,Assumptions!$B$12,IF(M1294&lt;=3,Assumptions!$B$13,IF(M1294&lt;=6,Assumptions!$B$14,Assumptions!$B$15)))</f>
        <v>100</v>
      </c>
      <c r="S1294" s="8" t="n">
        <f aca="false">IF(N1294="Completed On Time",Assumptions!$B$16,IF(N1294="Completed Late",Assumptions!$B$17,Assumptions!$B$18))</f>
        <v>100</v>
      </c>
      <c r="T1294" s="8" t="n">
        <f aca="false">IF(I1294=0,Assumptions!$B$20,IF(H1294&gt;I1294,Assumptions!$B$19,IF(H1294=I1294,Assumptions!$B$20,Assumptions!$B$21)))</f>
        <v>70</v>
      </c>
      <c r="U1294" s="8" t="n">
        <f aca="false">ROUND(P1294*Assumptions!$B$2+Q1294*Assumptions!$B$3+R1294*Assumptions!$B$4+S1294*Assumptions!$B$5+T1294*Assumptions!$B$6,0)</f>
        <v>91</v>
      </c>
      <c r="V1294" s="8" t="str">
        <f aca="false">IF(U1294&gt;=Assumptions!$B$10,"Healthy",IF(U1294&gt;=Assumptions!$B$11,"Needs Attention","High Risk"))</f>
        <v>Healthy</v>
      </c>
    </row>
    <row r="1295" customFormat="false" ht="15" hidden="false" customHeight="false" outlineLevel="0" collapsed="false">
      <c r="A1295" s="8" t="s">
        <v>2732</v>
      </c>
      <c r="B1295" s="8" t="s">
        <v>2733</v>
      </c>
      <c r="C1295" s="8" t="s">
        <v>51</v>
      </c>
      <c r="D1295" s="8" t="s">
        <v>2027</v>
      </c>
      <c r="E1295" s="8" t="s">
        <v>123</v>
      </c>
      <c r="F1295" s="8" t="s">
        <v>143</v>
      </c>
      <c r="G1295" s="8" t="s">
        <v>140</v>
      </c>
      <c r="H1295" s="15" t="n">
        <v>408</v>
      </c>
      <c r="I1295" s="15" t="n">
        <v>408</v>
      </c>
      <c r="J1295" s="16" t="n">
        <v>0.696</v>
      </c>
      <c r="K1295" s="8" t="n">
        <v>6.7</v>
      </c>
      <c r="L1295" s="8" t="n">
        <v>8</v>
      </c>
      <c r="M1295" s="8" t="n">
        <v>4</v>
      </c>
      <c r="N1295" s="8" t="s">
        <v>120</v>
      </c>
      <c r="O1295" s="15" t="n">
        <f aca="false">H1295*12</f>
        <v>4896</v>
      </c>
      <c r="P1295" s="8" t="n">
        <f aca="false">MIN(100,ROUND(100*J1295/Assumptions!$B$8,0))</f>
        <v>77</v>
      </c>
      <c r="Q1295" s="8" t="n">
        <f aca="false">IF(L1295="",Assumptions!$B$9,L1295*10)</f>
        <v>80</v>
      </c>
      <c r="R1295" s="8" t="n">
        <f aca="false">IF(M1295&lt;=1,Assumptions!$B$12,IF(M1295&lt;=3,Assumptions!$B$13,IF(M1295&lt;=6,Assumptions!$B$14,Assumptions!$B$15)))</f>
        <v>50</v>
      </c>
      <c r="S1295" s="8" t="n">
        <f aca="false">IF(N1295="Completed On Time",Assumptions!$B$16,IF(N1295="Completed Late",Assumptions!$B$17,Assumptions!$B$18))</f>
        <v>100</v>
      </c>
      <c r="T1295" s="8" t="n">
        <f aca="false">IF(I1295=0,Assumptions!$B$20,IF(H1295&gt;I1295,Assumptions!$B$19,IF(H1295=I1295,Assumptions!$B$20,Assumptions!$B$21)))</f>
        <v>70</v>
      </c>
      <c r="U1295" s="8" t="n">
        <f aca="false">ROUND(P1295*Assumptions!$B$2+Q1295*Assumptions!$B$3+R1295*Assumptions!$B$4+S1295*Assumptions!$B$5+T1295*Assumptions!$B$6,0)</f>
        <v>74</v>
      </c>
      <c r="V1295" s="8" t="str">
        <f aca="false">IF(U1295&gt;=Assumptions!$B$10,"Healthy",IF(U1295&gt;=Assumptions!$B$11,"Needs Attention","High Risk"))</f>
        <v>Needs Attention</v>
      </c>
    </row>
    <row r="1296" customFormat="false" ht="15" hidden="false" customHeight="false" outlineLevel="0" collapsed="false">
      <c r="A1296" s="8" t="s">
        <v>2734</v>
      </c>
      <c r="B1296" s="8" t="s">
        <v>2735</v>
      </c>
      <c r="C1296" s="8" t="s">
        <v>51</v>
      </c>
      <c r="D1296" s="8" t="s">
        <v>2027</v>
      </c>
      <c r="E1296" s="8" t="s">
        <v>132</v>
      </c>
      <c r="F1296" s="8" t="s">
        <v>190</v>
      </c>
      <c r="G1296" s="8" t="s">
        <v>140</v>
      </c>
      <c r="H1296" s="15" t="n">
        <v>408</v>
      </c>
      <c r="I1296" s="15" t="n">
        <v>408</v>
      </c>
      <c r="J1296" s="16" t="n">
        <v>0.667</v>
      </c>
      <c r="K1296" s="8" t="n">
        <v>9.3</v>
      </c>
      <c r="L1296" s="8" t="n">
        <v>8</v>
      </c>
      <c r="M1296" s="8" t="n">
        <v>1</v>
      </c>
      <c r="N1296" s="8" t="s">
        <v>120</v>
      </c>
      <c r="O1296" s="15" t="n">
        <f aca="false">H1296*12</f>
        <v>4896</v>
      </c>
      <c r="P1296" s="8" t="n">
        <f aca="false">MIN(100,ROUND(100*J1296/Assumptions!$B$8,0))</f>
        <v>74</v>
      </c>
      <c r="Q1296" s="8" t="n">
        <f aca="false">IF(L1296="",Assumptions!$B$9,L1296*10)</f>
        <v>80</v>
      </c>
      <c r="R1296" s="8" t="n">
        <f aca="false">IF(M1296&lt;=1,Assumptions!$B$12,IF(M1296&lt;=3,Assumptions!$B$13,IF(M1296&lt;=6,Assumptions!$B$14,Assumptions!$B$15)))</f>
        <v>100</v>
      </c>
      <c r="S1296" s="8" t="n">
        <f aca="false">IF(N1296="Completed On Time",Assumptions!$B$16,IF(N1296="Completed Late",Assumptions!$B$17,Assumptions!$B$18))</f>
        <v>100</v>
      </c>
      <c r="T1296" s="8" t="n">
        <f aca="false">IF(I1296=0,Assumptions!$B$20,IF(H1296&gt;I1296,Assumptions!$B$19,IF(H1296=I1296,Assumptions!$B$20,Assumptions!$B$21)))</f>
        <v>70</v>
      </c>
      <c r="U1296" s="8" t="n">
        <f aca="false">ROUND(P1296*Assumptions!$B$2+Q1296*Assumptions!$B$3+R1296*Assumptions!$B$4+S1296*Assumptions!$B$5+T1296*Assumptions!$B$6,0)</f>
        <v>81</v>
      </c>
      <c r="V1296" s="8" t="str">
        <f aca="false">IF(U1296&gt;=Assumptions!$B$10,"Healthy",IF(U1296&gt;=Assumptions!$B$11,"Needs Attention","High Risk"))</f>
        <v>Healthy</v>
      </c>
    </row>
    <row r="1297" customFormat="false" ht="15" hidden="false" customHeight="false" outlineLevel="0" collapsed="false">
      <c r="A1297" s="8" t="s">
        <v>2736</v>
      </c>
      <c r="B1297" s="8" t="s">
        <v>2737</v>
      </c>
      <c r="C1297" s="8" t="s">
        <v>51</v>
      </c>
      <c r="D1297" s="8" t="s">
        <v>2027</v>
      </c>
      <c r="E1297" s="8" t="s">
        <v>123</v>
      </c>
      <c r="F1297" s="8" t="s">
        <v>166</v>
      </c>
      <c r="G1297" s="8" t="s">
        <v>159</v>
      </c>
      <c r="H1297" s="15" t="n">
        <v>408</v>
      </c>
      <c r="I1297" s="15" t="n">
        <v>408</v>
      </c>
      <c r="J1297" s="16" t="n">
        <v>0.637</v>
      </c>
      <c r="K1297" s="8" t="n">
        <v>7</v>
      </c>
      <c r="L1297" s="8" t="n">
        <v>9</v>
      </c>
      <c r="M1297" s="8" t="n">
        <v>1</v>
      </c>
      <c r="N1297" s="8" t="s">
        <v>120</v>
      </c>
      <c r="O1297" s="15" t="n">
        <f aca="false">H1297*12</f>
        <v>4896</v>
      </c>
      <c r="P1297" s="8" t="n">
        <f aca="false">MIN(100,ROUND(100*J1297/Assumptions!$B$8,0))</f>
        <v>71</v>
      </c>
      <c r="Q1297" s="8" t="n">
        <f aca="false">IF(L1297="",Assumptions!$B$9,L1297*10)</f>
        <v>90</v>
      </c>
      <c r="R1297" s="8" t="n">
        <f aca="false">IF(M1297&lt;=1,Assumptions!$B$12,IF(M1297&lt;=3,Assumptions!$B$13,IF(M1297&lt;=6,Assumptions!$B$14,Assumptions!$B$15)))</f>
        <v>100</v>
      </c>
      <c r="S1297" s="8" t="n">
        <f aca="false">IF(N1297="Completed On Time",Assumptions!$B$16,IF(N1297="Completed Late",Assumptions!$B$17,Assumptions!$B$18))</f>
        <v>100</v>
      </c>
      <c r="T1297" s="8" t="n">
        <f aca="false">IF(I1297=0,Assumptions!$B$20,IF(H1297&gt;I1297,Assumptions!$B$19,IF(H1297=I1297,Assumptions!$B$20,Assumptions!$B$21)))</f>
        <v>70</v>
      </c>
      <c r="U1297" s="8" t="n">
        <f aca="false">ROUND(P1297*Assumptions!$B$2+Q1297*Assumptions!$B$3+R1297*Assumptions!$B$4+S1297*Assumptions!$B$5+T1297*Assumptions!$B$6,0)</f>
        <v>82</v>
      </c>
      <c r="V1297" s="8" t="str">
        <f aca="false">IF(U1297&gt;=Assumptions!$B$10,"Healthy",IF(U1297&gt;=Assumptions!$B$11,"Needs Attention","High Risk"))</f>
        <v>Healthy</v>
      </c>
    </row>
    <row r="1298" customFormat="false" ht="15" hidden="false" customHeight="false" outlineLevel="0" collapsed="false">
      <c r="A1298" s="8" t="s">
        <v>2738</v>
      </c>
      <c r="B1298" s="8" t="s">
        <v>2739</v>
      </c>
      <c r="C1298" s="8" t="s">
        <v>51</v>
      </c>
      <c r="D1298" s="8" t="s">
        <v>2027</v>
      </c>
      <c r="E1298" s="8" t="s">
        <v>132</v>
      </c>
      <c r="F1298" s="8" t="s">
        <v>136</v>
      </c>
      <c r="G1298" s="8" t="s">
        <v>177</v>
      </c>
      <c r="H1298" s="15" t="n">
        <v>408</v>
      </c>
      <c r="I1298" s="15" t="n">
        <v>300</v>
      </c>
      <c r="J1298" s="16" t="n">
        <v>0.645</v>
      </c>
      <c r="K1298" s="8" t="n">
        <v>8.3</v>
      </c>
      <c r="L1298" s="8" t="n">
        <v>8</v>
      </c>
      <c r="M1298" s="8" t="n">
        <v>1</v>
      </c>
      <c r="N1298" s="8" t="s">
        <v>120</v>
      </c>
      <c r="O1298" s="15" t="n">
        <f aca="false">H1298*12</f>
        <v>4896</v>
      </c>
      <c r="P1298" s="8" t="n">
        <f aca="false">MIN(100,ROUND(100*J1298/Assumptions!$B$8,0))</f>
        <v>72</v>
      </c>
      <c r="Q1298" s="8" t="n">
        <f aca="false">IF(L1298="",Assumptions!$B$9,L1298*10)</f>
        <v>80</v>
      </c>
      <c r="R1298" s="8" t="n">
        <f aca="false">IF(M1298&lt;=1,Assumptions!$B$12,IF(M1298&lt;=3,Assumptions!$B$13,IF(M1298&lt;=6,Assumptions!$B$14,Assumptions!$B$15)))</f>
        <v>100</v>
      </c>
      <c r="S1298" s="8" t="n">
        <f aca="false">IF(N1298="Completed On Time",Assumptions!$B$16,IF(N1298="Completed Late",Assumptions!$B$17,Assumptions!$B$18))</f>
        <v>100</v>
      </c>
      <c r="T1298" s="8" t="n">
        <f aca="false">IF(I1298=0,Assumptions!$B$20,IF(H1298&gt;I1298,Assumptions!$B$19,IF(H1298=I1298,Assumptions!$B$20,Assumptions!$B$21)))</f>
        <v>100</v>
      </c>
      <c r="U1298" s="8" t="n">
        <f aca="false">ROUND(P1298*Assumptions!$B$2+Q1298*Assumptions!$B$3+R1298*Assumptions!$B$4+S1298*Assumptions!$B$5+T1298*Assumptions!$B$6,0)</f>
        <v>86</v>
      </c>
      <c r="V1298" s="8" t="str">
        <f aca="false">IF(U1298&gt;=Assumptions!$B$10,"Healthy",IF(U1298&gt;=Assumptions!$B$11,"Needs Attention","High Risk"))</f>
        <v>Healthy</v>
      </c>
    </row>
    <row r="1299" customFormat="false" ht="15" hidden="false" customHeight="false" outlineLevel="0" collapsed="false">
      <c r="A1299" s="8" t="s">
        <v>2740</v>
      </c>
      <c r="B1299" s="8" t="s">
        <v>2741</v>
      </c>
      <c r="C1299" s="8" t="s">
        <v>51</v>
      </c>
      <c r="D1299" s="8" t="s">
        <v>2027</v>
      </c>
      <c r="E1299" s="8" t="s">
        <v>123</v>
      </c>
      <c r="F1299" s="8" t="s">
        <v>118</v>
      </c>
      <c r="G1299" s="8" t="s">
        <v>119</v>
      </c>
      <c r="H1299" s="15" t="n">
        <v>408</v>
      </c>
      <c r="I1299" s="15" t="n">
        <v>408</v>
      </c>
      <c r="J1299" s="16" t="n">
        <v>0.843</v>
      </c>
      <c r="K1299" s="8" t="n">
        <v>9</v>
      </c>
      <c r="L1299" s="8" t="n">
        <v>10</v>
      </c>
      <c r="M1299" s="8" t="n">
        <v>1</v>
      </c>
      <c r="N1299" s="8" t="s">
        <v>120</v>
      </c>
      <c r="O1299" s="15" t="n">
        <f aca="false">H1299*12</f>
        <v>4896</v>
      </c>
      <c r="P1299" s="8" t="n">
        <f aca="false">MIN(100,ROUND(100*J1299/Assumptions!$B$8,0))</f>
        <v>94</v>
      </c>
      <c r="Q1299" s="8" t="n">
        <f aca="false">IF(L1299="",Assumptions!$B$9,L1299*10)</f>
        <v>100</v>
      </c>
      <c r="R1299" s="8" t="n">
        <f aca="false">IF(M1299&lt;=1,Assumptions!$B$12,IF(M1299&lt;=3,Assumptions!$B$13,IF(M1299&lt;=6,Assumptions!$B$14,Assumptions!$B$15)))</f>
        <v>100</v>
      </c>
      <c r="S1299" s="8" t="n">
        <f aca="false">IF(N1299="Completed On Time",Assumptions!$B$16,IF(N1299="Completed Late",Assumptions!$B$17,Assumptions!$B$18))</f>
        <v>100</v>
      </c>
      <c r="T1299" s="8" t="n">
        <f aca="false">IF(I1299=0,Assumptions!$B$20,IF(H1299&gt;I1299,Assumptions!$B$19,IF(H1299=I1299,Assumptions!$B$20,Assumptions!$B$21)))</f>
        <v>70</v>
      </c>
      <c r="U1299" s="8" t="n">
        <f aca="false">ROUND(P1299*Assumptions!$B$2+Q1299*Assumptions!$B$3+R1299*Assumptions!$B$4+S1299*Assumptions!$B$5+T1299*Assumptions!$B$6,0)</f>
        <v>92</v>
      </c>
      <c r="V1299" s="8" t="str">
        <f aca="false">IF(U1299&gt;=Assumptions!$B$10,"Healthy",IF(U1299&gt;=Assumptions!$B$11,"Needs Attention","High Risk"))</f>
        <v>Healthy</v>
      </c>
    </row>
    <row r="1300" customFormat="false" ht="15" hidden="false" customHeight="false" outlineLevel="0" collapsed="false">
      <c r="A1300" s="8" t="s">
        <v>2742</v>
      </c>
      <c r="B1300" s="8" t="s">
        <v>2743</v>
      </c>
      <c r="C1300" s="8" t="s">
        <v>51</v>
      </c>
      <c r="D1300" s="8" t="s">
        <v>2027</v>
      </c>
      <c r="E1300" s="8" t="s">
        <v>132</v>
      </c>
      <c r="F1300" s="8" t="s">
        <v>124</v>
      </c>
      <c r="G1300" s="8" t="s">
        <v>159</v>
      </c>
      <c r="H1300" s="15" t="n">
        <v>408</v>
      </c>
      <c r="I1300" s="15" t="n">
        <v>408</v>
      </c>
      <c r="J1300" s="16" t="n">
        <v>0.775</v>
      </c>
      <c r="K1300" s="8" t="n">
        <v>8</v>
      </c>
      <c r="L1300" s="8" t="n">
        <v>8</v>
      </c>
      <c r="M1300" s="8" t="n">
        <v>0</v>
      </c>
      <c r="N1300" s="8" t="s">
        <v>120</v>
      </c>
      <c r="O1300" s="15" t="n">
        <f aca="false">H1300*12</f>
        <v>4896</v>
      </c>
      <c r="P1300" s="8" t="n">
        <f aca="false">MIN(100,ROUND(100*J1300/Assumptions!$B$8,0))</f>
        <v>86</v>
      </c>
      <c r="Q1300" s="8" t="n">
        <f aca="false">IF(L1300="",Assumptions!$B$9,L1300*10)</f>
        <v>80</v>
      </c>
      <c r="R1300" s="8" t="n">
        <f aca="false">IF(M1300&lt;=1,Assumptions!$B$12,IF(M1300&lt;=3,Assumptions!$B$13,IF(M1300&lt;=6,Assumptions!$B$14,Assumptions!$B$15)))</f>
        <v>100</v>
      </c>
      <c r="S1300" s="8" t="n">
        <f aca="false">IF(N1300="Completed On Time",Assumptions!$B$16,IF(N1300="Completed Late",Assumptions!$B$17,Assumptions!$B$18))</f>
        <v>100</v>
      </c>
      <c r="T1300" s="8" t="n">
        <f aca="false">IF(I1300=0,Assumptions!$B$20,IF(H1300&gt;I1300,Assumptions!$B$19,IF(H1300=I1300,Assumptions!$B$20,Assumptions!$B$21)))</f>
        <v>70</v>
      </c>
      <c r="U1300" s="8" t="n">
        <f aca="false">ROUND(P1300*Assumptions!$B$2+Q1300*Assumptions!$B$3+R1300*Assumptions!$B$4+S1300*Assumptions!$B$5+T1300*Assumptions!$B$6,0)</f>
        <v>85</v>
      </c>
      <c r="V1300" s="8" t="str">
        <f aca="false">IF(U1300&gt;=Assumptions!$B$10,"Healthy",IF(U1300&gt;=Assumptions!$B$11,"Needs Attention","High Risk"))</f>
        <v>Healthy</v>
      </c>
    </row>
    <row r="1301" customFormat="false" ht="15" hidden="false" customHeight="false" outlineLevel="0" collapsed="false">
      <c r="A1301" s="8" t="s">
        <v>2744</v>
      </c>
      <c r="B1301" s="8" t="s">
        <v>2745</v>
      </c>
      <c r="C1301" s="8" t="s">
        <v>51</v>
      </c>
      <c r="D1301" s="8" t="s">
        <v>2027</v>
      </c>
      <c r="E1301" s="8" t="s">
        <v>123</v>
      </c>
      <c r="F1301" s="8" t="s">
        <v>166</v>
      </c>
      <c r="G1301" s="8" t="s">
        <v>129</v>
      </c>
      <c r="H1301" s="15" t="n">
        <v>408</v>
      </c>
      <c r="I1301" s="15" t="n">
        <v>408</v>
      </c>
      <c r="J1301" s="16" t="n">
        <v>0.578</v>
      </c>
      <c r="K1301" s="8" t="n">
        <v>6.3</v>
      </c>
      <c r="L1301" s="8" t="n">
        <v>5</v>
      </c>
      <c r="M1301" s="8" t="n">
        <v>0</v>
      </c>
      <c r="N1301" s="8" t="s">
        <v>120</v>
      </c>
      <c r="O1301" s="15" t="n">
        <f aca="false">H1301*12</f>
        <v>4896</v>
      </c>
      <c r="P1301" s="8" t="n">
        <f aca="false">MIN(100,ROUND(100*J1301/Assumptions!$B$8,0))</f>
        <v>64</v>
      </c>
      <c r="Q1301" s="8" t="n">
        <f aca="false">IF(L1301="",Assumptions!$B$9,L1301*10)</f>
        <v>50</v>
      </c>
      <c r="R1301" s="8" t="n">
        <f aca="false">IF(M1301&lt;=1,Assumptions!$B$12,IF(M1301&lt;=3,Assumptions!$B$13,IF(M1301&lt;=6,Assumptions!$B$14,Assumptions!$B$15)))</f>
        <v>100</v>
      </c>
      <c r="S1301" s="8" t="n">
        <f aca="false">IF(N1301="Completed On Time",Assumptions!$B$16,IF(N1301="Completed Late",Assumptions!$B$17,Assumptions!$B$18))</f>
        <v>100</v>
      </c>
      <c r="T1301" s="8" t="n">
        <f aca="false">IF(I1301=0,Assumptions!$B$20,IF(H1301&gt;I1301,Assumptions!$B$19,IF(H1301=I1301,Assumptions!$B$20,Assumptions!$B$21)))</f>
        <v>70</v>
      </c>
      <c r="U1301" s="8" t="n">
        <f aca="false">ROUND(P1301*Assumptions!$B$2+Q1301*Assumptions!$B$3+R1301*Assumptions!$B$4+S1301*Assumptions!$B$5+T1301*Assumptions!$B$6,0)</f>
        <v>71</v>
      </c>
      <c r="V1301" s="8" t="str">
        <f aca="false">IF(U1301&gt;=Assumptions!$B$10,"Healthy",IF(U1301&gt;=Assumptions!$B$11,"Needs Attention","High Risk"))</f>
        <v>Needs Attention</v>
      </c>
    </row>
    <row r="1302" customFormat="false" ht="15" hidden="false" customHeight="false" outlineLevel="0" collapsed="false">
      <c r="A1302" s="8" t="s">
        <v>2746</v>
      </c>
      <c r="B1302" s="8" t="s">
        <v>2747</v>
      </c>
      <c r="C1302" s="8" t="s">
        <v>51</v>
      </c>
      <c r="D1302" s="8" t="s">
        <v>2027</v>
      </c>
      <c r="E1302" s="8" t="s">
        <v>123</v>
      </c>
      <c r="F1302" s="8" t="s">
        <v>190</v>
      </c>
      <c r="G1302" s="8" t="s">
        <v>180</v>
      </c>
      <c r="H1302" s="15" t="n">
        <v>408</v>
      </c>
      <c r="I1302" s="15" t="n">
        <v>408</v>
      </c>
      <c r="J1302" s="16" t="n">
        <v>0.775</v>
      </c>
      <c r="K1302" s="8" t="n">
        <v>9</v>
      </c>
      <c r="L1302" s="8" t="n">
        <v>8</v>
      </c>
      <c r="M1302" s="8" t="n">
        <v>1</v>
      </c>
      <c r="N1302" s="8" t="s">
        <v>120</v>
      </c>
      <c r="O1302" s="15" t="n">
        <f aca="false">H1302*12</f>
        <v>4896</v>
      </c>
      <c r="P1302" s="8" t="n">
        <f aca="false">MIN(100,ROUND(100*J1302/Assumptions!$B$8,0))</f>
        <v>86</v>
      </c>
      <c r="Q1302" s="8" t="n">
        <f aca="false">IF(L1302="",Assumptions!$B$9,L1302*10)</f>
        <v>80</v>
      </c>
      <c r="R1302" s="8" t="n">
        <f aca="false">IF(M1302&lt;=1,Assumptions!$B$12,IF(M1302&lt;=3,Assumptions!$B$13,IF(M1302&lt;=6,Assumptions!$B$14,Assumptions!$B$15)))</f>
        <v>100</v>
      </c>
      <c r="S1302" s="8" t="n">
        <f aca="false">IF(N1302="Completed On Time",Assumptions!$B$16,IF(N1302="Completed Late",Assumptions!$B$17,Assumptions!$B$18))</f>
        <v>100</v>
      </c>
      <c r="T1302" s="8" t="n">
        <f aca="false">IF(I1302=0,Assumptions!$B$20,IF(H1302&gt;I1302,Assumptions!$B$19,IF(H1302=I1302,Assumptions!$B$20,Assumptions!$B$21)))</f>
        <v>70</v>
      </c>
      <c r="U1302" s="8" t="n">
        <f aca="false">ROUND(P1302*Assumptions!$B$2+Q1302*Assumptions!$B$3+R1302*Assumptions!$B$4+S1302*Assumptions!$B$5+T1302*Assumptions!$B$6,0)</f>
        <v>85</v>
      </c>
      <c r="V1302" s="8" t="str">
        <f aca="false">IF(U1302&gt;=Assumptions!$B$10,"Healthy",IF(U1302&gt;=Assumptions!$B$11,"Needs Attention","High Risk"))</f>
        <v>Healthy</v>
      </c>
    </row>
    <row r="1303" customFormat="false" ht="15" hidden="false" customHeight="false" outlineLevel="0" collapsed="false">
      <c r="A1303" s="8" t="s">
        <v>2748</v>
      </c>
      <c r="B1303" s="8" t="s">
        <v>2749</v>
      </c>
      <c r="C1303" s="8" t="s">
        <v>51</v>
      </c>
      <c r="D1303" s="8" t="s">
        <v>2027</v>
      </c>
      <c r="E1303" s="8" t="s">
        <v>132</v>
      </c>
      <c r="F1303" s="8" t="s">
        <v>166</v>
      </c>
      <c r="G1303" s="8" t="s">
        <v>129</v>
      </c>
      <c r="H1303" s="15" t="n">
        <v>408</v>
      </c>
      <c r="I1303" s="15" t="n">
        <v>408</v>
      </c>
      <c r="J1303" s="16" t="n">
        <v>0.814</v>
      </c>
      <c r="K1303" s="8" t="n">
        <v>9.7</v>
      </c>
      <c r="L1303" s="8" t="n">
        <v>9</v>
      </c>
      <c r="M1303" s="8" t="n">
        <v>2</v>
      </c>
      <c r="N1303" s="8" t="s">
        <v>120</v>
      </c>
      <c r="O1303" s="15" t="n">
        <f aca="false">H1303*12</f>
        <v>4896</v>
      </c>
      <c r="P1303" s="8" t="n">
        <f aca="false">MIN(100,ROUND(100*J1303/Assumptions!$B$8,0))</f>
        <v>90</v>
      </c>
      <c r="Q1303" s="8" t="n">
        <f aca="false">IF(L1303="",Assumptions!$B$9,L1303*10)</f>
        <v>90</v>
      </c>
      <c r="R1303" s="8" t="n">
        <f aca="false">IF(M1303&lt;=1,Assumptions!$B$12,IF(M1303&lt;=3,Assumptions!$B$13,IF(M1303&lt;=6,Assumptions!$B$14,Assumptions!$B$15)))</f>
        <v>75</v>
      </c>
      <c r="S1303" s="8" t="n">
        <f aca="false">IF(N1303="Completed On Time",Assumptions!$B$16,IF(N1303="Completed Late",Assumptions!$B$17,Assumptions!$B$18))</f>
        <v>100</v>
      </c>
      <c r="T1303" s="8" t="n">
        <f aca="false">IF(I1303=0,Assumptions!$B$20,IF(H1303&gt;I1303,Assumptions!$B$19,IF(H1303=I1303,Assumptions!$B$20,Assumptions!$B$21)))</f>
        <v>70</v>
      </c>
      <c r="U1303" s="8" t="n">
        <f aca="false">ROUND(P1303*Assumptions!$B$2+Q1303*Assumptions!$B$3+R1303*Assumptions!$B$4+S1303*Assumptions!$B$5+T1303*Assumptions!$B$6,0)</f>
        <v>85</v>
      </c>
      <c r="V1303" s="8" t="str">
        <f aca="false">IF(U1303&gt;=Assumptions!$B$10,"Healthy",IF(U1303&gt;=Assumptions!$B$11,"Needs Attention","High Risk"))</f>
        <v>Healthy</v>
      </c>
    </row>
    <row r="1304" customFormat="false" ht="15" hidden="false" customHeight="false" outlineLevel="0" collapsed="false">
      <c r="A1304" s="8" t="s">
        <v>2750</v>
      </c>
      <c r="B1304" s="8" t="s">
        <v>2751</v>
      </c>
      <c r="C1304" s="8" t="s">
        <v>51</v>
      </c>
      <c r="D1304" s="8" t="s">
        <v>2027</v>
      </c>
      <c r="E1304" s="8" t="s">
        <v>123</v>
      </c>
      <c r="F1304" s="8" t="s">
        <v>190</v>
      </c>
      <c r="G1304" s="8" t="s">
        <v>125</v>
      </c>
      <c r="H1304" s="15" t="n">
        <v>408</v>
      </c>
      <c r="I1304" s="15" t="n">
        <v>408</v>
      </c>
      <c r="J1304" s="16" t="n">
        <v>0.647</v>
      </c>
      <c r="K1304" s="8" t="n">
        <v>8.7</v>
      </c>
      <c r="L1304" s="8" t="n">
        <v>7</v>
      </c>
      <c r="M1304" s="8" t="n">
        <v>3</v>
      </c>
      <c r="N1304" s="8" t="s">
        <v>120</v>
      </c>
      <c r="O1304" s="15" t="n">
        <f aca="false">H1304*12</f>
        <v>4896</v>
      </c>
      <c r="P1304" s="8" t="n">
        <f aca="false">MIN(100,ROUND(100*J1304/Assumptions!$B$8,0))</f>
        <v>72</v>
      </c>
      <c r="Q1304" s="8" t="n">
        <f aca="false">IF(L1304="",Assumptions!$B$9,L1304*10)</f>
        <v>70</v>
      </c>
      <c r="R1304" s="8" t="n">
        <f aca="false">IF(M1304&lt;=1,Assumptions!$B$12,IF(M1304&lt;=3,Assumptions!$B$13,IF(M1304&lt;=6,Assumptions!$B$14,Assumptions!$B$15)))</f>
        <v>75</v>
      </c>
      <c r="S1304" s="8" t="n">
        <f aca="false">IF(N1304="Completed On Time",Assumptions!$B$16,IF(N1304="Completed Late",Assumptions!$B$17,Assumptions!$B$18))</f>
        <v>100</v>
      </c>
      <c r="T1304" s="8" t="n">
        <f aca="false">IF(I1304=0,Assumptions!$B$20,IF(H1304&gt;I1304,Assumptions!$B$19,IF(H1304=I1304,Assumptions!$B$20,Assumptions!$B$21)))</f>
        <v>70</v>
      </c>
      <c r="U1304" s="8" t="n">
        <f aca="false">ROUND(P1304*Assumptions!$B$2+Q1304*Assumptions!$B$3+R1304*Assumptions!$B$4+S1304*Assumptions!$B$5+T1304*Assumptions!$B$6,0)</f>
        <v>74</v>
      </c>
      <c r="V1304" s="8" t="str">
        <f aca="false">IF(U1304&gt;=Assumptions!$B$10,"Healthy",IF(U1304&gt;=Assumptions!$B$11,"Needs Attention","High Risk"))</f>
        <v>Needs Attention</v>
      </c>
    </row>
    <row r="1305" customFormat="false" ht="15" hidden="false" customHeight="false" outlineLevel="0" collapsed="false">
      <c r="A1305" s="8" t="s">
        <v>2752</v>
      </c>
      <c r="B1305" s="8" t="s">
        <v>2753</v>
      </c>
      <c r="C1305" s="8" t="s">
        <v>51</v>
      </c>
      <c r="D1305" s="8" t="s">
        <v>2027</v>
      </c>
      <c r="E1305" s="8" t="s">
        <v>123</v>
      </c>
      <c r="F1305" s="8" t="s">
        <v>190</v>
      </c>
      <c r="G1305" s="8" t="s">
        <v>140</v>
      </c>
      <c r="H1305" s="15" t="n">
        <v>408</v>
      </c>
      <c r="I1305" s="15" t="n">
        <v>408</v>
      </c>
      <c r="J1305" s="16" t="n">
        <v>0.657</v>
      </c>
      <c r="K1305" s="8" t="n">
        <v>8</v>
      </c>
      <c r="L1305" s="8" t="n">
        <v>4</v>
      </c>
      <c r="M1305" s="8" t="n">
        <v>0</v>
      </c>
      <c r="N1305" s="8" t="s">
        <v>120</v>
      </c>
      <c r="O1305" s="15" t="n">
        <f aca="false">H1305*12</f>
        <v>4896</v>
      </c>
      <c r="P1305" s="8" t="n">
        <f aca="false">MIN(100,ROUND(100*J1305/Assumptions!$B$8,0))</f>
        <v>73</v>
      </c>
      <c r="Q1305" s="8" t="n">
        <f aca="false">IF(L1305="",Assumptions!$B$9,L1305*10)</f>
        <v>40</v>
      </c>
      <c r="R1305" s="8" t="n">
        <f aca="false">IF(M1305&lt;=1,Assumptions!$B$12,IF(M1305&lt;=3,Assumptions!$B$13,IF(M1305&lt;=6,Assumptions!$B$14,Assumptions!$B$15)))</f>
        <v>100</v>
      </c>
      <c r="S1305" s="8" t="n">
        <f aca="false">IF(N1305="Completed On Time",Assumptions!$B$16,IF(N1305="Completed Late",Assumptions!$B$17,Assumptions!$B$18))</f>
        <v>100</v>
      </c>
      <c r="T1305" s="8" t="n">
        <f aca="false">IF(I1305=0,Assumptions!$B$20,IF(H1305&gt;I1305,Assumptions!$B$19,IF(H1305=I1305,Assumptions!$B$20,Assumptions!$B$21)))</f>
        <v>70</v>
      </c>
      <c r="U1305" s="8" t="n">
        <f aca="false">ROUND(P1305*Assumptions!$B$2+Q1305*Assumptions!$B$3+R1305*Assumptions!$B$4+S1305*Assumptions!$B$5+T1305*Assumptions!$B$6,0)</f>
        <v>73</v>
      </c>
      <c r="V1305" s="8" t="str">
        <f aca="false">IF(U1305&gt;=Assumptions!$B$10,"Healthy",IF(U1305&gt;=Assumptions!$B$11,"Needs Attention","High Risk"))</f>
        <v>Needs Attention</v>
      </c>
    </row>
    <row r="1306" customFormat="false" ht="15" hidden="false" customHeight="false" outlineLevel="0" collapsed="false">
      <c r="A1306" s="8" t="s">
        <v>2754</v>
      </c>
      <c r="B1306" s="8" t="s">
        <v>2755</v>
      </c>
      <c r="C1306" s="8" t="s">
        <v>51</v>
      </c>
      <c r="D1306" s="8" t="s">
        <v>2027</v>
      </c>
      <c r="E1306" s="8" t="s">
        <v>117</v>
      </c>
      <c r="F1306" s="8" t="s">
        <v>133</v>
      </c>
      <c r="G1306" s="8" t="s">
        <v>140</v>
      </c>
      <c r="H1306" s="15" t="n">
        <v>408</v>
      </c>
      <c r="I1306" s="15" t="n">
        <v>336</v>
      </c>
      <c r="J1306" s="16" t="n">
        <v>0.767</v>
      </c>
      <c r="K1306" s="8" t="n">
        <v>10.3</v>
      </c>
      <c r="L1306" s="8" t="n">
        <v>8</v>
      </c>
      <c r="M1306" s="8" t="n">
        <v>3</v>
      </c>
      <c r="N1306" s="8" t="s">
        <v>120</v>
      </c>
      <c r="O1306" s="15" t="n">
        <f aca="false">H1306*12</f>
        <v>4896</v>
      </c>
      <c r="P1306" s="8" t="n">
        <f aca="false">MIN(100,ROUND(100*J1306/Assumptions!$B$8,0))</f>
        <v>85</v>
      </c>
      <c r="Q1306" s="8" t="n">
        <f aca="false">IF(L1306="",Assumptions!$B$9,L1306*10)</f>
        <v>80</v>
      </c>
      <c r="R1306" s="8" t="n">
        <f aca="false">IF(M1306&lt;=1,Assumptions!$B$12,IF(M1306&lt;=3,Assumptions!$B$13,IF(M1306&lt;=6,Assumptions!$B$14,Assumptions!$B$15)))</f>
        <v>75</v>
      </c>
      <c r="S1306" s="8" t="n">
        <f aca="false">IF(N1306="Completed On Time",Assumptions!$B$16,IF(N1306="Completed Late",Assumptions!$B$17,Assumptions!$B$18))</f>
        <v>100</v>
      </c>
      <c r="T1306" s="8" t="n">
        <f aca="false">IF(I1306=0,Assumptions!$B$20,IF(H1306&gt;I1306,Assumptions!$B$19,IF(H1306=I1306,Assumptions!$B$20,Assumptions!$B$21)))</f>
        <v>100</v>
      </c>
      <c r="U1306" s="8" t="n">
        <f aca="false">ROUND(P1306*Assumptions!$B$2+Q1306*Assumptions!$B$3+R1306*Assumptions!$B$4+S1306*Assumptions!$B$5+T1306*Assumptions!$B$6,0)</f>
        <v>87</v>
      </c>
      <c r="V1306" s="8" t="str">
        <f aca="false">IF(U1306&gt;=Assumptions!$B$10,"Healthy",IF(U1306&gt;=Assumptions!$B$11,"Needs Attention","High Risk"))</f>
        <v>Healthy</v>
      </c>
    </row>
    <row r="1307" customFormat="false" ht="15" hidden="false" customHeight="false" outlineLevel="0" collapsed="false">
      <c r="A1307" s="8" t="s">
        <v>2756</v>
      </c>
      <c r="B1307" s="8" t="s">
        <v>2757</v>
      </c>
      <c r="C1307" s="8" t="s">
        <v>51</v>
      </c>
      <c r="D1307" s="8" t="s">
        <v>2027</v>
      </c>
      <c r="E1307" s="8" t="s">
        <v>117</v>
      </c>
      <c r="F1307" s="8" t="s">
        <v>136</v>
      </c>
      <c r="G1307" s="8" t="s">
        <v>129</v>
      </c>
      <c r="H1307" s="15" t="n">
        <v>408</v>
      </c>
      <c r="I1307" s="15" t="n">
        <v>408</v>
      </c>
      <c r="J1307" s="16" t="n">
        <v>0.686</v>
      </c>
      <c r="K1307" s="8" t="n">
        <v>8</v>
      </c>
      <c r="L1307" s="8" t="n">
        <v>7</v>
      </c>
      <c r="M1307" s="8" t="n">
        <v>3</v>
      </c>
      <c r="N1307" s="8" t="s">
        <v>148</v>
      </c>
      <c r="O1307" s="15" t="n">
        <f aca="false">H1307*12</f>
        <v>4896</v>
      </c>
      <c r="P1307" s="8" t="n">
        <f aca="false">MIN(100,ROUND(100*J1307/Assumptions!$B$8,0))</f>
        <v>76</v>
      </c>
      <c r="Q1307" s="8" t="n">
        <f aca="false">IF(L1307="",Assumptions!$B$9,L1307*10)</f>
        <v>70</v>
      </c>
      <c r="R1307" s="8" t="n">
        <f aca="false">IF(M1307&lt;=1,Assumptions!$B$12,IF(M1307&lt;=3,Assumptions!$B$13,IF(M1307&lt;=6,Assumptions!$B$14,Assumptions!$B$15)))</f>
        <v>75</v>
      </c>
      <c r="S1307" s="8" t="n">
        <f aca="false">IF(N1307="Completed On Time",Assumptions!$B$16,IF(N1307="Completed Late",Assumptions!$B$17,Assumptions!$B$18))</f>
        <v>60</v>
      </c>
      <c r="T1307" s="8" t="n">
        <f aca="false">IF(I1307=0,Assumptions!$B$20,IF(H1307&gt;I1307,Assumptions!$B$19,IF(H1307=I1307,Assumptions!$B$20,Assumptions!$B$21)))</f>
        <v>70</v>
      </c>
      <c r="U1307" s="8" t="n">
        <f aca="false">ROUND(P1307*Assumptions!$B$2+Q1307*Assumptions!$B$3+R1307*Assumptions!$B$4+S1307*Assumptions!$B$5+T1307*Assumptions!$B$6,0)</f>
        <v>72</v>
      </c>
      <c r="V1307" s="8" t="str">
        <f aca="false">IF(U1307&gt;=Assumptions!$B$10,"Healthy",IF(U1307&gt;=Assumptions!$B$11,"Needs Attention","High Risk"))</f>
        <v>Needs Attention</v>
      </c>
    </row>
    <row r="1308" customFormat="false" ht="15" hidden="false" customHeight="false" outlineLevel="0" collapsed="false">
      <c r="A1308" s="8" t="s">
        <v>2758</v>
      </c>
      <c r="B1308" s="8" t="s">
        <v>2759</v>
      </c>
      <c r="C1308" s="8" t="s">
        <v>51</v>
      </c>
      <c r="D1308" s="8" t="s">
        <v>2027</v>
      </c>
      <c r="E1308" s="8" t="s">
        <v>132</v>
      </c>
      <c r="F1308" s="8" t="s">
        <v>190</v>
      </c>
      <c r="G1308" s="8" t="s">
        <v>125</v>
      </c>
      <c r="H1308" s="15" t="n">
        <v>408</v>
      </c>
      <c r="I1308" s="15" t="n">
        <v>408</v>
      </c>
      <c r="J1308" s="16" t="n">
        <v>0.99</v>
      </c>
      <c r="K1308" s="8" t="n">
        <v>11.7</v>
      </c>
      <c r="L1308" s="8" t="n">
        <v>9</v>
      </c>
      <c r="M1308" s="8" t="n">
        <v>0</v>
      </c>
      <c r="N1308" s="8" t="s">
        <v>120</v>
      </c>
      <c r="O1308" s="15" t="n">
        <f aca="false">H1308*12</f>
        <v>4896</v>
      </c>
      <c r="P1308" s="8" t="n">
        <f aca="false">MIN(100,ROUND(100*J1308/Assumptions!$B$8,0))</f>
        <v>100</v>
      </c>
      <c r="Q1308" s="8" t="n">
        <f aca="false">IF(L1308="",Assumptions!$B$9,L1308*10)</f>
        <v>90</v>
      </c>
      <c r="R1308" s="8" t="n">
        <f aca="false">IF(M1308&lt;=1,Assumptions!$B$12,IF(M1308&lt;=3,Assumptions!$B$13,IF(M1308&lt;=6,Assumptions!$B$14,Assumptions!$B$15)))</f>
        <v>100</v>
      </c>
      <c r="S1308" s="8" t="n">
        <f aca="false">IF(N1308="Completed On Time",Assumptions!$B$16,IF(N1308="Completed Late",Assumptions!$B$17,Assumptions!$B$18))</f>
        <v>100</v>
      </c>
      <c r="T1308" s="8" t="n">
        <f aca="false">IF(I1308=0,Assumptions!$B$20,IF(H1308&gt;I1308,Assumptions!$B$19,IF(H1308=I1308,Assumptions!$B$20,Assumptions!$B$21)))</f>
        <v>70</v>
      </c>
      <c r="U1308" s="8" t="n">
        <f aca="false">ROUND(P1308*Assumptions!$B$2+Q1308*Assumptions!$B$3+R1308*Assumptions!$B$4+S1308*Assumptions!$B$5+T1308*Assumptions!$B$6,0)</f>
        <v>92</v>
      </c>
      <c r="V1308" s="8" t="str">
        <f aca="false">IF(U1308&gt;=Assumptions!$B$10,"Healthy",IF(U1308&gt;=Assumptions!$B$11,"Needs Attention","High Risk"))</f>
        <v>Healthy</v>
      </c>
    </row>
    <row r="1309" customFormat="false" ht="15" hidden="false" customHeight="false" outlineLevel="0" collapsed="false">
      <c r="A1309" s="8" t="s">
        <v>2760</v>
      </c>
      <c r="B1309" s="8" t="s">
        <v>2761</v>
      </c>
      <c r="C1309" s="8" t="s">
        <v>51</v>
      </c>
      <c r="D1309" s="8" t="s">
        <v>2027</v>
      </c>
      <c r="E1309" s="8" t="s">
        <v>128</v>
      </c>
      <c r="F1309" s="8" t="s">
        <v>136</v>
      </c>
      <c r="G1309" s="8" t="s">
        <v>180</v>
      </c>
      <c r="H1309" s="15" t="n">
        <v>408</v>
      </c>
      <c r="I1309" s="15" t="n">
        <v>408</v>
      </c>
      <c r="J1309" s="16" t="n">
        <v>0.794</v>
      </c>
      <c r="K1309" s="8" t="n">
        <v>9.7</v>
      </c>
      <c r="L1309" s="8" t="n">
        <v>9</v>
      </c>
      <c r="M1309" s="8" t="n">
        <v>1</v>
      </c>
      <c r="N1309" s="8" t="s">
        <v>120</v>
      </c>
      <c r="O1309" s="15" t="n">
        <f aca="false">H1309*12</f>
        <v>4896</v>
      </c>
      <c r="P1309" s="8" t="n">
        <f aca="false">MIN(100,ROUND(100*J1309/Assumptions!$B$8,0))</f>
        <v>88</v>
      </c>
      <c r="Q1309" s="8" t="n">
        <f aca="false">IF(L1309="",Assumptions!$B$9,L1309*10)</f>
        <v>90</v>
      </c>
      <c r="R1309" s="8" t="n">
        <f aca="false">IF(M1309&lt;=1,Assumptions!$B$12,IF(M1309&lt;=3,Assumptions!$B$13,IF(M1309&lt;=6,Assumptions!$B$14,Assumptions!$B$15)))</f>
        <v>100</v>
      </c>
      <c r="S1309" s="8" t="n">
        <f aca="false">IF(N1309="Completed On Time",Assumptions!$B$16,IF(N1309="Completed Late",Assumptions!$B$17,Assumptions!$B$18))</f>
        <v>100</v>
      </c>
      <c r="T1309" s="8" t="n">
        <f aca="false">IF(I1309=0,Assumptions!$B$20,IF(H1309&gt;I1309,Assumptions!$B$19,IF(H1309=I1309,Assumptions!$B$20,Assumptions!$B$21)))</f>
        <v>70</v>
      </c>
      <c r="U1309" s="8" t="n">
        <f aca="false">ROUND(P1309*Assumptions!$B$2+Q1309*Assumptions!$B$3+R1309*Assumptions!$B$4+S1309*Assumptions!$B$5+T1309*Assumptions!$B$6,0)</f>
        <v>88</v>
      </c>
      <c r="V1309" s="8" t="str">
        <f aca="false">IF(U1309&gt;=Assumptions!$B$10,"Healthy",IF(U1309&gt;=Assumptions!$B$11,"Needs Attention","High Risk"))</f>
        <v>Healthy</v>
      </c>
    </row>
    <row r="1310" customFormat="false" ht="15" hidden="false" customHeight="false" outlineLevel="0" collapsed="false">
      <c r="A1310" s="8" t="s">
        <v>2762</v>
      </c>
      <c r="B1310" s="8" t="s">
        <v>2763</v>
      </c>
      <c r="C1310" s="8" t="s">
        <v>51</v>
      </c>
      <c r="D1310" s="8" t="s">
        <v>2027</v>
      </c>
      <c r="E1310" s="8" t="s">
        <v>123</v>
      </c>
      <c r="F1310" s="8" t="s">
        <v>154</v>
      </c>
      <c r="G1310" s="8" t="s">
        <v>129</v>
      </c>
      <c r="H1310" s="15" t="n">
        <v>408</v>
      </c>
      <c r="I1310" s="15" t="n">
        <v>408</v>
      </c>
      <c r="J1310" s="16" t="n">
        <v>0.696</v>
      </c>
      <c r="K1310" s="8" t="n">
        <v>6.3</v>
      </c>
      <c r="L1310" s="8" t="n">
        <v>7</v>
      </c>
      <c r="M1310" s="8" t="n">
        <v>2</v>
      </c>
      <c r="N1310" s="8" t="s">
        <v>120</v>
      </c>
      <c r="O1310" s="15" t="n">
        <f aca="false">H1310*12</f>
        <v>4896</v>
      </c>
      <c r="P1310" s="8" t="n">
        <f aca="false">MIN(100,ROUND(100*J1310/Assumptions!$B$8,0))</f>
        <v>77</v>
      </c>
      <c r="Q1310" s="8" t="n">
        <f aca="false">IF(L1310="",Assumptions!$B$9,L1310*10)</f>
        <v>70</v>
      </c>
      <c r="R1310" s="8" t="n">
        <f aca="false">IF(M1310&lt;=1,Assumptions!$B$12,IF(M1310&lt;=3,Assumptions!$B$13,IF(M1310&lt;=6,Assumptions!$B$14,Assumptions!$B$15)))</f>
        <v>75</v>
      </c>
      <c r="S1310" s="8" t="n">
        <f aca="false">IF(N1310="Completed On Time",Assumptions!$B$16,IF(N1310="Completed Late",Assumptions!$B$17,Assumptions!$B$18))</f>
        <v>100</v>
      </c>
      <c r="T1310" s="8" t="n">
        <f aca="false">IF(I1310=0,Assumptions!$B$20,IF(H1310&gt;I1310,Assumptions!$B$19,IF(H1310=I1310,Assumptions!$B$20,Assumptions!$B$21)))</f>
        <v>70</v>
      </c>
      <c r="U1310" s="8" t="n">
        <f aca="false">ROUND(P1310*Assumptions!$B$2+Q1310*Assumptions!$B$3+R1310*Assumptions!$B$4+S1310*Assumptions!$B$5+T1310*Assumptions!$B$6,0)</f>
        <v>76</v>
      </c>
      <c r="V1310" s="8" t="str">
        <f aca="false">IF(U1310&gt;=Assumptions!$B$10,"Healthy",IF(U1310&gt;=Assumptions!$B$11,"Needs Attention","High Risk"))</f>
        <v>Needs Attention</v>
      </c>
    </row>
    <row r="1311" customFormat="false" ht="15" hidden="false" customHeight="false" outlineLevel="0" collapsed="false">
      <c r="A1311" s="8" t="s">
        <v>2764</v>
      </c>
      <c r="B1311" s="8" t="s">
        <v>2765</v>
      </c>
      <c r="C1311" s="8" t="s">
        <v>51</v>
      </c>
      <c r="D1311" s="8" t="s">
        <v>2027</v>
      </c>
      <c r="E1311" s="8" t="s">
        <v>132</v>
      </c>
      <c r="F1311" s="8" t="s">
        <v>133</v>
      </c>
      <c r="G1311" s="8" t="s">
        <v>204</v>
      </c>
      <c r="H1311" s="15" t="n">
        <v>408</v>
      </c>
      <c r="I1311" s="15" t="n">
        <v>408</v>
      </c>
      <c r="J1311" s="16" t="n">
        <v>0.578</v>
      </c>
      <c r="K1311" s="8" t="n">
        <v>7</v>
      </c>
      <c r="L1311" s="8" t="n">
        <v>6</v>
      </c>
      <c r="M1311" s="8" t="n">
        <v>0</v>
      </c>
      <c r="N1311" s="8" t="s">
        <v>120</v>
      </c>
      <c r="O1311" s="15" t="n">
        <f aca="false">H1311*12</f>
        <v>4896</v>
      </c>
      <c r="P1311" s="8" t="n">
        <f aca="false">MIN(100,ROUND(100*J1311/Assumptions!$B$8,0))</f>
        <v>64</v>
      </c>
      <c r="Q1311" s="8" t="n">
        <f aca="false">IF(L1311="",Assumptions!$B$9,L1311*10)</f>
        <v>60</v>
      </c>
      <c r="R1311" s="8" t="n">
        <f aca="false">IF(M1311&lt;=1,Assumptions!$B$12,IF(M1311&lt;=3,Assumptions!$B$13,IF(M1311&lt;=6,Assumptions!$B$14,Assumptions!$B$15)))</f>
        <v>100</v>
      </c>
      <c r="S1311" s="8" t="n">
        <f aca="false">IF(N1311="Completed On Time",Assumptions!$B$16,IF(N1311="Completed Late",Assumptions!$B$17,Assumptions!$B$18))</f>
        <v>100</v>
      </c>
      <c r="T1311" s="8" t="n">
        <f aca="false">IF(I1311=0,Assumptions!$B$20,IF(H1311&gt;I1311,Assumptions!$B$19,IF(H1311=I1311,Assumptions!$B$20,Assumptions!$B$21)))</f>
        <v>70</v>
      </c>
      <c r="U1311" s="8" t="n">
        <f aca="false">ROUND(P1311*Assumptions!$B$2+Q1311*Assumptions!$B$3+R1311*Assumptions!$B$4+S1311*Assumptions!$B$5+T1311*Assumptions!$B$6,0)</f>
        <v>73</v>
      </c>
      <c r="V1311" s="8" t="str">
        <f aca="false">IF(U1311&gt;=Assumptions!$B$10,"Healthy",IF(U1311&gt;=Assumptions!$B$11,"Needs Attention","High Risk"))</f>
        <v>Needs Attention</v>
      </c>
    </row>
    <row r="1312" customFormat="false" ht="15" hidden="false" customHeight="false" outlineLevel="0" collapsed="false">
      <c r="A1312" s="8" t="s">
        <v>2766</v>
      </c>
      <c r="B1312" s="8" t="s">
        <v>2767</v>
      </c>
      <c r="C1312" s="8" t="s">
        <v>51</v>
      </c>
      <c r="D1312" s="8" t="s">
        <v>2027</v>
      </c>
      <c r="E1312" s="8" t="s">
        <v>123</v>
      </c>
      <c r="F1312" s="8" t="s">
        <v>151</v>
      </c>
      <c r="G1312" s="8" t="s">
        <v>144</v>
      </c>
      <c r="H1312" s="15" t="n">
        <v>408</v>
      </c>
      <c r="I1312" s="15" t="n">
        <v>408</v>
      </c>
      <c r="J1312" s="16" t="n">
        <v>0.902</v>
      </c>
      <c r="K1312" s="8" t="n">
        <v>11.3</v>
      </c>
      <c r="L1312" s="8" t="n">
        <v>10</v>
      </c>
      <c r="M1312" s="8" t="n">
        <v>3</v>
      </c>
      <c r="N1312" s="8" t="s">
        <v>120</v>
      </c>
      <c r="O1312" s="15" t="n">
        <f aca="false">H1312*12</f>
        <v>4896</v>
      </c>
      <c r="P1312" s="8" t="n">
        <f aca="false">MIN(100,ROUND(100*J1312/Assumptions!$B$8,0))</f>
        <v>100</v>
      </c>
      <c r="Q1312" s="8" t="n">
        <f aca="false">IF(L1312="",Assumptions!$B$9,L1312*10)</f>
        <v>100</v>
      </c>
      <c r="R1312" s="8" t="n">
        <f aca="false">IF(M1312&lt;=1,Assumptions!$B$12,IF(M1312&lt;=3,Assumptions!$B$13,IF(M1312&lt;=6,Assumptions!$B$14,Assumptions!$B$15)))</f>
        <v>75</v>
      </c>
      <c r="S1312" s="8" t="n">
        <f aca="false">IF(N1312="Completed On Time",Assumptions!$B$16,IF(N1312="Completed Late",Assumptions!$B$17,Assumptions!$B$18))</f>
        <v>100</v>
      </c>
      <c r="T1312" s="8" t="n">
        <f aca="false">IF(I1312=0,Assumptions!$B$20,IF(H1312&gt;I1312,Assumptions!$B$19,IF(H1312=I1312,Assumptions!$B$20,Assumptions!$B$21)))</f>
        <v>70</v>
      </c>
      <c r="U1312" s="8" t="n">
        <f aca="false">ROUND(P1312*Assumptions!$B$2+Q1312*Assumptions!$B$3+R1312*Assumptions!$B$4+S1312*Assumptions!$B$5+T1312*Assumptions!$B$6,0)</f>
        <v>90</v>
      </c>
      <c r="V1312" s="8" t="str">
        <f aca="false">IF(U1312&gt;=Assumptions!$B$10,"Healthy",IF(U1312&gt;=Assumptions!$B$11,"Needs Attention","High Risk"))</f>
        <v>Healthy</v>
      </c>
    </row>
    <row r="1313" customFormat="false" ht="15" hidden="false" customHeight="false" outlineLevel="0" collapsed="false">
      <c r="A1313" s="8" t="s">
        <v>2768</v>
      </c>
      <c r="B1313" s="8" t="s">
        <v>2769</v>
      </c>
      <c r="C1313" s="8" t="s">
        <v>51</v>
      </c>
      <c r="D1313" s="8" t="s">
        <v>2027</v>
      </c>
      <c r="E1313" s="8" t="s">
        <v>132</v>
      </c>
      <c r="F1313" s="8" t="s">
        <v>118</v>
      </c>
      <c r="G1313" s="8" t="s">
        <v>144</v>
      </c>
      <c r="H1313" s="15" t="n">
        <v>408</v>
      </c>
      <c r="I1313" s="15" t="n">
        <v>408</v>
      </c>
      <c r="J1313" s="16" t="n">
        <v>0.667</v>
      </c>
      <c r="K1313" s="8" t="n">
        <v>8.3</v>
      </c>
      <c r="L1313" s="8" t="n">
        <v>8</v>
      </c>
      <c r="M1313" s="8" t="n">
        <v>4</v>
      </c>
      <c r="N1313" s="8" t="s">
        <v>120</v>
      </c>
      <c r="O1313" s="15" t="n">
        <f aca="false">H1313*12</f>
        <v>4896</v>
      </c>
      <c r="P1313" s="8" t="n">
        <f aca="false">MIN(100,ROUND(100*J1313/Assumptions!$B$8,0))</f>
        <v>74</v>
      </c>
      <c r="Q1313" s="8" t="n">
        <f aca="false">IF(L1313="",Assumptions!$B$9,L1313*10)</f>
        <v>80</v>
      </c>
      <c r="R1313" s="8" t="n">
        <f aca="false">IF(M1313&lt;=1,Assumptions!$B$12,IF(M1313&lt;=3,Assumptions!$B$13,IF(M1313&lt;=6,Assumptions!$B$14,Assumptions!$B$15)))</f>
        <v>50</v>
      </c>
      <c r="S1313" s="8" t="n">
        <f aca="false">IF(N1313="Completed On Time",Assumptions!$B$16,IF(N1313="Completed Late",Assumptions!$B$17,Assumptions!$B$18))</f>
        <v>100</v>
      </c>
      <c r="T1313" s="8" t="n">
        <f aca="false">IF(I1313=0,Assumptions!$B$20,IF(H1313&gt;I1313,Assumptions!$B$19,IF(H1313=I1313,Assumptions!$B$20,Assumptions!$B$21)))</f>
        <v>70</v>
      </c>
      <c r="U1313" s="8" t="n">
        <f aca="false">ROUND(P1313*Assumptions!$B$2+Q1313*Assumptions!$B$3+R1313*Assumptions!$B$4+S1313*Assumptions!$B$5+T1313*Assumptions!$B$6,0)</f>
        <v>73</v>
      </c>
      <c r="V1313" s="8" t="str">
        <f aca="false">IF(U1313&gt;=Assumptions!$B$10,"Healthy",IF(U1313&gt;=Assumptions!$B$11,"Needs Attention","High Risk"))</f>
        <v>Needs Attention</v>
      </c>
    </row>
    <row r="1314" customFormat="false" ht="15" hidden="false" customHeight="false" outlineLevel="0" collapsed="false">
      <c r="A1314" s="8" t="s">
        <v>2770</v>
      </c>
      <c r="B1314" s="8" t="s">
        <v>2771</v>
      </c>
      <c r="C1314" s="8" t="s">
        <v>51</v>
      </c>
      <c r="D1314" s="8" t="s">
        <v>2027</v>
      </c>
      <c r="E1314" s="8" t="s">
        <v>132</v>
      </c>
      <c r="F1314" s="8" t="s">
        <v>190</v>
      </c>
      <c r="G1314" s="8" t="s">
        <v>119</v>
      </c>
      <c r="H1314" s="15" t="n">
        <v>408</v>
      </c>
      <c r="I1314" s="15" t="n">
        <v>408</v>
      </c>
      <c r="J1314" s="16" t="n">
        <v>0.784</v>
      </c>
      <c r="K1314" s="8" t="n">
        <v>9.7</v>
      </c>
      <c r="L1314" s="8" t="n">
        <v>8</v>
      </c>
      <c r="M1314" s="8" t="n">
        <v>3</v>
      </c>
      <c r="N1314" s="8" t="s">
        <v>120</v>
      </c>
      <c r="O1314" s="15" t="n">
        <f aca="false">H1314*12</f>
        <v>4896</v>
      </c>
      <c r="P1314" s="8" t="n">
        <f aca="false">MIN(100,ROUND(100*J1314/Assumptions!$B$8,0))</f>
        <v>87</v>
      </c>
      <c r="Q1314" s="8" t="n">
        <f aca="false">IF(L1314="",Assumptions!$B$9,L1314*10)</f>
        <v>80</v>
      </c>
      <c r="R1314" s="8" t="n">
        <f aca="false">IF(M1314&lt;=1,Assumptions!$B$12,IF(M1314&lt;=3,Assumptions!$B$13,IF(M1314&lt;=6,Assumptions!$B$14,Assumptions!$B$15)))</f>
        <v>75</v>
      </c>
      <c r="S1314" s="8" t="n">
        <f aca="false">IF(N1314="Completed On Time",Assumptions!$B$16,IF(N1314="Completed Late",Assumptions!$B$17,Assumptions!$B$18))</f>
        <v>100</v>
      </c>
      <c r="T1314" s="8" t="n">
        <f aca="false">IF(I1314=0,Assumptions!$B$20,IF(H1314&gt;I1314,Assumptions!$B$19,IF(H1314=I1314,Assumptions!$B$20,Assumptions!$B$21)))</f>
        <v>70</v>
      </c>
      <c r="U1314" s="8" t="n">
        <f aca="false">ROUND(P1314*Assumptions!$B$2+Q1314*Assumptions!$B$3+R1314*Assumptions!$B$4+S1314*Assumptions!$B$5+T1314*Assumptions!$B$6,0)</f>
        <v>82</v>
      </c>
      <c r="V1314" s="8" t="str">
        <f aca="false">IF(U1314&gt;=Assumptions!$B$10,"Healthy",IF(U1314&gt;=Assumptions!$B$11,"Needs Attention","High Risk"))</f>
        <v>Healthy</v>
      </c>
    </row>
    <row r="1315" customFormat="false" ht="15" hidden="false" customHeight="false" outlineLevel="0" collapsed="false">
      <c r="A1315" s="8" t="s">
        <v>2772</v>
      </c>
      <c r="B1315" s="8" t="s">
        <v>2773</v>
      </c>
      <c r="C1315" s="8" t="s">
        <v>51</v>
      </c>
      <c r="D1315" s="8" t="s">
        <v>2027</v>
      </c>
      <c r="E1315" s="8" t="s">
        <v>132</v>
      </c>
      <c r="F1315" s="8" t="s">
        <v>143</v>
      </c>
      <c r="G1315" s="8" t="s">
        <v>147</v>
      </c>
      <c r="H1315" s="15" t="n">
        <v>408</v>
      </c>
      <c r="I1315" s="15" t="n">
        <v>408</v>
      </c>
      <c r="J1315" s="16" t="n">
        <v>0.608</v>
      </c>
      <c r="K1315" s="8" t="n">
        <v>6.3</v>
      </c>
      <c r="L1315" s="8" t="n">
        <v>6</v>
      </c>
      <c r="M1315" s="8" t="n">
        <v>4</v>
      </c>
      <c r="N1315" s="8" t="s">
        <v>120</v>
      </c>
      <c r="O1315" s="15" t="n">
        <f aca="false">H1315*12</f>
        <v>4896</v>
      </c>
      <c r="P1315" s="8" t="n">
        <f aca="false">MIN(100,ROUND(100*J1315/Assumptions!$B$8,0))</f>
        <v>68</v>
      </c>
      <c r="Q1315" s="8" t="n">
        <f aca="false">IF(L1315="",Assumptions!$B$9,L1315*10)</f>
        <v>60</v>
      </c>
      <c r="R1315" s="8" t="n">
        <f aca="false">IF(M1315&lt;=1,Assumptions!$B$12,IF(M1315&lt;=3,Assumptions!$B$13,IF(M1315&lt;=6,Assumptions!$B$14,Assumptions!$B$15)))</f>
        <v>50</v>
      </c>
      <c r="S1315" s="8" t="n">
        <f aca="false">IF(N1315="Completed On Time",Assumptions!$B$16,IF(N1315="Completed Late",Assumptions!$B$17,Assumptions!$B$18))</f>
        <v>100</v>
      </c>
      <c r="T1315" s="8" t="n">
        <f aca="false">IF(I1315=0,Assumptions!$B$20,IF(H1315&gt;I1315,Assumptions!$B$19,IF(H1315=I1315,Assumptions!$B$20,Assumptions!$B$21)))</f>
        <v>70</v>
      </c>
      <c r="U1315" s="8" t="n">
        <f aca="false">ROUND(P1315*Assumptions!$B$2+Q1315*Assumptions!$B$3+R1315*Assumptions!$B$4+S1315*Assumptions!$B$5+T1315*Assumptions!$B$6,0)</f>
        <v>67</v>
      </c>
      <c r="V1315" s="8" t="str">
        <f aca="false">IF(U1315&gt;=Assumptions!$B$10,"Healthy",IF(U1315&gt;=Assumptions!$B$11,"Needs Attention","High Risk"))</f>
        <v>Needs Attention</v>
      </c>
    </row>
    <row r="1316" customFormat="false" ht="15" hidden="false" customHeight="false" outlineLevel="0" collapsed="false">
      <c r="A1316" s="8" t="s">
        <v>2774</v>
      </c>
      <c r="B1316" s="8" t="s">
        <v>2775</v>
      </c>
      <c r="C1316" s="8" t="s">
        <v>51</v>
      </c>
      <c r="D1316" s="8" t="s">
        <v>2027</v>
      </c>
      <c r="E1316" s="8" t="s">
        <v>123</v>
      </c>
      <c r="F1316" s="8" t="s">
        <v>133</v>
      </c>
      <c r="G1316" s="8" t="s">
        <v>177</v>
      </c>
      <c r="H1316" s="15" t="n">
        <v>408</v>
      </c>
      <c r="I1316" s="15" t="n">
        <v>492</v>
      </c>
      <c r="J1316" s="16" t="n">
        <v>0.672</v>
      </c>
      <c r="K1316" s="8" t="n">
        <v>8.7</v>
      </c>
      <c r="L1316" s="8" t="n">
        <v>8</v>
      </c>
      <c r="M1316" s="8" t="n">
        <v>3</v>
      </c>
      <c r="N1316" s="8" t="s">
        <v>120</v>
      </c>
      <c r="O1316" s="15" t="n">
        <f aca="false">H1316*12</f>
        <v>4896</v>
      </c>
      <c r="P1316" s="8" t="n">
        <f aca="false">MIN(100,ROUND(100*J1316/Assumptions!$B$8,0))</f>
        <v>75</v>
      </c>
      <c r="Q1316" s="8" t="n">
        <f aca="false">IF(L1316="",Assumptions!$B$9,L1316*10)</f>
        <v>80</v>
      </c>
      <c r="R1316" s="8" t="n">
        <f aca="false">IF(M1316&lt;=1,Assumptions!$B$12,IF(M1316&lt;=3,Assumptions!$B$13,IF(M1316&lt;=6,Assumptions!$B$14,Assumptions!$B$15)))</f>
        <v>75</v>
      </c>
      <c r="S1316" s="8" t="n">
        <f aca="false">IF(N1316="Completed On Time",Assumptions!$B$16,IF(N1316="Completed Late",Assumptions!$B$17,Assumptions!$B$18))</f>
        <v>100</v>
      </c>
      <c r="T1316" s="8" t="n">
        <f aca="false">IF(I1316=0,Assumptions!$B$20,IF(H1316&gt;I1316,Assumptions!$B$19,IF(H1316=I1316,Assumptions!$B$20,Assumptions!$B$21)))</f>
        <v>30</v>
      </c>
      <c r="U1316" s="8" t="n">
        <f aca="false">ROUND(P1316*Assumptions!$B$2+Q1316*Assumptions!$B$3+R1316*Assumptions!$B$4+S1316*Assumptions!$B$5+T1316*Assumptions!$B$6,0)</f>
        <v>70</v>
      </c>
      <c r="V1316" s="8" t="str">
        <f aca="false">IF(U1316&gt;=Assumptions!$B$10,"Healthy",IF(U1316&gt;=Assumptions!$B$11,"Needs Attention","High Risk"))</f>
        <v>Needs Attention</v>
      </c>
    </row>
    <row r="1317" customFormat="false" ht="15" hidden="false" customHeight="false" outlineLevel="0" collapsed="false">
      <c r="A1317" s="8" t="s">
        <v>2776</v>
      </c>
      <c r="B1317" s="8" t="s">
        <v>2777</v>
      </c>
      <c r="C1317" s="8" t="s">
        <v>51</v>
      </c>
      <c r="D1317" s="8" t="s">
        <v>2027</v>
      </c>
      <c r="E1317" s="8" t="s">
        <v>123</v>
      </c>
      <c r="F1317" s="8" t="s">
        <v>124</v>
      </c>
      <c r="G1317" s="8" t="s">
        <v>144</v>
      </c>
      <c r="H1317" s="15" t="n">
        <v>408</v>
      </c>
      <c r="I1317" s="15" t="n">
        <v>408</v>
      </c>
      <c r="J1317" s="16" t="n">
        <v>0.833</v>
      </c>
      <c r="K1317" s="8" t="n">
        <v>9.3</v>
      </c>
      <c r="L1317" s="8" t="n">
        <v>8</v>
      </c>
      <c r="M1317" s="8" t="n">
        <v>3</v>
      </c>
      <c r="N1317" s="8" t="s">
        <v>120</v>
      </c>
      <c r="O1317" s="15" t="n">
        <f aca="false">H1317*12</f>
        <v>4896</v>
      </c>
      <c r="P1317" s="8" t="n">
        <f aca="false">MIN(100,ROUND(100*J1317/Assumptions!$B$8,0))</f>
        <v>93</v>
      </c>
      <c r="Q1317" s="8" t="n">
        <f aca="false">IF(L1317="",Assumptions!$B$9,L1317*10)</f>
        <v>80</v>
      </c>
      <c r="R1317" s="8" t="n">
        <f aca="false">IF(M1317&lt;=1,Assumptions!$B$12,IF(M1317&lt;=3,Assumptions!$B$13,IF(M1317&lt;=6,Assumptions!$B$14,Assumptions!$B$15)))</f>
        <v>75</v>
      </c>
      <c r="S1317" s="8" t="n">
        <f aca="false">IF(N1317="Completed On Time",Assumptions!$B$16,IF(N1317="Completed Late",Assumptions!$B$17,Assumptions!$B$18))</f>
        <v>100</v>
      </c>
      <c r="T1317" s="8" t="n">
        <f aca="false">IF(I1317=0,Assumptions!$B$20,IF(H1317&gt;I1317,Assumptions!$B$19,IF(H1317=I1317,Assumptions!$B$20,Assumptions!$B$21)))</f>
        <v>70</v>
      </c>
      <c r="U1317" s="8" t="n">
        <f aca="false">ROUND(P1317*Assumptions!$B$2+Q1317*Assumptions!$B$3+R1317*Assumptions!$B$4+S1317*Assumptions!$B$5+T1317*Assumptions!$B$6,0)</f>
        <v>84</v>
      </c>
      <c r="V1317" s="8" t="str">
        <f aca="false">IF(U1317&gt;=Assumptions!$B$10,"Healthy",IF(U1317&gt;=Assumptions!$B$11,"Needs Attention","High Risk"))</f>
        <v>Healthy</v>
      </c>
    </row>
    <row r="1318" customFormat="false" ht="15" hidden="false" customHeight="false" outlineLevel="0" collapsed="false">
      <c r="A1318" s="8" t="s">
        <v>2778</v>
      </c>
      <c r="B1318" s="8" t="s">
        <v>2779</v>
      </c>
      <c r="C1318" s="8" t="s">
        <v>51</v>
      </c>
      <c r="D1318" s="8" t="s">
        <v>2027</v>
      </c>
      <c r="E1318" s="8" t="s">
        <v>117</v>
      </c>
      <c r="F1318" s="8" t="s">
        <v>154</v>
      </c>
      <c r="G1318" s="8" t="s">
        <v>125</v>
      </c>
      <c r="H1318" s="15" t="n">
        <v>408</v>
      </c>
      <c r="I1318" s="15" t="n">
        <v>408</v>
      </c>
      <c r="J1318" s="16" t="n">
        <v>0.647</v>
      </c>
      <c r="K1318" s="8" t="n">
        <v>8.7</v>
      </c>
      <c r="L1318" s="8" t="n">
        <v>9</v>
      </c>
      <c r="M1318" s="8" t="n">
        <v>5</v>
      </c>
      <c r="N1318" s="8" t="s">
        <v>120</v>
      </c>
      <c r="O1318" s="15" t="n">
        <f aca="false">H1318*12</f>
        <v>4896</v>
      </c>
      <c r="P1318" s="8" t="n">
        <f aca="false">MIN(100,ROUND(100*J1318/Assumptions!$B$8,0))</f>
        <v>72</v>
      </c>
      <c r="Q1318" s="8" t="n">
        <f aca="false">IF(L1318="",Assumptions!$B$9,L1318*10)</f>
        <v>90</v>
      </c>
      <c r="R1318" s="8" t="n">
        <f aca="false">IF(M1318&lt;=1,Assumptions!$B$12,IF(M1318&lt;=3,Assumptions!$B$13,IF(M1318&lt;=6,Assumptions!$B$14,Assumptions!$B$15)))</f>
        <v>50</v>
      </c>
      <c r="S1318" s="8" t="n">
        <f aca="false">IF(N1318="Completed On Time",Assumptions!$B$16,IF(N1318="Completed Late",Assumptions!$B$17,Assumptions!$B$18))</f>
        <v>100</v>
      </c>
      <c r="T1318" s="8" t="n">
        <f aca="false">IF(I1318=0,Assumptions!$B$20,IF(H1318&gt;I1318,Assumptions!$B$19,IF(H1318=I1318,Assumptions!$B$20,Assumptions!$B$21)))</f>
        <v>70</v>
      </c>
      <c r="U1318" s="8" t="n">
        <f aca="false">ROUND(P1318*Assumptions!$B$2+Q1318*Assumptions!$B$3+R1318*Assumptions!$B$4+S1318*Assumptions!$B$5+T1318*Assumptions!$B$6,0)</f>
        <v>75</v>
      </c>
      <c r="V1318" s="8" t="str">
        <f aca="false">IF(U1318&gt;=Assumptions!$B$10,"Healthy",IF(U1318&gt;=Assumptions!$B$11,"Needs Attention","High Risk"))</f>
        <v>Needs Attention</v>
      </c>
    </row>
    <row r="1319" customFormat="false" ht="15" hidden="false" customHeight="false" outlineLevel="0" collapsed="false">
      <c r="A1319" s="8" t="s">
        <v>2780</v>
      </c>
      <c r="B1319" s="8" t="s">
        <v>2781</v>
      </c>
      <c r="C1319" s="8" t="s">
        <v>51</v>
      </c>
      <c r="D1319" s="8" t="s">
        <v>2027</v>
      </c>
      <c r="E1319" s="8" t="s">
        <v>132</v>
      </c>
      <c r="F1319" s="8" t="s">
        <v>223</v>
      </c>
      <c r="G1319" s="8" t="s">
        <v>159</v>
      </c>
      <c r="H1319" s="15" t="n">
        <v>408</v>
      </c>
      <c r="I1319" s="15" t="n">
        <v>408</v>
      </c>
      <c r="J1319" s="16" t="n">
        <v>0.804</v>
      </c>
      <c r="K1319" s="8" t="n">
        <v>8</v>
      </c>
      <c r="L1319" s="8" t="n">
        <v>9</v>
      </c>
      <c r="M1319" s="8" t="n">
        <v>3</v>
      </c>
      <c r="N1319" s="8" t="s">
        <v>120</v>
      </c>
      <c r="O1319" s="15" t="n">
        <f aca="false">H1319*12</f>
        <v>4896</v>
      </c>
      <c r="P1319" s="8" t="n">
        <f aca="false">MIN(100,ROUND(100*J1319/Assumptions!$B$8,0))</f>
        <v>89</v>
      </c>
      <c r="Q1319" s="8" t="n">
        <f aca="false">IF(L1319="",Assumptions!$B$9,L1319*10)</f>
        <v>90</v>
      </c>
      <c r="R1319" s="8" t="n">
        <f aca="false">IF(M1319&lt;=1,Assumptions!$B$12,IF(M1319&lt;=3,Assumptions!$B$13,IF(M1319&lt;=6,Assumptions!$B$14,Assumptions!$B$15)))</f>
        <v>75</v>
      </c>
      <c r="S1319" s="8" t="n">
        <f aca="false">IF(N1319="Completed On Time",Assumptions!$B$16,IF(N1319="Completed Late",Assumptions!$B$17,Assumptions!$B$18))</f>
        <v>100</v>
      </c>
      <c r="T1319" s="8" t="n">
        <f aca="false">IF(I1319=0,Assumptions!$B$20,IF(H1319&gt;I1319,Assumptions!$B$19,IF(H1319=I1319,Assumptions!$B$20,Assumptions!$B$21)))</f>
        <v>70</v>
      </c>
      <c r="U1319" s="8" t="n">
        <f aca="false">ROUND(P1319*Assumptions!$B$2+Q1319*Assumptions!$B$3+R1319*Assumptions!$B$4+S1319*Assumptions!$B$5+T1319*Assumptions!$B$6,0)</f>
        <v>84</v>
      </c>
      <c r="V1319" s="8" t="str">
        <f aca="false">IF(U1319&gt;=Assumptions!$B$10,"Healthy",IF(U1319&gt;=Assumptions!$B$11,"Needs Attention","High Risk"))</f>
        <v>Healthy</v>
      </c>
    </row>
    <row r="1320" customFormat="false" ht="15" hidden="false" customHeight="false" outlineLevel="0" collapsed="false">
      <c r="A1320" s="8" t="s">
        <v>2782</v>
      </c>
      <c r="B1320" s="8" t="s">
        <v>2783</v>
      </c>
      <c r="C1320" s="8" t="s">
        <v>51</v>
      </c>
      <c r="D1320" s="8" t="s">
        <v>326</v>
      </c>
      <c r="E1320" s="8" t="s">
        <v>132</v>
      </c>
      <c r="F1320" s="8" t="s">
        <v>133</v>
      </c>
      <c r="G1320" s="8" t="s">
        <v>129</v>
      </c>
      <c r="H1320" s="15" t="n">
        <v>400</v>
      </c>
      <c r="I1320" s="15" t="n">
        <v>400</v>
      </c>
      <c r="J1320" s="16" t="n">
        <v>0.688</v>
      </c>
      <c r="K1320" s="8" t="n">
        <v>8</v>
      </c>
      <c r="L1320" s="8" t="n">
        <v>9</v>
      </c>
      <c r="M1320" s="8" t="n">
        <v>4</v>
      </c>
      <c r="N1320" s="8" t="s">
        <v>120</v>
      </c>
      <c r="O1320" s="15" t="n">
        <f aca="false">H1320*12</f>
        <v>4800</v>
      </c>
      <c r="P1320" s="8" t="n">
        <f aca="false">MIN(100,ROUND(100*J1320/Assumptions!$B$8,0))</f>
        <v>76</v>
      </c>
      <c r="Q1320" s="8" t="n">
        <f aca="false">IF(L1320="",Assumptions!$B$9,L1320*10)</f>
        <v>90</v>
      </c>
      <c r="R1320" s="8" t="n">
        <f aca="false">IF(M1320&lt;=1,Assumptions!$B$12,IF(M1320&lt;=3,Assumptions!$B$13,IF(M1320&lt;=6,Assumptions!$B$14,Assumptions!$B$15)))</f>
        <v>50</v>
      </c>
      <c r="S1320" s="8" t="n">
        <f aca="false">IF(N1320="Completed On Time",Assumptions!$B$16,IF(N1320="Completed Late",Assumptions!$B$17,Assumptions!$B$18))</f>
        <v>100</v>
      </c>
      <c r="T1320" s="8" t="n">
        <f aca="false">IF(I1320=0,Assumptions!$B$20,IF(H1320&gt;I1320,Assumptions!$B$19,IF(H1320=I1320,Assumptions!$B$20,Assumptions!$B$21)))</f>
        <v>70</v>
      </c>
      <c r="U1320" s="8" t="n">
        <f aca="false">ROUND(P1320*Assumptions!$B$2+Q1320*Assumptions!$B$3+R1320*Assumptions!$B$4+S1320*Assumptions!$B$5+T1320*Assumptions!$B$6,0)</f>
        <v>76</v>
      </c>
      <c r="V1320" s="8" t="str">
        <f aca="false">IF(U1320&gt;=Assumptions!$B$10,"Healthy",IF(U1320&gt;=Assumptions!$B$11,"Needs Attention","High Risk"))</f>
        <v>Needs Attention</v>
      </c>
    </row>
    <row r="1321" customFormat="false" ht="15" hidden="false" customHeight="false" outlineLevel="0" collapsed="false">
      <c r="A1321" s="8" t="s">
        <v>2784</v>
      </c>
      <c r="B1321" s="8" t="s">
        <v>2785</v>
      </c>
      <c r="C1321" s="8" t="s">
        <v>51</v>
      </c>
      <c r="D1321" s="8" t="s">
        <v>326</v>
      </c>
      <c r="E1321" s="8" t="s">
        <v>117</v>
      </c>
      <c r="F1321" s="8" t="s">
        <v>143</v>
      </c>
      <c r="G1321" s="8" t="s">
        <v>140</v>
      </c>
      <c r="H1321" s="15" t="n">
        <v>400</v>
      </c>
      <c r="I1321" s="15" t="n">
        <v>400</v>
      </c>
      <c r="J1321" s="16" t="n">
        <v>0.667</v>
      </c>
      <c r="K1321" s="8" t="n">
        <v>7.3</v>
      </c>
      <c r="L1321" s="8" t="n">
        <v>9</v>
      </c>
      <c r="M1321" s="8" t="n">
        <v>5</v>
      </c>
      <c r="N1321" s="8" t="s">
        <v>120</v>
      </c>
      <c r="O1321" s="15" t="n">
        <f aca="false">H1321*12</f>
        <v>4800</v>
      </c>
      <c r="P1321" s="8" t="n">
        <f aca="false">MIN(100,ROUND(100*J1321/Assumptions!$B$8,0))</f>
        <v>74</v>
      </c>
      <c r="Q1321" s="8" t="n">
        <f aca="false">IF(L1321="",Assumptions!$B$9,L1321*10)</f>
        <v>90</v>
      </c>
      <c r="R1321" s="8" t="n">
        <f aca="false">IF(M1321&lt;=1,Assumptions!$B$12,IF(M1321&lt;=3,Assumptions!$B$13,IF(M1321&lt;=6,Assumptions!$B$14,Assumptions!$B$15)))</f>
        <v>50</v>
      </c>
      <c r="S1321" s="8" t="n">
        <f aca="false">IF(N1321="Completed On Time",Assumptions!$B$16,IF(N1321="Completed Late",Assumptions!$B$17,Assumptions!$B$18))</f>
        <v>100</v>
      </c>
      <c r="T1321" s="8" t="n">
        <f aca="false">IF(I1321=0,Assumptions!$B$20,IF(H1321&gt;I1321,Assumptions!$B$19,IF(H1321=I1321,Assumptions!$B$20,Assumptions!$B$21)))</f>
        <v>70</v>
      </c>
      <c r="U1321" s="8" t="n">
        <f aca="false">ROUND(P1321*Assumptions!$B$2+Q1321*Assumptions!$B$3+R1321*Assumptions!$B$4+S1321*Assumptions!$B$5+T1321*Assumptions!$B$6,0)</f>
        <v>75</v>
      </c>
      <c r="V1321" s="8" t="str">
        <f aca="false">IF(U1321&gt;=Assumptions!$B$10,"Healthy",IF(U1321&gt;=Assumptions!$B$11,"Needs Attention","High Risk"))</f>
        <v>Needs Attention</v>
      </c>
    </row>
    <row r="1322" customFormat="false" ht="15" hidden="false" customHeight="false" outlineLevel="0" collapsed="false">
      <c r="A1322" s="8" t="s">
        <v>2786</v>
      </c>
      <c r="B1322" s="8" t="s">
        <v>2787</v>
      </c>
      <c r="C1322" s="8" t="s">
        <v>51</v>
      </c>
      <c r="D1322" s="8" t="s">
        <v>326</v>
      </c>
      <c r="E1322" s="8" t="s">
        <v>128</v>
      </c>
      <c r="F1322" s="8" t="s">
        <v>166</v>
      </c>
      <c r="G1322" s="8" t="s">
        <v>125</v>
      </c>
      <c r="H1322" s="15" t="n">
        <v>400</v>
      </c>
      <c r="I1322" s="15" t="n">
        <v>400</v>
      </c>
      <c r="J1322" s="16" t="n">
        <v>0.875</v>
      </c>
      <c r="K1322" s="8" t="n">
        <v>10.3</v>
      </c>
      <c r="L1322" s="8" t="n">
        <v>9</v>
      </c>
      <c r="M1322" s="8" t="n">
        <v>0</v>
      </c>
      <c r="N1322" s="8" t="s">
        <v>120</v>
      </c>
      <c r="O1322" s="15" t="n">
        <f aca="false">H1322*12</f>
        <v>4800</v>
      </c>
      <c r="P1322" s="8" t="n">
        <f aca="false">MIN(100,ROUND(100*J1322/Assumptions!$B$8,0))</f>
        <v>97</v>
      </c>
      <c r="Q1322" s="8" t="n">
        <f aca="false">IF(L1322="",Assumptions!$B$9,L1322*10)</f>
        <v>90</v>
      </c>
      <c r="R1322" s="8" t="n">
        <f aca="false">IF(M1322&lt;=1,Assumptions!$B$12,IF(M1322&lt;=3,Assumptions!$B$13,IF(M1322&lt;=6,Assumptions!$B$14,Assumptions!$B$15)))</f>
        <v>100</v>
      </c>
      <c r="S1322" s="8" t="n">
        <f aca="false">IF(N1322="Completed On Time",Assumptions!$B$16,IF(N1322="Completed Late",Assumptions!$B$17,Assumptions!$B$18))</f>
        <v>100</v>
      </c>
      <c r="T1322" s="8" t="n">
        <f aca="false">IF(I1322=0,Assumptions!$B$20,IF(H1322&gt;I1322,Assumptions!$B$19,IF(H1322=I1322,Assumptions!$B$20,Assumptions!$B$21)))</f>
        <v>70</v>
      </c>
      <c r="U1322" s="8" t="n">
        <f aca="false">ROUND(P1322*Assumptions!$B$2+Q1322*Assumptions!$B$3+R1322*Assumptions!$B$4+S1322*Assumptions!$B$5+T1322*Assumptions!$B$6,0)</f>
        <v>91</v>
      </c>
      <c r="V1322" s="8" t="str">
        <f aca="false">IF(U1322&gt;=Assumptions!$B$10,"Healthy",IF(U1322&gt;=Assumptions!$B$11,"Needs Attention","High Risk"))</f>
        <v>Healthy</v>
      </c>
    </row>
    <row r="1323" customFormat="false" ht="15" hidden="false" customHeight="false" outlineLevel="0" collapsed="false">
      <c r="A1323" s="8" t="s">
        <v>2788</v>
      </c>
      <c r="B1323" s="8" t="s">
        <v>2789</v>
      </c>
      <c r="C1323" s="8" t="s">
        <v>51</v>
      </c>
      <c r="D1323" s="8" t="s">
        <v>326</v>
      </c>
      <c r="E1323" s="8" t="s">
        <v>132</v>
      </c>
      <c r="F1323" s="8" t="s">
        <v>151</v>
      </c>
      <c r="G1323" s="8" t="s">
        <v>177</v>
      </c>
      <c r="H1323" s="15" t="n">
        <v>400</v>
      </c>
      <c r="I1323" s="15" t="n">
        <v>400</v>
      </c>
      <c r="J1323" s="16" t="n">
        <v>0.875</v>
      </c>
      <c r="K1323" s="8" t="n">
        <v>11.3</v>
      </c>
      <c r="L1323" s="8" t="n">
        <v>10</v>
      </c>
      <c r="M1323" s="8" t="n">
        <v>0</v>
      </c>
      <c r="N1323" s="8" t="s">
        <v>120</v>
      </c>
      <c r="O1323" s="15" t="n">
        <f aca="false">H1323*12</f>
        <v>4800</v>
      </c>
      <c r="P1323" s="8" t="n">
        <f aca="false">MIN(100,ROUND(100*J1323/Assumptions!$B$8,0))</f>
        <v>97</v>
      </c>
      <c r="Q1323" s="8" t="n">
        <f aca="false">IF(L1323="",Assumptions!$B$9,L1323*10)</f>
        <v>100</v>
      </c>
      <c r="R1323" s="8" t="n">
        <f aca="false">IF(M1323&lt;=1,Assumptions!$B$12,IF(M1323&lt;=3,Assumptions!$B$13,IF(M1323&lt;=6,Assumptions!$B$14,Assumptions!$B$15)))</f>
        <v>100</v>
      </c>
      <c r="S1323" s="8" t="n">
        <f aca="false">IF(N1323="Completed On Time",Assumptions!$B$16,IF(N1323="Completed Late",Assumptions!$B$17,Assumptions!$B$18))</f>
        <v>100</v>
      </c>
      <c r="T1323" s="8" t="n">
        <f aca="false">IF(I1323=0,Assumptions!$B$20,IF(H1323&gt;I1323,Assumptions!$B$19,IF(H1323=I1323,Assumptions!$B$20,Assumptions!$B$21)))</f>
        <v>70</v>
      </c>
      <c r="U1323" s="8" t="n">
        <f aca="false">ROUND(P1323*Assumptions!$B$2+Q1323*Assumptions!$B$3+R1323*Assumptions!$B$4+S1323*Assumptions!$B$5+T1323*Assumptions!$B$6,0)</f>
        <v>93</v>
      </c>
      <c r="V1323" s="8" t="str">
        <f aca="false">IF(U1323&gt;=Assumptions!$B$10,"Healthy",IF(U1323&gt;=Assumptions!$B$11,"Needs Attention","High Risk"))</f>
        <v>Healthy</v>
      </c>
    </row>
    <row r="1324" customFormat="false" ht="15" hidden="false" customHeight="false" outlineLevel="0" collapsed="false">
      <c r="A1324" s="8" t="s">
        <v>2790</v>
      </c>
      <c r="B1324" s="8" t="s">
        <v>2791</v>
      </c>
      <c r="C1324" s="8" t="s">
        <v>51</v>
      </c>
      <c r="D1324" s="8" t="s">
        <v>326</v>
      </c>
      <c r="E1324" s="8" t="s">
        <v>123</v>
      </c>
      <c r="F1324" s="8" t="s">
        <v>166</v>
      </c>
      <c r="G1324" s="8" t="s">
        <v>177</v>
      </c>
      <c r="H1324" s="15" t="n">
        <v>400</v>
      </c>
      <c r="I1324" s="15" t="n">
        <v>300</v>
      </c>
      <c r="J1324" s="16" t="n">
        <v>0.646</v>
      </c>
      <c r="K1324" s="8" t="n">
        <v>6.7</v>
      </c>
      <c r="L1324" s="8" t="n">
        <v>7</v>
      </c>
      <c r="M1324" s="8" t="n">
        <v>1</v>
      </c>
      <c r="N1324" s="8" t="s">
        <v>120</v>
      </c>
      <c r="O1324" s="15" t="n">
        <f aca="false">H1324*12</f>
        <v>4800</v>
      </c>
      <c r="P1324" s="8" t="n">
        <f aca="false">MIN(100,ROUND(100*J1324/Assumptions!$B$8,0))</f>
        <v>72</v>
      </c>
      <c r="Q1324" s="8" t="n">
        <f aca="false">IF(L1324="",Assumptions!$B$9,L1324*10)</f>
        <v>70</v>
      </c>
      <c r="R1324" s="8" t="n">
        <f aca="false">IF(M1324&lt;=1,Assumptions!$B$12,IF(M1324&lt;=3,Assumptions!$B$13,IF(M1324&lt;=6,Assumptions!$B$14,Assumptions!$B$15)))</f>
        <v>100</v>
      </c>
      <c r="S1324" s="8" t="n">
        <f aca="false">IF(N1324="Completed On Time",Assumptions!$B$16,IF(N1324="Completed Late",Assumptions!$B$17,Assumptions!$B$18))</f>
        <v>100</v>
      </c>
      <c r="T1324" s="8" t="n">
        <f aca="false">IF(I1324=0,Assumptions!$B$20,IF(H1324&gt;I1324,Assumptions!$B$19,IF(H1324=I1324,Assumptions!$B$20,Assumptions!$B$21)))</f>
        <v>100</v>
      </c>
      <c r="U1324" s="8" t="n">
        <f aca="false">ROUND(P1324*Assumptions!$B$2+Q1324*Assumptions!$B$3+R1324*Assumptions!$B$4+S1324*Assumptions!$B$5+T1324*Assumptions!$B$6,0)</f>
        <v>84</v>
      </c>
      <c r="V1324" s="8" t="str">
        <f aca="false">IF(U1324&gt;=Assumptions!$B$10,"Healthy",IF(U1324&gt;=Assumptions!$B$11,"Needs Attention","High Risk"))</f>
        <v>Healthy</v>
      </c>
    </row>
    <row r="1325" customFormat="false" ht="15" hidden="false" customHeight="false" outlineLevel="0" collapsed="false">
      <c r="A1325" s="8" t="s">
        <v>2792</v>
      </c>
      <c r="B1325" s="8" t="s">
        <v>2793</v>
      </c>
      <c r="C1325" s="8" t="s">
        <v>51</v>
      </c>
      <c r="D1325" s="8" t="s">
        <v>326</v>
      </c>
      <c r="E1325" s="8" t="s">
        <v>117</v>
      </c>
      <c r="F1325" s="8" t="s">
        <v>166</v>
      </c>
      <c r="G1325" s="8" t="s">
        <v>147</v>
      </c>
      <c r="H1325" s="15" t="n">
        <v>400</v>
      </c>
      <c r="I1325" s="15" t="n">
        <v>400</v>
      </c>
      <c r="J1325" s="16" t="n">
        <v>0.854</v>
      </c>
      <c r="K1325" s="8" t="n">
        <v>10.7</v>
      </c>
      <c r="L1325" s="8" t="n">
        <v>7</v>
      </c>
      <c r="M1325" s="8" t="n">
        <v>2</v>
      </c>
      <c r="N1325" s="8" t="s">
        <v>120</v>
      </c>
      <c r="O1325" s="15" t="n">
        <f aca="false">H1325*12</f>
        <v>4800</v>
      </c>
      <c r="P1325" s="8" t="n">
        <f aca="false">MIN(100,ROUND(100*J1325/Assumptions!$B$8,0))</f>
        <v>95</v>
      </c>
      <c r="Q1325" s="8" t="n">
        <f aca="false">IF(L1325="",Assumptions!$B$9,L1325*10)</f>
        <v>70</v>
      </c>
      <c r="R1325" s="8" t="n">
        <f aca="false">IF(M1325&lt;=1,Assumptions!$B$12,IF(M1325&lt;=3,Assumptions!$B$13,IF(M1325&lt;=6,Assumptions!$B$14,Assumptions!$B$15)))</f>
        <v>75</v>
      </c>
      <c r="S1325" s="8" t="n">
        <f aca="false">IF(N1325="Completed On Time",Assumptions!$B$16,IF(N1325="Completed Late",Assumptions!$B$17,Assumptions!$B$18))</f>
        <v>100</v>
      </c>
      <c r="T1325" s="8" t="n">
        <f aca="false">IF(I1325=0,Assumptions!$B$20,IF(H1325&gt;I1325,Assumptions!$B$19,IF(H1325=I1325,Assumptions!$B$20,Assumptions!$B$21)))</f>
        <v>70</v>
      </c>
      <c r="U1325" s="8" t="n">
        <f aca="false">ROUND(P1325*Assumptions!$B$2+Q1325*Assumptions!$B$3+R1325*Assumptions!$B$4+S1325*Assumptions!$B$5+T1325*Assumptions!$B$6,0)</f>
        <v>83</v>
      </c>
      <c r="V1325" s="8" t="str">
        <f aca="false">IF(U1325&gt;=Assumptions!$B$10,"Healthy",IF(U1325&gt;=Assumptions!$B$11,"Needs Attention","High Risk"))</f>
        <v>Healthy</v>
      </c>
    </row>
    <row r="1326" customFormat="false" ht="15" hidden="false" customHeight="false" outlineLevel="0" collapsed="false">
      <c r="A1326" s="8" t="s">
        <v>2794</v>
      </c>
      <c r="B1326" s="8" t="s">
        <v>2795</v>
      </c>
      <c r="C1326" s="8" t="s">
        <v>51</v>
      </c>
      <c r="D1326" s="8" t="s">
        <v>326</v>
      </c>
      <c r="E1326" s="8" t="s">
        <v>123</v>
      </c>
      <c r="F1326" s="8" t="s">
        <v>151</v>
      </c>
      <c r="G1326" s="8" t="s">
        <v>204</v>
      </c>
      <c r="H1326" s="15" t="n">
        <v>400</v>
      </c>
      <c r="I1326" s="15" t="n">
        <v>550</v>
      </c>
      <c r="J1326" s="16" t="n">
        <v>0.63</v>
      </c>
      <c r="K1326" s="8" t="n">
        <v>9</v>
      </c>
      <c r="L1326" s="8" t="n">
        <v>9</v>
      </c>
      <c r="M1326" s="8" t="n">
        <v>1</v>
      </c>
      <c r="N1326" s="8" t="s">
        <v>120</v>
      </c>
      <c r="O1326" s="15" t="n">
        <f aca="false">H1326*12</f>
        <v>4800</v>
      </c>
      <c r="P1326" s="8" t="n">
        <f aca="false">MIN(100,ROUND(100*J1326/Assumptions!$B$8,0))</f>
        <v>70</v>
      </c>
      <c r="Q1326" s="8" t="n">
        <f aca="false">IF(L1326="",Assumptions!$B$9,L1326*10)</f>
        <v>90</v>
      </c>
      <c r="R1326" s="8" t="n">
        <f aca="false">IF(M1326&lt;=1,Assumptions!$B$12,IF(M1326&lt;=3,Assumptions!$B$13,IF(M1326&lt;=6,Assumptions!$B$14,Assumptions!$B$15)))</f>
        <v>100</v>
      </c>
      <c r="S1326" s="8" t="n">
        <f aca="false">IF(N1326="Completed On Time",Assumptions!$B$16,IF(N1326="Completed Late",Assumptions!$B$17,Assumptions!$B$18))</f>
        <v>100</v>
      </c>
      <c r="T1326" s="8" t="n">
        <f aca="false">IF(I1326=0,Assumptions!$B$20,IF(H1326&gt;I1326,Assumptions!$B$19,IF(H1326=I1326,Assumptions!$B$20,Assumptions!$B$21)))</f>
        <v>30</v>
      </c>
      <c r="U1326" s="8" t="n">
        <f aca="false">ROUND(P1326*Assumptions!$B$2+Q1326*Assumptions!$B$3+R1326*Assumptions!$B$4+S1326*Assumptions!$B$5+T1326*Assumptions!$B$6,0)</f>
        <v>74</v>
      </c>
      <c r="V1326" s="8" t="str">
        <f aca="false">IF(U1326&gt;=Assumptions!$B$10,"Healthy",IF(U1326&gt;=Assumptions!$B$11,"Needs Attention","High Risk"))</f>
        <v>Needs Attention</v>
      </c>
    </row>
    <row r="1327" customFormat="false" ht="15" hidden="false" customHeight="false" outlineLevel="0" collapsed="false">
      <c r="A1327" s="8" t="s">
        <v>2796</v>
      </c>
      <c r="B1327" s="8" t="s">
        <v>2797</v>
      </c>
      <c r="C1327" s="8" t="s">
        <v>51</v>
      </c>
      <c r="D1327" s="8" t="s">
        <v>326</v>
      </c>
      <c r="E1327" s="8" t="s">
        <v>123</v>
      </c>
      <c r="F1327" s="8" t="s">
        <v>223</v>
      </c>
      <c r="G1327" s="8" t="s">
        <v>119</v>
      </c>
      <c r="H1327" s="15" t="n">
        <v>400</v>
      </c>
      <c r="I1327" s="15" t="n">
        <v>400</v>
      </c>
      <c r="J1327" s="16" t="n">
        <v>0.75</v>
      </c>
      <c r="K1327" s="8" t="n">
        <v>9.7</v>
      </c>
      <c r="L1327" s="8" t="n">
        <v>8</v>
      </c>
      <c r="M1327" s="8" t="n">
        <v>1</v>
      </c>
      <c r="N1327" s="8" t="s">
        <v>120</v>
      </c>
      <c r="O1327" s="15" t="n">
        <f aca="false">H1327*12</f>
        <v>4800</v>
      </c>
      <c r="P1327" s="8" t="n">
        <f aca="false">MIN(100,ROUND(100*J1327/Assumptions!$B$8,0))</f>
        <v>83</v>
      </c>
      <c r="Q1327" s="8" t="n">
        <f aca="false">IF(L1327="",Assumptions!$B$9,L1327*10)</f>
        <v>80</v>
      </c>
      <c r="R1327" s="8" t="n">
        <f aca="false">IF(M1327&lt;=1,Assumptions!$B$12,IF(M1327&lt;=3,Assumptions!$B$13,IF(M1327&lt;=6,Assumptions!$B$14,Assumptions!$B$15)))</f>
        <v>100</v>
      </c>
      <c r="S1327" s="8" t="n">
        <f aca="false">IF(N1327="Completed On Time",Assumptions!$B$16,IF(N1327="Completed Late",Assumptions!$B$17,Assumptions!$B$18))</f>
        <v>100</v>
      </c>
      <c r="T1327" s="8" t="n">
        <f aca="false">IF(I1327=0,Assumptions!$B$20,IF(H1327&gt;I1327,Assumptions!$B$19,IF(H1327=I1327,Assumptions!$B$20,Assumptions!$B$21)))</f>
        <v>70</v>
      </c>
      <c r="U1327" s="8" t="n">
        <f aca="false">ROUND(P1327*Assumptions!$B$2+Q1327*Assumptions!$B$3+R1327*Assumptions!$B$4+S1327*Assumptions!$B$5+T1327*Assumptions!$B$6,0)</f>
        <v>84</v>
      </c>
      <c r="V1327" s="8" t="str">
        <f aca="false">IF(U1327&gt;=Assumptions!$B$10,"Healthy",IF(U1327&gt;=Assumptions!$B$11,"Needs Attention","High Risk"))</f>
        <v>Healthy</v>
      </c>
    </row>
    <row r="1328" customFormat="false" ht="15" hidden="false" customHeight="false" outlineLevel="0" collapsed="false">
      <c r="A1328" s="8" t="s">
        <v>2798</v>
      </c>
      <c r="B1328" s="8" t="s">
        <v>2799</v>
      </c>
      <c r="C1328" s="8" t="s">
        <v>51</v>
      </c>
      <c r="D1328" s="8" t="s">
        <v>326</v>
      </c>
      <c r="E1328" s="8" t="s">
        <v>117</v>
      </c>
      <c r="F1328" s="8" t="s">
        <v>124</v>
      </c>
      <c r="G1328" s="8" t="s">
        <v>185</v>
      </c>
      <c r="H1328" s="15" t="n">
        <v>400</v>
      </c>
      <c r="I1328" s="15" t="n">
        <v>400</v>
      </c>
      <c r="J1328" s="16" t="n">
        <v>0.583</v>
      </c>
      <c r="K1328" s="8" t="n">
        <v>8.3</v>
      </c>
      <c r="L1328" s="8" t="n">
        <v>6</v>
      </c>
      <c r="M1328" s="8" t="n">
        <v>6</v>
      </c>
      <c r="N1328" s="8" t="s">
        <v>120</v>
      </c>
      <c r="O1328" s="15" t="n">
        <f aca="false">H1328*12</f>
        <v>4800</v>
      </c>
      <c r="P1328" s="8" t="n">
        <f aca="false">MIN(100,ROUND(100*J1328/Assumptions!$B$8,0))</f>
        <v>65</v>
      </c>
      <c r="Q1328" s="8" t="n">
        <f aca="false">IF(L1328="",Assumptions!$B$9,L1328*10)</f>
        <v>60</v>
      </c>
      <c r="R1328" s="8" t="n">
        <f aca="false">IF(M1328&lt;=1,Assumptions!$B$12,IF(M1328&lt;=3,Assumptions!$B$13,IF(M1328&lt;=6,Assumptions!$B$14,Assumptions!$B$15)))</f>
        <v>50</v>
      </c>
      <c r="S1328" s="8" t="n">
        <f aca="false">IF(N1328="Completed On Time",Assumptions!$B$16,IF(N1328="Completed Late",Assumptions!$B$17,Assumptions!$B$18))</f>
        <v>100</v>
      </c>
      <c r="T1328" s="8" t="n">
        <f aca="false">IF(I1328=0,Assumptions!$B$20,IF(H1328&gt;I1328,Assumptions!$B$19,IF(H1328=I1328,Assumptions!$B$20,Assumptions!$B$21)))</f>
        <v>70</v>
      </c>
      <c r="U1328" s="8" t="n">
        <f aca="false">ROUND(P1328*Assumptions!$B$2+Q1328*Assumptions!$B$3+R1328*Assumptions!$B$4+S1328*Assumptions!$B$5+T1328*Assumptions!$B$6,0)</f>
        <v>66</v>
      </c>
      <c r="V1328" s="8" t="str">
        <f aca="false">IF(U1328&gt;=Assumptions!$B$10,"Healthy",IF(U1328&gt;=Assumptions!$B$11,"Needs Attention","High Risk"))</f>
        <v>Needs Attention</v>
      </c>
    </row>
    <row r="1329" customFormat="false" ht="15" hidden="false" customHeight="false" outlineLevel="0" collapsed="false">
      <c r="A1329" s="8" t="s">
        <v>2800</v>
      </c>
      <c r="B1329" s="8" t="s">
        <v>2801</v>
      </c>
      <c r="C1329" s="8" t="s">
        <v>51</v>
      </c>
      <c r="D1329" s="8" t="s">
        <v>326</v>
      </c>
      <c r="E1329" s="8" t="s">
        <v>117</v>
      </c>
      <c r="F1329" s="8" t="s">
        <v>124</v>
      </c>
      <c r="G1329" s="8" t="s">
        <v>140</v>
      </c>
      <c r="H1329" s="15" t="n">
        <v>400</v>
      </c>
      <c r="I1329" s="15" t="n">
        <v>400</v>
      </c>
      <c r="J1329" s="16" t="n">
        <v>0.708</v>
      </c>
      <c r="K1329" s="8" t="n">
        <v>10.7</v>
      </c>
      <c r="L1329" s="8" t="n">
        <v>6</v>
      </c>
      <c r="M1329" s="8" t="n">
        <v>0</v>
      </c>
      <c r="N1329" s="8" t="s">
        <v>120</v>
      </c>
      <c r="O1329" s="15" t="n">
        <f aca="false">H1329*12</f>
        <v>4800</v>
      </c>
      <c r="P1329" s="8" t="n">
        <f aca="false">MIN(100,ROUND(100*J1329/Assumptions!$B$8,0))</f>
        <v>79</v>
      </c>
      <c r="Q1329" s="8" t="n">
        <f aca="false">IF(L1329="",Assumptions!$B$9,L1329*10)</f>
        <v>60</v>
      </c>
      <c r="R1329" s="8" t="n">
        <f aca="false">IF(M1329&lt;=1,Assumptions!$B$12,IF(M1329&lt;=3,Assumptions!$B$13,IF(M1329&lt;=6,Assumptions!$B$14,Assumptions!$B$15)))</f>
        <v>100</v>
      </c>
      <c r="S1329" s="8" t="n">
        <f aca="false">IF(N1329="Completed On Time",Assumptions!$B$16,IF(N1329="Completed Late",Assumptions!$B$17,Assumptions!$B$18))</f>
        <v>100</v>
      </c>
      <c r="T1329" s="8" t="n">
        <f aca="false">IF(I1329=0,Assumptions!$B$20,IF(H1329&gt;I1329,Assumptions!$B$19,IF(H1329=I1329,Assumptions!$B$20,Assumptions!$B$21)))</f>
        <v>70</v>
      </c>
      <c r="U1329" s="8" t="n">
        <f aca="false">ROUND(P1329*Assumptions!$B$2+Q1329*Assumptions!$B$3+R1329*Assumptions!$B$4+S1329*Assumptions!$B$5+T1329*Assumptions!$B$6,0)</f>
        <v>79</v>
      </c>
      <c r="V1329" s="8" t="str">
        <f aca="false">IF(U1329&gt;=Assumptions!$B$10,"Healthy",IF(U1329&gt;=Assumptions!$B$11,"Needs Attention","High Risk"))</f>
        <v>Needs Attention</v>
      </c>
    </row>
    <row r="1330" customFormat="false" ht="15" hidden="false" customHeight="false" outlineLevel="0" collapsed="false">
      <c r="A1330" s="8" t="s">
        <v>2802</v>
      </c>
      <c r="B1330" s="8" t="s">
        <v>2803</v>
      </c>
      <c r="C1330" s="8" t="s">
        <v>51</v>
      </c>
      <c r="D1330" s="8" t="s">
        <v>326</v>
      </c>
      <c r="E1330" s="8" t="s">
        <v>117</v>
      </c>
      <c r="F1330" s="8" t="s">
        <v>133</v>
      </c>
      <c r="G1330" s="8" t="s">
        <v>140</v>
      </c>
      <c r="H1330" s="15" t="n">
        <v>400</v>
      </c>
      <c r="I1330" s="15" t="n">
        <v>400</v>
      </c>
      <c r="J1330" s="16" t="n">
        <v>0.708</v>
      </c>
      <c r="K1330" s="8" t="n">
        <v>7.3</v>
      </c>
      <c r="L1330" s="8" t="n">
        <v>8</v>
      </c>
      <c r="M1330" s="8" t="n">
        <v>4</v>
      </c>
      <c r="N1330" s="8" t="s">
        <v>120</v>
      </c>
      <c r="O1330" s="15" t="n">
        <f aca="false">H1330*12</f>
        <v>4800</v>
      </c>
      <c r="P1330" s="8" t="n">
        <f aca="false">MIN(100,ROUND(100*J1330/Assumptions!$B$8,0))</f>
        <v>79</v>
      </c>
      <c r="Q1330" s="8" t="n">
        <f aca="false">IF(L1330="",Assumptions!$B$9,L1330*10)</f>
        <v>80</v>
      </c>
      <c r="R1330" s="8" t="n">
        <f aca="false">IF(M1330&lt;=1,Assumptions!$B$12,IF(M1330&lt;=3,Assumptions!$B$13,IF(M1330&lt;=6,Assumptions!$B$14,Assumptions!$B$15)))</f>
        <v>50</v>
      </c>
      <c r="S1330" s="8" t="n">
        <f aca="false">IF(N1330="Completed On Time",Assumptions!$B$16,IF(N1330="Completed Late",Assumptions!$B$17,Assumptions!$B$18))</f>
        <v>100</v>
      </c>
      <c r="T1330" s="8" t="n">
        <f aca="false">IF(I1330=0,Assumptions!$B$20,IF(H1330&gt;I1330,Assumptions!$B$19,IF(H1330=I1330,Assumptions!$B$20,Assumptions!$B$21)))</f>
        <v>70</v>
      </c>
      <c r="U1330" s="8" t="n">
        <f aca="false">ROUND(P1330*Assumptions!$B$2+Q1330*Assumptions!$B$3+R1330*Assumptions!$B$4+S1330*Assumptions!$B$5+T1330*Assumptions!$B$6,0)</f>
        <v>75</v>
      </c>
      <c r="V1330" s="8" t="str">
        <f aca="false">IF(U1330&gt;=Assumptions!$B$10,"Healthy",IF(U1330&gt;=Assumptions!$B$11,"Needs Attention","High Risk"))</f>
        <v>Needs Attention</v>
      </c>
    </row>
    <row r="1331" customFormat="false" ht="15" hidden="false" customHeight="false" outlineLevel="0" collapsed="false">
      <c r="A1331" s="8" t="s">
        <v>2804</v>
      </c>
      <c r="B1331" s="8" t="s">
        <v>2805</v>
      </c>
      <c r="C1331" s="8" t="s">
        <v>51</v>
      </c>
      <c r="D1331" s="8" t="s">
        <v>326</v>
      </c>
      <c r="E1331" s="8" t="s">
        <v>123</v>
      </c>
      <c r="F1331" s="8" t="s">
        <v>151</v>
      </c>
      <c r="G1331" s="8" t="s">
        <v>180</v>
      </c>
      <c r="H1331" s="15" t="n">
        <v>400</v>
      </c>
      <c r="I1331" s="15" t="n">
        <v>400</v>
      </c>
      <c r="J1331" s="16" t="n">
        <v>0.792</v>
      </c>
      <c r="K1331" s="8" t="n">
        <v>9.7</v>
      </c>
      <c r="L1331" s="8" t="n">
        <v>9</v>
      </c>
      <c r="M1331" s="8" t="n">
        <v>1</v>
      </c>
      <c r="N1331" s="8" t="s">
        <v>120</v>
      </c>
      <c r="O1331" s="15" t="n">
        <f aca="false">H1331*12</f>
        <v>4800</v>
      </c>
      <c r="P1331" s="8" t="n">
        <f aca="false">MIN(100,ROUND(100*J1331/Assumptions!$B$8,0))</f>
        <v>88</v>
      </c>
      <c r="Q1331" s="8" t="n">
        <f aca="false">IF(L1331="",Assumptions!$B$9,L1331*10)</f>
        <v>90</v>
      </c>
      <c r="R1331" s="8" t="n">
        <f aca="false">IF(M1331&lt;=1,Assumptions!$B$12,IF(M1331&lt;=3,Assumptions!$B$13,IF(M1331&lt;=6,Assumptions!$B$14,Assumptions!$B$15)))</f>
        <v>100</v>
      </c>
      <c r="S1331" s="8" t="n">
        <f aca="false">IF(N1331="Completed On Time",Assumptions!$B$16,IF(N1331="Completed Late",Assumptions!$B$17,Assumptions!$B$18))</f>
        <v>100</v>
      </c>
      <c r="T1331" s="8" t="n">
        <f aca="false">IF(I1331=0,Assumptions!$B$20,IF(H1331&gt;I1331,Assumptions!$B$19,IF(H1331=I1331,Assumptions!$B$20,Assumptions!$B$21)))</f>
        <v>70</v>
      </c>
      <c r="U1331" s="8" t="n">
        <f aca="false">ROUND(P1331*Assumptions!$B$2+Q1331*Assumptions!$B$3+R1331*Assumptions!$B$4+S1331*Assumptions!$B$5+T1331*Assumptions!$B$6,0)</f>
        <v>88</v>
      </c>
      <c r="V1331" s="8" t="str">
        <f aca="false">IF(U1331&gt;=Assumptions!$B$10,"Healthy",IF(U1331&gt;=Assumptions!$B$11,"Needs Attention","High Risk"))</f>
        <v>Healthy</v>
      </c>
    </row>
    <row r="1332" customFormat="false" ht="15" hidden="false" customHeight="false" outlineLevel="0" collapsed="false">
      <c r="A1332" s="8" t="s">
        <v>2806</v>
      </c>
      <c r="B1332" s="8" t="s">
        <v>2807</v>
      </c>
      <c r="C1332" s="8" t="s">
        <v>51</v>
      </c>
      <c r="D1332" s="8" t="s">
        <v>326</v>
      </c>
      <c r="E1332" s="8" t="s">
        <v>132</v>
      </c>
      <c r="F1332" s="8" t="s">
        <v>154</v>
      </c>
      <c r="G1332" s="8" t="s">
        <v>177</v>
      </c>
      <c r="H1332" s="15" t="n">
        <v>400</v>
      </c>
      <c r="I1332" s="15" t="n">
        <v>400</v>
      </c>
      <c r="J1332" s="16" t="n">
        <v>0.688</v>
      </c>
      <c r="K1332" s="8" t="n">
        <v>7</v>
      </c>
      <c r="L1332" s="8" t="n">
        <v>9</v>
      </c>
      <c r="M1332" s="8" t="n">
        <v>3</v>
      </c>
      <c r="N1332" s="8" t="s">
        <v>120</v>
      </c>
      <c r="O1332" s="15" t="n">
        <f aca="false">H1332*12</f>
        <v>4800</v>
      </c>
      <c r="P1332" s="8" t="n">
        <f aca="false">MIN(100,ROUND(100*J1332/Assumptions!$B$8,0))</f>
        <v>76</v>
      </c>
      <c r="Q1332" s="8" t="n">
        <f aca="false">IF(L1332="",Assumptions!$B$9,L1332*10)</f>
        <v>90</v>
      </c>
      <c r="R1332" s="8" t="n">
        <f aca="false">IF(M1332&lt;=1,Assumptions!$B$12,IF(M1332&lt;=3,Assumptions!$B$13,IF(M1332&lt;=6,Assumptions!$B$14,Assumptions!$B$15)))</f>
        <v>75</v>
      </c>
      <c r="S1332" s="8" t="n">
        <f aca="false">IF(N1332="Completed On Time",Assumptions!$B$16,IF(N1332="Completed Late",Assumptions!$B$17,Assumptions!$B$18))</f>
        <v>100</v>
      </c>
      <c r="T1332" s="8" t="n">
        <f aca="false">IF(I1332=0,Assumptions!$B$20,IF(H1332&gt;I1332,Assumptions!$B$19,IF(H1332=I1332,Assumptions!$B$20,Assumptions!$B$21)))</f>
        <v>70</v>
      </c>
      <c r="U1332" s="8" t="n">
        <f aca="false">ROUND(P1332*Assumptions!$B$2+Q1332*Assumptions!$B$3+R1332*Assumptions!$B$4+S1332*Assumptions!$B$5+T1332*Assumptions!$B$6,0)</f>
        <v>80</v>
      </c>
      <c r="V1332" s="8" t="str">
        <f aca="false">IF(U1332&gt;=Assumptions!$B$10,"Healthy",IF(U1332&gt;=Assumptions!$B$11,"Needs Attention","High Risk"))</f>
        <v>Healthy</v>
      </c>
    </row>
    <row r="1333" customFormat="false" ht="15" hidden="false" customHeight="false" outlineLevel="0" collapsed="false">
      <c r="A1333" s="8" t="s">
        <v>2808</v>
      </c>
      <c r="B1333" s="8" t="s">
        <v>2809</v>
      </c>
      <c r="C1333" s="8" t="s">
        <v>51</v>
      </c>
      <c r="D1333" s="8" t="s">
        <v>326</v>
      </c>
      <c r="E1333" s="8" t="s">
        <v>117</v>
      </c>
      <c r="F1333" s="8" t="s">
        <v>166</v>
      </c>
      <c r="G1333" s="8" t="s">
        <v>177</v>
      </c>
      <c r="H1333" s="15" t="n">
        <v>400</v>
      </c>
      <c r="I1333" s="15" t="n">
        <v>400</v>
      </c>
      <c r="J1333" s="16" t="n">
        <v>0.896</v>
      </c>
      <c r="K1333" s="8" t="n">
        <v>11</v>
      </c>
      <c r="L1333" s="8" t="n">
        <v>9</v>
      </c>
      <c r="M1333" s="8" t="n">
        <v>0</v>
      </c>
      <c r="N1333" s="8" t="s">
        <v>120</v>
      </c>
      <c r="O1333" s="15" t="n">
        <f aca="false">H1333*12</f>
        <v>4800</v>
      </c>
      <c r="P1333" s="8" t="n">
        <f aca="false">MIN(100,ROUND(100*J1333/Assumptions!$B$8,0))</f>
        <v>100</v>
      </c>
      <c r="Q1333" s="8" t="n">
        <f aca="false">IF(L1333="",Assumptions!$B$9,L1333*10)</f>
        <v>90</v>
      </c>
      <c r="R1333" s="8" t="n">
        <f aca="false">IF(M1333&lt;=1,Assumptions!$B$12,IF(M1333&lt;=3,Assumptions!$B$13,IF(M1333&lt;=6,Assumptions!$B$14,Assumptions!$B$15)))</f>
        <v>100</v>
      </c>
      <c r="S1333" s="8" t="n">
        <f aca="false">IF(N1333="Completed On Time",Assumptions!$B$16,IF(N1333="Completed Late",Assumptions!$B$17,Assumptions!$B$18))</f>
        <v>100</v>
      </c>
      <c r="T1333" s="8" t="n">
        <f aca="false">IF(I1333=0,Assumptions!$B$20,IF(H1333&gt;I1333,Assumptions!$B$19,IF(H1333=I1333,Assumptions!$B$20,Assumptions!$B$21)))</f>
        <v>70</v>
      </c>
      <c r="U1333" s="8" t="n">
        <f aca="false">ROUND(P1333*Assumptions!$B$2+Q1333*Assumptions!$B$3+R1333*Assumptions!$B$4+S1333*Assumptions!$B$5+T1333*Assumptions!$B$6,0)</f>
        <v>92</v>
      </c>
      <c r="V1333" s="8" t="str">
        <f aca="false">IF(U1333&gt;=Assumptions!$B$10,"Healthy",IF(U1333&gt;=Assumptions!$B$11,"Needs Attention","High Risk"))</f>
        <v>Healthy</v>
      </c>
    </row>
    <row r="1334" customFormat="false" ht="15" hidden="false" customHeight="false" outlineLevel="0" collapsed="false">
      <c r="A1334" s="8" t="s">
        <v>2810</v>
      </c>
      <c r="B1334" s="8" t="s">
        <v>2811</v>
      </c>
      <c r="C1334" s="8" t="s">
        <v>51</v>
      </c>
      <c r="D1334" s="8" t="s">
        <v>2027</v>
      </c>
      <c r="E1334" s="8" t="s">
        <v>132</v>
      </c>
      <c r="F1334" s="8" t="s">
        <v>136</v>
      </c>
      <c r="G1334" s="8" t="s">
        <v>119</v>
      </c>
      <c r="H1334" s="15" t="n">
        <v>396</v>
      </c>
      <c r="I1334" s="15" t="n">
        <v>396</v>
      </c>
      <c r="J1334" s="16" t="n">
        <v>0.758</v>
      </c>
      <c r="K1334" s="8" t="n">
        <v>9</v>
      </c>
      <c r="L1334" s="8" t="n">
        <v>10</v>
      </c>
      <c r="M1334" s="8" t="n">
        <v>1</v>
      </c>
      <c r="N1334" s="8" t="s">
        <v>148</v>
      </c>
      <c r="O1334" s="15" t="n">
        <f aca="false">H1334*12</f>
        <v>4752</v>
      </c>
      <c r="P1334" s="8" t="n">
        <f aca="false">MIN(100,ROUND(100*J1334/Assumptions!$B$8,0))</f>
        <v>84</v>
      </c>
      <c r="Q1334" s="8" t="n">
        <f aca="false">IF(L1334="",Assumptions!$B$9,L1334*10)</f>
        <v>100</v>
      </c>
      <c r="R1334" s="8" t="n">
        <f aca="false">IF(M1334&lt;=1,Assumptions!$B$12,IF(M1334&lt;=3,Assumptions!$B$13,IF(M1334&lt;=6,Assumptions!$B$14,Assumptions!$B$15)))</f>
        <v>100</v>
      </c>
      <c r="S1334" s="8" t="n">
        <f aca="false">IF(N1334="Completed On Time",Assumptions!$B$16,IF(N1334="Completed Late",Assumptions!$B$17,Assumptions!$B$18))</f>
        <v>60</v>
      </c>
      <c r="T1334" s="8" t="n">
        <f aca="false">IF(I1334=0,Assumptions!$B$20,IF(H1334&gt;I1334,Assumptions!$B$19,IF(H1334=I1334,Assumptions!$B$20,Assumptions!$B$21)))</f>
        <v>70</v>
      </c>
      <c r="U1334" s="8" t="n">
        <f aca="false">ROUND(P1334*Assumptions!$B$2+Q1334*Assumptions!$B$3+R1334*Assumptions!$B$4+S1334*Assumptions!$B$5+T1334*Assumptions!$B$6,0)</f>
        <v>84</v>
      </c>
      <c r="V1334" s="8" t="str">
        <f aca="false">IF(U1334&gt;=Assumptions!$B$10,"Healthy",IF(U1334&gt;=Assumptions!$B$11,"Needs Attention","High Risk"))</f>
        <v>Healthy</v>
      </c>
    </row>
    <row r="1335" customFormat="false" ht="15" hidden="false" customHeight="false" outlineLevel="0" collapsed="false">
      <c r="A1335" s="8" t="s">
        <v>2812</v>
      </c>
      <c r="B1335" s="8" t="s">
        <v>2813</v>
      </c>
      <c r="C1335" s="8" t="s">
        <v>51</v>
      </c>
      <c r="D1335" s="8" t="s">
        <v>2027</v>
      </c>
      <c r="E1335" s="8" t="s">
        <v>117</v>
      </c>
      <c r="F1335" s="8" t="s">
        <v>136</v>
      </c>
      <c r="G1335" s="8" t="s">
        <v>177</v>
      </c>
      <c r="H1335" s="15" t="n">
        <v>396</v>
      </c>
      <c r="I1335" s="15" t="n">
        <v>396</v>
      </c>
      <c r="J1335" s="16" t="n">
        <v>0.677</v>
      </c>
      <c r="K1335" s="8" t="n">
        <v>7.7</v>
      </c>
      <c r="L1335" s="8" t="n">
        <v>8</v>
      </c>
      <c r="M1335" s="8" t="n">
        <v>4</v>
      </c>
      <c r="N1335" s="8" t="s">
        <v>120</v>
      </c>
      <c r="O1335" s="15" t="n">
        <f aca="false">H1335*12</f>
        <v>4752</v>
      </c>
      <c r="P1335" s="8" t="n">
        <f aca="false">MIN(100,ROUND(100*J1335/Assumptions!$B$8,0))</f>
        <v>75</v>
      </c>
      <c r="Q1335" s="8" t="n">
        <f aca="false">IF(L1335="",Assumptions!$B$9,L1335*10)</f>
        <v>80</v>
      </c>
      <c r="R1335" s="8" t="n">
        <f aca="false">IF(M1335&lt;=1,Assumptions!$B$12,IF(M1335&lt;=3,Assumptions!$B$13,IF(M1335&lt;=6,Assumptions!$B$14,Assumptions!$B$15)))</f>
        <v>50</v>
      </c>
      <c r="S1335" s="8" t="n">
        <f aca="false">IF(N1335="Completed On Time",Assumptions!$B$16,IF(N1335="Completed Late",Assumptions!$B$17,Assumptions!$B$18))</f>
        <v>100</v>
      </c>
      <c r="T1335" s="8" t="n">
        <f aca="false">IF(I1335=0,Assumptions!$B$20,IF(H1335&gt;I1335,Assumptions!$B$19,IF(H1335=I1335,Assumptions!$B$20,Assumptions!$B$21)))</f>
        <v>70</v>
      </c>
      <c r="U1335" s="8" t="n">
        <f aca="false">ROUND(P1335*Assumptions!$B$2+Q1335*Assumptions!$B$3+R1335*Assumptions!$B$4+S1335*Assumptions!$B$5+T1335*Assumptions!$B$6,0)</f>
        <v>74</v>
      </c>
      <c r="V1335" s="8" t="str">
        <f aca="false">IF(U1335&gt;=Assumptions!$B$10,"Healthy",IF(U1335&gt;=Assumptions!$B$11,"Needs Attention","High Risk"))</f>
        <v>Needs Attention</v>
      </c>
    </row>
    <row r="1336" customFormat="false" ht="15" hidden="false" customHeight="false" outlineLevel="0" collapsed="false">
      <c r="A1336" s="8" t="s">
        <v>2814</v>
      </c>
      <c r="B1336" s="8" t="s">
        <v>2815</v>
      </c>
      <c r="C1336" s="8" t="s">
        <v>51</v>
      </c>
      <c r="D1336" s="8" t="s">
        <v>2027</v>
      </c>
      <c r="E1336" s="8" t="s">
        <v>117</v>
      </c>
      <c r="F1336" s="8" t="s">
        <v>118</v>
      </c>
      <c r="G1336" s="8" t="s">
        <v>140</v>
      </c>
      <c r="H1336" s="15" t="n">
        <v>396</v>
      </c>
      <c r="I1336" s="15" t="n">
        <v>396</v>
      </c>
      <c r="J1336" s="16" t="n">
        <v>0.626</v>
      </c>
      <c r="K1336" s="8" t="n">
        <v>5.7</v>
      </c>
      <c r="L1336" s="8" t="n">
        <v>8</v>
      </c>
      <c r="M1336" s="8" t="n">
        <v>5</v>
      </c>
      <c r="N1336" s="8" t="s">
        <v>120</v>
      </c>
      <c r="O1336" s="15" t="n">
        <f aca="false">H1336*12</f>
        <v>4752</v>
      </c>
      <c r="P1336" s="8" t="n">
        <f aca="false">MIN(100,ROUND(100*J1336/Assumptions!$B$8,0))</f>
        <v>70</v>
      </c>
      <c r="Q1336" s="8" t="n">
        <f aca="false">IF(L1336="",Assumptions!$B$9,L1336*10)</f>
        <v>80</v>
      </c>
      <c r="R1336" s="8" t="n">
        <f aca="false">IF(M1336&lt;=1,Assumptions!$B$12,IF(M1336&lt;=3,Assumptions!$B$13,IF(M1336&lt;=6,Assumptions!$B$14,Assumptions!$B$15)))</f>
        <v>50</v>
      </c>
      <c r="S1336" s="8" t="n">
        <f aca="false">IF(N1336="Completed On Time",Assumptions!$B$16,IF(N1336="Completed Late",Assumptions!$B$17,Assumptions!$B$18))</f>
        <v>100</v>
      </c>
      <c r="T1336" s="8" t="n">
        <f aca="false">IF(I1336=0,Assumptions!$B$20,IF(H1336&gt;I1336,Assumptions!$B$19,IF(H1336=I1336,Assumptions!$B$20,Assumptions!$B$21)))</f>
        <v>70</v>
      </c>
      <c r="U1336" s="8" t="n">
        <f aca="false">ROUND(P1336*Assumptions!$B$2+Q1336*Assumptions!$B$3+R1336*Assumptions!$B$4+S1336*Assumptions!$B$5+T1336*Assumptions!$B$6,0)</f>
        <v>72</v>
      </c>
      <c r="V1336" s="8" t="str">
        <f aca="false">IF(U1336&gt;=Assumptions!$B$10,"Healthy",IF(U1336&gt;=Assumptions!$B$11,"Needs Attention","High Risk"))</f>
        <v>Needs Attention</v>
      </c>
    </row>
    <row r="1337" customFormat="false" ht="15" hidden="false" customHeight="false" outlineLevel="0" collapsed="false">
      <c r="A1337" s="8" t="s">
        <v>2816</v>
      </c>
      <c r="B1337" s="8" t="s">
        <v>2817</v>
      </c>
      <c r="C1337" s="8" t="s">
        <v>51</v>
      </c>
      <c r="D1337" s="8" t="s">
        <v>2027</v>
      </c>
      <c r="E1337" s="8" t="s">
        <v>128</v>
      </c>
      <c r="F1337" s="8" t="s">
        <v>133</v>
      </c>
      <c r="G1337" s="8" t="s">
        <v>125</v>
      </c>
      <c r="H1337" s="15" t="n">
        <v>396</v>
      </c>
      <c r="I1337" s="15" t="n">
        <v>396</v>
      </c>
      <c r="J1337" s="16" t="n">
        <v>0.727</v>
      </c>
      <c r="K1337" s="8" t="n">
        <v>9.3</v>
      </c>
      <c r="L1337" s="8" t="n">
        <v>8</v>
      </c>
      <c r="M1337" s="8" t="n">
        <v>2</v>
      </c>
      <c r="N1337" s="8" t="s">
        <v>120</v>
      </c>
      <c r="O1337" s="15" t="n">
        <f aca="false">H1337*12</f>
        <v>4752</v>
      </c>
      <c r="P1337" s="8" t="n">
        <f aca="false">MIN(100,ROUND(100*J1337/Assumptions!$B$8,0))</f>
        <v>81</v>
      </c>
      <c r="Q1337" s="8" t="n">
        <f aca="false">IF(L1337="",Assumptions!$B$9,L1337*10)</f>
        <v>80</v>
      </c>
      <c r="R1337" s="8" t="n">
        <f aca="false">IF(M1337&lt;=1,Assumptions!$B$12,IF(M1337&lt;=3,Assumptions!$B$13,IF(M1337&lt;=6,Assumptions!$B$14,Assumptions!$B$15)))</f>
        <v>75</v>
      </c>
      <c r="S1337" s="8" t="n">
        <f aca="false">IF(N1337="Completed On Time",Assumptions!$B$16,IF(N1337="Completed Late",Assumptions!$B$17,Assumptions!$B$18))</f>
        <v>100</v>
      </c>
      <c r="T1337" s="8" t="n">
        <f aca="false">IF(I1337=0,Assumptions!$B$20,IF(H1337&gt;I1337,Assumptions!$B$19,IF(H1337=I1337,Assumptions!$B$20,Assumptions!$B$21)))</f>
        <v>70</v>
      </c>
      <c r="U1337" s="8" t="n">
        <f aca="false">ROUND(P1337*Assumptions!$B$2+Q1337*Assumptions!$B$3+R1337*Assumptions!$B$4+S1337*Assumptions!$B$5+T1337*Assumptions!$B$6,0)</f>
        <v>80</v>
      </c>
      <c r="V1337" s="8" t="str">
        <f aca="false">IF(U1337&gt;=Assumptions!$B$10,"Healthy",IF(U1337&gt;=Assumptions!$B$11,"Needs Attention","High Risk"))</f>
        <v>Healthy</v>
      </c>
    </row>
    <row r="1338" customFormat="false" ht="15" hidden="false" customHeight="false" outlineLevel="0" collapsed="false">
      <c r="A1338" s="8" t="s">
        <v>2818</v>
      </c>
      <c r="B1338" s="8" t="s">
        <v>2819</v>
      </c>
      <c r="C1338" s="8" t="s">
        <v>51</v>
      </c>
      <c r="D1338" s="8" t="s">
        <v>2027</v>
      </c>
      <c r="E1338" s="8" t="s">
        <v>132</v>
      </c>
      <c r="F1338" s="8" t="s">
        <v>118</v>
      </c>
      <c r="G1338" s="8" t="s">
        <v>119</v>
      </c>
      <c r="H1338" s="15" t="n">
        <v>396</v>
      </c>
      <c r="I1338" s="15" t="n">
        <v>396</v>
      </c>
      <c r="J1338" s="16" t="n">
        <v>0.556</v>
      </c>
      <c r="K1338" s="8" t="n">
        <v>7.3</v>
      </c>
      <c r="L1338" s="8" t="n">
        <v>6</v>
      </c>
      <c r="M1338" s="8" t="n">
        <v>2</v>
      </c>
      <c r="N1338" s="8" t="s">
        <v>120</v>
      </c>
      <c r="O1338" s="15" t="n">
        <f aca="false">H1338*12</f>
        <v>4752</v>
      </c>
      <c r="P1338" s="8" t="n">
        <f aca="false">MIN(100,ROUND(100*J1338/Assumptions!$B$8,0))</f>
        <v>62</v>
      </c>
      <c r="Q1338" s="8" t="n">
        <f aca="false">IF(L1338="",Assumptions!$B$9,L1338*10)</f>
        <v>60</v>
      </c>
      <c r="R1338" s="8" t="n">
        <f aca="false">IF(M1338&lt;=1,Assumptions!$B$12,IF(M1338&lt;=3,Assumptions!$B$13,IF(M1338&lt;=6,Assumptions!$B$14,Assumptions!$B$15)))</f>
        <v>75</v>
      </c>
      <c r="S1338" s="8" t="n">
        <f aca="false">IF(N1338="Completed On Time",Assumptions!$B$16,IF(N1338="Completed Late",Assumptions!$B$17,Assumptions!$B$18))</f>
        <v>100</v>
      </c>
      <c r="T1338" s="8" t="n">
        <f aca="false">IF(I1338=0,Assumptions!$B$20,IF(H1338&gt;I1338,Assumptions!$B$19,IF(H1338=I1338,Assumptions!$B$20,Assumptions!$B$21)))</f>
        <v>70</v>
      </c>
      <c r="U1338" s="8" t="n">
        <f aca="false">ROUND(P1338*Assumptions!$B$2+Q1338*Assumptions!$B$3+R1338*Assumptions!$B$4+S1338*Assumptions!$B$5+T1338*Assumptions!$B$6,0)</f>
        <v>69</v>
      </c>
      <c r="V1338" s="8" t="str">
        <f aca="false">IF(U1338&gt;=Assumptions!$B$10,"Healthy",IF(U1338&gt;=Assumptions!$B$11,"Needs Attention","High Risk"))</f>
        <v>Needs Attention</v>
      </c>
    </row>
    <row r="1339" customFormat="false" ht="15" hidden="false" customHeight="false" outlineLevel="0" collapsed="false">
      <c r="A1339" s="8" t="s">
        <v>2820</v>
      </c>
      <c r="B1339" s="8" t="s">
        <v>2821</v>
      </c>
      <c r="C1339" s="8" t="s">
        <v>51</v>
      </c>
      <c r="D1339" s="8" t="s">
        <v>2027</v>
      </c>
      <c r="E1339" s="8" t="s">
        <v>132</v>
      </c>
      <c r="F1339" s="8" t="s">
        <v>190</v>
      </c>
      <c r="G1339" s="8" t="s">
        <v>147</v>
      </c>
      <c r="H1339" s="15" t="n">
        <v>396</v>
      </c>
      <c r="I1339" s="15" t="n">
        <v>396</v>
      </c>
      <c r="J1339" s="16" t="n">
        <v>0.778</v>
      </c>
      <c r="K1339" s="8" t="n">
        <v>10</v>
      </c>
      <c r="L1339" s="8" t="n">
        <v>8</v>
      </c>
      <c r="M1339" s="8" t="n">
        <v>0</v>
      </c>
      <c r="N1339" s="8" t="s">
        <v>120</v>
      </c>
      <c r="O1339" s="15" t="n">
        <f aca="false">H1339*12</f>
        <v>4752</v>
      </c>
      <c r="P1339" s="8" t="n">
        <f aca="false">MIN(100,ROUND(100*J1339/Assumptions!$B$8,0))</f>
        <v>86</v>
      </c>
      <c r="Q1339" s="8" t="n">
        <f aca="false">IF(L1339="",Assumptions!$B$9,L1339*10)</f>
        <v>80</v>
      </c>
      <c r="R1339" s="8" t="n">
        <f aca="false">IF(M1339&lt;=1,Assumptions!$B$12,IF(M1339&lt;=3,Assumptions!$B$13,IF(M1339&lt;=6,Assumptions!$B$14,Assumptions!$B$15)))</f>
        <v>100</v>
      </c>
      <c r="S1339" s="8" t="n">
        <f aca="false">IF(N1339="Completed On Time",Assumptions!$B$16,IF(N1339="Completed Late",Assumptions!$B$17,Assumptions!$B$18))</f>
        <v>100</v>
      </c>
      <c r="T1339" s="8" t="n">
        <f aca="false">IF(I1339=0,Assumptions!$B$20,IF(H1339&gt;I1339,Assumptions!$B$19,IF(H1339=I1339,Assumptions!$B$20,Assumptions!$B$21)))</f>
        <v>70</v>
      </c>
      <c r="U1339" s="8" t="n">
        <f aca="false">ROUND(P1339*Assumptions!$B$2+Q1339*Assumptions!$B$3+R1339*Assumptions!$B$4+S1339*Assumptions!$B$5+T1339*Assumptions!$B$6,0)</f>
        <v>85</v>
      </c>
      <c r="V1339" s="8" t="str">
        <f aca="false">IF(U1339&gt;=Assumptions!$B$10,"Healthy",IF(U1339&gt;=Assumptions!$B$11,"Needs Attention","High Risk"))</f>
        <v>Healthy</v>
      </c>
    </row>
    <row r="1340" customFormat="false" ht="15" hidden="false" customHeight="false" outlineLevel="0" collapsed="false">
      <c r="A1340" s="8" t="s">
        <v>2822</v>
      </c>
      <c r="B1340" s="8" t="s">
        <v>2823</v>
      </c>
      <c r="C1340" s="8" t="s">
        <v>51</v>
      </c>
      <c r="D1340" s="8" t="s">
        <v>2027</v>
      </c>
      <c r="E1340" s="8" t="s">
        <v>132</v>
      </c>
      <c r="F1340" s="8" t="s">
        <v>223</v>
      </c>
      <c r="G1340" s="8" t="s">
        <v>177</v>
      </c>
      <c r="H1340" s="15" t="n">
        <v>396</v>
      </c>
      <c r="I1340" s="15" t="n">
        <v>396</v>
      </c>
      <c r="J1340" s="16" t="n">
        <v>0.737</v>
      </c>
      <c r="K1340" s="8" t="n">
        <v>8.3</v>
      </c>
      <c r="L1340" s="8" t="n">
        <v>9</v>
      </c>
      <c r="M1340" s="8" t="n">
        <v>2</v>
      </c>
      <c r="N1340" s="8" t="s">
        <v>120</v>
      </c>
      <c r="O1340" s="15" t="n">
        <f aca="false">H1340*12</f>
        <v>4752</v>
      </c>
      <c r="P1340" s="8" t="n">
        <f aca="false">MIN(100,ROUND(100*J1340/Assumptions!$B$8,0))</f>
        <v>82</v>
      </c>
      <c r="Q1340" s="8" t="n">
        <f aca="false">IF(L1340="",Assumptions!$B$9,L1340*10)</f>
        <v>90</v>
      </c>
      <c r="R1340" s="8" t="n">
        <f aca="false">IF(M1340&lt;=1,Assumptions!$B$12,IF(M1340&lt;=3,Assumptions!$B$13,IF(M1340&lt;=6,Assumptions!$B$14,Assumptions!$B$15)))</f>
        <v>75</v>
      </c>
      <c r="S1340" s="8" t="n">
        <f aca="false">IF(N1340="Completed On Time",Assumptions!$B$16,IF(N1340="Completed Late",Assumptions!$B$17,Assumptions!$B$18))</f>
        <v>100</v>
      </c>
      <c r="T1340" s="8" t="n">
        <f aca="false">IF(I1340=0,Assumptions!$B$20,IF(H1340&gt;I1340,Assumptions!$B$19,IF(H1340=I1340,Assumptions!$B$20,Assumptions!$B$21)))</f>
        <v>70</v>
      </c>
      <c r="U1340" s="8" t="n">
        <f aca="false">ROUND(P1340*Assumptions!$B$2+Q1340*Assumptions!$B$3+R1340*Assumptions!$B$4+S1340*Assumptions!$B$5+T1340*Assumptions!$B$6,0)</f>
        <v>82</v>
      </c>
      <c r="V1340" s="8" t="str">
        <f aca="false">IF(U1340&gt;=Assumptions!$B$10,"Healthy",IF(U1340&gt;=Assumptions!$B$11,"Needs Attention","High Risk"))</f>
        <v>Healthy</v>
      </c>
    </row>
    <row r="1341" customFormat="false" ht="15" hidden="false" customHeight="false" outlineLevel="0" collapsed="false">
      <c r="A1341" s="8" t="s">
        <v>2824</v>
      </c>
      <c r="B1341" s="8" t="s">
        <v>2825</v>
      </c>
      <c r="C1341" s="8" t="s">
        <v>51</v>
      </c>
      <c r="D1341" s="8" t="s">
        <v>2027</v>
      </c>
      <c r="E1341" s="8" t="s">
        <v>123</v>
      </c>
      <c r="F1341" s="8" t="s">
        <v>154</v>
      </c>
      <c r="G1341" s="8" t="s">
        <v>140</v>
      </c>
      <c r="H1341" s="15" t="n">
        <v>396</v>
      </c>
      <c r="I1341" s="15" t="n">
        <v>396</v>
      </c>
      <c r="J1341" s="16" t="n">
        <v>0.747</v>
      </c>
      <c r="K1341" s="8" t="n">
        <v>8.3</v>
      </c>
      <c r="L1341" s="8" t="n">
        <v>10</v>
      </c>
      <c r="M1341" s="8" t="n">
        <v>4</v>
      </c>
      <c r="N1341" s="8" t="s">
        <v>120</v>
      </c>
      <c r="O1341" s="15" t="n">
        <f aca="false">H1341*12</f>
        <v>4752</v>
      </c>
      <c r="P1341" s="8" t="n">
        <f aca="false">MIN(100,ROUND(100*J1341/Assumptions!$B$8,0))</f>
        <v>83</v>
      </c>
      <c r="Q1341" s="8" t="n">
        <f aca="false">IF(L1341="",Assumptions!$B$9,L1341*10)</f>
        <v>100</v>
      </c>
      <c r="R1341" s="8" t="n">
        <f aca="false">IF(M1341&lt;=1,Assumptions!$B$12,IF(M1341&lt;=3,Assumptions!$B$13,IF(M1341&lt;=6,Assumptions!$B$14,Assumptions!$B$15)))</f>
        <v>50</v>
      </c>
      <c r="S1341" s="8" t="n">
        <f aca="false">IF(N1341="Completed On Time",Assumptions!$B$16,IF(N1341="Completed Late",Assumptions!$B$17,Assumptions!$B$18))</f>
        <v>100</v>
      </c>
      <c r="T1341" s="8" t="n">
        <f aca="false">IF(I1341=0,Assumptions!$B$20,IF(H1341&gt;I1341,Assumptions!$B$19,IF(H1341=I1341,Assumptions!$B$20,Assumptions!$B$21)))</f>
        <v>70</v>
      </c>
      <c r="U1341" s="8" t="n">
        <f aca="false">ROUND(P1341*Assumptions!$B$2+Q1341*Assumptions!$B$3+R1341*Assumptions!$B$4+S1341*Assumptions!$B$5+T1341*Assumptions!$B$6,0)</f>
        <v>81</v>
      </c>
      <c r="V1341" s="8" t="str">
        <f aca="false">IF(U1341&gt;=Assumptions!$B$10,"Healthy",IF(U1341&gt;=Assumptions!$B$11,"Needs Attention","High Risk"))</f>
        <v>Healthy</v>
      </c>
    </row>
    <row r="1342" customFormat="false" ht="15" hidden="false" customHeight="false" outlineLevel="0" collapsed="false">
      <c r="A1342" s="8" t="s">
        <v>2826</v>
      </c>
      <c r="B1342" s="8" t="s">
        <v>2827</v>
      </c>
      <c r="C1342" s="8" t="s">
        <v>51</v>
      </c>
      <c r="D1342" s="8" t="s">
        <v>2027</v>
      </c>
      <c r="E1342" s="8" t="s">
        <v>123</v>
      </c>
      <c r="F1342" s="8" t="s">
        <v>190</v>
      </c>
      <c r="G1342" s="8" t="s">
        <v>129</v>
      </c>
      <c r="H1342" s="15" t="n">
        <v>396</v>
      </c>
      <c r="I1342" s="15" t="n">
        <v>312</v>
      </c>
      <c r="J1342" s="16" t="n">
        <v>0.624</v>
      </c>
      <c r="K1342" s="8" t="n">
        <v>7.3</v>
      </c>
      <c r="L1342" s="8" t="n">
        <v>6</v>
      </c>
      <c r="M1342" s="8" t="n">
        <v>4</v>
      </c>
      <c r="N1342" s="8" t="s">
        <v>120</v>
      </c>
      <c r="O1342" s="15" t="n">
        <f aca="false">H1342*12</f>
        <v>4752</v>
      </c>
      <c r="P1342" s="8" t="n">
        <f aca="false">MIN(100,ROUND(100*J1342/Assumptions!$B$8,0))</f>
        <v>69</v>
      </c>
      <c r="Q1342" s="8" t="n">
        <f aca="false">IF(L1342="",Assumptions!$B$9,L1342*10)</f>
        <v>60</v>
      </c>
      <c r="R1342" s="8" t="n">
        <f aca="false">IF(M1342&lt;=1,Assumptions!$B$12,IF(M1342&lt;=3,Assumptions!$B$13,IF(M1342&lt;=6,Assumptions!$B$14,Assumptions!$B$15)))</f>
        <v>50</v>
      </c>
      <c r="S1342" s="8" t="n">
        <f aca="false">IF(N1342="Completed On Time",Assumptions!$B$16,IF(N1342="Completed Late",Assumptions!$B$17,Assumptions!$B$18))</f>
        <v>100</v>
      </c>
      <c r="T1342" s="8" t="n">
        <f aca="false">IF(I1342=0,Assumptions!$B$20,IF(H1342&gt;I1342,Assumptions!$B$19,IF(H1342=I1342,Assumptions!$B$20,Assumptions!$B$21)))</f>
        <v>100</v>
      </c>
      <c r="U1342" s="8" t="n">
        <f aca="false">ROUND(P1342*Assumptions!$B$2+Q1342*Assumptions!$B$3+R1342*Assumptions!$B$4+S1342*Assumptions!$B$5+T1342*Assumptions!$B$6,0)</f>
        <v>74</v>
      </c>
      <c r="V1342" s="8" t="str">
        <f aca="false">IF(U1342&gt;=Assumptions!$B$10,"Healthy",IF(U1342&gt;=Assumptions!$B$11,"Needs Attention","High Risk"))</f>
        <v>Needs Attention</v>
      </c>
    </row>
    <row r="1343" customFormat="false" ht="15" hidden="false" customHeight="false" outlineLevel="0" collapsed="false">
      <c r="A1343" s="8" t="s">
        <v>2828</v>
      </c>
      <c r="B1343" s="8" t="s">
        <v>2829</v>
      </c>
      <c r="C1343" s="8" t="s">
        <v>51</v>
      </c>
      <c r="D1343" s="8" t="s">
        <v>2027</v>
      </c>
      <c r="E1343" s="8" t="s">
        <v>132</v>
      </c>
      <c r="F1343" s="8" t="s">
        <v>223</v>
      </c>
      <c r="G1343" s="8" t="s">
        <v>185</v>
      </c>
      <c r="H1343" s="15" t="n">
        <v>396</v>
      </c>
      <c r="I1343" s="15" t="n">
        <v>396</v>
      </c>
      <c r="J1343" s="16" t="n">
        <v>0.667</v>
      </c>
      <c r="K1343" s="8" t="n">
        <v>7</v>
      </c>
      <c r="L1343" s="8" t="n">
        <v>5</v>
      </c>
      <c r="M1343" s="8" t="n">
        <v>4</v>
      </c>
      <c r="N1343" s="8" t="s">
        <v>120</v>
      </c>
      <c r="O1343" s="15" t="n">
        <f aca="false">H1343*12</f>
        <v>4752</v>
      </c>
      <c r="P1343" s="8" t="n">
        <f aca="false">MIN(100,ROUND(100*J1343/Assumptions!$B$8,0))</f>
        <v>74</v>
      </c>
      <c r="Q1343" s="8" t="n">
        <f aca="false">IF(L1343="",Assumptions!$B$9,L1343*10)</f>
        <v>50</v>
      </c>
      <c r="R1343" s="8" t="n">
        <f aca="false">IF(M1343&lt;=1,Assumptions!$B$12,IF(M1343&lt;=3,Assumptions!$B$13,IF(M1343&lt;=6,Assumptions!$B$14,Assumptions!$B$15)))</f>
        <v>50</v>
      </c>
      <c r="S1343" s="8" t="n">
        <f aca="false">IF(N1343="Completed On Time",Assumptions!$B$16,IF(N1343="Completed Late",Assumptions!$B$17,Assumptions!$B$18))</f>
        <v>100</v>
      </c>
      <c r="T1343" s="8" t="n">
        <f aca="false">IF(I1343=0,Assumptions!$B$20,IF(H1343&gt;I1343,Assumptions!$B$19,IF(H1343=I1343,Assumptions!$B$20,Assumptions!$B$21)))</f>
        <v>70</v>
      </c>
      <c r="U1343" s="8" t="n">
        <f aca="false">ROUND(P1343*Assumptions!$B$2+Q1343*Assumptions!$B$3+R1343*Assumptions!$B$4+S1343*Assumptions!$B$5+T1343*Assumptions!$B$6,0)</f>
        <v>67</v>
      </c>
      <c r="V1343" s="8" t="str">
        <f aca="false">IF(U1343&gt;=Assumptions!$B$10,"Healthy",IF(U1343&gt;=Assumptions!$B$11,"Needs Attention","High Risk"))</f>
        <v>Needs Attention</v>
      </c>
    </row>
    <row r="1344" customFormat="false" ht="15" hidden="false" customHeight="false" outlineLevel="0" collapsed="false">
      <c r="A1344" s="8" t="s">
        <v>2830</v>
      </c>
      <c r="B1344" s="8" t="s">
        <v>2831</v>
      </c>
      <c r="C1344" s="8" t="s">
        <v>51</v>
      </c>
      <c r="D1344" s="8" t="s">
        <v>2027</v>
      </c>
      <c r="E1344" s="8" t="s">
        <v>132</v>
      </c>
      <c r="F1344" s="8" t="s">
        <v>151</v>
      </c>
      <c r="G1344" s="8" t="s">
        <v>140</v>
      </c>
      <c r="H1344" s="15" t="n">
        <v>396</v>
      </c>
      <c r="I1344" s="15" t="n">
        <v>396</v>
      </c>
      <c r="J1344" s="16" t="n">
        <v>0.545</v>
      </c>
      <c r="K1344" s="8" t="n">
        <v>7.3</v>
      </c>
      <c r="L1344" s="8" t="n">
        <v>6</v>
      </c>
      <c r="M1344" s="8" t="n">
        <v>4</v>
      </c>
      <c r="N1344" s="8" t="s">
        <v>120</v>
      </c>
      <c r="O1344" s="15" t="n">
        <f aca="false">H1344*12</f>
        <v>4752</v>
      </c>
      <c r="P1344" s="8" t="n">
        <f aca="false">MIN(100,ROUND(100*J1344/Assumptions!$B$8,0))</f>
        <v>61</v>
      </c>
      <c r="Q1344" s="8" t="n">
        <f aca="false">IF(L1344="",Assumptions!$B$9,L1344*10)</f>
        <v>60</v>
      </c>
      <c r="R1344" s="8" t="n">
        <f aca="false">IF(M1344&lt;=1,Assumptions!$B$12,IF(M1344&lt;=3,Assumptions!$B$13,IF(M1344&lt;=6,Assumptions!$B$14,Assumptions!$B$15)))</f>
        <v>50</v>
      </c>
      <c r="S1344" s="8" t="n">
        <f aca="false">IF(N1344="Completed On Time",Assumptions!$B$16,IF(N1344="Completed Late",Assumptions!$B$17,Assumptions!$B$18))</f>
        <v>100</v>
      </c>
      <c r="T1344" s="8" t="n">
        <f aca="false">IF(I1344=0,Assumptions!$B$20,IF(H1344&gt;I1344,Assumptions!$B$19,IF(H1344=I1344,Assumptions!$B$20,Assumptions!$B$21)))</f>
        <v>70</v>
      </c>
      <c r="U1344" s="8" t="n">
        <f aca="false">ROUND(P1344*Assumptions!$B$2+Q1344*Assumptions!$B$3+R1344*Assumptions!$B$4+S1344*Assumptions!$B$5+T1344*Assumptions!$B$6,0)</f>
        <v>65</v>
      </c>
      <c r="V1344" s="8" t="str">
        <f aca="false">IF(U1344&gt;=Assumptions!$B$10,"Healthy",IF(U1344&gt;=Assumptions!$B$11,"Needs Attention","High Risk"))</f>
        <v>Needs Attention</v>
      </c>
    </row>
    <row r="1345" customFormat="false" ht="15" hidden="false" customHeight="false" outlineLevel="0" collapsed="false">
      <c r="A1345" s="8" t="s">
        <v>2832</v>
      </c>
      <c r="B1345" s="8" t="s">
        <v>2833</v>
      </c>
      <c r="C1345" s="8" t="s">
        <v>51</v>
      </c>
      <c r="D1345" s="8" t="s">
        <v>2027</v>
      </c>
      <c r="E1345" s="8" t="s">
        <v>123</v>
      </c>
      <c r="F1345" s="8" t="s">
        <v>136</v>
      </c>
      <c r="G1345" s="8" t="s">
        <v>119</v>
      </c>
      <c r="H1345" s="15" t="n">
        <v>396</v>
      </c>
      <c r="I1345" s="15" t="n">
        <v>396</v>
      </c>
      <c r="J1345" s="16" t="n">
        <v>0.636</v>
      </c>
      <c r="K1345" s="8" t="n">
        <v>7.7</v>
      </c>
      <c r="L1345" s="8" t="n">
        <v>4</v>
      </c>
      <c r="M1345" s="8" t="n">
        <v>4</v>
      </c>
      <c r="N1345" s="8" t="s">
        <v>120</v>
      </c>
      <c r="O1345" s="15" t="n">
        <f aca="false">H1345*12</f>
        <v>4752</v>
      </c>
      <c r="P1345" s="8" t="n">
        <f aca="false">MIN(100,ROUND(100*J1345/Assumptions!$B$8,0))</f>
        <v>71</v>
      </c>
      <c r="Q1345" s="8" t="n">
        <f aca="false">IF(L1345="",Assumptions!$B$9,L1345*10)</f>
        <v>40</v>
      </c>
      <c r="R1345" s="8" t="n">
        <f aca="false">IF(M1345&lt;=1,Assumptions!$B$12,IF(M1345&lt;=3,Assumptions!$B$13,IF(M1345&lt;=6,Assumptions!$B$14,Assumptions!$B$15)))</f>
        <v>50</v>
      </c>
      <c r="S1345" s="8" t="n">
        <f aca="false">IF(N1345="Completed On Time",Assumptions!$B$16,IF(N1345="Completed Late",Assumptions!$B$17,Assumptions!$B$18))</f>
        <v>100</v>
      </c>
      <c r="T1345" s="8" t="n">
        <f aca="false">IF(I1345=0,Assumptions!$B$20,IF(H1345&gt;I1345,Assumptions!$B$19,IF(H1345=I1345,Assumptions!$B$20,Assumptions!$B$21)))</f>
        <v>70</v>
      </c>
      <c r="U1345" s="8" t="n">
        <f aca="false">ROUND(P1345*Assumptions!$B$2+Q1345*Assumptions!$B$3+R1345*Assumptions!$B$4+S1345*Assumptions!$B$5+T1345*Assumptions!$B$6,0)</f>
        <v>64</v>
      </c>
      <c r="V1345" s="8" t="str">
        <f aca="false">IF(U1345&gt;=Assumptions!$B$10,"Healthy",IF(U1345&gt;=Assumptions!$B$11,"Needs Attention","High Risk"))</f>
        <v>High Risk</v>
      </c>
    </row>
    <row r="1346" customFormat="false" ht="15" hidden="false" customHeight="false" outlineLevel="0" collapsed="false">
      <c r="A1346" s="8" t="s">
        <v>2834</v>
      </c>
      <c r="B1346" s="8" t="s">
        <v>2835</v>
      </c>
      <c r="C1346" s="8" t="s">
        <v>51</v>
      </c>
      <c r="D1346" s="8" t="s">
        <v>2027</v>
      </c>
      <c r="E1346" s="8" t="s">
        <v>117</v>
      </c>
      <c r="F1346" s="8" t="s">
        <v>133</v>
      </c>
      <c r="G1346" s="8" t="s">
        <v>180</v>
      </c>
      <c r="H1346" s="15" t="n">
        <v>396</v>
      </c>
      <c r="I1346" s="15" t="n">
        <v>396</v>
      </c>
      <c r="J1346" s="16" t="n">
        <v>0.818</v>
      </c>
      <c r="K1346" s="8" t="n">
        <v>11.7</v>
      </c>
      <c r="L1346" s="8" t="n">
        <v>10</v>
      </c>
      <c r="M1346" s="8" t="n">
        <v>2</v>
      </c>
      <c r="N1346" s="8" t="s">
        <v>120</v>
      </c>
      <c r="O1346" s="15" t="n">
        <f aca="false">H1346*12</f>
        <v>4752</v>
      </c>
      <c r="P1346" s="8" t="n">
        <f aca="false">MIN(100,ROUND(100*J1346/Assumptions!$B$8,0))</f>
        <v>91</v>
      </c>
      <c r="Q1346" s="8" t="n">
        <f aca="false">IF(L1346="",Assumptions!$B$9,L1346*10)</f>
        <v>100</v>
      </c>
      <c r="R1346" s="8" t="n">
        <f aca="false">IF(M1346&lt;=1,Assumptions!$B$12,IF(M1346&lt;=3,Assumptions!$B$13,IF(M1346&lt;=6,Assumptions!$B$14,Assumptions!$B$15)))</f>
        <v>75</v>
      </c>
      <c r="S1346" s="8" t="n">
        <f aca="false">IF(N1346="Completed On Time",Assumptions!$B$16,IF(N1346="Completed Late",Assumptions!$B$17,Assumptions!$B$18))</f>
        <v>100</v>
      </c>
      <c r="T1346" s="8" t="n">
        <f aca="false">IF(I1346=0,Assumptions!$B$20,IF(H1346&gt;I1346,Assumptions!$B$19,IF(H1346=I1346,Assumptions!$B$20,Assumptions!$B$21)))</f>
        <v>70</v>
      </c>
      <c r="U1346" s="8" t="n">
        <f aca="false">ROUND(P1346*Assumptions!$B$2+Q1346*Assumptions!$B$3+R1346*Assumptions!$B$4+S1346*Assumptions!$B$5+T1346*Assumptions!$B$6,0)</f>
        <v>87</v>
      </c>
      <c r="V1346" s="8" t="str">
        <f aca="false">IF(U1346&gt;=Assumptions!$B$10,"Healthy",IF(U1346&gt;=Assumptions!$B$11,"Needs Attention","High Risk"))</f>
        <v>Healthy</v>
      </c>
    </row>
    <row r="1347" customFormat="false" ht="15" hidden="false" customHeight="false" outlineLevel="0" collapsed="false">
      <c r="A1347" s="8" t="s">
        <v>2836</v>
      </c>
      <c r="B1347" s="8" t="s">
        <v>2837</v>
      </c>
      <c r="C1347" s="8" t="s">
        <v>51</v>
      </c>
      <c r="D1347" s="8" t="s">
        <v>2027</v>
      </c>
      <c r="E1347" s="8" t="s">
        <v>123</v>
      </c>
      <c r="F1347" s="8" t="s">
        <v>133</v>
      </c>
      <c r="G1347" s="8" t="s">
        <v>180</v>
      </c>
      <c r="H1347" s="15" t="n">
        <v>384</v>
      </c>
      <c r="I1347" s="15" t="n">
        <v>384</v>
      </c>
      <c r="J1347" s="16" t="n">
        <v>0.625</v>
      </c>
      <c r="K1347" s="8" t="n">
        <v>8.3</v>
      </c>
      <c r="L1347" s="8" t="n">
        <v>6</v>
      </c>
      <c r="M1347" s="8" t="n">
        <v>5</v>
      </c>
      <c r="N1347" s="8" t="s">
        <v>120</v>
      </c>
      <c r="O1347" s="15" t="n">
        <f aca="false">H1347*12</f>
        <v>4608</v>
      </c>
      <c r="P1347" s="8" t="n">
        <f aca="false">MIN(100,ROUND(100*J1347/Assumptions!$B$8,0))</f>
        <v>69</v>
      </c>
      <c r="Q1347" s="8" t="n">
        <f aca="false">IF(L1347="",Assumptions!$B$9,L1347*10)</f>
        <v>60</v>
      </c>
      <c r="R1347" s="8" t="n">
        <f aca="false">IF(M1347&lt;=1,Assumptions!$B$12,IF(M1347&lt;=3,Assumptions!$B$13,IF(M1347&lt;=6,Assumptions!$B$14,Assumptions!$B$15)))</f>
        <v>50</v>
      </c>
      <c r="S1347" s="8" t="n">
        <f aca="false">IF(N1347="Completed On Time",Assumptions!$B$16,IF(N1347="Completed Late",Assumptions!$B$17,Assumptions!$B$18))</f>
        <v>100</v>
      </c>
      <c r="T1347" s="8" t="n">
        <f aca="false">IF(I1347=0,Assumptions!$B$20,IF(H1347&gt;I1347,Assumptions!$B$19,IF(H1347=I1347,Assumptions!$B$20,Assumptions!$B$21)))</f>
        <v>70</v>
      </c>
      <c r="U1347" s="8" t="n">
        <f aca="false">ROUND(P1347*Assumptions!$B$2+Q1347*Assumptions!$B$3+R1347*Assumptions!$B$4+S1347*Assumptions!$B$5+T1347*Assumptions!$B$6,0)</f>
        <v>68</v>
      </c>
      <c r="V1347" s="8" t="str">
        <f aca="false">IF(U1347&gt;=Assumptions!$B$10,"Healthy",IF(U1347&gt;=Assumptions!$B$11,"Needs Attention","High Risk"))</f>
        <v>Needs Attention</v>
      </c>
    </row>
    <row r="1348" customFormat="false" ht="15" hidden="false" customHeight="false" outlineLevel="0" collapsed="false">
      <c r="A1348" s="8" t="s">
        <v>2838</v>
      </c>
      <c r="B1348" s="8" t="s">
        <v>2839</v>
      </c>
      <c r="C1348" s="8" t="s">
        <v>51</v>
      </c>
      <c r="D1348" s="8" t="s">
        <v>2027</v>
      </c>
      <c r="E1348" s="8" t="s">
        <v>123</v>
      </c>
      <c r="F1348" s="8" t="s">
        <v>166</v>
      </c>
      <c r="G1348" s="8" t="s">
        <v>159</v>
      </c>
      <c r="H1348" s="15" t="n">
        <v>384</v>
      </c>
      <c r="I1348" s="15" t="n">
        <v>384</v>
      </c>
      <c r="J1348" s="16" t="n">
        <v>0.875</v>
      </c>
      <c r="K1348" s="8" t="n">
        <v>8.3</v>
      </c>
      <c r="L1348" s="8" t="n">
        <v>10</v>
      </c>
      <c r="M1348" s="8" t="n">
        <v>1</v>
      </c>
      <c r="N1348" s="8" t="s">
        <v>120</v>
      </c>
      <c r="O1348" s="15" t="n">
        <f aca="false">H1348*12</f>
        <v>4608</v>
      </c>
      <c r="P1348" s="8" t="n">
        <f aca="false">MIN(100,ROUND(100*J1348/Assumptions!$B$8,0))</f>
        <v>97</v>
      </c>
      <c r="Q1348" s="8" t="n">
        <f aca="false">IF(L1348="",Assumptions!$B$9,L1348*10)</f>
        <v>100</v>
      </c>
      <c r="R1348" s="8" t="n">
        <f aca="false">IF(M1348&lt;=1,Assumptions!$B$12,IF(M1348&lt;=3,Assumptions!$B$13,IF(M1348&lt;=6,Assumptions!$B$14,Assumptions!$B$15)))</f>
        <v>100</v>
      </c>
      <c r="S1348" s="8" t="n">
        <f aca="false">IF(N1348="Completed On Time",Assumptions!$B$16,IF(N1348="Completed Late",Assumptions!$B$17,Assumptions!$B$18))</f>
        <v>100</v>
      </c>
      <c r="T1348" s="8" t="n">
        <f aca="false">IF(I1348=0,Assumptions!$B$20,IF(H1348&gt;I1348,Assumptions!$B$19,IF(H1348=I1348,Assumptions!$B$20,Assumptions!$B$21)))</f>
        <v>70</v>
      </c>
      <c r="U1348" s="8" t="n">
        <f aca="false">ROUND(P1348*Assumptions!$B$2+Q1348*Assumptions!$B$3+R1348*Assumptions!$B$4+S1348*Assumptions!$B$5+T1348*Assumptions!$B$6,0)</f>
        <v>93</v>
      </c>
      <c r="V1348" s="8" t="str">
        <f aca="false">IF(U1348&gt;=Assumptions!$B$10,"Healthy",IF(U1348&gt;=Assumptions!$B$11,"Needs Attention","High Risk"))</f>
        <v>Healthy</v>
      </c>
    </row>
    <row r="1349" customFormat="false" ht="15" hidden="false" customHeight="false" outlineLevel="0" collapsed="false">
      <c r="A1349" s="8" t="s">
        <v>2840</v>
      </c>
      <c r="B1349" s="8" t="s">
        <v>2841</v>
      </c>
      <c r="C1349" s="8" t="s">
        <v>51</v>
      </c>
      <c r="D1349" s="8" t="s">
        <v>2027</v>
      </c>
      <c r="E1349" s="8" t="s">
        <v>123</v>
      </c>
      <c r="F1349" s="8" t="s">
        <v>154</v>
      </c>
      <c r="G1349" s="8" t="s">
        <v>177</v>
      </c>
      <c r="H1349" s="15" t="n">
        <v>384</v>
      </c>
      <c r="I1349" s="15" t="n">
        <v>384</v>
      </c>
      <c r="J1349" s="16" t="n">
        <v>0.813</v>
      </c>
      <c r="K1349" s="8" t="n">
        <v>7.3</v>
      </c>
      <c r="L1349" s="8" t="n">
        <v>9</v>
      </c>
      <c r="M1349" s="8" t="n">
        <v>4</v>
      </c>
      <c r="N1349" s="8" t="s">
        <v>120</v>
      </c>
      <c r="O1349" s="15" t="n">
        <f aca="false">H1349*12</f>
        <v>4608</v>
      </c>
      <c r="P1349" s="8" t="n">
        <f aca="false">MIN(100,ROUND(100*J1349/Assumptions!$B$8,0))</f>
        <v>90</v>
      </c>
      <c r="Q1349" s="8" t="n">
        <f aca="false">IF(L1349="",Assumptions!$B$9,L1349*10)</f>
        <v>90</v>
      </c>
      <c r="R1349" s="8" t="n">
        <f aca="false">IF(M1349&lt;=1,Assumptions!$B$12,IF(M1349&lt;=3,Assumptions!$B$13,IF(M1349&lt;=6,Assumptions!$B$14,Assumptions!$B$15)))</f>
        <v>50</v>
      </c>
      <c r="S1349" s="8" t="n">
        <f aca="false">IF(N1349="Completed On Time",Assumptions!$B$16,IF(N1349="Completed Late",Assumptions!$B$17,Assumptions!$B$18))</f>
        <v>100</v>
      </c>
      <c r="T1349" s="8" t="n">
        <f aca="false">IF(I1349=0,Assumptions!$B$20,IF(H1349&gt;I1349,Assumptions!$B$19,IF(H1349=I1349,Assumptions!$B$20,Assumptions!$B$21)))</f>
        <v>70</v>
      </c>
      <c r="U1349" s="8" t="n">
        <f aca="false">ROUND(P1349*Assumptions!$B$2+Q1349*Assumptions!$B$3+R1349*Assumptions!$B$4+S1349*Assumptions!$B$5+T1349*Assumptions!$B$6,0)</f>
        <v>81</v>
      </c>
      <c r="V1349" s="8" t="str">
        <f aca="false">IF(U1349&gt;=Assumptions!$B$10,"Healthy",IF(U1349&gt;=Assumptions!$B$11,"Needs Attention","High Risk"))</f>
        <v>Healthy</v>
      </c>
    </row>
    <row r="1350" customFormat="false" ht="15" hidden="false" customHeight="false" outlineLevel="0" collapsed="false">
      <c r="A1350" s="8" t="s">
        <v>2842</v>
      </c>
      <c r="B1350" s="8" t="s">
        <v>2843</v>
      </c>
      <c r="C1350" s="8" t="s">
        <v>51</v>
      </c>
      <c r="D1350" s="8" t="s">
        <v>2027</v>
      </c>
      <c r="E1350" s="8" t="s">
        <v>123</v>
      </c>
      <c r="F1350" s="8" t="s">
        <v>124</v>
      </c>
      <c r="G1350" s="8" t="s">
        <v>177</v>
      </c>
      <c r="H1350" s="15" t="n">
        <v>384</v>
      </c>
      <c r="I1350" s="15" t="n">
        <v>300</v>
      </c>
      <c r="J1350" s="16" t="n">
        <v>0.708</v>
      </c>
      <c r="K1350" s="8" t="n">
        <v>7.3</v>
      </c>
      <c r="L1350" s="8" t="n">
        <v>9</v>
      </c>
      <c r="M1350" s="8" t="n">
        <v>1</v>
      </c>
      <c r="N1350" s="8" t="s">
        <v>120</v>
      </c>
      <c r="O1350" s="15" t="n">
        <f aca="false">H1350*12</f>
        <v>4608</v>
      </c>
      <c r="P1350" s="8" t="n">
        <f aca="false">MIN(100,ROUND(100*J1350/Assumptions!$B$8,0))</f>
        <v>79</v>
      </c>
      <c r="Q1350" s="8" t="n">
        <f aca="false">IF(L1350="",Assumptions!$B$9,L1350*10)</f>
        <v>90</v>
      </c>
      <c r="R1350" s="8" t="n">
        <f aca="false">IF(M1350&lt;=1,Assumptions!$B$12,IF(M1350&lt;=3,Assumptions!$B$13,IF(M1350&lt;=6,Assumptions!$B$14,Assumptions!$B$15)))</f>
        <v>100</v>
      </c>
      <c r="S1350" s="8" t="n">
        <f aca="false">IF(N1350="Completed On Time",Assumptions!$B$16,IF(N1350="Completed Late",Assumptions!$B$17,Assumptions!$B$18))</f>
        <v>100</v>
      </c>
      <c r="T1350" s="8" t="n">
        <f aca="false">IF(I1350=0,Assumptions!$B$20,IF(H1350&gt;I1350,Assumptions!$B$19,IF(H1350=I1350,Assumptions!$B$20,Assumptions!$B$21)))</f>
        <v>100</v>
      </c>
      <c r="U1350" s="8" t="n">
        <f aca="false">ROUND(P1350*Assumptions!$B$2+Q1350*Assumptions!$B$3+R1350*Assumptions!$B$4+S1350*Assumptions!$B$5+T1350*Assumptions!$B$6,0)</f>
        <v>91</v>
      </c>
      <c r="V1350" s="8" t="str">
        <f aca="false">IF(U1350&gt;=Assumptions!$B$10,"Healthy",IF(U1350&gt;=Assumptions!$B$11,"Needs Attention","High Risk"))</f>
        <v>Healthy</v>
      </c>
    </row>
    <row r="1351" customFormat="false" ht="15" hidden="false" customHeight="false" outlineLevel="0" collapsed="false">
      <c r="A1351" s="8" t="s">
        <v>2844</v>
      </c>
      <c r="B1351" s="8" t="s">
        <v>2845</v>
      </c>
      <c r="C1351" s="8" t="s">
        <v>51</v>
      </c>
      <c r="D1351" s="8" t="s">
        <v>2027</v>
      </c>
      <c r="E1351" s="8" t="s">
        <v>123</v>
      </c>
      <c r="F1351" s="8" t="s">
        <v>223</v>
      </c>
      <c r="G1351" s="8" t="s">
        <v>144</v>
      </c>
      <c r="H1351" s="15" t="n">
        <v>384</v>
      </c>
      <c r="I1351" s="15" t="n">
        <v>384</v>
      </c>
      <c r="J1351" s="16" t="n">
        <v>0.646</v>
      </c>
      <c r="K1351" s="8" t="n">
        <v>9.3</v>
      </c>
      <c r="L1351" s="8" t="n">
        <v>6</v>
      </c>
      <c r="M1351" s="8" t="n">
        <v>4</v>
      </c>
      <c r="N1351" s="8" t="s">
        <v>120</v>
      </c>
      <c r="O1351" s="15" t="n">
        <f aca="false">H1351*12</f>
        <v>4608</v>
      </c>
      <c r="P1351" s="8" t="n">
        <f aca="false">MIN(100,ROUND(100*J1351/Assumptions!$B$8,0))</f>
        <v>72</v>
      </c>
      <c r="Q1351" s="8" t="n">
        <f aca="false">IF(L1351="",Assumptions!$B$9,L1351*10)</f>
        <v>60</v>
      </c>
      <c r="R1351" s="8" t="n">
        <f aca="false">IF(M1351&lt;=1,Assumptions!$B$12,IF(M1351&lt;=3,Assumptions!$B$13,IF(M1351&lt;=6,Assumptions!$B$14,Assumptions!$B$15)))</f>
        <v>50</v>
      </c>
      <c r="S1351" s="8" t="n">
        <f aca="false">IF(N1351="Completed On Time",Assumptions!$B$16,IF(N1351="Completed Late",Assumptions!$B$17,Assumptions!$B$18))</f>
        <v>100</v>
      </c>
      <c r="T1351" s="8" t="n">
        <f aca="false">IF(I1351=0,Assumptions!$B$20,IF(H1351&gt;I1351,Assumptions!$B$19,IF(H1351=I1351,Assumptions!$B$20,Assumptions!$B$21)))</f>
        <v>70</v>
      </c>
      <c r="U1351" s="8" t="n">
        <f aca="false">ROUND(P1351*Assumptions!$B$2+Q1351*Assumptions!$B$3+R1351*Assumptions!$B$4+S1351*Assumptions!$B$5+T1351*Assumptions!$B$6,0)</f>
        <v>69</v>
      </c>
      <c r="V1351" s="8" t="str">
        <f aca="false">IF(U1351&gt;=Assumptions!$B$10,"Healthy",IF(U1351&gt;=Assumptions!$B$11,"Needs Attention","High Risk"))</f>
        <v>Needs Attention</v>
      </c>
    </row>
    <row r="1352" customFormat="false" ht="15" hidden="false" customHeight="false" outlineLevel="0" collapsed="false">
      <c r="A1352" s="8" t="s">
        <v>2846</v>
      </c>
      <c r="B1352" s="8" t="s">
        <v>2847</v>
      </c>
      <c r="C1352" s="8" t="s">
        <v>51</v>
      </c>
      <c r="D1352" s="8" t="s">
        <v>2027</v>
      </c>
      <c r="E1352" s="8" t="s">
        <v>132</v>
      </c>
      <c r="F1352" s="8" t="s">
        <v>143</v>
      </c>
      <c r="G1352" s="8" t="s">
        <v>159</v>
      </c>
      <c r="H1352" s="15" t="n">
        <v>384</v>
      </c>
      <c r="I1352" s="15" t="n">
        <v>384</v>
      </c>
      <c r="J1352" s="16" t="n">
        <v>0.865</v>
      </c>
      <c r="K1352" s="8" t="n">
        <v>11</v>
      </c>
      <c r="L1352" s="8" t="n">
        <v>10</v>
      </c>
      <c r="M1352" s="8" t="n">
        <v>0</v>
      </c>
      <c r="N1352" s="8" t="s">
        <v>120</v>
      </c>
      <c r="O1352" s="15" t="n">
        <f aca="false">H1352*12</f>
        <v>4608</v>
      </c>
      <c r="P1352" s="8" t="n">
        <f aca="false">MIN(100,ROUND(100*J1352/Assumptions!$B$8,0))</f>
        <v>96</v>
      </c>
      <c r="Q1352" s="8" t="n">
        <f aca="false">IF(L1352="",Assumptions!$B$9,L1352*10)</f>
        <v>100</v>
      </c>
      <c r="R1352" s="8" t="n">
        <f aca="false">IF(M1352&lt;=1,Assumptions!$B$12,IF(M1352&lt;=3,Assumptions!$B$13,IF(M1352&lt;=6,Assumptions!$B$14,Assumptions!$B$15)))</f>
        <v>100</v>
      </c>
      <c r="S1352" s="8" t="n">
        <f aca="false">IF(N1352="Completed On Time",Assumptions!$B$16,IF(N1352="Completed Late",Assumptions!$B$17,Assumptions!$B$18))</f>
        <v>100</v>
      </c>
      <c r="T1352" s="8" t="n">
        <f aca="false">IF(I1352=0,Assumptions!$B$20,IF(H1352&gt;I1352,Assumptions!$B$19,IF(H1352=I1352,Assumptions!$B$20,Assumptions!$B$21)))</f>
        <v>70</v>
      </c>
      <c r="U1352" s="8" t="n">
        <f aca="false">ROUND(P1352*Assumptions!$B$2+Q1352*Assumptions!$B$3+R1352*Assumptions!$B$4+S1352*Assumptions!$B$5+T1352*Assumptions!$B$6,0)</f>
        <v>93</v>
      </c>
      <c r="V1352" s="8" t="str">
        <f aca="false">IF(U1352&gt;=Assumptions!$B$10,"Healthy",IF(U1352&gt;=Assumptions!$B$11,"Needs Attention","High Risk"))</f>
        <v>Healthy</v>
      </c>
    </row>
    <row r="1353" customFormat="false" ht="15" hidden="false" customHeight="false" outlineLevel="0" collapsed="false">
      <c r="A1353" s="8" t="s">
        <v>2848</v>
      </c>
      <c r="B1353" s="8" t="s">
        <v>2849</v>
      </c>
      <c r="C1353" s="8" t="s">
        <v>51</v>
      </c>
      <c r="D1353" s="8" t="s">
        <v>2027</v>
      </c>
      <c r="E1353" s="8" t="s">
        <v>117</v>
      </c>
      <c r="F1353" s="8" t="s">
        <v>124</v>
      </c>
      <c r="G1353" s="8" t="s">
        <v>137</v>
      </c>
      <c r="H1353" s="15" t="n">
        <v>384</v>
      </c>
      <c r="I1353" s="15" t="n">
        <v>384</v>
      </c>
      <c r="J1353" s="16" t="n">
        <v>0.865</v>
      </c>
      <c r="K1353" s="8" t="n">
        <v>11</v>
      </c>
      <c r="L1353" s="8" t="n">
        <v>10</v>
      </c>
      <c r="M1353" s="8" t="n">
        <v>2</v>
      </c>
      <c r="N1353" s="8" t="s">
        <v>120</v>
      </c>
      <c r="O1353" s="15" t="n">
        <f aca="false">H1353*12</f>
        <v>4608</v>
      </c>
      <c r="P1353" s="8" t="n">
        <f aca="false">MIN(100,ROUND(100*J1353/Assumptions!$B$8,0))</f>
        <v>96</v>
      </c>
      <c r="Q1353" s="8" t="n">
        <f aca="false">IF(L1353="",Assumptions!$B$9,L1353*10)</f>
        <v>100</v>
      </c>
      <c r="R1353" s="8" t="n">
        <f aca="false">IF(M1353&lt;=1,Assumptions!$B$12,IF(M1353&lt;=3,Assumptions!$B$13,IF(M1353&lt;=6,Assumptions!$B$14,Assumptions!$B$15)))</f>
        <v>75</v>
      </c>
      <c r="S1353" s="8" t="n">
        <f aca="false">IF(N1353="Completed On Time",Assumptions!$B$16,IF(N1353="Completed Late",Assumptions!$B$17,Assumptions!$B$18))</f>
        <v>100</v>
      </c>
      <c r="T1353" s="8" t="n">
        <f aca="false">IF(I1353=0,Assumptions!$B$20,IF(H1353&gt;I1353,Assumptions!$B$19,IF(H1353=I1353,Assumptions!$B$20,Assumptions!$B$21)))</f>
        <v>70</v>
      </c>
      <c r="U1353" s="8" t="n">
        <f aca="false">ROUND(P1353*Assumptions!$B$2+Q1353*Assumptions!$B$3+R1353*Assumptions!$B$4+S1353*Assumptions!$B$5+T1353*Assumptions!$B$6,0)</f>
        <v>89</v>
      </c>
      <c r="V1353" s="8" t="str">
        <f aca="false">IF(U1353&gt;=Assumptions!$B$10,"Healthy",IF(U1353&gt;=Assumptions!$B$11,"Needs Attention","High Risk"))</f>
        <v>Healthy</v>
      </c>
    </row>
    <row r="1354" customFormat="false" ht="15" hidden="false" customHeight="false" outlineLevel="0" collapsed="false">
      <c r="A1354" s="8" t="s">
        <v>2850</v>
      </c>
      <c r="B1354" s="8" t="s">
        <v>2851</v>
      </c>
      <c r="C1354" s="8" t="s">
        <v>51</v>
      </c>
      <c r="D1354" s="8" t="s">
        <v>2027</v>
      </c>
      <c r="E1354" s="8" t="s">
        <v>132</v>
      </c>
      <c r="F1354" s="8" t="s">
        <v>190</v>
      </c>
      <c r="G1354" s="8" t="s">
        <v>144</v>
      </c>
      <c r="H1354" s="15" t="n">
        <v>384</v>
      </c>
      <c r="I1354" s="15" t="n">
        <v>384</v>
      </c>
      <c r="J1354" s="16" t="n">
        <v>0.656</v>
      </c>
      <c r="K1354" s="8" t="n">
        <v>7.7</v>
      </c>
      <c r="L1354" s="8" t="n">
        <v>7</v>
      </c>
      <c r="M1354" s="8" t="n">
        <v>2</v>
      </c>
      <c r="N1354" s="8" t="s">
        <v>120</v>
      </c>
      <c r="O1354" s="15" t="n">
        <f aca="false">H1354*12</f>
        <v>4608</v>
      </c>
      <c r="P1354" s="8" t="n">
        <f aca="false">MIN(100,ROUND(100*J1354/Assumptions!$B$8,0))</f>
        <v>73</v>
      </c>
      <c r="Q1354" s="8" t="n">
        <f aca="false">IF(L1354="",Assumptions!$B$9,L1354*10)</f>
        <v>70</v>
      </c>
      <c r="R1354" s="8" t="n">
        <f aca="false">IF(M1354&lt;=1,Assumptions!$B$12,IF(M1354&lt;=3,Assumptions!$B$13,IF(M1354&lt;=6,Assumptions!$B$14,Assumptions!$B$15)))</f>
        <v>75</v>
      </c>
      <c r="S1354" s="8" t="n">
        <f aca="false">IF(N1354="Completed On Time",Assumptions!$B$16,IF(N1354="Completed Late",Assumptions!$B$17,Assumptions!$B$18))</f>
        <v>100</v>
      </c>
      <c r="T1354" s="8" t="n">
        <f aca="false">IF(I1354=0,Assumptions!$B$20,IF(H1354&gt;I1354,Assumptions!$B$19,IF(H1354=I1354,Assumptions!$B$20,Assumptions!$B$21)))</f>
        <v>70</v>
      </c>
      <c r="U1354" s="8" t="n">
        <f aca="false">ROUND(P1354*Assumptions!$B$2+Q1354*Assumptions!$B$3+R1354*Assumptions!$B$4+S1354*Assumptions!$B$5+T1354*Assumptions!$B$6,0)</f>
        <v>75</v>
      </c>
      <c r="V1354" s="8" t="str">
        <f aca="false">IF(U1354&gt;=Assumptions!$B$10,"Healthy",IF(U1354&gt;=Assumptions!$B$11,"Needs Attention","High Risk"))</f>
        <v>Needs Attention</v>
      </c>
    </row>
    <row r="1355" customFormat="false" ht="15" hidden="false" customHeight="false" outlineLevel="0" collapsed="false">
      <c r="A1355" s="8" t="s">
        <v>2852</v>
      </c>
      <c r="B1355" s="8" t="s">
        <v>2853</v>
      </c>
      <c r="C1355" s="8" t="s">
        <v>51</v>
      </c>
      <c r="D1355" s="8" t="s">
        <v>2027</v>
      </c>
      <c r="E1355" s="8" t="s">
        <v>123</v>
      </c>
      <c r="F1355" s="8" t="s">
        <v>190</v>
      </c>
      <c r="G1355" s="8" t="s">
        <v>119</v>
      </c>
      <c r="H1355" s="15" t="n">
        <v>384</v>
      </c>
      <c r="I1355" s="15" t="n">
        <v>384</v>
      </c>
      <c r="J1355" s="16" t="n">
        <v>0.729</v>
      </c>
      <c r="K1355" s="8" t="n">
        <v>12</v>
      </c>
      <c r="L1355" s="8" t="n">
        <v>10</v>
      </c>
      <c r="M1355" s="8" t="n">
        <v>3</v>
      </c>
      <c r="N1355" s="8" t="s">
        <v>120</v>
      </c>
      <c r="O1355" s="15" t="n">
        <f aca="false">H1355*12</f>
        <v>4608</v>
      </c>
      <c r="P1355" s="8" t="n">
        <f aca="false">MIN(100,ROUND(100*J1355/Assumptions!$B$8,0))</f>
        <v>81</v>
      </c>
      <c r="Q1355" s="8" t="n">
        <f aca="false">IF(L1355="",Assumptions!$B$9,L1355*10)</f>
        <v>100</v>
      </c>
      <c r="R1355" s="8" t="n">
        <f aca="false">IF(M1355&lt;=1,Assumptions!$B$12,IF(M1355&lt;=3,Assumptions!$B$13,IF(M1355&lt;=6,Assumptions!$B$14,Assumptions!$B$15)))</f>
        <v>75</v>
      </c>
      <c r="S1355" s="8" t="n">
        <f aca="false">IF(N1355="Completed On Time",Assumptions!$B$16,IF(N1355="Completed Late",Assumptions!$B$17,Assumptions!$B$18))</f>
        <v>100</v>
      </c>
      <c r="T1355" s="8" t="n">
        <f aca="false">IF(I1355=0,Assumptions!$B$20,IF(H1355&gt;I1355,Assumptions!$B$19,IF(H1355=I1355,Assumptions!$B$20,Assumptions!$B$21)))</f>
        <v>70</v>
      </c>
      <c r="U1355" s="8" t="n">
        <f aca="false">ROUND(P1355*Assumptions!$B$2+Q1355*Assumptions!$B$3+R1355*Assumptions!$B$4+S1355*Assumptions!$B$5+T1355*Assumptions!$B$6,0)</f>
        <v>84</v>
      </c>
      <c r="V1355" s="8" t="str">
        <f aca="false">IF(U1355&gt;=Assumptions!$B$10,"Healthy",IF(U1355&gt;=Assumptions!$B$11,"Needs Attention","High Risk"))</f>
        <v>Healthy</v>
      </c>
    </row>
    <row r="1356" customFormat="false" ht="15" hidden="false" customHeight="false" outlineLevel="0" collapsed="false">
      <c r="A1356" s="8" t="s">
        <v>2854</v>
      </c>
      <c r="B1356" s="8" t="s">
        <v>2855</v>
      </c>
      <c r="C1356" s="8" t="s">
        <v>51</v>
      </c>
      <c r="D1356" s="8" t="s">
        <v>2027</v>
      </c>
      <c r="E1356" s="8" t="s">
        <v>128</v>
      </c>
      <c r="F1356" s="8" t="s">
        <v>133</v>
      </c>
      <c r="G1356" s="8" t="s">
        <v>140</v>
      </c>
      <c r="H1356" s="15" t="n">
        <v>384</v>
      </c>
      <c r="I1356" s="15" t="n">
        <v>384</v>
      </c>
      <c r="J1356" s="16" t="n">
        <v>0.885</v>
      </c>
      <c r="K1356" s="8" t="n">
        <v>8.7</v>
      </c>
      <c r="L1356" s="8" t="n">
        <v>10</v>
      </c>
      <c r="M1356" s="8" t="n">
        <v>1</v>
      </c>
      <c r="N1356" s="8" t="s">
        <v>120</v>
      </c>
      <c r="O1356" s="15" t="n">
        <f aca="false">H1356*12</f>
        <v>4608</v>
      </c>
      <c r="P1356" s="8" t="n">
        <f aca="false">MIN(100,ROUND(100*J1356/Assumptions!$B$8,0))</f>
        <v>98</v>
      </c>
      <c r="Q1356" s="8" t="n">
        <f aca="false">IF(L1356="",Assumptions!$B$9,L1356*10)</f>
        <v>100</v>
      </c>
      <c r="R1356" s="8" t="n">
        <f aca="false">IF(M1356&lt;=1,Assumptions!$B$12,IF(M1356&lt;=3,Assumptions!$B$13,IF(M1356&lt;=6,Assumptions!$B$14,Assumptions!$B$15)))</f>
        <v>100</v>
      </c>
      <c r="S1356" s="8" t="n">
        <f aca="false">IF(N1356="Completed On Time",Assumptions!$B$16,IF(N1356="Completed Late",Assumptions!$B$17,Assumptions!$B$18))</f>
        <v>100</v>
      </c>
      <c r="T1356" s="8" t="n">
        <f aca="false">IF(I1356=0,Assumptions!$B$20,IF(H1356&gt;I1356,Assumptions!$B$19,IF(H1356=I1356,Assumptions!$B$20,Assumptions!$B$21)))</f>
        <v>70</v>
      </c>
      <c r="U1356" s="8" t="n">
        <f aca="false">ROUND(P1356*Assumptions!$B$2+Q1356*Assumptions!$B$3+R1356*Assumptions!$B$4+S1356*Assumptions!$B$5+T1356*Assumptions!$B$6,0)</f>
        <v>93</v>
      </c>
      <c r="V1356" s="8" t="str">
        <f aca="false">IF(U1356&gt;=Assumptions!$B$10,"Healthy",IF(U1356&gt;=Assumptions!$B$11,"Needs Attention","High Risk"))</f>
        <v>Healthy</v>
      </c>
    </row>
    <row r="1357" customFormat="false" ht="15" hidden="false" customHeight="false" outlineLevel="0" collapsed="false">
      <c r="A1357" s="8" t="s">
        <v>2856</v>
      </c>
      <c r="B1357" s="8" t="s">
        <v>2857</v>
      </c>
      <c r="C1357" s="8" t="s">
        <v>51</v>
      </c>
      <c r="D1357" s="8" t="s">
        <v>2027</v>
      </c>
      <c r="E1357" s="8" t="s">
        <v>128</v>
      </c>
      <c r="F1357" s="8" t="s">
        <v>143</v>
      </c>
      <c r="G1357" s="8" t="s">
        <v>204</v>
      </c>
      <c r="H1357" s="15" t="n">
        <v>384</v>
      </c>
      <c r="I1357" s="15" t="n">
        <v>384</v>
      </c>
      <c r="J1357" s="16" t="n">
        <v>0.635</v>
      </c>
      <c r="K1357" s="8" t="n">
        <v>7.3</v>
      </c>
      <c r="L1357" s="8" t="n">
        <v>7</v>
      </c>
      <c r="M1357" s="8" t="n">
        <v>4</v>
      </c>
      <c r="N1357" s="8" t="s">
        <v>120</v>
      </c>
      <c r="O1357" s="15" t="n">
        <f aca="false">H1357*12</f>
        <v>4608</v>
      </c>
      <c r="P1357" s="8" t="n">
        <f aca="false">MIN(100,ROUND(100*J1357/Assumptions!$B$8,0))</f>
        <v>71</v>
      </c>
      <c r="Q1357" s="8" t="n">
        <f aca="false">IF(L1357="",Assumptions!$B$9,L1357*10)</f>
        <v>70</v>
      </c>
      <c r="R1357" s="8" t="n">
        <f aca="false">IF(M1357&lt;=1,Assumptions!$B$12,IF(M1357&lt;=3,Assumptions!$B$13,IF(M1357&lt;=6,Assumptions!$B$14,Assumptions!$B$15)))</f>
        <v>50</v>
      </c>
      <c r="S1357" s="8" t="n">
        <f aca="false">IF(N1357="Completed On Time",Assumptions!$B$16,IF(N1357="Completed Late",Assumptions!$B$17,Assumptions!$B$18))</f>
        <v>100</v>
      </c>
      <c r="T1357" s="8" t="n">
        <f aca="false">IF(I1357=0,Assumptions!$B$20,IF(H1357&gt;I1357,Assumptions!$B$19,IF(H1357=I1357,Assumptions!$B$20,Assumptions!$B$21)))</f>
        <v>70</v>
      </c>
      <c r="U1357" s="8" t="n">
        <f aca="false">ROUND(P1357*Assumptions!$B$2+Q1357*Assumptions!$B$3+R1357*Assumptions!$B$4+S1357*Assumptions!$B$5+T1357*Assumptions!$B$6,0)</f>
        <v>70</v>
      </c>
      <c r="V1357" s="8" t="str">
        <f aca="false">IF(U1357&gt;=Assumptions!$B$10,"Healthy",IF(U1357&gt;=Assumptions!$B$11,"Needs Attention","High Risk"))</f>
        <v>Needs Attention</v>
      </c>
    </row>
    <row r="1358" customFormat="false" ht="15" hidden="false" customHeight="false" outlineLevel="0" collapsed="false">
      <c r="A1358" s="8" t="s">
        <v>2858</v>
      </c>
      <c r="B1358" s="8" t="s">
        <v>2859</v>
      </c>
      <c r="C1358" s="8" t="s">
        <v>51</v>
      </c>
      <c r="D1358" s="8" t="s">
        <v>2027</v>
      </c>
      <c r="E1358" s="8" t="s">
        <v>117</v>
      </c>
      <c r="F1358" s="8" t="s">
        <v>166</v>
      </c>
      <c r="G1358" s="8" t="s">
        <v>144</v>
      </c>
      <c r="H1358" s="15" t="n">
        <v>384</v>
      </c>
      <c r="I1358" s="15" t="n">
        <v>384</v>
      </c>
      <c r="J1358" s="16" t="n">
        <v>0.823</v>
      </c>
      <c r="K1358" s="8" t="n">
        <v>9.7</v>
      </c>
      <c r="L1358" s="8" t="n">
        <v>9</v>
      </c>
      <c r="M1358" s="8" t="n">
        <v>4</v>
      </c>
      <c r="N1358" s="8" t="s">
        <v>120</v>
      </c>
      <c r="O1358" s="15" t="n">
        <f aca="false">H1358*12</f>
        <v>4608</v>
      </c>
      <c r="P1358" s="8" t="n">
        <f aca="false">MIN(100,ROUND(100*J1358/Assumptions!$B$8,0))</f>
        <v>91</v>
      </c>
      <c r="Q1358" s="8" t="n">
        <f aca="false">IF(L1358="",Assumptions!$B$9,L1358*10)</f>
        <v>90</v>
      </c>
      <c r="R1358" s="8" t="n">
        <f aca="false">IF(M1358&lt;=1,Assumptions!$B$12,IF(M1358&lt;=3,Assumptions!$B$13,IF(M1358&lt;=6,Assumptions!$B$14,Assumptions!$B$15)))</f>
        <v>50</v>
      </c>
      <c r="S1358" s="8" t="n">
        <f aca="false">IF(N1358="Completed On Time",Assumptions!$B$16,IF(N1358="Completed Late",Assumptions!$B$17,Assumptions!$B$18))</f>
        <v>100</v>
      </c>
      <c r="T1358" s="8" t="n">
        <f aca="false">IF(I1358=0,Assumptions!$B$20,IF(H1358&gt;I1358,Assumptions!$B$19,IF(H1358=I1358,Assumptions!$B$20,Assumptions!$B$21)))</f>
        <v>70</v>
      </c>
      <c r="U1358" s="8" t="n">
        <f aca="false">ROUND(P1358*Assumptions!$B$2+Q1358*Assumptions!$B$3+R1358*Assumptions!$B$4+S1358*Assumptions!$B$5+T1358*Assumptions!$B$6,0)</f>
        <v>81</v>
      </c>
      <c r="V1358" s="8" t="str">
        <f aca="false">IF(U1358&gt;=Assumptions!$B$10,"Healthy",IF(U1358&gt;=Assumptions!$B$11,"Needs Attention","High Risk"))</f>
        <v>Healthy</v>
      </c>
    </row>
    <row r="1359" customFormat="false" ht="15" hidden="false" customHeight="false" outlineLevel="0" collapsed="false">
      <c r="A1359" s="8" t="s">
        <v>2860</v>
      </c>
      <c r="B1359" s="8" t="s">
        <v>2861</v>
      </c>
      <c r="C1359" s="8" t="s">
        <v>51</v>
      </c>
      <c r="D1359" s="8" t="s">
        <v>2027</v>
      </c>
      <c r="E1359" s="8" t="s">
        <v>123</v>
      </c>
      <c r="F1359" s="8" t="s">
        <v>133</v>
      </c>
      <c r="G1359" s="8" t="s">
        <v>144</v>
      </c>
      <c r="H1359" s="15" t="n">
        <v>384</v>
      </c>
      <c r="I1359" s="15" t="n">
        <v>384</v>
      </c>
      <c r="J1359" s="16" t="n">
        <v>0.708</v>
      </c>
      <c r="K1359" s="8" t="n">
        <v>10.3</v>
      </c>
      <c r="L1359" s="8" t="n">
        <v>7</v>
      </c>
      <c r="M1359" s="8" t="n">
        <v>1</v>
      </c>
      <c r="N1359" s="8" t="s">
        <v>120</v>
      </c>
      <c r="O1359" s="15" t="n">
        <f aca="false">H1359*12</f>
        <v>4608</v>
      </c>
      <c r="P1359" s="8" t="n">
        <f aca="false">MIN(100,ROUND(100*J1359/Assumptions!$B$8,0))</f>
        <v>79</v>
      </c>
      <c r="Q1359" s="8" t="n">
        <f aca="false">IF(L1359="",Assumptions!$B$9,L1359*10)</f>
        <v>70</v>
      </c>
      <c r="R1359" s="8" t="n">
        <f aca="false">IF(M1359&lt;=1,Assumptions!$B$12,IF(M1359&lt;=3,Assumptions!$B$13,IF(M1359&lt;=6,Assumptions!$B$14,Assumptions!$B$15)))</f>
        <v>100</v>
      </c>
      <c r="S1359" s="8" t="n">
        <f aca="false">IF(N1359="Completed On Time",Assumptions!$B$16,IF(N1359="Completed Late",Assumptions!$B$17,Assumptions!$B$18))</f>
        <v>100</v>
      </c>
      <c r="T1359" s="8" t="n">
        <f aca="false">IF(I1359=0,Assumptions!$B$20,IF(H1359&gt;I1359,Assumptions!$B$19,IF(H1359=I1359,Assumptions!$B$20,Assumptions!$B$21)))</f>
        <v>70</v>
      </c>
      <c r="U1359" s="8" t="n">
        <f aca="false">ROUND(P1359*Assumptions!$B$2+Q1359*Assumptions!$B$3+R1359*Assumptions!$B$4+S1359*Assumptions!$B$5+T1359*Assumptions!$B$6,0)</f>
        <v>81</v>
      </c>
      <c r="V1359" s="8" t="str">
        <f aca="false">IF(U1359&gt;=Assumptions!$B$10,"Healthy",IF(U1359&gt;=Assumptions!$B$11,"Needs Attention","High Risk"))</f>
        <v>Healthy</v>
      </c>
    </row>
    <row r="1360" customFormat="false" ht="15" hidden="false" customHeight="false" outlineLevel="0" collapsed="false">
      <c r="A1360" s="8" t="s">
        <v>2862</v>
      </c>
      <c r="B1360" s="8" t="s">
        <v>2863</v>
      </c>
      <c r="C1360" s="8" t="s">
        <v>51</v>
      </c>
      <c r="D1360" s="8" t="s">
        <v>2027</v>
      </c>
      <c r="E1360" s="8" t="s">
        <v>132</v>
      </c>
      <c r="F1360" s="8" t="s">
        <v>143</v>
      </c>
      <c r="G1360" s="8" t="s">
        <v>185</v>
      </c>
      <c r="H1360" s="15" t="n">
        <v>384</v>
      </c>
      <c r="I1360" s="15" t="n">
        <v>384</v>
      </c>
      <c r="J1360" s="16" t="n">
        <v>0.583</v>
      </c>
      <c r="K1360" s="8" t="n">
        <v>6</v>
      </c>
      <c r="L1360" s="8" t="n">
        <v>2</v>
      </c>
      <c r="M1360" s="8" t="n">
        <v>1</v>
      </c>
      <c r="N1360" s="8" t="s">
        <v>120</v>
      </c>
      <c r="O1360" s="15" t="n">
        <f aca="false">H1360*12</f>
        <v>4608</v>
      </c>
      <c r="P1360" s="8" t="n">
        <f aca="false">MIN(100,ROUND(100*J1360/Assumptions!$B$8,0))</f>
        <v>65</v>
      </c>
      <c r="Q1360" s="8" t="n">
        <f aca="false">IF(L1360="",Assumptions!$B$9,L1360*10)</f>
        <v>20</v>
      </c>
      <c r="R1360" s="8" t="n">
        <f aca="false">IF(M1360&lt;=1,Assumptions!$B$12,IF(M1360&lt;=3,Assumptions!$B$13,IF(M1360&lt;=6,Assumptions!$B$14,Assumptions!$B$15)))</f>
        <v>100</v>
      </c>
      <c r="S1360" s="8" t="n">
        <f aca="false">IF(N1360="Completed On Time",Assumptions!$B$16,IF(N1360="Completed Late",Assumptions!$B$17,Assumptions!$B$18))</f>
        <v>100</v>
      </c>
      <c r="T1360" s="8" t="n">
        <f aca="false">IF(I1360=0,Assumptions!$B$20,IF(H1360&gt;I1360,Assumptions!$B$19,IF(H1360=I1360,Assumptions!$B$20,Assumptions!$B$21)))</f>
        <v>70</v>
      </c>
      <c r="U1360" s="8" t="n">
        <f aca="false">ROUND(P1360*Assumptions!$B$2+Q1360*Assumptions!$B$3+R1360*Assumptions!$B$4+S1360*Assumptions!$B$5+T1360*Assumptions!$B$6,0)</f>
        <v>66</v>
      </c>
      <c r="V1360" s="8" t="str">
        <f aca="false">IF(U1360&gt;=Assumptions!$B$10,"Healthy",IF(U1360&gt;=Assumptions!$B$11,"Needs Attention","High Risk"))</f>
        <v>Needs Attention</v>
      </c>
    </row>
    <row r="1361" customFormat="false" ht="15" hidden="false" customHeight="false" outlineLevel="0" collapsed="false">
      <c r="A1361" s="8" t="s">
        <v>2864</v>
      </c>
      <c r="B1361" s="8" t="s">
        <v>2865</v>
      </c>
      <c r="C1361" s="8" t="s">
        <v>51</v>
      </c>
      <c r="D1361" s="8" t="s">
        <v>2027</v>
      </c>
      <c r="E1361" s="8" t="s">
        <v>123</v>
      </c>
      <c r="F1361" s="8" t="s">
        <v>133</v>
      </c>
      <c r="G1361" s="8" t="s">
        <v>129</v>
      </c>
      <c r="H1361" s="15" t="n">
        <v>384</v>
      </c>
      <c r="I1361" s="15" t="n">
        <v>384</v>
      </c>
      <c r="J1361" s="16" t="n">
        <v>0.781</v>
      </c>
      <c r="K1361" s="8" t="n">
        <v>9</v>
      </c>
      <c r="L1361" s="8" t="n">
        <v>7</v>
      </c>
      <c r="M1361" s="8" t="n">
        <v>1</v>
      </c>
      <c r="N1361" s="8" t="s">
        <v>120</v>
      </c>
      <c r="O1361" s="15" t="n">
        <f aca="false">H1361*12</f>
        <v>4608</v>
      </c>
      <c r="P1361" s="8" t="n">
        <f aca="false">MIN(100,ROUND(100*J1361/Assumptions!$B$8,0))</f>
        <v>87</v>
      </c>
      <c r="Q1361" s="8" t="n">
        <f aca="false">IF(L1361="",Assumptions!$B$9,L1361*10)</f>
        <v>70</v>
      </c>
      <c r="R1361" s="8" t="n">
        <f aca="false">IF(M1361&lt;=1,Assumptions!$B$12,IF(M1361&lt;=3,Assumptions!$B$13,IF(M1361&lt;=6,Assumptions!$B$14,Assumptions!$B$15)))</f>
        <v>100</v>
      </c>
      <c r="S1361" s="8" t="n">
        <f aca="false">IF(N1361="Completed On Time",Assumptions!$B$16,IF(N1361="Completed Late",Assumptions!$B$17,Assumptions!$B$18))</f>
        <v>100</v>
      </c>
      <c r="T1361" s="8" t="n">
        <f aca="false">IF(I1361=0,Assumptions!$B$20,IF(H1361&gt;I1361,Assumptions!$B$19,IF(H1361=I1361,Assumptions!$B$20,Assumptions!$B$21)))</f>
        <v>70</v>
      </c>
      <c r="U1361" s="8" t="n">
        <f aca="false">ROUND(P1361*Assumptions!$B$2+Q1361*Assumptions!$B$3+R1361*Assumptions!$B$4+S1361*Assumptions!$B$5+T1361*Assumptions!$B$6,0)</f>
        <v>83</v>
      </c>
      <c r="V1361" s="8" t="str">
        <f aca="false">IF(U1361&gt;=Assumptions!$B$10,"Healthy",IF(U1361&gt;=Assumptions!$B$11,"Needs Attention","High Risk"))</f>
        <v>Healthy</v>
      </c>
    </row>
    <row r="1362" customFormat="false" ht="15" hidden="false" customHeight="false" outlineLevel="0" collapsed="false">
      <c r="A1362" s="8" t="s">
        <v>2866</v>
      </c>
      <c r="B1362" s="8" t="s">
        <v>2867</v>
      </c>
      <c r="C1362" s="8" t="s">
        <v>51</v>
      </c>
      <c r="D1362" s="8" t="s">
        <v>2027</v>
      </c>
      <c r="E1362" s="8" t="s">
        <v>132</v>
      </c>
      <c r="F1362" s="8" t="s">
        <v>223</v>
      </c>
      <c r="G1362" s="8" t="s">
        <v>125</v>
      </c>
      <c r="H1362" s="15" t="n">
        <v>384</v>
      </c>
      <c r="I1362" s="15" t="n">
        <v>384</v>
      </c>
      <c r="J1362" s="16" t="n">
        <v>0.854</v>
      </c>
      <c r="K1362" s="8" t="n">
        <v>10</v>
      </c>
      <c r="L1362" s="8" t="n">
        <v>10</v>
      </c>
      <c r="M1362" s="8" t="n">
        <v>1</v>
      </c>
      <c r="N1362" s="8" t="s">
        <v>120</v>
      </c>
      <c r="O1362" s="15" t="n">
        <f aca="false">H1362*12</f>
        <v>4608</v>
      </c>
      <c r="P1362" s="8" t="n">
        <f aca="false">MIN(100,ROUND(100*J1362/Assumptions!$B$8,0))</f>
        <v>95</v>
      </c>
      <c r="Q1362" s="8" t="n">
        <f aca="false">IF(L1362="",Assumptions!$B$9,L1362*10)</f>
        <v>100</v>
      </c>
      <c r="R1362" s="8" t="n">
        <f aca="false">IF(M1362&lt;=1,Assumptions!$B$12,IF(M1362&lt;=3,Assumptions!$B$13,IF(M1362&lt;=6,Assumptions!$B$14,Assumptions!$B$15)))</f>
        <v>100</v>
      </c>
      <c r="S1362" s="8" t="n">
        <f aca="false">IF(N1362="Completed On Time",Assumptions!$B$16,IF(N1362="Completed Late",Assumptions!$B$17,Assumptions!$B$18))</f>
        <v>100</v>
      </c>
      <c r="T1362" s="8" t="n">
        <f aca="false">IF(I1362=0,Assumptions!$B$20,IF(H1362&gt;I1362,Assumptions!$B$19,IF(H1362=I1362,Assumptions!$B$20,Assumptions!$B$21)))</f>
        <v>70</v>
      </c>
      <c r="U1362" s="8" t="n">
        <f aca="false">ROUND(P1362*Assumptions!$B$2+Q1362*Assumptions!$B$3+R1362*Assumptions!$B$4+S1362*Assumptions!$B$5+T1362*Assumptions!$B$6,0)</f>
        <v>92</v>
      </c>
      <c r="V1362" s="8" t="str">
        <f aca="false">IF(U1362&gt;=Assumptions!$B$10,"Healthy",IF(U1362&gt;=Assumptions!$B$11,"Needs Attention","High Risk"))</f>
        <v>Healthy</v>
      </c>
    </row>
    <row r="1363" customFormat="false" ht="15" hidden="false" customHeight="false" outlineLevel="0" collapsed="false">
      <c r="A1363" s="8" t="s">
        <v>2868</v>
      </c>
      <c r="B1363" s="8" t="s">
        <v>2869</v>
      </c>
      <c r="C1363" s="8" t="s">
        <v>51</v>
      </c>
      <c r="D1363" s="8" t="s">
        <v>2027</v>
      </c>
      <c r="E1363" s="8" t="s">
        <v>123</v>
      </c>
      <c r="F1363" s="8" t="s">
        <v>166</v>
      </c>
      <c r="G1363" s="8" t="s">
        <v>177</v>
      </c>
      <c r="H1363" s="15" t="n">
        <v>384</v>
      </c>
      <c r="I1363" s="15" t="n">
        <v>384</v>
      </c>
      <c r="J1363" s="16" t="n">
        <v>0.885</v>
      </c>
      <c r="K1363" s="8" t="n">
        <v>11</v>
      </c>
      <c r="L1363" s="8" t="n">
        <v>10</v>
      </c>
      <c r="M1363" s="8" t="n">
        <v>3</v>
      </c>
      <c r="N1363" s="8" t="s">
        <v>120</v>
      </c>
      <c r="O1363" s="15" t="n">
        <f aca="false">H1363*12</f>
        <v>4608</v>
      </c>
      <c r="P1363" s="8" t="n">
        <f aca="false">MIN(100,ROUND(100*J1363/Assumptions!$B$8,0))</f>
        <v>98</v>
      </c>
      <c r="Q1363" s="8" t="n">
        <f aca="false">IF(L1363="",Assumptions!$B$9,L1363*10)</f>
        <v>100</v>
      </c>
      <c r="R1363" s="8" t="n">
        <f aca="false">IF(M1363&lt;=1,Assumptions!$B$12,IF(M1363&lt;=3,Assumptions!$B$13,IF(M1363&lt;=6,Assumptions!$B$14,Assumptions!$B$15)))</f>
        <v>75</v>
      </c>
      <c r="S1363" s="8" t="n">
        <f aca="false">IF(N1363="Completed On Time",Assumptions!$B$16,IF(N1363="Completed Late",Assumptions!$B$17,Assumptions!$B$18))</f>
        <v>100</v>
      </c>
      <c r="T1363" s="8" t="n">
        <f aca="false">IF(I1363=0,Assumptions!$B$20,IF(H1363&gt;I1363,Assumptions!$B$19,IF(H1363=I1363,Assumptions!$B$20,Assumptions!$B$21)))</f>
        <v>70</v>
      </c>
      <c r="U1363" s="8" t="n">
        <f aca="false">ROUND(P1363*Assumptions!$B$2+Q1363*Assumptions!$B$3+R1363*Assumptions!$B$4+S1363*Assumptions!$B$5+T1363*Assumptions!$B$6,0)</f>
        <v>90</v>
      </c>
      <c r="V1363" s="8" t="str">
        <f aca="false">IF(U1363&gt;=Assumptions!$B$10,"Healthy",IF(U1363&gt;=Assumptions!$B$11,"Needs Attention","High Risk"))</f>
        <v>Healthy</v>
      </c>
    </row>
    <row r="1364" customFormat="false" ht="15" hidden="false" customHeight="false" outlineLevel="0" collapsed="false">
      <c r="A1364" s="8" t="s">
        <v>2870</v>
      </c>
      <c r="B1364" s="8" t="s">
        <v>2871</v>
      </c>
      <c r="C1364" s="8" t="s">
        <v>51</v>
      </c>
      <c r="D1364" s="8" t="s">
        <v>2027</v>
      </c>
      <c r="E1364" s="8" t="s">
        <v>123</v>
      </c>
      <c r="F1364" s="8" t="s">
        <v>143</v>
      </c>
      <c r="G1364" s="8" t="s">
        <v>177</v>
      </c>
      <c r="H1364" s="15" t="n">
        <v>384</v>
      </c>
      <c r="I1364" s="15" t="n">
        <v>0</v>
      </c>
      <c r="J1364" s="16" t="n">
        <v>0.604</v>
      </c>
      <c r="K1364" s="8" t="n">
        <v>6.7</v>
      </c>
      <c r="L1364" s="8"/>
      <c r="M1364" s="8" t="n">
        <v>5</v>
      </c>
      <c r="N1364" s="8" t="s">
        <v>120</v>
      </c>
      <c r="O1364" s="15" t="n">
        <f aca="false">H1364*12</f>
        <v>4608</v>
      </c>
      <c r="P1364" s="8" t="n">
        <f aca="false">MIN(100,ROUND(100*J1364/Assumptions!$B$8,0))</f>
        <v>67</v>
      </c>
      <c r="Q1364" s="8" t="n">
        <f aca="false">IF(L1364="",Assumptions!$B$9,L1364*10)</f>
        <v>50</v>
      </c>
      <c r="R1364" s="8" t="n">
        <f aca="false">IF(M1364&lt;=1,Assumptions!$B$12,IF(M1364&lt;=3,Assumptions!$B$13,IF(M1364&lt;=6,Assumptions!$B$14,Assumptions!$B$15)))</f>
        <v>50</v>
      </c>
      <c r="S1364" s="8" t="n">
        <f aca="false">IF(N1364="Completed On Time",Assumptions!$B$16,IF(N1364="Completed Late",Assumptions!$B$17,Assumptions!$B$18))</f>
        <v>100</v>
      </c>
      <c r="T1364" s="8" t="n">
        <f aca="false">IF(I1364=0,Assumptions!$B$20,IF(H1364&gt;I1364,Assumptions!$B$19,IF(H1364=I1364,Assumptions!$B$20,Assumptions!$B$21)))</f>
        <v>70</v>
      </c>
      <c r="U1364" s="8" t="n">
        <f aca="false">ROUND(P1364*Assumptions!$B$2+Q1364*Assumptions!$B$3+R1364*Assumptions!$B$4+S1364*Assumptions!$B$5+T1364*Assumptions!$B$6,0)</f>
        <v>65</v>
      </c>
      <c r="V1364" s="8" t="str">
        <f aca="false">IF(U1364&gt;=Assumptions!$B$10,"Healthy",IF(U1364&gt;=Assumptions!$B$11,"Needs Attention","High Risk"))</f>
        <v>Needs Attention</v>
      </c>
    </row>
    <row r="1365" customFormat="false" ht="15" hidden="false" customHeight="false" outlineLevel="0" collapsed="false">
      <c r="A1365" s="8" t="s">
        <v>2872</v>
      </c>
      <c r="B1365" s="8" t="s">
        <v>2873</v>
      </c>
      <c r="C1365" s="8" t="s">
        <v>51</v>
      </c>
      <c r="D1365" s="8" t="s">
        <v>2027</v>
      </c>
      <c r="E1365" s="8" t="s">
        <v>123</v>
      </c>
      <c r="F1365" s="8" t="s">
        <v>143</v>
      </c>
      <c r="G1365" s="8" t="s">
        <v>185</v>
      </c>
      <c r="H1365" s="15" t="n">
        <v>384</v>
      </c>
      <c r="I1365" s="15" t="n">
        <v>384</v>
      </c>
      <c r="J1365" s="16" t="n">
        <v>0.771</v>
      </c>
      <c r="K1365" s="8" t="n">
        <v>10.3</v>
      </c>
      <c r="L1365" s="8" t="n">
        <v>10</v>
      </c>
      <c r="M1365" s="8" t="n">
        <v>2</v>
      </c>
      <c r="N1365" s="8" t="s">
        <v>120</v>
      </c>
      <c r="O1365" s="15" t="n">
        <f aca="false">H1365*12</f>
        <v>4608</v>
      </c>
      <c r="P1365" s="8" t="n">
        <f aca="false">MIN(100,ROUND(100*J1365/Assumptions!$B$8,0))</f>
        <v>86</v>
      </c>
      <c r="Q1365" s="8" t="n">
        <f aca="false">IF(L1365="",Assumptions!$B$9,L1365*10)</f>
        <v>100</v>
      </c>
      <c r="R1365" s="8" t="n">
        <f aca="false">IF(M1365&lt;=1,Assumptions!$B$12,IF(M1365&lt;=3,Assumptions!$B$13,IF(M1365&lt;=6,Assumptions!$B$14,Assumptions!$B$15)))</f>
        <v>75</v>
      </c>
      <c r="S1365" s="8" t="n">
        <f aca="false">IF(N1365="Completed On Time",Assumptions!$B$16,IF(N1365="Completed Late",Assumptions!$B$17,Assumptions!$B$18))</f>
        <v>100</v>
      </c>
      <c r="T1365" s="8" t="n">
        <f aca="false">IF(I1365=0,Assumptions!$B$20,IF(H1365&gt;I1365,Assumptions!$B$19,IF(H1365=I1365,Assumptions!$B$20,Assumptions!$B$21)))</f>
        <v>70</v>
      </c>
      <c r="U1365" s="8" t="n">
        <f aca="false">ROUND(P1365*Assumptions!$B$2+Q1365*Assumptions!$B$3+R1365*Assumptions!$B$4+S1365*Assumptions!$B$5+T1365*Assumptions!$B$6,0)</f>
        <v>85</v>
      </c>
      <c r="V1365" s="8" t="str">
        <f aca="false">IF(U1365&gt;=Assumptions!$B$10,"Healthy",IF(U1365&gt;=Assumptions!$B$11,"Needs Attention","High Risk"))</f>
        <v>Healthy</v>
      </c>
    </row>
    <row r="1366" customFormat="false" ht="15" hidden="false" customHeight="false" outlineLevel="0" collapsed="false">
      <c r="A1366" s="8" t="s">
        <v>2874</v>
      </c>
      <c r="B1366" s="8" t="s">
        <v>2875</v>
      </c>
      <c r="C1366" s="8" t="s">
        <v>51</v>
      </c>
      <c r="D1366" s="8" t="s">
        <v>2027</v>
      </c>
      <c r="E1366" s="8" t="s">
        <v>132</v>
      </c>
      <c r="F1366" s="8" t="s">
        <v>166</v>
      </c>
      <c r="G1366" s="8" t="s">
        <v>147</v>
      </c>
      <c r="H1366" s="15" t="n">
        <v>384</v>
      </c>
      <c r="I1366" s="15" t="n">
        <v>384</v>
      </c>
      <c r="J1366" s="16" t="n">
        <v>0.719</v>
      </c>
      <c r="K1366" s="8" t="n">
        <v>8.7</v>
      </c>
      <c r="L1366" s="8" t="n">
        <v>7</v>
      </c>
      <c r="M1366" s="8" t="n">
        <v>4</v>
      </c>
      <c r="N1366" s="8" t="s">
        <v>120</v>
      </c>
      <c r="O1366" s="15" t="n">
        <f aca="false">H1366*12</f>
        <v>4608</v>
      </c>
      <c r="P1366" s="8" t="n">
        <f aca="false">MIN(100,ROUND(100*J1366/Assumptions!$B$8,0))</f>
        <v>80</v>
      </c>
      <c r="Q1366" s="8" t="n">
        <f aca="false">IF(L1366="",Assumptions!$B$9,L1366*10)</f>
        <v>70</v>
      </c>
      <c r="R1366" s="8" t="n">
        <f aca="false">IF(M1366&lt;=1,Assumptions!$B$12,IF(M1366&lt;=3,Assumptions!$B$13,IF(M1366&lt;=6,Assumptions!$B$14,Assumptions!$B$15)))</f>
        <v>50</v>
      </c>
      <c r="S1366" s="8" t="n">
        <f aca="false">IF(N1366="Completed On Time",Assumptions!$B$16,IF(N1366="Completed Late",Assumptions!$B$17,Assumptions!$B$18))</f>
        <v>100</v>
      </c>
      <c r="T1366" s="8" t="n">
        <f aca="false">IF(I1366=0,Assumptions!$B$20,IF(H1366&gt;I1366,Assumptions!$B$19,IF(H1366=I1366,Assumptions!$B$20,Assumptions!$B$21)))</f>
        <v>70</v>
      </c>
      <c r="U1366" s="8" t="n">
        <f aca="false">ROUND(P1366*Assumptions!$B$2+Q1366*Assumptions!$B$3+R1366*Assumptions!$B$4+S1366*Assumptions!$B$5+T1366*Assumptions!$B$6,0)</f>
        <v>74</v>
      </c>
      <c r="V1366" s="8" t="str">
        <f aca="false">IF(U1366&gt;=Assumptions!$B$10,"Healthy",IF(U1366&gt;=Assumptions!$B$11,"Needs Attention","High Risk"))</f>
        <v>Needs Attention</v>
      </c>
    </row>
    <row r="1367" customFormat="false" ht="15" hidden="false" customHeight="false" outlineLevel="0" collapsed="false">
      <c r="A1367" s="8" t="s">
        <v>2876</v>
      </c>
      <c r="B1367" s="8" t="s">
        <v>2877</v>
      </c>
      <c r="C1367" s="8" t="s">
        <v>51</v>
      </c>
      <c r="D1367" s="8" t="s">
        <v>2027</v>
      </c>
      <c r="E1367" s="8" t="s">
        <v>132</v>
      </c>
      <c r="F1367" s="8" t="s">
        <v>118</v>
      </c>
      <c r="G1367" s="8" t="s">
        <v>185</v>
      </c>
      <c r="H1367" s="15" t="n">
        <v>384</v>
      </c>
      <c r="I1367" s="15" t="n">
        <v>384</v>
      </c>
      <c r="J1367" s="16" t="n">
        <v>0.688</v>
      </c>
      <c r="K1367" s="8" t="n">
        <v>8.3</v>
      </c>
      <c r="L1367" s="8" t="n">
        <v>5</v>
      </c>
      <c r="M1367" s="8" t="n">
        <v>0</v>
      </c>
      <c r="N1367" s="8" t="s">
        <v>120</v>
      </c>
      <c r="O1367" s="15" t="n">
        <f aca="false">H1367*12</f>
        <v>4608</v>
      </c>
      <c r="P1367" s="8" t="n">
        <f aca="false">MIN(100,ROUND(100*J1367/Assumptions!$B$8,0))</f>
        <v>76</v>
      </c>
      <c r="Q1367" s="8" t="n">
        <f aca="false">IF(L1367="",Assumptions!$B$9,L1367*10)</f>
        <v>50</v>
      </c>
      <c r="R1367" s="8" t="n">
        <f aca="false">IF(M1367&lt;=1,Assumptions!$B$12,IF(M1367&lt;=3,Assumptions!$B$13,IF(M1367&lt;=6,Assumptions!$B$14,Assumptions!$B$15)))</f>
        <v>100</v>
      </c>
      <c r="S1367" s="8" t="n">
        <f aca="false">IF(N1367="Completed On Time",Assumptions!$B$16,IF(N1367="Completed Late",Assumptions!$B$17,Assumptions!$B$18))</f>
        <v>100</v>
      </c>
      <c r="T1367" s="8" t="n">
        <f aca="false">IF(I1367=0,Assumptions!$B$20,IF(H1367&gt;I1367,Assumptions!$B$19,IF(H1367=I1367,Assumptions!$B$20,Assumptions!$B$21)))</f>
        <v>70</v>
      </c>
      <c r="U1367" s="8" t="n">
        <f aca="false">ROUND(P1367*Assumptions!$B$2+Q1367*Assumptions!$B$3+R1367*Assumptions!$B$4+S1367*Assumptions!$B$5+T1367*Assumptions!$B$6,0)</f>
        <v>76</v>
      </c>
      <c r="V1367" s="8" t="str">
        <f aca="false">IF(U1367&gt;=Assumptions!$B$10,"Healthy",IF(U1367&gt;=Assumptions!$B$11,"Needs Attention","High Risk"))</f>
        <v>Needs Attention</v>
      </c>
    </row>
    <row r="1368" customFormat="false" ht="15" hidden="false" customHeight="false" outlineLevel="0" collapsed="false">
      <c r="A1368" s="8" t="s">
        <v>2878</v>
      </c>
      <c r="B1368" s="8" t="s">
        <v>2879</v>
      </c>
      <c r="C1368" s="8" t="s">
        <v>51</v>
      </c>
      <c r="D1368" s="8" t="s">
        <v>2027</v>
      </c>
      <c r="E1368" s="8" t="s">
        <v>117</v>
      </c>
      <c r="F1368" s="8" t="s">
        <v>124</v>
      </c>
      <c r="G1368" s="8" t="s">
        <v>140</v>
      </c>
      <c r="H1368" s="15" t="n">
        <v>384</v>
      </c>
      <c r="I1368" s="15" t="n">
        <v>384</v>
      </c>
      <c r="J1368" s="16" t="n">
        <v>0.521</v>
      </c>
      <c r="K1368" s="8" t="n">
        <v>7.7</v>
      </c>
      <c r="L1368" s="8" t="n">
        <v>6</v>
      </c>
      <c r="M1368" s="8" t="n">
        <v>6</v>
      </c>
      <c r="N1368" s="8" t="s">
        <v>120</v>
      </c>
      <c r="O1368" s="15" t="n">
        <f aca="false">H1368*12</f>
        <v>4608</v>
      </c>
      <c r="P1368" s="8" t="n">
        <f aca="false">MIN(100,ROUND(100*J1368/Assumptions!$B$8,0))</f>
        <v>58</v>
      </c>
      <c r="Q1368" s="8" t="n">
        <f aca="false">IF(L1368="",Assumptions!$B$9,L1368*10)</f>
        <v>60</v>
      </c>
      <c r="R1368" s="8" t="n">
        <f aca="false">IF(M1368&lt;=1,Assumptions!$B$12,IF(M1368&lt;=3,Assumptions!$B$13,IF(M1368&lt;=6,Assumptions!$B$14,Assumptions!$B$15)))</f>
        <v>50</v>
      </c>
      <c r="S1368" s="8" t="n">
        <f aca="false">IF(N1368="Completed On Time",Assumptions!$B$16,IF(N1368="Completed Late",Assumptions!$B$17,Assumptions!$B$18))</f>
        <v>100</v>
      </c>
      <c r="T1368" s="8" t="n">
        <f aca="false">IF(I1368=0,Assumptions!$B$20,IF(H1368&gt;I1368,Assumptions!$B$19,IF(H1368=I1368,Assumptions!$B$20,Assumptions!$B$21)))</f>
        <v>70</v>
      </c>
      <c r="U1368" s="8" t="n">
        <f aca="false">ROUND(P1368*Assumptions!$B$2+Q1368*Assumptions!$B$3+R1368*Assumptions!$B$4+S1368*Assumptions!$B$5+T1368*Assumptions!$B$6,0)</f>
        <v>64</v>
      </c>
      <c r="V1368" s="8" t="str">
        <f aca="false">IF(U1368&gt;=Assumptions!$B$10,"Healthy",IF(U1368&gt;=Assumptions!$B$11,"Needs Attention","High Risk"))</f>
        <v>High Risk</v>
      </c>
    </row>
    <row r="1369" customFormat="false" ht="15" hidden="false" customHeight="false" outlineLevel="0" collapsed="false">
      <c r="A1369" s="8" t="s">
        <v>2880</v>
      </c>
      <c r="B1369" s="8" t="s">
        <v>2881</v>
      </c>
      <c r="C1369" s="8" t="s">
        <v>51</v>
      </c>
      <c r="D1369" s="8" t="s">
        <v>2027</v>
      </c>
      <c r="E1369" s="8" t="s">
        <v>132</v>
      </c>
      <c r="F1369" s="8" t="s">
        <v>118</v>
      </c>
      <c r="G1369" s="8" t="s">
        <v>137</v>
      </c>
      <c r="H1369" s="15" t="n">
        <v>384</v>
      </c>
      <c r="I1369" s="15" t="n">
        <v>384</v>
      </c>
      <c r="J1369" s="16" t="n">
        <v>0.74</v>
      </c>
      <c r="K1369" s="8" t="n">
        <v>8</v>
      </c>
      <c r="L1369" s="8" t="n">
        <v>9</v>
      </c>
      <c r="M1369" s="8" t="n">
        <v>3</v>
      </c>
      <c r="N1369" s="8" t="s">
        <v>120</v>
      </c>
      <c r="O1369" s="15" t="n">
        <f aca="false">H1369*12</f>
        <v>4608</v>
      </c>
      <c r="P1369" s="8" t="n">
        <f aca="false">MIN(100,ROUND(100*J1369/Assumptions!$B$8,0))</f>
        <v>82</v>
      </c>
      <c r="Q1369" s="8" t="n">
        <f aca="false">IF(L1369="",Assumptions!$B$9,L1369*10)</f>
        <v>90</v>
      </c>
      <c r="R1369" s="8" t="n">
        <f aca="false">IF(M1369&lt;=1,Assumptions!$B$12,IF(M1369&lt;=3,Assumptions!$B$13,IF(M1369&lt;=6,Assumptions!$B$14,Assumptions!$B$15)))</f>
        <v>75</v>
      </c>
      <c r="S1369" s="8" t="n">
        <f aca="false">IF(N1369="Completed On Time",Assumptions!$B$16,IF(N1369="Completed Late",Assumptions!$B$17,Assumptions!$B$18))</f>
        <v>100</v>
      </c>
      <c r="T1369" s="8" t="n">
        <f aca="false">IF(I1369=0,Assumptions!$B$20,IF(H1369&gt;I1369,Assumptions!$B$19,IF(H1369=I1369,Assumptions!$B$20,Assumptions!$B$21)))</f>
        <v>70</v>
      </c>
      <c r="U1369" s="8" t="n">
        <f aca="false">ROUND(P1369*Assumptions!$B$2+Q1369*Assumptions!$B$3+R1369*Assumptions!$B$4+S1369*Assumptions!$B$5+T1369*Assumptions!$B$6,0)</f>
        <v>82</v>
      </c>
      <c r="V1369" s="8" t="str">
        <f aca="false">IF(U1369&gt;=Assumptions!$B$10,"Healthy",IF(U1369&gt;=Assumptions!$B$11,"Needs Attention","High Risk"))</f>
        <v>Healthy</v>
      </c>
    </row>
    <row r="1370" customFormat="false" ht="15" hidden="false" customHeight="false" outlineLevel="0" collapsed="false">
      <c r="A1370" s="8" t="s">
        <v>2882</v>
      </c>
      <c r="B1370" s="8" t="s">
        <v>2883</v>
      </c>
      <c r="C1370" s="8" t="s">
        <v>51</v>
      </c>
      <c r="D1370" s="8" t="s">
        <v>2027</v>
      </c>
      <c r="E1370" s="8" t="s">
        <v>123</v>
      </c>
      <c r="F1370" s="8" t="s">
        <v>124</v>
      </c>
      <c r="G1370" s="8" t="s">
        <v>204</v>
      </c>
      <c r="H1370" s="15" t="n">
        <v>384</v>
      </c>
      <c r="I1370" s="15" t="n">
        <v>384</v>
      </c>
      <c r="J1370" s="16" t="n">
        <v>0.448</v>
      </c>
      <c r="K1370" s="8" t="n">
        <v>4.7</v>
      </c>
      <c r="L1370" s="8" t="n">
        <v>6</v>
      </c>
      <c r="M1370" s="8" t="n">
        <v>2</v>
      </c>
      <c r="N1370" s="8" t="s">
        <v>120</v>
      </c>
      <c r="O1370" s="15" t="n">
        <f aca="false">H1370*12</f>
        <v>4608</v>
      </c>
      <c r="P1370" s="8" t="n">
        <f aca="false">MIN(100,ROUND(100*J1370/Assumptions!$B$8,0))</f>
        <v>50</v>
      </c>
      <c r="Q1370" s="8" t="n">
        <f aca="false">IF(L1370="",Assumptions!$B$9,L1370*10)</f>
        <v>60</v>
      </c>
      <c r="R1370" s="8" t="n">
        <f aca="false">IF(M1370&lt;=1,Assumptions!$B$12,IF(M1370&lt;=3,Assumptions!$B$13,IF(M1370&lt;=6,Assumptions!$B$14,Assumptions!$B$15)))</f>
        <v>75</v>
      </c>
      <c r="S1370" s="8" t="n">
        <f aca="false">IF(N1370="Completed On Time",Assumptions!$B$16,IF(N1370="Completed Late",Assumptions!$B$17,Assumptions!$B$18))</f>
        <v>100</v>
      </c>
      <c r="T1370" s="8" t="n">
        <f aca="false">IF(I1370=0,Assumptions!$B$20,IF(H1370&gt;I1370,Assumptions!$B$19,IF(H1370=I1370,Assumptions!$B$20,Assumptions!$B$21)))</f>
        <v>70</v>
      </c>
      <c r="U1370" s="8" t="n">
        <f aca="false">ROUND(P1370*Assumptions!$B$2+Q1370*Assumptions!$B$3+R1370*Assumptions!$B$4+S1370*Assumptions!$B$5+T1370*Assumptions!$B$6,0)</f>
        <v>65</v>
      </c>
      <c r="V1370" s="8" t="str">
        <f aca="false">IF(U1370&gt;=Assumptions!$B$10,"Healthy",IF(U1370&gt;=Assumptions!$B$11,"Needs Attention","High Risk"))</f>
        <v>Needs Attention</v>
      </c>
    </row>
    <row r="1371" customFormat="false" ht="15" hidden="false" customHeight="false" outlineLevel="0" collapsed="false">
      <c r="A1371" s="8" t="s">
        <v>2884</v>
      </c>
      <c r="B1371" s="8" t="s">
        <v>2885</v>
      </c>
      <c r="C1371" s="8" t="s">
        <v>51</v>
      </c>
      <c r="D1371" s="8" t="s">
        <v>2027</v>
      </c>
      <c r="E1371" s="8" t="s">
        <v>123</v>
      </c>
      <c r="F1371" s="8" t="s">
        <v>223</v>
      </c>
      <c r="G1371" s="8" t="s">
        <v>119</v>
      </c>
      <c r="H1371" s="15" t="n">
        <v>384</v>
      </c>
      <c r="I1371" s="15" t="n">
        <v>384</v>
      </c>
      <c r="J1371" s="16" t="n">
        <v>0.74</v>
      </c>
      <c r="K1371" s="8" t="n">
        <v>7</v>
      </c>
      <c r="L1371" s="8" t="n">
        <v>8</v>
      </c>
      <c r="M1371" s="8" t="n">
        <v>2</v>
      </c>
      <c r="N1371" s="8" t="s">
        <v>120</v>
      </c>
      <c r="O1371" s="15" t="n">
        <f aca="false">H1371*12</f>
        <v>4608</v>
      </c>
      <c r="P1371" s="8" t="n">
        <f aca="false">MIN(100,ROUND(100*J1371/Assumptions!$B$8,0))</f>
        <v>82</v>
      </c>
      <c r="Q1371" s="8" t="n">
        <f aca="false">IF(L1371="",Assumptions!$B$9,L1371*10)</f>
        <v>80</v>
      </c>
      <c r="R1371" s="8" t="n">
        <f aca="false">IF(M1371&lt;=1,Assumptions!$B$12,IF(M1371&lt;=3,Assumptions!$B$13,IF(M1371&lt;=6,Assumptions!$B$14,Assumptions!$B$15)))</f>
        <v>75</v>
      </c>
      <c r="S1371" s="8" t="n">
        <f aca="false">IF(N1371="Completed On Time",Assumptions!$B$16,IF(N1371="Completed Late",Assumptions!$B$17,Assumptions!$B$18))</f>
        <v>100</v>
      </c>
      <c r="T1371" s="8" t="n">
        <f aca="false">IF(I1371=0,Assumptions!$B$20,IF(H1371&gt;I1371,Assumptions!$B$19,IF(H1371=I1371,Assumptions!$B$20,Assumptions!$B$21)))</f>
        <v>70</v>
      </c>
      <c r="U1371" s="8" t="n">
        <f aca="false">ROUND(P1371*Assumptions!$B$2+Q1371*Assumptions!$B$3+R1371*Assumptions!$B$4+S1371*Assumptions!$B$5+T1371*Assumptions!$B$6,0)</f>
        <v>80</v>
      </c>
      <c r="V1371" s="8" t="str">
        <f aca="false">IF(U1371&gt;=Assumptions!$B$10,"Healthy",IF(U1371&gt;=Assumptions!$B$11,"Needs Attention","High Risk"))</f>
        <v>Healthy</v>
      </c>
    </row>
    <row r="1372" customFormat="false" ht="15" hidden="false" customHeight="false" outlineLevel="0" collapsed="false">
      <c r="A1372" s="8" t="s">
        <v>2886</v>
      </c>
      <c r="B1372" s="8" t="s">
        <v>2887</v>
      </c>
      <c r="C1372" s="8" t="s">
        <v>51</v>
      </c>
      <c r="D1372" s="8" t="s">
        <v>2027</v>
      </c>
      <c r="E1372" s="8" t="s">
        <v>117</v>
      </c>
      <c r="F1372" s="8" t="s">
        <v>223</v>
      </c>
      <c r="G1372" s="8" t="s">
        <v>180</v>
      </c>
      <c r="H1372" s="15" t="n">
        <v>384</v>
      </c>
      <c r="I1372" s="15" t="n">
        <v>384</v>
      </c>
      <c r="J1372" s="16" t="n">
        <v>0.854</v>
      </c>
      <c r="K1372" s="8" t="n">
        <v>10.7</v>
      </c>
      <c r="L1372" s="8" t="n">
        <v>7</v>
      </c>
      <c r="M1372" s="8" t="n">
        <v>2</v>
      </c>
      <c r="N1372" s="8" t="s">
        <v>120</v>
      </c>
      <c r="O1372" s="15" t="n">
        <f aca="false">H1372*12</f>
        <v>4608</v>
      </c>
      <c r="P1372" s="8" t="n">
        <f aca="false">MIN(100,ROUND(100*J1372/Assumptions!$B$8,0))</f>
        <v>95</v>
      </c>
      <c r="Q1372" s="8" t="n">
        <f aca="false">IF(L1372="",Assumptions!$B$9,L1372*10)</f>
        <v>70</v>
      </c>
      <c r="R1372" s="8" t="n">
        <f aca="false">IF(M1372&lt;=1,Assumptions!$B$12,IF(M1372&lt;=3,Assumptions!$B$13,IF(M1372&lt;=6,Assumptions!$B$14,Assumptions!$B$15)))</f>
        <v>75</v>
      </c>
      <c r="S1372" s="8" t="n">
        <f aca="false">IF(N1372="Completed On Time",Assumptions!$B$16,IF(N1372="Completed Late",Assumptions!$B$17,Assumptions!$B$18))</f>
        <v>100</v>
      </c>
      <c r="T1372" s="8" t="n">
        <f aca="false">IF(I1372=0,Assumptions!$B$20,IF(H1372&gt;I1372,Assumptions!$B$19,IF(H1372=I1372,Assumptions!$B$20,Assumptions!$B$21)))</f>
        <v>70</v>
      </c>
      <c r="U1372" s="8" t="n">
        <f aca="false">ROUND(P1372*Assumptions!$B$2+Q1372*Assumptions!$B$3+R1372*Assumptions!$B$4+S1372*Assumptions!$B$5+T1372*Assumptions!$B$6,0)</f>
        <v>83</v>
      </c>
      <c r="V1372" s="8" t="str">
        <f aca="false">IF(U1372&gt;=Assumptions!$B$10,"Healthy",IF(U1372&gt;=Assumptions!$B$11,"Needs Attention","High Risk"))</f>
        <v>Healthy</v>
      </c>
    </row>
    <row r="1373" customFormat="false" ht="15" hidden="false" customHeight="false" outlineLevel="0" collapsed="false">
      <c r="A1373" s="8" t="s">
        <v>2888</v>
      </c>
      <c r="B1373" s="8" t="s">
        <v>2889</v>
      </c>
      <c r="C1373" s="8" t="s">
        <v>51</v>
      </c>
      <c r="D1373" s="8" t="s">
        <v>2027</v>
      </c>
      <c r="E1373" s="8" t="s">
        <v>123</v>
      </c>
      <c r="F1373" s="8" t="s">
        <v>133</v>
      </c>
      <c r="G1373" s="8" t="s">
        <v>185</v>
      </c>
      <c r="H1373" s="15" t="n">
        <v>384</v>
      </c>
      <c r="I1373" s="15" t="n">
        <v>384</v>
      </c>
      <c r="J1373" s="16" t="n">
        <v>0.771</v>
      </c>
      <c r="K1373" s="8" t="n">
        <v>10</v>
      </c>
      <c r="L1373" s="8" t="n">
        <v>10</v>
      </c>
      <c r="M1373" s="8" t="n">
        <v>1</v>
      </c>
      <c r="N1373" s="8" t="s">
        <v>120</v>
      </c>
      <c r="O1373" s="15" t="n">
        <f aca="false">H1373*12</f>
        <v>4608</v>
      </c>
      <c r="P1373" s="8" t="n">
        <f aca="false">MIN(100,ROUND(100*J1373/Assumptions!$B$8,0))</f>
        <v>86</v>
      </c>
      <c r="Q1373" s="8" t="n">
        <f aca="false">IF(L1373="",Assumptions!$B$9,L1373*10)</f>
        <v>100</v>
      </c>
      <c r="R1373" s="8" t="n">
        <f aca="false">IF(M1373&lt;=1,Assumptions!$B$12,IF(M1373&lt;=3,Assumptions!$B$13,IF(M1373&lt;=6,Assumptions!$B$14,Assumptions!$B$15)))</f>
        <v>100</v>
      </c>
      <c r="S1373" s="8" t="n">
        <f aca="false">IF(N1373="Completed On Time",Assumptions!$B$16,IF(N1373="Completed Late",Assumptions!$B$17,Assumptions!$B$18))</f>
        <v>100</v>
      </c>
      <c r="T1373" s="8" t="n">
        <f aca="false">IF(I1373=0,Assumptions!$B$20,IF(H1373&gt;I1373,Assumptions!$B$19,IF(H1373=I1373,Assumptions!$B$20,Assumptions!$B$21)))</f>
        <v>70</v>
      </c>
      <c r="U1373" s="8" t="n">
        <f aca="false">ROUND(P1373*Assumptions!$B$2+Q1373*Assumptions!$B$3+R1373*Assumptions!$B$4+S1373*Assumptions!$B$5+T1373*Assumptions!$B$6,0)</f>
        <v>89</v>
      </c>
      <c r="V1373" s="8" t="str">
        <f aca="false">IF(U1373&gt;=Assumptions!$B$10,"Healthy",IF(U1373&gt;=Assumptions!$B$11,"Needs Attention","High Risk"))</f>
        <v>Healthy</v>
      </c>
    </row>
    <row r="1374" customFormat="false" ht="15" hidden="false" customHeight="false" outlineLevel="0" collapsed="false">
      <c r="A1374" s="8" t="s">
        <v>2890</v>
      </c>
      <c r="B1374" s="8" t="s">
        <v>2891</v>
      </c>
      <c r="C1374" s="8" t="s">
        <v>51</v>
      </c>
      <c r="D1374" s="8" t="s">
        <v>2027</v>
      </c>
      <c r="E1374" s="8" t="s">
        <v>123</v>
      </c>
      <c r="F1374" s="8" t="s">
        <v>124</v>
      </c>
      <c r="G1374" s="8" t="s">
        <v>140</v>
      </c>
      <c r="H1374" s="15" t="n">
        <v>384</v>
      </c>
      <c r="I1374" s="15" t="n">
        <v>384</v>
      </c>
      <c r="J1374" s="16" t="n">
        <v>0.719</v>
      </c>
      <c r="K1374" s="8" t="n">
        <v>8.7</v>
      </c>
      <c r="L1374" s="8" t="n">
        <v>7</v>
      </c>
      <c r="M1374" s="8" t="n">
        <v>1</v>
      </c>
      <c r="N1374" s="8" t="s">
        <v>120</v>
      </c>
      <c r="O1374" s="15" t="n">
        <f aca="false">H1374*12</f>
        <v>4608</v>
      </c>
      <c r="P1374" s="8" t="n">
        <f aca="false">MIN(100,ROUND(100*J1374/Assumptions!$B$8,0))</f>
        <v>80</v>
      </c>
      <c r="Q1374" s="8" t="n">
        <f aca="false">IF(L1374="",Assumptions!$B$9,L1374*10)</f>
        <v>70</v>
      </c>
      <c r="R1374" s="8" t="n">
        <f aca="false">IF(M1374&lt;=1,Assumptions!$B$12,IF(M1374&lt;=3,Assumptions!$B$13,IF(M1374&lt;=6,Assumptions!$B$14,Assumptions!$B$15)))</f>
        <v>100</v>
      </c>
      <c r="S1374" s="8" t="n">
        <f aca="false">IF(N1374="Completed On Time",Assumptions!$B$16,IF(N1374="Completed Late",Assumptions!$B$17,Assumptions!$B$18))</f>
        <v>100</v>
      </c>
      <c r="T1374" s="8" t="n">
        <f aca="false">IF(I1374=0,Assumptions!$B$20,IF(H1374&gt;I1374,Assumptions!$B$19,IF(H1374=I1374,Assumptions!$B$20,Assumptions!$B$21)))</f>
        <v>70</v>
      </c>
      <c r="U1374" s="8" t="n">
        <f aca="false">ROUND(P1374*Assumptions!$B$2+Q1374*Assumptions!$B$3+R1374*Assumptions!$B$4+S1374*Assumptions!$B$5+T1374*Assumptions!$B$6,0)</f>
        <v>81</v>
      </c>
      <c r="V1374" s="8" t="str">
        <f aca="false">IF(U1374&gt;=Assumptions!$B$10,"Healthy",IF(U1374&gt;=Assumptions!$B$11,"Needs Attention","High Risk"))</f>
        <v>Healthy</v>
      </c>
    </row>
    <row r="1375" customFormat="false" ht="15" hidden="false" customHeight="false" outlineLevel="0" collapsed="false">
      <c r="A1375" s="8" t="s">
        <v>2892</v>
      </c>
      <c r="B1375" s="8" t="s">
        <v>2893</v>
      </c>
      <c r="C1375" s="8" t="s">
        <v>51</v>
      </c>
      <c r="D1375" s="8" t="s">
        <v>326</v>
      </c>
      <c r="E1375" s="8" t="s">
        <v>123</v>
      </c>
      <c r="F1375" s="8" t="s">
        <v>166</v>
      </c>
      <c r="G1375" s="8" t="s">
        <v>180</v>
      </c>
      <c r="H1375" s="15" t="n">
        <v>375</v>
      </c>
      <c r="I1375" s="15" t="n">
        <v>0</v>
      </c>
      <c r="J1375" s="16" t="n">
        <v>0.7</v>
      </c>
      <c r="K1375" s="8" t="n">
        <v>6.5</v>
      </c>
      <c r="L1375" s="8"/>
      <c r="M1375" s="8" t="n">
        <v>0</v>
      </c>
      <c r="N1375" s="8" t="s">
        <v>199</v>
      </c>
      <c r="O1375" s="15" t="n">
        <f aca="false">H1375*12</f>
        <v>4500</v>
      </c>
      <c r="P1375" s="8" t="n">
        <f aca="false">MIN(100,ROUND(100*J1375/Assumptions!$B$8,0))</f>
        <v>78</v>
      </c>
      <c r="Q1375" s="8" t="n">
        <f aca="false">IF(L1375="",Assumptions!$B$9,L1375*10)</f>
        <v>50</v>
      </c>
      <c r="R1375" s="8" t="n">
        <f aca="false">IF(M1375&lt;=1,Assumptions!$B$12,IF(M1375&lt;=3,Assumptions!$B$13,IF(M1375&lt;=6,Assumptions!$B$14,Assumptions!$B$15)))</f>
        <v>100</v>
      </c>
      <c r="S1375" s="8" t="n">
        <f aca="false">IF(N1375="Completed On Time",Assumptions!$B$16,IF(N1375="Completed Late",Assumptions!$B$17,Assumptions!$B$18))</f>
        <v>50</v>
      </c>
      <c r="T1375" s="8" t="n">
        <f aca="false">IF(I1375=0,Assumptions!$B$20,IF(H1375&gt;I1375,Assumptions!$B$19,IF(H1375=I1375,Assumptions!$B$20,Assumptions!$B$21)))</f>
        <v>70</v>
      </c>
      <c r="U1375" s="8" t="n">
        <f aca="false">ROUND(P1375*Assumptions!$B$2+Q1375*Assumptions!$B$3+R1375*Assumptions!$B$4+S1375*Assumptions!$B$5+T1375*Assumptions!$B$6,0)</f>
        <v>71</v>
      </c>
      <c r="V1375" s="8" t="str">
        <f aca="false">IF(U1375&gt;=Assumptions!$B$10,"Healthy",IF(U1375&gt;=Assumptions!$B$11,"Needs Attention","High Risk"))</f>
        <v>Needs Attention</v>
      </c>
    </row>
    <row r="1376" customFormat="false" ht="15" hidden="false" customHeight="false" outlineLevel="0" collapsed="false">
      <c r="A1376" s="8" t="s">
        <v>2894</v>
      </c>
      <c r="B1376" s="8" t="s">
        <v>2895</v>
      </c>
      <c r="C1376" s="8" t="s">
        <v>51</v>
      </c>
      <c r="D1376" s="8" t="s">
        <v>326</v>
      </c>
      <c r="E1376" s="8" t="s">
        <v>123</v>
      </c>
      <c r="F1376" s="8" t="s">
        <v>133</v>
      </c>
      <c r="G1376" s="8" t="s">
        <v>147</v>
      </c>
      <c r="H1376" s="15" t="n">
        <v>375</v>
      </c>
      <c r="I1376" s="15" t="n">
        <v>375</v>
      </c>
      <c r="J1376" s="16" t="n">
        <v>0.667</v>
      </c>
      <c r="K1376" s="8" t="n">
        <v>7.3</v>
      </c>
      <c r="L1376" s="8" t="n">
        <v>8</v>
      </c>
      <c r="M1376" s="8" t="n">
        <v>3</v>
      </c>
      <c r="N1376" s="8" t="s">
        <v>120</v>
      </c>
      <c r="O1376" s="15" t="n">
        <f aca="false">H1376*12</f>
        <v>4500</v>
      </c>
      <c r="P1376" s="8" t="n">
        <f aca="false">MIN(100,ROUND(100*J1376/Assumptions!$B$8,0))</f>
        <v>74</v>
      </c>
      <c r="Q1376" s="8" t="n">
        <f aca="false">IF(L1376="",Assumptions!$B$9,L1376*10)</f>
        <v>80</v>
      </c>
      <c r="R1376" s="8" t="n">
        <f aca="false">IF(M1376&lt;=1,Assumptions!$B$12,IF(M1376&lt;=3,Assumptions!$B$13,IF(M1376&lt;=6,Assumptions!$B$14,Assumptions!$B$15)))</f>
        <v>75</v>
      </c>
      <c r="S1376" s="8" t="n">
        <f aca="false">IF(N1376="Completed On Time",Assumptions!$B$16,IF(N1376="Completed Late",Assumptions!$B$17,Assumptions!$B$18))</f>
        <v>100</v>
      </c>
      <c r="T1376" s="8" t="n">
        <f aca="false">IF(I1376=0,Assumptions!$B$20,IF(H1376&gt;I1376,Assumptions!$B$19,IF(H1376=I1376,Assumptions!$B$20,Assumptions!$B$21)))</f>
        <v>70</v>
      </c>
      <c r="U1376" s="8" t="n">
        <f aca="false">ROUND(P1376*Assumptions!$B$2+Q1376*Assumptions!$B$3+R1376*Assumptions!$B$4+S1376*Assumptions!$B$5+T1376*Assumptions!$B$6,0)</f>
        <v>77</v>
      </c>
      <c r="V1376" s="8" t="str">
        <f aca="false">IF(U1376&gt;=Assumptions!$B$10,"Healthy",IF(U1376&gt;=Assumptions!$B$11,"Needs Attention","High Risk"))</f>
        <v>Needs Attention</v>
      </c>
    </row>
    <row r="1377" customFormat="false" ht="15" hidden="false" customHeight="false" outlineLevel="0" collapsed="false">
      <c r="A1377" s="8" t="s">
        <v>2896</v>
      </c>
      <c r="B1377" s="8" t="s">
        <v>2897</v>
      </c>
      <c r="C1377" s="8" t="s">
        <v>51</v>
      </c>
      <c r="D1377" s="8" t="s">
        <v>326</v>
      </c>
      <c r="E1377" s="8" t="s">
        <v>123</v>
      </c>
      <c r="F1377" s="8" t="s">
        <v>166</v>
      </c>
      <c r="G1377" s="8" t="s">
        <v>119</v>
      </c>
      <c r="H1377" s="15" t="n">
        <v>375</v>
      </c>
      <c r="I1377" s="15" t="n">
        <v>375</v>
      </c>
      <c r="J1377" s="16" t="n">
        <v>0.444</v>
      </c>
      <c r="K1377" s="8" t="n">
        <v>5.7</v>
      </c>
      <c r="L1377" s="8" t="n">
        <v>5</v>
      </c>
      <c r="M1377" s="8" t="n">
        <v>3</v>
      </c>
      <c r="N1377" s="8" t="s">
        <v>148</v>
      </c>
      <c r="O1377" s="15" t="n">
        <f aca="false">H1377*12</f>
        <v>4500</v>
      </c>
      <c r="P1377" s="8" t="n">
        <f aca="false">MIN(100,ROUND(100*J1377/Assumptions!$B$8,0))</f>
        <v>49</v>
      </c>
      <c r="Q1377" s="8" t="n">
        <f aca="false">IF(L1377="",Assumptions!$B$9,L1377*10)</f>
        <v>50</v>
      </c>
      <c r="R1377" s="8" t="n">
        <f aca="false">IF(M1377&lt;=1,Assumptions!$B$12,IF(M1377&lt;=3,Assumptions!$B$13,IF(M1377&lt;=6,Assumptions!$B$14,Assumptions!$B$15)))</f>
        <v>75</v>
      </c>
      <c r="S1377" s="8" t="n">
        <f aca="false">IF(N1377="Completed On Time",Assumptions!$B$16,IF(N1377="Completed Late",Assumptions!$B$17,Assumptions!$B$18))</f>
        <v>60</v>
      </c>
      <c r="T1377" s="8" t="n">
        <f aca="false">IF(I1377=0,Assumptions!$B$20,IF(H1377&gt;I1377,Assumptions!$B$19,IF(H1377=I1377,Assumptions!$B$20,Assumptions!$B$21)))</f>
        <v>70</v>
      </c>
      <c r="U1377" s="8" t="n">
        <f aca="false">ROUND(P1377*Assumptions!$B$2+Q1377*Assumptions!$B$3+R1377*Assumptions!$B$4+S1377*Assumptions!$B$5+T1377*Assumptions!$B$6,0)</f>
        <v>58</v>
      </c>
      <c r="V1377" s="8" t="str">
        <f aca="false">IF(U1377&gt;=Assumptions!$B$10,"Healthy",IF(U1377&gt;=Assumptions!$B$11,"Needs Attention","High Risk"))</f>
        <v>High Risk</v>
      </c>
    </row>
    <row r="1378" customFormat="false" ht="15" hidden="false" customHeight="false" outlineLevel="0" collapsed="false">
      <c r="A1378" s="8" t="s">
        <v>2898</v>
      </c>
      <c r="B1378" s="8" t="s">
        <v>2899</v>
      </c>
      <c r="C1378" s="8" t="s">
        <v>51</v>
      </c>
      <c r="D1378" s="8" t="s">
        <v>326</v>
      </c>
      <c r="E1378" s="8" t="s">
        <v>123</v>
      </c>
      <c r="F1378" s="8" t="s">
        <v>151</v>
      </c>
      <c r="G1378" s="8" t="s">
        <v>129</v>
      </c>
      <c r="H1378" s="15" t="n">
        <v>375</v>
      </c>
      <c r="I1378" s="15" t="n">
        <v>500</v>
      </c>
      <c r="J1378" s="16" t="n">
        <v>0.644</v>
      </c>
      <c r="K1378" s="8" t="n">
        <v>4.7</v>
      </c>
      <c r="L1378" s="8" t="n">
        <v>3</v>
      </c>
      <c r="M1378" s="8" t="n">
        <v>6</v>
      </c>
      <c r="N1378" s="8" t="s">
        <v>148</v>
      </c>
      <c r="O1378" s="15" t="n">
        <f aca="false">H1378*12</f>
        <v>4500</v>
      </c>
      <c r="P1378" s="8" t="n">
        <f aca="false">MIN(100,ROUND(100*J1378/Assumptions!$B$8,0))</f>
        <v>72</v>
      </c>
      <c r="Q1378" s="8" t="n">
        <f aca="false">IF(L1378="",Assumptions!$B$9,L1378*10)</f>
        <v>30</v>
      </c>
      <c r="R1378" s="8" t="n">
        <f aca="false">IF(M1378&lt;=1,Assumptions!$B$12,IF(M1378&lt;=3,Assumptions!$B$13,IF(M1378&lt;=6,Assumptions!$B$14,Assumptions!$B$15)))</f>
        <v>50</v>
      </c>
      <c r="S1378" s="8" t="n">
        <f aca="false">IF(N1378="Completed On Time",Assumptions!$B$16,IF(N1378="Completed Late",Assumptions!$B$17,Assumptions!$B$18))</f>
        <v>60</v>
      </c>
      <c r="T1378" s="8" t="n">
        <f aca="false">IF(I1378=0,Assumptions!$B$20,IF(H1378&gt;I1378,Assumptions!$B$19,IF(H1378=I1378,Assumptions!$B$20,Assumptions!$B$21)))</f>
        <v>30</v>
      </c>
      <c r="U1378" s="8" t="n">
        <f aca="false">ROUND(P1378*Assumptions!$B$2+Q1378*Assumptions!$B$3+R1378*Assumptions!$B$4+S1378*Assumptions!$B$5+T1378*Assumptions!$B$6,0)</f>
        <v>51</v>
      </c>
      <c r="V1378" s="8" t="str">
        <f aca="false">IF(U1378&gt;=Assumptions!$B$10,"Healthy",IF(U1378&gt;=Assumptions!$B$11,"Needs Attention","High Risk"))</f>
        <v>High Risk</v>
      </c>
    </row>
    <row r="1379" customFormat="false" ht="15" hidden="false" customHeight="false" outlineLevel="0" collapsed="false">
      <c r="A1379" s="8" t="s">
        <v>2900</v>
      </c>
      <c r="B1379" s="8" t="s">
        <v>2901</v>
      </c>
      <c r="C1379" s="8" t="s">
        <v>51</v>
      </c>
      <c r="D1379" s="8" t="s">
        <v>326</v>
      </c>
      <c r="E1379" s="8" t="s">
        <v>132</v>
      </c>
      <c r="F1379" s="8" t="s">
        <v>154</v>
      </c>
      <c r="G1379" s="8" t="s">
        <v>159</v>
      </c>
      <c r="H1379" s="15" t="n">
        <v>375</v>
      </c>
      <c r="I1379" s="15" t="n">
        <v>375</v>
      </c>
      <c r="J1379" s="16" t="n">
        <v>0.711</v>
      </c>
      <c r="K1379" s="8" t="n">
        <v>9.7</v>
      </c>
      <c r="L1379" s="8" t="n">
        <v>8</v>
      </c>
      <c r="M1379" s="8" t="n">
        <v>0</v>
      </c>
      <c r="N1379" s="8" t="s">
        <v>120</v>
      </c>
      <c r="O1379" s="15" t="n">
        <f aca="false">H1379*12</f>
        <v>4500</v>
      </c>
      <c r="P1379" s="8" t="n">
        <f aca="false">MIN(100,ROUND(100*J1379/Assumptions!$B$8,0))</f>
        <v>79</v>
      </c>
      <c r="Q1379" s="8" t="n">
        <f aca="false">IF(L1379="",Assumptions!$B$9,L1379*10)</f>
        <v>80</v>
      </c>
      <c r="R1379" s="8" t="n">
        <f aca="false">IF(M1379&lt;=1,Assumptions!$B$12,IF(M1379&lt;=3,Assumptions!$B$13,IF(M1379&lt;=6,Assumptions!$B$14,Assumptions!$B$15)))</f>
        <v>100</v>
      </c>
      <c r="S1379" s="8" t="n">
        <f aca="false">IF(N1379="Completed On Time",Assumptions!$B$16,IF(N1379="Completed Late",Assumptions!$B$17,Assumptions!$B$18))</f>
        <v>100</v>
      </c>
      <c r="T1379" s="8" t="n">
        <f aca="false">IF(I1379=0,Assumptions!$B$20,IF(H1379&gt;I1379,Assumptions!$B$19,IF(H1379=I1379,Assumptions!$B$20,Assumptions!$B$21)))</f>
        <v>70</v>
      </c>
      <c r="U1379" s="8" t="n">
        <f aca="false">ROUND(P1379*Assumptions!$B$2+Q1379*Assumptions!$B$3+R1379*Assumptions!$B$4+S1379*Assumptions!$B$5+T1379*Assumptions!$B$6,0)</f>
        <v>83</v>
      </c>
      <c r="V1379" s="8" t="str">
        <f aca="false">IF(U1379&gt;=Assumptions!$B$10,"Healthy",IF(U1379&gt;=Assumptions!$B$11,"Needs Attention","High Risk"))</f>
        <v>Healthy</v>
      </c>
    </row>
    <row r="1380" customFormat="false" ht="15" hidden="false" customHeight="false" outlineLevel="0" collapsed="false">
      <c r="A1380" s="8" t="s">
        <v>2902</v>
      </c>
      <c r="B1380" s="8" t="s">
        <v>2903</v>
      </c>
      <c r="C1380" s="8" t="s">
        <v>51</v>
      </c>
      <c r="D1380" s="8" t="s">
        <v>326</v>
      </c>
      <c r="E1380" s="8" t="s">
        <v>132</v>
      </c>
      <c r="F1380" s="8" t="s">
        <v>166</v>
      </c>
      <c r="G1380" s="8" t="s">
        <v>180</v>
      </c>
      <c r="H1380" s="15" t="n">
        <v>375</v>
      </c>
      <c r="I1380" s="15" t="n">
        <v>0</v>
      </c>
      <c r="J1380" s="16" t="n">
        <v>0.867</v>
      </c>
      <c r="K1380" s="8" t="n">
        <v>9</v>
      </c>
      <c r="L1380" s="8"/>
      <c r="M1380" s="8" t="n">
        <v>0</v>
      </c>
      <c r="N1380" s="8" t="s">
        <v>120</v>
      </c>
      <c r="O1380" s="15" t="n">
        <f aca="false">H1380*12</f>
        <v>4500</v>
      </c>
      <c r="P1380" s="8" t="n">
        <f aca="false">MIN(100,ROUND(100*J1380/Assumptions!$B$8,0))</f>
        <v>96</v>
      </c>
      <c r="Q1380" s="8" t="n">
        <f aca="false">IF(L1380="",Assumptions!$B$9,L1380*10)</f>
        <v>50</v>
      </c>
      <c r="R1380" s="8" t="n">
        <f aca="false">IF(M1380&lt;=1,Assumptions!$B$12,IF(M1380&lt;=3,Assumptions!$B$13,IF(M1380&lt;=6,Assumptions!$B$14,Assumptions!$B$15)))</f>
        <v>100</v>
      </c>
      <c r="S1380" s="8" t="n">
        <f aca="false">IF(N1380="Completed On Time",Assumptions!$B$16,IF(N1380="Completed Late",Assumptions!$B$17,Assumptions!$B$18))</f>
        <v>100</v>
      </c>
      <c r="T1380" s="8" t="n">
        <f aca="false">IF(I1380=0,Assumptions!$B$20,IF(H1380&gt;I1380,Assumptions!$B$19,IF(H1380=I1380,Assumptions!$B$20,Assumptions!$B$21)))</f>
        <v>70</v>
      </c>
      <c r="U1380" s="8" t="n">
        <f aca="false">ROUND(P1380*Assumptions!$B$2+Q1380*Assumptions!$B$3+R1380*Assumptions!$B$4+S1380*Assumptions!$B$5+T1380*Assumptions!$B$6,0)</f>
        <v>83</v>
      </c>
      <c r="V1380" s="8" t="str">
        <f aca="false">IF(U1380&gt;=Assumptions!$B$10,"Healthy",IF(U1380&gt;=Assumptions!$B$11,"Needs Attention","High Risk"))</f>
        <v>Healthy</v>
      </c>
    </row>
    <row r="1381" customFormat="false" ht="15" hidden="false" customHeight="false" outlineLevel="0" collapsed="false">
      <c r="A1381" s="8" t="s">
        <v>2904</v>
      </c>
      <c r="B1381" s="8" t="s">
        <v>2905</v>
      </c>
      <c r="C1381" s="8" t="s">
        <v>51</v>
      </c>
      <c r="D1381" s="8" t="s">
        <v>326</v>
      </c>
      <c r="E1381" s="8" t="s">
        <v>128</v>
      </c>
      <c r="F1381" s="8" t="s">
        <v>166</v>
      </c>
      <c r="G1381" s="8" t="s">
        <v>129</v>
      </c>
      <c r="H1381" s="15" t="n">
        <v>375</v>
      </c>
      <c r="I1381" s="15" t="n">
        <v>375</v>
      </c>
      <c r="J1381" s="16" t="n">
        <v>0.867</v>
      </c>
      <c r="K1381" s="8" t="n">
        <v>9.3</v>
      </c>
      <c r="L1381" s="8" t="n">
        <v>10</v>
      </c>
      <c r="M1381" s="8" t="n">
        <v>1</v>
      </c>
      <c r="N1381" s="8" t="s">
        <v>120</v>
      </c>
      <c r="O1381" s="15" t="n">
        <f aca="false">H1381*12</f>
        <v>4500</v>
      </c>
      <c r="P1381" s="8" t="n">
        <f aca="false">MIN(100,ROUND(100*J1381/Assumptions!$B$8,0))</f>
        <v>96</v>
      </c>
      <c r="Q1381" s="8" t="n">
        <f aca="false">IF(L1381="",Assumptions!$B$9,L1381*10)</f>
        <v>100</v>
      </c>
      <c r="R1381" s="8" t="n">
        <f aca="false">IF(M1381&lt;=1,Assumptions!$B$12,IF(M1381&lt;=3,Assumptions!$B$13,IF(M1381&lt;=6,Assumptions!$B$14,Assumptions!$B$15)))</f>
        <v>100</v>
      </c>
      <c r="S1381" s="8" t="n">
        <f aca="false">IF(N1381="Completed On Time",Assumptions!$B$16,IF(N1381="Completed Late",Assumptions!$B$17,Assumptions!$B$18))</f>
        <v>100</v>
      </c>
      <c r="T1381" s="8" t="n">
        <f aca="false">IF(I1381=0,Assumptions!$B$20,IF(H1381&gt;I1381,Assumptions!$B$19,IF(H1381=I1381,Assumptions!$B$20,Assumptions!$B$21)))</f>
        <v>70</v>
      </c>
      <c r="U1381" s="8" t="n">
        <f aca="false">ROUND(P1381*Assumptions!$B$2+Q1381*Assumptions!$B$3+R1381*Assumptions!$B$4+S1381*Assumptions!$B$5+T1381*Assumptions!$B$6,0)</f>
        <v>93</v>
      </c>
      <c r="V1381" s="8" t="str">
        <f aca="false">IF(U1381&gt;=Assumptions!$B$10,"Healthy",IF(U1381&gt;=Assumptions!$B$11,"Needs Attention","High Risk"))</f>
        <v>Healthy</v>
      </c>
    </row>
    <row r="1382" customFormat="false" ht="15" hidden="false" customHeight="false" outlineLevel="0" collapsed="false">
      <c r="A1382" s="8" t="s">
        <v>2906</v>
      </c>
      <c r="B1382" s="8" t="s">
        <v>2907</v>
      </c>
      <c r="C1382" s="8" t="s">
        <v>51</v>
      </c>
      <c r="D1382" s="8" t="s">
        <v>326</v>
      </c>
      <c r="E1382" s="8" t="s">
        <v>123</v>
      </c>
      <c r="F1382" s="8" t="s">
        <v>143</v>
      </c>
      <c r="G1382" s="8" t="s">
        <v>119</v>
      </c>
      <c r="H1382" s="15" t="n">
        <v>375</v>
      </c>
      <c r="I1382" s="15" t="n">
        <v>375</v>
      </c>
      <c r="J1382" s="16" t="n">
        <v>0.933</v>
      </c>
      <c r="K1382" s="8" t="n">
        <v>10.7</v>
      </c>
      <c r="L1382" s="8" t="n">
        <v>7</v>
      </c>
      <c r="M1382" s="8" t="n">
        <v>1</v>
      </c>
      <c r="N1382" s="8" t="s">
        <v>120</v>
      </c>
      <c r="O1382" s="15" t="n">
        <f aca="false">H1382*12</f>
        <v>4500</v>
      </c>
      <c r="P1382" s="8" t="n">
        <f aca="false">MIN(100,ROUND(100*J1382/Assumptions!$B$8,0))</f>
        <v>100</v>
      </c>
      <c r="Q1382" s="8" t="n">
        <f aca="false">IF(L1382="",Assumptions!$B$9,L1382*10)</f>
        <v>70</v>
      </c>
      <c r="R1382" s="8" t="n">
        <f aca="false">IF(M1382&lt;=1,Assumptions!$B$12,IF(M1382&lt;=3,Assumptions!$B$13,IF(M1382&lt;=6,Assumptions!$B$14,Assumptions!$B$15)))</f>
        <v>100</v>
      </c>
      <c r="S1382" s="8" t="n">
        <f aca="false">IF(N1382="Completed On Time",Assumptions!$B$16,IF(N1382="Completed Late",Assumptions!$B$17,Assumptions!$B$18))</f>
        <v>100</v>
      </c>
      <c r="T1382" s="8" t="n">
        <f aca="false">IF(I1382=0,Assumptions!$B$20,IF(H1382&gt;I1382,Assumptions!$B$19,IF(H1382=I1382,Assumptions!$B$20,Assumptions!$B$21)))</f>
        <v>70</v>
      </c>
      <c r="U1382" s="8" t="n">
        <f aca="false">ROUND(P1382*Assumptions!$B$2+Q1382*Assumptions!$B$3+R1382*Assumptions!$B$4+S1382*Assumptions!$B$5+T1382*Assumptions!$B$6,0)</f>
        <v>88</v>
      </c>
      <c r="V1382" s="8" t="str">
        <f aca="false">IF(U1382&gt;=Assumptions!$B$10,"Healthy",IF(U1382&gt;=Assumptions!$B$11,"Needs Attention","High Risk"))</f>
        <v>Healthy</v>
      </c>
    </row>
    <row r="1383" customFormat="false" ht="15" hidden="false" customHeight="false" outlineLevel="0" collapsed="false">
      <c r="A1383" s="8" t="s">
        <v>2908</v>
      </c>
      <c r="B1383" s="8" t="s">
        <v>2909</v>
      </c>
      <c r="C1383" s="8" t="s">
        <v>51</v>
      </c>
      <c r="D1383" s="8" t="s">
        <v>326</v>
      </c>
      <c r="E1383" s="8" t="s">
        <v>132</v>
      </c>
      <c r="F1383" s="8" t="s">
        <v>143</v>
      </c>
      <c r="G1383" s="8" t="s">
        <v>144</v>
      </c>
      <c r="H1383" s="15" t="n">
        <v>375</v>
      </c>
      <c r="I1383" s="15" t="n">
        <v>375</v>
      </c>
      <c r="J1383" s="16" t="n">
        <v>0.8</v>
      </c>
      <c r="K1383" s="8" t="n">
        <v>9.3</v>
      </c>
      <c r="L1383" s="8" t="n">
        <v>9</v>
      </c>
      <c r="M1383" s="8" t="n">
        <v>1</v>
      </c>
      <c r="N1383" s="8" t="s">
        <v>120</v>
      </c>
      <c r="O1383" s="15" t="n">
        <f aca="false">H1383*12</f>
        <v>4500</v>
      </c>
      <c r="P1383" s="8" t="n">
        <f aca="false">MIN(100,ROUND(100*J1383/Assumptions!$B$8,0))</f>
        <v>89</v>
      </c>
      <c r="Q1383" s="8" t="n">
        <f aca="false">IF(L1383="",Assumptions!$B$9,L1383*10)</f>
        <v>90</v>
      </c>
      <c r="R1383" s="8" t="n">
        <f aca="false">IF(M1383&lt;=1,Assumptions!$B$12,IF(M1383&lt;=3,Assumptions!$B$13,IF(M1383&lt;=6,Assumptions!$B$14,Assumptions!$B$15)))</f>
        <v>100</v>
      </c>
      <c r="S1383" s="8" t="n">
        <f aca="false">IF(N1383="Completed On Time",Assumptions!$B$16,IF(N1383="Completed Late",Assumptions!$B$17,Assumptions!$B$18))</f>
        <v>100</v>
      </c>
      <c r="T1383" s="8" t="n">
        <f aca="false">IF(I1383=0,Assumptions!$B$20,IF(H1383&gt;I1383,Assumptions!$B$19,IF(H1383=I1383,Assumptions!$B$20,Assumptions!$B$21)))</f>
        <v>70</v>
      </c>
      <c r="U1383" s="8" t="n">
        <f aca="false">ROUND(P1383*Assumptions!$B$2+Q1383*Assumptions!$B$3+R1383*Assumptions!$B$4+S1383*Assumptions!$B$5+T1383*Assumptions!$B$6,0)</f>
        <v>88</v>
      </c>
      <c r="V1383" s="8" t="str">
        <f aca="false">IF(U1383&gt;=Assumptions!$B$10,"Healthy",IF(U1383&gt;=Assumptions!$B$11,"Needs Attention","High Risk"))</f>
        <v>Healthy</v>
      </c>
    </row>
    <row r="1384" customFormat="false" ht="15" hidden="false" customHeight="false" outlineLevel="0" collapsed="false">
      <c r="A1384" s="8" t="s">
        <v>2910</v>
      </c>
      <c r="B1384" s="8" t="s">
        <v>2911</v>
      </c>
      <c r="C1384" s="8" t="s">
        <v>51</v>
      </c>
      <c r="D1384" s="8" t="s">
        <v>326</v>
      </c>
      <c r="E1384" s="8" t="s">
        <v>123</v>
      </c>
      <c r="F1384" s="8" t="s">
        <v>143</v>
      </c>
      <c r="G1384" s="8" t="s">
        <v>177</v>
      </c>
      <c r="H1384" s="15" t="n">
        <v>375</v>
      </c>
      <c r="I1384" s="15" t="n">
        <v>375</v>
      </c>
      <c r="J1384" s="16" t="n">
        <v>0.6</v>
      </c>
      <c r="K1384" s="8" t="n">
        <v>7</v>
      </c>
      <c r="L1384" s="8" t="n">
        <v>6</v>
      </c>
      <c r="M1384" s="8" t="n">
        <v>2</v>
      </c>
      <c r="N1384" s="8" t="s">
        <v>120</v>
      </c>
      <c r="O1384" s="15" t="n">
        <f aca="false">H1384*12</f>
        <v>4500</v>
      </c>
      <c r="P1384" s="8" t="n">
        <f aca="false">MIN(100,ROUND(100*J1384/Assumptions!$B$8,0))</f>
        <v>67</v>
      </c>
      <c r="Q1384" s="8" t="n">
        <f aca="false">IF(L1384="",Assumptions!$B$9,L1384*10)</f>
        <v>60</v>
      </c>
      <c r="R1384" s="8" t="n">
        <f aca="false">IF(M1384&lt;=1,Assumptions!$B$12,IF(M1384&lt;=3,Assumptions!$B$13,IF(M1384&lt;=6,Assumptions!$B$14,Assumptions!$B$15)))</f>
        <v>75</v>
      </c>
      <c r="S1384" s="8" t="n">
        <f aca="false">IF(N1384="Completed On Time",Assumptions!$B$16,IF(N1384="Completed Late",Assumptions!$B$17,Assumptions!$B$18))</f>
        <v>100</v>
      </c>
      <c r="T1384" s="8" t="n">
        <f aca="false">IF(I1384=0,Assumptions!$B$20,IF(H1384&gt;I1384,Assumptions!$B$19,IF(H1384=I1384,Assumptions!$B$20,Assumptions!$B$21)))</f>
        <v>70</v>
      </c>
      <c r="U1384" s="8" t="n">
        <f aca="false">ROUND(P1384*Assumptions!$B$2+Q1384*Assumptions!$B$3+R1384*Assumptions!$B$4+S1384*Assumptions!$B$5+T1384*Assumptions!$B$6,0)</f>
        <v>71</v>
      </c>
      <c r="V1384" s="8" t="str">
        <f aca="false">IF(U1384&gt;=Assumptions!$B$10,"Healthy",IF(U1384&gt;=Assumptions!$B$11,"Needs Attention","High Risk"))</f>
        <v>Needs Attention</v>
      </c>
    </row>
    <row r="1385" customFormat="false" ht="15" hidden="false" customHeight="false" outlineLevel="0" collapsed="false">
      <c r="A1385" s="8" t="s">
        <v>2912</v>
      </c>
      <c r="B1385" s="8" t="s">
        <v>2913</v>
      </c>
      <c r="C1385" s="8" t="s">
        <v>51</v>
      </c>
      <c r="D1385" s="8" t="s">
        <v>326</v>
      </c>
      <c r="E1385" s="8" t="s">
        <v>117</v>
      </c>
      <c r="F1385" s="8" t="s">
        <v>154</v>
      </c>
      <c r="G1385" s="8" t="s">
        <v>144</v>
      </c>
      <c r="H1385" s="15" t="n">
        <v>375</v>
      </c>
      <c r="I1385" s="15" t="n">
        <v>375</v>
      </c>
      <c r="J1385" s="16" t="n">
        <v>0.778</v>
      </c>
      <c r="K1385" s="8" t="n">
        <v>7.3</v>
      </c>
      <c r="L1385" s="8" t="n">
        <v>8</v>
      </c>
      <c r="M1385" s="8" t="n">
        <v>3</v>
      </c>
      <c r="N1385" s="8" t="s">
        <v>120</v>
      </c>
      <c r="O1385" s="15" t="n">
        <f aca="false">H1385*12</f>
        <v>4500</v>
      </c>
      <c r="P1385" s="8" t="n">
        <f aca="false">MIN(100,ROUND(100*J1385/Assumptions!$B$8,0))</f>
        <v>86</v>
      </c>
      <c r="Q1385" s="8" t="n">
        <f aca="false">IF(L1385="",Assumptions!$B$9,L1385*10)</f>
        <v>80</v>
      </c>
      <c r="R1385" s="8" t="n">
        <f aca="false">IF(M1385&lt;=1,Assumptions!$B$12,IF(M1385&lt;=3,Assumptions!$B$13,IF(M1385&lt;=6,Assumptions!$B$14,Assumptions!$B$15)))</f>
        <v>75</v>
      </c>
      <c r="S1385" s="8" t="n">
        <f aca="false">IF(N1385="Completed On Time",Assumptions!$B$16,IF(N1385="Completed Late",Assumptions!$B$17,Assumptions!$B$18))</f>
        <v>100</v>
      </c>
      <c r="T1385" s="8" t="n">
        <f aca="false">IF(I1385=0,Assumptions!$B$20,IF(H1385&gt;I1385,Assumptions!$B$19,IF(H1385=I1385,Assumptions!$B$20,Assumptions!$B$21)))</f>
        <v>70</v>
      </c>
      <c r="U1385" s="8" t="n">
        <f aca="false">ROUND(P1385*Assumptions!$B$2+Q1385*Assumptions!$B$3+R1385*Assumptions!$B$4+S1385*Assumptions!$B$5+T1385*Assumptions!$B$6,0)</f>
        <v>81</v>
      </c>
      <c r="V1385" s="8" t="str">
        <f aca="false">IF(U1385&gt;=Assumptions!$B$10,"Healthy",IF(U1385&gt;=Assumptions!$B$11,"Needs Attention","High Risk"))</f>
        <v>Healthy</v>
      </c>
    </row>
    <row r="1386" customFormat="false" ht="15" hidden="false" customHeight="false" outlineLevel="0" collapsed="false">
      <c r="A1386" s="8" t="s">
        <v>2914</v>
      </c>
      <c r="B1386" s="8" t="s">
        <v>2915</v>
      </c>
      <c r="C1386" s="8" t="s">
        <v>51</v>
      </c>
      <c r="D1386" s="8" t="s">
        <v>326</v>
      </c>
      <c r="E1386" s="8" t="s">
        <v>123</v>
      </c>
      <c r="F1386" s="8" t="s">
        <v>133</v>
      </c>
      <c r="G1386" s="8" t="s">
        <v>185</v>
      </c>
      <c r="H1386" s="15" t="n">
        <v>375</v>
      </c>
      <c r="I1386" s="15" t="n">
        <v>325</v>
      </c>
      <c r="J1386" s="16" t="n">
        <v>0.711</v>
      </c>
      <c r="K1386" s="8" t="n">
        <v>8.7</v>
      </c>
      <c r="L1386" s="8" t="n">
        <v>8</v>
      </c>
      <c r="M1386" s="8" t="n">
        <v>3</v>
      </c>
      <c r="N1386" s="8" t="s">
        <v>120</v>
      </c>
      <c r="O1386" s="15" t="n">
        <f aca="false">H1386*12</f>
        <v>4500</v>
      </c>
      <c r="P1386" s="8" t="n">
        <f aca="false">MIN(100,ROUND(100*J1386/Assumptions!$B$8,0))</f>
        <v>79</v>
      </c>
      <c r="Q1386" s="8" t="n">
        <f aca="false">IF(L1386="",Assumptions!$B$9,L1386*10)</f>
        <v>80</v>
      </c>
      <c r="R1386" s="8" t="n">
        <f aca="false">IF(M1386&lt;=1,Assumptions!$B$12,IF(M1386&lt;=3,Assumptions!$B$13,IF(M1386&lt;=6,Assumptions!$B$14,Assumptions!$B$15)))</f>
        <v>75</v>
      </c>
      <c r="S1386" s="8" t="n">
        <f aca="false">IF(N1386="Completed On Time",Assumptions!$B$16,IF(N1386="Completed Late",Assumptions!$B$17,Assumptions!$B$18))</f>
        <v>100</v>
      </c>
      <c r="T1386" s="8" t="n">
        <f aca="false">IF(I1386=0,Assumptions!$B$20,IF(H1386&gt;I1386,Assumptions!$B$19,IF(H1386=I1386,Assumptions!$B$20,Assumptions!$B$21)))</f>
        <v>100</v>
      </c>
      <c r="U1386" s="8" t="n">
        <f aca="false">ROUND(P1386*Assumptions!$B$2+Q1386*Assumptions!$B$3+R1386*Assumptions!$B$4+S1386*Assumptions!$B$5+T1386*Assumptions!$B$6,0)</f>
        <v>85</v>
      </c>
      <c r="V1386" s="8" t="str">
        <f aca="false">IF(U1386&gt;=Assumptions!$B$10,"Healthy",IF(U1386&gt;=Assumptions!$B$11,"Needs Attention","High Risk"))</f>
        <v>Healthy</v>
      </c>
    </row>
    <row r="1387" customFormat="false" ht="15" hidden="false" customHeight="false" outlineLevel="0" collapsed="false">
      <c r="A1387" s="8" t="s">
        <v>2916</v>
      </c>
      <c r="B1387" s="8" t="s">
        <v>2917</v>
      </c>
      <c r="C1387" s="8" t="s">
        <v>51</v>
      </c>
      <c r="D1387" s="8" t="s">
        <v>326</v>
      </c>
      <c r="E1387" s="8" t="s">
        <v>132</v>
      </c>
      <c r="F1387" s="8" t="s">
        <v>223</v>
      </c>
      <c r="G1387" s="8" t="s">
        <v>180</v>
      </c>
      <c r="H1387" s="15" t="n">
        <v>375</v>
      </c>
      <c r="I1387" s="15" t="n">
        <v>375</v>
      </c>
      <c r="J1387" s="16" t="n">
        <v>0.778</v>
      </c>
      <c r="K1387" s="8" t="n">
        <v>9.3</v>
      </c>
      <c r="L1387" s="8" t="n">
        <v>10</v>
      </c>
      <c r="M1387" s="8" t="n">
        <v>5</v>
      </c>
      <c r="N1387" s="8" t="s">
        <v>120</v>
      </c>
      <c r="O1387" s="15" t="n">
        <f aca="false">H1387*12</f>
        <v>4500</v>
      </c>
      <c r="P1387" s="8" t="n">
        <f aca="false">MIN(100,ROUND(100*J1387/Assumptions!$B$8,0))</f>
        <v>86</v>
      </c>
      <c r="Q1387" s="8" t="n">
        <f aca="false">IF(L1387="",Assumptions!$B$9,L1387*10)</f>
        <v>100</v>
      </c>
      <c r="R1387" s="8" t="n">
        <f aca="false">IF(M1387&lt;=1,Assumptions!$B$12,IF(M1387&lt;=3,Assumptions!$B$13,IF(M1387&lt;=6,Assumptions!$B$14,Assumptions!$B$15)))</f>
        <v>50</v>
      </c>
      <c r="S1387" s="8" t="n">
        <f aca="false">IF(N1387="Completed On Time",Assumptions!$B$16,IF(N1387="Completed Late",Assumptions!$B$17,Assumptions!$B$18))</f>
        <v>100</v>
      </c>
      <c r="T1387" s="8" t="n">
        <f aca="false">IF(I1387=0,Assumptions!$B$20,IF(H1387&gt;I1387,Assumptions!$B$19,IF(H1387=I1387,Assumptions!$B$20,Assumptions!$B$21)))</f>
        <v>70</v>
      </c>
      <c r="U1387" s="8" t="n">
        <f aca="false">ROUND(P1387*Assumptions!$B$2+Q1387*Assumptions!$B$3+R1387*Assumptions!$B$4+S1387*Assumptions!$B$5+T1387*Assumptions!$B$6,0)</f>
        <v>82</v>
      </c>
      <c r="V1387" s="8" t="str">
        <f aca="false">IF(U1387&gt;=Assumptions!$B$10,"Healthy",IF(U1387&gt;=Assumptions!$B$11,"Needs Attention","High Risk"))</f>
        <v>Healthy</v>
      </c>
    </row>
    <row r="1388" customFormat="false" ht="15" hidden="false" customHeight="false" outlineLevel="0" collapsed="false">
      <c r="A1388" s="8" t="s">
        <v>2918</v>
      </c>
      <c r="B1388" s="8" t="s">
        <v>2919</v>
      </c>
      <c r="C1388" s="8" t="s">
        <v>51</v>
      </c>
      <c r="D1388" s="8" t="s">
        <v>2027</v>
      </c>
      <c r="E1388" s="8" t="s">
        <v>117</v>
      </c>
      <c r="F1388" s="8" t="s">
        <v>223</v>
      </c>
      <c r="G1388" s="8" t="s">
        <v>137</v>
      </c>
      <c r="H1388" s="15" t="n">
        <v>372</v>
      </c>
      <c r="I1388" s="15" t="n">
        <v>300</v>
      </c>
      <c r="J1388" s="16" t="n">
        <v>0.946</v>
      </c>
      <c r="K1388" s="8" t="n">
        <v>11.7</v>
      </c>
      <c r="L1388" s="8" t="n">
        <v>10</v>
      </c>
      <c r="M1388" s="8" t="n">
        <v>3</v>
      </c>
      <c r="N1388" s="8" t="s">
        <v>120</v>
      </c>
      <c r="O1388" s="15" t="n">
        <f aca="false">H1388*12</f>
        <v>4464</v>
      </c>
      <c r="P1388" s="8" t="n">
        <f aca="false">MIN(100,ROUND(100*J1388/Assumptions!$B$8,0))</f>
        <v>100</v>
      </c>
      <c r="Q1388" s="8" t="n">
        <f aca="false">IF(L1388="",Assumptions!$B$9,L1388*10)</f>
        <v>100</v>
      </c>
      <c r="R1388" s="8" t="n">
        <f aca="false">IF(M1388&lt;=1,Assumptions!$B$12,IF(M1388&lt;=3,Assumptions!$B$13,IF(M1388&lt;=6,Assumptions!$B$14,Assumptions!$B$15)))</f>
        <v>75</v>
      </c>
      <c r="S1388" s="8" t="n">
        <f aca="false">IF(N1388="Completed On Time",Assumptions!$B$16,IF(N1388="Completed Late",Assumptions!$B$17,Assumptions!$B$18))</f>
        <v>100</v>
      </c>
      <c r="T1388" s="8" t="n">
        <f aca="false">IF(I1388=0,Assumptions!$B$20,IF(H1388&gt;I1388,Assumptions!$B$19,IF(H1388=I1388,Assumptions!$B$20,Assumptions!$B$21)))</f>
        <v>100</v>
      </c>
      <c r="U1388" s="8" t="n">
        <f aca="false">ROUND(P1388*Assumptions!$B$2+Q1388*Assumptions!$B$3+R1388*Assumptions!$B$4+S1388*Assumptions!$B$5+T1388*Assumptions!$B$6,0)</f>
        <v>96</v>
      </c>
      <c r="V1388" s="8" t="str">
        <f aca="false">IF(U1388&gt;=Assumptions!$B$10,"Healthy",IF(U1388&gt;=Assumptions!$B$11,"Needs Attention","High Risk"))</f>
        <v>Healthy</v>
      </c>
    </row>
    <row r="1389" customFormat="false" ht="15" hidden="false" customHeight="false" outlineLevel="0" collapsed="false">
      <c r="A1389" s="8" t="s">
        <v>2920</v>
      </c>
      <c r="B1389" s="8" t="s">
        <v>2921</v>
      </c>
      <c r="C1389" s="8" t="s">
        <v>51</v>
      </c>
      <c r="D1389" s="8" t="s">
        <v>2027</v>
      </c>
      <c r="E1389" s="8" t="s">
        <v>128</v>
      </c>
      <c r="F1389" s="8" t="s">
        <v>190</v>
      </c>
      <c r="G1389" s="8" t="s">
        <v>147</v>
      </c>
      <c r="H1389" s="15" t="n">
        <v>372</v>
      </c>
      <c r="I1389" s="15" t="n">
        <v>372</v>
      </c>
      <c r="J1389" s="16" t="n">
        <v>0.559</v>
      </c>
      <c r="K1389" s="8" t="n">
        <v>6</v>
      </c>
      <c r="L1389" s="8" t="n">
        <v>6</v>
      </c>
      <c r="M1389" s="8" t="n">
        <v>4</v>
      </c>
      <c r="N1389" s="8" t="s">
        <v>120</v>
      </c>
      <c r="O1389" s="15" t="n">
        <f aca="false">H1389*12</f>
        <v>4464</v>
      </c>
      <c r="P1389" s="8" t="n">
        <f aca="false">MIN(100,ROUND(100*J1389/Assumptions!$B$8,0))</f>
        <v>62</v>
      </c>
      <c r="Q1389" s="8" t="n">
        <f aca="false">IF(L1389="",Assumptions!$B$9,L1389*10)</f>
        <v>60</v>
      </c>
      <c r="R1389" s="8" t="n">
        <f aca="false">IF(M1389&lt;=1,Assumptions!$B$12,IF(M1389&lt;=3,Assumptions!$B$13,IF(M1389&lt;=6,Assumptions!$B$14,Assumptions!$B$15)))</f>
        <v>50</v>
      </c>
      <c r="S1389" s="8" t="n">
        <f aca="false">IF(N1389="Completed On Time",Assumptions!$B$16,IF(N1389="Completed Late",Assumptions!$B$17,Assumptions!$B$18))</f>
        <v>100</v>
      </c>
      <c r="T1389" s="8" t="n">
        <f aca="false">IF(I1389=0,Assumptions!$B$20,IF(H1389&gt;I1389,Assumptions!$B$19,IF(H1389=I1389,Assumptions!$B$20,Assumptions!$B$21)))</f>
        <v>70</v>
      </c>
      <c r="U1389" s="8" t="n">
        <f aca="false">ROUND(P1389*Assumptions!$B$2+Q1389*Assumptions!$B$3+R1389*Assumptions!$B$4+S1389*Assumptions!$B$5+T1389*Assumptions!$B$6,0)</f>
        <v>65</v>
      </c>
      <c r="V1389" s="8" t="str">
        <f aca="false">IF(U1389&gt;=Assumptions!$B$10,"Healthy",IF(U1389&gt;=Assumptions!$B$11,"Needs Attention","High Risk"))</f>
        <v>Needs Attention</v>
      </c>
    </row>
    <row r="1390" customFormat="false" ht="15" hidden="false" customHeight="false" outlineLevel="0" collapsed="false">
      <c r="A1390" s="8" t="s">
        <v>2922</v>
      </c>
      <c r="B1390" s="8" t="s">
        <v>2923</v>
      </c>
      <c r="C1390" s="8" t="s">
        <v>51</v>
      </c>
      <c r="D1390" s="8" t="s">
        <v>2027</v>
      </c>
      <c r="E1390" s="8" t="s">
        <v>132</v>
      </c>
      <c r="F1390" s="8" t="s">
        <v>154</v>
      </c>
      <c r="G1390" s="8" t="s">
        <v>137</v>
      </c>
      <c r="H1390" s="15" t="n">
        <v>372</v>
      </c>
      <c r="I1390" s="15" t="n">
        <v>372</v>
      </c>
      <c r="J1390" s="16" t="n">
        <v>0.731</v>
      </c>
      <c r="K1390" s="8" t="n">
        <v>8</v>
      </c>
      <c r="L1390" s="8" t="n">
        <v>7</v>
      </c>
      <c r="M1390" s="8" t="n">
        <v>1</v>
      </c>
      <c r="N1390" s="8" t="s">
        <v>120</v>
      </c>
      <c r="O1390" s="15" t="n">
        <f aca="false">H1390*12</f>
        <v>4464</v>
      </c>
      <c r="P1390" s="8" t="n">
        <f aca="false">MIN(100,ROUND(100*J1390/Assumptions!$B$8,0))</f>
        <v>81</v>
      </c>
      <c r="Q1390" s="8" t="n">
        <f aca="false">IF(L1390="",Assumptions!$B$9,L1390*10)</f>
        <v>70</v>
      </c>
      <c r="R1390" s="8" t="n">
        <f aca="false">IF(M1390&lt;=1,Assumptions!$B$12,IF(M1390&lt;=3,Assumptions!$B$13,IF(M1390&lt;=6,Assumptions!$B$14,Assumptions!$B$15)))</f>
        <v>100</v>
      </c>
      <c r="S1390" s="8" t="n">
        <f aca="false">IF(N1390="Completed On Time",Assumptions!$B$16,IF(N1390="Completed Late",Assumptions!$B$17,Assumptions!$B$18))</f>
        <v>100</v>
      </c>
      <c r="T1390" s="8" t="n">
        <f aca="false">IF(I1390=0,Assumptions!$B$20,IF(H1390&gt;I1390,Assumptions!$B$19,IF(H1390=I1390,Assumptions!$B$20,Assumptions!$B$21)))</f>
        <v>70</v>
      </c>
      <c r="U1390" s="8" t="n">
        <f aca="false">ROUND(P1390*Assumptions!$B$2+Q1390*Assumptions!$B$3+R1390*Assumptions!$B$4+S1390*Assumptions!$B$5+T1390*Assumptions!$B$6,0)</f>
        <v>81</v>
      </c>
      <c r="V1390" s="8" t="str">
        <f aca="false">IF(U1390&gt;=Assumptions!$B$10,"Healthy",IF(U1390&gt;=Assumptions!$B$11,"Needs Attention","High Risk"))</f>
        <v>Healthy</v>
      </c>
    </row>
    <row r="1391" customFormat="false" ht="15" hidden="false" customHeight="false" outlineLevel="0" collapsed="false">
      <c r="A1391" s="8" t="s">
        <v>2924</v>
      </c>
      <c r="B1391" s="8" t="s">
        <v>2925</v>
      </c>
      <c r="C1391" s="8" t="s">
        <v>51</v>
      </c>
      <c r="D1391" s="8" t="s">
        <v>2027</v>
      </c>
      <c r="E1391" s="8" t="s">
        <v>123</v>
      </c>
      <c r="F1391" s="8" t="s">
        <v>118</v>
      </c>
      <c r="G1391" s="8" t="s">
        <v>185</v>
      </c>
      <c r="H1391" s="15" t="n">
        <v>372</v>
      </c>
      <c r="I1391" s="15" t="n">
        <v>372</v>
      </c>
      <c r="J1391" s="16" t="n">
        <v>0.72</v>
      </c>
      <c r="K1391" s="8" t="n">
        <v>7.7</v>
      </c>
      <c r="L1391" s="8" t="n">
        <v>5</v>
      </c>
      <c r="M1391" s="8" t="n">
        <v>9</v>
      </c>
      <c r="N1391" s="8" t="s">
        <v>120</v>
      </c>
      <c r="O1391" s="15" t="n">
        <f aca="false">H1391*12</f>
        <v>4464</v>
      </c>
      <c r="P1391" s="8" t="n">
        <f aca="false">MIN(100,ROUND(100*J1391/Assumptions!$B$8,0))</f>
        <v>80</v>
      </c>
      <c r="Q1391" s="8" t="n">
        <f aca="false">IF(L1391="",Assumptions!$B$9,L1391*10)</f>
        <v>50</v>
      </c>
      <c r="R1391" s="8" t="n">
        <f aca="false">IF(M1391&lt;=1,Assumptions!$B$12,IF(M1391&lt;=3,Assumptions!$B$13,IF(M1391&lt;=6,Assumptions!$B$14,Assumptions!$B$15)))</f>
        <v>20</v>
      </c>
      <c r="S1391" s="8" t="n">
        <f aca="false">IF(N1391="Completed On Time",Assumptions!$B$16,IF(N1391="Completed Late",Assumptions!$B$17,Assumptions!$B$18))</f>
        <v>100</v>
      </c>
      <c r="T1391" s="8" t="n">
        <f aca="false">IF(I1391=0,Assumptions!$B$20,IF(H1391&gt;I1391,Assumptions!$B$19,IF(H1391=I1391,Assumptions!$B$20,Assumptions!$B$21)))</f>
        <v>70</v>
      </c>
      <c r="U1391" s="8" t="n">
        <f aca="false">ROUND(P1391*Assumptions!$B$2+Q1391*Assumptions!$B$3+R1391*Assumptions!$B$4+S1391*Assumptions!$B$5+T1391*Assumptions!$B$6,0)</f>
        <v>65</v>
      </c>
      <c r="V1391" s="8" t="str">
        <f aca="false">IF(U1391&gt;=Assumptions!$B$10,"Healthy",IF(U1391&gt;=Assumptions!$B$11,"Needs Attention","High Risk"))</f>
        <v>Needs Attention</v>
      </c>
    </row>
    <row r="1392" customFormat="false" ht="15" hidden="false" customHeight="false" outlineLevel="0" collapsed="false">
      <c r="A1392" s="8" t="s">
        <v>2926</v>
      </c>
      <c r="B1392" s="8" t="s">
        <v>2927</v>
      </c>
      <c r="C1392" s="8" t="s">
        <v>51</v>
      </c>
      <c r="D1392" s="8" t="s">
        <v>2027</v>
      </c>
      <c r="E1392" s="8" t="s">
        <v>123</v>
      </c>
      <c r="F1392" s="8" t="s">
        <v>151</v>
      </c>
      <c r="G1392" s="8" t="s">
        <v>180</v>
      </c>
      <c r="H1392" s="15" t="n">
        <v>372</v>
      </c>
      <c r="I1392" s="15" t="n">
        <v>372</v>
      </c>
      <c r="J1392" s="16" t="n">
        <v>0.591</v>
      </c>
      <c r="K1392" s="8" t="n">
        <v>7.3</v>
      </c>
      <c r="L1392" s="8" t="n">
        <v>9</v>
      </c>
      <c r="M1392" s="8" t="n">
        <v>1</v>
      </c>
      <c r="N1392" s="8" t="s">
        <v>120</v>
      </c>
      <c r="O1392" s="15" t="n">
        <f aca="false">H1392*12</f>
        <v>4464</v>
      </c>
      <c r="P1392" s="8" t="n">
        <f aca="false">MIN(100,ROUND(100*J1392/Assumptions!$B$8,0))</f>
        <v>66</v>
      </c>
      <c r="Q1392" s="8" t="n">
        <f aca="false">IF(L1392="",Assumptions!$B$9,L1392*10)</f>
        <v>90</v>
      </c>
      <c r="R1392" s="8" t="n">
        <f aca="false">IF(M1392&lt;=1,Assumptions!$B$12,IF(M1392&lt;=3,Assumptions!$B$13,IF(M1392&lt;=6,Assumptions!$B$14,Assumptions!$B$15)))</f>
        <v>100</v>
      </c>
      <c r="S1392" s="8" t="n">
        <f aca="false">IF(N1392="Completed On Time",Assumptions!$B$16,IF(N1392="Completed Late",Assumptions!$B$17,Assumptions!$B$18))</f>
        <v>100</v>
      </c>
      <c r="T1392" s="8" t="n">
        <f aca="false">IF(I1392=0,Assumptions!$B$20,IF(H1392&gt;I1392,Assumptions!$B$19,IF(H1392=I1392,Assumptions!$B$20,Assumptions!$B$21)))</f>
        <v>70</v>
      </c>
      <c r="U1392" s="8" t="n">
        <f aca="false">ROUND(P1392*Assumptions!$B$2+Q1392*Assumptions!$B$3+R1392*Assumptions!$B$4+S1392*Assumptions!$B$5+T1392*Assumptions!$B$6,0)</f>
        <v>80</v>
      </c>
      <c r="V1392" s="8" t="str">
        <f aca="false">IF(U1392&gt;=Assumptions!$B$10,"Healthy",IF(U1392&gt;=Assumptions!$B$11,"Needs Attention","High Risk"))</f>
        <v>Healthy</v>
      </c>
    </row>
    <row r="1393" customFormat="false" ht="15" hidden="false" customHeight="false" outlineLevel="0" collapsed="false">
      <c r="A1393" s="8" t="s">
        <v>2928</v>
      </c>
      <c r="B1393" s="8" t="s">
        <v>2929</v>
      </c>
      <c r="C1393" s="8" t="s">
        <v>51</v>
      </c>
      <c r="D1393" s="8" t="s">
        <v>2027</v>
      </c>
      <c r="E1393" s="8" t="s">
        <v>132</v>
      </c>
      <c r="F1393" s="8" t="s">
        <v>133</v>
      </c>
      <c r="G1393" s="8" t="s">
        <v>137</v>
      </c>
      <c r="H1393" s="15" t="n">
        <v>372</v>
      </c>
      <c r="I1393" s="15" t="n">
        <v>372</v>
      </c>
      <c r="J1393" s="16" t="n">
        <v>0.613</v>
      </c>
      <c r="K1393" s="8" t="n">
        <v>6.7</v>
      </c>
      <c r="L1393" s="8" t="n">
        <v>8</v>
      </c>
      <c r="M1393" s="8" t="n">
        <v>2</v>
      </c>
      <c r="N1393" s="8" t="s">
        <v>120</v>
      </c>
      <c r="O1393" s="15" t="n">
        <f aca="false">H1393*12</f>
        <v>4464</v>
      </c>
      <c r="P1393" s="8" t="n">
        <f aca="false">MIN(100,ROUND(100*J1393/Assumptions!$B$8,0))</f>
        <v>68</v>
      </c>
      <c r="Q1393" s="8" t="n">
        <f aca="false">IF(L1393="",Assumptions!$B$9,L1393*10)</f>
        <v>80</v>
      </c>
      <c r="R1393" s="8" t="n">
        <f aca="false">IF(M1393&lt;=1,Assumptions!$B$12,IF(M1393&lt;=3,Assumptions!$B$13,IF(M1393&lt;=6,Assumptions!$B$14,Assumptions!$B$15)))</f>
        <v>75</v>
      </c>
      <c r="S1393" s="8" t="n">
        <f aca="false">IF(N1393="Completed On Time",Assumptions!$B$16,IF(N1393="Completed Late",Assumptions!$B$17,Assumptions!$B$18))</f>
        <v>100</v>
      </c>
      <c r="T1393" s="8" t="n">
        <f aca="false">IF(I1393=0,Assumptions!$B$20,IF(H1393&gt;I1393,Assumptions!$B$19,IF(H1393=I1393,Assumptions!$B$20,Assumptions!$B$21)))</f>
        <v>70</v>
      </c>
      <c r="U1393" s="8" t="n">
        <f aca="false">ROUND(P1393*Assumptions!$B$2+Q1393*Assumptions!$B$3+R1393*Assumptions!$B$4+S1393*Assumptions!$B$5+T1393*Assumptions!$B$6,0)</f>
        <v>75</v>
      </c>
      <c r="V1393" s="8" t="str">
        <f aca="false">IF(U1393&gt;=Assumptions!$B$10,"Healthy",IF(U1393&gt;=Assumptions!$B$11,"Needs Attention","High Risk"))</f>
        <v>Needs Attention</v>
      </c>
    </row>
    <row r="1394" customFormat="false" ht="15" hidden="false" customHeight="false" outlineLevel="0" collapsed="false">
      <c r="A1394" s="8" t="s">
        <v>2930</v>
      </c>
      <c r="B1394" s="8" t="s">
        <v>2931</v>
      </c>
      <c r="C1394" s="8" t="s">
        <v>51</v>
      </c>
      <c r="D1394" s="8" t="s">
        <v>2027</v>
      </c>
      <c r="E1394" s="8" t="s">
        <v>117</v>
      </c>
      <c r="F1394" s="8" t="s">
        <v>223</v>
      </c>
      <c r="G1394" s="8" t="s">
        <v>119</v>
      </c>
      <c r="H1394" s="15" t="n">
        <v>372</v>
      </c>
      <c r="I1394" s="15" t="n">
        <v>288</v>
      </c>
      <c r="J1394" s="16" t="n">
        <v>0.817</v>
      </c>
      <c r="K1394" s="8" t="n">
        <v>9</v>
      </c>
      <c r="L1394" s="8" t="n">
        <v>7</v>
      </c>
      <c r="M1394" s="8" t="n">
        <v>0</v>
      </c>
      <c r="N1394" s="8" t="s">
        <v>120</v>
      </c>
      <c r="O1394" s="15" t="n">
        <f aca="false">H1394*12</f>
        <v>4464</v>
      </c>
      <c r="P1394" s="8" t="n">
        <f aca="false">MIN(100,ROUND(100*J1394/Assumptions!$B$8,0))</f>
        <v>91</v>
      </c>
      <c r="Q1394" s="8" t="n">
        <f aca="false">IF(L1394="",Assumptions!$B$9,L1394*10)</f>
        <v>70</v>
      </c>
      <c r="R1394" s="8" t="n">
        <f aca="false">IF(M1394&lt;=1,Assumptions!$B$12,IF(M1394&lt;=3,Assumptions!$B$13,IF(M1394&lt;=6,Assumptions!$B$14,Assumptions!$B$15)))</f>
        <v>100</v>
      </c>
      <c r="S1394" s="8" t="n">
        <f aca="false">IF(N1394="Completed On Time",Assumptions!$B$16,IF(N1394="Completed Late",Assumptions!$B$17,Assumptions!$B$18))</f>
        <v>100</v>
      </c>
      <c r="T1394" s="8" t="n">
        <f aca="false">IF(I1394=0,Assumptions!$B$20,IF(H1394&gt;I1394,Assumptions!$B$19,IF(H1394=I1394,Assumptions!$B$20,Assumptions!$B$21)))</f>
        <v>100</v>
      </c>
      <c r="U1394" s="8" t="n">
        <f aca="false">ROUND(P1394*Assumptions!$B$2+Q1394*Assumptions!$B$3+R1394*Assumptions!$B$4+S1394*Assumptions!$B$5+T1394*Assumptions!$B$6,0)</f>
        <v>91</v>
      </c>
      <c r="V1394" s="8" t="str">
        <f aca="false">IF(U1394&gt;=Assumptions!$B$10,"Healthy",IF(U1394&gt;=Assumptions!$B$11,"Needs Attention","High Risk"))</f>
        <v>Healthy</v>
      </c>
    </row>
    <row r="1395" customFormat="false" ht="15" hidden="false" customHeight="false" outlineLevel="0" collapsed="false">
      <c r="A1395" s="8" t="s">
        <v>2932</v>
      </c>
      <c r="B1395" s="8" t="s">
        <v>2933</v>
      </c>
      <c r="C1395" s="8" t="s">
        <v>51</v>
      </c>
      <c r="D1395" s="8" t="s">
        <v>2027</v>
      </c>
      <c r="E1395" s="8" t="s">
        <v>132</v>
      </c>
      <c r="F1395" s="8" t="s">
        <v>136</v>
      </c>
      <c r="G1395" s="8" t="s">
        <v>185</v>
      </c>
      <c r="H1395" s="15" t="n">
        <v>372</v>
      </c>
      <c r="I1395" s="15" t="n">
        <v>372</v>
      </c>
      <c r="J1395" s="16" t="n">
        <v>0.71</v>
      </c>
      <c r="K1395" s="8" t="n">
        <v>9.3</v>
      </c>
      <c r="L1395" s="8" t="n">
        <v>8</v>
      </c>
      <c r="M1395" s="8" t="n">
        <v>2</v>
      </c>
      <c r="N1395" s="8" t="s">
        <v>120</v>
      </c>
      <c r="O1395" s="15" t="n">
        <f aca="false">H1395*12</f>
        <v>4464</v>
      </c>
      <c r="P1395" s="8" t="n">
        <f aca="false">MIN(100,ROUND(100*J1395/Assumptions!$B$8,0))</f>
        <v>79</v>
      </c>
      <c r="Q1395" s="8" t="n">
        <f aca="false">IF(L1395="",Assumptions!$B$9,L1395*10)</f>
        <v>80</v>
      </c>
      <c r="R1395" s="8" t="n">
        <f aca="false">IF(M1395&lt;=1,Assumptions!$B$12,IF(M1395&lt;=3,Assumptions!$B$13,IF(M1395&lt;=6,Assumptions!$B$14,Assumptions!$B$15)))</f>
        <v>75</v>
      </c>
      <c r="S1395" s="8" t="n">
        <f aca="false">IF(N1395="Completed On Time",Assumptions!$B$16,IF(N1395="Completed Late",Assumptions!$B$17,Assumptions!$B$18))</f>
        <v>100</v>
      </c>
      <c r="T1395" s="8" t="n">
        <f aca="false">IF(I1395=0,Assumptions!$B$20,IF(H1395&gt;I1395,Assumptions!$B$19,IF(H1395=I1395,Assumptions!$B$20,Assumptions!$B$21)))</f>
        <v>70</v>
      </c>
      <c r="U1395" s="8" t="n">
        <f aca="false">ROUND(P1395*Assumptions!$B$2+Q1395*Assumptions!$B$3+R1395*Assumptions!$B$4+S1395*Assumptions!$B$5+T1395*Assumptions!$B$6,0)</f>
        <v>79</v>
      </c>
      <c r="V1395" s="8" t="str">
        <f aca="false">IF(U1395&gt;=Assumptions!$B$10,"Healthy",IF(U1395&gt;=Assumptions!$B$11,"Needs Attention","High Risk"))</f>
        <v>Needs Attention</v>
      </c>
    </row>
    <row r="1396" customFormat="false" ht="15" hidden="false" customHeight="false" outlineLevel="0" collapsed="false">
      <c r="A1396" s="8" t="s">
        <v>2934</v>
      </c>
      <c r="B1396" s="8" t="s">
        <v>2935</v>
      </c>
      <c r="C1396" s="8" t="s">
        <v>51</v>
      </c>
      <c r="D1396" s="8" t="s">
        <v>2027</v>
      </c>
      <c r="E1396" s="8" t="s">
        <v>123</v>
      </c>
      <c r="F1396" s="8" t="s">
        <v>190</v>
      </c>
      <c r="G1396" s="8" t="s">
        <v>177</v>
      </c>
      <c r="H1396" s="15" t="n">
        <v>372</v>
      </c>
      <c r="I1396" s="15" t="n">
        <v>372</v>
      </c>
      <c r="J1396" s="16" t="n">
        <v>0.925</v>
      </c>
      <c r="K1396" s="8" t="n">
        <v>11</v>
      </c>
      <c r="L1396" s="8" t="n">
        <v>10</v>
      </c>
      <c r="M1396" s="8" t="n">
        <v>2</v>
      </c>
      <c r="N1396" s="8" t="s">
        <v>120</v>
      </c>
      <c r="O1396" s="15" t="n">
        <f aca="false">H1396*12</f>
        <v>4464</v>
      </c>
      <c r="P1396" s="8" t="n">
        <f aca="false">MIN(100,ROUND(100*J1396/Assumptions!$B$8,0))</f>
        <v>100</v>
      </c>
      <c r="Q1396" s="8" t="n">
        <f aca="false">IF(L1396="",Assumptions!$B$9,L1396*10)</f>
        <v>100</v>
      </c>
      <c r="R1396" s="8" t="n">
        <f aca="false">IF(M1396&lt;=1,Assumptions!$B$12,IF(M1396&lt;=3,Assumptions!$B$13,IF(M1396&lt;=6,Assumptions!$B$14,Assumptions!$B$15)))</f>
        <v>75</v>
      </c>
      <c r="S1396" s="8" t="n">
        <f aca="false">IF(N1396="Completed On Time",Assumptions!$B$16,IF(N1396="Completed Late",Assumptions!$B$17,Assumptions!$B$18))</f>
        <v>100</v>
      </c>
      <c r="T1396" s="8" t="n">
        <f aca="false">IF(I1396=0,Assumptions!$B$20,IF(H1396&gt;I1396,Assumptions!$B$19,IF(H1396=I1396,Assumptions!$B$20,Assumptions!$B$21)))</f>
        <v>70</v>
      </c>
      <c r="U1396" s="8" t="n">
        <f aca="false">ROUND(P1396*Assumptions!$B$2+Q1396*Assumptions!$B$3+R1396*Assumptions!$B$4+S1396*Assumptions!$B$5+T1396*Assumptions!$B$6,0)</f>
        <v>90</v>
      </c>
      <c r="V1396" s="8" t="str">
        <f aca="false">IF(U1396&gt;=Assumptions!$B$10,"Healthy",IF(U1396&gt;=Assumptions!$B$11,"Needs Attention","High Risk"))</f>
        <v>Healthy</v>
      </c>
    </row>
    <row r="1397" customFormat="false" ht="15" hidden="false" customHeight="false" outlineLevel="0" collapsed="false">
      <c r="A1397" s="8" t="s">
        <v>2936</v>
      </c>
      <c r="B1397" s="8" t="s">
        <v>2937</v>
      </c>
      <c r="C1397" s="8" t="s">
        <v>51</v>
      </c>
      <c r="D1397" s="8" t="s">
        <v>2027</v>
      </c>
      <c r="E1397" s="8" t="s">
        <v>123</v>
      </c>
      <c r="F1397" s="8" t="s">
        <v>223</v>
      </c>
      <c r="G1397" s="8" t="s">
        <v>159</v>
      </c>
      <c r="H1397" s="15" t="n">
        <v>372</v>
      </c>
      <c r="I1397" s="15" t="n">
        <v>372</v>
      </c>
      <c r="J1397" s="16" t="n">
        <v>0.774</v>
      </c>
      <c r="K1397" s="8" t="n">
        <v>11</v>
      </c>
      <c r="L1397" s="8" t="n">
        <v>8</v>
      </c>
      <c r="M1397" s="8" t="n">
        <v>0</v>
      </c>
      <c r="N1397" s="8" t="s">
        <v>120</v>
      </c>
      <c r="O1397" s="15" t="n">
        <f aca="false">H1397*12</f>
        <v>4464</v>
      </c>
      <c r="P1397" s="8" t="n">
        <f aca="false">MIN(100,ROUND(100*J1397/Assumptions!$B$8,0))</f>
        <v>86</v>
      </c>
      <c r="Q1397" s="8" t="n">
        <f aca="false">IF(L1397="",Assumptions!$B$9,L1397*10)</f>
        <v>80</v>
      </c>
      <c r="R1397" s="8" t="n">
        <f aca="false">IF(M1397&lt;=1,Assumptions!$B$12,IF(M1397&lt;=3,Assumptions!$B$13,IF(M1397&lt;=6,Assumptions!$B$14,Assumptions!$B$15)))</f>
        <v>100</v>
      </c>
      <c r="S1397" s="8" t="n">
        <f aca="false">IF(N1397="Completed On Time",Assumptions!$B$16,IF(N1397="Completed Late",Assumptions!$B$17,Assumptions!$B$18))</f>
        <v>100</v>
      </c>
      <c r="T1397" s="8" t="n">
        <f aca="false">IF(I1397=0,Assumptions!$B$20,IF(H1397&gt;I1397,Assumptions!$B$19,IF(H1397=I1397,Assumptions!$B$20,Assumptions!$B$21)))</f>
        <v>70</v>
      </c>
      <c r="U1397" s="8" t="n">
        <f aca="false">ROUND(P1397*Assumptions!$B$2+Q1397*Assumptions!$B$3+R1397*Assumptions!$B$4+S1397*Assumptions!$B$5+T1397*Assumptions!$B$6,0)</f>
        <v>85</v>
      </c>
      <c r="V1397" s="8" t="str">
        <f aca="false">IF(U1397&gt;=Assumptions!$B$10,"Healthy",IF(U1397&gt;=Assumptions!$B$11,"Needs Attention","High Risk"))</f>
        <v>Healthy</v>
      </c>
    </row>
    <row r="1398" customFormat="false" ht="15" hidden="false" customHeight="false" outlineLevel="0" collapsed="false">
      <c r="A1398" s="8" t="s">
        <v>2938</v>
      </c>
      <c r="B1398" s="8" t="s">
        <v>2939</v>
      </c>
      <c r="C1398" s="8" t="s">
        <v>51</v>
      </c>
      <c r="D1398" s="8" t="s">
        <v>2027</v>
      </c>
      <c r="E1398" s="8" t="s">
        <v>128</v>
      </c>
      <c r="F1398" s="8" t="s">
        <v>223</v>
      </c>
      <c r="G1398" s="8" t="s">
        <v>129</v>
      </c>
      <c r="H1398" s="15" t="n">
        <v>372</v>
      </c>
      <c r="I1398" s="15" t="n">
        <v>372</v>
      </c>
      <c r="J1398" s="16" t="n">
        <v>0.688</v>
      </c>
      <c r="K1398" s="8" t="n">
        <v>8.3</v>
      </c>
      <c r="L1398" s="8" t="n">
        <v>8</v>
      </c>
      <c r="M1398" s="8" t="n">
        <v>1</v>
      </c>
      <c r="N1398" s="8" t="s">
        <v>120</v>
      </c>
      <c r="O1398" s="15" t="n">
        <f aca="false">H1398*12</f>
        <v>4464</v>
      </c>
      <c r="P1398" s="8" t="n">
        <f aca="false">MIN(100,ROUND(100*J1398/Assumptions!$B$8,0))</f>
        <v>76</v>
      </c>
      <c r="Q1398" s="8" t="n">
        <f aca="false">IF(L1398="",Assumptions!$B$9,L1398*10)</f>
        <v>80</v>
      </c>
      <c r="R1398" s="8" t="n">
        <f aca="false">IF(M1398&lt;=1,Assumptions!$B$12,IF(M1398&lt;=3,Assumptions!$B$13,IF(M1398&lt;=6,Assumptions!$B$14,Assumptions!$B$15)))</f>
        <v>100</v>
      </c>
      <c r="S1398" s="8" t="n">
        <f aca="false">IF(N1398="Completed On Time",Assumptions!$B$16,IF(N1398="Completed Late",Assumptions!$B$17,Assumptions!$B$18))</f>
        <v>100</v>
      </c>
      <c r="T1398" s="8" t="n">
        <f aca="false">IF(I1398=0,Assumptions!$B$20,IF(H1398&gt;I1398,Assumptions!$B$19,IF(H1398=I1398,Assumptions!$B$20,Assumptions!$B$21)))</f>
        <v>70</v>
      </c>
      <c r="U1398" s="8" t="n">
        <f aca="false">ROUND(P1398*Assumptions!$B$2+Q1398*Assumptions!$B$3+R1398*Assumptions!$B$4+S1398*Assumptions!$B$5+T1398*Assumptions!$B$6,0)</f>
        <v>82</v>
      </c>
      <c r="V1398" s="8" t="str">
        <f aca="false">IF(U1398&gt;=Assumptions!$B$10,"Healthy",IF(U1398&gt;=Assumptions!$B$11,"Needs Attention","High Risk"))</f>
        <v>Healthy</v>
      </c>
    </row>
    <row r="1399" customFormat="false" ht="15" hidden="false" customHeight="false" outlineLevel="0" collapsed="false">
      <c r="A1399" s="8" t="s">
        <v>2940</v>
      </c>
      <c r="B1399" s="8" t="s">
        <v>2941</v>
      </c>
      <c r="C1399" s="8" t="s">
        <v>51</v>
      </c>
      <c r="D1399" s="8" t="s">
        <v>2027</v>
      </c>
      <c r="E1399" s="8" t="s">
        <v>123</v>
      </c>
      <c r="F1399" s="8" t="s">
        <v>166</v>
      </c>
      <c r="G1399" s="8" t="s">
        <v>140</v>
      </c>
      <c r="H1399" s="15" t="n">
        <v>372</v>
      </c>
      <c r="I1399" s="15" t="n">
        <v>372</v>
      </c>
      <c r="J1399" s="16" t="n">
        <v>0.925</v>
      </c>
      <c r="K1399" s="8" t="n">
        <v>11.3</v>
      </c>
      <c r="L1399" s="8" t="n">
        <v>10</v>
      </c>
      <c r="M1399" s="8" t="n">
        <v>2</v>
      </c>
      <c r="N1399" s="8" t="s">
        <v>120</v>
      </c>
      <c r="O1399" s="15" t="n">
        <f aca="false">H1399*12</f>
        <v>4464</v>
      </c>
      <c r="P1399" s="8" t="n">
        <f aca="false">MIN(100,ROUND(100*J1399/Assumptions!$B$8,0))</f>
        <v>100</v>
      </c>
      <c r="Q1399" s="8" t="n">
        <f aca="false">IF(L1399="",Assumptions!$B$9,L1399*10)</f>
        <v>100</v>
      </c>
      <c r="R1399" s="8" t="n">
        <f aca="false">IF(M1399&lt;=1,Assumptions!$B$12,IF(M1399&lt;=3,Assumptions!$B$13,IF(M1399&lt;=6,Assumptions!$B$14,Assumptions!$B$15)))</f>
        <v>75</v>
      </c>
      <c r="S1399" s="8" t="n">
        <f aca="false">IF(N1399="Completed On Time",Assumptions!$B$16,IF(N1399="Completed Late",Assumptions!$B$17,Assumptions!$B$18))</f>
        <v>100</v>
      </c>
      <c r="T1399" s="8" t="n">
        <f aca="false">IF(I1399=0,Assumptions!$B$20,IF(H1399&gt;I1399,Assumptions!$B$19,IF(H1399=I1399,Assumptions!$B$20,Assumptions!$B$21)))</f>
        <v>70</v>
      </c>
      <c r="U1399" s="8" t="n">
        <f aca="false">ROUND(P1399*Assumptions!$B$2+Q1399*Assumptions!$B$3+R1399*Assumptions!$B$4+S1399*Assumptions!$B$5+T1399*Assumptions!$B$6,0)</f>
        <v>90</v>
      </c>
      <c r="V1399" s="8" t="str">
        <f aca="false">IF(U1399&gt;=Assumptions!$B$10,"Healthy",IF(U1399&gt;=Assumptions!$B$11,"Needs Attention","High Risk"))</f>
        <v>Healthy</v>
      </c>
    </row>
    <row r="1400" customFormat="false" ht="15" hidden="false" customHeight="false" outlineLevel="0" collapsed="false">
      <c r="A1400" s="8" t="s">
        <v>2942</v>
      </c>
      <c r="B1400" s="8" t="s">
        <v>2943</v>
      </c>
      <c r="C1400" s="8" t="s">
        <v>51</v>
      </c>
      <c r="D1400" s="8" t="s">
        <v>2027</v>
      </c>
      <c r="E1400" s="8" t="s">
        <v>132</v>
      </c>
      <c r="F1400" s="8" t="s">
        <v>154</v>
      </c>
      <c r="G1400" s="8" t="s">
        <v>129</v>
      </c>
      <c r="H1400" s="15" t="n">
        <v>372</v>
      </c>
      <c r="I1400" s="15" t="n">
        <v>372</v>
      </c>
      <c r="J1400" s="16" t="n">
        <v>0.688</v>
      </c>
      <c r="K1400" s="8" t="n">
        <v>8</v>
      </c>
      <c r="L1400" s="8" t="n">
        <v>9</v>
      </c>
      <c r="M1400" s="8" t="n">
        <v>4</v>
      </c>
      <c r="N1400" s="8" t="s">
        <v>120</v>
      </c>
      <c r="O1400" s="15" t="n">
        <f aca="false">H1400*12</f>
        <v>4464</v>
      </c>
      <c r="P1400" s="8" t="n">
        <f aca="false">MIN(100,ROUND(100*J1400/Assumptions!$B$8,0))</f>
        <v>76</v>
      </c>
      <c r="Q1400" s="8" t="n">
        <f aca="false">IF(L1400="",Assumptions!$B$9,L1400*10)</f>
        <v>90</v>
      </c>
      <c r="R1400" s="8" t="n">
        <f aca="false">IF(M1400&lt;=1,Assumptions!$B$12,IF(M1400&lt;=3,Assumptions!$B$13,IF(M1400&lt;=6,Assumptions!$B$14,Assumptions!$B$15)))</f>
        <v>50</v>
      </c>
      <c r="S1400" s="8" t="n">
        <f aca="false">IF(N1400="Completed On Time",Assumptions!$B$16,IF(N1400="Completed Late",Assumptions!$B$17,Assumptions!$B$18))</f>
        <v>100</v>
      </c>
      <c r="T1400" s="8" t="n">
        <f aca="false">IF(I1400=0,Assumptions!$B$20,IF(H1400&gt;I1400,Assumptions!$B$19,IF(H1400=I1400,Assumptions!$B$20,Assumptions!$B$21)))</f>
        <v>70</v>
      </c>
      <c r="U1400" s="8" t="n">
        <f aca="false">ROUND(P1400*Assumptions!$B$2+Q1400*Assumptions!$B$3+R1400*Assumptions!$B$4+S1400*Assumptions!$B$5+T1400*Assumptions!$B$6,0)</f>
        <v>76</v>
      </c>
      <c r="V1400" s="8" t="str">
        <f aca="false">IF(U1400&gt;=Assumptions!$B$10,"Healthy",IF(U1400&gt;=Assumptions!$B$11,"Needs Attention","High Risk"))</f>
        <v>Needs Attention</v>
      </c>
    </row>
    <row r="1401" customFormat="false" ht="15" hidden="false" customHeight="false" outlineLevel="0" collapsed="false">
      <c r="A1401" s="8" t="s">
        <v>2944</v>
      </c>
      <c r="B1401" s="8" t="s">
        <v>2945</v>
      </c>
      <c r="C1401" s="8" t="s">
        <v>51</v>
      </c>
      <c r="D1401" s="8" t="s">
        <v>2027</v>
      </c>
      <c r="E1401" s="8" t="s">
        <v>132</v>
      </c>
      <c r="F1401" s="8" t="s">
        <v>124</v>
      </c>
      <c r="G1401" s="8" t="s">
        <v>204</v>
      </c>
      <c r="H1401" s="15" t="n">
        <v>372</v>
      </c>
      <c r="I1401" s="15" t="n">
        <v>372</v>
      </c>
      <c r="J1401" s="16" t="n">
        <v>0.817</v>
      </c>
      <c r="K1401" s="8" t="n">
        <v>11</v>
      </c>
      <c r="L1401" s="8" t="n">
        <v>9</v>
      </c>
      <c r="M1401" s="8" t="n">
        <v>0</v>
      </c>
      <c r="N1401" s="8" t="s">
        <v>120</v>
      </c>
      <c r="O1401" s="15" t="n">
        <f aca="false">H1401*12</f>
        <v>4464</v>
      </c>
      <c r="P1401" s="8" t="n">
        <f aca="false">MIN(100,ROUND(100*J1401/Assumptions!$B$8,0))</f>
        <v>91</v>
      </c>
      <c r="Q1401" s="8" t="n">
        <f aca="false">IF(L1401="",Assumptions!$B$9,L1401*10)</f>
        <v>90</v>
      </c>
      <c r="R1401" s="8" t="n">
        <f aca="false">IF(M1401&lt;=1,Assumptions!$B$12,IF(M1401&lt;=3,Assumptions!$B$13,IF(M1401&lt;=6,Assumptions!$B$14,Assumptions!$B$15)))</f>
        <v>100</v>
      </c>
      <c r="S1401" s="8" t="n">
        <f aca="false">IF(N1401="Completed On Time",Assumptions!$B$16,IF(N1401="Completed Late",Assumptions!$B$17,Assumptions!$B$18))</f>
        <v>100</v>
      </c>
      <c r="T1401" s="8" t="n">
        <f aca="false">IF(I1401=0,Assumptions!$B$20,IF(H1401&gt;I1401,Assumptions!$B$19,IF(H1401=I1401,Assumptions!$B$20,Assumptions!$B$21)))</f>
        <v>70</v>
      </c>
      <c r="U1401" s="8" t="n">
        <f aca="false">ROUND(P1401*Assumptions!$B$2+Q1401*Assumptions!$B$3+R1401*Assumptions!$B$4+S1401*Assumptions!$B$5+T1401*Assumptions!$B$6,0)</f>
        <v>89</v>
      </c>
      <c r="V1401" s="8" t="str">
        <f aca="false">IF(U1401&gt;=Assumptions!$B$10,"Healthy",IF(U1401&gt;=Assumptions!$B$11,"Needs Attention","High Risk"))</f>
        <v>Healthy</v>
      </c>
    </row>
    <row r="1402" customFormat="false" ht="15" hidden="false" customHeight="false" outlineLevel="0" collapsed="false">
      <c r="A1402" s="8" t="s">
        <v>2946</v>
      </c>
      <c r="B1402" s="8" t="s">
        <v>2947</v>
      </c>
      <c r="C1402" s="8" t="s">
        <v>51</v>
      </c>
      <c r="D1402" s="8" t="s">
        <v>2027</v>
      </c>
      <c r="E1402" s="8" t="s">
        <v>132</v>
      </c>
      <c r="F1402" s="8" t="s">
        <v>124</v>
      </c>
      <c r="G1402" s="8" t="s">
        <v>204</v>
      </c>
      <c r="H1402" s="15" t="n">
        <v>372</v>
      </c>
      <c r="I1402" s="15" t="n">
        <v>372</v>
      </c>
      <c r="J1402" s="16" t="n">
        <v>0.699</v>
      </c>
      <c r="K1402" s="8" t="n">
        <v>7</v>
      </c>
      <c r="L1402" s="8" t="n">
        <v>9</v>
      </c>
      <c r="M1402" s="8" t="n">
        <v>3</v>
      </c>
      <c r="N1402" s="8" t="s">
        <v>120</v>
      </c>
      <c r="O1402" s="15" t="n">
        <f aca="false">H1402*12</f>
        <v>4464</v>
      </c>
      <c r="P1402" s="8" t="n">
        <f aca="false">MIN(100,ROUND(100*J1402/Assumptions!$B$8,0))</f>
        <v>78</v>
      </c>
      <c r="Q1402" s="8" t="n">
        <f aca="false">IF(L1402="",Assumptions!$B$9,L1402*10)</f>
        <v>90</v>
      </c>
      <c r="R1402" s="8" t="n">
        <f aca="false">IF(M1402&lt;=1,Assumptions!$B$12,IF(M1402&lt;=3,Assumptions!$B$13,IF(M1402&lt;=6,Assumptions!$B$14,Assumptions!$B$15)))</f>
        <v>75</v>
      </c>
      <c r="S1402" s="8" t="n">
        <f aca="false">IF(N1402="Completed On Time",Assumptions!$B$16,IF(N1402="Completed Late",Assumptions!$B$17,Assumptions!$B$18))</f>
        <v>100</v>
      </c>
      <c r="T1402" s="8" t="n">
        <f aca="false">IF(I1402=0,Assumptions!$B$20,IF(H1402&gt;I1402,Assumptions!$B$19,IF(H1402=I1402,Assumptions!$B$20,Assumptions!$B$21)))</f>
        <v>70</v>
      </c>
      <c r="U1402" s="8" t="n">
        <f aca="false">ROUND(P1402*Assumptions!$B$2+Q1402*Assumptions!$B$3+R1402*Assumptions!$B$4+S1402*Assumptions!$B$5+T1402*Assumptions!$B$6,0)</f>
        <v>81</v>
      </c>
      <c r="V1402" s="8" t="str">
        <f aca="false">IF(U1402&gt;=Assumptions!$B$10,"Healthy",IF(U1402&gt;=Assumptions!$B$11,"Needs Attention","High Risk"))</f>
        <v>Healthy</v>
      </c>
    </row>
    <row r="1403" customFormat="false" ht="15" hidden="false" customHeight="false" outlineLevel="0" collapsed="false">
      <c r="A1403" s="8" t="s">
        <v>2948</v>
      </c>
      <c r="B1403" s="8" t="s">
        <v>2949</v>
      </c>
      <c r="C1403" s="8" t="s">
        <v>51</v>
      </c>
      <c r="D1403" s="8" t="s">
        <v>2027</v>
      </c>
      <c r="E1403" s="8" t="s">
        <v>117</v>
      </c>
      <c r="F1403" s="8" t="s">
        <v>143</v>
      </c>
      <c r="G1403" s="8" t="s">
        <v>140</v>
      </c>
      <c r="H1403" s="15" t="n">
        <v>372</v>
      </c>
      <c r="I1403" s="15" t="n">
        <v>372</v>
      </c>
      <c r="J1403" s="16" t="n">
        <v>0.72</v>
      </c>
      <c r="K1403" s="8" t="n">
        <v>8.7</v>
      </c>
      <c r="L1403" s="8" t="n">
        <v>10</v>
      </c>
      <c r="M1403" s="8" t="n">
        <v>1</v>
      </c>
      <c r="N1403" s="8" t="s">
        <v>120</v>
      </c>
      <c r="O1403" s="15" t="n">
        <f aca="false">H1403*12</f>
        <v>4464</v>
      </c>
      <c r="P1403" s="8" t="n">
        <f aca="false">MIN(100,ROUND(100*J1403/Assumptions!$B$8,0))</f>
        <v>80</v>
      </c>
      <c r="Q1403" s="8" t="n">
        <f aca="false">IF(L1403="",Assumptions!$B$9,L1403*10)</f>
        <v>100</v>
      </c>
      <c r="R1403" s="8" t="n">
        <f aca="false">IF(M1403&lt;=1,Assumptions!$B$12,IF(M1403&lt;=3,Assumptions!$B$13,IF(M1403&lt;=6,Assumptions!$B$14,Assumptions!$B$15)))</f>
        <v>100</v>
      </c>
      <c r="S1403" s="8" t="n">
        <f aca="false">IF(N1403="Completed On Time",Assumptions!$B$16,IF(N1403="Completed Late",Assumptions!$B$17,Assumptions!$B$18))</f>
        <v>100</v>
      </c>
      <c r="T1403" s="8" t="n">
        <f aca="false">IF(I1403=0,Assumptions!$B$20,IF(H1403&gt;I1403,Assumptions!$B$19,IF(H1403=I1403,Assumptions!$B$20,Assumptions!$B$21)))</f>
        <v>70</v>
      </c>
      <c r="U1403" s="8" t="n">
        <f aca="false">ROUND(P1403*Assumptions!$B$2+Q1403*Assumptions!$B$3+R1403*Assumptions!$B$4+S1403*Assumptions!$B$5+T1403*Assumptions!$B$6,0)</f>
        <v>87</v>
      </c>
      <c r="V1403" s="8" t="str">
        <f aca="false">IF(U1403&gt;=Assumptions!$B$10,"Healthy",IF(U1403&gt;=Assumptions!$B$11,"Needs Attention","High Risk"))</f>
        <v>Healthy</v>
      </c>
    </row>
    <row r="1404" customFormat="false" ht="15" hidden="false" customHeight="false" outlineLevel="0" collapsed="false">
      <c r="A1404" s="8" t="s">
        <v>2950</v>
      </c>
      <c r="B1404" s="8" t="s">
        <v>2951</v>
      </c>
      <c r="C1404" s="8" t="s">
        <v>51</v>
      </c>
      <c r="D1404" s="8" t="s">
        <v>2027</v>
      </c>
      <c r="E1404" s="8" t="s">
        <v>117</v>
      </c>
      <c r="F1404" s="8" t="s">
        <v>136</v>
      </c>
      <c r="G1404" s="8" t="s">
        <v>129</v>
      </c>
      <c r="H1404" s="15" t="n">
        <v>372</v>
      </c>
      <c r="I1404" s="15" t="n">
        <v>372</v>
      </c>
      <c r="J1404" s="16" t="n">
        <v>0.903</v>
      </c>
      <c r="K1404" s="8" t="n">
        <v>10.7</v>
      </c>
      <c r="L1404" s="8" t="n">
        <v>7</v>
      </c>
      <c r="M1404" s="8" t="n">
        <v>1</v>
      </c>
      <c r="N1404" s="8" t="s">
        <v>120</v>
      </c>
      <c r="O1404" s="15" t="n">
        <f aca="false">H1404*12</f>
        <v>4464</v>
      </c>
      <c r="P1404" s="8" t="n">
        <f aca="false">MIN(100,ROUND(100*J1404/Assumptions!$B$8,0))</f>
        <v>100</v>
      </c>
      <c r="Q1404" s="8" t="n">
        <f aca="false">IF(L1404="",Assumptions!$B$9,L1404*10)</f>
        <v>70</v>
      </c>
      <c r="R1404" s="8" t="n">
        <f aca="false">IF(M1404&lt;=1,Assumptions!$B$12,IF(M1404&lt;=3,Assumptions!$B$13,IF(M1404&lt;=6,Assumptions!$B$14,Assumptions!$B$15)))</f>
        <v>100</v>
      </c>
      <c r="S1404" s="8" t="n">
        <f aca="false">IF(N1404="Completed On Time",Assumptions!$B$16,IF(N1404="Completed Late",Assumptions!$B$17,Assumptions!$B$18))</f>
        <v>100</v>
      </c>
      <c r="T1404" s="8" t="n">
        <f aca="false">IF(I1404=0,Assumptions!$B$20,IF(H1404&gt;I1404,Assumptions!$B$19,IF(H1404=I1404,Assumptions!$B$20,Assumptions!$B$21)))</f>
        <v>70</v>
      </c>
      <c r="U1404" s="8" t="n">
        <f aca="false">ROUND(P1404*Assumptions!$B$2+Q1404*Assumptions!$B$3+R1404*Assumptions!$B$4+S1404*Assumptions!$B$5+T1404*Assumptions!$B$6,0)</f>
        <v>88</v>
      </c>
      <c r="V1404" s="8" t="str">
        <f aca="false">IF(U1404&gt;=Assumptions!$B$10,"Healthy",IF(U1404&gt;=Assumptions!$B$11,"Needs Attention","High Risk"))</f>
        <v>Healthy</v>
      </c>
    </row>
    <row r="1405" customFormat="false" ht="15" hidden="false" customHeight="false" outlineLevel="0" collapsed="false">
      <c r="A1405" s="8" t="s">
        <v>2952</v>
      </c>
      <c r="B1405" s="8" t="s">
        <v>2953</v>
      </c>
      <c r="C1405" s="8" t="s">
        <v>51</v>
      </c>
      <c r="D1405" s="8" t="s">
        <v>2027</v>
      </c>
      <c r="E1405" s="8" t="s">
        <v>132</v>
      </c>
      <c r="F1405" s="8" t="s">
        <v>166</v>
      </c>
      <c r="G1405" s="8" t="s">
        <v>185</v>
      </c>
      <c r="H1405" s="15" t="n">
        <v>372</v>
      </c>
      <c r="I1405" s="15" t="n">
        <v>372</v>
      </c>
      <c r="J1405" s="16" t="n">
        <v>0.731</v>
      </c>
      <c r="K1405" s="8" t="n">
        <v>8</v>
      </c>
      <c r="L1405" s="8" t="n">
        <v>8</v>
      </c>
      <c r="M1405" s="8" t="n">
        <v>2</v>
      </c>
      <c r="N1405" s="8" t="s">
        <v>120</v>
      </c>
      <c r="O1405" s="15" t="n">
        <f aca="false">H1405*12</f>
        <v>4464</v>
      </c>
      <c r="P1405" s="8" t="n">
        <f aca="false">MIN(100,ROUND(100*J1405/Assumptions!$B$8,0))</f>
        <v>81</v>
      </c>
      <c r="Q1405" s="8" t="n">
        <f aca="false">IF(L1405="",Assumptions!$B$9,L1405*10)</f>
        <v>80</v>
      </c>
      <c r="R1405" s="8" t="n">
        <f aca="false">IF(M1405&lt;=1,Assumptions!$B$12,IF(M1405&lt;=3,Assumptions!$B$13,IF(M1405&lt;=6,Assumptions!$B$14,Assumptions!$B$15)))</f>
        <v>75</v>
      </c>
      <c r="S1405" s="8" t="n">
        <f aca="false">IF(N1405="Completed On Time",Assumptions!$B$16,IF(N1405="Completed Late",Assumptions!$B$17,Assumptions!$B$18))</f>
        <v>100</v>
      </c>
      <c r="T1405" s="8" t="n">
        <f aca="false">IF(I1405=0,Assumptions!$B$20,IF(H1405&gt;I1405,Assumptions!$B$19,IF(H1405=I1405,Assumptions!$B$20,Assumptions!$B$21)))</f>
        <v>70</v>
      </c>
      <c r="U1405" s="8" t="n">
        <f aca="false">ROUND(P1405*Assumptions!$B$2+Q1405*Assumptions!$B$3+R1405*Assumptions!$B$4+S1405*Assumptions!$B$5+T1405*Assumptions!$B$6,0)</f>
        <v>80</v>
      </c>
      <c r="V1405" s="8" t="str">
        <f aca="false">IF(U1405&gt;=Assumptions!$B$10,"Healthy",IF(U1405&gt;=Assumptions!$B$11,"Needs Attention","High Risk"))</f>
        <v>Healthy</v>
      </c>
    </row>
    <row r="1406" customFormat="false" ht="15" hidden="false" customHeight="false" outlineLevel="0" collapsed="false">
      <c r="A1406" s="8" t="s">
        <v>2954</v>
      </c>
      <c r="B1406" s="8" t="s">
        <v>2955</v>
      </c>
      <c r="C1406" s="8" t="s">
        <v>51</v>
      </c>
      <c r="D1406" s="8" t="s">
        <v>2027</v>
      </c>
      <c r="E1406" s="8" t="s">
        <v>123</v>
      </c>
      <c r="F1406" s="8" t="s">
        <v>124</v>
      </c>
      <c r="G1406" s="8" t="s">
        <v>147</v>
      </c>
      <c r="H1406" s="15" t="n">
        <v>372</v>
      </c>
      <c r="I1406" s="15" t="n">
        <v>372</v>
      </c>
      <c r="J1406" s="16" t="n">
        <v>0.935</v>
      </c>
      <c r="K1406" s="8" t="n">
        <v>10.3</v>
      </c>
      <c r="L1406" s="8" t="n">
        <v>10</v>
      </c>
      <c r="M1406" s="8" t="n">
        <v>0</v>
      </c>
      <c r="N1406" s="8" t="s">
        <v>120</v>
      </c>
      <c r="O1406" s="15" t="n">
        <f aca="false">H1406*12</f>
        <v>4464</v>
      </c>
      <c r="P1406" s="8" t="n">
        <f aca="false">MIN(100,ROUND(100*J1406/Assumptions!$B$8,0))</f>
        <v>100</v>
      </c>
      <c r="Q1406" s="8" t="n">
        <f aca="false">IF(L1406="",Assumptions!$B$9,L1406*10)</f>
        <v>100</v>
      </c>
      <c r="R1406" s="8" t="n">
        <f aca="false">IF(M1406&lt;=1,Assumptions!$B$12,IF(M1406&lt;=3,Assumptions!$B$13,IF(M1406&lt;=6,Assumptions!$B$14,Assumptions!$B$15)))</f>
        <v>100</v>
      </c>
      <c r="S1406" s="8" t="n">
        <f aca="false">IF(N1406="Completed On Time",Assumptions!$B$16,IF(N1406="Completed Late",Assumptions!$B$17,Assumptions!$B$18))</f>
        <v>100</v>
      </c>
      <c r="T1406" s="8" t="n">
        <f aca="false">IF(I1406=0,Assumptions!$B$20,IF(H1406&gt;I1406,Assumptions!$B$19,IF(H1406=I1406,Assumptions!$B$20,Assumptions!$B$21)))</f>
        <v>70</v>
      </c>
      <c r="U1406" s="8" t="n">
        <f aca="false">ROUND(P1406*Assumptions!$B$2+Q1406*Assumptions!$B$3+R1406*Assumptions!$B$4+S1406*Assumptions!$B$5+T1406*Assumptions!$B$6,0)</f>
        <v>94</v>
      </c>
      <c r="V1406" s="8" t="str">
        <f aca="false">IF(U1406&gt;=Assumptions!$B$10,"Healthy",IF(U1406&gt;=Assumptions!$B$11,"Needs Attention","High Risk"))</f>
        <v>Healthy</v>
      </c>
    </row>
    <row r="1407" customFormat="false" ht="15" hidden="false" customHeight="false" outlineLevel="0" collapsed="false">
      <c r="A1407" s="8" t="s">
        <v>2956</v>
      </c>
      <c r="B1407" s="8" t="s">
        <v>2957</v>
      </c>
      <c r="C1407" s="8" t="s">
        <v>51</v>
      </c>
      <c r="D1407" s="8" t="s">
        <v>2027</v>
      </c>
      <c r="E1407" s="8" t="s">
        <v>132</v>
      </c>
      <c r="F1407" s="8" t="s">
        <v>166</v>
      </c>
      <c r="G1407" s="8" t="s">
        <v>140</v>
      </c>
      <c r="H1407" s="15" t="n">
        <v>372</v>
      </c>
      <c r="I1407" s="15" t="n">
        <v>372</v>
      </c>
      <c r="J1407" s="16" t="n">
        <v>0.505</v>
      </c>
      <c r="K1407" s="8" t="n">
        <v>6</v>
      </c>
      <c r="L1407" s="8" t="n">
        <v>4</v>
      </c>
      <c r="M1407" s="8" t="n">
        <v>2</v>
      </c>
      <c r="N1407" s="8" t="s">
        <v>120</v>
      </c>
      <c r="O1407" s="15" t="n">
        <f aca="false">H1407*12</f>
        <v>4464</v>
      </c>
      <c r="P1407" s="8" t="n">
        <f aca="false">MIN(100,ROUND(100*J1407/Assumptions!$B$8,0))</f>
        <v>56</v>
      </c>
      <c r="Q1407" s="8" t="n">
        <f aca="false">IF(L1407="",Assumptions!$B$9,L1407*10)</f>
        <v>40</v>
      </c>
      <c r="R1407" s="8" t="n">
        <f aca="false">IF(M1407&lt;=1,Assumptions!$B$12,IF(M1407&lt;=3,Assumptions!$B$13,IF(M1407&lt;=6,Assumptions!$B$14,Assumptions!$B$15)))</f>
        <v>75</v>
      </c>
      <c r="S1407" s="8" t="n">
        <f aca="false">IF(N1407="Completed On Time",Assumptions!$B$16,IF(N1407="Completed Late",Assumptions!$B$17,Assumptions!$B$18))</f>
        <v>100</v>
      </c>
      <c r="T1407" s="8" t="n">
        <f aca="false">IF(I1407=0,Assumptions!$B$20,IF(H1407&gt;I1407,Assumptions!$B$19,IF(H1407=I1407,Assumptions!$B$20,Assumptions!$B$21)))</f>
        <v>70</v>
      </c>
      <c r="U1407" s="8" t="n">
        <f aca="false">ROUND(P1407*Assumptions!$B$2+Q1407*Assumptions!$B$3+R1407*Assumptions!$B$4+S1407*Assumptions!$B$5+T1407*Assumptions!$B$6,0)</f>
        <v>63</v>
      </c>
      <c r="V1407" s="8" t="str">
        <f aca="false">IF(U1407&gt;=Assumptions!$B$10,"Healthy",IF(U1407&gt;=Assumptions!$B$11,"Needs Attention","High Risk"))</f>
        <v>High Risk</v>
      </c>
    </row>
    <row r="1408" customFormat="false" ht="15" hidden="false" customHeight="false" outlineLevel="0" collapsed="false">
      <c r="A1408" s="8" t="s">
        <v>2958</v>
      </c>
      <c r="B1408" s="8" t="s">
        <v>2959</v>
      </c>
      <c r="C1408" s="8" t="s">
        <v>51</v>
      </c>
      <c r="D1408" s="8" t="s">
        <v>2027</v>
      </c>
      <c r="E1408" s="8" t="s">
        <v>117</v>
      </c>
      <c r="F1408" s="8" t="s">
        <v>133</v>
      </c>
      <c r="G1408" s="8" t="s">
        <v>137</v>
      </c>
      <c r="H1408" s="15" t="n">
        <v>372</v>
      </c>
      <c r="I1408" s="15" t="n">
        <v>372</v>
      </c>
      <c r="J1408" s="16" t="n">
        <v>0.677</v>
      </c>
      <c r="K1408" s="8" t="n">
        <v>7.3</v>
      </c>
      <c r="L1408" s="8" t="n">
        <v>10</v>
      </c>
      <c r="M1408" s="8" t="n">
        <v>3</v>
      </c>
      <c r="N1408" s="8" t="s">
        <v>120</v>
      </c>
      <c r="O1408" s="15" t="n">
        <f aca="false">H1408*12</f>
        <v>4464</v>
      </c>
      <c r="P1408" s="8" t="n">
        <f aca="false">MIN(100,ROUND(100*J1408/Assumptions!$B$8,0))</f>
        <v>75</v>
      </c>
      <c r="Q1408" s="8" t="n">
        <f aca="false">IF(L1408="",Assumptions!$B$9,L1408*10)</f>
        <v>100</v>
      </c>
      <c r="R1408" s="8" t="n">
        <f aca="false">IF(M1408&lt;=1,Assumptions!$B$12,IF(M1408&lt;=3,Assumptions!$B$13,IF(M1408&lt;=6,Assumptions!$B$14,Assumptions!$B$15)))</f>
        <v>75</v>
      </c>
      <c r="S1408" s="8" t="n">
        <f aca="false">IF(N1408="Completed On Time",Assumptions!$B$16,IF(N1408="Completed Late",Assumptions!$B$17,Assumptions!$B$18))</f>
        <v>100</v>
      </c>
      <c r="T1408" s="8" t="n">
        <f aca="false">IF(I1408=0,Assumptions!$B$20,IF(H1408&gt;I1408,Assumptions!$B$19,IF(H1408=I1408,Assumptions!$B$20,Assumptions!$B$21)))</f>
        <v>70</v>
      </c>
      <c r="U1408" s="8" t="n">
        <f aca="false">ROUND(P1408*Assumptions!$B$2+Q1408*Assumptions!$B$3+R1408*Assumptions!$B$4+S1408*Assumptions!$B$5+T1408*Assumptions!$B$6,0)</f>
        <v>82</v>
      </c>
      <c r="V1408" s="8" t="str">
        <f aca="false">IF(U1408&gt;=Assumptions!$B$10,"Healthy",IF(U1408&gt;=Assumptions!$B$11,"Needs Attention","High Risk"))</f>
        <v>Healthy</v>
      </c>
    </row>
    <row r="1409" customFormat="false" ht="15" hidden="false" customHeight="false" outlineLevel="0" collapsed="false">
      <c r="A1409" s="8" t="s">
        <v>2960</v>
      </c>
      <c r="B1409" s="8" t="s">
        <v>2961</v>
      </c>
      <c r="C1409" s="8" t="s">
        <v>51</v>
      </c>
      <c r="D1409" s="8" t="s">
        <v>2027</v>
      </c>
      <c r="E1409" s="8" t="s">
        <v>123</v>
      </c>
      <c r="F1409" s="8" t="s">
        <v>190</v>
      </c>
      <c r="G1409" s="8" t="s">
        <v>185</v>
      </c>
      <c r="H1409" s="15" t="n">
        <v>372</v>
      </c>
      <c r="I1409" s="15" t="n">
        <v>372</v>
      </c>
      <c r="J1409" s="16" t="n">
        <v>0.892</v>
      </c>
      <c r="K1409" s="8" t="n">
        <v>9.7</v>
      </c>
      <c r="L1409" s="8" t="n">
        <v>10</v>
      </c>
      <c r="M1409" s="8" t="n">
        <v>2</v>
      </c>
      <c r="N1409" s="8" t="s">
        <v>120</v>
      </c>
      <c r="O1409" s="15" t="n">
        <f aca="false">H1409*12</f>
        <v>4464</v>
      </c>
      <c r="P1409" s="8" t="n">
        <f aca="false">MIN(100,ROUND(100*J1409/Assumptions!$B$8,0))</f>
        <v>99</v>
      </c>
      <c r="Q1409" s="8" t="n">
        <f aca="false">IF(L1409="",Assumptions!$B$9,L1409*10)</f>
        <v>100</v>
      </c>
      <c r="R1409" s="8" t="n">
        <f aca="false">IF(M1409&lt;=1,Assumptions!$B$12,IF(M1409&lt;=3,Assumptions!$B$13,IF(M1409&lt;=6,Assumptions!$B$14,Assumptions!$B$15)))</f>
        <v>75</v>
      </c>
      <c r="S1409" s="8" t="n">
        <f aca="false">IF(N1409="Completed On Time",Assumptions!$B$16,IF(N1409="Completed Late",Assumptions!$B$17,Assumptions!$B$18))</f>
        <v>100</v>
      </c>
      <c r="T1409" s="8" t="n">
        <f aca="false">IF(I1409=0,Assumptions!$B$20,IF(H1409&gt;I1409,Assumptions!$B$19,IF(H1409=I1409,Assumptions!$B$20,Assumptions!$B$21)))</f>
        <v>70</v>
      </c>
      <c r="U1409" s="8" t="n">
        <f aca="false">ROUND(P1409*Assumptions!$B$2+Q1409*Assumptions!$B$3+R1409*Assumptions!$B$4+S1409*Assumptions!$B$5+T1409*Assumptions!$B$6,0)</f>
        <v>90</v>
      </c>
      <c r="V1409" s="8" t="str">
        <f aca="false">IF(U1409&gt;=Assumptions!$B$10,"Healthy",IF(U1409&gt;=Assumptions!$B$11,"Needs Attention","High Risk"))</f>
        <v>Healthy</v>
      </c>
    </row>
    <row r="1410" customFormat="false" ht="15" hidden="false" customHeight="false" outlineLevel="0" collapsed="false">
      <c r="A1410" s="8" t="s">
        <v>2962</v>
      </c>
      <c r="B1410" s="8" t="s">
        <v>2963</v>
      </c>
      <c r="C1410" s="8" t="s">
        <v>51</v>
      </c>
      <c r="D1410" s="8" t="s">
        <v>2027</v>
      </c>
      <c r="E1410" s="8" t="s">
        <v>128</v>
      </c>
      <c r="F1410" s="8" t="s">
        <v>151</v>
      </c>
      <c r="G1410" s="8" t="s">
        <v>180</v>
      </c>
      <c r="H1410" s="15" t="n">
        <v>372</v>
      </c>
      <c r="I1410" s="15" t="n">
        <v>0</v>
      </c>
      <c r="J1410" s="16" t="n">
        <v>0.629</v>
      </c>
      <c r="K1410" s="8" t="n">
        <v>7.5</v>
      </c>
      <c r="L1410" s="8"/>
      <c r="M1410" s="8" t="n">
        <v>1</v>
      </c>
      <c r="N1410" s="8" t="s">
        <v>120</v>
      </c>
      <c r="O1410" s="15" t="n">
        <f aca="false">H1410*12</f>
        <v>4464</v>
      </c>
      <c r="P1410" s="8" t="n">
        <f aca="false">MIN(100,ROUND(100*J1410/Assumptions!$B$8,0))</f>
        <v>70</v>
      </c>
      <c r="Q1410" s="8" t="n">
        <f aca="false">IF(L1410="",Assumptions!$B$9,L1410*10)</f>
        <v>50</v>
      </c>
      <c r="R1410" s="8" t="n">
        <f aca="false">IF(M1410&lt;=1,Assumptions!$B$12,IF(M1410&lt;=3,Assumptions!$B$13,IF(M1410&lt;=6,Assumptions!$B$14,Assumptions!$B$15)))</f>
        <v>100</v>
      </c>
      <c r="S1410" s="8" t="n">
        <f aca="false">IF(N1410="Completed On Time",Assumptions!$B$16,IF(N1410="Completed Late",Assumptions!$B$17,Assumptions!$B$18))</f>
        <v>100</v>
      </c>
      <c r="T1410" s="8" t="n">
        <f aca="false">IF(I1410=0,Assumptions!$B$20,IF(H1410&gt;I1410,Assumptions!$B$19,IF(H1410=I1410,Assumptions!$B$20,Assumptions!$B$21)))</f>
        <v>70</v>
      </c>
      <c r="U1410" s="8" t="n">
        <f aca="false">ROUND(P1410*Assumptions!$B$2+Q1410*Assumptions!$B$3+R1410*Assumptions!$B$4+S1410*Assumptions!$B$5+T1410*Assumptions!$B$6,0)</f>
        <v>74</v>
      </c>
      <c r="V1410" s="8" t="str">
        <f aca="false">IF(U1410&gt;=Assumptions!$B$10,"Healthy",IF(U1410&gt;=Assumptions!$B$11,"Needs Attention","High Risk"))</f>
        <v>Needs Attention</v>
      </c>
    </row>
    <row r="1411" customFormat="false" ht="15" hidden="false" customHeight="false" outlineLevel="0" collapsed="false">
      <c r="A1411" s="8" t="s">
        <v>2964</v>
      </c>
      <c r="B1411" s="8" t="s">
        <v>2965</v>
      </c>
      <c r="C1411" s="8" t="s">
        <v>51</v>
      </c>
      <c r="D1411" s="8" t="s">
        <v>2027</v>
      </c>
      <c r="E1411" s="8" t="s">
        <v>117</v>
      </c>
      <c r="F1411" s="8" t="s">
        <v>154</v>
      </c>
      <c r="G1411" s="8" t="s">
        <v>125</v>
      </c>
      <c r="H1411" s="15" t="n">
        <v>372</v>
      </c>
      <c r="I1411" s="15" t="n">
        <v>372</v>
      </c>
      <c r="J1411" s="16" t="n">
        <v>0.946</v>
      </c>
      <c r="K1411" s="8" t="n">
        <v>10.7</v>
      </c>
      <c r="L1411" s="8" t="n">
        <v>9</v>
      </c>
      <c r="M1411" s="8" t="n">
        <v>1</v>
      </c>
      <c r="N1411" s="8" t="s">
        <v>120</v>
      </c>
      <c r="O1411" s="15" t="n">
        <f aca="false">H1411*12</f>
        <v>4464</v>
      </c>
      <c r="P1411" s="8" t="n">
        <f aca="false">MIN(100,ROUND(100*J1411/Assumptions!$B$8,0))</f>
        <v>100</v>
      </c>
      <c r="Q1411" s="8" t="n">
        <f aca="false">IF(L1411="",Assumptions!$B$9,L1411*10)</f>
        <v>90</v>
      </c>
      <c r="R1411" s="8" t="n">
        <f aca="false">IF(M1411&lt;=1,Assumptions!$B$12,IF(M1411&lt;=3,Assumptions!$B$13,IF(M1411&lt;=6,Assumptions!$B$14,Assumptions!$B$15)))</f>
        <v>100</v>
      </c>
      <c r="S1411" s="8" t="n">
        <f aca="false">IF(N1411="Completed On Time",Assumptions!$B$16,IF(N1411="Completed Late",Assumptions!$B$17,Assumptions!$B$18))</f>
        <v>100</v>
      </c>
      <c r="T1411" s="8" t="n">
        <f aca="false">IF(I1411=0,Assumptions!$B$20,IF(H1411&gt;I1411,Assumptions!$B$19,IF(H1411=I1411,Assumptions!$B$20,Assumptions!$B$21)))</f>
        <v>70</v>
      </c>
      <c r="U1411" s="8" t="n">
        <f aca="false">ROUND(P1411*Assumptions!$B$2+Q1411*Assumptions!$B$3+R1411*Assumptions!$B$4+S1411*Assumptions!$B$5+T1411*Assumptions!$B$6,0)</f>
        <v>92</v>
      </c>
      <c r="V1411" s="8" t="str">
        <f aca="false">IF(U1411&gt;=Assumptions!$B$10,"Healthy",IF(U1411&gt;=Assumptions!$B$11,"Needs Attention","High Risk"))</f>
        <v>Healthy</v>
      </c>
    </row>
    <row r="1412" customFormat="false" ht="15" hidden="false" customHeight="false" outlineLevel="0" collapsed="false">
      <c r="A1412" s="8" t="s">
        <v>2966</v>
      </c>
      <c r="B1412" s="8" t="s">
        <v>2967</v>
      </c>
      <c r="C1412" s="8" t="s">
        <v>51</v>
      </c>
      <c r="D1412" s="8" t="s">
        <v>2027</v>
      </c>
      <c r="E1412" s="8" t="s">
        <v>132</v>
      </c>
      <c r="F1412" s="8" t="s">
        <v>133</v>
      </c>
      <c r="G1412" s="8" t="s">
        <v>144</v>
      </c>
      <c r="H1412" s="15" t="n">
        <v>372</v>
      </c>
      <c r="I1412" s="15" t="n">
        <v>372</v>
      </c>
      <c r="J1412" s="16" t="n">
        <v>0.774</v>
      </c>
      <c r="K1412" s="8" t="n">
        <v>8.7</v>
      </c>
      <c r="L1412" s="8" t="n">
        <v>10</v>
      </c>
      <c r="M1412" s="8" t="n">
        <v>2</v>
      </c>
      <c r="N1412" s="8" t="s">
        <v>120</v>
      </c>
      <c r="O1412" s="15" t="n">
        <f aca="false">H1412*12</f>
        <v>4464</v>
      </c>
      <c r="P1412" s="8" t="n">
        <f aca="false">MIN(100,ROUND(100*J1412/Assumptions!$B$8,0))</f>
        <v>86</v>
      </c>
      <c r="Q1412" s="8" t="n">
        <f aca="false">IF(L1412="",Assumptions!$B$9,L1412*10)</f>
        <v>100</v>
      </c>
      <c r="R1412" s="8" t="n">
        <f aca="false">IF(M1412&lt;=1,Assumptions!$B$12,IF(M1412&lt;=3,Assumptions!$B$13,IF(M1412&lt;=6,Assumptions!$B$14,Assumptions!$B$15)))</f>
        <v>75</v>
      </c>
      <c r="S1412" s="8" t="n">
        <f aca="false">IF(N1412="Completed On Time",Assumptions!$B$16,IF(N1412="Completed Late",Assumptions!$B$17,Assumptions!$B$18))</f>
        <v>100</v>
      </c>
      <c r="T1412" s="8" t="n">
        <f aca="false">IF(I1412=0,Assumptions!$B$20,IF(H1412&gt;I1412,Assumptions!$B$19,IF(H1412=I1412,Assumptions!$B$20,Assumptions!$B$21)))</f>
        <v>70</v>
      </c>
      <c r="U1412" s="8" t="n">
        <f aca="false">ROUND(P1412*Assumptions!$B$2+Q1412*Assumptions!$B$3+R1412*Assumptions!$B$4+S1412*Assumptions!$B$5+T1412*Assumptions!$B$6,0)</f>
        <v>85</v>
      </c>
      <c r="V1412" s="8" t="str">
        <f aca="false">IF(U1412&gt;=Assumptions!$B$10,"Healthy",IF(U1412&gt;=Assumptions!$B$11,"Needs Attention","High Risk"))</f>
        <v>Healthy</v>
      </c>
    </row>
    <row r="1413" customFormat="false" ht="15" hidden="false" customHeight="false" outlineLevel="0" collapsed="false">
      <c r="A1413" s="8" t="s">
        <v>2968</v>
      </c>
      <c r="B1413" s="8" t="s">
        <v>2969</v>
      </c>
      <c r="C1413" s="8" t="s">
        <v>51</v>
      </c>
      <c r="D1413" s="8" t="s">
        <v>2027</v>
      </c>
      <c r="E1413" s="8" t="s">
        <v>132</v>
      </c>
      <c r="F1413" s="8" t="s">
        <v>124</v>
      </c>
      <c r="G1413" s="8" t="s">
        <v>204</v>
      </c>
      <c r="H1413" s="15" t="n">
        <v>372</v>
      </c>
      <c r="I1413" s="15" t="n">
        <v>372</v>
      </c>
      <c r="J1413" s="16" t="n">
        <v>0.731</v>
      </c>
      <c r="K1413" s="8" t="n">
        <v>9.3</v>
      </c>
      <c r="L1413" s="8" t="n">
        <v>8</v>
      </c>
      <c r="M1413" s="8" t="n">
        <v>3</v>
      </c>
      <c r="N1413" s="8" t="s">
        <v>120</v>
      </c>
      <c r="O1413" s="15" t="n">
        <f aca="false">H1413*12</f>
        <v>4464</v>
      </c>
      <c r="P1413" s="8" t="n">
        <f aca="false">MIN(100,ROUND(100*J1413/Assumptions!$B$8,0))</f>
        <v>81</v>
      </c>
      <c r="Q1413" s="8" t="n">
        <f aca="false">IF(L1413="",Assumptions!$B$9,L1413*10)</f>
        <v>80</v>
      </c>
      <c r="R1413" s="8" t="n">
        <f aca="false">IF(M1413&lt;=1,Assumptions!$B$12,IF(M1413&lt;=3,Assumptions!$B$13,IF(M1413&lt;=6,Assumptions!$B$14,Assumptions!$B$15)))</f>
        <v>75</v>
      </c>
      <c r="S1413" s="8" t="n">
        <f aca="false">IF(N1413="Completed On Time",Assumptions!$B$16,IF(N1413="Completed Late",Assumptions!$B$17,Assumptions!$B$18))</f>
        <v>100</v>
      </c>
      <c r="T1413" s="8" t="n">
        <f aca="false">IF(I1413=0,Assumptions!$B$20,IF(H1413&gt;I1413,Assumptions!$B$19,IF(H1413=I1413,Assumptions!$B$20,Assumptions!$B$21)))</f>
        <v>70</v>
      </c>
      <c r="U1413" s="8" t="n">
        <f aca="false">ROUND(P1413*Assumptions!$B$2+Q1413*Assumptions!$B$3+R1413*Assumptions!$B$4+S1413*Assumptions!$B$5+T1413*Assumptions!$B$6,0)</f>
        <v>80</v>
      </c>
      <c r="V1413" s="8" t="str">
        <f aca="false">IF(U1413&gt;=Assumptions!$B$10,"Healthy",IF(U1413&gt;=Assumptions!$B$11,"Needs Attention","High Risk"))</f>
        <v>Healthy</v>
      </c>
    </row>
    <row r="1414" customFormat="false" ht="15" hidden="false" customHeight="false" outlineLevel="0" collapsed="false">
      <c r="A1414" s="8" t="s">
        <v>2970</v>
      </c>
      <c r="B1414" s="8" t="s">
        <v>2971</v>
      </c>
      <c r="C1414" s="8" t="s">
        <v>51</v>
      </c>
      <c r="D1414" s="8" t="s">
        <v>2027</v>
      </c>
      <c r="E1414" s="8" t="s">
        <v>123</v>
      </c>
      <c r="F1414" s="8" t="s">
        <v>151</v>
      </c>
      <c r="G1414" s="8" t="s">
        <v>129</v>
      </c>
      <c r="H1414" s="15" t="n">
        <v>372</v>
      </c>
      <c r="I1414" s="15" t="n">
        <v>372</v>
      </c>
      <c r="J1414" s="16" t="n">
        <v>0.828</v>
      </c>
      <c r="K1414" s="8" t="n">
        <v>10.7</v>
      </c>
      <c r="L1414" s="8" t="n">
        <v>10</v>
      </c>
      <c r="M1414" s="8" t="n">
        <v>1</v>
      </c>
      <c r="N1414" s="8" t="s">
        <v>120</v>
      </c>
      <c r="O1414" s="15" t="n">
        <f aca="false">H1414*12</f>
        <v>4464</v>
      </c>
      <c r="P1414" s="8" t="n">
        <f aca="false">MIN(100,ROUND(100*J1414/Assumptions!$B$8,0))</f>
        <v>92</v>
      </c>
      <c r="Q1414" s="8" t="n">
        <f aca="false">IF(L1414="",Assumptions!$B$9,L1414*10)</f>
        <v>100</v>
      </c>
      <c r="R1414" s="8" t="n">
        <f aca="false">IF(M1414&lt;=1,Assumptions!$B$12,IF(M1414&lt;=3,Assumptions!$B$13,IF(M1414&lt;=6,Assumptions!$B$14,Assumptions!$B$15)))</f>
        <v>100</v>
      </c>
      <c r="S1414" s="8" t="n">
        <f aca="false">IF(N1414="Completed On Time",Assumptions!$B$16,IF(N1414="Completed Late",Assumptions!$B$17,Assumptions!$B$18))</f>
        <v>100</v>
      </c>
      <c r="T1414" s="8" t="n">
        <f aca="false">IF(I1414=0,Assumptions!$B$20,IF(H1414&gt;I1414,Assumptions!$B$19,IF(H1414=I1414,Assumptions!$B$20,Assumptions!$B$21)))</f>
        <v>70</v>
      </c>
      <c r="U1414" s="8" t="n">
        <f aca="false">ROUND(P1414*Assumptions!$B$2+Q1414*Assumptions!$B$3+R1414*Assumptions!$B$4+S1414*Assumptions!$B$5+T1414*Assumptions!$B$6,0)</f>
        <v>91</v>
      </c>
      <c r="V1414" s="8" t="str">
        <f aca="false">IF(U1414&gt;=Assumptions!$B$10,"Healthy",IF(U1414&gt;=Assumptions!$B$11,"Needs Attention","High Risk"))</f>
        <v>Healthy</v>
      </c>
    </row>
    <row r="1415" customFormat="false" ht="15" hidden="false" customHeight="false" outlineLevel="0" collapsed="false">
      <c r="A1415" s="8" t="s">
        <v>2972</v>
      </c>
      <c r="B1415" s="8" t="s">
        <v>2973</v>
      </c>
      <c r="C1415" s="8" t="s">
        <v>51</v>
      </c>
      <c r="D1415" s="8" t="s">
        <v>2027</v>
      </c>
      <c r="E1415" s="8" t="s">
        <v>123</v>
      </c>
      <c r="F1415" s="8" t="s">
        <v>223</v>
      </c>
      <c r="G1415" s="8" t="s">
        <v>119</v>
      </c>
      <c r="H1415" s="15" t="n">
        <v>360</v>
      </c>
      <c r="I1415" s="15" t="n">
        <v>360</v>
      </c>
      <c r="J1415" s="16" t="n">
        <v>0.867</v>
      </c>
      <c r="K1415" s="8" t="n">
        <v>9.7</v>
      </c>
      <c r="L1415" s="8" t="n">
        <v>10</v>
      </c>
      <c r="M1415" s="8" t="n">
        <v>0</v>
      </c>
      <c r="N1415" s="8" t="s">
        <v>120</v>
      </c>
      <c r="O1415" s="15" t="n">
        <f aca="false">H1415*12</f>
        <v>4320</v>
      </c>
      <c r="P1415" s="8" t="n">
        <f aca="false">MIN(100,ROUND(100*J1415/Assumptions!$B$8,0))</f>
        <v>96</v>
      </c>
      <c r="Q1415" s="8" t="n">
        <f aca="false">IF(L1415="",Assumptions!$B$9,L1415*10)</f>
        <v>100</v>
      </c>
      <c r="R1415" s="8" t="n">
        <f aca="false">IF(M1415&lt;=1,Assumptions!$B$12,IF(M1415&lt;=3,Assumptions!$B$13,IF(M1415&lt;=6,Assumptions!$B$14,Assumptions!$B$15)))</f>
        <v>100</v>
      </c>
      <c r="S1415" s="8" t="n">
        <f aca="false">IF(N1415="Completed On Time",Assumptions!$B$16,IF(N1415="Completed Late",Assumptions!$B$17,Assumptions!$B$18))</f>
        <v>100</v>
      </c>
      <c r="T1415" s="8" t="n">
        <f aca="false">IF(I1415=0,Assumptions!$B$20,IF(H1415&gt;I1415,Assumptions!$B$19,IF(H1415=I1415,Assumptions!$B$20,Assumptions!$B$21)))</f>
        <v>70</v>
      </c>
      <c r="U1415" s="8" t="n">
        <f aca="false">ROUND(P1415*Assumptions!$B$2+Q1415*Assumptions!$B$3+R1415*Assumptions!$B$4+S1415*Assumptions!$B$5+T1415*Assumptions!$B$6,0)</f>
        <v>93</v>
      </c>
      <c r="V1415" s="8" t="str">
        <f aca="false">IF(U1415&gt;=Assumptions!$B$10,"Healthy",IF(U1415&gt;=Assumptions!$B$11,"Needs Attention","High Risk"))</f>
        <v>Healthy</v>
      </c>
    </row>
    <row r="1416" customFormat="false" ht="15" hidden="false" customHeight="false" outlineLevel="0" collapsed="false">
      <c r="A1416" s="8" t="s">
        <v>2974</v>
      </c>
      <c r="B1416" s="8" t="s">
        <v>2975</v>
      </c>
      <c r="C1416" s="8" t="s">
        <v>51</v>
      </c>
      <c r="D1416" s="8" t="s">
        <v>2027</v>
      </c>
      <c r="E1416" s="8" t="s">
        <v>123</v>
      </c>
      <c r="F1416" s="8" t="s">
        <v>133</v>
      </c>
      <c r="G1416" s="8" t="s">
        <v>177</v>
      </c>
      <c r="H1416" s="15" t="n">
        <v>360</v>
      </c>
      <c r="I1416" s="15" t="n">
        <v>360</v>
      </c>
      <c r="J1416" s="16" t="n">
        <v>0.7</v>
      </c>
      <c r="K1416" s="8" t="n">
        <v>6.7</v>
      </c>
      <c r="L1416" s="8" t="n">
        <v>9</v>
      </c>
      <c r="M1416" s="8" t="n">
        <v>1</v>
      </c>
      <c r="N1416" s="8" t="s">
        <v>120</v>
      </c>
      <c r="O1416" s="15" t="n">
        <f aca="false">H1416*12</f>
        <v>4320</v>
      </c>
      <c r="P1416" s="8" t="n">
        <f aca="false">MIN(100,ROUND(100*J1416/Assumptions!$B$8,0))</f>
        <v>78</v>
      </c>
      <c r="Q1416" s="8" t="n">
        <f aca="false">IF(L1416="",Assumptions!$B$9,L1416*10)</f>
        <v>90</v>
      </c>
      <c r="R1416" s="8" t="n">
        <f aca="false">IF(M1416&lt;=1,Assumptions!$B$12,IF(M1416&lt;=3,Assumptions!$B$13,IF(M1416&lt;=6,Assumptions!$B$14,Assumptions!$B$15)))</f>
        <v>100</v>
      </c>
      <c r="S1416" s="8" t="n">
        <f aca="false">IF(N1416="Completed On Time",Assumptions!$B$16,IF(N1416="Completed Late",Assumptions!$B$17,Assumptions!$B$18))</f>
        <v>100</v>
      </c>
      <c r="T1416" s="8" t="n">
        <f aca="false">IF(I1416=0,Assumptions!$B$20,IF(H1416&gt;I1416,Assumptions!$B$19,IF(H1416=I1416,Assumptions!$B$20,Assumptions!$B$21)))</f>
        <v>70</v>
      </c>
      <c r="U1416" s="8" t="n">
        <f aca="false">ROUND(P1416*Assumptions!$B$2+Q1416*Assumptions!$B$3+R1416*Assumptions!$B$4+S1416*Assumptions!$B$5+T1416*Assumptions!$B$6,0)</f>
        <v>84</v>
      </c>
      <c r="V1416" s="8" t="str">
        <f aca="false">IF(U1416&gt;=Assumptions!$B$10,"Healthy",IF(U1416&gt;=Assumptions!$B$11,"Needs Attention","High Risk"))</f>
        <v>Healthy</v>
      </c>
    </row>
    <row r="1417" customFormat="false" ht="15" hidden="false" customHeight="false" outlineLevel="0" collapsed="false">
      <c r="A1417" s="8" t="s">
        <v>2976</v>
      </c>
      <c r="B1417" s="8" t="s">
        <v>2977</v>
      </c>
      <c r="C1417" s="8" t="s">
        <v>51</v>
      </c>
      <c r="D1417" s="8" t="s">
        <v>2027</v>
      </c>
      <c r="E1417" s="8" t="s">
        <v>123</v>
      </c>
      <c r="F1417" s="8" t="s">
        <v>118</v>
      </c>
      <c r="G1417" s="8" t="s">
        <v>180</v>
      </c>
      <c r="H1417" s="15" t="n">
        <v>360</v>
      </c>
      <c r="I1417" s="15" t="n">
        <v>300</v>
      </c>
      <c r="J1417" s="16" t="n">
        <v>0.711</v>
      </c>
      <c r="K1417" s="8" t="n">
        <v>7.3</v>
      </c>
      <c r="L1417" s="8" t="n">
        <v>9</v>
      </c>
      <c r="M1417" s="8" t="n">
        <v>1</v>
      </c>
      <c r="N1417" s="8" t="s">
        <v>120</v>
      </c>
      <c r="O1417" s="15" t="n">
        <f aca="false">H1417*12</f>
        <v>4320</v>
      </c>
      <c r="P1417" s="8" t="n">
        <f aca="false">MIN(100,ROUND(100*J1417/Assumptions!$B$8,0))</f>
        <v>79</v>
      </c>
      <c r="Q1417" s="8" t="n">
        <f aca="false">IF(L1417="",Assumptions!$B$9,L1417*10)</f>
        <v>90</v>
      </c>
      <c r="R1417" s="8" t="n">
        <f aca="false">IF(M1417&lt;=1,Assumptions!$B$12,IF(M1417&lt;=3,Assumptions!$B$13,IF(M1417&lt;=6,Assumptions!$B$14,Assumptions!$B$15)))</f>
        <v>100</v>
      </c>
      <c r="S1417" s="8" t="n">
        <f aca="false">IF(N1417="Completed On Time",Assumptions!$B$16,IF(N1417="Completed Late",Assumptions!$B$17,Assumptions!$B$18))</f>
        <v>100</v>
      </c>
      <c r="T1417" s="8" t="n">
        <f aca="false">IF(I1417=0,Assumptions!$B$20,IF(H1417&gt;I1417,Assumptions!$B$19,IF(H1417=I1417,Assumptions!$B$20,Assumptions!$B$21)))</f>
        <v>100</v>
      </c>
      <c r="U1417" s="8" t="n">
        <f aca="false">ROUND(P1417*Assumptions!$B$2+Q1417*Assumptions!$B$3+R1417*Assumptions!$B$4+S1417*Assumptions!$B$5+T1417*Assumptions!$B$6,0)</f>
        <v>91</v>
      </c>
      <c r="V1417" s="8" t="str">
        <f aca="false">IF(U1417&gt;=Assumptions!$B$10,"Healthy",IF(U1417&gt;=Assumptions!$B$11,"Needs Attention","High Risk"))</f>
        <v>Healthy</v>
      </c>
    </row>
    <row r="1418" customFormat="false" ht="15" hidden="false" customHeight="false" outlineLevel="0" collapsed="false">
      <c r="A1418" s="8" t="s">
        <v>2978</v>
      </c>
      <c r="B1418" s="8" t="s">
        <v>2979</v>
      </c>
      <c r="C1418" s="8" t="s">
        <v>51</v>
      </c>
      <c r="D1418" s="8" t="s">
        <v>2027</v>
      </c>
      <c r="E1418" s="8" t="s">
        <v>117</v>
      </c>
      <c r="F1418" s="8" t="s">
        <v>151</v>
      </c>
      <c r="G1418" s="8" t="s">
        <v>185</v>
      </c>
      <c r="H1418" s="15" t="n">
        <v>360</v>
      </c>
      <c r="I1418" s="15" t="n">
        <v>360</v>
      </c>
      <c r="J1418" s="16" t="n">
        <v>0.689</v>
      </c>
      <c r="K1418" s="8" t="n">
        <v>7.7</v>
      </c>
      <c r="L1418" s="8" t="n">
        <v>6</v>
      </c>
      <c r="M1418" s="8" t="n">
        <v>4</v>
      </c>
      <c r="N1418" s="8" t="s">
        <v>120</v>
      </c>
      <c r="O1418" s="15" t="n">
        <f aca="false">H1418*12</f>
        <v>4320</v>
      </c>
      <c r="P1418" s="8" t="n">
        <f aca="false">MIN(100,ROUND(100*J1418/Assumptions!$B$8,0))</f>
        <v>77</v>
      </c>
      <c r="Q1418" s="8" t="n">
        <f aca="false">IF(L1418="",Assumptions!$B$9,L1418*10)</f>
        <v>60</v>
      </c>
      <c r="R1418" s="8" t="n">
        <f aca="false">IF(M1418&lt;=1,Assumptions!$B$12,IF(M1418&lt;=3,Assumptions!$B$13,IF(M1418&lt;=6,Assumptions!$B$14,Assumptions!$B$15)))</f>
        <v>50</v>
      </c>
      <c r="S1418" s="8" t="n">
        <f aca="false">IF(N1418="Completed On Time",Assumptions!$B$16,IF(N1418="Completed Late",Assumptions!$B$17,Assumptions!$B$18))</f>
        <v>100</v>
      </c>
      <c r="T1418" s="8" t="n">
        <f aca="false">IF(I1418=0,Assumptions!$B$20,IF(H1418&gt;I1418,Assumptions!$B$19,IF(H1418=I1418,Assumptions!$B$20,Assumptions!$B$21)))</f>
        <v>70</v>
      </c>
      <c r="U1418" s="8" t="n">
        <f aca="false">ROUND(P1418*Assumptions!$B$2+Q1418*Assumptions!$B$3+R1418*Assumptions!$B$4+S1418*Assumptions!$B$5+T1418*Assumptions!$B$6,0)</f>
        <v>70</v>
      </c>
      <c r="V1418" s="8" t="str">
        <f aca="false">IF(U1418&gt;=Assumptions!$B$10,"Healthy",IF(U1418&gt;=Assumptions!$B$11,"Needs Attention","High Risk"))</f>
        <v>Needs Attention</v>
      </c>
    </row>
    <row r="1419" customFormat="false" ht="15" hidden="false" customHeight="false" outlineLevel="0" collapsed="false">
      <c r="A1419" s="8" t="s">
        <v>2980</v>
      </c>
      <c r="B1419" s="8" t="s">
        <v>2981</v>
      </c>
      <c r="C1419" s="8" t="s">
        <v>51</v>
      </c>
      <c r="D1419" s="8" t="s">
        <v>2027</v>
      </c>
      <c r="E1419" s="8" t="s">
        <v>132</v>
      </c>
      <c r="F1419" s="8" t="s">
        <v>143</v>
      </c>
      <c r="G1419" s="8" t="s">
        <v>119</v>
      </c>
      <c r="H1419" s="15" t="n">
        <v>360</v>
      </c>
      <c r="I1419" s="15" t="n">
        <v>360</v>
      </c>
      <c r="J1419" s="16" t="n">
        <v>0.678</v>
      </c>
      <c r="K1419" s="8" t="n">
        <v>7</v>
      </c>
      <c r="L1419" s="8" t="n">
        <v>8</v>
      </c>
      <c r="M1419" s="8" t="n">
        <v>3</v>
      </c>
      <c r="N1419" s="8" t="s">
        <v>120</v>
      </c>
      <c r="O1419" s="15" t="n">
        <f aca="false">H1419*12</f>
        <v>4320</v>
      </c>
      <c r="P1419" s="8" t="n">
        <f aca="false">MIN(100,ROUND(100*J1419/Assumptions!$B$8,0))</f>
        <v>75</v>
      </c>
      <c r="Q1419" s="8" t="n">
        <f aca="false">IF(L1419="",Assumptions!$B$9,L1419*10)</f>
        <v>80</v>
      </c>
      <c r="R1419" s="8" t="n">
        <f aca="false">IF(M1419&lt;=1,Assumptions!$B$12,IF(M1419&lt;=3,Assumptions!$B$13,IF(M1419&lt;=6,Assumptions!$B$14,Assumptions!$B$15)))</f>
        <v>75</v>
      </c>
      <c r="S1419" s="8" t="n">
        <f aca="false">IF(N1419="Completed On Time",Assumptions!$B$16,IF(N1419="Completed Late",Assumptions!$B$17,Assumptions!$B$18))</f>
        <v>100</v>
      </c>
      <c r="T1419" s="8" t="n">
        <f aca="false">IF(I1419=0,Assumptions!$B$20,IF(H1419&gt;I1419,Assumptions!$B$19,IF(H1419=I1419,Assumptions!$B$20,Assumptions!$B$21)))</f>
        <v>70</v>
      </c>
      <c r="U1419" s="8" t="n">
        <f aca="false">ROUND(P1419*Assumptions!$B$2+Q1419*Assumptions!$B$3+R1419*Assumptions!$B$4+S1419*Assumptions!$B$5+T1419*Assumptions!$B$6,0)</f>
        <v>78</v>
      </c>
      <c r="V1419" s="8" t="str">
        <f aca="false">IF(U1419&gt;=Assumptions!$B$10,"Healthy",IF(U1419&gt;=Assumptions!$B$11,"Needs Attention","High Risk"))</f>
        <v>Needs Attention</v>
      </c>
    </row>
    <row r="1420" customFormat="false" ht="15" hidden="false" customHeight="false" outlineLevel="0" collapsed="false">
      <c r="A1420" s="8" t="s">
        <v>2982</v>
      </c>
      <c r="B1420" s="8" t="s">
        <v>2983</v>
      </c>
      <c r="C1420" s="8" t="s">
        <v>51</v>
      </c>
      <c r="D1420" s="8" t="s">
        <v>2027</v>
      </c>
      <c r="E1420" s="8" t="s">
        <v>132</v>
      </c>
      <c r="F1420" s="8" t="s">
        <v>136</v>
      </c>
      <c r="G1420" s="8" t="s">
        <v>137</v>
      </c>
      <c r="H1420" s="15" t="n">
        <v>360</v>
      </c>
      <c r="I1420" s="15" t="n">
        <v>360</v>
      </c>
      <c r="J1420" s="16" t="n">
        <v>0.733</v>
      </c>
      <c r="K1420" s="8" t="n">
        <v>9.3</v>
      </c>
      <c r="L1420" s="8" t="n">
        <v>10</v>
      </c>
      <c r="M1420" s="8" t="n">
        <v>0</v>
      </c>
      <c r="N1420" s="8" t="s">
        <v>120</v>
      </c>
      <c r="O1420" s="15" t="n">
        <f aca="false">H1420*12</f>
        <v>4320</v>
      </c>
      <c r="P1420" s="8" t="n">
        <f aca="false">MIN(100,ROUND(100*J1420/Assumptions!$B$8,0))</f>
        <v>81</v>
      </c>
      <c r="Q1420" s="8" t="n">
        <f aca="false">IF(L1420="",Assumptions!$B$9,L1420*10)</f>
        <v>100</v>
      </c>
      <c r="R1420" s="8" t="n">
        <f aca="false">IF(M1420&lt;=1,Assumptions!$B$12,IF(M1420&lt;=3,Assumptions!$B$13,IF(M1420&lt;=6,Assumptions!$B$14,Assumptions!$B$15)))</f>
        <v>100</v>
      </c>
      <c r="S1420" s="8" t="n">
        <f aca="false">IF(N1420="Completed On Time",Assumptions!$B$16,IF(N1420="Completed Late",Assumptions!$B$17,Assumptions!$B$18))</f>
        <v>100</v>
      </c>
      <c r="T1420" s="8" t="n">
        <f aca="false">IF(I1420=0,Assumptions!$B$20,IF(H1420&gt;I1420,Assumptions!$B$19,IF(H1420=I1420,Assumptions!$B$20,Assumptions!$B$21)))</f>
        <v>70</v>
      </c>
      <c r="U1420" s="8" t="n">
        <f aca="false">ROUND(P1420*Assumptions!$B$2+Q1420*Assumptions!$B$3+R1420*Assumptions!$B$4+S1420*Assumptions!$B$5+T1420*Assumptions!$B$6,0)</f>
        <v>87</v>
      </c>
      <c r="V1420" s="8" t="str">
        <f aca="false">IF(U1420&gt;=Assumptions!$B$10,"Healthy",IF(U1420&gt;=Assumptions!$B$11,"Needs Attention","High Risk"))</f>
        <v>Healthy</v>
      </c>
    </row>
    <row r="1421" customFormat="false" ht="15" hidden="false" customHeight="false" outlineLevel="0" collapsed="false">
      <c r="A1421" s="8" t="s">
        <v>2984</v>
      </c>
      <c r="B1421" s="8" t="s">
        <v>2985</v>
      </c>
      <c r="C1421" s="8" t="s">
        <v>51</v>
      </c>
      <c r="D1421" s="8" t="s">
        <v>2027</v>
      </c>
      <c r="E1421" s="8" t="s">
        <v>117</v>
      </c>
      <c r="F1421" s="8" t="s">
        <v>223</v>
      </c>
      <c r="G1421" s="8" t="s">
        <v>144</v>
      </c>
      <c r="H1421" s="15" t="n">
        <v>360</v>
      </c>
      <c r="I1421" s="15" t="n">
        <v>360</v>
      </c>
      <c r="J1421" s="16" t="n">
        <v>0.6</v>
      </c>
      <c r="K1421" s="8" t="n">
        <v>8.7</v>
      </c>
      <c r="L1421" s="8" t="n">
        <v>9</v>
      </c>
      <c r="M1421" s="8" t="n">
        <v>1</v>
      </c>
      <c r="N1421" s="8" t="s">
        <v>120</v>
      </c>
      <c r="O1421" s="15" t="n">
        <f aca="false">H1421*12</f>
        <v>4320</v>
      </c>
      <c r="P1421" s="8" t="n">
        <f aca="false">MIN(100,ROUND(100*J1421/Assumptions!$B$8,0))</f>
        <v>67</v>
      </c>
      <c r="Q1421" s="8" t="n">
        <f aca="false">IF(L1421="",Assumptions!$B$9,L1421*10)</f>
        <v>90</v>
      </c>
      <c r="R1421" s="8" t="n">
        <f aca="false">IF(M1421&lt;=1,Assumptions!$B$12,IF(M1421&lt;=3,Assumptions!$B$13,IF(M1421&lt;=6,Assumptions!$B$14,Assumptions!$B$15)))</f>
        <v>100</v>
      </c>
      <c r="S1421" s="8" t="n">
        <f aca="false">IF(N1421="Completed On Time",Assumptions!$B$16,IF(N1421="Completed Late",Assumptions!$B$17,Assumptions!$B$18))</f>
        <v>100</v>
      </c>
      <c r="T1421" s="8" t="n">
        <f aca="false">IF(I1421=0,Assumptions!$B$20,IF(H1421&gt;I1421,Assumptions!$B$19,IF(H1421=I1421,Assumptions!$B$20,Assumptions!$B$21)))</f>
        <v>70</v>
      </c>
      <c r="U1421" s="8" t="n">
        <f aca="false">ROUND(P1421*Assumptions!$B$2+Q1421*Assumptions!$B$3+R1421*Assumptions!$B$4+S1421*Assumptions!$B$5+T1421*Assumptions!$B$6,0)</f>
        <v>80</v>
      </c>
      <c r="V1421" s="8" t="str">
        <f aca="false">IF(U1421&gt;=Assumptions!$B$10,"Healthy",IF(U1421&gt;=Assumptions!$B$11,"Needs Attention","High Risk"))</f>
        <v>Healthy</v>
      </c>
    </row>
    <row r="1422" customFormat="false" ht="15" hidden="false" customHeight="false" outlineLevel="0" collapsed="false">
      <c r="A1422" s="8" t="s">
        <v>2986</v>
      </c>
      <c r="B1422" s="8" t="s">
        <v>2987</v>
      </c>
      <c r="C1422" s="8" t="s">
        <v>51</v>
      </c>
      <c r="D1422" s="8" t="s">
        <v>2027</v>
      </c>
      <c r="E1422" s="8" t="s">
        <v>132</v>
      </c>
      <c r="F1422" s="8" t="s">
        <v>154</v>
      </c>
      <c r="G1422" s="8" t="s">
        <v>147</v>
      </c>
      <c r="H1422" s="15" t="n">
        <v>360</v>
      </c>
      <c r="I1422" s="15" t="n">
        <v>360</v>
      </c>
      <c r="J1422" s="16" t="n">
        <v>0.8</v>
      </c>
      <c r="K1422" s="8" t="n">
        <v>10.7</v>
      </c>
      <c r="L1422" s="8" t="n">
        <v>8</v>
      </c>
      <c r="M1422" s="8" t="n">
        <v>4</v>
      </c>
      <c r="N1422" s="8" t="s">
        <v>120</v>
      </c>
      <c r="O1422" s="15" t="n">
        <f aca="false">H1422*12</f>
        <v>4320</v>
      </c>
      <c r="P1422" s="8" t="n">
        <f aca="false">MIN(100,ROUND(100*J1422/Assumptions!$B$8,0))</f>
        <v>89</v>
      </c>
      <c r="Q1422" s="8" t="n">
        <f aca="false">IF(L1422="",Assumptions!$B$9,L1422*10)</f>
        <v>80</v>
      </c>
      <c r="R1422" s="8" t="n">
        <f aca="false">IF(M1422&lt;=1,Assumptions!$B$12,IF(M1422&lt;=3,Assumptions!$B$13,IF(M1422&lt;=6,Assumptions!$B$14,Assumptions!$B$15)))</f>
        <v>50</v>
      </c>
      <c r="S1422" s="8" t="n">
        <f aca="false">IF(N1422="Completed On Time",Assumptions!$B$16,IF(N1422="Completed Late",Assumptions!$B$17,Assumptions!$B$18))</f>
        <v>100</v>
      </c>
      <c r="T1422" s="8" t="n">
        <f aca="false">IF(I1422=0,Assumptions!$B$20,IF(H1422&gt;I1422,Assumptions!$B$19,IF(H1422=I1422,Assumptions!$B$20,Assumptions!$B$21)))</f>
        <v>70</v>
      </c>
      <c r="U1422" s="8" t="n">
        <f aca="false">ROUND(P1422*Assumptions!$B$2+Q1422*Assumptions!$B$3+R1422*Assumptions!$B$4+S1422*Assumptions!$B$5+T1422*Assumptions!$B$6,0)</f>
        <v>79</v>
      </c>
      <c r="V1422" s="8" t="str">
        <f aca="false">IF(U1422&gt;=Assumptions!$B$10,"Healthy",IF(U1422&gt;=Assumptions!$B$11,"Needs Attention","High Risk"))</f>
        <v>Needs Attention</v>
      </c>
    </row>
    <row r="1423" customFormat="false" ht="15" hidden="false" customHeight="false" outlineLevel="0" collapsed="false">
      <c r="A1423" s="8" t="s">
        <v>2988</v>
      </c>
      <c r="B1423" s="8" t="s">
        <v>2989</v>
      </c>
      <c r="C1423" s="8" t="s">
        <v>51</v>
      </c>
      <c r="D1423" s="8" t="s">
        <v>2027</v>
      </c>
      <c r="E1423" s="8" t="s">
        <v>132</v>
      </c>
      <c r="F1423" s="8" t="s">
        <v>190</v>
      </c>
      <c r="G1423" s="8" t="s">
        <v>144</v>
      </c>
      <c r="H1423" s="15" t="n">
        <v>360</v>
      </c>
      <c r="I1423" s="15" t="n">
        <v>360</v>
      </c>
      <c r="J1423" s="16" t="n">
        <v>0.789</v>
      </c>
      <c r="K1423" s="8" t="n">
        <v>10.7</v>
      </c>
      <c r="L1423" s="8" t="n">
        <v>8</v>
      </c>
      <c r="M1423" s="8" t="n">
        <v>1</v>
      </c>
      <c r="N1423" s="8" t="s">
        <v>120</v>
      </c>
      <c r="O1423" s="15" t="n">
        <f aca="false">H1423*12</f>
        <v>4320</v>
      </c>
      <c r="P1423" s="8" t="n">
        <f aca="false">MIN(100,ROUND(100*J1423/Assumptions!$B$8,0))</f>
        <v>88</v>
      </c>
      <c r="Q1423" s="8" t="n">
        <f aca="false">IF(L1423="",Assumptions!$B$9,L1423*10)</f>
        <v>80</v>
      </c>
      <c r="R1423" s="8" t="n">
        <f aca="false">IF(M1423&lt;=1,Assumptions!$B$12,IF(M1423&lt;=3,Assumptions!$B$13,IF(M1423&lt;=6,Assumptions!$B$14,Assumptions!$B$15)))</f>
        <v>100</v>
      </c>
      <c r="S1423" s="8" t="n">
        <f aca="false">IF(N1423="Completed On Time",Assumptions!$B$16,IF(N1423="Completed Late",Assumptions!$B$17,Assumptions!$B$18))</f>
        <v>100</v>
      </c>
      <c r="T1423" s="8" t="n">
        <f aca="false">IF(I1423=0,Assumptions!$B$20,IF(H1423&gt;I1423,Assumptions!$B$19,IF(H1423=I1423,Assumptions!$B$20,Assumptions!$B$21)))</f>
        <v>70</v>
      </c>
      <c r="U1423" s="8" t="n">
        <f aca="false">ROUND(P1423*Assumptions!$B$2+Q1423*Assumptions!$B$3+R1423*Assumptions!$B$4+S1423*Assumptions!$B$5+T1423*Assumptions!$B$6,0)</f>
        <v>86</v>
      </c>
      <c r="V1423" s="8" t="str">
        <f aca="false">IF(U1423&gt;=Assumptions!$B$10,"Healthy",IF(U1423&gt;=Assumptions!$B$11,"Needs Attention","High Risk"))</f>
        <v>Healthy</v>
      </c>
    </row>
    <row r="1424" customFormat="false" ht="15" hidden="false" customHeight="false" outlineLevel="0" collapsed="false">
      <c r="A1424" s="8" t="s">
        <v>2990</v>
      </c>
      <c r="B1424" s="8" t="s">
        <v>2991</v>
      </c>
      <c r="C1424" s="8" t="s">
        <v>51</v>
      </c>
      <c r="D1424" s="8" t="s">
        <v>2027</v>
      </c>
      <c r="E1424" s="8" t="s">
        <v>117</v>
      </c>
      <c r="F1424" s="8" t="s">
        <v>136</v>
      </c>
      <c r="G1424" s="8" t="s">
        <v>119</v>
      </c>
      <c r="H1424" s="15" t="n">
        <v>360</v>
      </c>
      <c r="I1424" s="15" t="n">
        <v>360</v>
      </c>
      <c r="J1424" s="16" t="n">
        <v>0.733</v>
      </c>
      <c r="K1424" s="8" t="n">
        <v>10</v>
      </c>
      <c r="L1424" s="8" t="n">
        <v>8</v>
      </c>
      <c r="M1424" s="8" t="n">
        <v>3</v>
      </c>
      <c r="N1424" s="8" t="s">
        <v>120</v>
      </c>
      <c r="O1424" s="15" t="n">
        <f aca="false">H1424*12</f>
        <v>4320</v>
      </c>
      <c r="P1424" s="8" t="n">
        <f aca="false">MIN(100,ROUND(100*J1424/Assumptions!$B$8,0))</f>
        <v>81</v>
      </c>
      <c r="Q1424" s="8" t="n">
        <f aca="false">IF(L1424="",Assumptions!$B$9,L1424*10)</f>
        <v>80</v>
      </c>
      <c r="R1424" s="8" t="n">
        <f aca="false">IF(M1424&lt;=1,Assumptions!$B$12,IF(M1424&lt;=3,Assumptions!$B$13,IF(M1424&lt;=6,Assumptions!$B$14,Assumptions!$B$15)))</f>
        <v>75</v>
      </c>
      <c r="S1424" s="8" t="n">
        <f aca="false">IF(N1424="Completed On Time",Assumptions!$B$16,IF(N1424="Completed Late",Assumptions!$B$17,Assumptions!$B$18))</f>
        <v>100</v>
      </c>
      <c r="T1424" s="8" t="n">
        <f aca="false">IF(I1424=0,Assumptions!$B$20,IF(H1424&gt;I1424,Assumptions!$B$19,IF(H1424=I1424,Assumptions!$B$20,Assumptions!$B$21)))</f>
        <v>70</v>
      </c>
      <c r="U1424" s="8" t="n">
        <f aca="false">ROUND(P1424*Assumptions!$B$2+Q1424*Assumptions!$B$3+R1424*Assumptions!$B$4+S1424*Assumptions!$B$5+T1424*Assumptions!$B$6,0)</f>
        <v>80</v>
      </c>
      <c r="V1424" s="8" t="str">
        <f aca="false">IF(U1424&gt;=Assumptions!$B$10,"Healthy",IF(U1424&gt;=Assumptions!$B$11,"Needs Attention","High Risk"))</f>
        <v>Healthy</v>
      </c>
    </row>
    <row r="1425" customFormat="false" ht="15" hidden="false" customHeight="false" outlineLevel="0" collapsed="false">
      <c r="A1425" s="8" t="s">
        <v>2992</v>
      </c>
      <c r="B1425" s="8" t="s">
        <v>2993</v>
      </c>
      <c r="C1425" s="8" t="s">
        <v>51</v>
      </c>
      <c r="D1425" s="8" t="s">
        <v>2027</v>
      </c>
      <c r="E1425" s="8" t="s">
        <v>117</v>
      </c>
      <c r="F1425" s="8" t="s">
        <v>136</v>
      </c>
      <c r="G1425" s="8" t="s">
        <v>144</v>
      </c>
      <c r="H1425" s="15" t="n">
        <v>360</v>
      </c>
      <c r="I1425" s="15" t="n">
        <v>360</v>
      </c>
      <c r="J1425" s="16" t="n">
        <v>0.711</v>
      </c>
      <c r="K1425" s="8" t="n">
        <v>6.7</v>
      </c>
      <c r="L1425" s="8" t="n">
        <v>8</v>
      </c>
      <c r="M1425" s="8" t="n">
        <v>4</v>
      </c>
      <c r="N1425" s="8" t="s">
        <v>148</v>
      </c>
      <c r="O1425" s="15" t="n">
        <f aca="false">H1425*12</f>
        <v>4320</v>
      </c>
      <c r="P1425" s="8" t="n">
        <f aca="false">MIN(100,ROUND(100*J1425/Assumptions!$B$8,0))</f>
        <v>79</v>
      </c>
      <c r="Q1425" s="8" t="n">
        <f aca="false">IF(L1425="",Assumptions!$B$9,L1425*10)</f>
        <v>80</v>
      </c>
      <c r="R1425" s="8" t="n">
        <f aca="false">IF(M1425&lt;=1,Assumptions!$B$12,IF(M1425&lt;=3,Assumptions!$B$13,IF(M1425&lt;=6,Assumptions!$B$14,Assumptions!$B$15)))</f>
        <v>50</v>
      </c>
      <c r="S1425" s="8" t="n">
        <f aca="false">IF(N1425="Completed On Time",Assumptions!$B$16,IF(N1425="Completed Late",Assumptions!$B$17,Assumptions!$B$18))</f>
        <v>60</v>
      </c>
      <c r="T1425" s="8" t="n">
        <f aca="false">IF(I1425=0,Assumptions!$B$20,IF(H1425&gt;I1425,Assumptions!$B$19,IF(H1425=I1425,Assumptions!$B$20,Assumptions!$B$21)))</f>
        <v>70</v>
      </c>
      <c r="U1425" s="8" t="n">
        <f aca="false">ROUND(P1425*Assumptions!$B$2+Q1425*Assumptions!$B$3+R1425*Assumptions!$B$4+S1425*Assumptions!$B$5+T1425*Assumptions!$B$6,0)</f>
        <v>71</v>
      </c>
      <c r="V1425" s="8" t="str">
        <f aca="false">IF(U1425&gt;=Assumptions!$B$10,"Healthy",IF(U1425&gt;=Assumptions!$B$11,"Needs Attention","High Risk"))</f>
        <v>Needs Attention</v>
      </c>
    </row>
    <row r="1426" customFormat="false" ht="15" hidden="false" customHeight="false" outlineLevel="0" collapsed="false">
      <c r="A1426" s="8" t="s">
        <v>2994</v>
      </c>
      <c r="B1426" s="8" t="s">
        <v>2995</v>
      </c>
      <c r="C1426" s="8" t="s">
        <v>51</v>
      </c>
      <c r="D1426" s="8" t="s">
        <v>2027</v>
      </c>
      <c r="E1426" s="8" t="s">
        <v>117</v>
      </c>
      <c r="F1426" s="8" t="s">
        <v>118</v>
      </c>
      <c r="G1426" s="8" t="s">
        <v>147</v>
      </c>
      <c r="H1426" s="15" t="n">
        <v>360</v>
      </c>
      <c r="I1426" s="15" t="n">
        <v>360</v>
      </c>
      <c r="J1426" s="16" t="n">
        <v>0.778</v>
      </c>
      <c r="K1426" s="8" t="n">
        <v>9.3</v>
      </c>
      <c r="L1426" s="8" t="n">
        <v>10</v>
      </c>
      <c r="M1426" s="8" t="n">
        <v>3</v>
      </c>
      <c r="N1426" s="8" t="s">
        <v>120</v>
      </c>
      <c r="O1426" s="15" t="n">
        <f aca="false">H1426*12</f>
        <v>4320</v>
      </c>
      <c r="P1426" s="8" t="n">
        <f aca="false">MIN(100,ROUND(100*J1426/Assumptions!$B$8,0))</f>
        <v>86</v>
      </c>
      <c r="Q1426" s="8" t="n">
        <f aca="false">IF(L1426="",Assumptions!$B$9,L1426*10)</f>
        <v>100</v>
      </c>
      <c r="R1426" s="8" t="n">
        <f aca="false">IF(M1426&lt;=1,Assumptions!$B$12,IF(M1426&lt;=3,Assumptions!$B$13,IF(M1426&lt;=6,Assumptions!$B$14,Assumptions!$B$15)))</f>
        <v>75</v>
      </c>
      <c r="S1426" s="8" t="n">
        <f aca="false">IF(N1426="Completed On Time",Assumptions!$B$16,IF(N1426="Completed Late",Assumptions!$B$17,Assumptions!$B$18))</f>
        <v>100</v>
      </c>
      <c r="T1426" s="8" t="n">
        <f aca="false">IF(I1426=0,Assumptions!$B$20,IF(H1426&gt;I1426,Assumptions!$B$19,IF(H1426=I1426,Assumptions!$B$20,Assumptions!$B$21)))</f>
        <v>70</v>
      </c>
      <c r="U1426" s="8" t="n">
        <f aca="false">ROUND(P1426*Assumptions!$B$2+Q1426*Assumptions!$B$3+R1426*Assumptions!$B$4+S1426*Assumptions!$B$5+T1426*Assumptions!$B$6,0)</f>
        <v>85</v>
      </c>
      <c r="V1426" s="8" t="str">
        <f aca="false">IF(U1426&gt;=Assumptions!$B$10,"Healthy",IF(U1426&gt;=Assumptions!$B$11,"Needs Attention","High Risk"))</f>
        <v>Healthy</v>
      </c>
    </row>
    <row r="1427" customFormat="false" ht="15" hidden="false" customHeight="false" outlineLevel="0" collapsed="false">
      <c r="A1427" s="8" t="s">
        <v>2996</v>
      </c>
      <c r="B1427" s="8" t="s">
        <v>2997</v>
      </c>
      <c r="C1427" s="8" t="s">
        <v>51</v>
      </c>
      <c r="D1427" s="8" t="s">
        <v>2027</v>
      </c>
      <c r="E1427" s="8" t="s">
        <v>123</v>
      </c>
      <c r="F1427" s="8" t="s">
        <v>136</v>
      </c>
      <c r="G1427" s="8" t="s">
        <v>177</v>
      </c>
      <c r="H1427" s="15" t="n">
        <v>360</v>
      </c>
      <c r="I1427" s="15" t="n">
        <v>360</v>
      </c>
      <c r="J1427" s="16" t="n">
        <v>0.811</v>
      </c>
      <c r="K1427" s="8" t="n">
        <v>10.3</v>
      </c>
      <c r="L1427" s="8" t="n">
        <v>8</v>
      </c>
      <c r="M1427" s="8" t="n">
        <v>0</v>
      </c>
      <c r="N1427" s="8" t="s">
        <v>120</v>
      </c>
      <c r="O1427" s="15" t="n">
        <f aca="false">H1427*12</f>
        <v>4320</v>
      </c>
      <c r="P1427" s="8" t="n">
        <f aca="false">MIN(100,ROUND(100*J1427/Assumptions!$B$8,0))</f>
        <v>90</v>
      </c>
      <c r="Q1427" s="8" t="n">
        <f aca="false">IF(L1427="",Assumptions!$B$9,L1427*10)</f>
        <v>80</v>
      </c>
      <c r="R1427" s="8" t="n">
        <f aca="false">IF(M1427&lt;=1,Assumptions!$B$12,IF(M1427&lt;=3,Assumptions!$B$13,IF(M1427&lt;=6,Assumptions!$B$14,Assumptions!$B$15)))</f>
        <v>100</v>
      </c>
      <c r="S1427" s="8" t="n">
        <f aca="false">IF(N1427="Completed On Time",Assumptions!$B$16,IF(N1427="Completed Late",Assumptions!$B$17,Assumptions!$B$18))</f>
        <v>100</v>
      </c>
      <c r="T1427" s="8" t="n">
        <f aca="false">IF(I1427=0,Assumptions!$B$20,IF(H1427&gt;I1427,Assumptions!$B$19,IF(H1427=I1427,Assumptions!$B$20,Assumptions!$B$21)))</f>
        <v>70</v>
      </c>
      <c r="U1427" s="8" t="n">
        <f aca="false">ROUND(P1427*Assumptions!$B$2+Q1427*Assumptions!$B$3+R1427*Assumptions!$B$4+S1427*Assumptions!$B$5+T1427*Assumptions!$B$6,0)</f>
        <v>87</v>
      </c>
      <c r="V1427" s="8" t="str">
        <f aca="false">IF(U1427&gt;=Assumptions!$B$10,"Healthy",IF(U1427&gt;=Assumptions!$B$11,"Needs Attention","High Risk"))</f>
        <v>Healthy</v>
      </c>
    </row>
    <row r="1428" customFormat="false" ht="15" hidden="false" customHeight="false" outlineLevel="0" collapsed="false">
      <c r="A1428" s="8" t="s">
        <v>2998</v>
      </c>
      <c r="B1428" s="8" t="s">
        <v>2999</v>
      </c>
      <c r="C1428" s="8" t="s">
        <v>51</v>
      </c>
      <c r="D1428" s="8" t="s">
        <v>2027</v>
      </c>
      <c r="E1428" s="8" t="s">
        <v>117</v>
      </c>
      <c r="F1428" s="8" t="s">
        <v>143</v>
      </c>
      <c r="G1428" s="8" t="s">
        <v>204</v>
      </c>
      <c r="H1428" s="15" t="n">
        <v>360</v>
      </c>
      <c r="I1428" s="15" t="n">
        <v>360</v>
      </c>
      <c r="J1428" s="16" t="n">
        <v>0.789</v>
      </c>
      <c r="K1428" s="8" t="n">
        <v>10</v>
      </c>
      <c r="L1428" s="8" t="n">
        <v>9</v>
      </c>
      <c r="M1428" s="8" t="n">
        <v>1</v>
      </c>
      <c r="N1428" s="8" t="s">
        <v>120</v>
      </c>
      <c r="O1428" s="15" t="n">
        <f aca="false">H1428*12</f>
        <v>4320</v>
      </c>
      <c r="P1428" s="8" t="n">
        <f aca="false">MIN(100,ROUND(100*J1428/Assumptions!$B$8,0))</f>
        <v>88</v>
      </c>
      <c r="Q1428" s="8" t="n">
        <f aca="false">IF(L1428="",Assumptions!$B$9,L1428*10)</f>
        <v>90</v>
      </c>
      <c r="R1428" s="8" t="n">
        <f aca="false">IF(M1428&lt;=1,Assumptions!$B$12,IF(M1428&lt;=3,Assumptions!$B$13,IF(M1428&lt;=6,Assumptions!$B$14,Assumptions!$B$15)))</f>
        <v>100</v>
      </c>
      <c r="S1428" s="8" t="n">
        <f aca="false">IF(N1428="Completed On Time",Assumptions!$B$16,IF(N1428="Completed Late",Assumptions!$B$17,Assumptions!$B$18))</f>
        <v>100</v>
      </c>
      <c r="T1428" s="8" t="n">
        <f aca="false">IF(I1428=0,Assumptions!$B$20,IF(H1428&gt;I1428,Assumptions!$B$19,IF(H1428=I1428,Assumptions!$B$20,Assumptions!$B$21)))</f>
        <v>70</v>
      </c>
      <c r="U1428" s="8" t="n">
        <f aca="false">ROUND(P1428*Assumptions!$B$2+Q1428*Assumptions!$B$3+R1428*Assumptions!$B$4+S1428*Assumptions!$B$5+T1428*Assumptions!$B$6,0)</f>
        <v>88</v>
      </c>
      <c r="V1428" s="8" t="str">
        <f aca="false">IF(U1428&gt;=Assumptions!$B$10,"Healthy",IF(U1428&gt;=Assumptions!$B$11,"Needs Attention","High Risk"))</f>
        <v>Healthy</v>
      </c>
    </row>
    <row r="1429" customFormat="false" ht="15" hidden="false" customHeight="false" outlineLevel="0" collapsed="false">
      <c r="A1429" s="8" t="s">
        <v>3000</v>
      </c>
      <c r="B1429" s="8" t="s">
        <v>3001</v>
      </c>
      <c r="C1429" s="8" t="s">
        <v>51</v>
      </c>
      <c r="D1429" s="8" t="s">
        <v>2027</v>
      </c>
      <c r="E1429" s="8" t="s">
        <v>132</v>
      </c>
      <c r="F1429" s="8" t="s">
        <v>151</v>
      </c>
      <c r="G1429" s="8" t="s">
        <v>147</v>
      </c>
      <c r="H1429" s="15" t="n">
        <v>360</v>
      </c>
      <c r="I1429" s="15" t="n">
        <v>360</v>
      </c>
      <c r="J1429" s="16" t="n">
        <v>0.744</v>
      </c>
      <c r="K1429" s="8" t="n">
        <v>10.3</v>
      </c>
      <c r="L1429" s="8" t="n">
        <v>8</v>
      </c>
      <c r="M1429" s="8" t="n">
        <v>2</v>
      </c>
      <c r="N1429" s="8" t="s">
        <v>120</v>
      </c>
      <c r="O1429" s="15" t="n">
        <f aca="false">H1429*12</f>
        <v>4320</v>
      </c>
      <c r="P1429" s="8" t="n">
        <f aca="false">MIN(100,ROUND(100*J1429/Assumptions!$B$8,0))</f>
        <v>83</v>
      </c>
      <c r="Q1429" s="8" t="n">
        <f aca="false">IF(L1429="",Assumptions!$B$9,L1429*10)</f>
        <v>80</v>
      </c>
      <c r="R1429" s="8" t="n">
        <f aca="false">IF(M1429&lt;=1,Assumptions!$B$12,IF(M1429&lt;=3,Assumptions!$B$13,IF(M1429&lt;=6,Assumptions!$B$14,Assumptions!$B$15)))</f>
        <v>75</v>
      </c>
      <c r="S1429" s="8" t="n">
        <f aca="false">IF(N1429="Completed On Time",Assumptions!$B$16,IF(N1429="Completed Late",Assumptions!$B$17,Assumptions!$B$18))</f>
        <v>100</v>
      </c>
      <c r="T1429" s="8" t="n">
        <f aca="false">IF(I1429=0,Assumptions!$B$20,IF(H1429&gt;I1429,Assumptions!$B$19,IF(H1429=I1429,Assumptions!$B$20,Assumptions!$B$21)))</f>
        <v>70</v>
      </c>
      <c r="U1429" s="8" t="n">
        <f aca="false">ROUND(P1429*Assumptions!$B$2+Q1429*Assumptions!$B$3+R1429*Assumptions!$B$4+S1429*Assumptions!$B$5+T1429*Assumptions!$B$6,0)</f>
        <v>80</v>
      </c>
      <c r="V1429" s="8" t="str">
        <f aca="false">IF(U1429&gt;=Assumptions!$B$10,"Healthy",IF(U1429&gt;=Assumptions!$B$11,"Needs Attention","High Risk"))</f>
        <v>Healthy</v>
      </c>
    </row>
    <row r="1430" customFormat="false" ht="15" hidden="false" customHeight="false" outlineLevel="0" collapsed="false">
      <c r="A1430" s="8" t="s">
        <v>3002</v>
      </c>
      <c r="B1430" s="8" t="s">
        <v>3003</v>
      </c>
      <c r="C1430" s="8" t="s">
        <v>51</v>
      </c>
      <c r="D1430" s="8" t="s">
        <v>2027</v>
      </c>
      <c r="E1430" s="8" t="s">
        <v>117</v>
      </c>
      <c r="F1430" s="8" t="s">
        <v>124</v>
      </c>
      <c r="G1430" s="8" t="s">
        <v>137</v>
      </c>
      <c r="H1430" s="15" t="n">
        <v>360</v>
      </c>
      <c r="I1430" s="15" t="n">
        <v>360</v>
      </c>
      <c r="J1430" s="16" t="n">
        <v>0.867</v>
      </c>
      <c r="K1430" s="8" t="n">
        <v>9.7</v>
      </c>
      <c r="L1430" s="8" t="n">
        <v>10</v>
      </c>
      <c r="M1430" s="8" t="n">
        <v>1</v>
      </c>
      <c r="N1430" s="8" t="s">
        <v>120</v>
      </c>
      <c r="O1430" s="15" t="n">
        <f aca="false">H1430*12</f>
        <v>4320</v>
      </c>
      <c r="P1430" s="8" t="n">
        <f aca="false">MIN(100,ROUND(100*J1430/Assumptions!$B$8,0))</f>
        <v>96</v>
      </c>
      <c r="Q1430" s="8" t="n">
        <f aca="false">IF(L1430="",Assumptions!$B$9,L1430*10)</f>
        <v>100</v>
      </c>
      <c r="R1430" s="8" t="n">
        <f aca="false">IF(M1430&lt;=1,Assumptions!$B$12,IF(M1430&lt;=3,Assumptions!$B$13,IF(M1430&lt;=6,Assumptions!$B$14,Assumptions!$B$15)))</f>
        <v>100</v>
      </c>
      <c r="S1430" s="8" t="n">
        <f aca="false">IF(N1430="Completed On Time",Assumptions!$B$16,IF(N1430="Completed Late",Assumptions!$B$17,Assumptions!$B$18))</f>
        <v>100</v>
      </c>
      <c r="T1430" s="8" t="n">
        <f aca="false">IF(I1430=0,Assumptions!$B$20,IF(H1430&gt;I1430,Assumptions!$B$19,IF(H1430=I1430,Assumptions!$B$20,Assumptions!$B$21)))</f>
        <v>70</v>
      </c>
      <c r="U1430" s="8" t="n">
        <f aca="false">ROUND(P1430*Assumptions!$B$2+Q1430*Assumptions!$B$3+R1430*Assumptions!$B$4+S1430*Assumptions!$B$5+T1430*Assumptions!$B$6,0)</f>
        <v>93</v>
      </c>
      <c r="V1430" s="8" t="str">
        <f aca="false">IF(U1430&gt;=Assumptions!$B$10,"Healthy",IF(U1430&gt;=Assumptions!$B$11,"Needs Attention","High Risk"))</f>
        <v>Healthy</v>
      </c>
    </row>
    <row r="1431" customFormat="false" ht="15" hidden="false" customHeight="false" outlineLevel="0" collapsed="false">
      <c r="A1431" s="8" t="s">
        <v>3004</v>
      </c>
      <c r="B1431" s="8" t="s">
        <v>3005</v>
      </c>
      <c r="C1431" s="8" t="s">
        <v>51</v>
      </c>
      <c r="D1431" s="8" t="s">
        <v>2027</v>
      </c>
      <c r="E1431" s="8" t="s">
        <v>123</v>
      </c>
      <c r="F1431" s="8" t="s">
        <v>118</v>
      </c>
      <c r="G1431" s="8" t="s">
        <v>137</v>
      </c>
      <c r="H1431" s="15" t="n">
        <v>360</v>
      </c>
      <c r="I1431" s="15" t="n">
        <v>360</v>
      </c>
      <c r="J1431" s="16" t="n">
        <v>0.656</v>
      </c>
      <c r="K1431" s="8" t="n">
        <v>7</v>
      </c>
      <c r="L1431" s="8" t="n">
        <v>5</v>
      </c>
      <c r="M1431" s="8" t="n">
        <v>1</v>
      </c>
      <c r="N1431" s="8" t="s">
        <v>120</v>
      </c>
      <c r="O1431" s="15" t="n">
        <f aca="false">H1431*12</f>
        <v>4320</v>
      </c>
      <c r="P1431" s="8" t="n">
        <f aca="false">MIN(100,ROUND(100*J1431/Assumptions!$B$8,0))</f>
        <v>73</v>
      </c>
      <c r="Q1431" s="8" t="n">
        <f aca="false">IF(L1431="",Assumptions!$B$9,L1431*10)</f>
        <v>50</v>
      </c>
      <c r="R1431" s="8" t="n">
        <f aca="false">IF(M1431&lt;=1,Assumptions!$B$12,IF(M1431&lt;=3,Assumptions!$B$13,IF(M1431&lt;=6,Assumptions!$B$14,Assumptions!$B$15)))</f>
        <v>100</v>
      </c>
      <c r="S1431" s="8" t="n">
        <f aca="false">IF(N1431="Completed On Time",Assumptions!$B$16,IF(N1431="Completed Late",Assumptions!$B$17,Assumptions!$B$18))</f>
        <v>100</v>
      </c>
      <c r="T1431" s="8" t="n">
        <f aca="false">IF(I1431=0,Assumptions!$B$20,IF(H1431&gt;I1431,Assumptions!$B$19,IF(H1431=I1431,Assumptions!$B$20,Assumptions!$B$21)))</f>
        <v>70</v>
      </c>
      <c r="U1431" s="8" t="n">
        <f aca="false">ROUND(P1431*Assumptions!$B$2+Q1431*Assumptions!$B$3+R1431*Assumptions!$B$4+S1431*Assumptions!$B$5+T1431*Assumptions!$B$6,0)</f>
        <v>75</v>
      </c>
      <c r="V1431" s="8" t="str">
        <f aca="false">IF(U1431&gt;=Assumptions!$B$10,"Healthy",IF(U1431&gt;=Assumptions!$B$11,"Needs Attention","High Risk"))</f>
        <v>Needs Attention</v>
      </c>
    </row>
    <row r="1432" customFormat="false" ht="15" hidden="false" customHeight="false" outlineLevel="0" collapsed="false">
      <c r="A1432" s="8" t="s">
        <v>3006</v>
      </c>
      <c r="B1432" s="8" t="s">
        <v>3007</v>
      </c>
      <c r="C1432" s="8" t="s">
        <v>51</v>
      </c>
      <c r="D1432" s="8" t="s">
        <v>2027</v>
      </c>
      <c r="E1432" s="8" t="s">
        <v>128</v>
      </c>
      <c r="F1432" s="8" t="s">
        <v>133</v>
      </c>
      <c r="G1432" s="8" t="s">
        <v>129</v>
      </c>
      <c r="H1432" s="15" t="n">
        <v>360</v>
      </c>
      <c r="I1432" s="15" t="n">
        <v>360</v>
      </c>
      <c r="J1432" s="16" t="n">
        <v>0.556</v>
      </c>
      <c r="K1432" s="8" t="n">
        <v>5.7</v>
      </c>
      <c r="L1432" s="8" t="n">
        <v>8</v>
      </c>
      <c r="M1432" s="8" t="n">
        <v>5</v>
      </c>
      <c r="N1432" s="8" t="s">
        <v>120</v>
      </c>
      <c r="O1432" s="15" t="n">
        <f aca="false">H1432*12</f>
        <v>4320</v>
      </c>
      <c r="P1432" s="8" t="n">
        <f aca="false">MIN(100,ROUND(100*J1432/Assumptions!$B$8,0))</f>
        <v>62</v>
      </c>
      <c r="Q1432" s="8" t="n">
        <f aca="false">IF(L1432="",Assumptions!$B$9,L1432*10)</f>
        <v>80</v>
      </c>
      <c r="R1432" s="8" t="n">
        <f aca="false">IF(M1432&lt;=1,Assumptions!$B$12,IF(M1432&lt;=3,Assumptions!$B$13,IF(M1432&lt;=6,Assumptions!$B$14,Assumptions!$B$15)))</f>
        <v>50</v>
      </c>
      <c r="S1432" s="8" t="n">
        <f aca="false">IF(N1432="Completed On Time",Assumptions!$B$16,IF(N1432="Completed Late",Assumptions!$B$17,Assumptions!$B$18))</f>
        <v>100</v>
      </c>
      <c r="T1432" s="8" t="n">
        <f aca="false">IF(I1432=0,Assumptions!$B$20,IF(H1432&gt;I1432,Assumptions!$B$19,IF(H1432=I1432,Assumptions!$B$20,Assumptions!$B$21)))</f>
        <v>70</v>
      </c>
      <c r="U1432" s="8" t="n">
        <f aca="false">ROUND(P1432*Assumptions!$B$2+Q1432*Assumptions!$B$3+R1432*Assumptions!$B$4+S1432*Assumptions!$B$5+T1432*Assumptions!$B$6,0)</f>
        <v>69</v>
      </c>
      <c r="V1432" s="8" t="str">
        <f aca="false">IF(U1432&gt;=Assumptions!$B$10,"Healthy",IF(U1432&gt;=Assumptions!$B$11,"Needs Attention","High Risk"))</f>
        <v>Needs Attention</v>
      </c>
    </row>
    <row r="1433" customFormat="false" ht="15" hidden="false" customHeight="false" outlineLevel="0" collapsed="false">
      <c r="A1433" s="8" t="s">
        <v>3008</v>
      </c>
      <c r="B1433" s="8" t="s">
        <v>3009</v>
      </c>
      <c r="C1433" s="8" t="s">
        <v>51</v>
      </c>
      <c r="D1433" s="8" t="s">
        <v>2027</v>
      </c>
      <c r="E1433" s="8" t="s">
        <v>117</v>
      </c>
      <c r="F1433" s="8" t="s">
        <v>223</v>
      </c>
      <c r="G1433" s="8" t="s">
        <v>119</v>
      </c>
      <c r="H1433" s="15" t="n">
        <v>360</v>
      </c>
      <c r="I1433" s="15" t="n">
        <v>360</v>
      </c>
      <c r="J1433" s="16" t="n">
        <v>0.767</v>
      </c>
      <c r="K1433" s="8" t="n">
        <v>8</v>
      </c>
      <c r="L1433" s="8" t="n">
        <v>10</v>
      </c>
      <c r="M1433" s="8" t="n">
        <v>4</v>
      </c>
      <c r="N1433" s="8" t="s">
        <v>120</v>
      </c>
      <c r="O1433" s="15" t="n">
        <f aca="false">H1433*12</f>
        <v>4320</v>
      </c>
      <c r="P1433" s="8" t="n">
        <f aca="false">MIN(100,ROUND(100*J1433/Assumptions!$B$8,0))</f>
        <v>85</v>
      </c>
      <c r="Q1433" s="8" t="n">
        <f aca="false">IF(L1433="",Assumptions!$B$9,L1433*10)</f>
        <v>100</v>
      </c>
      <c r="R1433" s="8" t="n">
        <f aca="false">IF(M1433&lt;=1,Assumptions!$B$12,IF(M1433&lt;=3,Assumptions!$B$13,IF(M1433&lt;=6,Assumptions!$B$14,Assumptions!$B$15)))</f>
        <v>50</v>
      </c>
      <c r="S1433" s="8" t="n">
        <f aca="false">IF(N1433="Completed On Time",Assumptions!$B$16,IF(N1433="Completed Late",Assumptions!$B$17,Assumptions!$B$18))</f>
        <v>100</v>
      </c>
      <c r="T1433" s="8" t="n">
        <f aca="false">IF(I1433=0,Assumptions!$B$20,IF(H1433&gt;I1433,Assumptions!$B$19,IF(H1433=I1433,Assumptions!$B$20,Assumptions!$B$21)))</f>
        <v>70</v>
      </c>
      <c r="U1433" s="8" t="n">
        <f aca="false">ROUND(P1433*Assumptions!$B$2+Q1433*Assumptions!$B$3+R1433*Assumptions!$B$4+S1433*Assumptions!$B$5+T1433*Assumptions!$B$6,0)</f>
        <v>81</v>
      </c>
      <c r="V1433" s="8" t="str">
        <f aca="false">IF(U1433&gt;=Assumptions!$B$10,"Healthy",IF(U1433&gt;=Assumptions!$B$11,"Needs Attention","High Risk"))</f>
        <v>Healthy</v>
      </c>
    </row>
    <row r="1434" customFormat="false" ht="15" hidden="false" customHeight="false" outlineLevel="0" collapsed="false">
      <c r="A1434" s="8" t="s">
        <v>3010</v>
      </c>
      <c r="B1434" s="8" t="s">
        <v>3011</v>
      </c>
      <c r="C1434" s="8" t="s">
        <v>51</v>
      </c>
      <c r="D1434" s="8" t="s">
        <v>2027</v>
      </c>
      <c r="E1434" s="8" t="s">
        <v>123</v>
      </c>
      <c r="F1434" s="8" t="s">
        <v>166</v>
      </c>
      <c r="G1434" s="8" t="s">
        <v>177</v>
      </c>
      <c r="H1434" s="15" t="n">
        <v>360</v>
      </c>
      <c r="I1434" s="15" t="n">
        <v>360</v>
      </c>
      <c r="J1434" s="16" t="n">
        <v>0.878</v>
      </c>
      <c r="K1434" s="8" t="n">
        <v>12</v>
      </c>
      <c r="L1434" s="8" t="n">
        <v>10</v>
      </c>
      <c r="M1434" s="8" t="n">
        <v>0</v>
      </c>
      <c r="N1434" s="8" t="s">
        <v>120</v>
      </c>
      <c r="O1434" s="15" t="n">
        <f aca="false">H1434*12</f>
        <v>4320</v>
      </c>
      <c r="P1434" s="8" t="n">
        <f aca="false">MIN(100,ROUND(100*J1434/Assumptions!$B$8,0))</f>
        <v>98</v>
      </c>
      <c r="Q1434" s="8" t="n">
        <f aca="false">IF(L1434="",Assumptions!$B$9,L1434*10)</f>
        <v>100</v>
      </c>
      <c r="R1434" s="8" t="n">
        <f aca="false">IF(M1434&lt;=1,Assumptions!$B$12,IF(M1434&lt;=3,Assumptions!$B$13,IF(M1434&lt;=6,Assumptions!$B$14,Assumptions!$B$15)))</f>
        <v>100</v>
      </c>
      <c r="S1434" s="8" t="n">
        <f aca="false">IF(N1434="Completed On Time",Assumptions!$B$16,IF(N1434="Completed Late",Assumptions!$B$17,Assumptions!$B$18))</f>
        <v>100</v>
      </c>
      <c r="T1434" s="8" t="n">
        <f aca="false">IF(I1434=0,Assumptions!$B$20,IF(H1434&gt;I1434,Assumptions!$B$19,IF(H1434=I1434,Assumptions!$B$20,Assumptions!$B$21)))</f>
        <v>70</v>
      </c>
      <c r="U1434" s="8" t="n">
        <f aca="false">ROUND(P1434*Assumptions!$B$2+Q1434*Assumptions!$B$3+R1434*Assumptions!$B$4+S1434*Assumptions!$B$5+T1434*Assumptions!$B$6,0)</f>
        <v>93</v>
      </c>
      <c r="V1434" s="8" t="str">
        <f aca="false">IF(U1434&gt;=Assumptions!$B$10,"Healthy",IF(U1434&gt;=Assumptions!$B$11,"Needs Attention","High Risk"))</f>
        <v>Healthy</v>
      </c>
    </row>
    <row r="1435" customFormat="false" ht="15" hidden="false" customHeight="false" outlineLevel="0" collapsed="false">
      <c r="A1435" s="8" t="s">
        <v>3012</v>
      </c>
      <c r="B1435" s="8" t="s">
        <v>3013</v>
      </c>
      <c r="C1435" s="8" t="s">
        <v>51</v>
      </c>
      <c r="D1435" s="8" t="s">
        <v>2027</v>
      </c>
      <c r="E1435" s="8" t="s">
        <v>128</v>
      </c>
      <c r="F1435" s="8" t="s">
        <v>133</v>
      </c>
      <c r="G1435" s="8" t="s">
        <v>137</v>
      </c>
      <c r="H1435" s="15" t="n">
        <v>360</v>
      </c>
      <c r="I1435" s="15" t="n">
        <v>360</v>
      </c>
      <c r="J1435" s="16" t="n">
        <v>0.678</v>
      </c>
      <c r="K1435" s="8" t="n">
        <v>7</v>
      </c>
      <c r="L1435" s="8" t="n">
        <v>7</v>
      </c>
      <c r="M1435" s="8" t="n">
        <v>3</v>
      </c>
      <c r="N1435" s="8" t="s">
        <v>120</v>
      </c>
      <c r="O1435" s="15" t="n">
        <f aca="false">H1435*12</f>
        <v>4320</v>
      </c>
      <c r="P1435" s="8" t="n">
        <f aca="false">MIN(100,ROUND(100*J1435/Assumptions!$B$8,0))</f>
        <v>75</v>
      </c>
      <c r="Q1435" s="8" t="n">
        <f aca="false">IF(L1435="",Assumptions!$B$9,L1435*10)</f>
        <v>70</v>
      </c>
      <c r="R1435" s="8" t="n">
        <f aca="false">IF(M1435&lt;=1,Assumptions!$B$12,IF(M1435&lt;=3,Assumptions!$B$13,IF(M1435&lt;=6,Assumptions!$B$14,Assumptions!$B$15)))</f>
        <v>75</v>
      </c>
      <c r="S1435" s="8" t="n">
        <f aca="false">IF(N1435="Completed On Time",Assumptions!$B$16,IF(N1435="Completed Late",Assumptions!$B$17,Assumptions!$B$18))</f>
        <v>100</v>
      </c>
      <c r="T1435" s="8" t="n">
        <f aca="false">IF(I1435=0,Assumptions!$B$20,IF(H1435&gt;I1435,Assumptions!$B$19,IF(H1435=I1435,Assumptions!$B$20,Assumptions!$B$21)))</f>
        <v>70</v>
      </c>
      <c r="U1435" s="8" t="n">
        <f aca="false">ROUND(P1435*Assumptions!$B$2+Q1435*Assumptions!$B$3+R1435*Assumptions!$B$4+S1435*Assumptions!$B$5+T1435*Assumptions!$B$6,0)</f>
        <v>76</v>
      </c>
      <c r="V1435" s="8" t="str">
        <f aca="false">IF(U1435&gt;=Assumptions!$B$10,"Healthy",IF(U1435&gt;=Assumptions!$B$11,"Needs Attention","High Risk"))</f>
        <v>Needs Attention</v>
      </c>
    </row>
    <row r="1436" customFormat="false" ht="15" hidden="false" customHeight="false" outlineLevel="0" collapsed="false">
      <c r="A1436" s="8" t="s">
        <v>3014</v>
      </c>
      <c r="B1436" s="8" t="s">
        <v>3015</v>
      </c>
      <c r="C1436" s="8" t="s">
        <v>51</v>
      </c>
      <c r="D1436" s="8" t="s">
        <v>2027</v>
      </c>
      <c r="E1436" s="8" t="s">
        <v>123</v>
      </c>
      <c r="F1436" s="8" t="s">
        <v>166</v>
      </c>
      <c r="G1436" s="8" t="s">
        <v>140</v>
      </c>
      <c r="H1436" s="15" t="n">
        <v>360</v>
      </c>
      <c r="I1436" s="15" t="n">
        <v>360</v>
      </c>
      <c r="J1436" s="16" t="n">
        <v>0.844</v>
      </c>
      <c r="K1436" s="8" t="n">
        <v>10</v>
      </c>
      <c r="L1436" s="8" t="n">
        <v>10</v>
      </c>
      <c r="M1436" s="8" t="n">
        <v>0</v>
      </c>
      <c r="N1436" s="8" t="s">
        <v>120</v>
      </c>
      <c r="O1436" s="15" t="n">
        <f aca="false">H1436*12</f>
        <v>4320</v>
      </c>
      <c r="P1436" s="8" t="n">
        <f aca="false">MIN(100,ROUND(100*J1436/Assumptions!$B$8,0))</f>
        <v>94</v>
      </c>
      <c r="Q1436" s="8" t="n">
        <f aca="false">IF(L1436="",Assumptions!$B$9,L1436*10)</f>
        <v>100</v>
      </c>
      <c r="R1436" s="8" t="n">
        <f aca="false">IF(M1436&lt;=1,Assumptions!$B$12,IF(M1436&lt;=3,Assumptions!$B$13,IF(M1436&lt;=6,Assumptions!$B$14,Assumptions!$B$15)))</f>
        <v>100</v>
      </c>
      <c r="S1436" s="8" t="n">
        <f aca="false">IF(N1436="Completed On Time",Assumptions!$B$16,IF(N1436="Completed Late",Assumptions!$B$17,Assumptions!$B$18))</f>
        <v>100</v>
      </c>
      <c r="T1436" s="8" t="n">
        <f aca="false">IF(I1436=0,Assumptions!$B$20,IF(H1436&gt;I1436,Assumptions!$B$19,IF(H1436=I1436,Assumptions!$B$20,Assumptions!$B$21)))</f>
        <v>70</v>
      </c>
      <c r="U1436" s="8" t="n">
        <f aca="false">ROUND(P1436*Assumptions!$B$2+Q1436*Assumptions!$B$3+R1436*Assumptions!$B$4+S1436*Assumptions!$B$5+T1436*Assumptions!$B$6,0)</f>
        <v>92</v>
      </c>
      <c r="V1436" s="8" t="str">
        <f aca="false">IF(U1436&gt;=Assumptions!$B$10,"Healthy",IF(U1436&gt;=Assumptions!$B$11,"Needs Attention","High Risk"))</f>
        <v>Healthy</v>
      </c>
    </row>
    <row r="1437" customFormat="false" ht="15" hidden="false" customHeight="false" outlineLevel="0" collapsed="false">
      <c r="A1437" s="8" t="s">
        <v>3016</v>
      </c>
      <c r="B1437" s="8" t="s">
        <v>3017</v>
      </c>
      <c r="C1437" s="8" t="s">
        <v>51</v>
      </c>
      <c r="D1437" s="8" t="s">
        <v>2027</v>
      </c>
      <c r="E1437" s="8" t="s">
        <v>132</v>
      </c>
      <c r="F1437" s="8" t="s">
        <v>154</v>
      </c>
      <c r="G1437" s="8" t="s">
        <v>185</v>
      </c>
      <c r="H1437" s="15" t="n">
        <v>360</v>
      </c>
      <c r="I1437" s="15" t="n">
        <v>360</v>
      </c>
      <c r="J1437" s="16" t="n">
        <v>0.8</v>
      </c>
      <c r="K1437" s="8" t="n">
        <v>9.7</v>
      </c>
      <c r="L1437" s="8" t="n">
        <v>7</v>
      </c>
      <c r="M1437" s="8" t="n">
        <v>6</v>
      </c>
      <c r="N1437" s="8" t="s">
        <v>120</v>
      </c>
      <c r="O1437" s="15" t="n">
        <f aca="false">H1437*12</f>
        <v>4320</v>
      </c>
      <c r="P1437" s="8" t="n">
        <f aca="false">MIN(100,ROUND(100*J1437/Assumptions!$B$8,0))</f>
        <v>89</v>
      </c>
      <c r="Q1437" s="8" t="n">
        <f aca="false">IF(L1437="",Assumptions!$B$9,L1437*10)</f>
        <v>70</v>
      </c>
      <c r="R1437" s="8" t="n">
        <f aca="false">IF(M1437&lt;=1,Assumptions!$B$12,IF(M1437&lt;=3,Assumptions!$B$13,IF(M1437&lt;=6,Assumptions!$B$14,Assumptions!$B$15)))</f>
        <v>50</v>
      </c>
      <c r="S1437" s="8" t="n">
        <f aca="false">IF(N1437="Completed On Time",Assumptions!$B$16,IF(N1437="Completed Late",Assumptions!$B$17,Assumptions!$B$18))</f>
        <v>100</v>
      </c>
      <c r="T1437" s="8" t="n">
        <f aca="false">IF(I1437=0,Assumptions!$B$20,IF(H1437&gt;I1437,Assumptions!$B$19,IF(H1437=I1437,Assumptions!$B$20,Assumptions!$B$21)))</f>
        <v>70</v>
      </c>
      <c r="U1437" s="8" t="n">
        <f aca="false">ROUND(P1437*Assumptions!$B$2+Q1437*Assumptions!$B$3+R1437*Assumptions!$B$4+S1437*Assumptions!$B$5+T1437*Assumptions!$B$6,0)</f>
        <v>77</v>
      </c>
      <c r="V1437" s="8" t="str">
        <f aca="false">IF(U1437&gt;=Assumptions!$B$10,"Healthy",IF(U1437&gt;=Assumptions!$B$11,"Needs Attention","High Risk"))</f>
        <v>Needs Attention</v>
      </c>
    </row>
    <row r="1438" customFormat="false" ht="15" hidden="false" customHeight="false" outlineLevel="0" collapsed="false">
      <c r="A1438" s="8" t="s">
        <v>3018</v>
      </c>
      <c r="B1438" s="8" t="s">
        <v>3019</v>
      </c>
      <c r="C1438" s="8" t="s">
        <v>51</v>
      </c>
      <c r="D1438" s="8" t="s">
        <v>2027</v>
      </c>
      <c r="E1438" s="8" t="s">
        <v>123</v>
      </c>
      <c r="F1438" s="8" t="s">
        <v>166</v>
      </c>
      <c r="G1438" s="8" t="s">
        <v>180</v>
      </c>
      <c r="H1438" s="15" t="n">
        <v>360</v>
      </c>
      <c r="I1438" s="15" t="n">
        <v>360</v>
      </c>
      <c r="J1438" s="16" t="n">
        <v>0.456</v>
      </c>
      <c r="K1438" s="8" t="n">
        <v>5.3</v>
      </c>
      <c r="L1438" s="8" t="n">
        <v>7</v>
      </c>
      <c r="M1438" s="8" t="n">
        <v>5</v>
      </c>
      <c r="N1438" s="8" t="s">
        <v>120</v>
      </c>
      <c r="O1438" s="15" t="n">
        <f aca="false">H1438*12</f>
        <v>4320</v>
      </c>
      <c r="P1438" s="8" t="n">
        <f aca="false">MIN(100,ROUND(100*J1438/Assumptions!$B$8,0))</f>
        <v>51</v>
      </c>
      <c r="Q1438" s="8" t="n">
        <f aca="false">IF(L1438="",Assumptions!$B$9,L1438*10)</f>
        <v>70</v>
      </c>
      <c r="R1438" s="8" t="n">
        <f aca="false">IF(M1438&lt;=1,Assumptions!$B$12,IF(M1438&lt;=3,Assumptions!$B$13,IF(M1438&lt;=6,Assumptions!$B$14,Assumptions!$B$15)))</f>
        <v>50</v>
      </c>
      <c r="S1438" s="8" t="n">
        <f aca="false">IF(N1438="Completed On Time",Assumptions!$B$16,IF(N1438="Completed Late",Assumptions!$B$17,Assumptions!$B$18))</f>
        <v>100</v>
      </c>
      <c r="T1438" s="8" t="n">
        <f aca="false">IF(I1438=0,Assumptions!$B$20,IF(H1438&gt;I1438,Assumptions!$B$19,IF(H1438=I1438,Assumptions!$B$20,Assumptions!$B$21)))</f>
        <v>70</v>
      </c>
      <c r="U1438" s="8" t="n">
        <f aca="false">ROUND(P1438*Assumptions!$B$2+Q1438*Assumptions!$B$3+R1438*Assumptions!$B$4+S1438*Assumptions!$B$5+T1438*Assumptions!$B$6,0)</f>
        <v>63</v>
      </c>
      <c r="V1438" s="8" t="str">
        <f aca="false">IF(U1438&gt;=Assumptions!$B$10,"Healthy",IF(U1438&gt;=Assumptions!$B$11,"Needs Attention","High Risk"))</f>
        <v>High Risk</v>
      </c>
    </row>
    <row r="1439" customFormat="false" ht="15" hidden="false" customHeight="false" outlineLevel="0" collapsed="false">
      <c r="A1439" s="8" t="s">
        <v>3020</v>
      </c>
      <c r="B1439" s="8" t="s">
        <v>3021</v>
      </c>
      <c r="C1439" s="8" t="s">
        <v>51</v>
      </c>
      <c r="D1439" s="8" t="s">
        <v>2027</v>
      </c>
      <c r="E1439" s="8" t="s">
        <v>123</v>
      </c>
      <c r="F1439" s="8" t="s">
        <v>143</v>
      </c>
      <c r="G1439" s="8" t="s">
        <v>147</v>
      </c>
      <c r="H1439" s="15" t="n">
        <v>360</v>
      </c>
      <c r="I1439" s="15" t="n">
        <v>360</v>
      </c>
      <c r="J1439" s="16" t="n">
        <v>0.789</v>
      </c>
      <c r="K1439" s="8" t="n">
        <v>8</v>
      </c>
      <c r="L1439" s="8" t="n">
        <v>9</v>
      </c>
      <c r="M1439" s="8" t="n">
        <v>2</v>
      </c>
      <c r="N1439" s="8" t="s">
        <v>120</v>
      </c>
      <c r="O1439" s="15" t="n">
        <f aca="false">H1439*12</f>
        <v>4320</v>
      </c>
      <c r="P1439" s="8" t="n">
        <f aca="false">MIN(100,ROUND(100*J1439/Assumptions!$B$8,0))</f>
        <v>88</v>
      </c>
      <c r="Q1439" s="8" t="n">
        <f aca="false">IF(L1439="",Assumptions!$B$9,L1439*10)</f>
        <v>90</v>
      </c>
      <c r="R1439" s="8" t="n">
        <f aca="false">IF(M1439&lt;=1,Assumptions!$B$12,IF(M1439&lt;=3,Assumptions!$B$13,IF(M1439&lt;=6,Assumptions!$B$14,Assumptions!$B$15)))</f>
        <v>75</v>
      </c>
      <c r="S1439" s="8" t="n">
        <f aca="false">IF(N1439="Completed On Time",Assumptions!$B$16,IF(N1439="Completed Late",Assumptions!$B$17,Assumptions!$B$18))</f>
        <v>100</v>
      </c>
      <c r="T1439" s="8" t="n">
        <f aca="false">IF(I1439=0,Assumptions!$B$20,IF(H1439&gt;I1439,Assumptions!$B$19,IF(H1439=I1439,Assumptions!$B$20,Assumptions!$B$21)))</f>
        <v>70</v>
      </c>
      <c r="U1439" s="8" t="n">
        <f aca="false">ROUND(P1439*Assumptions!$B$2+Q1439*Assumptions!$B$3+R1439*Assumptions!$B$4+S1439*Assumptions!$B$5+T1439*Assumptions!$B$6,0)</f>
        <v>84</v>
      </c>
      <c r="V1439" s="8" t="str">
        <f aca="false">IF(U1439&gt;=Assumptions!$B$10,"Healthy",IF(U1439&gt;=Assumptions!$B$11,"Needs Attention","High Risk"))</f>
        <v>Healthy</v>
      </c>
    </row>
    <row r="1440" customFormat="false" ht="15" hidden="false" customHeight="false" outlineLevel="0" collapsed="false">
      <c r="A1440" s="8" t="s">
        <v>3022</v>
      </c>
      <c r="B1440" s="8" t="s">
        <v>3023</v>
      </c>
      <c r="C1440" s="8" t="s">
        <v>51</v>
      </c>
      <c r="D1440" s="8" t="s">
        <v>2027</v>
      </c>
      <c r="E1440" s="8" t="s">
        <v>123</v>
      </c>
      <c r="F1440" s="8" t="s">
        <v>136</v>
      </c>
      <c r="G1440" s="8" t="s">
        <v>204</v>
      </c>
      <c r="H1440" s="15" t="n">
        <v>360</v>
      </c>
      <c r="I1440" s="15" t="n">
        <v>360</v>
      </c>
      <c r="J1440" s="16" t="n">
        <v>0.878</v>
      </c>
      <c r="K1440" s="8" t="n">
        <v>9.7</v>
      </c>
      <c r="L1440" s="8" t="n">
        <v>8</v>
      </c>
      <c r="M1440" s="8" t="n">
        <v>0</v>
      </c>
      <c r="N1440" s="8" t="s">
        <v>120</v>
      </c>
      <c r="O1440" s="15" t="n">
        <f aca="false">H1440*12</f>
        <v>4320</v>
      </c>
      <c r="P1440" s="8" t="n">
        <f aca="false">MIN(100,ROUND(100*J1440/Assumptions!$B$8,0))</f>
        <v>98</v>
      </c>
      <c r="Q1440" s="8" t="n">
        <f aca="false">IF(L1440="",Assumptions!$B$9,L1440*10)</f>
        <v>80</v>
      </c>
      <c r="R1440" s="8" t="n">
        <f aca="false">IF(M1440&lt;=1,Assumptions!$B$12,IF(M1440&lt;=3,Assumptions!$B$13,IF(M1440&lt;=6,Assumptions!$B$14,Assumptions!$B$15)))</f>
        <v>100</v>
      </c>
      <c r="S1440" s="8" t="n">
        <f aca="false">IF(N1440="Completed On Time",Assumptions!$B$16,IF(N1440="Completed Late",Assumptions!$B$17,Assumptions!$B$18))</f>
        <v>100</v>
      </c>
      <c r="T1440" s="8" t="n">
        <f aca="false">IF(I1440=0,Assumptions!$B$20,IF(H1440&gt;I1440,Assumptions!$B$19,IF(H1440=I1440,Assumptions!$B$20,Assumptions!$B$21)))</f>
        <v>70</v>
      </c>
      <c r="U1440" s="8" t="n">
        <f aca="false">ROUND(P1440*Assumptions!$B$2+Q1440*Assumptions!$B$3+R1440*Assumptions!$B$4+S1440*Assumptions!$B$5+T1440*Assumptions!$B$6,0)</f>
        <v>89</v>
      </c>
      <c r="V1440" s="8" t="str">
        <f aca="false">IF(U1440&gt;=Assumptions!$B$10,"Healthy",IF(U1440&gt;=Assumptions!$B$11,"Needs Attention","High Risk"))</f>
        <v>Healthy</v>
      </c>
    </row>
    <row r="1441" customFormat="false" ht="15" hidden="false" customHeight="false" outlineLevel="0" collapsed="false">
      <c r="A1441" s="8" t="s">
        <v>3024</v>
      </c>
      <c r="B1441" s="8" t="s">
        <v>3025</v>
      </c>
      <c r="C1441" s="8" t="s">
        <v>51</v>
      </c>
      <c r="D1441" s="8" t="s">
        <v>326</v>
      </c>
      <c r="E1441" s="8" t="s">
        <v>123</v>
      </c>
      <c r="F1441" s="8" t="s">
        <v>133</v>
      </c>
      <c r="G1441" s="8" t="s">
        <v>180</v>
      </c>
      <c r="H1441" s="15" t="n">
        <v>350</v>
      </c>
      <c r="I1441" s="15" t="n">
        <v>350</v>
      </c>
      <c r="J1441" s="16" t="n">
        <v>0.595</v>
      </c>
      <c r="K1441" s="8" t="n">
        <v>6.3</v>
      </c>
      <c r="L1441" s="8" t="n">
        <v>6</v>
      </c>
      <c r="M1441" s="8" t="n">
        <v>2</v>
      </c>
      <c r="N1441" s="8" t="s">
        <v>120</v>
      </c>
      <c r="O1441" s="15" t="n">
        <f aca="false">H1441*12</f>
        <v>4200</v>
      </c>
      <c r="P1441" s="8" t="n">
        <f aca="false">MIN(100,ROUND(100*J1441/Assumptions!$B$8,0))</f>
        <v>66</v>
      </c>
      <c r="Q1441" s="8" t="n">
        <f aca="false">IF(L1441="",Assumptions!$B$9,L1441*10)</f>
        <v>60</v>
      </c>
      <c r="R1441" s="8" t="n">
        <f aca="false">IF(M1441&lt;=1,Assumptions!$B$12,IF(M1441&lt;=3,Assumptions!$B$13,IF(M1441&lt;=6,Assumptions!$B$14,Assumptions!$B$15)))</f>
        <v>75</v>
      </c>
      <c r="S1441" s="8" t="n">
        <f aca="false">IF(N1441="Completed On Time",Assumptions!$B$16,IF(N1441="Completed Late",Assumptions!$B$17,Assumptions!$B$18))</f>
        <v>100</v>
      </c>
      <c r="T1441" s="8" t="n">
        <f aca="false">IF(I1441=0,Assumptions!$B$20,IF(H1441&gt;I1441,Assumptions!$B$19,IF(H1441=I1441,Assumptions!$B$20,Assumptions!$B$21)))</f>
        <v>70</v>
      </c>
      <c r="U1441" s="8" t="n">
        <f aca="false">ROUND(P1441*Assumptions!$B$2+Q1441*Assumptions!$B$3+R1441*Assumptions!$B$4+S1441*Assumptions!$B$5+T1441*Assumptions!$B$6,0)</f>
        <v>70</v>
      </c>
      <c r="V1441" s="8" t="str">
        <f aca="false">IF(U1441&gt;=Assumptions!$B$10,"Healthy",IF(U1441&gt;=Assumptions!$B$11,"Needs Attention","High Risk"))</f>
        <v>Needs Attention</v>
      </c>
    </row>
    <row r="1442" customFormat="false" ht="15" hidden="false" customHeight="false" outlineLevel="0" collapsed="false">
      <c r="A1442" s="8" t="s">
        <v>3026</v>
      </c>
      <c r="B1442" s="8" t="s">
        <v>3027</v>
      </c>
      <c r="C1442" s="8" t="s">
        <v>51</v>
      </c>
      <c r="D1442" s="8" t="s">
        <v>326</v>
      </c>
      <c r="E1442" s="8" t="s">
        <v>123</v>
      </c>
      <c r="F1442" s="8" t="s">
        <v>143</v>
      </c>
      <c r="G1442" s="8" t="s">
        <v>125</v>
      </c>
      <c r="H1442" s="15" t="n">
        <v>350</v>
      </c>
      <c r="I1442" s="15" t="n">
        <v>350</v>
      </c>
      <c r="J1442" s="16" t="n">
        <v>0.976</v>
      </c>
      <c r="K1442" s="8" t="n">
        <v>10.7</v>
      </c>
      <c r="L1442" s="8" t="n">
        <v>10</v>
      </c>
      <c r="M1442" s="8" t="n">
        <v>2</v>
      </c>
      <c r="N1442" s="8" t="s">
        <v>120</v>
      </c>
      <c r="O1442" s="15" t="n">
        <f aca="false">H1442*12</f>
        <v>4200</v>
      </c>
      <c r="P1442" s="8" t="n">
        <f aca="false">MIN(100,ROUND(100*J1442/Assumptions!$B$8,0))</f>
        <v>100</v>
      </c>
      <c r="Q1442" s="8" t="n">
        <f aca="false">IF(L1442="",Assumptions!$B$9,L1442*10)</f>
        <v>100</v>
      </c>
      <c r="R1442" s="8" t="n">
        <f aca="false">IF(M1442&lt;=1,Assumptions!$B$12,IF(M1442&lt;=3,Assumptions!$B$13,IF(M1442&lt;=6,Assumptions!$B$14,Assumptions!$B$15)))</f>
        <v>75</v>
      </c>
      <c r="S1442" s="8" t="n">
        <f aca="false">IF(N1442="Completed On Time",Assumptions!$B$16,IF(N1442="Completed Late",Assumptions!$B$17,Assumptions!$B$18))</f>
        <v>100</v>
      </c>
      <c r="T1442" s="8" t="n">
        <f aca="false">IF(I1442=0,Assumptions!$B$20,IF(H1442&gt;I1442,Assumptions!$B$19,IF(H1442=I1442,Assumptions!$B$20,Assumptions!$B$21)))</f>
        <v>70</v>
      </c>
      <c r="U1442" s="8" t="n">
        <f aca="false">ROUND(P1442*Assumptions!$B$2+Q1442*Assumptions!$B$3+R1442*Assumptions!$B$4+S1442*Assumptions!$B$5+T1442*Assumptions!$B$6,0)</f>
        <v>90</v>
      </c>
      <c r="V1442" s="8" t="str">
        <f aca="false">IF(U1442&gt;=Assumptions!$B$10,"Healthy",IF(U1442&gt;=Assumptions!$B$11,"Needs Attention","High Risk"))</f>
        <v>Healthy</v>
      </c>
    </row>
    <row r="1443" customFormat="false" ht="15" hidden="false" customHeight="false" outlineLevel="0" collapsed="false">
      <c r="A1443" s="8" t="s">
        <v>3028</v>
      </c>
      <c r="B1443" s="8" t="s">
        <v>3029</v>
      </c>
      <c r="C1443" s="8" t="s">
        <v>51</v>
      </c>
      <c r="D1443" s="8" t="s">
        <v>326</v>
      </c>
      <c r="E1443" s="8" t="s">
        <v>123</v>
      </c>
      <c r="F1443" s="8" t="s">
        <v>118</v>
      </c>
      <c r="G1443" s="8" t="s">
        <v>137</v>
      </c>
      <c r="H1443" s="15" t="n">
        <v>350</v>
      </c>
      <c r="I1443" s="15" t="n">
        <v>350</v>
      </c>
      <c r="J1443" s="16" t="n">
        <v>0.69</v>
      </c>
      <c r="K1443" s="8" t="n">
        <v>9.3</v>
      </c>
      <c r="L1443" s="8" t="n">
        <v>9</v>
      </c>
      <c r="M1443" s="8" t="n">
        <v>2</v>
      </c>
      <c r="N1443" s="8" t="s">
        <v>120</v>
      </c>
      <c r="O1443" s="15" t="n">
        <f aca="false">H1443*12</f>
        <v>4200</v>
      </c>
      <c r="P1443" s="8" t="n">
        <f aca="false">MIN(100,ROUND(100*J1443/Assumptions!$B$8,0))</f>
        <v>77</v>
      </c>
      <c r="Q1443" s="8" t="n">
        <f aca="false">IF(L1443="",Assumptions!$B$9,L1443*10)</f>
        <v>90</v>
      </c>
      <c r="R1443" s="8" t="n">
        <f aca="false">IF(M1443&lt;=1,Assumptions!$B$12,IF(M1443&lt;=3,Assumptions!$B$13,IF(M1443&lt;=6,Assumptions!$B$14,Assumptions!$B$15)))</f>
        <v>75</v>
      </c>
      <c r="S1443" s="8" t="n">
        <f aca="false">IF(N1443="Completed On Time",Assumptions!$B$16,IF(N1443="Completed Late",Assumptions!$B$17,Assumptions!$B$18))</f>
        <v>100</v>
      </c>
      <c r="T1443" s="8" t="n">
        <f aca="false">IF(I1443=0,Assumptions!$B$20,IF(H1443&gt;I1443,Assumptions!$B$19,IF(H1443=I1443,Assumptions!$B$20,Assumptions!$B$21)))</f>
        <v>70</v>
      </c>
      <c r="U1443" s="8" t="n">
        <f aca="false">ROUND(P1443*Assumptions!$B$2+Q1443*Assumptions!$B$3+R1443*Assumptions!$B$4+S1443*Assumptions!$B$5+T1443*Assumptions!$B$6,0)</f>
        <v>80</v>
      </c>
      <c r="V1443" s="8" t="str">
        <f aca="false">IF(U1443&gt;=Assumptions!$B$10,"Healthy",IF(U1443&gt;=Assumptions!$B$11,"Needs Attention","High Risk"))</f>
        <v>Healthy</v>
      </c>
    </row>
    <row r="1444" customFormat="false" ht="15" hidden="false" customHeight="false" outlineLevel="0" collapsed="false">
      <c r="A1444" s="8" t="s">
        <v>3030</v>
      </c>
      <c r="B1444" s="8" t="s">
        <v>3031</v>
      </c>
      <c r="C1444" s="8" t="s">
        <v>51</v>
      </c>
      <c r="D1444" s="8" t="s">
        <v>326</v>
      </c>
      <c r="E1444" s="8" t="s">
        <v>123</v>
      </c>
      <c r="F1444" s="8" t="s">
        <v>124</v>
      </c>
      <c r="G1444" s="8" t="s">
        <v>119</v>
      </c>
      <c r="H1444" s="15" t="n">
        <v>350</v>
      </c>
      <c r="I1444" s="15" t="n">
        <v>350</v>
      </c>
      <c r="J1444" s="16" t="n">
        <v>0.81</v>
      </c>
      <c r="K1444" s="8" t="n">
        <v>7.7</v>
      </c>
      <c r="L1444" s="8" t="n">
        <v>8</v>
      </c>
      <c r="M1444" s="8" t="n">
        <v>4</v>
      </c>
      <c r="N1444" s="8" t="s">
        <v>120</v>
      </c>
      <c r="O1444" s="15" t="n">
        <f aca="false">H1444*12</f>
        <v>4200</v>
      </c>
      <c r="P1444" s="8" t="n">
        <f aca="false">MIN(100,ROUND(100*J1444/Assumptions!$B$8,0))</f>
        <v>90</v>
      </c>
      <c r="Q1444" s="8" t="n">
        <f aca="false">IF(L1444="",Assumptions!$B$9,L1444*10)</f>
        <v>80</v>
      </c>
      <c r="R1444" s="8" t="n">
        <f aca="false">IF(M1444&lt;=1,Assumptions!$B$12,IF(M1444&lt;=3,Assumptions!$B$13,IF(M1444&lt;=6,Assumptions!$B$14,Assumptions!$B$15)))</f>
        <v>50</v>
      </c>
      <c r="S1444" s="8" t="n">
        <f aca="false">IF(N1444="Completed On Time",Assumptions!$B$16,IF(N1444="Completed Late",Assumptions!$B$17,Assumptions!$B$18))</f>
        <v>100</v>
      </c>
      <c r="T1444" s="8" t="n">
        <f aca="false">IF(I1444=0,Assumptions!$B$20,IF(H1444&gt;I1444,Assumptions!$B$19,IF(H1444=I1444,Assumptions!$B$20,Assumptions!$B$21)))</f>
        <v>70</v>
      </c>
      <c r="U1444" s="8" t="n">
        <f aca="false">ROUND(P1444*Assumptions!$B$2+Q1444*Assumptions!$B$3+R1444*Assumptions!$B$4+S1444*Assumptions!$B$5+T1444*Assumptions!$B$6,0)</f>
        <v>79</v>
      </c>
      <c r="V1444" s="8" t="str">
        <f aca="false">IF(U1444&gt;=Assumptions!$B$10,"Healthy",IF(U1444&gt;=Assumptions!$B$11,"Needs Attention","High Risk"))</f>
        <v>Needs Attention</v>
      </c>
    </row>
    <row r="1445" customFormat="false" ht="15" hidden="false" customHeight="false" outlineLevel="0" collapsed="false">
      <c r="A1445" s="8" t="s">
        <v>3032</v>
      </c>
      <c r="B1445" s="8" t="s">
        <v>3033</v>
      </c>
      <c r="C1445" s="8" t="s">
        <v>51</v>
      </c>
      <c r="D1445" s="8" t="s">
        <v>326</v>
      </c>
      <c r="E1445" s="8" t="s">
        <v>117</v>
      </c>
      <c r="F1445" s="8" t="s">
        <v>136</v>
      </c>
      <c r="G1445" s="8" t="s">
        <v>180</v>
      </c>
      <c r="H1445" s="15" t="n">
        <v>350</v>
      </c>
      <c r="I1445" s="15" t="n">
        <v>350</v>
      </c>
      <c r="J1445" s="16" t="n">
        <v>0.786</v>
      </c>
      <c r="K1445" s="8" t="n">
        <v>9.3</v>
      </c>
      <c r="L1445" s="8" t="n">
        <v>9</v>
      </c>
      <c r="M1445" s="8" t="n">
        <v>0</v>
      </c>
      <c r="N1445" s="8" t="s">
        <v>120</v>
      </c>
      <c r="O1445" s="15" t="n">
        <f aca="false">H1445*12</f>
        <v>4200</v>
      </c>
      <c r="P1445" s="8" t="n">
        <f aca="false">MIN(100,ROUND(100*J1445/Assumptions!$B$8,0))</f>
        <v>87</v>
      </c>
      <c r="Q1445" s="8" t="n">
        <f aca="false">IF(L1445="",Assumptions!$B$9,L1445*10)</f>
        <v>90</v>
      </c>
      <c r="R1445" s="8" t="n">
        <f aca="false">IF(M1445&lt;=1,Assumptions!$B$12,IF(M1445&lt;=3,Assumptions!$B$13,IF(M1445&lt;=6,Assumptions!$B$14,Assumptions!$B$15)))</f>
        <v>100</v>
      </c>
      <c r="S1445" s="8" t="n">
        <f aca="false">IF(N1445="Completed On Time",Assumptions!$B$16,IF(N1445="Completed Late",Assumptions!$B$17,Assumptions!$B$18))</f>
        <v>100</v>
      </c>
      <c r="T1445" s="8" t="n">
        <f aca="false">IF(I1445=0,Assumptions!$B$20,IF(H1445&gt;I1445,Assumptions!$B$19,IF(H1445=I1445,Assumptions!$B$20,Assumptions!$B$21)))</f>
        <v>70</v>
      </c>
      <c r="U1445" s="8" t="n">
        <f aca="false">ROUND(P1445*Assumptions!$B$2+Q1445*Assumptions!$B$3+R1445*Assumptions!$B$4+S1445*Assumptions!$B$5+T1445*Assumptions!$B$6,0)</f>
        <v>87</v>
      </c>
      <c r="V1445" s="8" t="str">
        <f aca="false">IF(U1445&gt;=Assumptions!$B$10,"Healthy",IF(U1445&gt;=Assumptions!$B$11,"Needs Attention","High Risk"))</f>
        <v>Healthy</v>
      </c>
    </row>
    <row r="1446" customFormat="false" ht="15" hidden="false" customHeight="false" outlineLevel="0" collapsed="false">
      <c r="A1446" s="8" t="s">
        <v>3034</v>
      </c>
      <c r="B1446" s="8" t="s">
        <v>3035</v>
      </c>
      <c r="C1446" s="8" t="s">
        <v>51</v>
      </c>
      <c r="D1446" s="8" t="s">
        <v>326</v>
      </c>
      <c r="E1446" s="8" t="s">
        <v>123</v>
      </c>
      <c r="F1446" s="8" t="s">
        <v>151</v>
      </c>
      <c r="G1446" s="8" t="s">
        <v>137</v>
      </c>
      <c r="H1446" s="15" t="n">
        <v>350</v>
      </c>
      <c r="I1446" s="15" t="n">
        <v>350</v>
      </c>
      <c r="J1446" s="16" t="n">
        <v>0.714</v>
      </c>
      <c r="K1446" s="8" t="n">
        <v>9.7</v>
      </c>
      <c r="L1446" s="8" t="n">
        <v>8</v>
      </c>
      <c r="M1446" s="8" t="n">
        <v>2</v>
      </c>
      <c r="N1446" s="8" t="s">
        <v>120</v>
      </c>
      <c r="O1446" s="15" t="n">
        <f aca="false">H1446*12</f>
        <v>4200</v>
      </c>
      <c r="P1446" s="8" t="n">
        <f aca="false">MIN(100,ROUND(100*J1446/Assumptions!$B$8,0))</f>
        <v>79</v>
      </c>
      <c r="Q1446" s="8" t="n">
        <f aca="false">IF(L1446="",Assumptions!$B$9,L1446*10)</f>
        <v>80</v>
      </c>
      <c r="R1446" s="8" t="n">
        <f aca="false">IF(M1446&lt;=1,Assumptions!$B$12,IF(M1446&lt;=3,Assumptions!$B$13,IF(M1446&lt;=6,Assumptions!$B$14,Assumptions!$B$15)))</f>
        <v>75</v>
      </c>
      <c r="S1446" s="8" t="n">
        <f aca="false">IF(N1446="Completed On Time",Assumptions!$B$16,IF(N1446="Completed Late",Assumptions!$B$17,Assumptions!$B$18))</f>
        <v>100</v>
      </c>
      <c r="T1446" s="8" t="n">
        <f aca="false">IF(I1446=0,Assumptions!$B$20,IF(H1446&gt;I1446,Assumptions!$B$19,IF(H1446=I1446,Assumptions!$B$20,Assumptions!$B$21)))</f>
        <v>70</v>
      </c>
      <c r="U1446" s="8" t="n">
        <f aca="false">ROUND(P1446*Assumptions!$B$2+Q1446*Assumptions!$B$3+R1446*Assumptions!$B$4+S1446*Assumptions!$B$5+T1446*Assumptions!$B$6,0)</f>
        <v>79</v>
      </c>
      <c r="V1446" s="8" t="str">
        <f aca="false">IF(U1446&gt;=Assumptions!$B$10,"Healthy",IF(U1446&gt;=Assumptions!$B$11,"Needs Attention","High Risk"))</f>
        <v>Needs Attention</v>
      </c>
    </row>
    <row r="1447" customFormat="false" ht="15" hidden="false" customHeight="false" outlineLevel="0" collapsed="false">
      <c r="A1447" s="8" t="s">
        <v>3036</v>
      </c>
      <c r="B1447" s="8" t="s">
        <v>3037</v>
      </c>
      <c r="C1447" s="8" t="s">
        <v>51</v>
      </c>
      <c r="D1447" s="8" t="s">
        <v>326</v>
      </c>
      <c r="E1447" s="8" t="s">
        <v>123</v>
      </c>
      <c r="F1447" s="8" t="s">
        <v>166</v>
      </c>
      <c r="G1447" s="8" t="s">
        <v>129</v>
      </c>
      <c r="H1447" s="15" t="n">
        <v>350</v>
      </c>
      <c r="I1447" s="15" t="n">
        <v>350</v>
      </c>
      <c r="J1447" s="16" t="n">
        <v>0.619</v>
      </c>
      <c r="K1447" s="8" t="n">
        <v>7.7</v>
      </c>
      <c r="L1447" s="8" t="n">
        <v>8</v>
      </c>
      <c r="M1447" s="8" t="n">
        <v>2</v>
      </c>
      <c r="N1447" s="8" t="s">
        <v>120</v>
      </c>
      <c r="O1447" s="15" t="n">
        <f aca="false">H1447*12</f>
        <v>4200</v>
      </c>
      <c r="P1447" s="8" t="n">
        <f aca="false">MIN(100,ROUND(100*J1447/Assumptions!$B$8,0))</f>
        <v>69</v>
      </c>
      <c r="Q1447" s="8" t="n">
        <f aca="false">IF(L1447="",Assumptions!$B$9,L1447*10)</f>
        <v>80</v>
      </c>
      <c r="R1447" s="8" t="n">
        <f aca="false">IF(M1447&lt;=1,Assumptions!$B$12,IF(M1447&lt;=3,Assumptions!$B$13,IF(M1447&lt;=6,Assumptions!$B$14,Assumptions!$B$15)))</f>
        <v>75</v>
      </c>
      <c r="S1447" s="8" t="n">
        <f aca="false">IF(N1447="Completed On Time",Assumptions!$B$16,IF(N1447="Completed Late",Assumptions!$B$17,Assumptions!$B$18))</f>
        <v>100</v>
      </c>
      <c r="T1447" s="8" t="n">
        <f aca="false">IF(I1447=0,Assumptions!$B$20,IF(H1447&gt;I1447,Assumptions!$B$19,IF(H1447=I1447,Assumptions!$B$20,Assumptions!$B$21)))</f>
        <v>70</v>
      </c>
      <c r="U1447" s="8" t="n">
        <f aca="false">ROUND(P1447*Assumptions!$B$2+Q1447*Assumptions!$B$3+R1447*Assumptions!$B$4+S1447*Assumptions!$B$5+T1447*Assumptions!$B$6,0)</f>
        <v>75</v>
      </c>
      <c r="V1447" s="8" t="str">
        <f aca="false">IF(U1447&gt;=Assumptions!$B$10,"Healthy",IF(U1447&gt;=Assumptions!$B$11,"Needs Attention","High Risk"))</f>
        <v>Needs Attention</v>
      </c>
    </row>
    <row r="1448" customFormat="false" ht="15" hidden="false" customHeight="false" outlineLevel="0" collapsed="false">
      <c r="A1448" s="8" t="s">
        <v>3038</v>
      </c>
      <c r="B1448" s="8" t="s">
        <v>3039</v>
      </c>
      <c r="C1448" s="8" t="s">
        <v>51</v>
      </c>
      <c r="D1448" s="8" t="s">
        <v>326</v>
      </c>
      <c r="E1448" s="8" t="s">
        <v>123</v>
      </c>
      <c r="F1448" s="8" t="s">
        <v>124</v>
      </c>
      <c r="G1448" s="8" t="s">
        <v>125</v>
      </c>
      <c r="H1448" s="15" t="n">
        <v>350</v>
      </c>
      <c r="I1448" s="15" t="n">
        <v>350</v>
      </c>
      <c r="J1448" s="16" t="n">
        <v>0.571</v>
      </c>
      <c r="K1448" s="8" t="n">
        <v>5.7</v>
      </c>
      <c r="L1448" s="8" t="n">
        <v>6</v>
      </c>
      <c r="M1448" s="8" t="n">
        <v>2</v>
      </c>
      <c r="N1448" s="8" t="s">
        <v>120</v>
      </c>
      <c r="O1448" s="15" t="n">
        <f aca="false">H1448*12</f>
        <v>4200</v>
      </c>
      <c r="P1448" s="8" t="n">
        <f aca="false">MIN(100,ROUND(100*J1448/Assumptions!$B$8,0))</f>
        <v>63</v>
      </c>
      <c r="Q1448" s="8" t="n">
        <f aca="false">IF(L1448="",Assumptions!$B$9,L1448*10)</f>
        <v>60</v>
      </c>
      <c r="R1448" s="8" t="n">
        <f aca="false">IF(M1448&lt;=1,Assumptions!$B$12,IF(M1448&lt;=3,Assumptions!$B$13,IF(M1448&lt;=6,Assumptions!$B$14,Assumptions!$B$15)))</f>
        <v>75</v>
      </c>
      <c r="S1448" s="8" t="n">
        <f aca="false">IF(N1448="Completed On Time",Assumptions!$B$16,IF(N1448="Completed Late",Assumptions!$B$17,Assumptions!$B$18))</f>
        <v>100</v>
      </c>
      <c r="T1448" s="8" t="n">
        <f aca="false">IF(I1448=0,Assumptions!$B$20,IF(H1448&gt;I1448,Assumptions!$B$19,IF(H1448=I1448,Assumptions!$B$20,Assumptions!$B$21)))</f>
        <v>70</v>
      </c>
      <c r="U1448" s="8" t="n">
        <f aca="false">ROUND(P1448*Assumptions!$B$2+Q1448*Assumptions!$B$3+R1448*Assumptions!$B$4+S1448*Assumptions!$B$5+T1448*Assumptions!$B$6,0)</f>
        <v>69</v>
      </c>
      <c r="V1448" s="8" t="str">
        <f aca="false">IF(U1448&gt;=Assumptions!$B$10,"Healthy",IF(U1448&gt;=Assumptions!$B$11,"Needs Attention","High Risk"))</f>
        <v>Needs Attention</v>
      </c>
    </row>
    <row r="1449" customFormat="false" ht="15" hidden="false" customHeight="false" outlineLevel="0" collapsed="false">
      <c r="A1449" s="8" t="s">
        <v>3040</v>
      </c>
      <c r="B1449" s="8" t="s">
        <v>3041</v>
      </c>
      <c r="C1449" s="8" t="s">
        <v>51</v>
      </c>
      <c r="D1449" s="8" t="s">
        <v>2027</v>
      </c>
      <c r="E1449" s="8" t="s">
        <v>128</v>
      </c>
      <c r="F1449" s="8" t="s">
        <v>136</v>
      </c>
      <c r="G1449" s="8" t="s">
        <v>180</v>
      </c>
      <c r="H1449" s="15" t="n">
        <v>348</v>
      </c>
      <c r="I1449" s="15" t="n">
        <v>348</v>
      </c>
      <c r="J1449" s="16" t="n">
        <v>0.782</v>
      </c>
      <c r="K1449" s="8" t="n">
        <v>8.3</v>
      </c>
      <c r="L1449" s="8" t="n">
        <v>10</v>
      </c>
      <c r="M1449" s="8" t="n">
        <v>3</v>
      </c>
      <c r="N1449" s="8" t="s">
        <v>120</v>
      </c>
      <c r="O1449" s="15" t="n">
        <f aca="false">H1449*12</f>
        <v>4176</v>
      </c>
      <c r="P1449" s="8" t="n">
        <f aca="false">MIN(100,ROUND(100*J1449/Assumptions!$B$8,0))</f>
        <v>87</v>
      </c>
      <c r="Q1449" s="8" t="n">
        <f aca="false">IF(L1449="",Assumptions!$B$9,L1449*10)</f>
        <v>100</v>
      </c>
      <c r="R1449" s="8" t="n">
        <f aca="false">IF(M1449&lt;=1,Assumptions!$B$12,IF(M1449&lt;=3,Assumptions!$B$13,IF(M1449&lt;=6,Assumptions!$B$14,Assumptions!$B$15)))</f>
        <v>75</v>
      </c>
      <c r="S1449" s="8" t="n">
        <f aca="false">IF(N1449="Completed On Time",Assumptions!$B$16,IF(N1449="Completed Late",Assumptions!$B$17,Assumptions!$B$18))</f>
        <v>100</v>
      </c>
      <c r="T1449" s="8" t="n">
        <f aca="false">IF(I1449=0,Assumptions!$B$20,IF(H1449&gt;I1449,Assumptions!$B$19,IF(H1449=I1449,Assumptions!$B$20,Assumptions!$B$21)))</f>
        <v>70</v>
      </c>
      <c r="U1449" s="8" t="n">
        <f aca="false">ROUND(P1449*Assumptions!$B$2+Q1449*Assumptions!$B$3+R1449*Assumptions!$B$4+S1449*Assumptions!$B$5+T1449*Assumptions!$B$6,0)</f>
        <v>86</v>
      </c>
      <c r="V1449" s="8" t="str">
        <f aca="false">IF(U1449&gt;=Assumptions!$B$10,"Healthy",IF(U1449&gt;=Assumptions!$B$11,"Needs Attention","High Risk"))</f>
        <v>Healthy</v>
      </c>
    </row>
    <row r="1450" customFormat="false" ht="15" hidden="false" customHeight="false" outlineLevel="0" collapsed="false">
      <c r="A1450" s="8" t="s">
        <v>3042</v>
      </c>
      <c r="B1450" s="8" t="s">
        <v>3043</v>
      </c>
      <c r="C1450" s="8" t="s">
        <v>51</v>
      </c>
      <c r="D1450" s="8" t="s">
        <v>2027</v>
      </c>
      <c r="E1450" s="8" t="s">
        <v>117</v>
      </c>
      <c r="F1450" s="8" t="s">
        <v>166</v>
      </c>
      <c r="G1450" s="8" t="s">
        <v>137</v>
      </c>
      <c r="H1450" s="15" t="n">
        <v>348</v>
      </c>
      <c r="I1450" s="15" t="n">
        <v>348</v>
      </c>
      <c r="J1450" s="16" t="n">
        <v>0.575</v>
      </c>
      <c r="K1450" s="8" t="n">
        <v>6.3</v>
      </c>
      <c r="L1450" s="8" t="n">
        <v>5</v>
      </c>
      <c r="M1450" s="8" t="n">
        <v>5</v>
      </c>
      <c r="N1450" s="8" t="s">
        <v>120</v>
      </c>
      <c r="O1450" s="15" t="n">
        <f aca="false">H1450*12</f>
        <v>4176</v>
      </c>
      <c r="P1450" s="8" t="n">
        <f aca="false">MIN(100,ROUND(100*J1450/Assumptions!$B$8,0))</f>
        <v>64</v>
      </c>
      <c r="Q1450" s="8" t="n">
        <f aca="false">IF(L1450="",Assumptions!$B$9,L1450*10)</f>
        <v>50</v>
      </c>
      <c r="R1450" s="8" t="n">
        <f aca="false">IF(M1450&lt;=1,Assumptions!$B$12,IF(M1450&lt;=3,Assumptions!$B$13,IF(M1450&lt;=6,Assumptions!$B$14,Assumptions!$B$15)))</f>
        <v>50</v>
      </c>
      <c r="S1450" s="8" t="n">
        <f aca="false">IF(N1450="Completed On Time",Assumptions!$B$16,IF(N1450="Completed Late",Assumptions!$B$17,Assumptions!$B$18))</f>
        <v>100</v>
      </c>
      <c r="T1450" s="8" t="n">
        <f aca="false">IF(I1450=0,Assumptions!$B$20,IF(H1450&gt;I1450,Assumptions!$B$19,IF(H1450=I1450,Assumptions!$B$20,Assumptions!$B$21)))</f>
        <v>70</v>
      </c>
      <c r="U1450" s="8" t="n">
        <f aca="false">ROUND(P1450*Assumptions!$B$2+Q1450*Assumptions!$B$3+R1450*Assumptions!$B$4+S1450*Assumptions!$B$5+T1450*Assumptions!$B$6,0)</f>
        <v>64</v>
      </c>
      <c r="V1450" s="8" t="str">
        <f aca="false">IF(U1450&gt;=Assumptions!$B$10,"Healthy",IF(U1450&gt;=Assumptions!$B$11,"Needs Attention","High Risk"))</f>
        <v>High Risk</v>
      </c>
    </row>
    <row r="1451" customFormat="false" ht="15" hidden="false" customHeight="false" outlineLevel="0" collapsed="false">
      <c r="A1451" s="8" t="s">
        <v>3044</v>
      </c>
      <c r="B1451" s="8" t="s">
        <v>3045</v>
      </c>
      <c r="C1451" s="8" t="s">
        <v>51</v>
      </c>
      <c r="D1451" s="8" t="s">
        <v>2027</v>
      </c>
      <c r="E1451" s="8" t="s">
        <v>123</v>
      </c>
      <c r="F1451" s="8" t="s">
        <v>136</v>
      </c>
      <c r="G1451" s="8" t="s">
        <v>125</v>
      </c>
      <c r="H1451" s="15" t="n">
        <v>348</v>
      </c>
      <c r="I1451" s="15" t="n">
        <v>348</v>
      </c>
      <c r="J1451" s="16" t="n">
        <v>0.517</v>
      </c>
      <c r="K1451" s="8" t="n">
        <v>6.3</v>
      </c>
      <c r="L1451" s="8" t="n">
        <v>4</v>
      </c>
      <c r="M1451" s="8" t="n">
        <v>5</v>
      </c>
      <c r="N1451" s="8" t="s">
        <v>120</v>
      </c>
      <c r="O1451" s="15" t="n">
        <f aca="false">H1451*12</f>
        <v>4176</v>
      </c>
      <c r="P1451" s="8" t="n">
        <f aca="false">MIN(100,ROUND(100*J1451/Assumptions!$B$8,0))</f>
        <v>57</v>
      </c>
      <c r="Q1451" s="8" t="n">
        <f aca="false">IF(L1451="",Assumptions!$B$9,L1451*10)</f>
        <v>40</v>
      </c>
      <c r="R1451" s="8" t="n">
        <f aca="false">IF(M1451&lt;=1,Assumptions!$B$12,IF(M1451&lt;=3,Assumptions!$B$13,IF(M1451&lt;=6,Assumptions!$B$14,Assumptions!$B$15)))</f>
        <v>50</v>
      </c>
      <c r="S1451" s="8" t="n">
        <f aca="false">IF(N1451="Completed On Time",Assumptions!$B$16,IF(N1451="Completed Late",Assumptions!$B$17,Assumptions!$B$18))</f>
        <v>100</v>
      </c>
      <c r="T1451" s="8" t="n">
        <f aca="false">IF(I1451=0,Assumptions!$B$20,IF(H1451&gt;I1451,Assumptions!$B$19,IF(H1451=I1451,Assumptions!$B$20,Assumptions!$B$21)))</f>
        <v>70</v>
      </c>
      <c r="U1451" s="8" t="n">
        <f aca="false">ROUND(P1451*Assumptions!$B$2+Q1451*Assumptions!$B$3+R1451*Assumptions!$B$4+S1451*Assumptions!$B$5+T1451*Assumptions!$B$6,0)</f>
        <v>59</v>
      </c>
      <c r="V1451" s="8" t="str">
        <f aca="false">IF(U1451&gt;=Assumptions!$B$10,"Healthy",IF(U1451&gt;=Assumptions!$B$11,"Needs Attention","High Risk"))</f>
        <v>High Risk</v>
      </c>
    </row>
    <row r="1452" customFormat="false" ht="15" hidden="false" customHeight="false" outlineLevel="0" collapsed="false">
      <c r="A1452" s="8" t="s">
        <v>3046</v>
      </c>
      <c r="B1452" s="8" t="s">
        <v>3047</v>
      </c>
      <c r="C1452" s="8" t="s">
        <v>51</v>
      </c>
      <c r="D1452" s="8" t="s">
        <v>2027</v>
      </c>
      <c r="E1452" s="8" t="s">
        <v>123</v>
      </c>
      <c r="F1452" s="8" t="s">
        <v>118</v>
      </c>
      <c r="G1452" s="8" t="s">
        <v>129</v>
      </c>
      <c r="H1452" s="15" t="n">
        <v>348</v>
      </c>
      <c r="I1452" s="15" t="n">
        <v>348</v>
      </c>
      <c r="J1452" s="16" t="n">
        <v>0.632</v>
      </c>
      <c r="K1452" s="8" t="n">
        <v>7.3</v>
      </c>
      <c r="L1452" s="8" t="n">
        <v>10</v>
      </c>
      <c r="M1452" s="8" t="n">
        <v>3</v>
      </c>
      <c r="N1452" s="8" t="s">
        <v>120</v>
      </c>
      <c r="O1452" s="15" t="n">
        <f aca="false">H1452*12</f>
        <v>4176</v>
      </c>
      <c r="P1452" s="8" t="n">
        <f aca="false">MIN(100,ROUND(100*J1452/Assumptions!$B$8,0))</f>
        <v>70</v>
      </c>
      <c r="Q1452" s="8" t="n">
        <f aca="false">IF(L1452="",Assumptions!$B$9,L1452*10)</f>
        <v>100</v>
      </c>
      <c r="R1452" s="8" t="n">
        <f aca="false">IF(M1452&lt;=1,Assumptions!$B$12,IF(M1452&lt;=3,Assumptions!$B$13,IF(M1452&lt;=6,Assumptions!$B$14,Assumptions!$B$15)))</f>
        <v>75</v>
      </c>
      <c r="S1452" s="8" t="n">
        <f aca="false">IF(N1452="Completed On Time",Assumptions!$B$16,IF(N1452="Completed Late",Assumptions!$B$17,Assumptions!$B$18))</f>
        <v>100</v>
      </c>
      <c r="T1452" s="8" t="n">
        <f aca="false">IF(I1452=0,Assumptions!$B$20,IF(H1452&gt;I1452,Assumptions!$B$19,IF(H1452=I1452,Assumptions!$B$20,Assumptions!$B$21)))</f>
        <v>70</v>
      </c>
      <c r="U1452" s="8" t="n">
        <f aca="false">ROUND(P1452*Assumptions!$B$2+Q1452*Assumptions!$B$3+R1452*Assumptions!$B$4+S1452*Assumptions!$B$5+T1452*Assumptions!$B$6,0)</f>
        <v>80</v>
      </c>
      <c r="V1452" s="8" t="str">
        <f aca="false">IF(U1452&gt;=Assumptions!$B$10,"Healthy",IF(U1452&gt;=Assumptions!$B$11,"Needs Attention","High Risk"))</f>
        <v>Healthy</v>
      </c>
    </row>
    <row r="1453" customFormat="false" ht="15" hidden="false" customHeight="false" outlineLevel="0" collapsed="false">
      <c r="A1453" s="8" t="s">
        <v>3048</v>
      </c>
      <c r="B1453" s="8" t="s">
        <v>3049</v>
      </c>
      <c r="C1453" s="8" t="s">
        <v>51</v>
      </c>
      <c r="D1453" s="8" t="s">
        <v>2027</v>
      </c>
      <c r="E1453" s="8" t="s">
        <v>123</v>
      </c>
      <c r="F1453" s="8" t="s">
        <v>154</v>
      </c>
      <c r="G1453" s="8" t="s">
        <v>185</v>
      </c>
      <c r="H1453" s="15" t="n">
        <v>348</v>
      </c>
      <c r="I1453" s="15" t="n">
        <v>348</v>
      </c>
      <c r="J1453" s="16" t="n">
        <v>0.874</v>
      </c>
      <c r="K1453" s="8" t="n">
        <v>10.7</v>
      </c>
      <c r="L1453" s="8" t="n">
        <v>10</v>
      </c>
      <c r="M1453" s="8" t="n">
        <v>1</v>
      </c>
      <c r="N1453" s="8" t="s">
        <v>120</v>
      </c>
      <c r="O1453" s="15" t="n">
        <f aca="false">H1453*12</f>
        <v>4176</v>
      </c>
      <c r="P1453" s="8" t="n">
        <f aca="false">MIN(100,ROUND(100*J1453/Assumptions!$B$8,0))</f>
        <v>97</v>
      </c>
      <c r="Q1453" s="8" t="n">
        <f aca="false">IF(L1453="",Assumptions!$B$9,L1453*10)</f>
        <v>100</v>
      </c>
      <c r="R1453" s="8" t="n">
        <f aca="false">IF(M1453&lt;=1,Assumptions!$B$12,IF(M1453&lt;=3,Assumptions!$B$13,IF(M1453&lt;=6,Assumptions!$B$14,Assumptions!$B$15)))</f>
        <v>100</v>
      </c>
      <c r="S1453" s="8" t="n">
        <f aca="false">IF(N1453="Completed On Time",Assumptions!$B$16,IF(N1453="Completed Late",Assumptions!$B$17,Assumptions!$B$18))</f>
        <v>100</v>
      </c>
      <c r="T1453" s="8" t="n">
        <f aca="false">IF(I1453=0,Assumptions!$B$20,IF(H1453&gt;I1453,Assumptions!$B$19,IF(H1453=I1453,Assumptions!$B$20,Assumptions!$B$21)))</f>
        <v>70</v>
      </c>
      <c r="U1453" s="8" t="n">
        <f aca="false">ROUND(P1453*Assumptions!$B$2+Q1453*Assumptions!$B$3+R1453*Assumptions!$B$4+S1453*Assumptions!$B$5+T1453*Assumptions!$B$6,0)</f>
        <v>93</v>
      </c>
      <c r="V1453" s="8" t="str">
        <f aca="false">IF(U1453&gt;=Assumptions!$B$10,"Healthy",IF(U1453&gt;=Assumptions!$B$11,"Needs Attention","High Risk"))</f>
        <v>Healthy</v>
      </c>
    </row>
    <row r="1454" customFormat="false" ht="15" hidden="false" customHeight="false" outlineLevel="0" collapsed="false">
      <c r="A1454" s="8" t="s">
        <v>3050</v>
      </c>
      <c r="B1454" s="8" t="s">
        <v>3051</v>
      </c>
      <c r="C1454" s="8" t="s">
        <v>51</v>
      </c>
      <c r="D1454" s="8" t="s">
        <v>2027</v>
      </c>
      <c r="E1454" s="8" t="s">
        <v>123</v>
      </c>
      <c r="F1454" s="8" t="s">
        <v>136</v>
      </c>
      <c r="G1454" s="8" t="s">
        <v>147</v>
      </c>
      <c r="H1454" s="15" t="n">
        <v>348</v>
      </c>
      <c r="I1454" s="15" t="n">
        <v>348</v>
      </c>
      <c r="J1454" s="16" t="n">
        <v>0.667</v>
      </c>
      <c r="K1454" s="8" t="n">
        <v>9.3</v>
      </c>
      <c r="L1454" s="8" t="n">
        <v>6</v>
      </c>
      <c r="M1454" s="8" t="n">
        <v>2</v>
      </c>
      <c r="N1454" s="8" t="s">
        <v>120</v>
      </c>
      <c r="O1454" s="15" t="n">
        <f aca="false">H1454*12</f>
        <v>4176</v>
      </c>
      <c r="P1454" s="8" t="n">
        <f aca="false">MIN(100,ROUND(100*J1454/Assumptions!$B$8,0))</f>
        <v>74</v>
      </c>
      <c r="Q1454" s="8" t="n">
        <f aca="false">IF(L1454="",Assumptions!$B$9,L1454*10)</f>
        <v>60</v>
      </c>
      <c r="R1454" s="8" t="n">
        <f aca="false">IF(M1454&lt;=1,Assumptions!$B$12,IF(M1454&lt;=3,Assumptions!$B$13,IF(M1454&lt;=6,Assumptions!$B$14,Assumptions!$B$15)))</f>
        <v>75</v>
      </c>
      <c r="S1454" s="8" t="n">
        <f aca="false">IF(N1454="Completed On Time",Assumptions!$B$16,IF(N1454="Completed Late",Assumptions!$B$17,Assumptions!$B$18))</f>
        <v>100</v>
      </c>
      <c r="T1454" s="8" t="n">
        <f aca="false">IF(I1454=0,Assumptions!$B$20,IF(H1454&gt;I1454,Assumptions!$B$19,IF(H1454=I1454,Assumptions!$B$20,Assumptions!$B$21)))</f>
        <v>70</v>
      </c>
      <c r="U1454" s="8" t="n">
        <f aca="false">ROUND(P1454*Assumptions!$B$2+Q1454*Assumptions!$B$3+R1454*Assumptions!$B$4+S1454*Assumptions!$B$5+T1454*Assumptions!$B$6,0)</f>
        <v>73</v>
      </c>
      <c r="V1454" s="8" t="str">
        <f aca="false">IF(U1454&gt;=Assumptions!$B$10,"Healthy",IF(U1454&gt;=Assumptions!$B$11,"Needs Attention","High Risk"))</f>
        <v>Needs Attention</v>
      </c>
    </row>
    <row r="1455" customFormat="false" ht="15" hidden="false" customHeight="false" outlineLevel="0" collapsed="false">
      <c r="A1455" s="8" t="s">
        <v>3052</v>
      </c>
      <c r="B1455" s="8" t="s">
        <v>3053</v>
      </c>
      <c r="C1455" s="8" t="s">
        <v>51</v>
      </c>
      <c r="D1455" s="8" t="s">
        <v>2027</v>
      </c>
      <c r="E1455" s="8" t="s">
        <v>123</v>
      </c>
      <c r="F1455" s="8" t="s">
        <v>151</v>
      </c>
      <c r="G1455" s="8" t="s">
        <v>137</v>
      </c>
      <c r="H1455" s="15" t="n">
        <v>348</v>
      </c>
      <c r="I1455" s="15" t="n">
        <v>348</v>
      </c>
      <c r="J1455" s="16" t="n">
        <v>0.839</v>
      </c>
      <c r="K1455" s="8" t="n">
        <v>10</v>
      </c>
      <c r="L1455" s="8" t="n">
        <v>10</v>
      </c>
      <c r="M1455" s="8" t="n">
        <v>1</v>
      </c>
      <c r="N1455" s="8" t="s">
        <v>120</v>
      </c>
      <c r="O1455" s="15" t="n">
        <f aca="false">H1455*12</f>
        <v>4176</v>
      </c>
      <c r="P1455" s="8" t="n">
        <f aca="false">MIN(100,ROUND(100*J1455/Assumptions!$B$8,0))</f>
        <v>93</v>
      </c>
      <c r="Q1455" s="8" t="n">
        <f aca="false">IF(L1455="",Assumptions!$B$9,L1455*10)</f>
        <v>100</v>
      </c>
      <c r="R1455" s="8" t="n">
        <f aca="false">IF(M1455&lt;=1,Assumptions!$B$12,IF(M1455&lt;=3,Assumptions!$B$13,IF(M1455&lt;=6,Assumptions!$B$14,Assumptions!$B$15)))</f>
        <v>100</v>
      </c>
      <c r="S1455" s="8" t="n">
        <f aca="false">IF(N1455="Completed On Time",Assumptions!$B$16,IF(N1455="Completed Late",Assumptions!$B$17,Assumptions!$B$18))</f>
        <v>100</v>
      </c>
      <c r="T1455" s="8" t="n">
        <f aca="false">IF(I1455=0,Assumptions!$B$20,IF(H1455&gt;I1455,Assumptions!$B$19,IF(H1455=I1455,Assumptions!$B$20,Assumptions!$B$21)))</f>
        <v>70</v>
      </c>
      <c r="U1455" s="8" t="n">
        <f aca="false">ROUND(P1455*Assumptions!$B$2+Q1455*Assumptions!$B$3+R1455*Assumptions!$B$4+S1455*Assumptions!$B$5+T1455*Assumptions!$B$6,0)</f>
        <v>92</v>
      </c>
      <c r="V1455" s="8" t="str">
        <f aca="false">IF(U1455&gt;=Assumptions!$B$10,"Healthy",IF(U1455&gt;=Assumptions!$B$11,"Needs Attention","High Risk"))</f>
        <v>Healthy</v>
      </c>
    </row>
    <row r="1456" customFormat="false" ht="15" hidden="false" customHeight="false" outlineLevel="0" collapsed="false">
      <c r="A1456" s="8" t="s">
        <v>3054</v>
      </c>
      <c r="B1456" s="8" t="s">
        <v>3055</v>
      </c>
      <c r="C1456" s="8" t="s">
        <v>51</v>
      </c>
      <c r="D1456" s="8" t="s">
        <v>2027</v>
      </c>
      <c r="E1456" s="8" t="s">
        <v>123</v>
      </c>
      <c r="F1456" s="8" t="s">
        <v>151</v>
      </c>
      <c r="G1456" s="8" t="s">
        <v>159</v>
      </c>
      <c r="H1456" s="15" t="n">
        <v>348</v>
      </c>
      <c r="I1456" s="15" t="n">
        <v>348</v>
      </c>
      <c r="J1456" s="16" t="n">
        <v>0.931</v>
      </c>
      <c r="K1456" s="8" t="n">
        <v>9.3</v>
      </c>
      <c r="L1456" s="8" t="n">
        <v>10</v>
      </c>
      <c r="M1456" s="8" t="n">
        <v>2</v>
      </c>
      <c r="N1456" s="8" t="s">
        <v>120</v>
      </c>
      <c r="O1456" s="15" t="n">
        <f aca="false">H1456*12</f>
        <v>4176</v>
      </c>
      <c r="P1456" s="8" t="n">
        <f aca="false">MIN(100,ROUND(100*J1456/Assumptions!$B$8,0))</f>
        <v>100</v>
      </c>
      <c r="Q1456" s="8" t="n">
        <f aca="false">IF(L1456="",Assumptions!$B$9,L1456*10)</f>
        <v>100</v>
      </c>
      <c r="R1456" s="8" t="n">
        <f aca="false">IF(M1456&lt;=1,Assumptions!$B$12,IF(M1456&lt;=3,Assumptions!$B$13,IF(M1456&lt;=6,Assumptions!$B$14,Assumptions!$B$15)))</f>
        <v>75</v>
      </c>
      <c r="S1456" s="8" t="n">
        <f aca="false">IF(N1456="Completed On Time",Assumptions!$B$16,IF(N1456="Completed Late",Assumptions!$B$17,Assumptions!$B$18))</f>
        <v>100</v>
      </c>
      <c r="T1456" s="8" t="n">
        <f aca="false">IF(I1456=0,Assumptions!$B$20,IF(H1456&gt;I1456,Assumptions!$B$19,IF(H1456=I1456,Assumptions!$B$20,Assumptions!$B$21)))</f>
        <v>70</v>
      </c>
      <c r="U1456" s="8" t="n">
        <f aca="false">ROUND(P1456*Assumptions!$B$2+Q1456*Assumptions!$B$3+R1456*Assumptions!$B$4+S1456*Assumptions!$B$5+T1456*Assumptions!$B$6,0)</f>
        <v>90</v>
      </c>
      <c r="V1456" s="8" t="str">
        <f aca="false">IF(U1456&gt;=Assumptions!$B$10,"Healthy",IF(U1456&gt;=Assumptions!$B$11,"Needs Attention","High Risk"))</f>
        <v>Healthy</v>
      </c>
    </row>
    <row r="1457" customFormat="false" ht="15" hidden="false" customHeight="false" outlineLevel="0" collapsed="false">
      <c r="A1457" s="8" t="s">
        <v>3056</v>
      </c>
      <c r="B1457" s="8" t="s">
        <v>3057</v>
      </c>
      <c r="C1457" s="8" t="s">
        <v>51</v>
      </c>
      <c r="D1457" s="8" t="s">
        <v>2027</v>
      </c>
      <c r="E1457" s="8" t="s">
        <v>132</v>
      </c>
      <c r="F1457" s="8" t="s">
        <v>124</v>
      </c>
      <c r="G1457" s="8" t="s">
        <v>180</v>
      </c>
      <c r="H1457" s="15" t="n">
        <v>348</v>
      </c>
      <c r="I1457" s="15" t="n">
        <v>0</v>
      </c>
      <c r="J1457" s="16" t="n">
        <v>0.741</v>
      </c>
      <c r="K1457" s="8" t="n">
        <v>9</v>
      </c>
      <c r="L1457" s="8"/>
      <c r="M1457" s="8" t="n">
        <v>1</v>
      </c>
      <c r="N1457" s="8" t="s">
        <v>199</v>
      </c>
      <c r="O1457" s="15" t="n">
        <f aca="false">H1457*12</f>
        <v>4176</v>
      </c>
      <c r="P1457" s="8" t="n">
        <f aca="false">MIN(100,ROUND(100*J1457/Assumptions!$B$8,0))</f>
        <v>82</v>
      </c>
      <c r="Q1457" s="8" t="n">
        <f aca="false">IF(L1457="",Assumptions!$B$9,L1457*10)</f>
        <v>50</v>
      </c>
      <c r="R1457" s="8" t="n">
        <f aca="false">IF(M1457&lt;=1,Assumptions!$B$12,IF(M1457&lt;=3,Assumptions!$B$13,IF(M1457&lt;=6,Assumptions!$B$14,Assumptions!$B$15)))</f>
        <v>100</v>
      </c>
      <c r="S1457" s="8" t="n">
        <f aca="false">IF(N1457="Completed On Time",Assumptions!$B$16,IF(N1457="Completed Late",Assumptions!$B$17,Assumptions!$B$18))</f>
        <v>50</v>
      </c>
      <c r="T1457" s="8" t="n">
        <f aca="false">IF(I1457=0,Assumptions!$B$20,IF(H1457&gt;I1457,Assumptions!$B$19,IF(H1457=I1457,Assumptions!$B$20,Assumptions!$B$21)))</f>
        <v>70</v>
      </c>
      <c r="U1457" s="8" t="n">
        <f aca="false">ROUND(P1457*Assumptions!$B$2+Q1457*Assumptions!$B$3+R1457*Assumptions!$B$4+S1457*Assumptions!$B$5+T1457*Assumptions!$B$6,0)</f>
        <v>73</v>
      </c>
      <c r="V1457" s="8" t="str">
        <f aca="false">IF(U1457&gt;=Assumptions!$B$10,"Healthy",IF(U1457&gt;=Assumptions!$B$11,"Needs Attention","High Risk"))</f>
        <v>Needs Attention</v>
      </c>
    </row>
    <row r="1458" customFormat="false" ht="15" hidden="false" customHeight="false" outlineLevel="0" collapsed="false">
      <c r="A1458" s="8" t="s">
        <v>3058</v>
      </c>
      <c r="B1458" s="8" t="s">
        <v>3059</v>
      </c>
      <c r="C1458" s="8" t="s">
        <v>51</v>
      </c>
      <c r="D1458" s="8" t="s">
        <v>2027</v>
      </c>
      <c r="E1458" s="8" t="s">
        <v>123</v>
      </c>
      <c r="F1458" s="8" t="s">
        <v>136</v>
      </c>
      <c r="G1458" s="8" t="s">
        <v>140</v>
      </c>
      <c r="H1458" s="15" t="n">
        <v>348</v>
      </c>
      <c r="I1458" s="15" t="n">
        <v>348</v>
      </c>
      <c r="J1458" s="16" t="n">
        <v>0.655</v>
      </c>
      <c r="K1458" s="8" t="n">
        <v>7.3</v>
      </c>
      <c r="L1458" s="8" t="n">
        <v>8</v>
      </c>
      <c r="M1458" s="8" t="n">
        <v>6</v>
      </c>
      <c r="N1458" s="8" t="s">
        <v>120</v>
      </c>
      <c r="O1458" s="15" t="n">
        <f aca="false">H1458*12</f>
        <v>4176</v>
      </c>
      <c r="P1458" s="8" t="n">
        <f aca="false">MIN(100,ROUND(100*J1458/Assumptions!$B$8,0))</f>
        <v>73</v>
      </c>
      <c r="Q1458" s="8" t="n">
        <f aca="false">IF(L1458="",Assumptions!$B$9,L1458*10)</f>
        <v>80</v>
      </c>
      <c r="R1458" s="8" t="n">
        <f aca="false">IF(M1458&lt;=1,Assumptions!$B$12,IF(M1458&lt;=3,Assumptions!$B$13,IF(M1458&lt;=6,Assumptions!$B$14,Assumptions!$B$15)))</f>
        <v>50</v>
      </c>
      <c r="S1458" s="8" t="n">
        <f aca="false">IF(N1458="Completed On Time",Assumptions!$B$16,IF(N1458="Completed Late",Assumptions!$B$17,Assumptions!$B$18))</f>
        <v>100</v>
      </c>
      <c r="T1458" s="8" t="n">
        <f aca="false">IF(I1458=0,Assumptions!$B$20,IF(H1458&gt;I1458,Assumptions!$B$19,IF(H1458=I1458,Assumptions!$B$20,Assumptions!$B$21)))</f>
        <v>70</v>
      </c>
      <c r="U1458" s="8" t="n">
        <f aca="false">ROUND(P1458*Assumptions!$B$2+Q1458*Assumptions!$B$3+R1458*Assumptions!$B$4+S1458*Assumptions!$B$5+T1458*Assumptions!$B$6,0)</f>
        <v>73</v>
      </c>
      <c r="V1458" s="8" t="str">
        <f aca="false">IF(U1458&gt;=Assumptions!$B$10,"Healthy",IF(U1458&gt;=Assumptions!$B$11,"Needs Attention","High Risk"))</f>
        <v>Needs Attention</v>
      </c>
    </row>
    <row r="1459" customFormat="false" ht="15" hidden="false" customHeight="false" outlineLevel="0" collapsed="false">
      <c r="A1459" s="8" t="s">
        <v>3060</v>
      </c>
      <c r="B1459" s="8" t="s">
        <v>3061</v>
      </c>
      <c r="C1459" s="8" t="s">
        <v>51</v>
      </c>
      <c r="D1459" s="8" t="s">
        <v>2027</v>
      </c>
      <c r="E1459" s="8" t="s">
        <v>117</v>
      </c>
      <c r="F1459" s="8" t="s">
        <v>223</v>
      </c>
      <c r="G1459" s="8" t="s">
        <v>119</v>
      </c>
      <c r="H1459" s="15" t="n">
        <v>348</v>
      </c>
      <c r="I1459" s="15" t="n">
        <v>348</v>
      </c>
      <c r="J1459" s="16" t="n">
        <v>0.575</v>
      </c>
      <c r="K1459" s="8" t="n">
        <v>5.7</v>
      </c>
      <c r="L1459" s="8" t="n">
        <v>5</v>
      </c>
      <c r="M1459" s="8" t="n">
        <v>3</v>
      </c>
      <c r="N1459" s="8" t="s">
        <v>120</v>
      </c>
      <c r="O1459" s="15" t="n">
        <f aca="false">H1459*12</f>
        <v>4176</v>
      </c>
      <c r="P1459" s="8" t="n">
        <f aca="false">MIN(100,ROUND(100*J1459/Assumptions!$B$8,0))</f>
        <v>64</v>
      </c>
      <c r="Q1459" s="8" t="n">
        <f aca="false">IF(L1459="",Assumptions!$B$9,L1459*10)</f>
        <v>50</v>
      </c>
      <c r="R1459" s="8" t="n">
        <f aca="false">IF(M1459&lt;=1,Assumptions!$B$12,IF(M1459&lt;=3,Assumptions!$B$13,IF(M1459&lt;=6,Assumptions!$B$14,Assumptions!$B$15)))</f>
        <v>75</v>
      </c>
      <c r="S1459" s="8" t="n">
        <f aca="false">IF(N1459="Completed On Time",Assumptions!$B$16,IF(N1459="Completed Late",Assumptions!$B$17,Assumptions!$B$18))</f>
        <v>100</v>
      </c>
      <c r="T1459" s="8" t="n">
        <f aca="false">IF(I1459=0,Assumptions!$B$20,IF(H1459&gt;I1459,Assumptions!$B$19,IF(H1459=I1459,Assumptions!$B$20,Assumptions!$B$21)))</f>
        <v>70</v>
      </c>
      <c r="U1459" s="8" t="n">
        <f aca="false">ROUND(P1459*Assumptions!$B$2+Q1459*Assumptions!$B$3+R1459*Assumptions!$B$4+S1459*Assumptions!$B$5+T1459*Assumptions!$B$6,0)</f>
        <v>68</v>
      </c>
      <c r="V1459" s="8" t="str">
        <f aca="false">IF(U1459&gt;=Assumptions!$B$10,"Healthy",IF(U1459&gt;=Assumptions!$B$11,"Needs Attention","High Risk"))</f>
        <v>Needs Attention</v>
      </c>
    </row>
    <row r="1460" customFormat="false" ht="15" hidden="false" customHeight="false" outlineLevel="0" collapsed="false">
      <c r="A1460" s="8" t="s">
        <v>3062</v>
      </c>
      <c r="B1460" s="8" t="s">
        <v>3063</v>
      </c>
      <c r="C1460" s="8" t="s">
        <v>51</v>
      </c>
      <c r="D1460" s="8" t="s">
        <v>2027</v>
      </c>
      <c r="E1460" s="8" t="s">
        <v>123</v>
      </c>
      <c r="F1460" s="8" t="s">
        <v>118</v>
      </c>
      <c r="G1460" s="8" t="s">
        <v>185</v>
      </c>
      <c r="H1460" s="15" t="n">
        <v>348</v>
      </c>
      <c r="I1460" s="15" t="n">
        <v>348</v>
      </c>
      <c r="J1460" s="16" t="n">
        <v>0.862</v>
      </c>
      <c r="K1460" s="8" t="n">
        <v>9.3</v>
      </c>
      <c r="L1460" s="8" t="n">
        <v>10</v>
      </c>
      <c r="M1460" s="8" t="n">
        <v>2</v>
      </c>
      <c r="N1460" s="8" t="s">
        <v>120</v>
      </c>
      <c r="O1460" s="15" t="n">
        <f aca="false">H1460*12</f>
        <v>4176</v>
      </c>
      <c r="P1460" s="8" t="n">
        <f aca="false">MIN(100,ROUND(100*J1460/Assumptions!$B$8,0))</f>
        <v>96</v>
      </c>
      <c r="Q1460" s="8" t="n">
        <f aca="false">IF(L1460="",Assumptions!$B$9,L1460*10)</f>
        <v>100</v>
      </c>
      <c r="R1460" s="8" t="n">
        <f aca="false">IF(M1460&lt;=1,Assumptions!$B$12,IF(M1460&lt;=3,Assumptions!$B$13,IF(M1460&lt;=6,Assumptions!$B$14,Assumptions!$B$15)))</f>
        <v>75</v>
      </c>
      <c r="S1460" s="8" t="n">
        <f aca="false">IF(N1460="Completed On Time",Assumptions!$B$16,IF(N1460="Completed Late",Assumptions!$B$17,Assumptions!$B$18))</f>
        <v>100</v>
      </c>
      <c r="T1460" s="8" t="n">
        <f aca="false">IF(I1460=0,Assumptions!$B$20,IF(H1460&gt;I1460,Assumptions!$B$19,IF(H1460=I1460,Assumptions!$B$20,Assumptions!$B$21)))</f>
        <v>70</v>
      </c>
      <c r="U1460" s="8" t="n">
        <f aca="false">ROUND(P1460*Assumptions!$B$2+Q1460*Assumptions!$B$3+R1460*Assumptions!$B$4+S1460*Assumptions!$B$5+T1460*Assumptions!$B$6,0)</f>
        <v>89</v>
      </c>
      <c r="V1460" s="8" t="str">
        <f aca="false">IF(U1460&gt;=Assumptions!$B$10,"Healthy",IF(U1460&gt;=Assumptions!$B$11,"Needs Attention","High Risk"))</f>
        <v>Healthy</v>
      </c>
    </row>
    <row r="1461" customFormat="false" ht="15" hidden="false" customHeight="false" outlineLevel="0" collapsed="false">
      <c r="A1461" s="8" t="s">
        <v>3064</v>
      </c>
      <c r="B1461" s="8" t="s">
        <v>3065</v>
      </c>
      <c r="C1461" s="8" t="s">
        <v>51</v>
      </c>
      <c r="D1461" s="8" t="s">
        <v>2027</v>
      </c>
      <c r="E1461" s="8" t="s">
        <v>128</v>
      </c>
      <c r="F1461" s="8" t="s">
        <v>190</v>
      </c>
      <c r="G1461" s="8" t="s">
        <v>185</v>
      </c>
      <c r="H1461" s="15" t="n">
        <v>348</v>
      </c>
      <c r="I1461" s="15" t="n">
        <v>348</v>
      </c>
      <c r="J1461" s="16" t="n">
        <v>0.759</v>
      </c>
      <c r="K1461" s="8" t="n">
        <v>9.7</v>
      </c>
      <c r="L1461" s="8" t="n">
        <v>9</v>
      </c>
      <c r="M1461" s="8" t="n">
        <v>2</v>
      </c>
      <c r="N1461" s="8" t="s">
        <v>120</v>
      </c>
      <c r="O1461" s="15" t="n">
        <f aca="false">H1461*12</f>
        <v>4176</v>
      </c>
      <c r="P1461" s="8" t="n">
        <f aca="false">MIN(100,ROUND(100*J1461/Assumptions!$B$8,0))</f>
        <v>84</v>
      </c>
      <c r="Q1461" s="8" t="n">
        <f aca="false">IF(L1461="",Assumptions!$B$9,L1461*10)</f>
        <v>90</v>
      </c>
      <c r="R1461" s="8" t="n">
        <f aca="false">IF(M1461&lt;=1,Assumptions!$B$12,IF(M1461&lt;=3,Assumptions!$B$13,IF(M1461&lt;=6,Assumptions!$B$14,Assumptions!$B$15)))</f>
        <v>75</v>
      </c>
      <c r="S1461" s="8" t="n">
        <f aca="false">IF(N1461="Completed On Time",Assumptions!$B$16,IF(N1461="Completed Late",Assumptions!$B$17,Assumptions!$B$18))</f>
        <v>100</v>
      </c>
      <c r="T1461" s="8" t="n">
        <f aca="false">IF(I1461=0,Assumptions!$B$20,IF(H1461&gt;I1461,Assumptions!$B$19,IF(H1461=I1461,Assumptions!$B$20,Assumptions!$B$21)))</f>
        <v>70</v>
      </c>
      <c r="U1461" s="8" t="n">
        <f aca="false">ROUND(P1461*Assumptions!$B$2+Q1461*Assumptions!$B$3+R1461*Assumptions!$B$4+S1461*Assumptions!$B$5+T1461*Assumptions!$B$6,0)</f>
        <v>83</v>
      </c>
      <c r="V1461" s="8" t="str">
        <f aca="false">IF(U1461&gt;=Assumptions!$B$10,"Healthy",IF(U1461&gt;=Assumptions!$B$11,"Needs Attention","High Risk"))</f>
        <v>Healthy</v>
      </c>
    </row>
    <row r="1462" customFormat="false" ht="15" hidden="false" customHeight="false" outlineLevel="0" collapsed="false">
      <c r="A1462" s="8" t="s">
        <v>3066</v>
      </c>
      <c r="B1462" s="8" t="s">
        <v>3067</v>
      </c>
      <c r="C1462" s="8" t="s">
        <v>51</v>
      </c>
      <c r="D1462" s="8" t="s">
        <v>2027</v>
      </c>
      <c r="E1462" s="8" t="s">
        <v>132</v>
      </c>
      <c r="F1462" s="8" t="s">
        <v>118</v>
      </c>
      <c r="G1462" s="8" t="s">
        <v>177</v>
      </c>
      <c r="H1462" s="15" t="n">
        <v>348</v>
      </c>
      <c r="I1462" s="15" t="n">
        <v>348</v>
      </c>
      <c r="J1462" s="16" t="n">
        <v>0.69</v>
      </c>
      <c r="K1462" s="8" t="n">
        <v>5.3</v>
      </c>
      <c r="L1462" s="8" t="n">
        <v>4</v>
      </c>
      <c r="M1462" s="8" t="n">
        <v>1</v>
      </c>
      <c r="N1462" s="8" t="s">
        <v>120</v>
      </c>
      <c r="O1462" s="15" t="n">
        <f aca="false">H1462*12</f>
        <v>4176</v>
      </c>
      <c r="P1462" s="8" t="n">
        <f aca="false">MIN(100,ROUND(100*J1462/Assumptions!$B$8,0))</f>
        <v>77</v>
      </c>
      <c r="Q1462" s="8" t="n">
        <f aca="false">IF(L1462="",Assumptions!$B$9,L1462*10)</f>
        <v>40</v>
      </c>
      <c r="R1462" s="8" t="n">
        <f aca="false">IF(M1462&lt;=1,Assumptions!$B$12,IF(M1462&lt;=3,Assumptions!$B$13,IF(M1462&lt;=6,Assumptions!$B$14,Assumptions!$B$15)))</f>
        <v>100</v>
      </c>
      <c r="S1462" s="8" t="n">
        <f aca="false">IF(N1462="Completed On Time",Assumptions!$B$16,IF(N1462="Completed Late",Assumptions!$B$17,Assumptions!$B$18))</f>
        <v>100</v>
      </c>
      <c r="T1462" s="8" t="n">
        <f aca="false">IF(I1462=0,Assumptions!$B$20,IF(H1462&gt;I1462,Assumptions!$B$19,IF(H1462=I1462,Assumptions!$B$20,Assumptions!$B$21)))</f>
        <v>70</v>
      </c>
      <c r="U1462" s="8" t="n">
        <f aca="false">ROUND(P1462*Assumptions!$B$2+Q1462*Assumptions!$B$3+R1462*Assumptions!$B$4+S1462*Assumptions!$B$5+T1462*Assumptions!$B$6,0)</f>
        <v>74</v>
      </c>
      <c r="V1462" s="8" t="str">
        <f aca="false">IF(U1462&gt;=Assumptions!$B$10,"Healthy",IF(U1462&gt;=Assumptions!$B$11,"Needs Attention","High Risk"))</f>
        <v>Needs Attention</v>
      </c>
    </row>
    <row r="1463" customFormat="false" ht="15" hidden="false" customHeight="false" outlineLevel="0" collapsed="false">
      <c r="A1463" s="8" t="s">
        <v>3068</v>
      </c>
      <c r="B1463" s="8" t="s">
        <v>3069</v>
      </c>
      <c r="C1463" s="8" t="s">
        <v>51</v>
      </c>
      <c r="D1463" s="8" t="s">
        <v>2027</v>
      </c>
      <c r="E1463" s="8" t="s">
        <v>117</v>
      </c>
      <c r="F1463" s="8" t="s">
        <v>223</v>
      </c>
      <c r="G1463" s="8" t="s">
        <v>177</v>
      </c>
      <c r="H1463" s="15" t="n">
        <v>348</v>
      </c>
      <c r="I1463" s="15" t="n">
        <v>348</v>
      </c>
      <c r="J1463" s="16" t="n">
        <v>0.701</v>
      </c>
      <c r="K1463" s="8" t="n">
        <v>8.7</v>
      </c>
      <c r="L1463" s="8" t="n">
        <v>6</v>
      </c>
      <c r="M1463" s="8" t="n">
        <v>3</v>
      </c>
      <c r="N1463" s="8" t="s">
        <v>120</v>
      </c>
      <c r="O1463" s="15" t="n">
        <f aca="false">H1463*12</f>
        <v>4176</v>
      </c>
      <c r="P1463" s="8" t="n">
        <f aca="false">MIN(100,ROUND(100*J1463/Assumptions!$B$8,0))</f>
        <v>78</v>
      </c>
      <c r="Q1463" s="8" t="n">
        <f aca="false">IF(L1463="",Assumptions!$B$9,L1463*10)</f>
        <v>60</v>
      </c>
      <c r="R1463" s="8" t="n">
        <f aca="false">IF(M1463&lt;=1,Assumptions!$B$12,IF(M1463&lt;=3,Assumptions!$B$13,IF(M1463&lt;=6,Assumptions!$B$14,Assumptions!$B$15)))</f>
        <v>75</v>
      </c>
      <c r="S1463" s="8" t="n">
        <f aca="false">IF(N1463="Completed On Time",Assumptions!$B$16,IF(N1463="Completed Late",Assumptions!$B$17,Assumptions!$B$18))</f>
        <v>100</v>
      </c>
      <c r="T1463" s="8" t="n">
        <f aca="false">IF(I1463=0,Assumptions!$B$20,IF(H1463&gt;I1463,Assumptions!$B$19,IF(H1463=I1463,Assumptions!$B$20,Assumptions!$B$21)))</f>
        <v>70</v>
      </c>
      <c r="U1463" s="8" t="n">
        <f aca="false">ROUND(P1463*Assumptions!$B$2+Q1463*Assumptions!$B$3+R1463*Assumptions!$B$4+S1463*Assumptions!$B$5+T1463*Assumptions!$B$6,0)</f>
        <v>75</v>
      </c>
      <c r="V1463" s="8" t="str">
        <f aca="false">IF(U1463&gt;=Assumptions!$B$10,"Healthy",IF(U1463&gt;=Assumptions!$B$11,"Needs Attention","High Risk"))</f>
        <v>Needs Attention</v>
      </c>
    </row>
    <row r="1464" customFormat="false" ht="15" hidden="false" customHeight="false" outlineLevel="0" collapsed="false">
      <c r="A1464" s="8" t="s">
        <v>3070</v>
      </c>
      <c r="B1464" s="8" t="s">
        <v>3071</v>
      </c>
      <c r="C1464" s="8" t="s">
        <v>51</v>
      </c>
      <c r="D1464" s="8" t="s">
        <v>2027</v>
      </c>
      <c r="E1464" s="8" t="s">
        <v>123</v>
      </c>
      <c r="F1464" s="8" t="s">
        <v>133</v>
      </c>
      <c r="G1464" s="8" t="s">
        <v>129</v>
      </c>
      <c r="H1464" s="15" t="n">
        <v>348</v>
      </c>
      <c r="I1464" s="15" t="n">
        <v>348</v>
      </c>
      <c r="J1464" s="16" t="n">
        <v>0.747</v>
      </c>
      <c r="K1464" s="8" t="n">
        <v>7.7</v>
      </c>
      <c r="L1464" s="8" t="n">
        <v>9</v>
      </c>
      <c r="M1464" s="8" t="n">
        <v>3</v>
      </c>
      <c r="N1464" s="8" t="s">
        <v>120</v>
      </c>
      <c r="O1464" s="15" t="n">
        <f aca="false">H1464*12</f>
        <v>4176</v>
      </c>
      <c r="P1464" s="8" t="n">
        <f aca="false">MIN(100,ROUND(100*J1464/Assumptions!$B$8,0))</f>
        <v>83</v>
      </c>
      <c r="Q1464" s="8" t="n">
        <f aca="false">IF(L1464="",Assumptions!$B$9,L1464*10)</f>
        <v>90</v>
      </c>
      <c r="R1464" s="8" t="n">
        <f aca="false">IF(M1464&lt;=1,Assumptions!$B$12,IF(M1464&lt;=3,Assumptions!$B$13,IF(M1464&lt;=6,Assumptions!$B$14,Assumptions!$B$15)))</f>
        <v>75</v>
      </c>
      <c r="S1464" s="8" t="n">
        <f aca="false">IF(N1464="Completed On Time",Assumptions!$B$16,IF(N1464="Completed Late",Assumptions!$B$17,Assumptions!$B$18))</f>
        <v>100</v>
      </c>
      <c r="T1464" s="8" t="n">
        <f aca="false">IF(I1464=0,Assumptions!$B$20,IF(H1464&gt;I1464,Assumptions!$B$19,IF(H1464=I1464,Assumptions!$B$20,Assumptions!$B$21)))</f>
        <v>70</v>
      </c>
      <c r="U1464" s="8" t="n">
        <f aca="false">ROUND(P1464*Assumptions!$B$2+Q1464*Assumptions!$B$3+R1464*Assumptions!$B$4+S1464*Assumptions!$B$5+T1464*Assumptions!$B$6,0)</f>
        <v>82</v>
      </c>
      <c r="V1464" s="8" t="str">
        <f aca="false">IF(U1464&gt;=Assumptions!$B$10,"Healthy",IF(U1464&gt;=Assumptions!$B$11,"Needs Attention","High Risk"))</f>
        <v>Healthy</v>
      </c>
    </row>
    <row r="1465" customFormat="false" ht="15" hidden="false" customHeight="false" outlineLevel="0" collapsed="false">
      <c r="A1465" s="8" t="s">
        <v>3072</v>
      </c>
      <c r="B1465" s="8" t="s">
        <v>3073</v>
      </c>
      <c r="C1465" s="8" t="s">
        <v>51</v>
      </c>
      <c r="D1465" s="8" t="s">
        <v>2027</v>
      </c>
      <c r="E1465" s="8" t="s">
        <v>117</v>
      </c>
      <c r="F1465" s="8" t="s">
        <v>118</v>
      </c>
      <c r="G1465" s="8" t="s">
        <v>125</v>
      </c>
      <c r="H1465" s="15" t="n">
        <v>348</v>
      </c>
      <c r="I1465" s="15" t="n">
        <v>276</v>
      </c>
      <c r="J1465" s="16" t="n">
        <v>0.759</v>
      </c>
      <c r="K1465" s="8" t="n">
        <v>8.7</v>
      </c>
      <c r="L1465" s="8" t="n">
        <v>8</v>
      </c>
      <c r="M1465" s="8" t="n">
        <v>2</v>
      </c>
      <c r="N1465" s="8" t="s">
        <v>120</v>
      </c>
      <c r="O1465" s="15" t="n">
        <f aca="false">H1465*12</f>
        <v>4176</v>
      </c>
      <c r="P1465" s="8" t="n">
        <f aca="false">MIN(100,ROUND(100*J1465/Assumptions!$B$8,0))</f>
        <v>84</v>
      </c>
      <c r="Q1465" s="8" t="n">
        <f aca="false">IF(L1465="",Assumptions!$B$9,L1465*10)</f>
        <v>80</v>
      </c>
      <c r="R1465" s="8" t="n">
        <f aca="false">IF(M1465&lt;=1,Assumptions!$B$12,IF(M1465&lt;=3,Assumptions!$B$13,IF(M1465&lt;=6,Assumptions!$B$14,Assumptions!$B$15)))</f>
        <v>75</v>
      </c>
      <c r="S1465" s="8" t="n">
        <f aca="false">IF(N1465="Completed On Time",Assumptions!$B$16,IF(N1465="Completed Late",Assumptions!$B$17,Assumptions!$B$18))</f>
        <v>100</v>
      </c>
      <c r="T1465" s="8" t="n">
        <f aca="false">IF(I1465=0,Assumptions!$B$20,IF(H1465&gt;I1465,Assumptions!$B$19,IF(H1465=I1465,Assumptions!$B$20,Assumptions!$B$21)))</f>
        <v>100</v>
      </c>
      <c r="U1465" s="8" t="n">
        <f aca="false">ROUND(P1465*Assumptions!$B$2+Q1465*Assumptions!$B$3+R1465*Assumptions!$B$4+S1465*Assumptions!$B$5+T1465*Assumptions!$B$6,0)</f>
        <v>87</v>
      </c>
      <c r="V1465" s="8" t="str">
        <f aca="false">IF(U1465&gt;=Assumptions!$B$10,"Healthy",IF(U1465&gt;=Assumptions!$B$11,"Needs Attention","High Risk"))</f>
        <v>Healthy</v>
      </c>
    </row>
    <row r="1466" customFormat="false" ht="15" hidden="false" customHeight="false" outlineLevel="0" collapsed="false">
      <c r="A1466" s="8" t="s">
        <v>3074</v>
      </c>
      <c r="B1466" s="8" t="s">
        <v>3075</v>
      </c>
      <c r="C1466" s="8" t="s">
        <v>51</v>
      </c>
      <c r="D1466" s="8" t="s">
        <v>2027</v>
      </c>
      <c r="E1466" s="8" t="s">
        <v>132</v>
      </c>
      <c r="F1466" s="8" t="s">
        <v>154</v>
      </c>
      <c r="G1466" s="8" t="s">
        <v>144</v>
      </c>
      <c r="H1466" s="15" t="n">
        <v>348</v>
      </c>
      <c r="I1466" s="15" t="n">
        <v>348</v>
      </c>
      <c r="J1466" s="16" t="n">
        <v>0.655</v>
      </c>
      <c r="K1466" s="8" t="n">
        <v>8.7</v>
      </c>
      <c r="L1466" s="8" t="n">
        <v>8</v>
      </c>
      <c r="M1466" s="8" t="n">
        <v>1</v>
      </c>
      <c r="N1466" s="8" t="s">
        <v>120</v>
      </c>
      <c r="O1466" s="15" t="n">
        <f aca="false">H1466*12</f>
        <v>4176</v>
      </c>
      <c r="P1466" s="8" t="n">
        <f aca="false">MIN(100,ROUND(100*J1466/Assumptions!$B$8,0))</f>
        <v>73</v>
      </c>
      <c r="Q1466" s="8" t="n">
        <f aca="false">IF(L1466="",Assumptions!$B$9,L1466*10)</f>
        <v>80</v>
      </c>
      <c r="R1466" s="8" t="n">
        <f aca="false">IF(M1466&lt;=1,Assumptions!$B$12,IF(M1466&lt;=3,Assumptions!$B$13,IF(M1466&lt;=6,Assumptions!$B$14,Assumptions!$B$15)))</f>
        <v>100</v>
      </c>
      <c r="S1466" s="8" t="n">
        <f aca="false">IF(N1466="Completed On Time",Assumptions!$B$16,IF(N1466="Completed Late",Assumptions!$B$17,Assumptions!$B$18))</f>
        <v>100</v>
      </c>
      <c r="T1466" s="8" t="n">
        <f aca="false">IF(I1466=0,Assumptions!$B$20,IF(H1466&gt;I1466,Assumptions!$B$19,IF(H1466=I1466,Assumptions!$B$20,Assumptions!$B$21)))</f>
        <v>70</v>
      </c>
      <c r="U1466" s="8" t="n">
        <f aca="false">ROUND(P1466*Assumptions!$B$2+Q1466*Assumptions!$B$3+R1466*Assumptions!$B$4+S1466*Assumptions!$B$5+T1466*Assumptions!$B$6,0)</f>
        <v>81</v>
      </c>
      <c r="V1466" s="8" t="str">
        <f aca="false">IF(U1466&gt;=Assumptions!$B$10,"Healthy",IF(U1466&gt;=Assumptions!$B$11,"Needs Attention","High Risk"))</f>
        <v>Healthy</v>
      </c>
    </row>
    <row r="1467" customFormat="false" ht="15" hidden="false" customHeight="false" outlineLevel="0" collapsed="false">
      <c r="A1467" s="8" t="s">
        <v>3076</v>
      </c>
      <c r="B1467" s="8" t="s">
        <v>3077</v>
      </c>
      <c r="C1467" s="8" t="s">
        <v>51</v>
      </c>
      <c r="D1467" s="8" t="s">
        <v>2027</v>
      </c>
      <c r="E1467" s="8" t="s">
        <v>123</v>
      </c>
      <c r="F1467" s="8" t="s">
        <v>133</v>
      </c>
      <c r="G1467" s="8" t="s">
        <v>180</v>
      </c>
      <c r="H1467" s="15" t="n">
        <v>348</v>
      </c>
      <c r="I1467" s="15" t="n">
        <v>348</v>
      </c>
      <c r="J1467" s="16" t="n">
        <v>0.586</v>
      </c>
      <c r="K1467" s="8" t="n">
        <v>7</v>
      </c>
      <c r="L1467" s="8" t="n">
        <v>8</v>
      </c>
      <c r="M1467" s="8" t="n">
        <v>5</v>
      </c>
      <c r="N1467" s="8" t="s">
        <v>120</v>
      </c>
      <c r="O1467" s="15" t="n">
        <f aca="false">H1467*12</f>
        <v>4176</v>
      </c>
      <c r="P1467" s="8" t="n">
        <f aca="false">MIN(100,ROUND(100*J1467/Assumptions!$B$8,0))</f>
        <v>65</v>
      </c>
      <c r="Q1467" s="8" t="n">
        <f aca="false">IF(L1467="",Assumptions!$B$9,L1467*10)</f>
        <v>80</v>
      </c>
      <c r="R1467" s="8" t="n">
        <f aca="false">IF(M1467&lt;=1,Assumptions!$B$12,IF(M1467&lt;=3,Assumptions!$B$13,IF(M1467&lt;=6,Assumptions!$B$14,Assumptions!$B$15)))</f>
        <v>50</v>
      </c>
      <c r="S1467" s="8" t="n">
        <f aca="false">IF(N1467="Completed On Time",Assumptions!$B$16,IF(N1467="Completed Late",Assumptions!$B$17,Assumptions!$B$18))</f>
        <v>100</v>
      </c>
      <c r="T1467" s="8" t="n">
        <f aca="false">IF(I1467=0,Assumptions!$B$20,IF(H1467&gt;I1467,Assumptions!$B$19,IF(H1467=I1467,Assumptions!$B$20,Assumptions!$B$21)))</f>
        <v>70</v>
      </c>
      <c r="U1467" s="8" t="n">
        <f aca="false">ROUND(P1467*Assumptions!$B$2+Q1467*Assumptions!$B$3+R1467*Assumptions!$B$4+S1467*Assumptions!$B$5+T1467*Assumptions!$B$6,0)</f>
        <v>70</v>
      </c>
      <c r="V1467" s="8" t="str">
        <f aca="false">IF(U1467&gt;=Assumptions!$B$10,"Healthy",IF(U1467&gt;=Assumptions!$B$11,"Needs Attention","High Risk"))</f>
        <v>Needs Attention</v>
      </c>
    </row>
    <row r="1468" customFormat="false" ht="15" hidden="false" customHeight="false" outlineLevel="0" collapsed="false">
      <c r="A1468" s="8" t="s">
        <v>3078</v>
      </c>
      <c r="B1468" s="8" t="s">
        <v>3079</v>
      </c>
      <c r="C1468" s="8" t="s">
        <v>51</v>
      </c>
      <c r="D1468" s="8" t="s">
        <v>2027</v>
      </c>
      <c r="E1468" s="8" t="s">
        <v>117</v>
      </c>
      <c r="F1468" s="8" t="s">
        <v>143</v>
      </c>
      <c r="G1468" s="8" t="s">
        <v>147</v>
      </c>
      <c r="H1468" s="15" t="n">
        <v>348</v>
      </c>
      <c r="I1468" s="15" t="n">
        <v>264</v>
      </c>
      <c r="J1468" s="16" t="n">
        <v>0.897</v>
      </c>
      <c r="K1468" s="8" t="n">
        <v>10.3</v>
      </c>
      <c r="L1468" s="8" t="n">
        <v>10</v>
      </c>
      <c r="M1468" s="8" t="n">
        <v>0</v>
      </c>
      <c r="N1468" s="8" t="s">
        <v>120</v>
      </c>
      <c r="O1468" s="15" t="n">
        <f aca="false">H1468*12</f>
        <v>4176</v>
      </c>
      <c r="P1468" s="8" t="n">
        <f aca="false">MIN(100,ROUND(100*J1468/Assumptions!$B$8,0))</f>
        <v>100</v>
      </c>
      <c r="Q1468" s="8" t="n">
        <f aca="false">IF(L1468="",Assumptions!$B$9,L1468*10)</f>
        <v>100</v>
      </c>
      <c r="R1468" s="8" t="n">
        <f aca="false">IF(M1468&lt;=1,Assumptions!$B$12,IF(M1468&lt;=3,Assumptions!$B$13,IF(M1468&lt;=6,Assumptions!$B$14,Assumptions!$B$15)))</f>
        <v>100</v>
      </c>
      <c r="S1468" s="8" t="n">
        <f aca="false">IF(N1468="Completed On Time",Assumptions!$B$16,IF(N1468="Completed Late",Assumptions!$B$17,Assumptions!$B$18))</f>
        <v>100</v>
      </c>
      <c r="T1468" s="8" t="n">
        <f aca="false">IF(I1468=0,Assumptions!$B$20,IF(H1468&gt;I1468,Assumptions!$B$19,IF(H1468=I1468,Assumptions!$B$20,Assumptions!$B$21)))</f>
        <v>100</v>
      </c>
      <c r="U1468" s="8" t="n">
        <f aca="false">ROUND(P1468*Assumptions!$B$2+Q1468*Assumptions!$B$3+R1468*Assumptions!$B$4+S1468*Assumptions!$B$5+T1468*Assumptions!$B$6,0)</f>
        <v>100</v>
      </c>
      <c r="V1468" s="8" t="str">
        <f aca="false">IF(U1468&gt;=Assumptions!$B$10,"Healthy",IF(U1468&gt;=Assumptions!$B$11,"Needs Attention","High Risk"))</f>
        <v>Healthy</v>
      </c>
    </row>
    <row r="1469" customFormat="false" ht="15" hidden="false" customHeight="false" outlineLevel="0" collapsed="false">
      <c r="A1469" s="8" t="s">
        <v>3080</v>
      </c>
      <c r="B1469" s="8" t="s">
        <v>3081</v>
      </c>
      <c r="C1469" s="8" t="s">
        <v>51</v>
      </c>
      <c r="D1469" s="8" t="s">
        <v>2027</v>
      </c>
      <c r="E1469" s="8" t="s">
        <v>123</v>
      </c>
      <c r="F1469" s="8" t="s">
        <v>143</v>
      </c>
      <c r="G1469" s="8" t="s">
        <v>140</v>
      </c>
      <c r="H1469" s="15" t="n">
        <v>348</v>
      </c>
      <c r="I1469" s="15" t="n">
        <v>348</v>
      </c>
      <c r="J1469" s="16" t="n">
        <v>0.69</v>
      </c>
      <c r="K1469" s="8" t="n">
        <v>8</v>
      </c>
      <c r="L1469" s="8" t="n">
        <v>8</v>
      </c>
      <c r="M1469" s="8" t="n">
        <v>4</v>
      </c>
      <c r="N1469" s="8" t="s">
        <v>120</v>
      </c>
      <c r="O1469" s="15" t="n">
        <f aca="false">H1469*12</f>
        <v>4176</v>
      </c>
      <c r="P1469" s="8" t="n">
        <f aca="false">MIN(100,ROUND(100*J1469/Assumptions!$B$8,0))</f>
        <v>77</v>
      </c>
      <c r="Q1469" s="8" t="n">
        <f aca="false">IF(L1469="",Assumptions!$B$9,L1469*10)</f>
        <v>80</v>
      </c>
      <c r="R1469" s="8" t="n">
        <f aca="false">IF(M1469&lt;=1,Assumptions!$B$12,IF(M1469&lt;=3,Assumptions!$B$13,IF(M1469&lt;=6,Assumptions!$B$14,Assumptions!$B$15)))</f>
        <v>50</v>
      </c>
      <c r="S1469" s="8" t="n">
        <f aca="false">IF(N1469="Completed On Time",Assumptions!$B$16,IF(N1469="Completed Late",Assumptions!$B$17,Assumptions!$B$18))</f>
        <v>100</v>
      </c>
      <c r="T1469" s="8" t="n">
        <f aca="false">IF(I1469=0,Assumptions!$B$20,IF(H1469&gt;I1469,Assumptions!$B$19,IF(H1469=I1469,Assumptions!$B$20,Assumptions!$B$21)))</f>
        <v>70</v>
      </c>
      <c r="U1469" s="8" t="n">
        <f aca="false">ROUND(P1469*Assumptions!$B$2+Q1469*Assumptions!$B$3+R1469*Assumptions!$B$4+S1469*Assumptions!$B$5+T1469*Assumptions!$B$6,0)</f>
        <v>74</v>
      </c>
      <c r="V1469" s="8" t="str">
        <f aca="false">IF(U1469&gt;=Assumptions!$B$10,"Healthy",IF(U1469&gt;=Assumptions!$B$11,"Needs Attention","High Risk"))</f>
        <v>Needs Attention</v>
      </c>
    </row>
    <row r="1470" customFormat="false" ht="15" hidden="false" customHeight="false" outlineLevel="0" collapsed="false">
      <c r="A1470" s="8" t="s">
        <v>3082</v>
      </c>
      <c r="B1470" s="8" t="s">
        <v>3083</v>
      </c>
      <c r="C1470" s="8" t="s">
        <v>51</v>
      </c>
      <c r="D1470" s="8" t="s">
        <v>2027</v>
      </c>
      <c r="E1470" s="8" t="s">
        <v>123</v>
      </c>
      <c r="F1470" s="8" t="s">
        <v>133</v>
      </c>
      <c r="G1470" s="8" t="s">
        <v>140</v>
      </c>
      <c r="H1470" s="15" t="n">
        <v>348</v>
      </c>
      <c r="I1470" s="15" t="n">
        <v>348</v>
      </c>
      <c r="J1470" s="16" t="n">
        <v>0.701</v>
      </c>
      <c r="K1470" s="8" t="n">
        <v>8.7</v>
      </c>
      <c r="L1470" s="8" t="n">
        <v>7</v>
      </c>
      <c r="M1470" s="8" t="n">
        <v>1</v>
      </c>
      <c r="N1470" s="8" t="s">
        <v>120</v>
      </c>
      <c r="O1470" s="15" t="n">
        <f aca="false">H1470*12</f>
        <v>4176</v>
      </c>
      <c r="P1470" s="8" t="n">
        <f aca="false">MIN(100,ROUND(100*J1470/Assumptions!$B$8,0))</f>
        <v>78</v>
      </c>
      <c r="Q1470" s="8" t="n">
        <f aca="false">IF(L1470="",Assumptions!$B$9,L1470*10)</f>
        <v>70</v>
      </c>
      <c r="R1470" s="8" t="n">
        <f aca="false">IF(M1470&lt;=1,Assumptions!$B$12,IF(M1470&lt;=3,Assumptions!$B$13,IF(M1470&lt;=6,Assumptions!$B$14,Assumptions!$B$15)))</f>
        <v>100</v>
      </c>
      <c r="S1470" s="8" t="n">
        <f aca="false">IF(N1470="Completed On Time",Assumptions!$B$16,IF(N1470="Completed Late",Assumptions!$B$17,Assumptions!$B$18))</f>
        <v>100</v>
      </c>
      <c r="T1470" s="8" t="n">
        <f aca="false">IF(I1470=0,Assumptions!$B$20,IF(H1470&gt;I1470,Assumptions!$B$19,IF(H1470=I1470,Assumptions!$B$20,Assumptions!$B$21)))</f>
        <v>70</v>
      </c>
      <c r="U1470" s="8" t="n">
        <f aca="false">ROUND(P1470*Assumptions!$B$2+Q1470*Assumptions!$B$3+R1470*Assumptions!$B$4+S1470*Assumptions!$B$5+T1470*Assumptions!$B$6,0)</f>
        <v>80</v>
      </c>
      <c r="V1470" s="8" t="str">
        <f aca="false">IF(U1470&gt;=Assumptions!$B$10,"Healthy",IF(U1470&gt;=Assumptions!$B$11,"Needs Attention","High Risk"))</f>
        <v>Healthy</v>
      </c>
    </row>
    <row r="1471" customFormat="false" ht="15" hidden="false" customHeight="false" outlineLevel="0" collapsed="false">
      <c r="A1471" s="8" t="s">
        <v>3084</v>
      </c>
      <c r="B1471" s="8" t="s">
        <v>3085</v>
      </c>
      <c r="C1471" s="8" t="s">
        <v>51</v>
      </c>
      <c r="D1471" s="8" t="s">
        <v>2027</v>
      </c>
      <c r="E1471" s="8" t="s">
        <v>123</v>
      </c>
      <c r="F1471" s="8" t="s">
        <v>143</v>
      </c>
      <c r="G1471" s="8" t="s">
        <v>159</v>
      </c>
      <c r="H1471" s="15" t="n">
        <v>348</v>
      </c>
      <c r="I1471" s="15" t="n">
        <v>348</v>
      </c>
      <c r="J1471" s="16" t="n">
        <v>0.747</v>
      </c>
      <c r="K1471" s="8" t="n">
        <v>9</v>
      </c>
      <c r="L1471" s="8" t="n">
        <v>9</v>
      </c>
      <c r="M1471" s="8" t="n">
        <v>5</v>
      </c>
      <c r="N1471" s="8" t="s">
        <v>120</v>
      </c>
      <c r="O1471" s="15" t="n">
        <f aca="false">H1471*12</f>
        <v>4176</v>
      </c>
      <c r="P1471" s="8" t="n">
        <f aca="false">MIN(100,ROUND(100*J1471/Assumptions!$B$8,0))</f>
        <v>83</v>
      </c>
      <c r="Q1471" s="8" t="n">
        <f aca="false">IF(L1471="",Assumptions!$B$9,L1471*10)</f>
        <v>90</v>
      </c>
      <c r="R1471" s="8" t="n">
        <f aca="false">IF(M1471&lt;=1,Assumptions!$B$12,IF(M1471&lt;=3,Assumptions!$B$13,IF(M1471&lt;=6,Assumptions!$B$14,Assumptions!$B$15)))</f>
        <v>50</v>
      </c>
      <c r="S1471" s="8" t="n">
        <f aca="false">IF(N1471="Completed On Time",Assumptions!$B$16,IF(N1471="Completed Late",Assumptions!$B$17,Assumptions!$B$18))</f>
        <v>100</v>
      </c>
      <c r="T1471" s="8" t="n">
        <f aca="false">IF(I1471=0,Assumptions!$B$20,IF(H1471&gt;I1471,Assumptions!$B$19,IF(H1471=I1471,Assumptions!$B$20,Assumptions!$B$21)))</f>
        <v>70</v>
      </c>
      <c r="U1471" s="8" t="n">
        <f aca="false">ROUND(P1471*Assumptions!$B$2+Q1471*Assumptions!$B$3+R1471*Assumptions!$B$4+S1471*Assumptions!$B$5+T1471*Assumptions!$B$6,0)</f>
        <v>79</v>
      </c>
      <c r="V1471" s="8" t="str">
        <f aca="false">IF(U1471&gt;=Assumptions!$B$10,"Healthy",IF(U1471&gt;=Assumptions!$B$11,"Needs Attention","High Risk"))</f>
        <v>Needs Attention</v>
      </c>
    </row>
    <row r="1472" customFormat="false" ht="15" hidden="false" customHeight="false" outlineLevel="0" collapsed="false">
      <c r="A1472" s="8" t="s">
        <v>3086</v>
      </c>
      <c r="B1472" s="8" t="s">
        <v>3087</v>
      </c>
      <c r="C1472" s="8" t="s">
        <v>51</v>
      </c>
      <c r="D1472" s="8" t="s">
        <v>2027</v>
      </c>
      <c r="E1472" s="8" t="s">
        <v>132</v>
      </c>
      <c r="F1472" s="8" t="s">
        <v>223</v>
      </c>
      <c r="G1472" s="8" t="s">
        <v>119</v>
      </c>
      <c r="H1472" s="15" t="n">
        <v>348</v>
      </c>
      <c r="I1472" s="15" t="n">
        <v>348</v>
      </c>
      <c r="J1472" s="16" t="n">
        <v>0.701</v>
      </c>
      <c r="K1472" s="8" t="n">
        <v>8.7</v>
      </c>
      <c r="L1472" s="8" t="n">
        <v>6</v>
      </c>
      <c r="M1472" s="8" t="n">
        <v>1</v>
      </c>
      <c r="N1472" s="8" t="s">
        <v>120</v>
      </c>
      <c r="O1472" s="15" t="n">
        <f aca="false">H1472*12</f>
        <v>4176</v>
      </c>
      <c r="P1472" s="8" t="n">
        <f aca="false">MIN(100,ROUND(100*J1472/Assumptions!$B$8,0))</f>
        <v>78</v>
      </c>
      <c r="Q1472" s="8" t="n">
        <f aca="false">IF(L1472="",Assumptions!$B$9,L1472*10)</f>
        <v>60</v>
      </c>
      <c r="R1472" s="8" t="n">
        <f aca="false">IF(M1472&lt;=1,Assumptions!$B$12,IF(M1472&lt;=3,Assumptions!$B$13,IF(M1472&lt;=6,Assumptions!$B$14,Assumptions!$B$15)))</f>
        <v>100</v>
      </c>
      <c r="S1472" s="8" t="n">
        <f aca="false">IF(N1472="Completed On Time",Assumptions!$B$16,IF(N1472="Completed Late",Assumptions!$B$17,Assumptions!$B$18))</f>
        <v>100</v>
      </c>
      <c r="T1472" s="8" t="n">
        <f aca="false">IF(I1472=0,Assumptions!$B$20,IF(H1472&gt;I1472,Assumptions!$B$19,IF(H1472=I1472,Assumptions!$B$20,Assumptions!$B$21)))</f>
        <v>70</v>
      </c>
      <c r="U1472" s="8" t="n">
        <f aca="false">ROUND(P1472*Assumptions!$B$2+Q1472*Assumptions!$B$3+R1472*Assumptions!$B$4+S1472*Assumptions!$B$5+T1472*Assumptions!$B$6,0)</f>
        <v>78</v>
      </c>
      <c r="V1472" s="8" t="str">
        <f aca="false">IF(U1472&gt;=Assumptions!$B$10,"Healthy",IF(U1472&gt;=Assumptions!$B$11,"Needs Attention","High Risk"))</f>
        <v>Needs Attention</v>
      </c>
    </row>
    <row r="1473" customFormat="false" ht="15" hidden="false" customHeight="false" outlineLevel="0" collapsed="false">
      <c r="A1473" s="8" t="s">
        <v>3088</v>
      </c>
      <c r="B1473" s="8" t="s">
        <v>3089</v>
      </c>
      <c r="C1473" s="8" t="s">
        <v>51</v>
      </c>
      <c r="D1473" s="8" t="s">
        <v>2027</v>
      </c>
      <c r="E1473" s="8" t="s">
        <v>123</v>
      </c>
      <c r="F1473" s="8" t="s">
        <v>166</v>
      </c>
      <c r="G1473" s="8" t="s">
        <v>129</v>
      </c>
      <c r="H1473" s="15" t="n">
        <v>348</v>
      </c>
      <c r="I1473" s="15" t="n">
        <v>348</v>
      </c>
      <c r="J1473" s="16" t="n">
        <v>0.862</v>
      </c>
      <c r="K1473" s="8" t="n">
        <v>11.7</v>
      </c>
      <c r="L1473" s="8" t="n">
        <v>8</v>
      </c>
      <c r="M1473" s="8" t="n">
        <v>1</v>
      </c>
      <c r="N1473" s="8" t="s">
        <v>120</v>
      </c>
      <c r="O1473" s="15" t="n">
        <f aca="false">H1473*12</f>
        <v>4176</v>
      </c>
      <c r="P1473" s="8" t="n">
        <f aca="false">MIN(100,ROUND(100*J1473/Assumptions!$B$8,0))</f>
        <v>96</v>
      </c>
      <c r="Q1473" s="8" t="n">
        <f aca="false">IF(L1473="",Assumptions!$B$9,L1473*10)</f>
        <v>80</v>
      </c>
      <c r="R1473" s="8" t="n">
        <f aca="false">IF(M1473&lt;=1,Assumptions!$B$12,IF(M1473&lt;=3,Assumptions!$B$13,IF(M1473&lt;=6,Assumptions!$B$14,Assumptions!$B$15)))</f>
        <v>100</v>
      </c>
      <c r="S1473" s="8" t="n">
        <f aca="false">IF(N1473="Completed On Time",Assumptions!$B$16,IF(N1473="Completed Late",Assumptions!$B$17,Assumptions!$B$18))</f>
        <v>100</v>
      </c>
      <c r="T1473" s="8" t="n">
        <f aca="false">IF(I1473=0,Assumptions!$B$20,IF(H1473&gt;I1473,Assumptions!$B$19,IF(H1473=I1473,Assumptions!$B$20,Assumptions!$B$21)))</f>
        <v>70</v>
      </c>
      <c r="U1473" s="8" t="n">
        <f aca="false">ROUND(P1473*Assumptions!$B$2+Q1473*Assumptions!$B$3+R1473*Assumptions!$B$4+S1473*Assumptions!$B$5+T1473*Assumptions!$B$6,0)</f>
        <v>89</v>
      </c>
      <c r="V1473" s="8" t="str">
        <f aca="false">IF(U1473&gt;=Assumptions!$B$10,"Healthy",IF(U1473&gt;=Assumptions!$B$11,"Needs Attention","High Risk"))</f>
        <v>Healthy</v>
      </c>
    </row>
    <row r="1474" customFormat="false" ht="15" hidden="false" customHeight="false" outlineLevel="0" collapsed="false">
      <c r="A1474" s="8" t="s">
        <v>3090</v>
      </c>
      <c r="B1474" s="8" t="s">
        <v>3091</v>
      </c>
      <c r="C1474" s="8" t="s">
        <v>51</v>
      </c>
      <c r="D1474" s="8" t="s">
        <v>2027</v>
      </c>
      <c r="E1474" s="8" t="s">
        <v>123</v>
      </c>
      <c r="F1474" s="8" t="s">
        <v>143</v>
      </c>
      <c r="G1474" s="8" t="s">
        <v>140</v>
      </c>
      <c r="H1474" s="15" t="n">
        <v>348</v>
      </c>
      <c r="I1474" s="15" t="n">
        <v>348</v>
      </c>
      <c r="J1474" s="16" t="n">
        <v>0.92</v>
      </c>
      <c r="K1474" s="8" t="n">
        <v>10</v>
      </c>
      <c r="L1474" s="8" t="n">
        <v>9</v>
      </c>
      <c r="M1474" s="8" t="n">
        <v>1</v>
      </c>
      <c r="N1474" s="8" t="s">
        <v>120</v>
      </c>
      <c r="O1474" s="15" t="n">
        <f aca="false">H1474*12</f>
        <v>4176</v>
      </c>
      <c r="P1474" s="8" t="n">
        <f aca="false">MIN(100,ROUND(100*J1474/Assumptions!$B$8,0))</f>
        <v>100</v>
      </c>
      <c r="Q1474" s="8" t="n">
        <f aca="false">IF(L1474="",Assumptions!$B$9,L1474*10)</f>
        <v>90</v>
      </c>
      <c r="R1474" s="8" t="n">
        <f aca="false">IF(M1474&lt;=1,Assumptions!$B$12,IF(M1474&lt;=3,Assumptions!$B$13,IF(M1474&lt;=6,Assumptions!$B$14,Assumptions!$B$15)))</f>
        <v>100</v>
      </c>
      <c r="S1474" s="8" t="n">
        <f aca="false">IF(N1474="Completed On Time",Assumptions!$B$16,IF(N1474="Completed Late",Assumptions!$B$17,Assumptions!$B$18))</f>
        <v>100</v>
      </c>
      <c r="T1474" s="8" t="n">
        <f aca="false">IF(I1474=0,Assumptions!$B$20,IF(H1474&gt;I1474,Assumptions!$B$19,IF(H1474=I1474,Assumptions!$B$20,Assumptions!$B$21)))</f>
        <v>70</v>
      </c>
      <c r="U1474" s="8" t="n">
        <f aca="false">ROUND(P1474*Assumptions!$B$2+Q1474*Assumptions!$B$3+R1474*Assumptions!$B$4+S1474*Assumptions!$B$5+T1474*Assumptions!$B$6,0)</f>
        <v>92</v>
      </c>
      <c r="V1474" s="8" t="str">
        <f aca="false">IF(U1474&gt;=Assumptions!$B$10,"Healthy",IF(U1474&gt;=Assumptions!$B$11,"Needs Attention","High Risk"))</f>
        <v>Healthy</v>
      </c>
    </row>
    <row r="1475" customFormat="false" ht="15" hidden="false" customHeight="false" outlineLevel="0" collapsed="false">
      <c r="A1475" s="8" t="s">
        <v>3092</v>
      </c>
      <c r="B1475" s="8" t="s">
        <v>3093</v>
      </c>
      <c r="C1475" s="8" t="s">
        <v>51</v>
      </c>
      <c r="D1475" s="8" t="s">
        <v>2027</v>
      </c>
      <c r="E1475" s="8" t="s">
        <v>123</v>
      </c>
      <c r="F1475" s="8" t="s">
        <v>124</v>
      </c>
      <c r="G1475" s="8" t="s">
        <v>129</v>
      </c>
      <c r="H1475" s="15" t="n">
        <v>348</v>
      </c>
      <c r="I1475" s="15" t="n">
        <v>348</v>
      </c>
      <c r="J1475" s="16" t="n">
        <v>0.816</v>
      </c>
      <c r="K1475" s="8" t="n">
        <v>9.7</v>
      </c>
      <c r="L1475" s="8" t="n">
        <v>9</v>
      </c>
      <c r="M1475" s="8" t="n">
        <v>3</v>
      </c>
      <c r="N1475" s="8" t="s">
        <v>120</v>
      </c>
      <c r="O1475" s="15" t="n">
        <f aca="false">H1475*12</f>
        <v>4176</v>
      </c>
      <c r="P1475" s="8" t="n">
        <f aca="false">MIN(100,ROUND(100*J1475/Assumptions!$B$8,0))</f>
        <v>91</v>
      </c>
      <c r="Q1475" s="8" t="n">
        <f aca="false">IF(L1475="",Assumptions!$B$9,L1475*10)</f>
        <v>90</v>
      </c>
      <c r="R1475" s="8" t="n">
        <f aca="false">IF(M1475&lt;=1,Assumptions!$B$12,IF(M1475&lt;=3,Assumptions!$B$13,IF(M1475&lt;=6,Assumptions!$B$14,Assumptions!$B$15)))</f>
        <v>75</v>
      </c>
      <c r="S1475" s="8" t="n">
        <f aca="false">IF(N1475="Completed On Time",Assumptions!$B$16,IF(N1475="Completed Late",Assumptions!$B$17,Assumptions!$B$18))</f>
        <v>100</v>
      </c>
      <c r="T1475" s="8" t="n">
        <f aca="false">IF(I1475=0,Assumptions!$B$20,IF(H1475&gt;I1475,Assumptions!$B$19,IF(H1475=I1475,Assumptions!$B$20,Assumptions!$B$21)))</f>
        <v>70</v>
      </c>
      <c r="U1475" s="8" t="n">
        <f aca="false">ROUND(P1475*Assumptions!$B$2+Q1475*Assumptions!$B$3+R1475*Assumptions!$B$4+S1475*Assumptions!$B$5+T1475*Assumptions!$B$6,0)</f>
        <v>85</v>
      </c>
      <c r="V1475" s="8" t="str">
        <f aca="false">IF(U1475&gt;=Assumptions!$B$10,"Healthy",IF(U1475&gt;=Assumptions!$B$11,"Needs Attention","High Risk"))</f>
        <v>Healthy</v>
      </c>
    </row>
    <row r="1476" customFormat="false" ht="15" hidden="false" customHeight="false" outlineLevel="0" collapsed="false">
      <c r="A1476" s="8" t="s">
        <v>3094</v>
      </c>
      <c r="B1476" s="8" t="s">
        <v>3095</v>
      </c>
      <c r="C1476" s="8" t="s">
        <v>51</v>
      </c>
      <c r="D1476" s="8" t="s">
        <v>2027</v>
      </c>
      <c r="E1476" s="8" t="s">
        <v>117</v>
      </c>
      <c r="F1476" s="8" t="s">
        <v>166</v>
      </c>
      <c r="G1476" s="8" t="s">
        <v>144</v>
      </c>
      <c r="H1476" s="15" t="n">
        <v>336</v>
      </c>
      <c r="I1476" s="15" t="n">
        <v>336</v>
      </c>
      <c r="J1476" s="16" t="n">
        <v>0.69</v>
      </c>
      <c r="K1476" s="8" t="n">
        <v>8</v>
      </c>
      <c r="L1476" s="8" t="n">
        <v>10</v>
      </c>
      <c r="M1476" s="8" t="n">
        <v>1</v>
      </c>
      <c r="N1476" s="8" t="s">
        <v>120</v>
      </c>
      <c r="O1476" s="15" t="n">
        <f aca="false">H1476*12</f>
        <v>4032</v>
      </c>
      <c r="P1476" s="8" t="n">
        <f aca="false">MIN(100,ROUND(100*J1476/Assumptions!$B$8,0))</f>
        <v>77</v>
      </c>
      <c r="Q1476" s="8" t="n">
        <f aca="false">IF(L1476="",Assumptions!$B$9,L1476*10)</f>
        <v>100</v>
      </c>
      <c r="R1476" s="8" t="n">
        <f aca="false">IF(M1476&lt;=1,Assumptions!$B$12,IF(M1476&lt;=3,Assumptions!$B$13,IF(M1476&lt;=6,Assumptions!$B$14,Assumptions!$B$15)))</f>
        <v>100</v>
      </c>
      <c r="S1476" s="8" t="n">
        <f aca="false">IF(N1476="Completed On Time",Assumptions!$B$16,IF(N1476="Completed Late",Assumptions!$B$17,Assumptions!$B$18))</f>
        <v>100</v>
      </c>
      <c r="T1476" s="8" t="n">
        <f aca="false">IF(I1476=0,Assumptions!$B$20,IF(H1476&gt;I1476,Assumptions!$B$19,IF(H1476=I1476,Assumptions!$B$20,Assumptions!$B$21)))</f>
        <v>70</v>
      </c>
      <c r="U1476" s="8" t="n">
        <f aca="false">ROUND(P1476*Assumptions!$B$2+Q1476*Assumptions!$B$3+R1476*Assumptions!$B$4+S1476*Assumptions!$B$5+T1476*Assumptions!$B$6,0)</f>
        <v>86</v>
      </c>
      <c r="V1476" s="8" t="str">
        <f aca="false">IF(U1476&gt;=Assumptions!$B$10,"Healthy",IF(U1476&gt;=Assumptions!$B$11,"Needs Attention","High Risk"))</f>
        <v>Healthy</v>
      </c>
    </row>
    <row r="1477" customFormat="false" ht="15" hidden="false" customHeight="false" outlineLevel="0" collapsed="false">
      <c r="A1477" s="8" t="s">
        <v>3096</v>
      </c>
      <c r="B1477" s="8" t="s">
        <v>3097</v>
      </c>
      <c r="C1477" s="8" t="s">
        <v>51</v>
      </c>
      <c r="D1477" s="8" t="s">
        <v>2027</v>
      </c>
      <c r="E1477" s="8" t="s">
        <v>123</v>
      </c>
      <c r="F1477" s="8" t="s">
        <v>154</v>
      </c>
      <c r="G1477" s="8" t="s">
        <v>125</v>
      </c>
      <c r="H1477" s="15" t="n">
        <v>336</v>
      </c>
      <c r="I1477" s="15" t="n">
        <v>336</v>
      </c>
      <c r="J1477" s="16" t="n">
        <v>0.619</v>
      </c>
      <c r="K1477" s="8" t="n">
        <v>8.3</v>
      </c>
      <c r="L1477" s="8" t="n">
        <v>8</v>
      </c>
      <c r="M1477" s="8" t="n">
        <v>4</v>
      </c>
      <c r="N1477" s="8" t="s">
        <v>120</v>
      </c>
      <c r="O1477" s="15" t="n">
        <f aca="false">H1477*12</f>
        <v>4032</v>
      </c>
      <c r="P1477" s="8" t="n">
        <f aca="false">MIN(100,ROUND(100*J1477/Assumptions!$B$8,0))</f>
        <v>69</v>
      </c>
      <c r="Q1477" s="8" t="n">
        <f aca="false">IF(L1477="",Assumptions!$B$9,L1477*10)</f>
        <v>80</v>
      </c>
      <c r="R1477" s="8" t="n">
        <f aca="false">IF(M1477&lt;=1,Assumptions!$B$12,IF(M1477&lt;=3,Assumptions!$B$13,IF(M1477&lt;=6,Assumptions!$B$14,Assumptions!$B$15)))</f>
        <v>50</v>
      </c>
      <c r="S1477" s="8" t="n">
        <f aca="false">IF(N1477="Completed On Time",Assumptions!$B$16,IF(N1477="Completed Late",Assumptions!$B$17,Assumptions!$B$18))</f>
        <v>100</v>
      </c>
      <c r="T1477" s="8" t="n">
        <f aca="false">IF(I1477=0,Assumptions!$B$20,IF(H1477&gt;I1477,Assumptions!$B$19,IF(H1477=I1477,Assumptions!$B$20,Assumptions!$B$21)))</f>
        <v>70</v>
      </c>
      <c r="U1477" s="8" t="n">
        <f aca="false">ROUND(P1477*Assumptions!$B$2+Q1477*Assumptions!$B$3+R1477*Assumptions!$B$4+S1477*Assumptions!$B$5+T1477*Assumptions!$B$6,0)</f>
        <v>72</v>
      </c>
      <c r="V1477" s="8" t="str">
        <f aca="false">IF(U1477&gt;=Assumptions!$B$10,"Healthy",IF(U1477&gt;=Assumptions!$B$11,"Needs Attention","High Risk"))</f>
        <v>Needs Attention</v>
      </c>
    </row>
    <row r="1478" customFormat="false" ht="15" hidden="false" customHeight="false" outlineLevel="0" collapsed="false">
      <c r="A1478" s="8" t="s">
        <v>3098</v>
      </c>
      <c r="B1478" s="8" t="s">
        <v>3099</v>
      </c>
      <c r="C1478" s="8" t="s">
        <v>51</v>
      </c>
      <c r="D1478" s="8" t="s">
        <v>2027</v>
      </c>
      <c r="E1478" s="8" t="s">
        <v>123</v>
      </c>
      <c r="F1478" s="8" t="s">
        <v>136</v>
      </c>
      <c r="G1478" s="8" t="s">
        <v>137</v>
      </c>
      <c r="H1478" s="15" t="n">
        <v>336</v>
      </c>
      <c r="I1478" s="15" t="n">
        <v>336</v>
      </c>
      <c r="J1478" s="16" t="n">
        <v>0.667</v>
      </c>
      <c r="K1478" s="8" t="n">
        <v>7.7</v>
      </c>
      <c r="L1478" s="8" t="n">
        <v>7</v>
      </c>
      <c r="M1478" s="8" t="n">
        <v>3</v>
      </c>
      <c r="N1478" s="8" t="s">
        <v>120</v>
      </c>
      <c r="O1478" s="15" t="n">
        <f aca="false">H1478*12</f>
        <v>4032</v>
      </c>
      <c r="P1478" s="8" t="n">
        <f aca="false">MIN(100,ROUND(100*J1478/Assumptions!$B$8,0))</f>
        <v>74</v>
      </c>
      <c r="Q1478" s="8" t="n">
        <f aca="false">IF(L1478="",Assumptions!$B$9,L1478*10)</f>
        <v>70</v>
      </c>
      <c r="R1478" s="8" t="n">
        <f aca="false">IF(M1478&lt;=1,Assumptions!$B$12,IF(M1478&lt;=3,Assumptions!$B$13,IF(M1478&lt;=6,Assumptions!$B$14,Assumptions!$B$15)))</f>
        <v>75</v>
      </c>
      <c r="S1478" s="8" t="n">
        <f aca="false">IF(N1478="Completed On Time",Assumptions!$B$16,IF(N1478="Completed Late",Assumptions!$B$17,Assumptions!$B$18))</f>
        <v>100</v>
      </c>
      <c r="T1478" s="8" t="n">
        <f aca="false">IF(I1478=0,Assumptions!$B$20,IF(H1478&gt;I1478,Assumptions!$B$19,IF(H1478=I1478,Assumptions!$B$20,Assumptions!$B$21)))</f>
        <v>70</v>
      </c>
      <c r="U1478" s="8" t="n">
        <f aca="false">ROUND(P1478*Assumptions!$B$2+Q1478*Assumptions!$B$3+R1478*Assumptions!$B$4+S1478*Assumptions!$B$5+T1478*Assumptions!$B$6,0)</f>
        <v>75</v>
      </c>
      <c r="V1478" s="8" t="str">
        <f aca="false">IF(U1478&gt;=Assumptions!$B$10,"Healthy",IF(U1478&gt;=Assumptions!$B$11,"Needs Attention","High Risk"))</f>
        <v>Needs Attention</v>
      </c>
    </row>
    <row r="1479" customFormat="false" ht="15" hidden="false" customHeight="false" outlineLevel="0" collapsed="false">
      <c r="A1479" s="8" t="s">
        <v>3100</v>
      </c>
      <c r="B1479" s="8" t="s">
        <v>3101</v>
      </c>
      <c r="C1479" s="8" t="s">
        <v>51</v>
      </c>
      <c r="D1479" s="8" t="s">
        <v>2027</v>
      </c>
      <c r="E1479" s="8" t="s">
        <v>123</v>
      </c>
      <c r="F1479" s="8" t="s">
        <v>166</v>
      </c>
      <c r="G1479" s="8" t="s">
        <v>140</v>
      </c>
      <c r="H1479" s="15" t="n">
        <v>336</v>
      </c>
      <c r="I1479" s="15" t="n">
        <v>336</v>
      </c>
      <c r="J1479" s="16" t="n">
        <v>0.714</v>
      </c>
      <c r="K1479" s="8" t="n">
        <v>7.3</v>
      </c>
      <c r="L1479" s="8" t="n">
        <v>8</v>
      </c>
      <c r="M1479" s="8" t="n">
        <v>3</v>
      </c>
      <c r="N1479" s="8" t="s">
        <v>120</v>
      </c>
      <c r="O1479" s="15" t="n">
        <f aca="false">H1479*12</f>
        <v>4032</v>
      </c>
      <c r="P1479" s="8" t="n">
        <f aca="false">MIN(100,ROUND(100*J1479/Assumptions!$B$8,0))</f>
        <v>79</v>
      </c>
      <c r="Q1479" s="8" t="n">
        <f aca="false">IF(L1479="",Assumptions!$B$9,L1479*10)</f>
        <v>80</v>
      </c>
      <c r="R1479" s="8" t="n">
        <f aca="false">IF(M1479&lt;=1,Assumptions!$B$12,IF(M1479&lt;=3,Assumptions!$B$13,IF(M1479&lt;=6,Assumptions!$B$14,Assumptions!$B$15)))</f>
        <v>75</v>
      </c>
      <c r="S1479" s="8" t="n">
        <f aca="false">IF(N1479="Completed On Time",Assumptions!$B$16,IF(N1479="Completed Late",Assumptions!$B$17,Assumptions!$B$18))</f>
        <v>100</v>
      </c>
      <c r="T1479" s="8" t="n">
        <f aca="false">IF(I1479=0,Assumptions!$B$20,IF(H1479&gt;I1479,Assumptions!$B$19,IF(H1479=I1479,Assumptions!$B$20,Assumptions!$B$21)))</f>
        <v>70</v>
      </c>
      <c r="U1479" s="8" t="n">
        <f aca="false">ROUND(P1479*Assumptions!$B$2+Q1479*Assumptions!$B$3+R1479*Assumptions!$B$4+S1479*Assumptions!$B$5+T1479*Assumptions!$B$6,0)</f>
        <v>79</v>
      </c>
      <c r="V1479" s="8" t="str">
        <f aca="false">IF(U1479&gt;=Assumptions!$B$10,"Healthy",IF(U1479&gt;=Assumptions!$B$11,"Needs Attention","High Risk"))</f>
        <v>Needs Attention</v>
      </c>
    </row>
    <row r="1480" customFormat="false" ht="15" hidden="false" customHeight="false" outlineLevel="0" collapsed="false">
      <c r="A1480" s="8" t="s">
        <v>3102</v>
      </c>
      <c r="B1480" s="8" t="s">
        <v>3103</v>
      </c>
      <c r="C1480" s="8" t="s">
        <v>51</v>
      </c>
      <c r="D1480" s="8" t="s">
        <v>2027</v>
      </c>
      <c r="E1480" s="8" t="s">
        <v>128</v>
      </c>
      <c r="F1480" s="8" t="s">
        <v>223</v>
      </c>
      <c r="G1480" s="8" t="s">
        <v>204</v>
      </c>
      <c r="H1480" s="15" t="n">
        <v>336</v>
      </c>
      <c r="I1480" s="15" t="n">
        <v>336</v>
      </c>
      <c r="J1480" s="16" t="n">
        <v>0.869</v>
      </c>
      <c r="K1480" s="8" t="n">
        <v>11</v>
      </c>
      <c r="L1480" s="8" t="n">
        <v>10</v>
      </c>
      <c r="M1480" s="8" t="n">
        <v>1</v>
      </c>
      <c r="N1480" s="8" t="s">
        <v>120</v>
      </c>
      <c r="O1480" s="15" t="n">
        <f aca="false">H1480*12</f>
        <v>4032</v>
      </c>
      <c r="P1480" s="8" t="n">
        <f aca="false">MIN(100,ROUND(100*J1480/Assumptions!$B$8,0))</f>
        <v>97</v>
      </c>
      <c r="Q1480" s="8" t="n">
        <f aca="false">IF(L1480="",Assumptions!$B$9,L1480*10)</f>
        <v>100</v>
      </c>
      <c r="R1480" s="8" t="n">
        <f aca="false">IF(M1480&lt;=1,Assumptions!$B$12,IF(M1480&lt;=3,Assumptions!$B$13,IF(M1480&lt;=6,Assumptions!$B$14,Assumptions!$B$15)))</f>
        <v>100</v>
      </c>
      <c r="S1480" s="8" t="n">
        <f aca="false">IF(N1480="Completed On Time",Assumptions!$B$16,IF(N1480="Completed Late",Assumptions!$B$17,Assumptions!$B$18))</f>
        <v>100</v>
      </c>
      <c r="T1480" s="8" t="n">
        <f aca="false">IF(I1480=0,Assumptions!$B$20,IF(H1480&gt;I1480,Assumptions!$B$19,IF(H1480=I1480,Assumptions!$B$20,Assumptions!$B$21)))</f>
        <v>70</v>
      </c>
      <c r="U1480" s="8" t="n">
        <f aca="false">ROUND(P1480*Assumptions!$B$2+Q1480*Assumptions!$B$3+R1480*Assumptions!$B$4+S1480*Assumptions!$B$5+T1480*Assumptions!$B$6,0)</f>
        <v>93</v>
      </c>
      <c r="V1480" s="8" t="str">
        <f aca="false">IF(U1480&gt;=Assumptions!$B$10,"Healthy",IF(U1480&gt;=Assumptions!$B$11,"Needs Attention","High Risk"))</f>
        <v>Healthy</v>
      </c>
    </row>
    <row r="1481" customFormat="false" ht="15" hidden="false" customHeight="false" outlineLevel="0" collapsed="false">
      <c r="A1481" s="8" t="s">
        <v>3104</v>
      </c>
      <c r="B1481" s="8" t="s">
        <v>3105</v>
      </c>
      <c r="C1481" s="8" t="s">
        <v>51</v>
      </c>
      <c r="D1481" s="8" t="s">
        <v>2027</v>
      </c>
      <c r="E1481" s="8" t="s">
        <v>132</v>
      </c>
      <c r="F1481" s="8" t="s">
        <v>190</v>
      </c>
      <c r="G1481" s="8" t="s">
        <v>204</v>
      </c>
      <c r="H1481" s="15" t="n">
        <v>336</v>
      </c>
      <c r="I1481" s="15" t="n">
        <v>336</v>
      </c>
      <c r="J1481" s="16" t="n">
        <v>0.869</v>
      </c>
      <c r="K1481" s="8" t="n">
        <v>12</v>
      </c>
      <c r="L1481" s="8" t="n">
        <v>8</v>
      </c>
      <c r="M1481" s="8" t="n">
        <v>1</v>
      </c>
      <c r="N1481" s="8" t="s">
        <v>120</v>
      </c>
      <c r="O1481" s="15" t="n">
        <f aca="false">H1481*12</f>
        <v>4032</v>
      </c>
      <c r="P1481" s="8" t="n">
        <f aca="false">MIN(100,ROUND(100*J1481/Assumptions!$B$8,0))</f>
        <v>97</v>
      </c>
      <c r="Q1481" s="8" t="n">
        <f aca="false">IF(L1481="",Assumptions!$B$9,L1481*10)</f>
        <v>80</v>
      </c>
      <c r="R1481" s="8" t="n">
        <f aca="false">IF(M1481&lt;=1,Assumptions!$B$12,IF(M1481&lt;=3,Assumptions!$B$13,IF(M1481&lt;=6,Assumptions!$B$14,Assumptions!$B$15)))</f>
        <v>100</v>
      </c>
      <c r="S1481" s="8" t="n">
        <f aca="false">IF(N1481="Completed On Time",Assumptions!$B$16,IF(N1481="Completed Late",Assumptions!$B$17,Assumptions!$B$18))</f>
        <v>100</v>
      </c>
      <c r="T1481" s="8" t="n">
        <f aca="false">IF(I1481=0,Assumptions!$B$20,IF(H1481&gt;I1481,Assumptions!$B$19,IF(H1481=I1481,Assumptions!$B$20,Assumptions!$B$21)))</f>
        <v>70</v>
      </c>
      <c r="U1481" s="8" t="n">
        <f aca="false">ROUND(P1481*Assumptions!$B$2+Q1481*Assumptions!$B$3+R1481*Assumptions!$B$4+S1481*Assumptions!$B$5+T1481*Assumptions!$B$6,0)</f>
        <v>89</v>
      </c>
      <c r="V1481" s="8" t="str">
        <f aca="false">IF(U1481&gt;=Assumptions!$B$10,"Healthy",IF(U1481&gt;=Assumptions!$B$11,"Needs Attention","High Risk"))</f>
        <v>Healthy</v>
      </c>
    </row>
    <row r="1482" customFormat="false" ht="15" hidden="false" customHeight="false" outlineLevel="0" collapsed="false">
      <c r="A1482" s="8" t="s">
        <v>3106</v>
      </c>
      <c r="B1482" s="8" t="s">
        <v>3107</v>
      </c>
      <c r="C1482" s="8" t="s">
        <v>51</v>
      </c>
      <c r="D1482" s="8" t="s">
        <v>2027</v>
      </c>
      <c r="E1482" s="8" t="s">
        <v>132</v>
      </c>
      <c r="F1482" s="8" t="s">
        <v>118</v>
      </c>
      <c r="G1482" s="8" t="s">
        <v>137</v>
      </c>
      <c r="H1482" s="15" t="n">
        <v>336</v>
      </c>
      <c r="I1482" s="15" t="n">
        <v>336</v>
      </c>
      <c r="J1482" s="16" t="n">
        <v>0.69</v>
      </c>
      <c r="K1482" s="8" t="n">
        <v>9.3</v>
      </c>
      <c r="L1482" s="8" t="n">
        <v>6</v>
      </c>
      <c r="M1482" s="8" t="n">
        <v>7</v>
      </c>
      <c r="N1482" s="8" t="s">
        <v>120</v>
      </c>
      <c r="O1482" s="15" t="n">
        <f aca="false">H1482*12</f>
        <v>4032</v>
      </c>
      <c r="P1482" s="8" t="n">
        <f aca="false">MIN(100,ROUND(100*J1482/Assumptions!$B$8,0))</f>
        <v>77</v>
      </c>
      <c r="Q1482" s="8" t="n">
        <f aca="false">IF(L1482="",Assumptions!$B$9,L1482*10)</f>
        <v>60</v>
      </c>
      <c r="R1482" s="8" t="n">
        <f aca="false">IF(M1482&lt;=1,Assumptions!$B$12,IF(M1482&lt;=3,Assumptions!$B$13,IF(M1482&lt;=6,Assumptions!$B$14,Assumptions!$B$15)))</f>
        <v>20</v>
      </c>
      <c r="S1482" s="8" t="n">
        <f aca="false">IF(N1482="Completed On Time",Assumptions!$B$16,IF(N1482="Completed Late",Assumptions!$B$17,Assumptions!$B$18))</f>
        <v>100</v>
      </c>
      <c r="T1482" s="8" t="n">
        <f aca="false">IF(I1482=0,Assumptions!$B$20,IF(H1482&gt;I1482,Assumptions!$B$19,IF(H1482=I1482,Assumptions!$B$20,Assumptions!$B$21)))</f>
        <v>70</v>
      </c>
      <c r="U1482" s="8" t="n">
        <f aca="false">ROUND(P1482*Assumptions!$B$2+Q1482*Assumptions!$B$3+R1482*Assumptions!$B$4+S1482*Assumptions!$B$5+T1482*Assumptions!$B$6,0)</f>
        <v>66</v>
      </c>
      <c r="V1482" s="8" t="str">
        <f aca="false">IF(U1482&gt;=Assumptions!$B$10,"Healthy",IF(U1482&gt;=Assumptions!$B$11,"Needs Attention","High Risk"))</f>
        <v>Needs Attention</v>
      </c>
    </row>
    <row r="1483" customFormat="false" ht="15" hidden="false" customHeight="false" outlineLevel="0" collapsed="false">
      <c r="A1483" s="8" t="s">
        <v>3108</v>
      </c>
      <c r="B1483" s="8" t="s">
        <v>3109</v>
      </c>
      <c r="C1483" s="8" t="s">
        <v>51</v>
      </c>
      <c r="D1483" s="8" t="s">
        <v>2027</v>
      </c>
      <c r="E1483" s="8" t="s">
        <v>123</v>
      </c>
      <c r="F1483" s="8" t="s">
        <v>143</v>
      </c>
      <c r="G1483" s="8" t="s">
        <v>129</v>
      </c>
      <c r="H1483" s="15" t="n">
        <v>336</v>
      </c>
      <c r="I1483" s="15" t="n">
        <v>336</v>
      </c>
      <c r="J1483" s="16" t="n">
        <v>0.548</v>
      </c>
      <c r="K1483" s="8" t="n">
        <v>6.3</v>
      </c>
      <c r="L1483" s="8" t="n">
        <v>9</v>
      </c>
      <c r="M1483" s="8" t="n">
        <v>4</v>
      </c>
      <c r="N1483" s="8" t="s">
        <v>120</v>
      </c>
      <c r="O1483" s="15" t="n">
        <f aca="false">H1483*12</f>
        <v>4032</v>
      </c>
      <c r="P1483" s="8" t="n">
        <f aca="false">MIN(100,ROUND(100*J1483/Assumptions!$B$8,0))</f>
        <v>61</v>
      </c>
      <c r="Q1483" s="8" t="n">
        <f aca="false">IF(L1483="",Assumptions!$B$9,L1483*10)</f>
        <v>90</v>
      </c>
      <c r="R1483" s="8" t="n">
        <f aca="false">IF(M1483&lt;=1,Assumptions!$B$12,IF(M1483&lt;=3,Assumptions!$B$13,IF(M1483&lt;=6,Assumptions!$B$14,Assumptions!$B$15)))</f>
        <v>50</v>
      </c>
      <c r="S1483" s="8" t="n">
        <f aca="false">IF(N1483="Completed On Time",Assumptions!$B$16,IF(N1483="Completed Late",Assumptions!$B$17,Assumptions!$B$18))</f>
        <v>100</v>
      </c>
      <c r="T1483" s="8" t="n">
        <f aca="false">IF(I1483=0,Assumptions!$B$20,IF(H1483&gt;I1483,Assumptions!$B$19,IF(H1483=I1483,Assumptions!$B$20,Assumptions!$B$21)))</f>
        <v>70</v>
      </c>
      <c r="U1483" s="8" t="n">
        <f aca="false">ROUND(P1483*Assumptions!$B$2+Q1483*Assumptions!$B$3+R1483*Assumptions!$B$4+S1483*Assumptions!$B$5+T1483*Assumptions!$B$6,0)</f>
        <v>71</v>
      </c>
      <c r="V1483" s="8" t="str">
        <f aca="false">IF(U1483&gt;=Assumptions!$B$10,"Healthy",IF(U1483&gt;=Assumptions!$B$11,"Needs Attention","High Risk"))</f>
        <v>Needs Attention</v>
      </c>
    </row>
    <row r="1484" customFormat="false" ht="15" hidden="false" customHeight="false" outlineLevel="0" collapsed="false">
      <c r="A1484" s="8" t="s">
        <v>3110</v>
      </c>
      <c r="B1484" s="8" t="s">
        <v>3111</v>
      </c>
      <c r="C1484" s="8" t="s">
        <v>51</v>
      </c>
      <c r="D1484" s="8" t="s">
        <v>2027</v>
      </c>
      <c r="E1484" s="8" t="s">
        <v>123</v>
      </c>
      <c r="F1484" s="8" t="s">
        <v>118</v>
      </c>
      <c r="G1484" s="8" t="s">
        <v>147</v>
      </c>
      <c r="H1484" s="15" t="n">
        <v>336</v>
      </c>
      <c r="I1484" s="15" t="n">
        <v>336</v>
      </c>
      <c r="J1484" s="16" t="n">
        <v>0.56</v>
      </c>
      <c r="K1484" s="8" t="n">
        <v>8</v>
      </c>
      <c r="L1484" s="8" t="n">
        <v>9</v>
      </c>
      <c r="M1484" s="8" t="n">
        <v>2</v>
      </c>
      <c r="N1484" s="8" t="s">
        <v>120</v>
      </c>
      <c r="O1484" s="15" t="n">
        <f aca="false">H1484*12</f>
        <v>4032</v>
      </c>
      <c r="P1484" s="8" t="n">
        <f aca="false">MIN(100,ROUND(100*J1484/Assumptions!$B$8,0))</f>
        <v>62</v>
      </c>
      <c r="Q1484" s="8" t="n">
        <f aca="false">IF(L1484="",Assumptions!$B$9,L1484*10)</f>
        <v>90</v>
      </c>
      <c r="R1484" s="8" t="n">
        <f aca="false">IF(M1484&lt;=1,Assumptions!$B$12,IF(M1484&lt;=3,Assumptions!$B$13,IF(M1484&lt;=6,Assumptions!$B$14,Assumptions!$B$15)))</f>
        <v>75</v>
      </c>
      <c r="S1484" s="8" t="n">
        <f aca="false">IF(N1484="Completed On Time",Assumptions!$B$16,IF(N1484="Completed Late",Assumptions!$B$17,Assumptions!$B$18))</f>
        <v>100</v>
      </c>
      <c r="T1484" s="8" t="n">
        <f aca="false">IF(I1484=0,Assumptions!$B$20,IF(H1484&gt;I1484,Assumptions!$B$19,IF(H1484=I1484,Assumptions!$B$20,Assumptions!$B$21)))</f>
        <v>70</v>
      </c>
      <c r="U1484" s="8" t="n">
        <f aca="false">ROUND(P1484*Assumptions!$B$2+Q1484*Assumptions!$B$3+R1484*Assumptions!$B$4+S1484*Assumptions!$B$5+T1484*Assumptions!$B$6,0)</f>
        <v>75</v>
      </c>
      <c r="V1484" s="8" t="str">
        <f aca="false">IF(U1484&gt;=Assumptions!$B$10,"Healthy",IF(U1484&gt;=Assumptions!$B$11,"Needs Attention","High Risk"))</f>
        <v>Needs Attention</v>
      </c>
    </row>
    <row r="1485" customFormat="false" ht="15" hidden="false" customHeight="false" outlineLevel="0" collapsed="false">
      <c r="A1485" s="8" t="s">
        <v>3112</v>
      </c>
      <c r="B1485" s="8" t="s">
        <v>3113</v>
      </c>
      <c r="C1485" s="8" t="s">
        <v>51</v>
      </c>
      <c r="D1485" s="8" t="s">
        <v>2027</v>
      </c>
      <c r="E1485" s="8" t="s">
        <v>117</v>
      </c>
      <c r="F1485" s="8" t="s">
        <v>136</v>
      </c>
      <c r="G1485" s="8" t="s">
        <v>177</v>
      </c>
      <c r="H1485" s="15" t="n">
        <v>336</v>
      </c>
      <c r="I1485" s="15" t="n">
        <v>0</v>
      </c>
      <c r="J1485" s="16" t="n">
        <v>0.488</v>
      </c>
      <c r="K1485" s="8" t="n">
        <v>6.3</v>
      </c>
      <c r="L1485" s="8"/>
      <c r="M1485" s="8" t="n">
        <v>5</v>
      </c>
      <c r="N1485" s="8" t="s">
        <v>148</v>
      </c>
      <c r="O1485" s="15" t="n">
        <f aca="false">H1485*12</f>
        <v>4032</v>
      </c>
      <c r="P1485" s="8" t="n">
        <f aca="false">MIN(100,ROUND(100*J1485/Assumptions!$B$8,0))</f>
        <v>54</v>
      </c>
      <c r="Q1485" s="8" t="n">
        <f aca="false">IF(L1485="",Assumptions!$B$9,L1485*10)</f>
        <v>50</v>
      </c>
      <c r="R1485" s="8" t="n">
        <f aca="false">IF(M1485&lt;=1,Assumptions!$B$12,IF(M1485&lt;=3,Assumptions!$B$13,IF(M1485&lt;=6,Assumptions!$B$14,Assumptions!$B$15)))</f>
        <v>50</v>
      </c>
      <c r="S1485" s="8" t="n">
        <f aca="false">IF(N1485="Completed On Time",Assumptions!$B$16,IF(N1485="Completed Late",Assumptions!$B$17,Assumptions!$B$18))</f>
        <v>60</v>
      </c>
      <c r="T1485" s="8" t="n">
        <f aca="false">IF(I1485=0,Assumptions!$B$20,IF(H1485&gt;I1485,Assumptions!$B$19,IF(H1485=I1485,Assumptions!$B$20,Assumptions!$B$21)))</f>
        <v>70</v>
      </c>
      <c r="U1485" s="8" t="n">
        <f aca="false">ROUND(P1485*Assumptions!$B$2+Q1485*Assumptions!$B$3+R1485*Assumptions!$B$4+S1485*Assumptions!$B$5+T1485*Assumptions!$B$6,0)</f>
        <v>56</v>
      </c>
      <c r="V1485" s="8" t="str">
        <f aca="false">IF(U1485&gt;=Assumptions!$B$10,"Healthy",IF(U1485&gt;=Assumptions!$B$11,"Needs Attention","High Risk"))</f>
        <v>High Risk</v>
      </c>
    </row>
    <row r="1486" customFormat="false" ht="15" hidden="false" customHeight="false" outlineLevel="0" collapsed="false">
      <c r="A1486" s="8" t="s">
        <v>3114</v>
      </c>
      <c r="B1486" s="8" t="s">
        <v>3115</v>
      </c>
      <c r="C1486" s="8" t="s">
        <v>51</v>
      </c>
      <c r="D1486" s="8" t="s">
        <v>2027</v>
      </c>
      <c r="E1486" s="8" t="s">
        <v>117</v>
      </c>
      <c r="F1486" s="8" t="s">
        <v>223</v>
      </c>
      <c r="G1486" s="8" t="s">
        <v>204</v>
      </c>
      <c r="H1486" s="15" t="n">
        <v>336</v>
      </c>
      <c r="I1486" s="15" t="n">
        <v>336</v>
      </c>
      <c r="J1486" s="16" t="n">
        <v>0.679</v>
      </c>
      <c r="K1486" s="8" t="n">
        <v>7.3</v>
      </c>
      <c r="L1486" s="8" t="n">
        <v>7</v>
      </c>
      <c r="M1486" s="8" t="n">
        <v>2</v>
      </c>
      <c r="N1486" s="8" t="s">
        <v>120</v>
      </c>
      <c r="O1486" s="15" t="n">
        <f aca="false">H1486*12</f>
        <v>4032</v>
      </c>
      <c r="P1486" s="8" t="n">
        <f aca="false">MIN(100,ROUND(100*J1486/Assumptions!$B$8,0))</f>
        <v>75</v>
      </c>
      <c r="Q1486" s="8" t="n">
        <f aca="false">IF(L1486="",Assumptions!$B$9,L1486*10)</f>
        <v>70</v>
      </c>
      <c r="R1486" s="8" t="n">
        <f aca="false">IF(M1486&lt;=1,Assumptions!$B$12,IF(M1486&lt;=3,Assumptions!$B$13,IF(M1486&lt;=6,Assumptions!$B$14,Assumptions!$B$15)))</f>
        <v>75</v>
      </c>
      <c r="S1486" s="8" t="n">
        <f aca="false">IF(N1486="Completed On Time",Assumptions!$B$16,IF(N1486="Completed Late",Assumptions!$B$17,Assumptions!$B$18))</f>
        <v>100</v>
      </c>
      <c r="T1486" s="8" t="n">
        <f aca="false">IF(I1486=0,Assumptions!$B$20,IF(H1486&gt;I1486,Assumptions!$B$19,IF(H1486=I1486,Assumptions!$B$20,Assumptions!$B$21)))</f>
        <v>70</v>
      </c>
      <c r="U1486" s="8" t="n">
        <f aca="false">ROUND(P1486*Assumptions!$B$2+Q1486*Assumptions!$B$3+R1486*Assumptions!$B$4+S1486*Assumptions!$B$5+T1486*Assumptions!$B$6,0)</f>
        <v>76</v>
      </c>
      <c r="V1486" s="8" t="str">
        <f aca="false">IF(U1486&gt;=Assumptions!$B$10,"Healthy",IF(U1486&gt;=Assumptions!$B$11,"Needs Attention","High Risk"))</f>
        <v>Needs Attention</v>
      </c>
    </row>
    <row r="1487" customFormat="false" ht="15" hidden="false" customHeight="false" outlineLevel="0" collapsed="false">
      <c r="A1487" s="8" t="s">
        <v>3116</v>
      </c>
      <c r="B1487" s="8" t="s">
        <v>3117</v>
      </c>
      <c r="C1487" s="8" t="s">
        <v>51</v>
      </c>
      <c r="D1487" s="8" t="s">
        <v>2027</v>
      </c>
      <c r="E1487" s="8" t="s">
        <v>123</v>
      </c>
      <c r="F1487" s="8" t="s">
        <v>166</v>
      </c>
      <c r="G1487" s="8" t="s">
        <v>147</v>
      </c>
      <c r="H1487" s="15" t="n">
        <v>336</v>
      </c>
      <c r="I1487" s="15" t="n">
        <v>336</v>
      </c>
      <c r="J1487" s="16" t="n">
        <v>0.905</v>
      </c>
      <c r="K1487" s="8" t="n">
        <v>10</v>
      </c>
      <c r="L1487" s="8" t="n">
        <v>9</v>
      </c>
      <c r="M1487" s="8" t="n">
        <v>2</v>
      </c>
      <c r="N1487" s="8" t="s">
        <v>120</v>
      </c>
      <c r="O1487" s="15" t="n">
        <f aca="false">H1487*12</f>
        <v>4032</v>
      </c>
      <c r="P1487" s="8" t="n">
        <f aca="false">MIN(100,ROUND(100*J1487/Assumptions!$B$8,0))</f>
        <v>100</v>
      </c>
      <c r="Q1487" s="8" t="n">
        <f aca="false">IF(L1487="",Assumptions!$B$9,L1487*10)</f>
        <v>90</v>
      </c>
      <c r="R1487" s="8" t="n">
        <f aca="false">IF(M1487&lt;=1,Assumptions!$B$12,IF(M1487&lt;=3,Assumptions!$B$13,IF(M1487&lt;=6,Assumptions!$B$14,Assumptions!$B$15)))</f>
        <v>75</v>
      </c>
      <c r="S1487" s="8" t="n">
        <f aca="false">IF(N1487="Completed On Time",Assumptions!$B$16,IF(N1487="Completed Late",Assumptions!$B$17,Assumptions!$B$18))</f>
        <v>100</v>
      </c>
      <c r="T1487" s="8" t="n">
        <f aca="false">IF(I1487=0,Assumptions!$B$20,IF(H1487&gt;I1487,Assumptions!$B$19,IF(H1487=I1487,Assumptions!$B$20,Assumptions!$B$21)))</f>
        <v>70</v>
      </c>
      <c r="U1487" s="8" t="n">
        <f aca="false">ROUND(P1487*Assumptions!$B$2+Q1487*Assumptions!$B$3+R1487*Assumptions!$B$4+S1487*Assumptions!$B$5+T1487*Assumptions!$B$6,0)</f>
        <v>88</v>
      </c>
      <c r="V1487" s="8" t="str">
        <f aca="false">IF(U1487&gt;=Assumptions!$B$10,"Healthy",IF(U1487&gt;=Assumptions!$B$11,"Needs Attention","High Risk"))</f>
        <v>Healthy</v>
      </c>
    </row>
    <row r="1488" customFormat="false" ht="15" hidden="false" customHeight="false" outlineLevel="0" collapsed="false">
      <c r="A1488" s="8" t="s">
        <v>3118</v>
      </c>
      <c r="B1488" s="8" t="s">
        <v>3119</v>
      </c>
      <c r="C1488" s="8" t="s">
        <v>51</v>
      </c>
      <c r="D1488" s="8" t="s">
        <v>2027</v>
      </c>
      <c r="E1488" s="8" t="s">
        <v>123</v>
      </c>
      <c r="F1488" s="8" t="s">
        <v>166</v>
      </c>
      <c r="G1488" s="8" t="s">
        <v>204</v>
      </c>
      <c r="H1488" s="15" t="n">
        <v>336</v>
      </c>
      <c r="I1488" s="15" t="n">
        <v>276</v>
      </c>
      <c r="J1488" s="16" t="n">
        <v>0.709</v>
      </c>
      <c r="K1488" s="8" t="n">
        <v>10</v>
      </c>
      <c r="L1488" s="8" t="n">
        <v>9</v>
      </c>
      <c r="M1488" s="8" t="n">
        <v>0</v>
      </c>
      <c r="N1488" s="8" t="s">
        <v>120</v>
      </c>
      <c r="O1488" s="15" t="n">
        <f aca="false">H1488*12</f>
        <v>4032</v>
      </c>
      <c r="P1488" s="8" t="n">
        <f aca="false">MIN(100,ROUND(100*J1488/Assumptions!$B$8,0))</f>
        <v>79</v>
      </c>
      <c r="Q1488" s="8" t="n">
        <f aca="false">IF(L1488="",Assumptions!$B$9,L1488*10)</f>
        <v>90</v>
      </c>
      <c r="R1488" s="8" t="n">
        <f aca="false">IF(M1488&lt;=1,Assumptions!$B$12,IF(M1488&lt;=3,Assumptions!$B$13,IF(M1488&lt;=6,Assumptions!$B$14,Assumptions!$B$15)))</f>
        <v>100</v>
      </c>
      <c r="S1488" s="8" t="n">
        <f aca="false">IF(N1488="Completed On Time",Assumptions!$B$16,IF(N1488="Completed Late",Assumptions!$B$17,Assumptions!$B$18))</f>
        <v>100</v>
      </c>
      <c r="T1488" s="8" t="n">
        <f aca="false">IF(I1488=0,Assumptions!$B$20,IF(H1488&gt;I1488,Assumptions!$B$19,IF(H1488=I1488,Assumptions!$B$20,Assumptions!$B$21)))</f>
        <v>100</v>
      </c>
      <c r="U1488" s="8" t="n">
        <f aca="false">ROUND(P1488*Assumptions!$B$2+Q1488*Assumptions!$B$3+R1488*Assumptions!$B$4+S1488*Assumptions!$B$5+T1488*Assumptions!$B$6,0)</f>
        <v>91</v>
      </c>
      <c r="V1488" s="8" t="str">
        <f aca="false">IF(U1488&gt;=Assumptions!$B$10,"Healthy",IF(U1488&gt;=Assumptions!$B$11,"Needs Attention","High Risk"))</f>
        <v>Healthy</v>
      </c>
    </row>
    <row r="1489" customFormat="false" ht="15" hidden="false" customHeight="false" outlineLevel="0" collapsed="false">
      <c r="A1489" s="8" t="s">
        <v>3120</v>
      </c>
      <c r="B1489" s="8" t="s">
        <v>3121</v>
      </c>
      <c r="C1489" s="8" t="s">
        <v>51</v>
      </c>
      <c r="D1489" s="8" t="s">
        <v>2027</v>
      </c>
      <c r="E1489" s="8" t="s">
        <v>128</v>
      </c>
      <c r="F1489" s="8" t="s">
        <v>143</v>
      </c>
      <c r="G1489" s="8" t="s">
        <v>147</v>
      </c>
      <c r="H1489" s="15" t="n">
        <v>336</v>
      </c>
      <c r="I1489" s="15" t="n">
        <v>336</v>
      </c>
      <c r="J1489" s="16" t="n">
        <v>0.679</v>
      </c>
      <c r="K1489" s="8" t="n">
        <v>9.3</v>
      </c>
      <c r="L1489" s="8" t="n">
        <v>9</v>
      </c>
      <c r="M1489" s="8" t="n">
        <v>3</v>
      </c>
      <c r="N1489" s="8" t="s">
        <v>120</v>
      </c>
      <c r="O1489" s="15" t="n">
        <f aca="false">H1489*12</f>
        <v>4032</v>
      </c>
      <c r="P1489" s="8" t="n">
        <f aca="false">MIN(100,ROUND(100*J1489/Assumptions!$B$8,0))</f>
        <v>75</v>
      </c>
      <c r="Q1489" s="8" t="n">
        <f aca="false">IF(L1489="",Assumptions!$B$9,L1489*10)</f>
        <v>90</v>
      </c>
      <c r="R1489" s="8" t="n">
        <f aca="false">IF(M1489&lt;=1,Assumptions!$B$12,IF(M1489&lt;=3,Assumptions!$B$13,IF(M1489&lt;=6,Assumptions!$B$14,Assumptions!$B$15)))</f>
        <v>75</v>
      </c>
      <c r="S1489" s="8" t="n">
        <f aca="false">IF(N1489="Completed On Time",Assumptions!$B$16,IF(N1489="Completed Late",Assumptions!$B$17,Assumptions!$B$18))</f>
        <v>100</v>
      </c>
      <c r="T1489" s="8" t="n">
        <f aca="false">IF(I1489=0,Assumptions!$B$20,IF(H1489&gt;I1489,Assumptions!$B$19,IF(H1489=I1489,Assumptions!$B$20,Assumptions!$B$21)))</f>
        <v>70</v>
      </c>
      <c r="U1489" s="8" t="n">
        <f aca="false">ROUND(P1489*Assumptions!$B$2+Q1489*Assumptions!$B$3+R1489*Assumptions!$B$4+S1489*Assumptions!$B$5+T1489*Assumptions!$B$6,0)</f>
        <v>80</v>
      </c>
      <c r="V1489" s="8" t="str">
        <f aca="false">IF(U1489&gt;=Assumptions!$B$10,"Healthy",IF(U1489&gt;=Assumptions!$B$11,"Needs Attention","High Risk"))</f>
        <v>Healthy</v>
      </c>
    </row>
    <row r="1490" customFormat="false" ht="15" hidden="false" customHeight="false" outlineLevel="0" collapsed="false">
      <c r="A1490" s="8" t="s">
        <v>3122</v>
      </c>
      <c r="B1490" s="8" t="s">
        <v>3123</v>
      </c>
      <c r="C1490" s="8" t="s">
        <v>51</v>
      </c>
      <c r="D1490" s="8" t="s">
        <v>2027</v>
      </c>
      <c r="E1490" s="8" t="s">
        <v>123</v>
      </c>
      <c r="F1490" s="8" t="s">
        <v>154</v>
      </c>
      <c r="G1490" s="8" t="s">
        <v>180</v>
      </c>
      <c r="H1490" s="15" t="n">
        <v>336</v>
      </c>
      <c r="I1490" s="15" t="n">
        <v>336</v>
      </c>
      <c r="J1490" s="16" t="n">
        <v>0.512</v>
      </c>
      <c r="K1490" s="8" t="n">
        <v>6</v>
      </c>
      <c r="L1490" s="8" t="n">
        <v>4</v>
      </c>
      <c r="M1490" s="8" t="n">
        <v>6</v>
      </c>
      <c r="N1490" s="8" t="s">
        <v>148</v>
      </c>
      <c r="O1490" s="15" t="n">
        <f aca="false">H1490*12</f>
        <v>4032</v>
      </c>
      <c r="P1490" s="8" t="n">
        <f aca="false">MIN(100,ROUND(100*J1490/Assumptions!$B$8,0))</f>
        <v>57</v>
      </c>
      <c r="Q1490" s="8" t="n">
        <f aca="false">IF(L1490="",Assumptions!$B$9,L1490*10)</f>
        <v>40</v>
      </c>
      <c r="R1490" s="8" t="n">
        <f aca="false">IF(M1490&lt;=1,Assumptions!$B$12,IF(M1490&lt;=3,Assumptions!$B$13,IF(M1490&lt;=6,Assumptions!$B$14,Assumptions!$B$15)))</f>
        <v>50</v>
      </c>
      <c r="S1490" s="8" t="n">
        <f aca="false">IF(N1490="Completed On Time",Assumptions!$B$16,IF(N1490="Completed Late",Assumptions!$B$17,Assumptions!$B$18))</f>
        <v>60</v>
      </c>
      <c r="T1490" s="8" t="n">
        <f aca="false">IF(I1490=0,Assumptions!$B$20,IF(H1490&gt;I1490,Assumptions!$B$19,IF(H1490=I1490,Assumptions!$B$20,Assumptions!$B$21)))</f>
        <v>70</v>
      </c>
      <c r="U1490" s="8" t="n">
        <f aca="false">ROUND(P1490*Assumptions!$B$2+Q1490*Assumptions!$B$3+R1490*Assumptions!$B$4+S1490*Assumptions!$B$5+T1490*Assumptions!$B$6,0)</f>
        <v>55</v>
      </c>
      <c r="V1490" s="8" t="str">
        <f aca="false">IF(U1490&gt;=Assumptions!$B$10,"Healthy",IF(U1490&gt;=Assumptions!$B$11,"Needs Attention","High Risk"))</f>
        <v>High Risk</v>
      </c>
    </row>
    <row r="1491" customFormat="false" ht="15" hidden="false" customHeight="false" outlineLevel="0" collapsed="false">
      <c r="A1491" s="8" t="s">
        <v>3124</v>
      </c>
      <c r="B1491" s="8" t="s">
        <v>3125</v>
      </c>
      <c r="C1491" s="8" t="s">
        <v>51</v>
      </c>
      <c r="D1491" s="8" t="s">
        <v>326</v>
      </c>
      <c r="E1491" s="8" t="s">
        <v>123</v>
      </c>
      <c r="F1491" s="8" t="s">
        <v>223</v>
      </c>
      <c r="G1491" s="8" t="s">
        <v>144</v>
      </c>
      <c r="H1491" s="15" t="n">
        <v>325</v>
      </c>
      <c r="I1491" s="15" t="n">
        <v>325</v>
      </c>
      <c r="J1491" s="16" t="n">
        <v>0.667</v>
      </c>
      <c r="K1491" s="8" t="n">
        <v>7.3</v>
      </c>
      <c r="L1491" s="8" t="n">
        <v>4</v>
      </c>
      <c r="M1491" s="8" t="n">
        <v>4</v>
      </c>
      <c r="N1491" s="8" t="s">
        <v>120</v>
      </c>
      <c r="O1491" s="15" t="n">
        <f aca="false">H1491*12</f>
        <v>3900</v>
      </c>
      <c r="P1491" s="8" t="n">
        <f aca="false">MIN(100,ROUND(100*J1491/Assumptions!$B$8,0))</f>
        <v>74</v>
      </c>
      <c r="Q1491" s="8" t="n">
        <f aca="false">IF(L1491="",Assumptions!$B$9,L1491*10)</f>
        <v>40</v>
      </c>
      <c r="R1491" s="8" t="n">
        <f aca="false">IF(M1491&lt;=1,Assumptions!$B$12,IF(M1491&lt;=3,Assumptions!$B$13,IF(M1491&lt;=6,Assumptions!$B$14,Assumptions!$B$15)))</f>
        <v>50</v>
      </c>
      <c r="S1491" s="8" t="n">
        <f aca="false">IF(N1491="Completed On Time",Assumptions!$B$16,IF(N1491="Completed Late",Assumptions!$B$17,Assumptions!$B$18))</f>
        <v>100</v>
      </c>
      <c r="T1491" s="8" t="n">
        <f aca="false">IF(I1491=0,Assumptions!$B$20,IF(H1491&gt;I1491,Assumptions!$B$19,IF(H1491=I1491,Assumptions!$B$20,Assumptions!$B$21)))</f>
        <v>70</v>
      </c>
      <c r="U1491" s="8" t="n">
        <f aca="false">ROUND(P1491*Assumptions!$B$2+Q1491*Assumptions!$B$3+R1491*Assumptions!$B$4+S1491*Assumptions!$B$5+T1491*Assumptions!$B$6,0)</f>
        <v>65</v>
      </c>
      <c r="V1491" s="8" t="str">
        <f aca="false">IF(U1491&gt;=Assumptions!$B$10,"Healthy",IF(U1491&gt;=Assumptions!$B$11,"Needs Attention","High Risk"))</f>
        <v>Needs Attention</v>
      </c>
    </row>
    <row r="1492" customFormat="false" ht="15" hidden="false" customHeight="false" outlineLevel="0" collapsed="false">
      <c r="A1492" s="8" t="s">
        <v>3126</v>
      </c>
      <c r="B1492" s="8" t="s">
        <v>3127</v>
      </c>
      <c r="C1492" s="8" t="s">
        <v>51</v>
      </c>
      <c r="D1492" s="8" t="s">
        <v>326</v>
      </c>
      <c r="E1492" s="8" t="s">
        <v>117</v>
      </c>
      <c r="F1492" s="8" t="s">
        <v>133</v>
      </c>
      <c r="G1492" s="8" t="s">
        <v>144</v>
      </c>
      <c r="H1492" s="15" t="n">
        <v>325</v>
      </c>
      <c r="I1492" s="15" t="n">
        <v>325</v>
      </c>
      <c r="J1492" s="16" t="n">
        <v>0.846</v>
      </c>
      <c r="K1492" s="8" t="n">
        <v>11.3</v>
      </c>
      <c r="L1492" s="8" t="n">
        <v>10</v>
      </c>
      <c r="M1492" s="8" t="n">
        <v>1</v>
      </c>
      <c r="N1492" s="8" t="s">
        <v>120</v>
      </c>
      <c r="O1492" s="15" t="n">
        <f aca="false">H1492*12</f>
        <v>3900</v>
      </c>
      <c r="P1492" s="8" t="n">
        <f aca="false">MIN(100,ROUND(100*J1492/Assumptions!$B$8,0))</f>
        <v>94</v>
      </c>
      <c r="Q1492" s="8" t="n">
        <f aca="false">IF(L1492="",Assumptions!$B$9,L1492*10)</f>
        <v>100</v>
      </c>
      <c r="R1492" s="8" t="n">
        <f aca="false">IF(M1492&lt;=1,Assumptions!$B$12,IF(M1492&lt;=3,Assumptions!$B$13,IF(M1492&lt;=6,Assumptions!$B$14,Assumptions!$B$15)))</f>
        <v>100</v>
      </c>
      <c r="S1492" s="8" t="n">
        <f aca="false">IF(N1492="Completed On Time",Assumptions!$B$16,IF(N1492="Completed Late",Assumptions!$B$17,Assumptions!$B$18))</f>
        <v>100</v>
      </c>
      <c r="T1492" s="8" t="n">
        <f aca="false">IF(I1492=0,Assumptions!$B$20,IF(H1492&gt;I1492,Assumptions!$B$19,IF(H1492=I1492,Assumptions!$B$20,Assumptions!$B$21)))</f>
        <v>70</v>
      </c>
      <c r="U1492" s="8" t="n">
        <f aca="false">ROUND(P1492*Assumptions!$B$2+Q1492*Assumptions!$B$3+R1492*Assumptions!$B$4+S1492*Assumptions!$B$5+T1492*Assumptions!$B$6,0)</f>
        <v>92</v>
      </c>
      <c r="V1492" s="8" t="str">
        <f aca="false">IF(U1492&gt;=Assumptions!$B$10,"Healthy",IF(U1492&gt;=Assumptions!$B$11,"Needs Attention","High Risk"))</f>
        <v>Healthy</v>
      </c>
    </row>
    <row r="1493" customFormat="false" ht="15" hidden="false" customHeight="false" outlineLevel="0" collapsed="false">
      <c r="A1493" s="8" t="s">
        <v>3128</v>
      </c>
      <c r="B1493" s="8" t="s">
        <v>3129</v>
      </c>
      <c r="C1493" s="8" t="s">
        <v>51</v>
      </c>
      <c r="D1493" s="8" t="s">
        <v>326</v>
      </c>
      <c r="E1493" s="8" t="s">
        <v>123</v>
      </c>
      <c r="F1493" s="8" t="s">
        <v>133</v>
      </c>
      <c r="G1493" s="8" t="s">
        <v>125</v>
      </c>
      <c r="H1493" s="15" t="n">
        <v>325</v>
      </c>
      <c r="I1493" s="15" t="n">
        <v>325</v>
      </c>
      <c r="J1493" s="16" t="n">
        <v>0.692</v>
      </c>
      <c r="K1493" s="8" t="n">
        <v>7</v>
      </c>
      <c r="L1493" s="8" t="n">
        <v>8</v>
      </c>
      <c r="M1493" s="8" t="n">
        <v>2</v>
      </c>
      <c r="N1493" s="8" t="s">
        <v>120</v>
      </c>
      <c r="O1493" s="15" t="n">
        <f aca="false">H1493*12</f>
        <v>3900</v>
      </c>
      <c r="P1493" s="8" t="n">
        <f aca="false">MIN(100,ROUND(100*J1493/Assumptions!$B$8,0))</f>
        <v>77</v>
      </c>
      <c r="Q1493" s="8" t="n">
        <f aca="false">IF(L1493="",Assumptions!$B$9,L1493*10)</f>
        <v>80</v>
      </c>
      <c r="R1493" s="8" t="n">
        <f aca="false">IF(M1493&lt;=1,Assumptions!$B$12,IF(M1493&lt;=3,Assumptions!$B$13,IF(M1493&lt;=6,Assumptions!$B$14,Assumptions!$B$15)))</f>
        <v>75</v>
      </c>
      <c r="S1493" s="8" t="n">
        <f aca="false">IF(N1493="Completed On Time",Assumptions!$B$16,IF(N1493="Completed Late",Assumptions!$B$17,Assumptions!$B$18))</f>
        <v>100</v>
      </c>
      <c r="T1493" s="8" t="n">
        <f aca="false">IF(I1493=0,Assumptions!$B$20,IF(H1493&gt;I1493,Assumptions!$B$19,IF(H1493=I1493,Assumptions!$B$20,Assumptions!$B$21)))</f>
        <v>70</v>
      </c>
      <c r="U1493" s="8" t="n">
        <f aca="false">ROUND(P1493*Assumptions!$B$2+Q1493*Assumptions!$B$3+R1493*Assumptions!$B$4+S1493*Assumptions!$B$5+T1493*Assumptions!$B$6,0)</f>
        <v>78</v>
      </c>
      <c r="V1493" s="8" t="str">
        <f aca="false">IF(U1493&gt;=Assumptions!$B$10,"Healthy",IF(U1493&gt;=Assumptions!$B$11,"Needs Attention","High Risk"))</f>
        <v>Needs Attention</v>
      </c>
    </row>
    <row r="1494" customFormat="false" ht="15" hidden="false" customHeight="false" outlineLevel="0" collapsed="false">
      <c r="A1494" s="8" t="s">
        <v>3130</v>
      </c>
      <c r="B1494" s="8" t="s">
        <v>3131</v>
      </c>
      <c r="C1494" s="8" t="s">
        <v>51</v>
      </c>
      <c r="D1494" s="8" t="s">
        <v>326</v>
      </c>
      <c r="E1494" s="8" t="s">
        <v>132</v>
      </c>
      <c r="F1494" s="8" t="s">
        <v>223</v>
      </c>
      <c r="G1494" s="8" t="s">
        <v>129</v>
      </c>
      <c r="H1494" s="15" t="n">
        <v>325</v>
      </c>
      <c r="I1494" s="15" t="n">
        <v>325</v>
      </c>
      <c r="J1494" s="16" t="n">
        <v>0.821</v>
      </c>
      <c r="K1494" s="8" t="n">
        <v>9.7</v>
      </c>
      <c r="L1494" s="8" t="n">
        <v>6</v>
      </c>
      <c r="M1494" s="8" t="n">
        <v>0</v>
      </c>
      <c r="N1494" s="8" t="s">
        <v>120</v>
      </c>
      <c r="O1494" s="15" t="n">
        <f aca="false">H1494*12</f>
        <v>3900</v>
      </c>
      <c r="P1494" s="8" t="n">
        <f aca="false">MIN(100,ROUND(100*J1494/Assumptions!$B$8,0))</f>
        <v>91</v>
      </c>
      <c r="Q1494" s="8" t="n">
        <f aca="false">IF(L1494="",Assumptions!$B$9,L1494*10)</f>
        <v>60</v>
      </c>
      <c r="R1494" s="8" t="n">
        <f aca="false">IF(M1494&lt;=1,Assumptions!$B$12,IF(M1494&lt;=3,Assumptions!$B$13,IF(M1494&lt;=6,Assumptions!$B$14,Assumptions!$B$15)))</f>
        <v>100</v>
      </c>
      <c r="S1494" s="8" t="n">
        <f aca="false">IF(N1494="Completed On Time",Assumptions!$B$16,IF(N1494="Completed Late",Assumptions!$B$17,Assumptions!$B$18))</f>
        <v>100</v>
      </c>
      <c r="T1494" s="8" t="n">
        <f aca="false">IF(I1494=0,Assumptions!$B$20,IF(H1494&gt;I1494,Assumptions!$B$19,IF(H1494=I1494,Assumptions!$B$20,Assumptions!$B$21)))</f>
        <v>70</v>
      </c>
      <c r="U1494" s="8" t="n">
        <f aca="false">ROUND(P1494*Assumptions!$B$2+Q1494*Assumptions!$B$3+R1494*Assumptions!$B$4+S1494*Assumptions!$B$5+T1494*Assumptions!$B$6,0)</f>
        <v>83</v>
      </c>
      <c r="V1494" s="8" t="str">
        <f aca="false">IF(U1494&gt;=Assumptions!$B$10,"Healthy",IF(U1494&gt;=Assumptions!$B$11,"Needs Attention","High Risk"))</f>
        <v>Healthy</v>
      </c>
    </row>
    <row r="1495" customFormat="false" ht="15" hidden="false" customHeight="false" outlineLevel="0" collapsed="false">
      <c r="A1495" s="8" t="s">
        <v>3132</v>
      </c>
      <c r="B1495" s="8" t="s">
        <v>3133</v>
      </c>
      <c r="C1495" s="8" t="s">
        <v>51</v>
      </c>
      <c r="D1495" s="8" t="s">
        <v>326</v>
      </c>
      <c r="E1495" s="8" t="s">
        <v>128</v>
      </c>
      <c r="F1495" s="8" t="s">
        <v>143</v>
      </c>
      <c r="G1495" s="8" t="s">
        <v>180</v>
      </c>
      <c r="H1495" s="15" t="n">
        <v>325</v>
      </c>
      <c r="I1495" s="15" t="n">
        <v>325</v>
      </c>
      <c r="J1495" s="16" t="n">
        <v>0.692</v>
      </c>
      <c r="K1495" s="8" t="n">
        <v>9.3</v>
      </c>
      <c r="L1495" s="8" t="n">
        <v>8</v>
      </c>
      <c r="M1495" s="8" t="n">
        <v>4</v>
      </c>
      <c r="N1495" s="8" t="s">
        <v>120</v>
      </c>
      <c r="O1495" s="15" t="n">
        <f aca="false">H1495*12</f>
        <v>3900</v>
      </c>
      <c r="P1495" s="8" t="n">
        <f aca="false">MIN(100,ROUND(100*J1495/Assumptions!$B$8,0))</f>
        <v>77</v>
      </c>
      <c r="Q1495" s="8" t="n">
        <f aca="false">IF(L1495="",Assumptions!$B$9,L1495*10)</f>
        <v>80</v>
      </c>
      <c r="R1495" s="8" t="n">
        <f aca="false">IF(M1495&lt;=1,Assumptions!$B$12,IF(M1495&lt;=3,Assumptions!$B$13,IF(M1495&lt;=6,Assumptions!$B$14,Assumptions!$B$15)))</f>
        <v>50</v>
      </c>
      <c r="S1495" s="8" t="n">
        <f aca="false">IF(N1495="Completed On Time",Assumptions!$B$16,IF(N1495="Completed Late",Assumptions!$B$17,Assumptions!$B$18))</f>
        <v>100</v>
      </c>
      <c r="T1495" s="8" t="n">
        <f aca="false">IF(I1495=0,Assumptions!$B$20,IF(H1495&gt;I1495,Assumptions!$B$19,IF(H1495=I1495,Assumptions!$B$20,Assumptions!$B$21)))</f>
        <v>70</v>
      </c>
      <c r="U1495" s="8" t="n">
        <f aca="false">ROUND(P1495*Assumptions!$B$2+Q1495*Assumptions!$B$3+R1495*Assumptions!$B$4+S1495*Assumptions!$B$5+T1495*Assumptions!$B$6,0)</f>
        <v>74</v>
      </c>
      <c r="V1495" s="8" t="str">
        <f aca="false">IF(U1495&gt;=Assumptions!$B$10,"Healthy",IF(U1495&gt;=Assumptions!$B$11,"Needs Attention","High Risk"))</f>
        <v>Needs Attention</v>
      </c>
    </row>
    <row r="1496" customFormat="false" ht="15" hidden="false" customHeight="false" outlineLevel="0" collapsed="false">
      <c r="A1496" s="8" t="s">
        <v>3134</v>
      </c>
      <c r="B1496" s="8" t="s">
        <v>3135</v>
      </c>
      <c r="C1496" s="8" t="s">
        <v>51</v>
      </c>
      <c r="D1496" s="8" t="s">
        <v>326</v>
      </c>
      <c r="E1496" s="8" t="s">
        <v>123</v>
      </c>
      <c r="F1496" s="8" t="s">
        <v>223</v>
      </c>
      <c r="G1496" s="8" t="s">
        <v>125</v>
      </c>
      <c r="H1496" s="15" t="n">
        <v>325</v>
      </c>
      <c r="I1496" s="15" t="n">
        <v>325</v>
      </c>
      <c r="J1496" s="16" t="n">
        <v>0.513</v>
      </c>
      <c r="K1496" s="8" t="n">
        <v>8.7</v>
      </c>
      <c r="L1496" s="8" t="n">
        <v>9</v>
      </c>
      <c r="M1496" s="8" t="n">
        <v>8</v>
      </c>
      <c r="N1496" s="8" t="s">
        <v>120</v>
      </c>
      <c r="O1496" s="15" t="n">
        <f aca="false">H1496*12</f>
        <v>3900</v>
      </c>
      <c r="P1496" s="8" t="n">
        <f aca="false">MIN(100,ROUND(100*J1496/Assumptions!$B$8,0))</f>
        <v>57</v>
      </c>
      <c r="Q1496" s="8" t="n">
        <f aca="false">IF(L1496="",Assumptions!$B$9,L1496*10)</f>
        <v>90</v>
      </c>
      <c r="R1496" s="8" t="n">
        <f aca="false">IF(M1496&lt;=1,Assumptions!$B$12,IF(M1496&lt;=3,Assumptions!$B$13,IF(M1496&lt;=6,Assumptions!$B$14,Assumptions!$B$15)))</f>
        <v>20</v>
      </c>
      <c r="S1496" s="8" t="n">
        <f aca="false">IF(N1496="Completed On Time",Assumptions!$B$16,IF(N1496="Completed Late",Assumptions!$B$17,Assumptions!$B$18))</f>
        <v>100</v>
      </c>
      <c r="T1496" s="8" t="n">
        <f aca="false">IF(I1496=0,Assumptions!$B$20,IF(H1496&gt;I1496,Assumptions!$B$19,IF(H1496=I1496,Assumptions!$B$20,Assumptions!$B$21)))</f>
        <v>70</v>
      </c>
      <c r="U1496" s="8" t="n">
        <f aca="false">ROUND(P1496*Assumptions!$B$2+Q1496*Assumptions!$B$3+R1496*Assumptions!$B$4+S1496*Assumptions!$B$5+T1496*Assumptions!$B$6,0)</f>
        <v>65</v>
      </c>
      <c r="V1496" s="8" t="str">
        <f aca="false">IF(U1496&gt;=Assumptions!$B$10,"Healthy",IF(U1496&gt;=Assumptions!$B$11,"Needs Attention","High Risk"))</f>
        <v>Needs Attention</v>
      </c>
    </row>
    <row r="1497" customFormat="false" ht="15" hidden="false" customHeight="false" outlineLevel="0" collapsed="false">
      <c r="A1497" s="8" t="s">
        <v>3136</v>
      </c>
      <c r="B1497" s="8" t="s">
        <v>3137</v>
      </c>
      <c r="C1497" s="8" t="s">
        <v>51</v>
      </c>
      <c r="D1497" s="8" t="s">
        <v>326</v>
      </c>
      <c r="E1497" s="8" t="s">
        <v>123</v>
      </c>
      <c r="F1497" s="8" t="s">
        <v>136</v>
      </c>
      <c r="G1497" s="8" t="s">
        <v>125</v>
      </c>
      <c r="H1497" s="15" t="n">
        <v>325</v>
      </c>
      <c r="I1497" s="15" t="n">
        <v>325</v>
      </c>
      <c r="J1497" s="16" t="n">
        <v>0.821</v>
      </c>
      <c r="K1497" s="8" t="n">
        <v>8.7</v>
      </c>
      <c r="L1497" s="8" t="n">
        <v>8</v>
      </c>
      <c r="M1497" s="8" t="n">
        <v>3</v>
      </c>
      <c r="N1497" s="8" t="s">
        <v>120</v>
      </c>
      <c r="O1497" s="15" t="n">
        <f aca="false">H1497*12</f>
        <v>3900</v>
      </c>
      <c r="P1497" s="8" t="n">
        <f aca="false">MIN(100,ROUND(100*J1497/Assumptions!$B$8,0))</f>
        <v>91</v>
      </c>
      <c r="Q1497" s="8" t="n">
        <f aca="false">IF(L1497="",Assumptions!$B$9,L1497*10)</f>
        <v>80</v>
      </c>
      <c r="R1497" s="8" t="n">
        <f aca="false">IF(M1497&lt;=1,Assumptions!$B$12,IF(M1497&lt;=3,Assumptions!$B$13,IF(M1497&lt;=6,Assumptions!$B$14,Assumptions!$B$15)))</f>
        <v>75</v>
      </c>
      <c r="S1497" s="8" t="n">
        <f aca="false">IF(N1497="Completed On Time",Assumptions!$B$16,IF(N1497="Completed Late",Assumptions!$B$17,Assumptions!$B$18))</f>
        <v>100</v>
      </c>
      <c r="T1497" s="8" t="n">
        <f aca="false">IF(I1497=0,Assumptions!$B$20,IF(H1497&gt;I1497,Assumptions!$B$19,IF(H1497=I1497,Assumptions!$B$20,Assumptions!$B$21)))</f>
        <v>70</v>
      </c>
      <c r="U1497" s="8" t="n">
        <f aca="false">ROUND(P1497*Assumptions!$B$2+Q1497*Assumptions!$B$3+R1497*Assumptions!$B$4+S1497*Assumptions!$B$5+T1497*Assumptions!$B$6,0)</f>
        <v>83</v>
      </c>
      <c r="V1497" s="8" t="str">
        <f aca="false">IF(U1497&gt;=Assumptions!$B$10,"Healthy",IF(U1497&gt;=Assumptions!$B$11,"Needs Attention","High Risk"))</f>
        <v>Healthy</v>
      </c>
    </row>
    <row r="1498" customFormat="false" ht="15" hidden="false" customHeight="false" outlineLevel="0" collapsed="false">
      <c r="A1498" s="8" t="s">
        <v>3138</v>
      </c>
      <c r="B1498" s="8" t="s">
        <v>3139</v>
      </c>
      <c r="C1498" s="8" t="s">
        <v>51</v>
      </c>
      <c r="D1498" s="8" t="s">
        <v>326</v>
      </c>
      <c r="E1498" s="8" t="s">
        <v>132</v>
      </c>
      <c r="F1498" s="8" t="s">
        <v>190</v>
      </c>
      <c r="G1498" s="8" t="s">
        <v>185</v>
      </c>
      <c r="H1498" s="15" t="n">
        <v>325</v>
      </c>
      <c r="I1498" s="15" t="n">
        <v>250</v>
      </c>
      <c r="J1498" s="16" t="n">
        <v>0.718</v>
      </c>
      <c r="K1498" s="8" t="n">
        <v>9</v>
      </c>
      <c r="L1498" s="8" t="n">
        <v>7</v>
      </c>
      <c r="M1498" s="8" t="n">
        <v>0</v>
      </c>
      <c r="N1498" s="8" t="s">
        <v>120</v>
      </c>
      <c r="O1498" s="15" t="n">
        <f aca="false">H1498*12</f>
        <v>3900</v>
      </c>
      <c r="P1498" s="8" t="n">
        <f aca="false">MIN(100,ROUND(100*J1498/Assumptions!$B$8,0))</f>
        <v>80</v>
      </c>
      <c r="Q1498" s="8" t="n">
        <f aca="false">IF(L1498="",Assumptions!$B$9,L1498*10)</f>
        <v>70</v>
      </c>
      <c r="R1498" s="8" t="n">
        <f aca="false">IF(M1498&lt;=1,Assumptions!$B$12,IF(M1498&lt;=3,Assumptions!$B$13,IF(M1498&lt;=6,Assumptions!$B$14,Assumptions!$B$15)))</f>
        <v>100</v>
      </c>
      <c r="S1498" s="8" t="n">
        <f aca="false">IF(N1498="Completed On Time",Assumptions!$B$16,IF(N1498="Completed Late",Assumptions!$B$17,Assumptions!$B$18))</f>
        <v>100</v>
      </c>
      <c r="T1498" s="8" t="n">
        <f aca="false">IF(I1498=0,Assumptions!$B$20,IF(H1498&gt;I1498,Assumptions!$B$19,IF(H1498=I1498,Assumptions!$B$20,Assumptions!$B$21)))</f>
        <v>100</v>
      </c>
      <c r="U1498" s="8" t="n">
        <f aca="false">ROUND(P1498*Assumptions!$B$2+Q1498*Assumptions!$B$3+R1498*Assumptions!$B$4+S1498*Assumptions!$B$5+T1498*Assumptions!$B$6,0)</f>
        <v>87</v>
      </c>
      <c r="V1498" s="8" t="str">
        <f aca="false">IF(U1498&gt;=Assumptions!$B$10,"Healthy",IF(U1498&gt;=Assumptions!$B$11,"Needs Attention","High Risk"))</f>
        <v>Healthy</v>
      </c>
    </row>
    <row r="1499" customFormat="false" ht="15" hidden="false" customHeight="false" outlineLevel="0" collapsed="false">
      <c r="A1499" s="8" t="s">
        <v>3140</v>
      </c>
      <c r="B1499" s="8" t="s">
        <v>3141</v>
      </c>
      <c r="C1499" s="8" t="s">
        <v>51</v>
      </c>
      <c r="D1499" s="8" t="s">
        <v>326</v>
      </c>
      <c r="E1499" s="8" t="s">
        <v>123</v>
      </c>
      <c r="F1499" s="8" t="s">
        <v>136</v>
      </c>
      <c r="G1499" s="8" t="s">
        <v>140</v>
      </c>
      <c r="H1499" s="15" t="n">
        <v>325</v>
      </c>
      <c r="I1499" s="15" t="n">
        <v>325</v>
      </c>
      <c r="J1499" s="16" t="n">
        <v>0.59</v>
      </c>
      <c r="K1499" s="8" t="n">
        <v>5.3</v>
      </c>
      <c r="L1499" s="8" t="n">
        <v>7</v>
      </c>
      <c r="M1499" s="8" t="n">
        <v>6</v>
      </c>
      <c r="N1499" s="8" t="s">
        <v>120</v>
      </c>
      <c r="O1499" s="15" t="n">
        <f aca="false">H1499*12</f>
        <v>3900</v>
      </c>
      <c r="P1499" s="8" t="n">
        <f aca="false">MIN(100,ROUND(100*J1499/Assumptions!$B$8,0))</f>
        <v>66</v>
      </c>
      <c r="Q1499" s="8" t="n">
        <f aca="false">IF(L1499="",Assumptions!$B$9,L1499*10)</f>
        <v>70</v>
      </c>
      <c r="R1499" s="8" t="n">
        <f aca="false">IF(M1499&lt;=1,Assumptions!$B$12,IF(M1499&lt;=3,Assumptions!$B$13,IF(M1499&lt;=6,Assumptions!$B$14,Assumptions!$B$15)))</f>
        <v>50</v>
      </c>
      <c r="S1499" s="8" t="n">
        <f aca="false">IF(N1499="Completed On Time",Assumptions!$B$16,IF(N1499="Completed Late",Assumptions!$B$17,Assumptions!$B$18))</f>
        <v>100</v>
      </c>
      <c r="T1499" s="8" t="n">
        <f aca="false">IF(I1499=0,Assumptions!$B$20,IF(H1499&gt;I1499,Assumptions!$B$19,IF(H1499=I1499,Assumptions!$B$20,Assumptions!$B$21)))</f>
        <v>70</v>
      </c>
      <c r="U1499" s="8" t="n">
        <f aca="false">ROUND(P1499*Assumptions!$B$2+Q1499*Assumptions!$B$3+R1499*Assumptions!$B$4+S1499*Assumptions!$B$5+T1499*Assumptions!$B$6,0)</f>
        <v>69</v>
      </c>
      <c r="V1499" s="8" t="str">
        <f aca="false">IF(U1499&gt;=Assumptions!$B$10,"Healthy",IF(U1499&gt;=Assumptions!$B$11,"Needs Attention","High Risk"))</f>
        <v>Needs Attention</v>
      </c>
    </row>
    <row r="1500" customFormat="false" ht="15" hidden="false" customHeight="false" outlineLevel="0" collapsed="false">
      <c r="A1500" s="8" t="s">
        <v>3142</v>
      </c>
      <c r="B1500" s="8" t="s">
        <v>3143</v>
      </c>
      <c r="C1500" s="8" t="s">
        <v>51</v>
      </c>
      <c r="D1500" s="8" t="s">
        <v>326</v>
      </c>
      <c r="E1500" s="8" t="s">
        <v>117</v>
      </c>
      <c r="F1500" s="8" t="s">
        <v>151</v>
      </c>
      <c r="G1500" s="8" t="s">
        <v>185</v>
      </c>
      <c r="H1500" s="15" t="n">
        <v>325</v>
      </c>
      <c r="I1500" s="15" t="n">
        <v>325</v>
      </c>
      <c r="J1500" s="16" t="n">
        <v>0.718</v>
      </c>
      <c r="K1500" s="8" t="n">
        <v>9</v>
      </c>
      <c r="L1500" s="8" t="n">
        <v>9</v>
      </c>
      <c r="M1500" s="8" t="n">
        <v>2</v>
      </c>
      <c r="N1500" s="8" t="s">
        <v>120</v>
      </c>
      <c r="O1500" s="15" t="n">
        <f aca="false">H1500*12</f>
        <v>3900</v>
      </c>
      <c r="P1500" s="8" t="n">
        <f aca="false">MIN(100,ROUND(100*J1500/Assumptions!$B$8,0))</f>
        <v>80</v>
      </c>
      <c r="Q1500" s="8" t="n">
        <f aca="false">IF(L1500="",Assumptions!$B$9,L1500*10)</f>
        <v>90</v>
      </c>
      <c r="R1500" s="8" t="n">
        <f aca="false">IF(M1500&lt;=1,Assumptions!$B$12,IF(M1500&lt;=3,Assumptions!$B$13,IF(M1500&lt;=6,Assumptions!$B$14,Assumptions!$B$15)))</f>
        <v>75</v>
      </c>
      <c r="S1500" s="8" t="n">
        <f aca="false">IF(N1500="Completed On Time",Assumptions!$B$16,IF(N1500="Completed Late",Assumptions!$B$17,Assumptions!$B$18))</f>
        <v>100</v>
      </c>
      <c r="T1500" s="8" t="n">
        <f aca="false">IF(I1500=0,Assumptions!$B$20,IF(H1500&gt;I1500,Assumptions!$B$19,IF(H1500=I1500,Assumptions!$B$20,Assumptions!$B$21)))</f>
        <v>70</v>
      </c>
      <c r="U1500" s="8" t="n">
        <f aca="false">ROUND(P1500*Assumptions!$B$2+Q1500*Assumptions!$B$3+R1500*Assumptions!$B$4+S1500*Assumptions!$B$5+T1500*Assumptions!$B$6,0)</f>
        <v>81</v>
      </c>
      <c r="V1500" s="8" t="str">
        <f aca="false">IF(U1500&gt;=Assumptions!$B$10,"Healthy",IF(U1500&gt;=Assumptions!$B$11,"Needs Attention","High Risk"))</f>
        <v>Healthy</v>
      </c>
    </row>
    <row r="1501" customFormat="false" ht="15" hidden="false" customHeight="false" outlineLevel="0" collapsed="false">
      <c r="A1501" s="8" t="s">
        <v>3144</v>
      </c>
      <c r="B1501" s="8" t="s">
        <v>3145</v>
      </c>
      <c r="C1501" s="8" t="s">
        <v>51</v>
      </c>
      <c r="D1501" s="8" t="s">
        <v>326</v>
      </c>
      <c r="E1501" s="8" t="s">
        <v>123</v>
      </c>
      <c r="F1501" s="8" t="s">
        <v>154</v>
      </c>
      <c r="G1501" s="8" t="s">
        <v>140</v>
      </c>
      <c r="H1501" s="15" t="n">
        <v>325</v>
      </c>
      <c r="I1501" s="15" t="n">
        <v>325</v>
      </c>
      <c r="J1501" s="16" t="n">
        <v>0.897</v>
      </c>
      <c r="K1501" s="8" t="n">
        <v>9</v>
      </c>
      <c r="L1501" s="8" t="n">
        <v>9</v>
      </c>
      <c r="M1501" s="8" t="n">
        <v>5</v>
      </c>
      <c r="N1501" s="8" t="s">
        <v>120</v>
      </c>
      <c r="O1501" s="15" t="n">
        <f aca="false">H1501*12</f>
        <v>3900</v>
      </c>
      <c r="P1501" s="8" t="n">
        <f aca="false">MIN(100,ROUND(100*J1501/Assumptions!$B$8,0))</f>
        <v>100</v>
      </c>
      <c r="Q1501" s="8" t="n">
        <f aca="false">IF(L1501="",Assumptions!$B$9,L1501*10)</f>
        <v>90</v>
      </c>
      <c r="R1501" s="8" t="n">
        <f aca="false">IF(M1501&lt;=1,Assumptions!$B$12,IF(M1501&lt;=3,Assumptions!$B$13,IF(M1501&lt;=6,Assumptions!$B$14,Assumptions!$B$15)))</f>
        <v>50</v>
      </c>
      <c r="S1501" s="8" t="n">
        <f aca="false">IF(N1501="Completed On Time",Assumptions!$B$16,IF(N1501="Completed Late",Assumptions!$B$17,Assumptions!$B$18))</f>
        <v>100</v>
      </c>
      <c r="T1501" s="8" t="n">
        <f aca="false">IF(I1501=0,Assumptions!$B$20,IF(H1501&gt;I1501,Assumptions!$B$19,IF(H1501=I1501,Assumptions!$B$20,Assumptions!$B$21)))</f>
        <v>70</v>
      </c>
      <c r="U1501" s="8" t="n">
        <f aca="false">ROUND(P1501*Assumptions!$B$2+Q1501*Assumptions!$B$3+R1501*Assumptions!$B$4+S1501*Assumptions!$B$5+T1501*Assumptions!$B$6,0)</f>
        <v>85</v>
      </c>
      <c r="V1501" s="8" t="str">
        <f aca="false">IF(U1501&gt;=Assumptions!$B$10,"Healthy",IF(U1501&gt;=Assumptions!$B$11,"Needs Attention","High Risk"))</f>
        <v>Healthy</v>
      </c>
    </row>
    <row r="1502" customFormat="false" ht="15" hidden="false" customHeight="false" outlineLevel="0" collapsed="false">
      <c r="A1502" s="8" t="s">
        <v>3146</v>
      </c>
      <c r="B1502" s="8" t="s">
        <v>3147</v>
      </c>
      <c r="C1502" s="8" t="s">
        <v>51</v>
      </c>
      <c r="D1502" s="8" t="s">
        <v>2027</v>
      </c>
      <c r="E1502" s="8" t="s">
        <v>128</v>
      </c>
      <c r="F1502" s="8" t="s">
        <v>143</v>
      </c>
      <c r="G1502" s="8" t="s">
        <v>147</v>
      </c>
      <c r="H1502" s="15" t="n">
        <v>324</v>
      </c>
      <c r="I1502" s="15" t="n">
        <v>324</v>
      </c>
      <c r="J1502" s="16" t="n">
        <v>0.617</v>
      </c>
      <c r="K1502" s="8" t="n">
        <v>7</v>
      </c>
      <c r="L1502" s="8" t="n">
        <v>2</v>
      </c>
      <c r="M1502" s="8" t="n">
        <v>3</v>
      </c>
      <c r="N1502" s="8" t="s">
        <v>120</v>
      </c>
      <c r="O1502" s="15" t="n">
        <f aca="false">H1502*12</f>
        <v>3888</v>
      </c>
      <c r="P1502" s="8" t="n">
        <f aca="false">MIN(100,ROUND(100*J1502/Assumptions!$B$8,0))</f>
        <v>69</v>
      </c>
      <c r="Q1502" s="8" t="n">
        <f aca="false">IF(L1502="",Assumptions!$B$9,L1502*10)</f>
        <v>20</v>
      </c>
      <c r="R1502" s="8" t="n">
        <f aca="false">IF(M1502&lt;=1,Assumptions!$B$12,IF(M1502&lt;=3,Assumptions!$B$13,IF(M1502&lt;=6,Assumptions!$B$14,Assumptions!$B$15)))</f>
        <v>75</v>
      </c>
      <c r="S1502" s="8" t="n">
        <f aca="false">IF(N1502="Completed On Time",Assumptions!$B$16,IF(N1502="Completed Late",Assumptions!$B$17,Assumptions!$B$18))</f>
        <v>100</v>
      </c>
      <c r="T1502" s="8" t="n">
        <f aca="false">IF(I1502=0,Assumptions!$B$20,IF(H1502&gt;I1502,Assumptions!$B$19,IF(H1502=I1502,Assumptions!$B$20,Assumptions!$B$21)))</f>
        <v>70</v>
      </c>
      <c r="U1502" s="8" t="n">
        <f aca="false">ROUND(P1502*Assumptions!$B$2+Q1502*Assumptions!$B$3+R1502*Assumptions!$B$4+S1502*Assumptions!$B$5+T1502*Assumptions!$B$6,0)</f>
        <v>63</v>
      </c>
      <c r="V1502" s="8" t="str">
        <f aca="false">IF(U1502&gt;=Assumptions!$B$10,"Healthy",IF(U1502&gt;=Assumptions!$B$11,"Needs Attention","High Risk"))</f>
        <v>High Risk</v>
      </c>
    </row>
    <row r="1503" customFormat="false" ht="15" hidden="false" customHeight="false" outlineLevel="0" collapsed="false">
      <c r="A1503" s="8" t="s">
        <v>3148</v>
      </c>
      <c r="B1503" s="8" t="s">
        <v>3149</v>
      </c>
      <c r="C1503" s="8" t="s">
        <v>51</v>
      </c>
      <c r="D1503" s="8" t="s">
        <v>2027</v>
      </c>
      <c r="E1503" s="8" t="s">
        <v>123</v>
      </c>
      <c r="F1503" s="8" t="s">
        <v>223</v>
      </c>
      <c r="G1503" s="8" t="s">
        <v>125</v>
      </c>
      <c r="H1503" s="15" t="n">
        <v>324</v>
      </c>
      <c r="I1503" s="15" t="n">
        <v>324</v>
      </c>
      <c r="J1503" s="16" t="n">
        <v>0.741</v>
      </c>
      <c r="K1503" s="8" t="n">
        <v>9.3</v>
      </c>
      <c r="L1503" s="8" t="n">
        <v>8</v>
      </c>
      <c r="M1503" s="8" t="n">
        <v>3</v>
      </c>
      <c r="N1503" s="8" t="s">
        <v>120</v>
      </c>
      <c r="O1503" s="15" t="n">
        <f aca="false">H1503*12</f>
        <v>3888</v>
      </c>
      <c r="P1503" s="8" t="n">
        <f aca="false">MIN(100,ROUND(100*J1503/Assumptions!$B$8,0))</f>
        <v>82</v>
      </c>
      <c r="Q1503" s="8" t="n">
        <f aca="false">IF(L1503="",Assumptions!$B$9,L1503*10)</f>
        <v>80</v>
      </c>
      <c r="R1503" s="8" t="n">
        <f aca="false">IF(M1503&lt;=1,Assumptions!$B$12,IF(M1503&lt;=3,Assumptions!$B$13,IF(M1503&lt;=6,Assumptions!$B$14,Assumptions!$B$15)))</f>
        <v>75</v>
      </c>
      <c r="S1503" s="8" t="n">
        <f aca="false">IF(N1503="Completed On Time",Assumptions!$B$16,IF(N1503="Completed Late",Assumptions!$B$17,Assumptions!$B$18))</f>
        <v>100</v>
      </c>
      <c r="T1503" s="8" t="n">
        <f aca="false">IF(I1503=0,Assumptions!$B$20,IF(H1503&gt;I1503,Assumptions!$B$19,IF(H1503=I1503,Assumptions!$B$20,Assumptions!$B$21)))</f>
        <v>70</v>
      </c>
      <c r="U1503" s="8" t="n">
        <f aca="false">ROUND(P1503*Assumptions!$B$2+Q1503*Assumptions!$B$3+R1503*Assumptions!$B$4+S1503*Assumptions!$B$5+T1503*Assumptions!$B$6,0)</f>
        <v>80</v>
      </c>
      <c r="V1503" s="8" t="str">
        <f aca="false">IF(U1503&gt;=Assumptions!$B$10,"Healthy",IF(U1503&gt;=Assumptions!$B$11,"Needs Attention","High Risk"))</f>
        <v>Healthy</v>
      </c>
    </row>
    <row r="1504" customFormat="false" ht="15" hidden="false" customHeight="false" outlineLevel="0" collapsed="false">
      <c r="A1504" s="8" t="s">
        <v>3150</v>
      </c>
      <c r="B1504" s="8" t="s">
        <v>3151</v>
      </c>
      <c r="C1504" s="8" t="s">
        <v>51</v>
      </c>
      <c r="D1504" s="8" t="s">
        <v>2027</v>
      </c>
      <c r="E1504" s="8" t="s">
        <v>132</v>
      </c>
      <c r="F1504" s="8" t="s">
        <v>118</v>
      </c>
      <c r="G1504" s="8" t="s">
        <v>129</v>
      </c>
      <c r="H1504" s="15" t="n">
        <v>324</v>
      </c>
      <c r="I1504" s="15" t="n">
        <v>324</v>
      </c>
      <c r="J1504" s="16" t="n">
        <v>0.802</v>
      </c>
      <c r="K1504" s="8" t="n">
        <v>9.7</v>
      </c>
      <c r="L1504" s="8" t="n">
        <v>9</v>
      </c>
      <c r="M1504" s="8" t="n">
        <v>1</v>
      </c>
      <c r="N1504" s="8" t="s">
        <v>120</v>
      </c>
      <c r="O1504" s="15" t="n">
        <f aca="false">H1504*12</f>
        <v>3888</v>
      </c>
      <c r="P1504" s="8" t="n">
        <f aca="false">MIN(100,ROUND(100*J1504/Assumptions!$B$8,0))</f>
        <v>89</v>
      </c>
      <c r="Q1504" s="8" t="n">
        <f aca="false">IF(L1504="",Assumptions!$B$9,L1504*10)</f>
        <v>90</v>
      </c>
      <c r="R1504" s="8" t="n">
        <f aca="false">IF(M1504&lt;=1,Assumptions!$B$12,IF(M1504&lt;=3,Assumptions!$B$13,IF(M1504&lt;=6,Assumptions!$B$14,Assumptions!$B$15)))</f>
        <v>100</v>
      </c>
      <c r="S1504" s="8" t="n">
        <f aca="false">IF(N1504="Completed On Time",Assumptions!$B$16,IF(N1504="Completed Late",Assumptions!$B$17,Assumptions!$B$18))</f>
        <v>100</v>
      </c>
      <c r="T1504" s="8" t="n">
        <f aca="false">IF(I1504=0,Assumptions!$B$20,IF(H1504&gt;I1504,Assumptions!$B$19,IF(H1504=I1504,Assumptions!$B$20,Assumptions!$B$21)))</f>
        <v>70</v>
      </c>
      <c r="U1504" s="8" t="n">
        <f aca="false">ROUND(P1504*Assumptions!$B$2+Q1504*Assumptions!$B$3+R1504*Assumptions!$B$4+S1504*Assumptions!$B$5+T1504*Assumptions!$B$6,0)</f>
        <v>88</v>
      </c>
      <c r="V1504" s="8" t="str">
        <f aca="false">IF(U1504&gt;=Assumptions!$B$10,"Healthy",IF(U1504&gt;=Assumptions!$B$11,"Needs Attention","High Risk"))</f>
        <v>Healthy</v>
      </c>
    </row>
    <row r="1505" customFormat="false" ht="15" hidden="false" customHeight="false" outlineLevel="0" collapsed="false">
      <c r="A1505" s="8" t="s">
        <v>3152</v>
      </c>
      <c r="B1505" s="8" t="s">
        <v>3153</v>
      </c>
      <c r="C1505" s="8" t="s">
        <v>51</v>
      </c>
      <c r="D1505" s="8" t="s">
        <v>2027</v>
      </c>
      <c r="E1505" s="8" t="s">
        <v>123</v>
      </c>
      <c r="F1505" s="8" t="s">
        <v>133</v>
      </c>
      <c r="G1505" s="8" t="s">
        <v>137</v>
      </c>
      <c r="H1505" s="15" t="n">
        <v>324</v>
      </c>
      <c r="I1505" s="15" t="n">
        <v>324</v>
      </c>
      <c r="J1505" s="16" t="n">
        <v>0.778</v>
      </c>
      <c r="K1505" s="8" t="n">
        <v>9</v>
      </c>
      <c r="L1505" s="8" t="n">
        <v>10</v>
      </c>
      <c r="M1505" s="8" t="n">
        <v>3</v>
      </c>
      <c r="N1505" s="8" t="s">
        <v>120</v>
      </c>
      <c r="O1505" s="15" t="n">
        <f aca="false">H1505*12</f>
        <v>3888</v>
      </c>
      <c r="P1505" s="8" t="n">
        <f aca="false">MIN(100,ROUND(100*J1505/Assumptions!$B$8,0))</f>
        <v>86</v>
      </c>
      <c r="Q1505" s="8" t="n">
        <f aca="false">IF(L1505="",Assumptions!$B$9,L1505*10)</f>
        <v>100</v>
      </c>
      <c r="R1505" s="8" t="n">
        <f aca="false">IF(M1505&lt;=1,Assumptions!$B$12,IF(M1505&lt;=3,Assumptions!$B$13,IF(M1505&lt;=6,Assumptions!$B$14,Assumptions!$B$15)))</f>
        <v>75</v>
      </c>
      <c r="S1505" s="8" t="n">
        <f aca="false">IF(N1505="Completed On Time",Assumptions!$B$16,IF(N1505="Completed Late",Assumptions!$B$17,Assumptions!$B$18))</f>
        <v>100</v>
      </c>
      <c r="T1505" s="8" t="n">
        <f aca="false">IF(I1505=0,Assumptions!$B$20,IF(H1505&gt;I1505,Assumptions!$B$19,IF(H1505=I1505,Assumptions!$B$20,Assumptions!$B$21)))</f>
        <v>70</v>
      </c>
      <c r="U1505" s="8" t="n">
        <f aca="false">ROUND(P1505*Assumptions!$B$2+Q1505*Assumptions!$B$3+R1505*Assumptions!$B$4+S1505*Assumptions!$B$5+T1505*Assumptions!$B$6,0)</f>
        <v>85</v>
      </c>
      <c r="V1505" s="8" t="str">
        <f aca="false">IF(U1505&gt;=Assumptions!$B$10,"Healthy",IF(U1505&gt;=Assumptions!$B$11,"Needs Attention","High Risk"))</f>
        <v>Healthy</v>
      </c>
    </row>
    <row r="1506" customFormat="false" ht="15" hidden="false" customHeight="false" outlineLevel="0" collapsed="false">
      <c r="A1506" s="8" t="s">
        <v>3154</v>
      </c>
      <c r="B1506" s="8" t="s">
        <v>3155</v>
      </c>
      <c r="C1506" s="8" t="s">
        <v>51</v>
      </c>
      <c r="D1506" s="8" t="s">
        <v>2027</v>
      </c>
      <c r="E1506" s="8" t="s">
        <v>123</v>
      </c>
      <c r="F1506" s="8" t="s">
        <v>166</v>
      </c>
      <c r="G1506" s="8" t="s">
        <v>147</v>
      </c>
      <c r="H1506" s="15" t="n">
        <v>324</v>
      </c>
      <c r="I1506" s="15" t="n">
        <v>324</v>
      </c>
      <c r="J1506" s="16" t="n">
        <v>0.889</v>
      </c>
      <c r="K1506" s="8" t="n">
        <v>10.7</v>
      </c>
      <c r="L1506" s="8" t="n">
        <v>10</v>
      </c>
      <c r="M1506" s="8" t="n">
        <v>3</v>
      </c>
      <c r="N1506" s="8" t="s">
        <v>120</v>
      </c>
      <c r="O1506" s="15" t="n">
        <f aca="false">H1506*12</f>
        <v>3888</v>
      </c>
      <c r="P1506" s="8" t="n">
        <f aca="false">MIN(100,ROUND(100*J1506/Assumptions!$B$8,0))</f>
        <v>99</v>
      </c>
      <c r="Q1506" s="8" t="n">
        <f aca="false">IF(L1506="",Assumptions!$B$9,L1506*10)</f>
        <v>100</v>
      </c>
      <c r="R1506" s="8" t="n">
        <f aca="false">IF(M1506&lt;=1,Assumptions!$B$12,IF(M1506&lt;=3,Assumptions!$B$13,IF(M1506&lt;=6,Assumptions!$B$14,Assumptions!$B$15)))</f>
        <v>75</v>
      </c>
      <c r="S1506" s="8" t="n">
        <f aca="false">IF(N1506="Completed On Time",Assumptions!$B$16,IF(N1506="Completed Late",Assumptions!$B$17,Assumptions!$B$18))</f>
        <v>100</v>
      </c>
      <c r="T1506" s="8" t="n">
        <f aca="false">IF(I1506=0,Assumptions!$B$20,IF(H1506&gt;I1506,Assumptions!$B$19,IF(H1506=I1506,Assumptions!$B$20,Assumptions!$B$21)))</f>
        <v>70</v>
      </c>
      <c r="U1506" s="8" t="n">
        <f aca="false">ROUND(P1506*Assumptions!$B$2+Q1506*Assumptions!$B$3+R1506*Assumptions!$B$4+S1506*Assumptions!$B$5+T1506*Assumptions!$B$6,0)</f>
        <v>90</v>
      </c>
      <c r="V1506" s="8" t="str">
        <f aca="false">IF(U1506&gt;=Assumptions!$B$10,"Healthy",IF(U1506&gt;=Assumptions!$B$11,"Needs Attention","High Risk"))</f>
        <v>Healthy</v>
      </c>
    </row>
    <row r="1507" customFormat="false" ht="15" hidden="false" customHeight="false" outlineLevel="0" collapsed="false">
      <c r="A1507" s="8" t="s">
        <v>3156</v>
      </c>
      <c r="B1507" s="8" t="s">
        <v>3157</v>
      </c>
      <c r="C1507" s="8" t="s">
        <v>51</v>
      </c>
      <c r="D1507" s="8" t="s">
        <v>2027</v>
      </c>
      <c r="E1507" s="8" t="s">
        <v>117</v>
      </c>
      <c r="F1507" s="8" t="s">
        <v>136</v>
      </c>
      <c r="G1507" s="8" t="s">
        <v>137</v>
      </c>
      <c r="H1507" s="15" t="n">
        <v>324</v>
      </c>
      <c r="I1507" s="15" t="n">
        <v>324</v>
      </c>
      <c r="J1507" s="16" t="n">
        <v>0.889</v>
      </c>
      <c r="K1507" s="8" t="n">
        <v>10.3</v>
      </c>
      <c r="L1507" s="8" t="n">
        <v>6</v>
      </c>
      <c r="M1507" s="8" t="n">
        <v>1</v>
      </c>
      <c r="N1507" s="8" t="s">
        <v>120</v>
      </c>
      <c r="O1507" s="15" t="n">
        <f aca="false">H1507*12</f>
        <v>3888</v>
      </c>
      <c r="P1507" s="8" t="n">
        <f aca="false">MIN(100,ROUND(100*J1507/Assumptions!$B$8,0))</f>
        <v>99</v>
      </c>
      <c r="Q1507" s="8" t="n">
        <f aca="false">IF(L1507="",Assumptions!$B$9,L1507*10)</f>
        <v>60</v>
      </c>
      <c r="R1507" s="8" t="n">
        <f aca="false">IF(M1507&lt;=1,Assumptions!$B$12,IF(M1507&lt;=3,Assumptions!$B$13,IF(M1507&lt;=6,Assumptions!$B$14,Assumptions!$B$15)))</f>
        <v>100</v>
      </c>
      <c r="S1507" s="8" t="n">
        <f aca="false">IF(N1507="Completed On Time",Assumptions!$B$16,IF(N1507="Completed Late",Assumptions!$B$17,Assumptions!$B$18))</f>
        <v>100</v>
      </c>
      <c r="T1507" s="8" t="n">
        <f aca="false">IF(I1507=0,Assumptions!$B$20,IF(H1507&gt;I1507,Assumptions!$B$19,IF(H1507=I1507,Assumptions!$B$20,Assumptions!$B$21)))</f>
        <v>70</v>
      </c>
      <c r="U1507" s="8" t="n">
        <f aca="false">ROUND(P1507*Assumptions!$B$2+Q1507*Assumptions!$B$3+R1507*Assumptions!$B$4+S1507*Assumptions!$B$5+T1507*Assumptions!$B$6,0)</f>
        <v>86</v>
      </c>
      <c r="V1507" s="8" t="str">
        <f aca="false">IF(U1507&gt;=Assumptions!$B$10,"Healthy",IF(U1507&gt;=Assumptions!$B$11,"Needs Attention","High Risk"))</f>
        <v>Healthy</v>
      </c>
    </row>
    <row r="1508" customFormat="false" ht="15" hidden="false" customHeight="false" outlineLevel="0" collapsed="false">
      <c r="A1508" s="8" t="s">
        <v>3158</v>
      </c>
      <c r="B1508" s="8" t="s">
        <v>3159</v>
      </c>
      <c r="C1508" s="8" t="s">
        <v>51</v>
      </c>
      <c r="D1508" s="8" t="s">
        <v>2027</v>
      </c>
      <c r="E1508" s="8" t="s">
        <v>123</v>
      </c>
      <c r="F1508" s="8" t="s">
        <v>190</v>
      </c>
      <c r="G1508" s="8" t="s">
        <v>177</v>
      </c>
      <c r="H1508" s="15" t="n">
        <v>324</v>
      </c>
      <c r="I1508" s="15" t="n">
        <v>324</v>
      </c>
      <c r="J1508" s="16" t="n">
        <v>0.568</v>
      </c>
      <c r="K1508" s="8" t="n">
        <v>5.3</v>
      </c>
      <c r="L1508" s="8" t="n">
        <v>4</v>
      </c>
      <c r="M1508" s="8" t="n">
        <v>1</v>
      </c>
      <c r="N1508" s="8" t="s">
        <v>120</v>
      </c>
      <c r="O1508" s="15" t="n">
        <f aca="false">H1508*12</f>
        <v>3888</v>
      </c>
      <c r="P1508" s="8" t="n">
        <f aca="false">MIN(100,ROUND(100*J1508/Assumptions!$B$8,0))</f>
        <v>63</v>
      </c>
      <c r="Q1508" s="8" t="n">
        <f aca="false">IF(L1508="",Assumptions!$B$9,L1508*10)</f>
        <v>40</v>
      </c>
      <c r="R1508" s="8" t="n">
        <f aca="false">IF(M1508&lt;=1,Assumptions!$B$12,IF(M1508&lt;=3,Assumptions!$B$13,IF(M1508&lt;=6,Assumptions!$B$14,Assumptions!$B$15)))</f>
        <v>100</v>
      </c>
      <c r="S1508" s="8" t="n">
        <f aca="false">IF(N1508="Completed On Time",Assumptions!$B$16,IF(N1508="Completed Late",Assumptions!$B$17,Assumptions!$B$18))</f>
        <v>100</v>
      </c>
      <c r="T1508" s="8" t="n">
        <f aca="false">IF(I1508=0,Assumptions!$B$20,IF(H1508&gt;I1508,Assumptions!$B$19,IF(H1508=I1508,Assumptions!$B$20,Assumptions!$B$21)))</f>
        <v>70</v>
      </c>
      <c r="U1508" s="8" t="n">
        <f aca="false">ROUND(P1508*Assumptions!$B$2+Q1508*Assumptions!$B$3+R1508*Assumptions!$B$4+S1508*Assumptions!$B$5+T1508*Assumptions!$B$6,0)</f>
        <v>69</v>
      </c>
      <c r="V1508" s="8" t="str">
        <f aca="false">IF(U1508&gt;=Assumptions!$B$10,"Healthy",IF(U1508&gt;=Assumptions!$B$11,"Needs Attention","High Risk"))</f>
        <v>Needs Attention</v>
      </c>
    </row>
    <row r="1509" customFormat="false" ht="15" hidden="false" customHeight="false" outlineLevel="0" collapsed="false">
      <c r="A1509" s="8" t="s">
        <v>3160</v>
      </c>
      <c r="B1509" s="8" t="s">
        <v>3161</v>
      </c>
      <c r="C1509" s="8" t="s">
        <v>51</v>
      </c>
      <c r="D1509" s="8" t="s">
        <v>2027</v>
      </c>
      <c r="E1509" s="8" t="s">
        <v>123</v>
      </c>
      <c r="F1509" s="8" t="s">
        <v>151</v>
      </c>
      <c r="G1509" s="8" t="s">
        <v>144</v>
      </c>
      <c r="H1509" s="15" t="n">
        <v>324</v>
      </c>
      <c r="I1509" s="15" t="n">
        <v>324</v>
      </c>
      <c r="J1509" s="16" t="n">
        <v>0.63</v>
      </c>
      <c r="K1509" s="8" t="n">
        <v>8.3</v>
      </c>
      <c r="L1509" s="8" t="n">
        <v>7</v>
      </c>
      <c r="M1509" s="8" t="n">
        <v>3</v>
      </c>
      <c r="N1509" s="8" t="s">
        <v>120</v>
      </c>
      <c r="O1509" s="15" t="n">
        <f aca="false">H1509*12</f>
        <v>3888</v>
      </c>
      <c r="P1509" s="8" t="n">
        <f aca="false">MIN(100,ROUND(100*J1509/Assumptions!$B$8,0))</f>
        <v>70</v>
      </c>
      <c r="Q1509" s="8" t="n">
        <f aca="false">IF(L1509="",Assumptions!$B$9,L1509*10)</f>
        <v>70</v>
      </c>
      <c r="R1509" s="8" t="n">
        <f aca="false">IF(M1509&lt;=1,Assumptions!$B$12,IF(M1509&lt;=3,Assumptions!$B$13,IF(M1509&lt;=6,Assumptions!$B$14,Assumptions!$B$15)))</f>
        <v>75</v>
      </c>
      <c r="S1509" s="8" t="n">
        <f aca="false">IF(N1509="Completed On Time",Assumptions!$B$16,IF(N1509="Completed Late",Assumptions!$B$17,Assumptions!$B$18))</f>
        <v>100</v>
      </c>
      <c r="T1509" s="8" t="n">
        <f aca="false">IF(I1509=0,Assumptions!$B$20,IF(H1509&gt;I1509,Assumptions!$B$19,IF(H1509=I1509,Assumptions!$B$20,Assumptions!$B$21)))</f>
        <v>70</v>
      </c>
      <c r="U1509" s="8" t="n">
        <f aca="false">ROUND(P1509*Assumptions!$B$2+Q1509*Assumptions!$B$3+R1509*Assumptions!$B$4+S1509*Assumptions!$B$5+T1509*Assumptions!$B$6,0)</f>
        <v>74</v>
      </c>
      <c r="V1509" s="8" t="str">
        <f aca="false">IF(U1509&gt;=Assumptions!$B$10,"Healthy",IF(U1509&gt;=Assumptions!$B$11,"Needs Attention","High Risk"))</f>
        <v>Needs Attention</v>
      </c>
    </row>
    <row r="1510" customFormat="false" ht="15" hidden="false" customHeight="false" outlineLevel="0" collapsed="false">
      <c r="A1510" s="8" t="s">
        <v>3162</v>
      </c>
      <c r="B1510" s="8" t="s">
        <v>3163</v>
      </c>
      <c r="C1510" s="8" t="s">
        <v>51</v>
      </c>
      <c r="D1510" s="8" t="s">
        <v>2027</v>
      </c>
      <c r="E1510" s="8" t="s">
        <v>123</v>
      </c>
      <c r="F1510" s="8" t="s">
        <v>136</v>
      </c>
      <c r="G1510" s="8" t="s">
        <v>125</v>
      </c>
      <c r="H1510" s="15" t="n">
        <v>324</v>
      </c>
      <c r="I1510" s="15" t="n">
        <v>324</v>
      </c>
      <c r="J1510" s="16" t="n">
        <v>0.753</v>
      </c>
      <c r="K1510" s="8" t="n">
        <v>8</v>
      </c>
      <c r="L1510" s="8" t="n">
        <v>9</v>
      </c>
      <c r="M1510" s="8" t="n">
        <v>3</v>
      </c>
      <c r="N1510" s="8" t="s">
        <v>120</v>
      </c>
      <c r="O1510" s="15" t="n">
        <f aca="false">H1510*12</f>
        <v>3888</v>
      </c>
      <c r="P1510" s="8" t="n">
        <f aca="false">MIN(100,ROUND(100*J1510/Assumptions!$B$8,0))</f>
        <v>84</v>
      </c>
      <c r="Q1510" s="8" t="n">
        <f aca="false">IF(L1510="",Assumptions!$B$9,L1510*10)</f>
        <v>90</v>
      </c>
      <c r="R1510" s="8" t="n">
        <f aca="false">IF(M1510&lt;=1,Assumptions!$B$12,IF(M1510&lt;=3,Assumptions!$B$13,IF(M1510&lt;=6,Assumptions!$B$14,Assumptions!$B$15)))</f>
        <v>75</v>
      </c>
      <c r="S1510" s="8" t="n">
        <f aca="false">IF(N1510="Completed On Time",Assumptions!$B$16,IF(N1510="Completed Late",Assumptions!$B$17,Assumptions!$B$18))</f>
        <v>100</v>
      </c>
      <c r="T1510" s="8" t="n">
        <f aca="false">IF(I1510=0,Assumptions!$B$20,IF(H1510&gt;I1510,Assumptions!$B$19,IF(H1510=I1510,Assumptions!$B$20,Assumptions!$B$21)))</f>
        <v>70</v>
      </c>
      <c r="U1510" s="8" t="n">
        <f aca="false">ROUND(P1510*Assumptions!$B$2+Q1510*Assumptions!$B$3+R1510*Assumptions!$B$4+S1510*Assumptions!$B$5+T1510*Assumptions!$B$6,0)</f>
        <v>83</v>
      </c>
      <c r="V1510" s="8" t="str">
        <f aca="false">IF(U1510&gt;=Assumptions!$B$10,"Healthy",IF(U1510&gt;=Assumptions!$B$11,"Needs Attention","High Risk"))</f>
        <v>Healthy</v>
      </c>
    </row>
    <row r="1511" customFormat="false" ht="15" hidden="false" customHeight="false" outlineLevel="0" collapsed="false">
      <c r="A1511" s="8" t="s">
        <v>3164</v>
      </c>
      <c r="B1511" s="8" t="s">
        <v>3165</v>
      </c>
      <c r="C1511" s="8" t="s">
        <v>51</v>
      </c>
      <c r="D1511" s="8" t="s">
        <v>2027</v>
      </c>
      <c r="E1511" s="8" t="s">
        <v>132</v>
      </c>
      <c r="F1511" s="8" t="s">
        <v>118</v>
      </c>
      <c r="G1511" s="8" t="s">
        <v>119</v>
      </c>
      <c r="H1511" s="15" t="n">
        <v>324</v>
      </c>
      <c r="I1511" s="15" t="n">
        <v>324</v>
      </c>
      <c r="J1511" s="16" t="n">
        <v>0.605</v>
      </c>
      <c r="K1511" s="8" t="n">
        <v>6.7</v>
      </c>
      <c r="L1511" s="8" t="n">
        <v>6</v>
      </c>
      <c r="M1511" s="8" t="n">
        <v>2</v>
      </c>
      <c r="N1511" s="8" t="s">
        <v>120</v>
      </c>
      <c r="O1511" s="15" t="n">
        <f aca="false">H1511*12</f>
        <v>3888</v>
      </c>
      <c r="P1511" s="8" t="n">
        <f aca="false">MIN(100,ROUND(100*J1511/Assumptions!$B$8,0))</f>
        <v>67</v>
      </c>
      <c r="Q1511" s="8" t="n">
        <f aca="false">IF(L1511="",Assumptions!$B$9,L1511*10)</f>
        <v>60</v>
      </c>
      <c r="R1511" s="8" t="n">
        <f aca="false">IF(M1511&lt;=1,Assumptions!$B$12,IF(M1511&lt;=3,Assumptions!$B$13,IF(M1511&lt;=6,Assumptions!$B$14,Assumptions!$B$15)))</f>
        <v>75</v>
      </c>
      <c r="S1511" s="8" t="n">
        <f aca="false">IF(N1511="Completed On Time",Assumptions!$B$16,IF(N1511="Completed Late",Assumptions!$B$17,Assumptions!$B$18))</f>
        <v>100</v>
      </c>
      <c r="T1511" s="8" t="n">
        <f aca="false">IF(I1511=0,Assumptions!$B$20,IF(H1511&gt;I1511,Assumptions!$B$19,IF(H1511=I1511,Assumptions!$B$20,Assumptions!$B$21)))</f>
        <v>70</v>
      </c>
      <c r="U1511" s="8" t="n">
        <f aca="false">ROUND(P1511*Assumptions!$B$2+Q1511*Assumptions!$B$3+R1511*Assumptions!$B$4+S1511*Assumptions!$B$5+T1511*Assumptions!$B$6,0)</f>
        <v>71</v>
      </c>
      <c r="V1511" s="8" t="str">
        <f aca="false">IF(U1511&gt;=Assumptions!$B$10,"Healthy",IF(U1511&gt;=Assumptions!$B$11,"Needs Attention","High Risk"))</f>
        <v>Needs Attention</v>
      </c>
    </row>
    <row r="1512" customFormat="false" ht="15" hidden="false" customHeight="false" outlineLevel="0" collapsed="false">
      <c r="A1512" s="8" t="s">
        <v>3166</v>
      </c>
      <c r="B1512" s="8" t="s">
        <v>3167</v>
      </c>
      <c r="C1512" s="8" t="s">
        <v>51</v>
      </c>
      <c r="D1512" s="8" t="s">
        <v>2027</v>
      </c>
      <c r="E1512" s="8" t="s">
        <v>132</v>
      </c>
      <c r="F1512" s="8" t="s">
        <v>136</v>
      </c>
      <c r="G1512" s="8" t="s">
        <v>147</v>
      </c>
      <c r="H1512" s="15" t="n">
        <v>324</v>
      </c>
      <c r="I1512" s="15" t="n">
        <v>324</v>
      </c>
      <c r="J1512" s="16" t="n">
        <v>0.753</v>
      </c>
      <c r="K1512" s="8" t="n">
        <v>8.3</v>
      </c>
      <c r="L1512" s="8" t="n">
        <v>9</v>
      </c>
      <c r="M1512" s="8" t="n">
        <v>4</v>
      </c>
      <c r="N1512" s="8" t="s">
        <v>120</v>
      </c>
      <c r="O1512" s="15" t="n">
        <f aca="false">H1512*12</f>
        <v>3888</v>
      </c>
      <c r="P1512" s="8" t="n">
        <f aca="false">MIN(100,ROUND(100*J1512/Assumptions!$B$8,0))</f>
        <v>84</v>
      </c>
      <c r="Q1512" s="8" t="n">
        <f aca="false">IF(L1512="",Assumptions!$B$9,L1512*10)</f>
        <v>90</v>
      </c>
      <c r="R1512" s="8" t="n">
        <f aca="false">IF(M1512&lt;=1,Assumptions!$B$12,IF(M1512&lt;=3,Assumptions!$B$13,IF(M1512&lt;=6,Assumptions!$B$14,Assumptions!$B$15)))</f>
        <v>50</v>
      </c>
      <c r="S1512" s="8" t="n">
        <f aca="false">IF(N1512="Completed On Time",Assumptions!$B$16,IF(N1512="Completed Late",Assumptions!$B$17,Assumptions!$B$18))</f>
        <v>100</v>
      </c>
      <c r="T1512" s="8" t="n">
        <f aca="false">IF(I1512=0,Assumptions!$B$20,IF(H1512&gt;I1512,Assumptions!$B$19,IF(H1512=I1512,Assumptions!$B$20,Assumptions!$B$21)))</f>
        <v>70</v>
      </c>
      <c r="U1512" s="8" t="n">
        <f aca="false">ROUND(P1512*Assumptions!$B$2+Q1512*Assumptions!$B$3+R1512*Assumptions!$B$4+S1512*Assumptions!$B$5+T1512*Assumptions!$B$6,0)</f>
        <v>79</v>
      </c>
      <c r="V1512" s="8" t="str">
        <f aca="false">IF(U1512&gt;=Assumptions!$B$10,"Healthy",IF(U1512&gt;=Assumptions!$B$11,"Needs Attention","High Risk"))</f>
        <v>Needs Attention</v>
      </c>
    </row>
    <row r="1513" customFormat="false" ht="15" hidden="false" customHeight="false" outlineLevel="0" collapsed="false">
      <c r="A1513" s="8" t="s">
        <v>3168</v>
      </c>
      <c r="B1513" s="8" t="s">
        <v>3169</v>
      </c>
      <c r="C1513" s="8" t="s">
        <v>51</v>
      </c>
      <c r="D1513" s="8" t="s">
        <v>2027</v>
      </c>
      <c r="E1513" s="8" t="s">
        <v>123</v>
      </c>
      <c r="F1513" s="8" t="s">
        <v>151</v>
      </c>
      <c r="G1513" s="8" t="s">
        <v>185</v>
      </c>
      <c r="H1513" s="15" t="n">
        <v>324</v>
      </c>
      <c r="I1513" s="15" t="n">
        <v>324</v>
      </c>
      <c r="J1513" s="16" t="n">
        <v>0.704</v>
      </c>
      <c r="K1513" s="8" t="n">
        <v>8</v>
      </c>
      <c r="L1513" s="8" t="n">
        <v>6</v>
      </c>
      <c r="M1513" s="8" t="n">
        <v>2</v>
      </c>
      <c r="N1513" s="8" t="s">
        <v>120</v>
      </c>
      <c r="O1513" s="15" t="n">
        <f aca="false">H1513*12</f>
        <v>3888</v>
      </c>
      <c r="P1513" s="8" t="n">
        <f aca="false">MIN(100,ROUND(100*J1513/Assumptions!$B$8,0))</f>
        <v>78</v>
      </c>
      <c r="Q1513" s="8" t="n">
        <f aca="false">IF(L1513="",Assumptions!$B$9,L1513*10)</f>
        <v>60</v>
      </c>
      <c r="R1513" s="8" t="n">
        <f aca="false">IF(M1513&lt;=1,Assumptions!$B$12,IF(M1513&lt;=3,Assumptions!$B$13,IF(M1513&lt;=6,Assumptions!$B$14,Assumptions!$B$15)))</f>
        <v>75</v>
      </c>
      <c r="S1513" s="8" t="n">
        <f aca="false">IF(N1513="Completed On Time",Assumptions!$B$16,IF(N1513="Completed Late",Assumptions!$B$17,Assumptions!$B$18))</f>
        <v>100</v>
      </c>
      <c r="T1513" s="8" t="n">
        <f aca="false">IF(I1513=0,Assumptions!$B$20,IF(H1513&gt;I1513,Assumptions!$B$19,IF(H1513=I1513,Assumptions!$B$20,Assumptions!$B$21)))</f>
        <v>70</v>
      </c>
      <c r="U1513" s="8" t="n">
        <f aca="false">ROUND(P1513*Assumptions!$B$2+Q1513*Assumptions!$B$3+R1513*Assumptions!$B$4+S1513*Assumptions!$B$5+T1513*Assumptions!$B$6,0)</f>
        <v>75</v>
      </c>
      <c r="V1513" s="8" t="str">
        <f aca="false">IF(U1513&gt;=Assumptions!$B$10,"Healthy",IF(U1513&gt;=Assumptions!$B$11,"Needs Attention","High Risk"))</f>
        <v>Needs Attention</v>
      </c>
    </row>
    <row r="1514" customFormat="false" ht="15" hidden="false" customHeight="false" outlineLevel="0" collapsed="false">
      <c r="A1514" s="8" t="s">
        <v>3170</v>
      </c>
      <c r="B1514" s="8" t="s">
        <v>3171</v>
      </c>
      <c r="C1514" s="8" t="s">
        <v>51</v>
      </c>
      <c r="D1514" s="8" t="s">
        <v>2027</v>
      </c>
      <c r="E1514" s="8" t="s">
        <v>117</v>
      </c>
      <c r="F1514" s="8" t="s">
        <v>124</v>
      </c>
      <c r="G1514" s="8" t="s">
        <v>125</v>
      </c>
      <c r="H1514" s="15" t="n">
        <v>324</v>
      </c>
      <c r="I1514" s="15" t="n">
        <v>324</v>
      </c>
      <c r="J1514" s="16" t="n">
        <v>0.642</v>
      </c>
      <c r="K1514" s="8" t="n">
        <v>9</v>
      </c>
      <c r="L1514" s="8" t="n">
        <v>8</v>
      </c>
      <c r="M1514" s="8" t="n">
        <v>1</v>
      </c>
      <c r="N1514" s="8" t="s">
        <v>120</v>
      </c>
      <c r="O1514" s="15" t="n">
        <f aca="false">H1514*12</f>
        <v>3888</v>
      </c>
      <c r="P1514" s="8" t="n">
        <f aca="false">MIN(100,ROUND(100*J1514/Assumptions!$B$8,0))</f>
        <v>71</v>
      </c>
      <c r="Q1514" s="8" t="n">
        <f aca="false">IF(L1514="",Assumptions!$B$9,L1514*10)</f>
        <v>80</v>
      </c>
      <c r="R1514" s="8" t="n">
        <f aca="false">IF(M1514&lt;=1,Assumptions!$B$12,IF(M1514&lt;=3,Assumptions!$B$13,IF(M1514&lt;=6,Assumptions!$B$14,Assumptions!$B$15)))</f>
        <v>100</v>
      </c>
      <c r="S1514" s="8" t="n">
        <f aca="false">IF(N1514="Completed On Time",Assumptions!$B$16,IF(N1514="Completed Late",Assumptions!$B$17,Assumptions!$B$18))</f>
        <v>100</v>
      </c>
      <c r="T1514" s="8" t="n">
        <f aca="false">IF(I1514=0,Assumptions!$B$20,IF(H1514&gt;I1514,Assumptions!$B$19,IF(H1514=I1514,Assumptions!$B$20,Assumptions!$B$21)))</f>
        <v>70</v>
      </c>
      <c r="U1514" s="8" t="n">
        <f aca="false">ROUND(P1514*Assumptions!$B$2+Q1514*Assumptions!$B$3+R1514*Assumptions!$B$4+S1514*Assumptions!$B$5+T1514*Assumptions!$B$6,0)</f>
        <v>80</v>
      </c>
      <c r="V1514" s="8" t="str">
        <f aca="false">IF(U1514&gt;=Assumptions!$B$10,"Healthy",IF(U1514&gt;=Assumptions!$B$11,"Needs Attention","High Risk"))</f>
        <v>Healthy</v>
      </c>
    </row>
    <row r="1515" customFormat="false" ht="15" hidden="false" customHeight="false" outlineLevel="0" collapsed="false">
      <c r="A1515" s="8" t="s">
        <v>3172</v>
      </c>
      <c r="B1515" s="8" t="s">
        <v>3173</v>
      </c>
      <c r="C1515" s="8" t="s">
        <v>51</v>
      </c>
      <c r="D1515" s="8" t="s">
        <v>2027</v>
      </c>
      <c r="E1515" s="8" t="s">
        <v>117</v>
      </c>
      <c r="F1515" s="8" t="s">
        <v>143</v>
      </c>
      <c r="G1515" s="8" t="s">
        <v>204</v>
      </c>
      <c r="H1515" s="15" t="n">
        <v>324</v>
      </c>
      <c r="I1515" s="15" t="n">
        <v>324</v>
      </c>
      <c r="J1515" s="16" t="n">
        <v>0.778</v>
      </c>
      <c r="K1515" s="8" t="n">
        <v>9.3</v>
      </c>
      <c r="L1515" s="8" t="n">
        <v>7</v>
      </c>
      <c r="M1515" s="8" t="n">
        <v>3</v>
      </c>
      <c r="N1515" s="8" t="s">
        <v>120</v>
      </c>
      <c r="O1515" s="15" t="n">
        <f aca="false">H1515*12</f>
        <v>3888</v>
      </c>
      <c r="P1515" s="8" t="n">
        <f aca="false">MIN(100,ROUND(100*J1515/Assumptions!$B$8,0))</f>
        <v>86</v>
      </c>
      <c r="Q1515" s="8" t="n">
        <f aca="false">IF(L1515="",Assumptions!$B$9,L1515*10)</f>
        <v>70</v>
      </c>
      <c r="R1515" s="8" t="n">
        <f aca="false">IF(M1515&lt;=1,Assumptions!$B$12,IF(M1515&lt;=3,Assumptions!$B$13,IF(M1515&lt;=6,Assumptions!$B$14,Assumptions!$B$15)))</f>
        <v>75</v>
      </c>
      <c r="S1515" s="8" t="n">
        <f aca="false">IF(N1515="Completed On Time",Assumptions!$B$16,IF(N1515="Completed Late",Assumptions!$B$17,Assumptions!$B$18))</f>
        <v>100</v>
      </c>
      <c r="T1515" s="8" t="n">
        <f aca="false">IF(I1515=0,Assumptions!$B$20,IF(H1515&gt;I1515,Assumptions!$B$19,IF(H1515=I1515,Assumptions!$B$20,Assumptions!$B$21)))</f>
        <v>70</v>
      </c>
      <c r="U1515" s="8" t="n">
        <f aca="false">ROUND(P1515*Assumptions!$B$2+Q1515*Assumptions!$B$3+R1515*Assumptions!$B$4+S1515*Assumptions!$B$5+T1515*Assumptions!$B$6,0)</f>
        <v>79</v>
      </c>
      <c r="V1515" s="8" t="str">
        <f aca="false">IF(U1515&gt;=Assumptions!$B$10,"Healthy",IF(U1515&gt;=Assumptions!$B$11,"Needs Attention","High Risk"))</f>
        <v>Needs Attention</v>
      </c>
    </row>
    <row r="1516" customFormat="false" ht="15" hidden="false" customHeight="false" outlineLevel="0" collapsed="false">
      <c r="A1516" s="8" t="s">
        <v>3174</v>
      </c>
      <c r="B1516" s="8" t="s">
        <v>3175</v>
      </c>
      <c r="C1516" s="8" t="s">
        <v>51</v>
      </c>
      <c r="D1516" s="8" t="s">
        <v>2027</v>
      </c>
      <c r="E1516" s="8" t="s">
        <v>123</v>
      </c>
      <c r="F1516" s="8" t="s">
        <v>223</v>
      </c>
      <c r="G1516" s="8" t="s">
        <v>180</v>
      </c>
      <c r="H1516" s="15" t="n">
        <v>324</v>
      </c>
      <c r="I1516" s="15" t="n">
        <v>0</v>
      </c>
      <c r="J1516" s="16" t="n">
        <v>0.685</v>
      </c>
      <c r="K1516" s="8" t="n">
        <v>7.5</v>
      </c>
      <c r="L1516" s="8"/>
      <c r="M1516" s="8" t="n">
        <v>2</v>
      </c>
      <c r="N1516" s="8" t="s">
        <v>199</v>
      </c>
      <c r="O1516" s="15" t="n">
        <f aca="false">H1516*12</f>
        <v>3888</v>
      </c>
      <c r="P1516" s="8" t="n">
        <f aca="false">MIN(100,ROUND(100*J1516/Assumptions!$B$8,0))</f>
        <v>76</v>
      </c>
      <c r="Q1516" s="8" t="n">
        <f aca="false">IF(L1516="",Assumptions!$B$9,L1516*10)</f>
        <v>50</v>
      </c>
      <c r="R1516" s="8" t="n">
        <f aca="false">IF(M1516&lt;=1,Assumptions!$B$12,IF(M1516&lt;=3,Assumptions!$B$13,IF(M1516&lt;=6,Assumptions!$B$14,Assumptions!$B$15)))</f>
        <v>75</v>
      </c>
      <c r="S1516" s="8" t="n">
        <f aca="false">IF(N1516="Completed On Time",Assumptions!$B$16,IF(N1516="Completed Late",Assumptions!$B$17,Assumptions!$B$18))</f>
        <v>50</v>
      </c>
      <c r="T1516" s="8" t="n">
        <f aca="false">IF(I1516=0,Assumptions!$B$20,IF(H1516&gt;I1516,Assumptions!$B$19,IF(H1516=I1516,Assumptions!$B$20,Assumptions!$B$21)))</f>
        <v>70</v>
      </c>
      <c r="U1516" s="8" t="n">
        <f aca="false">ROUND(P1516*Assumptions!$B$2+Q1516*Assumptions!$B$3+R1516*Assumptions!$B$4+S1516*Assumptions!$B$5+T1516*Assumptions!$B$6,0)</f>
        <v>67</v>
      </c>
      <c r="V1516" s="8" t="str">
        <f aca="false">IF(U1516&gt;=Assumptions!$B$10,"Healthy",IF(U1516&gt;=Assumptions!$B$11,"Needs Attention","High Risk"))</f>
        <v>Needs Attention</v>
      </c>
    </row>
    <row r="1517" customFormat="false" ht="15" hidden="false" customHeight="false" outlineLevel="0" collapsed="false">
      <c r="A1517" s="8" t="s">
        <v>3176</v>
      </c>
      <c r="B1517" s="8" t="s">
        <v>3177</v>
      </c>
      <c r="C1517" s="8" t="s">
        <v>51</v>
      </c>
      <c r="D1517" s="8" t="s">
        <v>2027</v>
      </c>
      <c r="E1517" s="8" t="s">
        <v>132</v>
      </c>
      <c r="F1517" s="8" t="s">
        <v>136</v>
      </c>
      <c r="G1517" s="8" t="s">
        <v>125</v>
      </c>
      <c r="H1517" s="15" t="n">
        <v>324</v>
      </c>
      <c r="I1517" s="15" t="n">
        <v>324</v>
      </c>
      <c r="J1517" s="16" t="n">
        <v>0.765</v>
      </c>
      <c r="K1517" s="8" t="n">
        <v>9.7</v>
      </c>
      <c r="L1517" s="8" t="n">
        <v>7</v>
      </c>
      <c r="M1517" s="8" t="n">
        <v>5</v>
      </c>
      <c r="N1517" s="8" t="s">
        <v>120</v>
      </c>
      <c r="O1517" s="15" t="n">
        <f aca="false">H1517*12</f>
        <v>3888</v>
      </c>
      <c r="P1517" s="8" t="n">
        <f aca="false">MIN(100,ROUND(100*J1517/Assumptions!$B$8,0))</f>
        <v>85</v>
      </c>
      <c r="Q1517" s="8" t="n">
        <f aca="false">IF(L1517="",Assumptions!$B$9,L1517*10)</f>
        <v>70</v>
      </c>
      <c r="R1517" s="8" t="n">
        <f aca="false">IF(M1517&lt;=1,Assumptions!$B$12,IF(M1517&lt;=3,Assumptions!$B$13,IF(M1517&lt;=6,Assumptions!$B$14,Assumptions!$B$15)))</f>
        <v>50</v>
      </c>
      <c r="S1517" s="8" t="n">
        <f aca="false">IF(N1517="Completed On Time",Assumptions!$B$16,IF(N1517="Completed Late",Assumptions!$B$17,Assumptions!$B$18))</f>
        <v>100</v>
      </c>
      <c r="T1517" s="8" t="n">
        <f aca="false">IF(I1517=0,Assumptions!$B$20,IF(H1517&gt;I1517,Assumptions!$B$19,IF(H1517=I1517,Assumptions!$B$20,Assumptions!$B$21)))</f>
        <v>70</v>
      </c>
      <c r="U1517" s="8" t="n">
        <f aca="false">ROUND(P1517*Assumptions!$B$2+Q1517*Assumptions!$B$3+R1517*Assumptions!$B$4+S1517*Assumptions!$B$5+T1517*Assumptions!$B$6,0)</f>
        <v>75</v>
      </c>
      <c r="V1517" s="8" t="str">
        <f aca="false">IF(U1517&gt;=Assumptions!$B$10,"Healthy",IF(U1517&gt;=Assumptions!$B$11,"Needs Attention","High Risk"))</f>
        <v>Needs Attention</v>
      </c>
    </row>
    <row r="1518" customFormat="false" ht="15" hidden="false" customHeight="false" outlineLevel="0" collapsed="false">
      <c r="A1518" s="8" t="s">
        <v>3178</v>
      </c>
      <c r="B1518" s="8" t="s">
        <v>3179</v>
      </c>
      <c r="C1518" s="8" t="s">
        <v>51</v>
      </c>
      <c r="D1518" s="8" t="s">
        <v>2027</v>
      </c>
      <c r="E1518" s="8" t="s">
        <v>123</v>
      </c>
      <c r="F1518" s="8" t="s">
        <v>124</v>
      </c>
      <c r="G1518" s="8" t="s">
        <v>140</v>
      </c>
      <c r="H1518" s="15" t="n">
        <v>324</v>
      </c>
      <c r="I1518" s="15" t="n">
        <v>324</v>
      </c>
      <c r="J1518" s="16" t="n">
        <v>0.914</v>
      </c>
      <c r="K1518" s="8" t="n">
        <v>11.7</v>
      </c>
      <c r="L1518" s="8" t="n">
        <v>10</v>
      </c>
      <c r="M1518" s="8" t="n">
        <v>0</v>
      </c>
      <c r="N1518" s="8" t="s">
        <v>120</v>
      </c>
      <c r="O1518" s="15" t="n">
        <f aca="false">H1518*12</f>
        <v>3888</v>
      </c>
      <c r="P1518" s="8" t="n">
        <f aca="false">MIN(100,ROUND(100*J1518/Assumptions!$B$8,0))</f>
        <v>100</v>
      </c>
      <c r="Q1518" s="8" t="n">
        <f aca="false">IF(L1518="",Assumptions!$B$9,L1518*10)</f>
        <v>100</v>
      </c>
      <c r="R1518" s="8" t="n">
        <f aca="false">IF(M1518&lt;=1,Assumptions!$B$12,IF(M1518&lt;=3,Assumptions!$B$13,IF(M1518&lt;=6,Assumptions!$B$14,Assumptions!$B$15)))</f>
        <v>100</v>
      </c>
      <c r="S1518" s="8" t="n">
        <f aca="false">IF(N1518="Completed On Time",Assumptions!$B$16,IF(N1518="Completed Late",Assumptions!$B$17,Assumptions!$B$18))</f>
        <v>100</v>
      </c>
      <c r="T1518" s="8" t="n">
        <f aca="false">IF(I1518=0,Assumptions!$B$20,IF(H1518&gt;I1518,Assumptions!$B$19,IF(H1518=I1518,Assumptions!$B$20,Assumptions!$B$21)))</f>
        <v>70</v>
      </c>
      <c r="U1518" s="8" t="n">
        <f aca="false">ROUND(P1518*Assumptions!$B$2+Q1518*Assumptions!$B$3+R1518*Assumptions!$B$4+S1518*Assumptions!$B$5+T1518*Assumptions!$B$6,0)</f>
        <v>94</v>
      </c>
      <c r="V1518" s="8" t="str">
        <f aca="false">IF(U1518&gt;=Assumptions!$B$10,"Healthy",IF(U1518&gt;=Assumptions!$B$11,"Needs Attention","High Risk"))</f>
        <v>Healthy</v>
      </c>
    </row>
    <row r="1519" customFormat="false" ht="15" hidden="false" customHeight="false" outlineLevel="0" collapsed="false">
      <c r="A1519" s="8" t="s">
        <v>3180</v>
      </c>
      <c r="B1519" s="8" t="s">
        <v>3181</v>
      </c>
      <c r="C1519" s="8" t="s">
        <v>51</v>
      </c>
      <c r="D1519" s="8" t="s">
        <v>2027</v>
      </c>
      <c r="E1519" s="8" t="s">
        <v>132</v>
      </c>
      <c r="F1519" s="8" t="s">
        <v>166</v>
      </c>
      <c r="G1519" s="8" t="s">
        <v>177</v>
      </c>
      <c r="H1519" s="15" t="n">
        <v>324</v>
      </c>
      <c r="I1519" s="15" t="n">
        <v>324</v>
      </c>
      <c r="J1519" s="16" t="n">
        <v>0.84</v>
      </c>
      <c r="K1519" s="8" t="n">
        <v>9.3</v>
      </c>
      <c r="L1519" s="8" t="n">
        <v>8</v>
      </c>
      <c r="M1519" s="8" t="n">
        <v>2</v>
      </c>
      <c r="N1519" s="8" t="s">
        <v>120</v>
      </c>
      <c r="O1519" s="15" t="n">
        <f aca="false">H1519*12</f>
        <v>3888</v>
      </c>
      <c r="P1519" s="8" t="n">
        <f aca="false">MIN(100,ROUND(100*J1519/Assumptions!$B$8,0))</f>
        <v>93</v>
      </c>
      <c r="Q1519" s="8" t="n">
        <f aca="false">IF(L1519="",Assumptions!$B$9,L1519*10)</f>
        <v>80</v>
      </c>
      <c r="R1519" s="8" t="n">
        <f aca="false">IF(M1519&lt;=1,Assumptions!$B$12,IF(M1519&lt;=3,Assumptions!$B$13,IF(M1519&lt;=6,Assumptions!$B$14,Assumptions!$B$15)))</f>
        <v>75</v>
      </c>
      <c r="S1519" s="8" t="n">
        <f aca="false">IF(N1519="Completed On Time",Assumptions!$B$16,IF(N1519="Completed Late",Assumptions!$B$17,Assumptions!$B$18))</f>
        <v>100</v>
      </c>
      <c r="T1519" s="8" t="n">
        <f aca="false">IF(I1519=0,Assumptions!$B$20,IF(H1519&gt;I1519,Assumptions!$B$19,IF(H1519=I1519,Assumptions!$B$20,Assumptions!$B$21)))</f>
        <v>70</v>
      </c>
      <c r="U1519" s="8" t="n">
        <f aca="false">ROUND(P1519*Assumptions!$B$2+Q1519*Assumptions!$B$3+R1519*Assumptions!$B$4+S1519*Assumptions!$B$5+T1519*Assumptions!$B$6,0)</f>
        <v>84</v>
      </c>
      <c r="V1519" s="8" t="str">
        <f aca="false">IF(U1519&gt;=Assumptions!$B$10,"Healthy",IF(U1519&gt;=Assumptions!$B$11,"Needs Attention","High Risk"))</f>
        <v>Healthy</v>
      </c>
    </row>
    <row r="1520" customFormat="false" ht="15" hidden="false" customHeight="false" outlineLevel="0" collapsed="false">
      <c r="A1520" s="8" t="s">
        <v>3182</v>
      </c>
      <c r="B1520" s="8" t="s">
        <v>3183</v>
      </c>
      <c r="C1520" s="8" t="s">
        <v>51</v>
      </c>
      <c r="D1520" s="8" t="s">
        <v>2027</v>
      </c>
      <c r="E1520" s="8" t="s">
        <v>123</v>
      </c>
      <c r="F1520" s="8" t="s">
        <v>136</v>
      </c>
      <c r="G1520" s="8" t="s">
        <v>140</v>
      </c>
      <c r="H1520" s="15" t="n">
        <v>324</v>
      </c>
      <c r="I1520" s="15" t="n">
        <v>324</v>
      </c>
      <c r="J1520" s="16" t="n">
        <v>0.926</v>
      </c>
      <c r="K1520" s="8" t="n">
        <v>9.3</v>
      </c>
      <c r="L1520" s="8" t="n">
        <v>10</v>
      </c>
      <c r="M1520" s="8" t="n">
        <v>1</v>
      </c>
      <c r="N1520" s="8" t="s">
        <v>120</v>
      </c>
      <c r="O1520" s="15" t="n">
        <f aca="false">H1520*12</f>
        <v>3888</v>
      </c>
      <c r="P1520" s="8" t="n">
        <f aca="false">MIN(100,ROUND(100*J1520/Assumptions!$B$8,0))</f>
        <v>100</v>
      </c>
      <c r="Q1520" s="8" t="n">
        <f aca="false">IF(L1520="",Assumptions!$B$9,L1520*10)</f>
        <v>100</v>
      </c>
      <c r="R1520" s="8" t="n">
        <f aca="false">IF(M1520&lt;=1,Assumptions!$B$12,IF(M1520&lt;=3,Assumptions!$B$13,IF(M1520&lt;=6,Assumptions!$B$14,Assumptions!$B$15)))</f>
        <v>100</v>
      </c>
      <c r="S1520" s="8" t="n">
        <f aca="false">IF(N1520="Completed On Time",Assumptions!$B$16,IF(N1520="Completed Late",Assumptions!$B$17,Assumptions!$B$18))</f>
        <v>100</v>
      </c>
      <c r="T1520" s="8" t="n">
        <f aca="false">IF(I1520=0,Assumptions!$B$20,IF(H1520&gt;I1520,Assumptions!$B$19,IF(H1520=I1520,Assumptions!$B$20,Assumptions!$B$21)))</f>
        <v>70</v>
      </c>
      <c r="U1520" s="8" t="n">
        <f aca="false">ROUND(P1520*Assumptions!$B$2+Q1520*Assumptions!$B$3+R1520*Assumptions!$B$4+S1520*Assumptions!$B$5+T1520*Assumptions!$B$6,0)</f>
        <v>94</v>
      </c>
      <c r="V1520" s="8" t="str">
        <f aca="false">IF(U1520&gt;=Assumptions!$B$10,"Healthy",IF(U1520&gt;=Assumptions!$B$11,"Needs Attention","High Risk"))</f>
        <v>Healthy</v>
      </c>
    </row>
    <row r="1521" customFormat="false" ht="15" hidden="false" customHeight="false" outlineLevel="0" collapsed="false">
      <c r="A1521" s="8" t="s">
        <v>3184</v>
      </c>
      <c r="B1521" s="8" t="s">
        <v>3185</v>
      </c>
      <c r="C1521" s="8" t="s">
        <v>51</v>
      </c>
      <c r="D1521" s="8" t="s">
        <v>2027</v>
      </c>
      <c r="E1521" s="8" t="s">
        <v>123</v>
      </c>
      <c r="F1521" s="8" t="s">
        <v>154</v>
      </c>
      <c r="G1521" s="8" t="s">
        <v>204</v>
      </c>
      <c r="H1521" s="15" t="n">
        <v>324</v>
      </c>
      <c r="I1521" s="15" t="n">
        <v>324</v>
      </c>
      <c r="J1521" s="16" t="n">
        <v>0.605</v>
      </c>
      <c r="K1521" s="8" t="n">
        <v>7.7</v>
      </c>
      <c r="L1521" s="8" t="n">
        <v>10</v>
      </c>
      <c r="M1521" s="8" t="n">
        <v>5</v>
      </c>
      <c r="N1521" s="8" t="s">
        <v>120</v>
      </c>
      <c r="O1521" s="15" t="n">
        <f aca="false">H1521*12</f>
        <v>3888</v>
      </c>
      <c r="P1521" s="8" t="n">
        <f aca="false">MIN(100,ROUND(100*J1521/Assumptions!$B$8,0))</f>
        <v>67</v>
      </c>
      <c r="Q1521" s="8" t="n">
        <f aca="false">IF(L1521="",Assumptions!$B$9,L1521*10)</f>
        <v>100</v>
      </c>
      <c r="R1521" s="8" t="n">
        <f aca="false">IF(M1521&lt;=1,Assumptions!$B$12,IF(M1521&lt;=3,Assumptions!$B$13,IF(M1521&lt;=6,Assumptions!$B$14,Assumptions!$B$15)))</f>
        <v>50</v>
      </c>
      <c r="S1521" s="8" t="n">
        <f aca="false">IF(N1521="Completed On Time",Assumptions!$B$16,IF(N1521="Completed Late",Assumptions!$B$17,Assumptions!$B$18))</f>
        <v>100</v>
      </c>
      <c r="T1521" s="8" t="n">
        <f aca="false">IF(I1521=0,Assumptions!$B$20,IF(H1521&gt;I1521,Assumptions!$B$19,IF(H1521=I1521,Assumptions!$B$20,Assumptions!$B$21)))</f>
        <v>70</v>
      </c>
      <c r="U1521" s="8" t="n">
        <f aca="false">ROUND(P1521*Assumptions!$B$2+Q1521*Assumptions!$B$3+R1521*Assumptions!$B$4+S1521*Assumptions!$B$5+T1521*Assumptions!$B$6,0)</f>
        <v>75</v>
      </c>
      <c r="V1521" s="8" t="str">
        <f aca="false">IF(U1521&gt;=Assumptions!$B$10,"Healthy",IF(U1521&gt;=Assumptions!$B$11,"Needs Attention","High Risk"))</f>
        <v>Needs Attention</v>
      </c>
    </row>
    <row r="1522" customFormat="false" ht="15" hidden="false" customHeight="false" outlineLevel="0" collapsed="false">
      <c r="A1522" s="8" t="s">
        <v>3186</v>
      </c>
      <c r="B1522" s="8" t="s">
        <v>3187</v>
      </c>
      <c r="C1522" s="8" t="s">
        <v>51</v>
      </c>
      <c r="D1522" s="8" t="s">
        <v>2027</v>
      </c>
      <c r="E1522" s="8" t="s">
        <v>117</v>
      </c>
      <c r="F1522" s="8" t="s">
        <v>143</v>
      </c>
      <c r="G1522" s="8" t="s">
        <v>180</v>
      </c>
      <c r="H1522" s="15" t="n">
        <v>324</v>
      </c>
      <c r="I1522" s="15" t="n">
        <v>324</v>
      </c>
      <c r="J1522" s="16" t="n">
        <v>0.691</v>
      </c>
      <c r="K1522" s="8" t="n">
        <v>7.7</v>
      </c>
      <c r="L1522" s="8" t="n">
        <v>10</v>
      </c>
      <c r="M1522" s="8" t="n">
        <v>3</v>
      </c>
      <c r="N1522" s="8" t="s">
        <v>120</v>
      </c>
      <c r="O1522" s="15" t="n">
        <f aca="false">H1522*12</f>
        <v>3888</v>
      </c>
      <c r="P1522" s="8" t="n">
        <f aca="false">MIN(100,ROUND(100*J1522/Assumptions!$B$8,0))</f>
        <v>77</v>
      </c>
      <c r="Q1522" s="8" t="n">
        <f aca="false">IF(L1522="",Assumptions!$B$9,L1522*10)</f>
        <v>100</v>
      </c>
      <c r="R1522" s="8" t="n">
        <f aca="false">IF(M1522&lt;=1,Assumptions!$B$12,IF(M1522&lt;=3,Assumptions!$B$13,IF(M1522&lt;=6,Assumptions!$B$14,Assumptions!$B$15)))</f>
        <v>75</v>
      </c>
      <c r="S1522" s="8" t="n">
        <f aca="false">IF(N1522="Completed On Time",Assumptions!$B$16,IF(N1522="Completed Late",Assumptions!$B$17,Assumptions!$B$18))</f>
        <v>100</v>
      </c>
      <c r="T1522" s="8" t="n">
        <f aca="false">IF(I1522=0,Assumptions!$B$20,IF(H1522&gt;I1522,Assumptions!$B$19,IF(H1522=I1522,Assumptions!$B$20,Assumptions!$B$21)))</f>
        <v>70</v>
      </c>
      <c r="U1522" s="8" t="n">
        <f aca="false">ROUND(P1522*Assumptions!$B$2+Q1522*Assumptions!$B$3+R1522*Assumptions!$B$4+S1522*Assumptions!$B$5+T1522*Assumptions!$B$6,0)</f>
        <v>82</v>
      </c>
      <c r="V1522" s="8" t="str">
        <f aca="false">IF(U1522&gt;=Assumptions!$B$10,"Healthy",IF(U1522&gt;=Assumptions!$B$11,"Needs Attention","High Risk"))</f>
        <v>Healthy</v>
      </c>
    </row>
    <row r="1523" customFormat="false" ht="15" hidden="false" customHeight="false" outlineLevel="0" collapsed="false">
      <c r="A1523" s="8" t="s">
        <v>3188</v>
      </c>
      <c r="B1523" s="8" t="s">
        <v>3189</v>
      </c>
      <c r="C1523" s="8" t="s">
        <v>51</v>
      </c>
      <c r="D1523" s="8" t="s">
        <v>2027</v>
      </c>
      <c r="E1523" s="8" t="s">
        <v>123</v>
      </c>
      <c r="F1523" s="8" t="s">
        <v>136</v>
      </c>
      <c r="G1523" s="8" t="s">
        <v>144</v>
      </c>
      <c r="H1523" s="15" t="n">
        <v>324</v>
      </c>
      <c r="I1523" s="15" t="n">
        <v>324</v>
      </c>
      <c r="J1523" s="16" t="n">
        <v>0.778</v>
      </c>
      <c r="K1523" s="8" t="n">
        <v>8.3</v>
      </c>
      <c r="L1523" s="8" t="n">
        <v>8</v>
      </c>
      <c r="M1523" s="8" t="n">
        <v>1</v>
      </c>
      <c r="N1523" s="8" t="s">
        <v>120</v>
      </c>
      <c r="O1523" s="15" t="n">
        <f aca="false">H1523*12</f>
        <v>3888</v>
      </c>
      <c r="P1523" s="8" t="n">
        <f aca="false">MIN(100,ROUND(100*J1523/Assumptions!$B$8,0))</f>
        <v>86</v>
      </c>
      <c r="Q1523" s="8" t="n">
        <f aca="false">IF(L1523="",Assumptions!$B$9,L1523*10)</f>
        <v>80</v>
      </c>
      <c r="R1523" s="8" t="n">
        <f aca="false">IF(M1523&lt;=1,Assumptions!$B$12,IF(M1523&lt;=3,Assumptions!$B$13,IF(M1523&lt;=6,Assumptions!$B$14,Assumptions!$B$15)))</f>
        <v>100</v>
      </c>
      <c r="S1523" s="8" t="n">
        <f aca="false">IF(N1523="Completed On Time",Assumptions!$B$16,IF(N1523="Completed Late",Assumptions!$B$17,Assumptions!$B$18))</f>
        <v>100</v>
      </c>
      <c r="T1523" s="8" t="n">
        <f aca="false">IF(I1523=0,Assumptions!$B$20,IF(H1523&gt;I1523,Assumptions!$B$19,IF(H1523=I1523,Assumptions!$B$20,Assumptions!$B$21)))</f>
        <v>70</v>
      </c>
      <c r="U1523" s="8" t="n">
        <f aca="false">ROUND(P1523*Assumptions!$B$2+Q1523*Assumptions!$B$3+R1523*Assumptions!$B$4+S1523*Assumptions!$B$5+T1523*Assumptions!$B$6,0)</f>
        <v>85</v>
      </c>
      <c r="V1523" s="8" t="str">
        <f aca="false">IF(U1523&gt;=Assumptions!$B$10,"Healthy",IF(U1523&gt;=Assumptions!$B$11,"Needs Attention","High Risk"))</f>
        <v>Healthy</v>
      </c>
    </row>
    <row r="1524" customFormat="false" ht="15" hidden="false" customHeight="false" outlineLevel="0" collapsed="false">
      <c r="A1524" s="8" t="s">
        <v>3190</v>
      </c>
      <c r="B1524" s="8" t="s">
        <v>3191</v>
      </c>
      <c r="C1524" s="8" t="s">
        <v>51</v>
      </c>
      <c r="D1524" s="8" t="s">
        <v>2027</v>
      </c>
      <c r="E1524" s="8" t="s">
        <v>123</v>
      </c>
      <c r="F1524" s="8" t="s">
        <v>190</v>
      </c>
      <c r="G1524" s="8" t="s">
        <v>129</v>
      </c>
      <c r="H1524" s="15" t="n">
        <v>324</v>
      </c>
      <c r="I1524" s="15" t="n">
        <v>324</v>
      </c>
      <c r="J1524" s="16" t="n">
        <v>0.79</v>
      </c>
      <c r="K1524" s="8" t="n">
        <v>9.7</v>
      </c>
      <c r="L1524" s="8" t="n">
        <v>10</v>
      </c>
      <c r="M1524" s="8" t="n">
        <v>2</v>
      </c>
      <c r="N1524" s="8" t="s">
        <v>148</v>
      </c>
      <c r="O1524" s="15" t="n">
        <f aca="false">H1524*12</f>
        <v>3888</v>
      </c>
      <c r="P1524" s="8" t="n">
        <f aca="false">MIN(100,ROUND(100*J1524/Assumptions!$B$8,0))</f>
        <v>88</v>
      </c>
      <c r="Q1524" s="8" t="n">
        <f aca="false">IF(L1524="",Assumptions!$B$9,L1524*10)</f>
        <v>100</v>
      </c>
      <c r="R1524" s="8" t="n">
        <f aca="false">IF(M1524&lt;=1,Assumptions!$B$12,IF(M1524&lt;=3,Assumptions!$B$13,IF(M1524&lt;=6,Assumptions!$B$14,Assumptions!$B$15)))</f>
        <v>75</v>
      </c>
      <c r="S1524" s="8" t="n">
        <f aca="false">IF(N1524="Completed On Time",Assumptions!$B$16,IF(N1524="Completed Late",Assumptions!$B$17,Assumptions!$B$18))</f>
        <v>60</v>
      </c>
      <c r="T1524" s="8" t="n">
        <f aca="false">IF(I1524=0,Assumptions!$B$20,IF(H1524&gt;I1524,Assumptions!$B$19,IF(H1524=I1524,Assumptions!$B$20,Assumptions!$B$21)))</f>
        <v>70</v>
      </c>
      <c r="U1524" s="8" t="n">
        <f aca="false">ROUND(P1524*Assumptions!$B$2+Q1524*Assumptions!$B$3+R1524*Assumptions!$B$4+S1524*Assumptions!$B$5+T1524*Assumptions!$B$6,0)</f>
        <v>82</v>
      </c>
      <c r="V1524" s="8" t="str">
        <f aca="false">IF(U1524&gt;=Assumptions!$B$10,"Healthy",IF(U1524&gt;=Assumptions!$B$11,"Needs Attention","High Risk"))</f>
        <v>Healthy</v>
      </c>
    </row>
    <row r="1525" customFormat="false" ht="15" hidden="false" customHeight="false" outlineLevel="0" collapsed="false">
      <c r="A1525" s="8" t="s">
        <v>3192</v>
      </c>
      <c r="B1525" s="8" t="s">
        <v>3193</v>
      </c>
      <c r="C1525" s="8" t="s">
        <v>51</v>
      </c>
      <c r="D1525" s="8" t="s">
        <v>2027</v>
      </c>
      <c r="E1525" s="8" t="s">
        <v>117</v>
      </c>
      <c r="F1525" s="8" t="s">
        <v>133</v>
      </c>
      <c r="G1525" s="8" t="s">
        <v>144</v>
      </c>
      <c r="H1525" s="15" t="n">
        <v>324</v>
      </c>
      <c r="I1525" s="15" t="n">
        <v>240</v>
      </c>
      <c r="J1525" s="16" t="n">
        <v>0.821</v>
      </c>
      <c r="K1525" s="8" t="n">
        <v>9.3</v>
      </c>
      <c r="L1525" s="8" t="n">
        <v>9</v>
      </c>
      <c r="M1525" s="8" t="n">
        <v>1</v>
      </c>
      <c r="N1525" s="8" t="s">
        <v>120</v>
      </c>
      <c r="O1525" s="15" t="n">
        <f aca="false">H1525*12</f>
        <v>3888</v>
      </c>
      <c r="P1525" s="8" t="n">
        <f aca="false">MIN(100,ROUND(100*J1525/Assumptions!$B$8,0))</f>
        <v>91</v>
      </c>
      <c r="Q1525" s="8" t="n">
        <f aca="false">IF(L1525="",Assumptions!$B$9,L1525*10)</f>
        <v>90</v>
      </c>
      <c r="R1525" s="8" t="n">
        <f aca="false">IF(M1525&lt;=1,Assumptions!$B$12,IF(M1525&lt;=3,Assumptions!$B$13,IF(M1525&lt;=6,Assumptions!$B$14,Assumptions!$B$15)))</f>
        <v>100</v>
      </c>
      <c r="S1525" s="8" t="n">
        <f aca="false">IF(N1525="Completed On Time",Assumptions!$B$16,IF(N1525="Completed Late",Assumptions!$B$17,Assumptions!$B$18))</f>
        <v>100</v>
      </c>
      <c r="T1525" s="8" t="n">
        <f aca="false">IF(I1525=0,Assumptions!$B$20,IF(H1525&gt;I1525,Assumptions!$B$19,IF(H1525=I1525,Assumptions!$B$20,Assumptions!$B$21)))</f>
        <v>100</v>
      </c>
      <c r="U1525" s="8" t="n">
        <f aca="false">ROUND(P1525*Assumptions!$B$2+Q1525*Assumptions!$B$3+R1525*Assumptions!$B$4+S1525*Assumptions!$B$5+T1525*Assumptions!$B$6,0)</f>
        <v>95</v>
      </c>
      <c r="V1525" s="8" t="str">
        <f aca="false">IF(U1525&gt;=Assumptions!$B$10,"Healthy",IF(U1525&gt;=Assumptions!$B$11,"Needs Attention","High Risk"))</f>
        <v>Healthy</v>
      </c>
    </row>
    <row r="1526" customFormat="false" ht="15" hidden="false" customHeight="false" outlineLevel="0" collapsed="false">
      <c r="A1526" s="8" t="s">
        <v>3194</v>
      </c>
      <c r="B1526" s="8" t="s">
        <v>3195</v>
      </c>
      <c r="C1526" s="8" t="s">
        <v>51</v>
      </c>
      <c r="D1526" s="8" t="s">
        <v>2027</v>
      </c>
      <c r="E1526" s="8" t="s">
        <v>132</v>
      </c>
      <c r="F1526" s="8" t="s">
        <v>118</v>
      </c>
      <c r="G1526" s="8" t="s">
        <v>177</v>
      </c>
      <c r="H1526" s="15" t="n">
        <v>324</v>
      </c>
      <c r="I1526" s="15" t="n">
        <v>324</v>
      </c>
      <c r="J1526" s="16" t="n">
        <v>0.704</v>
      </c>
      <c r="K1526" s="8" t="n">
        <v>7.7</v>
      </c>
      <c r="L1526" s="8" t="n">
        <v>9</v>
      </c>
      <c r="M1526" s="8" t="n">
        <v>4</v>
      </c>
      <c r="N1526" s="8" t="s">
        <v>120</v>
      </c>
      <c r="O1526" s="15" t="n">
        <f aca="false">H1526*12</f>
        <v>3888</v>
      </c>
      <c r="P1526" s="8" t="n">
        <f aca="false">MIN(100,ROUND(100*J1526/Assumptions!$B$8,0))</f>
        <v>78</v>
      </c>
      <c r="Q1526" s="8" t="n">
        <f aca="false">IF(L1526="",Assumptions!$B$9,L1526*10)</f>
        <v>90</v>
      </c>
      <c r="R1526" s="8" t="n">
        <f aca="false">IF(M1526&lt;=1,Assumptions!$B$12,IF(M1526&lt;=3,Assumptions!$B$13,IF(M1526&lt;=6,Assumptions!$B$14,Assumptions!$B$15)))</f>
        <v>50</v>
      </c>
      <c r="S1526" s="8" t="n">
        <f aca="false">IF(N1526="Completed On Time",Assumptions!$B$16,IF(N1526="Completed Late",Assumptions!$B$17,Assumptions!$B$18))</f>
        <v>100</v>
      </c>
      <c r="T1526" s="8" t="n">
        <f aca="false">IF(I1526=0,Assumptions!$B$20,IF(H1526&gt;I1526,Assumptions!$B$19,IF(H1526=I1526,Assumptions!$B$20,Assumptions!$B$21)))</f>
        <v>70</v>
      </c>
      <c r="U1526" s="8" t="n">
        <f aca="false">ROUND(P1526*Assumptions!$B$2+Q1526*Assumptions!$B$3+R1526*Assumptions!$B$4+S1526*Assumptions!$B$5+T1526*Assumptions!$B$6,0)</f>
        <v>77</v>
      </c>
      <c r="V1526" s="8" t="str">
        <f aca="false">IF(U1526&gt;=Assumptions!$B$10,"Healthy",IF(U1526&gt;=Assumptions!$B$11,"Needs Attention","High Risk"))</f>
        <v>Needs Attention</v>
      </c>
    </row>
    <row r="1527" customFormat="false" ht="15" hidden="false" customHeight="false" outlineLevel="0" collapsed="false">
      <c r="A1527" s="8" t="s">
        <v>3196</v>
      </c>
      <c r="B1527" s="8" t="s">
        <v>3197</v>
      </c>
      <c r="C1527" s="8" t="s">
        <v>51</v>
      </c>
      <c r="D1527" s="8" t="s">
        <v>2027</v>
      </c>
      <c r="E1527" s="8" t="s">
        <v>132</v>
      </c>
      <c r="F1527" s="8" t="s">
        <v>136</v>
      </c>
      <c r="G1527" s="8" t="s">
        <v>180</v>
      </c>
      <c r="H1527" s="15" t="n">
        <v>324</v>
      </c>
      <c r="I1527" s="15" t="n">
        <v>240</v>
      </c>
      <c r="J1527" s="16" t="n">
        <v>0.593</v>
      </c>
      <c r="K1527" s="8" t="n">
        <v>8</v>
      </c>
      <c r="L1527" s="8" t="n">
        <v>6</v>
      </c>
      <c r="M1527" s="8" t="n">
        <v>4</v>
      </c>
      <c r="N1527" s="8" t="s">
        <v>120</v>
      </c>
      <c r="O1527" s="15" t="n">
        <f aca="false">H1527*12</f>
        <v>3888</v>
      </c>
      <c r="P1527" s="8" t="n">
        <f aca="false">MIN(100,ROUND(100*J1527/Assumptions!$B$8,0))</f>
        <v>66</v>
      </c>
      <c r="Q1527" s="8" t="n">
        <f aca="false">IF(L1527="",Assumptions!$B$9,L1527*10)</f>
        <v>60</v>
      </c>
      <c r="R1527" s="8" t="n">
        <f aca="false">IF(M1527&lt;=1,Assumptions!$B$12,IF(M1527&lt;=3,Assumptions!$B$13,IF(M1527&lt;=6,Assumptions!$B$14,Assumptions!$B$15)))</f>
        <v>50</v>
      </c>
      <c r="S1527" s="8" t="n">
        <f aca="false">IF(N1527="Completed On Time",Assumptions!$B$16,IF(N1527="Completed Late",Assumptions!$B$17,Assumptions!$B$18))</f>
        <v>100</v>
      </c>
      <c r="T1527" s="8" t="n">
        <f aca="false">IF(I1527=0,Assumptions!$B$20,IF(H1527&gt;I1527,Assumptions!$B$19,IF(H1527=I1527,Assumptions!$B$20,Assumptions!$B$21)))</f>
        <v>100</v>
      </c>
      <c r="U1527" s="8" t="n">
        <f aca="false">ROUND(P1527*Assumptions!$B$2+Q1527*Assumptions!$B$3+R1527*Assumptions!$B$4+S1527*Assumptions!$B$5+T1527*Assumptions!$B$6,0)</f>
        <v>73</v>
      </c>
      <c r="V1527" s="8" t="str">
        <f aca="false">IF(U1527&gt;=Assumptions!$B$10,"Healthy",IF(U1527&gt;=Assumptions!$B$11,"Needs Attention","High Risk"))</f>
        <v>Needs Attention</v>
      </c>
    </row>
    <row r="1528" customFormat="false" ht="15" hidden="false" customHeight="false" outlineLevel="0" collapsed="false">
      <c r="A1528" s="8" t="s">
        <v>3198</v>
      </c>
      <c r="B1528" s="8" t="s">
        <v>3199</v>
      </c>
      <c r="C1528" s="8" t="s">
        <v>51</v>
      </c>
      <c r="D1528" s="8" t="s">
        <v>2027</v>
      </c>
      <c r="E1528" s="8" t="s">
        <v>123</v>
      </c>
      <c r="F1528" s="8" t="s">
        <v>166</v>
      </c>
      <c r="G1528" s="8" t="s">
        <v>140</v>
      </c>
      <c r="H1528" s="15" t="n">
        <v>324</v>
      </c>
      <c r="I1528" s="15" t="n">
        <v>324</v>
      </c>
      <c r="J1528" s="16" t="n">
        <v>0.691</v>
      </c>
      <c r="K1528" s="8" t="n">
        <v>7.7</v>
      </c>
      <c r="L1528" s="8" t="n">
        <v>9</v>
      </c>
      <c r="M1528" s="8" t="n">
        <v>5</v>
      </c>
      <c r="N1528" s="8" t="s">
        <v>120</v>
      </c>
      <c r="O1528" s="15" t="n">
        <f aca="false">H1528*12</f>
        <v>3888</v>
      </c>
      <c r="P1528" s="8" t="n">
        <f aca="false">MIN(100,ROUND(100*J1528/Assumptions!$B$8,0))</f>
        <v>77</v>
      </c>
      <c r="Q1528" s="8" t="n">
        <f aca="false">IF(L1528="",Assumptions!$B$9,L1528*10)</f>
        <v>90</v>
      </c>
      <c r="R1528" s="8" t="n">
        <f aca="false">IF(M1528&lt;=1,Assumptions!$B$12,IF(M1528&lt;=3,Assumptions!$B$13,IF(M1528&lt;=6,Assumptions!$B$14,Assumptions!$B$15)))</f>
        <v>50</v>
      </c>
      <c r="S1528" s="8" t="n">
        <f aca="false">IF(N1528="Completed On Time",Assumptions!$B$16,IF(N1528="Completed Late",Assumptions!$B$17,Assumptions!$B$18))</f>
        <v>100</v>
      </c>
      <c r="T1528" s="8" t="n">
        <f aca="false">IF(I1528=0,Assumptions!$B$20,IF(H1528&gt;I1528,Assumptions!$B$19,IF(H1528=I1528,Assumptions!$B$20,Assumptions!$B$21)))</f>
        <v>70</v>
      </c>
      <c r="U1528" s="8" t="n">
        <f aca="false">ROUND(P1528*Assumptions!$B$2+Q1528*Assumptions!$B$3+R1528*Assumptions!$B$4+S1528*Assumptions!$B$5+T1528*Assumptions!$B$6,0)</f>
        <v>76</v>
      </c>
      <c r="V1528" s="8" t="str">
        <f aca="false">IF(U1528&gt;=Assumptions!$B$10,"Healthy",IF(U1528&gt;=Assumptions!$B$11,"Needs Attention","High Risk"))</f>
        <v>Needs Attention</v>
      </c>
    </row>
    <row r="1529" customFormat="false" ht="15" hidden="false" customHeight="false" outlineLevel="0" collapsed="false">
      <c r="A1529" s="8" t="s">
        <v>3200</v>
      </c>
      <c r="B1529" s="8" t="s">
        <v>3201</v>
      </c>
      <c r="C1529" s="8" t="s">
        <v>51</v>
      </c>
      <c r="D1529" s="8" t="s">
        <v>2027</v>
      </c>
      <c r="E1529" s="8" t="s">
        <v>132</v>
      </c>
      <c r="F1529" s="8" t="s">
        <v>223</v>
      </c>
      <c r="G1529" s="8" t="s">
        <v>137</v>
      </c>
      <c r="H1529" s="15" t="n">
        <v>312</v>
      </c>
      <c r="I1529" s="15" t="n">
        <v>312</v>
      </c>
      <c r="J1529" s="16" t="n">
        <v>0.936</v>
      </c>
      <c r="K1529" s="8" t="n">
        <v>10.7</v>
      </c>
      <c r="L1529" s="8" t="n">
        <v>10</v>
      </c>
      <c r="M1529" s="8" t="n">
        <v>0</v>
      </c>
      <c r="N1529" s="8" t="s">
        <v>120</v>
      </c>
      <c r="O1529" s="15" t="n">
        <f aca="false">H1529*12</f>
        <v>3744</v>
      </c>
      <c r="P1529" s="8" t="n">
        <f aca="false">MIN(100,ROUND(100*J1529/Assumptions!$B$8,0))</f>
        <v>100</v>
      </c>
      <c r="Q1529" s="8" t="n">
        <f aca="false">IF(L1529="",Assumptions!$B$9,L1529*10)</f>
        <v>100</v>
      </c>
      <c r="R1529" s="8" t="n">
        <f aca="false">IF(M1529&lt;=1,Assumptions!$B$12,IF(M1529&lt;=3,Assumptions!$B$13,IF(M1529&lt;=6,Assumptions!$B$14,Assumptions!$B$15)))</f>
        <v>100</v>
      </c>
      <c r="S1529" s="8" t="n">
        <f aca="false">IF(N1529="Completed On Time",Assumptions!$B$16,IF(N1529="Completed Late",Assumptions!$B$17,Assumptions!$B$18))</f>
        <v>100</v>
      </c>
      <c r="T1529" s="8" t="n">
        <f aca="false">IF(I1529=0,Assumptions!$B$20,IF(H1529&gt;I1529,Assumptions!$B$19,IF(H1529=I1529,Assumptions!$B$20,Assumptions!$B$21)))</f>
        <v>70</v>
      </c>
      <c r="U1529" s="8" t="n">
        <f aca="false">ROUND(P1529*Assumptions!$B$2+Q1529*Assumptions!$B$3+R1529*Assumptions!$B$4+S1529*Assumptions!$B$5+T1529*Assumptions!$B$6,0)</f>
        <v>94</v>
      </c>
      <c r="V1529" s="8" t="str">
        <f aca="false">IF(U1529&gt;=Assumptions!$B$10,"Healthy",IF(U1529&gt;=Assumptions!$B$11,"Needs Attention","High Risk"))</f>
        <v>Healthy</v>
      </c>
    </row>
    <row r="1530" customFormat="false" ht="15" hidden="false" customHeight="false" outlineLevel="0" collapsed="false">
      <c r="A1530" s="8" t="s">
        <v>3202</v>
      </c>
      <c r="B1530" s="8" t="s">
        <v>3203</v>
      </c>
      <c r="C1530" s="8" t="s">
        <v>51</v>
      </c>
      <c r="D1530" s="8" t="s">
        <v>2027</v>
      </c>
      <c r="E1530" s="8" t="s">
        <v>117</v>
      </c>
      <c r="F1530" s="8" t="s">
        <v>151</v>
      </c>
      <c r="G1530" s="8" t="s">
        <v>119</v>
      </c>
      <c r="H1530" s="15" t="n">
        <v>312</v>
      </c>
      <c r="I1530" s="15" t="n">
        <v>312</v>
      </c>
      <c r="J1530" s="16" t="n">
        <v>0.859</v>
      </c>
      <c r="K1530" s="8" t="n">
        <v>9</v>
      </c>
      <c r="L1530" s="8" t="n">
        <v>10</v>
      </c>
      <c r="M1530" s="8" t="n">
        <v>1</v>
      </c>
      <c r="N1530" s="8" t="s">
        <v>120</v>
      </c>
      <c r="O1530" s="15" t="n">
        <f aca="false">H1530*12</f>
        <v>3744</v>
      </c>
      <c r="P1530" s="8" t="n">
        <f aca="false">MIN(100,ROUND(100*J1530/Assumptions!$B$8,0))</f>
        <v>95</v>
      </c>
      <c r="Q1530" s="8" t="n">
        <f aca="false">IF(L1530="",Assumptions!$B$9,L1530*10)</f>
        <v>100</v>
      </c>
      <c r="R1530" s="8" t="n">
        <f aca="false">IF(M1530&lt;=1,Assumptions!$B$12,IF(M1530&lt;=3,Assumptions!$B$13,IF(M1530&lt;=6,Assumptions!$B$14,Assumptions!$B$15)))</f>
        <v>100</v>
      </c>
      <c r="S1530" s="8" t="n">
        <f aca="false">IF(N1530="Completed On Time",Assumptions!$B$16,IF(N1530="Completed Late",Assumptions!$B$17,Assumptions!$B$18))</f>
        <v>100</v>
      </c>
      <c r="T1530" s="8" t="n">
        <f aca="false">IF(I1530=0,Assumptions!$B$20,IF(H1530&gt;I1530,Assumptions!$B$19,IF(H1530=I1530,Assumptions!$B$20,Assumptions!$B$21)))</f>
        <v>70</v>
      </c>
      <c r="U1530" s="8" t="n">
        <f aca="false">ROUND(P1530*Assumptions!$B$2+Q1530*Assumptions!$B$3+R1530*Assumptions!$B$4+S1530*Assumptions!$B$5+T1530*Assumptions!$B$6,0)</f>
        <v>92</v>
      </c>
      <c r="V1530" s="8" t="str">
        <f aca="false">IF(U1530&gt;=Assumptions!$B$10,"Healthy",IF(U1530&gt;=Assumptions!$B$11,"Needs Attention","High Risk"))</f>
        <v>Healthy</v>
      </c>
    </row>
    <row r="1531" customFormat="false" ht="15" hidden="false" customHeight="false" outlineLevel="0" collapsed="false">
      <c r="A1531" s="8" t="s">
        <v>3204</v>
      </c>
      <c r="B1531" s="8" t="s">
        <v>3205</v>
      </c>
      <c r="C1531" s="8" t="s">
        <v>51</v>
      </c>
      <c r="D1531" s="8" t="s">
        <v>2027</v>
      </c>
      <c r="E1531" s="8" t="s">
        <v>123</v>
      </c>
      <c r="F1531" s="8" t="s">
        <v>190</v>
      </c>
      <c r="G1531" s="8" t="s">
        <v>147</v>
      </c>
      <c r="H1531" s="15" t="n">
        <v>312</v>
      </c>
      <c r="I1531" s="15" t="n">
        <v>312</v>
      </c>
      <c r="J1531" s="16" t="n">
        <v>0.859</v>
      </c>
      <c r="K1531" s="8" t="n">
        <v>9.3</v>
      </c>
      <c r="L1531" s="8" t="n">
        <v>8</v>
      </c>
      <c r="M1531" s="8" t="n">
        <v>4</v>
      </c>
      <c r="N1531" s="8" t="s">
        <v>120</v>
      </c>
      <c r="O1531" s="15" t="n">
        <f aca="false">H1531*12</f>
        <v>3744</v>
      </c>
      <c r="P1531" s="8" t="n">
        <f aca="false">MIN(100,ROUND(100*J1531/Assumptions!$B$8,0))</f>
        <v>95</v>
      </c>
      <c r="Q1531" s="8" t="n">
        <f aca="false">IF(L1531="",Assumptions!$B$9,L1531*10)</f>
        <v>80</v>
      </c>
      <c r="R1531" s="8" t="n">
        <f aca="false">IF(M1531&lt;=1,Assumptions!$B$12,IF(M1531&lt;=3,Assumptions!$B$13,IF(M1531&lt;=6,Assumptions!$B$14,Assumptions!$B$15)))</f>
        <v>50</v>
      </c>
      <c r="S1531" s="8" t="n">
        <f aca="false">IF(N1531="Completed On Time",Assumptions!$B$16,IF(N1531="Completed Late",Assumptions!$B$17,Assumptions!$B$18))</f>
        <v>100</v>
      </c>
      <c r="T1531" s="8" t="n">
        <f aca="false">IF(I1531=0,Assumptions!$B$20,IF(H1531&gt;I1531,Assumptions!$B$19,IF(H1531=I1531,Assumptions!$B$20,Assumptions!$B$21)))</f>
        <v>70</v>
      </c>
      <c r="U1531" s="8" t="n">
        <f aca="false">ROUND(P1531*Assumptions!$B$2+Q1531*Assumptions!$B$3+R1531*Assumptions!$B$4+S1531*Assumptions!$B$5+T1531*Assumptions!$B$6,0)</f>
        <v>81</v>
      </c>
      <c r="V1531" s="8" t="str">
        <f aca="false">IF(U1531&gt;=Assumptions!$B$10,"Healthy",IF(U1531&gt;=Assumptions!$B$11,"Needs Attention","High Risk"))</f>
        <v>Healthy</v>
      </c>
    </row>
    <row r="1532" customFormat="false" ht="15" hidden="false" customHeight="false" outlineLevel="0" collapsed="false">
      <c r="A1532" s="8" t="s">
        <v>3206</v>
      </c>
      <c r="B1532" s="8" t="s">
        <v>3207</v>
      </c>
      <c r="C1532" s="8" t="s">
        <v>51</v>
      </c>
      <c r="D1532" s="8" t="s">
        <v>2027</v>
      </c>
      <c r="E1532" s="8" t="s">
        <v>117</v>
      </c>
      <c r="F1532" s="8" t="s">
        <v>136</v>
      </c>
      <c r="G1532" s="8" t="s">
        <v>119</v>
      </c>
      <c r="H1532" s="15" t="n">
        <v>312</v>
      </c>
      <c r="I1532" s="15" t="n">
        <v>312</v>
      </c>
      <c r="J1532" s="16" t="n">
        <v>0.577</v>
      </c>
      <c r="K1532" s="8" t="n">
        <v>8</v>
      </c>
      <c r="L1532" s="8" t="n">
        <v>6</v>
      </c>
      <c r="M1532" s="8" t="n">
        <v>3</v>
      </c>
      <c r="N1532" s="8" t="s">
        <v>120</v>
      </c>
      <c r="O1532" s="15" t="n">
        <f aca="false">H1532*12</f>
        <v>3744</v>
      </c>
      <c r="P1532" s="8" t="n">
        <f aca="false">MIN(100,ROUND(100*J1532/Assumptions!$B$8,0))</f>
        <v>64</v>
      </c>
      <c r="Q1532" s="8" t="n">
        <f aca="false">IF(L1532="",Assumptions!$B$9,L1532*10)</f>
        <v>60</v>
      </c>
      <c r="R1532" s="8" t="n">
        <f aca="false">IF(M1532&lt;=1,Assumptions!$B$12,IF(M1532&lt;=3,Assumptions!$B$13,IF(M1532&lt;=6,Assumptions!$B$14,Assumptions!$B$15)))</f>
        <v>75</v>
      </c>
      <c r="S1532" s="8" t="n">
        <f aca="false">IF(N1532="Completed On Time",Assumptions!$B$16,IF(N1532="Completed Late",Assumptions!$B$17,Assumptions!$B$18))</f>
        <v>100</v>
      </c>
      <c r="T1532" s="8" t="n">
        <f aca="false">IF(I1532=0,Assumptions!$B$20,IF(H1532&gt;I1532,Assumptions!$B$19,IF(H1532=I1532,Assumptions!$B$20,Assumptions!$B$21)))</f>
        <v>70</v>
      </c>
      <c r="U1532" s="8" t="n">
        <f aca="false">ROUND(P1532*Assumptions!$B$2+Q1532*Assumptions!$B$3+R1532*Assumptions!$B$4+S1532*Assumptions!$B$5+T1532*Assumptions!$B$6,0)</f>
        <v>70</v>
      </c>
      <c r="V1532" s="8" t="str">
        <f aca="false">IF(U1532&gt;=Assumptions!$B$10,"Healthy",IF(U1532&gt;=Assumptions!$B$11,"Needs Attention","High Risk"))</f>
        <v>Needs Attention</v>
      </c>
    </row>
    <row r="1533" customFormat="false" ht="15" hidden="false" customHeight="false" outlineLevel="0" collapsed="false">
      <c r="A1533" s="8" t="s">
        <v>3208</v>
      </c>
      <c r="B1533" s="8" t="s">
        <v>3209</v>
      </c>
      <c r="C1533" s="8" t="s">
        <v>51</v>
      </c>
      <c r="D1533" s="8" t="s">
        <v>2027</v>
      </c>
      <c r="E1533" s="8" t="s">
        <v>132</v>
      </c>
      <c r="F1533" s="8" t="s">
        <v>143</v>
      </c>
      <c r="G1533" s="8" t="s">
        <v>185</v>
      </c>
      <c r="H1533" s="15" t="n">
        <v>312</v>
      </c>
      <c r="I1533" s="15" t="n">
        <v>312</v>
      </c>
      <c r="J1533" s="16" t="n">
        <v>0.705</v>
      </c>
      <c r="K1533" s="8" t="n">
        <v>7.3</v>
      </c>
      <c r="L1533" s="8" t="n">
        <v>7</v>
      </c>
      <c r="M1533" s="8" t="n">
        <v>3</v>
      </c>
      <c r="N1533" s="8" t="s">
        <v>120</v>
      </c>
      <c r="O1533" s="15" t="n">
        <f aca="false">H1533*12</f>
        <v>3744</v>
      </c>
      <c r="P1533" s="8" t="n">
        <f aca="false">MIN(100,ROUND(100*J1533/Assumptions!$B$8,0))</f>
        <v>78</v>
      </c>
      <c r="Q1533" s="8" t="n">
        <f aca="false">IF(L1533="",Assumptions!$B$9,L1533*10)</f>
        <v>70</v>
      </c>
      <c r="R1533" s="8" t="n">
        <f aca="false">IF(M1533&lt;=1,Assumptions!$B$12,IF(M1533&lt;=3,Assumptions!$B$13,IF(M1533&lt;=6,Assumptions!$B$14,Assumptions!$B$15)))</f>
        <v>75</v>
      </c>
      <c r="S1533" s="8" t="n">
        <f aca="false">IF(N1533="Completed On Time",Assumptions!$B$16,IF(N1533="Completed Late",Assumptions!$B$17,Assumptions!$B$18))</f>
        <v>100</v>
      </c>
      <c r="T1533" s="8" t="n">
        <f aca="false">IF(I1533=0,Assumptions!$B$20,IF(H1533&gt;I1533,Assumptions!$B$19,IF(H1533=I1533,Assumptions!$B$20,Assumptions!$B$21)))</f>
        <v>70</v>
      </c>
      <c r="U1533" s="8" t="n">
        <f aca="false">ROUND(P1533*Assumptions!$B$2+Q1533*Assumptions!$B$3+R1533*Assumptions!$B$4+S1533*Assumptions!$B$5+T1533*Assumptions!$B$6,0)</f>
        <v>77</v>
      </c>
      <c r="V1533" s="8" t="str">
        <f aca="false">IF(U1533&gt;=Assumptions!$B$10,"Healthy",IF(U1533&gt;=Assumptions!$B$11,"Needs Attention","High Risk"))</f>
        <v>Needs Attention</v>
      </c>
    </row>
    <row r="1534" customFormat="false" ht="15" hidden="false" customHeight="false" outlineLevel="0" collapsed="false">
      <c r="A1534" s="8" t="s">
        <v>3210</v>
      </c>
      <c r="B1534" s="8" t="s">
        <v>3211</v>
      </c>
      <c r="C1534" s="8" t="s">
        <v>51</v>
      </c>
      <c r="D1534" s="8" t="s">
        <v>2027</v>
      </c>
      <c r="E1534" s="8" t="s">
        <v>123</v>
      </c>
      <c r="F1534" s="8" t="s">
        <v>143</v>
      </c>
      <c r="G1534" s="8" t="s">
        <v>119</v>
      </c>
      <c r="H1534" s="15" t="n">
        <v>312</v>
      </c>
      <c r="I1534" s="15" t="n">
        <v>312</v>
      </c>
      <c r="J1534" s="16" t="n">
        <v>0.615</v>
      </c>
      <c r="K1534" s="8" t="n">
        <v>6.7</v>
      </c>
      <c r="L1534" s="8" t="n">
        <v>9</v>
      </c>
      <c r="M1534" s="8" t="n">
        <v>2</v>
      </c>
      <c r="N1534" s="8" t="s">
        <v>120</v>
      </c>
      <c r="O1534" s="15" t="n">
        <f aca="false">H1534*12</f>
        <v>3744</v>
      </c>
      <c r="P1534" s="8" t="n">
        <f aca="false">MIN(100,ROUND(100*J1534/Assumptions!$B$8,0))</f>
        <v>68</v>
      </c>
      <c r="Q1534" s="8" t="n">
        <f aca="false">IF(L1534="",Assumptions!$B$9,L1534*10)</f>
        <v>90</v>
      </c>
      <c r="R1534" s="8" t="n">
        <f aca="false">IF(M1534&lt;=1,Assumptions!$B$12,IF(M1534&lt;=3,Assumptions!$B$13,IF(M1534&lt;=6,Assumptions!$B$14,Assumptions!$B$15)))</f>
        <v>75</v>
      </c>
      <c r="S1534" s="8" t="n">
        <f aca="false">IF(N1534="Completed On Time",Assumptions!$B$16,IF(N1534="Completed Late",Assumptions!$B$17,Assumptions!$B$18))</f>
        <v>100</v>
      </c>
      <c r="T1534" s="8" t="n">
        <f aca="false">IF(I1534=0,Assumptions!$B$20,IF(H1534&gt;I1534,Assumptions!$B$19,IF(H1534=I1534,Assumptions!$B$20,Assumptions!$B$21)))</f>
        <v>70</v>
      </c>
      <c r="U1534" s="8" t="n">
        <f aca="false">ROUND(P1534*Assumptions!$B$2+Q1534*Assumptions!$B$3+R1534*Assumptions!$B$4+S1534*Assumptions!$B$5+T1534*Assumptions!$B$6,0)</f>
        <v>77</v>
      </c>
      <c r="V1534" s="8" t="str">
        <f aca="false">IF(U1534&gt;=Assumptions!$B$10,"Healthy",IF(U1534&gt;=Assumptions!$B$11,"Needs Attention","High Risk"))</f>
        <v>Needs Attention</v>
      </c>
    </row>
    <row r="1535" customFormat="false" ht="15" hidden="false" customHeight="false" outlineLevel="0" collapsed="false">
      <c r="A1535" s="8" t="s">
        <v>3212</v>
      </c>
      <c r="B1535" s="8" t="s">
        <v>3213</v>
      </c>
      <c r="C1535" s="8" t="s">
        <v>51</v>
      </c>
      <c r="D1535" s="8" t="s">
        <v>2027</v>
      </c>
      <c r="E1535" s="8" t="s">
        <v>132</v>
      </c>
      <c r="F1535" s="8" t="s">
        <v>166</v>
      </c>
      <c r="G1535" s="8" t="s">
        <v>147</v>
      </c>
      <c r="H1535" s="15" t="n">
        <v>312</v>
      </c>
      <c r="I1535" s="15" t="n">
        <v>312</v>
      </c>
      <c r="J1535" s="16" t="n">
        <v>0.897</v>
      </c>
      <c r="K1535" s="8" t="n">
        <v>12</v>
      </c>
      <c r="L1535" s="8" t="n">
        <v>9</v>
      </c>
      <c r="M1535" s="8" t="n">
        <v>2</v>
      </c>
      <c r="N1535" s="8" t="s">
        <v>120</v>
      </c>
      <c r="O1535" s="15" t="n">
        <f aca="false">H1535*12</f>
        <v>3744</v>
      </c>
      <c r="P1535" s="8" t="n">
        <f aca="false">MIN(100,ROUND(100*J1535/Assumptions!$B$8,0))</f>
        <v>100</v>
      </c>
      <c r="Q1535" s="8" t="n">
        <f aca="false">IF(L1535="",Assumptions!$B$9,L1535*10)</f>
        <v>90</v>
      </c>
      <c r="R1535" s="8" t="n">
        <f aca="false">IF(M1535&lt;=1,Assumptions!$B$12,IF(M1535&lt;=3,Assumptions!$B$13,IF(M1535&lt;=6,Assumptions!$B$14,Assumptions!$B$15)))</f>
        <v>75</v>
      </c>
      <c r="S1535" s="8" t="n">
        <f aca="false">IF(N1535="Completed On Time",Assumptions!$B$16,IF(N1535="Completed Late",Assumptions!$B$17,Assumptions!$B$18))</f>
        <v>100</v>
      </c>
      <c r="T1535" s="8" t="n">
        <f aca="false">IF(I1535=0,Assumptions!$B$20,IF(H1535&gt;I1535,Assumptions!$B$19,IF(H1535=I1535,Assumptions!$B$20,Assumptions!$B$21)))</f>
        <v>70</v>
      </c>
      <c r="U1535" s="8" t="n">
        <f aca="false">ROUND(P1535*Assumptions!$B$2+Q1535*Assumptions!$B$3+R1535*Assumptions!$B$4+S1535*Assumptions!$B$5+T1535*Assumptions!$B$6,0)</f>
        <v>88</v>
      </c>
      <c r="V1535" s="8" t="str">
        <f aca="false">IF(U1535&gt;=Assumptions!$B$10,"Healthy",IF(U1535&gt;=Assumptions!$B$11,"Needs Attention","High Risk"))</f>
        <v>Healthy</v>
      </c>
    </row>
    <row r="1536" customFormat="false" ht="15" hidden="false" customHeight="false" outlineLevel="0" collapsed="false">
      <c r="A1536" s="8" t="s">
        <v>3214</v>
      </c>
      <c r="B1536" s="8" t="s">
        <v>3215</v>
      </c>
      <c r="C1536" s="8" t="s">
        <v>51</v>
      </c>
      <c r="D1536" s="8" t="s">
        <v>2027</v>
      </c>
      <c r="E1536" s="8" t="s">
        <v>128</v>
      </c>
      <c r="F1536" s="8" t="s">
        <v>118</v>
      </c>
      <c r="G1536" s="8" t="s">
        <v>137</v>
      </c>
      <c r="H1536" s="15" t="n">
        <v>312</v>
      </c>
      <c r="I1536" s="15" t="n">
        <v>312</v>
      </c>
      <c r="J1536" s="16" t="n">
        <v>0.654</v>
      </c>
      <c r="K1536" s="8" t="n">
        <v>8.7</v>
      </c>
      <c r="L1536" s="8" t="n">
        <v>9</v>
      </c>
      <c r="M1536" s="8" t="n">
        <v>3</v>
      </c>
      <c r="N1536" s="8" t="s">
        <v>120</v>
      </c>
      <c r="O1536" s="15" t="n">
        <f aca="false">H1536*12</f>
        <v>3744</v>
      </c>
      <c r="P1536" s="8" t="n">
        <f aca="false">MIN(100,ROUND(100*J1536/Assumptions!$B$8,0))</f>
        <v>73</v>
      </c>
      <c r="Q1536" s="8" t="n">
        <f aca="false">IF(L1536="",Assumptions!$B$9,L1536*10)</f>
        <v>90</v>
      </c>
      <c r="R1536" s="8" t="n">
        <f aca="false">IF(M1536&lt;=1,Assumptions!$B$12,IF(M1536&lt;=3,Assumptions!$B$13,IF(M1536&lt;=6,Assumptions!$B$14,Assumptions!$B$15)))</f>
        <v>75</v>
      </c>
      <c r="S1536" s="8" t="n">
        <f aca="false">IF(N1536="Completed On Time",Assumptions!$B$16,IF(N1536="Completed Late",Assumptions!$B$17,Assumptions!$B$18))</f>
        <v>100</v>
      </c>
      <c r="T1536" s="8" t="n">
        <f aca="false">IF(I1536=0,Assumptions!$B$20,IF(H1536&gt;I1536,Assumptions!$B$19,IF(H1536=I1536,Assumptions!$B$20,Assumptions!$B$21)))</f>
        <v>70</v>
      </c>
      <c r="U1536" s="8" t="n">
        <f aca="false">ROUND(P1536*Assumptions!$B$2+Q1536*Assumptions!$B$3+R1536*Assumptions!$B$4+S1536*Assumptions!$B$5+T1536*Assumptions!$B$6,0)</f>
        <v>79</v>
      </c>
      <c r="V1536" s="8" t="str">
        <f aca="false">IF(U1536&gt;=Assumptions!$B$10,"Healthy",IF(U1536&gt;=Assumptions!$B$11,"Needs Attention","High Risk"))</f>
        <v>Needs Attention</v>
      </c>
    </row>
    <row r="1537" customFormat="false" ht="15" hidden="false" customHeight="false" outlineLevel="0" collapsed="false">
      <c r="A1537" s="8" t="s">
        <v>3216</v>
      </c>
      <c r="B1537" s="8" t="s">
        <v>3217</v>
      </c>
      <c r="C1537" s="8" t="s">
        <v>51</v>
      </c>
      <c r="D1537" s="8" t="s">
        <v>2027</v>
      </c>
      <c r="E1537" s="8" t="s">
        <v>132</v>
      </c>
      <c r="F1537" s="8" t="s">
        <v>136</v>
      </c>
      <c r="G1537" s="8" t="s">
        <v>180</v>
      </c>
      <c r="H1537" s="15" t="n">
        <v>312</v>
      </c>
      <c r="I1537" s="15" t="n">
        <v>312</v>
      </c>
      <c r="J1537" s="16" t="n">
        <v>0.872</v>
      </c>
      <c r="K1537" s="8" t="n">
        <v>11.7</v>
      </c>
      <c r="L1537" s="8" t="n">
        <v>10</v>
      </c>
      <c r="M1537" s="8" t="n">
        <v>1</v>
      </c>
      <c r="N1537" s="8" t="s">
        <v>120</v>
      </c>
      <c r="O1537" s="15" t="n">
        <f aca="false">H1537*12</f>
        <v>3744</v>
      </c>
      <c r="P1537" s="8" t="n">
        <f aca="false">MIN(100,ROUND(100*J1537/Assumptions!$B$8,0))</f>
        <v>97</v>
      </c>
      <c r="Q1537" s="8" t="n">
        <f aca="false">IF(L1537="",Assumptions!$B$9,L1537*10)</f>
        <v>100</v>
      </c>
      <c r="R1537" s="8" t="n">
        <f aca="false">IF(M1537&lt;=1,Assumptions!$B$12,IF(M1537&lt;=3,Assumptions!$B$13,IF(M1537&lt;=6,Assumptions!$B$14,Assumptions!$B$15)))</f>
        <v>100</v>
      </c>
      <c r="S1537" s="8" t="n">
        <f aca="false">IF(N1537="Completed On Time",Assumptions!$B$16,IF(N1537="Completed Late",Assumptions!$B$17,Assumptions!$B$18))</f>
        <v>100</v>
      </c>
      <c r="T1537" s="8" t="n">
        <f aca="false">IF(I1537=0,Assumptions!$B$20,IF(H1537&gt;I1537,Assumptions!$B$19,IF(H1537=I1537,Assumptions!$B$20,Assumptions!$B$21)))</f>
        <v>70</v>
      </c>
      <c r="U1537" s="8" t="n">
        <f aca="false">ROUND(P1537*Assumptions!$B$2+Q1537*Assumptions!$B$3+R1537*Assumptions!$B$4+S1537*Assumptions!$B$5+T1537*Assumptions!$B$6,0)</f>
        <v>93</v>
      </c>
      <c r="V1537" s="8" t="str">
        <f aca="false">IF(U1537&gt;=Assumptions!$B$10,"Healthy",IF(U1537&gt;=Assumptions!$B$11,"Needs Attention","High Risk"))</f>
        <v>Healthy</v>
      </c>
    </row>
    <row r="1538" customFormat="false" ht="15" hidden="false" customHeight="false" outlineLevel="0" collapsed="false">
      <c r="A1538" s="8" t="s">
        <v>3218</v>
      </c>
      <c r="B1538" s="8" t="s">
        <v>3219</v>
      </c>
      <c r="C1538" s="8" t="s">
        <v>51</v>
      </c>
      <c r="D1538" s="8" t="s">
        <v>2027</v>
      </c>
      <c r="E1538" s="8" t="s">
        <v>123</v>
      </c>
      <c r="F1538" s="8" t="s">
        <v>190</v>
      </c>
      <c r="G1538" s="8" t="s">
        <v>129</v>
      </c>
      <c r="H1538" s="15" t="n">
        <v>312</v>
      </c>
      <c r="I1538" s="15" t="n">
        <v>312</v>
      </c>
      <c r="J1538" s="16" t="n">
        <v>0.718</v>
      </c>
      <c r="K1538" s="8" t="n">
        <v>6</v>
      </c>
      <c r="L1538" s="8" t="n">
        <v>7</v>
      </c>
      <c r="M1538" s="8" t="n">
        <v>2</v>
      </c>
      <c r="N1538" s="8" t="s">
        <v>120</v>
      </c>
      <c r="O1538" s="15" t="n">
        <f aca="false">H1538*12</f>
        <v>3744</v>
      </c>
      <c r="P1538" s="8" t="n">
        <f aca="false">MIN(100,ROUND(100*J1538/Assumptions!$B$8,0))</f>
        <v>80</v>
      </c>
      <c r="Q1538" s="8" t="n">
        <f aca="false">IF(L1538="",Assumptions!$B$9,L1538*10)</f>
        <v>70</v>
      </c>
      <c r="R1538" s="8" t="n">
        <f aca="false">IF(M1538&lt;=1,Assumptions!$B$12,IF(M1538&lt;=3,Assumptions!$B$13,IF(M1538&lt;=6,Assumptions!$B$14,Assumptions!$B$15)))</f>
        <v>75</v>
      </c>
      <c r="S1538" s="8" t="n">
        <f aca="false">IF(N1538="Completed On Time",Assumptions!$B$16,IF(N1538="Completed Late",Assumptions!$B$17,Assumptions!$B$18))</f>
        <v>100</v>
      </c>
      <c r="T1538" s="8" t="n">
        <f aca="false">IF(I1538=0,Assumptions!$B$20,IF(H1538&gt;I1538,Assumptions!$B$19,IF(H1538=I1538,Assumptions!$B$20,Assumptions!$B$21)))</f>
        <v>70</v>
      </c>
      <c r="U1538" s="8" t="n">
        <f aca="false">ROUND(P1538*Assumptions!$B$2+Q1538*Assumptions!$B$3+R1538*Assumptions!$B$4+S1538*Assumptions!$B$5+T1538*Assumptions!$B$6,0)</f>
        <v>77</v>
      </c>
      <c r="V1538" s="8" t="str">
        <f aca="false">IF(U1538&gt;=Assumptions!$B$10,"Healthy",IF(U1538&gt;=Assumptions!$B$11,"Needs Attention","High Risk"))</f>
        <v>Needs Attention</v>
      </c>
    </row>
    <row r="1539" customFormat="false" ht="15" hidden="false" customHeight="false" outlineLevel="0" collapsed="false">
      <c r="A1539" s="8" t="s">
        <v>3220</v>
      </c>
      <c r="B1539" s="8" t="s">
        <v>3221</v>
      </c>
      <c r="C1539" s="8" t="s">
        <v>51</v>
      </c>
      <c r="D1539" s="8" t="s">
        <v>2027</v>
      </c>
      <c r="E1539" s="8" t="s">
        <v>132</v>
      </c>
      <c r="F1539" s="8" t="s">
        <v>143</v>
      </c>
      <c r="G1539" s="8" t="s">
        <v>180</v>
      </c>
      <c r="H1539" s="15" t="n">
        <v>312</v>
      </c>
      <c r="I1539" s="15" t="n">
        <v>0</v>
      </c>
      <c r="J1539" s="16" t="n">
        <v>0.846</v>
      </c>
      <c r="K1539" s="8" t="n">
        <v>10.5</v>
      </c>
      <c r="L1539" s="8"/>
      <c r="M1539" s="8" t="n">
        <v>0</v>
      </c>
      <c r="N1539" s="8" t="s">
        <v>199</v>
      </c>
      <c r="O1539" s="15" t="n">
        <f aca="false">H1539*12</f>
        <v>3744</v>
      </c>
      <c r="P1539" s="8" t="n">
        <f aca="false">MIN(100,ROUND(100*J1539/Assumptions!$B$8,0))</f>
        <v>94</v>
      </c>
      <c r="Q1539" s="8" t="n">
        <f aca="false">IF(L1539="",Assumptions!$B$9,L1539*10)</f>
        <v>50</v>
      </c>
      <c r="R1539" s="8" t="n">
        <f aca="false">IF(M1539&lt;=1,Assumptions!$B$12,IF(M1539&lt;=3,Assumptions!$B$13,IF(M1539&lt;=6,Assumptions!$B$14,Assumptions!$B$15)))</f>
        <v>100</v>
      </c>
      <c r="S1539" s="8" t="n">
        <f aca="false">IF(N1539="Completed On Time",Assumptions!$B$16,IF(N1539="Completed Late",Assumptions!$B$17,Assumptions!$B$18))</f>
        <v>50</v>
      </c>
      <c r="T1539" s="8" t="n">
        <f aca="false">IF(I1539=0,Assumptions!$B$20,IF(H1539&gt;I1539,Assumptions!$B$19,IF(H1539=I1539,Assumptions!$B$20,Assumptions!$B$21)))</f>
        <v>70</v>
      </c>
      <c r="U1539" s="8" t="n">
        <f aca="false">ROUND(P1539*Assumptions!$B$2+Q1539*Assumptions!$B$3+R1539*Assumptions!$B$4+S1539*Assumptions!$B$5+T1539*Assumptions!$B$6,0)</f>
        <v>77</v>
      </c>
      <c r="V1539" s="8" t="str">
        <f aca="false">IF(U1539&gt;=Assumptions!$B$10,"Healthy",IF(U1539&gt;=Assumptions!$B$11,"Needs Attention","High Risk"))</f>
        <v>Needs Attention</v>
      </c>
    </row>
    <row r="1540" customFormat="false" ht="15" hidden="false" customHeight="false" outlineLevel="0" collapsed="false">
      <c r="A1540" s="8" t="s">
        <v>3222</v>
      </c>
      <c r="B1540" s="8" t="s">
        <v>3223</v>
      </c>
      <c r="C1540" s="8" t="s">
        <v>51</v>
      </c>
      <c r="D1540" s="8" t="s">
        <v>2027</v>
      </c>
      <c r="E1540" s="8" t="s">
        <v>117</v>
      </c>
      <c r="F1540" s="8" t="s">
        <v>124</v>
      </c>
      <c r="G1540" s="8" t="s">
        <v>137</v>
      </c>
      <c r="H1540" s="15" t="n">
        <v>312</v>
      </c>
      <c r="I1540" s="15" t="n">
        <v>312</v>
      </c>
      <c r="J1540" s="16" t="n">
        <v>0.846</v>
      </c>
      <c r="K1540" s="8" t="n">
        <v>10.3</v>
      </c>
      <c r="L1540" s="8" t="n">
        <v>10</v>
      </c>
      <c r="M1540" s="8" t="n">
        <v>1</v>
      </c>
      <c r="N1540" s="8" t="s">
        <v>120</v>
      </c>
      <c r="O1540" s="15" t="n">
        <f aca="false">H1540*12</f>
        <v>3744</v>
      </c>
      <c r="P1540" s="8" t="n">
        <f aca="false">MIN(100,ROUND(100*J1540/Assumptions!$B$8,0))</f>
        <v>94</v>
      </c>
      <c r="Q1540" s="8" t="n">
        <f aca="false">IF(L1540="",Assumptions!$B$9,L1540*10)</f>
        <v>100</v>
      </c>
      <c r="R1540" s="8" t="n">
        <f aca="false">IF(M1540&lt;=1,Assumptions!$B$12,IF(M1540&lt;=3,Assumptions!$B$13,IF(M1540&lt;=6,Assumptions!$B$14,Assumptions!$B$15)))</f>
        <v>100</v>
      </c>
      <c r="S1540" s="8" t="n">
        <f aca="false">IF(N1540="Completed On Time",Assumptions!$B$16,IF(N1540="Completed Late",Assumptions!$B$17,Assumptions!$B$18))</f>
        <v>100</v>
      </c>
      <c r="T1540" s="8" t="n">
        <f aca="false">IF(I1540=0,Assumptions!$B$20,IF(H1540&gt;I1540,Assumptions!$B$19,IF(H1540=I1540,Assumptions!$B$20,Assumptions!$B$21)))</f>
        <v>70</v>
      </c>
      <c r="U1540" s="8" t="n">
        <f aca="false">ROUND(P1540*Assumptions!$B$2+Q1540*Assumptions!$B$3+R1540*Assumptions!$B$4+S1540*Assumptions!$B$5+T1540*Assumptions!$B$6,0)</f>
        <v>92</v>
      </c>
      <c r="V1540" s="8" t="str">
        <f aca="false">IF(U1540&gt;=Assumptions!$B$10,"Healthy",IF(U1540&gt;=Assumptions!$B$11,"Needs Attention","High Risk"))</f>
        <v>Healthy</v>
      </c>
    </row>
    <row r="1541" customFormat="false" ht="15" hidden="false" customHeight="false" outlineLevel="0" collapsed="false">
      <c r="A1541" s="8" t="s">
        <v>3224</v>
      </c>
      <c r="B1541" s="8" t="s">
        <v>3225</v>
      </c>
      <c r="C1541" s="8" t="s">
        <v>51</v>
      </c>
      <c r="D1541" s="8" t="s">
        <v>2027</v>
      </c>
      <c r="E1541" s="8" t="s">
        <v>132</v>
      </c>
      <c r="F1541" s="8" t="s">
        <v>124</v>
      </c>
      <c r="G1541" s="8" t="s">
        <v>177</v>
      </c>
      <c r="H1541" s="15" t="n">
        <v>312</v>
      </c>
      <c r="I1541" s="15" t="n">
        <v>0</v>
      </c>
      <c r="J1541" s="16" t="n">
        <v>0.718</v>
      </c>
      <c r="K1541" s="8" t="n">
        <v>8.3</v>
      </c>
      <c r="L1541" s="8"/>
      <c r="M1541" s="8" t="n">
        <v>2</v>
      </c>
      <c r="N1541" s="8" t="s">
        <v>120</v>
      </c>
      <c r="O1541" s="15" t="n">
        <f aca="false">H1541*12</f>
        <v>3744</v>
      </c>
      <c r="P1541" s="8" t="n">
        <f aca="false">MIN(100,ROUND(100*J1541/Assumptions!$B$8,0))</f>
        <v>80</v>
      </c>
      <c r="Q1541" s="8" t="n">
        <f aca="false">IF(L1541="",Assumptions!$B$9,L1541*10)</f>
        <v>50</v>
      </c>
      <c r="R1541" s="8" t="n">
        <f aca="false">IF(M1541&lt;=1,Assumptions!$B$12,IF(M1541&lt;=3,Assumptions!$B$13,IF(M1541&lt;=6,Assumptions!$B$14,Assumptions!$B$15)))</f>
        <v>75</v>
      </c>
      <c r="S1541" s="8" t="n">
        <f aca="false">IF(N1541="Completed On Time",Assumptions!$B$16,IF(N1541="Completed Late",Assumptions!$B$17,Assumptions!$B$18))</f>
        <v>100</v>
      </c>
      <c r="T1541" s="8" t="n">
        <f aca="false">IF(I1541=0,Assumptions!$B$20,IF(H1541&gt;I1541,Assumptions!$B$19,IF(H1541=I1541,Assumptions!$B$20,Assumptions!$B$21)))</f>
        <v>70</v>
      </c>
      <c r="U1541" s="8" t="n">
        <f aca="false">ROUND(P1541*Assumptions!$B$2+Q1541*Assumptions!$B$3+R1541*Assumptions!$B$4+S1541*Assumptions!$B$5+T1541*Assumptions!$B$6,0)</f>
        <v>73</v>
      </c>
      <c r="V1541" s="8" t="str">
        <f aca="false">IF(U1541&gt;=Assumptions!$B$10,"Healthy",IF(U1541&gt;=Assumptions!$B$11,"Needs Attention","High Risk"))</f>
        <v>Needs Attention</v>
      </c>
    </row>
    <row r="1542" customFormat="false" ht="15" hidden="false" customHeight="false" outlineLevel="0" collapsed="false">
      <c r="A1542" s="8" t="s">
        <v>3226</v>
      </c>
      <c r="B1542" s="8" t="s">
        <v>3227</v>
      </c>
      <c r="C1542" s="8" t="s">
        <v>51</v>
      </c>
      <c r="D1542" s="8" t="s">
        <v>2027</v>
      </c>
      <c r="E1542" s="8" t="s">
        <v>117</v>
      </c>
      <c r="F1542" s="8" t="s">
        <v>136</v>
      </c>
      <c r="G1542" s="8" t="s">
        <v>119</v>
      </c>
      <c r="H1542" s="15" t="n">
        <v>312</v>
      </c>
      <c r="I1542" s="15" t="n">
        <v>312</v>
      </c>
      <c r="J1542" s="16" t="n">
        <v>0.821</v>
      </c>
      <c r="K1542" s="8" t="n">
        <v>11.3</v>
      </c>
      <c r="L1542" s="8" t="n">
        <v>10</v>
      </c>
      <c r="M1542" s="8" t="n">
        <v>0</v>
      </c>
      <c r="N1542" s="8" t="s">
        <v>120</v>
      </c>
      <c r="O1542" s="15" t="n">
        <f aca="false">H1542*12</f>
        <v>3744</v>
      </c>
      <c r="P1542" s="8" t="n">
        <f aca="false">MIN(100,ROUND(100*J1542/Assumptions!$B$8,0))</f>
        <v>91</v>
      </c>
      <c r="Q1542" s="8" t="n">
        <f aca="false">IF(L1542="",Assumptions!$B$9,L1542*10)</f>
        <v>100</v>
      </c>
      <c r="R1542" s="8" t="n">
        <f aca="false">IF(M1542&lt;=1,Assumptions!$B$12,IF(M1542&lt;=3,Assumptions!$B$13,IF(M1542&lt;=6,Assumptions!$B$14,Assumptions!$B$15)))</f>
        <v>100</v>
      </c>
      <c r="S1542" s="8" t="n">
        <f aca="false">IF(N1542="Completed On Time",Assumptions!$B$16,IF(N1542="Completed Late",Assumptions!$B$17,Assumptions!$B$18))</f>
        <v>100</v>
      </c>
      <c r="T1542" s="8" t="n">
        <f aca="false">IF(I1542=0,Assumptions!$B$20,IF(H1542&gt;I1542,Assumptions!$B$19,IF(H1542=I1542,Assumptions!$B$20,Assumptions!$B$21)))</f>
        <v>70</v>
      </c>
      <c r="U1542" s="8" t="n">
        <f aca="false">ROUND(P1542*Assumptions!$B$2+Q1542*Assumptions!$B$3+R1542*Assumptions!$B$4+S1542*Assumptions!$B$5+T1542*Assumptions!$B$6,0)</f>
        <v>91</v>
      </c>
      <c r="V1542" s="8" t="str">
        <f aca="false">IF(U1542&gt;=Assumptions!$B$10,"Healthy",IF(U1542&gt;=Assumptions!$B$11,"Needs Attention","High Risk"))</f>
        <v>Healthy</v>
      </c>
    </row>
    <row r="1543" customFormat="false" ht="15" hidden="false" customHeight="false" outlineLevel="0" collapsed="false">
      <c r="A1543" s="8" t="s">
        <v>3228</v>
      </c>
      <c r="B1543" s="8" t="s">
        <v>3229</v>
      </c>
      <c r="C1543" s="8" t="s">
        <v>51</v>
      </c>
      <c r="D1543" s="8" t="s">
        <v>2027</v>
      </c>
      <c r="E1543" s="8" t="s">
        <v>132</v>
      </c>
      <c r="F1543" s="8" t="s">
        <v>124</v>
      </c>
      <c r="G1543" s="8" t="s">
        <v>177</v>
      </c>
      <c r="H1543" s="15" t="n">
        <v>312</v>
      </c>
      <c r="I1543" s="15" t="n">
        <v>0</v>
      </c>
      <c r="J1543" s="16" t="n">
        <v>0.5</v>
      </c>
      <c r="K1543" s="8" t="n">
        <v>5.3</v>
      </c>
      <c r="L1543" s="8"/>
      <c r="M1543" s="8" t="n">
        <v>5</v>
      </c>
      <c r="N1543" s="8" t="s">
        <v>120</v>
      </c>
      <c r="O1543" s="15" t="n">
        <f aca="false">H1543*12</f>
        <v>3744</v>
      </c>
      <c r="P1543" s="8" t="n">
        <f aca="false">MIN(100,ROUND(100*J1543/Assumptions!$B$8,0))</f>
        <v>56</v>
      </c>
      <c r="Q1543" s="8" t="n">
        <f aca="false">IF(L1543="",Assumptions!$B$9,L1543*10)</f>
        <v>50</v>
      </c>
      <c r="R1543" s="8" t="n">
        <f aca="false">IF(M1543&lt;=1,Assumptions!$B$12,IF(M1543&lt;=3,Assumptions!$B$13,IF(M1543&lt;=6,Assumptions!$B$14,Assumptions!$B$15)))</f>
        <v>50</v>
      </c>
      <c r="S1543" s="8" t="n">
        <f aca="false">IF(N1543="Completed On Time",Assumptions!$B$16,IF(N1543="Completed Late",Assumptions!$B$17,Assumptions!$B$18))</f>
        <v>100</v>
      </c>
      <c r="T1543" s="8" t="n">
        <f aca="false">IF(I1543=0,Assumptions!$B$20,IF(H1543&gt;I1543,Assumptions!$B$19,IF(H1543=I1543,Assumptions!$B$20,Assumptions!$B$21)))</f>
        <v>70</v>
      </c>
      <c r="U1543" s="8" t="n">
        <f aca="false">ROUND(P1543*Assumptions!$B$2+Q1543*Assumptions!$B$3+R1543*Assumptions!$B$4+S1543*Assumptions!$B$5+T1543*Assumptions!$B$6,0)</f>
        <v>61</v>
      </c>
      <c r="V1543" s="8" t="str">
        <f aca="false">IF(U1543&gt;=Assumptions!$B$10,"Healthy",IF(U1543&gt;=Assumptions!$B$11,"Needs Attention","High Risk"))</f>
        <v>High Risk</v>
      </c>
    </row>
    <row r="1544" customFormat="false" ht="15" hidden="false" customHeight="false" outlineLevel="0" collapsed="false">
      <c r="A1544" s="8" t="s">
        <v>3230</v>
      </c>
      <c r="B1544" s="8" t="s">
        <v>3231</v>
      </c>
      <c r="C1544" s="8" t="s">
        <v>51</v>
      </c>
      <c r="D1544" s="8" t="s">
        <v>2027</v>
      </c>
      <c r="E1544" s="8" t="s">
        <v>123</v>
      </c>
      <c r="F1544" s="8" t="s">
        <v>223</v>
      </c>
      <c r="G1544" s="8" t="s">
        <v>129</v>
      </c>
      <c r="H1544" s="15" t="n">
        <v>312</v>
      </c>
      <c r="I1544" s="15" t="n">
        <v>312</v>
      </c>
      <c r="J1544" s="16" t="n">
        <v>0.91</v>
      </c>
      <c r="K1544" s="8" t="n">
        <v>10.3</v>
      </c>
      <c r="L1544" s="8" t="n">
        <v>10</v>
      </c>
      <c r="M1544" s="8" t="n">
        <v>0</v>
      </c>
      <c r="N1544" s="8" t="s">
        <v>120</v>
      </c>
      <c r="O1544" s="15" t="n">
        <f aca="false">H1544*12</f>
        <v>3744</v>
      </c>
      <c r="P1544" s="8" t="n">
        <f aca="false">MIN(100,ROUND(100*J1544/Assumptions!$B$8,0))</f>
        <v>100</v>
      </c>
      <c r="Q1544" s="8" t="n">
        <f aca="false">IF(L1544="",Assumptions!$B$9,L1544*10)</f>
        <v>100</v>
      </c>
      <c r="R1544" s="8" t="n">
        <f aca="false">IF(M1544&lt;=1,Assumptions!$B$12,IF(M1544&lt;=3,Assumptions!$B$13,IF(M1544&lt;=6,Assumptions!$B$14,Assumptions!$B$15)))</f>
        <v>100</v>
      </c>
      <c r="S1544" s="8" t="n">
        <f aca="false">IF(N1544="Completed On Time",Assumptions!$B$16,IF(N1544="Completed Late",Assumptions!$B$17,Assumptions!$B$18))</f>
        <v>100</v>
      </c>
      <c r="T1544" s="8" t="n">
        <f aca="false">IF(I1544=0,Assumptions!$B$20,IF(H1544&gt;I1544,Assumptions!$B$19,IF(H1544=I1544,Assumptions!$B$20,Assumptions!$B$21)))</f>
        <v>70</v>
      </c>
      <c r="U1544" s="8" t="n">
        <f aca="false">ROUND(P1544*Assumptions!$B$2+Q1544*Assumptions!$B$3+R1544*Assumptions!$B$4+S1544*Assumptions!$B$5+T1544*Assumptions!$B$6,0)</f>
        <v>94</v>
      </c>
      <c r="V1544" s="8" t="str">
        <f aca="false">IF(U1544&gt;=Assumptions!$B$10,"Healthy",IF(U1544&gt;=Assumptions!$B$11,"Needs Attention","High Risk"))</f>
        <v>Healthy</v>
      </c>
    </row>
    <row r="1545" customFormat="false" ht="15" hidden="false" customHeight="false" outlineLevel="0" collapsed="false">
      <c r="A1545" s="8" t="s">
        <v>3232</v>
      </c>
      <c r="B1545" s="8" t="s">
        <v>3233</v>
      </c>
      <c r="C1545" s="8" t="s">
        <v>51</v>
      </c>
      <c r="D1545" s="8" t="s">
        <v>2027</v>
      </c>
      <c r="E1545" s="8" t="s">
        <v>132</v>
      </c>
      <c r="F1545" s="8" t="s">
        <v>154</v>
      </c>
      <c r="G1545" s="8" t="s">
        <v>159</v>
      </c>
      <c r="H1545" s="15" t="n">
        <v>312</v>
      </c>
      <c r="I1545" s="15" t="n">
        <v>312</v>
      </c>
      <c r="J1545" s="16" t="n">
        <v>0.846</v>
      </c>
      <c r="K1545" s="8" t="n">
        <v>10.7</v>
      </c>
      <c r="L1545" s="8" t="n">
        <v>9</v>
      </c>
      <c r="M1545" s="8" t="n">
        <v>1</v>
      </c>
      <c r="N1545" s="8" t="s">
        <v>120</v>
      </c>
      <c r="O1545" s="15" t="n">
        <f aca="false">H1545*12</f>
        <v>3744</v>
      </c>
      <c r="P1545" s="8" t="n">
        <f aca="false">MIN(100,ROUND(100*J1545/Assumptions!$B$8,0))</f>
        <v>94</v>
      </c>
      <c r="Q1545" s="8" t="n">
        <f aca="false">IF(L1545="",Assumptions!$B$9,L1545*10)</f>
        <v>90</v>
      </c>
      <c r="R1545" s="8" t="n">
        <f aca="false">IF(M1545&lt;=1,Assumptions!$B$12,IF(M1545&lt;=3,Assumptions!$B$13,IF(M1545&lt;=6,Assumptions!$B$14,Assumptions!$B$15)))</f>
        <v>100</v>
      </c>
      <c r="S1545" s="8" t="n">
        <f aca="false">IF(N1545="Completed On Time",Assumptions!$B$16,IF(N1545="Completed Late",Assumptions!$B$17,Assumptions!$B$18))</f>
        <v>100</v>
      </c>
      <c r="T1545" s="8" t="n">
        <f aca="false">IF(I1545=0,Assumptions!$B$20,IF(H1545&gt;I1545,Assumptions!$B$19,IF(H1545=I1545,Assumptions!$B$20,Assumptions!$B$21)))</f>
        <v>70</v>
      </c>
      <c r="U1545" s="8" t="n">
        <f aca="false">ROUND(P1545*Assumptions!$B$2+Q1545*Assumptions!$B$3+R1545*Assumptions!$B$4+S1545*Assumptions!$B$5+T1545*Assumptions!$B$6,0)</f>
        <v>90</v>
      </c>
      <c r="V1545" s="8" t="str">
        <f aca="false">IF(U1545&gt;=Assumptions!$B$10,"Healthy",IF(U1545&gt;=Assumptions!$B$11,"Needs Attention","High Risk"))</f>
        <v>Healthy</v>
      </c>
    </row>
    <row r="1546" customFormat="false" ht="15" hidden="false" customHeight="false" outlineLevel="0" collapsed="false">
      <c r="A1546" s="8" t="s">
        <v>3234</v>
      </c>
      <c r="B1546" s="8" t="s">
        <v>3235</v>
      </c>
      <c r="C1546" s="8" t="s">
        <v>51</v>
      </c>
      <c r="D1546" s="8" t="s">
        <v>2027</v>
      </c>
      <c r="E1546" s="8" t="s">
        <v>132</v>
      </c>
      <c r="F1546" s="8" t="s">
        <v>136</v>
      </c>
      <c r="G1546" s="8" t="s">
        <v>137</v>
      </c>
      <c r="H1546" s="15" t="n">
        <v>312</v>
      </c>
      <c r="I1546" s="15" t="n">
        <v>312</v>
      </c>
      <c r="J1546" s="16" t="n">
        <v>0.718</v>
      </c>
      <c r="K1546" s="8" t="n">
        <v>7.3</v>
      </c>
      <c r="L1546" s="8" t="n">
        <v>8</v>
      </c>
      <c r="M1546" s="8" t="n">
        <v>4</v>
      </c>
      <c r="N1546" s="8" t="s">
        <v>120</v>
      </c>
      <c r="O1546" s="15" t="n">
        <f aca="false">H1546*12</f>
        <v>3744</v>
      </c>
      <c r="P1546" s="8" t="n">
        <f aca="false">MIN(100,ROUND(100*J1546/Assumptions!$B$8,0))</f>
        <v>80</v>
      </c>
      <c r="Q1546" s="8" t="n">
        <f aca="false">IF(L1546="",Assumptions!$B$9,L1546*10)</f>
        <v>80</v>
      </c>
      <c r="R1546" s="8" t="n">
        <f aca="false">IF(M1546&lt;=1,Assumptions!$B$12,IF(M1546&lt;=3,Assumptions!$B$13,IF(M1546&lt;=6,Assumptions!$B$14,Assumptions!$B$15)))</f>
        <v>50</v>
      </c>
      <c r="S1546" s="8" t="n">
        <f aca="false">IF(N1546="Completed On Time",Assumptions!$B$16,IF(N1546="Completed Late",Assumptions!$B$17,Assumptions!$B$18))</f>
        <v>100</v>
      </c>
      <c r="T1546" s="8" t="n">
        <f aca="false">IF(I1546=0,Assumptions!$B$20,IF(H1546&gt;I1546,Assumptions!$B$19,IF(H1546=I1546,Assumptions!$B$20,Assumptions!$B$21)))</f>
        <v>70</v>
      </c>
      <c r="U1546" s="8" t="n">
        <f aca="false">ROUND(P1546*Assumptions!$B$2+Q1546*Assumptions!$B$3+R1546*Assumptions!$B$4+S1546*Assumptions!$B$5+T1546*Assumptions!$B$6,0)</f>
        <v>76</v>
      </c>
      <c r="V1546" s="8" t="str">
        <f aca="false">IF(U1546&gt;=Assumptions!$B$10,"Healthy",IF(U1546&gt;=Assumptions!$B$11,"Needs Attention","High Risk"))</f>
        <v>Needs Attention</v>
      </c>
    </row>
    <row r="1547" customFormat="false" ht="15" hidden="false" customHeight="false" outlineLevel="0" collapsed="false">
      <c r="A1547" s="8" t="s">
        <v>3236</v>
      </c>
      <c r="B1547" s="8" t="s">
        <v>3237</v>
      </c>
      <c r="C1547" s="8" t="s">
        <v>51</v>
      </c>
      <c r="D1547" s="8" t="s">
        <v>2027</v>
      </c>
      <c r="E1547" s="8" t="s">
        <v>132</v>
      </c>
      <c r="F1547" s="8" t="s">
        <v>166</v>
      </c>
      <c r="G1547" s="8" t="s">
        <v>137</v>
      </c>
      <c r="H1547" s="15" t="n">
        <v>312</v>
      </c>
      <c r="I1547" s="15" t="n">
        <v>312</v>
      </c>
      <c r="J1547" s="16" t="n">
        <v>0.795</v>
      </c>
      <c r="K1547" s="8" t="n">
        <v>9.7</v>
      </c>
      <c r="L1547" s="8" t="n">
        <v>6</v>
      </c>
      <c r="M1547" s="8" t="n">
        <v>1</v>
      </c>
      <c r="N1547" s="8" t="s">
        <v>120</v>
      </c>
      <c r="O1547" s="15" t="n">
        <f aca="false">H1547*12</f>
        <v>3744</v>
      </c>
      <c r="P1547" s="8" t="n">
        <f aca="false">MIN(100,ROUND(100*J1547/Assumptions!$B$8,0))</f>
        <v>88</v>
      </c>
      <c r="Q1547" s="8" t="n">
        <f aca="false">IF(L1547="",Assumptions!$B$9,L1547*10)</f>
        <v>60</v>
      </c>
      <c r="R1547" s="8" t="n">
        <f aca="false">IF(M1547&lt;=1,Assumptions!$B$12,IF(M1547&lt;=3,Assumptions!$B$13,IF(M1547&lt;=6,Assumptions!$B$14,Assumptions!$B$15)))</f>
        <v>100</v>
      </c>
      <c r="S1547" s="8" t="n">
        <f aca="false">IF(N1547="Completed On Time",Assumptions!$B$16,IF(N1547="Completed Late",Assumptions!$B$17,Assumptions!$B$18))</f>
        <v>100</v>
      </c>
      <c r="T1547" s="8" t="n">
        <f aca="false">IF(I1547=0,Assumptions!$B$20,IF(H1547&gt;I1547,Assumptions!$B$19,IF(H1547=I1547,Assumptions!$B$20,Assumptions!$B$21)))</f>
        <v>70</v>
      </c>
      <c r="U1547" s="8" t="n">
        <f aca="false">ROUND(P1547*Assumptions!$B$2+Q1547*Assumptions!$B$3+R1547*Assumptions!$B$4+S1547*Assumptions!$B$5+T1547*Assumptions!$B$6,0)</f>
        <v>82</v>
      </c>
      <c r="V1547" s="8" t="str">
        <f aca="false">IF(U1547&gt;=Assumptions!$B$10,"Healthy",IF(U1547&gt;=Assumptions!$B$11,"Needs Attention","High Risk"))</f>
        <v>Healthy</v>
      </c>
    </row>
    <row r="1548" customFormat="false" ht="15" hidden="false" customHeight="false" outlineLevel="0" collapsed="false">
      <c r="A1548" s="8" t="s">
        <v>3238</v>
      </c>
      <c r="B1548" s="8" t="s">
        <v>3239</v>
      </c>
      <c r="C1548" s="8" t="s">
        <v>51</v>
      </c>
      <c r="D1548" s="8" t="s">
        <v>2027</v>
      </c>
      <c r="E1548" s="8" t="s">
        <v>123</v>
      </c>
      <c r="F1548" s="8" t="s">
        <v>118</v>
      </c>
      <c r="G1548" s="8" t="s">
        <v>144</v>
      </c>
      <c r="H1548" s="15" t="n">
        <v>312</v>
      </c>
      <c r="I1548" s="15" t="n">
        <v>312</v>
      </c>
      <c r="J1548" s="16" t="n">
        <v>0.795</v>
      </c>
      <c r="K1548" s="8" t="n">
        <v>10.7</v>
      </c>
      <c r="L1548" s="8" t="n">
        <v>10</v>
      </c>
      <c r="M1548" s="8" t="n">
        <v>0</v>
      </c>
      <c r="N1548" s="8" t="s">
        <v>120</v>
      </c>
      <c r="O1548" s="15" t="n">
        <f aca="false">H1548*12</f>
        <v>3744</v>
      </c>
      <c r="P1548" s="8" t="n">
        <f aca="false">MIN(100,ROUND(100*J1548/Assumptions!$B$8,0))</f>
        <v>88</v>
      </c>
      <c r="Q1548" s="8" t="n">
        <f aca="false">IF(L1548="",Assumptions!$B$9,L1548*10)</f>
        <v>100</v>
      </c>
      <c r="R1548" s="8" t="n">
        <f aca="false">IF(M1548&lt;=1,Assumptions!$B$12,IF(M1548&lt;=3,Assumptions!$B$13,IF(M1548&lt;=6,Assumptions!$B$14,Assumptions!$B$15)))</f>
        <v>100</v>
      </c>
      <c r="S1548" s="8" t="n">
        <f aca="false">IF(N1548="Completed On Time",Assumptions!$B$16,IF(N1548="Completed Late",Assumptions!$B$17,Assumptions!$B$18))</f>
        <v>100</v>
      </c>
      <c r="T1548" s="8" t="n">
        <f aca="false">IF(I1548=0,Assumptions!$B$20,IF(H1548&gt;I1548,Assumptions!$B$19,IF(H1548=I1548,Assumptions!$B$20,Assumptions!$B$21)))</f>
        <v>70</v>
      </c>
      <c r="U1548" s="8" t="n">
        <f aca="false">ROUND(P1548*Assumptions!$B$2+Q1548*Assumptions!$B$3+R1548*Assumptions!$B$4+S1548*Assumptions!$B$5+T1548*Assumptions!$B$6,0)</f>
        <v>90</v>
      </c>
      <c r="V1548" s="8" t="str">
        <f aca="false">IF(U1548&gt;=Assumptions!$B$10,"Healthy",IF(U1548&gt;=Assumptions!$B$11,"Needs Attention","High Risk"))</f>
        <v>Healthy</v>
      </c>
    </row>
    <row r="1549" customFormat="false" ht="15" hidden="false" customHeight="false" outlineLevel="0" collapsed="false">
      <c r="A1549" s="8" t="s">
        <v>3240</v>
      </c>
      <c r="B1549" s="8" t="s">
        <v>3241</v>
      </c>
      <c r="C1549" s="8" t="s">
        <v>51</v>
      </c>
      <c r="D1549" s="8" t="s">
        <v>2027</v>
      </c>
      <c r="E1549" s="8" t="s">
        <v>117</v>
      </c>
      <c r="F1549" s="8" t="s">
        <v>143</v>
      </c>
      <c r="G1549" s="8" t="s">
        <v>147</v>
      </c>
      <c r="H1549" s="15" t="n">
        <v>312</v>
      </c>
      <c r="I1549" s="15" t="n">
        <v>312</v>
      </c>
      <c r="J1549" s="16" t="n">
        <v>0.744</v>
      </c>
      <c r="K1549" s="8" t="n">
        <v>8.3</v>
      </c>
      <c r="L1549" s="8" t="n">
        <v>10</v>
      </c>
      <c r="M1549" s="8" t="n">
        <v>0</v>
      </c>
      <c r="N1549" s="8" t="s">
        <v>120</v>
      </c>
      <c r="O1549" s="15" t="n">
        <f aca="false">H1549*12</f>
        <v>3744</v>
      </c>
      <c r="P1549" s="8" t="n">
        <f aca="false">MIN(100,ROUND(100*J1549/Assumptions!$B$8,0))</f>
        <v>83</v>
      </c>
      <c r="Q1549" s="8" t="n">
        <f aca="false">IF(L1549="",Assumptions!$B$9,L1549*10)</f>
        <v>100</v>
      </c>
      <c r="R1549" s="8" t="n">
        <f aca="false">IF(M1549&lt;=1,Assumptions!$B$12,IF(M1549&lt;=3,Assumptions!$B$13,IF(M1549&lt;=6,Assumptions!$B$14,Assumptions!$B$15)))</f>
        <v>100</v>
      </c>
      <c r="S1549" s="8" t="n">
        <f aca="false">IF(N1549="Completed On Time",Assumptions!$B$16,IF(N1549="Completed Late",Assumptions!$B$17,Assumptions!$B$18))</f>
        <v>100</v>
      </c>
      <c r="T1549" s="8" t="n">
        <f aca="false">IF(I1549=0,Assumptions!$B$20,IF(H1549&gt;I1549,Assumptions!$B$19,IF(H1549=I1549,Assumptions!$B$20,Assumptions!$B$21)))</f>
        <v>70</v>
      </c>
      <c r="U1549" s="8" t="n">
        <f aca="false">ROUND(P1549*Assumptions!$B$2+Q1549*Assumptions!$B$3+R1549*Assumptions!$B$4+S1549*Assumptions!$B$5+T1549*Assumptions!$B$6,0)</f>
        <v>88</v>
      </c>
      <c r="V1549" s="8" t="str">
        <f aca="false">IF(U1549&gt;=Assumptions!$B$10,"Healthy",IF(U1549&gt;=Assumptions!$B$11,"Needs Attention","High Risk"))</f>
        <v>Healthy</v>
      </c>
    </row>
    <row r="1550" customFormat="false" ht="15" hidden="false" customHeight="false" outlineLevel="0" collapsed="false">
      <c r="A1550" s="8" t="s">
        <v>3242</v>
      </c>
      <c r="B1550" s="8" t="s">
        <v>3243</v>
      </c>
      <c r="C1550" s="8" t="s">
        <v>51</v>
      </c>
      <c r="D1550" s="8" t="s">
        <v>2027</v>
      </c>
      <c r="E1550" s="8" t="s">
        <v>132</v>
      </c>
      <c r="F1550" s="8" t="s">
        <v>136</v>
      </c>
      <c r="G1550" s="8" t="s">
        <v>140</v>
      </c>
      <c r="H1550" s="15" t="n">
        <v>312</v>
      </c>
      <c r="I1550" s="15" t="n">
        <v>312</v>
      </c>
      <c r="J1550" s="16" t="n">
        <v>0.692</v>
      </c>
      <c r="K1550" s="8" t="n">
        <v>10.7</v>
      </c>
      <c r="L1550" s="8" t="n">
        <v>10</v>
      </c>
      <c r="M1550" s="8" t="n">
        <v>3</v>
      </c>
      <c r="N1550" s="8" t="s">
        <v>120</v>
      </c>
      <c r="O1550" s="15" t="n">
        <f aca="false">H1550*12</f>
        <v>3744</v>
      </c>
      <c r="P1550" s="8" t="n">
        <f aca="false">MIN(100,ROUND(100*J1550/Assumptions!$B$8,0))</f>
        <v>77</v>
      </c>
      <c r="Q1550" s="8" t="n">
        <f aca="false">IF(L1550="",Assumptions!$B$9,L1550*10)</f>
        <v>100</v>
      </c>
      <c r="R1550" s="8" t="n">
        <f aca="false">IF(M1550&lt;=1,Assumptions!$B$12,IF(M1550&lt;=3,Assumptions!$B$13,IF(M1550&lt;=6,Assumptions!$B$14,Assumptions!$B$15)))</f>
        <v>75</v>
      </c>
      <c r="S1550" s="8" t="n">
        <f aca="false">IF(N1550="Completed On Time",Assumptions!$B$16,IF(N1550="Completed Late",Assumptions!$B$17,Assumptions!$B$18))</f>
        <v>100</v>
      </c>
      <c r="T1550" s="8" t="n">
        <f aca="false">IF(I1550=0,Assumptions!$B$20,IF(H1550&gt;I1550,Assumptions!$B$19,IF(H1550=I1550,Assumptions!$B$20,Assumptions!$B$21)))</f>
        <v>70</v>
      </c>
      <c r="U1550" s="8" t="n">
        <f aca="false">ROUND(P1550*Assumptions!$B$2+Q1550*Assumptions!$B$3+R1550*Assumptions!$B$4+S1550*Assumptions!$B$5+T1550*Assumptions!$B$6,0)</f>
        <v>82</v>
      </c>
      <c r="V1550" s="8" t="str">
        <f aca="false">IF(U1550&gt;=Assumptions!$B$10,"Healthy",IF(U1550&gt;=Assumptions!$B$11,"Needs Attention","High Risk"))</f>
        <v>Healthy</v>
      </c>
    </row>
    <row r="1551" customFormat="false" ht="15" hidden="false" customHeight="false" outlineLevel="0" collapsed="false">
      <c r="A1551" s="8" t="s">
        <v>3244</v>
      </c>
      <c r="B1551" s="8" t="s">
        <v>3245</v>
      </c>
      <c r="C1551" s="8" t="s">
        <v>51</v>
      </c>
      <c r="D1551" s="8" t="s">
        <v>2027</v>
      </c>
      <c r="E1551" s="8" t="s">
        <v>132</v>
      </c>
      <c r="F1551" s="8" t="s">
        <v>136</v>
      </c>
      <c r="G1551" s="8" t="s">
        <v>159</v>
      </c>
      <c r="H1551" s="15" t="n">
        <v>312</v>
      </c>
      <c r="I1551" s="15" t="n">
        <v>312</v>
      </c>
      <c r="J1551" s="16" t="n">
        <v>0.615</v>
      </c>
      <c r="K1551" s="8" t="n">
        <v>8</v>
      </c>
      <c r="L1551" s="8" t="n">
        <v>6</v>
      </c>
      <c r="M1551" s="8" t="n">
        <v>1</v>
      </c>
      <c r="N1551" s="8" t="s">
        <v>120</v>
      </c>
      <c r="O1551" s="15" t="n">
        <f aca="false">H1551*12</f>
        <v>3744</v>
      </c>
      <c r="P1551" s="8" t="n">
        <f aca="false">MIN(100,ROUND(100*J1551/Assumptions!$B$8,0))</f>
        <v>68</v>
      </c>
      <c r="Q1551" s="8" t="n">
        <f aca="false">IF(L1551="",Assumptions!$B$9,L1551*10)</f>
        <v>60</v>
      </c>
      <c r="R1551" s="8" t="n">
        <f aca="false">IF(M1551&lt;=1,Assumptions!$B$12,IF(M1551&lt;=3,Assumptions!$B$13,IF(M1551&lt;=6,Assumptions!$B$14,Assumptions!$B$15)))</f>
        <v>100</v>
      </c>
      <c r="S1551" s="8" t="n">
        <f aca="false">IF(N1551="Completed On Time",Assumptions!$B$16,IF(N1551="Completed Late",Assumptions!$B$17,Assumptions!$B$18))</f>
        <v>100</v>
      </c>
      <c r="T1551" s="8" t="n">
        <f aca="false">IF(I1551=0,Assumptions!$B$20,IF(H1551&gt;I1551,Assumptions!$B$19,IF(H1551=I1551,Assumptions!$B$20,Assumptions!$B$21)))</f>
        <v>70</v>
      </c>
      <c r="U1551" s="8" t="n">
        <f aca="false">ROUND(P1551*Assumptions!$B$2+Q1551*Assumptions!$B$3+R1551*Assumptions!$B$4+S1551*Assumptions!$B$5+T1551*Assumptions!$B$6,0)</f>
        <v>75</v>
      </c>
      <c r="V1551" s="8" t="str">
        <f aca="false">IF(U1551&gt;=Assumptions!$B$10,"Healthy",IF(U1551&gt;=Assumptions!$B$11,"Needs Attention","High Risk"))</f>
        <v>Needs Attention</v>
      </c>
    </row>
    <row r="1552" customFormat="false" ht="15" hidden="false" customHeight="false" outlineLevel="0" collapsed="false">
      <c r="A1552" s="8" t="s">
        <v>3246</v>
      </c>
      <c r="B1552" s="8" t="s">
        <v>3247</v>
      </c>
      <c r="C1552" s="8" t="s">
        <v>51</v>
      </c>
      <c r="D1552" s="8" t="s">
        <v>2027</v>
      </c>
      <c r="E1552" s="8" t="s">
        <v>123</v>
      </c>
      <c r="F1552" s="8" t="s">
        <v>154</v>
      </c>
      <c r="G1552" s="8" t="s">
        <v>140</v>
      </c>
      <c r="H1552" s="15" t="n">
        <v>312</v>
      </c>
      <c r="I1552" s="15" t="n">
        <v>312</v>
      </c>
      <c r="J1552" s="16" t="n">
        <v>0.615</v>
      </c>
      <c r="K1552" s="8" t="n">
        <v>8</v>
      </c>
      <c r="L1552" s="8" t="n">
        <v>7</v>
      </c>
      <c r="M1552" s="8" t="n">
        <v>0</v>
      </c>
      <c r="N1552" s="8" t="s">
        <v>148</v>
      </c>
      <c r="O1552" s="15" t="n">
        <f aca="false">H1552*12</f>
        <v>3744</v>
      </c>
      <c r="P1552" s="8" t="n">
        <f aca="false">MIN(100,ROUND(100*J1552/Assumptions!$B$8,0))</f>
        <v>68</v>
      </c>
      <c r="Q1552" s="8" t="n">
        <f aca="false">IF(L1552="",Assumptions!$B$9,L1552*10)</f>
        <v>70</v>
      </c>
      <c r="R1552" s="8" t="n">
        <f aca="false">IF(M1552&lt;=1,Assumptions!$B$12,IF(M1552&lt;=3,Assumptions!$B$13,IF(M1552&lt;=6,Assumptions!$B$14,Assumptions!$B$15)))</f>
        <v>100</v>
      </c>
      <c r="S1552" s="8" t="n">
        <f aca="false">IF(N1552="Completed On Time",Assumptions!$B$16,IF(N1552="Completed Late",Assumptions!$B$17,Assumptions!$B$18))</f>
        <v>60</v>
      </c>
      <c r="T1552" s="8" t="n">
        <f aca="false">IF(I1552=0,Assumptions!$B$20,IF(H1552&gt;I1552,Assumptions!$B$19,IF(H1552=I1552,Assumptions!$B$20,Assumptions!$B$21)))</f>
        <v>70</v>
      </c>
      <c r="U1552" s="8" t="n">
        <f aca="false">ROUND(P1552*Assumptions!$B$2+Q1552*Assumptions!$B$3+R1552*Assumptions!$B$4+S1552*Assumptions!$B$5+T1552*Assumptions!$B$6,0)</f>
        <v>73</v>
      </c>
      <c r="V1552" s="8" t="str">
        <f aca="false">IF(U1552&gt;=Assumptions!$B$10,"Healthy",IF(U1552&gt;=Assumptions!$B$11,"Needs Attention","High Risk"))</f>
        <v>Needs Attention</v>
      </c>
    </row>
    <row r="1553" customFormat="false" ht="15" hidden="false" customHeight="false" outlineLevel="0" collapsed="false">
      <c r="A1553" s="8" t="s">
        <v>3248</v>
      </c>
      <c r="B1553" s="8" t="s">
        <v>3249</v>
      </c>
      <c r="C1553" s="8" t="s">
        <v>51</v>
      </c>
      <c r="D1553" s="8" t="s">
        <v>2027</v>
      </c>
      <c r="E1553" s="8" t="s">
        <v>123</v>
      </c>
      <c r="F1553" s="8" t="s">
        <v>133</v>
      </c>
      <c r="G1553" s="8" t="s">
        <v>180</v>
      </c>
      <c r="H1553" s="15" t="n">
        <v>312</v>
      </c>
      <c r="I1553" s="15" t="n">
        <v>312</v>
      </c>
      <c r="J1553" s="16" t="n">
        <v>0.756</v>
      </c>
      <c r="K1553" s="8" t="n">
        <v>8</v>
      </c>
      <c r="L1553" s="8" t="n">
        <v>8</v>
      </c>
      <c r="M1553" s="8" t="n">
        <v>3</v>
      </c>
      <c r="N1553" s="8" t="s">
        <v>120</v>
      </c>
      <c r="O1553" s="15" t="n">
        <f aca="false">H1553*12</f>
        <v>3744</v>
      </c>
      <c r="P1553" s="8" t="n">
        <f aca="false">MIN(100,ROUND(100*J1553/Assumptions!$B$8,0))</f>
        <v>84</v>
      </c>
      <c r="Q1553" s="8" t="n">
        <f aca="false">IF(L1553="",Assumptions!$B$9,L1553*10)</f>
        <v>80</v>
      </c>
      <c r="R1553" s="8" t="n">
        <f aca="false">IF(M1553&lt;=1,Assumptions!$B$12,IF(M1553&lt;=3,Assumptions!$B$13,IF(M1553&lt;=6,Assumptions!$B$14,Assumptions!$B$15)))</f>
        <v>75</v>
      </c>
      <c r="S1553" s="8" t="n">
        <f aca="false">IF(N1553="Completed On Time",Assumptions!$B$16,IF(N1553="Completed Late",Assumptions!$B$17,Assumptions!$B$18))</f>
        <v>100</v>
      </c>
      <c r="T1553" s="8" t="n">
        <f aca="false">IF(I1553=0,Assumptions!$B$20,IF(H1553&gt;I1553,Assumptions!$B$19,IF(H1553=I1553,Assumptions!$B$20,Assumptions!$B$21)))</f>
        <v>70</v>
      </c>
      <c r="U1553" s="8" t="n">
        <f aca="false">ROUND(P1553*Assumptions!$B$2+Q1553*Assumptions!$B$3+R1553*Assumptions!$B$4+S1553*Assumptions!$B$5+T1553*Assumptions!$B$6,0)</f>
        <v>81</v>
      </c>
      <c r="V1553" s="8" t="str">
        <f aca="false">IF(U1553&gt;=Assumptions!$B$10,"Healthy",IF(U1553&gt;=Assumptions!$B$11,"Needs Attention","High Risk"))</f>
        <v>Healthy</v>
      </c>
    </row>
    <row r="1554" customFormat="false" ht="15" hidden="false" customHeight="false" outlineLevel="0" collapsed="false">
      <c r="A1554" s="8" t="s">
        <v>3250</v>
      </c>
      <c r="B1554" s="8" t="s">
        <v>3251</v>
      </c>
      <c r="C1554" s="8" t="s">
        <v>51</v>
      </c>
      <c r="D1554" s="8" t="s">
        <v>326</v>
      </c>
      <c r="E1554" s="8" t="s">
        <v>123</v>
      </c>
      <c r="F1554" s="8" t="s">
        <v>151</v>
      </c>
      <c r="G1554" s="8" t="s">
        <v>180</v>
      </c>
      <c r="H1554" s="15" t="n">
        <v>300</v>
      </c>
      <c r="I1554" s="15" t="n">
        <v>300</v>
      </c>
      <c r="J1554" s="16" t="n">
        <v>0.611</v>
      </c>
      <c r="K1554" s="8" t="n">
        <v>9</v>
      </c>
      <c r="L1554" s="8" t="n">
        <v>5</v>
      </c>
      <c r="M1554" s="8" t="n">
        <v>4</v>
      </c>
      <c r="N1554" s="8" t="s">
        <v>120</v>
      </c>
      <c r="O1554" s="15" t="n">
        <f aca="false">H1554*12</f>
        <v>3600</v>
      </c>
      <c r="P1554" s="8" t="n">
        <f aca="false">MIN(100,ROUND(100*J1554/Assumptions!$B$8,0))</f>
        <v>68</v>
      </c>
      <c r="Q1554" s="8" t="n">
        <f aca="false">IF(L1554="",Assumptions!$B$9,L1554*10)</f>
        <v>50</v>
      </c>
      <c r="R1554" s="8" t="n">
        <f aca="false">IF(M1554&lt;=1,Assumptions!$B$12,IF(M1554&lt;=3,Assumptions!$B$13,IF(M1554&lt;=6,Assumptions!$B$14,Assumptions!$B$15)))</f>
        <v>50</v>
      </c>
      <c r="S1554" s="8" t="n">
        <f aca="false">IF(N1554="Completed On Time",Assumptions!$B$16,IF(N1554="Completed Late",Assumptions!$B$17,Assumptions!$B$18))</f>
        <v>100</v>
      </c>
      <c r="T1554" s="8" t="n">
        <f aca="false">IF(I1554=0,Assumptions!$B$20,IF(H1554&gt;I1554,Assumptions!$B$19,IF(H1554=I1554,Assumptions!$B$20,Assumptions!$B$21)))</f>
        <v>70</v>
      </c>
      <c r="U1554" s="8" t="n">
        <f aca="false">ROUND(P1554*Assumptions!$B$2+Q1554*Assumptions!$B$3+R1554*Assumptions!$B$4+S1554*Assumptions!$B$5+T1554*Assumptions!$B$6,0)</f>
        <v>65</v>
      </c>
      <c r="V1554" s="8" t="str">
        <f aca="false">IF(U1554&gt;=Assumptions!$B$10,"Healthy",IF(U1554&gt;=Assumptions!$B$11,"Needs Attention","High Risk"))</f>
        <v>Needs Attention</v>
      </c>
    </row>
    <row r="1555" customFormat="false" ht="15" hidden="false" customHeight="false" outlineLevel="0" collapsed="false">
      <c r="A1555" s="8" t="s">
        <v>3252</v>
      </c>
      <c r="B1555" s="8" t="s">
        <v>3253</v>
      </c>
      <c r="C1555" s="8" t="s">
        <v>51</v>
      </c>
      <c r="D1555" s="8" t="s">
        <v>2027</v>
      </c>
      <c r="E1555" s="8" t="s">
        <v>117</v>
      </c>
      <c r="F1555" s="8" t="s">
        <v>136</v>
      </c>
      <c r="G1555" s="8" t="s">
        <v>144</v>
      </c>
      <c r="H1555" s="15" t="n">
        <v>300</v>
      </c>
      <c r="I1555" s="15" t="n">
        <v>300</v>
      </c>
      <c r="J1555" s="16" t="n">
        <v>0.853</v>
      </c>
      <c r="K1555" s="8" t="n">
        <v>9.3</v>
      </c>
      <c r="L1555" s="8" t="n">
        <v>8</v>
      </c>
      <c r="M1555" s="8" t="n">
        <v>3</v>
      </c>
      <c r="N1555" s="8" t="s">
        <v>120</v>
      </c>
      <c r="O1555" s="15" t="n">
        <f aca="false">H1555*12</f>
        <v>3600</v>
      </c>
      <c r="P1555" s="8" t="n">
        <f aca="false">MIN(100,ROUND(100*J1555/Assumptions!$B$8,0))</f>
        <v>95</v>
      </c>
      <c r="Q1555" s="8" t="n">
        <f aca="false">IF(L1555="",Assumptions!$B$9,L1555*10)</f>
        <v>80</v>
      </c>
      <c r="R1555" s="8" t="n">
        <f aca="false">IF(M1555&lt;=1,Assumptions!$B$12,IF(M1555&lt;=3,Assumptions!$B$13,IF(M1555&lt;=6,Assumptions!$B$14,Assumptions!$B$15)))</f>
        <v>75</v>
      </c>
      <c r="S1555" s="8" t="n">
        <f aca="false">IF(N1555="Completed On Time",Assumptions!$B$16,IF(N1555="Completed Late",Assumptions!$B$17,Assumptions!$B$18))</f>
        <v>100</v>
      </c>
      <c r="T1555" s="8" t="n">
        <f aca="false">IF(I1555=0,Assumptions!$B$20,IF(H1555&gt;I1555,Assumptions!$B$19,IF(H1555=I1555,Assumptions!$B$20,Assumptions!$B$21)))</f>
        <v>70</v>
      </c>
      <c r="U1555" s="8" t="n">
        <f aca="false">ROUND(P1555*Assumptions!$B$2+Q1555*Assumptions!$B$3+R1555*Assumptions!$B$4+S1555*Assumptions!$B$5+T1555*Assumptions!$B$6,0)</f>
        <v>85</v>
      </c>
      <c r="V1555" s="8" t="str">
        <f aca="false">IF(U1555&gt;=Assumptions!$B$10,"Healthy",IF(U1555&gt;=Assumptions!$B$11,"Needs Attention","High Risk"))</f>
        <v>Healthy</v>
      </c>
    </row>
    <row r="1556" customFormat="false" ht="15" hidden="false" customHeight="false" outlineLevel="0" collapsed="false">
      <c r="A1556" s="8" t="s">
        <v>3254</v>
      </c>
      <c r="B1556" s="8" t="s">
        <v>3255</v>
      </c>
      <c r="C1556" s="8" t="s">
        <v>51</v>
      </c>
      <c r="D1556" s="8" t="s">
        <v>2027</v>
      </c>
      <c r="E1556" s="8" t="s">
        <v>123</v>
      </c>
      <c r="F1556" s="8" t="s">
        <v>133</v>
      </c>
      <c r="G1556" s="8" t="s">
        <v>144</v>
      </c>
      <c r="H1556" s="15" t="n">
        <v>300</v>
      </c>
      <c r="I1556" s="15" t="n">
        <v>300</v>
      </c>
      <c r="J1556" s="16" t="n">
        <v>0.653</v>
      </c>
      <c r="K1556" s="8" t="n">
        <v>8</v>
      </c>
      <c r="L1556" s="8" t="n">
        <v>7</v>
      </c>
      <c r="M1556" s="8" t="n">
        <v>3</v>
      </c>
      <c r="N1556" s="8" t="s">
        <v>120</v>
      </c>
      <c r="O1556" s="15" t="n">
        <f aca="false">H1556*12</f>
        <v>3600</v>
      </c>
      <c r="P1556" s="8" t="n">
        <f aca="false">MIN(100,ROUND(100*J1556/Assumptions!$B$8,0))</f>
        <v>73</v>
      </c>
      <c r="Q1556" s="8" t="n">
        <f aca="false">IF(L1556="",Assumptions!$B$9,L1556*10)</f>
        <v>70</v>
      </c>
      <c r="R1556" s="8" t="n">
        <f aca="false">IF(M1556&lt;=1,Assumptions!$B$12,IF(M1556&lt;=3,Assumptions!$B$13,IF(M1556&lt;=6,Assumptions!$B$14,Assumptions!$B$15)))</f>
        <v>75</v>
      </c>
      <c r="S1556" s="8" t="n">
        <f aca="false">IF(N1556="Completed On Time",Assumptions!$B$16,IF(N1556="Completed Late",Assumptions!$B$17,Assumptions!$B$18))</f>
        <v>100</v>
      </c>
      <c r="T1556" s="8" t="n">
        <f aca="false">IF(I1556=0,Assumptions!$B$20,IF(H1556&gt;I1556,Assumptions!$B$19,IF(H1556=I1556,Assumptions!$B$20,Assumptions!$B$21)))</f>
        <v>70</v>
      </c>
      <c r="U1556" s="8" t="n">
        <f aca="false">ROUND(P1556*Assumptions!$B$2+Q1556*Assumptions!$B$3+R1556*Assumptions!$B$4+S1556*Assumptions!$B$5+T1556*Assumptions!$B$6,0)</f>
        <v>75</v>
      </c>
      <c r="V1556" s="8" t="str">
        <f aca="false">IF(U1556&gt;=Assumptions!$B$10,"Healthy",IF(U1556&gt;=Assumptions!$B$11,"Needs Attention","High Risk"))</f>
        <v>Needs Attention</v>
      </c>
    </row>
    <row r="1557" customFormat="false" ht="15" hidden="false" customHeight="false" outlineLevel="0" collapsed="false">
      <c r="A1557" s="8" t="s">
        <v>3256</v>
      </c>
      <c r="B1557" s="8" t="s">
        <v>3257</v>
      </c>
      <c r="C1557" s="8" t="s">
        <v>51</v>
      </c>
      <c r="D1557" s="8" t="s">
        <v>2027</v>
      </c>
      <c r="E1557" s="8" t="s">
        <v>117</v>
      </c>
      <c r="F1557" s="8" t="s">
        <v>154</v>
      </c>
      <c r="G1557" s="8" t="s">
        <v>177</v>
      </c>
      <c r="H1557" s="15" t="n">
        <v>300</v>
      </c>
      <c r="I1557" s="15" t="n">
        <v>300</v>
      </c>
      <c r="J1557" s="16" t="n">
        <v>0.853</v>
      </c>
      <c r="K1557" s="8" t="n">
        <v>9.7</v>
      </c>
      <c r="L1557" s="8" t="n">
        <v>10</v>
      </c>
      <c r="M1557" s="8" t="n">
        <v>3</v>
      </c>
      <c r="N1557" s="8" t="s">
        <v>120</v>
      </c>
      <c r="O1557" s="15" t="n">
        <f aca="false">H1557*12</f>
        <v>3600</v>
      </c>
      <c r="P1557" s="8" t="n">
        <f aca="false">MIN(100,ROUND(100*J1557/Assumptions!$B$8,0))</f>
        <v>95</v>
      </c>
      <c r="Q1557" s="8" t="n">
        <f aca="false">IF(L1557="",Assumptions!$B$9,L1557*10)</f>
        <v>100</v>
      </c>
      <c r="R1557" s="8" t="n">
        <f aca="false">IF(M1557&lt;=1,Assumptions!$B$12,IF(M1557&lt;=3,Assumptions!$B$13,IF(M1557&lt;=6,Assumptions!$B$14,Assumptions!$B$15)))</f>
        <v>75</v>
      </c>
      <c r="S1557" s="8" t="n">
        <f aca="false">IF(N1557="Completed On Time",Assumptions!$B$16,IF(N1557="Completed Late",Assumptions!$B$17,Assumptions!$B$18))</f>
        <v>100</v>
      </c>
      <c r="T1557" s="8" t="n">
        <f aca="false">IF(I1557=0,Assumptions!$B$20,IF(H1557&gt;I1557,Assumptions!$B$19,IF(H1557=I1557,Assumptions!$B$20,Assumptions!$B$21)))</f>
        <v>70</v>
      </c>
      <c r="U1557" s="8" t="n">
        <f aca="false">ROUND(P1557*Assumptions!$B$2+Q1557*Assumptions!$B$3+R1557*Assumptions!$B$4+S1557*Assumptions!$B$5+T1557*Assumptions!$B$6,0)</f>
        <v>89</v>
      </c>
      <c r="V1557" s="8" t="str">
        <f aca="false">IF(U1557&gt;=Assumptions!$B$10,"Healthy",IF(U1557&gt;=Assumptions!$B$11,"Needs Attention","High Risk"))</f>
        <v>Healthy</v>
      </c>
    </row>
    <row r="1558" customFormat="false" ht="15" hidden="false" customHeight="false" outlineLevel="0" collapsed="false">
      <c r="A1558" s="8" t="s">
        <v>3258</v>
      </c>
      <c r="B1558" s="8" t="s">
        <v>3259</v>
      </c>
      <c r="C1558" s="8" t="s">
        <v>51</v>
      </c>
      <c r="D1558" s="8" t="s">
        <v>326</v>
      </c>
      <c r="E1558" s="8" t="s">
        <v>123</v>
      </c>
      <c r="F1558" s="8" t="s">
        <v>136</v>
      </c>
      <c r="G1558" s="8" t="s">
        <v>159</v>
      </c>
      <c r="H1558" s="15" t="n">
        <v>300</v>
      </c>
      <c r="I1558" s="15" t="n">
        <v>300</v>
      </c>
      <c r="J1558" s="16" t="n">
        <v>0.694</v>
      </c>
      <c r="K1558" s="8" t="n">
        <v>9</v>
      </c>
      <c r="L1558" s="8" t="n">
        <v>8</v>
      </c>
      <c r="M1558" s="8" t="n">
        <v>2</v>
      </c>
      <c r="N1558" s="8" t="s">
        <v>120</v>
      </c>
      <c r="O1558" s="15" t="n">
        <f aca="false">H1558*12</f>
        <v>3600</v>
      </c>
      <c r="P1558" s="8" t="n">
        <f aca="false">MIN(100,ROUND(100*J1558/Assumptions!$B$8,0))</f>
        <v>77</v>
      </c>
      <c r="Q1558" s="8" t="n">
        <f aca="false">IF(L1558="",Assumptions!$B$9,L1558*10)</f>
        <v>80</v>
      </c>
      <c r="R1558" s="8" t="n">
        <f aca="false">IF(M1558&lt;=1,Assumptions!$B$12,IF(M1558&lt;=3,Assumptions!$B$13,IF(M1558&lt;=6,Assumptions!$B$14,Assumptions!$B$15)))</f>
        <v>75</v>
      </c>
      <c r="S1558" s="8" t="n">
        <f aca="false">IF(N1558="Completed On Time",Assumptions!$B$16,IF(N1558="Completed Late",Assumptions!$B$17,Assumptions!$B$18))</f>
        <v>100</v>
      </c>
      <c r="T1558" s="8" t="n">
        <f aca="false">IF(I1558=0,Assumptions!$B$20,IF(H1558&gt;I1558,Assumptions!$B$19,IF(H1558=I1558,Assumptions!$B$20,Assumptions!$B$21)))</f>
        <v>70</v>
      </c>
      <c r="U1558" s="8" t="n">
        <f aca="false">ROUND(P1558*Assumptions!$B$2+Q1558*Assumptions!$B$3+R1558*Assumptions!$B$4+S1558*Assumptions!$B$5+T1558*Assumptions!$B$6,0)</f>
        <v>78</v>
      </c>
      <c r="V1558" s="8" t="str">
        <f aca="false">IF(U1558&gt;=Assumptions!$B$10,"Healthy",IF(U1558&gt;=Assumptions!$B$11,"Needs Attention","High Risk"))</f>
        <v>Needs Attention</v>
      </c>
    </row>
    <row r="1559" customFormat="false" ht="15" hidden="false" customHeight="false" outlineLevel="0" collapsed="false">
      <c r="A1559" s="8" t="s">
        <v>3260</v>
      </c>
      <c r="B1559" s="8" t="s">
        <v>3261</v>
      </c>
      <c r="C1559" s="8" t="s">
        <v>51</v>
      </c>
      <c r="D1559" s="8" t="s">
        <v>2027</v>
      </c>
      <c r="E1559" s="8" t="s">
        <v>123</v>
      </c>
      <c r="F1559" s="8" t="s">
        <v>166</v>
      </c>
      <c r="G1559" s="8" t="s">
        <v>144</v>
      </c>
      <c r="H1559" s="15" t="n">
        <v>300</v>
      </c>
      <c r="I1559" s="15" t="n">
        <v>300</v>
      </c>
      <c r="J1559" s="16" t="n">
        <v>0.707</v>
      </c>
      <c r="K1559" s="8" t="n">
        <v>7.3</v>
      </c>
      <c r="L1559" s="8" t="n">
        <v>5</v>
      </c>
      <c r="M1559" s="8" t="n">
        <v>6</v>
      </c>
      <c r="N1559" s="8" t="s">
        <v>120</v>
      </c>
      <c r="O1559" s="15" t="n">
        <f aca="false">H1559*12</f>
        <v>3600</v>
      </c>
      <c r="P1559" s="8" t="n">
        <f aca="false">MIN(100,ROUND(100*J1559/Assumptions!$B$8,0))</f>
        <v>79</v>
      </c>
      <c r="Q1559" s="8" t="n">
        <f aca="false">IF(L1559="",Assumptions!$B$9,L1559*10)</f>
        <v>50</v>
      </c>
      <c r="R1559" s="8" t="n">
        <f aca="false">IF(M1559&lt;=1,Assumptions!$B$12,IF(M1559&lt;=3,Assumptions!$B$13,IF(M1559&lt;=6,Assumptions!$B$14,Assumptions!$B$15)))</f>
        <v>50</v>
      </c>
      <c r="S1559" s="8" t="n">
        <f aca="false">IF(N1559="Completed On Time",Assumptions!$B$16,IF(N1559="Completed Late",Assumptions!$B$17,Assumptions!$B$18))</f>
        <v>100</v>
      </c>
      <c r="T1559" s="8" t="n">
        <f aca="false">IF(I1559=0,Assumptions!$B$20,IF(H1559&gt;I1559,Assumptions!$B$19,IF(H1559=I1559,Assumptions!$B$20,Assumptions!$B$21)))</f>
        <v>70</v>
      </c>
      <c r="U1559" s="8" t="n">
        <f aca="false">ROUND(P1559*Assumptions!$B$2+Q1559*Assumptions!$B$3+R1559*Assumptions!$B$4+S1559*Assumptions!$B$5+T1559*Assumptions!$B$6,0)</f>
        <v>69</v>
      </c>
      <c r="V1559" s="8" t="str">
        <f aca="false">IF(U1559&gt;=Assumptions!$B$10,"Healthy",IF(U1559&gt;=Assumptions!$B$11,"Needs Attention","High Risk"))</f>
        <v>Needs Attention</v>
      </c>
    </row>
    <row r="1560" customFormat="false" ht="15" hidden="false" customHeight="false" outlineLevel="0" collapsed="false">
      <c r="A1560" s="8" t="s">
        <v>3262</v>
      </c>
      <c r="B1560" s="8" t="s">
        <v>3263</v>
      </c>
      <c r="C1560" s="8" t="s">
        <v>51</v>
      </c>
      <c r="D1560" s="8" t="s">
        <v>2027</v>
      </c>
      <c r="E1560" s="8" t="s">
        <v>132</v>
      </c>
      <c r="F1560" s="8" t="s">
        <v>223</v>
      </c>
      <c r="G1560" s="8" t="s">
        <v>159</v>
      </c>
      <c r="H1560" s="15" t="n">
        <v>300</v>
      </c>
      <c r="I1560" s="15" t="n">
        <v>300</v>
      </c>
      <c r="J1560" s="16" t="n">
        <v>0.933</v>
      </c>
      <c r="K1560" s="8" t="n">
        <v>10.3</v>
      </c>
      <c r="L1560" s="8" t="n">
        <v>10</v>
      </c>
      <c r="M1560" s="8" t="n">
        <v>0</v>
      </c>
      <c r="N1560" s="8" t="s">
        <v>120</v>
      </c>
      <c r="O1560" s="15" t="n">
        <f aca="false">H1560*12</f>
        <v>3600</v>
      </c>
      <c r="P1560" s="8" t="n">
        <f aca="false">MIN(100,ROUND(100*J1560/Assumptions!$B$8,0))</f>
        <v>100</v>
      </c>
      <c r="Q1560" s="8" t="n">
        <f aca="false">IF(L1560="",Assumptions!$B$9,L1560*10)</f>
        <v>100</v>
      </c>
      <c r="R1560" s="8" t="n">
        <f aca="false">IF(M1560&lt;=1,Assumptions!$B$12,IF(M1560&lt;=3,Assumptions!$B$13,IF(M1560&lt;=6,Assumptions!$B$14,Assumptions!$B$15)))</f>
        <v>100</v>
      </c>
      <c r="S1560" s="8" t="n">
        <f aca="false">IF(N1560="Completed On Time",Assumptions!$B$16,IF(N1560="Completed Late",Assumptions!$B$17,Assumptions!$B$18))</f>
        <v>100</v>
      </c>
      <c r="T1560" s="8" t="n">
        <f aca="false">IF(I1560=0,Assumptions!$B$20,IF(H1560&gt;I1560,Assumptions!$B$19,IF(H1560=I1560,Assumptions!$B$20,Assumptions!$B$21)))</f>
        <v>70</v>
      </c>
      <c r="U1560" s="8" t="n">
        <f aca="false">ROUND(P1560*Assumptions!$B$2+Q1560*Assumptions!$B$3+R1560*Assumptions!$B$4+S1560*Assumptions!$B$5+T1560*Assumptions!$B$6,0)</f>
        <v>94</v>
      </c>
      <c r="V1560" s="8" t="str">
        <f aca="false">IF(U1560&gt;=Assumptions!$B$10,"Healthy",IF(U1560&gt;=Assumptions!$B$11,"Needs Attention","High Risk"))</f>
        <v>Healthy</v>
      </c>
    </row>
    <row r="1561" customFormat="false" ht="15" hidden="false" customHeight="false" outlineLevel="0" collapsed="false">
      <c r="A1561" s="8" t="s">
        <v>3264</v>
      </c>
      <c r="B1561" s="8" t="s">
        <v>3265</v>
      </c>
      <c r="C1561" s="8" t="s">
        <v>51</v>
      </c>
      <c r="D1561" s="8" t="s">
        <v>2027</v>
      </c>
      <c r="E1561" s="8" t="s">
        <v>123</v>
      </c>
      <c r="F1561" s="8" t="s">
        <v>118</v>
      </c>
      <c r="G1561" s="8" t="s">
        <v>147</v>
      </c>
      <c r="H1561" s="15" t="n">
        <v>300</v>
      </c>
      <c r="I1561" s="15" t="n">
        <v>300</v>
      </c>
      <c r="J1561" s="16" t="n">
        <v>0.88</v>
      </c>
      <c r="K1561" s="8" t="n">
        <v>9.7</v>
      </c>
      <c r="L1561" s="8" t="n">
        <v>9</v>
      </c>
      <c r="M1561" s="8" t="n">
        <v>4</v>
      </c>
      <c r="N1561" s="8" t="s">
        <v>120</v>
      </c>
      <c r="O1561" s="15" t="n">
        <f aca="false">H1561*12</f>
        <v>3600</v>
      </c>
      <c r="P1561" s="8" t="n">
        <f aca="false">MIN(100,ROUND(100*J1561/Assumptions!$B$8,0))</f>
        <v>98</v>
      </c>
      <c r="Q1561" s="8" t="n">
        <f aca="false">IF(L1561="",Assumptions!$B$9,L1561*10)</f>
        <v>90</v>
      </c>
      <c r="R1561" s="8" t="n">
        <f aca="false">IF(M1561&lt;=1,Assumptions!$B$12,IF(M1561&lt;=3,Assumptions!$B$13,IF(M1561&lt;=6,Assumptions!$B$14,Assumptions!$B$15)))</f>
        <v>50</v>
      </c>
      <c r="S1561" s="8" t="n">
        <f aca="false">IF(N1561="Completed On Time",Assumptions!$B$16,IF(N1561="Completed Late",Assumptions!$B$17,Assumptions!$B$18))</f>
        <v>100</v>
      </c>
      <c r="T1561" s="8" t="n">
        <f aca="false">IF(I1561=0,Assumptions!$B$20,IF(H1561&gt;I1561,Assumptions!$B$19,IF(H1561=I1561,Assumptions!$B$20,Assumptions!$B$21)))</f>
        <v>70</v>
      </c>
      <c r="U1561" s="8" t="n">
        <f aca="false">ROUND(P1561*Assumptions!$B$2+Q1561*Assumptions!$B$3+R1561*Assumptions!$B$4+S1561*Assumptions!$B$5+T1561*Assumptions!$B$6,0)</f>
        <v>84</v>
      </c>
      <c r="V1561" s="8" t="str">
        <f aca="false">IF(U1561&gt;=Assumptions!$B$10,"Healthy",IF(U1561&gt;=Assumptions!$B$11,"Needs Attention","High Risk"))</f>
        <v>Healthy</v>
      </c>
    </row>
    <row r="1562" customFormat="false" ht="15" hidden="false" customHeight="false" outlineLevel="0" collapsed="false">
      <c r="A1562" s="8" t="s">
        <v>3266</v>
      </c>
      <c r="B1562" s="8" t="s">
        <v>3267</v>
      </c>
      <c r="C1562" s="8" t="s">
        <v>51</v>
      </c>
      <c r="D1562" s="8" t="s">
        <v>2027</v>
      </c>
      <c r="E1562" s="8" t="s">
        <v>123</v>
      </c>
      <c r="F1562" s="8" t="s">
        <v>118</v>
      </c>
      <c r="G1562" s="8" t="s">
        <v>177</v>
      </c>
      <c r="H1562" s="15" t="n">
        <v>300</v>
      </c>
      <c r="I1562" s="15" t="n">
        <v>300</v>
      </c>
      <c r="J1562" s="16" t="n">
        <v>0.853</v>
      </c>
      <c r="K1562" s="8" t="n">
        <v>8</v>
      </c>
      <c r="L1562" s="8" t="n">
        <v>10</v>
      </c>
      <c r="M1562" s="8" t="n">
        <v>1</v>
      </c>
      <c r="N1562" s="8" t="s">
        <v>148</v>
      </c>
      <c r="O1562" s="15" t="n">
        <f aca="false">H1562*12</f>
        <v>3600</v>
      </c>
      <c r="P1562" s="8" t="n">
        <f aca="false">MIN(100,ROUND(100*J1562/Assumptions!$B$8,0))</f>
        <v>95</v>
      </c>
      <c r="Q1562" s="8" t="n">
        <f aca="false">IF(L1562="",Assumptions!$B$9,L1562*10)</f>
        <v>100</v>
      </c>
      <c r="R1562" s="8" t="n">
        <f aca="false">IF(M1562&lt;=1,Assumptions!$B$12,IF(M1562&lt;=3,Assumptions!$B$13,IF(M1562&lt;=6,Assumptions!$B$14,Assumptions!$B$15)))</f>
        <v>100</v>
      </c>
      <c r="S1562" s="8" t="n">
        <f aca="false">IF(N1562="Completed On Time",Assumptions!$B$16,IF(N1562="Completed Late",Assumptions!$B$17,Assumptions!$B$18))</f>
        <v>60</v>
      </c>
      <c r="T1562" s="8" t="n">
        <f aca="false">IF(I1562=0,Assumptions!$B$20,IF(H1562&gt;I1562,Assumptions!$B$19,IF(H1562=I1562,Assumptions!$B$20,Assumptions!$B$21)))</f>
        <v>70</v>
      </c>
      <c r="U1562" s="8" t="n">
        <f aca="false">ROUND(P1562*Assumptions!$B$2+Q1562*Assumptions!$B$3+R1562*Assumptions!$B$4+S1562*Assumptions!$B$5+T1562*Assumptions!$B$6,0)</f>
        <v>88</v>
      </c>
      <c r="V1562" s="8" t="str">
        <f aca="false">IF(U1562&gt;=Assumptions!$B$10,"Healthy",IF(U1562&gt;=Assumptions!$B$11,"Needs Attention","High Risk"))</f>
        <v>Healthy</v>
      </c>
    </row>
    <row r="1563" customFormat="false" ht="15" hidden="false" customHeight="false" outlineLevel="0" collapsed="false">
      <c r="A1563" s="8" t="s">
        <v>3268</v>
      </c>
      <c r="B1563" s="8" t="s">
        <v>3269</v>
      </c>
      <c r="C1563" s="8" t="s">
        <v>51</v>
      </c>
      <c r="D1563" s="8" t="s">
        <v>2027</v>
      </c>
      <c r="E1563" s="8" t="s">
        <v>123</v>
      </c>
      <c r="F1563" s="8" t="s">
        <v>136</v>
      </c>
      <c r="G1563" s="8" t="s">
        <v>129</v>
      </c>
      <c r="H1563" s="15" t="n">
        <v>300</v>
      </c>
      <c r="I1563" s="15" t="n">
        <v>300</v>
      </c>
      <c r="J1563" s="16" t="n">
        <v>0.907</v>
      </c>
      <c r="K1563" s="8" t="n">
        <v>10</v>
      </c>
      <c r="L1563" s="8" t="n">
        <v>10</v>
      </c>
      <c r="M1563" s="8" t="n">
        <v>2</v>
      </c>
      <c r="N1563" s="8" t="s">
        <v>120</v>
      </c>
      <c r="O1563" s="15" t="n">
        <f aca="false">H1563*12</f>
        <v>3600</v>
      </c>
      <c r="P1563" s="8" t="n">
        <f aca="false">MIN(100,ROUND(100*J1563/Assumptions!$B$8,0))</f>
        <v>100</v>
      </c>
      <c r="Q1563" s="8" t="n">
        <f aca="false">IF(L1563="",Assumptions!$B$9,L1563*10)</f>
        <v>100</v>
      </c>
      <c r="R1563" s="8" t="n">
        <f aca="false">IF(M1563&lt;=1,Assumptions!$B$12,IF(M1563&lt;=3,Assumptions!$B$13,IF(M1563&lt;=6,Assumptions!$B$14,Assumptions!$B$15)))</f>
        <v>75</v>
      </c>
      <c r="S1563" s="8" t="n">
        <f aca="false">IF(N1563="Completed On Time",Assumptions!$B$16,IF(N1563="Completed Late",Assumptions!$B$17,Assumptions!$B$18))</f>
        <v>100</v>
      </c>
      <c r="T1563" s="8" t="n">
        <f aca="false">IF(I1563=0,Assumptions!$B$20,IF(H1563&gt;I1563,Assumptions!$B$19,IF(H1563=I1563,Assumptions!$B$20,Assumptions!$B$21)))</f>
        <v>70</v>
      </c>
      <c r="U1563" s="8" t="n">
        <f aca="false">ROUND(P1563*Assumptions!$B$2+Q1563*Assumptions!$B$3+R1563*Assumptions!$B$4+S1563*Assumptions!$B$5+T1563*Assumptions!$B$6,0)</f>
        <v>90</v>
      </c>
      <c r="V1563" s="8" t="str">
        <f aca="false">IF(U1563&gt;=Assumptions!$B$10,"Healthy",IF(U1563&gt;=Assumptions!$B$11,"Needs Attention","High Risk"))</f>
        <v>Healthy</v>
      </c>
    </row>
    <row r="1564" customFormat="false" ht="15" hidden="false" customHeight="false" outlineLevel="0" collapsed="false">
      <c r="A1564" s="8" t="s">
        <v>3270</v>
      </c>
      <c r="B1564" s="8" t="s">
        <v>3271</v>
      </c>
      <c r="C1564" s="8" t="s">
        <v>51</v>
      </c>
      <c r="D1564" s="8" t="s">
        <v>2027</v>
      </c>
      <c r="E1564" s="8" t="s">
        <v>132</v>
      </c>
      <c r="F1564" s="8" t="s">
        <v>151</v>
      </c>
      <c r="G1564" s="8" t="s">
        <v>147</v>
      </c>
      <c r="H1564" s="15" t="n">
        <v>300</v>
      </c>
      <c r="I1564" s="15" t="n">
        <v>300</v>
      </c>
      <c r="J1564" s="16" t="n">
        <v>0.773</v>
      </c>
      <c r="K1564" s="8" t="n">
        <v>8</v>
      </c>
      <c r="L1564" s="8" t="n">
        <v>8</v>
      </c>
      <c r="M1564" s="8" t="n">
        <v>2</v>
      </c>
      <c r="N1564" s="8" t="s">
        <v>120</v>
      </c>
      <c r="O1564" s="15" t="n">
        <f aca="false">H1564*12</f>
        <v>3600</v>
      </c>
      <c r="P1564" s="8" t="n">
        <f aca="false">MIN(100,ROUND(100*J1564/Assumptions!$B$8,0))</f>
        <v>86</v>
      </c>
      <c r="Q1564" s="8" t="n">
        <f aca="false">IF(L1564="",Assumptions!$B$9,L1564*10)</f>
        <v>80</v>
      </c>
      <c r="R1564" s="8" t="n">
        <f aca="false">IF(M1564&lt;=1,Assumptions!$B$12,IF(M1564&lt;=3,Assumptions!$B$13,IF(M1564&lt;=6,Assumptions!$B$14,Assumptions!$B$15)))</f>
        <v>75</v>
      </c>
      <c r="S1564" s="8" t="n">
        <f aca="false">IF(N1564="Completed On Time",Assumptions!$B$16,IF(N1564="Completed Late",Assumptions!$B$17,Assumptions!$B$18))</f>
        <v>100</v>
      </c>
      <c r="T1564" s="8" t="n">
        <f aca="false">IF(I1564=0,Assumptions!$B$20,IF(H1564&gt;I1564,Assumptions!$B$19,IF(H1564=I1564,Assumptions!$B$20,Assumptions!$B$21)))</f>
        <v>70</v>
      </c>
      <c r="U1564" s="8" t="n">
        <f aca="false">ROUND(P1564*Assumptions!$B$2+Q1564*Assumptions!$B$3+R1564*Assumptions!$B$4+S1564*Assumptions!$B$5+T1564*Assumptions!$B$6,0)</f>
        <v>81</v>
      </c>
      <c r="V1564" s="8" t="str">
        <f aca="false">IF(U1564&gt;=Assumptions!$B$10,"Healthy",IF(U1564&gt;=Assumptions!$B$11,"Needs Attention","High Risk"))</f>
        <v>Healthy</v>
      </c>
    </row>
    <row r="1565" customFormat="false" ht="15" hidden="false" customHeight="false" outlineLevel="0" collapsed="false">
      <c r="A1565" s="8" t="s">
        <v>3272</v>
      </c>
      <c r="B1565" s="8" t="s">
        <v>3273</v>
      </c>
      <c r="C1565" s="8" t="s">
        <v>51</v>
      </c>
      <c r="D1565" s="8" t="s">
        <v>2027</v>
      </c>
      <c r="E1565" s="8" t="s">
        <v>123</v>
      </c>
      <c r="F1565" s="8" t="s">
        <v>118</v>
      </c>
      <c r="G1565" s="8" t="s">
        <v>147</v>
      </c>
      <c r="H1565" s="15" t="n">
        <v>300</v>
      </c>
      <c r="I1565" s="15" t="n">
        <v>300</v>
      </c>
      <c r="J1565" s="16" t="n">
        <v>0.44</v>
      </c>
      <c r="K1565" s="8" t="n">
        <v>6.3</v>
      </c>
      <c r="L1565" s="8" t="n">
        <v>7</v>
      </c>
      <c r="M1565" s="8" t="n">
        <v>6</v>
      </c>
      <c r="N1565" s="8" t="s">
        <v>120</v>
      </c>
      <c r="O1565" s="15" t="n">
        <f aca="false">H1565*12</f>
        <v>3600</v>
      </c>
      <c r="P1565" s="8" t="n">
        <f aca="false">MIN(100,ROUND(100*J1565/Assumptions!$B$8,0))</f>
        <v>49</v>
      </c>
      <c r="Q1565" s="8" t="n">
        <f aca="false">IF(L1565="",Assumptions!$B$9,L1565*10)</f>
        <v>70</v>
      </c>
      <c r="R1565" s="8" t="n">
        <f aca="false">IF(M1565&lt;=1,Assumptions!$B$12,IF(M1565&lt;=3,Assumptions!$B$13,IF(M1565&lt;=6,Assumptions!$B$14,Assumptions!$B$15)))</f>
        <v>50</v>
      </c>
      <c r="S1565" s="8" t="n">
        <f aca="false">IF(N1565="Completed On Time",Assumptions!$B$16,IF(N1565="Completed Late",Assumptions!$B$17,Assumptions!$B$18))</f>
        <v>100</v>
      </c>
      <c r="T1565" s="8" t="n">
        <f aca="false">IF(I1565=0,Assumptions!$B$20,IF(H1565&gt;I1565,Assumptions!$B$19,IF(H1565=I1565,Assumptions!$B$20,Assumptions!$B$21)))</f>
        <v>70</v>
      </c>
      <c r="U1565" s="8" t="n">
        <f aca="false">ROUND(P1565*Assumptions!$B$2+Q1565*Assumptions!$B$3+R1565*Assumptions!$B$4+S1565*Assumptions!$B$5+T1565*Assumptions!$B$6,0)</f>
        <v>63</v>
      </c>
      <c r="V1565" s="8" t="str">
        <f aca="false">IF(U1565&gt;=Assumptions!$B$10,"Healthy",IF(U1565&gt;=Assumptions!$B$11,"Needs Attention","High Risk"))</f>
        <v>High Risk</v>
      </c>
    </row>
    <row r="1566" customFormat="false" ht="15" hidden="false" customHeight="false" outlineLevel="0" collapsed="false">
      <c r="A1566" s="8" t="s">
        <v>3274</v>
      </c>
      <c r="B1566" s="8" t="s">
        <v>3275</v>
      </c>
      <c r="C1566" s="8" t="s">
        <v>51</v>
      </c>
      <c r="D1566" s="8" t="s">
        <v>326</v>
      </c>
      <c r="E1566" s="8" t="s">
        <v>123</v>
      </c>
      <c r="F1566" s="8" t="s">
        <v>223</v>
      </c>
      <c r="G1566" s="8" t="s">
        <v>137</v>
      </c>
      <c r="H1566" s="15" t="n">
        <v>300</v>
      </c>
      <c r="I1566" s="15" t="n">
        <v>300</v>
      </c>
      <c r="J1566" s="16" t="n">
        <v>0.694</v>
      </c>
      <c r="K1566" s="8" t="n">
        <v>8</v>
      </c>
      <c r="L1566" s="8" t="n">
        <v>7</v>
      </c>
      <c r="M1566" s="8" t="n">
        <v>3</v>
      </c>
      <c r="N1566" s="8" t="s">
        <v>120</v>
      </c>
      <c r="O1566" s="15" t="n">
        <f aca="false">H1566*12</f>
        <v>3600</v>
      </c>
      <c r="P1566" s="8" t="n">
        <f aca="false">MIN(100,ROUND(100*J1566/Assumptions!$B$8,0))</f>
        <v>77</v>
      </c>
      <c r="Q1566" s="8" t="n">
        <f aca="false">IF(L1566="",Assumptions!$B$9,L1566*10)</f>
        <v>70</v>
      </c>
      <c r="R1566" s="8" t="n">
        <f aca="false">IF(M1566&lt;=1,Assumptions!$B$12,IF(M1566&lt;=3,Assumptions!$B$13,IF(M1566&lt;=6,Assumptions!$B$14,Assumptions!$B$15)))</f>
        <v>75</v>
      </c>
      <c r="S1566" s="8" t="n">
        <f aca="false">IF(N1566="Completed On Time",Assumptions!$B$16,IF(N1566="Completed Late",Assumptions!$B$17,Assumptions!$B$18))</f>
        <v>100</v>
      </c>
      <c r="T1566" s="8" t="n">
        <f aca="false">IF(I1566=0,Assumptions!$B$20,IF(H1566&gt;I1566,Assumptions!$B$19,IF(H1566=I1566,Assumptions!$B$20,Assumptions!$B$21)))</f>
        <v>70</v>
      </c>
      <c r="U1566" s="8" t="n">
        <f aca="false">ROUND(P1566*Assumptions!$B$2+Q1566*Assumptions!$B$3+R1566*Assumptions!$B$4+S1566*Assumptions!$B$5+T1566*Assumptions!$B$6,0)</f>
        <v>76</v>
      </c>
      <c r="V1566" s="8" t="str">
        <f aca="false">IF(U1566&gt;=Assumptions!$B$10,"Healthy",IF(U1566&gt;=Assumptions!$B$11,"Needs Attention","High Risk"))</f>
        <v>Needs Attention</v>
      </c>
    </row>
    <row r="1567" customFormat="false" ht="15" hidden="false" customHeight="false" outlineLevel="0" collapsed="false">
      <c r="A1567" s="8" t="s">
        <v>3276</v>
      </c>
      <c r="B1567" s="8" t="s">
        <v>3277</v>
      </c>
      <c r="C1567" s="8" t="s">
        <v>51</v>
      </c>
      <c r="D1567" s="8" t="s">
        <v>2027</v>
      </c>
      <c r="E1567" s="8" t="s">
        <v>123</v>
      </c>
      <c r="F1567" s="8" t="s">
        <v>166</v>
      </c>
      <c r="G1567" s="8" t="s">
        <v>159</v>
      </c>
      <c r="H1567" s="15" t="n">
        <v>300</v>
      </c>
      <c r="I1567" s="15" t="n">
        <v>300</v>
      </c>
      <c r="J1567" s="16" t="n">
        <v>0.52</v>
      </c>
      <c r="K1567" s="8" t="n">
        <v>5.3</v>
      </c>
      <c r="L1567" s="8" t="n">
        <v>10</v>
      </c>
      <c r="M1567" s="8" t="n">
        <v>2</v>
      </c>
      <c r="N1567" s="8" t="s">
        <v>148</v>
      </c>
      <c r="O1567" s="15" t="n">
        <f aca="false">H1567*12</f>
        <v>3600</v>
      </c>
      <c r="P1567" s="8" t="n">
        <f aca="false">MIN(100,ROUND(100*J1567/Assumptions!$B$8,0))</f>
        <v>58</v>
      </c>
      <c r="Q1567" s="8" t="n">
        <f aca="false">IF(L1567="",Assumptions!$B$9,L1567*10)</f>
        <v>100</v>
      </c>
      <c r="R1567" s="8" t="n">
        <f aca="false">IF(M1567&lt;=1,Assumptions!$B$12,IF(M1567&lt;=3,Assumptions!$B$13,IF(M1567&lt;=6,Assumptions!$B$14,Assumptions!$B$15)))</f>
        <v>75</v>
      </c>
      <c r="S1567" s="8" t="n">
        <f aca="false">IF(N1567="Completed On Time",Assumptions!$B$16,IF(N1567="Completed Late",Assumptions!$B$17,Assumptions!$B$18))</f>
        <v>60</v>
      </c>
      <c r="T1567" s="8" t="n">
        <f aca="false">IF(I1567=0,Assumptions!$B$20,IF(H1567&gt;I1567,Assumptions!$B$19,IF(H1567=I1567,Assumptions!$B$20,Assumptions!$B$21)))</f>
        <v>70</v>
      </c>
      <c r="U1567" s="8" t="n">
        <f aca="false">ROUND(P1567*Assumptions!$B$2+Q1567*Assumptions!$B$3+R1567*Assumptions!$B$4+S1567*Assumptions!$B$5+T1567*Assumptions!$B$6,0)</f>
        <v>72</v>
      </c>
      <c r="V1567" s="8" t="str">
        <f aca="false">IF(U1567&gt;=Assumptions!$B$10,"Healthy",IF(U1567&gt;=Assumptions!$B$11,"Needs Attention","High Risk"))</f>
        <v>Needs Attention</v>
      </c>
    </row>
    <row r="1568" customFormat="false" ht="15" hidden="false" customHeight="false" outlineLevel="0" collapsed="false">
      <c r="A1568" s="8" t="s">
        <v>3278</v>
      </c>
      <c r="B1568" s="8" t="s">
        <v>3279</v>
      </c>
      <c r="C1568" s="8" t="s">
        <v>51</v>
      </c>
      <c r="D1568" s="8" t="s">
        <v>2027</v>
      </c>
      <c r="E1568" s="8" t="s">
        <v>117</v>
      </c>
      <c r="F1568" s="8" t="s">
        <v>136</v>
      </c>
      <c r="G1568" s="8" t="s">
        <v>137</v>
      </c>
      <c r="H1568" s="15" t="n">
        <v>300</v>
      </c>
      <c r="I1568" s="15" t="n">
        <v>300</v>
      </c>
      <c r="J1568" s="16" t="n">
        <v>0.84</v>
      </c>
      <c r="K1568" s="8" t="n">
        <v>11.7</v>
      </c>
      <c r="L1568" s="8" t="n">
        <v>7</v>
      </c>
      <c r="M1568" s="8" t="n">
        <v>1</v>
      </c>
      <c r="N1568" s="8" t="s">
        <v>120</v>
      </c>
      <c r="O1568" s="15" t="n">
        <f aca="false">H1568*12</f>
        <v>3600</v>
      </c>
      <c r="P1568" s="8" t="n">
        <f aca="false">MIN(100,ROUND(100*J1568/Assumptions!$B$8,0))</f>
        <v>93</v>
      </c>
      <c r="Q1568" s="8" t="n">
        <f aca="false">IF(L1568="",Assumptions!$B$9,L1568*10)</f>
        <v>70</v>
      </c>
      <c r="R1568" s="8" t="n">
        <f aca="false">IF(M1568&lt;=1,Assumptions!$B$12,IF(M1568&lt;=3,Assumptions!$B$13,IF(M1568&lt;=6,Assumptions!$B$14,Assumptions!$B$15)))</f>
        <v>100</v>
      </c>
      <c r="S1568" s="8" t="n">
        <f aca="false">IF(N1568="Completed On Time",Assumptions!$B$16,IF(N1568="Completed Late",Assumptions!$B$17,Assumptions!$B$18))</f>
        <v>100</v>
      </c>
      <c r="T1568" s="8" t="n">
        <f aca="false">IF(I1568=0,Assumptions!$B$20,IF(H1568&gt;I1568,Assumptions!$B$19,IF(H1568=I1568,Assumptions!$B$20,Assumptions!$B$21)))</f>
        <v>70</v>
      </c>
      <c r="U1568" s="8" t="n">
        <f aca="false">ROUND(P1568*Assumptions!$B$2+Q1568*Assumptions!$B$3+R1568*Assumptions!$B$4+S1568*Assumptions!$B$5+T1568*Assumptions!$B$6,0)</f>
        <v>86</v>
      </c>
      <c r="V1568" s="8" t="str">
        <f aca="false">IF(U1568&gt;=Assumptions!$B$10,"Healthy",IF(U1568&gt;=Assumptions!$B$11,"Needs Attention","High Risk"))</f>
        <v>Healthy</v>
      </c>
    </row>
    <row r="1569" customFormat="false" ht="15" hidden="false" customHeight="false" outlineLevel="0" collapsed="false">
      <c r="A1569" s="8" t="s">
        <v>3280</v>
      </c>
      <c r="B1569" s="8" t="s">
        <v>3281</v>
      </c>
      <c r="C1569" s="8" t="s">
        <v>51</v>
      </c>
      <c r="D1569" s="8" t="s">
        <v>2027</v>
      </c>
      <c r="E1569" s="8" t="s">
        <v>123</v>
      </c>
      <c r="F1569" s="8" t="s">
        <v>151</v>
      </c>
      <c r="G1569" s="8" t="s">
        <v>144</v>
      </c>
      <c r="H1569" s="15" t="n">
        <v>300</v>
      </c>
      <c r="I1569" s="15" t="n">
        <v>300</v>
      </c>
      <c r="J1569" s="16" t="n">
        <v>0.64</v>
      </c>
      <c r="K1569" s="8" t="n">
        <v>10</v>
      </c>
      <c r="L1569" s="8" t="n">
        <v>6</v>
      </c>
      <c r="M1569" s="8" t="n">
        <v>2</v>
      </c>
      <c r="N1569" s="8" t="s">
        <v>120</v>
      </c>
      <c r="O1569" s="15" t="n">
        <f aca="false">H1569*12</f>
        <v>3600</v>
      </c>
      <c r="P1569" s="8" t="n">
        <f aca="false">MIN(100,ROUND(100*J1569/Assumptions!$B$8,0))</f>
        <v>71</v>
      </c>
      <c r="Q1569" s="8" t="n">
        <f aca="false">IF(L1569="",Assumptions!$B$9,L1569*10)</f>
        <v>60</v>
      </c>
      <c r="R1569" s="8" t="n">
        <f aca="false">IF(M1569&lt;=1,Assumptions!$B$12,IF(M1569&lt;=3,Assumptions!$B$13,IF(M1569&lt;=6,Assumptions!$B$14,Assumptions!$B$15)))</f>
        <v>75</v>
      </c>
      <c r="S1569" s="8" t="n">
        <f aca="false">IF(N1569="Completed On Time",Assumptions!$B$16,IF(N1569="Completed Late",Assumptions!$B$17,Assumptions!$B$18))</f>
        <v>100</v>
      </c>
      <c r="T1569" s="8" t="n">
        <f aca="false">IF(I1569=0,Assumptions!$B$20,IF(H1569&gt;I1569,Assumptions!$B$19,IF(H1569=I1569,Assumptions!$B$20,Assumptions!$B$21)))</f>
        <v>70</v>
      </c>
      <c r="U1569" s="8" t="n">
        <f aca="false">ROUND(P1569*Assumptions!$B$2+Q1569*Assumptions!$B$3+R1569*Assumptions!$B$4+S1569*Assumptions!$B$5+T1569*Assumptions!$B$6,0)</f>
        <v>72</v>
      </c>
      <c r="V1569" s="8" t="str">
        <f aca="false">IF(U1569&gt;=Assumptions!$B$10,"Healthy",IF(U1569&gt;=Assumptions!$B$11,"Needs Attention","High Risk"))</f>
        <v>Needs Attention</v>
      </c>
    </row>
    <row r="1570" customFormat="false" ht="15" hidden="false" customHeight="false" outlineLevel="0" collapsed="false">
      <c r="A1570" s="8" t="s">
        <v>3282</v>
      </c>
      <c r="B1570" s="8" t="s">
        <v>3283</v>
      </c>
      <c r="C1570" s="8" t="s">
        <v>51</v>
      </c>
      <c r="D1570" s="8" t="s">
        <v>2027</v>
      </c>
      <c r="E1570" s="8" t="s">
        <v>123</v>
      </c>
      <c r="F1570" s="8" t="s">
        <v>190</v>
      </c>
      <c r="G1570" s="8" t="s">
        <v>185</v>
      </c>
      <c r="H1570" s="15" t="n">
        <v>300</v>
      </c>
      <c r="I1570" s="15" t="n">
        <v>300</v>
      </c>
      <c r="J1570" s="16" t="n">
        <v>0.693</v>
      </c>
      <c r="K1570" s="8" t="n">
        <v>8.3</v>
      </c>
      <c r="L1570" s="8" t="n">
        <v>4</v>
      </c>
      <c r="M1570" s="8" t="n">
        <v>1</v>
      </c>
      <c r="N1570" s="8" t="s">
        <v>120</v>
      </c>
      <c r="O1570" s="15" t="n">
        <f aca="false">H1570*12</f>
        <v>3600</v>
      </c>
      <c r="P1570" s="8" t="n">
        <f aca="false">MIN(100,ROUND(100*J1570/Assumptions!$B$8,0))</f>
        <v>77</v>
      </c>
      <c r="Q1570" s="8" t="n">
        <f aca="false">IF(L1570="",Assumptions!$B$9,L1570*10)</f>
        <v>40</v>
      </c>
      <c r="R1570" s="8" t="n">
        <f aca="false">IF(M1570&lt;=1,Assumptions!$B$12,IF(M1570&lt;=3,Assumptions!$B$13,IF(M1570&lt;=6,Assumptions!$B$14,Assumptions!$B$15)))</f>
        <v>100</v>
      </c>
      <c r="S1570" s="8" t="n">
        <f aca="false">IF(N1570="Completed On Time",Assumptions!$B$16,IF(N1570="Completed Late",Assumptions!$B$17,Assumptions!$B$18))</f>
        <v>100</v>
      </c>
      <c r="T1570" s="8" t="n">
        <f aca="false">IF(I1570=0,Assumptions!$B$20,IF(H1570&gt;I1570,Assumptions!$B$19,IF(H1570=I1570,Assumptions!$B$20,Assumptions!$B$21)))</f>
        <v>70</v>
      </c>
      <c r="U1570" s="8" t="n">
        <f aca="false">ROUND(P1570*Assumptions!$B$2+Q1570*Assumptions!$B$3+R1570*Assumptions!$B$4+S1570*Assumptions!$B$5+T1570*Assumptions!$B$6,0)</f>
        <v>74</v>
      </c>
      <c r="V1570" s="8" t="str">
        <f aca="false">IF(U1570&gt;=Assumptions!$B$10,"Healthy",IF(U1570&gt;=Assumptions!$B$11,"Needs Attention","High Risk"))</f>
        <v>Needs Attention</v>
      </c>
    </row>
    <row r="1571" customFormat="false" ht="15" hidden="false" customHeight="false" outlineLevel="0" collapsed="false">
      <c r="A1571" s="8" t="s">
        <v>3284</v>
      </c>
      <c r="B1571" s="8" t="s">
        <v>3285</v>
      </c>
      <c r="C1571" s="8" t="s">
        <v>51</v>
      </c>
      <c r="D1571" s="8" t="s">
        <v>2027</v>
      </c>
      <c r="E1571" s="8" t="s">
        <v>123</v>
      </c>
      <c r="F1571" s="8" t="s">
        <v>151</v>
      </c>
      <c r="G1571" s="8" t="s">
        <v>180</v>
      </c>
      <c r="H1571" s="15" t="n">
        <v>300</v>
      </c>
      <c r="I1571" s="15" t="n">
        <v>300</v>
      </c>
      <c r="J1571" s="16" t="n">
        <v>0.773</v>
      </c>
      <c r="K1571" s="8" t="n">
        <v>9</v>
      </c>
      <c r="L1571" s="8" t="n">
        <v>5</v>
      </c>
      <c r="M1571" s="8" t="n">
        <v>1</v>
      </c>
      <c r="N1571" s="8" t="s">
        <v>120</v>
      </c>
      <c r="O1571" s="15" t="n">
        <f aca="false">H1571*12</f>
        <v>3600</v>
      </c>
      <c r="P1571" s="8" t="n">
        <f aca="false">MIN(100,ROUND(100*J1571/Assumptions!$B$8,0))</f>
        <v>86</v>
      </c>
      <c r="Q1571" s="8" t="n">
        <f aca="false">IF(L1571="",Assumptions!$B$9,L1571*10)</f>
        <v>50</v>
      </c>
      <c r="R1571" s="8" t="n">
        <f aca="false">IF(M1571&lt;=1,Assumptions!$B$12,IF(M1571&lt;=3,Assumptions!$B$13,IF(M1571&lt;=6,Assumptions!$B$14,Assumptions!$B$15)))</f>
        <v>100</v>
      </c>
      <c r="S1571" s="8" t="n">
        <f aca="false">IF(N1571="Completed On Time",Assumptions!$B$16,IF(N1571="Completed Late",Assumptions!$B$17,Assumptions!$B$18))</f>
        <v>100</v>
      </c>
      <c r="T1571" s="8" t="n">
        <f aca="false">IF(I1571=0,Assumptions!$B$20,IF(H1571&gt;I1571,Assumptions!$B$19,IF(H1571=I1571,Assumptions!$B$20,Assumptions!$B$21)))</f>
        <v>70</v>
      </c>
      <c r="U1571" s="8" t="n">
        <f aca="false">ROUND(P1571*Assumptions!$B$2+Q1571*Assumptions!$B$3+R1571*Assumptions!$B$4+S1571*Assumptions!$B$5+T1571*Assumptions!$B$6,0)</f>
        <v>79</v>
      </c>
      <c r="V1571" s="8" t="str">
        <f aca="false">IF(U1571&gt;=Assumptions!$B$10,"Healthy",IF(U1571&gt;=Assumptions!$B$11,"Needs Attention","High Risk"))</f>
        <v>Needs Attention</v>
      </c>
    </row>
    <row r="1572" customFormat="false" ht="15" hidden="false" customHeight="false" outlineLevel="0" collapsed="false">
      <c r="A1572" s="8" t="s">
        <v>3286</v>
      </c>
      <c r="B1572" s="8" t="s">
        <v>3287</v>
      </c>
      <c r="C1572" s="8" t="s">
        <v>51</v>
      </c>
      <c r="D1572" s="8" t="s">
        <v>2027</v>
      </c>
      <c r="E1572" s="8" t="s">
        <v>123</v>
      </c>
      <c r="F1572" s="8" t="s">
        <v>124</v>
      </c>
      <c r="G1572" s="8" t="s">
        <v>204</v>
      </c>
      <c r="H1572" s="15" t="n">
        <v>300</v>
      </c>
      <c r="I1572" s="15" t="n">
        <v>300</v>
      </c>
      <c r="J1572" s="16" t="n">
        <v>0.6</v>
      </c>
      <c r="K1572" s="8" t="n">
        <v>8.3</v>
      </c>
      <c r="L1572" s="8" t="n">
        <v>8</v>
      </c>
      <c r="M1572" s="8" t="n">
        <v>4</v>
      </c>
      <c r="N1572" s="8" t="s">
        <v>120</v>
      </c>
      <c r="O1572" s="15" t="n">
        <f aca="false">H1572*12</f>
        <v>3600</v>
      </c>
      <c r="P1572" s="8" t="n">
        <f aca="false">MIN(100,ROUND(100*J1572/Assumptions!$B$8,0))</f>
        <v>67</v>
      </c>
      <c r="Q1572" s="8" t="n">
        <f aca="false">IF(L1572="",Assumptions!$B$9,L1572*10)</f>
        <v>80</v>
      </c>
      <c r="R1572" s="8" t="n">
        <f aca="false">IF(M1572&lt;=1,Assumptions!$B$12,IF(M1572&lt;=3,Assumptions!$B$13,IF(M1572&lt;=6,Assumptions!$B$14,Assumptions!$B$15)))</f>
        <v>50</v>
      </c>
      <c r="S1572" s="8" t="n">
        <f aca="false">IF(N1572="Completed On Time",Assumptions!$B$16,IF(N1572="Completed Late",Assumptions!$B$17,Assumptions!$B$18))</f>
        <v>100</v>
      </c>
      <c r="T1572" s="8" t="n">
        <f aca="false">IF(I1572=0,Assumptions!$B$20,IF(H1572&gt;I1572,Assumptions!$B$19,IF(H1572=I1572,Assumptions!$B$20,Assumptions!$B$21)))</f>
        <v>70</v>
      </c>
      <c r="U1572" s="8" t="n">
        <f aca="false">ROUND(P1572*Assumptions!$B$2+Q1572*Assumptions!$B$3+R1572*Assumptions!$B$4+S1572*Assumptions!$B$5+T1572*Assumptions!$B$6,0)</f>
        <v>71</v>
      </c>
      <c r="V1572" s="8" t="str">
        <f aca="false">IF(U1572&gt;=Assumptions!$B$10,"Healthy",IF(U1572&gt;=Assumptions!$B$11,"Needs Attention","High Risk"))</f>
        <v>Needs Attention</v>
      </c>
    </row>
    <row r="1573" customFormat="false" ht="15" hidden="false" customHeight="false" outlineLevel="0" collapsed="false">
      <c r="A1573" s="8" t="s">
        <v>3288</v>
      </c>
      <c r="B1573" s="8" t="s">
        <v>3289</v>
      </c>
      <c r="C1573" s="8" t="s">
        <v>51</v>
      </c>
      <c r="D1573" s="8" t="s">
        <v>2027</v>
      </c>
      <c r="E1573" s="8" t="s">
        <v>123</v>
      </c>
      <c r="F1573" s="8" t="s">
        <v>143</v>
      </c>
      <c r="G1573" s="8" t="s">
        <v>185</v>
      </c>
      <c r="H1573" s="15" t="n">
        <v>300</v>
      </c>
      <c r="I1573" s="15" t="n">
        <v>300</v>
      </c>
      <c r="J1573" s="16" t="n">
        <v>0.853</v>
      </c>
      <c r="K1573" s="8" t="n">
        <v>11</v>
      </c>
      <c r="L1573" s="8" t="n">
        <v>10</v>
      </c>
      <c r="M1573" s="8" t="n">
        <v>0</v>
      </c>
      <c r="N1573" s="8" t="s">
        <v>120</v>
      </c>
      <c r="O1573" s="15" t="n">
        <f aca="false">H1573*12</f>
        <v>3600</v>
      </c>
      <c r="P1573" s="8" t="n">
        <f aca="false">MIN(100,ROUND(100*J1573/Assumptions!$B$8,0))</f>
        <v>95</v>
      </c>
      <c r="Q1573" s="8" t="n">
        <f aca="false">IF(L1573="",Assumptions!$B$9,L1573*10)</f>
        <v>100</v>
      </c>
      <c r="R1573" s="8" t="n">
        <f aca="false">IF(M1573&lt;=1,Assumptions!$B$12,IF(M1573&lt;=3,Assumptions!$B$13,IF(M1573&lt;=6,Assumptions!$B$14,Assumptions!$B$15)))</f>
        <v>100</v>
      </c>
      <c r="S1573" s="8" t="n">
        <f aca="false">IF(N1573="Completed On Time",Assumptions!$B$16,IF(N1573="Completed Late",Assumptions!$B$17,Assumptions!$B$18))</f>
        <v>100</v>
      </c>
      <c r="T1573" s="8" t="n">
        <f aca="false">IF(I1573=0,Assumptions!$B$20,IF(H1573&gt;I1573,Assumptions!$B$19,IF(H1573=I1573,Assumptions!$B$20,Assumptions!$B$21)))</f>
        <v>70</v>
      </c>
      <c r="U1573" s="8" t="n">
        <f aca="false">ROUND(P1573*Assumptions!$B$2+Q1573*Assumptions!$B$3+R1573*Assumptions!$B$4+S1573*Assumptions!$B$5+T1573*Assumptions!$B$6,0)</f>
        <v>92</v>
      </c>
      <c r="V1573" s="8" t="str">
        <f aca="false">IF(U1573&gt;=Assumptions!$B$10,"Healthy",IF(U1573&gt;=Assumptions!$B$11,"Needs Attention","High Risk"))</f>
        <v>Healthy</v>
      </c>
    </row>
    <row r="1574" customFormat="false" ht="15" hidden="false" customHeight="false" outlineLevel="0" collapsed="false">
      <c r="A1574" s="8" t="s">
        <v>3290</v>
      </c>
      <c r="B1574" s="8" t="s">
        <v>3291</v>
      </c>
      <c r="C1574" s="8" t="s">
        <v>51</v>
      </c>
      <c r="D1574" s="8" t="s">
        <v>2027</v>
      </c>
      <c r="E1574" s="8" t="s">
        <v>132</v>
      </c>
      <c r="F1574" s="8" t="s">
        <v>118</v>
      </c>
      <c r="G1574" s="8" t="s">
        <v>140</v>
      </c>
      <c r="H1574" s="15" t="n">
        <v>300</v>
      </c>
      <c r="I1574" s="15" t="n">
        <v>300</v>
      </c>
      <c r="J1574" s="16" t="n">
        <v>0.68</v>
      </c>
      <c r="K1574" s="8" t="n">
        <v>8.7</v>
      </c>
      <c r="L1574" s="8" t="n">
        <v>7</v>
      </c>
      <c r="M1574" s="8" t="n">
        <v>1</v>
      </c>
      <c r="N1574" s="8" t="s">
        <v>120</v>
      </c>
      <c r="O1574" s="15" t="n">
        <f aca="false">H1574*12</f>
        <v>3600</v>
      </c>
      <c r="P1574" s="8" t="n">
        <f aca="false">MIN(100,ROUND(100*J1574/Assumptions!$B$8,0))</f>
        <v>76</v>
      </c>
      <c r="Q1574" s="8" t="n">
        <f aca="false">IF(L1574="",Assumptions!$B$9,L1574*10)</f>
        <v>70</v>
      </c>
      <c r="R1574" s="8" t="n">
        <f aca="false">IF(M1574&lt;=1,Assumptions!$B$12,IF(M1574&lt;=3,Assumptions!$B$13,IF(M1574&lt;=6,Assumptions!$B$14,Assumptions!$B$15)))</f>
        <v>100</v>
      </c>
      <c r="S1574" s="8" t="n">
        <f aca="false">IF(N1574="Completed On Time",Assumptions!$B$16,IF(N1574="Completed Late",Assumptions!$B$17,Assumptions!$B$18))</f>
        <v>100</v>
      </c>
      <c r="T1574" s="8" t="n">
        <f aca="false">IF(I1574=0,Assumptions!$B$20,IF(H1574&gt;I1574,Assumptions!$B$19,IF(H1574=I1574,Assumptions!$B$20,Assumptions!$B$21)))</f>
        <v>70</v>
      </c>
      <c r="U1574" s="8" t="n">
        <f aca="false">ROUND(P1574*Assumptions!$B$2+Q1574*Assumptions!$B$3+R1574*Assumptions!$B$4+S1574*Assumptions!$B$5+T1574*Assumptions!$B$6,0)</f>
        <v>80</v>
      </c>
      <c r="V1574" s="8" t="str">
        <f aca="false">IF(U1574&gt;=Assumptions!$B$10,"Healthy",IF(U1574&gt;=Assumptions!$B$11,"Needs Attention","High Risk"))</f>
        <v>Healthy</v>
      </c>
    </row>
    <row r="1575" customFormat="false" ht="15" hidden="false" customHeight="false" outlineLevel="0" collapsed="false">
      <c r="A1575" s="8" t="s">
        <v>3292</v>
      </c>
      <c r="B1575" s="8" t="s">
        <v>3293</v>
      </c>
      <c r="C1575" s="8" t="s">
        <v>51</v>
      </c>
      <c r="D1575" s="8" t="s">
        <v>2027</v>
      </c>
      <c r="E1575" s="8" t="s">
        <v>132</v>
      </c>
      <c r="F1575" s="8" t="s">
        <v>136</v>
      </c>
      <c r="G1575" s="8" t="s">
        <v>125</v>
      </c>
      <c r="H1575" s="15" t="n">
        <v>300</v>
      </c>
      <c r="I1575" s="15" t="n">
        <v>300</v>
      </c>
      <c r="J1575" s="16" t="n">
        <v>0.707</v>
      </c>
      <c r="K1575" s="8" t="n">
        <v>7</v>
      </c>
      <c r="L1575" s="8" t="n">
        <v>6</v>
      </c>
      <c r="M1575" s="8" t="n">
        <v>2</v>
      </c>
      <c r="N1575" s="8" t="s">
        <v>120</v>
      </c>
      <c r="O1575" s="15" t="n">
        <f aca="false">H1575*12</f>
        <v>3600</v>
      </c>
      <c r="P1575" s="8" t="n">
        <f aca="false">MIN(100,ROUND(100*J1575/Assumptions!$B$8,0))</f>
        <v>79</v>
      </c>
      <c r="Q1575" s="8" t="n">
        <f aca="false">IF(L1575="",Assumptions!$B$9,L1575*10)</f>
        <v>60</v>
      </c>
      <c r="R1575" s="8" t="n">
        <f aca="false">IF(M1575&lt;=1,Assumptions!$B$12,IF(M1575&lt;=3,Assumptions!$B$13,IF(M1575&lt;=6,Assumptions!$B$14,Assumptions!$B$15)))</f>
        <v>75</v>
      </c>
      <c r="S1575" s="8" t="n">
        <f aca="false">IF(N1575="Completed On Time",Assumptions!$B$16,IF(N1575="Completed Late",Assumptions!$B$17,Assumptions!$B$18))</f>
        <v>100</v>
      </c>
      <c r="T1575" s="8" t="n">
        <f aca="false">IF(I1575=0,Assumptions!$B$20,IF(H1575&gt;I1575,Assumptions!$B$19,IF(H1575=I1575,Assumptions!$B$20,Assumptions!$B$21)))</f>
        <v>70</v>
      </c>
      <c r="U1575" s="8" t="n">
        <f aca="false">ROUND(P1575*Assumptions!$B$2+Q1575*Assumptions!$B$3+R1575*Assumptions!$B$4+S1575*Assumptions!$B$5+T1575*Assumptions!$B$6,0)</f>
        <v>75</v>
      </c>
      <c r="V1575" s="8" t="str">
        <f aca="false">IF(U1575&gt;=Assumptions!$B$10,"Healthy",IF(U1575&gt;=Assumptions!$B$11,"Needs Attention","High Risk"))</f>
        <v>Needs Attention</v>
      </c>
    </row>
    <row r="1576" customFormat="false" ht="15" hidden="false" customHeight="false" outlineLevel="0" collapsed="false">
      <c r="A1576" s="8" t="s">
        <v>3294</v>
      </c>
      <c r="B1576" s="8" t="s">
        <v>3295</v>
      </c>
      <c r="C1576" s="8" t="s">
        <v>51</v>
      </c>
      <c r="D1576" s="8" t="s">
        <v>2027</v>
      </c>
      <c r="E1576" s="8" t="s">
        <v>132</v>
      </c>
      <c r="F1576" s="8" t="s">
        <v>124</v>
      </c>
      <c r="G1576" s="8" t="s">
        <v>129</v>
      </c>
      <c r="H1576" s="15" t="n">
        <v>300</v>
      </c>
      <c r="I1576" s="15" t="n">
        <v>228</v>
      </c>
      <c r="J1576" s="16" t="n">
        <v>0.681</v>
      </c>
      <c r="K1576" s="8" t="n">
        <v>9</v>
      </c>
      <c r="L1576" s="8" t="n">
        <v>9</v>
      </c>
      <c r="M1576" s="8" t="n">
        <v>2</v>
      </c>
      <c r="N1576" s="8" t="s">
        <v>120</v>
      </c>
      <c r="O1576" s="15" t="n">
        <f aca="false">H1576*12</f>
        <v>3600</v>
      </c>
      <c r="P1576" s="8" t="n">
        <f aca="false">MIN(100,ROUND(100*J1576/Assumptions!$B$8,0))</f>
        <v>76</v>
      </c>
      <c r="Q1576" s="8" t="n">
        <f aca="false">IF(L1576="",Assumptions!$B$9,L1576*10)</f>
        <v>90</v>
      </c>
      <c r="R1576" s="8" t="n">
        <f aca="false">IF(M1576&lt;=1,Assumptions!$B$12,IF(M1576&lt;=3,Assumptions!$B$13,IF(M1576&lt;=6,Assumptions!$B$14,Assumptions!$B$15)))</f>
        <v>75</v>
      </c>
      <c r="S1576" s="8" t="n">
        <f aca="false">IF(N1576="Completed On Time",Assumptions!$B$16,IF(N1576="Completed Late",Assumptions!$B$17,Assumptions!$B$18))</f>
        <v>100</v>
      </c>
      <c r="T1576" s="8" t="n">
        <f aca="false">IF(I1576=0,Assumptions!$B$20,IF(H1576&gt;I1576,Assumptions!$B$19,IF(H1576=I1576,Assumptions!$B$20,Assumptions!$B$21)))</f>
        <v>100</v>
      </c>
      <c r="U1576" s="8" t="n">
        <f aca="false">ROUND(P1576*Assumptions!$B$2+Q1576*Assumptions!$B$3+R1576*Assumptions!$B$4+S1576*Assumptions!$B$5+T1576*Assumptions!$B$6,0)</f>
        <v>86</v>
      </c>
      <c r="V1576" s="8" t="str">
        <f aca="false">IF(U1576&gt;=Assumptions!$B$10,"Healthy",IF(U1576&gt;=Assumptions!$B$11,"Needs Attention","High Risk"))</f>
        <v>Healthy</v>
      </c>
    </row>
    <row r="1577" customFormat="false" ht="15" hidden="false" customHeight="false" outlineLevel="0" collapsed="false">
      <c r="A1577" s="8" t="s">
        <v>3296</v>
      </c>
      <c r="B1577" s="8" t="s">
        <v>3297</v>
      </c>
      <c r="C1577" s="8" t="s">
        <v>51</v>
      </c>
      <c r="D1577" s="8" t="s">
        <v>2027</v>
      </c>
      <c r="E1577" s="8" t="s">
        <v>128</v>
      </c>
      <c r="F1577" s="8" t="s">
        <v>136</v>
      </c>
      <c r="G1577" s="8" t="s">
        <v>180</v>
      </c>
      <c r="H1577" s="15" t="n">
        <v>300</v>
      </c>
      <c r="I1577" s="15" t="n">
        <v>300</v>
      </c>
      <c r="J1577" s="16" t="n">
        <v>0.853</v>
      </c>
      <c r="K1577" s="8" t="n">
        <v>10.3</v>
      </c>
      <c r="L1577" s="8" t="n">
        <v>8</v>
      </c>
      <c r="M1577" s="8" t="n">
        <v>2</v>
      </c>
      <c r="N1577" s="8" t="s">
        <v>120</v>
      </c>
      <c r="O1577" s="15" t="n">
        <f aca="false">H1577*12</f>
        <v>3600</v>
      </c>
      <c r="P1577" s="8" t="n">
        <f aca="false">MIN(100,ROUND(100*J1577/Assumptions!$B$8,0))</f>
        <v>95</v>
      </c>
      <c r="Q1577" s="8" t="n">
        <f aca="false">IF(L1577="",Assumptions!$B$9,L1577*10)</f>
        <v>80</v>
      </c>
      <c r="R1577" s="8" t="n">
        <f aca="false">IF(M1577&lt;=1,Assumptions!$B$12,IF(M1577&lt;=3,Assumptions!$B$13,IF(M1577&lt;=6,Assumptions!$B$14,Assumptions!$B$15)))</f>
        <v>75</v>
      </c>
      <c r="S1577" s="8" t="n">
        <f aca="false">IF(N1577="Completed On Time",Assumptions!$B$16,IF(N1577="Completed Late",Assumptions!$B$17,Assumptions!$B$18))</f>
        <v>100</v>
      </c>
      <c r="T1577" s="8" t="n">
        <f aca="false">IF(I1577=0,Assumptions!$B$20,IF(H1577&gt;I1577,Assumptions!$B$19,IF(H1577=I1577,Assumptions!$B$20,Assumptions!$B$21)))</f>
        <v>70</v>
      </c>
      <c r="U1577" s="8" t="n">
        <f aca="false">ROUND(P1577*Assumptions!$B$2+Q1577*Assumptions!$B$3+R1577*Assumptions!$B$4+S1577*Assumptions!$B$5+T1577*Assumptions!$B$6,0)</f>
        <v>85</v>
      </c>
      <c r="V1577" s="8" t="str">
        <f aca="false">IF(U1577&gt;=Assumptions!$B$10,"Healthy",IF(U1577&gt;=Assumptions!$B$11,"Needs Attention","High Risk"))</f>
        <v>Healthy</v>
      </c>
    </row>
    <row r="1578" customFormat="false" ht="15" hidden="false" customHeight="false" outlineLevel="0" collapsed="false">
      <c r="A1578" s="8" t="s">
        <v>3298</v>
      </c>
      <c r="B1578" s="8" t="s">
        <v>3299</v>
      </c>
      <c r="C1578" s="8" t="s">
        <v>51</v>
      </c>
      <c r="D1578" s="8" t="s">
        <v>2027</v>
      </c>
      <c r="E1578" s="8" t="s">
        <v>132</v>
      </c>
      <c r="F1578" s="8" t="s">
        <v>133</v>
      </c>
      <c r="G1578" s="8" t="s">
        <v>177</v>
      </c>
      <c r="H1578" s="15" t="n">
        <v>300</v>
      </c>
      <c r="I1578" s="15" t="n">
        <v>300</v>
      </c>
      <c r="J1578" s="16" t="n">
        <v>0.747</v>
      </c>
      <c r="K1578" s="8" t="n">
        <v>8.7</v>
      </c>
      <c r="L1578" s="8" t="n">
        <v>6</v>
      </c>
      <c r="M1578" s="8" t="n">
        <v>1</v>
      </c>
      <c r="N1578" s="8" t="s">
        <v>120</v>
      </c>
      <c r="O1578" s="15" t="n">
        <f aca="false">H1578*12</f>
        <v>3600</v>
      </c>
      <c r="P1578" s="8" t="n">
        <f aca="false">MIN(100,ROUND(100*J1578/Assumptions!$B$8,0))</f>
        <v>83</v>
      </c>
      <c r="Q1578" s="8" t="n">
        <f aca="false">IF(L1578="",Assumptions!$B$9,L1578*10)</f>
        <v>60</v>
      </c>
      <c r="R1578" s="8" t="n">
        <f aca="false">IF(M1578&lt;=1,Assumptions!$B$12,IF(M1578&lt;=3,Assumptions!$B$13,IF(M1578&lt;=6,Assumptions!$B$14,Assumptions!$B$15)))</f>
        <v>100</v>
      </c>
      <c r="S1578" s="8" t="n">
        <f aca="false">IF(N1578="Completed On Time",Assumptions!$B$16,IF(N1578="Completed Late",Assumptions!$B$17,Assumptions!$B$18))</f>
        <v>100</v>
      </c>
      <c r="T1578" s="8" t="n">
        <f aca="false">IF(I1578=0,Assumptions!$B$20,IF(H1578&gt;I1578,Assumptions!$B$19,IF(H1578=I1578,Assumptions!$B$20,Assumptions!$B$21)))</f>
        <v>70</v>
      </c>
      <c r="U1578" s="8" t="n">
        <f aca="false">ROUND(P1578*Assumptions!$B$2+Q1578*Assumptions!$B$3+R1578*Assumptions!$B$4+S1578*Assumptions!$B$5+T1578*Assumptions!$B$6,0)</f>
        <v>80</v>
      </c>
      <c r="V1578" s="8" t="str">
        <f aca="false">IF(U1578&gt;=Assumptions!$B$10,"Healthy",IF(U1578&gt;=Assumptions!$B$11,"Needs Attention","High Risk"))</f>
        <v>Healthy</v>
      </c>
    </row>
    <row r="1579" customFormat="false" ht="15" hidden="false" customHeight="false" outlineLevel="0" collapsed="false">
      <c r="A1579" s="8" t="s">
        <v>3300</v>
      </c>
      <c r="B1579" s="8" t="s">
        <v>3301</v>
      </c>
      <c r="C1579" s="8" t="s">
        <v>51</v>
      </c>
      <c r="D1579" s="8" t="s">
        <v>2027</v>
      </c>
      <c r="E1579" s="8" t="s">
        <v>132</v>
      </c>
      <c r="F1579" s="8" t="s">
        <v>166</v>
      </c>
      <c r="G1579" s="8" t="s">
        <v>140</v>
      </c>
      <c r="H1579" s="15" t="n">
        <v>300</v>
      </c>
      <c r="I1579" s="15" t="n">
        <v>300</v>
      </c>
      <c r="J1579" s="16" t="n">
        <v>0.733</v>
      </c>
      <c r="K1579" s="8" t="n">
        <v>11.3</v>
      </c>
      <c r="L1579" s="8" t="n">
        <v>9</v>
      </c>
      <c r="M1579" s="8" t="n">
        <v>2</v>
      </c>
      <c r="N1579" s="8" t="s">
        <v>120</v>
      </c>
      <c r="O1579" s="15" t="n">
        <f aca="false">H1579*12</f>
        <v>3600</v>
      </c>
      <c r="P1579" s="8" t="n">
        <f aca="false">MIN(100,ROUND(100*J1579/Assumptions!$B$8,0))</f>
        <v>81</v>
      </c>
      <c r="Q1579" s="8" t="n">
        <f aca="false">IF(L1579="",Assumptions!$B$9,L1579*10)</f>
        <v>90</v>
      </c>
      <c r="R1579" s="8" t="n">
        <f aca="false">IF(M1579&lt;=1,Assumptions!$B$12,IF(M1579&lt;=3,Assumptions!$B$13,IF(M1579&lt;=6,Assumptions!$B$14,Assumptions!$B$15)))</f>
        <v>75</v>
      </c>
      <c r="S1579" s="8" t="n">
        <f aca="false">IF(N1579="Completed On Time",Assumptions!$B$16,IF(N1579="Completed Late",Assumptions!$B$17,Assumptions!$B$18))</f>
        <v>100</v>
      </c>
      <c r="T1579" s="8" t="n">
        <f aca="false">IF(I1579=0,Assumptions!$B$20,IF(H1579&gt;I1579,Assumptions!$B$19,IF(H1579=I1579,Assumptions!$B$20,Assumptions!$B$21)))</f>
        <v>70</v>
      </c>
      <c r="U1579" s="8" t="n">
        <f aca="false">ROUND(P1579*Assumptions!$B$2+Q1579*Assumptions!$B$3+R1579*Assumptions!$B$4+S1579*Assumptions!$B$5+T1579*Assumptions!$B$6,0)</f>
        <v>82</v>
      </c>
      <c r="V1579" s="8" t="str">
        <f aca="false">IF(U1579&gt;=Assumptions!$B$10,"Healthy",IF(U1579&gt;=Assumptions!$B$11,"Needs Attention","High Risk"))</f>
        <v>Healthy</v>
      </c>
    </row>
    <row r="1580" customFormat="false" ht="15" hidden="false" customHeight="false" outlineLevel="0" collapsed="false">
      <c r="A1580" s="8" t="s">
        <v>3302</v>
      </c>
      <c r="B1580" s="8" t="s">
        <v>3303</v>
      </c>
      <c r="C1580" s="8" t="s">
        <v>51</v>
      </c>
      <c r="D1580" s="8" t="s">
        <v>2027</v>
      </c>
      <c r="E1580" s="8" t="s">
        <v>123</v>
      </c>
      <c r="F1580" s="8" t="s">
        <v>190</v>
      </c>
      <c r="G1580" s="8" t="s">
        <v>204</v>
      </c>
      <c r="H1580" s="15" t="n">
        <v>300</v>
      </c>
      <c r="I1580" s="15" t="n">
        <v>300</v>
      </c>
      <c r="J1580" s="16" t="n">
        <v>0.667</v>
      </c>
      <c r="K1580" s="8" t="n">
        <v>8.3</v>
      </c>
      <c r="L1580" s="8" t="n">
        <v>9</v>
      </c>
      <c r="M1580" s="8" t="n">
        <v>3</v>
      </c>
      <c r="N1580" s="8" t="s">
        <v>120</v>
      </c>
      <c r="O1580" s="15" t="n">
        <f aca="false">H1580*12</f>
        <v>3600</v>
      </c>
      <c r="P1580" s="8" t="n">
        <f aca="false">MIN(100,ROUND(100*J1580/Assumptions!$B$8,0))</f>
        <v>74</v>
      </c>
      <c r="Q1580" s="8" t="n">
        <f aca="false">IF(L1580="",Assumptions!$B$9,L1580*10)</f>
        <v>90</v>
      </c>
      <c r="R1580" s="8" t="n">
        <f aca="false">IF(M1580&lt;=1,Assumptions!$B$12,IF(M1580&lt;=3,Assumptions!$B$13,IF(M1580&lt;=6,Assumptions!$B$14,Assumptions!$B$15)))</f>
        <v>75</v>
      </c>
      <c r="S1580" s="8" t="n">
        <f aca="false">IF(N1580="Completed On Time",Assumptions!$B$16,IF(N1580="Completed Late",Assumptions!$B$17,Assumptions!$B$18))</f>
        <v>100</v>
      </c>
      <c r="T1580" s="8" t="n">
        <f aca="false">IF(I1580=0,Assumptions!$B$20,IF(H1580&gt;I1580,Assumptions!$B$19,IF(H1580=I1580,Assumptions!$B$20,Assumptions!$B$21)))</f>
        <v>70</v>
      </c>
      <c r="U1580" s="8" t="n">
        <f aca="false">ROUND(P1580*Assumptions!$B$2+Q1580*Assumptions!$B$3+R1580*Assumptions!$B$4+S1580*Assumptions!$B$5+T1580*Assumptions!$B$6,0)</f>
        <v>79</v>
      </c>
      <c r="V1580" s="8" t="str">
        <f aca="false">IF(U1580&gt;=Assumptions!$B$10,"Healthy",IF(U1580&gt;=Assumptions!$B$11,"Needs Attention","High Risk"))</f>
        <v>Needs Attention</v>
      </c>
    </row>
    <row r="1581" customFormat="false" ht="15" hidden="false" customHeight="false" outlineLevel="0" collapsed="false">
      <c r="A1581" s="8" t="s">
        <v>3304</v>
      </c>
      <c r="B1581" s="8" t="s">
        <v>3305</v>
      </c>
      <c r="C1581" s="8" t="s">
        <v>51</v>
      </c>
      <c r="D1581" s="8" t="s">
        <v>2027</v>
      </c>
      <c r="E1581" s="8" t="s">
        <v>132</v>
      </c>
      <c r="F1581" s="8" t="s">
        <v>223</v>
      </c>
      <c r="G1581" s="8" t="s">
        <v>177</v>
      </c>
      <c r="H1581" s="15" t="n">
        <v>300</v>
      </c>
      <c r="I1581" s="15" t="n">
        <v>0</v>
      </c>
      <c r="J1581" s="16" t="n">
        <v>0.693</v>
      </c>
      <c r="K1581" s="8" t="n">
        <v>9.3</v>
      </c>
      <c r="L1581" s="8"/>
      <c r="M1581" s="8" t="n">
        <v>0</v>
      </c>
      <c r="N1581" s="8" t="s">
        <v>120</v>
      </c>
      <c r="O1581" s="15" t="n">
        <f aca="false">H1581*12</f>
        <v>3600</v>
      </c>
      <c r="P1581" s="8" t="n">
        <f aca="false">MIN(100,ROUND(100*J1581/Assumptions!$B$8,0))</f>
        <v>77</v>
      </c>
      <c r="Q1581" s="8" t="n">
        <f aca="false">IF(L1581="",Assumptions!$B$9,L1581*10)</f>
        <v>50</v>
      </c>
      <c r="R1581" s="8" t="n">
        <f aca="false">IF(M1581&lt;=1,Assumptions!$B$12,IF(M1581&lt;=3,Assumptions!$B$13,IF(M1581&lt;=6,Assumptions!$B$14,Assumptions!$B$15)))</f>
        <v>100</v>
      </c>
      <c r="S1581" s="8" t="n">
        <f aca="false">IF(N1581="Completed On Time",Assumptions!$B$16,IF(N1581="Completed Late",Assumptions!$B$17,Assumptions!$B$18))</f>
        <v>100</v>
      </c>
      <c r="T1581" s="8" t="n">
        <f aca="false">IF(I1581=0,Assumptions!$B$20,IF(H1581&gt;I1581,Assumptions!$B$19,IF(H1581=I1581,Assumptions!$B$20,Assumptions!$B$21)))</f>
        <v>70</v>
      </c>
      <c r="U1581" s="8" t="n">
        <f aca="false">ROUND(P1581*Assumptions!$B$2+Q1581*Assumptions!$B$3+R1581*Assumptions!$B$4+S1581*Assumptions!$B$5+T1581*Assumptions!$B$6,0)</f>
        <v>76</v>
      </c>
      <c r="V1581" s="8" t="str">
        <f aca="false">IF(U1581&gt;=Assumptions!$B$10,"Healthy",IF(U1581&gt;=Assumptions!$B$11,"Needs Attention","High Risk"))</f>
        <v>Needs Attention</v>
      </c>
    </row>
    <row r="1582" customFormat="false" ht="15" hidden="false" customHeight="false" outlineLevel="0" collapsed="false">
      <c r="A1582" s="8" t="s">
        <v>3306</v>
      </c>
      <c r="B1582" s="8" t="s">
        <v>3307</v>
      </c>
      <c r="C1582" s="8" t="s">
        <v>51</v>
      </c>
      <c r="D1582" s="8" t="s">
        <v>2027</v>
      </c>
      <c r="E1582" s="8" t="s">
        <v>128</v>
      </c>
      <c r="F1582" s="8" t="s">
        <v>124</v>
      </c>
      <c r="G1582" s="8" t="s">
        <v>125</v>
      </c>
      <c r="H1582" s="15" t="n">
        <v>300</v>
      </c>
      <c r="I1582" s="15" t="n">
        <v>252</v>
      </c>
      <c r="J1582" s="16" t="n">
        <v>0.773</v>
      </c>
      <c r="K1582" s="8" t="n">
        <v>10.7</v>
      </c>
      <c r="L1582" s="8" t="n">
        <v>9</v>
      </c>
      <c r="M1582" s="8" t="n">
        <v>0</v>
      </c>
      <c r="N1582" s="8" t="s">
        <v>120</v>
      </c>
      <c r="O1582" s="15" t="n">
        <f aca="false">H1582*12</f>
        <v>3600</v>
      </c>
      <c r="P1582" s="8" t="n">
        <f aca="false">MIN(100,ROUND(100*J1582/Assumptions!$B$8,0))</f>
        <v>86</v>
      </c>
      <c r="Q1582" s="8" t="n">
        <f aca="false">IF(L1582="",Assumptions!$B$9,L1582*10)</f>
        <v>90</v>
      </c>
      <c r="R1582" s="8" t="n">
        <f aca="false">IF(M1582&lt;=1,Assumptions!$B$12,IF(M1582&lt;=3,Assumptions!$B$13,IF(M1582&lt;=6,Assumptions!$B$14,Assumptions!$B$15)))</f>
        <v>100</v>
      </c>
      <c r="S1582" s="8" t="n">
        <f aca="false">IF(N1582="Completed On Time",Assumptions!$B$16,IF(N1582="Completed Late",Assumptions!$B$17,Assumptions!$B$18))</f>
        <v>100</v>
      </c>
      <c r="T1582" s="8" t="n">
        <f aca="false">IF(I1582=0,Assumptions!$B$20,IF(H1582&gt;I1582,Assumptions!$B$19,IF(H1582=I1582,Assumptions!$B$20,Assumptions!$B$21)))</f>
        <v>100</v>
      </c>
      <c r="U1582" s="8" t="n">
        <f aca="false">ROUND(P1582*Assumptions!$B$2+Q1582*Assumptions!$B$3+R1582*Assumptions!$B$4+S1582*Assumptions!$B$5+T1582*Assumptions!$B$6,0)</f>
        <v>93</v>
      </c>
      <c r="V1582" s="8" t="str">
        <f aca="false">IF(U1582&gt;=Assumptions!$B$10,"Healthy",IF(U1582&gt;=Assumptions!$B$11,"Needs Attention","High Risk"))</f>
        <v>Healthy</v>
      </c>
    </row>
    <row r="1583" customFormat="false" ht="15" hidden="false" customHeight="false" outlineLevel="0" collapsed="false">
      <c r="A1583" s="8" t="s">
        <v>3308</v>
      </c>
      <c r="B1583" s="8" t="s">
        <v>3309</v>
      </c>
      <c r="C1583" s="8" t="s">
        <v>51</v>
      </c>
      <c r="D1583" s="8" t="s">
        <v>326</v>
      </c>
      <c r="E1583" s="8" t="s">
        <v>123</v>
      </c>
      <c r="F1583" s="8" t="s">
        <v>133</v>
      </c>
      <c r="G1583" s="8" t="s">
        <v>119</v>
      </c>
      <c r="H1583" s="15" t="n">
        <v>300</v>
      </c>
      <c r="I1583" s="15" t="n">
        <v>350</v>
      </c>
      <c r="J1583" s="16" t="n">
        <v>0.763</v>
      </c>
      <c r="K1583" s="8" t="n">
        <v>8.7</v>
      </c>
      <c r="L1583" s="8" t="n">
        <v>10</v>
      </c>
      <c r="M1583" s="8" t="n">
        <v>3</v>
      </c>
      <c r="N1583" s="8" t="s">
        <v>120</v>
      </c>
      <c r="O1583" s="15" t="n">
        <f aca="false">H1583*12</f>
        <v>3600</v>
      </c>
      <c r="P1583" s="8" t="n">
        <f aca="false">MIN(100,ROUND(100*J1583/Assumptions!$B$8,0))</f>
        <v>85</v>
      </c>
      <c r="Q1583" s="8" t="n">
        <f aca="false">IF(L1583="",Assumptions!$B$9,L1583*10)</f>
        <v>100</v>
      </c>
      <c r="R1583" s="8" t="n">
        <f aca="false">IF(M1583&lt;=1,Assumptions!$B$12,IF(M1583&lt;=3,Assumptions!$B$13,IF(M1583&lt;=6,Assumptions!$B$14,Assumptions!$B$15)))</f>
        <v>75</v>
      </c>
      <c r="S1583" s="8" t="n">
        <f aca="false">IF(N1583="Completed On Time",Assumptions!$B$16,IF(N1583="Completed Late",Assumptions!$B$17,Assumptions!$B$18))</f>
        <v>100</v>
      </c>
      <c r="T1583" s="8" t="n">
        <f aca="false">IF(I1583=0,Assumptions!$B$20,IF(H1583&gt;I1583,Assumptions!$B$19,IF(H1583=I1583,Assumptions!$B$20,Assumptions!$B$21)))</f>
        <v>30</v>
      </c>
      <c r="U1583" s="8" t="n">
        <f aca="false">ROUND(P1583*Assumptions!$B$2+Q1583*Assumptions!$B$3+R1583*Assumptions!$B$4+S1583*Assumptions!$B$5+T1583*Assumptions!$B$6,0)</f>
        <v>77</v>
      </c>
      <c r="V1583" s="8" t="str">
        <f aca="false">IF(U1583&gt;=Assumptions!$B$10,"Healthy",IF(U1583&gt;=Assumptions!$B$11,"Needs Attention","High Risk"))</f>
        <v>Needs Attention</v>
      </c>
    </row>
    <row r="1584" customFormat="false" ht="15" hidden="false" customHeight="false" outlineLevel="0" collapsed="false">
      <c r="A1584" s="8" t="s">
        <v>3310</v>
      </c>
      <c r="B1584" s="8" t="s">
        <v>3311</v>
      </c>
      <c r="C1584" s="8" t="s">
        <v>51</v>
      </c>
      <c r="D1584" s="8" t="s">
        <v>2027</v>
      </c>
      <c r="E1584" s="8" t="s">
        <v>132</v>
      </c>
      <c r="F1584" s="8" t="s">
        <v>151</v>
      </c>
      <c r="G1584" s="8" t="s">
        <v>147</v>
      </c>
      <c r="H1584" s="15" t="n">
        <v>300</v>
      </c>
      <c r="I1584" s="15" t="n">
        <v>300</v>
      </c>
      <c r="J1584" s="16" t="n">
        <v>0.733</v>
      </c>
      <c r="K1584" s="8" t="n">
        <v>9.3</v>
      </c>
      <c r="L1584" s="8" t="n">
        <v>9</v>
      </c>
      <c r="M1584" s="8" t="n">
        <v>2</v>
      </c>
      <c r="N1584" s="8" t="s">
        <v>120</v>
      </c>
      <c r="O1584" s="15" t="n">
        <f aca="false">H1584*12</f>
        <v>3600</v>
      </c>
      <c r="P1584" s="8" t="n">
        <f aca="false">MIN(100,ROUND(100*J1584/Assumptions!$B$8,0))</f>
        <v>81</v>
      </c>
      <c r="Q1584" s="8" t="n">
        <f aca="false">IF(L1584="",Assumptions!$B$9,L1584*10)</f>
        <v>90</v>
      </c>
      <c r="R1584" s="8" t="n">
        <f aca="false">IF(M1584&lt;=1,Assumptions!$B$12,IF(M1584&lt;=3,Assumptions!$B$13,IF(M1584&lt;=6,Assumptions!$B$14,Assumptions!$B$15)))</f>
        <v>75</v>
      </c>
      <c r="S1584" s="8" t="n">
        <f aca="false">IF(N1584="Completed On Time",Assumptions!$B$16,IF(N1584="Completed Late",Assumptions!$B$17,Assumptions!$B$18))</f>
        <v>100</v>
      </c>
      <c r="T1584" s="8" t="n">
        <f aca="false">IF(I1584=0,Assumptions!$B$20,IF(H1584&gt;I1584,Assumptions!$B$19,IF(H1584=I1584,Assumptions!$B$20,Assumptions!$B$21)))</f>
        <v>70</v>
      </c>
      <c r="U1584" s="8" t="n">
        <f aca="false">ROUND(P1584*Assumptions!$B$2+Q1584*Assumptions!$B$3+R1584*Assumptions!$B$4+S1584*Assumptions!$B$5+T1584*Assumptions!$B$6,0)</f>
        <v>82</v>
      </c>
      <c r="V1584" s="8" t="str">
        <f aca="false">IF(U1584&gt;=Assumptions!$B$10,"Healthy",IF(U1584&gt;=Assumptions!$B$11,"Needs Attention","High Risk"))</f>
        <v>Healthy</v>
      </c>
    </row>
    <row r="1585" customFormat="false" ht="15" hidden="false" customHeight="false" outlineLevel="0" collapsed="false">
      <c r="A1585" s="8" t="s">
        <v>3312</v>
      </c>
      <c r="B1585" s="8" t="s">
        <v>3313</v>
      </c>
      <c r="C1585" s="8" t="s">
        <v>51</v>
      </c>
      <c r="D1585" s="8" t="s">
        <v>2027</v>
      </c>
      <c r="E1585" s="8" t="s">
        <v>117</v>
      </c>
      <c r="F1585" s="8" t="s">
        <v>223</v>
      </c>
      <c r="G1585" s="8" t="s">
        <v>147</v>
      </c>
      <c r="H1585" s="15" t="n">
        <v>300</v>
      </c>
      <c r="I1585" s="15" t="n">
        <v>300</v>
      </c>
      <c r="J1585" s="16" t="n">
        <v>0.573</v>
      </c>
      <c r="K1585" s="8" t="n">
        <v>8</v>
      </c>
      <c r="L1585" s="8" t="n">
        <v>9</v>
      </c>
      <c r="M1585" s="8" t="n">
        <v>3</v>
      </c>
      <c r="N1585" s="8" t="s">
        <v>148</v>
      </c>
      <c r="O1585" s="15" t="n">
        <f aca="false">H1585*12</f>
        <v>3600</v>
      </c>
      <c r="P1585" s="8" t="n">
        <f aca="false">MIN(100,ROUND(100*J1585/Assumptions!$B$8,0))</f>
        <v>64</v>
      </c>
      <c r="Q1585" s="8" t="n">
        <f aca="false">IF(L1585="",Assumptions!$B$9,L1585*10)</f>
        <v>90</v>
      </c>
      <c r="R1585" s="8" t="n">
        <f aca="false">IF(M1585&lt;=1,Assumptions!$B$12,IF(M1585&lt;=3,Assumptions!$B$13,IF(M1585&lt;=6,Assumptions!$B$14,Assumptions!$B$15)))</f>
        <v>75</v>
      </c>
      <c r="S1585" s="8" t="n">
        <f aca="false">IF(N1585="Completed On Time",Assumptions!$B$16,IF(N1585="Completed Late",Assumptions!$B$17,Assumptions!$B$18))</f>
        <v>60</v>
      </c>
      <c r="T1585" s="8" t="n">
        <f aca="false">IF(I1585=0,Assumptions!$B$20,IF(H1585&gt;I1585,Assumptions!$B$19,IF(H1585=I1585,Assumptions!$B$20,Assumptions!$B$21)))</f>
        <v>70</v>
      </c>
      <c r="U1585" s="8" t="n">
        <f aca="false">ROUND(P1585*Assumptions!$B$2+Q1585*Assumptions!$B$3+R1585*Assumptions!$B$4+S1585*Assumptions!$B$5+T1585*Assumptions!$B$6,0)</f>
        <v>72</v>
      </c>
      <c r="V1585" s="8" t="str">
        <f aca="false">IF(U1585&gt;=Assumptions!$B$10,"Healthy",IF(U1585&gt;=Assumptions!$B$11,"Needs Attention","High Risk"))</f>
        <v>Needs Attention</v>
      </c>
    </row>
    <row r="1586" customFormat="false" ht="15" hidden="false" customHeight="false" outlineLevel="0" collapsed="false">
      <c r="A1586" s="8" t="s">
        <v>3314</v>
      </c>
      <c r="B1586" s="8" t="s">
        <v>3315</v>
      </c>
      <c r="C1586" s="8" t="s">
        <v>51</v>
      </c>
      <c r="D1586" s="8" t="s">
        <v>326</v>
      </c>
      <c r="E1586" s="8" t="s">
        <v>123</v>
      </c>
      <c r="F1586" s="8" t="s">
        <v>136</v>
      </c>
      <c r="G1586" s="8" t="s">
        <v>119</v>
      </c>
      <c r="H1586" s="15" t="n">
        <v>300</v>
      </c>
      <c r="I1586" s="15" t="n">
        <v>300</v>
      </c>
      <c r="J1586" s="16" t="n">
        <v>0.806</v>
      </c>
      <c r="K1586" s="8" t="n">
        <v>8</v>
      </c>
      <c r="L1586" s="8" t="n">
        <v>9</v>
      </c>
      <c r="M1586" s="8" t="n">
        <v>3</v>
      </c>
      <c r="N1586" s="8" t="s">
        <v>120</v>
      </c>
      <c r="O1586" s="15" t="n">
        <f aca="false">H1586*12</f>
        <v>3600</v>
      </c>
      <c r="P1586" s="8" t="n">
        <f aca="false">MIN(100,ROUND(100*J1586/Assumptions!$B$8,0))</f>
        <v>90</v>
      </c>
      <c r="Q1586" s="8" t="n">
        <f aca="false">IF(L1586="",Assumptions!$B$9,L1586*10)</f>
        <v>90</v>
      </c>
      <c r="R1586" s="8" t="n">
        <f aca="false">IF(M1586&lt;=1,Assumptions!$B$12,IF(M1586&lt;=3,Assumptions!$B$13,IF(M1586&lt;=6,Assumptions!$B$14,Assumptions!$B$15)))</f>
        <v>75</v>
      </c>
      <c r="S1586" s="8" t="n">
        <f aca="false">IF(N1586="Completed On Time",Assumptions!$B$16,IF(N1586="Completed Late",Assumptions!$B$17,Assumptions!$B$18))</f>
        <v>100</v>
      </c>
      <c r="T1586" s="8" t="n">
        <f aca="false">IF(I1586=0,Assumptions!$B$20,IF(H1586&gt;I1586,Assumptions!$B$19,IF(H1586=I1586,Assumptions!$B$20,Assumptions!$B$21)))</f>
        <v>70</v>
      </c>
      <c r="U1586" s="8" t="n">
        <f aca="false">ROUND(P1586*Assumptions!$B$2+Q1586*Assumptions!$B$3+R1586*Assumptions!$B$4+S1586*Assumptions!$B$5+T1586*Assumptions!$B$6,0)</f>
        <v>85</v>
      </c>
      <c r="V1586" s="8" t="str">
        <f aca="false">IF(U1586&gt;=Assumptions!$B$10,"Healthy",IF(U1586&gt;=Assumptions!$B$11,"Needs Attention","High Risk"))</f>
        <v>Healthy</v>
      </c>
    </row>
    <row r="1587" customFormat="false" ht="15" hidden="false" customHeight="false" outlineLevel="0" collapsed="false">
      <c r="A1587" s="8" t="s">
        <v>3316</v>
      </c>
      <c r="B1587" s="8" t="s">
        <v>3317</v>
      </c>
      <c r="C1587" s="8" t="s">
        <v>51</v>
      </c>
      <c r="D1587" s="8" t="s">
        <v>2027</v>
      </c>
      <c r="E1587" s="8" t="s">
        <v>123</v>
      </c>
      <c r="F1587" s="8" t="s">
        <v>154</v>
      </c>
      <c r="G1587" s="8" t="s">
        <v>144</v>
      </c>
      <c r="H1587" s="15" t="n">
        <v>288</v>
      </c>
      <c r="I1587" s="15" t="n">
        <v>288</v>
      </c>
      <c r="J1587" s="16" t="n">
        <v>0.778</v>
      </c>
      <c r="K1587" s="8" t="n">
        <v>8.7</v>
      </c>
      <c r="L1587" s="8" t="n">
        <v>9</v>
      </c>
      <c r="M1587" s="8" t="n">
        <v>2</v>
      </c>
      <c r="N1587" s="8" t="s">
        <v>120</v>
      </c>
      <c r="O1587" s="15" t="n">
        <f aca="false">H1587*12</f>
        <v>3456</v>
      </c>
      <c r="P1587" s="8" t="n">
        <f aca="false">MIN(100,ROUND(100*J1587/Assumptions!$B$8,0))</f>
        <v>86</v>
      </c>
      <c r="Q1587" s="8" t="n">
        <f aca="false">IF(L1587="",Assumptions!$B$9,L1587*10)</f>
        <v>90</v>
      </c>
      <c r="R1587" s="8" t="n">
        <f aca="false">IF(M1587&lt;=1,Assumptions!$B$12,IF(M1587&lt;=3,Assumptions!$B$13,IF(M1587&lt;=6,Assumptions!$B$14,Assumptions!$B$15)))</f>
        <v>75</v>
      </c>
      <c r="S1587" s="8" t="n">
        <f aca="false">IF(N1587="Completed On Time",Assumptions!$B$16,IF(N1587="Completed Late",Assumptions!$B$17,Assumptions!$B$18))</f>
        <v>100</v>
      </c>
      <c r="T1587" s="8" t="n">
        <f aca="false">IF(I1587=0,Assumptions!$B$20,IF(H1587&gt;I1587,Assumptions!$B$19,IF(H1587=I1587,Assumptions!$B$20,Assumptions!$B$21)))</f>
        <v>70</v>
      </c>
      <c r="U1587" s="8" t="n">
        <f aca="false">ROUND(P1587*Assumptions!$B$2+Q1587*Assumptions!$B$3+R1587*Assumptions!$B$4+S1587*Assumptions!$B$5+T1587*Assumptions!$B$6,0)</f>
        <v>83</v>
      </c>
      <c r="V1587" s="8" t="str">
        <f aca="false">IF(U1587&gt;=Assumptions!$B$10,"Healthy",IF(U1587&gt;=Assumptions!$B$11,"Needs Attention","High Risk"))</f>
        <v>Healthy</v>
      </c>
    </row>
    <row r="1588" customFormat="false" ht="15" hidden="false" customHeight="false" outlineLevel="0" collapsed="false">
      <c r="A1588" s="8" t="s">
        <v>3318</v>
      </c>
      <c r="B1588" s="8" t="s">
        <v>3319</v>
      </c>
      <c r="C1588" s="8" t="s">
        <v>51</v>
      </c>
      <c r="D1588" s="8" t="s">
        <v>2027</v>
      </c>
      <c r="E1588" s="8" t="s">
        <v>123</v>
      </c>
      <c r="F1588" s="8" t="s">
        <v>143</v>
      </c>
      <c r="G1588" s="8" t="s">
        <v>137</v>
      </c>
      <c r="H1588" s="15" t="n">
        <v>288</v>
      </c>
      <c r="I1588" s="15" t="n">
        <v>288</v>
      </c>
      <c r="J1588" s="16" t="n">
        <v>0.653</v>
      </c>
      <c r="K1588" s="8" t="n">
        <v>9</v>
      </c>
      <c r="L1588" s="8" t="n">
        <v>9</v>
      </c>
      <c r="M1588" s="8" t="n">
        <v>4</v>
      </c>
      <c r="N1588" s="8" t="s">
        <v>120</v>
      </c>
      <c r="O1588" s="15" t="n">
        <f aca="false">H1588*12</f>
        <v>3456</v>
      </c>
      <c r="P1588" s="8" t="n">
        <f aca="false">MIN(100,ROUND(100*J1588/Assumptions!$B$8,0))</f>
        <v>73</v>
      </c>
      <c r="Q1588" s="8" t="n">
        <f aca="false">IF(L1588="",Assumptions!$B$9,L1588*10)</f>
        <v>90</v>
      </c>
      <c r="R1588" s="8" t="n">
        <f aca="false">IF(M1588&lt;=1,Assumptions!$B$12,IF(M1588&lt;=3,Assumptions!$B$13,IF(M1588&lt;=6,Assumptions!$B$14,Assumptions!$B$15)))</f>
        <v>50</v>
      </c>
      <c r="S1588" s="8" t="n">
        <f aca="false">IF(N1588="Completed On Time",Assumptions!$B$16,IF(N1588="Completed Late",Assumptions!$B$17,Assumptions!$B$18))</f>
        <v>100</v>
      </c>
      <c r="T1588" s="8" t="n">
        <f aca="false">IF(I1588=0,Assumptions!$B$20,IF(H1588&gt;I1588,Assumptions!$B$19,IF(H1588=I1588,Assumptions!$B$20,Assumptions!$B$21)))</f>
        <v>70</v>
      </c>
      <c r="U1588" s="8" t="n">
        <f aca="false">ROUND(P1588*Assumptions!$B$2+Q1588*Assumptions!$B$3+R1588*Assumptions!$B$4+S1588*Assumptions!$B$5+T1588*Assumptions!$B$6,0)</f>
        <v>75</v>
      </c>
      <c r="V1588" s="8" t="str">
        <f aca="false">IF(U1588&gt;=Assumptions!$B$10,"Healthy",IF(U1588&gt;=Assumptions!$B$11,"Needs Attention","High Risk"))</f>
        <v>Needs Attention</v>
      </c>
    </row>
    <row r="1589" customFormat="false" ht="15" hidden="false" customHeight="false" outlineLevel="0" collapsed="false">
      <c r="A1589" s="8" t="s">
        <v>3320</v>
      </c>
      <c r="B1589" s="8" t="s">
        <v>3321</v>
      </c>
      <c r="C1589" s="8" t="s">
        <v>51</v>
      </c>
      <c r="D1589" s="8" t="s">
        <v>2027</v>
      </c>
      <c r="E1589" s="8" t="s">
        <v>123</v>
      </c>
      <c r="F1589" s="8" t="s">
        <v>118</v>
      </c>
      <c r="G1589" s="8" t="s">
        <v>147</v>
      </c>
      <c r="H1589" s="15" t="n">
        <v>288</v>
      </c>
      <c r="I1589" s="15" t="n">
        <v>288</v>
      </c>
      <c r="J1589" s="16" t="n">
        <v>0.708</v>
      </c>
      <c r="K1589" s="8" t="n">
        <v>9.7</v>
      </c>
      <c r="L1589" s="8" t="n">
        <v>9</v>
      </c>
      <c r="M1589" s="8" t="n">
        <v>1</v>
      </c>
      <c r="N1589" s="8" t="s">
        <v>120</v>
      </c>
      <c r="O1589" s="15" t="n">
        <f aca="false">H1589*12</f>
        <v>3456</v>
      </c>
      <c r="P1589" s="8" t="n">
        <f aca="false">MIN(100,ROUND(100*J1589/Assumptions!$B$8,0))</f>
        <v>79</v>
      </c>
      <c r="Q1589" s="8" t="n">
        <f aca="false">IF(L1589="",Assumptions!$B$9,L1589*10)</f>
        <v>90</v>
      </c>
      <c r="R1589" s="8" t="n">
        <f aca="false">IF(M1589&lt;=1,Assumptions!$B$12,IF(M1589&lt;=3,Assumptions!$B$13,IF(M1589&lt;=6,Assumptions!$B$14,Assumptions!$B$15)))</f>
        <v>100</v>
      </c>
      <c r="S1589" s="8" t="n">
        <f aca="false">IF(N1589="Completed On Time",Assumptions!$B$16,IF(N1589="Completed Late",Assumptions!$B$17,Assumptions!$B$18))</f>
        <v>100</v>
      </c>
      <c r="T1589" s="8" t="n">
        <f aca="false">IF(I1589=0,Assumptions!$B$20,IF(H1589&gt;I1589,Assumptions!$B$19,IF(H1589=I1589,Assumptions!$B$20,Assumptions!$B$21)))</f>
        <v>70</v>
      </c>
      <c r="U1589" s="8" t="n">
        <f aca="false">ROUND(P1589*Assumptions!$B$2+Q1589*Assumptions!$B$3+R1589*Assumptions!$B$4+S1589*Assumptions!$B$5+T1589*Assumptions!$B$6,0)</f>
        <v>85</v>
      </c>
      <c r="V1589" s="8" t="str">
        <f aca="false">IF(U1589&gt;=Assumptions!$B$10,"Healthy",IF(U1589&gt;=Assumptions!$B$11,"Needs Attention","High Risk"))</f>
        <v>Healthy</v>
      </c>
    </row>
    <row r="1590" customFormat="false" ht="15" hidden="false" customHeight="false" outlineLevel="0" collapsed="false">
      <c r="A1590" s="8" t="s">
        <v>3322</v>
      </c>
      <c r="B1590" s="8" t="s">
        <v>3323</v>
      </c>
      <c r="C1590" s="8" t="s">
        <v>51</v>
      </c>
      <c r="D1590" s="8" t="s">
        <v>2027</v>
      </c>
      <c r="E1590" s="8" t="s">
        <v>132</v>
      </c>
      <c r="F1590" s="8" t="s">
        <v>118</v>
      </c>
      <c r="G1590" s="8" t="s">
        <v>119</v>
      </c>
      <c r="H1590" s="15" t="n">
        <v>288</v>
      </c>
      <c r="I1590" s="15" t="n">
        <v>288</v>
      </c>
      <c r="J1590" s="16" t="n">
        <v>0.764</v>
      </c>
      <c r="K1590" s="8" t="n">
        <v>7.7</v>
      </c>
      <c r="L1590" s="8" t="n">
        <v>6</v>
      </c>
      <c r="M1590" s="8" t="n">
        <v>3</v>
      </c>
      <c r="N1590" s="8" t="s">
        <v>148</v>
      </c>
      <c r="O1590" s="15" t="n">
        <f aca="false">H1590*12</f>
        <v>3456</v>
      </c>
      <c r="P1590" s="8" t="n">
        <f aca="false">MIN(100,ROUND(100*J1590/Assumptions!$B$8,0))</f>
        <v>85</v>
      </c>
      <c r="Q1590" s="8" t="n">
        <f aca="false">IF(L1590="",Assumptions!$B$9,L1590*10)</f>
        <v>60</v>
      </c>
      <c r="R1590" s="8" t="n">
        <f aca="false">IF(M1590&lt;=1,Assumptions!$B$12,IF(M1590&lt;=3,Assumptions!$B$13,IF(M1590&lt;=6,Assumptions!$B$14,Assumptions!$B$15)))</f>
        <v>75</v>
      </c>
      <c r="S1590" s="8" t="n">
        <f aca="false">IF(N1590="Completed On Time",Assumptions!$B$16,IF(N1590="Completed Late",Assumptions!$B$17,Assumptions!$B$18))</f>
        <v>60</v>
      </c>
      <c r="T1590" s="8" t="n">
        <f aca="false">IF(I1590=0,Assumptions!$B$20,IF(H1590&gt;I1590,Assumptions!$B$19,IF(H1590=I1590,Assumptions!$B$20,Assumptions!$B$21)))</f>
        <v>70</v>
      </c>
      <c r="U1590" s="8" t="n">
        <f aca="false">ROUND(P1590*Assumptions!$B$2+Q1590*Assumptions!$B$3+R1590*Assumptions!$B$4+S1590*Assumptions!$B$5+T1590*Assumptions!$B$6,0)</f>
        <v>73</v>
      </c>
      <c r="V1590" s="8" t="str">
        <f aca="false">IF(U1590&gt;=Assumptions!$B$10,"Healthy",IF(U1590&gt;=Assumptions!$B$11,"Needs Attention","High Risk"))</f>
        <v>Needs Attention</v>
      </c>
    </row>
    <row r="1591" customFormat="false" ht="15" hidden="false" customHeight="false" outlineLevel="0" collapsed="false">
      <c r="A1591" s="8" t="s">
        <v>3324</v>
      </c>
      <c r="B1591" s="8" t="s">
        <v>3325</v>
      </c>
      <c r="C1591" s="8" t="s">
        <v>51</v>
      </c>
      <c r="D1591" s="8" t="s">
        <v>2027</v>
      </c>
      <c r="E1591" s="8" t="s">
        <v>117</v>
      </c>
      <c r="F1591" s="8" t="s">
        <v>118</v>
      </c>
      <c r="G1591" s="8" t="s">
        <v>159</v>
      </c>
      <c r="H1591" s="15" t="n">
        <v>288</v>
      </c>
      <c r="I1591" s="15" t="n">
        <v>288</v>
      </c>
      <c r="J1591" s="16" t="n">
        <v>0.931</v>
      </c>
      <c r="K1591" s="8" t="n">
        <v>9.7</v>
      </c>
      <c r="L1591" s="8" t="n">
        <v>8</v>
      </c>
      <c r="M1591" s="8" t="n">
        <v>2</v>
      </c>
      <c r="N1591" s="8" t="s">
        <v>120</v>
      </c>
      <c r="O1591" s="15" t="n">
        <f aca="false">H1591*12</f>
        <v>3456</v>
      </c>
      <c r="P1591" s="8" t="n">
        <f aca="false">MIN(100,ROUND(100*J1591/Assumptions!$B$8,0))</f>
        <v>100</v>
      </c>
      <c r="Q1591" s="8" t="n">
        <f aca="false">IF(L1591="",Assumptions!$B$9,L1591*10)</f>
        <v>80</v>
      </c>
      <c r="R1591" s="8" t="n">
        <f aca="false">IF(M1591&lt;=1,Assumptions!$B$12,IF(M1591&lt;=3,Assumptions!$B$13,IF(M1591&lt;=6,Assumptions!$B$14,Assumptions!$B$15)))</f>
        <v>75</v>
      </c>
      <c r="S1591" s="8" t="n">
        <f aca="false">IF(N1591="Completed On Time",Assumptions!$B$16,IF(N1591="Completed Late",Assumptions!$B$17,Assumptions!$B$18))</f>
        <v>100</v>
      </c>
      <c r="T1591" s="8" t="n">
        <f aca="false">IF(I1591=0,Assumptions!$B$20,IF(H1591&gt;I1591,Assumptions!$B$19,IF(H1591=I1591,Assumptions!$B$20,Assumptions!$B$21)))</f>
        <v>70</v>
      </c>
      <c r="U1591" s="8" t="n">
        <f aca="false">ROUND(P1591*Assumptions!$B$2+Q1591*Assumptions!$B$3+R1591*Assumptions!$B$4+S1591*Assumptions!$B$5+T1591*Assumptions!$B$6,0)</f>
        <v>86</v>
      </c>
      <c r="V1591" s="8" t="str">
        <f aca="false">IF(U1591&gt;=Assumptions!$B$10,"Healthy",IF(U1591&gt;=Assumptions!$B$11,"Needs Attention","High Risk"))</f>
        <v>Healthy</v>
      </c>
    </row>
    <row r="1592" customFormat="false" ht="15" hidden="false" customHeight="false" outlineLevel="0" collapsed="false">
      <c r="A1592" s="8" t="s">
        <v>3326</v>
      </c>
      <c r="B1592" s="8" t="s">
        <v>3327</v>
      </c>
      <c r="C1592" s="8" t="s">
        <v>51</v>
      </c>
      <c r="D1592" s="8" t="s">
        <v>2027</v>
      </c>
      <c r="E1592" s="8" t="s">
        <v>123</v>
      </c>
      <c r="F1592" s="8" t="s">
        <v>136</v>
      </c>
      <c r="G1592" s="8" t="s">
        <v>185</v>
      </c>
      <c r="H1592" s="15" t="n">
        <v>288</v>
      </c>
      <c r="I1592" s="15" t="n">
        <v>288</v>
      </c>
      <c r="J1592" s="16" t="n">
        <v>0.681</v>
      </c>
      <c r="K1592" s="8" t="n">
        <v>8.3</v>
      </c>
      <c r="L1592" s="8" t="n">
        <v>6</v>
      </c>
      <c r="M1592" s="8" t="n">
        <v>5</v>
      </c>
      <c r="N1592" s="8" t="s">
        <v>120</v>
      </c>
      <c r="O1592" s="15" t="n">
        <f aca="false">H1592*12</f>
        <v>3456</v>
      </c>
      <c r="P1592" s="8" t="n">
        <f aca="false">MIN(100,ROUND(100*J1592/Assumptions!$B$8,0))</f>
        <v>76</v>
      </c>
      <c r="Q1592" s="8" t="n">
        <f aca="false">IF(L1592="",Assumptions!$B$9,L1592*10)</f>
        <v>60</v>
      </c>
      <c r="R1592" s="8" t="n">
        <f aca="false">IF(M1592&lt;=1,Assumptions!$B$12,IF(M1592&lt;=3,Assumptions!$B$13,IF(M1592&lt;=6,Assumptions!$B$14,Assumptions!$B$15)))</f>
        <v>50</v>
      </c>
      <c r="S1592" s="8" t="n">
        <f aca="false">IF(N1592="Completed On Time",Assumptions!$B$16,IF(N1592="Completed Late",Assumptions!$B$17,Assumptions!$B$18))</f>
        <v>100</v>
      </c>
      <c r="T1592" s="8" t="n">
        <f aca="false">IF(I1592=0,Assumptions!$B$20,IF(H1592&gt;I1592,Assumptions!$B$19,IF(H1592=I1592,Assumptions!$B$20,Assumptions!$B$21)))</f>
        <v>70</v>
      </c>
      <c r="U1592" s="8" t="n">
        <f aca="false">ROUND(P1592*Assumptions!$B$2+Q1592*Assumptions!$B$3+R1592*Assumptions!$B$4+S1592*Assumptions!$B$5+T1592*Assumptions!$B$6,0)</f>
        <v>70</v>
      </c>
      <c r="V1592" s="8" t="str">
        <f aca="false">IF(U1592&gt;=Assumptions!$B$10,"Healthy",IF(U1592&gt;=Assumptions!$B$11,"Needs Attention","High Risk"))</f>
        <v>Needs Attention</v>
      </c>
    </row>
    <row r="1593" customFormat="false" ht="15" hidden="false" customHeight="false" outlineLevel="0" collapsed="false">
      <c r="A1593" s="8" t="s">
        <v>3328</v>
      </c>
      <c r="B1593" s="8" t="s">
        <v>3329</v>
      </c>
      <c r="C1593" s="8" t="s">
        <v>51</v>
      </c>
      <c r="D1593" s="8" t="s">
        <v>2027</v>
      </c>
      <c r="E1593" s="8" t="s">
        <v>123</v>
      </c>
      <c r="F1593" s="8" t="s">
        <v>136</v>
      </c>
      <c r="G1593" s="8" t="s">
        <v>129</v>
      </c>
      <c r="H1593" s="15" t="n">
        <v>288</v>
      </c>
      <c r="I1593" s="15" t="n">
        <v>288</v>
      </c>
      <c r="J1593" s="16" t="n">
        <v>0.681</v>
      </c>
      <c r="K1593" s="8" t="n">
        <v>9.7</v>
      </c>
      <c r="L1593" s="8" t="n">
        <v>7</v>
      </c>
      <c r="M1593" s="8" t="n">
        <v>3</v>
      </c>
      <c r="N1593" s="8" t="s">
        <v>120</v>
      </c>
      <c r="O1593" s="15" t="n">
        <f aca="false">H1593*12</f>
        <v>3456</v>
      </c>
      <c r="P1593" s="8" t="n">
        <f aca="false">MIN(100,ROUND(100*J1593/Assumptions!$B$8,0))</f>
        <v>76</v>
      </c>
      <c r="Q1593" s="8" t="n">
        <f aca="false">IF(L1593="",Assumptions!$B$9,L1593*10)</f>
        <v>70</v>
      </c>
      <c r="R1593" s="8" t="n">
        <f aca="false">IF(M1593&lt;=1,Assumptions!$B$12,IF(M1593&lt;=3,Assumptions!$B$13,IF(M1593&lt;=6,Assumptions!$B$14,Assumptions!$B$15)))</f>
        <v>75</v>
      </c>
      <c r="S1593" s="8" t="n">
        <f aca="false">IF(N1593="Completed On Time",Assumptions!$B$16,IF(N1593="Completed Late",Assumptions!$B$17,Assumptions!$B$18))</f>
        <v>100</v>
      </c>
      <c r="T1593" s="8" t="n">
        <f aca="false">IF(I1593=0,Assumptions!$B$20,IF(H1593&gt;I1593,Assumptions!$B$19,IF(H1593=I1593,Assumptions!$B$20,Assumptions!$B$21)))</f>
        <v>70</v>
      </c>
      <c r="U1593" s="8" t="n">
        <f aca="false">ROUND(P1593*Assumptions!$B$2+Q1593*Assumptions!$B$3+R1593*Assumptions!$B$4+S1593*Assumptions!$B$5+T1593*Assumptions!$B$6,0)</f>
        <v>76</v>
      </c>
      <c r="V1593" s="8" t="str">
        <f aca="false">IF(U1593&gt;=Assumptions!$B$10,"Healthy",IF(U1593&gt;=Assumptions!$B$11,"Needs Attention","High Risk"))</f>
        <v>Needs Attention</v>
      </c>
    </row>
    <row r="1594" customFormat="false" ht="15" hidden="false" customHeight="false" outlineLevel="0" collapsed="false">
      <c r="A1594" s="8" t="s">
        <v>3330</v>
      </c>
      <c r="B1594" s="8" t="s">
        <v>3331</v>
      </c>
      <c r="C1594" s="8" t="s">
        <v>51</v>
      </c>
      <c r="D1594" s="8" t="s">
        <v>2027</v>
      </c>
      <c r="E1594" s="8" t="s">
        <v>132</v>
      </c>
      <c r="F1594" s="8" t="s">
        <v>166</v>
      </c>
      <c r="G1594" s="8" t="s">
        <v>204</v>
      </c>
      <c r="H1594" s="15" t="n">
        <v>288</v>
      </c>
      <c r="I1594" s="15" t="n">
        <v>288</v>
      </c>
      <c r="J1594" s="16" t="n">
        <v>0.736</v>
      </c>
      <c r="K1594" s="8" t="n">
        <v>8.7</v>
      </c>
      <c r="L1594" s="8" t="n">
        <v>8</v>
      </c>
      <c r="M1594" s="8" t="n">
        <v>2</v>
      </c>
      <c r="N1594" s="8" t="s">
        <v>120</v>
      </c>
      <c r="O1594" s="15" t="n">
        <f aca="false">H1594*12</f>
        <v>3456</v>
      </c>
      <c r="P1594" s="8" t="n">
        <f aca="false">MIN(100,ROUND(100*J1594/Assumptions!$B$8,0))</f>
        <v>82</v>
      </c>
      <c r="Q1594" s="8" t="n">
        <f aca="false">IF(L1594="",Assumptions!$B$9,L1594*10)</f>
        <v>80</v>
      </c>
      <c r="R1594" s="8" t="n">
        <f aca="false">IF(M1594&lt;=1,Assumptions!$B$12,IF(M1594&lt;=3,Assumptions!$B$13,IF(M1594&lt;=6,Assumptions!$B$14,Assumptions!$B$15)))</f>
        <v>75</v>
      </c>
      <c r="S1594" s="8" t="n">
        <f aca="false">IF(N1594="Completed On Time",Assumptions!$B$16,IF(N1594="Completed Late",Assumptions!$B$17,Assumptions!$B$18))</f>
        <v>100</v>
      </c>
      <c r="T1594" s="8" t="n">
        <f aca="false">IF(I1594=0,Assumptions!$B$20,IF(H1594&gt;I1594,Assumptions!$B$19,IF(H1594=I1594,Assumptions!$B$20,Assumptions!$B$21)))</f>
        <v>70</v>
      </c>
      <c r="U1594" s="8" t="n">
        <f aca="false">ROUND(P1594*Assumptions!$B$2+Q1594*Assumptions!$B$3+R1594*Assumptions!$B$4+S1594*Assumptions!$B$5+T1594*Assumptions!$B$6,0)</f>
        <v>80</v>
      </c>
      <c r="V1594" s="8" t="str">
        <f aca="false">IF(U1594&gt;=Assumptions!$B$10,"Healthy",IF(U1594&gt;=Assumptions!$B$11,"Needs Attention","High Risk"))</f>
        <v>Healthy</v>
      </c>
    </row>
    <row r="1595" customFormat="false" ht="15" hidden="false" customHeight="false" outlineLevel="0" collapsed="false">
      <c r="A1595" s="8" t="s">
        <v>3332</v>
      </c>
      <c r="B1595" s="8" t="s">
        <v>3333</v>
      </c>
      <c r="C1595" s="8" t="s">
        <v>51</v>
      </c>
      <c r="D1595" s="8" t="s">
        <v>2027</v>
      </c>
      <c r="E1595" s="8" t="s">
        <v>128</v>
      </c>
      <c r="F1595" s="8" t="s">
        <v>154</v>
      </c>
      <c r="G1595" s="8" t="s">
        <v>129</v>
      </c>
      <c r="H1595" s="15" t="n">
        <v>288</v>
      </c>
      <c r="I1595" s="15" t="n">
        <v>288</v>
      </c>
      <c r="J1595" s="16" t="n">
        <v>0.611</v>
      </c>
      <c r="K1595" s="8" t="n">
        <v>9.7</v>
      </c>
      <c r="L1595" s="8" t="n">
        <v>8</v>
      </c>
      <c r="M1595" s="8" t="n">
        <v>4</v>
      </c>
      <c r="N1595" s="8" t="s">
        <v>120</v>
      </c>
      <c r="O1595" s="15" t="n">
        <f aca="false">H1595*12</f>
        <v>3456</v>
      </c>
      <c r="P1595" s="8" t="n">
        <f aca="false">MIN(100,ROUND(100*J1595/Assumptions!$B$8,0))</f>
        <v>68</v>
      </c>
      <c r="Q1595" s="8" t="n">
        <f aca="false">IF(L1595="",Assumptions!$B$9,L1595*10)</f>
        <v>80</v>
      </c>
      <c r="R1595" s="8" t="n">
        <f aca="false">IF(M1595&lt;=1,Assumptions!$B$12,IF(M1595&lt;=3,Assumptions!$B$13,IF(M1595&lt;=6,Assumptions!$B$14,Assumptions!$B$15)))</f>
        <v>50</v>
      </c>
      <c r="S1595" s="8" t="n">
        <f aca="false">IF(N1595="Completed On Time",Assumptions!$B$16,IF(N1595="Completed Late",Assumptions!$B$17,Assumptions!$B$18))</f>
        <v>100</v>
      </c>
      <c r="T1595" s="8" t="n">
        <f aca="false">IF(I1595=0,Assumptions!$B$20,IF(H1595&gt;I1595,Assumptions!$B$19,IF(H1595=I1595,Assumptions!$B$20,Assumptions!$B$21)))</f>
        <v>70</v>
      </c>
      <c r="U1595" s="8" t="n">
        <f aca="false">ROUND(P1595*Assumptions!$B$2+Q1595*Assumptions!$B$3+R1595*Assumptions!$B$4+S1595*Assumptions!$B$5+T1595*Assumptions!$B$6,0)</f>
        <v>71</v>
      </c>
      <c r="V1595" s="8" t="str">
        <f aca="false">IF(U1595&gt;=Assumptions!$B$10,"Healthy",IF(U1595&gt;=Assumptions!$B$11,"Needs Attention","High Risk"))</f>
        <v>Needs Attention</v>
      </c>
    </row>
    <row r="1596" customFormat="false" ht="15" hidden="false" customHeight="false" outlineLevel="0" collapsed="false">
      <c r="A1596" s="8" t="s">
        <v>3334</v>
      </c>
      <c r="B1596" s="8" t="s">
        <v>3335</v>
      </c>
      <c r="C1596" s="8" t="s">
        <v>51</v>
      </c>
      <c r="D1596" s="8" t="s">
        <v>2027</v>
      </c>
      <c r="E1596" s="8" t="s">
        <v>132</v>
      </c>
      <c r="F1596" s="8" t="s">
        <v>190</v>
      </c>
      <c r="G1596" s="8" t="s">
        <v>185</v>
      </c>
      <c r="H1596" s="15" t="n">
        <v>288</v>
      </c>
      <c r="I1596" s="15" t="n">
        <v>288</v>
      </c>
      <c r="J1596" s="16" t="n">
        <v>0.764</v>
      </c>
      <c r="K1596" s="8" t="n">
        <v>9</v>
      </c>
      <c r="L1596" s="8" t="n">
        <v>8</v>
      </c>
      <c r="M1596" s="8" t="n">
        <v>1</v>
      </c>
      <c r="N1596" s="8" t="s">
        <v>120</v>
      </c>
      <c r="O1596" s="15" t="n">
        <f aca="false">H1596*12</f>
        <v>3456</v>
      </c>
      <c r="P1596" s="8" t="n">
        <f aca="false">MIN(100,ROUND(100*J1596/Assumptions!$B$8,0))</f>
        <v>85</v>
      </c>
      <c r="Q1596" s="8" t="n">
        <f aca="false">IF(L1596="",Assumptions!$B$9,L1596*10)</f>
        <v>80</v>
      </c>
      <c r="R1596" s="8" t="n">
        <f aca="false">IF(M1596&lt;=1,Assumptions!$B$12,IF(M1596&lt;=3,Assumptions!$B$13,IF(M1596&lt;=6,Assumptions!$B$14,Assumptions!$B$15)))</f>
        <v>100</v>
      </c>
      <c r="S1596" s="8" t="n">
        <f aca="false">IF(N1596="Completed On Time",Assumptions!$B$16,IF(N1596="Completed Late",Assumptions!$B$17,Assumptions!$B$18))</f>
        <v>100</v>
      </c>
      <c r="T1596" s="8" t="n">
        <f aca="false">IF(I1596=0,Assumptions!$B$20,IF(H1596&gt;I1596,Assumptions!$B$19,IF(H1596=I1596,Assumptions!$B$20,Assumptions!$B$21)))</f>
        <v>70</v>
      </c>
      <c r="U1596" s="8" t="n">
        <f aca="false">ROUND(P1596*Assumptions!$B$2+Q1596*Assumptions!$B$3+R1596*Assumptions!$B$4+S1596*Assumptions!$B$5+T1596*Assumptions!$B$6,0)</f>
        <v>85</v>
      </c>
      <c r="V1596" s="8" t="str">
        <f aca="false">IF(U1596&gt;=Assumptions!$B$10,"Healthy",IF(U1596&gt;=Assumptions!$B$11,"Needs Attention","High Risk"))</f>
        <v>Healthy</v>
      </c>
    </row>
    <row r="1597" customFormat="false" ht="15" hidden="false" customHeight="false" outlineLevel="0" collapsed="false">
      <c r="A1597" s="8" t="s">
        <v>3336</v>
      </c>
      <c r="B1597" s="8" t="s">
        <v>3337</v>
      </c>
      <c r="C1597" s="8" t="s">
        <v>51</v>
      </c>
      <c r="D1597" s="8" t="s">
        <v>2027</v>
      </c>
      <c r="E1597" s="8" t="s">
        <v>123</v>
      </c>
      <c r="F1597" s="8" t="s">
        <v>143</v>
      </c>
      <c r="G1597" s="8" t="s">
        <v>180</v>
      </c>
      <c r="H1597" s="15" t="n">
        <v>288</v>
      </c>
      <c r="I1597" s="15" t="n">
        <v>0</v>
      </c>
      <c r="J1597" s="16" t="n">
        <v>0.667</v>
      </c>
      <c r="K1597" s="8" t="n">
        <v>11.5</v>
      </c>
      <c r="L1597" s="8"/>
      <c r="M1597" s="8" t="n">
        <v>0</v>
      </c>
      <c r="N1597" s="8" t="s">
        <v>120</v>
      </c>
      <c r="O1597" s="15" t="n">
        <f aca="false">H1597*12</f>
        <v>3456</v>
      </c>
      <c r="P1597" s="8" t="n">
        <f aca="false">MIN(100,ROUND(100*J1597/Assumptions!$B$8,0))</f>
        <v>74</v>
      </c>
      <c r="Q1597" s="8" t="n">
        <f aca="false">IF(L1597="",Assumptions!$B$9,L1597*10)</f>
        <v>50</v>
      </c>
      <c r="R1597" s="8" t="n">
        <f aca="false">IF(M1597&lt;=1,Assumptions!$B$12,IF(M1597&lt;=3,Assumptions!$B$13,IF(M1597&lt;=6,Assumptions!$B$14,Assumptions!$B$15)))</f>
        <v>100</v>
      </c>
      <c r="S1597" s="8" t="n">
        <f aca="false">IF(N1597="Completed On Time",Assumptions!$B$16,IF(N1597="Completed Late",Assumptions!$B$17,Assumptions!$B$18))</f>
        <v>100</v>
      </c>
      <c r="T1597" s="8" t="n">
        <f aca="false">IF(I1597=0,Assumptions!$B$20,IF(H1597&gt;I1597,Assumptions!$B$19,IF(H1597=I1597,Assumptions!$B$20,Assumptions!$B$21)))</f>
        <v>70</v>
      </c>
      <c r="U1597" s="8" t="n">
        <f aca="false">ROUND(P1597*Assumptions!$B$2+Q1597*Assumptions!$B$3+R1597*Assumptions!$B$4+S1597*Assumptions!$B$5+T1597*Assumptions!$B$6,0)</f>
        <v>75</v>
      </c>
      <c r="V1597" s="8" t="str">
        <f aca="false">IF(U1597&gt;=Assumptions!$B$10,"Healthy",IF(U1597&gt;=Assumptions!$B$11,"Needs Attention","High Risk"))</f>
        <v>Needs Attention</v>
      </c>
    </row>
    <row r="1598" customFormat="false" ht="15" hidden="false" customHeight="false" outlineLevel="0" collapsed="false">
      <c r="A1598" s="8" t="s">
        <v>3338</v>
      </c>
      <c r="B1598" s="8" t="s">
        <v>3339</v>
      </c>
      <c r="C1598" s="8" t="s">
        <v>51</v>
      </c>
      <c r="D1598" s="8" t="s">
        <v>2027</v>
      </c>
      <c r="E1598" s="8" t="s">
        <v>123</v>
      </c>
      <c r="F1598" s="8" t="s">
        <v>223</v>
      </c>
      <c r="G1598" s="8" t="s">
        <v>204</v>
      </c>
      <c r="H1598" s="15" t="n">
        <v>288</v>
      </c>
      <c r="I1598" s="15" t="n">
        <v>288</v>
      </c>
      <c r="J1598" s="16" t="n">
        <v>0.931</v>
      </c>
      <c r="K1598" s="8" t="n">
        <v>11.7</v>
      </c>
      <c r="L1598" s="8" t="n">
        <v>8</v>
      </c>
      <c r="M1598" s="8" t="n">
        <v>0</v>
      </c>
      <c r="N1598" s="8" t="s">
        <v>120</v>
      </c>
      <c r="O1598" s="15" t="n">
        <f aca="false">H1598*12</f>
        <v>3456</v>
      </c>
      <c r="P1598" s="8" t="n">
        <f aca="false">MIN(100,ROUND(100*J1598/Assumptions!$B$8,0))</f>
        <v>100</v>
      </c>
      <c r="Q1598" s="8" t="n">
        <f aca="false">IF(L1598="",Assumptions!$B$9,L1598*10)</f>
        <v>80</v>
      </c>
      <c r="R1598" s="8" t="n">
        <f aca="false">IF(M1598&lt;=1,Assumptions!$B$12,IF(M1598&lt;=3,Assumptions!$B$13,IF(M1598&lt;=6,Assumptions!$B$14,Assumptions!$B$15)))</f>
        <v>100</v>
      </c>
      <c r="S1598" s="8" t="n">
        <f aca="false">IF(N1598="Completed On Time",Assumptions!$B$16,IF(N1598="Completed Late",Assumptions!$B$17,Assumptions!$B$18))</f>
        <v>100</v>
      </c>
      <c r="T1598" s="8" t="n">
        <f aca="false">IF(I1598=0,Assumptions!$B$20,IF(H1598&gt;I1598,Assumptions!$B$19,IF(H1598=I1598,Assumptions!$B$20,Assumptions!$B$21)))</f>
        <v>70</v>
      </c>
      <c r="U1598" s="8" t="n">
        <f aca="false">ROUND(P1598*Assumptions!$B$2+Q1598*Assumptions!$B$3+R1598*Assumptions!$B$4+S1598*Assumptions!$B$5+T1598*Assumptions!$B$6,0)</f>
        <v>90</v>
      </c>
      <c r="V1598" s="8" t="str">
        <f aca="false">IF(U1598&gt;=Assumptions!$B$10,"Healthy",IF(U1598&gt;=Assumptions!$B$11,"Needs Attention","High Risk"))</f>
        <v>Healthy</v>
      </c>
    </row>
    <row r="1599" customFormat="false" ht="15" hidden="false" customHeight="false" outlineLevel="0" collapsed="false">
      <c r="A1599" s="8" t="s">
        <v>3340</v>
      </c>
      <c r="B1599" s="8" t="s">
        <v>3341</v>
      </c>
      <c r="C1599" s="8" t="s">
        <v>51</v>
      </c>
      <c r="D1599" s="8" t="s">
        <v>2027</v>
      </c>
      <c r="E1599" s="8" t="s">
        <v>117</v>
      </c>
      <c r="F1599" s="8" t="s">
        <v>223</v>
      </c>
      <c r="G1599" s="8" t="s">
        <v>144</v>
      </c>
      <c r="H1599" s="15" t="n">
        <v>288</v>
      </c>
      <c r="I1599" s="15" t="n">
        <v>288</v>
      </c>
      <c r="J1599" s="16" t="n">
        <v>0.931</v>
      </c>
      <c r="K1599" s="8" t="n">
        <v>10.3</v>
      </c>
      <c r="L1599" s="8" t="n">
        <v>10</v>
      </c>
      <c r="M1599" s="8" t="n">
        <v>0</v>
      </c>
      <c r="N1599" s="8" t="s">
        <v>120</v>
      </c>
      <c r="O1599" s="15" t="n">
        <f aca="false">H1599*12</f>
        <v>3456</v>
      </c>
      <c r="P1599" s="8" t="n">
        <f aca="false">MIN(100,ROUND(100*J1599/Assumptions!$B$8,0))</f>
        <v>100</v>
      </c>
      <c r="Q1599" s="8" t="n">
        <f aca="false">IF(L1599="",Assumptions!$B$9,L1599*10)</f>
        <v>100</v>
      </c>
      <c r="R1599" s="8" t="n">
        <f aca="false">IF(M1599&lt;=1,Assumptions!$B$12,IF(M1599&lt;=3,Assumptions!$B$13,IF(M1599&lt;=6,Assumptions!$B$14,Assumptions!$B$15)))</f>
        <v>100</v>
      </c>
      <c r="S1599" s="8" t="n">
        <f aca="false">IF(N1599="Completed On Time",Assumptions!$B$16,IF(N1599="Completed Late",Assumptions!$B$17,Assumptions!$B$18))</f>
        <v>100</v>
      </c>
      <c r="T1599" s="8" t="n">
        <f aca="false">IF(I1599=0,Assumptions!$B$20,IF(H1599&gt;I1599,Assumptions!$B$19,IF(H1599=I1599,Assumptions!$B$20,Assumptions!$B$21)))</f>
        <v>70</v>
      </c>
      <c r="U1599" s="8" t="n">
        <f aca="false">ROUND(P1599*Assumptions!$B$2+Q1599*Assumptions!$B$3+R1599*Assumptions!$B$4+S1599*Assumptions!$B$5+T1599*Assumptions!$B$6,0)</f>
        <v>94</v>
      </c>
      <c r="V1599" s="8" t="str">
        <f aca="false">IF(U1599&gt;=Assumptions!$B$10,"Healthy",IF(U1599&gt;=Assumptions!$B$11,"Needs Attention","High Risk"))</f>
        <v>Healthy</v>
      </c>
    </row>
    <row r="1600" customFormat="false" ht="15" hidden="false" customHeight="false" outlineLevel="0" collapsed="false">
      <c r="A1600" s="8" t="s">
        <v>3342</v>
      </c>
      <c r="B1600" s="8" t="s">
        <v>3343</v>
      </c>
      <c r="C1600" s="8" t="s">
        <v>51</v>
      </c>
      <c r="D1600" s="8" t="s">
        <v>2027</v>
      </c>
      <c r="E1600" s="8" t="s">
        <v>117</v>
      </c>
      <c r="F1600" s="8" t="s">
        <v>190</v>
      </c>
      <c r="G1600" s="8" t="s">
        <v>140</v>
      </c>
      <c r="H1600" s="15" t="n">
        <v>288</v>
      </c>
      <c r="I1600" s="15" t="n">
        <v>288</v>
      </c>
      <c r="J1600" s="16" t="n">
        <v>0.653</v>
      </c>
      <c r="K1600" s="8" t="n">
        <v>8</v>
      </c>
      <c r="L1600" s="8" t="n">
        <v>9</v>
      </c>
      <c r="M1600" s="8" t="n">
        <v>1</v>
      </c>
      <c r="N1600" s="8" t="s">
        <v>120</v>
      </c>
      <c r="O1600" s="15" t="n">
        <f aca="false">H1600*12</f>
        <v>3456</v>
      </c>
      <c r="P1600" s="8" t="n">
        <f aca="false">MIN(100,ROUND(100*J1600/Assumptions!$B$8,0))</f>
        <v>73</v>
      </c>
      <c r="Q1600" s="8" t="n">
        <f aca="false">IF(L1600="",Assumptions!$B$9,L1600*10)</f>
        <v>90</v>
      </c>
      <c r="R1600" s="8" t="n">
        <f aca="false">IF(M1600&lt;=1,Assumptions!$B$12,IF(M1600&lt;=3,Assumptions!$B$13,IF(M1600&lt;=6,Assumptions!$B$14,Assumptions!$B$15)))</f>
        <v>100</v>
      </c>
      <c r="S1600" s="8" t="n">
        <f aca="false">IF(N1600="Completed On Time",Assumptions!$B$16,IF(N1600="Completed Late",Assumptions!$B$17,Assumptions!$B$18))</f>
        <v>100</v>
      </c>
      <c r="T1600" s="8" t="n">
        <f aca="false">IF(I1600=0,Assumptions!$B$20,IF(H1600&gt;I1600,Assumptions!$B$19,IF(H1600=I1600,Assumptions!$B$20,Assumptions!$B$21)))</f>
        <v>70</v>
      </c>
      <c r="U1600" s="8" t="n">
        <f aca="false">ROUND(P1600*Assumptions!$B$2+Q1600*Assumptions!$B$3+R1600*Assumptions!$B$4+S1600*Assumptions!$B$5+T1600*Assumptions!$B$6,0)</f>
        <v>83</v>
      </c>
      <c r="V1600" s="8" t="str">
        <f aca="false">IF(U1600&gt;=Assumptions!$B$10,"Healthy",IF(U1600&gt;=Assumptions!$B$11,"Needs Attention","High Risk"))</f>
        <v>Healthy</v>
      </c>
    </row>
    <row r="1601" customFormat="false" ht="15" hidden="false" customHeight="false" outlineLevel="0" collapsed="false">
      <c r="A1601" s="8" t="s">
        <v>3344</v>
      </c>
      <c r="B1601" s="8" t="s">
        <v>3345</v>
      </c>
      <c r="C1601" s="8" t="s">
        <v>51</v>
      </c>
      <c r="D1601" s="8" t="s">
        <v>2027</v>
      </c>
      <c r="E1601" s="8" t="s">
        <v>132</v>
      </c>
      <c r="F1601" s="8" t="s">
        <v>133</v>
      </c>
      <c r="G1601" s="8" t="s">
        <v>177</v>
      </c>
      <c r="H1601" s="15" t="n">
        <v>288</v>
      </c>
      <c r="I1601" s="15" t="n">
        <v>288</v>
      </c>
      <c r="J1601" s="16" t="n">
        <v>0.833</v>
      </c>
      <c r="K1601" s="8" t="n">
        <v>10.3</v>
      </c>
      <c r="L1601" s="8" t="n">
        <v>9</v>
      </c>
      <c r="M1601" s="8" t="n">
        <v>1</v>
      </c>
      <c r="N1601" s="8" t="s">
        <v>120</v>
      </c>
      <c r="O1601" s="15" t="n">
        <f aca="false">H1601*12</f>
        <v>3456</v>
      </c>
      <c r="P1601" s="8" t="n">
        <f aca="false">MIN(100,ROUND(100*J1601/Assumptions!$B$8,0))</f>
        <v>93</v>
      </c>
      <c r="Q1601" s="8" t="n">
        <f aca="false">IF(L1601="",Assumptions!$B$9,L1601*10)</f>
        <v>90</v>
      </c>
      <c r="R1601" s="8" t="n">
        <f aca="false">IF(M1601&lt;=1,Assumptions!$B$12,IF(M1601&lt;=3,Assumptions!$B$13,IF(M1601&lt;=6,Assumptions!$B$14,Assumptions!$B$15)))</f>
        <v>100</v>
      </c>
      <c r="S1601" s="8" t="n">
        <f aca="false">IF(N1601="Completed On Time",Assumptions!$B$16,IF(N1601="Completed Late",Assumptions!$B$17,Assumptions!$B$18))</f>
        <v>100</v>
      </c>
      <c r="T1601" s="8" t="n">
        <f aca="false">IF(I1601=0,Assumptions!$B$20,IF(H1601&gt;I1601,Assumptions!$B$19,IF(H1601=I1601,Assumptions!$B$20,Assumptions!$B$21)))</f>
        <v>70</v>
      </c>
      <c r="U1601" s="8" t="n">
        <f aca="false">ROUND(P1601*Assumptions!$B$2+Q1601*Assumptions!$B$3+R1601*Assumptions!$B$4+S1601*Assumptions!$B$5+T1601*Assumptions!$B$6,0)</f>
        <v>90</v>
      </c>
      <c r="V1601" s="8" t="str">
        <f aca="false">IF(U1601&gt;=Assumptions!$B$10,"Healthy",IF(U1601&gt;=Assumptions!$B$11,"Needs Attention","High Risk"))</f>
        <v>Healthy</v>
      </c>
    </row>
    <row r="1602" customFormat="false" ht="15" hidden="false" customHeight="false" outlineLevel="0" collapsed="false">
      <c r="A1602" s="8" t="s">
        <v>3346</v>
      </c>
      <c r="B1602" s="8" t="s">
        <v>3347</v>
      </c>
      <c r="C1602" s="8" t="s">
        <v>51</v>
      </c>
      <c r="D1602" s="8" t="s">
        <v>2027</v>
      </c>
      <c r="E1602" s="8" t="s">
        <v>132</v>
      </c>
      <c r="F1602" s="8" t="s">
        <v>118</v>
      </c>
      <c r="G1602" s="8" t="s">
        <v>177</v>
      </c>
      <c r="H1602" s="15" t="n">
        <v>288</v>
      </c>
      <c r="I1602" s="15" t="n">
        <v>288</v>
      </c>
      <c r="J1602" s="16" t="n">
        <v>0.625</v>
      </c>
      <c r="K1602" s="8" t="n">
        <v>8</v>
      </c>
      <c r="L1602" s="8" t="n">
        <v>9</v>
      </c>
      <c r="M1602" s="8" t="n">
        <v>3</v>
      </c>
      <c r="N1602" s="8" t="s">
        <v>120</v>
      </c>
      <c r="O1602" s="15" t="n">
        <f aca="false">H1602*12</f>
        <v>3456</v>
      </c>
      <c r="P1602" s="8" t="n">
        <f aca="false">MIN(100,ROUND(100*J1602/Assumptions!$B$8,0))</f>
        <v>69</v>
      </c>
      <c r="Q1602" s="8" t="n">
        <f aca="false">IF(L1602="",Assumptions!$B$9,L1602*10)</f>
        <v>90</v>
      </c>
      <c r="R1602" s="8" t="n">
        <f aca="false">IF(M1602&lt;=1,Assumptions!$B$12,IF(M1602&lt;=3,Assumptions!$B$13,IF(M1602&lt;=6,Assumptions!$B$14,Assumptions!$B$15)))</f>
        <v>75</v>
      </c>
      <c r="S1602" s="8" t="n">
        <f aca="false">IF(N1602="Completed On Time",Assumptions!$B$16,IF(N1602="Completed Late",Assumptions!$B$17,Assumptions!$B$18))</f>
        <v>100</v>
      </c>
      <c r="T1602" s="8" t="n">
        <f aca="false">IF(I1602=0,Assumptions!$B$20,IF(H1602&gt;I1602,Assumptions!$B$19,IF(H1602=I1602,Assumptions!$B$20,Assumptions!$B$21)))</f>
        <v>70</v>
      </c>
      <c r="U1602" s="8" t="n">
        <f aca="false">ROUND(P1602*Assumptions!$B$2+Q1602*Assumptions!$B$3+R1602*Assumptions!$B$4+S1602*Assumptions!$B$5+T1602*Assumptions!$B$6,0)</f>
        <v>77</v>
      </c>
      <c r="V1602" s="8" t="str">
        <f aca="false">IF(U1602&gt;=Assumptions!$B$10,"Healthy",IF(U1602&gt;=Assumptions!$B$11,"Needs Attention","High Risk"))</f>
        <v>Needs Attention</v>
      </c>
    </row>
    <row r="1603" customFormat="false" ht="15" hidden="false" customHeight="false" outlineLevel="0" collapsed="false">
      <c r="A1603" s="8" t="s">
        <v>3348</v>
      </c>
      <c r="B1603" s="8" t="s">
        <v>3349</v>
      </c>
      <c r="C1603" s="8" t="s">
        <v>51</v>
      </c>
      <c r="D1603" s="8" t="s">
        <v>2027</v>
      </c>
      <c r="E1603" s="8" t="s">
        <v>128</v>
      </c>
      <c r="F1603" s="8" t="s">
        <v>133</v>
      </c>
      <c r="G1603" s="8" t="s">
        <v>119</v>
      </c>
      <c r="H1603" s="15" t="n">
        <v>288</v>
      </c>
      <c r="I1603" s="15" t="n">
        <v>288</v>
      </c>
      <c r="J1603" s="16" t="n">
        <v>0.764</v>
      </c>
      <c r="K1603" s="8" t="n">
        <v>9.3</v>
      </c>
      <c r="L1603" s="8" t="n">
        <v>9</v>
      </c>
      <c r="M1603" s="8" t="n">
        <v>2</v>
      </c>
      <c r="N1603" s="8" t="s">
        <v>120</v>
      </c>
      <c r="O1603" s="15" t="n">
        <f aca="false">H1603*12</f>
        <v>3456</v>
      </c>
      <c r="P1603" s="8" t="n">
        <f aca="false">MIN(100,ROUND(100*J1603/Assumptions!$B$8,0))</f>
        <v>85</v>
      </c>
      <c r="Q1603" s="8" t="n">
        <f aca="false">IF(L1603="",Assumptions!$B$9,L1603*10)</f>
        <v>90</v>
      </c>
      <c r="R1603" s="8" t="n">
        <f aca="false">IF(M1603&lt;=1,Assumptions!$B$12,IF(M1603&lt;=3,Assumptions!$B$13,IF(M1603&lt;=6,Assumptions!$B$14,Assumptions!$B$15)))</f>
        <v>75</v>
      </c>
      <c r="S1603" s="8" t="n">
        <f aca="false">IF(N1603="Completed On Time",Assumptions!$B$16,IF(N1603="Completed Late",Assumptions!$B$17,Assumptions!$B$18))</f>
        <v>100</v>
      </c>
      <c r="T1603" s="8" t="n">
        <f aca="false">IF(I1603=0,Assumptions!$B$20,IF(H1603&gt;I1603,Assumptions!$B$19,IF(H1603=I1603,Assumptions!$B$20,Assumptions!$B$21)))</f>
        <v>70</v>
      </c>
      <c r="U1603" s="8" t="n">
        <f aca="false">ROUND(P1603*Assumptions!$B$2+Q1603*Assumptions!$B$3+R1603*Assumptions!$B$4+S1603*Assumptions!$B$5+T1603*Assumptions!$B$6,0)</f>
        <v>83</v>
      </c>
      <c r="V1603" s="8" t="str">
        <f aca="false">IF(U1603&gt;=Assumptions!$B$10,"Healthy",IF(U1603&gt;=Assumptions!$B$11,"Needs Attention","High Risk"))</f>
        <v>Healthy</v>
      </c>
    </row>
    <row r="1604" customFormat="false" ht="15" hidden="false" customHeight="false" outlineLevel="0" collapsed="false">
      <c r="A1604" s="8" t="s">
        <v>3350</v>
      </c>
      <c r="B1604" s="8" t="s">
        <v>3351</v>
      </c>
      <c r="C1604" s="8" t="s">
        <v>51</v>
      </c>
      <c r="D1604" s="8" t="s">
        <v>2027</v>
      </c>
      <c r="E1604" s="8" t="s">
        <v>117</v>
      </c>
      <c r="F1604" s="8" t="s">
        <v>151</v>
      </c>
      <c r="G1604" s="8" t="s">
        <v>119</v>
      </c>
      <c r="H1604" s="15" t="n">
        <v>288</v>
      </c>
      <c r="I1604" s="15" t="n">
        <v>288</v>
      </c>
      <c r="J1604" s="16" t="n">
        <v>0.639</v>
      </c>
      <c r="K1604" s="8" t="n">
        <v>5</v>
      </c>
      <c r="L1604" s="8" t="n">
        <v>3</v>
      </c>
      <c r="M1604" s="8" t="n">
        <v>6</v>
      </c>
      <c r="N1604" s="8" t="s">
        <v>120</v>
      </c>
      <c r="O1604" s="15" t="n">
        <f aca="false">H1604*12</f>
        <v>3456</v>
      </c>
      <c r="P1604" s="8" t="n">
        <f aca="false">MIN(100,ROUND(100*J1604/Assumptions!$B$8,0))</f>
        <v>71</v>
      </c>
      <c r="Q1604" s="8" t="n">
        <f aca="false">IF(L1604="",Assumptions!$B$9,L1604*10)</f>
        <v>30</v>
      </c>
      <c r="R1604" s="8" t="n">
        <f aca="false">IF(M1604&lt;=1,Assumptions!$B$12,IF(M1604&lt;=3,Assumptions!$B$13,IF(M1604&lt;=6,Assumptions!$B$14,Assumptions!$B$15)))</f>
        <v>50</v>
      </c>
      <c r="S1604" s="8" t="n">
        <f aca="false">IF(N1604="Completed On Time",Assumptions!$B$16,IF(N1604="Completed Late",Assumptions!$B$17,Assumptions!$B$18))</f>
        <v>100</v>
      </c>
      <c r="T1604" s="8" t="n">
        <f aca="false">IF(I1604=0,Assumptions!$B$20,IF(H1604&gt;I1604,Assumptions!$B$19,IF(H1604=I1604,Assumptions!$B$20,Assumptions!$B$21)))</f>
        <v>70</v>
      </c>
      <c r="U1604" s="8" t="n">
        <f aca="false">ROUND(P1604*Assumptions!$B$2+Q1604*Assumptions!$B$3+R1604*Assumptions!$B$4+S1604*Assumptions!$B$5+T1604*Assumptions!$B$6,0)</f>
        <v>62</v>
      </c>
      <c r="V1604" s="8" t="str">
        <f aca="false">IF(U1604&gt;=Assumptions!$B$10,"Healthy",IF(U1604&gt;=Assumptions!$B$11,"Needs Attention","High Risk"))</f>
        <v>High Risk</v>
      </c>
    </row>
    <row r="1605" customFormat="false" ht="15" hidden="false" customHeight="false" outlineLevel="0" collapsed="false">
      <c r="A1605" s="8" t="s">
        <v>3352</v>
      </c>
      <c r="B1605" s="8" t="s">
        <v>3353</v>
      </c>
      <c r="C1605" s="8" t="s">
        <v>51</v>
      </c>
      <c r="D1605" s="8" t="s">
        <v>2027</v>
      </c>
      <c r="E1605" s="8" t="s">
        <v>123</v>
      </c>
      <c r="F1605" s="8" t="s">
        <v>133</v>
      </c>
      <c r="G1605" s="8" t="s">
        <v>144</v>
      </c>
      <c r="H1605" s="15" t="n">
        <v>288</v>
      </c>
      <c r="I1605" s="15" t="n">
        <v>288</v>
      </c>
      <c r="J1605" s="16" t="n">
        <v>0.875</v>
      </c>
      <c r="K1605" s="8" t="n">
        <v>11</v>
      </c>
      <c r="L1605" s="8" t="n">
        <v>9</v>
      </c>
      <c r="M1605" s="8" t="n">
        <v>1</v>
      </c>
      <c r="N1605" s="8" t="s">
        <v>120</v>
      </c>
      <c r="O1605" s="15" t="n">
        <f aca="false">H1605*12</f>
        <v>3456</v>
      </c>
      <c r="P1605" s="8" t="n">
        <f aca="false">MIN(100,ROUND(100*J1605/Assumptions!$B$8,0))</f>
        <v>97</v>
      </c>
      <c r="Q1605" s="8" t="n">
        <f aca="false">IF(L1605="",Assumptions!$B$9,L1605*10)</f>
        <v>90</v>
      </c>
      <c r="R1605" s="8" t="n">
        <f aca="false">IF(M1605&lt;=1,Assumptions!$B$12,IF(M1605&lt;=3,Assumptions!$B$13,IF(M1605&lt;=6,Assumptions!$B$14,Assumptions!$B$15)))</f>
        <v>100</v>
      </c>
      <c r="S1605" s="8" t="n">
        <f aca="false">IF(N1605="Completed On Time",Assumptions!$B$16,IF(N1605="Completed Late",Assumptions!$B$17,Assumptions!$B$18))</f>
        <v>100</v>
      </c>
      <c r="T1605" s="8" t="n">
        <f aca="false">IF(I1605=0,Assumptions!$B$20,IF(H1605&gt;I1605,Assumptions!$B$19,IF(H1605=I1605,Assumptions!$B$20,Assumptions!$B$21)))</f>
        <v>70</v>
      </c>
      <c r="U1605" s="8" t="n">
        <f aca="false">ROUND(P1605*Assumptions!$B$2+Q1605*Assumptions!$B$3+R1605*Assumptions!$B$4+S1605*Assumptions!$B$5+T1605*Assumptions!$B$6,0)</f>
        <v>91</v>
      </c>
      <c r="V1605" s="8" t="str">
        <f aca="false">IF(U1605&gt;=Assumptions!$B$10,"Healthy",IF(U1605&gt;=Assumptions!$B$11,"Needs Attention","High Risk"))</f>
        <v>Healthy</v>
      </c>
    </row>
    <row r="1606" customFormat="false" ht="15" hidden="false" customHeight="false" outlineLevel="0" collapsed="false">
      <c r="A1606" s="8" t="s">
        <v>3354</v>
      </c>
      <c r="B1606" s="8" t="s">
        <v>3355</v>
      </c>
      <c r="C1606" s="8" t="s">
        <v>51</v>
      </c>
      <c r="D1606" s="8" t="s">
        <v>2027</v>
      </c>
      <c r="E1606" s="8" t="s">
        <v>128</v>
      </c>
      <c r="F1606" s="8" t="s">
        <v>124</v>
      </c>
      <c r="G1606" s="8" t="s">
        <v>180</v>
      </c>
      <c r="H1606" s="15" t="n">
        <v>288</v>
      </c>
      <c r="I1606" s="15" t="n">
        <v>288</v>
      </c>
      <c r="J1606" s="16" t="n">
        <v>0.639</v>
      </c>
      <c r="K1606" s="8" t="n">
        <v>7.3</v>
      </c>
      <c r="L1606" s="8" t="n">
        <v>7</v>
      </c>
      <c r="M1606" s="8" t="n">
        <v>4</v>
      </c>
      <c r="N1606" s="8" t="s">
        <v>120</v>
      </c>
      <c r="O1606" s="15" t="n">
        <f aca="false">H1606*12</f>
        <v>3456</v>
      </c>
      <c r="P1606" s="8" t="n">
        <f aca="false">MIN(100,ROUND(100*J1606/Assumptions!$B$8,0))</f>
        <v>71</v>
      </c>
      <c r="Q1606" s="8" t="n">
        <f aca="false">IF(L1606="",Assumptions!$B$9,L1606*10)</f>
        <v>70</v>
      </c>
      <c r="R1606" s="8" t="n">
        <f aca="false">IF(M1606&lt;=1,Assumptions!$B$12,IF(M1606&lt;=3,Assumptions!$B$13,IF(M1606&lt;=6,Assumptions!$B$14,Assumptions!$B$15)))</f>
        <v>50</v>
      </c>
      <c r="S1606" s="8" t="n">
        <f aca="false">IF(N1606="Completed On Time",Assumptions!$B$16,IF(N1606="Completed Late",Assumptions!$B$17,Assumptions!$B$18))</f>
        <v>100</v>
      </c>
      <c r="T1606" s="8" t="n">
        <f aca="false">IF(I1606=0,Assumptions!$B$20,IF(H1606&gt;I1606,Assumptions!$B$19,IF(H1606=I1606,Assumptions!$B$20,Assumptions!$B$21)))</f>
        <v>70</v>
      </c>
      <c r="U1606" s="8" t="n">
        <f aca="false">ROUND(P1606*Assumptions!$B$2+Q1606*Assumptions!$B$3+R1606*Assumptions!$B$4+S1606*Assumptions!$B$5+T1606*Assumptions!$B$6,0)</f>
        <v>70</v>
      </c>
      <c r="V1606" s="8" t="str">
        <f aca="false">IF(U1606&gt;=Assumptions!$B$10,"Healthy",IF(U1606&gt;=Assumptions!$B$11,"Needs Attention","High Risk"))</f>
        <v>Needs Attention</v>
      </c>
    </row>
    <row r="1607" customFormat="false" ht="15" hidden="false" customHeight="false" outlineLevel="0" collapsed="false">
      <c r="A1607" s="8" t="s">
        <v>3356</v>
      </c>
      <c r="B1607" s="8" t="s">
        <v>3357</v>
      </c>
      <c r="C1607" s="8" t="s">
        <v>51</v>
      </c>
      <c r="D1607" s="8" t="s">
        <v>2027</v>
      </c>
      <c r="E1607" s="8" t="s">
        <v>123</v>
      </c>
      <c r="F1607" s="8" t="s">
        <v>190</v>
      </c>
      <c r="G1607" s="8" t="s">
        <v>177</v>
      </c>
      <c r="H1607" s="15" t="n">
        <v>288</v>
      </c>
      <c r="I1607" s="15" t="n">
        <v>288</v>
      </c>
      <c r="J1607" s="16" t="n">
        <v>0.764</v>
      </c>
      <c r="K1607" s="8" t="n">
        <v>9.3</v>
      </c>
      <c r="L1607" s="8" t="n">
        <v>9</v>
      </c>
      <c r="M1607" s="8" t="n">
        <v>3</v>
      </c>
      <c r="N1607" s="8" t="s">
        <v>120</v>
      </c>
      <c r="O1607" s="15" t="n">
        <f aca="false">H1607*12</f>
        <v>3456</v>
      </c>
      <c r="P1607" s="8" t="n">
        <f aca="false">MIN(100,ROUND(100*J1607/Assumptions!$B$8,0))</f>
        <v>85</v>
      </c>
      <c r="Q1607" s="8" t="n">
        <f aca="false">IF(L1607="",Assumptions!$B$9,L1607*10)</f>
        <v>90</v>
      </c>
      <c r="R1607" s="8" t="n">
        <f aca="false">IF(M1607&lt;=1,Assumptions!$B$12,IF(M1607&lt;=3,Assumptions!$B$13,IF(M1607&lt;=6,Assumptions!$B$14,Assumptions!$B$15)))</f>
        <v>75</v>
      </c>
      <c r="S1607" s="8" t="n">
        <f aca="false">IF(N1607="Completed On Time",Assumptions!$B$16,IF(N1607="Completed Late",Assumptions!$B$17,Assumptions!$B$18))</f>
        <v>100</v>
      </c>
      <c r="T1607" s="8" t="n">
        <f aca="false">IF(I1607=0,Assumptions!$B$20,IF(H1607&gt;I1607,Assumptions!$B$19,IF(H1607=I1607,Assumptions!$B$20,Assumptions!$B$21)))</f>
        <v>70</v>
      </c>
      <c r="U1607" s="8" t="n">
        <f aca="false">ROUND(P1607*Assumptions!$B$2+Q1607*Assumptions!$B$3+R1607*Assumptions!$B$4+S1607*Assumptions!$B$5+T1607*Assumptions!$B$6,0)</f>
        <v>83</v>
      </c>
      <c r="V1607" s="8" t="str">
        <f aca="false">IF(U1607&gt;=Assumptions!$B$10,"Healthy",IF(U1607&gt;=Assumptions!$B$11,"Needs Attention","High Risk"))</f>
        <v>Healthy</v>
      </c>
    </row>
    <row r="1608" customFormat="false" ht="15" hidden="false" customHeight="false" outlineLevel="0" collapsed="false">
      <c r="A1608" s="8" t="s">
        <v>3358</v>
      </c>
      <c r="B1608" s="8" t="s">
        <v>3359</v>
      </c>
      <c r="C1608" s="8" t="s">
        <v>51</v>
      </c>
      <c r="D1608" s="8" t="s">
        <v>2027</v>
      </c>
      <c r="E1608" s="8" t="s">
        <v>132</v>
      </c>
      <c r="F1608" s="8" t="s">
        <v>166</v>
      </c>
      <c r="G1608" s="8" t="s">
        <v>140</v>
      </c>
      <c r="H1608" s="15" t="n">
        <v>288</v>
      </c>
      <c r="I1608" s="15" t="n">
        <v>288</v>
      </c>
      <c r="J1608" s="16" t="n">
        <v>0.708</v>
      </c>
      <c r="K1608" s="8" t="n">
        <v>8.7</v>
      </c>
      <c r="L1608" s="8" t="n">
        <v>7</v>
      </c>
      <c r="M1608" s="8" t="n">
        <v>4</v>
      </c>
      <c r="N1608" s="8" t="s">
        <v>120</v>
      </c>
      <c r="O1608" s="15" t="n">
        <f aca="false">H1608*12</f>
        <v>3456</v>
      </c>
      <c r="P1608" s="8" t="n">
        <f aca="false">MIN(100,ROUND(100*J1608/Assumptions!$B$8,0))</f>
        <v>79</v>
      </c>
      <c r="Q1608" s="8" t="n">
        <f aca="false">IF(L1608="",Assumptions!$B$9,L1608*10)</f>
        <v>70</v>
      </c>
      <c r="R1608" s="8" t="n">
        <f aca="false">IF(M1608&lt;=1,Assumptions!$B$12,IF(M1608&lt;=3,Assumptions!$B$13,IF(M1608&lt;=6,Assumptions!$B$14,Assumptions!$B$15)))</f>
        <v>50</v>
      </c>
      <c r="S1608" s="8" t="n">
        <f aca="false">IF(N1608="Completed On Time",Assumptions!$B$16,IF(N1608="Completed Late",Assumptions!$B$17,Assumptions!$B$18))</f>
        <v>100</v>
      </c>
      <c r="T1608" s="8" t="n">
        <f aca="false">IF(I1608=0,Assumptions!$B$20,IF(H1608&gt;I1608,Assumptions!$B$19,IF(H1608=I1608,Assumptions!$B$20,Assumptions!$B$21)))</f>
        <v>70</v>
      </c>
      <c r="U1608" s="8" t="n">
        <f aca="false">ROUND(P1608*Assumptions!$B$2+Q1608*Assumptions!$B$3+R1608*Assumptions!$B$4+S1608*Assumptions!$B$5+T1608*Assumptions!$B$6,0)</f>
        <v>73</v>
      </c>
      <c r="V1608" s="8" t="str">
        <f aca="false">IF(U1608&gt;=Assumptions!$B$10,"Healthy",IF(U1608&gt;=Assumptions!$B$11,"Needs Attention","High Risk"))</f>
        <v>Needs Attention</v>
      </c>
    </row>
    <row r="1609" customFormat="false" ht="15" hidden="false" customHeight="false" outlineLevel="0" collapsed="false">
      <c r="A1609" s="8" t="s">
        <v>3360</v>
      </c>
      <c r="B1609" s="8" t="s">
        <v>3361</v>
      </c>
      <c r="C1609" s="8" t="s">
        <v>51</v>
      </c>
      <c r="D1609" s="8" t="s">
        <v>2027</v>
      </c>
      <c r="E1609" s="8" t="s">
        <v>123</v>
      </c>
      <c r="F1609" s="8" t="s">
        <v>151</v>
      </c>
      <c r="G1609" s="8" t="s">
        <v>204</v>
      </c>
      <c r="H1609" s="15" t="n">
        <v>288</v>
      </c>
      <c r="I1609" s="15" t="n">
        <v>288</v>
      </c>
      <c r="J1609" s="16" t="n">
        <v>0.875</v>
      </c>
      <c r="K1609" s="8" t="n">
        <v>11.7</v>
      </c>
      <c r="L1609" s="8" t="n">
        <v>9</v>
      </c>
      <c r="M1609" s="8" t="n">
        <v>0</v>
      </c>
      <c r="N1609" s="8" t="s">
        <v>120</v>
      </c>
      <c r="O1609" s="15" t="n">
        <f aca="false">H1609*12</f>
        <v>3456</v>
      </c>
      <c r="P1609" s="8" t="n">
        <f aca="false">MIN(100,ROUND(100*J1609/Assumptions!$B$8,0))</f>
        <v>97</v>
      </c>
      <c r="Q1609" s="8" t="n">
        <f aca="false">IF(L1609="",Assumptions!$B$9,L1609*10)</f>
        <v>90</v>
      </c>
      <c r="R1609" s="8" t="n">
        <f aca="false">IF(M1609&lt;=1,Assumptions!$B$12,IF(M1609&lt;=3,Assumptions!$B$13,IF(M1609&lt;=6,Assumptions!$B$14,Assumptions!$B$15)))</f>
        <v>100</v>
      </c>
      <c r="S1609" s="8" t="n">
        <f aca="false">IF(N1609="Completed On Time",Assumptions!$B$16,IF(N1609="Completed Late",Assumptions!$B$17,Assumptions!$B$18))</f>
        <v>100</v>
      </c>
      <c r="T1609" s="8" t="n">
        <f aca="false">IF(I1609=0,Assumptions!$B$20,IF(H1609&gt;I1609,Assumptions!$B$19,IF(H1609=I1609,Assumptions!$B$20,Assumptions!$B$21)))</f>
        <v>70</v>
      </c>
      <c r="U1609" s="8" t="n">
        <f aca="false">ROUND(P1609*Assumptions!$B$2+Q1609*Assumptions!$B$3+R1609*Assumptions!$B$4+S1609*Assumptions!$B$5+T1609*Assumptions!$B$6,0)</f>
        <v>91</v>
      </c>
      <c r="V1609" s="8" t="str">
        <f aca="false">IF(U1609&gt;=Assumptions!$B$10,"Healthy",IF(U1609&gt;=Assumptions!$B$11,"Needs Attention","High Risk"))</f>
        <v>Healthy</v>
      </c>
    </row>
    <row r="1610" customFormat="false" ht="15" hidden="false" customHeight="false" outlineLevel="0" collapsed="false">
      <c r="A1610" s="8" t="s">
        <v>3362</v>
      </c>
      <c r="B1610" s="8" t="s">
        <v>3363</v>
      </c>
      <c r="C1610" s="8" t="s">
        <v>51</v>
      </c>
      <c r="D1610" s="8" t="s">
        <v>2027</v>
      </c>
      <c r="E1610" s="8" t="s">
        <v>123</v>
      </c>
      <c r="F1610" s="8" t="s">
        <v>154</v>
      </c>
      <c r="G1610" s="8" t="s">
        <v>144</v>
      </c>
      <c r="H1610" s="15" t="n">
        <v>288</v>
      </c>
      <c r="I1610" s="15" t="n">
        <v>288</v>
      </c>
      <c r="J1610" s="16" t="n">
        <v>0.778</v>
      </c>
      <c r="K1610" s="8" t="n">
        <v>9.3</v>
      </c>
      <c r="L1610" s="8" t="n">
        <v>9</v>
      </c>
      <c r="M1610" s="8" t="n">
        <v>1</v>
      </c>
      <c r="N1610" s="8" t="s">
        <v>120</v>
      </c>
      <c r="O1610" s="15" t="n">
        <f aca="false">H1610*12</f>
        <v>3456</v>
      </c>
      <c r="P1610" s="8" t="n">
        <f aca="false">MIN(100,ROUND(100*J1610/Assumptions!$B$8,0))</f>
        <v>86</v>
      </c>
      <c r="Q1610" s="8" t="n">
        <f aca="false">IF(L1610="",Assumptions!$B$9,L1610*10)</f>
        <v>90</v>
      </c>
      <c r="R1610" s="8" t="n">
        <f aca="false">IF(M1610&lt;=1,Assumptions!$B$12,IF(M1610&lt;=3,Assumptions!$B$13,IF(M1610&lt;=6,Assumptions!$B$14,Assumptions!$B$15)))</f>
        <v>100</v>
      </c>
      <c r="S1610" s="8" t="n">
        <f aca="false">IF(N1610="Completed On Time",Assumptions!$B$16,IF(N1610="Completed Late",Assumptions!$B$17,Assumptions!$B$18))</f>
        <v>100</v>
      </c>
      <c r="T1610" s="8" t="n">
        <f aca="false">IF(I1610=0,Assumptions!$B$20,IF(H1610&gt;I1610,Assumptions!$B$19,IF(H1610=I1610,Assumptions!$B$20,Assumptions!$B$21)))</f>
        <v>70</v>
      </c>
      <c r="U1610" s="8" t="n">
        <f aca="false">ROUND(P1610*Assumptions!$B$2+Q1610*Assumptions!$B$3+R1610*Assumptions!$B$4+S1610*Assumptions!$B$5+T1610*Assumptions!$B$6,0)</f>
        <v>87</v>
      </c>
      <c r="V1610" s="8" t="str">
        <f aca="false">IF(U1610&gt;=Assumptions!$B$10,"Healthy",IF(U1610&gt;=Assumptions!$B$11,"Needs Attention","High Risk"))</f>
        <v>Healthy</v>
      </c>
    </row>
    <row r="1611" customFormat="false" ht="15" hidden="false" customHeight="false" outlineLevel="0" collapsed="false">
      <c r="A1611" s="8" t="s">
        <v>3364</v>
      </c>
      <c r="B1611" s="8" t="s">
        <v>3365</v>
      </c>
      <c r="C1611" s="8" t="s">
        <v>51</v>
      </c>
      <c r="D1611" s="8" t="s">
        <v>2027</v>
      </c>
      <c r="E1611" s="8" t="s">
        <v>123</v>
      </c>
      <c r="F1611" s="8" t="s">
        <v>223</v>
      </c>
      <c r="G1611" s="8" t="s">
        <v>119</v>
      </c>
      <c r="H1611" s="15" t="n">
        <v>288</v>
      </c>
      <c r="I1611" s="15" t="n">
        <v>288</v>
      </c>
      <c r="J1611" s="16" t="n">
        <v>0.667</v>
      </c>
      <c r="K1611" s="8" t="n">
        <v>7</v>
      </c>
      <c r="L1611" s="8" t="n">
        <v>9</v>
      </c>
      <c r="M1611" s="8" t="n">
        <v>4</v>
      </c>
      <c r="N1611" s="8" t="s">
        <v>120</v>
      </c>
      <c r="O1611" s="15" t="n">
        <f aca="false">H1611*12</f>
        <v>3456</v>
      </c>
      <c r="P1611" s="8" t="n">
        <f aca="false">MIN(100,ROUND(100*J1611/Assumptions!$B$8,0))</f>
        <v>74</v>
      </c>
      <c r="Q1611" s="8" t="n">
        <f aca="false">IF(L1611="",Assumptions!$B$9,L1611*10)</f>
        <v>90</v>
      </c>
      <c r="R1611" s="8" t="n">
        <f aca="false">IF(M1611&lt;=1,Assumptions!$B$12,IF(M1611&lt;=3,Assumptions!$B$13,IF(M1611&lt;=6,Assumptions!$B$14,Assumptions!$B$15)))</f>
        <v>50</v>
      </c>
      <c r="S1611" s="8" t="n">
        <f aca="false">IF(N1611="Completed On Time",Assumptions!$B$16,IF(N1611="Completed Late",Assumptions!$B$17,Assumptions!$B$18))</f>
        <v>100</v>
      </c>
      <c r="T1611" s="8" t="n">
        <f aca="false">IF(I1611=0,Assumptions!$B$20,IF(H1611&gt;I1611,Assumptions!$B$19,IF(H1611=I1611,Assumptions!$B$20,Assumptions!$B$21)))</f>
        <v>70</v>
      </c>
      <c r="U1611" s="8" t="n">
        <f aca="false">ROUND(P1611*Assumptions!$B$2+Q1611*Assumptions!$B$3+R1611*Assumptions!$B$4+S1611*Assumptions!$B$5+T1611*Assumptions!$B$6,0)</f>
        <v>75</v>
      </c>
      <c r="V1611" s="8" t="str">
        <f aca="false">IF(U1611&gt;=Assumptions!$B$10,"Healthy",IF(U1611&gt;=Assumptions!$B$11,"Needs Attention","High Risk"))</f>
        <v>Needs Attention</v>
      </c>
    </row>
    <row r="1612" customFormat="false" ht="15" hidden="false" customHeight="false" outlineLevel="0" collapsed="false">
      <c r="A1612" s="8" t="s">
        <v>3366</v>
      </c>
      <c r="B1612" s="8" t="s">
        <v>3367</v>
      </c>
      <c r="C1612" s="8" t="s">
        <v>51</v>
      </c>
      <c r="D1612" s="8" t="s">
        <v>2027</v>
      </c>
      <c r="E1612" s="8" t="s">
        <v>132</v>
      </c>
      <c r="F1612" s="8" t="s">
        <v>136</v>
      </c>
      <c r="G1612" s="8" t="s">
        <v>125</v>
      </c>
      <c r="H1612" s="15" t="n">
        <v>288</v>
      </c>
      <c r="I1612" s="15" t="n">
        <v>288</v>
      </c>
      <c r="J1612" s="16" t="n">
        <v>0.681</v>
      </c>
      <c r="K1612" s="8" t="n">
        <v>6.7</v>
      </c>
      <c r="L1612" s="8" t="n">
        <v>10</v>
      </c>
      <c r="M1612" s="8" t="n">
        <v>5</v>
      </c>
      <c r="N1612" s="8" t="s">
        <v>120</v>
      </c>
      <c r="O1612" s="15" t="n">
        <f aca="false">H1612*12</f>
        <v>3456</v>
      </c>
      <c r="P1612" s="8" t="n">
        <f aca="false">MIN(100,ROUND(100*J1612/Assumptions!$B$8,0))</f>
        <v>76</v>
      </c>
      <c r="Q1612" s="8" t="n">
        <f aca="false">IF(L1612="",Assumptions!$B$9,L1612*10)</f>
        <v>100</v>
      </c>
      <c r="R1612" s="8" t="n">
        <f aca="false">IF(M1612&lt;=1,Assumptions!$B$12,IF(M1612&lt;=3,Assumptions!$B$13,IF(M1612&lt;=6,Assumptions!$B$14,Assumptions!$B$15)))</f>
        <v>50</v>
      </c>
      <c r="S1612" s="8" t="n">
        <f aca="false">IF(N1612="Completed On Time",Assumptions!$B$16,IF(N1612="Completed Late",Assumptions!$B$17,Assumptions!$B$18))</f>
        <v>100</v>
      </c>
      <c r="T1612" s="8" t="n">
        <f aca="false">IF(I1612=0,Assumptions!$B$20,IF(H1612&gt;I1612,Assumptions!$B$19,IF(H1612=I1612,Assumptions!$B$20,Assumptions!$B$21)))</f>
        <v>70</v>
      </c>
      <c r="U1612" s="8" t="n">
        <f aca="false">ROUND(P1612*Assumptions!$B$2+Q1612*Assumptions!$B$3+R1612*Assumptions!$B$4+S1612*Assumptions!$B$5+T1612*Assumptions!$B$6,0)</f>
        <v>78</v>
      </c>
      <c r="V1612" s="8" t="str">
        <f aca="false">IF(U1612&gt;=Assumptions!$B$10,"Healthy",IF(U1612&gt;=Assumptions!$B$11,"Needs Attention","High Risk"))</f>
        <v>Needs Attention</v>
      </c>
    </row>
    <row r="1613" customFormat="false" ht="15" hidden="false" customHeight="false" outlineLevel="0" collapsed="false">
      <c r="A1613" s="8" t="s">
        <v>3368</v>
      </c>
      <c r="B1613" s="8" t="s">
        <v>3369</v>
      </c>
      <c r="C1613" s="8" t="s">
        <v>51</v>
      </c>
      <c r="D1613" s="8" t="s">
        <v>2027</v>
      </c>
      <c r="E1613" s="8" t="s">
        <v>128</v>
      </c>
      <c r="F1613" s="8" t="s">
        <v>118</v>
      </c>
      <c r="G1613" s="8" t="s">
        <v>180</v>
      </c>
      <c r="H1613" s="15" t="n">
        <v>288</v>
      </c>
      <c r="I1613" s="15" t="n">
        <v>0</v>
      </c>
      <c r="J1613" s="16" t="n">
        <v>0.708</v>
      </c>
      <c r="K1613" s="8" t="n">
        <v>8</v>
      </c>
      <c r="L1613" s="8"/>
      <c r="M1613" s="8" t="n">
        <v>2</v>
      </c>
      <c r="N1613" s="8" t="s">
        <v>120</v>
      </c>
      <c r="O1613" s="15" t="n">
        <f aca="false">H1613*12</f>
        <v>3456</v>
      </c>
      <c r="P1613" s="8" t="n">
        <f aca="false">MIN(100,ROUND(100*J1613/Assumptions!$B$8,0))</f>
        <v>79</v>
      </c>
      <c r="Q1613" s="8" t="n">
        <f aca="false">IF(L1613="",Assumptions!$B$9,L1613*10)</f>
        <v>50</v>
      </c>
      <c r="R1613" s="8" t="n">
        <f aca="false">IF(M1613&lt;=1,Assumptions!$B$12,IF(M1613&lt;=3,Assumptions!$B$13,IF(M1613&lt;=6,Assumptions!$B$14,Assumptions!$B$15)))</f>
        <v>75</v>
      </c>
      <c r="S1613" s="8" t="n">
        <f aca="false">IF(N1613="Completed On Time",Assumptions!$B$16,IF(N1613="Completed Late",Assumptions!$B$17,Assumptions!$B$18))</f>
        <v>100</v>
      </c>
      <c r="T1613" s="8" t="n">
        <f aca="false">IF(I1613=0,Assumptions!$B$20,IF(H1613&gt;I1613,Assumptions!$B$19,IF(H1613=I1613,Assumptions!$B$20,Assumptions!$B$21)))</f>
        <v>70</v>
      </c>
      <c r="U1613" s="8" t="n">
        <f aca="false">ROUND(P1613*Assumptions!$B$2+Q1613*Assumptions!$B$3+R1613*Assumptions!$B$4+S1613*Assumptions!$B$5+T1613*Assumptions!$B$6,0)</f>
        <v>73</v>
      </c>
      <c r="V1613" s="8" t="str">
        <f aca="false">IF(U1613&gt;=Assumptions!$B$10,"Healthy",IF(U1613&gt;=Assumptions!$B$11,"Needs Attention","High Risk"))</f>
        <v>Needs Attention</v>
      </c>
    </row>
    <row r="1614" customFormat="false" ht="15" hidden="false" customHeight="false" outlineLevel="0" collapsed="false">
      <c r="A1614" s="8" t="s">
        <v>3370</v>
      </c>
      <c r="B1614" s="8" t="s">
        <v>3371</v>
      </c>
      <c r="C1614" s="8" t="s">
        <v>51</v>
      </c>
      <c r="D1614" s="8" t="s">
        <v>2027</v>
      </c>
      <c r="E1614" s="8" t="s">
        <v>117</v>
      </c>
      <c r="F1614" s="8" t="s">
        <v>143</v>
      </c>
      <c r="G1614" s="8" t="s">
        <v>159</v>
      </c>
      <c r="H1614" s="15" t="n">
        <v>288</v>
      </c>
      <c r="I1614" s="15" t="n">
        <v>288</v>
      </c>
      <c r="J1614" s="16" t="n">
        <v>0.736</v>
      </c>
      <c r="K1614" s="8" t="n">
        <v>9</v>
      </c>
      <c r="L1614" s="8" t="n">
        <v>7</v>
      </c>
      <c r="M1614" s="8" t="n">
        <v>1</v>
      </c>
      <c r="N1614" s="8" t="s">
        <v>120</v>
      </c>
      <c r="O1614" s="15" t="n">
        <f aca="false">H1614*12</f>
        <v>3456</v>
      </c>
      <c r="P1614" s="8" t="n">
        <f aca="false">MIN(100,ROUND(100*J1614/Assumptions!$B$8,0))</f>
        <v>82</v>
      </c>
      <c r="Q1614" s="8" t="n">
        <f aca="false">IF(L1614="",Assumptions!$B$9,L1614*10)</f>
        <v>70</v>
      </c>
      <c r="R1614" s="8" t="n">
        <f aca="false">IF(M1614&lt;=1,Assumptions!$B$12,IF(M1614&lt;=3,Assumptions!$B$13,IF(M1614&lt;=6,Assumptions!$B$14,Assumptions!$B$15)))</f>
        <v>100</v>
      </c>
      <c r="S1614" s="8" t="n">
        <f aca="false">IF(N1614="Completed On Time",Assumptions!$B$16,IF(N1614="Completed Late",Assumptions!$B$17,Assumptions!$B$18))</f>
        <v>100</v>
      </c>
      <c r="T1614" s="8" t="n">
        <f aca="false">IF(I1614=0,Assumptions!$B$20,IF(H1614&gt;I1614,Assumptions!$B$19,IF(H1614=I1614,Assumptions!$B$20,Assumptions!$B$21)))</f>
        <v>70</v>
      </c>
      <c r="U1614" s="8" t="n">
        <f aca="false">ROUND(P1614*Assumptions!$B$2+Q1614*Assumptions!$B$3+R1614*Assumptions!$B$4+S1614*Assumptions!$B$5+T1614*Assumptions!$B$6,0)</f>
        <v>82</v>
      </c>
      <c r="V1614" s="8" t="str">
        <f aca="false">IF(U1614&gt;=Assumptions!$B$10,"Healthy",IF(U1614&gt;=Assumptions!$B$11,"Needs Attention","High Risk"))</f>
        <v>Healthy</v>
      </c>
    </row>
    <row r="1615" customFormat="false" ht="15" hidden="false" customHeight="false" outlineLevel="0" collapsed="false">
      <c r="A1615" s="8" t="s">
        <v>3372</v>
      </c>
      <c r="B1615" s="8" t="s">
        <v>3373</v>
      </c>
      <c r="C1615" s="8" t="s">
        <v>51</v>
      </c>
      <c r="D1615" s="8" t="s">
        <v>2027</v>
      </c>
      <c r="E1615" s="8" t="s">
        <v>123</v>
      </c>
      <c r="F1615" s="8" t="s">
        <v>118</v>
      </c>
      <c r="G1615" s="8" t="s">
        <v>147</v>
      </c>
      <c r="H1615" s="15" t="n">
        <v>288</v>
      </c>
      <c r="I1615" s="15" t="n">
        <v>288</v>
      </c>
      <c r="J1615" s="16" t="n">
        <v>0.833</v>
      </c>
      <c r="K1615" s="8" t="n">
        <v>10.3</v>
      </c>
      <c r="L1615" s="8" t="n">
        <v>9</v>
      </c>
      <c r="M1615" s="8" t="n">
        <v>0</v>
      </c>
      <c r="N1615" s="8" t="s">
        <v>120</v>
      </c>
      <c r="O1615" s="15" t="n">
        <f aca="false">H1615*12</f>
        <v>3456</v>
      </c>
      <c r="P1615" s="8" t="n">
        <f aca="false">MIN(100,ROUND(100*J1615/Assumptions!$B$8,0))</f>
        <v>93</v>
      </c>
      <c r="Q1615" s="8" t="n">
        <f aca="false">IF(L1615="",Assumptions!$B$9,L1615*10)</f>
        <v>90</v>
      </c>
      <c r="R1615" s="8" t="n">
        <f aca="false">IF(M1615&lt;=1,Assumptions!$B$12,IF(M1615&lt;=3,Assumptions!$B$13,IF(M1615&lt;=6,Assumptions!$B$14,Assumptions!$B$15)))</f>
        <v>100</v>
      </c>
      <c r="S1615" s="8" t="n">
        <f aca="false">IF(N1615="Completed On Time",Assumptions!$B$16,IF(N1615="Completed Late",Assumptions!$B$17,Assumptions!$B$18))</f>
        <v>100</v>
      </c>
      <c r="T1615" s="8" t="n">
        <f aca="false">IF(I1615=0,Assumptions!$B$20,IF(H1615&gt;I1615,Assumptions!$B$19,IF(H1615=I1615,Assumptions!$B$20,Assumptions!$B$21)))</f>
        <v>70</v>
      </c>
      <c r="U1615" s="8" t="n">
        <f aca="false">ROUND(P1615*Assumptions!$B$2+Q1615*Assumptions!$B$3+R1615*Assumptions!$B$4+S1615*Assumptions!$B$5+T1615*Assumptions!$B$6,0)</f>
        <v>90</v>
      </c>
      <c r="V1615" s="8" t="str">
        <f aca="false">IF(U1615&gt;=Assumptions!$B$10,"Healthy",IF(U1615&gt;=Assumptions!$B$11,"Needs Attention","High Risk"))</f>
        <v>Healthy</v>
      </c>
    </row>
    <row r="1616" customFormat="false" ht="15" hidden="false" customHeight="false" outlineLevel="0" collapsed="false">
      <c r="A1616" s="8" t="s">
        <v>3374</v>
      </c>
      <c r="B1616" s="8" t="s">
        <v>3375</v>
      </c>
      <c r="C1616" s="8" t="s">
        <v>51</v>
      </c>
      <c r="D1616" s="8" t="s">
        <v>2027</v>
      </c>
      <c r="E1616" s="8" t="s">
        <v>123</v>
      </c>
      <c r="F1616" s="8" t="s">
        <v>166</v>
      </c>
      <c r="G1616" s="8" t="s">
        <v>140</v>
      </c>
      <c r="H1616" s="15" t="n">
        <v>288</v>
      </c>
      <c r="I1616" s="15" t="n">
        <v>288</v>
      </c>
      <c r="J1616" s="16" t="n">
        <v>0.806</v>
      </c>
      <c r="K1616" s="8" t="n">
        <v>9.7</v>
      </c>
      <c r="L1616" s="8" t="n">
        <v>7</v>
      </c>
      <c r="M1616" s="8" t="n">
        <v>2</v>
      </c>
      <c r="N1616" s="8" t="s">
        <v>120</v>
      </c>
      <c r="O1616" s="15" t="n">
        <f aca="false">H1616*12</f>
        <v>3456</v>
      </c>
      <c r="P1616" s="8" t="n">
        <f aca="false">MIN(100,ROUND(100*J1616/Assumptions!$B$8,0))</f>
        <v>90</v>
      </c>
      <c r="Q1616" s="8" t="n">
        <f aca="false">IF(L1616="",Assumptions!$B$9,L1616*10)</f>
        <v>70</v>
      </c>
      <c r="R1616" s="8" t="n">
        <f aca="false">IF(M1616&lt;=1,Assumptions!$B$12,IF(M1616&lt;=3,Assumptions!$B$13,IF(M1616&lt;=6,Assumptions!$B$14,Assumptions!$B$15)))</f>
        <v>75</v>
      </c>
      <c r="S1616" s="8" t="n">
        <f aca="false">IF(N1616="Completed On Time",Assumptions!$B$16,IF(N1616="Completed Late",Assumptions!$B$17,Assumptions!$B$18))</f>
        <v>100</v>
      </c>
      <c r="T1616" s="8" t="n">
        <f aca="false">IF(I1616=0,Assumptions!$B$20,IF(H1616&gt;I1616,Assumptions!$B$19,IF(H1616=I1616,Assumptions!$B$20,Assumptions!$B$21)))</f>
        <v>70</v>
      </c>
      <c r="U1616" s="8" t="n">
        <f aca="false">ROUND(P1616*Assumptions!$B$2+Q1616*Assumptions!$B$3+R1616*Assumptions!$B$4+S1616*Assumptions!$B$5+T1616*Assumptions!$B$6,0)</f>
        <v>81</v>
      </c>
      <c r="V1616" s="8" t="str">
        <f aca="false">IF(U1616&gt;=Assumptions!$B$10,"Healthy",IF(U1616&gt;=Assumptions!$B$11,"Needs Attention","High Risk"))</f>
        <v>Healthy</v>
      </c>
    </row>
    <row r="1617" customFormat="false" ht="15" hidden="false" customHeight="false" outlineLevel="0" collapsed="false">
      <c r="A1617" s="8" t="s">
        <v>3376</v>
      </c>
      <c r="B1617" s="8" t="s">
        <v>3377</v>
      </c>
      <c r="C1617" s="8" t="s">
        <v>51</v>
      </c>
      <c r="D1617" s="8" t="s">
        <v>2027</v>
      </c>
      <c r="E1617" s="8" t="s">
        <v>117</v>
      </c>
      <c r="F1617" s="8" t="s">
        <v>151</v>
      </c>
      <c r="G1617" s="8" t="s">
        <v>129</v>
      </c>
      <c r="H1617" s="15" t="n">
        <v>288</v>
      </c>
      <c r="I1617" s="15" t="n">
        <v>264</v>
      </c>
      <c r="J1617" s="16" t="n">
        <v>0.944</v>
      </c>
      <c r="K1617" s="8" t="n">
        <v>11</v>
      </c>
      <c r="L1617" s="8" t="n">
        <v>9</v>
      </c>
      <c r="M1617" s="8" t="n">
        <v>0</v>
      </c>
      <c r="N1617" s="8" t="s">
        <v>120</v>
      </c>
      <c r="O1617" s="15" t="n">
        <f aca="false">H1617*12</f>
        <v>3456</v>
      </c>
      <c r="P1617" s="8" t="n">
        <f aca="false">MIN(100,ROUND(100*J1617/Assumptions!$B$8,0))</f>
        <v>100</v>
      </c>
      <c r="Q1617" s="8" t="n">
        <f aca="false">IF(L1617="",Assumptions!$B$9,L1617*10)</f>
        <v>90</v>
      </c>
      <c r="R1617" s="8" t="n">
        <f aca="false">IF(M1617&lt;=1,Assumptions!$B$12,IF(M1617&lt;=3,Assumptions!$B$13,IF(M1617&lt;=6,Assumptions!$B$14,Assumptions!$B$15)))</f>
        <v>100</v>
      </c>
      <c r="S1617" s="8" t="n">
        <f aca="false">IF(N1617="Completed On Time",Assumptions!$B$16,IF(N1617="Completed Late",Assumptions!$B$17,Assumptions!$B$18))</f>
        <v>100</v>
      </c>
      <c r="T1617" s="8" t="n">
        <f aca="false">IF(I1617=0,Assumptions!$B$20,IF(H1617&gt;I1617,Assumptions!$B$19,IF(H1617=I1617,Assumptions!$B$20,Assumptions!$B$21)))</f>
        <v>100</v>
      </c>
      <c r="U1617" s="8" t="n">
        <f aca="false">ROUND(P1617*Assumptions!$B$2+Q1617*Assumptions!$B$3+R1617*Assumptions!$B$4+S1617*Assumptions!$B$5+T1617*Assumptions!$B$6,0)</f>
        <v>98</v>
      </c>
      <c r="V1617" s="8" t="str">
        <f aca="false">IF(U1617&gt;=Assumptions!$B$10,"Healthy",IF(U1617&gt;=Assumptions!$B$11,"Needs Attention","High Risk"))</f>
        <v>Healthy</v>
      </c>
    </row>
    <row r="1618" customFormat="false" ht="15" hidden="false" customHeight="false" outlineLevel="0" collapsed="false">
      <c r="A1618" s="8" t="s">
        <v>3378</v>
      </c>
      <c r="B1618" s="8" t="s">
        <v>3379</v>
      </c>
      <c r="C1618" s="8" t="s">
        <v>51</v>
      </c>
      <c r="D1618" s="8" t="s">
        <v>2027</v>
      </c>
      <c r="E1618" s="8" t="s">
        <v>117</v>
      </c>
      <c r="F1618" s="8" t="s">
        <v>154</v>
      </c>
      <c r="G1618" s="8" t="s">
        <v>119</v>
      </c>
      <c r="H1618" s="15" t="n">
        <v>288</v>
      </c>
      <c r="I1618" s="15" t="n">
        <v>288</v>
      </c>
      <c r="J1618" s="16" t="n">
        <v>0.653</v>
      </c>
      <c r="K1618" s="8" t="n">
        <v>7</v>
      </c>
      <c r="L1618" s="8" t="n">
        <v>6</v>
      </c>
      <c r="M1618" s="8" t="n">
        <v>4</v>
      </c>
      <c r="N1618" s="8" t="s">
        <v>120</v>
      </c>
      <c r="O1618" s="15" t="n">
        <f aca="false">H1618*12</f>
        <v>3456</v>
      </c>
      <c r="P1618" s="8" t="n">
        <f aca="false">MIN(100,ROUND(100*J1618/Assumptions!$B$8,0))</f>
        <v>73</v>
      </c>
      <c r="Q1618" s="8" t="n">
        <f aca="false">IF(L1618="",Assumptions!$B$9,L1618*10)</f>
        <v>60</v>
      </c>
      <c r="R1618" s="8" t="n">
        <f aca="false">IF(M1618&lt;=1,Assumptions!$B$12,IF(M1618&lt;=3,Assumptions!$B$13,IF(M1618&lt;=6,Assumptions!$B$14,Assumptions!$B$15)))</f>
        <v>50</v>
      </c>
      <c r="S1618" s="8" t="n">
        <f aca="false">IF(N1618="Completed On Time",Assumptions!$B$16,IF(N1618="Completed Late",Assumptions!$B$17,Assumptions!$B$18))</f>
        <v>100</v>
      </c>
      <c r="T1618" s="8" t="n">
        <f aca="false">IF(I1618=0,Assumptions!$B$20,IF(H1618&gt;I1618,Assumptions!$B$19,IF(H1618=I1618,Assumptions!$B$20,Assumptions!$B$21)))</f>
        <v>70</v>
      </c>
      <c r="U1618" s="8" t="n">
        <f aca="false">ROUND(P1618*Assumptions!$B$2+Q1618*Assumptions!$B$3+R1618*Assumptions!$B$4+S1618*Assumptions!$B$5+T1618*Assumptions!$B$6,0)</f>
        <v>69</v>
      </c>
      <c r="V1618" s="8" t="str">
        <f aca="false">IF(U1618&gt;=Assumptions!$B$10,"Healthy",IF(U1618&gt;=Assumptions!$B$11,"Needs Attention","High Risk"))</f>
        <v>Needs Attention</v>
      </c>
    </row>
    <row r="1619" customFormat="false" ht="15" hidden="false" customHeight="false" outlineLevel="0" collapsed="false">
      <c r="A1619" s="8" t="s">
        <v>3380</v>
      </c>
      <c r="B1619" s="8" t="s">
        <v>3381</v>
      </c>
      <c r="C1619" s="8" t="s">
        <v>51</v>
      </c>
      <c r="D1619" s="8" t="s">
        <v>2027</v>
      </c>
      <c r="E1619" s="8" t="s">
        <v>123</v>
      </c>
      <c r="F1619" s="8" t="s">
        <v>223</v>
      </c>
      <c r="G1619" s="8" t="s">
        <v>129</v>
      </c>
      <c r="H1619" s="15" t="n">
        <v>288</v>
      </c>
      <c r="I1619" s="15" t="n">
        <v>288</v>
      </c>
      <c r="J1619" s="16" t="n">
        <v>0.653</v>
      </c>
      <c r="K1619" s="8" t="n">
        <v>10</v>
      </c>
      <c r="L1619" s="8" t="n">
        <v>8</v>
      </c>
      <c r="M1619" s="8" t="n">
        <v>5</v>
      </c>
      <c r="N1619" s="8" t="s">
        <v>120</v>
      </c>
      <c r="O1619" s="15" t="n">
        <f aca="false">H1619*12</f>
        <v>3456</v>
      </c>
      <c r="P1619" s="8" t="n">
        <f aca="false">MIN(100,ROUND(100*J1619/Assumptions!$B$8,0))</f>
        <v>73</v>
      </c>
      <c r="Q1619" s="8" t="n">
        <f aca="false">IF(L1619="",Assumptions!$B$9,L1619*10)</f>
        <v>80</v>
      </c>
      <c r="R1619" s="8" t="n">
        <f aca="false">IF(M1619&lt;=1,Assumptions!$B$12,IF(M1619&lt;=3,Assumptions!$B$13,IF(M1619&lt;=6,Assumptions!$B$14,Assumptions!$B$15)))</f>
        <v>50</v>
      </c>
      <c r="S1619" s="8" t="n">
        <f aca="false">IF(N1619="Completed On Time",Assumptions!$B$16,IF(N1619="Completed Late",Assumptions!$B$17,Assumptions!$B$18))</f>
        <v>100</v>
      </c>
      <c r="T1619" s="8" t="n">
        <f aca="false">IF(I1619=0,Assumptions!$B$20,IF(H1619&gt;I1619,Assumptions!$B$19,IF(H1619=I1619,Assumptions!$B$20,Assumptions!$B$21)))</f>
        <v>70</v>
      </c>
      <c r="U1619" s="8" t="n">
        <f aca="false">ROUND(P1619*Assumptions!$B$2+Q1619*Assumptions!$B$3+R1619*Assumptions!$B$4+S1619*Assumptions!$B$5+T1619*Assumptions!$B$6,0)</f>
        <v>73</v>
      </c>
      <c r="V1619" s="8" t="str">
        <f aca="false">IF(U1619&gt;=Assumptions!$B$10,"Healthy",IF(U1619&gt;=Assumptions!$B$11,"Needs Attention","High Risk"))</f>
        <v>Needs Attention</v>
      </c>
    </row>
    <row r="1620" customFormat="false" ht="15" hidden="false" customHeight="false" outlineLevel="0" collapsed="false">
      <c r="A1620" s="8" t="s">
        <v>3382</v>
      </c>
      <c r="B1620" s="8" t="s">
        <v>3383</v>
      </c>
      <c r="C1620" s="8" t="s">
        <v>51</v>
      </c>
      <c r="D1620" s="8" t="s">
        <v>2027</v>
      </c>
      <c r="E1620" s="8" t="s">
        <v>117</v>
      </c>
      <c r="F1620" s="8" t="s">
        <v>166</v>
      </c>
      <c r="G1620" s="8" t="s">
        <v>185</v>
      </c>
      <c r="H1620" s="15" t="n">
        <v>288</v>
      </c>
      <c r="I1620" s="15" t="n">
        <v>288</v>
      </c>
      <c r="J1620" s="16" t="n">
        <v>0.667</v>
      </c>
      <c r="K1620" s="8" t="n">
        <v>9.3</v>
      </c>
      <c r="L1620" s="8" t="n">
        <v>10</v>
      </c>
      <c r="M1620" s="8" t="n">
        <v>4</v>
      </c>
      <c r="N1620" s="8" t="s">
        <v>120</v>
      </c>
      <c r="O1620" s="15" t="n">
        <f aca="false">H1620*12</f>
        <v>3456</v>
      </c>
      <c r="P1620" s="8" t="n">
        <f aca="false">MIN(100,ROUND(100*J1620/Assumptions!$B$8,0))</f>
        <v>74</v>
      </c>
      <c r="Q1620" s="8" t="n">
        <f aca="false">IF(L1620="",Assumptions!$B$9,L1620*10)</f>
        <v>100</v>
      </c>
      <c r="R1620" s="8" t="n">
        <f aca="false">IF(M1620&lt;=1,Assumptions!$B$12,IF(M1620&lt;=3,Assumptions!$B$13,IF(M1620&lt;=6,Assumptions!$B$14,Assumptions!$B$15)))</f>
        <v>50</v>
      </c>
      <c r="S1620" s="8" t="n">
        <f aca="false">IF(N1620="Completed On Time",Assumptions!$B$16,IF(N1620="Completed Late",Assumptions!$B$17,Assumptions!$B$18))</f>
        <v>100</v>
      </c>
      <c r="T1620" s="8" t="n">
        <f aca="false">IF(I1620=0,Assumptions!$B$20,IF(H1620&gt;I1620,Assumptions!$B$19,IF(H1620=I1620,Assumptions!$B$20,Assumptions!$B$21)))</f>
        <v>70</v>
      </c>
      <c r="U1620" s="8" t="n">
        <f aca="false">ROUND(P1620*Assumptions!$B$2+Q1620*Assumptions!$B$3+R1620*Assumptions!$B$4+S1620*Assumptions!$B$5+T1620*Assumptions!$B$6,0)</f>
        <v>77</v>
      </c>
      <c r="V1620" s="8" t="str">
        <f aca="false">IF(U1620&gt;=Assumptions!$B$10,"Healthy",IF(U1620&gt;=Assumptions!$B$11,"Needs Attention","High Risk"))</f>
        <v>Needs Attention</v>
      </c>
    </row>
    <row r="1621" customFormat="false" ht="15" hidden="false" customHeight="false" outlineLevel="0" collapsed="false">
      <c r="A1621" s="8" t="s">
        <v>3384</v>
      </c>
      <c r="B1621" s="8" t="s">
        <v>3385</v>
      </c>
      <c r="C1621" s="8" t="s">
        <v>51</v>
      </c>
      <c r="D1621" s="8" t="s">
        <v>2027</v>
      </c>
      <c r="E1621" s="8" t="s">
        <v>132</v>
      </c>
      <c r="F1621" s="8" t="s">
        <v>143</v>
      </c>
      <c r="G1621" s="8" t="s">
        <v>140</v>
      </c>
      <c r="H1621" s="15" t="n">
        <v>288</v>
      </c>
      <c r="I1621" s="15" t="n">
        <v>288</v>
      </c>
      <c r="J1621" s="16" t="n">
        <v>0.611</v>
      </c>
      <c r="K1621" s="8" t="n">
        <v>6.3</v>
      </c>
      <c r="L1621" s="8" t="n">
        <v>8</v>
      </c>
      <c r="M1621" s="8" t="n">
        <v>2</v>
      </c>
      <c r="N1621" s="8" t="s">
        <v>120</v>
      </c>
      <c r="O1621" s="15" t="n">
        <f aca="false">H1621*12</f>
        <v>3456</v>
      </c>
      <c r="P1621" s="8" t="n">
        <f aca="false">MIN(100,ROUND(100*J1621/Assumptions!$B$8,0))</f>
        <v>68</v>
      </c>
      <c r="Q1621" s="8" t="n">
        <f aca="false">IF(L1621="",Assumptions!$B$9,L1621*10)</f>
        <v>80</v>
      </c>
      <c r="R1621" s="8" t="n">
        <f aca="false">IF(M1621&lt;=1,Assumptions!$B$12,IF(M1621&lt;=3,Assumptions!$B$13,IF(M1621&lt;=6,Assumptions!$B$14,Assumptions!$B$15)))</f>
        <v>75</v>
      </c>
      <c r="S1621" s="8" t="n">
        <f aca="false">IF(N1621="Completed On Time",Assumptions!$B$16,IF(N1621="Completed Late",Assumptions!$B$17,Assumptions!$B$18))</f>
        <v>100</v>
      </c>
      <c r="T1621" s="8" t="n">
        <f aca="false">IF(I1621=0,Assumptions!$B$20,IF(H1621&gt;I1621,Assumptions!$B$19,IF(H1621=I1621,Assumptions!$B$20,Assumptions!$B$21)))</f>
        <v>70</v>
      </c>
      <c r="U1621" s="8" t="n">
        <f aca="false">ROUND(P1621*Assumptions!$B$2+Q1621*Assumptions!$B$3+R1621*Assumptions!$B$4+S1621*Assumptions!$B$5+T1621*Assumptions!$B$6,0)</f>
        <v>75</v>
      </c>
      <c r="V1621" s="8" t="str">
        <f aca="false">IF(U1621&gt;=Assumptions!$B$10,"Healthy",IF(U1621&gt;=Assumptions!$B$11,"Needs Attention","High Risk"))</f>
        <v>Needs Attention</v>
      </c>
    </row>
    <row r="1622" customFormat="false" ht="15" hidden="false" customHeight="false" outlineLevel="0" collapsed="false">
      <c r="A1622" s="8" t="s">
        <v>3386</v>
      </c>
      <c r="B1622" s="8" t="s">
        <v>3387</v>
      </c>
      <c r="C1622" s="8" t="s">
        <v>51</v>
      </c>
      <c r="D1622" s="8" t="s">
        <v>2027</v>
      </c>
      <c r="E1622" s="8" t="s">
        <v>117</v>
      </c>
      <c r="F1622" s="8" t="s">
        <v>190</v>
      </c>
      <c r="G1622" s="8" t="s">
        <v>147</v>
      </c>
      <c r="H1622" s="15" t="n">
        <v>276</v>
      </c>
      <c r="I1622" s="15" t="n">
        <v>276</v>
      </c>
      <c r="J1622" s="16" t="n">
        <v>0.87</v>
      </c>
      <c r="K1622" s="8" t="n">
        <v>10</v>
      </c>
      <c r="L1622" s="8" t="n">
        <v>10</v>
      </c>
      <c r="M1622" s="8" t="n">
        <v>0</v>
      </c>
      <c r="N1622" s="8" t="s">
        <v>120</v>
      </c>
      <c r="O1622" s="15" t="n">
        <f aca="false">H1622*12</f>
        <v>3312</v>
      </c>
      <c r="P1622" s="8" t="n">
        <f aca="false">MIN(100,ROUND(100*J1622/Assumptions!$B$8,0))</f>
        <v>97</v>
      </c>
      <c r="Q1622" s="8" t="n">
        <f aca="false">IF(L1622="",Assumptions!$B$9,L1622*10)</f>
        <v>100</v>
      </c>
      <c r="R1622" s="8" t="n">
        <f aca="false">IF(M1622&lt;=1,Assumptions!$B$12,IF(M1622&lt;=3,Assumptions!$B$13,IF(M1622&lt;=6,Assumptions!$B$14,Assumptions!$B$15)))</f>
        <v>100</v>
      </c>
      <c r="S1622" s="8" t="n">
        <f aca="false">IF(N1622="Completed On Time",Assumptions!$B$16,IF(N1622="Completed Late",Assumptions!$B$17,Assumptions!$B$18))</f>
        <v>100</v>
      </c>
      <c r="T1622" s="8" t="n">
        <f aca="false">IF(I1622=0,Assumptions!$B$20,IF(H1622&gt;I1622,Assumptions!$B$19,IF(H1622=I1622,Assumptions!$B$20,Assumptions!$B$21)))</f>
        <v>70</v>
      </c>
      <c r="U1622" s="8" t="n">
        <f aca="false">ROUND(P1622*Assumptions!$B$2+Q1622*Assumptions!$B$3+R1622*Assumptions!$B$4+S1622*Assumptions!$B$5+T1622*Assumptions!$B$6,0)</f>
        <v>93</v>
      </c>
      <c r="V1622" s="8" t="str">
        <f aca="false">IF(U1622&gt;=Assumptions!$B$10,"Healthy",IF(U1622&gt;=Assumptions!$B$11,"Needs Attention","High Risk"))</f>
        <v>Healthy</v>
      </c>
    </row>
    <row r="1623" customFormat="false" ht="15" hidden="false" customHeight="false" outlineLevel="0" collapsed="false">
      <c r="A1623" s="8" t="s">
        <v>3388</v>
      </c>
      <c r="B1623" s="8" t="s">
        <v>3389</v>
      </c>
      <c r="C1623" s="8" t="s">
        <v>51</v>
      </c>
      <c r="D1623" s="8" t="s">
        <v>2027</v>
      </c>
      <c r="E1623" s="8" t="s">
        <v>117</v>
      </c>
      <c r="F1623" s="8" t="s">
        <v>190</v>
      </c>
      <c r="G1623" s="8" t="s">
        <v>140</v>
      </c>
      <c r="H1623" s="15" t="n">
        <v>276</v>
      </c>
      <c r="I1623" s="15" t="n">
        <v>276</v>
      </c>
      <c r="J1623" s="16" t="n">
        <v>0.768</v>
      </c>
      <c r="K1623" s="8" t="n">
        <v>7</v>
      </c>
      <c r="L1623" s="8" t="n">
        <v>8</v>
      </c>
      <c r="M1623" s="8" t="n">
        <v>1</v>
      </c>
      <c r="N1623" s="8" t="s">
        <v>120</v>
      </c>
      <c r="O1623" s="15" t="n">
        <f aca="false">H1623*12</f>
        <v>3312</v>
      </c>
      <c r="P1623" s="8" t="n">
        <f aca="false">MIN(100,ROUND(100*J1623/Assumptions!$B$8,0))</f>
        <v>85</v>
      </c>
      <c r="Q1623" s="8" t="n">
        <f aca="false">IF(L1623="",Assumptions!$B$9,L1623*10)</f>
        <v>80</v>
      </c>
      <c r="R1623" s="8" t="n">
        <f aca="false">IF(M1623&lt;=1,Assumptions!$B$12,IF(M1623&lt;=3,Assumptions!$B$13,IF(M1623&lt;=6,Assumptions!$B$14,Assumptions!$B$15)))</f>
        <v>100</v>
      </c>
      <c r="S1623" s="8" t="n">
        <f aca="false">IF(N1623="Completed On Time",Assumptions!$B$16,IF(N1623="Completed Late",Assumptions!$B$17,Assumptions!$B$18))</f>
        <v>100</v>
      </c>
      <c r="T1623" s="8" t="n">
        <f aca="false">IF(I1623=0,Assumptions!$B$20,IF(H1623&gt;I1623,Assumptions!$B$19,IF(H1623=I1623,Assumptions!$B$20,Assumptions!$B$21)))</f>
        <v>70</v>
      </c>
      <c r="U1623" s="8" t="n">
        <f aca="false">ROUND(P1623*Assumptions!$B$2+Q1623*Assumptions!$B$3+R1623*Assumptions!$B$4+S1623*Assumptions!$B$5+T1623*Assumptions!$B$6,0)</f>
        <v>85</v>
      </c>
      <c r="V1623" s="8" t="str">
        <f aca="false">IF(U1623&gt;=Assumptions!$B$10,"Healthy",IF(U1623&gt;=Assumptions!$B$11,"Needs Attention","High Risk"))</f>
        <v>Healthy</v>
      </c>
    </row>
    <row r="1624" customFormat="false" ht="15" hidden="false" customHeight="false" outlineLevel="0" collapsed="false">
      <c r="A1624" s="8" t="s">
        <v>3390</v>
      </c>
      <c r="B1624" s="8" t="s">
        <v>3391</v>
      </c>
      <c r="C1624" s="8" t="s">
        <v>51</v>
      </c>
      <c r="D1624" s="8" t="s">
        <v>2027</v>
      </c>
      <c r="E1624" s="8" t="s">
        <v>117</v>
      </c>
      <c r="F1624" s="8" t="s">
        <v>124</v>
      </c>
      <c r="G1624" s="8" t="s">
        <v>144</v>
      </c>
      <c r="H1624" s="15" t="n">
        <v>276</v>
      </c>
      <c r="I1624" s="15" t="n">
        <v>276</v>
      </c>
      <c r="J1624" s="16" t="n">
        <v>0.855</v>
      </c>
      <c r="K1624" s="8" t="n">
        <v>9.7</v>
      </c>
      <c r="L1624" s="8" t="n">
        <v>9</v>
      </c>
      <c r="M1624" s="8" t="n">
        <v>0</v>
      </c>
      <c r="N1624" s="8" t="s">
        <v>120</v>
      </c>
      <c r="O1624" s="15" t="n">
        <f aca="false">H1624*12</f>
        <v>3312</v>
      </c>
      <c r="P1624" s="8" t="n">
        <f aca="false">MIN(100,ROUND(100*J1624/Assumptions!$B$8,0))</f>
        <v>95</v>
      </c>
      <c r="Q1624" s="8" t="n">
        <f aca="false">IF(L1624="",Assumptions!$B$9,L1624*10)</f>
        <v>90</v>
      </c>
      <c r="R1624" s="8" t="n">
        <f aca="false">IF(M1624&lt;=1,Assumptions!$B$12,IF(M1624&lt;=3,Assumptions!$B$13,IF(M1624&lt;=6,Assumptions!$B$14,Assumptions!$B$15)))</f>
        <v>100</v>
      </c>
      <c r="S1624" s="8" t="n">
        <f aca="false">IF(N1624="Completed On Time",Assumptions!$B$16,IF(N1624="Completed Late",Assumptions!$B$17,Assumptions!$B$18))</f>
        <v>100</v>
      </c>
      <c r="T1624" s="8" t="n">
        <f aca="false">IF(I1624=0,Assumptions!$B$20,IF(H1624&gt;I1624,Assumptions!$B$19,IF(H1624=I1624,Assumptions!$B$20,Assumptions!$B$21)))</f>
        <v>70</v>
      </c>
      <c r="U1624" s="8" t="n">
        <f aca="false">ROUND(P1624*Assumptions!$B$2+Q1624*Assumptions!$B$3+R1624*Assumptions!$B$4+S1624*Assumptions!$B$5+T1624*Assumptions!$B$6,0)</f>
        <v>90</v>
      </c>
      <c r="V1624" s="8" t="str">
        <f aca="false">IF(U1624&gt;=Assumptions!$B$10,"Healthy",IF(U1624&gt;=Assumptions!$B$11,"Needs Attention","High Risk"))</f>
        <v>Healthy</v>
      </c>
    </row>
    <row r="1625" customFormat="false" ht="15" hidden="false" customHeight="false" outlineLevel="0" collapsed="false">
      <c r="A1625" s="8" t="s">
        <v>3392</v>
      </c>
      <c r="B1625" s="8" t="s">
        <v>3393</v>
      </c>
      <c r="C1625" s="8" t="s">
        <v>51</v>
      </c>
      <c r="D1625" s="8" t="s">
        <v>2027</v>
      </c>
      <c r="E1625" s="8" t="s">
        <v>123</v>
      </c>
      <c r="F1625" s="8" t="s">
        <v>166</v>
      </c>
      <c r="G1625" s="8" t="s">
        <v>129</v>
      </c>
      <c r="H1625" s="15" t="n">
        <v>276</v>
      </c>
      <c r="I1625" s="15" t="n">
        <v>276</v>
      </c>
      <c r="J1625" s="16" t="n">
        <v>0.884</v>
      </c>
      <c r="K1625" s="8" t="n">
        <v>10.7</v>
      </c>
      <c r="L1625" s="8" t="n">
        <v>10</v>
      </c>
      <c r="M1625" s="8" t="n">
        <v>0</v>
      </c>
      <c r="N1625" s="8" t="s">
        <v>120</v>
      </c>
      <c r="O1625" s="15" t="n">
        <f aca="false">H1625*12</f>
        <v>3312</v>
      </c>
      <c r="P1625" s="8" t="n">
        <f aca="false">MIN(100,ROUND(100*J1625/Assumptions!$B$8,0))</f>
        <v>98</v>
      </c>
      <c r="Q1625" s="8" t="n">
        <f aca="false">IF(L1625="",Assumptions!$B$9,L1625*10)</f>
        <v>100</v>
      </c>
      <c r="R1625" s="8" t="n">
        <f aca="false">IF(M1625&lt;=1,Assumptions!$B$12,IF(M1625&lt;=3,Assumptions!$B$13,IF(M1625&lt;=6,Assumptions!$B$14,Assumptions!$B$15)))</f>
        <v>100</v>
      </c>
      <c r="S1625" s="8" t="n">
        <f aca="false">IF(N1625="Completed On Time",Assumptions!$B$16,IF(N1625="Completed Late",Assumptions!$B$17,Assumptions!$B$18))</f>
        <v>100</v>
      </c>
      <c r="T1625" s="8" t="n">
        <f aca="false">IF(I1625=0,Assumptions!$B$20,IF(H1625&gt;I1625,Assumptions!$B$19,IF(H1625=I1625,Assumptions!$B$20,Assumptions!$B$21)))</f>
        <v>70</v>
      </c>
      <c r="U1625" s="8" t="n">
        <f aca="false">ROUND(P1625*Assumptions!$B$2+Q1625*Assumptions!$B$3+R1625*Assumptions!$B$4+S1625*Assumptions!$B$5+T1625*Assumptions!$B$6,0)</f>
        <v>93</v>
      </c>
      <c r="V1625" s="8" t="str">
        <f aca="false">IF(U1625&gt;=Assumptions!$B$10,"Healthy",IF(U1625&gt;=Assumptions!$B$11,"Needs Attention","High Risk"))</f>
        <v>Healthy</v>
      </c>
    </row>
    <row r="1626" customFormat="false" ht="15" hidden="false" customHeight="false" outlineLevel="0" collapsed="false">
      <c r="A1626" s="8" t="s">
        <v>3394</v>
      </c>
      <c r="B1626" s="8" t="s">
        <v>3395</v>
      </c>
      <c r="C1626" s="8" t="s">
        <v>51</v>
      </c>
      <c r="D1626" s="8" t="s">
        <v>2027</v>
      </c>
      <c r="E1626" s="8" t="s">
        <v>132</v>
      </c>
      <c r="F1626" s="8" t="s">
        <v>154</v>
      </c>
      <c r="G1626" s="8" t="s">
        <v>144</v>
      </c>
      <c r="H1626" s="15" t="n">
        <v>276</v>
      </c>
      <c r="I1626" s="15" t="n">
        <v>276</v>
      </c>
      <c r="J1626" s="16" t="n">
        <v>0.681</v>
      </c>
      <c r="K1626" s="8" t="n">
        <v>8.7</v>
      </c>
      <c r="L1626" s="8" t="n">
        <v>7</v>
      </c>
      <c r="M1626" s="8" t="n">
        <v>3</v>
      </c>
      <c r="N1626" s="8" t="s">
        <v>120</v>
      </c>
      <c r="O1626" s="15" t="n">
        <f aca="false">H1626*12</f>
        <v>3312</v>
      </c>
      <c r="P1626" s="8" t="n">
        <f aca="false">MIN(100,ROUND(100*J1626/Assumptions!$B$8,0))</f>
        <v>76</v>
      </c>
      <c r="Q1626" s="8" t="n">
        <f aca="false">IF(L1626="",Assumptions!$B$9,L1626*10)</f>
        <v>70</v>
      </c>
      <c r="R1626" s="8" t="n">
        <f aca="false">IF(M1626&lt;=1,Assumptions!$B$12,IF(M1626&lt;=3,Assumptions!$B$13,IF(M1626&lt;=6,Assumptions!$B$14,Assumptions!$B$15)))</f>
        <v>75</v>
      </c>
      <c r="S1626" s="8" t="n">
        <f aca="false">IF(N1626="Completed On Time",Assumptions!$B$16,IF(N1626="Completed Late",Assumptions!$B$17,Assumptions!$B$18))</f>
        <v>100</v>
      </c>
      <c r="T1626" s="8" t="n">
        <f aca="false">IF(I1626=0,Assumptions!$B$20,IF(H1626&gt;I1626,Assumptions!$B$19,IF(H1626=I1626,Assumptions!$B$20,Assumptions!$B$21)))</f>
        <v>70</v>
      </c>
      <c r="U1626" s="8" t="n">
        <f aca="false">ROUND(P1626*Assumptions!$B$2+Q1626*Assumptions!$B$3+R1626*Assumptions!$B$4+S1626*Assumptions!$B$5+T1626*Assumptions!$B$6,0)</f>
        <v>76</v>
      </c>
      <c r="V1626" s="8" t="str">
        <f aca="false">IF(U1626&gt;=Assumptions!$B$10,"Healthy",IF(U1626&gt;=Assumptions!$B$11,"Needs Attention","High Risk"))</f>
        <v>Needs Attention</v>
      </c>
    </row>
    <row r="1627" customFormat="false" ht="15" hidden="false" customHeight="false" outlineLevel="0" collapsed="false">
      <c r="A1627" s="8" t="s">
        <v>3396</v>
      </c>
      <c r="B1627" s="8" t="s">
        <v>3397</v>
      </c>
      <c r="C1627" s="8" t="s">
        <v>51</v>
      </c>
      <c r="D1627" s="8" t="s">
        <v>2027</v>
      </c>
      <c r="E1627" s="8" t="s">
        <v>132</v>
      </c>
      <c r="F1627" s="8" t="s">
        <v>133</v>
      </c>
      <c r="G1627" s="8" t="s">
        <v>119</v>
      </c>
      <c r="H1627" s="15" t="n">
        <v>276</v>
      </c>
      <c r="I1627" s="15" t="n">
        <v>276</v>
      </c>
      <c r="J1627" s="16" t="n">
        <v>0.884</v>
      </c>
      <c r="K1627" s="8" t="n">
        <v>10.7</v>
      </c>
      <c r="L1627" s="8" t="n">
        <v>10</v>
      </c>
      <c r="M1627" s="8" t="n">
        <v>0</v>
      </c>
      <c r="N1627" s="8" t="s">
        <v>120</v>
      </c>
      <c r="O1627" s="15" t="n">
        <f aca="false">H1627*12</f>
        <v>3312</v>
      </c>
      <c r="P1627" s="8" t="n">
        <f aca="false">MIN(100,ROUND(100*J1627/Assumptions!$B$8,0))</f>
        <v>98</v>
      </c>
      <c r="Q1627" s="8" t="n">
        <f aca="false">IF(L1627="",Assumptions!$B$9,L1627*10)</f>
        <v>100</v>
      </c>
      <c r="R1627" s="8" t="n">
        <f aca="false">IF(M1627&lt;=1,Assumptions!$B$12,IF(M1627&lt;=3,Assumptions!$B$13,IF(M1627&lt;=6,Assumptions!$B$14,Assumptions!$B$15)))</f>
        <v>100</v>
      </c>
      <c r="S1627" s="8" t="n">
        <f aca="false">IF(N1627="Completed On Time",Assumptions!$B$16,IF(N1627="Completed Late",Assumptions!$B$17,Assumptions!$B$18))</f>
        <v>100</v>
      </c>
      <c r="T1627" s="8" t="n">
        <f aca="false">IF(I1627=0,Assumptions!$B$20,IF(H1627&gt;I1627,Assumptions!$B$19,IF(H1627=I1627,Assumptions!$B$20,Assumptions!$B$21)))</f>
        <v>70</v>
      </c>
      <c r="U1627" s="8" t="n">
        <f aca="false">ROUND(P1627*Assumptions!$B$2+Q1627*Assumptions!$B$3+R1627*Assumptions!$B$4+S1627*Assumptions!$B$5+T1627*Assumptions!$B$6,0)</f>
        <v>93</v>
      </c>
      <c r="V1627" s="8" t="str">
        <f aca="false">IF(U1627&gt;=Assumptions!$B$10,"Healthy",IF(U1627&gt;=Assumptions!$B$11,"Needs Attention","High Risk"))</f>
        <v>Healthy</v>
      </c>
    </row>
    <row r="1628" customFormat="false" ht="15" hidden="false" customHeight="false" outlineLevel="0" collapsed="false">
      <c r="A1628" s="8" t="s">
        <v>3398</v>
      </c>
      <c r="B1628" s="8" t="s">
        <v>3399</v>
      </c>
      <c r="C1628" s="8" t="s">
        <v>51</v>
      </c>
      <c r="D1628" s="8" t="s">
        <v>2027</v>
      </c>
      <c r="E1628" s="8" t="s">
        <v>117</v>
      </c>
      <c r="F1628" s="8" t="s">
        <v>124</v>
      </c>
      <c r="G1628" s="8" t="s">
        <v>159</v>
      </c>
      <c r="H1628" s="15" t="n">
        <v>276</v>
      </c>
      <c r="I1628" s="15" t="n">
        <v>276</v>
      </c>
      <c r="J1628" s="16" t="n">
        <v>0.638</v>
      </c>
      <c r="K1628" s="8" t="n">
        <v>6.7</v>
      </c>
      <c r="L1628" s="8" t="n">
        <v>8</v>
      </c>
      <c r="M1628" s="8" t="n">
        <v>5</v>
      </c>
      <c r="N1628" s="8" t="s">
        <v>120</v>
      </c>
      <c r="O1628" s="15" t="n">
        <f aca="false">H1628*12</f>
        <v>3312</v>
      </c>
      <c r="P1628" s="8" t="n">
        <f aca="false">MIN(100,ROUND(100*J1628/Assumptions!$B$8,0))</f>
        <v>71</v>
      </c>
      <c r="Q1628" s="8" t="n">
        <f aca="false">IF(L1628="",Assumptions!$B$9,L1628*10)</f>
        <v>80</v>
      </c>
      <c r="R1628" s="8" t="n">
        <f aca="false">IF(M1628&lt;=1,Assumptions!$B$12,IF(M1628&lt;=3,Assumptions!$B$13,IF(M1628&lt;=6,Assumptions!$B$14,Assumptions!$B$15)))</f>
        <v>50</v>
      </c>
      <c r="S1628" s="8" t="n">
        <f aca="false">IF(N1628="Completed On Time",Assumptions!$B$16,IF(N1628="Completed Late",Assumptions!$B$17,Assumptions!$B$18))</f>
        <v>100</v>
      </c>
      <c r="T1628" s="8" t="n">
        <f aca="false">IF(I1628=0,Assumptions!$B$20,IF(H1628&gt;I1628,Assumptions!$B$19,IF(H1628=I1628,Assumptions!$B$20,Assumptions!$B$21)))</f>
        <v>70</v>
      </c>
      <c r="U1628" s="8" t="n">
        <f aca="false">ROUND(P1628*Assumptions!$B$2+Q1628*Assumptions!$B$3+R1628*Assumptions!$B$4+S1628*Assumptions!$B$5+T1628*Assumptions!$B$6,0)</f>
        <v>72</v>
      </c>
      <c r="V1628" s="8" t="str">
        <f aca="false">IF(U1628&gt;=Assumptions!$B$10,"Healthy",IF(U1628&gt;=Assumptions!$B$11,"Needs Attention","High Risk"))</f>
        <v>Needs Attention</v>
      </c>
    </row>
    <row r="1629" customFormat="false" ht="15" hidden="false" customHeight="false" outlineLevel="0" collapsed="false">
      <c r="A1629" s="8" t="s">
        <v>3400</v>
      </c>
      <c r="B1629" s="8" t="s">
        <v>3401</v>
      </c>
      <c r="C1629" s="8" t="s">
        <v>51</v>
      </c>
      <c r="D1629" s="8" t="s">
        <v>2027</v>
      </c>
      <c r="E1629" s="8" t="s">
        <v>132</v>
      </c>
      <c r="F1629" s="8" t="s">
        <v>151</v>
      </c>
      <c r="G1629" s="8" t="s">
        <v>144</v>
      </c>
      <c r="H1629" s="15" t="n">
        <v>276</v>
      </c>
      <c r="I1629" s="15" t="n">
        <v>276</v>
      </c>
      <c r="J1629" s="16" t="n">
        <v>0.739</v>
      </c>
      <c r="K1629" s="8" t="n">
        <v>10</v>
      </c>
      <c r="L1629" s="8" t="n">
        <v>7</v>
      </c>
      <c r="M1629" s="8" t="n">
        <v>1</v>
      </c>
      <c r="N1629" s="8" t="s">
        <v>148</v>
      </c>
      <c r="O1629" s="15" t="n">
        <f aca="false">H1629*12</f>
        <v>3312</v>
      </c>
      <c r="P1629" s="8" t="n">
        <f aca="false">MIN(100,ROUND(100*J1629/Assumptions!$B$8,0))</f>
        <v>82</v>
      </c>
      <c r="Q1629" s="8" t="n">
        <f aca="false">IF(L1629="",Assumptions!$B$9,L1629*10)</f>
        <v>70</v>
      </c>
      <c r="R1629" s="8" t="n">
        <f aca="false">IF(M1629&lt;=1,Assumptions!$B$12,IF(M1629&lt;=3,Assumptions!$B$13,IF(M1629&lt;=6,Assumptions!$B$14,Assumptions!$B$15)))</f>
        <v>100</v>
      </c>
      <c r="S1629" s="8" t="n">
        <f aca="false">IF(N1629="Completed On Time",Assumptions!$B$16,IF(N1629="Completed Late",Assumptions!$B$17,Assumptions!$B$18))</f>
        <v>60</v>
      </c>
      <c r="T1629" s="8" t="n">
        <f aca="false">IF(I1629=0,Assumptions!$B$20,IF(H1629&gt;I1629,Assumptions!$B$19,IF(H1629=I1629,Assumptions!$B$20,Assumptions!$B$21)))</f>
        <v>70</v>
      </c>
      <c r="U1629" s="8" t="n">
        <f aca="false">ROUND(P1629*Assumptions!$B$2+Q1629*Assumptions!$B$3+R1629*Assumptions!$B$4+S1629*Assumptions!$B$5+T1629*Assumptions!$B$6,0)</f>
        <v>78</v>
      </c>
      <c r="V1629" s="8" t="str">
        <f aca="false">IF(U1629&gt;=Assumptions!$B$10,"Healthy",IF(U1629&gt;=Assumptions!$B$11,"Needs Attention","High Risk"))</f>
        <v>Needs Attention</v>
      </c>
    </row>
    <row r="1630" customFormat="false" ht="15" hidden="false" customHeight="false" outlineLevel="0" collapsed="false">
      <c r="A1630" s="8" t="s">
        <v>3402</v>
      </c>
      <c r="B1630" s="8" t="s">
        <v>3403</v>
      </c>
      <c r="C1630" s="8" t="s">
        <v>51</v>
      </c>
      <c r="D1630" s="8" t="s">
        <v>2027</v>
      </c>
      <c r="E1630" s="8" t="s">
        <v>123</v>
      </c>
      <c r="F1630" s="8" t="s">
        <v>154</v>
      </c>
      <c r="G1630" s="8" t="s">
        <v>185</v>
      </c>
      <c r="H1630" s="15" t="n">
        <v>276</v>
      </c>
      <c r="I1630" s="15" t="n">
        <v>276</v>
      </c>
      <c r="J1630" s="16" t="n">
        <v>0.783</v>
      </c>
      <c r="K1630" s="8" t="n">
        <v>10</v>
      </c>
      <c r="L1630" s="8" t="n">
        <v>9</v>
      </c>
      <c r="M1630" s="8" t="n">
        <v>6</v>
      </c>
      <c r="N1630" s="8" t="s">
        <v>120</v>
      </c>
      <c r="O1630" s="15" t="n">
        <f aca="false">H1630*12</f>
        <v>3312</v>
      </c>
      <c r="P1630" s="8" t="n">
        <f aca="false">MIN(100,ROUND(100*J1630/Assumptions!$B$8,0))</f>
        <v>87</v>
      </c>
      <c r="Q1630" s="8" t="n">
        <f aca="false">IF(L1630="",Assumptions!$B$9,L1630*10)</f>
        <v>90</v>
      </c>
      <c r="R1630" s="8" t="n">
        <f aca="false">IF(M1630&lt;=1,Assumptions!$B$12,IF(M1630&lt;=3,Assumptions!$B$13,IF(M1630&lt;=6,Assumptions!$B$14,Assumptions!$B$15)))</f>
        <v>50</v>
      </c>
      <c r="S1630" s="8" t="n">
        <f aca="false">IF(N1630="Completed On Time",Assumptions!$B$16,IF(N1630="Completed Late",Assumptions!$B$17,Assumptions!$B$18))</f>
        <v>100</v>
      </c>
      <c r="T1630" s="8" t="n">
        <f aca="false">IF(I1630=0,Assumptions!$B$20,IF(H1630&gt;I1630,Assumptions!$B$19,IF(H1630=I1630,Assumptions!$B$20,Assumptions!$B$21)))</f>
        <v>70</v>
      </c>
      <c r="U1630" s="8" t="n">
        <f aca="false">ROUND(P1630*Assumptions!$B$2+Q1630*Assumptions!$B$3+R1630*Assumptions!$B$4+S1630*Assumptions!$B$5+T1630*Assumptions!$B$6,0)</f>
        <v>80</v>
      </c>
      <c r="V1630" s="8" t="str">
        <f aca="false">IF(U1630&gt;=Assumptions!$B$10,"Healthy",IF(U1630&gt;=Assumptions!$B$11,"Needs Attention","High Risk"))</f>
        <v>Healthy</v>
      </c>
    </row>
    <row r="1631" customFormat="false" ht="15" hidden="false" customHeight="false" outlineLevel="0" collapsed="false">
      <c r="A1631" s="8" t="s">
        <v>3404</v>
      </c>
      <c r="B1631" s="8" t="s">
        <v>3405</v>
      </c>
      <c r="C1631" s="8" t="s">
        <v>51</v>
      </c>
      <c r="D1631" s="8" t="s">
        <v>2027</v>
      </c>
      <c r="E1631" s="8" t="s">
        <v>132</v>
      </c>
      <c r="F1631" s="8" t="s">
        <v>133</v>
      </c>
      <c r="G1631" s="8" t="s">
        <v>159</v>
      </c>
      <c r="H1631" s="15" t="n">
        <v>276</v>
      </c>
      <c r="I1631" s="15" t="n">
        <v>276</v>
      </c>
      <c r="J1631" s="16" t="n">
        <v>0.841</v>
      </c>
      <c r="K1631" s="8" t="n">
        <v>7</v>
      </c>
      <c r="L1631" s="8" t="n">
        <v>9</v>
      </c>
      <c r="M1631" s="8" t="n">
        <v>3</v>
      </c>
      <c r="N1631" s="8" t="s">
        <v>120</v>
      </c>
      <c r="O1631" s="15" t="n">
        <f aca="false">H1631*12</f>
        <v>3312</v>
      </c>
      <c r="P1631" s="8" t="n">
        <f aca="false">MIN(100,ROUND(100*J1631/Assumptions!$B$8,0))</f>
        <v>93</v>
      </c>
      <c r="Q1631" s="8" t="n">
        <f aca="false">IF(L1631="",Assumptions!$B$9,L1631*10)</f>
        <v>90</v>
      </c>
      <c r="R1631" s="8" t="n">
        <f aca="false">IF(M1631&lt;=1,Assumptions!$B$12,IF(M1631&lt;=3,Assumptions!$B$13,IF(M1631&lt;=6,Assumptions!$B$14,Assumptions!$B$15)))</f>
        <v>75</v>
      </c>
      <c r="S1631" s="8" t="n">
        <f aca="false">IF(N1631="Completed On Time",Assumptions!$B$16,IF(N1631="Completed Late",Assumptions!$B$17,Assumptions!$B$18))</f>
        <v>100</v>
      </c>
      <c r="T1631" s="8" t="n">
        <f aca="false">IF(I1631=0,Assumptions!$B$20,IF(H1631&gt;I1631,Assumptions!$B$19,IF(H1631=I1631,Assumptions!$B$20,Assumptions!$B$21)))</f>
        <v>70</v>
      </c>
      <c r="U1631" s="8" t="n">
        <f aca="false">ROUND(P1631*Assumptions!$B$2+Q1631*Assumptions!$B$3+R1631*Assumptions!$B$4+S1631*Assumptions!$B$5+T1631*Assumptions!$B$6,0)</f>
        <v>86</v>
      </c>
      <c r="V1631" s="8" t="str">
        <f aca="false">IF(U1631&gt;=Assumptions!$B$10,"Healthy",IF(U1631&gt;=Assumptions!$B$11,"Needs Attention","High Risk"))</f>
        <v>Healthy</v>
      </c>
    </row>
    <row r="1632" customFormat="false" ht="15" hidden="false" customHeight="false" outlineLevel="0" collapsed="false">
      <c r="A1632" s="8" t="s">
        <v>3406</v>
      </c>
      <c r="B1632" s="8" t="s">
        <v>3407</v>
      </c>
      <c r="C1632" s="8" t="s">
        <v>51</v>
      </c>
      <c r="D1632" s="8" t="s">
        <v>2027</v>
      </c>
      <c r="E1632" s="8" t="s">
        <v>132</v>
      </c>
      <c r="F1632" s="8" t="s">
        <v>223</v>
      </c>
      <c r="G1632" s="8" t="s">
        <v>180</v>
      </c>
      <c r="H1632" s="15" t="n">
        <v>276</v>
      </c>
      <c r="I1632" s="15" t="n">
        <v>276</v>
      </c>
      <c r="J1632" s="16" t="n">
        <v>0.652</v>
      </c>
      <c r="K1632" s="8" t="n">
        <v>8</v>
      </c>
      <c r="L1632" s="8" t="n">
        <v>6</v>
      </c>
      <c r="M1632" s="8" t="n">
        <v>5</v>
      </c>
      <c r="N1632" s="8" t="s">
        <v>120</v>
      </c>
      <c r="O1632" s="15" t="n">
        <f aca="false">H1632*12</f>
        <v>3312</v>
      </c>
      <c r="P1632" s="8" t="n">
        <f aca="false">MIN(100,ROUND(100*J1632/Assumptions!$B$8,0))</f>
        <v>72</v>
      </c>
      <c r="Q1632" s="8" t="n">
        <f aca="false">IF(L1632="",Assumptions!$B$9,L1632*10)</f>
        <v>60</v>
      </c>
      <c r="R1632" s="8" t="n">
        <f aca="false">IF(M1632&lt;=1,Assumptions!$B$12,IF(M1632&lt;=3,Assumptions!$B$13,IF(M1632&lt;=6,Assumptions!$B$14,Assumptions!$B$15)))</f>
        <v>50</v>
      </c>
      <c r="S1632" s="8" t="n">
        <f aca="false">IF(N1632="Completed On Time",Assumptions!$B$16,IF(N1632="Completed Late",Assumptions!$B$17,Assumptions!$B$18))</f>
        <v>100</v>
      </c>
      <c r="T1632" s="8" t="n">
        <f aca="false">IF(I1632=0,Assumptions!$B$20,IF(H1632&gt;I1632,Assumptions!$B$19,IF(H1632=I1632,Assumptions!$B$20,Assumptions!$B$21)))</f>
        <v>70</v>
      </c>
      <c r="U1632" s="8" t="n">
        <f aca="false">ROUND(P1632*Assumptions!$B$2+Q1632*Assumptions!$B$3+R1632*Assumptions!$B$4+S1632*Assumptions!$B$5+T1632*Assumptions!$B$6,0)</f>
        <v>69</v>
      </c>
      <c r="V1632" s="8" t="str">
        <f aca="false">IF(U1632&gt;=Assumptions!$B$10,"Healthy",IF(U1632&gt;=Assumptions!$B$11,"Needs Attention","High Risk"))</f>
        <v>Needs Attention</v>
      </c>
    </row>
    <row r="1633" customFormat="false" ht="15" hidden="false" customHeight="false" outlineLevel="0" collapsed="false">
      <c r="A1633" s="8" t="s">
        <v>3408</v>
      </c>
      <c r="B1633" s="8" t="s">
        <v>3409</v>
      </c>
      <c r="C1633" s="8" t="s">
        <v>51</v>
      </c>
      <c r="D1633" s="8" t="s">
        <v>2027</v>
      </c>
      <c r="E1633" s="8" t="s">
        <v>123</v>
      </c>
      <c r="F1633" s="8" t="s">
        <v>136</v>
      </c>
      <c r="G1633" s="8" t="s">
        <v>144</v>
      </c>
      <c r="H1633" s="15" t="n">
        <v>276</v>
      </c>
      <c r="I1633" s="15" t="n">
        <v>276</v>
      </c>
      <c r="J1633" s="16" t="n">
        <v>0.652</v>
      </c>
      <c r="K1633" s="8" t="n">
        <v>7.3</v>
      </c>
      <c r="L1633" s="8" t="n">
        <v>7</v>
      </c>
      <c r="M1633" s="8" t="n">
        <v>6</v>
      </c>
      <c r="N1633" s="8" t="s">
        <v>120</v>
      </c>
      <c r="O1633" s="15" t="n">
        <f aca="false">H1633*12</f>
        <v>3312</v>
      </c>
      <c r="P1633" s="8" t="n">
        <f aca="false">MIN(100,ROUND(100*J1633/Assumptions!$B$8,0))</f>
        <v>72</v>
      </c>
      <c r="Q1633" s="8" t="n">
        <f aca="false">IF(L1633="",Assumptions!$B$9,L1633*10)</f>
        <v>70</v>
      </c>
      <c r="R1633" s="8" t="n">
        <f aca="false">IF(M1633&lt;=1,Assumptions!$B$12,IF(M1633&lt;=3,Assumptions!$B$13,IF(M1633&lt;=6,Assumptions!$B$14,Assumptions!$B$15)))</f>
        <v>50</v>
      </c>
      <c r="S1633" s="8" t="n">
        <f aca="false">IF(N1633="Completed On Time",Assumptions!$B$16,IF(N1633="Completed Late",Assumptions!$B$17,Assumptions!$B$18))</f>
        <v>100</v>
      </c>
      <c r="T1633" s="8" t="n">
        <f aca="false">IF(I1633=0,Assumptions!$B$20,IF(H1633&gt;I1633,Assumptions!$B$19,IF(H1633=I1633,Assumptions!$B$20,Assumptions!$B$21)))</f>
        <v>70</v>
      </c>
      <c r="U1633" s="8" t="n">
        <f aca="false">ROUND(P1633*Assumptions!$B$2+Q1633*Assumptions!$B$3+R1633*Assumptions!$B$4+S1633*Assumptions!$B$5+T1633*Assumptions!$B$6,0)</f>
        <v>71</v>
      </c>
      <c r="V1633" s="8" t="str">
        <f aca="false">IF(U1633&gt;=Assumptions!$B$10,"Healthy",IF(U1633&gt;=Assumptions!$B$11,"Needs Attention","High Risk"))</f>
        <v>Needs Attention</v>
      </c>
    </row>
    <row r="1634" customFormat="false" ht="15" hidden="false" customHeight="false" outlineLevel="0" collapsed="false">
      <c r="A1634" s="8" t="s">
        <v>3410</v>
      </c>
      <c r="B1634" s="8" t="s">
        <v>3411</v>
      </c>
      <c r="C1634" s="8" t="s">
        <v>51</v>
      </c>
      <c r="D1634" s="8" t="s">
        <v>2027</v>
      </c>
      <c r="E1634" s="8" t="s">
        <v>123</v>
      </c>
      <c r="F1634" s="8" t="s">
        <v>166</v>
      </c>
      <c r="G1634" s="8" t="s">
        <v>129</v>
      </c>
      <c r="H1634" s="15" t="n">
        <v>276</v>
      </c>
      <c r="I1634" s="15" t="n">
        <v>276</v>
      </c>
      <c r="J1634" s="16" t="n">
        <v>0.768</v>
      </c>
      <c r="K1634" s="8" t="n">
        <v>10</v>
      </c>
      <c r="L1634" s="8" t="n">
        <v>7</v>
      </c>
      <c r="M1634" s="8" t="n">
        <v>2</v>
      </c>
      <c r="N1634" s="8" t="s">
        <v>120</v>
      </c>
      <c r="O1634" s="15" t="n">
        <f aca="false">H1634*12</f>
        <v>3312</v>
      </c>
      <c r="P1634" s="8" t="n">
        <f aca="false">MIN(100,ROUND(100*J1634/Assumptions!$B$8,0))</f>
        <v>85</v>
      </c>
      <c r="Q1634" s="8" t="n">
        <f aca="false">IF(L1634="",Assumptions!$B$9,L1634*10)</f>
        <v>70</v>
      </c>
      <c r="R1634" s="8" t="n">
        <f aca="false">IF(M1634&lt;=1,Assumptions!$B$12,IF(M1634&lt;=3,Assumptions!$B$13,IF(M1634&lt;=6,Assumptions!$B$14,Assumptions!$B$15)))</f>
        <v>75</v>
      </c>
      <c r="S1634" s="8" t="n">
        <f aca="false">IF(N1634="Completed On Time",Assumptions!$B$16,IF(N1634="Completed Late",Assumptions!$B$17,Assumptions!$B$18))</f>
        <v>100</v>
      </c>
      <c r="T1634" s="8" t="n">
        <f aca="false">IF(I1634=0,Assumptions!$B$20,IF(H1634&gt;I1634,Assumptions!$B$19,IF(H1634=I1634,Assumptions!$B$20,Assumptions!$B$21)))</f>
        <v>70</v>
      </c>
      <c r="U1634" s="8" t="n">
        <f aca="false">ROUND(P1634*Assumptions!$B$2+Q1634*Assumptions!$B$3+R1634*Assumptions!$B$4+S1634*Assumptions!$B$5+T1634*Assumptions!$B$6,0)</f>
        <v>79</v>
      </c>
      <c r="V1634" s="8" t="str">
        <f aca="false">IF(U1634&gt;=Assumptions!$B$10,"Healthy",IF(U1634&gt;=Assumptions!$B$11,"Needs Attention","High Risk"))</f>
        <v>Needs Attention</v>
      </c>
    </row>
    <row r="1635" customFormat="false" ht="15" hidden="false" customHeight="false" outlineLevel="0" collapsed="false">
      <c r="A1635" s="8" t="s">
        <v>3412</v>
      </c>
      <c r="B1635" s="8" t="s">
        <v>3413</v>
      </c>
      <c r="C1635" s="8" t="s">
        <v>51</v>
      </c>
      <c r="D1635" s="8" t="s">
        <v>2027</v>
      </c>
      <c r="E1635" s="8" t="s">
        <v>132</v>
      </c>
      <c r="F1635" s="8" t="s">
        <v>151</v>
      </c>
      <c r="G1635" s="8" t="s">
        <v>140</v>
      </c>
      <c r="H1635" s="15" t="n">
        <v>276</v>
      </c>
      <c r="I1635" s="15" t="n">
        <v>324</v>
      </c>
      <c r="J1635" s="16" t="n">
        <v>0.836</v>
      </c>
      <c r="K1635" s="8" t="n">
        <v>9</v>
      </c>
      <c r="L1635" s="8" t="n">
        <v>10</v>
      </c>
      <c r="M1635" s="8" t="n">
        <v>2</v>
      </c>
      <c r="N1635" s="8" t="s">
        <v>120</v>
      </c>
      <c r="O1635" s="15" t="n">
        <f aca="false">H1635*12</f>
        <v>3312</v>
      </c>
      <c r="P1635" s="8" t="n">
        <f aca="false">MIN(100,ROUND(100*J1635/Assumptions!$B$8,0))</f>
        <v>93</v>
      </c>
      <c r="Q1635" s="8" t="n">
        <f aca="false">IF(L1635="",Assumptions!$B$9,L1635*10)</f>
        <v>100</v>
      </c>
      <c r="R1635" s="8" t="n">
        <f aca="false">IF(M1635&lt;=1,Assumptions!$B$12,IF(M1635&lt;=3,Assumptions!$B$13,IF(M1635&lt;=6,Assumptions!$B$14,Assumptions!$B$15)))</f>
        <v>75</v>
      </c>
      <c r="S1635" s="8" t="n">
        <f aca="false">IF(N1635="Completed On Time",Assumptions!$B$16,IF(N1635="Completed Late",Assumptions!$B$17,Assumptions!$B$18))</f>
        <v>100</v>
      </c>
      <c r="T1635" s="8" t="n">
        <f aca="false">IF(I1635=0,Assumptions!$B$20,IF(H1635&gt;I1635,Assumptions!$B$19,IF(H1635=I1635,Assumptions!$B$20,Assumptions!$B$21)))</f>
        <v>30</v>
      </c>
      <c r="U1635" s="8" t="n">
        <f aca="false">ROUND(P1635*Assumptions!$B$2+Q1635*Assumptions!$B$3+R1635*Assumptions!$B$4+S1635*Assumptions!$B$5+T1635*Assumptions!$B$6,0)</f>
        <v>80</v>
      </c>
      <c r="V1635" s="8" t="str">
        <f aca="false">IF(U1635&gt;=Assumptions!$B$10,"Healthy",IF(U1635&gt;=Assumptions!$B$11,"Needs Attention","High Risk"))</f>
        <v>Healthy</v>
      </c>
    </row>
    <row r="1636" customFormat="false" ht="15" hidden="false" customHeight="false" outlineLevel="0" collapsed="false">
      <c r="A1636" s="8" t="s">
        <v>3414</v>
      </c>
      <c r="B1636" s="8" t="s">
        <v>3415</v>
      </c>
      <c r="C1636" s="8" t="s">
        <v>51</v>
      </c>
      <c r="D1636" s="8" t="s">
        <v>2027</v>
      </c>
      <c r="E1636" s="8" t="s">
        <v>132</v>
      </c>
      <c r="F1636" s="8" t="s">
        <v>223</v>
      </c>
      <c r="G1636" s="8" t="s">
        <v>177</v>
      </c>
      <c r="H1636" s="15" t="n">
        <v>276</v>
      </c>
      <c r="I1636" s="15" t="n">
        <v>276</v>
      </c>
      <c r="J1636" s="16" t="n">
        <v>0.522</v>
      </c>
      <c r="K1636" s="8" t="n">
        <v>7.3</v>
      </c>
      <c r="L1636" s="8" t="n">
        <v>8</v>
      </c>
      <c r="M1636" s="8" t="n">
        <v>2</v>
      </c>
      <c r="N1636" s="8" t="s">
        <v>120</v>
      </c>
      <c r="O1636" s="15" t="n">
        <f aca="false">H1636*12</f>
        <v>3312</v>
      </c>
      <c r="P1636" s="8" t="n">
        <f aca="false">MIN(100,ROUND(100*J1636/Assumptions!$B$8,0))</f>
        <v>58</v>
      </c>
      <c r="Q1636" s="8" t="n">
        <f aca="false">IF(L1636="",Assumptions!$B$9,L1636*10)</f>
        <v>80</v>
      </c>
      <c r="R1636" s="8" t="n">
        <f aca="false">IF(M1636&lt;=1,Assumptions!$B$12,IF(M1636&lt;=3,Assumptions!$B$13,IF(M1636&lt;=6,Assumptions!$B$14,Assumptions!$B$15)))</f>
        <v>75</v>
      </c>
      <c r="S1636" s="8" t="n">
        <f aca="false">IF(N1636="Completed On Time",Assumptions!$B$16,IF(N1636="Completed Late",Assumptions!$B$17,Assumptions!$B$18))</f>
        <v>100</v>
      </c>
      <c r="T1636" s="8" t="n">
        <f aca="false">IF(I1636=0,Assumptions!$B$20,IF(H1636&gt;I1636,Assumptions!$B$19,IF(H1636=I1636,Assumptions!$B$20,Assumptions!$B$21)))</f>
        <v>70</v>
      </c>
      <c r="U1636" s="8" t="n">
        <f aca="false">ROUND(P1636*Assumptions!$B$2+Q1636*Assumptions!$B$3+R1636*Assumptions!$B$4+S1636*Assumptions!$B$5+T1636*Assumptions!$B$6,0)</f>
        <v>72</v>
      </c>
      <c r="V1636" s="8" t="str">
        <f aca="false">IF(U1636&gt;=Assumptions!$B$10,"Healthy",IF(U1636&gt;=Assumptions!$B$11,"Needs Attention","High Risk"))</f>
        <v>Needs Attention</v>
      </c>
    </row>
    <row r="1637" customFormat="false" ht="15" hidden="false" customHeight="false" outlineLevel="0" collapsed="false">
      <c r="A1637" s="8" t="s">
        <v>3416</v>
      </c>
      <c r="B1637" s="8" t="s">
        <v>3417</v>
      </c>
      <c r="C1637" s="8" t="s">
        <v>51</v>
      </c>
      <c r="D1637" s="8" t="s">
        <v>2027</v>
      </c>
      <c r="E1637" s="8" t="s">
        <v>117</v>
      </c>
      <c r="F1637" s="8" t="s">
        <v>151</v>
      </c>
      <c r="G1637" s="8" t="s">
        <v>185</v>
      </c>
      <c r="H1637" s="15" t="n">
        <v>276</v>
      </c>
      <c r="I1637" s="15" t="n">
        <v>276</v>
      </c>
      <c r="J1637" s="16" t="n">
        <v>0.638</v>
      </c>
      <c r="K1637" s="8" t="n">
        <v>7</v>
      </c>
      <c r="L1637" s="8" t="n">
        <v>6</v>
      </c>
      <c r="M1637" s="8" t="n">
        <v>2</v>
      </c>
      <c r="N1637" s="8" t="s">
        <v>120</v>
      </c>
      <c r="O1637" s="15" t="n">
        <f aca="false">H1637*12</f>
        <v>3312</v>
      </c>
      <c r="P1637" s="8" t="n">
        <f aca="false">MIN(100,ROUND(100*J1637/Assumptions!$B$8,0))</f>
        <v>71</v>
      </c>
      <c r="Q1637" s="8" t="n">
        <f aca="false">IF(L1637="",Assumptions!$B$9,L1637*10)</f>
        <v>60</v>
      </c>
      <c r="R1637" s="8" t="n">
        <f aca="false">IF(M1637&lt;=1,Assumptions!$B$12,IF(M1637&lt;=3,Assumptions!$B$13,IF(M1637&lt;=6,Assumptions!$B$14,Assumptions!$B$15)))</f>
        <v>75</v>
      </c>
      <c r="S1637" s="8" t="n">
        <f aca="false">IF(N1637="Completed On Time",Assumptions!$B$16,IF(N1637="Completed Late",Assumptions!$B$17,Assumptions!$B$18))</f>
        <v>100</v>
      </c>
      <c r="T1637" s="8" t="n">
        <f aca="false">IF(I1637=0,Assumptions!$B$20,IF(H1637&gt;I1637,Assumptions!$B$19,IF(H1637=I1637,Assumptions!$B$20,Assumptions!$B$21)))</f>
        <v>70</v>
      </c>
      <c r="U1637" s="8" t="n">
        <f aca="false">ROUND(P1637*Assumptions!$B$2+Q1637*Assumptions!$B$3+R1637*Assumptions!$B$4+S1637*Assumptions!$B$5+T1637*Assumptions!$B$6,0)</f>
        <v>72</v>
      </c>
      <c r="V1637" s="8" t="str">
        <f aca="false">IF(U1637&gt;=Assumptions!$B$10,"Healthy",IF(U1637&gt;=Assumptions!$B$11,"Needs Attention","High Risk"))</f>
        <v>Needs Attention</v>
      </c>
    </row>
    <row r="1638" customFormat="false" ht="15" hidden="false" customHeight="false" outlineLevel="0" collapsed="false">
      <c r="A1638" s="8" t="s">
        <v>3418</v>
      </c>
      <c r="B1638" s="8" t="s">
        <v>3419</v>
      </c>
      <c r="C1638" s="8" t="s">
        <v>51</v>
      </c>
      <c r="D1638" s="8" t="s">
        <v>2027</v>
      </c>
      <c r="E1638" s="8" t="s">
        <v>132</v>
      </c>
      <c r="F1638" s="8" t="s">
        <v>136</v>
      </c>
      <c r="G1638" s="8" t="s">
        <v>140</v>
      </c>
      <c r="H1638" s="15" t="n">
        <v>276</v>
      </c>
      <c r="I1638" s="15" t="n">
        <v>276</v>
      </c>
      <c r="J1638" s="16" t="n">
        <v>0.551</v>
      </c>
      <c r="K1638" s="8" t="n">
        <v>5</v>
      </c>
      <c r="L1638" s="8" t="n">
        <v>7</v>
      </c>
      <c r="M1638" s="8" t="n">
        <v>3</v>
      </c>
      <c r="N1638" s="8" t="s">
        <v>120</v>
      </c>
      <c r="O1638" s="15" t="n">
        <f aca="false">H1638*12</f>
        <v>3312</v>
      </c>
      <c r="P1638" s="8" t="n">
        <f aca="false">MIN(100,ROUND(100*J1638/Assumptions!$B$8,0))</f>
        <v>61</v>
      </c>
      <c r="Q1638" s="8" t="n">
        <f aca="false">IF(L1638="",Assumptions!$B$9,L1638*10)</f>
        <v>70</v>
      </c>
      <c r="R1638" s="8" t="n">
        <f aca="false">IF(M1638&lt;=1,Assumptions!$B$12,IF(M1638&lt;=3,Assumptions!$B$13,IF(M1638&lt;=6,Assumptions!$B$14,Assumptions!$B$15)))</f>
        <v>75</v>
      </c>
      <c r="S1638" s="8" t="n">
        <f aca="false">IF(N1638="Completed On Time",Assumptions!$B$16,IF(N1638="Completed Late",Assumptions!$B$17,Assumptions!$B$18))</f>
        <v>100</v>
      </c>
      <c r="T1638" s="8" t="n">
        <f aca="false">IF(I1638=0,Assumptions!$B$20,IF(H1638&gt;I1638,Assumptions!$B$19,IF(H1638=I1638,Assumptions!$B$20,Assumptions!$B$21)))</f>
        <v>70</v>
      </c>
      <c r="U1638" s="8" t="n">
        <f aca="false">ROUND(P1638*Assumptions!$B$2+Q1638*Assumptions!$B$3+R1638*Assumptions!$B$4+S1638*Assumptions!$B$5+T1638*Assumptions!$B$6,0)</f>
        <v>71</v>
      </c>
      <c r="V1638" s="8" t="str">
        <f aca="false">IF(U1638&gt;=Assumptions!$B$10,"Healthy",IF(U1638&gt;=Assumptions!$B$11,"Needs Attention","High Risk"))</f>
        <v>Needs Attention</v>
      </c>
    </row>
    <row r="1639" customFormat="false" ht="15" hidden="false" customHeight="false" outlineLevel="0" collapsed="false">
      <c r="A1639" s="8" t="s">
        <v>3420</v>
      </c>
      <c r="B1639" s="8" t="s">
        <v>3421</v>
      </c>
      <c r="C1639" s="8" t="s">
        <v>51</v>
      </c>
      <c r="D1639" s="8" t="s">
        <v>2027</v>
      </c>
      <c r="E1639" s="8" t="s">
        <v>132</v>
      </c>
      <c r="F1639" s="8" t="s">
        <v>223</v>
      </c>
      <c r="G1639" s="8" t="s">
        <v>147</v>
      </c>
      <c r="H1639" s="15" t="n">
        <v>276</v>
      </c>
      <c r="I1639" s="15" t="n">
        <v>276</v>
      </c>
      <c r="J1639" s="16" t="n">
        <v>0.739</v>
      </c>
      <c r="K1639" s="8" t="n">
        <v>8.7</v>
      </c>
      <c r="L1639" s="8" t="n">
        <v>8</v>
      </c>
      <c r="M1639" s="8" t="n">
        <v>4</v>
      </c>
      <c r="N1639" s="8" t="s">
        <v>120</v>
      </c>
      <c r="O1639" s="15" t="n">
        <f aca="false">H1639*12</f>
        <v>3312</v>
      </c>
      <c r="P1639" s="8" t="n">
        <f aca="false">MIN(100,ROUND(100*J1639/Assumptions!$B$8,0))</f>
        <v>82</v>
      </c>
      <c r="Q1639" s="8" t="n">
        <f aca="false">IF(L1639="",Assumptions!$B$9,L1639*10)</f>
        <v>80</v>
      </c>
      <c r="R1639" s="8" t="n">
        <f aca="false">IF(M1639&lt;=1,Assumptions!$B$12,IF(M1639&lt;=3,Assumptions!$B$13,IF(M1639&lt;=6,Assumptions!$B$14,Assumptions!$B$15)))</f>
        <v>50</v>
      </c>
      <c r="S1639" s="8" t="n">
        <f aca="false">IF(N1639="Completed On Time",Assumptions!$B$16,IF(N1639="Completed Late",Assumptions!$B$17,Assumptions!$B$18))</f>
        <v>100</v>
      </c>
      <c r="T1639" s="8" t="n">
        <f aca="false">IF(I1639=0,Assumptions!$B$20,IF(H1639&gt;I1639,Assumptions!$B$19,IF(H1639=I1639,Assumptions!$B$20,Assumptions!$B$21)))</f>
        <v>70</v>
      </c>
      <c r="U1639" s="8" t="n">
        <f aca="false">ROUND(P1639*Assumptions!$B$2+Q1639*Assumptions!$B$3+R1639*Assumptions!$B$4+S1639*Assumptions!$B$5+T1639*Assumptions!$B$6,0)</f>
        <v>76</v>
      </c>
      <c r="V1639" s="8" t="str">
        <f aca="false">IF(U1639&gt;=Assumptions!$B$10,"Healthy",IF(U1639&gt;=Assumptions!$B$11,"Needs Attention","High Risk"))</f>
        <v>Needs Attention</v>
      </c>
    </row>
    <row r="1640" customFormat="false" ht="15" hidden="false" customHeight="false" outlineLevel="0" collapsed="false">
      <c r="A1640" s="8" t="s">
        <v>3422</v>
      </c>
      <c r="B1640" s="8" t="s">
        <v>3423</v>
      </c>
      <c r="C1640" s="8" t="s">
        <v>51</v>
      </c>
      <c r="D1640" s="8" t="s">
        <v>2027</v>
      </c>
      <c r="E1640" s="8" t="s">
        <v>123</v>
      </c>
      <c r="F1640" s="8" t="s">
        <v>118</v>
      </c>
      <c r="G1640" s="8" t="s">
        <v>185</v>
      </c>
      <c r="H1640" s="15" t="n">
        <v>276</v>
      </c>
      <c r="I1640" s="15" t="n">
        <v>276</v>
      </c>
      <c r="J1640" s="16" t="n">
        <v>0.652</v>
      </c>
      <c r="K1640" s="8" t="n">
        <v>6.3</v>
      </c>
      <c r="L1640" s="8" t="n">
        <v>8</v>
      </c>
      <c r="M1640" s="8" t="n">
        <v>2</v>
      </c>
      <c r="N1640" s="8" t="s">
        <v>148</v>
      </c>
      <c r="O1640" s="15" t="n">
        <f aca="false">H1640*12</f>
        <v>3312</v>
      </c>
      <c r="P1640" s="8" t="n">
        <f aca="false">MIN(100,ROUND(100*J1640/Assumptions!$B$8,0))</f>
        <v>72</v>
      </c>
      <c r="Q1640" s="8" t="n">
        <f aca="false">IF(L1640="",Assumptions!$B$9,L1640*10)</f>
        <v>80</v>
      </c>
      <c r="R1640" s="8" t="n">
        <f aca="false">IF(M1640&lt;=1,Assumptions!$B$12,IF(M1640&lt;=3,Assumptions!$B$13,IF(M1640&lt;=6,Assumptions!$B$14,Assumptions!$B$15)))</f>
        <v>75</v>
      </c>
      <c r="S1640" s="8" t="n">
        <f aca="false">IF(N1640="Completed On Time",Assumptions!$B$16,IF(N1640="Completed Late",Assumptions!$B$17,Assumptions!$B$18))</f>
        <v>60</v>
      </c>
      <c r="T1640" s="8" t="n">
        <f aca="false">IF(I1640=0,Assumptions!$B$20,IF(H1640&gt;I1640,Assumptions!$B$19,IF(H1640=I1640,Assumptions!$B$20,Assumptions!$B$21)))</f>
        <v>70</v>
      </c>
      <c r="U1640" s="8" t="n">
        <f aca="false">ROUND(P1640*Assumptions!$B$2+Q1640*Assumptions!$B$3+R1640*Assumptions!$B$4+S1640*Assumptions!$B$5+T1640*Assumptions!$B$6,0)</f>
        <v>72</v>
      </c>
      <c r="V1640" s="8" t="str">
        <f aca="false">IF(U1640&gt;=Assumptions!$B$10,"Healthy",IF(U1640&gt;=Assumptions!$B$11,"Needs Attention","High Risk"))</f>
        <v>Needs Attention</v>
      </c>
    </row>
    <row r="1641" customFormat="false" ht="15" hidden="false" customHeight="false" outlineLevel="0" collapsed="false">
      <c r="A1641" s="8" t="s">
        <v>3424</v>
      </c>
      <c r="B1641" s="8" t="s">
        <v>3425</v>
      </c>
      <c r="C1641" s="8" t="s">
        <v>51</v>
      </c>
      <c r="D1641" s="8" t="s">
        <v>2027</v>
      </c>
      <c r="E1641" s="8" t="s">
        <v>123</v>
      </c>
      <c r="F1641" s="8" t="s">
        <v>133</v>
      </c>
      <c r="G1641" s="8" t="s">
        <v>144</v>
      </c>
      <c r="H1641" s="15" t="n">
        <v>276</v>
      </c>
      <c r="I1641" s="15" t="n">
        <v>276</v>
      </c>
      <c r="J1641" s="16" t="n">
        <v>0.739</v>
      </c>
      <c r="K1641" s="8" t="n">
        <v>10.3</v>
      </c>
      <c r="L1641" s="8" t="n">
        <v>8</v>
      </c>
      <c r="M1641" s="8" t="n">
        <v>2</v>
      </c>
      <c r="N1641" s="8" t="s">
        <v>120</v>
      </c>
      <c r="O1641" s="15" t="n">
        <f aca="false">H1641*12</f>
        <v>3312</v>
      </c>
      <c r="P1641" s="8" t="n">
        <f aca="false">MIN(100,ROUND(100*J1641/Assumptions!$B$8,0))</f>
        <v>82</v>
      </c>
      <c r="Q1641" s="8" t="n">
        <f aca="false">IF(L1641="",Assumptions!$B$9,L1641*10)</f>
        <v>80</v>
      </c>
      <c r="R1641" s="8" t="n">
        <f aca="false">IF(M1641&lt;=1,Assumptions!$B$12,IF(M1641&lt;=3,Assumptions!$B$13,IF(M1641&lt;=6,Assumptions!$B$14,Assumptions!$B$15)))</f>
        <v>75</v>
      </c>
      <c r="S1641" s="8" t="n">
        <f aca="false">IF(N1641="Completed On Time",Assumptions!$B$16,IF(N1641="Completed Late",Assumptions!$B$17,Assumptions!$B$18))</f>
        <v>100</v>
      </c>
      <c r="T1641" s="8" t="n">
        <f aca="false">IF(I1641=0,Assumptions!$B$20,IF(H1641&gt;I1641,Assumptions!$B$19,IF(H1641=I1641,Assumptions!$B$20,Assumptions!$B$21)))</f>
        <v>70</v>
      </c>
      <c r="U1641" s="8" t="n">
        <f aca="false">ROUND(P1641*Assumptions!$B$2+Q1641*Assumptions!$B$3+R1641*Assumptions!$B$4+S1641*Assumptions!$B$5+T1641*Assumptions!$B$6,0)</f>
        <v>80</v>
      </c>
      <c r="V1641" s="8" t="str">
        <f aca="false">IF(U1641&gt;=Assumptions!$B$10,"Healthy",IF(U1641&gt;=Assumptions!$B$11,"Needs Attention","High Risk"))</f>
        <v>Healthy</v>
      </c>
    </row>
    <row r="1642" customFormat="false" ht="15" hidden="false" customHeight="false" outlineLevel="0" collapsed="false">
      <c r="A1642" s="8" t="s">
        <v>3426</v>
      </c>
      <c r="B1642" s="8" t="s">
        <v>3427</v>
      </c>
      <c r="C1642" s="8" t="s">
        <v>51</v>
      </c>
      <c r="D1642" s="8" t="s">
        <v>2027</v>
      </c>
      <c r="E1642" s="8" t="s">
        <v>132</v>
      </c>
      <c r="F1642" s="8" t="s">
        <v>223</v>
      </c>
      <c r="G1642" s="8" t="s">
        <v>129</v>
      </c>
      <c r="H1642" s="15" t="n">
        <v>276</v>
      </c>
      <c r="I1642" s="15" t="n">
        <v>276</v>
      </c>
      <c r="J1642" s="16" t="n">
        <v>0.594</v>
      </c>
      <c r="K1642" s="8" t="n">
        <v>6.3</v>
      </c>
      <c r="L1642" s="8" t="n">
        <v>6</v>
      </c>
      <c r="M1642" s="8" t="n">
        <v>7</v>
      </c>
      <c r="N1642" s="8" t="s">
        <v>120</v>
      </c>
      <c r="O1642" s="15" t="n">
        <f aca="false">H1642*12</f>
        <v>3312</v>
      </c>
      <c r="P1642" s="8" t="n">
        <f aca="false">MIN(100,ROUND(100*J1642/Assumptions!$B$8,0))</f>
        <v>66</v>
      </c>
      <c r="Q1642" s="8" t="n">
        <f aca="false">IF(L1642="",Assumptions!$B$9,L1642*10)</f>
        <v>60</v>
      </c>
      <c r="R1642" s="8" t="n">
        <f aca="false">IF(M1642&lt;=1,Assumptions!$B$12,IF(M1642&lt;=3,Assumptions!$B$13,IF(M1642&lt;=6,Assumptions!$B$14,Assumptions!$B$15)))</f>
        <v>20</v>
      </c>
      <c r="S1642" s="8" t="n">
        <f aca="false">IF(N1642="Completed On Time",Assumptions!$B$16,IF(N1642="Completed Late",Assumptions!$B$17,Assumptions!$B$18))</f>
        <v>100</v>
      </c>
      <c r="T1642" s="8" t="n">
        <f aca="false">IF(I1642=0,Assumptions!$B$20,IF(H1642&gt;I1642,Assumptions!$B$19,IF(H1642=I1642,Assumptions!$B$20,Assumptions!$B$21)))</f>
        <v>70</v>
      </c>
      <c r="U1642" s="8" t="n">
        <f aca="false">ROUND(P1642*Assumptions!$B$2+Q1642*Assumptions!$B$3+R1642*Assumptions!$B$4+S1642*Assumptions!$B$5+T1642*Assumptions!$B$6,0)</f>
        <v>62</v>
      </c>
      <c r="V1642" s="8" t="str">
        <f aca="false">IF(U1642&gt;=Assumptions!$B$10,"Healthy",IF(U1642&gt;=Assumptions!$B$11,"Needs Attention","High Risk"))</f>
        <v>High Risk</v>
      </c>
    </row>
    <row r="1643" customFormat="false" ht="15" hidden="false" customHeight="false" outlineLevel="0" collapsed="false">
      <c r="A1643" s="8" t="s">
        <v>3428</v>
      </c>
      <c r="B1643" s="8" t="s">
        <v>3429</v>
      </c>
      <c r="C1643" s="8" t="s">
        <v>51</v>
      </c>
      <c r="D1643" s="8" t="s">
        <v>2027</v>
      </c>
      <c r="E1643" s="8" t="s">
        <v>123</v>
      </c>
      <c r="F1643" s="8" t="s">
        <v>154</v>
      </c>
      <c r="G1643" s="8" t="s">
        <v>125</v>
      </c>
      <c r="H1643" s="15" t="n">
        <v>276</v>
      </c>
      <c r="I1643" s="15" t="n">
        <v>276</v>
      </c>
      <c r="J1643" s="16" t="n">
        <v>0.71</v>
      </c>
      <c r="K1643" s="8" t="n">
        <v>10.3</v>
      </c>
      <c r="L1643" s="8" t="n">
        <v>9</v>
      </c>
      <c r="M1643" s="8" t="n">
        <v>1</v>
      </c>
      <c r="N1643" s="8" t="s">
        <v>120</v>
      </c>
      <c r="O1643" s="15" t="n">
        <f aca="false">H1643*12</f>
        <v>3312</v>
      </c>
      <c r="P1643" s="8" t="n">
        <f aca="false">MIN(100,ROUND(100*J1643/Assumptions!$B$8,0))</f>
        <v>79</v>
      </c>
      <c r="Q1643" s="8" t="n">
        <f aca="false">IF(L1643="",Assumptions!$B$9,L1643*10)</f>
        <v>90</v>
      </c>
      <c r="R1643" s="8" t="n">
        <f aca="false">IF(M1643&lt;=1,Assumptions!$B$12,IF(M1643&lt;=3,Assumptions!$B$13,IF(M1643&lt;=6,Assumptions!$B$14,Assumptions!$B$15)))</f>
        <v>100</v>
      </c>
      <c r="S1643" s="8" t="n">
        <f aca="false">IF(N1643="Completed On Time",Assumptions!$B$16,IF(N1643="Completed Late",Assumptions!$B$17,Assumptions!$B$18))</f>
        <v>100</v>
      </c>
      <c r="T1643" s="8" t="n">
        <f aca="false">IF(I1643=0,Assumptions!$B$20,IF(H1643&gt;I1643,Assumptions!$B$19,IF(H1643=I1643,Assumptions!$B$20,Assumptions!$B$21)))</f>
        <v>70</v>
      </c>
      <c r="U1643" s="8" t="n">
        <f aca="false">ROUND(P1643*Assumptions!$B$2+Q1643*Assumptions!$B$3+R1643*Assumptions!$B$4+S1643*Assumptions!$B$5+T1643*Assumptions!$B$6,0)</f>
        <v>85</v>
      </c>
      <c r="V1643" s="8" t="str">
        <f aca="false">IF(U1643&gt;=Assumptions!$B$10,"Healthy",IF(U1643&gt;=Assumptions!$B$11,"Needs Attention","High Risk"))</f>
        <v>Healthy</v>
      </c>
    </row>
    <row r="1644" customFormat="false" ht="15" hidden="false" customHeight="false" outlineLevel="0" collapsed="false">
      <c r="A1644" s="8" t="s">
        <v>3430</v>
      </c>
      <c r="B1644" s="8" t="s">
        <v>3431</v>
      </c>
      <c r="C1644" s="8" t="s">
        <v>51</v>
      </c>
      <c r="D1644" s="8" t="s">
        <v>2027</v>
      </c>
      <c r="E1644" s="8" t="s">
        <v>123</v>
      </c>
      <c r="F1644" s="8" t="s">
        <v>118</v>
      </c>
      <c r="G1644" s="8" t="s">
        <v>137</v>
      </c>
      <c r="H1644" s="15" t="n">
        <v>276</v>
      </c>
      <c r="I1644" s="15" t="n">
        <v>276</v>
      </c>
      <c r="J1644" s="16" t="n">
        <v>0.783</v>
      </c>
      <c r="K1644" s="8" t="n">
        <v>9.7</v>
      </c>
      <c r="L1644" s="8" t="n">
        <v>9</v>
      </c>
      <c r="M1644" s="8" t="n">
        <v>2</v>
      </c>
      <c r="N1644" s="8" t="s">
        <v>120</v>
      </c>
      <c r="O1644" s="15" t="n">
        <f aca="false">H1644*12</f>
        <v>3312</v>
      </c>
      <c r="P1644" s="8" t="n">
        <f aca="false">MIN(100,ROUND(100*J1644/Assumptions!$B$8,0))</f>
        <v>87</v>
      </c>
      <c r="Q1644" s="8" t="n">
        <f aca="false">IF(L1644="",Assumptions!$B$9,L1644*10)</f>
        <v>90</v>
      </c>
      <c r="R1644" s="8" t="n">
        <f aca="false">IF(M1644&lt;=1,Assumptions!$B$12,IF(M1644&lt;=3,Assumptions!$B$13,IF(M1644&lt;=6,Assumptions!$B$14,Assumptions!$B$15)))</f>
        <v>75</v>
      </c>
      <c r="S1644" s="8" t="n">
        <f aca="false">IF(N1644="Completed On Time",Assumptions!$B$16,IF(N1644="Completed Late",Assumptions!$B$17,Assumptions!$B$18))</f>
        <v>100</v>
      </c>
      <c r="T1644" s="8" t="n">
        <f aca="false">IF(I1644=0,Assumptions!$B$20,IF(H1644&gt;I1644,Assumptions!$B$19,IF(H1644=I1644,Assumptions!$B$20,Assumptions!$B$21)))</f>
        <v>70</v>
      </c>
      <c r="U1644" s="8" t="n">
        <f aca="false">ROUND(P1644*Assumptions!$B$2+Q1644*Assumptions!$B$3+R1644*Assumptions!$B$4+S1644*Assumptions!$B$5+T1644*Assumptions!$B$6,0)</f>
        <v>84</v>
      </c>
      <c r="V1644" s="8" t="str">
        <f aca="false">IF(U1644&gt;=Assumptions!$B$10,"Healthy",IF(U1644&gt;=Assumptions!$B$11,"Needs Attention","High Risk"))</f>
        <v>Healthy</v>
      </c>
    </row>
    <row r="1645" customFormat="false" ht="15" hidden="false" customHeight="false" outlineLevel="0" collapsed="false">
      <c r="A1645" s="8" t="s">
        <v>3432</v>
      </c>
      <c r="B1645" s="8" t="s">
        <v>3433</v>
      </c>
      <c r="C1645" s="8" t="s">
        <v>51</v>
      </c>
      <c r="D1645" s="8" t="s">
        <v>2027</v>
      </c>
      <c r="E1645" s="8" t="s">
        <v>123</v>
      </c>
      <c r="F1645" s="8" t="s">
        <v>151</v>
      </c>
      <c r="G1645" s="8" t="s">
        <v>180</v>
      </c>
      <c r="H1645" s="15" t="n">
        <v>276</v>
      </c>
      <c r="I1645" s="15" t="n">
        <v>0</v>
      </c>
      <c r="J1645" s="16" t="n">
        <v>0.63</v>
      </c>
      <c r="K1645" s="8" t="n">
        <v>6</v>
      </c>
      <c r="L1645" s="8"/>
      <c r="M1645" s="8" t="n">
        <v>1</v>
      </c>
      <c r="N1645" s="8" t="s">
        <v>120</v>
      </c>
      <c r="O1645" s="15" t="n">
        <f aca="false">H1645*12</f>
        <v>3312</v>
      </c>
      <c r="P1645" s="8" t="n">
        <f aca="false">MIN(100,ROUND(100*J1645/Assumptions!$B$8,0))</f>
        <v>70</v>
      </c>
      <c r="Q1645" s="8" t="n">
        <f aca="false">IF(L1645="",Assumptions!$B$9,L1645*10)</f>
        <v>50</v>
      </c>
      <c r="R1645" s="8" t="n">
        <f aca="false">IF(M1645&lt;=1,Assumptions!$B$12,IF(M1645&lt;=3,Assumptions!$B$13,IF(M1645&lt;=6,Assumptions!$B$14,Assumptions!$B$15)))</f>
        <v>100</v>
      </c>
      <c r="S1645" s="8" t="n">
        <f aca="false">IF(N1645="Completed On Time",Assumptions!$B$16,IF(N1645="Completed Late",Assumptions!$B$17,Assumptions!$B$18))</f>
        <v>100</v>
      </c>
      <c r="T1645" s="8" t="n">
        <f aca="false">IF(I1645=0,Assumptions!$B$20,IF(H1645&gt;I1645,Assumptions!$B$19,IF(H1645=I1645,Assumptions!$B$20,Assumptions!$B$21)))</f>
        <v>70</v>
      </c>
      <c r="U1645" s="8" t="n">
        <f aca="false">ROUND(P1645*Assumptions!$B$2+Q1645*Assumptions!$B$3+R1645*Assumptions!$B$4+S1645*Assumptions!$B$5+T1645*Assumptions!$B$6,0)</f>
        <v>74</v>
      </c>
      <c r="V1645" s="8" t="str">
        <f aca="false">IF(U1645&gt;=Assumptions!$B$10,"Healthy",IF(U1645&gt;=Assumptions!$B$11,"Needs Attention","High Risk"))</f>
        <v>Needs Attention</v>
      </c>
    </row>
    <row r="1646" customFormat="false" ht="15" hidden="false" customHeight="false" outlineLevel="0" collapsed="false">
      <c r="A1646" s="8" t="s">
        <v>3434</v>
      </c>
      <c r="B1646" s="8" t="s">
        <v>3435</v>
      </c>
      <c r="C1646" s="8" t="s">
        <v>51</v>
      </c>
      <c r="D1646" s="8" t="s">
        <v>2027</v>
      </c>
      <c r="E1646" s="8" t="s">
        <v>128</v>
      </c>
      <c r="F1646" s="8" t="s">
        <v>124</v>
      </c>
      <c r="G1646" s="8" t="s">
        <v>177</v>
      </c>
      <c r="H1646" s="15" t="n">
        <v>276</v>
      </c>
      <c r="I1646" s="15" t="n">
        <v>0</v>
      </c>
      <c r="J1646" s="16" t="n">
        <v>0.768</v>
      </c>
      <c r="K1646" s="8" t="n">
        <v>10</v>
      </c>
      <c r="L1646" s="8"/>
      <c r="M1646" s="8" t="n">
        <v>1</v>
      </c>
      <c r="N1646" s="8" t="s">
        <v>120</v>
      </c>
      <c r="O1646" s="15" t="n">
        <f aca="false">H1646*12</f>
        <v>3312</v>
      </c>
      <c r="P1646" s="8" t="n">
        <f aca="false">MIN(100,ROUND(100*J1646/Assumptions!$B$8,0))</f>
        <v>85</v>
      </c>
      <c r="Q1646" s="8" t="n">
        <f aca="false">IF(L1646="",Assumptions!$B$9,L1646*10)</f>
        <v>50</v>
      </c>
      <c r="R1646" s="8" t="n">
        <f aca="false">IF(M1646&lt;=1,Assumptions!$B$12,IF(M1646&lt;=3,Assumptions!$B$13,IF(M1646&lt;=6,Assumptions!$B$14,Assumptions!$B$15)))</f>
        <v>100</v>
      </c>
      <c r="S1646" s="8" t="n">
        <f aca="false">IF(N1646="Completed On Time",Assumptions!$B$16,IF(N1646="Completed Late",Assumptions!$B$17,Assumptions!$B$18))</f>
        <v>100</v>
      </c>
      <c r="T1646" s="8" t="n">
        <f aca="false">IF(I1646=0,Assumptions!$B$20,IF(H1646&gt;I1646,Assumptions!$B$19,IF(H1646=I1646,Assumptions!$B$20,Assumptions!$B$21)))</f>
        <v>70</v>
      </c>
      <c r="U1646" s="8" t="n">
        <f aca="false">ROUND(P1646*Assumptions!$B$2+Q1646*Assumptions!$B$3+R1646*Assumptions!$B$4+S1646*Assumptions!$B$5+T1646*Assumptions!$B$6,0)</f>
        <v>79</v>
      </c>
      <c r="V1646" s="8" t="str">
        <f aca="false">IF(U1646&gt;=Assumptions!$B$10,"Healthy",IF(U1646&gt;=Assumptions!$B$11,"Needs Attention","High Risk"))</f>
        <v>Needs Attention</v>
      </c>
    </row>
    <row r="1647" customFormat="false" ht="15" hidden="false" customHeight="false" outlineLevel="0" collapsed="false">
      <c r="A1647" s="8" t="s">
        <v>3436</v>
      </c>
      <c r="B1647" s="8" t="s">
        <v>3437</v>
      </c>
      <c r="C1647" s="8" t="s">
        <v>51</v>
      </c>
      <c r="D1647" s="8" t="s">
        <v>2027</v>
      </c>
      <c r="E1647" s="8" t="s">
        <v>132</v>
      </c>
      <c r="F1647" s="8" t="s">
        <v>124</v>
      </c>
      <c r="G1647" s="8" t="s">
        <v>147</v>
      </c>
      <c r="H1647" s="15" t="n">
        <v>276</v>
      </c>
      <c r="I1647" s="15" t="n">
        <v>276</v>
      </c>
      <c r="J1647" s="16" t="n">
        <v>0.58</v>
      </c>
      <c r="K1647" s="8" t="n">
        <v>7.3</v>
      </c>
      <c r="L1647" s="8" t="n">
        <v>4</v>
      </c>
      <c r="M1647" s="8" t="n">
        <v>8</v>
      </c>
      <c r="N1647" s="8" t="s">
        <v>120</v>
      </c>
      <c r="O1647" s="15" t="n">
        <f aca="false">H1647*12</f>
        <v>3312</v>
      </c>
      <c r="P1647" s="8" t="n">
        <f aca="false">MIN(100,ROUND(100*J1647/Assumptions!$B$8,0))</f>
        <v>64</v>
      </c>
      <c r="Q1647" s="8" t="n">
        <f aca="false">IF(L1647="",Assumptions!$B$9,L1647*10)</f>
        <v>40</v>
      </c>
      <c r="R1647" s="8" t="n">
        <f aca="false">IF(M1647&lt;=1,Assumptions!$B$12,IF(M1647&lt;=3,Assumptions!$B$13,IF(M1647&lt;=6,Assumptions!$B$14,Assumptions!$B$15)))</f>
        <v>20</v>
      </c>
      <c r="S1647" s="8" t="n">
        <f aca="false">IF(N1647="Completed On Time",Assumptions!$B$16,IF(N1647="Completed Late",Assumptions!$B$17,Assumptions!$B$18))</f>
        <v>100</v>
      </c>
      <c r="T1647" s="8" t="n">
        <f aca="false">IF(I1647=0,Assumptions!$B$20,IF(H1647&gt;I1647,Assumptions!$B$19,IF(H1647=I1647,Assumptions!$B$20,Assumptions!$B$21)))</f>
        <v>70</v>
      </c>
      <c r="U1647" s="8" t="n">
        <f aca="false">ROUND(P1647*Assumptions!$B$2+Q1647*Assumptions!$B$3+R1647*Assumptions!$B$4+S1647*Assumptions!$B$5+T1647*Assumptions!$B$6,0)</f>
        <v>57</v>
      </c>
      <c r="V1647" s="8" t="str">
        <f aca="false">IF(U1647&gt;=Assumptions!$B$10,"Healthy",IF(U1647&gt;=Assumptions!$B$11,"Needs Attention","High Risk"))</f>
        <v>High Risk</v>
      </c>
    </row>
    <row r="1648" customFormat="false" ht="15" hidden="false" customHeight="false" outlineLevel="0" collapsed="false">
      <c r="A1648" s="8" t="s">
        <v>3438</v>
      </c>
      <c r="B1648" s="8" t="s">
        <v>3439</v>
      </c>
      <c r="C1648" s="8" t="s">
        <v>51</v>
      </c>
      <c r="D1648" s="8" t="s">
        <v>2027</v>
      </c>
      <c r="E1648" s="8" t="s">
        <v>132</v>
      </c>
      <c r="F1648" s="8" t="s">
        <v>133</v>
      </c>
      <c r="G1648" s="8" t="s">
        <v>180</v>
      </c>
      <c r="H1648" s="15" t="n">
        <v>276</v>
      </c>
      <c r="I1648" s="15" t="n">
        <v>276</v>
      </c>
      <c r="J1648" s="16" t="n">
        <v>0.696</v>
      </c>
      <c r="K1648" s="8" t="n">
        <v>9</v>
      </c>
      <c r="L1648" s="8" t="n">
        <v>9</v>
      </c>
      <c r="M1648" s="8" t="n">
        <v>2</v>
      </c>
      <c r="N1648" s="8" t="s">
        <v>120</v>
      </c>
      <c r="O1648" s="15" t="n">
        <f aca="false">H1648*12</f>
        <v>3312</v>
      </c>
      <c r="P1648" s="8" t="n">
        <f aca="false">MIN(100,ROUND(100*J1648/Assumptions!$B$8,0))</f>
        <v>77</v>
      </c>
      <c r="Q1648" s="8" t="n">
        <f aca="false">IF(L1648="",Assumptions!$B$9,L1648*10)</f>
        <v>90</v>
      </c>
      <c r="R1648" s="8" t="n">
        <f aca="false">IF(M1648&lt;=1,Assumptions!$B$12,IF(M1648&lt;=3,Assumptions!$B$13,IF(M1648&lt;=6,Assumptions!$B$14,Assumptions!$B$15)))</f>
        <v>75</v>
      </c>
      <c r="S1648" s="8" t="n">
        <f aca="false">IF(N1648="Completed On Time",Assumptions!$B$16,IF(N1648="Completed Late",Assumptions!$B$17,Assumptions!$B$18))</f>
        <v>100</v>
      </c>
      <c r="T1648" s="8" t="n">
        <f aca="false">IF(I1648=0,Assumptions!$B$20,IF(H1648&gt;I1648,Assumptions!$B$19,IF(H1648=I1648,Assumptions!$B$20,Assumptions!$B$21)))</f>
        <v>70</v>
      </c>
      <c r="U1648" s="8" t="n">
        <f aca="false">ROUND(P1648*Assumptions!$B$2+Q1648*Assumptions!$B$3+R1648*Assumptions!$B$4+S1648*Assumptions!$B$5+T1648*Assumptions!$B$6,0)</f>
        <v>80</v>
      </c>
      <c r="V1648" s="8" t="str">
        <f aca="false">IF(U1648&gt;=Assumptions!$B$10,"Healthy",IF(U1648&gt;=Assumptions!$B$11,"Needs Attention","High Risk"))</f>
        <v>Healthy</v>
      </c>
    </row>
    <row r="1649" customFormat="false" ht="15" hidden="false" customHeight="false" outlineLevel="0" collapsed="false">
      <c r="A1649" s="8" t="s">
        <v>3440</v>
      </c>
      <c r="B1649" s="8" t="s">
        <v>3441</v>
      </c>
      <c r="C1649" s="8" t="s">
        <v>51</v>
      </c>
      <c r="D1649" s="8" t="s">
        <v>2027</v>
      </c>
      <c r="E1649" s="8" t="s">
        <v>128</v>
      </c>
      <c r="F1649" s="8" t="s">
        <v>143</v>
      </c>
      <c r="G1649" s="8" t="s">
        <v>140</v>
      </c>
      <c r="H1649" s="15" t="n">
        <v>276</v>
      </c>
      <c r="I1649" s="15" t="n">
        <v>276</v>
      </c>
      <c r="J1649" s="16" t="n">
        <v>0.768</v>
      </c>
      <c r="K1649" s="8" t="n">
        <v>8.7</v>
      </c>
      <c r="L1649" s="8" t="n">
        <v>9</v>
      </c>
      <c r="M1649" s="8" t="n">
        <v>1</v>
      </c>
      <c r="N1649" s="8" t="s">
        <v>120</v>
      </c>
      <c r="O1649" s="15" t="n">
        <f aca="false">H1649*12</f>
        <v>3312</v>
      </c>
      <c r="P1649" s="8" t="n">
        <f aca="false">MIN(100,ROUND(100*J1649/Assumptions!$B$8,0))</f>
        <v>85</v>
      </c>
      <c r="Q1649" s="8" t="n">
        <f aca="false">IF(L1649="",Assumptions!$B$9,L1649*10)</f>
        <v>90</v>
      </c>
      <c r="R1649" s="8" t="n">
        <f aca="false">IF(M1649&lt;=1,Assumptions!$B$12,IF(M1649&lt;=3,Assumptions!$B$13,IF(M1649&lt;=6,Assumptions!$B$14,Assumptions!$B$15)))</f>
        <v>100</v>
      </c>
      <c r="S1649" s="8" t="n">
        <f aca="false">IF(N1649="Completed On Time",Assumptions!$B$16,IF(N1649="Completed Late",Assumptions!$B$17,Assumptions!$B$18))</f>
        <v>100</v>
      </c>
      <c r="T1649" s="8" t="n">
        <f aca="false">IF(I1649=0,Assumptions!$B$20,IF(H1649&gt;I1649,Assumptions!$B$19,IF(H1649=I1649,Assumptions!$B$20,Assumptions!$B$21)))</f>
        <v>70</v>
      </c>
      <c r="U1649" s="8" t="n">
        <f aca="false">ROUND(P1649*Assumptions!$B$2+Q1649*Assumptions!$B$3+R1649*Assumptions!$B$4+S1649*Assumptions!$B$5+T1649*Assumptions!$B$6,0)</f>
        <v>87</v>
      </c>
      <c r="V1649" s="8" t="str">
        <f aca="false">IF(U1649&gt;=Assumptions!$B$10,"Healthy",IF(U1649&gt;=Assumptions!$B$11,"Needs Attention","High Risk"))</f>
        <v>Healthy</v>
      </c>
    </row>
    <row r="1650" customFormat="false" ht="15" hidden="false" customHeight="false" outlineLevel="0" collapsed="false">
      <c r="A1650" s="8" t="s">
        <v>3442</v>
      </c>
      <c r="B1650" s="8" t="s">
        <v>3443</v>
      </c>
      <c r="C1650" s="8" t="s">
        <v>51</v>
      </c>
      <c r="D1650" s="8" t="s">
        <v>2027</v>
      </c>
      <c r="E1650" s="8" t="s">
        <v>132</v>
      </c>
      <c r="F1650" s="8" t="s">
        <v>151</v>
      </c>
      <c r="G1650" s="8" t="s">
        <v>180</v>
      </c>
      <c r="H1650" s="15" t="n">
        <v>276</v>
      </c>
      <c r="I1650" s="15" t="n">
        <v>0</v>
      </c>
      <c r="J1650" s="16" t="n">
        <v>0.717</v>
      </c>
      <c r="K1650" s="8" t="n">
        <v>11</v>
      </c>
      <c r="L1650" s="8"/>
      <c r="M1650" s="8" t="n">
        <v>0</v>
      </c>
      <c r="N1650" s="8" t="s">
        <v>120</v>
      </c>
      <c r="O1650" s="15" t="n">
        <f aca="false">H1650*12</f>
        <v>3312</v>
      </c>
      <c r="P1650" s="8" t="n">
        <f aca="false">MIN(100,ROUND(100*J1650/Assumptions!$B$8,0))</f>
        <v>80</v>
      </c>
      <c r="Q1650" s="8" t="n">
        <f aca="false">IF(L1650="",Assumptions!$B$9,L1650*10)</f>
        <v>50</v>
      </c>
      <c r="R1650" s="8" t="n">
        <f aca="false">IF(M1650&lt;=1,Assumptions!$B$12,IF(M1650&lt;=3,Assumptions!$B$13,IF(M1650&lt;=6,Assumptions!$B$14,Assumptions!$B$15)))</f>
        <v>100</v>
      </c>
      <c r="S1650" s="8" t="n">
        <f aca="false">IF(N1650="Completed On Time",Assumptions!$B$16,IF(N1650="Completed Late",Assumptions!$B$17,Assumptions!$B$18))</f>
        <v>100</v>
      </c>
      <c r="T1650" s="8" t="n">
        <f aca="false">IF(I1650=0,Assumptions!$B$20,IF(H1650&gt;I1650,Assumptions!$B$19,IF(H1650=I1650,Assumptions!$B$20,Assumptions!$B$21)))</f>
        <v>70</v>
      </c>
      <c r="U1650" s="8" t="n">
        <f aca="false">ROUND(P1650*Assumptions!$B$2+Q1650*Assumptions!$B$3+R1650*Assumptions!$B$4+S1650*Assumptions!$B$5+T1650*Assumptions!$B$6,0)</f>
        <v>77</v>
      </c>
      <c r="V1650" s="8" t="str">
        <f aca="false">IF(U1650&gt;=Assumptions!$B$10,"Healthy",IF(U1650&gt;=Assumptions!$B$11,"Needs Attention","High Risk"))</f>
        <v>Needs Attention</v>
      </c>
    </row>
    <row r="1651" customFormat="false" ht="15" hidden="false" customHeight="false" outlineLevel="0" collapsed="false">
      <c r="A1651" s="8" t="s">
        <v>3444</v>
      </c>
      <c r="B1651" s="8" t="s">
        <v>3445</v>
      </c>
      <c r="C1651" s="8" t="s">
        <v>51</v>
      </c>
      <c r="D1651" s="8" t="s">
        <v>326</v>
      </c>
      <c r="E1651" s="8" t="s">
        <v>123</v>
      </c>
      <c r="F1651" s="8" t="s">
        <v>223</v>
      </c>
      <c r="G1651" s="8" t="s">
        <v>129</v>
      </c>
      <c r="H1651" s="15" t="n">
        <v>275</v>
      </c>
      <c r="I1651" s="15" t="n">
        <v>275</v>
      </c>
      <c r="J1651" s="16" t="n">
        <v>0.727</v>
      </c>
      <c r="K1651" s="8" t="n">
        <v>8.7</v>
      </c>
      <c r="L1651" s="8" t="n">
        <v>10</v>
      </c>
      <c r="M1651" s="8" t="n">
        <v>0</v>
      </c>
      <c r="N1651" s="8" t="s">
        <v>120</v>
      </c>
      <c r="O1651" s="15" t="n">
        <f aca="false">H1651*12</f>
        <v>3300</v>
      </c>
      <c r="P1651" s="8" t="n">
        <f aca="false">MIN(100,ROUND(100*J1651/Assumptions!$B$8,0))</f>
        <v>81</v>
      </c>
      <c r="Q1651" s="8" t="n">
        <f aca="false">IF(L1651="",Assumptions!$B$9,L1651*10)</f>
        <v>100</v>
      </c>
      <c r="R1651" s="8" t="n">
        <f aca="false">IF(M1651&lt;=1,Assumptions!$B$12,IF(M1651&lt;=3,Assumptions!$B$13,IF(M1651&lt;=6,Assumptions!$B$14,Assumptions!$B$15)))</f>
        <v>100</v>
      </c>
      <c r="S1651" s="8" t="n">
        <f aca="false">IF(N1651="Completed On Time",Assumptions!$B$16,IF(N1651="Completed Late",Assumptions!$B$17,Assumptions!$B$18))</f>
        <v>100</v>
      </c>
      <c r="T1651" s="8" t="n">
        <f aca="false">IF(I1651=0,Assumptions!$B$20,IF(H1651&gt;I1651,Assumptions!$B$19,IF(H1651=I1651,Assumptions!$B$20,Assumptions!$B$21)))</f>
        <v>70</v>
      </c>
      <c r="U1651" s="8" t="n">
        <f aca="false">ROUND(P1651*Assumptions!$B$2+Q1651*Assumptions!$B$3+R1651*Assumptions!$B$4+S1651*Assumptions!$B$5+T1651*Assumptions!$B$6,0)</f>
        <v>87</v>
      </c>
      <c r="V1651" s="8" t="str">
        <f aca="false">IF(U1651&gt;=Assumptions!$B$10,"Healthy",IF(U1651&gt;=Assumptions!$B$11,"Needs Attention","High Risk"))</f>
        <v>Healthy</v>
      </c>
    </row>
    <row r="1652" customFormat="false" ht="15" hidden="false" customHeight="false" outlineLevel="0" collapsed="false">
      <c r="A1652" s="8" t="s">
        <v>3446</v>
      </c>
      <c r="B1652" s="8" t="s">
        <v>3447</v>
      </c>
      <c r="C1652" s="8" t="s">
        <v>51</v>
      </c>
      <c r="D1652" s="8" t="s">
        <v>326</v>
      </c>
      <c r="E1652" s="8" t="s">
        <v>132</v>
      </c>
      <c r="F1652" s="8" t="s">
        <v>151</v>
      </c>
      <c r="G1652" s="8" t="s">
        <v>180</v>
      </c>
      <c r="H1652" s="15" t="n">
        <v>275</v>
      </c>
      <c r="I1652" s="15" t="n">
        <v>275</v>
      </c>
      <c r="J1652" s="16" t="n">
        <v>0.758</v>
      </c>
      <c r="K1652" s="8" t="n">
        <v>7.3</v>
      </c>
      <c r="L1652" s="8" t="n">
        <v>8</v>
      </c>
      <c r="M1652" s="8" t="n">
        <v>2</v>
      </c>
      <c r="N1652" s="8" t="s">
        <v>120</v>
      </c>
      <c r="O1652" s="15" t="n">
        <f aca="false">H1652*12</f>
        <v>3300</v>
      </c>
      <c r="P1652" s="8" t="n">
        <f aca="false">MIN(100,ROUND(100*J1652/Assumptions!$B$8,0))</f>
        <v>84</v>
      </c>
      <c r="Q1652" s="8" t="n">
        <f aca="false">IF(L1652="",Assumptions!$B$9,L1652*10)</f>
        <v>80</v>
      </c>
      <c r="R1652" s="8" t="n">
        <f aca="false">IF(M1652&lt;=1,Assumptions!$B$12,IF(M1652&lt;=3,Assumptions!$B$13,IF(M1652&lt;=6,Assumptions!$B$14,Assumptions!$B$15)))</f>
        <v>75</v>
      </c>
      <c r="S1652" s="8" t="n">
        <f aca="false">IF(N1652="Completed On Time",Assumptions!$B$16,IF(N1652="Completed Late",Assumptions!$B$17,Assumptions!$B$18))</f>
        <v>100</v>
      </c>
      <c r="T1652" s="8" t="n">
        <f aca="false">IF(I1652=0,Assumptions!$B$20,IF(H1652&gt;I1652,Assumptions!$B$19,IF(H1652=I1652,Assumptions!$B$20,Assumptions!$B$21)))</f>
        <v>70</v>
      </c>
      <c r="U1652" s="8" t="n">
        <f aca="false">ROUND(P1652*Assumptions!$B$2+Q1652*Assumptions!$B$3+R1652*Assumptions!$B$4+S1652*Assumptions!$B$5+T1652*Assumptions!$B$6,0)</f>
        <v>81</v>
      </c>
      <c r="V1652" s="8" t="str">
        <f aca="false">IF(U1652&gt;=Assumptions!$B$10,"Healthy",IF(U1652&gt;=Assumptions!$B$11,"Needs Attention","High Risk"))</f>
        <v>Healthy</v>
      </c>
    </row>
    <row r="1653" customFormat="false" ht="15" hidden="false" customHeight="false" outlineLevel="0" collapsed="false">
      <c r="A1653" s="8" t="s">
        <v>3448</v>
      </c>
      <c r="B1653" s="8" t="s">
        <v>3449</v>
      </c>
      <c r="C1653" s="8" t="s">
        <v>51</v>
      </c>
      <c r="D1653" s="8" t="s">
        <v>326</v>
      </c>
      <c r="E1653" s="8" t="s">
        <v>128</v>
      </c>
      <c r="F1653" s="8" t="s">
        <v>136</v>
      </c>
      <c r="G1653" s="8" t="s">
        <v>125</v>
      </c>
      <c r="H1653" s="15" t="n">
        <v>275</v>
      </c>
      <c r="I1653" s="15" t="n">
        <v>275</v>
      </c>
      <c r="J1653" s="16" t="n">
        <v>0.788</v>
      </c>
      <c r="K1653" s="8" t="n">
        <v>11.3</v>
      </c>
      <c r="L1653" s="8" t="n">
        <v>9</v>
      </c>
      <c r="M1653" s="8" t="n">
        <v>2</v>
      </c>
      <c r="N1653" s="8" t="s">
        <v>120</v>
      </c>
      <c r="O1653" s="15" t="n">
        <f aca="false">H1653*12</f>
        <v>3300</v>
      </c>
      <c r="P1653" s="8" t="n">
        <f aca="false">MIN(100,ROUND(100*J1653/Assumptions!$B$8,0))</f>
        <v>88</v>
      </c>
      <c r="Q1653" s="8" t="n">
        <f aca="false">IF(L1653="",Assumptions!$B$9,L1653*10)</f>
        <v>90</v>
      </c>
      <c r="R1653" s="8" t="n">
        <f aca="false">IF(M1653&lt;=1,Assumptions!$B$12,IF(M1653&lt;=3,Assumptions!$B$13,IF(M1653&lt;=6,Assumptions!$B$14,Assumptions!$B$15)))</f>
        <v>75</v>
      </c>
      <c r="S1653" s="8" t="n">
        <f aca="false">IF(N1653="Completed On Time",Assumptions!$B$16,IF(N1653="Completed Late",Assumptions!$B$17,Assumptions!$B$18))</f>
        <v>100</v>
      </c>
      <c r="T1653" s="8" t="n">
        <f aca="false">IF(I1653=0,Assumptions!$B$20,IF(H1653&gt;I1653,Assumptions!$B$19,IF(H1653=I1653,Assumptions!$B$20,Assumptions!$B$21)))</f>
        <v>70</v>
      </c>
      <c r="U1653" s="8" t="n">
        <f aca="false">ROUND(P1653*Assumptions!$B$2+Q1653*Assumptions!$B$3+R1653*Assumptions!$B$4+S1653*Assumptions!$B$5+T1653*Assumptions!$B$6,0)</f>
        <v>84</v>
      </c>
      <c r="V1653" s="8" t="str">
        <f aca="false">IF(U1653&gt;=Assumptions!$B$10,"Healthy",IF(U1653&gt;=Assumptions!$B$11,"Needs Attention","High Risk"))</f>
        <v>Healthy</v>
      </c>
    </row>
    <row r="1654" customFormat="false" ht="15" hidden="false" customHeight="false" outlineLevel="0" collapsed="false">
      <c r="A1654" s="8" t="s">
        <v>3450</v>
      </c>
      <c r="B1654" s="8" t="s">
        <v>3451</v>
      </c>
      <c r="C1654" s="8" t="s">
        <v>51</v>
      </c>
      <c r="D1654" s="8" t="s">
        <v>326</v>
      </c>
      <c r="E1654" s="8" t="s">
        <v>123</v>
      </c>
      <c r="F1654" s="8" t="s">
        <v>133</v>
      </c>
      <c r="G1654" s="8" t="s">
        <v>147</v>
      </c>
      <c r="H1654" s="15" t="n">
        <v>275</v>
      </c>
      <c r="I1654" s="15" t="n">
        <v>275</v>
      </c>
      <c r="J1654" s="16" t="n">
        <v>0.606</v>
      </c>
      <c r="K1654" s="8" t="n">
        <v>6.3</v>
      </c>
      <c r="L1654" s="8" t="n">
        <v>8</v>
      </c>
      <c r="M1654" s="8" t="n">
        <v>1</v>
      </c>
      <c r="N1654" s="8" t="s">
        <v>120</v>
      </c>
      <c r="O1654" s="15" t="n">
        <f aca="false">H1654*12</f>
        <v>3300</v>
      </c>
      <c r="P1654" s="8" t="n">
        <f aca="false">MIN(100,ROUND(100*J1654/Assumptions!$B$8,0))</f>
        <v>67</v>
      </c>
      <c r="Q1654" s="8" t="n">
        <f aca="false">IF(L1654="",Assumptions!$B$9,L1654*10)</f>
        <v>80</v>
      </c>
      <c r="R1654" s="8" t="n">
        <f aca="false">IF(M1654&lt;=1,Assumptions!$B$12,IF(M1654&lt;=3,Assumptions!$B$13,IF(M1654&lt;=6,Assumptions!$B$14,Assumptions!$B$15)))</f>
        <v>100</v>
      </c>
      <c r="S1654" s="8" t="n">
        <f aca="false">IF(N1654="Completed On Time",Assumptions!$B$16,IF(N1654="Completed Late",Assumptions!$B$17,Assumptions!$B$18))</f>
        <v>100</v>
      </c>
      <c r="T1654" s="8" t="n">
        <f aca="false">IF(I1654=0,Assumptions!$B$20,IF(H1654&gt;I1654,Assumptions!$B$19,IF(H1654=I1654,Assumptions!$B$20,Assumptions!$B$21)))</f>
        <v>70</v>
      </c>
      <c r="U1654" s="8" t="n">
        <f aca="false">ROUND(P1654*Assumptions!$B$2+Q1654*Assumptions!$B$3+R1654*Assumptions!$B$4+S1654*Assumptions!$B$5+T1654*Assumptions!$B$6,0)</f>
        <v>78</v>
      </c>
      <c r="V1654" s="8" t="str">
        <f aca="false">IF(U1654&gt;=Assumptions!$B$10,"Healthy",IF(U1654&gt;=Assumptions!$B$11,"Needs Attention","High Risk"))</f>
        <v>Needs Attention</v>
      </c>
    </row>
    <row r="1655" customFormat="false" ht="15" hidden="false" customHeight="false" outlineLevel="0" collapsed="false">
      <c r="A1655" s="8" t="s">
        <v>3452</v>
      </c>
      <c r="B1655" s="8" t="s">
        <v>3453</v>
      </c>
      <c r="C1655" s="8" t="s">
        <v>51</v>
      </c>
      <c r="D1655" s="8" t="s">
        <v>326</v>
      </c>
      <c r="E1655" s="8" t="s">
        <v>123</v>
      </c>
      <c r="F1655" s="8" t="s">
        <v>133</v>
      </c>
      <c r="G1655" s="8" t="s">
        <v>180</v>
      </c>
      <c r="H1655" s="15" t="n">
        <v>275</v>
      </c>
      <c r="I1655" s="15" t="n">
        <v>0</v>
      </c>
      <c r="J1655" s="16" t="n">
        <v>0.455</v>
      </c>
      <c r="K1655" s="8" t="n">
        <v>5</v>
      </c>
      <c r="L1655" s="8"/>
      <c r="M1655" s="8" t="n">
        <v>2</v>
      </c>
      <c r="N1655" s="8" t="s">
        <v>120</v>
      </c>
      <c r="O1655" s="15" t="n">
        <f aca="false">H1655*12</f>
        <v>3300</v>
      </c>
      <c r="P1655" s="8" t="n">
        <f aca="false">MIN(100,ROUND(100*J1655/Assumptions!$B$8,0))</f>
        <v>51</v>
      </c>
      <c r="Q1655" s="8" t="n">
        <f aca="false">IF(L1655="",Assumptions!$B$9,L1655*10)</f>
        <v>50</v>
      </c>
      <c r="R1655" s="8" t="n">
        <f aca="false">IF(M1655&lt;=1,Assumptions!$B$12,IF(M1655&lt;=3,Assumptions!$B$13,IF(M1655&lt;=6,Assumptions!$B$14,Assumptions!$B$15)))</f>
        <v>75</v>
      </c>
      <c r="S1655" s="8" t="n">
        <f aca="false">IF(N1655="Completed On Time",Assumptions!$B$16,IF(N1655="Completed Late",Assumptions!$B$17,Assumptions!$B$18))</f>
        <v>100</v>
      </c>
      <c r="T1655" s="8" t="n">
        <f aca="false">IF(I1655=0,Assumptions!$B$20,IF(H1655&gt;I1655,Assumptions!$B$19,IF(H1655=I1655,Assumptions!$B$20,Assumptions!$B$21)))</f>
        <v>70</v>
      </c>
      <c r="U1655" s="8" t="n">
        <f aca="false">ROUND(P1655*Assumptions!$B$2+Q1655*Assumptions!$B$3+R1655*Assumptions!$B$4+S1655*Assumptions!$B$5+T1655*Assumptions!$B$6,0)</f>
        <v>63</v>
      </c>
      <c r="V1655" s="8" t="str">
        <f aca="false">IF(U1655&gt;=Assumptions!$B$10,"Healthy",IF(U1655&gt;=Assumptions!$B$11,"Needs Attention","High Risk"))</f>
        <v>High Risk</v>
      </c>
    </row>
    <row r="1656" customFormat="false" ht="15" hidden="false" customHeight="false" outlineLevel="0" collapsed="false">
      <c r="A1656" s="8" t="s">
        <v>3454</v>
      </c>
      <c r="B1656" s="8" t="s">
        <v>3455</v>
      </c>
      <c r="C1656" s="8" t="s">
        <v>51</v>
      </c>
      <c r="D1656" s="8" t="s">
        <v>326</v>
      </c>
      <c r="E1656" s="8" t="s">
        <v>123</v>
      </c>
      <c r="F1656" s="8" t="s">
        <v>133</v>
      </c>
      <c r="G1656" s="8" t="s">
        <v>137</v>
      </c>
      <c r="H1656" s="15" t="n">
        <v>275</v>
      </c>
      <c r="I1656" s="15" t="n">
        <v>275</v>
      </c>
      <c r="J1656" s="16" t="n">
        <v>0.697</v>
      </c>
      <c r="K1656" s="8" t="n">
        <v>8</v>
      </c>
      <c r="L1656" s="8" t="n">
        <v>8</v>
      </c>
      <c r="M1656" s="8" t="n">
        <v>3</v>
      </c>
      <c r="N1656" s="8" t="s">
        <v>120</v>
      </c>
      <c r="O1656" s="15" t="n">
        <f aca="false">H1656*12</f>
        <v>3300</v>
      </c>
      <c r="P1656" s="8" t="n">
        <f aca="false">MIN(100,ROUND(100*J1656/Assumptions!$B$8,0))</f>
        <v>77</v>
      </c>
      <c r="Q1656" s="8" t="n">
        <f aca="false">IF(L1656="",Assumptions!$B$9,L1656*10)</f>
        <v>80</v>
      </c>
      <c r="R1656" s="8" t="n">
        <f aca="false">IF(M1656&lt;=1,Assumptions!$B$12,IF(M1656&lt;=3,Assumptions!$B$13,IF(M1656&lt;=6,Assumptions!$B$14,Assumptions!$B$15)))</f>
        <v>75</v>
      </c>
      <c r="S1656" s="8" t="n">
        <f aca="false">IF(N1656="Completed On Time",Assumptions!$B$16,IF(N1656="Completed Late",Assumptions!$B$17,Assumptions!$B$18))</f>
        <v>100</v>
      </c>
      <c r="T1656" s="8" t="n">
        <f aca="false">IF(I1656=0,Assumptions!$B$20,IF(H1656&gt;I1656,Assumptions!$B$19,IF(H1656=I1656,Assumptions!$B$20,Assumptions!$B$21)))</f>
        <v>70</v>
      </c>
      <c r="U1656" s="8" t="n">
        <f aca="false">ROUND(P1656*Assumptions!$B$2+Q1656*Assumptions!$B$3+R1656*Assumptions!$B$4+S1656*Assumptions!$B$5+T1656*Assumptions!$B$6,0)</f>
        <v>78</v>
      </c>
      <c r="V1656" s="8" t="str">
        <f aca="false">IF(U1656&gt;=Assumptions!$B$10,"Healthy",IF(U1656&gt;=Assumptions!$B$11,"Needs Attention","High Risk"))</f>
        <v>Needs Attention</v>
      </c>
    </row>
    <row r="1657" customFormat="false" ht="15" hidden="false" customHeight="false" outlineLevel="0" collapsed="false">
      <c r="A1657" s="8" t="s">
        <v>3456</v>
      </c>
      <c r="B1657" s="8" t="s">
        <v>3457</v>
      </c>
      <c r="C1657" s="8" t="s">
        <v>51</v>
      </c>
      <c r="D1657" s="8" t="s">
        <v>326</v>
      </c>
      <c r="E1657" s="8" t="s">
        <v>132</v>
      </c>
      <c r="F1657" s="8" t="s">
        <v>190</v>
      </c>
      <c r="G1657" s="8" t="s">
        <v>129</v>
      </c>
      <c r="H1657" s="15" t="n">
        <v>275</v>
      </c>
      <c r="I1657" s="15" t="n">
        <v>275</v>
      </c>
      <c r="J1657" s="16" t="n">
        <v>0.697</v>
      </c>
      <c r="K1657" s="8" t="n">
        <v>7.7</v>
      </c>
      <c r="L1657" s="8" t="n">
        <v>7</v>
      </c>
      <c r="M1657" s="8" t="n">
        <v>3</v>
      </c>
      <c r="N1657" s="8" t="s">
        <v>120</v>
      </c>
      <c r="O1657" s="15" t="n">
        <f aca="false">H1657*12</f>
        <v>3300</v>
      </c>
      <c r="P1657" s="8" t="n">
        <f aca="false">MIN(100,ROUND(100*J1657/Assumptions!$B$8,0))</f>
        <v>77</v>
      </c>
      <c r="Q1657" s="8" t="n">
        <f aca="false">IF(L1657="",Assumptions!$B$9,L1657*10)</f>
        <v>70</v>
      </c>
      <c r="R1657" s="8" t="n">
        <f aca="false">IF(M1657&lt;=1,Assumptions!$B$12,IF(M1657&lt;=3,Assumptions!$B$13,IF(M1657&lt;=6,Assumptions!$B$14,Assumptions!$B$15)))</f>
        <v>75</v>
      </c>
      <c r="S1657" s="8" t="n">
        <f aca="false">IF(N1657="Completed On Time",Assumptions!$B$16,IF(N1657="Completed Late",Assumptions!$B$17,Assumptions!$B$18))</f>
        <v>100</v>
      </c>
      <c r="T1657" s="8" t="n">
        <f aca="false">IF(I1657=0,Assumptions!$B$20,IF(H1657&gt;I1657,Assumptions!$B$19,IF(H1657=I1657,Assumptions!$B$20,Assumptions!$B$21)))</f>
        <v>70</v>
      </c>
      <c r="U1657" s="8" t="n">
        <f aca="false">ROUND(P1657*Assumptions!$B$2+Q1657*Assumptions!$B$3+R1657*Assumptions!$B$4+S1657*Assumptions!$B$5+T1657*Assumptions!$B$6,0)</f>
        <v>76</v>
      </c>
      <c r="V1657" s="8" t="str">
        <f aca="false">IF(U1657&gt;=Assumptions!$B$10,"Healthy",IF(U1657&gt;=Assumptions!$B$11,"Needs Attention","High Risk"))</f>
        <v>Needs Attention</v>
      </c>
    </row>
    <row r="1658" customFormat="false" ht="15" hidden="false" customHeight="false" outlineLevel="0" collapsed="false">
      <c r="A1658" s="8" t="s">
        <v>3458</v>
      </c>
      <c r="B1658" s="8" t="s">
        <v>3459</v>
      </c>
      <c r="C1658" s="8" t="s">
        <v>51</v>
      </c>
      <c r="D1658" s="8" t="s">
        <v>326</v>
      </c>
      <c r="E1658" s="8" t="s">
        <v>123</v>
      </c>
      <c r="F1658" s="8" t="s">
        <v>166</v>
      </c>
      <c r="G1658" s="8" t="s">
        <v>144</v>
      </c>
      <c r="H1658" s="15" t="n">
        <v>275</v>
      </c>
      <c r="I1658" s="15" t="n">
        <v>325</v>
      </c>
      <c r="J1658" s="16" t="n">
        <v>0.545</v>
      </c>
      <c r="K1658" s="8" t="n">
        <v>8</v>
      </c>
      <c r="L1658" s="8" t="n">
        <v>5</v>
      </c>
      <c r="M1658" s="8" t="n">
        <v>6</v>
      </c>
      <c r="N1658" s="8" t="s">
        <v>120</v>
      </c>
      <c r="O1658" s="15" t="n">
        <f aca="false">H1658*12</f>
        <v>3300</v>
      </c>
      <c r="P1658" s="8" t="n">
        <f aca="false">MIN(100,ROUND(100*J1658/Assumptions!$B$8,0))</f>
        <v>61</v>
      </c>
      <c r="Q1658" s="8" t="n">
        <f aca="false">IF(L1658="",Assumptions!$B$9,L1658*10)</f>
        <v>50</v>
      </c>
      <c r="R1658" s="8" t="n">
        <f aca="false">IF(M1658&lt;=1,Assumptions!$B$12,IF(M1658&lt;=3,Assumptions!$B$13,IF(M1658&lt;=6,Assumptions!$B$14,Assumptions!$B$15)))</f>
        <v>50</v>
      </c>
      <c r="S1658" s="8" t="n">
        <f aca="false">IF(N1658="Completed On Time",Assumptions!$B$16,IF(N1658="Completed Late",Assumptions!$B$17,Assumptions!$B$18))</f>
        <v>100</v>
      </c>
      <c r="T1658" s="8" t="n">
        <f aca="false">IF(I1658=0,Assumptions!$B$20,IF(H1658&gt;I1658,Assumptions!$B$19,IF(H1658=I1658,Assumptions!$B$20,Assumptions!$B$21)))</f>
        <v>30</v>
      </c>
      <c r="U1658" s="8" t="n">
        <f aca="false">ROUND(P1658*Assumptions!$B$2+Q1658*Assumptions!$B$3+R1658*Assumptions!$B$4+S1658*Assumptions!$B$5+T1658*Assumptions!$B$6,0)</f>
        <v>55</v>
      </c>
      <c r="V1658" s="8" t="str">
        <f aca="false">IF(U1658&gt;=Assumptions!$B$10,"Healthy",IF(U1658&gt;=Assumptions!$B$11,"Needs Attention","High Risk"))</f>
        <v>High Risk</v>
      </c>
    </row>
    <row r="1659" customFormat="false" ht="15" hidden="false" customHeight="false" outlineLevel="0" collapsed="false">
      <c r="A1659" s="8" t="s">
        <v>3460</v>
      </c>
      <c r="B1659" s="8" t="s">
        <v>3461</v>
      </c>
      <c r="C1659" s="8" t="s">
        <v>51</v>
      </c>
      <c r="D1659" s="8" t="s">
        <v>2027</v>
      </c>
      <c r="E1659" s="8" t="s">
        <v>117</v>
      </c>
      <c r="F1659" s="8" t="s">
        <v>190</v>
      </c>
      <c r="G1659" s="8" t="s">
        <v>147</v>
      </c>
      <c r="H1659" s="15" t="n">
        <v>264</v>
      </c>
      <c r="I1659" s="15" t="n">
        <v>264</v>
      </c>
      <c r="J1659" s="16" t="n">
        <v>0.727</v>
      </c>
      <c r="K1659" s="8" t="n">
        <v>9</v>
      </c>
      <c r="L1659" s="8" t="n">
        <v>8</v>
      </c>
      <c r="M1659" s="8" t="n">
        <v>0</v>
      </c>
      <c r="N1659" s="8" t="s">
        <v>148</v>
      </c>
      <c r="O1659" s="15" t="n">
        <f aca="false">H1659*12</f>
        <v>3168</v>
      </c>
      <c r="P1659" s="8" t="n">
        <f aca="false">MIN(100,ROUND(100*J1659/Assumptions!$B$8,0))</f>
        <v>81</v>
      </c>
      <c r="Q1659" s="8" t="n">
        <f aca="false">IF(L1659="",Assumptions!$B$9,L1659*10)</f>
        <v>80</v>
      </c>
      <c r="R1659" s="8" t="n">
        <f aca="false">IF(M1659&lt;=1,Assumptions!$B$12,IF(M1659&lt;=3,Assumptions!$B$13,IF(M1659&lt;=6,Assumptions!$B$14,Assumptions!$B$15)))</f>
        <v>100</v>
      </c>
      <c r="S1659" s="8" t="n">
        <f aca="false">IF(N1659="Completed On Time",Assumptions!$B$16,IF(N1659="Completed Late",Assumptions!$B$17,Assumptions!$B$18))</f>
        <v>60</v>
      </c>
      <c r="T1659" s="8" t="n">
        <f aca="false">IF(I1659=0,Assumptions!$B$20,IF(H1659&gt;I1659,Assumptions!$B$19,IF(H1659=I1659,Assumptions!$B$20,Assumptions!$B$21)))</f>
        <v>70</v>
      </c>
      <c r="U1659" s="8" t="n">
        <f aca="false">ROUND(P1659*Assumptions!$B$2+Q1659*Assumptions!$B$3+R1659*Assumptions!$B$4+S1659*Assumptions!$B$5+T1659*Assumptions!$B$6,0)</f>
        <v>79</v>
      </c>
      <c r="V1659" s="8" t="str">
        <f aca="false">IF(U1659&gt;=Assumptions!$B$10,"Healthy",IF(U1659&gt;=Assumptions!$B$11,"Needs Attention","High Risk"))</f>
        <v>Needs Attention</v>
      </c>
    </row>
    <row r="1660" customFormat="false" ht="15" hidden="false" customHeight="false" outlineLevel="0" collapsed="false">
      <c r="A1660" s="8" t="s">
        <v>3462</v>
      </c>
      <c r="B1660" s="8" t="s">
        <v>3463</v>
      </c>
      <c r="C1660" s="8" t="s">
        <v>51</v>
      </c>
      <c r="D1660" s="8" t="s">
        <v>2027</v>
      </c>
      <c r="E1660" s="8" t="s">
        <v>132</v>
      </c>
      <c r="F1660" s="8" t="s">
        <v>118</v>
      </c>
      <c r="G1660" s="8" t="s">
        <v>159</v>
      </c>
      <c r="H1660" s="15" t="n">
        <v>264</v>
      </c>
      <c r="I1660" s="15" t="n">
        <v>264</v>
      </c>
      <c r="J1660" s="16" t="n">
        <v>0.848</v>
      </c>
      <c r="K1660" s="8" t="n">
        <v>10.3</v>
      </c>
      <c r="L1660" s="8" t="n">
        <v>10</v>
      </c>
      <c r="M1660" s="8" t="n">
        <v>3</v>
      </c>
      <c r="N1660" s="8" t="s">
        <v>120</v>
      </c>
      <c r="O1660" s="15" t="n">
        <f aca="false">H1660*12</f>
        <v>3168</v>
      </c>
      <c r="P1660" s="8" t="n">
        <f aca="false">MIN(100,ROUND(100*J1660/Assumptions!$B$8,0))</f>
        <v>94</v>
      </c>
      <c r="Q1660" s="8" t="n">
        <f aca="false">IF(L1660="",Assumptions!$B$9,L1660*10)</f>
        <v>100</v>
      </c>
      <c r="R1660" s="8" t="n">
        <f aca="false">IF(M1660&lt;=1,Assumptions!$B$12,IF(M1660&lt;=3,Assumptions!$B$13,IF(M1660&lt;=6,Assumptions!$B$14,Assumptions!$B$15)))</f>
        <v>75</v>
      </c>
      <c r="S1660" s="8" t="n">
        <f aca="false">IF(N1660="Completed On Time",Assumptions!$B$16,IF(N1660="Completed Late",Assumptions!$B$17,Assumptions!$B$18))</f>
        <v>100</v>
      </c>
      <c r="T1660" s="8" t="n">
        <f aca="false">IF(I1660=0,Assumptions!$B$20,IF(H1660&gt;I1660,Assumptions!$B$19,IF(H1660=I1660,Assumptions!$B$20,Assumptions!$B$21)))</f>
        <v>70</v>
      </c>
      <c r="U1660" s="8" t="n">
        <f aca="false">ROUND(P1660*Assumptions!$B$2+Q1660*Assumptions!$B$3+R1660*Assumptions!$B$4+S1660*Assumptions!$B$5+T1660*Assumptions!$B$6,0)</f>
        <v>88</v>
      </c>
      <c r="V1660" s="8" t="str">
        <f aca="false">IF(U1660&gt;=Assumptions!$B$10,"Healthy",IF(U1660&gt;=Assumptions!$B$11,"Needs Attention","High Risk"))</f>
        <v>Healthy</v>
      </c>
    </row>
    <row r="1661" customFormat="false" ht="15" hidden="false" customHeight="false" outlineLevel="0" collapsed="false">
      <c r="A1661" s="8" t="s">
        <v>3464</v>
      </c>
      <c r="B1661" s="8" t="s">
        <v>3465</v>
      </c>
      <c r="C1661" s="8" t="s">
        <v>51</v>
      </c>
      <c r="D1661" s="8" t="s">
        <v>2027</v>
      </c>
      <c r="E1661" s="8" t="s">
        <v>117</v>
      </c>
      <c r="F1661" s="8" t="s">
        <v>154</v>
      </c>
      <c r="G1661" s="8" t="s">
        <v>129</v>
      </c>
      <c r="H1661" s="15" t="n">
        <v>264</v>
      </c>
      <c r="I1661" s="15" t="n">
        <v>264</v>
      </c>
      <c r="J1661" s="16" t="n">
        <v>0.833</v>
      </c>
      <c r="K1661" s="8" t="n">
        <v>9.7</v>
      </c>
      <c r="L1661" s="8" t="n">
        <v>9</v>
      </c>
      <c r="M1661" s="8" t="n">
        <v>5</v>
      </c>
      <c r="N1661" s="8" t="s">
        <v>120</v>
      </c>
      <c r="O1661" s="15" t="n">
        <f aca="false">H1661*12</f>
        <v>3168</v>
      </c>
      <c r="P1661" s="8" t="n">
        <f aca="false">MIN(100,ROUND(100*J1661/Assumptions!$B$8,0))</f>
        <v>93</v>
      </c>
      <c r="Q1661" s="8" t="n">
        <f aca="false">IF(L1661="",Assumptions!$B$9,L1661*10)</f>
        <v>90</v>
      </c>
      <c r="R1661" s="8" t="n">
        <f aca="false">IF(M1661&lt;=1,Assumptions!$B$12,IF(M1661&lt;=3,Assumptions!$B$13,IF(M1661&lt;=6,Assumptions!$B$14,Assumptions!$B$15)))</f>
        <v>50</v>
      </c>
      <c r="S1661" s="8" t="n">
        <f aca="false">IF(N1661="Completed On Time",Assumptions!$B$16,IF(N1661="Completed Late",Assumptions!$B$17,Assumptions!$B$18))</f>
        <v>100</v>
      </c>
      <c r="T1661" s="8" t="n">
        <f aca="false">IF(I1661=0,Assumptions!$B$20,IF(H1661&gt;I1661,Assumptions!$B$19,IF(H1661=I1661,Assumptions!$B$20,Assumptions!$B$21)))</f>
        <v>70</v>
      </c>
      <c r="U1661" s="8" t="n">
        <f aca="false">ROUND(P1661*Assumptions!$B$2+Q1661*Assumptions!$B$3+R1661*Assumptions!$B$4+S1661*Assumptions!$B$5+T1661*Assumptions!$B$6,0)</f>
        <v>82</v>
      </c>
      <c r="V1661" s="8" t="str">
        <f aca="false">IF(U1661&gt;=Assumptions!$B$10,"Healthy",IF(U1661&gt;=Assumptions!$B$11,"Needs Attention","High Risk"))</f>
        <v>Healthy</v>
      </c>
    </row>
    <row r="1662" customFormat="false" ht="15" hidden="false" customHeight="false" outlineLevel="0" collapsed="false">
      <c r="A1662" s="8" t="s">
        <v>3466</v>
      </c>
      <c r="B1662" s="8" t="s">
        <v>3467</v>
      </c>
      <c r="C1662" s="8" t="s">
        <v>51</v>
      </c>
      <c r="D1662" s="8" t="s">
        <v>2027</v>
      </c>
      <c r="E1662" s="8" t="s">
        <v>117</v>
      </c>
      <c r="F1662" s="8" t="s">
        <v>143</v>
      </c>
      <c r="G1662" s="8" t="s">
        <v>204</v>
      </c>
      <c r="H1662" s="15" t="n">
        <v>264</v>
      </c>
      <c r="I1662" s="15" t="n">
        <v>264</v>
      </c>
      <c r="J1662" s="16" t="n">
        <v>0.788</v>
      </c>
      <c r="K1662" s="8" t="n">
        <v>9.3</v>
      </c>
      <c r="L1662" s="8" t="n">
        <v>9</v>
      </c>
      <c r="M1662" s="8" t="n">
        <v>2</v>
      </c>
      <c r="N1662" s="8" t="s">
        <v>120</v>
      </c>
      <c r="O1662" s="15" t="n">
        <f aca="false">H1662*12</f>
        <v>3168</v>
      </c>
      <c r="P1662" s="8" t="n">
        <f aca="false">MIN(100,ROUND(100*J1662/Assumptions!$B$8,0))</f>
        <v>88</v>
      </c>
      <c r="Q1662" s="8" t="n">
        <f aca="false">IF(L1662="",Assumptions!$B$9,L1662*10)</f>
        <v>90</v>
      </c>
      <c r="R1662" s="8" t="n">
        <f aca="false">IF(M1662&lt;=1,Assumptions!$B$12,IF(M1662&lt;=3,Assumptions!$B$13,IF(M1662&lt;=6,Assumptions!$B$14,Assumptions!$B$15)))</f>
        <v>75</v>
      </c>
      <c r="S1662" s="8" t="n">
        <f aca="false">IF(N1662="Completed On Time",Assumptions!$B$16,IF(N1662="Completed Late",Assumptions!$B$17,Assumptions!$B$18))</f>
        <v>100</v>
      </c>
      <c r="T1662" s="8" t="n">
        <f aca="false">IF(I1662=0,Assumptions!$B$20,IF(H1662&gt;I1662,Assumptions!$B$19,IF(H1662=I1662,Assumptions!$B$20,Assumptions!$B$21)))</f>
        <v>70</v>
      </c>
      <c r="U1662" s="8" t="n">
        <f aca="false">ROUND(P1662*Assumptions!$B$2+Q1662*Assumptions!$B$3+R1662*Assumptions!$B$4+S1662*Assumptions!$B$5+T1662*Assumptions!$B$6,0)</f>
        <v>84</v>
      </c>
      <c r="V1662" s="8" t="str">
        <f aca="false">IF(U1662&gt;=Assumptions!$B$10,"Healthy",IF(U1662&gt;=Assumptions!$B$11,"Needs Attention","High Risk"))</f>
        <v>Healthy</v>
      </c>
    </row>
    <row r="1663" customFormat="false" ht="15" hidden="false" customHeight="false" outlineLevel="0" collapsed="false">
      <c r="A1663" s="8" t="s">
        <v>3468</v>
      </c>
      <c r="B1663" s="8" t="s">
        <v>3469</v>
      </c>
      <c r="C1663" s="8" t="s">
        <v>51</v>
      </c>
      <c r="D1663" s="8" t="s">
        <v>2027</v>
      </c>
      <c r="E1663" s="8" t="s">
        <v>123</v>
      </c>
      <c r="F1663" s="8" t="s">
        <v>143</v>
      </c>
      <c r="G1663" s="8" t="s">
        <v>140</v>
      </c>
      <c r="H1663" s="15" t="n">
        <v>264</v>
      </c>
      <c r="I1663" s="15" t="n">
        <v>324</v>
      </c>
      <c r="J1663" s="16" t="n">
        <v>0.712</v>
      </c>
      <c r="K1663" s="8" t="n">
        <v>8.3</v>
      </c>
      <c r="L1663" s="8" t="n">
        <v>10</v>
      </c>
      <c r="M1663" s="8" t="n">
        <v>2</v>
      </c>
      <c r="N1663" s="8" t="s">
        <v>120</v>
      </c>
      <c r="O1663" s="15" t="n">
        <f aca="false">H1663*12</f>
        <v>3168</v>
      </c>
      <c r="P1663" s="8" t="n">
        <f aca="false">MIN(100,ROUND(100*J1663/Assumptions!$B$8,0))</f>
        <v>79</v>
      </c>
      <c r="Q1663" s="8" t="n">
        <f aca="false">IF(L1663="",Assumptions!$B$9,L1663*10)</f>
        <v>100</v>
      </c>
      <c r="R1663" s="8" t="n">
        <f aca="false">IF(M1663&lt;=1,Assumptions!$B$12,IF(M1663&lt;=3,Assumptions!$B$13,IF(M1663&lt;=6,Assumptions!$B$14,Assumptions!$B$15)))</f>
        <v>75</v>
      </c>
      <c r="S1663" s="8" t="n">
        <f aca="false">IF(N1663="Completed On Time",Assumptions!$B$16,IF(N1663="Completed Late",Assumptions!$B$17,Assumptions!$B$18))</f>
        <v>100</v>
      </c>
      <c r="T1663" s="8" t="n">
        <f aca="false">IF(I1663=0,Assumptions!$B$20,IF(H1663&gt;I1663,Assumptions!$B$19,IF(H1663=I1663,Assumptions!$B$20,Assumptions!$B$21)))</f>
        <v>30</v>
      </c>
      <c r="U1663" s="8" t="n">
        <f aca="false">ROUND(P1663*Assumptions!$B$2+Q1663*Assumptions!$B$3+R1663*Assumptions!$B$4+S1663*Assumptions!$B$5+T1663*Assumptions!$B$6,0)</f>
        <v>75</v>
      </c>
      <c r="V1663" s="8" t="str">
        <f aca="false">IF(U1663&gt;=Assumptions!$B$10,"Healthy",IF(U1663&gt;=Assumptions!$B$11,"Needs Attention","High Risk"))</f>
        <v>Needs Attention</v>
      </c>
    </row>
    <row r="1664" customFormat="false" ht="15" hidden="false" customHeight="false" outlineLevel="0" collapsed="false">
      <c r="A1664" s="8" t="s">
        <v>3470</v>
      </c>
      <c r="B1664" s="8" t="s">
        <v>3471</v>
      </c>
      <c r="C1664" s="8" t="s">
        <v>51</v>
      </c>
      <c r="D1664" s="8" t="s">
        <v>2027</v>
      </c>
      <c r="E1664" s="8" t="s">
        <v>117</v>
      </c>
      <c r="F1664" s="8" t="s">
        <v>118</v>
      </c>
      <c r="G1664" s="8" t="s">
        <v>125</v>
      </c>
      <c r="H1664" s="15" t="n">
        <v>264</v>
      </c>
      <c r="I1664" s="15" t="n">
        <v>264</v>
      </c>
      <c r="J1664" s="16" t="n">
        <v>0.833</v>
      </c>
      <c r="K1664" s="8" t="n">
        <v>9.3</v>
      </c>
      <c r="L1664" s="8" t="n">
        <v>10</v>
      </c>
      <c r="M1664" s="8" t="n">
        <v>1</v>
      </c>
      <c r="N1664" s="8" t="s">
        <v>120</v>
      </c>
      <c r="O1664" s="15" t="n">
        <f aca="false">H1664*12</f>
        <v>3168</v>
      </c>
      <c r="P1664" s="8" t="n">
        <f aca="false">MIN(100,ROUND(100*J1664/Assumptions!$B$8,0))</f>
        <v>93</v>
      </c>
      <c r="Q1664" s="8" t="n">
        <f aca="false">IF(L1664="",Assumptions!$B$9,L1664*10)</f>
        <v>100</v>
      </c>
      <c r="R1664" s="8" t="n">
        <f aca="false">IF(M1664&lt;=1,Assumptions!$B$12,IF(M1664&lt;=3,Assumptions!$B$13,IF(M1664&lt;=6,Assumptions!$B$14,Assumptions!$B$15)))</f>
        <v>100</v>
      </c>
      <c r="S1664" s="8" t="n">
        <f aca="false">IF(N1664="Completed On Time",Assumptions!$B$16,IF(N1664="Completed Late",Assumptions!$B$17,Assumptions!$B$18))</f>
        <v>100</v>
      </c>
      <c r="T1664" s="8" t="n">
        <f aca="false">IF(I1664=0,Assumptions!$B$20,IF(H1664&gt;I1664,Assumptions!$B$19,IF(H1664=I1664,Assumptions!$B$20,Assumptions!$B$21)))</f>
        <v>70</v>
      </c>
      <c r="U1664" s="8" t="n">
        <f aca="false">ROUND(P1664*Assumptions!$B$2+Q1664*Assumptions!$B$3+R1664*Assumptions!$B$4+S1664*Assumptions!$B$5+T1664*Assumptions!$B$6,0)</f>
        <v>92</v>
      </c>
      <c r="V1664" s="8" t="str">
        <f aca="false">IF(U1664&gt;=Assumptions!$B$10,"Healthy",IF(U1664&gt;=Assumptions!$B$11,"Needs Attention","High Risk"))</f>
        <v>Healthy</v>
      </c>
    </row>
    <row r="1665" customFormat="false" ht="15" hidden="false" customHeight="false" outlineLevel="0" collapsed="false">
      <c r="A1665" s="8" t="s">
        <v>3472</v>
      </c>
      <c r="B1665" s="8" t="s">
        <v>3473</v>
      </c>
      <c r="C1665" s="8" t="s">
        <v>51</v>
      </c>
      <c r="D1665" s="8" t="s">
        <v>2027</v>
      </c>
      <c r="E1665" s="8" t="s">
        <v>123</v>
      </c>
      <c r="F1665" s="8" t="s">
        <v>133</v>
      </c>
      <c r="G1665" s="8" t="s">
        <v>129</v>
      </c>
      <c r="H1665" s="15" t="n">
        <v>264</v>
      </c>
      <c r="I1665" s="15" t="n">
        <v>264</v>
      </c>
      <c r="J1665" s="16" t="n">
        <v>0.697</v>
      </c>
      <c r="K1665" s="8" t="n">
        <v>7</v>
      </c>
      <c r="L1665" s="8" t="n">
        <v>8</v>
      </c>
      <c r="M1665" s="8" t="n">
        <v>4</v>
      </c>
      <c r="N1665" s="8" t="s">
        <v>120</v>
      </c>
      <c r="O1665" s="15" t="n">
        <f aca="false">H1665*12</f>
        <v>3168</v>
      </c>
      <c r="P1665" s="8" t="n">
        <f aca="false">MIN(100,ROUND(100*J1665/Assumptions!$B$8,0))</f>
        <v>77</v>
      </c>
      <c r="Q1665" s="8" t="n">
        <f aca="false">IF(L1665="",Assumptions!$B$9,L1665*10)</f>
        <v>80</v>
      </c>
      <c r="R1665" s="8" t="n">
        <f aca="false">IF(M1665&lt;=1,Assumptions!$B$12,IF(M1665&lt;=3,Assumptions!$B$13,IF(M1665&lt;=6,Assumptions!$B$14,Assumptions!$B$15)))</f>
        <v>50</v>
      </c>
      <c r="S1665" s="8" t="n">
        <f aca="false">IF(N1665="Completed On Time",Assumptions!$B$16,IF(N1665="Completed Late",Assumptions!$B$17,Assumptions!$B$18))</f>
        <v>100</v>
      </c>
      <c r="T1665" s="8" t="n">
        <f aca="false">IF(I1665=0,Assumptions!$B$20,IF(H1665&gt;I1665,Assumptions!$B$19,IF(H1665=I1665,Assumptions!$B$20,Assumptions!$B$21)))</f>
        <v>70</v>
      </c>
      <c r="U1665" s="8" t="n">
        <f aca="false">ROUND(P1665*Assumptions!$B$2+Q1665*Assumptions!$B$3+R1665*Assumptions!$B$4+S1665*Assumptions!$B$5+T1665*Assumptions!$B$6,0)</f>
        <v>74</v>
      </c>
      <c r="V1665" s="8" t="str">
        <f aca="false">IF(U1665&gt;=Assumptions!$B$10,"Healthy",IF(U1665&gt;=Assumptions!$B$11,"Needs Attention","High Risk"))</f>
        <v>Needs Attention</v>
      </c>
    </row>
    <row r="1666" customFormat="false" ht="15" hidden="false" customHeight="false" outlineLevel="0" collapsed="false">
      <c r="A1666" s="8" t="s">
        <v>3474</v>
      </c>
      <c r="B1666" s="8" t="s">
        <v>3475</v>
      </c>
      <c r="C1666" s="8" t="s">
        <v>51</v>
      </c>
      <c r="D1666" s="8" t="s">
        <v>2027</v>
      </c>
      <c r="E1666" s="8" t="s">
        <v>123</v>
      </c>
      <c r="F1666" s="8" t="s">
        <v>133</v>
      </c>
      <c r="G1666" s="8" t="s">
        <v>129</v>
      </c>
      <c r="H1666" s="15" t="n">
        <v>264</v>
      </c>
      <c r="I1666" s="15" t="n">
        <v>264</v>
      </c>
      <c r="J1666" s="16" t="n">
        <v>0.742</v>
      </c>
      <c r="K1666" s="8" t="n">
        <v>7.7</v>
      </c>
      <c r="L1666" s="8" t="n">
        <v>8</v>
      </c>
      <c r="M1666" s="8" t="n">
        <v>3</v>
      </c>
      <c r="N1666" s="8" t="s">
        <v>120</v>
      </c>
      <c r="O1666" s="15" t="n">
        <f aca="false">H1666*12</f>
        <v>3168</v>
      </c>
      <c r="P1666" s="8" t="n">
        <f aca="false">MIN(100,ROUND(100*J1666/Assumptions!$B$8,0))</f>
        <v>82</v>
      </c>
      <c r="Q1666" s="8" t="n">
        <f aca="false">IF(L1666="",Assumptions!$B$9,L1666*10)</f>
        <v>80</v>
      </c>
      <c r="R1666" s="8" t="n">
        <f aca="false">IF(M1666&lt;=1,Assumptions!$B$12,IF(M1666&lt;=3,Assumptions!$B$13,IF(M1666&lt;=6,Assumptions!$B$14,Assumptions!$B$15)))</f>
        <v>75</v>
      </c>
      <c r="S1666" s="8" t="n">
        <f aca="false">IF(N1666="Completed On Time",Assumptions!$B$16,IF(N1666="Completed Late",Assumptions!$B$17,Assumptions!$B$18))</f>
        <v>100</v>
      </c>
      <c r="T1666" s="8" t="n">
        <f aca="false">IF(I1666=0,Assumptions!$B$20,IF(H1666&gt;I1666,Assumptions!$B$19,IF(H1666=I1666,Assumptions!$B$20,Assumptions!$B$21)))</f>
        <v>70</v>
      </c>
      <c r="U1666" s="8" t="n">
        <f aca="false">ROUND(P1666*Assumptions!$B$2+Q1666*Assumptions!$B$3+R1666*Assumptions!$B$4+S1666*Assumptions!$B$5+T1666*Assumptions!$B$6,0)</f>
        <v>80</v>
      </c>
      <c r="V1666" s="8" t="str">
        <f aca="false">IF(U1666&gt;=Assumptions!$B$10,"Healthy",IF(U1666&gt;=Assumptions!$B$11,"Needs Attention","High Risk"))</f>
        <v>Healthy</v>
      </c>
    </row>
    <row r="1667" customFormat="false" ht="15" hidden="false" customHeight="false" outlineLevel="0" collapsed="false">
      <c r="A1667" s="8" t="s">
        <v>3476</v>
      </c>
      <c r="B1667" s="8" t="s">
        <v>3477</v>
      </c>
      <c r="C1667" s="8" t="s">
        <v>51</v>
      </c>
      <c r="D1667" s="8" t="s">
        <v>2027</v>
      </c>
      <c r="E1667" s="8" t="s">
        <v>123</v>
      </c>
      <c r="F1667" s="8" t="s">
        <v>154</v>
      </c>
      <c r="G1667" s="8" t="s">
        <v>204</v>
      </c>
      <c r="H1667" s="15" t="n">
        <v>264</v>
      </c>
      <c r="I1667" s="15" t="n">
        <v>264</v>
      </c>
      <c r="J1667" s="16" t="n">
        <v>0.818</v>
      </c>
      <c r="K1667" s="8" t="n">
        <v>11</v>
      </c>
      <c r="L1667" s="8" t="n">
        <v>8</v>
      </c>
      <c r="M1667" s="8" t="n">
        <v>0</v>
      </c>
      <c r="N1667" s="8" t="s">
        <v>120</v>
      </c>
      <c r="O1667" s="15" t="n">
        <f aca="false">H1667*12</f>
        <v>3168</v>
      </c>
      <c r="P1667" s="8" t="n">
        <f aca="false">MIN(100,ROUND(100*J1667/Assumptions!$B$8,0))</f>
        <v>91</v>
      </c>
      <c r="Q1667" s="8" t="n">
        <f aca="false">IF(L1667="",Assumptions!$B$9,L1667*10)</f>
        <v>80</v>
      </c>
      <c r="R1667" s="8" t="n">
        <f aca="false">IF(M1667&lt;=1,Assumptions!$B$12,IF(M1667&lt;=3,Assumptions!$B$13,IF(M1667&lt;=6,Assumptions!$B$14,Assumptions!$B$15)))</f>
        <v>100</v>
      </c>
      <c r="S1667" s="8" t="n">
        <f aca="false">IF(N1667="Completed On Time",Assumptions!$B$16,IF(N1667="Completed Late",Assumptions!$B$17,Assumptions!$B$18))</f>
        <v>100</v>
      </c>
      <c r="T1667" s="8" t="n">
        <f aca="false">IF(I1667=0,Assumptions!$B$20,IF(H1667&gt;I1667,Assumptions!$B$19,IF(H1667=I1667,Assumptions!$B$20,Assumptions!$B$21)))</f>
        <v>70</v>
      </c>
      <c r="U1667" s="8" t="n">
        <f aca="false">ROUND(P1667*Assumptions!$B$2+Q1667*Assumptions!$B$3+R1667*Assumptions!$B$4+S1667*Assumptions!$B$5+T1667*Assumptions!$B$6,0)</f>
        <v>87</v>
      </c>
      <c r="V1667" s="8" t="str">
        <f aca="false">IF(U1667&gt;=Assumptions!$B$10,"Healthy",IF(U1667&gt;=Assumptions!$B$11,"Needs Attention","High Risk"))</f>
        <v>Healthy</v>
      </c>
    </row>
    <row r="1668" customFormat="false" ht="15" hidden="false" customHeight="false" outlineLevel="0" collapsed="false">
      <c r="A1668" s="8" t="s">
        <v>3478</v>
      </c>
      <c r="B1668" s="8" t="s">
        <v>3479</v>
      </c>
      <c r="C1668" s="8" t="s">
        <v>51</v>
      </c>
      <c r="D1668" s="8" t="s">
        <v>2027</v>
      </c>
      <c r="E1668" s="8" t="s">
        <v>117</v>
      </c>
      <c r="F1668" s="8" t="s">
        <v>154</v>
      </c>
      <c r="G1668" s="8" t="s">
        <v>144</v>
      </c>
      <c r="H1668" s="15" t="n">
        <v>264</v>
      </c>
      <c r="I1668" s="15" t="n">
        <v>300</v>
      </c>
      <c r="J1668" s="16" t="n">
        <v>0.909</v>
      </c>
      <c r="K1668" s="8" t="n">
        <v>10</v>
      </c>
      <c r="L1668" s="8" t="n">
        <v>9</v>
      </c>
      <c r="M1668" s="8" t="n">
        <v>0</v>
      </c>
      <c r="N1668" s="8" t="s">
        <v>120</v>
      </c>
      <c r="O1668" s="15" t="n">
        <f aca="false">H1668*12</f>
        <v>3168</v>
      </c>
      <c r="P1668" s="8" t="n">
        <f aca="false">MIN(100,ROUND(100*J1668/Assumptions!$B$8,0))</f>
        <v>100</v>
      </c>
      <c r="Q1668" s="8" t="n">
        <f aca="false">IF(L1668="",Assumptions!$B$9,L1668*10)</f>
        <v>90</v>
      </c>
      <c r="R1668" s="8" t="n">
        <f aca="false">IF(M1668&lt;=1,Assumptions!$B$12,IF(M1668&lt;=3,Assumptions!$B$13,IF(M1668&lt;=6,Assumptions!$B$14,Assumptions!$B$15)))</f>
        <v>100</v>
      </c>
      <c r="S1668" s="8" t="n">
        <f aca="false">IF(N1668="Completed On Time",Assumptions!$B$16,IF(N1668="Completed Late",Assumptions!$B$17,Assumptions!$B$18))</f>
        <v>100</v>
      </c>
      <c r="T1668" s="8" t="n">
        <f aca="false">IF(I1668=0,Assumptions!$B$20,IF(H1668&gt;I1668,Assumptions!$B$19,IF(H1668=I1668,Assumptions!$B$20,Assumptions!$B$21)))</f>
        <v>30</v>
      </c>
      <c r="U1668" s="8" t="n">
        <f aca="false">ROUND(P1668*Assumptions!$B$2+Q1668*Assumptions!$B$3+R1668*Assumptions!$B$4+S1668*Assumptions!$B$5+T1668*Assumptions!$B$6,0)</f>
        <v>84</v>
      </c>
      <c r="V1668" s="8" t="str">
        <f aca="false">IF(U1668&gt;=Assumptions!$B$10,"Healthy",IF(U1668&gt;=Assumptions!$B$11,"Needs Attention","High Risk"))</f>
        <v>Healthy</v>
      </c>
    </row>
    <row r="1669" customFormat="false" ht="15" hidden="false" customHeight="false" outlineLevel="0" collapsed="false">
      <c r="A1669" s="8" t="s">
        <v>3480</v>
      </c>
      <c r="B1669" s="8" t="s">
        <v>3481</v>
      </c>
      <c r="C1669" s="8" t="s">
        <v>51</v>
      </c>
      <c r="D1669" s="8" t="s">
        <v>2027</v>
      </c>
      <c r="E1669" s="8" t="s">
        <v>128</v>
      </c>
      <c r="F1669" s="8" t="s">
        <v>223</v>
      </c>
      <c r="G1669" s="8" t="s">
        <v>185</v>
      </c>
      <c r="H1669" s="15" t="n">
        <v>264</v>
      </c>
      <c r="I1669" s="15" t="n">
        <v>264</v>
      </c>
      <c r="J1669" s="16" t="n">
        <v>0.621</v>
      </c>
      <c r="K1669" s="8" t="n">
        <v>8</v>
      </c>
      <c r="L1669" s="8" t="n">
        <v>10</v>
      </c>
      <c r="M1669" s="8" t="n">
        <v>3</v>
      </c>
      <c r="N1669" s="8" t="s">
        <v>120</v>
      </c>
      <c r="O1669" s="15" t="n">
        <f aca="false">H1669*12</f>
        <v>3168</v>
      </c>
      <c r="P1669" s="8" t="n">
        <f aca="false">MIN(100,ROUND(100*J1669/Assumptions!$B$8,0))</f>
        <v>69</v>
      </c>
      <c r="Q1669" s="8" t="n">
        <f aca="false">IF(L1669="",Assumptions!$B$9,L1669*10)</f>
        <v>100</v>
      </c>
      <c r="R1669" s="8" t="n">
        <f aca="false">IF(M1669&lt;=1,Assumptions!$B$12,IF(M1669&lt;=3,Assumptions!$B$13,IF(M1669&lt;=6,Assumptions!$B$14,Assumptions!$B$15)))</f>
        <v>75</v>
      </c>
      <c r="S1669" s="8" t="n">
        <f aca="false">IF(N1669="Completed On Time",Assumptions!$B$16,IF(N1669="Completed Late",Assumptions!$B$17,Assumptions!$B$18))</f>
        <v>100</v>
      </c>
      <c r="T1669" s="8" t="n">
        <f aca="false">IF(I1669=0,Assumptions!$B$20,IF(H1669&gt;I1669,Assumptions!$B$19,IF(H1669=I1669,Assumptions!$B$20,Assumptions!$B$21)))</f>
        <v>70</v>
      </c>
      <c r="U1669" s="8" t="n">
        <f aca="false">ROUND(P1669*Assumptions!$B$2+Q1669*Assumptions!$B$3+R1669*Assumptions!$B$4+S1669*Assumptions!$B$5+T1669*Assumptions!$B$6,0)</f>
        <v>79</v>
      </c>
      <c r="V1669" s="8" t="str">
        <f aca="false">IF(U1669&gt;=Assumptions!$B$10,"Healthy",IF(U1669&gt;=Assumptions!$B$11,"Needs Attention","High Risk"))</f>
        <v>Needs Attention</v>
      </c>
    </row>
    <row r="1670" customFormat="false" ht="15" hidden="false" customHeight="false" outlineLevel="0" collapsed="false">
      <c r="A1670" s="8" t="s">
        <v>3482</v>
      </c>
      <c r="B1670" s="8" t="s">
        <v>3483</v>
      </c>
      <c r="C1670" s="8" t="s">
        <v>51</v>
      </c>
      <c r="D1670" s="8" t="s">
        <v>2027</v>
      </c>
      <c r="E1670" s="8" t="s">
        <v>123</v>
      </c>
      <c r="F1670" s="8" t="s">
        <v>154</v>
      </c>
      <c r="G1670" s="8" t="s">
        <v>129</v>
      </c>
      <c r="H1670" s="15" t="n">
        <v>264</v>
      </c>
      <c r="I1670" s="15" t="n">
        <v>264</v>
      </c>
      <c r="J1670" s="16" t="n">
        <v>0.561</v>
      </c>
      <c r="K1670" s="8" t="n">
        <v>6.7</v>
      </c>
      <c r="L1670" s="8" t="n">
        <v>6</v>
      </c>
      <c r="M1670" s="8" t="n">
        <v>5</v>
      </c>
      <c r="N1670" s="8" t="s">
        <v>120</v>
      </c>
      <c r="O1670" s="15" t="n">
        <f aca="false">H1670*12</f>
        <v>3168</v>
      </c>
      <c r="P1670" s="8" t="n">
        <f aca="false">MIN(100,ROUND(100*J1670/Assumptions!$B$8,0))</f>
        <v>62</v>
      </c>
      <c r="Q1670" s="8" t="n">
        <f aca="false">IF(L1670="",Assumptions!$B$9,L1670*10)</f>
        <v>60</v>
      </c>
      <c r="R1670" s="8" t="n">
        <f aca="false">IF(M1670&lt;=1,Assumptions!$B$12,IF(M1670&lt;=3,Assumptions!$B$13,IF(M1670&lt;=6,Assumptions!$B$14,Assumptions!$B$15)))</f>
        <v>50</v>
      </c>
      <c r="S1670" s="8" t="n">
        <f aca="false">IF(N1670="Completed On Time",Assumptions!$B$16,IF(N1670="Completed Late",Assumptions!$B$17,Assumptions!$B$18))</f>
        <v>100</v>
      </c>
      <c r="T1670" s="8" t="n">
        <f aca="false">IF(I1670=0,Assumptions!$B$20,IF(H1670&gt;I1670,Assumptions!$B$19,IF(H1670=I1670,Assumptions!$B$20,Assumptions!$B$21)))</f>
        <v>70</v>
      </c>
      <c r="U1670" s="8" t="n">
        <f aca="false">ROUND(P1670*Assumptions!$B$2+Q1670*Assumptions!$B$3+R1670*Assumptions!$B$4+S1670*Assumptions!$B$5+T1670*Assumptions!$B$6,0)</f>
        <v>65</v>
      </c>
      <c r="V1670" s="8" t="str">
        <f aca="false">IF(U1670&gt;=Assumptions!$B$10,"Healthy",IF(U1670&gt;=Assumptions!$B$11,"Needs Attention","High Risk"))</f>
        <v>Needs Attention</v>
      </c>
    </row>
    <row r="1671" customFormat="false" ht="15" hidden="false" customHeight="false" outlineLevel="0" collapsed="false">
      <c r="A1671" s="8" t="s">
        <v>3484</v>
      </c>
      <c r="B1671" s="8" t="s">
        <v>3485</v>
      </c>
      <c r="C1671" s="8" t="s">
        <v>51</v>
      </c>
      <c r="D1671" s="8" t="s">
        <v>2027</v>
      </c>
      <c r="E1671" s="8" t="s">
        <v>123</v>
      </c>
      <c r="F1671" s="8" t="s">
        <v>124</v>
      </c>
      <c r="G1671" s="8" t="s">
        <v>180</v>
      </c>
      <c r="H1671" s="15" t="n">
        <v>264</v>
      </c>
      <c r="I1671" s="15" t="n">
        <v>264</v>
      </c>
      <c r="J1671" s="16" t="n">
        <v>0.788</v>
      </c>
      <c r="K1671" s="8" t="n">
        <v>9.3</v>
      </c>
      <c r="L1671" s="8" t="n">
        <v>10</v>
      </c>
      <c r="M1671" s="8" t="n">
        <v>1</v>
      </c>
      <c r="N1671" s="8" t="s">
        <v>120</v>
      </c>
      <c r="O1671" s="15" t="n">
        <f aca="false">H1671*12</f>
        <v>3168</v>
      </c>
      <c r="P1671" s="8" t="n">
        <f aca="false">MIN(100,ROUND(100*J1671/Assumptions!$B$8,0))</f>
        <v>88</v>
      </c>
      <c r="Q1671" s="8" t="n">
        <f aca="false">IF(L1671="",Assumptions!$B$9,L1671*10)</f>
        <v>100</v>
      </c>
      <c r="R1671" s="8" t="n">
        <f aca="false">IF(M1671&lt;=1,Assumptions!$B$12,IF(M1671&lt;=3,Assumptions!$B$13,IF(M1671&lt;=6,Assumptions!$B$14,Assumptions!$B$15)))</f>
        <v>100</v>
      </c>
      <c r="S1671" s="8" t="n">
        <f aca="false">IF(N1671="Completed On Time",Assumptions!$B$16,IF(N1671="Completed Late",Assumptions!$B$17,Assumptions!$B$18))</f>
        <v>100</v>
      </c>
      <c r="T1671" s="8" t="n">
        <f aca="false">IF(I1671=0,Assumptions!$B$20,IF(H1671&gt;I1671,Assumptions!$B$19,IF(H1671=I1671,Assumptions!$B$20,Assumptions!$B$21)))</f>
        <v>70</v>
      </c>
      <c r="U1671" s="8" t="n">
        <f aca="false">ROUND(P1671*Assumptions!$B$2+Q1671*Assumptions!$B$3+R1671*Assumptions!$B$4+S1671*Assumptions!$B$5+T1671*Assumptions!$B$6,0)</f>
        <v>90</v>
      </c>
      <c r="V1671" s="8" t="str">
        <f aca="false">IF(U1671&gt;=Assumptions!$B$10,"Healthy",IF(U1671&gt;=Assumptions!$B$11,"Needs Attention","High Risk"))</f>
        <v>Healthy</v>
      </c>
    </row>
    <row r="1672" customFormat="false" ht="15" hidden="false" customHeight="false" outlineLevel="0" collapsed="false">
      <c r="A1672" s="8" t="s">
        <v>3486</v>
      </c>
      <c r="B1672" s="8" t="s">
        <v>3487</v>
      </c>
      <c r="C1672" s="8" t="s">
        <v>51</v>
      </c>
      <c r="D1672" s="8" t="s">
        <v>2027</v>
      </c>
      <c r="E1672" s="8" t="s">
        <v>123</v>
      </c>
      <c r="F1672" s="8" t="s">
        <v>166</v>
      </c>
      <c r="G1672" s="8" t="s">
        <v>129</v>
      </c>
      <c r="H1672" s="15" t="n">
        <v>252</v>
      </c>
      <c r="I1672" s="15" t="n">
        <v>336</v>
      </c>
      <c r="J1672" s="16" t="n">
        <v>0.81</v>
      </c>
      <c r="K1672" s="8" t="n">
        <v>9.3</v>
      </c>
      <c r="L1672" s="8" t="n">
        <v>9</v>
      </c>
      <c r="M1672" s="8" t="n">
        <v>6</v>
      </c>
      <c r="N1672" s="8" t="s">
        <v>120</v>
      </c>
      <c r="O1672" s="15" t="n">
        <f aca="false">H1672*12</f>
        <v>3024</v>
      </c>
      <c r="P1672" s="8" t="n">
        <f aca="false">MIN(100,ROUND(100*J1672/Assumptions!$B$8,0))</f>
        <v>90</v>
      </c>
      <c r="Q1672" s="8" t="n">
        <f aca="false">IF(L1672="",Assumptions!$B$9,L1672*10)</f>
        <v>90</v>
      </c>
      <c r="R1672" s="8" t="n">
        <f aca="false">IF(M1672&lt;=1,Assumptions!$B$12,IF(M1672&lt;=3,Assumptions!$B$13,IF(M1672&lt;=6,Assumptions!$B$14,Assumptions!$B$15)))</f>
        <v>50</v>
      </c>
      <c r="S1672" s="8" t="n">
        <f aca="false">IF(N1672="Completed On Time",Assumptions!$B$16,IF(N1672="Completed Late",Assumptions!$B$17,Assumptions!$B$18))</f>
        <v>100</v>
      </c>
      <c r="T1672" s="8" t="n">
        <f aca="false">IF(I1672=0,Assumptions!$B$20,IF(H1672&gt;I1672,Assumptions!$B$19,IF(H1672=I1672,Assumptions!$B$20,Assumptions!$B$21)))</f>
        <v>30</v>
      </c>
      <c r="U1672" s="8" t="n">
        <f aca="false">ROUND(P1672*Assumptions!$B$2+Q1672*Assumptions!$B$3+R1672*Assumptions!$B$4+S1672*Assumptions!$B$5+T1672*Assumptions!$B$6,0)</f>
        <v>73</v>
      </c>
      <c r="V1672" s="8" t="str">
        <f aca="false">IF(U1672&gt;=Assumptions!$B$10,"Healthy",IF(U1672&gt;=Assumptions!$B$11,"Needs Attention","High Risk"))</f>
        <v>Needs Attention</v>
      </c>
    </row>
    <row r="1673" customFormat="false" ht="15" hidden="false" customHeight="false" outlineLevel="0" collapsed="false">
      <c r="A1673" s="8" t="s">
        <v>3488</v>
      </c>
      <c r="B1673" s="8" t="s">
        <v>3489</v>
      </c>
      <c r="C1673" s="8" t="s">
        <v>51</v>
      </c>
      <c r="D1673" s="8" t="s">
        <v>2027</v>
      </c>
      <c r="E1673" s="8" t="s">
        <v>123</v>
      </c>
      <c r="F1673" s="8" t="s">
        <v>154</v>
      </c>
      <c r="G1673" s="8" t="s">
        <v>140</v>
      </c>
      <c r="H1673" s="15" t="n">
        <v>252</v>
      </c>
      <c r="I1673" s="15" t="n">
        <v>252</v>
      </c>
      <c r="J1673" s="16" t="n">
        <v>0.937</v>
      </c>
      <c r="K1673" s="8" t="n">
        <v>10.7</v>
      </c>
      <c r="L1673" s="8" t="n">
        <v>8</v>
      </c>
      <c r="M1673" s="8" t="n">
        <v>1</v>
      </c>
      <c r="N1673" s="8" t="s">
        <v>120</v>
      </c>
      <c r="O1673" s="15" t="n">
        <f aca="false">H1673*12</f>
        <v>3024</v>
      </c>
      <c r="P1673" s="8" t="n">
        <f aca="false">MIN(100,ROUND(100*J1673/Assumptions!$B$8,0))</f>
        <v>100</v>
      </c>
      <c r="Q1673" s="8" t="n">
        <f aca="false">IF(L1673="",Assumptions!$B$9,L1673*10)</f>
        <v>80</v>
      </c>
      <c r="R1673" s="8" t="n">
        <f aca="false">IF(M1673&lt;=1,Assumptions!$B$12,IF(M1673&lt;=3,Assumptions!$B$13,IF(M1673&lt;=6,Assumptions!$B$14,Assumptions!$B$15)))</f>
        <v>100</v>
      </c>
      <c r="S1673" s="8" t="n">
        <f aca="false">IF(N1673="Completed On Time",Assumptions!$B$16,IF(N1673="Completed Late",Assumptions!$B$17,Assumptions!$B$18))</f>
        <v>100</v>
      </c>
      <c r="T1673" s="8" t="n">
        <f aca="false">IF(I1673=0,Assumptions!$B$20,IF(H1673&gt;I1673,Assumptions!$B$19,IF(H1673=I1673,Assumptions!$B$20,Assumptions!$B$21)))</f>
        <v>70</v>
      </c>
      <c r="U1673" s="8" t="n">
        <f aca="false">ROUND(P1673*Assumptions!$B$2+Q1673*Assumptions!$B$3+R1673*Assumptions!$B$4+S1673*Assumptions!$B$5+T1673*Assumptions!$B$6,0)</f>
        <v>90</v>
      </c>
      <c r="V1673" s="8" t="str">
        <f aca="false">IF(U1673&gt;=Assumptions!$B$10,"Healthy",IF(U1673&gt;=Assumptions!$B$11,"Needs Attention","High Risk"))</f>
        <v>Healthy</v>
      </c>
    </row>
    <row r="1674" customFormat="false" ht="15" hidden="false" customHeight="false" outlineLevel="0" collapsed="false">
      <c r="A1674" s="8" t="s">
        <v>3490</v>
      </c>
      <c r="B1674" s="8" t="s">
        <v>3491</v>
      </c>
      <c r="C1674" s="8" t="s">
        <v>51</v>
      </c>
      <c r="D1674" s="8" t="s">
        <v>2027</v>
      </c>
      <c r="E1674" s="8" t="s">
        <v>132</v>
      </c>
      <c r="F1674" s="8" t="s">
        <v>151</v>
      </c>
      <c r="G1674" s="8" t="s">
        <v>185</v>
      </c>
      <c r="H1674" s="15" t="n">
        <v>252</v>
      </c>
      <c r="I1674" s="15" t="n">
        <v>192</v>
      </c>
      <c r="J1674" s="16" t="n">
        <v>0.619</v>
      </c>
      <c r="K1674" s="8" t="n">
        <v>6.7</v>
      </c>
      <c r="L1674" s="8" t="n">
        <v>7</v>
      </c>
      <c r="M1674" s="8" t="n">
        <v>4</v>
      </c>
      <c r="N1674" s="8" t="s">
        <v>120</v>
      </c>
      <c r="O1674" s="15" t="n">
        <f aca="false">H1674*12</f>
        <v>3024</v>
      </c>
      <c r="P1674" s="8" t="n">
        <f aca="false">MIN(100,ROUND(100*J1674/Assumptions!$B$8,0))</f>
        <v>69</v>
      </c>
      <c r="Q1674" s="8" t="n">
        <f aca="false">IF(L1674="",Assumptions!$B$9,L1674*10)</f>
        <v>70</v>
      </c>
      <c r="R1674" s="8" t="n">
        <f aca="false">IF(M1674&lt;=1,Assumptions!$B$12,IF(M1674&lt;=3,Assumptions!$B$13,IF(M1674&lt;=6,Assumptions!$B$14,Assumptions!$B$15)))</f>
        <v>50</v>
      </c>
      <c r="S1674" s="8" t="n">
        <f aca="false">IF(N1674="Completed On Time",Assumptions!$B$16,IF(N1674="Completed Late",Assumptions!$B$17,Assumptions!$B$18))</f>
        <v>100</v>
      </c>
      <c r="T1674" s="8" t="n">
        <f aca="false">IF(I1674=0,Assumptions!$B$20,IF(H1674&gt;I1674,Assumptions!$B$19,IF(H1674=I1674,Assumptions!$B$20,Assumptions!$B$21)))</f>
        <v>100</v>
      </c>
      <c r="U1674" s="8" t="n">
        <f aca="false">ROUND(P1674*Assumptions!$B$2+Q1674*Assumptions!$B$3+R1674*Assumptions!$B$4+S1674*Assumptions!$B$5+T1674*Assumptions!$B$6,0)</f>
        <v>76</v>
      </c>
      <c r="V1674" s="8" t="str">
        <f aca="false">IF(U1674&gt;=Assumptions!$B$10,"Healthy",IF(U1674&gt;=Assumptions!$B$11,"Needs Attention","High Risk"))</f>
        <v>Needs Attention</v>
      </c>
    </row>
    <row r="1675" customFormat="false" ht="15" hidden="false" customHeight="false" outlineLevel="0" collapsed="false">
      <c r="A1675" s="8" t="s">
        <v>3492</v>
      </c>
      <c r="B1675" s="8" t="s">
        <v>3493</v>
      </c>
      <c r="C1675" s="8" t="s">
        <v>51</v>
      </c>
      <c r="D1675" s="8" t="s">
        <v>2027</v>
      </c>
      <c r="E1675" s="8" t="s">
        <v>132</v>
      </c>
      <c r="F1675" s="8" t="s">
        <v>143</v>
      </c>
      <c r="G1675" s="8" t="s">
        <v>177</v>
      </c>
      <c r="H1675" s="15" t="n">
        <v>252</v>
      </c>
      <c r="I1675" s="15" t="n">
        <v>348</v>
      </c>
      <c r="J1675" s="16" t="n">
        <v>0.915</v>
      </c>
      <c r="K1675" s="8" t="n">
        <v>11</v>
      </c>
      <c r="L1675" s="8" t="n">
        <v>10</v>
      </c>
      <c r="M1675" s="8" t="n">
        <v>2</v>
      </c>
      <c r="N1675" s="8" t="s">
        <v>120</v>
      </c>
      <c r="O1675" s="15" t="n">
        <f aca="false">H1675*12</f>
        <v>3024</v>
      </c>
      <c r="P1675" s="8" t="n">
        <f aca="false">MIN(100,ROUND(100*J1675/Assumptions!$B$8,0))</f>
        <v>100</v>
      </c>
      <c r="Q1675" s="8" t="n">
        <f aca="false">IF(L1675="",Assumptions!$B$9,L1675*10)</f>
        <v>100</v>
      </c>
      <c r="R1675" s="8" t="n">
        <f aca="false">IF(M1675&lt;=1,Assumptions!$B$12,IF(M1675&lt;=3,Assumptions!$B$13,IF(M1675&lt;=6,Assumptions!$B$14,Assumptions!$B$15)))</f>
        <v>75</v>
      </c>
      <c r="S1675" s="8" t="n">
        <f aca="false">IF(N1675="Completed On Time",Assumptions!$B$16,IF(N1675="Completed Late",Assumptions!$B$17,Assumptions!$B$18))</f>
        <v>100</v>
      </c>
      <c r="T1675" s="8" t="n">
        <f aca="false">IF(I1675=0,Assumptions!$B$20,IF(H1675&gt;I1675,Assumptions!$B$19,IF(H1675=I1675,Assumptions!$B$20,Assumptions!$B$21)))</f>
        <v>30</v>
      </c>
      <c r="U1675" s="8" t="n">
        <f aca="false">ROUND(P1675*Assumptions!$B$2+Q1675*Assumptions!$B$3+R1675*Assumptions!$B$4+S1675*Assumptions!$B$5+T1675*Assumptions!$B$6,0)</f>
        <v>82</v>
      </c>
      <c r="V1675" s="8" t="str">
        <f aca="false">IF(U1675&gt;=Assumptions!$B$10,"Healthy",IF(U1675&gt;=Assumptions!$B$11,"Needs Attention","High Risk"))</f>
        <v>Healthy</v>
      </c>
    </row>
    <row r="1676" customFormat="false" ht="15" hidden="false" customHeight="false" outlineLevel="0" collapsed="false">
      <c r="A1676" s="8" t="s">
        <v>3494</v>
      </c>
      <c r="B1676" s="8" t="s">
        <v>3495</v>
      </c>
      <c r="C1676" s="8" t="s">
        <v>51</v>
      </c>
      <c r="D1676" s="8" t="s">
        <v>2027</v>
      </c>
      <c r="E1676" s="8" t="s">
        <v>117</v>
      </c>
      <c r="F1676" s="8" t="s">
        <v>124</v>
      </c>
      <c r="G1676" s="8" t="s">
        <v>180</v>
      </c>
      <c r="H1676" s="15" t="n">
        <v>252</v>
      </c>
      <c r="I1676" s="15" t="n">
        <v>252</v>
      </c>
      <c r="J1676" s="16" t="n">
        <v>0.683</v>
      </c>
      <c r="K1676" s="8" t="n">
        <v>7.7</v>
      </c>
      <c r="L1676" s="8" t="n">
        <v>8</v>
      </c>
      <c r="M1676" s="8" t="n">
        <v>1</v>
      </c>
      <c r="N1676" s="8" t="s">
        <v>120</v>
      </c>
      <c r="O1676" s="15" t="n">
        <f aca="false">H1676*12</f>
        <v>3024</v>
      </c>
      <c r="P1676" s="8" t="n">
        <f aca="false">MIN(100,ROUND(100*J1676/Assumptions!$B$8,0))</f>
        <v>76</v>
      </c>
      <c r="Q1676" s="8" t="n">
        <f aca="false">IF(L1676="",Assumptions!$B$9,L1676*10)</f>
        <v>80</v>
      </c>
      <c r="R1676" s="8" t="n">
        <f aca="false">IF(M1676&lt;=1,Assumptions!$B$12,IF(M1676&lt;=3,Assumptions!$B$13,IF(M1676&lt;=6,Assumptions!$B$14,Assumptions!$B$15)))</f>
        <v>100</v>
      </c>
      <c r="S1676" s="8" t="n">
        <f aca="false">IF(N1676="Completed On Time",Assumptions!$B$16,IF(N1676="Completed Late",Assumptions!$B$17,Assumptions!$B$18))</f>
        <v>100</v>
      </c>
      <c r="T1676" s="8" t="n">
        <f aca="false">IF(I1676=0,Assumptions!$B$20,IF(H1676&gt;I1676,Assumptions!$B$19,IF(H1676=I1676,Assumptions!$B$20,Assumptions!$B$21)))</f>
        <v>70</v>
      </c>
      <c r="U1676" s="8" t="n">
        <f aca="false">ROUND(P1676*Assumptions!$B$2+Q1676*Assumptions!$B$3+R1676*Assumptions!$B$4+S1676*Assumptions!$B$5+T1676*Assumptions!$B$6,0)</f>
        <v>82</v>
      </c>
      <c r="V1676" s="8" t="str">
        <f aca="false">IF(U1676&gt;=Assumptions!$B$10,"Healthy",IF(U1676&gt;=Assumptions!$B$11,"Needs Attention","High Risk"))</f>
        <v>Healthy</v>
      </c>
    </row>
    <row r="1677" customFormat="false" ht="15" hidden="false" customHeight="false" outlineLevel="0" collapsed="false">
      <c r="A1677" s="8" t="s">
        <v>3496</v>
      </c>
      <c r="B1677" s="8" t="s">
        <v>3497</v>
      </c>
      <c r="C1677" s="8" t="s">
        <v>51</v>
      </c>
      <c r="D1677" s="8" t="s">
        <v>2027</v>
      </c>
      <c r="E1677" s="8" t="s">
        <v>132</v>
      </c>
      <c r="F1677" s="8" t="s">
        <v>136</v>
      </c>
      <c r="G1677" s="8" t="s">
        <v>129</v>
      </c>
      <c r="H1677" s="15" t="n">
        <v>252</v>
      </c>
      <c r="I1677" s="15" t="n">
        <v>252</v>
      </c>
      <c r="J1677" s="16" t="n">
        <v>0.587</v>
      </c>
      <c r="K1677" s="8" t="n">
        <v>5.3</v>
      </c>
      <c r="L1677" s="8" t="n">
        <v>7</v>
      </c>
      <c r="M1677" s="8" t="n">
        <v>2</v>
      </c>
      <c r="N1677" s="8" t="s">
        <v>120</v>
      </c>
      <c r="O1677" s="15" t="n">
        <f aca="false">H1677*12</f>
        <v>3024</v>
      </c>
      <c r="P1677" s="8" t="n">
        <f aca="false">MIN(100,ROUND(100*J1677/Assumptions!$B$8,0))</f>
        <v>65</v>
      </c>
      <c r="Q1677" s="8" t="n">
        <f aca="false">IF(L1677="",Assumptions!$B$9,L1677*10)</f>
        <v>70</v>
      </c>
      <c r="R1677" s="8" t="n">
        <f aca="false">IF(M1677&lt;=1,Assumptions!$B$12,IF(M1677&lt;=3,Assumptions!$B$13,IF(M1677&lt;=6,Assumptions!$B$14,Assumptions!$B$15)))</f>
        <v>75</v>
      </c>
      <c r="S1677" s="8" t="n">
        <f aca="false">IF(N1677="Completed On Time",Assumptions!$B$16,IF(N1677="Completed Late",Assumptions!$B$17,Assumptions!$B$18))</f>
        <v>100</v>
      </c>
      <c r="T1677" s="8" t="n">
        <f aca="false">IF(I1677=0,Assumptions!$B$20,IF(H1677&gt;I1677,Assumptions!$B$19,IF(H1677=I1677,Assumptions!$B$20,Assumptions!$B$21)))</f>
        <v>70</v>
      </c>
      <c r="U1677" s="8" t="n">
        <f aca="false">ROUND(P1677*Assumptions!$B$2+Q1677*Assumptions!$B$3+R1677*Assumptions!$B$4+S1677*Assumptions!$B$5+T1677*Assumptions!$B$6,0)</f>
        <v>72</v>
      </c>
      <c r="V1677" s="8" t="str">
        <f aca="false">IF(U1677&gt;=Assumptions!$B$10,"Healthy",IF(U1677&gt;=Assumptions!$B$11,"Needs Attention","High Risk"))</f>
        <v>Needs Attention</v>
      </c>
    </row>
    <row r="1678" customFormat="false" ht="15" hidden="false" customHeight="false" outlineLevel="0" collapsed="false">
      <c r="A1678" s="8" t="s">
        <v>3498</v>
      </c>
      <c r="B1678" s="8" t="s">
        <v>3499</v>
      </c>
      <c r="C1678" s="8" t="s">
        <v>51</v>
      </c>
      <c r="D1678" s="8" t="s">
        <v>2027</v>
      </c>
      <c r="E1678" s="8" t="s">
        <v>123</v>
      </c>
      <c r="F1678" s="8" t="s">
        <v>136</v>
      </c>
      <c r="G1678" s="8" t="s">
        <v>129</v>
      </c>
      <c r="H1678" s="15" t="n">
        <v>252</v>
      </c>
      <c r="I1678" s="15" t="n">
        <v>252</v>
      </c>
      <c r="J1678" s="16" t="n">
        <v>0.587</v>
      </c>
      <c r="K1678" s="8" t="n">
        <v>6.3</v>
      </c>
      <c r="L1678" s="8" t="n">
        <v>8</v>
      </c>
      <c r="M1678" s="8" t="n">
        <v>3</v>
      </c>
      <c r="N1678" s="8" t="s">
        <v>120</v>
      </c>
      <c r="O1678" s="15" t="n">
        <f aca="false">H1678*12</f>
        <v>3024</v>
      </c>
      <c r="P1678" s="8" t="n">
        <f aca="false">MIN(100,ROUND(100*J1678/Assumptions!$B$8,0))</f>
        <v>65</v>
      </c>
      <c r="Q1678" s="8" t="n">
        <f aca="false">IF(L1678="",Assumptions!$B$9,L1678*10)</f>
        <v>80</v>
      </c>
      <c r="R1678" s="8" t="n">
        <f aca="false">IF(M1678&lt;=1,Assumptions!$B$12,IF(M1678&lt;=3,Assumptions!$B$13,IF(M1678&lt;=6,Assumptions!$B$14,Assumptions!$B$15)))</f>
        <v>75</v>
      </c>
      <c r="S1678" s="8" t="n">
        <f aca="false">IF(N1678="Completed On Time",Assumptions!$B$16,IF(N1678="Completed Late",Assumptions!$B$17,Assumptions!$B$18))</f>
        <v>100</v>
      </c>
      <c r="T1678" s="8" t="n">
        <f aca="false">IF(I1678=0,Assumptions!$B$20,IF(H1678&gt;I1678,Assumptions!$B$19,IF(H1678=I1678,Assumptions!$B$20,Assumptions!$B$21)))</f>
        <v>70</v>
      </c>
      <c r="U1678" s="8" t="n">
        <f aca="false">ROUND(P1678*Assumptions!$B$2+Q1678*Assumptions!$B$3+R1678*Assumptions!$B$4+S1678*Assumptions!$B$5+T1678*Assumptions!$B$6,0)</f>
        <v>74</v>
      </c>
      <c r="V1678" s="8" t="str">
        <f aca="false">IF(U1678&gt;=Assumptions!$B$10,"Healthy",IF(U1678&gt;=Assumptions!$B$11,"Needs Attention","High Risk"))</f>
        <v>Needs Attention</v>
      </c>
    </row>
    <row r="1679" customFormat="false" ht="15" hidden="false" customHeight="false" outlineLevel="0" collapsed="false">
      <c r="A1679" s="8" t="s">
        <v>3500</v>
      </c>
      <c r="B1679" s="8" t="s">
        <v>3501</v>
      </c>
      <c r="C1679" s="8" t="s">
        <v>51</v>
      </c>
      <c r="D1679" s="8" t="s">
        <v>2027</v>
      </c>
      <c r="E1679" s="8" t="s">
        <v>132</v>
      </c>
      <c r="F1679" s="8" t="s">
        <v>118</v>
      </c>
      <c r="G1679" s="8" t="s">
        <v>144</v>
      </c>
      <c r="H1679" s="15" t="n">
        <v>252</v>
      </c>
      <c r="I1679" s="15" t="n">
        <v>252</v>
      </c>
      <c r="J1679" s="16" t="n">
        <v>0.587</v>
      </c>
      <c r="K1679" s="8" t="n">
        <v>5.7</v>
      </c>
      <c r="L1679" s="8" t="n">
        <v>4</v>
      </c>
      <c r="M1679" s="8" t="n">
        <v>1</v>
      </c>
      <c r="N1679" s="8" t="s">
        <v>120</v>
      </c>
      <c r="O1679" s="15" t="n">
        <f aca="false">H1679*12</f>
        <v>3024</v>
      </c>
      <c r="P1679" s="8" t="n">
        <f aca="false">MIN(100,ROUND(100*J1679/Assumptions!$B$8,0))</f>
        <v>65</v>
      </c>
      <c r="Q1679" s="8" t="n">
        <f aca="false">IF(L1679="",Assumptions!$B$9,L1679*10)</f>
        <v>40</v>
      </c>
      <c r="R1679" s="8" t="n">
        <f aca="false">IF(M1679&lt;=1,Assumptions!$B$12,IF(M1679&lt;=3,Assumptions!$B$13,IF(M1679&lt;=6,Assumptions!$B$14,Assumptions!$B$15)))</f>
        <v>100</v>
      </c>
      <c r="S1679" s="8" t="n">
        <f aca="false">IF(N1679="Completed On Time",Assumptions!$B$16,IF(N1679="Completed Late",Assumptions!$B$17,Assumptions!$B$18))</f>
        <v>100</v>
      </c>
      <c r="T1679" s="8" t="n">
        <f aca="false">IF(I1679=0,Assumptions!$B$20,IF(H1679&gt;I1679,Assumptions!$B$19,IF(H1679=I1679,Assumptions!$B$20,Assumptions!$B$21)))</f>
        <v>70</v>
      </c>
      <c r="U1679" s="8" t="n">
        <f aca="false">ROUND(P1679*Assumptions!$B$2+Q1679*Assumptions!$B$3+R1679*Assumptions!$B$4+S1679*Assumptions!$B$5+T1679*Assumptions!$B$6,0)</f>
        <v>70</v>
      </c>
      <c r="V1679" s="8" t="str">
        <f aca="false">IF(U1679&gt;=Assumptions!$B$10,"Healthy",IF(U1679&gt;=Assumptions!$B$11,"Needs Attention","High Risk"))</f>
        <v>Needs Attention</v>
      </c>
    </row>
    <row r="1680" customFormat="false" ht="15" hidden="false" customHeight="false" outlineLevel="0" collapsed="false">
      <c r="A1680" s="8" t="s">
        <v>3502</v>
      </c>
      <c r="B1680" s="8" t="s">
        <v>3503</v>
      </c>
      <c r="C1680" s="8" t="s">
        <v>51</v>
      </c>
      <c r="D1680" s="8" t="s">
        <v>2027</v>
      </c>
      <c r="E1680" s="8" t="s">
        <v>117</v>
      </c>
      <c r="F1680" s="8" t="s">
        <v>118</v>
      </c>
      <c r="G1680" s="8" t="s">
        <v>140</v>
      </c>
      <c r="H1680" s="15" t="n">
        <v>252</v>
      </c>
      <c r="I1680" s="15" t="n">
        <v>252</v>
      </c>
      <c r="J1680" s="16" t="n">
        <v>0.667</v>
      </c>
      <c r="K1680" s="8" t="n">
        <v>7</v>
      </c>
      <c r="L1680" s="8" t="n">
        <v>8</v>
      </c>
      <c r="M1680" s="8" t="n">
        <v>2</v>
      </c>
      <c r="N1680" s="8" t="s">
        <v>120</v>
      </c>
      <c r="O1680" s="15" t="n">
        <f aca="false">H1680*12</f>
        <v>3024</v>
      </c>
      <c r="P1680" s="8" t="n">
        <f aca="false">MIN(100,ROUND(100*J1680/Assumptions!$B$8,0))</f>
        <v>74</v>
      </c>
      <c r="Q1680" s="8" t="n">
        <f aca="false">IF(L1680="",Assumptions!$B$9,L1680*10)</f>
        <v>80</v>
      </c>
      <c r="R1680" s="8" t="n">
        <f aca="false">IF(M1680&lt;=1,Assumptions!$B$12,IF(M1680&lt;=3,Assumptions!$B$13,IF(M1680&lt;=6,Assumptions!$B$14,Assumptions!$B$15)))</f>
        <v>75</v>
      </c>
      <c r="S1680" s="8" t="n">
        <f aca="false">IF(N1680="Completed On Time",Assumptions!$B$16,IF(N1680="Completed Late",Assumptions!$B$17,Assumptions!$B$18))</f>
        <v>100</v>
      </c>
      <c r="T1680" s="8" t="n">
        <f aca="false">IF(I1680=0,Assumptions!$B$20,IF(H1680&gt;I1680,Assumptions!$B$19,IF(H1680=I1680,Assumptions!$B$20,Assumptions!$B$21)))</f>
        <v>70</v>
      </c>
      <c r="U1680" s="8" t="n">
        <f aca="false">ROUND(P1680*Assumptions!$B$2+Q1680*Assumptions!$B$3+R1680*Assumptions!$B$4+S1680*Assumptions!$B$5+T1680*Assumptions!$B$6,0)</f>
        <v>77</v>
      </c>
      <c r="V1680" s="8" t="str">
        <f aca="false">IF(U1680&gt;=Assumptions!$B$10,"Healthy",IF(U1680&gt;=Assumptions!$B$11,"Needs Attention","High Risk"))</f>
        <v>Needs Attention</v>
      </c>
    </row>
    <row r="1681" customFormat="false" ht="15" hidden="false" customHeight="false" outlineLevel="0" collapsed="false">
      <c r="A1681" s="8" t="s">
        <v>3504</v>
      </c>
      <c r="B1681" s="8" t="s">
        <v>3505</v>
      </c>
      <c r="C1681" s="8" t="s">
        <v>51</v>
      </c>
      <c r="D1681" s="8" t="s">
        <v>2027</v>
      </c>
      <c r="E1681" s="8" t="s">
        <v>128</v>
      </c>
      <c r="F1681" s="8" t="s">
        <v>223</v>
      </c>
      <c r="G1681" s="8" t="s">
        <v>185</v>
      </c>
      <c r="H1681" s="15" t="n">
        <v>252</v>
      </c>
      <c r="I1681" s="15" t="n">
        <v>252</v>
      </c>
      <c r="J1681" s="16" t="n">
        <v>0.937</v>
      </c>
      <c r="K1681" s="8" t="n">
        <v>10</v>
      </c>
      <c r="L1681" s="8" t="n">
        <v>8</v>
      </c>
      <c r="M1681" s="8" t="n">
        <v>2</v>
      </c>
      <c r="N1681" s="8" t="s">
        <v>120</v>
      </c>
      <c r="O1681" s="15" t="n">
        <f aca="false">H1681*12</f>
        <v>3024</v>
      </c>
      <c r="P1681" s="8" t="n">
        <f aca="false">MIN(100,ROUND(100*J1681/Assumptions!$B$8,0))</f>
        <v>100</v>
      </c>
      <c r="Q1681" s="8" t="n">
        <f aca="false">IF(L1681="",Assumptions!$B$9,L1681*10)</f>
        <v>80</v>
      </c>
      <c r="R1681" s="8" t="n">
        <f aca="false">IF(M1681&lt;=1,Assumptions!$B$12,IF(M1681&lt;=3,Assumptions!$B$13,IF(M1681&lt;=6,Assumptions!$B$14,Assumptions!$B$15)))</f>
        <v>75</v>
      </c>
      <c r="S1681" s="8" t="n">
        <f aca="false">IF(N1681="Completed On Time",Assumptions!$B$16,IF(N1681="Completed Late",Assumptions!$B$17,Assumptions!$B$18))</f>
        <v>100</v>
      </c>
      <c r="T1681" s="8" t="n">
        <f aca="false">IF(I1681=0,Assumptions!$B$20,IF(H1681&gt;I1681,Assumptions!$B$19,IF(H1681=I1681,Assumptions!$B$20,Assumptions!$B$21)))</f>
        <v>70</v>
      </c>
      <c r="U1681" s="8" t="n">
        <f aca="false">ROUND(P1681*Assumptions!$B$2+Q1681*Assumptions!$B$3+R1681*Assumptions!$B$4+S1681*Assumptions!$B$5+T1681*Assumptions!$B$6,0)</f>
        <v>86</v>
      </c>
      <c r="V1681" s="8" t="str">
        <f aca="false">IF(U1681&gt;=Assumptions!$B$10,"Healthy",IF(U1681&gt;=Assumptions!$B$11,"Needs Attention","High Risk"))</f>
        <v>Healthy</v>
      </c>
    </row>
    <row r="1682" customFormat="false" ht="15" hidden="false" customHeight="false" outlineLevel="0" collapsed="false">
      <c r="A1682" s="8" t="s">
        <v>3506</v>
      </c>
      <c r="B1682" s="8" t="s">
        <v>3507</v>
      </c>
      <c r="C1682" s="8" t="s">
        <v>51</v>
      </c>
      <c r="D1682" s="8" t="s">
        <v>2027</v>
      </c>
      <c r="E1682" s="8" t="s">
        <v>132</v>
      </c>
      <c r="F1682" s="8" t="s">
        <v>190</v>
      </c>
      <c r="G1682" s="8" t="s">
        <v>129</v>
      </c>
      <c r="H1682" s="15" t="n">
        <v>252</v>
      </c>
      <c r="I1682" s="15" t="n">
        <v>252</v>
      </c>
      <c r="J1682" s="16" t="n">
        <v>0.841</v>
      </c>
      <c r="K1682" s="8" t="n">
        <v>9.3</v>
      </c>
      <c r="L1682" s="8" t="n">
        <v>8</v>
      </c>
      <c r="M1682" s="8" t="n">
        <v>2</v>
      </c>
      <c r="N1682" s="8" t="s">
        <v>120</v>
      </c>
      <c r="O1682" s="15" t="n">
        <f aca="false">H1682*12</f>
        <v>3024</v>
      </c>
      <c r="P1682" s="8" t="n">
        <f aca="false">MIN(100,ROUND(100*J1682/Assumptions!$B$8,0))</f>
        <v>93</v>
      </c>
      <c r="Q1682" s="8" t="n">
        <f aca="false">IF(L1682="",Assumptions!$B$9,L1682*10)</f>
        <v>80</v>
      </c>
      <c r="R1682" s="8" t="n">
        <f aca="false">IF(M1682&lt;=1,Assumptions!$B$12,IF(M1682&lt;=3,Assumptions!$B$13,IF(M1682&lt;=6,Assumptions!$B$14,Assumptions!$B$15)))</f>
        <v>75</v>
      </c>
      <c r="S1682" s="8" t="n">
        <f aca="false">IF(N1682="Completed On Time",Assumptions!$B$16,IF(N1682="Completed Late",Assumptions!$B$17,Assumptions!$B$18))</f>
        <v>100</v>
      </c>
      <c r="T1682" s="8" t="n">
        <f aca="false">IF(I1682=0,Assumptions!$B$20,IF(H1682&gt;I1682,Assumptions!$B$19,IF(H1682=I1682,Assumptions!$B$20,Assumptions!$B$21)))</f>
        <v>70</v>
      </c>
      <c r="U1682" s="8" t="n">
        <f aca="false">ROUND(P1682*Assumptions!$B$2+Q1682*Assumptions!$B$3+R1682*Assumptions!$B$4+S1682*Assumptions!$B$5+T1682*Assumptions!$B$6,0)</f>
        <v>84</v>
      </c>
      <c r="V1682" s="8" t="str">
        <f aca="false">IF(U1682&gt;=Assumptions!$B$10,"Healthy",IF(U1682&gt;=Assumptions!$B$11,"Needs Attention","High Risk"))</f>
        <v>Healthy</v>
      </c>
    </row>
    <row r="1683" customFormat="false" ht="15" hidden="false" customHeight="false" outlineLevel="0" collapsed="false">
      <c r="A1683" s="8" t="s">
        <v>3508</v>
      </c>
      <c r="B1683" s="8" t="s">
        <v>3509</v>
      </c>
      <c r="C1683" s="8" t="s">
        <v>51</v>
      </c>
      <c r="D1683" s="8" t="s">
        <v>2027</v>
      </c>
      <c r="E1683" s="8" t="s">
        <v>123</v>
      </c>
      <c r="F1683" s="8" t="s">
        <v>143</v>
      </c>
      <c r="G1683" s="8" t="s">
        <v>144</v>
      </c>
      <c r="H1683" s="15" t="n">
        <v>252</v>
      </c>
      <c r="I1683" s="15" t="n">
        <v>252</v>
      </c>
      <c r="J1683" s="16" t="n">
        <v>0.841</v>
      </c>
      <c r="K1683" s="8" t="n">
        <v>8.3</v>
      </c>
      <c r="L1683" s="8" t="n">
        <v>8</v>
      </c>
      <c r="M1683" s="8" t="n">
        <v>1</v>
      </c>
      <c r="N1683" s="8" t="s">
        <v>120</v>
      </c>
      <c r="O1683" s="15" t="n">
        <f aca="false">H1683*12</f>
        <v>3024</v>
      </c>
      <c r="P1683" s="8" t="n">
        <f aca="false">MIN(100,ROUND(100*J1683/Assumptions!$B$8,0))</f>
        <v>93</v>
      </c>
      <c r="Q1683" s="8" t="n">
        <f aca="false">IF(L1683="",Assumptions!$B$9,L1683*10)</f>
        <v>80</v>
      </c>
      <c r="R1683" s="8" t="n">
        <f aca="false">IF(M1683&lt;=1,Assumptions!$B$12,IF(M1683&lt;=3,Assumptions!$B$13,IF(M1683&lt;=6,Assumptions!$B$14,Assumptions!$B$15)))</f>
        <v>100</v>
      </c>
      <c r="S1683" s="8" t="n">
        <f aca="false">IF(N1683="Completed On Time",Assumptions!$B$16,IF(N1683="Completed Late",Assumptions!$B$17,Assumptions!$B$18))</f>
        <v>100</v>
      </c>
      <c r="T1683" s="8" t="n">
        <f aca="false">IF(I1683=0,Assumptions!$B$20,IF(H1683&gt;I1683,Assumptions!$B$19,IF(H1683=I1683,Assumptions!$B$20,Assumptions!$B$21)))</f>
        <v>70</v>
      </c>
      <c r="U1683" s="8" t="n">
        <f aca="false">ROUND(P1683*Assumptions!$B$2+Q1683*Assumptions!$B$3+R1683*Assumptions!$B$4+S1683*Assumptions!$B$5+T1683*Assumptions!$B$6,0)</f>
        <v>88</v>
      </c>
      <c r="V1683" s="8" t="str">
        <f aca="false">IF(U1683&gt;=Assumptions!$B$10,"Healthy",IF(U1683&gt;=Assumptions!$B$11,"Needs Attention","High Risk"))</f>
        <v>Healthy</v>
      </c>
    </row>
    <row r="1684" customFormat="false" ht="15" hidden="false" customHeight="false" outlineLevel="0" collapsed="false">
      <c r="A1684" s="8" t="s">
        <v>3510</v>
      </c>
      <c r="B1684" s="8" t="s">
        <v>3511</v>
      </c>
      <c r="C1684" s="8" t="s">
        <v>51</v>
      </c>
      <c r="D1684" s="8" t="s">
        <v>2027</v>
      </c>
      <c r="E1684" s="8" t="s">
        <v>117</v>
      </c>
      <c r="F1684" s="8" t="s">
        <v>136</v>
      </c>
      <c r="G1684" s="8" t="s">
        <v>185</v>
      </c>
      <c r="H1684" s="15" t="n">
        <v>252</v>
      </c>
      <c r="I1684" s="15" t="n">
        <v>192</v>
      </c>
      <c r="J1684" s="16" t="n">
        <v>0.472</v>
      </c>
      <c r="K1684" s="8" t="n">
        <v>6</v>
      </c>
      <c r="L1684" s="8" t="n">
        <v>4</v>
      </c>
      <c r="M1684" s="8" t="n">
        <v>6</v>
      </c>
      <c r="N1684" s="8" t="s">
        <v>120</v>
      </c>
      <c r="O1684" s="15" t="n">
        <f aca="false">H1684*12</f>
        <v>3024</v>
      </c>
      <c r="P1684" s="8" t="n">
        <f aca="false">MIN(100,ROUND(100*J1684/Assumptions!$B$8,0))</f>
        <v>52</v>
      </c>
      <c r="Q1684" s="8" t="n">
        <f aca="false">IF(L1684="",Assumptions!$B$9,L1684*10)</f>
        <v>40</v>
      </c>
      <c r="R1684" s="8" t="n">
        <f aca="false">IF(M1684&lt;=1,Assumptions!$B$12,IF(M1684&lt;=3,Assumptions!$B$13,IF(M1684&lt;=6,Assumptions!$B$14,Assumptions!$B$15)))</f>
        <v>50</v>
      </c>
      <c r="S1684" s="8" t="n">
        <f aca="false">IF(N1684="Completed On Time",Assumptions!$B$16,IF(N1684="Completed Late",Assumptions!$B$17,Assumptions!$B$18))</f>
        <v>100</v>
      </c>
      <c r="T1684" s="8" t="n">
        <f aca="false">IF(I1684=0,Assumptions!$B$20,IF(H1684&gt;I1684,Assumptions!$B$19,IF(H1684=I1684,Assumptions!$B$20,Assumptions!$B$21)))</f>
        <v>100</v>
      </c>
      <c r="U1684" s="8" t="n">
        <f aca="false">ROUND(P1684*Assumptions!$B$2+Q1684*Assumptions!$B$3+R1684*Assumptions!$B$4+S1684*Assumptions!$B$5+T1684*Assumptions!$B$6,0)</f>
        <v>64</v>
      </c>
      <c r="V1684" s="8" t="str">
        <f aca="false">IF(U1684&gt;=Assumptions!$B$10,"Healthy",IF(U1684&gt;=Assumptions!$B$11,"Needs Attention","High Risk"))</f>
        <v>High Risk</v>
      </c>
    </row>
    <row r="1685" customFormat="false" ht="15" hidden="false" customHeight="false" outlineLevel="0" collapsed="false">
      <c r="A1685" s="8" t="s">
        <v>3512</v>
      </c>
      <c r="B1685" s="8" t="s">
        <v>3513</v>
      </c>
      <c r="C1685" s="8" t="s">
        <v>51</v>
      </c>
      <c r="D1685" s="8" t="s">
        <v>2027</v>
      </c>
      <c r="E1685" s="8" t="s">
        <v>132</v>
      </c>
      <c r="F1685" s="8" t="s">
        <v>190</v>
      </c>
      <c r="G1685" s="8" t="s">
        <v>137</v>
      </c>
      <c r="H1685" s="15" t="n">
        <v>252</v>
      </c>
      <c r="I1685" s="15" t="n">
        <v>252</v>
      </c>
      <c r="J1685" s="16" t="n">
        <v>0.746</v>
      </c>
      <c r="K1685" s="8" t="n">
        <v>9.7</v>
      </c>
      <c r="L1685" s="8" t="n">
        <v>10</v>
      </c>
      <c r="M1685" s="8" t="n">
        <v>4</v>
      </c>
      <c r="N1685" s="8" t="s">
        <v>120</v>
      </c>
      <c r="O1685" s="15" t="n">
        <f aca="false">H1685*12</f>
        <v>3024</v>
      </c>
      <c r="P1685" s="8" t="n">
        <f aca="false">MIN(100,ROUND(100*J1685/Assumptions!$B$8,0))</f>
        <v>83</v>
      </c>
      <c r="Q1685" s="8" t="n">
        <f aca="false">IF(L1685="",Assumptions!$B$9,L1685*10)</f>
        <v>100</v>
      </c>
      <c r="R1685" s="8" t="n">
        <f aca="false">IF(M1685&lt;=1,Assumptions!$B$12,IF(M1685&lt;=3,Assumptions!$B$13,IF(M1685&lt;=6,Assumptions!$B$14,Assumptions!$B$15)))</f>
        <v>50</v>
      </c>
      <c r="S1685" s="8" t="n">
        <f aca="false">IF(N1685="Completed On Time",Assumptions!$B$16,IF(N1685="Completed Late",Assumptions!$B$17,Assumptions!$B$18))</f>
        <v>100</v>
      </c>
      <c r="T1685" s="8" t="n">
        <f aca="false">IF(I1685=0,Assumptions!$B$20,IF(H1685&gt;I1685,Assumptions!$B$19,IF(H1685=I1685,Assumptions!$B$20,Assumptions!$B$21)))</f>
        <v>70</v>
      </c>
      <c r="U1685" s="8" t="n">
        <f aca="false">ROUND(P1685*Assumptions!$B$2+Q1685*Assumptions!$B$3+R1685*Assumptions!$B$4+S1685*Assumptions!$B$5+T1685*Assumptions!$B$6,0)</f>
        <v>81</v>
      </c>
      <c r="V1685" s="8" t="str">
        <f aca="false">IF(U1685&gt;=Assumptions!$B$10,"Healthy",IF(U1685&gt;=Assumptions!$B$11,"Needs Attention","High Risk"))</f>
        <v>Healthy</v>
      </c>
    </row>
    <row r="1686" customFormat="false" ht="15" hidden="false" customHeight="false" outlineLevel="0" collapsed="false">
      <c r="A1686" s="8" t="s">
        <v>3514</v>
      </c>
      <c r="B1686" s="8" t="s">
        <v>3515</v>
      </c>
      <c r="C1686" s="8" t="s">
        <v>51</v>
      </c>
      <c r="D1686" s="8" t="s">
        <v>2027</v>
      </c>
      <c r="E1686" s="8" t="s">
        <v>117</v>
      </c>
      <c r="F1686" s="8" t="s">
        <v>223</v>
      </c>
      <c r="G1686" s="8" t="s">
        <v>177</v>
      </c>
      <c r="H1686" s="15" t="n">
        <v>252</v>
      </c>
      <c r="I1686" s="15" t="n">
        <v>252</v>
      </c>
      <c r="J1686" s="16" t="n">
        <v>0.619</v>
      </c>
      <c r="K1686" s="8" t="n">
        <v>7.7</v>
      </c>
      <c r="L1686" s="8" t="n">
        <v>9</v>
      </c>
      <c r="M1686" s="8" t="n">
        <v>5</v>
      </c>
      <c r="N1686" s="8" t="s">
        <v>120</v>
      </c>
      <c r="O1686" s="15" t="n">
        <f aca="false">H1686*12</f>
        <v>3024</v>
      </c>
      <c r="P1686" s="8" t="n">
        <f aca="false">MIN(100,ROUND(100*J1686/Assumptions!$B$8,0))</f>
        <v>69</v>
      </c>
      <c r="Q1686" s="8" t="n">
        <f aca="false">IF(L1686="",Assumptions!$B$9,L1686*10)</f>
        <v>90</v>
      </c>
      <c r="R1686" s="8" t="n">
        <f aca="false">IF(M1686&lt;=1,Assumptions!$B$12,IF(M1686&lt;=3,Assumptions!$B$13,IF(M1686&lt;=6,Assumptions!$B$14,Assumptions!$B$15)))</f>
        <v>50</v>
      </c>
      <c r="S1686" s="8" t="n">
        <f aca="false">IF(N1686="Completed On Time",Assumptions!$B$16,IF(N1686="Completed Late",Assumptions!$B$17,Assumptions!$B$18))</f>
        <v>100</v>
      </c>
      <c r="T1686" s="8" t="n">
        <f aca="false">IF(I1686=0,Assumptions!$B$20,IF(H1686&gt;I1686,Assumptions!$B$19,IF(H1686=I1686,Assumptions!$B$20,Assumptions!$B$21)))</f>
        <v>70</v>
      </c>
      <c r="U1686" s="8" t="n">
        <f aca="false">ROUND(P1686*Assumptions!$B$2+Q1686*Assumptions!$B$3+R1686*Assumptions!$B$4+S1686*Assumptions!$B$5+T1686*Assumptions!$B$6,0)</f>
        <v>74</v>
      </c>
      <c r="V1686" s="8" t="str">
        <f aca="false">IF(U1686&gt;=Assumptions!$B$10,"Healthy",IF(U1686&gt;=Assumptions!$B$11,"Needs Attention","High Risk"))</f>
        <v>Needs Attention</v>
      </c>
    </row>
    <row r="1687" customFormat="false" ht="15" hidden="false" customHeight="false" outlineLevel="0" collapsed="false">
      <c r="A1687" s="8" t="s">
        <v>3516</v>
      </c>
      <c r="B1687" s="8" t="s">
        <v>3517</v>
      </c>
      <c r="C1687" s="8" t="s">
        <v>51</v>
      </c>
      <c r="D1687" s="8" t="s">
        <v>2027</v>
      </c>
      <c r="E1687" s="8" t="s">
        <v>117</v>
      </c>
      <c r="F1687" s="8" t="s">
        <v>166</v>
      </c>
      <c r="G1687" s="8" t="s">
        <v>180</v>
      </c>
      <c r="H1687" s="15" t="n">
        <v>252</v>
      </c>
      <c r="I1687" s="15" t="n">
        <v>0</v>
      </c>
      <c r="J1687" s="16" t="n">
        <v>0.738</v>
      </c>
      <c r="K1687" s="8" t="n">
        <v>10.5</v>
      </c>
      <c r="L1687" s="8"/>
      <c r="M1687" s="8" t="n">
        <v>0</v>
      </c>
      <c r="N1687" s="8" t="s">
        <v>120</v>
      </c>
      <c r="O1687" s="15" t="n">
        <f aca="false">H1687*12</f>
        <v>3024</v>
      </c>
      <c r="P1687" s="8" t="n">
        <f aca="false">MIN(100,ROUND(100*J1687/Assumptions!$B$8,0))</f>
        <v>82</v>
      </c>
      <c r="Q1687" s="8" t="n">
        <f aca="false">IF(L1687="",Assumptions!$B$9,L1687*10)</f>
        <v>50</v>
      </c>
      <c r="R1687" s="8" t="n">
        <f aca="false">IF(M1687&lt;=1,Assumptions!$B$12,IF(M1687&lt;=3,Assumptions!$B$13,IF(M1687&lt;=6,Assumptions!$B$14,Assumptions!$B$15)))</f>
        <v>100</v>
      </c>
      <c r="S1687" s="8" t="n">
        <f aca="false">IF(N1687="Completed On Time",Assumptions!$B$16,IF(N1687="Completed Late",Assumptions!$B$17,Assumptions!$B$18))</f>
        <v>100</v>
      </c>
      <c r="T1687" s="8" t="n">
        <f aca="false">IF(I1687=0,Assumptions!$B$20,IF(H1687&gt;I1687,Assumptions!$B$19,IF(H1687=I1687,Assumptions!$B$20,Assumptions!$B$21)))</f>
        <v>70</v>
      </c>
      <c r="U1687" s="8" t="n">
        <f aca="false">ROUND(P1687*Assumptions!$B$2+Q1687*Assumptions!$B$3+R1687*Assumptions!$B$4+S1687*Assumptions!$B$5+T1687*Assumptions!$B$6,0)</f>
        <v>78</v>
      </c>
      <c r="V1687" s="8" t="str">
        <f aca="false">IF(U1687&gt;=Assumptions!$B$10,"Healthy",IF(U1687&gt;=Assumptions!$B$11,"Needs Attention","High Risk"))</f>
        <v>Needs Attention</v>
      </c>
    </row>
    <row r="1688" customFormat="false" ht="15" hidden="false" customHeight="false" outlineLevel="0" collapsed="false">
      <c r="A1688" s="8" t="s">
        <v>3518</v>
      </c>
      <c r="B1688" s="8" t="s">
        <v>3519</v>
      </c>
      <c r="C1688" s="8" t="s">
        <v>51</v>
      </c>
      <c r="D1688" s="8" t="s">
        <v>2027</v>
      </c>
      <c r="E1688" s="8" t="s">
        <v>132</v>
      </c>
      <c r="F1688" s="8" t="s">
        <v>154</v>
      </c>
      <c r="G1688" s="8" t="s">
        <v>137</v>
      </c>
      <c r="H1688" s="15" t="n">
        <v>252</v>
      </c>
      <c r="I1688" s="15" t="n">
        <v>192</v>
      </c>
      <c r="J1688" s="16" t="n">
        <v>0.683</v>
      </c>
      <c r="K1688" s="8" t="n">
        <v>8.3</v>
      </c>
      <c r="L1688" s="8" t="n">
        <v>5</v>
      </c>
      <c r="M1688" s="8" t="n">
        <v>2</v>
      </c>
      <c r="N1688" s="8" t="s">
        <v>120</v>
      </c>
      <c r="O1688" s="15" t="n">
        <f aca="false">H1688*12</f>
        <v>3024</v>
      </c>
      <c r="P1688" s="8" t="n">
        <f aca="false">MIN(100,ROUND(100*J1688/Assumptions!$B$8,0))</f>
        <v>76</v>
      </c>
      <c r="Q1688" s="8" t="n">
        <f aca="false">IF(L1688="",Assumptions!$B$9,L1688*10)</f>
        <v>50</v>
      </c>
      <c r="R1688" s="8" t="n">
        <f aca="false">IF(M1688&lt;=1,Assumptions!$B$12,IF(M1688&lt;=3,Assumptions!$B$13,IF(M1688&lt;=6,Assumptions!$B$14,Assumptions!$B$15)))</f>
        <v>75</v>
      </c>
      <c r="S1688" s="8" t="n">
        <f aca="false">IF(N1688="Completed On Time",Assumptions!$B$16,IF(N1688="Completed Late",Assumptions!$B$17,Assumptions!$B$18))</f>
        <v>100</v>
      </c>
      <c r="T1688" s="8" t="n">
        <f aca="false">IF(I1688=0,Assumptions!$B$20,IF(H1688&gt;I1688,Assumptions!$B$19,IF(H1688=I1688,Assumptions!$B$20,Assumptions!$B$21)))</f>
        <v>100</v>
      </c>
      <c r="U1688" s="8" t="n">
        <f aca="false">ROUND(P1688*Assumptions!$B$2+Q1688*Assumptions!$B$3+R1688*Assumptions!$B$4+S1688*Assumptions!$B$5+T1688*Assumptions!$B$6,0)</f>
        <v>78</v>
      </c>
      <c r="V1688" s="8" t="str">
        <f aca="false">IF(U1688&gt;=Assumptions!$B$10,"Healthy",IF(U1688&gt;=Assumptions!$B$11,"Needs Attention","High Risk"))</f>
        <v>Needs Attention</v>
      </c>
    </row>
    <row r="1689" customFormat="false" ht="15" hidden="false" customHeight="false" outlineLevel="0" collapsed="false">
      <c r="A1689" s="8" t="s">
        <v>3520</v>
      </c>
      <c r="B1689" s="8" t="s">
        <v>3521</v>
      </c>
      <c r="C1689" s="8" t="s">
        <v>51</v>
      </c>
      <c r="D1689" s="8" t="s">
        <v>2027</v>
      </c>
      <c r="E1689" s="8" t="s">
        <v>123</v>
      </c>
      <c r="F1689" s="8" t="s">
        <v>143</v>
      </c>
      <c r="G1689" s="8" t="s">
        <v>159</v>
      </c>
      <c r="H1689" s="15" t="n">
        <v>252</v>
      </c>
      <c r="I1689" s="15" t="n">
        <v>252</v>
      </c>
      <c r="J1689" s="16" t="n">
        <v>0.683</v>
      </c>
      <c r="K1689" s="8" t="n">
        <v>8.7</v>
      </c>
      <c r="L1689" s="8" t="n">
        <v>4</v>
      </c>
      <c r="M1689" s="8" t="n">
        <v>2</v>
      </c>
      <c r="N1689" s="8" t="s">
        <v>120</v>
      </c>
      <c r="O1689" s="15" t="n">
        <f aca="false">H1689*12</f>
        <v>3024</v>
      </c>
      <c r="P1689" s="8" t="n">
        <f aca="false">MIN(100,ROUND(100*J1689/Assumptions!$B$8,0))</f>
        <v>76</v>
      </c>
      <c r="Q1689" s="8" t="n">
        <f aca="false">IF(L1689="",Assumptions!$B$9,L1689*10)</f>
        <v>40</v>
      </c>
      <c r="R1689" s="8" t="n">
        <f aca="false">IF(M1689&lt;=1,Assumptions!$B$12,IF(M1689&lt;=3,Assumptions!$B$13,IF(M1689&lt;=6,Assumptions!$B$14,Assumptions!$B$15)))</f>
        <v>75</v>
      </c>
      <c r="S1689" s="8" t="n">
        <f aca="false">IF(N1689="Completed On Time",Assumptions!$B$16,IF(N1689="Completed Late",Assumptions!$B$17,Assumptions!$B$18))</f>
        <v>100</v>
      </c>
      <c r="T1689" s="8" t="n">
        <f aca="false">IF(I1689=0,Assumptions!$B$20,IF(H1689&gt;I1689,Assumptions!$B$19,IF(H1689=I1689,Assumptions!$B$20,Assumptions!$B$21)))</f>
        <v>70</v>
      </c>
      <c r="U1689" s="8" t="n">
        <f aca="false">ROUND(P1689*Assumptions!$B$2+Q1689*Assumptions!$B$3+R1689*Assumptions!$B$4+S1689*Assumptions!$B$5+T1689*Assumptions!$B$6,0)</f>
        <v>70</v>
      </c>
      <c r="V1689" s="8" t="str">
        <f aca="false">IF(U1689&gt;=Assumptions!$B$10,"Healthy",IF(U1689&gt;=Assumptions!$B$11,"Needs Attention","High Risk"))</f>
        <v>Needs Attention</v>
      </c>
    </row>
    <row r="1690" customFormat="false" ht="15" hidden="false" customHeight="false" outlineLevel="0" collapsed="false">
      <c r="A1690" s="8" t="s">
        <v>3522</v>
      </c>
      <c r="B1690" s="8" t="s">
        <v>3523</v>
      </c>
      <c r="C1690" s="8" t="s">
        <v>51</v>
      </c>
      <c r="D1690" s="8" t="s">
        <v>2027</v>
      </c>
      <c r="E1690" s="8" t="s">
        <v>132</v>
      </c>
      <c r="F1690" s="8" t="s">
        <v>118</v>
      </c>
      <c r="G1690" s="8" t="s">
        <v>144</v>
      </c>
      <c r="H1690" s="15" t="n">
        <v>252</v>
      </c>
      <c r="I1690" s="15" t="n">
        <v>252</v>
      </c>
      <c r="J1690" s="16" t="n">
        <v>0.81</v>
      </c>
      <c r="K1690" s="8" t="n">
        <v>11.7</v>
      </c>
      <c r="L1690" s="8" t="n">
        <v>10</v>
      </c>
      <c r="M1690" s="8" t="n">
        <v>0</v>
      </c>
      <c r="N1690" s="8" t="s">
        <v>120</v>
      </c>
      <c r="O1690" s="15" t="n">
        <f aca="false">H1690*12</f>
        <v>3024</v>
      </c>
      <c r="P1690" s="8" t="n">
        <f aca="false">MIN(100,ROUND(100*J1690/Assumptions!$B$8,0))</f>
        <v>90</v>
      </c>
      <c r="Q1690" s="8" t="n">
        <f aca="false">IF(L1690="",Assumptions!$B$9,L1690*10)</f>
        <v>100</v>
      </c>
      <c r="R1690" s="8" t="n">
        <f aca="false">IF(M1690&lt;=1,Assumptions!$B$12,IF(M1690&lt;=3,Assumptions!$B$13,IF(M1690&lt;=6,Assumptions!$B$14,Assumptions!$B$15)))</f>
        <v>100</v>
      </c>
      <c r="S1690" s="8" t="n">
        <f aca="false">IF(N1690="Completed On Time",Assumptions!$B$16,IF(N1690="Completed Late",Assumptions!$B$17,Assumptions!$B$18))</f>
        <v>100</v>
      </c>
      <c r="T1690" s="8" t="n">
        <f aca="false">IF(I1690=0,Assumptions!$B$20,IF(H1690&gt;I1690,Assumptions!$B$19,IF(H1690=I1690,Assumptions!$B$20,Assumptions!$B$21)))</f>
        <v>70</v>
      </c>
      <c r="U1690" s="8" t="n">
        <f aca="false">ROUND(P1690*Assumptions!$B$2+Q1690*Assumptions!$B$3+R1690*Assumptions!$B$4+S1690*Assumptions!$B$5+T1690*Assumptions!$B$6,0)</f>
        <v>91</v>
      </c>
      <c r="V1690" s="8" t="str">
        <f aca="false">IF(U1690&gt;=Assumptions!$B$10,"Healthy",IF(U1690&gt;=Assumptions!$B$11,"Needs Attention","High Risk"))</f>
        <v>Healthy</v>
      </c>
    </row>
    <row r="1691" customFormat="false" ht="15" hidden="false" customHeight="false" outlineLevel="0" collapsed="false">
      <c r="A1691" s="8" t="s">
        <v>3524</v>
      </c>
      <c r="B1691" s="8" t="s">
        <v>3525</v>
      </c>
      <c r="C1691" s="8" t="s">
        <v>51</v>
      </c>
      <c r="D1691" s="8" t="s">
        <v>2027</v>
      </c>
      <c r="E1691" s="8" t="s">
        <v>123</v>
      </c>
      <c r="F1691" s="8" t="s">
        <v>124</v>
      </c>
      <c r="G1691" s="8" t="s">
        <v>204</v>
      </c>
      <c r="H1691" s="15" t="n">
        <v>252</v>
      </c>
      <c r="I1691" s="15" t="n">
        <v>252</v>
      </c>
      <c r="J1691" s="16" t="n">
        <v>0.651</v>
      </c>
      <c r="K1691" s="8" t="n">
        <v>7</v>
      </c>
      <c r="L1691" s="8" t="n">
        <v>8</v>
      </c>
      <c r="M1691" s="8" t="n">
        <v>4</v>
      </c>
      <c r="N1691" s="8" t="s">
        <v>120</v>
      </c>
      <c r="O1691" s="15" t="n">
        <f aca="false">H1691*12</f>
        <v>3024</v>
      </c>
      <c r="P1691" s="8" t="n">
        <f aca="false">MIN(100,ROUND(100*J1691/Assumptions!$B$8,0))</f>
        <v>72</v>
      </c>
      <c r="Q1691" s="8" t="n">
        <f aca="false">IF(L1691="",Assumptions!$B$9,L1691*10)</f>
        <v>80</v>
      </c>
      <c r="R1691" s="8" t="n">
        <f aca="false">IF(M1691&lt;=1,Assumptions!$B$12,IF(M1691&lt;=3,Assumptions!$B$13,IF(M1691&lt;=6,Assumptions!$B$14,Assumptions!$B$15)))</f>
        <v>50</v>
      </c>
      <c r="S1691" s="8" t="n">
        <f aca="false">IF(N1691="Completed On Time",Assumptions!$B$16,IF(N1691="Completed Late",Assumptions!$B$17,Assumptions!$B$18))</f>
        <v>100</v>
      </c>
      <c r="T1691" s="8" t="n">
        <f aca="false">IF(I1691=0,Assumptions!$B$20,IF(H1691&gt;I1691,Assumptions!$B$19,IF(H1691=I1691,Assumptions!$B$20,Assumptions!$B$21)))</f>
        <v>70</v>
      </c>
      <c r="U1691" s="8" t="n">
        <f aca="false">ROUND(P1691*Assumptions!$B$2+Q1691*Assumptions!$B$3+R1691*Assumptions!$B$4+S1691*Assumptions!$B$5+T1691*Assumptions!$B$6,0)</f>
        <v>73</v>
      </c>
      <c r="V1691" s="8" t="str">
        <f aca="false">IF(U1691&gt;=Assumptions!$B$10,"Healthy",IF(U1691&gt;=Assumptions!$B$11,"Needs Attention","High Risk"))</f>
        <v>Needs Attention</v>
      </c>
    </row>
    <row r="1692" customFormat="false" ht="15" hidden="false" customHeight="false" outlineLevel="0" collapsed="false">
      <c r="A1692" s="8" t="s">
        <v>3526</v>
      </c>
      <c r="B1692" s="8" t="s">
        <v>3527</v>
      </c>
      <c r="C1692" s="8" t="s">
        <v>51</v>
      </c>
      <c r="D1692" s="8" t="s">
        <v>2027</v>
      </c>
      <c r="E1692" s="8" t="s">
        <v>132</v>
      </c>
      <c r="F1692" s="8" t="s">
        <v>166</v>
      </c>
      <c r="G1692" s="8" t="s">
        <v>119</v>
      </c>
      <c r="H1692" s="15" t="n">
        <v>252</v>
      </c>
      <c r="I1692" s="15" t="n">
        <v>252</v>
      </c>
      <c r="J1692" s="16" t="n">
        <v>0.81</v>
      </c>
      <c r="K1692" s="8" t="n">
        <v>9</v>
      </c>
      <c r="L1692" s="8" t="n">
        <v>8</v>
      </c>
      <c r="M1692" s="8" t="n">
        <v>3</v>
      </c>
      <c r="N1692" s="8" t="s">
        <v>120</v>
      </c>
      <c r="O1692" s="15" t="n">
        <f aca="false">H1692*12</f>
        <v>3024</v>
      </c>
      <c r="P1692" s="8" t="n">
        <f aca="false">MIN(100,ROUND(100*J1692/Assumptions!$B$8,0))</f>
        <v>90</v>
      </c>
      <c r="Q1692" s="8" t="n">
        <f aca="false">IF(L1692="",Assumptions!$B$9,L1692*10)</f>
        <v>80</v>
      </c>
      <c r="R1692" s="8" t="n">
        <f aca="false">IF(M1692&lt;=1,Assumptions!$B$12,IF(M1692&lt;=3,Assumptions!$B$13,IF(M1692&lt;=6,Assumptions!$B$14,Assumptions!$B$15)))</f>
        <v>75</v>
      </c>
      <c r="S1692" s="8" t="n">
        <f aca="false">IF(N1692="Completed On Time",Assumptions!$B$16,IF(N1692="Completed Late",Assumptions!$B$17,Assumptions!$B$18))</f>
        <v>100</v>
      </c>
      <c r="T1692" s="8" t="n">
        <f aca="false">IF(I1692=0,Assumptions!$B$20,IF(H1692&gt;I1692,Assumptions!$B$19,IF(H1692=I1692,Assumptions!$B$20,Assumptions!$B$21)))</f>
        <v>70</v>
      </c>
      <c r="U1692" s="8" t="n">
        <f aca="false">ROUND(P1692*Assumptions!$B$2+Q1692*Assumptions!$B$3+R1692*Assumptions!$B$4+S1692*Assumptions!$B$5+T1692*Assumptions!$B$6,0)</f>
        <v>83</v>
      </c>
      <c r="V1692" s="8" t="str">
        <f aca="false">IF(U1692&gt;=Assumptions!$B$10,"Healthy",IF(U1692&gt;=Assumptions!$B$11,"Needs Attention","High Risk"))</f>
        <v>Healthy</v>
      </c>
    </row>
    <row r="1693" customFormat="false" ht="15" hidden="false" customHeight="false" outlineLevel="0" collapsed="false">
      <c r="A1693" s="8" t="s">
        <v>3528</v>
      </c>
      <c r="B1693" s="8" t="s">
        <v>3529</v>
      </c>
      <c r="C1693" s="8" t="s">
        <v>51</v>
      </c>
      <c r="D1693" s="8" t="s">
        <v>326</v>
      </c>
      <c r="E1693" s="8" t="s">
        <v>117</v>
      </c>
      <c r="F1693" s="8" t="s">
        <v>124</v>
      </c>
      <c r="G1693" s="8" t="s">
        <v>159</v>
      </c>
      <c r="H1693" s="15" t="n">
        <v>250</v>
      </c>
      <c r="I1693" s="15" t="n">
        <v>250</v>
      </c>
      <c r="J1693" s="16" t="n">
        <v>0.733</v>
      </c>
      <c r="K1693" s="8" t="n">
        <v>9.3</v>
      </c>
      <c r="L1693" s="8" t="n">
        <v>7</v>
      </c>
      <c r="M1693" s="8" t="n">
        <v>1</v>
      </c>
      <c r="N1693" s="8" t="s">
        <v>120</v>
      </c>
      <c r="O1693" s="15" t="n">
        <f aca="false">H1693*12</f>
        <v>3000</v>
      </c>
      <c r="P1693" s="8" t="n">
        <f aca="false">MIN(100,ROUND(100*J1693/Assumptions!$B$8,0))</f>
        <v>81</v>
      </c>
      <c r="Q1693" s="8" t="n">
        <f aca="false">IF(L1693="",Assumptions!$B$9,L1693*10)</f>
        <v>70</v>
      </c>
      <c r="R1693" s="8" t="n">
        <f aca="false">IF(M1693&lt;=1,Assumptions!$B$12,IF(M1693&lt;=3,Assumptions!$B$13,IF(M1693&lt;=6,Assumptions!$B$14,Assumptions!$B$15)))</f>
        <v>100</v>
      </c>
      <c r="S1693" s="8" t="n">
        <f aca="false">IF(N1693="Completed On Time",Assumptions!$B$16,IF(N1693="Completed Late",Assumptions!$B$17,Assumptions!$B$18))</f>
        <v>100</v>
      </c>
      <c r="T1693" s="8" t="n">
        <f aca="false">IF(I1693=0,Assumptions!$B$20,IF(H1693&gt;I1693,Assumptions!$B$19,IF(H1693=I1693,Assumptions!$B$20,Assumptions!$B$21)))</f>
        <v>70</v>
      </c>
      <c r="U1693" s="8" t="n">
        <f aca="false">ROUND(P1693*Assumptions!$B$2+Q1693*Assumptions!$B$3+R1693*Assumptions!$B$4+S1693*Assumptions!$B$5+T1693*Assumptions!$B$6,0)</f>
        <v>81</v>
      </c>
      <c r="V1693" s="8" t="str">
        <f aca="false">IF(U1693&gt;=Assumptions!$B$10,"Healthy",IF(U1693&gt;=Assumptions!$B$11,"Needs Attention","High Risk"))</f>
        <v>Healthy</v>
      </c>
    </row>
    <row r="1694" customFormat="false" ht="15" hidden="false" customHeight="false" outlineLevel="0" collapsed="false">
      <c r="A1694" s="8" t="s">
        <v>3530</v>
      </c>
      <c r="B1694" s="8" t="s">
        <v>3531</v>
      </c>
      <c r="C1694" s="8" t="s">
        <v>51</v>
      </c>
      <c r="D1694" s="8" t="s">
        <v>326</v>
      </c>
      <c r="E1694" s="8" t="s">
        <v>132</v>
      </c>
      <c r="F1694" s="8" t="s">
        <v>190</v>
      </c>
      <c r="G1694" s="8" t="s">
        <v>180</v>
      </c>
      <c r="H1694" s="15" t="n">
        <v>250</v>
      </c>
      <c r="I1694" s="15" t="n">
        <v>250</v>
      </c>
      <c r="J1694" s="16" t="n">
        <v>0.533</v>
      </c>
      <c r="K1694" s="8" t="n">
        <v>7</v>
      </c>
      <c r="L1694" s="8" t="n">
        <v>7</v>
      </c>
      <c r="M1694" s="8" t="n">
        <v>6</v>
      </c>
      <c r="N1694" s="8" t="s">
        <v>120</v>
      </c>
      <c r="O1694" s="15" t="n">
        <f aca="false">H1694*12</f>
        <v>3000</v>
      </c>
      <c r="P1694" s="8" t="n">
        <f aca="false">MIN(100,ROUND(100*J1694/Assumptions!$B$8,0))</f>
        <v>59</v>
      </c>
      <c r="Q1694" s="8" t="n">
        <f aca="false">IF(L1694="",Assumptions!$B$9,L1694*10)</f>
        <v>70</v>
      </c>
      <c r="R1694" s="8" t="n">
        <f aca="false">IF(M1694&lt;=1,Assumptions!$B$12,IF(M1694&lt;=3,Assumptions!$B$13,IF(M1694&lt;=6,Assumptions!$B$14,Assumptions!$B$15)))</f>
        <v>50</v>
      </c>
      <c r="S1694" s="8" t="n">
        <f aca="false">IF(N1694="Completed On Time",Assumptions!$B$16,IF(N1694="Completed Late",Assumptions!$B$17,Assumptions!$B$18))</f>
        <v>100</v>
      </c>
      <c r="T1694" s="8" t="n">
        <f aca="false">IF(I1694=0,Assumptions!$B$20,IF(H1694&gt;I1694,Assumptions!$B$19,IF(H1694=I1694,Assumptions!$B$20,Assumptions!$B$21)))</f>
        <v>70</v>
      </c>
      <c r="U1694" s="8" t="n">
        <f aca="false">ROUND(P1694*Assumptions!$B$2+Q1694*Assumptions!$B$3+R1694*Assumptions!$B$4+S1694*Assumptions!$B$5+T1694*Assumptions!$B$6,0)</f>
        <v>66</v>
      </c>
      <c r="V1694" s="8" t="str">
        <f aca="false">IF(U1694&gt;=Assumptions!$B$10,"Healthy",IF(U1694&gt;=Assumptions!$B$11,"Needs Attention","High Risk"))</f>
        <v>Needs Attention</v>
      </c>
    </row>
    <row r="1695" customFormat="false" ht="15" hidden="false" customHeight="false" outlineLevel="0" collapsed="false">
      <c r="A1695" s="8" t="s">
        <v>3532</v>
      </c>
      <c r="B1695" s="8" t="s">
        <v>3533</v>
      </c>
      <c r="C1695" s="8" t="s">
        <v>51</v>
      </c>
      <c r="D1695" s="8" t="s">
        <v>326</v>
      </c>
      <c r="E1695" s="8" t="s">
        <v>123</v>
      </c>
      <c r="F1695" s="8" t="s">
        <v>190</v>
      </c>
      <c r="G1695" s="8" t="s">
        <v>159</v>
      </c>
      <c r="H1695" s="15" t="n">
        <v>250</v>
      </c>
      <c r="I1695" s="15" t="n">
        <v>250</v>
      </c>
      <c r="J1695" s="16" t="n">
        <v>0.6</v>
      </c>
      <c r="K1695" s="8" t="n">
        <v>4.7</v>
      </c>
      <c r="L1695" s="8" t="n">
        <v>9</v>
      </c>
      <c r="M1695" s="8" t="n">
        <v>3</v>
      </c>
      <c r="N1695" s="8" t="s">
        <v>120</v>
      </c>
      <c r="O1695" s="15" t="n">
        <f aca="false">H1695*12</f>
        <v>3000</v>
      </c>
      <c r="P1695" s="8" t="n">
        <f aca="false">MIN(100,ROUND(100*J1695/Assumptions!$B$8,0))</f>
        <v>67</v>
      </c>
      <c r="Q1695" s="8" t="n">
        <f aca="false">IF(L1695="",Assumptions!$B$9,L1695*10)</f>
        <v>90</v>
      </c>
      <c r="R1695" s="8" t="n">
        <f aca="false">IF(M1695&lt;=1,Assumptions!$B$12,IF(M1695&lt;=3,Assumptions!$B$13,IF(M1695&lt;=6,Assumptions!$B$14,Assumptions!$B$15)))</f>
        <v>75</v>
      </c>
      <c r="S1695" s="8" t="n">
        <f aca="false">IF(N1695="Completed On Time",Assumptions!$B$16,IF(N1695="Completed Late",Assumptions!$B$17,Assumptions!$B$18))</f>
        <v>100</v>
      </c>
      <c r="T1695" s="8" t="n">
        <f aca="false">IF(I1695=0,Assumptions!$B$20,IF(H1695&gt;I1695,Assumptions!$B$19,IF(H1695=I1695,Assumptions!$B$20,Assumptions!$B$21)))</f>
        <v>70</v>
      </c>
      <c r="U1695" s="8" t="n">
        <f aca="false">ROUND(P1695*Assumptions!$B$2+Q1695*Assumptions!$B$3+R1695*Assumptions!$B$4+S1695*Assumptions!$B$5+T1695*Assumptions!$B$6,0)</f>
        <v>77</v>
      </c>
      <c r="V1695" s="8" t="str">
        <f aca="false">IF(U1695&gt;=Assumptions!$B$10,"Healthy",IF(U1695&gt;=Assumptions!$B$11,"Needs Attention","High Risk"))</f>
        <v>Needs Attention</v>
      </c>
    </row>
    <row r="1696" customFormat="false" ht="15" hidden="false" customHeight="false" outlineLevel="0" collapsed="false">
      <c r="A1696" s="8" t="s">
        <v>3534</v>
      </c>
      <c r="B1696" s="8" t="s">
        <v>3535</v>
      </c>
      <c r="C1696" s="8" t="s">
        <v>51</v>
      </c>
      <c r="D1696" s="8" t="s">
        <v>326</v>
      </c>
      <c r="E1696" s="8" t="s">
        <v>117</v>
      </c>
      <c r="F1696" s="8" t="s">
        <v>133</v>
      </c>
      <c r="G1696" s="8" t="s">
        <v>140</v>
      </c>
      <c r="H1696" s="15" t="n">
        <v>250</v>
      </c>
      <c r="I1696" s="15" t="n">
        <v>250</v>
      </c>
      <c r="J1696" s="16" t="n">
        <v>0.767</v>
      </c>
      <c r="K1696" s="8" t="n">
        <v>10</v>
      </c>
      <c r="L1696" s="8" t="n">
        <v>7</v>
      </c>
      <c r="M1696" s="8" t="n">
        <v>2</v>
      </c>
      <c r="N1696" s="8" t="s">
        <v>120</v>
      </c>
      <c r="O1696" s="15" t="n">
        <f aca="false">H1696*12</f>
        <v>3000</v>
      </c>
      <c r="P1696" s="8" t="n">
        <f aca="false">MIN(100,ROUND(100*J1696/Assumptions!$B$8,0))</f>
        <v>85</v>
      </c>
      <c r="Q1696" s="8" t="n">
        <f aca="false">IF(L1696="",Assumptions!$B$9,L1696*10)</f>
        <v>70</v>
      </c>
      <c r="R1696" s="8" t="n">
        <f aca="false">IF(M1696&lt;=1,Assumptions!$B$12,IF(M1696&lt;=3,Assumptions!$B$13,IF(M1696&lt;=6,Assumptions!$B$14,Assumptions!$B$15)))</f>
        <v>75</v>
      </c>
      <c r="S1696" s="8" t="n">
        <f aca="false">IF(N1696="Completed On Time",Assumptions!$B$16,IF(N1696="Completed Late",Assumptions!$B$17,Assumptions!$B$18))</f>
        <v>100</v>
      </c>
      <c r="T1696" s="8" t="n">
        <f aca="false">IF(I1696=0,Assumptions!$B$20,IF(H1696&gt;I1696,Assumptions!$B$19,IF(H1696=I1696,Assumptions!$B$20,Assumptions!$B$21)))</f>
        <v>70</v>
      </c>
      <c r="U1696" s="8" t="n">
        <f aca="false">ROUND(P1696*Assumptions!$B$2+Q1696*Assumptions!$B$3+R1696*Assumptions!$B$4+S1696*Assumptions!$B$5+T1696*Assumptions!$B$6,0)</f>
        <v>79</v>
      </c>
      <c r="V1696" s="8" t="str">
        <f aca="false">IF(U1696&gt;=Assumptions!$B$10,"Healthy",IF(U1696&gt;=Assumptions!$B$11,"Needs Attention","High Risk"))</f>
        <v>Needs Attention</v>
      </c>
    </row>
    <row r="1697" customFormat="false" ht="15" hidden="false" customHeight="false" outlineLevel="0" collapsed="false">
      <c r="A1697" s="8" t="s">
        <v>3536</v>
      </c>
      <c r="B1697" s="8" t="s">
        <v>3537</v>
      </c>
      <c r="C1697" s="8" t="s">
        <v>51</v>
      </c>
      <c r="D1697" s="8" t="s">
        <v>326</v>
      </c>
      <c r="E1697" s="8" t="s">
        <v>117</v>
      </c>
      <c r="F1697" s="8" t="s">
        <v>166</v>
      </c>
      <c r="G1697" s="8" t="s">
        <v>177</v>
      </c>
      <c r="H1697" s="15" t="n">
        <v>250</v>
      </c>
      <c r="I1697" s="15" t="n">
        <v>250</v>
      </c>
      <c r="J1697" s="16" t="n">
        <v>0.6</v>
      </c>
      <c r="K1697" s="8" t="n">
        <v>6.7</v>
      </c>
      <c r="L1697" s="8" t="n">
        <v>5</v>
      </c>
      <c r="M1697" s="8" t="n">
        <v>3</v>
      </c>
      <c r="N1697" s="8" t="s">
        <v>120</v>
      </c>
      <c r="O1697" s="15" t="n">
        <f aca="false">H1697*12</f>
        <v>3000</v>
      </c>
      <c r="P1697" s="8" t="n">
        <f aca="false">MIN(100,ROUND(100*J1697/Assumptions!$B$8,0))</f>
        <v>67</v>
      </c>
      <c r="Q1697" s="8" t="n">
        <f aca="false">IF(L1697="",Assumptions!$B$9,L1697*10)</f>
        <v>50</v>
      </c>
      <c r="R1697" s="8" t="n">
        <f aca="false">IF(M1697&lt;=1,Assumptions!$B$12,IF(M1697&lt;=3,Assumptions!$B$13,IF(M1697&lt;=6,Assumptions!$B$14,Assumptions!$B$15)))</f>
        <v>75</v>
      </c>
      <c r="S1697" s="8" t="n">
        <f aca="false">IF(N1697="Completed On Time",Assumptions!$B$16,IF(N1697="Completed Late",Assumptions!$B$17,Assumptions!$B$18))</f>
        <v>100</v>
      </c>
      <c r="T1697" s="8" t="n">
        <f aca="false">IF(I1697=0,Assumptions!$B$20,IF(H1697&gt;I1697,Assumptions!$B$19,IF(H1697=I1697,Assumptions!$B$20,Assumptions!$B$21)))</f>
        <v>70</v>
      </c>
      <c r="U1697" s="8" t="n">
        <f aca="false">ROUND(P1697*Assumptions!$B$2+Q1697*Assumptions!$B$3+R1697*Assumptions!$B$4+S1697*Assumptions!$B$5+T1697*Assumptions!$B$6,0)</f>
        <v>69</v>
      </c>
      <c r="V1697" s="8" t="str">
        <f aca="false">IF(U1697&gt;=Assumptions!$B$10,"Healthy",IF(U1697&gt;=Assumptions!$B$11,"Needs Attention","High Risk"))</f>
        <v>Needs Attention</v>
      </c>
    </row>
    <row r="1698" customFormat="false" ht="15" hidden="false" customHeight="false" outlineLevel="0" collapsed="false">
      <c r="A1698" s="8" t="s">
        <v>3538</v>
      </c>
      <c r="B1698" s="8" t="s">
        <v>3539</v>
      </c>
      <c r="C1698" s="8" t="s">
        <v>51</v>
      </c>
      <c r="D1698" s="8" t="s">
        <v>326</v>
      </c>
      <c r="E1698" s="8" t="s">
        <v>117</v>
      </c>
      <c r="F1698" s="8" t="s">
        <v>143</v>
      </c>
      <c r="G1698" s="8" t="s">
        <v>159</v>
      </c>
      <c r="H1698" s="15" t="n">
        <v>250</v>
      </c>
      <c r="I1698" s="15" t="n">
        <v>250</v>
      </c>
      <c r="J1698" s="16" t="n">
        <v>0.667</v>
      </c>
      <c r="K1698" s="8" t="n">
        <v>6.7</v>
      </c>
      <c r="L1698" s="8" t="n">
        <v>8</v>
      </c>
      <c r="M1698" s="8" t="n">
        <v>8</v>
      </c>
      <c r="N1698" s="8" t="s">
        <v>120</v>
      </c>
      <c r="O1698" s="15" t="n">
        <f aca="false">H1698*12</f>
        <v>3000</v>
      </c>
      <c r="P1698" s="8" t="n">
        <f aca="false">MIN(100,ROUND(100*J1698/Assumptions!$B$8,0))</f>
        <v>74</v>
      </c>
      <c r="Q1698" s="8" t="n">
        <f aca="false">IF(L1698="",Assumptions!$B$9,L1698*10)</f>
        <v>80</v>
      </c>
      <c r="R1698" s="8" t="n">
        <f aca="false">IF(M1698&lt;=1,Assumptions!$B$12,IF(M1698&lt;=3,Assumptions!$B$13,IF(M1698&lt;=6,Assumptions!$B$14,Assumptions!$B$15)))</f>
        <v>20</v>
      </c>
      <c r="S1698" s="8" t="n">
        <f aca="false">IF(N1698="Completed On Time",Assumptions!$B$16,IF(N1698="Completed Late",Assumptions!$B$17,Assumptions!$B$18))</f>
        <v>100</v>
      </c>
      <c r="T1698" s="8" t="n">
        <f aca="false">IF(I1698=0,Assumptions!$B$20,IF(H1698&gt;I1698,Assumptions!$B$19,IF(H1698=I1698,Assumptions!$B$20,Assumptions!$B$21)))</f>
        <v>70</v>
      </c>
      <c r="U1698" s="8" t="n">
        <f aca="false">ROUND(P1698*Assumptions!$B$2+Q1698*Assumptions!$B$3+R1698*Assumptions!$B$4+S1698*Assumptions!$B$5+T1698*Assumptions!$B$6,0)</f>
        <v>69</v>
      </c>
      <c r="V1698" s="8" t="str">
        <f aca="false">IF(U1698&gt;=Assumptions!$B$10,"Healthy",IF(U1698&gt;=Assumptions!$B$11,"Needs Attention","High Risk"))</f>
        <v>Needs Attention</v>
      </c>
    </row>
    <row r="1699" customFormat="false" ht="15" hidden="false" customHeight="false" outlineLevel="0" collapsed="false">
      <c r="A1699" s="8" t="s">
        <v>3540</v>
      </c>
      <c r="B1699" s="8" t="s">
        <v>3541</v>
      </c>
      <c r="C1699" s="8" t="s">
        <v>51</v>
      </c>
      <c r="D1699" s="8" t="s">
        <v>326</v>
      </c>
      <c r="E1699" s="8" t="s">
        <v>132</v>
      </c>
      <c r="F1699" s="8" t="s">
        <v>136</v>
      </c>
      <c r="G1699" s="8" t="s">
        <v>177</v>
      </c>
      <c r="H1699" s="15" t="n">
        <v>250</v>
      </c>
      <c r="I1699" s="15" t="n">
        <v>250</v>
      </c>
      <c r="J1699" s="16" t="n">
        <v>0.7</v>
      </c>
      <c r="K1699" s="8" t="n">
        <v>10.3</v>
      </c>
      <c r="L1699" s="8" t="n">
        <v>8</v>
      </c>
      <c r="M1699" s="8" t="n">
        <v>1</v>
      </c>
      <c r="N1699" s="8" t="s">
        <v>120</v>
      </c>
      <c r="O1699" s="15" t="n">
        <f aca="false">H1699*12</f>
        <v>3000</v>
      </c>
      <c r="P1699" s="8" t="n">
        <f aca="false">MIN(100,ROUND(100*J1699/Assumptions!$B$8,0))</f>
        <v>78</v>
      </c>
      <c r="Q1699" s="8" t="n">
        <f aca="false">IF(L1699="",Assumptions!$B$9,L1699*10)</f>
        <v>80</v>
      </c>
      <c r="R1699" s="8" t="n">
        <f aca="false">IF(M1699&lt;=1,Assumptions!$B$12,IF(M1699&lt;=3,Assumptions!$B$13,IF(M1699&lt;=6,Assumptions!$B$14,Assumptions!$B$15)))</f>
        <v>100</v>
      </c>
      <c r="S1699" s="8" t="n">
        <f aca="false">IF(N1699="Completed On Time",Assumptions!$B$16,IF(N1699="Completed Late",Assumptions!$B$17,Assumptions!$B$18))</f>
        <v>100</v>
      </c>
      <c r="T1699" s="8" t="n">
        <f aca="false">IF(I1699=0,Assumptions!$B$20,IF(H1699&gt;I1699,Assumptions!$B$19,IF(H1699=I1699,Assumptions!$B$20,Assumptions!$B$21)))</f>
        <v>70</v>
      </c>
      <c r="U1699" s="8" t="n">
        <f aca="false">ROUND(P1699*Assumptions!$B$2+Q1699*Assumptions!$B$3+R1699*Assumptions!$B$4+S1699*Assumptions!$B$5+T1699*Assumptions!$B$6,0)</f>
        <v>82</v>
      </c>
      <c r="V1699" s="8" t="str">
        <f aca="false">IF(U1699&gt;=Assumptions!$B$10,"Healthy",IF(U1699&gt;=Assumptions!$B$11,"Needs Attention","High Risk"))</f>
        <v>Healthy</v>
      </c>
    </row>
    <row r="1700" customFormat="false" ht="15" hidden="false" customHeight="false" outlineLevel="0" collapsed="false">
      <c r="A1700" s="8" t="s">
        <v>3542</v>
      </c>
      <c r="B1700" s="8" t="s">
        <v>3543</v>
      </c>
      <c r="C1700" s="8" t="s">
        <v>51</v>
      </c>
      <c r="D1700" s="8" t="s">
        <v>2027</v>
      </c>
      <c r="E1700" s="8" t="s">
        <v>132</v>
      </c>
      <c r="F1700" s="8" t="s">
        <v>154</v>
      </c>
      <c r="G1700" s="8" t="s">
        <v>144</v>
      </c>
      <c r="H1700" s="15" t="n">
        <v>240</v>
      </c>
      <c r="I1700" s="15" t="n">
        <v>240</v>
      </c>
      <c r="J1700" s="16" t="n">
        <v>0.883</v>
      </c>
      <c r="K1700" s="8" t="n">
        <v>10</v>
      </c>
      <c r="L1700" s="8" t="n">
        <v>10</v>
      </c>
      <c r="M1700" s="8" t="n">
        <v>1</v>
      </c>
      <c r="N1700" s="8" t="s">
        <v>120</v>
      </c>
      <c r="O1700" s="15" t="n">
        <f aca="false">H1700*12</f>
        <v>2880</v>
      </c>
      <c r="P1700" s="8" t="n">
        <f aca="false">MIN(100,ROUND(100*J1700/Assumptions!$B$8,0))</f>
        <v>98</v>
      </c>
      <c r="Q1700" s="8" t="n">
        <f aca="false">IF(L1700="",Assumptions!$B$9,L1700*10)</f>
        <v>100</v>
      </c>
      <c r="R1700" s="8" t="n">
        <f aca="false">IF(M1700&lt;=1,Assumptions!$B$12,IF(M1700&lt;=3,Assumptions!$B$13,IF(M1700&lt;=6,Assumptions!$B$14,Assumptions!$B$15)))</f>
        <v>100</v>
      </c>
      <c r="S1700" s="8" t="n">
        <f aca="false">IF(N1700="Completed On Time",Assumptions!$B$16,IF(N1700="Completed Late",Assumptions!$B$17,Assumptions!$B$18))</f>
        <v>100</v>
      </c>
      <c r="T1700" s="8" t="n">
        <f aca="false">IF(I1700=0,Assumptions!$B$20,IF(H1700&gt;I1700,Assumptions!$B$19,IF(H1700=I1700,Assumptions!$B$20,Assumptions!$B$21)))</f>
        <v>70</v>
      </c>
      <c r="U1700" s="8" t="n">
        <f aca="false">ROUND(P1700*Assumptions!$B$2+Q1700*Assumptions!$B$3+R1700*Assumptions!$B$4+S1700*Assumptions!$B$5+T1700*Assumptions!$B$6,0)</f>
        <v>93</v>
      </c>
      <c r="V1700" s="8" t="str">
        <f aca="false">IF(U1700&gt;=Assumptions!$B$10,"Healthy",IF(U1700&gt;=Assumptions!$B$11,"Needs Attention","High Risk"))</f>
        <v>Healthy</v>
      </c>
    </row>
    <row r="1701" customFormat="false" ht="15" hidden="false" customHeight="false" outlineLevel="0" collapsed="false">
      <c r="A1701" s="8" t="s">
        <v>3544</v>
      </c>
      <c r="B1701" s="8" t="s">
        <v>3545</v>
      </c>
      <c r="C1701" s="8" t="s">
        <v>51</v>
      </c>
      <c r="D1701" s="8" t="s">
        <v>2027</v>
      </c>
      <c r="E1701" s="8" t="s">
        <v>123</v>
      </c>
      <c r="F1701" s="8" t="s">
        <v>136</v>
      </c>
      <c r="G1701" s="8" t="s">
        <v>125</v>
      </c>
      <c r="H1701" s="15" t="n">
        <v>240</v>
      </c>
      <c r="I1701" s="15" t="n">
        <v>240</v>
      </c>
      <c r="J1701" s="16" t="n">
        <v>0.567</v>
      </c>
      <c r="K1701" s="8" t="n">
        <v>7.3</v>
      </c>
      <c r="L1701" s="8" t="n">
        <v>5</v>
      </c>
      <c r="M1701" s="8" t="n">
        <v>7</v>
      </c>
      <c r="N1701" s="8" t="s">
        <v>120</v>
      </c>
      <c r="O1701" s="15" t="n">
        <f aca="false">H1701*12</f>
        <v>2880</v>
      </c>
      <c r="P1701" s="8" t="n">
        <f aca="false">MIN(100,ROUND(100*J1701/Assumptions!$B$8,0))</f>
        <v>63</v>
      </c>
      <c r="Q1701" s="8" t="n">
        <f aca="false">IF(L1701="",Assumptions!$B$9,L1701*10)</f>
        <v>50</v>
      </c>
      <c r="R1701" s="8" t="n">
        <f aca="false">IF(M1701&lt;=1,Assumptions!$B$12,IF(M1701&lt;=3,Assumptions!$B$13,IF(M1701&lt;=6,Assumptions!$B$14,Assumptions!$B$15)))</f>
        <v>20</v>
      </c>
      <c r="S1701" s="8" t="n">
        <f aca="false">IF(N1701="Completed On Time",Assumptions!$B$16,IF(N1701="Completed Late",Assumptions!$B$17,Assumptions!$B$18))</f>
        <v>100</v>
      </c>
      <c r="T1701" s="8" t="n">
        <f aca="false">IF(I1701=0,Assumptions!$B$20,IF(H1701&gt;I1701,Assumptions!$B$19,IF(H1701=I1701,Assumptions!$B$20,Assumptions!$B$21)))</f>
        <v>70</v>
      </c>
      <c r="U1701" s="8" t="n">
        <f aca="false">ROUND(P1701*Assumptions!$B$2+Q1701*Assumptions!$B$3+R1701*Assumptions!$B$4+S1701*Assumptions!$B$5+T1701*Assumptions!$B$6,0)</f>
        <v>59</v>
      </c>
      <c r="V1701" s="8" t="str">
        <f aca="false">IF(U1701&gt;=Assumptions!$B$10,"Healthy",IF(U1701&gt;=Assumptions!$B$11,"Needs Attention","High Risk"))</f>
        <v>High Risk</v>
      </c>
    </row>
    <row r="1702" customFormat="false" ht="15" hidden="false" customHeight="false" outlineLevel="0" collapsed="false">
      <c r="A1702" s="8" t="s">
        <v>3546</v>
      </c>
      <c r="B1702" s="8" t="s">
        <v>3547</v>
      </c>
      <c r="C1702" s="8" t="s">
        <v>51</v>
      </c>
      <c r="D1702" s="8" t="s">
        <v>2027</v>
      </c>
      <c r="E1702" s="8" t="s">
        <v>128</v>
      </c>
      <c r="F1702" s="8" t="s">
        <v>154</v>
      </c>
      <c r="G1702" s="8" t="s">
        <v>137</v>
      </c>
      <c r="H1702" s="15" t="n">
        <v>240</v>
      </c>
      <c r="I1702" s="15" t="n">
        <v>240</v>
      </c>
      <c r="J1702" s="16" t="n">
        <v>0.583</v>
      </c>
      <c r="K1702" s="8" t="n">
        <v>5.3</v>
      </c>
      <c r="L1702" s="8" t="n">
        <v>4</v>
      </c>
      <c r="M1702" s="8" t="n">
        <v>5</v>
      </c>
      <c r="N1702" s="8" t="s">
        <v>120</v>
      </c>
      <c r="O1702" s="15" t="n">
        <f aca="false">H1702*12</f>
        <v>2880</v>
      </c>
      <c r="P1702" s="8" t="n">
        <f aca="false">MIN(100,ROUND(100*J1702/Assumptions!$B$8,0))</f>
        <v>65</v>
      </c>
      <c r="Q1702" s="8" t="n">
        <f aca="false">IF(L1702="",Assumptions!$B$9,L1702*10)</f>
        <v>40</v>
      </c>
      <c r="R1702" s="8" t="n">
        <f aca="false">IF(M1702&lt;=1,Assumptions!$B$12,IF(M1702&lt;=3,Assumptions!$B$13,IF(M1702&lt;=6,Assumptions!$B$14,Assumptions!$B$15)))</f>
        <v>50</v>
      </c>
      <c r="S1702" s="8" t="n">
        <f aca="false">IF(N1702="Completed On Time",Assumptions!$B$16,IF(N1702="Completed Late",Assumptions!$B$17,Assumptions!$B$18))</f>
        <v>100</v>
      </c>
      <c r="T1702" s="8" t="n">
        <f aca="false">IF(I1702=0,Assumptions!$B$20,IF(H1702&gt;I1702,Assumptions!$B$19,IF(H1702=I1702,Assumptions!$B$20,Assumptions!$B$21)))</f>
        <v>70</v>
      </c>
      <c r="U1702" s="8" t="n">
        <f aca="false">ROUND(P1702*Assumptions!$B$2+Q1702*Assumptions!$B$3+R1702*Assumptions!$B$4+S1702*Assumptions!$B$5+T1702*Assumptions!$B$6,0)</f>
        <v>62</v>
      </c>
      <c r="V1702" s="8" t="str">
        <f aca="false">IF(U1702&gt;=Assumptions!$B$10,"Healthy",IF(U1702&gt;=Assumptions!$B$11,"Needs Attention","High Risk"))</f>
        <v>High Risk</v>
      </c>
    </row>
    <row r="1703" customFormat="false" ht="15" hidden="false" customHeight="false" outlineLevel="0" collapsed="false">
      <c r="A1703" s="8" t="s">
        <v>3548</v>
      </c>
      <c r="B1703" s="8" t="s">
        <v>3549</v>
      </c>
      <c r="C1703" s="8" t="s">
        <v>51</v>
      </c>
      <c r="D1703" s="8" t="s">
        <v>2027</v>
      </c>
      <c r="E1703" s="8" t="s">
        <v>123</v>
      </c>
      <c r="F1703" s="8" t="s">
        <v>133</v>
      </c>
      <c r="G1703" s="8" t="s">
        <v>204</v>
      </c>
      <c r="H1703" s="15" t="n">
        <v>240</v>
      </c>
      <c r="I1703" s="15" t="n">
        <v>240</v>
      </c>
      <c r="J1703" s="16" t="n">
        <v>0.8</v>
      </c>
      <c r="K1703" s="8" t="n">
        <v>9.7</v>
      </c>
      <c r="L1703" s="8" t="n">
        <v>7</v>
      </c>
      <c r="M1703" s="8" t="n">
        <v>2</v>
      </c>
      <c r="N1703" s="8" t="s">
        <v>120</v>
      </c>
      <c r="O1703" s="15" t="n">
        <f aca="false">H1703*12</f>
        <v>2880</v>
      </c>
      <c r="P1703" s="8" t="n">
        <f aca="false">MIN(100,ROUND(100*J1703/Assumptions!$B$8,0))</f>
        <v>89</v>
      </c>
      <c r="Q1703" s="8" t="n">
        <f aca="false">IF(L1703="",Assumptions!$B$9,L1703*10)</f>
        <v>70</v>
      </c>
      <c r="R1703" s="8" t="n">
        <f aca="false">IF(M1703&lt;=1,Assumptions!$B$12,IF(M1703&lt;=3,Assumptions!$B$13,IF(M1703&lt;=6,Assumptions!$B$14,Assumptions!$B$15)))</f>
        <v>75</v>
      </c>
      <c r="S1703" s="8" t="n">
        <f aca="false">IF(N1703="Completed On Time",Assumptions!$B$16,IF(N1703="Completed Late",Assumptions!$B$17,Assumptions!$B$18))</f>
        <v>100</v>
      </c>
      <c r="T1703" s="8" t="n">
        <f aca="false">IF(I1703=0,Assumptions!$B$20,IF(H1703&gt;I1703,Assumptions!$B$19,IF(H1703=I1703,Assumptions!$B$20,Assumptions!$B$21)))</f>
        <v>70</v>
      </c>
      <c r="U1703" s="8" t="n">
        <f aca="false">ROUND(P1703*Assumptions!$B$2+Q1703*Assumptions!$B$3+R1703*Assumptions!$B$4+S1703*Assumptions!$B$5+T1703*Assumptions!$B$6,0)</f>
        <v>80</v>
      </c>
      <c r="V1703" s="8" t="str">
        <f aca="false">IF(U1703&gt;=Assumptions!$B$10,"Healthy",IF(U1703&gt;=Assumptions!$B$11,"Needs Attention","High Risk"))</f>
        <v>Healthy</v>
      </c>
    </row>
    <row r="1704" customFormat="false" ht="15" hidden="false" customHeight="false" outlineLevel="0" collapsed="false">
      <c r="A1704" s="8" t="s">
        <v>3550</v>
      </c>
      <c r="B1704" s="8" t="s">
        <v>3551</v>
      </c>
      <c r="C1704" s="8" t="s">
        <v>51</v>
      </c>
      <c r="D1704" s="8" t="s">
        <v>2027</v>
      </c>
      <c r="E1704" s="8" t="s">
        <v>123</v>
      </c>
      <c r="F1704" s="8" t="s">
        <v>136</v>
      </c>
      <c r="G1704" s="8" t="s">
        <v>185</v>
      </c>
      <c r="H1704" s="15" t="n">
        <v>240</v>
      </c>
      <c r="I1704" s="15" t="n">
        <v>240</v>
      </c>
      <c r="J1704" s="16" t="n">
        <v>0.75</v>
      </c>
      <c r="K1704" s="8" t="n">
        <v>8.3</v>
      </c>
      <c r="L1704" s="8" t="n">
        <v>7</v>
      </c>
      <c r="M1704" s="8" t="n">
        <v>3</v>
      </c>
      <c r="N1704" s="8" t="s">
        <v>120</v>
      </c>
      <c r="O1704" s="15" t="n">
        <f aca="false">H1704*12</f>
        <v>2880</v>
      </c>
      <c r="P1704" s="8" t="n">
        <f aca="false">MIN(100,ROUND(100*J1704/Assumptions!$B$8,0))</f>
        <v>83</v>
      </c>
      <c r="Q1704" s="8" t="n">
        <f aca="false">IF(L1704="",Assumptions!$B$9,L1704*10)</f>
        <v>70</v>
      </c>
      <c r="R1704" s="8" t="n">
        <f aca="false">IF(M1704&lt;=1,Assumptions!$B$12,IF(M1704&lt;=3,Assumptions!$B$13,IF(M1704&lt;=6,Assumptions!$B$14,Assumptions!$B$15)))</f>
        <v>75</v>
      </c>
      <c r="S1704" s="8" t="n">
        <f aca="false">IF(N1704="Completed On Time",Assumptions!$B$16,IF(N1704="Completed Late",Assumptions!$B$17,Assumptions!$B$18))</f>
        <v>100</v>
      </c>
      <c r="T1704" s="8" t="n">
        <f aca="false">IF(I1704=0,Assumptions!$B$20,IF(H1704&gt;I1704,Assumptions!$B$19,IF(H1704=I1704,Assumptions!$B$20,Assumptions!$B$21)))</f>
        <v>70</v>
      </c>
      <c r="U1704" s="8" t="n">
        <f aca="false">ROUND(P1704*Assumptions!$B$2+Q1704*Assumptions!$B$3+R1704*Assumptions!$B$4+S1704*Assumptions!$B$5+T1704*Assumptions!$B$6,0)</f>
        <v>78</v>
      </c>
      <c r="V1704" s="8" t="str">
        <f aca="false">IF(U1704&gt;=Assumptions!$B$10,"Healthy",IF(U1704&gt;=Assumptions!$B$11,"Needs Attention","High Risk"))</f>
        <v>Needs Attention</v>
      </c>
    </row>
    <row r="1705" customFormat="false" ht="15" hidden="false" customHeight="false" outlineLevel="0" collapsed="false">
      <c r="A1705" s="8" t="s">
        <v>3552</v>
      </c>
      <c r="B1705" s="8" t="s">
        <v>3553</v>
      </c>
      <c r="C1705" s="8" t="s">
        <v>51</v>
      </c>
      <c r="D1705" s="8" t="s">
        <v>2027</v>
      </c>
      <c r="E1705" s="8" t="s">
        <v>132</v>
      </c>
      <c r="F1705" s="8" t="s">
        <v>166</v>
      </c>
      <c r="G1705" s="8" t="s">
        <v>204</v>
      </c>
      <c r="H1705" s="15" t="n">
        <v>240</v>
      </c>
      <c r="I1705" s="15" t="n">
        <v>240</v>
      </c>
      <c r="J1705" s="16" t="n">
        <v>0.667</v>
      </c>
      <c r="K1705" s="8" t="n">
        <v>7</v>
      </c>
      <c r="L1705" s="8" t="n">
        <v>6</v>
      </c>
      <c r="M1705" s="8" t="n">
        <v>0</v>
      </c>
      <c r="N1705" s="8" t="s">
        <v>120</v>
      </c>
      <c r="O1705" s="15" t="n">
        <f aca="false">H1705*12</f>
        <v>2880</v>
      </c>
      <c r="P1705" s="8" t="n">
        <f aca="false">MIN(100,ROUND(100*J1705/Assumptions!$B$8,0))</f>
        <v>74</v>
      </c>
      <c r="Q1705" s="8" t="n">
        <f aca="false">IF(L1705="",Assumptions!$B$9,L1705*10)</f>
        <v>60</v>
      </c>
      <c r="R1705" s="8" t="n">
        <f aca="false">IF(M1705&lt;=1,Assumptions!$B$12,IF(M1705&lt;=3,Assumptions!$B$13,IF(M1705&lt;=6,Assumptions!$B$14,Assumptions!$B$15)))</f>
        <v>100</v>
      </c>
      <c r="S1705" s="8" t="n">
        <f aca="false">IF(N1705="Completed On Time",Assumptions!$B$16,IF(N1705="Completed Late",Assumptions!$B$17,Assumptions!$B$18))</f>
        <v>100</v>
      </c>
      <c r="T1705" s="8" t="n">
        <f aca="false">IF(I1705=0,Assumptions!$B$20,IF(H1705&gt;I1705,Assumptions!$B$19,IF(H1705=I1705,Assumptions!$B$20,Assumptions!$B$21)))</f>
        <v>70</v>
      </c>
      <c r="U1705" s="8" t="n">
        <f aca="false">ROUND(P1705*Assumptions!$B$2+Q1705*Assumptions!$B$3+R1705*Assumptions!$B$4+S1705*Assumptions!$B$5+T1705*Assumptions!$B$6,0)</f>
        <v>77</v>
      </c>
      <c r="V1705" s="8" t="str">
        <f aca="false">IF(U1705&gt;=Assumptions!$B$10,"Healthy",IF(U1705&gt;=Assumptions!$B$11,"Needs Attention","High Risk"))</f>
        <v>Needs Attention</v>
      </c>
    </row>
    <row r="1706" customFormat="false" ht="15" hidden="false" customHeight="false" outlineLevel="0" collapsed="false">
      <c r="A1706" s="8" t="s">
        <v>3554</v>
      </c>
      <c r="B1706" s="8" t="s">
        <v>3555</v>
      </c>
      <c r="C1706" s="8" t="s">
        <v>51</v>
      </c>
      <c r="D1706" s="8" t="s">
        <v>2027</v>
      </c>
      <c r="E1706" s="8" t="s">
        <v>123</v>
      </c>
      <c r="F1706" s="8" t="s">
        <v>118</v>
      </c>
      <c r="G1706" s="8" t="s">
        <v>140</v>
      </c>
      <c r="H1706" s="15" t="n">
        <v>240</v>
      </c>
      <c r="I1706" s="15" t="n">
        <v>240</v>
      </c>
      <c r="J1706" s="16" t="n">
        <v>0.65</v>
      </c>
      <c r="K1706" s="8" t="n">
        <v>10</v>
      </c>
      <c r="L1706" s="8" t="n">
        <v>10</v>
      </c>
      <c r="M1706" s="8" t="n">
        <v>1</v>
      </c>
      <c r="N1706" s="8" t="s">
        <v>120</v>
      </c>
      <c r="O1706" s="15" t="n">
        <f aca="false">H1706*12</f>
        <v>2880</v>
      </c>
      <c r="P1706" s="8" t="n">
        <f aca="false">MIN(100,ROUND(100*J1706/Assumptions!$B$8,0))</f>
        <v>72</v>
      </c>
      <c r="Q1706" s="8" t="n">
        <f aca="false">IF(L1706="",Assumptions!$B$9,L1706*10)</f>
        <v>100</v>
      </c>
      <c r="R1706" s="8" t="n">
        <f aca="false">IF(M1706&lt;=1,Assumptions!$B$12,IF(M1706&lt;=3,Assumptions!$B$13,IF(M1706&lt;=6,Assumptions!$B$14,Assumptions!$B$15)))</f>
        <v>100</v>
      </c>
      <c r="S1706" s="8" t="n">
        <f aca="false">IF(N1706="Completed On Time",Assumptions!$B$16,IF(N1706="Completed Late",Assumptions!$B$17,Assumptions!$B$18))</f>
        <v>100</v>
      </c>
      <c r="T1706" s="8" t="n">
        <f aca="false">IF(I1706=0,Assumptions!$B$20,IF(H1706&gt;I1706,Assumptions!$B$19,IF(H1706=I1706,Assumptions!$B$20,Assumptions!$B$21)))</f>
        <v>70</v>
      </c>
      <c r="U1706" s="8" t="n">
        <f aca="false">ROUND(P1706*Assumptions!$B$2+Q1706*Assumptions!$B$3+R1706*Assumptions!$B$4+S1706*Assumptions!$B$5+T1706*Assumptions!$B$6,0)</f>
        <v>84</v>
      </c>
      <c r="V1706" s="8" t="str">
        <f aca="false">IF(U1706&gt;=Assumptions!$B$10,"Healthy",IF(U1706&gt;=Assumptions!$B$11,"Needs Attention","High Risk"))</f>
        <v>Healthy</v>
      </c>
    </row>
    <row r="1707" customFormat="false" ht="15" hidden="false" customHeight="false" outlineLevel="0" collapsed="false">
      <c r="A1707" s="8" t="s">
        <v>3556</v>
      </c>
      <c r="B1707" s="8" t="s">
        <v>3557</v>
      </c>
      <c r="C1707" s="8" t="s">
        <v>51</v>
      </c>
      <c r="D1707" s="8" t="s">
        <v>2027</v>
      </c>
      <c r="E1707" s="8" t="s">
        <v>123</v>
      </c>
      <c r="F1707" s="8" t="s">
        <v>154</v>
      </c>
      <c r="G1707" s="8" t="s">
        <v>144</v>
      </c>
      <c r="H1707" s="15" t="n">
        <v>240</v>
      </c>
      <c r="I1707" s="15" t="n">
        <v>240</v>
      </c>
      <c r="J1707" s="16" t="n">
        <v>0.75</v>
      </c>
      <c r="K1707" s="8" t="n">
        <v>9.3</v>
      </c>
      <c r="L1707" s="8" t="n">
        <v>9</v>
      </c>
      <c r="M1707" s="8" t="n">
        <v>2</v>
      </c>
      <c r="N1707" s="8" t="s">
        <v>120</v>
      </c>
      <c r="O1707" s="15" t="n">
        <f aca="false">H1707*12</f>
        <v>2880</v>
      </c>
      <c r="P1707" s="8" t="n">
        <f aca="false">MIN(100,ROUND(100*J1707/Assumptions!$B$8,0))</f>
        <v>83</v>
      </c>
      <c r="Q1707" s="8" t="n">
        <f aca="false">IF(L1707="",Assumptions!$B$9,L1707*10)</f>
        <v>90</v>
      </c>
      <c r="R1707" s="8" t="n">
        <f aca="false">IF(M1707&lt;=1,Assumptions!$B$12,IF(M1707&lt;=3,Assumptions!$B$13,IF(M1707&lt;=6,Assumptions!$B$14,Assumptions!$B$15)))</f>
        <v>75</v>
      </c>
      <c r="S1707" s="8" t="n">
        <f aca="false">IF(N1707="Completed On Time",Assumptions!$B$16,IF(N1707="Completed Late",Assumptions!$B$17,Assumptions!$B$18))</f>
        <v>100</v>
      </c>
      <c r="T1707" s="8" t="n">
        <f aca="false">IF(I1707=0,Assumptions!$B$20,IF(H1707&gt;I1707,Assumptions!$B$19,IF(H1707=I1707,Assumptions!$B$20,Assumptions!$B$21)))</f>
        <v>70</v>
      </c>
      <c r="U1707" s="8" t="n">
        <f aca="false">ROUND(P1707*Assumptions!$B$2+Q1707*Assumptions!$B$3+R1707*Assumptions!$B$4+S1707*Assumptions!$B$5+T1707*Assumptions!$B$6,0)</f>
        <v>82</v>
      </c>
      <c r="V1707" s="8" t="str">
        <f aca="false">IF(U1707&gt;=Assumptions!$B$10,"Healthy",IF(U1707&gt;=Assumptions!$B$11,"Needs Attention","High Risk"))</f>
        <v>Healthy</v>
      </c>
    </row>
    <row r="1708" customFormat="false" ht="15" hidden="false" customHeight="false" outlineLevel="0" collapsed="false">
      <c r="A1708" s="8" t="s">
        <v>3558</v>
      </c>
      <c r="B1708" s="8" t="s">
        <v>3559</v>
      </c>
      <c r="C1708" s="8" t="s">
        <v>51</v>
      </c>
      <c r="D1708" s="8" t="s">
        <v>2027</v>
      </c>
      <c r="E1708" s="8" t="s">
        <v>132</v>
      </c>
      <c r="F1708" s="8" t="s">
        <v>223</v>
      </c>
      <c r="G1708" s="8" t="s">
        <v>147</v>
      </c>
      <c r="H1708" s="15" t="n">
        <v>240</v>
      </c>
      <c r="I1708" s="15" t="n">
        <v>240</v>
      </c>
      <c r="J1708" s="16" t="n">
        <v>0.633</v>
      </c>
      <c r="K1708" s="8" t="n">
        <v>7.7</v>
      </c>
      <c r="L1708" s="8" t="n">
        <v>6</v>
      </c>
      <c r="M1708" s="8" t="n">
        <v>1</v>
      </c>
      <c r="N1708" s="8" t="s">
        <v>148</v>
      </c>
      <c r="O1708" s="15" t="n">
        <f aca="false">H1708*12</f>
        <v>2880</v>
      </c>
      <c r="P1708" s="8" t="n">
        <f aca="false">MIN(100,ROUND(100*J1708/Assumptions!$B$8,0))</f>
        <v>70</v>
      </c>
      <c r="Q1708" s="8" t="n">
        <f aca="false">IF(L1708="",Assumptions!$B$9,L1708*10)</f>
        <v>60</v>
      </c>
      <c r="R1708" s="8" t="n">
        <f aca="false">IF(M1708&lt;=1,Assumptions!$B$12,IF(M1708&lt;=3,Assumptions!$B$13,IF(M1708&lt;=6,Assumptions!$B$14,Assumptions!$B$15)))</f>
        <v>100</v>
      </c>
      <c r="S1708" s="8" t="n">
        <f aca="false">IF(N1708="Completed On Time",Assumptions!$B$16,IF(N1708="Completed Late",Assumptions!$B$17,Assumptions!$B$18))</f>
        <v>60</v>
      </c>
      <c r="T1708" s="8" t="n">
        <f aca="false">IF(I1708=0,Assumptions!$B$20,IF(H1708&gt;I1708,Assumptions!$B$19,IF(H1708=I1708,Assumptions!$B$20,Assumptions!$B$21)))</f>
        <v>70</v>
      </c>
      <c r="U1708" s="8" t="n">
        <f aca="false">ROUND(P1708*Assumptions!$B$2+Q1708*Assumptions!$B$3+R1708*Assumptions!$B$4+S1708*Assumptions!$B$5+T1708*Assumptions!$B$6,0)</f>
        <v>72</v>
      </c>
      <c r="V1708" s="8" t="str">
        <f aca="false">IF(U1708&gt;=Assumptions!$B$10,"Healthy",IF(U1708&gt;=Assumptions!$B$11,"Needs Attention","High Risk"))</f>
        <v>Needs Attention</v>
      </c>
    </row>
    <row r="1709" customFormat="false" ht="15" hidden="false" customHeight="false" outlineLevel="0" collapsed="false">
      <c r="A1709" s="8" t="s">
        <v>3560</v>
      </c>
      <c r="B1709" s="8" t="s">
        <v>3561</v>
      </c>
      <c r="C1709" s="8" t="s">
        <v>51</v>
      </c>
      <c r="D1709" s="8" t="s">
        <v>2027</v>
      </c>
      <c r="E1709" s="8" t="s">
        <v>123</v>
      </c>
      <c r="F1709" s="8" t="s">
        <v>118</v>
      </c>
      <c r="G1709" s="8" t="s">
        <v>204</v>
      </c>
      <c r="H1709" s="15" t="n">
        <v>240</v>
      </c>
      <c r="I1709" s="15" t="n">
        <v>240</v>
      </c>
      <c r="J1709" s="16" t="n">
        <v>0.75</v>
      </c>
      <c r="K1709" s="8" t="n">
        <v>8.7</v>
      </c>
      <c r="L1709" s="8" t="n">
        <v>10</v>
      </c>
      <c r="M1709" s="8" t="n">
        <v>0</v>
      </c>
      <c r="N1709" s="8" t="s">
        <v>120</v>
      </c>
      <c r="O1709" s="15" t="n">
        <f aca="false">H1709*12</f>
        <v>2880</v>
      </c>
      <c r="P1709" s="8" t="n">
        <f aca="false">MIN(100,ROUND(100*J1709/Assumptions!$B$8,0))</f>
        <v>83</v>
      </c>
      <c r="Q1709" s="8" t="n">
        <f aca="false">IF(L1709="",Assumptions!$B$9,L1709*10)</f>
        <v>100</v>
      </c>
      <c r="R1709" s="8" t="n">
        <f aca="false">IF(M1709&lt;=1,Assumptions!$B$12,IF(M1709&lt;=3,Assumptions!$B$13,IF(M1709&lt;=6,Assumptions!$B$14,Assumptions!$B$15)))</f>
        <v>100</v>
      </c>
      <c r="S1709" s="8" t="n">
        <f aca="false">IF(N1709="Completed On Time",Assumptions!$B$16,IF(N1709="Completed Late",Assumptions!$B$17,Assumptions!$B$18))</f>
        <v>100</v>
      </c>
      <c r="T1709" s="8" t="n">
        <f aca="false">IF(I1709=0,Assumptions!$B$20,IF(H1709&gt;I1709,Assumptions!$B$19,IF(H1709=I1709,Assumptions!$B$20,Assumptions!$B$21)))</f>
        <v>70</v>
      </c>
      <c r="U1709" s="8" t="n">
        <f aca="false">ROUND(P1709*Assumptions!$B$2+Q1709*Assumptions!$B$3+R1709*Assumptions!$B$4+S1709*Assumptions!$B$5+T1709*Assumptions!$B$6,0)</f>
        <v>88</v>
      </c>
      <c r="V1709" s="8" t="str">
        <f aca="false">IF(U1709&gt;=Assumptions!$B$10,"Healthy",IF(U1709&gt;=Assumptions!$B$11,"Needs Attention","High Risk"))</f>
        <v>Healthy</v>
      </c>
    </row>
    <row r="1710" customFormat="false" ht="15" hidden="false" customHeight="false" outlineLevel="0" collapsed="false">
      <c r="A1710" s="8" t="s">
        <v>3562</v>
      </c>
      <c r="B1710" s="8" t="s">
        <v>3563</v>
      </c>
      <c r="C1710" s="8" t="s">
        <v>51</v>
      </c>
      <c r="D1710" s="8" t="s">
        <v>2027</v>
      </c>
      <c r="E1710" s="8" t="s">
        <v>123</v>
      </c>
      <c r="F1710" s="8" t="s">
        <v>223</v>
      </c>
      <c r="G1710" s="8" t="s">
        <v>129</v>
      </c>
      <c r="H1710" s="15" t="n">
        <v>240</v>
      </c>
      <c r="I1710" s="15" t="n">
        <v>240</v>
      </c>
      <c r="J1710" s="16" t="n">
        <v>0.817</v>
      </c>
      <c r="K1710" s="8" t="n">
        <v>9.3</v>
      </c>
      <c r="L1710" s="8" t="n">
        <v>10</v>
      </c>
      <c r="M1710" s="8" t="n">
        <v>5</v>
      </c>
      <c r="N1710" s="8" t="s">
        <v>120</v>
      </c>
      <c r="O1710" s="15" t="n">
        <f aca="false">H1710*12</f>
        <v>2880</v>
      </c>
      <c r="P1710" s="8" t="n">
        <f aca="false">MIN(100,ROUND(100*J1710/Assumptions!$B$8,0))</f>
        <v>91</v>
      </c>
      <c r="Q1710" s="8" t="n">
        <f aca="false">IF(L1710="",Assumptions!$B$9,L1710*10)</f>
        <v>100</v>
      </c>
      <c r="R1710" s="8" t="n">
        <f aca="false">IF(M1710&lt;=1,Assumptions!$B$12,IF(M1710&lt;=3,Assumptions!$B$13,IF(M1710&lt;=6,Assumptions!$B$14,Assumptions!$B$15)))</f>
        <v>50</v>
      </c>
      <c r="S1710" s="8" t="n">
        <f aca="false">IF(N1710="Completed On Time",Assumptions!$B$16,IF(N1710="Completed Late",Assumptions!$B$17,Assumptions!$B$18))</f>
        <v>100</v>
      </c>
      <c r="T1710" s="8" t="n">
        <f aca="false">IF(I1710=0,Assumptions!$B$20,IF(H1710&gt;I1710,Assumptions!$B$19,IF(H1710=I1710,Assumptions!$B$20,Assumptions!$B$21)))</f>
        <v>70</v>
      </c>
      <c r="U1710" s="8" t="n">
        <f aca="false">ROUND(P1710*Assumptions!$B$2+Q1710*Assumptions!$B$3+R1710*Assumptions!$B$4+S1710*Assumptions!$B$5+T1710*Assumptions!$B$6,0)</f>
        <v>83</v>
      </c>
      <c r="V1710" s="8" t="str">
        <f aca="false">IF(U1710&gt;=Assumptions!$B$10,"Healthy",IF(U1710&gt;=Assumptions!$B$11,"Needs Attention","High Risk"))</f>
        <v>Healthy</v>
      </c>
    </row>
    <row r="1711" customFormat="false" ht="15" hidden="false" customHeight="false" outlineLevel="0" collapsed="false">
      <c r="A1711" s="8" t="s">
        <v>3564</v>
      </c>
      <c r="B1711" s="8" t="s">
        <v>3565</v>
      </c>
      <c r="C1711" s="8" t="s">
        <v>51</v>
      </c>
      <c r="D1711" s="8" t="s">
        <v>2027</v>
      </c>
      <c r="E1711" s="8" t="s">
        <v>117</v>
      </c>
      <c r="F1711" s="8" t="s">
        <v>223</v>
      </c>
      <c r="G1711" s="8" t="s">
        <v>129</v>
      </c>
      <c r="H1711" s="15" t="n">
        <v>240</v>
      </c>
      <c r="I1711" s="15" t="n">
        <v>240</v>
      </c>
      <c r="J1711" s="16" t="n">
        <v>0.817</v>
      </c>
      <c r="K1711" s="8" t="n">
        <v>10</v>
      </c>
      <c r="L1711" s="8" t="n">
        <v>9</v>
      </c>
      <c r="M1711" s="8" t="n">
        <v>0</v>
      </c>
      <c r="N1711" s="8" t="s">
        <v>120</v>
      </c>
      <c r="O1711" s="15" t="n">
        <f aca="false">H1711*12</f>
        <v>2880</v>
      </c>
      <c r="P1711" s="8" t="n">
        <f aca="false">MIN(100,ROUND(100*J1711/Assumptions!$B$8,0))</f>
        <v>91</v>
      </c>
      <c r="Q1711" s="8" t="n">
        <f aca="false">IF(L1711="",Assumptions!$B$9,L1711*10)</f>
        <v>90</v>
      </c>
      <c r="R1711" s="8" t="n">
        <f aca="false">IF(M1711&lt;=1,Assumptions!$B$12,IF(M1711&lt;=3,Assumptions!$B$13,IF(M1711&lt;=6,Assumptions!$B$14,Assumptions!$B$15)))</f>
        <v>100</v>
      </c>
      <c r="S1711" s="8" t="n">
        <f aca="false">IF(N1711="Completed On Time",Assumptions!$B$16,IF(N1711="Completed Late",Assumptions!$B$17,Assumptions!$B$18))</f>
        <v>100</v>
      </c>
      <c r="T1711" s="8" t="n">
        <f aca="false">IF(I1711=0,Assumptions!$B$20,IF(H1711&gt;I1711,Assumptions!$B$19,IF(H1711=I1711,Assumptions!$B$20,Assumptions!$B$21)))</f>
        <v>70</v>
      </c>
      <c r="U1711" s="8" t="n">
        <f aca="false">ROUND(P1711*Assumptions!$B$2+Q1711*Assumptions!$B$3+R1711*Assumptions!$B$4+S1711*Assumptions!$B$5+T1711*Assumptions!$B$6,0)</f>
        <v>89</v>
      </c>
      <c r="V1711" s="8" t="str">
        <f aca="false">IF(U1711&gt;=Assumptions!$B$10,"Healthy",IF(U1711&gt;=Assumptions!$B$11,"Needs Attention","High Risk"))</f>
        <v>Healthy</v>
      </c>
    </row>
    <row r="1712" customFormat="false" ht="15" hidden="false" customHeight="false" outlineLevel="0" collapsed="false">
      <c r="A1712" s="8" t="s">
        <v>3566</v>
      </c>
      <c r="B1712" s="8" t="s">
        <v>3567</v>
      </c>
      <c r="C1712" s="8" t="s">
        <v>51</v>
      </c>
      <c r="D1712" s="8" t="s">
        <v>2027</v>
      </c>
      <c r="E1712" s="8" t="s">
        <v>117</v>
      </c>
      <c r="F1712" s="8" t="s">
        <v>124</v>
      </c>
      <c r="G1712" s="8" t="s">
        <v>185</v>
      </c>
      <c r="H1712" s="15" t="n">
        <v>240</v>
      </c>
      <c r="I1712" s="15" t="n">
        <v>240</v>
      </c>
      <c r="J1712" s="16" t="n">
        <v>0.867</v>
      </c>
      <c r="K1712" s="8" t="n">
        <v>10.7</v>
      </c>
      <c r="L1712" s="8" t="n">
        <v>10</v>
      </c>
      <c r="M1712" s="8" t="n">
        <v>2</v>
      </c>
      <c r="N1712" s="8" t="s">
        <v>120</v>
      </c>
      <c r="O1712" s="15" t="n">
        <f aca="false">H1712*12</f>
        <v>2880</v>
      </c>
      <c r="P1712" s="8" t="n">
        <f aca="false">MIN(100,ROUND(100*J1712/Assumptions!$B$8,0))</f>
        <v>96</v>
      </c>
      <c r="Q1712" s="8" t="n">
        <f aca="false">IF(L1712="",Assumptions!$B$9,L1712*10)</f>
        <v>100</v>
      </c>
      <c r="R1712" s="8" t="n">
        <f aca="false">IF(M1712&lt;=1,Assumptions!$B$12,IF(M1712&lt;=3,Assumptions!$B$13,IF(M1712&lt;=6,Assumptions!$B$14,Assumptions!$B$15)))</f>
        <v>75</v>
      </c>
      <c r="S1712" s="8" t="n">
        <f aca="false">IF(N1712="Completed On Time",Assumptions!$B$16,IF(N1712="Completed Late",Assumptions!$B$17,Assumptions!$B$18))</f>
        <v>100</v>
      </c>
      <c r="T1712" s="8" t="n">
        <f aca="false">IF(I1712=0,Assumptions!$B$20,IF(H1712&gt;I1712,Assumptions!$B$19,IF(H1712=I1712,Assumptions!$B$20,Assumptions!$B$21)))</f>
        <v>70</v>
      </c>
      <c r="U1712" s="8" t="n">
        <f aca="false">ROUND(P1712*Assumptions!$B$2+Q1712*Assumptions!$B$3+R1712*Assumptions!$B$4+S1712*Assumptions!$B$5+T1712*Assumptions!$B$6,0)</f>
        <v>89</v>
      </c>
      <c r="V1712" s="8" t="str">
        <f aca="false">IF(U1712&gt;=Assumptions!$B$10,"Healthy",IF(U1712&gt;=Assumptions!$B$11,"Needs Attention","High Risk"))</f>
        <v>Healthy</v>
      </c>
    </row>
    <row r="1713" customFormat="false" ht="15" hidden="false" customHeight="false" outlineLevel="0" collapsed="false">
      <c r="A1713" s="8" t="s">
        <v>3568</v>
      </c>
      <c r="B1713" s="8" t="s">
        <v>3569</v>
      </c>
      <c r="C1713" s="8" t="s">
        <v>51</v>
      </c>
      <c r="D1713" s="8" t="s">
        <v>2027</v>
      </c>
      <c r="E1713" s="8" t="s">
        <v>117</v>
      </c>
      <c r="F1713" s="8" t="s">
        <v>190</v>
      </c>
      <c r="G1713" s="8" t="s">
        <v>129</v>
      </c>
      <c r="H1713" s="15" t="n">
        <v>240</v>
      </c>
      <c r="I1713" s="15" t="n">
        <v>240</v>
      </c>
      <c r="J1713" s="16" t="n">
        <v>0.567</v>
      </c>
      <c r="K1713" s="8" t="n">
        <v>6.7</v>
      </c>
      <c r="L1713" s="8" t="n">
        <v>6</v>
      </c>
      <c r="M1713" s="8" t="n">
        <v>3</v>
      </c>
      <c r="N1713" s="8" t="s">
        <v>120</v>
      </c>
      <c r="O1713" s="15" t="n">
        <f aca="false">H1713*12</f>
        <v>2880</v>
      </c>
      <c r="P1713" s="8" t="n">
        <f aca="false">MIN(100,ROUND(100*J1713/Assumptions!$B$8,0))</f>
        <v>63</v>
      </c>
      <c r="Q1713" s="8" t="n">
        <f aca="false">IF(L1713="",Assumptions!$B$9,L1713*10)</f>
        <v>60</v>
      </c>
      <c r="R1713" s="8" t="n">
        <f aca="false">IF(M1713&lt;=1,Assumptions!$B$12,IF(M1713&lt;=3,Assumptions!$B$13,IF(M1713&lt;=6,Assumptions!$B$14,Assumptions!$B$15)))</f>
        <v>75</v>
      </c>
      <c r="S1713" s="8" t="n">
        <f aca="false">IF(N1713="Completed On Time",Assumptions!$B$16,IF(N1713="Completed Late",Assumptions!$B$17,Assumptions!$B$18))</f>
        <v>100</v>
      </c>
      <c r="T1713" s="8" t="n">
        <f aca="false">IF(I1713=0,Assumptions!$B$20,IF(H1713&gt;I1713,Assumptions!$B$19,IF(H1713=I1713,Assumptions!$B$20,Assumptions!$B$21)))</f>
        <v>70</v>
      </c>
      <c r="U1713" s="8" t="n">
        <f aca="false">ROUND(P1713*Assumptions!$B$2+Q1713*Assumptions!$B$3+R1713*Assumptions!$B$4+S1713*Assumptions!$B$5+T1713*Assumptions!$B$6,0)</f>
        <v>69</v>
      </c>
      <c r="V1713" s="8" t="str">
        <f aca="false">IF(U1713&gt;=Assumptions!$B$10,"Healthy",IF(U1713&gt;=Assumptions!$B$11,"Needs Attention","High Risk"))</f>
        <v>Needs Attention</v>
      </c>
    </row>
    <row r="1714" customFormat="false" ht="15" hidden="false" customHeight="false" outlineLevel="0" collapsed="false">
      <c r="A1714" s="8" t="s">
        <v>3570</v>
      </c>
      <c r="B1714" s="8" t="s">
        <v>3571</v>
      </c>
      <c r="C1714" s="8" t="s">
        <v>51</v>
      </c>
      <c r="D1714" s="8" t="s">
        <v>2027</v>
      </c>
      <c r="E1714" s="8" t="s">
        <v>132</v>
      </c>
      <c r="F1714" s="8" t="s">
        <v>190</v>
      </c>
      <c r="G1714" s="8" t="s">
        <v>180</v>
      </c>
      <c r="H1714" s="15" t="n">
        <v>240</v>
      </c>
      <c r="I1714" s="15" t="n">
        <v>0</v>
      </c>
      <c r="J1714" s="16" t="n">
        <v>0.65</v>
      </c>
      <c r="K1714" s="8" t="n">
        <v>6</v>
      </c>
      <c r="L1714" s="8"/>
      <c r="M1714" s="8" t="n">
        <v>2</v>
      </c>
      <c r="N1714" s="8" t="s">
        <v>120</v>
      </c>
      <c r="O1714" s="15" t="n">
        <f aca="false">H1714*12</f>
        <v>2880</v>
      </c>
      <c r="P1714" s="8" t="n">
        <f aca="false">MIN(100,ROUND(100*J1714/Assumptions!$B$8,0))</f>
        <v>72</v>
      </c>
      <c r="Q1714" s="8" t="n">
        <f aca="false">IF(L1714="",Assumptions!$B$9,L1714*10)</f>
        <v>50</v>
      </c>
      <c r="R1714" s="8" t="n">
        <f aca="false">IF(M1714&lt;=1,Assumptions!$B$12,IF(M1714&lt;=3,Assumptions!$B$13,IF(M1714&lt;=6,Assumptions!$B$14,Assumptions!$B$15)))</f>
        <v>75</v>
      </c>
      <c r="S1714" s="8" t="n">
        <f aca="false">IF(N1714="Completed On Time",Assumptions!$B$16,IF(N1714="Completed Late",Assumptions!$B$17,Assumptions!$B$18))</f>
        <v>100</v>
      </c>
      <c r="T1714" s="8" t="n">
        <f aca="false">IF(I1714=0,Assumptions!$B$20,IF(H1714&gt;I1714,Assumptions!$B$19,IF(H1714=I1714,Assumptions!$B$20,Assumptions!$B$21)))</f>
        <v>70</v>
      </c>
      <c r="U1714" s="8" t="n">
        <f aca="false">ROUND(P1714*Assumptions!$B$2+Q1714*Assumptions!$B$3+R1714*Assumptions!$B$4+S1714*Assumptions!$B$5+T1714*Assumptions!$B$6,0)</f>
        <v>70</v>
      </c>
      <c r="V1714" s="8" t="str">
        <f aca="false">IF(U1714&gt;=Assumptions!$B$10,"Healthy",IF(U1714&gt;=Assumptions!$B$11,"Needs Attention","High Risk"))</f>
        <v>Needs Attention</v>
      </c>
    </row>
    <row r="1715" customFormat="false" ht="15" hidden="false" customHeight="false" outlineLevel="0" collapsed="false">
      <c r="A1715" s="8" t="s">
        <v>3572</v>
      </c>
      <c r="B1715" s="8" t="s">
        <v>3573</v>
      </c>
      <c r="C1715" s="8" t="s">
        <v>51</v>
      </c>
      <c r="D1715" s="8" t="s">
        <v>2027</v>
      </c>
      <c r="E1715" s="8" t="s">
        <v>117</v>
      </c>
      <c r="F1715" s="8" t="s">
        <v>124</v>
      </c>
      <c r="G1715" s="8" t="s">
        <v>159</v>
      </c>
      <c r="H1715" s="15" t="n">
        <v>240</v>
      </c>
      <c r="I1715" s="15" t="n">
        <v>240</v>
      </c>
      <c r="J1715" s="16" t="n">
        <v>0.8</v>
      </c>
      <c r="K1715" s="8" t="n">
        <v>11.3</v>
      </c>
      <c r="L1715" s="8" t="n">
        <v>7</v>
      </c>
      <c r="M1715" s="8" t="n">
        <v>0</v>
      </c>
      <c r="N1715" s="8" t="s">
        <v>120</v>
      </c>
      <c r="O1715" s="15" t="n">
        <f aca="false">H1715*12</f>
        <v>2880</v>
      </c>
      <c r="P1715" s="8" t="n">
        <f aca="false">MIN(100,ROUND(100*J1715/Assumptions!$B$8,0))</f>
        <v>89</v>
      </c>
      <c r="Q1715" s="8" t="n">
        <f aca="false">IF(L1715="",Assumptions!$B$9,L1715*10)</f>
        <v>70</v>
      </c>
      <c r="R1715" s="8" t="n">
        <f aca="false">IF(M1715&lt;=1,Assumptions!$B$12,IF(M1715&lt;=3,Assumptions!$B$13,IF(M1715&lt;=6,Assumptions!$B$14,Assumptions!$B$15)))</f>
        <v>100</v>
      </c>
      <c r="S1715" s="8" t="n">
        <f aca="false">IF(N1715="Completed On Time",Assumptions!$B$16,IF(N1715="Completed Late",Assumptions!$B$17,Assumptions!$B$18))</f>
        <v>100</v>
      </c>
      <c r="T1715" s="8" t="n">
        <f aca="false">IF(I1715=0,Assumptions!$B$20,IF(H1715&gt;I1715,Assumptions!$B$19,IF(H1715=I1715,Assumptions!$B$20,Assumptions!$B$21)))</f>
        <v>70</v>
      </c>
      <c r="U1715" s="8" t="n">
        <f aca="false">ROUND(P1715*Assumptions!$B$2+Q1715*Assumptions!$B$3+R1715*Assumptions!$B$4+S1715*Assumptions!$B$5+T1715*Assumptions!$B$6,0)</f>
        <v>84</v>
      </c>
      <c r="V1715" s="8" t="str">
        <f aca="false">IF(U1715&gt;=Assumptions!$B$10,"Healthy",IF(U1715&gt;=Assumptions!$B$11,"Needs Attention","High Risk"))</f>
        <v>Healthy</v>
      </c>
    </row>
    <row r="1716" customFormat="false" ht="15" hidden="false" customHeight="false" outlineLevel="0" collapsed="false">
      <c r="A1716" s="8" t="s">
        <v>3574</v>
      </c>
      <c r="B1716" s="8" t="s">
        <v>3575</v>
      </c>
      <c r="C1716" s="8" t="s">
        <v>51</v>
      </c>
      <c r="D1716" s="8" t="s">
        <v>2027</v>
      </c>
      <c r="E1716" s="8" t="s">
        <v>132</v>
      </c>
      <c r="F1716" s="8" t="s">
        <v>190</v>
      </c>
      <c r="G1716" s="8" t="s">
        <v>177</v>
      </c>
      <c r="H1716" s="15" t="n">
        <v>240</v>
      </c>
      <c r="I1716" s="15" t="n">
        <v>240</v>
      </c>
      <c r="J1716" s="16" t="n">
        <v>0.817</v>
      </c>
      <c r="K1716" s="8" t="n">
        <v>11</v>
      </c>
      <c r="L1716" s="8" t="n">
        <v>8</v>
      </c>
      <c r="M1716" s="8" t="n">
        <v>3</v>
      </c>
      <c r="N1716" s="8" t="s">
        <v>120</v>
      </c>
      <c r="O1716" s="15" t="n">
        <f aca="false">H1716*12</f>
        <v>2880</v>
      </c>
      <c r="P1716" s="8" t="n">
        <f aca="false">MIN(100,ROUND(100*J1716/Assumptions!$B$8,0))</f>
        <v>91</v>
      </c>
      <c r="Q1716" s="8" t="n">
        <f aca="false">IF(L1716="",Assumptions!$B$9,L1716*10)</f>
        <v>80</v>
      </c>
      <c r="R1716" s="8" t="n">
        <f aca="false">IF(M1716&lt;=1,Assumptions!$B$12,IF(M1716&lt;=3,Assumptions!$B$13,IF(M1716&lt;=6,Assumptions!$B$14,Assumptions!$B$15)))</f>
        <v>75</v>
      </c>
      <c r="S1716" s="8" t="n">
        <f aca="false">IF(N1716="Completed On Time",Assumptions!$B$16,IF(N1716="Completed Late",Assumptions!$B$17,Assumptions!$B$18))</f>
        <v>100</v>
      </c>
      <c r="T1716" s="8" t="n">
        <f aca="false">IF(I1716=0,Assumptions!$B$20,IF(H1716&gt;I1716,Assumptions!$B$19,IF(H1716=I1716,Assumptions!$B$20,Assumptions!$B$21)))</f>
        <v>70</v>
      </c>
      <c r="U1716" s="8" t="n">
        <f aca="false">ROUND(P1716*Assumptions!$B$2+Q1716*Assumptions!$B$3+R1716*Assumptions!$B$4+S1716*Assumptions!$B$5+T1716*Assumptions!$B$6,0)</f>
        <v>83</v>
      </c>
      <c r="V1716" s="8" t="str">
        <f aca="false">IF(U1716&gt;=Assumptions!$B$10,"Healthy",IF(U1716&gt;=Assumptions!$B$11,"Needs Attention","High Risk"))</f>
        <v>Healthy</v>
      </c>
    </row>
    <row r="1717" customFormat="false" ht="15" hidden="false" customHeight="false" outlineLevel="0" collapsed="false">
      <c r="A1717" s="8" t="s">
        <v>3576</v>
      </c>
      <c r="B1717" s="8" t="s">
        <v>3577</v>
      </c>
      <c r="C1717" s="8" t="s">
        <v>51</v>
      </c>
      <c r="D1717" s="8" t="s">
        <v>2027</v>
      </c>
      <c r="E1717" s="8" t="s">
        <v>132</v>
      </c>
      <c r="F1717" s="8" t="s">
        <v>118</v>
      </c>
      <c r="G1717" s="8" t="s">
        <v>125</v>
      </c>
      <c r="H1717" s="15" t="n">
        <v>240</v>
      </c>
      <c r="I1717" s="15" t="n">
        <v>240</v>
      </c>
      <c r="J1717" s="16" t="n">
        <v>0.767</v>
      </c>
      <c r="K1717" s="8" t="n">
        <v>9</v>
      </c>
      <c r="L1717" s="8" t="n">
        <v>9</v>
      </c>
      <c r="M1717" s="8" t="n">
        <v>2</v>
      </c>
      <c r="N1717" s="8" t="s">
        <v>120</v>
      </c>
      <c r="O1717" s="15" t="n">
        <f aca="false">H1717*12</f>
        <v>2880</v>
      </c>
      <c r="P1717" s="8" t="n">
        <f aca="false">MIN(100,ROUND(100*J1717/Assumptions!$B$8,0))</f>
        <v>85</v>
      </c>
      <c r="Q1717" s="8" t="n">
        <f aca="false">IF(L1717="",Assumptions!$B$9,L1717*10)</f>
        <v>90</v>
      </c>
      <c r="R1717" s="8" t="n">
        <f aca="false">IF(M1717&lt;=1,Assumptions!$B$12,IF(M1717&lt;=3,Assumptions!$B$13,IF(M1717&lt;=6,Assumptions!$B$14,Assumptions!$B$15)))</f>
        <v>75</v>
      </c>
      <c r="S1717" s="8" t="n">
        <f aca="false">IF(N1717="Completed On Time",Assumptions!$B$16,IF(N1717="Completed Late",Assumptions!$B$17,Assumptions!$B$18))</f>
        <v>100</v>
      </c>
      <c r="T1717" s="8" t="n">
        <f aca="false">IF(I1717=0,Assumptions!$B$20,IF(H1717&gt;I1717,Assumptions!$B$19,IF(H1717=I1717,Assumptions!$B$20,Assumptions!$B$21)))</f>
        <v>70</v>
      </c>
      <c r="U1717" s="8" t="n">
        <f aca="false">ROUND(P1717*Assumptions!$B$2+Q1717*Assumptions!$B$3+R1717*Assumptions!$B$4+S1717*Assumptions!$B$5+T1717*Assumptions!$B$6,0)</f>
        <v>83</v>
      </c>
      <c r="V1717" s="8" t="str">
        <f aca="false">IF(U1717&gt;=Assumptions!$B$10,"Healthy",IF(U1717&gt;=Assumptions!$B$11,"Needs Attention","High Risk"))</f>
        <v>Healthy</v>
      </c>
    </row>
    <row r="1718" customFormat="false" ht="15" hidden="false" customHeight="false" outlineLevel="0" collapsed="false">
      <c r="A1718" s="8" t="s">
        <v>3578</v>
      </c>
      <c r="B1718" s="8" t="s">
        <v>3579</v>
      </c>
      <c r="C1718" s="8" t="s">
        <v>51</v>
      </c>
      <c r="D1718" s="8" t="s">
        <v>2027</v>
      </c>
      <c r="E1718" s="8" t="s">
        <v>123</v>
      </c>
      <c r="F1718" s="8" t="s">
        <v>136</v>
      </c>
      <c r="G1718" s="8" t="s">
        <v>177</v>
      </c>
      <c r="H1718" s="15" t="n">
        <v>240</v>
      </c>
      <c r="I1718" s="15" t="n">
        <v>0</v>
      </c>
      <c r="J1718" s="16" t="n">
        <v>0.667</v>
      </c>
      <c r="K1718" s="8" t="n">
        <v>7.7</v>
      </c>
      <c r="L1718" s="8"/>
      <c r="M1718" s="8" t="n">
        <v>1</v>
      </c>
      <c r="N1718" s="8" t="s">
        <v>120</v>
      </c>
      <c r="O1718" s="15" t="n">
        <f aca="false">H1718*12</f>
        <v>2880</v>
      </c>
      <c r="P1718" s="8" t="n">
        <f aca="false">MIN(100,ROUND(100*J1718/Assumptions!$B$8,0))</f>
        <v>74</v>
      </c>
      <c r="Q1718" s="8" t="n">
        <f aca="false">IF(L1718="",Assumptions!$B$9,L1718*10)</f>
        <v>50</v>
      </c>
      <c r="R1718" s="8" t="n">
        <f aca="false">IF(M1718&lt;=1,Assumptions!$B$12,IF(M1718&lt;=3,Assumptions!$B$13,IF(M1718&lt;=6,Assumptions!$B$14,Assumptions!$B$15)))</f>
        <v>100</v>
      </c>
      <c r="S1718" s="8" t="n">
        <f aca="false">IF(N1718="Completed On Time",Assumptions!$B$16,IF(N1718="Completed Late",Assumptions!$B$17,Assumptions!$B$18))</f>
        <v>100</v>
      </c>
      <c r="T1718" s="8" t="n">
        <f aca="false">IF(I1718=0,Assumptions!$B$20,IF(H1718&gt;I1718,Assumptions!$B$19,IF(H1718=I1718,Assumptions!$B$20,Assumptions!$B$21)))</f>
        <v>70</v>
      </c>
      <c r="U1718" s="8" t="n">
        <f aca="false">ROUND(P1718*Assumptions!$B$2+Q1718*Assumptions!$B$3+R1718*Assumptions!$B$4+S1718*Assumptions!$B$5+T1718*Assumptions!$B$6,0)</f>
        <v>75</v>
      </c>
      <c r="V1718" s="8" t="str">
        <f aca="false">IF(U1718&gt;=Assumptions!$B$10,"Healthy",IF(U1718&gt;=Assumptions!$B$11,"Needs Attention","High Risk"))</f>
        <v>Needs Attention</v>
      </c>
    </row>
    <row r="1719" customFormat="false" ht="15" hidden="false" customHeight="false" outlineLevel="0" collapsed="false">
      <c r="A1719" s="8" t="s">
        <v>3580</v>
      </c>
      <c r="B1719" s="8" t="s">
        <v>3581</v>
      </c>
      <c r="C1719" s="8" t="s">
        <v>51</v>
      </c>
      <c r="D1719" s="8" t="s">
        <v>2027</v>
      </c>
      <c r="E1719" s="8" t="s">
        <v>123</v>
      </c>
      <c r="F1719" s="8" t="s">
        <v>124</v>
      </c>
      <c r="G1719" s="8" t="s">
        <v>147</v>
      </c>
      <c r="H1719" s="15" t="n">
        <v>240</v>
      </c>
      <c r="I1719" s="15" t="n">
        <v>240</v>
      </c>
      <c r="J1719" s="16" t="n">
        <v>0.883</v>
      </c>
      <c r="K1719" s="8" t="n">
        <v>9.3</v>
      </c>
      <c r="L1719" s="8" t="n">
        <v>10</v>
      </c>
      <c r="M1719" s="8" t="n">
        <v>1</v>
      </c>
      <c r="N1719" s="8" t="s">
        <v>120</v>
      </c>
      <c r="O1719" s="15" t="n">
        <f aca="false">H1719*12</f>
        <v>2880</v>
      </c>
      <c r="P1719" s="8" t="n">
        <f aca="false">MIN(100,ROUND(100*J1719/Assumptions!$B$8,0))</f>
        <v>98</v>
      </c>
      <c r="Q1719" s="8" t="n">
        <f aca="false">IF(L1719="",Assumptions!$B$9,L1719*10)</f>
        <v>100</v>
      </c>
      <c r="R1719" s="8" t="n">
        <f aca="false">IF(M1719&lt;=1,Assumptions!$B$12,IF(M1719&lt;=3,Assumptions!$B$13,IF(M1719&lt;=6,Assumptions!$B$14,Assumptions!$B$15)))</f>
        <v>100</v>
      </c>
      <c r="S1719" s="8" t="n">
        <f aca="false">IF(N1719="Completed On Time",Assumptions!$B$16,IF(N1719="Completed Late",Assumptions!$B$17,Assumptions!$B$18))</f>
        <v>100</v>
      </c>
      <c r="T1719" s="8" t="n">
        <f aca="false">IF(I1719=0,Assumptions!$B$20,IF(H1719&gt;I1719,Assumptions!$B$19,IF(H1719=I1719,Assumptions!$B$20,Assumptions!$B$21)))</f>
        <v>70</v>
      </c>
      <c r="U1719" s="8" t="n">
        <f aca="false">ROUND(P1719*Assumptions!$B$2+Q1719*Assumptions!$B$3+R1719*Assumptions!$B$4+S1719*Assumptions!$B$5+T1719*Assumptions!$B$6,0)</f>
        <v>93</v>
      </c>
      <c r="V1719" s="8" t="str">
        <f aca="false">IF(U1719&gt;=Assumptions!$B$10,"Healthy",IF(U1719&gt;=Assumptions!$B$11,"Needs Attention","High Risk"))</f>
        <v>Healthy</v>
      </c>
    </row>
    <row r="1720" customFormat="false" ht="15" hidden="false" customHeight="false" outlineLevel="0" collapsed="false">
      <c r="A1720" s="8" t="s">
        <v>3582</v>
      </c>
      <c r="B1720" s="8" t="s">
        <v>3583</v>
      </c>
      <c r="C1720" s="8" t="s">
        <v>51</v>
      </c>
      <c r="D1720" s="8" t="s">
        <v>2027</v>
      </c>
      <c r="E1720" s="8" t="s">
        <v>123</v>
      </c>
      <c r="F1720" s="8" t="s">
        <v>124</v>
      </c>
      <c r="G1720" s="8" t="s">
        <v>185</v>
      </c>
      <c r="H1720" s="15" t="n">
        <v>240</v>
      </c>
      <c r="I1720" s="15" t="n">
        <v>240</v>
      </c>
      <c r="J1720" s="16" t="n">
        <v>0.767</v>
      </c>
      <c r="K1720" s="8" t="n">
        <v>7.7</v>
      </c>
      <c r="L1720" s="8" t="n">
        <v>10</v>
      </c>
      <c r="M1720" s="8" t="n">
        <v>3</v>
      </c>
      <c r="N1720" s="8" t="s">
        <v>120</v>
      </c>
      <c r="O1720" s="15" t="n">
        <f aca="false">H1720*12</f>
        <v>2880</v>
      </c>
      <c r="P1720" s="8" t="n">
        <f aca="false">MIN(100,ROUND(100*J1720/Assumptions!$B$8,0))</f>
        <v>85</v>
      </c>
      <c r="Q1720" s="8" t="n">
        <f aca="false">IF(L1720="",Assumptions!$B$9,L1720*10)</f>
        <v>100</v>
      </c>
      <c r="R1720" s="8" t="n">
        <f aca="false">IF(M1720&lt;=1,Assumptions!$B$12,IF(M1720&lt;=3,Assumptions!$B$13,IF(M1720&lt;=6,Assumptions!$B$14,Assumptions!$B$15)))</f>
        <v>75</v>
      </c>
      <c r="S1720" s="8" t="n">
        <f aca="false">IF(N1720="Completed On Time",Assumptions!$B$16,IF(N1720="Completed Late",Assumptions!$B$17,Assumptions!$B$18))</f>
        <v>100</v>
      </c>
      <c r="T1720" s="8" t="n">
        <f aca="false">IF(I1720=0,Assumptions!$B$20,IF(H1720&gt;I1720,Assumptions!$B$19,IF(H1720=I1720,Assumptions!$B$20,Assumptions!$B$21)))</f>
        <v>70</v>
      </c>
      <c r="U1720" s="8" t="n">
        <f aca="false">ROUND(P1720*Assumptions!$B$2+Q1720*Assumptions!$B$3+R1720*Assumptions!$B$4+S1720*Assumptions!$B$5+T1720*Assumptions!$B$6,0)</f>
        <v>85</v>
      </c>
      <c r="V1720" s="8" t="str">
        <f aca="false">IF(U1720&gt;=Assumptions!$B$10,"Healthy",IF(U1720&gt;=Assumptions!$B$11,"Needs Attention","High Risk"))</f>
        <v>Healthy</v>
      </c>
    </row>
    <row r="1721" customFormat="false" ht="15" hidden="false" customHeight="false" outlineLevel="0" collapsed="false">
      <c r="A1721" s="8" t="s">
        <v>3584</v>
      </c>
      <c r="B1721" s="8" t="s">
        <v>3585</v>
      </c>
      <c r="C1721" s="8" t="s">
        <v>51</v>
      </c>
      <c r="D1721" s="8" t="s">
        <v>2027</v>
      </c>
      <c r="E1721" s="8" t="s">
        <v>132</v>
      </c>
      <c r="F1721" s="8" t="s">
        <v>154</v>
      </c>
      <c r="G1721" s="8" t="s">
        <v>180</v>
      </c>
      <c r="H1721" s="15" t="n">
        <v>240</v>
      </c>
      <c r="I1721" s="15" t="n">
        <v>240</v>
      </c>
      <c r="J1721" s="16" t="n">
        <v>0.917</v>
      </c>
      <c r="K1721" s="8" t="n">
        <v>11</v>
      </c>
      <c r="L1721" s="8" t="n">
        <v>10</v>
      </c>
      <c r="M1721" s="8" t="n">
        <v>0</v>
      </c>
      <c r="N1721" s="8" t="s">
        <v>120</v>
      </c>
      <c r="O1721" s="15" t="n">
        <f aca="false">H1721*12</f>
        <v>2880</v>
      </c>
      <c r="P1721" s="8" t="n">
        <f aca="false">MIN(100,ROUND(100*J1721/Assumptions!$B$8,0))</f>
        <v>100</v>
      </c>
      <c r="Q1721" s="8" t="n">
        <f aca="false">IF(L1721="",Assumptions!$B$9,L1721*10)</f>
        <v>100</v>
      </c>
      <c r="R1721" s="8" t="n">
        <f aca="false">IF(M1721&lt;=1,Assumptions!$B$12,IF(M1721&lt;=3,Assumptions!$B$13,IF(M1721&lt;=6,Assumptions!$B$14,Assumptions!$B$15)))</f>
        <v>100</v>
      </c>
      <c r="S1721" s="8" t="n">
        <f aca="false">IF(N1721="Completed On Time",Assumptions!$B$16,IF(N1721="Completed Late",Assumptions!$B$17,Assumptions!$B$18))</f>
        <v>100</v>
      </c>
      <c r="T1721" s="8" t="n">
        <f aca="false">IF(I1721=0,Assumptions!$B$20,IF(H1721&gt;I1721,Assumptions!$B$19,IF(H1721=I1721,Assumptions!$B$20,Assumptions!$B$21)))</f>
        <v>70</v>
      </c>
      <c r="U1721" s="8" t="n">
        <f aca="false">ROUND(P1721*Assumptions!$B$2+Q1721*Assumptions!$B$3+R1721*Assumptions!$B$4+S1721*Assumptions!$B$5+T1721*Assumptions!$B$6,0)</f>
        <v>94</v>
      </c>
      <c r="V1721" s="8" t="str">
        <f aca="false">IF(U1721&gt;=Assumptions!$B$10,"Healthy",IF(U1721&gt;=Assumptions!$B$11,"Needs Attention","High Risk"))</f>
        <v>Healthy</v>
      </c>
    </row>
    <row r="1722" customFormat="false" ht="15" hidden="false" customHeight="false" outlineLevel="0" collapsed="false">
      <c r="A1722" s="8" t="s">
        <v>3586</v>
      </c>
      <c r="B1722" s="8" t="s">
        <v>3587</v>
      </c>
      <c r="C1722" s="8" t="s">
        <v>51</v>
      </c>
      <c r="D1722" s="8" t="s">
        <v>2027</v>
      </c>
      <c r="E1722" s="8" t="s">
        <v>117</v>
      </c>
      <c r="F1722" s="8" t="s">
        <v>223</v>
      </c>
      <c r="G1722" s="8" t="s">
        <v>147</v>
      </c>
      <c r="H1722" s="15" t="n">
        <v>228</v>
      </c>
      <c r="I1722" s="15" t="n">
        <v>228</v>
      </c>
      <c r="J1722" s="16" t="n">
        <v>0.772</v>
      </c>
      <c r="K1722" s="8" t="n">
        <v>8.7</v>
      </c>
      <c r="L1722" s="8" t="n">
        <v>9</v>
      </c>
      <c r="M1722" s="8" t="n">
        <v>1</v>
      </c>
      <c r="N1722" s="8" t="s">
        <v>120</v>
      </c>
      <c r="O1722" s="15" t="n">
        <f aca="false">H1722*12</f>
        <v>2736</v>
      </c>
      <c r="P1722" s="8" t="n">
        <f aca="false">MIN(100,ROUND(100*J1722/Assumptions!$B$8,0))</f>
        <v>86</v>
      </c>
      <c r="Q1722" s="8" t="n">
        <f aca="false">IF(L1722="",Assumptions!$B$9,L1722*10)</f>
        <v>90</v>
      </c>
      <c r="R1722" s="8" t="n">
        <f aca="false">IF(M1722&lt;=1,Assumptions!$B$12,IF(M1722&lt;=3,Assumptions!$B$13,IF(M1722&lt;=6,Assumptions!$B$14,Assumptions!$B$15)))</f>
        <v>100</v>
      </c>
      <c r="S1722" s="8" t="n">
        <f aca="false">IF(N1722="Completed On Time",Assumptions!$B$16,IF(N1722="Completed Late",Assumptions!$B$17,Assumptions!$B$18))</f>
        <v>100</v>
      </c>
      <c r="T1722" s="8" t="n">
        <f aca="false">IF(I1722=0,Assumptions!$B$20,IF(H1722&gt;I1722,Assumptions!$B$19,IF(H1722=I1722,Assumptions!$B$20,Assumptions!$B$21)))</f>
        <v>70</v>
      </c>
      <c r="U1722" s="8" t="n">
        <f aca="false">ROUND(P1722*Assumptions!$B$2+Q1722*Assumptions!$B$3+R1722*Assumptions!$B$4+S1722*Assumptions!$B$5+T1722*Assumptions!$B$6,0)</f>
        <v>87</v>
      </c>
      <c r="V1722" s="8" t="str">
        <f aca="false">IF(U1722&gt;=Assumptions!$B$10,"Healthy",IF(U1722&gt;=Assumptions!$B$11,"Needs Attention","High Risk"))</f>
        <v>Healthy</v>
      </c>
    </row>
    <row r="1723" customFormat="false" ht="15" hidden="false" customHeight="false" outlineLevel="0" collapsed="false">
      <c r="A1723" s="8" t="s">
        <v>3588</v>
      </c>
      <c r="B1723" s="8" t="s">
        <v>3589</v>
      </c>
      <c r="C1723" s="8" t="s">
        <v>51</v>
      </c>
      <c r="D1723" s="8" t="s">
        <v>2027</v>
      </c>
      <c r="E1723" s="8" t="s">
        <v>132</v>
      </c>
      <c r="F1723" s="8" t="s">
        <v>143</v>
      </c>
      <c r="G1723" s="8" t="s">
        <v>125</v>
      </c>
      <c r="H1723" s="15" t="n">
        <v>228</v>
      </c>
      <c r="I1723" s="15" t="n">
        <v>228</v>
      </c>
      <c r="J1723" s="16" t="n">
        <v>0.789</v>
      </c>
      <c r="K1723" s="8" t="n">
        <v>7.7</v>
      </c>
      <c r="L1723" s="8" t="n">
        <v>7</v>
      </c>
      <c r="M1723" s="8" t="n">
        <v>0</v>
      </c>
      <c r="N1723" s="8" t="s">
        <v>120</v>
      </c>
      <c r="O1723" s="15" t="n">
        <f aca="false">H1723*12</f>
        <v>2736</v>
      </c>
      <c r="P1723" s="8" t="n">
        <f aca="false">MIN(100,ROUND(100*J1723/Assumptions!$B$8,0))</f>
        <v>88</v>
      </c>
      <c r="Q1723" s="8" t="n">
        <f aca="false">IF(L1723="",Assumptions!$B$9,L1723*10)</f>
        <v>70</v>
      </c>
      <c r="R1723" s="8" t="n">
        <f aca="false">IF(M1723&lt;=1,Assumptions!$B$12,IF(M1723&lt;=3,Assumptions!$B$13,IF(M1723&lt;=6,Assumptions!$B$14,Assumptions!$B$15)))</f>
        <v>100</v>
      </c>
      <c r="S1723" s="8" t="n">
        <f aca="false">IF(N1723="Completed On Time",Assumptions!$B$16,IF(N1723="Completed Late",Assumptions!$B$17,Assumptions!$B$18))</f>
        <v>100</v>
      </c>
      <c r="T1723" s="8" t="n">
        <f aca="false">IF(I1723=0,Assumptions!$B$20,IF(H1723&gt;I1723,Assumptions!$B$19,IF(H1723=I1723,Assumptions!$B$20,Assumptions!$B$21)))</f>
        <v>70</v>
      </c>
      <c r="U1723" s="8" t="n">
        <f aca="false">ROUND(P1723*Assumptions!$B$2+Q1723*Assumptions!$B$3+R1723*Assumptions!$B$4+S1723*Assumptions!$B$5+T1723*Assumptions!$B$6,0)</f>
        <v>84</v>
      </c>
      <c r="V1723" s="8" t="str">
        <f aca="false">IF(U1723&gt;=Assumptions!$B$10,"Healthy",IF(U1723&gt;=Assumptions!$B$11,"Needs Attention","High Risk"))</f>
        <v>Healthy</v>
      </c>
    </row>
    <row r="1724" customFormat="false" ht="15" hidden="false" customHeight="false" outlineLevel="0" collapsed="false">
      <c r="A1724" s="8" t="s">
        <v>3590</v>
      </c>
      <c r="B1724" s="8" t="s">
        <v>3591</v>
      </c>
      <c r="C1724" s="8" t="s">
        <v>51</v>
      </c>
      <c r="D1724" s="8" t="s">
        <v>2027</v>
      </c>
      <c r="E1724" s="8" t="s">
        <v>123</v>
      </c>
      <c r="F1724" s="8" t="s">
        <v>124</v>
      </c>
      <c r="G1724" s="8" t="s">
        <v>137</v>
      </c>
      <c r="H1724" s="15" t="n">
        <v>228</v>
      </c>
      <c r="I1724" s="15" t="n">
        <v>264</v>
      </c>
      <c r="J1724" s="16" t="n">
        <v>0.778</v>
      </c>
      <c r="K1724" s="8" t="n">
        <v>10</v>
      </c>
      <c r="L1724" s="8" t="n">
        <v>10</v>
      </c>
      <c r="M1724" s="8" t="n">
        <v>0</v>
      </c>
      <c r="N1724" s="8" t="s">
        <v>120</v>
      </c>
      <c r="O1724" s="15" t="n">
        <f aca="false">H1724*12</f>
        <v>2736</v>
      </c>
      <c r="P1724" s="8" t="n">
        <f aca="false">MIN(100,ROUND(100*J1724/Assumptions!$B$8,0))</f>
        <v>86</v>
      </c>
      <c r="Q1724" s="8" t="n">
        <f aca="false">IF(L1724="",Assumptions!$B$9,L1724*10)</f>
        <v>100</v>
      </c>
      <c r="R1724" s="8" t="n">
        <f aca="false">IF(M1724&lt;=1,Assumptions!$B$12,IF(M1724&lt;=3,Assumptions!$B$13,IF(M1724&lt;=6,Assumptions!$B$14,Assumptions!$B$15)))</f>
        <v>100</v>
      </c>
      <c r="S1724" s="8" t="n">
        <f aca="false">IF(N1724="Completed On Time",Assumptions!$B$16,IF(N1724="Completed Late",Assumptions!$B$17,Assumptions!$B$18))</f>
        <v>100</v>
      </c>
      <c r="T1724" s="8" t="n">
        <f aca="false">IF(I1724=0,Assumptions!$B$20,IF(H1724&gt;I1724,Assumptions!$B$19,IF(H1724=I1724,Assumptions!$B$20,Assumptions!$B$21)))</f>
        <v>30</v>
      </c>
      <c r="U1724" s="8" t="n">
        <f aca="false">ROUND(P1724*Assumptions!$B$2+Q1724*Assumptions!$B$3+R1724*Assumptions!$B$4+S1724*Assumptions!$B$5+T1724*Assumptions!$B$6,0)</f>
        <v>81</v>
      </c>
      <c r="V1724" s="8" t="str">
        <f aca="false">IF(U1724&gt;=Assumptions!$B$10,"Healthy",IF(U1724&gt;=Assumptions!$B$11,"Needs Attention","High Risk"))</f>
        <v>Healthy</v>
      </c>
    </row>
    <row r="1725" customFormat="false" ht="15" hidden="false" customHeight="false" outlineLevel="0" collapsed="false">
      <c r="A1725" s="8" t="s">
        <v>3592</v>
      </c>
      <c r="B1725" s="8" t="s">
        <v>3593</v>
      </c>
      <c r="C1725" s="8" t="s">
        <v>51</v>
      </c>
      <c r="D1725" s="8" t="s">
        <v>2027</v>
      </c>
      <c r="E1725" s="8" t="s">
        <v>123</v>
      </c>
      <c r="F1725" s="8" t="s">
        <v>118</v>
      </c>
      <c r="G1725" s="8" t="s">
        <v>129</v>
      </c>
      <c r="H1725" s="15" t="n">
        <v>228</v>
      </c>
      <c r="I1725" s="15" t="n">
        <v>228</v>
      </c>
      <c r="J1725" s="16" t="n">
        <v>0.596</v>
      </c>
      <c r="K1725" s="8" t="n">
        <v>6</v>
      </c>
      <c r="L1725" s="8" t="n">
        <v>9</v>
      </c>
      <c r="M1725" s="8" t="n">
        <v>6</v>
      </c>
      <c r="N1725" s="8" t="s">
        <v>120</v>
      </c>
      <c r="O1725" s="15" t="n">
        <f aca="false">H1725*12</f>
        <v>2736</v>
      </c>
      <c r="P1725" s="8" t="n">
        <f aca="false">MIN(100,ROUND(100*J1725/Assumptions!$B$8,0))</f>
        <v>66</v>
      </c>
      <c r="Q1725" s="8" t="n">
        <f aca="false">IF(L1725="",Assumptions!$B$9,L1725*10)</f>
        <v>90</v>
      </c>
      <c r="R1725" s="8" t="n">
        <f aca="false">IF(M1725&lt;=1,Assumptions!$B$12,IF(M1725&lt;=3,Assumptions!$B$13,IF(M1725&lt;=6,Assumptions!$B$14,Assumptions!$B$15)))</f>
        <v>50</v>
      </c>
      <c r="S1725" s="8" t="n">
        <f aca="false">IF(N1725="Completed On Time",Assumptions!$B$16,IF(N1725="Completed Late",Assumptions!$B$17,Assumptions!$B$18))</f>
        <v>100</v>
      </c>
      <c r="T1725" s="8" t="n">
        <f aca="false">IF(I1725=0,Assumptions!$B$20,IF(H1725&gt;I1725,Assumptions!$B$19,IF(H1725=I1725,Assumptions!$B$20,Assumptions!$B$21)))</f>
        <v>70</v>
      </c>
      <c r="U1725" s="8" t="n">
        <f aca="false">ROUND(P1725*Assumptions!$B$2+Q1725*Assumptions!$B$3+R1725*Assumptions!$B$4+S1725*Assumptions!$B$5+T1725*Assumptions!$B$6,0)</f>
        <v>73</v>
      </c>
      <c r="V1725" s="8" t="str">
        <f aca="false">IF(U1725&gt;=Assumptions!$B$10,"Healthy",IF(U1725&gt;=Assumptions!$B$11,"Needs Attention","High Risk"))</f>
        <v>Needs Attention</v>
      </c>
    </row>
    <row r="1726" customFormat="false" ht="15" hidden="false" customHeight="false" outlineLevel="0" collapsed="false">
      <c r="A1726" s="8" t="s">
        <v>3594</v>
      </c>
      <c r="B1726" s="8" t="s">
        <v>3595</v>
      </c>
      <c r="C1726" s="8" t="s">
        <v>51</v>
      </c>
      <c r="D1726" s="8" t="s">
        <v>2027</v>
      </c>
      <c r="E1726" s="8" t="s">
        <v>117</v>
      </c>
      <c r="F1726" s="8" t="s">
        <v>154</v>
      </c>
      <c r="G1726" s="8" t="s">
        <v>129</v>
      </c>
      <c r="H1726" s="15" t="n">
        <v>228</v>
      </c>
      <c r="I1726" s="15" t="n">
        <v>228</v>
      </c>
      <c r="J1726" s="16" t="n">
        <v>0.754</v>
      </c>
      <c r="K1726" s="8" t="n">
        <v>10.3</v>
      </c>
      <c r="L1726" s="8" t="n">
        <v>9</v>
      </c>
      <c r="M1726" s="8" t="n">
        <v>5</v>
      </c>
      <c r="N1726" s="8" t="s">
        <v>120</v>
      </c>
      <c r="O1726" s="15" t="n">
        <f aca="false">H1726*12</f>
        <v>2736</v>
      </c>
      <c r="P1726" s="8" t="n">
        <f aca="false">MIN(100,ROUND(100*J1726/Assumptions!$B$8,0))</f>
        <v>84</v>
      </c>
      <c r="Q1726" s="8" t="n">
        <f aca="false">IF(L1726="",Assumptions!$B$9,L1726*10)</f>
        <v>90</v>
      </c>
      <c r="R1726" s="8" t="n">
        <f aca="false">IF(M1726&lt;=1,Assumptions!$B$12,IF(M1726&lt;=3,Assumptions!$B$13,IF(M1726&lt;=6,Assumptions!$B$14,Assumptions!$B$15)))</f>
        <v>50</v>
      </c>
      <c r="S1726" s="8" t="n">
        <f aca="false">IF(N1726="Completed On Time",Assumptions!$B$16,IF(N1726="Completed Late",Assumptions!$B$17,Assumptions!$B$18))</f>
        <v>100</v>
      </c>
      <c r="T1726" s="8" t="n">
        <f aca="false">IF(I1726=0,Assumptions!$B$20,IF(H1726&gt;I1726,Assumptions!$B$19,IF(H1726=I1726,Assumptions!$B$20,Assumptions!$B$21)))</f>
        <v>70</v>
      </c>
      <c r="U1726" s="8" t="n">
        <f aca="false">ROUND(P1726*Assumptions!$B$2+Q1726*Assumptions!$B$3+R1726*Assumptions!$B$4+S1726*Assumptions!$B$5+T1726*Assumptions!$B$6,0)</f>
        <v>79</v>
      </c>
      <c r="V1726" s="8" t="str">
        <f aca="false">IF(U1726&gt;=Assumptions!$B$10,"Healthy",IF(U1726&gt;=Assumptions!$B$11,"Needs Attention","High Risk"))</f>
        <v>Needs Attention</v>
      </c>
    </row>
    <row r="1727" customFormat="false" ht="15" hidden="false" customHeight="false" outlineLevel="0" collapsed="false">
      <c r="A1727" s="8" t="s">
        <v>3596</v>
      </c>
      <c r="B1727" s="8" t="s">
        <v>3597</v>
      </c>
      <c r="C1727" s="8" t="s">
        <v>51</v>
      </c>
      <c r="D1727" s="8" t="s">
        <v>2027</v>
      </c>
      <c r="E1727" s="8" t="s">
        <v>132</v>
      </c>
      <c r="F1727" s="8" t="s">
        <v>124</v>
      </c>
      <c r="G1727" s="8" t="s">
        <v>147</v>
      </c>
      <c r="H1727" s="15" t="n">
        <v>228</v>
      </c>
      <c r="I1727" s="15" t="n">
        <v>228</v>
      </c>
      <c r="J1727" s="16" t="n">
        <v>0.544</v>
      </c>
      <c r="K1727" s="8" t="n">
        <v>7.7</v>
      </c>
      <c r="L1727" s="8" t="n">
        <v>7</v>
      </c>
      <c r="M1727" s="8" t="n">
        <v>7</v>
      </c>
      <c r="N1727" s="8" t="s">
        <v>120</v>
      </c>
      <c r="O1727" s="15" t="n">
        <f aca="false">H1727*12</f>
        <v>2736</v>
      </c>
      <c r="P1727" s="8" t="n">
        <f aca="false">MIN(100,ROUND(100*J1727/Assumptions!$B$8,0))</f>
        <v>60</v>
      </c>
      <c r="Q1727" s="8" t="n">
        <f aca="false">IF(L1727="",Assumptions!$B$9,L1727*10)</f>
        <v>70</v>
      </c>
      <c r="R1727" s="8" t="n">
        <f aca="false">IF(M1727&lt;=1,Assumptions!$B$12,IF(M1727&lt;=3,Assumptions!$B$13,IF(M1727&lt;=6,Assumptions!$B$14,Assumptions!$B$15)))</f>
        <v>20</v>
      </c>
      <c r="S1727" s="8" t="n">
        <f aca="false">IF(N1727="Completed On Time",Assumptions!$B$16,IF(N1727="Completed Late",Assumptions!$B$17,Assumptions!$B$18))</f>
        <v>100</v>
      </c>
      <c r="T1727" s="8" t="n">
        <f aca="false">IF(I1727=0,Assumptions!$B$20,IF(H1727&gt;I1727,Assumptions!$B$19,IF(H1727=I1727,Assumptions!$B$20,Assumptions!$B$21)))</f>
        <v>70</v>
      </c>
      <c r="U1727" s="8" t="n">
        <f aca="false">ROUND(P1727*Assumptions!$B$2+Q1727*Assumptions!$B$3+R1727*Assumptions!$B$4+S1727*Assumptions!$B$5+T1727*Assumptions!$B$6,0)</f>
        <v>62</v>
      </c>
      <c r="V1727" s="8" t="str">
        <f aca="false">IF(U1727&gt;=Assumptions!$B$10,"Healthy",IF(U1727&gt;=Assumptions!$B$11,"Needs Attention","High Risk"))</f>
        <v>High Risk</v>
      </c>
    </row>
    <row r="1728" customFormat="false" ht="15" hidden="false" customHeight="false" outlineLevel="0" collapsed="false">
      <c r="A1728" s="8" t="s">
        <v>3598</v>
      </c>
      <c r="B1728" s="8" t="s">
        <v>3599</v>
      </c>
      <c r="C1728" s="8" t="s">
        <v>51</v>
      </c>
      <c r="D1728" s="8" t="s">
        <v>2027</v>
      </c>
      <c r="E1728" s="8" t="s">
        <v>123</v>
      </c>
      <c r="F1728" s="8" t="s">
        <v>133</v>
      </c>
      <c r="G1728" s="8" t="s">
        <v>137</v>
      </c>
      <c r="H1728" s="15" t="n">
        <v>228</v>
      </c>
      <c r="I1728" s="15" t="n">
        <v>228</v>
      </c>
      <c r="J1728" s="16" t="n">
        <v>0.544</v>
      </c>
      <c r="K1728" s="8" t="n">
        <v>6.3</v>
      </c>
      <c r="L1728" s="8" t="n">
        <v>9</v>
      </c>
      <c r="M1728" s="8" t="n">
        <v>1</v>
      </c>
      <c r="N1728" s="8" t="s">
        <v>120</v>
      </c>
      <c r="O1728" s="15" t="n">
        <f aca="false">H1728*12</f>
        <v>2736</v>
      </c>
      <c r="P1728" s="8" t="n">
        <f aca="false">MIN(100,ROUND(100*J1728/Assumptions!$B$8,0))</f>
        <v>60</v>
      </c>
      <c r="Q1728" s="8" t="n">
        <f aca="false">IF(L1728="",Assumptions!$B$9,L1728*10)</f>
        <v>90</v>
      </c>
      <c r="R1728" s="8" t="n">
        <f aca="false">IF(M1728&lt;=1,Assumptions!$B$12,IF(M1728&lt;=3,Assumptions!$B$13,IF(M1728&lt;=6,Assumptions!$B$14,Assumptions!$B$15)))</f>
        <v>100</v>
      </c>
      <c r="S1728" s="8" t="n">
        <f aca="false">IF(N1728="Completed On Time",Assumptions!$B$16,IF(N1728="Completed Late",Assumptions!$B$17,Assumptions!$B$18))</f>
        <v>100</v>
      </c>
      <c r="T1728" s="8" t="n">
        <f aca="false">IF(I1728=0,Assumptions!$B$20,IF(H1728&gt;I1728,Assumptions!$B$19,IF(H1728=I1728,Assumptions!$B$20,Assumptions!$B$21)))</f>
        <v>70</v>
      </c>
      <c r="U1728" s="8" t="n">
        <f aca="false">ROUND(P1728*Assumptions!$B$2+Q1728*Assumptions!$B$3+R1728*Assumptions!$B$4+S1728*Assumptions!$B$5+T1728*Assumptions!$B$6,0)</f>
        <v>78</v>
      </c>
      <c r="V1728" s="8" t="str">
        <f aca="false">IF(U1728&gt;=Assumptions!$B$10,"Healthy",IF(U1728&gt;=Assumptions!$B$11,"Needs Attention","High Risk"))</f>
        <v>Needs Attention</v>
      </c>
    </row>
    <row r="1729" customFormat="false" ht="15" hidden="false" customHeight="false" outlineLevel="0" collapsed="false">
      <c r="A1729" s="8" t="s">
        <v>3600</v>
      </c>
      <c r="B1729" s="8" t="s">
        <v>3601</v>
      </c>
      <c r="C1729" s="8" t="s">
        <v>51</v>
      </c>
      <c r="D1729" s="8" t="s">
        <v>2027</v>
      </c>
      <c r="E1729" s="8" t="s">
        <v>123</v>
      </c>
      <c r="F1729" s="8" t="s">
        <v>136</v>
      </c>
      <c r="G1729" s="8" t="s">
        <v>180</v>
      </c>
      <c r="H1729" s="15" t="n">
        <v>228</v>
      </c>
      <c r="I1729" s="15" t="n">
        <v>228</v>
      </c>
      <c r="J1729" s="16" t="n">
        <v>0.702</v>
      </c>
      <c r="K1729" s="8" t="n">
        <v>7.3</v>
      </c>
      <c r="L1729" s="8" t="n">
        <v>8</v>
      </c>
      <c r="M1729" s="8" t="n">
        <v>2</v>
      </c>
      <c r="N1729" s="8" t="s">
        <v>120</v>
      </c>
      <c r="O1729" s="15" t="n">
        <f aca="false">H1729*12</f>
        <v>2736</v>
      </c>
      <c r="P1729" s="8" t="n">
        <f aca="false">MIN(100,ROUND(100*J1729/Assumptions!$B$8,0))</f>
        <v>78</v>
      </c>
      <c r="Q1729" s="8" t="n">
        <f aca="false">IF(L1729="",Assumptions!$B$9,L1729*10)</f>
        <v>80</v>
      </c>
      <c r="R1729" s="8" t="n">
        <f aca="false">IF(M1729&lt;=1,Assumptions!$B$12,IF(M1729&lt;=3,Assumptions!$B$13,IF(M1729&lt;=6,Assumptions!$B$14,Assumptions!$B$15)))</f>
        <v>75</v>
      </c>
      <c r="S1729" s="8" t="n">
        <f aca="false">IF(N1729="Completed On Time",Assumptions!$B$16,IF(N1729="Completed Late",Assumptions!$B$17,Assumptions!$B$18))</f>
        <v>100</v>
      </c>
      <c r="T1729" s="8" t="n">
        <f aca="false">IF(I1729=0,Assumptions!$B$20,IF(H1729&gt;I1729,Assumptions!$B$19,IF(H1729=I1729,Assumptions!$B$20,Assumptions!$B$21)))</f>
        <v>70</v>
      </c>
      <c r="U1729" s="8" t="n">
        <f aca="false">ROUND(P1729*Assumptions!$B$2+Q1729*Assumptions!$B$3+R1729*Assumptions!$B$4+S1729*Assumptions!$B$5+T1729*Assumptions!$B$6,0)</f>
        <v>79</v>
      </c>
      <c r="V1729" s="8" t="str">
        <f aca="false">IF(U1729&gt;=Assumptions!$B$10,"Healthy",IF(U1729&gt;=Assumptions!$B$11,"Needs Attention","High Risk"))</f>
        <v>Needs Attention</v>
      </c>
    </row>
    <row r="1730" customFormat="false" ht="15" hidden="false" customHeight="false" outlineLevel="0" collapsed="false">
      <c r="A1730" s="8" t="s">
        <v>3602</v>
      </c>
      <c r="B1730" s="8" t="s">
        <v>3603</v>
      </c>
      <c r="C1730" s="8" t="s">
        <v>51</v>
      </c>
      <c r="D1730" s="8" t="s">
        <v>2027</v>
      </c>
      <c r="E1730" s="8" t="s">
        <v>123</v>
      </c>
      <c r="F1730" s="8" t="s">
        <v>151</v>
      </c>
      <c r="G1730" s="8" t="s">
        <v>159</v>
      </c>
      <c r="H1730" s="15" t="n">
        <v>228</v>
      </c>
      <c r="I1730" s="15" t="n">
        <v>228</v>
      </c>
      <c r="J1730" s="16" t="n">
        <v>0.474</v>
      </c>
      <c r="K1730" s="8" t="n">
        <v>3.7</v>
      </c>
      <c r="L1730" s="8" t="n">
        <v>4</v>
      </c>
      <c r="M1730" s="8" t="n">
        <v>7</v>
      </c>
      <c r="N1730" s="8" t="s">
        <v>120</v>
      </c>
      <c r="O1730" s="15" t="n">
        <f aca="false">H1730*12</f>
        <v>2736</v>
      </c>
      <c r="P1730" s="8" t="n">
        <f aca="false">MIN(100,ROUND(100*J1730/Assumptions!$B$8,0))</f>
        <v>53</v>
      </c>
      <c r="Q1730" s="8" t="n">
        <f aca="false">IF(L1730="",Assumptions!$B$9,L1730*10)</f>
        <v>40</v>
      </c>
      <c r="R1730" s="8" t="n">
        <f aca="false">IF(M1730&lt;=1,Assumptions!$B$12,IF(M1730&lt;=3,Assumptions!$B$13,IF(M1730&lt;=6,Assumptions!$B$14,Assumptions!$B$15)))</f>
        <v>20</v>
      </c>
      <c r="S1730" s="8" t="n">
        <f aca="false">IF(N1730="Completed On Time",Assumptions!$B$16,IF(N1730="Completed Late",Assumptions!$B$17,Assumptions!$B$18))</f>
        <v>100</v>
      </c>
      <c r="T1730" s="8" t="n">
        <f aca="false">IF(I1730=0,Assumptions!$B$20,IF(H1730&gt;I1730,Assumptions!$B$19,IF(H1730=I1730,Assumptions!$B$20,Assumptions!$B$21)))</f>
        <v>70</v>
      </c>
      <c r="U1730" s="8" t="n">
        <f aca="false">ROUND(P1730*Assumptions!$B$2+Q1730*Assumptions!$B$3+R1730*Assumptions!$B$4+S1730*Assumptions!$B$5+T1730*Assumptions!$B$6,0)</f>
        <v>54</v>
      </c>
      <c r="V1730" s="8" t="str">
        <f aca="false">IF(U1730&gt;=Assumptions!$B$10,"Healthy",IF(U1730&gt;=Assumptions!$B$11,"Needs Attention","High Risk"))</f>
        <v>High Risk</v>
      </c>
    </row>
    <row r="1731" customFormat="false" ht="15" hidden="false" customHeight="false" outlineLevel="0" collapsed="false">
      <c r="A1731" s="8" t="s">
        <v>3604</v>
      </c>
      <c r="B1731" s="8" t="s">
        <v>3605</v>
      </c>
      <c r="C1731" s="8" t="s">
        <v>51</v>
      </c>
      <c r="D1731" s="8" t="s">
        <v>2027</v>
      </c>
      <c r="E1731" s="8" t="s">
        <v>132</v>
      </c>
      <c r="F1731" s="8" t="s">
        <v>124</v>
      </c>
      <c r="G1731" s="8" t="s">
        <v>137</v>
      </c>
      <c r="H1731" s="15" t="n">
        <v>228</v>
      </c>
      <c r="I1731" s="15" t="n">
        <v>228</v>
      </c>
      <c r="J1731" s="16" t="n">
        <v>0.526</v>
      </c>
      <c r="K1731" s="8" t="n">
        <v>7.7</v>
      </c>
      <c r="L1731" s="8" t="n">
        <v>5</v>
      </c>
      <c r="M1731" s="8" t="n">
        <v>1</v>
      </c>
      <c r="N1731" s="8" t="s">
        <v>120</v>
      </c>
      <c r="O1731" s="15" t="n">
        <f aca="false">H1731*12</f>
        <v>2736</v>
      </c>
      <c r="P1731" s="8" t="n">
        <f aca="false">MIN(100,ROUND(100*J1731/Assumptions!$B$8,0))</f>
        <v>58</v>
      </c>
      <c r="Q1731" s="8" t="n">
        <f aca="false">IF(L1731="",Assumptions!$B$9,L1731*10)</f>
        <v>50</v>
      </c>
      <c r="R1731" s="8" t="n">
        <f aca="false">IF(M1731&lt;=1,Assumptions!$B$12,IF(M1731&lt;=3,Assumptions!$B$13,IF(M1731&lt;=6,Assumptions!$B$14,Assumptions!$B$15)))</f>
        <v>100</v>
      </c>
      <c r="S1731" s="8" t="n">
        <f aca="false">IF(N1731="Completed On Time",Assumptions!$B$16,IF(N1731="Completed Late",Assumptions!$B$17,Assumptions!$B$18))</f>
        <v>100</v>
      </c>
      <c r="T1731" s="8" t="n">
        <f aca="false">IF(I1731=0,Assumptions!$B$20,IF(H1731&gt;I1731,Assumptions!$B$19,IF(H1731=I1731,Assumptions!$B$20,Assumptions!$B$21)))</f>
        <v>70</v>
      </c>
      <c r="U1731" s="8" t="n">
        <f aca="false">ROUND(P1731*Assumptions!$B$2+Q1731*Assumptions!$B$3+R1731*Assumptions!$B$4+S1731*Assumptions!$B$5+T1731*Assumptions!$B$6,0)</f>
        <v>69</v>
      </c>
      <c r="V1731" s="8" t="str">
        <f aca="false">IF(U1731&gt;=Assumptions!$B$10,"Healthy",IF(U1731&gt;=Assumptions!$B$11,"Needs Attention","High Risk"))</f>
        <v>Needs Attention</v>
      </c>
    </row>
    <row r="1732" customFormat="false" ht="15" hidden="false" customHeight="false" outlineLevel="0" collapsed="false">
      <c r="A1732" s="8" t="s">
        <v>3606</v>
      </c>
      <c r="B1732" s="8" t="s">
        <v>3607</v>
      </c>
      <c r="C1732" s="8" t="s">
        <v>51</v>
      </c>
      <c r="D1732" s="8" t="s">
        <v>2027</v>
      </c>
      <c r="E1732" s="8" t="s">
        <v>123</v>
      </c>
      <c r="F1732" s="8" t="s">
        <v>154</v>
      </c>
      <c r="G1732" s="8" t="s">
        <v>185</v>
      </c>
      <c r="H1732" s="15" t="n">
        <v>228</v>
      </c>
      <c r="I1732" s="15" t="n">
        <v>168</v>
      </c>
      <c r="J1732" s="16" t="n">
        <v>0.596</v>
      </c>
      <c r="K1732" s="8" t="n">
        <v>9.7</v>
      </c>
      <c r="L1732" s="8" t="n">
        <v>10</v>
      </c>
      <c r="M1732" s="8" t="n">
        <v>2</v>
      </c>
      <c r="N1732" s="8" t="s">
        <v>120</v>
      </c>
      <c r="O1732" s="15" t="n">
        <f aca="false">H1732*12</f>
        <v>2736</v>
      </c>
      <c r="P1732" s="8" t="n">
        <f aca="false">MIN(100,ROUND(100*J1732/Assumptions!$B$8,0))</f>
        <v>66</v>
      </c>
      <c r="Q1732" s="8" t="n">
        <f aca="false">IF(L1732="",Assumptions!$B$9,L1732*10)</f>
        <v>100</v>
      </c>
      <c r="R1732" s="8" t="n">
        <f aca="false">IF(M1732&lt;=1,Assumptions!$B$12,IF(M1732&lt;=3,Assumptions!$B$13,IF(M1732&lt;=6,Assumptions!$B$14,Assumptions!$B$15)))</f>
        <v>75</v>
      </c>
      <c r="S1732" s="8" t="n">
        <f aca="false">IF(N1732="Completed On Time",Assumptions!$B$16,IF(N1732="Completed Late",Assumptions!$B$17,Assumptions!$B$18))</f>
        <v>100</v>
      </c>
      <c r="T1732" s="8" t="n">
        <f aca="false">IF(I1732=0,Assumptions!$B$20,IF(H1732&gt;I1732,Assumptions!$B$19,IF(H1732=I1732,Assumptions!$B$20,Assumptions!$B$21)))</f>
        <v>100</v>
      </c>
      <c r="U1732" s="8" t="n">
        <f aca="false">ROUND(P1732*Assumptions!$B$2+Q1732*Assumptions!$B$3+R1732*Assumptions!$B$4+S1732*Assumptions!$B$5+T1732*Assumptions!$B$6,0)</f>
        <v>84</v>
      </c>
      <c r="V1732" s="8" t="str">
        <f aca="false">IF(U1732&gt;=Assumptions!$B$10,"Healthy",IF(U1732&gt;=Assumptions!$B$11,"Needs Attention","High Risk"))</f>
        <v>Healthy</v>
      </c>
    </row>
    <row r="1733" customFormat="false" ht="15" hidden="false" customHeight="false" outlineLevel="0" collapsed="false">
      <c r="A1733" s="8" t="s">
        <v>3608</v>
      </c>
      <c r="B1733" s="8" t="s">
        <v>3609</v>
      </c>
      <c r="C1733" s="8" t="s">
        <v>51</v>
      </c>
      <c r="D1733" s="8" t="s">
        <v>2027</v>
      </c>
      <c r="E1733" s="8" t="s">
        <v>132</v>
      </c>
      <c r="F1733" s="8" t="s">
        <v>223</v>
      </c>
      <c r="G1733" s="8" t="s">
        <v>125</v>
      </c>
      <c r="H1733" s="15" t="n">
        <v>228</v>
      </c>
      <c r="I1733" s="15" t="n">
        <v>228</v>
      </c>
      <c r="J1733" s="16" t="n">
        <v>0.702</v>
      </c>
      <c r="K1733" s="8" t="n">
        <v>7.7</v>
      </c>
      <c r="L1733" s="8" t="n">
        <v>8</v>
      </c>
      <c r="M1733" s="8" t="n">
        <v>3</v>
      </c>
      <c r="N1733" s="8" t="s">
        <v>120</v>
      </c>
      <c r="O1733" s="15" t="n">
        <f aca="false">H1733*12</f>
        <v>2736</v>
      </c>
      <c r="P1733" s="8" t="n">
        <f aca="false">MIN(100,ROUND(100*J1733/Assumptions!$B$8,0))</f>
        <v>78</v>
      </c>
      <c r="Q1733" s="8" t="n">
        <f aca="false">IF(L1733="",Assumptions!$B$9,L1733*10)</f>
        <v>80</v>
      </c>
      <c r="R1733" s="8" t="n">
        <f aca="false">IF(M1733&lt;=1,Assumptions!$B$12,IF(M1733&lt;=3,Assumptions!$B$13,IF(M1733&lt;=6,Assumptions!$B$14,Assumptions!$B$15)))</f>
        <v>75</v>
      </c>
      <c r="S1733" s="8" t="n">
        <f aca="false">IF(N1733="Completed On Time",Assumptions!$B$16,IF(N1733="Completed Late",Assumptions!$B$17,Assumptions!$B$18))</f>
        <v>100</v>
      </c>
      <c r="T1733" s="8" t="n">
        <f aca="false">IF(I1733=0,Assumptions!$B$20,IF(H1733&gt;I1733,Assumptions!$B$19,IF(H1733=I1733,Assumptions!$B$20,Assumptions!$B$21)))</f>
        <v>70</v>
      </c>
      <c r="U1733" s="8" t="n">
        <f aca="false">ROUND(P1733*Assumptions!$B$2+Q1733*Assumptions!$B$3+R1733*Assumptions!$B$4+S1733*Assumptions!$B$5+T1733*Assumptions!$B$6,0)</f>
        <v>79</v>
      </c>
      <c r="V1733" s="8" t="str">
        <f aca="false">IF(U1733&gt;=Assumptions!$B$10,"Healthy",IF(U1733&gt;=Assumptions!$B$11,"Needs Attention","High Risk"))</f>
        <v>Needs Attention</v>
      </c>
    </row>
    <row r="1734" customFormat="false" ht="15" hidden="false" customHeight="false" outlineLevel="0" collapsed="false">
      <c r="A1734" s="8" t="s">
        <v>3610</v>
      </c>
      <c r="B1734" s="8" t="s">
        <v>3611</v>
      </c>
      <c r="C1734" s="8" t="s">
        <v>51</v>
      </c>
      <c r="D1734" s="8" t="s">
        <v>2027</v>
      </c>
      <c r="E1734" s="8" t="s">
        <v>117</v>
      </c>
      <c r="F1734" s="8" t="s">
        <v>136</v>
      </c>
      <c r="G1734" s="8" t="s">
        <v>180</v>
      </c>
      <c r="H1734" s="15" t="n">
        <v>228</v>
      </c>
      <c r="I1734" s="15" t="n">
        <v>0</v>
      </c>
      <c r="J1734" s="16" t="n">
        <v>0.474</v>
      </c>
      <c r="K1734" s="8" t="n">
        <v>6</v>
      </c>
      <c r="L1734" s="8"/>
      <c r="M1734" s="8" t="n">
        <v>4</v>
      </c>
      <c r="N1734" s="8" t="s">
        <v>120</v>
      </c>
      <c r="O1734" s="15" t="n">
        <f aca="false">H1734*12</f>
        <v>2736</v>
      </c>
      <c r="P1734" s="8" t="n">
        <f aca="false">MIN(100,ROUND(100*J1734/Assumptions!$B$8,0))</f>
        <v>53</v>
      </c>
      <c r="Q1734" s="8" t="n">
        <f aca="false">IF(L1734="",Assumptions!$B$9,L1734*10)</f>
        <v>50</v>
      </c>
      <c r="R1734" s="8" t="n">
        <f aca="false">IF(M1734&lt;=1,Assumptions!$B$12,IF(M1734&lt;=3,Assumptions!$B$13,IF(M1734&lt;=6,Assumptions!$B$14,Assumptions!$B$15)))</f>
        <v>50</v>
      </c>
      <c r="S1734" s="8" t="n">
        <f aca="false">IF(N1734="Completed On Time",Assumptions!$B$16,IF(N1734="Completed Late",Assumptions!$B$17,Assumptions!$B$18))</f>
        <v>100</v>
      </c>
      <c r="T1734" s="8" t="n">
        <f aca="false">IF(I1734=0,Assumptions!$B$20,IF(H1734&gt;I1734,Assumptions!$B$19,IF(H1734=I1734,Assumptions!$B$20,Assumptions!$B$21)))</f>
        <v>70</v>
      </c>
      <c r="U1734" s="8" t="n">
        <f aca="false">ROUND(P1734*Assumptions!$B$2+Q1734*Assumptions!$B$3+R1734*Assumptions!$B$4+S1734*Assumptions!$B$5+T1734*Assumptions!$B$6,0)</f>
        <v>60</v>
      </c>
      <c r="V1734" s="8" t="str">
        <f aca="false">IF(U1734&gt;=Assumptions!$B$10,"Healthy",IF(U1734&gt;=Assumptions!$B$11,"Needs Attention","High Risk"))</f>
        <v>High Risk</v>
      </c>
    </row>
    <row r="1735" customFormat="false" ht="15" hidden="false" customHeight="false" outlineLevel="0" collapsed="false">
      <c r="A1735" s="8" t="s">
        <v>3612</v>
      </c>
      <c r="B1735" s="8" t="s">
        <v>3613</v>
      </c>
      <c r="C1735" s="8" t="s">
        <v>51</v>
      </c>
      <c r="D1735" s="8" t="s">
        <v>2027</v>
      </c>
      <c r="E1735" s="8" t="s">
        <v>123</v>
      </c>
      <c r="F1735" s="8" t="s">
        <v>166</v>
      </c>
      <c r="G1735" s="8" t="s">
        <v>129</v>
      </c>
      <c r="H1735" s="15" t="n">
        <v>228</v>
      </c>
      <c r="I1735" s="15" t="n">
        <v>192</v>
      </c>
      <c r="J1735" s="16" t="n">
        <v>0.702</v>
      </c>
      <c r="K1735" s="8" t="n">
        <v>9.7</v>
      </c>
      <c r="L1735" s="8" t="n">
        <v>6</v>
      </c>
      <c r="M1735" s="8" t="n">
        <v>1</v>
      </c>
      <c r="N1735" s="8" t="s">
        <v>120</v>
      </c>
      <c r="O1735" s="15" t="n">
        <f aca="false">H1735*12</f>
        <v>2736</v>
      </c>
      <c r="P1735" s="8" t="n">
        <f aca="false">MIN(100,ROUND(100*J1735/Assumptions!$B$8,0))</f>
        <v>78</v>
      </c>
      <c r="Q1735" s="8" t="n">
        <f aca="false">IF(L1735="",Assumptions!$B$9,L1735*10)</f>
        <v>60</v>
      </c>
      <c r="R1735" s="8" t="n">
        <f aca="false">IF(M1735&lt;=1,Assumptions!$B$12,IF(M1735&lt;=3,Assumptions!$B$13,IF(M1735&lt;=6,Assumptions!$B$14,Assumptions!$B$15)))</f>
        <v>100</v>
      </c>
      <c r="S1735" s="8" t="n">
        <f aca="false">IF(N1735="Completed On Time",Assumptions!$B$16,IF(N1735="Completed Late",Assumptions!$B$17,Assumptions!$B$18))</f>
        <v>100</v>
      </c>
      <c r="T1735" s="8" t="n">
        <f aca="false">IF(I1735=0,Assumptions!$B$20,IF(H1735&gt;I1735,Assumptions!$B$19,IF(H1735=I1735,Assumptions!$B$20,Assumptions!$B$21)))</f>
        <v>100</v>
      </c>
      <c r="U1735" s="8" t="n">
        <f aca="false">ROUND(P1735*Assumptions!$B$2+Q1735*Assumptions!$B$3+R1735*Assumptions!$B$4+S1735*Assumptions!$B$5+T1735*Assumptions!$B$6,0)</f>
        <v>84</v>
      </c>
      <c r="V1735" s="8" t="str">
        <f aca="false">IF(U1735&gt;=Assumptions!$B$10,"Healthy",IF(U1735&gt;=Assumptions!$B$11,"Needs Attention","High Risk"))</f>
        <v>Healthy</v>
      </c>
    </row>
    <row r="1736" customFormat="false" ht="15" hidden="false" customHeight="false" outlineLevel="0" collapsed="false">
      <c r="A1736" s="8" t="s">
        <v>3614</v>
      </c>
      <c r="B1736" s="8" t="s">
        <v>3615</v>
      </c>
      <c r="C1736" s="8" t="s">
        <v>51</v>
      </c>
      <c r="D1736" s="8" t="s">
        <v>2027</v>
      </c>
      <c r="E1736" s="8" t="s">
        <v>123</v>
      </c>
      <c r="F1736" s="8" t="s">
        <v>133</v>
      </c>
      <c r="G1736" s="8" t="s">
        <v>180</v>
      </c>
      <c r="H1736" s="15" t="n">
        <v>228</v>
      </c>
      <c r="I1736" s="15" t="n">
        <v>228</v>
      </c>
      <c r="J1736" s="16" t="n">
        <v>0.895</v>
      </c>
      <c r="K1736" s="8" t="n">
        <v>10.3</v>
      </c>
      <c r="L1736" s="8" t="n">
        <v>10</v>
      </c>
      <c r="M1736" s="8" t="n">
        <v>1</v>
      </c>
      <c r="N1736" s="8" t="s">
        <v>120</v>
      </c>
      <c r="O1736" s="15" t="n">
        <f aca="false">H1736*12</f>
        <v>2736</v>
      </c>
      <c r="P1736" s="8" t="n">
        <f aca="false">MIN(100,ROUND(100*J1736/Assumptions!$B$8,0))</f>
        <v>99</v>
      </c>
      <c r="Q1736" s="8" t="n">
        <f aca="false">IF(L1736="",Assumptions!$B$9,L1736*10)</f>
        <v>100</v>
      </c>
      <c r="R1736" s="8" t="n">
        <f aca="false">IF(M1736&lt;=1,Assumptions!$B$12,IF(M1736&lt;=3,Assumptions!$B$13,IF(M1736&lt;=6,Assumptions!$B$14,Assumptions!$B$15)))</f>
        <v>100</v>
      </c>
      <c r="S1736" s="8" t="n">
        <f aca="false">IF(N1736="Completed On Time",Assumptions!$B$16,IF(N1736="Completed Late",Assumptions!$B$17,Assumptions!$B$18))</f>
        <v>100</v>
      </c>
      <c r="T1736" s="8" t="n">
        <f aca="false">IF(I1736=0,Assumptions!$B$20,IF(H1736&gt;I1736,Assumptions!$B$19,IF(H1736=I1736,Assumptions!$B$20,Assumptions!$B$21)))</f>
        <v>70</v>
      </c>
      <c r="U1736" s="8" t="n">
        <f aca="false">ROUND(P1736*Assumptions!$B$2+Q1736*Assumptions!$B$3+R1736*Assumptions!$B$4+S1736*Assumptions!$B$5+T1736*Assumptions!$B$6,0)</f>
        <v>94</v>
      </c>
      <c r="V1736" s="8" t="str">
        <f aca="false">IF(U1736&gt;=Assumptions!$B$10,"Healthy",IF(U1736&gt;=Assumptions!$B$11,"Needs Attention","High Risk"))</f>
        <v>Healthy</v>
      </c>
    </row>
    <row r="1737" customFormat="false" ht="15" hidden="false" customHeight="false" outlineLevel="0" collapsed="false">
      <c r="A1737" s="8" t="s">
        <v>3616</v>
      </c>
      <c r="B1737" s="8" t="s">
        <v>3617</v>
      </c>
      <c r="C1737" s="8" t="s">
        <v>51</v>
      </c>
      <c r="D1737" s="8" t="s">
        <v>2027</v>
      </c>
      <c r="E1737" s="8" t="s">
        <v>117</v>
      </c>
      <c r="F1737" s="8" t="s">
        <v>154</v>
      </c>
      <c r="G1737" s="8" t="s">
        <v>129</v>
      </c>
      <c r="H1737" s="15" t="n">
        <v>228</v>
      </c>
      <c r="I1737" s="15" t="n">
        <v>228</v>
      </c>
      <c r="J1737" s="16" t="n">
        <v>0.596</v>
      </c>
      <c r="K1737" s="8" t="n">
        <v>6.3</v>
      </c>
      <c r="L1737" s="8" t="n">
        <v>6</v>
      </c>
      <c r="M1737" s="8" t="n">
        <v>3</v>
      </c>
      <c r="N1737" s="8" t="s">
        <v>120</v>
      </c>
      <c r="O1737" s="15" t="n">
        <f aca="false">H1737*12</f>
        <v>2736</v>
      </c>
      <c r="P1737" s="8" t="n">
        <f aca="false">MIN(100,ROUND(100*J1737/Assumptions!$B$8,0))</f>
        <v>66</v>
      </c>
      <c r="Q1737" s="8" t="n">
        <f aca="false">IF(L1737="",Assumptions!$B$9,L1737*10)</f>
        <v>60</v>
      </c>
      <c r="R1737" s="8" t="n">
        <f aca="false">IF(M1737&lt;=1,Assumptions!$B$12,IF(M1737&lt;=3,Assumptions!$B$13,IF(M1737&lt;=6,Assumptions!$B$14,Assumptions!$B$15)))</f>
        <v>75</v>
      </c>
      <c r="S1737" s="8" t="n">
        <f aca="false">IF(N1737="Completed On Time",Assumptions!$B$16,IF(N1737="Completed Late",Assumptions!$B$17,Assumptions!$B$18))</f>
        <v>100</v>
      </c>
      <c r="T1737" s="8" t="n">
        <f aca="false">IF(I1737=0,Assumptions!$B$20,IF(H1737&gt;I1737,Assumptions!$B$19,IF(H1737=I1737,Assumptions!$B$20,Assumptions!$B$21)))</f>
        <v>70</v>
      </c>
      <c r="U1737" s="8" t="n">
        <f aca="false">ROUND(P1737*Assumptions!$B$2+Q1737*Assumptions!$B$3+R1737*Assumptions!$B$4+S1737*Assumptions!$B$5+T1737*Assumptions!$B$6,0)</f>
        <v>70</v>
      </c>
      <c r="V1737" s="8" t="str">
        <f aca="false">IF(U1737&gt;=Assumptions!$B$10,"Healthy",IF(U1737&gt;=Assumptions!$B$11,"Needs Attention","High Risk"))</f>
        <v>Needs Attention</v>
      </c>
    </row>
    <row r="1738" customFormat="false" ht="15" hidden="false" customHeight="false" outlineLevel="0" collapsed="false">
      <c r="A1738" s="8" t="s">
        <v>3618</v>
      </c>
      <c r="B1738" s="8" t="s">
        <v>3619</v>
      </c>
      <c r="C1738" s="8" t="s">
        <v>51</v>
      </c>
      <c r="D1738" s="8" t="s">
        <v>2027</v>
      </c>
      <c r="E1738" s="8" t="s">
        <v>123</v>
      </c>
      <c r="F1738" s="8" t="s">
        <v>136</v>
      </c>
      <c r="G1738" s="8" t="s">
        <v>185</v>
      </c>
      <c r="H1738" s="15" t="n">
        <v>228</v>
      </c>
      <c r="I1738" s="15" t="n">
        <v>228</v>
      </c>
      <c r="J1738" s="16" t="n">
        <v>0.754</v>
      </c>
      <c r="K1738" s="8" t="n">
        <v>9.7</v>
      </c>
      <c r="L1738" s="8" t="n">
        <v>7</v>
      </c>
      <c r="M1738" s="8" t="n">
        <v>2</v>
      </c>
      <c r="N1738" s="8" t="s">
        <v>120</v>
      </c>
      <c r="O1738" s="15" t="n">
        <f aca="false">H1738*12</f>
        <v>2736</v>
      </c>
      <c r="P1738" s="8" t="n">
        <f aca="false">MIN(100,ROUND(100*J1738/Assumptions!$B$8,0))</f>
        <v>84</v>
      </c>
      <c r="Q1738" s="8" t="n">
        <f aca="false">IF(L1738="",Assumptions!$B$9,L1738*10)</f>
        <v>70</v>
      </c>
      <c r="R1738" s="8" t="n">
        <f aca="false">IF(M1738&lt;=1,Assumptions!$B$12,IF(M1738&lt;=3,Assumptions!$B$13,IF(M1738&lt;=6,Assumptions!$B$14,Assumptions!$B$15)))</f>
        <v>75</v>
      </c>
      <c r="S1738" s="8" t="n">
        <f aca="false">IF(N1738="Completed On Time",Assumptions!$B$16,IF(N1738="Completed Late",Assumptions!$B$17,Assumptions!$B$18))</f>
        <v>100</v>
      </c>
      <c r="T1738" s="8" t="n">
        <f aca="false">IF(I1738=0,Assumptions!$B$20,IF(H1738&gt;I1738,Assumptions!$B$19,IF(H1738=I1738,Assumptions!$B$20,Assumptions!$B$21)))</f>
        <v>70</v>
      </c>
      <c r="U1738" s="8" t="n">
        <f aca="false">ROUND(P1738*Assumptions!$B$2+Q1738*Assumptions!$B$3+R1738*Assumptions!$B$4+S1738*Assumptions!$B$5+T1738*Assumptions!$B$6,0)</f>
        <v>79</v>
      </c>
      <c r="V1738" s="8" t="str">
        <f aca="false">IF(U1738&gt;=Assumptions!$B$10,"Healthy",IF(U1738&gt;=Assumptions!$B$11,"Needs Attention","High Risk"))</f>
        <v>Needs Attention</v>
      </c>
    </row>
    <row r="1739" customFormat="false" ht="15" hidden="false" customHeight="false" outlineLevel="0" collapsed="false">
      <c r="A1739" s="8" t="s">
        <v>3620</v>
      </c>
      <c r="B1739" s="8" t="s">
        <v>3621</v>
      </c>
      <c r="C1739" s="8" t="s">
        <v>51</v>
      </c>
      <c r="D1739" s="8" t="s">
        <v>2027</v>
      </c>
      <c r="E1739" s="8" t="s">
        <v>117</v>
      </c>
      <c r="F1739" s="8" t="s">
        <v>223</v>
      </c>
      <c r="G1739" s="8" t="s">
        <v>144</v>
      </c>
      <c r="H1739" s="15" t="n">
        <v>228</v>
      </c>
      <c r="I1739" s="15" t="n">
        <v>228</v>
      </c>
      <c r="J1739" s="16" t="n">
        <v>0.561</v>
      </c>
      <c r="K1739" s="8" t="n">
        <v>6.7</v>
      </c>
      <c r="L1739" s="8" t="n">
        <v>4</v>
      </c>
      <c r="M1739" s="8" t="n">
        <v>2</v>
      </c>
      <c r="N1739" s="8" t="s">
        <v>120</v>
      </c>
      <c r="O1739" s="15" t="n">
        <f aca="false">H1739*12</f>
        <v>2736</v>
      </c>
      <c r="P1739" s="8" t="n">
        <f aca="false">MIN(100,ROUND(100*J1739/Assumptions!$B$8,0))</f>
        <v>62</v>
      </c>
      <c r="Q1739" s="8" t="n">
        <f aca="false">IF(L1739="",Assumptions!$B$9,L1739*10)</f>
        <v>40</v>
      </c>
      <c r="R1739" s="8" t="n">
        <f aca="false">IF(M1739&lt;=1,Assumptions!$B$12,IF(M1739&lt;=3,Assumptions!$B$13,IF(M1739&lt;=6,Assumptions!$B$14,Assumptions!$B$15)))</f>
        <v>75</v>
      </c>
      <c r="S1739" s="8" t="n">
        <f aca="false">IF(N1739="Completed On Time",Assumptions!$B$16,IF(N1739="Completed Late",Assumptions!$B$17,Assumptions!$B$18))</f>
        <v>100</v>
      </c>
      <c r="T1739" s="8" t="n">
        <f aca="false">IF(I1739=0,Assumptions!$B$20,IF(H1739&gt;I1739,Assumptions!$B$19,IF(H1739=I1739,Assumptions!$B$20,Assumptions!$B$21)))</f>
        <v>70</v>
      </c>
      <c r="U1739" s="8" t="n">
        <f aca="false">ROUND(P1739*Assumptions!$B$2+Q1739*Assumptions!$B$3+R1739*Assumptions!$B$4+S1739*Assumptions!$B$5+T1739*Assumptions!$B$6,0)</f>
        <v>65</v>
      </c>
      <c r="V1739" s="8" t="str">
        <f aca="false">IF(U1739&gt;=Assumptions!$B$10,"Healthy",IF(U1739&gt;=Assumptions!$B$11,"Needs Attention","High Risk"))</f>
        <v>Needs Attention</v>
      </c>
    </row>
    <row r="1740" customFormat="false" ht="15" hidden="false" customHeight="false" outlineLevel="0" collapsed="false">
      <c r="A1740" s="8" t="s">
        <v>3622</v>
      </c>
      <c r="B1740" s="8" t="s">
        <v>3623</v>
      </c>
      <c r="C1740" s="8" t="s">
        <v>51</v>
      </c>
      <c r="D1740" s="8" t="s">
        <v>2027</v>
      </c>
      <c r="E1740" s="8" t="s">
        <v>132</v>
      </c>
      <c r="F1740" s="8" t="s">
        <v>136</v>
      </c>
      <c r="G1740" s="8" t="s">
        <v>137</v>
      </c>
      <c r="H1740" s="15" t="n">
        <v>228</v>
      </c>
      <c r="I1740" s="15" t="n">
        <v>228</v>
      </c>
      <c r="J1740" s="16" t="n">
        <v>0.789</v>
      </c>
      <c r="K1740" s="8" t="n">
        <v>8.3</v>
      </c>
      <c r="L1740" s="8" t="n">
        <v>10</v>
      </c>
      <c r="M1740" s="8" t="n">
        <v>1</v>
      </c>
      <c r="N1740" s="8" t="s">
        <v>120</v>
      </c>
      <c r="O1740" s="15" t="n">
        <f aca="false">H1740*12</f>
        <v>2736</v>
      </c>
      <c r="P1740" s="8" t="n">
        <f aca="false">MIN(100,ROUND(100*J1740/Assumptions!$B$8,0))</f>
        <v>88</v>
      </c>
      <c r="Q1740" s="8" t="n">
        <f aca="false">IF(L1740="",Assumptions!$B$9,L1740*10)</f>
        <v>100</v>
      </c>
      <c r="R1740" s="8" t="n">
        <f aca="false">IF(M1740&lt;=1,Assumptions!$B$12,IF(M1740&lt;=3,Assumptions!$B$13,IF(M1740&lt;=6,Assumptions!$B$14,Assumptions!$B$15)))</f>
        <v>100</v>
      </c>
      <c r="S1740" s="8" t="n">
        <f aca="false">IF(N1740="Completed On Time",Assumptions!$B$16,IF(N1740="Completed Late",Assumptions!$B$17,Assumptions!$B$18))</f>
        <v>100</v>
      </c>
      <c r="T1740" s="8" t="n">
        <f aca="false">IF(I1740=0,Assumptions!$B$20,IF(H1740&gt;I1740,Assumptions!$B$19,IF(H1740=I1740,Assumptions!$B$20,Assumptions!$B$21)))</f>
        <v>70</v>
      </c>
      <c r="U1740" s="8" t="n">
        <f aca="false">ROUND(P1740*Assumptions!$B$2+Q1740*Assumptions!$B$3+R1740*Assumptions!$B$4+S1740*Assumptions!$B$5+T1740*Assumptions!$B$6,0)</f>
        <v>90</v>
      </c>
      <c r="V1740" s="8" t="str">
        <f aca="false">IF(U1740&gt;=Assumptions!$B$10,"Healthy",IF(U1740&gt;=Assumptions!$B$11,"Needs Attention","High Risk"))</f>
        <v>Healthy</v>
      </c>
    </row>
    <row r="1741" customFormat="false" ht="15" hidden="false" customHeight="false" outlineLevel="0" collapsed="false">
      <c r="A1741" s="8" t="s">
        <v>3624</v>
      </c>
      <c r="B1741" s="8" t="s">
        <v>3625</v>
      </c>
      <c r="C1741" s="8" t="s">
        <v>51</v>
      </c>
      <c r="D1741" s="8" t="s">
        <v>326</v>
      </c>
      <c r="E1741" s="8" t="s">
        <v>123</v>
      </c>
      <c r="F1741" s="8" t="s">
        <v>190</v>
      </c>
      <c r="G1741" s="8" t="s">
        <v>159</v>
      </c>
      <c r="H1741" s="15" t="n">
        <v>225</v>
      </c>
      <c r="I1741" s="15" t="n">
        <v>175</v>
      </c>
      <c r="J1741" s="16" t="n">
        <v>0.815</v>
      </c>
      <c r="K1741" s="8" t="n">
        <v>9.7</v>
      </c>
      <c r="L1741" s="8" t="n">
        <v>9</v>
      </c>
      <c r="M1741" s="8" t="n">
        <v>5</v>
      </c>
      <c r="N1741" s="8" t="s">
        <v>120</v>
      </c>
      <c r="O1741" s="15" t="n">
        <f aca="false">H1741*12</f>
        <v>2700</v>
      </c>
      <c r="P1741" s="8" t="n">
        <f aca="false">MIN(100,ROUND(100*J1741/Assumptions!$B$8,0))</f>
        <v>91</v>
      </c>
      <c r="Q1741" s="8" t="n">
        <f aca="false">IF(L1741="",Assumptions!$B$9,L1741*10)</f>
        <v>90</v>
      </c>
      <c r="R1741" s="8" t="n">
        <f aca="false">IF(M1741&lt;=1,Assumptions!$B$12,IF(M1741&lt;=3,Assumptions!$B$13,IF(M1741&lt;=6,Assumptions!$B$14,Assumptions!$B$15)))</f>
        <v>50</v>
      </c>
      <c r="S1741" s="8" t="n">
        <f aca="false">IF(N1741="Completed On Time",Assumptions!$B$16,IF(N1741="Completed Late",Assumptions!$B$17,Assumptions!$B$18))</f>
        <v>100</v>
      </c>
      <c r="T1741" s="8" t="n">
        <f aca="false">IF(I1741=0,Assumptions!$B$20,IF(H1741&gt;I1741,Assumptions!$B$19,IF(H1741=I1741,Assumptions!$B$20,Assumptions!$B$21)))</f>
        <v>100</v>
      </c>
      <c r="U1741" s="8" t="n">
        <f aca="false">ROUND(P1741*Assumptions!$B$2+Q1741*Assumptions!$B$3+R1741*Assumptions!$B$4+S1741*Assumptions!$B$5+T1741*Assumptions!$B$6,0)</f>
        <v>87</v>
      </c>
      <c r="V1741" s="8" t="str">
        <f aca="false">IF(U1741&gt;=Assumptions!$B$10,"Healthy",IF(U1741&gt;=Assumptions!$B$11,"Needs Attention","High Risk"))</f>
        <v>Healthy</v>
      </c>
    </row>
    <row r="1742" customFormat="false" ht="15" hidden="false" customHeight="false" outlineLevel="0" collapsed="false">
      <c r="A1742" s="8" t="s">
        <v>3626</v>
      </c>
      <c r="B1742" s="8" t="s">
        <v>3627</v>
      </c>
      <c r="C1742" s="8" t="s">
        <v>51</v>
      </c>
      <c r="D1742" s="8" t="s">
        <v>326</v>
      </c>
      <c r="E1742" s="8" t="s">
        <v>123</v>
      </c>
      <c r="F1742" s="8" t="s">
        <v>166</v>
      </c>
      <c r="G1742" s="8" t="s">
        <v>147</v>
      </c>
      <c r="H1742" s="15" t="n">
        <v>225</v>
      </c>
      <c r="I1742" s="15" t="n">
        <v>225</v>
      </c>
      <c r="J1742" s="16" t="n">
        <v>0.704</v>
      </c>
      <c r="K1742" s="8" t="n">
        <v>8.3</v>
      </c>
      <c r="L1742" s="8" t="n">
        <v>8</v>
      </c>
      <c r="M1742" s="8" t="n">
        <v>2</v>
      </c>
      <c r="N1742" s="8" t="s">
        <v>120</v>
      </c>
      <c r="O1742" s="15" t="n">
        <f aca="false">H1742*12</f>
        <v>2700</v>
      </c>
      <c r="P1742" s="8" t="n">
        <f aca="false">MIN(100,ROUND(100*J1742/Assumptions!$B$8,0))</f>
        <v>78</v>
      </c>
      <c r="Q1742" s="8" t="n">
        <f aca="false">IF(L1742="",Assumptions!$B$9,L1742*10)</f>
        <v>80</v>
      </c>
      <c r="R1742" s="8" t="n">
        <f aca="false">IF(M1742&lt;=1,Assumptions!$B$12,IF(M1742&lt;=3,Assumptions!$B$13,IF(M1742&lt;=6,Assumptions!$B$14,Assumptions!$B$15)))</f>
        <v>75</v>
      </c>
      <c r="S1742" s="8" t="n">
        <f aca="false">IF(N1742="Completed On Time",Assumptions!$B$16,IF(N1742="Completed Late",Assumptions!$B$17,Assumptions!$B$18))</f>
        <v>100</v>
      </c>
      <c r="T1742" s="8" t="n">
        <f aca="false">IF(I1742=0,Assumptions!$B$20,IF(H1742&gt;I1742,Assumptions!$B$19,IF(H1742=I1742,Assumptions!$B$20,Assumptions!$B$21)))</f>
        <v>70</v>
      </c>
      <c r="U1742" s="8" t="n">
        <f aca="false">ROUND(P1742*Assumptions!$B$2+Q1742*Assumptions!$B$3+R1742*Assumptions!$B$4+S1742*Assumptions!$B$5+T1742*Assumptions!$B$6,0)</f>
        <v>79</v>
      </c>
      <c r="V1742" s="8" t="str">
        <f aca="false">IF(U1742&gt;=Assumptions!$B$10,"Healthy",IF(U1742&gt;=Assumptions!$B$11,"Needs Attention","High Risk"))</f>
        <v>Needs Attention</v>
      </c>
    </row>
    <row r="1743" customFormat="false" ht="15" hidden="false" customHeight="false" outlineLevel="0" collapsed="false">
      <c r="A1743" s="8" t="s">
        <v>3628</v>
      </c>
      <c r="B1743" s="8" t="s">
        <v>3629</v>
      </c>
      <c r="C1743" s="8" t="s">
        <v>51</v>
      </c>
      <c r="D1743" s="8" t="s">
        <v>326</v>
      </c>
      <c r="E1743" s="8" t="s">
        <v>128</v>
      </c>
      <c r="F1743" s="8" t="s">
        <v>154</v>
      </c>
      <c r="G1743" s="8" t="s">
        <v>125</v>
      </c>
      <c r="H1743" s="15" t="n">
        <v>225</v>
      </c>
      <c r="I1743" s="15" t="n">
        <v>225</v>
      </c>
      <c r="J1743" s="16" t="n">
        <v>0.704</v>
      </c>
      <c r="K1743" s="8" t="n">
        <v>9</v>
      </c>
      <c r="L1743" s="8" t="n">
        <v>10</v>
      </c>
      <c r="M1743" s="8" t="n">
        <v>3</v>
      </c>
      <c r="N1743" s="8" t="s">
        <v>120</v>
      </c>
      <c r="O1743" s="15" t="n">
        <f aca="false">H1743*12</f>
        <v>2700</v>
      </c>
      <c r="P1743" s="8" t="n">
        <f aca="false">MIN(100,ROUND(100*J1743/Assumptions!$B$8,0))</f>
        <v>78</v>
      </c>
      <c r="Q1743" s="8" t="n">
        <f aca="false">IF(L1743="",Assumptions!$B$9,L1743*10)</f>
        <v>100</v>
      </c>
      <c r="R1743" s="8" t="n">
        <f aca="false">IF(M1743&lt;=1,Assumptions!$B$12,IF(M1743&lt;=3,Assumptions!$B$13,IF(M1743&lt;=6,Assumptions!$B$14,Assumptions!$B$15)))</f>
        <v>75</v>
      </c>
      <c r="S1743" s="8" t="n">
        <f aca="false">IF(N1743="Completed On Time",Assumptions!$B$16,IF(N1743="Completed Late",Assumptions!$B$17,Assumptions!$B$18))</f>
        <v>100</v>
      </c>
      <c r="T1743" s="8" t="n">
        <f aca="false">IF(I1743=0,Assumptions!$B$20,IF(H1743&gt;I1743,Assumptions!$B$19,IF(H1743=I1743,Assumptions!$B$20,Assumptions!$B$21)))</f>
        <v>70</v>
      </c>
      <c r="U1743" s="8" t="n">
        <f aca="false">ROUND(P1743*Assumptions!$B$2+Q1743*Assumptions!$B$3+R1743*Assumptions!$B$4+S1743*Assumptions!$B$5+T1743*Assumptions!$B$6,0)</f>
        <v>83</v>
      </c>
      <c r="V1743" s="8" t="str">
        <f aca="false">IF(U1743&gt;=Assumptions!$B$10,"Healthy",IF(U1743&gt;=Assumptions!$B$11,"Needs Attention","High Risk"))</f>
        <v>Healthy</v>
      </c>
    </row>
    <row r="1744" customFormat="false" ht="15" hidden="false" customHeight="false" outlineLevel="0" collapsed="false">
      <c r="A1744" s="8" t="s">
        <v>3630</v>
      </c>
      <c r="B1744" s="8" t="s">
        <v>3631</v>
      </c>
      <c r="C1744" s="8" t="s">
        <v>51</v>
      </c>
      <c r="D1744" s="8" t="s">
        <v>326</v>
      </c>
      <c r="E1744" s="8" t="s">
        <v>132</v>
      </c>
      <c r="F1744" s="8" t="s">
        <v>166</v>
      </c>
      <c r="G1744" s="8" t="s">
        <v>177</v>
      </c>
      <c r="H1744" s="15" t="n">
        <v>225</v>
      </c>
      <c r="I1744" s="15" t="n">
        <v>225</v>
      </c>
      <c r="J1744" s="16" t="n">
        <v>0.889</v>
      </c>
      <c r="K1744" s="8" t="n">
        <v>10.3</v>
      </c>
      <c r="L1744" s="8" t="n">
        <v>8</v>
      </c>
      <c r="M1744" s="8" t="n">
        <v>0</v>
      </c>
      <c r="N1744" s="8" t="s">
        <v>120</v>
      </c>
      <c r="O1744" s="15" t="n">
        <f aca="false">H1744*12</f>
        <v>2700</v>
      </c>
      <c r="P1744" s="8" t="n">
        <f aca="false">MIN(100,ROUND(100*J1744/Assumptions!$B$8,0))</f>
        <v>99</v>
      </c>
      <c r="Q1744" s="8" t="n">
        <f aca="false">IF(L1744="",Assumptions!$B$9,L1744*10)</f>
        <v>80</v>
      </c>
      <c r="R1744" s="8" t="n">
        <f aca="false">IF(M1744&lt;=1,Assumptions!$B$12,IF(M1744&lt;=3,Assumptions!$B$13,IF(M1744&lt;=6,Assumptions!$B$14,Assumptions!$B$15)))</f>
        <v>100</v>
      </c>
      <c r="S1744" s="8" t="n">
        <f aca="false">IF(N1744="Completed On Time",Assumptions!$B$16,IF(N1744="Completed Late",Assumptions!$B$17,Assumptions!$B$18))</f>
        <v>100</v>
      </c>
      <c r="T1744" s="8" t="n">
        <f aca="false">IF(I1744=0,Assumptions!$B$20,IF(H1744&gt;I1744,Assumptions!$B$19,IF(H1744=I1744,Assumptions!$B$20,Assumptions!$B$21)))</f>
        <v>70</v>
      </c>
      <c r="U1744" s="8" t="n">
        <f aca="false">ROUND(P1744*Assumptions!$B$2+Q1744*Assumptions!$B$3+R1744*Assumptions!$B$4+S1744*Assumptions!$B$5+T1744*Assumptions!$B$6,0)</f>
        <v>90</v>
      </c>
      <c r="V1744" s="8" t="str">
        <f aca="false">IF(U1744&gt;=Assumptions!$B$10,"Healthy",IF(U1744&gt;=Assumptions!$B$11,"Needs Attention","High Risk"))</f>
        <v>Healthy</v>
      </c>
    </row>
    <row r="1745" customFormat="false" ht="15" hidden="false" customHeight="false" outlineLevel="0" collapsed="false">
      <c r="A1745" s="8" t="s">
        <v>3632</v>
      </c>
      <c r="B1745" s="8" t="s">
        <v>3633</v>
      </c>
      <c r="C1745" s="8" t="s">
        <v>51</v>
      </c>
      <c r="D1745" s="8" t="s">
        <v>326</v>
      </c>
      <c r="E1745" s="8" t="s">
        <v>132</v>
      </c>
      <c r="F1745" s="8" t="s">
        <v>151</v>
      </c>
      <c r="G1745" s="8" t="s">
        <v>147</v>
      </c>
      <c r="H1745" s="15" t="n">
        <v>225</v>
      </c>
      <c r="I1745" s="15" t="n">
        <v>275</v>
      </c>
      <c r="J1745" s="16" t="n">
        <v>0.677</v>
      </c>
      <c r="K1745" s="8" t="n">
        <v>8.3</v>
      </c>
      <c r="L1745" s="8" t="n">
        <v>7</v>
      </c>
      <c r="M1745" s="8" t="n">
        <v>1</v>
      </c>
      <c r="N1745" s="8" t="s">
        <v>120</v>
      </c>
      <c r="O1745" s="15" t="n">
        <f aca="false">H1745*12</f>
        <v>2700</v>
      </c>
      <c r="P1745" s="8" t="n">
        <f aca="false">MIN(100,ROUND(100*J1745/Assumptions!$B$8,0))</f>
        <v>75</v>
      </c>
      <c r="Q1745" s="8" t="n">
        <f aca="false">IF(L1745="",Assumptions!$B$9,L1745*10)</f>
        <v>70</v>
      </c>
      <c r="R1745" s="8" t="n">
        <f aca="false">IF(M1745&lt;=1,Assumptions!$B$12,IF(M1745&lt;=3,Assumptions!$B$13,IF(M1745&lt;=6,Assumptions!$B$14,Assumptions!$B$15)))</f>
        <v>100</v>
      </c>
      <c r="S1745" s="8" t="n">
        <f aca="false">IF(N1745="Completed On Time",Assumptions!$B$16,IF(N1745="Completed Late",Assumptions!$B$17,Assumptions!$B$18))</f>
        <v>100</v>
      </c>
      <c r="T1745" s="8" t="n">
        <f aca="false">IF(I1745=0,Assumptions!$B$20,IF(H1745&gt;I1745,Assumptions!$B$19,IF(H1745=I1745,Assumptions!$B$20,Assumptions!$B$21)))</f>
        <v>30</v>
      </c>
      <c r="U1745" s="8" t="n">
        <f aca="false">ROUND(P1745*Assumptions!$B$2+Q1745*Assumptions!$B$3+R1745*Assumptions!$B$4+S1745*Assumptions!$B$5+T1745*Assumptions!$B$6,0)</f>
        <v>71</v>
      </c>
      <c r="V1745" s="8" t="str">
        <f aca="false">IF(U1745&gt;=Assumptions!$B$10,"Healthy",IF(U1745&gt;=Assumptions!$B$11,"Needs Attention","High Risk"))</f>
        <v>Needs Attention</v>
      </c>
    </row>
    <row r="1746" customFormat="false" ht="15" hidden="false" customHeight="false" outlineLevel="0" collapsed="false">
      <c r="A1746" s="8" t="s">
        <v>3634</v>
      </c>
      <c r="B1746" s="8" t="s">
        <v>3635</v>
      </c>
      <c r="C1746" s="8" t="s">
        <v>51</v>
      </c>
      <c r="D1746" s="8" t="s">
        <v>326</v>
      </c>
      <c r="E1746" s="8" t="s">
        <v>132</v>
      </c>
      <c r="F1746" s="8" t="s">
        <v>136</v>
      </c>
      <c r="G1746" s="8" t="s">
        <v>137</v>
      </c>
      <c r="H1746" s="15" t="n">
        <v>225</v>
      </c>
      <c r="I1746" s="15" t="n">
        <v>225</v>
      </c>
      <c r="J1746" s="16" t="n">
        <v>0.889</v>
      </c>
      <c r="K1746" s="8" t="n">
        <v>11.7</v>
      </c>
      <c r="L1746" s="8" t="n">
        <v>10</v>
      </c>
      <c r="M1746" s="8" t="n">
        <v>0</v>
      </c>
      <c r="N1746" s="8" t="s">
        <v>120</v>
      </c>
      <c r="O1746" s="15" t="n">
        <f aca="false">H1746*12</f>
        <v>2700</v>
      </c>
      <c r="P1746" s="8" t="n">
        <f aca="false">MIN(100,ROUND(100*J1746/Assumptions!$B$8,0))</f>
        <v>99</v>
      </c>
      <c r="Q1746" s="8" t="n">
        <f aca="false">IF(L1746="",Assumptions!$B$9,L1746*10)</f>
        <v>100</v>
      </c>
      <c r="R1746" s="8" t="n">
        <f aca="false">IF(M1746&lt;=1,Assumptions!$B$12,IF(M1746&lt;=3,Assumptions!$B$13,IF(M1746&lt;=6,Assumptions!$B$14,Assumptions!$B$15)))</f>
        <v>100</v>
      </c>
      <c r="S1746" s="8" t="n">
        <f aca="false">IF(N1746="Completed On Time",Assumptions!$B$16,IF(N1746="Completed Late",Assumptions!$B$17,Assumptions!$B$18))</f>
        <v>100</v>
      </c>
      <c r="T1746" s="8" t="n">
        <f aca="false">IF(I1746=0,Assumptions!$B$20,IF(H1746&gt;I1746,Assumptions!$B$19,IF(H1746=I1746,Assumptions!$B$20,Assumptions!$B$21)))</f>
        <v>70</v>
      </c>
      <c r="U1746" s="8" t="n">
        <f aca="false">ROUND(P1746*Assumptions!$B$2+Q1746*Assumptions!$B$3+R1746*Assumptions!$B$4+S1746*Assumptions!$B$5+T1746*Assumptions!$B$6,0)</f>
        <v>94</v>
      </c>
      <c r="V1746" s="8" t="str">
        <f aca="false">IF(U1746&gt;=Assumptions!$B$10,"Healthy",IF(U1746&gt;=Assumptions!$B$11,"Needs Attention","High Risk"))</f>
        <v>Healthy</v>
      </c>
    </row>
    <row r="1747" customFormat="false" ht="15" hidden="false" customHeight="false" outlineLevel="0" collapsed="false">
      <c r="A1747" s="8" t="s">
        <v>3636</v>
      </c>
      <c r="B1747" s="8" t="s">
        <v>3637</v>
      </c>
      <c r="C1747" s="8" t="s">
        <v>51</v>
      </c>
      <c r="D1747" s="8" t="s">
        <v>326</v>
      </c>
      <c r="E1747" s="8" t="s">
        <v>117</v>
      </c>
      <c r="F1747" s="8" t="s">
        <v>124</v>
      </c>
      <c r="G1747" s="8" t="s">
        <v>144</v>
      </c>
      <c r="H1747" s="15" t="n">
        <v>225</v>
      </c>
      <c r="I1747" s="15" t="n">
        <v>225</v>
      </c>
      <c r="J1747" s="16" t="n">
        <v>0.407</v>
      </c>
      <c r="K1747" s="8" t="n">
        <v>4</v>
      </c>
      <c r="L1747" s="8" t="n">
        <v>2</v>
      </c>
      <c r="M1747" s="8" t="n">
        <v>6</v>
      </c>
      <c r="N1747" s="8" t="s">
        <v>148</v>
      </c>
      <c r="O1747" s="15" t="n">
        <f aca="false">H1747*12</f>
        <v>2700</v>
      </c>
      <c r="P1747" s="8" t="n">
        <f aca="false">MIN(100,ROUND(100*J1747/Assumptions!$B$8,0))</f>
        <v>45</v>
      </c>
      <c r="Q1747" s="8" t="n">
        <f aca="false">IF(L1747="",Assumptions!$B$9,L1747*10)</f>
        <v>20</v>
      </c>
      <c r="R1747" s="8" t="n">
        <f aca="false">IF(M1747&lt;=1,Assumptions!$B$12,IF(M1747&lt;=3,Assumptions!$B$13,IF(M1747&lt;=6,Assumptions!$B$14,Assumptions!$B$15)))</f>
        <v>50</v>
      </c>
      <c r="S1747" s="8" t="n">
        <f aca="false">IF(N1747="Completed On Time",Assumptions!$B$16,IF(N1747="Completed Late",Assumptions!$B$17,Assumptions!$B$18))</f>
        <v>60</v>
      </c>
      <c r="T1747" s="8" t="n">
        <f aca="false">IF(I1747=0,Assumptions!$B$20,IF(H1747&gt;I1747,Assumptions!$B$19,IF(H1747=I1747,Assumptions!$B$20,Assumptions!$B$21)))</f>
        <v>70</v>
      </c>
      <c r="U1747" s="8" t="n">
        <f aca="false">ROUND(P1747*Assumptions!$B$2+Q1747*Assumptions!$B$3+R1747*Assumptions!$B$4+S1747*Assumptions!$B$5+T1747*Assumptions!$B$6,0)</f>
        <v>47</v>
      </c>
      <c r="V1747" s="8" t="str">
        <f aca="false">IF(U1747&gt;=Assumptions!$B$10,"Healthy",IF(U1747&gt;=Assumptions!$B$11,"Needs Attention","High Risk"))</f>
        <v>High Risk</v>
      </c>
    </row>
    <row r="1748" customFormat="false" ht="15" hidden="false" customHeight="false" outlineLevel="0" collapsed="false">
      <c r="A1748" s="8" t="s">
        <v>3638</v>
      </c>
      <c r="B1748" s="8" t="s">
        <v>3639</v>
      </c>
      <c r="C1748" s="8" t="s">
        <v>51</v>
      </c>
      <c r="D1748" s="8" t="s">
        <v>326</v>
      </c>
      <c r="E1748" s="8" t="s">
        <v>132</v>
      </c>
      <c r="F1748" s="8" t="s">
        <v>151</v>
      </c>
      <c r="G1748" s="8" t="s">
        <v>140</v>
      </c>
      <c r="H1748" s="15" t="n">
        <v>225</v>
      </c>
      <c r="I1748" s="15" t="n">
        <v>225</v>
      </c>
      <c r="J1748" s="16" t="n">
        <v>0.704</v>
      </c>
      <c r="K1748" s="8" t="n">
        <v>8</v>
      </c>
      <c r="L1748" s="8" t="n">
        <v>8</v>
      </c>
      <c r="M1748" s="8" t="n">
        <v>1</v>
      </c>
      <c r="N1748" s="8" t="s">
        <v>120</v>
      </c>
      <c r="O1748" s="15" t="n">
        <f aca="false">H1748*12</f>
        <v>2700</v>
      </c>
      <c r="P1748" s="8" t="n">
        <f aca="false">MIN(100,ROUND(100*J1748/Assumptions!$B$8,0))</f>
        <v>78</v>
      </c>
      <c r="Q1748" s="8" t="n">
        <f aca="false">IF(L1748="",Assumptions!$B$9,L1748*10)</f>
        <v>80</v>
      </c>
      <c r="R1748" s="8" t="n">
        <f aca="false">IF(M1748&lt;=1,Assumptions!$B$12,IF(M1748&lt;=3,Assumptions!$B$13,IF(M1748&lt;=6,Assumptions!$B$14,Assumptions!$B$15)))</f>
        <v>100</v>
      </c>
      <c r="S1748" s="8" t="n">
        <f aca="false">IF(N1748="Completed On Time",Assumptions!$B$16,IF(N1748="Completed Late",Assumptions!$B$17,Assumptions!$B$18))</f>
        <v>100</v>
      </c>
      <c r="T1748" s="8" t="n">
        <f aca="false">IF(I1748=0,Assumptions!$B$20,IF(H1748&gt;I1748,Assumptions!$B$19,IF(H1748=I1748,Assumptions!$B$20,Assumptions!$B$21)))</f>
        <v>70</v>
      </c>
      <c r="U1748" s="8" t="n">
        <f aca="false">ROUND(P1748*Assumptions!$B$2+Q1748*Assumptions!$B$3+R1748*Assumptions!$B$4+S1748*Assumptions!$B$5+T1748*Assumptions!$B$6,0)</f>
        <v>82</v>
      </c>
      <c r="V1748" s="8" t="str">
        <f aca="false">IF(U1748&gt;=Assumptions!$B$10,"Healthy",IF(U1748&gt;=Assumptions!$B$11,"Needs Attention","High Risk"))</f>
        <v>Healthy</v>
      </c>
    </row>
    <row r="1749" customFormat="false" ht="15" hidden="false" customHeight="false" outlineLevel="0" collapsed="false">
      <c r="A1749" s="8" t="s">
        <v>3640</v>
      </c>
      <c r="B1749" s="8" t="s">
        <v>3641</v>
      </c>
      <c r="C1749" s="8" t="s">
        <v>51</v>
      </c>
      <c r="D1749" s="8" t="s">
        <v>326</v>
      </c>
      <c r="E1749" s="8" t="s">
        <v>132</v>
      </c>
      <c r="F1749" s="8" t="s">
        <v>124</v>
      </c>
      <c r="G1749" s="8" t="s">
        <v>144</v>
      </c>
      <c r="H1749" s="15" t="n">
        <v>225</v>
      </c>
      <c r="I1749" s="15" t="n">
        <v>225</v>
      </c>
      <c r="J1749" s="16" t="n">
        <v>0.741</v>
      </c>
      <c r="K1749" s="8" t="n">
        <v>8.7</v>
      </c>
      <c r="L1749" s="8" t="n">
        <v>7</v>
      </c>
      <c r="M1749" s="8" t="n">
        <v>3</v>
      </c>
      <c r="N1749" s="8" t="s">
        <v>120</v>
      </c>
      <c r="O1749" s="15" t="n">
        <f aca="false">H1749*12</f>
        <v>2700</v>
      </c>
      <c r="P1749" s="8" t="n">
        <f aca="false">MIN(100,ROUND(100*J1749/Assumptions!$B$8,0))</f>
        <v>82</v>
      </c>
      <c r="Q1749" s="8" t="n">
        <f aca="false">IF(L1749="",Assumptions!$B$9,L1749*10)</f>
        <v>70</v>
      </c>
      <c r="R1749" s="8" t="n">
        <f aca="false">IF(M1749&lt;=1,Assumptions!$B$12,IF(M1749&lt;=3,Assumptions!$B$13,IF(M1749&lt;=6,Assumptions!$B$14,Assumptions!$B$15)))</f>
        <v>75</v>
      </c>
      <c r="S1749" s="8" t="n">
        <f aca="false">IF(N1749="Completed On Time",Assumptions!$B$16,IF(N1749="Completed Late",Assumptions!$B$17,Assumptions!$B$18))</f>
        <v>100</v>
      </c>
      <c r="T1749" s="8" t="n">
        <f aca="false">IF(I1749=0,Assumptions!$B$20,IF(H1749&gt;I1749,Assumptions!$B$19,IF(H1749=I1749,Assumptions!$B$20,Assumptions!$B$21)))</f>
        <v>70</v>
      </c>
      <c r="U1749" s="8" t="n">
        <f aca="false">ROUND(P1749*Assumptions!$B$2+Q1749*Assumptions!$B$3+R1749*Assumptions!$B$4+S1749*Assumptions!$B$5+T1749*Assumptions!$B$6,0)</f>
        <v>78</v>
      </c>
      <c r="V1749" s="8" t="str">
        <f aca="false">IF(U1749&gt;=Assumptions!$B$10,"Healthy",IF(U1749&gt;=Assumptions!$B$11,"Needs Attention","High Risk"))</f>
        <v>Needs Attention</v>
      </c>
    </row>
    <row r="1750" customFormat="false" ht="15" hidden="false" customHeight="false" outlineLevel="0" collapsed="false">
      <c r="A1750" s="8" t="s">
        <v>3642</v>
      </c>
      <c r="B1750" s="8" t="s">
        <v>3643</v>
      </c>
      <c r="C1750" s="8" t="s">
        <v>51</v>
      </c>
      <c r="D1750" s="8" t="s">
        <v>326</v>
      </c>
      <c r="E1750" s="8" t="s">
        <v>132</v>
      </c>
      <c r="F1750" s="8" t="s">
        <v>143</v>
      </c>
      <c r="G1750" s="8" t="s">
        <v>137</v>
      </c>
      <c r="H1750" s="15" t="n">
        <v>225</v>
      </c>
      <c r="I1750" s="15" t="n">
        <v>225</v>
      </c>
      <c r="J1750" s="16" t="n">
        <v>0.741</v>
      </c>
      <c r="K1750" s="8" t="n">
        <v>9.7</v>
      </c>
      <c r="L1750" s="8" t="n">
        <v>9</v>
      </c>
      <c r="M1750" s="8" t="n">
        <v>5</v>
      </c>
      <c r="N1750" s="8" t="s">
        <v>120</v>
      </c>
      <c r="O1750" s="15" t="n">
        <f aca="false">H1750*12</f>
        <v>2700</v>
      </c>
      <c r="P1750" s="8" t="n">
        <f aca="false">MIN(100,ROUND(100*J1750/Assumptions!$B$8,0))</f>
        <v>82</v>
      </c>
      <c r="Q1750" s="8" t="n">
        <f aca="false">IF(L1750="",Assumptions!$B$9,L1750*10)</f>
        <v>90</v>
      </c>
      <c r="R1750" s="8" t="n">
        <f aca="false">IF(M1750&lt;=1,Assumptions!$B$12,IF(M1750&lt;=3,Assumptions!$B$13,IF(M1750&lt;=6,Assumptions!$B$14,Assumptions!$B$15)))</f>
        <v>50</v>
      </c>
      <c r="S1750" s="8" t="n">
        <f aca="false">IF(N1750="Completed On Time",Assumptions!$B$16,IF(N1750="Completed Late",Assumptions!$B$17,Assumptions!$B$18))</f>
        <v>100</v>
      </c>
      <c r="T1750" s="8" t="n">
        <f aca="false">IF(I1750=0,Assumptions!$B$20,IF(H1750&gt;I1750,Assumptions!$B$19,IF(H1750=I1750,Assumptions!$B$20,Assumptions!$B$21)))</f>
        <v>70</v>
      </c>
      <c r="U1750" s="8" t="n">
        <f aca="false">ROUND(P1750*Assumptions!$B$2+Q1750*Assumptions!$B$3+R1750*Assumptions!$B$4+S1750*Assumptions!$B$5+T1750*Assumptions!$B$6,0)</f>
        <v>78</v>
      </c>
      <c r="V1750" s="8" t="str">
        <f aca="false">IF(U1750&gt;=Assumptions!$B$10,"Healthy",IF(U1750&gt;=Assumptions!$B$11,"Needs Attention","High Risk"))</f>
        <v>Needs Attention</v>
      </c>
    </row>
    <row r="1751" customFormat="false" ht="15" hidden="false" customHeight="false" outlineLevel="0" collapsed="false">
      <c r="A1751" s="8" t="s">
        <v>3644</v>
      </c>
      <c r="B1751" s="8" t="s">
        <v>3645</v>
      </c>
      <c r="C1751" s="8" t="s">
        <v>51</v>
      </c>
      <c r="D1751" s="8" t="s">
        <v>326</v>
      </c>
      <c r="E1751" s="8" t="s">
        <v>123</v>
      </c>
      <c r="F1751" s="8" t="s">
        <v>124</v>
      </c>
      <c r="G1751" s="8" t="s">
        <v>119</v>
      </c>
      <c r="H1751" s="15" t="n">
        <v>225</v>
      </c>
      <c r="I1751" s="15" t="n">
        <v>225</v>
      </c>
      <c r="J1751" s="16" t="n">
        <v>0.63</v>
      </c>
      <c r="K1751" s="8" t="n">
        <v>9</v>
      </c>
      <c r="L1751" s="8" t="n">
        <v>8</v>
      </c>
      <c r="M1751" s="8" t="n">
        <v>3</v>
      </c>
      <c r="N1751" s="8" t="s">
        <v>120</v>
      </c>
      <c r="O1751" s="15" t="n">
        <f aca="false">H1751*12</f>
        <v>2700</v>
      </c>
      <c r="P1751" s="8" t="n">
        <f aca="false">MIN(100,ROUND(100*J1751/Assumptions!$B$8,0))</f>
        <v>70</v>
      </c>
      <c r="Q1751" s="8" t="n">
        <f aca="false">IF(L1751="",Assumptions!$B$9,L1751*10)</f>
        <v>80</v>
      </c>
      <c r="R1751" s="8" t="n">
        <f aca="false">IF(M1751&lt;=1,Assumptions!$B$12,IF(M1751&lt;=3,Assumptions!$B$13,IF(M1751&lt;=6,Assumptions!$B$14,Assumptions!$B$15)))</f>
        <v>75</v>
      </c>
      <c r="S1751" s="8" t="n">
        <f aca="false">IF(N1751="Completed On Time",Assumptions!$B$16,IF(N1751="Completed Late",Assumptions!$B$17,Assumptions!$B$18))</f>
        <v>100</v>
      </c>
      <c r="T1751" s="8" t="n">
        <f aca="false">IF(I1751=0,Assumptions!$B$20,IF(H1751&gt;I1751,Assumptions!$B$19,IF(H1751=I1751,Assumptions!$B$20,Assumptions!$B$21)))</f>
        <v>70</v>
      </c>
      <c r="U1751" s="8" t="n">
        <f aca="false">ROUND(P1751*Assumptions!$B$2+Q1751*Assumptions!$B$3+R1751*Assumptions!$B$4+S1751*Assumptions!$B$5+T1751*Assumptions!$B$6,0)</f>
        <v>76</v>
      </c>
      <c r="V1751" s="8" t="str">
        <f aca="false">IF(U1751&gt;=Assumptions!$B$10,"Healthy",IF(U1751&gt;=Assumptions!$B$11,"Needs Attention","High Risk"))</f>
        <v>Needs Attention</v>
      </c>
    </row>
    <row r="1752" customFormat="false" ht="15" hidden="false" customHeight="false" outlineLevel="0" collapsed="false">
      <c r="A1752" s="8" t="s">
        <v>3646</v>
      </c>
      <c r="B1752" s="8" t="s">
        <v>3647</v>
      </c>
      <c r="C1752" s="8" t="s">
        <v>51</v>
      </c>
      <c r="D1752" s="8" t="s">
        <v>2027</v>
      </c>
      <c r="E1752" s="8" t="s">
        <v>132</v>
      </c>
      <c r="F1752" s="8" t="s">
        <v>133</v>
      </c>
      <c r="G1752" s="8" t="s">
        <v>140</v>
      </c>
      <c r="H1752" s="15" t="n">
        <v>216</v>
      </c>
      <c r="I1752" s="15" t="n">
        <v>216</v>
      </c>
      <c r="J1752" s="16" t="n">
        <v>0.611</v>
      </c>
      <c r="K1752" s="8" t="n">
        <v>7.3</v>
      </c>
      <c r="L1752" s="8" t="n">
        <v>4</v>
      </c>
      <c r="M1752" s="8" t="n">
        <v>1</v>
      </c>
      <c r="N1752" s="8" t="s">
        <v>120</v>
      </c>
      <c r="O1752" s="15" t="n">
        <f aca="false">H1752*12</f>
        <v>2592</v>
      </c>
      <c r="P1752" s="8" t="n">
        <f aca="false">MIN(100,ROUND(100*J1752/Assumptions!$B$8,0))</f>
        <v>68</v>
      </c>
      <c r="Q1752" s="8" t="n">
        <f aca="false">IF(L1752="",Assumptions!$B$9,L1752*10)</f>
        <v>40</v>
      </c>
      <c r="R1752" s="8" t="n">
        <f aca="false">IF(M1752&lt;=1,Assumptions!$B$12,IF(M1752&lt;=3,Assumptions!$B$13,IF(M1752&lt;=6,Assumptions!$B$14,Assumptions!$B$15)))</f>
        <v>100</v>
      </c>
      <c r="S1752" s="8" t="n">
        <f aca="false">IF(N1752="Completed On Time",Assumptions!$B$16,IF(N1752="Completed Late",Assumptions!$B$17,Assumptions!$B$18))</f>
        <v>100</v>
      </c>
      <c r="T1752" s="8" t="n">
        <f aca="false">IF(I1752=0,Assumptions!$B$20,IF(H1752&gt;I1752,Assumptions!$B$19,IF(H1752=I1752,Assumptions!$B$20,Assumptions!$B$21)))</f>
        <v>70</v>
      </c>
      <c r="U1752" s="8" t="n">
        <f aca="false">ROUND(P1752*Assumptions!$B$2+Q1752*Assumptions!$B$3+R1752*Assumptions!$B$4+S1752*Assumptions!$B$5+T1752*Assumptions!$B$6,0)</f>
        <v>71</v>
      </c>
      <c r="V1752" s="8" t="str">
        <f aca="false">IF(U1752&gt;=Assumptions!$B$10,"Healthy",IF(U1752&gt;=Assumptions!$B$11,"Needs Attention","High Risk"))</f>
        <v>Needs Attention</v>
      </c>
    </row>
    <row r="1753" customFormat="false" ht="15" hidden="false" customHeight="false" outlineLevel="0" collapsed="false">
      <c r="A1753" s="8" t="s">
        <v>3648</v>
      </c>
      <c r="B1753" s="8" t="s">
        <v>3649</v>
      </c>
      <c r="C1753" s="8" t="s">
        <v>51</v>
      </c>
      <c r="D1753" s="8" t="s">
        <v>2027</v>
      </c>
      <c r="E1753" s="8" t="s">
        <v>117</v>
      </c>
      <c r="F1753" s="8" t="s">
        <v>143</v>
      </c>
      <c r="G1753" s="8" t="s">
        <v>185</v>
      </c>
      <c r="H1753" s="15" t="n">
        <v>216</v>
      </c>
      <c r="I1753" s="15" t="n">
        <v>216</v>
      </c>
      <c r="J1753" s="16" t="n">
        <v>0.722</v>
      </c>
      <c r="K1753" s="8" t="n">
        <v>9.7</v>
      </c>
      <c r="L1753" s="8" t="n">
        <v>10</v>
      </c>
      <c r="M1753" s="8" t="n">
        <v>3</v>
      </c>
      <c r="N1753" s="8" t="s">
        <v>120</v>
      </c>
      <c r="O1753" s="15" t="n">
        <f aca="false">H1753*12</f>
        <v>2592</v>
      </c>
      <c r="P1753" s="8" t="n">
        <f aca="false">MIN(100,ROUND(100*J1753/Assumptions!$B$8,0))</f>
        <v>80</v>
      </c>
      <c r="Q1753" s="8" t="n">
        <f aca="false">IF(L1753="",Assumptions!$B$9,L1753*10)</f>
        <v>100</v>
      </c>
      <c r="R1753" s="8" t="n">
        <f aca="false">IF(M1753&lt;=1,Assumptions!$B$12,IF(M1753&lt;=3,Assumptions!$B$13,IF(M1753&lt;=6,Assumptions!$B$14,Assumptions!$B$15)))</f>
        <v>75</v>
      </c>
      <c r="S1753" s="8" t="n">
        <f aca="false">IF(N1753="Completed On Time",Assumptions!$B$16,IF(N1753="Completed Late",Assumptions!$B$17,Assumptions!$B$18))</f>
        <v>100</v>
      </c>
      <c r="T1753" s="8" t="n">
        <f aca="false">IF(I1753=0,Assumptions!$B$20,IF(H1753&gt;I1753,Assumptions!$B$19,IF(H1753=I1753,Assumptions!$B$20,Assumptions!$B$21)))</f>
        <v>70</v>
      </c>
      <c r="U1753" s="8" t="n">
        <f aca="false">ROUND(P1753*Assumptions!$B$2+Q1753*Assumptions!$B$3+R1753*Assumptions!$B$4+S1753*Assumptions!$B$5+T1753*Assumptions!$B$6,0)</f>
        <v>83</v>
      </c>
      <c r="V1753" s="8" t="str">
        <f aca="false">IF(U1753&gt;=Assumptions!$B$10,"Healthy",IF(U1753&gt;=Assumptions!$B$11,"Needs Attention","High Risk"))</f>
        <v>Healthy</v>
      </c>
    </row>
    <row r="1754" customFormat="false" ht="15" hidden="false" customHeight="false" outlineLevel="0" collapsed="false">
      <c r="A1754" s="8" t="s">
        <v>3650</v>
      </c>
      <c r="B1754" s="8" t="s">
        <v>3651</v>
      </c>
      <c r="C1754" s="8" t="s">
        <v>51</v>
      </c>
      <c r="D1754" s="8" t="s">
        <v>2027</v>
      </c>
      <c r="E1754" s="8" t="s">
        <v>132</v>
      </c>
      <c r="F1754" s="8" t="s">
        <v>133</v>
      </c>
      <c r="G1754" s="8" t="s">
        <v>177</v>
      </c>
      <c r="H1754" s="15" t="n">
        <v>216</v>
      </c>
      <c r="I1754" s="15" t="n">
        <v>216</v>
      </c>
      <c r="J1754" s="16" t="n">
        <v>0.63</v>
      </c>
      <c r="K1754" s="8" t="n">
        <v>7.7</v>
      </c>
      <c r="L1754" s="8" t="n">
        <v>6</v>
      </c>
      <c r="M1754" s="8" t="n">
        <v>2</v>
      </c>
      <c r="N1754" s="8" t="s">
        <v>120</v>
      </c>
      <c r="O1754" s="15" t="n">
        <f aca="false">H1754*12</f>
        <v>2592</v>
      </c>
      <c r="P1754" s="8" t="n">
        <f aca="false">MIN(100,ROUND(100*J1754/Assumptions!$B$8,0))</f>
        <v>70</v>
      </c>
      <c r="Q1754" s="8" t="n">
        <f aca="false">IF(L1754="",Assumptions!$B$9,L1754*10)</f>
        <v>60</v>
      </c>
      <c r="R1754" s="8" t="n">
        <f aca="false">IF(M1754&lt;=1,Assumptions!$B$12,IF(M1754&lt;=3,Assumptions!$B$13,IF(M1754&lt;=6,Assumptions!$B$14,Assumptions!$B$15)))</f>
        <v>75</v>
      </c>
      <c r="S1754" s="8" t="n">
        <f aca="false">IF(N1754="Completed On Time",Assumptions!$B$16,IF(N1754="Completed Late",Assumptions!$B$17,Assumptions!$B$18))</f>
        <v>100</v>
      </c>
      <c r="T1754" s="8" t="n">
        <f aca="false">IF(I1754=0,Assumptions!$B$20,IF(H1754&gt;I1754,Assumptions!$B$19,IF(H1754=I1754,Assumptions!$B$20,Assumptions!$B$21)))</f>
        <v>70</v>
      </c>
      <c r="U1754" s="8" t="n">
        <f aca="false">ROUND(P1754*Assumptions!$B$2+Q1754*Assumptions!$B$3+R1754*Assumptions!$B$4+S1754*Assumptions!$B$5+T1754*Assumptions!$B$6,0)</f>
        <v>72</v>
      </c>
      <c r="V1754" s="8" t="str">
        <f aca="false">IF(U1754&gt;=Assumptions!$B$10,"Healthy",IF(U1754&gt;=Assumptions!$B$11,"Needs Attention","High Risk"))</f>
        <v>Needs Attention</v>
      </c>
    </row>
    <row r="1755" customFormat="false" ht="15" hidden="false" customHeight="false" outlineLevel="0" collapsed="false">
      <c r="A1755" s="8" t="s">
        <v>3652</v>
      </c>
      <c r="B1755" s="8" t="s">
        <v>3653</v>
      </c>
      <c r="C1755" s="8" t="s">
        <v>51</v>
      </c>
      <c r="D1755" s="8" t="s">
        <v>2027</v>
      </c>
      <c r="E1755" s="8" t="s">
        <v>123</v>
      </c>
      <c r="F1755" s="8" t="s">
        <v>223</v>
      </c>
      <c r="G1755" s="8" t="s">
        <v>119</v>
      </c>
      <c r="H1755" s="15" t="n">
        <v>216</v>
      </c>
      <c r="I1755" s="15" t="n">
        <v>216</v>
      </c>
      <c r="J1755" s="16" t="n">
        <v>0.667</v>
      </c>
      <c r="K1755" s="8" t="n">
        <v>8</v>
      </c>
      <c r="L1755" s="8" t="n">
        <v>8</v>
      </c>
      <c r="M1755" s="8" t="n">
        <v>3</v>
      </c>
      <c r="N1755" s="8" t="s">
        <v>120</v>
      </c>
      <c r="O1755" s="15" t="n">
        <f aca="false">H1755*12</f>
        <v>2592</v>
      </c>
      <c r="P1755" s="8" t="n">
        <f aca="false">MIN(100,ROUND(100*J1755/Assumptions!$B$8,0))</f>
        <v>74</v>
      </c>
      <c r="Q1755" s="8" t="n">
        <f aca="false">IF(L1755="",Assumptions!$B$9,L1755*10)</f>
        <v>80</v>
      </c>
      <c r="R1755" s="8" t="n">
        <f aca="false">IF(M1755&lt;=1,Assumptions!$B$12,IF(M1755&lt;=3,Assumptions!$B$13,IF(M1755&lt;=6,Assumptions!$B$14,Assumptions!$B$15)))</f>
        <v>75</v>
      </c>
      <c r="S1755" s="8" t="n">
        <f aca="false">IF(N1755="Completed On Time",Assumptions!$B$16,IF(N1755="Completed Late",Assumptions!$B$17,Assumptions!$B$18))</f>
        <v>100</v>
      </c>
      <c r="T1755" s="8" t="n">
        <f aca="false">IF(I1755=0,Assumptions!$B$20,IF(H1755&gt;I1755,Assumptions!$B$19,IF(H1755=I1755,Assumptions!$B$20,Assumptions!$B$21)))</f>
        <v>70</v>
      </c>
      <c r="U1755" s="8" t="n">
        <f aca="false">ROUND(P1755*Assumptions!$B$2+Q1755*Assumptions!$B$3+R1755*Assumptions!$B$4+S1755*Assumptions!$B$5+T1755*Assumptions!$B$6,0)</f>
        <v>77</v>
      </c>
      <c r="V1755" s="8" t="str">
        <f aca="false">IF(U1755&gt;=Assumptions!$B$10,"Healthy",IF(U1755&gt;=Assumptions!$B$11,"Needs Attention","High Risk"))</f>
        <v>Needs Attention</v>
      </c>
    </row>
    <row r="1756" customFormat="false" ht="15" hidden="false" customHeight="false" outlineLevel="0" collapsed="false">
      <c r="A1756" s="8" t="s">
        <v>3654</v>
      </c>
      <c r="B1756" s="8" t="s">
        <v>3655</v>
      </c>
      <c r="C1756" s="8" t="s">
        <v>51</v>
      </c>
      <c r="D1756" s="8" t="s">
        <v>2027</v>
      </c>
      <c r="E1756" s="8" t="s">
        <v>132</v>
      </c>
      <c r="F1756" s="8" t="s">
        <v>154</v>
      </c>
      <c r="G1756" s="8" t="s">
        <v>137</v>
      </c>
      <c r="H1756" s="15" t="n">
        <v>216</v>
      </c>
      <c r="I1756" s="15" t="n">
        <v>216</v>
      </c>
      <c r="J1756" s="16" t="n">
        <v>0.685</v>
      </c>
      <c r="K1756" s="8" t="n">
        <v>8.7</v>
      </c>
      <c r="L1756" s="8" t="n">
        <v>7</v>
      </c>
      <c r="M1756" s="8" t="n">
        <v>3</v>
      </c>
      <c r="N1756" s="8" t="s">
        <v>120</v>
      </c>
      <c r="O1756" s="15" t="n">
        <f aca="false">H1756*12</f>
        <v>2592</v>
      </c>
      <c r="P1756" s="8" t="n">
        <f aca="false">MIN(100,ROUND(100*J1756/Assumptions!$B$8,0))</f>
        <v>76</v>
      </c>
      <c r="Q1756" s="8" t="n">
        <f aca="false">IF(L1756="",Assumptions!$B$9,L1756*10)</f>
        <v>70</v>
      </c>
      <c r="R1756" s="8" t="n">
        <f aca="false">IF(M1756&lt;=1,Assumptions!$B$12,IF(M1756&lt;=3,Assumptions!$B$13,IF(M1756&lt;=6,Assumptions!$B$14,Assumptions!$B$15)))</f>
        <v>75</v>
      </c>
      <c r="S1756" s="8" t="n">
        <f aca="false">IF(N1756="Completed On Time",Assumptions!$B$16,IF(N1756="Completed Late",Assumptions!$B$17,Assumptions!$B$18))</f>
        <v>100</v>
      </c>
      <c r="T1756" s="8" t="n">
        <f aca="false">IF(I1756=0,Assumptions!$B$20,IF(H1756&gt;I1756,Assumptions!$B$19,IF(H1756=I1756,Assumptions!$B$20,Assumptions!$B$21)))</f>
        <v>70</v>
      </c>
      <c r="U1756" s="8" t="n">
        <f aca="false">ROUND(P1756*Assumptions!$B$2+Q1756*Assumptions!$B$3+R1756*Assumptions!$B$4+S1756*Assumptions!$B$5+T1756*Assumptions!$B$6,0)</f>
        <v>76</v>
      </c>
      <c r="V1756" s="8" t="str">
        <f aca="false">IF(U1756&gt;=Assumptions!$B$10,"Healthy",IF(U1756&gt;=Assumptions!$B$11,"Needs Attention","High Risk"))</f>
        <v>Needs Attention</v>
      </c>
    </row>
    <row r="1757" customFormat="false" ht="15" hidden="false" customHeight="false" outlineLevel="0" collapsed="false">
      <c r="A1757" s="8" t="s">
        <v>3656</v>
      </c>
      <c r="B1757" s="8" t="s">
        <v>3657</v>
      </c>
      <c r="C1757" s="8" t="s">
        <v>51</v>
      </c>
      <c r="D1757" s="8" t="s">
        <v>2027</v>
      </c>
      <c r="E1757" s="8" t="s">
        <v>132</v>
      </c>
      <c r="F1757" s="8" t="s">
        <v>118</v>
      </c>
      <c r="G1757" s="8" t="s">
        <v>204</v>
      </c>
      <c r="H1757" s="15" t="n">
        <v>216</v>
      </c>
      <c r="I1757" s="15" t="n">
        <v>216</v>
      </c>
      <c r="J1757" s="16" t="n">
        <v>0.648</v>
      </c>
      <c r="K1757" s="8" t="n">
        <v>8.3</v>
      </c>
      <c r="L1757" s="8" t="n">
        <v>6</v>
      </c>
      <c r="M1757" s="8" t="n">
        <v>1</v>
      </c>
      <c r="N1757" s="8" t="s">
        <v>120</v>
      </c>
      <c r="O1757" s="15" t="n">
        <f aca="false">H1757*12</f>
        <v>2592</v>
      </c>
      <c r="P1757" s="8" t="n">
        <f aca="false">MIN(100,ROUND(100*J1757/Assumptions!$B$8,0))</f>
        <v>72</v>
      </c>
      <c r="Q1757" s="8" t="n">
        <f aca="false">IF(L1757="",Assumptions!$B$9,L1757*10)</f>
        <v>60</v>
      </c>
      <c r="R1757" s="8" t="n">
        <f aca="false">IF(M1757&lt;=1,Assumptions!$B$12,IF(M1757&lt;=3,Assumptions!$B$13,IF(M1757&lt;=6,Assumptions!$B$14,Assumptions!$B$15)))</f>
        <v>100</v>
      </c>
      <c r="S1757" s="8" t="n">
        <f aca="false">IF(N1757="Completed On Time",Assumptions!$B$16,IF(N1757="Completed Late",Assumptions!$B$17,Assumptions!$B$18))</f>
        <v>100</v>
      </c>
      <c r="T1757" s="8" t="n">
        <f aca="false">IF(I1757=0,Assumptions!$B$20,IF(H1757&gt;I1757,Assumptions!$B$19,IF(H1757=I1757,Assumptions!$B$20,Assumptions!$B$21)))</f>
        <v>70</v>
      </c>
      <c r="U1757" s="8" t="n">
        <f aca="false">ROUND(P1757*Assumptions!$B$2+Q1757*Assumptions!$B$3+R1757*Assumptions!$B$4+S1757*Assumptions!$B$5+T1757*Assumptions!$B$6,0)</f>
        <v>76</v>
      </c>
      <c r="V1757" s="8" t="str">
        <f aca="false">IF(U1757&gt;=Assumptions!$B$10,"Healthy",IF(U1757&gt;=Assumptions!$B$11,"Needs Attention","High Risk"))</f>
        <v>Needs Attention</v>
      </c>
    </row>
    <row r="1758" customFormat="false" ht="15" hidden="false" customHeight="false" outlineLevel="0" collapsed="false">
      <c r="A1758" s="8" t="s">
        <v>3658</v>
      </c>
      <c r="B1758" s="8" t="s">
        <v>3659</v>
      </c>
      <c r="C1758" s="8" t="s">
        <v>51</v>
      </c>
      <c r="D1758" s="8" t="s">
        <v>2027</v>
      </c>
      <c r="E1758" s="8" t="s">
        <v>123</v>
      </c>
      <c r="F1758" s="8" t="s">
        <v>136</v>
      </c>
      <c r="G1758" s="8" t="s">
        <v>137</v>
      </c>
      <c r="H1758" s="15" t="n">
        <v>216</v>
      </c>
      <c r="I1758" s="15" t="n">
        <v>216</v>
      </c>
      <c r="J1758" s="16" t="n">
        <v>0.833</v>
      </c>
      <c r="K1758" s="8" t="n">
        <v>11.3</v>
      </c>
      <c r="L1758" s="8" t="n">
        <v>10</v>
      </c>
      <c r="M1758" s="8" t="n">
        <v>2</v>
      </c>
      <c r="N1758" s="8" t="s">
        <v>120</v>
      </c>
      <c r="O1758" s="15" t="n">
        <f aca="false">H1758*12</f>
        <v>2592</v>
      </c>
      <c r="P1758" s="8" t="n">
        <f aca="false">MIN(100,ROUND(100*J1758/Assumptions!$B$8,0))</f>
        <v>93</v>
      </c>
      <c r="Q1758" s="8" t="n">
        <f aca="false">IF(L1758="",Assumptions!$B$9,L1758*10)</f>
        <v>100</v>
      </c>
      <c r="R1758" s="8" t="n">
        <f aca="false">IF(M1758&lt;=1,Assumptions!$B$12,IF(M1758&lt;=3,Assumptions!$B$13,IF(M1758&lt;=6,Assumptions!$B$14,Assumptions!$B$15)))</f>
        <v>75</v>
      </c>
      <c r="S1758" s="8" t="n">
        <f aca="false">IF(N1758="Completed On Time",Assumptions!$B$16,IF(N1758="Completed Late",Assumptions!$B$17,Assumptions!$B$18))</f>
        <v>100</v>
      </c>
      <c r="T1758" s="8" t="n">
        <f aca="false">IF(I1758=0,Assumptions!$B$20,IF(H1758&gt;I1758,Assumptions!$B$19,IF(H1758=I1758,Assumptions!$B$20,Assumptions!$B$21)))</f>
        <v>70</v>
      </c>
      <c r="U1758" s="8" t="n">
        <f aca="false">ROUND(P1758*Assumptions!$B$2+Q1758*Assumptions!$B$3+R1758*Assumptions!$B$4+S1758*Assumptions!$B$5+T1758*Assumptions!$B$6,0)</f>
        <v>88</v>
      </c>
      <c r="V1758" s="8" t="str">
        <f aca="false">IF(U1758&gt;=Assumptions!$B$10,"Healthy",IF(U1758&gt;=Assumptions!$B$11,"Needs Attention","High Risk"))</f>
        <v>Healthy</v>
      </c>
    </row>
    <row r="1759" customFormat="false" ht="15" hidden="false" customHeight="false" outlineLevel="0" collapsed="false">
      <c r="A1759" s="8" t="s">
        <v>3660</v>
      </c>
      <c r="B1759" s="8" t="s">
        <v>3661</v>
      </c>
      <c r="C1759" s="8" t="s">
        <v>51</v>
      </c>
      <c r="D1759" s="8" t="s">
        <v>2027</v>
      </c>
      <c r="E1759" s="8" t="s">
        <v>128</v>
      </c>
      <c r="F1759" s="8" t="s">
        <v>136</v>
      </c>
      <c r="G1759" s="8" t="s">
        <v>204</v>
      </c>
      <c r="H1759" s="15" t="n">
        <v>216</v>
      </c>
      <c r="I1759" s="15" t="n">
        <v>216</v>
      </c>
      <c r="J1759" s="16" t="n">
        <v>0.815</v>
      </c>
      <c r="K1759" s="8" t="n">
        <v>10</v>
      </c>
      <c r="L1759" s="8" t="n">
        <v>8</v>
      </c>
      <c r="M1759" s="8" t="n">
        <v>4</v>
      </c>
      <c r="N1759" s="8" t="s">
        <v>120</v>
      </c>
      <c r="O1759" s="15" t="n">
        <f aca="false">H1759*12</f>
        <v>2592</v>
      </c>
      <c r="P1759" s="8" t="n">
        <f aca="false">MIN(100,ROUND(100*J1759/Assumptions!$B$8,0))</f>
        <v>91</v>
      </c>
      <c r="Q1759" s="8" t="n">
        <f aca="false">IF(L1759="",Assumptions!$B$9,L1759*10)</f>
        <v>80</v>
      </c>
      <c r="R1759" s="8" t="n">
        <f aca="false">IF(M1759&lt;=1,Assumptions!$B$12,IF(M1759&lt;=3,Assumptions!$B$13,IF(M1759&lt;=6,Assumptions!$B$14,Assumptions!$B$15)))</f>
        <v>50</v>
      </c>
      <c r="S1759" s="8" t="n">
        <f aca="false">IF(N1759="Completed On Time",Assumptions!$B$16,IF(N1759="Completed Late",Assumptions!$B$17,Assumptions!$B$18))</f>
        <v>100</v>
      </c>
      <c r="T1759" s="8" t="n">
        <f aca="false">IF(I1759=0,Assumptions!$B$20,IF(H1759&gt;I1759,Assumptions!$B$19,IF(H1759=I1759,Assumptions!$B$20,Assumptions!$B$21)))</f>
        <v>70</v>
      </c>
      <c r="U1759" s="8" t="n">
        <f aca="false">ROUND(P1759*Assumptions!$B$2+Q1759*Assumptions!$B$3+R1759*Assumptions!$B$4+S1759*Assumptions!$B$5+T1759*Assumptions!$B$6,0)</f>
        <v>79</v>
      </c>
      <c r="V1759" s="8" t="str">
        <f aca="false">IF(U1759&gt;=Assumptions!$B$10,"Healthy",IF(U1759&gt;=Assumptions!$B$11,"Needs Attention","High Risk"))</f>
        <v>Needs Attention</v>
      </c>
    </row>
    <row r="1760" customFormat="false" ht="15" hidden="false" customHeight="false" outlineLevel="0" collapsed="false">
      <c r="A1760" s="8" t="s">
        <v>3662</v>
      </c>
      <c r="B1760" s="8" t="s">
        <v>3663</v>
      </c>
      <c r="C1760" s="8" t="s">
        <v>51</v>
      </c>
      <c r="D1760" s="8" t="s">
        <v>2027</v>
      </c>
      <c r="E1760" s="8" t="s">
        <v>132</v>
      </c>
      <c r="F1760" s="8" t="s">
        <v>143</v>
      </c>
      <c r="G1760" s="8" t="s">
        <v>137</v>
      </c>
      <c r="H1760" s="15" t="n">
        <v>216</v>
      </c>
      <c r="I1760" s="15" t="n">
        <v>216</v>
      </c>
      <c r="J1760" s="16" t="n">
        <v>0.815</v>
      </c>
      <c r="K1760" s="8" t="n">
        <v>11</v>
      </c>
      <c r="L1760" s="8" t="n">
        <v>10</v>
      </c>
      <c r="M1760" s="8" t="n">
        <v>2</v>
      </c>
      <c r="N1760" s="8" t="s">
        <v>120</v>
      </c>
      <c r="O1760" s="15" t="n">
        <f aca="false">H1760*12</f>
        <v>2592</v>
      </c>
      <c r="P1760" s="8" t="n">
        <f aca="false">MIN(100,ROUND(100*J1760/Assumptions!$B$8,0))</f>
        <v>91</v>
      </c>
      <c r="Q1760" s="8" t="n">
        <f aca="false">IF(L1760="",Assumptions!$B$9,L1760*10)</f>
        <v>100</v>
      </c>
      <c r="R1760" s="8" t="n">
        <f aca="false">IF(M1760&lt;=1,Assumptions!$B$12,IF(M1760&lt;=3,Assumptions!$B$13,IF(M1760&lt;=6,Assumptions!$B$14,Assumptions!$B$15)))</f>
        <v>75</v>
      </c>
      <c r="S1760" s="8" t="n">
        <f aca="false">IF(N1760="Completed On Time",Assumptions!$B$16,IF(N1760="Completed Late",Assumptions!$B$17,Assumptions!$B$18))</f>
        <v>100</v>
      </c>
      <c r="T1760" s="8" t="n">
        <f aca="false">IF(I1760=0,Assumptions!$B$20,IF(H1760&gt;I1760,Assumptions!$B$19,IF(H1760=I1760,Assumptions!$B$20,Assumptions!$B$21)))</f>
        <v>70</v>
      </c>
      <c r="U1760" s="8" t="n">
        <f aca="false">ROUND(P1760*Assumptions!$B$2+Q1760*Assumptions!$B$3+R1760*Assumptions!$B$4+S1760*Assumptions!$B$5+T1760*Assumptions!$B$6,0)</f>
        <v>87</v>
      </c>
      <c r="V1760" s="8" t="str">
        <f aca="false">IF(U1760&gt;=Assumptions!$B$10,"Healthy",IF(U1760&gt;=Assumptions!$B$11,"Needs Attention","High Risk"))</f>
        <v>Healthy</v>
      </c>
    </row>
    <row r="1761" customFormat="false" ht="15" hidden="false" customHeight="false" outlineLevel="0" collapsed="false">
      <c r="A1761" s="8" t="s">
        <v>3664</v>
      </c>
      <c r="B1761" s="8" t="s">
        <v>3665</v>
      </c>
      <c r="C1761" s="8" t="s">
        <v>51</v>
      </c>
      <c r="D1761" s="8" t="s">
        <v>2027</v>
      </c>
      <c r="E1761" s="8" t="s">
        <v>123</v>
      </c>
      <c r="F1761" s="8" t="s">
        <v>133</v>
      </c>
      <c r="G1761" s="8" t="s">
        <v>180</v>
      </c>
      <c r="H1761" s="15" t="n">
        <v>216</v>
      </c>
      <c r="I1761" s="15" t="n">
        <v>216</v>
      </c>
      <c r="J1761" s="16" t="n">
        <v>0.889</v>
      </c>
      <c r="K1761" s="8" t="n">
        <v>10.7</v>
      </c>
      <c r="L1761" s="8" t="n">
        <v>8</v>
      </c>
      <c r="M1761" s="8" t="n">
        <v>2</v>
      </c>
      <c r="N1761" s="8" t="s">
        <v>120</v>
      </c>
      <c r="O1761" s="15" t="n">
        <f aca="false">H1761*12</f>
        <v>2592</v>
      </c>
      <c r="P1761" s="8" t="n">
        <f aca="false">MIN(100,ROUND(100*J1761/Assumptions!$B$8,0))</f>
        <v>99</v>
      </c>
      <c r="Q1761" s="8" t="n">
        <f aca="false">IF(L1761="",Assumptions!$B$9,L1761*10)</f>
        <v>80</v>
      </c>
      <c r="R1761" s="8" t="n">
        <f aca="false">IF(M1761&lt;=1,Assumptions!$B$12,IF(M1761&lt;=3,Assumptions!$B$13,IF(M1761&lt;=6,Assumptions!$B$14,Assumptions!$B$15)))</f>
        <v>75</v>
      </c>
      <c r="S1761" s="8" t="n">
        <f aca="false">IF(N1761="Completed On Time",Assumptions!$B$16,IF(N1761="Completed Late",Assumptions!$B$17,Assumptions!$B$18))</f>
        <v>100</v>
      </c>
      <c r="T1761" s="8" t="n">
        <f aca="false">IF(I1761=0,Assumptions!$B$20,IF(H1761&gt;I1761,Assumptions!$B$19,IF(H1761=I1761,Assumptions!$B$20,Assumptions!$B$21)))</f>
        <v>70</v>
      </c>
      <c r="U1761" s="8" t="n">
        <f aca="false">ROUND(P1761*Assumptions!$B$2+Q1761*Assumptions!$B$3+R1761*Assumptions!$B$4+S1761*Assumptions!$B$5+T1761*Assumptions!$B$6,0)</f>
        <v>86</v>
      </c>
      <c r="V1761" s="8" t="str">
        <f aca="false">IF(U1761&gt;=Assumptions!$B$10,"Healthy",IF(U1761&gt;=Assumptions!$B$11,"Needs Attention","High Risk"))</f>
        <v>Healthy</v>
      </c>
    </row>
    <row r="1762" customFormat="false" ht="15" hidden="false" customHeight="false" outlineLevel="0" collapsed="false">
      <c r="A1762" s="8" t="s">
        <v>3666</v>
      </c>
      <c r="B1762" s="8" t="s">
        <v>3667</v>
      </c>
      <c r="C1762" s="8" t="s">
        <v>51</v>
      </c>
      <c r="D1762" s="8" t="s">
        <v>2027</v>
      </c>
      <c r="E1762" s="8" t="s">
        <v>132</v>
      </c>
      <c r="F1762" s="8" t="s">
        <v>118</v>
      </c>
      <c r="G1762" s="8" t="s">
        <v>204</v>
      </c>
      <c r="H1762" s="15" t="n">
        <v>216</v>
      </c>
      <c r="I1762" s="15" t="n">
        <v>216</v>
      </c>
      <c r="J1762" s="16" t="n">
        <v>0.741</v>
      </c>
      <c r="K1762" s="8" t="n">
        <v>9.7</v>
      </c>
      <c r="L1762" s="8" t="n">
        <v>9</v>
      </c>
      <c r="M1762" s="8" t="n">
        <v>3</v>
      </c>
      <c r="N1762" s="8" t="s">
        <v>120</v>
      </c>
      <c r="O1762" s="15" t="n">
        <f aca="false">H1762*12</f>
        <v>2592</v>
      </c>
      <c r="P1762" s="8" t="n">
        <f aca="false">MIN(100,ROUND(100*J1762/Assumptions!$B$8,0))</f>
        <v>82</v>
      </c>
      <c r="Q1762" s="8" t="n">
        <f aca="false">IF(L1762="",Assumptions!$B$9,L1762*10)</f>
        <v>90</v>
      </c>
      <c r="R1762" s="8" t="n">
        <f aca="false">IF(M1762&lt;=1,Assumptions!$B$12,IF(M1762&lt;=3,Assumptions!$B$13,IF(M1762&lt;=6,Assumptions!$B$14,Assumptions!$B$15)))</f>
        <v>75</v>
      </c>
      <c r="S1762" s="8" t="n">
        <f aca="false">IF(N1762="Completed On Time",Assumptions!$B$16,IF(N1762="Completed Late",Assumptions!$B$17,Assumptions!$B$18))</f>
        <v>100</v>
      </c>
      <c r="T1762" s="8" t="n">
        <f aca="false">IF(I1762=0,Assumptions!$B$20,IF(H1762&gt;I1762,Assumptions!$B$19,IF(H1762=I1762,Assumptions!$B$20,Assumptions!$B$21)))</f>
        <v>70</v>
      </c>
      <c r="U1762" s="8" t="n">
        <f aca="false">ROUND(P1762*Assumptions!$B$2+Q1762*Assumptions!$B$3+R1762*Assumptions!$B$4+S1762*Assumptions!$B$5+T1762*Assumptions!$B$6,0)</f>
        <v>82</v>
      </c>
      <c r="V1762" s="8" t="str">
        <f aca="false">IF(U1762&gt;=Assumptions!$B$10,"Healthy",IF(U1762&gt;=Assumptions!$B$11,"Needs Attention","High Risk"))</f>
        <v>Healthy</v>
      </c>
    </row>
    <row r="1763" customFormat="false" ht="15" hidden="false" customHeight="false" outlineLevel="0" collapsed="false">
      <c r="A1763" s="8" t="s">
        <v>3668</v>
      </c>
      <c r="B1763" s="8" t="s">
        <v>3669</v>
      </c>
      <c r="C1763" s="8" t="s">
        <v>51</v>
      </c>
      <c r="D1763" s="8" t="s">
        <v>2027</v>
      </c>
      <c r="E1763" s="8" t="s">
        <v>117</v>
      </c>
      <c r="F1763" s="8" t="s">
        <v>166</v>
      </c>
      <c r="G1763" s="8" t="s">
        <v>185</v>
      </c>
      <c r="H1763" s="15" t="n">
        <v>216</v>
      </c>
      <c r="I1763" s="15" t="n">
        <v>216</v>
      </c>
      <c r="J1763" s="16" t="n">
        <v>0.63</v>
      </c>
      <c r="K1763" s="8" t="n">
        <v>7</v>
      </c>
      <c r="L1763" s="8" t="n">
        <v>6</v>
      </c>
      <c r="M1763" s="8" t="n">
        <v>4</v>
      </c>
      <c r="N1763" s="8" t="s">
        <v>120</v>
      </c>
      <c r="O1763" s="15" t="n">
        <f aca="false">H1763*12</f>
        <v>2592</v>
      </c>
      <c r="P1763" s="8" t="n">
        <f aca="false">MIN(100,ROUND(100*J1763/Assumptions!$B$8,0))</f>
        <v>70</v>
      </c>
      <c r="Q1763" s="8" t="n">
        <f aca="false">IF(L1763="",Assumptions!$B$9,L1763*10)</f>
        <v>60</v>
      </c>
      <c r="R1763" s="8" t="n">
        <f aca="false">IF(M1763&lt;=1,Assumptions!$B$12,IF(M1763&lt;=3,Assumptions!$B$13,IF(M1763&lt;=6,Assumptions!$B$14,Assumptions!$B$15)))</f>
        <v>50</v>
      </c>
      <c r="S1763" s="8" t="n">
        <f aca="false">IF(N1763="Completed On Time",Assumptions!$B$16,IF(N1763="Completed Late",Assumptions!$B$17,Assumptions!$B$18))</f>
        <v>100</v>
      </c>
      <c r="T1763" s="8" t="n">
        <f aca="false">IF(I1763=0,Assumptions!$B$20,IF(H1763&gt;I1763,Assumptions!$B$19,IF(H1763=I1763,Assumptions!$B$20,Assumptions!$B$21)))</f>
        <v>70</v>
      </c>
      <c r="U1763" s="8" t="n">
        <f aca="false">ROUND(P1763*Assumptions!$B$2+Q1763*Assumptions!$B$3+R1763*Assumptions!$B$4+S1763*Assumptions!$B$5+T1763*Assumptions!$B$6,0)</f>
        <v>68</v>
      </c>
      <c r="V1763" s="8" t="str">
        <f aca="false">IF(U1763&gt;=Assumptions!$B$10,"Healthy",IF(U1763&gt;=Assumptions!$B$11,"Needs Attention","High Risk"))</f>
        <v>Needs Attention</v>
      </c>
    </row>
    <row r="1764" customFormat="false" ht="15" hidden="false" customHeight="false" outlineLevel="0" collapsed="false">
      <c r="A1764" s="8" t="s">
        <v>3670</v>
      </c>
      <c r="B1764" s="8" t="s">
        <v>3671</v>
      </c>
      <c r="C1764" s="8" t="s">
        <v>51</v>
      </c>
      <c r="D1764" s="8" t="s">
        <v>2027</v>
      </c>
      <c r="E1764" s="8" t="s">
        <v>128</v>
      </c>
      <c r="F1764" s="8" t="s">
        <v>143</v>
      </c>
      <c r="G1764" s="8" t="s">
        <v>180</v>
      </c>
      <c r="H1764" s="15" t="n">
        <v>216</v>
      </c>
      <c r="I1764" s="15" t="n">
        <v>216</v>
      </c>
      <c r="J1764" s="16" t="n">
        <v>0.759</v>
      </c>
      <c r="K1764" s="8" t="n">
        <v>11</v>
      </c>
      <c r="L1764" s="8" t="n">
        <v>9</v>
      </c>
      <c r="M1764" s="8" t="n">
        <v>1</v>
      </c>
      <c r="N1764" s="8" t="s">
        <v>120</v>
      </c>
      <c r="O1764" s="15" t="n">
        <f aca="false">H1764*12</f>
        <v>2592</v>
      </c>
      <c r="P1764" s="8" t="n">
        <f aca="false">MIN(100,ROUND(100*J1764/Assumptions!$B$8,0))</f>
        <v>84</v>
      </c>
      <c r="Q1764" s="8" t="n">
        <f aca="false">IF(L1764="",Assumptions!$B$9,L1764*10)</f>
        <v>90</v>
      </c>
      <c r="R1764" s="8" t="n">
        <f aca="false">IF(M1764&lt;=1,Assumptions!$B$12,IF(M1764&lt;=3,Assumptions!$B$13,IF(M1764&lt;=6,Assumptions!$B$14,Assumptions!$B$15)))</f>
        <v>100</v>
      </c>
      <c r="S1764" s="8" t="n">
        <f aca="false">IF(N1764="Completed On Time",Assumptions!$B$16,IF(N1764="Completed Late",Assumptions!$B$17,Assumptions!$B$18))</f>
        <v>100</v>
      </c>
      <c r="T1764" s="8" t="n">
        <f aca="false">IF(I1764=0,Assumptions!$B$20,IF(H1764&gt;I1764,Assumptions!$B$19,IF(H1764=I1764,Assumptions!$B$20,Assumptions!$B$21)))</f>
        <v>70</v>
      </c>
      <c r="U1764" s="8" t="n">
        <f aca="false">ROUND(P1764*Assumptions!$B$2+Q1764*Assumptions!$B$3+R1764*Assumptions!$B$4+S1764*Assumptions!$B$5+T1764*Assumptions!$B$6,0)</f>
        <v>86</v>
      </c>
      <c r="V1764" s="8" t="str">
        <f aca="false">IF(U1764&gt;=Assumptions!$B$10,"Healthy",IF(U1764&gt;=Assumptions!$B$11,"Needs Attention","High Risk"))</f>
        <v>Healthy</v>
      </c>
    </row>
    <row r="1765" customFormat="false" ht="15" hidden="false" customHeight="false" outlineLevel="0" collapsed="false">
      <c r="A1765" s="8" t="s">
        <v>3672</v>
      </c>
      <c r="B1765" s="8" t="s">
        <v>3673</v>
      </c>
      <c r="C1765" s="8" t="s">
        <v>51</v>
      </c>
      <c r="D1765" s="8" t="s">
        <v>2027</v>
      </c>
      <c r="E1765" s="8" t="s">
        <v>132</v>
      </c>
      <c r="F1765" s="8" t="s">
        <v>154</v>
      </c>
      <c r="G1765" s="8" t="s">
        <v>129</v>
      </c>
      <c r="H1765" s="15" t="n">
        <v>216</v>
      </c>
      <c r="I1765" s="15" t="n">
        <v>156</v>
      </c>
      <c r="J1765" s="16" t="n">
        <v>0.75</v>
      </c>
      <c r="K1765" s="8" t="n">
        <v>10</v>
      </c>
      <c r="L1765" s="8" t="n">
        <v>8</v>
      </c>
      <c r="M1765" s="8" t="n">
        <v>1</v>
      </c>
      <c r="N1765" s="8" t="s">
        <v>120</v>
      </c>
      <c r="O1765" s="15" t="n">
        <f aca="false">H1765*12</f>
        <v>2592</v>
      </c>
      <c r="P1765" s="8" t="n">
        <f aca="false">MIN(100,ROUND(100*J1765/Assumptions!$B$8,0))</f>
        <v>83</v>
      </c>
      <c r="Q1765" s="8" t="n">
        <f aca="false">IF(L1765="",Assumptions!$B$9,L1765*10)</f>
        <v>80</v>
      </c>
      <c r="R1765" s="8" t="n">
        <f aca="false">IF(M1765&lt;=1,Assumptions!$B$12,IF(M1765&lt;=3,Assumptions!$B$13,IF(M1765&lt;=6,Assumptions!$B$14,Assumptions!$B$15)))</f>
        <v>100</v>
      </c>
      <c r="S1765" s="8" t="n">
        <f aca="false">IF(N1765="Completed On Time",Assumptions!$B$16,IF(N1765="Completed Late",Assumptions!$B$17,Assumptions!$B$18))</f>
        <v>100</v>
      </c>
      <c r="T1765" s="8" t="n">
        <f aca="false">IF(I1765=0,Assumptions!$B$20,IF(H1765&gt;I1765,Assumptions!$B$19,IF(H1765=I1765,Assumptions!$B$20,Assumptions!$B$21)))</f>
        <v>100</v>
      </c>
      <c r="U1765" s="8" t="n">
        <f aca="false">ROUND(P1765*Assumptions!$B$2+Q1765*Assumptions!$B$3+R1765*Assumptions!$B$4+S1765*Assumptions!$B$5+T1765*Assumptions!$B$6,0)</f>
        <v>90</v>
      </c>
      <c r="V1765" s="8" t="str">
        <f aca="false">IF(U1765&gt;=Assumptions!$B$10,"Healthy",IF(U1765&gt;=Assumptions!$B$11,"Needs Attention","High Risk"))</f>
        <v>Healthy</v>
      </c>
    </row>
    <row r="1766" customFormat="false" ht="15" hidden="false" customHeight="false" outlineLevel="0" collapsed="false">
      <c r="A1766" s="8" t="s">
        <v>3674</v>
      </c>
      <c r="B1766" s="8" t="s">
        <v>3675</v>
      </c>
      <c r="C1766" s="8" t="s">
        <v>51</v>
      </c>
      <c r="D1766" s="8" t="s">
        <v>2027</v>
      </c>
      <c r="E1766" s="8" t="s">
        <v>123</v>
      </c>
      <c r="F1766" s="8" t="s">
        <v>223</v>
      </c>
      <c r="G1766" s="8" t="s">
        <v>204</v>
      </c>
      <c r="H1766" s="15" t="n">
        <v>216</v>
      </c>
      <c r="I1766" s="15" t="n">
        <v>216</v>
      </c>
      <c r="J1766" s="16" t="n">
        <v>0.796</v>
      </c>
      <c r="K1766" s="8" t="n">
        <v>9.7</v>
      </c>
      <c r="L1766" s="8" t="n">
        <v>10</v>
      </c>
      <c r="M1766" s="8" t="n">
        <v>3</v>
      </c>
      <c r="N1766" s="8" t="s">
        <v>120</v>
      </c>
      <c r="O1766" s="15" t="n">
        <f aca="false">H1766*12</f>
        <v>2592</v>
      </c>
      <c r="P1766" s="8" t="n">
        <f aca="false">MIN(100,ROUND(100*J1766/Assumptions!$B$8,0))</f>
        <v>88</v>
      </c>
      <c r="Q1766" s="8" t="n">
        <f aca="false">IF(L1766="",Assumptions!$B$9,L1766*10)</f>
        <v>100</v>
      </c>
      <c r="R1766" s="8" t="n">
        <f aca="false">IF(M1766&lt;=1,Assumptions!$B$12,IF(M1766&lt;=3,Assumptions!$B$13,IF(M1766&lt;=6,Assumptions!$B$14,Assumptions!$B$15)))</f>
        <v>75</v>
      </c>
      <c r="S1766" s="8" t="n">
        <f aca="false">IF(N1766="Completed On Time",Assumptions!$B$16,IF(N1766="Completed Late",Assumptions!$B$17,Assumptions!$B$18))</f>
        <v>100</v>
      </c>
      <c r="T1766" s="8" t="n">
        <f aca="false">IF(I1766=0,Assumptions!$B$20,IF(H1766&gt;I1766,Assumptions!$B$19,IF(H1766=I1766,Assumptions!$B$20,Assumptions!$B$21)))</f>
        <v>70</v>
      </c>
      <c r="U1766" s="8" t="n">
        <f aca="false">ROUND(P1766*Assumptions!$B$2+Q1766*Assumptions!$B$3+R1766*Assumptions!$B$4+S1766*Assumptions!$B$5+T1766*Assumptions!$B$6,0)</f>
        <v>86</v>
      </c>
      <c r="V1766" s="8" t="str">
        <f aca="false">IF(U1766&gt;=Assumptions!$B$10,"Healthy",IF(U1766&gt;=Assumptions!$B$11,"Needs Attention","High Risk"))</f>
        <v>Healthy</v>
      </c>
    </row>
    <row r="1767" customFormat="false" ht="15" hidden="false" customHeight="false" outlineLevel="0" collapsed="false">
      <c r="A1767" s="8" t="s">
        <v>3676</v>
      </c>
      <c r="B1767" s="8" t="s">
        <v>3677</v>
      </c>
      <c r="C1767" s="8" t="s">
        <v>51</v>
      </c>
      <c r="D1767" s="8" t="s">
        <v>2027</v>
      </c>
      <c r="E1767" s="8" t="s">
        <v>123</v>
      </c>
      <c r="F1767" s="8" t="s">
        <v>118</v>
      </c>
      <c r="G1767" s="8" t="s">
        <v>177</v>
      </c>
      <c r="H1767" s="15" t="n">
        <v>216</v>
      </c>
      <c r="I1767" s="15" t="n">
        <v>0</v>
      </c>
      <c r="J1767" s="16" t="n">
        <v>0.796</v>
      </c>
      <c r="K1767" s="8" t="n">
        <v>11.3</v>
      </c>
      <c r="L1767" s="8"/>
      <c r="M1767" s="8" t="n">
        <v>1</v>
      </c>
      <c r="N1767" s="8" t="s">
        <v>120</v>
      </c>
      <c r="O1767" s="15" t="n">
        <f aca="false">H1767*12</f>
        <v>2592</v>
      </c>
      <c r="P1767" s="8" t="n">
        <f aca="false">MIN(100,ROUND(100*J1767/Assumptions!$B$8,0))</f>
        <v>88</v>
      </c>
      <c r="Q1767" s="8" t="n">
        <f aca="false">IF(L1767="",Assumptions!$B$9,L1767*10)</f>
        <v>50</v>
      </c>
      <c r="R1767" s="8" t="n">
        <f aca="false">IF(M1767&lt;=1,Assumptions!$B$12,IF(M1767&lt;=3,Assumptions!$B$13,IF(M1767&lt;=6,Assumptions!$B$14,Assumptions!$B$15)))</f>
        <v>100</v>
      </c>
      <c r="S1767" s="8" t="n">
        <f aca="false">IF(N1767="Completed On Time",Assumptions!$B$16,IF(N1767="Completed Late",Assumptions!$B$17,Assumptions!$B$18))</f>
        <v>100</v>
      </c>
      <c r="T1767" s="8" t="n">
        <f aca="false">IF(I1767=0,Assumptions!$B$20,IF(H1767&gt;I1767,Assumptions!$B$19,IF(H1767=I1767,Assumptions!$B$20,Assumptions!$B$21)))</f>
        <v>70</v>
      </c>
      <c r="U1767" s="8" t="n">
        <f aca="false">ROUND(P1767*Assumptions!$B$2+Q1767*Assumptions!$B$3+R1767*Assumptions!$B$4+S1767*Assumptions!$B$5+T1767*Assumptions!$B$6,0)</f>
        <v>80</v>
      </c>
      <c r="V1767" s="8" t="str">
        <f aca="false">IF(U1767&gt;=Assumptions!$B$10,"Healthy",IF(U1767&gt;=Assumptions!$B$11,"Needs Attention","High Risk"))</f>
        <v>Healthy</v>
      </c>
    </row>
    <row r="1768" customFormat="false" ht="15" hidden="false" customHeight="false" outlineLevel="0" collapsed="false">
      <c r="A1768" s="8" t="s">
        <v>3678</v>
      </c>
      <c r="B1768" s="8" t="s">
        <v>3679</v>
      </c>
      <c r="C1768" s="8" t="s">
        <v>51</v>
      </c>
      <c r="D1768" s="8" t="s">
        <v>2027</v>
      </c>
      <c r="E1768" s="8" t="s">
        <v>123</v>
      </c>
      <c r="F1768" s="8" t="s">
        <v>223</v>
      </c>
      <c r="G1768" s="8" t="s">
        <v>140</v>
      </c>
      <c r="H1768" s="15" t="n">
        <v>216</v>
      </c>
      <c r="I1768" s="15" t="n">
        <v>216</v>
      </c>
      <c r="J1768" s="16" t="n">
        <v>0.852</v>
      </c>
      <c r="K1768" s="8" t="n">
        <v>9.7</v>
      </c>
      <c r="L1768" s="8" t="n">
        <v>8</v>
      </c>
      <c r="M1768" s="8" t="n">
        <v>3</v>
      </c>
      <c r="N1768" s="8" t="s">
        <v>120</v>
      </c>
      <c r="O1768" s="15" t="n">
        <f aca="false">H1768*12</f>
        <v>2592</v>
      </c>
      <c r="P1768" s="8" t="n">
        <f aca="false">MIN(100,ROUND(100*J1768/Assumptions!$B$8,0))</f>
        <v>95</v>
      </c>
      <c r="Q1768" s="8" t="n">
        <f aca="false">IF(L1768="",Assumptions!$B$9,L1768*10)</f>
        <v>80</v>
      </c>
      <c r="R1768" s="8" t="n">
        <f aca="false">IF(M1768&lt;=1,Assumptions!$B$12,IF(M1768&lt;=3,Assumptions!$B$13,IF(M1768&lt;=6,Assumptions!$B$14,Assumptions!$B$15)))</f>
        <v>75</v>
      </c>
      <c r="S1768" s="8" t="n">
        <f aca="false">IF(N1768="Completed On Time",Assumptions!$B$16,IF(N1768="Completed Late",Assumptions!$B$17,Assumptions!$B$18))</f>
        <v>100</v>
      </c>
      <c r="T1768" s="8" t="n">
        <f aca="false">IF(I1768=0,Assumptions!$B$20,IF(H1768&gt;I1768,Assumptions!$B$19,IF(H1768=I1768,Assumptions!$B$20,Assumptions!$B$21)))</f>
        <v>70</v>
      </c>
      <c r="U1768" s="8" t="n">
        <f aca="false">ROUND(P1768*Assumptions!$B$2+Q1768*Assumptions!$B$3+R1768*Assumptions!$B$4+S1768*Assumptions!$B$5+T1768*Assumptions!$B$6,0)</f>
        <v>85</v>
      </c>
      <c r="V1768" s="8" t="str">
        <f aca="false">IF(U1768&gt;=Assumptions!$B$10,"Healthy",IF(U1768&gt;=Assumptions!$B$11,"Needs Attention","High Risk"))</f>
        <v>Healthy</v>
      </c>
    </row>
    <row r="1769" customFormat="false" ht="15" hidden="false" customHeight="false" outlineLevel="0" collapsed="false">
      <c r="A1769" s="8" t="s">
        <v>3680</v>
      </c>
      <c r="B1769" s="8" t="s">
        <v>3681</v>
      </c>
      <c r="C1769" s="8" t="s">
        <v>51</v>
      </c>
      <c r="D1769" s="8" t="s">
        <v>2027</v>
      </c>
      <c r="E1769" s="8" t="s">
        <v>123</v>
      </c>
      <c r="F1769" s="8" t="s">
        <v>143</v>
      </c>
      <c r="G1769" s="8" t="s">
        <v>137</v>
      </c>
      <c r="H1769" s="15" t="n">
        <v>216</v>
      </c>
      <c r="I1769" s="15" t="n">
        <v>216</v>
      </c>
      <c r="J1769" s="16" t="n">
        <v>0.685</v>
      </c>
      <c r="K1769" s="8" t="n">
        <v>6.7</v>
      </c>
      <c r="L1769" s="8" t="n">
        <v>9</v>
      </c>
      <c r="M1769" s="8" t="n">
        <v>3</v>
      </c>
      <c r="N1769" s="8" t="s">
        <v>120</v>
      </c>
      <c r="O1769" s="15" t="n">
        <f aca="false">H1769*12</f>
        <v>2592</v>
      </c>
      <c r="P1769" s="8" t="n">
        <f aca="false">MIN(100,ROUND(100*J1769/Assumptions!$B$8,0))</f>
        <v>76</v>
      </c>
      <c r="Q1769" s="8" t="n">
        <f aca="false">IF(L1769="",Assumptions!$B$9,L1769*10)</f>
        <v>90</v>
      </c>
      <c r="R1769" s="8" t="n">
        <f aca="false">IF(M1769&lt;=1,Assumptions!$B$12,IF(M1769&lt;=3,Assumptions!$B$13,IF(M1769&lt;=6,Assumptions!$B$14,Assumptions!$B$15)))</f>
        <v>75</v>
      </c>
      <c r="S1769" s="8" t="n">
        <f aca="false">IF(N1769="Completed On Time",Assumptions!$B$16,IF(N1769="Completed Late",Assumptions!$B$17,Assumptions!$B$18))</f>
        <v>100</v>
      </c>
      <c r="T1769" s="8" t="n">
        <f aca="false">IF(I1769=0,Assumptions!$B$20,IF(H1769&gt;I1769,Assumptions!$B$19,IF(H1769=I1769,Assumptions!$B$20,Assumptions!$B$21)))</f>
        <v>70</v>
      </c>
      <c r="U1769" s="8" t="n">
        <f aca="false">ROUND(P1769*Assumptions!$B$2+Q1769*Assumptions!$B$3+R1769*Assumptions!$B$4+S1769*Assumptions!$B$5+T1769*Assumptions!$B$6,0)</f>
        <v>80</v>
      </c>
      <c r="V1769" s="8" t="str">
        <f aca="false">IF(U1769&gt;=Assumptions!$B$10,"Healthy",IF(U1769&gt;=Assumptions!$B$11,"Needs Attention","High Risk"))</f>
        <v>Healthy</v>
      </c>
    </row>
    <row r="1770" customFormat="false" ht="15" hidden="false" customHeight="false" outlineLevel="0" collapsed="false">
      <c r="A1770" s="8" t="s">
        <v>3682</v>
      </c>
      <c r="B1770" s="8" t="s">
        <v>3683</v>
      </c>
      <c r="C1770" s="8" t="s">
        <v>51</v>
      </c>
      <c r="D1770" s="8" t="s">
        <v>2027</v>
      </c>
      <c r="E1770" s="8" t="s">
        <v>123</v>
      </c>
      <c r="F1770" s="8" t="s">
        <v>133</v>
      </c>
      <c r="G1770" s="8" t="s">
        <v>180</v>
      </c>
      <c r="H1770" s="15" t="n">
        <v>216</v>
      </c>
      <c r="I1770" s="15" t="n">
        <v>216</v>
      </c>
      <c r="J1770" s="16" t="n">
        <v>0.889</v>
      </c>
      <c r="K1770" s="8" t="n">
        <v>9.7</v>
      </c>
      <c r="L1770" s="8" t="n">
        <v>8</v>
      </c>
      <c r="M1770" s="8" t="n">
        <v>1</v>
      </c>
      <c r="N1770" s="8" t="s">
        <v>120</v>
      </c>
      <c r="O1770" s="15" t="n">
        <f aca="false">H1770*12</f>
        <v>2592</v>
      </c>
      <c r="P1770" s="8" t="n">
        <f aca="false">MIN(100,ROUND(100*J1770/Assumptions!$B$8,0))</f>
        <v>99</v>
      </c>
      <c r="Q1770" s="8" t="n">
        <f aca="false">IF(L1770="",Assumptions!$B$9,L1770*10)</f>
        <v>80</v>
      </c>
      <c r="R1770" s="8" t="n">
        <f aca="false">IF(M1770&lt;=1,Assumptions!$B$12,IF(M1770&lt;=3,Assumptions!$B$13,IF(M1770&lt;=6,Assumptions!$B$14,Assumptions!$B$15)))</f>
        <v>100</v>
      </c>
      <c r="S1770" s="8" t="n">
        <f aca="false">IF(N1770="Completed On Time",Assumptions!$B$16,IF(N1770="Completed Late",Assumptions!$B$17,Assumptions!$B$18))</f>
        <v>100</v>
      </c>
      <c r="T1770" s="8" t="n">
        <f aca="false">IF(I1770=0,Assumptions!$B$20,IF(H1770&gt;I1770,Assumptions!$B$19,IF(H1770=I1770,Assumptions!$B$20,Assumptions!$B$21)))</f>
        <v>70</v>
      </c>
      <c r="U1770" s="8" t="n">
        <f aca="false">ROUND(P1770*Assumptions!$B$2+Q1770*Assumptions!$B$3+R1770*Assumptions!$B$4+S1770*Assumptions!$B$5+T1770*Assumptions!$B$6,0)</f>
        <v>90</v>
      </c>
      <c r="V1770" s="8" t="str">
        <f aca="false">IF(U1770&gt;=Assumptions!$B$10,"Healthy",IF(U1770&gt;=Assumptions!$B$11,"Needs Attention","High Risk"))</f>
        <v>Healthy</v>
      </c>
    </row>
    <row r="1771" customFormat="false" ht="15" hidden="false" customHeight="false" outlineLevel="0" collapsed="false">
      <c r="A1771" s="8" t="s">
        <v>3684</v>
      </c>
      <c r="B1771" s="8" t="s">
        <v>3685</v>
      </c>
      <c r="C1771" s="8" t="s">
        <v>51</v>
      </c>
      <c r="D1771" s="8" t="s">
        <v>2027</v>
      </c>
      <c r="E1771" s="8" t="s">
        <v>132</v>
      </c>
      <c r="F1771" s="8" t="s">
        <v>223</v>
      </c>
      <c r="G1771" s="8" t="s">
        <v>185</v>
      </c>
      <c r="H1771" s="15" t="n">
        <v>216</v>
      </c>
      <c r="I1771" s="15" t="n">
        <v>216</v>
      </c>
      <c r="J1771" s="16" t="n">
        <v>0.889</v>
      </c>
      <c r="K1771" s="8" t="n">
        <v>8.3</v>
      </c>
      <c r="L1771" s="8" t="n">
        <v>8</v>
      </c>
      <c r="M1771" s="8" t="n">
        <v>1</v>
      </c>
      <c r="N1771" s="8" t="s">
        <v>120</v>
      </c>
      <c r="O1771" s="15" t="n">
        <f aca="false">H1771*12</f>
        <v>2592</v>
      </c>
      <c r="P1771" s="8" t="n">
        <f aca="false">MIN(100,ROUND(100*J1771/Assumptions!$B$8,0))</f>
        <v>99</v>
      </c>
      <c r="Q1771" s="8" t="n">
        <f aca="false">IF(L1771="",Assumptions!$B$9,L1771*10)</f>
        <v>80</v>
      </c>
      <c r="R1771" s="8" t="n">
        <f aca="false">IF(M1771&lt;=1,Assumptions!$B$12,IF(M1771&lt;=3,Assumptions!$B$13,IF(M1771&lt;=6,Assumptions!$B$14,Assumptions!$B$15)))</f>
        <v>100</v>
      </c>
      <c r="S1771" s="8" t="n">
        <f aca="false">IF(N1771="Completed On Time",Assumptions!$B$16,IF(N1771="Completed Late",Assumptions!$B$17,Assumptions!$B$18))</f>
        <v>100</v>
      </c>
      <c r="T1771" s="8" t="n">
        <f aca="false">IF(I1771=0,Assumptions!$B$20,IF(H1771&gt;I1771,Assumptions!$B$19,IF(H1771=I1771,Assumptions!$B$20,Assumptions!$B$21)))</f>
        <v>70</v>
      </c>
      <c r="U1771" s="8" t="n">
        <f aca="false">ROUND(P1771*Assumptions!$B$2+Q1771*Assumptions!$B$3+R1771*Assumptions!$B$4+S1771*Assumptions!$B$5+T1771*Assumptions!$B$6,0)</f>
        <v>90</v>
      </c>
      <c r="V1771" s="8" t="str">
        <f aca="false">IF(U1771&gt;=Assumptions!$B$10,"Healthy",IF(U1771&gt;=Assumptions!$B$11,"Needs Attention","High Risk"))</f>
        <v>Healthy</v>
      </c>
    </row>
    <row r="1772" customFormat="false" ht="15" hidden="false" customHeight="false" outlineLevel="0" collapsed="false">
      <c r="A1772" s="8" t="s">
        <v>3686</v>
      </c>
      <c r="B1772" s="8" t="s">
        <v>3687</v>
      </c>
      <c r="C1772" s="8" t="s">
        <v>51</v>
      </c>
      <c r="D1772" s="8" t="s">
        <v>2027</v>
      </c>
      <c r="E1772" s="8" t="s">
        <v>132</v>
      </c>
      <c r="F1772" s="8" t="s">
        <v>133</v>
      </c>
      <c r="G1772" s="8" t="s">
        <v>180</v>
      </c>
      <c r="H1772" s="15" t="n">
        <v>216</v>
      </c>
      <c r="I1772" s="15" t="n">
        <v>216</v>
      </c>
      <c r="J1772" s="16" t="n">
        <v>0.907</v>
      </c>
      <c r="K1772" s="8" t="n">
        <v>10.3</v>
      </c>
      <c r="L1772" s="8" t="n">
        <v>8</v>
      </c>
      <c r="M1772" s="8" t="n">
        <v>0</v>
      </c>
      <c r="N1772" s="8" t="s">
        <v>120</v>
      </c>
      <c r="O1772" s="15" t="n">
        <f aca="false">H1772*12</f>
        <v>2592</v>
      </c>
      <c r="P1772" s="8" t="n">
        <f aca="false">MIN(100,ROUND(100*J1772/Assumptions!$B$8,0))</f>
        <v>100</v>
      </c>
      <c r="Q1772" s="8" t="n">
        <f aca="false">IF(L1772="",Assumptions!$B$9,L1772*10)</f>
        <v>80</v>
      </c>
      <c r="R1772" s="8" t="n">
        <f aca="false">IF(M1772&lt;=1,Assumptions!$B$12,IF(M1772&lt;=3,Assumptions!$B$13,IF(M1772&lt;=6,Assumptions!$B$14,Assumptions!$B$15)))</f>
        <v>100</v>
      </c>
      <c r="S1772" s="8" t="n">
        <f aca="false">IF(N1772="Completed On Time",Assumptions!$B$16,IF(N1772="Completed Late",Assumptions!$B$17,Assumptions!$B$18))</f>
        <v>100</v>
      </c>
      <c r="T1772" s="8" t="n">
        <f aca="false">IF(I1772=0,Assumptions!$B$20,IF(H1772&gt;I1772,Assumptions!$B$19,IF(H1772=I1772,Assumptions!$B$20,Assumptions!$B$21)))</f>
        <v>70</v>
      </c>
      <c r="U1772" s="8" t="n">
        <f aca="false">ROUND(P1772*Assumptions!$B$2+Q1772*Assumptions!$B$3+R1772*Assumptions!$B$4+S1772*Assumptions!$B$5+T1772*Assumptions!$B$6,0)</f>
        <v>90</v>
      </c>
      <c r="V1772" s="8" t="str">
        <f aca="false">IF(U1772&gt;=Assumptions!$B$10,"Healthy",IF(U1772&gt;=Assumptions!$B$11,"Needs Attention","High Risk"))</f>
        <v>Healthy</v>
      </c>
    </row>
    <row r="1773" customFormat="false" ht="15" hidden="false" customHeight="false" outlineLevel="0" collapsed="false">
      <c r="A1773" s="8" t="s">
        <v>3688</v>
      </c>
      <c r="B1773" s="8" t="s">
        <v>3689</v>
      </c>
      <c r="C1773" s="8" t="s">
        <v>51</v>
      </c>
      <c r="D1773" s="8" t="s">
        <v>2027</v>
      </c>
      <c r="E1773" s="8" t="s">
        <v>123</v>
      </c>
      <c r="F1773" s="8" t="s">
        <v>133</v>
      </c>
      <c r="G1773" s="8" t="s">
        <v>119</v>
      </c>
      <c r="H1773" s="15" t="n">
        <v>216</v>
      </c>
      <c r="I1773" s="15" t="n">
        <v>216</v>
      </c>
      <c r="J1773" s="16" t="n">
        <v>0.741</v>
      </c>
      <c r="K1773" s="8" t="n">
        <v>9</v>
      </c>
      <c r="L1773" s="8" t="n">
        <v>8</v>
      </c>
      <c r="M1773" s="8" t="n">
        <v>2</v>
      </c>
      <c r="N1773" s="8" t="s">
        <v>120</v>
      </c>
      <c r="O1773" s="15" t="n">
        <f aca="false">H1773*12</f>
        <v>2592</v>
      </c>
      <c r="P1773" s="8" t="n">
        <f aca="false">MIN(100,ROUND(100*J1773/Assumptions!$B$8,0))</f>
        <v>82</v>
      </c>
      <c r="Q1773" s="8" t="n">
        <f aca="false">IF(L1773="",Assumptions!$B$9,L1773*10)</f>
        <v>80</v>
      </c>
      <c r="R1773" s="8" t="n">
        <f aca="false">IF(M1773&lt;=1,Assumptions!$B$12,IF(M1773&lt;=3,Assumptions!$B$13,IF(M1773&lt;=6,Assumptions!$B$14,Assumptions!$B$15)))</f>
        <v>75</v>
      </c>
      <c r="S1773" s="8" t="n">
        <f aca="false">IF(N1773="Completed On Time",Assumptions!$B$16,IF(N1773="Completed Late",Assumptions!$B$17,Assumptions!$B$18))</f>
        <v>100</v>
      </c>
      <c r="T1773" s="8" t="n">
        <f aca="false">IF(I1773=0,Assumptions!$B$20,IF(H1773&gt;I1773,Assumptions!$B$19,IF(H1773=I1773,Assumptions!$B$20,Assumptions!$B$21)))</f>
        <v>70</v>
      </c>
      <c r="U1773" s="8" t="n">
        <f aca="false">ROUND(P1773*Assumptions!$B$2+Q1773*Assumptions!$B$3+R1773*Assumptions!$B$4+S1773*Assumptions!$B$5+T1773*Assumptions!$B$6,0)</f>
        <v>80</v>
      </c>
      <c r="V1773" s="8" t="str">
        <f aca="false">IF(U1773&gt;=Assumptions!$B$10,"Healthy",IF(U1773&gt;=Assumptions!$B$11,"Needs Attention","High Risk"))</f>
        <v>Healthy</v>
      </c>
    </row>
    <row r="1774" customFormat="false" ht="15" hidden="false" customHeight="false" outlineLevel="0" collapsed="false">
      <c r="A1774" s="8" t="s">
        <v>3690</v>
      </c>
      <c r="B1774" s="8" t="s">
        <v>3691</v>
      </c>
      <c r="C1774" s="8" t="s">
        <v>51</v>
      </c>
      <c r="D1774" s="8" t="s">
        <v>2027</v>
      </c>
      <c r="E1774" s="8" t="s">
        <v>128</v>
      </c>
      <c r="F1774" s="8" t="s">
        <v>124</v>
      </c>
      <c r="G1774" s="8" t="s">
        <v>144</v>
      </c>
      <c r="H1774" s="15" t="n">
        <v>216</v>
      </c>
      <c r="I1774" s="15" t="n">
        <v>216</v>
      </c>
      <c r="J1774" s="16" t="n">
        <v>0.574</v>
      </c>
      <c r="K1774" s="8" t="n">
        <v>5.7</v>
      </c>
      <c r="L1774" s="8" t="n">
        <v>7</v>
      </c>
      <c r="M1774" s="8" t="n">
        <v>2</v>
      </c>
      <c r="N1774" s="8" t="s">
        <v>148</v>
      </c>
      <c r="O1774" s="15" t="n">
        <f aca="false">H1774*12</f>
        <v>2592</v>
      </c>
      <c r="P1774" s="8" t="n">
        <f aca="false">MIN(100,ROUND(100*J1774/Assumptions!$B$8,0))</f>
        <v>64</v>
      </c>
      <c r="Q1774" s="8" t="n">
        <f aca="false">IF(L1774="",Assumptions!$B$9,L1774*10)</f>
        <v>70</v>
      </c>
      <c r="R1774" s="8" t="n">
        <f aca="false">IF(M1774&lt;=1,Assumptions!$B$12,IF(M1774&lt;=3,Assumptions!$B$13,IF(M1774&lt;=6,Assumptions!$B$14,Assumptions!$B$15)))</f>
        <v>75</v>
      </c>
      <c r="S1774" s="8" t="n">
        <f aca="false">IF(N1774="Completed On Time",Assumptions!$B$16,IF(N1774="Completed Late",Assumptions!$B$17,Assumptions!$B$18))</f>
        <v>60</v>
      </c>
      <c r="T1774" s="8" t="n">
        <f aca="false">IF(I1774=0,Assumptions!$B$20,IF(H1774&gt;I1774,Assumptions!$B$19,IF(H1774=I1774,Assumptions!$B$20,Assumptions!$B$21)))</f>
        <v>70</v>
      </c>
      <c r="U1774" s="8" t="n">
        <f aca="false">ROUND(P1774*Assumptions!$B$2+Q1774*Assumptions!$B$3+R1774*Assumptions!$B$4+S1774*Assumptions!$B$5+T1774*Assumptions!$B$6,0)</f>
        <v>68</v>
      </c>
      <c r="V1774" s="8" t="str">
        <f aca="false">IF(U1774&gt;=Assumptions!$B$10,"Healthy",IF(U1774&gt;=Assumptions!$B$11,"Needs Attention","High Risk"))</f>
        <v>Needs Attention</v>
      </c>
    </row>
    <row r="1775" customFormat="false" ht="15" hidden="false" customHeight="false" outlineLevel="0" collapsed="false">
      <c r="A1775" s="8" t="s">
        <v>3692</v>
      </c>
      <c r="B1775" s="8" t="s">
        <v>3693</v>
      </c>
      <c r="C1775" s="8" t="s">
        <v>51</v>
      </c>
      <c r="D1775" s="8" t="s">
        <v>2027</v>
      </c>
      <c r="E1775" s="8" t="s">
        <v>123</v>
      </c>
      <c r="F1775" s="8" t="s">
        <v>223</v>
      </c>
      <c r="G1775" s="8" t="s">
        <v>180</v>
      </c>
      <c r="H1775" s="15" t="n">
        <v>216</v>
      </c>
      <c r="I1775" s="15" t="n">
        <v>0</v>
      </c>
      <c r="J1775" s="16" t="n">
        <v>0.861</v>
      </c>
      <c r="K1775" s="8" t="n">
        <v>10</v>
      </c>
      <c r="L1775" s="8"/>
      <c r="M1775" s="8" t="n">
        <v>0</v>
      </c>
      <c r="N1775" s="8" t="s">
        <v>120</v>
      </c>
      <c r="O1775" s="15" t="n">
        <f aca="false">H1775*12</f>
        <v>2592</v>
      </c>
      <c r="P1775" s="8" t="n">
        <f aca="false">MIN(100,ROUND(100*J1775/Assumptions!$B$8,0))</f>
        <v>96</v>
      </c>
      <c r="Q1775" s="8" t="n">
        <f aca="false">IF(L1775="",Assumptions!$B$9,L1775*10)</f>
        <v>50</v>
      </c>
      <c r="R1775" s="8" t="n">
        <f aca="false">IF(M1775&lt;=1,Assumptions!$B$12,IF(M1775&lt;=3,Assumptions!$B$13,IF(M1775&lt;=6,Assumptions!$B$14,Assumptions!$B$15)))</f>
        <v>100</v>
      </c>
      <c r="S1775" s="8" t="n">
        <f aca="false">IF(N1775="Completed On Time",Assumptions!$B$16,IF(N1775="Completed Late",Assumptions!$B$17,Assumptions!$B$18))</f>
        <v>100</v>
      </c>
      <c r="T1775" s="8" t="n">
        <f aca="false">IF(I1775=0,Assumptions!$B$20,IF(H1775&gt;I1775,Assumptions!$B$19,IF(H1775=I1775,Assumptions!$B$20,Assumptions!$B$21)))</f>
        <v>70</v>
      </c>
      <c r="U1775" s="8" t="n">
        <f aca="false">ROUND(P1775*Assumptions!$B$2+Q1775*Assumptions!$B$3+R1775*Assumptions!$B$4+S1775*Assumptions!$B$5+T1775*Assumptions!$B$6,0)</f>
        <v>83</v>
      </c>
      <c r="V1775" s="8" t="str">
        <f aca="false">IF(U1775&gt;=Assumptions!$B$10,"Healthy",IF(U1775&gt;=Assumptions!$B$11,"Needs Attention","High Risk"))</f>
        <v>Healthy</v>
      </c>
    </row>
    <row r="1776" customFormat="false" ht="15" hidden="false" customHeight="false" outlineLevel="0" collapsed="false">
      <c r="A1776" s="8" t="s">
        <v>3694</v>
      </c>
      <c r="B1776" s="8" t="s">
        <v>3695</v>
      </c>
      <c r="C1776" s="8" t="s">
        <v>51</v>
      </c>
      <c r="D1776" s="8" t="s">
        <v>2027</v>
      </c>
      <c r="E1776" s="8" t="s">
        <v>123</v>
      </c>
      <c r="F1776" s="8" t="s">
        <v>154</v>
      </c>
      <c r="G1776" s="8" t="s">
        <v>147</v>
      </c>
      <c r="H1776" s="15" t="n">
        <v>216</v>
      </c>
      <c r="I1776" s="15" t="n">
        <v>216</v>
      </c>
      <c r="J1776" s="16" t="n">
        <v>0.852</v>
      </c>
      <c r="K1776" s="8" t="n">
        <v>10.7</v>
      </c>
      <c r="L1776" s="8" t="n">
        <v>10</v>
      </c>
      <c r="M1776" s="8" t="n">
        <v>2</v>
      </c>
      <c r="N1776" s="8" t="s">
        <v>120</v>
      </c>
      <c r="O1776" s="15" t="n">
        <f aca="false">H1776*12</f>
        <v>2592</v>
      </c>
      <c r="P1776" s="8" t="n">
        <f aca="false">MIN(100,ROUND(100*J1776/Assumptions!$B$8,0))</f>
        <v>95</v>
      </c>
      <c r="Q1776" s="8" t="n">
        <f aca="false">IF(L1776="",Assumptions!$B$9,L1776*10)</f>
        <v>100</v>
      </c>
      <c r="R1776" s="8" t="n">
        <f aca="false">IF(M1776&lt;=1,Assumptions!$B$12,IF(M1776&lt;=3,Assumptions!$B$13,IF(M1776&lt;=6,Assumptions!$B$14,Assumptions!$B$15)))</f>
        <v>75</v>
      </c>
      <c r="S1776" s="8" t="n">
        <f aca="false">IF(N1776="Completed On Time",Assumptions!$B$16,IF(N1776="Completed Late",Assumptions!$B$17,Assumptions!$B$18))</f>
        <v>100</v>
      </c>
      <c r="T1776" s="8" t="n">
        <f aca="false">IF(I1776=0,Assumptions!$B$20,IF(H1776&gt;I1776,Assumptions!$B$19,IF(H1776=I1776,Assumptions!$B$20,Assumptions!$B$21)))</f>
        <v>70</v>
      </c>
      <c r="U1776" s="8" t="n">
        <f aca="false">ROUND(P1776*Assumptions!$B$2+Q1776*Assumptions!$B$3+R1776*Assumptions!$B$4+S1776*Assumptions!$B$5+T1776*Assumptions!$B$6,0)</f>
        <v>89</v>
      </c>
      <c r="V1776" s="8" t="str">
        <f aca="false">IF(U1776&gt;=Assumptions!$B$10,"Healthy",IF(U1776&gt;=Assumptions!$B$11,"Needs Attention","High Risk"))</f>
        <v>Healthy</v>
      </c>
    </row>
    <row r="1777" customFormat="false" ht="15" hidden="false" customHeight="false" outlineLevel="0" collapsed="false">
      <c r="A1777" s="8" t="s">
        <v>3696</v>
      </c>
      <c r="B1777" s="8" t="s">
        <v>3697</v>
      </c>
      <c r="C1777" s="8" t="s">
        <v>51</v>
      </c>
      <c r="D1777" s="8" t="s">
        <v>2027</v>
      </c>
      <c r="E1777" s="8" t="s">
        <v>117</v>
      </c>
      <c r="F1777" s="8" t="s">
        <v>190</v>
      </c>
      <c r="G1777" s="8" t="s">
        <v>125</v>
      </c>
      <c r="H1777" s="15" t="n">
        <v>204</v>
      </c>
      <c r="I1777" s="15" t="n">
        <v>204</v>
      </c>
      <c r="J1777" s="16" t="n">
        <v>0.745</v>
      </c>
      <c r="K1777" s="8" t="n">
        <v>8.3</v>
      </c>
      <c r="L1777" s="8" t="n">
        <v>7</v>
      </c>
      <c r="M1777" s="8" t="n">
        <v>2</v>
      </c>
      <c r="N1777" s="8" t="s">
        <v>120</v>
      </c>
      <c r="O1777" s="15" t="n">
        <f aca="false">H1777*12</f>
        <v>2448</v>
      </c>
      <c r="P1777" s="8" t="n">
        <f aca="false">MIN(100,ROUND(100*J1777/Assumptions!$B$8,0))</f>
        <v>83</v>
      </c>
      <c r="Q1777" s="8" t="n">
        <f aca="false">IF(L1777="",Assumptions!$B$9,L1777*10)</f>
        <v>70</v>
      </c>
      <c r="R1777" s="8" t="n">
        <f aca="false">IF(M1777&lt;=1,Assumptions!$B$12,IF(M1777&lt;=3,Assumptions!$B$13,IF(M1777&lt;=6,Assumptions!$B$14,Assumptions!$B$15)))</f>
        <v>75</v>
      </c>
      <c r="S1777" s="8" t="n">
        <f aca="false">IF(N1777="Completed On Time",Assumptions!$B$16,IF(N1777="Completed Late",Assumptions!$B$17,Assumptions!$B$18))</f>
        <v>100</v>
      </c>
      <c r="T1777" s="8" t="n">
        <f aca="false">IF(I1777=0,Assumptions!$B$20,IF(H1777&gt;I1777,Assumptions!$B$19,IF(H1777=I1777,Assumptions!$B$20,Assumptions!$B$21)))</f>
        <v>70</v>
      </c>
      <c r="U1777" s="8" t="n">
        <f aca="false">ROUND(P1777*Assumptions!$B$2+Q1777*Assumptions!$B$3+R1777*Assumptions!$B$4+S1777*Assumptions!$B$5+T1777*Assumptions!$B$6,0)</f>
        <v>78</v>
      </c>
      <c r="V1777" s="8" t="str">
        <f aca="false">IF(U1777&gt;=Assumptions!$B$10,"Healthy",IF(U1777&gt;=Assumptions!$B$11,"Needs Attention","High Risk"))</f>
        <v>Needs Attention</v>
      </c>
    </row>
    <row r="1778" customFormat="false" ht="15" hidden="false" customHeight="false" outlineLevel="0" collapsed="false">
      <c r="A1778" s="8" t="s">
        <v>3698</v>
      </c>
      <c r="B1778" s="8" t="s">
        <v>3699</v>
      </c>
      <c r="C1778" s="8" t="s">
        <v>51</v>
      </c>
      <c r="D1778" s="8" t="s">
        <v>2027</v>
      </c>
      <c r="E1778" s="8" t="s">
        <v>117</v>
      </c>
      <c r="F1778" s="8" t="s">
        <v>118</v>
      </c>
      <c r="G1778" s="8" t="s">
        <v>129</v>
      </c>
      <c r="H1778" s="15" t="n">
        <v>204</v>
      </c>
      <c r="I1778" s="15" t="n">
        <v>204</v>
      </c>
      <c r="J1778" s="16" t="n">
        <v>0.588</v>
      </c>
      <c r="K1778" s="8" t="n">
        <v>6.7</v>
      </c>
      <c r="L1778" s="8" t="n">
        <v>8</v>
      </c>
      <c r="M1778" s="8" t="n">
        <v>3</v>
      </c>
      <c r="N1778" s="8" t="s">
        <v>120</v>
      </c>
      <c r="O1778" s="15" t="n">
        <f aca="false">H1778*12</f>
        <v>2448</v>
      </c>
      <c r="P1778" s="8" t="n">
        <f aca="false">MIN(100,ROUND(100*J1778/Assumptions!$B$8,0))</f>
        <v>65</v>
      </c>
      <c r="Q1778" s="8" t="n">
        <f aca="false">IF(L1778="",Assumptions!$B$9,L1778*10)</f>
        <v>80</v>
      </c>
      <c r="R1778" s="8" t="n">
        <f aca="false">IF(M1778&lt;=1,Assumptions!$B$12,IF(M1778&lt;=3,Assumptions!$B$13,IF(M1778&lt;=6,Assumptions!$B$14,Assumptions!$B$15)))</f>
        <v>75</v>
      </c>
      <c r="S1778" s="8" t="n">
        <f aca="false">IF(N1778="Completed On Time",Assumptions!$B$16,IF(N1778="Completed Late",Assumptions!$B$17,Assumptions!$B$18))</f>
        <v>100</v>
      </c>
      <c r="T1778" s="8" t="n">
        <f aca="false">IF(I1778=0,Assumptions!$B$20,IF(H1778&gt;I1778,Assumptions!$B$19,IF(H1778=I1778,Assumptions!$B$20,Assumptions!$B$21)))</f>
        <v>70</v>
      </c>
      <c r="U1778" s="8" t="n">
        <f aca="false">ROUND(P1778*Assumptions!$B$2+Q1778*Assumptions!$B$3+R1778*Assumptions!$B$4+S1778*Assumptions!$B$5+T1778*Assumptions!$B$6,0)</f>
        <v>74</v>
      </c>
      <c r="V1778" s="8" t="str">
        <f aca="false">IF(U1778&gt;=Assumptions!$B$10,"Healthy",IF(U1778&gt;=Assumptions!$B$11,"Needs Attention","High Risk"))</f>
        <v>Needs Attention</v>
      </c>
    </row>
    <row r="1779" customFormat="false" ht="15" hidden="false" customHeight="false" outlineLevel="0" collapsed="false">
      <c r="A1779" s="8" t="s">
        <v>3700</v>
      </c>
      <c r="B1779" s="8" t="s">
        <v>3701</v>
      </c>
      <c r="C1779" s="8" t="s">
        <v>51</v>
      </c>
      <c r="D1779" s="8" t="s">
        <v>2027</v>
      </c>
      <c r="E1779" s="8" t="s">
        <v>123</v>
      </c>
      <c r="F1779" s="8" t="s">
        <v>143</v>
      </c>
      <c r="G1779" s="8" t="s">
        <v>144</v>
      </c>
      <c r="H1779" s="15" t="n">
        <v>204</v>
      </c>
      <c r="I1779" s="15" t="n">
        <v>204</v>
      </c>
      <c r="J1779" s="16" t="n">
        <v>0.647</v>
      </c>
      <c r="K1779" s="8" t="n">
        <v>7</v>
      </c>
      <c r="L1779" s="8" t="n">
        <v>7</v>
      </c>
      <c r="M1779" s="8" t="n">
        <v>6</v>
      </c>
      <c r="N1779" s="8" t="s">
        <v>120</v>
      </c>
      <c r="O1779" s="15" t="n">
        <f aca="false">H1779*12</f>
        <v>2448</v>
      </c>
      <c r="P1779" s="8" t="n">
        <f aca="false">MIN(100,ROUND(100*J1779/Assumptions!$B$8,0))</f>
        <v>72</v>
      </c>
      <c r="Q1779" s="8" t="n">
        <f aca="false">IF(L1779="",Assumptions!$B$9,L1779*10)</f>
        <v>70</v>
      </c>
      <c r="R1779" s="8" t="n">
        <f aca="false">IF(M1779&lt;=1,Assumptions!$B$12,IF(M1779&lt;=3,Assumptions!$B$13,IF(M1779&lt;=6,Assumptions!$B$14,Assumptions!$B$15)))</f>
        <v>50</v>
      </c>
      <c r="S1779" s="8" t="n">
        <f aca="false">IF(N1779="Completed On Time",Assumptions!$B$16,IF(N1779="Completed Late",Assumptions!$B$17,Assumptions!$B$18))</f>
        <v>100</v>
      </c>
      <c r="T1779" s="8" t="n">
        <f aca="false">IF(I1779=0,Assumptions!$B$20,IF(H1779&gt;I1779,Assumptions!$B$19,IF(H1779=I1779,Assumptions!$B$20,Assumptions!$B$21)))</f>
        <v>70</v>
      </c>
      <c r="U1779" s="8" t="n">
        <f aca="false">ROUND(P1779*Assumptions!$B$2+Q1779*Assumptions!$B$3+R1779*Assumptions!$B$4+S1779*Assumptions!$B$5+T1779*Assumptions!$B$6,0)</f>
        <v>71</v>
      </c>
      <c r="V1779" s="8" t="str">
        <f aca="false">IF(U1779&gt;=Assumptions!$B$10,"Healthy",IF(U1779&gt;=Assumptions!$B$11,"Needs Attention","High Risk"))</f>
        <v>Needs Attention</v>
      </c>
    </row>
    <row r="1780" customFormat="false" ht="15" hidden="false" customHeight="false" outlineLevel="0" collapsed="false">
      <c r="A1780" s="8" t="s">
        <v>3702</v>
      </c>
      <c r="B1780" s="8" t="s">
        <v>3703</v>
      </c>
      <c r="C1780" s="8" t="s">
        <v>51</v>
      </c>
      <c r="D1780" s="8" t="s">
        <v>2027</v>
      </c>
      <c r="E1780" s="8" t="s">
        <v>123</v>
      </c>
      <c r="F1780" s="8" t="s">
        <v>190</v>
      </c>
      <c r="G1780" s="8" t="s">
        <v>147</v>
      </c>
      <c r="H1780" s="15" t="n">
        <v>204</v>
      </c>
      <c r="I1780" s="15" t="n">
        <v>180</v>
      </c>
      <c r="J1780" s="16" t="n">
        <v>0.592</v>
      </c>
      <c r="K1780" s="8" t="n">
        <v>9</v>
      </c>
      <c r="L1780" s="8" t="n">
        <v>6</v>
      </c>
      <c r="M1780" s="8" t="n">
        <v>2</v>
      </c>
      <c r="N1780" s="8" t="s">
        <v>120</v>
      </c>
      <c r="O1780" s="15" t="n">
        <f aca="false">H1780*12</f>
        <v>2448</v>
      </c>
      <c r="P1780" s="8" t="n">
        <f aca="false">MIN(100,ROUND(100*J1780/Assumptions!$B$8,0))</f>
        <v>66</v>
      </c>
      <c r="Q1780" s="8" t="n">
        <f aca="false">IF(L1780="",Assumptions!$B$9,L1780*10)</f>
        <v>60</v>
      </c>
      <c r="R1780" s="8" t="n">
        <f aca="false">IF(M1780&lt;=1,Assumptions!$B$12,IF(M1780&lt;=3,Assumptions!$B$13,IF(M1780&lt;=6,Assumptions!$B$14,Assumptions!$B$15)))</f>
        <v>75</v>
      </c>
      <c r="S1780" s="8" t="n">
        <f aca="false">IF(N1780="Completed On Time",Assumptions!$B$16,IF(N1780="Completed Late",Assumptions!$B$17,Assumptions!$B$18))</f>
        <v>100</v>
      </c>
      <c r="T1780" s="8" t="n">
        <f aca="false">IF(I1780=0,Assumptions!$B$20,IF(H1780&gt;I1780,Assumptions!$B$19,IF(H1780=I1780,Assumptions!$B$20,Assumptions!$B$21)))</f>
        <v>100</v>
      </c>
      <c r="U1780" s="8" t="n">
        <f aca="false">ROUND(P1780*Assumptions!$B$2+Q1780*Assumptions!$B$3+R1780*Assumptions!$B$4+S1780*Assumptions!$B$5+T1780*Assumptions!$B$6,0)</f>
        <v>76</v>
      </c>
      <c r="V1780" s="8" t="str">
        <f aca="false">IF(U1780&gt;=Assumptions!$B$10,"Healthy",IF(U1780&gt;=Assumptions!$B$11,"Needs Attention","High Risk"))</f>
        <v>Needs Attention</v>
      </c>
    </row>
    <row r="1781" customFormat="false" ht="15" hidden="false" customHeight="false" outlineLevel="0" collapsed="false">
      <c r="A1781" s="8" t="s">
        <v>3704</v>
      </c>
      <c r="B1781" s="8" t="s">
        <v>3705</v>
      </c>
      <c r="C1781" s="8" t="s">
        <v>51</v>
      </c>
      <c r="D1781" s="8" t="s">
        <v>2027</v>
      </c>
      <c r="E1781" s="8" t="s">
        <v>132</v>
      </c>
      <c r="F1781" s="8" t="s">
        <v>223</v>
      </c>
      <c r="G1781" s="8" t="s">
        <v>177</v>
      </c>
      <c r="H1781" s="15" t="n">
        <v>204</v>
      </c>
      <c r="I1781" s="15" t="n">
        <v>204</v>
      </c>
      <c r="J1781" s="16" t="n">
        <v>0.608</v>
      </c>
      <c r="K1781" s="8" t="n">
        <v>7.3</v>
      </c>
      <c r="L1781" s="8" t="n">
        <v>7</v>
      </c>
      <c r="M1781" s="8" t="n">
        <v>4</v>
      </c>
      <c r="N1781" s="8" t="s">
        <v>120</v>
      </c>
      <c r="O1781" s="15" t="n">
        <f aca="false">H1781*12</f>
        <v>2448</v>
      </c>
      <c r="P1781" s="8" t="n">
        <f aca="false">MIN(100,ROUND(100*J1781/Assumptions!$B$8,0))</f>
        <v>68</v>
      </c>
      <c r="Q1781" s="8" t="n">
        <f aca="false">IF(L1781="",Assumptions!$B$9,L1781*10)</f>
        <v>70</v>
      </c>
      <c r="R1781" s="8" t="n">
        <f aca="false">IF(M1781&lt;=1,Assumptions!$B$12,IF(M1781&lt;=3,Assumptions!$B$13,IF(M1781&lt;=6,Assumptions!$B$14,Assumptions!$B$15)))</f>
        <v>50</v>
      </c>
      <c r="S1781" s="8" t="n">
        <f aca="false">IF(N1781="Completed On Time",Assumptions!$B$16,IF(N1781="Completed Late",Assumptions!$B$17,Assumptions!$B$18))</f>
        <v>100</v>
      </c>
      <c r="T1781" s="8" t="n">
        <f aca="false">IF(I1781=0,Assumptions!$B$20,IF(H1781&gt;I1781,Assumptions!$B$19,IF(H1781=I1781,Assumptions!$B$20,Assumptions!$B$21)))</f>
        <v>70</v>
      </c>
      <c r="U1781" s="8" t="n">
        <f aca="false">ROUND(P1781*Assumptions!$B$2+Q1781*Assumptions!$B$3+R1781*Assumptions!$B$4+S1781*Assumptions!$B$5+T1781*Assumptions!$B$6,0)</f>
        <v>69</v>
      </c>
      <c r="V1781" s="8" t="str">
        <f aca="false">IF(U1781&gt;=Assumptions!$B$10,"Healthy",IF(U1781&gt;=Assumptions!$B$11,"Needs Attention","High Risk"))</f>
        <v>Needs Attention</v>
      </c>
    </row>
    <row r="1782" customFormat="false" ht="15" hidden="false" customHeight="false" outlineLevel="0" collapsed="false">
      <c r="A1782" s="8" t="s">
        <v>3706</v>
      </c>
      <c r="B1782" s="8" t="s">
        <v>3707</v>
      </c>
      <c r="C1782" s="8" t="s">
        <v>51</v>
      </c>
      <c r="D1782" s="8" t="s">
        <v>2027</v>
      </c>
      <c r="E1782" s="8" t="s">
        <v>123</v>
      </c>
      <c r="F1782" s="8" t="s">
        <v>223</v>
      </c>
      <c r="G1782" s="8" t="s">
        <v>177</v>
      </c>
      <c r="H1782" s="15" t="n">
        <v>204</v>
      </c>
      <c r="I1782" s="15" t="n">
        <v>204</v>
      </c>
      <c r="J1782" s="16" t="n">
        <v>0.765</v>
      </c>
      <c r="K1782" s="8" t="n">
        <v>8.7</v>
      </c>
      <c r="L1782" s="8" t="n">
        <v>10</v>
      </c>
      <c r="M1782" s="8" t="n">
        <v>3</v>
      </c>
      <c r="N1782" s="8" t="s">
        <v>120</v>
      </c>
      <c r="O1782" s="15" t="n">
        <f aca="false">H1782*12</f>
        <v>2448</v>
      </c>
      <c r="P1782" s="8" t="n">
        <f aca="false">MIN(100,ROUND(100*J1782/Assumptions!$B$8,0))</f>
        <v>85</v>
      </c>
      <c r="Q1782" s="8" t="n">
        <f aca="false">IF(L1782="",Assumptions!$B$9,L1782*10)</f>
        <v>100</v>
      </c>
      <c r="R1782" s="8" t="n">
        <f aca="false">IF(M1782&lt;=1,Assumptions!$B$12,IF(M1782&lt;=3,Assumptions!$B$13,IF(M1782&lt;=6,Assumptions!$B$14,Assumptions!$B$15)))</f>
        <v>75</v>
      </c>
      <c r="S1782" s="8" t="n">
        <f aca="false">IF(N1782="Completed On Time",Assumptions!$B$16,IF(N1782="Completed Late",Assumptions!$B$17,Assumptions!$B$18))</f>
        <v>100</v>
      </c>
      <c r="T1782" s="8" t="n">
        <f aca="false">IF(I1782=0,Assumptions!$B$20,IF(H1782&gt;I1782,Assumptions!$B$19,IF(H1782=I1782,Assumptions!$B$20,Assumptions!$B$21)))</f>
        <v>70</v>
      </c>
      <c r="U1782" s="8" t="n">
        <f aca="false">ROUND(P1782*Assumptions!$B$2+Q1782*Assumptions!$B$3+R1782*Assumptions!$B$4+S1782*Assumptions!$B$5+T1782*Assumptions!$B$6,0)</f>
        <v>85</v>
      </c>
      <c r="V1782" s="8" t="str">
        <f aca="false">IF(U1782&gt;=Assumptions!$B$10,"Healthy",IF(U1782&gt;=Assumptions!$B$11,"Needs Attention","High Risk"))</f>
        <v>Healthy</v>
      </c>
    </row>
    <row r="1783" customFormat="false" ht="15" hidden="false" customHeight="false" outlineLevel="0" collapsed="false">
      <c r="A1783" s="8" t="s">
        <v>3708</v>
      </c>
      <c r="B1783" s="8" t="s">
        <v>3709</v>
      </c>
      <c r="C1783" s="8" t="s">
        <v>51</v>
      </c>
      <c r="D1783" s="8" t="s">
        <v>2027</v>
      </c>
      <c r="E1783" s="8" t="s">
        <v>123</v>
      </c>
      <c r="F1783" s="8" t="s">
        <v>143</v>
      </c>
      <c r="G1783" s="8" t="s">
        <v>147</v>
      </c>
      <c r="H1783" s="15" t="n">
        <v>204</v>
      </c>
      <c r="I1783" s="15" t="n">
        <v>204</v>
      </c>
      <c r="J1783" s="16" t="n">
        <v>0.745</v>
      </c>
      <c r="K1783" s="8" t="n">
        <v>11.3</v>
      </c>
      <c r="L1783" s="8" t="n">
        <v>8</v>
      </c>
      <c r="M1783" s="8" t="n">
        <v>8</v>
      </c>
      <c r="N1783" s="8" t="s">
        <v>120</v>
      </c>
      <c r="O1783" s="15" t="n">
        <f aca="false">H1783*12</f>
        <v>2448</v>
      </c>
      <c r="P1783" s="8" t="n">
        <f aca="false">MIN(100,ROUND(100*J1783/Assumptions!$B$8,0))</f>
        <v>83</v>
      </c>
      <c r="Q1783" s="8" t="n">
        <f aca="false">IF(L1783="",Assumptions!$B$9,L1783*10)</f>
        <v>80</v>
      </c>
      <c r="R1783" s="8" t="n">
        <f aca="false">IF(M1783&lt;=1,Assumptions!$B$12,IF(M1783&lt;=3,Assumptions!$B$13,IF(M1783&lt;=6,Assumptions!$B$14,Assumptions!$B$15)))</f>
        <v>20</v>
      </c>
      <c r="S1783" s="8" t="n">
        <f aca="false">IF(N1783="Completed On Time",Assumptions!$B$16,IF(N1783="Completed Late",Assumptions!$B$17,Assumptions!$B$18))</f>
        <v>100</v>
      </c>
      <c r="T1783" s="8" t="n">
        <f aca="false">IF(I1783=0,Assumptions!$B$20,IF(H1783&gt;I1783,Assumptions!$B$19,IF(H1783=I1783,Assumptions!$B$20,Assumptions!$B$21)))</f>
        <v>70</v>
      </c>
      <c r="U1783" s="8" t="n">
        <f aca="false">ROUND(P1783*Assumptions!$B$2+Q1783*Assumptions!$B$3+R1783*Assumptions!$B$4+S1783*Assumptions!$B$5+T1783*Assumptions!$B$6,0)</f>
        <v>72</v>
      </c>
      <c r="V1783" s="8" t="str">
        <f aca="false">IF(U1783&gt;=Assumptions!$B$10,"Healthy",IF(U1783&gt;=Assumptions!$B$11,"Needs Attention","High Risk"))</f>
        <v>Needs Attention</v>
      </c>
    </row>
    <row r="1784" customFormat="false" ht="15" hidden="false" customHeight="false" outlineLevel="0" collapsed="false">
      <c r="A1784" s="8" t="s">
        <v>3710</v>
      </c>
      <c r="B1784" s="8" t="s">
        <v>3711</v>
      </c>
      <c r="C1784" s="8" t="s">
        <v>51</v>
      </c>
      <c r="D1784" s="8" t="s">
        <v>2027</v>
      </c>
      <c r="E1784" s="8" t="s">
        <v>123</v>
      </c>
      <c r="F1784" s="8" t="s">
        <v>124</v>
      </c>
      <c r="G1784" s="8" t="s">
        <v>147</v>
      </c>
      <c r="H1784" s="15" t="n">
        <v>204</v>
      </c>
      <c r="I1784" s="15" t="n">
        <v>204</v>
      </c>
      <c r="J1784" s="16" t="n">
        <v>0.863</v>
      </c>
      <c r="K1784" s="8" t="n">
        <v>9.7</v>
      </c>
      <c r="L1784" s="8" t="n">
        <v>10</v>
      </c>
      <c r="M1784" s="8" t="n">
        <v>0</v>
      </c>
      <c r="N1784" s="8" t="s">
        <v>120</v>
      </c>
      <c r="O1784" s="15" t="n">
        <f aca="false">H1784*12</f>
        <v>2448</v>
      </c>
      <c r="P1784" s="8" t="n">
        <f aca="false">MIN(100,ROUND(100*J1784/Assumptions!$B$8,0))</f>
        <v>96</v>
      </c>
      <c r="Q1784" s="8" t="n">
        <f aca="false">IF(L1784="",Assumptions!$B$9,L1784*10)</f>
        <v>100</v>
      </c>
      <c r="R1784" s="8" t="n">
        <f aca="false">IF(M1784&lt;=1,Assumptions!$B$12,IF(M1784&lt;=3,Assumptions!$B$13,IF(M1784&lt;=6,Assumptions!$B$14,Assumptions!$B$15)))</f>
        <v>100</v>
      </c>
      <c r="S1784" s="8" t="n">
        <f aca="false">IF(N1784="Completed On Time",Assumptions!$B$16,IF(N1784="Completed Late",Assumptions!$B$17,Assumptions!$B$18))</f>
        <v>100</v>
      </c>
      <c r="T1784" s="8" t="n">
        <f aca="false">IF(I1784=0,Assumptions!$B$20,IF(H1784&gt;I1784,Assumptions!$B$19,IF(H1784=I1784,Assumptions!$B$20,Assumptions!$B$21)))</f>
        <v>70</v>
      </c>
      <c r="U1784" s="8" t="n">
        <f aca="false">ROUND(P1784*Assumptions!$B$2+Q1784*Assumptions!$B$3+R1784*Assumptions!$B$4+S1784*Assumptions!$B$5+T1784*Assumptions!$B$6,0)</f>
        <v>93</v>
      </c>
      <c r="V1784" s="8" t="str">
        <f aca="false">IF(U1784&gt;=Assumptions!$B$10,"Healthy",IF(U1784&gt;=Assumptions!$B$11,"Needs Attention","High Risk"))</f>
        <v>Healthy</v>
      </c>
    </row>
    <row r="1785" customFormat="false" ht="15" hidden="false" customHeight="false" outlineLevel="0" collapsed="false">
      <c r="A1785" s="8" t="s">
        <v>3712</v>
      </c>
      <c r="B1785" s="8" t="s">
        <v>3713</v>
      </c>
      <c r="C1785" s="8" t="s">
        <v>51</v>
      </c>
      <c r="D1785" s="8" t="s">
        <v>2027</v>
      </c>
      <c r="E1785" s="8" t="s">
        <v>123</v>
      </c>
      <c r="F1785" s="8" t="s">
        <v>190</v>
      </c>
      <c r="G1785" s="8" t="s">
        <v>185</v>
      </c>
      <c r="H1785" s="15" t="n">
        <v>204</v>
      </c>
      <c r="I1785" s="15" t="n">
        <v>180</v>
      </c>
      <c r="J1785" s="16" t="n">
        <v>0.617</v>
      </c>
      <c r="K1785" s="8" t="n">
        <v>9</v>
      </c>
      <c r="L1785" s="8" t="n">
        <v>6</v>
      </c>
      <c r="M1785" s="8" t="n">
        <v>0</v>
      </c>
      <c r="N1785" s="8" t="s">
        <v>120</v>
      </c>
      <c r="O1785" s="15" t="n">
        <f aca="false">H1785*12</f>
        <v>2448</v>
      </c>
      <c r="P1785" s="8" t="n">
        <f aca="false">MIN(100,ROUND(100*J1785/Assumptions!$B$8,0))</f>
        <v>69</v>
      </c>
      <c r="Q1785" s="8" t="n">
        <f aca="false">IF(L1785="",Assumptions!$B$9,L1785*10)</f>
        <v>60</v>
      </c>
      <c r="R1785" s="8" t="n">
        <f aca="false">IF(M1785&lt;=1,Assumptions!$B$12,IF(M1785&lt;=3,Assumptions!$B$13,IF(M1785&lt;=6,Assumptions!$B$14,Assumptions!$B$15)))</f>
        <v>100</v>
      </c>
      <c r="S1785" s="8" t="n">
        <f aca="false">IF(N1785="Completed On Time",Assumptions!$B$16,IF(N1785="Completed Late",Assumptions!$B$17,Assumptions!$B$18))</f>
        <v>100</v>
      </c>
      <c r="T1785" s="8" t="n">
        <f aca="false">IF(I1785=0,Assumptions!$B$20,IF(H1785&gt;I1785,Assumptions!$B$19,IF(H1785=I1785,Assumptions!$B$20,Assumptions!$B$21)))</f>
        <v>100</v>
      </c>
      <c r="U1785" s="8" t="n">
        <f aca="false">ROUND(P1785*Assumptions!$B$2+Q1785*Assumptions!$B$3+R1785*Assumptions!$B$4+S1785*Assumptions!$B$5+T1785*Assumptions!$B$6,0)</f>
        <v>81</v>
      </c>
      <c r="V1785" s="8" t="str">
        <f aca="false">IF(U1785&gt;=Assumptions!$B$10,"Healthy",IF(U1785&gt;=Assumptions!$B$11,"Needs Attention","High Risk"))</f>
        <v>Healthy</v>
      </c>
    </row>
    <row r="1786" customFormat="false" ht="15" hidden="false" customHeight="false" outlineLevel="0" collapsed="false">
      <c r="A1786" s="8" t="s">
        <v>3714</v>
      </c>
      <c r="B1786" s="8" t="s">
        <v>3715</v>
      </c>
      <c r="C1786" s="8" t="s">
        <v>51</v>
      </c>
      <c r="D1786" s="8" t="s">
        <v>2027</v>
      </c>
      <c r="E1786" s="8" t="s">
        <v>123</v>
      </c>
      <c r="F1786" s="8" t="s">
        <v>136</v>
      </c>
      <c r="G1786" s="8" t="s">
        <v>137</v>
      </c>
      <c r="H1786" s="15" t="n">
        <v>204</v>
      </c>
      <c r="I1786" s="15" t="n">
        <v>204</v>
      </c>
      <c r="J1786" s="16" t="n">
        <v>0.588</v>
      </c>
      <c r="K1786" s="8" t="n">
        <v>6.7</v>
      </c>
      <c r="L1786" s="8" t="n">
        <v>10</v>
      </c>
      <c r="M1786" s="8" t="n">
        <v>3</v>
      </c>
      <c r="N1786" s="8" t="s">
        <v>120</v>
      </c>
      <c r="O1786" s="15" t="n">
        <f aca="false">H1786*12</f>
        <v>2448</v>
      </c>
      <c r="P1786" s="8" t="n">
        <f aca="false">MIN(100,ROUND(100*J1786/Assumptions!$B$8,0))</f>
        <v>65</v>
      </c>
      <c r="Q1786" s="8" t="n">
        <f aca="false">IF(L1786="",Assumptions!$B$9,L1786*10)</f>
        <v>100</v>
      </c>
      <c r="R1786" s="8" t="n">
        <f aca="false">IF(M1786&lt;=1,Assumptions!$B$12,IF(M1786&lt;=3,Assumptions!$B$13,IF(M1786&lt;=6,Assumptions!$B$14,Assumptions!$B$15)))</f>
        <v>75</v>
      </c>
      <c r="S1786" s="8" t="n">
        <f aca="false">IF(N1786="Completed On Time",Assumptions!$B$16,IF(N1786="Completed Late",Assumptions!$B$17,Assumptions!$B$18))</f>
        <v>100</v>
      </c>
      <c r="T1786" s="8" t="n">
        <f aca="false">IF(I1786=0,Assumptions!$B$20,IF(H1786&gt;I1786,Assumptions!$B$19,IF(H1786=I1786,Assumptions!$B$20,Assumptions!$B$21)))</f>
        <v>70</v>
      </c>
      <c r="U1786" s="8" t="n">
        <f aca="false">ROUND(P1786*Assumptions!$B$2+Q1786*Assumptions!$B$3+R1786*Assumptions!$B$4+S1786*Assumptions!$B$5+T1786*Assumptions!$B$6,0)</f>
        <v>78</v>
      </c>
      <c r="V1786" s="8" t="str">
        <f aca="false">IF(U1786&gt;=Assumptions!$B$10,"Healthy",IF(U1786&gt;=Assumptions!$B$11,"Needs Attention","High Risk"))</f>
        <v>Needs Attention</v>
      </c>
    </row>
    <row r="1787" customFormat="false" ht="15" hidden="false" customHeight="false" outlineLevel="0" collapsed="false">
      <c r="A1787" s="8" t="s">
        <v>3716</v>
      </c>
      <c r="B1787" s="8" t="s">
        <v>3717</v>
      </c>
      <c r="C1787" s="8" t="s">
        <v>51</v>
      </c>
      <c r="D1787" s="8" t="s">
        <v>2027</v>
      </c>
      <c r="E1787" s="8" t="s">
        <v>132</v>
      </c>
      <c r="F1787" s="8" t="s">
        <v>190</v>
      </c>
      <c r="G1787" s="8" t="s">
        <v>129</v>
      </c>
      <c r="H1787" s="15" t="n">
        <v>204</v>
      </c>
      <c r="I1787" s="15" t="n">
        <v>204</v>
      </c>
      <c r="J1787" s="16" t="n">
        <v>0.667</v>
      </c>
      <c r="K1787" s="8" t="n">
        <v>8.7</v>
      </c>
      <c r="L1787" s="8" t="n">
        <v>9</v>
      </c>
      <c r="M1787" s="8" t="n">
        <v>2</v>
      </c>
      <c r="N1787" s="8" t="s">
        <v>120</v>
      </c>
      <c r="O1787" s="15" t="n">
        <f aca="false">H1787*12</f>
        <v>2448</v>
      </c>
      <c r="P1787" s="8" t="n">
        <f aca="false">MIN(100,ROUND(100*J1787/Assumptions!$B$8,0))</f>
        <v>74</v>
      </c>
      <c r="Q1787" s="8" t="n">
        <f aca="false">IF(L1787="",Assumptions!$B$9,L1787*10)</f>
        <v>90</v>
      </c>
      <c r="R1787" s="8" t="n">
        <f aca="false">IF(M1787&lt;=1,Assumptions!$B$12,IF(M1787&lt;=3,Assumptions!$B$13,IF(M1787&lt;=6,Assumptions!$B$14,Assumptions!$B$15)))</f>
        <v>75</v>
      </c>
      <c r="S1787" s="8" t="n">
        <f aca="false">IF(N1787="Completed On Time",Assumptions!$B$16,IF(N1787="Completed Late",Assumptions!$B$17,Assumptions!$B$18))</f>
        <v>100</v>
      </c>
      <c r="T1787" s="8" t="n">
        <f aca="false">IF(I1787=0,Assumptions!$B$20,IF(H1787&gt;I1787,Assumptions!$B$19,IF(H1787=I1787,Assumptions!$B$20,Assumptions!$B$21)))</f>
        <v>70</v>
      </c>
      <c r="U1787" s="8" t="n">
        <f aca="false">ROUND(P1787*Assumptions!$B$2+Q1787*Assumptions!$B$3+R1787*Assumptions!$B$4+S1787*Assumptions!$B$5+T1787*Assumptions!$B$6,0)</f>
        <v>79</v>
      </c>
      <c r="V1787" s="8" t="str">
        <f aca="false">IF(U1787&gt;=Assumptions!$B$10,"Healthy",IF(U1787&gt;=Assumptions!$B$11,"Needs Attention","High Risk"))</f>
        <v>Needs Attention</v>
      </c>
    </row>
    <row r="1788" customFormat="false" ht="15" hidden="false" customHeight="false" outlineLevel="0" collapsed="false">
      <c r="A1788" s="8" t="s">
        <v>3718</v>
      </c>
      <c r="B1788" s="8" t="s">
        <v>3719</v>
      </c>
      <c r="C1788" s="8" t="s">
        <v>51</v>
      </c>
      <c r="D1788" s="8" t="s">
        <v>2027</v>
      </c>
      <c r="E1788" s="8" t="s">
        <v>132</v>
      </c>
      <c r="F1788" s="8" t="s">
        <v>190</v>
      </c>
      <c r="G1788" s="8" t="s">
        <v>129</v>
      </c>
      <c r="H1788" s="15" t="n">
        <v>204</v>
      </c>
      <c r="I1788" s="15" t="n">
        <v>204</v>
      </c>
      <c r="J1788" s="16" t="n">
        <v>0.745</v>
      </c>
      <c r="K1788" s="8" t="n">
        <v>10</v>
      </c>
      <c r="L1788" s="8" t="n">
        <v>8</v>
      </c>
      <c r="M1788" s="8" t="n">
        <v>1</v>
      </c>
      <c r="N1788" s="8" t="s">
        <v>120</v>
      </c>
      <c r="O1788" s="15" t="n">
        <f aca="false">H1788*12</f>
        <v>2448</v>
      </c>
      <c r="P1788" s="8" t="n">
        <f aca="false">MIN(100,ROUND(100*J1788/Assumptions!$B$8,0))</f>
        <v>83</v>
      </c>
      <c r="Q1788" s="8" t="n">
        <f aca="false">IF(L1788="",Assumptions!$B$9,L1788*10)</f>
        <v>80</v>
      </c>
      <c r="R1788" s="8" t="n">
        <f aca="false">IF(M1788&lt;=1,Assumptions!$B$12,IF(M1788&lt;=3,Assumptions!$B$13,IF(M1788&lt;=6,Assumptions!$B$14,Assumptions!$B$15)))</f>
        <v>100</v>
      </c>
      <c r="S1788" s="8" t="n">
        <f aca="false">IF(N1788="Completed On Time",Assumptions!$B$16,IF(N1788="Completed Late",Assumptions!$B$17,Assumptions!$B$18))</f>
        <v>100</v>
      </c>
      <c r="T1788" s="8" t="n">
        <f aca="false">IF(I1788=0,Assumptions!$B$20,IF(H1788&gt;I1788,Assumptions!$B$19,IF(H1788=I1788,Assumptions!$B$20,Assumptions!$B$21)))</f>
        <v>70</v>
      </c>
      <c r="U1788" s="8" t="n">
        <f aca="false">ROUND(P1788*Assumptions!$B$2+Q1788*Assumptions!$B$3+R1788*Assumptions!$B$4+S1788*Assumptions!$B$5+T1788*Assumptions!$B$6,0)</f>
        <v>84</v>
      </c>
      <c r="V1788" s="8" t="str">
        <f aca="false">IF(U1788&gt;=Assumptions!$B$10,"Healthy",IF(U1788&gt;=Assumptions!$B$11,"Needs Attention","High Risk"))</f>
        <v>Healthy</v>
      </c>
    </row>
    <row r="1789" customFormat="false" ht="15" hidden="false" customHeight="false" outlineLevel="0" collapsed="false">
      <c r="A1789" s="8" t="s">
        <v>3720</v>
      </c>
      <c r="B1789" s="8" t="s">
        <v>3721</v>
      </c>
      <c r="C1789" s="8" t="s">
        <v>51</v>
      </c>
      <c r="D1789" s="8" t="s">
        <v>2027</v>
      </c>
      <c r="E1789" s="8" t="s">
        <v>132</v>
      </c>
      <c r="F1789" s="8" t="s">
        <v>133</v>
      </c>
      <c r="G1789" s="8" t="s">
        <v>125</v>
      </c>
      <c r="H1789" s="15" t="n">
        <v>204</v>
      </c>
      <c r="I1789" s="15" t="n">
        <v>204</v>
      </c>
      <c r="J1789" s="16" t="n">
        <v>0.725</v>
      </c>
      <c r="K1789" s="8" t="n">
        <v>9.7</v>
      </c>
      <c r="L1789" s="8" t="n">
        <v>9</v>
      </c>
      <c r="M1789" s="8" t="n">
        <v>3</v>
      </c>
      <c r="N1789" s="8" t="s">
        <v>120</v>
      </c>
      <c r="O1789" s="15" t="n">
        <f aca="false">H1789*12</f>
        <v>2448</v>
      </c>
      <c r="P1789" s="8" t="n">
        <f aca="false">MIN(100,ROUND(100*J1789/Assumptions!$B$8,0))</f>
        <v>81</v>
      </c>
      <c r="Q1789" s="8" t="n">
        <f aca="false">IF(L1789="",Assumptions!$B$9,L1789*10)</f>
        <v>90</v>
      </c>
      <c r="R1789" s="8" t="n">
        <f aca="false">IF(M1789&lt;=1,Assumptions!$B$12,IF(M1789&lt;=3,Assumptions!$B$13,IF(M1789&lt;=6,Assumptions!$B$14,Assumptions!$B$15)))</f>
        <v>75</v>
      </c>
      <c r="S1789" s="8" t="n">
        <f aca="false">IF(N1789="Completed On Time",Assumptions!$B$16,IF(N1789="Completed Late",Assumptions!$B$17,Assumptions!$B$18))</f>
        <v>100</v>
      </c>
      <c r="T1789" s="8" t="n">
        <f aca="false">IF(I1789=0,Assumptions!$B$20,IF(H1789&gt;I1789,Assumptions!$B$19,IF(H1789=I1789,Assumptions!$B$20,Assumptions!$B$21)))</f>
        <v>70</v>
      </c>
      <c r="U1789" s="8" t="n">
        <f aca="false">ROUND(P1789*Assumptions!$B$2+Q1789*Assumptions!$B$3+R1789*Assumptions!$B$4+S1789*Assumptions!$B$5+T1789*Assumptions!$B$6,0)</f>
        <v>82</v>
      </c>
      <c r="V1789" s="8" t="str">
        <f aca="false">IF(U1789&gt;=Assumptions!$B$10,"Healthy",IF(U1789&gt;=Assumptions!$B$11,"Needs Attention","High Risk"))</f>
        <v>Healthy</v>
      </c>
    </row>
    <row r="1790" customFormat="false" ht="15" hidden="false" customHeight="false" outlineLevel="0" collapsed="false">
      <c r="A1790" s="8" t="s">
        <v>3722</v>
      </c>
      <c r="B1790" s="8" t="s">
        <v>3723</v>
      </c>
      <c r="C1790" s="8" t="s">
        <v>51</v>
      </c>
      <c r="D1790" s="8" t="s">
        <v>2027</v>
      </c>
      <c r="E1790" s="8" t="s">
        <v>123</v>
      </c>
      <c r="F1790" s="8" t="s">
        <v>190</v>
      </c>
      <c r="G1790" s="8" t="s">
        <v>180</v>
      </c>
      <c r="H1790" s="15" t="n">
        <v>204</v>
      </c>
      <c r="I1790" s="15" t="n">
        <v>204</v>
      </c>
      <c r="J1790" s="16" t="n">
        <v>0.725</v>
      </c>
      <c r="K1790" s="8" t="n">
        <v>10.7</v>
      </c>
      <c r="L1790" s="8" t="n">
        <v>7</v>
      </c>
      <c r="M1790" s="8" t="n">
        <v>1</v>
      </c>
      <c r="N1790" s="8" t="s">
        <v>120</v>
      </c>
      <c r="O1790" s="15" t="n">
        <f aca="false">H1790*12</f>
        <v>2448</v>
      </c>
      <c r="P1790" s="8" t="n">
        <f aca="false">MIN(100,ROUND(100*J1790/Assumptions!$B$8,0))</f>
        <v>81</v>
      </c>
      <c r="Q1790" s="8" t="n">
        <f aca="false">IF(L1790="",Assumptions!$B$9,L1790*10)</f>
        <v>70</v>
      </c>
      <c r="R1790" s="8" t="n">
        <f aca="false">IF(M1790&lt;=1,Assumptions!$B$12,IF(M1790&lt;=3,Assumptions!$B$13,IF(M1790&lt;=6,Assumptions!$B$14,Assumptions!$B$15)))</f>
        <v>100</v>
      </c>
      <c r="S1790" s="8" t="n">
        <f aca="false">IF(N1790="Completed On Time",Assumptions!$B$16,IF(N1790="Completed Late",Assumptions!$B$17,Assumptions!$B$18))</f>
        <v>100</v>
      </c>
      <c r="T1790" s="8" t="n">
        <f aca="false">IF(I1790=0,Assumptions!$B$20,IF(H1790&gt;I1790,Assumptions!$B$19,IF(H1790=I1790,Assumptions!$B$20,Assumptions!$B$21)))</f>
        <v>70</v>
      </c>
      <c r="U1790" s="8" t="n">
        <f aca="false">ROUND(P1790*Assumptions!$B$2+Q1790*Assumptions!$B$3+R1790*Assumptions!$B$4+S1790*Assumptions!$B$5+T1790*Assumptions!$B$6,0)</f>
        <v>81</v>
      </c>
      <c r="V1790" s="8" t="str">
        <f aca="false">IF(U1790&gt;=Assumptions!$B$10,"Healthy",IF(U1790&gt;=Assumptions!$B$11,"Needs Attention","High Risk"))</f>
        <v>Healthy</v>
      </c>
    </row>
    <row r="1791" customFormat="false" ht="15" hidden="false" customHeight="false" outlineLevel="0" collapsed="false">
      <c r="A1791" s="8" t="s">
        <v>3724</v>
      </c>
      <c r="B1791" s="8" t="s">
        <v>3725</v>
      </c>
      <c r="C1791" s="8" t="s">
        <v>51</v>
      </c>
      <c r="D1791" s="8" t="s">
        <v>2027</v>
      </c>
      <c r="E1791" s="8" t="s">
        <v>132</v>
      </c>
      <c r="F1791" s="8" t="s">
        <v>154</v>
      </c>
      <c r="G1791" s="8" t="s">
        <v>204</v>
      </c>
      <c r="H1791" s="15" t="n">
        <v>204</v>
      </c>
      <c r="I1791" s="15" t="n">
        <v>204</v>
      </c>
      <c r="J1791" s="16" t="n">
        <v>0.686</v>
      </c>
      <c r="K1791" s="8" t="n">
        <v>8.3</v>
      </c>
      <c r="L1791" s="8" t="n">
        <v>8</v>
      </c>
      <c r="M1791" s="8" t="n">
        <v>3</v>
      </c>
      <c r="N1791" s="8" t="s">
        <v>120</v>
      </c>
      <c r="O1791" s="15" t="n">
        <f aca="false">H1791*12</f>
        <v>2448</v>
      </c>
      <c r="P1791" s="8" t="n">
        <f aca="false">MIN(100,ROUND(100*J1791/Assumptions!$B$8,0))</f>
        <v>76</v>
      </c>
      <c r="Q1791" s="8" t="n">
        <f aca="false">IF(L1791="",Assumptions!$B$9,L1791*10)</f>
        <v>80</v>
      </c>
      <c r="R1791" s="8" t="n">
        <f aca="false">IF(M1791&lt;=1,Assumptions!$B$12,IF(M1791&lt;=3,Assumptions!$B$13,IF(M1791&lt;=6,Assumptions!$B$14,Assumptions!$B$15)))</f>
        <v>75</v>
      </c>
      <c r="S1791" s="8" t="n">
        <f aca="false">IF(N1791="Completed On Time",Assumptions!$B$16,IF(N1791="Completed Late",Assumptions!$B$17,Assumptions!$B$18))</f>
        <v>100</v>
      </c>
      <c r="T1791" s="8" t="n">
        <f aca="false">IF(I1791=0,Assumptions!$B$20,IF(H1791&gt;I1791,Assumptions!$B$19,IF(H1791=I1791,Assumptions!$B$20,Assumptions!$B$21)))</f>
        <v>70</v>
      </c>
      <c r="U1791" s="8" t="n">
        <f aca="false">ROUND(P1791*Assumptions!$B$2+Q1791*Assumptions!$B$3+R1791*Assumptions!$B$4+S1791*Assumptions!$B$5+T1791*Assumptions!$B$6,0)</f>
        <v>78</v>
      </c>
      <c r="V1791" s="8" t="str">
        <f aca="false">IF(U1791&gt;=Assumptions!$B$10,"Healthy",IF(U1791&gt;=Assumptions!$B$11,"Needs Attention","High Risk"))</f>
        <v>Needs Attention</v>
      </c>
    </row>
    <row r="1792" customFormat="false" ht="15" hidden="false" customHeight="false" outlineLevel="0" collapsed="false">
      <c r="A1792" s="8" t="s">
        <v>3726</v>
      </c>
      <c r="B1792" s="8" t="s">
        <v>3727</v>
      </c>
      <c r="C1792" s="8" t="s">
        <v>51</v>
      </c>
      <c r="D1792" s="8" t="s">
        <v>326</v>
      </c>
      <c r="E1792" s="8" t="s">
        <v>132</v>
      </c>
      <c r="F1792" s="8" t="s">
        <v>124</v>
      </c>
      <c r="G1792" s="8" t="s">
        <v>140</v>
      </c>
      <c r="H1792" s="15" t="n">
        <v>200</v>
      </c>
      <c r="I1792" s="15" t="n">
        <v>200</v>
      </c>
      <c r="J1792" s="16" t="n">
        <v>0.708</v>
      </c>
      <c r="K1792" s="8" t="n">
        <v>8</v>
      </c>
      <c r="L1792" s="8" t="n">
        <v>7</v>
      </c>
      <c r="M1792" s="8" t="n">
        <v>0</v>
      </c>
      <c r="N1792" s="8" t="s">
        <v>120</v>
      </c>
      <c r="O1792" s="15" t="n">
        <f aca="false">H1792*12</f>
        <v>2400</v>
      </c>
      <c r="P1792" s="8" t="n">
        <f aca="false">MIN(100,ROUND(100*J1792/Assumptions!$B$8,0))</f>
        <v>79</v>
      </c>
      <c r="Q1792" s="8" t="n">
        <f aca="false">IF(L1792="",Assumptions!$B$9,L1792*10)</f>
        <v>70</v>
      </c>
      <c r="R1792" s="8" t="n">
        <f aca="false">IF(M1792&lt;=1,Assumptions!$B$12,IF(M1792&lt;=3,Assumptions!$B$13,IF(M1792&lt;=6,Assumptions!$B$14,Assumptions!$B$15)))</f>
        <v>100</v>
      </c>
      <c r="S1792" s="8" t="n">
        <f aca="false">IF(N1792="Completed On Time",Assumptions!$B$16,IF(N1792="Completed Late",Assumptions!$B$17,Assumptions!$B$18))</f>
        <v>100</v>
      </c>
      <c r="T1792" s="8" t="n">
        <f aca="false">IF(I1792=0,Assumptions!$B$20,IF(H1792&gt;I1792,Assumptions!$B$19,IF(H1792=I1792,Assumptions!$B$20,Assumptions!$B$21)))</f>
        <v>70</v>
      </c>
      <c r="U1792" s="8" t="n">
        <f aca="false">ROUND(P1792*Assumptions!$B$2+Q1792*Assumptions!$B$3+R1792*Assumptions!$B$4+S1792*Assumptions!$B$5+T1792*Assumptions!$B$6,0)</f>
        <v>81</v>
      </c>
      <c r="V1792" s="8" t="str">
        <f aca="false">IF(U1792&gt;=Assumptions!$B$10,"Healthy",IF(U1792&gt;=Assumptions!$B$11,"Needs Attention","High Risk"))</f>
        <v>Healthy</v>
      </c>
    </row>
    <row r="1793" customFormat="false" ht="15" hidden="false" customHeight="false" outlineLevel="0" collapsed="false">
      <c r="A1793" s="8" t="s">
        <v>3728</v>
      </c>
      <c r="B1793" s="8" t="s">
        <v>3729</v>
      </c>
      <c r="C1793" s="8" t="s">
        <v>51</v>
      </c>
      <c r="D1793" s="8" t="s">
        <v>326</v>
      </c>
      <c r="E1793" s="8" t="s">
        <v>132</v>
      </c>
      <c r="F1793" s="8" t="s">
        <v>124</v>
      </c>
      <c r="G1793" s="8" t="s">
        <v>177</v>
      </c>
      <c r="H1793" s="15" t="n">
        <v>200</v>
      </c>
      <c r="I1793" s="15" t="n">
        <v>200</v>
      </c>
      <c r="J1793" s="16" t="n">
        <v>0.917</v>
      </c>
      <c r="K1793" s="8" t="n">
        <v>11</v>
      </c>
      <c r="L1793" s="8" t="n">
        <v>10</v>
      </c>
      <c r="M1793" s="8" t="n">
        <v>2</v>
      </c>
      <c r="N1793" s="8" t="s">
        <v>120</v>
      </c>
      <c r="O1793" s="15" t="n">
        <f aca="false">H1793*12</f>
        <v>2400</v>
      </c>
      <c r="P1793" s="8" t="n">
        <f aca="false">MIN(100,ROUND(100*J1793/Assumptions!$B$8,0))</f>
        <v>100</v>
      </c>
      <c r="Q1793" s="8" t="n">
        <f aca="false">IF(L1793="",Assumptions!$B$9,L1793*10)</f>
        <v>100</v>
      </c>
      <c r="R1793" s="8" t="n">
        <f aca="false">IF(M1793&lt;=1,Assumptions!$B$12,IF(M1793&lt;=3,Assumptions!$B$13,IF(M1793&lt;=6,Assumptions!$B$14,Assumptions!$B$15)))</f>
        <v>75</v>
      </c>
      <c r="S1793" s="8" t="n">
        <f aca="false">IF(N1793="Completed On Time",Assumptions!$B$16,IF(N1793="Completed Late",Assumptions!$B$17,Assumptions!$B$18))</f>
        <v>100</v>
      </c>
      <c r="T1793" s="8" t="n">
        <f aca="false">IF(I1793=0,Assumptions!$B$20,IF(H1793&gt;I1793,Assumptions!$B$19,IF(H1793=I1793,Assumptions!$B$20,Assumptions!$B$21)))</f>
        <v>70</v>
      </c>
      <c r="U1793" s="8" t="n">
        <f aca="false">ROUND(P1793*Assumptions!$B$2+Q1793*Assumptions!$B$3+R1793*Assumptions!$B$4+S1793*Assumptions!$B$5+T1793*Assumptions!$B$6,0)</f>
        <v>90</v>
      </c>
      <c r="V1793" s="8" t="str">
        <f aca="false">IF(U1793&gt;=Assumptions!$B$10,"Healthy",IF(U1793&gt;=Assumptions!$B$11,"Needs Attention","High Risk"))</f>
        <v>Healthy</v>
      </c>
    </row>
    <row r="1794" customFormat="false" ht="15" hidden="false" customHeight="false" outlineLevel="0" collapsed="false">
      <c r="A1794" s="8" t="s">
        <v>3730</v>
      </c>
      <c r="B1794" s="8" t="s">
        <v>3731</v>
      </c>
      <c r="C1794" s="8" t="s">
        <v>51</v>
      </c>
      <c r="D1794" s="8" t="s">
        <v>326</v>
      </c>
      <c r="E1794" s="8" t="s">
        <v>123</v>
      </c>
      <c r="F1794" s="8" t="s">
        <v>151</v>
      </c>
      <c r="G1794" s="8" t="s">
        <v>119</v>
      </c>
      <c r="H1794" s="15" t="n">
        <v>200</v>
      </c>
      <c r="I1794" s="15" t="n">
        <v>200</v>
      </c>
      <c r="J1794" s="16" t="n">
        <v>0.75</v>
      </c>
      <c r="K1794" s="8" t="n">
        <v>9</v>
      </c>
      <c r="L1794" s="8" t="n">
        <v>9</v>
      </c>
      <c r="M1794" s="8" t="n">
        <v>2</v>
      </c>
      <c r="N1794" s="8" t="s">
        <v>120</v>
      </c>
      <c r="O1794" s="15" t="n">
        <f aca="false">H1794*12</f>
        <v>2400</v>
      </c>
      <c r="P1794" s="8" t="n">
        <f aca="false">MIN(100,ROUND(100*J1794/Assumptions!$B$8,0))</f>
        <v>83</v>
      </c>
      <c r="Q1794" s="8" t="n">
        <f aca="false">IF(L1794="",Assumptions!$B$9,L1794*10)</f>
        <v>90</v>
      </c>
      <c r="R1794" s="8" t="n">
        <f aca="false">IF(M1794&lt;=1,Assumptions!$B$12,IF(M1794&lt;=3,Assumptions!$B$13,IF(M1794&lt;=6,Assumptions!$B$14,Assumptions!$B$15)))</f>
        <v>75</v>
      </c>
      <c r="S1794" s="8" t="n">
        <f aca="false">IF(N1794="Completed On Time",Assumptions!$B$16,IF(N1794="Completed Late",Assumptions!$B$17,Assumptions!$B$18))</f>
        <v>100</v>
      </c>
      <c r="T1794" s="8" t="n">
        <f aca="false">IF(I1794=0,Assumptions!$B$20,IF(H1794&gt;I1794,Assumptions!$B$19,IF(H1794=I1794,Assumptions!$B$20,Assumptions!$B$21)))</f>
        <v>70</v>
      </c>
      <c r="U1794" s="8" t="n">
        <f aca="false">ROUND(P1794*Assumptions!$B$2+Q1794*Assumptions!$B$3+R1794*Assumptions!$B$4+S1794*Assumptions!$B$5+T1794*Assumptions!$B$6,0)</f>
        <v>82</v>
      </c>
      <c r="V1794" s="8" t="str">
        <f aca="false">IF(U1794&gt;=Assumptions!$B$10,"Healthy",IF(U1794&gt;=Assumptions!$B$11,"Needs Attention","High Risk"))</f>
        <v>Healthy</v>
      </c>
    </row>
    <row r="1795" customFormat="false" ht="15" hidden="false" customHeight="false" outlineLevel="0" collapsed="false">
      <c r="A1795" s="8" t="s">
        <v>3732</v>
      </c>
      <c r="B1795" s="8" t="s">
        <v>3733</v>
      </c>
      <c r="C1795" s="8" t="s">
        <v>51</v>
      </c>
      <c r="D1795" s="8" t="s">
        <v>326</v>
      </c>
      <c r="E1795" s="8" t="s">
        <v>123</v>
      </c>
      <c r="F1795" s="8" t="s">
        <v>118</v>
      </c>
      <c r="G1795" s="8" t="s">
        <v>137</v>
      </c>
      <c r="H1795" s="15" t="n">
        <v>200</v>
      </c>
      <c r="I1795" s="15" t="n">
        <v>200</v>
      </c>
      <c r="J1795" s="16" t="n">
        <v>0.75</v>
      </c>
      <c r="K1795" s="8" t="n">
        <v>7.3</v>
      </c>
      <c r="L1795" s="8" t="n">
        <v>10</v>
      </c>
      <c r="M1795" s="8" t="n">
        <v>4</v>
      </c>
      <c r="N1795" s="8" t="s">
        <v>120</v>
      </c>
      <c r="O1795" s="15" t="n">
        <f aca="false">H1795*12</f>
        <v>2400</v>
      </c>
      <c r="P1795" s="8" t="n">
        <f aca="false">MIN(100,ROUND(100*J1795/Assumptions!$B$8,0))</f>
        <v>83</v>
      </c>
      <c r="Q1795" s="8" t="n">
        <f aca="false">IF(L1795="",Assumptions!$B$9,L1795*10)</f>
        <v>100</v>
      </c>
      <c r="R1795" s="8" t="n">
        <f aca="false">IF(M1795&lt;=1,Assumptions!$B$12,IF(M1795&lt;=3,Assumptions!$B$13,IF(M1795&lt;=6,Assumptions!$B$14,Assumptions!$B$15)))</f>
        <v>50</v>
      </c>
      <c r="S1795" s="8" t="n">
        <f aca="false">IF(N1795="Completed On Time",Assumptions!$B$16,IF(N1795="Completed Late",Assumptions!$B$17,Assumptions!$B$18))</f>
        <v>100</v>
      </c>
      <c r="T1795" s="8" t="n">
        <f aca="false">IF(I1795=0,Assumptions!$B$20,IF(H1795&gt;I1795,Assumptions!$B$19,IF(H1795=I1795,Assumptions!$B$20,Assumptions!$B$21)))</f>
        <v>70</v>
      </c>
      <c r="U1795" s="8" t="n">
        <f aca="false">ROUND(P1795*Assumptions!$B$2+Q1795*Assumptions!$B$3+R1795*Assumptions!$B$4+S1795*Assumptions!$B$5+T1795*Assumptions!$B$6,0)</f>
        <v>81</v>
      </c>
      <c r="V1795" s="8" t="str">
        <f aca="false">IF(U1795&gt;=Assumptions!$B$10,"Healthy",IF(U1795&gt;=Assumptions!$B$11,"Needs Attention","High Risk"))</f>
        <v>Healthy</v>
      </c>
    </row>
    <row r="1796" customFormat="false" ht="15" hidden="false" customHeight="false" outlineLevel="0" collapsed="false">
      <c r="A1796" s="8" t="s">
        <v>3734</v>
      </c>
      <c r="B1796" s="8" t="s">
        <v>3735</v>
      </c>
      <c r="C1796" s="8" t="s">
        <v>51</v>
      </c>
      <c r="D1796" s="8" t="s">
        <v>326</v>
      </c>
      <c r="E1796" s="8" t="s">
        <v>123</v>
      </c>
      <c r="F1796" s="8" t="s">
        <v>124</v>
      </c>
      <c r="G1796" s="8" t="s">
        <v>177</v>
      </c>
      <c r="H1796" s="15" t="n">
        <v>200</v>
      </c>
      <c r="I1796" s="15" t="n">
        <v>200</v>
      </c>
      <c r="J1796" s="16" t="n">
        <v>0.5</v>
      </c>
      <c r="K1796" s="8" t="n">
        <v>6</v>
      </c>
      <c r="L1796" s="8" t="n">
        <v>3</v>
      </c>
      <c r="M1796" s="8" t="n">
        <v>4</v>
      </c>
      <c r="N1796" s="8" t="s">
        <v>120</v>
      </c>
      <c r="O1796" s="15" t="n">
        <f aca="false">H1796*12</f>
        <v>2400</v>
      </c>
      <c r="P1796" s="8" t="n">
        <f aca="false">MIN(100,ROUND(100*J1796/Assumptions!$B$8,0))</f>
        <v>56</v>
      </c>
      <c r="Q1796" s="8" t="n">
        <f aca="false">IF(L1796="",Assumptions!$B$9,L1796*10)</f>
        <v>30</v>
      </c>
      <c r="R1796" s="8" t="n">
        <f aca="false">IF(M1796&lt;=1,Assumptions!$B$12,IF(M1796&lt;=3,Assumptions!$B$13,IF(M1796&lt;=6,Assumptions!$B$14,Assumptions!$B$15)))</f>
        <v>50</v>
      </c>
      <c r="S1796" s="8" t="n">
        <f aca="false">IF(N1796="Completed On Time",Assumptions!$B$16,IF(N1796="Completed Late",Assumptions!$B$17,Assumptions!$B$18))</f>
        <v>100</v>
      </c>
      <c r="T1796" s="8" t="n">
        <f aca="false">IF(I1796=0,Assumptions!$B$20,IF(H1796&gt;I1796,Assumptions!$B$19,IF(H1796=I1796,Assumptions!$B$20,Assumptions!$B$21)))</f>
        <v>70</v>
      </c>
      <c r="U1796" s="8" t="n">
        <f aca="false">ROUND(P1796*Assumptions!$B$2+Q1796*Assumptions!$B$3+R1796*Assumptions!$B$4+S1796*Assumptions!$B$5+T1796*Assumptions!$B$6,0)</f>
        <v>57</v>
      </c>
      <c r="V1796" s="8" t="str">
        <f aca="false">IF(U1796&gt;=Assumptions!$B$10,"Healthy",IF(U1796&gt;=Assumptions!$B$11,"Needs Attention","High Risk"))</f>
        <v>High Risk</v>
      </c>
    </row>
    <row r="1797" customFormat="false" ht="15" hidden="false" customHeight="false" outlineLevel="0" collapsed="false">
      <c r="A1797" s="8" t="s">
        <v>3736</v>
      </c>
      <c r="B1797" s="8" t="s">
        <v>3737</v>
      </c>
      <c r="C1797" s="8" t="s">
        <v>51</v>
      </c>
      <c r="D1797" s="8" t="s">
        <v>326</v>
      </c>
      <c r="E1797" s="8" t="s">
        <v>132</v>
      </c>
      <c r="F1797" s="8" t="s">
        <v>136</v>
      </c>
      <c r="G1797" s="8" t="s">
        <v>159</v>
      </c>
      <c r="H1797" s="15" t="n">
        <v>200</v>
      </c>
      <c r="I1797" s="15" t="n">
        <v>200</v>
      </c>
      <c r="J1797" s="16" t="n">
        <v>0.542</v>
      </c>
      <c r="K1797" s="8" t="n">
        <v>7.3</v>
      </c>
      <c r="L1797" s="8" t="n">
        <v>8</v>
      </c>
      <c r="M1797" s="8" t="n">
        <v>3</v>
      </c>
      <c r="N1797" s="8" t="s">
        <v>120</v>
      </c>
      <c r="O1797" s="15" t="n">
        <f aca="false">H1797*12</f>
        <v>2400</v>
      </c>
      <c r="P1797" s="8" t="n">
        <f aca="false">MIN(100,ROUND(100*J1797/Assumptions!$B$8,0))</f>
        <v>60</v>
      </c>
      <c r="Q1797" s="8" t="n">
        <f aca="false">IF(L1797="",Assumptions!$B$9,L1797*10)</f>
        <v>80</v>
      </c>
      <c r="R1797" s="8" t="n">
        <f aca="false">IF(M1797&lt;=1,Assumptions!$B$12,IF(M1797&lt;=3,Assumptions!$B$13,IF(M1797&lt;=6,Assumptions!$B$14,Assumptions!$B$15)))</f>
        <v>75</v>
      </c>
      <c r="S1797" s="8" t="n">
        <f aca="false">IF(N1797="Completed On Time",Assumptions!$B$16,IF(N1797="Completed Late",Assumptions!$B$17,Assumptions!$B$18))</f>
        <v>100</v>
      </c>
      <c r="T1797" s="8" t="n">
        <f aca="false">IF(I1797=0,Assumptions!$B$20,IF(H1797&gt;I1797,Assumptions!$B$19,IF(H1797=I1797,Assumptions!$B$20,Assumptions!$B$21)))</f>
        <v>70</v>
      </c>
      <c r="U1797" s="8" t="n">
        <f aca="false">ROUND(P1797*Assumptions!$B$2+Q1797*Assumptions!$B$3+R1797*Assumptions!$B$4+S1797*Assumptions!$B$5+T1797*Assumptions!$B$6,0)</f>
        <v>72</v>
      </c>
      <c r="V1797" s="8" t="str">
        <f aca="false">IF(U1797&gt;=Assumptions!$B$10,"Healthy",IF(U1797&gt;=Assumptions!$B$11,"Needs Attention","High Risk"))</f>
        <v>Needs Attention</v>
      </c>
    </row>
    <row r="1798" customFormat="false" ht="15" hidden="false" customHeight="false" outlineLevel="0" collapsed="false">
      <c r="A1798" s="8" t="s">
        <v>3738</v>
      </c>
      <c r="B1798" s="8" t="s">
        <v>3739</v>
      </c>
      <c r="C1798" s="8" t="s">
        <v>51</v>
      </c>
      <c r="D1798" s="8" t="s">
        <v>326</v>
      </c>
      <c r="E1798" s="8" t="s">
        <v>123</v>
      </c>
      <c r="F1798" s="8" t="s">
        <v>190</v>
      </c>
      <c r="G1798" s="8" t="s">
        <v>159</v>
      </c>
      <c r="H1798" s="15" t="n">
        <v>200</v>
      </c>
      <c r="I1798" s="15" t="n">
        <v>200</v>
      </c>
      <c r="J1798" s="16" t="n">
        <v>0.708</v>
      </c>
      <c r="K1798" s="8" t="n">
        <v>9</v>
      </c>
      <c r="L1798" s="8" t="n">
        <v>9</v>
      </c>
      <c r="M1798" s="8" t="n">
        <v>5</v>
      </c>
      <c r="N1798" s="8" t="s">
        <v>120</v>
      </c>
      <c r="O1798" s="15" t="n">
        <f aca="false">H1798*12</f>
        <v>2400</v>
      </c>
      <c r="P1798" s="8" t="n">
        <f aca="false">MIN(100,ROUND(100*J1798/Assumptions!$B$8,0))</f>
        <v>79</v>
      </c>
      <c r="Q1798" s="8" t="n">
        <f aca="false">IF(L1798="",Assumptions!$B$9,L1798*10)</f>
        <v>90</v>
      </c>
      <c r="R1798" s="8" t="n">
        <f aca="false">IF(M1798&lt;=1,Assumptions!$B$12,IF(M1798&lt;=3,Assumptions!$B$13,IF(M1798&lt;=6,Assumptions!$B$14,Assumptions!$B$15)))</f>
        <v>50</v>
      </c>
      <c r="S1798" s="8" t="n">
        <f aca="false">IF(N1798="Completed On Time",Assumptions!$B$16,IF(N1798="Completed Late",Assumptions!$B$17,Assumptions!$B$18))</f>
        <v>100</v>
      </c>
      <c r="T1798" s="8" t="n">
        <f aca="false">IF(I1798=0,Assumptions!$B$20,IF(H1798&gt;I1798,Assumptions!$B$19,IF(H1798=I1798,Assumptions!$B$20,Assumptions!$B$21)))</f>
        <v>70</v>
      </c>
      <c r="U1798" s="8" t="n">
        <f aca="false">ROUND(P1798*Assumptions!$B$2+Q1798*Assumptions!$B$3+R1798*Assumptions!$B$4+S1798*Assumptions!$B$5+T1798*Assumptions!$B$6,0)</f>
        <v>77</v>
      </c>
      <c r="V1798" s="8" t="str">
        <f aca="false">IF(U1798&gt;=Assumptions!$B$10,"Healthy",IF(U1798&gt;=Assumptions!$B$11,"Needs Attention","High Risk"))</f>
        <v>Needs Attention</v>
      </c>
    </row>
    <row r="1799" customFormat="false" ht="15" hidden="false" customHeight="false" outlineLevel="0" collapsed="false">
      <c r="A1799" s="8" t="s">
        <v>3740</v>
      </c>
      <c r="B1799" s="8" t="s">
        <v>3741</v>
      </c>
      <c r="C1799" s="8" t="s">
        <v>51</v>
      </c>
      <c r="D1799" s="8" t="s">
        <v>2027</v>
      </c>
      <c r="E1799" s="8" t="s">
        <v>123</v>
      </c>
      <c r="F1799" s="8" t="s">
        <v>166</v>
      </c>
      <c r="G1799" s="8" t="s">
        <v>204</v>
      </c>
      <c r="H1799" s="15" t="n">
        <v>192</v>
      </c>
      <c r="I1799" s="15" t="n">
        <v>192</v>
      </c>
      <c r="J1799" s="16" t="n">
        <v>0.688</v>
      </c>
      <c r="K1799" s="8" t="n">
        <v>10</v>
      </c>
      <c r="L1799" s="8" t="n">
        <v>10</v>
      </c>
      <c r="M1799" s="8" t="n">
        <v>1</v>
      </c>
      <c r="N1799" s="8" t="s">
        <v>120</v>
      </c>
      <c r="O1799" s="15" t="n">
        <f aca="false">H1799*12</f>
        <v>2304</v>
      </c>
      <c r="P1799" s="8" t="n">
        <f aca="false">MIN(100,ROUND(100*J1799/Assumptions!$B$8,0))</f>
        <v>76</v>
      </c>
      <c r="Q1799" s="8" t="n">
        <f aca="false">IF(L1799="",Assumptions!$B$9,L1799*10)</f>
        <v>100</v>
      </c>
      <c r="R1799" s="8" t="n">
        <f aca="false">IF(M1799&lt;=1,Assumptions!$B$12,IF(M1799&lt;=3,Assumptions!$B$13,IF(M1799&lt;=6,Assumptions!$B$14,Assumptions!$B$15)))</f>
        <v>100</v>
      </c>
      <c r="S1799" s="8" t="n">
        <f aca="false">IF(N1799="Completed On Time",Assumptions!$B$16,IF(N1799="Completed Late",Assumptions!$B$17,Assumptions!$B$18))</f>
        <v>100</v>
      </c>
      <c r="T1799" s="8" t="n">
        <f aca="false">IF(I1799=0,Assumptions!$B$20,IF(H1799&gt;I1799,Assumptions!$B$19,IF(H1799=I1799,Assumptions!$B$20,Assumptions!$B$21)))</f>
        <v>70</v>
      </c>
      <c r="U1799" s="8" t="n">
        <f aca="false">ROUND(P1799*Assumptions!$B$2+Q1799*Assumptions!$B$3+R1799*Assumptions!$B$4+S1799*Assumptions!$B$5+T1799*Assumptions!$B$6,0)</f>
        <v>86</v>
      </c>
      <c r="V1799" s="8" t="str">
        <f aca="false">IF(U1799&gt;=Assumptions!$B$10,"Healthy",IF(U1799&gt;=Assumptions!$B$11,"Needs Attention","High Risk"))</f>
        <v>Healthy</v>
      </c>
    </row>
    <row r="1800" customFormat="false" ht="15" hidden="false" customHeight="false" outlineLevel="0" collapsed="false">
      <c r="A1800" s="8" t="s">
        <v>3742</v>
      </c>
      <c r="B1800" s="8" t="s">
        <v>3743</v>
      </c>
      <c r="C1800" s="8" t="s">
        <v>51</v>
      </c>
      <c r="D1800" s="8" t="s">
        <v>2027</v>
      </c>
      <c r="E1800" s="8" t="s">
        <v>123</v>
      </c>
      <c r="F1800" s="8" t="s">
        <v>124</v>
      </c>
      <c r="G1800" s="8" t="s">
        <v>185</v>
      </c>
      <c r="H1800" s="15" t="n">
        <v>192</v>
      </c>
      <c r="I1800" s="15" t="n">
        <v>192</v>
      </c>
      <c r="J1800" s="16" t="n">
        <v>0.688</v>
      </c>
      <c r="K1800" s="8" t="n">
        <v>9.3</v>
      </c>
      <c r="L1800" s="8" t="n">
        <v>8</v>
      </c>
      <c r="M1800" s="8" t="n">
        <v>1</v>
      </c>
      <c r="N1800" s="8" t="s">
        <v>120</v>
      </c>
      <c r="O1800" s="15" t="n">
        <f aca="false">H1800*12</f>
        <v>2304</v>
      </c>
      <c r="P1800" s="8" t="n">
        <f aca="false">MIN(100,ROUND(100*J1800/Assumptions!$B$8,0))</f>
        <v>76</v>
      </c>
      <c r="Q1800" s="8" t="n">
        <f aca="false">IF(L1800="",Assumptions!$B$9,L1800*10)</f>
        <v>80</v>
      </c>
      <c r="R1800" s="8" t="n">
        <f aca="false">IF(M1800&lt;=1,Assumptions!$B$12,IF(M1800&lt;=3,Assumptions!$B$13,IF(M1800&lt;=6,Assumptions!$B$14,Assumptions!$B$15)))</f>
        <v>100</v>
      </c>
      <c r="S1800" s="8" t="n">
        <f aca="false">IF(N1800="Completed On Time",Assumptions!$B$16,IF(N1800="Completed Late",Assumptions!$B$17,Assumptions!$B$18))</f>
        <v>100</v>
      </c>
      <c r="T1800" s="8" t="n">
        <f aca="false">IF(I1800=0,Assumptions!$B$20,IF(H1800&gt;I1800,Assumptions!$B$19,IF(H1800=I1800,Assumptions!$B$20,Assumptions!$B$21)))</f>
        <v>70</v>
      </c>
      <c r="U1800" s="8" t="n">
        <f aca="false">ROUND(P1800*Assumptions!$B$2+Q1800*Assumptions!$B$3+R1800*Assumptions!$B$4+S1800*Assumptions!$B$5+T1800*Assumptions!$B$6,0)</f>
        <v>82</v>
      </c>
      <c r="V1800" s="8" t="str">
        <f aca="false">IF(U1800&gt;=Assumptions!$B$10,"Healthy",IF(U1800&gt;=Assumptions!$B$11,"Needs Attention","High Risk"))</f>
        <v>Healthy</v>
      </c>
    </row>
    <row r="1801" customFormat="false" ht="15" hidden="false" customHeight="false" outlineLevel="0" collapsed="false">
      <c r="A1801" s="8" t="s">
        <v>3744</v>
      </c>
      <c r="B1801" s="8" t="s">
        <v>3745</v>
      </c>
      <c r="C1801" s="8" t="s">
        <v>51</v>
      </c>
      <c r="D1801" s="8" t="s">
        <v>2027</v>
      </c>
      <c r="E1801" s="8" t="s">
        <v>117</v>
      </c>
      <c r="F1801" s="8" t="s">
        <v>166</v>
      </c>
      <c r="G1801" s="8" t="s">
        <v>204</v>
      </c>
      <c r="H1801" s="15" t="n">
        <v>192</v>
      </c>
      <c r="I1801" s="15" t="n">
        <v>192</v>
      </c>
      <c r="J1801" s="16" t="n">
        <v>0.75</v>
      </c>
      <c r="K1801" s="8" t="n">
        <v>8.7</v>
      </c>
      <c r="L1801" s="8" t="n">
        <v>9</v>
      </c>
      <c r="M1801" s="8" t="n">
        <v>1</v>
      </c>
      <c r="N1801" s="8" t="s">
        <v>120</v>
      </c>
      <c r="O1801" s="15" t="n">
        <f aca="false">H1801*12</f>
        <v>2304</v>
      </c>
      <c r="P1801" s="8" t="n">
        <f aca="false">MIN(100,ROUND(100*J1801/Assumptions!$B$8,0))</f>
        <v>83</v>
      </c>
      <c r="Q1801" s="8" t="n">
        <f aca="false">IF(L1801="",Assumptions!$B$9,L1801*10)</f>
        <v>90</v>
      </c>
      <c r="R1801" s="8" t="n">
        <f aca="false">IF(M1801&lt;=1,Assumptions!$B$12,IF(M1801&lt;=3,Assumptions!$B$13,IF(M1801&lt;=6,Assumptions!$B$14,Assumptions!$B$15)))</f>
        <v>100</v>
      </c>
      <c r="S1801" s="8" t="n">
        <f aca="false">IF(N1801="Completed On Time",Assumptions!$B$16,IF(N1801="Completed Late",Assumptions!$B$17,Assumptions!$B$18))</f>
        <v>100</v>
      </c>
      <c r="T1801" s="8" t="n">
        <f aca="false">IF(I1801=0,Assumptions!$B$20,IF(H1801&gt;I1801,Assumptions!$B$19,IF(H1801=I1801,Assumptions!$B$20,Assumptions!$B$21)))</f>
        <v>70</v>
      </c>
      <c r="U1801" s="8" t="n">
        <f aca="false">ROUND(P1801*Assumptions!$B$2+Q1801*Assumptions!$B$3+R1801*Assumptions!$B$4+S1801*Assumptions!$B$5+T1801*Assumptions!$B$6,0)</f>
        <v>86</v>
      </c>
      <c r="V1801" s="8" t="str">
        <f aca="false">IF(U1801&gt;=Assumptions!$B$10,"Healthy",IF(U1801&gt;=Assumptions!$B$11,"Needs Attention","High Risk"))</f>
        <v>Healthy</v>
      </c>
    </row>
    <row r="1802" customFormat="false" ht="15" hidden="false" customHeight="false" outlineLevel="0" collapsed="false">
      <c r="A1802" s="8" t="s">
        <v>3746</v>
      </c>
      <c r="B1802" s="8" t="s">
        <v>3747</v>
      </c>
      <c r="C1802" s="8" t="s">
        <v>51</v>
      </c>
      <c r="D1802" s="8" t="s">
        <v>2027</v>
      </c>
      <c r="E1802" s="8" t="s">
        <v>132</v>
      </c>
      <c r="F1802" s="8" t="s">
        <v>151</v>
      </c>
      <c r="G1802" s="8" t="s">
        <v>180</v>
      </c>
      <c r="H1802" s="15" t="n">
        <v>192</v>
      </c>
      <c r="I1802" s="15" t="n">
        <v>0</v>
      </c>
      <c r="J1802" s="16" t="n">
        <v>0.781</v>
      </c>
      <c r="K1802" s="8" t="n">
        <v>8</v>
      </c>
      <c r="L1802" s="8"/>
      <c r="M1802" s="8" t="n">
        <v>1</v>
      </c>
      <c r="N1802" s="8" t="s">
        <v>120</v>
      </c>
      <c r="O1802" s="15" t="n">
        <f aca="false">H1802*12</f>
        <v>2304</v>
      </c>
      <c r="P1802" s="8" t="n">
        <f aca="false">MIN(100,ROUND(100*J1802/Assumptions!$B$8,0))</f>
        <v>87</v>
      </c>
      <c r="Q1802" s="8" t="n">
        <f aca="false">IF(L1802="",Assumptions!$B$9,L1802*10)</f>
        <v>50</v>
      </c>
      <c r="R1802" s="8" t="n">
        <f aca="false">IF(M1802&lt;=1,Assumptions!$B$12,IF(M1802&lt;=3,Assumptions!$B$13,IF(M1802&lt;=6,Assumptions!$B$14,Assumptions!$B$15)))</f>
        <v>100</v>
      </c>
      <c r="S1802" s="8" t="n">
        <f aca="false">IF(N1802="Completed On Time",Assumptions!$B$16,IF(N1802="Completed Late",Assumptions!$B$17,Assumptions!$B$18))</f>
        <v>100</v>
      </c>
      <c r="T1802" s="8" t="n">
        <f aca="false">IF(I1802=0,Assumptions!$B$20,IF(H1802&gt;I1802,Assumptions!$B$19,IF(H1802=I1802,Assumptions!$B$20,Assumptions!$B$21)))</f>
        <v>70</v>
      </c>
      <c r="U1802" s="8" t="n">
        <f aca="false">ROUND(P1802*Assumptions!$B$2+Q1802*Assumptions!$B$3+R1802*Assumptions!$B$4+S1802*Assumptions!$B$5+T1802*Assumptions!$B$6,0)</f>
        <v>79</v>
      </c>
      <c r="V1802" s="8" t="str">
        <f aca="false">IF(U1802&gt;=Assumptions!$B$10,"Healthy",IF(U1802&gt;=Assumptions!$B$11,"Needs Attention","High Risk"))</f>
        <v>Needs Attention</v>
      </c>
    </row>
    <row r="1803" customFormat="false" ht="15" hidden="false" customHeight="false" outlineLevel="0" collapsed="false">
      <c r="A1803" s="8" t="s">
        <v>3748</v>
      </c>
      <c r="B1803" s="8" t="s">
        <v>3749</v>
      </c>
      <c r="C1803" s="8" t="s">
        <v>51</v>
      </c>
      <c r="D1803" s="8" t="s">
        <v>2027</v>
      </c>
      <c r="E1803" s="8" t="s">
        <v>128</v>
      </c>
      <c r="F1803" s="8" t="s">
        <v>143</v>
      </c>
      <c r="G1803" s="8" t="s">
        <v>180</v>
      </c>
      <c r="H1803" s="15" t="n">
        <v>192</v>
      </c>
      <c r="I1803" s="15" t="n">
        <v>192</v>
      </c>
      <c r="J1803" s="16" t="n">
        <v>0.625</v>
      </c>
      <c r="K1803" s="8" t="n">
        <v>8</v>
      </c>
      <c r="L1803" s="8" t="n">
        <v>6</v>
      </c>
      <c r="M1803" s="8" t="n">
        <v>1</v>
      </c>
      <c r="N1803" s="8" t="s">
        <v>120</v>
      </c>
      <c r="O1803" s="15" t="n">
        <f aca="false">H1803*12</f>
        <v>2304</v>
      </c>
      <c r="P1803" s="8" t="n">
        <f aca="false">MIN(100,ROUND(100*J1803/Assumptions!$B$8,0))</f>
        <v>69</v>
      </c>
      <c r="Q1803" s="8" t="n">
        <f aca="false">IF(L1803="",Assumptions!$B$9,L1803*10)</f>
        <v>60</v>
      </c>
      <c r="R1803" s="8" t="n">
        <f aca="false">IF(M1803&lt;=1,Assumptions!$B$12,IF(M1803&lt;=3,Assumptions!$B$13,IF(M1803&lt;=6,Assumptions!$B$14,Assumptions!$B$15)))</f>
        <v>100</v>
      </c>
      <c r="S1803" s="8" t="n">
        <f aca="false">IF(N1803="Completed On Time",Assumptions!$B$16,IF(N1803="Completed Late",Assumptions!$B$17,Assumptions!$B$18))</f>
        <v>100</v>
      </c>
      <c r="T1803" s="8" t="n">
        <f aca="false">IF(I1803=0,Assumptions!$B$20,IF(H1803&gt;I1803,Assumptions!$B$19,IF(H1803=I1803,Assumptions!$B$20,Assumptions!$B$21)))</f>
        <v>70</v>
      </c>
      <c r="U1803" s="8" t="n">
        <f aca="false">ROUND(P1803*Assumptions!$B$2+Q1803*Assumptions!$B$3+R1803*Assumptions!$B$4+S1803*Assumptions!$B$5+T1803*Assumptions!$B$6,0)</f>
        <v>75</v>
      </c>
      <c r="V1803" s="8" t="str">
        <f aca="false">IF(U1803&gt;=Assumptions!$B$10,"Healthy",IF(U1803&gt;=Assumptions!$B$11,"Needs Attention","High Risk"))</f>
        <v>Needs Attention</v>
      </c>
    </row>
    <row r="1804" customFormat="false" ht="15" hidden="false" customHeight="false" outlineLevel="0" collapsed="false">
      <c r="A1804" s="8" t="s">
        <v>3750</v>
      </c>
      <c r="B1804" s="8" t="s">
        <v>3751</v>
      </c>
      <c r="C1804" s="8" t="s">
        <v>51</v>
      </c>
      <c r="D1804" s="8" t="s">
        <v>2027</v>
      </c>
      <c r="E1804" s="8" t="s">
        <v>117</v>
      </c>
      <c r="F1804" s="8" t="s">
        <v>118</v>
      </c>
      <c r="G1804" s="8" t="s">
        <v>129</v>
      </c>
      <c r="H1804" s="15" t="n">
        <v>192</v>
      </c>
      <c r="I1804" s="15" t="n">
        <v>192</v>
      </c>
      <c r="J1804" s="16" t="n">
        <v>0.792</v>
      </c>
      <c r="K1804" s="8" t="n">
        <v>9.3</v>
      </c>
      <c r="L1804" s="8" t="n">
        <v>6</v>
      </c>
      <c r="M1804" s="8" t="n">
        <v>7</v>
      </c>
      <c r="N1804" s="8" t="s">
        <v>120</v>
      </c>
      <c r="O1804" s="15" t="n">
        <f aca="false">H1804*12</f>
        <v>2304</v>
      </c>
      <c r="P1804" s="8" t="n">
        <f aca="false">MIN(100,ROUND(100*J1804/Assumptions!$B$8,0))</f>
        <v>88</v>
      </c>
      <c r="Q1804" s="8" t="n">
        <f aca="false">IF(L1804="",Assumptions!$B$9,L1804*10)</f>
        <v>60</v>
      </c>
      <c r="R1804" s="8" t="n">
        <f aca="false">IF(M1804&lt;=1,Assumptions!$B$12,IF(M1804&lt;=3,Assumptions!$B$13,IF(M1804&lt;=6,Assumptions!$B$14,Assumptions!$B$15)))</f>
        <v>20</v>
      </c>
      <c r="S1804" s="8" t="n">
        <f aca="false">IF(N1804="Completed On Time",Assumptions!$B$16,IF(N1804="Completed Late",Assumptions!$B$17,Assumptions!$B$18))</f>
        <v>100</v>
      </c>
      <c r="T1804" s="8" t="n">
        <f aca="false">IF(I1804=0,Assumptions!$B$20,IF(H1804&gt;I1804,Assumptions!$B$19,IF(H1804=I1804,Assumptions!$B$20,Assumptions!$B$21)))</f>
        <v>70</v>
      </c>
      <c r="U1804" s="8" t="n">
        <f aca="false">ROUND(P1804*Assumptions!$B$2+Q1804*Assumptions!$B$3+R1804*Assumptions!$B$4+S1804*Assumptions!$B$5+T1804*Assumptions!$B$6,0)</f>
        <v>70</v>
      </c>
      <c r="V1804" s="8" t="str">
        <f aca="false">IF(U1804&gt;=Assumptions!$B$10,"Healthy",IF(U1804&gt;=Assumptions!$B$11,"Needs Attention","High Risk"))</f>
        <v>Needs Attention</v>
      </c>
    </row>
    <row r="1805" customFormat="false" ht="15" hidden="false" customHeight="false" outlineLevel="0" collapsed="false">
      <c r="A1805" s="8" t="s">
        <v>3752</v>
      </c>
      <c r="B1805" s="8" t="s">
        <v>3753</v>
      </c>
      <c r="C1805" s="8" t="s">
        <v>51</v>
      </c>
      <c r="D1805" s="8" t="s">
        <v>2027</v>
      </c>
      <c r="E1805" s="8" t="s">
        <v>132</v>
      </c>
      <c r="F1805" s="8" t="s">
        <v>124</v>
      </c>
      <c r="G1805" s="8" t="s">
        <v>144</v>
      </c>
      <c r="H1805" s="15" t="n">
        <v>192</v>
      </c>
      <c r="I1805" s="15" t="n">
        <v>192</v>
      </c>
      <c r="J1805" s="16" t="n">
        <v>0.729</v>
      </c>
      <c r="K1805" s="8" t="n">
        <v>7</v>
      </c>
      <c r="L1805" s="8" t="n">
        <v>8</v>
      </c>
      <c r="M1805" s="8" t="n">
        <v>1</v>
      </c>
      <c r="N1805" s="8" t="s">
        <v>120</v>
      </c>
      <c r="O1805" s="15" t="n">
        <f aca="false">H1805*12</f>
        <v>2304</v>
      </c>
      <c r="P1805" s="8" t="n">
        <f aca="false">MIN(100,ROUND(100*J1805/Assumptions!$B$8,0))</f>
        <v>81</v>
      </c>
      <c r="Q1805" s="8" t="n">
        <f aca="false">IF(L1805="",Assumptions!$B$9,L1805*10)</f>
        <v>80</v>
      </c>
      <c r="R1805" s="8" t="n">
        <f aca="false">IF(M1805&lt;=1,Assumptions!$B$12,IF(M1805&lt;=3,Assumptions!$B$13,IF(M1805&lt;=6,Assumptions!$B$14,Assumptions!$B$15)))</f>
        <v>100</v>
      </c>
      <c r="S1805" s="8" t="n">
        <f aca="false">IF(N1805="Completed On Time",Assumptions!$B$16,IF(N1805="Completed Late",Assumptions!$B$17,Assumptions!$B$18))</f>
        <v>100</v>
      </c>
      <c r="T1805" s="8" t="n">
        <f aca="false">IF(I1805=0,Assumptions!$B$20,IF(H1805&gt;I1805,Assumptions!$B$19,IF(H1805=I1805,Assumptions!$B$20,Assumptions!$B$21)))</f>
        <v>70</v>
      </c>
      <c r="U1805" s="8" t="n">
        <f aca="false">ROUND(P1805*Assumptions!$B$2+Q1805*Assumptions!$B$3+R1805*Assumptions!$B$4+S1805*Assumptions!$B$5+T1805*Assumptions!$B$6,0)</f>
        <v>83</v>
      </c>
      <c r="V1805" s="8" t="str">
        <f aca="false">IF(U1805&gt;=Assumptions!$B$10,"Healthy",IF(U1805&gt;=Assumptions!$B$11,"Needs Attention","High Risk"))</f>
        <v>Healthy</v>
      </c>
    </row>
    <row r="1806" customFormat="false" ht="15" hidden="false" customHeight="false" outlineLevel="0" collapsed="false">
      <c r="A1806" s="8" t="s">
        <v>3754</v>
      </c>
      <c r="B1806" s="8" t="s">
        <v>3755</v>
      </c>
      <c r="C1806" s="8" t="s">
        <v>51</v>
      </c>
      <c r="D1806" s="8" t="s">
        <v>2027</v>
      </c>
      <c r="E1806" s="8" t="s">
        <v>117</v>
      </c>
      <c r="F1806" s="8" t="s">
        <v>118</v>
      </c>
      <c r="G1806" s="8" t="s">
        <v>147</v>
      </c>
      <c r="H1806" s="15" t="n">
        <v>192</v>
      </c>
      <c r="I1806" s="15" t="n">
        <v>192</v>
      </c>
      <c r="J1806" s="16" t="n">
        <v>0.583</v>
      </c>
      <c r="K1806" s="8" t="n">
        <v>5</v>
      </c>
      <c r="L1806" s="8" t="n">
        <v>7</v>
      </c>
      <c r="M1806" s="8" t="n">
        <v>8</v>
      </c>
      <c r="N1806" s="8" t="s">
        <v>120</v>
      </c>
      <c r="O1806" s="15" t="n">
        <f aca="false">H1806*12</f>
        <v>2304</v>
      </c>
      <c r="P1806" s="8" t="n">
        <f aca="false">MIN(100,ROUND(100*J1806/Assumptions!$B$8,0))</f>
        <v>65</v>
      </c>
      <c r="Q1806" s="8" t="n">
        <f aca="false">IF(L1806="",Assumptions!$B$9,L1806*10)</f>
        <v>70</v>
      </c>
      <c r="R1806" s="8" t="n">
        <f aca="false">IF(M1806&lt;=1,Assumptions!$B$12,IF(M1806&lt;=3,Assumptions!$B$13,IF(M1806&lt;=6,Assumptions!$B$14,Assumptions!$B$15)))</f>
        <v>20</v>
      </c>
      <c r="S1806" s="8" t="n">
        <f aca="false">IF(N1806="Completed On Time",Assumptions!$B$16,IF(N1806="Completed Late",Assumptions!$B$17,Assumptions!$B$18))</f>
        <v>100</v>
      </c>
      <c r="T1806" s="8" t="n">
        <f aca="false">IF(I1806=0,Assumptions!$B$20,IF(H1806&gt;I1806,Assumptions!$B$19,IF(H1806=I1806,Assumptions!$B$20,Assumptions!$B$21)))</f>
        <v>70</v>
      </c>
      <c r="U1806" s="8" t="n">
        <f aca="false">ROUND(P1806*Assumptions!$B$2+Q1806*Assumptions!$B$3+R1806*Assumptions!$B$4+S1806*Assumptions!$B$5+T1806*Assumptions!$B$6,0)</f>
        <v>64</v>
      </c>
      <c r="V1806" s="8" t="str">
        <f aca="false">IF(U1806&gt;=Assumptions!$B$10,"Healthy",IF(U1806&gt;=Assumptions!$B$11,"Needs Attention","High Risk"))</f>
        <v>High Risk</v>
      </c>
    </row>
    <row r="1807" customFormat="false" ht="15" hidden="false" customHeight="false" outlineLevel="0" collapsed="false">
      <c r="A1807" s="8" t="s">
        <v>3756</v>
      </c>
      <c r="B1807" s="8" t="s">
        <v>3757</v>
      </c>
      <c r="C1807" s="8" t="s">
        <v>51</v>
      </c>
      <c r="D1807" s="8" t="s">
        <v>2027</v>
      </c>
      <c r="E1807" s="8" t="s">
        <v>123</v>
      </c>
      <c r="F1807" s="8" t="s">
        <v>136</v>
      </c>
      <c r="G1807" s="8" t="s">
        <v>129</v>
      </c>
      <c r="H1807" s="15" t="n">
        <v>192</v>
      </c>
      <c r="I1807" s="15" t="n">
        <v>192</v>
      </c>
      <c r="J1807" s="16" t="n">
        <v>0.688</v>
      </c>
      <c r="K1807" s="8" t="n">
        <v>7.7</v>
      </c>
      <c r="L1807" s="8" t="n">
        <v>6</v>
      </c>
      <c r="M1807" s="8" t="n">
        <v>4</v>
      </c>
      <c r="N1807" s="8" t="s">
        <v>120</v>
      </c>
      <c r="O1807" s="15" t="n">
        <f aca="false">H1807*12</f>
        <v>2304</v>
      </c>
      <c r="P1807" s="8" t="n">
        <f aca="false">MIN(100,ROUND(100*J1807/Assumptions!$B$8,0))</f>
        <v>76</v>
      </c>
      <c r="Q1807" s="8" t="n">
        <f aca="false">IF(L1807="",Assumptions!$B$9,L1807*10)</f>
        <v>60</v>
      </c>
      <c r="R1807" s="8" t="n">
        <f aca="false">IF(M1807&lt;=1,Assumptions!$B$12,IF(M1807&lt;=3,Assumptions!$B$13,IF(M1807&lt;=6,Assumptions!$B$14,Assumptions!$B$15)))</f>
        <v>50</v>
      </c>
      <c r="S1807" s="8" t="n">
        <f aca="false">IF(N1807="Completed On Time",Assumptions!$B$16,IF(N1807="Completed Late",Assumptions!$B$17,Assumptions!$B$18))</f>
        <v>100</v>
      </c>
      <c r="T1807" s="8" t="n">
        <f aca="false">IF(I1807=0,Assumptions!$B$20,IF(H1807&gt;I1807,Assumptions!$B$19,IF(H1807=I1807,Assumptions!$B$20,Assumptions!$B$21)))</f>
        <v>70</v>
      </c>
      <c r="U1807" s="8" t="n">
        <f aca="false">ROUND(P1807*Assumptions!$B$2+Q1807*Assumptions!$B$3+R1807*Assumptions!$B$4+S1807*Assumptions!$B$5+T1807*Assumptions!$B$6,0)</f>
        <v>70</v>
      </c>
      <c r="V1807" s="8" t="str">
        <f aca="false">IF(U1807&gt;=Assumptions!$B$10,"Healthy",IF(U1807&gt;=Assumptions!$B$11,"Needs Attention","High Risk"))</f>
        <v>Needs Attention</v>
      </c>
    </row>
    <row r="1808" customFormat="false" ht="15" hidden="false" customHeight="false" outlineLevel="0" collapsed="false">
      <c r="A1808" s="8" t="s">
        <v>3758</v>
      </c>
      <c r="B1808" s="8" t="s">
        <v>3759</v>
      </c>
      <c r="C1808" s="8" t="s">
        <v>51</v>
      </c>
      <c r="D1808" s="8" t="s">
        <v>2027</v>
      </c>
      <c r="E1808" s="8" t="s">
        <v>132</v>
      </c>
      <c r="F1808" s="8" t="s">
        <v>118</v>
      </c>
      <c r="G1808" s="8" t="s">
        <v>177</v>
      </c>
      <c r="H1808" s="15" t="n">
        <v>192</v>
      </c>
      <c r="I1808" s="15" t="n">
        <v>192</v>
      </c>
      <c r="J1808" s="16" t="n">
        <v>0.604</v>
      </c>
      <c r="K1808" s="8" t="n">
        <v>5.7</v>
      </c>
      <c r="L1808" s="8" t="n">
        <v>5</v>
      </c>
      <c r="M1808" s="8" t="n">
        <v>2</v>
      </c>
      <c r="N1808" s="8" t="s">
        <v>120</v>
      </c>
      <c r="O1808" s="15" t="n">
        <f aca="false">H1808*12</f>
        <v>2304</v>
      </c>
      <c r="P1808" s="8" t="n">
        <f aca="false">MIN(100,ROUND(100*J1808/Assumptions!$B$8,0))</f>
        <v>67</v>
      </c>
      <c r="Q1808" s="8" t="n">
        <f aca="false">IF(L1808="",Assumptions!$B$9,L1808*10)</f>
        <v>50</v>
      </c>
      <c r="R1808" s="8" t="n">
        <f aca="false">IF(M1808&lt;=1,Assumptions!$B$12,IF(M1808&lt;=3,Assumptions!$B$13,IF(M1808&lt;=6,Assumptions!$B$14,Assumptions!$B$15)))</f>
        <v>75</v>
      </c>
      <c r="S1808" s="8" t="n">
        <f aca="false">IF(N1808="Completed On Time",Assumptions!$B$16,IF(N1808="Completed Late",Assumptions!$B$17,Assumptions!$B$18))</f>
        <v>100</v>
      </c>
      <c r="T1808" s="8" t="n">
        <f aca="false">IF(I1808=0,Assumptions!$B$20,IF(H1808&gt;I1808,Assumptions!$B$19,IF(H1808=I1808,Assumptions!$B$20,Assumptions!$B$21)))</f>
        <v>70</v>
      </c>
      <c r="U1808" s="8" t="n">
        <f aca="false">ROUND(P1808*Assumptions!$B$2+Q1808*Assumptions!$B$3+R1808*Assumptions!$B$4+S1808*Assumptions!$B$5+T1808*Assumptions!$B$6,0)</f>
        <v>69</v>
      </c>
      <c r="V1808" s="8" t="str">
        <f aca="false">IF(U1808&gt;=Assumptions!$B$10,"Healthy",IF(U1808&gt;=Assumptions!$B$11,"Needs Attention","High Risk"))</f>
        <v>Needs Attention</v>
      </c>
    </row>
    <row r="1809" customFormat="false" ht="15" hidden="false" customHeight="false" outlineLevel="0" collapsed="false">
      <c r="A1809" s="8" t="s">
        <v>3760</v>
      </c>
      <c r="B1809" s="8" t="s">
        <v>3761</v>
      </c>
      <c r="C1809" s="8" t="s">
        <v>51</v>
      </c>
      <c r="D1809" s="8" t="s">
        <v>2027</v>
      </c>
      <c r="E1809" s="8" t="s">
        <v>123</v>
      </c>
      <c r="F1809" s="8" t="s">
        <v>143</v>
      </c>
      <c r="G1809" s="8" t="s">
        <v>119</v>
      </c>
      <c r="H1809" s="15" t="n">
        <v>192</v>
      </c>
      <c r="I1809" s="15" t="n">
        <v>192</v>
      </c>
      <c r="J1809" s="16" t="n">
        <v>0.542</v>
      </c>
      <c r="K1809" s="8" t="n">
        <v>6</v>
      </c>
      <c r="L1809" s="8" t="n">
        <v>5</v>
      </c>
      <c r="M1809" s="8" t="n">
        <v>2</v>
      </c>
      <c r="N1809" s="8" t="s">
        <v>120</v>
      </c>
      <c r="O1809" s="15" t="n">
        <f aca="false">H1809*12</f>
        <v>2304</v>
      </c>
      <c r="P1809" s="8" t="n">
        <f aca="false">MIN(100,ROUND(100*J1809/Assumptions!$B$8,0))</f>
        <v>60</v>
      </c>
      <c r="Q1809" s="8" t="n">
        <f aca="false">IF(L1809="",Assumptions!$B$9,L1809*10)</f>
        <v>50</v>
      </c>
      <c r="R1809" s="8" t="n">
        <f aca="false">IF(M1809&lt;=1,Assumptions!$B$12,IF(M1809&lt;=3,Assumptions!$B$13,IF(M1809&lt;=6,Assumptions!$B$14,Assumptions!$B$15)))</f>
        <v>75</v>
      </c>
      <c r="S1809" s="8" t="n">
        <f aca="false">IF(N1809="Completed On Time",Assumptions!$B$16,IF(N1809="Completed Late",Assumptions!$B$17,Assumptions!$B$18))</f>
        <v>100</v>
      </c>
      <c r="T1809" s="8" t="n">
        <f aca="false">IF(I1809=0,Assumptions!$B$20,IF(H1809&gt;I1809,Assumptions!$B$19,IF(H1809=I1809,Assumptions!$B$20,Assumptions!$B$21)))</f>
        <v>70</v>
      </c>
      <c r="U1809" s="8" t="n">
        <f aca="false">ROUND(P1809*Assumptions!$B$2+Q1809*Assumptions!$B$3+R1809*Assumptions!$B$4+S1809*Assumptions!$B$5+T1809*Assumptions!$B$6,0)</f>
        <v>66</v>
      </c>
      <c r="V1809" s="8" t="str">
        <f aca="false">IF(U1809&gt;=Assumptions!$B$10,"Healthy",IF(U1809&gt;=Assumptions!$B$11,"Needs Attention","High Risk"))</f>
        <v>Needs Attention</v>
      </c>
    </row>
    <row r="1810" customFormat="false" ht="15" hidden="false" customHeight="false" outlineLevel="0" collapsed="false">
      <c r="A1810" s="8" t="s">
        <v>3762</v>
      </c>
      <c r="B1810" s="8" t="s">
        <v>3763</v>
      </c>
      <c r="C1810" s="8" t="s">
        <v>51</v>
      </c>
      <c r="D1810" s="8" t="s">
        <v>2027</v>
      </c>
      <c r="E1810" s="8" t="s">
        <v>132</v>
      </c>
      <c r="F1810" s="8" t="s">
        <v>190</v>
      </c>
      <c r="G1810" s="8" t="s">
        <v>119</v>
      </c>
      <c r="H1810" s="15" t="n">
        <v>192</v>
      </c>
      <c r="I1810" s="15" t="n">
        <v>192</v>
      </c>
      <c r="J1810" s="16" t="n">
        <v>0.625</v>
      </c>
      <c r="K1810" s="8" t="n">
        <v>6.7</v>
      </c>
      <c r="L1810" s="8" t="n">
        <v>9</v>
      </c>
      <c r="M1810" s="8" t="n">
        <v>3</v>
      </c>
      <c r="N1810" s="8" t="s">
        <v>120</v>
      </c>
      <c r="O1810" s="15" t="n">
        <f aca="false">H1810*12</f>
        <v>2304</v>
      </c>
      <c r="P1810" s="8" t="n">
        <f aca="false">MIN(100,ROUND(100*J1810/Assumptions!$B$8,0))</f>
        <v>69</v>
      </c>
      <c r="Q1810" s="8" t="n">
        <f aca="false">IF(L1810="",Assumptions!$B$9,L1810*10)</f>
        <v>90</v>
      </c>
      <c r="R1810" s="8" t="n">
        <f aca="false">IF(M1810&lt;=1,Assumptions!$B$12,IF(M1810&lt;=3,Assumptions!$B$13,IF(M1810&lt;=6,Assumptions!$B$14,Assumptions!$B$15)))</f>
        <v>75</v>
      </c>
      <c r="S1810" s="8" t="n">
        <f aca="false">IF(N1810="Completed On Time",Assumptions!$B$16,IF(N1810="Completed Late",Assumptions!$B$17,Assumptions!$B$18))</f>
        <v>100</v>
      </c>
      <c r="T1810" s="8" t="n">
        <f aca="false">IF(I1810=0,Assumptions!$B$20,IF(H1810&gt;I1810,Assumptions!$B$19,IF(H1810=I1810,Assumptions!$B$20,Assumptions!$B$21)))</f>
        <v>70</v>
      </c>
      <c r="U1810" s="8" t="n">
        <f aca="false">ROUND(P1810*Assumptions!$B$2+Q1810*Assumptions!$B$3+R1810*Assumptions!$B$4+S1810*Assumptions!$B$5+T1810*Assumptions!$B$6,0)</f>
        <v>77</v>
      </c>
      <c r="V1810" s="8" t="str">
        <f aca="false">IF(U1810&gt;=Assumptions!$B$10,"Healthy",IF(U1810&gt;=Assumptions!$B$11,"Needs Attention","High Risk"))</f>
        <v>Needs Attention</v>
      </c>
    </row>
    <row r="1811" customFormat="false" ht="15" hidden="false" customHeight="false" outlineLevel="0" collapsed="false">
      <c r="A1811" s="8" t="s">
        <v>3764</v>
      </c>
      <c r="B1811" s="8" t="s">
        <v>3765</v>
      </c>
      <c r="C1811" s="8" t="s">
        <v>51</v>
      </c>
      <c r="D1811" s="8" t="s">
        <v>2027</v>
      </c>
      <c r="E1811" s="8" t="s">
        <v>123</v>
      </c>
      <c r="F1811" s="8" t="s">
        <v>223</v>
      </c>
      <c r="G1811" s="8" t="s">
        <v>137</v>
      </c>
      <c r="H1811" s="15" t="n">
        <v>192</v>
      </c>
      <c r="I1811" s="15" t="n">
        <v>192</v>
      </c>
      <c r="J1811" s="16" t="n">
        <v>0.646</v>
      </c>
      <c r="K1811" s="8" t="n">
        <v>8.7</v>
      </c>
      <c r="L1811" s="8" t="n">
        <v>9</v>
      </c>
      <c r="M1811" s="8" t="n">
        <v>4</v>
      </c>
      <c r="N1811" s="8" t="s">
        <v>120</v>
      </c>
      <c r="O1811" s="15" t="n">
        <f aca="false">H1811*12</f>
        <v>2304</v>
      </c>
      <c r="P1811" s="8" t="n">
        <f aca="false">MIN(100,ROUND(100*J1811/Assumptions!$B$8,0))</f>
        <v>72</v>
      </c>
      <c r="Q1811" s="8" t="n">
        <f aca="false">IF(L1811="",Assumptions!$B$9,L1811*10)</f>
        <v>90</v>
      </c>
      <c r="R1811" s="8" t="n">
        <f aca="false">IF(M1811&lt;=1,Assumptions!$B$12,IF(M1811&lt;=3,Assumptions!$B$13,IF(M1811&lt;=6,Assumptions!$B$14,Assumptions!$B$15)))</f>
        <v>50</v>
      </c>
      <c r="S1811" s="8" t="n">
        <f aca="false">IF(N1811="Completed On Time",Assumptions!$B$16,IF(N1811="Completed Late",Assumptions!$B$17,Assumptions!$B$18))</f>
        <v>100</v>
      </c>
      <c r="T1811" s="8" t="n">
        <f aca="false">IF(I1811=0,Assumptions!$B$20,IF(H1811&gt;I1811,Assumptions!$B$19,IF(H1811=I1811,Assumptions!$B$20,Assumptions!$B$21)))</f>
        <v>70</v>
      </c>
      <c r="U1811" s="8" t="n">
        <f aca="false">ROUND(P1811*Assumptions!$B$2+Q1811*Assumptions!$B$3+R1811*Assumptions!$B$4+S1811*Assumptions!$B$5+T1811*Assumptions!$B$6,0)</f>
        <v>75</v>
      </c>
      <c r="V1811" s="8" t="str">
        <f aca="false">IF(U1811&gt;=Assumptions!$B$10,"Healthy",IF(U1811&gt;=Assumptions!$B$11,"Needs Attention","High Risk"))</f>
        <v>Needs Attention</v>
      </c>
    </row>
    <row r="1812" customFormat="false" ht="15" hidden="false" customHeight="false" outlineLevel="0" collapsed="false">
      <c r="A1812" s="8" t="s">
        <v>3766</v>
      </c>
      <c r="B1812" s="8" t="s">
        <v>3767</v>
      </c>
      <c r="C1812" s="8" t="s">
        <v>51</v>
      </c>
      <c r="D1812" s="8" t="s">
        <v>2027</v>
      </c>
      <c r="E1812" s="8" t="s">
        <v>123</v>
      </c>
      <c r="F1812" s="8" t="s">
        <v>223</v>
      </c>
      <c r="G1812" s="8" t="s">
        <v>140</v>
      </c>
      <c r="H1812" s="15" t="n">
        <v>192</v>
      </c>
      <c r="I1812" s="15" t="n">
        <v>192</v>
      </c>
      <c r="J1812" s="16" t="n">
        <v>0.563</v>
      </c>
      <c r="K1812" s="8" t="n">
        <v>7.3</v>
      </c>
      <c r="L1812" s="8" t="n">
        <v>9</v>
      </c>
      <c r="M1812" s="8" t="n">
        <v>2</v>
      </c>
      <c r="N1812" s="8" t="s">
        <v>120</v>
      </c>
      <c r="O1812" s="15" t="n">
        <f aca="false">H1812*12</f>
        <v>2304</v>
      </c>
      <c r="P1812" s="8" t="n">
        <f aca="false">MIN(100,ROUND(100*J1812/Assumptions!$B$8,0))</f>
        <v>63</v>
      </c>
      <c r="Q1812" s="8" t="n">
        <f aca="false">IF(L1812="",Assumptions!$B$9,L1812*10)</f>
        <v>90</v>
      </c>
      <c r="R1812" s="8" t="n">
        <f aca="false">IF(M1812&lt;=1,Assumptions!$B$12,IF(M1812&lt;=3,Assumptions!$B$13,IF(M1812&lt;=6,Assumptions!$B$14,Assumptions!$B$15)))</f>
        <v>75</v>
      </c>
      <c r="S1812" s="8" t="n">
        <f aca="false">IF(N1812="Completed On Time",Assumptions!$B$16,IF(N1812="Completed Late",Assumptions!$B$17,Assumptions!$B$18))</f>
        <v>100</v>
      </c>
      <c r="T1812" s="8" t="n">
        <f aca="false">IF(I1812=0,Assumptions!$B$20,IF(H1812&gt;I1812,Assumptions!$B$19,IF(H1812=I1812,Assumptions!$B$20,Assumptions!$B$21)))</f>
        <v>70</v>
      </c>
      <c r="U1812" s="8" t="n">
        <f aca="false">ROUND(P1812*Assumptions!$B$2+Q1812*Assumptions!$B$3+R1812*Assumptions!$B$4+S1812*Assumptions!$B$5+T1812*Assumptions!$B$6,0)</f>
        <v>75</v>
      </c>
      <c r="V1812" s="8" t="str">
        <f aca="false">IF(U1812&gt;=Assumptions!$B$10,"Healthy",IF(U1812&gt;=Assumptions!$B$11,"Needs Attention","High Risk"))</f>
        <v>Needs Attention</v>
      </c>
    </row>
    <row r="1813" customFormat="false" ht="15" hidden="false" customHeight="false" outlineLevel="0" collapsed="false">
      <c r="A1813" s="8" t="s">
        <v>3768</v>
      </c>
      <c r="B1813" s="8" t="s">
        <v>3769</v>
      </c>
      <c r="C1813" s="8" t="s">
        <v>51</v>
      </c>
      <c r="D1813" s="8" t="s">
        <v>2027</v>
      </c>
      <c r="E1813" s="8" t="s">
        <v>123</v>
      </c>
      <c r="F1813" s="8" t="s">
        <v>223</v>
      </c>
      <c r="G1813" s="8" t="s">
        <v>129</v>
      </c>
      <c r="H1813" s="15" t="n">
        <v>192</v>
      </c>
      <c r="I1813" s="15" t="n">
        <v>192</v>
      </c>
      <c r="J1813" s="16" t="n">
        <v>0.771</v>
      </c>
      <c r="K1813" s="8" t="n">
        <v>9.7</v>
      </c>
      <c r="L1813" s="8" t="n">
        <v>10</v>
      </c>
      <c r="M1813" s="8" t="n">
        <v>3</v>
      </c>
      <c r="N1813" s="8" t="s">
        <v>120</v>
      </c>
      <c r="O1813" s="15" t="n">
        <f aca="false">H1813*12</f>
        <v>2304</v>
      </c>
      <c r="P1813" s="8" t="n">
        <f aca="false">MIN(100,ROUND(100*J1813/Assumptions!$B$8,0))</f>
        <v>86</v>
      </c>
      <c r="Q1813" s="8" t="n">
        <f aca="false">IF(L1813="",Assumptions!$B$9,L1813*10)</f>
        <v>100</v>
      </c>
      <c r="R1813" s="8" t="n">
        <f aca="false">IF(M1813&lt;=1,Assumptions!$B$12,IF(M1813&lt;=3,Assumptions!$B$13,IF(M1813&lt;=6,Assumptions!$B$14,Assumptions!$B$15)))</f>
        <v>75</v>
      </c>
      <c r="S1813" s="8" t="n">
        <f aca="false">IF(N1813="Completed On Time",Assumptions!$B$16,IF(N1813="Completed Late",Assumptions!$B$17,Assumptions!$B$18))</f>
        <v>100</v>
      </c>
      <c r="T1813" s="8" t="n">
        <f aca="false">IF(I1813=0,Assumptions!$B$20,IF(H1813&gt;I1813,Assumptions!$B$19,IF(H1813=I1813,Assumptions!$B$20,Assumptions!$B$21)))</f>
        <v>70</v>
      </c>
      <c r="U1813" s="8" t="n">
        <f aca="false">ROUND(P1813*Assumptions!$B$2+Q1813*Assumptions!$B$3+R1813*Assumptions!$B$4+S1813*Assumptions!$B$5+T1813*Assumptions!$B$6,0)</f>
        <v>85</v>
      </c>
      <c r="V1813" s="8" t="str">
        <f aca="false">IF(U1813&gt;=Assumptions!$B$10,"Healthy",IF(U1813&gt;=Assumptions!$B$11,"Needs Attention","High Risk"))</f>
        <v>Healthy</v>
      </c>
    </row>
    <row r="1814" customFormat="false" ht="15" hidden="false" customHeight="false" outlineLevel="0" collapsed="false">
      <c r="A1814" s="8" t="s">
        <v>3770</v>
      </c>
      <c r="B1814" s="8" t="s">
        <v>3771</v>
      </c>
      <c r="C1814" s="8" t="s">
        <v>51</v>
      </c>
      <c r="D1814" s="8" t="s">
        <v>2027</v>
      </c>
      <c r="E1814" s="8" t="s">
        <v>117</v>
      </c>
      <c r="F1814" s="8" t="s">
        <v>190</v>
      </c>
      <c r="G1814" s="8" t="s">
        <v>185</v>
      </c>
      <c r="H1814" s="15" t="n">
        <v>192</v>
      </c>
      <c r="I1814" s="15" t="n">
        <v>156</v>
      </c>
      <c r="J1814" s="16" t="n">
        <v>0.476</v>
      </c>
      <c r="K1814" s="8" t="n">
        <v>7.7</v>
      </c>
      <c r="L1814" s="8" t="n">
        <v>9</v>
      </c>
      <c r="M1814" s="8" t="n">
        <v>4</v>
      </c>
      <c r="N1814" s="8" t="s">
        <v>120</v>
      </c>
      <c r="O1814" s="15" t="n">
        <f aca="false">H1814*12</f>
        <v>2304</v>
      </c>
      <c r="P1814" s="8" t="n">
        <f aca="false">MIN(100,ROUND(100*J1814/Assumptions!$B$8,0))</f>
        <v>53</v>
      </c>
      <c r="Q1814" s="8" t="n">
        <f aca="false">IF(L1814="",Assumptions!$B$9,L1814*10)</f>
        <v>90</v>
      </c>
      <c r="R1814" s="8" t="n">
        <f aca="false">IF(M1814&lt;=1,Assumptions!$B$12,IF(M1814&lt;=3,Assumptions!$B$13,IF(M1814&lt;=6,Assumptions!$B$14,Assumptions!$B$15)))</f>
        <v>50</v>
      </c>
      <c r="S1814" s="8" t="n">
        <f aca="false">IF(N1814="Completed On Time",Assumptions!$B$16,IF(N1814="Completed Late",Assumptions!$B$17,Assumptions!$B$18))</f>
        <v>100</v>
      </c>
      <c r="T1814" s="8" t="n">
        <f aca="false">IF(I1814=0,Assumptions!$B$20,IF(H1814&gt;I1814,Assumptions!$B$19,IF(H1814=I1814,Assumptions!$B$20,Assumptions!$B$21)))</f>
        <v>100</v>
      </c>
      <c r="U1814" s="8" t="n">
        <f aca="false">ROUND(P1814*Assumptions!$B$2+Q1814*Assumptions!$B$3+R1814*Assumptions!$B$4+S1814*Assumptions!$B$5+T1814*Assumptions!$B$6,0)</f>
        <v>74</v>
      </c>
      <c r="V1814" s="8" t="str">
        <f aca="false">IF(U1814&gt;=Assumptions!$B$10,"Healthy",IF(U1814&gt;=Assumptions!$B$11,"Needs Attention","High Risk"))</f>
        <v>Needs Attention</v>
      </c>
    </row>
    <row r="1815" customFormat="false" ht="15" hidden="false" customHeight="false" outlineLevel="0" collapsed="false">
      <c r="A1815" s="8" t="s">
        <v>3772</v>
      </c>
      <c r="B1815" s="8" t="s">
        <v>3773</v>
      </c>
      <c r="C1815" s="8" t="s">
        <v>51</v>
      </c>
      <c r="D1815" s="8" t="s">
        <v>2027</v>
      </c>
      <c r="E1815" s="8" t="s">
        <v>123</v>
      </c>
      <c r="F1815" s="8" t="s">
        <v>190</v>
      </c>
      <c r="G1815" s="8" t="s">
        <v>125</v>
      </c>
      <c r="H1815" s="15" t="n">
        <v>192</v>
      </c>
      <c r="I1815" s="15" t="n">
        <v>192</v>
      </c>
      <c r="J1815" s="16" t="n">
        <v>0.771</v>
      </c>
      <c r="K1815" s="8" t="n">
        <v>8.7</v>
      </c>
      <c r="L1815" s="8" t="n">
        <v>10</v>
      </c>
      <c r="M1815" s="8" t="n">
        <v>4</v>
      </c>
      <c r="N1815" s="8" t="s">
        <v>120</v>
      </c>
      <c r="O1815" s="15" t="n">
        <f aca="false">H1815*12</f>
        <v>2304</v>
      </c>
      <c r="P1815" s="8" t="n">
        <f aca="false">MIN(100,ROUND(100*J1815/Assumptions!$B$8,0))</f>
        <v>86</v>
      </c>
      <c r="Q1815" s="8" t="n">
        <f aca="false">IF(L1815="",Assumptions!$B$9,L1815*10)</f>
        <v>100</v>
      </c>
      <c r="R1815" s="8" t="n">
        <f aca="false">IF(M1815&lt;=1,Assumptions!$B$12,IF(M1815&lt;=3,Assumptions!$B$13,IF(M1815&lt;=6,Assumptions!$B$14,Assumptions!$B$15)))</f>
        <v>50</v>
      </c>
      <c r="S1815" s="8" t="n">
        <f aca="false">IF(N1815="Completed On Time",Assumptions!$B$16,IF(N1815="Completed Late",Assumptions!$B$17,Assumptions!$B$18))</f>
        <v>100</v>
      </c>
      <c r="T1815" s="8" t="n">
        <f aca="false">IF(I1815=0,Assumptions!$B$20,IF(H1815&gt;I1815,Assumptions!$B$19,IF(H1815=I1815,Assumptions!$B$20,Assumptions!$B$21)))</f>
        <v>70</v>
      </c>
      <c r="U1815" s="8" t="n">
        <f aca="false">ROUND(P1815*Assumptions!$B$2+Q1815*Assumptions!$B$3+R1815*Assumptions!$B$4+S1815*Assumptions!$B$5+T1815*Assumptions!$B$6,0)</f>
        <v>82</v>
      </c>
      <c r="V1815" s="8" t="str">
        <f aca="false">IF(U1815&gt;=Assumptions!$B$10,"Healthy",IF(U1815&gt;=Assumptions!$B$11,"Needs Attention","High Risk"))</f>
        <v>Healthy</v>
      </c>
    </row>
    <row r="1816" customFormat="false" ht="15" hidden="false" customHeight="false" outlineLevel="0" collapsed="false">
      <c r="A1816" s="8" t="s">
        <v>3774</v>
      </c>
      <c r="B1816" s="8" t="s">
        <v>3775</v>
      </c>
      <c r="C1816" s="8" t="s">
        <v>51</v>
      </c>
      <c r="D1816" s="8" t="s">
        <v>2027</v>
      </c>
      <c r="E1816" s="8" t="s">
        <v>132</v>
      </c>
      <c r="F1816" s="8" t="s">
        <v>166</v>
      </c>
      <c r="G1816" s="8" t="s">
        <v>147</v>
      </c>
      <c r="H1816" s="15" t="n">
        <v>192</v>
      </c>
      <c r="I1816" s="15" t="n">
        <v>192</v>
      </c>
      <c r="J1816" s="16" t="n">
        <v>0.583</v>
      </c>
      <c r="K1816" s="8" t="n">
        <v>7</v>
      </c>
      <c r="L1816" s="8" t="n">
        <v>10</v>
      </c>
      <c r="M1816" s="8" t="n">
        <v>7</v>
      </c>
      <c r="N1816" s="8" t="s">
        <v>120</v>
      </c>
      <c r="O1816" s="15" t="n">
        <f aca="false">H1816*12</f>
        <v>2304</v>
      </c>
      <c r="P1816" s="8" t="n">
        <f aca="false">MIN(100,ROUND(100*J1816/Assumptions!$B$8,0))</f>
        <v>65</v>
      </c>
      <c r="Q1816" s="8" t="n">
        <f aca="false">IF(L1816="",Assumptions!$B$9,L1816*10)</f>
        <v>100</v>
      </c>
      <c r="R1816" s="8" t="n">
        <f aca="false">IF(M1816&lt;=1,Assumptions!$B$12,IF(M1816&lt;=3,Assumptions!$B$13,IF(M1816&lt;=6,Assumptions!$B$14,Assumptions!$B$15)))</f>
        <v>20</v>
      </c>
      <c r="S1816" s="8" t="n">
        <f aca="false">IF(N1816="Completed On Time",Assumptions!$B$16,IF(N1816="Completed Late",Assumptions!$B$17,Assumptions!$B$18))</f>
        <v>100</v>
      </c>
      <c r="T1816" s="8" t="n">
        <f aca="false">IF(I1816=0,Assumptions!$B$20,IF(H1816&gt;I1816,Assumptions!$B$19,IF(H1816=I1816,Assumptions!$B$20,Assumptions!$B$21)))</f>
        <v>70</v>
      </c>
      <c r="U1816" s="8" t="n">
        <f aca="false">ROUND(P1816*Assumptions!$B$2+Q1816*Assumptions!$B$3+R1816*Assumptions!$B$4+S1816*Assumptions!$B$5+T1816*Assumptions!$B$6,0)</f>
        <v>70</v>
      </c>
      <c r="V1816" s="8" t="str">
        <f aca="false">IF(U1816&gt;=Assumptions!$B$10,"Healthy",IF(U1816&gt;=Assumptions!$B$11,"Needs Attention","High Risk"))</f>
        <v>Needs Attention</v>
      </c>
    </row>
    <row r="1817" customFormat="false" ht="15" hidden="false" customHeight="false" outlineLevel="0" collapsed="false">
      <c r="A1817" s="8" t="s">
        <v>3776</v>
      </c>
      <c r="B1817" s="8" t="s">
        <v>3777</v>
      </c>
      <c r="C1817" s="8" t="s">
        <v>51</v>
      </c>
      <c r="D1817" s="8" t="s">
        <v>2027</v>
      </c>
      <c r="E1817" s="8" t="s">
        <v>132</v>
      </c>
      <c r="F1817" s="8" t="s">
        <v>223</v>
      </c>
      <c r="G1817" s="8" t="s">
        <v>119</v>
      </c>
      <c r="H1817" s="15" t="n">
        <v>180</v>
      </c>
      <c r="I1817" s="15" t="n">
        <v>180</v>
      </c>
      <c r="J1817" s="16" t="n">
        <v>0.578</v>
      </c>
      <c r="K1817" s="8" t="n">
        <v>5.7</v>
      </c>
      <c r="L1817" s="8" t="n">
        <v>7</v>
      </c>
      <c r="M1817" s="8" t="n">
        <v>3</v>
      </c>
      <c r="N1817" s="8" t="s">
        <v>120</v>
      </c>
      <c r="O1817" s="15" t="n">
        <f aca="false">H1817*12</f>
        <v>2160</v>
      </c>
      <c r="P1817" s="8" t="n">
        <f aca="false">MIN(100,ROUND(100*J1817/Assumptions!$B$8,0))</f>
        <v>64</v>
      </c>
      <c r="Q1817" s="8" t="n">
        <f aca="false">IF(L1817="",Assumptions!$B$9,L1817*10)</f>
        <v>70</v>
      </c>
      <c r="R1817" s="8" t="n">
        <f aca="false">IF(M1817&lt;=1,Assumptions!$B$12,IF(M1817&lt;=3,Assumptions!$B$13,IF(M1817&lt;=6,Assumptions!$B$14,Assumptions!$B$15)))</f>
        <v>75</v>
      </c>
      <c r="S1817" s="8" t="n">
        <f aca="false">IF(N1817="Completed On Time",Assumptions!$B$16,IF(N1817="Completed Late",Assumptions!$B$17,Assumptions!$B$18))</f>
        <v>100</v>
      </c>
      <c r="T1817" s="8" t="n">
        <f aca="false">IF(I1817=0,Assumptions!$B$20,IF(H1817&gt;I1817,Assumptions!$B$19,IF(H1817=I1817,Assumptions!$B$20,Assumptions!$B$21)))</f>
        <v>70</v>
      </c>
      <c r="U1817" s="8" t="n">
        <f aca="false">ROUND(P1817*Assumptions!$B$2+Q1817*Assumptions!$B$3+R1817*Assumptions!$B$4+S1817*Assumptions!$B$5+T1817*Assumptions!$B$6,0)</f>
        <v>72</v>
      </c>
      <c r="V1817" s="8" t="str">
        <f aca="false">IF(U1817&gt;=Assumptions!$B$10,"Healthy",IF(U1817&gt;=Assumptions!$B$11,"Needs Attention","High Risk"))</f>
        <v>Needs Attention</v>
      </c>
    </row>
    <row r="1818" customFormat="false" ht="15" hidden="false" customHeight="false" outlineLevel="0" collapsed="false">
      <c r="A1818" s="8" t="s">
        <v>3778</v>
      </c>
      <c r="B1818" s="8" t="s">
        <v>3779</v>
      </c>
      <c r="C1818" s="8" t="s">
        <v>51</v>
      </c>
      <c r="D1818" s="8" t="s">
        <v>2027</v>
      </c>
      <c r="E1818" s="8" t="s">
        <v>117</v>
      </c>
      <c r="F1818" s="8" t="s">
        <v>223</v>
      </c>
      <c r="G1818" s="8" t="s">
        <v>159</v>
      </c>
      <c r="H1818" s="15" t="n">
        <v>180</v>
      </c>
      <c r="I1818" s="15" t="n">
        <v>132</v>
      </c>
      <c r="J1818" s="16" t="n">
        <v>0.878</v>
      </c>
      <c r="K1818" s="8" t="n">
        <v>11.3</v>
      </c>
      <c r="L1818" s="8" t="n">
        <v>6</v>
      </c>
      <c r="M1818" s="8" t="n">
        <v>0</v>
      </c>
      <c r="N1818" s="8" t="s">
        <v>120</v>
      </c>
      <c r="O1818" s="15" t="n">
        <f aca="false">H1818*12</f>
        <v>2160</v>
      </c>
      <c r="P1818" s="8" t="n">
        <f aca="false">MIN(100,ROUND(100*J1818/Assumptions!$B$8,0))</f>
        <v>98</v>
      </c>
      <c r="Q1818" s="8" t="n">
        <f aca="false">IF(L1818="",Assumptions!$B$9,L1818*10)</f>
        <v>60</v>
      </c>
      <c r="R1818" s="8" t="n">
        <f aca="false">IF(M1818&lt;=1,Assumptions!$B$12,IF(M1818&lt;=3,Assumptions!$B$13,IF(M1818&lt;=6,Assumptions!$B$14,Assumptions!$B$15)))</f>
        <v>100</v>
      </c>
      <c r="S1818" s="8" t="n">
        <f aca="false">IF(N1818="Completed On Time",Assumptions!$B$16,IF(N1818="Completed Late",Assumptions!$B$17,Assumptions!$B$18))</f>
        <v>100</v>
      </c>
      <c r="T1818" s="8" t="n">
        <f aca="false">IF(I1818=0,Assumptions!$B$20,IF(H1818&gt;I1818,Assumptions!$B$19,IF(H1818=I1818,Assumptions!$B$20,Assumptions!$B$21)))</f>
        <v>100</v>
      </c>
      <c r="U1818" s="8" t="n">
        <f aca="false">ROUND(P1818*Assumptions!$B$2+Q1818*Assumptions!$B$3+R1818*Assumptions!$B$4+S1818*Assumptions!$B$5+T1818*Assumptions!$B$6,0)</f>
        <v>91</v>
      </c>
      <c r="V1818" s="8" t="str">
        <f aca="false">IF(U1818&gt;=Assumptions!$B$10,"Healthy",IF(U1818&gt;=Assumptions!$B$11,"Needs Attention","High Risk"))</f>
        <v>Healthy</v>
      </c>
    </row>
    <row r="1819" customFormat="false" ht="15" hidden="false" customHeight="false" outlineLevel="0" collapsed="false">
      <c r="A1819" s="8" t="s">
        <v>3780</v>
      </c>
      <c r="B1819" s="8" t="s">
        <v>3781</v>
      </c>
      <c r="C1819" s="8" t="s">
        <v>51</v>
      </c>
      <c r="D1819" s="8" t="s">
        <v>2027</v>
      </c>
      <c r="E1819" s="8" t="s">
        <v>117</v>
      </c>
      <c r="F1819" s="8" t="s">
        <v>151</v>
      </c>
      <c r="G1819" s="8" t="s">
        <v>147</v>
      </c>
      <c r="H1819" s="15" t="n">
        <v>180</v>
      </c>
      <c r="I1819" s="15" t="n">
        <v>180</v>
      </c>
      <c r="J1819" s="16" t="n">
        <v>0.867</v>
      </c>
      <c r="K1819" s="8" t="n">
        <v>11.3</v>
      </c>
      <c r="L1819" s="8" t="n">
        <v>9</v>
      </c>
      <c r="M1819" s="8" t="n">
        <v>1</v>
      </c>
      <c r="N1819" s="8" t="s">
        <v>120</v>
      </c>
      <c r="O1819" s="15" t="n">
        <f aca="false">H1819*12</f>
        <v>2160</v>
      </c>
      <c r="P1819" s="8" t="n">
        <f aca="false">MIN(100,ROUND(100*J1819/Assumptions!$B$8,0))</f>
        <v>96</v>
      </c>
      <c r="Q1819" s="8" t="n">
        <f aca="false">IF(L1819="",Assumptions!$B$9,L1819*10)</f>
        <v>90</v>
      </c>
      <c r="R1819" s="8" t="n">
        <f aca="false">IF(M1819&lt;=1,Assumptions!$B$12,IF(M1819&lt;=3,Assumptions!$B$13,IF(M1819&lt;=6,Assumptions!$B$14,Assumptions!$B$15)))</f>
        <v>100</v>
      </c>
      <c r="S1819" s="8" t="n">
        <f aca="false">IF(N1819="Completed On Time",Assumptions!$B$16,IF(N1819="Completed Late",Assumptions!$B$17,Assumptions!$B$18))</f>
        <v>100</v>
      </c>
      <c r="T1819" s="8" t="n">
        <f aca="false">IF(I1819=0,Assumptions!$B$20,IF(H1819&gt;I1819,Assumptions!$B$19,IF(H1819=I1819,Assumptions!$B$20,Assumptions!$B$21)))</f>
        <v>70</v>
      </c>
      <c r="U1819" s="8" t="n">
        <f aca="false">ROUND(P1819*Assumptions!$B$2+Q1819*Assumptions!$B$3+R1819*Assumptions!$B$4+S1819*Assumptions!$B$5+T1819*Assumptions!$B$6,0)</f>
        <v>91</v>
      </c>
      <c r="V1819" s="8" t="str">
        <f aca="false">IF(U1819&gt;=Assumptions!$B$10,"Healthy",IF(U1819&gt;=Assumptions!$B$11,"Needs Attention","High Risk"))</f>
        <v>Healthy</v>
      </c>
    </row>
    <row r="1820" customFormat="false" ht="15" hidden="false" customHeight="false" outlineLevel="0" collapsed="false">
      <c r="A1820" s="8" t="s">
        <v>3782</v>
      </c>
      <c r="B1820" s="8" t="s">
        <v>3783</v>
      </c>
      <c r="C1820" s="8" t="s">
        <v>51</v>
      </c>
      <c r="D1820" s="8" t="s">
        <v>2027</v>
      </c>
      <c r="E1820" s="8" t="s">
        <v>132</v>
      </c>
      <c r="F1820" s="8" t="s">
        <v>151</v>
      </c>
      <c r="G1820" s="8" t="s">
        <v>185</v>
      </c>
      <c r="H1820" s="15" t="n">
        <v>180</v>
      </c>
      <c r="I1820" s="15" t="n">
        <v>132</v>
      </c>
      <c r="J1820" s="16" t="n">
        <v>0.622</v>
      </c>
      <c r="K1820" s="8" t="n">
        <v>6</v>
      </c>
      <c r="L1820" s="8" t="n">
        <v>8</v>
      </c>
      <c r="M1820" s="8" t="n">
        <v>5</v>
      </c>
      <c r="N1820" s="8" t="s">
        <v>120</v>
      </c>
      <c r="O1820" s="15" t="n">
        <f aca="false">H1820*12</f>
        <v>2160</v>
      </c>
      <c r="P1820" s="8" t="n">
        <f aca="false">MIN(100,ROUND(100*J1820/Assumptions!$B$8,0))</f>
        <v>69</v>
      </c>
      <c r="Q1820" s="8" t="n">
        <f aca="false">IF(L1820="",Assumptions!$B$9,L1820*10)</f>
        <v>80</v>
      </c>
      <c r="R1820" s="8" t="n">
        <f aca="false">IF(M1820&lt;=1,Assumptions!$B$12,IF(M1820&lt;=3,Assumptions!$B$13,IF(M1820&lt;=6,Assumptions!$B$14,Assumptions!$B$15)))</f>
        <v>50</v>
      </c>
      <c r="S1820" s="8" t="n">
        <f aca="false">IF(N1820="Completed On Time",Assumptions!$B$16,IF(N1820="Completed Late",Assumptions!$B$17,Assumptions!$B$18))</f>
        <v>100</v>
      </c>
      <c r="T1820" s="8" t="n">
        <f aca="false">IF(I1820=0,Assumptions!$B$20,IF(H1820&gt;I1820,Assumptions!$B$19,IF(H1820=I1820,Assumptions!$B$20,Assumptions!$B$21)))</f>
        <v>100</v>
      </c>
      <c r="U1820" s="8" t="n">
        <f aca="false">ROUND(P1820*Assumptions!$B$2+Q1820*Assumptions!$B$3+R1820*Assumptions!$B$4+S1820*Assumptions!$B$5+T1820*Assumptions!$B$6,0)</f>
        <v>78</v>
      </c>
      <c r="V1820" s="8" t="str">
        <f aca="false">IF(U1820&gt;=Assumptions!$B$10,"Healthy",IF(U1820&gt;=Assumptions!$B$11,"Needs Attention","High Risk"))</f>
        <v>Needs Attention</v>
      </c>
    </row>
    <row r="1821" customFormat="false" ht="15" hidden="false" customHeight="false" outlineLevel="0" collapsed="false">
      <c r="A1821" s="8" t="s">
        <v>3784</v>
      </c>
      <c r="B1821" s="8" t="s">
        <v>3785</v>
      </c>
      <c r="C1821" s="8" t="s">
        <v>51</v>
      </c>
      <c r="D1821" s="8" t="s">
        <v>2027</v>
      </c>
      <c r="E1821" s="8" t="s">
        <v>123</v>
      </c>
      <c r="F1821" s="8" t="s">
        <v>190</v>
      </c>
      <c r="G1821" s="8" t="s">
        <v>185</v>
      </c>
      <c r="H1821" s="15" t="n">
        <v>180</v>
      </c>
      <c r="I1821" s="15" t="n">
        <v>180</v>
      </c>
      <c r="J1821" s="16" t="n">
        <v>0.933</v>
      </c>
      <c r="K1821" s="8" t="n">
        <v>11.7</v>
      </c>
      <c r="L1821" s="8" t="n">
        <v>10</v>
      </c>
      <c r="M1821" s="8" t="n">
        <v>1</v>
      </c>
      <c r="N1821" s="8" t="s">
        <v>120</v>
      </c>
      <c r="O1821" s="15" t="n">
        <f aca="false">H1821*12</f>
        <v>2160</v>
      </c>
      <c r="P1821" s="8" t="n">
        <f aca="false">MIN(100,ROUND(100*J1821/Assumptions!$B$8,0))</f>
        <v>100</v>
      </c>
      <c r="Q1821" s="8" t="n">
        <f aca="false">IF(L1821="",Assumptions!$B$9,L1821*10)</f>
        <v>100</v>
      </c>
      <c r="R1821" s="8" t="n">
        <f aca="false">IF(M1821&lt;=1,Assumptions!$B$12,IF(M1821&lt;=3,Assumptions!$B$13,IF(M1821&lt;=6,Assumptions!$B$14,Assumptions!$B$15)))</f>
        <v>100</v>
      </c>
      <c r="S1821" s="8" t="n">
        <f aca="false">IF(N1821="Completed On Time",Assumptions!$B$16,IF(N1821="Completed Late",Assumptions!$B$17,Assumptions!$B$18))</f>
        <v>100</v>
      </c>
      <c r="T1821" s="8" t="n">
        <f aca="false">IF(I1821=0,Assumptions!$B$20,IF(H1821&gt;I1821,Assumptions!$B$19,IF(H1821=I1821,Assumptions!$B$20,Assumptions!$B$21)))</f>
        <v>70</v>
      </c>
      <c r="U1821" s="8" t="n">
        <f aca="false">ROUND(P1821*Assumptions!$B$2+Q1821*Assumptions!$B$3+R1821*Assumptions!$B$4+S1821*Assumptions!$B$5+T1821*Assumptions!$B$6,0)</f>
        <v>94</v>
      </c>
      <c r="V1821" s="8" t="str">
        <f aca="false">IF(U1821&gt;=Assumptions!$B$10,"Healthy",IF(U1821&gt;=Assumptions!$B$11,"Needs Attention","High Risk"))</f>
        <v>Healthy</v>
      </c>
    </row>
    <row r="1822" customFormat="false" ht="15" hidden="false" customHeight="false" outlineLevel="0" collapsed="false">
      <c r="A1822" s="8" t="s">
        <v>3786</v>
      </c>
      <c r="B1822" s="8" t="s">
        <v>3787</v>
      </c>
      <c r="C1822" s="8" t="s">
        <v>51</v>
      </c>
      <c r="D1822" s="8" t="s">
        <v>2027</v>
      </c>
      <c r="E1822" s="8" t="s">
        <v>117</v>
      </c>
      <c r="F1822" s="8" t="s">
        <v>136</v>
      </c>
      <c r="G1822" s="8" t="s">
        <v>204</v>
      </c>
      <c r="H1822" s="15" t="n">
        <v>180</v>
      </c>
      <c r="I1822" s="15" t="n">
        <v>180</v>
      </c>
      <c r="J1822" s="16" t="n">
        <v>0.711</v>
      </c>
      <c r="K1822" s="8" t="n">
        <v>8.7</v>
      </c>
      <c r="L1822" s="8" t="n">
        <v>10</v>
      </c>
      <c r="M1822" s="8" t="n">
        <v>2</v>
      </c>
      <c r="N1822" s="8" t="s">
        <v>120</v>
      </c>
      <c r="O1822" s="15" t="n">
        <f aca="false">H1822*12</f>
        <v>2160</v>
      </c>
      <c r="P1822" s="8" t="n">
        <f aca="false">MIN(100,ROUND(100*J1822/Assumptions!$B$8,0))</f>
        <v>79</v>
      </c>
      <c r="Q1822" s="8" t="n">
        <f aca="false">IF(L1822="",Assumptions!$B$9,L1822*10)</f>
        <v>100</v>
      </c>
      <c r="R1822" s="8" t="n">
        <f aca="false">IF(M1822&lt;=1,Assumptions!$B$12,IF(M1822&lt;=3,Assumptions!$B$13,IF(M1822&lt;=6,Assumptions!$B$14,Assumptions!$B$15)))</f>
        <v>75</v>
      </c>
      <c r="S1822" s="8" t="n">
        <f aca="false">IF(N1822="Completed On Time",Assumptions!$B$16,IF(N1822="Completed Late",Assumptions!$B$17,Assumptions!$B$18))</f>
        <v>100</v>
      </c>
      <c r="T1822" s="8" t="n">
        <f aca="false">IF(I1822=0,Assumptions!$B$20,IF(H1822&gt;I1822,Assumptions!$B$19,IF(H1822=I1822,Assumptions!$B$20,Assumptions!$B$21)))</f>
        <v>70</v>
      </c>
      <c r="U1822" s="8" t="n">
        <f aca="false">ROUND(P1822*Assumptions!$B$2+Q1822*Assumptions!$B$3+R1822*Assumptions!$B$4+S1822*Assumptions!$B$5+T1822*Assumptions!$B$6,0)</f>
        <v>83</v>
      </c>
      <c r="V1822" s="8" t="str">
        <f aca="false">IF(U1822&gt;=Assumptions!$B$10,"Healthy",IF(U1822&gt;=Assumptions!$B$11,"Needs Attention","High Risk"))</f>
        <v>Healthy</v>
      </c>
    </row>
    <row r="1823" customFormat="false" ht="15" hidden="false" customHeight="false" outlineLevel="0" collapsed="false">
      <c r="A1823" s="8" t="s">
        <v>3788</v>
      </c>
      <c r="B1823" s="8" t="s">
        <v>3789</v>
      </c>
      <c r="C1823" s="8" t="s">
        <v>51</v>
      </c>
      <c r="D1823" s="8" t="s">
        <v>2027</v>
      </c>
      <c r="E1823" s="8" t="s">
        <v>132</v>
      </c>
      <c r="F1823" s="8" t="s">
        <v>143</v>
      </c>
      <c r="G1823" s="8" t="s">
        <v>204</v>
      </c>
      <c r="H1823" s="15" t="n">
        <v>180</v>
      </c>
      <c r="I1823" s="15" t="n">
        <v>180</v>
      </c>
      <c r="J1823" s="16" t="n">
        <v>0.778</v>
      </c>
      <c r="K1823" s="8" t="n">
        <v>10</v>
      </c>
      <c r="L1823" s="8" t="n">
        <v>6</v>
      </c>
      <c r="M1823" s="8" t="n">
        <v>5</v>
      </c>
      <c r="N1823" s="8" t="s">
        <v>120</v>
      </c>
      <c r="O1823" s="15" t="n">
        <f aca="false">H1823*12</f>
        <v>2160</v>
      </c>
      <c r="P1823" s="8" t="n">
        <f aca="false">MIN(100,ROUND(100*J1823/Assumptions!$B$8,0))</f>
        <v>86</v>
      </c>
      <c r="Q1823" s="8" t="n">
        <f aca="false">IF(L1823="",Assumptions!$B$9,L1823*10)</f>
        <v>60</v>
      </c>
      <c r="R1823" s="8" t="n">
        <f aca="false">IF(M1823&lt;=1,Assumptions!$B$12,IF(M1823&lt;=3,Assumptions!$B$13,IF(M1823&lt;=6,Assumptions!$B$14,Assumptions!$B$15)))</f>
        <v>50</v>
      </c>
      <c r="S1823" s="8" t="n">
        <f aca="false">IF(N1823="Completed On Time",Assumptions!$B$16,IF(N1823="Completed Late",Assumptions!$B$17,Assumptions!$B$18))</f>
        <v>100</v>
      </c>
      <c r="T1823" s="8" t="n">
        <f aca="false">IF(I1823=0,Assumptions!$B$20,IF(H1823&gt;I1823,Assumptions!$B$19,IF(H1823=I1823,Assumptions!$B$20,Assumptions!$B$21)))</f>
        <v>70</v>
      </c>
      <c r="U1823" s="8" t="n">
        <f aca="false">ROUND(P1823*Assumptions!$B$2+Q1823*Assumptions!$B$3+R1823*Assumptions!$B$4+S1823*Assumptions!$B$5+T1823*Assumptions!$B$6,0)</f>
        <v>74</v>
      </c>
      <c r="V1823" s="8" t="str">
        <f aca="false">IF(U1823&gt;=Assumptions!$B$10,"Healthy",IF(U1823&gt;=Assumptions!$B$11,"Needs Attention","High Risk"))</f>
        <v>Needs Attention</v>
      </c>
    </row>
    <row r="1824" customFormat="false" ht="15" hidden="false" customHeight="false" outlineLevel="0" collapsed="false">
      <c r="A1824" s="8" t="s">
        <v>3790</v>
      </c>
      <c r="B1824" s="8" t="s">
        <v>3791</v>
      </c>
      <c r="C1824" s="8" t="s">
        <v>51</v>
      </c>
      <c r="D1824" s="8" t="s">
        <v>2027</v>
      </c>
      <c r="E1824" s="8" t="s">
        <v>132</v>
      </c>
      <c r="F1824" s="8" t="s">
        <v>133</v>
      </c>
      <c r="G1824" s="8" t="s">
        <v>185</v>
      </c>
      <c r="H1824" s="15" t="n">
        <v>180</v>
      </c>
      <c r="I1824" s="15" t="n">
        <v>180</v>
      </c>
      <c r="J1824" s="16" t="n">
        <v>0.867</v>
      </c>
      <c r="K1824" s="8" t="n">
        <v>9.7</v>
      </c>
      <c r="L1824" s="8" t="n">
        <v>10</v>
      </c>
      <c r="M1824" s="8" t="n">
        <v>0</v>
      </c>
      <c r="N1824" s="8" t="s">
        <v>120</v>
      </c>
      <c r="O1824" s="15" t="n">
        <f aca="false">H1824*12</f>
        <v>2160</v>
      </c>
      <c r="P1824" s="8" t="n">
        <f aca="false">MIN(100,ROUND(100*J1824/Assumptions!$B$8,0))</f>
        <v>96</v>
      </c>
      <c r="Q1824" s="8" t="n">
        <f aca="false">IF(L1824="",Assumptions!$B$9,L1824*10)</f>
        <v>100</v>
      </c>
      <c r="R1824" s="8" t="n">
        <f aca="false">IF(M1824&lt;=1,Assumptions!$B$12,IF(M1824&lt;=3,Assumptions!$B$13,IF(M1824&lt;=6,Assumptions!$B$14,Assumptions!$B$15)))</f>
        <v>100</v>
      </c>
      <c r="S1824" s="8" t="n">
        <f aca="false">IF(N1824="Completed On Time",Assumptions!$B$16,IF(N1824="Completed Late",Assumptions!$B$17,Assumptions!$B$18))</f>
        <v>100</v>
      </c>
      <c r="T1824" s="8" t="n">
        <f aca="false">IF(I1824=0,Assumptions!$B$20,IF(H1824&gt;I1824,Assumptions!$B$19,IF(H1824=I1824,Assumptions!$B$20,Assumptions!$B$21)))</f>
        <v>70</v>
      </c>
      <c r="U1824" s="8" t="n">
        <f aca="false">ROUND(P1824*Assumptions!$B$2+Q1824*Assumptions!$B$3+R1824*Assumptions!$B$4+S1824*Assumptions!$B$5+T1824*Assumptions!$B$6,0)</f>
        <v>93</v>
      </c>
      <c r="V1824" s="8" t="str">
        <f aca="false">IF(U1824&gt;=Assumptions!$B$10,"Healthy",IF(U1824&gt;=Assumptions!$B$11,"Needs Attention","High Risk"))</f>
        <v>Healthy</v>
      </c>
    </row>
    <row r="1825" customFormat="false" ht="15" hidden="false" customHeight="false" outlineLevel="0" collapsed="false">
      <c r="A1825" s="8" t="s">
        <v>3792</v>
      </c>
      <c r="B1825" s="8" t="s">
        <v>3793</v>
      </c>
      <c r="C1825" s="8" t="s">
        <v>51</v>
      </c>
      <c r="D1825" s="8" t="s">
        <v>2027</v>
      </c>
      <c r="E1825" s="8" t="s">
        <v>132</v>
      </c>
      <c r="F1825" s="8" t="s">
        <v>143</v>
      </c>
      <c r="G1825" s="8" t="s">
        <v>125</v>
      </c>
      <c r="H1825" s="15" t="n">
        <v>180</v>
      </c>
      <c r="I1825" s="15" t="n">
        <v>180</v>
      </c>
      <c r="J1825" s="16" t="n">
        <v>0.644</v>
      </c>
      <c r="K1825" s="8" t="n">
        <v>9</v>
      </c>
      <c r="L1825" s="8" t="n">
        <v>9</v>
      </c>
      <c r="M1825" s="8" t="n">
        <v>0</v>
      </c>
      <c r="N1825" s="8" t="s">
        <v>120</v>
      </c>
      <c r="O1825" s="15" t="n">
        <f aca="false">H1825*12</f>
        <v>2160</v>
      </c>
      <c r="P1825" s="8" t="n">
        <f aca="false">MIN(100,ROUND(100*J1825/Assumptions!$B$8,0))</f>
        <v>72</v>
      </c>
      <c r="Q1825" s="8" t="n">
        <f aca="false">IF(L1825="",Assumptions!$B$9,L1825*10)</f>
        <v>90</v>
      </c>
      <c r="R1825" s="8" t="n">
        <f aca="false">IF(M1825&lt;=1,Assumptions!$B$12,IF(M1825&lt;=3,Assumptions!$B$13,IF(M1825&lt;=6,Assumptions!$B$14,Assumptions!$B$15)))</f>
        <v>100</v>
      </c>
      <c r="S1825" s="8" t="n">
        <f aca="false">IF(N1825="Completed On Time",Assumptions!$B$16,IF(N1825="Completed Late",Assumptions!$B$17,Assumptions!$B$18))</f>
        <v>100</v>
      </c>
      <c r="T1825" s="8" t="n">
        <f aca="false">IF(I1825=0,Assumptions!$B$20,IF(H1825&gt;I1825,Assumptions!$B$19,IF(H1825=I1825,Assumptions!$B$20,Assumptions!$B$21)))</f>
        <v>70</v>
      </c>
      <c r="U1825" s="8" t="n">
        <f aca="false">ROUND(P1825*Assumptions!$B$2+Q1825*Assumptions!$B$3+R1825*Assumptions!$B$4+S1825*Assumptions!$B$5+T1825*Assumptions!$B$6,0)</f>
        <v>82</v>
      </c>
      <c r="V1825" s="8" t="str">
        <f aca="false">IF(U1825&gt;=Assumptions!$B$10,"Healthy",IF(U1825&gt;=Assumptions!$B$11,"Needs Attention","High Risk"))</f>
        <v>Healthy</v>
      </c>
    </row>
    <row r="1826" customFormat="false" ht="15" hidden="false" customHeight="false" outlineLevel="0" collapsed="false">
      <c r="A1826" s="8" t="s">
        <v>3794</v>
      </c>
      <c r="B1826" s="8" t="s">
        <v>3795</v>
      </c>
      <c r="C1826" s="8" t="s">
        <v>51</v>
      </c>
      <c r="D1826" s="8" t="s">
        <v>2027</v>
      </c>
      <c r="E1826" s="8" t="s">
        <v>123</v>
      </c>
      <c r="F1826" s="8" t="s">
        <v>223</v>
      </c>
      <c r="G1826" s="8" t="s">
        <v>144</v>
      </c>
      <c r="H1826" s="15" t="n">
        <v>180</v>
      </c>
      <c r="I1826" s="15" t="n">
        <v>180</v>
      </c>
      <c r="J1826" s="16" t="n">
        <v>0.8</v>
      </c>
      <c r="K1826" s="8" t="n">
        <v>10.7</v>
      </c>
      <c r="L1826" s="8" t="n">
        <v>10</v>
      </c>
      <c r="M1826" s="8" t="n">
        <v>1</v>
      </c>
      <c r="N1826" s="8" t="s">
        <v>120</v>
      </c>
      <c r="O1826" s="15" t="n">
        <f aca="false">H1826*12</f>
        <v>2160</v>
      </c>
      <c r="P1826" s="8" t="n">
        <f aca="false">MIN(100,ROUND(100*J1826/Assumptions!$B$8,0))</f>
        <v>89</v>
      </c>
      <c r="Q1826" s="8" t="n">
        <f aca="false">IF(L1826="",Assumptions!$B$9,L1826*10)</f>
        <v>100</v>
      </c>
      <c r="R1826" s="8" t="n">
        <f aca="false">IF(M1826&lt;=1,Assumptions!$B$12,IF(M1826&lt;=3,Assumptions!$B$13,IF(M1826&lt;=6,Assumptions!$B$14,Assumptions!$B$15)))</f>
        <v>100</v>
      </c>
      <c r="S1826" s="8" t="n">
        <f aca="false">IF(N1826="Completed On Time",Assumptions!$B$16,IF(N1826="Completed Late",Assumptions!$B$17,Assumptions!$B$18))</f>
        <v>100</v>
      </c>
      <c r="T1826" s="8" t="n">
        <f aca="false">IF(I1826=0,Assumptions!$B$20,IF(H1826&gt;I1826,Assumptions!$B$19,IF(H1826=I1826,Assumptions!$B$20,Assumptions!$B$21)))</f>
        <v>70</v>
      </c>
      <c r="U1826" s="8" t="n">
        <f aca="false">ROUND(P1826*Assumptions!$B$2+Q1826*Assumptions!$B$3+R1826*Assumptions!$B$4+S1826*Assumptions!$B$5+T1826*Assumptions!$B$6,0)</f>
        <v>90</v>
      </c>
      <c r="V1826" s="8" t="str">
        <f aca="false">IF(U1826&gt;=Assumptions!$B$10,"Healthy",IF(U1826&gt;=Assumptions!$B$11,"Needs Attention","High Risk"))</f>
        <v>Healthy</v>
      </c>
    </row>
    <row r="1827" customFormat="false" ht="15" hidden="false" customHeight="false" outlineLevel="0" collapsed="false">
      <c r="A1827" s="8" t="s">
        <v>3796</v>
      </c>
      <c r="B1827" s="8" t="s">
        <v>3797</v>
      </c>
      <c r="C1827" s="8" t="s">
        <v>51</v>
      </c>
      <c r="D1827" s="8" t="s">
        <v>2027</v>
      </c>
      <c r="E1827" s="8" t="s">
        <v>117</v>
      </c>
      <c r="F1827" s="8" t="s">
        <v>118</v>
      </c>
      <c r="G1827" s="8" t="s">
        <v>129</v>
      </c>
      <c r="H1827" s="15" t="n">
        <v>180</v>
      </c>
      <c r="I1827" s="15" t="n">
        <v>180</v>
      </c>
      <c r="J1827" s="16" t="n">
        <v>0.911</v>
      </c>
      <c r="K1827" s="8" t="n">
        <v>9.7</v>
      </c>
      <c r="L1827" s="8" t="n">
        <v>8</v>
      </c>
      <c r="M1827" s="8" t="n">
        <v>1</v>
      </c>
      <c r="N1827" s="8" t="s">
        <v>148</v>
      </c>
      <c r="O1827" s="15" t="n">
        <f aca="false">H1827*12</f>
        <v>2160</v>
      </c>
      <c r="P1827" s="8" t="n">
        <f aca="false">MIN(100,ROUND(100*J1827/Assumptions!$B$8,0))</f>
        <v>100</v>
      </c>
      <c r="Q1827" s="8" t="n">
        <f aca="false">IF(L1827="",Assumptions!$B$9,L1827*10)</f>
        <v>80</v>
      </c>
      <c r="R1827" s="8" t="n">
        <f aca="false">IF(M1827&lt;=1,Assumptions!$B$12,IF(M1827&lt;=3,Assumptions!$B$13,IF(M1827&lt;=6,Assumptions!$B$14,Assumptions!$B$15)))</f>
        <v>100</v>
      </c>
      <c r="S1827" s="8" t="n">
        <f aca="false">IF(N1827="Completed On Time",Assumptions!$B$16,IF(N1827="Completed Late",Assumptions!$B$17,Assumptions!$B$18))</f>
        <v>60</v>
      </c>
      <c r="T1827" s="8" t="n">
        <f aca="false">IF(I1827=0,Assumptions!$B$20,IF(H1827&gt;I1827,Assumptions!$B$19,IF(H1827=I1827,Assumptions!$B$20,Assumptions!$B$21)))</f>
        <v>70</v>
      </c>
      <c r="U1827" s="8" t="n">
        <f aca="false">ROUND(P1827*Assumptions!$B$2+Q1827*Assumptions!$B$3+R1827*Assumptions!$B$4+S1827*Assumptions!$B$5+T1827*Assumptions!$B$6,0)</f>
        <v>86</v>
      </c>
      <c r="V1827" s="8" t="str">
        <f aca="false">IF(U1827&gt;=Assumptions!$B$10,"Healthy",IF(U1827&gt;=Assumptions!$B$11,"Needs Attention","High Risk"))</f>
        <v>Healthy</v>
      </c>
    </row>
    <row r="1828" customFormat="false" ht="15" hidden="false" customHeight="false" outlineLevel="0" collapsed="false">
      <c r="A1828" s="8" t="s">
        <v>3798</v>
      </c>
      <c r="B1828" s="8" t="s">
        <v>3799</v>
      </c>
      <c r="C1828" s="8" t="s">
        <v>51</v>
      </c>
      <c r="D1828" s="8" t="s">
        <v>2027</v>
      </c>
      <c r="E1828" s="8" t="s">
        <v>123</v>
      </c>
      <c r="F1828" s="8" t="s">
        <v>124</v>
      </c>
      <c r="G1828" s="8" t="s">
        <v>185</v>
      </c>
      <c r="H1828" s="15" t="n">
        <v>180</v>
      </c>
      <c r="I1828" s="15" t="n">
        <v>180</v>
      </c>
      <c r="J1828" s="16" t="n">
        <v>0.578</v>
      </c>
      <c r="K1828" s="8" t="n">
        <v>7</v>
      </c>
      <c r="L1828" s="8" t="n">
        <v>5</v>
      </c>
      <c r="M1828" s="8" t="n">
        <v>6</v>
      </c>
      <c r="N1828" s="8" t="s">
        <v>120</v>
      </c>
      <c r="O1828" s="15" t="n">
        <f aca="false">H1828*12</f>
        <v>2160</v>
      </c>
      <c r="P1828" s="8" t="n">
        <f aca="false">MIN(100,ROUND(100*J1828/Assumptions!$B$8,0))</f>
        <v>64</v>
      </c>
      <c r="Q1828" s="8" t="n">
        <f aca="false">IF(L1828="",Assumptions!$B$9,L1828*10)</f>
        <v>50</v>
      </c>
      <c r="R1828" s="8" t="n">
        <f aca="false">IF(M1828&lt;=1,Assumptions!$B$12,IF(M1828&lt;=3,Assumptions!$B$13,IF(M1828&lt;=6,Assumptions!$B$14,Assumptions!$B$15)))</f>
        <v>50</v>
      </c>
      <c r="S1828" s="8" t="n">
        <f aca="false">IF(N1828="Completed On Time",Assumptions!$B$16,IF(N1828="Completed Late",Assumptions!$B$17,Assumptions!$B$18))</f>
        <v>100</v>
      </c>
      <c r="T1828" s="8" t="n">
        <f aca="false">IF(I1828=0,Assumptions!$B$20,IF(H1828&gt;I1828,Assumptions!$B$19,IF(H1828=I1828,Assumptions!$B$20,Assumptions!$B$21)))</f>
        <v>70</v>
      </c>
      <c r="U1828" s="8" t="n">
        <f aca="false">ROUND(P1828*Assumptions!$B$2+Q1828*Assumptions!$B$3+R1828*Assumptions!$B$4+S1828*Assumptions!$B$5+T1828*Assumptions!$B$6,0)</f>
        <v>64</v>
      </c>
      <c r="V1828" s="8" t="str">
        <f aca="false">IF(U1828&gt;=Assumptions!$B$10,"Healthy",IF(U1828&gt;=Assumptions!$B$11,"Needs Attention","High Risk"))</f>
        <v>High Risk</v>
      </c>
    </row>
    <row r="1829" customFormat="false" ht="15" hidden="false" customHeight="false" outlineLevel="0" collapsed="false">
      <c r="A1829" s="8" t="s">
        <v>3800</v>
      </c>
      <c r="B1829" s="8" t="s">
        <v>3801</v>
      </c>
      <c r="C1829" s="8" t="s">
        <v>51</v>
      </c>
      <c r="D1829" s="8" t="s">
        <v>2027</v>
      </c>
      <c r="E1829" s="8" t="s">
        <v>123</v>
      </c>
      <c r="F1829" s="8" t="s">
        <v>124</v>
      </c>
      <c r="G1829" s="8" t="s">
        <v>177</v>
      </c>
      <c r="H1829" s="15" t="n">
        <v>180</v>
      </c>
      <c r="I1829" s="15" t="n">
        <v>0</v>
      </c>
      <c r="J1829" s="16" t="n">
        <v>0.578</v>
      </c>
      <c r="K1829" s="8" t="n">
        <v>7</v>
      </c>
      <c r="L1829" s="8"/>
      <c r="M1829" s="8" t="n">
        <v>3</v>
      </c>
      <c r="N1829" s="8" t="s">
        <v>120</v>
      </c>
      <c r="O1829" s="15" t="n">
        <f aca="false">H1829*12</f>
        <v>2160</v>
      </c>
      <c r="P1829" s="8" t="n">
        <f aca="false">MIN(100,ROUND(100*J1829/Assumptions!$B$8,0))</f>
        <v>64</v>
      </c>
      <c r="Q1829" s="8" t="n">
        <f aca="false">IF(L1829="",Assumptions!$B$9,L1829*10)</f>
        <v>50</v>
      </c>
      <c r="R1829" s="8" t="n">
        <f aca="false">IF(M1829&lt;=1,Assumptions!$B$12,IF(M1829&lt;=3,Assumptions!$B$13,IF(M1829&lt;=6,Assumptions!$B$14,Assumptions!$B$15)))</f>
        <v>75</v>
      </c>
      <c r="S1829" s="8" t="n">
        <f aca="false">IF(N1829="Completed On Time",Assumptions!$B$16,IF(N1829="Completed Late",Assumptions!$B$17,Assumptions!$B$18))</f>
        <v>100</v>
      </c>
      <c r="T1829" s="8" t="n">
        <f aca="false">IF(I1829=0,Assumptions!$B$20,IF(H1829&gt;I1829,Assumptions!$B$19,IF(H1829=I1829,Assumptions!$B$20,Assumptions!$B$21)))</f>
        <v>70</v>
      </c>
      <c r="U1829" s="8" t="n">
        <f aca="false">ROUND(P1829*Assumptions!$B$2+Q1829*Assumptions!$B$3+R1829*Assumptions!$B$4+S1829*Assumptions!$B$5+T1829*Assumptions!$B$6,0)</f>
        <v>68</v>
      </c>
      <c r="V1829" s="8" t="str">
        <f aca="false">IF(U1829&gt;=Assumptions!$B$10,"Healthy",IF(U1829&gt;=Assumptions!$B$11,"Needs Attention","High Risk"))</f>
        <v>Needs Attention</v>
      </c>
    </row>
    <row r="1830" customFormat="false" ht="15" hidden="false" customHeight="false" outlineLevel="0" collapsed="false">
      <c r="A1830" s="8" t="s">
        <v>3802</v>
      </c>
      <c r="B1830" s="8" t="s">
        <v>3803</v>
      </c>
      <c r="C1830" s="8" t="s">
        <v>51</v>
      </c>
      <c r="D1830" s="8" t="s">
        <v>2027</v>
      </c>
      <c r="E1830" s="8" t="s">
        <v>117</v>
      </c>
      <c r="F1830" s="8" t="s">
        <v>118</v>
      </c>
      <c r="G1830" s="8" t="s">
        <v>119</v>
      </c>
      <c r="H1830" s="15" t="n">
        <v>180</v>
      </c>
      <c r="I1830" s="15" t="n">
        <v>180</v>
      </c>
      <c r="J1830" s="16" t="n">
        <v>0.8</v>
      </c>
      <c r="K1830" s="8" t="n">
        <v>7.7</v>
      </c>
      <c r="L1830" s="8" t="n">
        <v>10</v>
      </c>
      <c r="M1830" s="8" t="n">
        <v>1</v>
      </c>
      <c r="N1830" s="8" t="s">
        <v>120</v>
      </c>
      <c r="O1830" s="15" t="n">
        <f aca="false">H1830*12</f>
        <v>2160</v>
      </c>
      <c r="P1830" s="8" t="n">
        <f aca="false">MIN(100,ROUND(100*J1830/Assumptions!$B$8,0))</f>
        <v>89</v>
      </c>
      <c r="Q1830" s="8" t="n">
        <f aca="false">IF(L1830="",Assumptions!$B$9,L1830*10)</f>
        <v>100</v>
      </c>
      <c r="R1830" s="8" t="n">
        <f aca="false">IF(M1830&lt;=1,Assumptions!$B$12,IF(M1830&lt;=3,Assumptions!$B$13,IF(M1830&lt;=6,Assumptions!$B$14,Assumptions!$B$15)))</f>
        <v>100</v>
      </c>
      <c r="S1830" s="8" t="n">
        <f aca="false">IF(N1830="Completed On Time",Assumptions!$B$16,IF(N1830="Completed Late",Assumptions!$B$17,Assumptions!$B$18))</f>
        <v>100</v>
      </c>
      <c r="T1830" s="8" t="n">
        <f aca="false">IF(I1830=0,Assumptions!$B$20,IF(H1830&gt;I1830,Assumptions!$B$19,IF(H1830=I1830,Assumptions!$B$20,Assumptions!$B$21)))</f>
        <v>70</v>
      </c>
      <c r="U1830" s="8" t="n">
        <f aca="false">ROUND(P1830*Assumptions!$B$2+Q1830*Assumptions!$B$3+R1830*Assumptions!$B$4+S1830*Assumptions!$B$5+T1830*Assumptions!$B$6,0)</f>
        <v>90</v>
      </c>
      <c r="V1830" s="8" t="str">
        <f aca="false">IF(U1830&gt;=Assumptions!$B$10,"Healthy",IF(U1830&gt;=Assumptions!$B$11,"Needs Attention","High Risk"))</f>
        <v>Healthy</v>
      </c>
    </row>
    <row r="1831" customFormat="false" ht="15" hidden="false" customHeight="false" outlineLevel="0" collapsed="false">
      <c r="A1831" s="8" t="s">
        <v>3804</v>
      </c>
      <c r="B1831" s="8" t="s">
        <v>3805</v>
      </c>
      <c r="C1831" s="8" t="s">
        <v>51</v>
      </c>
      <c r="D1831" s="8" t="s">
        <v>2027</v>
      </c>
      <c r="E1831" s="8" t="s">
        <v>123</v>
      </c>
      <c r="F1831" s="8" t="s">
        <v>154</v>
      </c>
      <c r="G1831" s="8" t="s">
        <v>177</v>
      </c>
      <c r="H1831" s="15" t="n">
        <v>180</v>
      </c>
      <c r="I1831" s="15" t="n">
        <v>0</v>
      </c>
      <c r="J1831" s="16" t="n">
        <v>0.444</v>
      </c>
      <c r="K1831" s="8" t="n">
        <v>3.7</v>
      </c>
      <c r="L1831" s="8"/>
      <c r="M1831" s="8" t="n">
        <v>3</v>
      </c>
      <c r="N1831" s="8" t="s">
        <v>120</v>
      </c>
      <c r="O1831" s="15" t="n">
        <f aca="false">H1831*12</f>
        <v>2160</v>
      </c>
      <c r="P1831" s="8" t="n">
        <f aca="false">MIN(100,ROUND(100*J1831/Assumptions!$B$8,0))</f>
        <v>49</v>
      </c>
      <c r="Q1831" s="8" t="n">
        <f aca="false">IF(L1831="",Assumptions!$B$9,L1831*10)</f>
        <v>50</v>
      </c>
      <c r="R1831" s="8" t="n">
        <f aca="false">IF(M1831&lt;=1,Assumptions!$B$12,IF(M1831&lt;=3,Assumptions!$B$13,IF(M1831&lt;=6,Assumptions!$B$14,Assumptions!$B$15)))</f>
        <v>75</v>
      </c>
      <c r="S1831" s="8" t="n">
        <f aca="false">IF(N1831="Completed On Time",Assumptions!$B$16,IF(N1831="Completed Late",Assumptions!$B$17,Assumptions!$B$18))</f>
        <v>100</v>
      </c>
      <c r="T1831" s="8" t="n">
        <f aca="false">IF(I1831=0,Assumptions!$B$20,IF(H1831&gt;I1831,Assumptions!$B$19,IF(H1831=I1831,Assumptions!$B$20,Assumptions!$B$21)))</f>
        <v>70</v>
      </c>
      <c r="U1831" s="8" t="n">
        <f aca="false">ROUND(P1831*Assumptions!$B$2+Q1831*Assumptions!$B$3+R1831*Assumptions!$B$4+S1831*Assumptions!$B$5+T1831*Assumptions!$B$6,0)</f>
        <v>62</v>
      </c>
      <c r="V1831" s="8" t="str">
        <f aca="false">IF(U1831&gt;=Assumptions!$B$10,"Healthy",IF(U1831&gt;=Assumptions!$B$11,"Needs Attention","High Risk"))</f>
        <v>High Risk</v>
      </c>
    </row>
    <row r="1832" customFormat="false" ht="15" hidden="false" customHeight="false" outlineLevel="0" collapsed="false">
      <c r="A1832" s="8" t="s">
        <v>3806</v>
      </c>
      <c r="B1832" s="8" t="s">
        <v>3807</v>
      </c>
      <c r="C1832" s="8" t="s">
        <v>51</v>
      </c>
      <c r="D1832" s="8" t="s">
        <v>2027</v>
      </c>
      <c r="E1832" s="8" t="s">
        <v>123</v>
      </c>
      <c r="F1832" s="8" t="s">
        <v>133</v>
      </c>
      <c r="G1832" s="8" t="s">
        <v>180</v>
      </c>
      <c r="H1832" s="15" t="n">
        <v>180</v>
      </c>
      <c r="I1832" s="15" t="n">
        <v>0</v>
      </c>
      <c r="J1832" s="16" t="n">
        <v>0.8</v>
      </c>
      <c r="K1832" s="8" t="n">
        <v>10</v>
      </c>
      <c r="L1832" s="8"/>
      <c r="M1832" s="8" t="n">
        <v>3</v>
      </c>
      <c r="N1832" s="8" t="s">
        <v>120</v>
      </c>
      <c r="O1832" s="15" t="n">
        <f aca="false">H1832*12</f>
        <v>2160</v>
      </c>
      <c r="P1832" s="8" t="n">
        <f aca="false">MIN(100,ROUND(100*J1832/Assumptions!$B$8,0))</f>
        <v>89</v>
      </c>
      <c r="Q1832" s="8" t="n">
        <f aca="false">IF(L1832="",Assumptions!$B$9,L1832*10)</f>
        <v>50</v>
      </c>
      <c r="R1832" s="8" t="n">
        <f aca="false">IF(M1832&lt;=1,Assumptions!$B$12,IF(M1832&lt;=3,Assumptions!$B$13,IF(M1832&lt;=6,Assumptions!$B$14,Assumptions!$B$15)))</f>
        <v>75</v>
      </c>
      <c r="S1832" s="8" t="n">
        <f aca="false">IF(N1832="Completed On Time",Assumptions!$B$16,IF(N1832="Completed Late",Assumptions!$B$17,Assumptions!$B$18))</f>
        <v>100</v>
      </c>
      <c r="T1832" s="8" t="n">
        <f aca="false">IF(I1832=0,Assumptions!$B$20,IF(H1832&gt;I1832,Assumptions!$B$19,IF(H1832=I1832,Assumptions!$B$20,Assumptions!$B$21)))</f>
        <v>70</v>
      </c>
      <c r="U1832" s="8" t="n">
        <f aca="false">ROUND(P1832*Assumptions!$B$2+Q1832*Assumptions!$B$3+R1832*Assumptions!$B$4+S1832*Assumptions!$B$5+T1832*Assumptions!$B$6,0)</f>
        <v>76</v>
      </c>
      <c r="V1832" s="8" t="str">
        <f aca="false">IF(U1832&gt;=Assumptions!$B$10,"Healthy",IF(U1832&gt;=Assumptions!$B$11,"Needs Attention","High Risk"))</f>
        <v>Needs Attention</v>
      </c>
    </row>
    <row r="1833" customFormat="false" ht="15" hidden="false" customHeight="false" outlineLevel="0" collapsed="false">
      <c r="A1833" s="8" t="s">
        <v>3808</v>
      </c>
      <c r="B1833" s="8" t="s">
        <v>3809</v>
      </c>
      <c r="C1833" s="8" t="s">
        <v>51</v>
      </c>
      <c r="D1833" s="8" t="s">
        <v>2027</v>
      </c>
      <c r="E1833" s="8" t="s">
        <v>132</v>
      </c>
      <c r="F1833" s="8" t="s">
        <v>136</v>
      </c>
      <c r="G1833" s="8" t="s">
        <v>140</v>
      </c>
      <c r="H1833" s="15" t="n">
        <v>180</v>
      </c>
      <c r="I1833" s="15" t="n">
        <v>180</v>
      </c>
      <c r="J1833" s="16" t="n">
        <v>0.733</v>
      </c>
      <c r="K1833" s="8" t="n">
        <v>8.7</v>
      </c>
      <c r="L1833" s="8" t="n">
        <v>10</v>
      </c>
      <c r="M1833" s="8" t="n">
        <v>2</v>
      </c>
      <c r="N1833" s="8" t="s">
        <v>120</v>
      </c>
      <c r="O1833" s="15" t="n">
        <f aca="false">H1833*12</f>
        <v>2160</v>
      </c>
      <c r="P1833" s="8" t="n">
        <f aca="false">MIN(100,ROUND(100*J1833/Assumptions!$B$8,0))</f>
        <v>81</v>
      </c>
      <c r="Q1833" s="8" t="n">
        <f aca="false">IF(L1833="",Assumptions!$B$9,L1833*10)</f>
        <v>100</v>
      </c>
      <c r="R1833" s="8" t="n">
        <f aca="false">IF(M1833&lt;=1,Assumptions!$B$12,IF(M1833&lt;=3,Assumptions!$B$13,IF(M1833&lt;=6,Assumptions!$B$14,Assumptions!$B$15)))</f>
        <v>75</v>
      </c>
      <c r="S1833" s="8" t="n">
        <f aca="false">IF(N1833="Completed On Time",Assumptions!$B$16,IF(N1833="Completed Late",Assumptions!$B$17,Assumptions!$B$18))</f>
        <v>100</v>
      </c>
      <c r="T1833" s="8" t="n">
        <f aca="false">IF(I1833=0,Assumptions!$B$20,IF(H1833&gt;I1833,Assumptions!$B$19,IF(H1833=I1833,Assumptions!$B$20,Assumptions!$B$21)))</f>
        <v>70</v>
      </c>
      <c r="U1833" s="8" t="n">
        <f aca="false">ROUND(P1833*Assumptions!$B$2+Q1833*Assumptions!$B$3+R1833*Assumptions!$B$4+S1833*Assumptions!$B$5+T1833*Assumptions!$B$6,0)</f>
        <v>84</v>
      </c>
      <c r="V1833" s="8" t="str">
        <f aca="false">IF(U1833&gt;=Assumptions!$B$10,"Healthy",IF(U1833&gt;=Assumptions!$B$11,"Needs Attention","High Risk"))</f>
        <v>Healthy</v>
      </c>
    </row>
    <row r="1834" customFormat="false" ht="15" hidden="false" customHeight="false" outlineLevel="0" collapsed="false">
      <c r="A1834" s="8" t="s">
        <v>3810</v>
      </c>
      <c r="B1834" s="8" t="s">
        <v>3811</v>
      </c>
      <c r="C1834" s="8" t="s">
        <v>51</v>
      </c>
      <c r="D1834" s="8" t="s">
        <v>2027</v>
      </c>
      <c r="E1834" s="8" t="s">
        <v>117</v>
      </c>
      <c r="F1834" s="8" t="s">
        <v>154</v>
      </c>
      <c r="G1834" s="8" t="s">
        <v>125</v>
      </c>
      <c r="H1834" s="15" t="n">
        <v>180</v>
      </c>
      <c r="I1834" s="15" t="n">
        <v>180</v>
      </c>
      <c r="J1834" s="16" t="n">
        <v>0.889</v>
      </c>
      <c r="K1834" s="8" t="n">
        <v>10.7</v>
      </c>
      <c r="L1834" s="8" t="n">
        <v>9</v>
      </c>
      <c r="M1834" s="8" t="n">
        <v>0</v>
      </c>
      <c r="N1834" s="8" t="s">
        <v>120</v>
      </c>
      <c r="O1834" s="15" t="n">
        <f aca="false">H1834*12</f>
        <v>2160</v>
      </c>
      <c r="P1834" s="8" t="n">
        <f aca="false">MIN(100,ROUND(100*J1834/Assumptions!$B$8,0))</f>
        <v>99</v>
      </c>
      <c r="Q1834" s="8" t="n">
        <f aca="false">IF(L1834="",Assumptions!$B$9,L1834*10)</f>
        <v>90</v>
      </c>
      <c r="R1834" s="8" t="n">
        <f aca="false">IF(M1834&lt;=1,Assumptions!$B$12,IF(M1834&lt;=3,Assumptions!$B$13,IF(M1834&lt;=6,Assumptions!$B$14,Assumptions!$B$15)))</f>
        <v>100</v>
      </c>
      <c r="S1834" s="8" t="n">
        <f aca="false">IF(N1834="Completed On Time",Assumptions!$B$16,IF(N1834="Completed Late",Assumptions!$B$17,Assumptions!$B$18))</f>
        <v>100</v>
      </c>
      <c r="T1834" s="8" t="n">
        <f aca="false">IF(I1834=0,Assumptions!$B$20,IF(H1834&gt;I1834,Assumptions!$B$19,IF(H1834=I1834,Assumptions!$B$20,Assumptions!$B$21)))</f>
        <v>70</v>
      </c>
      <c r="U1834" s="8" t="n">
        <f aca="false">ROUND(P1834*Assumptions!$B$2+Q1834*Assumptions!$B$3+R1834*Assumptions!$B$4+S1834*Assumptions!$B$5+T1834*Assumptions!$B$6,0)</f>
        <v>92</v>
      </c>
      <c r="V1834" s="8" t="str">
        <f aca="false">IF(U1834&gt;=Assumptions!$B$10,"Healthy",IF(U1834&gt;=Assumptions!$B$11,"Needs Attention","High Risk"))</f>
        <v>Healthy</v>
      </c>
    </row>
    <row r="1835" customFormat="false" ht="15" hidden="false" customHeight="false" outlineLevel="0" collapsed="false">
      <c r="A1835" s="8" t="s">
        <v>3812</v>
      </c>
      <c r="B1835" s="8" t="s">
        <v>3813</v>
      </c>
      <c r="C1835" s="8" t="s">
        <v>51</v>
      </c>
      <c r="D1835" s="8" t="s">
        <v>2027</v>
      </c>
      <c r="E1835" s="8" t="s">
        <v>117</v>
      </c>
      <c r="F1835" s="8" t="s">
        <v>154</v>
      </c>
      <c r="G1835" s="8" t="s">
        <v>185</v>
      </c>
      <c r="H1835" s="15" t="n">
        <v>180</v>
      </c>
      <c r="I1835" s="15" t="n">
        <v>180</v>
      </c>
      <c r="J1835" s="16" t="n">
        <v>0.711</v>
      </c>
      <c r="K1835" s="8" t="n">
        <v>7.3</v>
      </c>
      <c r="L1835" s="8" t="n">
        <v>8</v>
      </c>
      <c r="M1835" s="8" t="n">
        <v>4</v>
      </c>
      <c r="N1835" s="8" t="s">
        <v>120</v>
      </c>
      <c r="O1835" s="15" t="n">
        <f aca="false">H1835*12</f>
        <v>2160</v>
      </c>
      <c r="P1835" s="8" t="n">
        <f aca="false">MIN(100,ROUND(100*J1835/Assumptions!$B$8,0))</f>
        <v>79</v>
      </c>
      <c r="Q1835" s="8" t="n">
        <f aca="false">IF(L1835="",Assumptions!$B$9,L1835*10)</f>
        <v>80</v>
      </c>
      <c r="R1835" s="8" t="n">
        <f aca="false">IF(M1835&lt;=1,Assumptions!$B$12,IF(M1835&lt;=3,Assumptions!$B$13,IF(M1835&lt;=6,Assumptions!$B$14,Assumptions!$B$15)))</f>
        <v>50</v>
      </c>
      <c r="S1835" s="8" t="n">
        <f aca="false">IF(N1835="Completed On Time",Assumptions!$B$16,IF(N1835="Completed Late",Assumptions!$B$17,Assumptions!$B$18))</f>
        <v>100</v>
      </c>
      <c r="T1835" s="8" t="n">
        <f aca="false">IF(I1835=0,Assumptions!$B$20,IF(H1835&gt;I1835,Assumptions!$B$19,IF(H1835=I1835,Assumptions!$B$20,Assumptions!$B$21)))</f>
        <v>70</v>
      </c>
      <c r="U1835" s="8" t="n">
        <f aca="false">ROUND(P1835*Assumptions!$B$2+Q1835*Assumptions!$B$3+R1835*Assumptions!$B$4+S1835*Assumptions!$B$5+T1835*Assumptions!$B$6,0)</f>
        <v>75</v>
      </c>
      <c r="V1835" s="8" t="str">
        <f aca="false">IF(U1835&gt;=Assumptions!$B$10,"Healthy",IF(U1835&gt;=Assumptions!$B$11,"Needs Attention","High Risk"))</f>
        <v>Needs Attention</v>
      </c>
    </row>
    <row r="1836" customFormat="false" ht="15" hidden="false" customHeight="false" outlineLevel="0" collapsed="false">
      <c r="A1836" s="8" t="s">
        <v>3814</v>
      </c>
      <c r="B1836" s="8" t="s">
        <v>3815</v>
      </c>
      <c r="C1836" s="8" t="s">
        <v>51</v>
      </c>
      <c r="D1836" s="8" t="s">
        <v>2027</v>
      </c>
      <c r="E1836" s="8" t="s">
        <v>132</v>
      </c>
      <c r="F1836" s="8" t="s">
        <v>133</v>
      </c>
      <c r="G1836" s="8" t="s">
        <v>180</v>
      </c>
      <c r="H1836" s="15" t="n">
        <v>180</v>
      </c>
      <c r="I1836" s="15" t="n">
        <v>0</v>
      </c>
      <c r="J1836" s="16" t="n">
        <v>0.7</v>
      </c>
      <c r="K1836" s="8" t="n">
        <v>10.5</v>
      </c>
      <c r="L1836" s="8"/>
      <c r="M1836" s="8" t="n">
        <v>1</v>
      </c>
      <c r="N1836" s="8" t="s">
        <v>120</v>
      </c>
      <c r="O1836" s="15" t="n">
        <f aca="false">H1836*12</f>
        <v>2160</v>
      </c>
      <c r="P1836" s="8" t="n">
        <f aca="false">MIN(100,ROUND(100*J1836/Assumptions!$B$8,0))</f>
        <v>78</v>
      </c>
      <c r="Q1836" s="8" t="n">
        <f aca="false">IF(L1836="",Assumptions!$B$9,L1836*10)</f>
        <v>50</v>
      </c>
      <c r="R1836" s="8" t="n">
        <f aca="false">IF(M1836&lt;=1,Assumptions!$B$12,IF(M1836&lt;=3,Assumptions!$B$13,IF(M1836&lt;=6,Assumptions!$B$14,Assumptions!$B$15)))</f>
        <v>100</v>
      </c>
      <c r="S1836" s="8" t="n">
        <f aca="false">IF(N1836="Completed On Time",Assumptions!$B$16,IF(N1836="Completed Late",Assumptions!$B$17,Assumptions!$B$18))</f>
        <v>100</v>
      </c>
      <c r="T1836" s="8" t="n">
        <f aca="false">IF(I1836=0,Assumptions!$B$20,IF(H1836&gt;I1836,Assumptions!$B$19,IF(H1836=I1836,Assumptions!$B$20,Assumptions!$B$21)))</f>
        <v>70</v>
      </c>
      <c r="U1836" s="8" t="n">
        <f aca="false">ROUND(P1836*Assumptions!$B$2+Q1836*Assumptions!$B$3+R1836*Assumptions!$B$4+S1836*Assumptions!$B$5+T1836*Assumptions!$B$6,0)</f>
        <v>76</v>
      </c>
      <c r="V1836" s="8" t="str">
        <f aca="false">IF(U1836&gt;=Assumptions!$B$10,"Healthy",IF(U1836&gt;=Assumptions!$B$11,"Needs Attention","High Risk"))</f>
        <v>Needs Attention</v>
      </c>
    </row>
    <row r="1837" customFormat="false" ht="15" hidden="false" customHeight="false" outlineLevel="0" collapsed="false">
      <c r="A1837" s="8" t="s">
        <v>3816</v>
      </c>
      <c r="B1837" s="8" t="s">
        <v>3817</v>
      </c>
      <c r="C1837" s="8" t="s">
        <v>51</v>
      </c>
      <c r="D1837" s="8" t="s">
        <v>2027</v>
      </c>
      <c r="E1837" s="8" t="s">
        <v>132</v>
      </c>
      <c r="F1837" s="8" t="s">
        <v>190</v>
      </c>
      <c r="G1837" s="8" t="s">
        <v>185</v>
      </c>
      <c r="H1837" s="15" t="n">
        <v>180</v>
      </c>
      <c r="I1837" s="15" t="n">
        <v>180</v>
      </c>
      <c r="J1837" s="16" t="n">
        <v>0.689</v>
      </c>
      <c r="K1837" s="8" t="n">
        <v>7.7</v>
      </c>
      <c r="L1837" s="8" t="n">
        <v>5</v>
      </c>
      <c r="M1837" s="8" t="n">
        <v>1</v>
      </c>
      <c r="N1837" s="8" t="s">
        <v>120</v>
      </c>
      <c r="O1837" s="15" t="n">
        <f aca="false">H1837*12</f>
        <v>2160</v>
      </c>
      <c r="P1837" s="8" t="n">
        <f aca="false">MIN(100,ROUND(100*J1837/Assumptions!$B$8,0))</f>
        <v>77</v>
      </c>
      <c r="Q1837" s="8" t="n">
        <f aca="false">IF(L1837="",Assumptions!$B$9,L1837*10)</f>
        <v>50</v>
      </c>
      <c r="R1837" s="8" t="n">
        <f aca="false">IF(M1837&lt;=1,Assumptions!$B$12,IF(M1837&lt;=3,Assumptions!$B$13,IF(M1837&lt;=6,Assumptions!$B$14,Assumptions!$B$15)))</f>
        <v>100</v>
      </c>
      <c r="S1837" s="8" t="n">
        <f aca="false">IF(N1837="Completed On Time",Assumptions!$B$16,IF(N1837="Completed Late",Assumptions!$B$17,Assumptions!$B$18))</f>
        <v>100</v>
      </c>
      <c r="T1837" s="8" t="n">
        <f aca="false">IF(I1837=0,Assumptions!$B$20,IF(H1837&gt;I1837,Assumptions!$B$19,IF(H1837=I1837,Assumptions!$B$20,Assumptions!$B$21)))</f>
        <v>70</v>
      </c>
      <c r="U1837" s="8" t="n">
        <f aca="false">ROUND(P1837*Assumptions!$B$2+Q1837*Assumptions!$B$3+R1837*Assumptions!$B$4+S1837*Assumptions!$B$5+T1837*Assumptions!$B$6,0)</f>
        <v>76</v>
      </c>
      <c r="V1837" s="8" t="str">
        <f aca="false">IF(U1837&gt;=Assumptions!$B$10,"Healthy",IF(U1837&gt;=Assumptions!$B$11,"Needs Attention","High Risk"))</f>
        <v>Needs Attention</v>
      </c>
    </row>
    <row r="1838" customFormat="false" ht="15" hidden="false" customHeight="false" outlineLevel="0" collapsed="false">
      <c r="A1838" s="8" t="s">
        <v>3818</v>
      </c>
      <c r="B1838" s="8" t="s">
        <v>3819</v>
      </c>
      <c r="C1838" s="8" t="s">
        <v>51</v>
      </c>
      <c r="D1838" s="8" t="s">
        <v>2027</v>
      </c>
      <c r="E1838" s="8" t="s">
        <v>123</v>
      </c>
      <c r="F1838" s="8" t="s">
        <v>151</v>
      </c>
      <c r="G1838" s="8" t="s">
        <v>147</v>
      </c>
      <c r="H1838" s="15" t="n">
        <v>180</v>
      </c>
      <c r="I1838" s="15" t="n">
        <v>180</v>
      </c>
      <c r="J1838" s="16" t="n">
        <v>0.667</v>
      </c>
      <c r="K1838" s="8" t="n">
        <v>7.7</v>
      </c>
      <c r="L1838" s="8" t="n">
        <v>10</v>
      </c>
      <c r="M1838" s="8" t="n">
        <v>5</v>
      </c>
      <c r="N1838" s="8" t="s">
        <v>120</v>
      </c>
      <c r="O1838" s="15" t="n">
        <f aca="false">H1838*12</f>
        <v>2160</v>
      </c>
      <c r="P1838" s="8" t="n">
        <f aca="false">MIN(100,ROUND(100*J1838/Assumptions!$B$8,0))</f>
        <v>74</v>
      </c>
      <c r="Q1838" s="8" t="n">
        <f aca="false">IF(L1838="",Assumptions!$B$9,L1838*10)</f>
        <v>100</v>
      </c>
      <c r="R1838" s="8" t="n">
        <f aca="false">IF(M1838&lt;=1,Assumptions!$B$12,IF(M1838&lt;=3,Assumptions!$B$13,IF(M1838&lt;=6,Assumptions!$B$14,Assumptions!$B$15)))</f>
        <v>50</v>
      </c>
      <c r="S1838" s="8" t="n">
        <f aca="false">IF(N1838="Completed On Time",Assumptions!$B$16,IF(N1838="Completed Late",Assumptions!$B$17,Assumptions!$B$18))</f>
        <v>100</v>
      </c>
      <c r="T1838" s="8" t="n">
        <f aca="false">IF(I1838=0,Assumptions!$B$20,IF(H1838&gt;I1838,Assumptions!$B$19,IF(H1838=I1838,Assumptions!$B$20,Assumptions!$B$21)))</f>
        <v>70</v>
      </c>
      <c r="U1838" s="8" t="n">
        <f aca="false">ROUND(P1838*Assumptions!$B$2+Q1838*Assumptions!$B$3+R1838*Assumptions!$B$4+S1838*Assumptions!$B$5+T1838*Assumptions!$B$6,0)</f>
        <v>77</v>
      </c>
      <c r="V1838" s="8" t="str">
        <f aca="false">IF(U1838&gt;=Assumptions!$B$10,"Healthy",IF(U1838&gt;=Assumptions!$B$11,"Needs Attention","High Risk"))</f>
        <v>Needs Attention</v>
      </c>
    </row>
    <row r="1839" customFormat="false" ht="15" hidden="false" customHeight="false" outlineLevel="0" collapsed="false">
      <c r="A1839" s="8" t="s">
        <v>3820</v>
      </c>
      <c r="B1839" s="8" t="s">
        <v>3821</v>
      </c>
      <c r="C1839" s="8" t="s">
        <v>51</v>
      </c>
      <c r="D1839" s="8" t="s">
        <v>2027</v>
      </c>
      <c r="E1839" s="8" t="s">
        <v>123</v>
      </c>
      <c r="F1839" s="8" t="s">
        <v>118</v>
      </c>
      <c r="G1839" s="8" t="s">
        <v>140</v>
      </c>
      <c r="H1839" s="15" t="n">
        <v>180</v>
      </c>
      <c r="I1839" s="15" t="n">
        <v>156</v>
      </c>
      <c r="J1839" s="16" t="n">
        <v>0.659</v>
      </c>
      <c r="K1839" s="8" t="n">
        <v>10</v>
      </c>
      <c r="L1839" s="8" t="n">
        <v>10</v>
      </c>
      <c r="M1839" s="8" t="n">
        <v>2</v>
      </c>
      <c r="N1839" s="8" t="s">
        <v>120</v>
      </c>
      <c r="O1839" s="15" t="n">
        <f aca="false">H1839*12</f>
        <v>2160</v>
      </c>
      <c r="P1839" s="8" t="n">
        <f aca="false">MIN(100,ROUND(100*J1839/Assumptions!$B$8,0))</f>
        <v>73</v>
      </c>
      <c r="Q1839" s="8" t="n">
        <f aca="false">IF(L1839="",Assumptions!$B$9,L1839*10)</f>
        <v>100</v>
      </c>
      <c r="R1839" s="8" t="n">
        <f aca="false">IF(M1839&lt;=1,Assumptions!$B$12,IF(M1839&lt;=3,Assumptions!$B$13,IF(M1839&lt;=6,Assumptions!$B$14,Assumptions!$B$15)))</f>
        <v>75</v>
      </c>
      <c r="S1839" s="8" t="n">
        <f aca="false">IF(N1839="Completed On Time",Assumptions!$B$16,IF(N1839="Completed Late",Assumptions!$B$17,Assumptions!$B$18))</f>
        <v>100</v>
      </c>
      <c r="T1839" s="8" t="n">
        <f aca="false">IF(I1839=0,Assumptions!$B$20,IF(H1839&gt;I1839,Assumptions!$B$19,IF(H1839=I1839,Assumptions!$B$20,Assumptions!$B$21)))</f>
        <v>100</v>
      </c>
      <c r="U1839" s="8" t="n">
        <f aca="false">ROUND(P1839*Assumptions!$B$2+Q1839*Assumptions!$B$3+R1839*Assumptions!$B$4+S1839*Assumptions!$B$5+T1839*Assumptions!$B$6,0)</f>
        <v>87</v>
      </c>
      <c r="V1839" s="8" t="str">
        <f aca="false">IF(U1839&gt;=Assumptions!$B$10,"Healthy",IF(U1839&gt;=Assumptions!$B$11,"Needs Attention","High Risk"))</f>
        <v>Healthy</v>
      </c>
    </row>
    <row r="1840" customFormat="false" ht="15" hidden="false" customHeight="false" outlineLevel="0" collapsed="false">
      <c r="A1840" s="8" t="s">
        <v>3822</v>
      </c>
      <c r="B1840" s="8" t="s">
        <v>3823</v>
      </c>
      <c r="C1840" s="8" t="s">
        <v>51</v>
      </c>
      <c r="D1840" s="8" t="s">
        <v>2027</v>
      </c>
      <c r="E1840" s="8" t="s">
        <v>123</v>
      </c>
      <c r="F1840" s="8" t="s">
        <v>133</v>
      </c>
      <c r="G1840" s="8" t="s">
        <v>185</v>
      </c>
      <c r="H1840" s="15" t="n">
        <v>180</v>
      </c>
      <c r="I1840" s="15" t="n">
        <v>180</v>
      </c>
      <c r="J1840" s="16" t="n">
        <v>0.756</v>
      </c>
      <c r="K1840" s="8" t="n">
        <v>9</v>
      </c>
      <c r="L1840" s="8" t="n">
        <v>9</v>
      </c>
      <c r="M1840" s="8" t="n">
        <v>2</v>
      </c>
      <c r="N1840" s="8" t="s">
        <v>120</v>
      </c>
      <c r="O1840" s="15" t="n">
        <f aca="false">H1840*12</f>
        <v>2160</v>
      </c>
      <c r="P1840" s="8" t="n">
        <f aca="false">MIN(100,ROUND(100*J1840/Assumptions!$B$8,0))</f>
        <v>84</v>
      </c>
      <c r="Q1840" s="8" t="n">
        <f aca="false">IF(L1840="",Assumptions!$B$9,L1840*10)</f>
        <v>90</v>
      </c>
      <c r="R1840" s="8" t="n">
        <f aca="false">IF(M1840&lt;=1,Assumptions!$B$12,IF(M1840&lt;=3,Assumptions!$B$13,IF(M1840&lt;=6,Assumptions!$B$14,Assumptions!$B$15)))</f>
        <v>75</v>
      </c>
      <c r="S1840" s="8" t="n">
        <f aca="false">IF(N1840="Completed On Time",Assumptions!$B$16,IF(N1840="Completed Late",Assumptions!$B$17,Assumptions!$B$18))</f>
        <v>100</v>
      </c>
      <c r="T1840" s="8" t="n">
        <f aca="false">IF(I1840=0,Assumptions!$B$20,IF(H1840&gt;I1840,Assumptions!$B$19,IF(H1840=I1840,Assumptions!$B$20,Assumptions!$B$21)))</f>
        <v>70</v>
      </c>
      <c r="U1840" s="8" t="n">
        <f aca="false">ROUND(P1840*Assumptions!$B$2+Q1840*Assumptions!$B$3+R1840*Assumptions!$B$4+S1840*Assumptions!$B$5+T1840*Assumptions!$B$6,0)</f>
        <v>83</v>
      </c>
      <c r="V1840" s="8" t="str">
        <f aca="false">IF(U1840&gt;=Assumptions!$B$10,"Healthy",IF(U1840&gt;=Assumptions!$B$11,"Needs Attention","High Risk"))</f>
        <v>Healthy</v>
      </c>
    </row>
    <row r="1841" customFormat="false" ht="15" hidden="false" customHeight="false" outlineLevel="0" collapsed="false">
      <c r="A1841" s="8" t="s">
        <v>3824</v>
      </c>
      <c r="B1841" s="8" t="s">
        <v>3825</v>
      </c>
      <c r="C1841" s="8" t="s">
        <v>51</v>
      </c>
      <c r="D1841" s="8" t="s">
        <v>2027</v>
      </c>
      <c r="E1841" s="8" t="s">
        <v>117</v>
      </c>
      <c r="F1841" s="8" t="s">
        <v>223</v>
      </c>
      <c r="G1841" s="8" t="s">
        <v>204</v>
      </c>
      <c r="H1841" s="15" t="n">
        <v>180</v>
      </c>
      <c r="I1841" s="15" t="n">
        <v>180</v>
      </c>
      <c r="J1841" s="16" t="n">
        <v>0.556</v>
      </c>
      <c r="K1841" s="8" t="n">
        <v>7</v>
      </c>
      <c r="L1841" s="8" t="n">
        <v>5</v>
      </c>
      <c r="M1841" s="8" t="n">
        <v>2</v>
      </c>
      <c r="N1841" s="8" t="s">
        <v>120</v>
      </c>
      <c r="O1841" s="15" t="n">
        <f aca="false">H1841*12</f>
        <v>2160</v>
      </c>
      <c r="P1841" s="8" t="n">
        <f aca="false">MIN(100,ROUND(100*J1841/Assumptions!$B$8,0))</f>
        <v>62</v>
      </c>
      <c r="Q1841" s="8" t="n">
        <f aca="false">IF(L1841="",Assumptions!$B$9,L1841*10)</f>
        <v>50</v>
      </c>
      <c r="R1841" s="8" t="n">
        <f aca="false">IF(M1841&lt;=1,Assumptions!$B$12,IF(M1841&lt;=3,Assumptions!$B$13,IF(M1841&lt;=6,Assumptions!$B$14,Assumptions!$B$15)))</f>
        <v>75</v>
      </c>
      <c r="S1841" s="8" t="n">
        <f aca="false">IF(N1841="Completed On Time",Assumptions!$B$16,IF(N1841="Completed Late",Assumptions!$B$17,Assumptions!$B$18))</f>
        <v>100</v>
      </c>
      <c r="T1841" s="8" t="n">
        <f aca="false">IF(I1841=0,Assumptions!$B$20,IF(H1841&gt;I1841,Assumptions!$B$19,IF(H1841=I1841,Assumptions!$B$20,Assumptions!$B$21)))</f>
        <v>70</v>
      </c>
      <c r="U1841" s="8" t="n">
        <f aca="false">ROUND(P1841*Assumptions!$B$2+Q1841*Assumptions!$B$3+R1841*Assumptions!$B$4+S1841*Assumptions!$B$5+T1841*Assumptions!$B$6,0)</f>
        <v>67</v>
      </c>
      <c r="V1841" s="8" t="str">
        <f aca="false">IF(U1841&gt;=Assumptions!$B$10,"Healthy",IF(U1841&gt;=Assumptions!$B$11,"Needs Attention","High Risk"))</f>
        <v>Needs Attention</v>
      </c>
    </row>
    <row r="1842" customFormat="false" ht="15" hidden="false" customHeight="false" outlineLevel="0" collapsed="false">
      <c r="A1842" s="8" t="s">
        <v>3826</v>
      </c>
      <c r="B1842" s="8" t="s">
        <v>3827</v>
      </c>
      <c r="C1842" s="8" t="s">
        <v>51</v>
      </c>
      <c r="D1842" s="8" t="s">
        <v>2027</v>
      </c>
      <c r="E1842" s="8" t="s">
        <v>123</v>
      </c>
      <c r="F1842" s="8" t="s">
        <v>166</v>
      </c>
      <c r="G1842" s="8" t="s">
        <v>147</v>
      </c>
      <c r="H1842" s="15" t="n">
        <v>180</v>
      </c>
      <c r="I1842" s="15" t="n">
        <v>180</v>
      </c>
      <c r="J1842" s="16" t="n">
        <v>0.644</v>
      </c>
      <c r="K1842" s="8" t="n">
        <v>7.3</v>
      </c>
      <c r="L1842" s="8" t="n">
        <v>8</v>
      </c>
      <c r="M1842" s="8" t="n">
        <v>5</v>
      </c>
      <c r="N1842" s="8" t="s">
        <v>148</v>
      </c>
      <c r="O1842" s="15" t="n">
        <f aca="false">H1842*12</f>
        <v>2160</v>
      </c>
      <c r="P1842" s="8" t="n">
        <f aca="false">MIN(100,ROUND(100*J1842/Assumptions!$B$8,0))</f>
        <v>72</v>
      </c>
      <c r="Q1842" s="8" t="n">
        <f aca="false">IF(L1842="",Assumptions!$B$9,L1842*10)</f>
        <v>80</v>
      </c>
      <c r="R1842" s="8" t="n">
        <f aca="false">IF(M1842&lt;=1,Assumptions!$B$12,IF(M1842&lt;=3,Assumptions!$B$13,IF(M1842&lt;=6,Assumptions!$B$14,Assumptions!$B$15)))</f>
        <v>50</v>
      </c>
      <c r="S1842" s="8" t="n">
        <f aca="false">IF(N1842="Completed On Time",Assumptions!$B$16,IF(N1842="Completed Late",Assumptions!$B$17,Assumptions!$B$18))</f>
        <v>60</v>
      </c>
      <c r="T1842" s="8" t="n">
        <f aca="false">IF(I1842=0,Assumptions!$B$20,IF(H1842&gt;I1842,Assumptions!$B$19,IF(H1842=I1842,Assumptions!$B$20,Assumptions!$B$21)))</f>
        <v>70</v>
      </c>
      <c r="U1842" s="8" t="n">
        <f aca="false">ROUND(P1842*Assumptions!$B$2+Q1842*Assumptions!$B$3+R1842*Assumptions!$B$4+S1842*Assumptions!$B$5+T1842*Assumptions!$B$6,0)</f>
        <v>69</v>
      </c>
      <c r="V1842" s="8" t="str">
        <f aca="false">IF(U1842&gt;=Assumptions!$B$10,"Healthy",IF(U1842&gt;=Assumptions!$B$11,"Needs Attention","High Risk"))</f>
        <v>Needs Attention</v>
      </c>
    </row>
    <row r="1843" customFormat="false" ht="15" hidden="false" customHeight="false" outlineLevel="0" collapsed="false">
      <c r="A1843" s="8" t="s">
        <v>3828</v>
      </c>
      <c r="B1843" s="8" t="s">
        <v>3829</v>
      </c>
      <c r="C1843" s="8" t="s">
        <v>51</v>
      </c>
      <c r="D1843" s="8" t="s">
        <v>2027</v>
      </c>
      <c r="E1843" s="8" t="s">
        <v>123</v>
      </c>
      <c r="F1843" s="8" t="s">
        <v>151</v>
      </c>
      <c r="G1843" s="8" t="s">
        <v>144</v>
      </c>
      <c r="H1843" s="15" t="n">
        <v>180</v>
      </c>
      <c r="I1843" s="15" t="n">
        <v>144</v>
      </c>
      <c r="J1843" s="16" t="n">
        <v>0.976</v>
      </c>
      <c r="K1843" s="8" t="n">
        <v>11.7</v>
      </c>
      <c r="L1843" s="8" t="n">
        <v>9</v>
      </c>
      <c r="M1843" s="8" t="n">
        <v>0</v>
      </c>
      <c r="N1843" s="8" t="s">
        <v>120</v>
      </c>
      <c r="O1843" s="15" t="n">
        <f aca="false">H1843*12</f>
        <v>2160</v>
      </c>
      <c r="P1843" s="8" t="n">
        <f aca="false">MIN(100,ROUND(100*J1843/Assumptions!$B$8,0))</f>
        <v>100</v>
      </c>
      <c r="Q1843" s="8" t="n">
        <f aca="false">IF(L1843="",Assumptions!$B$9,L1843*10)</f>
        <v>90</v>
      </c>
      <c r="R1843" s="8" t="n">
        <f aca="false">IF(M1843&lt;=1,Assumptions!$B$12,IF(M1843&lt;=3,Assumptions!$B$13,IF(M1843&lt;=6,Assumptions!$B$14,Assumptions!$B$15)))</f>
        <v>100</v>
      </c>
      <c r="S1843" s="8" t="n">
        <f aca="false">IF(N1843="Completed On Time",Assumptions!$B$16,IF(N1843="Completed Late",Assumptions!$B$17,Assumptions!$B$18))</f>
        <v>100</v>
      </c>
      <c r="T1843" s="8" t="n">
        <f aca="false">IF(I1843=0,Assumptions!$B$20,IF(H1843&gt;I1843,Assumptions!$B$19,IF(H1843=I1843,Assumptions!$B$20,Assumptions!$B$21)))</f>
        <v>100</v>
      </c>
      <c r="U1843" s="8" t="n">
        <f aca="false">ROUND(P1843*Assumptions!$B$2+Q1843*Assumptions!$B$3+R1843*Assumptions!$B$4+S1843*Assumptions!$B$5+T1843*Assumptions!$B$6,0)</f>
        <v>98</v>
      </c>
      <c r="V1843" s="8" t="str">
        <f aca="false">IF(U1843&gt;=Assumptions!$B$10,"Healthy",IF(U1843&gt;=Assumptions!$B$11,"Needs Attention","High Risk"))</f>
        <v>Healthy</v>
      </c>
    </row>
    <row r="1844" customFormat="false" ht="15" hidden="false" customHeight="false" outlineLevel="0" collapsed="false">
      <c r="A1844" s="8" t="s">
        <v>3830</v>
      </c>
      <c r="B1844" s="8" t="s">
        <v>3831</v>
      </c>
      <c r="C1844" s="8" t="s">
        <v>51</v>
      </c>
      <c r="D1844" s="8" t="s">
        <v>2027</v>
      </c>
      <c r="E1844" s="8" t="s">
        <v>132</v>
      </c>
      <c r="F1844" s="8" t="s">
        <v>133</v>
      </c>
      <c r="G1844" s="8" t="s">
        <v>119</v>
      </c>
      <c r="H1844" s="15" t="n">
        <v>180</v>
      </c>
      <c r="I1844" s="15" t="n">
        <v>180</v>
      </c>
      <c r="J1844" s="16" t="n">
        <v>0.6</v>
      </c>
      <c r="K1844" s="8" t="n">
        <v>8</v>
      </c>
      <c r="L1844" s="8" t="n">
        <v>6</v>
      </c>
      <c r="M1844" s="8" t="n">
        <v>4</v>
      </c>
      <c r="N1844" s="8" t="s">
        <v>120</v>
      </c>
      <c r="O1844" s="15" t="n">
        <f aca="false">H1844*12</f>
        <v>2160</v>
      </c>
      <c r="P1844" s="8" t="n">
        <f aca="false">MIN(100,ROUND(100*J1844/Assumptions!$B$8,0))</f>
        <v>67</v>
      </c>
      <c r="Q1844" s="8" t="n">
        <f aca="false">IF(L1844="",Assumptions!$B$9,L1844*10)</f>
        <v>60</v>
      </c>
      <c r="R1844" s="8" t="n">
        <f aca="false">IF(M1844&lt;=1,Assumptions!$B$12,IF(M1844&lt;=3,Assumptions!$B$13,IF(M1844&lt;=6,Assumptions!$B$14,Assumptions!$B$15)))</f>
        <v>50</v>
      </c>
      <c r="S1844" s="8" t="n">
        <f aca="false">IF(N1844="Completed On Time",Assumptions!$B$16,IF(N1844="Completed Late",Assumptions!$B$17,Assumptions!$B$18))</f>
        <v>100</v>
      </c>
      <c r="T1844" s="8" t="n">
        <f aca="false">IF(I1844=0,Assumptions!$B$20,IF(H1844&gt;I1844,Assumptions!$B$19,IF(H1844=I1844,Assumptions!$B$20,Assumptions!$B$21)))</f>
        <v>70</v>
      </c>
      <c r="U1844" s="8" t="n">
        <f aca="false">ROUND(P1844*Assumptions!$B$2+Q1844*Assumptions!$B$3+R1844*Assumptions!$B$4+S1844*Assumptions!$B$5+T1844*Assumptions!$B$6,0)</f>
        <v>67</v>
      </c>
      <c r="V1844" s="8" t="str">
        <f aca="false">IF(U1844&gt;=Assumptions!$B$10,"Healthy",IF(U1844&gt;=Assumptions!$B$11,"Needs Attention","High Risk"))</f>
        <v>Needs Attention</v>
      </c>
    </row>
    <row r="1845" customFormat="false" ht="15" hidden="false" customHeight="false" outlineLevel="0" collapsed="false">
      <c r="A1845" s="8" t="s">
        <v>3832</v>
      </c>
      <c r="B1845" s="8" t="s">
        <v>3833</v>
      </c>
      <c r="C1845" s="8" t="s">
        <v>51</v>
      </c>
      <c r="D1845" s="8" t="s">
        <v>2027</v>
      </c>
      <c r="E1845" s="8" t="s">
        <v>132</v>
      </c>
      <c r="F1845" s="8" t="s">
        <v>143</v>
      </c>
      <c r="G1845" s="8" t="s">
        <v>177</v>
      </c>
      <c r="H1845" s="15" t="n">
        <v>180</v>
      </c>
      <c r="I1845" s="15" t="n">
        <v>0</v>
      </c>
      <c r="J1845" s="16" t="n">
        <v>0.711</v>
      </c>
      <c r="K1845" s="8" t="n">
        <v>10.3</v>
      </c>
      <c r="L1845" s="8"/>
      <c r="M1845" s="8" t="n">
        <v>3</v>
      </c>
      <c r="N1845" s="8" t="s">
        <v>120</v>
      </c>
      <c r="O1845" s="15" t="n">
        <f aca="false">H1845*12</f>
        <v>2160</v>
      </c>
      <c r="P1845" s="8" t="n">
        <f aca="false">MIN(100,ROUND(100*J1845/Assumptions!$B$8,0))</f>
        <v>79</v>
      </c>
      <c r="Q1845" s="8" t="n">
        <f aca="false">IF(L1845="",Assumptions!$B$9,L1845*10)</f>
        <v>50</v>
      </c>
      <c r="R1845" s="8" t="n">
        <f aca="false">IF(M1845&lt;=1,Assumptions!$B$12,IF(M1845&lt;=3,Assumptions!$B$13,IF(M1845&lt;=6,Assumptions!$B$14,Assumptions!$B$15)))</f>
        <v>75</v>
      </c>
      <c r="S1845" s="8" t="n">
        <f aca="false">IF(N1845="Completed On Time",Assumptions!$B$16,IF(N1845="Completed Late",Assumptions!$B$17,Assumptions!$B$18))</f>
        <v>100</v>
      </c>
      <c r="T1845" s="8" t="n">
        <f aca="false">IF(I1845=0,Assumptions!$B$20,IF(H1845&gt;I1845,Assumptions!$B$19,IF(H1845=I1845,Assumptions!$B$20,Assumptions!$B$21)))</f>
        <v>70</v>
      </c>
      <c r="U1845" s="8" t="n">
        <f aca="false">ROUND(P1845*Assumptions!$B$2+Q1845*Assumptions!$B$3+R1845*Assumptions!$B$4+S1845*Assumptions!$B$5+T1845*Assumptions!$B$6,0)</f>
        <v>73</v>
      </c>
      <c r="V1845" s="8" t="str">
        <f aca="false">IF(U1845&gt;=Assumptions!$B$10,"Healthy",IF(U1845&gt;=Assumptions!$B$11,"Needs Attention","High Risk"))</f>
        <v>Needs Attention</v>
      </c>
    </row>
    <row r="1846" customFormat="false" ht="15" hidden="false" customHeight="false" outlineLevel="0" collapsed="false">
      <c r="A1846" s="8" t="s">
        <v>3834</v>
      </c>
      <c r="B1846" s="8" t="s">
        <v>3835</v>
      </c>
      <c r="C1846" s="8" t="s">
        <v>51</v>
      </c>
      <c r="D1846" s="8" t="s">
        <v>2027</v>
      </c>
      <c r="E1846" s="8" t="s">
        <v>123</v>
      </c>
      <c r="F1846" s="8" t="s">
        <v>143</v>
      </c>
      <c r="G1846" s="8" t="s">
        <v>137</v>
      </c>
      <c r="H1846" s="15" t="n">
        <v>180</v>
      </c>
      <c r="I1846" s="15" t="n">
        <v>180</v>
      </c>
      <c r="J1846" s="16" t="n">
        <v>0.733</v>
      </c>
      <c r="K1846" s="8" t="n">
        <v>7.7</v>
      </c>
      <c r="L1846" s="8" t="n">
        <v>10</v>
      </c>
      <c r="M1846" s="8" t="n">
        <v>7</v>
      </c>
      <c r="N1846" s="8" t="s">
        <v>120</v>
      </c>
      <c r="O1846" s="15" t="n">
        <f aca="false">H1846*12</f>
        <v>2160</v>
      </c>
      <c r="P1846" s="8" t="n">
        <f aca="false">MIN(100,ROUND(100*J1846/Assumptions!$B$8,0))</f>
        <v>81</v>
      </c>
      <c r="Q1846" s="8" t="n">
        <f aca="false">IF(L1846="",Assumptions!$B$9,L1846*10)</f>
        <v>100</v>
      </c>
      <c r="R1846" s="8" t="n">
        <f aca="false">IF(M1846&lt;=1,Assumptions!$B$12,IF(M1846&lt;=3,Assumptions!$B$13,IF(M1846&lt;=6,Assumptions!$B$14,Assumptions!$B$15)))</f>
        <v>20</v>
      </c>
      <c r="S1846" s="8" t="n">
        <f aca="false">IF(N1846="Completed On Time",Assumptions!$B$16,IF(N1846="Completed Late",Assumptions!$B$17,Assumptions!$B$18))</f>
        <v>100</v>
      </c>
      <c r="T1846" s="8" t="n">
        <f aca="false">IF(I1846=0,Assumptions!$B$20,IF(H1846&gt;I1846,Assumptions!$B$19,IF(H1846=I1846,Assumptions!$B$20,Assumptions!$B$21)))</f>
        <v>70</v>
      </c>
      <c r="U1846" s="8" t="n">
        <f aca="false">ROUND(P1846*Assumptions!$B$2+Q1846*Assumptions!$B$3+R1846*Assumptions!$B$4+S1846*Assumptions!$B$5+T1846*Assumptions!$B$6,0)</f>
        <v>75</v>
      </c>
      <c r="V1846" s="8" t="str">
        <f aca="false">IF(U1846&gt;=Assumptions!$B$10,"Healthy",IF(U1846&gt;=Assumptions!$B$11,"Needs Attention","High Risk"))</f>
        <v>Needs Attention</v>
      </c>
    </row>
    <row r="1847" customFormat="false" ht="15" hidden="false" customHeight="false" outlineLevel="0" collapsed="false">
      <c r="A1847" s="8" t="s">
        <v>3836</v>
      </c>
      <c r="B1847" s="8" t="s">
        <v>3837</v>
      </c>
      <c r="C1847" s="8" t="s">
        <v>51</v>
      </c>
      <c r="D1847" s="8" t="s">
        <v>326</v>
      </c>
      <c r="E1847" s="8" t="s">
        <v>132</v>
      </c>
      <c r="F1847" s="8" t="s">
        <v>223</v>
      </c>
      <c r="G1847" s="8" t="s">
        <v>144</v>
      </c>
      <c r="H1847" s="15" t="n">
        <v>175</v>
      </c>
      <c r="I1847" s="15" t="n">
        <v>175</v>
      </c>
      <c r="J1847" s="16" t="n">
        <v>0.905</v>
      </c>
      <c r="K1847" s="8" t="n">
        <v>9.7</v>
      </c>
      <c r="L1847" s="8" t="n">
        <v>8</v>
      </c>
      <c r="M1847" s="8" t="n">
        <v>2</v>
      </c>
      <c r="N1847" s="8" t="s">
        <v>120</v>
      </c>
      <c r="O1847" s="15" t="n">
        <f aca="false">H1847*12</f>
        <v>2100</v>
      </c>
      <c r="P1847" s="8" t="n">
        <f aca="false">MIN(100,ROUND(100*J1847/Assumptions!$B$8,0))</f>
        <v>100</v>
      </c>
      <c r="Q1847" s="8" t="n">
        <f aca="false">IF(L1847="",Assumptions!$B$9,L1847*10)</f>
        <v>80</v>
      </c>
      <c r="R1847" s="8" t="n">
        <f aca="false">IF(M1847&lt;=1,Assumptions!$B$12,IF(M1847&lt;=3,Assumptions!$B$13,IF(M1847&lt;=6,Assumptions!$B$14,Assumptions!$B$15)))</f>
        <v>75</v>
      </c>
      <c r="S1847" s="8" t="n">
        <f aca="false">IF(N1847="Completed On Time",Assumptions!$B$16,IF(N1847="Completed Late",Assumptions!$B$17,Assumptions!$B$18))</f>
        <v>100</v>
      </c>
      <c r="T1847" s="8" t="n">
        <f aca="false">IF(I1847=0,Assumptions!$B$20,IF(H1847&gt;I1847,Assumptions!$B$19,IF(H1847=I1847,Assumptions!$B$20,Assumptions!$B$21)))</f>
        <v>70</v>
      </c>
      <c r="U1847" s="8" t="n">
        <f aca="false">ROUND(P1847*Assumptions!$B$2+Q1847*Assumptions!$B$3+R1847*Assumptions!$B$4+S1847*Assumptions!$B$5+T1847*Assumptions!$B$6,0)</f>
        <v>86</v>
      </c>
      <c r="V1847" s="8" t="str">
        <f aca="false">IF(U1847&gt;=Assumptions!$B$10,"Healthy",IF(U1847&gt;=Assumptions!$B$11,"Needs Attention","High Risk"))</f>
        <v>Healthy</v>
      </c>
    </row>
    <row r="1848" customFormat="false" ht="15" hidden="false" customHeight="false" outlineLevel="0" collapsed="false">
      <c r="A1848" s="8" t="s">
        <v>3838</v>
      </c>
      <c r="B1848" s="8" t="s">
        <v>3839</v>
      </c>
      <c r="C1848" s="8" t="s">
        <v>51</v>
      </c>
      <c r="D1848" s="8" t="s">
        <v>326</v>
      </c>
      <c r="E1848" s="8" t="s">
        <v>132</v>
      </c>
      <c r="F1848" s="8" t="s">
        <v>118</v>
      </c>
      <c r="G1848" s="8" t="s">
        <v>177</v>
      </c>
      <c r="H1848" s="15" t="n">
        <v>175</v>
      </c>
      <c r="I1848" s="15" t="n">
        <v>175</v>
      </c>
      <c r="J1848" s="16" t="n">
        <v>0.762</v>
      </c>
      <c r="K1848" s="8" t="n">
        <v>8.7</v>
      </c>
      <c r="L1848" s="8" t="n">
        <v>9</v>
      </c>
      <c r="M1848" s="8" t="n">
        <v>2</v>
      </c>
      <c r="N1848" s="8" t="s">
        <v>120</v>
      </c>
      <c r="O1848" s="15" t="n">
        <f aca="false">H1848*12</f>
        <v>2100</v>
      </c>
      <c r="P1848" s="8" t="n">
        <f aca="false">MIN(100,ROUND(100*J1848/Assumptions!$B$8,0))</f>
        <v>85</v>
      </c>
      <c r="Q1848" s="8" t="n">
        <f aca="false">IF(L1848="",Assumptions!$B$9,L1848*10)</f>
        <v>90</v>
      </c>
      <c r="R1848" s="8" t="n">
        <f aca="false">IF(M1848&lt;=1,Assumptions!$B$12,IF(M1848&lt;=3,Assumptions!$B$13,IF(M1848&lt;=6,Assumptions!$B$14,Assumptions!$B$15)))</f>
        <v>75</v>
      </c>
      <c r="S1848" s="8" t="n">
        <f aca="false">IF(N1848="Completed On Time",Assumptions!$B$16,IF(N1848="Completed Late",Assumptions!$B$17,Assumptions!$B$18))</f>
        <v>100</v>
      </c>
      <c r="T1848" s="8" t="n">
        <f aca="false">IF(I1848=0,Assumptions!$B$20,IF(H1848&gt;I1848,Assumptions!$B$19,IF(H1848=I1848,Assumptions!$B$20,Assumptions!$B$21)))</f>
        <v>70</v>
      </c>
      <c r="U1848" s="8" t="n">
        <f aca="false">ROUND(P1848*Assumptions!$B$2+Q1848*Assumptions!$B$3+R1848*Assumptions!$B$4+S1848*Assumptions!$B$5+T1848*Assumptions!$B$6,0)</f>
        <v>83</v>
      </c>
      <c r="V1848" s="8" t="str">
        <f aca="false">IF(U1848&gt;=Assumptions!$B$10,"Healthy",IF(U1848&gt;=Assumptions!$B$11,"Needs Attention","High Risk"))</f>
        <v>Healthy</v>
      </c>
    </row>
    <row r="1849" customFormat="false" ht="15" hidden="false" customHeight="false" outlineLevel="0" collapsed="false">
      <c r="A1849" s="8" t="s">
        <v>3840</v>
      </c>
      <c r="B1849" s="8" t="s">
        <v>3841</v>
      </c>
      <c r="C1849" s="8" t="s">
        <v>51</v>
      </c>
      <c r="D1849" s="8" t="s">
        <v>326</v>
      </c>
      <c r="E1849" s="8" t="s">
        <v>123</v>
      </c>
      <c r="F1849" s="8" t="s">
        <v>151</v>
      </c>
      <c r="G1849" s="8" t="s">
        <v>119</v>
      </c>
      <c r="H1849" s="15" t="n">
        <v>175</v>
      </c>
      <c r="I1849" s="15" t="n">
        <v>175</v>
      </c>
      <c r="J1849" s="16" t="n">
        <v>0.571</v>
      </c>
      <c r="K1849" s="8" t="n">
        <v>8.3</v>
      </c>
      <c r="L1849" s="8" t="n">
        <v>8</v>
      </c>
      <c r="M1849" s="8" t="n">
        <v>8</v>
      </c>
      <c r="N1849" s="8" t="s">
        <v>120</v>
      </c>
      <c r="O1849" s="15" t="n">
        <f aca="false">H1849*12</f>
        <v>2100</v>
      </c>
      <c r="P1849" s="8" t="n">
        <f aca="false">MIN(100,ROUND(100*J1849/Assumptions!$B$8,0))</f>
        <v>63</v>
      </c>
      <c r="Q1849" s="8" t="n">
        <f aca="false">IF(L1849="",Assumptions!$B$9,L1849*10)</f>
        <v>80</v>
      </c>
      <c r="R1849" s="8" t="n">
        <f aca="false">IF(M1849&lt;=1,Assumptions!$B$12,IF(M1849&lt;=3,Assumptions!$B$13,IF(M1849&lt;=6,Assumptions!$B$14,Assumptions!$B$15)))</f>
        <v>20</v>
      </c>
      <c r="S1849" s="8" t="n">
        <f aca="false">IF(N1849="Completed On Time",Assumptions!$B$16,IF(N1849="Completed Late",Assumptions!$B$17,Assumptions!$B$18))</f>
        <v>100</v>
      </c>
      <c r="T1849" s="8" t="n">
        <f aca="false">IF(I1849=0,Assumptions!$B$20,IF(H1849&gt;I1849,Assumptions!$B$19,IF(H1849=I1849,Assumptions!$B$20,Assumptions!$B$21)))</f>
        <v>70</v>
      </c>
      <c r="U1849" s="8" t="n">
        <f aca="false">ROUND(P1849*Assumptions!$B$2+Q1849*Assumptions!$B$3+R1849*Assumptions!$B$4+S1849*Assumptions!$B$5+T1849*Assumptions!$B$6,0)</f>
        <v>65</v>
      </c>
      <c r="V1849" s="8" t="str">
        <f aca="false">IF(U1849&gt;=Assumptions!$B$10,"Healthy",IF(U1849&gt;=Assumptions!$B$11,"Needs Attention","High Risk"))</f>
        <v>Needs Attention</v>
      </c>
    </row>
    <row r="1850" customFormat="false" ht="15" hidden="false" customHeight="false" outlineLevel="0" collapsed="false">
      <c r="A1850" s="8" t="s">
        <v>3842</v>
      </c>
      <c r="B1850" s="8" t="s">
        <v>3843</v>
      </c>
      <c r="C1850" s="8" t="s">
        <v>51</v>
      </c>
      <c r="D1850" s="8" t="s">
        <v>326</v>
      </c>
      <c r="E1850" s="8" t="s">
        <v>123</v>
      </c>
      <c r="F1850" s="8" t="s">
        <v>166</v>
      </c>
      <c r="G1850" s="8" t="s">
        <v>144</v>
      </c>
      <c r="H1850" s="15" t="n">
        <v>175</v>
      </c>
      <c r="I1850" s="15" t="n">
        <v>175</v>
      </c>
      <c r="J1850" s="16" t="n">
        <v>0.762</v>
      </c>
      <c r="K1850" s="8" t="n">
        <v>11</v>
      </c>
      <c r="L1850" s="8" t="n">
        <v>8</v>
      </c>
      <c r="M1850" s="8" t="n">
        <v>1</v>
      </c>
      <c r="N1850" s="8" t="s">
        <v>120</v>
      </c>
      <c r="O1850" s="15" t="n">
        <f aca="false">H1850*12</f>
        <v>2100</v>
      </c>
      <c r="P1850" s="8" t="n">
        <f aca="false">MIN(100,ROUND(100*J1850/Assumptions!$B$8,0))</f>
        <v>85</v>
      </c>
      <c r="Q1850" s="8" t="n">
        <f aca="false">IF(L1850="",Assumptions!$B$9,L1850*10)</f>
        <v>80</v>
      </c>
      <c r="R1850" s="8" t="n">
        <f aca="false">IF(M1850&lt;=1,Assumptions!$B$12,IF(M1850&lt;=3,Assumptions!$B$13,IF(M1850&lt;=6,Assumptions!$B$14,Assumptions!$B$15)))</f>
        <v>100</v>
      </c>
      <c r="S1850" s="8" t="n">
        <f aca="false">IF(N1850="Completed On Time",Assumptions!$B$16,IF(N1850="Completed Late",Assumptions!$B$17,Assumptions!$B$18))</f>
        <v>100</v>
      </c>
      <c r="T1850" s="8" t="n">
        <f aca="false">IF(I1850=0,Assumptions!$B$20,IF(H1850&gt;I1850,Assumptions!$B$19,IF(H1850=I1850,Assumptions!$B$20,Assumptions!$B$21)))</f>
        <v>70</v>
      </c>
      <c r="U1850" s="8" t="n">
        <f aca="false">ROUND(P1850*Assumptions!$B$2+Q1850*Assumptions!$B$3+R1850*Assumptions!$B$4+S1850*Assumptions!$B$5+T1850*Assumptions!$B$6,0)</f>
        <v>85</v>
      </c>
      <c r="V1850" s="8" t="str">
        <f aca="false">IF(U1850&gt;=Assumptions!$B$10,"Healthy",IF(U1850&gt;=Assumptions!$B$11,"Needs Attention","High Risk"))</f>
        <v>Healthy</v>
      </c>
    </row>
    <row r="1851" customFormat="false" ht="15" hidden="false" customHeight="false" outlineLevel="0" collapsed="false">
      <c r="A1851" s="8" t="s">
        <v>3844</v>
      </c>
      <c r="B1851" s="8" t="s">
        <v>3845</v>
      </c>
      <c r="C1851" s="8" t="s">
        <v>51</v>
      </c>
      <c r="D1851" s="8" t="s">
        <v>326</v>
      </c>
      <c r="E1851" s="8" t="s">
        <v>128</v>
      </c>
      <c r="F1851" s="8" t="s">
        <v>154</v>
      </c>
      <c r="G1851" s="8" t="s">
        <v>129</v>
      </c>
      <c r="H1851" s="15" t="n">
        <v>175</v>
      </c>
      <c r="I1851" s="15" t="n">
        <v>175</v>
      </c>
      <c r="J1851" s="16" t="n">
        <v>0.619</v>
      </c>
      <c r="K1851" s="8" t="n">
        <v>6.7</v>
      </c>
      <c r="L1851" s="8" t="n">
        <v>8</v>
      </c>
      <c r="M1851" s="8" t="n">
        <v>6</v>
      </c>
      <c r="N1851" s="8" t="s">
        <v>120</v>
      </c>
      <c r="O1851" s="15" t="n">
        <f aca="false">H1851*12</f>
        <v>2100</v>
      </c>
      <c r="P1851" s="8" t="n">
        <f aca="false">MIN(100,ROUND(100*J1851/Assumptions!$B$8,0))</f>
        <v>69</v>
      </c>
      <c r="Q1851" s="8" t="n">
        <f aca="false">IF(L1851="",Assumptions!$B$9,L1851*10)</f>
        <v>80</v>
      </c>
      <c r="R1851" s="8" t="n">
        <f aca="false">IF(M1851&lt;=1,Assumptions!$B$12,IF(M1851&lt;=3,Assumptions!$B$13,IF(M1851&lt;=6,Assumptions!$B$14,Assumptions!$B$15)))</f>
        <v>50</v>
      </c>
      <c r="S1851" s="8" t="n">
        <f aca="false">IF(N1851="Completed On Time",Assumptions!$B$16,IF(N1851="Completed Late",Assumptions!$B$17,Assumptions!$B$18))</f>
        <v>100</v>
      </c>
      <c r="T1851" s="8" t="n">
        <f aca="false">IF(I1851=0,Assumptions!$B$20,IF(H1851&gt;I1851,Assumptions!$B$19,IF(H1851=I1851,Assumptions!$B$20,Assumptions!$B$21)))</f>
        <v>70</v>
      </c>
      <c r="U1851" s="8" t="n">
        <f aca="false">ROUND(P1851*Assumptions!$B$2+Q1851*Assumptions!$B$3+R1851*Assumptions!$B$4+S1851*Assumptions!$B$5+T1851*Assumptions!$B$6,0)</f>
        <v>72</v>
      </c>
      <c r="V1851" s="8" t="str">
        <f aca="false">IF(U1851&gt;=Assumptions!$B$10,"Healthy",IF(U1851&gt;=Assumptions!$B$11,"Needs Attention","High Risk"))</f>
        <v>Needs Attention</v>
      </c>
    </row>
    <row r="1852" customFormat="false" ht="15" hidden="false" customHeight="false" outlineLevel="0" collapsed="false">
      <c r="A1852" s="8" t="s">
        <v>3846</v>
      </c>
      <c r="B1852" s="8" t="s">
        <v>3847</v>
      </c>
      <c r="C1852" s="8" t="s">
        <v>51</v>
      </c>
      <c r="D1852" s="8" t="s">
        <v>326</v>
      </c>
      <c r="E1852" s="8" t="s">
        <v>132</v>
      </c>
      <c r="F1852" s="8" t="s">
        <v>133</v>
      </c>
      <c r="G1852" s="8" t="s">
        <v>137</v>
      </c>
      <c r="H1852" s="15" t="n">
        <v>175</v>
      </c>
      <c r="I1852" s="15" t="n">
        <v>175</v>
      </c>
      <c r="J1852" s="16" t="n">
        <v>0.857</v>
      </c>
      <c r="K1852" s="8" t="n">
        <v>10.3</v>
      </c>
      <c r="L1852" s="8" t="n">
        <v>10</v>
      </c>
      <c r="M1852" s="8" t="n">
        <v>1</v>
      </c>
      <c r="N1852" s="8" t="s">
        <v>120</v>
      </c>
      <c r="O1852" s="15" t="n">
        <f aca="false">H1852*12</f>
        <v>2100</v>
      </c>
      <c r="P1852" s="8" t="n">
        <f aca="false">MIN(100,ROUND(100*J1852/Assumptions!$B$8,0))</f>
        <v>95</v>
      </c>
      <c r="Q1852" s="8" t="n">
        <f aca="false">IF(L1852="",Assumptions!$B$9,L1852*10)</f>
        <v>100</v>
      </c>
      <c r="R1852" s="8" t="n">
        <f aca="false">IF(M1852&lt;=1,Assumptions!$B$12,IF(M1852&lt;=3,Assumptions!$B$13,IF(M1852&lt;=6,Assumptions!$B$14,Assumptions!$B$15)))</f>
        <v>100</v>
      </c>
      <c r="S1852" s="8" t="n">
        <f aca="false">IF(N1852="Completed On Time",Assumptions!$B$16,IF(N1852="Completed Late",Assumptions!$B$17,Assumptions!$B$18))</f>
        <v>100</v>
      </c>
      <c r="T1852" s="8" t="n">
        <f aca="false">IF(I1852=0,Assumptions!$B$20,IF(H1852&gt;I1852,Assumptions!$B$19,IF(H1852=I1852,Assumptions!$B$20,Assumptions!$B$21)))</f>
        <v>70</v>
      </c>
      <c r="U1852" s="8" t="n">
        <f aca="false">ROUND(P1852*Assumptions!$B$2+Q1852*Assumptions!$B$3+R1852*Assumptions!$B$4+S1852*Assumptions!$B$5+T1852*Assumptions!$B$6,0)</f>
        <v>92</v>
      </c>
      <c r="V1852" s="8" t="str">
        <f aca="false">IF(U1852&gt;=Assumptions!$B$10,"Healthy",IF(U1852&gt;=Assumptions!$B$11,"Needs Attention","High Risk"))</f>
        <v>Healthy</v>
      </c>
    </row>
    <row r="1853" customFormat="false" ht="15" hidden="false" customHeight="false" outlineLevel="0" collapsed="false">
      <c r="A1853" s="8" t="s">
        <v>3848</v>
      </c>
      <c r="B1853" s="8" t="s">
        <v>3849</v>
      </c>
      <c r="C1853" s="8" t="s">
        <v>51</v>
      </c>
      <c r="D1853" s="8" t="s">
        <v>326</v>
      </c>
      <c r="E1853" s="8" t="s">
        <v>123</v>
      </c>
      <c r="F1853" s="8" t="s">
        <v>136</v>
      </c>
      <c r="G1853" s="8" t="s">
        <v>119</v>
      </c>
      <c r="H1853" s="15" t="n">
        <v>175</v>
      </c>
      <c r="I1853" s="15" t="n">
        <v>175</v>
      </c>
      <c r="J1853" s="16" t="n">
        <v>0.667</v>
      </c>
      <c r="K1853" s="8" t="n">
        <v>9</v>
      </c>
      <c r="L1853" s="8" t="n">
        <v>9</v>
      </c>
      <c r="M1853" s="8" t="n">
        <v>3</v>
      </c>
      <c r="N1853" s="8" t="s">
        <v>120</v>
      </c>
      <c r="O1853" s="15" t="n">
        <f aca="false">H1853*12</f>
        <v>2100</v>
      </c>
      <c r="P1853" s="8" t="n">
        <f aca="false">MIN(100,ROUND(100*J1853/Assumptions!$B$8,0))</f>
        <v>74</v>
      </c>
      <c r="Q1853" s="8" t="n">
        <f aca="false">IF(L1853="",Assumptions!$B$9,L1853*10)</f>
        <v>90</v>
      </c>
      <c r="R1853" s="8" t="n">
        <f aca="false">IF(M1853&lt;=1,Assumptions!$B$12,IF(M1853&lt;=3,Assumptions!$B$13,IF(M1853&lt;=6,Assumptions!$B$14,Assumptions!$B$15)))</f>
        <v>75</v>
      </c>
      <c r="S1853" s="8" t="n">
        <f aca="false">IF(N1853="Completed On Time",Assumptions!$B$16,IF(N1853="Completed Late",Assumptions!$B$17,Assumptions!$B$18))</f>
        <v>100</v>
      </c>
      <c r="T1853" s="8" t="n">
        <f aca="false">IF(I1853=0,Assumptions!$B$20,IF(H1853&gt;I1853,Assumptions!$B$19,IF(H1853=I1853,Assumptions!$B$20,Assumptions!$B$21)))</f>
        <v>70</v>
      </c>
      <c r="U1853" s="8" t="n">
        <f aca="false">ROUND(P1853*Assumptions!$B$2+Q1853*Assumptions!$B$3+R1853*Assumptions!$B$4+S1853*Assumptions!$B$5+T1853*Assumptions!$B$6,0)</f>
        <v>79</v>
      </c>
      <c r="V1853" s="8" t="str">
        <f aca="false">IF(U1853&gt;=Assumptions!$B$10,"Healthy",IF(U1853&gt;=Assumptions!$B$11,"Needs Attention","High Risk"))</f>
        <v>Needs Attention</v>
      </c>
    </row>
    <row r="1854" customFormat="false" ht="15" hidden="false" customHeight="false" outlineLevel="0" collapsed="false">
      <c r="A1854" s="8" t="s">
        <v>3850</v>
      </c>
      <c r="B1854" s="8" t="s">
        <v>3851</v>
      </c>
      <c r="C1854" s="8" t="s">
        <v>51</v>
      </c>
      <c r="D1854" s="8" t="s">
        <v>326</v>
      </c>
      <c r="E1854" s="8" t="s">
        <v>117</v>
      </c>
      <c r="F1854" s="8" t="s">
        <v>136</v>
      </c>
      <c r="G1854" s="8" t="s">
        <v>180</v>
      </c>
      <c r="H1854" s="15" t="n">
        <v>175</v>
      </c>
      <c r="I1854" s="15" t="n">
        <v>175</v>
      </c>
      <c r="J1854" s="16" t="n">
        <v>0.857</v>
      </c>
      <c r="K1854" s="8" t="n">
        <v>10</v>
      </c>
      <c r="L1854" s="8" t="n">
        <v>9</v>
      </c>
      <c r="M1854" s="8" t="n">
        <v>2</v>
      </c>
      <c r="N1854" s="8" t="s">
        <v>120</v>
      </c>
      <c r="O1854" s="15" t="n">
        <f aca="false">H1854*12</f>
        <v>2100</v>
      </c>
      <c r="P1854" s="8" t="n">
        <f aca="false">MIN(100,ROUND(100*J1854/Assumptions!$B$8,0))</f>
        <v>95</v>
      </c>
      <c r="Q1854" s="8" t="n">
        <f aca="false">IF(L1854="",Assumptions!$B$9,L1854*10)</f>
        <v>90</v>
      </c>
      <c r="R1854" s="8" t="n">
        <f aca="false">IF(M1854&lt;=1,Assumptions!$B$12,IF(M1854&lt;=3,Assumptions!$B$13,IF(M1854&lt;=6,Assumptions!$B$14,Assumptions!$B$15)))</f>
        <v>75</v>
      </c>
      <c r="S1854" s="8" t="n">
        <f aca="false">IF(N1854="Completed On Time",Assumptions!$B$16,IF(N1854="Completed Late",Assumptions!$B$17,Assumptions!$B$18))</f>
        <v>100</v>
      </c>
      <c r="T1854" s="8" t="n">
        <f aca="false">IF(I1854=0,Assumptions!$B$20,IF(H1854&gt;I1854,Assumptions!$B$19,IF(H1854=I1854,Assumptions!$B$20,Assumptions!$B$21)))</f>
        <v>70</v>
      </c>
      <c r="U1854" s="8" t="n">
        <f aca="false">ROUND(P1854*Assumptions!$B$2+Q1854*Assumptions!$B$3+R1854*Assumptions!$B$4+S1854*Assumptions!$B$5+T1854*Assumptions!$B$6,0)</f>
        <v>87</v>
      </c>
      <c r="V1854" s="8" t="str">
        <f aca="false">IF(U1854&gt;=Assumptions!$B$10,"Healthy",IF(U1854&gt;=Assumptions!$B$11,"Needs Attention","High Risk"))</f>
        <v>Healthy</v>
      </c>
    </row>
    <row r="1855" customFormat="false" ht="15" hidden="false" customHeight="false" outlineLevel="0" collapsed="false">
      <c r="A1855" s="8" t="s">
        <v>3852</v>
      </c>
      <c r="B1855" s="8" t="s">
        <v>3853</v>
      </c>
      <c r="C1855" s="8" t="s">
        <v>51</v>
      </c>
      <c r="D1855" s="8" t="s">
        <v>2027</v>
      </c>
      <c r="E1855" s="8" t="s">
        <v>132</v>
      </c>
      <c r="F1855" s="8" t="s">
        <v>143</v>
      </c>
      <c r="G1855" s="8" t="s">
        <v>140</v>
      </c>
      <c r="H1855" s="15" t="n">
        <v>168</v>
      </c>
      <c r="I1855" s="15" t="n">
        <v>168</v>
      </c>
      <c r="J1855" s="16" t="n">
        <v>0.548</v>
      </c>
      <c r="K1855" s="8" t="n">
        <v>6.3</v>
      </c>
      <c r="L1855" s="8" t="n">
        <v>7</v>
      </c>
      <c r="M1855" s="8" t="n">
        <v>9</v>
      </c>
      <c r="N1855" s="8" t="s">
        <v>120</v>
      </c>
      <c r="O1855" s="15" t="n">
        <f aca="false">H1855*12</f>
        <v>2016</v>
      </c>
      <c r="P1855" s="8" t="n">
        <f aca="false">MIN(100,ROUND(100*J1855/Assumptions!$B$8,0))</f>
        <v>61</v>
      </c>
      <c r="Q1855" s="8" t="n">
        <f aca="false">IF(L1855="",Assumptions!$B$9,L1855*10)</f>
        <v>70</v>
      </c>
      <c r="R1855" s="8" t="n">
        <f aca="false">IF(M1855&lt;=1,Assumptions!$B$12,IF(M1855&lt;=3,Assumptions!$B$13,IF(M1855&lt;=6,Assumptions!$B$14,Assumptions!$B$15)))</f>
        <v>20</v>
      </c>
      <c r="S1855" s="8" t="n">
        <f aca="false">IF(N1855="Completed On Time",Assumptions!$B$16,IF(N1855="Completed Late",Assumptions!$B$17,Assumptions!$B$18))</f>
        <v>100</v>
      </c>
      <c r="T1855" s="8" t="n">
        <f aca="false">IF(I1855=0,Assumptions!$B$20,IF(H1855&gt;I1855,Assumptions!$B$19,IF(H1855=I1855,Assumptions!$B$20,Assumptions!$B$21)))</f>
        <v>70</v>
      </c>
      <c r="U1855" s="8" t="n">
        <f aca="false">ROUND(P1855*Assumptions!$B$2+Q1855*Assumptions!$B$3+R1855*Assumptions!$B$4+S1855*Assumptions!$B$5+T1855*Assumptions!$B$6,0)</f>
        <v>62</v>
      </c>
      <c r="V1855" s="8" t="str">
        <f aca="false">IF(U1855&gt;=Assumptions!$B$10,"Healthy",IF(U1855&gt;=Assumptions!$B$11,"Needs Attention","High Risk"))</f>
        <v>High Risk</v>
      </c>
    </row>
    <row r="1856" customFormat="false" ht="15" hidden="false" customHeight="false" outlineLevel="0" collapsed="false">
      <c r="A1856" s="8" t="s">
        <v>3854</v>
      </c>
      <c r="B1856" s="8" t="s">
        <v>3855</v>
      </c>
      <c r="C1856" s="8" t="s">
        <v>51</v>
      </c>
      <c r="D1856" s="8" t="s">
        <v>2027</v>
      </c>
      <c r="E1856" s="8" t="s">
        <v>132</v>
      </c>
      <c r="F1856" s="8" t="s">
        <v>190</v>
      </c>
      <c r="G1856" s="8" t="s">
        <v>159</v>
      </c>
      <c r="H1856" s="15" t="n">
        <v>168</v>
      </c>
      <c r="I1856" s="15" t="n">
        <v>168</v>
      </c>
      <c r="J1856" s="16" t="n">
        <v>0.738</v>
      </c>
      <c r="K1856" s="8" t="n">
        <v>9.3</v>
      </c>
      <c r="L1856" s="8" t="n">
        <v>8</v>
      </c>
      <c r="M1856" s="8" t="n">
        <v>5</v>
      </c>
      <c r="N1856" s="8" t="s">
        <v>120</v>
      </c>
      <c r="O1856" s="15" t="n">
        <f aca="false">H1856*12</f>
        <v>2016</v>
      </c>
      <c r="P1856" s="8" t="n">
        <f aca="false">MIN(100,ROUND(100*J1856/Assumptions!$B$8,0))</f>
        <v>82</v>
      </c>
      <c r="Q1856" s="8" t="n">
        <f aca="false">IF(L1856="",Assumptions!$B$9,L1856*10)</f>
        <v>80</v>
      </c>
      <c r="R1856" s="8" t="n">
        <f aca="false">IF(M1856&lt;=1,Assumptions!$B$12,IF(M1856&lt;=3,Assumptions!$B$13,IF(M1856&lt;=6,Assumptions!$B$14,Assumptions!$B$15)))</f>
        <v>50</v>
      </c>
      <c r="S1856" s="8" t="n">
        <f aca="false">IF(N1856="Completed On Time",Assumptions!$B$16,IF(N1856="Completed Late",Assumptions!$B$17,Assumptions!$B$18))</f>
        <v>100</v>
      </c>
      <c r="T1856" s="8" t="n">
        <f aca="false">IF(I1856=0,Assumptions!$B$20,IF(H1856&gt;I1856,Assumptions!$B$19,IF(H1856=I1856,Assumptions!$B$20,Assumptions!$B$21)))</f>
        <v>70</v>
      </c>
      <c r="U1856" s="8" t="n">
        <f aca="false">ROUND(P1856*Assumptions!$B$2+Q1856*Assumptions!$B$3+R1856*Assumptions!$B$4+S1856*Assumptions!$B$5+T1856*Assumptions!$B$6,0)</f>
        <v>76</v>
      </c>
      <c r="V1856" s="8" t="str">
        <f aca="false">IF(U1856&gt;=Assumptions!$B$10,"Healthy",IF(U1856&gt;=Assumptions!$B$11,"Needs Attention","High Risk"))</f>
        <v>Needs Attention</v>
      </c>
    </row>
    <row r="1857" customFormat="false" ht="15" hidden="false" customHeight="false" outlineLevel="0" collapsed="false">
      <c r="A1857" s="8" t="s">
        <v>3856</v>
      </c>
      <c r="B1857" s="8" t="s">
        <v>3857</v>
      </c>
      <c r="C1857" s="8" t="s">
        <v>51</v>
      </c>
      <c r="D1857" s="8" t="s">
        <v>2027</v>
      </c>
      <c r="E1857" s="8" t="s">
        <v>117</v>
      </c>
      <c r="F1857" s="8" t="s">
        <v>151</v>
      </c>
      <c r="G1857" s="8" t="s">
        <v>125</v>
      </c>
      <c r="H1857" s="15" t="n">
        <v>168</v>
      </c>
      <c r="I1857" s="15" t="n">
        <v>168</v>
      </c>
      <c r="J1857" s="16" t="n">
        <v>0.833</v>
      </c>
      <c r="K1857" s="8" t="n">
        <v>10.3</v>
      </c>
      <c r="L1857" s="8" t="n">
        <v>6</v>
      </c>
      <c r="M1857" s="8" t="n">
        <v>3</v>
      </c>
      <c r="N1857" s="8" t="s">
        <v>120</v>
      </c>
      <c r="O1857" s="15" t="n">
        <f aca="false">H1857*12</f>
        <v>2016</v>
      </c>
      <c r="P1857" s="8" t="n">
        <f aca="false">MIN(100,ROUND(100*J1857/Assumptions!$B$8,0))</f>
        <v>93</v>
      </c>
      <c r="Q1857" s="8" t="n">
        <f aca="false">IF(L1857="",Assumptions!$B$9,L1857*10)</f>
        <v>60</v>
      </c>
      <c r="R1857" s="8" t="n">
        <f aca="false">IF(M1857&lt;=1,Assumptions!$B$12,IF(M1857&lt;=3,Assumptions!$B$13,IF(M1857&lt;=6,Assumptions!$B$14,Assumptions!$B$15)))</f>
        <v>75</v>
      </c>
      <c r="S1857" s="8" t="n">
        <f aca="false">IF(N1857="Completed On Time",Assumptions!$B$16,IF(N1857="Completed Late",Assumptions!$B$17,Assumptions!$B$18))</f>
        <v>100</v>
      </c>
      <c r="T1857" s="8" t="n">
        <f aca="false">IF(I1857=0,Assumptions!$B$20,IF(H1857&gt;I1857,Assumptions!$B$19,IF(H1857=I1857,Assumptions!$B$20,Assumptions!$B$21)))</f>
        <v>70</v>
      </c>
      <c r="U1857" s="8" t="n">
        <f aca="false">ROUND(P1857*Assumptions!$B$2+Q1857*Assumptions!$B$3+R1857*Assumptions!$B$4+S1857*Assumptions!$B$5+T1857*Assumptions!$B$6,0)</f>
        <v>80</v>
      </c>
      <c r="V1857" s="8" t="str">
        <f aca="false">IF(U1857&gt;=Assumptions!$B$10,"Healthy",IF(U1857&gt;=Assumptions!$B$11,"Needs Attention","High Risk"))</f>
        <v>Healthy</v>
      </c>
    </row>
    <row r="1858" customFormat="false" ht="15" hidden="false" customHeight="false" outlineLevel="0" collapsed="false">
      <c r="A1858" s="8" t="s">
        <v>3858</v>
      </c>
      <c r="B1858" s="8" t="s">
        <v>3859</v>
      </c>
      <c r="C1858" s="8" t="s">
        <v>51</v>
      </c>
      <c r="D1858" s="8" t="s">
        <v>2027</v>
      </c>
      <c r="E1858" s="8" t="s">
        <v>123</v>
      </c>
      <c r="F1858" s="8" t="s">
        <v>190</v>
      </c>
      <c r="G1858" s="8" t="s">
        <v>177</v>
      </c>
      <c r="H1858" s="15" t="n">
        <v>168</v>
      </c>
      <c r="I1858" s="15" t="n">
        <v>168</v>
      </c>
      <c r="J1858" s="16" t="n">
        <v>0.762</v>
      </c>
      <c r="K1858" s="8" t="n">
        <v>10</v>
      </c>
      <c r="L1858" s="8" t="n">
        <v>9</v>
      </c>
      <c r="M1858" s="8" t="n">
        <v>2</v>
      </c>
      <c r="N1858" s="8" t="s">
        <v>120</v>
      </c>
      <c r="O1858" s="15" t="n">
        <f aca="false">H1858*12</f>
        <v>2016</v>
      </c>
      <c r="P1858" s="8" t="n">
        <f aca="false">MIN(100,ROUND(100*J1858/Assumptions!$B$8,0))</f>
        <v>85</v>
      </c>
      <c r="Q1858" s="8" t="n">
        <f aca="false">IF(L1858="",Assumptions!$B$9,L1858*10)</f>
        <v>90</v>
      </c>
      <c r="R1858" s="8" t="n">
        <f aca="false">IF(M1858&lt;=1,Assumptions!$B$12,IF(M1858&lt;=3,Assumptions!$B$13,IF(M1858&lt;=6,Assumptions!$B$14,Assumptions!$B$15)))</f>
        <v>75</v>
      </c>
      <c r="S1858" s="8" t="n">
        <f aca="false">IF(N1858="Completed On Time",Assumptions!$B$16,IF(N1858="Completed Late",Assumptions!$B$17,Assumptions!$B$18))</f>
        <v>100</v>
      </c>
      <c r="T1858" s="8" t="n">
        <f aca="false">IF(I1858=0,Assumptions!$B$20,IF(H1858&gt;I1858,Assumptions!$B$19,IF(H1858=I1858,Assumptions!$B$20,Assumptions!$B$21)))</f>
        <v>70</v>
      </c>
      <c r="U1858" s="8" t="n">
        <f aca="false">ROUND(P1858*Assumptions!$B$2+Q1858*Assumptions!$B$3+R1858*Assumptions!$B$4+S1858*Assumptions!$B$5+T1858*Assumptions!$B$6,0)</f>
        <v>83</v>
      </c>
      <c r="V1858" s="8" t="str">
        <f aca="false">IF(U1858&gt;=Assumptions!$B$10,"Healthy",IF(U1858&gt;=Assumptions!$B$11,"Needs Attention","High Risk"))</f>
        <v>Healthy</v>
      </c>
    </row>
    <row r="1859" customFormat="false" ht="15" hidden="false" customHeight="false" outlineLevel="0" collapsed="false">
      <c r="A1859" s="8" t="s">
        <v>3860</v>
      </c>
      <c r="B1859" s="8" t="s">
        <v>3861</v>
      </c>
      <c r="C1859" s="8" t="s">
        <v>51</v>
      </c>
      <c r="D1859" s="8" t="s">
        <v>2027</v>
      </c>
      <c r="E1859" s="8" t="s">
        <v>132</v>
      </c>
      <c r="F1859" s="8" t="s">
        <v>143</v>
      </c>
      <c r="G1859" s="8" t="s">
        <v>140</v>
      </c>
      <c r="H1859" s="15" t="n">
        <v>168</v>
      </c>
      <c r="I1859" s="15" t="n">
        <v>168</v>
      </c>
      <c r="J1859" s="16" t="n">
        <v>0.69</v>
      </c>
      <c r="K1859" s="8" t="n">
        <v>9.3</v>
      </c>
      <c r="L1859" s="8" t="n">
        <v>9</v>
      </c>
      <c r="M1859" s="8" t="n">
        <v>2</v>
      </c>
      <c r="N1859" s="8" t="s">
        <v>120</v>
      </c>
      <c r="O1859" s="15" t="n">
        <f aca="false">H1859*12</f>
        <v>2016</v>
      </c>
      <c r="P1859" s="8" t="n">
        <f aca="false">MIN(100,ROUND(100*J1859/Assumptions!$B$8,0))</f>
        <v>77</v>
      </c>
      <c r="Q1859" s="8" t="n">
        <f aca="false">IF(L1859="",Assumptions!$B$9,L1859*10)</f>
        <v>90</v>
      </c>
      <c r="R1859" s="8" t="n">
        <f aca="false">IF(M1859&lt;=1,Assumptions!$B$12,IF(M1859&lt;=3,Assumptions!$B$13,IF(M1859&lt;=6,Assumptions!$B$14,Assumptions!$B$15)))</f>
        <v>75</v>
      </c>
      <c r="S1859" s="8" t="n">
        <f aca="false">IF(N1859="Completed On Time",Assumptions!$B$16,IF(N1859="Completed Late",Assumptions!$B$17,Assumptions!$B$18))</f>
        <v>100</v>
      </c>
      <c r="T1859" s="8" t="n">
        <f aca="false">IF(I1859=0,Assumptions!$B$20,IF(H1859&gt;I1859,Assumptions!$B$19,IF(H1859=I1859,Assumptions!$B$20,Assumptions!$B$21)))</f>
        <v>70</v>
      </c>
      <c r="U1859" s="8" t="n">
        <f aca="false">ROUND(P1859*Assumptions!$B$2+Q1859*Assumptions!$B$3+R1859*Assumptions!$B$4+S1859*Assumptions!$B$5+T1859*Assumptions!$B$6,0)</f>
        <v>80</v>
      </c>
      <c r="V1859" s="8" t="str">
        <f aca="false">IF(U1859&gt;=Assumptions!$B$10,"Healthy",IF(U1859&gt;=Assumptions!$B$11,"Needs Attention","High Risk"))</f>
        <v>Healthy</v>
      </c>
    </row>
    <row r="1860" customFormat="false" ht="15" hidden="false" customHeight="false" outlineLevel="0" collapsed="false">
      <c r="A1860" s="8" t="s">
        <v>3862</v>
      </c>
      <c r="B1860" s="8" t="s">
        <v>3863</v>
      </c>
      <c r="C1860" s="8" t="s">
        <v>51</v>
      </c>
      <c r="D1860" s="8" t="s">
        <v>2027</v>
      </c>
      <c r="E1860" s="8" t="s">
        <v>123</v>
      </c>
      <c r="F1860" s="8" t="s">
        <v>154</v>
      </c>
      <c r="G1860" s="8" t="s">
        <v>119</v>
      </c>
      <c r="H1860" s="15" t="n">
        <v>168</v>
      </c>
      <c r="I1860" s="15" t="n">
        <v>168</v>
      </c>
      <c r="J1860" s="16" t="n">
        <v>0.857</v>
      </c>
      <c r="K1860" s="8" t="n">
        <v>10.7</v>
      </c>
      <c r="L1860" s="8" t="n">
        <v>10</v>
      </c>
      <c r="M1860" s="8" t="n">
        <v>2</v>
      </c>
      <c r="N1860" s="8" t="s">
        <v>120</v>
      </c>
      <c r="O1860" s="15" t="n">
        <f aca="false">H1860*12</f>
        <v>2016</v>
      </c>
      <c r="P1860" s="8" t="n">
        <f aca="false">MIN(100,ROUND(100*J1860/Assumptions!$B$8,0))</f>
        <v>95</v>
      </c>
      <c r="Q1860" s="8" t="n">
        <f aca="false">IF(L1860="",Assumptions!$B$9,L1860*10)</f>
        <v>100</v>
      </c>
      <c r="R1860" s="8" t="n">
        <f aca="false">IF(M1860&lt;=1,Assumptions!$B$12,IF(M1860&lt;=3,Assumptions!$B$13,IF(M1860&lt;=6,Assumptions!$B$14,Assumptions!$B$15)))</f>
        <v>75</v>
      </c>
      <c r="S1860" s="8" t="n">
        <f aca="false">IF(N1860="Completed On Time",Assumptions!$B$16,IF(N1860="Completed Late",Assumptions!$B$17,Assumptions!$B$18))</f>
        <v>100</v>
      </c>
      <c r="T1860" s="8" t="n">
        <f aca="false">IF(I1860=0,Assumptions!$B$20,IF(H1860&gt;I1860,Assumptions!$B$19,IF(H1860=I1860,Assumptions!$B$20,Assumptions!$B$21)))</f>
        <v>70</v>
      </c>
      <c r="U1860" s="8" t="n">
        <f aca="false">ROUND(P1860*Assumptions!$B$2+Q1860*Assumptions!$B$3+R1860*Assumptions!$B$4+S1860*Assumptions!$B$5+T1860*Assumptions!$B$6,0)</f>
        <v>89</v>
      </c>
      <c r="V1860" s="8" t="str">
        <f aca="false">IF(U1860&gt;=Assumptions!$B$10,"Healthy",IF(U1860&gt;=Assumptions!$B$11,"Needs Attention","High Risk"))</f>
        <v>Healthy</v>
      </c>
    </row>
    <row r="1861" customFormat="false" ht="15" hidden="false" customHeight="false" outlineLevel="0" collapsed="false">
      <c r="A1861" s="8" t="s">
        <v>3864</v>
      </c>
      <c r="B1861" s="8" t="s">
        <v>3865</v>
      </c>
      <c r="C1861" s="8" t="s">
        <v>51</v>
      </c>
      <c r="D1861" s="8" t="s">
        <v>2027</v>
      </c>
      <c r="E1861" s="8" t="s">
        <v>117</v>
      </c>
      <c r="F1861" s="8" t="s">
        <v>143</v>
      </c>
      <c r="G1861" s="8" t="s">
        <v>119</v>
      </c>
      <c r="H1861" s="15" t="n">
        <v>168</v>
      </c>
      <c r="I1861" s="15" t="n">
        <v>168</v>
      </c>
      <c r="J1861" s="16" t="n">
        <v>0.69</v>
      </c>
      <c r="K1861" s="8" t="n">
        <v>9</v>
      </c>
      <c r="L1861" s="8" t="n">
        <v>9</v>
      </c>
      <c r="M1861" s="8" t="n">
        <v>2</v>
      </c>
      <c r="N1861" s="8" t="s">
        <v>120</v>
      </c>
      <c r="O1861" s="15" t="n">
        <f aca="false">H1861*12</f>
        <v>2016</v>
      </c>
      <c r="P1861" s="8" t="n">
        <f aca="false">MIN(100,ROUND(100*J1861/Assumptions!$B$8,0))</f>
        <v>77</v>
      </c>
      <c r="Q1861" s="8" t="n">
        <f aca="false">IF(L1861="",Assumptions!$B$9,L1861*10)</f>
        <v>90</v>
      </c>
      <c r="R1861" s="8" t="n">
        <f aca="false">IF(M1861&lt;=1,Assumptions!$B$12,IF(M1861&lt;=3,Assumptions!$B$13,IF(M1861&lt;=6,Assumptions!$B$14,Assumptions!$B$15)))</f>
        <v>75</v>
      </c>
      <c r="S1861" s="8" t="n">
        <f aca="false">IF(N1861="Completed On Time",Assumptions!$B$16,IF(N1861="Completed Late",Assumptions!$B$17,Assumptions!$B$18))</f>
        <v>100</v>
      </c>
      <c r="T1861" s="8" t="n">
        <f aca="false">IF(I1861=0,Assumptions!$B$20,IF(H1861&gt;I1861,Assumptions!$B$19,IF(H1861=I1861,Assumptions!$B$20,Assumptions!$B$21)))</f>
        <v>70</v>
      </c>
      <c r="U1861" s="8" t="n">
        <f aca="false">ROUND(P1861*Assumptions!$B$2+Q1861*Assumptions!$B$3+R1861*Assumptions!$B$4+S1861*Assumptions!$B$5+T1861*Assumptions!$B$6,0)</f>
        <v>80</v>
      </c>
      <c r="V1861" s="8" t="str">
        <f aca="false">IF(U1861&gt;=Assumptions!$B$10,"Healthy",IF(U1861&gt;=Assumptions!$B$11,"Needs Attention","High Risk"))</f>
        <v>Healthy</v>
      </c>
    </row>
    <row r="1862" customFormat="false" ht="15" hidden="false" customHeight="false" outlineLevel="0" collapsed="false">
      <c r="A1862" s="8" t="s">
        <v>3866</v>
      </c>
      <c r="B1862" s="8" t="s">
        <v>3867</v>
      </c>
      <c r="C1862" s="8" t="s">
        <v>51</v>
      </c>
      <c r="D1862" s="8" t="s">
        <v>2027</v>
      </c>
      <c r="E1862" s="8" t="s">
        <v>132</v>
      </c>
      <c r="F1862" s="8" t="s">
        <v>143</v>
      </c>
      <c r="G1862" s="8" t="s">
        <v>129</v>
      </c>
      <c r="H1862" s="15" t="n">
        <v>168</v>
      </c>
      <c r="I1862" s="15" t="n">
        <v>204</v>
      </c>
      <c r="J1862" s="16" t="n">
        <v>0.643</v>
      </c>
      <c r="K1862" s="8" t="n">
        <v>6.7</v>
      </c>
      <c r="L1862" s="8" t="n">
        <v>8</v>
      </c>
      <c r="M1862" s="8" t="n">
        <v>4</v>
      </c>
      <c r="N1862" s="8" t="s">
        <v>120</v>
      </c>
      <c r="O1862" s="15" t="n">
        <f aca="false">H1862*12</f>
        <v>2016</v>
      </c>
      <c r="P1862" s="8" t="n">
        <f aca="false">MIN(100,ROUND(100*J1862/Assumptions!$B$8,0))</f>
        <v>71</v>
      </c>
      <c r="Q1862" s="8" t="n">
        <f aca="false">IF(L1862="",Assumptions!$B$9,L1862*10)</f>
        <v>80</v>
      </c>
      <c r="R1862" s="8" t="n">
        <f aca="false">IF(M1862&lt;=1,Assumptions!$B$12,IF(M1862&lt;=3,Assumptions!$B$13,IF(M1862&lt;=6,Assumptions!$B$14,Assumptions!$B$15)))</f>
        <v>50</v>
      </c>
      <c r="S1862" s="8" t="n">
        <f aca="false">IF(N1862="Completed On Time",Assumptions!$B$16,IF(N1862="Completed Late",Assumptions!$B$17,Assumptions!$B$18))</f>
        <v>100</v>
      </c>
      <c r="T1862" s="8" t="n">
        <f aca="false">IF(I1862=0,Assumptions!$B$20,IF(H1862&gt;I1862,Assumptions!$B$19,IF(H1862=I1862,Assumptions!$B$20,Assumptions!$B$21)))</f>
        <v>30</v>
      </c>
      <c r="U1862" s="8" t="n">
        <f aca="false">ROUND(P1862*Assumptions!$B$2+Q1862*Assumptions!$B$3+R1862*Assumptions!$B$4+S1862*Assumptions!$B$5+T1862*Assumptions!$B$6,0)</f>
        <v>64</v>
      </c>
      <c r="V1862" s="8" t="str">
        <f aca="false">IF(U1862&gt;=Assumptions!$B$10,"Healthy",IF(U1862&gt;=Assumptions!$B$11,"Needs Attention","High Risk"))</f>
        <v>High Risk</v>
      </c>
    </row>
    <row r="1863" customFormat="false" ht="15" hidden="false" customHeight="false" outlineLevel="0" collapsed="false">
      <c r="A1863" s="8" t="s">
        <v>3868</v>
      </c>
      <c r="B1863" s="8" t="s">
        <v>3869</v>
      </c>
      <c r="C1863" s="8" t="s">
        <v>51</v>
      </c>
      <c r="D1863" s="8" t="s">
        <v>2027</v>
      </c>
      <c r="E1863" s="8" t="s">
        <v>123</v>
      </c>
      <c r="F1863" s="8" t="s">
        <v>154</v>
      </c>
      <c r="G1863" s="8" t="s">
        <v>144</v>
      </c>
      <c r="H1863" s="15" t="n">
        <v>168</v>
      </c>
      <c r="I1863" s="15" t="n">
        <v>168</v>
      </c>
      <c r="J1863" s="16" t="n">
        <v>0.667</v>
      </c>
      <c r="K1863" s="8" t="n">
        <v>8.7</v>
      </c>
      <c r="L1863" s="8" t="n">
        <v>5</v>
      </c>
      <c r="M1863" s="8" t="n">
        <v>1</v>
      </c>
      <c r="N1863" s="8" t="s">
        <v>120</v>
      </c>
      <c r="O1863" s="15" t="n">
        <f aca="false">H1863*12</f>
        <v>2016</v>
      </c>
      <c r="P1863" s="8" t="n">
        <f aca="false">MIN(100,ROUND(100*J1863/Assumptions!$B$8,0))</f>
        <v>74</v>
      </c>
      <c r="Q1863" s="8" t="n">
        <f aca="false">IF(L1863="",Assumptions!$B$9,L1863*10)</f>
        <v>50</v>
      </c>
      <c r="R1863" s="8" t="n">
        <f aca="false">IF(M1863&lt;=1,Assumptions!$B$12,IF(M1863&lt;=3,Assumptions!$B$13,IF(M1863&lt;=6,Assumptions!$B$14,Assumptions!$B$15)))</f>
        <v>100</v>
      </c>
      <c r="S1863" s="8" t="n">
        <f aca="false">IF(N1863="Completed On Time",Assumptions!$B$16,IF(N1863="Completed Late",Assumptions!$B$17,Assumptions!$B$18))</f>
        <v>100</v>
      </c>
      <c r="T1863" s="8" t="n">
        <f aca="false">IF(I1863=0,Assumptions!$B$20,IF(H1863&gt;I1863,Assumptions!$B$19,IF(H1863=I1863,Assumptions!$B$20,Assumptions!$B$21)))</f>
        <v>70</v>
      </c>
      <c r="U1863" s="8" t="n">
        <f aca="false">ROUND(P1863*Assumptions!$B$2+Q1863*Assumptions!$B$3+R1863*Assumptions!$B$4+S1863*Assumptions!$B$5+T1863*Assumptions!$B$6,0)</f>
        <v>75</v>
      </c>
      <c r="V1863" s="8" t="str">
        <f aca="false">IF(U1863&gt;=Assumptions!$B$10,"Healthy",IF(U1863&gt;=Assumptions!$B$11,"Needs Attention","High Risk"))</f>
        <v>Needs Attention</v>
      </c>
    </row>
    <row r="1864" customFormat="false" ht="15" hidden="false" customHeight="false" outlineLevel="0" collapsed="false">
      <c r="A1864" s="8" t="s">
        <v>3870</v>
      </c>
      <c r="B1864" s="8" t="s">
        <v>3871</v>
      </c>
      <c r="C1864" s="8" t="s">
        <v>51</v>
      </c>
      <c r="D1864" s="8" t="s">
        <v>2027</v>
      </c>
      <c r="E1864" s="8" t="s">
        <v>132</v>
      </c>
      <c r="F1864" s="8" t="s">
        <v>143</v>
      </c>
      <c r="G1864" s="8" t="s">
        <v>129</v>
      </c>
      <c r="H1864" s="15" t="n">
        <v>168</v>
      </c>
      <c r="I1864" s="15" t="n">
        <v>168</v>
      </c>
      <c r="J1864" s="16" t="n">
        <v>0.762</v>
      </c>
      <c r="K1864" s="8" t="n">
        <v>7.7</v>
      </c>
      <c r="L1864" s="8" t="n">
        <v>9</v>
      </c>
      <c r="M1864" s="8" t="n">
        <v>1</v>
      </c>
      <c r="N1864" s="8" t="s">
        <v>120</v>
      </c>
      <c r="O1864" s="15" t="n">
        <f aca="false">H1864*12</f>
        <v>2016</v>
      </c>
      <c r="P1864" s="8" t="n">
        <f aca="false">MIN(100,ROUND(100*J1864/Assumptions!$B$8,0))</f>
        <v>85</v>
      </c>
      <c r="Q1864" s="8" t="n">
        <f aca="false">IF(L1864="",Assumptions!$B$9,L1864*10)</f>
        <v>90</v>
      </c>
      <c r="R1864" s="8" t="n">
        <f aca="false">IF(M1864&lt;=1,Assumptions!$B$12,IF(M1864&lt;=3,Assumptions!$B$13,IF(M1864&lt;=6,Assumptions!$B$14,Assumptions!$B$15)))</f>
        <v>100</v>
      </c>
      <c r="S1864" s="8" t="n">
        <f aca="false">IF(N1864="Completed On Time",Assumptions!$B$16,IF(N1864="Completed Late",Assumptions!$B$17,Assumptions!$B$18))</f>
        <v>100</v>
      </c>
      <c r="T1864" s="8" t="n">
        <f aca="false">IF(I1864=0,Assumptions!$B$20,IF(H1864&gt;I1864,Assumptions!$B$19,IF(H1864=I1864,Assumptions!$B$20,Assumptions!$B$21)))</f>
        <v>70</v>
      </c>
      <c r="U1864" s="8" t="n">
        <f aca="false">ROUND(P1864*Assumptions!$B$2+Q1864*Assumptions!$B$3+R1864*Assumptions!$B$4+S1864*Assumptions!$B$5+T1864*Assumptions!$B$6,0)</f>
        <v>87</v>
      </c>
      <c r="V1864" s="8" t="str">
        <f aca="false">IF(U1864&gt;=Assumptions!$B$10,"Healthy",IF(U1864&gt;=Assumptions!$B$11,"Needs Attention","High Risk"))</f>
        <v>Healthy</v>
      </c>
    </row>
    <row r="1865" customFormat="false" ht="15" hidden="false" customHeight="false" outlineLevel="0" collapsed="false">
      <c r="A1865" s="8" t="s">
        <v>3872</v>
      </c>
      <c r="B1865" s="8" t="s">
        <v>3873</v>
      </c>
      <c r="C1865" s="8" t="s">
        <v>51</v>
      </c>
      <c r="D1865" s="8" t="s">
        <v>2027</v>
      </c>
      <c r="E1865" s="8" t="s">
        <v>123</v>
      </c>
      <c r="F1865" s="8" t="s">
        <v>124</v>
      </c>
      <c r="G1865" s="8" t="s">
        <v>129</v>
      </c>
      <c r="H1865" s="15" t="n">
        <v>168</v>
      </c>
      <c r="I1865" s="15" t="n">
        <v>168</v>
      </c>
      <c r="J1865" s="16" t="n">
        <v>0.595</v>
      </c>
      <c r="K1865" s="8" t="n">
        <v>7.7</v>
      </c>
      <c r="L1865" s="8" t="n">
        <v>8</v>
      </c>
      <c r="M1865" s="8" t="n">
        <v>3</v>
      </c>
      <c r="N1865" s="8" t="s">
        <v>120</v>
      </c>
      <c r="O1865" s="15" t="n">
        <f aca="false">H1865*12</f>
        <v>2016</v>
      </c>
      <c r="P1865" s="8" t="n">
        <f aca="false">MIN(100,ROUND(100*J1865/Assumptions!$B$8,0))</f>
        <v>66</v>
      </c>
      <c r="Q1865" s="8" t="n">
        <f aca="false">IF(L1865="",Assumptions!$B$9,L1865*10)</f>
        <v>80</v>
      </c>
      <c r="R1865" s="8" t="n">
        <f aca="false">IF(M1865&lt;=1,Assumptions!$B$12,IF(M1865&lt;=3,Assumptions!$B$13,IF(M1865&lt;=6,Assumptions!$B$14,Assumptions!$B$15)))</f>
        <v>75</v>
      </c>
      <c r="S1865" s="8" t="n">
        <f aca="false">IF(N1865="Completed On Time",Assumptions!$B$16,IF(N1865="Completed Late",Assumptions!$B$17,Assumptions!$B$18))</f>
        <v>100</v>
      </c>
      <c r="T1865" s="8" t="n">
        <f aca="false">IF(I1865=0,Assumptions!$B$20,IF(H1865&gt;I1865,Assumptions!$B$19,IF(H1865=I1865,Assumptions!$B$20,Assumptions!$B$21)))</f>
        <v>70</v>
      </c>
      <c r="U1865" s="8" t="n">
        <f aca="false">ROUND(P1865*Assumptions!$B$2+Q1865*Assumptions!$B$3+R1865*Assumptions!$B$4+S1865*Assumptions!$B$5+T1865*Assumptions!$B$6,0)</f>
        <v>74</v>
      </c>
      <c r="V1865" s="8" t="str">
        <f aca="false">IF(U1865&gt;=Assumptions!$B$10,"Healthy",IF(U1865&gt;=Assumptions!$B$11,"Needs Attention","High Risk"))</f>
        <v>Needs Attention</v>
      </c>
    </row>
    <row r="1866" customFormat="false" ht="15" hidden="false" customHeight="false" outlineLevel="0" collapsed="false">
      <c r="A1866" s="8" t="s">
        <v>3874</v>
      </c>
      <c r="B1866" s="8" t="s">
        <v>3875</v>
      </c>
      <c r="C1866" s="8" t="s">
        <v>51</v>
      </c>
      <c r="D1866" s="8" t="s">
        <v>2027</v>
      </c>
      <c r="E1866" s="8" t="s">
        <v>123</v>
      </c>
      <c r="F1866" s="8" t="s">
        <v>166</v>
      </c>
      <c r="G1866" s="8" t="s">
        <v>129</v>
      </c>
      <c r="H1866" s="15" t="n">
        <v>168</v>
      </c>
      <c r="I1866" s="15" t="n">
        <v>168</v>
      </c>
      <c r="J1866" s="16" t="n">
        <v>0.762</v>
      </c>
      <c r="K1866" s="8" t="n">
        <v>8.7</v>
      </c>
      <c r="L1866" s="8" t="n">
        <v>9</v>
      </c>
      <c r="M1866" s="8" t="n">
        <v>4</v>
      </c>
      <c r="N1866" s="8" t="s">
        <v>120</v>
      </c>
      <c r="O1866" s="15" t="n">
        <f aca="false">H1866*12</f>
        <v>2016</v>
      </c>
      <c r="P1866" s="8" t="n">
        <f aca="false">MIN(100,ROUND(100*J1866/Assumptions!$B$8,0))</f>
        <v>85</v>
      </c>
      <c r="Q1866" s="8" t="n">
        <f aca="false">IF(L1866="",Assumptions!$B$9,L1866*10)</f>
        <v>90</v>
      </c>
      <c r="R1866" s="8" t="n">
        <f aca="false">IF(M1866&lt;=1,Assumptions!$B$12,IF(M1866&lt;=3,Assumptions!$B$13,IF(M1866&lt;=6,Assumptions!$B$14,Assumptions!$B$15)))</f>
        <v>50</v>
      </c>
      <c r="S1866" s="8" t="n">
        <f aca="false">IF(N1866="Completed On Time",Assumptions!$B$16,IF(N1866="Completed Late",Assumptions!$B$17,Assumptions!$B$18))</f>
        <v>100</v>
      </c>
      <c r="T1866" s="8" t="n">
        <f aca="false">IF(I1866=0,Assumptions!$B$20,IF(H1866&gt;I1866,Assumptions!$B$19,IF(H1866=I1866,Assumptions!$B$20,Assumptions!$B$21)))</f>
        <v>70</v>
      </c>
      <c r="U1866" s="8" t="n">
        <f aca="false">ROUND(P1866*Assumptions!$B$2+Q1866*Assumptions!$B$3+R1866*Assumptions!$B$4+S1866*Assumptions!$B$5+T1866*Assumptions!$B$6,0)</f>
        <v>79</v>
      </c>
      <c r="V1866" s="8" t="str">
        <f aca="false">IF(U1866&gt;=Assumptions!$B$10,"Healthy",IF(U1866&gt;=Assumptions!$B$11,"Needs Attention","High Risk"))</f>
        <v>Needs Attention</v>
      </c>
    </row>
    <row r="1867" customFormat="false" ht="15" hidden="false" customHeight="false" outlineLevel="0" collapsed="false">
      <c r="A1867" s="8" t="s">
        <v>3876</v>
      </c>
      <c r="B1867" s="8" t="s">
        <v>3877</v>
      </c>
      <c r="C1867" s="8" t="s">
        <v>51</v>
      </c>
      <c r="D1867" s="8" t="s">
        <v>2027</v>
      </c>
      <c r="E1867" s="8" t="s">
        <v>123</v>
      </c>
      <c r="F1867" s="8" t="s">
        <v>124</v>
      </c>
      <c r="G1867" s="8" t="s">
        <v>119</v>
      </c>
      <c r="H1867" s="15" t="n">
        <v>168</v>
      </c>
      <c r="I1867" s="15" t="n">
        <v>168</v>
      </c>
      <c r="J1867" s="16" t="n">
        <v>0.952</v>
      </c>
      <c r="K1867" s="8" t="n">
        <v>12</v>
      </c>
      <c r="L1867" s="8" t="n">
        <v>10</v>
      </c>
      <c r="M1867" s="8" t="n">
        <v>1</v>
      </c>
      <c r="N1867" s="8" t="s">
        <v>120</v>
      </c>
      <c r="O1867" s="15" t="n">
        <f aca="false">H1867*12</f>
        <v>2016</v>
      </c>
      <c r="P1867" s="8" t="n">
        <f aca="false">MIN(100,ROUND(100*J1867/Assumptions!$B$8,0))</f>
        <v>100</v>
      </c>
      <c r="Q1867" s="8" t="n">
        <f aca="false">IF(L1867="",Assumptions!$B$9,L1867*10)</f>
        <v>100</v>
      </c>
      <c r="R1867" s="8" t="n">
        <f aca="false">IF(M1867&lt;=1,Assumptions!$B$12,IF(M1867&lt;=3,Assumptions!$B$13,IF(M1867&lt;=6,Assumptions!$B$14,Assumptions!$B$15)))</f>
        <v>100</v>
      </c>
      <c r="S1867" s="8" t="n">
        <f aca="false">IF(N1867="Completed On Time",Assumptions!$B$16,IF(N1867="Completed Late",Assumptions!$B$17,Assumptions!$B$18))</f>
        <v>100</v>
      </c>
      <c r="T1867" s="8" t="n">
        <f aca="false">IF(I1867=0,Assumptions!$B$20,IF(H1867&gt;I1867,Assumptions!$B$19,IF(H1867=I1867,Assumptions!$B$20,Assumptions!$B$21)))</f>
        <v>70</v>
      </c>
      <c r="U1867" s="8" t="n">
        <f aca="false">ROUND(P1867*Assumptions!$B$2+Q1867*Assumptions!$B$3+R1867*Assumptions!$B$4+S1867*Assumptions!$B$5+T1867*Assumptions!$B$6,0)</f>
        <v>94</v>
      </c>
      <c r="V1867" s="8" t="str">
        <f aca="false">IF(U1867&gt;=Assumptions!$B$10,"Healthy",IF(U1867&gt;=Assumptions!$B$11,"Needs Attention","High Risk"))</f>
        <v>Healthy</v>
      </c>
    </row>
    <row r="1868" customFormat="false" ht="15" hidden="false" customHeight="false" outlineLevel="0" collapsed="false">
      <c r="A1868" s="8" t="s">
        <v>3878</v>
      </c>
      <c r="B1868" s="8" t="s">
        <v>3879</v>
      </c>
      <c r="C1868" s="8" t="s">
        <v>51</v>
      </c>
      <c r="D1868" s="8" t="s">
        <v>2027</v>
      </c>
      <c r="E1868" s="8" t="s">
        <v>123</v>
      </c>
      <c r="F1868" s="8" t="s">
        <v>118</v>
      </c>
      <c r="G1868" s="8" t="s">
        <v>180</v>
      </c>
      <c r="H1868" s="15" t="n">
        <v>168</v>
      </c>
      <c r="I1868" s="15" t="n">
        <v>0</v>
      </c>
      <c r="J1868" s="16" t="n">
        <v>0.607</v>
      </c>
      <c r="K1868" s="8" t="n">
        <v>5.5</v>
      </c>
      <c r="L1868" s="8"/>
      <c r="M1868" s="8" t="n">
        <v>0</v>
      </c>
      <c r="N1868" s="8" t="s">
        <v>120</v>
      </c>
      <c r="O1868" s="15" t="n">
        <f aca="false">H1868*12</f>
        <v>2016</v>
      </c>
      <c r="P1868" s="8" t="n">
        <f aca="false">MIN(100,ROUND(100*J1868/Assumptions!$B$8,0))</f>
        <v>67</v>
      </c>
      <c r="Q1868" s="8" t="n">
        <f aca="false">IF(L1868="",Assumptions!$B$9,L1868*10)</f>
        <v>50</v>
      </c>
      <c r="R1868" s="8" t="n">
        <f aca="false">IF(M1868&lt;=1,Assumptions!$B$12,IF(M1868&lt;=3,Assumptions!$B$13,IF(M1868&lt;=6,Assumptions!$B$14,Assumptions!$B$15)))</f>
        <v>100</v>
      </c>
      <c r="S1868" s="8" t="n">
        <f aca="false">IF(N1868="Completed On Time",Assumptions!$B$16,IF(N1868="Completed Late",Assumptions!$B$17,Assumptions!$B$18))</f>
        <v>100</v>
      </c>
      <c r="T1868" s="8" t="n">
        <f aca="false">IF(I1868=0,Assumptions!$B$20,IF(H1868&gt;I1868,Assumptions!$B$19,IF(H1868=I1868,Assumptions!$B$20,Assumptions!$B$21)))</f>
        <v>70</v>
      </c>
      <c r="U1868" s="8" t="n">
        <f aca="false">ROUND(P1868*Assumptions!$B$2+Q1868*Assumptions!$B$3+R1868*Assumptions!$B$4+S1868*Assumptions!$B$5+T1868*Assumptions!$B$6,0)</f>
        <v>72</v>
      </c>
      <c r="V1868" s="8" t="str">
        <f aca="false">IF(U1868&gt;=Assumptions!$B$10,"Healthy",IF(U1868&gt;=Assumptions!$B$11,"Needs Attention","High Risk"))</f>
        <v>Needs Attention</v>
      </c>
    </row>
    <row r="1869" customFormat="false" ht="15" hidden="false" customHeight="false" outlineLevel="0" collapsed="false">
      <c r="A1869" s="8" t="s">
        <v>3880</v>
      </c>
      <c r="B1869" s="8" t="s">
        <v>3881</v>
      </c>
      <c r="C1869" s="8" t="s">
        <v>51</v>
      </c>
      <c r="D1869" s="8" t="s">
        <v>2027</v>
      </c>
      <c r="E1869" s="8" t="s">
        <v>132</v>
      </c>
      <c r="F1869" s="8" t="s">
        <v>133</v>
      </c>
      <c r="G1869" s="8" t="s">
        <v>119</v>
      </c>
      <c r="H1869" s="15" t="n">
        <v>168</v>
      </c>
      <c r="I1869" s="15" t="n">
        <v>168</v>
      </c>
      <c r="J1869" s="16" t="n">
        <v>0.714</v>
      </c>
      <c r="K1869" s="8" t="n">
        <v>9</v>
      </c>
      <c r="L1869" s="8" t="n">
        <v>9</v>
      </c>
      <c r="M1869" s="8" t="n">
        <v>5</v>
      </c>
      <c r="N1869" s="8" t="s">
        <v>120</v>
      </c>
      <c r="O1869" s="15" t="n">
        <f aca="false">H1869*12</f>
        <v>2016</v>
      </c>
      <c r="P1869" s="8" t="n">
        <f aca="false">MIN(100,ROUND(100*J1869/Assumptions!$B$8,0))</f>
        <v>79</v>
      </c>
      <c r="Q1869" s="8" t="n">
        <f aca="false">IF(L1869="",Assumptions!$B$9,L1869*10)</f>
        <v>90</v>
      </c>
      <c r="R1869" s="8" t="n">
        <f aca="false">IF(M1869&lt;=1,Assumptions!$B$12,IF(M1869&lt;=3,Assumptions!$B$13,IF(M1869&lt;=6,Assumptions!$B$14,Assumptions!$B$15)))</f>
        <v>50</v>
      </c>
      <c r="S1869" s="8" t="n">
        <f aca="false">IF(N1869="Completed On Time",Assumptions!$B$16,IF(N1869="Completed Late",Assumptions!$B$17,Assumptions!$B$18))</f>
        <v>100</v>
      </c>
      <c r="T1869" s="8" t="n">
        <f aca="false">IF(I1869=0,Assumptions!$B$20,IF(H1869&gt;I1869,Assumptions!$B$19,IF(H1869=I1869,Assumptions!$B$20,Assumptions!$B$21)))</f>
        <v>70</v>
      </c>
      <c r="U1869" s="8" t="n">
        <f aca="false">ROUND(P1869*Assumptions!$B$2+Q1869*Assumptions!$B$3+R1869*Assumptions!$B$4+S1869*Assumptions!$B$5+T1869*Assumptions!$B$6,0)</f>
        <v>77</v>
      </c>
      <c r="V1869" s="8" t="str">
        <f aca="false">IF(U1869&gt;=Assumptions!$B$10,"Healthy",IF(U1869&gt;=Assumptions!$B$11,"Needs Attention","High Risk"))</f>
        <v>Needs Attention</v>
      </c>
    </row>
    <row r="1870" customFormat="false" ht="15" hidden="false" customHeight="false" outlineLevel="0" collapsed="false">
      <c r="A1870" s="8" t="s">
        <v>3882</v>
      </c>
      <c r="B1870" s="8" t="s">
        <v>3883</v>
      </c>
      <c r="C1870" s="8" t="s">
        <v>51</v>
      </c>
      <c r="D1870" s="8" t="s">
        <v>2027</v>
      </c>
      <c r="E1870" s="8" t="s">
        <v>132</v>
      </c>
      <c r="F1870" s="8" t="s">
        <v>154</v>
      </c>
      <c r="G1870" s="8" t="s">
        <v>119</v>
      </c>
      <c r="H1870" s="15" t="n">
        <v>168</v>
      </c>
      <c r="I1870" s="15" t="n">
        <v>168</v>
      </c>
      <c r="J1870" s="16" t="n">
        <v>0.738</v>
      </c>
      <c r="K1870" s="8" t="n">
        <v>9.7</v>
      </c>
      <c r="L1870" s="8" t="n">
        <v>8</v>
      </c>
      <c r="M1870" s="8" t="n">
        <v>2</v>
      </c>
      <c r="N1870" s="8" t="s">
        <v>120</v>
      </c>
      <c r="O1870" s="15" t="n">
        <f aca="false">H1870*12</f>
        <v>2016</v>
      </c>
      <c r="P1870" s="8" t="n">
        <f aca="false">MIN(100,ROUND(100*J1870/Assumptions!$B$8,0))</f>
        <v>82</v>
      </c>
      <c r="Q1870" s="8" t="n">
        <f aca="false">IF(L1870="",Assumptions!$B$9,L1870*10)</f>
        <v>80</v>
      </c>
      <c r="R1870" s="8" t="n">
        <f aca="false">IF(M1870&lt;=1,Assumptions!$B$12,IF(M1870&lt;=3,Assumptions!$B$13,IF(M1870&lt;=6,Assumptions!$B$14,Assumptions!$B$15)))</f>
        <v>75</v>
      </c>
      <c r="S1870" s="8" t="n">
        <f aca="false">IF(N1870="Completed On Time",Assumptions!$B$16,IF(N1870="Completed Late",Assumptions!$B$17,Assumptions!$B$18))</f>
        <v>100</v>
      </c>
      <c r="T1870" s="8" t="n">
        <f aca="false">IF(I1870=0,Assumptions!$B$20,IF(H1870&gt;I1870,Assumptions!$B$19,IF(H1870=I1870,Assumptions!$B$20,Assumptions!$B$21)))</f>
        <v>70</v>
      </c>
      <c r="U1870" s="8" t="n">
        <f aca="false">ROUND(P1870*Assumptions!$B$2+Q1870*Assumptions!$B$3+R1870*Assumptions!$B$4+S1870*Assumptions!$B$5+T1870*Assumptions!$B$6,0)</f>
        <v>80</v>
      </c>
      <c r="V1870" s="8" t="str">
        <f aca="false">IF(U1870&gt;=Assumptions!$B$10,"Healthy",IF(U1870&gt;=Assumptions!$B$11,"Needs Attention","High Risk"))</f>
        <v>Healthy</v>
      </c>
    </row>
    <row r="1871" customFormat="false" ht="15" hidden="false" customHeight="false" outlineLevel="0" collapsed="false">
      <c r="A1871" s="8" t="s">
        <v>3884</v>
      </c>
      <c r="B1871" s="8" t="s">
        <v>3885</v>
      </c>
      <c r="C1871" s="8" t="s">
        <v>51</v>
      </c>
      <c r="D1871" s="8" t="s">
        <v>2027</v>
      </c>
      <c r="E1871" s="8" t="s">
        <v>132</v>
      </c>
      <c r="F1871" s="8" t="s">
        <v>143</v>
      </c>
      <c r="G1871" s="8" t="s">
        <v>144</v>
      </c>
      <c r="H1871" s="15" t="n">
        <v>168</v>
      </c>
      <c r="I1871" s="15" t="n">
        <v>168</v>
      </c>
      <c r="J1871" s="16" t="n">
        <v>0.786</v>
      </c>
      <c r="K1871" s="8" t="n">
        <v>11.3</v>
      </c>
      <c r="L1871" s="8" t="n">
        <v>10</v>
      </c>
      <c r="M1871" s="8" t="n">
        <v>3</v>
      </c>
      <c r="N1871" s="8" t="s">
        <v>120</v>
      </c>
      <c r="O1871" s="15" t="n">
        <f aca="false">H1871*12</f>
        <v>2016</v>
      </c>
      <c r="P1871" s="8" t="n">
        <f aca="false">MIN(100,ROUND(100*J1871/Assumptions!$B$8,0))</f>
        <v>87</v>
      </c>
      <c r="Q1871" s="8" t="n">
        <f aca="false">IF(L1871="",Assumptions!$B$9,L1871*10)</f>
        <v>100</v>
      </c>
      <c r="R1871" s="8" t="n">
        <f aca="false">IF(M1871&lt;=1,Assumptions!$B$12,IF(M1871&lt;=3,Assumptions!$B$13,IF(M1871&lt;=6,Assumptions!$B$14,Assumptions!$B$15)))</f>
        <v>75</v>
      </c>
      <c r="S1871" s="8" t="n">
        <f aca="false">IF(N1871="Completed On Time",Assumptions!$B$16,IF(N1871="Completed Late",Assumptions!$B$17,Assumptions!$B$18))</f>
        <v>100</v>
      </c>
      <c r="T1871" s="8" t="n">
        <f aca="false">IF(I1871=0,Assumptions!$B$20,IF(H1871&gt;I1871,Assumptions!$B$19,IF(H1871=I1871,Assumptions!$B$20,Assumptions!$B$21)))</f>
        <v>70</v>
      </c>
      <c r="U1871" s="8" t="n">
        <f aca="false">ROUND(P1871*Assumptions!$B$2+Q1871*Assumptions!$B$3+R1871*Assumptions!$B$4+S1871*Assumptions!$B$5+T1871*Assumptions!$B$6,0)</f>
        <v>86</v>
      </c>
      <c r="V1871" s="8" t="str">
        <f aca="false">IF(U1871&gt;=Assumptions!$B$10,"Healthy",IF(U1871&gt;=Assumptions!$B$11,"Needs Attention","High Risk"))</f>
        <v>Healthy</v>
      </c>
    </row>
    <row r="1872" customFormat="false" ht="15" hidden="false" customHeight="false" outlineLevel="0" collapsed="false">
      <c r="A1872" s="8" t="s">
        <v>3886</v>
      </c>
      <c r="B1872" s="8" t="s">
        <v>3887</v>
      </c>
      <c r="C1872" s="8" t="s">
        <v>51</v>
      </c>
      <c r="D1872" s="8" t="s">
        <v>2027</v>
      </c>
      <c r="E1872" s="8" t="s">
        <v>117</v>
      </c>
      <c r="F1872" s="8" t="s">
        <v>136</v>
      </c>
      <c r="G1872" s="8" t="s">
        <v>129</v>
      </c>
      <c r="H1872" s="15" t="n">
        <v>168</v>
      </c>
      <c r="I1872" s="15" t="n">
        <v>168</v>
      </c>
      <c r="J1872" s="16" t="n">
        <v>0.595</v>
      </c>
      <c r="K1872" s="8" t="n">
        <v>6.3</v>
      </c>
      <c r="L1872" s="8" t="n">
        <v>7</v>
      </c>
      <c r="M1872" s="8" t="n">
        <v>2</v>
      </c>
      <c r="N1872" s="8" t="s">
        <v>148</v>
      </c>
      <c r="O1872" s="15" t="n">
        <f aca="false">H1872*12</f>
        <v>2016</v>
      </c>
      <c r="P1872" s="8" t="n">
        <f aca="false">MIN(100,ROUND(100*J1872/Assumptions!$B$8,0))</f>
        <v>66</v>
      </c>
      <c r="Q1872" s="8" t="n">
        <f aca="false">IF(L1872="",Assumptions!$B$9,L1872*10)</f>
        <v>70</v>
      </c>
      <c r="R1872" s="8" t="n">
        <f aca="false">IF(M1872&lt;=1,Assumptions!$B$12,IF(M1872&lt;=3,Assumptions!$B$13,IF(M1872&lt;=6,Assumptions!$B$14,Assumptions!$B$15)))</f>
        <v>75</v>
      </c>
      <c r="S1872" s="8" t="n">
        <f aca="false">IF(N1872="Completed On Time",Assumptions!$B$16,IF(N1872="Completed Late",Assumptions!$B$17,Assumptions!$B$18))</f>
        <v>60</v>
      </c>
      <c r="T1872" s="8" t="n">
        <f aca="false">IF(I1872=0,Assumptions!$B$20,IF(H1872&gt;I1872,Assumptions!$B$19,IF(H1872=I1872,Assumptions!$B$20,Assumptions!$B$21)))</f>
        <v>70</v>
      </c>
      <c r="U1872" s="8" t="n">
        <f aca="false">ROUND(P1872*Assumptions!$B$2+Q1872*Assumptions!$B$3+R1872*Assumptions!$B$4+S1872*Assumptions!$B$5+T1872*Assumptions!$B$6,0)</f>
        <v>68</v>
      </c>
      <c r="V1872" s="8" t="str">
        <f aca="false">IF(U1872&gt;=Assumptions!$B$10,"Healthy",IF(U1872&gt;=Assumptions!$B$11,"Needs Attention","High Risk"))</f>
        <v>Needs Attention</v>
      </c>
    </row>
    <row r="1873" customFormat="false" ht="15" hidden="false" customHeight="false" outlineLevel="0" collapsed="false">
      <c r="A1873" s="8" t="s">
        <v>3888</v>
      </c>
      <c r="B1873" s="8" t="s">
        <v>3889</v>
      </c>
      <c r="C1873" s="8" t="s">
        <v>51</v>
      </c>
      <c r="D1873" s="8" t="s">
        <v>2027</v>
      </c>
      <c r="E1873" s="8" t="s">
        <v>123</v>
      </c>
      <c r="F1873" s="8" t="s">
        <v>223</v>
      </c>
      <c r="G1873" s="8" t="s">
        <v>125</v>
      </c>
      <c r="H1873" s="15" t="n">
        <v>168</v>
      </c>
      <c r="I1873" s="15" t="n">
        <v>168</v>
      </c>
      <c r="J1873" s="16" t="n">
        <v>0.714</v>
      </c>
      <c r="K1873" s="8" t="n">
        <v>9</v>
      </c>
      <c r="L1873" s="8" t="n">
        <v>8</v>
      </c>
      <c r="M1873" s="8" t="n">
        <v>3</v>
      </c>
      <c r="N1873" s="8" t="s">
        <v>120</v>
      </c>
      <c r="O1873" s="15" t="n">
        <f aca="false">H1873*12</f>
        <v>2016</v>
      </c>
      <c r="P1873" s="8" t="n">
        <f aca="false">MIN(100,ROUND(100*J1873/Assumptions!$B$8,0))</f>
        <v>79</v>
      </c>
      <c r="Q1873" s="8" t="n">
        <f aca="false">IF(L1873="",Assumptions!$B$9,L1873*10)</f>
        <v>80</v>
      </c>
      <c r="R1873" s="8" t="n">
        <f aca="false">IF(M1873&lt;=1,Assumptions!$B$12,IF(M1873&lt;=3,Assumptions!$B$13,IF(M1873&lt;=6,Assumptions!$B$14,Assumptions!$B$15)))</f>
        <v>75</v>
      </c>
      <c r="S1873" s="8" t="n">
        <f aca="false">IF(N1873="Completed On Time",Assumptions!$B$16,IF(N1873="Completed Late",Assumptions!$B$17,Assumptions!$B$18))</f>
        <v>100</v>
      </c>
      <c r="T1873" s="8" t="n">
        <f aca="false">IF(I1873=0,Assumptions!$B$20,IF(H1873&gt;I1873,Assumptions!$B$19,IF(H1873=I1873,Assumptions!$B$20,Assumptions!$B$21)))</f>
        <v>70</v>
      </c>
      <c r="U1873" s="8" t="n">
        <f aca="false">ROUND(P1873*Assumptions!$B$2+Q1873*Assumptions!$B$3+R1873*Assumptions!$B$4+S1873*Assumptions!$B$5+T1873*Assumptions!$B$6,0)</f>
        <v>79</v>
      </c>
      <c r="V1873" s="8" t="str">
        <f aca="false">IF(U1873&gt;=Assumptions!$B$10,"Healthy",IF(U1873&gt;=Assumptions!$B$11,"Needs Attention","High Risk"))</f>
        <v>Needs Attention</v>
      </c>
    </row>
    <row r="1874" customFormat="false" ht="15" hidden="false" customHeight="false" outlineLevel="0" collapsed="false">
      <c r="A1874" s="8" t="s">
        <v>3890</v>
      </c>
      <c r="B1874" s="8" t="s">
        <v>3891</v>
      </c>
      <c r="C1874" s="8" t="s">
        <v>51</v>
      </c>
      <c r="D1874" s="8" t="s">
        <v>2027</v>
      </c>
      <c r="E1874" s="8" t="s">
        <v>123</v>
      </c>
      <c r="F1874" s="8" t="s">
        <v>154</v>
      </c>
      <c r="G1874" s="8" t="s">
        <v>140</v>
      </c>
      <c r="H1874" s="15" t="n">
        <v>168</v>
      </c>
      <c r="I1874" s="15" t="n">
        <v>168</v>
      </c>
      <c r="J1874" s="16" t="n">
        <v>0.81</v>
      </c>
      <c r="K1874" s="8" t="n">
        <v>10</v>
      </c>
      <c r="L1874" s="8" t="n">
        <v>8</v>
      </c>
      <c r="M1874" s="8" t="n">
        <v>3</v>
      </c>
      <c r="N1874" s="8" t="s">
        <v>120</v>
      </c>
      <c r="O1874" s="15" t="n">
        <f aca="false">H1874*12</f>
        <v>2016</v>
      </c>
      <c r="P1874" s="8" t="n">
        <f aca="false">MIN(100,ROUND(100*J1874/Assumptions!$B$8,0))</f>
        <v>90</v>
      </c>
      <c r="Q1874" s="8" t="n">
        <f aca="false">IF(L1874="",Assumptions!$B$9,L1874*10)</f>
        <v>80</v>
      </c>
      <c r="R1874" s="8" t="n">
        <f aca="false">IF(M1874&lt;=1,Assumptions!$B$12,IF(M1874&lt;=3,Assumptions!$B$13,IF(M1874&lt;=6,Assumptions!$B$14,Assumptions!$B$15)))</f>
        <v>75</v>
      </c>
      <c r="S1874" s="8" t="n">
        <f aca="false">IF(N1874="Completed On Time",Assumptions!$B$16,IF(N1874="Completed Late",Assumptions!$B$17,Assumptions!$B$18))</f>
        <v>100</v>
      </c>
      <c r="T1874" s="8" t="n">
        <f aca="false">IF(I1874=0,Assumptions!$B$20,IF(H1874&gt;I1874,Assumptions!$B$19,IF(H1874=I1874,Assumptions!$B$20,Assumptions!$B$21)))</f>
        <v>70</v>
      </c>
      <c r="U1874" s="8" t="n">
        <f aca="false">ROUND(P1874*Assumptions!$B$2+Q1874*Assumptions!$B$3+R1874*Assumptions!$B$4+S1874*Assumptions!$B$5+T1874*Assumptions!$B$6,0)</f>
        <v>83</v>
      </c>
      <c r="V1874" s="8" t="str">
        <f aca="false">IF(U1874&gt;=Assumptions!$B$10,"Healthy",IF(U1874&gt;=Assumptions!$B$11,"Needs Attention","High Risk"))</f>
        <v>Healthy</v>
      </c>
    </row>
    <row r="1875" customFormat="false" ht="15" hidden="false" customHeight="false" outlineLevel="0" collapsed="false">
      <c r="A1875" s="8" t="s">
        <v>3892</v>
      </c>
      <c r="B1875" s="8" t="s">
        <v>3893</v>
      </c>
      <c r="C1875" s="8" t="s">
        <v>51</v>
      </c>
      <c r="D1875" s="8" t="s">
        <v>2027</v>
      </c>
      <c r="E1875" s="8" t="s">
        <v>123</v>
      </c>
      <c r="F1875" s="8" t="s">
        <v>118</v>
      </c>
      <c r="G1875" s="8" t="s">
        <v>137</v>
      </c>
      <c r="H1875" s="15" t="n">
        <v>168</v>
      </c>
      <c r="I1875" s="15" t="n">
        <v>168</v>
      </c>
      <c r="J1875" s="16" t="n">
        <v>0.69</v>
      </c>
      <c r="K1875" s="8" t="n">
        <v>9.7</v>
      </c>
      <c r="L1875" s="8" t="n">
        <v>8</v>
      </c>
      <c r="M1875" s="8" t="n">
        <v>3</v>
      </c>
      <c r="N1875" s="8" t="s">
        <v>120</v>
      </c>
      <c r="O1875" s="15" t="n">
        <f aca="false">H1875*12</f>
        <v>2016</v>
      </c>
      <c r="P1875" s="8" t="n">
        <f aca="false">MIN(100,ROUND(100*J1875/Assumptions!$B$8,0))</f>
        <v>77</v>
      </c>
      <c r="Q1875" s="8" t="n">
        <f aca="false">IF(L1875="",Assumptions!$B$9,L1875*10)</f>
        <v>80</v>
      </c>
      <c r="R1875" s="8" t="n">
        <f aca="false">IF(M1875&lt;=1,Assumptions!$B$12,IF(M1875&lt;=3,Assumptions!$B$13,IF(M1875&lt;=6,Assumptions!$B$14,Assumptions!$B$15)))</f>
        <v>75</v>
      </c>
      <c r="S1875" s="8" t="n">
        <f aca="false">IF(N1875="Completed On Time",Assumptions!$B$16,IF(N1875="Completed Late",Assumptions!$B$17,Assumptions!$B$18))</f>
        <v>100</v>
      </c>
      <c r="T1875" s="8" t="n">
        <f aca="false">IF(I1875=0,Assumptions!$B$20,IF(H1875&gt;I1875,Assumptions!$B$19,IF(H1875=I1875,Assumptions!$B$20,Assumptions!$B$21)))</f>
        <v>70</v>
      </c>
      <c r="U1875" s="8" t="n">
        <f aca="false">ROUND(P1875*Assumptions!$B$2+Q1875*Assumptions!$B$3+R1875*Assumptions!$B$4+S1875*Assumptions!$B$5+T1875*Assumptions!$B$6,0)</f>
        <v>78</v>
      </c>
      <c r="V1875" s="8" t="str">
        <f aca="false">IF(U1875&gt;=Assumptions!$B$10,"Healthy",IF(U1875&gt;=Assumptions!$B$11,"Needs Attention","High Risk"))</f>
        <v>Needs Attention</v>
      </c>
    </row>
    <row r="1876" customFormat="false" ht="15" hidden="false" customHeight="false" outlineLevel="0" collapsed="false">
      <c r="A1876" s="8" t="s">
        <v>3894</v>
      </c>
      <c r="B1876" s="8" t="s">
        <v>3895</v>
      </c>
      <c r="C1876" s="8" t="s">
        <v>51</v>
      </c>
      <c r="D1876" s="8" t="s">
        <v>2027</v>
      </c>
      <c r="E1876" s="8" t="s">
        <v>123</v>
      </c>
      <c r="F1876" s="8" t="s">
        <v>151</v>
      </c>
      <c r="G1876" s="8" t="s">
        <v>180</v>
      </c>
      <c r="H1876" s="15" t="n">
        <v>168</v>
      </c>
      <c r="I1876" s="15" t="n">
        <v>168</v>
      </c>
      <c r="J1876" s="16" t="n">
        <v>0.714</v>
      </c>
      <c r="K1876" s="8" t="n">
        <v>10</v>
      </c>
      <c r="L1876" s="8" t="n">
        <v>10</v>
      </c>
      <c r="M1876" s="8" t="n">
        <v>1</v>
      </c>
      <c r="N1876" s="8" t="s">
        <v>148</v>
      </c>
      <c r="O1876" s="15" t="n">
        <f aca="false">H1876*12</f>
        <v>2016</v>
      </c>
      <c r="P1876" s="8" t="n">
        <f aca="false">MIN(100,ROUND(100*J1876/Assumptions!$B$8,0))</f>
        <v>79</v>
      </c>
      <c r="Q1876" s="8" t="n">
        <f aca="false">IF(L1876="",Assumptions!$B$9,L1876*10)</f>
        <v>100</v>
      </c>
      <c r="R1876" s="8" t="n">
        <f aca="false">IF(M1876&lt;=1,Assumptions!$B$12,IF(M1876&lt;=3,Assumptions!$B$13,IF(M1876&lt;=6,Assumptions!$B$14,Assumptions!$B$15)))</f>
        <v>100</v>
      </c>
      <c r="S1876" s="8" t="n">
        <f aca="false">IF(N1876="Completed On Time",Assumptions!$B$16,IF(N1876="Completed Late",Assumptions!$B$17,Assumptions!$B$18))</f>
        <v>60</v>
      </c>
      <c r="T1876" s="8" t="n">
        <f aca="false">IF(I1876=0,Assumptions!$B$20,IF(H1876&gt;I1876,Assumptions!$B$19,IF(H1876=I1876,Assumptions!$B$20,Assumptions!$B$21)))</f>
        <v>70</v>
      </c>
      <c r="U1876" s="8" t="n">
        <f aca="false">ROUND(P1876*Assumptions!$B$2+Q1876*Assumptions!$B$3+R1876*Assumptions!$B$4+S1876*Assumptions!$B$5+T1876*Assumptions!$B$6,0)</f>
        <v>83</v>
      </c>
      <c r="V1876" s="8" t="str">
        <f aca="false">IF(U1876&gt;=Assumptions!$B$10,"Healthy",IF(U1876&gt;=Assumptions!$B$11,"Needs Attention","High Risk"))</f>
        <v>Healthy</v>
      </c>
    </row>
    <row r="1877" customFormat="false" ht="15" hidden="false" customHeight="false" outlineLevel="0" collapsed="false">
      <c r="A1877" s="8" t="s">
        <v>3896</v>
      </c>
      <c r="B1877" s="8" t="s">
        <v>3897</v>
      </c>
      <c r="C1877" s="8" t="s">
        <v>51</v>
      </c>
      <c r="D1877" s="8" t="s">
        <v>2027</v>
      </c>
      <c r="E1877" s="8" t="s">
        <v>123</v>
      </c>
      <c r="F1877" s="8" t="s">
        <v>190</v>
      </c>
      <c r="G1877" s="8" t="s">
        <v>177</v>
      </c>
      <c r="H1877" s="15" t="n">
        <v>168</v>
      </c>
      <c r="I1877" s="15" t="n">
        <v>168</v>
      </c>
      <c r="J1877" s="16" t="n">
        <v>0.548</v>
      </c>
      <c r="K1877" s="8" t="n">
        <v>7.7</v>
      </c>
      <c r="L1877" s="8" t="n">
        <v>4</v>
      </c>
      <c r="M1877" s="8" t="n">
        <v>6</v>
      </c>
      <c r="N1877" s="8" t="s">
        <v>120</v>
      </c>
      <c r="O1877" s="15" t="n">
        <f aca="false">H1877*12</f>
        <v>2016</v>
      </c>
      <c r="P1877" s="8" t="n">
        <f aca="false">MIN(100,ROUND(100*J1877/Assumptions!$B$8,0))</f>
        <v>61</v>
      </c>
      <c r="Q1877" s="8" t="n">
        <f aca="false">IF(L1877="",Assumptions!$B$9,L1877*10)</f>
        <v>40</v>
      </c>
      <c r="R1877" s="8" t="n">
        <f aca="false">IF(M1877&lt;=1,Assumptions!$B$12,IF(M1877&lt;=3,Assumptions!$B$13,IF(M1877&lt;=6,Assumptions!$B$14,Assumptions!$B$15)))</f>
        <v>50</v>
      </c>
      <c r="S1877" s="8" t="n">
        <f aca="false">IF(N1877="Completed On Time",Assumptions!$B$16,IF(N1877="Completed Late",Assumptions!$B$17,Assumptions!$B$18))</f>
        <v>100</v>
      </c>
      <c r="T1877" s="8" t="n">
        <f aca="false">IF(I1877=0,Assumptions!$B$20,IF(H1877&gt;I1877,Assumptions!$B$19,IF(H1877=I1877,Assumptions!$B$20,Assumptions!$B$21)))</f>
        <v>70</v>
      </c>
      <c r="U1877" s="8" t="n">
        <f aca="false">ROUND(P1877*Assumptions!$B$2+Q1877*Assumptions!$B$3+R1877*Assumptions!$B$4+S1877*Assumptions!$B$5+T1877*Assumptions!$B$6,0)</f>
        <v>61</v>
      </c>
      <c r="V1877" s="8" t="str">
        <f aca="false">IF(U1877&gt;=Assumptions!$B$10,"Healthy",IF(U1877&gt;=Assumptions!$B$11,"Needs Attention","High Risk"))</f>
        <v>High Risk</v>
      </c>
    </row>
    <row r="1878" customFormat="false" ht="15" hidden="false" customHeight="false" outlineLevel="0" collapsed="false">
      <c r="A1878" s="8" t="s">
        <v>3898</v>
      </c>
      <c r="B1878" s="8" t="s">
        <v>3899</v>
      </c>
      <c r="C1878" s="8" t="s">
        <v>51</v>
      </c>
      <c r="D1878" s="8" t="s">
        <v>2027</v>
      </c>
      <c r="E1878" s="8" t="s">
        <v>117</v>
      </c>
      <c r="F1878" s="8" t="s">
        <v>118</v>
      </c>
      <c r="G1878" s="8" t="s">
        <v>177</v>
      </c>
      <c r="H1878" s="15" t="n">
        <v>156</v>
      </c>
      <c r="I1878" s="15" t="n">
        <v>156</v>
      </c>
      <c r="J1878" s="16" t="n">
        <v>0.59</v>
      </c>
      <c r="K1878" s="8" t="n">
        <v>5.7</v>
      </c>
      <c r="L1878" s="8" t="n">
        <v>6</v>
      </c>
      <c r="M1878" s="8" t="n">
        <v>2</v>
      </c>
      <c r="N1878" s="8" t="s">
        <v>120</v>
      </c>
      <c r="O1878" s="15" t="n">
        <f aca="false">H1878*12</f>
        <v>1872</v>
      </c>
      <c r="P1878" s="8" t="n">
        <f aca="false">MIN(100,ROUND(100*J1878/Assumptions!$B$8,0))</f>
        <v>66</v>
      </c>
      <c r="Q1878" s="8" t="n">
        <f aca="false">IF(L1878="",Assumptions!$B$9,L1878*10)</f>
        <v>60</v>
      </c>
      <c r="R1878" s="8" t="n">
        <f aca="false">IF(M1878&lt;=1,Assumptions!$B$12,IF(M1878&lt;=3,Assumptions!$B$13,IF(M1878&lt;=6,Assumptions!$B$14,Assumptions!$B$15)))</f>
        <v>75</v>
      </c>
      <c r="S1878" s="8" t="n">
        <f aca="false">IF(N1878="Completed On Time",Assumptions!$B$16,IF(N1878="Completed Late",Assumptions!$B$17,Assumptions!$B$18))</f>
        <v>100</v>
      </c>
      <c r="T1878" s="8" t="n">
        <f aca="false">IF(I1878=0,Assumptions!$B$20,IF(H1878&gt;I1878,Assumptions!$B$19,IF(H1878=I1878,Assumptions!$B$20,Assumptions!$B$21)))</f>
        <v>70</v>
      </c>
      <c r="U1878" s="8" t="n">
        <f aca="false">ROUND(P1878*Assumptions!$B$2+Q1878*Assumptions!$B$3+R1878*Assumptions!$B$4+S1878*Assumptions!$B$5+T1878*Assumptions!$B$6,0)</f>
        <v>70</v>
      </c>
      <c r="V1878" s="8" t="str">
        <f aca="false">IF(U1878&gt;=Assumptions!$B$10,"Healthy",IF(U1878&gt;=Assumptions!$B$11,"Needs Attention","High Risk"))</f>
        <v>Needs Attention</v>
      </c>
    </row>
    <row r="1879" customFormat="false" ht="15" hidden="false" customHeight="false" outlineLevel="0" collapsed="false">
      <c r="A1879" s="8" t="s">
        <v>3900</v>
      </c>
      <c r="B1879" s="8" t="s">
        <v>3901</v>
      </c>
      <c r="C1879" s="8" t="s">
        <v>51</v>
      </c>
      <c r="D1879" s="8" t="s">
        <v>2027</v>
      </c>
      <c r="E1879" s="8" t="s">
        <v>123</v>
      </c>
      <c r="F1879" s="8" t="s">
        <v>223</v>
      </c>
      <c r="G1879" s="8" t="s">
        <v>177</v>
      </c>
      <c r="H1879" s="15" t="n">
        <v>156</v>
      </c>
      <c r="I1879" s="15" t="n">
        <v>156</v>
      </c>
      <c r="J1879" s="16" t="n">
        <v>0.615</v>
      </c>
      <c r="K1879" s="8" t="n">
        <v>6.3</v>
      </c>
      <c r="L1879" s="8" t="n">
        <v>8</v>
      </c>
      <c r="M1879" s="8" t="n">
        <v>1</v>
      </c>
      <c r="N1879" s="8" t="s">
        <v>120</v>
      </c>
      <c r="O1879" s="15" t="n">
        <f aca="false">H1879*12</f>
        <v>1872</v>
      </c>
      <c r="P1879" s="8" t="n">
        <f aca="false">MIN(100,ROUND(100*J1879/Assumptions!$B$8,0))</f>
        <v>68</v>
      </c>
      <c r="Q1879" s="8" t="n">
        <f aca="false">IF(L1879="",Assumptions!$B$9,L1879*10)</f>
        <v>80</v>
      </c>
      <c r="R1879" s="8" t="n">
        <f aca="false">IF(M1879&lt;=1,Assumptions!$B$12,IF(M1879&lt;=3,Assumptions!$B$13,IF(M1879&lt;=6,Assumptions!$B$14,Assumptions!$B$15)))</f>
        <v>100</v>
      </c>
      <c r="S1879" s="8" t="n">
        <f aca="false">IF(N1879="Completed On Time",Assumptions!$B$16,IF(N1879="Completed Late",Assumptions!$B$17,Assumptions!$B$18))</f>
        <v>100</v>
      </c>
      <c r="T1879" s="8" t="n">
        <f aca="false">IF(I1879=0,Assumptions!$B$20,IF(H1879&gt;I1879,Assumptions!$B$19,IF(H1879=I1879,Assumptions!$B$20,Assumptions!$B$21)))</f>
        <v>70</v>
      </c>
      <c r="U1879" s="8" t="n">
        <f aca="false">ROUND(P1879*Assumptions!$B$2+Q1879*Assumptions!$B$3+R1879*Assumptions!$B$4+S1879*Assumptions!$B$5+T1879*Assumptions!$B$6,0)</f>
        <v>79</v>
      </c>
      <c r="V1879" s="8" t="str">
        <f aca="false">IF(U1879&gt;=Assumptions!$B$10,"Healthy",IF(U1879&gt;=Assumptions!$B$11,"Needs Attention","High Risk"))</f>
        <v>Needs Attention</v>
      </c>
    </row>
    <row r="1880" customFormat="false" ht="15" hidden="false" customHeight="false" outlineLevel="0" collapsed="false">
      <c r="A1880" s="8" t="s">
        <v>3902</v>
      </c>
      <c r="B1880" s="8" t="s">
        <v>3903</v>
      </c>
      <c r="C1880" s="8" t="s">
        <v>51</v>
      </c>
      <c r="D1880" s="8" t="s">
        <v>2027</v>
      </c>
      <c r="E1880" s="8" t="s">
        <v>117</v>
      </c>
      <c r="F1880" s="8" t="s">
        <v>136</v>
      </c>
      <c r="G1880" s="8" t="s">
        <v>147</v>
      </c>
      <c r="H1880" s="15" t="n">
        <v>156</v>
      </c>
      <c r="I1880" s="15" t="n">
        <v>156</v>
      </c>
      <c r="J1880" s="16" t="n">
        <v>0.795</v>
      </c>
      <c r="K1880" s="8" t="n">
        <v>9</v>
      </c>
      <c r="L1880" s="8" t="n">
        <v>10</v>
      </c>
      <c r="M1880" s="8" t="n">
        <v>2</v>
      </c>
      <c r="N1880" s="8" t="s">
        <v>120</v>
      </c>
      <c r="O1880" s="15" t="n">
        <f aca="false">H1880*12</f>
        <v>1872</v>
      </c>
      <c r="P1880" s="8" t="n">
        <f aca="false">MIN(100,ROUND(100*J1880/Assumptions!$B$8,0))</f>
        <v>88</v>
      </c>
      <c r="Q1880" s="8" t="n">
        <f aca="false">IF(L1880="",Assumptions!$B$9,L1880*10)</f>
        <v>100</v>
      </c>
      <c r="R1880" s="8" t="n">
        <f aca="false">IF(M1880&lt;=1,Assumptions!$B$12,IF(M1880&lt;=3,Assumptions!$B$13,IF(M1880&lt;=6,Assumptions!$B$14,Assumptions!$B$15)))</f>
        <v>75</v>
      </c>
      <c r="S1880" s="8" t="n">
        <f aca="false">IF(N1880="Completed On Time",Assumptions!$B$16,IF(N1880="Completed Late",Assumptions!$B$17,Assumptions!$B$18))</f>
        <v>100</v>
      </c>
      <c r="T1880" s="8" t="n">
        <f aca="false">IF(I1880=0,Assumptions!$B$20,IF(H1880&gt;I1880,Assumptions!$B$19,IF(H1880=I1880,Assumptions!$B$20,Assumptions!$B$21)))</f>
        <v>70</v>
      </c>
      <c r="U1880" s="8" t="n">
        <f aca="false">ROUND(P1880*Assumptions!$B$2+Q1880*Assumptions!$B$3+R1880*Assumptions!$B$4+S1880*Assumptions!$B$5+T1880*Assumptions!$B$6,0)</f>
        <v>86</v>
      </c>
      <c r="V1880" s="8" t="str">
        <f aca="false">IF(U1880&gt;=Assumptions!$B$10,"Healthy",IF(U1880&gt;=Assumptions!$B$11,"Needs Attention","High Risk"))</f>
        <v>Healthy</v>
      </c>
    </row>
    <row r="1881" customFormat="false" ht="15" hidden="false" customHeight="false" outlineLevel="0" collapsed="false">
      <c r="A1881" s="8" t="s">
        <v>3904</v>
      </c>
      <c r="B1881" s="8" t="s">
        <v>3905</v>
      </c>
      <c r="C1881" s="8" t="s">
        <v>51</v>
      </c>
      <c r="D1881" s="8" t="s">
        <v>2027</v>
      </c>
      <c r="E1881" s="8" t="s">
        <v>123</v>
      </c>
      <c r="F1881" s="8" t="s">
        <v>143</v>
      </c>
      <c r="G1881" s="8" t="s">
        <v>180</v>
      </c>
      <c r="H1881" s="15" t="n">
        <v>156</v>
      </c>
      <c r="I1881" s="15" t="n">
        <v>156</v>
      </c>
      <c r="J1881" s="16" t="n">
        <v>0.744</v>
      </c>
      <c r="K1881" s="8" t="n">
        <v>9.3</v>
      </c>
      <c r="L1881" s="8" t="n">
        <v>8</v>
      </c>
      <c r="M1881" s="8" t="n">
        <v>2</v>
      </c>
      <c r="N1881" s="8" t="s">
        <v>120</v>
      </c>
      <c r="O1881" s="15" t="n">
        <f aca="false">H1881*12</f>
        <v>1872</v>
      </c>
      <c r="P1881" s="8" t="n">
        <f aca="false">MIN(100,ROUND(100*J1881/Assumptions!$B$8,0))</f>
        <v>83</v>
      </c>
      <c r="Q1881" s="8" t="n">
        <f aca="false">IF(L1881="",Assumptions!$B$9,L1881*10)</f>
        <v>80</v>
      </c>
      <c r="R1881" s="8" t="n">
        <f aca="false">IF(M1881&lt;=1,Assumptions!$B$12,IF(M1881&lt;=3,Assumptions!$B$13,IF(M1881&lt;=6,Assumptions!$B$14,Assumptions!$B$15)))</f>
        <v>75</v>
      </c>
      <c r="S1881" s="8" t="n">
        <f aca="false">IF(N1881="Completed On Time",Assumptions!$B$16,IF(N1881="Completed Late",Assumptions!$B$17,Assumptions!$B$18))</f>
        <v>100</v>
      </c>
      <c r="T1881" s="8" t="n">
        <f aca="false">IF(I1881=0,Assumptions!$B$20,IF(H1881&gt;I1881,Assumptions!$B$19,IF(H1881=I1881,Assumptions!$B$20,Assumptions!$B$21)))</f>
        <v>70</v>
      </c>
      <c r="U1881" s="8" t="n">
        <f aca="false">ROUND(P1881*Assumptions!$B$2+Q1881*Assumptions!$B$3+R1881*Assumptions!$B$4+S1881*Assumptions!$B$5+T1881*Assumptions!$B$6,0)</f>
        <v>80</v>
      </c>
      <c r="V1881" s="8" t="str">
        <f aca="false">IF(U1881&gt;=Assumptions!$B$10,"Healthy",IF(U1881&gt;=Assumptions!$B$11,"Needs Attention","High Risk"))</f>
        <v>Healthy</v>
      </c>
    </row>
    <row r="1882" customFormat="false" ht="15" hidden="false" customHeight="false" outlineLevel="0" collapsed="false">
      <c r="A1882" s="8" t="s">
        <v>3906</v>
      </c>
      <c r="B1882" s="8" t="s">
        <v>3907</v>
      </c>
      <c r="C1882" s="8" t="s">
        <v>51</v>
      </c>
      <c r="D1882" s="8" t="s">
        <v>2027</v>
      </c>
      <c r="E1882" s="8" t="s">
        <v>117</v>
      </c>
      <c r="F1882" s="8" t="s">
        <v>190</v>
      </c>
      <c r="G1882" s="8" t="s">
        <v>125</v>
      </c>
      <c r="H1882" s="15" t="n">
        <v>156</v>
      </c>
      <c r="I1882" s="15" t="n">
        <v>156</v>
      </c>
      <c r="J1882" s="16" t="n">
        <v>0.718</v>
      </c>
      <c r="K1882" s="8" t="n">
        <v>7.7</v>
      </c>
      <c r="L1882" s="8" t="n">
        <v>9</v>
      </c>
      <c r="M1882" s="8" t="n">
        <v>4</v>
      </c>
      <c r="N1882" s="8" t="s">
        <v>120</v>
      </c>
      <c r="O1882" s="15" t="n">
        <f aca="false">H1882*12</f>
        <v>1872</v>
      </c>
      <c r="P1882" s="8" t="n">
        <f aca="false">MIN(100,ROUND(100*J1882/Assumptions!$B$8,0))</f>
        <v>80</v>
      </c>
      <c r="Q1882" s="8" t="n">
        <f aca="false">IF(L1882="",Assumptions!$B$9,L1882*10)</f>
        <v>90</v>
      </c>
      <c r="R1882" s="8" t="n">
        <f aca="false">IF(M1882&lt;=1,Assumptions!$B$12,IF(M1882&lt;=3,Assumptions!$B$13,IF(M1882&lt;=6,Assumptions!$B$14,Assumptions!$B$15)))</f>
        <v>50</v>
      </c>
      <c r="S1882" s="8" t="n">
        <f aca="false">IF(N1882="Completed On Time",Assumptions!$B$16,IF(N1882="Completed Late",Assumptions!$B$17,Assumptions!$B$18))</f>
        <v>100</v>
      </c>
      <c r="T1882" s="8" t="n">
        <f aca="false">IF(I1882=0,Assumptions!$B$20,IF(H1882&gt;I1882,Assumptions!$B$19,IF(H1882=I1882,Assumptions!$B$20,Assumptions!$B$21)))</f>
        <v>70</v>
      </c>
      <c r="U1882" s="8" t="n">
        <f aca="false">ROUND(P1882*Assumptions!$B$2+Q1882*Assumptions!$B$3+R1882*Assumptions!$B$4+S1882*Assumptions!$B$5+T1882*Assumptions!$B$6,0)</f>
        <v>78</v>
      </c>
      <c r="V1882" s="8" t="str">
        <f aca="false">IF(U1882&gt;=Assumptions!$B$10,"Healthy",IF(U1882&gt;=Assumptions!$B$11,"Needs Attention","High Risk"))</f>
        <v>Needs Attention</v>
      </c>
    </row>
    <row r="1883" customFormat="false" ht="15" hidden="false" customHeight="false" outlineLevel="0" collapsed="false">
      <c r="A1883" s="8" t="s">
        <v>3908</v>
      </c>
      <c r="B1883" s="8" t="s">
        <v>3909</v>
      </c>
      <c r="C1883" s="8" t="s">
        <v>51</v>
      </c>
      <c r="D1883" s="8" t="s">
        <v>2027</v>
      </c>
      <c r="E1883" s="8" t="s">
        <v>123</v>
      </c>
      <c r="F1883" s="8" t="s">
        <v>151</v>
      </c>
      <c r="G1883" s="8" t="s">
        <v>180</v>
      </c>
      <c r="H1883" s="15" t="n">
        <v>156</v>
      </c>
      <c r="I1883" s="15" t="n">
        <v>156</v>
      </c>
      <c r="J1883" s="16" t="n">
        <v>0.846</v>
      </c>
      <c r="K1883" s="8" t="n">
        <v>10.7</v>
      </c>
      <c r="L1883" s="8" t="n">
        <v>9</v>
      </c>
      <c r="M1883" s="8" t="n">
        <v>2</v>
      </c>
      <c r="N1883" s="8" t="s">
        <v>120</v>
      </c>
      <c r="O1883" s="15" t="n">
        <f aca="false">H1883*12</f>
        <v>1872</v>
      </c>
      <c r="P1883" s="8" t="n">
        <f aca="false">MIN(100,ROUND(100*J1883/Assumptions!$B$8,0))</f>
        <v>94</v>
      </c>
      <c r="Q1883" s="8" t="n">
        <f aca="false">IF(L1883="",Assumptions!$B$9,L1883*10)</f>
        <v>90</v>
      </c>
      <c r="R1883" s="8" t="n">
        <f aca="false">IF(M1883&lt;=1,Assumptions!$B$12,IF(M1883&lt;=3,Assumptions!$B$13,IF(M1883&lt;=6,Assumptions!$B$14,Assumptions!$B$15)))</f>
        <v>75</v>
      </c>
      <c r="S1883" s="8" t="n">
        <f aca="false">IF(N1883="Completed On Time",Assumptions!$B$16,IF(N1883="Completed Late",Assumptions!$B$17,Assumptions!$B$18))</f>
        <v>100</v>
      </c>
      <c r="T1883" s="8" t="n">
        <f aca="false">IF(I1883=0,Assumptions!$B$20,IF(H1883&gt;I1883,Assumptions!$B$19,IF(H1883=I1883,Assumptions!$B$20,Assumptions!$B$21)))</f>
        <v>70</v>
      </c>
      <c r="U1883" s="8" t="n">
        <f aca="false">ROUND(P1883*Assumptions!$B$2+Q1883*Assumptions!$B$3+R1883*Assumptions!$B$4+S1883*Assumptions!$B$5+T1883*Assumptions!$B$6,0)</f>
        <v>86</v>
      </c>
      <c r="V1883" s="8" t="str">
        <f aca="false">IF(U1883&gt;=Assumptions!$B$10,"Healthy",IF(U1883&gt;=Assumptions!$B$11,"Needs Attention","High Risk"))</f>
        <v>Healthy</v>
      </c>
    </row>
    <row r="1884" customFormat="false" ht="15" hidden="false" customHeight="false" outlineLevel="0" collapsed="false">
      <c r="A1884" s="8" t="s">
        <v>3910</v>
      </c>
      <c r="B1884" s="8" t="s">
        <v>3911</v>
      </c>
      <c r="C1884" s="8" t="s">
        <v>51</v>
      </c>
      <c r="D1884" s="8" t="s">
        <v>2027</v>
      </c>
      <c r="E1884" s="8" t="s">
        <v>123</v>
      </c>
      <c r="F1884" s="8" t="s">
        <v>154</v>
      </c>
      <c r="G1884" s="8" t="s">
        <v>129</v>
      </c>
      <c r="H1884" s="15" t="n">
        <v>156</v>
      </c>
      <c r="I1884" s="15" t="n">
        <v>156</v>
      </c>
      <c r="J1884" s="16" t="n">
        <v>0.872</v>
      </c>
      <c r="K1884" s="8" t="n">
        <v>12</v>
      </c>
      <c r="L1884" s="8" t="n">
        <v>10</v>
      </c>
      <c r="M1884" s="8" t="n">
        <v>1</v>
      </c>
      <c r="N1884" s="8" t="s">
        <v>120</v>
      </c>
      <c r="O1884" s="15" t="n">
        <f aca="false">H1884*12</f>
        <v>1872</v>
      </c>
      <c r="P1884" s="8" t="n">
        <f aca="false">MIN(100,ROUND(100*J1884/Assumptions!$B$8,0))</f>
        <v>97</v>
      </c>
      <c r="Q1884" s="8" t="n">
        <f aca="false">IF(L1884="",Assumptions!$B$9,L1884*10)</f>
        <v>100</v>
      </c>
      <c r="R1884" s="8" t="n">
        <f aca="false">IF(M1884&lt;=1,Assumptions!$B$12,IF(M1884&lt;=3,Assumptions!$B$13,IF(M1884&lt;=6,Assumptions!$B$14,Assumptions!$B$15)))</f>
        <v>100</v>
      </c>
      <c r="S1884" s="8" t="n">
        <f aca="false">IF(N1884="Completed On Time",Assumptions!$B$16,IF(N1884="Completed Late",Assumptions!$B$17,Assumptions!$B$18))</f>
        <v>100</v>
      </c>
      <c r="T1884" s="8" t="n">
        <f aca="false">IF(I1884=0,Assumptions!$B$20,IF(H1884&gt;I1884,Assumptions!$B$19,IF(H1884=I1884,Assumptions!$B$20,Assumptions!$B$21)))</f>
        <v>70</v>
      </c>
      <c r="U1884" s="8" t="n">
        <f aca="false">ROUND(P1884*Assumptions!$B$2+Q1884*Assumptions!$B$3+R1884*Assumptions!$B$4+S1884*Assumptions!$B$5+T1884*Assumptions!$B$6,0)</f>
        <v>93</v>
      </c>
      <c r="V1884" s="8" t="str">
        <f aca="false">IF(U1884&gt;=Assumptions!$B$10,"Healthy",IF(U1884&gt;=Assumptions!$B$11,"Needs Attention","High Risk"))</f>
        <v>Healthy</v>
      </c>
    </row>
    <row r="1885" customFormat="false" ht="15" hidden="false" customHeight="false" outlineLevel="0" collapsed="false">
      <c r="A1885" s="8" t="s">
        <v>3912</v>
      </c>
      <c r="B1885" s="8" t="s">
        <v>3913</v>
      </c>
      <c r="C1885" s="8" t="s">
        <v>51</v>
      </c>
      <c r="D1885" s="8" t="s">
        <v>2027</v>
      </c>
      <c r="E1885" s="8" t="s">
        <v>123</v>
      </c>
      <c r="F1885" s="8" t="s">
        <v>154</v>
      </c>
      <c r="G1885" s="8" t="s">
        <v>185</v>
      </c>
      <c r="H1885" s="15" t="n">
        <v>156</v>
      </c>
      <c r="I1885" s="15" t="n">
        <v>156</v>
      </c>
      <c r="J1885" s="16" t="n">
        <v>0.846</v>
      </c>
      <c r="K1885" s="8" t="n">
        <v>11</v>
      </c>
      <c r="L1885" s="8" t="n">
        <v>9</v>
      </c>
      <c r="M1885" s="8" t="n">
        <v>2</v>
      </c>
      <c r="N1885" s="8" t="s">
        <v>120</v>
      </c>
      <c r="O1885" s="15" t="n">
        <f aca="false">H1885*12</f>
        <v>1872</v>
      </c>
      <c r="P1885" s="8" t="n">
        <f aca="false">MIN(100,ROUND(100*J1885/Assumptions!$B$8,0))</f>
        <v>94</v>
      </c>
      <c r="Q1885" s="8" t="n">
        <f aca="false">IF(L1885="",Assumptions!$B$9,L1885*10)</f>
        <v>90</v>
      </c>
      <c r="R1885" s="8" t="n">
        <f aca="false">IF(M1885&lt;=1,Assumptions!$B$12,IF(M1885&lt;=3,Assumptions!$B$13,IF(M1885&lt;=6,Assumptions!$B$14,Assumptions!$B$15)))</f>
        <v>75</v>
      </c>
      <c r="S1885" s="8" t="n">
        <f aca="false">IF(N1885="Completed On Time",Assumptions!$B$16,IF(N1885="Completed Late",Assumptions!$B$17,Assumptions!$B$18))</f>
        <v>100</v>
      </c>
      <c r="T1885" s="8" t="n">
        <f aca="false">IF(I1885=0,Assumptions!$B$20,IF(H1885&gt;I1885,Assumptions!$B$19,IF(H1885=I1885,Assumptions!$B$20,Assumptions!$B$21)))</f>
        <v>70</v>
      </c>
      <c r="U1885" s="8" t="n">
        <f aca="false">ROUND(P1885*Assumptions!$B$2+Q1885*Assumptions!$B$3+R1885*Assumptions!$B$4+S1885*Assumptions!$B$5+T1885*Assumptions!$B$6,0)</f>
        <v>86</v>
      </c>
      <c r="V1885" s="8" t="str">
        <f aca="false">IF(U1885&gt;=Assumptions!$B$10,"Healthy",IF(U1885&gt;=Assumptions!$B$11,"Needs Attention","High Risk"))</f>
        <v>Healthy</v>
      </c>
    </row>
    <row r="1886" customFormat="false" ht="15" hidden="false" customHeight="false" outlineLevel="0" collapsed="false">
      <c r="A1886" s="8" t="s">
        <v>3914</v>
      </c>
      <c r="B1886" s="8" t="s">
        <v>3915</v>
      </c>
      <c r="C1886" s="8" t="s">
        <v>51</v>
      </c>
      <c r="D1886" s="8" t="s">
        <v>2027</v>
      </c>
      <c r="E1886" s="8" t="s">
        <v>132</v>
      </c>
      <c r="F1886" s="8" t="s">
        <v>190</v>
      </c>
      <c r="G1886" s="8" t="s">
        <v>140</v>
      </c>
      <c r="H1886" s="15" t="n">
        <v>156</v>
      </c>
      <c r="I1886" s="15" t="n">
        <v>156</v>
      </c>
      <c r="J1886" s="16" t="n">
        <v>0.769</v>
      </c>
      <c r="K1886" s="8" t="n">
        <v>9.7</v>
      </c>
      <c r="L1886" s="8" t="n">
        <v>10</v>
      </c>
      <c r="M1886" s="8" t="n">
        <v>3</v>
      </c>
      <c r="N1886" s="8" t="s">
        <v>120</v>
      </c>
      <c r="O1886" s="15" t="n">
        <f aca="false">H1886*12</f>
        <v>1872</v>
      </c>
      <c r="P1886" s="8" t="n">
        <f aca="false">MIN(100,ROUND(100*J1886/Assumptions!$B$8,0))</f>
        <v>85</v>
      </c>
      <c r="Q1886" s="8" t="n">
        <f aca="false">IF(L1886="",Assumptions!$B$9,L1886*10)</f>
        <v>100</v>
      </c>
      <c r="R1886" s="8" t="n">
        <f aca="false">IF(M1886&lt;=1,Assumptions!$B$12,IF(M1886&lt;=3,Assumptions!$B$13,IF(M1886&lt;=6,Assumptions!$B$14,Assumptions!$B$15)))</f>
        <v>75</v>
      </c>
      <c r="S1886" s="8" t="n">
        <f aca="false">IF(N1886="Completed On Time",Assumptions!$B$16,IF(N1886="Completed Late",Assumptions!$B$17,Assumptions!$B$18))</f>
        <v>100</v>
      </c>
      <c r="T1886" s="8" t="n">
        <f aca="false">IF(I1886=0,Assumptions!$B$20,IF(H1886&gt;I1886,Assumptions!$B$19,IF(H1886=I1886,Assumptions!$B$20,Assumptions!$B$21)))</f>
        <v>70</v>
      </c>
      <c r="U1886" s="8" t="n">
        <f aca="false">ROUND(P1886*Assumptions!$B$2+Q1886*Assumptions!$B$3+R1886*Assumptions!$B$4+S1886*Assumptions!$B$5+T1886*Assumptions!$B$6,0)</f>
        <v>85</v>
      </c>
      <c r="V1886" s="8" t="str">
        <f aca="false">IF(U1886&gt;=Assumptions!$B$10,"Healthy",IF(U1886&gt;=Assumptions!$B$11,"Needs Attention","High Risk"))</f>
        <v>Healthy</v>
      </c>
    </row>
    <row r="1887" customFormat="false" ht="15" hidden="false" customHeight="false" outlineLevel="0" collapsed="false">
      <c r="A1887" s="8" t="s">
        <v>3916</v>
      </c>
      <c r="B1887" s="8" t="s">
        <v>3917</v>
      </c>
      <c r="C1887" s="8" t="s">
        <v>51</v>
      </c>
      <c r="D1887" s="8" t="s">
        <v>2027</v>
      </c>
      <c r="E1887" s="8" t="s">
        <v>128</v>
      </c>
      <c r="F1887" s="8" t="s">
        <v>166</v>
      </c>
      <c r="G1887" s="8" t="s">
        <v>137</v>
      </c>
      <c r="H1887" s="15" t="n">
        <v>156</v>
      </c>
      <c r="I1887" s="15" t="n">
        <v>156</v>
      </c>
      <c r="J1887" s="16" t="n">
        <v>0.641</v>
      </c>
      <c r="K1887" s="8" t="n">
        <v>7.3</v>
      </c>
      <c r="L1887" s="8" t="n">
        <v>8</v>
      </c>
      <c r="M1887" s="8" t="n">
        <v>4</v>
      </c>
      <c r="N1887" s="8" t="s">
        <v>120</v>
      </c>
      <c r="O1887" s="15" t="n">
        <f aca="false">H1887*12</f>
        <v>1872</v>
      </c>
      <c r="P1887" s="8" t="n">
        <f aca="false">MIN(100,ROUND(100*J1887/Assumptions!$B$8,0))</f>
        <v>71</v>
      </c>
      <c r="Q1887" s="8" t="n">
        <f aca="false">IF(L1887="",Assumptions!$B$9,L1887*10)</f>
        <v>80</v>
      </c>
      <c r="R1887" s="8" t="n">
        <f aca="false">IF(M1887&lt;=1,Assumptions!$B$12,IF(M1887&lt;=3,Assumptions!$B$13,IF(M1887&lt;=6,Assumptions!$B$14,Assumptions!$B$15)))</f>
        <v>50</v>
      </c>
      <c r="S1887" s="8" t="n">
        <f aca="false">IF(N1887="Completed On Time",Assumptions!$B$16,IF(N1887="Completed Late",Assumptions!$B$17,Assumptions!$B$18))</f>
        <v>100</v>
      </c>
      <c r="T1887" s="8" t="n">
        <f aca="false">IF(I1887=0,Assumptions!$B$20,IF(H1887&gt;I1887,Assumptions!$B$19,IF(H1887=I1887,Assumptions!$B$20,Assumptions!$B$21)))</f>
        <v>70</v>
      </c>
      <c r="U1887" s="8" t="n">
        <f aca="false">ROUND(P1887*Assumptions!$B$2+Q1887*Assumptions!$B$3+R1887*Assumptions!$B$4+S1887*Assumptions!$B$5+T1887*Assumptions!$B$6,0)</f>
        <v>72</v>
      </c>
      <c r="V1887" s="8" t="str">
        <f aca="false">IF(U1887&gt;=Assumptions!$B$10,"Healthy",IF(U1887&gt;=Assumptions!$B$11,"Needs Attention","High Risk"))</f>
        <v>Needs Attention</v>
      </c>
    </row>
    <row r="1888" customFormat="false" ht="15" hidden="false" customHeight="false" outlineLevel="0" collapsed="false">
      <c r="A1888" s="8" t="s">
        <v>3918</v>
      </c>
      <c r="B1888" s="8" t="s">
        <v>3919</v>
      </c>
      <c r="C1888" s="8" t="s">
        <v>51</v>
      </c>
      <c r="D1888" s="8" t="s">
        <v>2027</v>
      </c>
      <c r="E1888" s="8" t="s">
        <v>132</v>
      </c>
      <c r="F1888" s="8" t="s">
        <v>166</v>
      </c>
      <c r="G1888" s="8" t="s">
        <v>204</v>
      </c>
      <c r="H1888" s="15" t="n">
        <v>156</v>
      </c>
      <c r="I1888" s="15" t="n">
        <v>156</v>
      </c>
      <c r="J1888" s="16" t="n">
        <v>0.718</v>
      </c>
      <c r="K1888" s="8" t="n">
        <v>8.7</v>
      </c>
      <c r="L1888" s="8" t="n">
        <v>9</v>
      </c>
      <c r="M1888" s="8" t="n">
        <v>2</v>
      </c>
      <c r="N1888" s="8" t="s">
        <v>120</v>
      </c>
      <c r="O1888" s="15" t="n">
        <f aca="false">H1888*12</f>
        <v>1872</v>
      </c>
      <c r="P1888" s="8" t="n">
        <f aca="false">MIN(100,ROUND(100*J1888/Assumptions!$B$8,0))</f>
        <v>80</v>
      </c>
      <c r="Q1888" s="8" t="n">
        <f aca="false">IF(L1888="",Assumptions!$B$9,L1888*10)</f>
        <v>90</v>
      </c>
      <c r="R1888" s="8" t="n">
        <f aca="false">IF(M1888&lt;=1,Assumptions!$B$12,IF(M1888&lt;=3,Assumptions!$B$13,IF(M1888&lt;=6,Assumptions!$B$14,Assumptions!$B$15)))</f>
        <v>75</v>
      </c>
      <c r="S1888" s="8" t="n">
        <f aca="false">IF(N1888="Completed On Time",Assumptions!$B$16,IF(N1888="Completed Late",Assumptions!$B$17,Assumptions!$B$18))</f>
        <v>100</v>
      </c>
      <c r="T1888" s="8" t="n">
        <f aca="false">IF(I1888=0,Assumptions!$B$20,IF(H1888&gt;I1888,Assumptions!$B$19,IF(H1888=I1888,Assumptions!$B$20,Assumptions!$B$21)))</f>
        <v>70</v>
      </c>
      <c r="U1888" s="8" t="n">
        <f aca="false">ROUND(P1888*Assumptions!$B$2+Q1888*Assumptions!$B$3+R1888*Assumptions!$B$4+S1888*Assumptions!$B$5+T1888*Assumptions!$B$6,0)</f>
        <v>81</v>
      </c>
      <c r="V1888" s="8" t="str">
        <f aca="false">IF(U1888&gt;=Assumptions!$B$10,"Healthy",IF(U1888&gt;=Assumptions!$B$11,"Needs Attention","High Risk"))</f>
        <v>Healthy</v>
      </c>
    </row>
    <row r="1889" customFormat="false" ht="15" hidden="false" customHeight="false" outlineLevel="0" collapsed="false">
      <c r="A1889" s="8" t="s">
        <v>3920</v>
      </c>
      <c r="B1889" s="8" t="s">
        <v>3921</v>
      </c>
      <c r="C1889" s="8" t="s">
        <v>51</v>
      </c>
      <c r="D1889" s="8" t="s">
        <v>2027</v>
      </c>
      <c r="E1889" s="8" t="s">
        <v>132</v>
      </c>
      <c r="F1889" s="8" t="s">
        <v>223</v>
      </c>
      <c r="G1889" s="8" t="s">
        <v>144</v>
      </c>
      <c r="H1889" s="15" t="n">
        <v>156</v>
      </c>
      <c r="I1889" s="15" t="n">
        <v>156</v>
      </c>
      <c r="J1889" s="16" t="n">
        <v>0.769</v>
      </c>
      <c r="K1889" s="8" t="n">
        <v>8.3</v>
      </c>
      <c r="L1889" s="8" t="n">
        <v>10</v>
      </c>
      <c r="M1889" s="8" t="n">
        <v>4</v>
      </c>
      <c r="N1889" s="8" t="s">
        <v>120</v>
      </c>
      <c r="O1889" s="15" t="n">
        <f aca="false">H1889*12</f>
        <v>1872</v>
      </c>
      <c r="P1889" s="8" t="n">
        <f aca="false">MIN(100,ROUND(100*J1889/Assumptions!$B$8,0))</f>
        <v>85</v>
      </c>
      <c r="Q1889" s="8" t="n">
        <f aca="false">IF(L1889="",Assumptions!$B$9,L1889*10)</f>
        <v>100</v>
      </c>
      <c r="R1889" s="8" t="n">
        <f aca="false">IF(M1889&lt;=1,Assumptions!$B$12,IF(M1889&lt;=3,Assumptions!$B$13,IF(M1889&lt;=6,Assumptions!$B$14,Assumptions!$B$15)))</f>
        <v>50</v>
      </c>
      <c r="S1889" s="8" t="n">
        <f aca="false">IF(N1889="Completed On Time",Assumptions!$B$16,IF(N1889="Completed Late",Assumptions!$B$17,Assumptions!$B$18))</f>
        <v>100</v>
      </c>
      <c r="T1889" s="8" t="n">
        <f aca="false">IF(I1889=0,Assumptions!$B$20,IF(H1889&gt;I1889,Assumptions!$B$19,IF(H1889=I1889,Assumptions!$B$20,Assumptions!$B$21)))</f>
        <v>70</v>
      </c>
      <c r="U1889" s="8" t="n">
        <f aca="false">ROUND(P1889*Assumptions!$B$2+Q1889*Assumptions!$B$3+R1889*Assumptions!$B$4+S1889*Assumptions!$B$5+T1889*Assumptions!$B$6,0)</f>
        <v>81</v>
      </c>
      <c r="V1889" s="8" t="str">
        <f aca="false">IF(U1889&gt;=Assumptions!$B$10,"Healthy",IF(U1889&gt;=Assumptions!$B$11,"Needs Attention","High Risk"))</f>
        <v>Healthy</v>
      </c>
    </row>
    <row r="1890" customFormat="false" ht="15" hidden="false" customHeight="false" outlineLevel="0" collapsed="false">
      <c r="A1890" s="8" t="s">
        <v>3922</v>
      </c>
      <c r="B1890" s="8" t="s">
        <v>3923</v>
      </c>
      <c r="C1890" s="8" t="s">
        <v>51</v>
      </c>
      <c r="D1890" s="8" t="s">
        <v>2027</v>
      </c>
      <c r="E1890" s="8" t="s">
        <v>123</v>
      </c>
      <c r="F1890" s="8" t="s">
        <v>136</v>
      </c>
      <c r="G1890" s="8" t="s">
        <v>177</v>
      </c>
      <c r="H1890" s="15" t="n">
        <v>156</v>
      </c>
      <c r="I1890" s="15" t="n">
        <v>156</v>
      </c>
      <c r="J1890" s="16" t="n">
        <v>0.897</v>
      </c>
      <c r="K1890" s="8" t="n">
        <v>11.3</v>
      </c>
      <c r="L1890" s="8" t="n">
        <v>9</v>
      </c>
      <c r="M1890" s="8" t="n">
        <v>3</v>
      </c>
      <c r="N1890" s="8" t="s">
        <v>120</v>
      </c>
      <c r="O1890" s="15" t="n">
        <f aca="false">H1890*12</f>
        <v>1872</v>
      </c>
      <c r="P1890" s="8" t="n">
        <f aca="false">MIN(100,ROUND(100*J1890/Assumptions!$B$8,0))</f>
        <v>100</v>
      </c>
      <c r="Q1890" s="8" t="n">
        <f aca="false">IF(L1890="",Assumptions!$B$9,L1890*10)</f>
        <v>90</v>
      </c>
      <c r="R1890" s="8" t="n">
        <f aca="false">IF(M1890&lt;=1,Assumptions!$B$12,IF(M1890&lt;=3,Assumptions!$B$13,IF(M1890&lt;=6,Assumptions!$B$14,Assumptions!$B$15)))</f>
        <v>75</v>
      </c>
      <c r="S1890" s="8" t="n">
        <f aca="false">IF(N1890="Completed On Time",Assumptions!$B$16,IF(N1890="Completed Late",Assumptions!$B$17,Assumptions!$B$18))</f>
        <v>100</v>
      </c>
      <c r="T1890" s="8" t="n">
        <f aca="false">IF(I1890=0,Assumptions!$B$20,IF(H1890&gt;I1890,Assumptions!$B$19,IF(H1890=I1890,Assumptions!$B$20,Assumptions!$B$21)))</f>
        <v>70</v>
      </c>
      <c r="U1890" s="8" t="n">
        <f aca="false">ROUND(P1890*Assumptions!$B$2+Q1890*Assumptions!$B$3+R1890*Assumptions!$B$4+S1890*Assumptions!$B$5+T1890*Assumptions!$B$6,0)</f>
        <v>88</v>
      </c>
      <c r="V1890" s="8" t="str">
        <f aca="false">IF(U1890&gt;=Assumptions!$B$10,"Healthy",IF(U1890&gt;=Assumptions!$B$11,"Needs Attention","High Risk"))</f>
        <v>Healthy</v>
      </c>
    </row>
    <row r="1891" customFormat="false" ht="15" hidden="false" customHeight="false" outlineLevel="0" collapsed="false">
      <c r="A1891" s="8" t="s">
        <v>3924</v>
      </c>
      <c r="B1891" s="8" t="s">
        <v>3925</v>
      </c>
      <c r="C1891" s="8" t="s">
        <v>51</v>
      </c>
      <c r="D1891" s="8" t="s">
        <v>2027</v>
      </c>
      <c r="E1891" s="8" t="s">
        <v>132</v>
      </c>
      <c r="F1891" s="8" t="s">
        <v>151</v>
      </c>
      <c r="G1891" s="8" t="s">
        <v>147</v>
      </c>
      <c r="H1891" s="15" t="n">
        <v>156</v>
      </c>
      <c r="I1891" s="15" t="n">
        <v>156</v>
      </c>
      <c r="J1891" s="16" t="n">
        <v>1</v>
      </c>
      <c r="K1891" s="8" t="n">
        <v>11.3</v>
      </c>
      <c r="L1891" s="8" t="n">
        <v>10</v>
      </c>
      <c r="M1891" s="8" t="n">
        <v>3</v>
      </c>
      <c r="N1891" s="8" t="s">
        <v>120</v>
      </c>
      <c r="O1891" s="15" t="n">
        <f aca="false">H1891*12</f>
        <v>1872</v>
      </c>
      <c r="P1891" s="8" t="n">
        <f aca="false">MIN(100,ROUND(100*J1891/Assumptions!$B$8,0))</f>
        <v>100</v>
      </c>
      <c r="Q1891" s="8" t="n">
        <f aca="false">IF(L1891="",Assumptions!$B$9,L1891*10)</f>
        <v>100</v>
      </c>
      <c r="R1891" s="8" t="n">
        <f aca="false">IF(M1891&lt;=1,Assumptions!$B$12,IF(M1891&lt;=3,Assumptions!$B$13,IF(M1891&lt;=6,Assumptions!$B$14,Assumptions!$B$15)))</f>
        <v>75</v>
      </c>
      <c r="S1891" s="8" t="n">
        <f aca="false">IF(N1891="Completed On Time",Assumptions!$B$16,IF(N1891="Completed Late",Assumptions!$B$17,Assumptions!$B$18))</f>
        <v>100</v>
      </c>
      <c r="T1891" s="8" t="n">
        <f aca="false">IF(I1891=0,Assumptions!$B$20,IF(H1891&gt;I1891,Assumptions!$B$19,IF(H1891=I1891,Assumptions!$B$20,Assumptions!$B$21)))</f>
        <v>70</v>
      </c>
      <c r="U1891" s="8" t="n">
        <f aca="false">ROUND(P1891*Assumptions!$B$2+Q1891*Assumptions!$B$3+R1891*Assumptions!$B$4+S1891*Assumptions!$B$5+T1891*Assumptions!$B$6,0)</f>
        <v>90</v>
      </c>
      <c r="V1891" s="8" t="str">
        <f aca="false">IF(U1891&gt;=Assumptions!$B$10,"Healthy",IF(U1891&gt;=Assumptions!$B$11,"Needs Attention","High Risk"))</f>
        <v>Healthy</v>
      </c>
    </row>
    <row r="1892" customFormat="false" ht="15" hidden="false" customHeight="false" outlineLevel="0" collapsed="false">
      <c r="A1892" s="8" t="s">
        <v>3926</v>
      </c>
      <c r="B1892" s="8" t="s">
        <v>3927</v>
      </c>
      <c r="C1892" s="8" t="s">
        <v>51</v>
      </c>
      <c r="D1892" s="8" t="s">
        <v>2027</v>
      </c>
      <c r="E1892" s="8" t="s">
        <v>132</v>
      </c>
      <c r="F1892" s="8" t="s">
        <v>143</v>
      </c>
      <c r="G1892" s="8" t="s">
        <v>129</v>
      </c>
      <c r="H1892" s="15" t="n">
        <v>156</v>
      </c>
      <c r="I1892" s="15" t="n">
        <v>156</v>
      </c>
      <c r="J1892" s="16" t="n">
        <v>0.667</v>
      </c>
      <c r="K1892" s="8" t="n">
        <v>7.7</v>
      </c>
      <c r="L1892" s="8" t="n">
        <v>10</v>
      </c>
      <c r="M1892" s="8" t="n">
        <v>7</v>
      </c>
      <c r="N1892" s="8" t="s">
        <v>120</v>
      </c>
      <c r="O1892" s="15" t="n">
        <f aca="false">H1892*12</f>
        <v>1872</v>
      </c>
      <c r="P1892" s="8" t="n">
        <f aca="false">MIN(100,ROUND(100*J1892/Assumptions!$B$8,0))</f>
        <v>74</v>
      </c>
      <c r="Q1892" s="8" t="n">
        <f aca="false">IF(L1892="",Assumptions!$B$9,L1892*10)</f>
        <v>100</v>
      </c>
      <c r="R1892" s="8" t="n">
        <f aca="false">IF(M1892&lt;=1,Assumptions!$B$12,IF(M1892&lt;=3,Assumptions!$B$13,IF(M1892&lt;=6,Assumptions!$B$14,Assumptions!$B$15)))</f>
        <v>20</v>
      </c>
      <c r="S1892" s="8" t="n">
        <f aca="false">IF(N1892="Completed On Time",Assumptions!$B$16,IF(N1892="Completed Late",Assumptions!$B$17,Assumptions!$B$18))</f>
        <v>100</v>
      </c>
      <c r="T1892" s="8" t="n">
        <f aca="false">IF(I1892=0,Assumptions!$B$20,IF(H1892&gt;I1892,Assumptions!$B$19,IF(H1892=I1892,Assumptions!$B$20,Assumptions!$B$21)))</f>
        <v>70</v>
      </c>
      <c r="U1892" s="8" t="n">
        <f aca="false">ROUND(P1892*Assumptions!$B$2+Q1892*Assumptions!$B$3+R1892*Assumptions!$B$4+S1892*Assumptions!$B$5+T1892*Assumptions!$B$6,0)</f>
        <v>73</v>
      </c>
      <c r="V1892" s="8" t="str">
        <f aca="false">IF(U1892&gt;=Assumptions!$B$10,"Healthy",IF(U1892&gt;=Assumptions!$B$11,"Needs Attention","High Risk"))</f>
        <v>Needs Attention</v>
      </c>
    </row>
    <row r="1893" customFormat="false" ht="15" hidden="false" customHeight="false" outlineLevel="0" collapsed="false">
      <c r="A1893" s="8" t="s">
        <v>3928</v>
      </c>
      <c r="B1893" s="8" t="s">
        <v>3929</v>
      </c>
      <c r="C1893" s="8" t="s">
        <v>51</v>
      </c>
      <c r="D1893" s="8" t="s">
        <v>2027</v>
      </c>
      <c r="E1893" s="8" t="s">
        <v>117</v>
      </c>
      <c r="F1893" s="8" t="s">
        <v>118</v>
      </c>
      <c r="G1893" s="8" t="s">
        <v>159</v>
      </c>
      <c r="H1893" s="15" t="n">
        <v>156</v>
      </c>
      <c r="I1893" s="15" t="n">
        <v>156</v>
      </c>
      <c r="J1893" s="16" t="n">
        <v>0.692</v>
      </c>
      <c r="K1893" s="8" t="n">
        <v>7.3</v>
      </c>
      <c r="L1893" s="8" t="n">
        <v>10</v>
      </c>
      <c r="M1893" s="8" t="n">
        <v>5</v>
      </c>
      <c r="N1893" s="8" t="s">
        <v>120</v>
      </c>
      <c r="O1893" s="15" t="n">
        <f aca="false">H1893*12</f>
        <v>1872</v>
      </c>
      <c r="P1893" s="8" t="n">
        <f aca="false">MIN(100,ROUND(100*J1893/Assumptions!$B$8,0))</f>
        <v>77</v>
      </c>
      <c r="Q1893" s="8" t="n">
        <f aca="false">IF(L1893="",Assumptions!$B$9,L1893*10)</f>
        <v>100</v>
      </c>
      <c r="R1893" s="8" t="n">
        <f aca="false">IF(M1893&lt;=1,Assumptions!$B$12,IF(M1893&lt;=3,Assumptions!$B$13,IF(M1893&lt;=6,Assumptions!$B$14,Assumptions!$B$15)))</f>
        <v>50</v>
      </c>
      <c r="S1893" s="8" t="n">
        <f aca="false">IF(N1893="Completed On Time",Assumptions!$B$16,IF(N1893="Completed Late",Assumptions!$B$17,Assumptions!$B$18))</f>
        <v>100</v>
      </c>
      <c r="T1893" s="8" t="n">
        <f aca="false">IF(I1893=0,Assumptions!$B$20,IF(H1893&gt;I1893,Assumptions!$B$19,IF(H1893=I1893,Assumptions!$B$20,Assumptions!$B$21)))</f>
        <v>70</v>
      </c>
      <c r="U1893" s="8" t="n">
        <f aca="false">ROUND(P1893*Assumptions!$B$2+Q1893*Assumptions!$B$3+R1893*Assumptions!$B$4+S1893*Assumptions!$B$5+T1893*Assumptions!$B$6,0)</f>
        <v>78</v>
      </c>
      <c r="V1893" s="8" t="str">
        <f aca="false">IF(U1893&gt;=Assumptions!$B$10,"Healthy",IF(U1893&gt;=Assumptions!$B$11,"Needs Attention","High Risk"))</f>
        <v>Needs Attention</v>
      </c>
    </row>
    <row r="1894" customFormat="false" ht="15" hidden="false" customHeight="false" outlineLevel="0" collapsed="false">
      <c r="A1894" s="8" t="s">
        <v>3930</v>
      </c>
      <c r="B1894" s="8" t="s">
        <v>3931</v>
      </c>
      <c r="C1894" s="8" t="s">
        <v>51</v>
      </c>
      <c r="D1894" s="8" t="s">
        <v>2027</v>
      </c>
      <c r="E1894" s="8" t="s">
        <v>123</v>
      </c>
      <c r="F1894" s="8" t="s">
        <v>136</v>
      </c>
      <c r="G1894" s="8" t="s">
        <v>159</v>
      </c>
      <c r="H1894" s="15" t="n">
        <v>156</v>
      </c>
      <c r="I1894" s="15" t="n">
        <v>156</v>
      </c>
      <c r="J1894" s="16" t="n">
        <v>0.718</v>
      </c>
      <c r="K1894" s="8" t="n">
        <v>8.3</v>
      </c>
      <c r="L1894" s="8" t="n">
        <v>8</v>
      </c>
      <c r="M1894" s="8" t="n">
        <v>3</v>
      </c>
      <c r="N1894" s="8" t="s">
        <v>120</v>
      </c>
      <c r="O1894" s="15" t="n">
        <f aca="false">H1894*12</f>
        <v>1872</v>
      </c>
      <c r="P1894" s="8" t="n">
        <f aca="false">MIN(100,ROUND(100*J1894/Assumptions!$B$8,0))</f>
        <v>80</v>
      </c>
      <c r="Q1894" s="8" t="n">
        <f aca="false">IF(L1894="",Assumptions!$B$9,L1894*10)</f>
        <v>80</v>
      </c>
      <c r="R1894" s="8" t="n">
        <f aca="false">IF(M1894&lt;=1,Assumptions!$B$12,IF(M1894&lt;=3,Assumptions!$B$13,IF(M1894&lt;=6,Assumptions!$B$14,Assumptions!$B$15)))</f>
        <v>75</v>
      </c>
      <c r="S1894" s="8" t="n">
        <f aca="false">IF(N1894="Completed On Time",Assumptions!$B$16,IF(N1894="Completed Late",Assumptions!$B$17,Assumptions!$B$18))</f>
        <v>100</v>
      </c>
      <c r="T1894" s="8" t="n">
        <f aca="false">IF(I1894=0,Assumptions!$B$20,IF(H1894&gt;I1894,Assumptions!$B$19,IF(H1894=I1894,Assumptions!$B$20,Assumptions!$B$21)))</f>
        <v>70</v>
      </c>
      <c r="U1894" s="8" t="n">
        <f aca="false">ROUND(P1894*Assumptions!$B$2+Q1894*Assumptions!$B$3+R1894*Assumptions!$B$4+S1894*Assumptions!$B$5+T1894*Assumptions!$B$6,0)</f>
        <v>79</v>
      </c>
      <c r="V1894" s="8" t="str">
        <f aca="false">IF(U1894&gt;=Assumptions!$B$10,"Healthy",IF(U1894&gt;=Assumptions!$B$11,"Needs Attention","High Risk"))</f>
        <v>Needs Attention</v>
      </c>
    </row>
    <row r="1895" customFormat="false" ht="15" hidden="false" customHeight="false" outlineLevel="0" collapsed="false">
      <c r="A1895" s="8" t="s">
        <v>3932</v>
      </c>
      <c r="B1895" s="8" t="s">
        <v>3933</v>
      </c>
      <c r="C1895" s="8" t="s">
        <v>51</v>
      </c>
      <c r="D1895" s="8" t="s">
        <v>2027</v>
      </c>
      <c r="E1895" s="8" t="s">
        <v>117</v>
      </c>
      <c r="F1895" s="8" t="s">
        <v>190</v>
      </c>
      <c r="G1895" s="8" t="s">
        <v>204</v>
      </c>
      <c r="H1895" s="15" t="n">
        <v>156</v>
      </c>
      <c r="I1895" s="15" t="n">
        <v>132</v>
      </c>
      <c r="J1895" s="16" t="n">
        <v>0.943</v>
      </c>
      <c r="K1895" s="8" t="n">
        <v>10</v>
      </c>
      <c r="L1895" s="8" t="n">
        <v>10</v>
      </c>
      <c r="M1895" s="8" t="n">
        <v>2</v>
      </c>
      <c r="N1895" s="8" t="s">
        <v>120</v>
      </c>
      <c r="O1895" s="15" t="n">
        <f aca="false">H1895*12</f>
        <v>1872</v>
      </c>
      <c r="P1895" s="8" t="n">
        <f aca="false">MIN(100,ROUND(100*J1895/Assumptions!$B$8,0))</f>
        <v>100</v>
      </c>
      <c r="Q1895" s="8" t="n">
        <f aca="false">IF(L1895="",Assumptions!$B$9,L1895*10)</f>
        <v>100</v>
      </c>
      <c r="R1895" s="8" t="n">
        <f aca="false">IF(M1895&lt;=1,Assumptions!$B$12,IF(M1895&lt;=3,Assumptions!$B$13,IF(M1895&lt;=6,Assumptions!$B$14,Assumptions!$B$15)))</f>
        <v>75</v>
      </c>
      <c r="S1895" s="8" t="n">
        <f aca="false">IF(N1895="Completed On Time",Assumptions!$B$16,IF(N1895="Completed Late",Assumptions!$B$17,Assumptions!$B$18))</f>
        <v>100</v>
      </c>
      <c r="T1895" s="8" t="n">
        <f aca="false">IF(I1895=0,Assumptions!$B$20,IF(H1895&gt;I1895,Assumptions!$B$19,IF(H1895=I1895,Assumptions!$B$20,Assumptions!$B$21)))</f>
        <v>100</v>
      </c>
      <c r="U1895" s="8" t="n">
        <f aca="false">ROUND(P1895*Assumptions!$B$2+Q1895*Assumptions!$B$3+R1895*Assumptions!$B$4+S1895*Assumptions!$B$5+T1895*Assumptions!$B$6,0)</f>
        <v>96</v>
      </c>
      <c r="V1895" s="8" t="str">
        <f aca="false">IF(U1895&gt;=Assumptions!$B$10,"Healthy",IF(U1895&gt;=Assumptions!$B$11,"Needs Attention","High Risk"))</f>
        <v>Healthy</v>
      </c>
    </row>
    <row r="1896" customFormat="false" ht="15" hidden="false" customHeight="false" outlineLevel="0" collapsed="false">
      <c r="A1896" s="8" t="s">
        <v>3934</v>
      </c>
      <c r="B1896" s="8" t="s">
        <v>3935</v>
      </c>
      <c r="C1896" s="8" t="s">
        <v>51</v>
      </c>
      <c r="D1896" s="8" t="s">
        <v>2027</v>
      </c>
      <c r="E1896" s="8" t="s">
        <v>117</v>
      </c>
      <c r="F1896" s="8" t="s">
        <v>143</v>
      </c>
      <c r="G1896" s="8" t="s">
        <v>159</v>
      </c>
      <c r="H1896" s="15" t="n">
        <v>156</v>
      </c>
      <c r="I1896" s="15" t="n">
        <v>156</v>
      </c>
      <c r="J1896" s="16" t="n">
        <v>0.615</v>
      </c>
      <c r="K1896" s="8" t="n">
        <v>6.3</v>
      </c>
      <c r="L1896" s="8" t="n">
        <v>7</v>
      </c>
      <c r="M1896" s="8" t="n">
        <v>3</v>
      </c>
      <c r="N1896" s="8" t="s">
        <v>120</v>
      </c>
      <c r="O1896" s="15" t="n">
        <f aca="false">H1896*12</f>
        <v>1872</v>
      </c>
      <c r="P1896" s="8" t="n">
        <f aca="false">MIN(100,ROUND(100*J1896/Assumptions!$B$8,0))</f>
        <v>68</v>
      </c>
      <c r="Q1896" s="8" t="n">
        <f aca="false">IF(L1896="",Assumptions!$B$9,L1896*10)</f>
        <v>70</v>
      </c>
      <c r="R1896" s="8" t="n">
        <f aca="false">IF(M1896&lt;=1,Assumptions!$B$12,IF(M1896&lt;=3,Assumptions!$B$13,IF(M1896&lt;=6,Assumptions!$B$14,Assumptions!$B$15)))</f>
        <v>75</v>
      </c>
      <c r="S1896" s="8" t="n">
        <f aca="false">IF(N1896="Completed On Time",Assumptions!$B$16,IF(N1896="Completed Late",Assumptions!$B$17,Assumptions!$B$18))</f>
        <v>100</v>
      </c>
      <c r="T1896" s="8" t="n">
        <f aca="false">IF(I1896=0,Assumptions!$B$20,IF(H1896&gt;I1896,Assumptions!$B$19,IF(H1896=I1896,Assumptions!$B$20,Assumptions!$B$21)))</f>
        <v>70</v>
      </c>
      <c r="U1896" s="8" t="n">
        <f aca="false">ROUND(P1896*Assumptions!$B$2+Q1896*Assumptions!$B$3+R1896*Assumptions!$B$4+S1896*Assumptions!$B$5+T1896*Assumptions!$B$6,0)</f>
        <v>73</v>
      </c>
      <c r="V1896" s="8" t="str">
        <f aca="false">IF(U1896&gt;=Assumptions!$B$10,"Healthy",IF(U1896&gt;=Assumptions!$B$11,"Needs Attention","High Risk"))</f>
        <v>Needs Attention</v>
      </c>
    </row>
    <row r="1897" customFormat="false" ht="15" hidden="false" customHeight="false" outlineLevel="0" collapsed="false">
      <c r="A1897" s="8" t="s">
        <v>3936</v>
      </c>
      <c r="B1897" s="8" t="s">
        <v>3937</v>
      </c>
      <c r="C1897" s="8" t="s">
        <v>51</v>
      </c>
      <c r="D1897" s="8" t="s">
        <v>2027</v>
      </c>
      <c r="E1897" s="8" t="s">
        <v>132</v>
      </c>
      <c r="F1897" s="8" t="s">
        <v>118</v>
      </c>
      <c r="G1897" s="8" t="s">
        <v>147</v>
      </c>
      <c r="H1897" s="15" t="n">
        <v>156</v>
      </c>
      <c r="I1897" s="15" t="n">
        <v>156</v>
      </c>
      <c r="J1897" s="16" t="n">
        <v>0.718</v>
      </c>
      <c r="K1897" s="8" t="n">
        <v>8</v>
      </c>
      <c r="L1897" s="8" t="n">
        <v>9</v>
      </c>
      <c r="M1897" s="8" t="n">
        <v>4</v>
      </c>
      <c r="N1897" s="8" t="s">
        <v>120</v>
      </c>
      <c r="O1897" s="15" t="n">
        <f aca="false">H1897*12</f>
        <v>1872</v>
      </c>
      <c r="P1897" s="8" t="n">
        <f aca="false">MIN(100,ROUND(100*J1897/Assumptions!$B$8,0))</f>
        <v>80</v>
      </c>
      <c r="Q1897" s="8" t="n">
        <f aca="false">IF(L1897="",Assumptions!$B$9,L1897*10)</f>
        <v>90</v>
      </c>
      <c r="R1897" s="8" t="n">
        <f aca="false">IF(M1897&lt;=1,Assumptions!$B$12,IF(M1897&lt;=3,Assumptions!$B$13,IF(M1897&lt;=6,Assumptions!$B$14,Assumptions!$B$15)))</f>
        <v>50</v>
      </c>
      <c r="S1897" s="8" t="n">
        <f aca="false">IF(N1897="Completed On Time",Assumptions!$B$16,IF(N1897="Completed Late",Assumptions!$B$17,Assumptions!$B$18))</f>
        <v>100</v>
      </c>
      <c r="T1897" s="8" t="n">
        <f aca="false">IF(I1897=0,Assumptions!$B$20,IF(H1897&gt;I1897,Assumptions!$B$19,IF(H1897=I1897,Assumptions!$B$20,Assumptions!$B$21)))</f>
        <v>70</v>
      </c>
      <c r="U1897" s="8" t="n">
        <f aca="false">ROUND(P1897*Assumptions!$B$2+Q1897*Assumptions!$B$3+R1897*Assumptions!$B$4+S1897*Assumptions!$B$5+T1897*Assumptions!$B$6,0)</f>
        <v>78</v>
      </c>
      <c r="V1897" s="8" t="str">
        <f aca="false">IF(U1897&gt;=Assumptions!$B$10,"Healthy",IF(U1897&gt;=Assumptions!$B$11,"Needs Attention","High Risk"))</f>
        <v>Needs Attention</v>
      </c>
    </row>
    <row r="1898" customFormat="false" ht="15" hidden="false" customHeight="false" outlineLevel="0" collapsed="false">
      <c r="A1898" s="8" t="s">
        <v>3938</v>
      </c>
      <c r="B1898" s="8" t="s">
        <v>3939</v>
      </c>
      <c r="C1898" s="8" t="s">
        <v>51</v>
      </c>
      <c r="D1898" s="8" t="s">
        <v>2027</v>
      </c>
      <c r="E1898" s="8" t="s">
        <v>132</v>
      </c>
      <c r="F1898" s="8" t="s">
        <v>154</v>
      </c>
      <c r="G1898" s="8" t="s">
        <v>119</v>
      </c>
      <c r="H1898" s="15" t="n">
        <v>156</v>
      </c>
      <c r="I1898" s="15" t="n">
        <v>156</v>
      </c>
      <c r="J1898" s="16" t="n">
        <v>0.667</v>
      </c>
      <c r="K1898" s="8" t="n">
        <v>8.3</v>
      </c>
      <c r="L1898" s="8" t="n">
        <v>10</v>
      </c>
      <c r="M1898" s="8" t="n">
        <v>4</v>
      </c>
      <c r="N1898" s="8" t="s">
        <v>120</v>
      </c>
      <c r="O1898" s="15" t="n">
        <f aca="false">H1898*12</f>
        <v>1872</v>
      </c>
      <c r="P1898" s="8" t="n">
        <f aca="false">MIN(100,ROUND(100*J1898/Assumptions!$B$8,0))</f>
        <v>74</v>
      </c>
      <c r="Q1898" s="8" t="n">
        <f aca="false">IF(L1898="",Assumptions!$B$9,L1898*10)</f>
        <v>100</v>
      </c>
      <c r="R1898" s="8" t="n">
        <f aca="false">IF(M1898&lt;=1,Assumptions!$B$12,IF(M1898&lt;=3,Assumptions!$B$13,IF(M1898&lt;=6,Assumptions!$B$14,Assumptions!$B$15)))</f>
        <v>50</v>
      </c>
      <c r="S1898" s="8" t="n">
        <f aca="false">IF(N1898="Completed On Time",Assumptions!$B$16,IF(N1898="Completed Late",Assumptions!$B$17,Assumptions!$B$18))</f>
        <v>100</v>
      </c>
      <c r="T1898" s="8" t="n">
        <f aca="false">IF(I1898=0,Assumptions!$B$20,IF(H1898&gt;I1898,Assumptions!$B$19,IF(H1898=I1898,Assumptions!$B$20,Assumptions!$B$21)))</f>
        <v>70</v>
      </c>
      <c r="U1898" s="8" t="n">
        <f aca="false">ROUND(P1898*Assumptions!$B$2+Q1898*Assumptions!$B$3+R1898*Assumptions!$B$4+S1898*Assumptions!$B$5+T1898*Assumptions!$B$6,0)</f>
        <v>77</v>
      </c>
      <c r="V1898" s="8" t="str">
        <f aca="false">IF(U1898&gt;=Assumptions!$B$10,"Healthy",IF(U1898&gt;=Assumptions!$B$11,"Needs Attention","High Risk"))</f>
        <v>Needs Attention</v>
      </c>
    </row>
    <row r="1899" customFormat="false" ht="15" hidden="false" customHeight="false" outlineLevel="0" collapsed="false">
      <c r="A1899" s="8" t="s">
        <v>3940</v>
      </c>
      <c r="B1899" s="8" t="s">
        <v>3941</v>
      </c>
      <c r="C1899" s="8" t="s">
        <v>51</v>
      </c>
      <c r="D1899" s="8" t="s">
        <v>2027</v>
      </c>
      <c r="E1899" s="8" t="s">
        <v>128</v>
      </c>
      <c r="F1899" s="8" t="s">
        <v>223</v>
      </c>
      <c r="G1899" s="8" t="s">
        <v>177</v>
      </c>
      <c r="H1899" s="15" t="n">
        <v>156</v>
      </c>
      <c r="I1899" s="15" t="n">
        <v>156</v>
      </c>
      <c r="J1899" s="16" t="n">
        <v>0.718</v>
      </c>
      <c r="K1899" s="8" t="n">
        <v>10.3</v>
      </c>
      <c r="L1899" s="8" t="n">
        <v>6</v>
      </c>
      <c r="M1899" s="8" t="n">
        <v>2</v>
      </c>
      <c r="N1899" s="8" t="s">
        <v>120</v>
      </c>
      <c r="O1899" s="15" t="n">
        <f aca="false">H1899*12</f>
        <v>1872</v>
      </c>
      <c r="P1899" s="8" t="n">
        <f aca="false">MIN(100,ROUND(100*J1899/Assumptions!$B$8,0))</f>
        <v>80</v>
      </c>
      <c r="Q1899" s="8" t="n">
        <f aca="false">IF(L1899="",Assumptions!$B$9,L1899*10)</f>
        <v>60</v>
      </c>
      <c r="R1899" s="8" t="n">
        <f aca="false">IF(M1899&lt;=1,Assumptions!$B$12,IF(M1899&lt;=3,Assumptions!$B$13,IF(M1899&lt;=6,Assumptions!$B$14,Assumptions!$B$15)))</f>
        <v>75</v>
      </c>
      <c r="S1899" s="8" t="n">
        <f aca="false">IF(N1899="Completed On Time",Assumptions!$B$16,IF(N1899="Completed Late",Assumptions!$B$17,Assumptions!$B$18))</f>
        <v>100</v>
      </c>
      <c r="T1899" s="8" t="n">
        <f aca="false">IF(I1899=0,Assumptions!$B$20,IF(H1899&gt;I1899,Assumptions!$B$19,IF(H1899=I1899,Assumptions!$B$20,Assumptions!$B$21)))</f>
        <v>70</v>
      </c>
      <c r="U1899" s="8" t="n">
        <f aca="false">ROUND(P1899*Assumptions!$B$2+Q1899*Assumptions!$B$3+R1899*Assumptions!$B$4+S1899*Assumptions!$B$5+T1899*Assumptions!$B$6,0)</f>
        <v>75</v>
      </c>
      <c r="V1899" s="8" t="str">
        <f aca="false">IF(U1899&gt;=Assumptions!$B$10,"Healthy",IF(U1899&gt;=Assumptions!$B$11,"Needs Attention","High Risk"))</f>
        <v>Needs Attention</v>
      </c>
    </row>
    <row r="1900" customFormat="false" ht="15" hidden="false" customHeight="false" outlineLevel="0" collapsed="false">
      <c r="A1900" s="8" t="s">
        <v>3942</v>
      </c>
      <c r="B1900" s="8" t="s">
        <v>3943</v>
      </c>
      <c r="C1900" s="8" t="s">
        <v>51</v>
      </c>
      <c r="D1900" s="8" t="s">
        <v>2027</v>
      </c>
      <c r="E1900" s="8" t="s">
        <v>117</v>
      </c>
      <c r="F1900" s="8" t="s">
        <v>223</v>
      </c>
      <c r="G1900" s="8" t="s">
        <v>125</v>
      </c>
      <c r="H1900" s="15" t="n">
        <v>156</v>
      </c>
      <c r="I1900" s="15" t="n">
        <v>156</v>
      </c>
      <c r="J1900" s="16" t="n">
        <v>0.667</v>
      </c>
      <c r="K1900" s="8" t="n">
        <v>9.3</v>
      </c>
      <c r="L1900" s="8" t="n">
        <v>9</v>
      </c>
      <c r="M1900" s="8" t="n">
        <v>1</v>
      </c>
      <c r="N1900" s="8" t="s">
        <v>120</v>
      </c>
      <c r="O1900" s="15" t="n">
        <f aca="false">H1900*12</f>
        <v>1872</v>
      </c>
      <c r="P1900" s="8" t="n">
        <f aca="false">MIN(100,ROUND(100*J1900/Assumptions!$B$8,0))</f>
        <v>74</v>
      </c>
      <c r="Q1900" s="8" t="n">
        <f aca="false">IF(L1900="",Assumptions!$B$9,L1900*10)</f>
        <v>90</v>
      </c>
      <c r="R1900" s="8" t="n">
        <f aca="false">IF(M1900&lt;=1,Assumptions!$B$12,IF(M1900&lt;=3,Assumptions!$B$13,IF(M1900&lt;=6,Assumptions!$B$14,Assumptions!$B$15)))</f>
        <v>100</v>
      </c>
      <c r="S1900" s="8" t="n">
        <f aca="false">IF(N1900="Completed On Time",Assumptions!$B$16,IF(N1900="Completed Late",Assumptions!$B$17,Assumptions!$B$18))</f>
        <v>100</v>
      </c>
      <c r="T1900" s="8" t="n">
        <f aca="false">IF(I1900=0,Assumptions!$B$20,IF(H1900&gt;I1900,Assumptions!$B$19,IF(H1900=I1900,Assumptions!$B$20,Assumptions!$B$21)))</f>
        <v>70</v>
      </c>
      <c r="U1900" s="8" t="n">
        <f aca="false">ROUND(P1900*Assumptions!$B$2+Q1900*Assumptions!$B$3+R1900*Assumptions!$B$4+S1900*Assumptions!$B$5+T1900*Assumptions!$B$6,0)</f>
        <v>83</v>
      </c>
      <c r="V1900" s="8" t="str">
        <f aca="false">IF(U1900&gt;=Assumptions!$B$10,"Healthy",IF(U1900&gt;=Assumptions!$B$11,"Needs Attention","High Risk"))</f>
        <v>Healthy</v>
      </c>
    </row>
    <row r="1901" customFormat="false" ht="15" hidden="false" customHeight="false" outlineLevel="0" collapsed="false">
      <c r="A1901" s="8" t="s">
        <v>3944</v>
      </c>
      <c r="B1901" s="8" t="s">
        <v>3945</v>
      </c>
      <c r="C1901" s="8" t="s">
        <v>51</v>
      </c>
      <c r="D1901" s="8" t="s">
        <v>2027</v>
      </c>
      <c r="E1901" s="8" t="s">
        <v>132</v>
      </c>
      <c r="F1901" s="8" t="s">
        <v>151</v>
      </c>
      <c r="G1901" s="8" t="s">
        <v>129</v>
      </c>
      <c r="H1901" s="15" t="n">
        <v>156</v>
      </c>
      <c r="I1901" s="15" t="n">
        <v>156</v>
      </c>
      <c r="J1901" s="16" t="n">
        <v>0.667</v>
      </c>
      <c r="K1901" s="8" t="n">
        <v>7</v>
      </c>
      <c r="L1901" s="8" t="n">
        <v>6</v>
      </c>
      <c r="M1901" s="8" t="n">
        <v>3</v>
      </c>
      <c r="N1901" s="8" t="s">
        <v>120</v>
      </c>
      <c r="O1901" s="15" t="n">
        <f aca="false">H1901*12</f>
        <v>1872</v>
      </c>
      <c r="P1901" s="8" t="n">
        <f aca="false">MIN(100,ROUND(100*J1901/Assumptions!$B$8,0))</f>
        <v>74</v>
      </c>
      <c r="Q1901" s="8" t="n">
        <f aca="false">IF(L1901="",Assumptions!$B$9,L1901*10)</f>
        <v>60</v>
      </c>
      <c r="R1901" s="8" t="n">
        <f aca="false">IF(M1901&lt;=1,Assumptions!$B$12,IF(M1901&lt;=3,Assumptions!$B$13,IF(M1901&lt;=6,Assumptions!$B$14,Assumptions!$B$15)))</f>
        <v>75</v>
      </c>
      <c r="S1901" s="8" t="n">
        <f aca="false">IF(N1901="Completed On Time",Assumptions!$B$16,IF(N1901="Completed Late",Assumptions!$B$17,Assumptions!$B$18))</f>
        <v>100</v>
      </c>
      <c r="T1901" s="8" t="n">
        <f aca="false">IF(I1901=0,Assumptions!$B$20,IF(H1901&gt;I1901,Assumptions!$B$19,IF(H1901=I1901,Assumptions!$B$20,Assumptions!$B$21)))</f>
        <v>70</v>
      </c>
      <c r="U1901" s="8" t="n">
        <f aca="false">ROUND(P1901*Assumptions!$B$2+Q1901*Assumptions!$B$3+R1901*Assumptions!$B$4+S1901*Assumptions!$B$5+T1901*Assumptions!$B$6,0)</f>
        <v>73</v>
      </c>
      <c r="V1901" s="8" t="str">
        <f aca="false">IF(U1901&gt;=Assumptions!$B$10,"Healthy",IF(U1901&gt;=Assumptions!$B$11,"Needs Attention","High Risk"))</f>
        <v>Needs Attention</v>
      </c>
    </row>
    <row r="1902" customFormat="false" ht="15" hidden="false" customHeight="false" outlineLevel="0" collapsed="false">
      <c r="A1902" s="8" t="s">
        <v>3946</v>
      </c>
      <c r="B1902" s="8" t="s">
        <v>3947</v>
      </c>
      <c r="C1902" s="8" t="s">
        <v>51</v>
      </c>
      <c r="D1902" s="8" t="s">
        <v>2027</v>
      </c>
      <c r="E1902" s="8" t="s">
        <v>123</v>
      </c>
      <c r="F1902" s="8" t="s">
        <v>143</v>
      </c>
      <c r="G1902" s="8" t="s">
        <v>137</v>
      </c>
      <c r="H1902" s="15" t="n">
        <v>156</v>
      </c>
      <c r="I1902" s="15" t="n">
        <v>156</v>
      </c>
      <c r="J1902" s="16" t="n">
        <v>0.615</v>
      </c>
      <c r="K1902" s="8" t="n">
        <v>8.7</v>
      </c>
      <c r="L1902" s="8" t="n">
        <v>7</v>
      </c>
      <c r="M1902" s="8" t="n">
        <v>3</v>
      </c>
      <c r="N1902" s="8" t="s">
        <v>120</v>
      </c>
      <c r="O1902" s="15" t="n">
        <f aca="false">H1902*12</f>
        <v>1872</v>
      </c>
      <c r="P1902" s="8" t="n">
        <f aca="false">MIN(100,ROUND(100*J1902/Assumptions!$B$8,0))</f>
        <v>68</v>
      </c>
      <c r="Q1902" s="8" t="n">
        <f aca="false">IF(L1902="",Assumptions!$B$9,L1902*10)</f>
        <v>70</v>
      </c>
      <c r="R1902" s="8" t="n">
        <f aca="false">IF(M1902&lt;=1,Assumptions!$B$12,IF(M1902&lt;=3,Assumptions!$B$13,IF(M1902&lt;=6,Assumptions!$B$14,Assumptions!$B$15)))</f>
        <v>75</v>
      </c>
      <c r="S1902" s="8" t="n">
        <f aca="false">IF(N1902="Completed On Time",Assumptions!$B$16,IF(N1902="Completed Late",Assumptions!$B$17,Assumptions!$B$18))</f>
        <v>100</v>
      </c>
      <c r="T1902" s="8" t="n">
        <f aca="false">IF(I1902=0,Assumptions!$B$20,IF(H1902&gt;I1902,Assumptions!$B$19,IF(H1902=I1902,Assumptions!$B$20,Assumptions!$B$21)))</f>
        <v>70</v>
      </c>
      <c r="U1902" s="8" t="n">
        <f aca="false">ROUND(P1902*Assumptions!$B$2+Q1902*Assumptions!$B$3+R1902*Assumptions!$B$4+S1902*Assumptions!$B$5+T1902*Assumptions!$B$6,0)</f>
        <v>73</v>
      </c>
      <c r="V1902" s="8" t="str">
        <f aca="false">IF(U1902&gt;=Assumptions!$B$10,"Healthy",IF(U1902&gt;=Assumptions!$B$11,"Needs Attention","High Risk"))</f>
        <v>Needs Attention</v>
      </c>
    </row>
    <row r="1903" customFormat="false" ht="15" hidden="false" customHeight="false" outlineLevel="0" collapsed="false">
      <c r="A1903" s="8" t="s">
        <v>3948</v>
      </c>
      <c r="B1903" s="8" t="s">
        <v>3949</v>
      </c>
      <c r="C1903" s="8" t="s">
        <v>51</v>
      </c>
      <c r="D1903" s="8" t="s">
        <v>2027</v>
      </c>
      <c r="E1903" s="8" t="s">
        <v>117</v>
      </c>
      <c r="F1903" s="8" t="s">
        <v>136</v>
      </c>
      <c r="G1903" s="8" t="s">
        <v>125</v>
      </c>
      <c r="H1903" s="15" t="n">
        <v>156</v>
      </c>
      <c r="I1903" s="15" t="n">
        <v>156</v>
      </c>
      <c r="J1903" s="16" t="n">
        <v>0.769</v>
      </c>
      <c r="K1903" s="8" t="n">
        <v>9.3</v>
      </c>
      <c r="L1903" s="8" t="n">
        <v>9</v>
      </c>
      <c r="M1903" s="8" t="n">
        <v>5</v>
      </c>
      <c r="N1903" s="8" t="s">
        <v>120</v>
      </c>
      <c r="O1903" s="15" t="n">
        <f aca="false">H1903*12</f>
        <v>1872</v>
      </c>
      <c r="P1903" s="8" t="n">
        <f aca="false">MIN(100,ROUND(100*J1903/Assumptions!$B$8,0))</f>
        <v>85</v>
      </c>
      <c r="Q1903" s="8" t="n">
        <f aca="false">IF(L1903="",Assumptions!$B$9,L1903*10)</f>
        <v>90</v>
      </c>
      <c r="R1903" s="8" t="n">
        <f aca="false">IF(M1903&lt;=1,Assumptions!$B$12,IF(M1903&lt;=3,Assumptions!$B$13,IF(M1903&lt;=6,Assumptions!$B$14,Assumptions!$B$15)))</f>
        <v>50</v>
      </c>
      <c r="S1903" s="8" t="n">
        <f aca="false">IF(N1903="Completed On Time",Assumptions!$B$16,IF(N1903="Completed Late",Assumptions!$B$17,Assumptions!$B$18))</f>
        <v>100</v>
      </c>
      <c r="T1903" s="8" t="n">
        <f aca="false">IF(I1903=0,Assumptions!$B$20,IF(H1903&gt;I1903,Assumptions!$B$19,IF(H1903=I1903,Assumptions!$B$20,Assumptions!$B$21)))</f>
        <v>70</v>
      </c>
      <c r="U1903" s="8" t="n">
        <f aca="false">ROUND(P1903*Assumptions!$B$2+Q1903*Assumptions!$B$3+R1903*Assumptions!$B$4+S1903*Assumptions!$B$5+T1903*Assumptions!$B$6,0)</f>
        <v>79</v>
      </c>
      <c r="V1903" s="8" t="str">
        <f aca="false">IF(U1903&gt;=Assumptions!$B$10,"Healthy",IF(U1903&gt;=Assumptions!$B$11,"Needs Attention","High Risk"))</f>
        <v>Needs Attention</v>
      </c>
    </row>
    <row r="1904" customFormat="false" ht="15" hidden="false" customHeight="false" outlineLevel="0" collapsed="false">
      <c r="A1904" s="8" t="s">
        <v>3950</v>
      </c>
      <c r="B1904" s="8" t="s">
        <v>3951</v>
      </c>
      <c r="C1904" s="8" t="s">
        <v>51</v>
      </c>
      <c r="D1904" s="8" t="s">
        <v>2027</v>
      </c>
      <c r="E1904" s="8" t="s">
        <v>132</v>
      </c>
      <c r="F1904" s="8" t="s">
        <v>143</v>
      </c>
      <c r="G1904" s="8" t="s">
        <v>119</v>
      </c>
      <c r="H1904" s="15" t="n">
        <v>156</v>
      </c>
      <c r="I1904" s="15" t="n">
        <v>156</v>
      </c>
      <c r="J1904" s="16" t="n">
        <v>0.821</v>
      </c>
      <c r="K1904" s="8" t="n">
        <v>9.3</v>
      </c>
      <c r="L1904" s="8" t="n">
        <v>8</v>
      </c>
      <c r="M1904" s="8" t="n">
        <v>3</v>
      </c>
      <c r="N1904" s="8" t="s">
        <v>120</v>
      </c>
      <c r="O1904" s="15" t="n">
        <f aca="false">H1904*12</f>
        <v>1872</v>
      </c>
      <c r="P1904" s="8" t="n">
        <f aca="false">MIN(100,ROUND(100*J1904/Assumptions!$B$8,0))</f>
        <v>91</v>
      </c>
      <c r="Q1904" s="8" t="n">
        <f aca="false">IF(L1904="",Assumptions!$B$9,L1904*10)</f>
        <v>80</v>
      </c>
      <c r="R1904" s="8" t="n">
        <f aca="false">IF(M1904&lt;=1,Assumptions!$B$12,IF(M1904&lt;=3,Assumptions!$B$13,IF(M1904&lt;=6,Assumptions!$B$14,Assumptions!$B$15)))</f>
        <v>75</v>
      </c>
      <c r="S1904" s="8" t="n">
        <f aca="false">IF(N1904="Completed On Time",Assumptions!$B$16,IF(N1904="Completed Late",Assumptions!$B$17,Assumptions!$B$18))</f>
        <v>100</v>
      </c>
      <c r="T1904" s="8" t="n">
        <f aca="false">IF(I1904=0,Assumptions!$B$20,IF(H1904&gt;I1904,Assumptions!$B$19,IF(H1904=I1904,Assumptions!$B$20,Assumptions!$B$21)))</f>
        <v>70</v>
      </c>
      <c r="U1904" s="8" t="n">
        <f aca="false">ROUND(P1904*Assumptions!$B$2+Q1904*Assumptions!$B$3+R1904*Assumptions!$B$4+S1904*Assumptions!$B$5+T1904*Assumptions!$B$6,0)</f>
        <v>83</v>
      </c>
      <c r="V1904" s="8" t="str">
        <f aca="false">IF(U1904&gt;=Assumptions!$B$10,"Healthy",IF(U1904&gt;=Assumptions!$B$11,"Needs Attention","High Risk"))</f>
        <v>Healthy</v>
      </c>
    </row>
    <row r="1905" customFormat="false" ht="15" hidden="false" customHeight="false" outlineLevel="0" collapsed="false">
      <c r="A1905" s="8" t="s">
        <v>3952</v>
      </c>
      <c r="B1905" s="8" t="s">
        <v>3953</v>
      </c>
      <c r="C1905" s="8" t="s">
        <v>51</v>
      </c>
      <c r="D1905" s="8" t="s">
        <v>2027</v>
      </c>
      <c r="E1905" s="8" t="s">
        <v>123</v>
      </c>
      <c r="F1905" s="8" t="s">
        <v>133</v>
      </c>
      <c r="G1905" s="8" t="s">
        <v>147</v>
      </c>
      <c r="H1905" s="15" t="n">
        <v>156</v>
      </c>
      <c r="I1905" s="15" t="n">
        <v>156</v>
      </c>
      <c r="J1905" s="16" t="n">
        <v>0.744</v>
      </c>
      <c r="K1905" s="8" t="n">
        <v>6</v>
      </c>
      <c r="L1905" s="8" t="n">
        <v>6</v>
      </c>
      <c r="M1905" s="8" t="n">
        <v>3</v>
      </c>
      <c r="N1905" s="8" t="s">
        <v>120</v>
      </c>
      <c r="O1905" s="15" t="n">
        <f aca="false">H1905*12</f>
        <v>1872</v>
      </c>
      <c r="P1905" s="8" t="n">
        <f aca="false">MIN(100,ROUND(100*J1905/Assumptions!$B$8,0))</f>
        <v>83</v>
      </c>
      <c r="Q1905" s="8" t="n">
        <f aca="false">IF(L1905="",Assumptions!$B$9,L1905*10)</f>
        <v>60</v>
      </c>
      <c r="R1905" s="8" t="n">
        <f aca="false">IF(M1905&lt;=1,Assumptions!$B$12,IF(M1905&lt;=3,Assumptions!$B$13,IF(M1905&lt;=6,Assumptions!$B$14,Assumptions!$B$15)))</f>
        <v>75</v>
      </c>
      <c r="S1905" s="8" t="n">
        <f aca="false">IF(N1905="Completed On Time",Assumptions!$B$16,IF(N1905="Completed Late",Assumptions!$B$17,Assumptions!$B$18))</f>
        <v>100</v>
      </c>
      <c r="T1905" s="8" t="n">
        <f aca="false">IF(I1905=0,Assumptions!$B$20,IF(H1905&gt;I1905,Assumptions!$B$19,IF(H1905=I1905,Assumptions!$B$20,Assumptions!$B$21)))</f>
        <v>70</v>
      </c>
      <c r="U1905" s="8" t="n">
        <f aca="false">ROUND(P1905*Assumptions!$B$2+Q1905*Assumptions!$B$3+R1905*Assumptions!$B$4+S1905*Assumptions!$B$5+T1905*Assumptions!$B$6,0)</f>
        <v>76</v>
      </c>
      <c r="V1905" s="8" t="str">
        <f aca="false">IF(U1905&gt;=Assumptions!$B$10,"Healthy",IF(U1905&gt;=Assumptions!$B$11,"Needs Attention","High Risk"))</f>
        <v>Needs Attention</v>
      </c>
    </row>
    <row r="1906" customFormat="false" ht="15" hidden="false" customHeight="false" outlineLevel="0" collapsed="false">
      <c r="A1906" s="8" t="s">
        <v>3954</v>
      </c>
      <c r="B1906" s="8" t="s">
        <v>3955</v>
      </c>
      <c r="C1906" s="8" t="s">
        <v>51</v>
      </c>
      <c r="D1906" s="8" t="s">
        <v>326</v>
      </c>
      <c r="E1906" s="8" t="s">
        <v>123</v>
      </c>
      <c r="F1906" s="8" t="s">
        <v>143</v>
      </c>
      <c r="G1906" s="8" t="s">
        <v>180</v>
      </c>
      <c r="H1906" s="15" t="n">
        <v>150</v>
      </c>
      <c r="I1906" s="15" t="n">
        <v>150</v>
      </c>
      <c r="J1906" s="16" t="n">
        <v>0.833</v>
      </c>
      <c r="K1906" s="8" t="n">
        <v>10.7</v>
      </c>
      <c r="L1906" s="8" t="n">
        <v>10</v>
      </c>
      <c r="M1906" s="8" t="n">
        <v>1</v>
      </c>
      <c r="N1906" s="8" t="s">
        <v>120</v>
      </c>
      <c r="O1906" s="15" t="n">
        <f aca="false">H1906*12</f>
        <v>1800</v>
      </c>
      <c r="P1906" s="8" t="n">
        <f aca="false">MIN(100,ROUND(100*J1906/Assumptions!$B$8,0))</f>
        <v>93</v>
      </c>
      <c r="Q1906" s="8" t="n">
        <f aca="false">IF(L1906="",Assumptions!$B$9,L1906*10)</f>
        <v>100</v>
      </c>
      <c r="R1906" s="8" t="n">
        <f aca="false">IF(M1906&lt;=1,Assumptions!$B$12,IF(M1906&lt;=3,Assumptions!$B$13,IF(M1906&lt;=6,Assumptions!$B$14,Assumptions!$B$15)))</f>
        <v>100</v>
      </c>
      <c r="S1906" s="8" t="n">
        <f aca="false">IF(N1906="Completed On Time",Assumptions!$B$16,IF(N1906="Completed Late",Assumptions!$B$17,Assumptions!$B$18))</f>
        <v>100</v>
      </c>
      <c r="T1906" s="8" t="n">
        <f aca="false">IF(I1906=0,Assumptions!$B$20,IF(H1906&gt;I1906,Assumptions!$B$19,IF(H1906=I1906,Assumptions!$B$20,Assumptions!$B$21)))</f>
        <v>70</v>
      </c>
      <c r="U1906" s="8" t="n">
        <f aca="false">ROUND(P1906*Assumptions!$B$2+Q1906*Assumptions!$B$3+R1906*Assumptions!$B$4+S1906*Assumptions!$B$5+T1906*Assumptions!$B$6,0)</f>
        <v>92</v>
      </c>
      <c r="V1906" s="8" t="str">
        <f aca="false">IF(U1906&gt;=Assumptions!$B$10,"Healthy",IF(U1906&gt;=Assumptions!$B$11,"Needs Attention","High Risk"))</f>
        <v>Healthy</v>
      </c>
    </row>
    <row r="1907" customFormat="false" ht="15" hidden="false" customHeight="false" outlineLevel="0" collapsed="false">
      <c r="A1907" s="8" t="s">
        <v>3956</v>
      </c>
      <c r="B1907" s="8" t="s">
        <v>3957</v>
      </c>
      <c r="C1907" s="8" t="s">
        <v>51</v>
      </c>
      <c r="D1907" s="8" t="s">
        <v>326</v>
      </c>
      <c r="E1907" s="8" t="s">
        <v>132</v>
      </c>
      <c r="F1907" s="8" t="s">
        <v>223</v>
      </c>
      <c r="G1907" s="8" t="s">
        <v>180</v>
      </c>
      <c r="H1907" s="15" t="n">
        <v>150</v>
      </c>
      <c r="I1907" s="15" t="n">
        <v>150</v>
      </c>
      <c r="J1907" s="16" t="n">
        <v>0.611</v>
      </c>
      <c r="K1907" s="8" t="n">
        <v>6.7</v>
      </c>
      <c r="L1907" s="8" t="n">
        <v>8</v>
      </c>
      <c r="M1907" s="8" t="n">
        <v>2</v>
      </c>
      <c r="N1907" s="8" t="s">
        <v>120</v>
      </c>
      <c r="O1907" s="15" t="n">
        <f aca="false">H1907*12</f>
        <v>1800</v>
      </c>
      <c r="P1907" s="8" t="n">
        <f aca="false">MIN(100,ROUND(100*J1907/Assumptions!$B$8,0))</f>
        <v>68</v>
      </c>
      <c r="Q1907" s="8" t="n">
        <f aca="false">IF(L1907="",Assumptions!$B$9,L1907*10)</f>
        <v>80</v>
      </c>
      <c r="R1907" s="8" t="n">
        <f aca="false">IF(M1907&lt;=1,Assumptions!$B$12,IF(M1907&lt;=3,Assumptions!$B$13,IF(M1907&lt;=6,Assumptions!$B$14,Assumptions!$B$15)))</f>
        <v>75</v>
      </c>
      <c r="S1907" s="8" t="n">
        <f aca="false">IF(N1907="Completed On Time",Assumptions!$B$16,IF(N1907="Completed Late",Assumptions!$B$17,Assumptions!$B$18))</f>
        <v>100</v>
      </c>
      <c r="T1907" s="8" t="n">
        <f aca="false">IF(I1907=0,Assumptions!$B$20,IF(H1907&gt;I1907,Assumptions!$B$19,IF(H1907=I1907,Assumptions!$B$20,Assumptions!$B$21)))</f>
        <v>70</v>
      </c>
      <c r="U1907" s="8" t="n">
        <f aca="false">ROUND(P1907*Assumptions!$B$2+Q1907*Assumptions!$B$3+R1907*Assumptions!$B$4+S1907*Assumptions!$B$5+T1907*Assumptions!$B$6,0)</f>
        <v>75</v>
      </c>
      <c r="V1907" s="8" t="str">
        <f aca="false">IF(U1907&gt;=Assumptions!$B$10,"Healthy",IF(U1907&gt;=Assumptions!$B$11,"Needs Attention","High Risk"))</f>
        <v>Needs Attention</v>
      </c>
    </row>
    <row r="1908" customFormat="false" ht="15" hidden="false" customHeight="false" outlineLevel="0" collapsed="false">
      <c r="A1908" s="8" t="s">
        <v>3958</v>
      </c>
      <c r="B1908" s="8" t="s">
        <v>3959</v>
      </c>
      <c r="C1908" s="8" t="s">
        <v>51</v>
      </c>
      <c r="D1908" s="8" t="s">
        <v>326</v>
      </c>
      <c r="E1908" s="8" t="s">
        <v>117</v>
      </c>
      <c r="F1908" s="8" t="s">
        <v>124</v>
      </c>
      <c r="G1908" s="8" t="s">
        <v>180</v>
      </c>
      <c r="H1908" s="15" t="n">
        <v>150</v>
      </c>
      <c r="I1908" s="15" t="n">
        <v>150</v>
      </c>
      <c r="J1908" s="16" t="n">
        <v>0.722</v>
      </c>
      <c r="K1908" s="8" t="n">
        <v>9.3</v>
      </c>
      <c r="L1908" s="8" t="n">
        <v>8</v>
      </c>
      <c r="M1908" s="8" t="n">
        <v>3</v>
      </c>
      <c r="N1908" s="8" t="s">
        <v>120</v>
      </c>
      <c r="O1908" s="15" t="n">
        <f aca="false">H1908*12</f>
        <v>1800</v>
      </c>
      <c r="P1908" s="8" t="n">
        <f aca="false">MIN(100,ROUND(100*J1908/Assumptions!$B$8,0))</f>
        <v>80</v>
      </c>
      <c r="Q1908" s="8" t="n">
        <f aca="false">IF(L1908="",Assumptions!$B$9,L1908*10)</f>
        <v>80</v>
      </c>
      <c r="R1908" s="8" t="n">
        <f aca="false">IF(M1908&lt;=1,Assumptions!$B$12,IF(M1908&lt;=3,Assumptions!$B$13,IF(M1908&lt;=6,Assumptions!$B$14,Assumptions!$B$15)))</f>
        <v>75</v>
      </c>
      <c r="S1908" s="8" t="n">
        <f aca="false">IF(N1908="Completed On Time",Assumptions!$B$16,IF(N1908="Completed Late",Assumptions!$B$17,Assumptions!$B$18))</f>
        <v>100</v>
      </c>
      <c r="T1908" s="8" t="n">
        <f aca="false">IF(I1908=0,Assumptions!$B$20,IF(H1908&gt;I1908,Assumptions!$B$19,IF(H1908=I1908,Assumptions!$B$20,Assumptions!$B$21)))</f>
        <v>70</v>
      </c>
      <c r="U1908" s="8" t="n">
        <f aca="false">ROUND(P1908*Assumptions!$B$2+Q1908*Assumptions!$B$3+R1908*Assumptions!$B$4+S1908*Assumptions!$B$5+T1908*Assumptions!$B$6,0)</f>
        <v>79</v>
      </c>
      <c r="V1908" s="8" t="str">
        <f aca="false">IF(U1908&gt;=Assumptions!$B$10,"Healthy",IF(U1908&gt;=Assumptions!$B$11,"Needs Attention","High Risk"))</f>
        <v>Needs Attention</v>
      </c>
    </row>
    <row r="1909" customFormat="false" ht="15" hidden="false" customHeight="false" outlineLevel="0" collapsed="false">
      <c r="A1909" s="8" t="s">
        <v>3960</v>
      </c>
      <c r="B1909" s="8" t="s">
        <v>3961</v>
      </c>
      <c r="C1909" s="8" t="s">
        <v>51</v>
      </c>
      <c r="D1909" s="8" t="s">
        <v>326</v>
      </c>
      <c r="E1909" s="8" t="s">
        <v>132</v>
      </c>
      <c r="F1909" s="8" t="s">
        <v>143</v>
      </c>
      <c r="G1909" s="8" t="s">
        <v>144</v>
      </c>
      <c r="H1909" s="15" t="n">
        <v>150</v>
      </c>
      <c r="I1909" s="15" t="n">
        <v>200</v>
      </c>
      <c r="J1909" s="16" t="n">
        <v>0.65</v>
      </c>
      <c r="K1909" s="8" t="n">
        <v>7.3</v>
      </c>
      <c r="L1909" s="8" t="n">
        <v>6</v>
      </c>
      <c r="M1909" s="8" t="n">
        <v>1</v>
      </c>
      <c r="N1909" s="8" t="s">
        <v>120</v>
      </c>
      <c r="O1909" s="15" t="n">
        <f aca="false">H1909*12</f>
        <v>1800</v>
      </c>
      <c r="P1909" s="8" t="n">
        <f aca="false">MIN(100,ROUND(100*J1909/Assumptions!$B$8,0))</f>
        <v>72</v>
      </c>
      <c r="Q1909" s="8" t="n">
        <f aca="false">IF(L1909="",Assumptions!$B$9,L1909*10)</f>
        <v>60</v>
      </c>
      <c r="R1909" s="8" t="n">
        <f aca="false">IF(M1909&lt;=1,Assumptions!$B$12,IF(M1909&lt;=3,Assumptions!$B$13,IF(M1909&lt;=6,Assumptions!$B$14,Assumptions!$B$15)))</f>
        <v>100</v>
      </c>
      <c r="S1909" s="8" t="n">
        <f aca="false">IF(N1909="Completed On Time",Assumptions!$B$16,IF(N1909="Completed Late",Assumptions!$B$17,Assumptions!$B$18))</f>
        <v>100</v>
      </c>
      <c r="T1909" s="8" t="n">
        <f aca="false">IF(I1909=0,Assumptions!$B$20,IF(H1909&gt;I1909,Assumptions!$B$19,IF(H1909=I1909,Assumptions!$B$20,Assumptions!$B$21)))</f>
        <v>30</v>
      </c>
      <c r="U1909" s="8" t="n">
        <f aca="false">ROUND(P1909*Assumptions!$B$2+Q1909*Assumptions!$B$3+R1909*Assumptions!$B$4+S1909*Assumptions!$B$5+T1909*Assumptions!$B$6,0)</f>
        <v>68</v>
      </c>
      <c r="V1909" s="8" t="str">
        <f aca="false">IF(U1909&gt;=Assumptions!$B$10,"Healthy",IF(U1909&gt;=Assumptions!$B$11,"Needs Attention","High Risk"))</f>
        <v>Needs Attention</v>
      </c>
    </row>
    <row r="1910" customFormat="false" ht="15" hidden="false" customHeight="false" outlineLevel="0" collapsed="false">
      <c r="A1910" s="8" t="s">
        <v>3962</v>
      </c>
      <c r="B1910" s="8" t="s">
        <v>3963</v>
      </c>
      <c r="C1910" s="8" t="s">
        <v>51</v>
      </c>
      <c r="D1910" s="8" t="s">
        <v>326</v>
      </c>
      <c r="E1910" s="8" t="s">
        <v>132</v>
      </c>
      <c r="F1910" s="8" t="s">
        <v>133</v>
      </c>
      <c r="G1910" s="8" t="s">
        <v>180</v>
      </c>
      <c r="H1910" s="15" t="n">
        <v>150</v>
      </c>
      <c r="I1910" s="15" t="n">
        <v>150</v>
      </c>
      <c r="J1910" s="16" t="n">
        <v>0.722</v>
      </c>
      <c r="K1910" s="8" t="n">
        <v>9.7</v>
      </c>
      <c r="L1910" s="8" t="n">
        <v>8</v>
      </c>
      <c r="M1910" s="8" t="n">
        <v>0</v>
      </c>
      <c r="N1910" s="8" t="s">
        <v>120</v>
      </c>
      <c r="O1910" s="15" t="n">
        <f aca="false">H1910*12</f>
        <v>1800</v>
      </c>
      <c r="P1910" s="8" t="n">
        <f aca="false">MIN(100,ROUND(100*J1910/Assumptions!$B$8,0))</f>
        <v>80</v>
      </c>
      <c r="Q1910" s="8" t="n">
        <f aca="false">IF(L1910="",Assumptions!$B$9,L1910*10)</f>
        <v>80</v>
      </c>
      <c r="R1910" s="8" t="n">
        <f aca="false">IF(M1910&lt;=1,Assumptions!$B$12,IF(M1910&lt;=3,Assumptions!$B$13,IF(M1910&lt;=6,Assumptions!$B$14,Assumptions!$B$15)))</f>
        <v>100</v>
      </c>
      <c r="S1910" s="8" t="n">
        <f aca="false">IF(N1910="Completed On Time",Assumptions!$B$16,IF(N1910="Completed Late",Assumptions!$B$17,Assumptions!$B$18))</f>
        <v>100</v>
      </c>
      <c r="T1910" s="8" t="n">
        <f aca="false">IF(I1910=0,Assumptions!$B$20,IF(H1910&gt;I1910,Assumptions!$B$19,IF(H1910=I1910,Assumptions!$B$20,Assumptions!$B$21)))</f>
        <v>70</v>
      </c>
      <c r="U1910" s="8" t="n">
        <f aca="false">ROUND(P1910*Assumptions!$B$2+Q1910*Assumptions!$B$3+R1910*Assumptions!$B$4+S1910*Assumptions!$B$5+T1910*Assumptions!$B$6,0)</f>
        <v>83</v>
      </c>
      <c r="V1910" s="8" t="str">
        <f aca="false">IF(U1910&gt;=Assumptions!$B$10,"Healthy",IF(U1910&gt;=Assumptions!$B$11,"Needs Attention","High Risk"))</f>
        <v>Healthy</v>
      </c>
    </row>
    <row r="1911" customFormat="false" ht="15" hidden="false" customHeight="false" outlineLevel="0" collapsed="false">
      <c r="A1911" s="8" t="s">
        <v>3964</v>
      </c>
      <c r="B1911" s="8" t="s">
        <v>3965</v>
      </c>
      <c r="C1911" s="8" t="s">
        <v>51</v>
      </c>
      <c r="D1911" s="8" t="s">
        <v>326</v>
      </c>
      <c r="E1911" s="8" t="s">
        <v>123</v>
      </c>
      <c r="F1911" s="8" t="s">
        <v>190</v>
      </c>
      <c r="G1911" s="8" t="s">
        <v>119</v>
      </c>
      <c r="H1911" s="15" t="n">
        <v>150</v>
      </c>
      <c r="I1911" s="15" t="n">
        <v>150</v>
      </c>
      <c r="J1911" s="16" t="n">
        <v>0.778</v>
      </c>
      <c r="K1911" s="8" t="n">
        <v>8.7</v>
      </c>
      <c r="L1911" s="8" t="n">
        <v>7</v>
      </c>
      <c r="M1911" s="8" t="n">
        <v>1</v>
      </c>
      <c r="N1911" s="8" t="s">
        <v>120</v>
      </c>
      <c r="O1911" s="15" t="n">
        <f aca="false">H1911*12</f>
        <v>1800</v>
      </c>
      <c r="P1911" s="8" t="n">
        <f aca="false">MIN(100,ROUND(100*J1911/Assumptions!$B$8,0))</f>
        <v>86</v>
      </c>
      <c r="Q1911" s="8" t="n">
        <f aca="false">IF(L1911="",Assumptions!$B$9,L1911*10)</f>
        <v>70</v>
      </c>
      <c r="R1911" s="8" t="n">
        <f aca="false">IF(M1911&lt;=1,Assumptions!$B$12,IF(M1911&lt;=3,Assumptions!$B$13,IF(M1911&lt;=6,Assumptions!$B$14,Assumptions!$B$15)))</f>
        <v>100</v>
      </c>
      <c r="S1911" s="8" t="n">
        <f aca="false">IF(N1911="Completed On Time",Assumptions!$B$16,IF(N1911="Completed Late",Assumptions!$B$17,Assumptions!$B$18))</f>
        <v>100</v>
      </c>
      <c r="T1911" s="8" t="n">
        <f aca="false">IF(I1911=0,Assumptions!$B$20,IF(H1911&gt;I1911,Assumptions!$B$19,IF(H1911=I1911,Assumptions!$B$20,Assumptions!$B$21)))</f>
        <v>70</v>
      </c>
      <c r="U1911" s="8" t="n">
        <f aca="false">ROUND(P1911*Assumptions!$B$2+Q1911*Assumptions!$B$3+R1911*Assumptions!$B$4+S1911*Assumptions!$B$5+T1911*Assumptions!$B$6,0)</f>
        <v>83</v>
      </c>
      <c r="V1911" s="8" t="str">
        <f aca="false">IF(U1911&gt;=Assumptions!$B$10,"Healthy",IF(U1911&gt;=Assumptions!$B$11,"Needs Attention","High Risk"))</f>
        <v>Healthy</v>
      </c>
    </row>
    <row r="1912" customFormat="false" ht="15" hidden="false" customHeight="false" outlineLevel="0" collapsed="false">
      <c r="A1912" s="8" t="s">
        <v>3966</v>
      </c>
      <c r="B1912" s="8" t="s">
        <v>3967</v>
      </c>
      <c r="C1912" s="8" t="s">
        <v>51</v>
      </c>
      <c r="D1912" s="8" t="s">
        <v>326</v>
      </c>
      <c r="E1912" s="8" t="s">
        <v>132</v>
      </c>
      <c r="F1912" s="8" t="s">
        <v>151</v>
      </c>
      <c r="G1912" s="8" t="s">
        <v>180</v>
      </c>
      <c r="H1912" s="15" t="n">
        <v>150</v>
      </c>
      <c r="I1912" s="15" t="n">
        <v>0</v>
      </c>
      <c r="J1912" s="16" t="n">
        <v>0.833</v>
      </c>
      <c r="K1912" s="8" t="n">
        <v>9</v>
      </c>
      <c r="L1912" s="8"/>
      <c r="M1912" s="8" t="n">
        <v>0</v>
      </c>
      <c r="N1912" s="8" t="s">
        <v>120</v>
      </c>
      <c r="O1912" s="15" t="n">
        <f aca="false">H1912*12</f>
        <v>1800</v>
      </c>
      <c r="P1912" s="8" t="n">
        <f aca="false">MIN(100,ROUND(100*J1912/Assumptions!$B$8,0))</f>
        <v>93</v>
      </c>
      <c r="Q1912" s="8" t="n">
        <f aca="false">IF(L1912="",Assumptions!$B$9,L1912*10)</f>
        <v>50</v>
      </c>
      <c r="R1912" s="8" t="n">
        <f aca="false">IF(M1912&lt;=1,Assumptions!$B$12,IF(M1912&lt;=3,Assumptions!$B$13,IF(M1912&lt;=6,Assumptions!$B$14,Assumptions!$B$15)))</f>
        <v>100</v>
      </c>
      <c r="S1912" s="8" t="n">
        <f aca="false">IF(N1912="Completed On Time",Assumptions!$B$16,IF(N1912="Completed Late",Assumptions!$B$17,Assumptions!$B$18))</f>
        <v>100</v>
      </c>
      <c r="T1912" s="8" t="n">
        <f aca="false">IF(I1912=0,Assumptions!$B$20,IF(H1912&gt;I1912,Assumptions!$B$19,IF(H1912=I1912,Assumptions!$B$20,Assumptions!$B$21)))</f>
        <v>70</v>
      </c>
      <c r="U1912" s="8" t="n">
        <f aca="false">ROUND(P1912*Assumptions!$B$2+Q1912*Assumptions!$B$3+R1912*Assumptions!$B$4+S1912*Assumptions!$B$5+T1912*Assumptions!$B$6,0)</f>
        <v>82</v>
      </c>
      <c r="V1912" s="8" t="str">
        <f aca="false">IF(U1912&gt;=Assumptions!$B$10,"Healthy",IF(U1912&gt;=Assumptions!$B$11,"Needs Attention","High Risk"))</f>
        <v>Healthy</v>
      </c>
    </row>
    <row r="1913" customFormat="false" ht="15" hidden="false" customHeight="false" outlineLevel="0" collapsed="false">
      <c r="A1913" s="8" t="s">
        <v>3968</v>
      </c>
      <c r="B1913" s="8" t="s">
        <v>3969</v>
      </c>
      <c r="C1913" s="8" t="s">
        <v>51</v>
      </c>
      <c r="D1913" s="8" t="s">
        <v>326</v>
      </c>
      <c r="E1913" s="8" t="s">
        <v>117</v>
      </c>
      <c r="F1913" s="8" t="s">
        <v>124</v>
      </c>
      <c r="G1913" s="8" t="s">
        <v>180</v>
      </c>
      <c r="H1913" s="15" t="n">
        <v>150</v>
      </c>
      <c r="I1913" s="15" t="n">
        <v>150</v>
      </c>
      <c r="J1913" s="16" t="n">
        <v>0.667</v>
      </c>
      <c r="K1913" s="8" t="n">
        <v>8</v>
      </c>
      <c r="L1913" s="8" t="n">
        <v>9</v>
      </c>
      <c r="M1913" s="8" t="n">
        <v>6</v>
      </c>
      <c r="N1913" s="8" t="s">
        <v>120</v>
      </c>
      <c r="O1913" s="15" t="n">
        <f aca="false">H1913*12</f>
        <v>1800</v>
      </c>
      <c r="P1913" s="8" t="n">
        <f aca="false">MIN(100,ROUND(100*J1913/Assumptions!$B$8,0))</f>
        <v>74</v>
      </c>
      <c r="Q1913" s="8" t="n">
        <f aca="false">IF(L1913="",Assumptions!$B$9,L1913*10)</f>
        <v>90</v>
      </c>
      <c r="R1913" s="8" t="n">
        <f aca="false">IF(M1913&lt;=1,Assumptions!$B$12,IF(M1913&lt;=3,Assumptions!$B$13,IF(M1913&lt;=6,Assumptions!$B$14,Assumptions!$B$15)))</f>
        <v>50</v>
      </c>
      <c r="S1913" s="8" t="n">
        <f aca="false">IF(N1913="Completed On Time",Assumptions!$B$16,IF(N1913="Completed Late",Assumptions!$B$17,Assumptions!$B$18))</f>
        <v>100</v>
      </c>
      <c r="T1913" s="8" t="n">
        <f aca="false">IF(I1913=0,Assumptions!$B$20,IF(H1913&gt;I1913,Assumptions!$B$19,IF(H1913=I1913,Assumptions!$B$20,Assumptions!$B$21)))</f>
        <v>70</v>
      </c>
      <c r="U1913" s="8" t="n">
        <f aca="false">ROUND(P1913*Assumptions!$B$2+Q1913*Assumptions!$B$3+R1913*Assumptions!$B$4+S1913*Assumptions!$B$5+T1913*Assumptions!$B$6,0)</f>
        <v>75</v>
      </c>
      <c r="V1913" s="8" t="str">
        <f aca="false">IF(U1913&gt;=Assumptions!$B$10,"Healthy",IF(U1913&gt;=Assumptions!$B$11,"Needs Attention","High Risk"))</f>
        <v>Needs Attention</v>
      </c>
    </row>
    <row r="1914" customFormat="false" ht="15" hidden="false" customHeight="false" outlineLevel="0" collapsed="false">
      <c r="A1914" s="8" t="s">
        <v>3970</v>
      </c>
      <c r="B1914" s="8" t="s">
        <v>3971</v>
      </c>
      <c r="C1914" s="8" t="s">
        <v>51</v>
      </c>
      <c r="D1914" s="8" t="s">
        <v>326</v>
      </c>
      <c r="E1914" s="8" t="s">
        <v>132</v>
      </c>
      <c r="F1914" s="8" t="s">
        <v>136</v>
      </c>
      <c r="G1914" s="8" t="s">
        <v>119</v>
      </c>
      <c r="H1914" s="15" t="n">
        <v>150</v>
      </c>
      <c r="I1914" s="15" t="n">
        <v>150</v>
      </c>
      <c r="J1914" s="16" t="n">
        <v>0.778</v>
      </c>
      <c r="K1914" s="8" t="n">
        <v>10</v>
      </c>
      <c r="L1914" s="8" t="n">
        <v>10</v>
      </c>
      <c r="M1914" s="8" t="n">
        <v>1</v>
      </c>
      <c r="N1914" s="8" t="s">
        <v>120</v>
      </c>
      <c r="O1914" s="15" t="n">
        <f aca="false">H1914*12</f>
        <v>1800</v>
      </c>
      <c r="P1914" s="8" t="n">
        <f aca="false">MIN(100,ROUND(100*J1914/Assumptions!$B$8,0))</f>
        <v>86</v>
      </c>
      <c r="Q1914" s="8" t="n">
        <f aca="false">IF(L1914="",Assumptions!$B$9,L1914*10)</f>
        <v>100</v>
      </c>
      <c r="R1914" s="8" t="n">
        <f aca="false">IF(M1914&lt;=1,Assumptions!$B$12,IF(M1914&lt;=3,Assumptions!$B$13,IF(M1914&lt;=6,Assumptions!$B$14,Assumptions!$B$15)))</f>
        <v>100</v>
      </c>
      <c r="S1914" s="8" t="n">
        <f aca="false">IF(N1914="Completed On Time",Assumptions!$B$16,IF(N1914="Completed Late",Assumptions!$B$17,Assumptions!$B$18))</f>
        <v>100</v>
      </c>
      <c r="T1914" s="8" t="n">
        <f aca="false">IF(I1914=0,Assumptions!$B$20,IF(H1914&gt;I1914,Assumptions!$B$19,IF(H1914=I1914,Assumptions!$B$20,Assumptions!$B$21)))</f>
        <v>70</v>
      </c>
      <c r="U1914" s="8" t="n">
        <f aca="false">ROUND(P1914*Assumptions!$B$2+Q1914*Assumptions!$B$3+R1914*Assumptions!$B$4+S1914*Assumptions!$B$5+T1914*Assumptions!$B$6,0)</f>
        <v>89</v>
      </c>
      <c r="V1914" s="8" t="str">
        <f aca="false">IF(U1914&gt;=Assumptions!$B$10,"Healthy",IF(U1914&gt;=Assumptions!$B$11,"Needs Attention","High Risk"))</f>
        <v>Healthy</v>
      </c>
    </row>
    <row r="1915" customFormat="false" ht="15" hidden="false" customHeight="false" outlineLevel="0" collapsed="false">
      <c r="A1915" s="8" t="s">
        <v>3972</v>
      </c>
      <c r="B1915" s="8" t="s">
        <v>3973</v>
      </c>
      <c r="C1915" s="8" t="s">
        <v>51</v>
      </c>
      <c r="D1915" s="8" t="s">
        <v>326</v>
      </c>
      <c r="E1915" s="8" t="s">
        <v>123</v>
      </c>
      <c r="F1915" s="8" t="s">
        <v>133</v>
      </c>
      <c r="G1915" s="8" t="s">
        <v>125</v>
      </c>
      <c r="H1915" s="15" t="n">
        <v>150</v>
      </c>
      <c r="I1915" s="15" t="n">
        <v>200</v>
      </c>
      <c r="J1915" s="16" t="n">
        <v>0.5</v>
      </c>
      <c r="K1915" s="8" t="n">
        <v>6.3</v>
      </c>
      <c r="L1915" s="8" t="n">
        <v>7</v>
      </c>
      <c r="M1915" s="8" t="n">
        <v>3</v>
      </c>
      <c r="N1915" s="8" t="s">
        <v>120</v>
      </c>
      <c r="O1915" s="15" t="n">
        <f aca="false">H1915*12</f>
        <v>1800</v>
      </c>
      <c r="P1915" s="8" t="n">
        <f aca="false">MIN(100,ROUND(100*J1915/Assumptions!$B$8,0))</f>
        <v>56</v>
      </c>
      <c r="Q1915" s="8" t="n">
        <f aca="false">IF(L1915="",Assumptions!$B$9,L1915*10)</f>
        <v>70</v>
      </c>
      <c r="R1915" s="8" t="n">
        <f aca="false">IF(M1915&lt;=1,Assumptions!$B$12,IF(M1915&lt;=3,Assumptions!$B$13,IF(M1915&lt;=6,Assumptions!$B$14,Assumptions!$B$15)))</f>
        <v>75</v>
      </c>
      <c r="S1915" s="8" t="n">
        <f aca="false">IF(N1915="Completed On Time",Assumptions!$B$16,IF(N1915="Completed Late",Assumptions!$B$17,Assumptions!$B$18))</f>
        <v>100</v>
      </c>
      <c r="T1915" s="8" t="n">
        <f aca="false">IF(I1915=0,Assumptions!$B$20,IF(H1915&gt;I1915,Assumptions!$B$19,IF(H1915=I1915,Assumptions!$B$20,Assumptions!$B$21)))</f>
        <v>30</v>
      </c>
      <c r="U1915" s="8" t="n">
        <f aca="false">ROUND(P1915*Assumptions!$B$2+Q1915*Assumptions!$B$3+R1915*Assumptions!$B$4+S1915*Assumptions!$B$5+T1915*Assumptions!$B$6,0)</f>
        <v>61</v>
      </c>
      <c r="V1915" s="8" t="str">
        <f aca="false">IF(U1915&gt;=Assumptions!$B$10,"Healthy",IF(U1915&gt;=Assumptions!$B$11,"Needs Attention","High Risk"))</f>
        <v>High Risk</v>
      </c>
    </row>
    <row r="1916" customFormat="false" ht="15" hidden="false" customHeight="false" outlineLevel="0" collapsed="false">
      <c r="A1916" s="8" t="s">
        <v>3974</v>
      </c>
      <c r="B1916" s="8" t="s">
        <v>3975</v>
      </c>
      <c r="C1916" s="8" t="s">
        <v>51</v>
      </c>
      <c r="D1916" s="8" t="s">
        <v>326</v>
      </c>
      <c r="E1916" s="8" t="s">
        <v>132</v>
      </c>
      <c r="F1916" s="8" t="s">
        <v>118</v>
      </c>
      <c r="G1916" s="8" t="s">
        <v>159</v>
      </c>
      <c r="H1916" s="15" t="n">
        <v>150</v>
      </c>
      <c r="I1916" s="15" t="n">
        <v>150</v>
      </c>
      <c r="J1916" s="16" t="n">
        <v>0.667</v>
      </c>
      <c r="K1916" s="8" t="n">
        <v>6.3</v>
      </c>
      <c r="L1916" s="8" t="n">
        <v>7</v>
      </c>
      <c r="M1916" s="8" t="n">
        <v>2</v>
      </c>
      <c r="N1916" s="8" t="s">
        <v>148</v>
      </c>
      <c r="O1916" s="15" t="n">
        <f aca="false">H1916*12</f>
        <v>1800</v>
      </c>
      <c r="P1916" s="8" t="n">
        <f aca="false">MIN(100,ROUND(100*J1916/Assumptions!$B$8,0))</f>
        <v>74</v>
      </c>
      <c r="Q1916" s="8" t="n">
        <f aca="false">IF(L1916="",Assumptions!$B$9,L1916*10)</f>
        <v>70</v>
      </c>
      <c r="R1916" s="8" t="n">
        <f aca="false">IF(M1916&lt;=1,Assumptions!$B$12,IF(M1916&lt;=3,Assumptions!$B$13,IF(M1916&lt;=6,Assumptions!$B$14,Assumptions!$B$15)))</f>
        <v>75</v>
      </c>
      <c r="S1916" s="8" t="n">
        <f aca="false">IF(N1916="Completed On Time",Assumptions!$B$16,IF(N1916="Completed Late",Assumptions!$B$17,Assumptions!$B$18))</f>
        <v>60</v>
      </c>
      <c r="T1916" s="8" t="n">
        <f aca="false">IF(I1916=0,Assumptions!$B$20,IF(H1916&gt;I1916,Assumptions!$B$19,IF(H1916=I1916,Assumptions!$B$20,Assumptions!$B$21)))</f>
        <v>70</v>
      </c>
      <c r="U1916" s="8" t="n">
        <f aca="false">ROUND(P1916*Assumptions!$B$2+Q1916*Assumptions!$B$3+R1916*Assumptions!$B$4+S1916*Assumptions!$B$5+T1916*Assumptions!$B$6,0)</f>
        <v>71</v>
      </c>
      <c r="V1916" s="8" t="str">
        <f aca="false">IF(U1916&gt;=Assumptions!$B$10,"Healthy",IF(U1916&gt;=Assumptions!$B$11,"Needs Attention","High Risk"))</f>
        <v>Needs Attention</v>
      </c>
    </row>
    <row r="1917" customFormat="false" ht="15" hidden="false" customHeight="false" outlineLevel="0" collapsed="false">
      <c r="A1917" s="8" t="s">
        <v>3976</v>
      </c>
      <c r="B1917" s="8" t="s">
        <v>3977</v>
      </c>
      <c r="C1917" s="8" t="s">
        <v>51</v>
      </c>
      <c r="D1917" s="8" t="s">
        <v>326</v>
      </c>
      <c r="E1917" s="8" t="s">
        <v>123</v>
      </c>
      <c r="F1917" s="8" t="s">
        <v>151</v>
      </c>
      <c r="G1917" s="8" t="s">
        <v>119</v>
      </c>
      <c r="H1917" s="15" t="n">
        <v>150</v>
      </c>
      <c r="I1917" s="15" t="n">
        <v>150</v>
      </c>
      <c r="J1917" s="16" t="n">
        <v>0.944</v>
      </c>
      <c r="K1917" s="8" t="n">
        <v>11.3</v>
      </c>
      <c r="L1917" s="8" t="n">
        <v>9</v>
      </c>
      <c r="M1917" s="8" t="n">
        <v>0</v>
      </c>
      <c r="N1917" s="8" t="s">
        <v>120</v>
      </c>
      <c r="O1917" s="15" t="n">
        <f aca="false">H1917*12</f>
        <v>1800</v>
      </c>
      <c r="P1917" s="8" t="n">
        <f aca="false">MIN(100,ROUND(100*J1917/Assumptions!$B$8,0))</f>
        <v>100</v>
      </c>
      <c r="Q1917" s="8" t="n">
        <f aca="false">IF(L1917="",Assumptions!$B$9,L1917*10)</f>
        <v>90</v>
      </c>
      <c r="R1917" s="8" t="n">
        <f aca="false">IF(M1917&lt;=1,Assumptions!$B$12,IF(M1917&lt;=3,Assumptions!$B$13,IF(M1917&lt;=6,Assumptions!$B$14,Assumptions!$B$15)))</f>
        <v>100</v>
      </c>
      <c r="S1917" s="8" t="n">
        <f aca="false">IF(N1917="Completed On Time",Assumptions!$B$16,IF(N1917="Completed Late",Assumptions!$B$17,Assumptions!$B$18))</f>
        <v>100</v>
      </c>
      <c r="T1917" s="8" t="n">
        <f aca="false">IF(I1917=0,Assumptions!$B$20,IF(H1917&gt;I1917,Assumptions!$B$19,IF(H1917=I1917,Assumptions!$B$20,Assumptions!$B$21)))</f>
        <v>70</v>
      </c>
      <c r="U1917" s="8" t="n">
        <f aca="false">ROUND(P1917*Assumptions!$B$2+Q1917*Assumptions!$B$3+R1917*Assumptions!$B$4+S1917*Assumptions!$B$5+T1917*Assumptions!$B$6,0)</f>
        <v>92</v>
      </c>
      <c r="V1917" s="8" t="str">
        <f aca="false">IF(U1917&gt;=Assumptions!$B$10,"Healthy",IF(U1917&gt;=Assumptions!$B$11,"Needs Attention","High Risk"))</f>
        <v>Healthy</v>
      </c>
    </row>
    <row r="1918" customFormat="false" ht="15" hidden="false" customHeight="false" outlineLevel="0" collapsed="false">
      <c r="A1918" s="8" t="s">
        <v>3978</v>
      </c>
      <c r="B1918" s="8" t="s">
        <v>3979</v>
      </c>
      <c r="C1918" s="8" t="s">
        <v>51</v>
      </c>
      <c r="D1918" s="8" t="s">
        <v>326</v>
      </c>
      <c r="E1918" s="8" t="s">
        <v>132</v>
      </c>
      <c r="F1918" s="8" t="s">
        <v>133</v>
      </c>
      <c r="G1918" s="8" t="s">
        <v>177</v>
      </c>
      <c r="H1918" s="15" t="n">
        <v>150</v>
      </c>
      <c r="I1918" s="15" t="n">
        <v>0</v>
      </c>
      <c r="J1918" s="16" t="n">
        <v>0.667</v>
      </c>
      <c r="K1918" s="8" t="n">
        <v>7</v>
      </c>
      <c r="L1918" s="8"/>
      <c r="M1918" s="8" t="n">
        <v>2</v>
      </c>
      <c r="N1918" s="8" t="s">
        <v>120</v>
      </c>
      <c r="O1918" s="15" t="n">
        <f aca="false">H1918*12</f>
        <v>1800</v>
      </c>
      <c r="P1918" s="8" t="n">
        <f aca="false">MIN(100,ROUND(100*J1918/Assumptions!$B$8,0))</f>
        <v>74</v>
      </c>
      <c r="Q1918" s="8" t="n">
        <f aca="false">IF(L1918="",Assumptions!$B$9,L1918*10)</f>
        <v>50</v>
      </c>
      <c r="R1918" s="8" t="n">
        <f aca="false">IF(M1918&lt;=1,Assumptions!$B$12,IF(M1918&lt;=3,Assumptions!$B$13,IF(M1918&lt;=6,Assumptions!$B$14,Assumptions!$B$15)))</f>
        <v>75</v>
      </c>
      <c r="S1918" s="8" t="n">
        <f aca="false">IF(N1918="Completed On Time",Assumptions!$B$16,IF(N1918="Completed Late",Assumptions!$B$17,Assumptions!$B$18))</f>
        <v>100</v>
      </c>
      <c r="T1918" s="8" t="n">
        <f aca="false">IF(I1918=0,Assumptions!$B$20,IF(H1918&gt;I1918,Assumptions!$B$19,IF(H1918=I1918,Assumptions!$B$20,Assumptions!$B$21)))</f>
        <v>70</v>
      </c>
      <c r="U1918" s="8" t="n">
        <f aca="false">ROUND(P1918*Assumptions!$B$2+Q1918*Assumptions!$B$3+R1918*Assumptions!$B$4+S1918*Assumptions!$B$5+T1918*Assumptions!$B$6,0)</f>
        <v>71</v>
      </c>
      <c r="V1918" s="8" t="str">
        <f aca="false">IF(U1918&gt;=Assumptions!$B$10,"Healthy",IF(U1918&gt;=Assumptions!$B$11,"Needs Attention","High Risk"))</f>
        <v>Needs Attention</v>
      </c>
    </row>
    <row r="1919" customFormat="false" ht="15" hidden="false" customHeight="false" outlineLevel="0" collapsed="false">
      <c r="A1919" s="8" t="s">
        <v>3980</v>
      </c>
      <c r="B1919" s="8" t="s">
        <v>3981</v>
      </c>
      <c r="C1919" s="8" t="s">
        <v>51</v>
      </c>
      <c r="D1919" s="8" t="s">
        <v>326</v>
      </c>
      <c r="E1919" s="8" t="s">
        <v>132</v>
      </c>
      <c r="F1919" s="8" t="s">
        <v>133</v>
      </c>
      <c r="G1919" s="8" t="s">
        <v>125</v>
      </c>
      <c r="H1919" s="15" t="n">
        <v>150</v>
      </c>
      <c r="I1919" s="15" t="n">
        <v>150</v>
      </c>
      <c r="J1919" s="16" t="n">
        <v>0.389</v>
      </c>
      <c r="K1919" s="8" t="n">
        <v>3.3</v>
      </c>
      <c r="L1919" s="8" t="n">
        <v>2</v>
      </c>
      <c r="M1919" s="8" t="n">
        <v>3</v>
      </c>
      <c r="N1919" s="8" t="s">
        <v>120</v>
      </c>
      <c r="O1919" s="15" t="n">
        <f aca="false">H1919*12</f>
        <v>1800</v>
      </c>
      <c r="P1919" s="8" t="n">
        <f aca="false">MIN(100,ROUND(100*J1919/Assumptions!$B$8,0))</f>
        <v>43</v>
      </c>
      <c r="Q1919" s="8" t="n">
        <f aca="false">IF(L1919="",Assumptions!$B$9,L1919*10)</f>
        <v>20</v>
      </c>
      <c r="R1919" s="8" t="n">
        <f aca="false">IF(M1919&lt;=1,Assumptions!$B$12,IF(M1919&lt;=3,Assumptions!$B$13,IF(M1919&lt;=6,Assumptions!$B$14,Assumptions!$B$15)))</f>
        <v>75</v>
      </c>
      <c r="S1919" s="8" t="n">
        <f aca="false">IF(N1919="Completed On Time",Assumptions!$B$16,IF(N1919="Completed Late",Assumptions!$B$17,Assumptions!$B$18))</f>
        <v>100</v>
      </c>
      <c r="T1919" s="8" t="n">
        <f aca="false">IF(I1919=0,Assumptions!$B$20,IF(H1919&gt;I1919,Assumptions!$B$19,IF(H1919=I1919,Assumptions!$B$20,Assumptions!$B$21)))</f>
        <v>70</v>
      </c>
      <c r="U1919" s="8" t="n">
        <f aca="false">ROUND(P1919*Assumptions!$B$2+Q1919*Assumptions!$B$3+R1919*Assumptions!$B$4+S1919*Assumptions!$B$5+T1919*Assumptions!$B$6,0)</f>
        <v>54</v>
      </c>
      <c r="V1919" s="8" t="str">
        <f aca="false">IF(U1919&gt;=Assumptions!$B$10,"Healthy",IF(U1919&gt;=Assumptions!$B$11,"Needs Attention","High Risk"))</f>
        <v>High Risk</v>
      </c>
    </row>
    <row r="1920" customFormat="false" ht="15" hidden="false" customHeight="false" outlineLevel="0" collapsed="false">
      <c r="A1920" s="8" t="s">
        <v>3982</v>
      </c>
      <c r="B1920" s="8" t="s">
        <v>3983</v>
      </c>
      <c r="C1920" s="8" t="s">
        <v>51</v>
      </c>
      <c r="D1920" s="8" t="s">
        <v>2027</v>
      </c>
      <c r="E1920" s="8" t="s">
        <v>132</v>
      </c>
      <c r="F1920" s="8" t="s">
        <v>151</v>
      </c>
      <c r="G1920" s="8" t="s">
        <v>204</v>
      </c>
      <c r="H1920" s="15" t="n">
        <v>144</v>
      </c>
      <c r="I1920" s="15" t="n">
        <v>144</v>
      </c>
      <c r="J1920" s="16" t="n">
        <v>0.694</v>
      </c>
      <c r="K1920" s="8" t="n">
        <v>6.3</v>
      </c>
      <c r="L1920" s="8" t="n">
        <v>7</v>
      </c>
      <c r="M1920" s="8" t="n">
        <v>2</v>
      </c>
      <c r="N1920" s="8" t="s">
        <v>120</v>
      </c>
      <c r="O1920" s="15" t="n">
        <f aca="false">H1920*12</f>
        <v>1728</v>
      </c>
      <c r="P1920" s="8" t="n">
        <f aca="false">MIN(100,ROUND(100*J1920/Assumptions!$B$8,0))</f>
        <v>77</v>
      </c>
      <c r="Q1920" s="8" t="n">
        <f aca="false">IF(L1920="",Assumptions!$B$9,L1920*10)</f>
        <v>70</v>
      </c>
      <c r="R1920" s="8" t="n">
        <f aca="false">IF(M1920&lt;=1,Assumptions!$B$12,IF(M1920&lt;=3,Assumptions!$B$13,IF(M1920&lt;=6,Assumptions!$B$14,Assumptions!$B$15)))</f>
        <v>75</v>
      </c>
      <c r="S1920" s="8" t="n">
        <f aca="false">IF(N1920="Completed On Time",Assumptions!$B$16,IF(N1920="Completed Late",Assumptions!$B$17,Assumptions!$B$18))</f>
        <v>100</v>
      </c>
      <c r="T1920" s="8" t="n">
        <f aca="false">IF(I1920=0,Assumptions!$B$20,IF(H1920&gt;I1920,Assumptions!$B$19,IF(H1920=I1920,Assumptions!$B$20,Assumptions!$B$21)))</f>
        <v>70</v>
      </c>
      <c r="U1920" s="8" t="n">
        <f aca="false">ROUND(P1920*Assumptions!$B$2+Q1920*Assumptions!$B$3+R1920*Assumptions!$B$4+S1920*Assumptions!$B$5+T1920*Assumptions!$B$6,0)</f>
        <v>76</v>
      </c>
      <c r="V1920" s="8" t="str">
        <f aca="false">IF(U1920&gt;=Assumptions!$B$10,"Healthy",IF(U1920&gt;=Assumptions!$B$11,"Needs Attention","High Risk"))</f>
        <v>Needs Attention</v>
      </c>
    </row>
    <row r="1921" customFormat="false" ht="15" hidden="false" customHeight="false" outlineLevel="0" collapsed="false">
      <c r="A1921" s="8" t="s">
        <v>3984</v>
      </c>
      <c r="B1921" s="8" t="s">
        <v>3985</v>
      </c>
      <c r="C1921" s="8" t="s">
        <v>51</v>
      </c>
      <c r="D1921" s="8" t="s">
        <v>2027</v>
      </c>
      <c r="E1921" s="8" t="s">
        <v>117</v>
      </c>
      <c r="F1921" s="8" t="s">
        <v>133</v>
      </c>
      <c r="G1921" s="8" t="s">
        <v>125</v>
      </c>
      <c r="H1921" s="15" t="n">
        <v>144</v>
      </c>
      <c r="I1921" s="15" t="n">
        <v>144</v>
      </c>
      <c r="J1921" s="16" t="n">
        <v>0.722</v>
      </c>
      <c r="K1921" s="8" t="n">
        <v>8</v>
      </c>
      <c r="L1921" s="8" t="n">
        <v>10</v>
      </c>
      <c r="M1921" s="8" t="n">
        <v>4</v>
      </c>
      <c r="N1921" s="8" t="s">
        <v>120</v>
      </c>
      <c r="O1921" s="15" t="n">
        <f aca="false">H1921*12</f>
        <v>1728</v>
      </c>
      <c r="P1921" s="8" t="n">
        <f aca="false">MIN(100,ROUND(100*J1921/Assumptions!$B$8,0))</f>
        <v>80</v>
      </c>
      <c r="Q1921" s="8" t="n">
        <f aca="false">IF(L1921="",Assumptions!$B$9,L1921*10)</f>
        <v>100</v>
      </c>
      <c r="R1921" s="8" t="n">
        <f aca="false">IF(M1921&lt;=1,Assumptions!$B$12,IF(M1921&lt;=3,Assumptions!$B$13,IF(M1921&lt;=6,Assumptions!$B$14,Assumptions!$B$15)))</f>
        <v>50</v>
      </c>
      <c r="S1921" s="8" t="n">
        <f aca="false">IF(N1921="Completed On Time",Assumptions!$B$16,IF(N1921="Completed Late",Assumptions!$B$17,Assumptions!$B$18))</f>
        <v>100</v>
      </c>
      <c r="T1921" s="8" t="n">
        <f aca="false">IF(I1921=0,Assumptions!$B$20,IF(H1921&gt;I1921,Assumptions!$B$19,IF(H1921=I1921,Assumptions!$B$20,Assumptions!$B$21)))</f>
        <v>70</v>
      </c>
      <c r="U1921" s="8" t="n">
        <f aca="false">ROUND(P1921*Assumptions!$B$2+Q1921*Assumptions!$B$3+R1921*Assumptions!$B$4+S1921*Assumptions!$B$5+T1921*Assumptions!$B$6,0)</f>
        <v>80</v>
      </c>
      <c r="V1921" s="8" t="str">
        <f aca="false">IF(U1921&gt;=Assumptions!$B$10,"Healthy",IF(U1921&gt;=Assumptions!$B$11,"Needs Attention","High Risk"))</f>
        <v>Healthy</v>
      </c>
    </row>
    <row r="1922" customFormat="false" ht="15" hidden="false" customHeight="false" outlineLevel="0" collapsed="false">
      <c r="A1922" s="8" t="s">
        <v>3986</v>
      </c>
      <c r="B1922" s="8" t="s">
        <v>3987</v>
      </c>
      <c r="C1922" s="8" t="s">
        <v>51</v>
      </c>
      <c r="D1922" s="8" t="s">
        <v>2027</v>
      </c>
      <c r="E1922" s="8" t="s">
        <v>117</v>
      </c>
      <c r="F1922" s="8" t="s">
        <v>124</v>
      </c>
      <c r="G1922" s="8" t="s">
        <v>159</v>
      </c>
      <c r="H1922" s="15" t="n">
        <v>144</v>
      </c>
      <c r="I1922" s="15" t="n">
        <v>108</v>
      </c>
      <c r="J1922" s="16" t="n">
        <v>0.606</v>
      </c>
      <c r="K1922" s="8" t="n">
        <v>7.7</v>
      </c>
      <c r="L1922" s="8" t="n">
        <v>6</v>
      </c>
      <c r="M1922" s="8" t="n">
        <v>2</v>
      </c>
      <c r="N1922" s="8" t="s">
        <v>120</v>
      </c>
      <c r="O1922" s="15" t="n">
        <f aca="false">H1922*12</f>
        <v>1728</v>
      </c>
      <c r="P1922" s="8" t="n">
        <f aca="false">MIN(100,ROUND(100*J1922/Assumptions!$B$8,0))</f>
        <v>67</v>
      </c>
      <c r="Q1922" s="8" t="n">
        <f aca="false">IF(L1922="",Assumptions!$B$9,L1922*10)</f>
        <v>60</v>
      </c>
      <c r="R1922" s="8" t="n">
        <f aca="false">IF(M1922&lt;=1,Assumptions!$B$12,IF(M1922&lt;=3,Assumptions!$B$13,IF(M1922&lt;=6,Assumptions!$B$14,Assumptions!$B$15)))</f>
        <v>75</v>
      </c>
      <c r="S1922" s="8" t="n">
        <f aca="false">IF(N1922="Completed On Time",Assumptions!$B$16,IF(N1922="Completed Late",Assumptions!$B$17,Assumptions!$B$18))</f>
        <v>100</v>
      </c>
      <c r="T1922" s="8" t="n">
        <f aca="false">IF(I1922=0,Assumptions!$B$20,IF(H1922&gt;I1922,Assumptions!$B$19,IF(H1922=I1922,Assumptions!$B$20,Assumptions!$B$21)))</f>
        <v>100</v>
      </c>
      <c r="U1922" s="8" t="n">
        <f aca="false">ROUND(P1922*Assumptions!$B$2+Q1922*Assumptions!$B$3+R1922*Assumptions!$B$4+S1922*Assumptions!$B$5+T1922*Assumptions!$B$6,0)</f>
        <v>77</v>
      </c>
      <c r="V1922" s="8" t="str">
        <f aca="false">IF(U1922&gt;=Assumptions!$B$10,"Healthy",IF(U1922&gt;=Assumptions!$B$11,"Needs Attention","High Risk"))</f>
        <v>Needs Attention</v>
      </c>
    </row>
    <row r="1923" customFormat="false" ht="15" hidden="false" customHeight="false" outlineLevel="0" collapsed="false">
      <c r="A1923" s="8" t="s">
        <v>3988</v>
      </c>
      <c r="B1923" s="8" t="s">
        <v>3989</v>
      </c>
      <c r="C1923" s="8" t="s">
        <v>51</v>
      </c>
      <c r="D1923" s="8" t="s">
        <v>2027</v>
      </c>
      <c r="E1923" s="8" t="s">
        <v>123</v>
      </c>
      <c r="F1923" s="8" t="s">
        <v>166</v>
      </c>
      <c r="G1923" s="8" t="s">
        <v>180</v>
      </c>
      <c r="H1923" s="15" t="n">
        <v>144</v>
      </c>
      <c r="I1923" s="15" t="n">
        <v>0</v>
      </c>
      <c r="J1923" s="16" t="n">
        <v>0.708</v>
      </c>
      <c r="K1923" s="8" t="n">
        <v>9</v>
      </c>
      <c r="L1923" s="8"/>
      <c r="M1923" s="8" t="n">
        <v>1</v>
      </c>
      <c r="N1923" s="8" t="s">
        <v>199</v>
      </c>
      <c r="O1923" s="15" t="n">
        <f aca="false">H1923*12</f>
        <v>1728</v>
      </c>
      <c r="P1923" s="8" t="n">
        <f aca="false">MIN(100,ROUND(100*J1923/Assumptions!$B$8,0))</f>
        <v>79</v>
      </c>
      <c r="Q1923" s="8" t="n">
        <f aca="false">IF(L1923="",Assumptions!$B$9,L1923*10)</f>
        <v>50</v>
      </c>
      <c r="R1923" s="8" t="n">
        <f aca="false">IF(M1923&lt;=1,Assumptions!$B$12,IF(M1923&lt;=3,Assumptions!$B$13,IF(M1923&lt;=6,Assumptions!$B$14,Assumptions!$B$15)))</f>
        <v>100</v>
      </c>
      <c r="S1923" s="8" t="n">
        <f aca="false">IF(N1923="Completed On Time",Assumptions!$B$16,IF(N1923="Completed Late",Assumptions!$B$17,Assumptions!$B$18))</f>
        <v>50</v>
      </c>
      <c r="T1923" s="8" t="n">
        <f aca="false">IF(I1923=0,Assumptions!$B$20,IF(H1923&gt;I1923,Assumptions!$B$19,IF(H1923=I1923,Assumptions!$B$20,Assumptions!$B$21)))</f>
        <v>70</v>
      </c>
      <c r="U1923" s="8" t="n">
        <f aca="false">ROUND(P1923*Assumptions!$B$2+Q1923*Assumptions!$B$3+R1923*Assumptions!$B$4+S1923*Assumptions!$B$5+T1923*Assumptions!$B$6,0)</f>
        <v>72</v>
      </c>
      <c r="V1923" s="8" t="str">
        <f aca="false">IF(U1923&gt;=Assumptions!$B$10,"Healthy",IF(U1923&gt;=Assumptions!$B$11,"Needs Attention","High Risk"))</f>
        <v>Needs Attention</v>
      </c>
    </row>
    <row r="1924" customFormat="false" ht="15" hidden="false" customHeight="false" outlineLevel="0" collapsed="false">
      <c r="A1924" s="8" t="s">
        <v>3990</v>
      </c>
      <c r="B1924" s="8" t="s">
        <v>3991</v>
      </c>
      <c r="C1924" s="8" t="s">
        <v>51</v>
      </c>
      <c r="D1924" s="8" t="s">
        <v>2027</v>
      </c>
      <c r="E1924" s="8" t="s">
        <v>128</v>
      </c>
      <c r="F1924" s="8" t="s">
        <v>190</v>
      </c>
      <c r="G1924" s="8" t="s">
        <v>185</v>
      </c>
      <c r="H1924" s="15" t="n">
        <v>144</v>
      </c>
      <c r="I1924" s="15" t="n">
        <v>144</v>
      </c>
      <c r="J1924" s="16" t="n">
        <v>0.722</v>
      </c>
      <c r="K1924" s="8" t="n">
        <v>8</v>
      </c>
      <c r="L1924" s="8" t="n">
        <v>7</v>
      </c>
      <c r="M1924" s="8" t="n">
        <v>1</v>
      </c>
      <c r="N1924" s="8" t="s">
        <v>120</v>
      </c>
      <c r="O1924" s="15" t="n">
        <f aca="false">H1924*12</f>
        <v>1728</v>
      </c>
      <c r="P1924" s="8" t="n">
        <f aca="false">MIN(100,ROUND(100*J1924/Assumptions!$B$8,0))</f>
        <v>80</v>
      </c>
      <c r="Q1924" s="8" t="n">
        <f aca="false">IF(L1924="",Assumptions!$B$9,L1924*10)</f>
        <v>70</v>
      </c>
      <c r="R1924" s="8" t="n">
        <f aca="false">IF(M1924&lt;=1,Assumptions!$B$12,IF(M1924&lt;=3,Assumptions!$B$13,IF(M1924&lt;=6,Assumptions!$B$14,Assumptions!$B$15)))</f>
        <v>100</v>
      </c>
      <c r="S1924" s="8" t="n">
        <f aca="false">IF(N1924="Completed On Time",Assumptions!$B$16,IF(N1924="Completed Late",Assumptions!$B$17,Assumptions!$B$18))</f>
        <v>100</v>
      </c>
      <c r="T1924" s="8" t="n">
        <f aca="false">IF(I1924=0,Assumptions!$B$20,IF(H1924&gt;I1924,Assumptions!$B$19,IF(H1924=I1924,Assumptions!$B$20,Assumptions!$B$21)))</f>
        <v>70</v>
      </c>
      <c r="U1924" s="8" t="n">
        <f aca="false">ROUND(P1924*Assumptions!$B$2+Q1924*Assumptions!$B$3+R1924*Assumptions!$B$4+S1924*Assumptions!$B$5+T1924*Assumptions!$B$6,0)</f>
        <v>81</v>
      </c>
      <c r="V1924" s="8" t="str">
        <f aca="false">IF(U1924&gt;=Assumptions!$B$10,"Healthy",IF(U1924&gt;=Assumptions!$B$11,"Needs Attention","High Risk"))</f>
        <v>Healthy</v>
      </c>
    </row>
    <row r="1925" customFormat="false" ht="15" hidden="false" customHeight="false" outlineLevel="0" collapsed="false">
      <c r="A1925" s="8" t="s">
        <v>3992</v>
      </c>
      <c r="B1925" s="8" t="s">
        <v>3993</v>
      </c>
      <c r="C1925" s="8" t="s">
        <v>51</v>
      </c>
      <c r="D1925" s="8" t="s">
        <v>2027</v>
      </c>
      <c r="E1925" s="8" t="s">
        <v>117</v>
      </c>
      <c r="F1925" s="8" t="s">
        <v>124</v>
      </c>
      <c r="G1925" s="8" t="s">
        <v>129</v>
      </c>
      <c r="H1925" s="15" t="n">
        <v>144</v>
      </c>
      <c r="I1925" s="15" t="n">
        <v>144</v>
      </c>
      <c r="J1925" s="16" t="n">
        <v>0.639</v>
      </c>
      <c r="K1925" s="8" t="n">
        <v>8.7</v>
      </c>
      <c r="L1925" s="8" t="n">
        <v>6</v>
      </c>
      <c r="M1925" s="8" t="n">
        <v>1</v>
      </c>
      <c r="N1925" s="8" t="s">
        <v>120</v>
      </c>
      <c r="O1925" s="15" t="n">
        <f aca="false">H1925*12</f>
        <v>1728</v>
      </c>
      <c r="P1925" s="8" t="n">
        <f aca="false">MIN(100,ROUND(100*J1925/Assumptions!$B$8,0))</f>
        <v>71</v>
      </c>
      <c r="Q1925" s="8" t="n">
        <f aca="false">IF(L1925="",Assumptions!$B$9,L1925*10)</f>
        <v>60</v>
      </c>
      <c r="R1925" s="8" t="n">
        <f aca="false">IF(M1925&lt;=1,Assumptions!$B$12,IF(M1925&lt;=3,Assumptions!$B$13,IF(M1925&lt;=6,Assumptions!$B$14,Assumptions!$B$15)))</f>
        <v>100</v>
      </c>
      <c r="S1925" s="8" t="n">
        <f aca="false">IF(N1925="Completed On Time",Assumptions!$B$16,IF(N1925="Completed Late",Assumptions!$B$17,Assumptions!$B$18))</f>
        <v>100</v>
      </c>
      <c r="T1925" s="8" t="n">
        <f aca="false">IF(I1925=0,Assumptions!$B$20,IF(H1925&gt;I1925,Assumptions!$B$19,IF(H1925=I1925,Assumptions!$B$20,Assumptions!$B$21)))</f>
        <v>70</v>
      </c>
      <c r="U1925" s="8" t="n">
        <f aca="false">ROUND(P1925*Assumptions!$B$2+Q1925*Assumptions!$B$3+R1925*Assumptions!$B$4+S1925*Assumptions!$B$5+T1925*Assumptions!$B$6,0)</f>
        <v>76</v>
      </c>
      <c r="V1925" s="8" t="str">
        <f aca="false">IF(U1925&gt;=Assumptions!$B$10,"Healthy",IF(U1925&gt;=Assumptions!$B$11,"Needs Attention","High Risk"))</f>
        <v>Needs Attention</v>
      </c>
    </row>
    <row r="1926" customFormat="false" ht="15" hidden="false" customHeight="false" outlineLevel="0" collapsed="false">
      <c r="A1926" s="8" t="s">
        <v>3994</v>
      </c>
      <c r="B1926" s="8" t="s">
        <v>3995</v>
      </c>
      <c r="C1926" s="8" t="s">
        <v>51</v>
      </c>
      <c r="D1926" s="8" t="s">
        <v>2027</v>
      </c>
      <c r="E1926" s="8" t="s">
        <v>123</v>
      </c>
      <c r="F1926" s="8" t="s">
        <v>133</v>
      </c>
      <c r="G1926" s="8" t="s">
        <v>119</v>
      </c>
      <c r="H1926" s="15" t="n">
        <v>144</v>
      </c>
      <c r="I1926" s="15" t="n">
        <v>144</v>
      </c>
      <c r="J1926" s="16" t="n">
        <v>0.722</v>
      </c>
      <c r="K1926" s="8" t="n">
        <v>8.7</v>
      </c>
      <c r="L1926" s="8" t="n">
        <v>8</v>
      </c>
      <c r="M1926" s="8" t="n">
        <v>1</v>
      </c>
      <c r="N1926" s="8" t="s">
        <v>120</v>
      </c>
      <c r="O1926" s="15" t="n">
        <f aca="false">H1926*12</f>
        <v>1728</v>
      </c>
      <c r="P1926" s="8" t="n">
        <f aca="false">MIN(100,ROUND(100*J1926/Assumptions!$B$8,0))</f>
        <v>80</v>
      </c>
      <c r="Q1926" s="8" t="n">
        <f aca="false">IF(L1926="",Assumptions!$B$9,L1926*10)</f>
        <v>80</v>
      </c>
      <c r="R1926" s="8" t="n">
        <f aca="false">IF(M1926&lt;=1,Assumptions!$B$12,IF(M1926&lt;=3,Assumptions!$B$13,IF(M1926&lt;=6,Assumptions!$B$14,Assumptions!$B$15)))</f>
        <v>100</v>
      </c>
      <c r="S1926" s="8" t="n">
        <f aca="false">IF(N1926="Completed On Time",Assumptions!$B$16,IF(N1926="Completed Late",Assumptions!$B$17,Assumptions!$B$18))</f>
        <v>100</v>
      </c>
      <c r="T1926" s="8" t="n">
        <f aca="false">IF(I1926=0,Assumptions!$B$20,IF(H1926&gt;I1926,Assumptions!$B$19,IF(H1926=I1926,Assumptions!$B$20,Assumptions!$B$21)))</f>
        <v>70</v>
      </c>
      <c r="U1926" s="8" t="n">
        <f aca="false">ROUND(P1926*Assumptions!$B$2+Q1926*Assumptions!$B$3+R1926*Assumptions!$B$4+S1926*Assumptions!$B$5+T1926*Assumptions!$B$6,0)</f>
        <v>83</v>
      </c>
      <c r="V1926" s="8" t="str">
        <f aca="false">IF(U1926&gt;=Assumptions!$B$10,"Healthy",IF(U1926&gt;=Assumptions!$B$11,"Needs Attention","High Risk"))</f>
        <v>Healthy</v>
      </c>
    </row>
    <row r="1927" customFormat="false" ht="15" hidden="false" customHeight="false" outlineLevel="0" collapsed="false">
      <c r="A1927" s="8" t="s">
        <v>3996</v>
      </c>
      <c r="B1927" s="8" t="s">
        <v>3997</v>
      </c>
      <c r="C1927" s="8" t="s">
        <v>51</v>
      </c>
      <c r="D1927" s="8" t="s">
        <v>2027</v>
      </c>
      <c r="E1927" s="8" t="s">
        <v>128</v>
      </c>
      <c r="F1927" s="8" t="s">
        <v>154</v>
      </c>
      <c r="G1927" s="8" t="s">
        <v>119</v>
      </c>
      <c r="H1927" s="15" t="n">
        <v>144</v>
      </c>
      <c r="I1927" s="15" t="n">
        <v>120</v>
      </c>
      <c r="J1927" s="16" t="n">
        <v>0.694</v>
      </c>
      <c r="K1927" s="8" t="n">
        <v>7.3</v>
      </c>
      <c r="L1927" s="8" t="n">
        <v>10</v>
      </c>
      <c r="M1927" s="8" t="n">
        <v>1</v>
      </c>
      <c r="N1927" s="8" t="s">
        <v>120</v>
      </c>
      <c r="O1927" s="15" t="n">
        <f aca="false">H1927*12</f>
        <v>1728</v>
      </c>
      <c r="P1927" s="8" t="n">
        <f aca="false">MIN(100,ROUND(100*J1927/Assumptions!$B$8,0))</f>
        <v>77</v>
      </c>
      <c r="Q1927" s="8" t="n">
        <f aca="false">IF(L1927="",Assumptions!$B$9,L1927*10)</f>
        <v>100</v>
      </c>
      <c r="R1927" s="8" t="n">
        <f aca="false">IF(M1927&lt;=1,Assumptions!$B$12,IF(M1927&lt;=3,Assumptions!$B$13,IF(M1927&lt;=6,Assumptions!$B$14,Assumptions!$B$15)))</f>
        <v>100</v>
      </c>
      <c r="S1927" s="8" t="n">
        <f aca="false">IF(N1927="Completed On Time",Assumptions!$B$16,IF(N1927="Completed Late",Assumptions!$B$17,Assumptions!$B$18))</f>
        <v>100</v>
      </c>
      <c r="T1927" s="8" t="n">
        <f aca="false">IF(I1927=0,Assumptions!$B$20,IF(H1927&gt;I1927,Assumptions!$B$19,IF(H1927=I1927,Assumptions!$B$20,Assumptions!$B$21)))</f>
        <v>100</v>
      </c>
      <c r="U1927" s="8" t="n">
        <f aca="false">ROUND(P1927*Assumptions!$B$2+Q1927*Assumptions!$B$3+R1927*Assumptions!$B$4+S1927*Assumptions!$B$5+T1927*Assumptions!$B$6,0)</f>
        <v>92</v>
      </c>
      <c r="V1927" s="8" t="str">
        <f aca="false">IF(U1927&gt;=Assumptions!$B$10,"Healthy",IF(U1927&gt;=Assumptions!$B$11,"Needs Attention","High Risk"))</f>
        <v>Healthy</v>
      </c>
    </row>
    <row r="1928" customFormat="false" ht="15" hidden="false" customHeight="false" outlineLevel="0" collapsed="false">
      <c r="A1928" s="8" t="s">
        <v>3998</v>
      </c>
      <c r="B1928" s="8" t="s">
        <v>3999</v>
      </c>
      <c r="C1928" s="8" t="s">
        <v>51</v>
      </c>
      <c r="D1928" s="8" t="s">
        <v>2027</v>
      </c>
      <c r="E1928" s="8" t="s">
        <v>123</v>
      </c>
      <c r="F1928" s="8" t="s">
        <v>166</v>
      </c>
      <c r="G1928" s="8" t="s">
        <v>159</v>
      </c>
      <c r="H1928" s="15" t="n">
        <v>144</v>
      </c>
      <c r="I1928" s="15" t="n">
        <v>144</v>
      </c>
      <c r="J1928" s="16" t="n">
        <v>0.778</v>
      </c>
      <c r="K1928" s="8" t="n">
        <v>7.7</v>
      </c>
      <c r="L1928" s="8" t="n">
        <v>7</v>
      </c>
      <c r="M1928" s="8" t="n">
        <v>2</v>
      </c>
      <c r="N1928" s="8" t="s">
        <v>120</v>
      </c>
      <c r="O1928" s="15" t="n">
        <f aca="false">H1928*12</f>
        <v>1728</v>
      </c>
      <c r="P1928" s="8" t="n">
        <f aca="false">MIN(100,ROUND(100*J1928/Assumptions!$B$8,0))</f>
        <v>86</v>
      </c>
      <c r="Q1928" s="8" t="n">
        <f aca="false">IF(L1928="",Assumptions!$B$9,L1928*10)</f>
        <v>70</v>
      </c>
      <c r="R1928" s="8" t="n">
        <f aca="false">IF(M1928&lt;=1,Assumptions!$B$12,IF(M1928&lt;=3,Assumptions!$B$13,IF(M1928&lt;=6,Assumptions!$B$14,Assumptions!$B$15)))</f>
        <v>75</v>
      </c>
      <c r="S1928" s="8" t="n">
        <f aca="false">IF(N1928="Completed On Time",Assumptions!$B$16,IF(N1928="Completed Late",Assumptions!$B$17,Assumptions!$B$18))</f>
        <v>100</v>
      </c>
      <c r="T1928" s="8" t="n">
        <f aca="false">IF(I1928=0,Assumptions!$B$20,IF(H1928&gt;I1928,Assumptions!$B$19,IF(H1928=I1928,Assumptions!$B$20,Assumptions!$B$21)))</f>
        <v>70</v>
      </c>
      <c r="U1928" s="8" t="n">
        <f aca="false">ROUND(P1928*Assumptions!$B$2+Q1928*Assumptions!$B$3+R1928*Assumptions!$B$4+S1928*Assumptions!$B$5+T1928*Assumptions!$B$6,0)</f>
        <v>79</v>
      </c>
      <c r="V1928" s="8" t="str">
        <f aca="false">IF(U1928&gt;=Assumptions!$B$10,"Healthy",IF(U1928&gt;=Assumptions!$B$11,"Needs Attention","High Risk"))</f>
        <v>Needs Attention</v>
      </c>
    </row>
    <row r="1929" customFormat="false" ht="15" hidden="false" customHeight="false" outlineLevel="0" collapsed="false">
      <c r="A1929" s="8" t="s">
        <v>4000</v>
      </c>
      <c r="B1929" s="8" t="s">
        <v>4001</v>
      </c>
      <c r="C1929" s="8" t="s">
        <v>51</v>
      </c>
      <c r="D1929" s="8" t="s">
        <v>2027</v>
      </c>
      <c r="E1929" s="8" t="s">
        <v>132</v>
      </c>
      <c r="F1929" s="8" t="s">
        <v>118</v>
      </c>
      <c r="G1929" s="8" t="s">
        <v>180</v>
      </c>
      <c r="H1929" s="15" t="n">
        <v>144</v>
      </c>
      <c r="I1929" s="15" t="n">
        <v>0</v>
      </c>
      <c r="J1929" s="16" t="n">
        <v>0.708</v>
      </c>
      <c r="K1929" s="8" t="n">
        <v>9</v>
      </c>
      <c r="L1929" s="8"/>
      <c r="M1929" s="8" t="n">
        <v>3</v>
      </c>
      <c r="N1929" s="8" t="s">
        <v>120</v>
      </c>
      <c r="O1929" s="15" t="n">
        <f aca="false">H1929*12</f>
        <v>1728</v>
      </c>
      <c r="P1929" s="8" t="n">
        <f aca="false">MIN(100,ROUND(100*J1929/Assumptions!$B$8,0))</f>
        <v>79</v>
      </c>
      <c r="Q1929" s="8" t="n">
        <f aca="false">IF(L1929="",Assumptions!$B$9,L1929*10)</f>
        <v>50</v>
      </c>
      <c r="R1929" s="8" t="n">
        <f aca="false">IF(M1929&lt;=1,Assumptions!$B$12,IF(M1929&lt;=3,Assumptions!$B$13,IF(M1929&lt;=6,Assumptions!$B$14,Assumptions!$B$15)))</f>
        <v>75</v>
      </c>
      <c r="S1929" s="8" t="n">
        <f aca="false">IF(N1929="Completed On Time",Assumptions!$B$16,IF(N1929="Completed Late",Assumptions!$B$17,Assumptions!$B$18))</f>
        <v>100</v>
      </c>
      <c r="T1929" s="8" t="n">
        <f aca="false">IF(I1929=0,Assumptions!$B$20,IF(H1929&gt;I1929,Assumptions!$B$19,IF(H1929=I1929,Assumptions!$B$20,Assumptions!$B$21)))</f>
        <v>70</v>
      </c>
      <c r="U1929" s="8" t="n">
        <f aca="false">ROUND(P1929*Assumptions!$B$2+Q1929*Assumptions!$B$3+R1929*Assumptions!$B$4+S1929*Assumptions!$B$5+T1929*Assumptions!$B$6,0)</f>
        <v>73</v>
      </c>
      <c r="V1929" s="8" t="str">
        <f aca="false">IF(U1929&gt;=Assumptions!$B$10,"Healthy",IF(U1929&gt;=Assumptions!$B$11,"Needs Attention","High Risk"))</f>
        <v>Needs Attention</v>
      </c>
    </row>
    <row r="1930" customFormat="false" ht="15" hidden="false" customHeight="false" outlineLevel="0" collapsed="false">
      <c r="A1930" s="8" t="s">
        <v>4002</v>
      </c>
      <c r="B1930" s="8" t="s">
        <v>4003</v>
      </c>
      <c r="C1930" s="8" t="s">
        <v>51</v>
      </c>
      <c r="D1930" s="8" t="s">
        <v>2027</v>
      </c>
      <c r="E1930" s="8" t="s">
        <v>123</v>
      </c>
      <c r="F1930" s="8" t="s">
        <v>154</v>
      </c>
      <c r="G1930" s="8" t="s">
        <v>185</v>
      </c>
      <c r="H1930" s="15" t="n">
        <v>144</v>
      </c>
      <c r="I1930" s="15" t="n">
        <v>144</v>
      </c>
      <c r="J1930" s="16" t="n">
        <v>0.806</v>
      </c>
      <c r="K1930" s="8" t="n">
        <v>10</v>
      </c>
      <c r="L1930" s="8" t="n">
        <v>8</v>
      </c>
      <c r="M1930" s="8" t="n">
        <v>0</v>
      </c>
      <c r="N1930" s="8" t="s">
        <v>120</v>
      </c>
      <c r="O1930" s="15" t="n">
        <f aca="false">H1930*12</f>
        <v>1728</v>
      </c>
      <c r="P1930" s="8" t="n">
        <f aca="false">MIN(100,ROUND(100*J1930/Assumptions!$B$8,0))</f>
        <v>90</v>
      </c>
      <c r="Q1930" s="8" t="n">
        <f aca="false">IF(L1930="",Assumptions!$B$9,L1930*10)</f>
        <v>80</v>
      </c>
      <c r="R1930" s="8" t="n">
        <f aca="false">IF(M1930&lt;=1,Assumptions!$B$12,IF(M1930&lt;=3,Assumptions!$B$13,IF(M1930&lt;=6,Assumptions!$B$14,Assumptions!$B$15)))</f>
        <v>100</v>
      </c>
      <c r="S1930" s="8" t="n">
        <f aca="false">IF(N1930="Completed On Time",Assumptions!$B$16,IF(N1930="Completed Late",Assumptions!$B$17,Assumptions!$B$18))</f>
        <v>100</v>
      </c>
      <c r="T1930" s="8" t="n">
        <f aca="false">IF(I1930=0,Assumptions!$B$20,IF(H1930&gt;I1930,Assumptions!$B$19,IF(H1930=I1930,Assumptions!$B$20,Assumptions!$B$21)))</f>
        <v>70</v>
      </c>
      <c r="U1930" s="8" t="n">
        <f aca="false">ROUND(P1930*Assumptions!$B$2+Q1930*Assumptions!$B$3+R1930*Assumptions!$B$4+S1930*Assumptions!$B$5+T1930*Assumptions!$B$6,0)</f>
        <v>87</v>
      </c>
      <c r="V1930" s="8" t="str">
        <f aca="false">IF(U1930&gt;=Assumptions!$B$10,"Healthy",IF(U1930&gt;=Assumptions!$B$11,"Needs Attention","High Risk"))</f>
        <v>Healthy</v>
      </c>
    </row>
    <row r="1931" customFormat="false" ht="15" hidden="false" customHeight="false" outlineLevel="0" collapsed="false">
      <c r="A1931" s="8" t="s">
        <v>4004</v>
      </c>
      <c r="B1931" s="8" t="s">
        <v>4005</v>
      </c>
      <c r="C1931" s="8" t="s">
        <v>51</v>
      </c>
      <c r="D1931" s="8" t="s">
        <v>2027</v>
      </c>
      <c r="E1931" s="8" t="s">
        <v>123</v>
      </c>
      <c r="F1931" s="8" t="s">
        <v>124</v>
      </c>
      <c r="G1931" s="8" t="s">
        <v>159</v>
      </c>
      <c r="H1931" s="15" t="n">
        <v>144</v>
      </c>
      <c r="I1931" s="15" t="n">
        <v>144</v>
      </c>
      <c r="J1931" s="16" t="n">
        <v>0.944</v>
      </c>
      <c r="K1931" s="8" t="n">
        <v>11</v>
      </c>
      <c r="L1931" s="8" t="n">
        <v>10</v>
      </c>
      <c r="M1931" s="8" t="n">
        <v>0</v>
      </c>
      <c r="N1931" s="8" t="s">
        <v>120</v>
      </c>
      <c r="O1931" s="15" t="n">
        <f aca="false">H1931*12</f>
        <v>1728</v>
      </c>
      <c r="P1931" s="8" t="n">
        <f aca="false">MIN(100,ROUND(100*J1931/Assumptions!$B$8,0))</f>
        <v>100</v>
      </c>
      <c r="Q1931" s="8" t="n">
        <f aca="false">IF(L1931="",Assumptions!$B$9,L1931*10)</f>
        <v>100</v>
      </c>
      <c r="R1931" s="8" t="n">
        <f aca="false">IF(M1931&lt;=1,Assumptions!$B$12,IF(M1931&lt;=3,Assumptions!$B$13,IF(M1931&lt;=6,Assumptions!$B$14,Assumptions!$B$15)))</f>
        <v>100</v>
      </c>
      <c r="S1931" s="8" t="n">
        <f aca="false">IF(N1931="Completed On Time",Assumptions!$B$16,IF(N1931="Completed Late",Assumptions!$B$17,Assumptions!$B$18))</f>
        <v>100</v>
      </c>
      <c r="T1931" s="8" t="n">
        <f aca="false">IF(I1931=0,Assumptions!$B$20,IF(H1931&gt;I1931,Assumptions!$B$19,IF(H1931=I1931,Assumptions!$B$20,Assumptions!$B$21)))</f>
        <v>70</v>
      </c>
      <c r="U1931" s="8" t="n">
        <f aca="false">ROUND(P1931*Assumptions!$B$2+Q1931*Assumptions!$B$3+R1931*Assumptions!$B$4+S1931*Assumptions!$B$5+T1931*Assumptions!$B$6,0)</f>
        <v>94</v>
      </c>
      <c r="V1931" s="8" t="str">
        <f aca="false">IF(U1931&gt;=Assumptions!$B$10,"Healthy",IF(U1931&gt;=Assumptions!$B$11,"Needs Attention","High Risk"))</f>
        <v>Healthy</v>
      </c>
    </row>
    <row r="1932" customFormat="false" ht="15" hidden="false" customHeight="false" outlineLevel="0" collapsed="false">
      <c r="A1932" s="8" t="s">
        <v>4006</v>
      </c>
      <c r="B1932" s="8" t="s">
        <v>4007</v>
      </c>
      <c r="C1932" s="8" t="s">
        <v>51</v>
      </c>
      <c r="D1932" s="8" t="s">
        <v>2027</v>
      </c>
      <c r="E1932" s="8" t="s">
        <v>123</v>
      </c>
      <c r="F1932" s="8" t="s">
        <v>136</v>
      </c>
      <c r="G1932" s="8" t="s">
        <v>144</v>
      </c>
      <c r="H1932" s="15" t="n">
        <v>144</v>
      </c>
      <c r="I1932" s="15" t="n">
        <v>144</v>
      </c>
      <c r="J1932" s="16" t="n">
        <v>0.75</v>
      </c>
      <c r="K1932" s="8" t="n">
        <v>10</v>
      </c>
      <c r="L1932" s="8" t="n">
        <v>9</v>
      </c>
      <c r="M1932" s="8" t="n">
        <v>1</v>
      </c>
      <c r="N1932" s="8" t="s">
        <v>120</v>
      </c>
      <c r="O1932" s="15" t="n">
        <f aca="false">H1932*12</f>
        <v>1728</v>
      </c>
      <c r="P1932" s="8" t="n">
        <f aca="false">MIN(100,ROUND(100*J1932/Assumptions!$B$8,0))</f>
        <v>83</v>
      </c>
      <c r="Q1932" s="8" t="n">
        <f aca="false">IF(L1932="",Assumptions!$B$9,L1932*10)</f>
        <v>90</v>
      </c>
      <c r="R1932" s="8" t="n">
        <f aca="false">IF(M1932&lt;=1,Assumptions!$B$12,IF(M1932&lt;=3,Assumptions!$B$13,IF(M1932&lt;=6,Assumptions!$B$14,Assumptions!$B$15)))</f>
        <v>100</v>
      </c>
      <c r="S1932" s="8" t="n">
        <f aca="false">IF(N1932="Completed On Time",Assumptions!$B$16,IF(N1932="Completed Late",Assumptions!$B$17,Assumptions!$B$18))</f>
        <v>100</v>
      </c>
      <c r="T1932" s="8" t="n">
        <f aca="false">IF(I1932=0,Assumptions!$B$20,IF(H1932&gt;I1932,Assumptions!$B$19,IF(H1932=I1932,Assumptions!$B$20,Assumptions!$B$21)))</f>
        <v>70</v>
      </c>
      <c r="U1932" s="8" t="n">
        <f aca="false">ROUND(P1932*Assumptions!$B$2+Q1932*Assumptions!$B$3+R1932*Assumptions!$B$4+S1932*Assumptions!$B$5+T1932*Assumptions!$B$6,0)</f>
        <v>86</v>
      </c>
      <c r="V1932" s="8" t="str">
        <f aca="false">IF(U1932&gt;=Assumptions!$B$10,"Healthy",IF(U1932&gt;=Assumptions!$B$11,"Needs Attention","High Risk"))</f>
        <v>Healthy</v>
      </c>
    </row>
    <row r="1933" customFormat="false" ht="15" hidden="false" customHeight="false" outlineLevel="0" collapsed="false">
      <c r="A1933" s="8" t="s">
        <v>4008</v>
      </c>
      <c r="B1933" s="8" t="s">
        <v>4009</v>
      </c>
      <c r="C1933" s="8" t="s">
        <v>51</v>
      </c>
      <c r="D1933" s="8" t="s">
        <v>2027</v>
      </c>
      <c r="E1933" s="8" t="s">
        <v>132</v>
      </c>
      <c r="F1933" s="8" t="s">
        <v>223</v>
      </c>
      <c r="G1933" s="8" t="s">
        <v>119</v>
      </c>
      <c r="H1933" s="15" t="n">
        <v>144</v>
      </c>
      <c r="I1933" s="15" t="n">
        <v>144</v>
      </c>
      <c r="J1933" s="16" t="n">
        <v>0.917</v>
      </c>
      <c r="K1933" s="8" t="n">
        <v>10</v>
      </c>
      <c r="L1933" s="8" t="n">
        <v>10</v>
      </c>
      <c r="M1933" s="8" t="n">
        <v>2</v>
      </c>
      <c r="N1933" s="8" t="s">
        <v>120</v>
      </c>
      <c r="O1933" s="15" t="n">
        <f aca="false">H1933*12</f>
        <v>1728</v>
      </c>
      <c r="P1933" s="8" t="n">
        <f aca="false">MIN(100,ROUND(100*J1933/Assumptions!$B$8,0))</f>
        <v>100</v>
      </c>
      <c r="Q1933" s="8" t="n">
        <f aca="false">IF(L1933="",Assumptions!$B$9,L1933*10)</f>
        <v>100</v>
      </c>
      <c r="R1933" s="8" t="n">
        <f aca="false">IF(M1933&lt;=1,Assumptions!$B$12,IF(M1933&lt;=3,Assumptions!$B$13,IF(M1933&lt;=6,Assumptions!$B$14,Assumptions!$B$15)))</f>
        <v>75</v>
      </c>
      <c r="S1933" s="8" t="n">
        <f aca="false">IF(N1933="Completed On Time",Assumptions!$B$16,IF(N1933="Completed Late",Assumptions!$B$17,Assumptions!$B$18))</f>
        <v>100</v>
      </c>
      <c r="T1933" s="8" t="n">
        <f aca="false">IF(I1933=0,Assumptions!$B$20,IF(H1933&gt;I1933,Assumptions!$B$19,IF(H1933=I1933,Assumptions!$B$20,Assumptions!$B$21)))</f>
        <v>70</v>
      </c>
      <c r="U1933" s="8" t="n">
        <f aca="false">ROUND(P1933*Assumptions!$B$2+Q1933*Assumptions!$B$3+R1933*Assumptions!$B$4+S1933*Assumptions!$B$5+T1933*Assumptions!$B$6,0)</f>
        <v>90</v>
      </c>
      <c r="V1933" s="8" t="str">
        <f aca="false">IF(U1933&gt;=Assumptions!$B$10,"Healthy",IF(U1933&gt;=Assumptions!$B$11,"Needs Attention","High Risk"))</f>
        <v>Healthy</v>
      </c>
    </row>
    <row r="1934" customFormat="false" ht="15" hidden="false" customHeight="false" outlineLevel="0" collapsed="false">
      <c r="A1934" s="8" t="s">
        <v>4010</v>
      </c>
      <c r="B1934" s="8" t="s">
        <v>4011</v>
      </c>
      <c r="C1934" s="8" t="s">
        <v>51</v>
      </c>
      <c r="D1934" s="8" t="s">
        <v>2027</v>
      </c>
      <c r="E1934" s="8" t="s">
        <v>123</v>
      </c>
      <c r="F1934" s="8" t="s">
        <v>190</v>
      </c>
      <c r="G1934" s="8" t="s">
        <v>147</v>
      </c>
      <c r="H1934" s="15" t="n">
        <v>144</v>
      </c>
      <c r="I1934" s="15" t="n">
        <v>144</v>
      </c>
      <c r="J1934" s="16" t="n">
        <v>0.861</v>
      </c>
      <c r="K1934" s="8" t="n">
        <v>11.3</v>
      </c>
      <c r="L1934" s="8" t="n">
        <v>10</v>
      </c>
      <c r="M1934" s="8" t="n">
        <v>0</v>
      </c>
      <c r="N1934" s="8" t="s">
        <v>120</v>
      </c>
      <c r="O1934" s="15" t="n">
        <f aca="false">H1934*12</f>
        <v>1728</v>
      </c>
      <c r="P1934" s="8" t="n">
        <f aca="false">MIN(100,ROUND(100*J1934/Assumptions!$B$8,0))</f>
        <v>96</v>
      </c>
      <c r="Q1934" s="8" t="n">
        <f aca="false">IF(L1934="",Assumptions!$B$9,L1934*10)</f>
        <v>100</v>
      </c>
      <c r="R1934" s="8" t="n">
        <f aca="false">IF(M1934&lt;=1,Assumptions!$B$12,IF(M1934&lt;=3,Assumptions!$B$13,IF(M1934&lt;=6,Assumptions!$B$14,Assumptions!$B$15)))</f>
        <v>100</v>
      </c>
      <c r="S1934" s="8" t="n">
        <f aca="false">IF(N1934="Completed On Time",Assumptions!$B$16,IF(N1934="Completed Late",Assumptions!$B$17,Assumptions!$B$18))</f>
        <v>100</v>
      </c>
      <c r="T1934" s="8" t="n">
        <f aca="false">IF(I1934=0,Assumptions!$B$20,IF(H1934&gt;I1934,Assumptions!$B$19,IF(H1934=I1934,Assumptions!$B$20,Assumptions!$B$21)))</f>
        <v>70</v>
      </c>
      <c r="U1934" s="8" t="n">
        <f aca="false">ROUND(P1934*Assumptions!$B$2+Q1934*Assumptions!$B$3+R1934*Assumptions!$B$4+S1934*Assumptions!$B$5+T1934*Assumptions!$B$6,0)</f>
        <v>93</v>
      </c>
      <c r="V1934" s="8" t="str">
        <f aca="false">IF(U1934&gt;=Assumptions!$B$10,"Healthy",IF(U1934&gt;=Assumptions!$B$11,"Needs Attention","High Risk"))</f>
        <v>Healthy</v>
      </c>
    </row>
    <row r="1935" customFormat="false" ht="15" hidden="false" customHeight="false" outlineLevel="0" collapsed="false">
      <c r="A1935" s="8" t="s">
        <v>4012</v>
      </c>
      <c r="B1935" s="8" t="s">
        <v>4013</v>
      </c>
      <c r="C1935" s="8" t="s">
        <v>51</v>
      </c>
      <c r="D1935" s="8" t="s">
        <v>2027</v>
      </c>
      <c r="E1935" s="8" t="s">
        <v>123</v>
      </c>
      <c r="F1935" s="8" t="s">
        <v>143</v>
      </c>
      <c r="G1935" s="8" t="s">
        <v>140</v>
      </c>
      <c r="H1935" s="15" t="n">
        <v>144</v>
      </c>
      <c r="I1935" s="15" t="n">
        <v>144</v>
      </c>
      <c r="J1935" s="16" t="n">
        <v>0.833</v>
      </c>
      <c r="K1935" s="8" t="n">
        <v>8</v>
      </c>
      <c r="L1935" s="8" t="n">
        <v>7</v>
      </c>
      <c r="M1935" s="8" t="n">
        <v>0</v>
      </c>
      <c r="N1935" s="8" t="s">
        <v>120</v>
      </c>
      <c r="O1935" s="15" t="n">
        <f aca="false">H1935*12</f>
        <v>1728</v>
      </c>
      <c r="P1935" s="8" t="n">
        <f aca="false">MIN(100,ROUND(100*J1935/Assumptions!$B$8,0))</f>
        <v>93</v>
      </c>
      <c r="Q1935" s="8" t="n">
        <f aca="false">IF(L1935="",Assumptions!$B$9,L1935*10)</f>
        <v>70</v>
      </c>
      <c r="R1935" s="8" t="n">
        <f aca="false">IF(M1935&lt;=1,Assumptions!$B$12,IF(M1935&lt;=3,Assumptions!$B$13,IF(M1935&lt;=6,Assumptions!$B$14,Assumptions!$B$15)))</f>
        <v>100</v>
      </c>
      <c r="S1935" s="8" t="n">
        <f aca="false">IF(N1935="Completed On Time",Assumptions!$B$16,IF(N1935="Completed Late",Assumptions!$B$17,Assumptions!$B$18))</f>
        <v>100</v>
      </c>
      <c r="T1935" s="8" t="n">
        <f aca="false">IF(I1935=0,Assumptions!$B$20,IF(H1935&gt;I1935,Assumptions!$B$19,IF(H1935=I1935,Assumptions!$B$20,Assumptions!$B$21)))</f>
        <v>70</v>
      </c>
      <c r="U1935" s="8" t="n">
        <f aca="false">ROUND(P1935*Assumptions!$B$2+Q1935*Assumptions!$B$3+R1935*Assumptions!$B$4+S1935*Assumptions!$B$5+T1935*Assumptions!$B$6,0)</f>
        <v>86</v>
      </c>
      <c r="V1935" s="8" t="str">
        <f aca="false">IF(U1935&gt;=Assumptions!$B$10,"Healthy",IF(U1935&gt;=Assumptions!$B$11,"Needs Attention","High Risk"))</f>
        <v>Healthy</v>
      </c>
    </row>
    <row r="1936" customFormat="false" ht="15" hidden="false" customHeight="false" outlineLevel="0" collapsed="false">
      <c r="A1936" s="8" t="s">
        <v>4014</v>
      </c>
      <c r="B1936" s="8" t="s">
        <v>4015</v>
      </c>
      <c r="C1936" s="8" t="s">
        <v>51</v>
      </c>
      <c r="D1936" s="8" t="s">
        <v>2027</v>
      </c>
      <c r="E1936" s="8" t="s">
        <v>132</v>
      </c>
      <c r="F1936" s="8" t="s">
        <v>124</v>
      </c>
      <c r="G1936" s="8" t="s">
        <v>119</v>
      </c>
      <c r="H1936" s="15" t="n">
        <v>144</v>
      </c>
      <c r="I1936" s="15" t="n">
        <v>144</v>
      </c>
      <c r="J1936" s="16" t="n">
        <v>0.778</v>
      </c>
      <c r="K1936" s="8" t="n">
        <v>11</v>
      </c>
      <c r="L1936" s="8" t="n">
        <v>9</v>
      </c>
      <c r="M1936" s="8" t="n">
        <v>1</v>
      </c>
      <c r="N1936" s="8" t="s">
        <v>120</v>
      </c>
      <c r="O1936" s="15" t="n">
        <f aca="false">H1936*12</f>
        <v>1728</v>
      </c>
      <c r="P1936" s="8" t="n">
        <f aca="false">MIN(100,ROUND(100*J1936/Assumptions!$B$8,0))</f>
        <v>86</v>
      </c>
      <c r="Q1936" s="8" t="n">
        <f aca="false">IF(L1936="",Assumptions!$B$9,L1936*10)</f>
        <v>90</v>
      </c>
      <c r="R1936" s="8" t="n">
        <f aca="false">IF(M1936&lt;=1,Assumptions!$B$12,IF(M1936&lt;=3,Assumptions!$B$13,IF(M1936&lt;=6,Assumptions!$B$14,Assumptions!$B$15)))</f>
        <v>100</v>
      </c>
      <c r="S1936" s="8" t="n">
        <f aca="false">IF(N1936="Completed On Time",Assumptions!$B$16,IF(N1936="Completed Late",Assumptions!$B$17,Assumptions!$B$18))</f>
        <v>100</v>
      </c>
      <c r="T1936" s="8" t="n">
        <f aca="false">IF(I1936=0,Assumptions!$B$20,IF(H1936&gt;I1936,Assumptions!$B$19,IF(H1936=I1936,Assumptions!$B$20,Assumptions!$B$21)))</f>
        <v>70</v>
      </c>
      <c r="U1936" s="8" t="n">
        <f aca="false">ROUND(P1936*Assumptions!$B$2+Q1936*Assumptions!$B$3+R1936*Assumptions!$B$4+S1936*Assumptions!$B$5+T1936*Assumptions!$B$6,0)</f>
        <v>87</v>
      </c>
      <c r="V1936" s="8" t="str">
        <f aca="false">IF(U1936&gt;=Assumptions!$B$10,"Healthy",IF(U1936&gt;=Assumptions!$B$11,"Needs Attention","High Risk"))</f>
        <v>Healthy</v>
      </c>
    </row>
    <row r="1937" customFormat="false" ht="15" hidden="false" customHeight="false" outlineLevel="0" collapsed="false">
      <c r="A1937" s="8" t="s">
        <v>4016</v>
      </c>
      <c r="B1937" s="8" t="s">
        <v>4017</v>
      </c>
      <c r="C1937" s="8" t="s">
        <v>51</v>
      </c>
      <c r="D1937" s="8" t="s">
        <v>2027</v>
      </c>
      <c r="E1937" s="8" t="s">
        <v>117</v>
      </c>
      <c r="F1937" s="8" t="s">
        <v>133</v>
      </c>
      <c r="G1937" s="8" t="s">
        <v>129</v>
      </c>
      <c r="H1937" s="15" t="n">
        <v>144</v>
      </c>
      <c r="I1937" s="15" t="n">
        <v>144</v>
      </c>
      <c r="J1937" s="16" t="n">
        <v>0.861</v>
      </c>
      <c r="K1937" s="8" t="n">
        <v>11.3</v>
      </c>
      <c r="L1937" s="8" t="n">
        <v>10</v>
      </c>
      <c r="M1937" s="8" t="n">
        <v>0</v>
      </c>
      <c r="N1937" s="8" t="s">
        <v>120</v>
      </c>
      <c r="O1937" s="15" t="n">
        <f aca="false">H1937*12</f>
        <v>1728</v>
      </c>
      <c r="P1937" s="8" t="n">
        <f aca="false">MIN(100,ROUND(100*J1937/Assumptions!$B$8,0))</f>
        <v>96</v>
      </c>
      <c r="Q1937" s="8" t="n">
        <f aca="false">IF(L1937="",Assumptions!$B$9,L1937*10)</f>
        <v>100</v>
      </c>
      <c r="R1937" s="8" t="n">
        <f aca="false">IF(M1937&lt;=1,Assumptions!$B$12,IF(M1937&lt;=3,Assumptions!$B$13,IF(M1937&lt;=6,Assumptions!$B$14,Assumptions!$B$15)))</f>
        <v>100</v>
      </c>
      <c r="S1937" s="8" t="n">
        <f aca="false">IF(N1937="Completed On Time",Assumptions!$B$16,IF(N1937="Completed Late",Assumptions!$B$17,Assumptions!$B$18))</f>
        <v>100</v>
      </c>
      <c r="T1937" s="8" t="n">
        <f aca="false">IF(I1937=0,Assumptions!$B$20,IF(H1937&gt;I1937,Assumptions!$B$19,IF(H1937=I1937,Assumptions!$B$20,Assumptions!$B$21)))</f>
        <v>70</v>
      </c>
      <c r="U1937" s="8" t="n">
        <f aca="false">ROUND(P1937*Assumptions!$B$2+Q1937*Assumptions!$B$3+R1937*Assumptions!$B$4+S1937*Assumptions!$B$5+T1937*Assumptions!$B$6,0)</f>
        <v>93</v>
      </c>
      <c r="V1937" s="8" t="str">
        <f aca="false">IF(U1937&gt;=Assumptions!$B$10,"Healthy",IF(U1937&gt;=Assumptions!$B$11,"Needs Attention","High Risk"))</f>
        <v>Healthy</v>
      </c>
    </row>
    <row r="1938" customFormat="false" ht="15" hidden="false" customHeight="false" outlineLevel="0" collapsed="false">
      <c r="A1938" s="8" t="s">
        <v>4018</v>
      </c>
      <c r="B1938" s="8" t="s">
        <v>4019</v>
      </c>
      <c r="C1938" s="8" t="s">
        <v>51</v>
      </c>
      <c r="D1938" s="8" t="s">
        <v>2027</v>
      </c>
      <c r="E1938" s="8" t="s">
        <v>117</v>
      </c>
      <c r="F1938" s="8" t="s">
        <v>118</v>
      </c>
      <c r="G1938" s="8" t="s">
        <v>147</v>
      </c>
      <c r="H1938" s="15" t="n">
        <v>144</v>
      </c>
      <c r="I1938" s="15" t="n">
        <v>144</v>
      </c>
      <c r="J1938" s="16" t="n">
        <v>0.778</v>
      </c>
      <c r="K1938" s="8" t="n">
        <v>8</v>
      </c>
      <c r="L1938" s="8" t="n">
        <v>7</v>
      </c>
      <c r="M1938" s="8" t="n">
        <v>0</v>
      </c>
      <c r="N1938" s="8" t="s">
        <v>120</v>
      </c>
      <c r="O1938" s="15" t="n">
        <f aca="false">H1938*12</f>
        <v>1728</v>
      </c>
      <c r="P1938" s="8" t="n">
        <f aca="false">MIN(100,ROUND(100*J1938/Assumptions!$B$8,0))</f>
        <v>86</v>
      </c>
      <c r="Q1938" s="8" t="n">
        <f aca="false">IF(L1938="",Assumptions!$B$9,L1938*10)</f>
        <v>70</v>
      </c>
      <c r="R1938" s="8" t="n">
        <f aca="false">IF(M1938&lt;=1,Assumptions!$B$12,IF(M1938&lt;=3,Assumptions!$B$13,IF(M1938&lt;=6,Assumptions!$B$14,Assumptions!$B$15)))</f>
        <v>100</v>
      </c>
      <c r="S1938" s="8" t="n">
        <f aca="false">IF(N1938="Completed On Time",Assumptions!$B$16,IF(N1938="Completed Late",Assumptions!$B$17,Assumptions!$B$18))</f>
        <v>100</v>
      </c>
      <c r="T1938" s="8" t="n">
        <f aca="false">IF(I1938=0,Assumptions!$B$20,IF(H1938&gt;I1938,Assumptions!$B$19,IF(H1938=I1938,Assumptions!$B$20,Assumptions!$B$21)))</f>
        <v>70</v>
      </c>
      <c r="U1938" s="8" t="n">
        <f aca="false">ROUND(P1938*Assumptions!$B$2+Q1938*Assumptions!$B$3+R1938*Assumptions!$B$4+S1938*Assumptions!$B$5+T1938*Assumptions!$B$6,0)</f>
        <v>83</v>
      </c>
      <c r="V1938" s="8" t="str">
        <f aca="false">IF(U1938&gt;=Assumptions!$B$10,"Healthy",IF(U1938&gt;=Assumptions!$B$11,"Needs Attention","High Risk"))</f>
        <v>Healthy</v>
      </c>
    </row>
    <row r="1939" customFormat="false" ht="15" hidden="false" customHeight="false" outlineLevel="0" collapsed="false">
      <c r="A1939" s="8" t="s">
        <v>4020</v>
      </c>
      <c r="B1939" s="8" t="s">
        <v>4021</v>
      </c>
      <c r="C1939" s="8" t="s">
        <v>51</v>
      </c>
      <c r="D1939" s="8" t="s">
        <v>2027</v>
      </c>
      <c r="E1939" s="8" t="s">
        <v>117</v>
      </c>
      <c r="F1939" s="8" t="s">
        <v>143</v>
      </c>
      <c r="G1939" s="8" t="s">
        <v>204</v>
      </c>
      <c r="H1939" s="15" t="n">
        <v>144</v>
      </c>
      <c r="I1939" s="15" t="n">
        <v>144</v>
      </c>
      <c r="J1939" s="16" t="n">
        <v>0.806</v>
      </c>
      <c r="K1939" s="8" t="n">
        <v>9.7</v>
      </c>
      <c r="L1939" s="8" t="n">
        <v>9</v>
      </c>
      <c r="M1939" s="8" t="n">
        <v>0</v>
      </c>
      <c r="N1939" s="8" t="s">
        <v>120</v>
      </c>
      <c r="O1939" s="15" t="n">
        <f aca="false">H1939*12</f>
        <v>1728</v>
      </c>
      <c r="P1939" s="8" t="n">
        <f aca="false">MIN(100,ROUND(100*J1939/Assumptions!$B$8,0))</f>
        <v>90</v>
      </c>
      <c r="Q1939" s="8" t="n">
        <f aca="false">IF(L1939="",Assumptions!$B$9,L1939*10)</f>
        <v>90</v>
      </c>
      <c r="R1939" s="8" t="n">
        <f aca="false">IF(M1939&lt;=1,Assumptions!$B$12,IF(M1939&lt;=3,Assumptions!$B$13,IF(M1939&lt;=6,Assumptions!$B$14,Assumptions!$B$15)))</f>
        <v>100</v>
      </c>
      <c r="S1939" s="8" t="n">
        <f aca="false">IF(N1939="Completed On Time",Assumptions!$B$16,IF(N1939="Completed Late",Assumptions!$B$17,Assumptions!$B$18))</f>
        <v>100</v>
      </c>
      <c r="T1939" s="8" t="n">
        <f aca="false">IF(I1939=0,Assumptions!$B$20,IF(H1939&gt;I1939,Assumptions!$B$19,IF(H1939=I1939,Assumptions!$B$20,Assumptions!$B$21)))</f>
        <v>70</v>
      </c>
      <c r="U1939" s="8" t="n">
        <f aca="false">ROUND(P1939*Assumptions!$B$2+Q1939*Assumptions!$B$3+R1939*Assumptions!$B$4+S1939*Assumptions!$B$5+T1939*Assumptions!$B$6,0)</f>
        <v>89</v>
      </c>
      <c r="V1939" s="8" t="str">
        <f aca="false">IF(U1939&gt;=Assumptions!$B$10,"Healthy",IF(U1939&gt;=Assumptions!$B$11,"Needs Attention","High Risk"))</f>
        <v>Healthy</v>
      </c>
    </row>
    <row r="1940" customFormat="false" ht="15" hidden="false" customHeight="false" outlineLevel="0" collapsed="false">
      <c r="A1940" s="8" t="s">
        <v>4022</v>
      </c>
      <c r="B1940" s="8" t="s">
        <v>4023</v>
      </c>
      <c r="C1940" s="8" t="s">
        <v>51</v>
      </c>
      <c r="D1940" s="8" t="s">
        <v>2027</v>
      </c>
      <c r="E1940" s="8" t="s">
        <v>132</v>
      </c>
      <c r="F1940" s="8" t="s">
        <v>223</v>
      </c>
      <c r="G1940" s="8" t="s">
        <v>125</v>
      </c>
      <c r="H1940" s="15" t="n">
        <v>144</v>
      </c>
      <c r="I1940" s="15" t="n">
        <v>144</v>
      </c>
      <c r="J1940" s="16" t="n">
        <v>0.639</v>
      </c>
      <c r="K1940" s="8" t="n">
        <v>5.7</v>
      </c>
      <c r="L1940" s="8" t="n">
        <v>9</v>
      </c>
      <c r="M1940" s="8" t="n">
        <v>1</v>
      </c>
      <c r="N1940" s="8" t="s">
        <v>120</v>
      </c>
      <c r="O1940" s="15" t="n">
        <f aca="false">H1940*12</f>
        <v>1728</v>
      </c>
      <c r="P1940" s="8" t="n">
        <f aca="false">MIN(100,ROUND(100*J1940/Assumptions!$B$8,0))</f>
        <v>71</v>
      </c>
      <c r="Q1940" s="8" t="n">
        <f aca="false">IF(L1940="",Assumptions!$B$9,L1940*10)</f>
        <v>90</v>
      </c>
      <c r="R1940" s="8" t="n">
        <f aca="false">IF(M1940&lt;=1,Assumptions!$B$12,IF(M1940&lt;=3,Assumptions!$B$13,IF(M1940&lt;=6,Assumptions!$B$14,Assumptions!$B$15)))</f>
        <v>100</v>
      </c>
      <c r="S1940" s="8" t="n">
        <f aca="false">IF(N1940="Completed On Time",Assumptions!$B$16,IF(N1940="Completed Late",Assumptions!$B$17,Assumptions!$B$18))</f>
        <v>100</v>
      </c>
      <c r="T1940" s="8" t="n">
        <f aca="false">IF(I1940=0,Assumptions!$B$20,IF(H1940&gt;I1940,Assumptions!$B$19,IF(H1940=I1940,Assumptions!$B$20,Assumptions!$B$21)))</f>
        <v>70</v>
      </c>
      <c r="U1940" s="8" t="n">
        <f aca="false">ROUND(P1940*Assumptions!$B$2+Q1940*Assumptions!$B$3+R1940*Assumptions!$B$4+S1940*Assumptions!$B$5+T1940*Assumptions!$B$6,0)</f>
        <v>82</v>
      </c>
      <c r="V1940" s="8" t="str">
        <f aca="false">IF(U1940&gt;=Assumptions!$B$10,"Healthy",IF(U1940&gt;=Assumptions!$B$11,"Needs Attention","High Risk"))</f>
        <v>Healthy</v>
      </c>
    </row>
    <row r="1941" customFormat="false" ht="15" hidden="false" customHeight="false" outlineLevel="0" collapsed="false">
      <c r="A1941" s="8" t="s">
        <v>4024</v>
      </c>
      <c r="B1941" s="8" t="s">
        <v>4025</v>
      </c>
      <c r="C1941" s="8" t="s">
        <v>51</v>
      </c>
      <c r="D1941" s="8" t="s">
        <v>2027</v>
      </c>
      <c r="E1941" s="8" t="s">
        <v>117</v>
      </c>
      <c r="F1941" s="8" t="s">
        <v>223</v>
      </c>
      <c r="G1941" s="8" t="s">
        <v>140</v>
      </c>
      <c r="H1941" s="15" t="n">
        <v>132</v>
      </c>
      <c r="I1941" s="15" t="n">
        <v>132</v>
      </c>
      <c r="J1941" s="16" t="n">
        <v>0.606</v>
      </c>
      <c r="K1941" s="8" t="n">
        <v>7.3</v>
      </c>
      <c r="L1941" s="8" t="n">
        <v>7</v>
      </c>
      <c r="M1941" s="8" t="n">
        <v>1</v>
      </c>
      <c r="N1941" s="8" t="s">
        <v>120</v>
      </c>
      <c r="O1941" s="15" t="n">
        <f aca="false">H1941*12</f>
        <v>1584</v>
      </c>
      <c r="P1941" s="8" t="n">
        <f aca="false">MIN(100,ROUND(100*J1941/Assumptions!$B$8,0))</f>
        <v>67</v>
      </c>
      <c r="Q1941" s="8" t="n">
        <f aca="false">IF(L1941="",Assumptions!$B$9,L1941*10)</f>
        <v>70</v>
      </c>
      <c r="R1941" s="8" t="n">
        <f aca="false">IF(M1941&lt;=1,Assumptions!$B$12,IF(M1941&lt;=3,Assumptions!$B$13,IF(M1941&lt;=6,Assumptions!$B$14,Assumptions!$B$15)))</f>
        <v>100</v>
      </c>
      <c r="S1941" s="8" t="n">
        <f aca="false">IF(N1941="Completed On Time",Assumptions!$B$16,IF(N1941="Completed Late",Assumptions!$B$17,Assumptions!$B$18))</f>
        <v>100</v>
      </c>
      <c r="T1941" s="8" t="n">
        <f aca="false">IF(I1941=0,Assumptions!$B$20,IF(H1941&gt;I1941,Assumptions!$B$19,IF(H1941=I1941,Assumptions!$B$20,Assumptions!$B$21)))</f>
        <v>70</v>
      </c>
      <c r="U1941" s="8" t="n">
        <f aca="false">ROUND(P1941*Assumptions!$B$2+Q1941*Assumptions!$B$3+R1941*Assumptions!$B$4+S1941*Assumptions!$B$5+T1941*Assumptions!$B$6,0)</f>
        <v>76</v>
      </c>
      <c r="V1941" s="8" t="str">
        <f aca="false">IF(U1941&gt;=Assumptions!$B$10,"Healthy",IF(U1941&gt;=Assumptions!$B$11,"Needs Attention","High Risk"))</f>
        <v>Needs Attention</v>
      </c>
    </row>
    <row r="1942" customFormat="false" ht="15" hidden="false" customHeight="false" outlineLevel="0" collapsed="false">
      <c r="A1942" s="8" t="s">
        <v>4026</v>
      </c>
      <c r="B1942" s="8" t="s">
        <v>4027</v>
      </c>
      <c r="C1942" s="8" t="s">
        <v>51</v>
      </c>
      <c r="D1942" s="8" t="s">
        <v>2027</v>
      </c>
      <c r="E1942" s="8" t="s">
        <v>132</v>
      </c>
      <c r="F1942" s="8" t="s">
        <v>223</v>
      </c>
      <c r="G1942" s="8" t="s">
        <v>140</v>
      </c>
      <c r="H1942" s="15" t="n">
        <v>132</v>
      </c>
      <c r="I1942" s="15" t="n">
        <v>132</v>
      </c>
      <c r="J1942" s="16" t="n">
        <v>0.879</v>
      </c>
      <c r="K1942" s="8" t="n">
        <v>8.7</v>
      </c>
      <c r="L1942" s="8" t="n">
        <v>10</v>
      </c>
      <c r="M1942" s="8" t="n">
        <v>1</v>
      </c>
      <c r="N1942" s="8" t="s">
        <v>120</v>
      </c>
      <c r="O1942" s="15" t="n">
        <f aca="false">H1942*12</f>
        <v>1584</v>
      </c>
      <c r="P1942" s="8" t="n">
        <f aca="false">MIN(100,ROUND(100*J1942/Assumptions!$B$8,0))</f>
        <v>98</v>
      </c>
      <c r="Q1942" s="8" t="n">
        <f aca="false">IF(L1942="",Assumptions!$B$9,L1942*10)</f>
        <v>100</v>
      </c>
      <c r="R1942" s="8" t="n">
        <f aca="false">IF(M1942&lt;=1,Assumptions!$B$12,IF(M1942&lt;=3,Assumptions!$B$13,IF(M1942&lt;=6,Assumptions!$B$14,Assumptions!$B$15)))</f>
        <v>100</v>
      </c>
      <c r="S1942" s="8" t="n">
        <f aca="false">IF(N1942="Completed On Time",Assumptions!$B$16,IF(N1942="Completed Late",Assumptions!$B$17,Assumptions!$B$18))</f>
        <v>100</v>
      </c>
      <c r="T1942" s="8" t="n">
        <f aca="false">IF(I1942=0,Assumptions!$B$20,IF(H1942&gt;I1942,Assumptions!$B$19,IF(H1942=I1942,Assumptions!$B$20,Assumptions!$B$21)))</f>
        <v>70</v>
      </c>
      <c r="U1942" s="8" t="n">
        <f aca="false">ROUND(P1942*Assumptions!$B$2+Q1942*Assumptions!$B$3+R1942*Assumptions!$B$4+S1942*Assumptions!$B$5+T1942*Assumptions!$B$6,0)</f>
        <v>93</v>
      </c>
      <c r="V1942" s="8" t="str">
        <f aca="false">IF(U1942&gt;=Assumptions!$B$10,"Healthy",IF(U1942&gt;=Assumptions!$B$11,"Needs Attention","High Risk"))</f>
        <v>Healthy</v>
      </c>
    </row>
    <row r="1943" customFormat="false" ht="15" hidden="false" customHeight="false" outlineLevel="0" collapsed="false">
      <c r="A1943" s="8" t="s">
        <v>4028</v>
      </c>
      <c r="B1943" s="8" t="s">
        <v>4029</v>
      </c>
      <c r="C1943" s="8" t="s">
        <v>51</v>
      </c>
      <c r="D1943" s="8" t="s">
        <v>2027</v>
      </c>
      <c r="E1943" s="8" t="s">
        <v>123</v>
      </c>
      <c r="F1943" s="8" t="s">
        <v>143</v>
      </c>
      <c r="G1943" s="8" t="s">
        <v>177</v>
      </c>
      <c r="H1943" s="15" t="n">
        <v>132</v>
      </c>
      <c r="I1943" s="15" t="n">
        <v>96</v>
      </c>
      <c r="J1943" s="16" t="n">
        <v>0.636</v>
      </c>
      <c r="K1943" s="8" t="n">
        <v>6.7</v>
      </c>
      <c r="L1943" s="8" t="n">
        <v>5</v>
      </c>
      <c r="M1943" s="8" t="n">
        <v>1</v>
      </c>
      <c r="N1943" s="8" t="s">
        <v>120</v>
      </c>
      <c r="O1943" s="15" t="n">
        <f aca="false">H1943*12</f>
        <v>1584</v>
      </c>
      <c r="P1943" s="8" t="n">
        <f aca="false">MIN(100,ROUND(100*J1943/Assumptions!$B$8,0))</f>
        <v>71</v>
      </c>
      <c r="Q1943" s="8" t="n">
        <f aca="false">IF(L1943="",Assumptions!$B$9,L1943*10)</f>
        <v>50</v>
      </c>
      <c r="R1943" s="8" t="n">
        <f aca="false">IF(M1943&lt;=1,Assumptions!$B$12,IF(M1943&lt;=3,Assumptions!$B$13,IF(M1943&lt;=6,Assumptions!$B$14,Assumptions!$B$15)))</f>
        <v>100</v>
      </c>
      <c r="S1943" s="8" t="n">
        <f aca="false">IF(N1943="Completed On Time",Assumptions!$B$16,IF(N1943="Completed Late",Assumptions!$B$17,Assumptions!$B$18))</f>
        <v>100</v>
      </c>
      <c r="T1943" s="8" t="n">
        <f aca="false">IF(I1943=0,Assumptions!$B$20,IF(H1943&gt;I1943,Assumptions!$B$19,IF(H1943=I1943,Assumptions!$B$20,Assumptions!$B$21)))</f>
        <v>100</v>
      </c>
      <c r="U1943" s="8" t="n">
        <f aca="false">ROUND(P1943*Assumptions!$B$2+Q1943*Assumptions!$B$3+R1943*Assumptions!$B$4+S1943*Assumptions!$B$5+T1943*Assumptions!$B$6,0)</f>
        <v>80</v>
      </c>
      <c r="V1943" s="8" t="str">
        <f aca="false">IF(U1943&gt;=Assumptions!$B$10,"Healthy",IF(U1943&gt;=Assumptions!$B$11,"Needs Attention","High Risk"))</f>
        <v>Healthy</v>
      </c>
    </row>
    <row r="1944" customFormat="false" ht="15" hidden="false" customHeight="false" outlineLevel="0" collapsed="false">
      <c r="A1944" s="8" t="s">
        <v>4030</v>
      </c>
      <c r="B1944" s="8" t="s">
        <v>4031</v>
      </c>
      <c r="C1944" s="8" t="s">
        <v>51</v>
      </c>
      <c r="D1944" s="8" t="s">
        <v>2027</v>
      </c>
      <c r="E1944" s="8" t="s">
        <v>128</v>
      </c>
      <c r="F1944" s="8" t="s">
        <v>143</v>
      </c>
      <c r="G1944" s="8" t="s">
        <v>180</v>
      </c>
      <c r="H1944" s="15" t="n">
        <v>132</v>
      </c>
      <c r="I1944" s="15" t="n">
        <v>132</v>
      </c>
      <c r="J1944" s="16" t="n">
        <v>0.788</v>
      </c>
      <c r="K1944" s="8" t="n">
        <v>10.3</v>
      </c>
      <c r="L1944" s="8" t="n">
        <v>10</v>
      </c>
      <c r="M1944" s="8" t="n">
        <v>2</v>
      </c>
      <c r="N1944" s="8" t="s">
        <v>120</v>
      </c>
      <c r="O1944" s="15" t="n">
        <f aca="false">H1944*12</f>
        <v>1584</v>
      </c>
      <c r="P1944" s="8" t="n">
        <f aca="false">MIN(100,ROUND(100*J1944/Assumptions!$B$8,0))</f>
        <v>88</v>
      </c>
      <c r="Q1944" s="8" t="n">
        <f aca="false">IF(L1944="",Assumptions!$B$9,L1944*10)</f>
        <v>100</v>
      </c>
      <c r="R1944" s="8" t="n">
        <f aca="false">IF(M1944&lt;=1,Assumptions!$B$12,IF(M1944&lt;=3,Assumptions!$B$13,IF(M1944&lt;=6,Assumptions!$B$14,Assumptions!$B$15)))</f>
        <v>75</v>
      </c>
      <c r="S1944" s="8" t="n">
        <f aca="false">IF(N1944="Completed On Time",Assumptions!$B$16,IF(N1944="Completed Late",Assumptions!$B$17,Assumptions!$B$18))</f>
        <v>100</v>
      </c>
      <c r="T1944" s="8" t="n">
        <f aca="false">IF(I1944=0,Assumptions!$B$20,IF(H1944&gt;I1944,Assumptions!$B$19,IF(H1944=I1944,Assumptions!$B$20,Assumptions!$B$21)))</f>
        <v>70</v>
      </c>
      <c r="U1944" s="8" t="n">
        <f aca="false">ROUND(P1944*Assumptions!$B$2+Q1944*Assumptions!$B$3+R1944*Assumptions!$B$4+S1944*Assumptions!$B$5+T1944*Assumptions!$B$6,0)</f>
        <v>86</v>
      </c>
      <c r="V1944" s="8" t="str">
        <f aca="false">IF(U1944&gt;=Assumptions!$B$10,"Healthy",IF(U1944&gt;=Assumptions!$B$11,"Needs Attention","High Risk"))</f>
        <v>Healthy</v>
      </c>
    </row>
    <row r="1945" customFormat="false" ht="15" hidden="false" customHeight="false" outlineLevel="0" collapsed="false">
      <c r="A1945" s="8" t="s">
        <v>4032</v>
      </c>
      <c r="B1945" s="8" t="s">
        <v>4033</v>
      </c>
      <c r="C1945" s="8" t="s">
        <v>51</v>
      </c>
      <c r="D1945" s="8" t="s">
        <v>2027</v>
      </c>
      <c r="E1945" s="8" t="s">
        <v>123</v>
      </c>
      <c r="F1945" s="8" t="s">
        <v>124</v>
      </c>
      <c r="G1945" s="8" t="s">
        <v>119</v>
      </c>
      <c r="H1945" s="15" t="n">
        <v>132</v>
      </c>
      <c r="I1945" s="15" t="n">
        <v>132</v>
      </c>
      <c r="J1945" s="16" t="n">
        <v>0.667</v>
      </c>
      <c r="K1945" s="8" t="n">
        <v>9.7</v>
      </c>
      <c r="L1945" s="8" t="n">
        <v>9</v>
      </c>
      <c r="M1945" s="8" t="n">
        <v>3</v>
      </c>
      <c r="N1945" s="8" t="s">
        <v>120</v>
      </c>
      <c r="O1945" s="15" t="n">
        <f aca="false">H1945*12</f>
        <v>1584</v>
      </c>
      <c r="P1945" s="8" t="n">
        <f aca="false">MIN(100,ROUND(100*J1945/Assumptions!$B$8,0))</f>
        <v>74</v>
      </c>
      <c r="Q1945" s="8" t="n">
        <f aca="false">IF(L1945="",Assumptions!$B$9,L1945*10)</f>
        <v>90</v>
      </c>
      <c r="R1945" s="8" t="n">
        <f aca="false">IF(M1945&lt;=1,Assumptions!$B$12,IF(M1945&lt;=3,Assumptions!$B$13,IF(M1945&lt;=6,Assumptions!$B$14,Assumptions!$B$15)))</f>
        <v>75</v>
      </c>
      <c r="S1945" s="8" t="n">
        <f aca="false">IF(N1945="Completed On Time",Assumptions!$B$16,IF(N1945="Completed Late",Assumptions!$B$17,Assumptions!$B$18))</f>
        <v>100</v>
      </c>
      <c r="T1945" s="8" t="n">
        <f aca="false">IF(I1945=0,Assumptions!$B$20,IF(H1945&gt;I1945,Assumptions!$B$19,IF(H1945=I1945,Assumptions!$B$20,Assumptions!$B$21)))</f>
        <v>70</v>
      </c>
      <c r="U1945" s="8" t="n">
        <f aca="false">ROUND(P1945*Assumptions!$B$2+Q1945*Assumptions!$B$3+R1945*Assumptions!$B$4+S1945*Assumptions!$B$5+T1945*Assumptions!$B$6,0)</f>
        <v>79</v>
      </c>
      <c r="V1945" s="8" t="str">
        <f aca="false">IF(U1945&gt;=Assumptions!$B$10,"Healthy",IF(U1945&gt;=Assumptions!$B$11,"Needs Attention","High Risk"))</f>
        <v>Needs Attention</v>
      </c>
    </row>
    <row r="1946" customFormat="false" ht="15" hidden="false" customHeight="false" outlineLevel="0" collapsed="false">
      <c r="A1946" s="8" t="s">
        <v>4034</v>
      </c>
      <c r="B1946" s="8" t="s">
        <v>4035</v>
      </c>
      <c r="C1946" s="8" t="s">
        <v>51</v>
      </c>
      <c r="D1946" s="8" t="s">
        <v>2027</v>
      </c>
      <c r="E1946" s="8" t="s">
        <v>132</v>
      </c>
      <c r="F1946" s="8" t="s">
        <v>223</v>
      </c>
      <c r="G1946" s="8" t="s">
        <v>129</v>
      </c>
      <c r="H1946" s="15" t="n">
        <v>132</v>
      </c>
      <c r="I1946" s="15" t="n">
        <v>132</v>
      </c>
      <c r="J1946" s="16" t="n">
        <v>0.848</v>
      </c>
      <c r="K1946" s="8" t="n">
        <v>9.7</v>
      </c>
      <c r="L1946" s="8" t="n">
        <v>9</v>
      </c>
      <c r="M1946" s="8" t="n">
        <v>1</v>
      </c>
      <c r="N1946" s="8" t="s">
        <v>120</v>
      </c>
      <c r="O1946" s="15" t="n">
        <f aca="false">H1946*12</f>
        <v>1584</v>
      </c>
      <c r="P1946" s="8" t="n">
        <f aca="false">MIN(100,ROUND(100*J1946/Assumptions!$B$8,0))</f>
        <v>94</v>
      </c>
      <c r="Q1946" s="8" t="n">
        <f aca="false">IF(L1946="",Assumptions!$B$9,L1946*10)</f>
        <v>90</v>
      </c>
      <c r="R1946" s="8" t="n">
        <f aca="false">IF(M1946&lt;=1,Assumptions!$B$12,IF(M1946&lt;=3,Assumptions!$B$13,IF(M1946&lt;=6,Assumptions!$B$14,Assumptions!$B$15)))</f>
        <v>100</v>
      </c>
      <c r="S1946" s="8" t="n">
        <f aca="false">IF(N1946="Completed On Time",Assumptions!$B$16,IF(N1946="Completed Late",Assumptions!$B$17,Assumptions!$B$18))</f>
        <v>100</v>
      </c>
      <c r="T1946" s="8" t="n">
        <f aca="false">IF(I1946=0,Assumptions!$B$20,IF(H1946&gt;I1946,Assumptions!$B$19,IF(H1946=I1946,Assumptions!$B$20,Assumptions!$B$21)))</f>
        <v>70</v>
      </c>
      <c r="U1946" s="8" t="n">
        <f aca="false">ROUND(P1946*Assumptions!$B$2+Q1946*Assumptions!$B$3+R1946*Assumptions!$B$4+S1946*Assumptions!$B$5+T1946*Assumptions!$B$6,0)</f>
        <v>90</v>
      </c>
      <c r="V1946" s="8" t="str">
        <f aca="false">IF(U1946&gt;=Assumptions!$B$10,"Healthy",IF(U1946&gt;=Assumptions!$B$11,"Needs Attention","High Risk"))</f>
        <v>Healthy</v>
      </c>
    </row>
    <row r="1947" customFormat="false" ht="15" hidden="false" customHeight="false" outlineLevel="0" collapsed="false">
      <c r="A1947" s="8" t="s">
        <v>4036</v>
      </c>
      <c r="B1947" s="8" t="s">
        <v>4037</v>
      </c>
      <c r="C1947" s="8" t="s">
        <v>51</v>
      </c>
      <c r="D1947" s="8" t="s">
        <v>2027</v>
      </c>
      <c r="E1947" s="8" t="s">
        <v>123</v>
      </c>
      <c r="F1947" s="8" t="s">
        <v>133</v>
      </c>
      <c r="G1947" s="8" t="s">
        <v>159</v>
      </c>
      <c r="H1947" s="15" t="n">
        <v>132</v>
      </c>
      <c r="I1947" s="15" t="n">
        <v>132</v>
      </c>
      <c r="J1947" s="16" t="n">
        <v>0.758</v>
      </c>
      <c r="K1947" s="8" t="n">
        <v>9.7</v>
      </c>
      <c r="L1947" s="8" t="n">
        <v>7</v>
      </c>
      <c r="M1947" s="8" t="n">
        <v>5</v>
      </c>
      <c r="N1947" s="8" t="s">
        <v>120</v>
      </c>
      <c r="O1947" s="15" t="n">
        <f aca="false">H1947*12</f>
        <v>1584</v>
      </c>
      <c r="P1947" s="8" t="n">
        <f aca="false">MIN(100,ROUND(100*J1947/Assumptions!$B$8,0))</f>
        <v>84</v>
      </c>
      <c r="Q1947" s="8" t="n">
        <f aca="false">IF(L1947="",Assumptions!$B$9,L1947*10)</f>
        <v>70</v>
      </c>
      <c r="R1947" s="8" t="n">
        <f aca="false">IF(M1947&lt;=1,Assumptions!$B$12,IF(M1947&lt;=3,Assumptions!$B$13,IF(M1947&lt;=6,Assumptions!$B$14,Assumptions!$B$15)))</f>
        <v>50</v>
      </c>
      <c r="S1947" s="8" t="n">
        <f aca="false">IF(N1947="Completed On Time",Assumptions!$B$16,IF(N1947="Completed Late",Assumptions!$B$17,Assumptions!$B$18))</f>
        <v>100</v>
      </c>
      <c r="T1947" s="8" t="n">
        <f aca="false">IF(I1947=0,Assumptions!$B$20,IF(H1947&gt;I1947,Assumptions!$B$19,IF(H1947=I1947,Assumptions!$B$20,Assumptions!$B$21)))</f>
        <v>70</v>
      </c>
      <c r="U1947" s="8" t="n">
        <f aca="false">ROUND(P1947*Assumptions!$B$2+Q1947*Assumptions!$B$3+R1947*Assumptions!$B$4+S1947*Assumptions!$B$5+T1947*Assumptions!$B$6,0)</f>
        <v>75</v>
      </c>
      <c r="V1947" s="8" t="str">
        <f aca="false">IF(U1947&gt;=Assumptions!$B$10,"Healthy",IF(U1947&gt;=Assumptions!$B$11,"Needs Attention","High Risk"))</f>
        <v>Needs Attention</v>
      </c>
    </row>
    <row r="1948" customFormat="false" ht="15" hidden="false" customHeight="false" outlineLevel="0" collapsed="false">
      <c r="A1948" s="8" t="s">
        <v>4038</v>
      </c>
      <c r="B1948" s="8" t="s">
        <v>4039</v>
      </c>
      <c r="C1948" s="8" t="s">
        <v>51</v>
      </c>
      <c r="D1948" s="8" t="s">
        <v>2027</v>
      </c>
      <c r="E1948" s="8" t="s">
        <v>123</v>
      </c>
      <c r="F1948" s="8" t="s">
        <v>133</v>
      </c>
      <c r="G1948" s="8" t="s">
        <v>147</v>
      </c>
      <c r="H1948" s="15" t="n">
        <v>132</v>
      </c>
      <c r="I1948" s="15" t="n">
        <v>132</v>
      </c>
      <c r="J1948" s="16" t="n">
        <v>0.515</v>
      </c>
      <c r="K1948" s="8" t="n">
        <v>7</v>
      </c>
      <c r="L1948" s="8" t="n">
        <v>8</v>
      </c>
      <c r="M1948" s="8" t="n">
        <v>2</v>
      </c>
      <c r="N1948" s="8" t="s">
        <v>148</v>
      </c>
      <c r="O1948" s="15" t="n">
        <f aca="false">H1948*12</f>
        <v>1584</v>
      </c>
      <c r="P1948" s="8" t="n">
        <f aca="false">MIN(100,ROUND(100*J1948/Assumptions!$B$8,0))</f>
        <v>57</v>
      </c>
      <c r="Q1948" s="8" t="n">
        <f aca="false">IF(L1948="",Assumptions!$B$9,L1948*10)</f>
        <v>80</v>
      </c>
      <c r="R1948" s="8" t="n">
        <f aca="false">IF(M1948&lt;=1,Assumptions!$B$12,IF(M1948&lt;=3,Assumptions!$B$13,IF(M1948&lt;=6,Assumptions!$B$14,Assumptions!$B$15)))</f>
        <v>75</v>
      </c>
      <c r="S1948" s="8" t="n">
        <f aca="false">IF(N1948="Completed On Time",Assumptions!$B$16,IF(N1948="Completed Late",Assumptions!$B$17,Assumptions!$B$18))</f>
        <v>60</v>
      </c>
      <c r="T1948" s="8" t="n">
        <f aca="false">IF(I1948=0,Assumptions!$B$20,IF(H1948&gt;I1948,Assumptions!$B$19,IF(H1948=I1948,Assumptions!$B$20,Assumptions!$B$21)))</f>
        <v>70</v>
      </c>
      <c r="U1948" s="8" t="n">
        <f aca="false">ROUND(P1948*Assumptions!$B$2+Q1948*Assumptions!$B$3+R1948*Assumptions!$B$4+S1948*Assumptions!$B$5+T1948*Assumptions!$B$6,0)</f>
        <v>67</v>
      </c>
      <c r="V1948" s="8" t="str">
        <f aca="false">IF(U1948&gt;=Assumptions!$B$10,"Healthy",IF(U1948&gt;=Assumptions!$B$11,"Needs Attention","High Risk"))</f>
        <v>Needs Attention</v>
      </c>
    </row>
    <row r="1949" customFormat="false" ht="15" hidden="false" customHeight="false" outlineLevel="0" collapsed="false">
      <c r="A1949" s="8" t="s">
        <v>4040</v>
      </c>
      <c r="B1949" s="8" t="s">
        <v>4041</v>
      </c>
      <c r="C1949" s="8" t="s">
        <v>51</v>
      </c>
      <c r="D1949" s="8" t="s">
        <v>2027</v>
      </c>
      <c r="E1949" s="8" t="s">
        <v>117</v>
      </c>
      <c r="F1949" s="8" t="s">
        <v>223</v>
      </c>
      <c r="G1949" s="8" t="s">
        <v>140</v>
      </c>
      <c r="H1949" s="15" t="n">
        <v>132</v>
      </c>
      <c r="I1949" s="15" t="n">
        <v>156</v>
      </c>
      <c r="J1949" s="16" t="n">
        <v>0.73</v>
      </c>
      <c r="K1949" s="8" t="n">
        <v>10</v>
      </c>
      <c r="L1949" s="8" t="n">
        <v>9</v>
      </c>
      <c r="M1949" s="8" t="n">
        <v>2</v>
      </c>
      <c r="N1949" s="8" t="s">
        <v>120</v>
      </c>
      <c r="O1949" s="15" t="n">
        <f aca="false">H1949*12</f>
        <v>1584</v>
      </c>
      <c r="P1949" s="8" t="n">
        <f aca="false">MIN(100,ROUND(100*J1949/Assumptions!$B$8,0))</f>
        <v>81</v>
      </c>
      <c r="Q1949" s="8" t="n">
        <f aca="false">IF(L1949="",Assumptions!$B$9,L1949*10)</f>
        <v>90</v>
      </c>
      <c r="R1949" s="8" t="n">
        <f aca="false">IF(M1949&lt;=1,Assumptions!$B$12,IF(M1949&lt;=3,Assumptions!$B$13,IF(M1949&lt;=6,Assumptions!$B$14,Assumptions!$B$15)))</f>
        <v>75</v>
      </c>
      <c r="S1949" s="8" t="n">
        <f aca="false">IF(N1949="Completed On Time",Assumptions!$B$16,IF(N1949="Completed Late",Assumptions!$B$17,Assumptions!$B$18))</f>
        <v>100</v>
      </c>
      <c r="T1949" s="8" t="n">
        <f aca="false">IF(I1949=0,Assumptions!$B$20,IF(H1949&gt;I1949,Assumptions!$B$19,IF(H1949=I1949,Assumptions!$B$20,Assumptions!$B$21)))</f>
        <v>30</v>
      </c>
      <c r="U1949" s="8" t="n">
        <f aca="false">ROUND(P1949*Assumptions!$B$2+Q1949*Assumptions!$B$3+R1949*Assumptions!$B$4+S1949*Assumptions!$B$5+T1949*Assumptions!$B$6,0)</f>
        <v>74</v>
      </c>
      <c r="V1949" s="8" t="str">
        <f aca="false">IF(U1949&gt;=Assumptions!$B$10,"Healthy",IF(U1949&gt;=Assumptions!$B$11,"Needs Attention","High Risk"))</f>
        <v>Needs Attention</v>
      </c>
    </row>
    <row r="1950" customFormat="false" ht="15" hidden="false" customHeight="false" outlineLevel="0" collapsed="false">
      <c r="A1950" s="8" t="s">
        <v>4042</v>
      </c>
      <c r="B1950" s="8" t="s">
        <v>4043</v>
      </c>
      <c r="C1950" s="8" t="s">
        <v>51</v>
      </c>
      <c r="D1950" s="8" t="s">
        <v>2027</v>
      </c>
      <c r="E1950" s="8" t="s">
        <v>123</v>
      </c>
      <c r="F1950" s="8" t="s">
        <v>136</v>
      </c>
      <c r="G1950" s="8" t="s">
        <v>129</v>
      </c>
      <c r="H1950" s="15" t="n">
        <v>132</v>
      </c>
      <c r="I1950" s="15" t="n">
        <v>132</v>
      </c>
      <c r="J1950" s="16" t="n">
        <v>0.576</v>
      </c>
      <c r="K1950" s="8" t="n">
        <v>7.3</v>
      </c>
      <c r="L1950" s="8" t="n">
        <v>7</v>
      </c>
      <c r="M1950" s="8" t="n">
        <v>4</v>
      </c>
      <c r="N1950" s="8" t="s">
        <v>120</v>
      </c>
      <c r="O1950" s="15" t="n">
        <f aca="false">H1950*12</f>
        <v>1584</v>
      </c>
      <c r="P1950" s="8" t="n">
        <f aca="false">MIN(100,ROUND(100*J1950/Assumptions!$B$8,0))</f>
        <v>64</v>
      </c>
      <c r="Q1950" s="8" t="n">
        <f aca="false">IF(L1950="",Assumptions!$B$9,L1950*10)</f>
        <v>70</v>
      </c>
      <c r="R1950" s="8" t="n">
        <f aca="false">IF(M1950&lt;=1,Assumptions!$B$12,IF(M1950&lt;=3,Assumptions!$B$13,IF(M1950&lt;=6,Assumptions!$B$14,Assumptions!$B$15)))</f>
        <v>50</v>
      </c>
      <c r="S1950" s="8" t="n">
        <f aca="false">IF(N1950="Completed On Time",Assumptions!$B$16,IF(N1950="Completed Late",Assumptions!$B$17,Assumptions!$B$18))</f>
        <v>100</v>
      </c>
      <c r="T1950" s="8" t="n">
        <f aca="false">IF(I1950=0,Assumptions!$B$20,IF(H1950&gt;I1950,Assumptions!$B$19,IF(H1950=I1950,Assumptions!$B$20,Assumptions!$B$21)))</f>
        <v>70</v>
      </c>
      <c r="U1950" s="8" t="n">
        <f aca="false">ROUND(P1950*Assumptions!$B$2+Q1950*Assumptions!$B$3+R1950*Assumptions!$B$4+S1950*Assumptions!$B$5+T1950*Assumptions!$B$6,0)</f>
        <v>68</v>
      </c>
      <c r="V1950" s="8" t="str">
        <f aca="false">IF(U1950&gt;=Assumptions!$B$10,"Healthy",IF(U1950&gt;=Assumptions!$B$11,"Needs Attention","High Risk"))</f>
        <v>Needs Attention</v>
      </c>
    </row>
    <row r="1951" customFormat="false" ht="15" hidden="false" customHeight="false" outlineLevel="0" collapsed="false">
      <c r="A1951" s="8" t="s">
        <v>4044</v>
      </c>
      <c r="B1951" s="8" t="s">
        <v>4045</v>
      </c>
      <c r="C1951" s="8" t="s">
        <v>51</v>
      </c>
      <c r="D1951" s="8" t="s">
        <v>2027</v>
      </c>
      <c r="E1951" s="8" t="s">
        <v>132</v>
      </c>
      <c r="F1951" s="8" t="s">
        <v>154</v>
      </c>
      <c r="G1951" s="8" t="s">
        <v>144</v>
      </c>
      <c r="H1951" s="15" t="n">
        <v>132</v>
      </c>
      <c r="I1951" s="15" t="n">
        <v>108</v>
      </c>
      <c r="J1951" s="16" t="n">
        <v>0.586</v>
      </c>
      <c r="K1951" s="8" t="n">
        <v>6.7</v>
      </c>
      <c r="L1951" s="8" t="n">
        <v>7</v>
      </c>
      <c r="M1951" s="8" t="n">
        <v>6</v>
      </c>
      <c r="N1951" s="8" t="s">
        <v>148</v>
      </c>
      <c r="O1951" s="15" t="n">
        <f aca="false">H1951*12</f>
        <v>1584</v>
      </c>
      <c r="P1951" s="8" t="n">
        <f aca="false">MIN(100,ROUND(100*J1951/Assumptions!$B$8,0))</f>
        <v>65</v>
      </c>
      <c r="Q1951" s="8" t="n">
        <f aca="false">IF(L1951="",Assumptions!$B$9,L1951*10)</f>
        <v>70</v>
      </c>
      <c r="R1951" s="8" t="n">
        <f aca="false">IF(M1951&lt;=1,Assumptions!$B$12,IF(M1951&lt;=3,Assumptions!$B$13,IF(M1951&lt;=6,Assumptions!$B$14,Assumptions!$B$15)))</f>
        <v>50</v>
      </c>
      <c r="S1951" s="8" t="n">
        <f aca="false">IF(N1951="Completed On Time",Assumptions!$B$16,IF(N1951="Completed Late",Assumptions!$B$17,Assumptions!$B$18))</f>
        <v>60</v>
      </c>
      <c r="T1951" s="8" t="n">
        <f aca="false">IF(I1951=0,Assumptions!$B$20,IF(H1951&gt;I1951,Assumptions!$B$19,IF(H1951=I1951,Assumptions!$B$20,Assumptions!$B$21)))</f>
        <v>100</v>
      </c>
      <c r="U1951" s="8" t="n">
        <f aca="false">ROUND(P1951*Assumptions!$B$2+Q1951*Assumptions!$B$3+R1951*Assumptions!$B$4+S1951*Assumptions!$B$5+T1951*Assumptions!$B$6,0)</f>
        <v>70</v>
      </c>
      <c r="V1951" s="8" t="str">
        <f aca="false">IF(U1951&gt;=Assumptions!$B$10,"Healthy",IF(U1951&gt;=Assumptions!$B$11,"Needs Attention","High Risk"))</f>
        <v>Needs Attention</v>
      </c>
    </row>
    <row r="1952" customFormat="false" ht="15" hidden="false" customHeight="false" outlineLevel="0" collapsed="false">
      <c r="A1952" s="8" t="s">
        <v>4046</v>
      </c>
      <c r="B1952" s="8" t="s">
        <v>4047</v>
      </c>
      <c r="C1952" s="8" t="s">
        <v>51</v>
      </c>
      <c r="D1952" s="8" t="s">
        <v>2027</v>
      </c>
      <c r="E1952" s="8" t="s">
        <v>123</v>
      </c>
      <c r="F1952" s="8" t="s">
        <v>166</v>
      </c>
      <c r="G1952" s="8" t="s">
        <v>140</v>
      </c>
      <c r="H1952" s="15" t="n">
        <v>132</v>
      </c>
      <c r="I1952" s="15" t="n">
        <v>132</v>
      </c>
      <c r="J1952" s="16" t="n">
        <v>0.788</v>
      </c>
      <c r="K1952" s="8" t="n">
        <v>9</v>
      </c>
      <c r="L1952" s="8" t="n">
        <v>9</v>
      </c>
      <c r="M1952" s="8" t="n">
        <v>6</v>
      </c>
      <c r="N1952" s="8" t="s">
        <v>120</v>
      </c>
      <c r="O1952" s="15" t="n">
        <f aca="false">H1952*12</f>
        <v>1584</v>
      </c>
      <c r="P1952" s="8" t="n">
        <f aca="false">MIN(100,ROUND(100*J1952/Assumptions!$B$8,0))</f>
        <v>88</v>
      </c>
      <c r="Q1952" s="8" t="n">
        <f aca="false">IF(L1952="",Assumptions!$B$9,L1952*10)</f>
        <v>90</v>
      </c>
      <c r="R1952" s="8" t="n">
        <f aca="false">IF(M1952&lt;=1,Assumptions!$B$12,IF(M1952&lt;=3,Assumptions!$B$13,IF(M1952&lt;=6,Assumptions!$B$14,Assumptions!$B$15)))</f>
        <v>50</v>
      </c>
      <c r="S1952" s="8" t="n">
        <f aca="false">IF(N1952="Completed On Time",Assumptions!$B$16,IF(N1952="Completed Late",Assumptions!$B$17,Assumptions!$B$18))</f>
        <v>100</v>
      </c>
      <c r="T1952" s="8" t="n">
        <f aca="false">IF(I1952=0,Assumptions!$B$20,IF(H1952&gt;I1952,Assumptions!$B$19,IF(H1952=I1952,Assumptions!$B$20,Assumptions!$B$21)))</f>
        <v>70</v>
      </c>
      <c r="U1952" s="8" t="n">
        <f aca="false">ROUND(P1952*Assumptions!$B$2+Q1952*Assumptions!$B$3+R1952*Assumptions!$B$4+S1952*Assumptions!$B$5+T1952*Assumptions!$B$6,0)</f>
        <v>80</v>
      </c>
      <c r="V1952" s="8" t="str">
        <f aca="false">IF(U1952&gt;=Assumptions!$B$10,"Healthy",IF(U1952&gt;=Assumptions!$B$11,"Needs Attention","High Risk"))</f>
        <v>Healthy</v>
      </c>
    </row>
    <row r="1953" customFormat="false" ht="15" hidden="false" customHeight="false" outlineLevel="0" collapsed="false">
      <c r="A1953" s="8" t="s">
        <v>4048</v>
      </c>
      <c r="B1953" s="8" t="s">
        <v>4049</v>
      </c>
      <c r="C1953" s="8" t="s">
        <v>51</v>
      </c>
      <c r="D1953" s="8" t="s">
        <v>2027</v>
      </c>
      <c r="E1953" s="8" t="s">
        <v>123</v>
      </c>
      <c r="F1953" s="8" t="s">
        <v>118</v>
      </c>
      <c r="G1953" s="8" t="s">
        <v>159</v>
      </c>
      <c r="H1953" s="15" t="n">
        <v>132</v>
      </c>
      <c r="I1953" s="15" t="n">
        <v>132</v>
      </c>
      <c r="J1953" s="16" t="n">
        <v>0.727</v>
      </c>
      <c r="K1953" s="8" t="n">
        <v>8</v>
      </c>
      <c r="L1953" s="8" t="n">
        <v>9</v>
      </c>
      <c r="M1953" s="8" t="n">
        <v>2</v>
      </c>
      <c r="N1953" s="8" t="s">
        <v>120</v>
      </c>
      <c r="O1953" s="15" t="n">
        <f aca="false">H1953*12</f>
        <v>1584</v>
      </c>
      <c r="P1953" s="8" t="n">
        <f aca="false">MIN(100,ROUND(100*J1953/Assumptions!$B$8,0))</f>
        <v>81</v>
      </c>
      <c r="Q1953" s="8" t="n">
        <f aca="false">IF(L1953="",Assumptions!$B$9,L1953*10)</f>
        <v>90</v>
      </c>
      <c r="R1953" s="8" t="n">
        <f aca="false">IF(M1953&lt;=1,Assumptions!$B$12,IF(M1953&lt;=3,Assumptions!$B$13,IF(M1953&lt;=6,Assumptions!$B$14,Assumptions!$B$15)))</f>
        <v>75</v>
      </c>
      <c r="S1953" s="8" t="n">
        <f aca="false">IF(N1953="Completed On Time",Assumptions!$B$16,IF(N1953="Completed Late",Assumptions!$B$17,Assumptions!$B$18))</f>
        <v>100</v>
      </c>
      <c r="T1953" s="8" t="n">
        <f aca="false">IF(I1953=0,Assumptions!$B$20,IF(H1953&gt;I1953,Assumptions!$B$19,IF(H1953=I1953,Assumptions!$B$20,Assumptions!$B$21)))</f>
        <v>70</v>
      </c>
      <c r="U1953" s="8" t="n">
        <f aca="false">ROUND(P1953*Assumptions!$B$2+Q1953*Assumptions!$B$3+R1953*Assumptions!$B$4+S1953*Assumptions!$B$5+T1953*Assumptions!$B$6,0)</f>
        <v>82</v>
      </c>
      <c r="V1953" s="8" t="str">
        <f aca="false">IF(U1953&gt;=Assumptions!$B$10,"Healthy",IF(U1953&gt;=Assumptions!$B$11,"Needs Attention","High Risk"))</f>
        <v>Healthy</v>
      </c>
    </row>
    <row r="1954" customFormat="false" ht="15" hidden="false" customHeight="false" outlineLevel="0" collapsed="false">
      <c r="A1954" s="8" t="s">
        <v>4050</v>
      </c>
      <c r="B1954" s="8" t="s">
        <v>4051</v>
      </c>
      <c r="C1954" s="8" t="s">
        <v>51</v>
      </c>
      <c r="D1954" s="8" t="s">
        <v>2027</v>
      </c>
      <c r="E1954" s="8" t="s">
        <v>117</v>
      </c>
      <c r="F1954" s="8" t="s">
        <v>124</v>
      </c>
      <c r="G1954" s="8" t="s">
        <v>144</v>
      </c>
      <c r="H1954" s="15" t="n">
        <v>132</v>
      </c>
      <c r="I1954" s="15" t="n">
        <v>168</v>
      </c>
      <c r="J1954" s="16" t="n">
        <v>0.795</v>
      </c>
      <c r="K1954" s="8" t="n">
        <v>10</v>
      </c>
      <c r="L1954" s="8" t="n">
        <v>8</v>
      </c>
      <c r="M1954" s="8" t="n">
        <v>3</v>
      </c>
      <c r="N1954" s="8" t="s">
        <v>120</v>
      </c>
      <c r="O1954" s="15" t="n">
        <f aca="false">H1954*12</f>
        <v>1584</v>
      </c>
      <c r="P1954" s="8" t="n">
        <f aca="false">MIN(100,ROUND(100*J1954/Assumptions!$B$8,0))</f>
        <v>88</v>
      </c>
      <c r="Q1954" s="8" t="n">
        <f aca="false">IF(L1954="",Assumptions!$B$9,L1954*10)</f>
        <v>80</v>
      </c>
      <c r="R1954" s="8" t="n">
        <f aca="false">IF(M1954&lt;=1,Assumptions!$B$12,IF(M1954&lt;=3,Assumptions!$B$13,IF(M1954&lt;=6,Assumptions!$B$14,Assumptions!$B$15)))</f>
        <v>75</v>
      </c>
      <c r="S1954" s="8" t="n">
        <f aca="false">IF(N1954="Completed On Time",Assumptions!$B$16,IF(N1954="Completed Late",Assumptions!$B$17,Assumptions!$B$18))</f>
        <v>100</v>
      </c>
      <c r="T1954" s="8" t="n">
        <f aca="false">IF(I1954=0,Assumptions!$B$20,IF(H1954&gt;I1954,Assumptions!$B$19,IF(H1954=I1954,Assumptions!$B$20,Assumptions!$B$21)))</f>
        <v>30</v>
      </c>
      <c r="U1954" s="8" t="n">
        <f aca="false">ROUND(P1954*Assumptions!$B$2+Q1954*Assumptions!$B$3+R1954*Assumptions!$B$4+S1954*Assumptions!$B$5+T1954*Assumptions!$B$6,0)</f>
        <v>74</v>
      </c>
      <c r="V1954" s="8" t="str">
        <f aca="false">IF(U1954&gt;=Assumptions!$B$10,"Healthy",IF(U1954&gt;=Assumptions!$B$11,"Needs Attention","High Risk"))</f>
        <v>Needs Attention</v>
      </c>
    </row>
    <row r="1955" customFormat="false" ht="15" hidden="false" customHeight="false" outlineLevel="0" collapsed="false">
      <c r="A1955" s="8" t="s">
        <v>4052</v>
      </c>
      <c r="B1955" s="8" t="s">
        <v>4053</v>
      </c>
      <c r="C1955" s="8" t="s">
        <v>51</v>
      </c>
      <c r="D1955" s="8" t="s">
        <v>2027</v>
      </c>
      <c r="E1955" s="8" t="s">
        <v>132</v>
      </c>
      <c r="F1955" s="8" t="s">
        <v>166</v>
      </c>
      <c r="G1955" s="8" t="s">
        <v>185</v>
      </c>
      <c r="H1955" s="15" t="n">
        <v>132</v>
      </c>
      <c r="I1955" s="15" t="n">
        <v>132</v>
      </c>
      <c r="J1955" s="16" t="n">
        <v>0.758</v>
      </c>
      <c r="K1955" s="8" t="n">
        <v>8.7</v>
      </c>
      <c r="L1955" s="8" t="n">
        <v>8</v>
      </c>
      <c r="M1955" s="8" t="n">
        <v>1</v>
      </c>
      <c r="N1955" s="8" t="s">
        <v>120</v>
      </c>
      <c r="O1955" s="15" t="n">
        <f aca="false">H1955*12</f>
        <v>1584</v>
      </c>
      <c r="P1955" s="8" t="n">
        <f aca="false">MIN(100,ROUND(100*J1955/Assumptions!$B$8,0))</f>
        <v>84</v>
      </c>
      <c r="Q1955" s="8" t="n">
        <f aca="false">IF(L1955="",Assumptions!$B$9,L1955*10)</f>
        <v>80</v>
      </c>
      <c r="R1955" s="8" t="n">
        <f aca="false">IF(M1955&lt;=1,Assumptions!$B$12,IF(M1955&lt;=3,Assumptions!$B$13,IF(M1955&lt;=6,Assumptions!$B$14,Assumptions!$B$15)))</f>
        <v>100</v>
      </c>
      <c r="S1955" s="8" t="n">
        <f aca="false">IF(N1955="Completed On Time",Assumptions!$B$16,IF(N1955="Completed Late",Assumptions!$B$17,Assumptions!$B$18))</f>
        <v>100</v>
      </c>
      <c r="T1955" s="8" t="n">
        <f aca="false">IF(I1955=0,Assumptions!$B$20,IF(H1955&gt;I1955,Assumptions!$B$19,IF(H1955=I1955,Assumptions!$B$20,Assumptions!$B$21)))</f>
        <v>70</v>
      </c>
      <c r="U1955" s="8" t="n">
        <f aca="false">ROUND(P1955*Assumptions!$B$2+Q1955*Assumptions!$B$3+R1955*Assumptions!$B$4+S1955*Assumptions!$B$5+T1955*Assumptions!$B$6,0)</f>
        <v>84</v>
      </c>
      <c r="V1955" s="8" t="str">
        <f aca="false">IF(U1955&gt;=Assumptions!$B$10,"Healthy",IF(U1955&gt;=Assumptions!$B$11,"Needs Attention","High Risk"))</f>
        <v>Healthy</v>
      </c>
    </row>
    <row r="1956" customFormat="false" ht="15" hidden="false" customHeight="false" outlineLevel="0" collapsed="false">
      <c r="A1956" s="8" t="s">
        <v>4054</v>
      </c>
      <c r="B1956" s="8" t="s">
        <v>4055</v>
      </c>
      <c r="C1956" s="8" t="s">
        <v>51</v>
      </c>
      <c r="D1956" s="8" t="s">
        <v>2027</v>
      </c>
      <c r="E1956" s="8" t="s">
        <v>123</v>
      </c>
      <c r="F1956" s="8" t="s">
        <v>124</v>
      </c>
      <c r="G1956" s="8" t="s">
        <v>129</v>
      </c>
      <c r="H1956" s="15" t="n">
        <v>132</v>
      </c>
      <c r="I1956" s="15" t="n">
        <v>132</v>
      </c>
      <c r="J1956" s="16" t="n">
        <v>0.939</v>
      </c>
      <c r="K1956" s="8" t="n">
        <v>10.7</v>
      </c>
      <c r="L1956" s="8" t="n">
        <v>9</v>
      </c>
      <c r="M1956" s="8" t="n">
        <v>2</v>
      </c>
      <c r="N1956" s="8" t="s">
        <v>120</v>
      </c>
      <c r="O1956" s="15" t="n">
        <f aca="false">H1956*12</f>
        <v>1584</v>
      </c>
      <c r="P1956" s="8" t="n">
        <f aca="false">MIN(100,ROUND(100*J1956/Assumptions!$B$8,0))</f>
        <v>100</v>
      </c>
      <c r="Q1956" s="8" t="n">
        <f aca="false">IF(L1956="",Assumptions!$B$9,L1956*10)</f>
        <v>90</v>
      </c>
      <c r="R1956" s="8" t="n">
        <f aca="false">IF(M1956&lt;=1,Assumptions!$B$12,IF(M1956&lt;=3,Assumptions!$B$13,IF(M1956&lt;=6,Assumptions!$B$14,Assumptions!$B$15)))</f>
        <v>75</v>
      </c>
      <c r="S1956" s="8" t="n">
        <f aca="false">IF(N1956="Completed On Time",Assumptions!$B$16,IF(N1956="Completed Late",Assumptions!$B$17,Assumptions!$B$18))</f>
        <v>100</v>
      </c>
      <c r="T1956" s="8" t="n">
        <f aca="false">IF(I1956=0,Assumptions!$B$20,IF(H1956&gt;I1956,Assumptions!$B$19,IF(H1956=I1956,Assumptions!$B$20,Assumptions!$B$21)))</f>
        <v>70</v>
      </c>
      <c r="U1956" s="8" t="n">
        <f aca="false">ROUND(P1956*Assumptions!$B$2+Q1956*Assumptions!$B$3+R1956*Assumptions!$B$4+S1956*Assumptions!$B$5+T1956*Assumptions!$B$6,0)</f>
        <v>88</v>
      </c>
      <c r="V1956" s="8" t="str">
        <f aca="false">IF(U1956&gt;=Assumptions!$B$10,"Healthy",IF(U1956&gt;=Assumptions!$B$11,"Needs Attention","High Risk"))</f>
        <v>Healthy</v>
      </c>
    </row>
    <row r="1957" customFormat="false" ht="15" hidden="false" customHeight="false" outlineLevel="0" collapsed="false">
      <c r="A1957" s="8" t="s">
        <v>4056</v>
      </c>
      <c r="B1957" s="8" t="s">
        <v>4057</v>
      </c>
      <c r="C1957" s="8" t="s">
        <v>51</v>
      </c>
      <c r="D1957" s="8" t="s">
        <v>2027</v>
      </c>
      <c r="E1957" s="8" t="s">
        <v>132</v>
      </c>
      <c r="F1957" s="8" t="s">
        <v>124</v>
      </c>
      <c r="G1957" s="8" t="s">
        <v>125</v>
      </c>
      <c r="H1957" s="15" t="n">
        <v>132</v>
      </c>
      <c r="I1957" s="15" t="n">
        <v>132</v>
      </c>
      <c r="J1957" s="16" t="n">
        <v>0.697</v>
      </c>
      <c r="K1957" s="8" t="n">
        <v>8</v>
      </c>
      <c r="L1957" s="8" t="n">
        <v>8</v>
      </c>
      <c r="M1957" s="8" t="n">
        <v>1</v>
      </c>
      <c r="N1957" s="8" t="s">
        <v>120</v>
      </c>
      <c r="O1957" s="15" t="n">
        <f aca="false">H1957*12</f>
        <v>1584</v>
      </c>
      <c r="P1957" s="8" t="n">
        <f aca="false">MIN(100,ROUND(100*J1957/Assumptions!$B$8,0))</f>
        <v>77</v>
      </c>
      <c r="Q1957" s="8" t="n">
        <f aca="false">IF(L1957="",Assumptions!$B$9,L1957*10)</f>
        <v>80</v>
      </c>
      <c r="R1957" s="8" t="n">
        <f aca="false">IF(M1957&lt;=1,Assumptions!$B$12,IF(M1957&lt;=3,Assumptions!$B$13,IF(M1957&lt;=6,Assumptions!$B$14,Assumptions!$B$15)))</f>
        <v>100</v>
      </c>
      <c r="S1957" s="8" t="n">
        <f aca="false">IF(N1957="Completed On Time",Assumptions!$B$16,IF(N1957="Completed Late",Assumptions!$B$17,Assumptions!$B$18))</f>
        <v>100</v>
      </c>
      <c r="T1957" s="8" t="n">
        <f aca="false">IF(I1957=0,Assumptions!$B$20,IF(H1957&gt;I1957,Assumptions!$B$19,IF(H1957=I1957,Assumptions!$B$20,Assumptions!$B$21)))</f>
        <v>70</v>
      </c>
      <c r="U1957" s="8" t="n">
        <f aca="false">ROUND(P1957*Assumptions!$B$2+Q1957*Assumptions!$B$3+R1957*Assumptions!$B$4+S1957*Assumptions!$B$5+T1957*Assumptions!$B$6,0)</f>
        <v>82</v>
      </c>
      <c r="V1957" s="8" t="str">
        <f aca="false">IF(U1957&gt;=Assumptions!$B$10,"Healthy",IF(U1957&gt;=Assumptions!$B$11,"Needs Attention","High Risk"))</f>
        <v>Healthy</v>
      </c>
    </row>
    <row r="1958" customFormat="false" ht="15" hidden="false" customHeight="false" outlineLevel="0" collapsed="false">
      <c r="A1958" s="8" t="s">
        <v>4058</v>
      </c>
      <c r="B1958" s="8" t="s">
        <v>4059</v>
      </c>
      <c r="C1958" s="8" t="s">
        <v>51</v>
      </c>
      <c r="D1958" s="8" t="s">
        <v>2027</v>
      </c>
      <c r="E1958" s="8" t="s">
        <v>117</v>
      </c>
      <c r="F1958" s="8" t="s">
        <v>151</v>
      </c>
      <c r="G1958" s="8" t="s">
        <v>129</v>
      </c>
      <c r="H1958" s="15" t="n">
        <v>132</v>
      </c>
      <c r="I1958" s="15" t="n">
        <v>132</v>
      </c>
      <c r="J1958" s="16" t="n">
        <v>0.606</v>
      </c>
      <c r="K1958" s="8" t="n">
        <v>6</v>
      </c>
      <c r="L1958" s="8" t="n">
        <v>7</v>
      </c>
      <c r="M1958" s="8" t="n">
        <v>6</v>
      </c>
      <c r="N1958" s="8" t="s">
        <v>148</v>
      </c>
      <c r="O1958" s="15" t="n">
        <f aca="false">H1958*12</f>
        <v>1584</v>
      </c>
      <c r="P1958" s="8" t="n">
        <f aca="false">MIN(100,ROUND(100*J1958/Assumptions!$B$8,0))</f>
        <v>67</v>
      </c>
      <c r="Q1958" s="8" t="n">
        <f aca="false">IF(L1958="",Assumptions!$B$9,L1958*10)</f>
        <v>70</v>
      </c>
      <c r="R1958" s="8" t="n">
        <f aca="false">IF(M1958&lt;=1,Assumptions!$B$12,IF(M1958&lt;=3,Assumptions!$B$13,IF(M1958&lt;=6,Assumptions!$B$14,Assumptions!$B$15)))</f>
        <v>50</v>
      </c>
      <c r="S1958" s="8" t="n">
        <f aca="false">IF(N1958="Completed On Time",Assumptions!$B$16,IF(N1958="Completed Late",Assumptions!$B$17,Assumptions!$B$18))</f>
        <v>60</v>
      </c>
      <c r="T1958" s="8" t="n">
        <f aca="false">IF(I1958=0,Assumptions!$B$20,IF(H1958&gt;I1958,Assumptions!$B$19,IF(H1958=I1958,Assumptions!$B$20,Assumptions!$B$21)))</f>
        <v>70</v>
      </c>
      <c r="U1958" s="8" t="n">
        <f aca="false">ROUND(P1958*Assumptions!$B$2+Q1958*Assumptions!$B$3+R1958*Assumptions!$B$4+S1958*Assumptions!$B$5+T1958*Assumptions!$B$6,0)</f>
        <v>65</v>
      </c>
      <c r="V1958" s="8" t="str">
        <f aca="false">IF(U1958&gt;=Assumptions!$B$10,"Healthy",IF(U1958&gt;=Assumptions!$B$11,"Needs Attention","High Risk"))</f>
        <v>Needs Attention</v>
      </c>
    </row>
    <row r="1959" customFormat="false" ht="15" hidden="false" customHeight="false" outlineLevel="0" collapsed="false">
      <c r="A1959" s="8" t="s">
        <v>4060</v>
      </c>
      <c r="B1959" s="8" t="s">
        <v>4061</v>
      </c>
      <c r="C1959" s="8" t="s">
        <v>51</v>
      </c>
      <c r="D1959" s="8" t="s">
        <v>2027</v>
      </c>
      <c r="E1959" s="8" t="s">
        <v>123</v>
      </c>
      <c r="F1959" s="8" t="s">
        <v>118</v>
      </c>
      <c r="G1959" s="8" t="s">
        <v>129</v>
      </c>
      <c r="H1959" s="15" t="n">
        <v>132</v>
      </c>
      <c r="I1959" s="15" t="n">
        <v>132</v>
      </c>
      <c r="J1959" s="16" t="n">
        <v>0.818</v>
      </c>
      <c r="K1959" s="8" t="n">
        <v>10.3</v>
      </c>
      <c r="L1959" s="8" t="n">
        <v>7</v>
      </c>
      <c r="M1959" s="8" t="n">
        <v>7</v>
      </c>
      <c r="N1959" s="8" t="s">
        <v>120</v>
      </c>
      <c r="O1959" s="15" t="n">
        <f aca="false">H1959*12</f>
        <v>1584</v>
      </c>
      <c r="P1959" s="8" t="n">
        <f aca="false">MIN(100,ROUND(100*J1959/Assumptions!$B$8,0))</f>
        <v>91</v>
      </c>
      <c r="Q1959" s="8" t="n">
        <f aca="false">IF(L1959="",Assumptions!$B$9,L1959*10)</f>
        <v>70</v>
      </c>
      <c r="R1959" s="8" t="n">
        <f aca="false">IF(M1959&lt;=1,Assumptions!$B$12,IF(M1959&lt;=3,Assumptions!$B$13,IF(M1959&lt;=6,Assumptions!$B$14,Assumptions!$B$15)))</f>
        <v>20</v>
      </c>
      <c r="S1959" s="8" t="n">
        <f aca="false">IF(N1959="Completed On Time",Assumptions!$B$16,IF(N1959="Completed Late",Assumptions!$B$17,Assumptions!$B$18))</f>
        <v>100</v>
      </c>
      <c r="T1959" s="8" t="n">
        <f aca="false">IF(I1959=0,Assumptions!$B$20,IF(H1959&gt;I1959,Assumptions!$B$19,IF(H1959=I1959,Assumptions!$B$20,Assumptions!$B$21)))</f>
        <v>70</v>
      </c>
      <c r="U1959" s="8" t="n">
        <f aca="false">ROUND(P1959*Assumptions!$B$2+Q1959*Assumptions!$B$3+R1959*Assumptions!$B$4+S1959*Assumptions!$B$5+T1959*Assumptions!$B$6,0)</f>
        <v>73</v>
      </c>
      <c r="V1959" s="8" t="str">
        <f aca="false">IF(U1959&gt;=Assumptions!$B$10,"Healthy",IF(U1959&gt;=Assumptions!$B$11,"Needs Attention","High Risk"))</f>
        <v>Needs Attention</v>
      </c>
    </row>
    <row r="1960" customFormat="false" ht="15" hidden="false" customHeight="false" outlineLevel="0" collapsed="false">
      <c r="A1960" s="8" t="s">
        <v>4062</v>
      </c>
      <c r="B1960" s="8" t="s">
        <v>4063</v>
      </c>
      <c r="C1960" s="8" t="s">
        <v>51</v>
      </c>
      <c r="D1960" s="8" t="s">
        <v>2027</v>
      </c>
      <c r="E1960" s="8" t="s">
        <v>117</v>
      </c>
      <c r="F1960" s="8" t="s">
        <v>154</v>
      </c>
      <c r="G1960" s="8" t="s">
        <v>185</v>
      </c>
      <c r="H1960" s="15" t="n">
        <v>132</v>
      </c>
      <c r="I1960" s="15" t="n">
        <v>108</v>
      </c>
      <c r="J1960" s="16" t="n">
        <v>0.788</v>
      </c>
      <c r="K1960" s="8" t="n">
        <v>9.3</v>
      </c>
      <c r="L1960" s="8" t="n">
        <v>7</v>
      </c>
      <c r="M1960" s="8" t="n">
        <v>6</v>
      </c>
      <c r="N1960" s="8" t="s">
        <v>120</v>
      </c>
      <c r="O1960" s="15" t="n">
        <f aca="false">H1960*12</f>
        <v>1584</v>
      </c>
      <c r="P1960" s="8" t="n">
        <f aca="false">MIN(100,ROUND(100*J1960/Assumptions!$B$8,0))</f>
        <v>88</v>
      </c>
      <c r="Q1960" s="8" t="n">
        <f aca="false">IF(L1960="",Assumptions!$B$9,L1960*10)</f>
        <v>70</v>
      </c>
      <c r="R1960" s="8" t="n">
        <f aca="false">IF(M1960&lt;=1,Assumptions!$B$12,IF(M1960&lt;=3,Assumptions!$B$13,IF(M1960&lt;=6,Assumptions!$B$14,Assumptions!$B$15)))</f>
        <v>50</v>
      </c>
      <c r="S1960" s="8" t="n">
        <f aca="false">IF(N1960="Completed On Time",Assumptions!$B$16,IF(N1960="Completed Late",Assumptions!$B$17,Assumptions!$B$18))</f>
        <v>100</v>
      </c>
      <c r="T1960" s="8" t="n">
        <f aca="false">IF(I1960=0,Assumptions!$B$20,IF(H1960&gt;I1960,Assumptions!$B$19,IF(H1960=I1960,Assumptions!$B$20,Assumptions!$B$21)))</f>
        <v>100</v>
      </c>
      <c r="U1960" s="8" t="n">
        <f aca="false">ROUND(P1960*Assumptions!$B$2+Q1960*Assumptions!$B$3+R1960*Assumptions!$B$4+S1960*Assumptions!$B$5+T1960*Assumptions!$B$6,0)</f>
        <v>82</v>
      </c>
      <c r="V1960" s="8" t="str">
        <f aca="false">IF(U1960&gt;=Assumptions!$B$10,"Healthy",IF(U1960&gt;=Assumptions!$B$11,"Needs Attention","High Risk"))</f>
        <v>Healthy</v>
      </c>
    </row>
    <row r="1961" customFormat="false" ht="15" hidden="false" customHeight="false" outlineLevel="0" collapsed="false">
      <c r="A1961" s="8" t="s">
        <v>4064</v>
      </c>
      <c r="B1961" s="8" t="s">
        <v>4065</v>
      </c>
      <c r="C1961" s="8" t="s">
        <v>51</v>
      </c>
      <c r="D1961" s="8" t="s">
        <v>2027</v>
      </c>
      <c r="E1961" s="8" t="s">
        <v>132</v>
      </c>
      <c r="F1961" s="8" t="s">
        <v>166</v>
      </c>
      <c r="G1961" s="8" t="s">
        <v>180</v>
      </c>
      <c r="H1961" s="15" t="n">
        <v>132</v>
      </c>
      <c r="I1961" s="15" t="n">
        <v>132</v>
      </c>
      <c r="J1961" s="16" t="n">
        <v>0.636</v>
      </c>
      <c r="K1961" s="8" t="n">
        <v>5.3</v>
      </c>
      <c r="L1961" s="8" t="n">
        <v>6</v>
      </c>
      <c r="M1961" s="8" t="n">
        <v>5</v>
      </c>
      <c r="N1961" s="8" t="s">
        <v>120</v>
      </c>
      <c r="O1961" s="15" t="n">
        <f aca="false">H1961*12</f>
        <v>1584</v>
      </c>
      <c r="P1961" s="8" t="n">
        <f aca="false">MIN(100,ROUND(100*J1961/Assumptions!$B$8,0))</f>
        <v>71</v>
      </c>
      <c r="Q1961" s="8" t="n">
        <f aca="false">IF(L1961="",Assumptions!$B$9,L1961*10)</f>
        <v>60</v>
      </c>
      <c r="R1961" s="8" t="n">
        <f aca="false">IF(M1961&lt;=1,Assumptions!$B$12,IF(M1961&lt;=3,Assumptions!$B$13,IF(M1961&lt;=6,Assumptions!$B$14,Assumptions!$B$15)))</f>
        <v>50</v>
      </c>
      <c r="S1961" s="8" t="n">
        <f aca="false">IF(N1961="Completed On Time",Assumptions!$B$16,IF(N1961="Completed Late",Assumptions!$B$17,Assumptions!$B$18))</f>
        <v>100</v>
      </c>
      <c r="T1961" s="8" t="n">
        <f aca="false">IF(I1961=0,Assumptions!$B$20,IF(H1961&gt;I1961,Assumptions!$B$19,IF(H1961=I1961,Assumptions!$B$20,Assumptions!$B$21)))</f>
        <v>70</v>
      </c>
      <c r="U1961" s="8" t="n">
        <f aca="false">ROUND(P1961*Assumptions!$B$2+Q1961*Assumptions!$B$3+R1961*Assumptions!$B$4+S1961*Assumptions!$B$5+T1961*Assumptions!$B$6,0)</f>
        <v>68</v>
      </c>
      <c r="V1961" s="8" t="str">
        <f aca="false">IF(U1961&gt;=Assumptions!$B$10,"Healthy",IF(U1961&gt;=Assumptions!$B$11,"Needs Attention","High Risk"))</f>
        <v>Needs Attention</v>
      </c>
    </row>
    <row r="1962" customFormat="false" ht="15" hidden="false" customHeight="false" outlineLevel="0" collapsed="false">
      <c r="A1962" s="8" t="s">
        <v>4066</v>
      </c>
      <c r="B1962" s="8" t="s">
        <v>4067</v>
      </c>
      <c r="C1962" s="8" t="s">
        <v>51</v>
      </c>
      <c r="D1962" s="8" t="s">
        <v>2027</v>
      </c>
      <c r="E1962" s="8" t="s">
        <v>123</v>
      </c>
      <c r="F1962" s="8" t="s">
        <v>151</v>
      </c>
      <c r="G1962" s="8" t="s">
        <v>129</v>
      </c>
      <c r="H1962" s="15" t="n">
        <v>132</v>
      </c>
      <c r="I1962" s="15" t="n">
        <v>132</v>
      </c>
      <c r="J1962" s="16" t="n">
        <v>0.636</v>
      </c>
      <c r="K1962" s="8" t="n">
        <v>6.7</v>
      </c>
      <c r="L1962" s="8" t="n">
        <v>8</v>
      </c>
      <c r="M1962" s="8" t="n">
        <v>2</v>
      </c>
      <c r="N1962" s="8" t="s">
        <v>120</v>
      </c>
      <c r="O1962" s="15" t="n">
        <f aca="false">H1962*12</f>
        <v>1584</v>
      </c>
      <c r="P1962" s="8" t="n">
        <f aca="false">MIN(100,ROUND(100*J1962/Assumptions!$B$8,0))</f>
        <v>71</v>
      </c>
      <c r="Q1962" s="8" t="n">
        <f aca="false">IF(L1962="",Assumptions!$B$9,L1962*10)</f>
        <v>80</v>
      </c>
      <c r="R1962" s="8" t="n">
        <f aca="false">IF(M1962&lt;=1,Assumptions!$B$12,IF(M1962&lt;=3,Assumptions!$B$13,IF(M1962&lt;=6,Assumptions!$B$14,Assumptions!$B$15)))</f>
        <v>75</v>
      </c>
      <c r="S1962" s="8" t="n">
        <f aca="false">IF(N1962="Completed On Time",Assumptions!$B$16,IF(N1962="Completed Late",Assumptions!$B$17,Assumptions!$B$18))</f>
        <v>100</v>
      </c>
      <c r="T1962" s="8" t="n">
        <f aca="false">IF(I1962=0,Assumptions!$B$20,IF(H1962&gt;I1962,Assumptions!$B$19,IF(H1962=I1962,Assumptions!$B$20,Assumptions!$B$21)))</f>
        <v>70</v>
      </c>
      <c r="U1962" s="8" t="n">
        <f aca="false">ROUND(P1962*Assumptions!$B$2+Q1962*Assumptions!$B$3+R1962*Assumptions!$B$4+S1962*Assumptions!$B$5+T1962*Assumptions!$B$6,0)</f>
        <v>76</v>
      </c>
      <c r="V1962" s="8" t="str">
        <f aca="false">IF(U1962&gt;=Assumptions!$B$10,"Healthy",IF(U1962&gt;=Assumptions!$B$11,"Needs Attention","High Risk"))</f>
        <v>Needs Attention</v>
      </c>
    </row>
    <row r="1963" customFormat="false" ht="15" hidden="false" customHeight="false" outlineLevel="0" collapsed="false">
      <c r="A1963" s="8" t="s">
        <v>4068</v>
      </c>
      <c r="B1963" s="8" t="s">
        <v>4069</v>
      </c>
      <c r="C1963" s="8" t="s">
        <v>51</v>
      </c>
      <c r="D1963" s="8" t="s">
        <v>2027</v>
      </c>
      <c r="E1963" s="8" t="s">
        <v>123</v>
      </c>
      <c r="F1963" s="8" t="s">
        <v>151</v>
      </c>
      <c r="G1963" s="8" t="s">
        <v>159</v>
      </c>
      <c r="H1963" s="15" t="n">
        <v>132</v>
      </c>
      <c r="I1963" s="15" t="n">
        <v>132</v>
      </c>
      <c r="J1963" s="16" t="n">
        <v>0.788</v>
      </c>
      <c r="K1963" s="8" t="n">
        <v>7.3</v>
      </c>
      <c r="L1963" s="8" t="n">
        <v>8</v>
      </c>
      <c r="M1963" s="8" t="n">
        <v>3</v>
      </c>
      <c r="N1963" s="8" t="s">
        <v>120</v>
      </c>
      <c r="O1963" s="15" t="n">
        <f aca="false">H1963*12</f>
        <v>1584</v>
      </c>
      <c r="P1963" s="8" t="n">
        <f aca="false">MIN(100,ROUND(100*J1963/Assumptions!$B$8,0))</f>
        <v>88</v>
      </c>
      <c r="Q1963" s="8" t="n">
        <f aca="false">IF(L1963="",Assumptions!$B$9,L1963*10)</f>
        <v>80</v>
      </c>
      <c r="R1963" s="8" t="n">
        <f aca="false">IF(M1963&lt;=1,Assumptions!$B$12,IF(M1963&lt;=3,Assumptions!$B$13,IF(M1963&lt;=6,Assumptions!$B$14,Assumptions!$B$15)))</f>
        <v>75</v>
      </c>
      <c r="S1963" s="8" t="n">
        <f aca="false">IF(N1963="Completed On Time",Assumptions!$B$16,IF(N1963="Completed Late",Assumptions!$B$17,Assumptions!$B$18))</f>
        <v>100</v>
      </c>
      <c r="T1963" s="8" t="n">
        <f aca="false">IF(I1963=0,Assumptions!$B$20,IF(H1963&gt;I1963,Assumptions!$B$19,IF(H1963=I1963,Assumptions!$B$20,Assumptions!$B$21)))</f>
        <v>70</v>
      </c>
      <c r="U1963" s="8" t="n">
        <f aca="false">ROUND(P1963*Assumptions!$B$2+Q1963*Assumptions!$B$3+R1963*Assumptions!$B$4+S1963*Assumptions!$B$5+T1963*Assumptions!$B$6,0)</f>
        <v>82</v>
      </c>
      <c r="V1963" s="8" t="str">
        <f aca="false">IF(U1963&gt;=Assumptions!$B$10,"Healthy",IF(U1963&gt;=Assumptions!$B$11,"Needs Attention","High Risk"))</f>
        <v>Healthy</v>
      </c>
    </row>
    <row r="1964" customFormat="false" ht="15" hidden="false" customHeight="false" outlineLevel="0" collapsed="false">
      <c r="A1964" s="8" t="s">
        <v>4070</v>
      </c>
      <c r="B1964" s="8" t="s">
        <v>4071</v>
      </c>
      <c r="C1964" s="8" t="s">
        <v>51</v>
      </c>
      <c r="D1964" s="8" t="s">
        <v>2027</v>
      </c>
      <c r="E1964" s="8" t="s">
        <v>128</v>
      </c>
      <c r="F1964" s="8" t="s">
        <v>136</v>
      </c>
      <c r="G1964" s="8" t="s">
        <v>119</v>
      </c>
      <c r="H1964" s="15" t="n">
        <v>132</v>
      </c>
      <c r="I1964" s="15" t="n">
        <v>132</v>
      </c>
      <c r="J1964" s="16" t="n">
        <v>0.636</v>
      </c>
      <c r="K1964" s="8" t="n">
        <v>9.3</v>
      </c>
      <c r="L1964" s="8" t="n">
        <v>8</v>
      </c>
      <c r="M1964" s="8" t="n">
        <v>5</v>
      </c>
      <c r="N1964" s="8" t="s">
        <v>148</v>
      </c>
      <c r="O1964" s="15" t="n">
        <f aca="false">H1964*12</f>
        <v>1584</v>
      </c>
      <c r="P1964" s="8" t="n">
        <f aca="false">MIN(100,ROUND(100*J1964/Assumptions!$B$8,0))</f>
        <v>71</v>
      </c>
      <c r="Q1964" s="8" t="n">
        <f aca="false">IF(L1964="",Assumptions!$B$9,L1964*10)</f>
        <v>80</v>
      </c>
      <c r="R1964" s="8" t="n">
        <f aca="false">IF(M1964&lt;=1,Assumptions!$B$12,IF(M1964&lt;=3,Assumptions!$B$13,IF(M1964&lt;=6,Assumptions!$B$14,Assumptions!$B$15)))</f>
        <v>50</v>
      </c>
      <c r="S1964" s="8" t="n">
        <f aca="false">IF(N1964="Completed On Time",Assumptions!$B$16,IF(N1964="Completed Late",Assumptions!$B$17,Assumptions!$B$18))</f>
        <v>60</v>
      </c>
      <c r="T1964" s="8" t="n">
        <f aca="false">IF(I1964=0,Assumptions!$B$20,IF(H1964&gt;I1964,Assumptions!$B$19,IF(H1964=I1964,Assumptions!$B$20,Assumptions!$B$21)))</f>
        <v>70</v>
      </c>
      <c r="U1964" s="8" t="n">
        <f aca="false">ROUND(P1964*Assumptions!$B$2+Q1964*Assumptions!$B$3+R1964*Assumptions!$B$4+S1964*Assumptions!$B$5+T1964*Assumptions!$B$6,0)</f>
        <v>68</v>
      </c>
      <c r="V1964" s="8" t="str">
        <f aca="false">IF(U1964&gt;=Assumptions!$B$10,"Healthy",IF(U1964&gt;=Assumptions!$B$11,"Needs Attention","High Risk"))</f>
        <v>Needs Attention</v>
      </c>
    </row>
    <row r="1965" customFormat="false" ht="15" hidden="false" customHeight="false" outlineLevel="0" collapsed="false">
      <c r="A1965" s="8" t="s">
        <v>4072</v>
      </c>
      <c r="B1965" s="8" t="s">
        <v>4073</v>
      </c>
      <c r="C1965" s="8" t="s">
        <v>51</v>
      </c>
      <c r="D1965" s="8" t="s">
        <v>2027</v>
      </c>
      <c r="E1965" s="8" t="s">
        <v>123</v>
      </c>
      <c r="F1965" s="8" t="s">
        <v>223</v>
      </c>
      <c r="G1965" s="8" t="s">
        <v>129</v>
      </c>
      <c r="H1965" s="15" t="n">
        <v>132</v>
      </c>
      <c r="I1965" s="15" t="n">
        <v>132</v>
      </c>
      <c r="J1965" s="16" t="n">
        <v>0.606</v>
      </c>
      <c r="K1965" s="8" t="n">
        <v>6.3</v>
      </c>
      <c r="L1965" s="8" t="n">
        <v>7</v>
      </c>
      <c r="M1965" s="8" t="n">
        <v>2</v>
      </c>
      <c r="N1965" s="8" t="s">
        <v>120</v>
      </c>
      <c r="O1965" s="15" t="n">
        <f aca="false">H1965*12</f>
        <v>1584</v>
      </c>
      <c r="P1965" s="8" t="n">
        <f aca="false">MIN(100,ROUND(100*J1965/Assumptions!$B$8,0))</f>
        <v>67</v>
      </c>
      <c r="Q1965" s="8" t="n">
        <f aca="false">IF(L1965="",Assumptions!$B$9,L1965*10)</f>
        <v>70</v>
      </c>
      <c r="R1965" s="8" t="n">
        <f aca="false">IF(M1965&lt;=1,Assumptions!$B$12,IF(M1965&lt;=3,Assumptions!$B$13,IF(M1965&lt;=6,Assumptions!$B$14,Assumptions!$B$15)))</f>
        <v>75</v>
      </c>
      <c r="S1965" s="8" t="n">
        <f aca="false">IF(N1965="Completed On Time",Assumptions!$B$16,IF(N1965="Completed Late",Assumptions!$B$17,Assumptions!$B$18))</f>
        <v>100</v>
      </c>
      <c r="T1965" s="8" t="n">
        <f aca="false">IF(I1965=0,Assumptions!$B$20,IF(H1965&gt;I1965,Assumptions!$B$19,IF(H1965=I1965,Assumptions!$B$20,Assumptions!$B$21)))</f>
        <v>70</v>
      </c>
      <c r="U1965" s="8" t="n">
        <f aca="false">ROUND(P1965*Assumptions!$B$2+Q1965*Assumptions!$B$3+R1965*Assumptions!$B$4+S1965*Assumptions!$B$5+T1965*Assumptions!$B$6,0)</f>
        <v>73</v>
      </c>
      <c r="V1965" s="8" t="str">
        <f aca="false">IF(U1965&gt;=Assumptions!$B$10,"Healthy",IF(U1965&gt;=Assumptions!$B$11,"Needs Attention","High Risk"))</f>
        <v>Needs Attention</v>
      </c>
    </row>
    <row r="1966" customFormat="false" ht="15" hidden="false" customHeight="false" outlineLevel="0" collapsed="false">
      <c r="A1966" s="8" t="s">
        <v>4074</v>
      </c>
      <c r="B1966" s="8" t="s">
        <v>4075</v>
      </c>
      <c r="C1966" s="8" t="s">
        <v>51</v>
      </c>
      <c r="D1966" s="8" t="s">
        <v>2027</v>
      </c>
      <c r="E1966" s="8" t="s">
        <v>132</v>
      </c>
      <c r="F1966" s="8" t="s">
        <v>151</v>
      </c>
      <c r="G1966" s="8" t="s">
        <v>185</v>
      </c>
      <c r="H1966" s="15" t="n">
        <v>132</v>
      </c>
      <c r="I1966" s="15" t="n">
        <v>132</v>
      </c>
      <c r="J1966" s="16" t="n">
        <v>0.667</v>
      </c>
      <c r="K1966" s="8" t="n">
        <v>10.7</v>
      </c>
      <c r="L1966" s="8" t="n">
        <v>7</v>
      </c>
      <c r="M1966" s="8" t="n">
        <v>2</v>
      </c>
      <c r="N1966" s="8" t="s">
        <v>120</v>
      </c>
      <c r="O1966" s="15" t="n">
        <f aca="false">H1966*12</f>
        <v>1584</v>
      </c>
      <c r="P1966" s="8" t="n">
        <f aca="false">MIN(100,ROUND(100*J1966/Assumptions!$B$8,0))</f>
        <v>74</v>
      </c>
      <c r="Q1966" s="8" t="n">
        <f aca="false">IF(L1966="",Assumptions!$B$9,L1966*10)</f>
        <v>70</v>
      </c>
      <c r="R1966" s="8" t="n">
        <f aca="false">IF(M1966&lt;=1,Assumptions!$B$12,IF(M1966&lt;=3,Assumptions!$B$13,IF(M1966&lt;=6,Assumptions!$B$14,Assumptions!$B$15)))</f>
        <v>75</v>
      </c>
      <c r="S1966" s="8" t="n">
        <f aca="false">IF(N1966="Completed On Time",Assumptions!$B$16,IF(N1966="Completed Late",Assumptions!$B$17,Assumptions!$B$18))</f>
        <v>100</v>
      </c>
      <c r="T1966" s="8" t="n">
        <f aca="false">IF(I1966=0,Assumptions!$B$20,IF(H1966&gt;I1966,Assumptions!$B$19,IF(H1966=I1966,Assumptions!$B$20,Assumptions!$B$21)))</f>
        <v>70</v>
      </c>
      <c r="U1966" s="8" t="n">
        <f aca="false">ROUND(P1966*Assumptions!$B$2+Q1966*Assumptions!$B$3+R1966*Assumptions!$B$4+S1966*Assumptions!$B$5+T1966*Assumptions!$B$6,0)</f>
        <v>75</v>
      </c>
      <c r="V1966" s="8" t="str">
        <f aca="false">IF(U1966&gt;=Assumptions!$B$10,"Healthy",IF(U1966&gt;=Assumptions!$B$11,"Needs Attention","High Risk"))</f>
        <v>Needs Attention</v>
      </c>
    </row>
    <row r="1967" customFormat="false" ht="15" hidden="false" customHeight="false" outlineLevel="0" collapsed="false">
      <c r="A1967" s="8" t="s">
        <v>4076</v>
      </c>
      <c r="B1967" s="8" t="s">
        <v>4077</v>
      </c>
      <c r="C1967" s="8" t="s">
        <v>51</v>
      </c>
      <c r="D1967" s="8" t="s">
        <v>326</v>
      </c>
      <c r="E1967" s="8" t="s">
        <v>123</v>
      </c>
      <c r="F1967" s="8" t="s">
        <v>166</v>
      </c>
      <c r="G1967" s="8" t="s">
        <v>125</v>
      </c>
      <c r="H1967" s="15" t="n">
        <v>125</v>
      </c>
      <c r="I1967" s="15" t="n">
        <v>125</v>
      </c>
      <c r="J1967" s="16" t="n">
        <v>0.8</v>
      </c>
      <c r="K1967" s="8" t="n">
        <v>10.7</v>
      </c>
      <c r="L1967" s="8" t="n">
        <v>9</v>
      </c>
      <c r="M1967" s="8" t="n">
        <v>1</v>
      </c>
      <c r="N1967" s="8" t="s">
        <v>120</v>
      </c>
      <c r="O1967" s="15" t="n">
        <f aca="false">H1967*12</f>
        <v>1500</v>
      </c>
      <c r="P1967" s="8" t="n">
        <f aca="false">MIN(100,ROUND(100*J1967/Assumptions!$B$8,0))</f>
        <v>89</v>
      </c>
      <c r="Q1967" s="8" t="n">
        <f aca="false">IF(L1967="",Assumptions!$B$9,L1967*10)</f>
        <v>90</v>
      </c>
      <c r="R1967" s="8" t="n">
        <f aca="false">IF(M1967&lt;=1,Assumptions!$B$12,IF(M1967&lt;=3,Assumptions!$B$13,IF(M1967&lt;=6,Assumptions!$B$14,Assumptions!$B$15)))</f>
        <v>100</v>
      </c>
      <c r="S1967" s="8" t="n">
        <f aca="false">IF(N1967="Completed On Time",Assumptions!$B$16,IF(N1967="Completed Late",Assumptions!$B$17,Assumptions!$B$18))</f>
        <v>100</v>
      </c>
      <c r="T1967" s="8" t="n">
        <f aca="false">IF(I1967=0,Assumptions!$B$20,IF(H1967&gt;I1967,Assumptions!$B$19,IF(H1967=I1967,Assumptions!$B$20,Assumptions!$B$21)))</f>
        <v>70</v>
      </c>
      <c r="U1967" s="8" t="n">
        <f aca="false">ROUND(P1967*Assumptions!$B$2+Q1967*Assumptions!$B$3+R1967*Assumptions!$B$4+S1967*Assumptions!$B$5+T1967*Assumptions!$B$6,0)</f>
        <v>88</v>
      </c>
      <c r="V1967" s="8" t="str">
        <f aca="false">IF(U1967&gt;=Assumptions!$B$10,"Healthy",IF(U1967&gt;=Assumptions!$B$11,"Needs Attention","High Risk"))</f>
        <v>Healthy</v>
      </c>
    </row>
    <row r="1968" customFormat="false" ht="15" hidden="false" customHeight="false" outlineLevel="0" collapsed="false">
      <c r="A1968" s="8" t="s">
        <v>4078</v>
      </c>
      <c r="B1968" s="8" t="s">
        <v>4079</v>
      </c>
      <c r="C1968" s="8" t="s">
        <v>51</v>
      </c>
      <c r="D1968" s="8" t="s">
        <v>326</v>
      </c>
      <c r="E1968" s="8" t="s">
        <v>132</v>
      </c>
      <c r="F1968" s="8" t="s">
        <v>124</v>
      </c>
      <c r="G1968" s="8" t="s">
        <v>129</v>
      </c>
      <c r="H1968" s="15" t="n">
        <v>125</v>
      </c>
      <c r="I1968" s="15" t="n">
        <v>125</v>
      </c>
      <c r="J1968" s="16" t="n">
        <v>0.8</v>
      </c>
      <c r="K1968" s="8" t="n">
        <v>9</v>
      </c>
      <c r="L1968" s="8" t="n">
        <v>9</v>
      </c>
      <c r="M1968" s="8" t="n">
        <v>0</v>
      </c>
      <c r="N1968" s="8" t="s">
        <v>120</v>
      </c>
      <c r="O1968" s="15" t="n">
        <f aca="false">H1968*12</f>
        <v>1500</v>
      </c>
      <c r="P1968" s="8" t="n">
        <f aca="false">MIN(100,ROUND(100*J1968/Assumptions!$B$8,0))</f>
        <v>89</v>
      </c>
      <c r="Q1968" s="8" t="n">
        <f aca="false">IF(L1968="",Assumptions!$B$9,L1968*10)</f>
        <v>90</v>
      </c>
      <c r="R1968" s="8" t="n">
        <f aca="false">IF(M1968&lt;=1,Assumptions!$B$12,IF(M1968&lt;=3,Assumptions!$B$13,IF(M1968&lt;=6,Assumptions!$B$14,Assumptions!$B$15)))</f>
        <v>100</v>
      </c>
      <c r="S1968" s="8" t="n">
        <f aca="false">IF(N1968="Completed On Time",Assumptions!$B$16,IF(N1968="Completed Late",Assumptions!$B$17,Assumptions!$B$18))</f>
        <v>100</v>
      </c>
      <c r="T1968" s="8" t="n">
        <f aca="false">IF(I1968=0,Assumptions!$B$20,IF(H1968&gt;I1968,Assumptions!$B$19,IF(H1968=I1968,Assumptions!$B$20,Assumptions!$B$21)))</f>
        <v>70</v>
      </c>
      <c r="U1968" s="8" t="n">
        <f aca="false">ROUND(P1968*Assumptions!$B$2+Q1968*Assumptions!$B$3+R1968*Assumptions!$B$4+S1968*Assumptions!$B$5+T1968*Assumptions!$B$6,0)</f>
        <v>88</v>
      </c>
      <c r="V1968" s="8" t="str">
        <f aca="false">IF(U1968&gt;=Assumptions!$B$10,"Healthy",IF(U1968&gt;=Assumptions!$B$11,"Needs Attention","High Risk"))</f>
        <v>Healthy</v>
      </c>
    </row>
    <row r="1969" customFormat="false" ht="15" hidden="false" customHeight="false" outlineLevel="0" collapsed="false">
      <c r="A1969" s="8" t="s">
        <v>4080</v>
      </c>
      <c r="B1969" s="8" t="s">
        <v>4081</v>
      </c>
      <c r="C1969" s="8" t="s">
        <v>51</v>
      </c>
      <c r="D1969" s="8" t="s">
        <v>326</v>
      </c>
      <c r="E1969" s="8" t="s">
        <v>123</v>
      </c>
      <c r="F1969" s="8" t="s">
        <v>124</v>
      </c>
      <c r="G1969" s="8" t="s">
        <v>180</v>
      </c>
      <c r="H1969" s="15" t="n">
        <v>125</v>
      </c>
      <c r="I1969" s="15" t="n">
        <v>125</v>
      </c>
      <c r="J1969" s="16" t="n">
        <v>0.6</v>
      </c>
      <c r="K1969" s="8" t="n">
        <v>7.3</v>
      </c>
      <c r="L1969" s="8" t="n">
        <v>8</v>
      </c>
      <c r="M1969" s="8" t="n">
        <v>5</v>
      </c>
      <c r="N1969" s="8" t="s">
        <v>120</v>
      </c>
      <c r="O1969" s="15" t="n">
        <f aca="false">H1969*12</f>
        <v>1500</v>
      </c>
      <c r="P1969" s="8" t="n">
        <f aca="false">MIN(100,ROUND(100*J1969/Assumptions!$B$8,0))</f>
        <v>67</v>
      </c>
      <c r="Q1969" s="8" t="n">
        <f aca="false">IF(L1969="",Assumptions!$B$9,L1969*10)</f>
        <v>80</v>
      </c>
      <c r="R1969" s="8" t="n">
        <f aca="false">IF(M1969&lt;=1,Assumptions!$B$12,IF(M1969&lt;=3,Assumptions!$B$13,IF(M1969&lt;=6,Assumptions!$B$14,Assumptions!$B$15)))</f>
        <v>50</v>
      </c>
      <c r="S1969" s="8" t="n">
        <f aca="false">IF(N1969="Completed On Time",Assumptions!$B$16,IF(N1969="Completed Late",Assumptions!$B$17,Assumptions!$B$18))</f>
        <v>100</v>
      </c>
      <c r="T1969" s="8" t="n">
        <f aca="false">IF(I1969=0,Assumptions!$B$20,IF(H1969&gt;I1969,Assumptions!$B$19,IF(H1969=I1969,Assumptions!$B$20,Assumptions!$B$21)))</f>
        <v>70</v>
      </c>
      <c r="U1969" s="8" t="n">
        <f aca="false">ROUND(P1969*Assumptions!$B$2+Q1969*Assumptions!$B$3+R1969*Assumptions!$B$4+S1969*Assumptions!$B$5+T1969*Assumptions!$B$6,0)</f>
        <v>71</v>
      </c>
      <c r="V1969" s="8" t="str">
        <f aca="false">IF(U1969&gt;=Assumptions!$B$10,"Healthy",IF(U1969&gt;=Assumptions!$B$11,"Needs Attention","High Risk"))</f>
        <v>Needs Attention</v>
      </c>
    </row>
    <row r="1970" customFormat="false" ht="15" hidden="false" customHeight="false" outlineLevel="0" collapsed="false">
      <c r="A1970" s="8" t="s">
        <v>4082</v>
      </c>
      <c r="B1970" s="8" t="s">
        <v>4083</v>
      </c>
      <c r="C1970" s="8" t="s">
        <v>51</v>
      </c>
      <c r="D1970" s="8" t="s">
        <v>2027</v>
      </c>
      <c r="E1970" s="8" t="s">
        <v>123</v>
      </c>
      <c r="F1970" s="8" t="s">
        <v>143</v>
      </c>
      <c r="G1970" s="8" t="s">
        <v>140</v>
      </c>
      <c r="H1970" s="15" t="n">
        <v>120</v>
      </c>
      <c r="I1970" s="15" t="n">
        <v>120</v>
      </c>
      <c r="J1970" s="16" t="n">
        <v>0.667</v>
      </c>
      <c r="K1970" s="8" t="n">
        <v>7</v>
      </c>
      <c r="L1970" s="8" t="n">
        <v>7</v>
      </c>
      <c r="M1970" s="8" t="n">
        <v>4</v>
      </c>
      <c r="N1970" s="8" t="s">
        <v>120</v>
      </c>
      <c r="O1970" s="15" t="n">
        <f aca="false">H1970*12</f>
        <v>1440</v>
      </c>
      <c r="P1970" s="8" t="n">
        <f aca="false">MIN(100,ROUND(100*J1970/Assumptions!$B$8,0))</f>
        <v>74</v>
      </c>
      <c r="Q1970" s="8" t="n">
        <f aca="false">IF(L1970="",Assumptions!$B$9,L1970*10)</f>
        <v>70</v>
      </c>
      <c r="R1970" s="8" t="n">
        <f aca="false">IF(M1970&lt;=1,Assumptions!$B$12,IF(M1970&lt;=3,Assumptions!$B$13,IF(M1970&lt;=6,Assumptions!$B$14,Assumptions!$B$15)))</f>
        <v>50</v>
      </c>
      <c r="S1970" s="8" t="n">
        <f aca="false">IF(N1970="Completed On Time",Assumptions!$B$16,IF(N1970="Completed Late",Assumptions!$B$17,Assumptions!$B$18))</f>
        <v>100</v>
      </c>
      <c r="T1970" s="8" t="n">
        <f aca="false">IF(I1970=0,Assumptions!$B$20,IF(H1970&gt;I1970,Assumptions!$B$19,IF(H1970=I1970,Assumptions!$B$20,Assumptions!$B$21)))</f>
        <v>70</v>
      </c>
      <c r="U1970" s="8" t="n">
        <f aca="false">ROUND(P1970*Assumptions!$B$2+Q1970*Assumptions!$B$3+R1970*Assumptions!$B$4+S1970*Assumptions!$B$5+T1970*Assumptions!$B$6,0)</f>
        <v>71</v>
      </c>
      <c r="V1970" s="8" t="str">
        <f aca="false">IF(U1970&gt;=Assumptions!$B$10,"Healthy",IF(U1970&gt;=Assumptions!$B$11,"Needs Attention","High Risk"))</f>
        <v>Needs Attention</v>
      </c>
    </row>
    <row r="1971" customFormat="false" ht="15" hidden="false" customHeight="false" outlineLevel="0" collapsed="false">
      <c r="A1971" s="8" t="s">
        <v>4084</v>
      </c>
      <c r="B1971" s="8" t="s">
        <v>4085</v>
      </c>
      <c r="C1971" s="8" t="s">
        <v>51</v>
      </c>
      <c r="D1971" s="8" t="s">
        <v>2027</v>
      </c>
      <c r="E1971" s="8" t="s">
        <v>117</v>
      </c>
      <c r="F1971" s="8" t="s">
        <v>223</v>
      </c>
      <c r="G1971" s="8" t="s">
        <v>177</v>
      </c>
      <c r="H1971" s="15" t="n">
        <v>120</v>
      </c>
      <c r="I1971" s="15" t="n">
        <v>0</v>
      </c>
      <c r="J1971" s="16" t="n">
        <v>0.667</v>
      </c>
      <c r="K1971" s="8" t="n">
        <v>7.3</v>
      </c>
      <c r="L1971" s="8"/>
      <c r="M1971" s="8" t="n">
        <v>0</v>
      </c>
      <c r="N1971" s="8" t="s">
        <v>120</v>
      </c>
      <c r="O1971" s="15" t="n">
        <f aca="false">H1971*12</f>
        <v>1440</v>
      </c>
      <c r="P1971" s="8" t="n">
        <f aca="false">MIN(100,ROUND(100*J1971/Assumptions!$B$8,0))</f>
        <v>74</v>
      </c>
      <c r="Q1971" s="8" t="n">
        <f aca="false">IF(L1971="",Assumptions!$B$9,L1971*10)</f>
        <v>50</v>
      </c>
      <c r="R1971" s="8" t="n">
        <f aca="false">IF(M1971&lt;=1,Assumptions!$B$12,IF(M1971&lt;=3,Assumptions!$B$13,IF(M1971&lt;=6,Assumptions!$B$14,Assumptions!$B$15)))</f>
        <v>100</v>
      </c>
      <c r="S1971" s="8" t="n">
        <f aca="false">IF(N1971="Completed On Time",Assumptions!$B$16,IF(N1971="Completed Late",Assumptions!$B$17,Assumptions!$B$18))</f>
        <v>100</v>
      </c>
      <c r="T1971" s="8" t="n">
        <f aca="false">IF(I1971=0,Assumptions!$B$20,IF(H1971&gt;I1971,Assumptions!$B$19,IF(H1971=I1971,Assumptions!$B$20,Assumptions!$B$21)))</f>
        <v>70</v>
      </c>
      <c r="U1971" s="8" t="n">
        <f aca="false">ROUND(P1971*Assumptions!$B$2+Q1971*Assumptions!$B$3+R1971*Assumptions!$B$4+S1971*Assumptions!$B$5+T1971*Assumptions!$B$6,0)</f>
        <v>75</v>
      </c>
      <c r="V1971" s="8" t="str">
        <f aca="false">IF(U1971&gt;=Assumptions!$B$10,"Healthy",IF(U1971&gt;=Assumptions!$B$11,"Needs Attention","High Risk"))</f>
        <v>Needs Attention</v>
      </c>
    </row>
    <row r="1972" customFormat="false" ht="15" hidden="false" customHeight="false" outlineLevel="0" collapsed="false">
      <c r="A1972" s="8" t="s">
        <v>4086</v>
      </c>
      <c r="B1972" s="8" t="s">
        <v>4087</v>
      </c>
      <c r="C1972" s="8" t="s">
        <v>51</v>
      </c>
      <c r="D1972" s="8" t="s">
        <v>2027</v>
      </c>
      <c r="E1972" s="8" t="s">
        <v>132</v>
      </c>
      <c r="F1972" s="8" t="s">
        <v>124</v>
      </c>
      <c r="G1972" s="8" t="s">
        <v>129</v>
      </c>
      <c r="H1972" s="15" t="n">
        <v>120</v>
      </c>
      <c r="I1972" s="15" t="n">
        <v>156</v>
      </c>
      <c r="J1972" s="16" t="n">
        <v>0.8</v>
      </c>
      <c r="K1972" s="8" t="n">
        <v>9.7</v>
      </c>
      <c r="L1972" s="8" t="n">
        <v>6</v>
      </c>
      <c r="M1972" s="8" t="n">
        <v>2</v>
      </c>
      <c r="N1972" s="8" t="s">
        <v>120</v>
      </c>
      <c r="O1972" s="15" t="n">
        <f aca="false">H1972*12</f>
        <v>1440</v>
      </c>
      <c r="P1972" s="8" t="n">
        <f aca="false">MIN(100,ROUND(100*J1972/Assumptions!$B$8,0))</f>
        <v>89</v>
      </c>
      <c r="Q1972" s="8" t="n">
        <f aca="false">IF(L1972="",Assumptions!$B$9,L1972*10)</f>
        <v>60</v>
      </c>
      <c r="R1972" s="8" t="n">
        <f aca="false">IF(M1972&lt;=1,Assumptions!$B$12,IF(M1972&lt;=3,Assumptions!$B$13,IF(M1972&lt;=6,Assumptions!$B$14,Assumptions!$B$15)))</f>
        <v>75</v>
      </c>
      <c r="S1972" s="8" t="n">
        <f aca="false">IF(N1972="Completed On Time",Assumptions!$B$16,IF(N1972="Completed Late",Assumptions!$B$17,Assumptions!$B$18))</f>
        <v>100</v>
      </c>
      <c r="T1972" s="8" t="n">
        <f aca="false">IF(I1972=0,Assumptions!$B$20,IF(H1972&gt;I1972,Assumptions!$B$19,IF(H1972=I1972,Assumptions!$B$20,Assumptions!$B$21)))</f>
        <v>30</v>
      </c>
      <c r="U1972" s="8" t="n">
        <f aca="false">ROUND(P1972*Assumptions!$B$2+Q1972*Assumptions!$B$3+R1972*Assumptions!$B$4+S1972*Assumptions!$B$5+T1972*Assumptions!$B$6,0)</f>
        <v>70</v>
      </c>
      <c r="V1972" s="8" t="str">
        <f aca="false">IF(U1972&gt;=Assumptions!$B$10,"Healthy",IF(U1972&gt;=Assumptions!$B$11,"Needs Attention","High Risk"))</f>
        <v>Needs Attention</v>
      </c>
    </row>
    <row r="1973" customFormat="false" ht="15" hidden="false" customHeight="false" outlineLevel="0" collapsed="false">
      <c r="A1973" s="8" t="s">
        <v>4088</v>
      </c>
      <c r="B1973" s="8" t="s">
        <v>4089</v>
      </c>
      <c r="C1973" s="8" t="s">
        <v>51</v>
      </c>
      <c r="D1973" s="8" t="s">
        <v>2027</v>
      </c>
      <c r="E1973" s="8" t="s">
        <v>123</v>
      </c>
      <c r="F1973" s="8" t="s">
        <v>190</v>
      </c>
      <c r="G1973" s="8" t="s">
        <v>119</v>
      </c>
      <c r="H1973" s="15" t="n">
        <v>120</v>
      </c>
      <c r="I1973" s="15" t="n">
        <v>120</v>
      </c>
      <c r="J1973" s="16" t="n">
        <v>0.567</v>
      </c>
      <c r="K1973" s="8" t="n">
        <v>6.3</v>
      </c>
      <c r="L1973" s="8" t="n">
        <v>4</v>
      </c>
      <c r="M1973" s="8" t="n">
        <v>4</v>
      </c>
      <c r="N1973" s="8" t="s">
        <v>120</v>
      </c>
      <c r="O1973" s="15" t="n">
        <f aca="false">H1973*12</f>
        <v>1440</v>
      </c>
      <c r="P1973" s="8" t="n">
        <f aca="false">MIN(100,ROUND(100*J1973/Assumptions!$B$8,0))</f>
        <v>63</v>
      </c>
      <c r="Q1973" s="8" t="n">
        <f aca="false">IF(L1973="",Assumptions!$B$9,L1973*10)</f>
        <v>40</v>
      </c>
      <c r="R1973" s="8" t="n">
        <f aca="false">IF(M1973&lt;=1,Assumptions!$B$12,IF(M1973&lt;=3,Assumptions!$B$13,IF(M1973&lt;=6,Assumptions!$B$14,Assumptions!$B$15)))</f>
        <v>50</v>
      </c>
      <c r="S1973" s="8" t="n">
        <f aca="false">IF(N1973="Completed On Time",Assumptions!$B$16,IF(N1973="Completed Late",Assumptions!$B$17,Assumptions!$B$18))</f>
        <v>100</v>
      </c>
      <c r="T1973" s="8" t="n">
        <f aca="false">IF(I1973=0,Assumptions!$B$20,IF(H1973&gt;I1973,Assumptions!$B$19,IF(H1973=I1973,Assumptions!$B$20,Assumptions!$B$21)))</f>
        <v>70</v>
      </c>
      <c r="U1973" s="8" t="n">
        <f aca="false">ROUND(P1973*Assumptions!$B$2+Q1973*Assumptions!$B$3+R1973*Assumptions!$B$4+S1973*Assumptions!$B$5+T1973*Assumptions!$B$6,0)</f>
        <v>62</v>
      </c>
      <c r="V1973" s="8" t="str">
        <f aca="false">IF(U1973&gt;=Assumptions!$B$10,"Healthy",IF(U1973&gt;=Assumptions!$B$11,"Needs Attention","High Risk"))</f>
        <v>High Risk</v>
      </c>
    </row>
    <row r="1974" customFormat="false" ht="15" hidden="false" customHeight="false" outlineLevel="0" collapsed="false">
      <c r="A1974" s="8" t="s">
        <v>4090</v>
      </c>
      <c r="B1974" s="8" t="s">
        <v>4091</v>
      </c>
      <c r="C1974" s="8" t="s">
        <v>51</v>
      </c>
      <c r="D1974" s="8" t="s">
        <v>2027</v>
      </c>
      <c r="E1974" s="8" t="s">
        <v>123</v>
      </c>
      <c r="F1974" s="8" t="s">
        <v>166</v>
      </c>
      <c r="G1974" s="8" t="s">
        <v>119</v>
      </c>
      <c r="H1974" s="15" t="n">
        <v>120</v>
      </c>
      <c r="I1974" s="15" t="n">
        <v>120</v>
      </c>
      <c r="J1974" s="16" t="n">
        <v>0.767</v>
      </c>
      <c r="K1974" s="8" t="n">
        <v>9.7</v>
      </c>
      <c r="L1974" s="8" t="n">
        <v>9</v>
      </c>
      <c r="M1974" s="8" t="n">
        <v>3</v>
      </c>
      <c r="N1974" s="8" t="s">
        <v>120</v>
      </c>
      <c r="O1974" s="15" t="n">
        <f aca="false">H1974*12</f>
        <v>1440</v>
      </c>
      <c r="P1974" s="8" t="n">
        <f aca="false">MIN(100,ROUND(100*J1974/Assumptions!$B$8,0))</f>
        <v>85</v>
      </c>
      <c r="Q1974" s="8" t="n">
        <f aca="false">IF(L1974="",Assumptions!$B$9,L1974*10)</f>
        <v>90</v>
      </c>
      <c r="R1974" s="8" t="n">
        <f aca="false">IF(M1974&lt;=1,Assumptions!$B$12,IF(M1974&lt;=3,Assumptions!$B$13,IF(M1974&lt;=6,Assumptions!$B$14,Assumptions!$B$15)))</f>
        <v>75</v>
      </c>
      <c r="S1974" s="8" t="n">
        <f aca="false">IF(N1974="Completed On Time",Assumptions!$B$16,IF(N1974="Completed Late",Assumptions!$B$17,Assumptions!$B$18))</f>
        <v>100</v>
      </c>
      <c r="T1974" s="8" t="n">
        <f aca="false">IF(I1974=0,Assumptions!$B$20,IF(H1974&gt;I1974,Assumptions!$B$19,IF(H1974=I1974,Assumptions!$B$20,Assumptions!$B$21)))</f>
        <v>70</v>
      </c>
      <c r="U1974" s="8" t="n">
        <f aca="false">ROUND(P1974*Assumptions!$B$2+Q1974*Assumptions!$B$3+R1974*Assumptions!$B$4+S1974*Assumptions!$B$5+T1974*Assumptions!$B$6,0)</f>
        <v>83</v>
      </c>
      <c r="V1974" s="8" t="str">
        <f aca="false">IF(U1974&gt;=Assumptions!$B$10,"Healthy",IF(U1974&gt;=Assumptions!$B$11,"Needs Attention","High Risk"))</f>
        <v>Healthy</v>
      </c>
    </row>
    <row r="1975" customFormat="false" ht="15" hidden="false" customHeight="false" outlineLevel="0" collapsed="false">
      <c r="A1975" s="8" t="s">
        <v>4092</v>
      </c>
      <c r="B1975" s="8" t="s">
        <v>4093</v>
      </c>
      <c r="C1975" s="8" t="s">
        <v>51</v>
      </c>
      <c r="D1975" s="8" t="s">
        <v>2027</v>
      </c>
      <c r="E1975" s="8" t="s">
        <v>123</v>
      </c>
      <c r="F1975" s="8" t="s">
        <v>190</v>
      </c>
      <c r="G1975" s="8" t="s">
        <v>137</v>
      </c>
      <c r="H1975" s="15" t="n">
        <v>120</v>
      </c>
      <c r="I1975" s="15" t="n">
        <v>120</v>
      </c>
      <c r="J1975" s="16" t="n">
        <v>0.7</v>
      </c>
      <c r="K1975" s="8" t="n">
        <v>9.3</v>
      </c>
      <c r="L1975" s="8" t="n">
        <v>8</v>
      </c>
      <c r="M1975" s="8" t="n">
        <v>4</v>
      </c>
      <c r="N1975" s="8" t="s">
        <v>120</v>
      </c>
      <c r="O1975" s="15" t="n">
        <f aca="false">H1975*12</f>
        <v>1440</v>
      </c>
      <c r="P1975" s="8" t="n">
        <f aca="false">MIN(100,ROUND(100*J1975/Assumptions!$B$8,0))</f>
        <v>78</v>
      </c>
      <c r="Q1975" s="8" t="n">
        <f aca="false">IF(L1975="",Assumptions!$B$9,L1975*10)</f>
        <v>80</v>
      </c>
      <c r="R1975" s="8" t="n">
        <f aca="false">IF(M1975&lt;=1,Assumptions!$B$12,IF(M1975&lt;=3,Assumptions!$B$13,IF(M1975&lt;=6,Assumptions!$B$14,Assumptions!$B$15)))</f>
        <v>50</v>
      </c>
      <c r="S1975" s="8" t="n">
        <f aca="false">IF(N1975="Completed On Time",Assumptions!$B$16,IF(N1975="Completed Late",Assumptions!$B$17,Assumptions!$B$18))</f>
        <v>100</v>
      </c>
      <c r="T1975" s="8" t="n">
        <f aca="false">IF(I1975=0,Assumptions!$B$20,IF(H1975&gt;I1975,Assumptions!$B$19,IF(H1975=I1975,Assumptions!$B$20,Assumptions!$B$21)))</f>
        <v>70</v>
      </c>
      <c r="U1975" s="8" t="n">
        <f aca="false">ROUND(P1975*Assumptions!$B$2+Q1975*Assumptions!$B$3+R1975*Assumptions!$B$4+S1975*Assumptions!$B$5+T1975*Assumptions!$B$6,0)</f>
        <v>75</v>
      </c>
      <c r="V1975" s="8" t="str">
        <f aca="false">IF(U1975&gt;=Assumptions!$B$10,"Healthy",IF(U1975&gt;=Assumptions!$B$11,"Needs Attention","High Risk"))</f>
        <v>Needs Attention</v>
      </c>
    </row>
    <row r="1976" customFormat="false" ht="15" hidden="false" customHeight="false" outlineLevel="0" collapsed="false">
      <c r="A1976" s="8" t="s">
        <v>4094</v>
      </c>
      <c r="B1976" s="8" t="s">
        <v>4095</v>
      </c>
      <c r="C1976" s="8" t="s">
        <v>51</v>
      </c>
      <c r="D1976" s="8" t="s">
        <v>2027</v>
      </c>
      <c r="E1976" s="8" t="s">
        <v>132</v>
      </c>
      <c r="F1976" s="8" t="s">
        <v>133</v>
      </c>
      <c r="G1976" s="8" t="s">
        <v>147</v>
      </c>
      <c r="H1976" s="15" t="n">
        <v>120</v>
      </c>
      <c r="I1976" s="15" t="n">
        <v>120</v>
      </c>
      <c r="J1976" s="16" t="n">
        <v>0.633</v>
      </c>
      <c r="K1976" s="8" t="n">
        <v>9</v>
      </c>
      <c r="L1976" s="8" t="n">
        <v>5</v>
      </c>
      <c r="M1976" s="8" t="n">
        <v>2</v>
      </c>
      <c r="N1976" s="8" t="s">
        <v>120</v>
      </c>
      <c r="O1976" s="15" t="n">
        <f aca="false">H1976*12</f>
        <v>1440</v>
      </c>
      <c r="P1976" s="8" t="n">
        <f aca="false">MIN(100,ROUND(100*J1976/Assumptions!$B$8,0))</f>
        <v>70</v>
      </c>
      <c r="Q1976" s="8" t="n">
        <f aca="false">IF(L1976="",Assumptions!$B$9,L1976*10)</f>
        <v>50</v>
      </c>
      <c r="R1976" s="8" t="n">
        <f aca="false">IF(M1976&lt;=1,Assumptions!$B$12,IF(M1976&lt;=3,Assumptions!$B$13,IF(M1976&lt;=6,Assumptions!$B$14,Assumptions!$B$15)))</f>
        <v>75</v>
      </c>
      <c r="S1976" s="8" t="n">
        <f aca="false">IF(N1976="Completed On Time",Assumptions!$B$16,IF(N1976="Completed Late",Assumptions!$B$17,Assumptions!$B$18))</f>
        <v>100</v>
      </c>
      <c r="T1976" s="8" t="n">
        <f aca="false">IF(I1976=0,Assumptions!$B$20,IF(H1976&gt;I1976,Assumptions!$B$19,IF(H1976=I1976,Assumptions!$B$20,Assumptions!$B$21)))</f>
        <v>70</v>
      </c>
      <c r="U1976" s="8" t="n">
        <f aca="false">ROUND(P1976*Assumptions!$B$2+Q1976*Assumptions!$B$3+R1976*Assumptions!$B$4+S1976*Assumptions!$B$5+T1976*Assumptions!$B$6,0)</f>
        <v>70</v>
      </c>
      <c r="V1976" s="8" t="str">
        <f aca="false">IF(U1976&gt;=Assumptions!$B$10,"Healthy",IF(U1976&gt;=Assumptions!$B$11,"Needs Attention","High Risk"))</f>
        <v>Needs Attention</v>
      </c>
    </row>
    <row r="1977" customFormat="false" ht="15" hidden="false" customHeight="false" outlineLevel="0" collapsed="false">
      <c r="A1977" s="8" t="s">
        <v>4096</v>
      </c>
      <c r="B1977" s="8" t="s">
        <v>4097</v>
      </c>
      <c r="C1977" s="8" t="s">
        <v>51</v>
      </c>
      <c r="D1977" s="8" t="s">
        <v>2027</v>
      </c>
      <c r="E1977" s="8" t="s">
        <v>117</v>
      </c>
      <c r="F1977" s="8" t="s">
        <v>223</v>
      </c>
      <c r="G1977" s="8" t="s">
        <v>125</v>
      </c>
      <c r="H1977" s="15" t="n">
        <v>120</v>
      </c>
      <c r="I1977" s="15" t="n">
        <v>120</v>
      </c>
      <c r="J1977" s="16" t="n">
        <v>0.833</v>
      </c>
      <c r="K1977" s="8" t="n">
        <v>10.7</v>
      </c>
      <c r="L1977" s="8" t="n">
        <v>8</v>
      </c>
      <c r="M1977" s="8" t="n">
        <v>2</v>
      </c>
      <c r="N1977" s="8" t="s">
        <v>120</v>
      </c>
      <c r="O1977" s="15" t="n">
        <f aca="false">H1977*12</f>
        <v>1440</v>
      </c>
      <c r="P1977" s="8" t="n">
        <f aca="false">MIN(100,ROUND(100*J1977/Assumptions!$B$8,0))</f>
        <v>93</v>
      </c>
      <c r="Q1977" s="8" t="n">
        <f aca="false">IF(L1977="",Assumptions!$B$9,L1977*10)</f>
        <v>80</v>
      </c>
      <c r="R1977" s="8" t="n">
        <f aca="false">IF(M1977&lt;=1,Assumptions!$B$12,IF(M1977&lt;=3,Assumptions!$B$13,IF(M1977&lt;=6,Assumptions!$B$14,Assumptions!$B$15)))</f>
        <v>75</v>
      </c>
      <c r="S1977" s="8" t="n">
        <f aca="false">IF(N1977="Completed On Time",Assumptions!$B$16,IF(N1977="Completed Late",Assumptions!$B$17,Assumptions!$B$18))</f>
        <v>100</v>
      </c>
      <c r="T1977" s="8" t="n">
        <f aca="false">IF(I1977=0,Assumptions!$B$20,IF(H1977&gt;I1977,Assumptions!$B$19,IF(H1977=I1977,Assumptions!$B$20,Assumptions!$B$21)))</f>
        <v>70</v>
      </c>
      <c r="U1977" s="8" t="n">
        <f aca="false">ROUND(P1977*Assumptions!$B$2+Q1977*Assumptions!$B$3+R1977*Assumptions!$B$4+S1977*Assumptions!$B$5+T1977*Assumptions!$B$6,0)</f>
        <v>84</v>
      </c>
      <c r="V1977" s="8" t="str">
        <f aca="false">IF(U1977&gt;=Assumptions!$B$10,"Healthy",IF(U1977&gt;=Assumptions!$B$11,"Needs Attention","High Risk"))</f>
        <v>Healthy</v>
      </c>
    </row>
    <row r="1978" customFormat="false" ht="15" hidden="false" customHeight="false" outlineLevel="0" collapsed="false">
      <c r="A1978" s="8" t="s">
        <v>4098</v>
      </c>
      <c r="B1978" s="8" t="s">
        <v>4099</v>
      </c>
      <c r="C1978" s="8" t="s">
        <v>51</v>
      </c>
      <c r="D1978" s="8" t="s">
        <v>2027</v>
      </c>
      <c r="E1978" s="8" t="s">
        <v>123</v>
      </c>
      <c r="F1978" s="8" t="s">
        <v>118</v>
      </c>
      <c r="G1978" s="8" t="s">
        <v>204</v>
      </c>
      <c r="H1978" s="15" t="n">
        <v>120</v>
      </c>
      <c r="I1978" s="15" t="n">
        <v>120</v>
      </c>
      <c r="J1978" s="16" t="n">
        <v>0.7</v>
      </c>
      <c r="K1978" s="8" t="n">
        <v>8</v>
      </c>
      <c r="L1978" s="8" t="n">
        <v>9</v>
      </c>
      <c r="M1978" s="8" t="n">
        <v>1</v>
      </c>
      <c r="N1978" s="8" t="s">
        <v>120</v>
      </c>
      <c r="O1978" s="15" t="n">
        <f aca="false">H1978*12</f>
        <v>1440</v>
      </c>
      <c r="P1978" s="8" t="n">
        <f aca="false">MIN(100,ROUND(100*J1978/Assumptions!$B$8,0))</f>
        <v>78</v>
      </c>
      <c r="Q1978" s="8" t="n">
        <f aca="false">IF(L1978="",Assumptions!$B$9,L1978*10)</f>
        <v>90</v>
      </c>
      <c r="R1978" s="8" t="n">
        <f aca="false">IF(M1978&lt;=1,Assumptions!$B$12,IF(M1978&lt;=3,Assumptions!$B$13,IF(M1978&lt;=6,Assumptions!$B$14,Assumptions!$B$15)))</f>
        <v>100</v>
      </c>
      <c r="S1978" s="8" t="n">
        <f aca="false">IF(N1978="Completed On Time",Assumptions!$B$16,IF(N1978="Completed Late",Assumptions!$B$17,Assumptions!$B$18))</f>
        <v>100</v>
      </c>
      <c r="T1978" s="8" t="n">
        <f aca="false">IF(I1978=0,Assumptions!$B$20,IF(H1978&gt;I1978,Assumptions!$B$19,IF(H1978=I1978,Assumptions!$B$20,Assumptions!$B$21)))</f>
        <v>70</v>
      </c>
      <c r="U1978" s="8" t="n">
        <f aca="false">ROUND(P1978*Assumptions!$B$2+Q1978*Assumptions!$B$3+R1978*Assumptions!$B$4+S1978*Assumptions!$B$5+T1978*Assumptions!$B$6,0)</f>
        <v>84</v>
      </c>
      <c r="V1978" s="8" t="str">
        <f aca="false">IF(U1978&gt;=Assumptions!$B$10,"Healthy",IF(U1978&gt;=Assumptions!$B$11,"Needs Attention","High Risk"))</f>
        <v>Healthy</v>
      </c>
    </row>
    <row r="1979" customFormat="false" ht="15" hidden="false" customHeight="false" outlineLevel="0" collapsed="false">
      <c r="A1979" s="8" t="s">
        <v>4100</v>
      </c>
      <c r="B1979" s="8" t="s">
        <v>4101</v>
      </c>
      <c r="C1979" s="8" t="s">
        <v>51</v>
      </c>
      <c r="D1979" s="8" t="s">
        <v>2027</v>
      </c>
      <c r="E1979" s="8" t="s">
        <v>117</v>
      </c>
      <c r="F1979" s="8" t="s">
        <v>154</v>
      </c>
      <c r="G1979" s="8" t="s">
        <v>144</v>
      </c>
      <c r="H1979" s="15" t="n">
        <v>120</v>
      </c>
      <c r="I1979" s="15" t="n">
        <v>120</v>
      </c>
      <c r="J1979" s="16" t="n">
        <v>0.633</v>
      </c>
      <c r="K1979" s="8" t="n">
        <v>7.3</v>
      </c>
      <c r="L1979" s="8" t="n">
        <v>10</v>
      </c>
      <c r="M1979" s="8" t="n">
        <v>1</v>
      </c>
      <c r="N1979" s="8" t="s">
        <v>120</v>
      </c>
      <c r="O1979" s="15" t="n">
        <f aca="false">H1979*12</f>
        <v>1440</v>
      </c>
      <c r="P1979" s="8" t="n">
        <f aca="false">MIN(100,ROUND(100*J1979/Assumptions!$B$8,0))</f>
        <v>70</v>
      </c>
      <c r="Q1979" s="8" t="n">
        <f aca="false">IF(L1979="",Assumptions!$B$9,L1979*10)</f>
        <v>100</v>
      </c>
      <c r="R1979" s="8" t="n">
        <f aca="false">IF(M1979&lt;=1,Assumptions!$B$12,IF(M1979&lt;=3,Assumptions!$B$13,IF(M1979&lt;=6,Assumptions!$B$14,Assumptions!$B$15)))</f>
        <v>100</v>
      </c>
      <c r="S1979" s="8" t="n">
        <f aca="false">IF(N1979="Completed On Time",Assumptions!$B$16,IF(N1979="Completed Late",Assumptions!$B$17,Assumptions!$B$18))</f>
        <v>100</v>
      </c>
      <c r="T1979" s="8" t="n">
        <f aca="false">IF(I1979=0,Assumptions!$B$20,IF(H1979&gt;I1979,Assumptions!$B$19,IF(H1979=I1979,Assumptions!$B$20,Assumptions!$B$21)))</f>
        <v>70</v>
      </c>
      <c r="U1979" s="8" t="n">
        <f aca="false">ROUND(P1979*Assumptions!$B$2+Q1979*Assumptions!$B$3+R1979*Assumptions!$B$4+S1979*Assumptions!$B$5+T1979*Assumptions!$B$6,0)</f>
        <v>84</v>
      </c>
      <c r="V1979" s="8" t="str">
        <f aca="false">IF(U1979&gt;=Assumptions!$B$10,"Healthy",IF(U1979&gt;=Assumptions!$B$11,"Needs Attention","High Risk"))</f>
        <v>Healthy</v>
      </c>
    </row>
    <row r="1980" customFormat="false" ht="15" hidden="false" customHeight="false" outlineLevel="0" collapsed="false">
      <c r="A1980" s="8" t="s">
        <v>4102</v>
      </c>
      <c r="B1980" s="8" t="s">
        <v>4103</v>
      </c>
      <c r="C1980" s="8" t="s">
        <v>51</v>
      </c>
      <c r="D1980" s="8" t="s">
        <v>2027</v>
      </c>
      <c r="E1980" s="8" t="s">
        <v>117</v>
      </c>
      <c r="F1980" s="8" t="s">
        <v>190</v>
      </c>
      <c r="G1980" s="8" t="s">
        <v>119</v>
      </c>
      <c r="H1980" s="15" t="n">
        <v>120</v>
      </c>
      <c r="I1980" s="15" t="n">
        <v>120</v>
      </c>
      <c r="J1980" s="16" t="n">
        <v>0.933</v>
      </c>
      <c r="K1980" s="8" t="n">
        <v>10.3</v>
      </c>
      <c r="L1980" s="8" t="n">
        <v>9</v>
      </c>
      <c r="M1980" s="8" t="n">
        <v>0</v>
      </c>
      <c r="N1980" s="8" t="s">
        <v>120</v>
      </c>
      <c r="O1980" s="15" t="n">
        <f aca="false">H1980*12</f>
        <v>1440</v>
      </c>
      <c r="P1980" s="8" t="n">
        <f aca="false">MIN(100,ROUND(100*J1980/Assumptions!$B$8,0))</f>
        <v>100</v>
      </c>
      <c r="Q1980" s="8" t="n">
        <f aca="false">IF(L1980="",Assumptions!$B$9,L1980*10)</f>
        <v>90</v>
      </c>
      <c r="R1980" s="8" t="n">
        <f aca="false">IF(M1980&lt;=1,Assumptions!$B$12,IF(M1980&lt;=3,Assumptions!$B$13,IF(M1980&lt;=6,Assumptions!$B$14,Assumptions!$B$15)))</f>
        <v>100</v>
      </c>
      <c r="S1980" s="8" t="n">
        <f aca="false">IF(N1980="Completed On Time",Assumptions!$B$16,IF(N1980="Completed Late",Assumptions!$B$17,Assumptions!$B$18))</f>
        <v>100</v>
      </c>
      <c r="T1980" s="8" t="n">
        <f aca="false">IF(I1980=0,Assumptions!$B$20,IF(H1980&gt;I1980,Assumptions!$B$19,IF(H1980=I1980,Assumptions!$B$20,Assumptions!$B$21)))</f>
        <v>70</v>
      </c>
      <c r="U1980" s="8" t="n">
        <f aca="false">ROUND(P1980*Assumptions!$B$2+Q1980*Assumptions!$B$3+R1980*Assumptions!$B$4+S1980*Assumptions!$B$5+T1980*Assumptions!$B$6,0)</f>
        <v>92</v>
      </c>
      <c r="V1980" s="8" t="str">
        <f aca="false">IF(U1980&gt;=Assumptions!$B$10,"Healthy",IF(U1980&gt;=Assumptions!$B$11,"Needs Attention","High Risk"))</f>
        <v>Healthy</v>
      </c>
    </row>
    <row r="1981" customFormat="false" ht="15" hidden="false" customHeight="false" outlineLevel="0" collapsed="false">
      <c r="A1981" s="8" t="s">
        <v>4104</v>
      </c>
      <c r="B1981" s="8" t="s">
        <v>4105</v>
      </c>
      <c r="C1981" s="8" t="s">
        <v>51</v>
      </c>
      <c r="D1981" s="8" t="s">
        <v>2027</v>
      </c>
      <c r="E1981" s="8" t="s">
        <v>117</v>
      </c>
      <c r="F1981" s="8" t="s">
        <v>118</v>
      </c>
      <c r="G1981" s="8" t="s">
        <v>119</v>
      </c>
      <c r="H1981" s="15" t="n">
        <v>120</v>
      </c>
      <c r="I1981" s="15" t="n">
        <v>120</v>
      </c>
      <c r="J1981" s="16" t="n">
        <v>0.567</v>
      </c>
      <c r="K1981" s="8" t="n">
        <v>7</v>
      </c>
      <c r="L1981" s="8" t="n">
        <v>5</v>
      </c>
      <c r="M1981" s="8" t="n">
        <v>5</v>
      </c>
      <c r="N1981" s="8" t="s">
        <v>120</v>
      </c>
      <c r="O1981" s="15" t="n">
        <f aca="false">H1981*12</f>
        <v>1440</v>
      </c>
      <c r="P1981" s="8" t="n">
        <f aca="false">MIN(100,ROUND(100*J1981/Assumptions!$B$8,0))</f>
        <v>63</v>
      </c>
      <c r="Q1981" s="8" t="n">
        <f aca="false">IF(L1981="",Assumptions!$B$9,L1981*10)</f>
        <v>50</v>
      </c>
      <c r="R1981" s="8" t="n">
        <f aca="false">IF(M1981&lt;=1,Assumptions!$B$12,IF(M1981&lt;=3,Assumptions!$B$13,IF(M1981&lt;=6,Assumptions!$B$14,Assumptions!$B$15)))</f>
        <v>50</v>
      </c>
      <c r="S1981" s="8" t="n">
        <f aca="false">IF(N1981="Completed On Time",Assumptions!$B$16,IF(N1981="Completed Late",Assumptions!$B$17,Assumptions!$B$18))</f>
        <v>100</v>
      </c>
      <c r="T1981" s="8" t="n">
        <f aca="false">IF(I1981=0,Assumptions!$B$20,IF(H1981&gt;I1981,Assumptions!$B$19,IF(H1981=I1981,Assumptions!$B$20,Assumptions!$B$21)))</f>
        <v>70</v>
      </c>
      <c r="U1981" s="8" t="n">
        <f aca="false">ROUND(P1981*Assumptions!$B$2+Q1981*Assumptions!$B$3+R1981*Assumptions!$B$4+S1981*Assumptions!$B$5+T1981*Assumptions!$B$6,0)</f>
        <v>64</v>
      </c>
      <c r="V1981" s="8" t="str">
        <f aca="false">IF(U1981&gt;=Assumptions!$B$10,"Healthy",IF(U1981&gt;=Assumptions!$B$11,"Needs Attention","High Risk"))</f>
        <v>High Risk</v>
      </c>
    </row>
    <row r="1982" customFormat="false" ht="15" hidden="false" customHeight="false" outlineLevel="0" collapsed="false">
      <c r="A1982" s="8" t="s">
        <v>4106</v>
      </c>
      <c r="B1982" s="8" t="s">
        <v>4107</v>
      </c>
      <c r="C1982" s="8" t="s">
        <v>51</v>
      </c>
      <c r="D1982" s="8" t="s">
        <v>2027</v>
      </c>
      <c r="E1982" s="8" t="s">
        <v>117</v>
      </c>
      <c r="F1982" s="8" t="s">
        <v>166</v>
      </c>
      <c r="G1982" s="8" t="s">
        <v>140</v>
      </c>
      <c r="H1982" s="15" t="n">
        <v>120</v>
      </c>
      <c r="I1982" s="15" t="n">
        <v>120</v>
      </c>
      <c r="J1982" s="16" t="n">
        <v>0.867</v>
      </c>
      <c r="K1982" s="8" t="n">
        <v>11.3</v>
      </c>
      <c r="L1982" s="8" t="n">
        <v>10</v>
      </c>
      <c r="M1982" s="8" t="n">
        <v>0</v>
      </c>
      <c r="N1982" s="8" t="s">
        <v>120</v>
      </c>
      <c r="O1982" s="15" t="n">
        <f aca="false">H1982*12</f>
        <v>1440</v>
      </c>
      <c r="P1982" s="8" t="n">
        <f aca="false">MIN(100,ROUND(100*J1982/Assumptions!$B$8,0))</f>
        <v>96</v>
      </c>
      <c r="Q1982" s="8" t="n">
        <f aca="false">IF(L1982="",Assumptions!$B$9,L1982*10)</f>
        <v>100</v>
      </c>
      <c r="R1982" s="8" t="n">
        <f aca="false">IF(M1982&lt;=1,Assumptions!$B$12,IF(M1982&lt;=3,Assumptions!$B$13,IF(M1982&lt;=6,Assumptions!$B$14,Assumptions!$B$15)))</f>
        <v>100</v>
      </c>
      <c r="S1982" s="8" t="n">
        <f aca="false">IF(N1982="Completed On Time",Assumptions!$B$16,IF(N1982="Completed Late",Assumptions!$B$17,Assumptions!$B$18))</f>
        <v>100</v>
      </c>
      <c r="T1982" s="8" t="n">
        <f aca="false">IF(I1982=0,Assumptions!$B$20,IF(H1982&gt;I1982,Assumptions!$B$19,IF(H1982=I1982,Assumptions!$B$20,Assumptions!$B$21)))</f>
        <v>70</v>
      </c>
      <c r="U1982" s="8" t="n">
        <f aca="false">ROUND(P1982*Assumptions!$B$2+Q1982*Assumptions!$B$3+R1982*Assumptions!$B$4+S1982*Assumptions!$B$5+T1982*Assumptions!$B$6,0)</f>
        <v>93</v>
      </c>
      <c r="V1982" s="8" t="str">
        <f aca="false">IF(U1982&gt;=Assumptions!$B$10,"Healthy",IF(U1982&gt;=Assumptions!$B$11,"Needs Attention","High Risk"))</f>
        <v>Healthy</v>
      </c>
    </row>
    <row r="1983" customFormat="false" ht="15" hidden="false" customHeight="false" outlineLevel="0" collapsed="false">
      <c r="A1983" s="8" t="s">
        <v>4108</v>
      </c>
      <c r="B1983" s="8" t="s">
        <v>4109</v>
      </c>
      <c r="C1983" s="8" t="s">
        <v>51</v>
      </c>
      <c r="D1983" s="8" t="s">
        <v>2027</v>
      </c>
      <c r="E1983" s="8" t="s">
        <v>132</v>
      </c>
      <c r="F1983" s="8" t="s">
        <v>143</v>
      </c>
      <c r="G1983" s="8" t="s">
        <v>147</v>
      </c>
      <c r="H1983" s="15" t="n">
        <v>120</v>
      </c>
      <c r="I1983" s="15" t="n">
        <v>120</v>
      </c>
      <c r="J1983" s="16" t="n">
        <v>0.733</v>
      </c>
      <c r="K1983" s="8" t="n">
        <v>9</v>
      </c>
      <c r="L1983" s="8" t="n">
        <v>8</v>
      </c>
      <c r="M1983" s="8" t="n">
        <v>2</v>
      </c>
      <c r="N1983" s="8" t="s">
        <v>120</v>
      </c>
      <c r="O1983" s="15" t="n">
        <f aca="false">H1983*12</f>
        <v>1440</v>
      </c>
      <c r="P1983" s="8" t="n">
        <f aca="false">MIN(100,ROUND(100*J1983/Assumptions!$B$8,0))</f>
        <v>81</v>
      </c>
      <c r="Q1983" s="8" t="n">
        <f aca="false">IF(L1983="",Assumptions!$B$9,L1983*10)</f>
        <v>80</v>
      </c>
      <c r="R1983" s="8" t="n">
        <f aca="false">IF(M1983&lt;=1,Assumptions!$B$12,IF(M1983&lt;=3,Assumptions!$B$13,IF(M1983&lt;=6,Assumptions!$B$14,Assumptions!$B$15)))</f>
        <v>75</v>
      </c>
      <c r="S1983" s="8" t="n">
        <f aca="false">IF(N1983="Completed On Time",Assumptions!$B$16,IF(N1983="Completed Late",Assumptions!$B$17,Assumptions!$B$18))</f>
        <v>100</v>
      </c>
      <c r="T1983" s="8" t="n">
        <f aca="false">IF(I1983=0,Assumptions!$B$20,IF(H1983&gt;I1983,Assumptions!$B$19,IF(H1983=I1983,Assumptions!$B$20,Assumptions!$B$21)))</f>
        <v>70</v>
      </c>
      <c r="U1983" s="8" t="n">
        <f aca="false">ROUND(P1983*Assumptions!$B$2+Q1983*Assumptions!$B$3+R1983*Assumptions!$B$4+S1983*Assumptions!$B$5+T1983*Assumptions!$B$6,0)</f>
        <v>80</v>
      </c>
      <c r="V1983" s="8" t="str">
        <f aca="false">IF(U1983&gt;=Assumptions!$B$10,"Healthy",IF(U1983&gt;=Assumptions!$B$11,"Needs Attention","High Risk"))</f>
        <v>Healthy</v>
      </c>
    </row>
    <row r="1984" customFormat="false" ht="15" hidden="false" customHeight="false" outlineLevel="0" collapsed="false">
      <c r="A1984" s="8" t="s">
        <v>4110</v>
      </c>
      <c r="B1984" s="8" t="s">
        <v>4111</v>
      </c>
      <c r="C1984" s="8" t="s">
        <v>51</v>
      </c>
      <c r="D1984" s="8" t="s">
        <v>2027</v>
      </c>
      <c r="E1984" s="8" t="s">
        <v>123</v>
      </c>
      <c r="F1984" s="8" t="s">
        <v>190</v>
      </c>
      <c r="G1984" s="8" t="s">
        <v>204</v>
      </c>
      <c r="H1984" s="15" t="n">
        <v>120</v>
      </c>
      <c r="I1984" s="15" t="n">
        <v>120</v>
      </c>
      <c r="J1984" s="16" t="n">
        <v>0.567</v>
      </c>
      <c r="K1984" s="8" t="n">
        <v>6.7</v>
      </c>
      <c r="L1984" s="8" t="n">
        <v>7</v>
      </c>
      <c r="M1984" s="8" t="n">
        <v>2</v>
      </c>
      <c r="N1984" s="8" t="s">
        <v>120</v>
      </c>
      <c r="O1984" s="15" t="n">
        <f aca="false">H1984*12</f>
        <v>1440</v>
      </c>
      <c r="P1984" s="8" t="n">
        <f aca="false">MIN(100,ROUND(100*J1984/Assumptions!$B$8,0))</f>
        <v>63</v>
      </c>
      <c r="Q1984" s="8" t="n">
        <f aca="false">IF(L1984="",Assumptions!$B$9,L1984*10)</f>
        <v>70</v>
      </c>
      <c r="R1984" s="8" t="n">
        <f aca="false">IF(M1984&lt;=1,Assumptions!$B$12,IF(M1984&lt;=3,Assumptions!$B$13,IF(M1984&lt;=6,Assumptions!$B$14,Assumptions!$B$15)))</f>
        <v>75</v>
      </c>
      <c r="S1984" s="8" t="n">
        <f aca="false">IF(N1984="Completed On Time",Assumptions!$B$16,IF(N1984="Completed Late",Assumptions!$B$17,Assumptions!$B$18))</f>
        <v>100</v>
      </c>
      <c r="T1984" s="8" t="n">
        <f aca="false">IF(I1984=0,Assumptions!$B$20,IF(H1984&gt;I1984,Assumptions!$B$19,IF(H1984=I1984,Assumptions!$B$20,Assumptions!$B$21)))</f>
        <v>70</v>
      </c>
      <c r="U1984" s="8" t="n">
        <f aca="false">ROUND(P1984*Assumptions!$B$2+Q1984*Assumptions!$B$3+R1984*Assumptions!$B$4+S1984*Assumptions!$B$5+T1984*Assumptions!$B$6,0)</f>
        <v>71</v>
      </c>
      <c r="V1984" s="8" t="str">
        <f aca="false">IF(U1984&gt;=Assumptions!$B$10,"Healthy",IF(U1984&gt;=Assumptions!$B$11,"Needs Attention","High Risk"))</f>
        <v>Needs Attention</v>
      </c>
    </row>
    <row r="1985" customFormat="false" ht="15" hidden="false" customHeight="false" outlineLevel="0" collapsed="false">
      <c r="A1985" s="8" t="s">
        <v>4112</v>
      </c>
      <c r="B1985" s="8" t="s">
        <v>4113</v>
      </c>
      <c r="C1985" s="8" t="s">
        <v>51</v>
      </c>
      <c r="D1985" s="8" t="s">
        <v>2027</v>
      </c>
      <c r="E1985" s="8" t="s">
        <v>123</v>
      </c>
      <c r="F1985" s="8" t="s">
        <v>166</v>
      </c>
      <c r="G1985" s="8" t="s">
        <v>147</v>
      </c>
      <c r="H1985" s="15" t="n">
        <v>120</v>
      </c>
      <c r="I1985" s="15" t="n">
        <v>120</v>
      </c>
      <c r="J1985" s="16" t="n">
        <v>0.733</v>
      </c>
      <c r="K1985" s="8" t="n">
        <v>5.7</v>
      </c>
      <c r="L1985" s="8" t="n">
        <v>7</v>
      </c>
      <c r="M1985" s="8" t="n">
        <v>6</v>
      </c>
      <c r="N1985" s="8" t="s">
        <v>148</v>
      </c>
      <c r="O1985" s="15" t="n">
        <f aca="false">H1985*12</f>
        <v>1440</v>
      </c>
      <c r="P1985" s="8" t="n">
        <f aca="false">MIN(100,ROUND(100*J1985/Assumptions!$B$8,0))</f>
        <v>81</v>
      </c>
      <c r="Q1985" s="8" t="n">
        <f aca="false">IF(L1985="",Assumptions!$B$9,L1985*10)</f>
        <v>70</v>
      </c>
      <c r="R1985" s="8" t="n">
        <f aca="false">IF(M1985&lt;=1,Assumptions!$B$12,IF(M1985&lt;=3,Assumptions!$B$13,IF(M1985&lt;=6,Assumptions!$B$14,Assumptions!$B$15)))</f>
        <v>50</v>
      </c>
      <c r="S1985" s="8" t="n">
        <f aca="false">IF(N1985="Completed On Time",Assumptions!$B$16,IF(N1985="Completed Late",Assumptions!$B$17,Assumptions!$B$18))</f>
        <v>60</v>
      </c>
      <c r="T1985" s="8" t="n">
        <f aca="false">IF(I1985=0,Assumptions!$B$20,IF(H1985&gt;I1985,Assumptions!$B$19,IF(H1985=I1985,Assumptions!$B$20,Assumptions!$B$21)))</f>
        <v>70</v>
      </c>
      <c r="U1985" s="8" t="n">
        <f aca="false">ROUND(P1985*Assumptions!$B$2+Q1985*Assumptions!$B$3+R1985*Assumptions!$B$4+S1985*Assumptions!$B$5+T1985*Assumptions!$B$6,0)</f>
        <v>70</v>
      </c>
      <c r="V1985" s="8" t="str">
        <f aca="false">IF(U1985&gt;=Assumptions!$B$10,"Healthy",IF(U1985&gt;=Assumptions!$B$11,"Needs Attention","High Risk"))</f>
        <v>Needs Attention</v>
      </c>
    </row>
    <row r="1986" customFormat="false" ht="15" hidden="false" customHeight="false" outlineLevel="0" collapsed="false">
      <c r="A1986" s="8" t="s">
        <v>4114</v>
      </c>
      <c r="B1986" s="8" t="s">
        <v>4115</v>
      </c>
      <c r="C1986" s="8" t="s">
        <v>51</v>
      </c>
      <c r="D1986" s="8" t="s">
        <v>2027</v>
      </c>
      <c r="E1986" s="8" t="s">
        <v>123</v>
      </c>
      <c r="F1986" s="8" t="s">
        <v>190</v>
      </c>
      <c r="G1986" s="8" t="s">
        <v>185</v>
      </c>
      <c r="H1986" s="15" t="n">
        <v>120</v>
      </c>
      <c r="I1986" s="15" t="n">
        <v>120</v>
      </c>
      <c r="J1986" s="16" t="n">
        <v>0.8</v>
      </c>
      <c r="K1986" s="8" t="n">
        <v>11</v>
      </c>
      <c r="L1986" s="8" t="n">
        <v>10</v>
      </c>
      <c r="M1986" s="8" t="n">
        <v>0</v>
      </c>
      <c r="N1986" s="8" t="s">
        <v>120</v>
      </c>
      <c r="O1986" s="15" t="n">
        <f aca="false">H1986*12</f>
        <v>1440</v>
      </c>
      <c r="P1986" s="8" t="n">
        <f aca="false">MIN(100,ROUND(100*J1986/Assumptions!$B$8,0))</f>
        <v>89</v>
      </c>
      <c r="Q1986" s="8" t="n">
        <f aca="false">IF(L1986="",Assumptions!$B$9,L1986*10)</f>
        <v>100</v>
      </c>
      <c r="R1986" s="8" t="n">
        <f aca="false">IF(M1986&lt;=1,Assumptions!$B$12,IF(M1986&lt;=3,Assumptions!$B$13,IF(M1986&lt;=6,Assumptions!$B$14,Assumptions!$B$15)))</f>
        <v>100</v>
      </c>
      <c r="S1986" s="8" t="n">
        <f aca="false">IF(N1986="Completed On Time",Assumptions!$B$16,IF(N1986="Completed Late",Assumptions!$B$17,Assumptions!$B$18))</f>
        <v>100</v>
      </c>
      <c r="T1986" s="8" t="n">
        <f aca="false">IF(I1986=0,Assumptions!$B$20,IF(H1986&gt;I1986,Assumptions!$B$19,IF(H1986=I1986,Assumptions!$B$20,Assumptions!$B$21)))</f>
        <v>70</v>
      </c>
      <c r="U1986" s="8" t="n">
        <f aca="false">ROUND(P1986*Assumptions!$B$2+Q1986*Assumptions!$B$3+R1986*Assumptions!$B$4+S1986*Assumptions!$B$5+T1986*Assumptions!$B$6,0)</f>
        <v>90</v>
      </c>
      <c r="V1986" s="8" t="str">
        <f aca="false">IF(U1986&gt;=Assumptions!$B$10,"Healthy",IF(U1986&gt;=Assumptions!$B$11,"Needs Attention","High Risk"))</f>
        <v>Healthy</v>
      </c>
    </row>
    <row r="1987" customFormat="false" ht="15" hidden="false" customHeight="false" outlineLevel="0" collapsed="false">
      <c r="A1987" s="8" t="s">
        <v>4116</v>
      </c>
      <c r="B1987" s="8" t="s">
        <v>4117</v>
      </c>
      <c r="C1987" s="8" t="s">
        <v>51</v>
      </c>
      <c r="D1987" s="8" t="s">
        <v>2027</v>
      </c>
      <c r="E1987" s="8" t="s">
        <v>132</v>
      </c>
      <c r="F1987" s="8" t="s">
        <v>154</v>
      </c>
      <c r="G1987" s="8" t="s">
        <v>177</v>
      </c>
      <c r="H1987" s="15" t="n">
        <v>120</v>
      </c>
      <c r="I1987" s="15" t="n">
        <v>0</v>
      </c>
      <c r="J1987" s="16" t="n">
        <v>0.767</v>
      </c>
      <c r="K1987" s="8" t="n">
        <v>10</v>
      </c>
      <c r="L1987" s="8"/>
      <c r="M1987" s="8" t="n">
        <v>5</v>
      </c>
      <c r="N1987" s="8" t="s">
        <v>120</v>
      </c>
      <c r="O1987" s="15" t="n">
        <f aca="false">H1987*12</f>
        <v>1440</v>
      </c>
      <c r="P1987" s="8" t="n">
        <f aca="false">MIN(100,ROUND(100*J1987/Assumptions!$B$8,0))</f>
        <v>85</v>
      </c>
      <c r="Q1987" s="8" t="n">
        <f aca="false">IF(L1987="",Assumptions!$B$9,L1987*10)</f>
        <v>50</v>
      </c>
      <c r="R1987" s="8" t="n">
        <f aca="false">IF(M1987&lt;=1,Assumptions!$B$12,IF(M1987&lt;=3,Assumptions!$B$13,IF(M1987&lt;=6,Assumptions!$B$14,Assumptions!$B$15)))</f>
        <v>50</v>
      </c>
      <c r="S1987" s="8" t="n">
        <f aca="false">IF(N1987="Completed On Time",Assumptions!$B$16,IF(N1987="Completed Late",Assumptions!$B$17,Assumptions!$B$18))</f>
        <v>100</v>
      </c>
      <c r="T1987" s="8" t="n">
        <f aca="false">IF(I1987=0,Assumptions!$B$20,IF(H1987&gt;I1987,Assumptions!$B$19,IF(H1987=I1987,Assumptions!$B$20,Assumptions!$B$21)))</f>
        <v>70</v>
      </c>
      <c r="U1987" s="8" t="n">
        <f aca="false">ROUND(P1987*Assumptions!$B$2+Q1987*Assumptions!$B$3+R1987*Assumptions!$B$4+S1987*Assumptions!$B$5+T1987*Assumptions!$B$6,0)</f>
        <v>71</v>
      </c>
      <c r="V1987" s="8" t="str">
        <f aca="false">IF(U1987&gt;=Assumptions!$B$10,"Healthy",IF(U1987&gt;=Assumptions!$B$11,"Needs Attention","High Risk"))</f>
        <v>Needs Attention</v>
      </c>
    </row>
    <row r="1988" customFormat="false" ht="15" hidden="false" customHeight="false" outlineLevel="0" collapsed="false">
      <c r="A1988" s="8" t="s">
        <v>4118</v>
      </c>
      <c r="B1988" s="8" t="s">
        <v>4119</v>
      </c>
      <c r="C1988" s="8" t="s">
        <v>51</v>
      </c>
      <c r="D1988" s="8" t="s">
        <v>2027</v>
      </c>
      <c r="E1988" s="8" t="s">
        <v>123</v>
      </c>
      <c r="F1988" s="8" t="s">
        <v>166</v>
      </c>
      <c r="G1988" s="8" t="s">
        <v>140</v>
      </c>
      <c r="H1988" s="15" t="n">
        <v>120</v>
      </c>
      <c r="I1988" s="15" t="n">
        <v>120</v>
      </c>
      <c r="J1988" s="16" t="n">
        <v>0.767</v>
      </c>
      <c r="K1988" s="8" t="n">
        <v>7.7</v>
      </c>
      <c r="L1988" s="8" t="n">
        <v>8</v>
      </c>
      <c r="M1988" s="8" t="n">
        <v>6</v>
      </c>
      <c r="N1988" s="8" t="s">
        <v>120</v>
      </c>
      <c r="O1988" s="15" t="n">
        <f aca="false">H1988*12</f>
        <v>1440</v>
      </c>
      <c r="P1988" s="8" t="n">
        <f aca="false">MIN(100,ROUND(100*J1988/Assumptions!$B$8,0))</f>
        <v>85</v>
      </c>
      <c r="Q1988" s="8" t="n">
        <f aca="false">IF(L1988="",Assumptions!$B$9,L1988*10)</f>
        <v>80</v>
      </c>
      <c r="R1988" s="8" t="n">
        <f aca="false">IF(M1988&lt;=1,Assumptions!$B$12,IF(M1988&lt;=3,Assumptions!$B$13,IF(M1988&lt;=6,Assumptions!$B$14,Assumptions!$B$15)))</f>
        <v>50</v>
      </c>
      <c r="S1988" s="8" t="n">
        <f aca="false">IF(N1988="Completed On Time",Assumptions!$B$16,IF(N1988="Completed Late",Assumptions!$B$17,Assumptions!$B$18))</f>
        <v>100</v>
      </c>
      <c r="T1988" s="8" t="n">
        <f aca="false">IF(I1988=0,Assumptions!$B$20,IF(H1988&gt;I1988,Assumptions!$B$19,IF(H1988=I1988,Assumptions!$B$20,Assumptions!$B$21)))</f>
        <v>70</v>
      </c>
      <c r="U1988" s="8" t="n">
        <f aca="false">ROUND(P1988*Assumptions!$B$2+Q1988*Assumptions!$B$3+R1988*Assumptions!$B$4+S1988*Assumptions!$B$5+T1988*Assumptions!$B$6,0)</f>
        <v>77</v>
      </c>
      <c r="V1988" s="8" t="str">
        <f aca="false">IF(U1988&gt;=Assumptions!$B$10,"Healthy",IF(U1988&gt;=Assumptions!$B$11,"Needs Attention","High Risk"))</f>
        <v>Needs Attention</v>
      </c>
    </row>
    <row r="1989" customFormat="false" ht="15" hidden="false" customHeight="false" outlineLevel="0" collapsed="false">
      <c r="A1989" s="8" t="s">
        <v>4120</v>
      </c>
      <c r="B1989" s="8" t="s">
        <v>4121</v>
      </c>
      <c r="C1989" s="8" t="s">
        <v>51</v>
      </c>
      <c r="D1989" s="8" t="s">
        <v>2027</v>
      </c>
      <c r="E1989" s="8" t="s">
        <v>123</v>
      </c>
      <c r="F1989" s="8" t="s">
        <v>118</v>
      </c>
      <c r="G1989" s="8" t="s">
        <v>144</v>
      </c>
      <c r="H1989" s="15" t="n">
        <v>120</v>
      </c>
      <c r="I1989" s="15" t="n">
        <v>120</v>
      </c>
      <c r="J1989" s="16" t="n">
        <v>0.8</v>
      </c>
      <c r="K1989" s="8" t="n">
        <v>8.3</v>
      </c>
      <c r="L1989" s="8" t="n">
        <v>7</v>
      </c>
      <c r="M1989" s="8" t="n">
        <v>5</v>
      </c>
      <c r="N1989" s="8" t="s">
        <v>120</v>
      </c>
      <c r="O1989" s="15" t="n">
        <f aca="false">H1989*12</f>
        <v>1440</v>
      </c>
      <c r="P1989" s="8" t="n">
        <f aca="false">MIN(100,ROUND(100*J1989/Assumptions!$B$8,0))</f>
        <v>89</v>
      </c>
      <c r="Q1989" s="8" t="n">
        <f aca="false">IF(L1989="",Assumptions!$B$9,L1989*10)</f>
        <v>70</v>
      </c>
      <c r="R1989" s="8" t="n">
        <f aca="false">IF(M1989&lt;=1,Assumptions!$B$12,IF(M1989&lt;=3,Assumptions!$B$13,IF(M1989&lt;=6,Assumptions!$B$14,Assumptions!$B$15)))</f>
        <v>50</v>
      </c>
      <c r="S1989" s="8" t="n">
        <f aca="false">IF(N1989="Completed On Time",Assumptions!$B$16,IF(N1989="Completed Late",Assumptions!$B$17,Assumptions!$B$18))</f>
        <v>100</v>
      </c>
      <c r="T1989" s="8" t="n">
        <f aca="false">IF(I1989=0,Assumptions!$B$20,IF(H1989&gt;I1989,Assumptions!$B$19,IF(H1989=I1989,Assumptions!$B$20,Assumptions!$B$21)))</f>
        <v>70</v>
      </c>
      <c r="U1989" s="8" t="n">
        <f aca="false">ROUND(P1989*Assumptions!$B$2+Q1989*Assumptions!$B$3+R1989*Assumptions!$B$4+S1989*Assumptions!$B$5+T1989*Assumptions!$B$6,0)</f>
        <v>77</v>
      </c>
      <c r="V1989" s="8" t="str">
        <f aca="false">IF(U1989&gt;=Assumptions!$B$10,"Healthy",IF(U1989&gt;=Assumptions!$B$11,"Needs Attention","High Risk"))</f>
        <v>Needs Attention</v>
      </c>
    </row>
    <row r="1990" customFormat="false" ht="15" hidden="false" customHeight="false" outlineLevel="0" collapsed="false">
      <c r="A1990" s="8" t="s">
        <v>4122</v>
      </c>
      <c r="B1990" s="8" t="s">
        <v>4123</v>
      </c>
      <c r="C1990" s="8" t="s">
        <v>51</v>
      </c>
      <c r="D1990" s="8" t="s">
        <v>2027</v>
      </c>
      <c r="E1990" s="8" t="s">
        <v>132</v>
      </c>
      <c r="F1990" s="8" t="s">
        <v>118</v>
      </c>
      <c r="G1990" s="8" t="s">
        <v>177</v>
      </c>
      <c r="H1990" s="15" t="n">
        <v>120</v>
      </c>
      <c r="I1990" s="15" t="n">
        <v>0</v>
      </c>
      <c r="J1990" s="16" t="n">
        <v>0.833</v>
      </c>
      <c r="K1990" s="8" t="n">
        <v>10.7</v>
      </c>
      <c r="L1990" s="8"/>
      <c r="M1990" s="8" t="n">
        <v>0</v>
      </c>
      <c r="N1990" s="8" t="s">
        <v>120</v>
      </c>
      <c r="O1990" s="15" t="n">
        <f aca="false">H1990*12</f>
        <v>1440</v>
      </c>
      <c r="P1990" s="8" t="n">
        <f aca="false">MIN(100,ROUND(100*J1990/Assumptions!$B$8,0))</f>
        <v>93</v>
      </c>
      <c r="Q1990" s="8" t="n">
        <f aca="false">IF(L1990="",Assumptions!$B$9,L1990*10)</f>
        <v>50</v>
      </c>
      <c r="R1990" s="8" t="n">
        <f aca="false">IF(M1990&lt;=1,Assumptions!$B$12,IF(M1990&lt;=3,Assumptions!$B$13,IF(M1990&lt;=6,Assumptions!$B$14,Assumptions!$B$15)))</f>
        <v>100</v>
      </c>
      <c r="S1990" s="8" t="n">
        <f aca="false">IF(N1990="Completed On Time",Assumptions!$B$16,IF(N1990="Completed Late",Assumptions!$B$17,Assumptions!$B$18))</f>
        <v>100</v>
      </c>
      <c r="T1990" s="8" t="n">
        <f aca="false">IF(I1990=0,Assumptions!$B$20,IF(H1990&gt;I1990,Assumptions!$B$19,IF(H1990=I1990,Assumptions!$B$20,Assumptions!$B$21)))</f>
        <v>70</v>
      </c>
      <c r="U1990" s="8" t="n">
        <f aca="false">ROUND(P1990*Assumptions!$B$2+Q1990*Assumptions!$B$3+R1990*Assumptions!$B$4+S1990*Assumptions!$B$5+T1990*Assumptions!$B$6,0)</f>
        <v>82</v>
      </c>
      <c r="V1990" s="8" t="str">
        <f aca="false">IF(U1990&gt;=Assumptions!$B$10,"Healthy",IF(U1990&gt;=Assumptions!$B$11,"Needs Attention","High Risk"))</f>
        <v>Healthy</v>
      </c>
    </row>
    <row r="1991" customFormat="false" ht="15" hidden="false" customHeight="false" outlineLevel="0" collapsed="false">
      <c r="A1991" s="8" t="s">
        <v>4124</v>
      </c>
      <c r="B1991" s="8" t="s">
        <v>4125</v>
      </c>
      <c r="C1991" s="8" t="s">
        <v>51</v>
      </c>
      <c r="D1991" s="8" t="s">
        <v>2027</v>
      </c>
      <c r="E1991" s="8" t="s">
        <v>117</v>
      </c>
      <c r="F1991" s="8" t="s">
        <v>166</v>
      </c>
      <c r="G1991" s="8" t="s">
        <v>159</v>
      </c>
      <c r="H1991" s="15" t="n">
        <v>120</v>
      </c>
      <c r="I1991" s="15" t="n">
        <v>120</v>
      </c>
      <c r="J1991" s="16" t="n">
        <v>0.9</v>
      </c>
      <c r="K1991" s="8" t="n">
        <v>12</v>
      </c>
      <c r="L1991" s="8" t="n">
        <v>10</v>
      </c>
      <c r="M1991" s="8" t="n">
        <v>2</v>
      </c>
      <c r="N1991" s="8" t="s">
        <v>120</v>
      </c>
      <c r="O1991" s="15" t="n">
        <f aca="false">H1991*12</f>
        <v>1440</v>
      </c>
      <c r="P1991" s="8" t="n">
        <f aca="false">MIN(100,ROUND(100*J1991/Assumptions!$B$8,0))</f>
        <v>100</v>
      </c>
      <c r="Q1991" s="8" t="n">
        <f aca="false">IF(L1991="",Assumptions!$B$9,L1991*10)</f>
        <v>100</v>
      </c>
      <c r="R1991" s="8" t="n">
        <f aca="false">IF(M1991&lt;=1,Assumptions!$B$12,IF(M1991&lt;=3,Assumptions!$B$13,IF(M1991&lt;=6,Assumptions!$B$14,Assumptions!$B$15)))</f>
        <v>75</v>
      </c>
      <c r="S1991" s="8" t="n">
        <f aca="false">IF(N1991="Completed On Time",Assumptions!$B$16,IF(N1991="Completed Late",Assumptions!$B$17,Assumptions!$B$18))</f>
        <v>100</v>
      </c>
      <c r="T1991" s="8" t="n">
        <f aca="false">IF(I1991=0,Assumptions!$B$20,IF(H1991&gt;I1991,Assumptions!$B$19,IF(H1991=I1991,Assumptions!$B$20,Assumptions!$B$21)))</f>
        <v>70</v>
      </c>
      <c r="U1991" s="8" t="n">
        <f aca="false">ROUND(P1991*Assumptions!$B$2+Q1991*Assumptions!$B$3+R1991*Assumptions!$B$4+S1991*Assumptions!$B$5+T1991*Assumptions!$B$6,0)</f>
        <v>90</v>
      </c>
      <c r="V1991" s="8" t="str">
        <f aca="false">IF(U1991&gt;=Assumptions!$B$10,"Healthy",IF(U1991&gt;=Assumptions!$B$11,"Needs Attention","High Risk"))</f>
        <v>Healthy</v>
      </c>
    </row>
    <row r="1992" customFormat="false" ht="15" hidden="false" customHeight="false" outlineLevel="0" collapsed="false">
      <c r="A1992" s="8" t="s">
        <v>4126</v>
      </c>
      <c r="B1992" s="8" t="s">
        <v>4127</v>
      </c>
      <c r="C1992" s="8" t="s">
        <v>51</v>
      </c>
      <c r="D1992" s="8" t="s">
        <v>2027</v>
      </c>
      <c r="E1992" s="8" t="s">
        <v>123</v>
      </c>
      <c r="F1992" s="8" t="s">
        <v>151</v>
      </c>
      <c r="G1992" s="8" t="s">
        <v>119</v>
      </c>
      <c r="H1992" s="15" t="n">
        <v>120</v>
      </c>
      <c r="I1992" s="15" t="n">
        <v>120</v>
      </c>
      <c r="J1992" s="16" t="n">
        <v>0.867</v>
      </c>
      <c r="K1992" s="8" t="n">
        <v>9.7</v>
      </c>
      <c r="L1992" s="8" t="n">
        <v>9</v>
      </c>
      <c r="M1992" s="8" t="n">
        <v>1</v>
      </c>
      <c r="N1992" s="8" t="s">
        <v>120</v>
      </c>
      <c r="O1992" s="15" t="n">
        <f aca="false">H1992*12</f>
        <v>1440</v>
      </c>
      <c r="P1992" s="8" t="n">
        <f aca="false">MIN(100,ROUND(100*J1992/Assumptions!$B$8,0))</f>
        <v>96</v>
      </c>
      <c r="Q1992" s="8" t="n">
        <f aca="false">IF(L1992="",Assumptions!$B$9,L1992*10)</f>
        <v>90</v>
      </c>
      <c r="R1992" s="8" t="n">
        <f aca="false">IF(M1992&lt;=1,Assumptions!$B$12,IF(M1992&lt;=3,Assumptions!$B$13,IF(M1992&lt;=6,Assumptions!$B$14,Assumptions!$B$15)))</f>
        <v>100</v>
      </c>
      <c r="S1992" s="8" t="n">
        <f aca="false">IF(N1992="Completed On Time",Assumptions!$B$16,IF(N1992="Completed Late",Assumptions!$B$17,Assumptions!$B$18))</f>
        <v>100</v>
      </c>
      <c r="T1992" s="8" t="n">
        <f aca="false">IF(I1992=0,Assumptions!$B$20,IF(H1992&gt;I1992,Assumptions!$B$19,IF(H1992=I1992,Assumptions!$B$20,Assumptions!$B$21)))</f>
        <v>70</v>
      </c>
      <c r="U1992" s="8" t="n">
        <f aca="false">ROUND(P1992*Assumptions!$B$2+Q1992*Assumptions!$B$3+R1992*Assumptions!$B$4+S1992*Assumptions!$B$5+T1992*Assumptions!$B$6,0)</f>
        <v>91</v>
      </c>
      <c r="V1992" s="8" t="str">
        <f aca="false">IF(U1992&gt;=Assumptions!$B$10,"Healthy",IF(U1992&gt;=Assumptions!$B$11,"Needs Attention","High Risk"))</f>
        <v>Healthy</v>
      </c>
    </row>
    <row r="1993" customFormat="false" ht="15" hidden="false" customHeight="false" outlineLevel="0" collapsed="false">
      <c r="A1993" s="8" t="s">
        <v>4128</v>
      </c>
      <c r="B1993" s="8" t="s">
        <v>4129</v>
      </c>
      <c r="C1993" s="8" t="s">
        <v>51</v>
      </c>
      <c r="D1993" s="8" t="s">
        <v>2027</v>
      </c>
      <c r="E1993" s="8" t="s">
        <v>123</v>
      </c>
      <c r="F1993" s="8" t="s">
        <v>154</v>
      </c>
      <c r="G1993" s="8" t="s">
        <v>147</v>
      </c>
      <c r="H1993" s="15" t="n">
        <v>120</v>
      </c>
      <c r="I1993" s="15" t="n">
        <v>120</v>
      </c>
      <c r="J1993" s="16" t="n">
        <v>0.8</v>
      </c>
      <c r="K1993" s="8" t="n">
        <v>8.7</v>
      </c>
      <c r="L1993" s="8" t="n">
        <v>10</v>
      </c>
      <c r="M1993" s="8" t="n">
        <v>0</v>
      </c>
      <c r="N1993" s="8" t="s">
        <v>120</v>
      </c>
      <c r="O1993" s="15" t="n">
        <f aca="false">H1993*12</f>
        <v>1440</v>
      </c>
      <c r="P1993" s="8" t="n">
        <f aca="false">MIN(100,ROUND(100*J1993/Assumptions!$B$8,0))</f>
        <v>89</v>
      </c>
      <c r="Q1993" s="8" t="n">
        <f aca="false">IF(L1993="",Assumptions!$B$9,L1993*10)</f>
        <v>100</v>
      </c>
      <c r="R1993" s="8" t="n">
        <f aca="false">IF(M1993&lt;=1,Assumptions!$B$12,IF(M1993&lt;=3,Assumptions!$B$13,IF(M1993&lt;=6,Assumptions!$B$14,Assumptions!$B$15)))</f>
        <v>100</v>
      </c>
      <c r="S1993" s="8" t="n">
        <f aca="false">IF(N1993="Completed On Time",Assumptions!$B$16,IF(N1993="Completed Late",Assumptions!$B$17,Assumptions!$B$18))</f>
        <v>100</v>
      </c>
      <c r="T1993" s="8" t="n">
        <f aca="false">IF(I1993=0,Assumptions!$B$20,IF(H1993&gt;I1993,Assumptions!$B$19,IF(H1993=I1993,Assumptions!$B$20,Assumptions!$B$21)))</f>
        <v>70</v>
      </c>
      <c r="U1993" s="8" t="n">
        <f aca="false">ROUND(P1993*Assumptions!$B$2+Q1993*Assumptions!$B$3+R1993*Assumptions!$B$4+S1993*Assumptions!$B$5+T1993*Assumptions!$B$6,0)</f>
        <v>90</v>
      </c>
      <c r="V1993" s="8" t="str">
        <f aca="false">IF(U1993&gt;=Assumptions!$B$10,"Healthy",IF(U1993&gt;=Assumptions!$B$11,"Needs Attention","High Risk"))</f>
        <v>Healthy</v>
      </c>
    </row>
    <row r="1994" customFormat="false" ht="15" hidden="false" customHeight="false" outlineLevel="0" collapsed="false">
      <c r="A1994" s="8" t="s">
        <v>4130</v>
      </c>
      <c r="B1994" s="8" t="s">
        <v>4131</v>
      </c>
      <c r="C1994" s="8" t="s">
        <v>51</v>
      </c>
      <c r="D1994" s="8" t="s">
        <v>2027</v>
      </c>
      <c r="E1994" s="8" t="s">
        <v>132</v>
      </c>
      <c r="F1994" s="8" t="s">
        <v>133</v>
      </c>
      <c r="G1994" s="8" t="s">
        <v>180</v>
      </c>
      <c r="H1994" s="15" t="n">
        <v>120</v>
      </c>
      <c r="I1994" s="15" t="n">
        <v>120</v>
      </c>
      <c r="J1994" s="16" t="n">
        <v>0.767</v>
      </c>
      <c r="K1994" s="8" t="n">
        <v>7</v>
      </c>
      <c r="L1994" s="8" t="n">
        <v>8</v>
      </c>
      <c r="M1994" s="8" t="n">
        <v>5</v>
      </c>
      <c r="N1994" s="8" t="s">
        <v>120</v>
      </c>
      <c r="O1994" s="15" t="n">
        <f aca="false">H1994*12</f>
        <v>1440</v>
      </c>
      <c r="P1994" s="8" t="n">
        <f aca="false">MIN(100,ROUND(100*J1994/Assumptions!$B$8,0))</f>
        <v>85</v>
      </c>
      <c r="Q1994" s="8" t="n">
        <f aca="false">IF(L1994="",Assumptions!$B$9,L1994*10)</f>
        <v>80</v>
      </c>
      <c r="R1994" s="8" t="n">
        <f aca="false">IF(M1994&lt;=1,Assumptions!$B$12,IF(M1994&lt;=3,Assumptions!$B$13,IF(M1994&lt;=6,Assumptions!$B$14,Assumptions!$B$15)))</f>
        <v>50</v>
      </c>
      <c r="S1994" s="8" t="n">
        <f aca="false">IF(N1994="Completed On Time",Assumptions!$B$16,IF(N1994="Completed Late",Assumptions!$B$17,Assumptions!$B$18))</f>
        <v>100</v>
      </c>
      <c r="T1994" s="8" t="n">
        <f aca="false">IF(I1994=0,Assumptions!$B$20,IF(H1994&gt;I1994,Assumptions!$B$19,IF(H1994=I1994,Assumptions!$B$20,Assumptions!$B$21)))</f>
        <v>70</v>
      </c>
      <c r="U1994" s="8" t="n">
        <f aca="false">ROUND(P1994*Assumptions!$B$2+Q1994*Assumptions!$B$3+R1994*Assumptions!$B$4+S1994*Assumptions!$B$5+T1994*Assumptions!$B$6,0)</f>
        <v>77</v>
      </c>
      <c r="V1994" s="8" t="str">
        <f aca="false">IF(U1994&gt;=Assumptions!$B$10,"Healthy",IF(U1994&gt;=Assumptions!$B$11,"Needs Attention","High Risk"))</f>
        <v>Needs Attention</v>
      </c>
    </row>
    <row r="1995" customFormat="false" ht="15" hidden="false" customHeight="false" outlineLevel="0" collapsed="false">
      <c r="A1995" s="8" t="s">
        <v>4132</v>
      </c>
      <c r="B1995" s="8" t="s">
        <v>4133</v>
      </c>
      <c r="C1995" s="8" t="s">
        <v>51</v>
      </c>
      <c r="D1995" s="8" t="s">
        <v>2027</v>
      </c>
      <c r="E1995" s="8" t="s">
        <v>117</v>
      </c>
      <c r="F1995" s="8" t="s">
        <v>133</v>
      </c>
      <c r="G1995" s="8" t="s">
        <v>119</v>
      </c>
      <c r="H1995" s="15" t="n">
        <v>120</v>
      </c>
      <c r="I1995" s="15" t="n">
        <v>96</v>
      </c>
      <c r="J1995" s="16" t="n">
        <v>0.607</v>
      </c>
      <c r="K1995" s="8" t="n">
        <v>6.3</v>
      </c>
      <c r="L1995" s="8" t="n">
        <v>5</v>
      </c>
      <c r="M1995" s="8" t="n">
        <v>3</v>
      </c>
      <c r="N1995" s="8" t="s">
        <v>120</v>
      </c>
      <c r="O1995" s="15" t="n">
        <f aca="false">H1995*12</f>
        <v>1440</v>
      </c>
      <c r="P1995" s="8" t="n">
        <f aca="false">MIN(100,ROUND(100*J1995/Assumptions!$B$8,0))</f>
        <v>67</v>
      </c>
      <c r="Q1995" s="8" t="n">
        <f aca="false">IF(L1995="",Assumptions!$B$9,L1995*10)</f>
        <v>50</v>
      </c>
      <c r="R1995" s="8" t="n">
        <f aca="false">IF(M1995&lt;=1,Assumptions!$B$12,IF(M1995&lt;=3,Assumptions!$B$13,IF(M1995&lt;=6,Assumptions!$B$14,Assumptions!$B$15)))</f>
        <v>75</v>
      </c>
      <c r="S1995" s="8" t="n">
        <f aca="false">IF(N1995="Completed On Time",Assumptions!$B$16,IF(N1995="Completed Late",Assumptions!$B$17,Assumptions!$B$18))</f>
        <v>100</v>
      </c>
      <c r="T1995" s="8" t="n">
        <f aca="false">IF(I1995=0,Assumptions!$B$20,IF(H1995&gt;I1995,Assumptions!$B$19,IF(H1995=I1995,Assumptions!$B$20,Assumptions!$B$21)))</f>
        <v>100</v>
      </c>
      <c r="U1995" s="8" t="n">
        <f aca="false">ROUND(P1995*Assumptions!$B$2+Q1995*Assumptions!$B$3+R1995*Assumptions!$B$4+S1995*Assumptions!$B$5+T1995*Assumptions!$B$6,0)</f>
        <v>75</v>
      </c>
      <c r="V1995" s="8" t="str">
        <f aca="false">IF(U1995&gt;=Assumptions!$B$10,"Healthy",IF(U1995&gt;=Assumptions!$B$11,"Needs Attention","High Risk"))</f>
        <v>Needs Attention</v>
      </c>
    </row>
    <row r="1996" customFormat="false" ht="15" hidden="false" customHeight="false" outlineLevel="0" collapsed="false">
      <c r="A1996" s="8" t="s">
        <v>4134</v>
      </c>
      <c r="B1996" s="8" t="s">
        <v>4135</v>
      </c>
      <c r="C1996" s="8" t="s">
        <v>51</v>
      </c>
      <c r="D1996" s="8" t="s">
        <v>2027</v>
      </c>
      <c r="E1996" s="8" t="s">
        <v>128</v>
      </c>
      <c r="F1996" s="8" t="s">
        <v>154</v>
      </c>
      <c r="G1996" s="8" t="s">
        <v>147</v>
      </c>
      <c r="H1996" s="15" t="n">
        <v>120</v>
      </c>
      <c r="I1996" s="15" t="n">
        <v>120</v>
      </c>
      <c r="J1996" s="16" t="n">
        <v>0.567</v>
      </c>
      <c r="K1996" s="8" t="n">
        <v>9</v>
      </c>
      <c r="L1996" s="8" t="n">
        <v>8</v>
      </c>
      <c r="M1996" s="8" t="n">
        <v>1</v>
      </c>
      <c r="N1996" s="8" t="s">
        <v>120</v>
      </c>
      <c r="O1996" s="15" t="n">
        <f aca="false">H1996*12</f>
        <v>1440</v>
      </c>
      <c r="P1996" s="8" t="n">
        <f aca="false">MIN(100,ROUND(100*J1996/Assumptions!$B$8,0))</f>
        <v>63</v>
      </c>
      <c r="Q1996" s="8" t="n">
        <f aca="false">IF(L1996="",Assumptions!$B$9,L1996*10)</f>
        <v>80</v>
      </c>
      <c r="R1996" s="8" t="n">
        <f aca="false">IF(M1996&lt;=1,Assumptions!$B$12,IF(M1996&lt;=3,Assumptions!$B$13,IF(M1996&lt;=6,Assumptions!$B$14,Assumptions!$B$15)))</f>
        <v>100</v>
      </c>
      <c r="S1996" s="8" t="n">
        <f aca="false">IF(N1996="Completed On Time",Assumptions!$B$16,IF(N1996="Completed Late",Assumptions!$B$17,Assumptions!$B$18))</f>
        <v>100</v>
      </c>
      <c r="T1996" s="8" t="n">
        <f aca="false">IF(I1996=0,Assumptions!$B$20,IF(H1996&gt;I1996,Assumptions!$B$19,IF(H1996=I1996,Assumptions!$B$20,Assumptions!$B$21)))</f>
        <v>70</v>
      </c>
      <c r="U1996" s="8" t="n">
        <f aca="false">ROUND(P1996*Assumptions!$B$2+Q1996*Assumptions!$B$3+R1996*Assumptions!$B$4+S1996*Assumptions!$B$5+T1996*Assumptions!$B$6,0)</f>
        <v>77</v>
      </c>
      <c r="V1996" s="8" t="str">
        <f aca="false">IF(U1996&gt;=Assumptions!$B$10,"Healthy",IF(U1996&gt;=Assumptions!$B$11,"Needs Attention","High Risk"))</f>
        <v>Needs Attention</v>
      </c>
    </row>
    <row r="1997" customFormat="false" ht="15" hidden="false" customHeight="false" outlineLevel="0" collapsed="false">
      <c r="A1997" s="8" t="s">
        <v>4136</v>
      </c>
      <c r="B1997" s="8" t="s">
        <v>4137</v>
      </c>
      <c r="C1997" s="8" t="s">
        <v>51</v>
      </c>
      <c r="D1997" s="8" t="s">
        <v>2027</v>
      </c>
      <c r="E1997" s="8" t="s">
        <v>117</v>
      </c>
      <c r="F1997" s="8" t="s">
        <v>223</v>
      </c>
      <c r="G1997" s="8" t="s">
        <v>119</v>
      </c>
      <c r="H1997" s="15" t="n">
        <v>120</v>
      </c>
      <c r="I1997" s="15" t="n">
        <v>120</v>
      </c>
      <c r="J1997" s="16" t="n">
        <v>0.7</v>
      </c>
      <c r="K1997" s="8" t="n">
        <v>7.7</v>
      </c>
      <c r="L1997" s="8" t="n">
        <v>8</v>
      </c>
      <c r="M1997" s="8" t="n">
        <v>3</v>
      </c>
      <c r="N1997" s="8" t="s">
        <v>120</v>
      </c>
      <c r="O1997" s="15" t="n">
        <f aca="false">H1997*12</f>
        <v>1440</v>
      </c>
      <c r="P1997" s="8" t="n">
        <f aca="false">MIN(100,ROUND(100*J1997/Assumptions!$B$8,0))</f>
        <v>78</v>
      </c>
      <c r="Q1997" s="8" t="n">
        <f aca="false">IF(L1997="",Assumptions!$B$9,L1997*10)</f>
        <v>80</v>
      </c>
      <c r="R1997" s="8" t="n">
        <f aca="false">IF(M1997&lt;=1,Assumptions!$B$12,IF(M1997&lt;=3,Assumptions!$B$13,IF(M1997&lt;=6,Assumptions!$B$14,Assumptions!$B$15)))</f>
        <v>75</v>
      </c>
      <c r="S1997" s="8" t="n">
        <f aca="false">IF(N1997="Completed On Time",Assumptions!$B$16,IF(N1997="Completed Late",Assumptions!$B$17,Assumptions!$B$18))</f>
        <v>100</v>
      </c>
      <c r="T1997" s="8" t="n">
        <f aca="false">IF(I1997=0,Assumptions!$B$20,IF(H1997&gt;I1997,Assumptions!$B$19,IF(H1997=I1997,Assumptions!$B$20,Assumptions!$B$21)))</f>
        <v>70</v>
      </c>
      <c r="U1997" s="8" t="n">
        <f aca="false">ROUND(P1997*Assumptions!$B$2+Q1997*Assumptions!$B$3+R1997*Assumptions!$B$4+S1997*Assumptions!$B$5+T1997*Assumptions!$B$6,0)</f>
        <v>79</v>
      </c>
      <c r="V1997" s="8" t="str">
        <f aca="false">IF(U1997&gt;=Assumptions!$B$10,"Healthy",IF(U1997&gt;=Assumptions!$B$11,"Needs Attention","High Risk"))</f>
        <v>Needs Attention</v>
      </c>
    </row>
    <row r="1998" customFormat="false" ht="15" hidden="false" customHeight="false" outlineLevel="0" collapsed="false">
      <c r="A1998" s="8" t="s">
        <v>4138</v>
      </c>
      <c r="B1998" s="8" t="s">
        <v>4139</v>
      </c>
      <c r="C1998" s="8" t="s">
        <v>51</v>
      </c>
      <c r="D1998" s="8" t="s">
        <v>2027</v>
      </c>
      <c r="E1998" s="8" t="s">
        <v>123</v>
      </c>
      <c r="F1998" s="8" t="s">
        <v>124</v>
      </c>
      <c r="G1998" s="8" t="s">
        <v>129</v>
      </c>
      <c r="H1998" s="15" t="n">
        <v>120</v>
      </c>
      <c r="I1998" s="15" t="n">
        <v>120</v>
      </c>
      <c r="J1998" s="16" t="n">
        <v>0.8</v>
      </c>
      <c r="K1998" s="8" t="n">
        <v>11</v>
      </c>
      <c r="L1998" s="8" t="n">
        <v>6</v>
      </c>
      <c r="M1998" s="8" t="n">
        <v>4</v>
      </c>
      <c r="N1998" s="8" t="s">
        <v>120</v>
      </c>
      <c r="O1998" s="15" t="n">
        <f aca="false">H1998*12</f>
        <v>1440</v>
      </c>
      <c r="P1998" s="8" t="n">
        <f aca="false">MIN(100,ROUND(100*J1998/Assumptions!$B$8,0))</f>
        <v>89</v>
      </c>
      <c r="Q1998" s="8" t="n">
        <f aca="false">IF(L1998="",Assumptions!$B$9,L1998*10)</f>
        <v>60</v>
      </c>
      <c r="R1998" s="8" t="n">
        <f aca="false">IF(M1998&lt;=1,Assumptions!$B$12,IF(M1998&lt;=3,Assumptions!$B$13,IF(M1998&lt;=6,Assumptions!$B$14,Assumptions!$B$15)))</f>
        <v>50</v>
      </c>
      <c r="S1998" s="8" t="n">
        <f aca="false">IF(N1998="Completed On Time",Assumptions!$B$16,IF(N1998="Completed Late",Assumptions!$B$17,Assumptions!$B$18))</f>
        <v>100</v>
      </c>
      <c r="T1998" s="8" t="n">
        <f aca="false">IF(I1998=0,Assumptions!$B$20,IF(H1998&gt;I1998,Assumptions!$B$19,IF(H1998=I1998,Assumptions!$B$20,Assumptions!$B$21)))</f>
        <v>70</v>
      </c>
      <c r="U1998" s="8" t="n">
        <f aca="false">ROUND(P1998*Assumptions!$B$2+Q1998*Assumptions!$B$3+R1998*Assumptions!$B$4+S1998*Assumptions!$B$5+T1998*Assumptions!$B$6,0)</f>
        <v>75</v>
      </c>
      <c r="V1998" s="8" t="str">
        <f aca="false">IF(U1998&gt;=Assumptions!$B$10,"Healthy",IF(U1998&gt;=Assumptions!$B$11,"Needs Attention","High Risk"))</f>
        <v>Needs Attention</v>
      </c>
    </row>
    <row r="1999" customFormat="false" ht="15" hidden="false" customHeight="false" outlineLevel="0" collapsed="false">
      <c r="A1999" s="8" t="s">
        <v>4140</v>
      </c>
      <c r="B1999" s="8" t="s">
        <v>4141</v>
      </c>
      <c r="C1999" s="8" t="s">
        <v>51</v>
      </c>
      <c r="D1999" s="8" t="s">
        <v>2027</v>
      </c>
      <c r="E1999" s="8" t="s">
        <v>117</v>
      </c>
      <c r="F1999" s="8" t="s">
        <v>143</v>
      </c>
      <c r="G1999" s="8" t="s">
        <v>119</v>
      </c>
      <c r="H1999" s="15" t="n">
        <v>120</v>
      </c>
      <c r="I1999" s="15" t="n">
        <v>120</v>
      </c>
      <c r="J1999" s="16" t="n">
        <v>0.7</v>
      </c>
      <c r="K1999" s="8" t="n">
        <v>8</v>
      </c>
      <c r="L1999" s="8" t="n">
        <v>5</v>
      </c>
      <c r="M1999" s="8" t="n">
        <v>3</v>
      </c>
      <c r="N1999" s="8" t="s">
        <v>120</v>
      </c>
      <c r="O1999" s="15" t="n">
        <f aca="false">H1999*12</f>
        <v>1440</v>
      </c>
      <c r="P1999" s="8" t="n">
        <f aca="false">MIN(100,ROUND(100*J1999/Assumptions!$B$8,0))</f>
        <v>78</v>
      </c>
      <c r="Q1999" s="8" t="n">
        <f aca="false">IF(L1999="",Assumptions!$B$9,L1999*10)</f>
        <v>50</v>
      </c>
      <c r="R1999" s="8" t="n">
        <f aca="false">IF(M1999&lt;=1,Assumptions!$B$12,IF(M1999&lt;=3,Assumptions!$B$13,IF(M1999&lt;=6,Assumptions!$B$14,Assumptions!$B$15)))</f>
        <v>75</v>
      </c>
      <c r="S1999" s="8" t="n">
        <f aca="false">IF(N1999="Completed On Time",Assumptions!$B$16,IF(N1999="Completed Late",Assumptions!$B$17,Assumptions!$B$18))</f>
        <v>100</v>
      </c>
      <c r="T1999" s="8" t="n">
        <f aca="false">IF(I1999=0,Assumptions!$B$20,IF(H1999&gt;I1999,Assumptions!$B$19,IF(H1999=I1999,Assumptions!$B$20,Assumptions!$B$21)))</f>
        <v>70</v>
      </c>
      <c r="U1999" s="8" t="n">
        <f aca="false">ROUND(P1999*Assumptions!$B$2+Q1999*Assumptions!$B$3+R1999*Assumptions!$B$4+S1999*Assumptions!$B$5+T1999*Assumptions!$B$6,0)</f>
        <v>73</v>
      </c>
      <c r="V1999" s="8" t="str">
        <f aca="false">IF(U1999&gt;=Assumptions!$B$10,"Healthy",IF(U1999&gt;=Assumptions!$B$11,"Needs Attention","High Risk"))</f>
        <v>Needs Attention</v>
      </c>
    </row>
    <row r="2000" customFormat="false" ht="15" hidden="false" customHeight="false" outlineLevel="0" collapsed="false">
      <c r="A2000" s="8" t="s">
        <v>4142</v>
      </c>
      <c r="B2000" s="8" t="s">
        <v>4143</v>
      </c>
      <c r="C2000" s="8" t="s">
        <v>51</v>
      </c>
      <c r="D2000" s="8" t="s">
        <v>2027</v>
      </c>
      <c r="E2000" s="8" t="s">
        <v>123</v>
      </c>
      <c r="F2000" s="8" t="s">
        <v>190</v>
      </c>
      <c r="G2000" s="8" t="s">
        <v>180</v>
      </c>
      <c r="H2000" s="15" t="n">
        <v>120</v>
      </c>
      <c r="I2000" s="15" t="n">
        <v>120</v>
      </c>
      <c r="J2000" s="16" t="n">
        <v>0.6</v>
      </c>
      <c r="K2000" s="8" t="n">
        <v>6.7</v>
      </c>
      <c r="L2000" s="8" t="n">
        <v>10</v>
      </c>
      <c r="M2000" s="8" t="n">
        <v>4</v>
      </c>
      <c r="N2000" s="8" t="s">
        <v>120</v>
      </c>
      <c r="O2000" s="15" t="n">
        <f aca="false">H2000*12</f>
        <v>1440</v>
      </c>
      <c r="P2000" s="8" t="n">
        <f aca="false">MIN(100,ROUND(100*J2000/Assumptions!$B$8,0))</f>
        <v>67</v>
      </c>
      <c r="Q2000" s="8" t="n">
        <f aca="false">IF(L2000="",Assumptions!$B$9,L2000*10)</f>
        <v>100</v>
      </c>
      <c r="R2000" s="8" t="n">
        <f aca="false">IF(M2000&lt;=1,Assumptions!$B$12,IF(M2000&lt;=3,Assumptions!$B$13,IF(M2000&lt;=6,Assumptions!$B$14,Assumptions!$B$15)))</f>
        <v>50</v>
      </c>
      <c r="S2000" s="8" t="n">
        <f aca="false">IF(N2000="Completed On Time",Assumptions!$B$16,IF(N2000="Completed Late",Assumptions!$B$17,Assumptions!$B$18))</f>
        <v>100</v>
      </c>
      <c r="T2000" s="8" t="n">
        <f aca="false">IF(I2000=0,Assumptions!$B$20,IF(H2000&gt;I2000,Assumptions!$B$19,IF(H2000=I2000,Assumptions!$B$20,Assumptions!$B$21)))</f>
        <v>70</v>
      </c>
      <c r="U2000" s="8" t="n">
        <f aca="false">ROUND(P2000*Assumptions!$B$2+Q2000*Assumptions!$B$3+R2000*Assumptions!$B$4+S2000*Assumptions!$B$5+T2000*Assumptions!$B$6,0)</f>
        <v>75</v>
      </c>
      <c r="V2000" s="8" t="str">
        <f aca="false">IF(U2000&gt;=Assumptions!$B$10,"Healthy",IF(U2000&gt;=Assumptions!$B$11,"Needs Attention","High Risk"))</f>
        <v>Needs Attention</v>
      </c>
    </row>
    <row r="2001" customFormat="false" ht="15" hidden="false" customHeight="false" outlineLevel="0" collapsed="false">
      <c r="A2001" s="8" t="s">
        <v>4144</v>
      </c>
      <c r="B2001" s="8" t="s">
        <v>4145</v>
      </c>
      <c r="C2001" s="8" t="s">
        <v>51</v>
      </c>
      <c r="D2001" s="8" t="s">
        <v>2027</v>
      </c>
      <c r="E2001" s="8" t="s">
        <v>117</v>
      </c>
      <c r="F2001" s="8" t="s">
        <v>118</v>
      </c>
      <c r="G2001" s="8" t="s">
        <v>177</v>
      </c>
      <c r="H2001" s="15" t="n">
        <v>120</v>
      </c>
      <c r="I2001" s="15" t="n">
        <v>0</v>
      </c>
      <c r="J2001" s="16" t="n">
        <v>0.833</v>
      </c>
      <c r="K2001" s="8" t="n">
        <v>10.7</v>
      </c>
      <c r="L2001" s="8"/>
      <c r="M2001" s="8" t="n">
        <v>2</v>
      </c>
      <c r="N2001" s="8" t="s">
        <v>120</v>
      </c>
      <c r="O2001" s="15" t="n">
        <f aca="false">H2001*12</f>
        <v>1440</v>
      </c>
      <c r="P2001" s="8" t="n">
        <f aca="false">MIN(100,ROUND(100*J2001/Assumptions!$B$8,0))</f>
        <v>93</v>
      </c>
      <c r="Q2001" s="8" t="n">
        <f aca="false">IF(L2001="",Assumptions!$B$9,L2001*10)</f>
        <v>50</v>
      </c>
      <c r="R2001" s="8" t="n">
        <f aca="false">IF(M2001&lt;=1,Assumptions!$B$12,IF(M2001&lt;=3,Assumptions!$B$13,IF(M2001&lt;=6,Assumptions!$B$14,Assumptions!$B$15)))</f>
        <v>75</v>
      </c>
      <c r="S2001" s="8" t="n">
        <f aca="false">IF(N2001="Completed On Time",Assumptions!$B$16,IF(N2001="Completed Late",Assumptions!$B$17,Assumptions!$B$18))</f>
        <v>100</v>
      </c>
      <c r="T2001" s="8" t="n">
        <f aca="false">IF(I2001=0,Assumptions!$B$20,IF(H2001&gt;I2001,Assumptions!$B$19,IF(H2001=I2001,Assumptions!$B$20,Assumptions!$B$21)))</f>
        <v>70</v>
      </c>
      <c r="U2001" s="8" t="n">
        <f aca="false">ROUND(P2001*Assumptions!$B$2+Q2001*Assumptions!$B$3+R2001*Assumptions!$B$4+S2001*Assumptions!$B$5+T2001*Assumptions!$B$6,0)</f>
        <v>78</v>
      </c>
      <c r="V2001" s="8" t="str">
        <f aca="false">IF(U2001&gt;=Assumptions!$B$10,"Healthy",IF(U2001&gt;=Assumptions!$B$11,"Needs Attention","High Risk"))</f>
        <v>Needs Attention</v>
      </c>
    </row>
    <row r="2002" customFormat="false" ht="15" hidden="false" customHeight="false" outlineLevel="0" collapsed="false">
      <c r="A2002" s="8" t="s">
        <v>4146</v>
      </c>
      <c r="B2002" s="8" t="s">
        <v>4147</v>
      </c>
      <c r="C2002" s="8" t="s">
        <v>51</v>
      </c>
      <c r="D2002" s="8" t="s">
        <v>2027</v>
      </c>
      <c r="E2002" s="8" t="s">
        <v>132</v>
      </c>
      <c r="F2002" s="8" t="s">
        <v>133</v>
      </c>
      <c r="G2002" s="8" t="s">
        <v>137</v>
      </c>
      <c r="H2002" s="15" t="n">
        <v>120</v>
      </c>
      <c r="I2002" s="15" t="n">
        <v>120</v>
      </c>
      <c r="J2002" s="16" t="n">
        <v>0.733</v>
      </c>
      <c r="K2002" s="8" t="n">
        <v>8</v>
      </c>
      <c r="L2002" s="8" t="n">
        <v>8</v>
      </c>
      <c r="M2002" s="8" t="n">
        <v>2</v>
      </c>
      <c r="N2002" s="8" t="s">
        <v>120</v>
      </c>
      <c r="O2002" s="15" t="n">
        <f aca="false">H2002*12</f>
        <v>1440</v>
      </c>
      <c r="P2002" s="8" t="n">
        <f aca="false">MIN(100,ROUND(100*J2002/Assumptions!$B$8,0))</f>
        <v>81</v>
      </c>
      <c r="Q2002" s="8" t="n">
        <f aca="false">IF(L2002="",Assumptions!$B$9,L2002*10)</f>
        <v>80</v>
      </c>
      <c r="R2002" s="8" t="n">
        <f aca="false">IF(M2002&lt;=1,Assumptions!$B$12,IF(M2002&lt;=3,Assumptions!$B$13,IF(M2002&lt;=6,Assumptions!$B$14,Assumptions!$B$15)))</f>
        <v>75</v>
      </c>
      <c r="S2002" s="8" t="n">
        <f aca="false">IF(N2002="Completed On Time",Assumptions!$B$16,IF(N2002="Completed Late",Assumptions!$B$17,Assumptions!$B$18))</f>
        <v>100</v>
      </c>
      <c r="T2002" s="8" t="n">
        <f aca="false">IF(I2002=0,Assumptions!$B$20,IF(H2002&gt;I2002,Assumptions!$B$19,IF(H2002=I2002,Assumptions!$B$20,Assumptions!$B$21)))</f>
        <v>70</v>
      </c>
      <c r="U2002" s="8" t="n">
        <f aca="false">ROUND(P2002*Assumptions!$B$2+Q2002*Assumptions!$B$3+R2002*Assumptions!$B$4+S2002*Assumptions!$B$5+T2002*Assumptions!$B$6,0)</f>
        <v>80</v>
      </c>
      <c r="V2002" s="8" t="str">
        <f aca="false">IF(U2002&gt;=Assumptions!$B$10,"Healthy",IF(U2002&gt;=Assumptions!$B$11,"Needs Attention","High Risk"))</f>
        <v>Healthy</v>
      </c>
    </row>
    <row r="2003" customFormat="false" ht="15" hidden="false" customHeight="false" outlineLevel="0" collapsed="false">
      <c r="A2003" s="8" t="s">
        <v>4148</v>
      </c>
      <c r="B2003" s="8" t="s">
        <v>4149</v>
      </c>
      <c r="C2003" s="8" t="s">
        <v>51</v>
      </c>
      <c r="D2003" s="8" t="s">
        <v>2027</v>
      </c>
      <c r="E2003" s="8" t="s">
        <v>132</v>
      </c>
      <c r="F2003" s="8" t="s">
        <v>151</v>
      </c>
      <c r="G2003" s="8" t="s">
        <v>129</v>
      </c>
      <c r="H2003" s="15" t="n">
        <v>120</v>
      </c>
      <c r="I2003" s="15" t="n">
        <v>120</v>
      </c>
      <c r="J2003" s="16" t="n">
        <v>0.867</v>
      </c>
      <c r="K2003" s="8" t="n">
        <v>11.3</v>
      </c>
      <c r="L2003" s="8" t="n">
        <v>10</v>
      </c>
      <c r="M2003" s="8" t="n">
        <v>1</v>
      </c>
      <c r="N2003" s="8" t="s">
        <v>120</v>
      </c>
      <c r="O2003" s="15" t="n">
        <f aca="false">H2003*12</f>
        <v>1440</v>
      </c>
      <c r="P2003" s="8" t="n">
        <f aca="false">MIN(100,ROUND(100*J2003/Assumptions!$B$8,0))</f>
        <v>96</v>
      </c>
      <c r="Q2003" s="8" t="n">
        <f aca="false">IF(L2003="",Assumptions!$B$9,L2003*10)</f>
        <v>100</v>
      </c>
      <c r="R2003" s="8" t="n">
        <f aca="false">IF(M2003&lt;=1,Assumptions!$B$12,IF(M2003&lt;=3,Assumptions!$B$13,IF(M2003&lt;=6,Assumptions!$B$14,Assumptions!$B$15)))</f>
        <v>100</v>
      </c>
      <c r="S2003" s="8" t="n">
        <f aca="false">IF(N2003="Completed On Time",Assumptions!$B$16,IF(N2003="Completed Late",Assumptions!$B$17,Assumptions!$B$18))</f>
        <v>100</v>
      </c>
      <c r="T2003" s="8" t="n">
        <f aca="false">IF(I2003=0,Assumptions!$B$20,IF(H2003&gt;I2003,Assumptions!$B$19,IF(H2003=I2003,Assumptions!$B$20,Assumptions!$B$21)))</f>
        <v>70</v>
      </c>
      <c r="U2003" s="8" t="n">
        <f aca="false">ROUND(P2003*Assumptions!$B$2+Q2003*Assumptions!$B$3+R2003*Assumptions!$B$4+S2003*Assumptions!$B$5+T2003*Assumptions!$B$6,0)</f>
        <v>93</v>
      </c>
      <c r="V2003" s="8" t="str">
        <f aca="false">IF(U2003&gt;=Assumptions!$B$10,"Healthy",IF(U2003&gt;=Assumptions!$B$11,"Needs Attention","High Risk"))</f>
        <v>Healthy</v>
      </c>
    </row>
    <row r="2004" customFormat="false" ht="15" hidden="false" customHeight="false" outlineLevel="0" collapsed="false">
      <c r="A2004" s="8" t="s">
        <v>4150</v>
      </c>
      <c r="B2004" s="8" t="s">
        <v>4151</v>
      </c>
      <c r="C2004" s="8" t="s">
        <v>51</v>
      </c>
      <c r="D2004" s="8" t="s">
        <v>2027</v>
      </c>
      <c r="E2004" s="8" t="s">
        <v>132</v>
      </c>
      <c r="F2004" s="8" t="s">
        <v>136</v>
      </c>
      <c r="G2004" s="8" t="s">
        <v>147</v>
      </c>
      <c r="H2004" s="15" t="n">
        <v>108</v>
      </c>
      <c r="I2004" s="15" t="n">
        <v>108</v>
      </c>
      <c r="J2004" s="16" t="n">
        <v>0.63</v>
      </c>
      <c r="K2004" s="8" t="n">
        <v>8</v>
      </c>
      <c r="L2004" s="8" t="n">
        <v>4</v>
      </c>
      <c r="M2004" s="8" t="n">
        <v>5</v>
      </c>
      <c r="N2004" s="8" t="s">
        <v>120</v>
      </c>
      <c r="O2004" s="15" t="n">
        <f aca="false">H2004*12</f>
        <v>1296</v>
      </c>
      <c r="P2004" s="8" t="n">
        <f aca="false">MIN(100,ROUND(100*J2004/Assumptions!$B$8,0))</f>
        <v>70</v>
      </c>
      <c r="Q2004" s="8" t="n">
        <f aca="false">IF(L2004="",Assumptions!$B$9,L2004*10)</f>
        <v>40</v>
      </c>
      <c r="R2004" s="8" t="n">
        <f aca="false">IF(M2004&lt;=1,Assumptions!$B$12,IF(M2004&lt;=3,Assumptions!$B$13,IF(M2004&lt;=6,Assumptions!$B$14,Assumptions!$B$15)))</f>
        <v>50</v>
      </c>
      <c r="S2004" s="8" t="n">
        <f aca="false">IF(N2004="Completed On Time",Assumptions!$B$16,IF(N2004="Completed Late",Assumptions!$B$17,Assumptions!$B$18))</f>
        <v>100</v>
      </c>
      <c r="T2004" s="8" t="n">
        <f aca="false">IF(I2004=0,Assumptions!$B$20,IF(H2004&gt;I2004,Assumptions!$B$19,IF(H2004=I2004,Assumptions!$B$20,Assumptions!$B$21)))</f>
        <v>70</v>
      </c>
      <c r="U2004" s="8" t="n">
        <f aca="false">ROUND(P2004*Assumptions!$B$2+Q2004*Assumptions!$B$3+R2004*Assumptions!$B$4+S2004*Assumptions!$B$5+T2004*Assumptions!$B$6,0)</f>
        <v>64</v>
      </c>
      <c r="V2004" s="8" t="str">
        <f aca="false">IF(U2004&gt;=Assumptions!$B$10,"Healthy",IF(U2004&gt;=Assumptions!$B$11,"Needs Attention","High Risk"))</f>
        <v>High Risk</v>
      </c>
    </row>
    <row r="2005" customFormat="false" ht="15" hidden="false" customHeight="false" outlineLevel="0" collapsed="false">
      <c r="A2005" s="8" t="s">
        <v>4152</v>
      </c>
      <c r="B2005" s="8" t="s">
        <v>4153</v>
      </c>
      <c r="C2005" s="8" t="s">
        <v>51</v>
      </c>
      <c r="D2005" s="8" t="s">
        <v>2027</v>
      </c>
      <c r="E2005" s="8" t="s">
        <v>128</v>
      </c>
      <c r="F2005" s="8" t="s">
        <v>151</v>
      </c>
      <c r="G2005" s="8" t="s">
        <v>180</v>
      </c>
      <c r="H2005" s="15" t="n">
        <v>108</v>
      </c>
      <c r="I2005" s="15" t="n">
        <v>0</v>
      </c>
      <c r="J2005" s="16" t="n">
        <v>0.611</v>
      </c>
      <c r="K2005" s="8" t="n">
        <v>7</v>
      </c>
      <c r="L2005" s="8"/>
      <c r="M2005" s="8" t="n">
        <v>0</v>
      </c>
      <c r="N2005" s="8" t="s">
        <v>199</v>
      </c>
      <c r="O2005" s="15" t="n">
        <f aca="false">H2005*12</f>
        <v>1296</v>
      </c>
      <c r="P2005" s="8" t="n">
        <f aca="false">MIN(100,ROUND(100*J2005/Assumptions!$B$8,0))</f>
        <v>68</v>
      </c>
      <c r="Q2005" s="8" t="n">
        <f aca="false">IF(L2005="",Assumptions!$B$9,L2005*10)</f>
        <v>50</v>
      </c>
      <c r="R2005" s="8" t="n">
        <f aca="false">IF(M2005&lt;=1,Assumptions!$B$12,IF(M2005&lt;=3,Assumptions!$B$13,IF(M2005&lt;=6,Assumptions!$B$14,Assumptions!$B$15)))</f>
        <v>100</v>
      </c>
      <c r="S2005" s="8" t="n">
        <f aca="false">IF(N2005="Completed On Time",Assumptions!$B$16,IF(N2005="Completed Late",Assumptions!$B$17,Assumptions!$B$18))</f>
        <v>50</v>
      </c>
      <c r="T2005" s="8" t="n">
        <f aca="false">IF(I2005=0,Assumptions!$B$20,IF(H2005&gt;I2005,Assumptions!$B$19,IF(H2005=I2005,Assumptions!$B$20,Assumptions!$B$21)))</f>
        <v>70</v>
      </c>
      <c r="U2005" s="8" t="n">
        <f aca="false">ROUND(P2005*Assumptions!$B$2+Q2005*Assumptions!$B$3+R2005*Assumptions!$B$4+S2005*Assumptions!$B$5+T2005*Assumptions!$B$6,0)</f>
        <v>68</v>
      </c>
      <c r="V2005" s="8" t="str">
        <f aca="false">IF(U2005&gt;=Assumptions!$B$10,"Healthy",IF(U2005&gt;=Assumptions!$B$11,"Needs Attention","High Risk"))</f>
        <v>Needs Attention</v>
      </c>
    </row>
    <row r="2006" customFormat="false" ht="15" hidden="false" customHeight="false" outlineLevel="0" collapsed="false">
      <c r="A2006" s="8" t="s">
        <v>4154</v>
      </c>
      <c r="B2006" s="8" t="s">
        <v>4155</v>
      </c>
      <c r="C2006" s="8" t="s">
        <v>51</v>
      </c>
      <c r="D2006" s="8" t="s">
        <v>2027</v>
      </c>
      <c r="E2006" s="8" t="s">
        <v>123</v>
      </c>
      <c r="F2006" s="8" t="s">
        <v>154</v>
      </c>
      <c r="G2006" s="8" t="s">
        <v>185</v>
      </c>
      <c r="H2006" s="15" t="n">
        <v>108</v>
      </c>
      <c r="I2006" s="15" t="n">
        <v>108</v>
      </c>
      <c r="J2006" s="16" t="n">
        <v>0.852</v>
      </c>
      <c r="K2006" s="8" t="n">
        <v>10</v>
      </c>
      <c r="L2006" s="8" t="n">
        <v>10</v>
      </c>
      <c r="M2006" s="8" t="n">
        <v>3</v>
      </c>
      <c r="N2006" s="8" t="s">
        <v>120</v>
      </c>
      <c r="O2006" s="15" t="n">
        <f aca="false">H2006*12</f>
        <v>1296</v>
      </c>
      <c r="P2006" s="8" t="n">
        <f aca="false">MIN(100,ROUND(100*J2006/Assumptions!$B$8,0))</f>
        <v>95</v>
      </c>
      <c r="Q2006" s="8" t="n">
        <f aca="false">IF(L2006="",Assumptions!$B$9,L2006*10)</f>
        <v>100</v>
      </c>
      <c r="R2006" s="8" t="n">
        <f aca="false">IF(M2006&lt;=1,Assumptions!$B$12,IF(M2006&lt;=3,Assumptions!$B$13,IF(M2006&lt;=6,Assumptions!$B$14,Assumptions!$B$15)))</f>
        <v>75</v>
      </c>
      <c r="S2006" s="8" t="n">
        <f aca="false">IF(N2006="Completed On Time",Assumptions!$B$16,IF(N2006="Completed Late",Assumptions!$B$17,Assumptions!$B$18))</f>
        <v>100</v>
      </c>
      <c r="T2006" s="8" t="n">
        <f aca="false">IF(I2006=0,Assumptions!$B$20,IF(H2006&gt;I2006,Assumptions!$B$19,IF(H2006=I2006,Assumptions!$B$20,Assumptions!$B$21)))</f>
        <v>70</v>
      </c>
      <c r="U2006" s="8" t="n">
        <f aca="false">ROUND(P2006*Assumptions!$B$2+Q2006*Assumptions!$B$3+R2006*Assumptions!$B$4+S2006*Assumptions!$B$5+T2006*Assumptions!$B$6,0)</f>
        <v>89</v>
      </c>
      <c r="V2006" s="8" t="str">
        <f aca="false">IF(U2006&gt;=Assumptions!$B$10,"Healthy",IF(U2006&gt;=Assumptions!$B$11,"Needs Attention","High Risk"))</f>
        <v>Healthy</v>
      </c>
    </row>
    <row r="2007" customFormat="false" ht="15" hidden="false" customHeight="false" outlineLevel="0" collapsed="false">
      <c r="A2007" s="8" t="s">
        <v>4156</v>
      </c>
      <c r="B2007" s="8" t="s">
        <v>4157</v>
      </c>
      <c r="C2007" s="8" t="s">
        <v>51</v>
      </c>
      <c r="D2007" s="8" t="s">
        <v>2027</v>
      </c>
      <c r="E2007" s="8" t="s">
        <v>123</v>
      </c>
      <c r="F2007" s="8" t="s">
        <v>136</v>
      </c>
      <c r="G2007" s="8" t="s">
        <v>140</v>
      </c>
      <c r="H2007" s="15" t="n">
        <v>108</v>
      </c>
      <c r="I2007" s="15" t="n">
        <v>108</v>
      </c>
      <c r="J2007" s="16" t="n">
        <v>0.63</v>
      </c>
      <c r="K2007" s="8" t="n">
        <v>9.7</v>
      </c>
      <c r="L2007" s="8" t="n">
        <v>10</v>
      </c>
      <c r="M2007" s="8" t="n">
        <v>6</v>
      </c>
      <c r="N2007" s="8" t="s">
        <v>120</v>
      </c>
      <c r="O2007" s="15" t="n">
        <f aca="false">H2007*12</f>
        <v>1296</v>
      </c>
      <c r="P2007" s="8" t="n">
        <f aca="false">MIN(100,ROUND(100*J2007/Assumptions!$B$8,0))</f>
        <v>70</v>
      </c>
      <c r="Q2007" s="8" t="n">
        <f aca="false">IF(L2007="",Assumptions!$B$9,L2007*10)</f>
        <v>100</v>
      </c>
      <c r="R2007" s="8" t="n">
        <f aca="false">IF(M2007&lt;=1,Assumptions!$B$12,IF(M2007&lt;=3,Assumptions!$B$13,IF(M2007&lt;=6,Assumptions!$B$14,Assumptions!$B$15)))</f>
        <v>50</v>
      </c>
      <c r="S2007" s="8" t="n">
        <f aca="false">IF(N2007="Completed On Time",Assumptions!$B$16,IF(N2007="Completed Late",Assumptions!$B$17,Assumptions!$B$18))</f>
        <v>100</v>
      </c>
      <c r="T2007" s="8" t="n">
        <f aca="false">IF(I2007=0,Assumptions!$B$20,IF(H2007&gt;I2007,Assumptions!$B$19,IF(H2007=I2007,Assumptions!$B$20,Assumptions!$B$21)))</f>
        <v>70</v>
      </c>
      <c r="U2007" s="8" t="n">
        <f aca="false">ROUND(P2007*Assumptions!$B$2+Q2007*Assumptions!$B$3+R2007*Assumptions!$B$4+S2007*Assumptions!$B$5+T2007*Assumptions!$B$6,0)</f>
        <v>76</v>
      </c>
      <c r="V2007" s="8" t="str">
        <f aca="false">IF(U2007&gt;=Assumptions!$B$10,"Healthy",IF(U2007&gt;=Assumptions!$B$11,"Needs Attention","High Risk"))</f>
        <v>Needs Attention</v>
      </c>
    </row>
    <row r="2008" customFormat="false" ht="15" hidden="false" customHeight="false" outlineLevel="0" collapsed="false">
      <c r="A2008" s="8" t="s">
        <v>4158</v>
      </c>
      <c r="B2008" s="8" t="s">
        <v>4159</v>
      </c>
      <c r="C2008" s="8" t="s">
        <v>51</v>
      </c>
      <c r="D2008" s="8" t="s">
        <v>2027</v>
      </c>
      <c r="E2008" s="8" t="s">
        <v>117</v>
      </c>
      <c r="F2008" s="8" t="s">
        <v>133</v>
      </c>
      <c r="G2008" s="8" t="s">
        <v>119</v>
      </c>
      <c r="H2008" s="15" t="n">
        <v>108</v>
      </c>
      <c r="I2008" s="15" t="n">
        <v>108</v>
      </c>
      <c r="J2008" s="16" t="n">
        <v>0.741</v>
      </c>
      <c r="K2008" s="8" t="n">
        <v>7.7</v>
      </c>
      <c r="L2008" s="8" t="n">
        <v>5</v>
      </c>
      <c r="M2008" s="8" t="n">
        <v>3</v>
      </c>
      <c r="N2008" s="8" t="s">
        <v>120</v>
      </c>
      <c r="O2008" s="15" t="n">
        <f aca="false">H2008*12</f>
        <v>1296</v>
      </c>
      <c r="P2008" s="8" t="n">
        <f aca="false">MIN(100,ROUND(100*J2008/Assumptions!$B$8,0))</f>
        <v>82</v>
      </c>
      <c r="Q2008" s="8" t="n">
        <f aca="false">IF(L2008="",Assumptions!$B$9,L2008*10)</f>
        <v>50</v>
      </c>
      <c r="R2008" s="8" t="n">
        <f aca="false">IF(M2008&lt;=1,Assumptions!$B$12,IF(M2008&lt;=3,Assumptions!$B$13,IF(M2008&lt;=6,Assumptions!$B$14,Assumptions!$B$15)))</f>
        <v>75</v>
      </c>
      <c r="S2008" s="8" t="n">
        <f aca="false">IF(N2008="Completed On Time",Assumptions!$B$16,IF(N2008="Completed Late",Assumptions!$B$17,Assumptions!$B$18))</f>
        <v>100</v>
      </c>
      <c r="T2008" s="8" t="n">
        <f aca="false">IF(I2008=0,Assumptions!$B$20,IF(H2008&gt;I2008,Assumptions!$B$19,IF(H2008=I2008,Assumptions!$B$20,Assumptions!$B$21)))</f>
        <v>70</v>
      </c>
      <c r="U2008" s="8" t="n">
        <f aca="false">ROUND(P2008*Assumptions!$B$2+Q2008*Assumptions!$B$3+R2008*Assumptions!$B$4+S2008*Assumptions!$B$5+T2008*Assumptions!$B$6,0)</f>
        <v>74</v>
      </c>
      <c r="V2008" s="8" t="str">
        <f aca="false">IF(U2008&gt;=Assumptions!$B$10,"Healthy",IF(U2008&gt;=Assumptions!$B$11,"Needs Attention","High Risk"))</f>
        <v>Needs Attention</v>
      </c>
    </row>
    <row r="2009" customFormat="false" ht="15" hidden="false" customHeight="false" outlineLevel="0" collapsed="false">
      <c r="A2009" s="8" t="s">
        <v>4160</v>
      </c>
      <c r="B2009" s="8" t="s">
        <v>4161</v>
      </c>
      <c r="C2009" s="8" t="s">
        <v>51</v>
      </c>
      <c r="D2009" s="8" t="s">
        <v>2027</v>
      </c>
      <c r="E2009" s="8" t="s">
        <v>123</v>
      </c>
      <c r="F2009" s="8" t="s">
        <v>118</v>
      </c>
      <c r="G2009" s="8" t="s">
        <v>177</v>
      </c>
      <c r="H2009" s="15" t="n">
        <v>108</v>
      </c>
      <c r="I2009" s="15" t="n">
        <v>108</v>
      </c>
      <c r="J2009" s="16" t="n">
        <v>0.852</v>
      </c>
      <c r="K2009" s="8" t="n">
        <v>11.3</v>
      </c>
      <c r="L2009" s="8" t="n">
        <v>10</v>
      </c>
      <c r="M2009" s="8" t="n">
        <v>0</v>
      </c>
      <c r="N2009" s="8" t="s">
        <v>120</v>
      </c>
      <c r="O2009" s="15" t="n">
        <f aca="false">H2009*12</f>
        <v>1296</v>
      </c>
      <c r="P2009" s="8" t="n">
        <f aca="false">MIN(100,ROUND(100*J2009/Assumptions!$B$8,0))</f>
        <v>95</v>
      </c>
      <c r="Q2009" s="8" t="n">
        <f aca="false">IF(L2009="",Assumptions!$B$9,L2009*10)</f>
        <v>100</v>
      </c>
      <c r="R2009" s="8" t="n">
        <f aca="false">IF(M2009&lt;=1,Assumptions!$B$12,IF(M2009&lt;=3,Assumptions!$B$13,IF(M2009&lt;=6,Assumptions!$B$14,Assumptions!$B$15)))</f>
        <v>100</v>
      </c>
      <c r="S2009" s="8" t="n">
        <f aca="false">IF(N2009="Completed On Time",Assumptions!$B$16,IF(N2009="Completed Late",Assumptions!$B$17,Assumptions!$B$18))</f>
        <v>100</v>
      </c>
      <c r="T2009" s="8" t="n">
        <f aca="false">IF(I2009=0,Assumptions!$B$20,IF(H2009&gt;I2009,Assumptions!$B$19,IF(H2009=I2009,Assumptions!$B$20,Assumptions!$B$21)))</f>
        <v>70</v>
      </c>
      <c r="U2009" s="8" t="n">
        <f aca="false">ROUND(P2009*Assumptions!$B$2+Q2009*Assumptions!$B$3+R2009*Assumptions!$B$4+S2009*Assumptions!$B$5+T2009*Assumptions!$B$6,0)</f>
        <v>92</v>
      </c>
      <c r="V2009" s="8" t="str">
        <f aca="false">IF(U2009&gt;=Assumptions!$B$10,"Healthy",IF(U2009&gt;=Assumptions!$B$11,"Needs Attention","High Risk"))</f>
        <v>Healthy</v>
      </c>
    </row>
    <row r="2010" customFormat="false" ht="15" hidden="false" customHeight="false" outlineLevel="0" collapsed="false">
      <c r="A2010" s="8" t="s">
        <v>4162</v>
      </c>
      <c r="B2010" s="8" t="s">
        <v>4163</v>
      </c>
      <c r="C2010" s="8" t="s">
        <v>51</v>
      </c>
      <c r="D2010" s="8" t="s">
        <v>2027</v>
      </c>
      <c r="E2010" s="8" t="s">
        <v>123</v>
      </c>
      <c r="F2010" s="8" t="s">
        <v>190</v>
      </c>
      <c r="G2010" s="8" t="s">
        <v>180</v>
      </c>
      <c r="H2010" s="15" t="n">
        <v>108</v>
      </c>
      <c r="I2010" s="15" t="n">
        <v>0</v>
      </c>
      <c r="J2010" s="16" t="n">
        <v>0.556</v>
      </c>
      <c r="K2010" s="8" t="n">
        <v>6.5</v>
      </c>
      <c r="L2010" s="8"/>
      <c r="M2010" s="8" t="n">
        <v>1</v>
      </c>
      <c r="N2010" s="8" t="s">
        <v>120</v>
      </c>
      <c r="O2010" s="15" t="n">
        <f aca="false">H2010*12</f>
        <v>1296</v>
      </c>
      <c r="P2010" s="8" t="n">
        <f aca="false">MIN(100,ROUND(100*J2010/Assumptions!$B$8,0))</f>
        <v>62</v>
      </c>
      <c r="Q2010" s="8" t="n">
        <f aca="false">IF(L2010="",Assumptions!$B$9,L2010*10)</f>
        <v>50</v>
      </c>
      <c r="R2010" s="8" t="n">
        <f aca="false">IF(M2010&lt;=1,Assumptions!$B$12,IF(M2010&lt;=3,Assumptions!$B$13,IF(M2010&lt;=6,Assumptions!$B$14,Assumptions!$B$15)))</f>
        <v>100</v>
      </c>
      <c r="S2010" s="8" t="n">
        <f aca="false">IF(N2010="Completed On Time",Assumptions!$B$16,IF(N2010="Completed Late",Assumptions!$B$17,Assumptions!$B$18))</f>
        <v>100</v>
      </c>
      <c r="T2010" s="8" t="n">
        <f aca="false">IF(I2010=0,Assumptions!$B$20,IF(H2010&gt;I2010,Assumptions!$B$19,IF(H2010=I2010,Assumptions!$B$20,Assumptions!$B$21)))</f>
        <v>70</v>
      </c>
      <c r="U2010" s="8" t="n">
        <f aca="false">ROUND(P2010*Assumptions!$B$2+Q2010*Assumptions!$B$3+R2010*Assumptions!$B$4+S2010*Assumptions!$B$5+T2010*Assumptions!$B$6,0)</f>
        <v>71</v>
      </c>
      <c r="V2010" s="8" t="str">
        <f aca="false">IF(U2010&gt;=Assumptions!$B$10,"Healthy",IF(U2010&gt;=Assumptions!$B$11,"Needs Attention","High Risk"))</f>
        <v>Needs Attention</v>
      </c>
    </row>
    <row r="2011" customFormat="false" ht="15" hidden="false" customHeight="false" outlineLevel="0" collapsed="false">
      <c r="A2011" s="8" t="s">
        <v>4164</v>
      </c>
      <c r="B2011" s="8" t="s">
        <v>4165</v>
      </c>
      <c r="C2011" s="8" t="s">
        <v>51</v>
      </c>
      <c r="D2011" s="8" t="s">
        <v>2027</v>
      </c>
      <c r="E2011" s="8" t="s">
        <v>117</v>
      </c>
      <c r="F2011" s="8" t="s">
        <v>124</v>
      </c>
      <c r="G2011" s="8" t="s">
        <v>159</v>
      </c>
      <c r="H2011" s="15" t="n">
        <v>108</v>
      </c>
      <c r="I2011" s="15" t="n">
        <v>108</v>
      </c>
      <c r="J2011" s="16" t="n">
        <v>0.593</v>
      </c>
      <c r="K2011" s="8" t="n">
        <v>5.7</v>
      </c>
      <c r="L2011" s="8" t="n">
        <v>5</v>
      </c>
      <c r="M2011" s="8" t="n">
        <v>4</v>
      </c>
      <c r="N2011" s="8" t="s">
        <v>120</v>
      </c>
      <c r="O2011" s="15" t="n">
        <f aca="false">H2011*12</f>
        <v>1296</v>
      </c>
      <c r="P2011" s="8" t="n">
        <f aca="false">MIN(100,ROUND(100*J2011/Assumptions!$B$8,0))</f>
        <v>66</v>
      </c>
      <c r="Q2011" s="8" t="n">
        <f aca="false">IF(L2011="",Assumptions!$B$9,L2011*10)</f>
        <v>50</v>
      </c>
      <c r="R2011" s="8" t="n">
        <f aca="false">IF(M2011&lt;=1,Assumptions!$B$12,IF(M2011&lt;=3,Assumptions!$B$13,IF(M2011&lt;=6,Assumptions!$B$14,Assumptions!$B$15)))</f>
        <v>50</v>
      </c>
      <c r="S2011" s="8" t="n">
        <f aca="false">IF(N2011="Completed On Time",Assumptions!$B$16,IF(N2011="Completed Late",Assumptions!$B$17,Assumptions!$B$18))</f>
        <v>100</v>
      </c>
      <c r="T2011" s="8" t="n">
        <f aca="false">IF(I2011=0,Assumptions!$B$20,IF(H2011&gt;I2011,Assumptions!$B$19,IF(H2011=I2011,Assumptions!$B$20,Assumptions!$B$21)))</f>
        <v>70</v>
      </c>
      <c r="U2011" s="8" t="n">
        <f aca="false">ROUND(P2011*Assumptions!$B$2+Q2011*Assumptions!$B$3+R2011*Assumptions!$B$4+S2011*Assumptions!$B$5+T2011*Assumptions!$B$6,0)</f>
        <v>65</v>
      </c>
      <c r="V2011" s="8" t="str">
        <f aca="false">IF(U2011&gt;=Assumptions!$B$10,"Healthy",IF(U2011&gt;=Assumptions!$B$11,"Needs Attention","High Risk"))</f>
        <v>Needs Attention</v>
      </c>
    </row>
    <row r="2012" customFormat="false" ht="15" hidden="false" customHeight="false" outlineLevel="0" collapsed="false">
      <c r="A2012" s="8" t="s">
        <v>4166</v>
      </c>
      <c r="B2012" s="8" t="s">
        <v>4167</v>
      </c>
      <c r="C2012" s="8" t="s">
        <v>51</v>
      </c>
      <c r="D2012" s="8" t="s">
        <v>2027</v>
      </c>
      <c r="E2012" s="8" t="s">
        <v>123</v>
      </c>
      <c r="F2012" s="8" t="s">
        <v>223</v>
      </c>
      <c r="G2012" s="8" t="s">
        <v>185</v>
      </c>
      <c r="H2012" s="15" t="n">
        <v>108</v>
      </c>
      <c r="I2012" s="15" t="n">
        <v>108</v>
      </c>
      <c r="J2012" s="16" t="n">
        <v>0.667</v>
      </c>
      <c r="K2012" s="8" t="n">
        <v>9.3</v>
      </c>
      <c r="L2012" s="8" t="n">
        <v>6</v>
      </c>
      <c r="M2012" s="8" t="n">
        <v>1</v>
      </c>
      <c r="N2012" s="8" t="s">
        <v>120</v>
      </c>
      <c r="O2012" s="15" t="n">
        <f aca="false">H2012*12</f>
        <v>1296</v>
      </c>
      <c r="P2012" s="8" t="n">
        <f aca="false">MIN(100,ROUND(100*J2012/Assumptions!$B$8,0))</f>
        <v>74</v>
      </c>
      <c r="Q2012" s="8" t="n">
        <f aca="false">IF(L2012="",Assumptions!$B$9,L2012*10)</f>
        <v>60</v>
      </c>
      <c r="R2012" s="8" t="n">
        <f aca="false">IF(M2012&lt;=1,Assumptions!$B$12,IF(M2012&lt;=3,Assumptions!$B$13,IF(M2012&lt;=6,Assumptions!$B$14,Assumptions!$B$15)))</f>
        <v>100</v>
      </c>
      <c r="S2012" s="8" t="n">
        <f aca="false">IF(N2012="Completed On Time",Assumptions!$B$16,IF(N2012="Completed Late",Assumptions!$B$17,Assumptions!$B$18))</f>
        <v>100</v>
      </c>
      <c r="T2012" s="8" t="n">
        <f aca="false">IF(I2012=0,Assumptions!$B$20,IF(H2012&gt;I2012,Assumptions!$B$19,IF(H2012=I2012,Assumptions!$B$20,Assumptions!$B$21)))</f>
        <v>70</v>
      </c>
      <c r="U2012" s="8" t="n">
        <f aca="false">ROUND(P2012*Assumptions!$B$2+Q2012*Assumptions!$B$3+R2012*Assumptions!$B$4+S2012*Assumptions!$B$5+T2012*Assumptions!$B$6,0)</f>
        <v>77</v>
      </c>
      <c r="V2012" s="8" t="str">
        <f aca="false">IF(U2012&gt;=Assumptions!$B$10,"Healthy",IF(U2012&gt;=Assumptions!$B$11,"Needs Attention","High Risk"))</f>
        <v>Needs Attention</v>
      </c>
    </row>
    <row r="2013" customFormat="false" ht="15" hidden="false" customHeight="false" outlineLevel="0" collapsed="false">
      <c r="A2013" s="8" t="s">
        <v>4168</v>
      </c>
      <c r="B2013" s="8" t="s">
        <v>4169</v>
      </c>
      <c r="C2013" s="8" t="s">
        <v>51</v>
      </c>
      <c r="D2013" s="8" t="s">
        <v>2027</v>
      </c>
      <c r="E2013" s="8" t="s">
        <v>117</v>
      </c>
      <c r="F2013" s="8" t="s">
        <v>118</v>
      </c>
      <c r="G2013" s="8" t="s">
        <v>177</v>
      </c>
      <c r="H2013" s="15" t="n">
        <v>108</v>
      </c>
      <c r="I2013" s="15" t="n">
        <v>108</v>
      </c>
      <c r="J2013" s="16" t="n">
        <v>0.519</v>
      </c>
      <c r="K2013" s="8" t="n">
        <v>7.3</v>
      </c>
      <c r="L2013" s="8" t="n">
        <v>6</v>
      </c>
      <c r="M2013" s="8" t="n">
        <v>6</v>
      </c>
      <c r="N2013" s="8" t="s">
        <v>120</v>
      </c>
      <c r="O2013" s="15" t="n">
        <f aca="false">H2013*12</f>
        <v>1296</v>
      </c>
      <c r="P2013" s="8" t="n">
        <f aca="false">MIN(100,ROUND(100*J2013/Assumptions!$B$8,0))</f>
        <v>58</v>
      </c>
      <c r="Q2013" s="8" t="n">
        <f aca="false">IF(L2013="",Assumptions!$B$9,L2013*10)</f>
        <v>60</v>
      </c>
      <c r="R2013" s="8" t="n">
        <f aca="false">IF(M2013&lt;=1,Assumptions!$B$12,IF(M2013&lt;=3,Assumptions!$B$13,IF(M2013&lt;=6,Assumptions!$B$14,Assumptions!$B$15)))</f>
        <v>50</v>
      </c>
      <c r="S2013" s="8" t="n">
        <f aca="false">IF(N2013="Completed On Time",Assumptions!$B$16,IF(N2013="Completed Late",Assumptions!$B$17,Assumptions!$B$18))</f>
        <v>100</v>
      </c>
      <c r="T2013" s="8" t="n">
        <f aca="false">IF(I2013=0,Assumptions!$B$20,IF(H2013&gt;I2013,Assumptions!$B$19,IF(H2013=I2013,Assumptions!$B$20,Assumptions!$B$21)))</f>
        <v>70</v>
      </c>
      <c r="U2013" s="8" t="n">
        <f aca="false">ROUND(P2013*Assumptions!$B$2+Q2013*Assumptions!$B$3+R2013*Assumptions!$B$4+S2013*Assumptions!$B$5+T2013*Assumptions!$B$6,0)</f>
        <v>64</v>
      </c>
      <c r="V2013" s="8" t="str">
        <f aca="false">IF(U2013&gt;=Assumptions!$B$10,"Healthy",IF(U2013&gt;=Assumptions!$B$11,"Needs Attention","High Risk"))</f>
        <v>High Risk</v>
      </c>
    </row>
    <row r="2014" customFormat="false" ht="15" hidden="false" customHeight="false" outlineLevel="0" collapsed="false">
      <c r="A2014" s="8" t="s">
        <v>4170</v>
      </c>
      <c r="B2014" s="8" t="s">
        <v>4171</v>
      </c>
      <c r="C2014" s="8" t="s">
        <v>51</v>
      </c>
      <c r="D2014" s="8" t="s">
        <v>2027</v>
      </c>
      <c r="E2014" s="8" t="s">
        <v>123</v>
      </c>
      <c r="F2014" s="8" t="s">
        <v>133</v>
      </c>
      <c r="G2014" s="8" t="s">
        <v>137</v>
      </c>
      <c r="H2014" s="15" t="n">
        <v>108</v>
      </c>
      <c r="I2014" s="15" t="n">
        <v>108</v>
      </c>
      <c r="J2014" s="16" t="n">
        <v>0.741</v>
      </c>
      <c r="K2014" s="8" t="n">
        <v>9</v>
      </c>
      <c r="L2014" s="8" t="n">
        <v>8</v>
      </c>
      <c r="M2014" s="8" t="n">
        <v>1</v>
      </c>
      <c r="N2014" s="8" t="s">
        <v>120</v>
      </c>
      <c r="O2014" s="15" t="n">
        <f aca="false">H2014*12</f>
        <v>1296</v>
      </c>
      <c r="P2014" s="8" t="n">
        <f aca="false">MIN(100,ROUND(100*J2014/Assumptions!$B$8,0))</f>
        <v>82</v>
      </c>
      <c r="Q2014" s="8" t="n">
        <f aca="false">IF(L2014="",Assumptions!$B$9,L2014*10)</f>
        <v>80</v>
      </c>
      <c r="R2014" s="8" t="n">
        <f aca="false">IF(M2014&lt;=1,Assumptions!$B$12,IF(M2014&lt;=3,Assumptions!$B$13,IF(M2014&lt;=6,Assumptions!$B$14,Assumptions!$B$15)))</f>
        <v>100</v>
      </c>
      <c r="S2014" s="8" t="n">
        <f aca="false">IF(N2014="Completed On Time",Assumptions!$B$16,IF(N2014="Completed Late",Assumptions!$B$17,Assumptions!$B$18))</f>
        <v>100</v>
      </c>
      <c r="T2014" s="8" t="n">
        <f aca="false">IF(I2014=0,Assumptions!$B$20,IF(H2014&gt;I2014,Assumptions!$B$19,IF(H2014=I2014,Assumptions!$B$20,Assumptions!$B$21)))</f>
        <v>70</v>
      </c>
      <c r="U2014" s="8" t="n">
        <f aca="false">ROUND(P2014*Assumptions!$B$2+Q2014*Assumptions!$B$3+R2014*Assumptions!$B$4+S2014*Assumptions!$B$5+T2014*Assumptions!$B$6,0)</f>
        <v>84</v>
      </c>
      <c r="V2014" s="8" t="str">
        <f aca="false">IF(U2014&gt;=Assumptions!$B$10,"Healthy",IF(U2014&gt;=Assumptions!$B$11,"Needs Attention","High Risk"))</f>
        <v>Healthy</v>
      </c>
    </row>
    <row r="2015" customFormat="false" ht="15" hidden="false" customHeight="false" outlineLevel="0" collapsed="false">
      <c r="A2015" s="8" t="s">
        <v>4172</v>
      </c>
      <c r="B2015" s="8" t="s">
        <v>4173</v>
      </c>
      <c r="C2015" s="8" t="s">
        <v>51</v>
      </c>
      <c r="D2015" s="8" t="s">
        <v>2027</v>
      </c>
      <c r="E2015" s="8" t="s">
        <v>128</v>
      </c>
      <c r="F2015" s="8" t="s">
        <v>166</v>
      </c>
      <c r="G2015" s="8" t="s">
        <v>147</v>
      </c>
      <c r="H2015" s="15" t="n">
        <v>108</v>
      </c>
      <c r="I2015" s="15" t="n">
        <v>108</v>
      </c>
      <c r="J2015" s="16" t="n">
        <v>0.741</v>
      </c>
      <c r="K2015" s="8" t="n">
        <v>9.7</v>
      </c>
      <c r="L2015" s="8" t="n">
        <v>8</v>
      </c>
      <c r="M2015" s="8" t="n">
        <v>2</v>
      </c>
      <c r="N2015" s="8" t="s">
        <v>120</v>
      </c>
      <c r="O2015" s="15" t="n">
        <f aca="false">H2015*12</f>
        <v>1296</v>
      </c>
      <c r="P2015" s="8" t="n">
        <f aca="false">MIN(100,ROUND(100*J2015/Assumptions!$B$8,0))</f>
        <v>82</v>
      </c>
      <c r="Q2015" s="8" t="n">
        <f aca="false">IF(L2015="",Assumptions!$B$9,L2015*10)</f>
        <v>80</v>
      </c>
      <c r="R2015" s="8" t="n">
        <f aca="false">IF(M2015&lt;=1,Assumptions!$B$12,IF(M2015&lt;=3,Assumptions!$B$13,IF(M2015&lt;=6,Assumptions!$B$14,Assumptions!$B$15)))</f>
        <v>75</v>
      </c>
      <c r="S2015" s="8" t="n">
        <f aca="false">IF(N2015="Completed On Time",Assumptions!$B$16,IF(N2015="Completed Late",Assumptions!$B$17,Assumptions!$B$18))</f>
        <v>100</v>
      </c>
      <c r="T2015" s="8" t="n">
        <f aca="false">IF(I2015=0,Assumptions!$B$20,IF(H2015&gt;I2015,Assumptions!$B$19,IF(H2015=I2015,Assumptions!$B$20,Assumptions!$B$21)))</f>
        <v>70</v>
      </c>
      <c r="U2015" s="8" t="n">
        <f aca="false">ROUND(P2015*Assumptions!$B$2+Q2015*Assumptions!$B$3+R2015*Assumptions!$B$4+S2015*Assumptions!$B$5+T2015*Assumptions!$B$6,0)</f>
        <v>80</v>
      </c>
      <c r="V2015" s="8" t="str">
        <f aca="false">IF(U2015&gt;=Assumptions!$B$10,"Healthy",IF(U2015&gt;=Assumptions!$B$11,"Needs Attention","High Risk"))</f>
        <v>Healthy</v>
      </c>
    </row>
    <row r="2016" customFormat="false" ht="15" hidden="false" customHeight="false" outlineLevel="0" collapsed="false">
      <c r="A2016" s="8" t="s">
        <v>4174</v>
      </c>
      <c r="B2016" s="8" t="s">
        <v>4175</v>
      </c>
      <c r="C2016" s="8" t="s">
        <v>51</v>
      </c>
      <c r="D2016" s="8" t="s">
        <v>2027</v>
      </c>
      <c r="E2016" s="8" t="s">
        <v>117</v>
      </c>
      <c r="F2016" s="8" t="s">
        <v>154</v>
      </c>
      <c r="G2016" s="8" t="s">
        <v>147</v>
      </c>
      <c r="H2016" s="15" t="n">
        <v>108</v>
      </c>
      <c r="I2016" s="15" t="n">
        <v>108</v>
      </c>
      <c r="J2016" s="16" t="n">
        <v>0.593</v>
      </c>
      <c r="K2016" s="8" t="n">
        <v>6</v>
      </c>
      <c r="L2016" s="8" t="n">
        <v>8</v>
      </c>
      <c r="M2016" s="8" t="n">
        <v>2</v>
      </c>
      <c r="N2016" s="8" t="s">
        <v>120</v>
      </c>
      <c r="O2016" s="15" t="n">
        <f aca="false">H2016*12</f>
        <v>1296</v>
      </c>
      <c r="P2016" s="8" t="n">
        <f aca="false">MIN(100,ROUND(100*J2016/Assumptions!$B$8,0))</f>
        <v>66</v>
      </c>
      <c r="Q2016" s="8" t="n">
        <f aca="false">IF(L2016="",Assumptions!$B$9,L2016*10)</f>
        <v>80</v>
      </c>
      <c r="R2016" s="8" t="n">
        <f aca="false">IF(M2016&lt;=1,Assumptions!$B$12,IF(M2016&lt;=3,Assumptions!$B$13,IF(M2016&lt;=6,Assumptions!$B$14,Assumptions!$B$15)))</f>
        <v>75</v>
      </c>
      <c r="S2016" s="8" t="n">
        <f aca="false">IF(N2016="Completed On Time",Assumptions!$B$16,IF(N2016="Completed Late",Assumptions!$B$17,Assumptions!$B$18))</f>
        <v>100</v>
      </c>
      <c r="T2016" s="8" t="n">
        <f aca="false">IF(I2016=0,Assumptions!$B$20,IF(H2016&gt;I2016,Assumptions!$B$19,IF(H2016=I2016,Assumptions!$B$20,Assumptions!$B$21)))</f>
        <v>70</v>
      </c>
      <c r="U2016" s="8" t="n">
        <f aca="false">ROUND(P2016*Assumptions!$B$2+Q2016*Assumptions!$B$3+R2016*Assumptions!$B$4+S2016*Assumptions!$B$5+T2016*Assumptions!$B$6,0)</f>
        <v>74</v>
      </c>
      <c r="V2016" s="8" t="str">
        <f aca="false">IF(U2016&gt;=Assumptions!$B$10,"Healthy",IF(U2016&gt;=Assumptions!$B$11,"Needs Attention","High Risk"))</f>
        <v>Needs Attention</v>
      </c>
    </row>
    <row r="2017" customFormat="false" ht="15" hidden="false" customHeight="false" outlineLevel="0" collapsed="false">
      <c r="A2017" s="8" t="s">
        <v>4176</v>
      </c>
      <c r="B2017" s="8" t="s">
        <v>4177</v>
      </c>
      <c r="C2017" s="8" t="s">
        <v>51</v>
      </c>
      <c r="D2017" s="8" t="s">
        <v>2027</v>
      </c>
      <c r="E2017" s="8" t="s">
        <v>123</v>
      </c>
      <c r="F2017" s="8" t="s">
        <v>154</v>
      </c>
      <c r="G2017" s="8" t="s">
        <v>177</v>
      </c>
      <c r="H2017" s="15" t="n">
        <v>108</v>
      </c>
      <c r="I2017" s="15" t="n">
        <v>0</v>
      </c>
      <c r="J2017" s="16" t="n">
        <v>0.63</v>
      </c>
      <c r="K2017" s="8" t="n">
        <v>8.3</v>
      </c>
      <c r="L2017" s="8"/>
      <c r="M2017" s="8" t="n">
        <v>1</v>
      </c>
      <c r="N2017" s="8" t="s">
        <v>120</v>
      </c>
      <c r="O2017" s="15" t="n">
        <f aca="false">H2017*12</f>
        <v>1296</v>
      </c>
      <c r="P2017" s="8" t="n">
        <f aca="false">MIN(100,ROUND(100*J2017/Assumptions!$B$8,0))</f>
        <v>70</v>
      </c>
      <c r="Q2017" s="8" t="n">
        <f aca="false">IF(L2017="",Assumptions!$B$9,L2017*10)</f>
        <v>50</v>
      </c>
      <c r="R2017" s="8" t="n">
        <f aca="false">IF(M2017&lt;=1,Assumptions!$B$12,IF(M2017&lt;=3,Assumptions!$B$13,IF(M2017&lt;=6,Assumptions!$B$14,Assumptions!$B$15)))</f>
        <v>100</v>
      </c>
      <c r="S2017" s="8" t="n">
        <f aca="false">IF(N2017="Completed On Time",Assumptions!$B$16,IF(N2017="Completed Late",Assumptions!$B$17,Assumptions!$B$18))</f>
        <v>100</v>
      </c>
      <c r="T2017" s="8" t="n">
        <f aca="false">IF(I2017=0,Assumptions!$B$20,IF(H2017&gt;I2017,Assumptions!$B$19,IF(H2017=I2017,Assumptions!$B$20,Assumptions!$B$21)))</f>
        <v>70</v>
      </c>
      <c r="U2017" s="8" t="n">
        <f aca="false">ROUND(P2017*Assumptions!$B$2+Q2017*Assumptions!$B$3+R2017*Assumptions!$B$4+S2017*Assumptions!$B$5+T2017*Assumptions!$B$6,0)</f>
        <v>74</v>
      </c>
      <c r="V2017" s="8" t="str">
        <f aca="false">IF(U2017&gt;=Assumptions!$B$10,"Healthy",IF(U2017&gt;=Assumptions!$B$11,"Needs Attention","High Risk"))</f>
        <v>Needs Attention</v>
      </c>
    </row>
    <row r="2018" customFormat="false" ht="15" hidden="false" customHeight="false" outlineLevel="0" collapsed="false">
      <c r="A2018" s="8" t="s">
        <v>4178</v>
      </c>
      <c r="B2018" s="8" t="s">
        <v>4179</v>
      </c>
      <c r="C2018" s="8" t="s">
        <v>51</v>
      </c>
      <c r="D2018" s="8" t="s">
        <v>2027</v>
      </c>
      <c r="E2018" s="8" t="s">
        <v>117</v>
      </c>
      <c r="F2018" s="8" t="s">
        <v>154</v>
      </c>
      <c r="G2018" s="8" t="s">
        <v>185</v>
      </c>
      <c r="H2018" s="15" t="n">
        <v>108</v>
      </c>
      <c r="I2018" s="15" t="n">
        <v>108</v>
      </c>
      <c r="J2018" s="16" t="n">
        <v>0.519</v>
      </c>
      <c r="K2018" s="8" t="n">
        <v>7.3</v>
      </c>
      <c r="L2018" s="8" t="n">
        <v>6</v>
      </c>
      <c r="M2018" s="8" t="n">
        <v>2</v>
      </c>
      <c r="N2018" s="8" t="s">
        <v>120</v>
      </c>
      <c r="O2018" s="15" t="n">
        <f aca="false">H2018*12</f>
        <v>1296</v>
      </c>
      <c r="P2018" s="8" t="n">
        <f aca="false">MIN(100,ROUND(100*J2018/Assumptions!$B$8,0))</f>
        <v>58</v>
      </c>
      <c r="Q2018" s="8" t="n">
        <f aca="false">IF(L2018="",Assumptions!$B$9,L2018*10)</f>
        <v>60</v>
      </c>
      <c r="R2018" s="8" t="n">
        <f aca="false">IF(M2018&lt;=1,Assumptions!$B$12,IF(M2018&lt;=3,Assumptions!$B$13,IF(M2018&lt;=6,Assumptions!$B$14,Assumptions!$B$15)))</f>
        <v>75</v>
      </c>
      <c r="S2018" s="8" t="n">
        <f aca="false">IF(N2018="Completed On Time",Assumptions!$B$16,IF(N2018="Completed Late",Assumptions!$B$17,Assumptions!$B$18))</f>
        <v>100</v>
      </c>
      <c r="T2018" s="8" t="n">
        <f aca="false">IF(I2018=0,Assumptions!$B$20,IF(H2018&gt;I2018,Assumptions!$B$19,IF(H2018=I2018,Assumptions!$B$20,Assumptions!$B$21)))</f>
        <v>70</v>
      </c>
      <c r="U2018" s="8" t="n">
        <f aca="false">ROUND(P2018*Assumptions!$B$2+Q2018*Assumptions!$B$3+R2018*Assumptions!$B$4+S2018*Assumptions!$B$5+T2018*Assumptions!$B$6,0)</f>
        <v>68</v>
      </c>
      <c r="V2018" s="8" t="str">
        <f aca="false">IF(U2018&gt;=Assumptions!$B$10,"Healthy",IF(U2018&gt;=Assumptions!$B$11,"Needs Attention","High Risk"))</f>
        <v>Needs Attention</v>
      </c>
    </row>
    <row r="2019" customFormat="false" ht="15" hidden="false" customHeight="false" outlineLevel="0" collapsed="false">
      <c r="A2019" s="8" t="s">
        <v>4180</v>
      </c>
      <c r="B2019" s="8" t="s">
        <v>4181</v>
      </c>
      <c r="C2019" s="8" t="s">
        <v>51</v>
      </c>
      <c r="D2019" s="8" t="s">
        <v>2027</v>
      </c>
      <c r="E2019" s="8" t="s">
        <v>128</v>
      </c>
      <c r="F2019" s="8" t="s">
        <v>151</v>
      </c>
      <c r="G2019" s="8" t="s">
        <v>119</v>
      </c>
      <c r="H2019" s="15" t="n">
        <v>108</v>
      </c>
      <c r="I2019" s="15" t="n">
        <v>108</v>
      </c>
      <c r="J2019" s="16" t="n">
        <v>0.926</v>
      </c>
      <c r="K2019" s="8" t="n">
        <v>11</v>
      </c>
      <c r="L2019" s="8" t="n">
        <v>8</v>
      </c>
      <c r="M2019" s="8" t="n">
        <v>3</v>
      </c>
      <c r="N2019" s="8" t="s">
        <v>120</v>
      </c>
      <c r="O2019" s="15" t="n">
        <f aca="false">H2019*12</f>
        <v>1296</v>
      </c>
      <c r="P2019" s="8" t="n">
        <f aca="false">MIN(100,ROUND(100*J2019/Assumptions!$B$8,0))</f>
        <v>100</v>
      </c>
      <c r="Q2019" s="8" t="n">
        <f aca="false">IF(L2019="",Assumptions!$B$9,L2019*10)</f>
        <v>80</v>
      </c>
      <c r="R2019" s="8" t="n">
        <f aca="false">IF(M2019&lt;=1,Assumptions!$B$12,IF(M2019&lt;=3,Assumptions!$B$13,IF(M2019&lt;=6,Assumptions!$B$14,Assumptions!$B$15)))</f>
        <v>75</v>
      </c>
      <c r="S2019" s="8" t="n">
        <f aca="false">IF(N2019="Completed On Time",Assumptions!$B$16,IF(N2019="Completed Late",Assumptions!$B$17,Assumptions!$B$18))</f>
        <v>100</v>
      </c>
      <c r="T2019" s="8" t="n">
        <f aca="false">IF(I2019=0,Assumptions!$B$20,IF(H2019&gt;I2019,Assumptions!$B$19,IF(H2019=I2019,Assumptions!$B$20,Assumptions!$B$21)))</f>
        <v>70</v>
      </c>
      <c r="U2019" s="8" t="n">
        <f aca="false">ROUND(P2019*Assumptions!$B$2+Q2019*Assumptions!$B$3+R2019*Assumptions!$B$4+S2019*Assumptions!$B$5+T2019*Assumptions!$B$6,0)</f>
        <v>86</v>
      </c>
      <c r="V2019" s="8" t="str">
        <f aca="false">IF(U2019&gt;=Assumptions!$B$10,"Healthy",IF(U2019&gt;=Assumptions!$B$11,"Needs Attention","High Risk"))</f>
        <v>Healthy</v>
      </c>
    </row>
    <row r="2020" customFormat="false" ht="15" hidden="false" customHeight="false" outlineLevel="0" collapsed="false">
      <c r="A2020" s="8" t="s">
        <v>4182</v>
      </c>
      <c r="B2020" s="8" t="s">
        <v>4183</v>
      </c>
      <c r="C2020" s="8" t="s">
        <v>51</v>
      </c>
      <c r="D2020" s="8" t="s">
        <v>2027</v>
      </c>
      <c r="E2020" s="8" t="s">
        <v>123</v>
      </c>
      <c r="F2020" s="8" t="s">
        <v>133</v>
      </c>
      <c r="G2020" s="8" t="s">
        <v>159</v>
      </c>
      <c r="H2020" s="15" t="n">
        <v>108</v>
      </c>
      <c r="I2020" s="15" t="n">
        <v>108</v>
      </c>
      <c r="J2020" s="16" t="n">
        <v>0.63</v>
      </c>
      <c r="K2020" s="8" t="n">
        <v>8.7</v>
      </c>
      <c r="L2020" s="8" t="n">
        <v>9</v>
      </c>
      <c r="M2020" s="8" t="n">
        <v>3</v>
      </c>
      <c r="N2020" s="8" t="s">
        <v>148</v>
      </c>
      <c r="O2020" s="15" t="n">
        <f aca="false">H2020*12</f>
        <v>1296</v>
      </c>
      <c r="P2020" s="8" t="n">
        <f aca="false">MIN(100,ROUND(100*J2020/Assumptions!$B$8,0))</f>
        <v>70</v>
      </c>
      <c r="Q2020" s="8" t="n">
        <f aca="false">IF(L2020="",Assumptions!$B$9,L2020*10)</f>
        <v>90</v>
      </c>
      <c r="R2020" s="8" t="n">
        <f aca="false">IF(M2020&lt;=1,Assumptions!$B$12,IF(M2020&lt;=3,Assumptions!$B$13,IF(M2020&lt;=6,Assumptions!$B$14,Assumptions!$B$15)))</f>
        <v>75</v>
      </c>
      <c r="S2020" s="8" t="n">
        <f aca="false">IF(N2020="Completed On Time",Assumptions!$B$16,IF(N2020="Completed Late",Assumptions!$B$17,Assumptions!$B$18))</f>
        <v>60</v>
      </c>
      <c r="T2020" s="8" t="n">
        <f aca="false">IF(I2020=0,Assumptions!$B$20,IF(H2020&gt;I2020,Assumptions!$B$19,IF(H2020=I2020,Assumptions!$B$20,Assumptions!$B$21)))</f>
        <v>70</v>
      </c>
      <c r="U2020" s="8" t="n">
        <f aca="false">ROUND(P2020*Assumptions!$B$2+Q2020*Assumptions!$B$3+R2020*Assumptions!$B$4+S2020*Assumptions!$B$5+T2020*Assumptions!$B$6,0)</f>
        <v>74</v>
      </c>
      <c r="V2020" s="8" t="str">
        <f aca="false">IF(U2020&gt;=Assumptions!$B$10,"Healthy",IF(U2020&gt;=Assumptions!$B$11,"Needs Attention","High Risk"))</f>
        <v>Needs Attention</v>
      </c>
    </row>
    <row r="2021" customFormat="false" ht="15" hidden="false" customHeight="false" outlineLevel="0" collapsed="false">
      <c r="A2021" s="8" t="s">
        <v>4184</v>
      </c>
      <c r="B2021" s="8" t="s">
        <v>4185</v>
      </c>
      <c r="C2021" s="8" t="s">
        <v>51</v>
      </c>
      <c r="D2021" s="8" t="s">
        <v>2027</v>
      </c>
      <c r="E2021" s="8" t="s">
        <v>123</v>
      </c>
      <c r="F2021" s="8" t="s">
        <v>166</v>
      </c>
      <c r="G2021" s="8" t="s">
        <v>185</v>
      </c>
      <c r="H2021" s="15" t="n">
        <v>108</v>
      </c>
      <c r="I2021" s="15" t="n">
        <v>108</v>
      </c>
      <c r="J2021" s="16" t="n">
        <v>0.889</v>
      </c>
      <c r="K2021" s="8" t="n">
        <v>11.3</v>
      </c>
      <c r="L2021" s="8" t="n">
        <v>10</v>
      </c>
      <c r="M2021" s="8" t="n">
        <v>2</v>
      </c>
      <c r="N2021" s="8" t="s">
        <v>120</v>
      </c>
      <c r="O2021" s="15" t="n">
        <f aca="false">H2021*12</f>
        <v>1296</v>
      </c>
      <c r="P2021" s="8" t="n">
        <f aca="false">MIN(100,ROUND(100*J2021/Assumptions!$B$8,0))</f>
        <v>99</v>
      </c>
      <c r="Q2021" s="8" t="n">
        <f aca="false">IF(L2021="",Assumptions!$B$9,L2021*10)</f>
        <v>100</v>
      </c>
      <c r="R2021" s="8" t="n">
        <f aca="false">IF(M2021&lt;=1,Assumptions!$B$12,IF(M2021&lt;=3,Assumptions!$B$13,IF(M2021&lt;=6,Assumptions!$B$14,Assumptions!$B$15)))</f>
        <v>75</v>
      </c>
      <c r="S2021" s="8" t="n">
        <f aca="false">IF(N2021="Completed On Time",Assumptions!$B$16,IF(N2021="Completed Late",Assumptions!$B$17,Assumptions!$B$18))</f>
        <v>100</v>
      </c>
      <c r="T2021" s="8" t="n">
        <f aca="false">IF(I2021=0,Assumptions!$B$20,IF(H2021&gt;I2021,Assumptions!$B$19,IF(H2021=I2021,Assumptions!$B$20,Assumptions!$B$21)))</f>
        <v>70</v>
      </c>
      <c r="U2021" s="8" t="n">
        <f aca="false">ROUND(P2021*Assumptions!$B$2+Q2021*Assumptions!$B$3+R2021*Assumptions!$B$4+S2021*Assumptions!$B$5+T2021*Assumptions!$B$6,0)</f>
        <v>90</v>
      </c>
      <c r="V2021" s="8" t="str">
        <f aca="false">IF(U2021&gt;=Assumptions!$B$10,"Healthy",IF(U2021&gt;=Assumptions!$B$11,"Needs Attention","High Risk"))</f>
        <v>Healthy</v>
      </c>
    </row>
    <row r="2022" customFormat="false" ht="15" hidden="false" customHeight="false" outlineLevel="0" collapsed="false">
      <c r="A2022" s="8" t="s">
        <v>4186</v>
      </c>
      <c r="B2022" s="8" t="s">
        <v>4187</v>
      </c>
      <c r="C2022" s="8" t="s">
        <v>51</v>
      </c>
      <c r="D2022" s="8" t="s">
        <v>2027</v>
      </c>
      <c r="E2022" s="8" t="s">
        <v>117</v>
      </c>
      <c r="F2022" s="8" t="s">
        <v>124</v>
      </c>
      <c r="G2022" s="8" t="s">
        <v>204</v>
      </c>
      <c r="H2022" s="15" t="n">
        <v>108</v>
      </c>
      <c r="I2022" s="15" t="n">
        <v>108</v>
      </c>
      <c r="J2022" s="16" t="n">
        <v>0.778</v>
      </c>
      <c r="K2022" s="8" t="n">
        <v>7.7</v>
      </c>
      <c r="L2022" s="8" t="n">
        <v>7</v>
      </c>
      <c r="M2022" s="8" t="n">
        <v>4</v>
      </c>
      <c r="N2022" s="8" t="s">
        <v>120</v>
      </c>
      <c r="O2022" s="15" t="n">
        <f aca="false">H2022*12</f>
        <v>1296</v>
      </c>
      <c r="P2022" s="8" t="n">
        <f aca="false">MIN(100,ROUND(100*J2022/Assumptions!$B$8,0))</f>
        <v>86</v>
      </c>
      <c r="Q2022" s="8" t="n">
        <f aca="false">IF(L2022="",Assumptions!$B$9,L2022*10)</f>
        <v>70</v>
      </c>
      <c r="R2022" s="8" t="n">
        <f aca="false">IF(M2022&lt;=1,Assumptions!$B$12,IF(M2022&lt;=3,Assumptions!$B$13,IF(M2022&lt;=6,Assumptions!$B$14,Assumptions!$B$15)))</f>
        <v>50</v>
      </c>
      <c r="S2022" s="8" t="n">
        <f aca="false">IF(N2022="Completed On Time",Assumptions!$B$16,IF(N2022="Completed Late",Assumptions!$B$17,Assumptions!$B$18))</f>
        <v>100</v>
      </c>
      <c r="T2022" s="8" t="n">
        <f aca="false">IF(I2022=0,Assumptions!$B$20,IF(H2022&gt;I2022,Assumptions!$B$19,IF(H2022=I2022,Assumptions!$B$20,Assumptions!$B$21)))</f>
        <v>70</v>
      </c>
      <c r="U2022" s="8" t="n">
        <f aca="false">ROUND(P2022*Assumptions!$B$2+Q2022*Assumptions!$B$3+R2022*Assumptions!$B$4+S2022*Assumptions!$B$5+T2022*Assumptions!$B$6,0)</f>
        <v>76</v>
      </c>
      <c r="V2022" s="8" t="str">
        <f aca="false">IF(U2022&gt;=Assumptions!$B$10,"Healthy",IF(U2022&gt;=Assumptions!$B$11,"Needs Attention","High Risk"))</f>
        <v>Needs Attention</v>
      </c>
    </row>
    <row r="2023" customFormat="false" ht="15" hidden="false" customHeight="false" outlineLevel="0" collapsed="false">
      <c r="A2023" s="8" t="s">
        <v>4188</v>
      </c>
      <c r="B2023" s="8" t="s">
        <v>4189</v>
      </c>
      <c r="C2023" s="8" t="s">
        <v>51</v>
      </c>
      <c r="D2023" s="8" t="s">
        <v>2027</v>
      </c>
      <c r="E2023" s="8" t="s">
        <v>123</v>
      </c>
      <c r="F2023" s="8" t="s">
        <v>133</v>
      </c>
      <c r="G2023" s="8" t="s">
        <v>177</v>
      </c>
      <c r="H2023" s="15" t="n">
        <v>108</v>
      </c>
      <c r="I2023" s="15" t="n">
        <v>108</v>
      </c>
      <c r="J2023" s="16" t="n">
        <v>0.815</v>
      </c>
      <c r="K2023" s="8" t="n">
        <v>9</v>
      </c>
      <c r="L2023" s="8" t="n">
        <v>9</v>
      </c>
      <c r="M2023" s="8" t="n">
        <v>1</v>
      </c>
      <c r="N2023" s="8" t="s">
        <v>120</v>
      </c>
      <c r="O2023" s="15" t="n">
        <f aca="false">H2023*12</f>
        <v>1296</v>
      </c>
      <c r="P2023" s="8" t="n">
        <f aca="false">MIN(100,ROUND(100*J2023/Assumptions!$B$8,0))</f>
        <v>91</v>
      </c>
      <c r="Q2023" s="8" t="n">
        <f aca="false">IF(L2023="",Assumptions!$B$9,L2023*10)</f>
        <v>90</v>
      </c>
      <c r="R2023" s="8" t="n">
        <f aca="false">IF(M2023&lt;=1,Assumptions!$B$12,IF(M2023&lt;=3,Assumptions!$B$13,IF(M2023&lt;=6,Assumptions!$B$14,Assumptions!$B$15)))</f>
        <v>100</v>
      </c>
      <c r="S2023" s="8" t="n">
        <f aca="false">IF(N2023="Completed On Time",Assumptions!$B$16,IF(N2023="Completed Late",Assumptions!$B$17,Assumptions!$B$18))</f>
        <v>100</v>
      </c>
      <c r="T2023" s="8" t="n">
        <f aca="false">IF(I2023=0,Assumptions!$B$20,IF(H2023&gt;I2023,Assumptions!$B$19,IF(H2023=I2023,Assumptions!$B$20,Assumptions!$B$21)))</f>
        <v>70</v>
      </c>
      <c r="U2023" s="8" t="n">
        <f aca="false">ROUND(P2023*Assumptions!$B$2+Q2023*Assumptions!$B$3+R2023*Assumptions!$B$4+S2023*Assumptions!$B$5+T2023*Assumptions!$B$6,0)</f>
        <v>89</v>
      </c>
      <c r="V2023" s="8" t="str">
        <f aca="false">IF(U2023&gt;=Assumptions!$B$10,"Healthy",IF(U2023&gt;=Assumptions!$B$11,"Needs Attention","High Risk"))</f>
        <v>Healthy</v>
      </c>
    </row>
    <row r="2024" customFormat="false" ht="15" hidden="false" customHeight="false" outlineLevel="0" collapsed="false">
      <c r="A2024" s="8" t="s">
        <v>4190</v>
      </c>
      <c r="B2024" s="8" t="s">
        <v>4191</v>
      </c>
      <c r="C2024" s="8" t="s">
        <v>51</v>
      </c>
      <c r="D2024" s="8" t="s">
        <v>2027</v>
      </c>
      <c r="E2024" s="8" t="s">
        <v>128</v>
      </c>
      <c r="F2024" s="8" t="s">
        <v>133</v>
      </c>
      <c r="G2024" s="8" t="s">
        <v>159</v>
      </c>
      <c r="H2024" s="15" t="n">
        <v>108</v>
      </c>
      <c r="I2024" s="15" t="n">
        <v>108</v>
      </c>
      <c r="J2024" s="16" t="n">
        <v>0.926</v>
      </c>
      <c r="K2024" s="8" t="n">
        <v>12</v>
      </c>
      <c r="L2024" s="8" t="n">
        <v>10</v>
      </c>
      <c r="M2024" s="8" t="n">
        <v>0</v>
      </c>
      <c r="N2024" s="8" t="s">
        <v>120</v>
      </c>
      <c r="O2024" s="15" t="n">
        <f aca="false">H2024*12</f>
        <v>1296</v>
      </c>
      <c r="P2024" s="8" t="n">
        <f aca="false">MIN(100,ROUND(100*J2024/Assumptions!$B$8,0))</f>
        <v>100</v>
      </c>
      <c r="Q2024" s="8" t="n">
        <f aca="false">IF(L2024="",Assumptions!$B$9,L2024*10)</f>
        <v>100</v>
      </c>
      <c r="R2024" s="8" t="n">
        <f aca="false">IF(M2024&lt;=1,Assumptions!$B$12,IF(M2024&lt;=3,Assumptions!$B$13,IF(M2024&lt;=6,Assumptions!$B$14,Assumptions!$B$15)))</f>
        <v>100</v>
      </c>
      <c r="S2024" s="8" t="n">
        <f aca="false">IF(N2024="Completed On Time",Assumptions!$B$16,IF(N2024="Completed Late",Assumptions!$B$17,Assumptions!$B$18))</f>
        <v>100</v>
      </c>
      <c r="T2024" s="8" t="n">
        <f aca="false">IF(I2024=0,Assumptions!$B$20,IF(H2024&gt;I2024,Assumptions!$B$19,IF(H2024=I2024,Assumptions!$B$20,Assumptions!$B$21)))</f>
        <v>70</v>
      </c>
      <c r="U2024" s="8" t="n">
        <f aca="false">ROUND(P2024*Assumptions!$B$2+Q2024*Assumptions!$B$3+R2024*Assumptions!$B$4+S2024*Assumptions!$B$5+T2024*Assumptions!$B$6,0)</f>
        <v>94</v>
      </c>
      <c r="V2024" s="8" t="str">
        <f aca="false">IF(U2024&gt;=Assumptions!$B$10,"Healthy",IF(U2024&gt;=Assumptions!$B$11,"Needs Attention","High Risk"))</f>
        <v>Healthy</v>
      </c>
    </row>
    <row r="2025" customFormat="false" ht="15" hidden="false" customHeight="false" outlineLevel="0" collapsed="false">
      <c r="A2025" s="8" t="s">
        <v>4192</v>
      </c>
      <c r="B2025" s="8" t="s">
        <v>4193</v>
      </c>
      <c r="C2025" s="8" t="s">
        <v>51</v>
      </c>
      <c r="D2025" s="8" t="s">
        <v>2027</v>
      </c>
      <c r="E2025" s="8" t="s">
        <v>123</v>
      </c>
      <c r="F2025" s="8" t="s">
        <v>166</v>
      </c>
      <c r="G2025" s="8" t="s">
        <v>129</v>
      </c>
      <c r="H2025" s="15" t="n">
        <v>108</v>
      </c>
      <c r="I2025" s="15" t="n">
        <v>108</v>
      </c>
      <c r="J2025" s="16" t="n">
        <v>0.667</v>
      </c>
      <c r="K2025" s="8" t="n">
        <v>7</v>
      </c>
      <c r="L2025" s="8" t="n">
        <v>6</v>
      </c>
      <c r="M2025" s="8" t="n">
        <v>2</v>
      </c>
      <c r="N2025" s="8" t="s">
        <v>120</v>
      </c>
      <c r="O2025" s="15" t="n">
        <f aca="false">H2025*12</f>
        <v>1296</v>
      </c>
      <c r="P2025" s="8" t="n">
        <f aca="false">MIN(100,ROUND(100*J2025/Assumptions!$B$8,0))</f>
        <v>74</v>
      </c>
      <c r="Q2025" s="8" t="n">
        <f aca="false">IF(L2025="",Assumptions!$B$9,L2025*10)</f>
        <v>60</v>
      </c>
      <c r="R2025" s="8" t="n">
        <f aca="false">IF(M2025&lt;=1,Assumptions!$B$12,IF(M2025&lt;=3,Assumptions!$B$13,IF(M2025&lt;=6,Assumptions!$B$14,Assumptions!$B$15)))</f>
        <v>75</v>
      </c>
      <c r="S2025" s="8" t="n">
        <f aca="false">IF(N2025="Completed On Time",Assumptions!$B$16,IF(N2025="Completed Late",Assumptions!$B$17,Assumptions!$B$18))</f>
        <v>100</v>
      </c>
      <c r="T2025" s="8" t="n">
        <f aca="false">IF(I2025=0,Assumptions!$B$20,IF(H2025&gt;I2025,Assumptions!$B$19,IF(H2025=I2025,Assumptions!$B$20,Assumptions!$B$21)))</f>
        <v>70</v>
      </c>
      <c r="U2025" s="8" t="n">
        <f aca="false">ROUND(P2025*Assumptions!$B$2+Q2025*Assumptions!$B$3+R2025*Assumptions!$B$4+S2025*Assumptions!$B$5+T2025*Assumptions!$B$6,0)</f>
        <v>73</v>
      </c>
      <c r="V2025" s="8" t="str">
        <f aca="false">IF(U2025&gt;=Assumptions!$B$10,"Healthy",IF(U2025&gt;=Assumptions!$B$11,"Needs Attention","High Risk"))</f>
        <v>Needs Attention</v>
      </c>
    </row>
    <row r="2026" customFormat="false" ht="15" hidden="false" customHeight="false" outlineLevel="0" collapsed="false">
      <c r="A2026" s="8" t="s">
        <v>4194</v>
      </c>
      <c r="B2026" s="8" t="s">
        <v>4195</v>
      </c>
      <c r="C2026" s="8" t="s">
        <v>51</v>
      </c>
      <c r="D2026" s="8" t="s">
        <v>2027</v>
      </c>
      <c r="E2026" s="8" t="s">
        <v>132</v>
      </c>
      <c r="F2026" s="8" t="s">
        <v>136</v>
      </c>
      <c r="G2026" s="8" t="s">
        <v>129</v>
      </c>
      <c r="H2026" s="15" t="n">
        <v>108</v>
      </c>
      <c r="I2026" s="15" t="n">
        <v>108</v>
      </c>
      <c r="J2026" s="16" t="n">
        <v>0.667</v>
      </c>
      <c r="K2026" s="8" t="n">
        <v>7</v>
      </c>
      <c r="L2026" s="8" t="n">
        <v>4</v>
      </c>
      <c r="M2026" s="8" t="n">
        <v>5</v>
      </c>
      <c r="N2026" s="8" t="s">
        <v>120</v>
      </c>
      <c r="O2026" s="15" t="n">
        <f aca="false">H2026*12</f>
        <v>1296</v>
      </c>
      <c r="P2026" s="8" t="n">
        <f aca="false">MIN(100,ROUND(100*J2026/Assumptions!$B$8,0))</f>
        <v>74</v>
      </c>
      <c r="Q2026" s="8" t="n">
        <f aca="false">IF(L2026="",Assumptions!$B$9,L2026*10)</f>
        <v>40</v>
      </c>
      <c r="R2026" s="8" t="n">
        <f aca="false">IF(M2026&lt;=1,Assumptions!$B$12,IF(M2026&lt;=3,Assumptions!$B$13,IF(M2026&lt;=6,Assumptions!$B$14,Assumptions!$B$15)))</f>
        <v>50</v>
      </c>
      <c r="S2026" s="8" t="n">
        <f aca="false">IF(N2026="Completed On Time",Assumptions!$B$16,IF(N2026="Completed Late",Assumptions!$B$17,Assumptions!$B$18))</f>
        <v>100</v>
      </c>
      <c r="T2026" s="8" t="n">
        <f aca="false">IF(I2026=0,Assumptions!$B$20,IF(H2026&gt;I2026,Assumptions!$B$19,IF(H2026=I2026,Assumptions!$B$20,Assumptions!$B$21)))</f>
        <v>70</v>
      </c>
      <c r="U2026" s="8" t="n">
        <f aca="false">ROUND(P2026*Assumptions!$B$2+Q2026*Assumptions!$B$3+R2026*Assumptions!$B$4+S2026*Assumptions!$B$5+T2026*Assumptions!$B$6,0)</f>
        <v>65</v>
      </c>
      <c r="V2026" s="8" t="str">
        <f aca="false">IF(U2026&gt;=Assumptions!$B$10,"Healthy",IF(U2026&gt;=Assumptions!$B$11,"Needs Attention","High Risk"))</f>
        <v>Needs Attention</v>
      </c>
    </row>
    <row r="2027" customFormat="false" ht="15" hidden="false" customHeight="false" outlineLevel="0" collapsed="false">
      <c r="A2027" s="8" t="s">
        <v>4196</v>
      </c>
      <c r="B2027" s="8" t="s">
        <v>4197</v>
      </c>
      <c r="C2027" s="8" t="s">
        <v>51</v>
      </c>
      <c r="D2027" s="8" t="s">
        <v>2027</v>
      </c>
      <c r="E2027" s="8" t="s">
        <v>123</v>
      </c>
      <c r="F2027" s="8" t="s">
        <v>136</v>
      </c>
      <c r="G2027" s="8" t="s">
        <v>159</v>
      </c>
      <c r="H2027" s="15" t="n">
        <v>108</v>
      </c>
      <c r="I2027" s="15" t="n">
        <v>108</v>
      </c>
      <c r="J2027" s="16" t="n">
        <v>0.704</v>
      </c>
      <c r="K2027" s="8" t="n">
        <v>9</v>
      </c>
      <c r="L2027" s="8" t="n">
        <v>7</v>
      </c>
      <c r="M2027" s="8" t="n">
        <v>2</v>
      </c>
      <c r="N2027" s="8" t="s">
        <v>120</v>
      </c>
      <c r="O2027" s="15" t="n">
        <f aca="false">H2027*12</f>
        <v>1296</v>
      </c>
      <c r="P2027" s="8" t="n">
        <f aca="false">MIN(100,ROUND(100*J2027/Assumptions!$B$8,0))</f>
        <v>78</v>
      </c>
      <c r="Q2027" s="8" t="n">
        <f aca="false">IF(L2027="",Assumptions!$B$9,L2027*10)</f>
        <v>70</v>
      </c>
      <c r="R2027" s="8" t="n">
        <f aca="false">IF(M2027&lt;=1,Assumptions!$B$12,IF(M2027&lt;=3,Assumptions!$B$13,IF(M2027&lt;=6,Assumptions!$B$14,Assumptions!$B$15)))</f>
        <v>75</v>
      </c>
      <c r="S2027" s="8" t="n">
        <f aca="false">IF(N2027="Completed On Time",Assumptions!$B$16,IF(N2027="Completed Late",Assumptions!$B$17,Assumptions!$B$18))</f>
        <v>100</v>
      </c>
      <c r="T2027" s="8" t="n">
        <f aca="false">IF(I2027=0,Assumptions!$B$20,IF(H2027&gt;I2027,Assumptions!$B$19,IF(H2027=I2027,Assumptions!$B$20,Assumptions!$B$21)))</f>
        <v>70</v>
      </c>
      <c r="U2027" s="8" t="n">
        <f aca="false">ROUND(P2027*Assumptions!$B$2+Q2027*Assumptions!$B$3+R2027*Assumptions!$B$4+S2027*Assumptions!$B$5+T2027*Assumptions!$B$6,0)</f>
        <v>77</v>
      </c>
      <c r="V2027" s="8" t="str">
        <f aca="false">IF(U2027&gt;=Assumptions!$B$10,"Healthy",IF(U2027&gt;=Assumptions!$B$11,"Needs Attention","High Risk"))</f>
        <v>Needs Attention</v>
      </c>
    </row>
    <row r="2028" customFormat="false" ht="15" hidden="false" customHeight="false" outlineLevel="0" collapsed="false">
      <c r="A2028" s="8" t="s">
        <v>4198</v>
      </c>
      <c r="B2028" s="8" t="s">
        <v>4199</v>
      </c>
      <c r="C2028" s="8" t="s">
        <v>51</v>
      </c>
      <c r="D2028" s="8" t="s">
        <v>2027</v>
      </c>
      <c r="E2028" s="8" t="s">
        <v>117</v>
      </c>
      <c r="F2028" s="8" t="s">
        <v>118</v>
      </c>
      <c r="G2028" s="8" t="s">
        <v>129</v>
      </c>
      <c r="H2028" s="15" t="n">
        <v>108</v>
      </c>
      <c r="I2028" s="15" t="n">
        <v>108</v>
      </c>
      <c r="J2028" s="16" t="n">
        <v>0.593</v>
      </c>
      <c r="K2028" s="8" t="n">
        <v>6.7</v>
      </c>
      <c r="L2028" s="8" t="n">
        <v>6</v>
      </c>
      <c r="M2028" s="8" t="n">
        <v>4</v>
      </c>
      <c r="N2028" s="8" t="s">
        <v>120</v>
      </c>
      <c r="O2028" s="15" t="n">
        <f aca="false">H2028*12</f>
        <v>1296</v>
      </c>
      <c r="P2028" s="8" t="n">
        <f aca="false">MIN(100,ROUND(100*J2028/Assumptions!$B$8,0))</f>
        <v>66</v>
      </c>
      <c r="Q2028" s="8" t="n">
        <f aca="false">IF(L2028="",Assumptions!$B$9,L2028*10)</f>
        <v>60</v>
      </c>
      <c r="R2028" s="8" t="n">
        <f aca="false">IF(M2028&lt;=1,Assumptions!$B$12,IF(M2028&lt;=3,Assumptions!$B$13,IF(M2028&lt;=6,Assumptions!$B$14,Assumptions!$B$15)))</f>
        <v>50</v>
      </c>
      <c r="S2028" s="8" t="n">
        <f aca="false">IF(N2028="Completed On Time",Assumptions!$B$16,IF(N2028="Completed Late",Assumptions!$B$17,Assumptions!$B$18))</f>
        <v>100</v>
      </c>
      <c r="T2028" s="8" t="n">
        <f aca="false">IF(I2028=0,Assumptions!$B$20,IF(H2028&gt;I2028,Assumptions!$B$19,IF(H2028=I2028,Assumptions!$B$20,Assumptions!$B$21)))</f>
        <v>70</v>
      </c>
      <c r="U2028" s="8" t="n">
        <f aca="false">ROUND(P2028*Assumptions!$B$2+Q2028*Assumptions!$B$3+R2028*Assumptions!$B$4+S2028*Assumptions!$B$5+T2028*Assumptions!$B$6,0)</f>
        <v>67</v>
      </c>
      <c r="V2028" s="8" t="str">
        <f aca="false">IF(U2028&gt;=Assumptions!$B$10,"Healthy",IF(U2028&gt;=Assumptions!$B$11,"Needs Attention","High Risk"))</f>
        <v>Needs Attention</v>
      </c>
    </row>
    <row r="2029" customFormat="false" ht="15" hidden="false" customHeight="false" outlineLevel="0" collapsed="false">
      <c r="A2029" s="8" t="s">
        <v>4200</v>
      </c>
      <c r="B2029" s="8" t="s">
        <v>4201</v>
      </c>
      <c r="C2029" s="8" t="s">
        <v>51</v>
      </c>
      <c r="D2029" s="8" t="s">
        <v>2027</v>
      </c>
      <c r="E2029" s="8" t="s">
        <v>132</v>
      </c>
      <c r="F2029" s="8" t="s">
        <v>223</v>
      </c>
      <c r="G2029" s="8" t="s">
        <v>140</v>
      </c>
      <c r="H2029" s="15" t="n">
        <v>108</v>
      </c>
      <c r="I2029" s="15" t="n">
        <v>108</v>
      </c>
      <c r="J2029" s="16" t="n">
        <v>0.852</v>
      </c>
      <c r="K2029" s="8" t="n">
        <v>11</v>
      </c>
      <c r="L2029" s="8" t="n">
        <v>8</v>
      </c>
      <c r="M2029" s="8" t="n">
        <v>0</v>
      </c>
      <c r="N2029" s="8" t="s">
        <v>120</v>
      </c>
      <c r="O2029" s="15" t="n">
        <f aca="false">H2029*12</f>
        <v>1296</v>
      </c>
      <c r="P2029" s="8" t="n">
        <f aca="false">MIN(100,ROUND(100*J2029/Assumptions!$B$8,0))</f>
        <v>95</v>
      </c>
      <c r="Q2029" s="8" t="n">
        <f aca="false">IF(L2029="",Assumptions!$B$9,L2029*10)</f>
        <v>80</v>
      </c>
      <c r="R2029" s="8" t="n">
        <f aca="false">IF(M2029&lt;=1,Assumptions!$B$12,IF(M2029&lt;=3,Assumptions!$B$13,IF(M2029&lt;=6,Assumptions!$B$14,Assumptions!$B$15)))</f>
        <v>100</v>
      </c>
      <c r="S2029" s="8" t="n">
        <f aca="false">IF(N2029="Completed On Time",Assumptions!$B$16,IF(N2029="Completed Late",Assumptions!$B$17,Assumptions!$B$18))</f>
        <v>100</v>
      </c>
      <c r="T2029" s="8" t="n">
        <f aca="false">IF(I2029=0,Assumptions!$B$20,IF(H2029&gt;I2029,Assumptions!$B$19,IF(H2029=I2029,Assumptions!$B$20,Assumptions!$B$21)))</f>
        <v>70</v>
      </c>
      <c r="U2029" s="8" t="n">
        <f aca="false">ROUND(P2029*Assumptions!$B$2+Q2029*Assumptions!$B$3+R2029*Assumptions!$B$4+S2029*Assumptions!$B$5+T2029*Assumptions!$B$6,0)</f>
        <v>88</v>
      </c>
      <c r="V2029" s="8" t="str">
        <f aca="false">IF(U2029&gt;=Assumptions!$B$10,"Healthy",IF(U2029&gt;=Assumptions!$B$11,"Needs Attention","High Risk"))</f>
        <v>Healthy</v>
      </c>
    </row>
    <row r="2030" customFormat="false" ht="15" hidden="false" customHeight="false" outlineLevel="0" collapsed="false">
      <c r="A2030" s="8" t="s">
        <v>4202</v>
      </c>
      <c r="B2030" s="8" t="s">
        <v>4203</v>
      </c>
      <c r="C2030" s="8" t="s">
        <v>51</v>
      </c>
      <c r="D2030" s="8" t="s">
        <v>2027</v>
      </c>
      <c r="E2030" s="8" t="s">
        <v>132</v>
      </c>
      <c r="F2030" s="8" t="s">
        <v>151</v>
      </c>
      <c r="G2030" s="8" t="s">
        <v>159</v>
      </c>
      <c r="H2030" s="15" t="n">
        <v>108</v>
      </c>
      <c r="I2030" s="15" t="n">
        <v>108</v>
      </c>
      <c r="J2030" s="16" t="n">
        <v>0.593</v>
      </c>
      <c r="K2030" s="8" t="n">
        <v>7</v>
      </c>
      <c r="L2030" s="8" t="n">
        <v>6</v>
      </c>
      <c r="M2030" s="8" t="n">
        <v>5</v>
      </c>
      <c r="N2030" s="8" t="s">
        <v>120</v>
      </c>
      <c r="O2030" s="15" t="n">
        <f aca="false">H2030*12</f>
        <v>1296</v>
      </c>
      <c r="P2030" s="8" t="n">
        <f aca="false">MIN(100,ROUND(100*J2030/Assumptions!$B$8,0))</f>
        <v>66</v>
      </c>
      <c r="Q2030" s="8" t="n">
        <f aca="false">IF(L2030="",Assumptions!$B$9,L2030*10)</f>
        <v>60</v>
      </c>
      <c r="R2030" s="8" t="n">
        <f aca="false">IF(M2030&lt;=1,Assumptions!$B$12,IF(M2030&lt;=3,Assumptions!$B$13,IF(M2030&lt;=6,Assumptions!$B$14,Assumptions!$B$15)))</f>
        <v>50</v>
      </c>
      <c r="S2030" s="8" t="n">
        <f aca="false">IF(N2030="Completed On Time",Assumptions!$B$16,IF(N2030="Completed Late",Assumptions!$B$17,Assumptions!$B$18))</f>
        <v>100</v>
      </c>
      <c r="T2030" s="8" t="n">
        <f aca="false">IF(I2030=0,Assumptions!$B$20,IF(H2030&gt;I2030,Assumptions!$B$19,IF(H2030=I2030,Assumptions!$B$20,Assumptions!$B$21)))</f>
        <v>70</v>
      </c>
      <c r="U2030" s="8" t="n">
        <f aca="false">ROUND(P2030*Assumptions!$B$2+Q2030*Assumptions!$B$3+R2030*Assumptions!$B$4+S2030*Assumptions!$B$5+T2030*Assumptions!$B$6,0)</f>
        <v>67</v>
      </c>
      <c r="V2030" s="8" t="str">
        <f aca="false">IF(U2030&gt;=Assumptions!$B$10,"Healthy",IF(U2030&gt;=Assumptions!$B$11,"Needs Attention","High Risk"))</f>
        <v>Needs Attention</v>
      </c>
    </row>
    <row r="2031" customFormat="false" ht="15" hidden="false" customHeight="false" outlineLevel="0" collapsed="false">
      <c r="A2031" s="8" t="s">
        <v>4204</v>
      </c>
      <c r="B2031" s="8" t="s">
        <v>4205</v>
      </c>
      <c r="C2031" s="8" t="s">
        <v>51</v>
      </c>
      <c r="D2031" s="8" t="s">
        <v>2027</v>
      </c>
      <c r="E2031" s="8" t="s">
        <v>123</v>
      </c>
      <c r="F2031" s="8" t="s">
        <v>124</v>
      </c>
      <c r="G2031" s="8" t="s">
        <v>144</v>
      </c>
      <c r="H2031" s="15" t="n">
        <v>108</v>
      </c>
      <c r="I2031" s="15" t="n">
        <v>96</v>
      </c>
      <c r="J2031" s="16" t="n">
        <v>0.963</v>
      </c>
      <c r="K2031" s="8" t="n">
        <v>11.7</v>
      </c>
      <c r="L2031" s="8" t="n">
        <v>8</v>
      </c>
      <c r="M2031" s="8" t="n">
        <v>1</v>
      </c>
      <c r="N2031" s="8" t="s">
        <v>120</v>
      </c>
      <c r="O2031" s="15" t="n">
        <f aca="false">H2031*12</f>
        <v>1296</v>
      </c>
      <c r="P2031" s="8" t="n">
        <f aca="false">MIN(100,ROUND(100*J2031/Assumptions!$B$8,0))</f>
        <v>100</v>
      </c>
      <c r="Q2031" s="8" t="n">
        <f aca="false">IF(L2031="",Assumptions!$B$9,L2031*10)</f>
        <v>80</v>
      </c>
      <c r="R2031" s="8" t="n">
        <f aca="false">IF(M2031&lt;=1,Assumptions!$B$12,IF(M2031&lt;=3,Assumptions!$B$13,IF(M2031&lt;=6,Assumptions!$B$14,Assumptions!$B$15)))</f>
        <v>100</v>
      </c>
      <c r="S2031" s="8" t="n">
        <f aca="false">IF(N2031="Completed On Time",Assumptions!$B$16,IF(N2031="Completed Late",Assumptions!$B$17,Assumptions!$B$18))</f>
        <v>100</v>
      </c>
      <c r="T2031" s="8" t="n">
        <f aca="false">IF(I2031=0,Assumptions!$B$20,IF(H2031&gt;I2031,Assumptions!$B$19,IF(H2031=I2031,Assumptions!$B$20,Assumptions!$B$21)))</f>
        <v>100</v>
      </c>
      <c r="U2031" s="8" t="n">
        <f aca="false">ROUND(P2031*Assumptions!$B$2+Q2031*Assumptions!$B$3+R2031*Assumptions!$B$4+S2031*Assumptions!$B$5+T2031*Assumptions!$B$6,0)</f>
        <v>96</v>
      </c>
      <c r="V2031" s="8" t="str">
        <f aca="false">IF(U2031&gt;=Assumptions!$B$10,"Healthy",IF(U2031&gt;=Assumptions!$B$11,"Needs Attention","High Risk"))</f>
        <v>Healthy</v>
      </c>
    </row>
    <row r="2032" customFormat="false" ht="15" hidden="false" customHeight="false" outlineLevel="0" collapsed="false">
      <c r="A2032" s="8" t="s">
        <v>4206</v>
      </c>
      <c r="B2032" s="8" t="s">
        <v>4207</v>
      </c>
      <c r="C2032" s="8" t="s">
        <v>51</v>
      </c>
      <c r="D2032" s="8" t="s">
        <v>326</v>
      </c>
      <c r="E2032" s="8" t="s">
        <v>123</v>
      </c>
      <c r="F2032" s="8" t="s">
        <v>223</v>
      </c>
      <c r="G2032" s="8" t="s">
        <v>159</v>
      </c>
      <c r="H2032" s="15" t="n">
        <v>100</v>
      </c>
      <c r="I2032" s="15" t="n">
        <v>100</v>
      </c>
      <c r="J2032" s="16" t="n">
        <v>0.833</v>
      </c>
      <c r="K2032" s="8" t="n">
        <v>10</v>
      </c>
      <c r="L2032" s="8" t="n">
        <v>9</v>
      </c>
      <c r="M2032" s="8" t="n">
        <v>0</v>
      </c>
      <c r="N2032" s="8" t="s">
        <v>120</v>
      </c>
      <c r="O2032" s="15" t="n">
        <f aca="false">H2032*12</f>
        <v>1200</v>
      </c>
      <c r="P2032" s="8" t="n">
        <f aca="false">MIN(100,ROUND(100*J2032/Assumptions!$B$8,0))</f>
        <v>93</v>
      </c>
      <c r="Q2032" s="8" t="n">
        <f aca="false">IF(L2032="",Assumptions!$B$9,L2032*10)</f>
        <v>90</v>
      </c>
      <c r="R2032" s="8" t="n">
        <f aca="false">IF(M2032&lt;=1,Assumptions!$B$12,IF(M2032&lt;=3,Assumptions!$B$13,IF(M2032&lt;=6,Assumptions!$B$14,Assumptions!$B$15)))</f>
        <v>100</v>
      </c>
      <c r="S2032" s="8" t="n">
        <f aca="false">IF(N2032="Completed On Time",Assumptions!$B$16,IF(N2032="Completed Late",Assumptions!$B$17,Assumptions!$B$18))</f>
        <v>100</v>
      </c>
      <c r="T2032" s="8" t="n">
        <f aca="false">IF(I2032=0,Assumptions!$B$20,IF(H2032&gt;I2032,Assumptions!$B$19,IF(H2032=I2032,Assumptions!$B$20,Assumptions!$B$21)))</f>
        <v>70</v>
      </c>
      <c r="U2032" s="8" t="n">
        <f aca="false">ROUND(P2032*Assumptions!$B$2+Q2032*Assumptions!$B$3+R2032*Assumptions!$B$4+S2032*Assumptions!$B$5+T2032*Assumptions!$B$6,0)</f>
        <v>90</v>
      </c>
      <c r="V2032" s="8" t="str">
        <f aca="false">IF(U2032&gt;=Assumptions!$B$10,"Healthy",IF(U2032&gt;=Assumptions!$B$11,"Needs Attention","High Risk"))</f>
        <v>Healthy</v>
      </c>
    </row>
    <row r="2033" customFormat="false" ht="15" hidden="false" customHeight="false" outlineLevel="0" collapsed="false">
      <c r="A2033" s="8" t="s">
        <v>4208</v>
      </c>
      <c r="B2033" s="8" t="s">
        <v>4209</v>
      </c>
      <c r="C2033" s="8" t="s">
        <v>51</v>
      </c>
      <c r="D2033" s="8" t="s">
        <v>2027</v>
      </c>
      <c r="E2033" s="8" t="s">
        <v>123</v>
      </c>
      <c r="F2033" s="8" t="s">
        <v>190</v>
      </c>
      <c r="G2033" s="8" t="s">
        <v>125</v>
      </c>
      <c r="H2033" s="15" t="n">
        <v>96</v>
      </c>
      <c r="I2033" s="15" t="n">
        <v>96</v>
      </c>
      <c r="J2033" s="16" t="n">
        <v>0.75</v>
      </c>
      <c r="K2033" s="8" t="n">
        <v>10</v>
      </c>
      <c r="L2033" s="8" t="n">
        <v>7</v>
      </c>
      <c r="M2033" s="8" t="n">
        <v>2</v>
      </c>
      <c r="N2033" s="8" t="s">
        <v>120</v>
      </c>
      <c r="O2033" s="15" t="n">
        <f aca="false">H2033*12</f>
        <v>1152</v>
      </c>
      <c r="P2033" s="8" t="n">
        <f aca="false">MIN(100,ROUND(100*J2033/Assumptions!$B$8,0))</f>
        <v>83</v>
      </c>
      <c r="Q2033" s="8" t="n">
        <f aca="false">IF(L2033="",Assumptions!$B$9,L2033*10)</f>
        <v>70</v>
      </c>
      <c r="R2033" s="8" t="n">
        <f aca="false">IF(M2033&lt;=1,Assumptions!$B$12,IF(M2033&lt;=3,Assumptions!$B$13,IF(M2033&lt;=6,Assumptions!$B$14,Assumptions!$B$15)))</f>
        <v>75</v>
      </c>
      <c r="S2033" s="8" t="n">
        <f aca="false">IF(N2033="Completed On Time",Assumptions!$B$16,IF(N2033="Completed Late",Assumptions!$B$17,Assumptions!$B$18))</f>
        <v>100</v>
      </c>
      <c r="T2033" s="8" t="n">
        <f aca="false">IF(I2033=0,Assumptions!$B$20,IF(H2033&gt;I2033,Assumptions!$B$19,IF(H2033=I2033,Assumptions!$B$20,Assumptions!$B$21)))</f>
        <v>70</v>
      </c>
      <c r="U2033" s="8" t="n">
        <f aca="false">ROUND(P2033*Assumptions!$B$2+Q2033*Assumptions!$B$3+R2033*Assumptions!$B$4+S2033*Assumptions!$B$5+T2033*Assumptions!$B$6,0)</f>
        <v>78</v>
      </c>
      <c r="V2033" s="8" t="str">
        <f aca="false">IF(U2033&gt;=Assumptions!$B$10,"Healthy",IF(U2033&gt;=Assumptions!$B$11,"Needs Attention","High Risk"))</f>
        <v>Needs Attention</v>
      </c>
    </row>
    <row r="2034" customFormat="false" ht="15" hidden="false" customHeight="false" outlineLevel="0" collapsed="false">
      <c r="A2034" s="8" t="s">
        <v>4210</v>
      </c>
      <c r="B2034" s="8" t="s">
        <v>4211</v>
      </c>
      <c r="C2034" s="8" t="s">
        <v>51</v>
      </c>
      <c r="D2034" s="8" t="s">
        <v>2027</v>
      </c>
      <c r="E2034" s="8" t="s">
        <v>123</v>
      </c>
      <c r="F2034" s="8" t="s">
        <v>118</v>
      </c>
      <c r="G2034" s="8" t="s">
        <v>119</v>
      </c>
      <c r="H2034" s="15" t="n">
        <v>96</v>
      </c>
      <c r="I2034" s="15" t="n">
        <v>96</v>
      </c>
      <c r="J2034" s="16" t="n">
        <v>0.75</v>
      </c>
      <c r="K2034" s="8" t="n">
        <v>9.7</v>
      </c>
      <c r="L2034" s="8" t="n">
        <v>7</v>
      </c>
      <c r="M2034" s="8" t="n">
        <v>3</v>
      </c>
      <c r="N2034" s="8" t="s">
        <v>120</v>
      </c>
      <c r="O2034" s="15" t="n">
        <f aca="false">H2034*12</f>
        <v>1152</v>
      </c>
      <c r="P2034" s="8" t="n">
        <f aca="false">MIN(100,ROUND(100*J2034/Assumptions!$B$8,0))</f>
        <v>83</v>
      </c>
      <c r="Q2034" s="8" t="n">
        <f aca="false">IF(L2034="",Assumptions!$B$9,L2034*10)</f>
        <v>70</v>
      </c>
      <c r="R2034" s="8" t="n">
        <f aca="false">IF(M2034&lt;=1,Assumptions!$B$12,IF(M2034&lt;=3,Assumptions!$B$13,IF(M2034&lt;=6,Assumptions!$B$14,Assumptions!$B$15)))</f>
        <v>75</v>
      </c>
      <c r="S2034" s="8" t="n">
        <f aca="false">IF(N2034="Completed On Time",Assumptions!$B$16,IF(N2034="Completed Late",Assumptions!$B$17,Assumptions!$B$18))</f>
        <v>100</v>
      </c>
      <c r="T2034" s="8" t="n">
        <f aca="false">IF(I2034=0,Assumptions!$B$20,IF(H2034&gt;I2034,Assumptions!$B$19,IF(H2034=I2034,Assumptions!$B$20,Assumptions!$B$21)))</f>
        <v>70</v>
      </c>
      <c r="U2034" s="8" t="n">
        <f aca="false">ROUND(P2034*Assumptions!$B$2+Q2034*Assumptions!$B$3+R2034*Assumptions!$B$4+S2034*Assumptions!$B$5+T2034*Assumptions!$B$6,0)</f>
        <v>78</v>
      </c>
      <c r="V2034" s="8" t="str">
        <f aca="false">IF(U2034&gt;=Assumptions!$B$10,"Healthy",IF(U2034&gt;=Assumptions!$B$11,"Needs Attention","High Risk"))</f>
        <v>Needs Attention</v>
      </c>
    </row>
    <row r="2035" customFormat="false" ht="15" hidden="false" customHeight="false" outlineLevel="0" collapsed="false">
      <c r="A2035" s="8" t="s">
        <v>4212</v>
      </c>
      <c r="B2035" s="8" t="s">
        <v>4213</v>
      </c>
      <c r="C2035" s="8" t="s">
        <v>51</v>
      </c>
      <c r="D2035" s="8" t="s">
        <v>2027</v>
      </c>
      <c r="E2035" s="8" t="s">
        <v>123</v>
      </c>
      <c r="F2035" s="8" t="s">
        <v>133</v>
      </c>
      <c r="G2035" s="8" t="s">
        <v>177</v>
      </c>
      <c r="H2035" s="15" t="n">
        <v>96</v>
      </c>
      <c r="I2035" s="15" t="n">
        <v>96</v>
      </c>
      <c r="J2035" s="16" t="n">
        <v>0.667</v>
      </c>
      <c r="K2035" s="8" t="n">
        <v>7.3</v>
      </c>
      <c r="L2035" s="8" t="n">
        <v>6</v>
      </c>
      <c r="M2035" s="8" t="n">
        <v>6</v>
      </c>
      <c r="N2035" s="8" t="s">
        <v>120</v>
      </c>
      <c r="O2035" s="15" t="n">
        <f aca="false">H2035*12</f>
        <v>1152</v>
      </c>
      <c r="P2035" s="8" t="n">
        <f aca="false">MIN(100,ROUND(100*J2035/Assumptions!$B$8,0))</f>
        <v>74</v>
      </c>
      <c r="Q2035" s="8" t="n">
        <f aca="false">IF(L2035="",Assumptions!$B$9,L2035*10)</f>
        <v>60</v>
      </c>
      <c r="R2035" s="8" t="n">
        <f aca="false">IF(M2035&lt;=1,Assumptions!$B$12,IF(M2035&lt;=3,Assumptions!$B$13,IF(M2035&lt;=6,Assumptions!$B$14,Assumptions!$B$15)))</f>
        <v>50</v>
      </c>
      <c r="S2035" s="8" t="n">
        <f aca="false">IF(N2035="Completed On Time",Assumptions!$B$16,IF(N2035="Completed Late",Assumptions!$B$17,Assumptions!$B$18))</f>
        <v>100</v>
      </c>
      <c r="T2035" s="8" t="n">
        <f aca="false">IF(I2035=0,Assumptions!$B$20,IF(H2035&gt;I2035,Assumptions!$B$19,IF(H2035=I2035,Assumptions!$B$20,Assumptions!$B$21)))</f>
        <v>70</v>
      </c>
      <c r="U2035" s="8" t="n">
        <f aca="false">ROUND(P2035*Assumptions!$B$2+Q2035*Assumptions!$B$3+R2035*Assumptions!$B$4+S2035*Assumptions!$B$5+T2035*Assumptions!$B$6,0)</f>
        <v>69</v>
      </c>
      <c r="V2035" s="8" t="str">
        <f aca="false">IF(U2035&gt;=Assumptions!$B$10,"Healthy",IF(U2035&gt;=Assumptions!$B$11,"Needs Attention","High Risk"))</f>
        <v>Needs Attention</v>
      </c>
    </row>
    <row r="2036" customFormat="false" ht="15" hidden="false" customHeight="false" outlineLevel="0" collapsed="false">
      <c r="A2036" s="8" t="s">
        <v>4214</v>
      </c>
      <c r="B2036" s="8" t="s">
        <v>4215</v>
      </c>
      <c r="C2036" s="8" t="s">
        <v>51</v>
      </c>
      <c r="D2036" s="8" t="s">
        <v>2027</v>
      </c>
      <c r="E2036" s="8" t="s">
        <v>128</v>
      </c>
      <c r="F2036" s="8" t="s">
        <v>151</v>
      </c>
      <c r="G2036" s="8" t="s">
        <v>177</v>
      </c>
      <c r="H2036" s="15" t="n">
        <v>96</v>
      </c>
      <c r="I2036" s="15" t="n">
        <v>96</v>
      </c>
      <c r="J2036" s="16" t="n">
        <v>0.792</v>
      </c>
      <c r="K2036" s="8" t="n">
        <v>9.3</v>
      </c>
      <c r="L2036" s="8" t="n">
        <v>7</v>
      </c>
      <c r="M2036" s="8" t="n">
        <v>3</v>
      </c>
      <c r="N2036" s="8" t="s">
        <v>120</v>
      </c>
      <c r="O2036" s="15" t="n">
        <f aca="false">H2036*12</f>
        <v>1152</v>
      </c>
      <c r="P2036" s="8" t="n">
        <f aca="false">MIN(100,ROUND(100*J2036/Assumptions!$B$8,0))</f>
        <v>88</v>
      </c>
      <c r="Q2036" s="8" t="n">
        <f aca="false">IF(L2036="",Assumptions!$B$9,L2036*10)</f>
        <v>70</v>
      </c>
      <c r="R2036" s="8" t="n">
        <f aca="false">IF(M2036&lt;=1,Assumptions!$B$12,IF(M2036&lt;=3,Assumptions!$B$13,IF(M2036&lt;=6,Assumptions!$B$14,Assumptions!$B$15)))</f>
        <v>75</v>
      </c>
      <c r="S2036" s="8" t="n">
        <f aca="false">IF(N2036="Completed On Time",Assumptions!$B$16,IF(N2036="Completed Late",Assumptions!$B$17,Assumptions!$B$18))</f>
        <v>100</v>
      </c>
      <c r="T2036" s="8" t="n">
        <f aca="false">IF(I2036=0,Assumptions!$B$20,IF(H2036&gt;I2036,Assumptions!$B$19,IF(H2036=I2036,Assumptions!$B$20,Assumptions!$B$21)))</f>
        <v>70</v>
      </c>
      <c r="U2036" s="8" t="n">
        <f aca="false">ROUND(P2036*Assumptions!$B$2+Q2036*Assumptions!$B$3+R2036*Assumptions!$B$4+S2036*Assumptions!$B$5+T2036*Assumptions!$B$6,0)</f>
        <v>80</v>
      </c>
      <c r="V2036" s="8" t="str">
        <f aca="false">IF(U2036&gt;=Assumptions!$B$10,"Healthy",IF(U2036&gt;=Assumptions!$B$11,"Needs Attention","High Risk"))</f>
        <v>Healthy</v>
      </c>
    </row>
    <row r="2037" customFormat="false" ht="15" hidden="false" customHeight="false" outlineLevel="0" collapsed="false">
      <c r="A2037" s="8" t="s">
        <v>4216</v>
      </c>
      <c r="B2037" s="8" t="s">
        <v>4217</v>
      </c>
      <c r="C2037" s="8" t="s">
        <v>51</v>
      </c>
      <c r="D2037" s="8" t="s">
        <v>2027</v>
      </c>
      <c r="E2037" s="8" t="s">
        <v>117</v>
      </c>
      <c r="F2037" s="8" t="s">
        <v>223</v>
      </c>
      <c r="G2037" s="8" t="s">
        <v>125</v>
      </c>
      <c r="H2037" s="15" t="n">
        <v>96</v>
      </c>
      <c r="I2037" s="15" t="n">
        <v>96</v>
      </c>
      <c r="J2037" s="16" t="n">
        <v>0.667</v>
      </c>
      <c r="K2037" s="8" t="n">
        <v>8.3</v>
      </c>
      <c r="L2037" s="8" t="n">
        <v>8</v>
      </c>
      <c r="M2037" s="8" t="n">
        <v>3</v>
      </c>
      <c r="N2037" s="8" t="s">
        <v>120</v>
      </c>
      <c r="O2037" s="15" t="n">
        <f aca="false">H2037*12</f>
        <v>1152</v>
      </c>
      <c r="P2037" s="8" t="n">
        <f aca="false">MIN(100,ROUND(100*J2037/Assumptions!$B$8,0))</f>
        <v>74</v>
      </c>
      <c r="Q2037" s="8" t="n">
        <f aca="false">IF(L2037="",Assumptions!$B$9,L2037*10)</f>
        <v>80</v>
      </c>
      <c r="R2037" s="8" t="n">
        <f aca="false">IF(M2037&lt;=1,Assumptions!$B$12,IF(M2037&lt;=3,Assumptions!$B$13,IF(M2037&lt;=6,Assumptions!$B$14,Assumptions!$B$15)))</f>
        <v>75</v>
      </c>
      <c r="S2037" s="8" t="n">
        <f aca="false">IF(N2037="Completed On Time",Assumptions!$B$16,IF(N2037="Completed Late",Assumptions!$B$17,Assumptions!$B$18))</f>
        <v>100</v>
      </c>
      <c r="T2037" s="8" t="n">
        <f aca="false">IF(I2037=0,Assumptions!$B$20,IF(H2037&gt;I2037,Assumptions!$B$19,IF(H2037=I2037,Assumptions!$B$20,Assumptions!$B$21)))</f>
        <v>70</v>
      </c>
      <c r="U2037" s="8" t="n">
        <f aca="false">ROUND(P2037*Assumptions!$B$2+Q2037*Assumptions!$B$3+R2037*Assumptions!$B$4+S2037*Assumptions!$B$5+T2037*Assumptions!$B$6,0)</f>
        <v>77</v>
      </c>
      <c r="V2037" s="8" t="str">
        <f aca="false">IF(U2037&gt;=Assumptions!$B$10,"Healthy",IF(U2037&gt;=Assumptions!$B$11,"Needs Attention","High Risk"))</f>
        <v>Needs Attention</v>
      </c>
    </row>
    <row r="2038" customFormat="false" ht="15" hidden="false" customHeight="false" outlineLevel="0" collapsed="false">
      <c r="A2038" s="8" t="s">
        <v>4218</v>
      </c>
      <c r="B2038" s="8" t="s">
        <v>4219</v>
      </c>
      <c r="C2038" s="8" t="s">
        <v>51</v>
      </c>
      <c r="D2038" s="8" t="s">
        <v>2027</v>
      </c>
      <c r="E2038" s="8" t="s">
        <v>123</v>
      </c>
      <c r="F2038" s="8" t="s">
        <v>143</v>
      </c>
      <c r="G2038" s="8" t="s">
        <v>140</v>
      </c>
      <c r="H2038" s="15" t="n">
        <v>96</v>
      </c>
      <c r="I2038" s="15" t="n">
        <v>96</v>
      </c>
      <c r="J2038" s="16" t="n">
        <v>0.708</v>
      </c>
      <c r="K2038" s="8" t="n">
        <v>8.3</v>
      </c>
      <c r="L2038" s="8" t="n">
        <v>7</v>
      </c>
      <c r="M2038" s="8" t="n">
        <v>6</v>
      </c>
      <c r="N2038" s="8" t="s">
        <v>120</v>
      </c>
      <c r="O2038" s="15" t="n">
        <f aca="false">H2038*12</f>
        <v>1152</v>
      </c>
      <c r="P2038" s="8" t="n">
        <f aca="false">MIN(100,ROUND(100*J2038/Assumptions!$B$8,0))</f>
        <v>79</v>
      </c>
      <c r="Q2038" s="8" t="n">
        <f aca="false">IF(L2038="",Assumptions!$B$9,L2038*10)</f>
        <v>70</v>
      </c>
      <c r="R2038" s="8" t="n">
        <f aca="false">IF(M2038&lt;=1,Assumptions!$B$12,IF(M2038&lt;=3,Assumptions!$B$13,IF(M2038&lt;=6,Assumptions!$B$14,Assumptions!$B$15)))</f>
        <v>50</v>
      </c>
      <c r="S2038" s="8" t="n">
        <f aca="false">IF(N2038="Completed On Time",Assumptions!$B$16,IF(N2038="Completed Late",Assumptions!$B$17,Assumptions!$B$18))</f>
        <v>100</v>
      </c>
      <c r="T2038" s="8" t="n">
        <f aca="false">IF(I2038=0,Assumptions!$B$20,IF(H2038&gt;I2038,Assumptions!$B$19,IF(H2038=I2038,Assumptions!$B$20,Assumptions!$B$21)))</f>
        <v>70</v>
      </c>
      <c r="U2038" s="8" t="n">
        <f aca="false">ROUND(P2038*Assumptions!$B$2+Q2038*Assumptions!$B$3+R2038*Assumptions!$B$4+S2038*Assumptions!$B$5+T2038*Assumptions!$B$6,0)</f>
        <v>73</v>
      </c>
      <c r="V2038" s="8" t="str">
        <f aca="false">IF(U2038&gt;=Assumptions!$B$10,"Healthy",IF(U2038&gt;=Assumptions!$B$11,"Needs Attention","High Risk"))</f>
        <v>Needs Attention</v>
      </c>
    </row>
    <row r="2039" customFormat="false" ht="15" hidden="false" customHeight="false" outlineLevel="0" collapsed="false">
      <c r="A2039" s="8" t="s">
        <v>4220</v>
      </c>
      <c r="B2039" s="8" t="s">
        <v>4221</v>
      </c>
      <c r="C2039" s="8" t="s">
        <v>51</v>
      </c>
      <c r="D2039" s="8" t="s">
        <v>2027</v>
      </c>
      <c r="E2039" s="8" t="s">
        <v>123</v>
      </c>
      <c r="F2039" s="8" t="s">
        <v>223</v>
      </c>
      <c r="G2039" s="8" t="s">
        <v>140</v>
      </c>
      <c r="H2039" s="15" t="n">
        <v>96</v>
      </c>
      <c r="I2039" s="15" t="n">
        <v>96</v>
      </c>
      <c r="J2039" s="16" t="n">
        <v>0.542</v>
      </c>
      <c r="K2039" s="8" t="n">
        <v>7.7</v>
      </c>
      <c r="L2039" s="8" t="n">
        <v>9</v>
      </c>
      <c r="M2039" s="8" t="n">
        <v>4</v>
      </c>
      <c r="N2039" s="8" t="s">
        <v>120</v>
      </c>
      <c r="O2039" s="15" t="n">
        <f aca="false">H2039*12</f>
        <v>1152</v>
      </c>
      <c r="P2039" s="8" t="n">
        <f aca="false">MIN(100,ROUND(100*J2039/Assumptions!$B$8,0))</f>
        <v>60</v>
      </c>
      <c r="Q2039" s="8" t="n">
        <f aca="false">IF(L2039="",Assumptions!$B$9,L2039*10)</f>
        <v>90</v>
      </c>
      <c r="R2039" s="8" t="n">
        <f aca="false">IF(M2039&lt;=1,Assumptions!$B$12,IF(M2039&lt;=3,Assumptions!$B$13,IF(M2039&lt;=6,Assumptions!$B$14,Assumptions!$B$15)))</f>
        <v>50</v>
      </c>
      <c r="S2039" s="8" t="n">
        <f aca="false">IF(N2039="Completed On Time",Assumptions!$B$16,IF(N2039="Completed Late",Assumptions!$B$17,Assumptions!$B$18))</f>
        <v>100</v>
      </c>
      <c r="T2039" s="8" t="n">
        <f aca="false">IF(I2039=0,Assumptions!$B$20,IF(H2039&gt;I2039,Assumptions!$B$19,IF(H2039=I2039,Assumptions!$B$20,Assumptions!$B$21)))</f>
        <v>70</v>
      </c>
      <c r="U2039" s="8" t="n">
        <f aca="false">ROUND(P2039*Assumptions!$B$2+Q2039*Assumptions!$B$3+R2039*Assumptions!$B$4+S2039*Assumptions!$B$5+T2039*Assumptions!$B$6,0)</f>
        <v>71</v>
      </c>
      <c r="V2039" s="8" t="str">
        <f aca="false">IF(U2039&gt;=Assumptions!$B$10,"Healthy",IF(U2039&gt;=Assumptions!$B$11,"Needs Attention","High Risk"))</f>
        <v>Needs Attention</v>
      </c>
    </row>
    <row r="2040" customFormat="false" ht="15" hidden="false" customHeight="false" outlineLevel="0" collapsed="false">
      <c r="A2040" s="8" t="s">
        <v>4222</v>
      </c>
      <c r="B2040" s="8" t="s">
        <v>4223</v>
      </c>
      <c r="C2040" s="8" t="s">
        <v>51</v>
      </c>
      <c r="D2040" s="8" t="s">
        <v>2027</v>
      </c>
      <c r="E2040" s="8" t="s">
        <v>117</v>
      </c>
      <c r="F2040" s="8" t="s">
        <v>154</v>
      </c>
      <c r="G2040" s="8" t="s">
        <v>137</v>
      </c>
      <c r="H2040" s="15" t="n">
        <v>96</v>
      </c>
      <c r="I2040" s="15" t="n">
        <v>96</v>
      </c>
      <c r="J2040" s="16" t="n">
        <v>0.75</v>
      </c>
      <c r="K2040" s="8" t="n">
        <v>9.3</v>
      </c>
      <c r="L2040" s="8" t="n">
        <v>5</v>
      </c>
      <c r="M2040" s="8" t="n">
        <v>4</v>
      </c>
      <c r="N2040" s="8" t="s">
        <v>120</v>
      </c>
      <c r="O2040" s="15" t="n">
        <f aca="false">H2040*12</f>
        <v>1152</v>
      </c>
      <c r="P2040" s="8" t="n">
        <f aca="false">MIN(100,ROUND(100*J2040/Assumptions!$B$8,0))</f>
        <v>83</v>
      </c>
      <c r="Q2040" s="8" t="n">
        <f aca="false">IF(L2040="",Assumptions!$B$9,L2040*10)</f>
        <v>50</v>
      </c>
      <c r="R2040" s="8" t="n">
        <f aca="false">IF(M2040&lt;=1,Assumptions!$B$12,IF(M2040&lt;=3,Assumptions!$B$13,IF(M2040&lt;=6,Assumptions!$B$14,Assumptions!$B$15)))</f>
        <v>50</v>
      </c>
      <c r="S2040" s="8" t="n">
        <f aca="false">IF(N2040="Completed On Time",Assumptions!$B$16,IF(N2040="Completed Late",Assumptions!$B$17,Assumptions!$B$18))</f>
        <v>100</v>
      </c>
      <c r="T2040" s="8" t="n">
        <f aca="false">IF(I2040=0,Assumptions!$B$20,IF(H2040&gt;I2040,Assumptions!$B$19,IF(H2040=I2040,Assumptions!$B$20,Assumptions!$B$21)))</f>
        <v>70</v>
      </c>
      <c r="U2040" s="8" t="n">
        <f aca="false">ROUND(P2040*Assumptions!$B$2+Q2040*Assumptions!$B$3+R2040*Assumptions!$B$4+S2040*Assumptions!$B$5+T2040*Assumptions!$B$6,0)</f>
        <v>71</v>
      </c>
      <c r="V2040" s="8" t="str">
        <f aca="false">IF(U2040&gt;=Assumptions!$B$10,"Healthy",IF(U2040&gt;=Assumptions!$B$11,"Needs Attention","High Risk"))</f>
        <v>Needs Attention</v>
      </c>
    </row>
    <row r="2041" customFormat="false" ht="15" hidden="false" customHeight="false" outlineLevel="0" collapsed="false">
      <c r="A2041" s="8" t="s">
        <v>4224</v>
      </c>
      <c r="B2041" s="8" t="s">
        <v>4225</v>
      </c>
      <c r="C2041" s="8" t="s">
        <v>51</v>
      </c>
      <c r="D2041" s="8" t="s">
        <v>2027</v>
      </c>
      <c r="E2041" s="8" t="s">
        <v>123</v>
      </c>
      <c r="F2041" s="8" t="s">
        <v>143</v>
      </c>
      <c r="G2041" s="8" t="s">
        <v>119</v>
      </c>
      <c r="H2041" s="15" t="n">
        <v>96</v>
      </c>
      <c r="I2041" s="15" t="n">
        <v>96</v>
      </c>
      <c r="J2041" s="16" t="n">
        <v>0.667</v>
      </c>
      <c r="K2041" s="8" t="n">
        <v>5.3</v>
      </c>
      <c r="L2041" s="8" t="n">
        <v>9</v>
      </c>
      <c r="M2041" s="8" t="n">
        <v>2</v>
      </c>
      <c r="N2041" s="8" t="s">
        <v>148</v>
      </c>
      <c r="O2041" s="15" t="n">
        <f aca="false">H2041*12</f>
        <v>1152</v>
      </c>
      <c r="P2041" s="8" t="n">
        <f aca="false">MIN(100,ROUND(100*J2041/Assumptions!$B$8,0))</f>
        <v>74</v>
      </c>
      <c r="Q2041" s="8" t="n">
        <f aca="false">IF(L2041="",Assumptions!$B$9,L2041*10)</f>
        <v>90</v>
      </c>
      <c r="R2041" s="8" t="n">
        <f aca="false">IF(M2041&lt;=1,Assumptions!$B$12,IF(M2041&lt;=3,Assumptions!$B$13,IF(M2041&lt;=6,Assumptions!$B$14,Assumptions!$B$15)))</f>
        <v>75</v>
      </c>
      <c r="S2041" s="8" t="n">
        <f aca="false">IF(N2041="Completed On Time",Assumptions!$B$16,IF(N2041="Completed Late",Assumptions!$B$17,Assumptions!$B$18))</f>
        <v>60</v>
      </c>
      <c r="T2041" s="8" t="n">
        <f aca="false">IF(I2041=0,Assumptions!$B$20,IF(H2041&gt;I2041,Assumptions!$B$19,IF(H2041=I2041,Assumptions!$B$20,Assumptions!$B$21)))</f>
        <v>70</v>
      </c>
      <c r="U2041" s="8" t="n">
        <f aca="false">ROUND(P2041*Assumptions!$B$2+Q2041*Assumptions!$B$3+R2041*Assumptions!$B$4+S2041*Assumptions!$B$5+T2041*Assumptions!$B$6,0)</f>
        <v>75</v>
      </c>
      <c r="V2041" s="8" t="str">
        <f aca="false">IF(U2041&gt;=Assumptions!$B$10,"Healthy",IF(U2041&gt;=Assumptions!$B$11,"Needs Attention","High Risk"))</f>
        <v>Needs Attention</v>
      </c>
    </row>
    <row r="2042" customFormat="false" ht="15" hidden="false" customHeight="false" outlineLevel="0" collapsed="false">
      <c r="A2042" s="8" t="s">
        <v>4226</v>
      </c>
      <c r="B2042" s="8" t="s">
        <v>4227</v>
      </c>
      <c r="C2042" s="8" t="s">
        <v>51</v>
      </c>
      <c r="D2042" s="8" t="s">
        <v>2027</v>
      </c>
      <c r="E2042" s="8" t="s">
        <v>132</v>
      </c>
      <c r="F2042" s="8" t="s">
        <v>136</v>
      </c>
      <c r="G2042" s="8" t="s">
        <v>129</v>
      </c>
      <c r="H2042" s="15" t="n">
        <v>96</v>
      </c>
      <c r="I2042" s="15" t="n">
        <v>96</v>
      </c>
      <c r="J2042" s="16" t="n">
        <v>0.708</v>
      </c>
      <c r="K2042" s="8" t="n">
        <v>8</v>
      </c>
      <c r="L2042" s="8" t="n">
        <v>9</v>
      </c>
      <c r="M2042" s="8" t="n">
        <v>0</v>
      </c>
      <c r="N2042" s="8" t="s">
        <v>120</v>
      </c>
      <c r="O2042" s="15" t="n">
        <f aca="false">H2042*12</f>
        <v>1152</v>
      </c>
      <c r="P2042" s="8" t="n">
        <f aca="false">MIN(100,ROUND(100*J2042/Assumptions!$B$8,0))</f>
        <v>79</v>
      </c>
      <c r="Q2042" s="8" t="n">
        <f aca="false">IF(L2042="",Assumptions!$B$9,L2042*10)</f>
        <v>90</v>
      </c>
      <c r="R2042" s="8" t="n">
        <f aca="false">IF(M2042&lt;=1,Assumptions!$B$12,IF(M2042&lt;=3,Assumptions!$B$13,IF(M2042&lt;=6,Assumptions!$B$14,Assumptions!$B$15)))</f>
        <v>100</v>
      </c>
      <c r="S2042" s="8" t="n">
        <f aca="false">IF(N2042="Completed On Time",Assumptions!$B$16,IF(N2042="Completed Late",Assumptions!$B$17,Assumptions!$B$18))</f>
        <v>100</v>
      </c>
      <c r="T2042" s="8" t="n">
        <f aca="false">IF(I2042=0,Assumptions!$B$20,IF(H2042&gt;I2042,Assumptions!$B$19,IF(H2042=I2042,Assumptions!$B$20,Assumptions!$B$21)))</f>
        <v>70</v>
      </c>
      <c r="U2042" s="8" t="n">
        <f aca="false">ROUND(P2042*Assumptions!$B$2+Q2042*Assumptions!$B$3+R2042*Assumptions!$B$4+S2042*Assumptions!$B$5+T2042*Assumptions!$B$6,0)</f>
        <v>85</v>
      </c>
      <c r="V2042" s="8" t="str">
        <f aca="false">IF(U2042&gt;=Assumptions!$B$10,"Healthy",IF(U2042&gt;=Assumptions!$B$11,"Needs Attention","High Risk"))</f>
        <v>Healthy</v>
      </c>
    </row>
    <row r="2043" customFormat="false" ht="15" hidden="false" customHeight="false" outlineLevel="0" collapsed="false">
      <c r="A2043" s="8" t="s">
        <v>4228</v>
      </c>
      <c r="B2043" s="8" t="s">
        <v>4229</v>
      </c>
      <c r="C2043" s="8" t="s">
        <v>51</v>
      </c>
      <c r="D2043" s="8" t="s">
        <v>2027</v>
      </c>
      <c r="E2043" s="8" t="s">
        <v>123</v>
      </c>
      <c r="F2043" s="8" t="s">
        <v>154</v>
      </c>
      <c r="G2043" s="8" t="s">
        <v>159</v>
      </c>
      <c r="H2043" s="15" t="n">
        <v>96</v>
      </c>
      <c r="I2043" s="15" t="n">
        <v>96</v>
      </c>
      <c r="J2043" s="16" t="n">
        <v>0.75</v>
      </c>
      <c r="K2043" s="8" t="n">
        <v>9</v>
      </c>
      <c r="L2043" s="8" t="n">
        <v>10</v>
      </c>
      <c r="M2043" s="8" t="n">
        <v>0</v>
      </c>
      <c r="N2043" s="8" t="s">
        <v>120</v>
      </c>
      <c r="O2043" s="15" t="n">
        <f aca="false">H2043*12</f>
        <v>1152</v>
      </c>
      <c r="P2043" s="8" t="n">
        <f aca="false">MIN(100,ROUND(100*J2043/Assumptions!$B$8,0))</f>
        <v>83</v>
      </c>
      <c r="Q2043" s="8" t="n">
        <f aca="false">IF(L2043="",Assumptions!$B$9,L2043*10)</f>
        <v>100</v>
      </c>
      <c r="R2043" s="8" t="n">
        <f aca="false">IF(M2043&lt;=1,Assumptions!$B$12,IF(M2043&lt;=3,Assumptions!$B$13,IF(M2043&lt;=6,Assumptions!$B$14,Assumptions!$B$15)))</f>
        <v>100</v>
      </c>
      <c r="S2043" s="8" t="n">
        <f aca="false">IF(N2043="Completed On Time",Assumptions!$B$16,IF(N2043="Completed Late",Assumptions!$B$17,Assumptions!$B$18))</f>
        <v>100</v>
      </c>
      <c r="T2043" s="8" t="n">
        <f aca="false">IF(I2043=0,Assumptions!$B$20,IF(H2043&gt;I2043,Assumptions!$B$19,IF(H2043=I2043,Assumptions!$B$20,Assumptions!$B$21)))</f>
        <v>70</v>
      </c>
      <c r="U2043" s="8" t="n">
        <f aca="false">ROUND(P2043*Assumptions!$B$2+Q2043*Assumptions!$B$3+R2043*Assumptions!$B$4+S2043*Assumptions!$B$5+T2043*Assumptions!$B$6,0)</f>
        <v>88</v>
      </c>
      <c r="V2043" s="8" t="str">
        <f aca="false">IF(U2043&gt;=Assumptions!$B$10,"Healthy",IF(U2043&gt;=Assumptions!$B$11,"Needs Attention","High Risk"))</f>
        <v>Healthy</v>
      </c>
    </row>
    <row r="2044" customFormat="false" ht="15" hidden="false" customHeight="false" outlineLevel="0" collapsed="false">
      <c r="A2044" s="8" t="s">
        <v>4230</v>
      </c>
      <c r="B2044" s="8" t="s">
        <v>4231</v>
      </c>
      <c r="C2044" s="8" t="s">
        <v>51</v>
      </c>
      <c r="D2044" s="8" t="s">
        <v>2027</v>
      </c>
      <c r="E2044" s="8" t="s">
        <v>123</v>
      </c>
      <c r="F2044" s="8" t="s">
        <v>190</v>
      </c>
      <c r="G2044" s="8" t="s">
        <v>129</v>
      </c>
      <c r="H2044" s="15" t="n">
        <v>96</v>
      </c>
      <c r="I2044" s="15" t="n">
        <v>96</v>
      </c>
      <c r="J2044" s="16" t="n">
        <v>0.875</v>
      </c>
      <c r="K2044" s="8" t="n">
        <v>11.3</v>
      </c>
      <c r="L2044" s="8" t="n">
        <v>10</v>
      </c>
      <c r="M2044" s="8" t="n">
        <v>1</v>
      </c>
      <c r="N2044" s="8" t="s">
        <v>120</v>
      </c>
      <c r="O2044" s="15" t="n">
        <f aca="false">H2044*12</f>
        <v>1152</v>
      </c>
      <c r="P2044" s="8" t="n">
        <f aca="false">MIN(100,ROUND(100*J2044/Assumptions!$B$8,0))</f>
        <v>97</v>
      </c>
      <c r="Q2044" s="8" t="n">
        <f aca="false">IF(L2044="",Assumptions!$B$9,L2044*10)</f>
        <v>100</v>
      </c>
      <c r="R2044" s="8" t="n">
        <f aca="false">IF(M2044&lt;=1,Assumptions!$B$12,IF(M2044&lt;=3,Assumptions!$B$13,IF(M2044&lt;=6,Assumptions!$B$14,Assumptions!$B$15)))</f>
        <v>100</v>
      </c>
      <c r="S2044" s="8" t="n">
        <f aca="false">IF(N2044="Completed On Time",Assumptions!$B$16,IF(N2044="Completed Late",Assumptions!$B$17,Assumptions!$B$18))</f>
        <v>100</v>
      </c>
      <c r="T2044" s="8" t="n">
        <f aca="false">IF(I2044=0,Assumptions!$B$20,IF(H2044&gt;I2044,Assumptions!$B$19,IF(H2044=I2044,Assumptions!$B$20,Assumptions!$B$21)))</f>
        <v>70</v>
      </c>
      <c r="U2044" s="8" t="n">
        <f aca="false">ROUND(P2044*Assumptions!$B$2+Q2044*Assumptions!$B$3+R2044*Assumptions!$B$4+S2044*Assumptions!$B$5+T2044*Assumptions!$B$6,0)</f>
        <v>93</v>
      </c>
      <c r="V2044" s="8" t="str">
        <f aca="false">IF(U2044&gt;=Assumptions!$B$10,"Healthy",IF(U2044&gt;=Assumptions!$B$11,"Needs Attention","High Risk"))</f>
        <v>Healthy</v>
      </c>
    </row>
    <row r="2045" customFormat="false" ht="15" hidden="false" customHeight="false" outlineLevel="0" collapsed="false">
      <c r="A2045" s="8" t="s">
        <v>4232</v>
      </c>
      <c r="B2045" s="8" t="s">
        <v>4233</v>
      </c>
      <c r="C2045" s="8" t="s">
        <v>51</v>
      </c>
      <c r="D2045" s="8" t="s">
        <v>2027</v>
      </c>
      <c r="E2045" s="8" t="s">
        <v>132</v>
      </c>
      <c r="F2045" s="8" t="s">
        <v>151</v>
      </c>
      <c r="G2045" s="8" t="s">
        <v>177</v>
      </c>
      <c r="H2045" s="15" t="n">
        <v>96</v>
      </c>
      <c r="I2045" s="15" t="n">
        <v>96</v>
      </c>
      <c r="J2045" s="16" t="n">
        <v>0.708</v>
      </c>
      <c r="K2045" s="8" t="n">
        <v>8.3</v>
      </c>
      <c r="L2045" s="8" t="n">
        <v>10</v>
      </c>
      <c r="M2045" s="8" t="n">
        <v>1</v>
      </c>
      <c r="N2045" s="8" t="s">
        <v>120</v>
      </c>
      <c r="O2045" s="15" t="n">
        <f aca="false">H2045*12</f>
        <v>1152</v>
      </c>
      <c r="P2045" s="8" t="n">
        <f aca="false">MIN(100,ROUND(100*J2045/Assumptions!$B$8,0))</f>
        <v>79</v>
      </c>
      <c r="Q2045" s="8" t="n">
        <f aca="false">IF(L2045="",Assumptions!$B$9,L2045*10)</f>
        <v>100</v>
      </c>
      <c r="R2045" s="8" t="n">
        <f aca="false">IF(M2045&lt;=1,Assumptions!$B$12,IF(M2045&lt;=3,Assumptions!$B$13,IF(M2045&lt;=6,Assumptions!$B$14,Assumptions!$B$15)))</f>
        <v>100</v>
      </c>
      <c r="S2045" s="8" t="n">
        <f aca="false">IF(N2045="Completed On Time",Assumptions!$B$16,IF(N2045="Completed Late",Assumptions!$B$17,Assumptions!$B$18))</f>
        <v>100</v>
      </c>
      <c r="T2045" s="8" t="n">
        <f aca="false">IF(I2045=0,Assumptions!$B$20,IF(H2045&gt;I2045,Assumptions!$B$19,IF(H2045=I2045,Assumptions!$B$20,Assumptions!$B$21)))</f>
        <v>70</v>
      </c>
      <c r="U2045" s="8" t="n">
        <f aca="false">ROUND(P2045*Assumptions!$B$2+Q2045*Assumptions!$B$3+R2045*Assumptions!$B$4+S2045*Assumptions!$B$5+T2045*Assumptions!$B$6,0)</f>
        <v>87</v>
      </c>
      <c r="V2045" s="8" t="str">
        <f aca="false">IF(U2045&gt;=Assumptions!$B$10,"Healthy",IF(U2045&gt;=Assumptions!$B$11,"Needs Attention","High Risk"))</f>
        <v>Healthy</v>
      </c>
    </row>
    <row r="2046" customFormat="false" ht="15" hidden="false" customHeight="false" outlineLevel="0" collapsed="false">
      <c r="A2046" s="8" t="s">
        <v>4234</v>
      </c>
      <c r="B2046" s="8" t="s">
        <v>4235</v>
      </c>
      <c r="C2046" s="8" t="s">
        <v>51</v>
      </c>
      <c r="D2046" s="8" t="s">
        <v>2027</v>
      </c>
      <c r="E2046" s="8" t="s">
        <v>123</v>
      </c>
      <c r="F2046" s="8" t="s">
        <v>124</v>
      </c>
      <c r="G2046" s="8" t="s">
        <v>177</v>
      </c>
      <c r="H2046" s="15" t="n">
        <v>96</v>
      </c>
      <c r="I2046" s="15" t="n">
        <v>0</v>
      </c>
      <c r="J2046" s="16" t="n">
        <v>0.792</v>
      </c>
      <c r="K2046" s="8" t="n">
        <v>10.7</v>
      </c>
      <c r="L2046" s="8"/>
      <c r="M2046" s="8" t="n">
        <v>0</v>
      </c>
      <c r="N2046" s="8" t="s">
        <v>120</v>
      </c>
      <c r="O2046" s="15" t="n">
        <f aca="false">H2046*12</f>
        <v>1152</v>
      </c>
      <c r="P2046" s="8" t="n">
        <f aca="false">MIN(100,ROUND(100*J2046/Assumptions!$B$8,0))</f>
        <v>88</v>
      </c>
      <c r="Q2046" s="8" t="n">
        <f aca="false">IF(L2046="",Assumptions!$B$9,L2046*10)</f>
        <v>50</v>
      </c>
      <c r="R2046" s="8" t="n">
        <f aca="false">IF(M2046&lt;=1,Assumptions!$B$12,IF(M2046&lt;=3,Assumptions!$B$13,IF(M2046&lt;=6,Assumptions!$B$14,Assumptions!$B$15)))</f>
        <v>100</v>
      </c>
      <c r="S2046" s="8" t="n">
        <f aca="false">IF(N2046="Completed On Time",Assumptions!$B$16,IF(N2046="Completed Late",Assumptions!$B$17,Assumptions!$B$18))</f>
        <v>100</v>
      </c>
      <c r="T2046" s="8" t="n">
        <f aca="false">IF(I2046=0,Assumptions!$B$20,IF(H2046&gt;I2046,Assumptions!$B$19,IF(H2046=I2046,Assumptions!$B$20,Assumptions!$B$21)))</f>
        <v>70</v>
      </c>
      <c r="U2046" s="8" t="n">
        <f aca="false">ROUND(P2046*Assumptions!$B$2+Q2046*Assumptions!$B$3+R2046*Assumptions!$B$4+S2046*Assumptions!$B$5+T2046*Assumptions!$B$6,0)</f>
        <v>80</v>
      </c>
      <c r="V2046" s="8" t="str">
        <f aca="false">IF(U2046&gt;=Assumptions!$B$10,"Healthy",IF(U2046&gt;=Assumptions!$B$11,"Needs Attention","High Risk"))</f>
        <v>Healthy</v>
      </c>
    </row>
    <row r="2047" customFormat="false" ht="15" hidden="false" customHeight="false" outlineLevel="0" collapsed="false">
      <c r="A2047" s="8" t="s">
        <v>4236</v>
      </c>
      <c r="B2047" s="8" t="s">
        <v>4237</v>
      </c>
      <c r="C2047" s="8" t="s">
        <v>51</v>
      </c>
      <c r="D2047" s="8" t="s">
        <v>2027</v>
      </c>
      <c r="E2047" s="8" t="s">
        <v>117</v>
      </c>
      <c r="F2047" s="8" t="s">
        <v>151</v>
      </c>
      <c r="G2047" s="8" t="s">
        <v>140</v>
      </c>
      <c r="H2047" s="15" t="n">
        <v>96</v>
      </c>
      <c r="I2047" s="15" t="n">
        <v>96</v>
      </c>
      <c r="J2047" s="16" t="n">
        <v>0.583</v>
      </c>
      <c r="K2047" s="8" t="n">
        <v>7.7</v>
      </c>
      <c r="L2047" s="8" t="n">
        <v>8</v>
      </c>
      <c r="M2047" s="8" t="n">
        <v>2</v>
      </c>
      <c r="N2047" s="8" t="s">
        <v>120</v>
      </c>
      <c r="O2047" s="15" t="n">
        <f aca="false">H2047*12</f>
        <v>1152</v>
      </c>
      <c r="P2047" s="8" t="n">
        <f aca="false">MIN(100,ROUND(100*J2047/Assumptions!$B$8,0))</f>
        <v>65</v>
      </c>
      <c r="Q2047" s="8" t="n">
        <f aca="false">IF(L2047="",Assumptions!$B$9,L2047*10)</f>
        <v>80</v>
      </c>
      <c r="R2047" s="8" t="n">
        <f aca="false">IF(M2047&lt;=1,Assumptions!$B$12,IF(M2047&lt;=3,Assumptions!$B$13,IF(M2047&lt;=6,Assumptions!$B$14,Assumptions!$B$15)))</f>
        <v>75</v>
      </c>
      <c r="S2047" s="8" t="n">
        <f aca="false">IF(N2047="Completed On Time",Assumptions!$B$16,IF(N2047="Completed Late",Assumptions!$B$17,Assumptions!$B$18))</f>
        <v>100</v>
      </c>
      <c r="T2047" s="8" t="n">
        <f aca="false">IF(I2047=0,Assumptions!$B$20,IF(H2047&gt;I2047,Assumptions!$B$19,IF(H2047=I2047,Assumptions!$B$20,Assumptions!$B$21)))</f>
        <v>70</v>
      </c>
      <c r="U2047" s="8" t="n">
        <f aca="false">ROUND(P2047*Assumptions!$B$2+Q2047*Assumptions!$B$3+R2047*Assumptions!$B$4+S2047*Assumptions!$B$5+T2047*Assumptions!$B$6,0)</f>
        <v>74</v>
      </c>
      <c r="V2047" s="8" t="str">
        <f aca="false">IF(U2047&gt;=Assumptions!$B$10,"Healthy",IF(U2047&gt;=Assumptions!$B$11,"Needs Attention","High Risk"))</f>
        <v>Needs Attention</v>
      </c>
    </row>
    <row r="2048" customFormat="false" ht="15" hidden="false" customHeight="false" outlineLevel="0" collapsed="false">
      <c r="A2048" s="8" t="s">
        <v>4238</v>
      </c>
      <c r="B2048" s="8" t="s">
        <v>4239</v>
      </c>
      <c r="C2048" s="8" t="s">
        <v>51</v>
      </c>
      <c r="D2048" s="8" t="s">
        <v>2027</v>
      </c>
      <c r="E2048" s="8" t="s">
        <v>117</v>
      </c>
      <c r="F2048" s="8" t="s">
        <v>151</v>
      </c>
      <c r="G2048" s="8" t="s">
        <v>125</v>
      </c>
      <c r="H2048" s="15" t="n">
        <v>96</v>
      </c>
      <c r="I2048" s="15" t="n">
        <v>96</v>
      </c>
      <c r="J2048" s="16" t="n">
        <v>0.708</v>
      </c>
      <c r="K2048" s="8" t="n">
        <v>8.3</v>
      </c>
      <c r="L2048" s="8" t="n">
        <v>7</v>
      </c>
      <c r="M2048" s="8" t="n">
        <v>3</v>
      </c>
      <c r="N2048" s="8" t="s">
        <v>120</v>
      </c>
      <c r="O2048" s="15" t="n">
        <f aca="false">H2048*12</f>
        <v>1152</v>
      </c>
      <c r="P2048" s="8" t="n">
        <f aca="false">MIN(100,ROUND(100*J2048/Assumptions!$B$8,0))</f>
        <v>79</v>
      </c>
      <c r="Q2048" s="8" t="n">
        <f aca="false">IF(L2048="",Assumptions!$B$9,L2048*10)</f>
        <v>70</v>
      </c>
      <c r="R2048" s="8" t="n">
        <f aca="false">IF(M2048&lt;=1,Assumptions!$B$12,IF(M2048&lt;=3,Assumptions!$B$13,IF(M2048&lt;=6,Assumptions!$B$14,Assumptions!$B$15)))</f>
        <v>75</v>
      </c>
      <c r="S2048" s="8" t="n">
        <f aca="false">IF(N2048="Completed On Time",Assumptions!$B$16,IF(N2048="Completed Late",Assumptions!$B$17,Assumptions!$B$18))</f>
        <v>100</v>
      </c>
      <c r="T2048" s="8" t="n">
        <f aca="false">IF(I2048=0,Assumptions!$B$20,IF(H2048&gt;I2048,Assumptions!$B$19,IF(H2048=I2048,Assumptions!$B$20,Assumptions!$B$21)))</f>
        <v>70</v>
      </c>
      <c r="U2048" s="8" t="n">
        <f aca="false">ROUND(P2048*Assumptions!$B$2+Q2048*Assumptions!$B$3+R2048*Assumptions!$B$4+S2048*Assumptions!$B$5+T2048*Assumptions!$B$6,0)</f>
        <v>77</v>
      </c>
      <c r="V2048" s="8" t="str">
        <f aca="false">IF(U2048&gt;=Assumptions!$B$10,"Healthy",IF(U2048&gt;=Assumptions!$B$11,"Needs Attention","High Risk"))</f>
        <v>Needs Attention</v>
      </c>
    </row>
    <row r="2049" customFormat="false" ht="15" hidden="false" customHeight="false" outlineLevel="0" collapsed="false">
      <c r="A2049" s="8" t="s">
        <v>4240</v>
      </c>
      <c r="B2049" s="8" t="s">
        <v>4241</v>
      </c>
      <c r="C2049" s="8" t="s">
        <v>51</v>
      </c>
      <c r="D2049" s="8" t="s">
        <v>2027</v>
      </c>
      <c r="E2049" s="8" t="s">
        <v>132</v>
      </c>
      <c r="F2049" s="8" t="s">
        <v>154</v>
      </c>
      <c r="G2049" s="8" t="s">
        <v>180</v>
      </c>
      <c r="H2049" s="15" t="n">
        <v>96</v>
      </c>
      <c r="I2049" s="15" t="n">
        <v>0</v>
      </c>
      <c r="J2049" s="16" t="n">
        <v>0.938</v>
      </c>
      <c r="K2049" s="8" t="n">
        <v>12</v>
      </c>
      <c r="L2049" s="8"/>
      <c r="M2049" s="8" t="n">
        <v>0</v>
      </c>
      <c r="N2049" s="8" t="s">
        <v>120</v>
      </c>
      <c r="O2049" s="15" t="n">
        <f aca="false">H2049*12</f>
        <v>1152</v>
      </c>
      <c r="P2049" s="8" t="n">
        <f aca="false">MIN(100,ROUND(100*J2049/Assumptions!$B$8,0))</f>
        <v>100</v>
      </c>
      <c r="Q2049" s="8" t="n">
        <f aca="false">IF(L2049="",Assumptions!$B$9,L2049*10)</f>
        <v>50</v>
      </c>
      <c r="R2049" s="8" t="n">
        <f aca="false">IF(M2049&lt;=1,Assumptions!$B$12,IF(M2049&lt;=3,Assumptions!$B$13,IF(M2049&lt;=6,Assumptions!$B$14,Assumptions!$B$15)))</f>
        <v>100</v>
      </c>
      <c r="S2049" s="8" t="n">
        <f aca="false">IF(N2049="Completed On Time",Assumptions!$B$16,IF(N2049="Completed Late",Assumptions!$B$17,Assumptions!$B$18))</f>
        <v>100</v>
      </c>
      <c r="T2049" s="8" t="n">
        <f aca="false">IF(I2049=0,Assumptions!$B$20,IF(H2049&gt;I2049,Assumptions!$B$19,IF(H2049=I2049,Assumptions!$B$20,Assumptions!$B$21)))</f>
        <v>70</v>
      </c>
      <c r="U2049" s="8" t="n">
        <f aca="false">ROUND(P2049*Assumptions!$B$2+Q2049*Assumptions!$B$3+R2049*Assumptions!$B$4+S2049*Assumptions!$B$5+T2049*Assumptions!$B$6,0)</f>
        <v>84</v>
      </c>
      <c r="V2049" s="8" t="str">
        <f aca="false">IF(U2049&gt;=Assumptions!$B$10,"Healthy",IF(U2049&gt;=Assumptions!$B$11,"Needs Attention","High Risk"))</f>
        <v>Healthy</v>
      </c>
    </row>
    <row r="2050" customFormat="false" ht="15" hidden="false" customHeight="false" outlineLevel="0" collapsed="false">
      <c r="A2050" s="8" t="s">
        <v>4242</v>
      </c>
      <c r="B2050" s="8" t="s">
        <v>4243</v>
      </c>
      <c r="C2050" s="8" t="s">
        <v>51</v>
      </c>
      <c r="D2050" s="8" t="s">
        <v>2027</v>
      </c>
      <c r="E2050" s="8" t="s">
        <v>123</v>
      </c>
      <c r="F2050" s="8" t="s">
        <v>166</v>
      </c>
      <c r="G2050" s="8" t="s">
        <v>137</v>
      </c>
      <c r="H2050" s="15" t="n">
        <v>96</v>
      </c>
      <c r="I2050" s="15" t="n">
        <v>96</v>
      </c>
      <c r="J2050" s="16" t="n">
        <v>0.583</v>
      </c>
      <c r="K2050" s="8" t="n">
        <v>5.3</v>
      </c>
      <c r="L2050" s="8" t="n">
        <v>6</v>
      </c>
      <c r="M2050" s="8" t="n">
        <v>5</v>
      </c>
      <c r="N2050" s="8" t="s">
        <v>120</v>
      </c>
      <c r="O2050" s="15" t="n">
        <f aca="false">H2050*12</f>
        <v>1152</v>
      </c>
      <c r="P2050" s="8" t="n">
        <f aca="false">MIN(100,ROUND(100*J2050/Assumptions!$B$8,0))</f>
        <v>65</v>
      </c>
      <c r="Q2050" s="8" t="n">
        <f aca="false">IF(L2050="",Assumptions!$B$9,L2050*10)</f>
        <v>60</v>
      </c>
      <c r="R2050" s="8" t="n">
        <f aca="false">IF(M2050&lt;=1,Assumptions!$B$12,IF(M2050&lt;=3,Assumptions!$B$13,IF(M2050&lt;=6,Assumptions!$B$14,Assumptions!$B$15)))</f>
        <v>50</v>
      </c>
      <c r="S2050" s="8" t="n">
        <f aca="false">IF(N2050="Completed On Time",Assumptions!$B$16,IF(N2050="Completed Late",Assumptions!$B$17,Assumptions!$B$18))</f>
        <v>100</v>
      </c>
      <c r="T2050" s="8" t="n">
        <f aca="false">IF(I2050=0,Assumptions!$B$20,IF(H2050&gt;I2050,Assumptions!$B$19,IF(H2050=I2050,Assumptions!$B$20,Assumptions!$B$21)))</f>
        <v>70</v>
      </c>
      <c r="U2050" s="8" t="n">
        <f aca="false">ROUND(P2050*Assumptions!$B$2+Q2050*Assumptions!$B$3+R2050*Assumptions!$B$4+S2050*Assumptions!$B$5+T2050*Assumptions!$B$6,0)</f>
        <v>66</v>
      </c>
      <c r="V2050" s="8" t="str">
        <f aca="false">IF(U2050&gt;=Assumptions!$B$10,"Healthy",IF(U2050&gt;=Assumptions!$B$11,"Needs Attention","High Risk"))</f>
        <v>Needs Attention</v>
      </c>
    </row>
    <row r="2051" customFormat="false" ht="15" hidden="false" customHeight="false" outlineLevel="0" collapsed="false">
      <c r="A2051" s="8" t="s">
        <v>4244</v>
      </c>
      <c r="B2051" s="8" t="s">
        <v>4245</v>
      </c>
      <c r="C2051" s="8" t="s">
        <v>51</v>
      </c>
      <c r="D2051" s="8" t="s">
        <v>2027</v>
      </c>
      <c r="E2051" s="8" t="s">
        <v>123</v>
      </c>
      <c r="F2051" s="8" t="s">
        <v>124</v>
      </c>
      <c r="G2051" s="8" t="s">
        <v>159</v>
      </c>
      <c r="H2051" s="15" t="n">
        <v>96</v>
      </c>
      <c r="I2051" s="15" t="n">
        <v>96</v>
      </c>
      <c r="J2051" s="16" t="n">
        <v>0.5</v>
      </c>
      <c r="K2051" s="8" t="n">
        <v>5</v>
      </c>
      <c r="L2051" s="8" t="n">
        <v>3</v>
      </c>
      <c r="M2051" s="8" t="n">
        <v>7</v>
      </c>
      <c r="N2051" s="8" t="s">
        <v>120</v>
      </c>
      <c r="O2051" s="15" t="n">
        <f aca="false">H2051*12</f>
        <v>1152</v>
      </c>
      <c r="P2051" s="8" t="n">
        <f aca="false">MIN(100,ROUND(100*J2051/Assumptions!$B$8,0))</f>
        <v>56</v>
      </c>
      <c r="Q2051" s="8" t="n">
        <f aca="false">IF(L2051="",Assumptions!$B$9,L2051*10)</f>
        <v>30</v>
      </c>
      <c r="R2051" s="8" t="n">
        <f aca="false">IF(M2051&lt;=1,Assumptions!$B$12,IF(M2051&lt;=3,Assumptions!$B$13,IF(M2051&lt;=6,Assumptions!$B$14,Assumptions!$B$15)))</f>
        <v>20</v>
      </c>
      <c r="S2051" s="8" t="n">
        <f aca="false">IF(N2051="Completed On Time",Assumptions!$B$16,IF(N2051="Completed Late",Assumptions!$B$17,Assumptions!$B$18))</f>
        <v>100</v>
      </c>
      <c r="T2051" s="8" t="n">
        <f aca="false">IF(I2051=0,Assumptions!$B$20,IF(H2051&gt;I2051,Assumptions!$B$19,IF(H2051=I2051,Assumptions!$B$20,Assumptions!$B$21)))</f>
        <v>70</v>
      </c>
      <c r="U2051" s="8" t="n">
        <f aca="false">ROUND(P2051*Assumptions!$B$2+Q2051*Assumptions!$B$3+R2051*Assumptions!$B$4+S2051*Assumptions!$B$5+T2051*Assumptions!$B$6,0)</f>
        <v>53</v>
      </c>
      <c r="V2051" s="8" t="str">
        <f aca="false">IF(U2051&gt;=Assumptions!$B$10,"Healthy",IF(U2051&gt;=Assumptions!$B$11,"Needs Attention","High Risk"))</f>
        <v>High Risk</v>
      </c>
    </row>
    <row r="2052" customFormat="false" ht="15" hidden="false" customHeight="false" outlineLevel="0" collapsed="false">
      <c r="A2052" s="8" t="s">
        <v>4246</v>
      </c>
      <c r="B2052" s="8" t="s">
        <v>4247</v>
      </c>
      <c r="C2052" s="8" t="s">
        <v>51</v>
      </c>
      <c r="D2052" s="8" t="s">
        <v>2027</v>
      </c>
      <c r="E2052" s="8" t="s">
        <v>117</v>
      </c>
      <c r="F2052" s="8" t="s">
        <v>154</v>
      </c>
      <c r="G2052" s="8" t="s">
        <v>137</v>
      </c>
      <c r="H2052" s="15" t="n">
        <v>96</v>
      </c>
      <c r="I2052" s="15" t="n">
        <v>120</v>
      </c>
      <c r="J2052" s="16" t="n">
        <v>0.75</v>
      </c>
      <c r="K2052" s="8" t="n">
        <v>9.3</v>
      </c>
      <c r="L2052" s="8" t="n">
        <v>10</v>
      </c>
      <c r="M2052" s="8" t="n">
        <v>2</v>
      </c>
      <c r="N2052" s="8" t="s">
        <v>120</v>
      </c>
      <c r="O2052" s="15" t="n">
        <f aca="false">H2052*12</f>
        <v>1152</v>
      </c>
      <c r="P2052" s="8" t="n">
        <f aca="false">MIN(100,ROUND(100*J2052/Assumptions!$B$8,0))</f>
        <v>83</v>
      </c>
      <c r="Q2052" s="8" t="n">
        <f aca="false">IF(L2052="",Assumptions!$B$9,L2052*10)</f>
        <v>100</v>
      </c>
      <c r="R2052" s="8" t="n">
        <f aca="false">IF(M2052&lt;=1,Assumptions!$B$12,IF(M2052&lt;=3,Assumptions!$B$13,IF(M2052&lt;=6,Assumptions!$B$14,Assumptions!$B$15)))</f>
        <v>75</v>
      </c>
      <c r="S2052" s="8" t="n">
        <f aca="false">IF(N2052="Completed On Time",Assumptions!$B$16,IF(N2052="Completed Late",Assumptions!$B$17,Assumptions!$B$18))</f>
        <v>100</v>
      </c>
      <c r="T2052" s="8" t="n">
        <f aca="false">IF(I2052=0,Assumptions!$B$20,IF(H2052&gt;I2052,Assumptions!$B$19,IF(H2052=I2052,Assumptions!$B$20,Assumptions!$B$21)))</f>
        <v>30</v>
      </c>
      <c r="U2052" s="8" t="n">
        <f aca="false">ROUND(P2052*Assumptions!$B$2+Q2052*Assumptions!$B$3+R2052*Assumptions!$B$4+S2052*Assumptions!$B$5+T2052*Assumptions!$B$6,0)</f>
        <v>76</v>
      </c>
      <c r="V2052" s="8" t="str">
        <f aca="false">IF(U2052&gt;=Assumptions!$B$10,"Healthy",IF(U2052&gt;=Assumptions!$B$11,"Needs Attention","High Risk"))</f>
        <v>Needs Attention</v>
      </c>
    </row>
    <row r="2053" customFormat="false" ht="15" hidden="false" customHeight="false" outlineLevel="0" collapsed="false">
      <c r="A2053" s="8" t="s">
        <v>4248</v>
      </c>
      <c r="B2053" s="8" t="s">
        <v>4249</v>
      </c>
      <c r="C2053" s="8" t="s">
        <v>51</v>
      </c>
      <c r="D2053" s="8" t="s">
        <v>2027</v>
      </c>
      <c r="E2053" s="8" t="s">
        <v>123</v>
      </c>
      <c r="F2053" s="8" t="s">
        <v>143</v>
      </c>
      <c r="G2053" s="8" t="s">
        <v>159</v>
      </c>
      <c r="H2053" s="15" t="n">
        <v>96</v>
      </c>
      <c r="I2053" s="15" t="n">
        <v>96</v>
      </c>
      <c r="J2053" s="16" t="n">
        <v>0.75</v>
      </c>
      <c r="K2053" s="8" t="n">
        <v>10.7</v>
      </c>
      <c r="L2053" s="8" t="n">
        <v>9</v>
      </c>
      <c r="M2053" s="8" t="n">
        <v>2</v>
      </c>
      <c r="N2053" s="8" t="s">
        <v>120</v>
      </c>
      <c r="O2053" s="15" t="n">
        <f aca="false">H2053*12</f>
        <v>1152</v>
      </c>
      <c r="P2053" s="8" t="n">
        <f aca="false">MIN(100,ROUND(100*J2053/Assumptions!$B$8,0))</f>
        <v>83</v>
      </c>
      <c r="Q2053" s="8" t="n">
        <f aca="false">IF(L2053="",Assumptions!$B$9,L2053*10)</f>
        <v>90</v>
      </c>
      <c r="R2053" s="8" t="n">
        <f aca="false">IF(M2053&lt;=1,Assumptions!$B$12,IF(M2053&lt;=3,Assumptions!$B$13,IF(M2053&lt;=6,Assumptions!$B$14,Assumptions!$B$15)))</f>
        <v>75</v>
      </c>
      <c r="S2053" s="8" t="n">
        <f aca="false">IF(N2053="Completed On Time",Assumptions!$B$16,IF(N2053="Completed Late",Assumptions!$B$17,Assumptions!$B$18))</f>
        <v>100</v>
      </c>
      <c r="T2053" s="8" t="n">
        <f aca="false">IF(I2053=0,Assumptions!$B$20,IF(H2053&gt;I2053,Assumptions!$B$19,IF(H2053=I2053,Assumptions!$B$20,Assumptions!$B$21)))</f>
        <v>70</v>
      </c>
      <c r="U2053" s="8" t="n">
        <f aca="false">ROUND(P2053*Assumptions!$B$2+Q2053*Assumptions!$B$3+R2053*Assumptions!$B$4+S2053*Assumptions!$B$5+T2053*Assumptions!$B$6,0)</f>
        <v>82</v>
      </c>
      <c r="V2053" s="8" t="str">
        <f aca="false">IF(U2053&gt;=Assumptions!$B$10,"Healthy",IF(U2053&gt;=Assumptions!$B$11,"Needs Attention","High Risk"))</f>
        <v>Healthy</v>
      </c>
    </row>
    <row r="2054" customFormat="false" ht="15" hidden="false" customHeight="false" outlineLevel="0" collapsed="false">
      <c r="A2054" s="8" t="s">
        <v>4250</v>
      </c>
      <c r="B2054" s="8" t="s">
        <v>4251</v>
      </c>
      <c r="C2054" s="8" t="s">
        <v>51</v>
      </c>
      <c r="D2054" s="8" t="s">
        <v>2027</v>
      </c>
      <c r="E2054" s="8" t="s">
        <v>128</v>
      </c>
      <c r="F2054" s="8" t="s">
        <v>151</v>
      </c>
      <c r="G2054" s="8" t="s">
        <v>185</v>
      </c>
      <c r="H2054" s="15" t="n">
        <v>96</v>
      </c>
      <c r="I2054" s="15" t="n">
        <v>96</v>
      </c>
      <c r="J2054" s="16" t="n">
        <v>0.667</v>
      </c>
      <c r="K2054" s="8" t="n">
        <v>8.7</v>
      </c>
      <c r="L2054" s="8" t="n">
        <v>10</v>
      </c>
      <c r="M2054" s="8" t="n">
        <v>4</v>
      </c>
      <c r="N2054" s="8" t="s">
        <v>120</v>
      </c>
      <c r="O2054" s="15" t="n">
        <f aca="false">H2054*12</f>
        <v>1152</v>
      </c>
      <c r="P2054" s="8" t="n">
        <f aca="false">MIN(100,ROUND(100*J2054/Assumptions!$B$8,0))</f>
        <v>74</v>
      </c>
      <c r="Q2054" s="8" t="n">
        <f aca="false">IF(L2054="",Assumptions!$B$9,L2054*10)</f>
        <v>100</v>
      </c>
      <c r="R2054" s="8" t="n">
        <f aca="false">IF(M2054&lt;=1,Assumptions!$B$12,IF(M2054&lt;=3,Assumptions!$B$13,IF(M2054&lt;=6,Assumptions!$B$14,Assumptions!$B$15)))</f>
        <v>50</v>
      </c>
      <c r="S2054" s="8" t="n">
        <f aca="false">IF(N2054="Completed On Time",Assumptions!$B$16,IF(N2054="Completed Late",Assumptions!$B$17,Assumptions!$B$18))</f>
        <v>100</v>
      </c>
      <c r="T2054" s="8" t="n">
        <f aca="false">IF(I2054=0,Assumptions!$B$20,IF(H2054&gt;I2054,Assumptions!$B$19,IF(H2054=I2054,Assumptions!$B$20,Assumptions!$B$21)))</f>
        <v>70</v>
      </c>
      <c r="U2054" s="8" t="n">
        <f aca="false">ROUND(P2054*Assumptions!$B$2+Q2054*Assumptions!$B$3+R2054*Assumptions!$B$4+S2054*Assumptions!$B$5+T2054*Assumptions!$B$6,0)</f>
        <v>77</v>
      </c>
      <c r="V2054" s="8" t="str">
        <f aca="false">IF(U2054&gt;=Assumptions!$B$10,"Healthy",IF(U2054&gt;=Assumptions!$B$11,"Needs Attention","High Risk"))</f>
        <v>Needs Attention</v>
      </c>
    </row>
    <row r="2055" customFormat="false" ht="15" hidden="false" customHeight="false" outlineLevel="0" collapsed="false">
      <c r="A2055" s="8" t="s">
        <v>4252</v>
      </c>
      <c r="B2055" s="8" t="s">
        <v>4253</v>
      </c>
      <c r="C2055" s="8" t="s">
        <v>51</v>
      </c>
      <c r="D2055" s="8" t="s">
        <v>2027</v>
      </c>
      <c r="E2055" s="8" t="s">
        <v>132</v>
      </c>
      <c r="F2055" s="8" t="s">
        <v>133</v>
      </c>
      <c r="G2055" s="8" t="s">
        <v>140</v>
      </c>
      <c r="H2055" s="15" t="n">
        <v>96</v>
      </c>
      <c r="I2055" s="15" t="n">
        <v>96</v>
      </c>
      <c r="J2055" s="16" t="n">
        <v>0.875</v>
      </c>
      <c r="K2055" s="8" t="n">
        <v>10.7</v>
      </c>
      <c r="L2055" s="8" t="n">
        <v>10</v>
      </c>
      <c r="M2055" s="8" t="n">
        <v>3</v>
      </c>
      <c r="N2055" s="8" t="s">
        <v>120</v>
      </c>
      <c r="O2055" s="15" t="n">
        <f aca="false">H2055*12</f>
        <v>1152</v>
      </c>
      <c r="P2055" s="8" t="n">
        <f aca="false">MIN(100,ROUND(100*J2055/Assumptions!$B$8,0))</f>
        <v>97</v>
      </c>
      <c r="Q2055" s="8" t="n">
        <f aca="false">IF(L2055="",Assumptions!$B$9,L2055*10)</f>
        <v>100</v>
      </c>
      <c r="R2055" s="8" t="n">
        <f aca="false">IF(M2055&lt;=1,Assumptions!$B$12,IF(M2055&lt;=3,Assumptions!$B$13,IF(M2055&lt;=6,Assumptions!$B$14,Assumptions!$B$15)))</f>
        <v>75</v>
      </c>
      <c r="S2055" s="8" t="n">
        <f aca="false">IF(N2055="Completed On Time",Assumptions!$B$16,IF(N2055="Completed Late",Assumptions!$B$17,Assumptions!$B$18))</f>
        <v>100</v>
      </c>
      <c r="T2055" s="8" t="n">
        <f aca="false">IF(I2055=0,Assumptions!$B$20,IF(H2055&gt;I2055,Assumptions!$B$19,IF(H2055=I2055,Assumptions!$B$20,Assumptions!$B$21)))</f>
        <v>70</v>
      </c>
      <c r="U2055" s="8" t="n">
        <f aca="false">ROUND(P2055*Assumptions!$B$2+Q2055*Assumptions!$B$3+R2055*Assumptions!$B$4+S2055*Assumptions!$B$5+T2055*Assumptions!$B$6,0)</f>
        <v>89</v>
      </c>
      <c r="V2055" s="8" t="str">
        <f aca="false">IF(U2055&gt;=Assumptions!$B$10,"Healthy",IF(U2055&gt;=Assumptions!$B$11,"Needs Attention","High Risk"))</f>
        <v>Healthy</v>
      </c>
    </row>
    <row r="2056" customFormat="false" ht="15" hidden="false" customHeight="false" outlineLevel="0" collapsed="false">
      <c r="A2056" s="8" t="s">
        <v>4254</v>
      </c>
      <c r="B2056" s="8" t="s">
        <v>4255</v>
      </c>
      <c r="C2056" s="8" t="s">
        <v>51</v>
      </c>
      <c r="D2056" s="8" t="s">
        <v>2027</v>
      </c>
      <c r="E2056" s="8" t="s">
        <v>123</v>
      </c>
      <c r="F2056" s="8" t="s">
        <v>136</v>
      </c>
      <c r="G2056" s="8" t="s">
        <v>137</v>
      </c>
      <c r="H2056" s="15" t="n">
        <v>96</v>
      </c>
      <c r="I2056" s="15" t="n">
        <v>96</v>
      </c>
      <c r="J2056" s="16" t="n">
        <v>0.875</v>
      </c>
      <c r="K2056" s="8" t="n">
        <v>12</v>
      </c>
      <c r="L2056" s="8" t="n">
        <v>10</v>
      </c>
      <c r="M2056" s="8" t="n">
        <v>1</v>
      </c>
      <c r="N2056" s="8" t="s">
        <v>120</v>
      </c>
      <c r="O2056" s="15" t="n">
        <f aca="false">H2056*12</f>
        <v>1152</v>
      </c>
      <c r="P2056" s="8" t="n">
        <f aca="false">MIN(100,ROUND(100*J2056/Assumptions!$B$8,0))</f>
        <v>97</v>
      </c>
      <c r="Q2056" s="8" t="n">
        <f aca="false">IF(L2056="",Assumptions!$B$9,L2056*10)</f>
        <v>100</v>
      </c>
      <c r="R2056" s="8" t="n">
        <f aca="false">IF(M2056&lt;=1,Assumptions!$B$12,IF(M2056&lt;=3,Assumptions!$B$13,IF(M2056&lt;=6,Assumptions!$B$14,Assumptions!$B$15)))</f>
        <v>100</v>
      </c>
      <c r="S2056" s="8" t="n">
        <f aca="false">IF(N2056="Completed On Time",Assumptions!$B$16,IF(N2056="Completed Late",Assumptions!$B$17,Assumptions!$B$18))</f>
        <v>100</v>
      </c>
      <c r="T2056" s="8" t="n">
        <f aca="false">IF(I2056=0,Assumptions!$B$20,IF(H2056&gt;I2056,Assumptions!$B$19,IF(H2056=I2056,Assumptions!$B$20,Assumptions!$B$21)))</f>
        <v>70</v>
      </c>
      <c r="U2056" s="8" t="n">
        <f aca="false">ROUND(P2056*Assumptions!$B$2+Q2056*Assumptions!$B$3+R2056*Assumptions!$B$4+S2056*Assumptions!$B$5+T2056*Assumptions!$B$6,0)</f>
        <v>93</v>
      </c>
      <c r="V2056" s="8" t="str">
        <f aca="false">IF(U2056&gt;=Assumptions!$B$10,"Healthy",IF(U2056&gt;=Assumptions!$B$11,"Needs Attention","High Risk"))</f>
        <v>Healthy</v>
      </c>
    </row>
    <row r="2057" customFormat="false" ht="15" hidden="false" customHeight="false" outlineLevel="0" collapsed="false">
      <c r="A2057" s="8" t="s">
        <v>4256</v>
      </c>
      <c r="B2057" s="8" t="s">
        <v>4257</v>
      </c>
      <c r="C2057" s="8" t="s">
        <v>51</v>
      </c>
      <c r="D2057" s="8" t="s">
        <v>2027</v>
      </c>
      <c r="E2057" s="8" t="s">
        <v>123</v>
      </c>
      <c r="F2057" s="8" t="s">
        <v>223</v>
      </c>
      <c r="G2057" s="8" t="s">
        <v>140</v>
      </c>
      <c r="H2057" s="15" t="n">
        <v>96</v>
      </c>
      <c r="I2057" s="15" t="n">
        <v>96</v>
      </c>
      <c r="J2057" s="16" t="n">
        <v>0.833</v>
      </c>
      <c r="K2057" s="8" t="n">
        <v>10</v>
      </c>
      <c r="L2057" s="8" t="n">
        <v>10</v>
      </c>
      <c r="M2057" s="8" t="n">
        <v>4</v>
      </c>
      <c r="N2057" s="8" t="s">
        <v>120</v>
      </c>
      <c r="O2057" s="15" t="n">
        <f aca="false">H2057*12</f>
        <v>1152</v>
      </c>
      <c r="P2057" s="8" t="n">
        <f aca="false">MIN(100,ROUND(100*J2057/Assumptions!$B$8,0))</f>
        <v>93</v>
      </c>
      <c r="Q2057" s="8" t="n">
        <f aca="false">IF(L2057="",Assumptions!$B$9,L2057*10)</f>
        <v>100</v>
      </c>
      <c r="R2057" s="8" t="n">
        <f aca="false">IF(M2057&lt;=1,Assumptions!$B$12,IF(M2057&lt;=3,Assumptions!$B$13,IF(M2057&lt;=6,Assumptions!$B$14,Assumptions!$B$15)))</f>
        <v>50</v>
      </c>
      <c r="S2057" s="8" t="n">
        <f aca="false">IF(N2057="Completed On Time",Assumptions!$B$16,IF(N2057="Completed Late",Assumptions!$B$17,Assumptions!$B$18))</f>
        <v>100</v>
      </c>
      <c r="T2057" s="8" t="n">
        <f aca="false">IF(I2057=0,Assumptions!$B$20,IF(H2057&gt;I2057,Assumptions!$B$19,IF(H2057=I2057,Assumptions!$B$20,Assumptions!$B$21)))</f>
        <v>70</v>
      </c>
      <c r="U2057" s="8" t="n">
        <f aca="false">ROUND(P2057*Assumptions!$B$2+Q2057*Assumptions!$B$3+R2057*Assumptions!$B$4+S2057*Assumptions!$B$5+T2057*Assumptions!$B$6,0)</f>
        <v>84</v>
      </c>
      <c r="V2057" s="8" t="str">
        <f aca="false">IF(U2057&gt;=Assumptions!$B$10,"Healthy",IF(U2057&gt;=Assumptions!$B$11,"Needs Attention","High Risk"))</f>
        <v>Healthy</v>
      </c>
    </row>
    <row r="2058" customFormat="false" ht="15" hidden="false" customHeight="false" outlineLevel="0" collapsed="false">
      <c r="A2058" s="8" t="s">
        <v>4258</v>
      </c>
      <c r="B2058" s="8" t="s">
        <v>4259</v>
      </c>
      <c r="C2058" s="8" t="s">
        <v>51</v>
      </c>
      <c r="D2058" s="8" t="s">
        <v>2027</v>
      </c>
      <c r="E2058" s="8" t="s">
        <v>132</v>
      </c>
      <c r="F2058" s="8" t="s">
        <v>133</v>
      </c>
      <c r="G2058" s="8" t="s">
        <v>204</v>
      </c>
      <c r="H2058" s="15" t="n">
        <v>96</v>
      </c>
      <c r="I2058" s="15" t="n">
        <v>96</v>
      </c>
      <c r="J2058" s="16" t="n">
        <v>0.542</v>
      </c>
      <c r="K2058" s="8" t="n">
        <v>5.3</v>
      </c>
      <c r="L2058" s="8" t="n">
        <v>7</v>
      </c>
      <c r="M2058" s="8" t="n">
        <v>5</v>
      </c>
      <c r="N2058" s="8" t="s">
        <v>120</v>
      </c>
      <c r="O2058" s="15" t="n">
        <f aca="false">H2058*12</f>
        <v>1152</v>
      </c>
      <c r="P2058" s="8" t="n">
        <f aca="false">MIN(100,ROUND(100*J2058/Assumptions!$B$8,0))</f>
        <v>60</v>
      </c>
      <c r="Q2058" s="8" t="n">
        <f aca="false">IF(L2058="",Assumptions!$B$9,L2058*10)</f>
        <v>70</v>
      </c>
      <c r="R2058" s="8" t="n">
        <f aca="false">IF(M2058&lt;=1,Assumptions!$B$12,IF(M2058&lt;=3,Assumptions!$B$13,IF(M2058&lt;=6,Assumptions!$B$14,Assumptions!$B$15)))</f>
        <v>50</v>
      </c>
      <c r="S2058" s="8" t="n">
        <f aca="false">IF(N2058="Completed On Time",Assumptions!$B$16,IF(N2058="Completed Late",Assumptions!$B$17,Assumptions!$B$18))</f>
        <v>100</v>
      </c>
      <c r="T2058" s="8" t="n">
        <f aca="false">IF(I2058=0,Assumptions!$B$20,IF(H2058&gt;I2058,Assumptions!$B$19,IF(H2058=I2058,Assumptions!$B$20,Assumptions!$B$21)))</f>
        <v>70</v>
      </c>
      <c r="U2058" s="8" t="n">
        <f aca="false">ROUND(P2058*Assumptions!$B$2+Q2058*Assumptions!$B$3+R2058*Assumptions!$B$4+S2058*Assumptions!$B$5+T2058*Assumptions!$B$6,0)</f>
        <v>67</v>
      </c>
      <c r="V2058" s="8" t="str">
        <f aca="false">IF(U2058&gt;=Assumptions!$B$10,"Healthy",IF(U2058&gt;=Assumptions!$B$11,"Needs Attention","High Risk"))</f>
        <v>Needs Attention</v>
      </c>
    </row>
    <row r="2059" customFormat="false" ht="15" hidden="false" customHeight="false" outlineLevel="0" collapsed="false">
      <c r="A2059" s="8" t="s">
        <v>4260</v>
      </c>
      <c r="B2059" s="8" t="s">
        <v>4261</v>
      </c>
      <c r="C2059" s="8" t="s">
        <v>51</v>
      </c>
      <c r="D2059" s="8" t="s">
        <v>2027</v>
      </c>
      <c r="E2059" s="8" t="s">
        <v>123</v>
      </c>
      <c r="F2059" s="8" t="s">
        <v>190</v>
      </c>
      <c r="G2059" s="8" t="s">
        <v>129</v>
      </c>
      <c r="H2059" s="15" t="n">
        <v>84</v>
      </c>
      <c r="I2059" s="15" t="n">
        <v>84</v>
      </c>
      <c r="J2059" s="16" t="n">
        <v>0.762</v>
      </c>
      <c r="K2059" s="8" t="n">
        <v>8.7</v>
      </c>
      <c r="L2059" s="8" t="n">
        <v>7</v>
      </c>
      <c r="M2059" s="8" t="n">
        <v>3</v>
      </c>
      <c r="N2059" s="8" t="s">
        <v>120</v>
      </c>
      <c r="O2059" s="15" t="n">
        <f aca="false">H2059*12</f>
        <v>1008</v>
      </c>
      <c r="P2059" s="8" t="n">
        <f aca="false">MIN(100,ROUND(100*J2059/Assumptions!$B$8,0))</f>
        <v>85</v>
      </c>
      <c r="Q2059" s="8" t="n">
        <f aca="false">IF(L2059="",Assumptions!$B$9,L2059*10)</f>
        <v>70</v>
      </c>
      <c r="R2059" s="8" t="n">
        <f aca="false">IF(M2059&lt;=1,Assumptions!$B$12,IF(M2059&lt;=3,Assumptions!$B$13,IF(M2059&lt;=6,Assumptions!$B$14,Assumptions!$B$15)))</f>
        <v>75</v>
      </c>
      <c r="S2059" s="8" t="n">
        <f aca="false">IF(N2059="Completed On Time",Assumptions!$B$16,IF(N2059="Completed Late",Assumptions!$B$17,Assumptions!$B$18))</f>
        <v>100</v>
      </c>
      <c r="T2059" s="8" t="n">
        <f aca="false">IF(I2059=0,Assumptions!$B$20,IF(H2059&gt;I2059,Assumptions!$B$19,IF(H2059=I2059,Assumptions!$B$20,Assumptions!$B$21)))</f>
        <v>70</v>
      </c>
      <c r="U2059" s="8" t="n">
        <f aca="false">ROUND(P2059*Assumptions!$B$2+Q2059*Assumptions!$B$3+R2059*Assumptions!$B$4+S2059*Assumptions!$B$5+T2059*Assumptions!$B$6,0)</f>
        <v>79</v>
      </c>
      <c r="V2059" s="8" t="str">
        <f aca="false">IF(U2059&gt;=Assumptions!$B$10,"Healthy",IF(U2059&gt;=Assumptions!$B$11,"Needs Attention","High Risk"))</f>
        <v>Needs Attention</v>
      </c>
    </row>
    <row r="2060" customFormat="false" ht="15" hidden="false" customHeight="false" outlineLevel="0" collapsed="false">
      <c r="A2060" s="8" t="s">
        <v>4262</v>
      </c>
      <c r="B2060" s="8" t="s">
        <v>4263</v>
      </c>
      <c r="C2060" s="8" t="s">
        <v>51</v>
      </c>
      <c r="D2060" s="8" t="s">
        <v>2027</v>
      </c>
      <c r="E2060" s="8" t="s">
        <v>123</v>
      </c>
      <c r="F2060" s="8" t="s">
        <v>136</v>
      </c>
      <c r="G2060" s="8" t="s">
        <v>177</v>
      </c>
      <c r="H2060" s="15" t="n">
        <v>84</v>
      </c>
      <c r="I2060" s="15" t="n">
        <v>84</v>
      </c>
      <c r="J2060" s="16" t="n">
        <v>0.714</v>
      </c>
      <c r="K2060" s="8" t="n">
        <v>8</v>
      </c>
      <c r="L2060" s="8" t="n">
        <v>8</v>
      </c>
      <c r="M2060" s="8" t="n">
        <v>3</v>
      </c>
      <c r="N2060" s="8" t="s">
        <v>120</v>
      </c>
      <c r="O2060" s="15" t="n">
        <f aca="false">H2060*12</f>
        <v>1008</v>
      </c>
      <c r="P2060" s="8" t="n">
        <f aca="false">MIN(100,ROUND(100*J2060/Assumptions!$B$8,0))</f>
        <v>79</v>
      </c>
      <c r="Q2060" s="8" t="n">
        <f aca="false">IF(L2060="",Assumptions!$B$9,L2060*10)</f>
        <v>80</v>
      </c>
      <c r="R2060" s="8" t="n">
        <f aca="false">IF(M2060&lt;=1,Assumptions!$B$12,IF(M2060&lt;=3,Assumptions!$B$13,IF(M2060&lt;=6,Assumptions!$B$14,Assumptions!$B$15)))</f>
        <v>75</v>
      </c>
      <c r="S2060" s="8" t="n">
        <f aca="false">IF(N2060="Completed On Time",Assumptions!$B$16,IF(N2060="Completed Late",Assumptions!$B$17,Assumptions!$B$18))</f>
        <v>100</v>
      </c>
      <c r="T2060" s="8" t="n">
        <f aca="false">IF(I2060=0,Assumptions!$B$20,IF(H2060&gt;I2060,Assumptions!$B$19,IF(H2060=I2060,Assumptions!$B$20,Assumptions!$B$21)))</f>
        <v>70</v>
      </c>
      <c r="U2060" s="8" t="n">
        <f aca="false">ROUND(P2060*Assumptions!$B$2+Q2060*Assumptions!$B$3+R2060*Assumptions!$B$4+S2060*Assumptions!$B$5+T2060*Assumptions!$B$6,0)</f>
        <v>79</v>
      </c>
      <c r="V2060" s="8" t="str">
        <f aca="false">IF(U2060&gt;=Assumptions!$B$10,"Healthy",IF(U2060&gt;=Assumptions!$B$11,"Needs Attention","High Risk"))</f>
        <v>Needs Attention</v>
      </c>
    </row>
    <row r="2061" customFormat="false" ht="15" hidden="false" customHeight="false" outlineLevel="0" collapsed="false">
      <c r="A2061" s="8" t="s">
        <v>4264</v>
      </c>
      <c r="B2061" s="8" t="s">
        <v>4265</v>
      </c>
      <c r="C2061" s="8" t="s">
        <v>51</v>
      </c>
      <c r="D2061" s="8" t="s">
        <v>2027</v>
      </c>
      <c r="E2061" s="8" t="s">
        <v>132</v>
      </c>
      <c r="F2061" s="8" t="s">
        <v>136</v>
      </c>
      <c r="G2061" s="8" t="s">
        <v>140</v>
      </c>
      <c r="H2061" s="15" t="n">
        <v>84</v>
      </c>
      <c r="I2061" s="15" t="n">
        <v>84</v>
      </c>
      <c r="J2061" s="16" t="n">
        <v>0.524</v>
      </c>
      <c r="K2061" s="8" t="n">
        <v>6.7</v>
      </c>
      <c r="L2061" s="8" t="n">
        <v>6</v>
      </c>
      <c r="M2061" s="8" t="n">
        <v>2</v>
      </c>
      <c r="N2061" s="8" t="s">
        <v>120</v>
      </c>
      <c r="O2061" s="15" t="n">
        <f aca="false">H2061*12</f>
        <v>1008</v>
      </c>
      <c r="P2061" s="8" t="n">
        <f aca="false">MIN(100,ROUND(100*J2061/Assumptions!$B$8,0))</f>
        <v>58</v>
      </c>
      <c r="Q2061" s="8" t="n">
        <f aca="false">IF(L2061="",Assumptions!$B$9,L2061*10)</f>
        <v>60</v>
      </c>
      <c r="R2061" s="8" t="n">
        <f aca="false">IF(M2061&lt;=1,Assumptions!$B$12,IF(M2061&lt;=3,Assumptions!$B$13,IF(M2061&lt;=6,Assumptions!$B$14,Assumptions!$B$15)))</f>
        <v>75</v>
      </c>
      <c r="S2061" s="8" t="n">
        <f aca="false">IF(N2061="Completed On Time",Assumptions!$B$16,IF(N2061="Completed Late",Assumptions!$B$17,Assumptions!$B$18))</f>
        <v>100</v>
      </c>
      <c r="T2061" s="8" t="n">
        <f aca="false">IF(I2061=0,Assumptions!$B$20,IF(H2061&gt;I2061,Assumptions!$B$19,IF(H2061=I2061,Assumptions!$B$20,Assumptions!$B$21)))</f>
        <v>70</v>
      </c>
      <c r="U2061" s="8" t="n">
        <f aca="false">ROUND(P2061*Assumptions!$B$2+Q2061*Assumptions!$B$3+R2061*Assumptions!$B$4+S2061*Assumptions!$B$5+T2061*Assumptions!$B$6,0)</f>
        <v>68</v>
      </c>
      <c r="V2061" s="8" t="str">
        <f aca="false">IF(U2061&gt;=Assumptions!$B$10,"Healthy",IF(U2061&gt;=Assumptions!$B$11,"Needs Attention","High Risk"))</f>
        <v>Needs Attention</v>
      </c>
    </row>
    <row r="2062" customFormat="false" ht="15" hidden="false" customHeight="false" outlineLevel="0" collapsed="false">
      <c r="A2062" s="8" t="s">
        <v>4266</v>
      </c>
      <c r="B2062" s="8" t="s">
        <v>4267</v>
      </c>
      <c r="C2062" s="8" t="s">
        <v>51</v>
      </c>
      <c r="D2062" s="8" t="s">
        <v>2027</v>
      </c>
      <c r="E2062" s="8" t="s">
        <v>132</v>
      </c>
      <c r="F2062" s="8" t="s">
        <v>143</v>
      </c>
      <c r="G2062" s="8" t="s">
        <v>180</v>
      </c>
      <c r="H2062" s="15" t="n">
        <v>84</v>
      </c>
      <c r="I2062" s="15" t="n">
        <v>84</v>
      </c>
      <c r="J2062" s="16" t="n">
        <v>0.905</v>
      </c>
      <c r="K2062" s="8" t="n">
        <v>11.3</v>
      </c>
      <c r="L2062" s="8" t="n">
        <v>10</v>
      </c>
      <c r="M2062" s="8" t="n">
        <v>1</v>
      </c>
      <c r="N2062" s="8" t="s">
        <v>120</v>
      </c>
      <c r="O2062" s="15" t="n">
        <f aca="false">H2062*12</f>
        <v>1008</v>
      </c>
      <c r="P2062" s="8" t="n">
        <f aca="false">MIN(100,ROUND(100*J2062/Assumptions!$B$8,0))</f>
        <v>100</v>
      </c>
      <c r="Q2062" s="8" t="n">
        <f aca="false">IF(L2062="",Assumptions!$B$9,L2062*10)</f>
        <v>100</v>
      </c>
      <c r="R2062" s="8" t="n">
        <f aca="false">IF(M2062&lt;=1,Assumptions!$B$12,IF(M2062&lt;=3,Assumptions!$B$13,IF(M2062&lt;=6,Assumptions!$B$14,Assumptions!$B$15)))</f>
        <v>100</v>
      </c>
      <c r="S2062" s="8" t="n">
        <f aca="false">IF(N2062="Completed On Time",Assumptions!$B$16,IF(N2062="Completed Late",Assumptions!$B$17,Assumptions!$B$18))</f>
        <v>100</v>
      </c>
      <c r="T2062" s="8" t="n">
        <f aca="false">IF(I2062=0,Assumptions!$B$20,IF(H2062&gt;I2062,Assumptions!$B$19,IF(H2062=I2062,Assumptions!$B$20,Assumptions!$B$21)))</f>
        <v>70</v>
      </c>
      <c r="U2062" s="8" t="n">
        <f aca="false">ROUND(P2062*Assumptions!$B$2+Q2062*Assumptions!$B$3+R2062*Assumptions!$B$4+S2062*Assumptions!$B$5+T2062*Assumptions!$B$6,0)</f>
        <v>94</v>
      </c>
      <c r="V2062" s="8" t="str">
        <f aca="false">IF(U2062&gt;=Assumptions!$B$10,"Healthy",IF(U2062&gt;=Assumptions!$B$11,"Needs Attention","High Risk"))</f>
        <v>Healthy</v>
      </c>
    </row>
    <row r="2063" customFormat="false" ht="15" hidden="false" customHeight="false" outlineLevel="0" collapsed="false">
      <c r="A2063" s="8" t="s">
        <v>4268</v>
      </c>
      <c r="B2063" s="8" t="s">
        <v>4269</v>
      </c>
      <c r="C2063" s="8" t="s">
        <v>51</v>
      </c>
      <c r="D2063" s="8" t="s">
        <v>2027</v>
      </c>
      <c r="E2063" s="8" t="s">
        <v>123</v>
      </c>
      <c r="F2063" s="8" t="s">
        <v>136</v>
      </c>
      <c r="G2063" s="8" t="s">
        <v>185</v>
      </c>
      <c r="H2063" s="15" t="n">
        <v>84</v>
      </c>
      <c r="I2063" s="15" t="n">
        <v>84</v>
      </c>
      <c r="J2063" s="16" t="n">
        <v>0.714</v>
      </c>
      <c r="K2063" s="8" t="n">
        <v>8</v>
      </c>
      <c r="L2063" s="8" t="n">
        <v>9</v>
      </c>
      <c r="M2063" s="8" t="n">
        <v>3</v>
      </c>
      <c r="N2063" s="8" t="s">
        <v>120</v>
      </c>
      <c r="O2063" s="15" t="n">
        <f aca="false">H2063*12</f>
        <v>1008</v>
      </c>
      <c r="P2063" s="8" t="n">
        <f aca="false">MIN(100,ROUND(100*J2063/Assumptions!$B$8,0))</f>
        <v>79</v>
      </c>
      <c r="Q2063" s="8" t="n">
        <f aca="false">IF(L2063="",Assumptions!$B$9,L2063*10)</f>
        <v>90</v>
      </c>
      <c r="R2063" s="8" t="n">
        <f aca="false">IF(M2063&lt;=1,Assumptions!$B$12,IF(M2063&lt;=3,Assumptions!$B$13,IF(M2063&lt;=6,Assumptions!$B$14,Assumptions!$B$15)))</f>
        <v>75</v>
      </c>
      <c r="S2063" s="8" t="n">
        <f aca="false">IF(N2063="Completed On Time",Assumptions!$B$16,IF(N2063="Completed Late",Assumptions!$B$17,Assumptions!$B$18))</f>
        <v>100</v>
      </c>
      <c r="T2063" s="8" t="n">
        <f aca="false">IF(I2063=0,Assumptions!$B$20,IF(H2063&gt;I2063,Assumptions!$B$19,IF(H2063=I2063,Assumptions!$B$20,Assumptions!$B$21)))</f>
        <v>70</v>
      </c>
      <c r="U2063" s="8" t="n">
        <f aca="false">ROUND(P2063*Assumptions!$B$2+Q2063*Assumptions!$B$3+R2063*Assumptions!$B$4+S2063*Assumptions!$B$5+T2063*Assumptions!$B$6,0)</f>
        <v>81</v>
      </c>
      <c r="V2063" s="8" t="str">
        <f aca="false">IF(U2063&gt;=Assumptions!$B$10,"Healthy",IF(U2063&gt;=Assumptions!$B$11,"Needs Attention","High Risk"))</f>
        <v>Healthy</v>
      </c>
    </row>
    <row r="2064" customFormat="false" ht="15" hidden="false" customHeight="false" outlineLevel="0" collapsed="false">
      <c r="A2064" s="8" t="s">
        <v>4270</v>
      </c>
      <c r="B2064" s="8" t="s">
        <v>4271</v>
      </c>
      <c r="C2064" s="8" t="s">
        <v>51</v>
      </c>
      <c r="D2064" s="8" t="s">
        <v>2027</v>
      </c>
      <c r="E2064" s="8" t="s">
        <v>132</v>
      </c>
      <c r="F2064" s="8" t="s">
        <v>154</v>
      </c>
      <c r="G2064" s="8" t="s">
        <v>180</v>
      </c>
      <c r="H2064" s="15" t="n">
        <v>84</v>
      </c>
      <c r="I2064" s="15" t="n">
        <v>0</v>
      </c>
      <c r="J2064" s="16" t="n">
        <v>1</v>
      </c>
      <c r="K2064" s="8" t="n">
        <v>10.5</v>
      </c>
      <c r="L2064" s="8"/>
      <c r="M2064" s="8" t="n">
        <v>0</v>
      </c>
      <c r="N2064" s="8" t="s">
        <v>120</v>
      </c>
      <c r="O2064" s="15" t="n">
        <f aca="false">H2064*12</f>
        <v>1008</v>
      </c>
      <c r="P2064" s="8" t="n">
        <f aca="false">MIN(100,ROUND(100*J2064/Assumptions!$B$8,0))</f>
        <v>100</v>
      </c>
      <c r="Q2064" s="8" t="n">
        <f aca="false">IF(L2064="",Assumptions!$B$9,L2064*10)</f>
        <v>50</v>
      </c>
      <c r="R2064" s="8" t="n">
        <f aca="false">IF(M2064&lt;=1,Assumptions!$B$12,IF(M2064&lt;=3,Assumptions!$B$13,IF(M2064&lt;=6,Assumptions!$B$14,Assumptions!$B$15)))</f>
        <v>100</v>
      </c>
      <c r="S2064" s="8" t="n">
        <f aca="false">IF(N2064="Completed On Time",Assumptions!$B$16,IF(N2064="Completed Late",Assumptions!$B$17,Assumptions!$B$18))</f>
        <v>100</v>
      </c>
      <c r="T2064" s="8" t="n">
        <f aca="false">IF(I2064=0,Assumptions!$B$20,IF(H2064&gt;I2064,Assumptions!$B$19,IF(H2064=I2064,Assumptions!$B$20,Assumptions!$B$21)))</f>
        <v>70</v>
      </c>
      <c r="U2064" s="8" t="n">
        <f aca="false">ROUND(P2064*Assumptions!$B$2+Q2064*Assumptions!$B$3+R2064*Assumptions!$B$4+S2064*Assumptions!$B$5+T2064*Assumptions!$B$6,0)</f>
        <v>84</v>
      </c>
      <c r="V2064" s="8" t="str">
        <f aca="false">IF(U2064&gt;=Assumptions!$B$10,"Healthy",IF(U2064&gt;=Assumptions!$B$11,"Needs Attention","High Risk"))</f>
        <v>Healthy</v>
      </c>
    </row>
    <row r="2065" customFormat="false" ht="15" hidden="false" customHeight="false" outlineLevel="0" collapsed="false">
      <c r="A2065" s="8" t="s">
        <v>4272</v>
      </c>
      <c r="B2065" s="8" t="s">
        <v>4273</v>
      </c>
      <c r="C2065" s="8" t="s">
        <v>51</v>
      </c>
      <c r="D2065" s="8" t="s">
        <v>2027</v>
      </c>
      <c r="E2065" s="8" t="s">
        <v>117</v>
      </c>
      <c r="F2065" s="8" t="s">
        <v>118</v>
      </c>
      <c r="G2065" s="8" t="s">
        <v>137</v>
      </c>
      <c r="H2065" s="15" t="n">
        <v>84</v>
      </c>
      <c r="I2065" s="15" t="n">
        <v>84</v>
      </c>
      <c r="J2065" s="16" t="n">
        <v>0.667</v>
      </c>
      <c r="K2065" s="8" t="n">
        <v>7.7</v>
      </c>
      <c r="L2065" s="8" t="n">
        <v>6</v>
      </c>
      <c r="M2065" s="8" t="n">
        <v>3</v>
      </c>
      <c r="N2065" s="8" t="s">
        <v>120</v>
      </c>
      <c r="O2065" s="15" t="n">
        <f aca="false">H2065*12</f>
        <v>1008</v>
      </c>
      <c r="P2065" s="8" t="n">
        <f aca="false">MIN(100,ROUND(100*J2065/Assumptions!$B$8,0))</f>
        <v>74</v>
      </c>
      <c r="Q2065" s="8" t="n">
        <f aca="false">IF(L2065="",Assumptions!$B$9,L2065*10)</f>
        <v>60</v>
      </c>
      <c r="R2065" s="8" t="n">
        <f aca="false">IF(M2065&lt;=1,Assumptions!$B$12,IF(M2065&lt;=3,Assumptions!$B$13,IF(M2065&lt;=6,Assumptions!$B$14,Assumptions!$B$15)))</f>
        <v>75</v>
      </c>
      <c r="S2065" s="8" t="n">
        <f aca="false">IF(N2065="Completed On Time",Assumptions!$B$16,IF(N2065="Completed Late",Assumptions!$B$17,Assumptions!$B$18))</f>
        <v>100</v>
      </c>
      <c r="T2065" s="8" t="n">
        <f aca="false">IF(I2065=0,Assumptions!$B$20,IF(H2065&gt;I2065,Assumptions!$B$19,IF(H2065=I2065,Assumptions!$B$20,Assumptions!$B$21)))</f>
        <v>70</v>
      </c>
      <c r="U2065" s="8" t="n">
        <f aca="false">ROUND(P2065*Assumptions!$B$2+Q2065*Assumptions!$B$3+R2065*Assumptions!$B$4+S2065*Assumptions!$B$5+T2065*Assumptions!$B$6,0)</f>
        <v>73</v>
      </c>
      <c r="V2065" s="8" t="str">
        <f aca="false">IF(U2065&gt;=Assumptions!$B$10,"Healthy",IF(U2065&gt;=Assumptions!$B$11,"Needs Attention","High Risk"))</f>
        <v>Needs Attention</v>
      </c>
    </row>
    <row r="2066" customFormat="false" ht="15" hidden="false" customHeight="false" outlineLevel="0" collapsed="false">
      <c r="A2066" s="8" t="s">
        <v>4274</v>
      </c>
      <c r="B2066" s="8" t="s">
        <v>4275</v>
      </c>
      <c r="C2066" s="8" t="s">
        <v>51</v>
      </c>
      <c r="D2066" s="8" t="s">
        <v>2027</v>
      </c>
      <c r="E2066" s="8" t="s">
        <v>123</v>
      </c>
      <c r="F2066" s="8" t="s">
        <v>190</v>
      </c>
      <c r="G2066" s="8" t="s">
        <v>180</v>
      </c>
      <c r="H2066" s="15" t="n">
        <v>84</v>
      </c>
      <c r="I2066" s="15" t="n">
        <v>84</v>
      </c>
      <c r="J2066" s="16" t="n">
        <v>0.905</v>
      </c>
      <c r="K2066" s="8" t="n">
        <v>11.3</v>
      </c>
      <c r="L2066" s="8" t="n">
        <v>10</v>
      </c>
      <c r="M2066" s="8" t="n">
        <v>0</v>
      </c>
      <c r="N2066" s="8" t="s">
        <v>120</v>
      </c>
      <c r="O2066" s="15" t="n">
        <f aca="false">H2066*12</f>
        <v>1008</v>
      </c>
      <c r="P2066" s="8" t="n">
        <f aca="false">MIN(100,ROUND(100*J2066/Assumptions!$B$8,0))</f>
        <v>100</v>
      </c>
      <c r="Q2066" s="8" t="n">
        <f aca="false">IF(L2066="",Assumptions!$B$9,L2066*10)</f>
        <v>100</v>
      </c>
      <c r="R2066" s="8" t="n">
        <f aca="false">IF(M2066&lt;=1,Assumptions!$B$12,IF(M2066&lt;=3,Assumptions!$B$13,IF(M2066&lt;=6,Assumptions!$B$14,Assumptions!$B$15)))</f>
        <v>100</v>
      </c>
      <c r="S2066" s="8" t="n">
        <f aca="false">IF(N2066="Completed On Time",Assumptions!$B$16,IF(N2066="Completed Late",Assumptions!$B$17,Assumptions!$B$18))</f>
        <v>100</v>
      </c>
      <c r="T2066" s="8" t="n">
        <f aca="false">IF(I2066=0,Assumptions!$B$20,IF(H2066&gt;I2066,Assumptions!$B$19,IF(H2066=I2066,Assumptions!$B$20,Assumptions!$B$21)))</f>
        <v>70</v>
      </c>
      <c r="U2066" s="8" t="n">
        <f aca="false">ROUND(P2066*Assumptions!$B$2+Q2066*Assumptions!$B$3+R2066*Assumptions!$B$4+S2066*Assumptions!$B$5+T2066*Assumptions!$B$6,0)</f>
        <v>94</v>
      </c>
      <c r="V2066" s="8" t="str">
        <f aca="false">IF(U2066&gt;=Assumptions!$B$10,"Healthy",IF(U2066&gt;=Assumptions!$B$11,"Needs Attention","High Risk"))</f>
        <v>Healthy</v>
      </c>
    </row>
    <row r="2067" customFormat="false" ht="15" hidden="false" customHeight="false" outlineLevel="0" collapsed="false">
      <c r="A2067" s="8" t="s">
        <v>4276</v>
      </c>
      <c r="B2067" s="8" t="s">
        <v>4277</v>
      </c>
      <c r="C2067" s="8" t="s">
        <v>51</v>
      </c>
      <c r="D2067" s="8" t="s">
        <v>2027</v>
      </c>
      <c r="E2067" s="8" t="s">
        <v>123</v>
      </c>
      <c r="F2067" s="8" t="s">
        <v>154</v>
      </c>
      <c r="G2067" s="8" t="s">
        <v>180</v>
      </c>
      <c r="H2067" s="15" t="n">
        <v>84</v>
      </c>
      <c r="I2067" s="15" t="n">
        <v>84</v>
      </c>
      <c r="J2067" s="16" t="n">
        <v>0.762</v>
      </c>
      <c r="K2067" s="8" t="n">
        <v>8</v>
      </c>
      <c r="L2067" s="8" t="n">
        <v>10</v>
      </c>
      <c r="M2067" s="8" t="n">
        <v>3</v>
      </c>
      <c r="N2067" s="8" t="s">
        <v>120</v>
      </c>
      <c r="O2067" s="15" t="n">
        <f aca="false">H2067*12</f>
        <v>1008</v>
      </c>
      <c r="P2067" s="8" t="n">
        <f aca="false">MIN(100,ROUND(100*J2067/Assumptions!$B$8,0))</f>
        <v>85</v>
      </c>
      <c r="Q2067" s="8" t="n">
        <f aca="false">IF(L2067="",Assumptions!$B$9,L2067*10)</f>
        <v>100</v>
      </c>
      <c r="R2067" s="8" t="n">
        <f aca="false">IF(M2067&lt;=1,Assumptions!$B$12,IF(M2067&lt;=3,Assumptions!$B$13,IF(M2067&lt;=6,Assumptions!$B$14,Assumptions!$B$15)))</f>
        <v>75</v>
      </c>
      <c r="S2067" s="8" t="n">
        <f aca="false">IF(N2067="Completed On Time",Assumptions!$B$16,IF(N2067="Completed Late",Assumptions!$B$17,Assumptions!$B$18))</f>
        <v>100</v>
      </c>
      <c r="T2067" s="8" t="n">
        <f aca="false">IF(I2067=0,Assumptions!$B$20,IF(H2067&gt;I2067,Assumptions!$B$19,IF(H2067=I2067,Assumptions!$B$20,Assumptions!$B$21)))</f>
        <v>70</v>
      </c>
      <c r="U2067" s="8" t="n">
        <f aca="false">ROUND(P2067*Assumptions!$B$2+Q2067*Assumptions!$B$3+R2067*Assumptions!$B$4+S2067*Assumptions!$B$5+T2067*Assumptions!$B$6,0)</f>
        <v>85</v>
      </c>
      <c r="V2067" s="8" t="str">
        <f aca="false">IF(U2067&gt;=Assumptions!$B$10,"Healthy",IF(U2067&gt;=Assumptions!$B$11,"Needs Attention","High Risk"))</f>
        <v>Healthy</v>
      </c>
    </row>
    <row r="2068" customFormat="false" ht="15" hidden="false" customHeight="false" outlineLevel="0" collapsed="false">
      <c r="A2068" s="8" t="s">
        <v>4278</v>
      </c>
      <c r="B2068" s="8" t="s">
        <v>4279</v>
      </c>
      <c r="C2068" s="8" t="s">
        <v>51</v>
      </c>
      <c r="D2068" s="8" t="s">
        <v>2027</v>
      </c>
      <c r="E2068" s="8" t="s">
        <v>117</v>
      </c>
      <c r="F2068" s="8" t="s">
        <v>133</v>
      </c>
      <c r="G2068" s="8" t="s">
        <v>159</v>
      </c>
      <c r="H2068" s="15" t="n">
        <v>84</v>
      </c>
      <c r="I2068" s="15" t="n">
        <v>84</v>
      </c>
      <c r="J2068" s="16" t="n">
        <v>0.524</v>
      </c>
      <c r="K2068" s="8" t="n">
        <v>4</v>
      </c>
      <c r="L2068" s="8" t="n">
        <v>5</v>
      </c>
      <c r="M2068" s="8" t="n">
        <v>8</v>
      </c>
      <c r="N2068" s="8" t="s">
        <v>148</v>
      </c>
      <c r="O2068" s="15" t="n">
        <f aca="false">H2068*12</f>
        <v>1008</v>
      </c>
      <c r="P2068" s="8" t="n">
        <f aca="false">MIN(100,ROUND(100*J2068/Assumptions!$B$8,0))</f>
        <v>58</v>
      </c>
      <c r="Q2068" s="8" t="n">
        <f aca="false">IF(L2068="",Assumptions!$B$9,L2068*10)</f>
        <v>50</v>
      </c>
      <c r="R2068" s="8" t="n">
        <f aca="false">IF(M2068&lt;=1,Assumptions!$B$12,IF(M2068&lt;=3,Assumptions!$B$13,IF(M2068&lt;=6,Assumptions!$B$14,Assumptions!$B$15)))</f>
        <v>20</v>
      </c>
      <c r="S2068" s="8" t="n">
        <f aca="false">IF(N2068="Completed On Time",Assumptions!$B$16,IF(N2068="Completed Late",Assumptions!$B$17,Assumptions!$B$18))</f>
        <v>60</v>
      </c>
      <c r="T2068" s="8" t="n">
        <f aca="false">IF(I2068=0,Assumptions!$B$20,IF(H2068&gt;I2068,Assumptions!$B$19,IF(H2068=I2068,Assumptions!$B$20,Assumptions!$B$21)))</f>
        <v>70</v>
      </c>
      <c r="U2068" s="8" t="n">
        <f aca="false">ROUND(P2068*Assumptions!$B$2+Q2068*Assumptions!$B$3+R2068*Assumptions!$B$4+S2068*Assumptions!$B$5+T2068*Assumptions!$B$6,0)</f>
        <v>53</v>
      </c>
      <c r="V2068" s="8" t="str">
        <f aca="false">IF(U2068&gt;=Assumptions!$B$10,"Healthy",IF(U2068&gt;=Assumptions!$B$11,"Needs Attention","High Risk"))</f>
        <v>High Risk</v>
      </c>
    </row>
    <row r="2069" customFormat="false" ht="15" hidden="false" customHeight="false" outlineLevel="0" collapsed="false">
      <c r="A2069" s="8" t="s">
        <v>4280</v>
      </c>
      <c r="B2069" s="8" t="s">
        <v>4281</v>
      </c>
      <c r="C2069" s="8" t="s">
        <v>51</v>
      </c>
      <c r="D2069" s="8" t="s">
        <v>2027</v>
      </c>
      <c r="E2069" s="8" t="s">
        <v>123</v>
      </c>
      <c r="F2069" s="8" t="s">
        <v>190</v>
      </c>
      <c r="G2069" s="8" t="s">
        <v>125</v>
      </c>
      <c r="H2069" s="15" t="n">
        <v>84</v>
      </c>
      <c r="I2069" s="15" t="n">
        <v>60</v>
      </c>
      <c r="J2069" s="16" t="n">
        <v>1</v>
      </c>
      <c r="K2069" s="8" t="n">
        <v>10.7</v>
      </c>
      <c r="L2069" s="8" t="n">
        <v>9</v>
      </c>
      <c r="M2069" s="8" t="n">
        <v>3</v>
      </c>
      <c r="N2069" s="8" t="s">
        <v>120</v>
      </c>
      <c r="O2069" s="15" t="n">
        <f aca="false">H2069*12</f>
        <v>1008</v>
      </c>
      <c r="P2069" s="8" t="n">
        <f aca="false">MIN(100,ROUND(100*J2069/Assumptions!$B$8,0))</f>
        <v>100</v>
      </c>
      <c r="Q2069" s="8" t="n">
        <f aca="false">IF(L2069="",Assumptions!$B$9,L2069*10)</f>
        <v>90</v>
      </c>
      <c r="R2069" s="8" t="n">
        <f aca="false">IF(M2069&lt;=1,Assumptions!$B$12,IF(M2069&lt;=3,Assumptions!$B$13,IF(M2069&lt;=6,Assumptions!$B$14,Assumptions!$B$15)))</f>
        <v>75</v>
      </c>
      <c r="S2069" s="8" t="n">
        <f aca="false">IF(N2069="Completed On Time",Assumptions!$B$16,IF(N2069="Completed Late",Assumptions!$B$17,Assumptions!$B$18))</f>
        <v>100</v>
      </c>
      <c r="T2069" s="8" t="n">
        <f aca="false">IF(I2069=0,Assumptions!$B$20,IF(H2069&gt;I2069,Assumptions!$B$19,IF(H2069=I2069,Assumptions!$B$20,Assumptions!$B$21)))</f>
        <v>100</v>
      </c>
      <c r="U2069" s="8" t="n">
        <f aca="false">ROUND(P2069*Assumptions!$B$2+Q2069*Assumptions!$B$3+R2069*Assumptions!$B$4+S2069*Assumptions!$B$5+T2069*Assumptions!$B$6,0)</f>
        <v>94</v>
      </c>
      <c r="V2069" s="8" t="str">
        <f aca="false">IF(U2069&gt;=Assumptions!$B$10,"Healthy",IF(U2069&gt;=Assumptions!$B$11,"Needs Attention","High Risk"))</f>
        <v>Healthy</v>
      </c>
    </row>
    <row r="2070" customFormat="false" ht="15" hidden="false" customHeight="false" outlineLevel="0" collapsed="false">
      <c r="A2070" s="8" t="s">
        <v>4282</v>
      </c>
      <c r="B2070" s="8" t="s">
        <v>4283</v>
      </c>
      <c r="C2070" s="8" t="s">
        <v>51</v>
      </c>
      <c r="D2070" s="8" t="s">
        <v>2027</v>
      </c>
      <c r="E2070" s="8" t="s">
        <v>123</v>
      </c>
      <c r="F2070" s="8" t="s">
        <v>143</v>
      </c>
      <c r="G2070" s="8" t="s">
        <v>119</v>
      </c>
      <c r="H2070" s="15" t="n">
        <v>84</v>
      </c>
      <c r="I2070" s="15" t="n">
        <v>84</v>
      </c>
      <c r="J2070" s="16" t="n">
        <v>0.714</v>
      </c>
      <c r="K2070" s="8" t="n">
        <v>8.3</v>
      </c>
      <c r="L2070" s="8" t="n">
        <v>8</v>
      </c>
      <c r="M2070" s="8" t="n">
        <v>4</v>
      </c>
      <c r="N2070" s="8" t="s">
        <v>120</v>
      </c>
      <c r="O2070" s="15" t="n">
        <f aca="false">H2070*12</f>
        <v>1008</v>
      </c>
      <c r="P2070" s="8" t="n">
        <f aca="false">MIN(100,ROUND(100*J2070/Assumptions!$B$8,0))</f>
        <v>79</v>
      </c>
      <c r="Q2070" s="8" t="n">
        <f aca="false">IF(L2070="",Assumptions!$B$9,L2070*10)</f>
        <v>80</v>
      </c>
      <c r="R2070" s="8" t="n">
        <f aca="false">IF(M2070&lt;=1,Assumptions!$B$12,IF(M2070&lt;=3,Assumptions!$B$13,IF(M2070&lt;=6,Assumptions!$B$14,Assumptions!$B$15)))</f>
        <v>50</v>
      </c>
      <c r="S2070" s="8" t="n">
        <f aca="false">IF(N2070="Completed On Time",Assumptions!$B$16,IF(N2070="Completed Late",Assumptions!$B$17,Assumptions!$B$18))</f>
        <v>100</v>
      </c>
      <c r="T2070" s="8" t="n">
        <f aca="false">IF(I2070=0,Assumptions!$B$20,IF(H2070&gt;I2070,Assumptions!$B$19,IF(H2070=I2070,Assumptions!$B$20,Assumptions!$B$21)))</f>
        <v>70</v>
      </c>
      <c r="U2070" s="8" t="n">
        <f aca="false">ROUND(P2070*Assumptions!$B$2+Q2070*Assumptions!$B$3+R2070*Assumptions!$B$4+S2070*Assumptions!$B$5+T2070*Assumptions!$B$6,0)</f>
        <v>75</v>
      </c>
      <c r="V2070" s="8" t="str">
        <f aca="false">IF(U2070&gt;=Assumptions!$B$10,"Healthy",IF(U2070&gt;=Assumptions!$B$11,"Needs Attention","High Risk"))</f>
        <v>Needs Attention</v>
      </c>
    </row>
    <row r="2071" customFormat="false" ht="15" hidden="false" customHeight="false" outlineLevel="0" collapsed="false">
      <c r="A2071" s="8" t="s">
        <v>4284</v>
      </c>
      <c r="B2071" s="8" t="s">
        <v>4285</v>
      </c>
      <c r="C2071" s="8" t="s">
        <v>51</v>
      </c>
      <c r="D2071" s="8" t="s">
        <v>2027</v>
      </c>
      <c r="E2071" s="8" t="s">
        <v>123</v>
      </c>
      <c r="F2071" s="8" t="s">
        <v>133</v>
      </c>
      <c r="G2071" s="8" t="s">
        <v>140</v>
      </c>
      <c r="H2071" s="15" t="n">
        <v>84</v>
      </c>
      <c r="I2071" s="15" t="n">
        <v>84</v>
      </c>
      <c r="J2071" s="16" t="n">
        <v>0.762</v>
      </c>
      <c r="K2071" s="8" t="n">
        <v>9.3</v>
      </c>
      <c r="L2071" s="8" t="n">
        <v>8</v>
      </c>
      <c r="M2071" s="8" t="n">
        <v>1</v>
      </c>
      <c r="N2071" s="8" t="s">
        <v>120</v>
      </c>
      <c r="O2071" s="15" t="n">
        <f aca="false">H2071*12</f>
        <v>1008</v>
      </c>
      <c r="P2071" s="8" t="n">
        <f aca="false">MIN(100,ROUND(100*J2071/Assumptions!$B$8,0))</f>
        <v>85</v>
      </c>
      <c r="Q2071" s="8" t="n">
        <f aca="false">IF(L2071="",Assumptions!$B$9,L2071*10)</f>
        <v>80</v>
      </c>
      <c r="R2071" s="8" t="n">
        <f aca="false">IF(M2071&lt;=1,Assumptions!$B$12,IF(M2071&lt;=3,Assumptions!$B$13,IF(M2071&lt;=6,Assumptions!$B$14,Assumptions!$B$15)))</f>
        <v>100</v>
      </c>
      <c r="S2071" s="8" t="n">
        <f aca="false">IF(N2071="Completed On Time",Assumptions!$B$16,IF(N2071="Completed Late",Assumptions!$B$17,Assumptions!$B$18))</f>
        <v>100</v>
      </c>
      <c r="T2071" s="8" t="n">
        <f aca="false">IF(I2071=0,Assumptions!$B$20,IF(H2071&gt;I2071,Assumptions!$B$19,IF(H2071=I2071,Assumptions!$B$20,Assumptions!$B$21)))</f>
        <v>70</v>
      </c>
      <c r="U2071" s="8" t="n">
        <f aca="false">ROUND(P2071*Assumptions!$B$2+Q2071*Assumptions!$B$3+R2071*Assumptions!$B$4+S2071*Assumptions!$B$5+T2071*Assumptions!$B$6,0)</f>
        <v>85</v>
      </c>
      <c r="V2071" s="8" t="str">
        <f aca="false">IF(U2071&gt;=Assumptions!$B$10,"Healthy",IF(U2071&gt;=Assumptions!$B$11,"Needs Attention","High Risk"))</f>
        <v>Healthy</v>
      </c>
    </row>
    <row r="2072" customFormat="false" ht="15" hidden="false" customHeight="false" outlineLevel="0" collapsed="false">
      <c r="A2072" s="8" t="s">
        <v>4286</v>
      </c>
      <c r="B2072" s="8" t="s">
        <v>4287</v>
      </c>
      <c r="C2072" s="8" t="s">
        <v>51</v>
      </c>
      <c r="D2072" s="8" t="s">
        <v>2027</v>
      </c>
      <c r="E2072" s="8" t="s">
        <v>132</v>
      </c>
      <c r="F2072" s="8" t="s">
        <v>190</v>
      </c>
      <c r="G2072" s="8" t="s">
        <v>137</v>
      </c>
      <c r="H2072" s="15" t="n">
        <v>84</v>
      </c>
      <c r="I2072" s="15" t="n">
        <v>84</v>
      </c>
      <c r="J2072" s="16" t="n">
        <v>0.714</v>
      </c>
      <c r="K2072" s="8" t="n">
        <v>10.7</v>
      </c>
      <c r="L2072" s="8" t="n">
        <v>10</v>
      </c>
      <c r="M2072" s="8" t="n">
        <v>2</v>
      </c>
      <c r="N2072" s="8" t="s">
        <v>120</v>
      </c>
      <c r="O2072" s="15" t="n">
        <f aca="false">H2072*12</f>
        <v>1008</v>
      </c>
      <c r="P2072" s="8" t="n">
        <f aca="false">MIN(100,ROUND(100*J2072/Assumptions!$B$8,0))</f>
        <v>79</v>
      </c>
      <c r="Q2072" s="8" t="n">
        <f aca="false">IF(L2072="",Assumptions!$B$9,L2072*10)</f>
        <v>100</v>
      </c>
      <c r="R2072" s="8" t="n">
        <f aca="false">IF(M2072&lt;=1,Assumptions!$B$12,IF(M2072&lt;=3,Assumptions!$B$13,IF(M2072&lt;=6,Assumptions!$B$14,Assumptions!$B$15)))</f>
        <v>75</v>
      </c>
      <c r="S2072" s="8" t="n">
        <f aca="false">IF(N2072="Completed On Time",Assumptions!$B$16,IF(N2072="Completed Late",Assumptions!$B$17,Assumptions!$B$18))</f>
        <v>100</v>
      </c>
      <c r="T2072" s="8" t="n">
        <f aca="false">IF(I2072=0,Assumptions!$B$20,IF(H2072&gt;I2072,Assumptions!$B$19,IF(H2072=I2072,Assumptions!$B$20,Assumptions!$B$21)))</f>
        <v>70</v>
      </c>
      <c r="U2072" s="8" t="n">
        <f aca="false">ROUND(P2072*Assumptions!$B$2+Q2072*Assumptions!$B$3+R2072*Assumptions!$B$4+S2072*Assumptions!$B$5+T2072*Assumptions!$B$6,0)</f>
        <v>83</v>
      </c>
      <c r="V2072" s="8" t="str">
        <f aca="false">IF(U2072&gt;=Assumptions!$B$10,"Healthy",IF(U2072&gt;=Assumptions!$B$11,"Needs Attention","High Risk"))</f>
        <v>Healthy</v>
      </c>
    </row>
    <row r="2073" customFormat="false" ht="15" hidden="false" customHeight="false" outlineLevel="0" collapsed="false">
      <c r="A2073" s="8" t="s">
        <v>4288</v>
      </c>
      <c r="B2073" s="8" t="s">
        <v>4289</v>
      </c>
      <c r="C2073" s="8" t="s">
        <v>51</v>
      </c>
      <c r="D2073" s="8" t="s">
        <v>2027</v>
      </c>
      <c r="E2073" s="8" t="s">
        <v>123</v>
      </c>
      <c r="F2073" s="8" t="s">
        <v>166</v>
      </c>
      <c r="G2073" s="8" t="s">
        <v>159</v>
      </c>
      <c r="H2073" s="15" t="n">
        <v>84</v>
      </c>
      <c r="I2073" s="15" t="n">
        <v>84</v>
      </c>
      <c r="J2073" s="16" t="n">
        <v>0.857</v>
      </c>
      <c r="K2073" s="8" t="n">
        <v>10.7</v>
      </c>
      <c r="L2073" s="8" t="n">
        <v>8</v>
      </c>
      <c r="M2073" s="8" t="n">
        <v>3</v>
      </c>
      <c r="N2073" s="8" t="s">
        <v>120</v>
      </c>
      <c r="O2073" s="15" t="n">
        <f aca="false">H2073*12</f>
        <v>1008</v>
      </c>
      <c r="P2073" s="8" t="n">
        <f aca="false">MIN(100,ROUND(100*J2073/Assumptions!$B$8,0))</f>
        <v>95</v>
      </c>
      <c r="Q2073" s="8" t="n">
        <f aca="false">IF(L2073="",Assumptions!$B$9,L2073*10)</f>
        <v>80</v>
      </c>
      <c r="R2073" s="8" t="n">
        <f aca="false">IF(M2073&lt;=1,Assumptions!$B$12,IF(M2073&lt;=3,Assumptions!$B$13,IF(M2073&lt;=6,Assumptions!$B$14,Assumptions!$B$15)))</f>
        <v>75</v>
      </c>
      <c r="S2073" s="8" t="n">
        <f aca="false">IF(N2073="Completed On Time",Assumptions!$B$16,IF(N2073="Completed Late",Assumptions!$B$17,Assumptions!$B$18))</f>
        <v>100</v>
      </c>
      <c r="T2073" s="8" t="n">
        <f aca="false">IF(I2073=0,Assumptions!$B$20,IF(H2073&gt;I2073,Assumptions!$B$19,IF(H2073=I2073,Assumptions!$B$20,Assumptions!$B$21)))</f>
        <v>70</v>
      </c>
      <c r="U2073" s="8" t="n">
        <f aca="false">ROUND(P2073*Assumptions!$B$2+Q2073*Assumptions!$B$3+R2073*Assumptions!$B$4+S2073*Assumptions!$B$5+T2073*Assumptions!$B$6,0)</f>
        <v>85</v>
      </c>
      <c r="V2073" s="8" t="str">
        <f aca="false">IF(U2073&gt;=Assumptions!$B$10,"Healthy",IF(U2073&gt;=Assumptions!$B$11,"Needs Attention","High Risk"))</f>
        <v>Healthy</v>
      </c>
    </row>
    <row r="2074" customFormat="false" ht="15" hidden="false" customHeight="false" outlineLevel="0" collapsed="false">
      <c r="A2074" s="8" t="s">
        <v>4290</v>
      </c>
      <c r="B2074" s="8" t="s">
        <v>4291</v>
      </c>
      <c r="C2074" s="8" t="s">
        <v>51</v>
      </c>
      <c r="D2074" s="8" t="s">
        <v>2027</v>
      </c>
      <c r="E2074" s="8" t="s">
        <v>132</v>
      </c>
      <c r="F2074" s="8" t="s">
        <v>133</v>
      </c>
      <c r="G2074" s="8" t="s">
        <v>144</v>
      </c>
      <c r="H2074" s="15" t="n">
        <v>84</v>
      </c>
      <c r="I2074" s="15" t="n">
        <v>84</v>
      </c>
      <c r="J2074" s="16" t="n">
        <v>0.762</v>
      </c>
      <c r="K2074" s="8" t="n">
        <v>9</v>
      </c>
      <c r="L2074" s="8" t="n">
        <v>9</v>
      </c>
      <c r="M2074" s="8" t="n">
        <v>1</v>
      </c>
      <c r="N2074" s="8" t="s">
        <v>120</v>
      </c>
      <c r="O2074" s="15" t="n">
        <f aca="false">H2074*12</f>
        <v>1008</v>
      </c>
      <c r="P2074" s="8" t="n">
        <f aca="false">MIN(100,ROUND(100*J2074/Assumptions!$B$8,0))</f>
        <v>85</v>
      </c>
      <c r="Q2074" s="8" t="n">
        <f aca="false">IF(L2074="",Assumptions!$B$9,L2074*10)</f>
        <v>90</v>
      </c>
      <c r="R2074" s="8" t="n">
        <f aca="false">IF(M2074&lt;=1,Assumptions!$B$12,IF(M2074&lt;=3,Assumptions!$B$13,IF(M2074&lt;=6,Assumptions!$B$14,Assumptions!$B$15)))</f>
        <v>100</v>
      </c>
      <c r="S2074" s="8" t="n">
        <f aca="false">IF(N2074="Completed On Time",Assumptions!$B$16,IF(N2074="Completed Late",Assumptions!$B$17,Assumptions!$B$18))</f>
        <v>100</v>
      </c>
      <c r="T2074" s="8" t="n">
        <f aca="false">IF(I2074=0,Assumptions!$B$20,IF(H2074&gt;I2074,Assumptions!$B$19,IF(H2074=I2074,Assumptions!$B$20,Assumptions!$B$21)))</f>
        <v>70</v>
      </c>
      <c r="U2074" s="8" t="n">
        <f aca="false">ROUND(P2074*Assumptions!$B$2+Q2074*Assumptions!$B$3+R2074*Assumptions!$B$4+S2074*Assumptions!$B$5+T2074*Assumptions!$B$6,0)</f>
        <v>87</v>
      </c>
      <c r="V2074" s="8" t="str">
        <f aca="false">IF(U2074&gt;=Assumptions!$B$10,"Healthy",IF(U2074&gt;=Assumptions!$B$11,"Needs Attention","High Risk"))</f>
        <v>Healthy</v>
      </c>
    </row>
    <row r="2075" customFormat="false" ht="15" hidden="false" customHeight="false" outlineLevel="0" collapsed="false">
      <c r="A2075" s="8" t="s">
        <v>4292</v>
      </c>
      <c r="B2075" s="8" t="s">
        <v>4293</v>
      </c>
      <c r="C2075" s="8" t="s">
        <v>51</v>
      </c>
      <c r="D2075" s="8" t="s">
        <v>2027</v>
      </c>
      <c r="E2075" s="8" t="s">
        <v>123</v>
      </c>
      <c r="F2075" s="8" t="s">
        <v>151</v>
      </c>
      <c r="G2075" s="8" t="s">
        <v>144</v>
      </c>
      <c r="H2075" s="15" t="n">
        <v>84</v>
      </c>
      <c r="I2075" s="15" t="n">
        <v>84</v>
      </c>
      <c r="J2075" s="16" t="n">
        <v>0.905</v>
      </c>
      <c r="K2075" s="8" t="n">
        <v>11.3</v>
      </c>
      <c r="L2075" s="8" t="n">
        <v>10</v>
      </c>
      <c r="M2075" s="8" t="n">
        <v>1</v>
      </c>
      <c r="N2075" s="8" t="s">
        <v>120</v>
      </c>
      <c r="O2075" s="15" t="n">
        <f aca="false">H2075*12</f>
        <v>1008</v>
      </c>
      <c r="P2075" s="8" t="n">
        <f aca="false">MIN(100,ROUND(100*J2075/Assumptions!$B$8,0))</f>
        <v>100</v>
      </c>
      <c r="Q2075" s="8" t="n">
        <f aca="false">IF(L2075="",Assumptions!$B$9,L2075*10)</f>
        <v>100</v>
      </c>
      <c r="R2075" s="8" t="n">
        <f aca="false">IF(M2075&lt;=1,Assumptions!$B$12,IF(M2075&lt;=3,Assumptions!$B$13,IF(M2075&lt;=6,Assumptions!$B$14,Assumptions!$B$15)))</f>
        <v>100</v>
      </c>
      <c r="S2075" s="8" t="n">
        <f aca="false">IF(N2075="Completed On Time",Assumptions!$B$16,IF(N2075="Completed Late",Assumptions!$B$17,Assumptions!$B$18))</f>
        <v>100</v>
      </c>
      <c r="T2075" s="8" t="n">
        <f aca="false">IF(I2075=0,Assumptions!$B$20,IF(H2075&gt;I2075,Assumptions!$B$19,IF(H2075=I2075,Assumptions!$B$20,Assumptions!$B$21)))</f>
        <v>70</v>
      </c>
      <c r="U2075" s="8" t="n">
        <f aca="false">ROUND(P2075*Assumptions!$B$2+Q2075*Assumptions!$B$3+R2075*Assumptions!$B$4+S2075*Assumptions!$B$5+T2075*Assumptions!$B$6,0)</f>
        <v>94</v>
      </c>
      <c r="V2075" s="8" t="str">
        <f aca="false">IF(U2075&gt;=Assumptions!$B$10,"Healthy",IF(U2075&gt;=Assumptions!$B$11,"Needs Attention","High Risk"))</f>
        <v>Healthy</v>
      </c>
    </row>
    <row r="2076" customFormat="false" ht="15" hidden="false" customHeight="false" outlineLevel="0" collapsed="false">
      <c r="A2076" s="8" t="s">
        <v>4294</v>
      </c>
      <c r="B2076" s="8" t="s">
        <v>4295</v>
      </c>
      <c r="C2076" s="8" t="s">
        <v>51</v>
      </c>
      <c r="D2076" s="8" t="s">
        <v>2027</v>
      </c>
      <c r="E2076" s="8" t="s">
        <v>123</v>
      </c>
      <c r="F2076" s="8" t="s">
        <v>118</v>
      </c>
      <c r="G2076" s="8" t="s">
        <v>144</v>
      </c>
      <c r="H2076" s="15" t="n">
        <v>84</v>
      </c>
      <c r="I2076" s="15" t="n">
        <v>84</v>
      </c>
      <c r="J2076" s="16" t="n">
        <v>0.81</v>
      </c>
      <c r="K2076" s="8" t="n">
        <v>10.7</v>
      </c>
      <c r="L2076" s="8" t="n">
        <v>10</v>
      </c>
      <c r="M2076" s="8" t="n">
        <v>1</v>
      </c>
      <c r="N2076" s="8" t="s">
        <v>120</v>
      </c>
      <c r="O2076" s="15" t="n">
        <f aca="false">H2076*12</f>
        <v>1008</v>
      </c>
      <c r="P2076" s="8" t="n">
        <f aca="false">MIN(100,ROUND(100*J2076/Assumptions!$B$8,0))</f>
        <v>90</v>
      </c>
      <c r="Q2076" s="8" t="n">
        <f aca="false">IF(L2076="",Assumptions!$B$9,L2076*10)</f>
        <v>100</v>
      </c>
      <c r="R2076" s="8" t="n">
        <f aca="false">IF(M2076&lt;=1,Assumptions!$B$12,IF(M2076&lt;=3,Assumptions!$B$13,IF(M2076&lt;=6,Assumptions!$B$14,Assumptions!$B$15)))</f>
        <v>100</v>
      </c>
      <c r="S2076" s="8" t="n">
        <f aca="false">IF(N2076="Completed On Time",Assumptions!$B$16,IF(N2076="Completed Late",Assumptions!$B$17,Assumptions!$B$18))</f>
        <v>100</v>
      </c>
      <c r="T2076" s="8" t="n">
        <f aca="false">IF(I2076=0,Assumptions!$B$20,IF(H2076&gt;I2076,Assumptions!$B$19,IF(H2076=I2076,Assumptions!$B$20,Assumptions!$B$21)))</f>
        <v>70</v>
      </c>
      <c r="U2076" s="8" t="n">
        <f aca="false">ROUND(P2076*Assumptions!$B$2+Q2076*Assumptions!$B$3+R2076*Assumptions!$B$4+S2076*Assumptions!$B$5+T2076*Assumptions!$B$6,0)</f>
        <v>91</v>
      </c>
      <c r="V2076" s="8" t="str">
        <f aca="false">IF(U2076&gt;=Assumptions!$B$10,"Healthy",IF(U2076&gt;=Assumptions!$B$11,"Needs Attention","High Risk"))</f>
        <v>Healthy</v>
      </c>
    </row>
    <row r="2077" customFormat="false" ht="15" hidden="false" customHeight="false" outlineLevel="0" collapsed="false">
      <c r="A2077" s="8" t="s">
        <v>4296</v>
      </c>
      <c r="B2077" s="8" t="s">
        <v>4297</v>
      </c>
      <c r="C2077" s="8" t="s">
        <v>51</v>
      </c>
      <c r="D2077" s="8" t="s">
        <v>2027</v>
      </c>
      <c r="E2077" s="8" t="s">
        <v>132</v>
      </c>
      <c r="F2077" s="8" t="s">
        <v>154</v>
      </c>
      <c r="G2077" s="8" t="s">
        <v>140</v>
      </c>
      <c r="H2077" s="15" t="n">
        <v>84</v>
      </c>
      <c r="I2077" s="15" t="n">
        <v>84</v>
      </c>
      <c r="J2077" s="16" t="n">
        <v>0.714</v>
      </c>
      <c r="K2077" s="8" t="n">
        <v>7</v>
      </c>
      <c r="L2077" s="8" t="n">
        <v>4</v>
      </c>
      <c r="M2077" s="8" t="n">
        <v>2</v>
      </c>
      <c r="N2077" s="8" t="s">
        <v>120</v>
      </c>
      <c r="O2077" s="15" t="n">
        <f aca="false">H2077*12</f>
        <v>1008</v>
      </c>
      <c r="P2077" s="8" t="n">
        <f aca="false">MIN(100,ROUND(100*J2077/Assumptions!$B$8,0))</f>
        <v>79</v>
      </c>
      <c r="Q2077" s="8" t="n">
        <f aca="false">IF(L2077="",Assumptions!$B$9,L2077*10)</f>
        <v>40</v>
      </c>
      <c r="R2077" s="8" t="n">
        <f aca="false">IF(M2077&lt;=1,Assumptions!$B$12,IF(M2077&lt;=3,Assumptions!$B$13,IF(M2077&lt;=6,Assumptions!$B$14,Assumptions!$B$15)))</f>
        <v>75</v>
      </c>
      <c r="S2077" s="8" t="n">
        <f aca="false">IF(N2077="Completed On Time",Assumptions!$B$16,IF(N2077="Completed Late",Assumptions!$B$17,Assumptions!$B$18))</f>
        <v>100</v>
      </c>
      <c r="T2077" s="8" t="n">
        <f aca="false">IF(I2077=0,Assumptions!$B$20,IF(H2077&gt;I2077,Assumptions!$B$19,IF(H2077=I2077,Assumptions!$B$20,Assumptions!$B$21)))</f>
        <v>70</v>
      </c>
      <c r="U2077" s="8" t="n">
        <f aca="false">ROUND(P2077*Assumptions!$B$2+Q2077*Assumptions!$B$3+R2077*Assumptions!$B$4+S2077*Assumptions!$B$5+T2077*Assumptions!$B$6,0)</f>
        <v>71</v>
      </c>
      <c r="V2077" s="8" t="str">
        <f aca="false">IF(U2077&gt;=Assumptions!$B$10,"Healthy",IF(U2077&gt;=Assumptions!$B$11,"Needs Attention","High Risk"))</f>
        <v>Needs Attention</v>
      </c>
    </row>
    <row r="2078" customFormat="false" ht="15" hidden="false" customHeight="false" outlineLevel="0" collapsed="false">
      <c r="A2078" s="8" t="s">
        <v>4298</v>
      </c>
      <c r="B2078" s="8" t="s">
        <v>4299</v>
      </c>
      <c r="C2078" s="8" t="s">
        <v>51</v>
      </c>
      <c r="D2078" s="8" t="s">
        <v>2027</v>
      </c>
      <c r="E2078" s="8" t="s">
        <v>132</v>
      </c>
      <c r="F2078" s="8" t="s">
        <v>223</v>
      </c>
      <c r="G2078" s="8" t="s">
        <v>177</v>
      </c>
      <c r="H2078" s="15" t="n">
        <v>84</v>
      </c>
      <c r="I2078" s="15" t="n">
        <v>84</v>
      </c>
      <c r="J2078" s="16" t="n">
        <v>0.667</v>
      </c>
      <c r="K2078" s="8" t="n">
        <v>8</v>
      </c>
      <c r="L2078" s="8" t="n">
        <v>9</v>
      </c>
      <c r="M2078" s="8" t="n">
        <v>1</v>
      </c>
      <c r="N2078" s="8" t="s">
        <v>120</v>
      </c>
      <c r="O2078" s="15" t="n">
        <f aca="false">H2078*12</f>
        <v>1008</v>
      </c>
      <c r="P2078" s="8" t="n">
        <f aca="false">MIN(100,ROUND(100*J2078/Assumptions!$B$8,0))</f>
        <v>74</v>
      </c>
      <c r="Q2078" s="8" t="n">
        <f aca="false">IF(L2078="",Assumptions!$B$9,L2078*10)</f>
        <v>90</v>
      </c>
      <c r="R2078" s="8" t="n">
        <f aca="false">IF(M2078&lt;=1,Assumptions!$B$12,IF(M2078&lt;=3,Assumptions!$B$13,IF(M2078&lt;=6,Assumptions!$B$14,Assumptions!$B$15)))</f>
        <v>100</v>
      </c>
      <c r="S2078" s="8" t="n">
        <f aca="false">IF(N2078="Completed On Time",Assumptions!$B$16,IF(N2078="Completed Late",Assumptions!$B$17,Assumptions!$B$18))</f>
        <v>100</v>
      </c>
      <c r="T2078" s="8" t="n">
        <f aca="false">IF(I2078=0,Assumptions!$B$20,IF(H2078&gt;I2078,Assumptions!$B$19,IF(H2078=I2078,Assumptions!$B$20,Assumptions!$B$21)))</f>
        <v>70</v>
      </c>
      <c r="U2078" s="8" t="n">
        <f aca="false">ROUND(P2078*Assumptions!$B$2+Q2078*Assumptions!$B$3+R2078*Assumptions!$B$4+S2078*Assumptions!$B$5+T2078*Assumptions!$B$6,0)</f>
        <v>83</v>
      </c>
      <c r="V2078" s="8" t="str">
        <f aca="false">IF(U2078&gt;=Assumptions!$B$10,"Healthy",IF(U2078&gt;=Assumptions!$B$11,"Needs Attention","High Risk"))</f>
        <v>Healthy</v>
      </c>
    </row>
    <row r="2079" customFormat="false" ht="15" hidden="false" customHeight="false" outlineLevel="0" collapsed="false">
      <c r="A2079" s="8" t="s">
        <v>4300</v>
      </c>
      <c r="B2079" s="8" t="s">
        <v>4301</v>
      </c>
      <c r="C2079" s="8" t="s">
        <v>51</v>
      </c>
      <c r="D2079" s="8" t="s">
        <v>2027</v>
      </c>
      <c r="E2079" s="8" t="s">
        <v>117</v>
      </c>
      <c r="F2079" s="8" t="s">
        <v>190</v>
      </c>
      <c r="G2079" s="8" t="s">
        <v>137</v>
      </c>
      <c r="H2079" s="15" t="n">
        <v>72</v>
      </c>
      <c r="I2079" s="15" t="n">
        <v>72</v>
      </c>
      <c r="J2079" s="16" t="n">
        <v>0.667</v>
      </c>
      <c r="K2079" s="8" t="n">
        <v>8.7</v>
      </c>
      <c r="L2079" s="8" t="n">
        <v>8</v>
      </c>
      <c r="M2079" s="8" t="n">
        <v>3</v>
      </c>
      <c r="N2079" s="8" t="s">
        <v>120</v>
      </c>
      <c r="O2079" s="15" t="n">
        <f aca="false">H2079*12</f>
        <v>864</v>
      </c>
      <c r="P2079" s="8" t="n">
        <f aca="false">MIN(100,ROUND(100*J2079/Assumptions!$B$8,0))</f>
        <v>74</v>
      </c>
      <c r="Q2079" s="8" t="n">
        <f aca="false">IF(L2079="",Assumptions!$B$9,L2079*10)</f>
        <v>80</v>
      </c>
      <c r="R2079" s="8" t="n">
        <f aca="false">IF(M2079&lt;=1,Assumptions!$B$12,IF(M2079&lt;=3,Assumptions!$B$13,IF(M2079&lt;=6,Assumptions!$B$14,Assumptions!$B$15)))</f>
        <v>75</v>
      </c>
      <c r="S2079" s="8" t="n">
        <f aca="false">IF(N2079="Completed On Time",Assumptions!$B$16,IF(N2079="Completed Late",Assumptions!$B$17,Assumptions!$B$18))</f>
        <v>100</v>
      </c>
      <c r="T2079" s="8" t="n">
        <f aca="false">IF(I2079=0,Assumptions!$B$20,IF(H2079&gt;I2079,Assumptions!$B$19,IF(H2079=I2079,Assumptions!$B$20,Assumptions!$B$21)))</f>
        <v>70</v>
      </c>
      <c r="U2079" s="8" t="n">
        <f aca="false">ROUND(P2079*Assumptions!$B$2+Q2079*Assumptions!$B$3+R2079*Assumptions!$B$4+S2079*Assumptions!$B$5+T2079*Assumptions!$B$6,0)</f>
        <v>77</v>
      </c>
      <c r="V2079" s="8" t="str">
        <f aca="false">IF(U2079&gt;=Assumptions!$B$10,"Healthy",IF(U2079&gt;=Assumptions!$B$11,"Needs Attention","High Risk"))</f>
        <v>Needs Attention</v>
      </c>
    </row>
    <row r="2080" customFormat="false" ht="15" hidden="false" customHeight="false" outlineLevel="0" collapsed="false">
      <c r="A2080" s="8" t="s">
        <v>4302</v>
      </c>
      <c r="B2080" s="8" t="s">
        <v>4303</v>
      </c>
      <c r="C2080" s="8" t="s">
        <v>51</v>
      </c>
      <c r="D2080" s="8" t="s">
        <v>2027</v>
      </c>
      <c r="E2080" s="8" t="s">
        <v>128</v>
      </c>
      <c r="F2080" s="8" t="s">
        <v>151</v>
      </c>
      <c r="G2080" s="8" t="s">
        <v>180</v>
      </c>
      <c r="H2080" s="15" t="n">
        <v>72</v>
      </c>
      <c r="I2080" s="15" t="n">
        <v>0</v>
      </c>
      <c r="J2080" s="16" t="n">
        <v>0.917</v>
      </c>
      <c r="K2080" s="8" t="n">
        <v>11.5</v>
      </c>
      <c r="L2080" s="8"/>
      <c r="M2080" s="8" t="n">
        <v>1</v>
      </c>
      <c r="N2080" s="8" t="s">
        <v>120</v>
      </c>
      <c r="O2080" s="15" t="n">
        <f aca="false">H2080*12</f>
        <v>864</v>
      </c>
      <c r="P2080" s="8" t="n">
        <f aca="false">MIN(100,ROUND(100*J2080/Assumptions!$B$8,0))</f>
        <v>100</v>
      </c>
      <c r="Q2080" s="8" t="n">
        <f aca="false">IF(L2080="",Assumptions!$B$9,L2080*10)</f>
        <v>50</v>
      </c>
      <c r="R2080" s="8" t="n">
        <f aca="false">IF(M2080&lt;=1,Assumptions!$B$12,IF(M2080&lt;=3,Assumptions!$B$13,IF(M2080&lt;=6,Assumptions!$B$14,Assumptions!$B$15)))</f>
        <v>100</v>
      </c>
      <c r="S2080" s="8" t="n">
        <f aca="false">IF(N2080="Completed On Time",Assumptions!$B$16,IF(N2080="Completed Late",Assumptions!$B$17,Assumptions!$B$18))</f>
        <v>100</v>
      </c>
      <c r="T2080" s="8" t="n">
        <f aca="false">IF(I2080=0,Assumptions!$B$20,IF(H2080&gt;I2080,Assumptions!$B$19,IF(H2080=I2080,Assumptions!$B$20,Assumptions!$B$21)))</f>
        <v>70</v>
      </c>
      <c r="U2080" s="8" t="n">
        <f aca="false">ROUND(P2080*Assumptions!$B$2+Q2080*Assumptions!$B$3+R2080*Assumptions!$B$4+S2080*Assumptions!$B$5+T2080*Assumptions!$B$6,0)</f>
        <v>84</v>
      </c>
      <c r="V2080" s="8" t="str">
        <f aca="false">IF(U2080&gt;=Assumptions!$B$10,"Healthy",IF(U2080&gt;=Assumptions!$B$11,"Needs Attention","High Risk"))</f>
        <v>Healthy</v>
      </c>
    </row>
    <row r="2081" customFormat="false" ht="15" hidden="false" customHeight="false" outlineLevel="0" collapsed="false">
      <c r="A2081" s="8" t="s">
        <v>4304</v>
      </c>
      <c r="B2081" s="8" t="s">
        <v>4305</v>
      </c>
      <c r="C2081" s="8" t="s">
        <v>51</v>
      </c>
      <c r="D2081" s="8" t="s">
        <v>2027</v>
      </c>
      <c r="E2081" s="8" t="s">
        <v>123</v>
      </c>
      <c r="F2081" s="8" t="s">
        <v>136</v>
      </c>
      <c r="G2081" s="8" t="s">
        <v>119</v>
      </c>
      <c r="H2081" s="15" t="n">
        <v>72</v>
      </c>
      <c r="I2081" s="15" t="n">
        <v>72</v>
      </c>
      <c r="J2081" s="16" t="n">
        <v>0.722</v>
      </c>
      <c r="K2081" s="8" t="n">
        <v>8</v>
      </c>
      <c r="L2081" s="8" t="n">
        <v>8</v>
      </c>
      <c r="M2081" s="8" t="n">
        <v>3</v>
      </c>
      <c r="N2081" s="8" t="s">
        <v>120</v>
      </c>
      <c r="O2081" s="15" t="n">
        <f aca="false">H2081*12</f>
        <v>864</v>
      </c>
      <c r="P2081" s="8" t="n">
        <f aca="false">MIN(100,ROUND(100*J2081/Assumptions!$B$8,0))</f>
        <v>80</v>
      </c>
      <c r="Q2081" s="8" t="n">
        <f aca="false">IF(L2081="",Assumptions!$B$9,L2081*10)</f>
        <v>80</v>
      </c>
      <c r="R2081" s="8" t="n">
        <f aca="false">IF(M2081&lt;=1,Assumptions!$B$12,IF(M2081&lt;=3,Assumptions!$B$13,IF(M2081&lt;=6,Assumptions!$B$14,Assumptions!$B$15)))</f>
        <v>75</v>
      </c>
      <c r="S2081" s="8" t="n">
        <f aca="false">IF(N2081="Completed On Time",Assumptions!$B$16,IF(N2081="Completed Late",Assumptions!$B$17,Assumptions!$B$18))</f>
        <v>100</v>
      </c>
      <c r="T2081" s="8" t="n">
        <f aca="false">IF(I2081=0,Assumptions!$B$20,IF(H2081&gt;I2081,Assumptions!$B$19,IF(H2081=I2081,Assumptions!$B$20,Assumptions!$B$21)))</f>
        <v>70</v>
      </c>
      <c r="U2081" s="8" t="n">
        <f aca="false">ROUND(P2081*Assumptions!$B$2+Q2081*Assumptions!$B$3+R2081*Assumptions!$B$4+S2081*Assumptions!$B$5+T2081*Assumptions!$B$6,0)</f>
        <v>79</v>
      </c>
      <c r="V2081" s="8" t="str">
        <f aca="false">IF(U2081&gt;=Assumptions!$B$10,"Healthy",IF(U2081&gt;=Assumptions!$B$11,"Needs Attention","High Risk"))</f>
        <v>Needs Attention</v>
      </c>
    </row>
    <row r="2082" customFormat="false" ht="15" hidden="false" customHeight="false" outlineLevel="0" collapsed="false">
      <c r="A2082" s="8" t="s">
        <v>4306</v>
      </c>
      <c r="B2082" s="8" t="s">
        <v>4307</v>
      </c>
      <c r="C2082" s="8" t="s">
        <v>51</v>
      </c>
      <c r="D2082" s="8" t="s">
        <v>2027</v>
      </c>
      <c r="E2082" s="8" t="s">
        <v>123</v>
      </c>
      <c r="F2082" s="8" t="s">
        <v>154</v>
      </c>
      <c r="G2082" s="8" t="s">
        <v>147</v>
      </c>
      <c r="H2082" s="15" t="n">
        <v>72</v>
      </c>
      <c r="I2082" s="15" t="n">
        <v>72</v>
      </c>
      <c r="J2082" s="16" t="n">
        <v>0.556</v>
      </c>
      <c r="K2082" s="8" t="n">
        <v>7.3</v>
      </c>
      <c r="L2082" s="8" t="n">
        <v>6</v>
      </c>
      <c r="M2082" s="8" t="n">
        <v>4</v>
      </c>
      <c r="N2082" s="8" t="s">
        <v>120</v>
      </c>
      <c r="O2082" s="15" t="n">
        <f aca="false">H2082*12</f>
        <v>864</v>
      </c>
      <c r="P2082" s="8" t="n">
        <f aca="false">MIN(100,ROUND(100*J2082/Assumptions!$B$8,0))</f>
        <v>62</v>
      </c>
      <c r="Q2082" s="8" t="n">
        <f aca="false">IF(L2082="",Assumptions!$B$9,L2082*10)</f>
        <v>60</v>
      </c>
      <c r="R2082" s="8" t="n">
        <f aca="false">IF(M2082&lt;=1,Assumptions!$B$12,IF(M2082&lt;=3,Assumptions!$B$13,IF(M2082&lt;=6,Assumptions!$B$14,Assumptions!$B$15)))</f>
        <v>50</v>
      </c>
      <c r="S2082" s="8" t="n">
        <f aca="false">IF(N2082="Completed On Time",Assumptions!$B$16,IF(N2082="Completed Late",Assumptions!$B$17,Assumptions!$B$18))</f>
        <v>100</v>
      </c>
      <c r="T2082" s="8" t="n">
        <f aca="false">IF(I2082=0,Assumptions!$B$20,IF(H2082&gt;I2082,Assumptions!$B$19,IF(H2082=I2082,Assumptions!$B$20,Assumptions!$B$21)))</f>
        <v>70</v>
      </c>
      <c r="U2082" s="8" t="n">
        <f aca="false">ROUND(P2082*Assumptions!$B$2+Q2082*Assumptions!$B$3+R2082*Assumptions!$B$4+S2082*Assumptions!$B$5+T2082*Assumptions!$B$6,0)</f>
        <v>65</v>
      </c>
      <c r="V2082" s="8" t="str">
        <f aca="false">IF(U2082&gt;=Assumptions!$B$10,"Healthy",IF(U2082&gt;=Assumptions!$B$11,"Needs Attention","High Risk"))</f>
        <v>Needs Attention</v>
      </c>
    </row>
    <row r="2083" customFormat="false" ht="15" hidden="false" customHeight="false" outlineLevel="0" collapsed="false">
      <c r="A2083" s="8" t="s">
        <v>4308</v>
      </c>
      <c r="B2083" s="8" t="s">
        <v>4309</v>
      </c>
      <c r="C2083" s="8" t="s">
        <v>51</v>
      </c>
      <c r="D2083" s="8" t="s">
        <v>2027</v>
      </c>
      <c r="E2083" s="8" t="s">
        <v>123</v>
      </c>
      <c r="F2083" s="8" t="s">
        <v>151</v>
      </c>
      <c r="G2083" s="8" t="s">
        <v>119</v>
      </c>
      <c r="H2083" s="15" t="n">
        <v>72</v>
      </c>
      <c r="I2083" s="15" t="n">
        <v>72</v>
      </c>
      <c r="J2083" s="16" t="n">
        <v>0.722</v>
      </c>
      <c r="K2083" s="8" t="n">
        <v>7</v>
      </c>
      <c r="L2083" s="8" t="n">
        <v>9</v>
      </c>
      <c r="M2083" s="8" t="n">
        <v>3</v>
      </c>
      <c r="N2083" s="8" t="s">
        <v>120</v>
      </c>
      <c r="O2083" s="15" t="n">
        <f aca="false">H2083*12</f>
        <v>864</v>
      </c>
      <c r="P2083" s="8" t="n">
        <f aca="false">MIN(100,ROUND(100*J2083/Assumptions!$B$8,0))</f>
        <v>80</v>
      </c>
      <c r="Q2083" s="8" t="n">
        <f aca="false">IF(L2083="",Assumptions!$B$9,L2083*10)</f>
        <v>90</v>
      </c>
      <c r="R2083" s="8" t="n">
        <f aca="false">IF(M2083&lt;=1,Assumptions!$B$12,IF(M2083&lt;=3,Assumptions!$B$13,IF(M2083&lt;=6,Assumptions!$B$14,Assumptions!$B$15)))</f>
        <v>75</v>
      </c>
      <c r="S2083" s="8" t="n">
        <f aca="false">IF(N2083="Completed On Time",Assumptions!$B$16,IF(N2083="Completed Late",Assumptions!$B$17,Assumptions!$B$18))</f>
        <v>100</v>
      </c>
      <c r="T2083" s="8" t="n">
        <f aca="false">IF(I2083=0,Assumptions!$B$20,IF(H2083&gt;I2083,Assumptions!$B$19,IF(H2083=I2083,Assumptions!$B$20,Assumptions!$B$21)))</f>
        <v>70</v>
      </c>
      <c r="U2083" s="8" t="n">
        <f aca="false">ROUND(P2083*Assumptions!$B$2+Q2083*Assumptions!$B$3+R2083*Assumptions!$B$4+S2083*Assumptions!$B$5+T2083*Assumptions!$B$6,0)</f>
        <v>81</v>
      </c>
      <c r="V2083" s="8" t="str">
        <f aca="false">IF(U2083&gt;=Assumptions!$B$10,"Healthy",IF(U2083&gt;=Assumptions!$B$11,"Needs Attention","High Risk"))</f>
        <v>Healthy</v>
      </c>
    </row>
    <row r="2084" customFormat="false" ht="15" hidden="false" customHeight="false" outlineLevel="0" collapsed="false">
      <c r="A2084" s="8" t="s">
        <v>4310</v>
      </c>
      <c r="B2084" s="8" t="s">
        <v>4311</v>
      </c>
      <c r="C2084" s="8" t="s">
        <v>51</v>
      </c>
      <c r="D2084" s="8" t="s">
        <v>2027</v>
      </c>
      <c r="E2084" s="8" t="s">
        <v>132</v>
      </c>
      <c r="F2084" s="8" t="s">
        <v>124</v>
      </c>
      <c r="G2084" s="8" t="s">
        <v>180</v>
      </c>
      <c r="H2084" s="15" t="n">
        <v>72</v>
      </c>
      <c r="I2084" s="15" t="n">
        <v>72</v>
      </c>
      <c r="J2084" s="16" t="n">
        <v>0.889</v>
      </c>
      <c r="K2084" s="8" t="n">
        <v>9.7</v>
      </c>
      <c r="L2084" s="8" t="n">
        <v>10</v>
      </c>
      <c r="M2084" s="8" t="n">
        <v>1</v>
      </c>
      <c r="N2084" s="8" t="s">
        <v>120</v>
      </c>
      <c r="O2084" s="15" t="n">
        <f aca="false">H2084*12</f>
        <v>864</v>
      </c>
      <c r="P2084" s="8" t="n">
        <f aca="false">MIN(100,ROUND(100*J2084/Assumptions!$B$8,0))</f>
        <v>99</v>
      </c>
      <c r="Q2084" s="8" t="n">
        <f aca="false">IF(L2084="",Assumptions!$B$9,L2084*10)</f>
        <v>100</v>
      </c>
      <c r="R2084" s="8" t="n">
        <f aca="false">IF(M2084&lt;=1,Assumptions!$B$12,IF(M2084&lt;=3,Assumptions!$B$13,IF(M2084&lt;=6,Assumptions!$B$14,Assumptions!$B$15)))</f>
        <v>100</v>
      </c>
      <c r="S2084" s="8" t="n">
        <f aca="false">IF(N2084="Completed On Time",Assumptions!$B$16,IF(N2084="Completed Late",Assumptions!$B$17,Assumptions!$B$18))</f>
        <v>100</v>
      </c>
      <c r="T2084" s="8" t="n">
        <f aca="false">IF(I2084=0,Assumptions!$B$20,IF(H2084&gt;I2084,Assumptions!$B$19,IF(H2084=I2084,Assumptions!$B$20,Assumptions!$B$21)))</f>
        <v>70</v>
      </c>
      <c r="U2084" s="8" t="n">
        <f aca="false">ROUND(P2084*Assumptions!$B$2+Q2084*Assumptions!$B$3+R2084*Assumptions!$B$4+S2084*Assumptions!$B$5+T2084*Assumptions!$B$6,0)</f>
        <v>94</v>
      </c>
      <c r="V2084" s="8" t="str">
        <f aca="false">IF(U2084&gt;=Assumptions!$B$10,"Healthy",IF(U2084&gt;=Assumptions!$B$11,"Needs Attention","High Risk"))</f>
        <v>Healthy</v>
      </c>
    </row>
    <row r="2085" customFormat="false" ht="15" hidden="false" customHeight="false" outlineLevel="0" collapsed="false">
      <c r="A2085" s="8" t="s">
        <v>4312</v>
      </c>
      <c r="B2085" s="8" t="s">
        <v>4313</v>
      </c>
      <c r="C2085" s="8" t="s">
        <v>51</v>
      </c>
      <c r="D2085" s="8" t="s">
        <v>2027</v>
      </c>
      <c r="E2085" s="8" t="s">
        <v>132</v>
      </c>
      <c r="F2085" s="8" t="s">
        <v>154</v>
      </c>
      <c r="G2085" s="8" t="s">
        <v>144</v>
      </c>
      <c r="H2085" s="15" t="n">
        <v>72</v>
      </c>
      <c r="I2085" s="15" t="n">
        <v>72</v>
      </c>
      <c r="J2085" s="16" t="n">
        <v>0.611</v>
      </c>
      <c r="K2085" s="8" t="n">
        <v>7.3</v>
      </c>
      <c r="L2085" s="8" t="n">
        <v>7</v>
      </c>
      <c r="M2085" s="8" t="n">
        <v>2</v>
      </c>
      <c r="N2085" s="8" t="s">
        <v>120</v>
      </c>
      <c r="O2085" s="15" t="n">
        <f aca="false">H2085*12</f>
        <v>864</v>
      </c>
      <c r="P2085" s="8" t="n">
        <f aca="false">MIN(100,ROUND(100*J2085/Assumptions!$B$8,0))</f>
        <v>68</v>
      </c>
      <c r="Q2085" s="8" t="n">
        <f aca="false">IF(L2085="",Assumptions!$B$9,L2085*10)</f>
        <v>70</v>
      </c>
      <c r="R2085" s="8" t="n">
        <f aca="false">IF(M2085&lt;=1,Assumptions!$B$12,IF(M2085&lt;=3,Assumptions!$B$13,IF(M2085&lt;=6,Assumptions!$B$14,Assumptions!$B$15)))</f>
        <v>75</v>
      </c>
      <c r="S2085" s="8" t="n">
        <f aca="false">IF(N2085="Completed On Time",Assumptions!$B$16,IF(N2085="Completed Late",Assumptions!$B$17,Assumptions!$B$18))</f>
        <v>100</v>
      </c>
      <c r="T2085" s="8" t="n">
        <f aca="false">IF(I2085=0,Assumptions!$B$20,IF(H2085&gt;I2085,Assumptions!$B$19,IF(H2085=I2085,Assumptions!$B$20,Assumptions!$B$21)))</f>
        <v>70</v>
      </c>
      <c r="U2085" s="8" t="n">
        <f aca="false">ROUND(P2085*Assumptions!$B$2+Q2085*Assumptions!$B$3+R2085*Assumptions!$B$4+S2085*Assumptions!$B$5+T2085*Assumptions!$B$6,0)</f>
        <v>73</v>
      </c>
      <c r="V2085" s="8" t="str">
        <f aca="false">IF(U2085&gt;=Assumptions!$B$10,"Healthy",IF(U2085&gt;=Assumptions!$B$11,"Needs Attention","High Risk"))</f>
        <v>Needs Attention</v>
      </c>
    </row>
    <row r="2086" customFormat="false" ht="15" hidden="false" customHeight="false" outlineLevel="0" collapsed="false">
      <c r="A2086" s="8" t="s">
        <v>4314</v>
      </c>
      <c r="B2086" s="8" t="s">
        <v>4315</v>
      </c>
      <c r="C2086" s="8" t="s">
        <v>51</v>
      </c>
      <c r="D2086" s="8" t="s">
        <v>2027</v>
      </c>
      <c r="E2086" s="8" t="s">
        <v>123</v>
      </c>
      <c r="F2086" s="8" t="s">
        <v>143</v>
      </c>
      <c r="G2086" s="8" t="s">
        <v>119</v>
      </c>
      <c r="H2086" s="15" t="n">
        <v>72</v>
      </c>
      <c r="I2086" s="15" t="n">
        <v>72</v>
      </c>
      <c r="J2086" s="16" t="n">
        <v>0.889</v>
      </c>
      <c r="K2086" s="8" t="n">
        <v>11</v>
      </c>
      <c r="L2086" s="8" t="n">
        <v>10</v>
      </c>
      <c r="M2086" s="8" t="n">
        <v>4</v>
      </c>
      <c r="N2086" s="8" t="s">
        <v>120</v>
      </c>
      <c r="O2086" s="15" t="n">
        <f aca="false">H2086*12</f>
        <v>864</v>
      </c>
      <c r="P2086" s="8" t="n">
        <f aca="false">MIN(100,ROUND(100*J2086/Assumptions!$B$8,0))</f>
        <v>99</v>
      </c>
      <c r="Q2086" s="8" t="n">
        <f aca="false">IF(L2086="",Assumptions!$B$9,L2086*10)</f>
        <v>100</v>
      </c>
      <c r="R2086" s="8" t="n">
        <f aca="false">IF(M2086&lt;=1,Assumptions!$B$12,IF(M2086&lt;=3,Assumptions!$B$13,IF(M2086&lt;=6,Assumptions!$B$14,Assumptions!$B$15)))</f>
        <v>50</v>
      </c>
      <c r="S2086" s="8" t="n">
        <f aca="false">IF(N2086="Completed On Time",Assumptions!$B$16,IF(N2086="Completed Late",Assumptions!$B$17,Assumptions!$B$18))</f>
        <v>100</v>
      </c>
      <c r="T2086" s="8" t="n">
        <f aca="false">IF(I2086=0,Assumptions!$B$20,IF(H2086&gt;I2086,Assumptions!$B$19,IF(H2086=I2086,Assumptions!$B$20,Assumptions!$B$21)))</f>
        <v>70</v>
      </c>
      <c r="U2086" s="8" t="n">
        <f aca="false">ROUND(P2086*Assumptions!$B$2+Q2086*Assumptions!$B$3+R2086*Assumptions!$B$4+S2086*Assumptions!$B$5+T2086*Assumptions!$B$6,0)</f>
        <v>86</v>
      </c>
      <c r="V2086" s="8" t="str">
        <f aca="false">IF(U2086&gt;=Assumptions!$B$10,"Healthy",IF(U2086&gt;=Assumptions!$B$11,"Needs Attention","High Risk"))</f>
        <v>Healthy</v>
      </c>
    </row>
    <row r="2087" customFormat="false" ht="15" hidden="false" customHeight="false" outlineLevel="0" collapsed="false">
      <c r="A2087" s="8" t="s">
        <v>4316</v>
      </c>
      <c r="B2087" s="8" t="s">
        <v>4317</v>
      </c>
      <c r="C2087" s="8" t="s">
        <v>51</v>
      </c>
      <c r="D2087" s="8" t="s">
        <v>2027</v>
      </c>
      <c r="E2087" s="8" t="s">
        <v>117</v>
      </c>
      <c r="F2087" s="8" t="s">
        <v>143</v>
      </c>
      <c r="G2087" s="8" t="s">
        <v>144</v>
      </c>
      <c r="H2087" s="15" t="n">
        <v>72</v>
      </c>
      <c r="I2087" s="15" t="n">
        <v>72</v>
      </c>
      <c r="J2087" s="16" t="n">
        <v>0.889</v>
      </c>
      <c r="K2087" s="8" t="n">
        <v>10.7</v>
      </c>
      <c r="L2087" s="8" t="n">
        <v>10</v>
      </c>
      <c r="M2087" s="8" t="n">
        <v>1</v>
      </c>
      <c r="N2087" s="8" t="s">
        <v>120</v>
      </c>
      <c r="O2087" s="15" t="n">
        <f aca="false">H2087*12</f>
        <v>864</v>
      </c>
      <c r="P2087" s="8" t="n">
        <f aca="false">MIN(100,ROUND(100*J2087/Assumptions!$B$8,0))</f>
        <v>99</v>
      </c>
      <c r="Q2087" s="8" t="n">
        <f aca="false">IF(L2087="",Assumptions!$B$9,L2087*10)</f>
        <v>100</v>
      </c>
      <c r="R2087" s="8" t="n">
        <f aca="false">IF(M2087&lt;=1,Assumptions!$B$12,IF(M2087&lt;=3,Assumptions!$B$13,IF(M2087&lt;=6,Assumptions!$B$14,Assumptions!$B$15)))</f>
        <v>100</v>
      </c>
      <c r="S2087" s="8" t="n">
        <f aca="false">IF(N2087="Completed On Time",Assumptions!$B$16,IF(N2087="Completed Late",Assumptions!$B$17,Assumptions!$B$18))</f>
        <v>100</v>
      </c>
      <c r="T2087" s="8" t="n">
        <f aca="false">IF(I2087=0,Assumptions!$B$20,IF(H2087&gt;I2087,Assumptions!$B$19,IF(H2087=I2087,Assumptions!$B$20,Assumptions!$B$21)))</f>
        <v>70</v>
      </c>
      <c r="U2087" s="8" t="n">
        <f aca="false">ROUND(P2087*Assumptions!$B$2+Q2087*Assumptions!$B$3+R2087*Assumptions!$B$4+S2087*Assumptions!$B$5+T2087*Assumptions!$B$6,0)</f>
        <v>94</v>
      </c>
      <c r="V2087" s="8" t="str">
        <f aca="false">IF(U2087&gt;=Assumptions!$B$10,"Healthy",IF(U2087&gt;=Assumptions!$B$11,"Needs Attention","High Risk"))</f>
        <v>Healthy</v>
      </c>
    </row>
    <row r="2088" customFormat="false" ht="15" hidden="false" customHeight="false" outlineLevel="0" collapsed="false">
      <c r="A2088" s="8" t="s">
        <v>4318</v>
      </c>
      <c r="B2088" s="8" t="s">
        <v>4319</v>
      </c>
      <c r="C2088" s="8" t="s">
        <v>51</v>
      </c>
      <c r="D2088" s="8" t="s">
        <v>2027</v>
      </c>
      <c r="E2088" s="8" t="s">
        <v>123</v>
      </c>
      <c r="F2088" s="8" t="s">
        <v>190</v>
      </c>
      <c r="G2088" s="8" t="s">
        <v>129</v>
      </c>
      <c r="H2088" s="15" t="n">
        <v>72</v>
      </c>
      <c r="I2088" s="15" t="n">
        <v>72</v>
      </c>
      <c r="J2088" s="16" t="n">
        <v>1</v>
      </c>
      <c r="K2088" s="8" t="n">
        <v>12</v>
      </c>
      <c r="L2088" s="8" t="n">
        <v>10</v>
      </c>
      <c r="M2088" s="8" t="n">
        <v>0</v>
      </c>
      <c r="N2088" s="8" t="s">
        <v>120</v>
      </c>
      <c r="O2088" s="15" t="n">
        <f aca="false">H2088*12</f>
        <v>864</v>
      </c>
      <c r="P2088" s="8" t="n">
        <f aca="false">MIN(100,ROUND(100*J2088/Assumptions!$B$8,0))</f>
        <v>100</v>
      </c>
      <c r="Q2088" s="8" t="n">
        <f aca="false">IF(L2088="",Assumptions!$B$9,L2088*10)</f>
        <v>100</v>
      </c>
      <c r="R2088" s="8" t="n">
        <f aca="false">IF(M2088&lt;=1,Assumptions!$B$12,IF(M2088&lt;=3,Assumptions!$B$13,IF(M2088&lt;=6,Assumptions!$B$14,Assumptions!$B$15)))</f>
        <v>100</v>
      </c>
      <c r="S2088" s="8" t="n">
        <f aca="false">IF(N2088="Completed On Time",Assumptions!$B$16,IF(N2088="Completed Late",Assumptions!$B$17,Assumptions!$B$18))</f>
        <v>100</v>
      </c>
      <c r="T2088" s="8" t="n">
        <f aca="false">IF(I2088=0,Assumptions!$B$20,IF(H2088&gt;I2088,Assumptions!$B$19,IF(H2088=I2088,Assumptions!$B$20,Assumptions!$B$21)))</f>
        <v>70</v>
      </c>
      <c r="U2088" s="8" t="n">
        <f aca="false">ROUND(P2088*Assumptions!$B$2+Q2088*Assumptions!$B$3+R2088*Assumptions!$B$4+S2088*Assumptions!$B$5+T2088*Assumptions!$B$6,0)</f>
        <v>94</v>
      </c>
      <c r="V2088" s="8" t="str">
        <f aca="false">IF(U2088&gt;=Assumptions!$B$10,"Healthy",IF(U2088&gt;=Assumptions!$B$11,"Needs Attention","High Risk"))</f>
        <v>Healthy</v>
      </c>
    </row>
    <row r="2089" customFormat="false" ht="15" hidden="false" customHeight="false" outlineLevel="0" collapsed="false">
      <c r="A2089" s="8" t="s">
        <v>4320</v>
      </c>
      <c r="B2089" s="8" t="s">
        <v>4321</v>
      </c>
      <c r="C2089" s="8" t="s">
        <v>51</v>
      </c>
      <c r="D2089" s="8" t="s">
        <v>2027</v>
      </c>
      <c r="E2089" s="8" t="s">
        <v>117</v>
      </c>
      <c r="F2089" s="8" t="s">
        <v>154</v>
      </c>
      <c r="G2089" s="8" t="s">
        <v>159</v>
      </c>
      <c r="H2089" s="15" t="n">
        <v>72</v>
      </c>
      <c r="I2089" s="15" t="n">
        <v>72</v>
      </c>
      <c r="J2089" s="16" t="n">
        <v>0.833</v>
      </c>
      <c r="K2089" s="8" t="n">
        <v>10.7</v>
      </c>
      <c r="L2089" s="8" t="n">
        <v>9</v>
      </c>
      <c r="M2089" s="8" t="n">
        <v>1</v>
      </c>
      <c r="N2089" s="8" t="s">
        <v>120</v>
      </c>
      <c r="O2089" s="15" t="n">
        <f aca="false">H2089*12</f>
        <v>864</v>
      </c>
      <c r="P2089" s="8" t="n">
        <f aca="false">MIN(100,ROUND(100*J2089/Assumptions!$B$8,0))</f>
        <v>93</v>
      </c>
      <c r="Q2089" s="8" t="n">
        <f aca="false">IF(L2089="",Assumptions!$B$9,L2089*10)</f>
        <v>90</v>
      </c>
      <c r="R2089" s="8" t="n">
        <f aca="false">IF(M2089&lt;=1,Assumptions!$B$12,IF(M2089&lt;=3,Assumptions!$B$13,IF(M2089&lt;=6,Assumptions!$B$14,Assumptions!$B$15)))</f>
        <v>100</v>
      </c>
      <c r="S2089" s="8" t="n">
        <f aca="false">IF(N2089="Completed On Time",Assumptions!$B$16,IF(N2089="Completed Late",Assumptions!$B$17,Assumptions!$B$18))</f>
        <v>100</v>
      </c>
      <c r="T2089" s="8" t="n">
        <f aca="false">IF(I2089=0,Assumptions!$B$20,IF(H2089&gt;I2089,Assumptions!$B$19,IF(H2089=I2089,Assumptions!$B$20,Assumptions!$B$21)))</f>
        <v>70</v>
      </c>
      <c r="U2089" s="8" t="n">
        <f aca="false">ROUND(P2089*Assumptions!$B$2+Q2089*Assumptions!$B$3+R2089*Assumptions!$B$4+S2089*Assumptions!$B$5+T2089*Assumptions!$B$6,0)</f>
        <v>90</v>
      </c>
      <c r="V2089" s="8" t="str">
        <f aca="false">IF(U2089&gt;=Assumptions!$B$10,"Healthy",IF(U2089&gt;=Assumptions!$B$11,"Needs Attention","High Risk"))</f>
        <v>Healthy</v>
      </c>
    </row>
    <row r="2090" customFormat="false" ht="15" hidden="false" customHeight="false" outlineLevel="0" collapsed="false">
      <c r="A2090" s="8" t="s">
        <v>4322</v>
      </c>
      <c r="B2090" s="8" t="s">
        <v>4323</v>
      </c>
      <c r="C2090" s="8" t="s">
        <v>51</v>
      </c>
      <c r="D2090" s="8" t="s">
        <v>2027</v>
      </c>
      <c r="E2090" s="8" t="s">
        <v>132</v>
      </c>
      <c r="F2090" s="8" t="s">
        <v>166</v>
      </c>
      <c r="G2090" s="8" t="s">
        <v>185</v>
      </c>
      <c r="H2090" s="15" t="n">
        <v>72</v>
      </c>
      <c r="I2090" s="15" t="n">
        <v>72</v>
      </c>
      <c r="J2090" s="16" t="n">
        <v>0.722</v>
      </c>
      <c r="K2090" s="8" t="n">
        <v>8.3</v>
      </c>
      <c r="L2090" s="8" t="n">
        <v>6</v>
      </c>
      <c r="M2090" s="8" t="n">
        <v>1</v>
      </c>
      <c r="N2090" s="8" t="s">
        <v>120</v>
      </c>
      <c r="O2090" s="15" t="n">
        <f aca="false">H2090*12</f>
        <v>864</v>
      </c>
      <c r="P2090" s="8" t="n">
        <f aca="false">MIN(100,ROUND(100*J2090/Assumptions!$B$8,0))</f>
        <v>80</v>
      </c>
      <c r="Q2090" s="8" t="n">
        <f aca="false">IF(L2090="",Assumptions!$B$9,L2090*10)</f>
        <v>60</v>
      </c>
      <c r="R2090" s="8" t="n">
        <f aca="false">IF(M2090&lt;=1,Assumptions!$B$12,IF(M2090&lt;=3,Assumptions!$B$13,IF(M2090&lt;=6,Assumptions!$B$14,Assumptions!$B$15)))</f>
        <v>100</v>
      </c>
      <c r="S2090" s="8" t="n">
        <f aca="false">IF(N2090="Completed On Time",Assumptions!$B$16,IF(N2090="Completed Late",Assumptions!$B$17,Assumptions!$B$18))</f>
        <v>100</v>
      </c>
      <c r="T2090" s="8" t="n">
        <f aca="false">IF(I2090=0,Assumptions!$B$20,IF(H2090&gt;I2090,Assumptions!$B$19,IF(H2090=I2090,Assumptions!$B$20,Assumptions!$B$21)))</f>
        <v>70</v>
      </c>
      <c r="U2090" s="8" t="n">
        <f aca="false">ROUND(P2090*Assumptions!$B$2+Q2090*Assumptions!$B$3+R2090*Assumptions!$B$4+S2090*Assumptions!$B$5+T2090*Assumptions!$B$6,0)</f>
        <v>79</v>
      </c>
      <c r="V2090" s="8" t="str">
        <f aca="false">IF(U2090&gt;=Assumptions!$B$10,"Healthy",IF(U2090&gt;=Assumptions!$B$11,"Needs Attention","High Risk"))</f>
        <v>Needs Attention</v>
      </c>
    </row>
    <row r="2091" customFormat="false" ht="15" hidden="false" customHeight="false" outlineLevel="0" collapsed="false">
      <c r="A2091" s="8" t="s">
        <v>4324</v>
      </c>
      <c r="B2091" s="8" t="s">
        <v>4325</v>
      </c>
      <c r="C2091" s="8" t="s">
        <v>51</v>
      </c>
      <c r="D2091" s="8" t="s">
        <v>2027</v>
      </c>
      <c r="E2091" s="8" t="s">
        <v>117</v>
      </c>
      <c r="F2091" s="8" t="s">
        <v>133</v>
      </c>
      <c r="G2091" s="8" t="s">
        <v>144</v>
      </c>
      <c r="H2091" s="15" t="n">
        <v>72</v>
      </c>
      <c r="I2091" s="15" t="n">
        <v>72</v>
      </c>
      <c r="J2091" s="16" t="n">
        <v>0.556</v>
      </c>
      <c r="K2091" s="8" t="n">
        <v>4.3</v>
      </c>
      <c r="L2091" s="8" t="n">
        <v>5</v>
      </c>
      <c r="M2091" s="8" t="n">
        <v>2</v>
      </c>
      <c r="N2091" s="8" t="s">
        <v>120</v>
      </c>
      <c r="O2091" s="15" t="n">
        <f aca="false">H2091*12</f>
        <v>864</v>
      </c>
      <c r="P2091" s="8" t="n">
        <f aca="false">MIN(100,ROUND(100*J2091/Assumptions!$B$8,0))</f>
        <v>62</v>
      </c>
      <c r="Q2091" s="8" t="n">
        <f aca="false">IF(L2091="",Assumptions!$B$9,L2091*10)</f>
        <v>50</v>
      </c>
      <c r="R2091" s="8" t="n">
        <f aca="false">IF(M2091&lt;=1,Assumptions!$B$12,IF(M2091&lt;=3,Assumptions!$B$13,IF(M2091&lt;=6,Assumptions!$B$14,Assumptions!$B$15)))</f>
        <v>75</v>
      </c>
      <c r="S2091" s="8" t="n">
        <f aca="false">IF(N2091="Completed On Time",Assumptions!$B$16,IF(N2091="Completed Late",Assumptions!$B$17,Assumptions!$B$18))</f>
        <v>100</v>
      </c>
      <c r="T2091" s="8" t="n">
        <f aca="false">IF(I2091=0,Assumptions!$B$20,IF(H2091&gt;I2091,Assumptions!$B$19,IF(H2091=I2091,Assumptions!$B$20,Assumptions!$B$21)))</f>
        <v>70</v>
      </c>
      <c r="U2091" s="8" t="n">
        <f aca="false">ROUND(P2091*Assumptions!$B$2+Q2091*Assumptions!$B$3+R2091*Assumptions!$B$4+S2091*Assumptions!$B$5+T2091*Assumptions!$B$6,0)</f>
        <v>67</v>
      </c>
      <c r="V2091" s="8" t="str">
        <f aca="false">IF(U2091&gt;=Assumptions!$B$10,"Healthy",IF(U2091&gt;=Assumptions!$B$11,"Needs Attention","High Risk"))</f>
        <v>Needs Attention</v>
      </c>
    </row>
    <row r="2092" customFormat="false" ht="15" hidden="false" customHeight="false" outlineLevel="0" collapsed="false">
      <c r="A2092" s="8" t="s">
        <v>4326</v>
      </c>
      <c r="B2092" s="8" t="s">
        <v>4327</v>
      </c>
      <c r="C2092" s="8" t="s">
        <v>51</v>
      </c>
      <c r="D2092" s="8" t="s">
        <v>2027</v>
      </c>
      <c r="E2092" s="8" t="s">
        <v>123</v>
      </c>
      <c r="F2092" s="8" t="s">
        <v>136</v>
      </c>
      <c r="G2092" s="8" t="s">
        <v>140</v>
      </c>
      <c r="H2092" s="15" t="n">
        <v>72</v>
      </c>
      <c r="I2092" s="15" t="n">
        <v>72</v>
      </c>
      <c r="J2092" s="16" t="n">
        <v>0.778</v>
      </c>
      <c r="K2092" s="8" t="n">
        <v>7.7</v>
      </c>
      <c r="L2092" s="8" t="n">
        <v>8</v>
      </c>
      <c r="M2092" s="8" t="n">
        <v>0</v>
      </c>
      <c r="N2092" s="8" t="s">
        <v>120</v>
      </c>
      <c r="O2092" s="15" t="n">
        <f aca="false">H2092*12</f>
        <v>864</v>
      </c>
      <c r="P2092" s="8" t="n">
        <f aca="false">MIN(100,ROUND(100*J2092/Assumptions!$B$8,0))</f>
        <v>86</v>
      </c>
      <c r="Q2092" s="8" t="n">
        <f aca="false">IF(L2092="",Assumptions!$B$9,L2092*10)</f>
        <v>80</v>
      </c>
      <c r="R2092" s="8" t="n">
        <f aca="false">IF(M2092&lt;=1,Assumptions!$B$12,IF(M2092&lt;=3,Assumptions!$B$13,IF(M2092&lt;=6,Assumptions!$B$14,Assumptions!$B$15)))</f>
        <v>100</v>
      </c>
      <c r="S2092" s="8" t="n">
        <f aca="false">IF(N2092="Completed On Time",Assumptions!$B$16,IF(N2092="Completed Late",Assumptions!$B$17,Assumptions!$B$18))</f>
        <v>100</v>
      </c>
      <c r="T2092" s="8" t="n">
        <f aca="false">IF(I2092=0,Assumptions!$B$20,IF(H2092&gt;I2092,Assumptions!$B$19,IF(H2092=I2092,Assumptions!$B$20,Assumptions!$B$21)))</f>
        <v>70</v>
      </c>
      <c r="U2092" s="8" t="n">
        <f aca="false">ROUND(P2092*Assumptions!$B$2+Q2092*Assumptions!$B$3+R2092*Assumptions!$B$4+S2092*Assumptions!$B$5+T2092*Assumptions!$B$6,0)</f>
        <v>85</v>
      </c>
      <c r="V2092" s="8" t="str">
        <f aca="false">IF(U2092&gt;=Assumptions!$B$10,"Healthy",IF(U2092&gt;=Assumptions!$B$11,"Needs Attention","High Risk"))</f>
        <v>Healthy</v>
      </c>
    </row>
    <row r="2093" customFormat="false" ht="15" hidden="false" customHeight="false" outlineLevel="0" collapsed="false">
      <c r="A2093" s="8" t="s">
        <v>4328</v>
      </c>
      <c r="B2093" s="8" t="s">
        <v>4329</v>
      </c>
      <c r="C2093" s="8" t="s">
        <v>51</v>
      </c>
      <c r="D2093" s="8" t="s">
        <v>2027</v>
      </c>
      <c r="E2093" s="8" t="s">
        <v>117</v>
      </c>
      <c r="F2093" s="8" t="s">
        <v>190</v>
      </c>
      <c r="G2093" s="8" t="s">
        <v>144</v>
      </c>
      <c r="H2093" s="15" t="n">
        <v>72</v>
      </c>
      <c r="I2093" s="15" t="n">
        <v>72</v>
      </c>
      <c r="J2093" s="16" t="n">
        <v>0.667</v>
      </c>
      <c r="K2093" s="8" t="n">
        <v>8.3</v>
      </c>
      <c r="L2093" s="8" t="n">
        <v>6</v>
      </c>
      <c r="M2093" s="8" t="n">
        <v>3</v>
      </c>
      <c r="N2093" s="8" t="s">
        <v>120</v>
      </c>
      <c r="O2093" s="15" t="n">
        <f aca="false">H2093*12</f>
        <v>864</v>
      </c>
      <c r="P2093" s="8" t="n">
        <f aca="false">MIN(100,ROUND(100*J2093/Assumptions!$B$8,0))</f>
        <v>74</v>
      </c>
      <c r="Q2093" s="8" t="n">
        <f aca="false">IF(L2093="",Assumptions!$B$9,L2093*10)</f>
        <v>60</v>
      </c>
      <c r="R2093" s="8" t="n">
        <f aca="false">IF(M2093&lt;=1,Assumptions!$B$12,IF(M2093&lt;=3,Assumptions!$B$13,IF(M2093&lt;=6,Assumptions!$B$14,Assumptions!$B$15)))</f>
        <v>75</v>
      </c>
      <c r="S2093" s="8" t="n">
        <f aca="false">IF(N2093="Completed On Time",Assumptions!$B$16,IF(N2093="Completed Late",Assumptions!$B$17,Assumptions!$B$18))</f>
        <v>100</v>
      </c>
      <c r="T2093" s="8" t="n">
        <f aca="false">IF(I2093=0,Assumptions!$B$20,IF(H2093&gt;I2093,Assumptions!$B$19,IF(H2093=I2093,Assumptions!$B$20,Assumptions!$B$21)))</f>
        <v>70</v>
      </c>
      <c r="U2093" s="8" t="n">
        <f aca="false">ROUND(P2093*Assumptions!$B$2+Q2093*Assumptions!$B$3+R2093*Assumptions!$B$4+S2093*Assumptions!$B$5+T2093*Assumptions!$B$6,0)</f>
        <v>73</v>
      </c>
      <c r="V2093" s="8" t="str">
        <f aca="false">IF(U2093&gt;=Assumptions!$B$10,"Healthy",IF(U2093&gt;=Assumptions!$B$11,"Needs Attention","High Risk"))</f>
        <v>Needs Attention</v>
      </c>
    </row>
    <row r="2094" customFormat="false" ht="15" hidden="false" customHeight="false" outlineLevel="0" collapsed="false">
      <c r="A2094" s="8" t="s">
        <v>4330</v>
      </c>
      <c r="B2094" s="8" t="s">
        <v>4331</v>
      </c>
      <c r="C2094" s="8" t="s">
        <v>51</v>
      </c>
      <c r="D2094" s="8" t="s">
        <v>2027</v>
      </c>
      <c r="E2094" s="8" t="s">
        <v>117</v>
      </c>
      <c r="F2094" s="8" t="s">
        <v>151</v>
      </c>
      <c r="G2094" s="8" t="s">
        <v>180</v>
      </c>
      <c r="H2094" s="15" t="n">
        <v>72</v>
      </c>
      <c r="I2094" s="15" t="n">
        <v>0</v>
      </c>
      <c r="J2094" s="16" t="n">
        <v>0.75</v>
      </c>
      <c r="K2094" s="8" t="n">
        <v>7</v>
      </c>
      <c r="L2094" s="8"/>
      <c r="M2094" s="8" t="n">
        <v>1</v>
      </c>
      <c r="N2094" s="8" t="s">
        <v>120</v>
      </c>
      <c r="O2094" s="15" t="n">
        <f aca="false">H2094*12</f>
        <v>864</v>
      </c>
      <c r="P2094" s="8" t="n">
        <f aca="false">MIN(100,ROUND(100*J2094/Assumptions!$B$8,0))</f>
        <v>83</v>
      </c>
      <c r="Q2094" s="8" t="n">
        <f aca="false">IF(L2094="",Assumptions!$B$9,L2094*10)</f>
        <v>50</v>
      </c>
      <c r="R2094" s="8" t="n">
        <f aca="false">IF(M2094&lt;=1,Assumptions!$B$12,IF(M2094&lt;=3,Assumptions!$B$13,IF(M2094&lt;=6,Assumptions!$B$14,Assumptions!$B$15)))</f>
        <v>100</v>
      </c>
      <c r="S2094" s="8" t="n">
        <f aca="false">IF(N2094="Completed On Time",Assumptions!$B$16,IF(N2094="Completed Late",Assumptions!$B$17,Assumptions!$B$18))</f>
        <v>100</v>
      </c>
      <c r="T2094" s="8" t="n">
        <f aca="false">IF(I2094=0,Assumptions!$B$20,IF(H2094&gt;I2094,Assumptions!$B$19,IF(H2094=I2094,Assumptions!$B$20,Assumptions!$B$21)))</f>
        <v>70</v>
      </c>
      <c r="U2094" s="8" t="n">
        <f aca="false">ROUND(P2094*Assumptions!$B$2+Q2094*Assumptions!$B$3+R2094*Assumptions!$B$4+S2094*Assumptions!$B$5+T2094*Assumptions!$B$6,0)</f>
        <v>78</v>
      </c>
      <c r="V2094" s="8" t="str">
        <f aca="false">IF(U2094&gt;=Assumptions!$B$10,"Healthy",IF(U2094&gt;=Assumptions!$B$11,"Needs Attention","High Risk"))</f>
        <v>Needs Attention</v>
      </c>
    </row>
    <row r="2095" customFormat="false" ht="15" hidden="false" customHeight="false" outlineLevel="0" collapsed="false">
      <c r="A2095" s="8" t="s">
        <v>4332</v>
      </c>
      <c r="B2095" s="8" t="s">
        <v>4333</v>
      </c>
      <c r="C2095" s="8" t="s">
        <v>51</v>
      </c>
      <c r="D2095" s="8" t="s">
        <v>2027</v>
      </c>
      <c r="E2095" s="8" t="s">
        <v>123</v>
      </c>
      <c r="F2095" s="8" t="s">
        <v>133</v>
      </c>
      <c r="G2095" s="8" t="s">
        <v>147</v>
      </c>
      <c r="H2095" s="15" t="n">
        <v>72</v>
      </c>
      <c r="I2095" s="15" t="n">
        <v>72</v>
      </c>
      <c r="J2095" s="16" t="n">
        <v>0.667</v>
      </c>
      <c r="K2095" s="8" t="n">
        <v>9.3</v>
      </c>
      <c r="L2095" s="8" t="n">
        <v>7</v>
      </c>
      <c r="M2095" s="8" t="n">
        <v>2</v>
      </c>
      <c r="N2095" s="8" t="s">
        <v>120</v>
      </c>
      <c r="O2095" s="15" t="n">
        <f aca="false">H2095*12</f>
        <v>864</v>
      </c>
      <c r="P2095" s="8" t="n">
        <f aca="false">MIN(100,ROUND(100*J2095/Assumptions!$B$8,0))</f>
        <v>74</v>
      </c>
      <c r="Q2095" s="8" t="n">
        <f aca="false">IF(L2095="",Assumptions!$B$9,L2095*10)</f>
        <v>70</v>
      </c>
      <c r="R2095" s="8" t="n">
        <f aca="false">IF(M2095&lt;=1,Assumptions!$B$12,IF(M2095&lt;=3,Assumptions!$B$13,IF(M2095&lt;=6,Assumptions!$B$14,Assumptions!$B$15)))</f>
        <v>75</v>
      </c>
      <c r="S2095" s="8" t="n">
        <f aca="false">IF(N2095="Completed On Time",Assumptions!$B$16,IF(N2095="Completed Late",Assumptions!$B$17,Assumptions!$B$18))</f>
        <v>100</v>
      </c>
      <c r="T2095" s="8" t="n">
        <f aca="false">IF(I2095=0,Assumptions!$B$20,IF(H2095&gt;I2095,Assumptions!$B$19,IF(H2095=I2095,Assumptions!$B$20,Assumptions!$B$21)))</f>
        <v>70</v>
      </c>
      <c r="U2095" s="8" t="n">
        <f aca="false">ROUND(P2095*Assumptions!$B$2+Q2095*Assumptions!$B$3+R2095*Assumptions!$B$4+S2095*Assumptions!$B$5+T2095*Assumptions!$B$6,0)</f>
        <v>75</v>
      </c>
      <c r="V2095" s="8" t="str">
        <f aca="false">IF(U2095&gt;=Assumptions!$B$10,"Healthy",IF(U2095&gt;=Assumptions!$B$11,"Needs Attention","High Risk"))</f>
        <v>Needs Attention</v>
      </c>
    </row>
    <row r="2096" customFormat="false" ht="15" hidden="false" customHeight="false" outlineLevel="0" collapsed="false">
      <c r="A2096" s="8" t="s">
        <v>4334</v>
      </c>
      <c r="B2096" s="8" t="s">
        <v>4335</v>
      </c>
      <c r="C2096" s="8" t="s">
        <v>51</v>
      </c>
      <c r="D2096" s="8" t="s">
        <v>2027</v>
      </c>
      <c r="E2096" s="8" t="s">
        <v>123</v>
      </c>
      <c r="F2096" s="8" t="s">
        <v>118</v>
      </c>
      <c r="G2096" s="8" t="s">
        <v>144</v>
      </c>
      <c r="H2096" s="15" t="n">
        <v>72</v>
      </c>
      <c r="I2096" s="15" t="n">
        <v>72</v>
      </c>
      <c r="J2096" s="16" t="n">
        <v>0.722</v>
      </c>
      <c r="K2096" s="8" t="n">
        <v>9</v>
      </c>
      <c r="L2096" s="8" t="n">
        <v>7</v>
      </c>
      <c r="M2096" s="8" t="n">
        <v>0</v>
      </c>
      <c r="N2096" s="8" t="s">
        <v>120</v>
      </c>
      <c r="O2096" s="15" t="n">
        <f aca="false">H2096*12</f>
        <v>864</v>
      </c>
      <c r="P2096" s="8" t="n">
        <f aca="false">MIN(100,ROUND(100*J2096/Assumptions!$B$8,0))</f>
        <v>80</v>
      </c>
      <c r="Q2096" s="8" t="n">
        <f aca="false">IF(L2096="",Assumptions!$B$9,L2096*10)</f>
        <v>70</v>
      </c>
      <c r="R2096" s="8" t="n">
        <f aca="false">IF(M2096&lt;=1,Assumptions!$B$12,IF(M2096&lt;=3,Assumptions!$B$13,IF(M2096&lt;=6,Assumptions!$B$14,Assumptions!$B$15)))</f>
        <v>100</v>
      </c>
      <c r="S2096" s="8" t="n">
        <f aca="false">IF(N2096="Completed On Time",Assumptions!$B$16,IF(N2096="Completed Late",Assumptions!$B$17,Assumptions!$B$18))</f>
        <v>100</v>
      </c>
      <c r="T2096" s="8" t="n">
        <f aca="false">IF(I2096=0,Assumptions!$B$20,IF(H2096&gt;I2096,Assumptions!$B$19,IF(H2096=I2096,Assumptions!$B$20,Assumptions!$B$21)))</f>
        <v>70</v>
      </c>
      <c r="U2096" s="8" t="n">
        <f aca="false">ROUND(P2096*Assumptions!$B$2+Q2096*Assumptions!$B$3+R2096*Assumptions!$B$4+S2096*Assumptions!$B$5+T2096*Assumptions!$B$6,0)</f>
        <v>81</v>
      </c>
      <c r="V2096" s="8" t="str">
        <f aca="false">IF(U2096&gt;=Assumptions!$B$10,"Healthy",IF(U2096&gt;=Assumptions!$B$11,"Needs Attention","High Risk"))</f>
        <v>Healthy</v>
      </c>
    </row>
    <row r="2097" customFormat="false" ht="15" hidden="false" customHeight="false" outlineLevel="0" collapsed="false">
      <c r="A2097" s="8" t="s">
        <v>4336</v>
      </c>
      <c r="B2097" s="8" t="s">
        <v>4337</v>
      </c>
      <c r="C2097" s="8" t="s">
        <v>51</v>
      </c>
      <c r="D2097" s="8" t="s">
        <v>2027</v>
      </c>
      <c r="E2097" s="8" t="s">
        <v>132</v>
      </c>
      <c r="F2097" s="8" t="s">
        <v>136</v>
      </c>
      <c r="G2097" s="8" t="s">
        <v>137</v>
      </c>
      <c r="H2097" s="15" t="n">
        <v>72</v>
      </c>
      <c r="I2097" s="15" t="n">
        <v>72</v>
      </c>
      <c r="J2097" s="16" t="n">
        <v>0.889</v>
      </c>
      <c r="K2097" s="8" t="n">
        <v>9.3</v>
      </c>
      <c r="L2097" s="8" t="n">
        <v>9</v>
      </c>
      <c r="M2097" s="8" t="n">
        <v>1</v>
      </c>
      <c r="N2097" s="8" t="s">
        <v>120</v>
      </c>
      <c r="O2097" s="15" t="n">
        <f aca="false">H2097*12</f>
        <v>864</v>
      </c>
      <c r="P2097" s="8" t="n">
        <f aca="false">MIN(100,ROUND(100*J2097/Assumptions!$B$8,0))</f>
        <v>99</v>
      </c>
      <c r="Q2097" s="8" t="n">
        <f aca="false">IF(L2097="",Assumptions!$B$9,L2097*10)</f>
        <v>90</v>
      </c>
      <c r="R2097" s="8" t="n">
        <f aca="false">IF(M2097&lt;=1,Assumptions!$B$12,IF(M2097&lt;=3,Assumptions!$B$13,IF(M2097&lt;=6,Assumptions!$B$14,Assumptions!$B$15)))</f>
        <v>100</v>
      </c>
      <c r="S2097" s="8" t="n">
        <f aca="false">IF(N2097="Completed On Time",Assumptions!$B$16,IF(N2097="Completed Late",Assumptions!$B$17,Assumptions!$B$18))</f>
        <v>100</v>
      </c>
      <c r="T2097" s="8" t="n">
        <f aca="false">IF(I2097=0,Assumptions!$B$20,IF(H2097&gt;I2097,Assumptions!$B$19,IF(H2097=I2097,Assumptions!$B$20,Assumptions!$B$21)))</f>
        <v>70</v>
      </c>
      <c r="U2097" s="8" t="n">
        <f aca="false">ROUND(P2097*Assumptions!$B$2+Q2097*Assumptions!$B$3+R2097*Assumptions!$B$4+S2097*Assumptions!$B$5+T2097*Assumptions!$B$6,0)</f>
        <v>92</v>
      </c>
      <c r="V2097" s="8" t="str">
        <f aca="false">IF(U2097&gt;=Assumptions!$B$10,"Healthy",IF(U2097&gt;=Assumptions!$B$11,"Needs Attention","High Risk"))</f>
        <v>Healthy</v>
      </c>
    </row>
    <row r="2098" customFormat="false" ht="15" hidden="false" customHeight="false" outlineLevel="0" collapsed="false">
      <c r="A2098" s="8" t="s">
        <v>4338</v>
      </c>
      <c r="B2098" s="8" t="s">
        <v>4339</v>
      </c>
      <c r="C2098" s="8" t="s">
        <v>51</v>
      </c>
      <c r="D2098" s="8" t="s">
        <v>2027</v>
      </c>
      <c r="E2098" s="8" t="s">
        <v>117</v>
      </c>
      <c r="F2098" s="8" t="s">
        <v>136</v>
      </c>
      <c r="G2098" s="8" t="s">
        <v>125</v>
      </c>
      <c r="H2098" s="15" t="n">
        <v>60</v>
      </c>
      <c r="I2098" s="15" t="n">
        <v>60</v>
      </c>
      <c r="J2098" s="16" t="n">
        <v>0.6</v>
      </c>
      <c r="K2098" s="8" t="n">
        <v>6.7</v>
      </c>
      <c r="L2098" s="8" t="n">
        <v>8</v>
      </c>
      <c r="M2098" s="8" t="n">
        <v>6</v>
      </c>
      <c r="N2098" s="8" t="s">
        <v>120</v>
      </c>
      <c r="O2098" s="15" t="n">
        <f aca="false">H2098*12</f>
        <v>720</v>
      </c>
      <c r="P2098" s="8" t="n">
        <f aca="false">MIN(100,ROUND(100*J2098/Assumptions!$B$8,0))</f>
        <v>67</v>
      </c>
      <c r="Q2098" s="8" t="n">
        <f aca="false">IF(L2098="",Assumptions!$B$9,L2098*10)</f>
        <v>80</v>
      </c>
      <c r="R2098" s="8" t="n">
        <f aca="false">IF(M2098&lt;=1,Assumptions!$B$12,IF(M2098&lt;=3,Assumptions!$B$13,IF(M2098&lt;=6,Assumptions!$B$14,Assumptions!$B$15)))</f>
        <v>50</v>
      </c>
      <c r="S2098" s="8" t="n">
        <f aca="false">IF(N2098="Completed On Time",Assumptions!$B$16,IF(N2098="Completed Late",Assumptions!$B$17,Assumptions!$B$18))</f>
        <v>100</v>
      </c>
      <c r="T2098" s="8" t="n">
        <f aca="false">IF(I2098=0,Assumptions!$B$20,IF(H2098&gt;I2098,Assumptions!$B$19,IF(H2098=I2098,Assumptions!$B$20,Assumptions!$B$21)))</f>
        <v>70</v>
      </c>
      <c r="U2098" s="8" t="n">
        <f aca="false">ROUND(P2098*Assumptions!$B$2+Q2098*Assumptions!$B$3+R2098*Assumptions!$B$4+S2098*Assumptions!$B$5+T2098*Assumptions!$B$6,0)</f>
        <v>71</v>
      </c>
      <c r="V2098" s="8" t="str">
        <f aca="false">IF(U2098&gt;=Assumptions!$B$10,"Healthy",IF(U2098&gt;=Assumptions!$B$11,"Needs Attention","High Risk"))</f>
        <v>Needs Attention</v>
      </c>
    </row>
    <row r="2099" customFormat="false" ht="15" hidden="false" customHeight="false" outlineLevel="0" collapsed="false">
      <c r="A2099" s="8" t="s">
        <v>4340</v>
      </c>
      <c r="B2099" s="8" t="s">
        <v>4341</v>
      </c>
      <c r="C2099" s="8" t="s">
        <v>51</v>
      </c>
      <c r="D2099" s="8" t="s">
        <v>2027</v>
      </c>
      <c r="E2099" s="8" t="s">
        <v>132</v>
      </c>
      <c r="F2099" s="8" t="s">
        <v>124</v>
      </c>
      <c r="G2099" s="8" t="s">
        <v>125</v>
      </c>
      <c r="H2099" s="15" t="n">
        <v>60</v>
      </c>
      <c r="I2099" s="15" t="n">
        <v>60</v>
      </c>
      <c r="J2099" s="16" t="n">
        <v>0.8</v>
      </c>
      <c r="K2099" s="8" t="n">
        <v>9.3</v>
      </c>
      <c r="L2099" s="8" t="n">
        <v>10</v>
      </c>
      <c r="M2099" s="8" t="n">
        <v>1</v>
      </c>
      <c r="N2099" s="8" t="s">
        <v>148</v>
      </c>
      <c r="O2099" s="15" t="n">
        <f aca="false">H2099*12</f>
        <v>720</v>
      </c>
      <c r="P2099" s="8" t="n">
        <f aca="false">MIN(100,ROUND(100*J2099/Assumptions!$B$8,0))</f>
        <v>89</v>
      </c>
      <c r="Q2099" s="8" t="n">
        <f aca="false">IF(L2099="",Assumptions!$B$9,L2099*10)</f>
        <v>100</v>
      </c>
      <c r="R2099" s="8" t="n">
        <f aca="false">IF(M2099&lt;=1,Assumptions!$B$12,IF(M2099&lt;=3,Assumptions!$B$13,IF(M2099&lt;=6,Assumptions!$B$14,Assumptions!$B$15)))</f>
        <v>100</v>
      </c>
      <c r="S2099" s="8" t="n">
        <f aca="false">IF(N2099="Completed On Time",Assumptions!$B$16,IF(N2099="Completed Late",Assumptions!$B$17,Assumptions!$B$18))</f>
        <v>60</v>
      </c>
      <c r="T2099" s="8" t="n">
        <f aca="false">IF(I2099=0,Assumptions!$B$20,IF(H2099&gt;I2099,Assumptions!$B$19,IF(H2099=I2099,Assumptions!$B$20,Assumptions!$B$21)))</f>
        <v>70</v>
      </c>
      <c r="U2099" s="8" t="n">
        <f aca="false">ROUND(P2099*Assumptions!$B$2+Q2099*Assumptions!$B$3+R2099*Assumptions!$B$4+S2099*Assumptions!$B$5+T2099*Assumptions!$B$6,0)</f>
        <v>86</v>
      </c>
      <c r="V2099" s="8" t="str">
        <f aca="false">IF(U2099&gt;=Assumptions!$B$10,"Healthy",IF(U2099&gt;=Assumptions!$B$11,"Needs Attention","High Risk"))</f>
        <v>Healthy</v>
      </c>
    </row>
    <row r="2100" customFormat="false" ht="15" hidden="false" customHeight="false" outlineLevel="0" collapsed="false">
      <c r="A2100" s="8" t="s">
        <v>4342</v>
      </c>
      <c r="B2100" s="8" t="s">
        <v>4343</v>
      </c>
      <c r="C2100" s="8" t="s">
        <v>51</v>
      </c>
      <c r="D2100" s="8" t="s">
        <v>2027</v>
      </c>
      <c r="E2100" s="8" t="s">
        <v>123</v>
      </c>
      <c r="F2100" s="8" t="s">
        <v>124</v>
      </c>
      <c r="G2100" s="8" t="s">
        <v>144</v>
      </c>
      <c r="H2100" s="15" t="n">
        <v>60</v>
      </c>
      <c r="I2100" s="15" t="n">
        <v>60</v>
      </c>
      <c r="J2100" s="16" t="n">
        <v>0.733</v>
      </c>
      <c r="K2100" s="8" t="n">
        <v>9</v>
      </c>
      <c r="L2100" s="8" t="n">
        <v>6</v>
      </c>
      <c r="M2100" s="8" t="n">
        <v>3</v>
      </c>
      <c r="N2100" s="8" t="s">
        <v>120</v>
      </c>
      <c r="O2100" s="15" t="n">
        <f aca="false">H2100*12</f>
        <v>720</v>
      </c>
      <c r="P2100" s="8" t="n">
        <f aca="false">MIN(100,ROUND(100*J2100/Assumptions!$B$8,0))</f>
        <v>81</v>
      </c>
      <c r="Q2100" s="8" t="n">
        <f aca="false">IF(L2100="",Assumptions!$B$9,L2100*10)</f>
        <v>60</v>
      </c>
      <c r="R2100" s="8" t="n">
        <f aca="false">IF(M2100&lt;=1,Assumptions!$B$12,IF(M2100&lt;=3,Assumptions!$B$13,IF(M2100&lt;=6,Assumptions!$B$14,Assumptions!$B$15)))</f>
        <v>75</v>
      </c>
      <c r="S2100" s="8" t="n">
        <f aca="false">IF(N2100="Completed On Time",Assumptions!$B$16,IF(N2100="Completed Late",Assumptions!$B$17,Assumptions!$B$18))</f>
        <v>100</v>
      </c>
      <c r="T2100" s="8" t="n">
        <f aca="false">IF(I2100=0,Assumptions!$B$20,IF(H2100&gt;I2100,Assumptions!$B$19,IF(H2100=I2100,Assumptions!$B$20,Assumptions!$B$21)))</f>
        <v>70</v>
      </c>
      <c r="U2100" s="8" t="n">
        <f aca="false">ROUND(P2100*Assumptions!$B$2+Q2100*Assumptions!$B$3+R2100*Assumptions!$B$4+S2100*Assumptions!$B$5+T2100*Assumptions!$B$6,0)</f>
        <v>76</v>
      </c>
      <c r="V2100" s="8" t="str">
        <f aca="false">IF(U2100&gt;=Assumptions!$B$10,"Healthy",IF(U2100&gt;=Assumptions!$B$11,"Needs Attention","High Risk"))</f>
        <v>Needs Attention</v>
      </c>
    </row>
    <row r="2101" customFormat="false" ht="15" hidden="false" customHeight="false" outlineLevel="0" collapsed="false">
      <c r="A2101" s="8" t="s">
        <v>4344</v>
      </c>
      <c r="B2101" s="8" t="s">
        <v>4345</v>
      </c>
      <c r="C2101" s="8" t="s">
        <v>51</v>
      </c>
      <c r="D2101" s="8" t="s">
        <v>2027</v>
      </c>
      <c r="E2101" s="8" t="s">
        <v>117</v>
      </c>
      <c r="F2101" s="8" t="s">
        <v>124</v>
      </c>
      <c r="G2101" s="8" t="s">
        <v>119</v>
      </c>
      <c r="H2101" s="15" t="n">
        <v>60</v>
      </c>
      <c r="I2101" s="15" t="n">
        <v>60</v>
      </c>
      <c r="J2101" s="16" t="n">
        <v>0.467</v>
      </c>
      <c r="K2101" s="8" t="n">
        <v>5</v>
      </c>
      <c r="L2101" s="8" t="n">
        <v>6</v>
      </c>
      <c r="M2101" s="8" t="n">
        <v>5</v>
      </c>
      <c r="N2101" s="8" t="s">
        <v>120</v>
      </c>
      <c r="O2101" s="15" t="n">
        <f aca="false">H2101*12</f>
        <v>720</v>
      </c>
      <c r="P2101" s="8" t="n">
        <f aca="false">MIN(100,ROUND(100*J2101/Assumptions!$B$8,0))</f>
        <v>52</v>
      </c>
      <c r="Q2101" s="8" t="n">
        <f aca="false">IF(L2101="",Assumptions!$B$9,L2101*10)</f>
        <v>60</v>
      </c>
      <c r="R2101" s="8" t="n">
        <f aca="false">IF(M2101&lt;=1,Assumptions!$B$12,IF(M2101&lt;=3,Assumptions!$B$13,IF(M2101&lt;=6,Assumptions!$B$14,Assumptions!$B$15)))</f>
        <v>50</v>
      </c>
      <c r="S2101" s="8" t="n">
        <f aca="false">IF(N2101="Completed On Time",Assumptions!$B$16,IF(N2101="Completed Late",Assumptions!$B$17,Assumptions!$B$18))</f>
        <v>100</v>
      </c>
      <c r="T2101" s="8" t="n">
        <f aca="false">IF(I2101=0,Assumptions!$B$20,IF(H2101&gt;I2101,Assumptions!$B$19,IF(H2101=I2101,Assumptions!$B$20,Assumptions!$B$21)))</f>
        <v>70</v>
      </c>
      <c r="U2101" s="8" t="n">
        <f aca="false">ROUND(P2101*Assumptions!$B$2+Q2101*Assumptions!$B$3+R2101*Assumptions!$B$4+S2101*Assumptions!$B$5+T2101*Assumptions!$B$6,0)</f>
        <v>62</v>
      </c>
      <c r="V2101" s="8" t="str">
        <f aca="false">IF(U2101&gt;=Assumptions!$B$10,"Healthy",IF(U2101&gt;=Assumptions!$B$11,"Needs Attention","High Risk"))</f>
        <v>High Risk</v>
      </c>
    </row>
    <row r="2102" customFormat="false" ht="15" hidden="false" customHeight="false" outlineLevel="0" collapsed="false">
      <c r="A2102" s="8" t="s">
        <v>4346</v>
      </c>
      <c r="B2102" s="8" t="s">
        <v>4347</v>
      </c>
      <c r="C2102" s="8" t="s">
        <v>51</v>
      </c>
      <c r="D2102" s="8" t="s">
        <v>2027</v>
      </c>
      <c r="E2102" s="8" t="s">
        <v>123</v>
      </c>
      <c r="F2102" s="8" t="s">
        <v>118</v>
      </c>
      <c r="G2102" s="8" t="s">
        <v>144</v>
      </c>
      <c r="H2102" s="15" t="n">
        <v>60</v>
      </c>
      <c r="I2102" s="15" t="n">
        <v>60</v>
      </c>
      <c r="J2102" s="16" t="n">
        <v>0.667</v>
      </c>
      <c r="K2102" s="8" t="n">
        <v>8.7</v>
      </c>
      <c r="L2102" s="8" t="n">
        <v>7</v>
      </c>
      <c r="M2102" s="8" t="n">
        <v>1</v>
      </c>
      <c r="N2102" s="8" t="s">
        <v>120</v>
      </c>
      <c r="O2102" s="15" t="n">
        <f aca="false">H2102*12</f>
        <v>720</v>
      </c>
      <c r="P2102" s="8" t="n">
        <f aca="false">MIN(100,ROUND(100*J2102/Assumptions!$B$8,0))</f>
        <v>74</v>
      </c>
      <c r="Q2102" s="8" t="n">
        <f aca="false">IF(L2102="",Assumptions!$B$9,L2102*10)</f>
        <v>70</v>
      </c>
      <c r="R2102" s="8" t="n">
        <f aca="false">IF(M2102&lt;=1,Assumptions!$B$12,IF(M2102&lt;=3,Assumptions!$B$13,IF(M2102&lt;=6,Assumptions!$B$14,Assumptions!$B$15)))</f>
        <v>100</v>
      </c>
      <c r="S2102" s="8" t="n">
        <f aca="false">IF(N2102="Completed On Time",Assumptions!$B$16,IF(N2102="Completed Late",Assumptions!$B$17,Assumptions!$B$18))</f>
        <v>100</v>
      </c>
      <c r="T2102" s="8" t="n">
        <f aca="false">IF(I2102=0,Assumptions!$B$20,IF(H2102&gt;I2102,Assumptions!$B$19,IF(H2102=I2102,Assumptions!$B$20,Assumptions!$B$21)))</f>
        <v>70</v>
      </c>
      <c r="U2102" s="8" t="n">
        <f aca="false">ROUND(P2102*Assumptions!$B$2+Q2102*Assumptions!$B$3+R2102*Assumptions!$B$4+S2102*Assumptions!$B$5+T2102*Assumptions!$B$6,0)</f>
        <v>79</v>
      </c>
      <c r="V2102" s="8" t="str">
        <f aca="false">IF(U2102&gt;=Assumptions!$B$10,"Healthy",IF(U2102&gt;=Assumptions!$B$11,"Needs Attention","High Risk"))</f>
        <v>Needs Attention</v>
      </c>
    </row>
    <row r="2103" customFormat="false" ht="15" hidden="false" customHeight="false" outlineLevel="0" collapsed="false">
      <c r="A2103" s="8" t="s">
        <v>4348</v>
      </c>
      <c r="B2103" s="8" t="s">
        <v>4349</v>
      </c>
      <c r="C2103" s="8" t="s">
        <v>51</v>
      </c>
      <c r="D2103" s="8" t="s">
        <v>2027</v>
      </c>
      <c r="E2103" s="8" t="s">
        <v>117</v>
      </c>
      <c r="F2103" s="8" t="s">
        <v>124</v>
      </c>
      <c r="G2103" s="8" t="s">
        <v>125</v>
      </c>
      <c r="H2103" s="15" t="n">
        <v>60</v>
      </c>
      <c r="I2103" s="15" t="n">
        <v>60</v>
      </c>
      <c r="J2103" s="16" t="n">
        <v>0.867</v>
      </c>
      <c r="K2103" s="8" t="n">
        <v>7.7</v>
      </c>
      <c r="L2103" s="8" t="n">
        <v>8</v>
      </c>
      <c r="M2103" s="8" t="n">
        <v>4</v>
      </c>
      <c r="N2103" s="8" t="s">
        <v>120</v>
      </c>
      <c r="O2103" s="15" t="n">
        <f aca="false">H2103*12</f>
        <v>720</v>
      </c>
      <c r="P2103" s="8" t="n">
        <f aca="false">MIN(100,ROUND(100*J2103/Assumptions!$B$8,0))</f>
        <v>96</v>
      </c>
      <c r="Q2103" s="8" t="n">
        <f aca="false">IF(L2103="",Assumptions!$B$9,L2103*10)</f>
        <v>80</v>
      </c>
      <c r="R2103" s="8" t="n">
        <f aca="false">IF(M2103&lt;=1,Assumptions!$B$12,IF(M2103&lt;=3,Assumptions!$B$13,IF(M2103&lt;=6,Assumptions!$B$14,Assumptions!$B$15)))</f>
        <v>50</v>
      </c>
      <c r="S2103" s="8" t="n">
        <f aca="false">IF(N2103="Completed On Time",Assumptions!$B$16,IF(N2103="Completed Late",Assumptions!$B$17,Assumptions!$B$18))</f>
        <v>100</v>
      </c>
      <c r="T2103" s="8" t="n">
        <f aca="false">IF(I2103=0,Assumptions!$B$20,IF(H2103&gt;I2103,Assumptions!$B$19,IF(H2103=I2103,Assumptions!$B$20,Assumptions!$B$21)))</f>
        <v>70</v>
      </c>
      <c r="U2103" s="8" t="n">
        <f aca="false">ROUND(P2103*Assumptions!$B$2+Q2103*Assumptions!$B$3+R2103*Assumptions!$B$4+S2103*Assumptions!$B$5+T2103*Assumptions!$B$6,0)</f>
        <v>81</v>
      </c>
      <c r="V2103" s="8" t="str">
        <f aca="false">IF(U2103&gt;=Assumptions!$B$10,"Healthy",IF(U2103&gt;=Assumptions!$B$11,"Needs Attention","High Risk"))</f>
        <v>Healthy</v>
      </c>
    </row>
    <row r="2104" customFormat="false" ht="15" hidden="false" customHeight="false" outlineLevel="0" collapsed="false">
      <c r="A2104" s="8" t="s">
        <v>4350</v>
      </c>
      <c r="B2104" s="8" t="s">
        <v>4351</v>
      </c>
      <c r="C2104" s="8" t="s">
        <v>51</v>
      </c>
      <c r="D2104" s="8" t="s">
        <v>2027</v>
      </c>
      <c r="E2104" s="8" t="s">
        <v>132</v>
      </c>
      <c r="F2104" s="8" t="s">
        <v>151</v>
      </c>
      <c r="G2104" s="8" t="s">
        <v>185</v>
      </c>
      <c r="H2104" s="15" t="n">
        <v>60</v>
      </c>
      <c r="I2104" s="15" t="n">
        <v>60</v>
      </c>
      <c r="J2104" s="16" t="n">
        <v>0.8</v>
      </c>
      <c r="K2104" s="8" t="n">
        <v>8.7</v>
      </c>
      <c r="L2104" s="8" t="n">
        <v>10</v>
      </c>
      <c r="M2104" s="8" t="n">
        <v>5</v>
      </c>
      <c r="N2104" s="8" t="s">
        <v>120</v>
      </c>
      <c r="O2104" s="15" t="n">
        <f aca="false">H2104*12</f>
        <v>720</v>
      </c>
      <c r="P2104" s="8" t="n">
        <f aca="false">MIN(100,ROUND(100*J2104/Assumptions!$B$8,0))</f>
        <v>89</v>
      </c>
      <c r="Q2104" s="8" t="n">
        <f aca="false">IF(L2104="",Assumptions!$B$9,L2104*10)</f>
        <v>100</v>
      </c>
      <c r="R2104" s="8" t="n">
        <f aca="false">IF(M2104&lt;=1,Assumptions!$B$12,IF(M2104&lt;=3,Assumptions!$B$13,IF(M2104&lt;=6,Assumptions!$B$14,Assumptions!$B$15)))</f>
        <v>50</v>
      </c>
      <c r="S2104" s="8" t="n">
        <f aca="false">IF(N2104="Completed On Time",Assumptions!$B$16,IF(N2104="Completed Late",Assumptions!$B$17,Assumptions!$B$18))</f>
        <v>100</v>
      </c>
      <c r="T2104" s="8" t="n">
        <f aca="false">IF(I2104=0,Assumptions!$B$20,IF(H2104&gt;I2104,Assumptions!$B$19,IF(H2104=I2104,Assumptions!$B$20,Assumptions!$B$21)))</f>
        <v>70</v>
      </c>
      <c r="U2104" s="8" t="n">
        <f aca="false">ROUND(P2104*Assumptions!$B$2+Q2104*Assumptions!$B$3+R2104*Assumptions!$B$4+S2104*Assumptions!$B$5+T2104*Assumptions!$B$6,0)</f>
        <v>83</v>
      </c>
      <c r="V2104" s="8" t="str">
        <f aca="false">IF(U2104&gt;=Assumptions!$B$10,"Healthy",IF(U2104&gt;=Assumptions!$B$11,"Needs Attention","High Risk"))</f>
        <v>Healthy</v>
      </c>
    </row>
    <row r="2105" customFormat="false" ht="15" hidden="false" customHeight="false" outlineLevel="0" collapsed="false">
      <c r="A2105" s="8" t="s">
        <v>4352</v>
      </c>
      <c r="B2105" s="8" t="s">
        <v>4353</v>
      </c>
      <c r="C2105" s="8" t="s">
        <v>51</v>
      </c>
      <c r="D2105" s="8" t="s">
        <v>2027</v>
      </c>
      <c r="E2105" s="8" t="s">
        <v>132</v>
      </c>
      <c r="F2105" s="8" t="s">
        <v>118</v>
      </c>
      <c r="G2105" s="8" t="s">
        <v>159</v>
      </c>
      <c r="H2105" s="15" t="n">
        <v>60</v>
      </c>
      <c r="I2105" s="15" t="n">
        <v>60</v>
      </c>
      <c r="J2105" s="16" t="n">
        <v>0.8</v>
      </c>
      <c r="K2105" s="8" t="n">
        <v>9.7</v>
      </c>
      <c r="L2105" s="8" t="n">
        <v>10</v>
      </c>
      <c r="M2105" s="8" t="n">
        <v>4</v>
      </c>
      <c r="N2105" s="8" t="s">
        <v>120</v>
      </c>
      <c r="O2105" s="15" t="n">
        <f aca="false">H2105*12</f>
        <v>720</v>
      </c>
      <c r="P2105" s="8" t="n">
        <f aca="false">MIN(100,ROUND(100*J2105/Assumptions!$B$8,0))</f>
        <v>89</v>
      </c>
      <c r="Q2105" s="8" t="n">
        <f aca="false">IF(L2105="",Assumptions!$B$9,L2105*10)</f>
        <v>100</v>
      </c>
      <c r="R2105" s="8" t="n">
        <f aca="false">IF(M2105&lt;=1,Assumptions!$B$12,IF(M2105&lt;=3,Assumptions!$B$13,IF(M2105&lt;=6,Assumptions!$B$14,Assumptions!$B$15)))</f>
        <v>50</v>
      </c>
      <c r="S2105" s="8" t="n">
        <f aca="false">IF(N2105="Completed On Time",Assumptions!$B$16,IF(N2105="Completed Late",Assumptions!$B$17,Assumptions!$B$18))</f>
        <v>100</v>
      </c>
      <c r="T2105" s="8" t="n">
        <f aca="false">IF(I2105=0,Assumptions!$B$20,IF(H2105&gt;I2105,Assumptions!$B$19,IF(H2105=I2105,Assumptions!$B$20,Assumptions!$B$21)))</f>
        <v>70</v>
      </c>
      <c r="U2105" s="8" t="n">
        <f aca="false">ROUND(P2105*Assumptions!$B$2+Q2105*Assumptions!$B$3+R2105*Assumptions!$B$4+S2105*Assumptions!$B$5+T2105*Assumptions!$B$6,0)</f>
        <v>83</v>
      </c>
      <c r="V2105" s="8" t="str">
        <f aca="false">IF(U2105&gt;=Assumptions!$B$10,"Healthy",IF(U2105&gt;=Assumptions!$B$11,"Needs Attention","High Risk"))</f>
        <v>Healthy</v>
      </c>
    </row>
    <row r="2106" customFormat="false" ht="15" hidden="false" customHeight="false" outlineLevel="0" collapsed="false">
      <c r="A2106" s="8" t="s">
        <v>4354</v>
      </c>
      <c r="B2106" s="8" t="s">
        <v>4355</v>
      </c>
      <c r="C2106" s="8" t="s">
        <v>51</v>
      </c>
      <c r="D2106" s="8" t="s">
        <v>2027</v>
      </c>
      <c r="E2106" s="8" t="s">
        <v>132</v>
      </c>
      <c r="F2106" s="8" t="s">
        <v>223</v>
      </c>
      <c r="G2106" s="8" t="s">
        <v>147</v>
      </c>
      <c r="H2106" s="15" t="n">
        <v>60</v>
      </c>
      <c r="I2106" s="15" t="n">
        <v>60</v>
      </c>
      <c r="J2106" s="16" t="n">
        <v>0.933</v>
      </c>
      <c r="K2106" s="8" t="n">
        <v>10.7</v>
      </c>
      <c r="L2106" s="8" t="n">
        <v>9</v>
      </c>
      <c r="M2106" s="8" t="n">
        <v>0</v>
      </c>
      <c r="N2106" s="8" t="s">
        <v>120</v>
      </c>
      <c r="O2106" s="15" t="n">
        <f aca="false">H2106*12</f>
        <v>720</v>
      </c>
      <c r="P2106" s="8" t="n">
        <f aca="false">MIN(100,ROUND(100*J2106/Assumptions!$B$8,0))</f>
        <v>100</v>
      </c>
      <c r="Q2106" s="8" t="n">
        <f aca="false">IF(L2106="",Assumptions!$B$9,L2106*10)</f>
        <v>90</v>
      </c>
      <c r="R2106" s="8" t="n">
        <f aca="false">IF(M2106&lt;=1,Assumptions!$B$12,IF(M2106&lt;=3,Assumptions!$B$13,IF(M2106&lt;=6,Assumptions!$B$14,Assumptions!$B$15)))</f>
        <v>100</v>
      </c>
      <c r="S2106" s="8" t="n">
        <f aca="false">IF(N2106="Completed On Time",Assumptions!$B$16,IF(N2106="Completed Late",Assumptions!$B$17,Assumptions!$B$18))</f>
        <v>100</v>
      </c>
      <c r="T2106" s="8" t="n">
        <f aca="false">IF(I2106=0,Assumptions!$B$20,IF(H2106&gt;I2106,Assumptions!$B$19,IF(H2106=I2106,Assumptions!$B$20,Assumptions!$B$21)))</f>
        <v>70</v>
      </c>
      <c r="U2106" s="8" t="n">
        <f aca="false">ROUND(P2106*Assumptions!$B$2+Q2106*Assumptions!$B$3+R2106*Assumptions!$B$4+S2106*Assumptions!$B$5+T2106*Assumptions!$B$6,0)</f>
        <v>92</v>
      </c>
      <c r="V2106" s="8" t="str">
        <f aca="false">IF(U2106&gt;=Assumptions!$B$10,"Healthy",IF(U2106&gt;=Assumptions!$B$11,"Needs Attention","High Risk"))</f>
        <v>Healthy</v>
      </c>
    </row>
    <row r="2107" customFormat="false" ht="15" hidden="false" customHeight="false" outlineLevel="0" collapsed="false">
      <c r="A2107" s="8" t="s">
        <v>4356</v>
      </c>
      <c r="B2107" s="8" t="s">
        <v>4357</v>
      </c>
      <c r="C2107" s="8" t="s">
        <v>51</v>
      </c>
      <c r="D2107" s="8" t="s">
        <v>2027</v>
      </c>
      <c r="E2107" s="8" t="s">
        <v>123</v>
      </c>
      <c r="F2107" s="8" t="s">
        <v>151</v>
      </c>
      <c r="G2107" s="8" t="s">
        <v>144</v>
      </c>
      <c r="H2107" s="15" t="n">
        <v>60</v>
      </c>
      <c r="I2107" s="15" t="n">
        <v>60</v>
      </c>
      <c r="J2107" s="16" t="n">
        <v>0.733</v>
      </c>
      <c r="K2107" s="8" t="n">
        <v>7.7</v>
      </c>
      <c r="L2107" s="8" t="n">
        <v>10</v>
      </c>
      <c r="M2107" s="8" t="n">
        <v>1</v>
      </c>
      <c r="N2107" s="8" t="s">
        <v>120</v>
      </c>
      <c r="O2107" s="15" t="n">
        <f aca="false">H2107*12</f>
        <v>720</v>
      </c>
      <c r="P2107" s="8" t="n">
        <f aca="false">MIN(100,ROUND(100*J2107/Assumptions!$B$8,0))</f>
        <v>81</v>
      </c>
      <c r="Q2107" s="8" t="n">
        <f aca="false">IF(L2107="",Assumptions!$B$9,L2107*10)</f>
        <v>100</v>
      </c>
      <c r="R2107" s="8" t="n">
        <f aca="false">IF(M2107&lt;=1,Assumptions!$B$12,IF(M2107&lt;=3,Assumptions!$B$13,IF(M2107&lt;=6,Assumptions!$B$14,Assumptions!$B$15)))</f>
        <v>100</v>
      </c>
      <c r="S2107" s="8" t="n">
        <f aca="false">IF(N2107="Completed On Time",Assumptions!$B$16,IF(N2107="Completed Late",Assumptions!$B$17,Assumptions!$B$18))</f>
        <v>100</v>
      </c>
      <c r="T2107" s="8" t="n">
        <f aca="false">IF(I2107=0,Assumptions!$B$20,IF(H2107&gt;I2107,Assumptions!$B$19,IF(H2107=I2107,Assumptions!$B$20,Assumptions!$B$21)))</f>
        <v>70</v>
      </c>
      <c r="U2107" s="8" t="n">
        <f aca="false">ROUND(P2107*Assumptions!$B$2+Q2107*Assumptions!$B$3+R2107*Assumptions!$B$4+S2107*Assumptions!$B$5+T2107*Assumptions!$B$6,0)</f>
        <v>87</v>
      </c>
      <c r="V2107" s="8" t="str">
        <f aca="false">IF(U2107&gt;=Assumptions!$B$10,"Healthy",IF(U2107&gt;=Assumptions!$B$11,"Needs Attention","High Risk"))</f>
        <v>Healthy</v>
      </c>
    </row>
    <row r="2108" customFormat="false" ht="15" hidden="false" customHeight="false" outlineLevel="0" collapsed="false">
      <c r="A2108" s="8" t="s">
        <v>4358</v>
      </c>
      <c r="B2108" s="8" t="s">
        <v>4359</v>
      </c>
      <c r="C2108" s="8" t="s">
        <v>51</v>
      </c>
      <c r="D2108" s="8" t="s">
        <v>2027</v>
      </c>
      <c r="E2108" s="8" t="s">
        <v>117</v>
      </c>
      <c r="F2108" s="8" t="s">
        <v>190</v>
      </c>
      <c r="G2108" s="8" t="s">
        <v>137</v>
      </c>
      <c r="H2108" s="15" t="n">
        <v>60</v>
      </c>
      <c r="I2108" s="15" t="n">
        <v>60</v>
      </c>
      <c r="J2108" s="16" t="n">
        <v>0.6</v>
      </c>
      <c r="K2108" s="8" t="n">
        <v>7.7</v>
      </c>
      <c r="L2108" s="8" t="n">
        <v>6</v>
      </c>
      <c r="M2108" s="8" t="n">
        <v>6</v>
      </c>
      <c r="N2108" s="8" t="s">
        <v>120</v>
      </c>
      <c r="O2108" s="15" t="n">
        <f aca="false">H2108*12</f>
        <v>720</v>
      </c>
      <c r="P2108" s="8" t="n">
        <f aca="false">MIN(100,ROUND(100*J2108/Assumptions!$B$8,0))</f>
        <v>67</v>
      </c>
      <c r="Q2108" s="8" t="n">
        <f aca="false">IF(L2108="",Assumptions!$B$9,L2108*10)</f>
        <v>60</v>
      </c>
      <c r="R2108" s="8" t="n">
        <f aca="false">IF(M2108&lt;=1,Assumptions!$B$12,IF(M2108&lt;=3,Assumptions!$B$13,IF(M2108&lt;=6,Assumptions!$B$14,Assumptions!$B$15)))</f>
        <v>50</v>
      </c>
      <c r="S2108" s="8" t="n">
        <f aca="false">IF(N2108="Completed On Time",Assumptions!$B$16,IF(N2108="Completed Late",Assumptions!$B$17,Assumptions!$B$18))</f>
        <v>100</v>
      </c>
      <c r="T2108" s="8" t="n">
        <f aca="false">IF(I2108=0,Assumptions!$B$20,IF(H2108&gt;I2108,Assumptions!$B$19,IF(H2108=I2108,Assumptions!$B$20,Assumptions!$B$21)))</f>
        <v>70</v>
      </c>
      <c r="U2108" s="8" t="n">
        <f aca="false">ROUND(P2108*Assumptions!$B$2+Q2108*Assumptions!$B$3+R2108*Assumptions!$B$4+S2108*Assumptions!$B$5+T2108*Assumptions!$B$6,0)</f>
        <v>67</v>
      </c>
      <c r="V2108" s="8" t="str">
        <f aca="false">IF(U2108&gt;=Assumptions!$B$10,"Healthy",IF(U2108&gt;=Assumptions!$B$11,"Needs Attention","High Risk"))</f>
        <v>Needs Attention</v>
      </c>
    </row>
    <row r="2109" customFormat="false" ht="15" hidden="false" customHeight="false" outlineLevel="0" collapsed="false">
      <c r="A2109" s="8" t="s">
        <v>4360</v>
      </c>
      <c r="B2109" s="8" t="s">
        <v>4361</v>
      </c>
      <c r="C2109" s="8" t="s">
        <v>51</v>
      </c>
      <c r="D2109" s="8" t="s">
        <v>2027</v>
      </c>
      <c r="E2109" s="8" t="s">
        <v>132</v>
      </c>
      <c r="F2109" s="8" t="s">
        <v>124</v>
      </c>
      <c r="G2109" s="8" t="s">
        <v>180</v>
      </c>
      <c r="H2109" s="15" t="n">
        <v>60</v>
      </c>
      <c r="I2109" s="15" t="n">
        <v>60</v>
      </c>
      <c r="J2109" s="16" t="n">
        <v>0.667</v>
      </c>
      <c r="K2109" s="8" t="n">
        <v>7.7</v>
      </c>
      <c r="L2109" s="8" t="n">
        <v>6</v>
      </c>
      <c r="M2109" s="8" t="n">
        <v>3</v>
      </c>
      <c r="N2109" s="8" t="s">
        <v>120</v>
      </c>
      <c r="O2109" s="15" t="n">
        <f aca="false">H2109*12</f>
        <v>720</v>
      </c>
      <c r="P2109" s="8" t="n">
        <f aca="false">MIN(100,ROUND(100*J2109/Assumptions!$B$8,0))</f>
        <v>74</v>
      </c>
      <c r="Q2109" s="8" t="n">
        <f aca="false">IF(L2109="",Assumptions!$B$9,L2109*10)</f>
        <v>60</v>
      </c>
      <c r="R2109" s="8" t="n">
        <f aca="false">IF(M2109&lt;=1,Assumptions!$B$12,IF(M2109&lt;=3,Assumptions!$B$13,IF(M2109&lt;=6,Assumptions!$B$14,Assumptions!$B$15)))</f>
        <v>75</v>
      </c>
      <c r="S2109" s="8" t="n">
        <f aca="false">IF(N2109="Completed On Time",Assumptions!$B$16,IF(N2109="Completed Late",Assumptions!$B$17,Assumptions!$B$18))</f>
        <v>100</v>
      </c>
      <c r="T2109" s="8" t="n">
        <f aca="false">IF(I2109=0,Assumptions!$B$20,IF(H2109&gt;I2109,Assumptions!$B$19,IF(H2109=I2109,Assumptions!$B$20,Assumptions!$B$21)))</f>
        <v>70</v>
      </c>
      <c r="U2109" s="8" t="n">
        <f aca="false">ROUND(P2109*Assumptions!$B$2+Q2109*Assumptions!$B$3+R2109*Assumptions!$B$4+S2109*Assumptions!$B$5+T2109*Assumptions!$B$6,0)</f>
        <v>73</v>
      </c>
      <c r="V2109" s="8" t="str">
        <f aca="false">IF(U2109&gt;=Assumptions!$B$10,"Healthy",IF(U2109&gt;=Assumptions!$B$11,"Needs Attention","High Risk"))</f>
        <v>Needs Attention</v>
      </c>
    </row>
    <row r="2110" customFormat="false" ht="15" hidden="false" customHeight="false" outlineLevel="0" collapsed="false">
      <c r="A2110" s="8" t="s">
        <v>4362</v>
      </c>
      <c r="B2110" s="8" t="s">
        <v>4363</v>
      </c>
      <c r="C2110" s="8" t="s">
        <v>51</v>
      </c>
      <c r="D2110" s="8" t="s">
        <v>2027</v>
      </c>
      <c r="E2110" s="8" t="s">
        <v>123</v>
      </c>
      <c r="F2110" s="8" t="s">
        <v>154</v>
      </c>
      <c r="G2110" s="8" t="s">
        <v>137</v>
      </c>
      <c r="H2110" s="15" t="n">
        <v>60</v>
      </c>
      <c r="I2110" s="15" t="n">
        <v>60</v>
      </c>
      <c r="J2110" s="16" t="n">
        <v>0.733</v>
      </c>
      <c r="K2110" s="8" t="n">
        <v>8</v>
      </c>
      <c r="L2110" s="8" t="n">
        <v>8</v>
      </c>
      <c r="M2110" s="8" t="n">
        <v>2</v>
      </c>
      <c r="N2110" s="8" t="s">
        <v>120</v>
      </c>
      <c r="O2110" s="15" t="n">
        <f aca="false">H2110*12</f>
        <v>720</v>
      </c>
      <c r="P2110" s="8" t="n">
        <f aca="false">MIN(100,ROUND(100*J2110/Assumptions!$B$8,0))</f>
        <v>81</v>
      </c>
      <c r="Q2110" s="8" t="n">
        <f aca="false">IF(L2110="",Assumptions!$B$9,L2110*10)</f>
        <v>80</v>
      </c>
      <c r="R2110" s="8" t="n">
        <f aca="false">IF(M2110&lt;=1,Assumptions!$B$12,IF(M2110&lt;=3,Assumptions!$B$13,IF(M2110&lt;=6,Assumptions!$B$14,Assumptions!$B$15)))</f>
        <v>75</v>
      </c>
      <c r="S2110" s="8" t="n">
        <f aca="false">IF(N2110="Completed On Time",Assumptions!$B$16,IF(N2110="Completed Late",Assumptions!$B$17,Assumptions!$B$18))</f>
        <v>100</v>
      </c>
      <c r="T2110" s="8" t="n">
        <f aca="false">IF(I2110=0,Assumptions!$B$20,IF(H2110&gt;I2110,Assumptions!$B$19,IF(H2110=I2110,Assumptions!$B$20,Assumptions!$B$21)))</f>
        <v>70</v>
      </c>
      <c r="U2110" s="8" t="n">
        <f aca="false">ROUND(P2110*Assumptions!$B$2+Q2110*Assumptions!$B$3+R2110*Assumptions!$B$4+S2110*Assumptions!$B$5+T2110*Assumptions!$B$6,0)</f>
        <v>80</v>
      </c>
      <c r="V2110" s="8" t="str">
        <f aca="false">IF(U2110&gt;=Assumptions!$B$10,"Healthy",IF(U2110&gt;=Assumptions!$B$11,"Needs Attention","High Risk"))</f>
        <v>Healthy</v>
      </c>
    </row>
    <row r="2111" customFormat="false" ht="15" hidden="false" customHeight="false" outlineLevel="0" collapsed="false">
      <c r="A2111" s="8" t="s">
        <v>4364</v>
      </c>
      <c r="B2111" s="8" t="s">
        <v>4365</v>
      </c>
      <c r="C2111" s="8" t="s">
        <v>51</v>
      </c>
      <c r="D2111" s="8" t="s">
        <v>2027</v>
      </c>
      <c r="E2111" s="8" t="s">
        <v>123</v>
      </c>
      <c r="F2111" s="8" t="s">
        <v>166</v>
      </c>
      <c r="G2111" s="8" t="s">
        <v>185</v>
      </c>
      <c r="H2111" s="15" t="n">
        <v>60</v>
      </c>
      <c r="I2111" s="15" t="n">
        <v>60</v>
      </c>
      <c r="J2111" s="16" t="n">
        <v>0.667</v>
      </c>
      <c r="K2111" s="8" t="n">
        <v>9</v>
      </c>
      <c r="L2111" s="8" t="n">
        <v>10</v>
      </c>
      <c r="M2111" s="8" t="n">
        <v>2</v>
      </c>
      <c r="N2111" s="8" t="s">
        <v>120</v>
      </c>
      <c r="O2111" s="15" t="n">
        <f aca="false">H2111*12</f>
        <v>720</v>
      </c>
      <c r="P2111" s="8" t="n">
        <f aca="false">MIN(100,ROUND(100*J2111/Assumptions!$B$8,0))</f>
        <v>74</v>
      </c>
      <c r="Q2111" s="8" t="n">
        <f aca="false">IF(L2111="",Assumptions!$B$9,L2111*10)</f>
        <v>100</v>
      </c>
      <c r="R2111" s="8" t="n">
        <f aca="false">IF(M2111&lt;=1,Assumptions!$B$12,IF(M2111&lt;=3,Assumptions!$B$13,IF(M2111&lt;=6,Assumptions!$B$14,Assumptions!$B$15)))</f>
        <v>75</v>
      </c>
      <c r="S2111" s="8" t="n">
        <f aca="false">IF(N2111="Completed On Time",Assumptions!$B$16,IF(N2111="Completed Late",Assumptions!$B$17,Assumptions!$B$18))</f>
        <v>100</v>
      </c>
      <c r="T2111" s="8" t="n">
        <f aca="false">IF(I2111=0,Assumptions!$B$20,IF(H2111&gt;I2111,Assumptions!$B$19,IF(H2111=I2111,Assumptions!$B$20,Assumptions!$B$21)))</f>
        <v>70</v>
      </c>
      <c r="U2111" s="8" t="n">
        <f aca="false">ROUND(P2111*Assumptions!$B$2+Q2111*Assumptions!$B$3+R2111*Assumptions!$B$4+S2111*Assumptions!$B$5+T2111*Assumptions!$B$6,0)</f>
        <v>81</v>
      </c>
      <c r="V2111" s="8" t="str">
        <f aca="false">IF(U2111&gt;=Assumptions!$B$10,"Healthy",IF(U2111&gt;=Assumptions!$B$11,"Needs Attention","High Risk"))</f>
        <v>Healthy</v>
      </c>
    </row>
    <row r="2112" customFormat="false" ht="15" hidden="false" customHeight="false" outlineLevel="0" collapsed="false">
      <c r="A2112" s="8" t="s">
        <v>4366</v>
      </c>
      <c r="B2112" s="8" t="s">
        <v>4367</v>
      </c>
      <c r="C2112" s="8" t="s">
        <v>51</v>
      </c>
      <c r="D2112" s="8" t="s">
        <v>2027</v>
      </c>
      <c r="E2112" s="8" t="s">
        <v>132</v>
      </c>
      <c r="F2112" s="8" t="s">
        <v>223</v>
      </c>
      <c r="G2112" s="8" t="s">
        <v>129</v>
      </c>
      <c r="H2112" s="15" t="n">
        <v>60</v>
      </c>
      <c r="I2112" s="15" t="n">
        <v>60</v>
      </c>
      <c r="J2112" s="16" t="n">
        <v>0.6</v>
      </c>
      <c r="K2112" s="8" t="n">
        <v>7.3</v>
      </c>
      <c r="L2112" s="8" t="n">
        <v>6</v>
      </c>
      <c r="M2112" s="8" t="n">
        <v>1</v>
      </c>
      <c r="N2112" s="8" t="s">
        <v>120</v>
      </c>
      <c r="O2112" s="15" t="n">
        <f aca="false">H2112*12</f>
        <v>720</v>
      </c>
      <c r="P2112" s="8" t="n">
        <f aca="false">MIN(100,ROUND(100*J2112/Assumptions!$B$8,0))</f>
        <v>67</v>
      </c>
      <c r="Q2112" s="8" t="n">
        <f aca="false">IF(L2112="",Assumptions!$B$9,L2112*10)</f>
        <v>60</v>
      </c>
      <c r="R2112" s="8" t="n">
        <f aca="false">IF(M2112&lt;=1,Assumptions!$B$12,IF(M2112&lt;=3,Assumptions!$B$13,IF(M2112&lt;=6,Assumptions!$B$14,Assumptions!$B$15)))</f>
        <v>100</v>
      </c>
      <c r="S2112" s="8" t="n">
        <f aca="false">IF(N2112="Completed On Time",Assumptions!$B$16,IF(N2112="Completed Late",Assumptions!$B$17,Assumptions!$B$18))</f>
        <v>100</v>
      </c>
      <c r="T2112" s="8" t="n">
        <f aca="false">IF(I2112=0,Assumptions!$B$20,IF(H2112&gt;I2112,Assumptions!$B$19,IF(H2112=I2112,Assumptions!$B$20,Assumptions!$B$21)))</f>
        <v>70</v>
      </c>
      <c r="U2112" s="8" t="n">
        <f aca="false">ROUND(P2112*Assumptions!$B$2+Q2112*Assumptions!$B$3+R2112*Assumptions!$B$4+S2112*Assumptions!$B$5+T2112*Assumptions!$B$6,0)</f>
        <v>74</v>
      </c>
      <c r="V2112" s="8" t="str">
        <f aca="false">IF(U2112&gt;=Assumptions!$B$10,"Healthy",IF(U2112&gt;=Assumptions!$B$11,"Needs Attention","High Risk"))</f>
        <v>Needs Attention</v>
      </c>
    </row>
    <row r="2113" customFormat="false" ht="15" hidden="false" customHeight="false" outlineLevel="0" collapsed="false">
      <c r="A2113" s="8" t="s">
        <v>4368</v>
      </c>
      <c r="B2113" s="8" t="s">
        <v>4369</v>
      </c>
      <c r="C2113" s="8" t="s">
        <v>51</v>
      </c>
      <c r="D2113" s="8" t="s">
        <v>2027</v>
      </c>
      <c r="E2113" s="8" t="s">
        <v>132</v>
      </c>
      <c r="F2113" s="8" t="s">
        <v>133</v>
      </c>
      <c r="G2113" s="8" t="s">
        <v>144</v>
      </c>
      <c r="H2113" s="15" t="n">
        <v>60</v>
      </c>
      <c r="I2113" s="15" t="n">
        <v>60</v>
      </c>
      <c r="J2113" s="16" t="n">
        <v>0.733</v>
      </c>
      <c r="K2113" s="8" t="n">
        <v>10</v>
      </c>
      <c r="L2113" s="8" t="n">
        <v>7</v>
      </c>
      <c r="M2113" s="8" t="n">
        <v>0</v>
      </c>
      <c r="N2113" s="8" t="s">
        <v>120</v>
      </c>
      <c r="O2113" s="15" t="n">
        <f aca="false">H2113*12</f>
        <v>720</v>
      </c>
      <c r="P2113" s="8" t="n">
        <f aca="false">MIN(100,ROUND(100*J2113/Assumptions!$B$8,0))</f>
        <v>81</v>
      </c>
      <c r="Q2113" s="8" t="n">
        <f aca="false">IF(L2113="",Assumptions!$B$9,L2113*10)</f>
        <v>70</v>
      </c>
      <c r="R2113" s="8" t="n">
        <f aca="false">IF(M2113&lt;=1,Assumptions!$B$12,IF(M2113&lt;=3,Assumptions!$B$13,IF(M2113&lt;=6,Assumptions!$B$14,Assumptions!$B$15)))</f>
        <v>100</v>
      </c>
      <c r="S2113" s="8" t="n">
        <f aca="false">IF(N2113="Completed On Time",Assumptions!$B$16,IF(N2113="Completed Late",Assumptions!$B$17,Assumptions!$B$18))</f>
        <v>100</v>
      </c>
      <c r="T2113" s="8" t="n">
        <f aca="false">IF(I2113=0,Assumptions!$B$20,IF(H2113&gt;I2113,Assumptions!$B$19,IF(H2113=I2113,Assumptions!$B$20,Assumptions!$B$21)))</f>
        <v>70</v>
      </c>
      <c r="U2113" s="8" t="n">
        <f aca="false">ROUND(P2113*Assumptions!$B$2+Q2113*Assumptions!$B$3+R2113*Assumptions!$B$4+S2113*Assumptions!$B$5+T2113*Assumptions!$B$6,0)</f>
        <v>81</v>
      </c>
      <c r="V2113" s="8" t="str">
        <f aca="false">IF(U2113&gt;=Assumptions!$B$10,"Healthy",IF(U2113&gt;=Assumptions!$B$11,"Needs Attention","High Risk"))</f>
        <v>Healthy</v>
      </c>
    </row>
    <row r="2114" customFormat="false" ht="15" hidden="false" customHeight="false" outlineLevel="0" collapsed="false">
      <c r="A2114" s="8" t="s">
        <v>4370</v>
      </c>
      <c r="B2114" s="8" t="s">
        <v>4371</v>
      </c>
      <c r="C2114" s="8" t="s">
        <v>51</v>
      </c>
      <c r="D2114" s="8" t="s">
        <v>2027</v>
      </c>
      <c r="E2114" s="8" t="s">
        <v>123</v>
      </c>
      <c r="F2114" s="8" t="s">
        <v>154</v>
      </c>
      <c r="G2114" s="8" t="s">
        <v>185</v>
      </c>
      <c r="H2114" s="15" t="n">
        <v>60</v>
      </c>
      <c r="I2114" s="15" t="n">
        <v>72</v>
      </c>
      <c r="J2114" s="16" t="n">
        <v>0.6</v>
      </c>
      <c r="K2114" s="8" t="n">
        <v>7</v>
      </c>
      <c r="L2114" s="8" t="n">
        <v>5</v>
      </c>
      <c r="M2114" s="8" t="n">
        <v>4</v>
      </c>
      <c r="N2114" s="8" t="s">
        <v>120</v>
      </c>
      <c r="O2114" s="15" t="n">
        <f aca="false">H2114*12</f>
        <v>720</v>
      </c>
      <c r="P2114" s="8" t="n">
        <f aca="false">MIN(100,ROUND(100*J2114/Assumptions!$B$8,0))</f>
        <v>67</v>
      </c>
      <c r="Q2114" s="8" t="n">
        <f aca="false">IF(L2114="",Assumptions!$B$9,L2114*10)</f>
        <v>50</v>
      </c>
      <c r="R2114" s="8" t="n">
        <f aca="false">IF(M2114&lt;=1,Assumptions!$B$12,IF(M2114&lt;=3,Assumptions!$B$13,IF(M2114&lt;=6,Assumptions!$B$14,Assumptions!$B$15)))</f>
        <v>50</v>
      </c>
      <c r="S2114" s="8" t="n">
        <f aca="false">IF(N2114="Completed On Time",Assumptions!$B$16,IF(N2114="Completed Late",Assumptions!$B$17,Assumptions!$B$18))</f>
        <v>100</v>
      </c>
      <c r="T2114" s="8" t="n">
        <f aca="false">IF(I2114=0,Assumptions!$B$20,IF(H2114&gt;I2114,Assumptions!$B$19,IF(H2114=I2114,Assumptions!$B$20,Assumptions!$B$21)))</f>
        <v>30</v>
      </c>
      <c r="U2114" s="8" t="n">
        <f aca="false">ROUND(P2114*Assumptions!$B$2+Q2114*Assumptions!$B$3+R2114*Assumptions!$B$4+S2114*Assumptions!$B$5+T2114*Assumptions!$B$6,0)</f>
        <v>57</v>
      </c>
      <c r="V2114" s="8" t="str">
        <f aca="false">IF(U2114&gt;=Assumptions!$B$10,"Healthy",IF(U2114&gt;=Assumptions!$B$11,"Needs Attention","High Risk"))</f>
        <v>High Risk</v>
      </c>
    </row>
    <row r="2115" customFormat="false" ht="15" hidden="false" customHeight="false" outlineLevel="0" collapsed="false">
      <c r="A2115" s="8" t="s">
        <v>4372</v>
      </c>
      <c r="B2115" s="8" t="s">
        <v>4373</v>
      </c>
      <c r="C2115" s="8" t="s">
        <v>51</v>
      </c>
      <c r="D2115" s="8" t="s">
        <v>2027</v>
      </c>
      <c r="E2115" s="8" t="s">
        <v>132</v>
      </c>
      <c r="F2115" s="8" t="s">
        <v>190</v>
      </c>
      <c r="G2115" s="8" t="s">
        <v>185</v>
      </c>
      <c r="H2115" s="15" t="n">
        <v>60</v>
      </c>
      <c r="I2115" s="15" t="n">
        <v>60</v>
      </c>
      <c r="J2115" s="16" t="n">
        <v>0.667</v>
      </c>
      <c r="K2115" s="8" t="n">
        <v>6.7</v>
      </c>
      <c r="L2115" s="8" t="n">
        <v>6</v>
      </c>
      <c r="M2115" s="8" t="n">
        <v>5</v>
      </c>
      <c r="N2115" s="8" t="s">
        <v>120</v>
      </c>
      <c r="O2115" s="15" t="n">
        <f aca="false">H2115*12</f>
        <v>720</v>
      </c>
      <c r="P2115" s="8" t="n">
        <f aca="false">MIN(100,ROUND(100*J2115/Assumptions!$B$8,0))</f>
        <v>74</v>
      </c>
      <c r="Q2115" s="8" t="n">
        <f aca="false">IF(L2115="",Assumptions!$B$9,L2115*10)</f>
        <v>60</v>
      </c>
      <c r="R2115" s="8" t="n">
        <f aca="false">IF(M2115&lt;=1,Assumptions!$B$12,IF(M2115&lt;=3,Assumptions!$B$13,IF(M2115&lt;=6,Assumptions!$B$14,Assumptions!$B$15)))</f>
        <v>50</v>
      </c>
      <c r="S2115" s="8" t="n">
        <f aca="false">IF(N2115="Completed On Time",Assumptions!$B$16,IF(N2115="Completed Late",Assumptions!$B$17,Assumptions!$B$18))</f>
        <v>100</v>
      </c>
      <c r="T2115" s="8" t="n">
        <f aca="false">IF(I2115=0,Assumptions!$B$20,IF(H2115&gt;I2115,Assumptions!$B$19,IF(H2115=I2115,Assumptions!$B$20,Assumptions!$B$21)))</f>
        <v>70</v>
      </c>
      <c r="U2115" s="8" t="n">
        <f aca="false">ROUND(P2115*Assumptions!$B$2+Q2115*Assumptions!$B$3+R2115*Assumptions!$B$4+S2115*Assumptions!$B$5+T2115*Assumptions!$B$6,0)</f>
        <v>69</v>
      </c>
      <c r="V2115" s="8" t="str">
        <f aca="false">IF(U2115&gt;=Assumptions!$B$10,"Healthy",IF(U2115&gt;=Assumptions!$B$11,"Needs Attention","High Risk"))</f>
        <v>Needs Attention</v>
      </c>
    </row>
    <row r="2116" customFormat="false" ht="15" hidden="false" customHeight="false" outlineLevel="0" collapsed="false">
      <c r="A2116" s="8" t="s">
        <v>4374</v>
      </c>
      <c r="B2116" s="8" t="s">
        <v>4375</v>
      </c>
      <c r="C2116" s="8" t="s">
        <v>51</v>
      </c>
      <c r="D2116" s="8" t="s">
        <v>2027</v>
      </c>
      <c r="E2116" s="8" t="s">
        <v>132</v>
      </c>
      <c r="F2116" s="8" t="s">
        <v>190</v>
      </c>
      <c r="G2116" s="8" t="s">
        <v>129</v>
      </c>
      <c r="H2116" s="15" t="n">
        <v>60</v>
      </c>
      <c r="I2116" s="15" t="n">
        <v>60</v>
      </c>
      <c r="J2116" s="16" t="n">
        <v>0.867</v>
      </c>
      <c r="K2116" s="8" t="n">
        <v>10</v>
      </c>
      <c r="L2116" s="8" t="n">
        <v>10</v>
      </c>
      <c r="M2116" s="8" t="n">
        <v>0</v>
      </c>
      <c r="N2116" s="8" t="s">
        <v>120</v>
      </c>
      <c r="O2116" s="15" t="n">
        <f aca="false">H2116*12</f>
        <v>720</v>
      </c>
      <c r="P2116" s="8" t="n">
        <f aca="false">MIN(100,ROUND(100*J2116/Assumptions!$B$8,0))</f>
        <v>96</v>
      </c>
      <c r="Q2116" s="8" t="n">
        <f aca="false">IF(L2116="",Assumptions!$B$9,L2116*10)</f>
        <v>100</v>
      </c>
      <c r="R2116" s="8" t="n">
        <f aca="false">IF(M2116&lt;=1,Assumptions!$B$12,IF(M2116&lt;=3,Assumptions!$B$13,IF(M2116&lt;=6,Assumptions!$B$14,Assumptions!$B$15)))</f>
        <v>100</v>
      </c>
      <c r="S2116" s="8" t="n">
        <f aca="false">IF(N2116="Completed On Time",Assumptions!$B$16,IF(N2116="Completed Late",Assumptions!$B$17,Assumptions!$B$18))</f>
        <v>100</v>
      </c>
      <c r="T2116" s="8" t="n">
        <f aca="false">IF(I2116=0,Assumptions!$B$20,IF(H2116&gt;I2116,Assumptions!$B$19,IF(H2116=I2116,Assumptions!$B$20,Assumptions!$B$21)))</f>
        <v>70</v>
      </c>
      <c r="U2116" s="8" t="n">
        <f aca="false">ROUND(P2116*Assumptions!$B$2+Q2116*Assumptions!$B$3+R2116*Assumptions!$B$4+S2116*Assumptions!$B$5+T2116*Assumptions!$B$6,0)</f>
        <v>93</v>
      </c>
      <c r="V2116" s="8" t="str">
        <f aca="false">IF(U2116&gt;=Assumptions!$B$10,"Healthy",IF(U2116&gt;=Assumptions!$B$11,"Needs Attention","High Risk"))</f>
        <v>Healthy</v>
      </c>
    </row>
    <row r="2117" customFormat="false" ht="15" hidden="false" customHeight="false" outlineLevel="0" collapsed="false">
      <c r="A2117" s="8" t="s">
        <v>4376</v>
      </c>
      <c r="B2117" s="8" t="s">
        <v>4377</v>
      </c>
      <c r="C2117" s="8" t="s">
        <v>51</v>
      </c>
      <c r="D2117" s="8" t="s">
        <v>2027</v>
      </c>
      <c r="E2117" s="8" t="s">
        <v>117</v>
      </c>
      <c r="F2117" s="8" t="s">
        <v>118</v>
      </c>
      <c r="G2117" s="8" t="s">
        <v>180</v>
      </c>
      <c r="H2117" s="15" t="n">
        <v>60</v>
      </c>
      <c r="I2117" s="15" t="n">
        <v>0</v>
      </c>
      <c r="J2117" s="16" t="n">
        <v>0.6</v>
      </c>
      <c r="K2117" s="8" t="n">
        <v>6</v>
      </c>
      <c r="L2117" s="8"/>
      <c r="M2117" s="8" t="n">
        <v>0</v>
      </c>
      <c r="N2117" s="8" t="s">
        <v>120</v>
      </c>
      <c r="O2117" s="15" t="n">
        <f aca="false">H2117*12</f>
        <v>720</v>
      </c>
      <c r="P2117" s="8" t="n">
        <f aca="false">MIN(100,ROUND(100*J2117/Assumptions!$B$8,0))</f>
        <v>67</v>
      </c>
      <c r="Q2117" s="8" t="n">
        <f aca="false">IF(L2117="",Assumptions!$B$9,L2117*10)</f>
        <v>50</v>
      </c>
      <c r="R2117" s="8" t="n">
        <f aca="false">IF(M2117&lt;=1,Assumptions!$B$12,IF(M2117&lt;=3,Assumptions!$B$13,IF(M2117&lt;=6,Assumptions!$B$14,Assumptions!$B$15)))</f>
        <v>100</v>
      </c>
      <c r="S2117" s="8" t="n">
        <f aca="false">IF(N2117="Completed On Time",Assumptions!$B$16,IF(N2117="Completed Late",Assumptions!$B$17,Assumptions!$B$18))</f>
        <v>100</v>
      </c>
      <c r="T2117" s="8" t="n">
        <f aca="false">IF(I2117=0,Assumptions!$B$20,IF(H2117&gt;I2117,Assumptions!$B$19,IF(H2117=I2117,Assumptions!$B$20,Assumptions!$B$21)))</f>
        <v>70</v>
      </c>
      <c r="U2117" s="8" t="n">
        <f aca="false">ROUND(P2117*Assumptions!$B$2+Q2117*Assumptions!$B$3+R2117*Assumptions!$B$4+S2117*Assumptions!$B$5+T2117*Assumptions!$B$6,0)</f>
        <v>72</v>
      </c>
      <c r="V2117" s="8" t="str">
        <f aca="false">IF(U2117&gt;=Assumptions!$B$10,"Healthy",IF(U2117&gt;=Assumptions!$B$11,"Needs Attention","High Risk"))</f>
        <v>Needs Attention</v>
      </c>
    </row>
    <row r="2118" customFormat="false" ht="15" hidden="false" customHeight="false" outlineLevel="0" collapsed="false">
      <c r="A2118" s="8" t="s">
        <v>4378</v>
      </c>
      <c r="B2118" s="8" t="s">
        <v>4379</v>
      </c>
      <c r="C2118" s="8" t="s">
        <v>51</v>
      </c>
      <c r="D2118" s="8" t="s">
        <v>2027</v>
      </c>
      <c r="E2118" s="8" t="s">
        <v>123</v>
      </c>
      <c r="F2118" s="8" t="s">
        <v>143</v>
      </c>
      <c r="G2118" s="8" t="s">
        <v>185</v>
      </c>
      <c r="H2118" s="15" t="n">
        <v>60</v>
      </c>
      <c r="I2118" s="15" t="n">
        <v>60</v>
      </c>
      <c r="J2118" s="16" t="n">
        <v>0.533</v>
      </c>
      <c r="K2118" s="8" t="n">
        <v>6</v>
      </c>
      <c r="L2118" s="8" t="n">
        <v>8</v>
      </c>
      <c r="M2118" s="8" t="n">
        <v>1</v>
      </c>
      <c r="N2118" s="8" t="s">
        <v>120</v>
      </c>
      <c r="O2118" s="15" t="n">
        <f aca="false">H2118*12</f>
        <v>720</v>
      </c>
      <c r="P2118" s="8" t="n">
        <f aca="false">MIN(100,ROUND(100*J2118/Assumptions!$B$8,0))</f>
        <v>59</v>
      </c>
      <c r="Q2118" s="8" t="n">
        <f aca="false">IF(L2118="",Assumptions!$B$9,L2118*10)</f>
        <v>80</v>
      </c>
      <c r="R2118" s="8" t="n">
        <f aca="false">IF(M2118&lt;=1,Assumptions!$B$12,IF(M2118&lt;=3,Assumptions!$B$13,IF(M2118&lt;=6,Assumptions!$B$14,Assumptions!$B$15)))</f>
        <v>100</v>
      </c>
      <c r="S2118" s="8" t="n">
        <f aca="false">IF(N2118="Completed On Time",Assumptions!$B$16,IF(N2118="Completed Late",Assumptions!$B$17,Assumptions!$B$18))</f>
        <v>100</v>
      </c>
      <c r="T2118" s="8" t="n">
        <f aca="false">IF(I2118=0,Assumptions!$B$20,IF(H2118&gt;I2118,Assumptions!$B$19,IF(H2118=I2118,Assumptions!$B$20,Assumptions!$B$21)))</f>
        <v>70</v>
      </c>
      <c r="U2118" s="8" t="n">
        <f aca="false">ROUND(P2118*Assumptions!$B$2+Q2118*Assumptions!$B$3+R2118*Assumptions!$B$4+S2118*Assumptions!$B$5+T2118*Assumptions!$B$6,0)</f>
        <v>76</v>
      </c>
      <c r="V2118" s="8" t="str">
        <f aca="false">IF(U2118&gt;=Assumptions!$B$10,"Healthy",IF(U2118&gt;=Assumptions!$B$11,"Needs Attention","High Risk"))</f>
        <v>Needs Attention</v>
      </c>
    </row>
    <row r="2119" customFormat="false" ht="15" hidden="false" customHeight="false" outlineLevel="0" collapsed="false">
      <c r="A2119" s="8" t="s">
        <v>4380</v>
      </c>
      <c r="B2119" s="8" t="s">
        <v>4381</v>
      </c>
      <c r="C2119" s="8" t="s">
        <v>51</v>
      </c>
      <c r="D2119" s="8" t="s">
        <v>2027</v>
      </c>
      <c r="E2119" s="8" t="s">
        <v>117</v>
      </c>
      <c r="F2119" s="8" t="s">
        <v>166</v>
      </c>
      <c r="G2119" s="8" t="s">
        <v>147</v>
      </c>
      <c r="H2119" s="15" t="n">
        <v>60</v>
      </c>
      <c r="I2119" s="15" t="n">
        <v>60</v>
      </c>
      <c r="J2119" s="16" t="n">
        <v>0.6</v>
      </c>
      <c r="K2119" s="8" t="n">
        <v>6.7</v>
      </c>
      <c r="L2119" s="8" t="n">
        <v>8</v>
      </c>
      <c r="M2119" s="8" t="n">
        <v>5</v>
      </c>
      <c r="N2119" s="8" t="s">
        <v>120</v>
      </c>
      <c r="O2119" s="15" t="n">
        <f aca="false">H2119*12</f>
        <v>720</v>
      </c>
      <c r="P2119" s="8" t="n">
        <f aca="false">MIN(100,ROUND(100*J2119/Assumptions!$B$8,0))</f>
        <v>67</v>
      </c>
      <c r="Q2119" s="8" t="n">
        <f aca="false">IF(L2119="",Assumptions!$B$9,L2119*10)</f>
        <v>80</v>
      </c>
      <c r="R2119" s="8" t="n">
        <f aca="false">IF(M2119&lt;=1,Assumptions!$B$12,IF(M2119&lt;=3,Assumptions!$B$13,IF(M2119&lt;=6,Assumptions!$B$14,Assumptions!$B$15)))</f>
        <v>50</v>
      </c>
      <c r="S2119" s="8" t="n">
        <f aca="false">IF(N2119="Completed On Time",Assumptions!$B$16,IF(N2119="Completed Late",Assumptions!$B$17,Assumptions!$B$18))</f>
        <v>100</v>
      </c>
      <c r="T2119" s="8" t="n">
        <f aca="false">IF(I2119=0,Assumptions!$B$20,IF(H2119&gt;I2119,Assumptions!$B$19,IF(H2119=I2119,Assumptions!$B$20,Assumptions!$B$21)))</f>
        <v>70</v>
      </c>
      <c r="U2119" s="8" t="n">
        <f aca="false">ROUND(P2119*Assumptions!$B$2+Q2119*Assumptions!$B$3+R2119*Assumptions!$B$4+S2119*Assumptions!$B$5+T2119*Assumptions!$B$6,0)</f>
        <v>71</v>
      </c>
      <c r="V2119" s="8" t="str">
        <f aca="false">IF(U2119&gt;=Assumptions!$B$10,"Healthy",IF(U2119&gt;=Assumptions!$B$11,"Needs Attention","High Risk"))</f>
        <v>Needs Attention</v>
      </c>
    </row>
    <row r="2120" customFormat="false" ht="15" hidden="false" customHeight="false" outlineLevel="0" collapsed="false">
      <c r="A2120" s="8" t="s">
        <v>4382</v>
      </c>
      <c r="B2120" s="8" t="s">
        <v>4383</v>
      </c>
      <c r="C2120" s="8" t="s">
        <v>51</v>
      </c>
      <c r="D2120" s="8" t="s">
        <v>2027</v>
      </c>
      <c r="E2120" s="8" t="s">
        <v>123</v>
      </c>
      <c r="F2120" s="8" t="s">
        <v>136</v>
      </c>
      <c r="G2120" s="8" t="s">
        <v>185</v>
      </c>
      <c r="H2120" s="15" t="n">
        <v>48</v>
      </c>
      <c r="I2120" s="15" t="n">
        <v>48</v>
      </c>
      <c r="J2120" s="16" t="n">
        <v>0.833</v>
      </c>
      <c r="K2120" s="8" t="n">
        <v>10</v>
      </c>
      <c r="L2120" s="8" t="n">
        <v>6</v>
      </c>
      <c r="M2120" s="8" t="n">
        <v>0</v>
      </c>
      <c r="N2120" s="8" t="s">
        <v>120</v>
      </c>
      <c r="O2120" s="15" t="n">
        <f aca="false">H2120*12</f>
        <v>576</v>
      </c>
      <c r="P2120" s="8" t="n">
        <f aca="false">MIN(100,ROUND(100*J2120/Assumptions!$B$8,0))</f>
        <v>93</v>
      </c>
      <c r="Q2120" s="8" t="n">
        <f aca="false">IF(L2120="",Assumptions!$B$9,L2120*10)</f>
        <v>60</v>
      </c>
      <c r="R2120" s="8" t="n">
        <f aca="false">IF(M2120&lt;=1,Assumptions!$B$12,IF(M2120&lt;=3,Assumptions!$B$13,IF(M2120&lt;=6,Assumptions!$B$14,Assumptions!$B$15)))</f>
        <v>100</v>
      </c>
      <c r="S2120" s="8" t="n">
        <f aca="false">IF(N2120="Completed On Time",Assumptions!$B$16,IF(N2120="Completed Late",Assumptions!$B$17,Assumptions!$B$18))</f>
        <v>100</v>
      </c>
      <c r="T2120" s="8" t="n">
        <f aca="false">IF(I2120=0,Assumptions!$B$20,IF(H2120&gt;I2120,Assumptions!$B$19,IF(H2120=I2120,Assumptions!$B$20,Assumptions!$B$21)))</f>
        <v>70</v>
      </c>
      <c r="U2120" s="8" t="n">
        <f aca="false">ROUND(P2120*Assumptions!$B$2+Q2120*Assumptions!$B$3+R2120*Assumptions!$B$4+S2120*Assumptions!$B$5+T2120*Assumptions!$B$6,0)</f>
        <v>84</v>
      </c>
      <c r="V2120" s="8" t="str">
        <f aca="false">IF(U2120&gt;=Assumptions!$B$10,"Healthy",IF(U2120&gt;=Assumptions!$B$11,"Needs Attention","High Risk"))</f>
        <v>Healthy</v>
      </c>
    </row>
    <row r="2121" customFormat="false" ht="15" hidden="false" customHeight="false" outlineLevel="0" collapsed="false">
      <c r="A2121" s="8" t="s">
        <v>4384</v>
      </c>
      <c r="B2121" s="8" t="s">
        <v>4385</v>
      </c>
      <c r="C2121" s="8" t="s">
        <v>51</v>
      </c>
      <c r="D2121" s="8" t="s">
        <v>2027</v>
      </c>
      <c r="E2121" s="8" t="s">
        <v>128</v>
      </c>
      <c r="F2121" s="8" t="s">
        <v>118</v>
      </c>
      <c r="G2121" s="8" t="s">
        <v>185</v>
      </c>
      <c r="H2121" s="15" t="n">
        <v>48</v>
      </c>
      <c r="I2121" s="15" t="n">
        <v>48</v>
      </c>
      <c r="J2121" s="16" t="n">
        <v>0.833</v>
      </c>
      <c r="K2121" s="8" t="n">
        <v>8.3</v>
      </c>
      <c r="L2121" s="8" t="n">
        <v>8</v>
      </c>
      <c r="M2121" s="8" t="n">
        <v>1</v>
      </c>
      <c r="N2121" s="8" t="s">
        <v>120</v>
      </c>
      <c r="O2121" s="15" t="n">
        <f aca="false">H2121*12</f>
        <v>576</v>
      </c>
      <c r="P2121" s="8" t="n">
        <f aca="false">MIN(100,ROUND(100*J2121/Assumptions!$B$8,0))</f>
        <v>93</v>
      </c>
      <c r="Q2121" s="8" t="n">
        <f aca="false">IF(L2121="",Assumptions!$B$9,L2121*10)</f>
        <v>80</v>
      </c>
      <c r="R2121" s="8" t="n">
        <f aca="false">IF(M2121&lt;=1,Assumptions!$B$12,IF(M2121&lt;=3,Assumptions!$B$13,IF(M2121&lt;=6,Assumptions!$B$14,Assumptions!$B$15)))</f>
        <v>100</v>
      </c>
      <c r="S2121" s="8" t="n">
        <f aca="false">IF(N2121="Completed On Time",Assumptions!$B$16,IF(N2121="Completed Late",Assumptions!$B$17,Assumptions!$B$18))</f>
        <v>100</v>
      </c>
      <c r="T2121" s="8" t="n">
        <f aca="false">IF(I2121=0,Assumptions!$B$20,IF(H2121&gt;I2121,Assumptions!$B$19,IF(H2121=I2121,Assumptions!$B$20,Assumptions!$B$21)))</f>
        <v>70</v>
      </c>
      <c r="U2121" s="8" t="n">
        <f aca="false">ROUND(P2121*Assumptions!$B$2+Q2121*Assumptions!$B$3+R2121*Assumptions!$B$4+S2121*Assumptions!$B$5+T2121*Assumptions!$B$6,0)</f>
        <v>88</v>
      </c>
      <c r="V2121" s="8" t="str">
        <f aca="false">IF(U2121&gt;=Assumptions!$B$10,"Healthy",IF(U2121&gt;=Assumptions!$B$11,"Needs Attention","High Risk"))</f>
        <v>Healthy</v>
      </c>
    </row>
    <row r="2122" customFormat="false" ht="15" hidden="false" customHeight="false" outlineLevel="0" collapsed="false">
      <c r="A2122" s="8" t="s">
        <v>4386</v>
      </c>
      <c r="B2122" s="8" t="s">
        <v>4387</v>
      </c>
      <c r="C2122" s="8" t="s">
        <v>51</v>
      </c>
      <c r="D2122" s="8" t="s">
        <v>2027</v>
      </c>
      <c r="E2122" s="8" t="s">
        <v>132</v>
      </c>
      <c r="F2122" s="8" t="s">
        <v>154</v>
      </c>
      <c r="G2122" s="8" t="s">
        <v>140</v>
      </c>
      <c r="H2122" s="15" t="n">
        <v>48</v>
      </c>
      <c r="I2122" s="15" t="n">
        <v>72</v>
      </c>
      <c r="J2122" s="16" t="n">
        <v>0.929</v>
      </c>
      <c r="K2122" s="8" t="n">
        <v>11</v>
      </c>
      <c r="L2122" s="8" t="n">
        <v>9</v>
      </c>
      <c r="M2122" s="8" t="n">
        <v>2</v>
      </c>
      <c r="N2122" s="8" t="s">
        <v>120</v>
      </c>
      <c r="O2122" s="15" t="n">
        <f aca="false">H2122*12</f>
        <v>576</v>
      </c>
      <c r="P2122" s="8" t="n">
        <f aca="false">MIN(100,ROUND(100*J2122/Assumptions!$B$8,0))</f>
        <v>100</v>
      </c>
      <c r="Q2122" s="8" t="n">
        <f aca="false">IF(L2122="",Assumptions!$B$9,L2122*10)</f>
        <v>90</v>
      </c>
      <c r="R2122" s="8" t="n">
        <f aca="false">IF(M2122&lt;=1,Assumptions!$B$12,IF(M2122&lt;=3,Assumptions!$B$13,IF(M2122&lt;=6,Assumptions!$B$14,Assumptions!$B$15)))</f>
        <v>75</v>
      </c>
      <c r="S2122" s="8" t="n">
        <f aca="false">IF(N2122="Completed On Time",Assumptions!$B$16,IF(N2122="Completed Late",Assumptions!$B$17,Assumptions!$B$18))</f>
        <v>100</v>
      </c>
      <c r="T2122" s="8" t="n">
        <f aca="false">IF(I2122=0,Assumptions!$B$20,IF(H2122&gt;I2122,Assumptions!$B$19,IF(H2122=I2122,Assumptions!$B$20,Assumptions!$B$21)))</f>
        <v>30</v>
      </c>
      <c r="U2122" s="8" t="n">
        <f aca="false">ROUND(P2122*Assumptions!$B$2+Q2122*Assumptions!$B$3+R2122*Assumptions!$B$4+S2122*Assumptions!$B$5+T2122*Assumptions!$B$6,0)</f>
        <v>80</v>
      </c>
      <c r="V2122" s="8" t="str">
        <f aca="false">IF(U2122&gt;=Assumptions!$B$10,"Healthy",IF(U2122&gt;=Assumptions!$B$11,"Needs Attention","High Risk"))</f>
        <v>Healthy</v>
      </c>
    </row>
  </sheetData>
  <autoFilter ref="A1:V2122"/>
  <conditionalFormatting sqref="V2:V2122">
    <cfRule type="cellIs" priority="2" operator="equal" aboveAverage="0" equalAverage="0" bottom="0" percent="0" rank="0" text="" dxfId="7">
      <formula>"High Risk"</formula>
    </cfRule>
    <cfRule type="cellIs" priority="3" operator="equal" aboveAverage="0" equalAverage="0" bottom="0" percent="0" rank="0" text="" dxfId="8">
      <formula>"Needs Attention"</formula>
    </cfRule>
    <cfRule type="cellIs" priority="4" operator="equal" aboveAverage="0" equalAverage="0" bottom="0" percent="0" rank="0" text="" dxfId="9">
      <formula>"Healthy"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24" t="s">
        <v>4388</v>
      </c>
      <c r="B1" s="24" t="s">
        <v>4389</v>
      </c>
      <c r="C1" s="24" t="s">
        <v>39</v>
      </c>
      <c r="D1" s="24" t="s">
        <v>4390</v>
      </c>
      <c r="E1" s="24" t="s">
        <v>4391</v>
      </c>
      <c r="F1" s="24" t="s">
        <v>4392</v>
      </c>
      <c r="G1" s="24" t="s">
        <v>4393</v>
      </c>
      <c r="H1" s="24" t="s">
        <v>4394</v>
      </c>
      <c r="I1" s="24" t="s">
        <v>4395</v>
      </c>
      <c r="J1" s="24" t="s">
        <v>2</v>
      </c>
      <c r="K1" s="24" t="s">
        <v>4396</v>
      </c>
      <c r="L1" s="24" t="s">
        <v>4397</v>
      </c>
      <c r="M1" s="24" t="s">
        <v>4398</v>
      </c>
      <c r="N1" s="24" t="s">
        <v>4399</v>
      </c>
    </row>
    <row r="2" customFormat="false" ht="15" hidden="false" customHeight="false" outlineLevel="0" collapsed="false">
      <c r="A2" s="29" t="n">
        <v>45292</v>
      </c>
      <c r="B2" s="30" t="n">
        <v>1149201</v>
      </c>
      <c r="C2" s="8" t="n">
        <v>476</v>
      </c>
      <c r="D2" s="30" t="n">
        <v>0</v>
      </c>
      <c r="E2" s="30" t="n">
        <v>0</v>
      </c>
      <c r="F2" s="30" t="n">
        <v>0</v>
      </c>
      <c r="G2" s="30" t="n">
        <v>0</v>
      </c>
      <c r="H2" s="8" t="n">
        <v>0</v>
      </c>
      <c r="I2" s="8" t="n">
        <v>0</v>
      </c>
      <c r="J2" s="30" t="n">
        <f aca="false">B2*12</f>
        <v>13790412</v>
      </c>
      <c r="K2" s="30" t="n">
        <f aca="false">D2+E2-F2-G2</f>
        <v>0</v>
      </c>
      <c r="L2" s="31"/>
      <c r="M2" s="31" t="n">
        <f aca="false">IFERROR(I2/H2,0)</f>
        <v>0</v>
      </c>
      <c r="N2" s="30" t="n">
        <f aca="false">IFERROR(B2/C2,0)</f>
        <v>2414.28781512605</v>
      </c>
    </row>
    <row r="3" customFormat="false" ht="15" hidden="false" customHeight="false" outlineLevel="0" collapsed="false">
      <c r="A3" s="29" t="n">
        <v>45323</v>
      </c>
      <c r="B3" s="30" t="n">
        <v>1283681</v>
      </c>
      <c r="C3" s="8" t="n">
        <v>536</v>
      </c>
      <c r="D3" s="30" t="n">
        <v>134480</v>
      </c>
      <c r="E3" s="30" t="n">
        <v>0</v>
      </c>
      <c r="F3" s="30" t="n">
        <v>0</v>
      </c>
      <c r="G3" s="30" t="n">
        <v>0</v>
      </c>
      <c r="H3" s="8" t="n">
        <v>476</v>
      </c>
      <c r="I3" s="8" t="n">
        <v>0</v>
      </c>
      <c r="J3" s="30" t="n">
        <f aca="false">B3*12</f>
        <v>15404172</v>
      </c>
      <c r="K3" s="30" t="n">
        <f aca="false">D3+E3-F3-G3</f>
        <v>134480</v>
      </c>
      <c r="L3" s="31" t="n">
        <f aca="false">IFERROR(B3/B2-1,0)</f>
        <v>0.117020434197325</v>
      </c>
      <c r="M3" s="31" t="n">
        <f aca="false">IFERROR(I3/H3,0)</f>
        <v>0</v>
      </c>
      <c r="N3" s="30" t="n">
        <f aca="false">IFERROR(B3/C3,0)</f>
        <v>2394.92723880597</v>
      </c>
    </row>
    <row r="4" customFormat="false" ht="15" hidden="false" customHeight="false" outlineLevel="0" collapsed="false">
      <c r="A4" s="29" t="n">
        <v>45352</v>
      </c>
      <c r="B4" s="30" t="n">
        <v>1473385</v>
      </c>
      <c r="C4" s="8" t="n">
        <v>603</v>
      </c>
      <c r="D4" s="30" t="n">
        <v>183727</v>
      </c>
      <c r="E4" s="30" t="n">
        <v>10627</v>
      </c>
      <c r="F4" s="30" t="n">
        <v>550</v>
      </c>
      <c r="G4" s="30" t="n">
        <v>4100</v>
      </c>
      <c r="H4" s="8" t="n">
        <v>536</v>
      </c>
      <c r="I4" s="8" t="n">
        <v>3</v>
      </c>
      <c r="J4" s="30" t="n">
        <f aca="false">B4*12</f>
        <v>17680620</v>
      </c>
      <c r="K4" s="30" t="n">
        <f aca="false">D4+E4-F4-G4</f>
        <v>189704</v>
      </c>
      <c r="L4" s="31" t="n">
        <f aca="false">IFERROR(B4/B3-1,0)</f>
        <v>0.147781263413574</v>
      </c>
      <c r="M4" s="31" t="n">
        <f aca="false">IFERROR(I4/H4,0)</f>
        <v>0.00559701492537313</v>
      </c>
      <c r="N4" s="30" t="n">
        <f aca="false">IFERROR(B4/C4,0)</f>
        <v>2443.42454394693</v>
      </c>
    </row>
    <row r="5" customFormat="false" ht="15" hidden="false" customHeight="false" outlineLevel="0" collapsed="false">
      <c r="A5" s="29" t="n">
        <v>45383</v>
      </c>
      <c r="B5" s="30" t="n">
        <v>1663172</v>
      </c>
      <c r="C5" s="8" t="n">
        <v>672</v>
      </c>
      <c r="D5" s="30" t="n">
        <v>198114</v>
      </c>
      <c r="E5" s="30" t="n">
        <v>10714</v>
      </c>
      <c r="F5" s="30" t="n">
        <v>1684</v>
      </c>
      <c r="G5" s="30" t="n">
        <v>17357</v>
      </c>
      <c r="H5" s="8" t="n">
        <v>603</v>
      </c>
      <c r="I5" s="8" t="n">
        <v>6</v>
      </c>
      <c r="J5" s="30" t="n">
        <f aca="false">B5*12</f>
        <v>19958064</v>
      </c>
      <c r="K5" s="30" t="n">
        <f aca="false">D5+E5-F5-G5</f>
        <v>189787</v>
      </c>
      <c r="L5" s="31" t="n">
        <f aca="false">IFERROR(B5/B4-1,0)</f>
        <v>0.128810188782972</v>
      </c>
      <c r="M5" s="31" t="n">
        <f aca="false">IFERROR(I5/H5,0)</f>
        <v>0.00995024875621891</v>
      </c>
      <c r="N5" s="30" t="n">
        <f aca="false">IFERROR(B5/C5,0)</f>
        <v>2474.95833333333</v>
      </c>
    </row>
    <row r="6" customFormat="false" ht="15" hidden="false" customHeight="false" outlineLevel="0" collapsed="false">
      <c r="A6" s="29" t="n">
        <v>45413</v>
      </c>
      <c r="B6" s="30" t="n">
        <v>1884399</v>
      </c>
      <c r="C6" s="8" t="n">
        <v>734</v>
      </c>
      <c r="D6" s="30" t="n">
        <v>241615</v>
      </c>
      <c r="E6" s="30" t="n">
        <v>8260</v>
      </c>
      <c r="F6" s="30" t="n">
        <v>6289</v>
      </c>
      <c r="G6" s="30" t="n">
        <v>22359</v>
      </c>
      <c r="H6" s="8" t="n">
        <v>672</v>
      </c>
      <c r="I6" s="8" t="n">
        <v>8</v>
      </c>
      <c r="J6" s="30" t="n">
        <f aca="false">B6*12</f>
        <v>22612788</v>
      </c>
      <c r="K6" s="30" t="n">
        <f aca="false">D6+E6-F6-G6</f>
        <v>221227</v>
      </c>
      <c r="L6" s="31" t="n">
        <f aca="false">IFERROR(B6/B5-1,0)</f>
        <v>0.133015106074417</v>
      </c>
      <c r="M6" s="31" t="n">
        <f aca="false">IFERROR(I6/H6,0)</f>
        <v>0.0119047619047619</v>
      </c>
      <c r="N6" s="30" t="n">
        <f aca="false">IFERROR(B6/C6,0)</f>
        <v>2567.30108991826</v>
      </c>
    </row>
    <row r="7" customFormat="false" ht="15" hidden="false" customHeight="false" outlineLevel="0" collapsed="false">
      <c r="A7" s="29" t="n">
        <v>45444</v>
      </c>
      <c r="B7" s="30" t="n">
        <v>2081709</v>
      </c>
      <c r="C7" s="8" t="n">
        <v>791</v>
      </c>
      <c r="D7" s="30" t="n">
        <v>200309</v>
      </c>
      <c r="E7" s="30" t="n">
        <v>7128</v>
      </c>
      <c r="F7" s="30" t="n">
        <v>625</v>
      </c>
      <c r="G7" s="30" t="n">
        <v>9502</v>
      </c>
      <c r="H7" s="8" t="n">
        <v>734</v>
      </c>
      <c r="I7" s="8" t="n">
        <v>9</v>
      </c>
      <c r="J7" s="30" t="n">
        <f aca="false">B7*12</f>
        <v>24980508</v>
      </c>
      <c r="K7" s="30" t="n">
        <f aca="false">D7+E7-F7-G7</f>
        <v>197310</v>
      </c>
      <c r="L7" s="31" t="n">
        <f aca="false">IFERROR(B7/B6-1,0)</f>
        <v>0.10470712412817</v>
      </c>
      <c r="M7" s="31" t="n">
        <f aca="false">IFERROR(I7/H7,0)</f>
        <v>0.0122615803814714</v>
      </c>
      <c r="N7" s="30" t="n">
        <f aca="false">IFERROR(B7/C7,0)</f>
        <v>2631.74336283186</v>
      </c>
    </row>
    <row r="8" customFormat="false" ht="15" hidden="false" customHeight="false" outlineLevel="0" collapsed="false">
      <c r="A8" s="29" t="n">
        <v>45474</v>
      </c>
      <c r="B8" s="30" t="n">
        <v>2272819</v>
      </c>
      <c r="C8" s="8" t="n">
        <v>857</v>
      </c>
      <c r="D8" s="30" t="n">
        <v>212045</v>
      </c>
      <c r="E8" s="30" t="n">
        <v>10429</v>
      </c>
      <c r="F8" s="30" t="n">
        <v>224</v>
      </c>
      <c r="G8" s="30" t="n">
        <v>31140</v>
      </c>
      <c r="H8" s="8" t="n">
        <v>791</v>
      </c>
      <c r="I8" s="8" t="n">
        <v>9</v>
      </c>
      <c r="J8" s="30" t="n">
        <f aca="false">B8*12</f>
        <v>27273828</v>
      </c>
      <c r="K8" s="30" t="n">
        <f aca="false">D8+E8-F8-G8</f>
        <v>191110</v>
      </c>
      <c r="L8" s="31" t="n">
        <f aca="false">IFERROR(B8/B7-1,0)</f>
        <v>0.0918043780374682</v>
      </c>
      <c r="M8" s="31" t="n">
        <f aca="false">IFERROR(I8/H8,0)</f>
        <v>0.011378002528445</v>
      </c>
      <c r="N8" s="30" t="n">
        <f aca="false">IFERROR(B8/C8,0)</f>
        <v>2652.06417736289</v>
      </c>
    </row>
    <row r="9" customFormat="false" ht="15" hidden="false" customHeight="false" outlineLevel="0" collapsed="false">
      <c r="A9" s="29" t="n">
        <v>45505</v>
      </c>
      <c r="B9" s="30" t="n">
        <v>2449938</v>
      </c>
      <c r="C9" s="8" t="n">
        <v>909</v>
      </c>
      <c r="D9" s="30" t="n">
        <v>207264</v>
      </c>
      <c r="E9" s="30" t="n">
        <v>6220</v>
      </c>
      <c r="F9" s="30" t="n">
        <v>375</v>
      </c>
      <c r="G9" s="30" t="n">
        <v>35990</v>
      </c>
      <c r="H9" s="8" t="n">
        <v>857</v>
      </c>
      <c r="I9" s="8" t="n">
        <v>11</v>
      </c>
      <c r="J9" s="30" t="n">
        <f aca="false">B9*12</f>
        <v>29399256</v>
      </c>
      <c r="K9" s="30" t="n">
        <f aca="false">D9+E9-F9-G9</f>
        <v>177119</v>
      </c>
      <c r="L9" s="31" t="n">
        <f aca="false">IFERROR(B9/B8-1,0)</f>
        <v>0.0779292147768915</v>
      </c>
      <c r="M9" s="31" t="n">
        <f aca="false">IFERROR(I9/H9,0)</f>
        <v>0.0128354725787631</v>
      </c>
      <c r="N9" s="30" t="n">
        <f aca="false">IFERROR(B9/C9,0)</f>
        <v>2695.20132013201</v>
      </c>
    </row>
    <row r="10" customFormat="false" ht="15" hidden="false" customHeight="false" outlineLevel="0" collapsed="false">
      <c r="A10" s="29" t="n">
        <v>45536</v>
      </c>
      <c r="B10" s="30" t="n">
        <v>2591221</v>
      </c>
      <c r="C10" s="8" t="n">
        <v>979</v>
      </c>
      <c r="D10" s="30" t="n">
        <v>162778</v>
      </c>
      <c r="E10" s="30" t="n">
        <v>7024</v>
      </c>
      <c r="F10" s="30" t="n">
        <v>802</v>
      </c>
      <c r="G10" s="30" t="n">
        <v>27717</v>
      </c>
      <c r="H10" s="8" t="n">
        <v>909</v>
      </c>
      <c r="I10" s="8" t="n">
        <v>9</v>
      </c>
      <c r="J10" s="30" t="n">
        <f aca="false">B10*12</f>
        <v>31094652</v>
      </c>
      <c r="K10" s="30" t="n">
        <f aca="false">D10+E10-F10-G10</f>
        <v>141283</v>
      </c>
      <c r="L10" s="31" t="n">
        <f aca="false">IFERROR(B10/B9-1,0)</f>
        <v>0.0576679899654604</v>
      </c>
      <c r="M10" s="31" t="n">
        <f aca="false">IFERROR(I10/H10,0)</f>
        <v>0.0099009900990099</v>
      </c>
      <c r="N10" s="30" t="n">
        <f aca="false">IFERROR(B10/C10,0)</f>
        <v>2646.80388151175</v>
      </c>
    </row>
    <row r="11" customFormat="false" ht="15" hidden="false" customHeight="false" outlineLevel="0" collapsed="false">
      <c r="A11" s="29" t="n">
        <v>45566</v>
      </c>
      <c r="B11" s="30" t="n">
        <v>2793700</v>
      </c>
      <c r="C11" s="8" t="n">
        <v>1025</v>
      </c>
      <c r="D11" s="30" t="n">
        <v>224718</v>
      </c>
      <c r="E11" s="30" t="n">
        <v>3006</v>
      </c>
      <c r="F11" s="30" t="n">
        <v>2356</v>
      </c>
      <c r="G11" s="30" t="n">
        <v>22889</v>
      </c>
      <c r="H11" s="8" t="n">
        <v>979</v>
      </c>
      <c r="I11" s="8" t="n">
        <v>17</v>
      </c>
      <c r="J11" s="30" t="n">
        <f aca="false">B11*12</f>
        <v>33524400</v>
      </c>
      <c r="K11" s="30" t="n">
        <f aca="false">D11+E11-F11-G11</f>
        <v>202479</v>
      </c>
      <c r="L11" s="31" t="n">
        <f aca="false">IFERROR(B11/B10-1,0)</f>
        <v>0.0781403824683422</v>
      </c>
      <c r="M11" s="31" t="n">
        <f aca="false">IFERROR(I11/H11,0)</f>
        <v>0.017364657814096</v>
      </c>
      <c r="N11" s="30" t="n">
        <f aca="false">IFERROR(B11/C11,0)</f>
        <v>2725.56097560976</v>
      </c>
    </row>
    <row r="12" customFormat="false" ht="15" hidden="false" customHeight="false" outlineLevel="0" collapsed="false">
      <c r="A12" s="29" t="n">
        <v>45597</v>
      </c>
      <c r="B12" s="30" t="n">
        <v>2979314</v>
      </c>
      <c r="C12" s="8" t="n">
        <v>1095</v>
      </c>
      <c r="D12" s="30" t="n">
        <v>223020</v>
      </c>
      <c r="E12" s="30" t="n">
        <v>16716</v>
      </c>
      <c r="F12" s="30" t="n">
        <v>3814</v>
      </c>
      <c r="G12" s="30" t="n">
        <v>50308</v>
      </c>
      <c r="H12" s="8" t="n">
        <v>1025</v>
      </c>
      <c r="I12" s="8" t="n">
        <v>10</v>
      </c>
      <c r="J12" s="30" t="n">
        <f aca="false">B12*12</f>
        <v>35751768</v>
      </c>
      <c r="K12" s="30" t="n">
        <f aca="false">D12+E12-F12-G12</f>
        <v>185614</v>
      </c>
      <c r="L12" s="31" t="n">
        <f aca="false">IFERROR(B12/B11-1,0)</f>
        <v>0.0664402047463937</v>
      </c>
      <c r="M12" s="31" t="n">
        <f aca="false">IFERROR(I12/H12,0)</f>
        <v>0.00975609756097561</v>
      </c>
      <c r="N12" s="30" t="n">
        <f aca="false">IFERROR(B12/C12,0)</f>
        <v>2720.83470319635</v>
      </c>
    </row>
    <row r="13" customFormat="false" ht="15" hidden="false" customHeight="false" outlineLevel="0" collapsed="false">
      <c r="A13" s="29" t="n">
        <v>45627</v>
      </c>
      <c r="B13" s="30" t="n">
        <v>3140350</v>
      </c>
      <c r="C13" s="8" t="n">
        <v>1140</v>
      </c>
      <c r="D13" s="30" t="n">
        <v>171822</v>
      </c>
      <c r="E13" s="30" t="n">
        <v>8329</v>
      </c>
      <c r="F13" s="30" t="n">
        <v>2400</v>
      </c>
      <c r="G13" s="30" t="n">
        <v>16715</v>
      </c>
      <c r="H13" s="8" t="n">
        <v>1095</v>
      </c>
      <c r="I13" s="8" t="n">
        <v>10</v>
      </c>
      <c r="J13" s="30" t="n">
        <f aca="false">B13*12</f>
        <v>37684200</v>
      </c>
      <c r="K13" s="30" t="n">
        <f aca="false">D13+E13-F13-G13</f>
        <v>161036</v>
      </c>
      <c r="L13" s="31" t="n">
        <f aca="false">IFERROR(B13/B12-1,0)</f>
        <v>0.0540513688721631</v>
      </c>
      <c r="M13" s="31" t="n">
        <f aca="false">IFERROR(I13/H13,0)</f>
        <v>0.0091324200913242</v>
      </c>
      <c r="N13" s="30" t="n">
        <f aca="false">IFERROR(B13/C13,0)</f>
        <v>2754.69298245614</v>
      </c>
    </row>
    <row r="14" customFormat="false" ht="15" hidden="false" customHeight="false" outlineLevel="0" collapsed="false">
      <c r="A14" s="29" t="n">
        <v>45658</v>
      </c>
      <c r="B14" s="30" t="n">
        <v>3319851</v>
      </c>
      <c r="C14" s="8" t="n">
        <v>1207</v>
      </c>
      <c r="D14" s="30" t="n">
        <v>181053</v>
      </c>
      <c r="E14" s="30" t="n">
        <v>16704</v>
      </c>
      <c r="F14" s="30" t="n">
        <v>1631</v>
      </c>
      <c r="G14" s="30" t="n">
        <v>16625</v>
      </c>
      <c r="H14" s="8" t="n">
        <v>1140</v>
      </c>
      <c r="I14" s="8" t="n">
        <v>9</v>
      </c>
      <c r="J14" s="30" t="n">
        <f aca="false">B14*12</f>
        <v>39838212</v>
      </c>
      <c r="K14" s="30" t="n">
        <f aca="false">D14+E14-F14-G14</f>
        <v>179501</v>
      </c>
      <c r="L14" s="31" t="n">
        <f aca="false">IFERROR(B14/B13-1,0)</f>
        <v>0.0571595522792046</v>
      </c>
      <c r="M14" s="31" t="n">
        <f aca="false">IFERROR(I14/H14,0)</f>
        <v>0.00789473684210526</v>
      </c>
      <c r="N14" s="30" t="n">
        <f aca="false">IFERROR(B14/C14,0)</f>
        <v>2750.49792874896</v>
      </c>
    </row>
    <row r="15" customFormat="false" ht="15" hidden="false" customHeight="false" outlineLevel="0" collapsed="false">
      <c r="A15" s="29" t="n">
        <v>45689</v>
      </c>
      <c r="B15" s="30" t="n">
        <v>3476236</v>
      </c>
      <c r="C15" s="8" t="n">
        <v>1256</v>
      </c>
      <c r="D15" s="30" t="n">
        <v>166435</v>
      </c>
      <c r="E15" s="30" t="n">
        <v>19521</v>
      </c>
      <c r="F15" s="30" t="n">
        <v>3576</v>
      </c>
      <c r="G15" s="30" t="n">
        <v>25995</v>
      </c>
      <c r="H15" s="8" t="n">
        <v>1207</v>
      </c>
      <c r="I15" s="8" t="n">
        <v>14</v>
      </c>
      <c r="J15" s="30" t="n">
        <f aca="false">B15*12</f>
        <v>41714832</v>
      </c>
      <c r="K15" s="30" t="n">
        <f aca="false">D15+E15-F15-G15</f>
        <v>156385</v>
      </c>
      <c r="L15" s="31" t="n">
        <f aca="false">IFERROR(B15/B14-1,0)</f>
        <v>0.0471060297585644</v>
      </c>
      <c r="M15" s="31" t="n">
        <f aca="false">IFERROR(I15/H15,0)</f>
        <v>0.0115990057995029</v>
      </c>
      <c r="N15" s="30" t="n">
        <f aca="false">IFERROR(B15/C15,0)</f>
        <v>2767.70382165605</v>
      </c>
    </row>
    <row r="16" customFormat="false" ht="15" hidden="false" customHeight="false" outlineLevel="0" collapsed="false">
      <c r="A16" s="29" t="n">
        <v>45717</v>
      </c>
      <c r="B16" s="30" t="n">
        <v>3591138</v>
      </c>
      <c r="C16" s="8" t="n">
        <v>1317</v>
      </c>
      <c r="D16" s="30" t="n">
        <v>130508</v>
      </c>
      <c r="E16" s="30" t="n">
        <v>13899</v>
      </c>
      <c r="F16" s="30" t="n">
        <v>1195</v>
      </c>
      <c r="G16" s="30" t="n">
        <v>28310</v>
      </c>
      <c r="H16" s="8" t="n">
        <v>1256</v>
      </c>
      <c r="I16" s="8" t="n">
        <v>13</v>
      </c>
      <c r="J16" s="30" t="n">
        <f aca="false">B16*12</f>
        <v>43093656</v>
      </c>
      <c r="K16" s="30" t="n">
        <f aca="false">D16+E16-F16-G16</f>
        <v>114902</v>
      </c>
      <c r="L16" s="31" t="n">
        <f aca="false">IFERROR(B16/B15-1,0)</f>
        <v>0.0330535671341072</v>
      </c>
      <c r="M16" s="31" t="n">
        <f aca="false">IFERROR(I16/H16,0)</f>
        <v>0.0103503184713376</v>
      </c>
      <c r="N16" s="30" t="n">
        <f aca="false">IFERROR(B16/C16,0)</f>
        <v>2726.7562642369</v>
      </c>
    </row>
    <row r="17" customFormat="false" ht="15" hidden="false" customHeight="false" outlineLevel="0" collapsed="false">
      <c r="A17" s="29" t="n">
        <v>45748</v>
      </c>
      <c r="B17" s="30" t="n">
        <v>3735728</v>
      </c>
      <c r="C17" s="8" t="n">
        <v>1379</v>
      </c>
      <c r="D17" s="30" t="n">
        <v>202017</v>
      </c>
      <c r="E17" s="30" t="n">
        <v>18918</v>
      </c>
      <c r="F17" s="30" t="n">
        <v>971</v>
      </c>
      <c r="G17" s="30" t="n">
        <v>75374</v>
      </c>
      <c r="H17" s="8" t="n">
        <v>1317</v>
      </c>
      <c r="I17" s="8" t="n">
        <v>18</v>
      </c>
      <c r="J17" s="30" t="n">
        <f aca="false">B17*12</f>
        <v>44828736</v>
      </c>
      <c r="K17" s="30" t="n">
        <f aca="false">D17+E17-F17-G17</f>
        <v>144590</v>
      </c>
      <c r="L17" s="31" t="n">
        <f aca="false">IFERROR(B17/B16-1,0)</f>
        <v>0.0402630029812277</v>
      </c>
      <c r="M17" s="31" t="n">
        <f aca="false">IFERROR(I17/H17,0)</f>
        <v>0.0136674259681093</v>
      </c>
      <c r="N17" s="30" t="n">
        <f aca="false">IFERROR(B17/C17,0)</f>
        <v>2709.01232777375</v>
      </c>
    </row>
    <row r="18" customFormat="false" ht="15" hidden="false" customHeight="false" outlineLevel="0" collapsed="false">
      <c r="A18" s="29" t="n">
        <v>45778</v>
      </c>
      <c r="B18" s="30" t="n">
        <v>3940443</v>
      </c>
      <c r="C18" s="8" t="n">
        <v>1459</v>
      </c>
      <c r="D18" s="30" t="n">
        <v>251852</v>
      </c>
      <c r="E18" s="30" t="n">
        <v>17681</v>
      </c>
      <c r="F18" s="30" t="n">
        <v>1879</v>
      </c>
      <c r="G18" s="30" t="n">
        <v>62939</v>
      </c>
      <c r="H18" s="8" t="n">
        <v>1379</v>
      </c>
      <c r="I18" s="8" t="n">
        <v>16</v>
      </c>
      <c r="J18" s="30" t="n">
        <f aca="false">B18*12</f>
        <v>47285316</v>
      </c>
      <c r="K18" s="30" t="n">
        <f aca="false">D18+E18-F18-G18</f>
        <v>204715</v>
      </c>
      <c r="L18" s="31" t="n">
        <f aca="false">IFERROR(B18/B17-1,0)</f>
        <v>0.0547992252112572</v>
      </c>
      <c r="M18" s="31" t="n">
        <f aca="false">IFERROR(I18/H18,0)</f>
        <v>0.0116026105873822</v>
      </c>
      <c r="N18" s="30" t="n">
        <f aca="false">IFERROR(B18/C18,0)</f>
        <v>2700.78341329678</v>
      </c>
    </row>
    <row r="19" customFormat="false" ht="15" hidden="false" customHeight="false" outlineLevel="0" collapsed="false">
      <c r="A19" s="29" t="n">
        <v>45809</v>
      </c>
      <c r="B19" s="30" t="n">
        <v>4198548</v>
      </c>
      <c r="C19" s="8" t="n">
        <v>1498</v>
      </c>
      <c r="D19" s="30" t="n">
        <v>264041</v>
      </c>
      <c r="E19" s="30" t="n">
        <v>23482</v>
      </c>
      <c r="F19" s="30" t="n">
        <v>1551</v>
      </c>
      <c r="G19" s="30" t="n">
        <v>27867</v>
      </c>
      <c r="H19" s="8" t="n">
        <v>1459</v>
      </c>
      <c r="I19" s="8" t="n">
        <v>15</v>
      </c>
      <c r="J19" s="30" t="n">
        <f aca="false">B19*12</f>
        <v>50382576</v>
      </c>
      <c r="K19" s="30" t="n">
        <f aca="false">D19+E19-F19-G19</f>
        <v>258105</v>
      </c>
      <c r="L19" s="31" t="n">
        <f aca="false">IFERROR(B19/B18-1,0)</f>
        <v>0.0655015184840893</v>
      </c>
      <c r="M19" s="31" t="n">
        <f aca="false">IFERROR(I19/H19,0)</f>
        <v>0.0102810143934202</v>
      </c>
      <c r="N19" s="30" t="n">
        <f aca="false">IFERROR(B19/C19,0)</f>
        <v>2802.76902536716</v>
      </c>
    </row>
    <row r="20" customFormat="false" ht="15" hidden="false" customHeight="false" outlineLevel="0" collapsed="false">
      <c r="A20" s="29" t="n">
        <v>45839</v>
      </c>
      <c r="B20" s="30" t="n">
        <v>4327995</v>
      </c>
      <c r="C20" s="8" t="n">
        <v>1538</v>
      </c>
      <c r="D20" s="30" t="n">
        <v>140697</v>
      </c>
      <c r="E20" s="30" t="n">
        <v>20215</v>
      </c>
      <c r="F20" s="30" t="n">
        <v>2751</v>
      </c>
      <c r="G20" s="30" t="n">
        <v>28714</v>
      </c>
      <c r="H20" s="8" t="n">
        <v>1498</v>
      </c>
      <c r="I20" s="8" t="n">
        <v>19</v>
      </c>
      <c r="J20" s="30" t="n">
        <f aca="false">B20*12</f>
        <v>51935940</v>
      </c>
      <c r="K20" s="30" t="n">
        <f aca="false">D20+E20-F20-G20</f>
        <v>129447</v>
      </c>
      <c r="L20" s="31" t="n">
        <f aca="false">IFERROR(B20/B19-1,0)</f>
        <v>0.0308313731318541</v>
      </c>
      <c r="M20" s="31" t="n">
        <f aca="false">IFERROR(I20/H20,0)</f>
        <v>0.0126835781041389</v>
      </c>
      <c r="N20" s="30" t="n">
        <f aca="false">IFERROR(B20/C20,0)</f>
        <v>2814.04096228869</v>
      </c>
    </row>
    <row r="21" customFormat="false" ht="15" hidden="false" customHeight="false" outlineLevel="0" collapsed="false">
      <c r="A21" s="29" t="n">
        <v>45870</v>
      </c>
      <c r="B21" s="30" t="n">
        <v>4469695</v>
      </c>
      <c r="C21" s="8" t="n">
        <v>1586</v>
      </c>
      <c r="D21" s="30" t="n">
        <v>181902</v>
      </c>
      <c r="E21" s="30" t="n">
        <v>7069</v>
      </c>
      <c r="F21" s="30" t="n">
        <v>2482</v>
      </c>
      <c r="G21" s="30" t="n">
        <v>44789</v>
      </c>
      <c r="H21" s="8" t="n">
        <v>1538</v>
      </c>
      <c r="I21" s="8" t="n">
        <v>16</v>
      </c>
      <c r="J21" s="30" t="n">
        <f aca="false">B21*12</f>
        <v>53636340</v>
      </c>
      <c r="K21" s="30" t="n">
        <f aca="false">D21+E21-F21-G21</f>
        <v>141700</v>
      </c>
      <c r="L21" s="31" t="n">
        <f aca="false">IFERROR(B21/B20-1,0)</f>
        <v>0.0327403335724741</v>
      </c>
      <c r="M21" s="31" t="n">
        <f aca="false">IFERROR(I21/H21,0)</f>
        <v>0.0104031209362809</v>
      </c>
      <c r="N21" s="30" t="n">
        <f aca="false">IFERROR(B21/C21,0)</f>
        <v>2818.21878940731</v>
      </c>
    </row>
    <row r="22" customFormat="false" ht="15" hidden="false" customHeight="false" outlineLevel="0" collapsed="false">
      <c r="A22" s="29" t="n">
        <v>45901</v>
      </c>
      <c r="B22" s="30" t="n">
        <v>4538472</v>
      </c>
      <c r="C22" s="8" t="n">
        <v>1620</v>
      </c>
      <c r="D22" s="30" t="n">
        <v>98984</v>
      </c>
      <c r="E22" s="30" t="n">
        <v>14536</v>
      </c>
      <c r="F22" s="30" t="n">
        <v>3118</v>
      </c>
      <c r="G22" s="30" t="n">
        <v>41625</v>
      </c>
      <c r="H22" s="8" t="n">
        <v>1586</v>
      </c>
      <c r="I22" s="8" t="n">
        <v>20</v>
      </c>
      <c r="J22" s="30" t="n">
        <f aca="false">B22*12</f>
        <v>54461664</v>
      </c>
      <c r="K22" s="30" t="n">
        <f aca="false">D22+E22-F22-G22</f>
        <v>68777</v>
      </c>
      <c r="L22" s="31" t="n">
        <f aca="false">IFERROR(B22/B21-1,0)</f>
        <v>0.015387403391059</v>
      </c>
      <c r="M22" s="31" t="n">
        <f aca="false">IFERROR(I22/H22,0)</f>
        <v>0.0126103404791929</v>
      </c>
      <c r="N22" s="30" t="n">
        <f aca="false">IFERROR(B22/C22,0)</f>
        <v>2801.52592592593</v>
      </c>
    </row>
    <row r="23" customFormat="false" ht="15" hidden="false" customHeight="false" outlineLevel="0" collapsed="false">
      <c r="A23" s="29" t="n">
        <v>45931</v>
      </c>
      <c r="B23" s="30" t="n">
        <v>4748760</v>
      </c>
      <c r="C23" s="8" t="n">
        <v>1671</v>
      </c>
      <c r="D23" s="30" t="n">
        <v>229509</v>
      </c>
      <c r="E23" s="30" t="n">
        <v>22490</v>
      </c>
      <c r="F23" s="30" t="n">
        <v>5696</v>
      </c>
      <c r="G23" s="30" t="n">
        <v>36015</v>
      </c>
      <c r="H23" s="8" t="n">
        <v>1620</v>
      </c>
      <c r="I23" s="8" t="n">
        <v>17</v>
      </c>
      <c r="J23" s="30" t="n">
        <f aca="false">B23*12</f>
        <v>56985120</v>
      </c>
      <c r="K23" s="30" t="n">
        <f aca="false">D23+E23-F23-G23</f>
        <v>210288</v>
      </c>
      <c r="L23" s="31" t="n">
        <f aca="false">IFERROR(B23/B22-1,0)</f>
        <v>0.0463345372627615</v>
      </c>
      <c r="M23" s="31" t="n">
        <f aca="false">IFERROR(I23/H23,0)</f>
        <v>0.0104938271604938</v>
      </c>
      <c r="N23" s="30" t="n">
        <f aca="false">IFERROR(B23/C23,0)</f>
        <v>2841.8671454219</v>
      </c>
    </row>
    <row r="24" customFormat="false" ht="15" hidden="false" customHeight="false" outlineLevel="0" collapsed="false">
      <c r="A24" s="29" t="n">
        <v>45962</v>
      </c>
      <c r="B24" s="30" t="n">
        <v>4961845</v>
      </c>
      <c r="C24" s="8" t="n">
        <v>1731</v>
      </c>
      <c r="D24" s="30" t="n">
        <v>225310</v>
      </c>
      <c r="E24" s="30" t="n">
        <v>32774</v>
      </c>
      <c r="F24" s="30" t="n">
        <v>6162</v>
      </c>
      <c r="G24" s="30" t="n">
        <v>38837</v>
      </c>
      <c r="H24" s="8" t="n">
        <v>1671</v>
      </c>
      <c r="I24" s="8" t="n">
        <v>21</v>
      </c>
      <c r="J24" s="30" t="n">
        <f aca="false">B24*12</f>
        <v>59542140</v>
      </c>
      <c r="K24" s="30" t="n">
        <f aca="false">D24+E24-F24-G24</f>
        <v>213085</v>
      </c>
      <c r="L24" s="31" t="n">
        <f aca="false">IFERROR(B24/B23-1,0)</f>
        <v>0.0448717138789916</v>
      </c>
      <c r="M24" s="31" t="n">
        <f aca="false">IFERROR(I24/H24,0)</f>
        <v>0.0125673249551167</v>
      </c>
      <c r="N24" s="30" t="n">
        <f aca="false">IFERROR(B24/C24,0)</f>
        <v>2866.46158290006</v>
      </c>
    </row>
    <row r="25" customFormat="false" ht="15" hidden="false" customHeight="false" outlineLevel="0" collapsed="false">
      <c r="A25" s="29" t="n">
        <v>45992</v>
      </c>
      <c r="B25" s="30" t="n">
        <v>5176745</v>
      </c>
      <c r="C25" s="8" t="n">
        <v>1782</v>
      </c>
      <c r="D25" s="30" t="n">
        <v>238529</v>
      </c>
      <c r="E25" s="30" t="n">
        <v>22591</v>
      </c>
      <c r="F25" s="30" t="n">
        <v>3147</v>
      </c>
      <c r="G25" s="30" t="n">
        <v>43073</v>
      </c>
      <c r="H25" s="8" t="n">
        <v>1731</v>
      </c>
      <c r="I25" s="8" t="n">
        <v>19</v>
      </c>
      <c r="J25" s="30" t="n">
        <f aca="false">B25*12</f>
        <v>62120940</v>
      </c>
      <c r="K25" s="30" t="n">
        <f aca="false">D25+E25-F25-G25</f>
        <v>214900</v>
      </c>
      <c r="L25" s="31" t="n">
        <f aca="false">IFERROR(B25/B24-1,0)</f>
        <v>0.0433105024441514</v>
      </c>
      <c r="M25" s="31" t="n">
        <f aca="false">IFERROR(I25/H25,0)</f>
        <v>0.0109763142692086</v>
      </c>
      <c r="N25" s="30" t="n">
        <f aca="false">IFERROR(B25/C25,0)</f>
        <v>2905.01964085297</v>
      </c>
    </row>
    <row r="26" customFormat="false" ht="15" hidden="false" customHeight="false" outlineLevel="0" collapsed="false">
      <c r="A26" s="29" t="n">
        <v>46023</v>
      </c>
      <c r="B26" s="30" t="n">
        <v>5336047</v>
      </c>
      <c r="C26" s="8" t="n">
        <v>1831</v>
      </c>
      <c r="D26" s="30" t="n">
        <v>210002</v>
      </c>
      <c r="E26" s="30" t="n">
        <v>19346</v>
      </c>
      <c r="F26" s="30" t="n">
        <v>6946</v>
      </c>
      <c r="G26" s="30" t="n">
        <v>63100</v>
      </c>
      <c r="H26" s="8" t="n">
        <v>1782</v>
      </c>
      <c r="I26" s="8" t="n">
        <v>19</v>
      </c>
      <c r="J26" s="30" t="n">
        <f aca="false">B26*12</f>
        <v>64032564</v>
      </c>
      <c r="K26" s="30" t="n">
        <f aca="false">D26+E26-F26-G26</f>
        <v>159302</v>
      </c>
      <c r="L26" s="31" t="n">
        <f aca="false">IFERROR(B26/B25-1,0)</f>
        <v>0.03077261870152</v>
      </c>
      <c r="M26" s="31" t="n">
        <f aca="false">IFERROR(I26/H26,0)</f>
        <v>0.010662177328844</v>
      </c>
      <c r="N26" s="30" t="n">
        <f aca="false">IFERROR(B26/C26,0)</f>
        <v>2914.28017476789</v>
      </c>
    </row>
    <row r="27" customFormat="false" ht="15" hidden="false" customHeight="false" outlineLevel="0" collapsed="false">
      <c r="A27" s="29" t="n">
        <v>46054</v>
      </c>
      <c r="B27" s="30" t="n">
        <v>5536859</v>
      </c>
      <c r="C27" s="8" t="n">
        <v>1880</v>
      </c>
      <c r="D27" s="30" t="n">
        <v>217477</v>
      </c>
      <c r="E27" s="30" t="n">
        <v>24944</v>
      </c>
      <c r="F27" s="30" t="n">
        <v>7140</v>
      </c>
      <c r="G27" s="30" t="n">
        <v>34469</v>
      </c>
      <c r="H27" s="8" t="n">
        <v>1831</v>
      </c>
      <c r="I27" s="8" t="n">
        <v>19</v>
      </c>
      <c r="J27" s="30" t="n">
        <f aca="false">B27*12</f>
        <v>66442308</v>
      </c>
      <c r="K27" s="30" t="n">
        <f aca="false">D27+E27-F27-G27</f>
        <v>200812</v>
      </c>
      <c r="L27" s="31" t="n">
        <f aca="false">IFERROR(B27/B26-1,0)</f>
        <v>0.0376331018073866</v>
      </c>
      <c r="M27" s="31" t="n">
        <f aca="false">IFERROR(I27/H27,0)</f>
        <v>0.0103768432550519</v>
      </c>
      <c r="N27" s="30" t="n">
        <f aca="false">IFERROR(B27/C27,0)</f>
        <v>2945.13776595745</v>
      </c>
    </row>
    <row r="28" customFormat="false" ht="15" hidden="false" customHeight="false" outlineLevel="0" collapsed="false">
      <c r="A28" s="29" t="n">
        <v>46082</v>
      </c>
      <c r="B28" s="30" t="n">
        <v>5699698</v>
      </c>
      <c r="C28" s="8" t="n">
        <v>1953</v>
      </c>
      <c r="D28" s="30" t="n">
        <v>195201</v>
      </c>
      <c r="E28" s="30" t="n">
        <v>14043</v>
      </c>
      <c r="F28" s="30" t="n">
        <v>5283</v>
      </c>
      <c r="G28" s="30" t="n">
        <v>41122</v>
      </c>
      <c r="H28" s="8" t="n">
        <v>1880</v>
      </c>
      <c r="I28" s="8" t="n">
        <v>16</v>
      </c>
      <c r="J28" s="30" t="n">
        <f aca="false">B28*12</f>
        <v>68396376</v>
      </c>
      <c r="K28" s="30" t="n">
        <f aca="false">D28+E28-F28-G28</f>
        <v>162839</v>
      </c>
      <c r="L28" s="31" t="n">
        <f aca="false">IFERROR(B28/B27-1,0)</f>
        <v>0.0294099958117049</v>
      </c>
      <c r="M28" s="31" t="n">
        <f aca="false">IFERROR(I28/H28,0)</f>
        <v>0.00851063829787234</v>
      </c>
      <c r="N28" s="30" t="n">
        <f aca="false">IFERROR(B28/C28,0)</f>
        <v>2918.43215565796</v>
      </c>
    </row>
    <row r="29" customFormat="false" ht="15" hidden="false" customHeight="false" outlineLevel="0" collapsed="false">
      <c r="A29" s="29" t="n">
        <v>46113</v>
      </c>
      <c r="B29" s="30" t="n">
        <v>5885989</v>
      </c>
      <c r="C29" s="8" t="n">
        <v>1995</v>
      </c>
      <c r="D29" s="30" t="n">
        <v>239384</v>
      </c>
      <c r="E29" s="30" t="n">
        <v>24955</v>
      </c>
      <c r="F29" s="30" t="n">
        <v>3769</v>
      </c>
      <c r="G29" s="30" t="n">
        <v>74279</v>
      </c>
      <c r="H29" s="8" t="n">
        <v>1953</v>
      </c>
      <c r="I29" s="8" t="n">
        <v>20</v>
      </c>
      <c r="J29" s="30" t="n">
        <f aca="false">B29*12</f>
        <v>70631868</v>
      </c>
      <c r="K29" s="30" t="n">
        <f aca="false">D29+E29-F29-G29</f>
        <v>186291</v>
      </c>
      <c r="L29" s="31" t="n">
        <f aca="false">IFERROR(B29/B28-1,0)</f>
        <v>0.0326843632767913</v>
      </c>
      <c r="M29" s="31" t="n">
        <f aca="false">IFERROR(I29/H29,0)</f>
        <v>0.0102406554019457</v>
      </c>
      <c r="N29" s="30" t="n">
        <f aca="false">IFERROR(B29/C29,0)</f>
        <v>2950.37042606516</v>
      </c>
    </row>
    <row r="30" customFormat="false" ht="15" hidden="false" customHeight="false" outlineLevel="0" collapsed="false">
      <c r="A30" s="29" t="n">
        <v>46143</v>
      </c>
      <c r="B30" s="30" t="n">
        <v>6032792</v>
      </c>
      <c r="C30" s="8" t="n">
        <v>2042</v>
      </c>
      <c r="D30" s="30" t="n">
        <v>190505</v>
      </c>
      <c r="E30" s="30" t="n">
        <v>10438</v>
      </c>
      <c r="F30" s="30" t="n">
        <v>9563</v>
      </c>
      <c r="G30" s="30" t="n">
        <v>44577</v>
      </c>
      <c r="H30" s="8" t="n">
        <v>1995</v>
      </c>
      <c r="I30" s="8" t="n">
        <v>26</v>
      </c>
      <c r="J30" s="30" t="n">
        <f aca="false">B30*12</f>
        <v>72393504</v>
      </c>
      <c r="K30" s="30" t="n">
        <f aca="false">D30+E30-F30-G30</f>
        <v>146803</v>
      </c>
      <c r="L30" s="31" t="n">
        <f aca="false">IFERROR(B30/B29-1,0)</f>
        <v>0.0249410931620837</v>
      </c>
      <c r="M30" s="31" t="n">
        <f aca="false">IFERROR(I30/H30,0)</f>
        <v>0.0130325814536341</v>
      </c>
      <c r="N30" s="30" t="n">
        <f aca="false">IFERROR(B30/C30,0)</f>
        <v>2954.35455435847</v>
      </c>
    </row>
    <row r="31" customFormat="false" ht="15" hidden="false" customHeight="false" outlineLevel="0" collapsed="false">
      <c r="A31" s="29" t="n">
        <v>46174</v>
      </c>
      <c r="B31" s="30" t="n">
        <v>6163018</v>
      </c>
      <c r="C31" s="8" t="n">
        <v>2075</v>
      </c>
      <c r="D31" s="30" t="n">
        <v>212380</v>
      </c>
      <c r="E31" s="30" t="n">
        <v>24645</v>
      </c>
      <c r="F31" s="30" t="n">
        <v>12570</v>
      </c>
      <c r="G31" s="30" t="n">
        <v>94229</v>
      </c>
      <c r="H31" s="8" t="n">
        <v>2042</v>
      </c>
      <c r="I31" s="8" t="n">
        <v>36</v>
      </c>
      <c r="J31" s="30" t="n">
        <f aca="false">B31*12</f>
        <v>73956216</v>
      </c>
      <c r="K31" s="30" t="n">
        <f aca="false">D31+E31-F31-G31</f>
        <v>130226</v>
      </c>
      <c r="L31" s="31" t="n">
        <f aca="false">IFERROR(B31/B30-1,0)</f>
        <v>0.0215863566985237</v>
      </c>
      <c r="M31" s="31" t="n">
        <f aca="false">IFERROR(I31/H31,0)</f>
        <v>0.0176297747306562</v>
      </c>
      <c r="N31" s="30" t="n">
        <f aca="false">IFERROR(B31/C31,0)</f>
        <v>2970.12915662651</v>
      </c>
    </row>
    <row r="32" customFormat="false" ht="15" hidden="false" customHeight="false" outlineLevel="0" collapsed="false">
      <c r="A32" s="29" t="n">
        <v>46204</v>
      </c>
      <c r="B32" s="30" t="n">
        <v>6218514</v>
      </c>
      <c r="C32" s="8" t="n">
        <v>2100</v>
      </c>
      <c r="D32" s="30" t="n">
        <v>120494</v>
      </c>
      <c r="E32" s="30" t="n">
        <v>14915</v>
      </c>
      <c r="F32" s="30" t="n">
        <v>5888</v>
      </c>
      <c r="G32" s="30" t="n">
        <v>74025</v>
      </c>
      <c r="H32" s="8" t="n">
        <v>2075</v>
      </c>
      <c r="I32" s="8" t="n">
        <v>20</v>
      </c>
      <c r="J32" s="30" t="n">
        <f aca="false">B32*12</f>
        <v>74622168</v>
      </c>
      <c r="K32" s="30" t="n">
        <f aca="false">D32+E32-F32-G32</f>
        <v>55496</v>
      </c>
      <c r="L32" s="31" t="n">
        <f aca="false">IFERROR(B32/B31-1,0)</f>
        <v>0.0090046792010019</v>
      </c>
      <c r="M32" s="31" t="n">
        <f aca="false">IFERROR(I32/H32,0)</f>
        <v>0.00963855421686747</v>
      </c>
      <c r="N32" s="30" t="n">
        <f aca="false">IFERROR(B32/C32,0)</f>
        <v>2961.19714285714</v>
      </c>
    </row>
    <row r="33" customFormat="false" ht="15" hidden="false" customHeight="false" outlineLevel="0" collapsed="false">
      <c r="A33" s="29" t="n">
        <v>46235</v>
      </c>
      <c r="B33" s="30" t="n">
        <v>6307592</v>
      </c>
      <c r="C33" s="8" t="n">
        <v>2139</v>
      </c>
      <c r="D33" s="30" t="n">
        <v>127449</v>
      </c>
      <c r="E33" s="30" t="n">
        <v>18929</v>
      </c>
      <c r="F33" s="30" t="n">
        <v>7508</v>
      </c>
      <c r="G33" s="30" t="n">
        <v>49792</v>
      </c>
      <c r="H33" s="8" t="n">
        <v>2100</v>
      </c>
      <c r="I33" s="8" t="n">
        <v>16</v>
      </c>
      <c r="J33" s="30" t="n">
        <f aca="false">B33*12</f>
        <v>75691104</v>
      </c>
      <c r="K33" s="30" t="n">
        <f aca="false">D33+E33-F33-G33</f>
        <v>89078</v>
      </c>
      <c r="L33" s="31" t="n">
        <f aca="false">IFERROR(B33/B32-1,0)</f>
        <v>0.0143246441191578</v>
      </c>
      <c r="M33" s="31" t="n">
        <f aca="false">IFERROR(I33/H33,0)</f>
        <v>0.00761904761904762</v>
      </c>
      <c r="N33" s="30" t="n">
        <f aca="false">IFERROR(B33/C33,0)</f>
        <v>2948.85086489014</v>
      </c>
    </row>
    <row r="34" customFormat="false" ht="15" hidden="false" customHeight="false" outlineLevel="0" collapsed="false">
      <c r="A34" s="29" t="n">
        <v>46266</v>
      </c>
      <c r="B34" s="30" t="n">
        <v>6299607</v>
      </c>
      <c r="C34" s="8" t="n">
        <v>2121</v>
      </c>
      <c r="D34" s="30" t="n">
        <v>0</v>
      </c>
      <c r="E34" s="30" t="n">
        <v>42446</v>
      </c>
      <c r="F34" s="30" t="n">
        <v>1714</v>
      </c>
      <c r="G34" s="30" t="n">
        <v>48717</v>
      </c>
      <c r="H34" s="8" t="n">
        <v>2139</v>
      </c>
      <c r="I34" s="8" t="n">
        <v>18</v>
      </c>
      <c r="J34" s="30" t="n">
        <f aca="false">B34*12</f>
        <v>75595284</v>
      </c>
      <c r="K34" s="30" t="n">
        <f aca="false">D34+E34-F34-G34</f>
        <v>-7985</v>
      </c>
      <c r="L34" s="31" t="n">
        <f aca="false">IFERROR(B34/B33-1,0)</f>
        <v>-0.00126593476559678</v>
      </c>
      <c r="M34" s="31" t="n">
        <f aca="false">IFERROR(I34/H34,0)</f>
        <v>0.00841514726507714</v>
      </c>
      <c r="N34" s="30" t="n">
        <f aca="false">IFERROR(B34/C34,0)</f>
        <v>2970.1117397454</v>
      </c>
    </row>
    <row r="36" customFormat="false" ht="15" hidden="false" customHeight="false" outlineLevel="0" collapsed="false">
      <c r="A36" s="11" t="s">
        <v>4400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24" t="s">
        <v>94</v>
      </c>
      <c r="B1" s="24" t="s">
        <v>96</v>
      </c>
      <c r="C1" s="24" t="s">
        <v>4401</v>
      </c>
      <c r="D1" s="24" t="s">
        <v>4402</v>
      </c>
      <c r="E1" s="24" t="s">
        <v>4403</v>
      </c>
      <c r="F1" s="24" t="s">
        <v>4404</v>
      </c>
    </row>
    <row r="2" customFormat="false" ht="15" hidden="false" customHeight="false" outlineLevel="0" collapsed="false">
      <c r="A2" s="8" t="s">
        <v>130</v>
      </c>
      <c r="B2" s="8" t="s">
        <v>55</v>
      </c>
      <c r="C2" s="30" t="n">
        <v>32985</v>
      </c>
      <c r="D2" s="30" t="n">
        <v>32985</v>
      </c>
      <c r="E2" s="30" t="n">
        <f aca="false">MIN(C2,D2)</f>
        <v>32985</v>
      </c>
      <c r="F2" s="8" t="n">
        <f aca="false">IF(D2&gt;0,1,0)</f>
        <v>1</v>
      </c>
    </row>
    <row r="3" customFormat="false" ht="15" hidden="false" customHeight="false" outlineLevel="0" collapsed="false">
      <c r="A3" s="8" t="s">
        <v>4405</v>
      </c>
      <c r="B3" s="8" t="s">
        <v>55</v>
      </c>
      <c r="C3" s="30" t="n">
        <v>31725</v>
      </c>
      <c r="D3" s="30" t="n">
        <v>0</v>
      </c>
      <c r="E3" s="30" t="n">
        <f aca="false">MIN(C3,D3)</f>
        <v>0</v>
      </c>
      <c r="F3" s="8" t="n">
        <f aca="false">IF(D3&gt;0,1,0)</f>
        <v>0</v>
      </c>
    </row>
    <row r="4" customFormat="false" ht="15" hidden="false" customHeight="false" outlineLevel="0" collapsed="false">
      <c r="A4" s="8" t="s">
        <v>138</v>
      </c>
      <c r="B4" s="8" t="s">
        <v>55</v>
      </c>
      <c r="C4" s="30" t="n">
        <v>31275</v>
      </c>
      <c r="D4" s="30" t="n">
        <v>31275</v>
      </c>
      <c r="E4" s="30" t="n">
        <f aca="false">MIN(C4,D4)</f>
        <v>31275</v>
      </c>
      <c r="F4" s="8" t="n">
        <f aca="false">IF(D4&gt;0,1,0)</f>
        <v>1</v>
      </c>
    </row>
    <row r="5" customFormat="false" ht="15" hidden="false" customHeight="false" outlineLevel="0" collapsed="false">
      <c r="A5" s="8" t="s">
        <v>149</v>
      </c>
      <c r="B5" s="8" t="s">
        <v>55</v>
      </c>
      <c r="C5" s="30" t="n">
        <v>29925</v>
      </c>
      <c r="D5" s="30" t="n">
        <v>29925</v>
      </c>
      <c r="E5" s="30" t="n">
        <f aca="false">MIN(C5,D5)</f>
        <v>29925</v>
      </c>
      <c r="F5" s="8" t="n">
        <f aca="false">IF(D5&gt;0,1,0)</f>
        <v>1</v>
      </c>
    </row>
    <row r="6" customFormat="false" ht="15" hidden="false" customHeight="false" outlineLevel="0" collapsed="false">
      <c r="A6" s="8" t="s">
        <v>152</v>
      </c>
      <c r="B6" s="8" t="s">
        <v>55</v>
      </c>
      <c r="C6" s="30" t="n">
        <v>29745</v>
      </c>
      <c r="D6" s="30" t="n">
        <v>29745</v>
      </c>
      <c r="E6" s="30" t="n">
        <f aca="false">MIN(C6,D6)</f>
        <v>29745</v>
      </c>
      <c r="F6" s="8" t="n">
        <f aca="false">IF(D6&gt;0,1,0)</f>
        <v>1</v>
      </c>
    </row>
    <row r="7" customFormat="false" ht="15" hidden="false" customHeight="false" outlineLevel="0" collapsed="false">
      <c r="A7" s="8" t="s">
        <v>121</v>
      </c>
      <c r="B7" s="8" t="s">
        <v>55</v>
      </c>
      <c r="C7" s="30" t="n">
        <v>29655</v>
      </c>
      <c r="D7" s="30" t="n">
        <v>34785</v>
      </c>
      <c r="E7" s="30" t="n">
        <f aca="false">MIN(C7,D7)</f>
        <v>29655</v>
      </c>
      <c r="F7" s="8" t="n">
        <f aca="false">IF(D7&gt;0,1,0)</f>
        <v>1</v>
      </c>
    </row>
    <row r="8" customFormat="false" ht="15" hidden="false" customHeight="false" outlineLevel="0" collapsed="false">
      <c r="A8" s="8" t="s">
        <v>157</v>
      </c>
      <c r="B8" s="8" t="s">
        <v>55</v>
      </c>
      <c r="C8" s="30" t="n">
        <v>28035</v>
      </c>
      <c r="D8" s="30" t="n">
        <v>28035</v>
      </c>
      <c r="E8" s="30" t="n">
        <f aca="false">MIN(C8,D8)</f>
        <v>28035</v>
      </c>
      <c r="F8" s="8" t="n">
        <f aca="false">IF(D8&gt;0,1,0)</f>
        <v>1</v>
      </c>
    </row>
    <row r="9" customFormat="false" ht="15" hidden="false" customHeight="false" outlineLevel="0" collapsed="false">
      <c r="A9" s="8" t="s">
        <v>162</v>
      </c>
      <c r="B9" s="8" t="s">
        <v>55</v>
      </c>
      <c r="C9" s="30" t="n">
        <v>26775</v>
      </c>
      <c r="D9" s="30" t="n">
        <v>26775</v>
      </c>
      <c r="E9" s="30" t="n">
        <f aca="false">MIN(C9,D9)</f>
        <v>26775</v>
      </c>
      <c r="F9" s="8" t="n">
        <f aca="false">IF(D9&gt;0,1,0)</f>
        <v>1</v>
      </c>
    </row>
    <row r="10" customFormat="false" ht="15" hidden="false" customHeight="false" outlineLevel="0" collapsed="false">
      <c r="A10" s="8" t="s">
        <v>164</v>
      </c>
      <c r="B10" s="8" t="s">
        <v>55</v>
      </c>
      <c r="C10" s="30" t="n">
        <v>26730</v>
      </c>
      <c r="D10" s="30" t="n">
        <v>26730</v>
      </c>
      <c r="E10" s="30" t="n">
        <f aca="false">MIN(C10,D10)</f>
        <v>26730</v>
      </c>
      <c r="F10" s="8" t="n">
        <f aca="false">IF(D10&gt;0,1,0)</f>
        <v>1</v>
      </c>
    </row>
    <row r="11" customFormat="false" ht="15" hidden="false" customHeight="false" outlineLevel="0" collapsed="false">
      <c r="A11" s="8" t="s">
        <v>169</v>
      </c>
      <c r="B11" s="8" t="s">
        <v>55</v>
      </c>
      <c r="C11" s="30" t="n">
        <v>26640</v>
      </c>
      <c r="D11" s="30" t="n">
        <v>26640</v>
      </c>
      <c r="E11" s="30" t="n">
        <f aca="false">MIN(C11,D11)</f>
        <v>26640</v>
      </c>
      <c r="F11" s="8" t="n">
        <f aca="false">IF(D11&gt;0,1,0)</f>
        <v>1</v>
      </c>
    </row>
    <row r="12" customFormat="false" ht="15" hidden="false" customHeight="false" outlineLevel="0" collapsed="false">
      <c r="A12" s="8" t="s">
        <v>173</v>
      </c>
      <c r="B12" s="8" t="s">
        <v>55</v>
      </c>
      <c r="C12" s="30" t="n">
        <v>26550</v>
      </c>
      <c r="D12" s="30" t="n">
        <v>26550</v>
      </c>
      <c r="E12" s="30" t="n">
        <f aca="false">MIN(C12,D12)</f>
        <v>26550</v>
      </c>
      <c r="F12" s="8" t="n">
        <f aca="false">IF(D12&gt;0,1,0)</f>
        <v>1</v>
      </c>
    </row>
    <row r="13" customFormat="false" ht="15" hidden="false" customHeight="false" outlineLevel="0" collapsed="false">
      <c r="A13" s="8" t="s">
        <v>175</v>
      </c>
      <c r="B13" s="8" t="s">
        <v>55</v>
      </c>
      <c r="C13" s="30" t="n">
        <v>26325</v>
      </c>
      <c r="D13" s="30" t="n">
        <v>26325</v>
      </c>
      <c r="E13" s="30" t="n">
        <f aca="false">MIN(C13,D13)</f>
        <v>26325</v>
      </c>
      <c r="F13" s="8" t="n">
        <f aca="false">IF(D13&gt;0,1,0)</f>
        <v>1</v>
      </c>
    </row>
    <row r="14" customFormat="false" ht="15" hidden="false" customHeight="false" outlineLevel="0" collapsed="false">
      <c r="A14" s="8" t="s">
        <v>178</v>
      </c>
      <c r="B14" s="8" t="s">
        <v>55</v>
      </c>
      <c r="C14" s="30" t="n">
        <v>26055</v>
      </c>
      <c r="D14" s="30" t="n">
        <v>26055</v>
      </c>
      <c r="E14" s="30" t="n">
        <f aca="false">MIN(C14,D14)</f>
        <v>26055</v>
      </c>
      <c r="F14" s="8" t="n">
        <f aca="false">IF(D14&gt;0,1,0)</f>
        <v>1</v>
      </c>
    </row>
    <row r="15" customFormat="false" ht="15" hidden="false" customHeight="false" outlineLevel="0" collapsed="false">
      <c r="A15" s="8" t="s">
        <v>181</v>
      </c>
      <c r="B15" s="8" t="s">
        <v>55</v>
      </c>
      <c r="C15" s="30" t="n">
        <v>26010</v>
      </c>
      <c r="D15" s="30" t="n">
        <v>26010</v>
      </c>
      <c r="E15" s="30" t="n">
        <f aca="false">MIN(C15,D15)</f>
        <v>26010</v>
      </c>
      <c r="F15" s="8" t="n">
        <f aca="false">IF(D15&gt;0,1,0)</f>
        <v>1</v>
      </c>
    </row>
    <row r="16" customFormat="false" ht="15" hidden="false" customHeight="false" outlineLevel="0" collapsed="false">
      <c r="A16" s="8" t="s">
        <v>188</v>
      </c>
      <c r="B16" s="8" t="s">
        <v>55</v>
      </c>
      <c r="C16" s="30" t="n">
        <v>25965</v>
      </c>
      <c r="D16" s="30" t="n">
        <v>25965</v>
      </c>
      <c r="E16" s="30" t="n">
        <f aca="false">MIN(C16,D16)</f>
        <v>25965</v>
      </c>
      <c r="F16" s="8" t="n">
        <f aca="false">IF(D16&gt;0,1,0)</f>
        <v>1</v>
      </c>
    </row>
    <row r="17" customFormat="false" ht="15" hidden="false" customHeight="false" outlineLevel="0" collapsed="false">
      <c r="A17" s="8" t="s">
        <v>191</v>
      </c>
      <c r="B17" s="8" t="s">
        <v>55</v>
      </c>
      <c r="C17" s="30" t="n">
        <v>25920</v>
      </c>
      <c r="D17" s="30" t="n">
        <v>25920</v>
      </c>
      <c r="E17" s="30" t="n">
        <f aca="false">MIN(C17,D17)</f>
        <v>25920</v>
      </c>
      <c r="F17" s="8" t="n">
        <f aca="false">IF(D17&gt;0,1,0)</f>
        <v>1</v>
      </c>
    </row>
    <row r="18" customFormat="false" ht="15" hidden="false" customHeight="false" outlineLevel="0" collapsed="false">
      <c r="A18" s="8" t="s">
        <v>193</v>
      </c>
      <c r="B18" s="8" t="s">
        <v>55</v>
      </c>
      <c r="C18" s="30" t="n">
        <v>25785</v>
      </c>
      <c r="D18" s="30" t="n">
        <v>25785</v>
      </c>
      <c r="E18" s="30" t="n">
        <f aca="false">MIN(C18,D18)</f>
        <v>25785</v>
      </c>
      <c r="F18" s="8" t="n">
        <f aca="false">IF(D18&gt;0,1,0)</f>
        <v>1</v>
      </c>
    </row>
    <row r="19" customFormat="false" ht="15" hidden="false" customHeight="false" outlineLevel="0" collapsed="false">
      <c r="A19" s="8" t="s">
        <v>195</v>
      </c>
      <c r="B19" s="8" t="s">
        <v>55</v>
      </c>
      <c r="C19" s="30" t="n">
        <v>25695</v>
      </c>
      <c r="D19" s="30" t="n">
        <v>25695</v>
      </c>
      <c r="E19" s="30" t="n">
        <f aca="false">MIN(C19,D19)</f>
        <v>25695</v>
      </c>
      <c r="F19" s="8" t="n">
        <f aca="false">IF(D19&gt;0,1,0)</f>
        <v>1</v>
      </c>
    </row>
    <row r="20" customFormat="false" ht="15" hidden="false" customHeight="false" outlineLevel="0" collapsed="false">
      <c r="A20" s="8" t="s">
        <v>115</v>
      </c>
      <c r="B20" s="8" t="s">
        <v>55</v>
      </c>
      <c r="C20" s="30" t="n">
        <v>25245</v>
      </c>
      <c r="D20" s="30" t="n">
        <v>36495</v>
      </c>
      <c r="E20" s="30" t="n">
        <f aca="false">MIN(C20,D20)</f>
        <v>25245</v>
      </c>
      <c r="F20" s="8" t="n">
        <f aca="false">IF(D20&gt;0,1,0)</f>
        <v>1</v>
      </c>
    </row>
    <row r="21" customFormat="false" ht="15" hidden="false" customHeight="false" outlineLevel="0" collapsed="false">
      <c r="A21" s="8" t="s">
        <v>4406</v>
      </c>
      <c r="B21" s="8" t="s">
        <v>55</v>
      </c>
      <c r="C21" s="30" t="n">
        <v>25020</v>
      </c>
      <c r="D21" s="30" t="n">
        <v>0</v>
      </c>
      <c r="E21" s="30" t="n">
        <f aca="false">MIN(C21,D21)</f>
        <v>0</v>
      </c>
      <c r="F21" s="8" t="n">
        <f aca="false">IF(D21&gt;0,1,0)</f>
        <v>0</v>
      </c>
    </row>
    <row r="22" customFormat="false" ht="15" hidden="false" customHeight="false" outlineLevel="0" collapsed="false">
      <c r="A22" s="8" t="s">
        <v>205</v>
      </c>
      <c r="B22" s="8" t="s">
        <v>55</v>
      </c>
      <c r="C22" s="30" t="n">
        <v>24930</v>
      </c>
      <c r="D22" s="30" t="n">
        <v>24930</v>
      </c>
      <c r="E22" s="30" t="n">
        <f aca="false">MIN(C22,D22)</f>
        <v>24930</v>
      </c>
      <c r="F22" s="8" t="n">
        <f aca="false">IF(D22&gt;0,1,0)</f>
        <v>1</v>
      </c>
    </row>
    <row r="23" customFormat="false" ht="15" hidden="false" customHeight="false" outlineLevel="0" collapsed="false">
      <c r="A23" s="8" t="s">
        <v>211</v>
      </c>
      <c r="B23" s="8" t="s">
        <v>55</v>
      </c>
      <c r="C23" s="30" t="n">
        <v>24525</v>
      </c>
      <c r="D23" s="30" t="n">
        <v>24525</v>
      </c>
      <c r="E23" s="30" t="n">
        <f aca="false">MIN(C23,D23)</f>
        <v>24525</v>
      </c>
      <c r="F23" s="8" t="n">
        <f aca="false">IF(D23&gt;0,1,0)</f>
        <v>1</v>
      </c>
    </row>
    <row r="24" customFormat="false" ht="15" hidden="false" customHeight="false" outlineLevel="0" collapsed="false">
      <c r="A24" s="8" t="s">
        <v>145</v>
      </c>
      <c r="B24" s="8" t="s">
        <v>55</v>
      </c>
      <c r="C24" s="30" t="n">
        <v>24300</v>
      </c>
      <c r="D24" s="30" t="n">
        <v>29925</v>
      </c>
      <c r="E24" s="30" t="n">
        <f aca="false">MIN(C24,D24)</f>
        <v>24300</v>
      </c>
      <c r="F24" s="8" t="n">
        <f aca="false">IF(D24&gt;0,1,0)</f>
        <v>1</v>
      </c>
    </row>
    <row r="25" customFormat="false" ht="15" hidden="false" customHeight="false" outlineLevel="0" collapsed="false">
      <c r="A25" s="8" t="s">
        <v>217</v>
      </c>
      <c r="B25" s="8" t="s">
        <v>55</v>
      </c>
      <c r="C25" s="30" t="n">
        <v>24165</v>
      </c>
      <c r="D25" s="30" t="n">
        <v>24165</v>
      </c>
      <c r="E25" s="30" t="n">
        <f aca="false">MIN(C25,D25)</f>
        <v>24165</v>
      </c>
      <c r="F25" s="8" t="n">
        <f aca="false">IF(D25&gt;0,1,0)</f>
        <v>1</v>
      </c>
    </row>
    <row r="26" customFormat="false" ht="15" hidden="false" customHeight="false" outlineLevel="0" collapsed="false">
      <c r="A26" s="8" t="s">
        <v>126</v>
      </c>
      <c r="B26" s="8" t="s">
        <v>55</v>
      </c>
      <c r="C26" s="30" t="n">
        <v>23895</v>
      </c>
      <c r="D26" s="30" t="n">
        <v>34515</v>
      </c>
      <c r="E26" s="30" t="n">
        <f aca="false">MIN(C26,D26)</f>
        <v>23895</v>
      </c>
      <c r="F26" s="8" t="n">
        <f aca="false">IF(D26&gt;0,1,0)</f>
        <v>1</v>
      </c>
    </row>
    <row r="27" customFormat="false" ht="15" hidden="false" customHeight="false" outlineLevel="0" collapsed="false">
      <c r="A27" s="8" t="s">
        <v>282</v>
      </c>
      <c r="B27" s="8" t="s">
        <v>55</v>
      </c>
      <c r="C27" s="30" t="n">
        <v>23805</v>
      </c>
      <c r="D27" s="30" t="n">
        <v>19845</v>
      </c>
      <c r="E27" s="30" t="n">
        <f aca="false">MIN(C27,D27)</f>
        <v>19845</v>
      </c>
      <c r="F27" s="8" t="n">
        <f aca="false">IF(D27&gt;0,1,0)</f>
        <v>1</v>
      </c>
    </row>
    <row r="28" customFormat="false" ht="15" hidden="false" customHeight="false" outlineLevel="0" collapsed="false">
      <c r="A28" s="8" t="s">
        <v>221</v>
      </c>
      <c r="B28" s="8" t="s">
        <v>55</v>
      </c>
      <c r="C28" s="30" t="n">
        <v>23670</v>
      </c>
      <c r="D28" s="30" t="n">
        <v>23670</v>
      </c>
      <c r="E28" s="30" t="n">
        <f aca="false">MIN(C28,D28)</f>
        <v>23670</v>
      </c>
      <c r="F28" s="8" t="n">
        <f aca="false">IF(D28&gt;0,1,0)</f>
        <v>1</v>
      </c>
    </row>
    <row r="29" customFormat="false" ht="15" hidden="false" customHeight="false" outlineLevel="0" collapsed="false">
      <c r="A29" s="8" t="s">
        <v>224</v>
      </c>
      <c r="B29" s="8" t="s">
        <v>55</v>
      </c>
      <c r="C29" s="30" t="n">
        <v>23355</v>
      </c>
      <c r="D29" s="30" t="n">
        <v>23355</v>
      </c>
      <c r="E29" s="30" t="n">
        <f aca="false">MIN(C29,D29)</f>
        <v>23355</v>
      </c>
      <c r="F29" s="8" t="n">
        <f aca="false">IF(D29&gt;0,1,0)</f>
        <v>1</v>
      </c>
    </row>
    <row r="30" customFormat="false" ht="15" hidden="false" customHeight="false" outlineLevel="0" collapsed="false">
      <c r="A30" s="8" t="s">
        <v>226</v>
      </c>
      <c r="B30" s="8" t="s">
        <v>55</v>
      </c>
      <c r="C30" s="30" t="n">
        <v>23355</v>
      </c>
      <c r="D30" s="30" t="n">
        <v>23355</v>
      </c>
      <c r="E30" s="30" t="n">
        <f aca="false">MIN(C30,D30)</f>
        <v>23355</v>
      </c>
      <c r="F30" s="8" t="n">
        <f aca="false">IF(D30&gt;0,1,0)</f>
        <v>1</v>
      </c>
    </row>
    <row r="31" customFormat="false" ht="15" hidden="false" customHeight="false" outlineLevel="0" collapsed="false">
      <c r="A31" s="8" t="s">
        <v>228</v>
      </c>
      <c r="B31" s="8" t="s">
        <v>55</v>
      </c>
      <c r="C31" s="30" t="n">
        <v>23220</v>
      </c>
      <c r="D31" s="30" t="n">
        <v>23220</v>
      </c>
      <c r="E31" s="30" t="n">
        <f aca="false">MIN(C31,D31)</f>
        <v>23220</v>
      </c>
      <c r="F31" s="8" t="n">
        <f aca="false">IF(D31&gt;0,1,0)</f>
        <v>1</v>
      </c>
    </row>
    <row r="32" customFormat="false" ht="15" hidden="false" customHeight="false" outlineLevel="0" collapsed="false">
      <c r="A32" s="8" t="s">
        <v>230</v>
      </c>
      <c r="B32" s="8" t="s">
        <v>55</v>
      </c>
      <c r="C32" s="30" t="n">
        <v>23130</v>
      </c>
      <c r="D32" s="30" t="n">
        <v>23130</v>
      </c>
      <c r="E32" s="30" t="n">
        <f aca="false">MIN(C32,D32)</f>
        <v>23130</v>
      </c>
      <c r="F32" s="8" t="n">
        <f aca="false">IF(D32&gt;0,1,0)</f>
        <v>1</v>
      </c>
    </row>
    <row r="33" customFormat="false" ht="15" hidden="false" customHeight="false" outlineLevel="0" collapsed="false">
      <c r="A33" s="8" t="s">
        <v>232</v>
      </c>
      <c r="B33" s="8" t="s">
        <v>55</v>
      </c>
      <c r="C33" s="30" t="n">
        <v>23085</v>
      </c>
      <c r="D33" s="30" t="n">
        <v>23085</v>
      </c>
      <c r="E33" s="30" t="n">
        <f aca="false">MIN(C33,D33)</f>
        <v>23085</v>
      </c>
      <c r="F33" s="8" t="n">
        <f aca="false">IF(D33&gt;0,1,0)</f>
        <v>1</v>
      </c>
    </row>
    <row r="34" customFormat="false" ht="15" hidden="false" customHeight="false" outlineLevel="0" collapsed="false">
      <c r="A34" s="8" t="s">
        <v>240</v>
      </c>
      <c r="B34" s="8" t="s">
        <v>55</v>
      </c>
      <c r="C34" s="30" t="n">
        <v>22725</v>
      </c>
      <c r="D34" s="30" t="n">
        <v>22725</v>
      </c>
      <c r="E34" s="30" t="n">
        <f aca="false">MIN(C34,D34)</f>
        <v>22725</v>
      </c>
      <c r="F34" s="8" t="n">
        <f aca="false">IF(D34&gt;0,1,0)</f>
        <v>1</v>
      </c>
    </row>
    <row r="35" customFormat="false" ht="15" hidden="false" customHeight="false" outlineLevel="0" collapsed="false">
      <c r="A35" s="8" t="s">
        <v>246</v>
      </c>
      <c r="B35" s="8" t="s">
        <v>55</v>
      </c>
      <c r="C35" s="30" t="n">
        <v>22230</v>
      </c>
      <c r="D35" s="30" t="n">
        <v>22230</v>
      </c>
      <c r="E35" s="30" t="n">
        <f aca="false">MIN(C35,D35)</f>
        <v>22230</v>
      </c>
      <c r="F35" s="8" t="n">
        <f aca="false">IF(D35&gt;0,1,0)</f>
        <v>1</v>
      </c>
    </row>
    <row r="36" customFormat="false" ht="15" hidden="false" customHeight="false" outlineLevel="0" collapsed="false">
      <c r="A36" s="8" t="s">
        <v>274</v>
      </c>
      <c r="B36" s="8" t="s">
        <v>55</v>
      </c>
      <c r="C36" s="30" t="n">
        <v>22005</v>
      </c>
      <c r="D36" s="30" t="n">
        <v>20340</v>
      </c>
      <c r="E36" s="30" t="n">
        <f aca="false">MIN(C36,D36)</f>
        <v>20340</v>
      </c>
      <c r="F36" s="8" t="n">
        <f aca="false">IF(D36&gt;0,1,0)</f>
        <v>1</v>
      </c>
    </row>
    <row r="37" customFormat="false" ht="15" hidden="false" customHeight="false" outlineLevel="0" collapsed="false">
      <c r="A37" s="8" t="s">
        <v>252</v>
      </c>
      <c r="B37" s="8" t="s">
        <v>55</v>
      </c>
      <c r="C37" s="30" t="n">
        <v>21690</v>
      </c>
      <c r="D37" s="30" t="n">
        <v>21690</v>
      </c>
      <c r="E37" s="30" t="n">
        <f aca="false">MIN(C37,D37)</f>
        <v>21690</v>
      </c>
      <c r="F37" s="8" t="n">
        <f aca="false">IF(D37&gt;0,1,0)</f>
        <v>1</v>
      </c>
    </row>
    <row r="38" customFormat="false" ht="15" hidden="false" customHeight="false" outlineLevel="0" collapsed="false">
      <c r="A38" s="8" t="s">
        <v>256</v>
      </c>
      <c r="B38" s="8" t="s">
        <v>55</v>
      </c>
      <c r="C38" s="30" t="n">
        <v>21330</v>
      </c>
      <c r="D38" s="30" t="n">
        <v>21330</v>
      </c>
      <c r="E38" s="30" t="n">
        <f aca="false">MIN(C38,D38)</f>
        <v>21330</v>
      </c>
      <c r="F38" s="8" t="n">
        <f aca="false">IF(D38&gt;0,1,0)</f>
        <v>1</v>
      </c>
    </row>
    <row r="39" customFormat="false" ht="15" hidden="false" customHeight="false" outlineLevel="0" collapsed="false">
      <c r="A39" s="8" t="s">
        <v>207</v>
      </c>
      <c r="B39" s="8" t="s">
        <v>55</v>
      </c>
      <c r="C39" s="30" t="n">
        <v>21330</v>
      </c>
      <c r="D39" s="30" t="n">
        <v>24570</v>
      </c>
      <c r="E39" s="30" t="n">
        <f aca="false">MIN(C39,D39)</f>
        <v>21330</v>
      </c>
      <c r="F39" s="8" t="n">
        <f aca="false">IF(D39&gt;0,1,0)</f>
        <v>1</v>
      </c>
    </row>
    <row r="40" customFormat="false" ht="15" hidden="false" customHeight="false" outlineLevel="0" collapsed="false">
      <c r="A40" s="8" t="s">
        <v>160</v>
      </c>
      <c r="B40" s="8" t="s">
        <v>55</v>
      </c>
      <c r="C40" s="30" t="n">
        <v>21195</v>
      </c>
      <c r="D40" s="30" t="n">
        <v>27090</v>
      </c>
      <c r="E40" s="30" t="n">
        <f aca="false">MIN(C40,D40)</f>
        <v>21195</v>
      </c>
      <c r="F40" s="8" t="n">
        <f aca="false">IF(D40&gt;0,1,0)</f>
        <v>1</v>
      </c>
    </row>
    <row r="41" customFormat="false" ht="15" hidden="false" customHeight="false" outlineLevel="0" collapsed="false">
      <c r="A41" s="8" t="s">
        <v>268</v>
      </c>
      <c r="B41" s="8" t="s">
        <v>55</v>
      </c>
      <c r="C41" s="30" t="n">
        <v>20880</v>
      </c>
      <c r="D41" s="30" t="n">
        <v>20880</v>
      </c>
      <c r="E41" s="30" t="n">
        <f aca="false">MIN(C41,D41)</f>
        <v>20880</v>
      </c>
      <c r="F41" s="8" t="n">
        <f aca="false">IF(D41&gt;0,1,0)</f>
        <v>1</v>
      </c>
    </row>
    <row r="42" customFormat="false" ht="15" hidden="false" customHeight="false" outlineLevel="0" collapsed="false">
      <c r="A42" s="8" t="s">
        <v>4407</v>
      </c>
      <c r="B42" s="8" t="s">
        <v>55</v>
      </c>
      <c r="C42" s="30" t="n">
        <v>20835</v>
      </c>
      <c r="D42" s="30" t="n">
        <v>0</v>
      </c>
      <c r="E42" s="30" t="n">
        <f aca="false">MIN(C42,D42)</f>
        <v>0</v>
      </c>
      <c r="F42" s="8" t="n">
        <f aca="false">IF(D42&gt;0,1,0)</f>
        <v>0</v>
      </c>
    </row>
    <row r="43" customFormat="false" ht="15" hidden="false" customHeight="false" outlineLevel="0" collapsed="false">
      <c r="A43" s="8" t="s">
        <v>270</v>
      </c>
      <c r="B43" s="8" t="s">
        <v>55</v>
      </c>
      <c r="C43" s="30" t="n">
        <v>20790</v>
      </c>
      <c r="D43" s="30" t="n">
        <v>20790</v>
      </c>
      <c r="E43" s="30" t="n">
        <f aca="false">MIN(C43,D43)</f>
        <v>20790</v>
      </c>
      <c r="F43" s="8" t="n">
        <f aca="false">IF(D43&gt;0,1,0)</f>
        <v>1</v>
      </c>
    </row>
    <row r="44" customFormat="false" ht="15" hidden="false" customHeight="false" outlineLevel="0" collapsed="false">
      <c r="A44" s="8" t="s">
        <v>4408</v>
      </c>
      <c r="B44" s="8" t="s">
        <v>55</v>
      </c>
      <c r="C44" s="30" t="n">
        <v>20745</v>
      </c>
      <c r="D44" s="30" t="n">
        <v>0</v>
      </c>
      <c r="E44" s="30" t="n">
        <f aca="false">MIN(C44,D44)</f>
        <v>0</v>
      </c>
      <c r="F44" s="8" t="n">
        <f aca="false">IF(D44&gt;0,1,0)</f>
        <v>0</v>
      </c>
    </row>
    <row r="45" customFormat="false" ht="15" hidden="false" customHeight="false" outlineLevel="0" collapsed="false">
      <c r="A45" s="8" t="s">
        <v>272</v>
      </c>
      <c r="B45" s="8" t="s">
        <v>55</v>
      </c>
      <c r="C45" s="30" t="n">
        <v>20475</v>
      </c>
      <c r="D45" s="30" t="n">
        <v>20475</v>
      </c>
      <c r="E45" s="30" t="n">
        <f aca="false">MIN(C45,D45)</f>
        <v>20475</v>
      </c>
      <c r="F45" s="8" t="n">
        <f aca="false">IF(D45&gt;0,1,0)</f>
        <v>1</v>
      </c>
    </row>
    <row r="46" customFormat="false" ht="15" hidden="false" customHeight="false" outlineLevel="0" collapsed="false">
      <c r="A46" s="8" t="s">
        <v>4409</v>
      </c>
      <c r="B46" s="8" t="s">
        <v>55</v>
      </c>
      <c r="C46" s="30" t="n">
        <v>20160</v>
      </c>
      <c r="D46" s="30" t="n">
        <v>0</v>
      </c>
      <c r="E46" s="30" t="n">
        <f aca="false">MIN(C46,D46)</f>
        <v>0</v>
      </c>
      <c r="F46" s="8" t="n">
        <f aca="false">IF(D46&gt;0,1,0)</f>
        <v>0</v>
      </c>
    </row>
    <row r="47" customFormat="false" ht="15" hidden="false" customHeight="false" outlineLevel="0" collapsed="false">
      <c r="A47" s="8" t="s">
        <v>280</v>
      </c>
      <c r="B47" s="8" t="s">
        <v>55</v>
      </c>
      <c r="C47" s="30" t="n">
        <v>20070</v>
      </c>
      <c r="D47" s="30" t="n">
        <v>20070</v>
      </c>
      <c r="E47" s="30" t="n">
        <f aca="false">MIN(C47,D47)</f>
        <v>20070</v>
      </c>
      <c r="F47" s="8" t="n">
        <f aca="false">IF(D47&gt;0,1,0)</f>
        <v>1</v>
      </c>
    </row>
    <row r="48" customFormat="false" ht="15" hidden="false" customHeight="false" outlineLevel="0" collapsed="false">
      <c r="A48" s="8" t="s">
        <v>209</v>
      </c>
      <c r="B48" s="8" t="s">
        <v>55</v>
      </c>
      <c r="C48" s="30" t="n">
        <v>19980</v>
      </c>
      <c r="D48" s="30" t="n">
        <v>24525</v>
      </c>
      <c r="E48" s="30" t="n">
        <f aca="false">MIN(C48,D48)</f>
        <v>19980</v>
      </c>
      <c r="F48" s="8" t="n">
        <f aca="false">IF(D48&gt;0,1,0)</f>
        <v>1</v>
      </c>
    </row>
    <row r="49" customFormat="false" ht="15" hidden="false" customHeight="false" outlineLevel="0" collapsed="false">
      <c r="A49" s="8" t="s">
        <v>155</v>
      </c>
      <c r="B49" s="8" t="s">
        <v>55</v>
      </c>
      <c r="C49" s="30" t="n">
        <v>19845</v>
      </c>
      <c r="D49" s="30" t="n">
        <v>28125</v>
      </c>
      <c r="E49" s="30" t="n">
        <f aca="false">MIN(C49,D49)</f>
        <v>19845</v>
      </c>
      <c r="F49" s="8" t="n">
        <f aca="false">IF(D49&gt;0,1,0)</f>
        <v>1</v>
      </c>
    </row>
    <row r="50" customFormat="false" ht="15" hidden="false" customHeight="false" outlineLevel="0" collapsed="false">
      <c r="A50" s="8" t="s">
        <v>284</v>
      </c>
      <c r="B50" s="8" t="s">
        <v>55</v>
      </c>
      <c r="C50" s="30" t="n">
        <v>19800</v>
      </c>
      <c r="D50" s="30" t="n">
        <v>19800</v>
      </c>
      <c r="E50" s="30" t="n">
        <f aca="false">MIN(C50,D50)</f>
        <v>19800</v>
      </c>
      <c r="F50" s="8" t="n">
        <f aca="false">IF(D50&gt;0,1,0)</f>
        <v>1</v>
      </c>
    </row>
    <row r="51" customFormat="false" ht="15" hidden="false" customHeight="false" outlineLevel="0" collapsed="false">
      <c r="A51" s="8" t="s">
        <v>141</v>
      </c>
      <c r="B51" s="8" t="s">
        <v>55</v>
      </c>
      <c r="C51" s="30" t="n">
        <v>19620</v>
      </c>
      <c r="D51" s="30" t="n">
        <v>30195</v>
      </c>
      <c r="E51" s="30" t="n">
        <f aca="false">MIN(C51,D51)</f>
        <v>19620</v>
      </c>
      <c r="F51" s="8" t="n">
        <f aca="false">IF(D51&gt;0,1,0)</f>
        <v>1</v>
      </c>
    </row>
    <row r="52" customFormat="false" ht="15" hidden="false" customHeight="false" outlineLevel="0" collapsed="false">
      <c r="A52" s="8" t="s">
        <v>290</v>
      </c>
      <c r="B52" s="8" t="s">
        <v>55</v>
      </c>
      <c r="C52" s="30" t="n">
        <v>19530</v>
      </c>
      <c r="D52" s="30" t="n">
        <v>19530</v>
      </c>
      <c r="E52" s="30" t="n">
        <f aca="false">MIN(C52,D52)</f>
        <v>19530</v>
      </c>
      <c r="F52" s="8" t="n">
        <f aca="false">IF(D52&gt;0,1,0)</f>
        <v>1</v>
      </c>
    </row>
    <row r="53" customFormat="false" ht="15" hidden="false" customHeight="false" outlineLevel="0" collapsed="false">
      <c r="A53" s="8" t="s">
        <v>329</v>
      </c>
      <c r="B53" s="8" t="s">
        <v>55</v>
      </c>
      <c r="C53" s="30" t="n">
        <v>19035</v>
      </c>
      <c r="D53" s="30" t="n">
        <v>16605</v>
      </c>
      <c r="E53" s="30" t="n">
        <f aca="false">MIN(C53,D53)</f>
        <v>16605</v>
      </c>
      <c r="F53" s="8" t="n">
        <f aca="false">IF(D53&gt;0,1,0)</f>
        <v>1</v>
      </c>
    </row>
    <row r="54" customFormat="false" ht="15" hidden="false" customHeight="false" outlineLevel="0" collapsed="false">
      <c r="A54" s="8" t="s">
        <v>264</v>
      </c>
      <c r="B54" s="8" t="s">
        <v>55</v>
      </c>
      <c r="C54" s="30" t="n">
        <v>18990</v>
      </c>
      <c r="D54" s="30" t="n">
        <v>20970</v>
      </c>
      <c r="E54" s="30" t="n">
        <f aca="false">MIN(C54,D54)</f>
        <v>18990</v>
      </c>
      <c r="F54" s="8" t="n">
        <f aca="false">IF(D54&gt;0,1,0)</f>
        <v>1</v>
      </c>
    </row>
    <row r="55" customFormat="false" ht="15" hidden="false" customHeight="false" outlineLevel="0" collapsed="false">
      <c r="A55" s="8" t="s">
        <v>294</v>
      </c>
      <c r="B55" s="8" t="s">
        <v>55</v>
      </c>
      <c r="C55" s="30" t="n">
        <v>18585</v>
      </c>
      <c r="D55" s="30" t="n">
        <v>18585</v>
      </c>
      <c r="E55" s="30" t="n">
        <f aca="false">MIN(C55,D55)</f>
        <v>18585</v>
      </c>
      <c r="F55" s="8" t="n">
        <f aca="false">IF(D55&gt;0,1,0)</f>
        <v>1</v>
      </c>
    </row>
    <row r="56" customFormat="false" ht="15" hidden="false" customHeight="false" outlineLevel="0" collapsed="false">
      <c r="A56" s="8" t="s">
        <v>296</v>
      </c>
      <c r="B56" s="8" t="s">
        <v>55</v>
      </c>
      <c r="C56" s="30" t="n">
        <v>18450</v>
      </c>
      <c r="D56" s="30" t="n">
        <v>18450</v>
      </c>
      <c r="E56" s="30" t="n">
        <f aca="false">MIN(C56,D56)</f>
        <v>18450</v>
      </c>
      <c r="F56" s="8" t="n">
        <f aca="false">IF(D56&gt;0,1,0)</f>
        <v>1</v>
      </c>
    </row>
    <row r="57" customFormat="false" ht="15" hidden="false" customHeight="false" outlineLevel="0" collapsed="false">
      <c r="A57" s="8" t="s">
        <v>300</v>
      </c>
      <c r="B57" s="8" t="s">
        <v>55</v>
      </c>
      <c r="C57" s="30" t="n">
        <v>18000</v>
      </c>
      <c r="D57" s="30" t="n">
        <v>18000</v>
      </c>
      <c r="E57" s="30" t="n">
        <f aca="false">MIN(C57,D57)</f>
        <v>18000</v>
      </c>
      <c r="F57" s="8" t="n">
        <f aca="false">IF(D57&gt;0,1,0)</f>
        <v>1</v>
      </c>
    </row>
    <row r="58" customFormat="false" ht="15" hidden="false" customHeight="false" outlineLevel="0" collapsed="false">
      <c r="A58" s="8" t="s">
        <v>302</v>
      </c>
      <c r="B58" s="8" t="s">
        <v>55</v>
      </c>
      <c r="C58" s="30" t="n">
        <v>17370</v>
      </c>
      <c r="D58" s="30" t="n">
        <v>17370</v>
      </c>
      <c r="E58" s="30" t="n">
        <f aca="false">MIN(C58,D58)</f>
        <v>17370</v>
      </c>
      <c r="F58" s="8" t="n">
        <f aca="false">IF(D58&gt;0,1,0)</f>
        <v>1</v>
      </c>
    </row>
    <row r="59" customFormat="false" ht="15" hidden="false" customHeight="false" outlineLevel="0" collapsed="false">
      <c r="A59" s="8" t="s">
        <v>304</v>
      </c>
      <c r="B59" s="8" t="s">
        <v>55</v>
      </c>
      <c r="C59" s="30" t="n">
        <v>17370</v>
      </c>
      <c r="D59" s="30" t="n">
        <v>17370</v>
      </c>
      <c r="E59" s="30" t="n">
        <f aca="false">MIN(C59,D59)</f>
        <v>17370</v>
      </c>
      <c r="F59" s="8" t="n">
        <f aca="false">IF(D59&gt;0,1,0)</f>
        <v>1</v>
      </c>
    </row>
    <row r="60" customFormat="false" ht="15" hidden="false" customHeight="false" outlineLevel="0" collapsed="false">
      <c r="A60" s="8" t="s">
        <v>306</v>
      </c>
      <c r="B60" s="8" t="s">
        <v>55</v>
      </c>
      <c r="C60" s="30" t="n">
        <v>17325</v>
      </c>
      <c r="D60" s="30" t="n">
        <v>17325</v>
      </c>
      <c r="E60" s="30" t="n">
        <f aca="false">MIN(C60,D60)</f>
        <v>17325</v>
      </c>
      <c r="F60" s="8" t="n">
        <f aca="false">IF(D60&gt;0,1,0)</f>
        <v>1</v>
      </c>
    </row>
    <row r="61" customFormat="false" ht="15" hidden="false" customHeight="false" outlineLevel="0" collapsed="false">
      <c r="A61" s="8" t="s">
        <v>308</v>
      </c>
      <c r="B61" s="8" t="s">
        <v>55</v>
      </c>
      <c r="C61" s="30" t="n">
        <v>17325</v>
      </c>
      <c r="D61" s="30" t="n">
        <v>17325</v>
      </c>
      <c r="E61" s="30" t="n">
        <f aca="false">MIN(C61,D61)</f>
        <v>17325</v>
      </c>
      <c r="F61" s="8" t="n">
        <f aca="false">IF(D61&gt;0,1,0)</f>
        <v>1</v>
      </c>
    </row>
    <row r="62" customFormat="false" ht="15" hidden="false" customHeight="false" outlineLevel="0" collapsed="false">
      <c r="A62" s="8" t="s">
        <v>310</v>
      </c>
      <c r="B62" s="8" t="s">
        <v>55</v>
      </c>
      <c r="C62" s="30" t="n">
        <v>17280</v>
      </c>
      <c r="D62" s="30" t="n">
        <v>17280</v>
      </c>
      <c r="E62" s="30" t="n">
        <f aca="false">MIN(C62,D62)</f>
        <v>17280</v>
      </c>
      <c r="F62" s="8" t="n">
        <f aca="false">IF(D62&gt;0,1,0)</f>
        <v>1</v>
      </c>
    </row>
    <row r="63" customFormat="false" ht="15" hidden="false" customHeight="false" outlineLevel="0" collapsed="false">
      <c r="A63" s="8" t="s">
        <v>312</v>
      </c>
      <c r="B63" s="8" t="s">
        <v>55</v>
      </c>
      <c r="C63" s="30" t="n">
        <v>17235</v>
      </c>
      <c r="D63" s="30" t="n">
        <v>17235</v>
      </c>
      <c r="E63" s="30" t="n">
        <f aca="false">MIN(C63,D63)</f>
        <v>17235</v>
      </c>
      <c r="F63" s="8" t="n">
        <f aca="false">IF(D63&gt;0,1,0)</f>
        <v>1</v>
      </c>
    </row>
    <row r="64" customFormat="false" ht="15" hidden="false" customHeight="false" outlineLevel="0" collapsed="false">
      <c r="A64" s="8" t="s">
        <v>383</v>
      </c>
      <c r="B64" s="8" t="s">
        <v>55</v>
      </c>
      <c r="C64" s="30" t="n">
        <v>16875</v>
      </c>
      <c r="D64" s="30" t="n">
        <v>13905</v>
      </c>
      <c r="E64" s="30" t="n">
        <f aca="false">MIN(C64,D64)</f>
        <v>13905</v>
      </c>
      <c r="F64" s="8" t="n">
        <f aca="false">IF(D64&gt;0,1,0)</f>
        <v>1</v>
      </c>
    </row>
    <row r="65" customFormat="false" ht="15" hidden="false" customHeight="false" outlineLevel="0" collapsed="false">
      <c r="A65" s="8" t="s">
        <v>320</v>
      </c>
      <c r="B65" s="8" t="s">
        <v>55</v>
      </c>
      <c r="C65" s="30" t="n">
        <v>16830</v>
      </c>
      <c r="D65" s="30" t="n">
        <v>16830</v>
      </c>
      <c r="E65" s="30" t="n">
        <f aca="false">MIN(C65,D65)</f>
        <v>16830</v>
      </c>
      <c r="F65" s="8" t="n">
        <f aca="false">IF(D65&gt;0,1,0)</f>
        <v>1</v>
      </c>
    </row>
    <row r="66" customFormat="false" ht="15" hidden="false" customHeight="false" outlineLevel="0" collapsed="false">
      <c r="A66" s="8" t="s">
        <v>327</v>
      </c>
      <c r="B66" s="8" t="s">
        <v>55</v>
      </c>
      <c r="C66" s="30" t="n">
        <v>16650</v>
      </c>
      <c r="D66" s="30" t="n">
        <v>16650</v>
      </c>
      <c r="E66" s="30" t="n">
        <f aca="false">MIN(C66,D66)</f>
        <v>16650</v>
      </c>
      <c r="F66" s="8" t="n">
        <f aca="false">IF(D66&gt;0,1,0)</f>
        <v>1</v>
      </c>
    </row>
    <row r="67" customFormat="false" ht="15" hidden="false" customHeight="false" outlineLevel="0" collapsed="false">
      <c r="A67" s="8" t="s">
        <v>248</v>
      </c>
      <c r="B67" s="8" t="s">
        <v>55</v>
      </c>
      <c r="C67" s="30" t="n">
        <v>16335</v>
      </c>
      <c r="D67" s="30" t="n">
        <v>22140</v>
      </c>
      <c r="E67" s="30" t="n">
        <f aca="false">MIN(C67,D67)</f>
        <v>16335</v>
      </c>
      <c r="F67" s="8" t="n">
        <f aca="false">IF(D67&gt;0,1,0)</f>
        <v>1</v>
      </c>
    </row>
    <row r="68" customFormat="false" ht="15" hidden="false" customHeight="false" outlineLevel="0" collapsed="false">
      <c r="A68" s="8" t="s">
        <v>333</v>
      </c>
      <c r="B68" s="8" t="s">
        <v>55</v>
      </c>
      <c r="C68" s="30" t="n">
        <v>16020</v>
      </c>
      <c r="D68" s="30" t="n">
        <v>16020</v>
      </c>
      <c r="E68" s="30" t="n">
        <f aca="false">MIN(C68,D68)</f>
        <v>16020</v>
      </c>
      <c r="F68" s="8" t="n">
        <f aca="false">IF(D68&gt;0,1,0)</f>
        <v>1</v>
      </c>
    </row>
    <row r="69" customFormat="false" ht="15" hidden="false" customHeight="false" outlineLevel="0" collapsed="false">
      <c r="A69" s="8" t="s">
        <v>4410</v>
      </c>
      <c r="B69" s="8" t="s">
        <v>55</v>
      </c>
      <c r="C69" s="30" t="n">
        <v>16000</v>
      </c>
      <c r="D69" s="30" t="n">
        <v>0</v>
      </c>
      <c r="E69" s="30" t="n">
        <f aca="false">MIN(C69,D69)</f>
        <v>0</v>
      </c>
      <c r="F69" s="8" t="n">
        <f aca="false">IF(D69&gt;0,1,0)</f>
        <v>0</v>
      </c>
    </row>
    <row r="70" customFormat="false" ht="15" hidden="false" customHeight="false" outlineLevel="0" collapsed="false">
      <c r="A70" s="8" t="s">
        <v>335</v>
      </c>
      <c r="B70" s="8" t="s">
        <v>55</v>
      </c>
      <c r="C70" s="30" t="n">
        <v>15930</v>
      </c>
      <c r="D70" s="30" t="n">
        <v>15930</v>
      </c>
      <c r="E70" s="30" t="n">
        <f aca="false">MIN(C70,D70)</f>
        <v>15930</v>
      </c>
      <c r="F70" s="8" t="n">
        <f aca="false">IF(D70&gt;0,1,0)</f>
        <v>1</v>
      </c>
    </row>
    <row r="71" customFormat="false" ht="15" hidden="false" customHeight="false" outlineLevel="0" collapsed="false">
      <c r="A71" s="8" t="s">
        <v>337</v>
      </c>
      <c r="B71" s="8" t="s">
        <v>55</v>
      </c>
      <c r="C71" s="30" t="n">
        <v>15885</v>
      </c>
      <c r="D71" s="30" t="n">
        <v>15885</v>
      </c>
      <c r="E71" s="30" t="n">
        <f aca="false">MIN(C71,D71)</f>
        <v>15885</v>
      </c>
      <c r="F71" s="8" t="n">
        <f aca="false">IF(D71&gt;0,1,0)</f>
        <v>1</v>
      </c>
    </row>
    <row r="72" customFormat="false" ht="15" hidden="false" customHeight="false" outlineLevel="0" collapsed="false">
      <c r="A72" s="8" t="s">
        <v>4411</v>
      </c>
      <c r="B72" s="8" t="s">
        <v>55</v>
      </c>
      <c r="C72" s="30" t="n">
        <v>15795</v>
      </c>
      <c r="D72" s="30" t="n">
        <v>0</v>
      </c>
      <c r="E72" s="30" t="n">
        <f aca="false">MIN(C72,D72)</f>
        <v>0</v>
      </c>
      <c r="F72" s="8" t="n">
        <f aca="false">IF(D72&gt;0,1,0)</f>
        <v>0</v>
      </c>
    </row>
    <row r="73" customFormat="false" ht="15" hidden="false" customHeight="false" outlineLevel="0" collapsed="false">
      <c r="A73" s="8" t="s">
        <v>341</v>
      </c>
      <c r="B73" s="8" t="s">
        <v>55</v>
      </c>
      <c r="C73" s="30" t="n">
        <v>15480</v>
      </c>
      <c r="D73" s="30" t="n">
        <v>15480</v>
      </c>
      <c r="E73" s="30" t="n">
        <f aca="false">MIN(C73,D73)</f>
        <v>15480</v>
      </c>
      <c r="F73" s="8" t="n">
        <f aca="false">IF(D73&gt;0,1,0)</f>
        <v>1</v>
      </c>
    </row>
    <row r="74" customFormat="false" ht="15" hidden="false" customHeight="false" outlineLevel="0" collapsed="false">
      <c r="A74" s="8" t="s">
        <v>351</v>
      </c>
      <c r="B74" s="8" t="s">
        <v>55</v>
      </c>
      <c r="C74" s="30" t="n">
        <v>15165</v>
      </c>
      <c r="D74" s="30" t="n">
        <v>15165</v>
      </c>
      <c r="E74" s="30" t="n">
        <f aca="false">MIN(C74,D74)</f>
        <v>15165</v>
      </c>
      <c r="F74" s="8" t="n">
        <f aca="false">IF(D74&gt;0,1,0)</f>
        <v>1</v>
      </c>
    </row>
    <row r="75" customFormat="false" ht="15" hidden="false" customHeight="false" outlineLevel="0" collapsed="false">
      <c r="A75" s="8" t="s">
        <v>353</v>
      </c>
      <c r="B75" s="8" t="s">
        <v>55</v>
      </c>
      <c r="C75" s="30" t="n">
        <v>15030</v>
      </c>
      <c r="D75" s="30" t="n">
        <v>15030</v>
      </c>
      <c r="E75" s="30" t="n">
        <f aca="false">MIN(C75,D75)</f>
        <v>15030</v>
      </c>
      <c r="F75" s="8" t="n">
        <f aca="false">IF(D75&gt;0,1,0)</f>
        <v>1</v>
      </c>
    </row>
    <row r="76" customFormat="false" ht="15" hidden="false" customHeight="false" outlineLevel="0" collapsed="false">
      <c r="A76" s="8" t="s">
        <v>363</v>
      </c>
      <c r="B76" s="8" t="s">
        <v>55</v>
      </c>
      <c r="C76" s="30" t="n">
        <v>14670</v>
      </c>
      <c r="D76" s="30" t="n">
        <v>14670</v>
      </c>
      <c r="E76" s="30" t="n">
        <f aca="false">MIN(C76,D76)</f>
        <v>14670</v>
      </c>
      <c r="F76" s="8" t="n">
        <f aca="false">IF(D76&gt;0,1,0)</f>
        <v>1</v>
      </c>
    </row>
    <row r="77" customFormat="false" ht="15" hidden="false" customHeight="false" outlineLevel="0" collapsed="false">
      <c r="A77" s="8" t="s">
        <v>373</v>
      </c>
      <c r="B77" s="8" t="s">
        <v>55</v>
      </c>
      <c r="C77" s="30" t="n">
        <v>14220</v>
      </c>
      <c r="D77" s="30" t="n">
        <v>14220</v>
      </c>
      <c r="E77" s="30" t="n">
        <f aca="false">MIN(C77,D77)</f>
        <v>14220</v>
      </c>
      <c r="F77" s="8" t="n">
        <f aca="false">IF(D77&gt;0,1,0)</f>
        <v>1</v>
      </c>
    </row>
    <row r="78" customFormat="false" ht="15" hidden="false" customHeight="false" outlineLevel="0" collapsed="false">
      <c r="A78" s="8" t="s">
        <v>377</v>
      </c>
      <c r="B78" s="8" t="s">
        <v>55</v>
      </c>
      <c r="C78" s="30" t="n">
        <v>14100</v>
      </c>
      <c r="D78" s="30" t="n">
        <v>14100</v>
      </c>
      <c r="E78" s="30" t="n">
        <f aca="false">MIN(C78,D78)</f>
        <v>14100</v>
      </c>
      <c r="F78" s="8" t="n">
        <f aca="false">IF(D78&gt;0,1,0)</f>
        <v>1</v>
      </c>
    </row>
    <row r="79" customFormat="false" ht="15" hidden="false" customHeight="false" outlineLevel="0" collapsed="false">
      <c r="A79" s="8" t="s">
        <v>379</v>
      </c>
      <c r="B79" s="8" t="s">
        <v>55</v>
      </c>
      <c r="C79" s="30" t="n">
        <v>14025</v>
      </c>
      <c r="D79" s="30" t="n">
        <v>14025</v>
      </c>
      <c r="E79" s="30" t="n">
        <f aca="false">MIN(C79,D79)</f>
        <v>14025</v>
      </c>
      <c r="F79" s="8" t="n">
        <f aca="false">IF(D79&gt;0,1,0)</f>
        <v>1</v>
      </c>
    </row>
    <row r="80" customFormat="false" ht="15" hidden="false" customHeight="false" outlineLevel="0" collapsed="false">
      <c r="A80" s="8" t="s">
        <v>381</v>
      </c>
      <c r="B80" s="8" t="s">
        <v>55</v>
      </c>
      <c r="C80" s="30" t="n">
        <v>13995</v>
      </c>
      <c r="D80" s="30" t="n">
        <v>13995</v>
      </c>
      <c r="E80" s="30" t="n">
        <f aca="false">MIN(C80,D80)</f>
        <v>13995</v>
      </c>
      <c r="F80" s="8" t="n">
        <f aca="false">IF(D80&gt;0,1,0)</f>
        <v>1</v>
      </c>
    </row>
    <row r="81" customFormat="false" ht="15" hidden="false" customHeight="false" outlineLevel="0" collapsed="false">
      <c r="A81" s="8" t="s">
        <v>347</v>
      </c>
      <c r="B81" s="8" t="s">
        <v>55</v>
      </c>
      <c r="C81" s="30" t="n">
        <v>13905</v>
      </c>
      <c r="D81" s="30" t="n">
        <v>15300</v>
      </c>
      <c r="E81" s="30" t="n">
        <f aca="false">MIN(C81,D81)</f>
        <v>13905</v>
      </c>
      <c r="F81" s="8" t="n">
        <f aca="false">IF(D81&gt;0,1,0)</f>
        <v>1</v>
      </c>
    </row>
    <row r="82" customFormat="false" ht="15" hidden="false" customHeight="false" outlineLevel="0" collapsed="false">
      <c r="A82" s="8" t="s">
        <v>387</v>
      </c>
      <c r="B82" s="8" t="s">
        <v>55</v>
      </c>
      <c r="C82" s="30" t="n">
        <v>13905</v>
      </c>
      <c r="D82" s="30" t="n">
        <v>13905</v>
      </c>
      <c r="E82" s="30" t="n">
        <f aca="false">MIN(C82,D82)</f>
        <v>13905</v>
      </c>
      <c r="F82" s="8" t="n">
        <f aca="false">IF(D82&gt;0,1,0)</f>
        <v>1</v>
      </c>
    </row>
    <row r="83" customFormat="false" ht="15" hidden="false" customHeight="false" outlineLevel="0" collapsed="false">
      <c r="A83" s="8" t="s">
        <v>357</v>
      </c>
      <c r="B83" s="8" t="s">
        <v>55</v>
      </c>
      <c r="C83" s="30" t="n">
        <v>13800</v>
      </c>
      <c r="D83" s="30" t="n">
        <v>15025</v>
      </c>
      <c r="E83" s="30" t="n">
        <f aca="false">MIN(C83,D83)</f>
        <v>13800</v>
      </c>
      <c r="F83" s="8" t="n">
        <f aca="false">IF(D83&gt;0,1,0)</f>
        <v>1</v>
      </c>
    </row>
    <row r="84" customFormat="false" ht="15" hidden="false" customHeight="false" outlineLevel="0" collapsed="false">
      <c r="A84" s="8" t="s">
        <v>4412</v>
      </c>
      <c r="B84" s="8" t="s">
        <v>55</v>
      </c>
      <c r="C84" s="30" t="n">
        <v>13750</v>
      </c>
      <c r="D84" s="30" t="n">
        <v>0</v>
      </c>
      <c r="E84" s="30" t="n">
        <f aca="false">MIN(C84,D84)</f>
        <v>0</v>
      </c>
      <c r="F84" s="8" t="n">
        <f aca="false">IF(D84&gt;0,1,0)</f>
        <v>0</v>
      </c>
    </row>
    <row r="85" customFormat="false" ht="15" hidden="false" customHeight="false" outlineLevel="0" collapsed="false">
      <c r="A85" s="8" t="s">
        <v>391</v>
      </c>
      <c r="B85" s="8" t="s">
        <v>55</v>
      </c>
      <c r="C85" s="30" t="n">
        <v>13725</v>
      </c>
      <c r="D85" s="30" t="n">
        <v>13725</v>
      </c>
      <c r="E85" s="30" t="n">
        <f aca="false">MIN(C85,D85)</f>
        <v>13725</v>
      </c>
      <c r="F85" s="8" t="n">
        <f aca="false">IF(D85&gt;0,1,0)</f>
        <v>1</v>
      </c>
    </row>
    <row r="86" customFormat="false" ht="15" hidden="false" customHeight="false" outlineLevel="0" collapsed="false">
      <c r="A86" s="8" t="s">
        <v>401</v>
      </c>
      <c r="B86" s="8" t="s">
        <v>55</v>
      </c>
      <c r="C86" s="30" t="n">
        <v>13425</v>
      </c>
      <c r="D86" s="30" t="n">
        <v>13425</v>
      </c>
      <c r="E86" s="30" t="n">
        <f aca="false">MIN(C86,D86)</f>
        <v>13425</v>
      </c>
      <c r="F86" s="8" t="n">
        <f aca="false">IF(D86&gt;0,1,0)</f>
        <v>1</v>
      </c>
    </row>
    <row r="87" customFormat="false" ht="15" hidden="false" customHeight="false" outlineLevel="0" collapsed="false">
      <c r="A87" s="8" t="s">
        <v>479</v>
      </c>
      <c r="B87" s="8" t="s">
        <v>55</v>
      </c>
      <c r="C87" s="30" t="n">
        <v>13400</v>
      </c>
      <c r="D87" s="30" t="n">
        <v>11075</v>
      </c>
      <c r="E87" s="30" t="n">
        <f aca="false">MIN(C87,D87)</f>
        <v>11075</v>
      </c>
      <c r="F87" s="8" t="n">
        <f aca="false">IF(D87&gt;0,1,0)</f>
        <v>1</v>
      </c>
    </row>
    <row r="88" customFormat="false" ht="15" hidden="false" customHeight="false" outlineLevel="0" collapsed="false">
      <c r="A88" s="8" t="s">
        <v>403</v>
      </c>
      <c r="B88" s="8" t="s">
        <v>55</v>
      </c>
      <c r="C88" s="30" t="n">
        <v>13375</v>
      </c>
      <c r="D88" s="30" t="n">
        <v>13375</v>
      </c>
      <c r="E88" s="30" t="n">
        <f aca="false">MIN(C88,D88)</f>
        <v>13375</v>
      </c>
      <c r="F88" s="8" t="n">
        <f aca="false">IF(D88&gt;0,1,0)</f>
        <v>1</v>
      </c>
    </row>
    <row r="89" customFormat="false" ht="15" hidden="false" customHeight="false" outlineLevel="0" collapsed="false">
      <c r="A89" s="8" t="s">
        <v>4413</v>
      </c>
      <c r="B89" s="8" t="s">
        <v>55</v>
      </c>
      <c r="C89" s="30" t="n">
        <v>13230</v>
      </c>
      <c r="D89" s="30" t="n">
        <v>0</v>
      </c>
      <c r="E89" s="30" t="n">
        <f aca="false">MIN(C89,D89)</f>
        <v>0</v>
      </c>
      <c r="F89" s="8" t="n">
        <f aca="false">IF(D89&gt;0,1,0)</f>
        <v>0</v>
      </c>
    </row>
    <row r="90" customFormat="false" ht="15" hidden="false" customHeight="false" outlineLevel="0" collapsed="false">
      <c r="A90" s="8" t="s">
        <v>407</v>
      </c>
      <c r="B90" s="8" t="s">
        <v>55</v>
      </c>
      <c r="C90" s="30" t="n">
        <v>13225</v>
      </c>
      <c r="D90" s="30" t="n">
        <v>13225</v>
      </c>
      <c r="E90" s="30" t="n">
        <f aca="false">MIN(C90,D90)</f>
        <v>13225</v>
      </c>
      <c r="F90" s="8" t="n">
        <f aca="false">IF(D90&gt;0,1,0)</f>
        <v>1</v>
      </c>
    </row>
    <row r="91" customFormat="false" ht="15" hidden="false" customHeight="false" outlineLevel="0" collapsed="false">
      <c r="A91" s="8" t="s">
        <v>324</v>
      </c>
      <c r="B91" s="8" t="s">
        <v>55</v>
      </c>
      <c r="C91" s="30" t="n">
        <v>13225</v>
      </c>
      <c r="D91" s="30" t="n">
        <v>16725</v>
      </c>
      <c r="E91" s="30" t="n">
        <f aca="false">MIN(C91,D91)</f>
        <v>13225</v>
      </c>
      <c r="F91" s="8" t="n">
        <f aca="false">IF(D91&gt;0,1,0)</f>
        <v>1</v>
      </c>
    </row>
    <row r="92" customFormat="false" ht="15" hidden="false" customHeight="false" outlineLevel="0" collapsed="false">
      <c r="A92" s="8" t="s">
        <v>411</v>
      </c>
      <c r="B92" s="8" t="s">
        <v>55</v>
      </c>
      <c r="C92" s="30" t="n">
        <v>13185</v>
      </c>
      <c r="D92" s="30" t="n">
        <v>13185</v>
      </c>
      <c r="E92" s="30" t="n">
        <f aca="false">MIN(C92,D92)</f>
        <v>13185</v>
      </c>
      <c r="F92" s="8" t="n">
        <f aca="false">IF(D92&gt;0,1,0)</f>
        <v>1</v>
      </c>
    </row>
    <row r="93" customFormat="false" ht="15" hidden="false" customHeight="false" outlineLevel="0" collapsed="false">
      <c r="A93" s="8" t="s">
        <v>316</v>
      </c>
      <c r="B93" s="8" t="s">
        <v>55</v>
      </c>
      <c r="C93" s="30" t="n">
        <v>13050</v>
      </c>
      <c r="D93" s="30" t="n">
        <v>16920</v>
      </c>
      <c r="E93" s="30" t="n">
        <f aca="false">MIN(C93,D93)</f>
        <v>13050</v>
      </c>
      <c r="F93" s="8" t="n">
        <f aca="false">IF(D93&gt;0,1,0)</f>
        <v>1</v>
      </c>
    </row>
    <row r="94" customFormat="false" ht="15" hidden="false" customHeight="false" outlineLevel="0" collapsed="false">
      <c r="A94" s="8" t="s">
        <v>4414</v>
      </c>
      <c r="B94" s="8" t="s">
        <v>55</v>
      </c>
      <c r="C94" s="30" t="n">
        <v>12960</v>
      </c>
      <c r="D94" s="30" t="n">
        <v>0</v>
      </c>
      <c r="E94" s="30" t="n">
        <f aca="false">MIN(C94,D94)</f>
        <v>0</v>
      </c>
      <c r="F94" s="8" t="n">
        <f aca="false">IF(D94&gt;0,1,0)</f>
        <v>0</v>
      </c>
    </row>
    <row r="95" customFormat="false" ht="15" hidden="false" customHeight="false" outlineLevel="0" collapsed="false">
      <c r="A95" s="8" t="s">
        <v>419</v>
      </c>
      <c r="B95" s="8" t="s">
        <v>55</v>
      </c>
      <c r="C95" s="30" t="n">
        <v>12775</v>
      </c>
      <c r="D95" s="30" t="n">
        <v>12775</v>
      </c>
      <c r="E95" s="30" t="n">
        <f aca="false">MIN(C95,D95)</f>
        <v>12775</v>
      </c>
      <c r="F95" s="8" t="n">
        <f aca="false">IF(D95&gt;0,1,0)</f>
        <v>1</v>
      </c>
    </row>
    <row r="96" customFormat="false" ht="15" hidden="false" customHeight="false" outlineLevel="0" collapsed="false">
      <c r="A96" s="8" t="s">
        <v>421</v>
      </c>
      <c r="B96" s="8" t="s">
        <v>55</v>
      </c>
      <c r="C96" s="30" t="n">
        <v>12735</v>
      </c>
      <c r="D96" s="30" t="n">
        <v>12735</v>
      </c>
      <c r="E96" s="30" t="n">
        <f aca="false">MIN(C96,D96)</f>
        <v>12735</v>
      </c>
      <c r="F96" s="8" t="n">
        <f aca="false">IF(D96&gt;0,1,0)</f>
        <v>1</v>
      </c>
    </row>
    <row r="97" customFormat="false" ht="15" hidden="false" customHeight="false" outlineLevel="0" collapsed="false">
      <c r="A97" s="8" t="s">
        <v>423</v>
      </c>
      <c r="B97" s="8" t="s">
        <v>55</v>
      </c>
      <c r="C97" s="30" t="n">
        <v>12735</v>
      </c>
      <c r="D97" s="30" t="n">
        <v>12735</v>
      </c>
      <c r="E97" s="30" t="n">
        <f aca="false">MIN(C97,D97)</f>
        <v>12735</v>
      </c>
      <c r="F97" s="8" t="n">
        <f aca="false">IF(D97&gt;0,1,0)</f>
        <v>1</v>
      </c>
    </row>
    <row r="98" customFormat="false" ht="15" hidden="false" customHeight="false" outlineLevel="0" collapsed="false">
      <c r="A98" s="8" t="s">
        <v>425</v>
      </c>
      <c r="B98" s="8" t="s">
        <v>55</v>
      </c>
      <c r="C98" s="30" t="n">
        <v>12735</v>
      </c>
      <c r="D98" s="30" t="n">
        <v>12735</v>
      </c>
      <c r="E98" s="30" t="n">
        <f aca="false">MIN(C98,D98)</f>
        <v>12735</v>
      </c>
      <c r="F98" s="8" t="n">
        <f aca="false">IF(D98&gt;0,1,0)</f>
        <v>1</v>
      </c>
    </row>
    <row r="99" customFormat="false" ht="15" hidden="false" customHeight="false" outlineLevel="0" collapsed="false">
      <c r="A99" s="8" t="s">
        <v>485</v>
      </c>
      <c r="B99" s="8" t="s">
        <v>53</v>
      </c>
      <c r="C99" s="30" t="n">
        <v>12600</v>
      </c>
      <c r="D99" s="30" t="n">
        <v>10935</v>
      </c>
      <c r="E99" s="30" t="n">
        <f aca="false">MIN(C99,D99)</f>
        <v>10935</v>
      </c>
      <c r="F99" s="8" t="n">
        <f aca="false">IF(D99&gt;0,1,0)</f>
        <v>1</v>
      </c>
    </row>
    <row r="100" customFormat="false" ht="15" hidden="false" customHeight="false" outlineLevel="0" collapsed="false">
      <c r="A100" s="8" t="s">
        <v>427</v>
      </c>
      <c r="B100" s="8" t="s">
        <v>55</v>
      </c>
      <c r="C100" s="30" t="n">
        <v>12555</v>
      </c>
      <c r="D100" s="30" t="n">
        <v>12555</v>
      </c>
      <c r="E100" s="30" t="n">
        <f aca="false">MIN(C100,D100)</f>
        <v>12555</v>
      </c>
      <c r="F100" s="8" t="n">
        <f aca="false">IF(D100&gt;0,1,0)</f>
        <v>1</v>
      </c>
    </row>
    <row r="101" customFormat="false" ht="15" hidden="false" customHeight="false" outlineLevel="0" collapsed="false">
      <c r="A101" s="8" t="s">
        <v>431</v>
      </c>
      <c r="B101" s="8" t="s">
        <v>55</v>
      </c>
      <c r="C101" s="30" t="n">
        <v>12510</v>
      </c>
      <c r="D101" s="30" t="n">
        <v>12510</v>
      </c>
      <c r="E101" s="30" t="n">
        <f aca="false">MIN(C101,D101)</f>
        <v>12510</v>
      </c>
      <c r="F101" s="8" t="n">
        <f aca="false">IF(D101&gt;0,1,0)</f>
        <v>1</v>
      </c>
    </row>
    <row r="102" customFormat="false" ht="15" hidden="false" customHeight="false" outlineLevel="0" collapsed="false">
      <c r="A102" s="8" t="s">
        <v>339</v>
      </c>
      <c r="B102" s="8" t="s">
        <v>55</v>
      </c>
      <c r="C102" s="30" t="n">
        <v>12375</v>
      </c>
      <c r="D102" s="30" t="n">
        <v>15570</v>
      </c>
      <c r="E102" s="30" t="n">
        <f aca="false">MIN(C102,D102)</f>
        <v>12375</v>
      </c>
      <c r="F102" s="8" t="n">
        <f aca="false">IF(D102&gt;0,1,0)</f>
        <v>1</v>
      </c>
    </row>
    <row r="103" customFormat="false" ht="15" hidden="false" customHeight="false" outlineLevel="0" collapsed="false">
      <c r="A103" s="8" t="s">
        <v>437</v>
      </c>
      <c r="B103" s="8" t="s">
        <v>55</v>
      </c>
      <c r="C103" s="30" t="n">
        <v>12175</v>
      </c>
      <c r="D103" s="30" t="n">
        <v>12175</v>
      </c>
      <c r="E103" s="30" t="n">
        <f aca="false">MIN(C103,D103)</f>
        <v>12175</v>
      </c>
      <c r="F103" s="8" t="n">
        <f aca="false">IF(D103&gt;0,1,0)</f>
        <v>1</v>
      </c>
    </row>
    <row r="104" customFormat="false" ht="15" hidden="false" customHeight="false" outlineLevel="0" collapsed="false">
      <c r="A104" s="8" t="s">
        <v>439</v>
      </c>
      <c r="B104" s="8" t="s">
        <v>55</v>
      </c>
      <c r="C104" s="30" t="n">
        <v>12150</v>
      </c>
      <c r="D104" s="30" t="n">
        <v>12150</v>
      </c>
      <c r="E104" s="30" t="n">
        <f aca="false">MIN(C104,D104)</f>
        <v>12150</v>
      </c>
      <c r="F104" s="8" t="n">
        <f aca="false">IF(D104&gt;0,1,0)</f>
        <v>1</v>
      </c>
    </row>
    <row r="105" customFormat="false" ht="15" hidden="false" customHeight="false" outlineLevel="0" collapsed="false">
      <c r="A105" s="8" t="s">
        <v>531</v>
      </c>
      <c r="B105" s="8" t="s">
        <v>55</v>
      </c>
      <c r="C105" s="30" t="n">
        <v>12150</v>
      </c>
      <c r="D105" s="30" t="n">
        <v>9250</v>
      </c>
      <c r="E105" s="30" t="n">
        <f aca="false">MIN(C105,D105)</f>
        <v>9250</v>
      </c>
      <c r="F105" s="8" t="n">
        <f aca="false">IF(D105&gt;0,1,0)</f>
        <v>1</v>
      </c>
    </row>
    <row r="106" customFormat="false" ht="15" hidden="false" customHeight="false" outlineLevel="0" collapsed="false">
      <c r="A106" s="8" t="s">
        <v>443</v>
      </c>
      <c r="B106" s="8" t="s">
        <v>55</v>
      </c>
      <c r="C106" s="30" t="n">
        <v>12075</v>
      </c>
      <c r="D106" s="30" t="n">
        <v>12075</v>
      </c>
      <c r="E106" s="30" t="n">
        <f aca="false">MIN(C106,D106)</f>
        <v>12075</v>
      </c>
      <c r="F106" s="8" t="n">
        <f aca="false">IF(D106&gt;0,1,0)</f>
        <v>1</v>
      </c>
    </row>
    <row r="107" customFormat="false" ht="15" hidden="false" customHeight="false" outlineLevel="0" collapsed="false">
      <c r="A107" s="8" t="s">
        <v>445</v>
      </c>
      <c r="B107" s="8" t="s">
        <v>55</v>
      </c>
      <c r="C107" s="30" t="n">
        <v>11975</v>
      </c>
      <c r="D107" s="30" t="n">
        <v>11975</v>
      </c>
      <c r="E107" s="30" t="n">
        <f aca="false">MIN(C107,D107)</f>
        <v>11975</v>
      </c>
      <c r="F107" s="8" t="n">
        <f aca="false">IF(D107&gt;0,1,0)</f>
        <v>1</v>
      </c>
    </row>
    <row r="108" customFormat="false" ht="15" hidden="false" customHeight="false" outlineLevel="0" collapsed="false">
      <c r="A108" s="8" t="s">
        <v>447</v>
      </c>
      <c r="B108" s="8" t="s">
        <v>55</v>
      </c>
      <c r="C108" s="30" t="n">
        <v>11970</v>
      </c>
      <c r="D108" s="30" t="n">
        <v>11970</v>
      </c>
      <c r="E108" s="30" t="n">
        <f aca="false">MIN(C108,D108)</f>
        <v>11970</v>
      </c>
      <c r="F108" s="8" t="n">
        <f aca="false">IF(D108&gt;0,1,0)</f>
        <v>1</v>
      </c>
    </row>
    <row r="109" customFormat="false" ht="15" hidden="false" customHeight="false" outlineLevel="0" collapsed="false">
      <c r="A109" s="8" t="s">
        <v>451</v>
      </c>
      <c r="B109" s="8" t="s">
        <v>55</v>
      </c>
      <c r="C109" s="30" t="n">
        <v>11835</v>
      </c>
      <c r="D109" s="30" t="n">
        <v>11835</v>
      </c>
      <c r="E109" s="30" t="n">
        <f aca="false">MIN(C109,D109)</f>
        <v>11835</v>
      </c>
      <c r="F109" s="8" t="n">
        <f aca="false">IF(D109&gt;0,1,0)</f>
        <v>1</v>
      </c>
    </row>
    <row r="110" customFormat="false" ht="15" hidden="false" customHeight="false" outlineLevel="0" collapsed="false">
      <c r="A110" s="8" t="s">
        <v>453</v>
      </c>
      <c r="B110" s="8" t="s">
        <v>53</v>
      </c>
      <c r="C110" s="30" t="n">
        <v>11790</v>
      </c>
      <c r="D110" s="30" t="n">
        <v>11790</v>
      </c>
      <c r="E110" s="30" t="n">
        <f aca="false">MIN(C110,D110)</f>
        <v>11790</v>
      </c>
      <c r="F110" s="8" t="n">
        <f aca="false">IF(D110&gt;0,1,0)</f>
        <v>1</v>
      </c>
    </row>
    <row r="111" customFormat="false" ht="15" hidden="false" customHeight="false" outlineLevel="0" collapsed="false">
      <c r="A111" s="8" t="s">
        <v>455</v>
      </c>
      <c r="B111" s="8" t="s">
        <v>55</v>
      </c>
      <c r="C111" s="30" t="n">
        <v>11625</v>
      </c>
      <c r="D111" s="30" t="n">
        <v>11625</v>
      </c>
      <c r="E111" s="30" t="n">
        <f aca="false">MIN(C111,D111)</f>
        <v>11625</v>
      </c>
      <c r="F111" s="8" t="n">
        <f aca="false">IF(D111&gt;0,1,0)</f>
        <v>1</v>
      </c>
    </row>
    <row r="112" customFormat="false" ht="15" hidden="false" customHeight="false" outlineLevel="0" collapsed="false">
      <c r="A112" s="8" t="s">
        <v>459</v>
      </c>
      <c r="B112" s="8" t="s">
        <v>55</v>
      </c>
      <c r="C112" s="30" t="n">
        <v>11565</v>
      </c>
      <c r="D112" s="30" t="n">
        <v>11565</v>
      </c>
      <c r="E112" s="30" t="n">
        <f aca="false">MIN(C112,D112)</f>
        <v>11565</v>
      </c>
      <c r="F112" s="8" t="n">
        <f aca="false">IF(D112&gt;0,1,0)</f>
        <v>1</v>
      </c>
    </row>
    <row r="113" customFormat="false" ht="15" hidden="false" customHeight="false" outlineLevel="0" collapsed="false">
      <c r="A113" s="8" t="s">
        <v>461</v>
      </c>
      <c r="B113" s="8" t="s">
        <v>55</v>
      </c>
      <c r="C113" s="30" t="n">
        <v>11565</v>
      </c>
      <c r="D113" s="30" t="n">
        <v>11565</v>
      </c>
      <c r="E113" s="30" t="n">
        <f aca="false">MIN(C113,D113)</f>
        <v>11565</v>
      </c>
      <c r="F113" s="8" t="n">
        <f aca="false">IF(D113&gt;0,1,0)</f>
        <v>1</v>
      </c>
    </row>
    <row r="114" customFormat="false" ht="15" hidden="false" customHeight="false" outlineLevel="0" collapsed="false">
      <c r="A114" s="8" t="s">
        <v>469</v>
      </c>
      <c r="B114" s="8" t="s">
        <v>53</v>
      </c>
      <c r="C114" s="30" t="n">
        <v>11430</v>
      </c>
      <c r="D114" s="30" t="n">
        <v>11430</v>
      </c>
      <c r="E114" s="30" t="n">
        <f aca="false">MIN(C114,D114)</f>
        <v>11430</v>
      </c>
      <c r="F114" s="8" t="n">
        <f aca="false">IF(D114&gt;0,1,0)</f>
        <v>1</v>
      </c>
    </row>
    <row r="115" customFormat="false" ht="15" hidden="false" customHeight="false" outlineLevel="0" collapsed="false">
      <c r="A115" s="8" t="s">
        <v>521</v>
      </c>
      <c r="B115" s="8" t="s">
        <v>53</v>
      </c>
      <c r="C115" s="30" t="n">
        <v>11295</v>
      </c>
      <c r="D115" s="30" t="n">
        <v>9585</v>
      </c>
      <c r="E115" s="30" t="n">
        <f aca="false">MIN(C115,D115)</f>
        <v>9585</v>
      </c>
      <c r="F115" s="8" t="n">
        <f aca="false">IF(D115&gt;0,1,0)</f>
        <v>1</v>
      </c>
    </row>
    <row r="116" customFormat="false" ht="15" hidden="false" customHeight="false" outlineLevel="0" collapsed="false">
      <c r="A116" s="8" t="s">
        <v>4415</v>
      </c>
      <c r="B116" s="8" t="s">
        <v>55</v>
      </c>
      <c r="C116" s="30" t="n">
        <v>11250</v>
      </c>
      <c r="D116" s="30" t="n">
        <v>0</v>
      </c>
      <c r="E116" s="30" t="n">
        <f aca="false">MIN(C116,D116)</f>
        <v>0</v>
      </c>
      <c r="F116" s="8" t="n">
        <f aca="false">IF(D116&gt;0,1,0)</f>
        <v>0</v>
      </c>
    </row>
    <row r="117" customFormat="false" ht="15" hidden="false" customHeight="false" outlineLevel="0" collapsed="false">
      <c r="A117" s="8" t="s">
        <v>367</v>
      </c>
      <c r="B117" s="8" t="s">
        <v>55</v>
      </c>
      <c r="C117" s="30" t="n">
        <v>11250</v>
      </c>
      <c r="D117" s="30" t="n">
        <v>14450</v>
      </c>
      <c r="E117" s="30" t="n">
        <f aca="false">MIN(C117,D117)</f>
        <v>11250</v>
      </c>
      <c r="F117" s="8" t="n">
        <f aca="false">IF(D117&gt;0,1,0)</f>
        <v>1</v>
      </c>
    </row>
    <row r="118" customFormat="false" ht="15" hidden="false" customHeight="false" outlineLevel="0" collapsed="false">
      <c r="A118" s="8" t="s">
        <v>477</v>
      </c>
      <c r="B118" s="8" t="s">
        <v>55</v>
      </c>
      <c r="C118" s="30" t="n">
        <v>11115</v>
      </c>
      <c r="D118" s="30" t="n">
        <v>11115</v>
      </c>
      <c r="E118" s="30" t="n">
        <f aca="false">MIN(C118,D118)</f>
        <v>11115</v>
      </c>
      <c r="F118" s="8" t="n">
        <f aca="false">IF(D118&gt;0,1,0)</f>
        <v>1</v>
      </c>
    </row>
    <row r="119" customFormat="false" ht="15" hidden="false" customHeight="false" outlineLevel="0" collapsed="false">
      <c r="A119" s="8" t="s">
        <v>483</v>
      </c>
      <c r="B119" s="8" t="s">
        <v>55</v>
      </c>
      <c r="C119" s="30" t="n">
        <v>10975</v>
      </c>
      <c r="D119" s="30" t="n">
        <v>10975</v>
      </c>
      <c r="E119" s="30" t="n">
        <f aca="false">MIN(C119,D119)</f>
        <v>10975</v>
      </c>
      <c r="F119" s="8" t="n">
        <f aca="false">IF(D119&gt;0,1,0)</f>
        <v>1</v>
      </c>
    </row>
    <row r="120" customFormat="false" ht="15" hidden="false" customHeight="false" outlineLevel="0" collapsed="false">
      <c r="A120" s="8" t="s">
        <v>4416</v>
      </c>
      <c r="B120" s="8" t="s">
        <v>55</v>
      </c>
      <c r="C120" s="30" t="n">
        <v>10935</v>
      </c>
      <c r="D120" s="30" t="n">
        <v>0</v>
      </c>
      <c r="E120" s="30" t="n">
        <f aca="false">MIN(C120,D120)</f>
        <v>0</v>
      </c>
      <c r="F120" s="8" t="n">
        <f aca="false">IF(D120&gt;0,1,0)</f>
        <v>0</v>
      </c>
    </row>
    <row r="121" customFormat="false" ht="15" hidden="false" customHeight="false" outlineLevel="0" collapsed="false">
      <c r="A121" s="8" t="s">
        <v>375</v>
      </c>
      <c r="B121" s="8" t="s">
        <v>55</v>
      </c>
      <c r="C121" s="30" t="n">
        <v>10600</v>
      </c>
      <c r="D121" s="30" t="n">
        <v>14175</v>
      </c>
      <c r="E121" s="30" t="n">
        <f aca="false">MIN(C121,D121)</f>
        <v>10600</v>
      </c>
      <c r="F121" s="8" t="n">
        <f aca="false">IF(D121&gt;0,1,0)</f>
        <v>1</v>
      </c>
    </row>
    <row r="122" customFormat="false" ht="15" hidden="false" customHeight="false" outlineLevel="0" collapsed="false">
      <c r="A122" s="8" t="s">
        <v>4417</v>
      </c>
      <c r="B122" s="8" t="s">
        <v>53</v>
      </c>
      <c r="C122" s="30" t="n">
        <v>10530</v>
      </c>
      <c r="D122" s="30" t="n">
        <v>0</v>
      </c>
      <c r="E122" s="30" t="n">
        <f aca="false">MIN(C122,D122)</f>
        <v>0</v>
      </c>
      <c r="F122" s="8" t="n">
        <f aca="false">IF(D122&gt;0,1,0)</f>
        <v>0</v>
      </c>
    </row>
    <row r="123" customFormat="false" ht="15" hidden="false" customHeight="false" outlineLevel="0" collapsed="false">
      <c r="A123" s="8" t="s">
        <v>499</v>
      </c>
      <c r="B123" s="8" t="s">
        <v>55</v>
      </c>
      <c r="C123" s="30" t="n">
        <v>10260</v>
      </c>
      <c r="D123" s="30" t="n">
        <v>10260</v>
      </c>
      <c r="E123" s="30" t="n">
        <f aca="false">MIN(C123,D123)</f>
        <v>10260</v>
      </c>
      <c r="F123" s="8" t="n">
        <f aca="false">IF(D123&gt;0,1,0)</f>
        <v>1</v>
      </c>
    </row>
    <row r="124" customFormat="false" ht="15" hidden="false" customHeight="false" outlineLevel="0" collapsed="false">
      <c r="A124" s="8" t="s">
        <v>4418</v>
      </c>
      <c r="B124" s="8" t="s">
        <v>55</v>
      </c>
      <c r="C124" s="30" t="n">
        <v>10150</v>
      </c>
      <c r="D124" s="30" t="n">
        <v>0</v>
      </c>
      <c r="E124" s="30" t="n">
        <f aca="false">MIN(C124,D124)</f>
        <v>0</v>
      </c>
      <c r="F124" s="8" t="n">
        <f aca="false">IF(D124&gt;0,1,0)</f>
        <v>0</v>
      </c>
    </row>
    <row r="125" customFormat="false" ht="15" hidden="false" customHeight="false" outlineLevel="0" collapsed="false">
      <c r="A125" s="8" t="s">
        <v>505</v>
      </c>
      <c r="B125" s="8" t="s">
        <v>55</v>
      </c>
      <c r="C125" s="30" t="n">
        <v>10125</v>
      </c>
      <c r="D125" s="30" t="n">
        <v>10125</v>
      </c>
      <c r="E125" s="30" t="n">
        <f aca="false">MIN(C125,D125)</f>
        <v>10125</v>
      </c>
      <c r="F125" s="8" t="n">
        <f aca="false">IF(D125&gt;0,1,0)</f>
        <v>1</v>
      </c>
    </row>
    <row r="126" customFormat="false" ht="15" hidden="false" customHeight="false" outlineLevel="0" collapsed="false">
      <c r="A126" s="8" t="s">
        <v>513</v>
      </c>
      <c r="B126" s="8" t="s">
        <v>55</v>
      </c>
      <c r="C126" s="30" t="n">
        <v>9900</v>
      </c>
      <c r="D126" s="30" t="n">
        <v>9900</v>
      </c>
      <c r="E126" s="30" t="n">
        <f aca="false">MIN(C126,D126)</f>
        <v>9900</v>
      </c>
      <c r="F126" s="8" t="n">
        <f aca="false">IF(D126&gt;0,1,0)</f>
        <v>1</v>
      </c>
    </row>
    <row r="127" customFormat="false" ht="15" hidden="false" customHeight="false" outlineLevel="0" collapsed="false">
      <c r="A127" s="8" t="s">
        <v>465</v>
      </c>
      <c r="B127" s="8" t="s">
        <v>55</v>
      </c>
      <c r="C127" s="30" t="n">
        <v>9765</v>
      </c>
      <c r="D127" s="30" t="n">
        <v>11475</v>
      </c>
      <c r="E127" s="30" t="n">
        <f aca="false">MIN(C127,D127)</f>
        <v>9765</v>
      </c>
      <c r="F127" s="8" t="n">
        <f aca="false">IF(D127&gt;0,1,0)</f>
        <v>1</v>
      </c>
    </row>
    <row r="128" customFormat="false" ht="15" hidden="false" customHeight="false" outlineLevel="0" collapsed="false">
      <c r="A128" s="8" t="s">
        <v>515</v>
      </c>
      <c r="B128" s="8" t="s">
        <v>55</v>
      </c>
      <c r="C128" s="30" t="n">
        <v>9700</v>
      </c>
      <c r="D128" s="30" t="n">
        <v>9700</v>
      </c>
      <c r="E128" s="30" t="n">
        <f aca="false">MIN(C128,D128)</f>
        <v>9700</v>
      </c>
      <c r="F128" s="8" t="n">
        <f aca="false">IF(D128&gt;0,1,0)</f>
        <v>1</v>
      </c>
    </row>
    <row r="129" customFormat="false" ht="15" hidden="false" customHeight="false" outlineLevel="0" collapsed="false">
      <c r="A129" s="8" t="s">
        <v>519</v>
      </c>
      <c r="B129" s="8" t="s">
        <v>55</v>
      </c>
      <c r="C129" s="30" t="n">
        <v>9630</v>
      </c>
      <c r="D129" s="30" t="n">
        <v>9630</v>
      </c>
      <c r="E129" s="30" t="n">
        <f aca="false">MIN(C129,D129)</f>
        <v>9630</v>
      </c>
      <c r="F129" s="8" t="n">
        <f aca="false">IF(D129&gt;0,1,0)</f>
        <v>1</v>
      </c>
    </row>
    <row r="130" customFormat="false" ht="15" hidden="false" customHeight="false" outlineLevel="0" collapsed="false">
      <c r="A130" s="8" t="s">
        <v>569</v>
      </c>
      <c r="B130" s="8" t="s">
        <v>55</v>
      </c>
      <c r="C130" s="30" t="n">
        <v>9540</v>
      </c>
      <c r="D130" s="30" t="n">
        <v>8280</v>
      </c>
      <c r="E130" s="30" t="n">
        <f aca="false">MIN(C130,D130)</f>
        <v>8280</v>
      </c>
      <c r="F130" s="8" t="n">
        <f aca="false">IF(D130&gt;0,1,0)</f>
        <v>1</v>
      </c>
    </row>
    <row r="131" customFormat="false" ht="15" hidden="false" customHeight="false" outlineLevel="0" collapsed="false">
      <c r="A131" s="8" t="s">
        <v>527</v>
      </c>
      <c r="B131" s="8" t="s">
        <v>55</v>
      </c>
      <c r="C131" s="30" t="n">
        <v>9425</v>
      </c>
      <c r="D131" s="30" t="n">
        <v>9425</v>
      </c>
      <c r="E131" s="30" t="n">
        <f aca="false">MIN(C131,D131)</f>
        <v>9425</v>
      </c>
      <c r="F131" s="8" t="n">
        <f aca="false">IF(D131&gt;0,1,0)</f>
        <v>1</v>
      </c>
    </row>
    <row r="132" customFormat="false" ht="15" hidden="false" customHeight="false" outlineLevel="0" collapsed="false">
      <c r="A132" s="8" t="s">
        <v>533</v>
      </c>
      <c r="B132" s="8" t="s">
        <v>55</v>
      </c>
      <c r="C132" s="30" t="n">
        <v>9225</v>
      </c>
      <c r="D132" s="30" t="n">
        <v>9225</v>
      </c>
      <c r="E132" s="30" t="n">
        <f aca="false">MIN(C132,D132)</f>
        <v>9225</v>
      </c>
      <c r="F132" s="8" t="n">
        <f aca="false">IF(D132&gt;0,1,0)</f>
        <v>1</v>
      </c>
    </row>
    <row r="133" customFormat="false" ht="15" hidden="false" customHeight="false" outlineLevel="0" collapsed="false">
      <c r="A133" s="8" t="s">
        <v>535</v>
      </c>
      <c r="B133" s="8" t="s">
        <v>55</v>
      </c>
      <c r="C133" s="30" t="n">
        <v>9200</v>
      </c>
      <c r="D133" s="30" t="n">
        <v>9200</v>
      </c>
      <c r="E133" s="30" t="n">
        <f aca="false">MIN(C133,D133)</f>
        <v>9200</v>
      </c>
      <c r="F133" s="8" t="n">
        <f aca="false">IF(D133&gt;0,1,0)</f>
        <v>1</v>
      </c>
    </row>
    <row r="134" customFormat="false" ht="15" hidden="false" customHeight="false" outlineLevel="0" collapsed="false">
      <c r="A134" s="8" t="s">
        <v>433</v>
      </c>
      <c r="B134" s="8" t="s">
        <v>55</v>
      </c>
      <c r="C134" s="30" t="n">
        <v>9175</v>
      </c>
      <c r="D134" s="30" t="n">
        <v>12375</v>
      </c>
      <c r="E134" s="30" t="n">
        <f aca="false">MIN(C134,D134)</f>
        <v>9175</v>
      </c>
      <c r="F134" s="8" t="n">
        <f aca="false">IF(D134&gt;0,1,0)</f>
        <v>1</v>
      </c>
    </row>
    <row r="135" customFormat="false" ht="15" hidden="false" customHeight="false" outlineLevel="0" collapsed="false">
      <c r="A135" s="8" t="s">
        <v>537</v>
      </c>
      <c r="B135" s="8" t="s">
        <v>55</v>
      </c>
      <c r="C135" s="30" t="n">
        <v>9075</v>
      </c>
      <c r="D135" s="30" t="n">
        <v>9075</v>
      </c>
      <c r="E135" s="30" t="n">
        <f aca="false">MIN(C135,D135)</f>
        <v>9075</v>
      </c>
      <c r="F135" s="8" t="n">
        <f aca="false">IF(D135&gt;0,1,0)</f>
        <v>1</v>
      </c>
    </row>
    <row r="136" customFormat="false" ht="15" hidden="false" customHeight="false" outlineLevel="0" collapsed="false">
      <c r="A136" s="8" t="s">
        <v>575</v>
      </c>
      <c r="B136" s="8" t="s">
        <v>55</v>
      </c>
      <c r="C136" s="30" t="n">
        <v>9050</v>
      </c>
      <c r="D136" s="30" t="n">
        <v>8050</v>
      </c>
      <c r="E136" s="30" t="n">
        <f aca="false">MIN(C136,D136)</f>
        <v>8050</v>
      </c>
      <c r="F136" s="8" t="n">
        <f aca="false">IF(D136&gt;0,1,0)</f>
        <v>1</v>
      </c>
    </row>
    <row r="137" customFormat="false" ht="15" hidden="false" customHeight="false" outlineLevel="0" collapsed="false">
      <c r="A137" s="8" t="s">
        <v>541</v>
      </c>
      <c r="B137" s="8" t="s">
        <v>55</v>
      </c>
      <c r="C137" s="30" t="n">
        <v>9000</v>
      </c>
      <c r="D137" s="30" t="n">
        <v>9000</v>
      </c>
      <c r="E137" s="30" t="n">
        <f aca="false">MIN(C137,D137)</f>
        <v>9000</v>
      </c>
      <c r="F137" s="8" t="n">
        <f aca="false">IF(D137&gt;0,1,0)</f>
        <v>1</v>
      </c>
    </row>
    <row r="138" customFormat="false" ht="15" hidden="false" customHeight="false" outlineLevel="0" collapsed="false">
      <c r="A138" s="8" t="s">
        <v>543</v>
      </c>
      <c r="B138" s="8" t="s">
        <v>55</v>
      </c>
      <c r="C138" s="30" t="n">
        <v>8950</v>
      </c>
      <c r="D138" s="30" t="n">
        <v>8950</v>
      </c>
      <c r="E138" s="30" t="n">
        <f aca="false">MIN(C138,D138)</f>
        <v>8950</v>
      </c>
      <c r="F138" s="8" t="n">
        <f aca="false">IF(D138&gt;0,1,0)</f>
        <v>1</v>
      </c>
    </row>
    <row r="139" customFormat="false" ht="15" hidden="false" customHeight="false" outlineLevel="0" collapsed="false">
      <c r="A139" s="8" t="s">
        <v>429</v>
      </c>
      <c r="B139" s="8" t="s">
        <v>55</v>
      </c>
      <c r="C139" s="30" t="n">
        <v>8865</v>
      </c>
      <c r="D139" s="30" t="n">
        <v>12510</v>
      </c>
      <c r="E139" s="30" t="n">
        <f aca="false">MIN(C139,D139)</f>
        <v>8865</v>
      </c>
      <c r="F139" s="8" t="n">
        <f aca="false">IF(D139&gt;0,1,0)</f>
        <v>1</v>
      </c>
    </row>
    <row r="140" customFormat="false" ht="15" hidden="false" customHeight="false" outlineLevel="0" collapsed="false">
      <c r="A140" s="8" t="s">
        <v>547</v>
      </c>
      <c r="B140" s="8" t="s">
        <v>53</v>
      </c>
      <c r="C140" s="30" t="n">
        <v>8820</v>
      </c>
      <c r="D140" s="30" t="n">
        <v>8820</v>
      </c>
      <c r="E140" s="30" t="n">
        <f aca="false">MIN(C140,D140)</f>
        <v>8820</v>
      </c>
      <c r="F140" s="8" t="n">
        <f aca="false">IF(D140&gt;0,1,0)</f>
        <v>1</v>
      </c>
    </row>
    <row r="141" customFormat="false" ht="15" hidden="false" customHeight="false" outlineLevel="0" collapsed="false">
      <c r="A141" s="8" t="s">
        <v>549</v>
      </c>
      <c r="B141" s="8" t="s">
        <v>53</v>
      </c>
      <c r="C141" s="30" t="n">
        <v>8775</v>
      </c>
      <c r="D141" s="30" t="n">
        <v>8775</v>
      </c>
      <c r="E141" s="30" t="n">
        <f aca="false">MIN(C141,D141)</f>
        <v>8775</v>
      </c>
      <c r="F141" s="8" t="n">
        <f aca="false">IF(D141&gt;0,1,0)</f>
        <v>1</v>
      </c>
    </row>
    <row r="142" customFormat="false" ht="15" hidden="false" customHeight="false" outlineLevel="0" collapsed="false">
      <c r="A142" s="8" t="s">
        <v>487</v>
      </c>
      <c r="B142" s="8" t="s">
        <v>55</v>
      </c>
      <c r="C142" s="30" t="n">
        <v>8775</v>
      </c>
      <c r="D142" s="30" t="n">
        <v>10890</v>
      </c>
      <c r="E142" s="30" t="n">
        <f aca="false">MIN(C142,D142)</f>
        <v>8775</v>
      </c>
      <c r="F142" s="8" t="n">
        <f aca="false">IF(D142&gt;0,1,0)</f>
        <v>1</v>
      </c>
    </row>
    <row r="143" customFormat="false" ht="15" hidden="false" customHeight="false" outlineLevel="0" collapsed="false">
      <c r="A143" s="8" t="s">
        <v>463</v>
      </c>
      <c r="B143" s="8" t="s">
        <v>53</v>
      </c>
      <c r="C143" s="30" t="n">
        <v>8730</v>
      </c>
      <c r="D143" s="30" t="n">
        <v>11475</v>
      </c>
      <c r="E143" s="30" t="n">
        <f aca="false">MIN(C143,D143)</f>
        <v>8730</v>
      </c>
      <c r="F143" s="8" t="n">
        <f aca="false">IF(D143&gt;0,1,0)</f>
        <v>1</v>
      </c>
    </row>
    <row r="144" customFormat="false" ht="15" hidden="false" customHeight="false" outlineLevel="0" collapsed="false">
      <c r="A144" s="8" t="s">
        <v>525</v>
      </c>
      <c r="B144" s="8" t="s">
        <v>53</v>
      </c>
      <c r="C144" s="30" t="n">
        <v>8685</v>
      </c>
      <c r="D144" s="30" t="n">
        <v>9450</v>
      </c>
      <c r="E144" s="30" t="n">
        <f aca="false">MIN(C144,D144)</f>
        <v>8685</v>
      </c>
      <c r="F144" s="8" t="n">
        <f aca="false">IF(D144&gt;0,1,0)</f>
        <v>1</v>
      </c>
    </row>
    <row r="145" customFormat="false" ht="15" hidden="false" customHeight="false" outlineLevel="0" collapsed="false">
      <c r="A145" s="8" t="s">
        <v>555</v>
      </c>
      <c r="B145" s="8" t="s">
        <v>55</v>
      </c>
      <c r="C145" s="30" t="n">
        <v>8640</v>
      </c>
      <c r="D145" s="30" t="n">
        <v>8640</v>
      </c>
      <c r="E145" s="30" t="n">
        <f aca="false">MIN(C145,D145)</f>
        <v>8640</v>
      </c>
      <c r="F145" s="8" t="n">
        <f aca="false">IF(D145&gt;0,1,0)</f>
        <v>1</v>
      </c>
    </row>
    <row r="146" customFormat="false" ht="15" hidden="false" customHeight="false" outlineLevel="0" collapsed="false">
      <c r="A146" s="8" t="s">
        <v>557</v>
      </c>
      <c r="B146" s="8" t="s">
        <v>53</v>
      </c>
      <c r="C146" s="30" t="n">
        <v>8640</v>
      </c>
      <c r="D146" s="30" t="n">
        <v>8640</v>
      </c>
      <c r="E146" s="30" t="n">
        <f aca="false">MIN(C146,D146)</f>
        <v>8640</v>
      </c>
      <c r="F146" s="8" t="n">
        <f aca="false">IF(D146&gt;0,1,0)</f>
        <v>1</v>
      </c>
    </row>
    <row r="147" customFormat="false" ht="15" hidden="false" customHeight="false" outlineLevel="0" collapsed="false">
      <c r="A147" s="8" t="s">
        <v>561</v>
      </c>
      <c r="B147" s="8" t="s">
        <v>53</v>
      </c>
      <c r="C147" s="30" t="n">
        <v>8550</v>
      </c>
      <c r="D147" s="30" t="n">
        <v>8550</v>
      </c>
      <c r="E147" s="30" t="n">
        <f aca="false">MIN(C147,D147)</f>
        <v>8550</v>
      </c>
      <c r="F147" s="8" t="n">
        <f aca="false">IF(D147&gt;0,1,0)</f>
        <v>1</v>
      </c>
    </row>
    <row r="148" customFormat="false" ht="15" hidden="false" customHeight="false" outlineLevel="0" collapsed="false">
      <c r="A148" s="8" t="s">
        <v>629</v>
      </c>
      <c r="B148" s="8" t="s">
        <v>53</v>
      </c>
      <c r="C148" s="30" t="n">
        <v>8415</v>
      </c>
      <c r="D148" s="30" t="n">
        <v>7290</v>
      </c>
      <c r="E148" s="30" t="n">
        <f aca="false">MIN(C148,D148)</f>
        <v>7290</v>
      </c>
      <c r="F148" s="8" t="n">
        <f aca="false">IF(D148&gt;0,1,0)</f>
        <v>1</v>
      </c>
    </row>
    <row r="149" customFormat="false" ht="15" hidden="false" customHeight="false" outlineLevel="0" collapsed="false">
      <c r="A149" s="8" t="s">
        <v>565</v>
      </c>
      <c r="B149" s="8" t="s">
        <v>55</v>
      </c>
      <c r="C149" s="30" t="n">
        <v>8415</v>
      </c>
      <c r="D149" s="30" t="n">
        <v>8415</v>
      </c>
      <c r="E149" s="30" t="n">
        <f aca="false">MIN(C149,D149)</f>
        <v>8415</v>
      </c>
      <c r="F149" s="8" t="n">
        <f aca="false">IF(D149&gt;0,1,0)</f>
        <v>1</v>
      </c>
    </row>
    <row r="150" customFormat="false" ht="15" hidden="false" customHeight="false" outlineLevel="0" collapsed="false">
      <c r="A150" s="8" t="s">
        <v>4419</v>
      </c>
      <c r="B150" s="8" t="s">
        <v>53</v>
      </c>
      <c r="C150" s="30" t="n">
        <v>8415</v>
      </c>
      <c r="D150" s="30" t="n">
        <v>0</v>
      </c>
      <c r="E150" s="30" t="n">
        <f aca="false">MIN(C150,D150)</f>
        <v>0</v>
      </c>
      <c r="F150" s="8" t="n">
        <f aca="false">IF(D150&gt;0,1,0)</f>
        <v>0</v>
      </c>
    </row>
    <row r="151" customFormat="false" ht="15" hidden="false" customHeight="false" outlineLevel="0" collapsed="false">
      <c r="A151" s="8" t="s">
        <v>607</v>
      </c>
      <c r="B151" s="8" t="s">
        <v>55</v>
      </c>
      <c r="C151" s="30" t="n">
        <v>8400</v>
      </c>
      <c r="D151" s="30" t="n">
        <v>7600</v>
      </c>
      <c r="E151" s="30" t="n">
        <f aca="false">MIN(C151,D151)</f>
        <v>7600</v>
      </c>
      <c r="F151" s="8" t="n">
        <f aca="false">IF(D151&gt;0,1,0)</f>
        <v>1</v>
      </c>
    </row>
    <row r="152" customFormat="false" ht="15" hidden="false" customHeight="false" outlineLevel="0" collapsed="false">
      <c r="A152" s="8" t="s">
        <v>503</v>
      </c>
      <c r="B152" s="8" t="s">
        <v>53</v>
      </c>
      <c r="C152" s="30" t="n">
        <v>8370</v>
      </c>
      <c r="D152" s="30" t="n">
        <v>10170</v>
      </c>
      <c r="E152" s="30" t="n">
        <f aca="false">MIN(C152,D152)</f>
        <v>8370</v>
      </c>
      <c r="F152" s="8" t="n">
        <f aca="false">IF(D152&gt;0,1,0)</f>
        <v>1</v>
      </c>
    </row>
    <row r="153" customFormat="false" ht="15" hidden="false" customHeight="false" outlineLevel="0" collapsed="false">
      <c r="A153" s="8" t="s">
        <v>4420</v>
      </c>
      <c r="B153" s="8" t="s">
        <v>53</v>
      </c>
      <c r="C153" s="30" t="n">
        <v>8325</v>
      </c>
      <c r="D153" s="30" t="n">
        <v>0</v>
      </c>
      <c r="E153" s="30" t="n">
        <f aca="false">MIN(C153,D153)</f>
        <v>0</v>
      </c>
      <c r="F153" s="8" t="n">
        <f aca="false">IF(D153&gt;0,1,0)</f>
        <v>0</v>
      </c>
    </row>
    <row r="154" customFormat="false" ht="15" hidden="false" customHeight="false" outlineLevel="0" collapsed="false">
      <c r="A154" s="8" t="s">
        <v>529</v>
      </c>
      <c r="B154" s="8" t="s">
        <v>53</v>
      </c>
      <c r="C154" s="30" t="n">
        <v>8280</v>
      </c>
      <c r="D154" s="30" t="n">
        <v>9315</v>
      </c>
      <c r="E154" s="30" t="n">
        <f aca="false">MIN(C154,D154)</f>
        <v>8280</v>
      </c>
      <c r="F154" s="8" t="n">
        <f aca="false">IF(D154&gt;0,1,0)</f>
        <v>1</v>
      </c>
    </row>
    <row r="155" customFormat="false" ht="15" hidden="false" customHeight="false" outlineLevel="0" collapsed="false">
      <c r="A155" s="8" t="s">
        <v>683</v>
      </c>
      <c r="B155" s="8" t="s">
        <v>55</v>
      </c>
      <c r="C155" s="30" t="n">
        <v>8280</v>
      </c>
      <c r="D155" s="30" t="n">
        <v>6390</v>
      </c>
      <c r="E155" s="30" t="n">
        <f aca="false">MIN(C155,D155)</f>
        <v>6390</v>
      </c>
      <c r="F155" s="8" t="n">
        <f aca="false">IF(D155&gt;0,1,0)</f>
        <v>1</v>
      </c>
    </row>
    <row r="156" customFormat="false" ht="15" hidden="false" customHeight="false" outlineLevel="0" collapsed="false">
      <c r="A156" s="8" t="s">
        <v>4421</v>
      </c>
      <c r="B156" s="8" t="s">
        <v>53</v>
      </c>
      <c r="C156" s="30" t="n">
        <v>8190</v>
      </c>
      <c r="D156" s="30" t="n">
        <v>0</v>
      </c>
      <c r="E156" s="30" t="n">
        <f aca="false">MIN(C156,D156)</f>
        <v>0</v>
      </c>
      <c r="F156" s="8" t="n">
        <f aca="false">IF(D156&gt;0,1,0)</f>
        <v>0</v>
      </c>
    </row>
    <row r="157" customFormat="false" ht="15" hidden="false" customHeight="false" outlineLevel="0" collapsed="false">
      <c r="A157" s="8" t="s">
        <v>4422</v>
      </c>
      <c r="B157" s="8" t="s">
        <v>53</v>
      </c>
      <c r="C157" s="30" t="n">
        <v>8100</v>
      </c>
      <c r="D157" s="30" t="n">
        <v>0</v>
      </c>
      <c r="E157" s="30" t="n">
        <f aca="false">MIN(C157,D157)</f>
        <v>0</v>
      </c>
      <c r="F157" s="8" t="n">
        <f aca="false">IF(D157&gt;0,1,0)</f>
        <v>0</v>
      </c>
    </row>
    <row r="158" customFormat="false" ht="15" hidden="false" customHeight="false" outlineLevel="0" collapsed="false">
      <c r="A158" s="8" t="s">
        <v>507</v>
      </c>
      <c r="B158" s="8" t="s">
        <v>55</v>
      </c>
      <c r="C158" s="30" t="n">
        <v>8075</v>
      </c>
      <c r="D158" s="30" t="n">
        <v>9925</v>
      </c>
      <c r="E158" s="30" t="n">
        <f aca="false">MIN(C158,D158)</f>
        <v>8075</v>
      </c>
      <c r="F158" s="8" t="n">
        <f aca="false">IF(D158&gt;0,1,0)</f>
        <v>1</v>
      </c>
    </row>
    <row r="159" customFormat="false" ht="15" hidden="false" customHeight="false" outlineLevel="0" collapsed="false">
      <c r="A159" s="8" t="s">
        <v>501</v>
      </c>
      <c r="B159" s="8" t="s">
        <v>53</v>
      </c>
      <c r="C159" s="30" t="n">
        <v>8010</v>
      </c>
      <c r="D159" s="30" t="n">
        <v>10215</v>
      </c>
      <c r="E159" s="30" t="n">
        <f aca="false">MIN(C159,D159)</f>
        <v>8010</v>
      </c>
      <c r="F159" s="8" t="n">
        <f aca="false">IF(D159&gt;0,1,0)</f>
        <v>1</v>
      </c>
    </row>
    <row r="160" customFormat="false" ht="15" hidden="false" customHeight="false" outlineLevel="0" collapsed="false">
      <c r="A160" s="8" t="s">
        <v>579</v>
      </c>
      <c r="B160" s="8" t="s">
        <v>55</v>
      </c>
      <c r="C160" s="30" t="n">
        <v>7975</v>
      </c>
      <c r="D160" s="30" t="n">
        <v>7975</v>
      </c>
      <c r="E160" s="30" t="n">
        <f aca="false">MIN(C160,D160)</f>
        <v>7975</v>
      </c>
      <c r="F160" s="8" t="n">
        <f aca="false">IF(D160&gt;0,1,0)</f>
        <v>1</v>
      </c>
    </row>
    <row r="161" customFormat="false" ht="15" hidden="false" customHeight="false" outlineLevel="0" collapsed="false">
      <c r="A161" s="8" t="s">
        <v>581</v>
      </c>
      <c r="B161" s="8" t="s">
        <v>55</v>
      </c>
      <c r="C161" s="30" t="n">
        <v>7965</v>
      </c>
      <c r="D161" s="30" t="n">
        <v>7965</v>
      </c>
      <c r="E161" s="30" t="n">
        <f aca="false">MIN(C161,D161)</f>
        <v>7965</v>
      </c>
      <c r="F161" s="8" t="n">
        <f aca="false">IF(D161&gt;0,1,0)</f>
        <v>1</v>
      </c>
    </row>
    <row r="162" customFormat="false" ht="15" hidden="false" customHeight="false" outlineLevel="0" collapsed="false">
      <c r="A162" s="8" t="s">
        <v>583</v>
      </c>
      <c r="B162" s="8" t="s">
        <v>53</v>
      </c>
      <c r="C162" s="30" t="n">
        <v>7920</v>
      </c>
      <c r="D162" s="30" t="n">
        <v>7920</v>
      </c>
      <c r="E162" s="30" t="n">
        <f aca="false">MIN(C162,D162)</f>
        <v>7920</v>
      </c>
      <c r="F162" s="8" t="n">
        <f aca="false">IF(D162&gt;0,1,0)</f>
        <v>1</v>
      </c>
    </row>
    <row r="163" customFormat="false" ht="15" hidden="false" customHeight="false" outlineLevel="0" collapsed="false">
      <c r="A163" s="8" t="s">
        <v>585</v>
      </c>
      <c r="B163" s="8" t="s">
        <v>53</v>
      </c>
      <c r="C163" s="30" t="n">
        <v>7875</v>
      </c>
      <c r="D163" s="30" t="n">
        <v>7875</v>
      </c>
      <c r="E163" s="30" t="n">
        <f aca="false">MIN(C163,D163)</f>
        <v>7875</v>
      </c>
      <c r="F163" s="8" t="n">
        <f aca="false">IF(D163&gt;0,1,0)</f>
        <v>1</v>
      </c>
    </row>
    <row r="164" customFormat="false" ht="15" hidden="false" customHeight="false" outlineLevel="0" collapsed="false">
      <c r="A164" s="8" t="s">
        <v>587</v>
      </c>
      <c r="B164" s="8" t="s">
        <v>55</v>
      </c>
      <c r="C164" s="30" t="n">
        <v>7875</v>
      </c>
      <c r="D164" s="30" t="n">
        <v>7875</v>
      </c>
      <c r="E164" s="30" t="n">
        <f aca="false">MIN(C164,D164)</f>
        <v>7875</v>
      </c>
      <c r="F164" s="8" t="n">
        <f aca="false">IF(D164&gt;0,1,0)</f>
        <v>1</v>
      </c>
    </row>
    <row r="165" customFormat="false" ht="15" hidden="false" customHeight="false" outlineLevel="0" collapsed="false">
      <c r="A165" s="8" t="s">
        <v>589</v>
      </c>
      <c r="B165" s="8" t="s">
        <v>53</v>
      </c>
      <c r="C165" s="30" t="n">
        <v>7830</v>
      </c>
      <c r="D165" s="30" t="n">
        <v>7830</v>
      </c>
      <c r="E165" s="30" t="n">
        <f aca="false">MIN(C165,D165)</f>
        <v>7830</v>
      </c>
      <c r="F165" s="8" t="n">
        <f aca="false">IF(D165&gt;0,1,0)</f>
        <v>1</v>
      </c>
    </row>
    <row r="166" customFormat="false" ht="15" hidden="false" customHeight="false" outlineLevel="0" collapsed="false">
      <c r="A166" s="8" t="s">
        <v>591</v>
      </c>
      <c r="B166" s="8" t="s">
        <v>55</v>
      </c>
      <c r="C166" s="30" t="n">
        <v>7830</v>
      </c>
      <c r="D166" s="30" t="n">
        <v>7830</v>
      </c>
      <c r="E166" s="30" t="n">
        <f aca="false">MIN(C166,D166)</f>
        <v>7830</v>
      </c>
      <c r="F166" s="8" t="n">
        <f aca="false">IF(D166&gt;0,1,0)</f>
        <v>1</v>
      </c>
    </row>
    <row r="167" customFormat="false" ht="15" hidden="false" customHeight="false" outlineLevel="0" collapsed="false">
      <c r="A167" s="8" t="s">
        <v>597</v>
      </c>
      <c r="B167" s="8" t="s">
        <v>53</v>
      </c>
      <c r="C167" s="30" t="n">
        <v>7740</v>
      </c>
      <c r="D167" s="30" t="n">
        <v>7740</v>
      </c>
      <c r="E167" s="30" t="n">
        <f aca="false">MIN(C167,D167)</f>
        <v>7740</v>
      </c>
      <c r="F167" s="8" t="n">
        <f aca="false">IF(D167&gt;0,1,0)</f>
        <v>1</v>
      </c>
    </row>
    <row r="168" customFormat="false" ht="15" hidden="false" customHeight="false" outlineLevel="0" collapsed="false">
      <c r="A168" s="8" t="s">
        <v>609</v>
      </c>
      <c r="B168" s="8" t="s">
        <v>53</v>
      </c>
      <c r="C168" s="30" t="n">
        <v>7515</v>
      </c>
      <c r="D168" s="30" t="n">
        <v>7515</v>
      </c>
      <c r="E168" s="30" t="n">
        <f aca="false">MIN(C168,D168)</f>
        <v>7515</v>
      </c>
      <c r="F168" s="8" t="n">
        <f aca="false">IF(D168&gt;0,1,0)</f>
        <v>1</v>
      </c>
    </row>
    <row r="169" customFormat="false" ht="15" hidden="false" customHeight="false" outlineLevel="0" collapsed="false">
      <c r="A169" s="8" t="s">
        <v>611</v>
      </c>
      <c r="B169" s="8" t="s">
        <v>55</v>
      </c>
      <c r="C169" s="30" t="n">
        <v>7515</v>
      </c>
      <c r="D169" s="30" t="n">
        <v>7515</v>
      </c>
      <c r="E169" s="30" t="n">
        <f aca="false">MIN(C169,D169)</f>
        <v>7515</v>
      </c>
      <c r="F169" s="8" t="n">
        <f aca="false">IF(D169&gt;0,1,0)</f>
        <v>1</v>
      </c>
    </row>
    <row r="170" customFormat="false" ht="15" hidden="false" customHeight="false" outlineLevel="0" collapsed="false">
      <c r="A170" s="8" t="s">
        <v>613</v>
      </c>
      <c r="B170" s="8" t="s">
        <v>55</v>
      </c>
      <c r="C170" s="30" t="n">
        <v>7475</v>
      </c>
      <c r="D170" s="30" t="n">
        <v>7475</v>
      </c>
      <c r="E170" s="30" t="n">
        <f aca="false">MIN(C170,D170)</f>
        <v>7475</v>
      </c>
      <c r="F170" s="8" t="n">
        <f aca="false">IF(D170&gt;0,1,0)</f>
        <v>1</v>
      </c>
    </row>
    <row r="171" customFormat="false" ht="15" hidden="false" customHeight="false" outlineLevel="0" collapsed="false">
      <c r="A171" s="8" t="s">
        <v>517</v>
      </c>
      <c r="B171" s="8" t="s">
        <v>55</v>
      </c>
      <c r="C171" s="30" t="n">
        <v>7450</v>
      </c>
      <c r="D171" s="30" t="n">
        <v>9700</v>
      </c>
      <c r="E171" s="30" t="n">
        <f aca="false">MIN(C171,D171)</f>
        <v>7450</v>
      </c>
      <c r="F171" s="8" t="n">
        <f aca="false">IF(D171&gt;0,1,0)</f>
        <v>1</v>
      </c>
    </row>
    <row r="172" customFormat="false" ht="15" hidden="false" customHeight="false" outlineLevel="0" collapsed="false">
      <c r="A172" s="8" t="s">
        <v>617</v>
      </c>
      <c r="B172" s="8" t="s">
        <v>55</v>
      </c>
      <c r="C172" s="30" t="n">
        <v>7425</v>
      </c>
      <c r="D172" s="30" t="n">
        <v>7425</v>
      </c>
      <c r="E172" s="30" t="n">
        <f aca="false">MIN(C172,D172)</f>
        <v>7425</v>
      </c>
      <c r="F172" s="8" t="n">
        <f aca="false">IF(D172&gt;0,1,0)</f>
        <v>1</v>
      </c>
    </row>
    <row r="173" customFormat="false" ht="15" hidden="false" customHeight="false" outlineLevel="0" collapsed="false">
      <c r="A173" s="8" t="s">
        <v>619</v>
      </c>
      <c r="B173" s="8" t="s">
        <v>53</v>
      </c>
      <c r="C173" s="30" t="n">
        <v>7380</v>
      </c>
      <c r="D173" s="30" t="n">
        <v>7380</v>
      </c>
      <c r="E173" s="30" t="n">
        <f aca="false">MIN(C173,D173)</f>
        <v>7380</v>
      </c>
      <c r="F173" s="8" t="n">
        <f aca="false">IF(D173&gt;0,1,0)</f>
        <v>1</v>
      </c>
    </row>
    <row r="174" customFormat="false" ht="15" hidden="false" customHeight="false" outlineLevel="0" collapsed="false">
      <c r="A174" s="8" t="s">
        <v>621</v>
      </c>
      <c r="B174" s="8" t="s">
        <v>55</v>
      </c>
      <c r="C174" s="30" t="n">
        <v>7335</v>
      </c>
      <c r="D174" s="30" t="n">
        <v>7335</v>
      </c>
      <c r="E174" s="30" t="n">
        <f aca="false">MIN(C174,D174)</f>
        <v>7335</v>
      </c>
      <c r="F174" s="8" t="n">
        <f aca="false">IF(D174&gt;0,1,0)</f>
        <v>1</v>
      </c>
    </row>
    <row r="175" customFormat="false" ht="15" hidden="false" customHeight="false" outlineLevel="0" collapsed="false">
      <c r="A175" s="8" t="s">
        <v>627</v>
      </c>
      <c r="B175" s="8" t="s">
        <v>55</v>
      </c>
      <c r="C175" s="30" t="n">
        <v>7300</v>
      </c>
      <c r="D175" s="30" t="n">
        <v>7300</v>
      </c>
      <c r="E175" s="30" t="n">
        <f aca="false">MIN(C175,D175)</f>
        <v>7300</v>
      </c>
      <c r="F175" s="8" t="n">
        <f aca="false">IF(D175&gt;0,1,0)</f>
        <v>1</v>
      </c>
    </row>
    <row r="176" customFormat="false" ht="15" hidden="false" customHeight="false" outlineLevel="0" collapsed="false">
      <c r="A176" s="8" t="s">
        <v>633</v>
      </c>
      <c r="B176" s="8" t="s">
        <v>53</v>
      </c>
      <c r="C176" s="30" t="n">
        <v>7155</v>
      </c>
      <c r="D176" s="30" t="n">
        <v>7155</v>
      </c>
      <c r="E176" s="30" t="n">
        <f aca="false">MIN(C176,D176)</f>
        <v>7155</v>
      </c>
      <c r="F176" s="8" t="n">
        <f aca="false">IF(D176&gt;0,1,0)</f>
        <v>1</v>
      </c>
    </row>
    <row r="177" customFormat="false" ht="15" hidden="false" customHeight="false" outlineLevel="0" collapsed="false">
      <c r="A177" s="8" t="s">
        <v>639</v>
      </c>
      <c r="B177" s="8" t="s">
        <v>55</v>
      </c>
      <c r="C177" s="30" t="n">
        <v>7100</v>
      </c>
      <c r="D177" s="30" t="n">
        <v>7100</v>
      </c>
      <c r="E177" s="30" t="n">
        <f aca="false">MIN(C177,D177)</f>
        <v>7100</v>
      </c>
      <c r="F177" s="8" t="n">
        <f aca="false">IF(D177&gt;0,1,0)</f>
        <v>1</v>
      </c>
    </row>
    <row r="178" customFormat="false" ht="15" hidden="false" customHeight="false" outlineLevel="0" collapsed="false">
      <c r="A178" s="8" t="s">
        <v>4423</v>
      </c>
      <c r="B178" s="8" t="s">
        <v>53</v>
      </c>
      <c r="C178" s="30" t="n">
        <v>7065</v>
      </c>
      <c r="D178" s="30" t="n">
        <v>0</v>
      </c>
      <c r="E178" s="30" t="n">
        <f aca="false">MIN(C178,D178)</f>
        <v>0</v>
      </c>
      <c r="F178" s="8" t="n">
        <f aca="false">IF(D178&gt;0,1,0)</f>
        <v>0</v>
      </c>
    </row>
    <row r="179" customFormat="false" ht="15" hidden="false" customHeight="false" outlineLevel="0" collapsed="false">
      <c r="A179" s="8" t="s">
        <v>599</v>
      </c>
      <c r="B179" s="8" t="s">
        <v>53</v>
      </c>
      <c r="C179" s="30" t="n">
        <v>7020</v>
      </c>
      <c r="D179" s="30" t="n">
        <v>7740</v>
      </c>
      <c r="E179" s="30" t="n">
        <f aca="false">MIN(C179,D179)</f>
        <v>7020</v>
      </c>
      <c r="F179" s="8" t="n">
        <f aca="false">IF(D179&gt;0,1,0)</f>
        <v>1</v>
      </c>
    </row>
    <row r="180" customFormat="false" ht="15" hidden="false" customHeight="false" outlineLevel="0" collapsed="false">
      <c r="A180" s="8" t="s">
        <v>539</v>
      </c>
      <c r="B180" s="8" t="s">
        <v>53</v>
      </c>
      <c r="C180" s="30" t="n">
        <v>6930</v>
      </c>
      <c r="D180" s="30" t="n">
        <v>9045</v>
      </c>
      <c r="E180" s="30" t="n">
        <f aca="false">MIN(C180,D180)</f>
        <v>6930</v>
      </c>
      <c r="F180" s="8" t="n">
        <f aca="false">IF(D180&gt;0,1,0)</f>
        <v>1</v>
      </c>
    </row>
    <row r="181" customFormat="false" ht="15" hidden="false" customHeight="false" outlineLevel="0" collapsed="false">
      <c r="A181" s="8" t="s">
        <v>645</v>
      </c>
      <c r="B181" s="8" t="s">
        <v>55</v>
      </c>
      <c r="C181" s="30" t="n">
        <v>6840</v>
      </c>
      <c r="D181" s="30" t="n">
        <v>6840</v>
      </c>
      <c r="E181" s="30" t="n">
        <f aca="false">MIN(C181,D181)</f>
        <v>6840</v>
      </c>
      <c r="F181" s="8" t="n">
        <f aca="false">IF(D181&gt;0,1,0)</f>
        <v>1</v>
      </c>
    </row>
    <row r="182" customFormat="false" ht="15" hidden="false" customHeight="false" outlineLevel="0" collapsed="false">
      <c r="A182" s="8" t="s">
        <v>649</v>
      </c>
      <c r="B182" s="8" t="s">
        <v>55</v>
      </c>
      <c r="C182" s="30" t="n">
        <v>6795</v>
      </c>
      <c r="D182" s="30" t="n">
        <v>6795</v>
      </c>
      <c r="E182" s="30" t="n">
        <f aca="false">MIN(C182,D182)</f>
        <v>6795</v>
      </c>
      <c r="F182" s="8" t="n">
        <f aca="false">IF(D182&gt;0,1,0)</f>
        <v>1</v>
      </c>
    </row>
    <row r="183" customFormat="false" ht="15" hidden="false" customHeight="false" outlineLevel="0" collapsed="false">
      <c r="A183" s="8" t="s">
        <v>4424</v>
      </c>
      <c r="B183" s="8" t="s">
        <v>53</v>
      </c>
      <c r="C183" s="30" t="n">
        <v>6795</v>
      </c>
      <c r="D183" s="30" t="n">
        <v>0</v>
      </c>
      <c r="E183" s="30" t="n">
        <f aca="false">MIN(C183,D183)</f>
        <v>0</v>
      </c>
      <c r="F183" s="8" t="n">
        <f aca="false">IF(D183&gt;0,1,0)</f>
        <v>0</v>
      </c>
    </row>
    <row r="184" customFormat="false" ht="15" hidden="false" customHeight="false" outlineLevel="0" collapsed="false">
      <c r="A184" s="8" t="s">
        <v>651</v>
      </c>
      <c r="B184" s="8" t="s">
        <v>53</v>
      </c>
      <c r="C184" s="30" t="n">
        <v>6795</v>
      </c>
      <c r="D184" s="30" t="n">
        <v>6795</v>
      </c>
      <c r="E184" s="30" t="n">
        <f aca="false">MIN(C184,D184)</f>
        <v>6795</v>
      </c>
      <c r="F184" s="8" t="n">
        <f aca="false">IF(D184&gt;0,1,0)</f>
        <v>1</v>
      </c>
    </row>
    <row r="185" customFormat="false" ht="15" hidden="false" customHeight="false" outlineLevel="0" collapsed="false">
      <c r="A185" s="8" t="s">
        <v>653</v>
      </c>
      <c r="B185" s="8" t="s">
        <v>53</v>
      </c>
      <c r="C185" s="30" t="n">
        <v>6750</v>
      </c>
      <c r="D185" s="30" t="n">
        <v>6750</v>
      </c>
      <c r="E185" s="30" t="n">
        <f aca="false">MIN(C185,D185)</f>
        <v>6750</v>
      </c>
      <c r="F185" s="8" t="n">
        <f aca="false">IF(D185&gt;0,1,0)</f>
        <v>1</v>
      </c>
    </row>
    <row r="186" customFormat="false" ht="15" hidden="false" customHeight="false" outlineLevel="0" collapsed="false">
      <c r="A186" s="8" t="s">
        <v>571</v>
      </c>
      <c r="B186" s="8" t="s">
        <v>53</v>
      </c>
      <c r="C186" s="30" t="n">
        <v>6705</v>
      </c>
      <c r="D186" s="30" t="n">
        <v>8280</v>
      </c>
      <c r="E186" s="30" t="n">
        <f aca="false">MIN(C186,D186)</f>
        <v>6705</v>
      </c>
      <c r="F186" s="8" t="n">
        <f aca="false">IF(D186&gt;0,1,0)</f>
        <v>1</v>
      </c>
    </row>
    <row r="187" customFormat="false" ht="15" hidden="false" customHeight="false" outlineLevel="0" collapsed="false">
      <c r="A187" s="8" t="s">
        <v>659</v>
      </c>
      <c r="B187" s="8" t="s">
        <v>53</v>
      </c>
      <c r="C187" s="30" t="n">
        <v>6705</v>
      </c>
      <c r="D187" s="30" t="n">
        <v>6705</v>
      </c>
      <c r="E187" s="30" t="n">
        <f aca="false">MIN(C187,D187)</f>
        <v>6705</v>
      </c>
      <c r="F187" s="8" t="n">
        <f aca="false">IF(D187&gt;0,1,0)</f>
        <v>1</v>
      </c>
    </row>
    <row r="188" customFormat="false" ht="15" hidden="false" customHeight="false" outlineLevel="0" collapsed="false">
      <c r="A188" s="8" t="s">
        <v>661</v>
      </c>
      <c r="B188" s="8" t="s">
        <v>53</v>
      </c>
      <c r="C188" s="30" t="n">
        <v>6705</v>
      </c>
      <c r="D188" s="30" t="n">
        <v>6705</v>
      </c>
      <c r="E188" s="30" t="n">
        <f aca="false">MIN(C188,D188)</f>
        <v>6705</v>
      </c>
      <c r="F188" s="8" t="n">
        <f aca="false">IF(D188&gt;0,1,0)</f>
        <v>1</v>
      </c>
    </row>
    <row r="189" customFormat="false" ht="15" hidden="false" customHeight="false" outlineLevel="0" collapsed="false">
      <c r="A189" s="8" t="s">
        <v>663</v>
      </c>
      <c r="B189" s="8" t="s">
        <v>53</v>
      </c>
      <c r="C189" s="30" t="n">
        <v>6705</v>
      </c>
      <c r="D189" s="30" t="n">
        <v>6705</v>
      </c>
      <c r="E189" s="30" t="n">
        <f aca="false">MIN(C189,D189)</f>
        <v>6705</v>
      </c>
      <c r="F189" s="8" t="n">
        <f aca="false">IF(D189&gt;0,1,0)</f>
        <v>1</v>
      </c>
    </row>
    <row r="190" customFormat="false" ht="15" hidden="false" customHeight="false" outlineLevel="0" collapsed="false">
      <c r="A190" s="8" t="s">
        <v>673</v>
      </c>
      <c r="B190" s="8" t="s">
        <v>53</v>
      </c>
      <c r="C190" s="30" t="n">
        <v>6570</v>
      </c>
      <c r="D190" s="30" t="n">
        <v>6570</v>
      </c>
      <c r="E190" s="30" t="n">
        <f aca="false">MIN(C190,D190)</f>
        <v>6570</v>
      </c>
      <c r="F190" s="8" t="n">
        <f aca="false">IF(D190&gt;0,1,0)</f>
        <v>1</v>
      </c>
    </row>
    <row r="191" customFormat="false" ht="15" hidden="false" customHeight="false" outlineLevel="0" collapsed="false">
      <c r="A191" s="8" t="s">
        <v>675</v>
      </c>
      <c r="B191" s="8" t="s">
        <v>53</v>
      </c>
      <c r="C191" s="30" t="n">
        <v>6525</v>
      </c>
      <c r="D191" s="30" t="n">
        <v>6525</v>
      </c>
      <c r="E191" s="30" t="n">
        <f aca="false">MIN(C191,D191)</f>
        <v>6525</v>
      </c>
      <c r="F191" s="8" t="n">
        <f aca="false">IF(D191&gt;0,1,0)</f>
        <v>1</v>
      </c>
    </row>
    <row r="192" customFormat="false" ht="15" hidden="false" customHeight="false" outlineLevel="0" collapsed="false">
      <c r="A192" s="8" t="s">
        <v>677</v>
      </c>
      <c r="B192" s="8" t="s">
        <v>53</v>
      </c>
      <c r="C192" s="30" t="n">
        <v>6480</v>
      </c>
      <c r="D192" s="30" t="n">
        <v>6480</v>
      </c>
      <c r="E192" s="30" t="n">
        <f aca="false">MIN(C192,D192)</f>
        <v>6480</v>
      </c>
      <c r="F192" s="8" t="n">
        <f aca="false">IF(D192&gt;0,1,0)</f>
        <v>1</v>
      </c>
    </row>
    <row r="193" customFormat="false" ht="15" hidden="false" customHeight="false" outlineLevel="0" collapsed="false">
      <c r="A193" s="8" t="s">
        <v>679</v>
      </c>
      <c r="B193" s="8" t="s">
        <v>53</v>
      </c>
      <c r="C193" s="30" t="n">
        <v>6475</v>
      </c>
      <c r="D193" s="30" t="n">
        <v>6475</v>
      </c>
      <c r="E193" s="30" t="n">
        <f aca="false">MIN(C193,D193)</f>
        <v>6475</v>
      </c>
      <c r="F193" s="8" t="n">
        <f aca="false">IF(D193&gt;0,1,0)</f>
        <v>1</v>
      </c>
    </row>
    <row r="194" customFormat="false" ht="15" hidden="false" customHeight="false" outlineLevel="0" collapsed="false">
      <c r="A194" s="8" t="s">
        <v>4425</v>
      </c>
      <c r="B194" s="8" t="s">
        <v>53</v>
      </c>
      <c r="C194" s="30" t="n">
        <v>6400</v>
      </c>
      <c r="D194" s="30" t="n">
        <v>0</v>
      </c>
      <c r="E194" s="30" t="n">
        <f aca="false">MIN(C194,D194)</f>
        <v>0</v>
      </c>
      <c r="F194" s="8" t="n">
        <f aca="false">IF(D194&gt;0,1,0)</f>
        <v>0</v>
      </c>
    </row>
    <row r="195" customFormat="false" ht="15" hidden="false" customHeight="false" outlineLevel="0" collapsed="false">
      <c r="A195" s="8" t="s">
        <v>767</v>
      </c>
      <c r="B195" s="8" t="s">
        <v>53</v>
      </c>
      <c r="C195" s="30" t="n">
        <v>6325</v>
      </c>
      <c r="D195" s="30" t="n">
        <v>5175</v>
      </c>
      <c r="E195" s="30" t="n">
        <f aca="false">MIN(C195,D195)</f>
        <v>5175</v>
      </c>
      <c r="F195" s="8" t="n">
        <f aca="false">IF(D195&gt;0,1,0)</f>
        <v>1</v>
      </c>
    </row>
    <row r="196" customFormat="false" ht="15" hidden="false" customHeight="false" outlineLevel="0" collapsed="false">
      <c r="A196" s="8" t="s">
        <v>687</v>
      </c>
      <c r="B196" s="8" t="s">
        <v>53</v>
      </c>
      <c r="C196" s="30" t="n">
        <v>6250</v>
      </c>
      <c r="D196" s="30" t="n">
        <v>6250</v>
      </c>
      <c r="E196" s="30" t="n">
        <f aca="false">MIN(C196,D196)</f>
        <v>6250</v>
      </c>
      <c r="F196" s="8" t="n">
        <f aca="false">IF(D196&gt;0,1,0)</f>
        <v>1</v>
      </c>
    </row>
    <row r="197" customFormat="false" ht="15" hidden="false" customHeight="false" outlineLevel="0" collapsed="false">
      <c r="A197" s="8" t="s">
        <v>689</v>
      </c>
      <c r="B197" s="8" t="s">
        <v>53</v>
      </c>
      <c r="C197" s="30" t="n">
        <v>6250</v>
      </c>
      <c r="D197" s="30" t="n">
        <v>6250</v>
      </c>
      <c r="E197" s="30" t="n">
        <f aca="false">MIN(C197,D197)</f>
        <v>6250</v>
      </c>
      <c r="F197" s="8" t="n">
        <f aca="false">IF(D197&gt;0,1,0)</f>
        <v>1</v>
      </c>
    </row>
    <row r="198" customFormat="false" ht="15" hidden="false" customHeight="false" outlineLevel="0" collapsed="false">
      <c r="A198" s="8" t="s">
        <v>693</v>
      </c>
      <c r="B198" s="8" t="s">
        <v>53</v>
      </c>
      <c r="C198" s="30" t="n">
        <v>6125</v>
      </c>
      <c r="D198" s="30" t="n">
        <v>6125</v>
      </c>
      <c r="E198" s="30" t="n">
        <f aca="false">MIN(C198,D198)</f>
        <v>6125</v>
      </c>
      <c r="F198" s="8" t="n">
        <f aca="false">IF(D198&gt;0,1,0)</f>
        <v>1</v>
      </c>
    </row>
    <row r="199" customFormat="false" ht="15" hidden="false" customHeight="false" outlineLevel="0" collapsed="false">
      <c r="A199" s="8" t="s">
        <v>695</v>
      </c>
      <c r="B199" s="8" t="s">
        <v>53</v>
      </c>
      <c r="C199" s="30" t="n">
        <v>6120</v>
      </c>
      <c r="D199" s="30" t="n">
        <v>6120</v>
      </c>
      <c r="E199" s="30" t="n">
        <f aca="false">MIN(C199,D199)</f>
        <v>6120</v>
      </c>
      <c r="F199" s="8" t="n">
        <f aca="false">IF(D199&gt;0,1,0)</f>
        <v>1</v>
      </c>
    </row>
    <row r="200" customFormat="false" ht="15" hidden="false" customHeight="false" outlineLevel="0" collapsed="false">
      <c r="A200" s="8" t="s">
        <v>4426</v>
      </c>
      <c r="B200" s="8" t="s">
        <v>53</v>
      </c>
      <c r="C200" s="30" t="n">
        <v>6075</v>
      </c>
      <c r="D200" s="30" t="n">
        <v>0</v>
      </c>
      <c r="E200" s="30" t="n">
        <f aca="false">MIN(C200,D200)</f>
        <v>0</v>
      </c>
      <c r="F200" s="8" t="n">
        <f aca="false">IF(D200&gt;0,1,0)</f>
        <v>0</v>
      </c>
    </row>
    <row r="201" customFormat="false" ht="15" hidden="false" customHeight="false" outlineLevel="0" collapsed="false">
      <c r="A201" s="8" t="s">
        <v>701</v>
      </c>
      <c r="B201" s="8" t="s">
        <v>53</v>
      </c>
      <c r="C201" s="30" t="n">
        <v>6075</v>
      </c>
      <c r="D201" s="30" t="n">
        <v>6075</v>
      </c>
      <c r="E201" s="30" t="n">
        <f aca="false">MIN(C201,D201)</f>
        <v>6075</v>
      </c>
      <c r="F201" s="8" t="n">
        <f aca="false">IF(D201&gt;0,1,0)</f>
        <v>1</v>
      </c>
    </row>
    <row r="202" customFormat="false" ht="15" hidden="false" customHeight="false" outlineLevel="0" collapsed="false">
      <c r="A202" s="8" t="s">
        <v>705</v>
      </c>
      <c r="B202" s="8" t="s">
        <v>53</v>
      </c>
      <c r="C202" s="30" t="n">
        <v>6030</v>
      </c>
      <c r="D202" s="30" t="n">
        <v>6030</v>
      </c>
      <c r="E202" s="30" t="n">
        <f aca="false">MIN(C202,D202)</f>
        <v>6030</v>
      </c>
      <c r="F202" s="8" t="n">
        <f aca="false">IF(D202&gt;0,1,0)</f>
        <v>1</v>
      </c>
    </row>
    <row r="203" customFormat="false" ht="15" hidden="false" customHeight="false" outlineLevel="0" collapsed="false">
      <c r="A203" s="8" t="s">
        <v>4427</v>
      </c>
      <c r="B203" s="8" t="s">
        <v>53</v>
      </c>
      <c r="C203" s="30" t="n">
        <v>5985</v>
      </c>
      <c r="D203" s="30" t="n">
        <v>0</v>
      </c>
      <c r="E203" s="30" t="n">
        <f aca="false">MIN(C203,D203)</f>
        <v>0</v>
      </c>
      <c r="F203" s="8" t="n">
        <f aca="false">IF(D203&gt;0,1,0)</f>
        <v>0</v>
      </c>
    </row>
    <row r="204" customFormat="false" ht="15" hidden="false" customHeight="false" outlineLevel="0" collapsed="false">
      <c r="A204" s="8" t="s">
        <v>713</v>
      </c>
      <c r="B204" s="8" t="s">
        <v>53</v>
      </c>
      <c r="C204" s="30" t="n">
        <v>5895</v>
      </c>
      <c r="D204" s="30" t="n">
        <v>5895</v>
      </c>
      <c r="E204" s="30" t="n">
        <f aca="false">MIN(C204,D204)</f>
        <v>5895</v>
      </c>
      <c r="F204" s="8" t="n">
        <f aca="false">IF(D204&gt;0,1,0)</f>
        <v>1</v>
      </c>
    </row>
    <row r="205" customFormat="false" ht="15" hidden="false" customHeight="false" outlineLevel="0" collapsed="false">
      <c r="A205" s="8" t="s">
        <v>635</v>
      </c>
      <c r="B205" s="8" t="s">
        <v>53</v>
      </c>
      <c r="C205" s="30" t="n">
        <v>5895</v>
      </c>
      <c r="D205" s="30" t="n">
        <v>7155</v>
      </c>
      <c r="E205" s="30" t="n">
        <f aca="false">MIN(C205,D205)</f>
        <v>5895</v>
      </c>
      <c r="F205" s="8" t="n">
        <f aca="false">IF(D205&gt;0,1,0)</f>
        <v>1</v>
      </c>
    </row>
    <row r="206" customFormat="false" ht="15" hidden="false" customHeight="false" outlineLevel="0" collapsed="false">
      <c r="A206" s="8" t="s">
        <v>715</v>
      </c>
      <c r="B206" s="8" t="s">
        <v>53</v>
      </c>
      <c r="C206" s="30" t="n">
        <v>5825</v>
      </c>
      <c r="D206" s="30" t="n">
        <v>5825</v>
      </c>
      <c r="E206" s="30" t="n">
        <f aca="false">MIN(C206,D206)</f>
        <v>5825</v>
      </c>
      <c r="F206" s="8" t="n">
        <f aca="false">IF(D206&gt;0,1,0)</f>
        <v>1</v>
      </c>
    </row>
    <row r="207" customFormat="false" ht="15" hidden="false" customHeight="false" outlineLevel="0" collapsed="false">
      <c r="A207" s="8" t="s">
        <v>719</v>
      </c>
      <c r="B207" s="8" t="s">
        <v>53</v>
      </c>
      <c r="C207" s="30" t="n">
        <v>5805</v>
      </c>
      <c r="D207" s="30" t="n">
        <v>5805</v>
      </c>
      <c r="E207" s="30" t="n">
        <f aca="false">MIN(C207,D207)</f>
        <v>5805</v>
      </c>
      <c r="F207" s="8" t="n">
        <f aca="false">IF(D207&gt;0,1,0)</f>
        <v>1</v>
      </c>
    </row>
    <row r="208" customFormat="false" ht="15" hidden="false" customHeight="false" outlineLevel="0" collapsed="false">
      <c r="A208" s="8" t="s">
        <v>4428</v>
      </c>
      <c r="B208" s="8" t="s">
        <v>53</v>
      </c>
      <c r="C208" s="30" t="n">
        <v>5775</v>
      </c>
      <c r="D208" s="30" t="n">
        <v>0</v>
      </c>
      <c r="E208" s="30" t="n">
        <f aca="false">MIN(C208,D208)</f>
        <v>0</v>
      </c>
      <c r="F208" s="8" t="n">
        <f aca="false">IF(D208&gt;0,1,0)</f>
        <v>0</v>
      </c>
    </row>
    <row r="209" customFormat="false" ht="15" hidden="false" customHeight="false" outlineLevel="0" collapsed="false">
      <c r="A209" s="8" t="s">
        <v>729</v>
      </c>
      <c r="B209" s="8" t="s">
        <v>53</v>
      </c>
      <c r="C209" s="30" t="n">
        <v>5715</v>
      </c>
      <c r="D209" s="30" t="n">
        <v>5715</v>
      </c>
      <c r="E209" s="30" t="n">
        <f aca="false">MIN(C209,D209)</f>
        <v>5715</v>
      </c>
      <c r="F209" s="8" t="n">
        <f aca="false">IF(D209&gt;0,1,0)</f>
        <v>1</v>
      </c>
    </row>
    <row r="210" customFormat="false" ht="15" hidden="false" customHeight="false" outlineLevel="0" collapsed="false">
      <c r="A210" s="8" t="s">
        <v>733</v>
      </c>
      <c r="B210" s="8" t="s">
        <v>55</v>
      </c>
      <c r="C210" s="30" t="n">
        <v>5650</v>
      </c>
      <c r="D210" s="30" t="n">
        <v>5650</v>
      </c>
      <c r="E210" s="30" t="n">
        <f aca="false">MIN(C210,D210)</f>
        <v>5650</v>
      </c>
      <c r="F210" s="8" t="n">
        <f aca="false">IF(D210&gt;0,1,0)</f>
        <v>1</v>
      </c>
    </row>
    <row r="211" customFormat="false" ht="15" hidden="false" customHeight="false" outlineLevel="0" collapsed="false">
      <c r="A211" s="8" t="s">
        <v>735</v>
      </c>
      <c r="B211" s="8" t="s">
        <v>53</v>
      </c>
      <c r="C211" s="30" t="n">
        <v>5625</v>
      </c>
      <c r="D211" s="30" t="n">
        <v>5625</v>
      </c>
      <c r="E211" s="30" t="n">
        <f aca="false">MIN(C211,D211)</f>
        <v>5625</v>
      </c>
      <c r="F211" s="8" t="n">
        <f aca="false">IF(D211&gt;0,1,0)</f>
        <v>1</v>
      </c>
    </row>
    <row r="212" customFormat="false" ht="15" hidden="false" customHeight="false" outlineLevel="0" collapsed="false">
      <c r="A212" s="8" t="s">
        <v>681</v>
      </c>
      <c r="B212" s="8" t="s">
        <v>53</v>
      </c>
      <c r="C212" s="30" t="n">
        <v>5490</v>
      </c>
      <c r="D212" s="30" t="n">
        <v>6435</v>
      </c>
      <c r="E212" s="30" t="n">
        <f aca="false">MIN(C212,D212)</f>
        <v>5490</v>
      </c>
      <c r="F212" s="8" t="n">
        <f aca="false">IF(D212&gt;0,1,0)</f>
        <v>1</v>
      </c>
    </row>
    <row r="213" customFormat="false" ht="15" hidden="false" customHeight="false" outlineLevel="0" collapsed="false">
      <c r="A213" s="8" t="s">
        <v>559</v>
      </c>
      <c r="B213" s="8" t="s">
        <v>53</v>
      </c>
      <c r="C213" s="30" t="n">
        <v>5490</v>
      </c>
      <c r="D213" s="30" t="n">
        <v>8640</v>
      </c>
      <c r="E213" s="30" t="n">
        <f aca="false">MIN(C213,D213)</f>
        <v>5490</v>
      </c>
      <c r="F213" s="8" t="n">
        <f aca="false">IF(D213&gt;0,1,0)</f>
        <v>1</v>
      </c>
    </row>
    <row r="214" customFormat="false" ht="15" hidden="false" customHeight="false" outlineLevel="0" collapsed="false">
      <c r="A214" s="8" t="s">
        <v>631</v>
      </c>
      <c r="B214" s="8" t="s">
        <v>53</v>
      </c>
      <c r="C214" s="30" t="n">
        <v>5445</v>
      </c>
      <c r="D214" s="30" t="n">
        <v>7155</v>
      </c>
      <c r="E214" s="30" t="n">
        <f aca="false">MIN(C214,D214)</f>
        <v>5445</v>
      </c>
      <c r="F214" s="8" t="n">
        <f aca="false">IF(D214&gt;0,1,0)</f>
        <v>1</v>
      </c>
    </row>
    <row r="215" customFormat="false" ht="15" hidden="false" customHeight="false" outlineLevel="0" collapsed="false">
      <c r="A215" s="8" t="s">
        <v>4429</v>
      </c>
      <c r="B215" s="8" t="s">
        <v>53</v>
      </c>
      <c r="C215" s="30" t="n">
        <v>5400</v>
      </c>
      <c r="D215" s="30" t="n">
        <v>0</v>
      </c>
      <c r="E215" s="30" t="n">
        <f aca="false">MIN(C215,D215)</f>
        <v>0</v>
      </c>
      <c r="F215" s="8" t="n">
        <f aca="false">IF(D215&gt;0,1,0)</f>
        <v>0</v>
      </c>
    </row>
    <row r="216" customFormat="false" ht="15" hidden="false" customHeight="false" outlineLevel="0" collapsed="false">
      <c r="A216" s="8" t="s">
        <v>641</v>
      </c>
      <c r="B216" s="8" t="s">
        <v>53</v>
      </c>
      <c r="C216" s="30" t="n">
        <v>5355</v>
      </c>
      <c r="D216" s="30" t="n">
        <v>6930</v>
      </c>
      <c r="E216" s="30" t="n">
        <f aca="false">MIN(C216,D216)</f>
        <v>5355</v>
      </c>
      <c r="F216" s="8" t="n">
        <f aca="false">IF(D216&gt;0,1,0)</f>
        <v>1</v>
      </c>
    </row>
    <row r="217" customFormat="false" ht="15" hidden="false" customHeight="false" outlineLevel="0" collapsed="false">
      <c r="A217" s="8" t="s">
        <v>895</v>
      </c>
      <c r="B217" s="8" t="s">
        <v>53</v>
      </c>
      <c r="C217" s="30" t="n">
        <v>5355</v>
      </c>
      <c r="D217" s="30" t="n">
        <v>4545</v>
      </c>
      <c r="E217" s="30" t="n">
        <f aca="false">MIN(C217,D217)</f>
        <v>4545</v>
      </c>
      <c r="F217" s="8" t="n">
        <f aca="false">IF(D217&gt;0,1,0)</f>
        <v>1</v>
      </c>
    </row>
    <row r="218" customFormat="false" ht="15" hidden="false" customHeight="false" outlineLevel="0" collapsed="false">
      <c r="A218" s="8" t="s">
        <v>755</v>
      </c>
      <c r="B218" s="8" t="s">
        <v>53</v>
      </c>
      <c r="C218" s="30" t="n">
        <v>5325</v>
      </c>
      <c r="D218" s="30" t="n">
        <v>5325</v>
      </c>
      <c r="E218" s="30" t="n">
        <f aca="false">MIN(C218,D218)</f>
        <v>5325</v>
      </c>
      <c r="F218" s="8" t="n">
        <f aca="false">IF(D218&gt;0,1,0)</f>
        <v>1</v>
      </c>
    </row>
    <row r="219" customFormat="false" ht="15" hidden="false" customHeight="false" outlineLevel="0" collapsed="false">
      <c r="A219" s="8" t="s">
        <v>757</v>
      </c>
      <c r="B219" s="8" t="s">
        <v>53</v>
      </c>
      <c r="C219" s="30" t="n">
        <v>5310</v>
      </c>
      <c r="D219" s="30" t="n">
        <v>5310</v>
      </c>
      <c r="E219" s="30" t="n">
        <f aca="false">MIN(C219,D219)</f>
        <v>5310</v>
      </c>
      <c r="F219" s="8" t="n">
        <f aca="false">IF(D219&gt;0,1,0)</f>
        <v>1</v>
      </c>
    </row>
    <row r="220" customFormat="false" ht="15" hidden="false" customHeight="false" outlineLevel="0" collapsed="false">
      <c r="A220" s="8" t="s">
        <v>4430</v>
      </c>
      <c r="B220" s="8" t="s">
        <v>53</v>
      </c>
      <c r="C220" s="30" t="n">
        <v>5265</v>
      </c>
      <c r="D220" s="30" t="n">
        <v>0</v>
      </c>
      <c r="E220" s="30" t="n">
        <f aca="false">MIN(C220,D220)</f>
        <v>0</v>
      </c>
      <c r="F220" s="8" t="n">
        <f aca="false">IF(D220&gt;0,1,0)</f>
        <v>0</v>
      </c>
    </row>
    <row r="221" customFormat="false" ht="15" hidden="false" customHeight="false" outlineLevel="0" collapsed="false">
      <c r="A221" s="8" t="s">
        <v>765</v>
      </c>
      <c r="B221" s="8" t="s">
        <v>53</v>
      </c>
      <c r="C221" s="30" t="n">
        <v>5200</v>
      </c>
      <c r="D221" s="30" t="n">
        <v>5200</v>
      </c>
      <c r="E221" s="30" t="n">
        <f aca="false">MIN(C221,D221)</f>
        <v>5200</v>
      </c>
      <c r="F221" s="8" t="n">
        <f aca="false">IF(D221&gt;0,1,0)</f>
        <v>1</v>
      </c>
    </row>
    <row r="222" customFormat="false" ht="15" hidden="false" customHeight="false" outlineLevel="0" collapsed="false">
      <c r="A222" s="8" t="s">
        <v>4431</v>
      </c>
      <c r="B222" s="8" t="s">
        <v>53</v>
      </c>
      <c r="C222" s="30" t="n">
        <v>5130</v>
      </c>
      <c r="D222" s="30" t="n">
        <v>0</v>
      </c>
      <c r="E222" s="30" t="n">
        <f aca="false">MIN(C222,D222)</f>
        <v>0</v>
      </c>
      <c r="F222" s="8" t="n">
        <f aca="false">IF(D222&gt;0,1,0)</f>
        <v>0</v>
      </c>
    </row>
    <row r="223" customFormat="false" ht="15" hidden="false" customHeight="false" outlineLevel="0" collapsed="false">
      <c r="A223" s="8" t="s">
        <v>727</v>
      </c>
      <c r="B223" s="8" t="s">
        <v>55</v>
      </c>
      <c r="C223" s="30" t="n">
        <v>5100</v>
      </c>
      <c r="D223" s="30" t="n">
        <v>5725</v>
      </c>
      <c r="E223" s="30" t="n">
        <f aca="false">MIN(C223,D223)</f>
        <v>5100</v>
      </c>
      <c r="F223" s="8" t="n">
        <f aca="false">IF(D223&gt;0,1,0)</f>
        <v>1</v>
      </c>
    </row>
    <row r="224" customFormat="false" ht="15" hidden="false" customHeight="false" outlineLevel="0" collapsed="false">
      <c r="A224" s="8" t="s">
        <v>669</v>
      </c>
      <c r="B224" s="8" t="s">
        <v>53</v>
      </c>
      <c r="C224" s="30" t="n">
        <v>5085</v>
      </c>
      <c r="D224" s="30" t="n">
        <v>6660</v>
      </c>
      <c r="E224" s="30" t="n">
        <f aca="false">MIN(C224,D224)</f>
        <v>5085</v>
      </c>
      <c r="F224" s="8" t="n">
        <f aca="false">IF(D224&gt;0,1,0)</f>
        <v>1</v>
      </c>
    </row>
    <row r="225" customFormat="false" ht="15" hidden="false" customHeight="false" outlineLevel="0" collapsed="false">
      <c r="A225" s="8" t="s">
        <v>773</v>
      </c>
      <c r="B225" s="8" t="s">
        <v>53</v>
      </c>
      <c r="C225" s="30" t="n">
        <v>5040</v>
      </c>
      <c r="D225" s="30" t="n">
        <v>5040</v>
      </c>
      <c r="E225" s="30" t="n">
        <f aca="false">MIN(C225,D225)</f>
        <v>5040</v>
      </c>
      <c r="F225" s="8" t="n">
        <f aca="false">IF(D225&gt;0,1,0)</f>
        <v>1</v>
      </c>
    </row>
    <row r="226" customFormat="false" ht="15" hidden="false" customHeight="false" outlineLevel="0" collapsed="false">
      <c r="A226" s="8" t="s">
        <v>777</v>
      </c>
      <c r="B226" s="8" t="s">
        <v>53</v>
      </c>
      <c r="C226" s="30" t="n">
        <v>4995</v>
      </c>
      <c r="D226" s="30" t="n">
        <v>4995</v>
      </c>
      <c r="E226" s="30" t="n">
        <f aca="false">MIN(C226,D226)</f>
        <v>4995</v>
      </c>
      <c r="F226" s="8" t="n">
        <f aca="false">IF(D226&gt;0,1,0)</f>
        <v>1</v>
      </c>
    </row>
    <row r="227" customFormat="false" ht="15" hidden="false" customHeight="false" outlineLevel="0" collapsed="false">
      <c r="A227" s="8" t="s">
        <v>779</v>
      </c>
      <c r="B227" s="8" t="s">
        <v>53</v>
      </c>
      <c r="C227" s="30" t="n">
        <v>4995</v>
      </c>
      <c r="D227" s="30" t="n">
        <v>4995</v>
      </c>
      <c r="E227" s="30" t="n">
        <f aca="false">MIN(C227,D227)</f>
        <v>4995</v>
      </c>
      <c r="F227" s="8" t="n">
        <f aca="false">IF(D227&gt;0,1,0)</f>
        <v>1</v>
      </c>
    </row>
    <row r="228" customFormat="false" ht="15" hidden="false" customHeight="false" outlineLevel="0" collapsed="false">
      <c r="A228" s="8" t="s">
        <v>787</v>
      </c>
      <c r="B228" s="8" t="s">
        <v>53</v>
      </c>
      <c r="C228" s="30" t="n">
        <v>4950</v>
      </c>
      <c r="D228" s="30" t="n">
        <v>4950</v>
      </c>
      <c r="E228" s="30" t="n">
        <f aca="false">MIN(C228,D228)</f>
        <v>4950</v>
      </c>
      <c r="F228" s="8" t="n">
        <f aca="false">IF(D228&gt;0,1,0)</f>
        <v>1</v>
      </c>
    </row>
    <row r="229" customFormat="false" ht="15" hidden="false" customHeight="false" outlineLevel="0" collapsed="false">
      <c r="A229" s="8" t="s">
        <v>789</v>
      </c>
      <c r="B229" s="8" t="s">
        <v>53</v>
      </c>
      <c r="C229" s="30" t="n">
        <v>4950</v>
      </c>
      <c r="D229" s="30" t="n">
        <v>4950</v>
      </c>
      <c r="E229" s="30" t="n">
        <f aca="false">MIN(C229,D229)</f>
        <v>4950</v>
      </c>
      <c r="F229" s="8" t="n">
        <f aca="false">IF(D229&gt;0,1,0)</f>
        <v>1</v>
      </c>
    </row>
    <row r="230" customFormat="false" ht="15" hidden="false" customHeight="false" outlineLevel="0" collapsed="false">
      <c r="A230" s="8" t="s">
        <v>791</v>
      </c>
      <c r="B230" s="8" t="s">
        <v>53</v>
      </c>
      <c r="C230" s="30" t="n">
        <v>4950</v>
      </c>
      <c r="D230" s="30" t="n">
        <v>4950</v>
      </c>
      <c r="E230" s="30" t="n">
        <f aca="false">MIN(C230,D230)</f>
        <v>4950</v>
      </c>
      <c r="F230" s="8" t="n">
        <f aca="false">IF(D230&gt;0,1,0)</f>
        <v>1</v>
      </c>
    </row>
    <row r="231" customFormat="false" ht="15" hidden="false" customHeight="false" outlineLevel="0" collapsed="false">
      <c r="A231" s="8" t="s">
        <v>793</v>
      </c>
      <c r="B231" s="8" t="s">
        <v>53</v>
      </c>
      <c r="C231" s="30" t="n">
        <v>4925</v>
      </c>
      <c r="D231" s="30" t="n">
        <v>4925</v>
      </c>
      <c r="E231" s="30" t="n">
        <f aca="false">MIN(C231,D231)</f>
        <v>4925</v>
      </c>
      <c r="F231" s="8" t="n">
        <f aca="false">IF(D231&gt;0,1,0)</f>
        <v>1</v>
      </c>
    </row>
    <row r="232" customFormat="false" ht="15" hidden="false" customHeight="false" outlineLevel="0" collapsed="false">
      <c r="A232" s="8" t="s">
        <v>797</v>
      </c>
      <c r="B232" s="8" t="s">
        <v>53</v>
      </c>
      <c r="C232" s="30" t="n">
        <v>4925</v>
      </c>
      <c r="D232" s="30" t="n">
        <v>4925</v>
      </c>
      <c r="E232" s="30" t="n">
        <f aca="false">MIN(C232,D232)</f>
        <v>4925</v>
      </c>
      <c r="F232" s="8" t="n">
        <f aca="false">IF(D232&gt;0,1,0)</f>
        <v>1</v>
      </c>
    </row>
    <row r="233" customFormat="false" ht="15" hidden="false" customHeight="false" outlineLevel="0" collapsed="false">
      <c r="A233" s="8" t="s">
        <v>799</v>
      </c>
      <c r="B233" s="8" t="s">
        <v>53</v>
      </c>
      <c r="C233" s="30" t="n">
        <v>4925</v>
      </c>
      <c r="D233" s="30" t="n">
        <v>4925</v>
      </c>
      <c r="E233" s="30" t="n">
        <f aca="false">MIN(C233,D233)</f>
        <v>4925</v>
      </c>
      <c r="F233" s="8" t="n">
        <f aca="false">IF(D233&gt;0,1,0)</f>
        <v>1</v>
      </c>
    </row>
    <row r="234" customFormat="false" ht="15" hidden="false" customHeight="false" outlineLevel="0" collapsed="false">
      <c r="A234" s="8" t="s">
        <v>4432</v>
      </c>
      <c r="B234" s="8" t="s">
        <v>53</v>
      </c>
      <c r="C234" s="30" t="n">
        <v>4900</v>
      </c>
      <c r="D234" s="30" t="n">
        <v>0</v>
      </c>
      <c r="E234" s="30" t="n">
        <f aca="false">MIN(C234,D234)</f>
        <v>0</v>
      </c>
      <c r="F234" s="8" t="n">
        <f aca="false">IF(D234&gt;0,1,0)</f>
        <v>0</v>
      </c>
    </row>
    <row r="235" customFormat="false" ht="15" hidden="false" customHeight="false" outlineLevel="0" collapsed="false">
      <c r="A235" s="8" t="s">
        <v>4433</v>
      </c>
      <c r="B235" s="8" t="s">
        <v>53</v>
      </c>
      <c r="C235" s="30" t="n">
        <v>4900</v>
      </c>
      <c r="D235" s="30" t="n">
        <v>0</v>
      </c>
      <c r="E235" s="30" t="n">
        <f aca="false">MIN(C235,D235)</f>
        <v>0</v>
      </c>
      <c r="F235" s="8" t="n">
        <f aca="false">IF(D235&gt;0,1,0)</f>
        <v>0</v>
      </c>
    </row>
    <row r="236" customFormat="false" ht="15" hidden="false" customHeight="false" outlineLevel="0" collapsed="false">
      <c r="A236" s="8" t="s">
        <v>709</v>
      </c>
      <c r="B236" s="8" t="s">
        <v>53</v>
      </c>
      <c r="C236" s="30" t="n">
        <v>4900</v>
      </c>
      <c r="D236" s="30" t="n">
        <v>5950</v>
      </c>
      <c r="E236" s="30" t="n">
        <f aca="false">MIN(C236,D236)</f>
        <v>4900</v>
      </c>
      <c r="F236" s="8" t="n">
        <f aca="false">IF(D236&gt;0,1,0)</f>
        <v>1</v>
      </c>
    </row>
    <row r="237" customFormat="false" ht="15" hidden="false" customHeight="false" outlineLevel="0" collapsed="false">
      <c r="A237" s="8" t="s">
        <v>805</v>
      </c>
      <c r="B237" s="8" t="s">
        <v>53</v>
      </c>
      <c r="C237" s="30" t="n">
        <v>4875</v>
      </c>
      <c r="D237" s="30" t="n">
        <v>4875</v>
      </c>
      <c r="E237" s="30" t="n">
        <f aca="false">MIN(C237,D237)</f>
        <v>4875</v>
      </c>
      <c r="F237" s="8" t="n">
        <f aca="false">IF(D237&gt;0,1,0)</f>
        <v>1</v>
      </c>
    </row>
    <row r="238" customFormat="false" ht="15" hidden="false" customHeight="false" outlineLevel="0" collapsed="false">
      <c r="A238" s="8" t="s">
        <v>807</v>
      </c>
      <c r="B238" s="8" t="s">
        <v>53</v>
      </c>
      <c r="C238" s="30" t="n">
        <v>4875</v>
      </c>
      <c r="D238" s="30" t="n">
        <v>4875</v>
      </c>
      <c r="E238" s="30" t="n">
        <f aca="false">MIN(C238,D238)</f>
        <v>4875</v>
      </c>
      <c r="F238" s="8" t="n">
        <f aca="false">IF(D238&gt;0,1,0)</f>
        <v>1</v>
      </c>
    </row>
    <row r="239" customFormat="false" ht="15" hidden="false" customHeight="false" outlineLevel="0" collapsed="false">
      <c r="A239" s="8" t="s">
        <v>809</v>
      </c>
      <c r="B239" s="8" t="s">
        <v>53</v>
      </c>
      <c r="C239" s="30" t="n">
        <v>4875</v>
      </c>
      <c r="D239" s="30" t="n">
        <v>4875</v>
      </c>
      <c r="E239" s="30" t="n">
        <f aca="false">MIN(C239,D239)</f>
        <v>4875</v>
      </c>
      <c r="F239" s="8" t="n">
        <f aca="false">IF(D239&gt;0,1,0)</f>
        <v>1</v>
      </c>
    </row>
    <row r="240" customFormat="false" ht="15" hidden="false" customHeight="false" outlineLevel="0" collapsed="false">
      <c r="A240" s="8" t="s">
        <v>811</v>
      </c>
      <c r="B240" s="8" t="s">
        <v>53</v>
      </c>
      <c r="C240" s="30" t="n">
        <v>4850</v>
      </c>
      <c r="D240" s="30" t="n">
        <v>4850</v>
      </c>
      <c r="E240" s="30" t="n">
        <f aca="false">MIN(C240,D240)</f>
        <v>4850</v>
      </c>
      <c r="F240" s="8" t="n">
        <f aca="false">IF(D240&gt;0,1,0)</f>
        <v>1</v>
      </c>
    </row>
    <row r="241" customFormat="false" ht="15" hidden="false" customHeight="false" outlineLevel="0" collapsed="false">
      <c r="A241" s="8" t="s">
        <v>815</v>
      </c>
      <c r="B241" s="8" t="s">
        <v>53</v>
      </c>
      <c r="C241" s="30" t="n">
        <v>4850</v>
      </c>
      <c r="D241" s="30" t="n">
        <v>4850</v>
      </c>
      <c r="E241" s="30" t="n">
        <f aca="false">MIN(C241,D241)</f>
        <v>4850</v>
      </c>
      <c r="F241" s="8" t="n">
        <f aca="false">IF(D241&gt;0,1,0)</f>
        <v>1</v>
      </c>
    </row>
    <row r="242" customFormat="false" ht="15" hidden="false" customHeight="false" outlineLevel="0" collapsed="false">
      <c r="A242" s="8" t="s">
        <v>817</v>
      </c>
      <c r="B242" s="8" t="s">
        <v>53</v>
      </c>
      <c r="C242" s="30" t="n">
        <v>4850</v>
      </c>
      <c r="D242" s="30" t="n">
        <v>4850</v>
      </c>
      <c r="E242" s="30" t="n">
        <f aca="false">MIN(C242,D242)</f>
        <v>4850</v>
      </c>
      <c r="F242" s="8" t="n">
        <f aca="false">IF(D242&gt;0,1,0)</f>
        <v>1</v>
      </c>
    </row>
    <row r="243" customFormat="false" ht="15" hidden="false" customHeight="false" outlineLevel="0" collapsed="false">
      <c r="A243" s="8" t="s">
        <v>819</v>
      </c>
      <c r="B243" s="8" t="s">
        <v>55</v>
      </c>
      <c r="C243" s="30" t="n">
        <v>4825</v>
      </c>
      <c r="D243" s="30" t="n">
        <v>4825</v>
      </c>
      <c r="E243" s="30" t="n">
        <f aca="false">MIN(C243,D243)</f>
        <v>4825</v>
      </c>
      <c r="F243" s="8" t="n">
        <f aca="false">IF(D243&gt;0,1,0)</f>
        <v>1</v>
      </c>
    </row>
    <row r="244" customFormat="false" ht="15" hidden="false" customHeight="false" outlineLevel="0" collapsed="false">
      <c r="A244" s="8" t="s">
        <v>4434</v>
      </c>
      <c r="B244" s="8" t="s">
        <v>53</v>
      </c>
      <c r="C244" s="30" t="n">
        <v>4815</v>
      </c>
      <c r="D244" s="30" t="n">
        <v>0</v>
      </c>
      <c r="E244" s="30" t="n">
        <f aca="false">MIN(C244,D244)</f>
        <v>0</v>
      </c>
      <c r="F244" s="8" t="n">
        <f aca="false">IF(D244&gt;0,1,0)</f>
        <v>0</v>
      </c>
    </row>
    <row r="245" customFormat="false" ht="15" hidden="false" customHeight="false" outlineLevel="0" collapsed="false">
      <c r="A245" s="8" t="s">
        <v>4435</v>
      </c>
      <c r="B245" s="8" t="s">
        <v>53</v>
      </c>
      <c r="C245" s="30" t="n">
        <v>4800</v>
      </c>
      <c r="D245" s="30" t="n">
        <v>0</v>
      </c>
      <c r="E245" s="30" t="n">
        <f aca="false">MIN(C245,D245)</f>
        <v>0</v>
      </c>
      <c r="F245" s="8" t="n">
        <f aca="false">IF(D245&gt;0,1,0)</f>
        <v>0</v>
      </c>
    </row>
    <row r="246" customFormat="false" ht="15" hidden="false" customHeight="false" outlineLevel="0" collapsed="false">
      <c r="A246" s="8" t="s">
        <v>829</v>
      </c>
      <c r="B246" s="8" t="s">
        <v>53</v>
      </c>
      <c r="C246" s="30" t="n">
        <v>4800</v>
      </c>
      <c r="D246" s="30" t="n">
        <v>4800</v>
      </c>
      <c r="E246" s="30" t="n">
        <f aca="false">MIN(C246,D246)</f>
        <v>4800</v>
      </c>
      <c r="F246" s="8" t="n">
        <f aca="false">IF(D246&gt;0,1,0)</f>
        <v>1</v>
      </c>
    </row>
    <row r="247" customFormat="false" ht="15" hidden="false" customHeight="false" outlineLevel="0" collapsed="false">
      <c r="A247" s="8" t="s">
        <v>831</v>
      </c>
      <c r="B247" s="8" t="s">
        <v>53</v>
      </c>
      <c r="C247" s="30" t="n">
        <v>4775</v>
      </c>
      <c r="D247" s="30" t="n">
        <v>4775</v>
      </c>
      <c r="E247" s="30" t="n">
        <f aca="false">MIN(C247,D247)</f>
        <v>4775</v>
      </c>
      <c r="F247" s="8" t="n">
        <f aca="false">IF(D247&gt;0,1,0)</f>
        <v>1</v>
      </c>
    </row>
    <row r="248" customFormat="false" ht="15" hidden="false" customHeight="false" outlineLevel="0" collapsed="false">
      <c r="A248" s="8" t="s">
        <v>835</v>
      </c>
      <c r="B248" s="8" t="s">
        <v>53</v>
      </c>
      <c r="C248" s="30" t="n">
        <v>4775</v>
      </c>
      <c r="D248" s="30" t="n">
        <v>4775</v>
      </c>
      <c r="E248" s="30" t="n">
        <f aca="false">MIN(C248,D248)</f>
        <v>4775</v>
      </c>
      <c r="F248" s="8" t="n">
        <f aca="false">IF(D248&gt;0,1,0)</f>
        <v>1</v>
      </c>
    </row>
    <row r="249" customFormat="false" ht="15" hidden="false" customHeight="false" outlineLevel="0" collapsed="false">
      <c r="A249" s="8" t="s">
        <v>837</v>
      </c>
      <c r="B249" s="8" t="s">
        <v>53</v>
      </c>
      <c r="C249" s="30" t="n">
        <v>4775</v>
      </c>
      <c r="D249" s="30" t="n">
        <v>4775</v>
      </c>
      <c r="E249" s="30" t="n">
        <f aca="false">MIN(C249,D249)</f>
        <v>4775</v>
      </c>
      <c r="F249" s="8" t="n">
        <f aca="false">IF(D249&gt;0,1,0)</f>
        <v>1</v>
      </c>
    </row>
    <row r="250" customFormat="false" ht="15" hidden="false" customHeight="false" outlineLevel="0" collapsed="false">
      <c r="A250" s="8" t="s">
        <v>839</v>
      </c>
      <c r="B250" s="8" t="s">
        <v>53</v>
      </c>
      <c r="C250" s="30" t="n">
        <v>4775</v>
      </c>
      <c r="D250" s="30" t="n">
        <v>4775</v>
      </c>
      <c r="E250" s="30" t="n">
        <f aca="false">MIN(C250,D250)</f>
        <v>4775</v>
      </c>
      <c r="F250" s="8" t="n">
        <f aca="false">IF(D250&gt;0,1,0)</f>
        <v>1</v>
      </c>
    </row>
    <row r="251" customFormat="false" ht="15" hidden="false" customHeight="false" outlineLevel="0" collapsed="false">
      <c r="A251" s="8" t="s">
        <v>699</v>
      </c>
      <c r="B251" s="8" t="s">
        <v>55</v>
      </c>
      <c r="C251" s="30" t="n">
        <v>4775</v>
      </c>
      <c r="D251" s="30" t="n">
        <v>6100</v>
      </c>
      <c r="E251" s="30" t="n">
        <f aca="false">MIN(C251,D251)</f>
        <v>4775</v>
      </c>
      <c r="F251" s="8" t="n">
        <f aca="false">IF(D251&gt;0,1,0)</f>
        <v>1</v>
      </c>
    </row>
    <row r="252" customFormat="false" ht="15" hidden="false" customHeight="false" outlineLevel="0" collapsed="false">
      <c r="A252" s="8" t="s">
        <v>747</v>
      </c>
      <c r="B252" s="8" t="s">
        <v>53</v>
      </c>
      <c r="C252" s="30" t="n">
        <v>4750</v>
      </c>
      <c r="D252" s="30" t="n">
        <v>5450</v>
      </c>
      <c r="E252" s="30" t="n">
        <f aca="false">MIN(C252,D252)</f>
        <v>4750</v>
      </c>
      <c r="F252" s="8" t="n">
        <f aca="false">IF(D252&gt;0,1,0)</f>
        <v>1</v>
      </c>
    </row>
    <row r="253" customFormat="false" ht="15" hidden="false" customHeight="false" outlineLevel="0" collapsed="false">
      <c r="A253" s="8" t="s">
        <v>771</v>
      </c>
      <c r="B253" s="8" t="s">
        <v>53</v>
      </c>
      <c r="C253" s="30" t="n">
        <v>4750</v>
      </c>
      <c r="D253" s="30" t="n">
        <v>5175</v>
      </c>
      <c r="E253" s="30" t="n">
        <f aca="false">MIN(C253,D253)</f>
        <v>4750</v>
      </c>
      <c r="F253" s="8" t="n">
        <f aca="false">IF(D253&gt;0,1,0)</f>
        <v>1</v>
      </c>
    </row>
    <row r="254" customFormat="false" ht="15" hidden="false" customHeight="false" outlineLevel="0" collapsed="false">
      <c r="A254" s="8" t="s">
        <v>849</v>
      </c>
      <c r="B254" s="8" t="s">
        <v>53</v>
      </c>
      <c r="C254" s="30" t="n">
        <v>4750</v>
      </c>
      <c r="D254" s="30" t="n">
        <v>4750</v>
      </c>
      <c r="E254" s="30" t="n">
        <f aca="false">MIN(C254,D254)</f>
        <v>4750</v>
      </c>
      <c r="F254" s="8" t="n">
        <f aca="false">IF(D254&gt;0,1,0)</f>
        <v>1</v>
      </c>
    </row>
    <row r="255" customFormat="false" ht="15" hidden="false" customHeight="false" outlineLevel="0" collapsed="false">
      <c r="A255" s="8" t="s">
        <v>851</v>
      </c>
      <c r="B255" s="8" t="s">
        <v>53</v>
      </c>
      <c r="C255" s="30" t="n">
        <v>4750</v>
      </c>
      <c r="D255" s="30" t="n">
        <v>4750</v>
      </c>
      <c r="E255" s="30" t="n">
        <f aca="false">MIN(C255,D255)</f>
        <v>4750</v>
      </c>
      <c r="F255" s="8" t="n">
        <f aca="false">IF(D255&gt;0,1,0)</f>
        <v>1</v>
      </c>
    </row>
    <row r="256" customFormat="false" ht="15" hidden="false" customHeight="false" outlineLevel="0" collapsed="false">
      <c r="A256" s="8" t="s">
        <v>853</v>
      </c>
      <c r="B256" s="8" t="s">
        <v>53</v>
      </c>
      <c r="C256" s="30" t="n">
        <v>4725</v>
      </c>
      <c r="D256" s="30" t="n">
        <v>4725</v>
      </c>
      <c r="E256" s="30" t="n">
        <f aca="false">MIN(C256,D256)</f>
        <v>4725</v>
      </c>
      <c r="F256" s="8" t="n">
        <f aca="false">IF(D256&gt;0,1,0)</f>
        <v>1</v>
      </c>
    </row>
    <row r="257" customFormat="false" ht="15" hidden="false" customHeight="false" outlineLevel="0" collapsed="false">
      <c r="A257" s="8" t="s">
        <v>753</v>
      </c>
      <c r="B257" s="8" t="s">
        <v>53</v>
      </c>
      <c r="C257" s="30" t="n">
        <v>4700</v>
      </c>
      <c r="D257" s="30" t="n">
        <v>5375</v>
      </c>
      <c r="E257" s="30" t="n">
        <f aca="false">MIN(C257,D257)</f>
        <v>4700</v>
      </c>
      <c r="F257" s="8" t="n">
        <f aca="false">IF(D257&gt;0,1,0)</f>
        <v>1</v>
      </c>
    </row>
    <row r="258" customFormat="false" ht="15" hidden="false" customHeight="false" outlineLevel="0" collapsed="false">
      <c r="A258" s="8" t="s">
        <v>857</v>
      </c>
      <c r="B258" s="8" t="s">
        <v>53</v>
      </c>
      <c r="C258" s="30" t="n">
        <v>4700</v>
      </c>
      <c r="D258" s="30" t="n">
        <v>4700</v>
      </c>
      <c r="E258" s="30" t="n">
        <f aca="false">MIN(C258,D258)</f>
        <v>4700</v>
      </c>
      <c r="F258" s="8" t="n">
        <f aca="false">IF(D258&gt;0,1,0)</f>
        <v>1</v>
      </c>
    </row>
    <row r="259" customFormat="false" ht="15" hidden="false" customHeight="false" outlineLevel="0" collapsed="false">
      <c r="A259" s="8" t="s">
        <v>763</v>
      </c>
      <c r="B259" s="8" t="s">
        <v>53</v>
      </c>
      <c r="C259" s="30" t="n">
        <v>4700</v>
      </c>
      <c r="D259" s="30" t="n">
        <v>5250</v>
      </c>
      <c r="E259" s="30" t="n">
        <f aca="false">MIN(C259,D259)</f>
        <v>4700</v>
      </c>
      <c r="F259" s="8" t="n">
        <f aca="false">IF(D259&gt;0,1,0)</f>
        <v>1</v>
      </c>
    </row>
    <row r="260" customFormat="false" ht="15" hidden="false" customHeight="false" outlineLevel="0" collapsed="false">
      <c r="A260" s="8" t="s">
        <v>861</v>
      </c>
      <c r="B260" s="8" t="s">
        <v>53</v>
      </c>
      <c r="C260" s="30" t="n">
        <v>4700</v>
      </c>
      <c r="D260" s="30" t="n">
        <v>4700</v>
      </c>
      <c r="E260" s="30" t="n">
        <f aca="false">MIN(C260,D260)</f>
        <v>4700</v>
      </c>
      <c r="F260" s="8" t="n">
        <f aca="false">IF(D260&gt;0,1,0)</f>
        <v>1</v>
      </c>
    </row>
    <row r="261" customFormat="false" ht="15" hidden="false" customHeight="false" outlineLevel="0" collapsed="false">
      <c r="A261" s="8" t="s">
        <v>863</v>
      </c>
      <c r="B261" s="8" t="s">
        <v>53</v>
      </c>
      <c r="C261" s="30" t="n">
        <v>4680</v>
      </c>
      <c r="D261" s="30" t="n">
        <v>4680</v>
      </c>
      <c r="E261" s="30" t="n">
        <f aca="false">MIN(C261,D261)</f>
        <v>4680</v>
      </c>
      <c r="F261" s="8" t="n">
        <f aca="false">IF(D261&gt;0,1,0)</f>
        <v>1</v>
      </c>
    </row>
    <row r="262" customFormat="false" ht="15" hidden="false" customHeight="false" outlineLevel="0" collapsed="false">
      <c r="A262" s="8" t="s">
        <v>865</v>
      </c>
      <c r="B262" s="8" t="s">
        <v>53</v>
      </c>
      <c r="C262" s="30" t="n">
        <v>4675</v>
      </c>
      <c r="D262" s="30" t="n">
        <v>4675</v>
      </c>
      <c r="E262" s="30" t="n">
        <f aca="false">MIN(C262,D262)</f>
        <v>4675</v>
      </c>
      <c r="F262" s="8" t="n">
        <f aca="false">IF(D262&gt;0,1,0)</f>
        <v>1</v>
      </c>
    </row>
    <row r="263" customFormat="false" ht="15" hidden="false" customHeight="false" outlineLevel="0" collapsed="false">
      <c r="A263" s="8" t="s">
        <v>945</v>
      </c>
      <c r="B263" s="8" t="s">
        <v>53</v>
      </c>
      <c r="C263" s="30" t="n">
        <v>4675</v>
      </c>
      <c r="D263" s="30" t="n">
        <v>4325</v>
      </c>
      <c r="E263" s="30" t="n">
        <f aca="false">MIN(C263,D263)</f>
        <v>4325</v>
      </c>
      <c r="F263" s="8" t="n">
        <f aca="false">IF(D263&gt;0,1,0)</f>
        <v>1</v>
      </c>
    </row>
    <row r="264" customFormat="false" ht="15" hidden="false" customHeight="false" outlineLevel="0" collapsed="false">
      <c r="A264" s="8" t="s">
        <v>867</v>
      </c>
      <c r="B264" s="8" t="s">
        <v>53</v>
      </c>
      <c r="C264" s="30" t="n">
        <v>4650</v>
      </c>
      <c r="D264" s="30" t="n">
        <v>4650</v>
      </c>
      <c r="E264" s="30" t="n">
        <f aca="false">MIN(C264,D264)</f>
        <v>4650</v>
      </c>
      <c r="F264" s="8" t="n">
        <f aca="false">IF(D264&gt;0,1,0)</f>
        <v>1</v>
      </c>
    </row>
    <row r="265" customFormat="false" ht="15" hidden="false" customHeight="false" outlineLevel="0" collapsed="false">
      <c r="A265" s="8" t="s">
        <v>871</v>
      </c>
      <c r="B265" s="8" t="s">
        <v>53</v>
      </c>
      <c r="C265" s="30" t="n">
        <v>4650</v>
      </c>
      <c r="D265" s="30" t="n">
        <v>4650</v>
      </c>
      <c r="E265" s="30" t="n">
        <f aca="false">MIN(C265,D265)</f>
        <v>4650</v>
      </c>
      <c r="F265" s="8" t="n">
        <f aca="false">IF(D265&gt;0,1,0)</f>
        <v>1</v>
      </c>
    </row>
    <row r="266" customFormat="false" ht="15" hidden="false" customHeight="false" outlineLevel="0" collapsed="false">
      <c r="A266" s="8" t="s">
        <v>875</v>
      </c>
      <c r="B266" s="8" t="s">
        <v>53</v>
      </c>
      <c r="C266" s="30" t="n">
        <v>4600</v>
      </c>
      <c r="D266" s="30" t="n">
        <v>4600</v>
      </c>
      <c r="E266" s="30" t="n">
        <f aca="false">MIN(C266,D266)</f>
        <v>4600</v>
      </c>
      <c r="F266" s="8" t="n">
        <f aca="false">IF(D266&gt;0,1,0)</f>
        <v>1</v>
      </c>
    </row>
    <row r="267" customFormat="false" ht="15" hidden="false" customHeight="false" outlineLevel="0" collapsed="false">
      <c r="A267" s="8" t="s">
        <v>877</v>
      </c>
      <c r="B267" s="8" t="s">
        <v>53</v>
      </c>
      <c r="C267" s="30" t="n">
        <v>4600</v>
      </c>
      <c r="D267" s="30" t="n">
        <v>4600</v>
      </c>
      <c r="E267" s="30" t="n">
        <f aca="false">MIN(C267,D267)</f>
        <v>4600</v>
      </c>
      <c r="F267" s="8" t="n">
        <f aca="false">IF(D267&gt;0,1,0)</f>
        <v>1</v>
      </c>
    </row>
    <row r="268" customFormat="false" ht="15" hidden="false" customHeight="false" outlineLevel="0" collapsed="false">
      <c r="A268" s="8" t="s">
        <v>593</v>
      </c>
      <c r="B268" s="8" t="s">
        <v>53</v>
      </c>
      <c r="C268" s="30" t="n">
        <v>4600</v>
      </c>
      <c r="D268" s="30" t="n">
        <v>7825</v>
      </c>
      <c r="E268" s="30" t="n">
        <f aca="false">MIN(C268,D268)</f>
        <v>4600</v>
      </c>
      <c r="F268" s="8" t="n">
        <f aca="false">IF(D268&gt;0,1,0)</f>
        <v>1</v>
      </c>
    </row>
    <row r="269" customFormat="false" ht="15" hidden="false" customHeight="false" outlineLevel="0" collapsed="false">
      <c r="A269" s="8" t="s">
        <v>725</v>
      </c>
      <c r="B269" s="8" t="s">
        <v>53</v>
      </c>
      <c r="C269" s="30" t="n">
        <v>4600</v>
      </c>
      <c r="D269" s="30" t="n">
        <v>5750</v>
      </c>
      <c r="E269" s="30" t="n">
        <f aca="false">MIN(C269,D269)</f>
        <v>4600</v>
      </c>
      <c r="F269" s="8" t="n">
        <f aca="false">IF(D269&gt;0,1,0)</f>
        <v>1</v>
      </c>
    </row>
    <row r="270" customFormat="false" ht="15" hidden="false" customHeight="false" outlineLevel="0" collapsed="false">
      <c r="A270" s="8" t="s">
        <v>883</v>
      </c>
      <c r="B270" s="8" t="s">
        <v>55</v>
      </c>
      <c r="C270" s="30" t="n">
        <v>4575</v>
      </c>
      <c r="D270" s="30" t="n">
        <v>4575</v>
      </c>
      <c r="E270" s="30" t="n">
        <f aca="false">MIN(C270,D270)</f>
        <v>4575</v>
      </c>
      <c r="F270" s="8" t="n">
        <f aca="false">IF(D270&gt;0,1,0)</f>
        <v>1</v>
      </c>
    </row>
    <row r="271" customFormat="false" ht="15" hidden="false" customHeight="false" outlineLevel="0" collapsed="false">
      <c r="A271" s="8" t="s">
        <v>761</v>
      </c>
      <c r="B271" s="8" t="s">
        <v>55</v>
      </c>
      <c r="C271" s="30" t="n">
        <v>4575</v>
      </c>
      <c r="D271" s="30" t="n">
        <v>5275</v>
      </c>
      <c r="E271" s="30" t="n">
        <f aca="false">MIN(C271,D271)</f>
        <v>4575</v>
      </c>
      <c r="F271" s="8" t="n">
        <f aca="false">IF(D271&gt;0,1,0)</f>
        <v>1</v>
      </c>
    </row>
    <row r="272" customFormat="false" ht="15" hidden="false" customHeight="false" outlineLevel="0" collapsed="false">
      <c r="A272" s="8" t="s">
        <v>885</v>
      </c>
      <c r="B272" s="8" t="s">
        <v>53</v>
      </c>
      <c r="C272" s="30" t="n">
        <v>4575</v>
      </c>
      <c r="D272" s="30" t="n">
        <v>4575</v>
      </c>
      <c r="E272" s="30" t="n">
        <f aca="false">MIN(C272,D272)</f>
        <v>4575</v>
      </c>
      <c r="F272" s="8" t="n">
        <f aca="false">IF(D272&gt;0,1,0)</f>
        <v>1</v>
      </c>
    </row>
    <row r="273" customFormat="false" ht="15" hidden="false" customHeight="false" outlineLevel="0" collapsed="false">
      <c r="A273" s="8" t="s">
        <v>887</v>
      </c>
      <c r="B273" s="8" t="s">
        <v>53</v>
      </c>
      <c r="C273" s="30" t="n">
        <v>4575</v>
      </c>
      <c r="D273" s="30" t="n">
        <v>4575</v>
      </c>
      <c r="E273" s="30" t="n">
        <f aca="false">MIN(C273,D273)</f>
        <v>4575</v>
      </c>
      <c r="F273" s="8" t="n">
        <f aca="false">IF(D273&gt;0,1,0)</f>
        <v>1</v>
      </c>
    </row>
    <row r="274" customFormat="false" ht="15" hidden="false" customHeight="false" outlineLevel="0" collapsed="false">
      <c r="A274" s="8" t="s">
        <v>889</v>
      </c>
      <c r="B274" s="8" t="s">
        <v>53</v>
      </c>
      <c r="C274" s="30" t="n">
        <v>4575</v>
      </c>
      <c r="D274" s="30" t="n">
        <v>4575</v>
      </c>
      <c r="E274" s="30" t="n">
        <f aca="false">MIN(C274,D274)</f>
        <v>4575</v>
      </c>
      <c r="F274" s="8" t="n">
        <f aca="false">IF(D274&gt;0,1,0)</f>
        <v>1</v>
      </c>
    </row>
    <row r="275" customFormat="false" ht="15" hidden="false" customHeight="false" outlineLevel="0" collapsed="false">
      <c r="A275" s="8" t="s">
        <v>891</v>
      </c>
      <c r="B275" s="8" t="s">
        <v>53</v>
      </c>
      <c r="C275" s="30" t="n">
        <v>4550</v>
      </c>
      <c r="D275" s="30" t="n">
        <v>4550</v>
      </c>
      <c r="E275" s="30" t="n">
        <f aca="false">MIN(C275,D275)</f>
        <v>4550</v>
      </c>
      <c r="F275" s="8" t="n">
        <f aca="false">IF(D275&gt;0,1,0)</f>
        <v>1</v>
      </c>
    </row>
    <row r="276" customFormat="false" ht="15" hidden="false" customHeight="false" outlineLevel="0" collapsed="false">
      <c r="A276" s="8" t="s">
        <v>723</v>
      </c>
      <c r="B276" s="8" t="s">
        <v>53</v>
      </c>
      <c r="C276" s="30" t="n">
        <v>4550</v>
      </c>
      <c r="D276" s="30" t="n">
        <v>5750</v>
      </c>
      <c r="E276" s="30" t="n">
        <f aca="false">MIN(C276,D276)</f>
        <v>4550</v>
      </c>
      <c r="F276" s="8" t="n">
        <f aca="false">IF(D276&gt;0,1,0)</f>
        <v>1</v>
      </c>
    </row>
    <row r="277" customFormat="false" ht="15" hidden="false" customHeight="false" outlineLevel="0" collapsed="false">
      <c r="A277" s="8" t="s">
        <v>893</v>
      </c>
      <c r="B277" s="8" t="s">
        <v>53</v>
      </c>
      <c r="C277" s="30" t="n">
        <v>4550</v>
      </c>
      <c r="D277" s="30" t="n">
        <v>4550</v>
      </c>
      <c r="E277" s="30" t="n">
        <f aca="false">MIN(C277,D277)</f>
        <v>4550</v>
      </c>
      <c r="F277" s="8" t="n">
        <f aca="false">IF(D277&gt;0,1,0)</f>
        <v>1</v>
      </c>
    </row>
    <row r="278" customFormat="false" ht="15" hidden="false" customHeight="false" outlineLevel="0" collapsed="false">
      <c r="A278" s="8" t="s">
        <v>4436</v>
      </c>
      <c r="B278" s="8" t="s">
        <v>53</v>
      </c>
      <c r="C278" s="30" t="n">
        <v>4545</v>
      </c>
      <c r="D278" s="30" t="n">
        <v>0</v>
      </c>
      <c r="E278" s="30" t="n">
        <f aca="false">MIN(C278,D278)</f>
        <v>0</v>
      </c>
      <c r="F278" s="8" t="n">
        <f aca="false">IF(D278&gt;0,1,0)</f>
        <v>0</v>
      </c>
    </row>
    <row r="279" customFormat="false" ht="15" hidden="false" customHeight="false" outlineLevel="0" collapsed="false">
      <c r="A279" s="8" t="s">
        <v>897</v>
      </c>
      <c r="B279" s="8" t="s">
        <v>53</v>
      </c>
      <c r="C279" s="30" t="n">
        <v>4525</v>
      </c>
      <c r="D279" s="30" t="n">
        <v>4525</v>
      </c>
      <c r="E279" s="30" t="n">
        <f aca="false">MIN(C279,D279)</f>
        <v>4525</v>
      </c>
      <c r="F279" s="8" t="n">
        <f aca="false">IF(D279&gt;0,1,0)</f>
        <v>1</v>
      </c>
    </row>
    <row r="280" customFormat="false" ht="15" hidden="false" customHeight="false" outlineLevel="0" collapsed="false">
      <c r="A280" s="8" t="s">
        <v>4437</v>
      </c>
      <c r="B280" s="8" t="s">
        <v>53</v>
      </c>
      <c r="C280" s="30" t="n">
        <v>4525</v>
      </c>
      <c r="D280" s="30" t="n">
        <v>0</v>
      </c>
      <c r="E280" s="30" t="n">
        <f aca="false">MIN(C280,D280)</f>
        <v>0</v>
      </c>
      <c r="F280" s="8" t="n">
        <f aca="false">IF(D280&gt;0,1,0)</f>
        <v>0</v>
      </c>
    </row>
    <row r="281" customFormat="false" ht="15" hidden="false" customHeight="false" outlineLevel="0" collapsed="false">
      <c r="A281" s="8" t="s">
        <v>899</v>
      </c>
      <c r="B281" s="8" t="s">
        <v>53</v>
      </c>
      <c r="C281" s="30" t="n">
        <v>4525</v>
      </c>
      <c r="D281" s="30" t="n">
        <v>4525</v>
      </c>
      <c r="E281" s="30" t="n">
        <f aca="false">MIN(C281,D281)</f>
        <v>4525</v>
      </c>
      <c r="F281" s="8" t="n">
        <f aca="false">IF(D281&gt;0,1,0)</f>
        <v>1</v>
      </c>
    </row>
    <row r="282" customFormat="false" ht="15" hidden="false" customHeight="false" outlineLevel="0" collapsed="false">
      <c r="A282" s="8" t="s">
        <v>903</v>
      </c>
      <c r="B282" s="8" t="s">
        <v>53</v>
      </c>
      <c r="C282" s="30" t="n">
        <v>4500</v>
      </c>
      <c r="D282" s="30" t="n">
        <v>4500</v>
      </c>
      <c r="E282" s="30" t="n">
        <f aca="false">MIN(C282,D282)</f>
        <v>4500</v>
      </c>
      <c r="F282" s="8" t="n">
        <f aca="false">IF(D282&gt;0,1,0)</f>
        <v>1</v>
      </c>
    </row>
    <row r="283" customFormat="false" ht="15" hidden="false" customHeight="false" outlineLevel="0" collapsed="false">
      <c r="A283" s="8" t="s">
        <v>905</v>
      </c>
      <c r="B283" s="8" t="s">
        <v>53</v>
      </c>
      <c r="C283" s="30" t="n">
        <v>4475</v>
      </c>
      <c r="D283" s="30" t="n">
        <v>4475</v>
      </c>
      <c r="E283" s="30" t="n">
        <f aca="false">MIN(C283,D283)</f>
        <v>4475</v>
      </c>
      <c r="F283" s="8" t="n">
        <f aca="false">IF(D283&gt;0,1,0)</f>
        <v>1</v>
      </c>
    </row>
    <row r="284" customFormat="false" ht="15" hidden="false" customHeight="false" outlineLevel="0" collapsed="false">
      <c r="A284" s="8" t="s">
        <v>919</v>
      </c>
      <c r="B284" s="8" t="s">
        <v>53</v>
      </c>
      <c r="C284" s="30" t="n">
        <v>4450</v>
      </c>
      <c r="D284" s="30" t="n">
        <v>4450</v>
      </c>
      <c r="E284" s="30" t="n">
        <f aca="false">MIN(C284,D284)</f>
        <v>4450</v>
      </c>
      <c r="F284" s="8" t="n">
        <f aca="false">IF(D284&gt;0,1,0)</f>
        <v>1</v>
      </c>
    </row>
    <row r="285" customFormat="false" ht="15" hidden="false" customHeight="false" outlineLevel="0" collapsed="false">
      <c r="A285" s="8" t="s">
        <v>921</v>
      </c>
      <c r="B285" s="8" t="s">
        <v>53</v>
      </c>
      <c r="C285" s="30" t="n">
        <v>4450</v>
      </c>
      <c r="D285" s="30" t="n">
        <v>4450</v>
      </c>
      <c r="E285" s="30" t="n">
        <f aca="false">MIN(C285,D285)</f>
        <v>4450</v>
      </c>
      <c r="F285" s="8" t="n">
        <f aca="false">IF(D285&gt;0,1,0)</f>
        <v>1</v>
      </c>
    </row>
    <row r="286" customFormat="false" ht="15" hidden="false" customHeight="false" outlineLevel="0" collapsed="false">
      <c r="A286" s="8" t="s">
        <v>925</v>
      </c>
      <c r="B286" s="8" t="s">
        <v>53</v>
      </c>
      <c r="C286" s="30" t="n">
        <v>4450</v>
      </c>
      <c r="D286" s="30" t="n">
        <v>4450</v>
      </c>
      <c r="E286" s="30" t="n">
        <f aca="false">MIN(C286,D286)</f>
        <v>4450</v>
      </c>
      <c r="F286" s="8" t="n">
        <f aca="false">IF(D286&gt;0,1,0)</f>
        <v>1</v>
      </c>
    </row>
    <row r="287" customFormat="false" ht="15" hidden="false" customHeight="false" outlineLevel="0" collapsed="false">
      <c r="A287" s="8" t="s">
        <v>1195</v>
      </c>
      <c r="B287" s="8" t="s">
        <v>53</v>
      </c>
      <c r="C287" s="30" t="n">
        <v>4425</v>
      </c>
      <c r="D287" s="30" t="n">
        <v>3400</v>
      </c>
      <c r="E287" s="30" t="n">
        <f aca="false">MIN(C287,D287)</f>
        <v>3400</v>
      </c>
      <c r="F287" s="8" t="n">
        <f aca="false">IF(D287&gt;0,1,0)</f>
        <v>1</v>
      </c>
    </row>
    <row r="288" customFormat="false" ht="15" hidden="false" customHeight="false" outlineLevel="0" collapsed="false">
      <c r="A288" s="8" t="s">
        <v>937</v>
      </c>
      <c r="B288" s="8" t="s">
        <v>53</v>
      </c>
      <c r="C288" s="30" t="n">
        <v>4410</v>
      </c>
      <c r="D288" s="30" t="n">
        <v>4410</v>
      </c>
      <c r="E288" s="30" t="n">
        <f aca="false">MIN(C288,D288)</f>
        <v>4410</v>
      </c>
      <c r="F288" s="8" t="n">
        <f aca="false">IF(D288&gt;0,1,0)</f>
        <v>1</v>
      </c>
    </row>
    <row r="289" customFormat="false" ht="15" hidden="false" customHeight="false" outlineLevel="0" collapsed="false">
      <c r="A289" s="8" t="s">
        <v>717</v>
      </c>
      <c r="B289" s="8" t="s">
        <v>53</v>
      </c>
      <c r="C289" s="30" t="n">
        <v>4400</v>
      </c>
      <c r="D289" s="30" t="n">
        <v>5825</v>
      </c>
      <c r="E289" s="30" t="n">
        <f aca="false">MIN(C289,D289)</f>
        <v>4400</v>
      </c>
      <c r="F289" s="8" t="n">
        <f aca="false">IF(D289&gt;0,1,0)</f>
        <v>1</v>
      </c>
    </row>
    <row r="290" customFormat="false" ht="15" hidden="false" customHeight="false" outlineLevel="0" collapsed="false">
      <c r="A290" s="8" t="s">
        <v>941</v>
      </c>
      <c r="B290" s="8" t="s">
        <v>53</v>
      </c>
      <c r="C290" s="30" t="n">
        <v>4350</v>
      </c>
      <c r="D290" s="30" t="n">
        <v>4350</v>
      </c>
      <c r="E290" s="30" t="n">
        <f aca="false">MIN(C290,D290)</f>
        <v>4350</v>
      </c>
      <c r="F290" s="8" t="n">
        <f aca="false">IF(D290&gt;0,1,0)</f>
        <v>1</v>
      </c>
    </row>
    <row r="291" customFormat="false" ht="15" hidden="false" customHeight="false" outlineLevel="0" collapsed="false">
      <c r="A291" s="8" t="s">
        <v>943</v>
      </c>
      <c r="B291" s="8" t="s">
        <v>53</v>
      </c>
      <c r="C291" s="30" t="n">
        <v>4325</v>
      </c>
      <c r="D291" s="30" t="n">
        <v>4325</v>
      </c>
      <c r="E291" s="30" t="n">
        <f aca="false">MIN(C291,D291)</f>
        <v>4325</v>
      </c>
      <c r="F291" s="8" t="n">
        <f aca="false">IF(D291&gt;0,1,0)</f>
        <v>1</v>
      </c>
    </row>
    <row r="292" customFormat="false" ht="15" hidden="false" customHeight="false" outlineLevel="0" collapsed="false">
      <c r="A292" s="8" t="s">
        <v>951</v>
      </c>
      <c r="B292" s="8" t="s">
        <v>53</v>
      </c>
      <c r="C292" s="30" t="n">
        <v>4300</v>
      </c>
      <c r="D292" s="30" t="n">
        <v>4300</v>
      </c>
      <c r="E292" s="30" t="n">
        <f aca="false">MIN(C292,D292)</f>
        <v>4300</v>
      </c>
      <c r="F292" s="8" t="n">
        <f aca="false">IF(D292&gt;0,1,0)</f>
        <v>1</v>
      </c>
    </row>
    <row r="293" customFormat="false" ht="15" hidden="false" customHeight="false" outlineLevel="0" collapsed="false">
      <c r="A293" s="8" t="s">
        <v>721</v>
      </c>
      <c r="B293" s="8" t="s">
        <v>53</v>
      </c>
      <c r="C293" s="30" t="n">
        <v>4300</v>
      </c>
      <c r="D293" s="30" t="n">
        <v>5750</v>
      </c>
      <c r="E293" s="30" t="n">
        <f aca="false">MIN(C293,D293)</f>
        <v>4300</v>
      </c>
      <c r="F293" s="8" t="n">
        <f aca="false">IF(D293&gt;0,1,0)</f>
        <v>1</v>
      </c>
    </row>
    <row r="294" customFormat="false" ht="15" hidden="false" customHeight="false" outlineLevel="0" collapsed="false">
      <c r="A294" s="8" t="s">
        <v>953</v>
      </c>
      <c r="B294" s="8" t="s">
        <v>53</v>
      </c>
      <c r="C294" s="30" t="n">
        <v>4275</v>
      </c>
      <c r="D294" s="30" t="n">
        <v>4275</v>
      </c>
      <c r="E294" s="30" t="n">
        <f aca="false">MIN(C294,D294)</f>
        <v>4275</v>
      </c>
      <c r="F294" s="8" t="n">
        <f aca="false">IF(D294&gt;0,1,0)</f>
        <v>1</v>
      </c>
    </row>
    <row r="295" customFormat="false" ht="15" hidden="false" customHeight="false" outlineLevel="0" collapsed="false">
      <c r="A295" s="8" t="s">
        <v>813</v>
      </c>
      <c r="B295" s="8" t="s">
        <v>53</v>
      </c>
      <c r="C295" s="30" t="n">
        <v>4275</v>
      </c>
      <c r="D295" s="30" t="n">
        <v>4850</v>
      </c>
      <c r="E295" s="30" t="n">
        <f aca="false">MIN(C295,D295)</f>
        <v>4275</v>
      </c>
      <c r="F295" s="8" t="n">
        <f aca="false">IF(D295&gt;0,1,0)</f>
        <v>1</v>
      </c>
    </row>
    <row r="296" customFormat="false" ht="15" hidden="false" customHeight="false" outlineLevel="0" collapsed="false">
      <c r="A296" s="8" t="s">
        <v>4438</v>
      </c>
      <c r="B296" s="8" t="s">
        <v>53</v>
      </c>
      <c r="C296" s="30" t="n">
        <v>4275</v>
      </c>
      <c r="D296" s="30" t="n">
        <v>0</v>
      </c>
      <c r="E296" s="30" t="n">
        <f aca="false">MIN(C296,D296)</f>
        <v>0</v>
      </c>
      <c r="F296" s="8" t="n">
        <f aca="false">IF(D296&gt;0,1,0)</f>
        <v>0</v>
      </c>
    </row>
    <row r="297" customFormat="false" ht="15" hidden="false" customHeight="false" outlineLevel="0" collapsed="false">
      <c r="A297" s="8" t="s">
        <v>957</v>
      </c>
      <c r="B297" s="8" t="s">
        <v>53</v>
      </c>
      <c r="C297" s="30" t="n">
        <v>4250</v>
      </c>
      <c r="D297" s="30" t="n">
        <v>4250</v>
      </c>
      <c r="E297" s="30" t="n">
        <f aca="false">MIN(C297,D297)</f>
        <v>4250</v>
      </c>
      <c r="F297" s="8" t="n">
        <f aca="false">IF(D297&gt;0,1,0)</f>
        <v>1</v>
      </c>
    </row>
    <row r="298" customFormat="false" ht="15" hidden="false" customHeight="false" outlineLevel="0" collapsed="false">
      <c r="A298" s="8" t="s">
        <v>961</v>
      </c>
      <c r="B298" s="8" t="s">
        <v>53</v>
      </c>
      <c r="C298" s="30" t="n">
        <v>4250</v>
      </c>
      <c r="D298" s="30" t="n">
        <v>4250</v>
      </c>
      <c r="E298" s="30" t="n">
        <f aca="false">MIN(C298,D298)</f>
        <v>4250</v>
      </c>
      <c r="F298" s="8" t="n">
        <f aca="false">IF(D298&gt;0,1,0)</f>
        <v>1</v>
      </c>
    </row>
    <row r="299" customFormat="false" ht="15" hidden="false" customHeight="false" outlineLevel="0" collapsed="false">
      <c r="A299" s="8" t="s">
        <v>963</v>
      </c>
      <c r="B299" s="8" t="s">
        <v>53</v>
      </c>
      <c r="C299" s="30" t="n">
        <v>4250</v>
      </c>
      <c r="D299" s="30" t="n">
        <v>4250</v>
      </c>
      <c r="E299" s="30" t="n">
        <f aca="false">MIN(C299,D299)</f>
        <v>4250</v>
      </c>
      <c r="F299" s="8" t="n">
        <f aca="false">IF(D299&gt;0,1,0)</f>
        <v>1</v>
      </c>
    </row>
    <row r="300" customFormat="false" ht="15" hidden="false" customHeight="false" outlineLevel="0" collapsed="false">
      <c r="A300" s="8" t="s">
        <v>1181</v>
      </c>
      <c r="B300" s="8" t="s">
        <v>53</v>
      </c>
      <c r="C300" s="30" t="n">
        <v>4225</v>
      </c>
      <c r="D300" s="30" t="n">
        <v>3450</v>
      </c>
      <c r="E300" s="30" t="n">
        <f aca="false">MIN(C300,D300)</f>
        <v>3450</v>
      </c>
      <c r="F300" s="8" t="n">
        <f aca="false">IF(D300&gt;0,1,0)</f>
        <v>1</v>
      </c>
    </row>
    <row r="301" customFormat="false" ht="15" hidden="false" customHeight="false" outlineLevel="0" collapsed="false">
      <c r="A301" s="8" t="s">
        <v>965</v>
      </c>
      <c r="B301" s="8" t="s">
        <v>53</v>
      </c>
      <c r="C301" s="30" t="n">
        <v>4200</v>
      </c>
      <c r="D301" s="30" t="n">
        <v>4200</v>
      </c>
      <c r="E301" s="30" t="n">
        <f aca="false">MIN(C301,D301)</f>
        <v>4200</v>
      </c>
      <c r="F301" s="8" t="n">
        <f aca="false">IF(D301&gt;0,1,0)</f>
        <v>1</v>
      </c>
    </row>
    <row r="302" customFormat="false" ht="15" hidden="false" customHeight="false" outlineLevel="0" collapsed="false">
      <c r="A302" s="8" t="s">
        <v>4439</v>
      </c>
      <c r="B302" s="8" t="s">
        <v>53</v>
      </c>
      <c r="C302" s="30" t="n">
        <v>4200</v>
      </c>
      <c r="D302" s="30" t="n">
        <v>0</v>
      </c>
      <c r="E302" s="30" t="n">
        <f aca="false">MIN(C302,D302)</f>
        <v>0</v>
      </c>
      <c r="F302" s="8" t="n">
        <f aca="false">IF(D302&gt;0,1,0)</f>
        <v>0</v>
      </c>
    </row>
    <row r="303" customFormat="false" ht="15" hidden="false" customHeight="false" outlineLevel="0" collapsed="false">
      <c r="A303" s="8" t="s">
        <v>969</v>
      </c>
      <c r="B303" s="8" t="s">
        <v>53</v>
      </c>
      <c r="C303" s="30" t="n">
        <v>4200</v>
      </c>
      <c r="D303" s="30" t="n">
        <v>4200</v>
      </c>
      <c r="E303" s="30" t="n">
        <f aca="false">MIN(C303,D303)</f>
        <v>4200</v>
      </c>
      <c r="F303" s="8" t="n">
        <f aca="false">IF(D303&gt;0,1,0)</f>
        <v>1</v>
      </c>
    </row>
    <row r="304" customFormat="false" ht="15" hidden="false" customHeight="false" outlineLevel="0" collapsed="false">
      <c r="A304" s="8" t="s">
        <v>971</v>
      </c>
      <c r="B304" s="8" t="s">
        <v>53</v>
      </c>
      <c r="C304" s="30" t="n">
        <v>4185</v>
      </c>
      <c r="D304" s="30" t="n">
        <v>4185</v>
      </c>
      <c r="E304" s="30" t="n">
        <f aca="false">MIN(C304,D304)</f>
        <v>4185</v>
      </c>
      <c r="F304" s="8" t="n">
        <f aca="false">IF(D304&gt;0,1,0)</f>
        <v>1</v>
      </c>
    </row>
    <row r="305" customFormat="false" ht="15" hidden="false" customHeight="false" outlineLevel="0" collapsed="false">
      <c r="A305" s="8" t="s">
        <v>973</v>
      </c>
      <c r="B305" s="8" t="s">
        <v>53</v>
      </c>
      <c r="C305" s="30" t="n">
        <v>4185</v>
      </c>
      <c r="D305" s="30" t="n">
        <v>4185</v>
      </c>
      <c r="E305" s="30" t="n">
        <f aca="false">MIN(C305,D305)</f>
        <v>4185</v>
      </c>
      <c r="F305" s="8" t="n">
        <f aca="false">IF(D305&gt;0,1,0)</f>
        <v>1</v>
      </c>
    </row>
    <row r="306" customFormat="false" ht="15" hidden="false" customHeight="false" outlineLevel="0" collapsed="false">
      <c r="A306" s="8" t="s">
        <v>977</v>
      </c>
      <c r="B306" s="8" t="s">
        <v>53</v>
      </c>
      <c r="C306" s="30" t="n">
        <v>4175</v>
      </c>
      <c r="D306" s="30" t="n">
        <v>4175</v>
      </c>
      <c r="E306" s="30" t="n">
        <f aca="false">MIN(C306,D306)</f>
        <v>4175</v>
      </c>
      <c r="F306" s="8" t="n">
        <f aca="false">IF(D306&gt;0,1,0)</f>
        <v>1</v>
      </c>
    </row>
    <row r="307" customFormat="false" ht="15" hidden="false" customHeight="false" outlineLevel="0" collapsed="false">
      <c r="A307" s="8" t="s">
        <v>979</v>
      </c>
      <c r="B307" s="8" t="s">
        <v>53</v>
      </c>
      <c r="C307" s="30" t="n">
        <v>4175</v>
      </c>
      <c r="D307" s="30" t="n">
        <v>4175</v>
      </c>
      <c r="E307" s="30" t="n">
        <f aca="false">MIN(C307,D307)</f>
        <v>4175</v>
      </c>
      <c r="F307" s="8" t="n">
        <f aca="false">IF(D307&gt;0,1,0)</f>
        <v>1</v>
      </c>
    </row>
    <row r="308" customFormat="false" ht="15" hidden="false" customHeight="false" outlineLevel="0" collapsed="false">
      <c r="A308" s="8" t="s">
        <v>775</v>
      </c>
      <c r="B308" s="8" t="s">
        <v>53</v>
      </c>
      <c r="C308" s="30" t="n">
        <v>4175</v>
      </c>
      <c r="D308" s="30" t="n">
        <v>5025</v>
      </c>
      <c r="E308" s="30" t="n">
        <f aca="false">MIN(C308,D308)</f>
        <v>4175</v>
      </c>
      <c r="F308" s="8" t="n">
        <f aca="false">IF(D308&gt;0,1,0)</f>
        <v>1</v>
      </c>
    </row>
    <row r="309" customFormat="false" ht="15" hidden="false" customHeight="false" outlineLevel="0" collapsed="false">
      <c r="A309" s="8" t="s">
        <v>991</v>
      </c>
      <c r="B309" s="8" t="s">
        <v>53</v>
      </c>
      <c r="C309" s="30" t="n">
        <v>4150</v>
      </c>
      <c r="D309" s="30" t="n">
        <v>4150</v>
      </c>
      <c r="E309" s="30" t="n">
        <f aca="false">MIN(C309,D309)</f>
        <v>4150</v>
      </c>
      <c r="F309" s="8" t="n">
        <f aca="false">IF(D309&gt;0,1,0)</f>
        <v>1</v>
      </c>
    </row>
    <row r="310" customFormat="false" ht="15" hidden="false" customHeight="false" outlineLevel="0" collapsed="false">
      <c r="A310" s="8" t="s">
        <v>995</v>
      </c>
      <c r="B310" s="8" t="s">
        <v>53</v>
      </c>
      <c r="C310" s="30" t="n">
        <v>4150</v>
      </c>
      <c r="D310" s="30" t="n">
        <v>4150</v>
      </c>
      <c r="E310" s="30" t="n">
        <f aca="false">MIN(C310,D310)</f>
        <v>4150</v>
      </c>
      <c r="F310" s="8" t="n">
        <f aca="false">IF(D310&gt;0,1,0)</f>
        <v>1</v>
      </c>
    </row>
    <row r="311" customFormat="false" ht="15" hidden="false" customHeight="false" outlineLevel="0" collapsed="false">
      <c r="A311" s="8" t="s">
        <v>751</v>
      </c>
      <c r="B311" s="8" t="s">
        <v>53</v>
      </c>
      <c r="C311" s="30" t="n">
        <v>4140</v>
      </c>
      <c r="D311" s="30" t="n">
        <v>5400</v>
      </c>
      <c r="E311" s="30" t="n">
        <f aca="false">MIN(C311,D311)</f>
        <v>4140</v>
      </c>
      <c r="F311" s="8" t="n">
        <f aca="false">IF(D311&gt;0,1,0)</f>
        <v>1</v>
      </c>
    </row>
    <row r="312" customFormat="false" ht="15" hidden="false" customHeight="false" outlineLevel="0" collapsed="false">
      <c r="A312" s="8" t="s">
        <v>743</v>
      </c>
      <c r="B312" s="8" t="s">
        <v>53</v>
      </c>
      <c r="C312" s="30" t="n">
        <v>4140</v>
      </c>
      <c r="D312" s="30" t="n">
        <v>5490</v>
      </c>
      <c r="E312" s="30" t="n">
        <f aca="false">MIN(C312,D312)</f>
        <v>4140</v>
      </c>
      <c r="F312" s="8" t="n">
        <f aca="false">IF(D312&gt;0,1,0)</f>
        <v>1</v>
      </c>
    </row>
    <row r="313" customFormat="false" ht="15" hidden="false" customHeight="false" outlineLevel="0" collapsed="false">
      <c r="A313" s="8" t="s">
        <v>625</v>
      </c>
      <c r="B313" s="8" t="s">
        <v>53</v>
      </c>
      <c r="C313" s="30" t="n">
        <v>4125</v>
      </c>
      <c r="D313" s="30" t="n">
        <v>7300</v>
      </c>
      <c r="E313" s="30" t="n">
        <f aca="false">MIN(C313,D313)</f>
        <v>4125</v>
      </c>
      <c r="F313" s="8" t="n">
        <f aca="false">IF(D313&gt;0,1,0)</f>
        <v>1</v>
      </c>
    </row>
    <row r="314" customFormat="false" ht="15" hidden="false" customHeight="false" outlineLevel="0" collapsed="false">
      <c r="A314" s="8" t="s">
        <v>999</v>
      </c>
      <c r="B314" s="8" t="s">
        <v>53</v>
      </c>
      <c r="C314" s="30" t="n">
        <v>4125</v>
      </c>
      <c r="D314" s="30" t="n">
        <v>4125</v>
      </c>
      <c r="E314" s="30" t="n">
        <f aca="false">MIN(C314,D314)</f>
        <v>4125</v>
      </c>
      <c r="F314" s="8" t="n">
        <f aca="false">IF(D314&gt;0,1,0)</f>
        <v>1</v>
      </c>
    </row>
    <row r="315" customFormat="false" ht="15" hidden="false" customHeight="false" outlineLevel="0" collapsed="false">
      <c r="A315" s="8" t="s">
        <v>1001</v>
      </c>
      <c r="B315" s="8" t="s">
        <v>53</v>
      </c>
      <c r="C315" s="30" t="n">
        <v>4125</v>
      </c>
      <c r="D315" s="30" t="n">
        <v>4125</v>
      </c>
      <c r="E315" s="30" t="n">
        <f aca="false">MIN(C315,D315)</f>
        <v>4125</v>
      </c>
      <c r="F315" s="8" t="n">
        <f aca="false">IF(D315&gt;0,1,0)</f>
        <v>1</v>
      </c>
    </row>
    <row r="316" customFormat="false" ht="15" hidden="false" customHeight="false" outlineLevel="0" collapsed="false">
      <c r="A316" s="8" t="s">
        <v>841</v>
      </c>
      <c r="B316" s="8" t="s">
        <v>53</v>
      </c>
      <c r="C316" s="30" t="n">
        <v>4125</v>
      </c>
      <c r="D316" s="30" t="n">
        <v>4775</v>
      </c>
      <c r="E316" s="30" t="n">
        <f aca="false">MIN(C316,D316)</f>
        <v>4125</v>
      </c>
      <c r="F316" s="8" t="n">
        <f aca="false">IF(D316&gt;0,1,0)</f>
        <v>1</v>
      </c>
    </row>
    <row r="317" customFormat="false" ht="15" hidden="false" customHeight="false" outlineLevel="0" collapsed="false">
      <c r="A317" s="8" t="s">
        <v>1005</v>
      </c>
      <c r="B317" s="8" t="s">
        <v>53</v>
      </c>
      <c r="C317" s="30" t="n">
        <v>4125</v>
      </c>
      <c r="D317" s="30" t="n">
        <v>4125</v>
      </c>
      <c r="E317" s="30" t="n">
        <f aca="false">MIN(C317,D317)</f>
        <v>4125</v>
      </c>
      <c r="F317" s="8" t="n">
        <f aca="false">IF(D317&gt;0,1,0)</f>
        <v>1</v>
      </c>
    </row>
    <row r="318" customFormat="false" ht="15" hidden="false" customHeight="false" outlineLevel="0" collapsed="false">
      <c r="A318" s="8" t="s">
        <v>1007</v>
      </c>
      <c r="B318" s="8" t="s">
        <v>53</v>
      </c>
      <c r="C318" s="30" t="n">
        <v>4125</v>
      </c>
      <c r="D318" s="30" t="n">
        <v>4125</v>
      </c>
      <c r="E318" s="30" t="n">
        <f aca="false">MIN(C318,D318)</f>
        <v>4125</v>
      </c>
      <c r="F318" s="8" t="n">
        <f aca="false">IF(D318&gt;0,1,0)</f>
        <v>1</v>
      </c>
    </row>
    <row r="319" customFormat="false" ht="15" hidden="false" customHeight="false" outlineLevel="0" collapsed="false">
      <c r="A319" s="8" t="s">
        <v>1009</v>
      </c>
      <c r="B319" s="8" t="s">
        <v>53</v>
      </c>
      <c r="C319" s="30" t="n">
        <v>4100</v>
      </c>
      <c r="D319" s="30" t="n">
        <v>4100</v>
      </c>
      <c r="E319" s="30" t="n">
        <f aca="false">MIN(C319,D319)</f>
        <v>4100</v>
      </c>
      <c r="F319" s="8" t="n">
        <f aca="false">IF(D319&gt;0,1,0)</f>
        <v>1</v>
      </c>
    </row>
    <row r="320" customFormat="false" ht="15" hidden="false" customHeight="false" outlineLevel="0" collapsed="false">
      <c r="A320" s="8" t="s">
        <v>1011</v>
      </c>
      <c r="B320" s="8" t="s">
        <v>53</v>
      </c>
      <c r="C320" s="30" t="n">
        <v>4100</v>
      </c>
      <c r="D320" s="30" t="n">
        <v>4100</v>
      </c>
      <c r="E320" s="30" t="n">
        <f aca="false">MIN(C320,D320)</f>
        <v>4100</v>
      </c>
      <c r="F320" s="8" t="n">
        <f aca="false">IF(D320&gt;0,1,0)</f>
        <v>1</v>
      </c>
    </row>
    <row r="321" customFormat="false" ht="15" hidden="false" customHeight="false" outlineLevel="0" collapsed="false">
      <c r="A321" s="8" t="s">
        <v>1013</v>
      </c>
      <c r="B321" s="8" t="s">
        <v>53</v>
      </c>
      <c r="C321" s="30" t="n">
        <v>4100</v>
      </c>
      <c r="D321" s="30" t="n">
        <v>4100</v>
      </c>
      <c r="E321" s="30" t="n">
        <f aca="false">MIN(C321,D321)</f>
        <v>4100</v>
      </c>
      <c r="F321" s="8" t="n">
        <f aca="false">IF(D321&gt;0,1,0)</f>
        <v>1</v>
      </c>
    </row>
    <row r="322" customFormat="false" ht="15" hidden="false" customHeight="false" outlineLevel="0" collapsed="false">
      <c r="A322" s="8" t="s">
        <v>1015</v>
      </c>
      <c r="B322" s="8" t="s">
        <v>55</v>
      </c>
      <c r="C322" s="30" t="n">
        <v>4075</v>
      </c>
      <c r="D322" s="30" t="n">
        <v>4075</v>
      </c>
      <c r="E322" s="30" t="n">
        <f aca="false">MIN(C322,D322)</f>
        <v>4075</v>
      </c>
      <c r="F322" s="8" t="n">
        <f aca="false">IF(D322&gt;0,1,0)</f>
        <v>1</v>
      </c>
    </row>
    <row r="323" customFormat="false" ht="15" hidden="false" customHeight="false" outlineLevel="0" collapsed="false">
      <c r="A323" s="8" t="s">
        <v>1017</v>
      </c>
      <c r="B323" s="8" t="s">
        <v>53</v>
      </c>
      <c r="C323" s="30" t="n">
        <v>4075</v>
      </c>
      <c r="D323" s="30" t="n">
        <v>4075</v>
      </c>
      <c r="E323" s="30" t="n">
        <f aca="false">MIN(C323,D323)</f>
        <v>4075</v>
      </c>
      <c r="F323" s="8" t="n">
        <f aca="false">IF(D323&gt;0,1,0)</f>
        <v>1</v>
      </c>
    </row>
    <row r="324" customFormat="false" ht="15" hidden="false" customHeight="false" outlineLevel="0" collapsed="false">
      <c r="A324" s="8" t="s">
        <v>4440</v>
      </c>
      <c r="B324" s="8" t="s">
        <v>53</v>
      </c>
      <c r="C324" s="30" t="n">
        <v>4075</v>
      </c>
      <c r="D324" s="30" t="n">
        <v>0</v>
      </c>
      <c r="E324" s="30" t="n">
        <f aca="false">MIN(C324,D324)</f>
        <v>0</v>
      </c>
      <c r="F324" s="8" t="n">
        <f aca="false">IF(D324&gt;0,1,0)</f>
        <v>0</v>
      </c>
    </row>
    <row r="325" customFormat="false" ht="15" hidden="false" customHeight="false" outlineLevel="0" collapsed="false">
      <c r="A325" s="8" t="s">
        <v>1019</v>
      </c>
      <c r="B325" s="8" t="s">
        <v>55</v>
      </c>
      <c r="C325" s="30" t="n">
        <v>4075</v>
      </c>
      <c r="D325" s="30" t="n">
        <v>4075</v>
      </c>
      <c r="E325" s="30" t="n">
        <f aca="false">MIN(C325,D325)</f>
        <v>4075</v>
      </c>
      <c r="F325" s="8" t="n">
        <f aca="false">IF(D325&gt;0,1,0)</f>
        <v>1</v>
      </c>
    </row>
    <row r="326" customFormat="false" ht="15" hidden="false" customHeight="false" outlineLevel="0" collapsed="false">
      <c r="A326" s="8" t="s">
        <v>1305</v>
      </c>
      <c r="B326" s="8" t="s">
        <v>53</v>
      </c>
      <c r="C326" s="30" t="n">
        <v>4050</v>
      </c>
      <c r="D326" s="30" t="n">
        <v>3025</v>
      </c>
      <c r="E326" s="30" t="n">
        <f aca="false">MIN(C326,D326)</f>
        <v>3025</v>
      </c>
      <c r="F326" s="8" t="n">
        <f aca="false">IF(D326&gt;0,1,0)</f>
        <v>1</v>
      </c>
    </row>
    <row r="327" customFormat="false" ht="15" hidden="false" customHeight="false" outlineLevel="0" collapsed="false">
      <c r="A327" s="8" t="s">
        <v>1021</v>
      </c>
      <c r="B327" s="8" t="s">
        <v>53</v>
      </c>
      <c r="C327" s="30" t="n">
        <v>4050</v>
      </c>
      <c r="D327" s="30" t="n">
        <v>4050</v>
      </c>
      <c r="E327" s="30" t="n">
        <f aca="false">MIN(C327,D327)</f>
        <v>4050</v>
      </c>
      <c r="F327" s="8" t="n">
        <f aca="false">IF(D327&gt;0,1,0)</f>
        <v>1</v>
      </c>
    </row>
    <row r="328" customFormat="false" ht="15" hidden="false" customHeight="false" outlineLevel="0" collapsed="false">
      <c r="A328" s="8" t="s">
        <v>551</v>
      </c>
      <c r="B328" s="8" t="s">
        <v>53</v>
      </c>
      <c r="C328" s="30" t="n">
        <v>4050</v>
      </c>
      <c r="D328" s="30" t="n">
        <v>8750</v>
      </c>
      <c r="E328" s="30" t="n">
        <f aca="false">MIN(C328,D328)</f>
        <v>4050</v>
      </c>
      <c r="F328" s="8" t="n">
        <f aca="false">IF(D328&gt;0,1,0)</f>
        <v>1</v>
      </c>
    </row>
    <row r="329" customFormat="false" ht="15" hidden="false" customHeight="false" outlineLevel="0" collapsed="false">
      <c r="A329" s="8" t="s">
        <v>927</v>
      </c>
      <c r="B329" s="8" t="s">
        <v>53</v>
      </c>
      <c r="C329" s="30" t="n">
        <v>4025</v>
      </c>
      <c r="D329" s="30" t="n">
        <v>4450</v>
      </c>
      <c r="E329" s="30" t="n">
        <f aca="false">MIN(C329,D329)</f>
        <v>4025</v>
      </c>
      <c r="F329" s="8" t="n">
        <f aca="false">IF(D329&gt;0,1,0)</f>
        <v>1</v>
      </c>
    </row>
    <row r="330" customFormat="false" ht="15" hidden="false" customHeight="false" outlineLevel="0" collapsed="false">
      <c r="A330" s="8" t="s">
        <v>1301</v>
      </c>
      <c r="B330" s="8" t="s">
        <v>53</v>
      </c>
      <c r="C330" s="30" t="n">
        <v>4025</v>
      </c>
      <c r="D330" s="30" t="n">
        <v>3050</v>
      </c>
      <c r="E330" s="30" t="n">
        <f aca="false">MIN(C330,D330)</f>
        <v>3050</v>
      </c>
      <c r="F330" s="8" t="n">
        <f aca="false">IF(D330&gt;0,1,0)</f>
        <v>1</v>
      </c>
    </row>
    <row r="331" customFormat="false" ht="15" hidden="false" customHeight="false" outlineLevel="0" collapsed="false">
      <c r="A331" s="8" t="s">
        <v>913</v>
      </c>
      <c r="B331" s="8" t="s">
        <v>53</v>
      </c>
      <c r="C331" s="30" t="n">
        <v>4025</v>
      </c>
      <c r="D331" s="30" t="n">
        <v>4475</v>
      </c>
      <c r="E331" s="30" t="n">
        <f aca="false">MIN(C331,D331)</f>
        <v>4025</v>
      </c>
      <c r="F331" s="8" t="n">
        <f aca="false">IF(D331&gt;0,1,0)</f>
        <v>1</v>
      </c>
    </row>
    <row r="332" customFormat="false" ht="15" hidden="false" customHeight="false" outlineLevel="0" collapsed="false">
      <c r="A332" s="8" t="s">
        <v>4441</v>
      </c>
      <c r="B332" s="8" t="s">
        <v>53</v>
      </c>
      <c r="C332" s="30" t="n">
        <v>4005</v>
      </c>
      <c r="D332" s="30" t="n">
        <v>0</v>
      </c>
      <c r="E332" s="30" t="n">
        <f aca="false">MIN(C332,D332)</f>
        <v>0</v>
      </c>
      <c r="F332" s="8" t="n">
        <f aca="false">IF(D332&gt;0,1,0)</f>
        <v>0</v>
      </c>
    </row>
    <row r="333" customFormat="false" ht="15" hidden="false" customHeight="false" outlineLevel="0" collapsed="false">
      <c r="A333" s="8" t="s">
        <v>4442</v>
      </c>
      <c r="B333" s="8" t="s">
        <v>53</v>
      </c>
      <c r="C333" s="30" t="n">
        <v>4005</v>
      </c>
      <c r="D333" s="30" t="n">
        <v>0</v>
      </c>
      <c r="E333" s="30" t="n">
        <f aca="false">MIN(C333,D333)</f>
        <v>0</v>
      </c>
      <c r="F333" s="8" t="n">
        <f aca="false">IF(D333&gt;0,1,0)</f>
        <v>0</v>
      </c>
    </row>
    <row r="334" customFormat="false" ht="15" hidden="false" customHeight="false" outlineLevel="0" collapsed="false">
      <c r="A334" s="8" t="s">
        <v>1023</v>
      </c>
      <c r="B334" s="8" t="s">
        <v>53</v>
      </c>
      <c r="C334" s="30" t="n">
        <v>4000</v>
      </c>
      <c r="D334" s="30" t="n">
        <v>4000</v>
      </c>
      <c r="E334" s="30" t="n">
        <f aca="false">MIN(C334,D334)</f>
        <v>4000</v>
      </c>
      <c r="F334" s="8" t="n">
        <f aca="false">IF(D334&gt;0,1,0)</f>
        <v>1</v>
      </c>
    </row>
    <row r="335" customFormat="false" ht="15" hidden="false" customHeight="false" outlineLevel="0" collapsed="false">
      <c r="A335" s="8" t="s">
        <v>1027</v>
      </c>
      <c r="B335" s="8" t="s">
        <v>53</v>
      </c>
      <c r="C335" s="30" t="n">
        <v>4000</v>
      </c>
      <c r="D335" s="30" t="n">
        <v>4000</v>
      </c>
      <c r="E335" s="30" t="n">
        <f aca="false">MIN(C335,D335)</f>
        <v>4000</v>
      </c>
      <c r="F335" s="8" t="n">
        <f aca="false">IF(D335&gt;0,1,0)</f>
        <v>1</v>
      </c>
    </row>
    <row r="336" customFormat="false" ht="15" hidden="false" customHeight="false" outlineLevel="0" collapsed="false">
      <c r="A336" s="8" t="s">
        <v>1029</v>
      </c>
      <c r="B336" s="8" t="s">
        <v>53</v>
      </c>
      <c r="C336" s="30" t="n">
        <v>4000</v>
      </c>
      <c r="D336" s="30" t="n">
        <v>4000</v>
      </c>
      <c r="E336" s="30" t="n">
        <f aca="false">MIN(C336,D336)</f>
        <v>4000</v>
      </c>
      <c r="F336" s="8" t="n">
        <f aca="false">IF(D336&gt;0,1,0)</f>
        <v>1</v>
      </c>
    </row>
    <row r="337" customFormat="false" ht="15" hidden="false" customHeight="false" outlineLevel="0" collapsed="false">
      <c r="A337" s="8" t="s">
        <v>1033</v>
      </c>
      <c r="B337" s="8" t="s">
        <v>53</v>
      </c>
      <c r="C337" s="30" t="n">
        <v>3975</v>
      </c>
      <c r="D337" s="30" t="n">
        <v>3975</v>
      </c>
      <c r="E337" s="30" t="n">
        <f aca="false">MIN(C337,D337)</f>
        <v>3975</v>
      </c>
      <c r="F337" s="8" t="n">
        <f aca="false">IF(D337&gt;0,1,0)</f>
        <v>1</v>
      </c>
    </row>
    <row r="338" customFormat="false" ht="15" hidden="false" customHeight="false" outlineLevel="0" collapsed="false">
      <c r="A338" s="8" t="s">
        <v>1035</v>
      </c>
      <c r="B338" s="8" t="s">
        <v>53</v>
      </c>
      <c r="C338" s="30" t="n">
        <v>3975</v>
      </c>
      <c r="D338" s="30" t="n">
        <v>3975</v>
      </c>
      <c r="E338" s="30" t="n">
        <f aca="false">MIN(C338,D338)</f>
        <v>3975</v>
      </c>
      <c r="F338" s="8" t="n">
        <f aca="false">IF(D338&gt;0,1,0)</f>
        <v>1</v>
      </c>
    </row>
    <row r="339" customFormat="false" ht="15" hidden="false" customHeight="false" outlineLevel="0" collapsed="false">
      <c r="A339" s="8" t="s">
        <v>1039</v>
      </c>
      <c r="B339" s="8" t="s">
        <v>53</v>
      </c>
      <c r="C339" s="30" t="n">
        <v>3960</v>
      </c>
      <c r="D339" s="30" t="n">
        <v>3960</v>
      </c>
      <c r="E339" s="30" t="n">
        <f aca="false">MIN(C339,D339)</f>
        <v>3960</v>
      </c>
      <c r="F339" s="8" t="n">
        <f aca="false">IF(D339&gt;0,1,0)</f>
        <v>1</v>
      </c>
    </row>
    <row r="340" customFormat="false" ht="15" hidden="false" customHeight="false" outlineLevel="0" collapsed="false">
      <c r="A340" s="8" t="s">
        <v>1041</v>
      </c>
      <c r="B340" s="8" t="s">
        <v>53</v>
      </c>
      <c r="C340" s="30" t="n">
        <v>3960</v>
      </c>
      <c r="D340" s="30" t="n">
        <v>3960</v>
      </c>
      <c r="E340" s="30" t="n">
        <f aca="false">MIN(C340,D340)</f>
        <v>3960</v>
      </c>
      <c r="F340" s="8" t="n">
        <f aca="false">IF(D340&gt;0,1,0)</f>
        <v>1</v>
      </c>
    </row>
    <row r="341" customFormat="false" ht="15" hidden="false" customHeight="false" outlineLevel="0" collapsed="false">
      <c r="A341" s="8" t="s">
        <v>859</v>
      </c>
      <c r="B341" s="8" t="s">
        <v>53</v>
      </c>
      <c r="C341" s="30" t="n">
        <v>3950</v>
      </c>
      <c r="D341" s="30" t="n">
        <v>4700</v>
      </c>
      <c r="E341" s="30" t="n">
        <f aca="false">MIN(C341,D341)</f>
        <v>3950</v>
      </c>
      <c r="F341" s="8" t="n">
        <f aca="false">IF(D341&gt;0,1,0)</f>
        <v>1</v>
      </c>
    </row>
    <row r="342" customFormat="false" ht="15" hidden="false" customHeight="false" outlineLevel="0" collapsed="false">
      <c r="A342" s="8" t="s">
        <v>1047</v>
      </c>
      <c r="B342" s="8" t="s">
        <v>53</v>
      </c>
      <c r="C342" s="30" t="n">
        <v>3925</v>
      </c>
      <c r="D342" s="30" t="n">
        <v>3925</v>
      </c>
      <c r="E342" s="30" t="n">
        <f aca="false">MIN(C342,D342)</f>
        <v>3925</v>
      </c>
      <c r="F342" s="8" t="n">
        <f aca="false">IF(D342&gt;0,1,0)</f>
        <v>1</v>
      </c>
    </row>
    <row r="343" customFormat="false" ht="15" hidden="false" customHeight="false" outlineLevel="0" collapsed="false">
      <c r="A343" s="8" t="s">
        <v>1153</v>
      </c>
      <c r="B343" s="8" t="s">
        <v>53</v>
      </c>
      <c r="C343" s="30" t="n">
        <v>3925</v>
      </c>
      <c r="D343" s="30" t="n">
        <v>3550</v>
      </c>
      <c r="E343" s="30" t="n">
        <f aca="false">MIN(C343,D343)</f>
        <v>3550</v>
      </c>
      <c r="F343" s="8" t="n">
        <f aca="false">IF(D343&gt;0,1,0)</f>
        <v>1</v>
      </c>
    </row>
    <row r="344" customFormat="false" ht="15" hidden="false" customHeight="false" outlineLevel="0" collapsed="false">
      <c r="A344" s="8" t="s">
        <v>1051</v>
      </c>
      <c r="B344" s="8" t="s">
        <v>53</v>
      </c>
      <c r="C344" s="30" t="n">
        <v>3925</v>
      </c>
      <c r="D344" s="30" t="n">
        <v>3925</v>
      </c>
      <c r="E344" s="30" t="n">
        <f aca="false">MIN(C344,D344)</f>
        <v>3925</v>
      </c>
      <c r="F344" s="8" t="n">
        <f aca="false">IF(D344&gt;0,1,0)</f>
        <v>1</v>
      </c>
    </row>
    <row r="345" customFormat="false" ht="15" hidden="false" customHeight="false" outlineLevel="0" collapsed="false">
      <c r="A345" s="8" t="s">
        <v>939</v>
      </c>
      <c r="B345" s="8" t="s">
        <v>53</v>
      </c>
      <c r="C345" s="30" t="n">
        <v>3915</v>
      </c>
      <c r="D345" s="30" t="n">
        <v>4365</v>
      </c>
      <c r="E345" s="30" t="n">
        <f aca="false">MIN(C345,D345)</f>
        <v>3915</v>
      </c>
      <c r="F345" s="8" t="n">
        <f aca="false">IF(D345&gt;0,1,0)</f>
        <v>1</v>
      </c>
    </row>
    <row r="346" customFormat="false" ht="15" hidden="false" customHeight="false" outlineLevel="0" collapsed="false">
      <c r="A346" s="8" t="s">
        <v>1053</v>
      </c>
      <c r="B346" s="8" t="s">
        <v>53</v>
      </c>
      <c r="C346" s="30" t="n">
        <v>3915</v>
      </c>
      <c r="D346" s="30" t="n">
        <v>3915</v>
      </c>
      <c r="E346" s="30" t="n">
        <f aca="false">MIN(C346,D346)</f>
        <v>3915</v>
      </c>
      <c r="F346" s="8" t="n">
        <f aca="false">IF(D346&gt;0,1,0)</f>
        <v>1</v>
      </c>
    </row>
    <row r="347" customFormat="false" ht="15" hidden="false" customHeight="false" outlineLevel="0" collapsed="false">
      <c r="A347" s="8" t="s">
        <v>1055</v>
      </c>
      <c r="B347" s="8" t="s">
        <v>53</v>
      </c>
      <c r="C347" s="30" t="n">
        <v>3915</v>
      </c>
      <c r="D347" s="30" t="n">
        <v>3915</v>
      </c>
      <c r="E347" s="30" t="n">
        <f aca="false">MIN(C347,D347)</f>
        <v>3915</v>
      </c>
      <c r="F347" s="8" t="n">
        <f aca="false">IF(D347&gt;0,1,0)</f>
        <v>1</v>
      </c>
    </row>
    <row r="348" customFormat="false" ht="15" hidden="false" customHeight="false" outlineLevel="0" collapsed="false">
      <c r="A348" s="8" t="s">
        <v>769</v>
      </c>
      <c r="B348" s="8" t="s">
        <v>53</v>
      </c>
      <c r="C348" s="30" t="n">
        <v>3900</v>
      </c>
      <c r="D348" s="30" t="n">
        <v>5175</v>
      </c>
      <c r="E348" s="30" t="n">
        <f aca="false">MIN(C348,D348)</f>
        <v>3900</v>
      </c>
      <c r="F348" s="8" t="n">
        <f aca="false">IF(D348&gt;0,1,0)</f>
        <v>1</v>
      </c>
    </row>
    <row r="349" customFormat="false" ht="15" hidden="false" customHeight="false" outlineLevel="0" collapsed="false">
      <c r="A349" s="8" t="s">
        <v>4443</v>
      </c>
      <c r="B349" s="8" t="s">
        <v>53</v>
      </c>
      <c r="C349" s="30" t="n">
        <v>3870</v>
      </c>
      <c r="D349" s="30" t="n">
        <v>0</v>
      </c>
      <c r="E349" s="30" t="n">
        <f aca="false">MIN(C349,D349)</f>
        <v>0</v>
      </c>
      <c r="F349" s="8" t="n">
        <f aca="false">IF(D349&gt;0,1,0)</f>
        <v>0</v>
      </c>
    </row>
    <row r="350" customFormat="false" ht="15" hidden="false" customHeight="false" outlineLevel="0" collapsed="false">
      <c r="A350" s="8" t="s">
        <v>4444</v>
      </c>
      <c r="B350" s="8" t="s">
        <v>53</v>
      </c>
      <c r="C350" s="30" t="n">
        <v>3850</v>
      </c>
      <c r="D350" s="30" t="n">
        <v>0</v>
      </c>
      <c r="E350" s="30" t="n">
        <f aca="false">MIN(C350,D350)</f>
        <v>0</v>
      </c>
      <c r="F350" s="8" t="n">
        <f aca="false">IF(D350&gt;0,1,0)</f>
        <v>0</v>
      </c>
    </row>
    <row r="351" customFormat="false" ht="15" hidden="false" customHeight="false" outlineLevel="0" collapsed="false">
      <c r="A351" s="8" t="s">
        <v>1063</v>
      </c>
      <c r="B351" s="8" t="s">
        <v>53</v>
      </c>
      <c r="C351" s="30" t="n">
        <v>3825</v>
      </c>
      <c r="D351" s="30" t="n">
        <v>3825</v>
      </c>
      <c r="E351" s="30" t="n">
        <f aca="false">MIN(C351,D351)</f>
        <v>3825</v>
      </c>
      <c r="F351" s="8" t="n">
        <f aca="false">IF(D351&gt;0,1,0)</f>
        <v>1</v>
      </c>
    </row>
    <row r="352" customFormat="false" ht="15" hidden="false" customHeight="false" outlineLevel="0" collapsed="false">
      <c r="A352" s="8" t="s">
        <v>1065</v>
      </c>
      <c r="B352" s="8" t="s">
        <v>53</v>
      </c>
      <c r="C352" s="30" t="n">
        <v>3825</v>
      </c>
      <c r="D352" s="30" t="n">
        <v>3825</v>
      </c>
      <c r="E352" s="30" t="n">
        <f aca="false">MIN(C352,D352)</f>
        <v>3825</v>
      </c>
      <c r="F352" s="8" t="n">
        <f aca="false">IF(D352&gt;0,1,0)</f>
        <v>1</v>
      </c>
    </row>
    <row r="353" customFormat="false" ht="15" hidden="false" customHeight="false" outlineLevel="0" collapsed="false">
      <c r="A353" s="8" t="s">
        <v>1069</v>
      </c>
      <c r="B353" s="8" t="s">
        <v>53</v>
      </c>
      <c r="C353" s="30" t="n">
        <v>3825</v>
      </c>
      <c r="D353" s="30" t="n">
        <v>3825</v>
      </c>
      <c r="E353" s="30" t="n">
        <f aca="false">MIN(C353,D353)</f>
        <v>3825</v>
      </c>
      <c r="F353" s="8" t="n">
        <f aca="false">IF(D353&gt;0,1,0)</f>
        <v>1</v>
      </c>
    </row>
    <row r="354" customFormat="false" ht="15" hidden="false" customHeight="false" outlineLevel="0" collapsed="false">
      <c r="A354" s="8" t="s">
        <v>4445</v>
      </c>
      <c r="B354" s="8" t="s">
        <v>53</v>
      </c>
      <c r="C354" s="30" t="n">
        <v>3800</v>
      </c>
      <c r="D354" s="30" t="n">
        <v>0</v>
      </c>
      <c r="E354" s="30" t="n">
        <f aca="false">MIN(C354,D354)</f>
        <v>0</v>
      </c>
      <c r="F354" s="8" t="n">
        <f aca="false">IF(D354&gt;0,1,0)</f>
        <v>0</v>
      </c>
    </row>
    <row r="355" customFormat="false" ht="15" hidden="false" customHeight="false" outlineLevel="0" collapsed="false">
      <c r="A355" s="8" t="s">
        <v>1079</v>
      </c>
      <c r="B355" s="8" t="s">
        <v>53</v>
      </c>
      <c r="C355" s="30" t="n">
        <v>3800</v>
      </c>
      <c r="D355" s="30" t="n">
        <v>3800</v>
      </c>
      <c r="E355" s="30" t="n">
        <f aca="false">MIN(C355,D355)</f>
        <v>3800</v>
      </c>
      <c r="F355" s="8" t="n">
        <f aca="false">IF(D355&gt;0,1,0)</f>
        <v>1</v>
      </c>
    </row>
    <row r="356" customFormat="false" ht="15" hidden="false" customHeight="false" outlineLevel="0" collapsed="false">
      <c r="A356" s="8" t="s">
        <v>911</v>
      </c>
      <c r="B356" s="8" t="s">
        <v>53</v>
      </c>
      <c r="C356" s="30" t="n">
        <v>3800</v>
      </c>
      <c r="D356" s="30" t="n">
        <v>4475</v>
      </c>
      <c r="E356" s="30" t="n">
        <f aca="false">MIN(C356,D356)</f>
        <v>3800</v>
      </c>
      <c r="F356" s="8" t="n">
        <f aca="false">IF(D356&gt;0,1,0)</f>
        <v>1</v>
      </c>
    </row>
    <row r="357" customFormat="false" ht="15" hidden="false" customHeight="false" outlineLevel="0" collapsed="false">
      <c r="A357" s="8" t="s">
        <v>1081</v>
      </c>
      <c r="B357" s="8" t="s">
        <v>53</v>
      </c>
      <c r="C357" s="30" t="n">
        <v>3800</v>
      </c>
      <c r="D357" s="30" t="n">
        <v>3800</v>
      </c>
      <c r="E357" s="30" t="n">
        <f aca="false">MIN(C357,D357)</f>
        <v>3800</v>
      </c>
      <c r="F357" s="8" t="n">
        <f aca="false">IF(D357&gt;0,1,0)</f>
        <v>1</v>
      </c>
    </row>
    <row r="358" customFormat="false" ht="15" hidden="false" customHeight="false" outlineLevel="0" collapsed="false">
      <c r="A358" s="8" t="s">
        <v>1083</v>
      </c>
      <c r="B358" s="8" t="s">
        <v>53</v>
      </c>
      <c r="C358" s="30" t="n">
        <v>3775</v>
      </c>
      <c r="D358" s="30" t="n">
        <v>3775</v>
      </c>
      <c r="E358" s="30" t="n">
        <f aca="false">MIN(C358,D358)</f>
        <v>3775</v>
      </c>
      <c r="F358" s="8" t="n">
        <f aca="false">IF(D358&gt;0,1,0)</f>
        <v>1</v>
      </c>
    </row>
    <row r="359" customFormat="false" ht="15" hidden="false" customHeight="false" outlineLevel="0" collapsed="false">
      <c r="A359" s="8" t="s">
        <v>1087</v>
      </c>
      <c r="B359" s="8" t="s">
        <v>53</v>
      </c>
      <c r="C359" s="30" t="n">
        <v>3775</v>
      </c>
      <c r="D359" s="30" t="n">
        <v>3775</v>
      </c>
      <c r="E359" s="30" t="n">
        <f aca="false">MIN(C359,D359)</f>
        <v>3775</v>
      </c>
      <c r="F359" s="8" t="n">
        <f aca="false">IF(D359&gt;0,1,0)</f>
        <v>1</v>
      </c>
    </row>
    <row r="360" customFormat="false" ht="15" hidden="false" customHeight="false" outlineLevel="0" collapsed="false">
      <c r="A360" s="8" t="s">
        <v>1089</v>
      </c>
      <c r="B360" s="8" t="s">
        <v>53</v>
      </c>
      <c r="C360" s="30" t="n">
        <v>3750</v>
      </c>
      <c r="D360" s="30" t="n">
        <v>3750</v>
      </c>
      <c r="E360" s="30" t="n">
        <f aca="false">MIN(C360,D360)</f>
        <v>3750</v>
      </c>
      <c r="F360" s="8" t="n">
        <f aca="false">IF(D360&gt;0,1,0)</f>
        <v>1</v>
      </c>
    </row>
    <row r="361" customFormat="false" ht="15" hidden="false" customHeight="false" outlineLevel="0" collapsed="false">
      <c r="A361" s="8" t="s">
        <v>1093</v>
      </c>
      <c r="B361" s="8" t="s">
        <v>53</v>
      </c>
      <c r="C361" s="30" t="n">
        <v>3750</v>
      </c>
      <c r="D361" s="30" t="n">
        <v>3750</v>
      </c>
      <c r="E361" s="30" t="n">
        <f aca="false">MIN(C361,D361)</f>
        <v>3750</v>
      </c>
      <c r="F361" s="8" t="n">
        <f aca="false">IF(D361&gt;0,1,0)</f>
        <v>1</v>
      </c>
    </row>
    <row r="362" customFormat="false" ht="15" hidden="false" customHeight="false" outlineLevel="0" collapsed="false">
      <c r="A362" s="8" t="s">
        <v>1095</v>
      </c>
      <c r="B362" s="8" t="s">
        <v>53</v>
      </c>
      <c r="C362" s="30" t="n">
        <v>3735</v>
      </c>
      <c r="D362" s="30" t="n">
        <v>3735</v>
      </c>
      <c r="E362" s="30" t="n">
        <f aca="false">MIN(C362,D362)</f>
        <v>3735</v>
      </c>
      <c r="F362" s="8" t="n">
        <f aca="false">IF(D362&gt;0,1,0)</f>
        <v>1</v>
      </c>
    </row>
    <row r="363" customFormat="false" ht="15" hidden="false" customHeight="false" outlineLevel="0" collapsed="false">
      <c r="A363" s="8" t="s">
        <v>1101</v>
      </c>
      <c r="B363" s="8" t="s">
        <v>53</v>
      </c>
      <c r="C363" s="30" t="n">
        <v>3725</v>
      </c>
      <c r="D363" s="30" t="n">
        <v>3725</v>
      </c>
      <c r="E363" s="30" t="n">
        <f aca="false">MIN(C363,D363)</f>
        <v>3725</v>
      </c>
      <c r="F363" s="8" t="n">
        <f aca="false">IF(D363&gt;0,1,0)</f>
        <v>1</v>
      </c>
    </row>
    <row r="364" customFormat="false" ht="15" hidden="false" customHeight="false" outlineLevel="0" collapsed="false">
      <c r="A364" s="8" t="s">
        <v>4446</v>
      </c>
      <c r="B364" s="8" t="s">
        <v>53</v>
      </c>
      <c r="C364" s="30" t="n">
        <v>3725</v>
      </c>
      <c r="D364" s="30" t="n">
        <v>0</v>
      </c>
      <c r="E364" s="30" t="n">
        <f aca="false">MIN(C364,D364)</f>
        <v>0</v>
      </c>
      <c r="F364" s="8" t="n">
        <f aca="false">IF(D364&gt;0,1,0)</f>
        <v>0</v>
      </c>
    </row>
    <row r="365" customFormat="false" ht="15" hidden="false" customHeight="false" outlineLevel="0" collapsed="false">
      <c r="A365" s="8" t="s">
        <v>1107</v>
      </c>
      <c r="B365" s="8" t="s">
        <v>53</v>
      </c>
      <c r="C365" s="30" t="n">
        <v>3690</v>
      </c>
      <c r="D365" s="30" t="n">
        <v>3690</v>
      </c>
      <c r="E365" s="30" t="n">
        <f aca="false">MIN(C365,D365)</f>
        <v>3690</v>
      </c>
      <c r="F365" s="8" t="n">
        <f aca="false">IF(D365&gt;0,1,0)</f>
        <v>1</v>
      </c>
    </row>
    <row r="366" customFormat="false" ht="15" hidden="false" customHeight="false" outlineLevel="0" collapsed="false">
      <c r="A366" s="8" t="s">
        <v>1109</v>
      </c>
      <c r="B366" s="8" t="s">
        <v>53</v>
      </c>
      <c r="C366" s="30" t="n">
        <v>3690</v>
      </c>
      <c r="D366" s="30" t="n">
        <v>3690</v>
      </c>
      <c r="E366" s="30" t="n">
        <f aca="false">MIN(C366,D366)</f>
        <v>3690</v>
      </c>
      <c r="F366" s="8" t="n">
        <f aca="false">IF(D366&gt;0,1,0)</f>
        <v>1</v>
      </c>
    </row>
    <row r="367" customFormat="false" ht="15" hidden="false" customHeight="false" outlineLevel="0" collapsed="false">
      <c r="A367" s="8" t="s">
        <v>1111</v>
      </c>
      <c r="B367" s="8" t="s">
        <v>53</v>
      </c>
      <c r="C367" s="30" t="n">
        <v>3690</v>
      </c>
      <c r="D367" s="30" t="n">
        <v>3690</v>
      </c>
      <c r="E367" s="30" t="n">
        <f aca="false">MIN(C367,D367)</f>
        <v>3690</v>
      </c>
      <c r="F367" s="8" t="n">
        <f aca="false">IF(D367&gt;0,1,0)</f>
        <v>1</v>
      </c>
    </row>
    <row r="368" customFormat="false" ht="15" hidden="false" customHeight="false" outlineLevel="0" collapsed="false">
      <c r="A368" s="8" t="s">
        <v>1113</v>
      </c>
      <c r="B368" s="8" t="s">
        <v>53</v>
      </c>
      <c r="C368" s="30" t="n">
        <v>3690</v>
      </c>
      <c r="D368" s="30" t="n">
        <v>3690</v>
      </c>
      <c r="E368" s="30" t="n">
        <f aca="false">MIN(C368,D368)</f>
        <v>3690</v>
      </c>
      <c r="F368" s="8" t="n">
        <f aca="false">IF(D368&gt;0,1,0)</f>
        <v>1</v>
      </c>
    </row>
    <row r="369" customFormat="false" ht="15" hidden="false" customHeight="false" outlineLevel="0" collapsed="false">
      <c r="A369" s="8" t="s">
        <v>915</v>
      </c>
      <c r="B369" s="8" t="s">
        <v>53</v>
      </c>
      <c r="C369" s="30" t="n">
        <v>3675</v>
      </c>
      <c r="D369" s="30" t="n">
        <v>4450</v>
      </c>
      <c r="E369" s="30" t="n">
        <f aca="false">MIN(C369,D369)</f>
        <v>3675</v>
      </c>
      <c r="F369" s="8" t="n">
        <f aca="false">IF(D369&gt;0,1,0)</f>
        <v>1</v>
      </c>
    </row>
    <row r="370" customFormat="false" ht="15" hidden="false" customHeight="false" outlineLevel="0" collapsed="false">
      <c r="A370" s="8" t="s">
        <v>1115</v>
      </c>
      <c r="B370" s="8" t="s">
        <v>53</v>
      </c>
      <c r="C370" s="30" t="n">
        <v>3675</v>
      </c>
      <c r="D370" s="30" t="n">
        <v>3675</v>
      </c>
      <c r="E370" s="30" t="n">
        <f aca="false">MIN(C370,D370)</f>
        <v>3675</v>
      </c>
      <c r="F370" s="8" t="n">
        <f aca="false">IF(D370&gt;0,1,0)</f>
        <v>1</v>
      </c>
    </row>
    <row r="371" customFormat="false" ht="15" hidden="false" customHeight="false" outlineLevel="0" collapsed="false">
      <c r="A371" s="8" t="s">
        <v>1121</v>
      </c>
      <c r="B371" s="8" t="s">
        <v>53</v>
      </c>
      <c r="C371" s="30" t="n">
        <v>3650</v>
      </c>
      <c r="D371" s="30" t="n">
        <v>3650</v>
      </c>
      <c r="E371" s="30" t="n">
        <f aca="false">MIN(C371,D371)</f>
        <v>3650</v>
      </c>
      <c r="F371" s="8" t="n">
        <f aca="false">IF(D371&gt;0,1,0)</f>
        <v>1</v>
      </c>
    </row>
    <row r="372" customFormat="false" ht="15" hidden="false" customHeight="false" outlineLevel="0" collapsed="false">
      <c r="A372" s="8" t="s">
        <v>873</v>
      </c>
      <c r="B372" s="8" t="s">
        <v>53</v>
      </c>
      <c r="C372" s="30" t="n">
        <v>3650</v>
      </c>
      <c r="D372" s="30" t="n">
        <v>4625</v>
      </c>
      <c r="E372" s="30" t="n">
        <f aca="false">MIN(C372,D372)</f>
        <v>3650</v>
      </c>
      <c r="F372" s="8" t="n">
        <f aca="false">IF(D372&gt;0,1,0)</f>
        <v>1</v>
      </c>
    </row>
    <row r="373" customFormat="false" ht="15" hidden="false" customHeight="false" outlineLevel="0" collapsed="false">
      <c r="A373" s="8" t="s">
        <v>4447</v>
      </c>
      <c r="B373" s="8" t="s">
        <v>53</v>
      </c>
      <c r="C373" s="30" t="n">
        <v>3650</v>
      </c>
      <c r="D373" s="30" t="n">
        <v>0</v>
      </c>
      <c r="E373" s="30" t="n">
        <f aca="false">MIN(C373,D373)</f>
        <v>0</v>
      </c>
      <c r="F373" s="8" t="n">
        <f aca="false">IF(D373&gt;0,1,0)</f>
        <v>0</v>
      </c>
    </row>
    <row r="374" customFormat="false" ht="15" hidden="false" customHeight="false" outlineLevel="0" collapsed="false">
      <c r="A374" s="8" t="s">
        <v>1129</v>
      </c>
      <c r="B374" s="8" t="s">
        <v>53</v>
      </c>
      <c r="C374" s="30" t="n">
        <v>3625</v>
      </c>
      <c r="D374" s="30" t="n">
        <v>3625</v>
      </c>
      <c r="E374" s="30" t="n">
        <f aca="false">MIN(C374,D374)</f>
        <v>3625</v>
      </c>
      <c r="F374" s="8" t="n">
        <f aca="false">IF(D374&gt;0,1,0)</f>
        <v>1</v>
      </c>
    </row>
    <row r="375" customFormat="false" ht="15" hidden="false" customHeight="false" outlineLevel="0" collapsed="false">
      <c r="A375" s="8" t="s">
        <v>1137</v>
      </c>
      <c r="B375" s="8" t="s">
        <v>53</v>
      </c>
      <c r="C375" s="30" t="n">
        <v>3600</v>
      </c>
      <c r="D375" s="30" t="n">
        <v>3600</v>
      </c>
      <c r="E375" s="30" t="n">
        <f aca="false">MIN(C375,D375)</f>
        <v>3600</v>
      </c>
      <c r="F375" s="8" t="n">
        <f aca="false">IF(D375&gt;0,1,0)</f>
        <v>1</v>
      </c>
    </row>
    <row r="376" customFormat="false" ht="15" hidden="false" customHeight="false" outlineLevel="0" collapsed="false">
      <c r="A376" s="8" t="s">
        <v>1141</v>
      </c>
      <c r="B376" s="8" t="s">
        <v>53</v>
      </c>
      <c r="C376" s="30" t="n">
        <v>3600</v>
      </c>
      <c r="D376" s="30" t="n">
        <v>3600</v>
      </c>
      <c r="E376" s="30" t="n">
        <f aca="false">MIN(C376,D376)</f>
        <v>3600</v>
      </c>
      <c r="F376" s="8" t="n">
        <f aca="false">IF(D376&gt;0,1,0)</f>
        <v>1</v>
      </c>
    </row>
    <row r="377" customFormat="false" ht="15" hidden="false" customHeight="false" outlineLevel="0" collapsed="false">
      <c r="A377" s="8" t="s">
        <v>4448</v>
      </c>
      <c r="B377" s="8" t="s">
        <v>53</v>
      </c>
      <c r="C377" s="30" t="n">
        <v>3575</v>
      </c>
      <c r="D377" s="30" t="n">
        <v>0</v>
      </c>
      <c r="E377" s="30" t="n">
        <f aca="false">MIN(C377,D377)</f>
        <v>0</v>
      </c>
      <c r="F377" s="8" t="n">
        <f aca="false">IF(D377&gt;0,1,0)</f>
        <v>0</v>
      </c>
    </row>
    <row r="378" customFormat="false" ht="15" hidden="false" customHeight="false" outlineLevel="0" collapsed="false">
      <c r="A378" s="8" t="s">
        <v>1147</v>
      </c>
      <c r="B378" s="8" t="s">
        <v>53</v>
      </c>
      <c r="C378" s="30" t="n">
        <v>3555</v>
      </c>
      <c r="D378" s="30" t="n">
        <v>3555</v>
      </c>
      <c r="E378" s="30" t="n">
        <f aca="false">MIN(C378,D378)</f>
        <v>3555</v>
      </c>
      <c r="F378" s="8" t="n">
        <f aca="false">IF(D378&gt;0,1,0)</f>
        <v>1</v>
      </c>
    </row>
    <row r="379" customFormat="false" ht="15" hidden="false" customHeight="false" outlineLevel="0" collapsed="false">
      <c r="A379" s="8" t="s">
        <v>1149</v>
      </c>
      <c r="B379" s="8" t="s">
        <v>53</v>
      </c>
      <c r="C379" s="30" t="n">
        <v>3550</v>
      </c>
      <c r="D379" s="30" t="n">
        <v>3550</v>
      </c>
      <c r="E379" s="30" t="n">
        <f aca="false">MIN(C379,D379)</f>
        <v>3550</v>
      </c>
      <c r="F379" s="8" t="n">
        <f aca="false">IF(D379&gt;0,1,0)</f>
        <v>1</v>
      </c>
    </row>
    <row r="380" customFormat="false" ht="15" hidden="false" customHeight="false" outlineLevel="0" collapsed="false">
      <c r="A380" s="8" t="s">
        <v>4449</v>
      </c>
      <c r="B380" s="8" t="s">
        <v>53</v>
      </c>
      <c r="C380" s="30" t="n">
        <v>3550</v>
      </c>
      <c r="D380" s="30" t="n">
        <v>0</v>
      </c>
      <c r="E380" s="30" t="n">
        <f aca="false">MIN(C380,D380)</f>
        <v>0</v>
      </c>
      <c r="F380" s="8" t="n">
        <f aca="false">IF(D380&gt;0,1,0)</f>
        <v>0</v>
      </c>
    </row>
    <row r="381" customFormat="false" ht="15" hidden="false" customHeight="false" outlineLevel="0" collapsed="false">
      <c r="A381" s="8" t="s">
        <v>4450</v>
      </c>
      <c r="B381" s="8" t="s">
        <v>53</v>
      </c>
      <c r="C381" s="30" t="n">
        <v>3525</v>
      </c>
      <c r="D381" s="30" t="n">
        <v>0</v>
      </c>
      <c r="E381" s="30" t="n">
        <f aca="false">MIN(C381,D381)</f>
        <v>0</v>
      </c>
      <c r="F381" s="8" t="n">
        <f aca="false">IF(D381&gt;0,1,0)</f>
        <v>0</v>
      </c>
    </row>
    <row r="382" customFormat="false" ht="15" hidden="false" customHeight="false" outlineLevel="0" collapsed="false">
      <c r="A382" s="8" t="s">
        <v>1169</v>
      </c>
      <c r="B382" s="8" t="s">
        <v>53</v>
      </c>
      <c r="C382" s="30" t="n">
        <v>3500</v>
      </c>
      <c r="D382" s="30" t="n">
        <v>3500</v>
      </c>
      <c r="E382" s="30" t="n">
        <f aca="false">MIN(C382,D382)</f>
        <v>3500</v>
      </c>
      <c r="F382" s="8" t="n">
        <f aca="false">IF(D382&gt;0,1,0)</f>
        <v>1</v>
      </c>
    </row>
    <row r="383" customFormat="false" ht="15" hidden="false" customHeight="false" outlineLevel="0" collapsed="false">
      <c r="A383" s="8" t="s">
        <v>1171</v>
      </c>
      <c r="B383" s="8" t="s">
        <v>53</v>
      </c>
      <c r="C383" s="30" t="n">
        <v>3500</v>
      </c>
      <c r="D383" s="30" t="n">
        <v>3500</v>
      </c>
      <c r="E383" s="30" t="n">
        <f aca="false">MIN(C383,D383)</f>
        <v>3500</v>
      </c>
      <c r="F383" s="8" t="n">
        <f aca="false">IF(D383&gt;0,1,0)</f>
        <v>1</v>
      </c>
    </row>
    <row r="384" customFormat="false" ht="15" hidden="false" customHeight="false" outlineLevel="0" collapsed="false">
      <c r="A384" s="8" t="s">
        <v>1173</v>
      </c>
      <c r="B384" s="8" t="s">
        <v>53</v>
      </c>
      <c r="C384" s="30" t="n">
        <v>3500</v>
      </c>
      <c r="D384" s="30" t="n">
        <v>3500</v>
      </c>
      <c r="E384" s="30" t="n">
        <f aca="false">MIN(C384,D384)</f>
        <v>3500</v>
      </c>
      <c r="F384" s="8" t="n">
        <f aca="false">IF(D384&gt;0,1,0)</f>
        <v>1</v>
      </c>
    </row>
    <row r="385" customFormat="false" ht="15" hidden="false" customHeight="false" outlineLevel="0" collapsed="false">
      <c r="A385" s="8" t="s">
        <v>1185</v>
      </c>
      <c r="B385" s="8" t="s">
        <v>53</v>
      </c>
      <c r="C385" s="30" t="n">
        <v>3425</v>
      </c>
      <c r="D385" s="30" t="n">
        <v>3425</v>
      </c>
      <c r="E385" s="30" t="n">
        <f aca="false">MIN(C385,D385)</f>
        <v>3425</v>
      </c>
      <c r="F385" s="8" t="n">
        <f aca="false">IF(D385&gt;0,1,0)</f>
        <v>1</v>
      </c>
    </row>
    <row r="386" customFormat="false" ht="15" hidden="false" customHeight="false" outlineLevel="0" collapsed="false">
      <c r="A386" s="8" t="s">
        <v>1187</v>
      </c>
      <c r="B386" s="8" t="s">
        <v>53</v>
      </c>
      <c r="C386" s="30" t="n">
        <v>3425</v>
      </c>
      <c r="D386" s="30" t="n">
        <v>3425</v>
      </c>
      <c r="E386" s="30" t="n">
        <f aca="false">MIN(C386,D386)</f>
        <v>3425</v>
      </c>
      <c r="F386" s="8" t="n">
        <f aca="false">IF(D386&gt;0,1,0)</f>
        <v>1</v>
      </c>
    </row>
    <row r="387" customFormat="false" ht="15" hidden="false" customHeight="false" outlineLevel="0" collapsed="false">
      <c r="A387" s="8" t="s">
        <v>1189</v>
      </c>
      <c r="B387" s="8" t="s">
        <v>53</v>
      </c>
      <c r="C387" s="30" t="n">
        <v>3425</v>
      </c>
      <c r="D387" s="30" t="n">
        <v>3425</v>
      </c>
      <c r="E387" s="30" t="n">
        <f aca="false">MIN(C387,D387)</f>
        <v>3425</v>
      </c>
      <c r="F387" s="8" t="n">
        <f aca="false">IF(D387&gt;0,1,0)</f>
        <v>1</v>
      </c>
    </row>
    <row r="388" customFormat="false" ht="15" hidden="false" customHeight="false" outlineLevel="0" collapsed="false">
      <c r="A388" s="8" t="s">
        <v>1197</v>
      </c>
      <c r="B388" s="8" t="s">
        <v>53</v>
      </c>
      <c r="C388" s="30" t="n">
        <v>3400</v>
      </c>
      <c r="D388" s="30" t="n">
        <v>3400</v>
      </c>
      <c r="E388" s="30" t="n">
        <f aca="false">MIN(C388,D388)</f>
        <v>3400</v>
      </c>
      <c r="F388" s="8" t="n">
        <f aca="false">IF(D388&gt;0,1,0)</f>
        <v>1</v>
      </c>
    </row>
    <row r="389" customFormat="false" ht="15" hidden="false" customHeight="false" outlineLevel="0" collapsed="false">
      <c r="A389" s="8" t="s">
        <v>1201</v>
      </c>
      <c r="B389" s="8" t="s">
        <v>53</v>
      </c>
      <c r="C389" s="30" t="n">
        <v>3400</v>
      </c>
      <c r="D389" s="30" t="n">
        <v>3400</v>
      </c>
      <c r="E389" s="30" t="n">
        <f aca="false">MIN(C389,D389)</f>
        <v>3400</v>
      </c>
      <c r="F389" s="8" t="n">
        <f aca="false">IF(D389&gt;0,1,0)</f>
        <v>1</v>
      </c>
    </row>
    <row r="390" customFormat="false" ht="15" hidden="false" customHeight="false" outlineLevel="0" collapsed="false">
      <c r="A390" s="8" t="s">
        <v>1203</v>
      </c>
      <c r="B390" s="8" t="s">
        <v>53</v>
      </c>
      <c r="C390" s="30" t="n">
        <v>3400</v>
      </c>
      <c r="D390" s="30" t="n">
        <v>3400</v>
      </c>
      <c r="E390" s="30" t="n">
        <f aca="false">MIN(C390,D390)</f>
        <v>3400</v>
      </c>
      <c r="F390" s="8" t="n">
        <f aca="false">IF(D390&gt;0,1,0)</f>
        <v>1</v>
      </c>
    </row>
    <row r="391" customFormat="false" ht="15" hidden="false" customHeight="false" outlineLevel="0" collapsed="false">
      <c r="A391" s="8" t="s">
        <v>759</v>
      </c>
      <c r="B391" s="8" t="s">
        <v>53</v>
      </c>
      <c r="C391" s="30" t="n">
        <v>3400</v>
      </c>
      <c r="D391" s="30" t="n">
        <v>5300</v>
      </c>
      <c r="E391" s="30" t="n">
        <f aca="false">MIN(C391,D391)</f>
        <v>3400</v>
      </c>
      <c r="F391" s="8" t="n">
        <f aca="false">IF(D391&gt;0,1,0)</f>
        <v>1</v>
      </c>
    </row>
    <row r="392" customFormat="false" ht="15" hidden="false" customHeight="false" outlineLevel="0" collapsed="false">
      <c r="A392" s="8" t="s">
        <v>1209</v>
      </c>
      <c r="B392" s="8" t="s">
        <v>53</v>
      </c>
      <c r="C392" s="30" t="n">
        <v>3375</v>
      </c>
      <c r="D392" s="30" t="n">
        <v>3375</v>
      </c>
      <c r="E392" s="30" t="n">
        <f aca="false">MIN(C392,D392)</f>
        <v>3375</v>
      </c>
      <c r="F392" s="8" t="n">
        <f aca="false">IF(D392&gt;0,1,0)</f>
        <v>1</v>
      </c>
    </row>
    <row r="393" customFormat="false" ht="15" hidden="false" customHeight="false" outlineLevel="0" collapsed="false">
      <c r="A393" s="8" t="s">
        <v>1211</v>
      </c>
      <c r="B393" s="8" t="s">
        <v>53</v>
      </c>
      <c r="C393" s="30" t="n">
        <v>3375</v>
      </c>
      <c r="D393" s="30" t="n">
        <v>3375</v>
      </c>
      <c r="E393" s="30" t="n">
        <f aca="false">MIN(C393,D393)</f>
        <v>3375</v>
      </c>
      <c r="F393" s="8" t="n">
        <f aca="false">IF(D393&gt;0,1,0)</f>
        <v>1</v>
      </c>
    </row>
    <row r="394" customFormat="false" ht="15" hidden="false" customHeight="false" outlineLevel="0" collapsed="false">
      <c r="A394" s="8" t="s">
        <v>1291</v>
      </c>
      <c r="B394" s="8" t="s">
        <v>53</v>
      </c>
      <c r="C394" s="30" t="n">
        <v>3350</v>
      </c>
      <c r="D394" s="30" t="n">
        <v>3100</v>
      </c>
      <c r="E394" s="30" t="n">
        <f aca="false">MIN(C394,D394)</f>
        <v>3100</v>
      </c>
      <c r="F394" s="8" t="n">
        <f aca="false">IF(D394&gt;0,1,0)</f>
        <v>1</v>
      </c>
    </row>
    <row r="395" customFormat="false" ht="15" hidden="false" customHeight="false" outlineLevel="0" collapsed="false">
      <c r="A395" s="8" t="s">
        <v>1215</v>
      </c>
      <c r="B395" s="8" t="s">
        <v>53</v>
      </c>
      <c r="C395" s="30" t="n">
        <v>3350</v>
      </c>
      <c r="D395" s="30" t="n">
        <v>3350</v>
      </c>
      <c r="E395" s="30" t="n">
        <f aca="false">MIN(C395,D395)</f>
        <v>3350</v>
      </c>
      <c r="F395" s="8" t="n">
        <f aca="false">IF(D395&gt;0,1,0)</f>
        <v>1</v>
      </c>
    </row>
    <row r="396" customFormat="false" ht="15" hidden="false" customHeight="false" outlineLevel="0" collapsed="false">
      <c r="A396" s="8" t="s">
        <v>1217</v>
      </c>
      <c r="B396" s="8" t="s">
        <v>53</v>
      </c>
      <c r="C396" s="30" t="n">
        <v>3350</v>
      </c>
      <c r="D396" s="30" t="n">
        <v>3350</v>
      </c>
      <c r="E396" s="30" t="n">
        <f aca="false">MIN(C396,D396)</f>
        <v>3350</v>
      </c>
      <c r="F396" s="8" t="n">
        <f aca="false">IF(D396&gt;0,1,0)</f>
        <v>1</v>
      </c>
    </row>
    <row r="397" customFormat="false" ht="15" hidden="false" customHeight="false" outlineLevel="0" collapsed="false">
      <c r="A397" s="8" t="s">
        <v>1219</v>
      </c>
      <c r="B397" s="8" t="s">
        <v>53</v>
      </c>
      <c r="C397" s="30" t="n">
        <v>3350</v>
      </c>
      <c r="D397" s="30" t="n">
        <v>3350</v>
      </c>
      <c r="E397" s="30" t="n">
        <f aca="false">MIN(C397,D397)</f>
        <v>3350</v>
      </c>
      <c r="F397" s="8" t="n">
        <f aca="false">IF(D397&gt;0,1,0)</f>
        <v>1</v>
      </c>
    </row>
    <row r="398" customFormat="false" ht="15" hidden="false" customHeight="false" outlineLevel="0" collapsed="false">
      <c r="A398" s="8" t="s">
        <v>1223</v>
      </c>
      <c r="B398" s="8" t="s">
        <v>53</v>
      </c>
      <c r="C398" s="30" t="n">
        <v>3300</v>
      </c>
      <c r="D398" s="30" t="n">
        <v>3300</v>
      </c>
      <c r="E398" s="30" t="n">
        <f aca="false">MIN(C398,D398)</f>
        <v>3300</v>
      </c>
      <c r="F398" s="8" t="n">
        <f aca="false">IF(D398&gt;0,1,0)</f>
        <v>1</v>
      </c>
    </row>
    <row r="399" customFormat="false" ht="15" hidden="false" customHeight="false" outlineLevel="0" collapsed="false">
      <c r="A399" s="8" t="s">
        <v>1225</v>
      </c>
      <c r="B399" s="8" t="s">
        <v>53</v>
      </c>
      <c r="C399" s="30" t="n">
        <v>3300</v>
      </c>
      <c r="D399" s="30" t="n">
        <v>3300</v>
      </c>
      <c r="E399" s="30" t="n">
        <f aca="false">MIN(C399,D399)</f>
        <v>3300</v>
      </c>
      <c r="F399" s="8" t="n">
        <f aca="false">IF(D399&gt;0,1,0)</f>
        <v>1</v>
      </c>
    </row>
    <row r="400" customFormat="false" ht="15" hidden="false" customHeight="false" outlineLevel="0" collapsed="false">
      <c r="A400" s="8" t="s">
        <v>1227</v>
      </c>
      <c r="B400" s="8" t="s">
        <v>53</v>
      </c>
      <c r="C400" s="30" t="n">
        <v>3285</v>
      </c>
      <c r="D400" s="30" t="n">
        <v>3285</v>
      </c>
      <c r="E400" s="30" t="n">
        <f aca="false">MIN(C400,D400)</f>
        <v>3285</v>
      </c>
      <c r="F400" s="8" t="n">
        <f aca="false">IF(D400&gt;0,1,0)</f>
        <v>1</v>
      </c>
    </row>
    <row r="401" customFormat="false" ht="15" hidden="false" customHeight="false" outlineLevel="0" collapsed="false">
      <c r="A401" s="8" t="s">
        <v>1229</v>
      </c>
      <c r="B401" s="8" t="s">
        <v>53</v>
      </c>
      <c r="C401" s="30" t="n">
        <v>3275</v>
      </c>
      <c r="D401" s="30" t="n">
        <v>3275</v>
      </c>
      <c r="E401" s="30" t="n">
        <f aca="false">MIN(C401,D401)</f>
        <v>3275</v>
      </c>
      <c r="F401" s="8" t="n">
        <f aca="false">IF(D401&gt;0,1,0)</f>
        <v>1</v>
      </c>
    </row>
    <row r="402" customFormat="false" ht="15" hidden="false" customHeight="false" outlineLevel="0" collapsed="false">
      <c r="A402" s="8" t="s">
        <v>1233</v>
      </c>
      <c r="B402" s="8" t="s">
        <v>53</v>
      </c>
      <c r="C402" s="30" t="n">
        <v>3275</v>
      </c>
      <c r="D402" s="30" t="n">
        <v>3275</v>
      </c>
      <c r="E402" s="30" t="n">
        <f aca="false">MIN(C402,D402)</f>
        <v>3275</v>
      </c>
      <c r="F402" s="8" t="n">
        <f aca="false">IF(D402&gt;0,1,0)</f>
        <v>1</v>
      </c>
    </row>
    <row r="403" customFormat="false" ht="15" hidden="false" customHeight="false" outlineLevel="0" collapsed="false">
      <c r="A403" s="8" t="s">
        <v>955</v>
      </c>
      <c r="B403" s="8" t="s">
        <v>53</v>
      </c>
      <c r="C403" s="30" t="n">
        <v>3250</v>
      </c>
      <c r="D403" s="30" t="n">
        <v>4250</v>
      </c>
      <c r="E403" s="30" t="n">
        <f aca="false">MIN(C403,D403)</f>
        <v>3250</v>
      </c>
      <c r="F403" s="8" t="n">
        <f aca="false">IF(D403&gt;0,1,0)</f>
        <v>1</v>
      </c>
    </row>
    <row r="404" customFormat="false" ht="15" hidden="false" customHeight="false" outlineLevel="0" collapsed="false">
      <c r="A404" s="8" t="s">
        <v>1235</v>
      </c>
      <c r="B404" s="8" t="s">
        <v>53</v>
      </c>
      <c r="C404" s="30" t="n">
        <v>3250</v>
      </c>
      <c r="D404" s="30" t="n">
        <v>3250</v>
      </c>
      <c r="E404" s="30" t="n">
        <f aca="false">MIN(C404,D404)</f>
        <v>3250</v>
      </c>
      <c r="F404" s="8" t="n">
        <f aca="false">IF(D404&gt;0,1,0)</f>
        <v>1</v>
      </c>
    </row>
    <row r="405" customFormat="false" ht="15" hidden="false" customHeight="false" outlineLevel="0" collapsed="false">
      <c r="A405" s="8" t="s">
        <v>1239</v>
      </c>
      <c r="B405" s="8" t="s">
        <v>53</v>
      </c>
      <c r="C405" s="30" t="n">
        <v>3250</v>
      </c>
      <c r="D405" s="30" t="n">
        <v>3250</v>
      </c>
      <c r="E405" s="30" t="n">
        <f aca="false">MIN(C405,D405)</f>
        <v>3250</v>
      </c>
      <c r="F405" s="8" t="n">
        <f aca="false">IF(D405&gt;0,1,0)</f>
        <v>1</v>
      </c>
    </row>
    <row r="406" customFormat="false" ht="15" hidden="false" customHeight="false" outlineLevel="0" collapsed="false">
      <c r="A406" s="8" t="s">
        <v>1241</v>
      </c>
      <c r="B406" s="8" t="s">
        <v>53</v>
      </c>
      <c r="C406" s="30" t="n">
        <v>3250</v>
      </c>
      <c r="D406" s="30" t="n">
        <v>3250</v>
      </c>
      <c r="E406" s="30" t="n">
        <f aca="false">MIN(C406,D406)</f>
        <v>3250</v>
      </c>
      <c r="F406" s="8" t="n">
        <f aca="false">IF(D406&gt;0,1,0)</f>
        <v>1</v>
      </c>
    </row>
    <row r="407" customFormat="false" ht="15" hidden="false" customHeight="false" outlineLevel="0" collapsed="false">
      <c r="A407" s="8" t="s">
        <v>4451</v>
      </c>
      <c r="B407" s="8" t="s">
        <v>53</v>
      </c>
      <c r="C407" s="30" t="n">
        <v>3225</v>
      </c>
      <c r="D407" s="30" t="n">
        <v>0</v>
      </c>
      <c r="E407" s="30" t="n">
        <f aca="false">MIN(C407,D407)</f>
        <v>0</v>
      </c>
      <c r="F407" s="8" t="n">
        <f aca="false">IF(D407&gt;0,1,0)</f>
        <v>0</v>
      </c>
    </row>
    <row r="408" customFormat="false" ht="15" hidden="false" customHeight="false" outlineLevel="0" collapsed="false">
      <c r="A408" s="8" t="s">
        <v>1255</v>
      </c>
      <c r="B408" s="8" t="s">
        <v>53</v>
      </c>
      <c r="C408" s="30" t="n">
        <v>3225</v>
      </c>
      <c r="D408" s="30" t="n">
        <v>3225</v>
      </c>
      <c r="E408" s="30" t="n">
        <f aca="false">MIN(C408,D408)</f>
        <v>3225</v>
      </c>
      <c r="F408" s="8" t="n">
        <f aca="false">IF(D408&gt;0,1,0)</f>
        <v>1</v>
      </c>
    </row>
    <row r="409" customFormat="false" ht="15" hidden="false" customHeight="false" outlineLevel="0" collapsed="false">
      <c r="A409" s="8" t="s">
        <v>1257</v>
      </c>
      <c r="B409" s="8" t="s">
        <v>53</v>
      </c>
      <c r="C409" s="30" t="n">
        <v>3200</v>
      </c>
      <c r="D409" s="30" t="n">
        <v>3200</v>
      </c>
      <c r="E409" s="30" t="n">
        <f aca="false">MIN(C409,D409)</f>
        <v>3200</v>
      </c>
      <c r="F409" s="8" t="n">
        <f aca="false">IF(D409&gt;0,1,0)</f>
        <v>1</v>
      </c>
    </row>
    <row r="410" customFormat="false" ht="15" hidden="false" customHeight="false" outlineLevel="0" collapsed="false">
      <c r="A410" s="8" t="s">
        <v>987</v>
      </c>
      <c r="B410" s="8" t="s">
        <v>53</v>
      </c>
      <c r="C410" s="30" t="n">
        <v>3200</v>
      </c>
      <c r="D410" s="30" t="n">
        <v>4175</v>
      </c>
      <c r="E410" s="30" t="n">
        <f aca="false">MIN(C410,D410)</f>
        <v>3200</v>
      </c>
      <c r="F410" s="8" t="n">
        <f aca="false">IF(D410&gt;0,1,0)</f>
        <v>1</v>
      </c>
    </row>
    <row r="411" customFormat="false" ht="15" hidden="false" customHeight="false" outlineLevel="0" collapsed="false">
      <c r="A411" s="8" t="s">
        <v>1263</v>
      </c>
      <c r="B411" s="8" t="s">
        <v>53</v>
      </c>
      <c r="C411" s="30" t="n">
        <v>3195</v>
      </c>
      <c r="D411" s="30" t="n">
        <v>3195</v>
      </c>
      <c r="E411" s="30" t="n">
        <f aca="false">MIN(C411,D411)</f>
        <v>3195</v>
      </c>
      <c r="F411" s="8" t="n">
        <f aca="false">IF(D411&gt;0,1,0)</f>
        <v>1</v>
      </c>
    </row>
    <row r="412" customFormat="false" ht="15" hidden="false" customHeight="false" outlineLevel="0" collapsed="false">
      <c r="A412" s="8" t="s">
        <v>4452</v>
      </c>
      <c r="B412" s="8" t="s">
        <v>53</v>
      </c>
      <c r="C412" s="30" t="n">
        <v>3175</v>
      </c>
      <c r="D412" s="30" t="n">
        <v>0</v>
      </c>
      <c r="E412" s="30" t="n">
        <f aca="false">MIN(C412,D412)</f>
        <v>0</v>
      </c>
      <c r="F412" s="8" t="n">
        <f aca="false">IF(D412&gt;0,1,0)</f>
        <v>0</v>
      </c>
    </row>
    <row r="413" customFormat="false" ht="15" hidden="false" customHeight="false" outlineLevel="0" collapsed="false">
      <c r="A413" s="8" t="s">
        <v>1157</v>
      </c>
      <c r="B413" s="8" t="s">
        <v>53</v>
      </c>
      <c r="C413" s="30" t="n">
        <v>3175</v>
      </c>
      <c r="D413" s="30" t="n">
        <v>3525</v>
      </c>
      <c r="E413" s="30" t="n">
        <f aca="false">MIN(C413,D413)</f>
        <v>3175</v>
      </c>
      <c r="F413" s="8" t="n">
        <f aca="false">IF(D413&gt;0,1,0)</f>
        <v>1</v>
      </c>
    </row>
    <row r="414" customFormat="false" ht="15" hidden="false" customHeight="false" outlineLevel="0" collapsed="false">
      <c r="A414" s="8" t="s">
        <v>1269</v>
      </c>
      <c r="B414" s="8" t="s">
        <v>53</v>
      </c>
      <c r="C414" s="30" t="n">
        <v>3175</v>
      </c>
      <c r="D414" s="30" t="n">
        <v>3175</v>
      </c>
      <c r="E414" s="30" t="n">
        <f aca="false">MIN(C414,D414)</f>
        <v>3175</v>
      </c>
      <c r="F414" s="8" t="n">
        <f aca="false">IF(D414&gt;0,1,0)</f>
        <v>1</v>
      </c>
    </row>
    <row r="415" customFormat="false" ht="15" hidden="false" customHeight="false" outlineLevel="0" collapsed="false">
      <c r="A415" s="8" t="s">
        <v>4453</v>
      </c>
      <c r="B415" s="8" t="s">
        <v>53</v>
      </c>
      <c r="C415" s="30" t="n">
        <v>3175</v>
      </c>
      <c r="D415" s="30" t="n">
        <v>0</v>
      </c>
      <c r="E415" s="30" t="n">
        <f aca="false">MIN(C415,D415)</f>
        <v>0</v>
      </c>
      <c r="F415" s="8" t="n">
        <f aca="false">IF(D415&gt;0,1,0)</f>
        <v>0</v>
      </c>
    </row>
    <row r="416" customFormat="false" ht="15" hidden="false" customHeight="false" outlineLevel="0" collapsed="false">
      <c r="A416" s="8" t="s">
        <v>1273</v>
      </c>
      <c r="B416" s="8" t="s">
        <v>53</v>
      </c>
      <c r="C416" s="30" t="n">
        <v>3175</v>
      </c>
      <c r="D416" s="30" t="n">
        <v>3175</v>
      </c>
      <c r="E416" s="30" t="n">
        <f aca="false">MIN(C416,D416)</f>
        <v>3175</v>
      </c>
      <c r="F416" s="8" t="n">
        <f aca="false">IF(D416&gt;0,1,0)</f>
        <v>1</v>
      </c>
    </row>
    <row r="417" customFormat="false" ht="15" hidden="false" customHeight="false" outlineLevel="0" collapsed="false">
      <c r="A417" s="8" t="s">
        <v>1279</v>
      </c>
      <c r="B417" s="8" t="s">
        <v>53</v>
      </c>
      <c r="C417" s="30" t="n">
        <v>3150</v>
      </c>
      <c r="D417" s="30" t="n">
        <v>3150</v>
      </c>
      <c r="E417" s="30" t="n">
        <f aca="false">MIN(C417,D417)</f>
        <v>3150</v>
      </c>
      <c r="F417" s="8" t="n">
        <f aca="false">IF(D417&gt;0,1,0)</f>
        <v>1</v>
      </c>
    </row>
    <row r="418" customFormat="false" ht="15" hidden="false" customHeight="false" outlineLevel="0" collapsed="false">
      <c r="A418" s="8" t="s">
        <v>1281</v>
      </c>
      <c r="B418" s="8" t="s">
        <v>53</v>
      </c>
      <c r="C418" s="30" t="n">
        <v>3150</v>
      </c>
      <c r="D418" s="30" t="n">
        <v>3150</v>
      </c>
      <c r="E418" s="30" t="n">
        <f aca="false">MIN(C418,D418)</f>
        <v>3150</v>
      </c>
      <c r="F418" s="8" t="n">
        <f aca="false">IF(D418&gt;0,1,0)</f>
        <v>1</v>
      </c>
    </row>
    <row r="419" customFormat="false" ht="15" hidden="false" customHeight="false" outlineLevel="0" collapsed="false">
      <c r="A419" s="8" t="s">
        <v>1131</v>
      </c>
      <c r="B419" s="8" t="s">
        <v>53</v>
      </c>
      <c r="C419" s="30" t="n">
        <v>3150</v>
      </c>
      <c r="D419" s="30" t="n">
        <v>3625</v>
      </c>
      <c r="E419" s="30" t="n">
        <f aca="false">MIN(C419,D419)</f>
        <v>3150</v>
      </c>
      <c r="F419" s="8" t="n">
        <f aca="false">IF(D419&gt;0,1,0)</f>
        <v>1</v>
      </c>
    </row>
    <row r="420" customFormat="false" ht="15" hidden="false" customHeight="false" outlineLevel="0" collapsed="false">
      <c r="A420" s="8" t="s">
        <v>1285</v>
      </c>
      <c r="B420" s="8" t="s">
        <v>53</v>
      </c>
      <c r="C420" s="30" t="n">
        <v>3125</v>
      </c>
      <c r="D420" s="30" t="n">
        <v>3125</v>
      </c>
      <c r="E420" s="30" t="n">
        <f aca="false">MIN(C420,D420)</f>
        <v>3125</v>
      </c>
      <c r="F420" s="8" t="n">
        <f aca="false">IF(D420&gt;0,1,0)</f>
        <v>1</v>
      </c>
    </row>
    <row r="421" customFormat="false" ht="15" hidden="false" customHeight="false" outlineLevel="0" collapsed="false">
      <c r="A421" s="8" t="s">
        <v>1297</v>
      </c>
      <c r="B421" s="8" t="s">
        <v>53</v>
      </c>
      <c r="C421" s="30" t="n">
        <v>3060</v>
      </c>
      <c r="D421" s="30" t="n">
        <v>3060</v>
      </c>
      <c r="E421" s="30" t="n">
        <f aca="false">MIN(C421,D421)</f>
        <v>3060</v>
      </c>
      <c r="F421" s="8" t="n">
        <f aca="false">IF(D421&gt;0,1,0)</f>
        <v>1</v>
      </c>
    </row>
    <row r="422" customFormat="false" ht="15" hidden="false" customHeight="false" outlineLevel="0" collapsed="false">
      <c r="A422" s="8" t="s">
        <v>1299</v>
      </c>
      <c r="B422" s="8" t="s">
        <v>53</v>
      </c>
      <c r="C422" s="30" t="n">
        <v>3060</v>
      </c>
      <c r="D422" s="30" t="n">
        <v>3060</v>
      </c>
      <c r="E422" s="30" t="n">
        <f aca="false">MIN(C422,D422)</f>
        <v>3060</v>
      </c>
      <c r="F422" s="8" t="n">
        <f aca="false">IF(D422&gt;0,1,0)</f>
        <v>1</v>
      </c>
    </row>
    <row r="423" customFormat="false" ht="15" hidden="false" customHeight="false" outlineLevel="0" collapsed="false">
      <c r="A423" s="8" t="s">
        <v>1475</v>
      </c>
      <c r="B423" s="8" t="s">
        <v>53</v>
      </c>
      <c r="C423" s="30" t="n">
        <v>3025</v>
      </c>
      <c r="D423" s="30" t="n">
        <v>2325</v>
      </c>
      <c r="E423" s="30" t="n">
        <f aca="false">MIN(C423,D423)</f>
        <v>2325</v>
      </c>
      <c r="F423" s="8" t="n">
        <f aca="false">IF(D423&gt;0,1,0)</f>
        <v>1</v>
      </c>
    </row>
    <row r="424" customFormat="false" ht="15" hidden="false" customHeight="false" outlineLevel="0" collapsed="false">
      <c r="A424" s="8" t="s">
        <v>1145</v>
      </c>
      <c r="B424" s="8" t="s">
        <v>53</v>
      </c>
      <c r="C424" s="30" t="n">
        <v>3025</v>
      </c>
      <c r="D424" s="30" t="n">
        <v>3575</v>
      </c>
      <c r="E424" s="30" t="n">
        <f aca="false">MIN(C424,D424)</f>
        <v>3025</v>
      </c>
      <c r="F424" s="8" t="n">
        <f aca="false">IF(D424&gt;0,1,0)</f>
        <v>1</v>
      </c>
    </row>
    <row r="425" customFormat="false" ht="15" hidden="false" customHeight="false" outlineLevel="0" collapsed="false">
      <c r="A425" s="8" t="s">
        <v>1309</v>
      </c>
      <c r="B425" s="8" t="s">
        <v>53</v>
      </c>
      <c r="C425" s="30" t="n">
        <v>3000</v>
      </c>
      <c r="D425" s="30" t="n">
        <v>3000</v>
      </c>
      <c r="E425" s="30" t="n">
        <f aca="false">MIN(C425,D425)</f>
        <v>3000</v>
      </c>
      <c r="F425" s="8" t="n">
        <f aca="false">IF(D425&gt;0,1,0)</f>
        <v>1</v>
      </c>
    </row>
    <row r="426" customFormat="false" ht="15" hidden="false" customHeight="false" outlineLevel="0" collapsed="false">
      <c r="A426" s="8" t="s">
        <v>1315</v>
      </c>
      <c r="B426" s="8" t="s">
        <v>53</v>
      </c>
      <c r="C426" s="30" t="n">
        <v>3000</v>
      </c>
      <c r="D426" s="30" t="n">
        <v>3000</v>
      </c>
      <c r="E426" s="30" t="n">
        <f aca="false">MIN(C426,D426)</f>
        <v>3000</v>
      </c>
      <c r="F426" s="8" t="n">
        <f aca="false">IF(D426&gt;0,1,0)</f>
        <v>1</v>
      </c>
    </row>
    <row r="427" customFormat="false" ht="15" hidden="false" customHeight="false" outlineLevel="0" collapsed="false">
      <c r="A427" s="8" t="s">
        <v>1323</v>
      </c>
      <c r="B427" s="8" t="s">
        <v>53</v>
      </c>
      <c r="C427" s="30" t="n">
        <v>2975</v>
      </c>
      <c r="D427" s="30" t="n">
        <v>2975</v>
      </c>
      <c r="E427" s="30" t="n">
        <f aca="false">MIN(C427,D427)</f>
        <v>2975</v>
      </c>
      <c r="F427" s="8" t="n">
        <f aca="false">IF(D427&gt;0,1,0)</f>
        <v>1</v>
      </c>
    </row>
    <row r="428" customFormat="false" ht="15" hidden="false" customHeight="false" outlineLevel="0" collapsed="false">
      <c r="A428" s="8" t="s">
        <v>1325</v>
      </c>
      <c r="B428" s="8" t="s">
        <v>53</v>
      </c>
      <c r="C428" s="30" t="n">
        <v>2975</v>
      </c>
      <c r="D428" s="30" t="n">
        <v>2975</v>
      </c>
      <c r="E428" s="30" t="n">
        <f aca="false">MIN(C428,D428)</f>
        <v>2975</v>
      </c>
      <c r="F428" s="8" t="n">
        <f aca="false">IF(D428&gt;0,1,0)</f>
        <v>1</v>
      </c>
    </row>
    <row r="429" customFormat="false" ht="15" hidden="false" customHeight="false" outlineLevel="0" collapsed="false">
      <c r="A429" s="8" t="s">
        <v>4454</v>
      </c>
      <c r="B429" s="8" t="s">
        <v>53</v>
      </c>
      <c r="C429" s="30" t="n">
        <v>2950</v>
      </c>
      <c r="D429" s="30" t="n">
        <v>0</v>
      </c>
      <c r="E429" s="30" t="n">
        <f aca="false">MIN(C429,D429)</f>
        <v>0</v>
      </c>
      <c r="F429" s="8" t="n">
        <f aca="false">IF(D429&gt;0,1,0)</f>
        <v>0</v>
      </c>
    </row>
    <row r="430" customFormat="false" ht="15" hidden="false" customHeight="false" outlineLevel="0" collapsed="false">
      <c r="A430" s="8" t="s">
        <v>1329</v>
      </c>
      <c r="B430" s="8" t="s">
        <v>53</v>
      </c>
      <c r="C430" s="30" t="n">
        <v>2950</v>
      </c>
      <c r="D430" s="30" t="n">
        <v>2950</v>
      </c>
      <c r="E430" s="30" t="n">
        <f aca="false">MIN(C430,D430)</f>
        <v>2950</v>
      </c>
      <c r="F430" s="8" t="n">
        <f aca="false">IF(D430&gt;0,1,0)</f>
        <v>1</v>
      </c>
    </row>
    <row r="431" customFormat="false" ht="15" hidden="false" customHeight="false" outlineLevel="0" collapsed="false">
      <c r="A431" s="8" t="s">
        <v>1253</v>
      </c>
      <c r="B431" s="8" t="s">
        <v>53</v>
      </c>
      <c r="C431" s="30" t="n">
        <v>2950</v>
      </c>
      <c r="D431" s="30" t="n">
        <v>3225</v>
      </c>
      <c r="E431" s="30" t="n">
        <f aca="false">MIN(C431,D431)</f>
        <v>2950</v>
      </c>
      <c r="F431" s="8" t="n">
        <f aca="false">IF(D431&gt;0,1,0)</f>
        <v>1</v>
      </c>
    </row>
    <row r="432" customFormat="false" ht="15" hidden="false" customHeight="false" outlineLevel="0" collapsed="false">
      <c r="A432" s="8" t="s">
        <v>4455</v>
      </c>
      <c r="B432" s="8" t="s">
        <v>53</v>
      </c>
      <c r="C432" s="30" t="n">
        <v>2925</v>
      </c>
      <c r="D432" s="30" t="n">
        <v>0</v>
      </c>
      <c r="E432" s="30" t="n">
        <f aca="false">MIN(C432,D432)</f>
        <v>0</v>
      </c>
      <c r="F432" s="8" t="n">
        <f aca="false">IF(D432&gt;0,1,0)</f>
        <v>0</v>
      </c>
    </row>
    <row r="433" customFormat="false" ht="15" hidden="false" customHeight="false" outlineLevel="0" collapsed="false">
      <c r="A433" s="8" t="s">
        <v>1337</v>
      </c>
      <c r="B433" s="8" t="s">
        <v>53</v>
      </c>
      <c r="C433" s="30" t="n">
        <v>2925</v>
      </c>
      <c r="D433" s="30" t="n">
        <v>2925</v>
      </c>
      <c r="E433" s="30" t="n">
        <f aca="false">MIN(C433,D433)</f>
        <v>2925</v>
      </c>
      <c r="F433" s="8" t="n">
        <f aca="false">IF(D433&gt;0,1,0)</f>
        <v>1</v>
      </c>
    </row>
    <row r="434" customFormat="false" ht="15" hidden="false" customHeight="false" outlineLevel="0" collapsed="false">
      <c r="A434" s="8" t="s">
        <v>1341</v>
      </c>
      <c r="B434" s="8" t="s">
        <v>53</v>
      </c>
      <c r="C434" s="30" t="n">
        <v>2900</v>
      </c>
      <c r="D434" s="30" t="n">
        <v>2900</v>
      </c>
      <c r="E434" s="30" t="n">
        <f aca="false">MIN(C434,D434)</f>
        <v>2900</v>
      </c>
      <c r="F434" s="8" t="n">
        <f aca="false">IF(D434&gt;0,1,0)</f>
        <v>1</v>
      </c>
    </row>
    <row r="435" customFormat="false" ht="15" hidden="false" customHeight="false" outlineLevel="0" collapsed="false">
      <c r="A435" s="8" t="s">
        <v>1343</v>
      </c>
      <c r="B435" s="8" t="s">
        <v>53</v>
      </c>
      <c r="C435" s="30" t="n">
        <v>2900</v>
      </c>
      <c r="D435" s="30" t="n">
        <v>2900</v>
      </c>
      <c r="E435" s="30" t="n">
        <f aca="false">MIN(C435,D435)</f>
        <v>2900</v>
      </c>
      <c r="F435" s="8" t="n">
        <f aca="false">IF(D435&gt;0,1,0)</f>
        <v>1</v>
      </c>
    </row>
    <row r="436" customFormat="false" ht="15" hidden="false" customHeight="false" outlineLevel="0" collapsed="false">
      <c r="A436" s="8" t="s">
        <v>1347</v>
      </c>
      <c r="B436" s="8" t="s">
        <v>53</v>
      </c>
      <c r="C436" s="30" t="n">
        <v>2875</v>
      </c>
      <c r="D436" s="30" t="n">
        <v>2875</v>
      </c>
      <c r="E436" s="30" t="n">
        <f aca="false">MIN(C436,D436)</f>
        <v>2875</v>
      </c>
      <c r="F436" s="8" t="n">
        <f aca="false">IF(D436&gt;0,1,0)</f>
        <v>1</v>
      </c>
    </row>
    <row r="437" customFormat="false" ht="15" hidden="false" customHeight="false" outlineLevel="0" collapsed="false">
      <c r="A437" s="8" t="s">
        <v>4456</v>
      </c>
      <c r="B437" s="8" t="s">
        <v>53</v>
      </c>
      <c r="C437" s="30" t="n">
        <v>2875</v>
      </c>
      <c r="D437" s="30" t="n">
        <v>0</v>
      </c>
      <c r="E437" s="30" t="n">
        <f aca="false">MIN(C437,D437)</f>
        <v>0</v>
      </c>
      <c r="F437" s="8" t="n">
        <f aca="false">IF(D437&gt;0,1,0)</f>
        <v>0</v>
      </c>
    </row>
    <row r="438" customFormat="false" ht="15" hidden="false" customHeight="false" outlineLevel="0" collapsed="false">
      <c r="A438" s="8" t="s">
        <v>1351</v>
      </c>
      <c r="B438" s="8" t="s">
        <v>53</v>
      </c>
      <c r="C438" s="30" t="n">
        <v>2875</v>
      </c>
      <c r="D438" s="30" t="n">
        <v>2875</v>
      </c>
      <c r="E438" s="30" t="n">
        <f aca="false">MIN(C438,D438)</f>
        <v>2875</v>
      </c>
      <c r="F438" s="8" t="n">
        <f aca="false">IF(D438&gt;0,1,0)</f>
        <v>1</v>
      </c>
    </row>
    <row r="439" customFormat="false" ht="15" hidden="false" customHeight="false" outlineLevel="0" collapsed="false">
      <c r="A439" s="8" t="s">
        <v>1355</v>
      </c>
      <c r="B439" s="8" t="s">
        <v>53</v>
      </c>
      <c r="C439" s="30" t="n">
        <v>2850</v>
      </c>
      <c r="D439" s="30" t="n">
        <v>2850</v>
      </c>
      <c r="E439" s="30" t="n">
        <f aca="false">MIN(C439,D439)</f>
        <v>2850</v>
      </c>
      <c r="F439" s="8" t="n">
        <f aca="false">IF(D439&gt;0,1,0)</f>
        <v>1</v>
      </c>
    </row>
    <row r="440" customFormat="false" ht="15" hidden="false" customHeight="false" outlineLevel="0" collapsed="false">
      <c r="A440" s="8" t="s">
        <v>1357</v>
      </c>
      <c r="B440" s="8" t="s">
        <v>53</v>
      </c>
      <c r="C440" s="30" t="n">
        <v>2850</v>
      </c>
      <c r="D440" s="30" t="n">
        <v>2850</v>
      </c>
      <c r="E440" s="30" t="n">
        <f aca="false">MIN(C440,D440)</f>
        <v>2850</v>
      </c>
      <c r="F440" s="8" t="n">
        <f aca="false">IF(D440&gt;0,1,0)</f>
        <v>1</v>
      </c>
    </row>
    <row r="441" customFormat="false" ht="15" hidden="false" customHeight="false" outlineLevel="0" collapsed="false">
      <c r="A441" s="8" t="s">
        <v>1293</v>
      </c>
      <c r="B441" s="8" t="s">
        <v>53</v>
      </c>
      <c r="C441" s="30" t="n">
        <v>2850</v>
      </c>
      <c r="D441" s="30" t="n">
        <v>3100</v>
      </c>
      <c r="E441" s="30" t="n">
        <f aca="false">MIN(C441,D441)</f>
        <v>2850</v>
      </c>
      <c r="F441" s="8" t="n">
        <f aca="false">IF(D441&gt;0,1,0)</f>
        <v>1</v>
      </c>
    </row>
    <row r="442" customFormat="false" ht="15" hidden="false" customHeight="false" outlineLevel="0" collapsed="false">
      <c r="A442" s="8" t="s">
        <v>1249</v>
      </c>
      <c r="B442" s="8" t="s">
        <v>53</v>
      </c>
      <c r="C442" s="30" t="n">
        <v>2825</v>
      </c>
      <c r="D442" s="30" t="n">
        <v>3225</v>
      </c>
      <c r="E442" s="30" t="n">
        <f aca="false">MIN(C442,D442)</f>
        <v>2825</v>
      </c>
      <c r="F442" s="8" t="n">
        <f aca="false">IF(D442&gt;0,1,0)</f>
        <v>1</v>
      </c>
    </row>
    <row r="443" customFormat="false" ht="15" hidden="false" customHeight="false" outlineLevel="0" collapsed="false">
      <c r="A443" s="8" t="s">
        <v>1457</v>
      </c>
      <c r="B443" s="8" t="s">
        <v>53</v>
      </c>
      <c r="C443" s="30" t="n">
        <v>2825</v>
      </c>
      <c r="D443" s="30" t="n">
        <v>2350</v>
      </c>
      <c r="E443" s="30" t="n">
        <f aca="false">MIN(C443,D443)</f>
        <v>2350</v>
      </c>
      <c r="F443" s="8" t="n">
        <f aca="false">IF(D443&gt;0,1,0)</f>
        <v>1</v>
      </c>
    </row>
    <row r="444" customFormat="false" ht="15" hidden="false" customHeight="false" outlineLevel="0" collapsed="false">
      <c r="A444" s="8" t="s">
        <v>1365</v>
      </c>
      <c r="B444" s="8" t="s">
        <v>53</v>
      </c>
      <c r="C444" s="30" t="n">
        <v>2825</v>
      </c>
      <c r="D444" s="30" t="n">
        <v>2825</v>
      </c>
      <c r="E444" s="30" t="n">
        <f aca="false">MIN(C444,D444)</f>
        <v>2825</v>
      </c>
      <c r="F444" s="8" t="n">
        <f aca="false">IF(D444&gt;0,1,0)</f>
        <v>1</v>
      </c>
    </row>
    <row r="445" customFormat="false" ht="15" hidden="false" customHeight="false" outlineLevel="0" collapsed="false">
      <c r="A445" s="8" t="s">
        <v>4457</v>
      </c>
      <c r="B445" s="8" t="s">
        <v>53</v>
      </c>
      <c r="C445" s="30" t="n">
        <v>2825</v>
      </c>
      <c r="D445" s="30" t="n">
        <v>0</v>
      </c>
      <c r="E445" s="30" t="n">
        <f aca="false">MIN(C445,D445)</f>
        <v>0</v>
      </c>
      <c r="F445" s="8" t="n">
        <f aca="false">IF(D445&gt;0,1,0)</f>
        <v>0</v>
      </c>
    </row>
    <row r="446" customFormat="false" ht="15" hidden="false" customHeight="false" outlineLevel="0" collapsed="false">
      <c r="A446" s="8" t="s">
        <v>1151</v>
      </c>
      <c r="B446" s="8" t="s">
        <v>53</v>
      </c>
      <c r="C446" s="30" t="n">
        <v>2825</v>
      </c>
      <c r="D446" s="30" t="n">
        <v>3550</v>
      </c>
      <c r="E446" s="30" t="n">
        <f aca="false">MIN(C446,D446)</f>
        <v>2825</v>
      </c>
      <c r="F446" s="8" t="n">
        <f aca="false">IF(D446&gt;0,1,0)</f>
        <v>1</v>
      </c>
    </row>
    <row r="447" customFormat="false" ht="15" hidden="false" customHeight="false" outlineLevel="0" collapsed="false">
      <c r="A447" s="8" t="s">
        <v>1443</v>
      </c>
      <c r="B447" s="8" t="s">
        <v>53</v>
      </c>
      <c r="C447" s="30" t="n">
        <v>2800</v>
      </c>
      <c r="D447" s="30" t="n">
        <v>2425</v>
      </c>
      <c r="E447" s="30" t="n">
        <f aca="false">MIN(C447,D447)</f>
        <v>2425</v>
      </c>
      <c r="F447" s="8" t="n">
        <f aca="false">IF(D447&gt;0,1,0)</f>
        <v>1</v>
      </c>
    </row>
    <row r="448" customFormat="false" ht="15" hidden="false" customHeight="false" outlineLevel="0" collapsed="false">
      <c r="A448" s="8" t="s">
        <v>1105</v>
      </c>
      <c r="B448" s="8" t="s">
        <v>53</v>
      </c>
      <c r="C448" s="30" t="n">
        <v>2800</v>
      </c>
      <c r="D448" s="30" t="n">
        <v>3700</v>
      </c>
      <c r="E448" s="30" t="n">
        <f aca="false">MIN(C448,D448)</f>
        <v>2800</v>
      </c>
      <c r="F448" s="8" t="n">
        <f aca="false">IF(D448&gt;0,1,0)</f>
        <v>1</v>
      </c>
    </row>
    <row r="449" customFormat="false" ht="15" hidden="false" customHeight="false" outlineLevel="0" collapsed="false">
      <c r="A449" s="8" t="s">
        <v>1367</v>
      </c>
      <c r="B449" s="8" t="s">
        <v>53</v>
      </c>
      <c r="C449" s="30" t="n">
        <v>2800</v>
      </c>
      <c r="D449" s="30" t="n">
        <v>2800</v>
      </c>
      <c r="E449" s="30" t="n">
        <f aca="false">MIN(C449,D449)</f>
        <v>2800</v>
      </c>
      <c r="F449" s="8" t="n">
        <f aca="false">IF(D449&gt;0,1,0)</f>
        <v>1</v>
      </c>
    </row>
    <row r="450" customFormat="false" ht="15" hidden="false" customHeight="false" outlineLevel="0" collapsed="false">
      <c r="A450" s="8" t="s">
        <v>4458</v>
      </c>
      <c r="B450" s="8" t="s">
        <v>53</v>
      </c>
      <c r="C450" s="30" t="n">
        <v>2800</v>
      </c>
      <c r="D450" s="30" t="n">
        <v>0</v>
      </c>
      <c r="E450" s="30" t="n">
        <f aca="false">MIN(C450,D450)</f>
        <v>0</v>
      </c>
      <c r="F450" s="8" t="n">
        <f aca="false">IF(D450&gt;0,1,0)</f>
        <v>0</v>
      </c>
    </row>
    <row r="451" customFormat="false" ht="15" hidden="false" customHeight="false" outlineLevel="0" collapsed="false">
      <c r="A451" s="8" t="s">
        <v>1369</v>
      </c>
      <c r="B451" s="8" t="s">
        <v>53</v>
      </c>
      <c r="C451" s="30" t="n">
        <v>2800</v>
      </c>
      <c r="D451" s="30" t="n">
        <v>2800</v>
      </c>
      <c r="E451" s="30" t="n">
        <f aca="false">MIN(C451,D451)</f>
        <v>2800</v>
      </c>
      <c r="F451" s="8" t="n">
        <f aca="false">IF(D451&gt;0,1,0)</f>
        <v>1</v>
      </c>
    </row>
    <row r="452" customFormat="false" ht="15" hidden="false" customHeight="false" outlineLevel="0" collapsed="false">
      <c r="A452" s="8" t="s">
        <v>1371</v>
      </c>
      <c r="B452" s="8" t="s">
        <v>53</v>
      </c>
      <c r="C452" s="30" t="n">
        <v>2775</v>
      </c>
      <c r="D452" s="30" t="n">
        <v>2775</v>
      </c>
      <c r="E452" s="30" t="n">
        <f aca="false">MIN(C452,D452)</f>
        <v>2775</v>
      </c>
      <c r="F452" s="8" t="n">
        <f aca="false">IF(D452&gt;0,1,0)</f>
        <v>1</v>
      </c>
    </row>
    <row r="453" customFormat="false" ht="15" hidden="false" customHeight="false" outlineLevel="0" collapsed="false">
      <c r="A453" s="8" t="s">
        <v>4459</v>
      </c>
      <c r="B453" s="8" t="s">
        <v>53</v>
      </c>
      <c r="C453" s="30" t="n">
        <v>2775</v>
      </c>
      <c r="D453" s="30" t="n">
        <v>0</v>
      </c>
      <c r="E453" s="30" t="n">
        <f aca="false">MIN(C453,D453)</f>
        <v>0</v>
      </c>
      <c r="F453" s="8" t="n">
        <f aca="false">IF(D453&gt;0,1,0)</f>
        <v>0</v>
      </c>
    </row>
    <row r="454" customFormat="false" ht="15" hidden="false" customHeight="false" outlineLevel="0" collapsed="false">
      <c r="A454" s="8" t="s">
        <v>1377</v>
      </c>
      <c r="B454" s="8" t="s">
        <v>53</v>
      </c>
      <c r="C454" s="30" t="n">
        <v>2750</v>
      </c>
      <c r="D454" s="30" t="n">
        <v>2750</v>
      </c>
      <c r="E454" s="30" t="n">
        <f aca="false">MIN(C454,D454)</f>
        <v>2750</v>
      </c>
      <c r="F454" s="8" t="n">
        <f aca="false">IF(D454&gt;0,1,0)</f>
        <v>1</v>
      </c>
    </row>
    <row r="455" customFormat="false" ht="15" hidden="false" customHeight="false" outlineLevel="0" collapsed="false">
      <c r="A455" s="8" t="s">
        <v>4460</v>
      </c>
      <c r="B455" s="8" t="s">
        <v>53</v>
      </c>
      <c r="C455" s="30" t="n">
        <v>2750</v>
      </c>
      <c r="D455" s="30" t="n">
        <v>0</v>
      </c>
      <c r="E455" s="30" t="n">
        <f aca="false">MIN(C455,D455)</f>
        <v>0</v>
      </c>
      <c r="F455" s="8" t="n">
        <f aca="false">IF(D455&gt;0,1,0)</f>
        <v>0</v>
      </c>
    </row>
    <row r="456" customFormat="false" ht="15" hidden="false" customHeight="false" outlineLevel="0" collapsed="false">
      <c r="A456" s="8" t="s">
        <v>1251</v>
      </c>
      <c r="B456" s="8" t="s">
        <v>53</v>
      </c>
      <c r="C456" s="30" t="n">
        <v>2750</v>
      </c>
      <c r="D456" s="30" t="n">
        <v>3225</v>
      </c>
      <c r="E456" s="30" t="n">
        <f aca="false">MIN(C456,D456)</f>
        <v>2750</v>
      </c>
      <c r="F456" s="8" t="n">
        <f aca="false">IF(D456&gt;0,1,0)</f>
        <v>1</v>
      </c>
    </row>
    <row r="457" customFormat="false" ht="15" hidden="false" customHeight="false" outlineLevel="0" collapsed="false">
      <c r="A457" s="8" t="s">
        <v>1307</v>
      </c>
      <c r="B457" s="8" t="s">
        <v>53</v>
      </c>
      <c r="C457" s="30" t="n">
        <v>2750</v>
      </c>
      <c r="D457" s="30" t="n">
        <v>3025</v>
      </c>
      <c r="E457" s="30" t="n">
        <f aca="false">MIN(C457,D457)</f>
        <v>2750</v>
      </c>
      <c r="F457" s="8" t="n">
        <f aca="false">IF(D457&gt;0,1,0)</f>
        <v>1</v>
      </c>
    </row>
    <row r="458" customFormat="false" ht="15" hidden="false" customHeight="false" outlineLevel="0" collapsed="false">
      <c r="A458" s="8" t="s">
        <v>1383</v>
      </c>
      <c r="B458" s="8" t="s">
        <v>53</v>
      </c>
      <c r="C458" s="30" t="n">
        <v>2725</v>
      </c>
      <c r="D458" s="30" t="n">
        <v>2725</v>
      </c>
      <c r="E458" s="30" t="n">
        <f aca="false">MIN(C458,D458)</f>
        <v>2725</v>
      </c>
      <c r="F458" s="8" t="n">
        <f aca="false">IF(D458&gt;0,1,0)</f>
        <v>1</v>
      </c>
    </row>
    <row r="459" customFormat="false" ht="15" hidden="false" customHeight="false" outlineLevel="0" collapsed="false">
      <c r="A459" s="8" t="s">
        <v>1387</v>
      </c>
      <c r="B459" s="8" t="s">
        <v>53</v>
      </c>
      <c r="C459" s="30" t="n">
        <v>2700</v>
      </c>
      <c r="D459" s="30" t="n">
        <v>2700</v>
      </c>
      <c r="E459" s="30" t="n">
        <f aca="false">MIN(C459,D459)</f>
        <v>2700</v>
      </c>
      <c r="F459" s="8" t="n">
        <f aca="false">IF(D459&gt;0,1,0)</f>
        <v>1</v>
      </c>
    </row>
    <row r="460" customFormat="false" ht="15" hidden="false" customHeight="false" outlineLevel="0" collapsed="false">
      <c r="A460" s="8" t="s">
        <v>1389</v>
      </c>
      <c r="B460" s="8" t="s">
        <v>53</v>
      </c>
      <c r="C460" s="30" t="n">
        <v>2700</v>
      </c>
      <c r="D460" s="30" t="n">
        <v>2700</v>
      </c>
      <c r="E460" s="30" t="n">
        <f aca="false">MIN(C460,D460)</f>
        <v>2700</v>
      </c>
      <c r="F460" s="8" t="n">
        <f aca="false">IF(D460&gt;0,1,0)</f>
        <v>1</v>
      </c>
    </row>
    <row r="461" customFormat="false" ht="15" hidden="false" customHeight="false" outlineLevel="0" collapsed="false">
      <c r="A461" s="8" t="s">
        <v>1391</v>
      </c>
      <c r="B461" s="8" t="s">
        <v>53</v>
      </c>
      <c r="C461" s="30" t="n">
        <v>2700</v>
      </c>
      <c r="D461" s="30" t="n">
        <v>2700</v>
      </c>
      <c r="E461" s="30" t="n">
        <f aca="false">MIN(C461,D461)</f>
        <v>2700</v>
      </c>
      <c r="F461" s="8" t="n">
        <f aca="false">IF(D461&gt;0,1,0)</f>
        <v>1</v>
      </c>
    </row>
    <row r="462" customFormat="false" ht="15" hidden="false" customHeight="false" outlineLevel="0" collapsed="false">
      <c r="A462" s="8" t="s">
        <v>1397</v>
      </c>
      <c r="B462" s="8" t="s">
        <v>53</v>
      </c>
      <c r="C462" s="30" t="n">
        <v>2675</v>
      </c>
      <c r="D462" s="30" t="n">
        <v>2675</v>
      </c>
      <c r="E462" s="30" t="n">
        <f aca="false">MIN(C462,D462)</f>
        <v>2675</v>
      </c>
      <c r="F462" s="8" t="n">
        <f aca="false">IF(D462&gt;0,1,0)</f>
        <v>1</v>
      </c>
    </row>
    <row r="463" customFormat="false" ht="15" hidden="false" customHeight="false" outlineLevel="0" collapsed="false">
      <c r="A463" s="8" t="s">
        <v>4461</v>
      </c>
      <c r="B463" s="8" t="s">
        <v>53</v>
      </c>
      <c r="C463" s="30" t="n">
        <v>2655</v>
      </c>
      <c r="D463" s="30" t="n">
        <v>0</v>
      </c>
      <c r="E463" s="30" t="n">
        <f aca="false">MIN(C463,D463)</f>
        <v>0</v>
      </c>
      <c r="F463" s="8" t="n">
        <f aca="false">IF(D463&gt;0,1,0)</f>
        <v>0</v>
      </c>
    </row>
    <row r="464" customFormat="false" ht="15" hidden="false" customHeight="false" outlineLevel="0" collapsed="false">
      <c r="A464" s="8" t="s">
        <v>1451</v>
      </c>
      <c r="B464" s="8" t="s">
        <v>53</v>
      </c>
      <c r="C464" s="30" t="n">
        <v>2650</v>
      </c>
      <c r="D464" s="30" t="n">
        <v>2375</v>
      </c>
      <c r="E464" s="30" t="n">
        <f aca="false">MIN(C464,D464)</f>
        <v>2375</v>
      </c>
      <c r="F464" s="8" t="n">
        <f aca="false">IF(D464&gt;0,1,0)</f>
        <v>1</v>
      </c>
    </row>
    <row r="465" customFormat="false" ht="15" hidden="false" customHeight="false" outlineLevel="0" collapsed="false">
      <c r="A465" s="8" t="s">
        <v>1399</v>
      </c>
      <c r="B465" s="8" t="s">
        <v>53</v>
      </c>
      <c r="C465" s="30" t="n">
        <v>2650</v>
      </c>
      <c r="D465" s="30" t="n">
        <v>2650</v>
      </c>
      <c r="E465" s="30" t="n">
        <f aca="false">MIN(C465,D465)</f>
        <v>2650</v>
      </c>
      <c r="F465" s="8" t="n">
        <f aca="false">IF(D465&gt;0,1,0)</f>
        <v>1</v>
      </c>
    </row>
    <row r="466" customFormat="false" ht="15" hidden="false" customHeight="false" outlineLevel="0" collapsed="false">
      <c r="A466" s="8" t="s">
        <v>1461</v>
      </c>
      <c r="B466" s="8" t="s">
        <v>53</v>
      </c>
      <c r="C466" s="30" t="n">
        <v>2650</v>
      </c>
      <c r="D466" s="30" t="n">
        <v>2350</v>
      </c>
      <c r="E466" s="30" t="n">
        <f aca="false">MIN(C466,D466)</f>
        <v>2350</v>
      </c>
      <c r="F466" s="8" t="n">
        <f aca="false">IF(D466&gt;0,1,0)</f>
        <v>1</v>
      </c>
    </row>
    <row r="467" customFormat="false" ht="15" hidden="false" customHeight="false" outlineLevel="0" collapsed="false">
      <c r="A467" s="8" t="s">
        <v>1401</v>
      </c>
      <c r="B467" s="8" t="s">
        <v>53</v>
      </c>
      <c r="C467" s="30" t="n">
        <v>2650</v>
      </c>
      <c r="D467" s="30" t="n">
        <v>2650</v>
      </c>
      <c r="E467" s="30" t="n">
        <f aca="false">MIN(C467,D467)</f>
        <v>2650</v>
      </c>
      <c r="F467" s="8" t="n">
        <f aca="false">IF(D467&gt;0,1,0)</f>
        <v>1</v>
      </c>
    </row>
    <row r="468" customFormat="false" ht="15" hidden="false" customHeight="false" outlineLevel="0" collapsed="false">
      <c r="A468" s="8" t="s">
        <v>1403</v>
      </c>
      <c r="B468" s="8" t="s">
        <v>53</v>
      </c>
      <c r="C468" s="30" t="n">
        <v>2650</v>
      </c>
      <c r="D468" s="30" t="n">
        <v>2650</v>
      </c>
      <c r="E468" s="30" t="n">
        <f aca="false">MIN(C468,D468)</f>
        <v>2650</v>
      </c>
      <c r="F468" s="8" t="n">
        <f aca="false">IF(D468&gt;0,1,0)</f>
        <v>1</v>
      </c>
    </row>
    <row r="469" customFormat="false" ht="15" hidden="false" customHeight="false" outlineLevel="0" collapsed="false">
      <c r="A469" s="8" t="s">
        <v>1407</v>
      </c>
      <c r="B469" s="8" t="s">
        <v>53</v>
      </c>
      <c r="C469" s="30" t="n">
        <v>2625</v>
      </c>
      <c r="D469" s="30" t="n">
        <v>2625</v>
      </c>
      <c r="E469" s="30" t="n">
        <f aca="false">MIN(C469,D469)</f>
        <v>2625</v>
      </c>
      <c r="F469" s="8" t="n">
        <f aca="false">IF(D469&gt;0,1,0)</f>
        <v>1</v>
      </c>
    </row>
    <row r="470" customFormat="false" ht="15" hidden="false" customHeight="false" outlineLevel="0" collapsed="false">
      <c r="A470" s="8" t="s">
        <v>1405</v>
      </c>
      <c r="B470" s="8" t="s">
        <v>53</v>
      </c>
      <c r="C470" s="30" t="n">
        <v>2625</v>
      </c>
      <c r="D470" s="30" t="n">
        <v>2650</v>
      </c>
      <c r="E470" s="30" t="n">
        <f aca="false">MIN(C470,D470)</f>
        <v>2625</v>
      </c>
      <c r="F470" s="8" t="n">
        <f aca="false">IF(D470&gt;0,1,0)</f>
        <v>1</v>
      </c>
    </row>
    <row r="471" customFormat="false" ht="15" hidden="false" customHeight="false" outlineLevel="0" collapsed="false">
      <c r="A471" s="8" t="s">
        <v>1415</v>
      </c>
      <c r="B471" s="8" t="s">
        <v>53</v>
      </c>
      <c r="C471" s="30" t="n">
        <v>2575</v>
      </c>
      <c r="D471" s="30" t="n">
        <v>2575</v>
      </c>
      <c r="E471" s="30" t="n">
        <f aca="false">MIN(C471,D471)</f>
        <v>2575</v>
      </c>
      <c r="F471" s="8" t="n">
        <f aca="false">IF(D471&gt;0,1,0)</f>
        <v>1</v>
      </c>
    </row>
    <row r="472" customFormat="false" ht="15" hidden="false" customHeight="false" outlineLevel="0" collapsed="false">
      <c r="A472" s="8" t="s">
        <v>1345</v>
      </c>
      <c r="B472" s="8" t="s">
        <v>53</v>
      </c>
      <c r="C472" s="30" t="n">
        <v>2565</v>
      </c>
      <c r="D472" s="30" t="n">
        <v>2880</v>
      </c>
      <c r="E472" s="30" t="n">
        <f aca="false">MIN(C472,D472)</f>
        <v>2565</v>
      </c>
      <c r="F472" s="8" t="n">
        <f aca="false">IF(D472&gt;0,1,0)</f>
        <v>1</v>
      </c>
    </row>
    <row r="473" customFormat="false" ht="15" hidden="false" customHeight="false" outlineLevel="0" collapsed="false">
      <c r="A473" s="8" t="s">
        <v>1417</v>
      </c>
      <c r="B473" s="8" t="s">
        <v>53</v>
      </c>
      <c r="C473" s="30" t="n">
        <v>2565</v>
      </c>
      <c r="D473" s="30" t="n">
        <v>2565</v>
      </c>
      <c r="E473" s="30" t="n">
        <f aca="false">MIN(C473,D473)</f>
        <v>2565</v>
      </c>
      <c r="F473" s="8" t="n">
        <f aca="false">IF(D473&gt;0,1,0)</f>
        <v>1</v>
      </c>
    </row>
    <row r="474" customFormat="false" ht="15" hidden="false" customHeight="false" outlineLevel="0" collapsed="false">
      <c r="A474" s="8" t="s">
        <v>1327</v>
      </c>
      <c r="B474" s="8" t="s">
        <v>53</v>
      </c>
      <c r="C474" s="30" t="n">
        <v>2550</v>
      </c>
      <c r="D474" s="30" t="n">
        <v>2950</v>
      </c>
      <c r="E474" s="30" t="n">
        <f aca="false">MIN(C474,D474)</f>
        <v>2550</v>
      </c>
      <c r="F474" s="8" t="n">
        <f aca="false">IF(D474&gt;0,1,0)</f>
        <v>1</v>
      </c>
    </row>
    <row r="475" customFormat="false" ht="15" hidden="false" customHeight="false" outlineLevel="0" collapsed="false">
      <c r="A475" s="8" t="s">
        <v>1419</v>
      </c>
      <c r="B475" s="8" t="s">
        <v>53</v>
      </c>
      <c r="C475" s="30" t="n">
        <v>2550</v>
      </c>
      <c r="D475" s="30" t="n">
        <v>2550</v>
      </c>
      <c r="E475" s="30" t="n">
        <f aca="false">MIN(C475,D475)</f>
        <v>2550</v>
      </c>
      <c r="F475" s="8" t="n">
        <f aca="false">IF(D475&gt;0,1,0)</f>
        <v>1</v>
      </c>
    </row>
    <row r="476" customFormat="false" ht="15" hidden="false" customHeight="false" outlineLevel="0" collapsed="false">
      <c r="A476" s="8" t="s">
        <v>4462</v>
      </c>
      <c r="B476" s="8" t="s">
        <v>53</v>
      </c>
      <c r="C476" s="30" t="n">
        <v>2550</v>
      </c>
      <c r="D476" s="30" t="n">
        <v>0</v>
      </c>
      <c r="E476" s="30" t="n">
        <f aca="false">MIN(C476,D476)</f>
        <v>0</v>
      </c>
      <c r="F476" s="8" t="n">
        <f aca="false">IF(D476&gt;0,1,0)</f>
        <v>0</v>
      </c>
    </row>
    <row r="477" customFormat="false" ht="15" hidden="false" customHeight="false" outlineLevel="0" collapsed="false">
      <c r="A477" s="8" t="s">
        <v>1421</v>
      </c>
      <c r="B477" s="8" t="s">
        <v>53</v>
      </c>
      <c r="C477" s="30" t="n">
        <v>2525</v>
      </c>
      <c r="D477" s="30" t="n">
        <v>2525</v>
      </c>
      <c r="E477" s="30" t="n">
        <f aca="false">MIN(C477,D477)</f>
        <v>2525</v>
      </c>
      <c r="F477" s="8" t="n">
        <f aca="false">IF(D477&gt;0,1,0)</f>
        <v>1</v>
      </c>
    </row>
    <row r="478" customFormat="false" ht="15" hidden="false" customHeight="false" outlineLevel="0" collapsed="false">
      <c r="A478" s="8" t="s">
        <v>1547</v>
      </c>
      <c r="B478" s="8" t="s">
        <v>53</v>
      </c>
      <c r="C478" s="30" t="n">
        <v>2525</v>
      </c>
      <c r="D478" s="30" t="n">
        <v>2100</v>
      </c>
      <c r="E478" s="30" t="n">
        <f aca="false">MIN(C478,D478)</f>
        <v>2100</v>
      </c>
      <c r="F478" s="8" t="n">
        <f aca="false">IF(D478&gt;0,1,0)</f>
        <v>1</v>
      </c>
    </row>
    <row r="479" customFormat="false" ht="15" hidden="false" customHeight="false" outlineLevel="0" collapsed="false">
      <c r="A479" s="8" t="s">
        <v>1423</v>
      </c>
      <c r="B479" s="8" t="s">
        <v>53</v>
      </c>
      <c r="C479" s="30" t="n">
        <v>2525</v>
      </c>
      <c r="D479" s="30" t="n">
        <v>2525</v>
      </c>
      <c r="E479" s="30" t="n">
        <f aca="false">MIN(C479,D479)</f>
        <v>2525</v>
      </c>
      <c r="F479" s="8" t="n">
        <f aca="false">IF(D479&gt;0,1,0)</f>
        <v>1</v>
      </c>
    </row>
    <row r="480" customFormat="false" ht="15" hidden="false" customHeight="false" outlineLevel="0" collapsed="false">
      <c r="A480" s="8" t="s">
        <v>4463</v>
      </c>
      <c r="B480" s="8" t="s">
        <v>53</v>
      </c>
      <c r="C480" s="30" t="n">
        <v>2525</v>
      </c>
      <c r="D480" s="30" t="n">
        <v>0</v>
      </c>
      <c r="E480" s="30" t="n">
        <f aca="false">MIN(C480,D480)</f>
        <v>0</v>
      </c>
      <c r="F480" s="8" t="n">
        <f aca="false">IF(D480&gt;0,1,0)</f>
        <v>0</v>
      </c>
    </row>
    <row r="481" customFormat="false" ht="15" hidden="false" customHeight="false" outlineLevel="0" collapsed="false">
      <c r="A481" s="8" t="s">
        <v>1523</v>
      </c>
      <c r="B481" s="8" t="s">
        <v>53</v>
      </c>
      <c r="C481" s="30" t="n">
        <v>2475</v>
      </c>
      <c r="D481" s="30" t="n">
        <v>2205</v>
      </c>
      <c r="E481" s="30" t="n">
        <f aca="false">MIN(C481,D481)</f>
        <v>2205</v>
      </c>
      <c r="F481" s="8" t="n">
        <f aca="false">IF(D481&gt;0,1,0)</f>
        <v>1</v>
      </c>
    </row>
    <row r="482" customFormat="false" ht="15" hidden="false" customHeight="false" outlineLevel="0" collapsed="false">
      <c r="A482" s="8" t="s">
        <v>1433</v>
      </c>
      <c r="B482" s="8" t="s">
        <v>53</v>
      </c>
      <c r="C482" s="30" t="n">
        <v>2475</v>
      </c>
      <c r="D482" s="30" t="n">
        <v>2475</v>
      </c>
      <c r="E482" s="30" t="n">
        <f aca="false">MIN(C482,D482)</f>
        <v>2475</v>
      </c>
      <c r="F482" s="8" t="n">
        <f aca="false">IF(D482&gt;0,1,0)</f>
        <v>1</v>
      </c>
    </row>
    <row r="483" customFormat="false" ht="15" hidden="false" customHeight="false" outlineLevel="0" collapsed="false">
      <c r="A483" s="8" t="s">
        <v>1237</v>
      </c>
      <c r="B483" s="8" t="s">
        <v>53</v>
      </c>
      <c r="C483" s="30" t="n">
        <v>2450</v>
      </c>
      <c r="D483" s="30" t="n">
        <v>3250</v>
      </c>
      <c r="E483" s="30" t="n">
        <f aca="false">MIN(C483,D483)</f>
        <v>2450</v>
      </c>
      <c r="F483" s="8" t="n">
        <f aca="false">IF(D483&gt;0,1,0)</f>
        <v>1</v>
      </c>
    </row>
    <row r="484" customFormat="false" ht="15" hidden="false" customHeight="false" outlineLevel="0" collapsed="false">
      <c r="A484" s="8" t="s">
        <v>4464</v>
      </c>
      <c r="B484" s="8" t="s">
        <v>53</v>
      </c>
      <c r="C484" s="30" t="n">
        <v>2450</v>
      </c>
      <c r="D484" s="30" t="n">
        <v>0</v>
      </c>
      <c r="E484" s="30" t="n">
        <f aca="false">MIN(C484,D484)</f>
        <v>0</v>
      </c>
      <c r="F484" s="8" t="n">
        <f aca="false">IF(D484&gt;0,1,0)</f>
        <v>0</v>
      </c>
    </row>
    <row r="485" customFormat="false" ht="15" hidden="false" customHeight="false" outlineLevel="0" collapsed="false">
      <c r="A485" s="8" t="s">
        <v>1439</v>
      </c>
      <c r="B485" s="8" t="s">
        <v>53</v>
      </c>
      <c r="C485" s="30" t="n">
        <v>2425</v>
      </c>
      <c r="D485" s="30" t="n">
        <v>2425</v>
      </c>
      <c r="E485" s="30" t="n">
        <f aca="false">MIN(C485,D485)</f>
        <v>2425</v>
      </c>
      <c r="F485" s="8" t="n">
        <f aca="false">IF(D485&gt;0,1,0)</f>
        <v>1</v>
      </c>
    </row>
    <row r="486" customFormat="false" ht="15" hidden="false" customHeight="false" outlineLevel="0" collapsed="false">
      <c r="A486" s="8" t="s">
        <v>4465</v>
      </c>
      <c r="B486" s="8" t="s">
        <v>53</v>
      </c>
      <c r="C486" s="30" t="n">
        <v>2425</v>
      </c>
      <c r="D486" s="30" t="n">
        <v>0</v>
      </c>
      <c r="E486" s="30" t="n">
        <f aca="false">MIN(C486,D486)</f>
        <v>0</v>
      </c>
      <c r="F486" s="8" t="n">
        <f aca="false">IF(D486&gt;0,1,0)</f>
        <v>0</v>
      </c>
    </row>
    <row r="487" customFormat="false" ht="15" hidden="false" customHeight="false" outlineLevel="0" collapsed="false">
      <c r="A487" s="8" t="s">
        <v>1447</v>
      </c>
      <c r="B487" s="8" t="s">
        <v>53</v>
      </c>
      <c r="C487" s="30" t="n">
        <v>2400</v>
      </c>
      <c r="D487" s="30" t="n">
        <v>2400</v>
      </c>
      <c r="E487" s="30" t="n">
        <f aca="false">MIN(C487,D487)</f>
        <v>2400</v>
      </c>
      <c r="F487" s="8" t="n">
        <f aca="false">IF(D487&gt;0,1,0)</f>
        <v>1</v>
      </c>
    </row>
    <row r="488" customFormat="false" ht="15" hidden="false" customHeight="false" outlineLevel="0" collapsed="false">
      <c r="A488" s="8" t="s">
        <v>1449</v>
      </c>
      <c r="B488" s="8" t="s">
        <v>53</v>
      </c>
      <c r="C488" s="30" t="n">
        <v>2400</v>
      </c>
      <c r="D488" s="30" t="n">
        <v>2400</v>
      </c>
      <c r="E488" s="30" t="n">
        <f aca="false">MIN(C488,D488)</f>
        <v>2400</v>
      </c>
      <c r="F488" s="8" t="n">
        <f aca="false">IF(D488&gt;0,1,0)</f>
        <v>1</v>
      </c>
    </row>
    <row r="489" customFormat="false" ht="15" hidden="false" customHeight="false" outlineLevel="0" collapsed="false">
      <c r="A489" s="8" t="s">
        <v>1563</v>
      </c>
      <c r="B489" s="8" t="s">
        <v>53</v>
      </c>
      <c r="C489" s="30" t="n">
        <v>2375</v>
      </c>
      <c r="D489" s="30" t="n">
        <v>2000</v>
      </c>
      <c r="E489" s="30" t="n">
        <f aca="false">MIN(C489,D489)</f>
        <v>2000</v>
      </c>
      <c r="F489" s="8" t="n">
        <f aca="false">IF(D489&gt;0,1,0)</f>
        <v>1</v>
      </c>
    </row>
    <row r="490" customFormat="false" ht="15" hidden="false" customHeight="false" outlineLevel="0" collapsed="false">
      <c r="A490" s="8" t="s">
        <v>4466</v>
      </c>
      <c r="B490" s="8" t="s">
        <v>53</v>
      </c>
      <c r="C490" s="30" t="n">
        <v>2375</v>
      </c>
      <c r="D490" s="30" t="n">
        <v>0</v>
      </c>
      <c r="E490" s="30" t="n">
        <f aca="false">MIN(C490,D490)</f>
        <v>0</v>
      </c>
      <c r="F490" s="8" t="n">
        <f aca="false">IF(D490&gt;0,1,0)</f>
        <v>0</v>
      </c>
    </row>
    <row r="491" customFormat="false" ht="15" hidden="false" customHeight="false" outlineLevel="0" collapsed="false">
      <c r="A491" s="8" t="s">
        <v>4467</v>
      </c>
      <c r="B491" s="8" t="s">
        <v>53</v>
      </c>
      <c r="C491" s="30" t="n">
        <v>2350</v>
      </c>
      <c r="D491" s="30" t="n">
        <v>0</v>
      </c>
      <c r="E491" s="30" t="n">
        <f aca="false">MIN(C491,D491)</f>
        <v>0</v>
      </c>
      <c r="F491" s="8" t="n">
        <f aca="false">IF(D491&gt;0,1,0)</f>
        <v>0</v>
      </c>
    </row>
    <row r="492" customFormat="false" ht="15" hidden="false" customHeight="false" outlineLevel="0" collapsed="false">
      <c r="A492" s="8" t="s">
        <v>1459</v>
      </c>
      <c r="B492" s="8" t="s">
        <v>53</v>
      </c>
      <c r="C492" s="30" t="n">
        <v>2350</v>
      </c>
      <c r="D492" s="30" t="n">
        <v>2350</v>
      </c>
      <c r="E492" s="30" t="n">
        <f aca="false">MIN(C492,D492)</f>
        <v>2350</v>
      </c>
      <c r="F492" s="8" t="n">
        <f aca="false">IF(D492&gt;0,1,0)</f>
        <v>1</v>
      </c>
    </row>
    <row r="493" customFormat="false" ht="15" hidden="false" customHeight="false" outlineLevel="0" collapsed="false">
      <c r="A493" s="8" t="s">
        <v>1467</v>
      </c>
      <c r="B493" s="8" t="s">
        <v>53</v>
      </c>
      <c r="C493" s="30" t="n">
        <v>2350</v>
      </c>
      <c r="D493" s="30" t="n">
        <v>2350</v>
      </c>
      <c r="E493" s="30" t="n">
        <f aca="false">MIN(C493,D493)</f>
        <v>2350</v>
      </c>
      <c r="F493" s="8" t="n">
        <f aca="false">IF(D493&gt;0,1,0)</f>
        <v>1</v>
      </c>
    </row>
    <row r="494" customFormat="false" ht="15" hidden="false" customHeight="false" outlineLevel="0" collapsed="false">
      <c r="A494" s="8" t="s">
        <v>1469</v>
      </c>
      <c r="B494" s="8" t="s">
        <v>53</v>
      </c>
      <c r="C494" s="30" t="n">
        <v>2350</v>
      </c>
      <c r="D494" s="30" t="n">
        <v>2350</v>
      </c>
      <c r="E494" s="30" t="n">
        <f aca="false">MIN(C494,D494)</f>
        <v>2350</v>
      </c>
      <c r="F494" s="8" t="n">
        <f aca="false">IF(D494&gt;0,1,0)</f>
        <v>1</v>
      </c>
    </row>
    <row r="495" customFormat="false" ht="15" hidden="false" customHeight="false" outlineLevel="0" collapsed="false">
      <c r="A495" s="8" t="s">
        <v>1471</v>
      </c>
      <c r="B495" s="8" t="s">
        <v>53</v>
      </c>
      <c r="C495" s="30" t="n">
        <v>2340</v>
      </c>
      <c r="D495" s="30" t="n">
        <v>2340</v>
      </c>
      <c r="E495" s="30" t="n">
        <f aca="false">MIN(C495,D495)</f>
        <v>2340</v>
      </c>
      <c r="F495" s="8" t="n">
        <f aca="false">IF(D495&gt;0,1,0)</f>
        <v>1</v>
      </c>
    </row>
    <row r="496" customFormat="false" ht="15" hidden="false" customHeight="false" outlineLevel="0" collapsed="false">
      <c r="A496" s="8" t="s">
        <v>1483</v>
      </c>
      <c r="B496" s="8" t="s">
        <v>53</v>
      </c>
      <c r="C496" s="30" t="n">
        <v>2300</v>
      </c>
      <c r="D496" s="30" t="n">
        <v>2300</v>
      </c>
      <c r="E496" s="30" t="n">
        <f aca="false">MIN(C496,D496)</f>
        <v>2300</v>
      </c>
      <c r="F496" s="8" t="n">
        <f aca="false">IF(D496&gt;0,1,0)</f>
        <v>1</v>
      </c>
    </row>
    <row r="497" customFormat="false" ht="15" hidden="false" customHeight="false" outlineLevel="0" collapsed="false">
      <c r="A497" s="8" t="s">
        <v>4468</v>
      </c>
      <c r="B497" s="8" t="s">
        <v>53</v>
      </c>
      <c r="C497" s="30" t="n">
        <v>2300</v>
      </c>
      <c r="D497" s="30" t="n">
        <v>0</v>
      </c>
      <c r="E497" s="30" t="n">
        <f aca="false">MIN(C497,D497)</f>
        <v>0</v>
      </c>
      <c r="F497" s="8" t="n">
        <f aca="false">IF(D497&gt;0,1,0)</f>
        <v>0</v>
      </c>
    </row>
    <row r="498" customFormat="false" ht="15" hidden="false" customHeight="false" outlineLevel="0" collapsed="false">
      <c r="A498" s="8" t="s">
        <v>1485</v>
      </c>
      <c r="B498" s="8" t="s">
        <v>53</v>
      </c>
      <c r="C498" s="30" t="n">
        <v>2300</v>
      </c>
      <c r="D498" s="30" t="n">
        <v>2300</v>
      </c>
      <c r="E498" s="30" t="n">
        <f aca="false">MIN(C498,D498)</f>
        <v>2300</v>
      </c>
      <c r="F498" s="8" t="n">
        <f aca="false">IF(D498&gt;0,1,0)</f>
        <v>1</v>
      </c>
    </row>
    <row r="499" customFormat="false" ht="15" hidden="false" customHeight="false" outlineLevel="0" collapsed="false">
      <c r="A499" s="8" t="s">
        <v>1487</v>
      </c>
      <c r="B499" s="8" t="s">
        <v>53</v>
      </c>
      <c r="C499" s="30" t="n">
        <v>2300</v>
      </c>
      <c r="D499" s="30" t="n">
        <v>2300</v>
      </c>
      <c r="E499" s="30" t="n">
        <f aca="false">MIN(C499,D499)</f>
        <v>2300</v>
      </c>
      <c r="F499" s="8" t="n">
        <f aca="false">IF(D499&gt;0,1,0)</f>
        <v>1</v>
      </c>
    </row>
    <row r="500" customFormat="false" ht="15" hidden="false" customHeight="false" outlineLevel="0" collapsed="false">
      <c r="A500" s="8" t="s">
        <v>1489</v>
      </c>
      <c r="B500" s="8" t="s">
        <v>53</v>
      </c>
      <c r="C500" s="30" t="n">
        <v>2300</v>
      </c>
      <c r="D500" s="30" t="n">
        <v>2300</v>
      </c>
      <c r="E500" s="30" t="n">
        <f aca="false">MIN(C500,D500)</f>
        <v>2300</v>
      </c>
      <c r="F500" s="8" t="n">
        <f aca="false">IF(D500&gt;0,1,0)</f>
        <v>1</v>
      </c>
    </row>
    <row r="501" customFormat="false" ht="15" hidden="false" customHeight="false" outlineLevel="0" collapsed="false">
      <c r="A501" s="8" t="s">
        <v>1493</v>
      </c>
      <c r="B501" s="8" t="s">
        <v>53</v>
      </c>
      <c r="C501" s="30" t="n">
        <v>2300</v>
      </c>
      <c r="D501" s="30" t="n">
        <v>2300</v>
      </c>
      <c r="E501" s="30" t="n">
        <f aca="false">MIN(C501,D501)</f>
        <v>2300</v>
      </c>
      <c r="F501" s="8" t="n">
        <f aca="false">IF(D501&gt;0,1,0)</f>
        <v>1</v>
      </c>
    </row>
    <row r="502" customFormat="false" ht="15" hidden="false" customHeight="false" outlineLevel="0" collapsed="false">
      <c r="A502" s="8" t="s">
        <v>1497</v>
      </c>
      <c r="B502" s="8" t="s">
        <v>53</v>
      </c>
      <c r="C502" s="30" t="n">
        <v>2275</v>
      </c>
      <c r="D502" s="30" t="n">
        <v>2275</v>
      </c>
      <c r="E502" s="30" t="n">
        <f aca="false">MIN(C502,D502)</f>
        <v>2275</v>
      </c>
      <c r="F502" s="8" t="n">
        <f aca="false">IF(D502&gt;0,1,0)</f>
        <v>1</v>
      </c>
    </row>
    <row r="503" customFormat="false" ht="15" hidden="false" customHeight="false" outlineLevel="0" collapsed="false">
      <c r="A503" s="8" t="s">
        <v>1499</v>
      </c>
      <c r="B503" s="8" t="s">
        <v>53</v>
      </c>
      <c r="C503" s="30" t="n">
        <v>2275</v>
      </c>
      <c r="D503" s="30" t="n">
        <v>2275</v>
      </c>
      <c r="E503" s="30" t="n">
        <f aca="false">MIN(C503,D503)</f>
        <v>2275</v>
      </c>
      <c r="F503" s="8" t="n">
        <f aca="false">IF(D503&gt;0,1,0)</f>
        <v>1</v>
      </c>
    </row>
    <row r="504" customFormat="false" ht="15" hidden="false" customHeight="false" outlineLevel="0" collapsed="false">
      <c r="A504" s="8" t="s">
        <v>1501</v>
      </c>
      <c r="B504" s="8" t="s">
        <v>53</v>
      </c>
      <c r="C504" s="30" t="n">
        <v>2250</v>
      </c>
      <c r="D504" s="30" t="n">
        <v>2250</v>
      </c>
      <c r="E504" s="30" t="n">
        <f aca="false">MIN(C504,D504)</f>
        <v>2250</v>
      </c>
      <c r="F504" s="8" t="n">
        <f aca="false">IF(D504&gt;0,1,0)</f>
        <v>1</v>
      </c>
    </row>
    <row r="505" customFormat="false" ht="15" hidden="false" customHeight="false" outlineLevel="0" collapsed="false">
      <c r="A505" s="8" t="s">
        <v>1503</v>
      </c>
      <c r="B505" s="8" t="s">
        <v>53</v>
      </c>
      <c r="C505" s="30" t="n">
        <v>2250</v>
      </c>
      <c r="D505" s="30" t="n">
        <v>2250</v>
      </c>
      <c r="E505" s="30" t="n">
        <f aca="false">MIN(C505,D505)</f>
        <v>2250</v>
      </c>
      <c r="F505" s="8" t="n">
        <f aca="false">IF(D505&gt;0,1,0)</f>
        <v>1</v>
      </c>
    </row>
    <row r="506" customFormat="false" ht="15" hidden="false" customHeight="false" outlineLevel="0" collapsed="false">
      <c r="A506" s="8" t="s">
        <v>1507</v>
      </c>
      <c r="B506" s="8" t="s">
        <v>53</v>
      </c>
      <c r="C506" s="30" t="n">
        <v>2250</v>
      </c>
      <c r="D506" s="30" t="n">
        <v>2250</v>
      </c>
      <c r="E506" s="30" t="n">
        <f aca="false">MIN(C506,D506)</f>
        <v>2250</v>
      </c>
      <c r="F506" s="8" t="n">
        <f aca="false">IF(D506&gt;0,1,0)</f>
        <v>1</v>
      </c>
    </row>
    <row r="507" customFormat="false" ht="15" hidden="false" customHeight="false" outlineLevel="0" collapsed="false">
      <c r="A507" s="8" t="s">
        <v>1339</v>
      </c>
      <c r="B507" s="8" t="s">
        <v>53</v>
      </c>
      <c r="C507" s="30" t="n">
        <v>2225</v>
      </c>
      <c r="D507" s="30" t="n">
        <v>2900</v>
      </c>
      <c r="E507" s="30" t="n">
        <f aca="false">MIN(C507,D507)</f>
        <v>2225</v>
      </c>
      <c r="F507" s="8" t="n">
        <f aca="false">IF(D507&gt;0,1,0)</f>
        <v>1</v>
      </c>
    </row>
    <row r="508" customFormat="false" ht="15" hidden="false" customHeight="false" outlineLevel="0" collapsed="false">
      <c r="A508" s="8" t="s">
        <v>1199</v>
      </c>
      <c r="B508" s="8" t="s">
        <v>53</v>
      </c>
      <c r="C508" s="30" t="n">
        <v>2225</v>
      </c>
      <c r="D508" s="30" t="n">
        <v>3400</v>
      </c>
      <c r="E508" s="30" t="n">
        <f aca="false">MIN(C508,D508)</f>
        <v>2225</v>
      </c>
      <c r="F508" s="8" t="n">
        <f aca="false">IF(D508&gt;0,1,0)</f>
        <v>1</v>
      </c>
    </row>
    <row r="509" customFormat="false" ht="15" hidden="false" customHeight="false" outlineLevel="0" collapsed="false">
      <c r="A509" s="8" t="s">
        <v>1521</v>
      </c>
      <c r="B509" s="8" t="s">
        <v>53</v>
      </c>
      <c r="C509" s="30" t="n">
        <v>2225</v>
      </c>
      <c r="D509" s="30" t="n">
        <v>2225</v>
      </c>
      <c r="E509" s="30" t="n">
        <f aca="false">MIN(C509,D509)</f>
        <v>2225</v>
      </c>
      <c r="F509" s="8" t="n">
        <f aca="false">IF(D509&gt;0,1,0)</f>
        <v>1</v>
      </c>
    </row>
    <row r="510" customFormat="false" ht="15" hidden="false" customHeight="false" outlineLevel="0" collapsed="false">
      <c r="A510" s="8" t="s">
        <v>1319</v>
      </c>
      <c r="B510" s="8" t="s">
        <v>53</v>
      </c>
      <c r="C510" s="30" t="n">
        <v>2200</v>
      </c>
      <c r="D510" s="30" t="n">
        <v>2975</v>
      </c>
      <c r="E510" s="30" t="n">
        <f aca="false">MIN(C510,D510)</f>
        <v>2200</v>
      </c>
      <c r="F510" s="8" t="n">
        <f aca="false">IF(D510&gt;0,1,0)</f>
        <v>1</v>
      </c>
    </row>
    <row r="511" customFormat="false" ht="15" hidden="false" customHeight="false" outlineLevel="0" collapsed="false">
      <c r="A511" s="8" t="s">
        <v>1567</v>
      </c>
      <c r="B511" s="8" t="s">
        <v>53</v>
      </c>
      <c r="C511" s="30" t="n">
        <v>2200</v>
      </c>
      <c r="D511" s="30" t="n">
        <v>1975</v>
      </c>
      <c r="E511" s="30" t="n">
        <f aca="false">MIN(C511,D511)</f>
        <v>1975</v>
      </c>
      <c r="F511" s="8" t="n">
        <f aca="false">IF(D511&gt;0,1,0)</f>
        <v>1</v>
      </c>
    </row>
    <row r="512" customFormat="false" ht="15" hidden="false" customHeight="false" outlineLevel="0" collapsed="false">
      <c r="A512" s="8" t="s">
        <v>4469</v>
      </c>
      <c r="B512" s="8" t="s">
        <v>53</v>
      </c>
      <c r="C512" s="30" t="n">
        <v>2200</v>
      </c>
      <c r="D512" s="30" t="n">
        <v>0</v>
      </c>
      <c r="E512" s="30" t="n">
        <f aca="false">MIN(C512,D512)</f>
        <v>0</v>
      </c>
      <c r="F512" s="8" t="n">
        <f aca="false">IF(D512&gt;0,1,0)</f>
        <v>0</v>
      </c>
    </row>
    <row r="513" customFormat="false" ht="15" hidden="false" customHeight="false" outlineLevel="0" collapsed="false">
      <c r="A513" s="8" t="s">
        <v>1409</v>
      </c>
      <c r="B513" s="8" t="s">
        <v>53</v>
      </c>
      <c r="C513" s="30" t="n">
        <v>2200</v>
      </c>
      <c r="D513" s="30" t="n">
        <v>2600</v>
      </c>
      <c r="E513" s="30" t="n">
        <f aca="false">MIN(C513,D513)</f>
        <v>2200</v>
      </c>
      <c r="F513" s="8" t="n">
        <f aca="false">IF(D513&gt;0,1,0)</f>
        <v>1</v>
      </c>
    </row>
    <row r="514" customFormat="false" ht="15" hidden="false" customHeight="false" outlineLevel="0" collapsed="false">
      <c r="A514" s="8" t="s">
        <v>1529</v>
      </c>
      <c r="B514" s="8" t="s">
        <v>53</v>
      </c>
      <c r="C514" s="30" t="n">
        <v>2175</v>
      </c>
      <c r="D514" s="30" t="n">
        <v>2175</v>
      </c>
      <c r="E514" s="30" t="n">
        <f aca="false">MIN(C514,D514)</f>
        <v>2175</v>
      </c>
      <c r="F514" s="8" t="n">
        <f aca="false">IF(D514&gt;0,1,0)</f>
        <v>1</v>
      </c>
    </row>
    <row r="515" customFormat="false" ht="15" hidden="false" customHeight="false" outlineLevel="0" collapsed="false">
      <c r="A515" s="8" t="s">
        <v>4470</v>
      </c>
      <c r="B515" s="8" t="s">
        <v>53</v>
      </c>
      <c r="C515" s="30" t="n">
        <v>2175</v>
      </c>
      <c r="D515" s="30" t="n">
        <v>0</v>
      </c>
      <c r="E515" s="30" t="n">
        <f aca="false">MIN(C515,D515)</f>
        <v>0</v>
      </c>
      <c r="F515" s="8" t="n">
        <f aca="false">IF(D515&gt;0,1,0)</f>
        <v>0</v>
      </c>
    </row>
    <row r="516" customFormat="false" ht="15" hidden="false" customHeight="false" outlineLevel="0" collapsed="false">
      <c r="A516" s="8" t="s">
        <v>1533</v>
      </c>
      <c r="B516" s="8" t="s">
        <v>53</v>
      </c>
      <c r="C516" s="30" t="n">
        <v>2150</v>
      </c>
      <c r="D516" s="30" t="n">
        <v>2150</v>
      </c>
      <c r="E516" s="30" t="n">
        <f aca="false">MIN(C516,D516)</f>
        <v>2150</v>
      </c>
      <c r="F516" s="8" t="n">
        <f aca="false">IF(D516&gt;0,1,0)</f>
        <v>1</v>
      </c>
    </row>
    <row r="517" customFormat="false" ht="15" hidden="false" customHeight="false" outlineLevel="0" collapsed="false">
      <c r="A517" s="8" t="s">
        <v>1303</v>
      </c>
      <c r="B517" s="8" t="s">
        <v>53</v>
      </c>
      <c r="C517" s="30" t="n">
        <v>2150</v>
      </c>
      <c r="D517" s="30" t="n">
        <v>3025</v>
      </c>
      <c r="E517" s="30" t="n">
        <f aca="false">MIN(C517,D517)</f>
        <v>2150</v>
      </c>
      <c r="F517" s="8" t="n">
        <f aca="false">IF(D517&gt;0,1,0)</f>
        <v>1</v>
      </c>
    </row>
    <row r="518" customFormat="false" ht="15" hidden="false" customHeight="false" outlineLevel="0" collapsed="false">
      <c r="A518" s="8" t="s">
        <v>1535</v>
      </c>
      <c r="B518" s="8" t="s">
        <v>53</v>
      </c>
      <c r="C518" s="30" t="n">
        <v>2150</v>
      </c>
      <c r="D518" s="30" t="n">
        <v>2150</v>
      </c>
      <c r="E518" s="30" t="n">
        <f aca="false">MIN(C518,D518)</f>
        <v>2150</v>
      </c>
      <c r="F518" s="8" t="n">
        <f aca="false">IF(D518&gt;0,1,0)</f>
        <v>1</v>
      </c>
    </row>
    <row r="519" customFormat="false" ht="15" hidden="false" customHeight="false" outlineLevel="0" collapsed="false">
      <c r="A519" s="8" t="s">
        <v>4471</v>
      </c>
      <c r="B519" s="8" t="s">
        <v>53</v>
      </c>
      <c r="C519" s="30" t="n">
        <v>2150</v>
      </c>
      <c r="D519" s="30" t="n">
        <v>0</v>
      </c>
      <c r="E519" s="30" t="n">
        <f aca="false">MIN(C519,D519)</f>
        <v>0</v>
      </c>
      <c r="F519" s="8" t="n">
        <f aca="false">IF(D519&gt;0,1,0)</f>
        <v>0</v>
      </c>
    </row>
    <row r="520" customFormat="false" ht="15" hidden="false" customHeight="false" outlineLevel="0" collapsed="false">
      <c r="A520" s="8" t="s">
        <v>1537</v>
      </c>
      <c r="B520" s="8" t="s">
        <v>53</v>
      </c>
      <c r="C520" s="30" t="n">
        <v>2150</v>
      </c>
      <c r="D520" s="30" t="n">
        <v>2150</v>
      </c>
      <c r="E520" s="30" t="n">
        <f aca="false">MIN(C520,D520)</f>
        <v>2150</v>
      </c>
      <c r="F520" s="8" t="n">
        <f aca="false">IF(D520&gt;0,1,0)</f>
        <v>1</v>
      </c>
    </row>
    <row r="521" customFormat="false" ht="15" hidden="false" customHeight="false" outlineLevel="0" collapsed="false">
      <c r="A521" s="8" t="s">
        <v>1541</v>
      </c>
      <c r="B521" s="8" t="s">
        <v>53</v>
      </c>
      <c r="C521" s="30" t="n">
        <v>2125</v>
      </c>
      <c r="D521" s="30" t="n">
        <v>2125</v>
      </c>
      <c r="E521" s="30" t="n">
        <f aca="false">MIN(C521,D521)</f>
        <v>2125</v>
      </c>
      <c r="F521" s="8" t="n">
        <f aca="false">IF(D521&gt;0,1,0)</f>
        <v>1</v>
      </c>
    </row>
    <row r="522" customFormat="false" ht="15" hidden="false" customHeight="false" outlineLevel="0" collapsed="false">
      <c r="A522" s="8" t="s">
        <v>1543</v>
      </c>
      <c r="B522" s="8" t="s">
        <v>53</v>
      </c>
      <c r="C522" s="30" t="n">
        <v>2125</v>
      </c>
      <c r="D522" s="30" t="n">
        <v>2125</v>
      </c>
      <c r="E522" s="30" t="n">
        <f aca="false">MIN(C522,D522)</f>
        <v>2125</v>
      </c>
      <c r="F522" s="8" t="n">
        <f aca="false">IF(D522&gt;0,1,0)</f>
        <v>1</v>
      </c>
    </row>
    <row r="523" customFormat="false" ht="15" hidden="false" customHeight="false" outlineLevel="0" collapsed="false">
      <c r="A523" s="8" t="s">
        <v>1545</v>
      </c>
      <c r="B523" s="8" t="s">
        <v>53</v>
      </c>
      <c r="C523" s="30" t="n">
        <v>2125</v>
      </c>
      <c r="D523" s="30" t="n">
        <v>2125</v>
      </c>
      <c r="E523" s="30" t="n">
        <f aca="false">MIN(C523,D523)</f>
        <v>2125</v>
      </c>
      <c r="F523" s="8" t="n">
        <f aca="false">IF(D523&gt;0,1,0)</f>
        <v>1</v>
      </c>
    </row>
    <row r="524" customFormat="false" ht="15" hidden="false" customHeight="false" outlineLevel="0" collapsed="false">
      <c r="A524" s="8" t="s">
        <v>1445</v>
      </c>
      <c r="B524" s="8" t="s">
        <v>53</v>
      </c>
      <c r="C524" s="30" t="n">
        <v>2125</v>
      </c>
      <c r="D524" s="30" t="n">
        <v>2425</v>
      </c>
      <c r="E524" s="30" t="n">
        <f aca="false">MIN(C524,D524)</f>
        <v>2125</v>
      </c>
      <c r="F524" s="8" t="n">
        <f aca="false">IF(D524&gt;0,1,0)</f>
        <v>1</v>
      </c>
    </row>
    <row r="525" customFormat="false" ht="15" hidden="false" customHeight="false" outlineLevel="0" collapsed="false">
      <c r="A525" s="8" t="s">
        <v>4472</v>
      </c>
      <c r="B525" s="8" t="s">
        <v>53</v>
      </c>
      <c r="C525" s="30" t="n">
        <v>2100</v>
      </c>
      <c r="D525" s="30" t="n">
        <v>0</v>
      </c>
      <c r="E525" s="30" t="n">
        <f aca="false">MIN(C525,D525)</f>
        <v>0</v>
      </c>
      <c r="F525" s="8" t="n">
        <f aca="false">IF(D525&gt;0,1,0)</f>
        <v>0</v>
      </c>
    </row>
    <row r="526" customFormat="false" ht="15" hidden="false" customHeight="false" outlineLevel="0" collapsed="false">
      <c r="A526" s="8" t="s">
        <v>4473</v>
      </c>
      <c r="B526" s="8" t="s">
        <v>53</v>
      </c>
      <c r="C526" s="30" t="n">
        <v>2100</v>
      </c>
      <c r="D526" s="30" t="n">
        <v>0</v>
      </c>
      <c r="E526" s="30" t="n">
        <f aca="false">MIN(C526,D526)</f>
        <v>0</v>
      </c>
      <c r="F526" s="8" t="n">
        <f aca="false">IF(D526&gt;0,1,0)</f>
        <v>0</v>
      </c>
    </row>
    <row r="527" customFormat="false" ht="15" hidden="false" customHeight="false" outlineLevel="0" collapsed="false">
      <c r="A527" s="8" t="s">
        <v>1505</v>
      </c>
      <c r="B527" s="8" t="s">
        <v>53</v>
      </c>
      <c r="C527" s="30" t="n">
        <v>2075</v>
      </c>
      <c r="D527" s="30" t="n">
        <v>2250</v>
      </c>
      <c r="E527" s="30" t="n">
        <f aca="false">MIN(C527,D527)</f>
        <v>2075</v>
      </c>
      <c r="F527" s="8" t="n">
        <f aca="false">IF(D527&gt;0,1,0)</f>
        <v>1</v>
      </c>
    </row>
    <row r="528" customFormat="false" ht="15" hidden="false" customHeight="false" outlineLevel="0" collapsed="false">
      <c r="A528" s="8" t="s">
        <v>1555</v>
      </c>
      <c r="B528" s="8" t="s">
        <v>53</v>
      </c>
      <c r="C528" s="30" t="n">
        <v>2050</v>
      </c>
      <c r="D528" s="30" t="n">
        <v>2050</v>
      </c>
      <c r="E528" s="30" t="n">
        <f aca="false">MIN(C528,D528)</f>
        <v>2050</v>
      </c>
      <c r="F528" s="8" t="n">
        <f aca="false">IF(D528&gt;0,1,0)</f>
        <v>1</v>
      </c>
    </row>
    <row r="529" customFormat="false" ht="15" hidden="false" customHeight="false" outlineLevel="0" collapsed="false">
      <c r="A529" s="8" t="s">
        <v>4474</v>
      </c>
      <c r="B529" s="8" t="s">
        <v>53</v>
      </c>
      <c r="C529" s="30" t="n">
        <v>2025</v>
      </c>
      <c r="D529" s="30" t="n">
        <v>0</v>
      </c>
      <c r="E529" s="30" t="n">
        <f aca="false">MIN(C529,D529)</f>
        <v>0</v>
      </c>
      <c r="F529" s="8" t="n">
        <f aca="false">IF(D529&gt;0,1,0)</f>
        <v>0</v>
      </c>
    </row>
    <row r="530" customFormat="false" ht="15" hidden="false" customHeight="false" outlineLevel="0" collapsed="false">
      <c r="A530" s="8" t="s">
        <v>1557</v>
      </c>
      <c r="B530" s="8" t="s">
        <v>53</v>
      </c>
      <c r="C530" s="30" t="n">
        <v>2025</v>
      </c>
      <c r="D530" s="30" t="n">
        <v>2025</v>
      </c>
      <c r="E530" s="30" t="n">
        <f aca="false">MIN(C530,D530)</f>
        <v>2025</v>
      </c>
      <c r="F530" s="8" t="n">
        <f aca="false">IF(D530&gt;0,1,0)</f>
        <v>1</v>
      </c>
    </row>
    <row r="531" customFormat="false" ht="15" hidden="false" customHeight="false" outlineLevel="0" collapsed="false">
      <c r="A531" s="8" t="s">
        <v>1559</v>
      </c>
      <c r="B531" s="8" t="s">
        <v>53</v>
      </c>
      <c r="C531" s="30" t="n">
        <v>2000</v>
      </c>
      <c r="D531" s="30" t="n">
        <v>2000</v>
      </c>
      <c r="E531" s="30" t="n">
        <f aca="false">MIN(C531,D531)</f>
        <v>2000</v>
      </c>
      <c r="F531" s="8" t="n">
        <f aca="false">IF(D531&gt;0,1,0)</f>
        <v>1</v>
      </c>
    </row>
    <row r="532" customFormat="false" ht="15" hidden="false" customHeight="false" outlineLevel="0" collapsed="false">
      <c r="A532" s="8" t="s">
        <v>1425</v>
      </c>
      <c r="B532" s="8" t="s">
        <v>53</v>
      </c>
      <c r="C532" s="30" t="n">
        <v>2000</v>
      </c>
      <c r="D532" s="30" t="n">
        <v>2525</v>
      </c>
      <c r="E532" s="30" t="n">
        <f aca="false">MIN(C532,D532)</f>
        <v>2000</v>
      </c>
      <c r="F532" s="8" t="n">
        <f aca="false">IF(D532&gt;0,1,0)</f>
        <v>1</v>
      </c>
    </row>
    <row r="533" customFormat="false" ht="15" hidden="false" customHeight="false" outlineLevel="0" collapsed="false">
      <c r="A533" s="8" t="s">
        <v>1569</v>
      </c>
      <c r="B533" s="8" t="s">
        <v>53</v>
      </c>
      <c r="C533" s="30" t="n">
        <v>1975</v>
      </c>
      <c r="D533" s="30" t="n">
        <v>1975</v>
      </c>
      <c r="E533" s="30" t="n">
        <f aca="false">MIN(C533,D533)</f>
        <v>1975</v>
      </c>
      <c r="F533" s="8" t="n">
        <f aca="false">IF(D533&gt;0,1,0)</f>
        <v>1</v>
      </c>
    </row>
    <row r="534" customFormat="false" ht="15" hidden="false" customHeight="false" outlineLevel="0" collapsed="false">
      <c r="A534" s="8" t="s">
        <v>1571</v>
      </c>
      <c r="B534" s="8" t="s">
        <v>53</v>
      </c>
      <c r="C534" s="30" t="n">
        <v>1975</v>
      </c>
      <c r="D534" s="30" t="n">
        <v>1975</v>
      </c>
      <c r="E534" s="30" t="n">
        <f aca="false">MIN(C534,D534)</f>
        <v>1975</v>
      </c>
      <c r="F534" s="8" t="n">
        <f aca="false">IF(D534&gt;0,1,0)</f>
        <v>1</v>
      </c>
    </row>
    <row r="535" customFormat="false" ht="15" hidden="false" customHeight="false" outlineLevel="0" collapsed="false">
      <c r="A535" s="8" t="s">
        <v>1479</v>
      </c>
      <c r="B535" s="8" t="s">
        <v>53</v>
      </c>
      <c r="C535" s="30" t="n">
        <v>1975</v>
      </c>
      <c r="D535" s="30" t="n">
        <v>2325</v>
      </c>
      <c r="E535" s="30" t="n">
        <f aca="false">MIN(C535,D535)</f>
        <v>1975</v>
      </c>
      <c r="F535" s="8" t="n">
        <f aca="false">IF(D535&gt;0,1,0)</f>
        <v>1</v>
      </c>
    </row>
    <row r="536" customFormat="false" ht="15" hidden="false" customHeight="false" outlineLevel="0" collapsed="false">
      <c r="A536" s="8" t="s">
        <v>4475</v>
      </c>
      <c r="B536" s="8" t="s">
        <v>53</v>
      </c>
      <c r="C536" s="30" t="n">
        <v>1950</v>
      </c>
      <c r="D536" s="30" t="n">
        <v>0</v>
      </c>
      <c r="E536" s="30" t="n">
        <f aca="false">MIN(C536,D536)</f>
        <v>0</v>
      </c>
      <c r="F536" s="8" t="n">
        <f aca="false">IF(D536&gt;0,1,0)</f>
        <v>0</v>
      </c>
    </row>
    <row r="537" customFormat="false" ht="15" hidden="false" customHeight="false" outlineLevel="0" collapsed="false">
      <c r="A537" s="8" t="s">
        <v>1575</v>
      </c>
      <c r="B537" s="8" t="s">
        <v>53</v>
      </c>
      <c r="C537" s="30" t="n">
        <v>1950</v>
      </c>
      <c r="D537" s="30" t="n">
        <v>1950</v>
      </c>
      <c r="E537" s="30" t="n">
        <f aca="false">MIN(C537,D537)</f>
        <v>1950</v>
      </c>
      <c r="F537" s="8" t="n">
        <f aca="false">IF(D537&gt;0,1,0)</f>
        <v>1</v>
      </c>
    </row>
    <row r="538" customFormat="false" ht="15" hidden="false" customHeight="false" outlineLevel="0" collapsed="false">
      <c r="A538" s="8" t="s">
        <v>1577</v>
      </c>
      <c r="B538" s="8" t="s">
        <v>53</v>
      </c>
      <c r="C538" s="30" t="n">
        <v>1935</v>
      </c>
      <c r="D538" s="30" t="n">
        <v>1935</v>
      </c>
      <c r="E538" s="30" t="n">
        <f aca="false">MIN(C538,D538)</f>
        <v>1935</v>
      </c>
      <c r="F538" s="8" t="n">
        <f aca="false">IF(D538&gt;0,1,0)</f>
        <v>1</v>
      </c>
    </row>
    <row r="539" customFormat="false" ht="15" hidden="false" customHeight="false" outlineLevel="0" collapsed="false">
      <c r="A539" s="8" t="s">
        <v>4476</v>
      </c>
      <c r="B539" s="8" t="s">
        <v>53</v>
      </c>
      <c r="C539" s="30" t="n">
        <v>1925</v>
      </c>
      <c r="D539" s="30" t="n">
        <v>0</v>
      </c>
      <c r="E539" s="30" t="n">
        <f aca="false">MIN(C539,D539)</f>
        <v>0</v>
      </c>
      <c r="F539" s="8" t="n">
        <f aca="false">IF(D539&gt;0,1,0)</f>
        <v>0</v>
      </c>
    </row>
    <row r="540" customFormat="false" ht="15" hidden="false" customHeight="false" outlineLevel="0" collapsed="false">
      <c r="A540" s="8" t="s">
        <v>1583</v>
      </c>
      <c r="B540" s="8" t="s">
        <v>53</v>
      </c>
      <c r="C540" s="30" t="n">
        <v>1900</v>
      </c>
      <c r="D540" s="30" t="n">
        <v>1900</v>
      </c>
      <c r="E540" s="30" t="n">
        <f aca="false">MIN(C540,D540)</f>
        <v>1900</v>
      </c>
      <c r="F540" s="8" t="n">
        <f aca="false">IF(D540&gt;0,1,0)</f>
        <v>1</v>
      </c>
    </row>
    <row r="541" customFormat="false" ht="15" hidden="false" customHeight="false" outlineLevel="0" collapsed="false">
      <c r="A541" s="8" t="s">
        <v>1643</v>
      </c>
      <c r="B541" s="8" t="s">
        <v>53</v>
      </c>
      <c r="C541" s="30" t="n">
        <v>1875</v>
      </c>
      <c r="D541" s="30" t="n">
        <v>1550</v>
      </c>
      <c r="E541" s="30" t="n">
        <f aca="false">MIN(C541,D541)</f>
        <v>1550</v>
      </c>
      <c r="F541" s="8" t="n">
        <f aca="false">IF(D541&gt;0,1,0)</f>
        <v>1</v>
      </c>
    </row>
    <row r="542" customFormat="false" ht="15" hidden="false" customHeight="false" outlineLevel="0" collapsed="false">
      <c r="A542" s="8" t="s">
        <v>1587</v>
      </c>
      <c r="B542" s="8" t="s">
        <v>53</v>
      </c>
      <c r="C542" s="30" t="n">
        <v>1875</v>
      </c>
      <c r="D542" s="30" t="n">
        <v>1875</v>
      </c>
      <c r="E542" s="30" t="n">
        <f aca="false">MIN(C542,D542)</f>
        <v>1875</v>
      </c>
      <c r="F542" s="8" t="n">
        <f aca="false">IF(D542&gt;0,1,0)</f>
        <v>1</v>
      </c>
    </row>
    <row r="543" customFormat="false" ht="15" hidden="false" customHeight="false" outlineLevel="0" collapsed="false">
      <c r="A543" s="8" t="s">
        <v>1435</v>
      </c>
      <c r="B543" s="8" t="s">
        <v>53</v>
      </c>
      <c r="C543" s="30" t="n">
        <v>1875</v>
      </c>
      <c r="D543" s="30" t="n">
        <v>2475</v>
      </c>
      <c r="E543" s="30" t="n">
        <f aca="false">MIN(C543,D543)</f>
        <v>1875</v>
      </c>
      <c r="F543" s="8" t="n">
        <f aca="false">IF(D543&gt;0,1,0)</f>
        <v>1</v>
      </c>
    </row>
    <row r="544" customFormat="false" ht="15" hidden="false" customHeight="false" outlineLevel="0" collapsed="false">
      <c r="A544" s="8" t="s">
        <v>1565</v>
      </c>
      <c r="B544" s="8" t="s">
        <v>53</v>
      </c>
      <c r="C544" s="30" t="n">
        <v>1875</v>
      </c>
      <c r="D544" s="30" t="n">
        <v>2000</v>
      </c>
      <c r="E544" s="30" t="n">
        <f aca="false">MIN(C544,D544)</f>
        <v>1875</v>
      </c>
      <c r="F544" s="8" t="n">
        <f aca="false">IF(D544&gt;0,1,0)</f>
        <v>1</v>
      </c>
    </row>
    <row r="545" customFormat="false" ht="15" hidden="false" customHeight="false" outlineLevel="0" collapsed="false">
      <c r="A545" s="8" t="s">
        <v>1589</v>
      </c>
      <c r="B545" s="8" t="s">
        <v>53</v>
      </c>
      <c r="C545" s="30" t="n">
        <v>1850</v>
      </c>
      <c r="D545" s="30" t="n">
        <v>1850</v>
      </c>
      <c r="E545" s="30" t="n">
        <f aca="false">MIN(C545,D545)</f>
        <v>1850</v>
      </c>
      <c r="F545" s="8" t="n">
        <f aca="false">IF(D545&gt;0,1,0)</f>
        <v>1</v>
      </c>
    </row>
    <row r="546" customFormat="false" ht="15" hidden="false" customHeight="false" outlineLevel="0" collapsed="false">
      <c r="A546" s="8" t="s">
        <v>1591</v>
      </c>
      <c r="B546" s="8" t="s">
        <v>53</v>
      </c>
      <c r="C546" s="30" t="n">
        <v>1825</v>
      </c>
      <c r="D546" s="30" t="n">
        <v>1825</v>
      </c>
      <c r="E546" s="30" t="n">
        <f aca="false">MIN(C546,D546)</f>
        <v>1825</v>
      </c>
      <c r="F546" s="8" t="n">
        <f aca="false">IF(D546&gt;0,1,0)</f>
        <v>1</v>
      </c>
    </row>
    <row r="547" customFormat="false" ht="15" hidden="false" customHeight="false" outlineLevel="0" collapsed="false">
      <c r="A547" s="8" t="s">
        <v>1597</v>
      </c>
      <c r="B547" s="8" t="s">
        <v>53</v>
      </c>
      <c r="C547" s="30" t="n">
        <v>1825</v>
      </c>
      <c r="D547" s="30" t="n">
        <v>1825</v>
      </c>
      <c r="E547" s="30" t="n">
        <f aca="false">MIN(C547,D547)</f>
        <v>1825</v>
      </c>
      <c r="F547" s="8" t="n">
        <f aca="false">IF(D547&gt;0,1,0)</f>
        <v>1</v>
      </c>
    </row>
    <row r="548" customFormat="false" ht="15" hidden="false" customHeight="false" outlineLevel="0" collapsed="false">
      <c r="A548" s="8" t="s">
        <v>1601</v>
      </c>
      <c r="B548" s="8" t="s">
        <v>53</v>
      </c>
      <c r="C548" s="30" t="n">
        <v>1800</v>
      </c>
      <c r="D548" s="30" t="n">
        <v>1800</v>
      </c>
      <c r="E548" s="30" t="n">
        <f aca="false">MIN(C548,D548)</f>
        <v>1800</v>
      </c>
      <c r="F548" s="8" t="n">
        <f aca="false">IF(D548&gt;0,1,0)</f>
        <v>1</v>
      </c>
    </row>
    <row r="549" customFormat="false" ht="15" hidden="false" customHeight="false" outlineLevel="0" collapsed="false">
      <c r="A549" s="8" t="s">
        <v>1605</v>
      </c>
      <c r="B549" s="8" t="s">
        <v>53</v>
      </c>
      <c r="C549" s="30" t="n">
        <v>1800</v>
      </c>
      <c r="D549" s="30" t="n">
        <v>1800</v>
      </c>
      <c r="E549" s="30" t="n">
        <f aca="false">MIN(C549,D549)</f>
        <v>1800</v>
      </c>
      <c r="F549" s="8" t="n">
        <f aca="false">IF(D549&gt;0,1,0)</f>
        <v>1</v>
      </c>
    </row>
    <row r="550" customFormat="false" ht="15" hidden="false" customHeight="false" outlineLevel="0" collapsed="false">
      <c r="A550" s="8" t="s">
        <v>1607</v>
      </c>
      <c r="B550" s="8" t="s">
        <v>53</v>
      </c>
      <c r="C550" s="30" t="n">
        <v>1775</v>
      </c>
      <c r="D550" s="30" t="n">
        <v>1775</v>
      </c>
      <c r="E550" s="30" t="n">
        <f aca="false">MIN(C550,D550)</f>
        <v>1775</v>
      </c>
      <c r="F550" s="8" t="n">
        <f aca="false">IF(D550&gt;0,1,0)</f>
        <v>1</v>
      </c>
    </row>
    <row r="551" customFormat="false" ht="15" hidden="false" customHeight="false" outlineLevel="0" collapsed="false">
      <c r="A551" s="8" t="s">
        <v>1613</v>
      </c>
      <c r="B551" s="8" t="s">
        <v>53</v>
      </c>
      <c r="C551" s="30" t="n">
        <v>1750</v>
      </c>
      <c r="D551" s="30" t="n">
        <v>1750</v>
      </c>
      <c r="E551" s="30" t="n">
        <f aca="false">MIN(C551,D551)</f>
        <v>1750</v>
      </c>
      <c r="F551" s="8" t="n">
        <f aca="false">IF(D551&gt;0,1,0)</f>
        <v>1</v>
      </c>
    </row>
    <row r="552" customFormat="false" ht="15" hidden="false" customHeight="false" outlineLevel="0" collapsed="false">
      <c r="A552" s="8" t="s">
        <v>1615</v>
      </c>
      <c r="B552" s="8" t="s">
        <v>53</v>
      </c>
      <c r="C552" s="30" t="n">
        <v>1750</v>
      </c>
      <c r="D552" s="30" t="n">
        <v>1750</v>
      </c>
      <c r="E552" s="30" t="n">
        <f aca="false">MIN(C552,D552)</f>
        <v>1750</v>
      </c>
      <c r="F552" s="8" t="n">
        <f aca="false">IF(D552&gt;0,1,0)</f>
        <v>1</v>
      </c>
    </row>
    <row r="553" customFormat="false" ht="15" hidden="false" customHeight="false" outlineLevel="0" collapsed="false">
      <c r="A553" s="8" t="s">
        <v>1619</v>
      </c>
      <c r="B553" s="8" t="s">
        <v>53</v>
      </c>
      <c r="C553" s="30" t="n">
        <v>1725</v>
      </c>
      <c r="D553" s="30" t="n">
        <v>1725</v>
      </c>
      <c r="E553" s="30" t="n">
        <f aca="false">MIN(C553,D553)</f>
        <v>1725</v>
      </c>
      <c r="F553" s="8" t="n">
        <f aca="false">IF(D553&gt;0,1,0)</f>
        <v>1</v>
      </c>
    </row>
    <row r="554" customFormat="false" ht="15" hidden="false" customHeight="false" outlineLevel="0" collapsed="false">
      <c r="A554" s="8" t="s">
        <v>1621</v>
      </c>
      <c r="B554" s="8" t="s">
        <v>53</v>
      </c>
      <c r="C554" s="30" t="n">
        <v>1725</v>
      </c>
      <c r="D554" s="30" t="n">
        <v>1725</v>
      </c>
      <c r="E554" s="30" t="n">
        <f aca="false">MIN(C554,D554)</f>
        <v>1725</v>
      </c>
      <c r="F554" s="8" t="n">
        <f aca="false">IF(D554&gt;0,1,0)</f>
        <v>1</v>
      </c>
    </row>
    <row r="555" customFormat="false" ht="15" hidden="false" customHeight="false" outlineLevel="0" collapsed="false">
      <c r="A555" s="8" t="s">
        <v>1581</v>
      </c>
      <c r="B555" s="8" t="s">
        <v>53</v>
      </c>
      <c r="C555" s="30" t="n">
        <v>1700</v>
      </c>
      <c r="D555" s="30" t="n">
        <v>1925</v>
      </c>
      <c r="E555" s="30" t="n">
        <f aca="false">MIN(C555,D555)</f>
        <v>1700</v>
      </c>
      <c r="F555" s="8" t="n">
        <f aca="false">IF(D555&gt;0,1,0)</f>
        <v>1</v>
      </c>
    </row>
    <row r="556" customFormat="false" ht="15" hidden="false" customHeight="false" outlineLevel="0" collapsed="false">
      <c r="A556" s="8" t="s">
        <v>1625</v>
      </c>
      <c r="B556" s="8" t="s">
        <v>53</v>
      </c>
      <c r="C556" s="30" t="n">
        <v>1700</v>
      </c>
      <c r="D556" s="30" t="n">
        <v>1700</v>
      </c>
      <c r="E556" s="30" t="n">
        <f aca="false">MIN(C556,D556)</f>
        <v>1700</v>
      </c>
      <c r="F556" s="8" t="n">
        <f aca="false">IF(D556&gt;0,1,0)</f>
        <v>1</v>
      </c>
    </row>
    <row r="557" customFormat="false" ht="15" hidden="false" customHeight="false" outlineLevel="0" collapsed="false">
      <c r="A557" s="8" t="s">
        <v>1627</v>
      </c>
      <c r="B557" s="8" t="s">
        <v>53</v>
      </c>
      <c r="C557" s="30" t="n">
        <v>1700</v>
      </c>
      <c r="D557" s="30" t="n">
        <v>1700</v>
      </c>
      <c r="E557" s="30" t="n">
        <f aca="false">MIN(C557,D557)</f>
        <v>1700</v>
      </c>
      <c r="F557" s="8" t="n">
        <f aca="false">IF(D557&gt;0,1,0)</f>
        <v>1</v>
      </c>
    </row>
    <row r="558" customFormat="false" ht="15" hidden="false" customHeight="false" outlineLevel="0" collapsed="false">
      <c r="A558" s="8" t="s">
        <v>1629</v>
      </c>
      <c r="B558" s="8" t="s">
        <v>53</v>
      </c>
      <c r="C558" s="30" t="n">
        <v>1675</v>
      </c>
      <c r="D558" s="30" t="n">
        <v>1675</v>
      </c>
      <c r="E558" s="30" t="n">
        <f aca="false">MIN(C558,D558)</f>
        <v>1675</v>
      </c>
      <c r="F558" s="8" t="n">
        <f aca="false">IF(D558&gt;0,1,0)</f>
        <v>1</v>
      </c>
    </row>
    <row r="559" customFormat="false" ht="15" hidden="false" customHeight="false" outlineLevel="0" collapsed="false">
      <c r="A559" s="8" t="s">
        <v>1585</v>
      </c>
      <c r="B559" s="8" t="s">
        <v>53</v>
      </c>
      <c r="C559" s="30" t="n">
        <v>1675</v>
      </c>
      <c r="D559" s="30" t="n">
        <v>1875</v>
      </c>
      <c r="E559" s="30" t="n">
        <f aca="false">MIN(C559,D559)</f>
        <v>1675</v>
      </c>
      <c r="F559" s="8" t="n">
        <f aca="false">IF(D559&gt;0,1,0)</f>
        <v>1</v>
      </c>
    </row>
    <row r="560" customFormat="false" ht="15" hidden="false" customHeight="false" outlineLevel="0" collapsed="false">
      <c r="A560" s="8" t="s">
        <v>1539</v>
      </c>
      <c r="B560" s="8" t="s">
        <v>53</v>
      </c>
      <c r="C560" s="30" t="n">
        <v>1675</v>
      </c>
      <c r="D560" s="30" t="n">
        <v>2150</v>
      </c>
      <c r="E560" s="30" t="n">
        <f aca="false">MIN(C560,D560)</f>
        <v>1675</v>
      </c>
      <c r="F560" s="8" t="n">
        <f aca="false">IF(D560&gt;0,1,0)</f>
        <v>1</v>
      </c>
    </row>
    <row r="561" customFormat="false" ht="15" hidden="false" customHeight="false" outlineLevel="0" collapsed="false">
      <c r="A561" s="8" t="s">
        <v>1717</v>
      </c>
      <c r="B561" s="8" t="s">
        <v>53</v>
      </c>
      <c r="C561" s="30" t="n">
        <v>1675</v>
      </c>
      <c r="D561" s="30" t="n">
        <v>1325</v>
      </c>
      <c r="E561" s="30" t="n">
        <f aca="false">MIN(C561,D561)</f>
        <v>1325</v>
      </c>
      <c r="F561" s="8" t="n">
        <f aca="false">IF(D561&gt;0,1,0)</f>
        <v>1</v>
      </c>
    </row>
    <row r="562" customFormat="false" ht="15" hidden="false" customHeight="false" outlineLevel="0" collapsed="false">
      <c r="A562" s="8" t="s">
        <v>1633</v>
      </c>
      <c r="B562" s="8" t="s">
        <v>53</v>
      </c>
      <c r="C562" s="30" t="n">
        <v>1650</v>
      </c>
      <c r="D562" s="30" t="n">
        <v>1650</v>
      </c>
      <c r="E562" s="30" t="n">
        <f aca="false">MIN(C562,D562)</f>
        <v>1650</v>
      </c>
      <c r="F562" s="8" t="n">
        <f aca="false">IF(D562&gt;0,1,0)</f>
        <v>1</v>
      </c>
    </row>
    <row r="563" customFormat="false" ht="15" hidden="false" customHeight="false" outlineLevel="0" collapsed="false">
      <c r="A563" s="8" t="s">
        <v>1639</v>
      </c>
      <c r="B563" s="8" t="s">
        <v>53</v>
      </c>
      <c r="C563" s="30" t="n">
        <v>1650</v>
      </c>
      <c r="D563" s="30" t="n">
        <v>1650</v>
      </c>
      <c r="E563" s="30" t="n">
        <f aca="false">MIN(C563,D563)</f>
        <v>1650</v>
      </c>
      <c r="F563" s="8" t="n">
        <f aca="false">IF(D563&gt;0,1,0)</f>
        <v>1</v>
      </c>
    </row>
    <row r="564" customFormat="false" ht="15" hidden="false" customHeight="false" outlineLevel="0" collapsed="false">
      <c r="A564" s="8" t="s">
        <v>1641</v>
      </c>
      <c r="B564" s="8" t="s">
        <v>53</v>
      </c>
      <c r="C564" s="30" t="n">
        <v>1600</v>
      </c>
      <c r="D564" s="30" t="n">
        <v>1600</v>
      </c>
      <c r="E564" s="30" t="n">
        <f aca="false">MIN(C564,D564)</f>
        <v>1600</v>
      </c>
      <c r="F564" s="8" t="n">
        <f aca="false">IF(D564&gt;0,1,0)</f>
        <v>1</v>
      </c>
    </row>
    <row r="565" customFormat="false" ht="15" hidden="false" customHeight="false" outlineLevel="0" collapsed="false">
      <c r="A565" s="8" t="s">
        <v>1745</v>
      </c>
      <c r="B565" s="8" t="s">
        <v>53</v>
      </c>
      <c r="C565" s="30" t="n">
        <v>1600</v>
      </c>
      <c r="D565" s="30" t="n">
        <v>1250</v>
      </c>
      <c r="E565" s="30" t="n">
        <f aca="false">MIN(C565,D565)</f>
        <v>1250</v>
      </c>
      <c r="F565" s="8" t="n">
        <f aca="false">IF(D565&gt;0,1,0)</f>
        <v>1</v>
      </c>
    </row>
    <row r="566" customFormat="false" ht="15" hidden="false" customHeight="false" outlineLevel="0" collapsed="false">
      <c r="A566" s="8" t="s">
        <v>1645</v>
      </c>
      <c r="B566" s="8" t="s">
        <v>53</v>
      </c>
      <c r="C566" s="30" t="n">
        <v>1550</v>
      </c>
      <c r="D566" s="30" t="n">
        <v>1550</v>
      </c>
      <c r="E566" s="30" t="n">
        <f aca="false">MIN(C566,D566)</f>
        <v>1550</v>
      </c>
      <c r="F566" s="8" t="n">
        <f aca="false">IF(D566&gt;0,1,0)</f>
        <v>1</v>
      </c>
    </row>
    <row r="567" customFormat="false" ht="15" hidden="false" customHeight="false" outlineLevel="0" collapsed="false">
      <c r="A567" s="8" t="s">
        <v>1647</v>
      </c>
      <c r="B567" s="8" t="s">
        <v>53</v>
      </c>
      <c r="C567" s="30" t="n">
        <v>1550</v>
      </c>
      <c r="D567" s="30" t="n">
        <v>1550</v>
      </c>
      <c r="E567" s="30" t="n">
        <f aca="false">MIN(C567,D567)</f>
        <v>1550</v>
      </c>
      <c r="F567" s="8" t="n">
        <f aca="false">IF(D567&gt;0,1,0)</f>
        <v>1</v>
      </c>
    </row>
    <row r="568" customFormat="false" ht="15" hidden="false" customHeight="false" outlineLevel="0" collapsed="false">
      <c r="A568" s="8" t="s">
        <v>1681</v>
      </c>
      <c r="B568" s="8" t="s">
        <v>53</v>
      </c>
      <c r="C568" s="30" t="n">
        <v>1550</v>
      </c>
      <c r="D568" s="30" t="n">
        <v>1400</v>
      </c>
      <c r="E568" s="30" t="n">
        <f aca="false">MIN(C568,D568)</f>
        <v>1400</v>
      </c>
      <c r="F568" s="8" t="n">
        <f aca="false">IF(D568&gt;0,1,0)</f>
        <v>1</v>
      </c>
    </row>
    <row r="569" customFormat="false" ht="15" hidden="false" customHeight="false" outlineLevel="0" collapsed="false">
      <c r="A569" s="8" t="s">
        <v>1551</v>
      </c>
      <c r="B569" s="8" t="s">
        <v>53</v>
      </c>
      <c r="C569" s="30" t="n">
        <v>1550</v>
      </c>
      <c r="D569" s="30" t="n">
        <v>2100</v>
      </c>
      <c r="E569" s="30" t="n">
        <f aca="false">MIN(C569,D569)</f>
        <v>1550</v>
      </c>
      <c r="F569" s="8" t="n">
        <f aca="false">IF(D569&gt;0,1,0)</f>
        <v>1</v>
      </c>
    </row>
    <row r="570" customFormat="false" ht="15" hidden="false" customHeight="false" outlineLevel="0" collapsed="false">
      <c r="A570" s="8" t="s">
        <v>1655</v>
      </c>
      <c r="B570" s="8" t="s">
        <v>53</v>
      </c>
      <c r="C570" s="30" t="n">
        <v>1500</v>
      </c>
      <c r="D570" s="30" t="n">
        <v>1500</v>
      </c>
      <c r="E570" s="30" t="n">
        <f aca="false">MIN(C570,D570)</f>
        <v>1500</v>
      </c>
      <c r="F570" s="8" t="n">
        <f aca="false">IF(D570&gt;0,1,0)</f>
        <v>1</v>
      </c>
    </row>
    <row r="571" customFormat="false" ht="15" hidden="false" customHeight="false" outlineLevel="0" collapsed="false">
      <c r="A571" s="8" t="s">
        <v>1657</v>
      </c>
      <c r="B571" s="8" t="s">
        <v>53</v>
      </c>
      <c r="C571" s="30" t="n">
        <v>1500</v>
      </c>
      <c r="D571" s="30" t="n">
        <v>1500</v>
      </c>
      <c r="E571" s="30" t="n">
        <f aca="false">MIN(C571,D571)</f>
        <v>1500</v>
      </c>
      <c r="F571" s="8" t="n">
        <f aca="false">IF(D571&gt;0,1,0)</f>
        <v>1</v>
      </c>
    </row>
    <row r="572" customFormat="false" ht="15" hidden="false" customHeight="false" outlineLevel="0" collapsed="false">
      <c r="A572" s="8" t="s">
        <v>1659</v>
      </c>
      <c r="B572" s="8" t="s">
        <v>53</v>
      </c>
      <c r="C572" s="30" t="n">
        <v>1500</v>
      </c>
      <c r="D572" s="30" t="n">
        <v>1500</v>
      </c>
      <c r="E572" s="30" t="n">
        <f aca="false">MIN(C572,D572)</f>
        <v>1500</v>
      </c>
      <c r="F572" s="8" t="n">
        <f aca="false">IF(D572&gt;0,1,0)</f>
        <v>1</v>
      </c>
    </row>
    <row r="573" customFormat="false" ht="15" hidden="false" customHeight="false" outlineLevel="0" collapsed="false">
      <c r="A573" s="8" t="s">
        <v>1663</v>
      </c>
      <c r="B573" s="8" t="s">
        <v>53</v>
      </c>
      <c r="C573" s="30" t="n">
        <v>1500</v>
      </c>
      <c r="D573" s="30" t="n">
        <v>1500</v>
      </c>
      <c r="E573" s="30" t="n">
        <f aca="false">MIN(C573,D573)</f>
        <v>1500</v>
      </c>
      <c r="F573" s="8" t="n">
        <f aca="false">IF(D573&gt;0,1,0)</f>
        <v>1</v>
      </c>
    </row>
    <row r="574" customFormat="false" ht="15" hidden="false" customHeight="false" outlineLevel="0" collapsed="false">
      <c r="A574" s="8" t="s">
        <v>1773</v>
      </c>
      <c r="B574" s="8" t="s">
        <v>53</v>
      </c>
      <c r="C574" s="30" t="n">
        <v>1450</v>
      </c>
      <c r="D574" s="30" t="n">
        <v>1150</v>
      </c>
      <c r="E574" s="30" t="n">
        <f aca="false">MIN(C574,D574)</f>
        <v>1150</v>
      </c>
      <c r="F574" s="8" t="n">
        <f aca="false">IF(D574&gt;0,1,0)</f>
        <v>1</v>
      </c>
    </row>
    <row r="575" customFormat="false" ht="15" hidden="false" customHeight="false" outlineLevel="0" collapsed="false">
      <c r="A575" s="8" t="s">
        <v>1667</v>
      </c>
      <c r="B575" s="8" t="s">
        <v>53</v>
      </c>
      <c r="C575" s="30" t="n">
        <v>1450</v>
      </c>
      <c r="D575" s="30" t="n">
        <v>1450</v>
      </c>
      <c r="E575" s="30" t="n">
        <f aca="false">MIN(C575,D575)</f>
        <v>1450</v>
      </c>
      <c r="F575" s="8" t="n">
        <f aca="false">IF(D575&gt;0,1,0)</f>
        <v>1</v>
      </c>
    </row>
    <row r="576" customFormat="false" ht="15" hidden="false" customHeight="false" outlineLevel="0" collapsed="false">
      <c r="A576" s="8" t="s">
        <v>1671</v>
      </c>
      <c r="B576" s="8" t="s">
        <v>53</v>
      </c>
      <c r="C576" s="30" t="n">
        <v>1425</v>
      </c>
      <c r="D576" s="30" t="n">
        <v>1425</v>
      </c>
      <c r="E576" s="30" t="n">
        <f aca="false">MIN(C576,D576)</f>
        <v>1425</v>
      </c>
      <c r="F576" s="8" t="n">
        <f aca="false">IF(D576&gt;0,1,0)</f>
        <v>1</v>
      </c>
    </row>
    <row r="577" customFormat="false" ht="15" hidden="false" customHeight="false" outlineLevel="0" collapsed="false">
      <c r="A577" s="8" t="s">
        <v>1673</v>
      </c>
      <c r="B577" s="8" t="s">
        <v>53</v>
      </c>
      <c r="C577" s="30" t="n">
        <v>1425</v>
      </c>
      <c r="D577" s="30" t="n">
        <v>1425</v>
      </c>
      <c r="E577" s="30" t="n">
        <f aca="false">MIN(C577,D577)</f>
        <v>1425</v>
      </c>
      <c r="F577" s="8" t="n">
        <f aca="false">IF(D577&gt;0,1,0)</f>
        <v>1</v>
      </c>
    </row>
    <row r="578" customFormat="false" ht="15" hidden="false" customHeight="false" outlineLevel="0" collapsed="false">
      <c r="A578" s="8" t="s">
        <v>1675</v>
      </c>
      <c r="B578" s="8" t="s">
        <v>53</v>
      </c>
      <c r="C578" s="30" t="n">
        <v>1400</v>
      </c>
      <c r="D578" s="30" t="n">
        <v>1400</v>
      </c>
      <c r="E578" s="30" t="n">
        <f aca="false">MIN(C578,D578)</f>
        <v>1400</v>
      </c>
      <c r="F578" s="8" t="n">
        <f aca="false">IF(D578&gt;0,1,0)</f>
        <v>1</v>
      </c>
    </row>
    <row r="579" customFormat="false" ht="15" hidden="false" customHeight="false" outlineLevel="0" collapsed="false">
      <c r="A579" s="8" t="s">
        <v>1791</v>
      </c>
      <c r="B579" s="8" t="s">
        <v>53</v>
      </c>
      <c r="C579" s="30" t="n">
        <v>1400</v>
      </c>
      <c r="D579" s="30" t="n">
        <v>1100</v>
      </c>
      <c r="E579" s="30" t="n">
        <f aca="false">MIN(C579,D579)</f>
        <v>1100</v>
      </c>
      <c r="F579" s="8" t="n">
        <f aca="false">IF(D579&gt;0,1,0)</f>
        <v>1</v>
      </c>
    </row>
    <row r="580" customFormat="false" ht="15" hidden="false" customHeight="false" outlineLevel="0" collapsed="false">
      <c r="A580" s="8" t="s">
        <v>1593</v>
      </c>
      <c r="B580" s="8" t="s">
        <v>51</v>
      </c>
      <c r="C580" s="30" t="n">
        <v>1400</v>
      </c>
      <c r="D580" s="30" t="n">
        <v>1825</v>
      </c>
      <c r="E580" s="30" t="n">
        <f aca="false">MIN(C580,D580)</f>
        <v>1400</v>
      </c>
      <c r="F580" s="8" t="n">
        <f aca="false">IF(D580&gt;0,1,0)</f>
        <v>1</v>
      </c>
    </row>
    <row r="581" customFormat="false" ht="15" hidden="false" customHeight="false" outlineLevel="0" collapsed="false">
      <c r="A581" s="8" t="s">
        <v>1679</v>
      </c>
      <c r="B581" s="8" t="s">
        <v>53</v>
      </c>
      <c r="C581" s="30" t="n">
        <v>1400</v>
      </c>
      <c r="D581" s="30" t="n">
        <v>1400</v>
      </c>
      <c r="E581" s="30" t="n">
        <f aca="false">MIN(C581,D581)</f>
        <v>1400</v>
      </c>
      <c r="F581" s="8" t="n">
        <f aca="false">IF(D581&gt;0,1,0)</f>
        <v>1</v>
      </c>
    </row>
    <row r="582" customFormat="false" ht="15" hidden="false" customHeight="false" outlineLevel="0" collapsed="false">
      <c r="A582" s="8" t="s">
        <v>1683</v>
      </c>
      <c r="B582" s="8" t="s">
        <v>53</v>
      </c>
      <c r="C582" s="30" t="n">
        <v>1375</v>
      </c>
      <c r="D582" s="30" t="n">
        <v>1375</v>
      </c>
      <c r="E582" s="30" t="n">
        <f aca="false">MIN(C582,D582)</f>
        <v>1375</v>
      </c>
      <c r="F582" s="8" t="n">
        <f aca="false">IF(D582&gt;0,1,0)</f>
        <v>1</v>
      </c>
    </row>
    <row r="583" customFormat="false" ht="15" hidden="false" customHeight="false" outlineLevel="0" collapsed="false">
      <c r="A583" s="8" t="s">
        <v>1685</v>
      </c>
      <c r="B583" s="8" t="s">
        <v>53</v>
      </c>
      <c r="C583" s="30" t="n">
        <v>1375</v>
      </c>
      <c r="D583" s="30" t="n">
        <v>1375</v>
      </c>
      <c r="E583" s="30" t="n">
        <f aca="false">MIN(C583,D583)</f>
        <v>1375</v>
      </c>
      <c r="F583" s="8" t="n">
        <f aca="false">IF(D583&gt;0,1,0)</f>
        <v>1</v>
      </c>
    </row>
    <row r="584" customFormat="false" ht="15" hidden="false" customHeight="false" outlineLevel="0" collapsed="false">
      <c r="A584" s="8" t="s">
        <v>1687</v>
      </c>
      <c r="B584" s="8" t="s">
        <v>51</v>
      </c>
      <c r="C584" s="30" t="n">
        <v>1375</v>
      </c>
      <c r="D584" s="30" t="n">
        <v>1375</v>
      </c>
      <c r="E584" s="30" t="n">
        <f aca="false">MIN(C584,D584)</f>
        <v>1375</v>
      </c>
      <c r="F584" s="8" t="n">
        <f aca="false">IF(D584&gt;0,1,0)</f>
        <v>1</v>
      </c>
    </row>
    <row r="585" customFormat="false" ht="15" hidden="false" customHeight="false" outlineLevel="0" collapsed="false">
      <c r="A585" s="8" t="s">
        <v>1697</v>
      </c>
      <c r="B585" s="8" t="s">
        <v>53</v>
      </c>
      <c r="C585" s="30" t="n">
        <v>1350</v>
      </c>
      <c r="D585" s="30" t="n">
        <v>1350</v>
      </c>
      <c r="E585" s="30" t="n">
        <f aca="false">MIN(C585,D585)</f>
        <v>1350</v>
      </c>
      <c r="F585" s="8" t="n">
        <f aca="false">IF(D585&gt;0,1,0)</f>
        <v>1</v>
      </c>
    </row>
    <row r="586" customFormat="false" ht="15" hidden="false" customHeight="false" outlineLevel="0" collapsed="false">
      <c r="A586" s="8" t="s">
        <v>1707</v>
      </c>
      <c r="B586" s="8" t="s">
        <v>53</v>
      </c>
      <c r="C586" s="30" t="n">
        <v>1325</v>
      </c>
      <c r="D586" s="30" t="n">
        <v>1325</v>
      </c>
      <c r="E586" s="30" t="n">
        <f aca="false">MIN(C586,D586)</f>
        <v>1325</v>
      </c>
      <c r="F586" s="8" t="n">
        <f aca="false">IF(D586&gt;0,1,0)</f>
        <v>1</v>
      </c>
    </row>
    <row r="587" customFormat="false" ht="15" hidden="false" customHeight="false" outlineLevel="0" collapsed="false">
      <c r="A587" s="8" t="s">
        <v>1709</v>
      </c>
      <c r="B587" s="8" t="s">
        <v>53</v>
      </c>
      <c r="C587" s="30" t="n">
        <v>1325</v>
      </c>
      <c r="D587" s="30" t="n">
        <v>1325</v>
      </c>
      <c r="E587" s="30" t="n">
        <f aca="false">MIN(C587,D587)</f>
        <v>1325</v>
      </c>
      <c r="F587" s="8" t="n">
        <f aca="false">IF(D587&gt;0,1,0)</f>
        <v>1</v>
      </c>
    </row>
    <row r="588" customFormat="false" ht="15" hidden="false" customHeight="false" outlineLevel="0" collapsed="false">
      <c r="A588" s="8" t="s">
        <v>1715</v>
      </c>
      <c r="B588" s="8" t="s">
        <v>51</v>
      </c>
      <c r="C588" s="30" t="n">
        <v>1325</v>
      </c>
      <c r="D588" s="30" t="n">
        <v>1325</v>
      </c>
      <c r="E588" s="30" t="n">
        <f aca="false">MIN(C588,D588)</f>
        <v>1325</v>
      </c>
      <c r="F588" s="8" t="n">
        <f aca="false">IF(D588&gt;0,1,0)</f>
        <v>1</v>
      </c>
    </row>
    <row r="589" customFormat="false" ht="15" hidden="false" customHeight="false" outlineLevel="0" collapsed="false">
      <c r="A589" s="8" t="s">
        <v>1721</v>
      </c>
      <c r="B589" s="8" t="s">
        <v>53</v>
      </c>
      <c r="C589" s="30" t="n">
        <v>1300</v>
      </c>
      <c r="D589" s="30" t="n">
        <v>1300</v>
      </c>
      <c r="E589" s="30" t="n">
        <f aca="false">MIN(C589,D589)</f>
        <v>1300</v>
      </c>
      <c r="F589" s="8" t="n">
        <f aca="false">IF(D589&gt;0,1,0)</f>
        <v>1</v>
      </c>
    </row>
    <row r="590" customFormat="false" ht="15" hidden="false" customHeight="false" outlineLevel="0" collapsed="false">
      <c r="A590" s="8" t="s">
        <v>1723</v>
      </c>
      <c r="B590" s="8" t="s">
        <v>53</v>
      </c>
      <c r="C590" s="30" t="n">
        <v>1300</v>
      </c>
      <c r="D590" s="30" t="n">
        <v>1300</v>
      </c>
      <c r="E590" s="30" t="n">
        <f aca="false">MIN(C590,D590)</f>
        <v>1300</v>
      </c>
      <c r="F590" s="8" t="n">
        <f aca="false">IF(D590&gt;0,1,0)</f>
        <v>1</v>
      </c>
    </row>
    <row r="591" customFormat="false" ht="15" hidden="false" customHeight="false" outlineLevel="0" collapsed="false">
      <c r="A591" s="8" t="s">
        <v>1725</v>
      </c>
      <c r="B591" s="8" t="s">
        <v>53</v>
      </c>
      <c r="C591" s="30" t="n">
        <v>1300</v>
      </c>
      <c r="D591" s="30" t="n">
        <v>1300</v>
      </c>
      <c r="E591" s="30" t="n">
        <f aca="false">MIN(C591,D591)</f>
        <v>1300</v>
      </c>
      <c r="F591" s="8" t="n">
        <f aca="false">IF(D591&gt;0,1,0)</f>
        <v>1</v>
      </c>
    </row>
    <row r="592" customFormat="false" ht="15" hidden="false" customHeight="false" outlineLevel="0" collapsed="false">
      <c r="A592" s="8" t="s">
        <v>1727</v>
      </c>
      <c r="B592" s="8" t="s">
        <v>53</v>
      </c>
      <c r="C592" s="30" t="n">
        <v>1300</v>
      </c>
      <c r="D592" s="30" t="n">
        <v>1300</v>
      </c>
      <c r="E592" s="30" t="n">
        <f aca="false">MIN(C592,D592)</f>
        <v>1300</v>
      </c>
      <c r="F592" s="8" t="n">
        <f aca="false">IF(D592&gt;0,1,0)</f>
        <v>1</v>
      </c>
    </row>
    <row r="593" customFormat="false" ht="15" hidden="false" customHeight="false" outlineLevel="0" collapsed="false">
      <c r="A593" s="8" t="s">
        <v>1617</v>
      </c>
      <c r="B593" s="8" t="s">
        <v>51</v>
      </c>
      <c r="C593" s="30" t="n">
        <v>1275</v>
      </c>
      <c r="D593" s="30" t="n">
        <v>1725</v>
      </c>
      <c r="E593" s="30" t="n">
        <f aca="false">MIN(C593,D593)</f>
        <v>1275</v>
      </c>
      <c r="F593" s="8" t="n">
        <f aca="false">IF(D593&gt;0,1,0)</f>
        <v>1</v>
      </c>
    </row>
    <row r="594" customFormat="false" ht="15" hidden="false" customHeight="false" outlineLevel="0" collapsed="false">
      <c r="A594" s="8" t="s">
        <v>1731</v>
      </c>
      <c r="B594" s="8" t="s">
        <v>51</v>
      </c>
      <c r="C594" s="30" t="n">
        <v>1275</v>
      </c>
      <c r="D594" s="30" t="n">
        <v>1275</v>
      </c>
      <c r="E594" s="30" t="n">
        <f aca="false">MIN(C594,D594)</f>
        <v>1275</v>
      </c>
      <c r="F594" s="8" t="n">
        <f aca="false">IF(D594&gt;0,1,0)</f>
        <v>1</v>
      </c>
    </row>
    <row r="595" customFormat="false" ht="15" hidden="false" customHeight="false" outlineLevel="0" collapsed="false">
      <c r="A595" s="8" t="s">
        <v>1817</v>
      </c>
      <c r="B595" s="8" t="s">
        <v>51</v>
      </c>
      <c r="C595" s="30" t="n">
        <v>1275</v>
      </c>
      <c r="D595" s="30" t="n">
        <v>1025</v>
      </c>
      <c r="E595" s="30" t="n">
        <f aca="false">MIN(C595,D595)</f>
        <v>1025</v>
      </c>
      <c r="F595" s="8" t="n">
        <f aca="false">IF(D595&gt;0,1,0)</f>
        <v>1</v>
      </c>
    </row>
    <row r="596" customFormat="false" ht="15" hidden="false" customHeight="false" outlineLevel="0" collapsed="false">
      <c r="A596" s="8" t="s">
        <v>1733</v>
      </c>
      <c r="B596" s="8" t="s">
        <v>51</v>
      </c>
      <c r="C596" s="30" t="n">
        <v>1275</v>
      </c>
      <c r="D596" s="30" t="n">
        <v>1275</v>
      </c>
      <c r="E596" s="30" t="n">
        <f aca="false">MIN(C596,D596)</f>
        <v>1275</v>
      </c>
      <c r="F596" s="8" t="n">
        <f aca="false">IF(D596&gt;0,1,0)</f>
        <v>1</v>
      </c>
    </row>
    <row r="597" customFormat="false" ht="15" hidden="false" customHeight="false" outlineLevel="0" collapsed="false">
      <c r="A597" s="8" t="s">
        <v>4477</v>
      </c>
      <c r="B597" s="8" t="s">
        <v>53</v>
      </c>
      <c r="C597" s="30" t="n">
        <v>1250</v>
      </c>
      <c r="D597" s="30" t="n">
        <v>0</v>
      </c>
      <c r="E597" s="30" t="n">
        <f aca="false">MIN(C597,D597)</f>
        <v>0</v>
      </c>
      <c r="F597" s="8" t="n">
        <f aca="false">IF(D597&gt;0,1,0)</f>
        <v>0</v>
      </c>
    </row>
    <row r="598" customFormat="false" ht="15" hidden="false" customHeight="false" outlineLevel="0" collapsed="false">
      <c r="A598" s="8" t="s">
        <v>1609</v>
      </c>
      <c r="B598" s="8" t="s">
        <v>51</v>
      </c>
      <c r="C598" s="30" t="n">
        <v>1250</v>
      </c>
      <c r="D598" s="30" t="n">
        <v>1775</v>
      </c>
      <c r="E598" s="30" t="n">
        <f aca="false">MIN(C598,D598)</f>
        <v>1250</v>
      </c>
      <c r="F598" s="8" t="n">
        <f aca="false">IF(D598&gt;0,1,0)</f>
        <v>1</v>
      </c>
    </row>
    <row r="599" customFormat="false" ht="15" hidden="false" customHeight="false" outlineLevel="0" collapsed="false">
      <c r="A599" s="8" t="s">
        <v>1747</v>
      </c>
      <c r="B599" s="8" t="s">
        <v>53</v>
      </c>
      <c r="C599" s="30" t="n">
        <v>1225</v>
      </c>
      <c r="D599" s="30" t="n">
        <v>1225</v>
      </c>
      <c r="E599" s="30" t="n">
        <f aca="false">MIN(C599,D599)</f>
        <v>1225</v>
      </c>
      <c r="F599" s="8" t="n">
        <f aca="false">IF(D599&gt;0,1,0)</f>
        <v>1</v>
      </c>
    </row>
    <row r="600" customFormat="false" ht="15" hidden="false" customHeight="false" outlineLevel="0" collapsed="false">
      <c r="A600" s="8" t="s">
        <v>1749</v>
      </c>
      <c r="B600" s="8" t="s">
        <v>53</v>
      </c>
      <c r="C600" s="30" t="n">
        <v>1200</v>
      </c>
      <c r="D600" s="30" t="n">
        <v>1200</v>
      </c>
      <c r="E600" s="30" t="n">
        <f aca="false">MIN(C600,D600)</f>
        <v>1200</v>
      </c>
      <c r="F600" s="8" t="n">
        <f aca="false">IF(D600&gt;0,1,0)</f>
        <v>1</v>
      </c>
    </row>
    <row r="601" customFormat="false" ht="15" hidden="false" customHeight="false" outlineLevel="0" collapsed="false">
      <c r="A601" s="8" t="s">
        <v>1701</v>
      </c>
      <c r="B601" s="8" t="s">
        <v>53</v>
      </c>
      <c r="C601" s="30" t="n">
        <v>1200</v>
      </c>
      <c r="D601" s="30" t="n">
        <v>1350</v>
      </c>
      <c r="E601" s="30" t="n">
        <f aca="false">MIN(C601,D601)</f>
        <v>1200</v>
      </c>
      <c r="F601" s="8" t="n">
        <f aca="false">IF(D601&gt;0,1,0)</f>
        <v>1</v>
      </c>
    </row>
    <row r="602" customFormat="false" ht="15" hidden="false" customHeight="false" outlineLevel="0" collapsed="false">
      <c r="A602" s="8" t="s">
        <v>1755</v>
      </c>
      <c r="B602" s="8" t="s">
        <v>53</v>
      </c>
      <c r="C602" s="30" t="n">
        <v>1200</v>
      </c>
      <c r="D602" s="30" t="n">
        <v>1200</v>
      </c>
      <c r="E602" s="30" t="n">
        <f aca="false">MIN(C602,D602)</f>
        <v>1200</v>
      </c>
      <c r="F602" s="8" t="n">
        <f aca="false">IF(D602&gt;0,1,0)</f>
        <v>1</v>
      </c>
    </row>
    <row r="603" customFormat="false" ht="15" hidden="false" customHeight="false" outlineLevel="0" collapsed="false">
      <c r="A603" s="8" t="s">
        <v>1757</v>
      </c>
      <c r="B603" s="8" t="s">
        <v>53</v>
      </c>
      <c r="C603" s="30" t="n">
        <v>1200</v>
      </c>
      <c r="D603" s="30" t="n">
        <v>1200</v>
      </c>
      <c r="E603" s="30" t="n">
        <f aca="false">MIN(C603,D603)</f>
        <v>1200</v>
      </c>
      <c r="F603" s="8" t="n">
        <f aca="false">IF(D603&gt;0,1,0)</f>
        <v>1</v>
      </c>
    </row>
    <row r="604" customFormat="false" ht="15" hidden="false" customHeight="false" outlineLevel="0" collapsed="false">
      <c r="A604" s="8" t="s">
        <v>1763</v>
      </c>
      <c r="B604" s="8" t="s">
        <v>53</v>
      </c>
      <c r="C604" s="30" t="n">
        <v>1175</v>
      </c>
      <c r="D604" s="30" t="n">
        <v>1175</v>
      </c>
      <c r="E604" s="30" t="n">
        <f aca="false">MIN(C604,D604)</f>
        <v>1175</v>
      </c>
      <c r="F604" s="8" t="n">
        <f aca="false">IF(D604&gt;0,1,0)</f>
        <v>1</v>
      </c>
    </row>
    <row r="605" customFormat="false" ht="15" hidden="false" customHeight="false" outlineLevel="0" collapsed="false">
      <c r="A605" s="8" t="s">
        <v>1765</v>
      </c>
      <c r="B605" s="8" t="s">
        <v>51</v>
      </c>
      <c r="C605" s="30" t="n">
        <v>1175</v>
      </c>
      <c r="D605" s="30" t="n">
        <v>1175</v>
      </c>
      <c r="E605" s="30" t="n">
        <f aca="false">MIN(C605,D605)</f>
        <v>1175</v>
      </c>
      <c r="F605" s="8" t="n">
        <f aca="false">IF(D605&gt;0,1,0)</f>
        <v>1</v>
      </c>
    </row>
    <row r="606" customFormat="false" ht="15" hidden="false" customHeight="false" outlineLevel="0" collapsed="false">
      <c r="A606" s="8" t="s">
        <v>1879</v>
      </c>
      <c r="B606" s="8" t="s">
        <v>53</v>
      </c>
      <c r="C606" s="30" t="n">
        <v>1175</v>
      </c>
      <c r="D606" s="30" t="n">
        <v>925</v>
      </c>
      <c r="E606" s="30" t="n">
        <f aca="false">MIN(C606,D606)</f>
        <v>925</v>
      </c>
      <c r="F606" s="8" t="n">
        <f aca="false">IF(D606&gt;0,1,0)</f>
        <v>1</v>
      </c>
    </row>
    <row r="607" customFormat="false" ht="15" hidden="false" customHeight="false" outlineLevel="0" collapsed="false">
      <c r="A607" s="8" t="s">
        <v>1769</v>
      </c>
      <c r="B607" s="8" t="s">
        <v>51</v>
      </c>
      <c r="C607" s="30" t="n">
        <v>1175</v>
      </c>
      <c r="D607" s="30" t="n">
        <v>1175</v>
      </c>
      <c r="E607" s="30" t="n">
        <f aca="false">MIN(C607,D607)</f>
        <v>1175</v>
      </c>
      <c r="F607" s="8" t="n">
        <f aca="false">IF(D607&gt;0,1,0)</f>
        <v>1</v>
      </c>
    </row>
    <row r="608" customFormat="false" ht="15" hidden="false" customHeight="false" outlineLevel="0" collapsed="false">
      <c r="A608" s="8" t="s">
        <v>1775</v>
      </c>
      <c r="B608" s="8" t="s">
        <v>53</v>
      </c>
      <c r="C608" s="30" t="n">
        <v>1150</v>
      </c>
      <c r="D608" s="30" t="n">
        <v>1150</v>
      </c>
      <c r="E608" s="30" t="n">
        <f aca="false">MIN(C608,D608)</f>
        <v>1150</v>
      </c>
      <c r="F608" s="8" t="n">
        <f aca="false">IF(D608&gt;0,1,0)</f>
        <v>1</v>
      </c>
    </row>
    <row r="609" customFormat="false" ht="15" hidden="false" customHeight="false" outlineLevel="0" collapsed="false">
      <c r="A609" s="8" t="s">
        <v>1711</v>
      </c>
      <c r="B609" s="8" t="s">
        <v>51</v>
      </c>
      <c r="C609" s="30" t="n">
        <v>1150</v>
      </c>
      <c r="D609" s="30" t="n">
        <v>1325</v>
      </c>
      <c r="E609" s="30" t="n">
        <f aca="false">MIN(C609,D609)</f>
        <v>1150</v>
      </c>
      <c r="F609" s="8" t="n">
        <f aca="false">IF(D609&gt;0,1,0)</f>
        <v>1</v>
      </c>
    </row>
    <row r="610" customFormat="false" ht="15" hidden="false" customHeight="false" outlineLevel="0" collapsed="false">
      <c r="A610" s="8" t="s">
        <v>1781</v>
      </c>
      <c r="B610" s="8" t="s">
        <v>53</v>
      </c>
      <c r="C610" s="30" t="n">
        <v>1125</v>
      </c>
      <c r="D610" s="30" t="n">
        <v>1125</v>
      </c>
      <c r="E610" s="30" t="n">
        <f aca="false">MIN(C610,D610)</f>
        <v>1125</v>
      </c>
      <c r="F610" s="8" t="n">
        <f aca="false">IF(D610&gt;0,1,0)</f>
        <v>1</v>
      </c>
    </row>
    <row r="611" customFormat="false" ht="15" hidden="false" customHeight="false" outlineLevel="0" collapsed="false">
      <c r="A611" s="8" t="s">
        <v>1783</v>
      </c>
      <c r="B611" s="8" t="s">
        <v>53</v>
      </c>
      <c r="C611" s="30" t="n">
        <v>1125</v>
      </c>
      <c r="D611" s="30" t="n">
        <v>1125</v>
      </c>
      <c r="E611" s="30" t="n">
        <f aca="false">MIN(C611,D611)</f>
        <v>1125</v>
      </c>
      <c r="F611" s="8" t="n">
        <f aca="false">IF(D611&gt;0,1,0)</f>
        <v>1</v>
      </c>
    </row>
    <row r="612" customFormat="false" ht="15" hidden="false" customHeight="false" outlineLevel="0" collapsed="false">
      <c r="A612" s="8" t="s">
        <v>4478</v>
      </c>
      <c r="B612" s="8" t="s">
        <v>53</v>
      </c>
      <c r="C612" s="30" t="n">
        <v>1125</v>
      </c>
      <c r="D612" s="30" t="n">
        <v>0</v>
      </c>
      <c r="E612" s="30" t="n">
        <f aca="false">MIN(C612,D612)</f>
        <v>0</v>
      </c>
      <c r="F612" s="8" t="n">
        <f aca="false">IF(D612&gt;0,1,0)</f>
        <v>0</v>
      </c>
    </row>
    <row r="613" customFormat="false" ht="15" hidden="false" customHeight="false" outlineLevel="0" collapsed="false">
      <c r="A613" s="8" t="s">
        <v>1955</v>
      </c>
      <c r="B613" s="8" t="s">
        <v>53</v>
      </c>
      <c r="C613" s="30" t="n">
        <v>1125</v>
      </c>
      <c r="D613" s="30" t="n">
        <v>850</v>
      </c>
      <c r="E613" s="30" t="n">
        <f aca="false">MIN(C613,D613)</f>
        <v>850</v>
      </c>
      <c r="F613" s="8" t="n">
        <f aca="false">IF(D613&gt;0,1,0)</f>
        <v>1</v>
      </c>
    </row>
    <row r="614" customFormat="false" ht="15" hidden="false" customHeight="false" outlineLevel="0" collapsed="false">
      <c r="A614" s="8" t="s">
        <v>4479</v>
      </c>
      <c r="B614" s="8" t="s">
        <v>53</v>
      </c>
      <c r="C614" s="30" t="n">
        <v>1125</v>
      </c>
      <c r="D614" s="30" t="n">
        <v>0</v>
      </c>
      <c r="E614" s="30" t="n">
        <f aca="false">MIN(C614,D614)</f>
        <v>0</v>
      </c>
      <c r="F614" s="8" t="n">
        <f aca="false">IF(D614&gt;0,1,0)</f>
        <v>0</v>
      </c>
    </row>
    <row r="615" customFormat="false" ht="15" hidden="false" customHeight="false" outlineLevel="0" collapsed="false">
      <c r="A615" s="8" t="s">
        <v>1787</v>
      </c>
      <c r="B615" s="8" t="s">
        <v>53</v>
      </c>
      <c r="C615" s="30" t="n">
        <v>1125</v>
      </c>
      <c r="D615" s="30" t="n">
        <v>1125</v>
      </c>
      <c r="E615" s="30" t="n">
        <f aca="false">MIN(C615,D615)</f>
        <v>1125</v>
      </c>
      <c r="F615" s="8" t="n">
        <f aca="false">IF(D615&gt;0,1,0)</f>
        <v>1</v>
      </c>
    </row>
    <row r="616" customFormat="false" ht="15" hidden="false" customHeight="false" outlineLevel="0" collapsed="false">
      <c r="A616" s="8" t="s">
        <v>1797</v>
      </c>
      <c r="B616" s="8" t="s">
        <v>53</v>
      </c>
      <c r="C616" s="30" t="n">
        <v>1100</v>
      </c>
      <c r="D616" s="30" t="n">
        <v>1100</v>
      </c>
      <c r="E616" s="30" t="n">
        <f aca="false">MIN(C616,D616)</f>
        <v>1100</v>
      </c>
      <c r="F616" s="8" t="n">
        <f aca="false">IF(D616&gt;0,1,0)</f>
        <v>1</v>
      </c>
    </row>
    <row r="617" customFormat="false" ht="15" hidden="false" customHeight="false" outlineLevel="0" collapsed="false">
      <c r="A617" s="8" t="s">
        <v>1799</v>
      </c>
      <c r="B617" s="8" t="s">
        <v>53</v>
      </c>
      <c r="C617" s="30" t="n">
        <v>1100</v>
      </c>
      <c r="D617" s="30" t="n">
        <v>1100</v>
      </c>
      <c r="E617" s="30" t="n">
        <f aca="false">MIN(C617,D617)</f>
        <v>1100</v>
      </c>
      <c r="F617" s="8" t="n">
        <f aca="false">IF(D617&gt;0,1,0)</f>
        <v>1</v>
      </c>
    </row>
    <row r="618" customFormat="false" ht="15" hidden="false" customHeight="false" outlineLevel="0" collapsed="false">
      <c r="A618" s="8" t="s">
        <v>4480</v>
      </c>
      <c r="B618" s="8" t="s">
        <v>51</v>
      </c>
      <c r="C618" s="30" t="n">
        <v>1075</v>
      </c>
      <c r="D618" s="30" t="n">
        <v>0</v>
      </c>
      <c r="E618" s="30" t="n">
        <f aca="false">MIN(C618,D618)</f>
        <v>0</v>
      </c>
      <c r="F618" s="8" t="n">
        <f aca="false">IF(D618&gt;0,1,0)</f>
        <v>0</v>
      </c>
    </row>
    <row r="619" customFormat="false" ht="15" hidden="false" customHeight="false" outlineLevel="0" collapsed="false">
      <c r="A619" s="8" t="s">
        <v>1857</v>
      </c>
      <c r="B619" s="8" t="s">
        <v>53</v>
      </c>
      <c r="C619" s="30" t="n">
        <v>1075</v>
      </c>
      <c r="D619" s="30" t="n">
        <v>950</v>
      </c>
      <c r="E619" s="30" t="n">
        <f aca="false">MIN(C619,D619)</f>
        <v>950</v>
      </c>
      <c r="F619" s="8" t="n">
        <f aca="false">IF(D619&gt;0,1,0)</f>
        <v>1</v>
      </c>
    </row>
    <row r="620" customFormat="false" ht="15" hidden="false" customHeight="false" outlineLevel="0" collapsed="false">
      <c r="A620" s="8" t="s">
        <v>1691</v>
      </c>
      <c r="B620" s="8" t="s">
        <v>51</v>
      </c>
      <c r="C620" s="30" t="n">
        <v>1075</v>
      </c>
      <c r="D620" s="30" t="n">
        <v>1375</v>
      </c>
      <c r="E620" s="30" t="n">
        <f aca="false">MIN(C620,D620)</f>
        <v>1075</v>
      </c>
      <c r="F620" s="8" t="n">
        <f aca="false">IF(D620&gt;0,1,0)</f>
        <v>1</v>
      </c>
    </row>
    <row r="621" customFormat="false" ht="15" hidden="false" customHeight="false" outlineLevel="0" collapsed="false">
      <c r="A621" s="8" t="s">
        <v>1805</v>
      </c>
      <c r="B621" s="8" t="s">
        <v>53</v>
      </c>
      <c r="C621" s="30" t="n">
        <v>1050</v>
      </c>
      <c r="D621" s="30" t="n">
        <v>1050</v>
      </c>
      <c r="E621" s="30" t="n">
        <f aca="false">MIN(C621,D621)</f>
        <v>1050</v>
      </c>
      <c r="F621" s="8" t="n">
        <f aca="false">IF(D621&gt;0,1,0)</f>
        <v>1</v>
      </c>
    </row>
    <row r="622" customFormat="false" ht="15" hidden="false" customHeight="false" outlineLevel="0" collapsed="false">
      <c r="A622" s="8" t="s">
        <v>4481</v>
      </c>
      <c r="B622" s="8" t="s">
        <v>53</v>
      </c>
      <c r="C622" s="30" t="n">
        <v>1025</v>
      </c>
      <c r="D622" s="30" t="n">
        <v>0</v>
      </c>
      <c r="E622" s="30" t="n">
        <f aca="false">MIN(C622,D622)</f>
        <v>0</v>
      </c>
      <c r="F622" s="8" t="n">
        <f aca="false">IF(D622&gt;0,1,0)</f>
        <v>0</v>
      </c>
    </row>
    <row r="623" customFormat="false" ht="15" hidden="false" customHeight="false" outlineLevel="0" collapsed="false">
      <c r="A623" s="8" t="s">
        <v>1777</v>
      </c>
      <c r="B623" s="8" t="s">
        <v>53</v>
      </c>
      <c r="C623" s="30" t="n">
        <v>1025</v>
      </c>
      <c r="D623" s="30" t="n">
        <v>1150</v>
      </c>
      <c r="E623" s="30" t="n">
        <f aca="false">MIN(C623,D623)</f>
        <v>1025</v>
      </c>
      <c r="F623" s="8" t="n">
        <f aca="false">IF(D623&gt;0,1,0)</f>
        <v>1</v>
      </c>
    </row>
    <row r="624" customFormat="false" ht="15" hidden="false" customHeight="false" outlineLevel="0" collapsed="false">
      <c r="A624" s="8" t="s">
        <v>1813</v>
      </c>
      <c r="B624" s="8" t="s">
        <v>51</v>
      </c>
      <c r="C624" s="30" t="n">
        <v>1025</v>
      </c>
      <c r="D624" s="30" t="n">
        <v>1025</v>
      </c>
      <c r="E624" s="30" t="n">
        <f aca="false">MIN(C624,D624)</f>
        <v>1025</v>
      </c>
      <c r="F624" s="8" t="n">
        <f aca="false">IF(D624&gt;0,1,0)</f>
        <v>1</v>
      </c>
    </row>
    <row r="625" customFormat="false" ht="15" hidden="false" customHeight="false" outlineLevel="0" collapsed="false">
      <c r="A625" s="8" t="s">
        <v>1815</v>
      </c>
      <c r="B625" s="8" t="s">
        <v>53</v>
      </c>
      <c r="C625" s="30" t="n">
        <v>1025</v>
      </c>
      <c r="D625" s="30" t="n">
        <v>1025</v>
      </c>
      <c r="E625" s="30" t="n">
        <f aca="false">MIN(C625,D625)</f>
        <v>1025</v>
      </c>
      <c r="F625" s="8" t="n">
        <f aca="false">IF(D625&gt;0,1,0)</f>
        <v>1</v>
      </c>
    </row>
    <row r="626" customFormat="false" ht="15" hidden="false" customHeight="false" outlineLevel="0" collapsed="false">
      <c r="A626" s="8" t="s">
        <v>1819</v>
      </c>
      <c r="B626" s="8" t="s">
        <v>53</v>
      </c>
      <c r="C626" s="30" t="n">
        <v>1025</v>
      </c>
      <c r="D626" s="30" t="n">
        <v>1025</v>
      </c>
      <c r="E626" s="30" t="n">
        <f aca="false">MIN(C626,D626)</f>
        <v>1025</v>
      </c>
      <c r="F626" s="8" t="n">
        <f aca="false">IF(D626&gt;0,1,0)</f>
        <v>1</v>
      </c>
    </row>
    <row r="627" customFormat="false" ht="15" hidden="false" customHeight="false" outlineLevel="0" collapsed="false">
      <c r="A627" s="8" t="s">
        <v>1699</v>
      </c>
      <c r="B627" s="8" t="s">
        <v>53</v>
      </c>
      <c r="C627" s="30" t="n">
        <v>1000</v>
      </c>
      <c r="D627" s="30" t="n">
        <v>1350</v>
      </c>
      <c r="E627" s="30" t="n">
        <f aca="false">MIN(C627,D627)</f>
        <v>1000</v>
      </c>
      <c r="F627" s="8" t="n">
        <f aca="false">IF(D627&gt;0,1,0)</f>
        <v>1</v>
      </c>
    </row>
    <row r="628" customFormat="false" ht="15" hidden="false" customHeight="false" outlineLevel="0" collapsed="false">
      <c r="A628" s="8" t="s">
        <v>1827</v>
      </c>
      <c r="B628" s="8" t="s">
        <v>51</v>
      </c>
      <c r="C628" s="30" t="n">
        <v>1000</v>
      </c>
      <c r="D628" s="30" t="n">
        <v>1000</v>
      </c>
      <c r="E628" s="30" t="n">
        <f aca="false">MIN(C628,D628)</f>
        <v>1000</v>
      </c>
      <c r="F628" s="8" t="n">
        <f aca="false">IF(D628&gt;0,1,0)</f>
        <v>1</v>
      </c>
    </row>
    <row r="629" customFormat="false" ht="15" hidden="false" customHeight="false" outlineLevel="0" collapsed="false">
      <c r="A629" s="8" t="s">
        <v>1829</v>
      </c>
      <c r="B629" s="8" t="s">
        <v>51</v>
      </c>
      <c r="C629" s="30" t="n">
        <v>1000</v>
      </c>
      <c r="D629" s="30" t="n">
        <v>1000</v>
      </c>
      <c r="E629" s="30" t="n">
        <f aca="false">MIN(C629,D629)</f>
        <v>1000</v>
      </c>
      <c r="F629" s="8" t="n">
        <f aca="false">IF(D629&gt;0,1,0)</f>
        <v>1</v>
      </c>
    </row>
    <row r="630" customFormat="false" ht="15" hidden="false" customHeight="false" outlineLevel="0" collapsed="false">
      <c r="A630" s="8" t="s">
        <v>1835</v>
      </c>
      <c r="B630" s="8" t="s">
        <v>51</v>
      </c>
      <c r="C630" s="30" t="n">
        <v>975</v>
      </c>
      <c r="D630" s="30" t="n">
        <v>975</v>
      </c>
      <c r="E630" s="30" t="n">
        <f aca="false">MIN(C630,D630)</f>
        <v>975</v>
      </c>
      <c r="F630" s="8" t="n">
        <f aca="false">IF(D630&gt;0,1,0)</f>
        <v>1</v>
      </c>
    </row>
    <row r="631" customFormat="false" ht="15" hidden="false" customHeight="false" outlineLevel="0" collapsed="false">
      <c r="A631" s="8" t="s">
        <v>1839</v>
      </c>
      <c r="B631" s="8" t="s">
        <v>51</v>
      </c>
      <c r="C631" s="30" t="n">
        <v>975</v>
      </c>
      <c r="D631" s="30" t="n">
        <v>975</v>
      </c>
      <c r="E631" s="30" t="n">
        <f aca="false">MIN(C631,D631)</f>
        <v>975</v>
      </c>
      <c r="F631" s="8" t="n">
        <f aca="false">IF(D631&gt;0,1,0)</f>
        <v>1</v>
      </c>
    </row>
    <row r="632" customFormat="false" ht="15" hidden="false" customHeight="false" outlineLevel="0" collapsed="false">
      <c r="A632" s="8" t="s">
        <v>1843</v>
      </c>
      <c r="B632" s="8" t="s">
        <v>51</v>
      </c>
      <c r="C632" s="30" t="n">
        <v>975</v>
      </c>
      <c r="D632" s="30" t="n">
        <v>975</v>
      </c>
      <c r="E632" s="30" t="n">
        <f aca="false">MIN(C632,D632)</f>
        <v>975</v>
      </c>
      <c r="F632" s="8" t="n">
        <f aca="false">IF(D632&gt;0,1,0)</f>
        <v>1</v>
      </c>
    </row>
    <row r="633" customFormat="false" ht="15" hidden="false" customHeight="false" outlineLevel="0" collapsed="false">
      <c r="A633" s="8" t="s">
        <v>1975</v>
      </c>
      <c r="B633" s="8" t="s">
        <v>51</v>
      </c>
      <c r="C633" s="30" t="n">
        <v>975</v>
      </c>
      <c r="D633" s="30" t="n">
        <v>825</v>
      </c>
      <c r="E633" s="30" t="n">
        <f aca="false">MIN(C633,D633)</f>
        <v>825</v>
      </c>
      <c r="F633" s="8" t="n">
        <f aca="false">IF(D633&gt;0,1,0)</f>
        <v>1</v>
      </c>
    </row>
    <row r="634" customFormat="false" ht="15" hidden="false" customHeight="false" outlineLevel="0" collapsed="false">
      <c r="A634" s="8" t="s">
        <v>1845</v>
      </c>
      <c r="B634" s="8" t="s">
        <v>51</v>
      </c>
      <c r="C634" s="30" t="n">
        <v>975</v>
      </c>
      <c r="D634" s="30" t="n">
        <v>975</v>
      </c>
      <c r="E634" s="30" t="n">
        <f aca="false">MIN(C634,D634)</f>
        <v>975</v>
      </c>
      <c r="F634" s="8" t="n">
        <f aca="false">IF(D634&gt;0,1,0)</f>
        <v>1</v>
      </c>
    </row>
    <row r="635" customFormat="false" ht="15" hidden="false" customHeight="false" outlineLevel="0" collapsed="false">
      <c r="A635" s="8" t="s">
        <v>1855</v>
      </c>
      <c r="B635" s="8" t="s">
        <v>51</v>
      </c>
      <c r="C635" s="30" t="n">
        <v>950</v>
      </c>
      <c r="D635" s="30" t="n">
        <v>950</v>
      </c>
      <c r="E635" s="30" t="n">
        <f aca="false">MIN(C635,D635)</f>
        <v>950</v>
      </c>
      <c r="F635" s="8" t="n">
        <f aca="false">IF(D635&gt;0,1,0)</f>
        <v>1</v>
      </c>
    </row>
    <row r="636" customFormat="false" ht="15" hidden="false" customHeight="false" outlineLevel="0" collapsed="false">
      <c r="A636" s="8" t="s">
        <v>2258</v>
      </c>
      <c r="B636" s="8" t="s">
        <v>51</v>
      </c>
      <c r="C636" s="30" t="n">
        <v>950</v>
      </c>
      <c r="D636" s="30" t="n">
        <v>575</v>
      </c>
      <c r="E636" s="30" t="n">
        <f aca="false">MIN(C636,D636)</f>
        <v>575</v>
      </c>
      <c r="F636" s="8" t="n">
        <f aca="false">IF(D636&gt;0,1,0)</f>
        <v>1</v>
      </c>
    </row>
    <row r="637" customFormat="false" ht="15" hidden="false" customHeight="false" outlineLevel="0" collapsed="false">
      <c r="A637" s="8" t="s">
        <v>1741</v>
      </c>
      <c r="B637" s="8" t="s">
        <v>51</v>
      </c>
      <c r="C637" s="30" t="n">
        <v>950</v>
      </c>
      <c r="D637" s="30" t="n">
        <v>1250</v>
      </c>
      <c r="E637" s="30" t="n">
        <f aca="false">MIN(C637,D637)</f>
        <v>950</v>
      </c>
      <c r="F637" s="8" t="n">
        <f aca="false">IF(D637&gt;0,1,0)</f>
        <v>1</v>
      </c>
    </row>
    <row r="638" customFormat="false" ht="15" hidden="false" customHeight="false" outlineLevel="0" collapsed="false">
      <c r="A638" s="8" t="s">
        <v>1861</v>
      </c>
      <c r="B638" s="8" t="s">
        <v>51</v>
      </c>
      <c r="C638" s="30" t="n">
        <v>950</v>
      </c>
      <c r="D638" s="30" t="n">
        <v>950</v>
      </c>
      <c r="E638" s="30" t="n">
        <f aca="false">MIN(C638,D638)</f>
        <v>950</v>
      </c>
      <c r="F638" s="8" t="n">
        <f aca="false">IF(D638&gt;0,1,0)</f>
        <v>1</v>
      </c>
    </row>
    <row r="639" customFormat="false" ht="15" hidden="false" customHeight="false" outlineLevel="0" collapsed="false">
      <c r="A639" s="8" t="s">
        <v>1909</v>
      </c>
      <c r="B639" s="8" t="s">
        <v>51</v>
      </c>
      <c r="C639" s="30" t="n">
        <v>950</v>
      </c>
      <c r="D639" s="30" t="n">
        <v>900</v>
      </c>
      <c r="E639" s="30" t="n">
        <f aca="false">MIN(C639,D639)</f>
        <v>900</v>
      </c>
      <c r="F639" s="8" t="n">
        <f aca="false">IF(D639&gt;0,1,0)</f>
        <v>1</v>
      </c>
    </row>
    <row r="640" customFormat="false" ht="15" hidden="false" customHeight="false" outlineLevel="0" collapsed="false">
      <c r="A640" s="8" t="s">
        <v>1689</v>
      </c>
      <c r="B640" s="8" t="s">
        <v>51</v>
      </c>
      <c r="C640" s="30" t="n">
        <v>950</v>
      </c>
      <c r="D640" s="30" t="n">
        <v>1375</v>
      </c>
      <c r="E640" s="30" t="n">
        <f aca="false">MIN(C640,D640)</f>
        <v>950</v>
      </c>
      <c r="F640" s="8" t="n">
        <f aca="false">IF(D640&gt;0,1,0)</f>
        <v>1</v>
      </c>
    </row>
    <row r="641" customFormat="false" ht="15" hidden="false" customHeight="false" outlineLevel="0" collapsed="false">
      <c r="A641" s="8" t="s">
        <v>1867</v>
      </c>
      <c r="B641" s="8" t="s">
        <v>51</v>
      </c>
      <c r="C641" s="30" t="n">
        <v>950</v>
      </c>
      <c r="D641" s="30" t="n">
        <v>950</v>
      </c>
      <c r="E641" s="30" t="n">
        <f aca="false">MIN(C641,D641)</f>
        <v>950</v>
      </c>
      <c r="F641" s="8" t="n">
        <f aca="false">IF(D641&gt;0,1,0)</f>
        <v>1</v>
      </c>
    </row>
    <row r="642" customFormat="false" ht="15" hidden="false" customHeight="false" outlineLevel="0" collapsed="false">
      <c r="A642" s="8" t="s">
        <v>1761</v>
      </c>
      <c r="B642" s="8" t="s">
        <v>51</v>
      </c>
      <c r="C642" s="30" t="n">
        <v>925</v>
      </c>
      <c r="D642" s="30" t="n">
        <v>1175</v>
      </c>
      <c r="E642" s="30" t="n">
        <f aca="false">MIN(C642,D642)</f>
        <v>925</v>
      </c>
      <c r="F642" s="8" t="n">
        <f aca="false">IF(D642&gt;0,1,0)</f>
        <v>1</v>
      </c>
    </row>
    <row r="643" customFormat="false" ht="15" hidden="false" customHeight="false" outlineLevel="0" collapsed="false">
      <c r="A643" s="8" t="s">
        <v>1873</v>
      </c>
      <c r="B643" s="8" t="s">
        <v>51</v>
      </c>
      <c r="C643" s="30" t="n">
        <v>925</v>
      </c>
      <c r="D643" s="30" t="n">
        <v>925</v>
      </c>
      <c r="E643" s="30" t="n">
        <f aca="false">MIN(C643,D643)</f>
        <v>925</v>
      </c>
      <c r="F643" s="8" t="n">
        <f aca="false">IF(D643&gt;0,1,0)</f>
        <v>1</v>
      </c>
    </row>
    <row r="644" customFormat="false" ht="15" hidden="false" customHeight="false" outlineLevel="0" collapsed="false">
      <c r="A644" s="8" t="s">
        <v>1811</v>
      </c>
      <c r="B644" s="8" t="s">
        <v>51</v>
      </c>
      <c r="C644" s="30" t="n">
        <v>925</v>
      </c>
      <c r="D644" s="30" t="n">
        <v>1025</v>
      </c>
      <c r="E644" s="30" t="n">
        <f aca="false">MIN(C644,D644)</f>
        <v>925</v>
      </c>
      <c r="F644" s="8" t="n">
        <f aca="false">IF(D644&gt;0,1,0)</f>
        <v>1</v>
      </c>
    </row>
    <row r="645" customFormat="false" ht="15" hidden="false" customHeight="false" outlineLevel="0" collapsed="false">
      <c r="A645" s="8" t="s">
        <v>1875</v>
      </c>
      <c r="B645" s="8" t="s">
        <v>51</v>
      </c>
      <c r="C645" s="30" t="n">
        <v>925</v>
      </c>
      <c r="D645" s="30" t="n">
        <v>925</v>
      </c>
      <c r="E645" s="30" t="n">
        <f aca="false">MIN(C645,D645)</f>
        <v>925</v>
      </c>
      <c r="F645" s="8" t="n">
        <f aca="false">IF(D645&gt;0,1,0)</f>
        <v>1</v>
      </c>
    </row>
    <row r="646" customFormat="false" ht="15" hidden="false" customHeight="false" outlineLevel="0" collapsed="false">
      <c r="A646" s="8" t="s">
        <v>1877</v>
      </c>
      <c r="B646" s="8" t="s">
        <v>51</v>
      </c>
      <c r="C646" s="30" t="n">
        <v>925</v>
      </c>
      <c r="D646" s="30" t="n">
        <v>925</v>
      </c>
      <c r="E646" s="30" t="n">
        <f aca="false">MIN(C646,D646)</f>
        <v>925</v>
      </c>
      <c r="F646" s="8" t="n">
        <f aca="false">IF(D646&gt;0,1,0)</f>
        <v>1</v>
      </c>
    </row>
    <row r="647" customFormat="false" ht="15" hidden="false" customHeight="false" outlineLevel="0" collapsed="false">
      <c r="A647" s="8" t="s">
        <v>1881</v>
      </c>
      <c r="B647" s="8" t="s">
        <v>51</v>
      </c>
      <c r="C647" s="30" t="n">
        <v>925</v>
      </c>
      <c r="D647" s="30" t="n">
        <v>925</v>
      </c>
      <c r="E647" s="30" t="n">
        <f aca="false">MIN(C647,D647)</f>
        <v>925</v>
      </c>
      <c r="F647" s="8" t="n">
        <f aca="false">IF(D647&gt;0,1,0)</f>
        <v>1</v>
      </c>
    </row>
    <row r="648" customFormat="false" ht="15" hidden="false" customHeight="false" outlineLevel="0" collapsed="false">
      <c r="A648" s="8" t="s">
        <v>1883</v>
      </c>
      <c r="B648" s="8" t="s">
        <v>51</v>
      </c>
      <c r="C648" s="30" t="n">
        <v>925</v>
      </c>
      <c r="D648" s="30" t="n">
        <v>925</v>
      </c>
      <c r="E648" s="30" t="n">
        <f aca="false">MIN(C648,D648)</f>
        <v>925</v>
      </c>
      <c r="F648" s="8" t="n">
        <f aca="false">IF(D648&gt;0,1,0)</f>
        <v>1</v>
      </c>
    </row>
    <row r="649" customFormat="false" ht="15" hidden="false" customHeight="false" outlineLevel="0" collapsed="false">
      <c r="A649" s="8" t="s">
        <v>1885</v>
      </c>
      <c r="B649" s="8" t="s">
        <v>51</v>
      </c>
      <c r="C649" s="30" t="n">
        <v>925</v>
      </c>
      <c r="D649" s="30" t="n">
        <v>925</v>
      </c>
      <c r="E649" s="30" t="n">
        <f aca="false">MIN(C649,D649)</f>
        <v>925</v>
      </c>
      <c r="F649" s="8" t="n">
        <f aca="false">IF(D649&gt;0,1,0)</f>
        <v>1</v>
      </c>
    </row>
    <row r="650" customFormat="false" ht="15" hidden="false" customHeight="false" outlineLevel="0" collapsed="false">
      <c r="A650" s="8" t="s">
        <v>1887</v>
      </c>
      <c r="B650" s="8" t="s">
        <v>51</v>
      </c>
      <c r="C650" s="30" t="n">
        <v>925</v>
      </c>
      <c r="D650" s="30" t="n">
        <v>925</v>
      </c>
      <c r="E650" s="30" t="n">
        <f aca="false">MIN(C650,D650)</f>
        <v>925</v>
      </c>
      <c r="F650" s="8" t="n">
        <f aca="false">IF(D650&gt;0,1,0)</f>
        <v>1</v>
      </c>
    </row>
    <row r="651" customFormat="false" ht="15" hidden="false" customHeight="false" outlineLevel="0" collapsed="false">
      <c r="A651" s="8" t="s">
        <v>1893</v>
      </c>
      <c r="B651" s="8" t="s">
        <v>51</v>
      </c>
      <c r="C651" s="30" t="n">
        <v>925</v>
      </c>
      <c r="D651" s="30" t="n">
        <v>925</v>
      </c>
      <c r="E651" s="30" t="n">
        <f aca="false">MIN(C651,D651)</f>
        <v>925</v>
      </c>
      <c r="F651" s="8" t="n">
        <f aca="false">IF(D651&gt;0,1,0)</f>
        <v>1</v>
      </c>
    </row>
    <row r="652" customFormat="false" ht="15" hidden="false" customHeight="false" outlineLevel="0" collapsed="false">
      <c r="A652" s="8" t="s">
        <v>1759</v>
      </c>
      <c r="B652" s="8" t="s">
        <v>51</v>
      </c>
      <c r="C652" s="30" t="n">
        <v>925</v>
      </c>
      <c r="D652" s="30" t="n">
        <v>1200</v>
      </c>
      <c r="E652" s="30" t="n">
        <f aca="false">MIN(C652,D652)</f>
        <v>925</v>
      </c>
      <c r="F652" s="8" t="n">
        <f aca="false">IF(D652&gt;0,1,0)</f>
        <v>1</v>
      </c>
    </row>
    <row r="653" customFormat="false" ht="15" hidden="false" customHeight="false" outlineLevel="0" collapsed="false">
      <c r="A653" s="8" t="s">
        <v>1895</v>
      </c>
      <c r="B653" s="8" t="s">
        <v>51</v>
      </c>
      <c r="C653" s="30" t="n">
        <v>900</v>
      </c>
      <c r="D653" s="30" t="n">
        <v>900</v>
      </c>
      <c r="E653" s="30" t="n">
        <f aca="false">MIN(C653,D653)</f>
        <v>900</v>
      </c>
      <c r="F653" s="8" t="n">
        <f aca="false">IF(D653&gt;0,1,0)</f>
        <v>1</v>
      </c>
    </row>
    <row r="654" customFormat="false" ht="15" hidden="false" customHeight="false" outlineLevel="0" collapsed="false">
      <c r="A654" s="8" t="s">
        <v>1899</v>
      </c>
      <c r="B654" s="8" t="s">
        <v>51</v>
      </c>
      <c r="C654" s="30" t="n">
        <v>900</v>
      </c>
      <c r="D654" s="30" t="n">
        <v>900</v>
      </c>
      <c r="E654" s="30" t="n">
        <f aca="false">MIN(C654,D654)</f>
        <v>900</v>
      </c>
      <c r="F654" s="8" t="n">
        <f aca="false">IF(D654&gt;0,1,0)</f>
        <v>1</v>
      </c>
    </row>
    <row r="655" customFormat="false" ht="15" hidden="false" customHeight="false" outlineLevel="0" collapsed="false">
      <c r="A655" s="8" t="s">
        <v>1901</v>
      </c>
      <c r="B655" s="8" t="s">
        <v>51</v>
      </c>
      <c r="C655" s="30" t="n">
        <v>900</v>
      </c>
      <c r="D655" s="30" t="n">
        <v>900</v>
      </c>
      <c r="E655" s="30" t="n">
        <f aca="false">MIN(C655,D655)</f>
        <v>900</v>
      </c>
      <c r="F655" s="8" t="n">
        <f aca="false">IF(D655&gt;0,1,0)</f>
        <v>1</v>
      </c>
    </row>
    <row r="656" customFormat="false" ht="15" hidden="false" customHeight="false" outlineLevel="0" collapsed="false">
      <c r="A656" s="8" t="s">
        <v>2122</v>
      </c>
      <c r="B656" s="8" t="s">
        <v>51</v>
      </c>
      <c r="C656" s="30" t="n">
        <v>900</v>
      </c>
      <c r="D656" s="30" t="n">
        <v>675</v>
      </c>
      <c r="E656" s="30" t="n">
        <f aca="false">MIN(C656,D656)</f>
        <v>675</v>
      </c>
      <c r="F656" s="8" t="n">
        <f aca="false">IF(D656&gt;0,1,0)</f>
        <v>1</v>
      </c>
    </row>
    <row r="657" customFormat="false" ht="15" hidden="false" customHeight="false" outlineLevel="0" collapsed="false">
      <c r="A657" s="8" t="s">
        <v>4482</v>
      </c>
      <c r="B657" s="8" t="s">
        <v>51</v>
      </c>
      <c r="C657" s="30" t="n">
        <v>900</v>
      </c>
      <c r="D657" s="30" t="n">
        <v>0</v>
      </c>
      <c r="E657" s="30" t="n">
        <f aca="false">MIN(C657,D657)</f>
        <v>0</v>
      </c>
      <c r="F657" s="8" t="n">
        <f aca="false">IF(D657&gt;0,1,0)</f>
        <v>0</v>
      </c>
    </row>
    <row r="658" customFormat="false" ht="15" hidden="false" customHeight="false" outlineLevel="0" collapsed="false">
      <c r="A658" s="8" t="s">
        <v>1807</v>
      </c>
      <c r="B658" s="8" t="s">
        <v>51</v>
      </c>
      <c r="C658" s="30" t="n">
        <v>900</v>
      </c>
      <c r="D658" s="30" t="n">
        <v>1050</v>
      </c>
      <c r="E658" s="30" t="n">
        <f aca="false">MIN(C658,D658)</f>
        <v>900</v>
      </c>
      <c r="F658" s="8" t="n">
        <f aca="false">IF(D658&gt;0,1,0)</f>
        <v>1</v>
      </c>
    </row>
    <row r="659" customFormat="false" ht="15" hidden="false" customHeight="false" outlineLevel="0" collapsed="false">
      <c r="A659" s="8" t="s">
        <v>1913</v>
      </c>
      <c r="B659" s="8" t="s">
        <v>51</v>
      </c>
      <c r="C659" s="30" t="n">
        <v>900</v>
      </c>
      <c r="D659" s="30" t="n">
        <v>900</v>
      </c>
      <c r="E659" s="30" t="n">
        <f aca="false">MIN(C659,D659)</f>
        <v>900</v>
      </c>
      <c r="F659" s="8" t="n">
        <f aca="false">IF(D659&gt;0,1,0)</f>
        <v>1</v>
      </c>
    </row>
    <row r="660" customFormat="false" ht="15" hidden="false" customHeight="false" outlineLevel="0" collapsed="false">
      <c r="A660" s="8" t="s">
        <v>1785</v>
      </c>
      <c r="B660" s="8" t="s">
        <v>51</v>
      </c>
      <c r="C660" s="30" t="n">
        <v>900</v>
      </c>
      <c r="D660" s="30" t="n">
        <v>1125</v>
      </c>
      <c r="E660" s="30" t="n">
        <f aca="false">MIN(C660,D660)</f>
        <v>900</v>
      </c>
      <c r="F660" s="8" t="n">
        <f aca="false">IF(D660&gt;0,1,0)</f>
        <v>1</v>
      </c>
    </row>
    <row r="661" customFormat="false" ht="15" hidden="false" customHeight="false" outlineLevel="0" collapsed="false">
      <c r="A661" s="8" t="s">
        <v>1809</v>
      </c>
      <c r="B661" s="8" t="s">
        <v>51</v>
      </c>
      <c r="C661" s="30" t="n">
        <v>900</v>
      </c>
      <c r="D661" s="30" t="n">
        <v>1050</v>
      </c>
      <c r="E661" s="30" t="n">
        <f aca="false">MIN(C661,D661)</f>
        <v>900</v>
      </c>
      <c r="F661" s="8" t="n">
        <f aca="false">IF(D661&gt;0,1,0)</f>
        <v>1</v>
      </c>
    </row>
    <row r="662" customFormat="false" ht="15" hidden="false" customHeight="false" outlineLevel="0" collapsed="false">
      <c r="A662" s="8" t="s">
        <v>1915</v>
      </c>
      <c r="B662" s="8" t="s">
        <v>51</v>
      </c>
      <c r="C662" s="30" t="n">
        <v>875</v>
      </c>
      <c r="D662" s="30" t="n">
        <v>875</v>
      </c>
      <c r="E662" s="30" t="n">
        <f aca="false">MIN(C662,D662)</f>
        <v>875</v>
      </c>
      <c r="F662" s="8" t="n">
        <f aca="false">IF(D662&gt;0,1,0)</f>
        <v>1</v>
      </c>
    </row>
    <row r="663" customFormat="false" ht="15" hidden="false" customHeight="false" outlineLevel="0" collapsed="false">
      <c r="A663" s="8" t="s">
        <v>1919</v>
      </c>
      <c r="B663" s="8" t="s">
        <v>51</v>
      </c>
      <c r="C663" s="30" t="n">
        <v>875</v>
      </c>
      <c r="D663" s="30" t="n">
        <v>875</v>
      </c>
      <c r="E663" s="30" t="n">
        <f aca="false">MIN(C663,D663)</f>
        <v>875</v>
      </c>
      <c r="F663" s="8" t="n">
        <f aca="false">IF(D663&gt;0,1,0)</f>
        <v>1</v>
      </c>
    </row>
    <row r="664" customFormat="false" ht="15" hidden="false" customHeight="false" outlineLevel="0" collapsed="false">
      <c r="A664" s="8" t="s">
        <v>2118</v>
      </c>
      <c r="B664" s="8" t="s">
        <v>51</v>
      </c>
      <c r="C664" s="30" t="n">
        <v>875</v>
      </c>
      <c r="D664" s="30" t="n">
        <v>675</v>
      </c>
      <c r="E664" s="30" t="n">
        <f aca="false">MIN(C664,D664)</f>
        <v>675</v>
      </c>
      <c r="F664" s="8" t="n">
        <f aca="false">IF(D664&gt;0,1,0)</f>
        <v>1</v>
      </c>
    </row>
    <row r="665" customFormat="false" ht="15" hidden="false" customHeight="false" outlineLevel="0" collapsed="false">
      <c r="A665" s="8" t="s">
        <v>1923</v>
      </c>
      <c r="B665" s="8" t="s">
        <v>51</v>
      </c>
      <c r="C665" s="30" t="n">
        <v>875</v>
      </c>
      <c r="D665" s="30" t="n">
        <v>875</v>
      </c>
      <c r="E665" s="30" t="n">
        <f aca="false">MIN(C665,D665)</f>
        <v>875</v>
      </c>
      <c r="F665" s="8" t="n">
        <f aca="false">IF(D665&gt;0,1,0)</f>
        <v>1</v>
      </c>
    </row>
    <row r="666" customFormat="false" ht="15" hidden="false" customHeight="false" outlineLevel="0" collapsed="false">
      <c r="A666" s="8" t="s">
        <v>1793</v>
      </c>
      <c r="B666" s="8" t="s">
        <v>51</v>
      </c>
      <c r="C666" s="30" t="n">
        <v>875</v>
      </c>
      <c r="D666" s="30" t="n">
        <v>1100</v>
      </c>
      <c r="E666" s="30" t="n">
        <f aca="false">MIN(C666,D666)</f>
        <v>875</v>
      </c>
      <c r="F666" s="8" t="n">
        <f aca="false">IF(D666&gt;0,1,0)</f>
        <v>1</v>
      </c>
    </row>
    <row r="667" customFormat="false" ht="15" hidden="false" customHeight="false" outlineLevel="0" collapsed="false">
      <c r="A667" s="8" t="s">
        <v>1927</v>
      </c>
      <c r="B667" s="8" t="s">
        <v>51</v>
      </c>
      <c r="C667" s="30" t="n">
        <v>875</v>
      </c>
      <c r="D667" s="30" t="n">
        <v>875</v>
      </c>
      <c r="E667" s="30" t="n">
        <f aca="false">MIN(C667,D667)</f>
        <v>875</v>
      </c>
      <c r="F667" s="8" t="n">
        <f aca="false">IF(D667&gt;0,1,0)</f>
        <v>1</v>
      </c>
    </row>
    <row r="668" customFormat="false" ht="15" hidden="false" customHeight="false" outlineLevel="0" collapsed="false">
      <c r="A668" s="8" t="s">
        <v>1937</v>
      </c>
      <c r="B668" s="8" t="s">
        <v>51</v>
      </c>
      <c r="C668" s="30" t="n">
        <v>850</v>
      </c>
      <c r="D668" s="30" t="n">
        <v>850</v>
      </c>
      <c r="E668" s="30" t="n">
        <f aca="false">MIN(C668,D668)</f>
        <v>850</v>
      </c>
      <c r="F668" s="8" t="n">
        <f aca="false">IF(D668&gt;0,1,0)</f>
        <v>1</v>
      </c>
    </row>
    <row r="669" customFormat="false" ht="15" hidden="false" customHeight="false" outlineLevel="0" collapsed="false">
      <c r="A669" s="8" t="s">
        <v>1943</v>
      </c>
      <c r="B669" s="8" t="s">
        <v>51</v>
      </c>
      <c r="C669" s="30" t="n">
        <v>850</v>
      </c>
      <c r="D669" s="30" t="n">
        <v>850</v>
      </c>
      <c r="E669" s="30" t="n">
        <f aca="false">MIN(C669,D669)</f>
        <v>850</v>
      </c>
      <c r="F669" s="8" t="n">
        <f aca="false">IF(D669&gt;0,1,0)</f>
        <v>1</v>
      </c>
    </row>
    <row r="670" customFormat="false" ht="15" hidden="false" customHeight="false" outlineLevel="0" collapsed="false">
      <c r="A670" s="8" t="s">
        <v>1945</v>
      </c>
      <c r="B670" s="8" t="s">
        <v>51</v>
      </c>
      <c r="C670" s="30" t="n">
        <v>850</v>
      </c>
      <c r="D670" s="30" t="n">
        <v>850</v>
      </c>
      <c r="E670" s="30" t="n">
        <f aca="false">MIN(C670,D670)</f>
        <v>850</v>
      </c>
      <c r="F670" s="8" t="n">
        <f aca="false">IF(D670&gt;0,1,0)</f>
        <v>1</v>
      </c>
    </row>
    <row r="671" customFormat="false" ht="15" hidden="false" customHeight="false" outlineLevel="0" collapsed="false">
      <c r="A671" s="8" t="s">
        <v>1949</v>
      </c>
      <c r="B671" s="8" t="s">
        <v>51</v>
      </c>
      <c r="C671" s="30" t="n">
        <v>850</v>
      </c>
      <c r="D671" s="30" t="n">
        <v>850</v>
      </c>
      <c r="E671" s="30" t="n">
        <f aca="false">MIN(C671,D671)</f>
        <v>850</v>
      </c>
      <c r="F671" s="8" t="n">
        <f aca="false">IF(D671&gt;0,1,0)</f>
        <v>1</v>
      </c>
    </row>
    <row r="672" customFormat="false" ht="15" hidden="false" customHeight="false" outlineLevel="0" collapsed="false">
      <c r="A672" s="8" t="s">
        <v>1953</v>
      </c>
      <c r="B672" s="8" t="s">
        <v>51</v>
      </c>
      <c r="C672" s="30" t="n">
        <v>850</v>
      </c>
      <c r="D672" s="30" t="n">
        <v>850</v>
      </c>
      <c r="E672" s="30" t="n">
        <f aca="false">MIN(C672,D672)</f>
        <v>850</v>
      </c>
      <c r="F672" s="8" t="n">
        <f aca="false">IF(D672&gt;0,1,0)</f>
        <v>1</v>
      </c>
    </row>
    <row r="673" customFormat="false" ht="15" hidden="false" customHeight="false" outlineLevel="0" collapsed="false">
      <c r="A673" s="8" t="s">
        <v>1959</v>
      </c>
      <c r="B673" s="8" t="s">
        <v>51</v>
      </c>
      <c r="C673" s="30" t="n">
        <v>850</v>
      </c>
      <c r="D673" s="30" t="n">
        <v>850</v>
      </c>
      <c r="E673" s="30" t="n">
        <f aca="false">MIN(C673,D673)</f>
        <v>850</v>
      </c>
      <c r="F673" s="8" t="n">
        <f aca="false">IF(D673&gt;0,1,0)</f>
        <v>1</v>
      </c>
    </row>
    <row r="674" customFormat="false" ht="15" hidden="false" customHeight="false" outlineLevel="0" collapsed="false">
      <c r="A674" s="8" t="s">
        <v>1961</v>
      </c>
      <c r="B674" s="8" t="s">
        <v>51</v>
      </c>
      <c r="C674" s="30" t="n">
        <v>850</v>
      </c>
      <c r="D674" s="30" t="n">
        <v>850</v>
      </c>
      <c r="E674" s="30" t="n">
        <f aca="false">MIN(C674,D674)</f>
        <v>850</v>
      </c>
      <c r="F674" s="8" t="n">
        <f aca="false">IF(D674&gt;0,1,0)</f>
        <v>1</v>
      </c>
    </row>
    <row r="675" customFormat="false" ht="15" hidden="false" customHeight="false" outlineLevel="0" collapsed="false">
      <c r="A675" s="8" t="s">
        <v>1963</v>
      </c>
      <c r="B675" s="8" t="s">
        <v>51</v>
      </c>
      <c r="C675" s="30" t="n">
        <v>850</v>
      </c>
      <c r="D675" s="30" t="n">
        <v>850</v>
      </c>
      <c r="E675" s="30" t="n">
        <f aca="false">MIN(C675,D675)</f>
        <v>850</v>
      </c>
      <c r="F675" s="8" t="n">
        <f aca="false">IF(D675&gt;0,1,0)</f>
        <v>1</v>
      </c>
    </row>
    <row r="676" customFormat="false" ht="15" hidden="false" customHeight="false" outlineLevel="0" collapsed="false">
      <c r="A676" s="8" t="s">
        <v>1801</v>
      </c>
      <c r="B676" s="8" t="s">
        <v>51</v>
      </c>
      <c r="C676" s="30" t="n">
        <v>825</v>
      </c>
      <c r="D676" s="30" t="n">
        <v>1050</v>
      </c>
      <c r="E676" s="30" t="n">
        <f aca="false">MIN(C676,D676)</f>
        <v>825</v>
      </c>
      <c r="F676" s="8" t="n">
        <f aca="false">IF(D676&gt;0,1,0)</f>
        <v>1</v>
      </c>
    </row>
    <row r="677" customFormat="false" ht="15" hidden="false" customHeight="false" outlineLevel="0" collapsed="false">
      <c r="A677" s="8" t="s">
        <v>1967</v>
      </c>
      <c r="B677" s="8" t="s">
        <v>51</v>
      </c>
      <c r="C677" s="30" t="n">
        <v>825</v>
      </c>
      <c r="D677" s="30" t="n">
        <v>825</v>
      </c>
      <c r="E677" s="30" t="n">
        <f aca="false">MIN(C677,D677)</f>
        <v>825</v>
      </c>
      <c r="F677" s="8" t="n">
        <f aca="false">IF(D677&gt;0,1,0)</f>
        <v>1</v>
      </c>
    </row>
    <row r="678" customFormat="false" ht="15" hidden="false" customHeight="false" outlineLevel="0" collapsed="false">
      <c r="A678" s="8" t="s">
        <v>1969</v>
      </c>
      <c r="B678" s="8" t="s">
        <v>51</v>
      </c>
      <c r="C678" s="30" t="n">
        <v>825</v>
      </c>
      <c r="D678" s="30" t="n">
        <v>825</v>
      </c>
      <c r="E678" s="30" t="n">
        <f aca="false">MIN(C678,D678)</f>
        <v>825</v>
      </c>
      <c r="F678" s="8" t="n">
        <f aca="false">IF(D678&gt;0,1,0)</f>
        <v>1</v>
      </c>
    </row>
    <row r="679" customFormat="false" ht="15" hidden="false" customHeight="false" outlineLevel="0" collapsed="false">
      <c r="A679" s="8" t="s">
        <v>1973</v>
      </c>
      <c r="B679" s="8" t="s">
        <v>51</v>
      </c>
      <c r="C679" s="30" t="n">
        <v>825</v>
      </c>
      <c r="D679" s="30" t="n">
        <v>825</v>
      </c>
      <c r="E679" s="30" t="n">
        <f aca="false">MIN(C679,D679)</f>
        <v>825</v>
      </c>
      <c r="F679" s="8" t="n">
        <f aca="false">IF(D679&gt;0,1,0)</f>
        <v>1</v>
      </c>
    </row>
    <row r="680" customFormat="false" ht="15" hidden="false" customHeight="false" outlineLevel="0" collapsed="false">
      <c r="A680" s="8" t="s">
        <v>4483</v>
      </c>
      <c r="B680" s="8" t="s">
        <v>51</v>
      </c>
      <c r="C680" s="30" t="n">
        <v>825</v>
      </c>
      <c r="D680" s="30" t="n">
        <v>0</v>
      </c>
      <c r="E680" s="30" t="n">
        <f aca="false">MIN(C680,D680)</f>
        <v>0</v>
      </c>
      <c r="F680" s="8" t="n">
        <f aca="false">IF(D680&gt;0,1,0)</f>
        <v>0</v>
      </c>
    </row>
    <row r="681" customFormat="false" ht="15" hidden="false" customHeight="false" outlineLevel="0" collapsed="false">
      <c r="A681" s="8" t="s">
        <v>1865</v>
      </c>
      <c r="B681" s="8" t="s">
        <v>51</v>
      </c>
      <c r="C681" s="30" t="n">
        <v>825</v>
      </c>
      <c r="D681" s="30" t="n">
        <v>950</v>
      </c>
      <c r="E681" s="30" t="n">
        <f aca="false">MIN(C681,D681)</f>
        <v>825</v>
      </c>
      <c r="F681" s="8" t="n">
        <f aca="false">IF(D681&gt;0,1,0)</f>
        <v>1</v>
      </c>
    </row>
    <row r="682" customFormat="false" ht="15" hidden="false" customHeight="false" outlineLevel="0" collapsed="false">
      <c r="A682" s="8" t="s">
        <v>1977</v>
      </c>
      <c r="B682" s="8" t="s">
        <v>51</v>
      </c>
      <c r="C682" s="30" t="n">
        <v>825</v>
      </c>
      <c r="D682" s="30" t="n">
        <v>825</v>
      </c>
      <c r="E682" s="30" t="n">
        <f aca="false">MIN(C682,D682)</f>
        <v>825</v>
      </c>
      <c r="F682" s="8" t="n">
        <f aca="false">IF(D682&gt;0,1,0)</f>
        <v>1</v>
      </c>
    </row>
    <row r="683" customFormat="false" ht="15" hidden="false" customHeight="false" outlineLevel="0" collapsed="false">
      <c r="A683" s="8" t="s">
        <v>1983</v>
      </c>
      <c r="B683" s="8" t="s">
        <v>51</v>
      </c>
      <c r="C683" s="30" t="n">
        <v>800</v>
      </c>
      <c r="D683" s="30" t="n">
        <v>800</v>
      </c>
      <c r="E683" s="30" t="n">
        <f aca="false">MIN(C683,D683)</f>
        <v>800</v>
      </c>
      <c r="F683" s="8" t="n">
        <f aca="false">IF(D683&gt;0,1,0)</f>
        <v>1</v>
      </c>
    </row>
    <row r="684" customFormat="false" ht="15" hidden="false" customHeight="false" outlineLevel="0" collapsed="false">
      <c r="A684" s="8" t="s">
        <v>1985</v>
      </c>
      <c r="B684" s="8" t="s">
        <v>51</v>
      </c>
      <c r="C684" s="30" t="n">
        <v>800</v>
      </c>
      <c r="D684" s="30" t="n">
        <v>800</v>
      </c>
      <c r="E684" s="30" t="n">
        <f aca="false">MIN(C684,D684)</f>
        <v>800</v>
      </c>
      <c r="F684" s="8" t="n">
        <f aca="false">IF(D684&gt;0,1,0)</f>
        <v>1</v>
      </c>
    </row>
    <row r="685" customFormat="false" ht="15" hidden="false" customHeight="false" outlineLevel="0" collapsed="false">
      <c r="A685" s="8" t="s">
        <v>1989</v>
      </c>
      <c r="B685" s="8" t="s">
        <v>51</v>
      </c>
      <c r="C685" s="30" t="n">
        <v>800</v>
      </c>
      <c r="D685" s="30" t="n">
        <v>800</v>
      </c>
      <c r="E685" s="30" t="n">
        <f aca="false">MIN(C685,D685)</f>
        <v>800</v>
      </c>
      <c r="F685" s="8" t="n">
        <f aca="false">IF(D685&gt;0,1,0)</f>
        <v>1</v>
      </c>
    </row>
    <row r="686" customFormat="false" ht="15" hidden="false" customHeight="false" outlineLevel="0" collapsed="false">
      <c r="A686" s="8" t="s">
        <v>1995</v>
      </c>
      <c r="B686" s="8" t="s">
        <v>51</v>
      </c>
      <c r="C686" s="30" t="n">
        <v>800</v>
      </c>
      <c r="D686" s="30" t="n">
        <v>800</v>
      </c>
      <c r="E686" s="30" t="n">
        <f aca="false">MIN(C686,D686)</f>
        <v>800</v>
      </c>
      <c r="F686" s="8" t="n">
        <f aca="false">IF(D686&gt;0,1,0)</f>
        <v>1</v>
      </c>
    </row>
    <row r="687" customFormat="false" ht="15" hidden="false" customHeight="false" outlineLevel="0" collapsed="false">
      <c r="A687" s="8" t="s">
        <v>2144</v>
      </c>
      <c r="B687" s="8" t="s">
        <v>51</v>
      </c>
      <c r="C687" s="30" t="n">
        <v>800</v>
      </c>
      <c r="D687" s="30" t="n">
        <v>675</v>
      </c>
      <c r="E687" s="30" t="n">
        <f aca="false">MIN(C687,D687)</f>
        <v>675</v>
      </c>
      <c r="F687" s="8" t="n">
        <f aca="false">IF(D687&gt;0,1,0)</f>
        <v>1</v>
      </c>
    </row>
    <row r="688" customFormat="false" ht="15" hidden="false" customHeight="false" outlineLevel="0" collapsed="false">
      <c r="A688" s="8" t="s">
        <v>1999</v>
      </c>
      <c r="B688" s="8" t="s">
        <v>51</v>
      </c>
      <c r="C688" s="30" t="n">
        <v>800</v>
      </c>
      <c r="D688" s="30" t="n">
        <v>800</v>
      </c>
      <c r="E688" s="30" t="n">
        <f aca="false">MIN(C688,D688)</f>
        <v>800</v>
      </c>
      <c r="F688" s="8" t="n">
        <f aca="false">IF(D688&gt;0,1,0)</f>
        <v>1</v>
      </c>
    </row>
    <row r="689" customFormat="false" ht="15" hidden="false" customHeight="false" outlineLevel="0" collapsed="false">
      <c r="A689" s="8" t="s">
        <v>1939</v>
      </c>
      <c r="B689" s="8" t="s">
        <v>51</v>
      </c>
      <c r="C689" s="30" t="n">
        <v>775</v>
      </c>
      <c r="D689" s="30" t="n">
        <v>850</v>
      </c>
      <c r="E689" s="30" t="n">
        <f aca="false">MIN(C689,D689)</f>
        <v>775</v>
      </c>
      <c r="F689" s="8" t="n">
        <f aca="false">IF(D689&gt;0,1,0)</f>
        <v>1</v>
      </c>
    </row>
    <row r="690" customFormat="false" ht="15" hidden="false" customHeight="false" outlineLevel="0" collapsed="false">
      <c r="A690" s="8" t="s">
        <v>1833</v>
      </c>
      <c r="B690" s="8" t="s">
        <v>51</v>
      </c>
      <c r="C690" s="30" t="n">
        <v>775</v>
      </c>
      <c r="D690" s="30" t="n">
        <v>975</v>
      </c>
      <c r="E690" s="30" t="n">
        <f aca="false">MIN(C690,D690)</f>
        <v>775</v>
      </c>
      <c r="F690" s="8" t="n">
        <f aca="false">IF(D690&gt;0,1,0)</f>
        <v>1</v>
      </c>
    </row>
    <row r="691" customFormat="false" ht="15" hidden="false" customHeight="false" outlineLevel="0" collapsed="false">
      <c r="A691" s="8" t="s">
        <v>2005</v>
      </c>
      <c r="B691" s="8" t="s">
        <v>51</v>
      </c>
      <c r="C691" s="30" t="n">
        <v>775</v>
      </c>
      <c r="D691" s="30" t="n">
        <v>775</v>
      </c>
      <c r="E691" s="30" t="n">
        <f aca="false">MIN(C691,D691)</f>
        <v>775</v>
      </c>
      <c r="F691" s="8" t="n">
        <f aca="false">IF(D691&gt;0,1,0)</f>
        <v>1</v>
      </c>
    </row>
    <row r="692" customFormat="false" ht="15" hidden="false" customHeight="false" outlineLevel="0" collapsed="false">
      <c r="A692" s="8" t="s">
        <v>2007</v>
      </c>
      <c r="B692" s="8" t="s">
        <v>51</v>
      </c>
      <c r="C692" s="30" t="n">
        <v>775</v>
      </c>
      <c r="D692" s="30" t="n">
        <v>775</v>
      </c>
      <c r="E692" s="30" t="n">
        <f aca="false">MIN(C692,D692)</f>
        <v>775</v>
      </c>
      <c r="F692" s="8" t="n">
        <f aca="false">IF(D692&gt;0,1,0)</f>
        <v>1</v>
      </c>
    </row>
    <row r="693" customFormat="false" ht="15" hidden="false" customHeight="false" outlineLevel="0" collapsed="false">
      <c r="A693" s="8" t="s">
        <v>1821</v>
      </c>
      <c r="B693" s="8" t="s">
        <v>51</v>
      </c>
      <c r="C693" s="30" t="n">
        <v>775</v>
      </c>
      <c r="D693" s="30" t="n">
        <v>1000</v>
      </c>
      <c r="E693" s="30" t="n">
        <f aca="false">MIN(C693,D693)</f>
        <v>775</v>
      </c>
      <c r="F693" s="8" t="n">
        <f aca="false">IF(D693&gt;0,1,0)</f>
        <v>1</v>
      </c>
    </row>
    <row r="694" customFormat="false" ht="15" hidden="false" customHeight="false" outlineLevel="0" collapsed="false">
      <c r="A694" s="8" t="s">
        <v>2009</v>
      </c>
      <c r="B694" s="8" t="s">
        <v>51</v>
      </c>
      <c r="C694" s="30" t="n">
        <v>775</v>
      </c>
      <c r="D694" s="30" t="n">
        <v>775</v>
      </c>
      <c r="E694" s="30" t="n">
        <f aca="false">MIN(C694,D694)</f>
        <v>775</v>
      </c>
      <c r="F694" s="8" t="n">
        <f aca="false">IF(D694&gt;0,1,0)</f>
        <v>1</v>
      </c>
    </row>
    <row r="695" customFormat="false" ht="15" hidden="false" customHeight="false" outlineLevel="0" collapsed="false">
      <c r="A695" s="8" t="s">
        <v>2011</v>
      </c>
      <c r="B695" s="8" t="s">
        <v>51</v>
      </c>
      <c r="C695" s="30" t="n">
        <v>775</v>
      </c>
      <c r="D695" s="30" t="n">
        <v>775</v>
      </c>
      <c r="E695" s="30" t="n">
        <f aca="false">MIN(C695,D695)</f>
        <v>775</v>
      </c>
      <c r="F695" s="8" t="n">
        <f aca="false">IF(D695&gt;0,1,0)</f>
        <v>1</v>
      </c>
    </row>
    <row r="696" customFormat="false" ht="15" hidden="false" customHeight="false" outlineLevel="0" collapsed="false">
      <c r="A696" s="8" t="s">
        <v>2013</v>
      </c>
      <c r="B696" s="8" t="s">
        <v>51</v>
      </c>
      <c r="C696" s="30" t="n">
        <v>775</v>
      </c>
      <c r="D696" s="30" t="n">
        <v>775</v>
      </c>
      <c r="E696" s="30" t="n">
        <f aca="false">MIN(C696,D696)</f>
        <v>775</v>
      </c>
      <c r="F696" s="8" t="n">
        <f aca="false">IF(D696&gt;0,1,0)</f>
        <v>1</v>
      </c>
    </row>
    <row r="697" customFormat="false" ht="15" hidden="false" customHeight="false" outlineLevel="0" collapsed="false">
      <c r="A697" s="8" t="s">
        <v>4484</v>
      </c>
      <c r="B697" s="8" t="s">
        <v>51</v>
      </c>
      <c r="C697" s="30" t="n">
        <v>775</v>
      </c>
      <c r="D697" s="30" t="n">
        <v>0</v>
      </c>
      <c r="E697" s="30" t="n">
        <f aca="false">MIN(C697,D697)</f>
        <v>0</v>
      </c>
      <c r="F697" s="8" t="n">
        <f aca="false">IF(D697&gt;0,1,0)</f>
        <v>0</v>
      </c>
    </row>
    <row r="698" customFormat="false" ht="15" hidden="false" customHeight="false" outlineLevel="0" collapsed="false">
      <c r="A698" s="8" t="s">
        <v>2015</v>
      </c>
      <c r="B698" s="8" t="s">
        <v>51</v>
      </c>
      <c r="C698" s="30" t="n">
        <v>775</v>
      </c>
      <c r="D698" s="30" t="n">
        <v>775</v>
      </c>
      <c r="E698" s="30" t="n">
        <f aca="false">MIN(C698,D698)</f>
        <v>775</v>
      </c>
      <c r="F698" s="8" t="n">
        <f aca="false">IF(D698&gt;0,1,0)</f>
        <v>1</v>
      </c>
    </row>
    <row r="699" customFormat="false" ht="15" hidden="false" customHeight="false" outlineLevel="0" collapsed="false">
      <c r="A699" s="8" t="s">
        <v>2021</v>
      </c>
      <c r="B699" s="8" t="s">
        <v>51</v>
      </c>
      <c r="C699" s="30" t="n">
        <v>775</v>
      </c>
      <c r="D699" s="30" t="n">
        <v>775</v>
      </c>
      <c r="E699" s="30" t="n">
        <f aca="false">MIN(C699,D699)</f>
        <v>775</v>
      </c>
      <c r="F699" s="8" t="n">
        <f aca="false">IF(D699&gt;0,1,0)</f>
        <v>1</v>
      </c>
    </row>
    <row r="700" customFormat="false" ht="15" hidden="false" customHeight="false" outlineLevel="0" collapsed="false">
      <c r="A700" s="8" t="s">
        <v>2023</v>
      </c>
      <c r="B700" s="8" t="s">
        <v>51</v>
      </c>
      <c r="C700" s="30" t="n">
        <v>775</v>
      </c>
      <c r="D700" s="30" t="n">
        <v>775</v>
      </c>
      <c r="E700" s="30" t="n">
        <f aca="false">MIN(C700,D700)</f>
        <v>775</v>
      </c>
      <c r="F700" s="8" t="n">
        <f aca="false">IF(D700&gt;0,1,0)</f>
        <v>1</v>
      </c>
    </row>
    <row r="701" customFormat="false" ht="15" hidden="false" customHeight="false" outlineLevel="0" collapsed="false">
      <c r="A701" s="8" t="s">
        <v>1911</v>
      </c>
      <c r="B701" s="8" t="s">
        <v>51</v>
      </c>
      <c r="C701" s="30" t="n">
        <v>775</v>
      </c>
      <c r="D701" s="30" t="n">
        <v>900</v>
      </c>
      <c r="E701" s="30" t="n">
        <f aca="false">MIN(C701,D701)</f>
        <v>775</v>
      </c>
      <c r="F701" s="8" t="n">
        <f aca="false">IF(D701&gt;0,1,0)</f>
        <v>1</v>
      </c>
    </row>
    <row r="702" customFormat="false" ht="15" hidden="false" customHeight="false" outlineLevel="0" collapsed="false">
      <c r="A702" s="8" t="s">
        <v>2034</v>
      </c>
      <c r="B702" s="8" t="s">
        <v>51</v>
      </c>
      <c r="C702" s="30" t="n">
        <v>750</v>
      </c>
      <c r="D702" s="30" t="n">
        <v>750</v>
      </c>
      <c r="E702" s="30" t="n">
        <f aca="false">MIN(C702,D702)</f>
        <v>750</v>
      </c>
      <c r="F702" s="8" t="n">
        <f aca="false">IF(D702&gt;0,1,0)</f>
        <v>1</v>
      </c>
    </row>
    <row r="703" customFormat="false" ht="15" hidden="false" customHeight="false" outlineLevel="0" collapsed="false">
      <c r="A703" s="8" t="s">
        <v>2036</v>
      </c>
      <c r="B703" s="8" t="s">
        <v>51</v>
      </c>
      <c r="C703" s="30" t="n">
        <v>750</v>
      </c>
      <c r="D703" s="30" t="n">
        <v>750</v>
      </c>
      <c r="E703" s="30" t="n">
        <f aca="false">MIN(C703,D703)</f>
        <v>750</v>
      </c>
      <c r="F703" s="8" t="n">
        <f aca="false">IF(D703&gt;0,1,0)</f>
        <v>1</v>
      </c>
    </row>
    <row r="704" customFormat="false" ht="15" hidden="false" customHeight="false" outlineLevel="0" collapsed="false">
      <c r="A704" s="8" t="s">
        <v>2160</v>
      </c>
      <c r="B704" s="8" t="s">
        <v>51</v>
      </c>
      <c r="C704" s="30" t="n">
        <v>750</v>
      </c>
      <c r="D704" s="30" t="n">
        <v>650</v>
      </c>
      <c r="E704" s="30" t="n">
        <f aca="false">MIN(C704,D704)</f>
        <v>650</v>
      </c>
      <c r="F704" s="8" t="n">
        <f aca="false">IF(D704&gt;0,1,0)</f>
        <v>1</v>
      </c>
    </row>
    <row r="705" customFormat="false" ht="15" hidden="false" customHeight="false" outlineLevel="0" collapsed="false">
      <c r="A705" s="8" t="s">
        <v>2038</v>
      </c>
      <c r="B705" s="8" t="s">
        <v>51</v>
      </c>
      <c r="C705" s="30" t="n">
        <v>750</v>
      </c>
      <c r="D705" s="30" t="n">
        <v>750</v>
      </c>
      <c r="E705" s="30" t="n">
        <f aca="false">MIN(C705,D705)</f>
        <v>750</v>
      </c>
      <c r="F705" s="8" t="n">
        <f aca="false">IF(D705&gt;0,1,0)</f>
        <v>1</v>
      </c>
    </row>
    <row r="706" customFormat="false" ht="15" hidden="false" customHeight="false" outlineLevel="0" collapsed="false">
      <c r="A706" s="8" t="s">
        <v>2046</v>
      </c>
      <c r="B706" s="8" t="s">
        <v>51</v>
      </c>
      <c r="C706" s="30" t="n">
        <v>750</v>
      </c>
      <c r="D706" s="30" t="n">
        <v>750</v>
      </c>
      <c r="E706" s="30" t="n">
        <f aca="false">MIN(C706,D706)</f>
        <v>750</v>
      </c>
      <c r="F706" s="8" t="n">
        <f aca="false">IF(D706&gt;0,1,0)</f>
        <v>1</v>
      </c>
    </row>
    <row r="707" customFormat="false" ht="15" hidden="false" customHeight="false" outlineLevel="0" collapsed="false">
      <c r="A707" s="8" t="s">
        <v>2048</v>
      </c>
      <c r="B707" s="8" t="s">
        <v>51</v>
      </c>
      <c r="C707" s="30" t="n">
        <v>750</v>
      </c>
      <c r="D707" s="30" t="n">
        <v>750</v>
      </c>
      <c r="E707" s="30" t="n">
        <f aca="false">MIN(C707,D707)</f>
        <v>750</v>
      </c>
      <c r="F707" s="8" t="n">
        <f aca="false">IF(D707&gt;0,1,0)</f>
        <v>1</v>
      </c>
    </row>
    <row r="708" customFormat="false" ht="15" hidden="false" customHeight="false" outlineLevel="0" collapsed="false">
      <c r="A708" s="8" t="s">
        <v>1859</v>
      </c>
      <c r="B708" s="8" t="s">
        <v>51</v>
      </c>
      <c r="C708" s="30" t="n">
        <v>750</v>
      </c>
      <c r="D708" s="30" t="n">
        <v>950</v>
      </c>
      <c r="E708" s="30" t="n">
        <f aca="false">MIN(C708,D708)</f>
        <v>750</v>
      </c>
      <c r="F708" s="8" t="n">
        <f aca="false">IF(D708&gt;0,1,0)</f>
        <v>1</v>
      </c>
    </row>
    <row r="709" customFormat="false" ht="15" hidden="false" customHeight="false" outlineLevel="0" collapsed="false">
      <c r="A709" s="8" t="s">
        <v>1767</v>
      </c>
      <c r="B709" s="8" t="s">
        <v>51</v>
      </c>
      <c r="C709" s="30" t="n">
        <v>750</v>
      </c>
      <c r="D709" s="30" t="n">
        <v>1175</v>
      </c>
      <c r="E709" s="30" t="n">
        <f aca="false">MIN(C709,D709)</f>
        <v>750</v>
      </c>
      <c r="F709" s="8" t="n">
        <f aca="false">IF(D709&gt;0,1,0)</f>
        <v>1</v>
      </c>
    </row>
    <row r="710" customFormat="false" ht="15" hidden="false" customHeight="false" outlineLevel="0" collapsed="false">
      <c r="A710" s="8" t="s">
        <v>2054</v>
      </c>
      <c r="B710" s="8" t="s">
        <v>51</v>
      </c>
      <c r="C710" s="30" t="n">
        <v>750</v>
      </c>
      <c r="D710" s="30" t="n">
        <v>750</v>
      </c>
      <c r="E710" s="30" t="n">
        <f aca="false">MIN(C710,D710)</f>
        <v>750</v>
      </c>
      <c r="F710" s="8" t="n">
        <f aca="false">IF(D710&gt;0,1,0)</f>
        <v>1</v>
      </c>
    </row>
    <row r="711" customFormat="false" ht="15" hidden="false" customHeight="false" outlineLevel="0" collapsed="false">
      <c r="A711" s="8" t="s">
        <v>2082</v>
      </c>
      <c r="B711" s="8" t="s">
        <v>51</v>
      </c>
      <c r="C711" s="30" t="n">
        <v>750</v>
      </c>
      <c r="D711" s="30" t="n">
        <v>725</v>
      </c>
      <c r="E711" s="30" t="n">
        <f aca="false">MIN(C711,D711)</f>
        <v>725</v>
      </c>
      <c r="F711" s="8" t="n">
        <f aca="false">IF(D711&gt;0,1,0)</f>
        <v>1</v>
      </c>
    </row>
    <row r="712" customFormat="false" ht="15" hidden="false" customHeight="false" outlineLevel="0" collapsed="false">
      <c r="A712" s="8" t="s">
        <v>2056</v>
      </c>
      <c r="B712" s="8" t="s">
        <v>51</v>
      </c>
      <c r="C712" s="30" t="n">
        <v>750</v>
      </c>
      <c r="D712" s="30" t="n">
        <v>750</v>
      </c>
      <c r="E712" s="30" t="n">
        <f aca="false">MIN(C712,D712)</f>
        <v>750</v>
      </c>
      <c r="F712" s="8" t="n">
        <f aca="false">IF(D712&gt;0,1,0)</f>
        <v>1</v>
      </c>
    </row>
    <row r="713" customFormat="false" ht="15" hidden="false" customHeight="false" outlineLevel="0" collapsed="false">
      <c r="A713" s="8" t="s">
        <v>2058</v>
      </c>
      <c r="B713" s="8" t="s">
        <v>51</v>
      </c>
      <c r="C713" s="30" t="n">
        <v>750</v>
      </c>
      <c r="D713" s="30" t="n">
        <v>750</v>
      </c>
      <c r="E713" s="30" t="n">
        <f aca="false">MIN(C713,D713)</f>
        <v>750</v>
      </c>
      <c r="F713" s="8" t="n">
        <f aca="false">IF(D713&gt;0,1,0)</f>
        <v>1</v>
      </c>
    </row>
    <row r="714" customFormat="false" ht="15" hidden="false" customHeight="false" outlineLevel="0" collapsed="false">
      <c r="A714" s="8" t="s">
        <v>2176</v>
      </c>
      <c r="B714" s="8" t="s">
        <v>51</v>
      </c>
      <c r="C714" s="30" t="n">
        <v>725</v>
      </c>
      <c r="D714" s="30" t="n">
        <v>625</v>
      </c>
      <c r="E714" s="30" t="n">
        <f aca="false">MIN(C714,D714)</f>
        <v>625</v>
      </c>
      <c r="F714" s="8" t="n">
        <f aca="false">IF(D714&gt;0,1,0)</f>
        <v>1</v>
      </c>
    </row>
    <row r="715" customFormat="false" ht="15" hidden="false" customHeight="false" outlineLevel="0" collapsed="false">
      <c r="A715" s="8" t="s">
        <v>2076</v>
      </c>
      <c r="B715" s="8" t="s">
        <v>51</v>
      </c>
      <c r="C715" s="30" t="n">
        <v>725</v>
      </c>
      <c r="D715" s="30" t="n">
        <v>725</v>
      </c>
      <c r="E715" s="30" t="n">
        <f aca="false">MIN(C715,D715)</f>
        <v>725</v>
      </c>
      <c r="F715" s="8" t="n">
        <f aca="false">IF(D715&gt;0,1,0)</f>
        <v>1</v>
      </c>
    </row>
    <row r="716" customFormat="false" ht="15" hidden="false" customHeight="false" outlineLevel="0" collapsed="false">
      <c r="A716" s="8" t="s">
        <v>2084</v>
      </c>
      <c r="B716" s="8" t="s">
        <v>51</v>
      </c>
      <c r="C716" s="30" t="n">
        <v>725</v>
      </c>
      <c r="D716" s="30" t="n">
        <v>725</v>
      </c>
      <c r="E716" s="30" t="n">
        <f aca="false">MIN(C716,D716)</f>
        <v>725</v>
      </c>
      <c r="F716" s="8" t="n">
        <f aca="false">IF(D716&gt;0,1,0)</f>
        <v>1</v>
      </c>
    </row>
    <row r="717" customFormat="false" ht="15" hidden="false" customHeight="false" outlineLevel="0" collapsed="false">
      <c r="A717" s="8" t="s">
        <v>4485</v>
      </c>
      <c r="B717" s="8" t="s">
        <v>51</v>
      </c>
      <c r="C717" s="30" t="n">
        <v>725</v>
      </c>
      <c r="D717" s="30" t="n">
        <v>0</v>
      </c>
      <c r="E717" s="30" t="n">
        <f aca="false">MIN(C717,D717)</f>
        <v>0</v>
      </c>
      <c r="F717" s="8" t="n">
        <f aca="false">IF(D717&gt;0,1,0)</f>
        <v>0</v>
      </c>
    </row>
    <row r="718" customFormat="false" ht="15" hidden="false" customHeight="false" outlineLevel="0" collapsed="false">
      <c r="A718" s="8" t="s">
        <v>2088</v>
      </c>
      <c r="B718" s="8" t="s">
        <v>51</v>
      </c>
      <c r="C718" s="30" t="n">
        <v>700</v>
      </c>
      <c r="D718" s="30" t="n">
        <v>700</v>
      </c>
      <c r="E718" s="30" t="n">
        <f aca="false">MIN(C718,D718)</f>
        <v>700</v>
      </c>
      <c r="F718" s="8" t="n">
        <f aca="false">IF(D718&gt;0,1,0)</f>
        <v>1</v>
      </c>
    </row>
    <row r="719" customFormat="false" ht="15" hidden="false" customHeight="false" outlineLevel="0" collapsed="false">
      <c r="A719" s="8" t="s">
        <v>2090</v>
      </c>
      <c r="B719" s="8" t="s">
        <v>51</v>
      </c>
      <c r="C719" s="30" t="n">
        <v>700</v>
      </c>
      <c r="D719" s="30" t="n">
        <v>700</v>
      </c>
      <c r="E719" s="30" t="n">
        <f aca="false">MIN(C719,D719)</f>
        <v>700</v>
      </c>
      <c r="F719" s="8" t="n">
        <f aca="false">IF(D719&gt;0,1,0)</f>
        <v>1</v>
      </c>
    </row>
    <row r="720" customFormat="false" ht="15" hidden="false" customHeight="false" outlineLevel="0" collapsed="false">
      <c r="A720" s="8" t="s">
        <v>2092</v>
      </c>
      <c r="B720" s="8" t="s">
        <v>51</v>
      </c>
      <c r="C720" s="30" t="n">
        <v>700</v>
      </c>
      <c r="D720" s="30" t="n">
        <v>700</v>
      </c>
      <c r="E720" s="30" t="n">
        <f aca="false">MIN(C720,D720)</f>
        <v>700</v>
      </c>
      <c r="F720" s="8" t="n">
        <f aca="false">IF(D720&gt;0,1,0)</f>
        <v>1</v>
      </c>
    </row>
    <row r="721" customFormat="false" ht="15" hidden="false" customHeight="false" outlineLevel="0" collapsed="false">
      <c r="A721" s="8" t="s">
        <v>2096</v>
      </c>
      <c r="B721" s="8" t="s">
        <v>51</v>
      </c>
      <c r="C721" s="30" t="n">
        <v>700</v>
      </c>
      <c r="D721" s="30" t="n">
        <v>700</v>
      </c>
      <c r="E721" s="30" t="n">
        <f aca="false">MIN(C721,D721)</f>
        <v>700</v>
      </c>
      <c r="F721" s="8" t="n">
        <f aca="false">IF(D721&gt;0,1,0)</f>
        <v>1</v>
      </c>
    </row>
    <row r="722" customFormat="false" ht="15" hidden="false" customHeight="false" outlineLevel="0" collapsed="false">
      <c r="A722" s="8" t="s">
        <v>2098</v>
      </c>
      <c r="B722" s="8" t="s">
        <v>51</v>
      </c>
      <c r="C722" s="30" t="n">
        <v>700</v>
      </c>
      <c r="D722" s="30" t="n">
        <v>700</v>
      </c>
      <c r="E722" s="30" t="n">
        <f aca="false">MIN(C722,D722)</f>
        <v>700</v>
      </c>
      <c r="F722" s="8" t="n">
        <f aca="false">IF(D722&gt;0,1,0)</f>
        <v>1</v>
      </c>
    </row>
    <row r="723" customFormat="false" ht="15" hidden="false" customHeight="false" outlineLevel="0" collapsed="false">
      <c r="A723" s="8" t="s">
        <v>2100</v>
      </c>
      <c r="B723" s="8" t="s">
        <v>51</v>
      </c>
      <c r="C723" s="30" t="n">
        <v>700</v>
      </c>
      <c r="D723" s="30" t="n">
        <v>700</v>
      </c>
      <c r="E723" s="30" t="n">
        <f aca="false">MIN(C723,D723)</f>
        <v>700</v>
      </c>
      <c r="F723" s="8" t="n">
        <f aca="false">IF(D723&gt;0,1,0)</f>
        <v>1</v>
      </c>
    </row>
    <row r="724" customFormat="false" ht="15" hidden="false" customHeight="false" outlineLevel="0" collapsed="false">
      <c r="A724" s="8" t="s">
        <v>4486</v>
      </c>
      <c r="B724" s="8" t="s">
        <v>51</v>
      </c>
      <c r="C724" s="30" t="n">
        <v>700</v>
      </c>
      <c r="D724" s="30" t="n">
        <v>0</v>
      </c>
      <c r="E724" s="30" t="n">
        <f aca="false">MIN(C724,D724)</f>
        <v>0</v>
      </c>
      <c r="F724" s="8" t="n">
        <f aca="false">IF(D724&gt;0,1,0)</f>
        <v>0</v>
      </c>
    </row>
    <row r="725" customFormat="false" ht="15" hidden="false" customHeight="false" outlineLevel="0" collapsed="false">
      <c r="A725" s="8" t="s">
        <v>1825</v>
      </c>
      <c r="B725" s="8" t="s">
        <v>51</v>
      </c>
      <c r="C725" s="30" t="n">
        <v>700</v>
      </c>
      <c r="D725" s="30" t="n">
        <v>1000</v>
      </c>
      <c r="E725" s="30" t="n">
        <f aca="false">MIN(C725,D725)</f>
        <v>700</v>
      </c>
      <c r="F725" s="8" t="n">
        <f aca="false">IF(D725&gt;0,1,0)</f>
        <v>1</v>
      </c>
    </row>
    <row r="726" customFormat="false" ht="15" hidden="false" customHeight="false" outlineLevel="0" collapsed="false">
      <c r="A726" s="8" t="s">
        <v>2108</v>
      </c>
      <c r="B726" s="8" t="s">
        <v>51</v>
      </c>
      <c r="C726" s="30" t="n">
        <v>700</v>
      </c>
      <c r="D726" s="30" t="n">
        <v>700</v>
      </c>
      <c r="E726" s="30" t="n">
        <f aca="false">MIN(C726,D726)</f>
        <v>700</v>
      </c>
      <c r="F726" s="8" t="n">
        <f aca="false">IF(D726&gt;0,1,0)</f>
        <v>1</v>
      </c>
    </row>
    <row r="727" customFormat="false" ht="15" hidden="false" customHeight="false" outlineLevel="0" collapsed="false">
      <c r="A727" s="8" t="s">
        <v>2110</v>
      </c>
      <c r="B727" s="8" t="s">
        <v>51</v>
      </c>
      <c r="C727" s="30" t="n">
        <v>700</v>
      </c>
      <c r="D727" s="30" t="n">
        <v>700</v>
      </c>
      <c r="E727" s="30" t="n">
        <f aca="false">MIN(C727,D727)</f>
        <v>700</v>
      </c>
      <c r="F727" s="8" t="n">
        <f aca="false">IF(D727&gt;0,1,0)</f>
        <v>1</v>
      </c>
    </row>
    <row r="728" customFormat="false" ht="15" hidden="false" customHeight="false" outlineLevel="0" collapsed="false">
      <c r="A728" s="8" t="s">
        <v>2112</v>
      </c>
      <c r="B728" s="8" t="s">
        <v>51</v>
      </c>
      <c r="C728" s="30" t="n">
        <v>700</v>
      </c>
      <c r="D728" s="30" t="n">
        <v>700</v>
      </c>
      <c r="E728" s="30" t="n">
        <f aca="false">MIN(C728,D728)</f>
        <v>700</v>
      </c>
      <c r="F728" s="8" t="n">
        <f aca="false">IF(D728&gt;0,1,0)</f>
        <v>1</v>
      </c>
    </row>
    <row r="729" customFormat="false" ht="15" hidden="false" customHeight="false" outlineLevel="0" collapsed="false">
      <c r="A729" s="8" t="s">
        <v>2114</v>
      </c>
      <c r="B729" s="8" t="s">
        <v>51</v>
      </c>
      <c r="C729" s="30" t="n">
        <v>700</v>
      </c>
      <c r="D729" s="30" t="n">
        <v>700</v>
      </c>
      <c r="E729" s="30" t="n">
        <f aca="false">MIN(C729,D729)</f>
        <v>700</v>
      </c>
      <c r="F729" s="8" t="n">
        <f aca="false">IF(D729&gt;0,1,0)</f>
        <v>1</v>
      </c>
    </row>
    <row r="730" customFormat="false" ht="15" hidden="false" customHeight="false" outlineLevel="0" collapsed="false">
      <c r="A730" s="8" t="s">
        <v>2116</v>
      </c>
      <c r="B730" s="8" t="s">
        <v>51</v>
      </c>
      <c r="C730" s="30" t="n">
        <v>700</v>
      </c>
      <c r="D730" s="30" t="n">
        <v>700</v>
      </c>
      <c r="E730" s="30" t="n">
        <f aca="false">MIN(C730,D730)</f>
        <v>700</v>
      </c>
      <c r="F730" s="8" t="n">
        <f aca="false">IF(D730&gt;0,1,0)</f>
        <v>1</v>
      </c>
    </row>
    <row r="731" customFormat="false" ht="15" hidden="false" customHeight="false" outlineLevel="0" collapsed="false">
      <c r="A731" s="8" t="s">
        <v>4487</v>
      </c>
      <c r="B731" s="8" t="s">
        <v>51</v>
      </c>
      <c r="C731" s="30" t="n">
        <v>700</v>
      </c>
      <c r="D731" s="30" t="n">
        <v>0</v>
      </c>
      <c r="E731" s="30" t="n">
        <f aca="false">MIN(C731,D731)</f>
        <v>0</v>
      </c>
      <c r="F731" s="8" t="n">
        <f aca="false">IF(D731&gt;0,1,0)</f>
        <v>0</v>
      </c>
    </row>
    <row r="732" customFormat="false" ht="15" hidden="false" customHeight="false" outlineLevel="0" collapsed="false">
      <c r="A732" s="8" t="s">
        <v>2304</v>
      </c>
      <c r="B732" s="8" t="s">
        <v>51</v>
      </c>
      <c r="C732" s="30" t="n">
        <v>700</v>
      </c>
      <c r="D732" s="30" t="n">
        <v>550</v>
      </c>
      <c r="E732" s="30" t="n">
        <f aca="false">MIN(C732,D732)</f>
        <v>550</v>
      </c>
      <c r="F732" s="8" t="n">
        <f aca="false">IF(D732&gt;0,1,0)</f>
        <v>1</v>
      </c>
    </row>
    <row r="733" customFormat="false" ht="15" hidden="false" customHeight="false" outlineLevel="0" collapsed="false">
      <c r="A733" s="8" t="s">
        <v>1935</v>
      </c>
      <c r="B733" s="8" t="s">
        <v>51</v>
      </c>
      <c r="C733" s="30" t="n">
        <v>675</v>
      </c>
      <c r="D733" s="30" t="n">
        <v>850</v>
      </c>
      <c r="E733" s="30" t="n">
        <f aca="false">MIN(C733,D733)</f>
        <v>675</v>
      </c>
      <c r="F733" s="8" t="n">
        <f aca="false">IF(D733&gt;0,1,0)</f>
        <v>1</v>
      </c>
    </row>
    <row r="734" customFormat="false" ht="15" hidden="false" customHeight="false" outlineLevel="0" collapsed="false">
      <c r="A734" s="8" t="s">
        <v>2372</v>
      </c>
      <c r="B734" s="8" t="s">
        <v>51</v>
      </c>
      <c r="C734" s="30" t="n">
        <v>675</v>
      </c>
      <c r="D734" s="30" t="n">
        <v>500</v>
      </c>
      <c r="E734" s="30" t="n">
        <f aca="false">MIN(C734,D734)</f>
        <v>500</v>
      </c>
      <c r="F734" s="8" t="n">
        <f aca="false">IF(D734&gt;0,1,0)</f>
        <v>1</v>
      </c>
    </row>
    <row r="735" customFormat="false" ht="15" hidden="false" customHeight="false" outlineLevel="0" collapsed="false">
      <c r="A735" s="8" t="s">
        <v>2120</v>
      </c>
      <c r="B735" s="8" t="s">
        <v>51</v>
      </c>
      <c r="C735" s="30" t="n">
        <v>675</v>
      </c>
      <c r="D735" s="30" t="n">
        <v>675</v>
      </c>
      <c r="E735" s="30" t="n">
        <f aca="false">MIN(C735,D735)</f>
        <v>675</v>
      </c>
      <c r="F735" s="8" t="n">
        <f aca="false">IF(D735&gt;0,1,0)</f>
        <v>1</v>
      </c>
    </row>
    <row r="736" customFormat="false" ht="15" hidden="false" customHeight="false" outlineLevel="0" collapsed="false">
      <c r="A736" s="8" t="s">
        <v>2124</v>
      </c>
      <c r="B736" s="8" t="s">
        <v>51</v>
      </c>
      <c r="C736" s="30" t="n">
        <v>675</v>
      </c>
      <c r="D736" s="30" t="n">
        <v>675</v>
      </c>
      <c r="E736" s="30" t="n">
        <f aca="false">MIN(C736,D736)</f>
        <v>675</v>
      </c>
      <c r="F736" s="8" t="n">
        <f aca="false">IF(D736&gt;0,1,0)</f>
        <v>1</v>
      </c>
    </row>
    <row r="737" customFormat="false" ht="15" hidden="false" customHeight="false" outlineLevel="0" collapsed="false">
      <c r="A737" s="8" t="s">
        <v>4488</v>
      </c>
      <c r="B737" s="8" t="s">
        <v>51</v>
      </c>
      <c r="C737" s="30" t="n">
        <v>675</v>
      </c>
      <c r="D737" s="30" t="n">
        <v>0</v>
      </c>
      <c r="E737" s="30" t="n">
        <f aca="false">MIN(C737,D737)</f>
        <v>0</v>
      </c>
      <c r="F737" s="8" t="n">
        <f aca="false">IF(D737&gt;0,1,0)</f>
        <v>0</v>
      </c>
    </row>
    <row r="738" customFormat="false" ht="15" hidden="false" customHeight="false" outlineLevel="0" collapsed="false">
      <c r="A738" s="8" t="s">
        <v>2126</v>
      </c>
      <c r="B738" s="8" t="s">
        <v>51</v>
      </c>
      <c r="C738" s="30" t="n">
        <v>675</v>
      </c>
      <c r="D738" s="30" t="n">
        <v>675</v>
      </c>
      <c r="E738" s="30" t="n">
        <f aca="false">MIN(C738,D738)</f>
        <v>675</v>
      </c>
      <c r="F738" s="8" t="n">
        <f aca="false">IF(D738&gt;0,1,0)</f>
        <v>1</v>
      </c>
    </row>
    <row r="739" customFormat="false" ht="15" hidden="false" customHeight="false" outlineLevel="0" collapsed="false">
      <c r="A739" s="8" t="s">
        <v>2128</v>
      </c>
      <c r="B739" s="8" t="s">
        <v>51</v>
      </c>
      <c r="C739" s="30" t="n">
        <v>675</v>
      </c>
      <c r="D739" s="30" t="n">
        <v>675</v>
      </c>
      <c r="E739" s="30" t="n">
        <f aca="false">MIN(C739,D739)</f>
        <v>675</v>
      </c>
      <c r="F739" s="8" t="n">
        <f aca="false">IF(D739&gt;0,1,0)</f>
        <v>1</v>
      </c>
    </row>
    <row r="740" customFormat="false" ht="15" hidden="false" customHeight="false" outlineLevel="0" collapsed="false">
      <c r="A740" s="8" t="s">
        <v>2132</v>
      </c>
      <c r="B740" s="8" t="s">
        <v>51</v>
      </c>
      <c r="C740" s="30" t="n">
        <v>675</v>
      </c>
      <c r="D740" s="30" t="n">
        <v>675</v>
      </c>
      <c r="E740" s="30" t="n">
        <f aca="false">MIN(C740,D740)</f>
        <v>675</v>
      </c>
      <c r="F740" s="8" t="n">
        <f aca="false">IF(D740&gt;0,1,0)</f>
        <v>1</v>
      </c>
    </row>
    <row r="741" customFormat="false" ht="15" hidden="false" customHeight="false" outlineLevel="0" collapsed="false">
      <c r="A741" s="8" t="s">
        <v>2060</v>
      </c>
      <c r="B741" s="8" t="s">
        <v>51</v>
      </c>
      <c r="C741" s="30" t="n">
        <v>675</v>
      </c>
      <c r="D741" s="30" t="n">
        <v>750</v>
      </c>
      <c r="E741" s="30" t="n">
        <f aca="false">MIN(C741,D741)</f>
        <v>675</v>
      </c>
      <c r="F741" s="8" t="n">
        <f aca="false">IF(D741&gt;0,1,0)</f>
        <v>1</v>
      </c>
    </row>
    <row r="742" customFormat="false" ht="15" hidden="false" customHeight="false" outlineLevel="0" collapsed="false">
      <c r="A742" s="8" t="s">
        <v>2136</v>
      </c>
      <c r="B742" s="8" t="s">
        <v>51</v>
      </c>
      <c r="C742" s="30" t="n">
        <v>675</v>
      </c>
      <c r="D742" s="30" t="n">
        <v>675</v>
      </c>
      <c r="E742" s="30" t="n">
        <f aca="false">MIN(C742,D742)</f>
        <v>675</v>
      </c>
      <c r="F742" s="8" t="n">
        <f aca="false">IF(D742&gt;0,1,0)</f>
        <v>1</v>
      </c>
    </row>
    <row r="743" customFormat="false" ht="15" hidden="false" customHeight="false" outlineLevel="0" collapsed="false">
      <c r="A743" s="8" t="s">
        <v>2138</v>
      </c>
      <c r="B743" s="8" t="s">
        <v>51</v>
      </c>
      <c r="C743" s="30" t="n">
        <v>675</v>
      </c>
      <c r="D743" s="30" t="n">
        <v>675</v>
      </c>
      <c r="E743" s="30" t="n">
        <f aca="false">MIN(C743,D743)</f>
        <v>675</v>
      </c>
      <c r="F743" s="8" t="n">
        <f aca="false">IF(D743&gt;0,1,0)</f>
        <v>1</v>
      </c>
    </row>
    <row r="744" customFormat="false" ht="15" hidden="false" customHeight="false" outlineLevel="0" collapsed="false">
      <c r="A744" s="8" t="s">
        <v>2156</v>
      </c>
      <c r="B744" s="8" t="s">
        <v>51</v>
      </c>
      <c r="C744" s="30" t="n">
        <v>650</v>
      </c>
      <c r="D744" s="30" t="n">
        <v>650</v>
      </c>
      <c r="E744" s="30" t="n">
        <f aca="false">MIN(C744,D744)</f>
        <v>650</v>
      </c>
      <c r="F744" s="8" t="n">
        <f aca="false">IF(D744&gt;0,1,0)</f>
        <v>1</v>
      </c>
    </row>
    <row r="745" customFormat="false" ht="15" hidden="false" customHeight="false" outlineLevel="0" collapsed="false">
      <c r="A745" s="8" t="s">
        <v>2040</v>
      </c>
      <c r="B745" s="8" t="s">
        <v>51</v>
      </c>
      <c r="C745" s="30" t="n">
        <v>650</v>
      </c>
      <c r="D745" s="30" t="n">
        <v>750</v>
      </c>
      <c r="E745" s="30" t="n">
        <f aca="false">MIN(C745,D745)</f>
        <v>650</v>
      </c>
      <c r="F745" s="8" t="n">
        <f aca="false">IF(D745&gt;0,1,0)</f>
        <v>1</v>
      </c>
    </row>
    <row r="746" customFormat="false" ht="15" hidden="false" customHeight="false" outlineLevel="0" collapsed="false">
      <c r="A746" s="8" t="s">
        <v>2162</v>
      </c>
      <c r="B746" s="8" t="s">
        <v>51</v>
      </c>
      <c r="C746" s="30" t="n">
        <v>650</v>
      </c>
      <c r="D746" s="30" t="n">
        <v>650</v>
      </c>
      <c r="E746" s="30" t="n">
        <f aca="false">MIN(C746,D746)</f>
        <v>650</v>
      </c>
      <c r="F746" s="8" t="n">
        <f aca="false">IF(D746&gt;0,1,0)</f>
        <v>1</v>
      </c>
    </row>
    <row r="747" customFormat="false" ht="15" hidden="false" customHeight="false" outlineLevel="0" collapsed="false">
      <c r="A747" s="8" t="s">
        <v>2052</v>
      </c>
      <c r="B747" s="8" t="s">
        <v>51</v>
      </c>
      <c r="C747" s="30" t="n">
        <v>650</v>
      </c>
      <c r="D747" s="30" t="n">
        <v>750</v>
      </c>
      <c r="E747" s="30" t="n">
        <f aca="false">MIN(C747,D747)</f>
        <v>650</v>
      </c>
      <c r="F747" s="8" t="n">
        <f aca="false">IF(D747&gt;0,1,0)</f>
        <v>1</v>
      </c>
    </row>
    <row r="748" customFormat="false" ht="15" hidden="false" customHeight="false" outlineLevel="0" collapsed="false">
      <c r="A748" s="8" t="s">
        <v>2170</v>
      </c>
      <c r="B748" s="8" t="s">
        <v>51</v>
      </c>
      <c r="C748" s="30" t="n">
        <v>650</v>
      </c>
      <c r="D748" s="30" t="n">
        <v>650</v>
      </c>
      <c r="E748" s="30" t="n">
        <f aca="false">MIN(C748,D748)</f>
        <v>650</v>
      </c>
      <c r="F748" s="8" t="n">
        <f aca="false">IF(D748&gt;0,1,0)</f>
        <v>1</v>
      </c>
    </row>
    <row r="749" customFormat="false" ht="15" hidden="false" customHeight="false" outlineLevel="0" collapsed="false">
      <c r="A749" s="8" t="s">
        <v>1933</v>
      </c>
      <c r="B749" s="8" t="s">
        <v>51</v>
      </c>
      <c r="C749" s="30" t="n">
        <v>650</v>
      </c>
      <c r="D749" s="30" t="n">
        <v>875</v>
      </c>
      <c r="E749" s="30" t="n">
        <f aca="false">MIN(C749,D749)</f>
        <v>650</v>
      </c>
      <c r="F749" s="8" t="n">
        <f aca="false">IF(D749&gt;0,1,0)</f>
        <v>1</v>
      </c>
    </row>
    <row r="750" customFormat="false" ht="15" hidden="false" customHeight="false" outlineLevel="0" collapsed="false">
      <c r="A750" s="8" t="s">
        <v>2172</v>
      </c>
      <c r="B750" s="8" t="s">
        <v>51</v>
      </c>
      <c r="C750" s="30" t="n">
        <v>625</v>
      </c>
      <c r="D750" s="30" t="n">
        <v>625</v>
      </c>
      <c r="E750" s="30" t="n">
        <f aca="false">MIN(C750,D750)</f>
        <v>625</v>
      </c>
      <c r="F750" s="8" t="n">
        <f aca="false">IF(D750&gt;0,1,0)</f>
        <v>1</v>
      </c>
    </row>
    <row r="751" customFormat="false" ht="15" hidden="false" customHeight="false" outlineLevel="0" collapsed="false">
      <c r="A751" s="8" t="s">
        <v>2174</v>
      </c>
      <c r="B751" s="8" t="s">
        <v>51</v>
      </c>
      <c r="C751" s="30" t="n">
        <v>625</v>
      </c>
      <c r="D751" s="30" t="n">
        <v>625</v>
      </c>
      <c r="E751" s="30" t="n">
        <f aca="false">MIN(C751,D751)</f>
        <v>625</v>
      </c>
      <c r="F751" s="8" t="n">
        <f aca="false">IF(D751&gt;0,1,0)</f>
        <v>1</v>
      </c>
    </row>
    <row r="752" customFormat="false" ht="15" hidden="false" customHeight="false" outlineLevel="0" collapsed="false">
      <c r="A752" s="8" t="s">
        <v>2178</v>
      </c>
      <c r="B752" s="8" t="s">
        <v>51</v>
      </c>
      <c r="C752" s="30" t="n">
        <v>625</v>
      </c>
      <c r="D752" s="30" t="n">
        <v>625</v>
      </c>
      <c r="E752" s="30" t="n">
        <f aca="false">MIN(C752,D752)</f>
        <v>625</v>
      </c>
      <c r="F752" s="8" t="n">
        <f aca="false">IF(D752&gt;0,1,0)</f>
        <v>1</v>
      </c>
    </row>
    <row r="753" customFormat="false" ht="15" hidden="false" customHeight="false" outlineLevel="0" collapsed="false">
      <c r="A753" s="8" t="s">
        <v>2180</v>
      </c>
      <c r="B753" s="8" t="s">
        <v>51</v>
      </c>
      <c r="C753" s="30" t="n">
        <v>625</v>
      </c>
      <c r="D753" s="30" t="n">
        <v>625</v>
      </c>
      <c r="E753" s="30" t="n">
        <f aca="false">MIN(C753,D753)</f>
        <v>625</v>
      </c>
      <c r="F753" s="8" t="n">
        <f aca="false">IF(D753&gt;0,1,0)</f>
        <v>1</v>
      </c>
    </row>
    <row r="754" customFormat="false" ht="15" hidden="false" customHeight="false" outlineLevel="0" collapsed="false">
      <c r="A754" s="8" t="s">
        <v>2134</v>
      </c>
      <c r="B754" s="8" t="s">
        <v>51</v>
      </c>
      <c r="C754" s="30" t="n">
        <v>625</v>
      </c>
      <c r="D754" s="30" t="n">
        <v>675</v>
      </c>
      <c r="E754" s="30" t="n">
        <f aca="false">MIN(C754,D754)</f>
        <v>625</v>
      </c>
      <c r="F754" s="8" t="n">
        <f aca="false">IF(D754&gt;0,1,0)</f>
        <v>1</v>
      </c>
    </row>
    <row r="755" customFormat="false" ht="15" hidden="false" customHeight="false" outlineLevel="0" collapsed="false">
      <c r="A755" s="8" t="s">
        <v>4489</v>
      </c>
      <c r="B755" s="8" t="s">
        <v>51</v>
      </c>
      <c r="C755" s="30" t="n">
        <v>625</v>
      </c>
      <c r="D755" s="30" t="n">
        <v>0</v>
      </c>
      <c r="E755" s="30" t="n">
        <f aca="false">MIN(C755,D755)</f>
        <v>0</v>
      </c>
      <c r="F755" s="8" t="n">
        <f aca="false">IF(D755&gt;0,1,0)</f>
        <v>0</v>
      </c>
    </row>
    <row r="756" customFormat="false" ht="15" hidden="false" customHeight="false" outlineLevel="0" collapsed="false">
      <c r="A756" s="8" t="s">
        <v>2188</v>
      </c>
      <c r="B756" s="8" t="s">
        <v>51</v>
      </c>
      <c r="C756" s="30" t="n">
        <v>625</v>
      </c>
      <c r="D756" s="30" t="n">
        <v>625</v>
      </c>
      <c r="E756" s="30" t="n">
        <f aca="false">MIN(C756,D756)</f>
        <v>625</v>
      </c>
      <c r="F756" s="8" t="n">
        <f aca="false">IF(D756&gt;0,1,0)</f>
        <v>1</v>
      </c>
    </row>
    <row r="757" customFormat="false" ht="15" hidden="false" customHeight="false" outlineLevel="0" collapsed="false">
      <c r="A757" s="8" t="s">
        <v>2190</v>
      </c>
      <c r="B757" s="8" t="s">
        <v>51</v>
      </c>
      <c r="C757" s="30" t="n">
        <v>625</v>
      </c>
      <c r="D757" s="30" t="n">
        <v>625</v>
      </c>
      <c r="E757" s="30" t="n">
        <f aca="false">MIN(C757,D757)</f>
        <v>625</v>
      </c>
      <c r="F757" s="8" t="n">
        <f aca="false">IF(D757&gt;0,1,0)</f>
        <v>1</v>
      </c>
    </row>
    <row r="758" customFormat="false" ht="15" hidden="false" customHeight="false" outlineLevel="0" collapsed="false">
      <c r="A758" s="8" t="s">
        <v>2192</v>
      </c>
      <c r="B758" s="8" t="s">
        <v>51</v>
      </c>
      <c r="C758" s="30" t="n">
        <v>625</v>
      </c>
      <c r="D758" s="30" t="n">
        <v>625</v>
      </c>
      <c r="E758" s="30" t="n">
        <f aca="false">MIN(C758,D758)</f>
        <v>625</v>
      </c>
      <c r="F758" s="8" t="n">
        <f aca="false">IF(D758&gt;0,1,0)</f>
        <v>1</v>
      </c>
    </row>
    <row r="759" customFormat="false" ht="15" hidden="false" customHeight="false" outlineLevel="0" collapsed="false">
      <c r="A759" s="8" t="s">
        <v>4490</v>
      </c>
      <c r="B759" s="8" t="s">
        <v>51</v>
      </c>
      <c r="C759" s="30" t="n">
        <v>612</v>
      </c>
      <c r="D759" s="30" t="n">
        <v>0</v>
      </c>
      <c r="E759" s="30" t="n">
        <f aca="false">MIN(C759,D759)</f>
        <v>0</v>
      </c>
      <c r="F759" s="8" t="n">
        <f aca="false">IF(D759&gt;0,1,0)</f>
        <v>0</v>
      </c>
    </row>
    <row r="760" customFormat="false" ht="15" hidden="false" customHeight="false" outlineLevel="0" collapsed="false">
      <c r="A760" s="8" t="s">
        <v>2200</v>
      </c>
      <c r="B760" s="8" t="s">
        <v>51</v>
      </c>
      <c r="C760" s="30" t="n">
        <v>612</v>
      </c>
      <c r="D760" s="30" t="n">
        <v>612</v>
      </c>
      <c r="E760" s="30" t="n">
        <f aca="false">MIN(C760,D760)</f>
        <v>612</v>
      </c>
      <c r="F760" s="8" t="n">
        <f aca="false">IF(D760&gt;0,1,0)</f>
        <v>1</v>
      </c>
    </row>
    <row r="761" customFormat="false" ht="15" hidden="false" customHeight="false" outlineLevel="0" collapsed="false">
      <c r="A761" s="8" t="s">
        <v>2202</v>
      </c>
      <c r="B761" s="8" t="s">
        <v>51</v>
      </c>
      <c r="C761" s="30" t="n">
        <v>612</v>
      </c>
      <c r="D761" s="30" t="n">
        <v>612</v>
      </c>
      <c r="E761" s="30" t="n">
        <f aca="false">MIN(C761,D761)</f>
        <v>612</v>
      </c>
      <c r="F761" s="8" t="n">
        <f aca="false">IF(D761&gt;0,1,0)</f>
        <v>1</v>
      </c>
    </row>
    <row r="762" customFormat="false" ht="15" hidden="false" customHeight="false" outlineLevel="0" collapsed="false">
      <c r="A762" s="8" t="s">
        <v>2204</v>
      </c>
      <c r="B762" s="8" t="s">
        <v>51</v>
      </c>
      <c r="C762" s="30" t="n">
        <v>612</v>
      </c>
      <c r="D762" s="30" t="n">
        <v>612</v>
      </c>
      <c r="E762" s="30" t="n">
        <f aca="false">MIN(C762,D762)</f>
        <v>612</v>
      </c>
      <c r="F762" s="8" t="n">
        <f aca="false">IF(D762&gt;0,1,0)</f>
        <v>1</v>
      </c>
    </row>
    <row r="763" customFormat="false" ht="15" hidden="false" customHeight="false" outlineLevel="0" collapsed="false">
      <c r="A763" s="8" t="s">
        <v>2206</v>
      </c>
      <c r="B763" s="8" t="s">
        <v>51</v>
      </c>
      <c r="C763" s="30" t="n">
        <v>612</v>
      </c>
      <c r="D763" s="30" t="n">
        <v>612</v>
      </c>
      <c r="E763" s="30" t="n">
        <f aca="false">MIN(C763,D763)</f>
        <v>612</v>
      </c>
      <c r="F763" s="8" t="n">
        <f aca="false">IF(D763&gt;0,1,0)</f>
        <v>1</v>
      </c>
    </row>
    <row r="764" customFormat="false" ht="15" hidden="false" customHeight="false" outlineLevel="0" collapsed="false">
      <c r="A764" s="8" t="s">
        <v>2208</v>
      </c>
      <c r="B764" s="8" t="s">
        <v>51</v>
      </c>
      <c r="C764" s="30" t="n">
        <v>600</v>
      </c>
      <c r="D764" s="30" t="n">
        <v>600</v>
      </c>
      <c r="E764" s="30" t="n">
        <f aca="false">MIN(C764,D764)</f>
        <v>600</v>
      </c>
      <c r="F764" s="8" t="n">
        <f aca="false">IF(D764&gt;0,1,0)</f>
        <v>1</v>
      </c>
    </row>
    <row r="765" customFormat="false" ht="15" hidden="false" customHeight="false" outlineLevel="0" collapsed="false">
      <c r="A765" s="8" t="s">
        <v>2214</v>
      </c>
      <c r="B765" s="8" t="s">
        <v>51</v>
      </c>
      <c r="C765" s="30" t="n">
        <v>600</v>
      </c>
      <c r="D765" s="30" t="n">
        <v>600</v>
      </c>
      <c r="E765" s="30" t="n">
        <f aca="false">MIN(C765,D765)</f>
        <v>600</v>
      </c>
      <c r="F765" s="8" t="n">
        <f aca="false">IF(D765&gt;0,1,0)</f>
        <v>1</v>
      </c>
    </row>
    <row r="766" customFormat="false" ht="15" hidden="false" customHeight="false" outlineLevel="0" collapsed="false">
      <c r="A766" s="8" t="s">
        <v>4491</v>
      </c>
      <c r="B766" s="8" t="s">
        <v>51</v>
      </c>
      <c r="C766" s="30" t="n">
        <v>600</v>
      </c>
      <c r="D766" s="30" t="n">
        <v>0</v>
      </c>
      <c r="E766" s="30" t="n">
        <f aca="false">MIN(C766,D766)</f>
        <v>0</v>
      </c>
      <c r="F766" s="8" t="n">
        <f aca="false">IF(D766&gt;0,1,0)</f>
        <v>0</v>
      </c>
    </row>
    <row r="767" customFormat="false" ht="15" hidden="false" customHeight="false" outlineLevel="0" collapsed="false">
      <c r="A767" s="8" t="s">
        <v>2386</v>
      </c>
      <c r="B767" s="8" t="s">
        <v>51</v>
      </c>
      <c r="C767" s="30" t="n">
        <v>600</v>
      </c>
      <c r="D767" s="30" t="n">
        <v>500</v>
      </c>
      <c r="E767" s="30" t="n">
        <f aca="false">MIN(C767,D767)</f>
        <v>500</v>
      </c>
      <c r="F767" s="8" t="n">
        <f aca="false">IF(D767&gt;0,1,0)</f>
        <v>1</v>
      </c>
    </row>
    <row r="768" customFormat="false" ht="15" hidden="false" customHeight="false" outlineLevel="0" collapsed="false">
      <c r="A768" s="8" t="s">
        <v>2218</v>
      </c>
      <c r="B768" s="8" t="s">
        <v>51</v>
      </c>
      <c r="C768" s="30" t="n">
        <v>600</v>
      </c>
      <c r="D768" s="30" t="n">
        <v>600</v>
      </c>
      <c r="E768" s="30" t="n">
        <f aca="false">MIN(C768,D768)</f>
        <v>600</v>
      </c>
      <c r="F768" s="8" t="n">
        <f aca="false">IF(D768&gt;0,1,0)</f>
        <v>1</v>
      </c>
    </row>
    <row r="769" customFormat="false" ht="15" hidden="false" customHeight="false" outlineLevel="0" collapsed="false">
      <c r="A769" s="8" t="s">
        <v>2220</v>
      </c>
      <c r="B769" s="8" t="s">
        <v>51</v>
      </c>
      <c r="C769" s="30" t="n">
        <v>600</v>
      </c>
      <c r="D769" s="30" t="n">
        <v>600</v>
      </c>
      <c r="E769" s="30" t="n">
        <f aca="false">MIN(C769,D769)</f>
        <v>600</v>
      </c>
      <c r="F769" s="8" t="n">
        <f aca="false">IF(D769&gt;0,1,0)</f>
        <v>1</v>
      </c>
    </row>
    <row r="770" customFormat="false" ht="15" hidden="false" customHeight="false" outlineLevel="0" collapsed="false">
      <c r="A770" s="8" t="s">
        <v>2222</v>
      </c>
      <c r="B770" s="8" t="s">
        <v>51</v>
      </c>
      <c r="C770" s="30" t="n">
        <v>600</v>
      </c>
      <c r="D770" s="30" t="n">
        <v>600</v>
      </c>
      <c r="E770" s="30" t="n">
        <f aca="false">MIN(C770,D770)</f>
        <v>600</v>
      </c>
      <c r="F770" s="8" t="n">
        <f aca="false">IF(D770&gt;0,1,0)</f>
        <v>1</v>
      </c>
    </row>
    <row r="771" customFormat="false" ht="15" hidden="false" customHeight="false" outlineLevel="0" collapsed="false">
      <c r="A771" s="8" t="s">
        <v>2224</v>
      </c>
      <c r="B771" s="8" t="s">
        <v>51</v>
      </c>
      <c r="C771" s="30" t="n">
        <v>600</v>
      </c>
      <c r="D771" s="30" t="n">
        <v>600</v>
      </c>
      <c r="E771" s="30" t="n">
        <f aca="false">MIN(C771,D771)</f>
        <v>600</v>
      </c>
      <c r="F771" s="8" t="n">
        <f aca="false">IF(D771&gt;0,1,0)</f>
        <v>1</v>
      </c>
    </row>
    <row r="772" customFormat="false" ht="15" hidden="false" customHeight="false" outlineLevel="0" collapsed="false">
      <c r="A772" s="8" t="s">
        <v>2150</v>
      </c>
      <c r="B772" s="8" t="s">
        <v>51</v>
      </c>
      <c r="C772" s="30" t="n">
        <v>600</v>
      </c>
      <c r="D772" s="30" t="n">
        <v>660</v>
      </c>
      <c r="E772" s="30" t="n">
        <f aca="false">MIN(C772,D772)</f>
        <v>600</v>
      </c>
      <c r="F772" s="8" t="n">
        <f aca="false">IF(D772&gt;0,1,0)</f>
        <v>1</v>
      </c>
    </row>
    <row r="773" customFormat="false" ht="15" hidden="false" customHeight="false" outlineLevel="0" collapsed="false">
      <c r="A773" s="8" t="s">
        <v>4492</v>
      </c>
      <c r="B773" s="8" t="s">
        <v>51</v>
      </c>
      <c r="C773" s="30" t="n">
        <v>600</v>
      </c>
      <c r="D773" s="30" t="n">
        <v>0</v>
      </c>
      <c r="E773" s="30" t="n">
        <f aca="false">MIN(C773,D773)</f>
        <v>0</v>
      </c>
      <c r="F773" s="8" t="n">
        <f aca="false">IF(D773&gt;0,1,0)</f>
        <v>0</v>
      </c>
    </row>
    <row r="774" customFormat="false" ht="15" hidden="false" customHeight="false" outlineLevel="0" collapsed="false">
      <c r="A774" s="8" t="s">
        <v>2228</v>
      </c>
      <c r="B774" s="8" t="s">
        <v>51</v>
      </c>
      <c r="C774" s="30" t="n">
        <v>600</v>
      </c>
      <c r="D774" s="30" t="n">
        <v>600</v>
      </c>
      <c r="E774" s="30" t="n">
        <f aca="false">MIN(C774,D774)</f>
        <v>600</v>
      </c>
      <c r="F774" s="8" t="n">
        <f aca="false">IF(D774&gt;0,1,0)</f>
        <v>1</v>
      </c>
    </row>
    <row r="775" customFormat="false" ht="15" hidden="false" customHeight="false" outlineLevel="0" collapsed="false">
      <c r="A775" s="8" t="s">
        <v>2232</v>
      </c>
      <c r="B775" s="8" t="s">
        <v>51</v>
      </c>
      <c r="C775" s="30" t="n">
        <v>588</v>
      </c>
      <c r="D775" s="30" t="n">
        <v>588</v>
      </c>
      <c r="E775" s="30" t="n">
        <f aca="false">MIN(C775,D775)</f>
        <v>588</v>
      </c>
      <c r="F775" s="8" t="n">
        <f aca="false">IF(D775&gt;0,1,0)</f>
        <v>1</v>
      </c>
    </row>
    <row r="776" customFormat="false" ht="15" hidden="false" customHeight="false" outlineLevel="0" collapsed="false">
      <c r="A776" s="8" t="s">
        <v>2234</v>
      </c>
      <c r="B776" s="8" t="s">
        <v>51</v>
      </c>
      <c r="C776" s="30" t="n">
        <v>588</v>
      </c>
      <c r="D776" s="30" t="n">
        <v>588</v>
      </c>
      <c r="E776" s="30" t="n">
        <f aca="false">MIN(C776,D776)</f>
        <v>588</v>
      </c>
      <c r="F776" s="8" t="n">
        <f aca="false">IF(D776&gt;0,1,0)</f>
        <v>1</v>
      </c>
    </row>
    <row r="777" customFormat="false" ht="15" hidden="false" customHeight="false" outlineLevel="0" collapsed="false">
      <c r="A777" s="8" t="s">
        <v>2025</v>
      </c>
      <c r="B777" s="8" t="s">
        <v>51</v>
      </c>
      <c r="C777" s="30" t="n">
        <v>576</v>
      </c>
      <c r="D777" s="30" t="n">
        <v>768</v>
      </c>
      <c r="E777" s="30" t="n">
        <f aca="false">MIN(C777,D777)</f>
        <v>576</v>
      </c>
      <c r="F777" s="8" t="n">
        <f aca="false">IF(D777&gt;0,1,0)</f>
        <v>1</v>
      </c>
    </row>
    <row r="778" customFormat="false" ht="15" hidden="false" customHeight="false" outlineLevel="0" collapsed="false">
      <c r="A778" s="8" t="s">
        <v>2240</v>
      </c>
      <c r="B778" s="8" t="s">
        <v>51</v>
      </c>
      <c r="C778" s="30" t="n">
        <v>576</v>
      </c>
      <c r="D778" s="30" t="n">
        <v>576</v>
      </c>
      <c r="E778" s="30" t="n">
        <f aca="false">MIN(C778,D778)</f>
        <v>576</v>
      </c>
      <c r="F778" s="8" t="n">
        <f aca="false">IF(D778&gt;0,1,0)</f>
        <v>1</v>
      </c>
    </row>
    <row r="779" customFormat="false" ht="15" hidden="false" customHeight="false" outlineLevel="0" collapsed="false">
      <c r="A779" s="8" t="s">
        <v>2242</v>
      </c>
      <c r="B779" s="8" t="s">
        <v>51</v>
      </c>
      <c r="C779" s="30" t="n">
        <v>576</v>
      </c>
      <c r="D779" s="30" t="n">
        <v>576</v>
      </c>
      <c r="E779" s="30" t="n">
        <f aca="false">MIN(C779,D779)</f>
        <v>576</v>
      </c>
      <c r="F779" s="8" t="n">
        <f aca="false">IF(D779&gt;0,1,0)</f>
        <v>1</v>
      </c>
    </row>
    <row r="780" customFormat="false" ht="15" hidden="false" customHeight="false" outlineLevel="0" collapsed="false">
      <c r="A780" s="8" t="s">
        <v>2246</v>
      </c>
      <c r="B780" s="8" t="s">
        <v>51</v>
      </c>
      <c r="C780" s="30" t="n">
        <v>576</v>
      </c>
      <c r="D780" s="30" t="n">
        <v>576</v>
      </c>
      <c r="E780" s="30" t="n">
        <f aca="false">MIN(C780,D780)</f>
        <v>576</v>
      </c>
      <c r="F780" s="8" t="n">
        <f aca="false">IF(D780&gt;0,1,0)</f>
        <v>1</v>
      </c>
    </row>
    <row r="781" customFormat="false" ht="15" hidden="false" customHeight="false" outlineLevel="0" collapsed="false">
      <c r="A781" s="8" t="s">
        <v>4493</v>
      </c>
      <c r="B781" s="8" t="s">
        <v>51</v>
      </c>
      <c r="C781" s="30" t="n">
        <v>575</v>
      </c>
      <c r="D781" s="30" t="n">
        <v>0</v>
      </c>
      <c r="E781" s="30" t="n">
        <f aca="false">MIN(C781,D781)</f>
        <v>0</v>
      </c>
      <c r="F781" s="8" t="n">
        <f aca="false">IF(D781&gt;0,1,0)</f>
        <v>0</v>
      </c>
    </row>
    <row r="782" customFormat="false" ht="15" hidden="false" customHeight="false" outlineLevel="0" collapsed="false">
      <c r="A782" s="8" t="s">
        <v>2252</v>
      </c>
      <c r="B782" s="8" t="s">
        <v>51</v>
      </c>
      <c r="C782" s="30" t="n">
        <v>575</v>
      </c>
      <c r="D782" s="30" t="n">
        <v>575</v>
      </c>
      <c r="E782" s="30" t="n">
        <f aca="false">MIN(C782,D782)</f>
        <v>575</v>
      </c>
      <c r="F782" s="8" t="n">
        <f aca="false">IF(D782&gt;0,1,0)</f>
        <v>1</v>
      </c>
    </row>
    <row r="783" customFormat="false" ht="15" hidden="false" customHeight="false" outlineLevel="0" collapsed="false">
      <c r="A783" s="8" t="s">
        <v>2256</v>
      </c>
      <c r="B783" s="8" t="s">
        <v>51</v>
      </c>
      <c r="C783" s="30" t="n">
        <v>575</v>
      </c>
      <c r="D783" s="30" t="n">
        <v>575</v>
      </c>
      <c r="E783" s="30" t="n">
        <f aca="false">MIN(C783,D783)</f>
        <v>575</v>
      </c>
      <c r="F783" s="8" t="n">
        <f aca="false">IF(D783&gt;0,1,0)</f>
        <v>1</v>
      </c>
    </row>
    <row r="784" customFormat="false" ht="15" hidden="false" customHeight="false" outlineLevel="0" collapsed="false">
      <c r="A784" s="8" t="s">
        <v>2260</v>
      </c>
      <c r="B784" s="8" t="s">
        <v>51</v>
      </c>
      <c r="C784" s="30" t="n">
        <v>575</v>
      </c>
      <c r="D784" s="30" t="n">
        <v>575</v>
      </c>
      <c r="E784" s="30" t="n">
        <f aca="false">MIN(C784,D784)</f>
        <v>575</v>
      </c>
      <c r="F784" s="8" t="n">
        <f aca="false">IF(D784&gt;0,1,0)</f>
        <v>1</v>
      </c>
    </row>
    <row r="785" customFormat="false" ht="15" hidden="false" customHeight="false" outlineLevel="0" collapsed="false">
      <c r="A785" s="8" t="s">
        <v>2262</v>
      </c>
      <c r="B785" s="8" t="s">
        <v>51</v>
      </c>
      <c r="C785" s="30" t="n">
        <v>575</v>
      </c>
      <c r="D785" s="30" t="n">
        <v>575</v>
      </c>
      <c r="E785" s="30" t="n">
        <f aca="false">MIN(C785,D785)</f>
        <v>575</v>
      </c>
      <c r="F785" s="8" t="n">
        <f aca="false">IF(D785&gt;0,1,0)</f>
        <v>1</v>
      </c>
    </row>
    <row r="786" customFormat="false" ht="15" hidden="false" customHeight="false" outlineLevel="0" collapsed="false">
      <c r="A786" s="8" t="s">
        <v>2264</v>
      </c>
      <c r="B786" s="8" t="s">
        <v>51</v>
      </c>
      <c r="C786" s="30" t="n">
        <v>575</v>
      </c>
      <c r="D786" s="30" t="n">
        <v>575</v>
      </c>
      <c r="E786" s="30" t="n">
        <f aca="false">MIN(C786,D786)</f>
        <v>575</v>
      </c>
      <c r="F786" s="8" t="n">
        <f aca="false">IF(D786&gt;0,1,0)</f>
        <v>1</v>
      </c>
    </row>
    <row r="787" customFormat="false" ht="15" hidden="false" customHeight="false" outlineLevel="0" collapsed="false">
      <c r="A787" s="8" t="s">
        <v>2512</v>
      </c>
      <c r="B787" s="8" t="s">
        <v>51</v>
      </c>
      <c r="C787" s="30" t="n">
        <v>564</v>
      </c>
      <c r="D787" s="30" t="n">
        <v>456</v>
      </c>
      <c r="E787" s="30" t="n">
        <f aca="false">MIN(C787,D787)</f>
        <v>456</v>
      </c>
      <c r="F787" s="8" t="n">
        <f aca="false">IF(D787&gt;0,1,0)</f>
        <v>1</v>
      </c>
    </row>
    <row r="788" customFormat="false" ht="15" hidden="false" customHeight="false" outlineLevel="0" collapsed="false">
      <c r="A788" s="8" t="s">
        <v>2274</v>
      </c>
      <c r="B788" s="8" t="s">
        <v>51</v>
      </c>
      <c r="C788" s="30" t="n">
        <v>552</v>
      </c>
      <c r="D788" s="30" t="n">
        <v>552</v>
      </c>
      <c r="E788" s="30" t="n">
        <f aca="false">MIN(C788,D788)</f>
        <v>552</v>
      </c>
      <c r="F788" s="8" t="n">
        <f aca="false">IF(D788&gt;0,1,0)</f>
        <v>1</v>
      </c>
    </row>
    <row r="789" customFormat="false" ht="15" hidden="false" customHeight="false" outlineLevel="0" collapsed="false">
      <c r="A789" s="8" t="s">
        <v>2284</v>
      </c>
      <c r="B789" s="8" t="s">
        <v>51</v>
      </c>
      <c r="C789" s="30" t="n">
        <v>550</v>
      </c>
      <c r="D789" s="30" t="n">
        <v>550</v>
      </c>
      <c r="E789" s="30" t="n">
        <f aca="false">MIN(C789,D789)</f>
        <v>550</v>
      </c>
      <c r="F789" s="8" t="n">
        <f aca="false">IF(D789&gt;0,1,0)</f>
        <v>1</v>
      </c>
    </row>
    <row r="790" customFormat="false" ht="15" hidden="false" customHeight="false" outlineLevel="0" collapsed="false">
      <c r="A790" s="8" t="s">
        <v>2290</v>
      </c>
      <c r="B790" s="8" t="s">
        <v>51</v>
      </c>
      <c r="C790" s="30" t="n">
        <v>550</v>
      </c>
      <c r="D790" s="30" t="n">
        <v>550</v>
      </c>
      <c r="E790" s="30" t="n">
        <f aca="false">MIN(C790,D790)</f>
        <v>550</v>
      </c>
      <c r="F790" s="8" t="n">
        <f aca="false">IF(D790&gt;0,1,0)</f>
        <v>1</v>
      </c>
    </row>
    <row r="791" customFormat="false" ht="15" hidden="false" customHeight="false" outlineLevel="0" collapsed="false">
      <c r="A791" s="8" t="s">
        <v>2292</v>
      </c>
      <c r="B791" s="8" t="s">
        <v>51</v>
      </c>
      <c r="C791" s="30" t="n">
        <v>550</v>
      </c>
      <c r="D791" s="30" t="n">
        <v>550</v>
      </c>
      <c r="E791" s="30" t="n">
        <f aca="false">MIN(C791,D791)</f>
        <v>550</v>
      </c>
      <c r="F791" s="8" t="n">
        <f aca="false">IF(D791&gt;0,1,0)</f>
        <v>1</v>
      </c>
    </row>
    <row r="792" customFormat="false" ht="15" hidden="false" customHeight="false" outlineLevel="0" collapsed="false">
      <c r="A792" s="8" t="s">
        <v>4494</v>
      </c>
      <c r="B792" s="8" t="s">
        <v>51</v>
      </c>
      <c r="C792" s="30" t="n">
        <v>550</v>
      </c>
      <c r="D792" s="30" t="n">
        <v>0</v>
      </c>
      <c r="E792" s="30" t="n">
        <f aca="false">MIN(C792,D792)</f>
        <v>0</v>
      </c>
      <c r="F792" s="8" t="n">
        <f aca="false">IF(D792&gt;0,1,0)</f>
        <v>0</v>
      </c>
    </row>
    <row r="793" customFormat="false" ht="15" hidden="false" customHeight="false" outlineLevel="0" collapsed="false">
      <c r="A793" s="8" t="s">
        <v>2306</v>
      </c>
      <c r="B793" s="8" t="s">
        <v>51</v>
      </c>
      <c r="C793" s="30" t="n">
        <v>550</v>
      </c>
      <c r="D793" s="30" t="n">
        <v>550</v>
      </c>
      <c r="E793" s="30" t="n">
        <f aca="false">MIN(C793,D793)</f>
        <v>550</v>
      </c>
      <c r="F793" s="8" t="n">
        <f aca="false">IF(D793&gt;0,1,0)</f>
        <v>1</v>
      </c>
    </row>
    <row r="794" customFormat="false" ht="15" hidden="false" customHeight="false" outlineLevel="0" collapsed="false">
      <c r="A794" s="8" t="s">
        <v>2312</v>
      </c>
      <c r="B794" s="8" t="s">
        <v>51</v>
      </c>
      <c r="C794" s="30" t="n">
        <v>540</v>
      </c>
      <c r="D794" s="30" t="n">
        <v>540</v>
      </c>
      <c r="E794" s="30" t="n">
        <f aca="false">MIN(C794,D794)</f>
        <v>540</v>
      </c>
      <c r="F794" s="8" t="n">
        <f aca="false">IF(D794&gt;0,1,0)</f>
        <v>1</v>
      </c>
    </row>
    <row r="795" customFormat="false" ht="15" hidden="false" customHeight="false" outlineLevel="0" collapsed="false">
      <c r="A795" s="8" t="s">
        <v>4495</v>
      </c>
      <c r="B795" s="8" t="s">
        <v>51</v>
      </c>
      <c r="C795" s="30" t="n">
        <v>540</v>
      </c>
      <c r="D795" s="30" t="n">
        <v>0</v>
      </c>
      <c r="E795" s="30" t="n">
        <f aca="false">MIN(C795,D795)</f>
        <v>0</v>
      </c>
      <c r="F795" s="8" t="n">
        <f aca="false">IF(D795&gt;0,1,0)</f>
        <v>0</v>
      </c>
    </row>
    <row r="796" customFormat="false" ht="15" hidden="false" customHeight="false" outlineLevel="0" collapsed="false">
      <c r="A796" s="8" t="s">
        <v>4496</v>
      </c>
      <c r="B796" s="8" t="s">
        <v>51</v>
      </c>
      <c r="C796" s="30" t="n">
        <v>540</v>
      </c>
      <c r="D796" s="30" t="n">
        <v>0</v>
      </c>
      <c r="E796" s="30" t="n">
        <f aca="false">MIN(C796,D796)</f>
        <v>0</v>
      </c>
      <c r="F796" s="8" t="n">
        <f aca="false">IF(D796&gt;0,1,0)</f>
        <v>0</v>
      </c>
    </row>
    <row r="797" customFormat="false" ht="15" hidden="false" customHeight="false" outlineLevel="0" collapsed="false">
      <c r="A797" s="8" t="s">
        <v>2316</v>
      </c>
      <c r="B797" s="8" t="s">
        <v>51</v>
      </c>
      <c r="C797" s="30" t="n">
        <v>528</v>
      </c>
      <c r="D797" s="30" t="n">
        <v>528</v>
      </c>
      <c r="E797" s="30" t="n">
        <f aca="false">MIN(C797,D797)</f>
        <v>528</v>
      </c>
      <c r="F797" s="8" t="n">
        <f aca="false">IF(D797&gt;0,1,0)</f>
        <v>1</v>
      </c>
    </row>
    <row r="798" customFormat="false" ht="15" hidden="false" customHeight="false" outlineLevel="0" collapsed="false">
      <c r="A798" s="8" t="s">
        <v>2318</v>
      </c>
      <c r="B798" s="8" t="s">
        <v>51</v>
      </c>
      <c r="C798" s="30" t="n">
        <v>528</v>
      </c>
      <c r="D798" s="30" t="n">
        <v>528</v>
      </c>
      <c r="E798" s="30" t="n">
        <f aca="false">MIN(C798,D798)</f>
        <v>528</v>
      </c>
      <c r="F798" s="8" t="n">
        <f aca="false">IF(D798&gt;0,1,0)</f>
        <v>1</v>
      </c>
    </row>
    <row r="799" customFormat="false" ht="15" hidden="false" customHeight="false" outlineLevel="0" collapsed="false">
      <c r="A799" s="8" t="s">
        <v>2326</v>
      </c>
      <c r="B799" s="8" t="s">
        <v>51</v>
      </c>
      <c r="C799" s="30" t="n">
        <v>525</v>
      </c>
      <c r="D799" s="30" t="n">
        <v>525</v>
      </c>
      <c r="E799" s="30" t="n">
        <f aca="false">MIN(C799,D799)</f>
        <v>525</v>
      </c>
      <c r="F799" s="8" t="n">
        <f aca="false">IF(D799&gt;0,1,0)</f>
        <v>1</v>
      </c>
    </row>
    <row r="800" customFormat="false" ht="15" hidden="false" customHeight="false" outlineLevel="0" collapsed="false">
      <c r="A800" s="8" t="s">
        <v>4497</v>
      </c>
      <c r="B800" s="8" t="s">
        <v>51</v>
      </c>
      <c r="C800" s="30" t="n">
        <v>525</v>
      </c>
      <c r="D800" s="30" t="n">
        <v>0</v>
      </c>
      <c r="E800" s="30" t="n">
        <f aca="false">MIN(C800,D800)</f>
        <v>0</v>
      </c>
      <c r="F800" s="8" t="n">
        <f aca="false">IF(D800&gt;0,1,0)</f>
        <v>0</v>
      </c>
    </row>
    <row r="801" customFormat="false" ht="15" hidden="false" customHeight="false" outlineLevel="0" collapsed="false">
      <c r="A801" s="8" t="s">
        <v>2332</v>
      </c>
      <c r="B801" s="8" t="s">
        <v>51</v>
      </c>
      <c r="C801" s="30" t="n">
        <v>525</v>
      </c>
      <c r="D801" s="30" t="n">
        <v>525</v>
      </c>
      <c r="E801" s="30" t="n">
        <f aca="false">MIN(C801,D801)</f>
        <v>525</v>
      </c>
      <c r="F801" s="8" t="n">
        <f aca="false">IF(D801&gt;0,1,0)</f>
        <v>1</v>
      </c>
    </row>
    <row r="802" customFormat="false" ht="15" hidden="false" customHeight="false" outlineLevel="0" collapsed="false">
      <c r="A802" s="8" t="s">
        <v>2346</v>
      </c>
      <c r="B802" s="8" t="s">
        <v>51</v>
      </c>
      <c r="C802" s="30" t="n">
        <v>516</v>
      </c>
      <c r="D802" s="30" t="n">
        <v>516</v>
      </c>
      <c r="E802" s="30" t="n">
        <f aca="false">MIN(C802,D802)</f>
        <v>516</v>
      </c>
      <c r="F802" s="8" t="n">
        <f aca="false">IF(D802&gt;0,1,0)</f>
        <v>1</v>
      </c>
    </row>
    <row r="803" customFormat="false" ht="15" hidden="false" customHeight="false" outlineLevel="0" collapsed="false">
      <c r="A803" s="8" t="s">
        <v>2348</v>
      </c>
      <c r="B803" s="8" t="s">
        <v>51</v>
      </c>
      <c r="C803" s="30" t="n">
        <v>516</v>
      </c>
      <c r="D803" s="30" t="n">
        <v>516</v>
      </c>
      <c r="E803" s="30" t="n">
        <f aca="false">MIN(C803,D803)</f>
        <v>516</v>
      </c>
      <c r="F803" s="8" t="n">
        <f aca="false">IF(D803&gt;0,1,0)</f>
        <v>1</v>
      </c>
    </row>
    <row r="804" customFormat="false" ht="15" hidden="false" customHeight="false" outlineLevel="0" collapsed="false">
      <c r="A804" s="8" t="s">
        <v>2664</v>
      </c>
      <c r="B804" s="8" t="s">
        <v>51</v>
      </c>
      <c r="C804" s="30" t="n">
        <v>504</v>
      </c>
      <c r="D804" s="30" t="n">
        <v>420</v>
      </c>
      <c r="E804" s="30" t="n">
        <f aca="false">MIN(C804,D804)</f>
        <v>420</v>
      </c>
      <c r="F804" s="8" t="n">
        <f aca="false">IF(D804&gt;0,1,0)</f>
        <v>1</v>
      </c>
    </row>
    <row r="805" customFormat="false" ht="15" hidden="false" customHeight="false" outlineLevel="0" collapsed="false">
      <c r="A805" s="8" t="s">
        <v>2354</v>
      </c>
      <c r="B805" s="8" t="s">
        <v>51</v>
      </c>
      <c r="C805" s="30" t="n">
        <v>504</v>
      </c>
      <c r="D805" s="30" t="n">
        <v>504</v>
      </c>
      <c r="E805" s="30" t="n">
        <f aca="false">MIN(C805,D805)</f>
        <v>504</v>
      </c>
      <c r="F805" s="8" t="n">
        <f aca="false">IF(D805&gt;0,1,0)</f>
        <v>1</v>
      </c>
    </row>
    <row r="806" customFormat="false" ht="15" hidden="false" customHeight="false" outlineLevel="0" collapsed="false">
      <c r="A806" s="8" t="s">
        <v>2356</v>
      </c>
      <c r="B806" s="8" t="s">
        <v>51</v>
      </c>
      <c r="C806" s="30" t="n">
        <v>504</v>
      </c>
      <c r="D806" s="30" t="n">
        <v>504</v>
      </c>
      <c r="E806" s="30" t="n">
        <f aca="false">MIN(C806,D806)</f>
        <v>504</v>
      </c>
      <c r="F806" s="8" t="n">
        <f aca="false">IF(D806&gt;0,1,0)</f>
        <v>1</v>
      </c>
    </row>
    <row r="807" customFormat="false" ht="15" hidden="false" customHeight="false" outlineLevel="0" collapsed="false">
      <c r="A807" s="8" t="s">
        <v>2358</v>
      </c>
      <c r="B807" s="8" t="s">
        <v>51</v>
      </c>
      <c r="C807" s="30" t="n">
        <v>504</v>
      </c>
      <c r="D807" s="30" t="n">
        <v>504</v>
      </c>
      <c r="E807" s="30" t="n">
        <f aca="false">MIN(C807,D807)</f>
        <v>504</v>
      </c>
      <c r="F807" s="8" t="n">
        <f aca="false">IF(D807&gt;0,1,0)</f>
        <v>1</v>
      </c>
    </row>
    <row r="808" customFormat="false" ht="15" hidden="false" customHeight="false" outlineLevel="0" collapsed="false">
      <c r="A808" s="8" t="s">
        <v>2364</v>
      </c>
      <c r="B808" s="8" t="s">
        <v>51</v>
      </c>
      <c r="C808" s="30" t="n">
        <v>500</v>
      </c>
      <c r="D808" s="30" t="n">
        <v>500</v>
      </c>
      <c r="E808" s="30" t="n">
        <f aca="false">MIN(C808,D808)</f>
        <v>500</v>
      </c>
      <c r="F808" s="8" t="n">
        <f aca="false">IF(D808&gt;0,1,0)</f>
        <v>1</v>
      </c>
    </row>
    <row r="809" customFormat="false" ht="15" hidden="false" customHeight="false" outlineLevel="0" collapsed="false">
      <c r="A809" s="8" t="s">
        <v>2366</v>
      </c>
      <c r="B809" s="8" t="s">
        <v>51</v>
      </c>
      <c r="C809" s="30" t="n">
        <v>500</v>
      </c>
      <c r="D809" s="30" t="n">
        <v>500</v>
      </c>
      <c r="E809" s="30" t="n">
        <f aca="false">MIN(C809,D809)</f>
        <v>500</v>
      </c>
      <c r="F809" s="8" t="n">
        <f aca="false">IF(D809&gt;0,1,0)</f>
        <v>1</v>
      </c>
    </row>
    <row r="810" customFormat="false" ht="15" hidden="false" customHeight="false" outlineLevel="0" collapsed="false">
      <c r="A810" s="8" t="s">
        <v>2370</v>
      </c>
      <c r="B810" s="8" t="s">
        <v>51</v>
      </c>
      <c r="C810" s="30" t="n">
        <v>500</v>
      </c>
      <c r="D810" s="30" t="n">
        <v>500</v>
      </c>
      <c r="E810" s="30" t="n">
        <f aca="false">MIN(C810,D810)</f>
        <v>500</v>
      </c>
      <c r="F810" s="8" t="n">
        <f aca="false">IF(D810&gt;0,1,0)</f>
        <v>1</v>
      </c>
    </row>
    <row r="811" customFormat="false" ht="15" hidden="false" customHeight="false" outlineLevel="0" collapsed="false">
      <c r="A811" s="8" t="s">
        <v>2898</v>
      </c>
      <c r="B811" s="8" t="s">
        <v>51</v>
      </c>
      <c r="C811" s="30" t="n">
        <v>500</v>
      </c>
      <c r="D811" s="30" t="n">
        <v>375</v>
      </c>
      <c r="E811" s="30" t="n">
        <f aca="false">MIN(C811,D811)</f>
        <v>375</v>
      </c>
      <c r="F811" s="8" t="n">
        <f aca="false">IF(D811&gt;0,1,0)</f>
        <v>1</v>
      </c>
    </row>
    <row r="812" customFormat="false" ht="15" hidden="false" customHeight="false" outlineLevel="0" collapsed="false">
      <c r="A812" s="8" t="s">
        <v>2376</v>
      </c>
      <c r="B812" s="8" t="s">
        <v>51</v>
      </c>
      <c r="C812" s="30" t="n">
        <v>500</v>
      </c>
      <c r="D812" s="30" t="n">
        <v>500</v>
      </c>
      <c r="E812" s="30" t="n">
        <f aca="false">MIN(C812,D812)</f>
        <v>500</v>
      </c>
      <c r="F812" s="8" t="n">
        <f aca="false">IF(D812&gt;0,1,0)</f>
        <v>1</v>
      </c>
    </row>
    <row r="813" customFormat="false" ht="15" hidden="false" customHeight="false" outlineLevel="0" collapsed="false">
      <c r="A813" s="8" t="s">
        <v>2380</v>
      </c>
      <c r="B813" s="8" t="s">
        <v>51</v>
      </c>
      <c r="C813" s="30" t="n">
        <v>500</v>
      </c>
      <c r="D813" s="30" t="n">
        <v>500</v>
      </c>
      <c r="E813" s="30" t="n">
        <f aca="false">MIN(C813,D813)</f>
        <v>500</v>
      </c>
      <c r="F813" s="8" t="n">
        <f aca="false">IF(D813&gt;0,1,0)</f>
        <v>1</v>
      </c>
    </row>
    <row r="814" customFormat="false" ht="15" hidden="false" customHeight="false" outlineLevel="0" collapsed="false">
      <c r="A814" s="8" t="s">
        <v>2384</v>
      </c>
      <c r="B814" s="8" t="s">
        <v>51</v>
      </c>
      <c r="C814" s="30" t="n">
        <v>500</v>
      </c>
      <c r="D814" s="30" t="n">
        <v>500</v>
      </c>
      <c r="E814" s="30" t="n">
        <f aca="false">MIN(C814,D814)</f>
        <v>500</v>
      </c>
      <c r="F814" s="8" t="n">
        <f aca="false">IF(D814&gt;0,1,0)</f>
        <v>1</v>
      </c>
    </row>
    <row r="815" customFormat="false" ht="15" hidden="false" customHeight="false" outlineLevel="0" collapsed="false">
      <c r="A815" s="8" t="s">
        <v>2388</v>
      </c>
      <c r="B815" s="8" t="s">
        <v>51</v>
      </c>
      <c r="C815" s="30" t="n">
        <v>500</v>
      </c>
      <c r="D815" s="30" t="n">
        <v>500</v>
      </c>
      <c r="E815" s="30" t="n">
        <f aca="false">MIN(C815,D815)</f>
        <v>500</v>
      </c>
      <c r="F815" s="8" t="n">
        <f aca="false">IF(D815&gt;0,1,0)</f>
        <v>1</v>
      </c>
    </row>
    <row r="816" customFormat="false" ht="15" hidden="false" customHeight="false" outlineLevel="0" collapsed="false">
      <c r="A816" s="8" t="s">
        <v>2390</v>
      </c>
      <c r="B816" s="8" t="s">
        <v>51</v>
      </c>
      <c r="C816" s="30" t="n">
        <v>500</v>
      </c>
      <c r="D816" s="30" t="n">
        <v>500</v>
      </c>
      <c r="E816" s="30" t="n">
        <f aca="false">MIN(C816,D816)</f>
        <v>500</v>
      </c>
      <c r="F816" s="8" t="n">
        <f aca="false">IF(D816&gt;0,1,0)</f>
        <v>1</v>
      </c>
    </row>
    <row r="817" customFormat="false" ht="15" hidden="false" customHeight="false" outlineLevel="0" collapsed="false">
      <c r="A817" s="8" t="s">
        <v>2394</v>
      </c>
      <c r="B817" s="8" t="s">
        <v>51</v>
      </c>
      <c r="C817" s="30" t="n">
        <v>500</v>
      </c>
      <c r="D817" s="30" t="n">
        <v>500</v>
      </c>
      <c r="E817" s="30" t="n">
        <f aca="false">MIN(C817,D817)</f>
        <v>500</v>
      </c>
      <c r="F817" s="8" t="n">
        <f aca="false">IF(D817&gt;0,1,0)</f>
        <v>1</v>
      </c>
    </row>
    <row r="818" customFormat="false" ht="15" hidden="false" customHeight="false" outlineLevel="0" collapsed="false">
      <c r="A818" s="8" t="s">
        <v>2226</v>
      </c>
      <c r="B818" s="8" t="s">
        <v>51</v>
      </c>
      <c r="C818" s="30" t="n">
        <v>500</v>
      </c>
      <c r="D818" s="30" t="n">
        <v>600</v>
      </c>
      <c r="E818" s="30" t="n">
        <f aca="false">MIN(C818,D818)</f>
        <v>500</v>
      </c>
      <c r="F818" s="8" t="n">
        <f aca="false">IF(D818&gt;0,1,0)</f>
        <v>1</v>
      </c>
    </row>
    <row r="819" customFormat="false" ht="15" hidden="false" customHeight="false" outlineLevel="0" collapsed="false">
      <c r="A819" s="8" t="s">
        <v>2396</v>
      </c>
      <c r="B819" s="8" t="s">
        <v>51</v>
      </c>
      <c r="C819" s="30" t="n">
        <v>500</v>
      </c>
      <c r="D819" s="30" t="n">
        <v>500</v>
      </c>
      <c r="E819" s="30" t="n">
        <f aca="false">MIN(C819,D819)</f>
        <v>500</v>
      </c>
      <c r="F819" s="8" t="n">
        <f aca="false">IF(D819&gt;0,1,0)</f>
        <v>1</v>
      </c>
    </row>
    <row r="820" customFormat="false" ht="15" hidden="false" customHeight="false" outlineLevel="0" collapsed="false">
      <c r="A820" s="8" t="s">
        <v>2398</v>
      </c>
      <c r="B820" s="8" t="s">
        <v>51</v>
      </c>
      <c r="C820" s="30" t="n">
        <v>500</v>
      </c>
      <c r="D820" s="30" t="n">
        <v>500</v>
      </c>
      <c r="E820" s="30" t="n">
        <f aca="false">MIN(C820,D820)</f>
        <v>500</v>
      </c>
      <c r="F820" s="8" t="n">
        <f aca="false">IF(D820&gt;0,1,0)</f>
        <v>1</v>
      </c>
    </row>
    <row r="821" customFormat="false" ht="15" hidden="false" customHeight="false" outlineLevel="0" collapsed="false">
      <c r="A821" s="8" t="s">
        <v>2270</v>
      </c>
      <c r="B821" s="8" t="s">
        <v>51</v>
      </c>
      <c r="C821" s="30" t="n">
        <v>492</v>
      </c>
      <c r="D821" s="30" t="n">
        <v>564</v>
      </c>
      <c r="E821" s="30" t="n">
        <f aca="false">MIN(C821,D821)</f>
        <v>492</v>
      </c>
      <c r="F821" s="8" t="n">
        <f aca="false">IF(D821&gt;0,1,0)</f>
        <v>1</v>
      </c>
    </row>
    <row r="822" customFormat="false" ht="15" hidden="false" customHeight="false" outlineLevel="0" collapsed="false">
      <c r="A822" s="8" t="s">
        <v>2400</v>
      </c>
      <c r="B822" s="8" t="s">
        <v>51</v>
      </c>
      <c r="C822" s="30" t="n">
        <v>492</v>
      </c>
      <c r="D822" s="30" t="n">
        <v>492</v>
      </c>
      <c r="E822" s="30" t="n">
        <f aca="false">MIN(C822,D822)</f>
        <v>492</v>
      </c>
      <c r="F822" s="8" t="n">
        <f aca="false">IF(D822&gt;0,1,0)</f>
        <v>1</v>
      </c>
    </row>
    <row r="823" customFormat="false" ht="15" hidden="false" customHeight="false" outlineLevel="0" collapsed="false">
      <c r="A823" s="8" t="s">
        <v>2402</v>
      </c>
      <c r="B823" s="8" t="s">
        <v>51</v>
      </c>
      <c r="C823" s="30" t="n">
        <v>492</v>
      </c>
      <c r="D823" s="30" t="n">
        <v>492</v>
      </c>
      <c r="E823" s="30" t="n">
        <f aca="false">MIN(C823,D823)</f>
        <v>492</v>
      </c>
      <c r="F823" s="8" t="n">
        <f aca="false">IF(D823&gt;0,1,0)</f>
        <v>1</v>
      </c>
    </row>
    <row r="824" customFormat="false" ht="15" hidden="false" customHeight="false" outlineLevel="0" collapsed="false">
      <c r="A824" s="8" t="s">
        <v>4498</v>
      </c>
      <c r="B824" s="8" t="s">
        <v>51</v>
      </c>
      <c r="C824" s="30" t="n">
        <v>492</v>
      </c>
      <c r="D824" s="30" t="n">
        <v>0</v>
      </c>
      <c r="E824" s="30" t="n">
        <f aca="false">MIN(C824,D824)</f>
        <v>0</v>
      </c>
      <c r="F824" s="8" t="n">
        <f aca="false">IF(D824&gt;0,1,0)</f>
        <v>0</v>
      </c>
    </row>
    <row r="825" customFormat="false" ht="15" hidden="false" customHeight="false" outlineLevel="0" collapsed="false">
      <c r="A825" s="8" t="s">
        <v>2410</v>
      </c>
      <c r="B825" s="8" t="s">
        <v>51</v>
      </c>
      <c r="C825" s="30" t="n">
        <v>480</v>
      </c>
      <c r="D825" s="30" t="n">
        <v>480</v>
      </c>
      <c r="E825" s="30" t="n">
        <f aca="false">MIN(C825,D825)</f>
        <v>480</v>
      </c>
      <c r="F825" s="8" t="n">
        <f aca="false">IF(D825&gt;0,1,0)</f>
        <v>1</v>
      </c>
    </row>
    <row r="826" customFormat="false" ht="15" hidden="false" customHeight="false" outlineLevel="0" collapsed="false">
      <c r="A826" s="8" t="s">
        <v>2282</v>
      </c>
      <c r="B826" s="8" t="s">
        <v>51</v>
      </c>
      <c r="C826" s="30" t="n">
        <v>475</v>
      </c>
      <c r="D826" s="30" t="n">
        <v>550</v>
      </c>
      <c r="E826" s="30" t="n">
        <f aca="false">MIN(C826,D826)</f>
        <v>475</v>
      </c>
      <c r="F826" s="8" t="n">
        <f aca="false">IF(D826&gt;0,1,0)</f>
        <v>1</v>
      </c>
    </row>
    <row r="827" customFormat="false" ht="15" hidden="false" customHeight="false" outlineLevel="0" collapsed="false">
      <c r="A827" s="8" t="s">
        <v>2638</v>
      </c>
      <c r="B827" s="8" t="s">
        <v>51</v>
      </c>
      <c r="C827" s="30" t="n">
        <v>475</v>
      </c>
      <c r="D827" s="30" t="n">
        <v>425</v>
      </c>
      <c r="E827" s="30" t="n">
        <f aca="false">MIN(C827,D827)</f>
        <v>425</v>
      </c>
      <c r="F827" s="8" t="n">
        <f aca="false">IF(D827&gt;0,1,0)</f>
        <v>1</v>
      </c>
    </row>
    <row r="828" customFormat="false" ht="15" hidden="false" customHeight="false" outlineLevel="0" collapsed="false">
      <c r="A828" s="8" t="s">
        <v>2422</v>
      </c>
      <c r="B828" s="8" t="s">
        <v>51</v>
      </c>
      <c r="C828" s="30" t="n">
        <v>475</v>
      </c>
      <c r="D828" s="30" t="n">
        <v>475</v>
      </c>
      <c r="E828" s="30" t="n">
        <f aca="false">MIN(C828,D828)</f>
        <v>475</v>
      </c>
      <c r="F828" s="8" t="n">
        <f aca="false">IF(D828&gt;0,1,0)</f>
        <v>1</v>
      </c>
    </row>
    <row r="829" customFormat="false" ht="15" hidden="false" customHeight="false" outlineLevel="0" collapsed="false">
      <c r="A829" s="8" t="s">
        <v>2426</v>
      </c>
      <c r="B829" s="8" t="s">
        <v>51</v>
      </c>
      <c r="C829" s="30" t="n">
        <v>475</v>
      </c>
      <c r="D829" s="30" t="n">
        <v>475</v>
      </c>
      <c r="E829" s="30" t="n">
        <f aca="false">MIN(C829,D829)</f>
        <v>475</v>
      </c>
      <c r="F829" s="8" t="n">
        <f aca="false">IF(D829&gt;0,1,0)</f>
        <v>1</v>
      </c>
    </row>
    <row r="830" customFormat="false" ht="15" hidden="false" customHeight="false" outlineLevel="0" collapsed="false">
      <c r="A830" s="8" t="s">
        <v>2430</v>
      </c>
      <c r="B830" s="8" t="s">
        <v>51</v>
      </c>
      <c r="C830" s="30" t="n">
        <v>475</v>
      </c>
      <c r="D830" s="30" t="n">
        <v>475</v>
      </c>
      <c r="E830" s="30" t="n">
        <f aca="false">MIN(C830,D830)</f>
        <v>475</v>
      </c>
      <c r="F830" s="8" t="n">
        <f aca="false">IF(D830&gt;0,1,0)</f>
        <v>1</v>
      </c>
    </row>
    <row r="831" customFormat="false" ht="15" hidden="false" customHeight="false" outlineLevel="0" collapsed="false">
      <c r="A831" s="8" t="s">
        <v>2432</v>
      </c>
      <c r="B831" s="8" t="s">
        <v>51</v>
      </c>
      <c r="C831" s="30" t="n">
        <v>475</v>
      </c>
      <c r="D831" s="30" t="n">
        <v>475</v>
      </c>
      <c r="E831" s="30" t="n">
        <f aca="false">MIN(C831,D831)</f>
        <v>475</v>
      </c>
      <c r="F831" s="8" t="n">
        <f aca="false">IF(D831&gt;0,1,0)</f>
        <v>1</v>
      </c>
    </row>
    <row r="832" customFormat="false" ht="15" hidden="false" customHeight="false" outlineLevel="0" collapsed="false">
      <c r="A832" s="8" t="s">
        <v>2166</v>
      </c>
      <c r="B832" s="8" t="s">
        <v>51</v>
      </c>
      <c r="C832" s="30" t="n">
        <v>475</v>
      </c>
      <c r="D832" s="30" t="n">
        <v>650</v>
      </c>
      <c r="E832" s="30" t="n">
        <f aca="false">MIN(C832,D832)</f>
        <v>475</v>
      </c>
      <c r="F832" s="8" t="n">
        <f aca="false">IF(D832&gt;0,1,0)</f>
        <v>1</v>
      </c>
    </row>
    <row r="833" customFormat="false" ht="15" hidden="false" customHeight="false" outlineLevel="0" collapsed="false">
      <c r="A833" s="8" t="s">
        <v>4499</v>
      </c>
      <c r="B833" s="8" t="s">
        <v>51</v>
      </c>
      <c r="C833" s="30" t="n">
        <v>475</v>
      </c>
      <c r="D833" s="30" t="n">
        <v>0</v>
      </c>
      <c r="E833" s="30" t="n">
        <f aca="false">MIN(C833,D833)</f>
        <v>0</v>
      </c>
      <c r="F833" s="8" t="n">
        <f aca="false">IF(D833&gt;0,1,0)</f>
        <v>0</v>
      </c>
    </row>
    <row r="834" customFormat="false" ht="15" hidden="false" customHeight="false" outlineLevel="0" collapsed="false">
      <c r="A834" s="8" t="s">
        <v>4500</v>
      </c>
      <c r="B834" s="8" t="s">
        <v>51</v>
      </c>
      <c r="C834" s="30" t="n">
        <v>468</v>
      </c>
      <c r="D834" s="30" t="n">
        <v>0</v>
      </c>
      <c r="E834" s="30" t="n">
        <f aca="false">MIN(C834,D834)</f>
        <v>0</v>
      </c>
      <c r="F834" s="8" t="n">
        <f aca="false">IF(D834&gt;0,1,0)</f>
        <v>0</v>
      </c>
    </row>
    <row r="835" customFormat="false" ht="15" hidden="false" customHeight="false" outlineLevel="0" collapsed="false">
      <c r="A835" s="8" t="s">
        <v>2836</v>
      </c>
      <c r="B835" s="8" t="s">
        <v>51</v>
      </c>
      <c r="C835" s="30" t="n">
        <v>468</v>
      </c>
      <c r="D835" s="30" t="n">
        <v>384</v>
      </c>
      <c r="E835" s="30" t="n">
        <f aca="false">MIN(C835,D835)</f>
        <v>384</v>
      </c>
      <c r="F835" s="8" t="n">
        <f aca="false">IF(D835&gt;0,1,0)</f>
        <v>1</v>
      </c>
    </row>
    <row r="836" customFormat="false" ht="15" hidden="false" customHeight="false" outlineLevel="0" collapsed="false">
      <c r="A836" s="8" t="s">
        <v>2442</v>
      </c>
      <c r="B836" s="8" t="s">
        <v>51</v>
      </c>
      <c r="C836" s="30" t="n">
        <v>468</v>
      </c>
      <c r="D836" s="30" t="n">
        <v>468</v>
      </c>
      <c r="E836" s="30" t="n">
        <f aca="false">MIN(C836,D836)</f>
        <v>468</v>
      </c>
      <c r="F836" s="8" t="n">
        <f aca="false">IF(D836&gt;0,1,0)</f>
        <v>1</v>
      </c>
    </row>
    <row r="837" customFormat="false" ht="15" hidden="false" customHeight="false" outlineLevel="0" collapsed="false">
      <c r="A837" s="8" t="s">
        <v>2444</v>
      </c>
      <c r="B837" s="8" t="s">
        <v>51</v>
      </c>
      <c r="C837" s="30" t="n">
        <v>468</v>
      </c>
      <c r="D837" s="30" t="n">
        <v>468</v>
      </c>
      <c r="E837" s="30" t="n">
        <f aca="false">MIN(C837,D837)</f>
        <v>468</v>
      </c>
      <c r="F837" s="8" t="n">
        <f aca="false">IF(D837&gt;0,1,0)</f>
        <v>1</v>
      </c>
    </row>
    <row r="838" customFormat="false" ht="15" hidden="false" customHeight="false" outlineLevel="0" collapsed="false">
      <c r="A838" s="8" t="s">
        <v>2450</v>
      </c>
      <c r="B838" s="8" t="s">
        <v>51</v>
      </c>
      <c r="C838" s="30" t="n">
        <v>468</v>
      </c>
      <c r="D838" s="30" t="n">
        <v>468</v>
      </c>
      <c r="E838" s="30" t="n">
        <f aca="false">MIN(C838,D838)</f>
        <v>468</v>
      </c>
      <c r="F838" s="8" t="n">
        <f aca="false">IF(D838&gt;0,1,0)</f>
        <v>1</v>
      </c>
    </row>
    <row r="839" customFormat="false" ht="15" hidden="false" customHeight="false" outlineLevel="0" collapsed="false">
      <c r="A839" s="8" t="s">
        <v>2454</v>
      </c>
      <c r="B839" s="8" t="s">
        <v>51</v>
      </c>
      <c r="C839" s="30" t="n">
        <v>468</v>
      </c>
      <c r="D839" s="30" t="n">
        <v>468</v>
      </c>
      <c r="E839" s="30" t="n">
        <f aca="false">MIN(C839,D839)</f>
        <v>468</v>
      </c>
      <c r="F839" s="8" t="n">
        <f aca="false">IF(D839&gt;0,1,0)</f>
        <v>1</v>
      </c>
    </row>
    <row r="840" customFormat="false" ht="15" hidden="false" customHeight="false" outlineLevel="0" collapsed="false">
      <c r="A840" s="8" t="s">
        <v>2310</v>
      </c>
      <c r="B840" s="8" t="s">
        <v>51</v>
      </c>
      <c r="C840" s="30" t="n">
        <v>468</v>
      </c>
      <c r="D840" s="30" t="n">
        <v>540</v>
      </c>
      <c r="E840" s="30" t="n">
        <f aca="false">MIN(C840,D840)</f>
        <v>468</v>
      </c>
      <c r="F840" s="8" t="n">
        <f aca="false">IF(D840&gt;0,1,0)</f>
        <v>1</v>
      </c>
    </row>
    <row r="841" customFormat="false" ht="15" hidden="false" customHeight="false" outlineLevel="0" collapsed="false">
      <c r="A841" s="8" t="s">
        <v>2456</v>
      </c>
      <c r="B841" s="8" t="s">
        <v>51</v>
      </c>
      <c r="C841" s="30" t="n">
        <v>468</v>
      </c>
      <c r="D841" s="30" t="n">
        <v>468</v>
      </c>
      <c r="E841" s="30" t="n">
        <f aca="false">MIN(C841,D841)</f>
        <v>468</v>
      </c>
      <c r="F841" s="8" t="n">
        <f aca="false">IF(D841&gt;0,1,0)</f>
        <v>1</v>
      </c>
    </row>
    <row r="842" customFormat="false" ht="15" hidden="false" customHeight="false" outlineLevel="0" collapsed="false">
      <c r="A842" s="8" t="s">
        <v>2458</v>
      </c>
      <c r="B842" s="8" t="s">
        <v>51</v>
      </c>
      <c r="C842" s="30" t="n">
        <v>468</v>
      </c>
      <c r="D842" s="30" t="n">
        <v>468</v>
      </c>
      <c r="E842" s="30" t="n">
        <f aca="false">MIN(C842,D842)</f>
        <v>468</v>
      </c>
      <c r="F842" s="8" t="n">
        <f aca="false">IF(D842&gt;0,1,0)</f>
        <v>1</v>
      </c>
    </row>
    <row r="843" customFormat="false" ht="15" hidden="false" customHeight="false" outlineLevel="0" collapsed="false">
      <c r="A843" s="8" t="s">
        <v>2462</v>
      </c>
      <c r="B843" s="8" t="s">
        <v>51</v>
      </c>
      <c r="C843" s="30" t="n">
        <v>468</v>
      </c>
      <c r="D843" s="30" t="n">
        <v>468</v>
      </c>
      <c r="E843" s="30" t="n">
        <f aca="false">MIN(C843,D843)</f>
        <v>468</v>
      </c>
      <c r="F843" s="8" t="n">
        <f aca="false">IF(D843&gt;0,1,0)</f>
        <v>1</v>
      </c>
    </row>
    <row r="844" customFormat="false" ht="15" hidden="false" customHeight="false" outlineLevel="0" collapsed="false">
      <c r="A844" s="8" t="s">
        <v>2464</v>
      </c>
      <c r="B844" s="8" t="s">
        <v>51</v>
      </c>
      <c r="C844" s="30" t="n">
        <v>468</v>
      </c>
      <c r="D844" s="30" t="n">
        <v>468</v>
      </c>
      <c r="E844" s="30" t="n">
        <f aca="false">MIN(C844,D844)</f>
        <v>468</v>
      </c>
      <c r="F844" s="8" t="n">
        <f aca="false">IF(D844&gt;0,1,0)</f>
        <v>1</v>
      </c>
    </row>
    <row r="845" customFormat="false" ht="15" hidden="false" customHeight="false" outlineLevel="0" collapsed="false">
      <c r="A845" s="8" t="s">
        <v>2466</v>
      </c>
      <c r="B845" s="8" t="s">
        <v>51</v>
      </c>
      <c r="C845" s="30" t="n">
        <v>468</v>
      </c>
      <c r="D845" s="30" t="n">
        <v>468</v>
      </c>
      <c r="E845" s="30" t="n">
        <f aca="false">MIN(C845,D845)</f>
        <v>468</v>
      </c>
      <c r="F845" s="8" t="n">
        <f aca="false">IF(D845&gt;0,1,0)</f>
        <v>1</v>
      </c>
    </row>
    <row r="846" customFormat="false" ht="15" hidden="false" customHeight="false" outlineLevel="0" collapsed="false">
      <c r="A846" s="8" t="s">
        <v>2468</v>
      </c>
      <c r="B846" s="8" t="s">
        <v>51</v>
      </c>
      <c r="C846" s="30" t="n">
        <v>468</v>
      </c>
      <c r="D846" s="30" t="n">
        <v>468</v>
      </c>
      <c r="E846" s="30" t="n">
        <f aca="false">MIN(C846,D846)</f>
        <v>468</v>
      </c>
      <c r="F846" s="8" t="n">
        <f aca="false">IF(D846&gt;0,1,0)</f>
        <v>1</v>
      </c>
    </row>
    <row r="847" customFormat="false" ht="15" hidden="false" customHeight="false" outlineLevel="0" collapsed="false">
      <c r="A847" s="8" t="s">
        <v>2470</v>
      </c>
      <c r="B847" s="8" t="s">
        <v>51</v>
      </c>
      <c r="C847" s="30" t="n">
        <v>468</v>
      </c>
      <c r="D847" s="30" t="n">
        <v>468</v>
      </c>
      <c r="E847" s="30" t="n">
        <f aca="false">MIN(C847,D847)</f>
        <v>468</v>
      </c>
      <c r="F847" s="8" t="n">
        <f aca="false">IF(D847&gt;0,1,0)</f>
        <v>1</v>
      </c>
    </row>
    <row r="848" customFormat="false" ht="15" hidden="false" customHeight="false" outlineLevel="0" collapsed="false">
      <c r="A848" s="8" t="s">
        <v>2472</v>
      </c>
      <c r="B848" s="8" t="s">
        <v>51</v>
      </c>
      <c r="C848" s="30" t="n">
        <v>468</v>
      </c>
      <c r="D848" s="30" t="n">
        <v>468</v>
      </c>
      <c r="E848" s="30" t="n">
        <f aca="false">MIN(C848,D848)</f>
        <v>468</v>
      </c>
      <c r="F848" s="8" t="n">
        <f aca="false">IF(D848&gt;0,1,0)</f>
        <v>1</v>
      </c>
    </row>
    <row r="849" customFormat="false" ht="15" hidden="false" customHeight="false" outlineLevel="0" collapsed="false">
      <c r="A849" s="8" t="s">
        <v>2474</v>
      </c>
      <c r="B849" s="8" t="s">
        <v>51</v>
      </c>
      <c r="C849" s="30" t="n">
        <v>468</v>
      </c>
      <c r="D849" s="30" t="n">
        <v>468</v>
      </c>
      <c r="E849" s="30" t="n">
        <f aca="false">MIN(C849,D849)</f>
        <v>468</v>
      </c>
      <c r="F849" s="8" t="n">
        <f aca="false">IF(D849&gt;0,1,0)</f>
        <v>1</v>
      </c>
    </row>
    <row r="850" customFormat="false" ht="15" hidden="false" customHeight="false" outlineLevel="0" collapsed="false">
      <c r="A850" s="8" t="s">
        <v>2478</v>
      </c>
      <c r="B850" s="8" t="s">
        <v>51</v>
      </c>
      <c r="C850" s="30" t="n">
        <v>468</v>
      </c>
      <c r="D850" s="30" t="n">
        <v>468</v>
      </c>
      <c r="E850" s="30" t="n">
        <f aca="false">MIN(C850,D850)</f>
        <v>468</v>
      </c>
      <c r="F850" s="8" t="n">
        <f aca="false">IF(D850&gt;0,1,0)</f>
        <v>1</v>
      </c>
    </row>
    <row r="851" customFormat="false" ht="15" hidden="false" customHeight="false" outlineLevel="0" collapsed="false">
      <c r="A851" s="8" t="s">
        <v>2480</v>
      </c>
      <c r="B851" s="8" t="s">
        <v>51</v>
      </c>
      <c r="C851" s="30" t="n">
        <v>468</v>
      </c>
      <c r="D851" s="30" t="n">
        <v>468</v>
      </c>
      <c r="E851" s="30" t="n">
        <f aca="false">MIN(C851,D851)</f>
        <v>468</v>
      </c>
      <c r="F851" s="8" t="n">
        <f aca="false">IF(D851&gt;0,1,0)</f>
        <v>1</v>
      </c>
    </row>
    <row r="852" customFormat="false" ht="15" hidden="false" customHeight="false" outlineLevel="0" collapsed="false">
      <c r="A852" s="8" t="s">
        <v>2834</v>
      </c>
      <c r="B852" s="8" t="s">
        <v>51</v>
      </c>
      <c r="C852" s="30" t="n">
        <v>468</v>
      </c>
      <c r="D852" s="30" t="n">
        <v>396</v>
      </c>
      <c r="E852" s="30" t="n">
        <f aca="false">MIN(C852,D852)</f>
        <v>396</v>
      </c>
      <c r="F852" s="8" t="n">
        <f aca="false">IF(D852&gt;0,1,0)</f>
        <v>1</v>
      </c>
    </row>
    <row r="853" customFormat="false" ht="15" hidden="false" customHeight="false" outlineLevel="0" collapsed="false">
      <c r="A853" s="8" t="s">
        <v>2484</v>
      </c>
      <c r="B853" s="8" t="s">
        <v>51</v>
      </c>
      <c r="C853" s="30" t="n">
        <v>468</v>
      </c>
      <c r="D853" s="30" t="n">
        <v>468</v>
      </c>
      <c r="E853" s="30" t="n">
        <f aca="false">MIN(C853,D853)</f>
        <v>468</v>
      </c>
      <c r="F853" s="8" t="n">
        <f aca="false">IF(D853&gt;0,1,0)</f>
        <v>1</v>
      </c>
    </row>
    <row r="854" customFormat="false" ht="15" hidden="false" customHeight="false" outlineLevel="0" collapsed="false">
      <c r="A854" s="8" t="s">
        <v>2486</v>
      </c>
      <c r="B854" s="8" t="s">
        <v>51</v>
      </c>
      <c r="C854" s="30" t="n">
        <v>456</v>
      </c>
      <c r="D854" s="30" t="n">
        <v>456</v>
      </c>
      <c r="E854" s="30" t="n">
        <f aca="false">MIN(C854,D854)</f>
        <v>456</v>
      </c>
      <c r="F854" s="8" t="n">
        <f aca="false">IF(D854&gt;0,1,0)</f>
        <v>1</v>
      </c>
    </row>
    <row r="855" customFormat="false" ht="15" hidden="false" customHeight="false" outlineLevel="0" collapsed="false">
      <c r="A855" s="8" t="s">
        <v>2488</v>
      </c>
      <c r="B855" s="8" t="s">
        <v>51</v>
      </c>
      <c r="C855" s="30" t="n">
        <v>456</v>
      </c>
      <c r="D855" s="30" t="n">
        <v>456</v>
      </c>
      <c r="E855" s="30" t="n">
        <f aca="false">MIN(C855,D855)</f>
        <v>456</v>
      </c>
      <c r="F855" s="8" t="n">
        <f aca="false">IF(D855&gt;0,1,0)</f>
        <v>1</v>
      </c>
    </row>
    <row r="856" customFormat="false" ht="15" hidden="false" customHeight="false" outlineLevel="0" collapsed="false">
      <c r="A856" s="8" t="s">
        <v>4501</v>
      </c>
      <c r="B856" s="8" t="s">
        <v>51</v>
      </c>
      <c r="C856" s="30" t="n">
        <v>456</v>
      </c>
      <c r="D856" s="30" t="n">
        <v>0</v>
      </c>
      <c r="E856" s="30" t="n">
        <f aca="false">MIN(C856,D856)</f>
        <v>0</v>
      </c>
      <c r="F856" s="8" t="n">
        <f aca="false">IF(D856&gt;0,1,0)</f>
        <v>0</v>
      </c>
    </row>
    <row r="857" customFormat="false" ht="15" hidden="false" customHeight="false" outlineLevel="0" collapsed="false">
      <c r="A857" s="8" t="s">
        <v>2490</v>
      </c>
      <c r="B857" s="8" t="s">
        <v>51</v>
      </c>
      <c r="C857" s="30" t="n">
        <v>456</v>
      </c>
      <c r="D857" s="30" t="n">
        <v>456</v>
      </c>
      <c r="E857" s="30" t="n">
        <f aca="false">MIN(C857,D857)</f>
        <v>456</v>
      </c>
      <c r="F857" s="8" t="n">
        <f aca="false">IF(D857&gt;0,1,0)</f>
        <v>1</v>
      </c>
    </row>
    <row r="858" customFormat="false" ht="15" hidden="false" customHeight="false" outlineLevel="0" collapsed="false">
      <c r="A858" s="8" t="s">
        <v>4502</v>
      </c>
      <c r="B858" s="8" t="s">
        <v>51</v>
      </c>
      <c r="C858" s="30" t="n">
        <v>456</v>
      </c>
      <c r="D858" s="30" t="n">
        <v>0</v>
      </c>
      <c r="E858" s="30" t="n">
        <f aca="false">MIN(C858,D858)</f>
        <v>0</v>
      </c>
      <c r="F858" s="8" t="n">
        <f aca="false">IF(D858&gt;0,1,0)</f>
        <v>0</v>
      </c>
    </row>
    <row r="859" customFormat="false" ht="15" hidden="false" customHeight="false" outlineLevel="0" collapsed="false">
      <c r="A859" s="8" t="s">
        <v>2492</v>
      </c>
      <c r="B859" s="8" t="s">
        <v>51</v>
      </c>
      <c r="C859" s="30" t="n">
        <v>456</v>
      </c>
      <c r="D859" s="30" t="n">
        <v>456</v>
      </c>
      <c r="E859" s="30" t="n">
        <f aca="false">MIN(C859,D859)</f>
        <v>456</v>
      </c>
      <c r="F859" s="8" t="n">
        <f aca="false">IF(D859&gt;0,1,0)</f>
        <v>1</v>
      </c>
    </row>
    <row r="860" customFormat="false" ht="15" hidden="false" customHeight="false" outlineLevel="0" collapsed="false">
      <c r="A860" s="8" t="s">
        <v>2308</v>
      </c>
      <c r="B860" s="8" t="s">
        <v>51</v>
      </c>
      <c r="C860" s="30" t="n">
        <v>456</v>
      </c>
      <c r="D860" s="30" t="n">
        <v>540</v>
      </c>
      <c r="E860" s="30" t="n">
        <f aca="false">MIN(C860,D860)</f>
        <v>456</v>
      </c>
      <c r="F860" s="8" t="n">
        <f aca="false">IF(D860&gt;0,1,0)</f>
        <v>1</v>
      </c>
    </row>
    <row r="861" customFormat="false" ht="15" hidden="false" customHeight="false" outlineLevel="0" collapsed="false">
      <c r="A861" s="8" t="s">
        <v>2504</v>
      </c>
      <c r="B861" s="8" t="s">
        <v>51</v>
      </c>
      <c r="C861" s="30" t="n">
        <v>456</v>
      </c>
      <c r="D861" s="30" t="n">
        <v>456</v>
      </c>
      <c r="E861" s="30" t="n">
        <f aca="false">MIN(C861,D861)</f>
        <v>456</v>
      </c>
      <c r="F861" s="8" t="n">
        <f aca="false">IF(D861&gt;0,1,0)</f>
        <v>1</v>
      </c>
    </row>
    <row r="862" customFormat="false" ht="15" hidden="false" customHeight="false" outlineLevel="0" collapsed="false">
      <c r="A862" s="8" t="s">
        <v>2194</v>
      </c>
      <c r="B862" s="8" t="s">
        <v>51</v>
      </c>
      <c r="C862" s="30" t="n">
        <v>456</v>
      </c>
      <c r="D862" s="30" t="n">
        <v>624</v>
      </c>
      <c r="E862" s="30" t="n">
        <f aca="false">MIN(C862,D862)</f>
        <v>456</v>
      </c>
      <c r="F862" s="8" t="n">
        <f aca="false">IF(D862&gt;0,1,0)</f>
        <v>1</v>
      </c>
    </row>
    <row r="863" customFormat="false" ht="15" hidden="false" customHeight="false" outlineLevel="0" collapsed="false">
      <c r="A863" s="8" t="s">
        <v>2508</v>
      </c>
      <c r="B863" s="8" t="s">
        <v>51</v>
      </c>
      <c r="C863" s="30" t="n">
        <v>456</v>
      </c>
      <c r="D863" s="30" t="n">
        <v>456</v>
      </c>
      <c r="E863" s="30" t="n">
        <f aca="false">MIN(C863,D863)</f>
        <v>456</v>
      </c>
      <c r="F863" s="8" t="n">
        <f aca="false">IF(D863&gt;0,1,0)</f>
        <v>1</v>
      </c>
    </row>
    <row r="864" customFormat="false" ht="15" hidden="false" customHeight="false" outlineLevel="0" collapsed="false">
      <c r="A864" s="8" t="s">
        <v>2510</v>
      </c>
      <c r="B864" s="8" t="s">
        <v>51</v>
      </c>
      <c r="C864" s="30" t="n">
        <v>456</v>
      </c>
      <c r="D864" s="30" t="n">
        <v>456</v>
      </c>
      <c r="E864" s="30" t="n">
        <f aca="false">MIN(C864,D864)</f>
        <v>456</v>
      </c>
      <c r="F864" s="8" t="n">
        <f aca="false">IF(D864&gt;0,1,0)</f>
        <v>1</v>
      </c>
    </row>
    <row r="865" customFormat="false" ht="15" hidden="false" customHeight="false" outlineLevel="0" collapsed="false">
      <c r="A865" s="8" t="s">
        <v>2514</v>
      </c>
      <c r="B865" s="8" t="s">
        <v>51</v>
      </c>
      <c r="C865" s="30" t="n">
        <v>456</v>
      </c>
      <c r="D865" s="30" t="n">
        <v>456</v>
      </c>
      <c r="E865" s="30" t="n">
        <f aca="false">MIN(C865,D865)</f>
        <v>456</v>
      </c>
      <c r="F865" s="8" t="n">
        <f aca="false">IF(D865&gt;0,1,0)</f>
        <v>1</v>
      </c>
    </row>
    <row r="866" customFormat="false" ht="15" hidden="false" customHeight="false" outlineLevel="0" collapsed="false">
      <c r="A866" s="8" t="s">
        <v>2992</v>
      </c>
      <c r="B866" s="8" t="s">
        <v>51</v>
      </c>
      <c r="C866" s="30" t="n">
        <v>456</v>
      </c>
      <c r="D866" s="30" t="n">
        <v>360</v>
      </c>
      <c r="E866" s="30" t="n">
        <f aca="false">MIN(C866,D866)</f>
        <v>360</v>
      </c>
      <c r="F866" s="8" t="n">
        <f aca="false">IF(D866&gt;0,1,0)</f>
        <v>1</v>
      </c>
    </row>
    <row r="867" customFormat="false" ht="15" hidden="false" customHeight="false" outlineLevel="0" collapsed="false">
      <c r="A867" s="8" t="s">
        <v>2522</v>
      </c>
      <c r="B867" s="8" t="s">
        <v>51</v>
      </c>
      <c r="C867" s="30" t="n">
        <v>456</v>
      </c>
      <c r="D867" s="30" t="n">
        <v>456</v>
      </c>
      <c r="E867" s="30" t="n">
        <f aca="false">MIN(C867,D867)</f>
        <v>456</v>
      </c>
      <c r="F867" s="8" t="n">
        <f aca="false">IF(D867&gt;0,1,0)</f>
        <v>1</v>
      </c>
    </row>
    <row r="868" customFormat="false" ht="15" hidden="false" customHeight="false" outlineLevel="0" collapsed="false">
      <c r="A868" s="8" t="s">
        <v>4503</v>
      </c>
      <c r="B868" s="8" t="s">
        <v>51</v>
      </c>
      <c r="C868" s="30" t="n">
        <v>456</v>
      </c>
      <c r="D868" s="30" t="n">
        <v>0</v>
      </c>
      <c r="E868" s="30" t="n">
        <f aca="false">MIN(C868,D868)</f>
        <v>0</v>
      </c>
      <c r="F868" s="8" t="n">
        <f aca="false">IF(D868&gt;0,1,0)</f>
        <v>0</v>
      </c>
    </row>
    <row r="869" customFormat="false" ht="15" hidden="false" customHeight="false" outlineLevel="0" collapsed="false">
      <c r="A869" s="8" t="s">
        <v>4504</v>
      </c>
      <c r="B869" s="8" t="s">
        <v>51</v>
      </c>
      <c r="C869" s="30" t="n">
        <v>456</v>
      </c>
      <c r="D869" s="30" t="n">
        <v>0</v>
      </c>
      <c r="E869" s="30" t="n">
        <f aca="false">MIN(C869,D869)</f>
        <v>0</v>
      </c>
      <c r="F869" s="8" t="n">
        <f aca="false">IF(D869&gt;0,1,0)</f>
        <v>0</v>
      </c>
    </row>
    <row r="870" customFormat="false" ht="15" hidden="false" customHeight="false" outlineLevel="0" collapsed="false">
      <c r="A870" s="8" t="s">
        <v>2148</v>
      </c>
      <c r="B870" s="8" t="s">
        <v>51</v>
      </c>
      <c r="C870" s="30" t="n">
        <v>456</v>
      </c>
      <c r="D870" s="30" t="n">
        <v>660</v>
      </c>
      <c r="E870" s="30" t="n">
        <f aca="false">MIN(C870,D870)</f>
        <v>456</v>
      </c>
      <c r="F870" s="8" t="n">
        <f aca="false">IF(D870&gt;0,1,0)</f>
        <v>1</v>
      </c>
    </row>
    <row r="871" customFormat="false" ht="15" hidden="false" customHeight="false" outlineLevel="0" collapsed="false">
      <c r="A871" s="8" t="s">
        <v>2534</v>
      </c>
      <c r="B871" s="8" t="s">
        <v>51</v>
      </c>
      <c r="C871" s="30" t="n">
        <v>456</v>
      </c>
      <c r="D871" s="30" t="n">
        <v>456</v>
      </c>
      <c r="E871" s="30" t="n">
        <f aca="false">MIN(C871,D871)</f>
        <v>456</v>
      </c>
      <c r="F871" s="8" t="n">
        <f aca="false">IF(D871&gt;0,1,0)</f>
        <v>1</v>
      </c>
    </row>
    <row r="872" customFormat="false" ht="15" hidden="false" customHeight="false" outlineLevel="0" collapsed="false">
      <c r="A872" s="8" t="s">
        <v>2230</v>
      </c>
      <c r="B872" s="8" t="s">
        <v>51</v>
      </c>
      <c r="C872" s="30" t="n">
        <v>456</v>
      </c>
      <c r="D872" s="30" t="n">
        <v>600</v>
      </c>
      <c r="E872" s="30" t="n">
        <f aca="false">MIN(C872,D872)</f>
        <v>456</v>
      </c>
      <c r="F872" s="8" t="n">
        <f aca="false">IF(D872&gt;0,1,0)</f>
        <v>1</v>
      </c>
    </row>
    <row r="873" customFormat="false" ht="15" hidden="false" customHeight="false" outlineLevel="0" collapsed="false">
      <c r="A873" s="8" t="s">
        <v>2538</v>
      </c>
      <c r="B873" s="8" t="s">
        <v>51</v>
      </c>
      <c r="C873" s="30" t="n">
        <v>450</v>
      </c>
      <c r="D873" s="30" t="n">
        <v>450</v>
      </c>
      <c r="E873" s="30" t="n">
        <f aca="false">MIN(C873,D873)</f>
        <v>450</v>
      </c>
      <c r="F873" s="8" t="n">
        <f aca="false">IF(D873&gt;0,1,0)</f>
        <v>1</v>
      </c>
    </row>
    <row r="874" customFormat="false" ht="15" hidden="false" customHeight="false" outlineLevel="0" collapsed="false">
      <c r="A874" s="8" t="s">
        <v>4505</v>
      </c>
      <c r="B874" s="8" t="s">
        <v>51</v>
      </c>
      <c r="C874" s="30" t="n">
        <v>450</v>
      </c>
      <c r="D874" s="30" t="n">
        <v>0</v>
      </c>
      <c r="E874" s="30" t="n">
        <f aca="false">MIN(C874,D874)</f>
        <v>0</v>
      </c>
      <c r="F874" s="8" t="n">
        <f aca="false">IF(D874&gt;0,1,0)</f>
        <v>0</v>
      </c>
    </row>
    <row r="875" customFormat="false" ht="15" hidden="false" customHeight="false" outlineLevel="0" collapsed="false">
      <c r="A875" s="8" t="s">
        <v>4506</v>
      </c>
      <c r="B875" s="8" t="s">
        <v>51</v>
      </c>
      <c r="C875" s="30" t="n">
        <v>450</v>
      </c>
      <c r="D875" s="30" t="n">
        <v>0</v>
      </c>
      <c r="E875" s="30" t="n">
        <f aca="false">MIN(C875,D875)</f>
        <v>0</v>
      </c>
      <c r="F875" s="8" t="n">
        <f aca="false">IF(D875&gt;0,1,0)</f>
        <v>0</v>
      </c>
    </row>
    <row r="876" customFormat="false" ht="15" hidden="false" customHeight="false" outlineLevel="0" collapsed="false">
      <c r="A876" s="8" t="s">
        <v>4507</v>
      </c>
      <c r="B876" s="8" t="s">
        <v>51</v>
      </c>
      <c r="C876" s="30" t="n">
        <v>450</v>
      </c>
      <c r="D876" s="30" t="n">
        <v>0</v>
      </c>
      <c r="E876" s="30" t="n">
        <f aca="false">MIN(C876,D876)</f>
        <v>0</v>
      </c>
      <c r="F876" s="8" t="n">
        <f aca="false">IF(D876&gt;0,1,0)</f>
        <v>0</v>
      </c>
    </row>
    <row r="877" customFormat="false" ht="15" hidden="false" customHeight="false" outlineLevel="0" collapsed="false">
      <c r="A877" s="8" t="s">
        <v>2544</v>
      </c>
      <c r="B877" s="8" t="s">
        <v>51</v>
      </c>
      <c r="C877" s="30" t="n">
        <v>450</v>
      </c>
      <c r="D877" s="30" t="n">
        <v>450</v>
      </c>
      <c r="E877" s="30" t="n">
        <f aca="false">MIN(C877,D877)</f>
        <v>450</v>
      </c>
      <c r="F877" s="8" t="n">
        <f aca="false">IF(D877&gt;0,1,0)</f>
        <v>1</v>
      </c>
    </row>
    <row r="878" customFormat="false" ht="15" hidden="false" customHeight="false" outlineLevel="0" collapsed="false">
      <c r="A878" s="8" t="s">
        <v>2546</v>
      </c>
      <c r="B878" s="8" t="s">
        <v>51</v>
      </c>
      <c r="C878" s="30" t="n">
        <v>450</v>
      </c>
      <c r="D878" s="30" t="n">
        <v>450</v>
      </c>
      <c r="E878" s="30" t="n">
        <f aca="false">MIN(C878,D878)</f>
        <v>450</v>
      </c>
      <c r="F878" s="8" t="n">
        <f aca="false">IF(D878&gt;0,1,0)</f>
        <v>1</v>
      </c>
    </row>
    <row r="879" customFormat="false" ht="15" hidden="false" customHeight="false" outlineLevel="0" collapsed="false">
      <c r="A879" s="8" t="s">
        <v>4508</v>
      </c>
      <c r="B879" s="8" t="s">
        <v>51</v>
      </c>
      <c r="C879" s="30" t="n">
        <v>450</v>
      </c>
      <c r="D879" s="30" t="n">
        <v>0</v>
      </c>
      <c r="E879" s="30" t="n">
        <f aca="false">MIN(C879,D879)</f>
        <v>0</v>
      </c>
      <c r="F879" s="8" t="n">
        <f aca="false">IF(D879&gt;0,1,0)</f>
        <v>0</v>
      </c>
    </row>
    <row r="880" customFormat="false" ht="15" hidden="false" customHeight="false" outlineLevel="0" collapsed="false">
      <c r="A880" s="8" t="s">
        <v>2302</v>
      </c>
      <c r="B880" s="8" t="s">
        <v>51</v>
      </c>
      <c r="C880" s="30" t="n">
        <v>450</v>
      </c>
      <c r="D880" s="30" t="n">
        <v>550</v>
      </c>
      <c r="E880" s="30" t="n">
        <f aca="false">MIN(C880,D880)</f>
        <v>450</v>
      </c>
      <c r="F880" s="8" t="n">
        <f aca="false">IF(D880&gt;0,1,0)</f>
        <v>1</v>
      </c>
    </row>
    <row r="881" customFormat="false" ht="15" hidden="false" customHeight="false" outlineLevel="0" collapsed="false">
      <c r="A881" s="8" t="s">
        <v>2554</v>
      </c>
      <c r="B881" s="8" t="s">
        <v>51</v>
      </c>
      <c r="C881" s="30" t="n">
        <v>444</v>
      </c>
      <c r="D881" s="30" t="n">
        <v>444</v>
      </c>
      <c r="E881" s="30" t="n">
        <f aca="false">MIN(C881,D881)</f>
        <v>444</v>
      </c>
      <c r="F881" s="8" t="n">
        <f aca="false">IF(D881&gt;0,1,0)</f>
        <v>1</v>
      </c>
    </row>
    <row r="882" customFormat="false" ht="15" hidden="false" customHeight="false" outlineLevel="0" collapsed="false">
      <c r="A882" s="8" t="s">
        <v>2556</v>
      </c>
      <c r="B882" s="8" t="s">
        <v>51</v>
      </c>
      <c r="C882" s="30" t="n">
        <v>444</v>
      </c>
      <c r="D882" s="30" t="n">
        <v>444</v>
      </c>
      <c r="E882" s="30" t="n">
        <f aca="false">MIN(C882,D882)</f>
        <v>444</v>
      </c>
      <c r="F882" s="8" t="n">
        <f aca="false">IF(D882&gt;0,1,0)</f>
        <v>1</v>
      </c>
    </row>
    <row r="883" customFormat="false" ht="15" hidden="false" customHeight="false" outlineLevel="0" collapsed="false">
      <c r="A883" s="8" t="s">
        <v>2558</v>
      </c>
      <c r="B883" s="8" t="s">
        <v>51</v>
      </c>
      <c r="C883" s="30" t="n">
        <v>444</v>
      </c>
      <c r="D883" s="30" t="n">
        <v>444</v>
      </c>
      <c r="E883" s="30" t="n">
        <f aca="false">MIN(C883,D883)</f>
        <v>444</v>
      </c>
      <c r="F883" s="8" t="n">
        <f aca="false">IF(D883&gt;0,1,0)</f>
        <v>1</v>
      </c>
    </row>
    <row r="884" customFormat="false" ht="15" hidden="false" customHeight="false" outlineLevel="0" collapsed="false">
      <c r="A884" s="8" t="s">
        <v>2238</v>
      </c>
      <c r="B884" s="8" t="s">
        <v>51</v>
      </c>
      <c r="C884" s="30" t="n">
        <v>444</v>
      </c>
      <c r="D884" s="30" t="n">
        <v>576</v>
      </c>
      <c r="E884" s="30" t="n">
        <f aca="false">MIN(C884,D884)</f>
        <v>444</v>
      </c>
      <c r="F884" s="8" t="n">
        <f aca="false">IF(D884&gt;0,1,0)</f>
        <v>1</v>
      </c>
    </row>
    <row r="885" customFormat="false" ht="15" hidden="false" customHeight="false" outlineLevel="0" collapsed="false">
      <c r="A885" s="8" t="s">
        <v>2564</v>
      </c>
      <c r="B885" s="8" t="s">
        <v>51</v>
      </c>
      <c r="C885" s="30" t="n">
        <v>444</v>
      </c>
      <c r="D885" s="30" t="n">
        <v>444</v>
      </c>
      <c r="E885" s="30" t="n">
        <f aca="false">MIN(C885,D885)</f>
        <v>444</v>
      </c>
      <c r="F885" s="8" t="n">
        <f aca="false">IF(D885&gt;0,1,0)</f>
        <v>1</v>
      </c>
    </row>
    <row r="886" customFormat="false" ht="15" hidden="false" customHeight="false" outlineLevel="0" collapsed="false">
      <c r="A886" s="8" t="s">
        <v>2822</v>
      </c>
      <c r="B886" s="8" t="s">
        <v>51</v>
      </c>
      <c r="C886" s="30" t="n">
        <v>444</v>
      </c>
      <c r="D886" s="30" t="n">
        <v>396</v>
      </c>
      <c r="E886" s="30" t="n">
        <f aca="false">MIN(C886,D886)</f>
        <v>396</v>
      </c>
      <c r="F886" s="8" t="n">
        <f aca="false">IF(D886&gt;0,1,0)</f>
        <v>1</v>
      </c>
    </row>
    <row r="887" customFormat="false" ht="15" hidden="false" customHeight="false" outlineLevel="0" collapsed="false">
      <c r="A887" s="8" t="s">
        <v>2570</v>
      </c>
      <c r="B887" s="8" t="s">
        <v>51</v>
      </c>
      <c r="C887" s="30" t="n">
        <v>444</v>
      </c>
      <c r="D887" s="30" t="n">
        <v>444</v>
      </c>
      <c r="E887" s="30" t="n">
        <f aca="false">MIN(C887,D887)</f>
        <v>444</v>
      </c>
      <c r="F887" s="8" t="n">
        <f aca="false">IF(D887&gt;0,1,0)</f>
        <v>1</v>
      </c>
    </row>
    <row r="888" customFormat="false" ht="15" hidden="false" customHeight="false" outlineLevel="0" collapsed="false">
      <c r="A888" s="8" t="s">
        <v>4509</v>
      </c>
      <c r="B888" s="8" t="s">
        <v>51</v>
      </c>
      <c r="C888" s="30" t="n">
        <v>444</v>
      </c>
      <c r="D888" s="30" t="n">
        <v>0</v>
      </c>
      <c r="E888" s="30" t="n">
        <f aca="false">MIN(C888,D888)</f>
        <v>0</v>
      </c>
      <c r="F888" s="8" t="n">
        <f aca="false">IF(D888&gt;0,1,0)</f>
        <v>0</v>
      </c>
    </row>
    <row r="889" customFormat="false" ht="15" hidden="false" customHeight="false" outlineLevel="0" collapsed="false">
      <c r="A889" s="8" t="s">
        <v>2572</v>
      </c>
      <c r="B889" s="8" t="s">
        <v>51</v>
      </c>
      <c r="C889" s="30" t="n">
        <v>444</v>
      </c>
      <c r="D889" s="30" t="n">
        <v>444</v>
      </c>
      <c r="E889" s="30" t="n">
        <f aca="false">MIN(C889,D889)</f>
        <v>444</v>
      </c>
      <c r="F889" s="8" t="n">
        <f aca="false">IF(D889&gt;0,1,0)</f>
        <v>1</v>
      </c>
    </row>
    <row r="890" customFormat="false" ht="15" hidden="false" customHeight="false" outlineLevel="0" collapsed="false">
      <c r="A890" s="8" t="s">
        <v>2574</v>
      </c>
      <c r="B890" s="8" t="s">
        <v>51</v>
      </c>
      <c r="C890" s="30" t="n">
        <v>444</v>
      </c>
      <c r="D890" s="30" t="n">
        <v>444</v>
      </c>
      <c r="E890" s="30" t="n">
        <f aca="false">MIN(C890,D890)</f>
        <v>444</v>
      </c>
      <c r="F890" s="8" t="n">
        <f aca="false">IF(D890&gt;0,1,0)</f>
        <v>1</v>
      </c>
    </row>
    <row r="891" customFormat="false" ht="15" hidden="false" customHeight="false" outlineLevel="0" collapsed="false">
      <c r="A891" s="8" t="s">
        <v>4510</v>
      </c>
      <c r="B891" s="8" t="s">
        <v>51</v>
      </c>
      <c r="C891" s="30" t="n">
        <v>444</v>
      </c>
      <c r="D891" s="30" t="n">
        <v>0</v>
      </c>
      <c r="E891" s="30" t="n">
        <f aca="false">MIN(C891,D891)</f>
        <v>0</v>
      </c>
      <c r="F891" s="8" t="n">
        <f aca="false">IF(D891&gt;0,1,0)</f>
        <v>0</v>
      </c>
    </row>
    <row r="892" customFormat="false" ht="15" hidden="false" customHeight="false" outlineLevel="0" collapsed="false">
      <c r="A892" s="8" t="s">
        <v>2576</v>
      </c>
      <c r="B892" s="8" t="s">
        <v>51</v>
      </c>
      <c r="C892" s="30" t="n">
        <v>444</v>
      </c>
      <c r="D892" s="30" t="n">
        <v>444</v>
      </c>
      <c r="E892" s="30" t="n">
        <f aca="false">MIN(C892,D892)</f>
        <v>444</v>
      </c>
      <c r="F892" s="8" t="n">
        <f aca="false">IF(D892&gt;0,1,0)</f>
        <v>1</v>
      </c>
    </row>
    <row r="893" customFormat="false" ht="15" hidden="false" customHeight="false" outlineLevel="0" collapsed="false">
      <c r="A893" s="8" t="s">
        <v>2580</v>
      </c>
      <c r="B893" s="8" t="s">
        <v>51</v>
      </c>
      <c r="C893" s="30" t="n">
        <v>444</v>
      </c>
      <c r="D893" s="30" t="n">
        <v>444</v>
      </c>
      <c r="E893" s="30" t="n">
        <f aca="false">MIN(C893,D893)</f>
        <v>444</v>
      </c>
      <c r="F893" s="8" t="n">
        <f aca="false">IF(D893&gt;0,1,0)</f>
        <v>1</v>
      </c>
    </row>
    <row r="894" customFormat="false" ht="15" hidden="false" customHeight="false" outlineLevel="0" collapsed="false">
      <c r="A894" s="8" t="s">
        <v>4511</v>
      </c>
      <c r="B894" s="8" t="s">
        <v>51</v>
      </c>
      <c r="C894" s="30" t="n">
        <v>444</v>
      </c>
      <c r="D894" s="30" t="n">
        <v>0</v>
      </c>
      <c r="E894" s="30" t="n">
        <f aca="false">MIN(C894,D894)</f>
        <v>0</v>
      </c>
      <c r="F894" s="8" t="n">
        <f aca="false">IF(D894&gt;0,1,0)</f>
        <v>0</v>
      </c>
    </row>
    <row r="895" customFormat="false" ht="15" hidden="false" customHeight="false" outlineLevel="0" collapsed="false">
      <c r="A895" s="8" t="s">
        <v>2586</v>
      </c>
      <c r="B895" s="8" t="s">
        <v>51</v>
      </c>
      <c r="C895" s="30" t="n">
        <v>432</v>
      </c>
      <c r="D895" s="30" t="n">
        <v>432</v>
      </c>
      <c r="E895" s="30" t="n">
        <f aca="false">MIN(C895,D895)</f>
        <v>432</v>
      </c>
      <c r="F895" s="8" t="n">
        <f aca="false">IF(D895&gt;0,1,0)</f>
        <v>1</v>
      </c>
    </row>
    <row r="896" customFormat="false" ht="15" hidden="false" customHeight="false" outlineLevel="0" collapsed="false">
      <c r="A896" s="8" t="s">
        <v>2590</v>
      </c>
      <c r="B896" s="8" t="s">
        <v>51</v>
      </c>
      <c r="C896" s="30" t="n">
        <v>432</v>
      </c>
      <c r="D896" s="30" t="n">
        <v>432</v>
      </c>
      <c r="E896" s="30" t="n">
        <f aca="false">MIN(C896,D896)</f>
        <v>432</v>
      </c>
      <c r="F896" s="8" t="n">
        <f aca="false">IF(D896&gt;0,1,0)</f>
        <v>1</v>
      </c>
    </row>
    <row r="897" customFormat="false" ht="15" hidden="false" customHeight="false" outlineLevel="0" collapsed="false">
      <c r="A897" s="8" t="s">
        <v>2602</v>
      </c>
      <c r="B897" s="8" t="s">
        <v>51</v>
      </c>
      <c r="C897" s="30" t="n">
        <v>432</v>
      </c>
      <c r="D897" s="30" t="n">
        <v>432</v>
      </c>
      <c r="E897" s="30" t="n">
        <f aca="false">MIN(C897,D897)</f>
        <v>432</v>
      </c>
      <c r="F897" s="8" t="n">
        <f aca="false">IF(D897&gt;0,1,0)</f>
        <v>1</v>
      </c>
    </row>
    <row r="898" customFormat="false" ht="15" hidden="false" customHeight="false" outlineLevel="0" collapsed="false">
      <c r="A898" s="8" t="s">
        <v>3166</v>
      </c>
      <c r="B898" s="8" t="s">
        <v>51</v>
      </c>
      <c r="C898" s="30" t="n">
        <v>432</v>
      </c>
      <c r="D898" s="30" t="n">
        <v>324</v>
      </c>
      <c r="E898" s="30" t="n">
        <f aca="false">MIN(C898,D898)</f>
        <v>324</v>
      </c>
      <c r="F898" s="8" t="n">
        <f aca="false">IF(D898&gt;0,1,0)</f>
        <v>1</v>
      </c>
    </row>
    <row r="899" customFormat="false" ht="15" hidden="false" customHeight="false" outlineLevel="0" collapsed="false">
      <c r="A899" s="8" t="s">
        <v>2606</v>
      </c>
      <c r="B899" s="8" t="s">
        <v>51</v>
      </c>
      <c r="C899" s="30" t="n">
        <v>432</v>
      </c>
      <c r="D899" s="30" t="n">
        <v>432</v>
      </c>
      <c r="E899" s="30" t="n">
        <f aca="false">MIN(C899,D899)</f>
        <v>432</v>
      </c>
      <c r="F899" s="8" t="n">
        <f aca="false">IF(D899&gt;0,1,0)</f>
        <v>1</v>
      </c>
    </row>
    <row r="900" customFormat="false" ht="15" hidden="false" customHeight="false" outlineLevel="0" collapsed="false">
      <c r="A900" s="8" t="s">
        <v>3000</v>
      </c>
      <c r="B900" s="8" t="s">
        <v>51</v>
      </c>
      <c r="C900" s="30" t="n">
        <v>432</v>
      </c>
      <c r="D900" s="30" t="n">
        <v>360</v>
      </c>
      <c r="E900" s="30" t="n">
        <f aca="false">MIN(C900,D900)</f>
        <v>360</v>
      </c>
      <c r="F900" s="8" t="n">
        <f aca="false">IF(D900&gt;0,1,0)</f>
        <v>1</v>
      </c>
    </row>
    <row r="901" customFormat="false" ht="15" hidden="false" customHeight="false" outlineLevel="0" collapsed="false">
      <c r="A901" s="8" t="s">
        <v>2244</v>
      </c>
      <c r="B901" s="8" t="s">
        <v>51</v>
      </c>
      <c r="C901" s="30" t="n">
        <v>432</v>
      </c>
      <c r="D901" s="30" t="n">
        <v>576</v>
      </c>
      <c r="E901" s="30" t="n">
        <f aca="false">MIN(C901,D901)</f>
        <v>432</v>
      </c>
      <c r="F901" s="8" t="n">
        <f aca="false">IF(D901&gt;0,1,0)</f>
        <v>1</v>
      </c>
    </row>
    <row r="902" customFormat="false" ht="15" hidden="false" customHeight="false" outlineLevel="0" collapsed="false">
      <c r="A902" s="8" t="s">
        <v>4512</v>
      </c>
      <c r="B902" s="8" t="s">
        <v>51</v>
      </c>
      <c r="C902" s="30" t="n">
        <v>432</v>
      </c>
      <c r="D902" s="30" t="n">
        <v>0</v>
      </c>
      <c r="E902" s="30" t="n">
        <f aca="false">MIN(C902,D902)</f>
        <v>0</v>
      </c>
      <c r="F902" s="8" t="n">
        <f aca="false">IF(D902&gt;0,1,0)</f>
        <v>0</v>
      </c>
    </row>
    <row r="903" customFormat="false" ht="15" hidden="false" customHeight="false" outlineLevel="0" collapsed="false">
      <c r="A903" s="8" t="s">
        <v>2608</v>
      </c>
      <c r="B903" s="8" t="s">
        <v>51</v>
      </c>
      <c r="C903" s="30" t="n">
        <v>432</v>
      </c>
      <c r="D903" s="30" t="n">
        <v>432</v>
      </c>
      <c r="E903" s="30" t="n">
        <f aca="false">MIN(C903,D903)</f>
        <v>432</v>
      </c>
      <c r="F903" s="8" t="n">
        <f aca="false">IF(D903&gt;0,1,0)</f>
        <v>1</v>
      </c>
    </row>
    <row r="904" customFormat="false" ht="15" hidden="false" customHeight="false" outlineLevel="0" collapsed="false">
      <c r="A904" s="8" t="s">
        <v>2610</v>
      </c>
      <c r="B904" s="8" t="s">
        <v>51</v>
      </c>
      <c r="C904" s="30" t="n">
        <v>432</v>
      </c>
      <c r="D904" s="30" t="n">
        <v>432</v>
      </c>
      <c r="E904" s="30" t="n">
        <f aca="false">MIN(C904,D904)</f>
        <v>432</v>
      </c>
      <c r="F904" s="8" t="n">
        <f aca="false">IF(D904&gt;0,1,0)</f>
        <v>1</v>
      </c>
    </row>
    <row r="905" customFormat="false" ht="15" hidden="false" customHeight="false" outlineLevel="0" collapsed="false">
      <c r="A905" s="8" t="s">
        <v>2612</v>
      </c>
      <c r="B905" s="8" t="s">
        <v>51</v>
      </c>
      <c r="C905" s="30" t="n">
        <v>432</v>
      </c>
      <c r="D905" s="30" t="n">
        <v>432</v>
      </c>
      <c r="E905" s="30" t="n">
        <f aca="false">MIN(C905,D905)</f>
        <v>432</v>
      </c>
      <c r="F905" s="8" t="n">
        <f aca="false">IF(D905&gt;0,1,0)</f>
        <v>1</v>
      </c>
    </row>
    <row r="906" customFormat="false" ht="15" hidden="false" customHeight="false" outlineLevel="0" collapsed="false">
      <c r="A906" s="8" t="s">
        <v>2344</v>
      </c>
      <c r="B906" s="8" t="s">
        <v>51</v>
      </c>
      <c r="C906" s="30" t="n">
        <v>432</v>
      </c>
      <c r="D906" s="30" t="n">
        <v>516</v>
      </c>
      <c r="E906" s="30" t="n">
        <f aca="false">MIN(C906,D906)</f>
        <v>432</v>
      </c>
      <c r="F906" s="8" t="n">
        <f aca="false">IF(D906&gt;0,1,0)</f>
        <v>1</v>
      </c>
    </row>
    <row r="907" customFormat="false" ht="15" hidden="false" customHeight="false" outlineLevel="0" collapsed="false">
      <c r="A907" s="8" t="s">
        <v>2620</v>
      </c>
      <c r="B907" s="8" t="s">
        <v>51</v>
      </c>
      <c r="C907" s="30" t="n">
        <v>432</v>
      </c>
      <c r="D907" s="30" t="n">
        <v>432</v>
      </c>
      <c r="E907" s="30" t="n">
        <f aca="false">MIN(C907,D907)</f>
        <v>432</v>
      </c>
      <c r="F907" s="8" t="n">
        <f aca="false">IF(D907&gt;0,1,0)</f>
        <v>1</v>
      </c>
    </row>
    <row r="908" customFormat="false" ht="15" hidden="false" customHeight="false" outlineLevel="0" collapsed="false">
      <c r="A908" s="8" t="s">
        <v>2624</v>
      </c>
      <c r="B908" s="8" t="s">
        <v>51</v>
      </c>
      <c r="C908" s="30" t="n">
        <v>432</v>
      </c>
      <c r="D908" s="30" t="n">
        <v>432</v>
      </c>
      <c r="E908" s="30" t="n">
        <f aca="false">MIN(C908,D908)</f>
        <v>432</v>
      </c>
      <c r="F908" s="8" t="n">
        <f aca="false">IF(D908&gt;0,1,0)</f>
        <v>1</v>
      </c>
    </row>
    <row r="909" customFormat="false" ht="15" hidden="false" customHeight="false" outlineLevel="0" collapsed="false">
      <c r="A909" s="8" t="s">
        <v>2626</v>
      </c>
      <c r="B909" s="8" t="s">
        <v>51</v>
      </c>
      <c r="C909" s="30" t="n">
        <v>432</v>
      </c>
      <c r="D909" s="30" t="n">
        <v>432</v>
      </c>
      <c r="E909" s="30" t="n">
        <f aca="false">MIN(C909,D909)</f>
        <v>432</v>
      </c>
      <c r="F909" s="8" t="n">
        <f aca="false">IF(D909&gt;0,1,0)</f>
        <v>1</v>
      </c>
    </row>
    <row r="910" customFormat="false" ht="15" hidden="false" customHeight="false" outlineLevel="0" collapsed="false">
      <c r="A910" s="8" t="s">
        <v>2628</v>
      </c>
      <c r="B910" s="8" t="s">
        <v>51</v>
      </c>
      <c r="C910" s="30" t="n">
        <v>432</v>
      </c>
      <c r="D910" s="30" t="n">
        <v>432</v>
      </c>
      <c r="E910" s="30" t="n">
        <f aca="false">MIN(C910,D910)</f>
        <v>432</v>
      </c>
      <c r="F910" s="8" t="n">
        <f aca="false">IF(D910&gt;0,1,0)</f>
        <v>1</v>
      </c>
    </row>
    <row r="911" customFormat="false" ht="15" hidden="false" customHeight="false" outlineLevel="0" collapsed="false">
      <c r="A911" s="8" t="s">
        <v>2630</v>
      </c>
      <c r="B911" s="8" t="s">
        <v>51</v>
      </c>
      <c r="C911" s="30" t="n">
        <v>432</v>
      </c>
      <c r="D911" s="30" t="n">
        <v>432</v>
      </c>
      <c r="E911" s="30" t="n">
        <f aca="false">MIN(C911,D911)</f>
        <v>432</v>
      </c>
      <c r="F911" s="8" t="n">
        <f aca="false">IF(D911&gt;0,1,0)</f>
        <v>1</v>
      </c>
    </row>
    <row r="912" customFormat="false" ht="15" hidden="false" customHeight="false" outlineLevel="0" collapsed="false">
      <c r="A912" s="8" t="s">
        <v>2632</v>
      </c>
      <c r="B912" s="8" t="s">
        <v>51</v>
      </c>
      <c r="C912" s="30" t="n">
        <v>432</v>
      </c>
      <c r="D912" s="30" t="n">
        <v>432</v>
      </c>
      <c r="E912" s="30" t="n">
        <f aca="false">MIN(C912,D912)</f>
        <v>432</v>
      </c>
      <c r="F912" s="8" t="n">
        <f aca="false">IF(D912&gt;0,1,0)</f>
        <v>1</v>
      </c>
    </row>
    <row r="913" customFormat="false" ht="15" hidden="false" customHeight="false" outlineLevel="0" collapsed="false">
      <c r="A913" s="8" t="s">
        <v>2198</v>
      </c>
      <c r="B913" s="8" t="s">
        <v>51</v>
      </c>
      <c r="C913" s="30" t="n">
        <v>432</v>
      </c>
      <c r="D913" s="30" t="n">
        <v>624</v>
      </c>
      <c r="E913" s="30" t="n">
        <f aca="false">MIN(C913,D913)</f>
        <v>432</v>
      </c>
      <c r="F913" s="8" t="n">
        <f aca="false">IF(D913&gt;0,1,0)</f>
        <v>1</v>
      </c>
    </row>
    <row r="914" customFormat="false" ht="15" hidden="false" customHeight="false" outlineLevel="0" collapsed="false">
      <c r="A914" s="8" t="s">
        <v>2634</v>
      </c>
      <c r="B914" s="8" t="s">
        <v>51</v>
      </c>
      <c r="C914" s="30" t="n">
        <v>425</v>
      </c>
      <c r="D914" s="30" t="n">
        <v>425</v>
      </c>
      <c r="E914" s="30" t="n">
        <f aca="false">MIN(C914,D914)</f>
        <v>425</v>
      </c>
      <c r="F914" s="8" t="n">
        <f aca="false">IF(D914&gt;0,1,0)</f>
        <v>1</v>
      </c>
    </row>
    <row r="915" customFormat="false" ht="15" hidden="false" customHeight="false" outlineLevel="0" collapsed="false">
      <c r="A915" s="8" t="s">
        <v>2368</v>
      </c>
      <c r="B915" s="8" t="s">
        <v>51</v>
      </c>
      <c r="C915" s="30" t="n">
        <v>425</v>
      </c>
      <c r="D915" s="30" t="n">
        <v>500</v>
      </c>
      <c r="E915" s="30" t="n">
        <f aca="false">MIN(C915,D915)</f>
        <v>425</v>
      </c>
      <c r="F915" s="8" t="n">
        <f aca="false">IF(D915&gt;0,1,0)</f>
        <v>1</v>
      </c>
    </row>
    <row r="916" customFormat="false" ht="15" hidden="false" customHeight="false" outlineLevel="0" collapsed="false">
      <c r="A916" s="8" t="s">
        <v>2904</v>
      </c>
      <c r="B916" s="8" t="s">
        <v>51</v>
      </c>
      <c r="C916" s="30" t="n">
        <v>425</v>
      </c>
      <c r="D916" s="30" t="n">
        <v>375</v>
      </c>
      <c r="E916" s="30" t="n">
        <f aca="false">MIN(C916,D916)</f>
        <v>375</v>
      </c>
      <c r="F916" s="8" t="n">
        <f aca="false">IF(D916&gt;0,1,0)</f>
        <v>1</v>
      </c>
    </row>
    <row r="917" customFormat="false" ht="15" hidden="false" customHeight="false" outlineLevel="0" collapsed="false">
      <c r="A917" s="8" t="s">
        <v>2642</v>
      </c>
      <c r="B917" s="8" t="s">
        <v>51</v>
      </c>
      <c r="C917" s="30" t="n">
        <v>425</v>
      </c>
      <c r="D917" s="30" t="n">
        <v>425</v>
      </c>
      <c r="E917" s="30" t="n">
        <f aca="false">MIN(C917,D917)</f>
        <v>425</v>
      </c>
      <c r="F917" s="8" t="n">
        <f aca="false">IF(D917&gt;0,1,0)</f>
        <v>1</v>
      </c>
    </row>
    <row r="918" customFormat="false" ht="15" hidden="false" customHeight="false" outlineLevel="0" collapsed="false">
      <c r="A918" s="8" t="s">
        <v>2644</v>
      </c>
      <c r="B918" s="8" t="s">
        <v>51</v>
      </c>
      <c r="C918" s="30" t="n">
        <v>425</v>
      </c>
      <c r="D918" s="30" t="n">
        <v>425</v>
      </c>
      <c r="E918" s="30" t="n">
        <f aca="false">MIN(C918,D918)</f>
        <v>425</v>
      </c>
      <c r="F918" s="8" t="n">
        <f aca="false">IF(D918&gt;0,1,0)</f>
        <v>1</v>
      </c>
    </row>
    <row r="919" customFormat="false" ht="15" hidden="false" customHeight="false" outlineLevel="0" collapsed="false">
      <c r="A919" s="8" t="s">
        <v>2646</v>
      </c>
      <c r="B919" s="8" t="s">
        <v>51</v>
      </c>
      <c r="C919" s="30" t="n">
        <v>425</v>
      </c>
      <c r="D919" s="30" t="n">
        <v>425</v>
      </c>
      <c r="E919" s="30" t="n">
        <f aca="false">MIN(C919,D919)</f>
        <v>425</v>
      </c>
      <c r="F919" s="8" t="n">
        <f aca="false">IF(D919&gt;0,1,0)</f>
        <v>1</v>
      </c>
    </row>
    <row r="920" customFormat="false" ht="15" hidden="false" customHeight="false" outlineLevel="0" collapsed="false">
      <c r="A920" s="8" t="s">
        <v>2648</v>
      </c>
      <c r="B920" s="8" t="s">
        <v>51</v>
      </c>
      <c r="C920" s="30" t="n">
        <v>425</v>
      </c>
      <c r="D920" s="30" t="n">
        <v>425</v>
      </c>
      <c r="E920" s="30" t="n">
        <f aca="false">MIN(C920,D920)</f>
        <v>425</v>
      </c>
      <c r="F920" s="8" t="n">
        <f aca="false">IF(D920&gt;0,1,0)</f>
        <v>1</v>
      </c>
    </row>
    <row r="921" customFormat="false" ht="15" hidden="false" customHeight="false" outlineLevel="0" collapsed="false">
      <c r="A921" s="8" t="s">
        <v>2650</v>
      </c>
      <c r="B921" s="8" t="s">
        <v>51</v>
      </c>
      <c r="C921" s="30" t="n">
        <v>425</v>
      </c>
      <c r="D921" s="30" t="n">
        <v>425</v>
      </c>
      <c r="E921" s="30" t="n">
        <f aca="false">MIN(C921,D921)</f>
        <v>425</v>
      </c>
      <c r="F921" s="8" t="n">
        <f aca="false">IF(D921&gt;0,1,0)</f>
        <v>1</v>
      </c>
    </row>
    <row r="922" customFormat="false" ht="15" hidden="false" customHeight="false" outlineLevel="0" collapsed="false">
      <c r="A922" s="8" t="s">
        <v>2652</v>
      </c>
      <c r="B922" s="8" t="s">
        <v>51</v>
      </c>
      <c r="C922" s="30" t="n">
        <v>425</v>
      </c>
      <c r="D922" s="30" t="n">
        <v>425</v>
      </c>
      <c r="E922" s="30" t="n">
        <f aca="false">MIN(C922,D922)</f>
        <v>425</v>
      </c>
      <c r="F922" s="8" t="n">
        <f aca="false">IF(D922&gt;0,1,0)</f>
        <v>1</v>
      </c>
    </row>
    <row r="923" customFormat="false" ht="15" hidden="false" customHeight="false" outlineLevel="0" collapsed="false">
      <c r="A923" s="8" t="s">
        <v>2654</v>
      </c>
      <c r="B923" s="8" t="s">
        <v>51</v>
      </c>
      <c r="C923" s="30" t="n">
        <v>425</v>
      </c>
      <c r="D923" s="30" t="n">
        <v>425</v>
      </c>
      <c r="E923" s="30" t="n">
        <f aca="false">MIN(C923,D923)</f>
        <v>425</v>
      </c>
      <c r="F923" s="8" t="n">
        <f aca="false">IF(D923&gt;0,1,0)</f>
        <v>1</v>
      </c>
    </row>
    <row r="924" customFormat="false" ht="15" hidden="false" customHeight="false" outlineLevel="0" collapsed="false">
      <c r="A924" s="8" t="s">
        <v>2658</v>
      </c>
      <c r="B924" s="8" t="s">
        <v>51</v>
      </c>
      <c r="C924" s="30" t="n">
        <v>425</v>
      </c>
      <c r="D924" s="30" t="n">
        <v>425</v>
      </c>
      <c r="E924" s="30" t="n">
        <f aca="false">MIN(C924,D924)</f>
        <v>425</v>
      </c>
      <c r="F924" s="8" t="n">
        <f aca="false">IF(D924&gt;0,1,0)</f>
        <v>1</v>
      </c>
    </row>
    <row r="925" customFormat="false" ht="15" hidden="false" customHeight="false" outlineLevel="0" collapsed="false">
      <c r="A925" s="8" t="s">
        <v>2300</v>
      </c>
      <c r="B925" s="8" t="s">
        <v>51</v>
      </c>
      <c r="C925" s="30" t="n">
        <v>425</v>
      </c>
      <c r="D925" s="30" t="n">
        <v>550</v>
      </c>
      <c r="E925" s="30" t="n">
        <f aca="false">MIN(C925,D925)</f>
        <v>425</v>
      </c>
      <c r="F925" s="8" t="n">
        <f aca="false">IF(D925&gt;0,1,0)</f>
        <v>1</v>
      </c>
    </row>
    <row r="926" customFormat="false" ht="15" hidden="false" customHeight="false" outlineLevel="0" collapsed="false">
      <c r="A926" s="8" t="s">
        <v>2660</v>
      </c>
      <c r="B926" s="8" t="s">
        <v>51</v>
      </c>
      <c r="C926" s="30" t="n">
        <v>425</v>
      </c>
      <c r="D926" s="30" t="n">
        <v>425</v>
      </c>
      <c r="E926" s="30" t="n">
        <f aca="false">MIN(C926,D926)</f>
        <v>425</v>
      </c>
      <c r="F926" s="8" t="n">
        <f aca="false">IF(D926&gt;0,1,0)</f>
        <v>1</v>
      </c>
    </row>
    <row r="927" customFormat="false" ht="15" hidden="false" customHeight="false" outlineLevel="0" collapsed="false">
      <c r="A927" s="8" t="s">
        <v>2438</v>
      </c>
      <c r="B927" s="8" t="s">
        <v>51</v>
      </c>
      <c r="C927" s="30" t="n">
        <v>420</v>
      </c>
      <c r="D927" s="30" t="n">
        <v>468</v>
      </c>
      <c r="E927" s="30" t="n">
        <f aca="false">MIN(C927,D927)</f>
        <v>420</v>
      </c>
      <c r="F927" s="8" t="n">
        <f aca="false">IF(D927&gt;0,1,0)</f>
        <v>1</v>
      </c>
    </row>
    <row r="928" customFormat="false" ht="15" hidden="false" customHeight="false" outlineLevel="0" collapsed="false">
      <c r="A928" s="8" t="s">
        <v>2236</v>
      </c>
      <c r="B928" s="8" t="s">
        <v>51</v>
      </c>
      <c r="C928" s="30" t="n">
        <v>420</v>
      </c>
      <c r="D928" s="30" t="n">
        <v>576</v>
      </c>
      <c r="E928" s="30" t="n">
        <f aca="false">MIN(C928,D928)</f>
        <v>420</v>
      </c>
      <c r="F928" s="8" t="n">
        <f aca="false">IF(D928&gt;0,1,0)</f>
        <v>1</v>
      </c>
    </row>
    <row r="929" customFormat="false" ht="15" hidden="false" customHeight="false" outlineLevel="0" collapsed="false">
      <c r="A929" s="8" t="s">
        <v>2666</v>
      </c>
      <c r="B929" s="8" t="s">
        <v>51</v>
      </c>
      <c r="C929" s="30" t="n">
        <v>420</v>
      </c>
      <c r="D929" s="30" t="n">
        <v>420</v>
      </c>
      <c r="E929" s="30" t="n">
        <f aca="false">MIN(C929,D929)</f>
        <v>420</v>
      </c>
      <c r="F929" s="8" t="n">
        <f aca="false">IF(D929&gt;0,1,0)</f>
        <v>1</v>
      </c>
    </row>
    <row r="930" customFormat="false" ht="15" hidden="false" customHeight="false" outlineLevel="0" collapsed="false">
      <c r="A930" s="8" t="s">
        <v>2670</v>
      </c>
      <c r="B930" s="8" t="s">
        <v>51</v>
      </c>
      <c r="C930" s="30" t="n">
        <v>420</v>
      </c>
      <c r="D930" s="30" t="n">
        <v>420</v>
      </c>
      <c r="E930" s="30" t="n">
        <f aca="false">MIN(C930,D930)</f>
        <v>420</v>
      </c>
      <c r="F930" s="8" t="n">
        <f aca="false">IF(D930&gt;0,1,0)</f>
        <v>1</v>
      </c>
    </row>
    <row r="931" customFormat="false" ht="15" hidden="false" customHeight="false" outlineLevel="0" collapsed="false">
      <c r="A931" s="8" t="s">
        <v>2672</v>
      </c>
      <c r="B931" s="8" t="s">
        <v>51</v>
      </c>
      <c r="C931" s="30" t="n">
        <v>420</v>
      </c>
      <c r="D931" s="30" t="n">
        <v>420</v>
      </c>
      <c r="E931" s="30" t="n">
        <f aca="false">MIN(C931,D931)</f>
        <v>420</v>
      </c>
      <c r="F931" s="8" t="n">
        <f aca="false">IF(D931&gt;0,1,0)</f>
        <v>1</v>
      </c>
    </row>
    <row r="932" customFormat="false" ht="15" hidden="false" customHeight="false" outlineLevel="0" collapsed="false">
      <c r="A932" s="8" t="s">
        <v>2676</v>
      </c>
      <c r="B932" s="8" t="s">
        <v>51</v>
      </c>
      <c r="C932" s="30" t="n">
        <v>420</v>
      </c>
      <c r="D932" s="30" t="n">
        <v>420</v>
      </c>
      <c r="E932" s="30" t="n">
        <f aca="false">MIN(C932,D932)</f>
        <v>420</v>
      </c>
      <c r="F932" s="8" t="n">
        <f aca="false">IF(D932&gt;0,1,0)</f>
        <v>1</v>
      </c>
    </row>
    <row r="933" customFormat="false" ht="15" hidden="false" customHeight="false" outlineLevel="0" collapsed="false">
      <c r="A933" s="8" t="s">
        <v>2678</v>
      </c>
      <c r="B933" s="8" t="s">
        <v>51</v>
      </c>
      <c r="C933" s="30" t="n">
        <v>420</v>
      </c>
      <c r="D933" s="30" t="n">
        <v>420</v>
      </c>
      <c r="E933" s="30" t="n">
        <f aca="false">MIN(C933,D933)</f>
        <v>420</v>
      </c>
      <c r="F933" s="8" t="n">
        <f aca="false">IF(D933&gt;0,1,0)</f>
        <v>1</v>
      </c>
    </row>
    <row r="934" customFormat="false" ht="15" hidden="false" customHeight="false" outlineLevel="0" collapsed="false">
      <c r="A934" s="8" t="s">
        <v>2682</v>
      </c>
      <c r="B934" s="8" t="s">
        <v>51</v>
      </c>
      <c r="C934" s="30" t="n">
        <v>420</v>
      </c>
      <c r="D934" s="30" t="n">
        <v>420</v>
      </c>
      <c r="E934" s="30" t="n">
        <f aca="false">MIN(C934,D934)</f>
        <v>420</v>
      </c>
      <c r="F934" s="8" t="n">
        <f aca="false">IF(D934&gt;0,1,0)</f>
        <v>1</v>
      </c>
    </row>
    <row r="935" customFormat="false" ht="15" hidden="false" customHeight="false" outlineLevel="0" collapsed="false">
      <c r="A935" s="8" t="s">
        <v>2684</v>
      </c>
      <c r="B935" s="8" t="s">
        <v>51</v>
      </c>
      <c r="C935" s="30" t="n">
        <v>420</v>
      </c>
      <c r="D935" s="30" t="n">
        <v>420</v>
      </c>
      <c r="E935" s="30" t="n">
        <f aca="false">MIN(C935,D935)</f>
        <v>420</v>
      </c>
      <c r="F935" s="8" t="n">
        <f aca="false">IF(D935&gt;0,1,0)</f>
        <v>1</v>
      </c>
    </row>
    <row r="936" customFormat="false" ht="15" hidden="false" customHeight="false" outlineLevel="0" collapsed="false">
      <c r="A936" s="8" t="s">
        <v>2686</v>
      </c>
      <c r="B936" s="8" t="s">
        <v>51</v>
      </c>
      <c r="C936" s="30" t="n">
        <v>420</v>
      </c>
      <c r="D936" s="30" t="n">
        <v>420</v>
      </c>
      <c r="E936" s="30" t="n">
        <f aca="false">MIN(C936,D936)</f>
        <v>420</v>
      </c>
      <c r="F936" s="8" t="n">
        <f aca="false">IF(D936&gt;0,1,0)</f>
        <v>1</v>
      </c>
    </row>
    <row r="937" customFormat="false" ht="15" hidden="false" customHeight="false" outlineLevel="0" collapsed="false">
      <c r="A937" s="8" t="s">
        <v>2452</v>
      </c>
      <c r="B937" s="8" t="s">
        <v>51</v>
      </c>
      <c r="C937" s="30" t="n">
        <v>420</v>
      </c>
      <c r="D937" s="30" t="n">
        <v>468</v>
      </c>
      <c r="E937" s="30" t="n">
        <f aca="false">MIN(C937,D937)</f>
        <v>420</v>
      </c>
      <c r="F937" s="8" t="n">
        <f aca="false">IF(D937&gt;0,1,0)</f>
        <v>1</v>
      </c>
    </row>
    <row r="938" customFormat="false" ht="15" hidden="false" customHeight="false" outlineLevel="0" collapsed="false">
      <c r="A938" s="8" t="s">
        <v>2694</v>
      </c>
      <c r="B938" s="8" t="s">
        <v>51</v>
      </c>
      <c r="C938" s="30" t="n">
        <v>420</v>
      </c>
      <c r="D938" s="30" t="n">
        <v>420</v>
      </c>
      <c r="E938" s="30" t="n">
        <f aca="false">MIN(C938,D938)</f>
        <v>420</v>
      </c>
      <c r="F938" s="8" t="n">
        <f aca="false">IF(D938&gt;0,1,0)</f>
        <v>1</v>
      </c>
    </row>
    <row r="939" customFormat="false" ht="15" hidden="false" customHeight="false" outlineLevel="0" collapsed="false">
      <c r="A939" s="8" t="s">
        <v>2696</v>
      </c>
      <c r="B939" s="8" t="s">
        <v>51</v>
      </c>
      <c r="C939" s="30" t="n">
        <v>420</v>
      </c>
      <c r="D939" s="30" t="n">
        <v>420</v>
      </c>
      <c r="E939" s="30" t="n">
        <f aca="false">MIN(C939,D939)</f>
        <v>420</v>
      </c>
      <c r="F939" s="8" t="n">
        <f aca="false">IF(D939&gt;0,1,0)</f>
        <v>1</v>
      </c>
    </row>
    <row r="940" customFormat="false" ht="15" hidden="false" customHeight="false" outlineLevel="0" collapsed="false">
      <c r="A940" s="8" t="s">
        <v>4513</v>
      </c>
      <c r="B940" s="8" t="s">
        <v>51</v>
      </c>
      <c r="C940" s="30" t="n">
        <v>420</v>
      </c>
      <c r="D940" s="30" t="n">
        <v>0</v>
      </c>
      <c r="E940" s="30" t="n">
        <f aca="false">MIN(C940,D940)</f>
        <v>0</v>
      </c>
      <c r="F940" s="8" t="n">
        <f aca="false">IF(D940&gt;0,1,0)</f>
        <v>0</v>
      </c>
    </row>
    <row r="941" customFormat="false" ht="15" hidden="false" customHeight="false" outlineLevel="0" collapsed="false">
      <c r="A941" s="8" t="s">
        <v>2702</v>
      </c>
      <c r="B941" s="8" t="s">
        <v>51</v>
      </c>
      <c r="C941" s="30" t="n">
        <v>420</v>
      </c>
      <c r="D941" s="30" t="n">
        <v>420</v>
      </c>
      <c r="E941" s="30" t="n">
        <f aca="false">MIN(C941,D941)</f>
        <v>420</v>
      </c>
      <c r="F941" s="8" t="n">
        <f aca="false">IF(D941&gt;0,1,0)</f>
        <v>1</v>
      </c>
    </row>
    <row r="942" customFormat="false" ht="15" hidden="false" customHeight="false" outlineLevel="0" collapsed="false">
      <c r="A942" s="8" t="s">
        <v>2342</v>
      </c>
      <c r="B942" s="8" t="s">
        <v>51</v>
      </c>
      <c r="C942" s="30" t="n">
        <v>420</v>
      </c>
      <c r="D942" s="30" t="n">
        <v>516</v>
      </c>
      <c r="E942" s="30" t="n">
        <f aca="false">MIN(C942,D942)</f>
        <v>420</v>
      </c>
      <c r="F942" s="8" t="n">
        <f aca="false">IF(D942&gt;0,1,0)</f>
        <v>1</v>
      </c>
    </row>
    <row r="943" customFormat="false" ht="15" hidden="false" customHeight="false" outlineLevel="0" collapsed="false">
      <c r="A943" s="8" t="s">
        <v>2530</v>
      </c>
      <c r="B943" s="8" t="s">
        <v>51</v>
      </c>
      <c r="C943" s="30" t="n">
        <v>420</v>
      </c>
      <c r="D943" s="30" t="n">
        <v>456</v>
      </c>
      <c r="E943" s="30" t="n">
        <f aca="false">MIN(C943,D943)</f>
        <v>420</v>
      </c>
      <c r="F943" s="8" t="n">
        <f aca="false">IF(D943&gt;0,1,0)</f>
        <v>1</v>
      </c>
    </row>
    <row r="944" customFormat="false" ht="15" hidden="false" customHeight="false" outlineLevel="0" collapsed="false">
      <c r="A944" s="8" t="s">
        <v>2710</v>
      </c>
      <c r="B944" s="8" t="s">
        <v>51</v>
      </c>
      <c r="C944" s="30" t="n">
        <v>420</v>
      </c>
      <c r="D944" s="30" t="n">
        <v>420</v>
      </c>
      <c r="E944" s="30" t="n">
        <f aca="false">MIN(C944,D944)</f>
        <v>420</v>
      </c>
      <c r="F944" s="8" t="n">
        <f aca="false">IF(D944&gt;0,1,0)</f>
        <v>1</v>
      </c>
    </row>
    <row r="945" customFormat="false" ht="15" hidden="false" customHeight="false" outlineLevel="0" collapsed="false">
      <c r="A945" s="8" t="s">
        <v>2714</v>
      </c>
      <c r="B945" s="8" t="s">
        <v>51</v>
      </c>
      <c r="C945" s="30" t="n">
        <v>420</v>
      </c>
      <c r="D945" s="30" t="n">
        <v>420</v>
      </c>
      <c r="E945" s="30" t="n">
        <f aca="false">MIN(C945,D945)</f>
        <v>420</v>
      </c>
      <c r="F945" s="8" t="n">
        <f aca="false">IF(D945&gt;0,1,0)</f>
        <v>1</v>
      </c>
    </row>
    <row r="946" customFormat="false" ht="15" hidden="false" customHeight="false" outlineLevel="0" collapsed="false">
      <c r="A946" s="8" t="s">
        <v>4514</v>
      </c>
      <c r="B946" s="8" t="s">
        <v>51</v>
      </c>
      <c r="C946" s="30" t="n">
        <v>420</v>
      </c>
      <c r="D946" s="30" t="n">
        <v>0</v>
      </c>
      <c r="E946" s="30" t="n">
        <f aca="false">MIN(C946,D946)</f>
        <v>0</v>
      </c>
      <c r="F946" s="8" t="n">
        <f aca="false">IF(D946&gt;0,1,0)</f>
        <v>0</v>
      </c>
    </row>
    <row r="947" customFormat="false" ht="15" hidden="false" customHeight="false" outlineLevel="0" collapsed="false">
      <c r="A947" s="8" t="s">
        <v>2832</v>
      </c>
      <c r="B947" s="8" t="s">
        <v>51</v>
      </c>
      <c r="C947" s="30" t="n">
        <v>420</v>
      </c>
      <c r="D947" s="30" t="n">
        <v>396</v>
      </c>
      <c r="E947" s="30" t="n">
        <f aca="false">MIN(C947,D947)</f>
        <v>396</v>
      </c>
      <c r="F947" s="8" t="n">
        <f aca="false">IF(D947&gt;0,1,0)</f>
        <v>1</v>
      </c>
    </row>
    <row r="948" customFormat="false" ht="15" hidden="false" customHeight="false" outlineLevel="0" collapsed="false">
      <c r="A948" s="8" t="s">
        <v>2324</v>
      </c>
      <c r="B948" s="8" t="s">
        <v>51</v>
      </c>
      <c r="C948" s="30" t="n">
        <v>420</v>
      </c>
      <c r="D948" s="30" t="n">
        <v>528</v>
      </c>
      <c r="E948" s="30" t="n">
        <f aca="false">MIN(C948,D948)</f>
        <v>420</v>
      </c>
      <c r="F948" s="8" t="n">
        <f aca="false">IF(D948&gt;0,1,0)</f>
        <v>1</v>
      </c>
    </row>
    <row r="949" customFormat="false" ht="15" hidden="false" customHeight="false" outlineLevel="0" collapsed="false">
      <c r="A949" s="8" t="s">
        <v>2718</v>
      </c>
      <c r="B949" s="8" t="s">
        <v>51</v>
      </c>
      <c r="C949" s="30" t="n">
        <v>420</v>
      </c>
      <c r="D949" s="30" t="n">
        <v>420</v>
      </c>
      <c r="E949" s="30" t="n">
        <f aca="false">MIN(C949,D949)</f>
        <v>420</v>
      </c>
      <c r="F949" s="8" t="n">
        <f aca="false">IF(D949&gt;0,1,0)</f>
        <v>1</v>
      </c>
    </row>
    <row r="950" customFormat="false" ht="15" hidden="false" customHeight="false" outlineLevel="0" collapsed="false">
      <c r="A950" s="8" t="s">
        <v>2720</v>
      </c>
      <c r="B950" s="8" t="s">
        <v>51</v>
      </c>
      <c r="C950" s="30" t="n">
        <v>420</v>
      </c>
      <c r="D950" s="30" t="n">
        <v>420</v>
      </c>
      <c r="E950" s="30" t="n">
        <f aca="false">MIN(C950,D950)</f>
        <v>420</v>
      </c>
      <c r="F950" s="8" t="n">
        <f aca="false">IF(D950&gt;0,1,0)</f>
        <v>1</v>
      </c>
    </row>
    <row r="951" customFormat="false" ht="15" hidden="false" customHeight="false" outlineLevel="0" collapsed="false">
      <c r="A951" s="8" t="s">
        <v>2416</v>
      </c>
      <c r="B951" s="8" t="s">
        <v>51</v>
      </c>
      <c r="C951" s="30" t="n">
        <v>420</v>
      </c>
      <c r="D951" s="30" t="n">
        <v>480</v>
      </c>
      <c r="E951" s="30" t="n">
        <f aca="false">MIN(C951,D951)</f>
        <v>420</v>
      </c>
      <c r="F951" s="8" t="n">
        <f aca="false">IF(D951&gt;0,1,0)</f>
        <v>1</v>
      </c>
    </row>
    <row r="952" customFormat="false" ht="15" hidden="false" customHeight="false" outlineLevel="0" collapsed="false">
      <c r="A952" s="8" t="s">
        <v>2722</v>
      </c>
      <c r="B952" s="8" t="s">
        <v>51</v>
      </c>
      <c r="C952" s="30" t="n">
        <v>420</v>
      </c>
      <c r="D952" s="30" t="n">
        <v>420</v>
      </c>
      <c r="E952" s="30" t="n">
        <f aca="false">MIN(C952,D952)</f>
        <v>420</v>
      </c>
      <c r="F952" s="8" t="n">
        <f aca="false">IF(D952&gt;0,1,0)</f>
        <v>1</v>
      </c>
    </row>
    <row r="953" customFormat="false" ht="15" hidden="false" customHeight="false" outlineLevel="0" collapsed="false">
      <c r="A953" s="8" t="s">
        <v>2724</v>
      </c>
      <c r="B953" s="8" t="s">
        <v>51</v>
      </c>
      <c r="C953" s="30" t="n">
        <v>420</v>
      </c>
      <c r="D953" s="30" t="n">
        <v>420</v>
      </c>
      <c r="E953" s="30" t="n">
        <f aca="false">MIN(C953,D953)</f>
        <v>420</v>
      </c>
      <c r="F953" s="8" t="n">
        <f aca="false">IF(D953&gt;0,1,0)</f>
        <v>1</v>
      </c>
    </row>
    <row r="954" customFormat="false" ht="15" hidden="false" customHeight="false" outlineLevel="0" collapsed="false">
      <c r="A954" s="8" t="s">
        <v>2728</v>
      </c>
      <c r="B954" s="8" t="s">
        <v>51</v>
      </c>
      <c r="C954" s="30" t="n">
        <v>420</v>
      </c>
      <c r="D954" s="30" t="n">
        <v>420</v>
      </c>
      <c r="E954" s="30" t="n">
        <f aca="false">MIN(C954,D954)</f>
        <v>420</v>
      </c>
      <c r="F954" s="8" t="n">
        <f aca="false">IF(D954&gt;0,1,0)</f>
        <v>1</v>
      </c>
    </row>
    <row r="955" customFormat="false" ht="15" hidden="false" customHeight="false" outlineLevel="0" collapsed="false">
      <c r="A955" s="8" t="s">
        <v>2314</v>
      </c>
      <c r="B955" s="8" t="s">
        <v>51</v>
      </c>
      <c r="C955" s="30" t="n">
        <v>408</v>
      </c>
      <c r="D955" s="30" t="n">
        <v>528</v>
      </c>
      <c r="E955" s="30" t="n">
        <f aca="false">MIN(C955,D955)</f>
        <v>408</v>
      </c>
      <c r="F955" s="8" t="n">
        <f aca="false">IF(D955&gt;0,1,0)</f>
        <v>1</v>
      </c>
    </row>
    <row r="956" customFormat="false" ht="15" hidden="false" customHeight="false" outlineLevel="0" collapsed="false">
      <c r="A956" s="8" t="s">
        <v>2736</v>
      </c>
      <c r="B956" s="8" t="s">
        <v>51</v>
      </c>
      <c r="C956" s="30" t="n">
        <v>408</v>
      </c>
      <c r="D956" s="30" t="n">
        <v>408</v>
      </c>
      <c r="E956" s="30" t="n">
        <f aca="false">MIN(C956,D956)</f>
        <v>408</v>
      </c>
      <c r="F956" s="8" t="n">
        <f aca="false">IF(D956&gt;0,1,0)</f>
        <v>1</v>
      </c>
    </row>
    <row r="957" customFormat="false" ht="15" hidden="false" customHeight="false" outlineLevel="0" collapsed="false">
      <c r="A957" s="8" t="s">
        <v>2338</v>
      </c>
      <c r="B957" s="8" t="s">
        <v>51</v>
      </c>
      <c r="C957" s="30" t="n">
        <v>408</v>
      </c>
      <c r="D957" s="30" t="n">
        <v>516</v>
      </c>
      <c r="E957" s="30" t="n">
        <f aca="false">MIN(C957,D957)</f>
        <v>408</v>
      </c>
      <c r="F957" s="8" t="n">
        <f aca="false">IF(D957&gt;0,1,0)</f>
        <v>1</v>
      </c>
    </row>
    <row r="958" customFormat="false" ht="15" hidden="false" customHeight="false" outlineLevel="0" collapsed="false">
      <c r="A958" s="8" t="s">
        <v>4515</v>
      </c>
      <c r="B958" s="8" t="s">
        <v>51</v>
      </c>
      <c r="C958" s="30" t="n">
        <v>408</v>
      </c>
      <c r="D958" s="30" t="n">
        <v>0</v>
      </c>
      <c r="E958" s="30" t="n">
        <f aca="false">MIN(C958,D958)</f>
        <v>0</v>
      </c>
      <c r="F958" s="8" t="n">
        <f aca="false">IF(D958&gt;0,1,0)</f>
        <v>0</v>
      </c>
    </row>
    <row r="959" customFormat="false" ht="15" hidden="false" customHeight="false" outlineLevel="0" collapsed="false">
      <c r="A959" s="8" t="s">
        <v>2742</v>
      </c>
      <c r="B959" s="8" t="s">
        <v>51</v>
      </c>
      <c r="C959" s="30" t="n">
        <v>408</v>
      </c>
      <c r="D959" s="30" t="n">
        <v>408</v>
      </c>
      <c r="E959" s="30" t="n">
        <f aca="false">MIN(C959,D959)</f>
        <v>408</v>
      </c>
      <c r="F959" s="8" t="n">
        <f aca="false">IF(D959&gt;0,1,0)</f>
        <v>1</v>
      </c>
    </row>
    <row r="960" customFormat="false" ht="15" hidden="false" customHeight="false" outlineLevel="0" collapsed="false">
      <c r="A960" s="8" t="s">
        <v>2744</v>
      </c>
      <c r="B960" s="8" t="s">
        <v>51</v>
      </c>
      <c r="C960" s="30" t="n">
        <v>408</v>
      </c>
      <c r="D960" s="30" t="n">
        <v>408</v>
      </c>
      <c r="E960" s="30" t="n">
        <f aca="false">MIN(C960,D960)</f>
        <v>408</v>
      </c>
      <c r="F960" s="8" t="n">
        <f aca="false">IF(D960&gt;0,1,0)</f>
        <v>1</v>
      </c>
    </row>
    <row r="961" customFormat="false" ht="15" hidden="false" customHeight="false" outlineLevel="0" collapsed="false">
      <c r="A961" s="8" t="s">
        <v>4516</v>
      </c>
      <c r="B961" s="8" t="s">
        <v>51</v>
      </c>
      <c r="C961" s="30" t="n">
        <v>408</v>
      </c>
      <c r="D961" s="30" t="n">
        <v>0</v>
      </c>
      <c r="E961" s="30" t="n">
        <f aca="false">MIN(C961,D961)</f>
        <v>0</v>
      </c>
      <c r="F961" s="8" t="n">
        <f aca="false">IF(D961&gt;0,1,0)</f>
        <v>0</v>
      </c>
    </row>
    <row r="962" customFormat="false" ht="15" hidden="false" customHeight="false" outlineLevel="0" collapsed="false">
      <c r="A962" s="8" t="s">
        <v>2746</v>
      </c>
      <c r="B962" s="8" t="s">
        <v>51</v>
      </c>
      <c r="C962" s="30" t="n">
        <v>408</v>
      </c>
      <c r="D962" s="30" t="n">
        <v>408</v>
      </c>
      <c r="E962" s="30" t="n">
        <f aca="false">MIN(C962,D962)</f>
        <v>408</v>
      </c>
      <c r="F962" s="8" t="n">
        <f aca="false">IF(D962&gt;0,1,0)</f>
        <v>1</v>
      </c>
    </row>
    <row r="963" customFormat="false" ht="15" hidden="false" customHeight="false" outlineLevel="0" collapsed="false">
      <c r="A963" s="8" t="s">
        <v>3106</v>
      </c>
      <c r="B963" s="8" t="s">
        <v>51</v>
      </c>
      <c r="C963" s="30" t="n">
        <v>408</v>
      </c>
      <c r="D963" s="30" t="n">
        <v>336</v>
      </c>
      <c r="E963" s="30" t="n">
        <f aca="false">MIN(C963,D963)</f>
        <v>336</v>
      </c>
      <c r="F963" s="8" t="n">
        <f aca="false">IF(D963&gt;0,1,0)</f>
        <v>1</v>
      </c>
    </row>
    <row r="964" customFormat="false" ht="15" hidden="false" customHeight="false" outlineLevel="0" collapsed="false">
      <c r="A964" s="8" t="s">
        <v>2758</v>
      </c>
      <c r="B964" s="8" t="s">
        <v>51</v>
      </c>
      <c r="C964" s="30" t="n">
        <v>408</v>
      </c>
      <c r="D964" s="30" t="n">
        <v>408</v>
      </c>
      <c r="E964" s="30" t="n">
        <f aca="false">MIN(C964,D964)</f>
        <v>408</v>
      </c>
      <c r="F964" s="8" t="n">
        <f aca="false">IF(D964&gt;0,1,0)</f>
        <v>1</v>
      </c>
    </row>
    <row r="965" customFormat="false" ht="15" hidden="false" customHeight="false" outlineLevel="0" collapsed="false">
      <c r="A965" s="8" t="s">
        <v>2760</v>
      </c>
      <c r="B965" s="8" t="s">
        <v>51</v>
      </c>
      <c r="C965" s="30" t="n">
        <v>408</v>
      </c>
      <c r="D965" s="30" t="n">
        <v>408</v>
      </c>
      <c r="E965" s="30" t="n">
        <f aca="false">MIN(C965,D965)</f>
        <v>408</v>
      </c>
      <c r="F965" s="8" t="n">
        <f aca="false">IF(D965&gt;0,1,0)</f>
        <v>1</v>
      </c>
    </row>
    <row r="966" customFormat="false" ht="15" hidden="false" customHeight="false" outlineLevel="0" collapsed="false">
      <c r="A966" s="8" t="s">
        <v>2412</v>
      </c>
      <c r="B966" s="8" t="s">
        <v>51</v>
      </c>
      <c r="C966" s="30" t="n">
        <v>408</v>
      </c>
      <c r="D966" s="30" t="n">
        <v>480</v>
      </c>
      <c r="E966" s="30" t="n">
        <f aca="false">MIN(C966,D966)</f>
        <v>408</v>
      </c>
      <c r="F966" s="8" t="n">
        <f aca="false">IF(D966&gt;0,1,0)</f>
        <v>1</v>
      </c>
    </row>
    <row r="967" customFormat="false" ht="15" hidden="false" customHeight="false" outlineLevel="0" collapsed="false">
      <c r="A967" s="8" t="s">
        <v>2526</v>
      </c>
      <c r="B967" s="8" t="s">
        <v>51</v>
      </c>
      <c r="C967" s="30" t="n">
        <v>408</v>
      </c>
      <c r="D967" s="30" t="n">
        <v>456</v>
      </c>
      <c r="E967" s="30" t="n">
        <f aca="false">MIN(C967,D967)</f>
        <v>408</v>
      </c>
      <c r="F967" s="8" t="n">
        <f aca="false">IF(D967&gt;0,1,0)</f>
        <v>1</v>
      </c>
    </row>
    <row r="968" customFormat="false" ht="15" hidden="false" customHeight="false" outlineLevel="0" collapsed="false">
      <c r="A968" s="8" t="s">
        <v>2762</v>
      </c>
      <c r="B968" s="8" t="s">
        <v>51</v>
      </c>
      <c r="C968" s="30" t="n">
        <v>408</v>
      </c>
      <c r="D968" s="30" t="n">
        <v>408</v>
      </c>
      <c r="E968" s="30" t="n">
        <f aca="false">MIN(C968,D968)</f>
        <v>408</v>
      </c>
      <c r="F968" s="8" t="n">
        <f aca="false">IF(D968&gt;0,1,0)</f>
        <v>1</v>
      </c>
    </row>
    <row r="969" customFormat="false" ht="15" hidden="false" customHeight="false" outlineLevel="0" collapsed="false">
      <c r="A969" s="8" t="s">
        <v>2360</v>
      </c>
      <c r="B969" s="8" t="s">
        <v>51</v>
      </c>
      <c r="C969" s="30" t="n">
        <v>408</v>
      </c>
      <c r="D969" s="30" t="n">
        <v>504</v>
      </c>
      <c r="E969" s="30" t="n">
        <f aca="false">MIN(C969,D969)</f>
        <v>408</v>
      </c>
      <c r="F969" s="8" t="n">
        <f aca="false">IF(D969&gt;0,1,0)</f>
        <v>1</v>
      </c>
    </row>
    <row r="970" customFormat="false" ht="15" hidden="false" customHeight="false" outlineLevel="0" collapsed="false">
      <c r="A970" s="8" t="s">
        <v>2278</v>
      </c>
      <c r="B970" s="8" t="s">
        <v>51</v>
      </c>
      <c r="C970" s="30" t="n">
        <v>408</v>
      </c>
      <c r="D970" s="30" t="n">
        <v>552</v>
      </c>
      <c r="E970" s="30" t="n">
        <f aca="false">MIN(C970,D970)</f>
        <v>408</v>
      </c>
      <c r="F970" s="8" t="n">
        <f aca="false">IF(D970&gt;0,1,0)</f>
        <v>1</v>
      </c>
    </row>
    <row r="971" customFormat="false" ht="15" hidden="false" customHeight="false" outlineLevel="0" collapsed="false">
      <c r="A971" s="8" t="s">
        <v>2768</v>
      </c>
      <c r="B971" s="8" t="s">
        <v>51</v>
      </c>
      <c r="C971" s="30" t="n">
        <v>408</v>
      </c>
      <c r="D971" s="30" t="n">
        <v>408</v>
      </c>
      <c r="E971" s="30" t="n">
        <f aca="false">MIN(C971,D971)</f>
        <v>408</v>
      </c>
      <c r="F971" s="8" t="n">
        <f aca="false">IF(D971&gt;0,1,0)</f>
        <v>1</v>
      </c>
    </row>
    <row r="972" customFormat="false" ht="15" hidden="false" customHeight="false" outlineLevel="0" collapsed="false">
      <c r="A972" s="8" t="s">
        <v>2770</v>
      </c>
      <c r="B972" s="8" t="s">
        <v>51</v>
      </c>
      <c r="C972" s="30" t="n">
        <v>408</v>
      </c>
      <c r="D972" s="30" t="n">
        <v>408</v>
      </c>
      <c r="E972" s="30" t="n">
        <f aca="false">MIN(C972,D972)</f>
        <v>408</v>
      </c>
      <c r="F972" s="8" t="n">
        <f aca="false">IF(D972&gt;0,1,0)</f>
        <v>1</v>
      </c>
    </row>
    <row r="973" customFormat="false" ht="15" hidden="false" customHeight="false" outlineLevel="0" collapsed="false">
      <c r="A973" s="8" t="s">
        <v>2322</v>
      </c>
      <c r="B973" s="8" t="s">
        <v>51</v>
      </c>
      <c r="C973" s="30" t="n">
        <v>408</v>
      </c>
      <c r="D973" s="30" t="n">
        <v>528</v>
      </c>
      <c r="E973" s="30" t="n">
        <f aca="false">MIN(C973,D973)</f>
        <v>408</v>
      </c>
      <c r="F973" s="8" t="n">
        <f aca="false">IF(D973&gt;0,1,0)</f>
        <v>1</v>
      </c>
    </row>
    <row r="974" customFormat="false" ht="15" hidden="false" customHeight="false" outlineLevel="0" collapsed="false">
      <c r="A974" s="8" t="s">
        <v>4517</v>
      </c>
      <c r="B974" s="8" t="s">
        <v>51</v>
      </c>
      <c r="C974" s="30" t="n">
        <v>408</v>
      </c>
      <c r="D974" s="30" t="n">
        <v>0</v>
      </c>
      <c r="E974" s="30" t="n">
        <f aca="false">MIN(C974,D974)</f>
        <v>0</v>
      </c>
      <c r="F974" s="8" t="n">
        <f aca="false">IF(D974&gt;0,1,0)</f>
        <v>0</v>
      </c>
    </row>
    <row r="975" customFormat="false" ht="15" hidden="false" customHeight="false" outlineLevel="0" collapsed="false">
      <c r="A975" s="8" t="s">
        <v>2362</v>
      </c>
      <c r="B975" s="8" t="s">
        <v>51</v>
      </c>
      <c r="C975" s="30" t="n">
        <v>408</v>
      </c>
      <c r="D975" s="30" t="n">
        <v>504</v>
      </c>
      <c r="E975" s="30" t="n">
        <f aca="false">MIN(C975,D975)</f>
        <v>408</v>
      </c>
      <c r="F975" s="8" t="n">
        <f aca="false">IF(D975&gt;0,1,0)</f>
        <v>1</v>
      </c>
    </row>
    <row r="976" customFormat="false" ht="15" hidden="false" customHeight="false" outlineLevel="0" collapsed="false">
      <c r="A976" s="8" t="s">
        <v>2958</v>
      </c>
      <c r="B976" s="8" t="s">
        <v>51</v>
      </c>
      <c r="C976" s="30" t="n">
        <v>408</v>
      </c>
      <c r="D976" s="30" t="n">
        <v>372</v>
      </c>
      <c r="E976" s="30" t="n">
        <f aca="false">MIN(C976,D976)</f>
        <v>372</v>
      </c>
      <c r="F976" s="8" t="n">
        <f aca="false">IF(D976&gt;0,1,0)</f>
        <v>1</v>
      </c>
    </row>
    <row r="977" customFormat="false" ht="15" hidden="false" customHeight="false" outlineLevel="0" collapsed="false">
      <c r="A977" s="8" t="s">
        <v>2780</v>
      </c>
      <c r="B977" s="8" t="s">
        <v>51</v>
      </c>
      <c r="C977" s="30" t="n">
        <v>408</v>
      </c>
      <c r="D977" s="30" t="n">
        <v>408</v>
      </c>
      <c r="E977" s="30" t="n">
        <f aca="false">MIN(C977,D977)</f>
        <v>408</v>
      </c>
      <c r="F977" s="8" t="n">
        <f aca="false">IF(D977&gt;0,1,0)</f>
        <v>1</v>
      </c>
    </row>
    <row r="978" customFormat="false" ht="15" hidden="false" customHeight="false" outlineLevel="0" collapsed="false">
      <c r="A978" s="8" t="s">
        <v>2328</v>
      </c>
      <c r="B978" s="8" t="s">
        <v>51</v>
      </c>
      <c r="C978" s="30" t="n">
        <v>400</v>
      </c>
      <c r="D978" s="30" t="n">
        <v>525</v>
      </c>
      <c r="E978" s="30" t="n">
        <f aca="false">MIN(C978,D978)</f>
        <v>400</v>
      </c>
      <c r="F978" s="8" t="n">
        <f aca="false">IF(D978&gt;0,1,0)</f>
        <v>1</v>
      </c>
    </row>
    <row r="979" customFormat="false" ht="15" hidden="false" customHeight="false" outlineLevel="0" collapsed="false">
      <c r="A979" s="8" t="s">
        <v>2782</v>
      </c>
      <c r="B979" s="8" t="s">
        <v>51</v>
      </c>
      <c r="C979" s="30" t="n">
        <v>400</v>
      </c>
      <c r="D979" s="30" t="n">
        <v>400</v>
      </c>
      <c r="E979" s="30" t="n">
        <f aca="false">MIN(C979,D979)</f>
        <v>400</v>
      </c>
      <c r="F979" s="8" t="n">
        <f aca="false">IF(D979&gt;0,1,0)</f>
        <v>1</v>
      </c>
    </row>
    <row r="980" customFormat="false" ht="15" hidden="false" customHeight="false" outlineLevel="0" collapsed="false">
      <c r="A980" s="8" t="s">
        <v>2428</v>
      </c>
      <c r="B980" s="8" t="s">
        <v>51</v>
      </c>
      <c r="C980" s="30" t="n">
        <v>400</v>
      </c>
      <c r="D980" s="30" t="n">
        <v>475</v>
      </c>
      <c r="E980" s="30" t="n">
        <f aca="false">MIN(C980,D980)</f>
        <v>400</v>
      </c>
      <c r="F980" s="8" t="n">
        <f aca="false">IF(D980&gt;0,1,0)</f>
        <v>1</v>
      </c>
    </row>
    <row r="981" customFormat="false" ht="15" hidden="false" customHeight="false" outlineLevel="0" collapsed="false">
      <c r="A981" s="8" t="s">
        <v>2788</v>
      </c>
      <c r="B981" s="8" t="s">
        <v>51</v>
      </c>
      <c r="C981" s="30" t="n">
        <v>400</v>
      </c>
      <c r="D981" s="30" t="n">
        <v>400</v>
      </c>
      <c r="E981" s="30" t="n">
        <f aca="false">MIN(C981,D981)</f>
        <v>400</v>
      </c>
      <c r="F981" s="8" t="n">
        <f aca="false">IF(D981&gt;0,1,0)</f>
        <v>1</v>
      </c>
    </row>
    <row r="982" customFormat="false" ht="15" hidden="false" customHeight="false" outlineLevel="0" collapsed="false">
      <c r="A982" s="8" t="s">
        <v>2800</v>
      </c>
      <c r="B982" s="8" t="s">
        <v>51</v>
      </c>
      <c r="C982" s="30" t="n">
        <v>400</v>
      </c>
      <c r="D982" s="30" t="n">
        <v>400</v>
      </c>
      <c r="E982" s="30" t="n">
        <f aca="false">MIN(C982,D982)</f>
        <v>400</v>
      </c>
      <c r="F982" s="8" t="n">
        <f aca="false">IF(D982&gt;0,1,0)</f>
        <v>1</v>
      </c>
    </row>
    <row r="983" customFormat="false" ht="15" hidden="false" customHeight="false" outlineLevel="0" collapsed="false">
      <c r="A983" s="8" t="s">
        <v>2804</v>
      </c>
      <c r="B983" s="8" t="s">
        <v>51</v>
      </c>
      <c r="C983" s="30" t="n">
        <v>400</v>
      </c>
      <c r="D983" s="30" t="n">
        <v>400</v>
      </c>
      <c r="E983" s="30" t="n">
        <f aca="false">MIN(C983,D983)</f>
        <v>400</v>
      </c>
      <c r="F983" s="8" t="n">
        <f aca="false">IF(D983&gt;0,1,0)</f>
        <v>1</v>
      </c>
    </row>
    <row r="984" customFormat="false" ht="15" hidden="false" customHeight="false" outlineLevel="0" collapsed="false">
      <c r="A984" s="8" t="s">
        <v>2806</v>
      </c>
      <c r="B984" s="8" t="s">
        <v>51</v>
      </c>
      <c r="C984" s="30" t="n">
        <v>400</v>
      </c>
      <c r="D984" s="30" t="n">
        <v>400</v>
      </c>
      <c r="E984" s="30" t="n">
        <f aca="false">MIN(C984,D984)</f>
        <v>400</v>
      </c>
      <c r="F984" s="8" t="n">
        <f aca="false">IF(D984&gt;0,1,0)</f>
        <v>1</v>
      </c>
    </row>
    <row r="985" customFormat="false" ht="15" hidden="false" customHeight="false" outlineLevel="0" collapsed="false">
      <c r="A985" s="8" t="s">
        <v>2808</v>
      </c>
      <c r="B985" s="8" t="s">
        <v>51</v>
      </c>
      <c r="C985" s="30" t="n">
        <v>400</v>
      </c>
      <c r="D985" s="30" t="n">
        <v>400</v>
      </c>
      <c r="E985" s="30" t="n">
        <f aca="false">MIN(C985,D985)</f>
        <v>400</v>
      </c>
      <c r="F985" s="8" t="n">
        <f aca="false">IF(D985&gt;0,1,0)</f>
        <v>1</v>
      </c>
    </row>
    <row r="986" customFormat="false" ht="15" hidden="false" customHeight="false" outlineLevel="0" collapsed="false">
      <c r="A986" s="8" t="s">
        <v>4518</v>
      </c>
      <c r="B986" s="8" t="s">
        <v>51</v>
      </c>
      <c r="C986" s="30" t="n">
        <v>396</v>
      </c>
      <c r="D986" s="30" t="n">
        <v>0</v>
      </c>
      <c r="E986" s="30" t="n">
        <f aca="false">MIN(C986,D986)</f>
        <v>0</v>
      </c>
      <c r="F986" s="8" t="n">
        <f aca="false">IF(D986&gt;0,1,0)</f>
        <v>0</v>
      </c>
    </row>
    <row r="987" customFormat="false" ht="15" hidden="false" customHeight="false" outlineLevel="0" collapsed="false">
      <c r="A987" s="8" t="s">
        <v>2812</v>
      </c>
      <c r="B987" s="8" t="s">
        <v>51</v>
      </c>
      <c r="C987" s="30" t="n">
        <v>396</v>
      </c>
      <c r="D987" s="30" t="n">
        <v>396</v>
      </c>
      <c r="E987" s="30" t="n">
        <f aca="false">MIN(C987,D987)</f>
        <v>396</v>
      </c>
      <c r="F987" s="8" t="n">
        <f aca="false">IF(D987&gt;0,1,0)</f>
        <v>1</v>
      </c>
    </row>
    <row r="988" customFormat="false" ht="15" hidden="false" customHeight="false" outlineLevel="0" collapsed="false">
      <c r="A988" s="8" t="s">
        <v>2816</v>
      </c>
      <c r="B988" s="8" t="s">
        <v>51</v>
      </c>
      <c r="C988" s="30" t="n">
        <v>396</v>
      </c>
      <c r="D988" s="30" t="n">
        <v>396</v>
      </c>
      <c r="E988" s="30" t="n">
        <f aca="false">MIN(C988,D988)</f>
        <v>396</v>
      </c>
      <c r="F988" s="8" t="n">
        <f aca="false">IF(D988&gt;0,1,0)</f>
        <v>1</v>
      </c>
    </row>
    <row r="989" customFormat="false" ht="15" hidden="false" customHeight="false" outlineLevel="0" collapsed="false">
      <c r="A989" s="8" t="s">
        <v>2818</v>
      </c>
      <c r="B989" s="8" t="s">
        <v>51</v>
      </c>
      <c r="C989" s="30" t="n">
        <v>396</v>
      </c>
      <c r="D989" s="30" t="n">
        <v>396</v>
      </c>
      <c r="E989" s="30" t="n">
        <f aca="false">MIN(C989,D989)</f>
        <v>396</v>
      </c>
      <c r="F989" s="8" t="n">
        <f aca="false">IF(D989&gt;0,1,0)</f>
        <v>1</v>
      </c>
    </row>
    <row r="990" customFormat="false" ht="15" hidden="false" customHeight="false" outlineLevel="0" collapsed="false">
      <c r="A990" s="8" t="s">
        <v>3058</v>
      </c>
      <c r="B990" s="8" t="s">
        <v>51</v>
      </c>
      <c r="C990" s="30" t="n">
        <v>396</v>
      </c>
      <c r="D990" s="30" t="n">
        <v>348</v>
      </c>
      <c r="E990" s="30" t="n">
        <f aca="false">MIN(C990,D990)</f>
        <v>348</v>
      </c>
      <c r="F990" s="8" t="n">
        <f aca="false">IF(D990&gt;0,1,0)</f>
        <v>1</v>
      </c>
    </row>
    <row r="991" customFormat="false" ht="15" hidden="false" customHeight="false" outlineLevel="0" collapsed="false">
      <c r="A991" s="8" t="s">
        <v>2276</v>
      </c>
      <c r="B991" s="8" t="s">
        <v>51</v>
      </c>
      <c r="C991" s="30" t="n">
        <v>396</v>
      </c>
      <c r="D991" s="30" t="n">
        <v>552</v>
      </c>
      <c r="E991" s="30" t="n">
        <f aca="false">MIN(C991,D991)</f>
        <v>396</v>
      </c>
      <c r="F991" s="8" t="n">
        <f aca="false">IF(D991&gt;0,1,0)</f>
        <v>1</v>
      </c>
    </row>
    <row r="992" customFormat="false" ht="15" hidden="false" customHeight="false" outlineLevel="0" collapsed="false">
      <c r="A992" s="8" t="s">
        <v>2824</v>
      </c>
      <c r="B992" s="8" t="s">
        <v>51</v>
      </c>
      <c r="C992" s="30" t="n">
        <v>396</v>
      </c>
      <c r="D992" s="30" t="n">
        <v>396</v>
      </c>
      <c r="E992" s="30" t="n">
        <f aca="false">MIN(C992,D992)</f>
        <v>396</v>
      </c>
      <c r="F992" s="8" t="n">
        <f aca="false">IF(D992&gt;0,1,0)</f>
        <v>1</v>
      </c>
    </row>
    <row r="993" customFormat="false" ht="15" hidden="false" customHeight="false" outlineLevel="0" collapsed="false">
      <c r="A993" s="8" t="s">
        <v>2604</v>
      </c>
      <c r="B993" s="8" t="s">
        <v>51</v>
      </c>
      <c r="C993" s="30" t="n">
        <v>396</v>
      </c>
      <c r="D993" s="30" t="n">
        <v>432</v>
      </c>
      <c r="E993" s="30" t="n">
        <f aca="false">MIN(C993,D993)</f>
        <v>396</v>
      </c>
      <c r="F993" s="8" t="n">
        <f aca="false">IF(D993&gt;0,1,0)</f>
        <v>1</v>
      </c>
    </row>
    <row r="994" customFormat="false" ht="15" hidden="false" customHeight="false" outlineLevel="0" collapsed="false">
      <c r="A994" s="8" t="s">
        <v>4519</v>
      </c>
      <c r="B994" s="8" t="s">
        <v>51</v>
      </c>
      <c r="C994" s="30" t="n">
        <v>396</v>
      </c>
      <c r="D994" s="30" t="n">
        <v>0</v>
      </c>
      <c r="E994" s="30" t="n">
        <f aca="false">MIN(C994,D994)</f>
        <v>0</v>
      </c>
      <c r="F994" s="8" t="n">
        <f aca="false">IF(D994&gt;0,1,0)</f>
        <v>0</v>
      </c>
    </row>
    <row r="995" customFormat="false" ht="15" hidden="false" customHeight="false" outlineLevel="0" collapsed="false">
      <c r="A995" s="8" t="s">
        <v>4520</v>
      </c>
      <c r="B995" s="8" t="s">
        <v>51</v>
      </c>
      <c r="C995" s="30" t="n">
        <v>396</v>
      </c>
      <c r="D995" s="30" t="n">
        <v>0</v>
      </c>
      <c r="E995" s="30" t="n">
        <f aca="false">MIN(C995,D995)</f>
        <v>0</v>
      </c>
      <c r="F995" s="8" t="n">
        <f aca="false">IF(D995&gt;0,1,0)</f>
        <v>0</v>
      </c>
    </row>
    <row r="996" customFormat="false" ht="15" hidden="false" customHeight="false" outlineLevel="0" collapsed="false">
      <c r="A996" s="8" t="s">
        <v>2844</v>
      </c>
      <c r="B996" s="8" t="s">
        <v>51</v>
      </c>
      <c r="C996" s="30" t="n">
        <v>384</v>
      </c>
      <c r="D996" s="30" t="n">
        <v>384</v>
      </c>
      <c r="E996" s="30" t="n">
        <f aca="false">MIN(C996,D996)</f>
        <v>384</v>
      </c>
      <c r="F996" s="8" t="n">
        <f aca="false">IF(D996&gt;0,1,0)</f>
        <v>1</v>
      </c>
    </row>
    <row r="997" customFormat="false" ht="15" hidden="false" customHeight="false" outlineLevel="0" collapsed="false">
      <c r="A997" s="8" t="s">
        <v>3268</v>
      </c>
      <c r="B997" s="8" t="s">
        <v>51</v>
      </c>
      <c r="C997" s="30" t="n">
        <v>384</v>
      </c>
      <c r="D997" s="30" t="n">
        <v>300</v>
      </c>
      <c r="E997" s="30" t="n">
        <f aca="false">MIN(C997,D997)</f>
        <v>300</v>
      </c>
      <c r="F997" s="8" t="n">
        <f aca="false">IF(D997&gt;0,1,0)</f>
        <v>1</v>
      </c>
    </row>
    <row r="998" customFormat="false" ht="15" hidden="false" customHeight="false" outlineLevel="0" collapsed="false">
      <c r="A998" s="8" t="s">
        <v>4521</v>
      </c>
      <c r="B998" s="8" t="s">
        <v>51</v>
      </c>
      <c r="C998" s="30" t="n">
        <v>384</v>
      </c>
      <c r="D998" s="30" t="n">
        <v>0</v>
      </c>
      <c r="E998" s="30" t="n">
        <f aca="false">MIN(C998,D998)</f>
        <v>0</v>
      </c>
      <c r="F998" s="8" t="n">
        <f aca="false">IF(D998&gt;0,1,0)</f>
        <v>0</v>
      </c>
    </row>
    <row r="999" customFormat="false" ht="15" hidden="false" customHeight="false" outlineLevel="0" collapsed="false">
      <c r="A999" s="8" t="s">
        <v>4522</v>
      </c>
      <c r="B999" s="8" t="s">
        <v>51</v>
      </c>
      <c r="C999" s="30" t="n">
        <v>384</v>
      </c>
      <c r="D999" s="30" t="n">
        <v>0</v>
      </c>
      <c r="E999" s="30" t="n">
        <f aca="false">MIN(C999,D999)</f>
        <v>0</v>
      </c>
      <c r="F999" s="8" t="n">
        <f aca="false">IF(D999&gt;0,1,0)</f>
        <v>0</v>
      </c>
    </row>
    <row r="1000" customFormat="false" ht="15" hidden="false" customHeight="false" outlineLevel="0" collapsed="false">
      <c r="A1000" s="8" t="s">
        <v>2566</v>
      </c>
      <c r="B1000" s="8" t="s">
        <v>51</v>
      </c>
      <c r="C1000" s="30" t="n">
        <v>384</v>
      </c>
      <c r="D1000" s="30" t="n">
        <v>444</v>
      </c>
      <c r="E1000" s="30" t="n">
        <f aca="false">MIN(C1000,D1000)</f>
        <v>384</v>
      </c>
      <c r="F1000" s="8" t="n">
        <f aca="false">IF(D1000&gt;0,1,0)</f>
        <v>1</v>
      </c>
    </row>
    <row r="1001" customFormat="false" ht="15" hidden="false" customHeight="false" outlineLevel="0" collapsed="false">
      <c r="A1001" s="8" t="s">
        <v>2858</v>
      </c>
      <c r="B1001" s="8" t="s">
        <v>51</v>
      </c>
      <c r="C1001" s="30" t="n">
        <v>384</v>
      </c>
      <c r="D1001" s="30" t="n">
        <v>384</v>
      </c>
      <c r="E1001" s="30" t="n">
        <f aca="false">MIN(C1001,D1001)</f>
        <v>384</v>
      </c>
      <c r="F1001" s="8" t="n">
        <f aca="false">IF(D1001&gt;0,1,0)</f>
        <v>1</v>
      </c>
    </row>
    <row r="1002" customFormat="false" ht="15" hidden="false" customHeight="false" outlineLevel="0" collapsed="false">
      <c r="A1002" s="8" t="s">
        <v>2868</v>
      </c>
      <c r="B1002" s="8" t="s">
        <v>51</v>
      </c>
      <c r="C1002" s="30" t="n">
        <v>384</v>
      </c>
      <c r="D1002" s="30" t="n">
        <v>384</v>
      </c>
      <c r="E1002" s="30" t="n">
        <f aca="false">MIN(C1002,D1002)</f>
        <v>384</v>
      </c>
      <c r="F1002" s="8" t="n">
        <f aca="false">IF(D1002&gt;0,1,0)</f>
        <v>1</v>
      </c>
    </row>
    <row r="1003" customFormat="false" ht="15" hidden="false" customHeight="false" outlineLevel="0" collapsed="false">
      <c r="A1003" s="8" t="s">
        <v>2146</v>
      </c>
      <c r="B1003" s="8" t="s">
        <v>51</v>
      </c>
      <c r="C1003" s="30" t="n">
        <v>384</v>
      </c>
      <c r="D1003" s="30" t="n">
        <v>660</v>
      </c>
      <c r="E1003" s="30" t="n">
        <f aca="false">MIN(C1003,D1003)</f>
        <v>384</v>
      </c>
      <c r="F1003" s="8" t="n">
        <f aca="false">IF(D1003&gt;0,1,0)</f>
        <v>1</v>
      </c>
    </row>
    <row r="1004" customFormat="false" ht="15" hidden="false" customHeight="false" outlineLevel="0" collapsed="false">
      <c r="A1004" s="8" t="s">
        <v>2872</v>
      </c>
      <c r="B1004" s="8" t="s">
        <v>51</v>
      </c>
      <c r="C1004" s="30" t="n">
        <v>384</v>
      </c>
      <c r="D1004" s="30" t="n">
        <v>384</v>
      </c>
      <c r="E1004" s="30" t="n">
        <f aca="false">MIN(C1004,D1004)</f>
        <v>384</v>
      </c>
      <c r="F1004" s="8" t="n">
        <f aca="false">IF(D1004&gt;0,1,0)</f>
        <v>1</v>
      </c>
    </row>
    <row r="1005" customFormat="false" ht="15" hidden="false" customHeight="false" outlineLevel="0" collapsed="false">
      <c r="A1005" s="8" t="s">
        <v>3186</v>
      </c>
      <c r="B1005" s="8" t="s">
        <v>51</v>
      </c>
      <c r="C1005" s="30" t="n">
        <v>384</v>
      </c>
      <c r="D1005" s="30" t="n">
        <v>324</v>
      </c>
      <c r="E1005" s="30" t="n">
        <f aca="false">MIN(C1005,D1005)</f>
        <v>324</v>
      </c>
      <c r="F1005" s="8" t="n">
        <f aca="false">IF(D1005&gt;0,1,0)</f>
        <v>1</v>
      </c>
    </row>
    <row r="1006" customFormat="false" ht="15" hidden="false" customHeight="false" outlineLevel="0" collapsed="false">
      <c r="A1006" s="8" t="s">
        <v>2876</v>
      </c>
      <c r="B1006" s="8" t="s">
        <v>51</v>
      </c>
      <c r="C1006" s="30" t="n">
        <v>384</v>
      </c>
      <c r="D1006" s="30" t="n">
        <v>384</v>
      </c>
      <c r="E1006" s="30" t="n">
        <f aca="false">MIN(C1006,D1006)</f>
        <v>384</v>
      </c>
      <c r="F1006" s="8" t="n">
        <f aca="false">IF(D1006&gt;0,1,0)</f>
        <v>1</v>
      </c>
    </row>
    <row r="1007" customFormat="false" ht="15" hidden="false" customHeight="false" outlineLevel="0" collapsed="false">
      <c r="A1007" s="8" t="s">
        <v>2320</v>
      </c>
      <c r="B1007" s="8" t="s">
        <v>51</v>
      </c>
      <c r="C1007" s="30" t="n">
        <v>384</v>
      </c>
      <c r="D1007" s="30" t="n">
        <v>528</v>
      </c>
      <c r="E1007" s="30" t="n">
        <f aca="false">MIN(C1007,D1007)</f>
        <v>384</v>
      </c>
      <c r="F1007" s="8" t="n">
        <f aca="false">IF(D1007&gt;0,1,0)</f>
        <v>1</v>
      </c>
    </row>
    <row r="1008" customFormat="false" ht="15" hidden="false" customHeight="false" outlineLevel="0" collapsed="false">
      <c r="A1008" s="8" t="s">
        <v>2884</v>
      </c>
      <c r="B1008" s="8" t="s">
        <v>51</v>
      </c>
      <c r="C1008" s="30" t="n">
        <v>384</v>
      </c>
      <c r="D1008" s="30" t="n">
        <v>384</v>
      </c>
      <c r="E1008" s="30" t="n">
        <f aca="false">MIN(C1008,D1008)</f>
        <v>384</v>
      </c>
      <c r="F1008" s="8" t="n">
        <f aca="false">IF(D1008&gt;0,1,0)</f>
        <v>1</v>
      </c>
    </row>
    <row r="1009" customFormat="false" ht="15" hidden="false" customHeight="false" outlineLevel="0" collapsed="false">
      <c r="A1009" s="8" t="s">
        <v>2888</v>
      </c>
      <c r="B1009" s="8" t="s">
        <v>51</v>
      </c>
      <c r="C1009" s="30" t="n">
        <v>384</v>
      </c>
      <c r="D1009" s="30" t="n">
        <v>384</v>
      </c>
      <c r="E1009" s="30" t="n">
        <f aca="false">MIN(C1009,D1009)</f>
        <v>384</v>
      </c>
      <c r="F1009" s="8" t="n">
        <f aca="false">IF(D1009&gt;0,1,0)</f>
        <v>1</v>
      </c>
    </row>
    <row r="1010" customFormat="false" ht="15" hidden="false" customHeight="false" outlineLevel="0" collapsed="false">
      <c r="A1010" s="8" t="s">
        <v>2350</v>
      </c>
      <c r="B1010" s="8" t="s">
        <v>51</v>
      </c>
      <c r="C1010" s="30" t="n">
        <v>384</v>
      </c>
      <c r="D1010" s="30" t="n">
        <v>516</v>
      </c>
      <c r="E1010" s="30" t="n">
        <f aca="false">MIN(C1010,D1010)</f>
        <v>384</v>
      </c>
      <c r="F1010" s="8" t="n">
        <f aca="false">IF(D1010&gt;0,1,0)</f>
        <v>1</v>
      </c>
    </row>
    <row r="1011" customFormat="false" ht="15" hidden="false" customHeight="false" outlineLevel="0" collapsed="false">
      <c r="A1011" s="8" t="s">
        <v>2890</v>
      </c>
      <c r="B1011" s="8" t="s">
        <v>51</v>
      </c>
      <c r="C1011" s="30" t="n">
        <v>384</v>
      </c>
      <c r="D1011" s="30" t="n">
        <v>384</v>
      </c>
      <c r="E1011" s="30" t="n">
        <f aca="false">MIN(C1011,D1011)</f>
        <v>384</v>
      </c>
      <c r="F1011" s="8" t="n">
        <f aca="false">IF(D1011&gt;0,1,0)</f>
        <v>1</v>
      </c>
    </row>
    <row r="1012" customFormat="false" ht="15" hidden="false" customHeight="false" outlineLevel="0" collapsed="false">
      <c r="A1012" s="8" t="s">
        <v>2374</v>
      </c>
      <c r="B1012" s="8" t="s">
        <v>51</v>
      </c>
      <c r="C1012" s="30" t="n">
        <v>375</v>
      </c>
      <c r="D1012" s="30" t="n">
        <v>500</v>
      </c>
      <c r="E1012" s="30" t="n">
        <f aca="false">MIN(C1012,D1012)</f>
        <v>375</v>
      </c>
      <c r="F1012" s="8" t="n">
        <f aca="false">IF(D1012&gt;0,1,0)</f>
        <v>1</v>
      </c>
    </row>
    <row r="1013" customFormat="false" ht="15" hidden="false" customHeight="false" outlineLevel="0" collapsed="false">
      <c r="A1013" s="8" t="s">
        <v>2900</v>
      </c>
      <c r="B1013" s="8" t="s">
        <v>51</v>
      </c>
      <c r="C1013" s="30" t="n">
        <v>375</v>
      </c>
      <c r="D1013" s="30" t="n">
        <v>375</v>
      </c>
      <c r="E1013" s="30" t="n">
        <f aca="false">MIN(C1013,D1013)</f>
        <v>375</v>
      </c>
      <c r="F1013" s="8" t="n">
        <f aca="false">IF(D1013&gt;0,1,0)</f>
        <v>1</v>
      </c>
    </row>
    <row r="1014" customFormat="false" ht="15" hidden="false" customHeight="false" outlineLevel="0" collapsed="false">
      <c r="A1014" s="8" t="s">
        <v>2906</v>
      </c>
      <c r="B1014" s="8" t="s">
        <v>51</v>
      </c>
      <c r="C1014" s="30" t="n">
        <v>375</v>
      </c>
      <c r="D1014" s="30" t="n">
        <v>375</v>
      </c>
      <c r="E1014" s="30" t="n">
        <f aca="false">MIN(C1014,D1014)</f>
        <v>375</v>
      </c>
      <c r="F1014" s="8" t="n">
        <f aca="false">IF(D1014&gt;0,1,0)</f>
        <v>1</v>
      </c>
    </row>
    <row r="1015" customFormat="false" ht="15" hidden="false" customHeight="false" outlineLevel="0" collapsed="false">
      <c r="A1015" s="8" t="s">
        <v>2542</v>
      </c>
      <c r="B1015" s="8" t="s">
        <v>51</v>
      </c>
      <c r="C1015" s="30" t="n">
        <v>375</v>
      </c>
      <c r="D1015" s="30" t="n">
        <v>450</v>
      </c>
      <c r="E1015" s="30" t="n">
        <f aca="false">MIN(C1015,D1015)</f>
        <v>375</v>
      </c>
      <c r="F1015" s="8" t="n">
        <f aca="false">IF(D1015&gt;0,1,0)</f>
        <v>1</v>
      </c>
    </row>
    <row r="1016" customFormat="false" ht="15" hidden="false" customHeight="false" outlineLevel="0" collapsed="false">
      <c r="A1016" s="8" t="s">
        <v>2910</v>
      </c>
      <c r="B1016" s="8" t="s">
        <v>51</v>
      </c>
      <c r="C1016" s="30" t="n">
        <v>375</v>
      </c>
      <c r="D1016" s="30" t="n">
        <v>375</v>
      </c>
      <c r="E1016" s="30" t="n">
        <f aca="false">MIN(C1016,D1016)</f>
        <v>375</v>
      </c>
      <c r="F1016" s="8" t="n">
        <f aca="false">IF(D1016&gt;0,1,0)</f>
        <v>1</v>
      </c>
    </row>
    <row r="1017" customFormat="false" ht="15" hidden="false" customHeight="false" outlineLevel="0" collapsed="false">
      <c r="A1017" s="8" t="s">
        <v>2436</v>
      </c>
      <c r="B1017" s="8" t="s">
        <v>51</v>
      </c>
      <c r="C1017" s="30" t="n">
        <v>375</v>
      </c>
      <c r="D1017" s="30" t="n">
        <v>475</v>
      </c>
      <c r="E1017" s="30" t="n">
        <f aca="false">MIN(C1017,D1017)</f>
        <v>375</v>
      </c>
      <c r="F1017" s="8" t="n">
        <f aca="false">IF(D1017&gt;0,1,0)</f>
        <v>1</v>
      </c>
    </row>
    <row r="1018" customFormat="false" ht="15" hidden="false" customHeight="false" outlineLevel="0" collapsed="false">
      <c r="A1018" s="8" t="s">
        <v>2916</v>
      </c>
      <c r="B1018" s="8" t="s">
        <v>51</v>
      </c>
      <c r="C1018" s="30" t="n">
        <v>375</v>
      </c>
      <c r="D1018" s="30" t="n">
        <v>375</v>
      </c>
      <c r="E1018" s="30" t="n">
        <f aca="false">MIN(C1018,D1018)</f>
        <v>375</v>
      </c>
      <c r="F1018" s="8" t="n">
        <f aca="false">IF(D1018&gt;0,1,0)</f>
        <v>1</v>
      </c>
    </row>
    <row r="1019" customFormat="false" ht="15" hidden="false" customHeight="false" outlineLevel="0" collapsed="false">
      <c r="A1019" s="8" t="s">
        <v>2662</v>
      </c>
      <c r="B1019" s="8" t="s">
        <v>51</v>
      </c>
      <c r="C1019" s="30" t="n">
        <v>372</v>
      </c>
      <c r="D1019" s="30" t="n">
        <v>420</v>
      </c>
      <c r="E1019" s="30" t="n">
        <f aca="false">MIN(C1019,D1019)</f>
        <v>372</v>
      </c>
      <c r="F1019" s="8" t="n">
        <f aca="false">IF(D1019&gt;0,1,0)</f>
        <v>1</v>
      </c>
    </row>
    <row r="1020" customFormat="false" ht="15" hidden="false" customHeight="false" outlineLevel="0" collapsed="false">
      <c r="A1020" s="8" t="s">
        <v>2668</v>
      </c>
      <c r="B1020" s="8" t="s">
        <v>51</v>
      </c>
      <c r="C1020" s="30" t="n">
        <v>372</v>
      </c>
      <c r="D1020" s="30" t="n">
        <v>420</v>
      </c>
      <c r="E1020" s="30" t="n">
        <f aca="false">MIN(C1020,D1020)</f>
        <v>372</v>
      </c>
      <c r="F1020" s="8" t="n">
        <f aca="false">IF(D1020&gt;0,1,0)</f>
        <v>1</v>
      </c>
    </row>
    <row r="1021" customFormat="false" ht="15" hidden="false" customHeight="false" outlineLevel="0" collapsed="false">
      <c r="A1021" s="8" t="s">
        <v>2926</v>
      </c>
      <c r="B1021" s="8" t="s">
        <v>51</v>
      </c>
      <c r="C1021" s="30" t="n">
        <v>372</v>
      </c>
      <c r="D1021" s="30" t="n">
        <v>372</v>
      </c>
      <c r="E1021" s="30" t="n">
        <f aca="false">MIN(C1021,D1021)</f>
        <v>372</v>
      </c>
      <c r="F1021" s="8" t="n">
        <f aca="false">IF(D1021&gt;0,1,0)</f>
        <v>1</v>
      </c>
    </row>
    <row r="1022" customFormat="false" ht="15" hidden="false" customHeight="false" outlineLevel="0" collapsed="false">
      <c r="A1022" s="8" t="s">
        <v>3206</v>
      </c>
      <c r="B1022" s="8" t="s">
        <v>51</v>
      </c>
      <c r="C1022" s="30" t="n">
        <v>372</v>
      </c>
      <c r="D1022" s="30" t="n">
        <v>312</v>
      </c>
      <c r="E1022" s="30" t="n">
        <f aca="false">MIN(C1022,D1022)</f>
        <v>312</v>
      </c>
      <c r="F1022" s="8" t="n">
        <f aca="false">IF(D1022&gt;0,1,0)</f>
        <v>1</v>
      </c>
    </row>
    <row r="1023" customFormat="false" ht="15" hidden="false" customHeight="false" outlineLevel="0" collapsed="false">
      <c r="A1023" s="8" t="s">
        <v>2500</v>
      </c>
      <c r="B1023" s="8" t="s">
        <v>51</v>
      </c>
      <c r="C1023" s="30" t="n">
        <v>372</v>
      </c>
      <c r="D1023" s="30" t="n">
        <v>456</v>
      </c>
      <c r="E1023" s="30" t="n">
        <f aca="false">MIN(C1023,D1023)</f>
        <v>372</v>
      </c>
      <c r="F1023" s="8" t="n">
        <f aca="false">IF(D1023&gt;0,1,0)</f>
        <v>1</v>
      </c>
    </row>
    <row r="1024" customFormat="false" ht="15" hidden="false" customHeight="false" outlineLevel="0" collapsed="false">
      <c r="A1024" s="8" t="s">
        <v>4523</v>
      </c>
      <c r="B1024" s="8" t="s">
        <v>51</v>
      </c>
      <c r="C1024" s="30" t="n">
        <v>372</v>
      </c>
      <c r="D1024" s="30" t="n">
        <v>0</v>
      </c>
      <c r="E1024" s="30" t="n">
        <f aca="false">MIN(C1024,D1024)</f>
        <v>0</v>
      </c>
      <c r="F1024" s="8" t="n">
        <f aca="false">IF(D1024&gt;0,1,0)</f>
        <v>0</v>
      </c>
    </row>
    <row r="1025" customFormat="false" ht="15" hidden="false" customHeight="false" outlineLevel="0" collapsed="false">
      <c r="A1025" s="8" t="s">
        <v>2932</v>
      </c>
      <c r="B1025" s="8" t="s">
        <v>51</v>
      </c>
      <c r="C1025" s="30" t="n">
        <v>372</v>
      </c>
      <c r="D1025" s="30" t="n">
        <v>372</v>
      </c>
      <c r="E1025" s="30" t="n">
        <f aca="false">MIN(C1025,D1025)</f>
        <v>372</v>
      </c>
      <c r="F1025" s="8" t="n">
        <f aca="false">IF(D1025&gt;0,1,0)</f>
        <v>1</v>
      </c>
    </row>
    <row r="1026" customFormat="false" ht="15" hidden="false" customHeight="false" outlineLevel="0" collapsed="false">
      <c r="A1026" s="8" t="s">
        <v>2934</v>
      </c>
      <c r="B1026" s="8" t="s">
        <v>51</v>
      </c>
      <c r="C1026" s="30" t="n">
        <v>372</v>
      </c>
      <c r="D1026" s="30" t="n">
        <v>372</v>
      </c>
      <c r="E1026" s="30" t="n">
        <f aca="false">MIN(C1026,D1026)</f>
        <v>372</v>
      </c>
      <c r="F1026" s="8" t="n">
        <f aca="false">IF(D1026&gt;0,1,0)</f>
        <v>1</v>
      </c>
    </row>
    <row r="1027" customFormat="false" ht="15" hidden="false" customHeight="false" outlineLevel="0" collapsed="false">
      <c r="A1027" s="8" t="s">
        <v>2940</v>
      </c>
      <c r="B1027" s="8" t="s">
        <v>51</v>
      </c>
      <c r="C1027" s="30" t="n">
        <v>372</v>
      </c>
      <c r="D1027" s="30" t="n">
        <v>372</v>
      </c>
      <c r="E1027" s="30" t="n">
        <f aca="false">MIN(C1027,D1027)</f>
        <v>372</v>
      </c>
      <c r="F1027" s="8" t="n">
        <f aca="false">IF(D1027&gt;0,1,0)</f>
        <v>1</v>
      </c>
    </row>
    <row r="1028" customFormat="false" ht="15" hidden="false" customHeight="false" outlineLevel="0" collapsed="false">
      <c r="A1028" s="8" t="s">
        <v>2942</v>
      </c>
      <c r="B1028" s="8" t="s">
        <v>51</v>
      </c>
      <c r="C1028" s="30" t="n">
        <v>372</v>
      </c>
      <c r="D1028" s="30" t="n">
        <v>372</v>
      </c>
      <c r="E1028" s="30" t="n">
        <f aca="false">MIN(C1028,D1028)</f>
        <v>372</v>
      </c>
      <c r="F1028" s="8" t="n">
        <f aca="false">IF(D1028&gt;0,1,0)</f>
        <v>1</v>
      </c>
    </row>
    <row r="1029" customFormat="false" ht="15" hidden="false" customHeight="false" outlineLevel="0" collapsed="false">
      <c r="A1029" s="8" t="s">
        <v>2946</v>
      </c>
      <c r="B1029" s="8" t="s">
        <v>51</v>
      </c>
      <c r="C1029" s="30" t="n">
        <v>372</v>
      </c>
      <c r="D1029" s="30" t="n">
        <v>372</v>
      </c>
      <c r="E1029" s="30" t="n">
        <f aca="false">MIN(C1029,D1029)</f>
        <v>372</v>
      </c>
      <c r="F1029" s="8" t="n">
        <f aca="false">IF(D1029&gt;0,1,0)</f>
        <v>1</v>
      </c>
    </row>
    <row r="1030" customFormat="false" ht="15" hidden="false" customHeight="false" outlineLevel="0" collapsed="false">
      <c r="A1030" s="8" t="s">
        <v>2272</v>
      </c>
      <c r="B1030" s="8" t="s">
        <v>51</v>
      </c>
      <c r="C1030" s="30" t="n">
        <v>372</v>
      </c>
      <c r="D1030" s="30" t="n">
        <v>564</v>
      </c>
      <c r="E1030" s="30" t="n">
        <f aca="false">MIN(C1030,D1030)</f>
        <v>372</v>
      </c>
      <c r="F1030" s="8" t="n">
        <f aca="false">IF(D1030&gt;0,1,0)</f>
        <v>1</v>
      </c>
    </row>
    <row r="1031" customFormat="false" ht="15" hidden="false" customHeight="false" outlineLevel="0" collapsed="false">
      <c r="A1031" s="8" t="s">
        <v>2948</v>
      </c>
      <c r="B1031" s="8" t="s">
        <v>51</v>
      </c>
      <c r="C1031" s="30" t="n">
        <v>372</v>
      </c>
      <c r="D1031" s="30" t="n">
        <v>372</v>
      </c>
      <c r="E1031" s="30" t="n">
        <f aca="false">MIN(C1031,D1031)</f>
        <v>372</v>
      </c>
      <c r="F1031" s="8" t="n">
        <f aca="false">IF(D1031&gt;0,1,0)</f>
        <v>1</v>
      </c>
    </row>
    <row r="1032" customFormat="false" ht="15" hidden="false" customHeight="false" outlineLevel="0" collapsed="false">
      <c r="A1032" s="8" t="s">
        <v>2528</v>
      </c>
      <c r="B1032" s="8" t="s">
        <v>51</v>
      </c>
      <c r="C1032" s="30" t="n">
        <v>372</v>
      </c>
      <c r="D1032" s="30" t="n">
        <v>456</v>
      </c>
      <c r="E1032" s="30" t="n">
        <f aca="false">MIN(C1032,D1032)</f>
        <v>372</v>
      </c>
      <c r="F1032" s="8" t="n">
        <f aca="false">IF(D1032&gt;0,1,0)</f>
        <v>1</v>
      </c>
    </row>
    <row r="1033" customFormat="false" ht="15" hidden="false" customHeight="false" outlineLevel="0" collapsed="false">
      <c r="A1033" s="8" t="s">
        <v>3418</v>
      </c>
      <c r="B1033" s="8" t="s">
        <v>51</v>
      </c>
      <c r="C1033" s="30" t="n">
        <v>372</v>
      </c>
      <c r="D1033" s="30" t="n">
        <v>276</v>
      </c>
      <c r="E1033" s="30" t="n">
        <f aca="false">MIN(C1033,D1033)</f>
        <v>276</v>
      </c>
      <c r="F1033" s="8" t="n">
        <f aca="false">IF(D1033&gt;0,1,0)</f>
        <v>1</v>
      </c>
    </row>
    <row r="1034" customFormat="false" ht="15" hidden="false" customHeight="false" outlineLevel="0" collapsed="false">
      <c r="A1034" s="8" t="s">
        <v>4524</v>
      </c>
      <c r="B1034" s="8" t="s">
        <v>51</v>
      </c>
      <c r="C1034" s="30" t="n">
        <v>372</v>
      </c>
      <c r="D1034" s="30" t="n">
        <v>0</v>
      </c>
      <c r="E1034" s="30" t="n">
        <f aca="false">MIN(C1034,D1034)</f>
        <v>0</v>
      </c>
      <c r="F1034" s="8" t="n">
        <f aca="false">IF(D1034&gt;0,1,0)</f>
        <v>0</v>
      </c>
    </row>
    <row r="1035" customFormat="false" ht="15" hidden="false" customHeight="false" outlineLevel="0" collapsed="false">
      <c r="A1035" s="8" t="s">
        <v>2954</v>
      </c>
      <c r="B1035" s="8" t="s">
        <v>51</v>
      </c>
      <c r="C1035" s="30" t="n">
        <v>372</v>
      </c>
      <c r="D1035" s="30" t="n">
        <v>372</v>
      </c>
      <c r="E1035" s="30" t="n">
        <f aca="false">MIN(C1035,D1035)</f>
        <v>372</v>
      </c>
      <c r="F1035" s="8" t="n">
        <f aca="false">IF(D1035&gt;0,1,0)</f>
        <v>1</v>
      </c>
    </row>
    <row r="1036" customFormat="false" ht="15" hidden="false" customHeight="false" outlineLevel="0" collapsed="false">
      <c r="A1036" s="8" t="s">
        <v>2716</v>
      </c>
      <c r="B1036" s="8" t="s">
        <v>51</v>
      </c>
      <c r="C1036" s="30" t="n">
        <v>372</v>
      </c>
      <c r="D1036" s="30" t="n">
        <v>420</v>
      </c>
      <c r="E1036" s="30" t="n">
        <f aca="false">MIN(C1036,D1036)</f>
        <v>372</v>
      </c>
      <c r="F1036" s="8" t="n">
        <f aca="false">IF(D1036&gt;0,1,0)</f>
        <v>1</v>
      </c>
    </row>
    <row r="1037" customFormat="false" ht="15" hidden="false" customHeight="false" outlineLevel="0" collapsed="false">
      <c r="A1037" s="8" t="s">
        <v>2956</v>
      </c>
      <c r="B1037" s="8" t="s">
        <v>51</v>
      </c>
      <c r="C1037" s="30" t="n">
        <v>372</v>
      </c>
      <c r="D1037" s="30" t="n">
        <v>372</v>
      </c>
      <c r="E1037" s="30" t="n">
        <f aca="false">MIN(C1037,D1037)</f>
        <v>372</v>
      </c>
      <c r="F1037" s="8" t="n">
        <f aca="false">IF(D1037&gt;0,1,0)</f>
        <v>1</v>
      </c>
    </row>
    <row r="1038" customFormat="false" ht="15" hidden="false" customHeight="false" outlineLevel="0" collapsed="false">
      <c r="A1038" s="8" t="s">
        <v>2960</v>
      </c>
      <c r="B1038" s="8" t="s">
        <v>51</v>
      </c>
      <c r="C1038" s="30" t="n">
        <v>372</v>
      </c>
      <c r="D1038" s="30" t="n">
        <v>372</v>
      </c>
      <c r="E1038" s="30" t="n">
        <f aca="false">MIN(C1038,D1038)</f>
        <v>372</v>
      </c>
      <c r="F1038" s="8" t="n">
        <f aca="false">IF(D1038&gt;0,1,0)</f>
        <v>1</v>
      </c>
    </row>
    <row r="1039" customFormat="false" ht="15" hidden="false" customHeight="false" outlineLevel="0" collapsed="false">
      <c r="A1039" s="8" t="s">
        <v>2968</v>
      </c>
      <c r="B1039" s="8" t="s">
        <v>51</v>
      </c>
      <c r="C1039" s="30" t="n">
        <v>372</v>
      </c>
      <c r="D1039" s="30" t="n">
        <v>372</v>
      </c>
      <c r="E1039" s="30" t="n">
        <f aca="false">MIN(C1039,D1039)</f>
        <v>372</v>
      </c>
      <c r="F1039" s="8" t="n">
        <f aca="false">IF(D1039&gt;0,1,0)</f>
        <v>1</v>
      </c>
    </row>
    <row r="1040" customFormat="false" ht="15" hidden="false" customHeight="false" outlineLevel="0" collapsed="false">
      <c r="A1040" s="8" t="s">
        <v>2972</v>
      </c>
      <c r="B1040" s="8" t="s">
        <v>51</v>
      </c>
      <c r="C1040" s="30" t="n">
        <v>360</v>
      </c>
      <c r="D1040" s="30" t="n">
        <v>360</v>
      </c>
      <c r="E1040" s="30" t="n">
        <f aca="false">MIN(C1040,D1040)</f>
        <v>360</v>
      </c>
      <c r="F1040" s="8" t="n">
        <f aca="false">IF(D1040&gt;0,1,0)</f>
        <v>1</v>
      </c>
    </row>
    <row r="1041" customFormat="false" ht="15" hidden="false" customHeight="false" outlineLevel="0" collapsed="false">
      <c r="A1041" s="8" t="s">
        <v>2974</v>
      </c>
      <c r="B1041" s="8" t="s">
        <v>51</v>
      </c>
      <c r="C1041" s="30" t="n">
        <v>360</v>
      </c>
      <c r="D1041" s="30" t="n">
        <v>360</v>
      </c>
      <c r="E1041" s="30" t="n">
        <f aca="false">MIN(C1041,D1041)</f>
        <v>360</v>
      </c>
      <c r="F1041" s="8" t="n">
        <f aca="false">IF(D1041&gt;0,1,0)</f>
        <v>1</v>
      </c>
    </row>
    <row r="1042" customFormat="false" ht="15" hidden="false" customHeight="false" outlineLevel="0" collapsed="false">
      <c r="A1042" s="8" t="s">
        <v>2730</v>
      </c>
      <c r="B1042" s="8" t="s">
        <v>51</v>
      </c>
      <c r="C1042" s="30" t="n">
        <v>360</v>
      </c>
      <c r="D1042" s="30" t="n">
        <v>408</v>
      </c>
      <c r="E1042" s="30" t="n">
        <f aca="false">MIN(C1042,D1042)</f>
        <v>360</v>
      </c>
      <c r="F1042" s="8" t="n">
        <f aca="false">IF(D1042&gt;0,1,0)</f>
        <v>1</v>
      </c>
    </row>
    <row r="1043" customFormat="false" ht="15" hidden="false" customHeight="false" outlineLevel="0" collapsed="false">
      <c r="A1043" s="8" t="s">
        <v>2978</v>
      </c>
      <c r="B1043" s="8" t="s">
        <v>51</v>
      </c>
      <c r="C1043" s="30" t="n">
        <v>360</v>
      </c>
      <c r="D1043" s="30" t="n">
        <v>360</v>
      </c>
      <c r="E1043" s="30" t="n">
        <f aca="false">MIN(C1043,D1043)</f>
        <v>360</v>
      </c>
      <c r="F1043" s="8" t="n">
        <f aca="false">IF(D1043&gt;0,1,0)</f>
        <v>1</v>
      </c>
    </row>
    <row r="1044" customFormat="false" ht="15" hidden="false" customHeight="false" outlineLevel="0" collapsed="false">
      <c r="A1044" s="8" t="s">
        <v>2984</v>
      </c>
      <c r="B1044" s="8" t="s">
        <v>51</v>
      </c>
      <c r="C1044" s="30" t="n">
        <v>360</v>
      </c>
      <c r="D1044" s="30" t="n">
        <v>360</v>
      </c>
      <c r="E1044" s="30" t="n">
        <f aca="false">MIN(C1044,D1044)</f>
        <v>360</v>
      </c>
      <c r="F1044" s="8" t="n">
        <f aca="false">IF(D1044&gt;0,1,0)</f>
        <v>1</v>
      </c>
    </row>
    <row r="1045" customFormat="false" ht="15" hidden="false" customHeight="false" outlineLevel="0" collapsed="false">
      <c r="A1045" s="8" t="s">
        <v>2988</v>
      </c>
      <c r="B1045" s="8" t="s">
        <v>51</v>
      </c>
      <c r="C1045" s="30" t="n">
        <v>360</v>
      </c>
      <c r="D1045" s="30" t="n">
        <v>360</v>
      </c>
      <c r="E1045" s="30" t="n">
        <f aca="false">MIN(C1045,D1045)</f>
        <v>360</v>
      </c>
      <c r="F1045" s="8" t="n">
        <f aca="false">IF(D1045&gt;0,1,0)</f>
        <v>1</v>
      </c>
    </row>
    <row r="1046" customFormat="false" ht="15" hidden="false" customHeight="false" outlineLevel="0" collapsed="false">
      <c r="A1046" s="8" t="s">
        <v>3280</v>
      </c>
      <c r="B1046" s="8" t="s">
        <v>51</v>
      </c>
      <c r="C1046" s="30" t="n">
        <v>360</v>
      </c>
      <c r="D1046" s="30" t="n">
        <v>300</v>
      </c>
      <c r="E1046" s="30" t="n">
        <f aca="false">MIN(C1046,D1046)</f>
        <v>300</v>
      </c>
      <c r="F1046" s="8" t="n">
        <f aca="false">IF(D1046&gt;0,1,0)</f>
        <v>1</v>
      </c>
    </row>
    <row r="1047" customFormat="false" ht="15" hidden="false" customHeight="false" outlineLevel="0" collapsed="false">
      <c r="A1047" s="8" t="s">
        <v>2826</v>
      </c>
      <c r="B1047" s="8" t="s">
        <v>51</v>
      </c>
      <c r="C1047" s="30" t="n">
        <v>360</v>
      </c>
      <c r="D1047" s="30" t="n">
        <v>396</v>
      </c>
      <c r="E1047" s="30" t="n">
        <f aca="false">MIN(C1047,D1047)</f>
        <v>360</v>
      </c>
      <c r="F1047" s="8" t="n">
        <f aca="false">IF(D1047&gt;0,1,0)</f>
        <v>1</v>
      </c>
    </row>
    <row r="1048" customFormat="false" ht="15" hidden="false" customHeight="false" outlineLevel="0" collapsed="false">
      <c r="A1048" s="8" t="s">
        <v>4525</v>
      </c>
      <c r="B1048" s="8" t="s">
        <v>51</v>
      </c>
      <c r="C1048" s="30" t="n">
        <v>360</v>
      </c>
      <c r="D1048" s="30" t="n">
        <v>0</v>
      </c>
      <c r="E1048" s="30" t="n">
        <f aca="false">MIN(C1048,D1048)</f>
        <v>0</v>
      </c>
      <c r="F1048" s="8" t="n">
        <f aca="false">IF(D1048&gt;0,1,0)</f>
        <v>0</v>
      </c>
    </row>
    <row r="1049" customFormat="false" ht="15" hidden="false" customHeight="false" outlineLevel="0" collapsed="false">
      <c r="A1049" s="8" t="s">
        <v>2994</v>
      </c>
      <c r="B1049" s="8" t="s">
        <v>51</v>
      </c>
      <c r="C1049" s="30" t="n">
        <v>360</v>
      </c>
      <c r="D1049" s="30" t="n">
        <v>360</v>
      </c>
      <c r="E1049" s="30" t="n">
        <f aca="false">MIN(C1049,D1049)</f>
        <v>360</v>
      </c>
      <c r="F1049" s="8" t="n">
        <f aca="false">IF(D1049&gt;0,1,0)</f>
        <v>1</v>
      </c>
    </row>
    <row r="1050" customFormat="false" ht="15" hidden="false" customHeight="false" outlineLevel="0" collapsed="false">
      <c r="A1050" s="8" t="s">
        <v>2998</v>
      </c>
      <c r="B1050" s="8" t="s">
        <v>51</v>
      </c>
      <c r="C1050" s="30" t="n">
        <v>360</v>
      </c>
      <c r="D1050" s="30" t="n">
        <v>360</v>
      </c>
      <c r="E1050" s="30" t="n">
        <f aca="false">MIN(C1050,D1050)</f>
        <v>360</v>
      </c>
      <c r="F1050" s="8" t="n">
        <f aca="false">IF(D1050&gt;0,1,0)</f>
        <v>1</v>
      </c>
    </row>
    <row r="1051" customFormat="false" ht="15" hidden="false" customHeight="false" outlineLevel="0" collapsed="false">
      <c r="A1051" s="8" t="s">
        <v>3002</v>
      </c>
      <c r="B1051" s="8" t="s">
        <v>51</v>
      </c>
      <c r="C1051" s="30" t="n">
        <v>360</v>
      </c>
      <c r="D1051" s="30" t="n">
        <v>360</v>
      </c>
      <c r="E1051" s="30" t="n">
        <f aca="false">MIN(C1051,D1051)</f>
        <v>360</v>
      </c>
      <c r="F1051" s="8" t="n">
        <f aca="false">IF(D1051&gt;0,1,0)</f>
        <v>1</v>
      </c>
    </row>
    <row r="1052" customFormat="false" ht="15" hidden="false" customHeight="false" outlineLevel="0" collapsed="false">
      <c r="A1052" s="8" t="s">
        <v>3004</v>
      </c>
      <c r="B1052" s="8" t="s">
        <v>51</v>
      </c>
      <c r="C1052" s="30" t="n">
        <v>360</v>
      </c>
      <c r="D1052" s="30" t="n">
        <v>360</v>
      </c>
      <c r="E1052" s="30" t="n">
        <f aca="false">MIN(C1052,D1052)</f>
        <v>360</v>
      </c>
      <c r="F1052" s="8" t="n">
        <f aca="false">IF(D1052&gt;0,1,0)</f>
        <v>1</v>
      </c>
    </row>
    <row r="1053" customFormat="false" ht="15" hidden="false" customHeight="false" outlineLevel="0" collapsed="false">
      <c r="A1053" s="8" t="s">
        <v>2196</v>
      </c>
      <c r="B1053" s="8" t="s">
        <v>51</v>
      </c>
      <c r="C1053" s="30" t="n">
        <v>360</v>
      </c>
      <c r="D1053" s="30" t="n">
        <v>624</v>
      </c>
      <c r="E1053" s="30" t="n">
        <f aca="false">MIN(C1053,D1053)</f>
        <v>360</v>
      </c>
      <c r="F1053" s="8" t="n">
        <f aca="false">IF(D1053&gt;0,1,0)</f>
        <v>1</v>
      </c>
    </row>
    <row r="1054" customFormat="false" ht="15" hidden="false" customHeight="false" outlineLevel="0" collapsed="false">
      <c r="A1054" s="8" t="s">
        <v>3010</v>
      </c>
      <c r="B1054" s="8" t="s">
        <v>51</v>
      </c>
      <c r="C1054" s="30" t="n">
        <v>360</v>
      </c>
      <c r="D1054" s="30" t="n">
        <v>360</v>
      </c>
      <c r="E1054" s="30" t="n">
        <f aca="false">MIN(C1054,D1054)</f>
        <v>360</v>
      </c>
      <c r="F1054" s="8" t="n">
        <f aca="false">IF(D1054&gt;0,1,0)</f>
        <v>1</v>
      </c>
    </row>
    <row r="1055" customFormat="false" ht="15" hidden="false" customHeight="false" outlineLevel="0" collapsed="false">
      <c r="A1055" s="8" t="s">
        <v>3012</v>
      </c>
      <c r="B1055" s="8" t="s">
        <v>51</v>
      </c>
      <c r="C1055" s="30" t="n">
        <v>360</v>
      </c>
      <c r="D1055" s="30" t="n">
        <v>360</v>
      </c>
      <c r="E1055" s="30" t="n">
        <f aca="false">MIN(C1055,D1055)</f>
        <v>360</v>
      </c>
      <c r="F1055" s="8" t="n">
        <f aca="false">IF(D1055&gt;0,1,0)</f>
        <v>1</v>
      </c>
    </row>
    <row r="1056" customFormat="false" ht="15" hidden="false" customHeight="false" outlineLevel="0" collapsed="false">
      <c r="A1056" s="8" t="s">
        <v>3014</v>
      </c>
      <c r="B1056" s="8" t="s">
        <v>51</v>
      </c>
      <c r="C1056" s="30" t="n">
        <v>360</v>
      </c>
      <c r="D1056" s="30" t="n">
        <v>360</v>
      </c>
      <c r="E1056" s="30" t="n">
        <f aca="false">MIN(C1056,D1056)</f>
        <v>360</v>
      </c>
      <c r="F1056" s="8" t="n">
        <f aca="false">IF(D1056&gt;0,1,0)</f>
        <v>1</v>
      </c>
    </row>
    <row r="1057" customFormat="false" ht="15" hidden="false" customHeight="false" outlineLevel="0" collapsed="false">
      <c r="A1057" s="8" t="s">
        <v>3016</v>
      </c>
      <c r="B1057" s="8" t="s">
        <v>51</v>
      </c>
      <c r="C1057" s="30" t="n">
        <v>360</v>
      </c>
      <c r="D1057" s="30" t="n">
        <v>360</v>
      </c>
      <c r="E1057" s="30" t="n">
        <f aca="false">MIN(C1057,D1057)</f>
        <v>360</v>
      </c>
      <c r="F1057" s="8" t="n">
        <f aca="false">IF(D1057&gt;0,1,0)</f>
        <v>1</v>
      </c>
    </row>
    <row r="1058" customFormat="false" ht="15" hidden="false" customHeight="false" outlineLevel="0" collapsed="false">
      <c r="A1058" s="8" t="s">
        <v>2774</v>
      </c>
      <c r="B1058" s="8" t="s">
        <v>51</v>
      </c>
      <c r="C1058" s="30" t="n">
        <v>360</v>
      </c>
      <c r="D1058" s="30" t="n">
        <v>408</v>
      </c>
      <c r="E1058" s="30" t="n">
        <f aca="false">MIN(C1058,D1058)</f>
        <v>360</v>
      </c>
      <c r="F1058" s="8" t="n">
        <f aca="false">IF(D1058&gt;0,1,0)</f>
        <v>1</v>
      </c>
    </row>
    <row r="1059" customFormat="false" ht="15" hidden="false" customHeight="false" outlineLevel="0" collapsed="false">
      <c r="A1059" s="8" t="s">
        <v>3018</v>
      </c>
      <c r="B1059" s="8" t="s">
        <v>51</v>
      </c>
      <c r="C1059" s="30" t="n">
        <v>360</v>
      </c>
      <c r="D1059" s="30" t="n">
        <v>360</v>
      </c>
      <c r="E1059" s="30" t="n">
        <f aca="false">MIN(C1059,D1059)</f>
        <v>360</v>
      </c>
      <c r="F1059" s="8" t="n">
        <f aca="false">IF(D1059&gt;0,1,0)</f>
        <v>1</v>
      </c>
    </row>
    <row r="1060" customFormat="false" ht="15" hidden="false" customHeight="false" outlineLevel="0" collapsed="false">
      <c r="A1060" s="8" t="s">
        <v>3020</v>
      </c>
      <c r="B1060" s="8" t="s">
        <v>51</v>
      </c>
      <c r="C1060" s="30" t="n">
        <v>360</v>
      </c>
      <c r="D1060" s="30" t="n">
        <v>360</v>
      </c>
      <c r="E1060" s="30" t="n">
        <f aca="false">MIN(C1060,D1060)</f>
        <v>360</v>
      </c>
      <c r="F1060" s="8" t="n">
        <f aca="false">IF(D1060&gt;0,1,0)</f>
        <v>1</v>
      </c>
    </row>
    <row r="1061" customFormat="false" ht="15" hidden="false" customHeight="false" outlineLevel="0" collapsed="false">
      <c r="A1061" s="8" t="s">
        <v>3022</v>
      </c>
      <c r="B1061" s="8" t="s">
        <v>51</v>
      </c>
      <c r="C1061" s="30" t="n">
        <v>360</v>
      </c>
      <c r="D1061" s="30" t="n">
        <v>360</v>
      </c>
      <c r="E1061" s="30" t="n">
        <f aca="false">MIN(C1061,D1061)</f>
        <v>360</v>
      </c>
      <c r="F1061" s="8" t="n">
        <f aca="false">IF(D1061&gt;0,1,0)</f>
        <v>1</v>
      </c>
    </row>
    <row r="1062" customFormat="false" ht="15" hidden="false" customHeight="false" outlineLevel="0" collapsed="false">
      <c r="A1062" s="8" t="s">
        <v>3024</v>
      </c>
      <c r="B1062" s="8" t="s">
        <v>51</v>
      </c>
      <c r="C1062" s="30" t="n">
        <v>350</v>
      </c>
      <c r="D1062" s="30" t="n">
        <v>350</v>
      </c>
      <c r="E1062" s="30" t="n">
        <f aca="false">MIN(C1062,D1062)</f>
        <v>350</v>
      </c>
      <c r="F1062" s="8" t="n">
        <f aca="false">IF(D1062&gt;0,1,0)</f>
        <v>1</v>
      </c>
    </row>
    <row r="1063" customFormat="false" ht="15" hidden="false" customHeight="false" outlineLevel="0" collapsed="false">
      <c r="A1063" s="8" t="s">
        <v>3026</v>
      </c>
      <c r="B1063" s="8" t="s">
        <v>51</v>
      </c>
      <c r="C1063" s="30" t="n">
        <v>350</v>
      </c>
      <c r="D1063" s="30" t="n">
        <v>350</v>
      </c>
      <c r="E1063" s="30" t="n">
        <f aca="false">MIN(C1063,D1063)</f>
        <v>350</v>
      </c>
      <c r="F1063" s="8" t="n">
        <f aca="false">IF(D1063&gt;0,1,0)</f>
        <v>1</v>
      </c>
    </row>
    <row r="1064" customFormat="false" ht="15" hidden="false" customHeight="false" outlineLevel="0" collapsed="false">
      <c r="A1064" s="8" t="s">
        <v>3028</v>
      </c>
      <c r="B1064" s="8" t="s">
        <v>51</v>
      </c>
      <c r="C1064" s="30" t="n">
        <v>350</v>
      </c>
      <c r="D1064" s="30" t="n">
        <v>350</v>
      </c>
      <c r="E1064" s="30" t="n">
        <f aca="false">MIN(C1064,D1064)</f>
        <v>350</v>
      </c>
      <c r="F1064" s="8" t="n">
        <f aca="false">IF(D1064&gt;0,1,0)</f>
        <v>1</v>
      </c>
    </row>
    <row r="1065" customFormat="false" ht="15" hidden="false" customHeight="false" outlineLevel="0" collapsed="false">
      <c r="A1065" s="8" t="s">
        <v>3032</v>
      </c>
      <c r="B1065" s="8" t="s">
        <v>51</v>
      </c>
      <c r="C1065" s="30" t="n">
        <v>350</v>
      </c>
      <c r="D1065" s="30" t="n">
        <v>350</v>
      </c>
      <c r="E1065" s="30" t="n">
        <f aca="false">MIN(C1065,D1065)</f>
        <v>350</v>
      </c>
      <c r="F1065" s="8" t="n">
        <f aca="false">IF(D1065&gt;0,1,0)</f>
        <v>1</v>
      </c>
    </row>
    <row r="1066" customFormat="false" ht="15" hidden="false" customHeight="false" outlineLevel="0" collapsed="false">
      <c r="A1066" s="8" t="s">
        <v>2548</v>
      </c>
      <c r="B1066" s="8" t="s">
        <v>51</v>
      </c>
      <c r="C1066" s="30" t="n">
        <v>350</v>
      </c>
      <c r="D1066" s="30" t="n">
        <v>450</v>
      </c>
      <c r="E1066" s="30" t="n">
        <f aca="false">MIN(C1066,D1066)</f>
        <v>350</v>
      </c>
      <c r="F1066" s="8" t="n">
        <f aca="false">IF(D1066&gt;0,1,0)</f>
        <v>1</v>
      </c>
    </row>
    <row r="1067" customFormat="false" ht="15" hidden="false" customHeight="false" outlineLevel="0" collapsed="false">
      <c r="A1067" s="8" t="s">
        <v>3038</v>
      </c>
      <c r="B1067" s="8" t="s">
        <v>51</v>
      </c>
      <c r="C1067" s="30" t="n">
        <v>350</v>
      </c>
      <c r="D1067" s="30" t="n">
        <v>350</v>
      </c>
      <c r="E1067" s="30" t="n">
        <f aca="false">MIN(C1067,D1067)</f>
        <v>350</v>
      </c>
      <c r="F1067" s="8" t="n">
        <f aca="false">IF(D1067&gt;0,1,0)</f>
        <v>1</v>
      </c>
    </row>
    <row r="1068" customFormat="false" ht="15" hidden="false" customHeight="false" outlineLevel="0" collapsed="false">
      <c r="A1068" s="8" t="s">
        <v>3040</v>
      </c>
      <c r="B1068" s="8" t="s">
        <v>51</v>
      </c>
      <c r="C1068" s="30" t="n">
        <v>348</v>
      </c>
      <c r="D1068" s="30" t="n">
        <v>348</v>
      </c>
      <c r="E1068" s="30" t="n">
        <f aca="false">MIN(C1068,D1068)</f>
        <v>348</v>
      </c>
      <c r="F1068" s="8" t="n">
        <f aca="false">IF(D1068&gt;0,1,0)</f>
        <v>1</v>
      </c>
    </row>
    <row r="1069" customFormat="false" ht="15" hidden="false" customHeight="false" outlineLevel="0" collapsed="false">
      <c r="A1069" s="8" t="s">
        <v>3492</v>
      </c>
      <c r="B1069" s="8" t="s">
        <v>51</v>
      </c>
      <c r="C1069" s="30" t="n">
        <v>348</v>
      </c>
      <c r="D1069" s="30" t="n">
        <v>252</v>
      </c>
      <c r="E1069" s="30" t="n">
        <f aca="false">MIN(C1069,D1069)</f>
        <v>252</v>
      </c>
      <c r="F1069" s="8" t="n">
        <f aca="false">IF(D1069&gt;0,1,0)</f>
        <v>1</v>
      </c>
    </row>
    <row r="1070" customFormat="false" ht="15" hidden="false" customHeight="false" outlineLevel="0" collapsed="false">
      <c r="A1070" s="8" t="s">
        <v>3042</v>
      </c>
      <c r="B1070" s="8" t="s">
        <v>51</v>
      </c>
      <c r="C1070" s="30" t="n">
        <v>348</v>
      </c>
      <c r="D1070" s="30" t="n">
        <v>348</v>
      </c>
      <c r="E1070" s="30" t="n">
        <f aca="false">MIN(C1070,D1070)</f>
        <v>348</v>
      </c>
      <c r="F1070" s="8" t="n">
        <f aca="false">IF(D1070&gt;0,1,0)</f>
        <v>1</v>
      </c>
    </row>
    <row r="1071" customFormat="false" ht="15" hidden="false" customHeight="false" outlineLevel="0" collapsed="false">
      <c r="A1071" s="8" t="s">
        <v>3048</v>
      </c>
      <c r="B1071" s="8" t="s">
        <v>51</v>
      </c>
      <c r="C1071" s="30" t="n">
        <v>348</v>
      </c>
      <c r="D1071" s="30" t="n">
        <v>348</v>
      </c>
      <c r="E1071" s="30" t="n">
        <f aca="false">MIN(C1071,D1071)</f>
        <v>348</v>
      </c>
      <c r="F1071" s="8" t="n">
        <f aca="false">IF(D1071&gt;0,1,0)</f>
        <v>1</v>
      </c>
    </row>
    <row r="1072" customFormat="false" ht="15" hidden="false" customHeight="false" outlineLevel="0" collapsed="false">
      <c r="A1072" s="8" t="s">
        <v>2502</v>
      </c>
      <c r="B1072" s="8" t="s">
        <v>51</v>
      </c>
      <c r="C1072" s="30" t="n">
        <v>348</v>
      </c>
      <c r="D1072" s="30" t="n">
        <v>456</v>
      </c>
      <c r="E1072" s="30" t="n">
        <f aca="false">MIN(C1072,D1072)</f>
        <v>348</v>
      </c>
      <c r="F1072" s="8" t="n">
        <f aca="false">IF(D1072&gt;0,1,0)</f>
        <v>1</v>
      </c>
    </row>
    <row r="1073" customFormat="false" ht="15" hidden="false" customHeight="false" outlineLevel="0" collapsed="false">
      <c r="A1073" s="8" t="s">
        <v>3050</v>
      </c>
      <c r="B1073" s="8" t="s">
        <v>51</v>
      </c>
      <c r="C1073" s="30" t="n">
        <v>348</v>
      </c>
      <c r="D1073" s="30" t="n">
        <v>348</v>
      </c>
      <c r="E1073" s="30" t="n">
        <f aca="false">MIN(C1073,D1073)</f>
        <v>348</v>
      </c>
      <c r="F1073" s="8" t="n">
        <f aca="false">IF(D1073&gt;0,1,0)</f>
        <v>1</v>
      </c>
    </row>
    <row r="1074" customFormat="false" ht="15" hidden="false" customHeight="false" outlineLevel="0" collapsed="false">
      <c r="A1074" s="8" t="s">
        <v>3052</v>
      </c>
      <c r="B1074" s="8" t="s">
        <v>51</v>
      </c>
      <c r="C1074" s="30" t="n">
        <v>348</v>
      </c>
      <c r="D1074" s="30" t="n">
        <v>348</v>
      </c>
      <c r="E1074" s="30" t="n">
        <f aca="false">MIN(C1074,D1074)</f>
        <v>348</v>
      </c>
      <c r="F1074" s="8" t="n">
        <f aca="false">IF(D1074&gt;0,1,0)</f>
        <v>1</v>
      </c>
    </row>
    <row r="1075" customFormat="false" ht="15" hidden="false" customHeight="false" outlineLevel="0" collapsed="false">
      <c r="A1075" s="8" t="s">
        <v>3054</v>
      </c>
      <c r="B1075" s="8" t="s">
        <v>51</v>
      </c>
      <c r="C1075" s="30" t="n">
        <v>348</v>
      </c>
      <c r="D1075" s="30" t="n">
        <v>348</v>
      </c>
      <c r="E1075" s="30" t="n">
        <f aca="false">MIN(C1075,D1075)</f>
        <v>348</v>
      </c>
      <c r="F1075" s="8" t="n">
        <f aca="false">IF(D1075&gt;0,1,0)</f>
        <v>1</v>
      </c>
    </row>
    <row r="1076" customFormat="false" ht="15" hidden="false" customHeight="false" outlineLevel="0" collapsed="false">
      <c r="A1076" s="8" t="s">
        <v>3404</v>
      </c>
      <c r="B1076" s="8" t="s">
        <v>51</v>
      </c>
      <c r="C1076" s="30" t="n">
        <v>348</v>
      </c>
      <c r="D1076" s="30" t="n">
        <v>276</v>
      </c>
      <c r="E1076" s="30" t="n">
        <f aca="false">MIN(C1076,D1076)</f>
        <v>276</v>
      </c>
      <c r="F1076" s="8" t="n">
        <f aca="false">IF(D1076&gt;0,1,0)</f>
        <v>1</v>
      </c>
    </row>
    <row r="1077" customFormat="false" ht="15" hidden="false" customHeight="false" outlineLevel="0" collapsed="false">
      <c r="A1077" s="8" t="s">
        <v>3062</v>
      </c>
      <c r="B1077" s="8" t="s">
        <v>51</v>
      </c>
      <c r="C1077" s="30" t="n">
        <v>348</v>
      </c>
      <c r="D1077" s="30" t="n">
        <v>348</v>
      </c>
      <c r="E1077" s="30" t="n">
        <f aca="false">MIN(C1077,D1077)</f>
        <v>348</v>
      </c>
      <c r="F1077" s="8" t="n">
        <f aca="false">IF(D1077&gt;0,1,0)</f>
        <v>1</v>
      </c>
    </row>
    <row r="1078" customFormat="false" ht="15" hidden="false" customHeight="false" outlineLevel="0" collapsed="false">
      <c r="A1078" s="8" t="s">
        <v>3066</v>
      </c>
      <c r="B1078" s="8" t="s">
        <v>51</v>
      </c>
      <c r="C1078" s="30" t="n">
        <v>348</v>
      </c>
      <c r="D1078" s="30" t="n">
        <v>348</v>
      </c>
      <c r="E1078" s="30" t="n">
        <f aca="false">MIN(C1078,D1078)</f>
        <v>348</v>
      </c>
      <c r="F1078" s="8" t="n">
        <f aca="false">IF(D1078&gt;0,1,0)</f>
        <v>1</v>
      </c>
    </row>
    <row r="1079" customFormat="false" ht="15" hidden="false" customHeight="false" outlineLevel="0" collapsed="false">
      <c r="A1079" s="8" t="s">
        <v>2700</v>
      </c>
      <c r="B1079" s="8" t="s">
        <v>51</v>
      </c>
      <c r="C1079" s="30" t="n">
        <v>348</v>
      </c>
      <c r="D1079" s="30" t="n">
        <v>420</v>
      </c>
      <c r="E1079" s="30" t="n">
        <f aca="false">MIN(C1079,D1079)</f>
        <v>348</v>
      </c>
      <c r="F1079" s="8" t="n">
        <f aca="false">IF(D1079&gt;0,1,0)</f>
        <v>1</v>
      </c>
    </row>
    <row r="1080" customFormat="false" ht="15" hidden="false" customHeight="false" outlineLevel="0" collapsed="false">
      <c r="A1080" s="8" t="s">
        <v>4526</v>
      </c>
      <c r="B1080" s="8" t="s">
        <v>51</v>
      </c>
      <c r="C1080" s="30" t="n">
        <v>348</v>
      </c>
      <c r="D1080" s="30" t="n">
        <v>0</v>
      </c>
      <c r="E1080" s="30" t="n">
        <f aca="false">MIN(C1080,D1080)</f>
        <v>0</v>
      </c>
      <c r="F1080" s="8" t="n">
        <f aca="false">IF(D1080&gt;0,1,0)</f>
        <v>0</v>
      </c>
    </row>
    <row r="1081" customFormat="false" ht="15" hidden="false" customHeight="false" outlineLevel="0" collapsed="false">
      <c r="A1081" s="8" t="s">
        <v>3068</v>
      </c>
      <c r="B1081" s="8" t="s">
        <v>51</v>
      </c>
      <c r="C1081" s="30" t="n">
        <v>348</v>
      </c>
      <c r="D1081" s="30" t="n">
        <v>348</v>
      </c>
      <c r="E1081" s="30" t="n">
        <f aca="false">MIN(C1081,D1081)</f>
        <v>348</v>
      </c>
      <c r="F1081" s="8" t="n">
        <f aca="false">IF(D1081&gt;0,1,0)</f>
        <v>1</v>
      </c>
    </row>
    <row r="1082" customFormat="false" ht="15" hidden="false" customHeight="false" outlineLevel="0" collapsed="false">
      <c r="A1082" s="8" t="s">
        <v>3074</v>
      </c>
      <c r="B1082" s="8" t="s">
        <v>51</v>
      </c>
      <c r="C1082" s="30" t="n">
        <v>348</v>
      </c>
      <c r="D1082" s="30" t="n">
        <v>348</v>
      </c>
      <c r="E1082" s="30" t="n">
        <f aca="false">MIN(C1082,D1082)</f>
        <v>348</v>
      </c>
      <c r="F1082" s="8" t="n">
        <f aca="false">IF(D1082&gt;0,1,0)</f>
        <v>1</v>
      </c>
    </row>
    <row r="1083" customFormat="false" ht="15" hidden="false" customHeight="false" outlineLevel="0" collapsed="false">
      <c r="A1083" s="8" t="s">
        <v>3076</v>
      </c>
      <c r="B1083" s="8" t="s">
        <v>51</v>
      </c>
      <c r="C1083" s="30" t="n">
        <v>348</v>
      </c>
      <c r="D1083" s="30" t="n">
        <v>348</v>
      </c>
      <c r="E1083" s="30" t="n">
        <f aca="false">MIN(C1083,D1083)</f>
        <v>348</v>
      </c>
      <c r="F1083" s="8" t="n">
        <f aca="false">IF(D1083&gt;0,1,0)</f>
        <v>1</v>
      </c>
    </row>
    <row r="1084" customFormat="false" ht="15" hidden="false" customHeight="false" outlineLevel="0" collapsed="false">
      <c r="A1084" s="8" t="s">
        <v>3422</v>
      </c>
      <c r="B1084" s="8" t="s">
        <v>51</v>
      </c>
      <c r="C1084" s="30" t="n">
        <v>348</v>
      </c>
      <c r="D1084" s="30" t="n">
        <v>276</v>
      </c>
      <c r="E1084" s="30" t="n">
        <f aca="false">MIN(C1084,D1084)</f>
        <v>276</v>
      </c>
      <c r="F1084" s="8" t="n">
        <f aca="false">IF(D1084&gt;0,1,0)</f>
        <v>1</v>
      </c>
    </row>
    <row r="1085" customFormat="false" ht="15" hidden="false" customHeight="false" outlineLevel="0" collapsed="false">
      <c r="A1085" s="8" t="s">
        <v>2578</v>
      </c>
      <c r="B1085" s="8" t="s">
        <v>51</v>
      </c>
      <c r="C1085" s="30" t="n">
        <v>348</v>
      </c>
      <c r="D1085" s="30" t="n">
        <v>444</v>
      </c>
      <c r="E1085" s="30" t="n">
        <f aca="false">MIN(C1085,D1085)</f>
        <v>348</v>
      </c>
      <c r="F1085" s="8" t="n">
        <f aca="false">IF(D1085&gt;0,1,0)</f>
        <v>1</v>
      </c>
    </row>
    <row r="1086" customFormat="false" ht="15" hidden="false" customHeight="false" outlineLevel="0" collapsed="false">
      <c r="A1086" s="8" t="s">
        <v>3080</v>
      </c>
      <c r="B1086" s="8" t="s">
        <v>51</v>
      </c>
      <c r="C1086" s="30" t="n">
        <v>348</v>
      </c>
      <c r="D1086" s="30" t="n">
        <v>348</v>
      </c>
      <c r="E1086" s="30" t="n">
        <f aca="false">MIN(C1086,D1086)</f>
        <v>348</v>
      </c>
      <c r="F1086" s="8" t="n">
        <f aca="false">IF(D1086&gt;0,1,0)</f>
        <v>1</v>
      </c>
    </row>
    <row r="1087" customFormat="false" ht="15" hidden="false" customHeight="false" outlineLevel="0" collapsed="false">
      <c r="A1087" s="8" t="s">
        <v>4527</v>
      </c>
      <c r="B1087" s="8" t="s">
        <v>51</v>
      </c>
      <c r="C1087" s="30" t="n">
        <v>348</v>
      </c>
      <c r="D1087" s="30" t="n">
        <v>0</v>
      </c>
      <c r="E1087" s="30" t="n">
        <f aca="false">MIN(C1087,D1087)</f>
        <v>0</v>
      </c>
      <c r="F1087" s="8" t="n">
        <f aca="false">IF(D1087&gt;0,1,0)</f>
        <v>0</v>
      </c>
    </row>
    <row r="1088" customFormat="false" ht="15" hidden="false" customHeight="false" outlineLevel="0" collapsed="false">
      <c r="A1088" s="8" t="s">
        <v>3082</v>
      </c>
      <c r="B1088" s="8" t="s">
        <v>51</v>
      </c>
      <c r="C1088" s="30" t="n">
        <v>348</v>
      </c>
      <c r="D1088" s="30" t="n">
        <v>348</v>
      </c>
      <c r="E1088" s="30" t="n">
        <f aca="false">MIN(C1088,D1088)</f>
        <v>348</v>
      </c>
      <c r="F1088" s="8" t="n">
        <f aca="false">IF(D1088&gt;0,1,0)</f>
        <v>1</v>
      </c>
    </row>
    <row r="1089" customFormat="false" ht="15" hidden="false" customHeight="false" outlineLevel="0" collapsed="false">
      <c r="A1089" s="8" t="s">
        <v>2536</v>
      </c>
      <c r="B1089" s="8" t="s">
        <v>51</v>
      </c>
      <c r="C1089" s="30" t="n">
        <v>348</v>
      </c>
      <c r="D1089" s="30" t="n">
        <v>456</v>
      </c>
      <c r="E1089" s="30" t="n">
        <f aca="false">MIN(C1089,D1089)</f>
        <v>348</v>
      </c>
      <c r="F1089" s="8" t="n">
        <f aca="false">IF(D1089&gt;0,1,0)</f>
        <v>1</v>
      </c>
    </row>
    <row r="1090" customFormat="false" ht="15" hidden="false" customHeight="false" outlineLevel="0" collapsed="false">
      <c r="A1090" s="8" t="s">
        <v>3084</v>
      </c>
      <c r="B1090" s="8" t="s">
        <v>51</v>
      </c>
      <c r="C1090" s="30" t="n">
        <v>348</v>
      </c>
      <c r="D1090" s="30" t="n">
        <v>348</v>
      </c>
      <c r="E1090" s="30" t="n">
        <f aca="false">MIN(C1090,D1090)</f>
        <v>348</v>
      </c>
      <c r="F1090" s="8" t="n">
        <f aca="false">IF(D1090&gt;0,1,0)</f>
        <v>1</v>
      </c>
    </row>
    <row r="1091" customFormat="false" ht="15" hidden="false" customHeight="false" outlineLevel="0" collapsed="false">
      <c r="A1091" s="8" t="s">
        <v>3086</v>
      </c>
      <c r="B1091" s="8" t="s">
        <v>51</v>
      </c>
      <c r="C1091" s="30" t="n">
        <v>348</v>
      </c>
      <c r="D1091" s="30" t="n">
        <v>348</v>
      </c>
      <c r="E1091" s="30" t="n">
        <f aca="false">MIN(C1091,D1091)</f>
        <v>348</v>
      </c>
      <c r="F1091" s="8" t="n">
        <f aca="false">IF(D1091&gt;0,1,0)</f>
        <v>1</v>
      </c>
    </row>
    <row r="1092" customFormat="false" ht="15" hidden="false" customHeight="false" outlineLevel="0" collapsed="false">
      <c r="A1092" s="8" t="s">
        <v>3090</v>
      </c>
      <c r="B1092" s="8" t="s">
        <v>51</v>
      </c>
      <c r="C1092" s="30" t="n">
        <v>348</v>
      </c>
      <c r="D1092" s="30" t="n">
        <v>348</v>
      </c>
      <c r="E1092" s="30" t="n">
        <f aca="false">MIN(C1092,D1092)</f>
        <v>348</v>
      </c>
      <c r="F1092" s="8" t="n">
        <f aca="false">IF(D1092&gt;0,1,0)</f>
        <v>1</v>
      </c>
    </row>
    <row r="1093" customFormat="false" ht="15" hidden="false" customHeight="false" outlineLevel="0" collapsed="false">
      <c r="A1093" s="8" t="s">
        <v>3486</v>
      </c>
      <c r="B1093" s="8" t="s">
        <v>51</v>
      </c>
      <c r="C1093" s="30" t="n">
        <v>336</v>
      </c>
      <c r="D1093" s="30" t="n">
        <v>252</v>
      </c>
      <c r="E1093" s="30" t="n">
        <f aca="false">MIN(C1093,D1093)</f>
        <v>252</v>
      </c>
      <c r="F1093" s="8" t="n">
        <f aca="false">IF(D1093&gt;0,1,0)</f>
        <v>1</v>
      </c>
    </row>
    <row r="1094" customFormat="false" ht="15" hidden="false" customHeight="false" outlineLevel="0" collapsed="false">
      <c r="A1094" s="8" t="s">
        <v>3096</v>
      </c>
      <c r="B1094" s="8" t="s">
        <v>51</v>
      </c>
      <c r="C1094" s="30" t="n">
        <v>336</v>
      </c>
      <c r="D1094" s="30" t="n">
        <v>336</v>
      </c>
      <c r="E1094" s="30" t="n">
        <f aca="false">MIN(C1094,D1094)</f>
        <v>336</v>
      </c>
      <c r="F1094" s="8" t="n">
        <f aca="false">IF(D1094&gt;0,1,0)</f>
        <v>1</v>
      </c>
    </row>
    <row r="1095" customFormat="false" ht="15" hidden="false" customHeight="false" outlineLevel="0" collapsed="false">
      <c r="A1095" s="8" t="s">
        <v>3100</v>
      </c>
      <c r="B1095" s="8" t="s">
        <v>51</v>
      </c>
      <c r="C1095" s="30" t="n">
        <v>336</v>
      </c>
      <c r="D1095" s="30" t="n">
        <v>336</v>
      </c>
      <c r="E1095" s="30" t="n">
        <f aca="false">MIN(C1095,D1095)</f>
        <v>336</v>
      </c>
      <c r="F1095" s="8" t="n">
        <f aca="false">IF(D1095&gt;0,1,0)</f>
        <v>1</v>
      </c>
    </row>
    <row r="1096" customFormat="false" ht="15" hidden="false" customHeight="false" outlineLevel="0" collapsed="false">
      <c r="A1096" s="8" t="s">
        <v>2846</v>
      </c>
      <c r="B1096" s="8" t="s">
        <v>51</v>
      </c>
      <c r="C1096" s="30" t="n">
        <v>336</v>
      </c>
      <c r="D1096" s="30" t="n">
        <v>384</v>
      </c>
      <c r="E1096" s="30" t="n">
        <f aca="false">MIN(C1096,D1096)</f>
        <v>336</v>
      </c>
      <c r="F1096" s="8" t="n">
        <f aca="false">IF(D1096&gt;0,1,0)</f>
        <v>1</v>
      </c>
    </row>
    <row r="1097" customFormat="false" ht="15" hidden="false" customHeight="false" outlineLevel="0" collapsed="false">
      <c r="A1097" s="8" t="s">
        <v>2848</v>
      </c>
      <c r="B1097" s="8" t="s">
        <v>51</v>
      </c>
      <c r="C1097" s="30" t="n">
        <v>336</v>
      </c>
      <c r="D1097" s="30" t="n">
        <v>384</v>
      </c>
      <c r="E1097" s="30" t="n">
        <f aca="false">MIN(C1097,D1097)</f>
        <v>336</v>
      </c>
      <c r="F1097" s="8" t="n">
        <f aca="false">IF(D1097&gt;0,1,0)</f>
        <v>1</v>
      </c>
    </row>
    <row r="1098" customFormat="false" ht="15" hidden="false" customHeight="false" outlineLevel="0" collapsed="false">
      <c r="A1098" s="8" t="s">
        <v>3260</v>
      </c>
      <c r="B1098" s="8" t="s">
        <v>51</v>
      </c>
      <c r="C1098" s="30" t="n">
        <v>336</v>
      </c>
      <c r="D1098" s="30" t="n">
        <v>300</v>
      </c>
      <c r="E1098" s="30" t="n">
        <f aca="false">MIN(C1098,D1098)</f>
        <v>300</v>
      </c>
      <c r="F1098" s="8" t="n">
        <f aca="false">IF(D1098&gt;0,1,0)</f>
        <v>1</v>
      </c>
    </row>
    <row r="1099" customFormat="false" ht="15" hidden="false" customHeight="false" outlineLevel="0" collapsed="false">
      <c r="A1099" s="8" t="s">
        <v>3102</v>
      </c>
      <c r="B1099" s="8" t="s">
        <v>51</v>
      </c>
      <c r="C1099" s="30" t="n">
        <v>336</v>
      </c>
      <c r="D1099" s="30" t="n">
        <v>336</v>
      </c>
      <c r="E1099" s="30" t="n">
        <f aca="false">MIN(C1099,D1099)</f>
        <v>336</v>
      </c>
      <c r="F1099" s="8" t="n">
        <f aca="false">IF(D1099&gt;0,1,0)</f>
        <v>1</v>
      </c>
    </row>
    <row r="1100" customFormat="false" ht="15" hidden="false" customHeight="false" outlineLevel="0" collapsed="false">
      <c r="A1100" s="8" t="s">
        <v>3104</v>
      </c>
      <c r="B1100" s="8" t="s">
        <v>51</v>
      </c>
      <c r="C1100" s="30" t="n">
        <v>336</v>
      </c>
      <c r="D1100" s="30" t="n">
        <v>336</v>
      </c>
      <c r="E1100" s="30" t="n">
        <f aca="false">MIN(C1100,D1100)</f>
        <v>336</v>
      </c>
      <c r="F1100" s="8" t="n">
        <f aca="false">IF(D1100&gt;0,1,0)</f>
        <v>1</v>
      </c>
    </row>
    <row r="1101" customFormat="false" ht="15" hidden="false" customHeight="false" outlineLevel="0" collapsed="false">
      <c r="A1101" s="8" t="s">
        <v>4528</v>
      </c>
      <c r="B1101" s="8" t="s">
        <v>51</v>
      </c>
      <c r="C1101" s="30" t="n">
        <v>336</v>
      </c>
      <c r="D1101" s="30" t="n">
        <v>0</v>
      </c>
      <c r="E1101" s="30" t="n">
        <f aca="false">MIN(C1101,D1101)</f>
        <v>0</v>
      </c>
      <c r="F1101" s="8" t="n">
        <f aca="false">IF(D1101&gt;0,1,0)</f>
        <v>0</v>
      </c>
    </row>
    <row r="1102" customFormat="false" ht="15" hidden="false" customHeight="false" outlineLevel="0" collapsed="false">
      <c r="A1102" s="8" t="s">
        <v>2990</v>
      </c>
      <c r="B1102" s="8" t="s">
        <v>51</v>
      </c>
      <c r="C1102" s="30" t="n">
        <v>336</v>
      </c>
      <c r="D1102" s="30" t="n">
        <v>360</v>
      </c>
      <c r="E1102" s="30" t="n">
        <f aca="false">MIN(C1102,D1102)</f>
        <v>336</v>
      </c>
      <c r="F1102" s="8" t="n">
        <f aca="false">IF(D1102&gt;0,1,0)</f>
        <v>1</v>
      </c>
    </row>
    <row r="1103" customFormat="false" ht="15" hidden="false" customHeight="false" outlineLevel="0" collapsed="false">
      <c r="A1103" s="8" t="s">
        <v>3108</v>
      </c>
      <c r="B1103" s="8" t="s">
        <v>51</v>
      </c>
      <c r="C1103" s="30" t="n">
        <v>336</v>
      </c>
      <c r="D1103" s="30" t="n">
        <v>336</v>
      </c>
      <c r="E1103" s="30" t="n">
        <f aca="false">MIN(C1103,D1103)</f>
        <v>336</v>
      </c>
      <c r="F1103" s="8" t="n">
        <f aca="false">IF(D1103&gt;0,1,0)</f>
        <v>1</v>
      </c>
    </row>
    <row r="1104" customFormat="false" ht="15" hidden="false" customHeight="false" outlineLevel="0" collapsed="false">
      <c r="A1104" s="8" t="s">
        <v>2754</v>
      </c>
      <c r="B1104" s="8" t="s">
        <v>51</v>
      </c>
      <c r="C1104" s="30" t="n">
        <v>336</v>
      </c>
      <c r="D1104" s="30" t="n">
        <v>408</v>
      </c>
      <c r="E1104" s="30" t="n">
        <f aca="false">MIN(C1104,D1104)</f>
        <v>336</v>
      </c>
      <c r="F1104" s="8" t="n">
        <f aca="false">IF(D1104&gt;0,1,0)</f>
        <v>1</v>
      </c>
    </row>
    <row r="1105" customFormat="false" ht="15" hidden="false" customHeight="false" outlineLevel="0" collapsed="false">
      <c r="A1105" s="8" t="s">
        <v>4529</v>
      </c>
      <c r="B1105" s="8" t="s">
        <v>51</v>
      </c>
      <c r="C1105" s="30" t="n">
        <v>336</v>
      </c>
      <c r="D1105" s="30" t="n">
        <v>0</v>
      </c>
      <c r="E1105" s="30" t="n">
        <f aca="false">MIN(C1105,D1105)</f>
        <v>0</v>
      </c>
      <c r="F1105" s="8" t="n">
        <f aca="false">IF(D1105&gt;0,1,0)</f>
        <v>0</v>
      </c>
    </row>
    <row r="1106" customFormat="false" ht="15" hidden="false" customHeight="false" outlineLevel="0" collapsed="false">
      <c r="A1106" s="8" t="s">
        <v>3114</v>
      </c>
      <c r="B1106" s="8" t="s">
        <v>51</v>
      </c>
      <c r="C1106" s="30" t="n">
        <v>336</v>
      </c>
      <c r="D1106" s="30" t="n">
        <v>336</v>
      </c>
      <c r="E1106" s="30" t="n">
        <f aca="false">MIN(C1106,D1106)</f>
        <v>336</v>
      </c>
      <c r="F1106" s="8" t="n">
        <f aca="false">IF(D1106&gt;0,1,0)</f>
        <v>1</v>
      </c>
    </row>
    <row r="1107" customFormat="false" ht="15" hidden="false" customHeight="false" outlineLevel="0" collapsed="false">
      <c r="A1107" s="8" t="s">
        <v>4530</v>
      </c>
      <c r="B1107" s="8" t="s">
        <v>51</v>
      </c>
      <c r="C1107" s="30" t="n">
        <v>336</v>
      </c>
      <c r="D1107" s="30" t="n">
        <v>0</v>
      </c>
      <c r="E1107" s="30" t="n">
        <f aca="false">MIN(C1107,D1107)</f>
        <v>0</v>
      </c>
      <c r="F1107" s="8" t="n">
        <f aca="false">IF(D1107&gt;0,1,0)</f>
        <v>0</v>
      </c>
    </row>
    <row r="1108" customFormat="false" ht="15" hidden="false" customHeight="false" outlineLevel="0" collapsed="false">
      <c r="A1108" s="8" t="s">
        <v>3120</v>
      </c>
      <c r="B1108" s="8" t="s">
        <v>51</v>
      </c>
      <c r="C1108" s="30" t="n">
        <v>336</v>
      </c>
      <c r="D1108" s="30" t="n">
        <v>336</v>
      </c>
      <c r="E1108" s="30" t="n">
        <f aca="false">MIN(C1108,D1108)</f>
        <v>336</v>
      </c>
      <c r="F1108" s="8" t="n">
        <f aca="false">IF(D1108&gt;0,1,0)</f>
        <v>1</v>
      </c>
    </row>
    <row r="1109" customFormat="false" ht="15" hidden="false" customHeight="false" outlineLevel="0" collapsed="false">
      <c r="A1109" s="8" t="s">
        <v>2830</v>
      </c>
      <c r="B1109" s="8" t="s">
        <v>51</v>
      </c>
      <c r="C1109" s="30" t="n">
        <v>336</v>
      </c>
      <c r="D1109" s="30" t="n">
        <v>396</v>
      </c>
      <c r="E1109" s="30" t="n">
        <f aca="false">MIN(C1109,D1109)</f>
        <v>336</v>
      </c>
      <c r="F1109" s="8" t="n">
        <f aca="false">IF(D1109&gt;0,1,0)</f>
        <v>1</v>
      </c>
    </row>
    <row r="1110" customFormat="false" ht="15" hidden="false" customHeight="false" outlineLevel="0" collapsed="false">
      <c r="A1110" s="8" t="s">
        <v>2618</v>
      </c>
      <c r="B1110" s="8" t="s">
        <v>51</v>
      </c>
      <c r="C1110" s="30" t="n">
        <v>336</v>
      </c>
      <c r="D1110" s="30" t="n">
        <v>432</v>
      </c>
      <c r="E1110" s="30" t="n">
        <f aca="false">MIN(C1110,D1110)</f>
        <v>336</v>
      </c>
      <c r="F1110" s="8" t="n">
        <f aca="false">IF(D1110&gt;0,1,0)</f>
        <v>1</v>
      </c>
    </row>
    <row r="1111" customFormat="false" ht="15" hidden="false" customHeight="false" outlineLevel="0" collapsed="false">
      <c r="A1111" s="8" t="s">
        <v>2886</v>
      </c>
      <c r="B1111" s="8" t="s">
        <v>51</v>
      </c>
      <c r="C1111" s="30" t="n">
        <v>336</v>
      </c>
      <c r="D1111" s="30" t="n">
        <v>384</v>
      </c>
      <c r="E1111" s="30" t="n">
        <f aca="false">MIN(C1111,D1111)</f>
        <v>336</v>
      </c>
      <c r="F1111" s="8" t="n">
        <f aca="false">IF(D1111&gt;0,1,0)</f>
        <v>1</v>
      </c>
    </row>
    <row r="1112" customFormat="false" ht="15" hidden="false" customHeight="false" outlineLevel="0" collapsed="false">
      <c r="A1112" s="8" t="s">
        <v>4531</v>
      </c>
      <c r="B1112" s="8" t="s">
        <v>51</v>
      </c>
      <c r="C1112" s="30" t="n">
        <v>336</v>
      </c>
      <c r="D1112" s="30" t="n">
        <v>0</v>
      </c>
      <c r="E1112" s="30" t="n">
        <f aca="false">MIN(C1112,D1112)</f>
        <v>0</v>
      </c>
      <c r="F1112" s="8" t="n">
        <f aca="false">IF(D1112&gt;0,1,0)</f>
        <v>0</v>
      </c>
    </row>
    <row r="1113" customFormat="false" ht="15" hidden="false" customHeight="false" outlineLevel="0" collapsed="false">
      <c r="A1113" s="8" t="s">
        <v>3122</v>
      </c>
      <c r="B1113" s="8" t="s">
        <v>51</v>
      </c>
      <c r="C1113" s="30" t="n">
        <v>336</v>
      </c>
      <c r="D1113" s="30" t="n">
        <v>336</v>
      </c>
      <c r="E1113" s="30" t="n">
        <f aca="false">MIN(C1113,D1113)</f>
        <v>336</v>
      </c>
      <c r="F1113" s="8" t="n">
        <f aca="false">IF(D1113&gt;0,1,0)</f>
        <v>1</v>
      </c>
    </row>
    <row r="1114" customFormat="false" ht="15" hidden="false" customHeight="false" outlineLevel="0" collapsed="false">
      <c r="A1114" s="8" t="s">
        <v>3124</v>
      </c>
      <c r="B1114" s="8" t="s">
        <v>51</v>
      </c>
      <c r="C1114" s="30" t="n">
        <v>325</v>
      </c>
      <c r="D1114" s="30" t="n">
        <v>325</v>
      </c>
      <c r="E1114" s="30" t="n">
        <f aca="false">MIN(C1114,D1114)</f>
        <v>325</v>
      </c>
      <c r="F1114" s="8" t="n">
        <f aca="false">IF(D1114&gt;0,1,0)</f>
        <v>1</v>
      </c>
    </row>
    <row r="1115" customFormat="false" ht="15" hidden="false" customHeight="false" outlineLevel="0" collapsed="false">
      <c r="A1115" s="8" t="s">
        <v>3126</v>
      </c>
      <c r="B1115" s="8" t="s">
        <v>51</v>
      </c>
      <c r="C1115" s="30" t="n">
        <v>325</v>
      </c>
      <c r="D1115" s="30" t="n">
        <v>325</v>
      </c>
      <c r="E1115" s="30" t="n">
        <f aca="false">MIN(C1115,D1115)</f>
        <v>325</v>
      </c>
      <c r="F1115" s="8" t="n">
        <f aca="false">IF(D1115&gt;0,1,0)</f>
        <v>1</v>
      </c>
    </row>
    <row r="1116" customFormat="false" ht="15" hidden="false" customHeight="false" outlineLevel="0" collapsed="false">
      <c r="A1116" s="8" t="s">
        <v>3128</v>
      </c>
      <c r="B1116" s="8" t="s">
        <v>51</v>
      </c>
      <c r="C1116" s="30" t="n">
        <v>325</v>
      </c>
      <c r="D1116" s="30" t="n">
        <v>325</v>
      </c>
      <c r="E1116" s="30" t="n">
        <f aca="false">MIN(C1116,D1116)</f>
        <v>325</v>
      </c>
      <c r="F1116" s="8" t="n">
        <f aca="false">IF(D1116&gt;0,1,0)</f>
        <v>1</v>
      </c>
    </row>
    <row r="1117" customFormat="false" ht="15" hidden="false" customHeight="false" outlineLevel="0" collapsed="false">
      <c r="A1117" s="8" t="s">
        <v>4532</v>
      </c>
      <c r="B1117" s="8" t="s">
        <v>51</v>
      </c>
      <c r="C1117" s="30" t="n">
        <v>325</v>
      </c>
      <c r="D1117" s="30" t="n">
        <v>0</v>
      </c>
      <c r="E1117" s="30" t="n">
        <f aca="false">MIN(C1117,D1117)</f>
        <v>0</v>
      </c>
      <c r="F1117" s="8" t="n">
        <f aca="false">IF(D1117&gt;0,1,0)</f>
        <v>0</v>
      </c>
    </row>
    <row r="1118" customFormat="false" ht="15" hidden="false" customHeight="false" outlineLevel="0" collapsed="false">
      <c r="A1118" s="8" t="s">
        <v>3132</v>
      </c>
      <c r="B1118" s="8" t="s">
        <v>51</v>
      </c>
      <c r="C1118" s="30" t="n">
        <v>325</v>
      </c>
      <c r="D1118" s="30" t="n">
        <v>325</v>
      </c>
      <c r="E1118" s="30" t="n">
        <f aca="false">MIN(C1118,D1118)</f>
        <v>325</v>
      </c>
      <c r="F1118" s="8" t="n">
        <f aca="false">IF(D1118&gt;0,1,0)</f>
        <v>1</v>
      </c>
    </row>
    <row r="1119" customFormat="false" ht="15" hidden="false" customHeight="false" outlineLevel="0" collapsed="false">
      <c r="A1119" s="8" t="s">
        <v>3134</v>
      </c>
      <c r="B1119" s="8" t="s">
        <v>51</v>
      </c>
      <c r="C1119" s="30" t="n">
        <v>325</v>
      </c>
      <c r="D1119" s="30" t="n">
        <v>325</v>
      </c>
      <c r="E1119" s="30" t="n">
        <f aca="false">MIN(C1119,D1119)</f>
        <v>325</v>
      </c>
      <c r="F1119" s="8" t="n">
        <f aca="false">IF(D1119&gt;0,1,0)</f>
        <v>1</v>
      </c>
    </row>
    <row r="1120" customFormat="false" ht="15" hidden="false" customHeight="false" outlineLevel="0" collapsed="false">
      <c r="A1120" s="8" t="s">
        <v>3136</v>
      </c>
      <c r="B1120" s="8" t="s">
        <v>51</v>
      </c>
      <c r="C1120" s="30" t="n">
        <v>325</v>
      </c>
      <c r="D1120" s="30" t="n">
        <v>325</v>
      </c>
      <c r="E1120" s="30" t="n">
        <f aca="false">MIN(C1120,D1120)</f>
        <v>325</v>
      </c>
      <c r="F1120" s="8" t="n">
        <f aca="false">IF(D1120&gt;0,1,0)</f>
        <v>1</v>
      </c>
    </row>
    <row r="1121" customFormat="false" ht="15" hidden="false" customHeight="false" outlineLevel="0" collapsed="false">
      <c r="A1121" s="8" t="s">
        <v>4533</v>
      </c>
      <c r="B1121" s="8" t="s">
        <v>51</v>
      </c>
      <c r="C1121" s="30" t="n">
        <v>325</v>
      </c>
      <c r="D1121" s="30" t="n">
        <v>0</v>
      </c>
      <c r="E1121" s="30" t="n">
        <f aca="false">MIN(C1121,D1121)</f>
        <v>0</v>
      </c>
      <c r="F1121" s="8" t="n">
        <f aca="false">IF(D1121&gt;0,1,0)</f>
        <v>0</v>
      </c>
    </row>
    <row r="1122" customFormat="false" ht="15" hidden="false" customHeight="false" outlineLevel="0" collapsed="false">
      <c r="A1122" s="8" t="s">
        <v>3150</v>
      </c>
      <c r="B1122" s="8" t="s">
        <v>51</v>
      </c>
      <c r="C1122" s="30" t="n">
        <v>324</v>
      </c>
      <c r="D1122" s="30" t="n">
        <v>324</v>
      </c>
      <c r="E1122" s="30" t="n">
        <f aca="false">MIN(C1122,D1122)</f>
        <v>324</v>
      </c>
      <c r="F1122" s="8" t="n">
        <f aca="false">IF(D1122&gt;0,1,0)</f>
        <v>1</v>
      </c>
    </row>
    <row r="1123" customFormat="false" ht="15" hidden="false" customHeight="false" outlineLevel="0" collapsed="false">
      <c r="A1123" s="8" t="s">
        <v>3152</v>
      </c>
      <c r="B1123" s="8" t="s">
        <v>51</v>
      </c>
      <c r="C1123" s="30" t="n">
        <v>324</v>
      </c>
      <c r="D1123" s="30" t="n">
        <v>324</v>
      </c>
      <c r="E1123" s="30" t="n">
        <f aca="false">MIN(C1123,D1123)</f>
        <v>324</v>
      </c>
      <c r="F1123" s="8" t="n">
        <f aca="false">IF(D1123&gt;0,1,0)</f>
        <v>1</v>
      </c>
    </row>
    <row r="1124" customFormat="false" ht="15" hidden="false" customHeight="false" outlineLevel="0" collapsed="false">
      <c r="A1124" s="8" t="s">
        <v>3156</v>
      </c>
      <c r="B1124" s="8" t="s">
        <v>51</v>
      </c>
      <c r="C1124" s="30" t="n">
        <v>324</v>
      </c>
      <c r="D1124" s="30" t="n">
        <v>324</v>
      </c>
      <c r="E1124" s="30" t="n">
        <f aca="false">MIN(C1124,D1124)</f>
        <v>324</v>
      </c>
      <c r="F1124" s="8" t="n">
        <f aca="false">IF(D1124&gt;0,1,0)</f>
        <v>1</v>
      </c>
    </row>
    <row r="1125" customFormat="false" ht="15" hidden="false" customHeight="false" outlineLevel="0" collapsed="false">
      <c r="A1125" s="8" t="s">
        <v>4534</v>
      </c>
      <c r="B1125" s="8" t="s">
        <v>51</v>
      </c>
      <c r="C1125" s="30" t="n">
        <v>324</v>
      </c>
      <c r="D1125" s="30" t="n">
        <v>0</v>
      </c>
      <c r="E1125" s="30" t="n">
        <f aca="false">MIN(C1125,D1125)</f>
        <v>0</v>
      </c>
      <c r="F1125" s="8" t="n">
        <f aca="false">IF(D1125&gt;0,1,0)</f>
        <v>0</v>
      </c>
    </row>
    <row r="1126" customFormat="false" ht="15" hidden="false" customHeight="false" outlineLevel="0" collapsed="false">
      <c r="A1126" s="8" t="s">
        <v>2596</v>
      </c>
      <c r="B1126" s="8" t="s">
        <v>51</v>
      </c>
      <c r="C1126" s="30" t="n">
        <v>324</v>
      </c>
      <c r="D1126" s="30" t="n">
        <v>432</v>
      </c>
      <c r="E1126" s="30" t="n">
        <f aca="false">MIN(C1126,D1126)</f>
        <v>324</v>
      </c>
      <c r="F1126" s="8" t="n">
        <f aca="false">IF(D1126&gt;0,1,0)</f>
        <v>1</v>
      </c>
    </row>
    <row r="1127" customFormat="false" ht="15" hidden="false" customHeight="false" outlineLevel="0" collapsed="false">
      <c r="A1127" s="8" t="s">
        <v>3158</v>
      </c>
      <c r="B1127" s="8" t="s">
        <v>51</v>
      </c>
      <c r="C1127" s="30" t="n">
        <v>324</v>
      </c>
      <c r="D1127" s="30" t="n">
        <v>324</v>
      </c>
      <c r="E1127" s="30" t="n">
        <f aca="false">MIN(C1127,D1127)</f>
        <v>324</v>
      </c>
      <c r="F1127" s="8" t="n">
        <f aca="false">IF(D1127&gt;0,1,0)</f>
        <v>1</v>
      </c>
    </row>
    <row r="1128" customFormat="false" ht="15" hidden="false" customHeight="false" outlineLevel="0" collapsed="false">
      <c r="A1128" s="8" t="s">
        <v>3160</v>
      </c>
      <c r="B1128" s="8" t="s">
        <v>51</v>
      </c>
      <c r="C1128" s="30" t="n">
        <v>324</v>
      </c>
      <c r="D1128" s="30" t="n">
        <v>324</v>
      </c>
      <c r="E1128" s="30" t="n">
        <f aca="false">MIN(C1128,D1128)</f>
        <v>324</v>
      </c>
      <c r="F1128" s="8" t="n">
        <f aca="false">IF(D1128&gt;0,1,0)</f>
        <v>1</v>
      </c>
    </row>
    <row r="1129" customFormat="false" ht="15" hidden="false" customHeight="false" outlineLevel="0" collapsed="false">
      <c r="A1129" s="8" t="s">
        <v>3170</v>
      </c>
      <c r="B1129" s="8" t="s">
        <v>51</v>
      </c>
      <c r="C1129" s="30" t="n">
        <v>324</v>
      </c>
      <c r="D1129" s="30" t="n">
        <v>324</v>
      </c>
      <c r="E1129" s="30" t="n">
        <f aca="false">MIN(C1129,D1129)</f>
        <v>324</v>
      </c>
      <c r="F1129" s="8" t="n">
        <f aca="false">IF(D1129&gt;0,1,0)</f>
        <v>1</v>
      </c>
    </row>
    <row r="1130" customFormat="false" ht="15" hidden="false" customHeight="false" outlineLevel="0" collapsed="false">
      <c r="A1130" s="8" t="s">
        <v>2698</v>
      </c>
      <c r="B1130" s="8" t="s">
        <v>51</v>
      </c>
      <c r="C1130" s="30" t="n">
        <v>324</v>
      </c>
      <c r="D1130" s="30" t="n">
        <v>420</v>
      </c>
      <c r="E1130" s="30" t="n">
        <f aca="false">MIN(C1130,D1130)</f>
        <v>324</v>
      </c>
      <c r="F1130" s="8" t="n">
        <f aca="false">IF(D1130&gt;0,1,0)</f>
        <v>1</v>
      </c>
    </row>
    <row r="1131" customFormat="false" ht="15" hidden="false" customHeight="false" outlineLevel="0" collapsed="false">
      <c r="A1131" s="8" t="s">
        <v>3172</v>
      </c>
      <c r="B1131" s="8" t="s">
        <v>51</v>
      </c>
      <c r="C1131" s="30" t="n">
        <v>324</v>
      </c>
      <c r="D1131" s="30" t="n">
        <v>324</v>
      </c>
      <c r="E1131" s="30" t="n">
        <f aca="false">MIN(C1131,D1131)</f>
        <v>324</v>
      </c>
      <c r="F1131" s="8" t="n">
        <f aca="false">IF(D1131&gt;0,1,0)</f>
        <v>1</v>
      </c>
    </row>
    <row r="1132" customFormat="false" ht="15" hidden="false" customHeight="false" outlineLevel="0" collapsed="false">
      <c r="A1132" s="8" t="s">
        <v>3176</v>
      </c>
      <c r="B1132" s="8" t="s">
        <v>51</v>
      </c>
      <c r="C1132" s="30" t="n">
        <v>324</v>
      </c>
      <c r="D1132" s="30" t="n">
        <v>324</v>
      </c>
      <c r="E1132" s="30" t="n">
        <f aca="false">MIN(C1132,D1132)</f>
        <v>324</v>
      </c>
      <c r="F1132" s="8" t="n">
        <f aca="false">IF(D1132&gt;0,1,0)</f>
        <v>1</v>
      </c>
    </row>
    <row r="1133" customFormat="false" ht="15" hidden="false" customHeight="false" outlineLevel="0" collapsed="false">
      <c r="A1133" s="8" t="s">
        <v>3180</v>
      </c>
      <c r="B1133" s="8" t="s">
        <v>51</v>
      </c>
      <c r="C1133" s="30" t="n">
        <v>324</v>
      </c>
      <c r="D1133" s="30" t="n">
        <v>324</v>
      </c>
      <c r="E1133" s="30" t="n">
        <f aca="false">MIN(C1133,D1133)</f>
        <v>324</v>
      </c>
      <c r="F1133" s="8" t="n">
        <f aca="false">IF(D1133&gt;0,1,0)</f>
        <v>1</v>
      </c>
    </row>
    <row r="1134" customFormat="false" ht="15" hidden="false" customHeight="false" outlineLevel="0" collapsed="false">
      <c r="A1134" s="8" t="s">
        <v>3412</v>
      </c>
      <c r="B1134" s="8" t="s">
        <v>51</v>
      </c>
      <c r="C1134" s="30" t="n">
        <v>324</v>
      </c>
      <c r="D1134" s="30" t="n">
        <v>276</v>
      </c>
      <c r="E1134" s="30" t="n">
        <f aca="false">MIN(C1134,D1134)</f>
        <v>276</v>
      </c>
      <c r="F1134" s="8" t="n">
        <f aca="false">IF(D1134&gt;0,1,0)</f>
        <v>1</v>
      </c>
    </row>
    <row r="1135" customFormat="false" ht="15" hidden="false" customHeight="false" outlineLevel="0" collapsed="false">
      <c r="A1135" s="8" t="s">
        <v>3184</v>
      </c>
      <c r="B1135" s="8" t="s">
        <v>51</v>
      </c>
      <c r="C1135" s="30" t="n">
        <v>324</v>
      </c>
      <c r="D1135" s="30" t="n">
        <v>324</v>
      </c>
      <c r="E1135" s="30" t="n">
        <f aca="false">MIN(C1135,D1135)</f>
        <v>324</v>
      </c>
      <c r="F1135" s="8" t="n">
        <f aca="false">IF(D1135&gt;0,1,0)</f>
        <v>1</v>
      </c>
    </row>
    <row r="1136" customFormat="false" ht="15" hidden="false" customHeight="false" outlineLevel="0" collapsed="false">
      <c r="A1136" s="8" t="s">
        <v>3194</v>
      </c>
      <c r="B1136" s="8" t="s">
        <v>51</v>
      </c>
      <c r="C1136" s="30" t="n">
        <v>324</v>
      </c>
      <c r="D1136" s="30" t="n">
        <v>324</v>
      </c>
      <c r="E1136" s="30" t="n">
        <f aca="false">MIN(C1136,D1136)</f>
        <v>324</v>
      </c>
      <c r="F1136" s="8" t="n">
        <f aca="false">IF(D1136&gt;0,1,0)</f>
        <v>1</v>
      </c>
    </row>
    <row r="1137" customFormat="false" ht="15" hidden="false" customHeight="false" outlineLevel="0" collapsed="false">
      <c r="A1137" s="8" t="s">
        <v>3198</v>
      </c>
      <c r="B1137" s="8" t="s">
        <v>51</v>
      </c>
      <c r="C1137" s="30" t="n">
        <v>324</v>
      </c>
      <c r="D1137" s="30" t="n">
        <v>324</v>
      </c>
      <c r="E1137" s="30" t="n">
        <f aca="false">MIN(C1137,D1137)</f>
        <v>324</v>
      </c>
      <c r="F1137" s="8" t="n">
        <f aca="false">IF(D1137&gt;0,1,0)</f>
        <v>1</v>
      </c>
    </row>
    <row r="1138" customFormat="false" ht="15" hidden="false" customHeight="false" outlineLevel="0" collapsed="false">
      <c r="A1138" s="8" t="s">
        <v>3200</v>
      </c>
      <c r="B1138" s="8" t="s">
        <v>51</v>
      </c>
      <c r="C1138" s="30" t="n">
        <v>312</v>
      </c>
      <c r="D1138" s="30" t="n">
        <v>312</v>
      </c>
      <c r="E1138" s="30" t="n">
        <f aca="false">MIN(C1138,D1138)</f>
        <v>312</v>
      </c>
      <c r="F1138" s="8" t="n">
        <f aca="false">IF(D1138&gt;0,1,0)</f>
        <v>1</v>
      </c>
    </row>
    <row r="1139" customFormat="false" ht="15" hidden="false" customHeight="false" outlineLevel="0" collapsed="false">
      <c r="A1139" s="8" t="s">
        <v>2840</v>
      </c>
      <c r="B1139" s="8" t="s">
        <v>51</v>
      </c>
      <c r="C1139" s="30" t="n">
        <v>312</v>
      </c>
      <c r="D1139" s="30" t="n">
        <v>384</v>
      </c>
      <c r="E1139" s="30" t="n">
        <f aca="false">MIN(C1139,D1139)</f>
        <v>312</v>
      </c>
      <c r="F1139" s="8" t="n">
        <f aca="false">IF(D1139&gt;0,1,0)</f>
        <v>1</v>
      </c>
    </row>
    <row r="1140" customFormat="false" ht="15" hidden="false" customHeight="false" outlineLevel="0" collapsed="false">
      <c r="A1140" s="8" t="s">
        <v>2674</v>
      </c>
      <c r="B1140" s="8" t="s">
        <v>51</v>
      </c>
      <c r="C1140" s="30" t="n">
        <v>312</v>
      </c>
      <c r="D1140" s="30" t="n">
        <v>420</v>
      </c>
      <c r="E1140" s="30" t="n">
        <f aca="false">MIN(C1140,D1140)</f>
        <v>312</v>
      </c>
      <c r="F1140" s="8" t="n">
        <f aca="false">IF(D1140&gt;0,1,0)</f>
        <v>1</v>
      </c>
    </row>
    <row r="1141" customFormat="false" ht="15" hidden="false" customHeight="false" outlineLevel="0" collapsed="false">
      <c r="A1141" s="8" t="s">
        <v>4535</v>
      </c>
      <c r="B1141" s="8" t="s">
        <v>51</v>
      </c>
      <c r="C1141" s="30" t="n">
        <v>312</v>
      </c>
      <c r="D1141" s="30" t="n">
        <v>0</v>
      </c>
      <c r="E1141" s="30" t="n">
        <f aca="false">MIN(C1141,D1141)</f>
        <v>0</v>
      </c>
      <c r="F1141" s="8" t="n">
        <f aca="false">IF(D1141&gt;0,1,0)</f>
        <v>0</v>
      </c>
    </row>
    <row r="1142" customFormat="false" ht="15" hidden="false" customHeight="false" outlineLevel="0" collapsed="false">
      <c r="A1142" s="8" t="s">
        <v>3398</v>
      </c>
      <c r="B1142" s="8" t="s">
        <v>51</v>
      </c>
      <c r="C1142" s="30" t="n">
        <v>312</v>
      </c>
      <c r="D1142" s="30" t="n">
        <v>276</v>
      </c>
      <c r="E1142" s="30" t="n">
        <f aca="false">MIN(C1142,D1142)</f>
        <v>276</v>
      </c>
      <c r="F1142" s="8" t="n">
        <f aca="false">IF(D1142&gt;0,1,0)</f>
        <v>1</v>
      </c>
    </row>
    <row r="1143" customFormat="false" ht="15" hidden="false" customHeight="false" outlineLevel="0" collapsed="false">
      <c r="A1143" s="8" t="s">
        <v>4536</v>
      </c>
      <c r="B1143" s="8" t="s">
        <v>51</v>
      </c>
      <c r="C1143" s="30" t="n">
        <v>312</v>
      </c>
      <c r="D1143" s="30" t="n">
        <v>0</v>
      </c>
      <c r="E1143" s="30" t="n">
        <f aca="false">MIN(C1143,D1143)</f>
        <v>0</v>
      </c>
      <c r="F1143" s="8" t="n">
        <f aca="false">IF(D1143&gt;0,1,0)</f>
        <v>0</v>
      </c>
    </row>
    <row r="1144" customFormat="false" ht="15" hidden="false" customHeight="false" outlineLevel="0" collapsed="false">
      <c r="A1144" s="8" t="s">
        <v>3210</v>
      </c>
      <c r="B1144" s="8" t="s">
        <v>51</v>
      </c>
      <c r="C1144" s="30" t="n">
        <v>312</v>
      </c>
      <c r="D1144" s="30" t="n">
        <v>312</v>
      </c>
      <c r="E1144" s="30" t="n">
        <f aca="false">MIN(C1144,D1144)</f>
        <v>312</v>
      </c>
      <c r="F1144" s="8" t="n">
        <f aca="false">IF(D1144&gt;0,1,0)</f>
        <v>1</v>
      </c>
    </row>
    <row r="1145" customFormat="false" ht="15" hidden="false" customHeight="false" outlineLevel="0" collapsed="false">
      <c r="A1145" s="8" t="s">
        <v>2688</v>
      </c>
      <c r="B1145" s="8" t="s">
        <v>51</v>
      </c>
      <c r="C1145" s="30" t="n">
        <v>312</v>
      </c>
      <c r="D1145" s="30" t="n">
        <v>420</v>
      </c>
      <c r="E1145" s="30" t="n">
        <f aca="false">MIN(C1145,D1145)</f>
        <v>312</v>
      </c>
      <c r="F1145" s="8" t="n">
        <f aca="false">IF(D1145&gt;0,1,0)</f>
        <v>1</v>
      </c>
    </row>
    <row r="1146" customFormat="false" ht="15" hidden="false" customHeight="false" outlineLevel="0" collapsed="false">
      <c r="A1146" s="8" t="s">
        <v>3214</v>
      </c>
      <c r="B1146" s="8" t="s">
        <v>51</v>
      </c>
      <c r="C1146" s="30" t="n">
        <v>312</v>
      </c>
      <c r="D1146" s="30" t="n">
        <v>312</v>
      </c>
      <c r="E1146" s="30" t="n">
        <f aca="false">MIN(C1146,D1146)</f>
        <v>312</v>
      </c>
      <c r="F1146" s="8" t="n">
        <f aca="false">IF(D1146&gt;0,1,0)</f>
        <v>1</v>
      </c>
    </row>
    <row r="1147" customFormat="false" ht="15" hidden="false" customHeight="false" outlineLevel="0" collapsed="false">
      <c r="A1147" s="8" t="s">
        <v>3500</v>
      </c>
      <c r="B1147" s="8" t="s">
        <v>51</v>
      </c>
      <c r="C1147" s="30" t="n">
        <v>312</v>
      </c>
      <c r="D1147" s="30" t="n">
        <v>252</v>
      </c>
      <c r="E1147" s="30" t="n">
        <f aca="false">MIN(C1147,D1147)</f>
        <v>252</v>
      </c>
      <c r="F1147" s="8" t="n">
        <f aca="false">IF(D1147&gt;0,1,0)</f>
        <v>1</v>
      </c>
    </row>
    <row r="1148" customFormat="false" ht="15" hidden="false" customHeight="false" outlineLevel="0" collapsed="false">
      <c r="A1148" s="8" t="s">
        <v>3216</v>
      </c>
      <c r="B1148" s="8" t="s">
        <v>51</v>
      </c>
      <c r="C1148" s="30" t="n">
        <v>312</v>
      </c>
      <c r="D1148" s="30" t="n">
        <v>312</v>
      </c>
      <c r="E1148" s="30" t="n">
        <f aca="false">MIN(C1148,D1148)</f>
        <v>312</v>
      </c>
      <c r="F1148" s="8" t="n">
        <f aca="false">IF(D1148&gt;0,1,0)</f>
        <v>1</v>
      </c>
    </row>
    <row r="1149" customFormat="false" ht="15" hidden="false" customHeight="false" outlineLevel="0" collapsed="false">
      <c r="A1149" s="8" t="s">
        <v>2752</v>
      </c>
      <c r="B1149" s="8" t="s">
        <v>51</v>
      </c>
      <c r="C1149" s="30" t="n">
        <v>312</v>
      </c>
      <c r="D1149" s="30" t="n">
        <v>408</v>
      </c>
      <c r="E1149" s="30" t="n">
        <f aca="false">MIN(C1149,D1149)</f>
        <v>312</v>
      </c>
      <c r="F1149" s="8" t="n">
        <f aca="false">IF(D1149&gt;0,1,0)</f>
        <v>1</v>
      </c>
    </row>
    <row r="1150" customFormat="false" ht="15" hidden="false" customHeight="false" outlineLevel="0" collapsed="false">
      <c r="A1150" s="8" t="s">
        <v>3222</v>
      </c>
      <c r="B1150" s="8" t="s">
        <v>51</v>
      </c>
      <c r="C1150" s="30" t="n">
        <v>312</v>
      </c>
      <c r="D1150" s="30" t="n">
        <v>312</v>
      </c>
      <c r="E1150" s="30" t="n">
        <f aca="false">MIN(C1150,D1150)</f>
        <v>312</v>
      </c>
      <c r="F1150" s="8" t="n">
        <f aca="false">IF(D1150&gt;0,1,0)</f>
        <v>1</v>
      </c>
    </row>
    <row r="1151" customFormat="false" ht="15" hidden="false" customHeight="false" outlineLevel="0" collapsed="false">
      <c r="A1151" s="8" t="s">
        <v>3226</v>
      </c>
      <c r="B1151" s="8" t="s">
        <v>51</v>
      </c>
      <c r="C1151" s="30" t="n">
        <v>312</v>
      </c>
      <c r="D1151" s="30" t="n">
        <v>312</v>
      </c>
      <c r="E1151" s="30" t="n">
        <f aca="false">MIN(C1151,D1151)</f>
        <v>312</v>
      </c>
      <c r="F1151" s="8" t="n">
        <f aca="false">IF(D1151&gt;0,1,0)</f>
        <v>1</v>
      </c>
    </row>
    <row r="1152" customFormat="false" ht="15" hidden="false" customHeight="false" outlineLevel="0" collapsed="false">
      <c r="A1152" s="8" t="s">
        <v>2944</v>
      </c>
      <c r="B1152" s="8" t="s">
        <v>51</v>
      </c>
      <c r="C1152" s="30" t="n">
        <v>312</v>
      </c>
      <c r="D1152" s="30" t="n">
        <v>372</v>
      </c>
      <c r="E1152" s="30" t="n">
        <f aca="false">MIN(C1152,D1152)</f>
        <v>312</v>
      </c>
      <c r="F1152" s="8" t="n">
        <f aca="false">IF(D1152&gt;0,1,0)</f>
        <v>1</v>
      </c>
    </row>
    <row r="1153" customFormat="false" ht="15" hidden="false" customHeight="false" outlineLevel="0" collapsed="false">
      <c r="A1153" s="8" t="s">
        <v>2862</v>
      </c>
      <c r="B1153" s="8" t="s">
        <v>51</v>
      </c>
      <c r="C1153" s="30" t="n">
        <v>312</v>
      </c>
      <c r="D1153" s="30" t="n">
        <v>384</v>
      </c>
      <c r="E1153" s="30" t="n">
        <f aca="false">MIN(C1153,D1153)</f>
        <v>312</v>
      </c>
      <c r="F1153" s="8" t="n">
        <f aca="false">IF(D1153&gt;0,1,0)</f>
        <v>1</v>
      </c>
    </row>
    <row r="1154" customFormat="false" ht="15" hidden="false" customHeight="false" outlineLevel="0" collapsed="false">
      <c r="A1154" s="8" t="s">
        <v>3234</v>
      </c>
      <c r="B1154" s="8" t="s">
        <v>51</v>
      </c>
      <c r="C1154" s="30" t="n">
        <v>312</v>
      </c>
      <c r="D1154" s="30" t="n">
        <v>312</v>
      </c>
      <c r="E1154" s="30" t="n">
        <f aca="false">MIN(C1154,D1154)</f>
        <v>312</v>
      </c>
      <c r="F1154" s="8" t="n">
        <f aca="false">IF(D1154&gt;0,1,0)</f>
        <v>1</v>
      </c>
    </row>
    <row r="1155" customFormat="false" ht="15" hidden="false" customHeight="false" outlineLevel="0" collapsed="false">
      <c r="A1155" s="8" t="s">
        <v>3236</v>
      </c>
      <c r="B1155" s="8" t="s">
        <v>51</v>
      </c>
      <c r="C1155" s="30" t="n">
        <v>312</v>
      </c>
      <c r="D1155" s="30" t="n">
        <v>312</v>
      </c>
      <c r="E1155" s="30" t="n">
        <f aca="false">MIN(C1155,D1155)</f>
        <v>312</v>
      </c>
      <c r="F1155" s="8" t="n">
        <f aca="false">IF(D1155&gt;0,1,0)</f>
        <v>1</v>
      </c>
    </row>
    <row r="1156" customFormat="false" ht="15" hidden="false" customHeight="false" outlineLevel="0" collapsed="false">
      <c r="A1156" s="8" t="s">
        <v>3078</v>
      </c>
      <c r="B1156" s="8" t="s">
        <v>51</v>
      </c>
      <c r="C1156" s="30" t="n">
        <v>312</v>
      </c>
      <c r="D1156" s="30" t="n">
        <v>348</v>
      </c>
      <c r="E1156" s="30" t="n">
        <f aca="false">MIN(C1156,D1156)</f>
        <v>312</v>
      </c>
      <c r="F1156" s="8" t="n">
        <f aca="false">IF(D1156&gt;0,1,0)</f>
        <v>1</v>
      </c>
    </row>
    <row r="1157" customFormat="false" ht="15" hidden="false" customHeight="false" outlineLevel="0" collapsed="false">
      <c r="A1157" s="8" t="s">
        <v>2712</v>
      </c>
      <c r="B1157" s="8" t="s">
        <v>51</v>
      </c>
      <c r="C1157" s="30" t="n">
        <v>312</v>
      </c>
      <c r="D1157" s="30" t="n">
        <v>420</v>
      </c>
      <c r="E1157" s="30" t="n">
        <f aca="false">MIN(C1157,D1157)</f>
        <v>312</v>
      </c>
      <c r="F1157" s="8" t="n">
        <f aca="false">IF(D1157&gt;0,1,0)</f>
        <v>1</v>
      </c>
    </row>
    <row r="1158" customFormat="false" ht="15" hidden="false" customHeight="false" outlineLevel="0" collapsed="false">
      <c r="A1158" s="8" t="s">
        <v>3244</v>
      </c>
      <c r="B1158" s="8" t="s">
        <v>51</v>
      </c>
      <c r="C1158" s="30" t="n">
        <v>312</v>
      </c>
      <c r="D1158" s="30" t="n">
        <v>312</v>
      </c>
      <c r="E1158" s="30" t="n">
        <f aca="false">MIN(C1158,D1158)</f>
        <v>312</v>
      </c>
      <c r="F1158" s="8" t="n">
        <f aca="false">IF(D1158&gt;0,1,0)</f>
        <v>1</v>
      </c>
    </row>
    <row r="1159" customFormat="false" ht="15" hidden="false" customHeight="false" outlineLevel="0" collapsed="false">
      <c r="A1159" s="8" t="s">
        <v>3248</v>
      </c>
      <c r="B1159" s="8" t="s">
        <v>51</v>
      </c>
      <c r="C1159" s="30" t="n">
        <v>312</v>
      </c>
      <c r="D1159" s="30" t="n">
        <v>312</v>
      </c>
      <c r="E1159" s="30" t="n">
        <f aca="false">MIN(C1159,D1159)</f>
        <v>312</v>
      </c>
      <c r="F1159" s="8" t="n">
        <f aca="false">IF(D1159&gt;0,1,0)</f>
        <v>1</v>
      </c>
    </row>
    <row r="1160" customFormat="false" ht="15" hidden="false" customHeight="false" outlineLevel="0" collapsed="false">
      <c r="A1160" s="8" t="s">
        <v>4537</v>
      </c>
      <c r="B1160" s="8" t="s">
        <v>51</v>
      </c>
      <c r="C1160" s="30" t="n">
        <v>312</v>
      </c>
      <c r="D1160" s="30" t="n">
        <v>0</v>
      </c>
      <c r="E1160" s="30" t="n">
        <f aca="false">MIN(C1160,D1160)</f>
        <v>0</v>
      </c>
      <c r="F1160" s="8" t="n">
        <f aca="false">IF(D1160&gt;0,1,0)</f>
        <v>0</v>
      </c>
    </row>
    <row r="1161" customFormat="false" ht="15" hidden="false" customHeight="false" outlineLevel="0" collapsed="false">
      <c r="A1161" s="8" t="s">
        <v>2970</v>
      </c>
      <c r="B1161" s="8" t="s">
        <v>51</v>
      </c>
      <c r="C1161" s="30" t="n">
        <v>312</v>
      </c>
      <c r="D1161" s="30" t="n">
        <v>372</v>
      </c>
      <c r="E1161" s="30" t="n">
        <f aca="false">MIN(C1161,D1161)</f>
        <v>312</v>
      </c>
      <c r="F1161" s="8" t="n">
        <f aca="false">IF(D1161&gt;0,1,0)</f>
        <v>1</v>
      </c>
    </row>
    <row r="1162" customFormat="false" ht="15" hidden="false" customHeight="false" outlineLevel="0" collapsed="false">
      <c r="A1162" s="8" t="s">
        <v>3252</v>
      </c>
      <c r="B1162" s="8" t="s">
        <v>51</v>
      </c>
      <c r="C1162" s="30" t="n">
        <v>300</v>
      </c>
      <c r="D1162" s="30" t="n">
        <v>300</v>
      </c>
      <c r="E1162" s="30" t="n">
        <f aca="false">MIN(C1162,D1162)</f>
        <v>300</v>
      </c>
      <c r="F1162" s="8" t="n">
        <f aca="false">IF(D1162&gt;0,1,0)</f>
        <v>1</v>
      </c>
    </row>
    <row r="1163" customFormat="false" ht="15" hidden="false" customHeight="false" outlineLevel="0" collapsed="false">
      <c r="A1163" s="8" t="s">
        <v>3254</v>
      </c>
      <c r="B1163" s="8" t="s">
        <v>51</v>
      </c>
      <c r="C1163" s="30" t="n">
        <v>300</v>
      </c>
      <c r="D1163" s="30" t="n">
        <v>300</v>
      </c>
      <c r="E1163" s="30" t="n">
        <f aca="false">MIN(C1163,D1163)</f>
        <v>300</v>
      </c>
      <c r="F1163" s="8" t="n">
        <f aca="false">IF(D1163&gt;0,1,0)</f>
        <v>1</v>
      </c>
    </row>
    <row r="1164" customFormat="false" ht="15" hidden="false" customHeight="false" outlineLevel="0" collapsed="false">
      <c r="A1164" s="8" t="s">
        <v>3256</v>
      </c>
      <c r="B1164" s="8" t="s">
        <v>51</v>
      </c>
      <c r="C1164" s="30" t="n">
        <v>300</v>
      </c>
      <c r="D1164" s="30" t="n">
        <v>300</v>
      </c>
      <c r="E1164" s="30" t="n">
        <f aca="false">MIN(C1164,D1164)</f>
        <v>300</v>
      </c>
      <c r="F1164" s="8" t="n">
        <f aca="false">IF(D1164&gt;0,1,0)</f>
        <v>1</v>
      </c>
    </row>
    <row r="1165" customFormat="false" ht="15" hidden="false" customHeight="false" outlineLevel="0" collapsed="false">
      <c r="A1165" s="8" t="s">
        <v>4538</v>
      </c>
      <c r="B1165" s="8" t="s">
        <v>51</v>
      </c>
      <c r="C1165" s="30" t="n">
        <v>300</v>
      </c>
      <c r="D1165" s="30" t="n">
        <v>0</v>
      </c>
      <c r="E1165" s="30" t="n">
        <f aca="false">MIN(C1165,D1165)</f>
        <v>0</v>
      </c>
      <c r="F1165" s="8" t="n">
        <f aca="false">IF(D1165&gt;0,1,0)</f>
        <v>0</v>
      </c>
    </row>
    <row r="1166" customFormat="false" ht="15" hidden="false" customHeight="false" outlineLevel="0" collapsed="false">
      <c r="A1166" s="8" t="s">
        <v>3258</v>
      </c>
      <c r="B1166" s="8" t="s">
        <v>51</v>
      </c>
      <c r="C1166" s="30" t="n">
        <v>300</v>
      </c>
      <c r="D1166" s="30" t="n">
        <v>300</v>
      </c>
      <c r="E1166" s="30" t="n">
        <f aca="false">MIN(C1166,D1166)</f>
        <v>300</v>
      </c>
      <c r="F1166" s="8" t="n">
        <f aca="false">IF(D1166&gt;0,1,0)</f>
        <v>1</v>
      </c>
    </row>
    <row r="1167" customFormat="false" ht="15" hidden="false" customHeight="false" outlineLevel="0" collapsed="false">
      <c r="A1167" s="8" t="s">
        <v>2976</v>
      </c>
      <c r="B1167" s="8" t="s">
        <v>51</v>
      </c>
      <c r="C1167" s="30" t="n">
        <v>300</v>
      </c>
      <c r="D1167" s="30" t="n">
        <v>360</v>
      </c>
      <c r="E1167" s="30" t="n">
        <f aca="false">MIN(C1167,D1167)</f>
        <v>300</v>
      </c>
      <c r="F1167" s="8" t="n">
        <f aca="false">IF(D1167&gt;0,1,0)</f>
        <v>1</v>
      </c>
    </row>
    <row r="1168" customFormat="false" ht="15" hidden="false" customHeight="false" outlineLevel="0" collapsed="false">
      <c r="A1168" s="8" t="s">
        <v>2982</v>
      </c>
      <c r="B1168" s="8" t="s">
        <v>51</v>
      </c>
      <c r="C1168" s="30" t="n">
        <v>300</v>
      </c>
      <c r="D1168" s="30" t="n">
        <v>360</v>
      </c>
      <c r="E1168" s="30" t="n">
        <f aca="false">MIN(C1168,D1168)</f>
        <v>300</v>
      </c>
      <c r="F1168" s="8" t="n">
        <f aca="false">IF(D1168&gt;0,1,0)</f>
        <v>1</v>
      </c>
    </row>
    <row r="1169" customFormat="false" ht="15" hidden="false" customHeight="false" outlineLevel="0" collapsed="false">
      <c r="A1169" s="8" t="s">
        <v>2738</v>
      </c>
      <c r="B1169" s="8" t="s">
        <v>51</v>
      </c>
      <c r="C1169" s="30" t="n">
        <v>300</v>
      </c>
      <c r="D1169" s="30" t="n">
        <v>408</v>
      </c>
      <c r="E1169" s="30" t="n">
        <f aca="false">MIN(C1169,D1169)</f>
        <v>300</v>
      </c>
      <c r="F1169" s="8" t="n">
        <f aca="false">IF(D1169&gt;0,1,0)</f>
        <v>1</v>
      </c>
    </row>
    <row r="1170" customFormat="false" ht="15" hidden="false" customHeight="false" outlineLevel="0" collapsed="false">
      <c r="A1170" s="8" t="s">
        <v>3262</v>
      </c>
      <c r="B1170" s="8" t="s">
        <v>51</v>
      </c>
      <c r="C1170" s="30" t="n">
        <v>300</v>
      </c>
      <c r="D1170" s="30" t="n">
        <v>300</v>
      </c>
      <c r="E1170" s="30" t="n">
        <f aca="false">MIN(C1170,D1170)</f>
        <v>300</v>
      </c>
      <c r="F1170" s="8" t="n">
        <f aca="false">IF(D1170&gt;0,1,0)</f>
        <v>1</v>
      </c>
    </row>
    <row r="1171" customFormat="false" ht="15" hidden="false" customHeight="false" outlineLevel="0" collapsed="false">
      <c r="A1171" s="8" t="s">
        <v>2850</v>
      </c>
      <c r="B1171" s="8" t="s">
        <v>51</v>
      </c>
      <c r="C1171" s="30" t="n">
        <v>300</v>
      </c>
      <c r="D1171" s="30" t="n">
        <v>384</v>
      </c>
      <c r="E1171" s="30" t="n">
        <f aca="false">MIN(C1171,D1171)</f>
        <v>300</v>
      </c>
      <c r="F1171" s="8" t="n">
        <f aca="false">IF(D1171&gt;0,1,0)</f>
        <v>1</v>
      </c>
    </row>
    <row r="1172" customFormat="false" ht="15" hidden="false" customHeight="false" outlineLevel="0" collapsed="false">
      <c r="A1172" s="8" t="s">
        <v>3264</v>
      </c>
      <c r="B1172" s="8" t="s">
        <v>51</v>
      </c>
      <c r="C1172" s="30" t="n">
        <v>300</v>
      </c>
      <c r="D1172" s="30" t="n">
        <v>300</v>
      </c>
      <c r="E1172" s="30" t="n">
        <f aca="false">MIN(C1172,D1172)</f>
        <v>300</v>
      </c>
      <c r="F1172" s="8" t="n">
        <f aca="false">IF(D1172&gt;0,1,0)</f>
        <v>1</v>
      </c>
    </row>
    <row r="1173" customFormat="false" ht="15" hidden="false" customHeight="false" outlineLevel="0" collapsed="false">
      <c r="A1173" s="8" t="s">
        <v>3266</v>
      </c>
      <c r="B1173" s="8" t="s">
        <v>51</v>
      </c>
      <c r="C1173" s="30" t="n">
        <v>300</v>
      </c>
      <c r="D1173" s="30" t="n">
        <v>300</v>
      </c>
      <c r="E1173" s="30" t="n">
        <f aca="false">MIN(C1173,D1173)</f>
        <v>300</v>
      </c>
      <c r="F1173" s="8" t="n">
        <f aca="false">IF(D1173&gt;0,1,0)</f>
        <v>1</v>
      </c>
    </row>
    <row r="1174" customFormat="false" ht="15" hidden="false" customHeight="false" outlineLevel="0" collapsed="false">
      <c r="A1174" s="8" t="s">
        <v>2986</v>
      </c>
      <c r="B1174" s="8" t="s">
        <v>51</v>
      </c>
      <c r="C1174" s="30" t="n">
        <v>300</v>
      </c>
      <c r="D1174" s="30" t="n">
        <v>360</v>
      </c>
      <c r="E1174" s="30" t="n">
        <f aca="false">MIN(C1174,D1174)</f>
        <v>300</v>
      </c>
      <c r="F1174" s="8" t="n">
        <f aca="false">IF(D1174&gt;0,1,0)</f>
        <v>1</v>
      </c>
    </row>
    <row r="1175" customFormat="false" ht="15" hidden="false" customHeight="false" outlineLevel="0" collapsed="false">
      <c r="A1175" s="8" t="s">
        <v>3064</v>
      </c>
      <c r="B1175" s="8" t="s">
        <v>51</v>
      </c>
      <c r="C1175" s="30" t="n">
        <v>300</v>
      </c>
      <c r="D1175" s="30" t="n">
        <v>348</v>
      </c>
      <c r="E1175" s="30" t="n">
        <f aca="false">MIN(C1175,D1175)</f>
        <v>300</v>
      </c>
      <c r="F1175" s="8" t="n">
        <f aca="false">IF(D1175&gt;0,1,0)</f>
        <v>1</v>
      </c>
    </row>
    <row r="1176" customFormat="false" ht="15" hidden="false" customHeight="false" outlineLevel="0" collapsed="false">
      <c r="A1176" s="8" t="s">
        <v>3276</v>
      </c>
      <c r="B1176" s="8" t="s">
        <v>51</v>
      </c>
      <c r="C1176" s="30" t="n">
        <v>300</v>
      </c>
      <c r="D1176" s="30" t="n">
        <v>300</v>
      </c>
      <c r="E1176" s="30" t="n">
        <f aca="false">MIN(C1176,D1176)</f>
        <v>300</v>
      </c>
      <c r="F1176" s="8" t="n">
        <f aca="false">IF(D1176&gt;0,1,0)</f>
        <v>1</v>
      </c>
    </row>
    <row r="1177" customFormat="false" ht="15" hidden="false" customHeight="false" outlineLevel="0" collapsed="false">
      <c r="A1177" s="8" t="s">
        <v>3278</v>
      </c>
      <c r="B1177" s="8" t="s">
        <v>51</v>
      </c>
      <c r="C1177" s="30" t="n">
        <v>300</v>
      </c>
      <c r="D1177" s="30" t="n">
        <v>300</v>
      </c>
      <c r="E1177" s="30" t="n">
        <f aca="false">MIN(C1177,D1177)</f>
        <v>300</v>
      </c>
      <c r="F1177" s="8" t="n">
        <f aca="false">IF(D1177&gt;0,1,0)</f>
        <v>1</v>
      </c>
    </row>
    <row r="1178" customFormat="false" ht="15" hidden="false" customHeight="false" outlineLevel="0" collapsed="false">
      <c r="A1178" s="8" t="s">
        <v>2790</v>
      </c>
      <c r="B1178" s="8" t="s">
        <v>51</v>
      </c>
      <c r="C1178" s="30" t="n">
        <v>300</v>
      </c>
      <c r="D1178" s="30" t="n">
        <v>400</v>
      </c>
      <c r="E1178" s="30" t="n">
        <f aca="false">MIN(C1178,D1178)</f>
        <v>300</v>
      </c>
      <c r="F1178" s="8" t="n">
        <f aca="false">IF(D1178&gt;0,1,0)</f>
        <v>1</v>
      </c>
    </row>
    <row r="1179" customFormat="false" ht="15" hidden="false" customHeight="false" outlineLevel="0" collapsed="false">
      <c r="A1179" s="8" t="s">
        <v>3286</v>
      </c>
      <c r="B1179" s="8" t="s">
        <v>51</v>
      </c>
      <c r="C1179" s="30" t="n">
        <v>300</v>
      </c>
      <c r="D1179" s="30" t="n">
        <v>300</v>
      </c>
      <c r="E1179" s="30" t="n">
        <f aca="false">MIN(C1179,D1179)</f>
        <v>300</v>
      </c>
      <c r="F1179" s="8" t="n">
        <f aca="false">IF(D1179&gt;0,1,0)</f>
        <v>1</v>
      </c>
    </row>
    <row r="1180" customFormat="false" ht="15" hidden="false" customHeight="false" outlineLevel="0" collapsed="false">
      <c r="A1180" s="8" t="s">
        <v>4539</v>
      </c>
      <c r="B1180" s="8" t="s">
        <v>51</v>
      </c>
      <c r="C1180" s="30" t="n">
        <v>300</v>
      </c>
      <c r="D1180" s="30" t="n">
        <v>0</v>
      </c>
      <c r="E1180" s="30" t="n">
        <f aca="false">MIN(C1180,D1180)</f>
        <v>0</v>
      </c>
      <c r="F1180" s="8" t="n">
        <f aca="false">IF(D1180&gt;0,1,0)</f>
        <v>0</v>
      </c>
    </row>
    <row r="1181" customFormat="false" ht="15" hidden="false" customHeight="false" outlineLevel="0" collapsed="false">
      <c r="A1181" s="8" t="s">
        <v>3292</v>
      </c>
      <c r="B1181" s="8" t="s">
        <v>51</v>
      </c>
      <c r="C1181" s="30" t="n">
        <v>300</v>
      </c>
      <c r="D1181" s="30" t="n">
        <v>300</v>
      </c>
      <c r="E1181" s="30" t="n">
        <f aca="false">MIN(C1181,D1181)</f>
        <v>300</v>
      </c>
      <c r="F1181" s="8" t="n">
        <f aca="false">IF(D1181&gt;0,1,0)</f>
        <v>1</v>
      </c>
    </row>
    <row r="1182" customFormat="false" ht="15" hidden="false" customHeight="false" outlineLevel="0" collapsed="false">
      <c r="A1182" s="8" t="s">
        <v>3298</v>
      </c>
      <c r="B1182" s="8" t="s">
        <v>51</v>
      </c>
      <c r="C1182" s="30" t="n">
        <v>300</v>
      </c>
      <c r="D1182" s="30" t="n">
        <v>300</v>
      </c>
      <c r="E1182" s="30" t="n">
        <f aca="false">MIN(C1182,D1182)</f>
        <v>300</v>
      </c>
      <c r="F1182" s="8" t="n">
        <f aca="false">IF(D1182&gt;0,1,0)</f>
        <v>1</v>
      </c>
    </row>
    <row r="1183" customFormat="false" ht="15" hidden="false" customHeight="false" outlineLevel="0" collapsed="false">
      <c r="A1183" s="8" t="s">
        <v>4540</v>
      </c>
      <c r="B1183" s="8" t="s">
        <v>51</v>
      </c>
      <c r="C1183" s="30" t="n">
        <v>300</v>
      </c>
      <c r="D1183" s="30" t="n">
        <v>0</v>
      </c>
      <c r="E1183" s="30" t="n">
        <f aca="false">MIN(C1183,D1183)</f>
        <v>0</v>
      </c>
      <c r="F1183" s="8" t="n">
        <f aca="false">IF(D1183&gt;0,1,0)</f>
        <v>0</v>
      </c>
    </row>
    <row r="1184" customFormat="false" ht="15" hidden="false" customHeight="false" outlineLevel="0" collapsed="false">
      <c r="A1184" s="8" t="s">
        <v>3302</v>
      </c>
      <c r="B1184" s="8" t="s">
        <v>51</v>
      </c>
      <c r="C1184" s="30" t="n">
        <v>300</v>
      </c>
      <c r="D1184" s="30" t="n">
        <v>300</v>
      </c>
      <c r="E1184" s="30" t="n">
        <f aca="false">MIN(C1184,D1184)</f>
        <v>300</v>
      </c>
      <c r="F1184" s="8" t="n">
        <f aca="false">IF(D1184&gt;0,1,0)</f>
        <v>1</v>
      </c>
    </row>
    <row r="1185" customFormat="false" ht="15" hidden="false" customHeight="false" outlineLevel="0" collapsed="false">
      <c r="A1185" s="8" t="s">
        <v>3310</v>
      </c>
      <c r="B1185" s="8" t="s">
        <v>51</v>
      </c>
      <c r="C1185" s="30" t="n">
        <v>300</v>
      </c>
      <c r="D1185" s="30" t="n">
        <v>300</v>
      </c>
      <c r="E1185" s="30" t="n">
        <f aca="false">MIN(C1185,D1185)</f>
        <v>300</v>
      </c>
      <c r="F1185" s="8" t="n">
        <f aca="false">IF(D1185&gt;0,1,0)</f>
        <v>1</v>
      </c>
    </row>
    <row r="1186" customFormat="false" ht="15" hidden="false" customHeight="false" outlineLevel="0" collapsed="false">
      <c r="A1186" s="8" t="s">
        <v>3314</v>
      </c>
      <c r="B1186" s="8" t="s">
        <v>51</v>
      </c>
      <c r="C1186" s="30" t="n">
        <v>300</v>
      </c>
      <c r="D1186" s="30" t="n">
        <v>300</v>
      </c>
      <c r="E1186" s="30" t="n">
        <f aca="false">MIN(C1186,D1186)</f>
        <v>300</v>
      </c>
      <c r="F1186" s="8" t="n">
        <f aca="false">IF(D1186&gt;0,1,0)</f>
        <v>1</v>
      </c>
    </row>
    <row r="1187" customFormat="false" ht="15" hidden="false" customHeight="false" outlineLevel="0" collapsed="false">
      <c r="A1187" s="8" t="s">
        <v>3316</v>
      </c>
      <c r="B1187" s="8" t="s">
        <v>51</v>
      </c>
      <c r="C1187" s="30" t="n">
        <v>288</v>
      </c>
      <c r="D1187" s="30" t="n">
        <v>288</v>
      </c>
      <c r="E1187" s="30" t="n">
        <f aca="false">MIN(C1187,D1187)</f>
        <v>288</v>
      </c>
      <c r="F1187" s="8" t="n">
        <f aca="false">IF(D1187&gt;0,1,0)</f>
        <v>1</v>
      </c>
    </row>
    <row r="1188" customFormat="false" ht="15" hidden="false" customHeight="false" outlineLevel="0" collapsed="false">
      <c r="A1188" s="8" t="s">
        <v>2810</v>
      </c>
      <c r="B1188" s="8" t="s">
        <v>51</v>
      </c>
      <c r="C1188" s="30" t="n">
        <v>288</v>
      </c>
      <c r="D1188" s="30" t="n">
        <v>396</v>
      </c>
      <c r="E1188" s="30" t="n">
        <f aca="false">MIN(C1188,D1188)</f>
        <v>288</v>
      </c>
      <c r="F1188" s="8" t="n">
        <f aca="false">IF(D1188&gt;0,1,0)</f>
        <v>1</v>
      </c>
    </row>
    <row r="1189" customFormat="false" ht="15" hidden="false" customHeight="false" outlineLevel="0" collapsed="false">
      <c r="A1189" s="8" t="s">
        <v>3588</v>
      </c>
      <c r="B1189" s="8" t="s">
        <v>51</v>
      </c>
      <c r="C1189" s="30" t="n">
        <v>288</v>
      </c>
      <c r="D1189" s="30" t="n">
        <v>228</v>
      </c>
      <c r="E1189" s="30" t="n">
        <f aca="false">MIN(C1189,D1189)</f>
        <v>228</v>
      </c>
      <c r="F1189" s="8" t="n">
        <f aca="false">IF(D1189&gt;0,1,0)</f>
        <v>1</v>
      </c>
    </row>
    <row r="1190" customFormat="false" ht="15" hidden="false" customHeight="false" outlineLevel="0" collapsed="false">
      <c r="A1190" s="8" t="s">
        <v>2838</v>
      </c>
      <c r="B1190" s="8" t="s">
        <v>51</v>
      </c>
      <c r="C1190" s="30" t="n">
        <v>288</v>
      </c>
      <c r="D1190" s="30" t="n">
        <v>384</v>
      </c>
      <c r="E1190" s="30" t="n">
        <f aca="false">MIN(C1190,D1190)</f>
        <v>288</v>
      </c>
      <c r="F1190" s="8" t="n">
        <f aca="false">IF(D1190&gt;0,1,0)</f>
        <v>1</v>
      </c>
    </row>
    <row r="1191" customFormat="false" ht="15" hidden="false" customHeight="false" outlineLevel="0" collapsed="false">
      <c r="A1191" s="8" t="s">
        <v>3326</v>
      </c>
      <c r="B1191" s="8" t="s">
        <v>51</v>
      </c>
      <c r="C1191" s="30" t="n">
        <v>288</v>
      </c>
      <c r="D1191" s="30" t="n">
        <v>288</v>
      </c>
      <c r="E1191" s="30" t="n">
        <f aca="false">MIN(C1191,D1191)</f>
        <v>288</v>
      </c>
      <c r="F1191" s="8" t="n">
        <f aca="false">IF(D1191&gt;0,1,0)</f>
        <v>1</v>
      </c>
    </row>
    <row r="1192" customFormat="false" ht="15" hidden="false" customHeight="false" outlineLevel="0" collapsed="false">
      <c r="A1192" s="8" t="s">
        <v>3330</v>
      </c>
      <c r="B1192" s="8" t="s">
        <v>51</v>
      </c>
      <c r="C1192" s="30" t="n">
        <v>288</v>
      </c>
      <c r="D1192" s="30" t="n">
        <v>288</v>
      </c>
      <c r="E1192" s="30" t="n">
        <f aca="false">MIN(C1192,D1192)</f>
        <v>288</v>
      </c>
      <c r="F1192" s="8" t="n">
        <f aca="false">IF(D1192&gt;0,1,0)</f>
        <v>1</v>
      </c>
    </row>
    <row r="1193" customFormat="false" ht="15" hidden="false" customHeight="false" outlineLevel="0" collapsed="false">
      <c r="A1193" s="8" t="s">
        <v>3332</v>
      </c>
      <c r="B1193" s="8" t="s">
        <v>51</v>
      </c>
      <c r="C1193" s="30" t="n">
        <v>288</v>
      </c>
      <c r="D1193" s="30" t="n">
        <v>288</v>
      </c>
      <c r="E1193" s="30" t="n">
        <f aca="false">MIN(C1193,D1193)</f>
        <v>288</v>
      </c>
      <c r="F1193" s="8" t="n">
        <f aca="false">IF(D1193&gt;0,1,0)</f>
        <v>1</v>
      </c>
    </row>
    <row r="1194" customFormat="false" ht="15" hidden="false" customHeight="false" outlineLevel="0" collapsed="false">
      <c r="A1194" s="8" t="s">
        <v>3334</v>
      </c>
      <c r="B1194" s="8" t="s">
        <v>51</v>
      </c>
      <c r="C1194" s="30" t="n">
        <v>288</v>
      </c>
      <c r="D1194" s="30" t="n">
        <v>288</v>
      </c>
      <c r="E1194" s="30" t="n">
        <f aca="false">MIN(C1194,D1194)</f>
        <v>288</v>
      </c>
      <c r="F1194" s="8" t="n">
        <f aca="false">IF(D1194&gt;0,1,0)</f>
        <v>1</v>
      </c>
    </row>
    <row r="1195" customFormat="false" ht="15" hidden="false" customHeight="false" outlineLevel="0" collapsed="false">
      <c r="A1195" s="8" t="s">
        <v>2930</v>
      </c>
      <c r="B1195" s="8" t="s">
        <v>51</v>
      </c>
      <c r="C1195" s="30" t="n">
        <v>288</v>
      </c>
      <c r="D1195" s="30" t="n">
        <v>372</v>
      </c>
      <c r="E1195" s="30" t="n">
        <f aca="false">MIN(C1195,D1195)</f>
        <v>288</v>
      </c>
      <c r="F1195" s="8" t="n">
        <f aca="false">IF(D1195&gt;0,1,0)</f>
        <v>1</v>
      </c>
    </row>
    <row r="1196" customFormat="false" ht="15" hidden="false" customHeight="false" outlineLevel="0" collapsed="false">
      <c r="A1196" s="8" t="s">
        <v>3338</v>
      </c>
      <c r="B1196" s="8" t="s">
        <v>51</v>
      </c>
      <c r="C1196" s="30" t="n">
        <v>288</v>
      </c>
      <c r="D1196" s="30" t="n">
        <v>288</v>
      </c>
      <c r="E1196" s="30" t="n">
        <f aca="false">MIN(C1196,D1196)</f>
        <v>288</v>
      </c>
      <c r="F1196" s="8" t="n">
        <f aca="false">IF(D1196&gt;0,1,0)</f>
        <v>1</v>
      </c>
    </row>
    <row r="1197" customFormat="false" ht="15" hidden="false" customHeight="false" outlineLevel="0" collapsed="false">
      <c r="A1197" s="8" t="s">
        <v>3344</v>
      </c>
      <c r="B1197" s="8" t="s">
        <v>51</v>
      </c>
      <c r="C1197" s="30" t="n">
        <v>288</v>
      </c>
      <c r="D1197" s="30" t="n">
        <v>288</v>
      </c>
      <c r="E1197" s="30" t="n">
        <f aca="false">MIN(C1197,D1197)</f>
        <v>288</v>
      </c>
      <c r="F1197" s="8" t="n">
        <f aca="false">IF(D1197&gt;0,1,0)</f>
        <v>1</v>
      </c>
    </row>
    <row r="1198" customFormat="false" ht="15" hidden="false" customHeight="false" outlineLevel="0" collapsed="false">
      <c r="A1198" s="8" t="s">
        <v>3346</v>
      </c>
      <c r="B1198" s="8" t="s">
        <v>51</v>
      </c>
      <c r="C1198" s="30" t="n">
        <v>288</v>
      </c>
      <c r="D1198" s="30" t="n">
        <v>288</v>
      </c>
      <c r="E1198" s="30" t="n">
        <f aca="false">MIN(C1198,D1198)</f>
        <v>288</v>
      </c>
      <c r="F1198" s="8" t="n">
        <f aca="false">IF(D1198&gt;0,1,0)</f>
        <v>1</v>
      </c>
    </row>
    <row r="1199" customFormat="false" ht="15" hidden="false" customHeight="false" outlineLevel="0" collapsed="false">
      <c r="A1199" s="8" t="s">
        <v>3348</v>
      </c>
      <c r="B1199" s="8" t="s">
        <v>51</v>
      </c>
      <c r="C1199" s="30" t="n">
        <v>288</v>
      </c>
      <c r="D1199" s="30" t="n">
        <v>288</v>
      </c>
      <c r="E1199" s="30" t="n">
        <f aca="false">MIN(C1199,D1199)</f>
        <v>288</v>
      </c>
      <c r="F1199" s="8" t="n">
        <f aca="false">IF(D1199&gt;0,1,0)</f>
        <v>1</v>
      </c>
    </row>
    <row r="1200" customFormat="false" ht="15" hidden="false" customHeight="false" outlineLevel="0" collapsed="false">
      <c r="A1200" s="8" t="s">
        <v>3354</v>
      </c>
      <c r="B1200" s="8" t="s">
        <v>51</v>
      </c>
      <c r="C1200" s="30" t="n">
        <v>288</v>
      </c>
      <c r="D1200" s="30" t="n">
        <v>288</v>
      </c>
      <c r="E1200" s="30" t="n">
        <f aca="false">MIN(C1200,D1200)</f>
        <v>288</v>
      </c>
      <c r="F1200" s="8" t="n">
        <f aca="false">IF(D1200&gt;0,1,0)</f>
        <v>1</v>
      </c>
    </row>
    <row r="1201" customFormat="false" ht="15" hidden="false" customHeight="false" outlineLevel="0" collapsed="false">
      <c r="A1201" s="8" t="s">
        <v>3356</v>
      </c>
      <c r="B1201" s="8" t="s">
        <v>51</v>
      </c>
      <c r="C1201" s="30" t="n">
        <v>288</v>
      </c>
      <c r="D1201" s="30" t="n">
        <v>288</v>
      </c>
      <c r="E1201" s="30" t="n">
        <f aca="false">MIN(C1201,D1201)</f>
        <v>288</v>
      </c>
      <c r="F1201" s="8" t="n">
        <f aca="false">IF(D1201&gt;0,1,0)</f>
        <v>1</v>
      </c>
    </row>
    <row r="1202" customFormat="false" ht="15" hidden="false" customHeight="false" outlineLevel="0" collapsed="false">
      <c r="A1202" s="8" t="s">
        <v>3360</v>
      </c>
      <c r="B1202" s="8" t="s">
        <v>51</v>
      </c>
      <c r="C1202" s="30" t="n">
        <v>288</v>
      </c>
      <c r="D1202" s="30" t="n">
        <v>288</v>
      </c>
      <c r="E1202" s="30" t="n">
        <f aca="false">MIN(C1202,D1202)</f>
        <v>288</v>
      </c>
      <c r="F1202" s="8" t="n">
        <f aca="false">IF(D1202&gt;0,1,0)</f>
        <v>1</v>
      </c>
    </row>
    <row r="1203" customFormat="false" ht="15" hidden="false" customHeight="false" outlineLevel="0" collapsed="false">
      <c r="A1203" s="8" t="s">
        <v>3362</v>
      </c>
      <c r="B1203" s="8" t="s">
        <v>51</v>
      </c>
      <c r="C1203" s="30" t="n">
        <v>288</v>
      </c>
      <c r="D1203" s="30" t="n">
        <v>288</v>
      </c>
      <c r="E1203" s="30" t="n">
        <f aca="false">MIN(C1203,D1203)</f>
        <v>288</v>
      </c>
      <c r="F1203" s="8" t="n">
        <f aca="false">IF(D1203&gt;0,1,0)</f>
        <v>1</v>
      </c>
    </row>
    <row r="1204" customFormat="false" ht="15" hidden="false" customHeight="false" outlineLevel="0" collapsed="false">
      <c r="A1204" s="8" t="s">
        <v>3364</v>
      </c>
      <c r="B1204" s="8" t="s">
        <v>51</v>
      </c>
      <c r="C1204" s="30" t="n">
        <v>288</v>
      </c>
      <c r="D1204" s="30" t="n">
        <v>288</v>
      </c>
      <c r="E1204" s="30" t="n">
        <f aca="false">MIN(C1204,D1204)</f>
        <v>288</v>
      </c>
      <c r="F1204" s="8" t="n">
        <f aca="false">IF(D1204&gt;0,1,0)</f>
        <v>1</v>
      </c>
    </row>
    <row r="1205" customFormat="false" ht="15" hidden="false" customHeight="false" outlineLevel="0" collapsed="false">
      <c r="A1205" s="8" t="s">
        <v>3370</v>
      </c>
      <c r="B1205" s="8" t="s">
        <v>51</v>
      </c>
      <c r="C1205" s="30" t="n">
        <v>288</v>
      </c>
      <c r="D1205" s="30" t="n">
        <v>288</v>
      </c>
      <c r="E1205" s="30" t="n">
        <f aca="false">MIN(C1205,D1205)</f>
        <v>288</v>
      </c>
      <c r="F1205" s="8" t="n">
        <f aca="false">IF(D1205&gt;0,1,0)</f>
        <v>1</v>
      </c>
    </row>
    <row r="1206" customFormat="false" ht="15" hidden="false" customHeight="false" outlineLevel="0" collapsed="false">
      <c r="A1206" s="8" t="s">
        <v>3374</v>
      </c>
      <c r="B1206" s="8" t="s">
        <v>51</v>
      </c>
      <c r="C1206" s="30" t="n">
        <v>288</v>
      </c>
      <c r="D1206" s="30" t="n">
        <v>288</v>
      </c>
      <c r="E1206" s="30" t="n">
        <f aca="false">MIN(C1206,D1206)</f>
        <v>288</v>
      </c>
      <c r="F1206" s="8" t="n">
        <f aca="false">IF(D1206&gt;0,1,0)</f>
        <v>1</v>
      </c>
    </row>
    <row r="1207" customFormat="false" ht="15" hidden="false" customHeight="false" outlineLevel="0" collapsed="false">
      <c r="A1207" s="8" t="s">
        <v>3690</v>
      </c>
      <c r="B1207" s="8" t="s">
        <v>51</v>
      </c>
      <c r="C1207" s="30" t="n">
        <v>288</v>
      </c>
      <c r="D1207" s="30" t="n">
        <v>216</v>
      </c>
      <c r="E1207" s="30" t="n">
        <f aca="false">MIN(C1207,D1207)</f>
        <v>216</v>
      </c>
      <c r="F1207" s="8" t="n">
        <f aca="false">IF(D1207&gt;0,1,0)</f>
        <v>1</v>
      </c>
    </row>
    <row r="1208" customFormat="false" ht="15" hidden="false" customHeight="false" outlineLevel="0" collapsed="false">
      <c r="A1208" s="8" t="s">
        <v>2584</v>
      </c>
      <c r="B1208" s="8" t="s">
        <v>51</v>
      </c>
      <c r="C1208" s="30" t="n">
        <v>288</v>
      </c>
      <c r="D1208" s="30" t="n">
        <v>444</v>
      </c>
      <c r="E1208" s="30" t="n">
        <f aca="false">MIN(C1208,D1208)</f>
        <v>288</v>
      </c>
      <c r="F1208" s="8" t="n">
        <f aca="false">IF(D1208&gt;0,1,0)</f>
        <v>1</v>
      </c>
    </row>
    <row r="1209" customFormat="false" ht="15" hidden="false" customHeight="false" outlineLevel="0" collapsed="false">
      <c r="A1209" s="8" t="s">
        <v>3388</v>
      </c>
      <c r="B1209" s="8" t="s">
        <v>51</v>
      </c>
      <c r="C1209" s="30" t="n">
        <v>276</v>
      </c>
      <c r="D1209" s="30" t="n">
        <v>276</v>
      </c>
      <c r="E1209" s="30" t="n">
        <f aca="false">MIN(C1209,D1209)</f>
        <v>276</v>
      </c>
      <c r="F1209" s="8" t="n">
        <f aca="false">IF(D1209&gt;0,1,0)</f>
        <v>1</v>
      </c>
    </row>
    <row r="1210" customFormat="false" ht="15" hidden="false" customHeight="false" outlineLevel="0" collapsed="false">
      <c r="A1210" s="8" t="s">
        <v>3390</v>
      </c>
      <c r="B1210" s="8" t="s">
        <v>51</v>
      </c>
      <c r="C1210" s="30" t="n">
        <v>276</v>
      </c>
      <c r="D1210" s="30" t="n">
        <v>276</v>
      </c>
      <c r="E1210" s="30" t="n">
        <f aca="false">MIN(C1210,D1210)</f>
        <v>276</v>
      </c>
      <c r="F1210" s="8" t="n">
        <f aca="false">IF(D1210&gt;0,1,0)</f>
        <v>1</v>
      </c>
    </row>
    <row r="1211" customFormat="false" ht="15" hidden="false" customHeight="false" outlineLevel="0" collapsed="false">
      <c r="A1211" s="8" t="s">
        <v>4541</v>
      </c>
      <c r="B1211" s="8" t="s">
        <v>51</v>
      </c>
      <c r="C1211" s="30" t="n">
        <v>276</v>
      </c>
      <c r="D1211" s="30" t="n">
        <v>0</v>
      </c>
      <c r="E1211" s="30" t="n">
        <f aca="false">MIN(C1211,D1211)</f>
        <v>0</v>
      </c>
      <c r="F1211" s="8" t="n">
        <f aca="false">IF(D1211&gt;0,1,0)</f>
        <v>0</v>
      </c>
    </row>
    <row r="1212" customFormat="false" ht="15" hidden="false" customHeight="false" outlineLevel="0" collapsed="false">
      <c r="A1212" s="8" t="s">
        <v>4542</v>
      </c>
      <c r="B1212" s="8" t="s">
        <v>51</v>
      </c>
      <c r="C1212" s="30" t="n">
        <v>276</v>
      </c>
      <c r="D1212" s="30" t="n">
        <v>0</v>
      </c>
      <c r="E1212" s="30" t="n">
        <f aca="false">MIN(C1212,D1212)</f>
        <v>0</v>
      </c>
      <c r="F1212" s="8" t="n">
        <f aca="false">IF(D1212&gt;0,1,0)</f>
        <v>0</v>
      </c>
    </row>
    <row r="1213" customFormat="false" ht="15" hidden="false" customHeight="false" outlineLevel="0" collapsed="false">
      <c r="A1213" s="8" t="s">
        <v>3394</v>
      </c>
      <c r="B1213" s="8" t="s">
        <v>51</v>
      </c>
      <c r="C1213" s="30" t="n">
        <v>276</v>
      </c>
      <c r="D1213" s="30" t="n">
        <v>276</v>
      </c>
      <c r="E1213" s="30" t="n">
        <f aca="false">MIN(C1213,D1213)</f>
        <v>276</v>
      </c>
      <c r="F1213" s="8" t="n">
        <f aca="false">IF(D1213&gt;0,1,0)</f>
        <v>1</v>
      </c>
    </row>
    <row r="1214" customFormat="false" ht="15" hidden="false" customHeight="false" outlineLevel="0" collapsed="false">
      <c r="A1214" s="8" t="s">
        <v>2842</v>
      </c>
      <c r="B1214" s="8" t="s">
        <v>51</v>
      </c>
      <c r="C1214" s="30" t="n">
        <v>276</v>
      </c>
      <c r="D1214" s="30" t="n">
        <v>384</v>
      </c>
      <c r="E1214" s="30" t="n">
        <f aca="false">MIN(C1214,D1214)</f>
        <v>276</v>
      </c>
      <c r="F1214" s="8" t="n">
        <f aca="false">IF(D1214&gt;0,1,0)</f>
        <v>1</v>
      </c>
    </row>
    <row r="1215" customFormat="false" ht="15" hidden="false" customHeight="false" outlineLevel="0" collapsed="false">
      <c r="A1215" s="8" t="s">
        <v>4543</v>
      </c>
      <c r="B1215" s="8" t="s">
        <v>51</v>
      </c>
      <c r="C1215" s="30" t="n">
        <v>276</v>
      </c>
      <c r="D1215" s="30" t="n">
        <v>0</v>
      </c>
      <c r="E1215" s="30" t="n">
        <f aca="false">MIN(C1215,D1215)</f>
        <v>0</v>
      </c>
      <c r="F1215" s="8" t="n">
        <f aca="false">IF(D1215&gt;0,1,0)</f>
        <v>0</v>
      </c>
    </row>
    <row r="1216" customFormat="false" ht="15" hidden="false" customHeight="false" outlineLevel="0" collapsed="false">
      <c r="A1216" s="8" t="s">
        <v>2936</v>
      </c>
      <c r="B1216" s="8" t="s">
        <v>51</v>
      </c>
      <c r="C1216" s="30" t="n">
        <v>276</v>
      </c>
      <c r="D1216" s="30" t="n">
        <v>372</v>
      </c>
      <c r="E1216" s="30" t="n">
        <f aca="false">MIN(C1216,D1216)</f>
        <v>276</v>
      </c>
      <c r="F1216" s="8" t="n">
        <f aca="false">IF(D1216&gt;0,1,0)</f>
        <v>1</v>
      </c>
    </row>
    <row r="1217" customFormat="false" ht="15" hidden="false" customHeight="false" outlineLevel="0" collapsed="false">
      <c r="A1217" s="8" t="s">
        <v>3406</v>
      </c>
      <c r="B1217" s="8" t="s">
        <v>51</v>
      </c>
      <c r="C1217" s="30" t="n">
        <v>276</v>
      </c>
      <c r="D1217" s="30" t="n">
        <v>276</v>
      </c>
      <c r="E1217" s="30" t="n">
        <f aca="false">MIN(C1217,D1217)</f>
        <v>276</v>
      </c>
      <c r="F1217" s="8" t="n">
        <f aca="false">IF(D1217&gt;0,1,0)</f>
        <v>1</v>
      </c>
    </row>
    <row r="1218" customFormat="false" ht="15" hidden="false" customHeight="false" outlineLevel="0" collapsed="false">
      <c r="A1218" s="8" t="s">
        <v>2340</v>
      </c>
      <c r="B1218" s="8" t="s">
        <v>51</v>
      </c>
      <c r="C1218" s="30" t="n">
        <v>276</v>
      </c>
      <c r="D1218" s="30" t="n">
        <v>516</v>
      </c>
      <c r="E1218" s="30" t="n">
        <f aca="false">MIN(C1218,D1218)</f>
        <v>276</v>
      </c>
      <c r="F1218" s="8" t="n">
        <f aca="false">IF(D1218&gt;0,1,0)</f>
        <v>1</v>
      </c>
    </row>
    <row r="1219" customFormat="false" ht="15" hidden="false" customHeight="false" outlineLevel="0" collapsed="false">
      <c r="A1219" s="8" t="s">
        <v>4544</v>
      </c>
      <c r="B1219" s="8" t="s">
        <v>51</v>
      </c>
      <c r="C1219" s="30" t="n">
        <v>276</v>
      </c>
      <c r="D1219" s="30" t="n">
        <v>0</v>
      </c>
      <c r="E1219" s="30" t="n">
        <f aca="false">MIN(C1219,D1219)</f>
        <v>0</v>
      </c>
      <c r="F1219" s="8" t="n">
        <f aca="false">IF(D1219&gt;0,1,0)</f>
        <v>0</v>
      </c>
    </row>
    <row r="1220" customFormat="false" ht="15" hidden="false" customHeight="false" outlineLevel="0" collapsed="false">
      <c r="A1220" s="8" t="s">
        <v>3414</v>
      </c>
      <c r="B1220" s="8" t="s">
        <v>51</v>
      </c>
      <c r="C1220" s="30" t="n">
        <v>276</v>
      </c>
      <c r="D1220" s="30" t="n">
        <v>276</v>
      </c>
      <c r="E1220" s="30" t="n">
        <f aca="false">MIN(C1220,D1220)</f>
        <v>276</v>
      </c>
      <c r="F1220" s="8" t="n">
        <f aca="false">IF(D1220&gt;0,1,0)</f>
        <v>1</v>
      </c>
    </row>
    <row r="1221" customFormat="false" ht="15" hidden="false" customHeight="false" outlineLevel="0" collapsed="false">
      <c r="A1221" s="8" t="s">
        <v>3416</v>
      </c>
      <c r="B1221" s="8" t="s">
        <v>51</v>
      </c>
      <c r="C1221" s="30" t="n">
        <v>276</v>
      </c>
      <c r="D1221" s="30" t="n">
        <v>276</v>
      </c>
      <c r="E1221" s="30" t="n">
        <f aca="false">MIN(C1221,D1221)</f>
        <v>276</v>
      </c>
      <c r="F1221" s="8" t="n">
        <f aca="false">IF(D1221&gt;0,1,0)</f>
        <v>1</v>
      </c>
    </row>
    <row r="1222" customFormat="false" ht="15" hidden="false" customHeight="false" outlineLevel="0" collapsed="false">
      <c r="A1222" s="8" t="s">
        <v>3118</v>
      </c>
      <c r="B1222" s="8" t="s">
        <v>51</v>
      </c>
      <c r="C1222" s="30" t="n">
        <v>276</v>
      </c>
      <c r="D1222" s="30" t="n">
        <v>336</v>
      </c>
      <c r="E1222" s="30" t="n">
        <f aca="false">MIN(C1222,D1222)</f>
        <v>276</v>
      </c>
      <c r="F1222" s="8" t="n">
        <f aca="false">IF(D1222&gt;0,1,0)</f>
        <v>1</v>
      </c>
    </row>
    <row r="1223" customFormat="false" ht="15" hidden="false" customHeight="false" outlineLevel="0" collapsed="false">
      <c r="A1223" s="8" t="s">
        <v>3008</v>
      </c>
      <c r="B1223" s="8" t="s">
        <v>51</v>
      </c>
      <c r="C1223" s="30" t="n">
        <v>276</v>
      </c>
      <c r="D1223" s="30" t="n">
        <v>360</v>
      </c>
      <c r="E1223" s="30" t="n">
        <f aca="false">MIN(C1223,D1223)</f>
        <v>276</v>
      </c>
      <c r="F1223" s="8" t="n">
        <f aca="false">IF(D1223&gt;0,1,0)</f>
        <v>1</v>
      </c>
    </row>
    <row r="1224" customFormat="false" ht="15" hidden="false" customHeight="false" outlineLevel="0" collapsed="false">
      <c r="A1224" s="8" t="s">
        <v>4545</v>
      </c>
      <c r="B1224" s="8" t="s">
        <v>51</v>
      </c>
      <c r="C1224" s="30" t="n">
        <v>276</v>
      </c>
      <c r="D1224" s="30" t="n">
        <v>0</v>
      </c>
      <c r="E1224" s="30" t="n">
        <f aca="false">MIN(C1224,D1224)</f>
        <v>0</v>
      </c>
      <c r="F1224" s="8" t="n">
        <f aca="false">IF(D1224&gt;0,1,0)</f>
        <v>0</v>
      </c>
    </row>
    <row r="1225" customFormat="false" ht="15" hidden="false" customHeight="false" outlineLevel="0" collapsed="false">
      <c r="A1225" s="8" t="s">
        <v>3426</v>
      </c>
      <c r="B1225" s="8" t="s">
        <v>51</v>
      </c>
      <c r="C1225" s="30" t="n">
        <v>276</v>
      </c>
      <c r="D1225" s="30" t="n">
        <v>276</v>
      </c>
      <c r="E1225" s="30" t="n">
        <f aca="false">MIN(C1225,D1225)</f>
        <v>276</v>
      </c>
      <c r="F1225" s="8" t="n">
        <f aca="false">IF(D1225&gt;0,1,0)</f>
        <v>1</v>
      </c>
    </row>
    <row r="1226" customFormat="false" ht="15" hidden="false" customHeight="false" outlineLevel="0" collapsed="false">
      <c r="A1226" s="8" t="s">
        <v>4546</v>
      </c>
      <c r="B1226" s="8" t="s">
        <v>51</v>
      </c>
      <c r="C1226" s="30" t="n">
        <v>276</v>
      </c>
      <c r="D1226" s="30" t="n">
        <v>0</v>
      </c>
      <c r="E1226" s="30" t="n">
        <f aca="false">MIN(C1226,D1226)</f>
        <v>0</v>
      </c>
      <c r="F1226" s="8" t="n">
        <f aca="false">IF(D1226&gt;0,1,0)</f>
        <v>0</v>
      </c>
    </row>
    <row r="1227" customFormat="false" ht="15" hidden="false" customHeight="false" outlineLevel="0" collapsed="false">
      <c r="A1227" s="8" t="s">
        <v>3428</v>
      </c>
      <c r="B1227" s="8" t="s">
        <v>51</v>
      </c>
      <c r="C1227" s="30" t="n">
        <v>276</v>
      </c>
      <c r="D1227" s="30" t="n">
        <v>276</v>
      </c>
      <c r="E1227" s="30" t="n">
        <f aca="false">MIN(C1227,D1227)</f>
        <v>276</v>
      </c>
      <c r="F1227" s="8" t="n">
        <f aca="false">IF(D1227&gt;0,1,0)</f>
        <v>1</v>
      </c>
    </row>
    <row r="1228" customFormat="false" ht="15" hidden="false" customHeight="false" outlineLevel="0" collapsed="false">
      <c r="A1228" s="8" t="s">
        <v>3430</v>
      </c>
      <c r="B1228" s="8" t="s">
        <v>51</v>
      </c>
      <c r="C1228" s="30" t="n">
        <v>276</v>
      </c>
      <c r="D1228" s="30" t="n">
        <v>276</v>
      </c>
      <c r="E1228" s="30" t="n">
        <f aca="false">MIN(C1228,D1228)</f>
        <v>276</v>
      </c>
      <c r="F1228" s="8" t="n">
        <f aca="false">IF(D1228&gt;0,1,0)</f>
        <v>1</v>
      </c>
    </row>
    <row r="1229" customFormat="false" ht="15" hidden="false" customHeight="false" outlineLevel="0" collapsed="false">
      <c r="A1229" s="8" t="s">
        <v>4547</v>
      </c>
      <c r="B1229" s="8" t="s">
        <v>51</v>
      </c>
      <c r="C1229" s="30" t="n">
        <v>276</v>
      </c>
      <c r="D1229" s="30" t="n">
        <v>0</v>
      </c>
      <c r="E1229" s="30" t="n">
        <f aca="false">MIN(C1229,D1229)</f>
        <v>0</v>
      </c>
      <c r="F1229" s="8" t="n">
        <f aca="false">IF(D1229&gt;0,1,0)</f>
        <v>0</v>
      </c>
    </row>
    <row r="1230" customFormat="false" ht="15" hidden="false" customHeight="false" outlineLevel="0" collapsed="false">
      <c r="A1230" s="8" t="s">
        <v>3438</v>
      </c>
      <c r="B1230" s="8" t="s">
        <v>51</v>
      </c>
      <c r="C1230" s="30" t="n">
        <v>276</v>
      </c>
      <c r="D1230" s="30" t="n">
        <v>276</v>
      </c>
      <c r="E1230" s="30" t="n">
        <f aca="false">MIN(C1230,D1230)</f>
        <v>276</v>
      </c>
      <c r="F1230" s="8" t="n">
        <f aca="false">IF(D1230&gt;0,1,0)</f>
        <v>1</v>
      </c>
    </row>
    <row r="1231" customFormat="false" ht="15" hidden="false" customHeight="false" outlineLevel="0" collapsed="false">
      <c r="A1231" s="8" t="s">
        <v>3440</v>
      </c>
      <c r="B1231" s="8" t="s">
        <v>51</v>
      </c>
      <c r="C1231" s="30" t="n">
        <v>276</v>
      </c>
      <c r="D1231" s="30" t="n">
        <v>276</v>
      </c>
      <c r="E1231" s="30" t="n">
        <f aca="false">MIN(C1231,D1231)</f>
        <v>276</v>
      </c>
      <c r="F1231" s="8" t="n">
        <f aca="false">IF(D1231&gt;0,1,0)</f>
        <v>1</v>
      </c>
    </row>
    <row r="1232" customFormat="false" ht="15" hidden="false" customHeight="false" outlineLevel="0" collapsed="false">
      <c r="A1232" s="8" t="s">
        <v>3092</v>
      </c>
      <c r="B1232" s="8" t="s">
        <v>51</v>
      </c>
      <c r="C1232" s="30" t="n">
        <v>276</v>
      </c>
      <c r="D1232" s="30" t="n">
        <v>348</v>
      </c>
      <c r="E1232" s="30" t="n">
        <f aca="false">MIN(C1232,D1232)</f>
        <v>276</v>
      </c>
      <c r="F1232" s="8" t="n">
        <f aca="false">IF(D1232&gt;0,1,0)</f>
        <v>1</v>
      </c>
    </row>
    <row r="1233" customFormat="false" ht="15" hidden="false" customHeight="false" outlineLevel="0" collapsed="false">
      <c r="A1233" s="8" t="s">
        <v>3444</v>
      </c>
      <c r="B1233" s="8" t="s">
        <v>51</v>
      </c>
      <c r="C1233" s="30" t="n">
        <v>275</v>
      </c>
      <c r="D1233" s="30" t="n">
        <v>275</v>
      </c>
      <c r="E1233" s="30" t="n">
        <f aca="false">MIN(C1233,D1233)</f>
        <v>275</v>
      </c>
      <c r="F1233" s="8" t="n">
        <f aca="false">IF(D1233&gt;0,1,0)</f>
        <v>1</v>
      </c>
    </row>
    <row r="1234" customFormat="false" ht="15" hidden="false" customHeight="false" outlineLevel="0" collapsed="false">
      <c r="A1234" s="8" t="s">
        <v>2894</v>
      </c>
      <c r="B1234" s="8" t="s">
        <v>51</v>
      </c>
      <c r="C1234" s="30" t="n">
        <v>275</v>
      </c>
      <c r="D1234" s="30" t="n">
        <v>375</v>
      </c>
      <c r="E1234" s="30" t="n">
        <f aca="false">MIN(C1234,D1234)</f>
        <v>275</v>
      </c>
      <c r="F1234" s="8" t="n">
        <f aca="false">IF(D1234&gt;0,1,0)</f>
        <v>1</v>
      </c>
    </row>
    <row r="1235" customFormat="false" ht="15" hidden="false" customHeight="false" outlineLevel="0" collapsed="false">
      <c r="A1235" s="8" t="s">
        <v>3446</v>
      </c>
      <c r="B1235" s="8" t="s">
        <v>51</v>
      </c>
      <c r="C1235" s="30" t="n">
        <v>275</v>
      </c>
      <c r="D1235" s="30" t="n">
        <v>275</v>
      </c>
      <c r="E1235" s="30" t="n">
        <f aca="false">MIN(C1235,D1235)</f>
        <v>275</v>
      </c>
      <c r="F1235" s="8" t="n">
        <f aca="false">IF(D1235&gt;0,1,0)</f>
        <v>1</v>
      </c>
    </row>
    <row r="1236" customFormat="false" ht="15" hidden="false" customHeight="false" outlineLevel="0" collapsed="false">
      <c r="A1236" s="8" t="s">
        <v>3448</v>
      </c>
      <c r="B1236" s="8" t="s">
        <v>51</v>
      </c>
      <c r="C1236" s="30" t="n">
        <v>275</v>
      </c>
      <c r="D1236" s="30" t="n">
        <v>275</v>
      </c>
      <c r="E1236" s="30" t="n">
        <f aca="false">MIN(C1236,D1236)</f>
        <v>275</v>
      </c>
      <c r="F1236" s="8" t="n">
        <f aca="false">IF(D1236&gt;0,1,0)</f>
        <v>1</v>
      </c>
    </row>
    <row r="1237" customFormat="false" ht="15" hidden="false" customHeight="false" outlineLevel="0" collapsed="false">
      <c r="A1237" s="8" t="s">
        <v>3450</v>
      </c>
      <c r="B1237" s="8" t="s">
        <v>51</v>
      </c>
      <c r="C1237" s="30" t="n">
        <v>275</v>
      </c>
      <c r="D1237" s="30" t="n">
        <v>275</v>
      </c>
      <c r="E1237" s="30" t="n">
        <f aca="false">MIN(C1237,D1237)</f>
        <v>275</v>
      </c>
      <c r="F1237" s="8" t="n">
        <f aca="false">IF(D1237&gt;0,1,0)</f>
        <v>1</v>
      </c>
    </row>
    <row r="1238" customFormat="false" ht="15" hidden="false" customHeight="false" outlineLevel="0" collapsed="false">
      <c r="A1238" s="8" t="s">
        <v>3454</v>
      </c>
      <c r="B1238" s="8" t="s">
        <v>51</v>
      </c>
      <c r="C1238" s="30" t="n">
        <v>275</v>
      </c>
      <c r="D1238" s="30" t="n">
        <v>275</v>
      </c>
      <c r="E1238" s="30" t="n">
        <f aca="false">MIN(C1238,D1238)</f>
        <v>275</v>
      </c>
      <c r="F1238" s="8" t="n">
        <f aca="false">IF(D1238&gt;0,1,0)</f>
        <v>1</v>
      </c>
    </row>
    <row r="1239" customFormat="false" ht="15" hidden="false" customHeight="false" outlineLevel="0" collapsed="false">
      <c r="A1239" s="8" t="s">
        <v>3142</v>
      </c>
      <c r="B1239" s="8" t="s">
        <v>51</v>
      </c>
      <c r="C1239" s="30" t="n">
        <v>275</v>
      </c>
      <c r="D1239" s="30" t="n">
        <v>325</v>
      </c>
      <c r="E1239" s="30" t="n">
        <f aca="false">MIN(C1239,D1239)</f>
        <v>275</v>
      </c>
      <c r="F1239" s="8" t="n">
        <f aca="false">IF(D1239&gt;0,1,0)</f>
        <v>1</v>
      </c>
    </row>
    <row r="1240" customFormat="false" ht="15" hidden="false" customHeight="false" outlineLevel="0" collapsed="false">
      <c r="A1240" s="8" t="s">
        <v>4548</v>
      </c>
      <c r="B1240" s="8" t="s">
        <v>51</v>
      </c>
      <c r="C1240" s="30" t="n">
        <v>264</v>
      </c>
      <c r="D1240" s="30" t="n">
        <v>0</v>
      </c>
      <c r="E1240" s="30" t="n">
        <f aca="false">MIN(C1240,D1240)</f>
        <v>0</v>
      </c>
      <c r="F1240" s="8" t="n">
        <f aca="false">IF(D1240&gt;0,1,0)</f>
        <v>0</v>
      </c>
    </row>
    <row r="1241" customFormat="false" ht="15" hidden="false" customHeight="false" outlineLevel="0" collapsed="false">
      <c r="A1241" s="8" t="s">
        <v>3462</v>
      </c>
      <c r="B1241" s="8" t="s">
        <v>51</v>
      </c>
      <c r="C1241" s="30" t="n">
        <v>264</v>
      </c>
      <c r="D1241" s="30" t="n">
        <v>264</v>
      </c>
      <c r="E1241" s="30" t="n">
        <f aca="false">MIN(C1241,D1241)</f>
        <v>264</v>
      </c>
      <c r="F1241" s="8" t="n">
        <f aca="false">IF(D1241&gt;0,1,0)</f>
        <v>1</v>
      </c>
    </row>
    <row r="1242" customFormat="false" ht="15" hidden="false" customHeight="false" outlineLevel="0" collapsed="false">
      <c r="A1242" s="8" t="s">
        <v>3464</v>
      </c>
      <c r="B1242" s="8" t="s">
        <v>51</v>
      </c>
      <c r="C1242" s="30" t="n">
        <v>264</v>
      </c>
      <c r="D1242" s="30" t="n">
        <v>264</v>
      </c>
      <c r="E1242" s="30" t="n">
        <f aca="false">MIN(C1242,D1242)</f>
        <v>264</v>
      </c>
      <c r="F1242" s="8" t="n">
        <f aca="false">IF(D1242&gt;0,1,0)</f>
        <v>1</v>
      </c>
    </row>
    <row r="1243" customFormat="false" ht="15" hidden="false" customHeight="false" outlineLevel="0" collapsed="false">
      <c r="A1243" s="8" t="s">
        <v>3470</v>
      </c>
      <c r="B1243" s="8" t="s">
        <v>51</v>
      </c>
      <c r="C1243" s="30" t="n">
        <v>264</v>
      </c>
      <c r="D1243" s="30" t="n">
        <v>264</v>
      </c>
      <c r="E1243" s="30" t="n">
        <f aca="false">MIN(C1243,D1243)</f>
        <v>264</v>
      </c>
      <c r="F1243" s="8" t="n">
        <f aca="false">IF(D1243&gt;0,1,0)</f>
        <v>1</v>
      </c>
    </row>
    <row r="1244" customFormat="false" ht="15" hidden="false" customHeight="false" outlineLevel="0" collapsed="false">
      <c r="A1244" s="8" t="s">
        <v>2996</v>
      </c>
      <c r="B1244" s="8" t="s">
        <v>51</v>
      </c>
      <c r="C1244" s="30" t="n">
        <v>264</v>
      </c>
      <c r="D1244" s="30" t="n">
        <v>360</v>
      </c>
      <c r="E1244" s="30" t="n">
        <f aca="false">MIN(C1244,D1244)</f>
        <v>264</v>
      </c>
      <c r="F1244" s="8" t="n">
        <f aca="false">IF(D1244&gt;0,1,0)</f>
        <v>1</v>
      </c>
    </row>
    <row r="1245" customFormat="false" ht="15" hidden="false" customHeight="false" outlineLevel="0" collapsed="false">
      <c r="A1245" s="8" t="s">
        <v>3284</v>
      </c>
      <c r="B1245" s="8" t="s">
        <v>51</v>
      </c>
      <c r="C1245" s="30" t="n">
        <v>264</v>
      </c>
      <c r="D1245" s="30" t="n">
        <v>300</v>
      </c>
      <c r="E1245" s="30" t="n">
        <f aca="false">MIN(C1245,D1245)</f>
        <v>264</v>
      </c>
      <c r="F1245" s="8" t="n">
        <f aca="false">IF(D1245&gt;0,1,0)</f>
        <v>1</v>
      </c>
    </row>
    <row r="1246" customFormat="false" ht="15" hidden="false" customHeight="false" outlineLevel="0" collapsed="false">
      <c r="A1246" s="8" t="s">
        <v>3480</v>
      </c>
      <c r="B1246" s="8" t="s">
        <v>51</v>
      </c>
      <c r="C1246" s="30" t="n">
        <v>264</v>
      </c>
      <c r="D1246" s="30" t="n">
        <v>264</v>
      </c>
      <c r="E1246" s="30" t="n">
        <f aca="false">MIN(C1246,D1246)</f>
        <v>264</v>
      </c>
      <c r="F1246" s="8" t="n">
        <f aca="false">IF(D1246&gt;0,1,0)</f>
        <v>1</v>
      </c>
    </row>
    <row r="1247" customFormat="false" ht="15" hidden="false" customHeight="false" outlineLevel="0" collapsed="false">
      <c r="A1247" s="8" t="s">
        <v>3484</v>
      </c>
      <c r="B1247" s="8" t="s">
        <v>51</v>
      </c>
      <c r="C1247" s="30" t="n">
        <v>264</v>
      </c>
      <c r="D1247" s="30" t="n">
        <v>264</v>
      </c>
      <c r="E1247" s="30" t="n">
        <f aca="false">MIN(C1247,D1247)</f>
        <v>264</v>
      </c>
      <c r="F1247" s="8" t="n">
        <f aca="false">IF(D1247&gt;0,1,0)</f>
        <v>1</v>
      </c>
    </row>
    <row r="1248" customFormat="false" ht="15" hidden="false" customHeight="false" outlineLevel="0" collapsed="false">
      <c r="A1248" s="8" t="s">
        <v>4549</v>
      </c>
      <c r="B1248" s="8" t="s">
        <v>51</v>
      </c>
      <c r="C1248" s="30" t="n">
        <v>264</v>
      </c>
      <c r="D1248" s="30" t="n">
        <v>0</v>
      </c>
      <c r="E1248" s="30" t="n">
        <f aca="false">MIN(C1248,D1248)</f>
        <v>0</v>
      </c>
      <c r="F1248" s="8" t="n">
        <f aca="false">IF(D1248&gt;0,1,0)</f>
        <v>0</v>
      </c>
    </row>
    <row r="1249" customFormat="false" ht="15" hidden="false" customHeight="false" outlineLevel="0" collapsed="false">
      <c r="A1249" s="8" t="s">
        <v>4550</v>
      </c>
      <c r="B1249" s="8" t="s">
        <v>51</v>
      </c>
      <c r="C1249" s="30" t="n">
        <v>264</v>
      </c>
      <c r="D1249" s="30" t="n">
        <v>0</v>
      </c>
      <c r="E1249" s="30" t="n">
        <f aca="false">MIN(C1249,D1249)</f>
        <v>0</v>
      </c>
      <c r="F1249" s="8" t="n">
        <f aca="false">IF(D1249&gt;0,1,0)</f>
        <v>0</v>
      </c>
    </row>
    <row r="1250" customFormat="false" ht="15" hidden="false" customHeight="false" outlineLevel="0" collapsed="false">
      <c r="A1250" s="8" t="s">
        <v>3386</v>
      </c>
      <c r="B1250" s="8" t="s">
        <v>51</v>
      </c>
      <c r="C1250" s="30" t="n">
        <v>252</v>
      </c>
      <c r="D1250" s="30" t="n">
        <v>276</v>
      </c>
      <c r="E1250" s="30" t="n">
        <f aca="false">MIN(C1250,D1250)</f>
        <v>252</v>
      </c>
      <c r="F1250" s="8" t="n">
        <f aca="false">IF(D1250&gt;0,1,0)</f>
        <v>1</v>
      </c>
    </row>
    <row r="1251" customFormat="false" ht="15" hidden="false" customHeight="false" outlineLevel="0" collapsed="false">
      <c r="A1251" s="8" t="s">
        <v>3494</v>
      </c>
      <c r="B1251" s="8" t="s">
        <v>51</v>
      </c>
      <c r="C1251" s="30" t="n">
        <v>252</v>
      </c>
      <c r="D1251" s="30" t="n">
        <v>252</v>
      </c>
      <c r="E1251" s="30" t="n">
        <f aca="false">MIN(C1251,D1251)</f>
        <v>252</v>
      </c>
      <c r="F1251" s="8" t="n">
        <f aca="false">IF(D1251&gt;0,1,0)</f>
        <v>1</v>
      </c>
    </row>
    <row r="1252" customFormat="false" ht="15" hidden="false" customHeight="false" outlineLevel="0" collapsed="false">
      <c r="A1252" s="8" t="s">
        <v>4551</v>
      </c>
      <c r="B1252" s="8" t="s">
        <v>51</v>
      </c>
      <c r="C1252" s="30" t="n">
        <v>252</v>
      </c>
      <c r="D1252" s="30" t="n">
        <v>0</v>
      </c>
      <c r="E1252" s="30" t="n">
        <f aca="false">MIN(C1252,D1252)</f>
        <v>0</v>
      </c>
      <c r="F1252" s="8" t="n">
        <f aca="false">IF(D1252&gt;0,1,0)</f>
        <v>0</v>
      </c>
    </row>
    <row r="1253" customFormat="false" ht="15" hidden="false" customHeight="false" outlineLevel="0" collapsed="false">
      <c r="A1253" s="8" t="s">
        <v>3410</v>
      </c>
      <c r="B1253" s="8" t="s">
        <v>51</v>
      </c>
      <c r="C1253" s="30" t="n">
        <v>252</v>
      </c>
      <c r="D1253" s="30" t="n">
        <v>276</v>
      </c>
      <c r="E1253" s="30" t="n">
        <f aca="false">MIN(C1253,D1253)</f>
        <v>252</v>
      </c>
      <c r="F1253" s="8" t="n">
        <f aca="false">IF(D1253&gt;0,1,0)</f>
        <v>1</v>
      </c>
    </row>
    <row r="1254" customFormat="false" ht="15" hidden="false" customHeight="false" outlineLevel="0" collapsed="false">
      <c r="A1254" s="8" t="s">
        <v>4552</v>
      </c>
      <c r="B1254" s="8" t="s">
        <v>51</v>
      </c>
      <c r="C1254" s="30" t="n">
        <v>252</v>
      </c>
      <c r="D1254" s="30" t="n">
        <v>0</v>
      </c>
      <c r="E1254" s="30" t="n">
        <f aca="false">MIN(C1254,D1254)</f>
        <v>0</v>
      </c>
      <c r="F1254" s="8" t="n">
        <f aca="false">IF(D1254&gt;0,1,0)</f>
        <v>0</v>
      </c>
    </row>
    <row r="1255" customFormat="false" ht="15" hidden="false" customHeight="false" outlineLevel="0" collapsed="false">
      <c r="A1255" s="8" t="s">
        <v>4553</v>
      </c>
      <c r="B1255" s="8" t="s">
        <v>51</v>
      </c>
      <c r="C1255" s="30" t="n">
        <v>252</v>
      </c>
      <c r="D1255" s="30" t="n">
        <v>0</v>
      </c>
      <c r="E1255" s="30" t="n">
        <f aca="false">MIN(C1255,D1255)</f>
        <v>0</v>
      </c>
      <c r="F1255" s="8" t="n">
        <f aca="false">IF(D1255&gt;0,1,0)</f>
        <v>0</v>
      </c>
    </row>
    <row r="1256" customFormat="false" ht="15" hidden="false" customHeight="false" outlineLevel="0" collapsed="false">
      <c r="A1256" s="8" t="s">
        <v>3506</v>
      </c>
      <c r="B1256" s="8" t="s">
        <v>51</v>
      </c>
      <c r="C1256" s="30" t="n">
        <v>252</v>
      </c>
      <c r="D1256" s="30" t="n">
        <v>252</v>
      </c>
      <c r="E1256" s="30" t="n">
        <f aca="false">MIN(C1256,D1256)</f>
        <v>252</v>
      </c>
      <c r="F1256" s="8" t="n">
        <f aca="false">IF(D1256&gt;0,1,0)</f>
        <v>1</v>
      </c>
    </row>
    <row r="1257" customFormat="false" ht="15" hidden="false" customHeight="false" outlineLevel="0" collapsed="false">
      <c r="A1257" s="8" t="s">
        <v>3508</v>
      </c>
      <c r="B1257" s="8" t="s">
        <v>51</v>
      </c>
      <c r="C1257" s="30" t="n">
        <v>252</v>
      </c>
      <c r="D1257" s="30" t="n">
        <v>252</v>
      </c>
      <c r="E1257" s="30" t="n">
        <f aca="false">MIN(C1257,D1257)</f>
        <v>252</v>
      </c>
      <c r="F1257" s="8" t="n">
        <f aca="false">IF(D1257&gt;0,1,0)</f>
        <v>1</v>
      </c>
    </row>
    <row r="1258" customFormat="false" ht="15" hidden="false" customHeight="false" outlineLevel="0" collapsed="false">
      <c r="A1258" s="8" t="s">
        <v>3232</v>
      </c>
      <c r="B1258" s="8" t="s">
        <v>51</v>
      </c>
      <c r="C1258" s="30" t="n">
        <v>252</v>
      </c>
      <c r="D1258" s="30" t="n">
        <v>312</v>
      </c>
      <c r="E1258" s="30" t="n">
        <f aca="false">MIN(C1258,D1258)</f>
        <v>252</v>
      </c>
      <c r="F1258" s="8" t="n">
        <f aca="false">IF(D1258&gt;0,1,0)</f>
        <v>1</v>
      </c>
    </row>
    <row r="1259" customFormat="false" ht="15" hidden="false" customHeight="false" outlineLevel="0" collapsed="false">
      <c r="A1259" s="8" t="s">
        <v>3512</v>
      </c>
      <c r="B1259" s="8" t="s">
        <v>51</v>
      </c>
      <c r="C1259" s="30" t="n">
        <v>252</v>
      </c>
      <c r="D1259" s="30" t="n">
        <v>252</v>
      </c>
      <c r="E1259" s="30" t="n">
        <f aca="false">MIN(C1259,D1259)</f>
        <v>252</v>
      </c>
      <c r="F1259" s="8" t="n">
        <f aca="false">IF(D1259&gt;0,1,0)</f>
        <v>1</v>
      </c>
    </row>
    <row r="1260" customFormat="false" ht="15" hidden="false" customHeight="false" outlineLevel="0" collapsed="false">
      <c r="A1260" s="8" t="s">
        <v>3420</v>
      </c>
      <c r="B1260" s="8" t="s">
        <v>51</v>
      </c>
      <c r="C1260" s="30" t="n">
        <v>252</v>
      </c>
      <c r="D1260" s="30" t="n">
        <v>276</v>
      </c>
      <c r="E1260" s="30" t="n">
        <f aca="false">MIN(C1260,D1260)</f>
        <v>252</v>
      </c>
      <c r="F1260" s="8" t="n">
        <f aca="false">IF(D1260&gt;0,1,0)</f>
        <v>1</v>
      </c>
    </row>
    <row r="1261" customFormat="false" ht="15" hidden="false" customHeight="false" outlineLevel="0" collapsed="false">
      <c r="A1261" s="8" t="s">
        <v>2280</v>
      </c>
      <c r="B1261" s="8" t="s">
        <v>51</v>
      </c>
      <c r="C1261" s="30" t="n">
        <v>252</v>
      </c>
      <c r="D1261" s="30" t="n">
        <v>552</v>
      </c>
      <c r="E1261" s="30" t="n">
        <f aca="false">MIN(C1261,D1261)</f>
        <v>252</v>
      </c>
      <c r="F1261" s="8" t="n">
        <f aca="false">IF(D1261&gt;0,1,0)</f>
        <v>1</v>
      </c>
    </row>
    <row r="1262" customFormat="false" ht="15" hidden="false" customHeight="false" outlineLevel="0" collapsed="false">
      <c r="A1262" s="8" t="s">
        <v>3514</v>
      </c>
      <c r="B1262" s="8" t="s">
        <v>51</v>
      </c>
      <c r="C1262" s="30" t="n">
        <v>252</v>
      </c>
      <c r="D1262" s="30" t="n">
        <v>252</v>
      </c>
      <c r="E1262" s="30" t="n">
        <f aca="false">MIN(C1262,D1262)</f>
        <v>252</v>
      </c>
      <c r="F1262" s="8" t="n">
        <f aca="false">IF(D1262&gt;0,1,0)</f>
        <v>1</v>
      </c>
    </row>
    <row r="1263" customFormat="false" ht="15" hidden="false" customHeight="false" outlineLevel="0" collapsed="false">
      <c r="A1263" s="8" t="s">
        <v>3520</v>
      </c>
      <c r="B1263" s="8" t="s">
        <v>51</v>
      </c>
      <c r="C1263" s="30" t="n">
        <v>252</v>
      </c>
      <c r="D1263" s="30" t="n">
        <v>252</v>
      </c>
      <c r="E1263" s="30" t="n">
        <f aca="false">MIN(C1263,D1263)</f>
        <v>252</v>
      </c>
      <c r="F1263" s="8" t="n">
        <f aca="false">IF(D1263&gt;0,1,0)</f>
        <v>1</v>
      </c>
    </row>
    <row r="1264" customFormat="false" ht="15" hidden="false" customHeight="false" outlineLevel="0" collapsed="false">
      <c r="A1264" s="8" t="s">
        <v>4554</v>
      </c>
      <c r="B1264" s="8" t="s">
        <v>51</v>
      </c>
      <c r="C1264" s="30" t="n">
        <v>252</v>
      </c>
      <c r="D1264" s="30" t="n">
        <v>0</v>
      </c>
      <c r="E1264" s="30" t="n">
        <f aca="false">MIN(C1264,D1264)</f>
        <v>0</v>
      </c>
      <c r="F1264" s="8" t="n">
        <f aca="false">IF(D1264&gt;0,1,0)</f>
        <v>0</v>
      </c>
    </row>
    <row r="1265" customFormat="false" ht="15" hidden="false" customHeight="false" outlineLevel="0" collapsed="false">
      <c r="A1265" s="8" t="s">
        <v>3306</v>
      </c>
      <c r="B1265" s="8" t="s">
        <v>51</v>
      </c>
      <c r="C1265" s="30" t="n">
        <v>252</v>
      </c>
      <c r="D1265" s="30" t="n">
        <v>300</v>
      </c>
      <c r="E1265" s="30" t="n">
        <f aca="false">MIN(C1265,D1265)</f>
        <v>252</v>
      </c>
      <c r="F1265" s="8" t="n">
        <f aca="false">IF(D1265&gt;0,1,0)</f>
        <v>1</v>
      </c>
    </row>
    <row r="1266" customFormat="false" ht="15" hidden="false" customHeight="false" outlineLevel="0" collapsed="false">
      <c r="A1266" s="8" t="s">
        <v>3524</v>
      </c>
      <c r="B1266" s="8" t="s">
        <v>51</v>
      </c>
      <c r="C1266" s="30" t="n">
        <v>252</v>
      </c>
      <c r="D1266" s="30" t="n">
        <v>252</v>
      </c>
      <c r="E1266" s="30" t="n">
        <f aca="false">MIN(C1266,D1266)</f>
        <v>252</v>
      </c>
      <c r="F1266" s="8" t="n">
        <f aca="false">IF(D1266&gt;0,1,0)</f>
        <v>1</v>
      </c>
    </row>
    <row r="1267" customFormat="false" ht="15" hidden="false" customHeight="false" outlineLevel="0" collapsed="false">
      <c r="A1267" s="8" t="s">
        <v>4555</v>
      </c>
      <c r="B1267" s="8" t="s">
        <v>51</v>
      </c>
      <c r="C1267" s="30" t="n">
        <v>252</v>
      </c>
      <c r="D1267" s="30" t="n">
        <v>0</v>
      </c>
      <c r="E1267" s="30" t="n">
        <f aca="false">MIN(C1267,D1267)</f>
        <v>0</v>
      </c>
      <c r="F1267" s="8" t="n">
        <f aca="false">IF(D1267&gt;0,1,0)</f>
        <v>0</v>
      </c>
    </row>
    <row r="1268" customFormat="false" ht="15" hidden="false" customHeight="false" outlineLevel="0" collapsed="false">
      <c r="A1268" s="8" t="s">
        <v>3526</v>
      </c>
      <c r="B1268" s="8" t="s">
        <v>51</v>
      </c>
      <c r="C1268" s="30" t="n">
        <v>252</v>
      </c>
      <c r="D1268" s="30" t="n">
        <v>252</v>
      </c>
      <c r="E1268" s="30" t="n">
        <f aca="false">MIN(C1268,D1268)</f>
        <v>252</v>
      </c>
      <c r="F1268" s="8" t="n">
        <f aca="false">IF(D1268&gt;0,1,0)</f>
        <v>1</v>
      </c>
    </row>
    <row r="1269" customFormat="false" ht="15" hidden="false" customHeight="false" outlineLevel="0" collapsed="false">
      <c r="A1269" s="8" t="s">
        <v>4556</v>
      </c>
      <c r="B1269" s="8" t="s">
        <v>51</v>
      </c>
      <c r="C1269" s="30" t="n">
        <v>250</v>
      </c>
      <c r="D1269" s="30" t="n">
        <v>0</v>
      </c>
      <c r="E1269" s="30" t="n">
        <f aca="false">MIN(C1269,D1269)</f>
        <v>0</v>
      </c>
      <c r="F1269" s="8" t="n">
        <f aca="false">IF(D1269&gt;0,1,0)</f>
        <v>0</v>
      </c>
    </row>
    <row r="1270" customFormat="false" ht="15" hidden="false" customHeight="false" outlineLevel="0" collapsed="false">
      <c r="A1270" s="8" t="s">
        <v>3960</v>
      </c>
      <c r="B1270" s="8" t="s">
        <v>51</v>
      </c>
      <c r="C1270" s="30" t="n">
        <v>250</v>
      </c>
      <c r="D1270" s="30" t="n">
        <v>150</v>
      </c>
      <c r="E1270" s="30" t="n">
        <f aca="false">MIN(C1270,D1270)</f>
        <v>150</v>
      </c>
      <c r="F1270" s="8" t="n">
        <f aca="false">IF(D1270&gt;0,1,0)</f>
        <v>1</v>
      </c>
    </row>
    <row r="1271" customFormat="false" ht="15" hidden="false" customHeight="false" outlineLevel="0" collapsed="false">
      <c r="A1271" s="8" t="s">
        <v>3532</v>
      </c>
      <c r="B1271" s="8" t="s">
        <v>51</v>
      </c>
      <c r="C1271" s="30" t="n">
        <v>250</v>
      </c>
      <c r="D1271" s="30" t="n">
        <v>250</v>
      </c>
      <c r="E1271" s="30" t="n">
        <f aca="false">MIN(C1271,D1271)</f>
        <v>250</v>
      </c>
      <c r="F1271" s="8" t="n">
        <f aca="false">IF(D1271&gt;0,1,0)</f>
        <v>1</v>
      </c>
    </row>
    <row r="1272" customFormat="false" ht="15" hidden="false" customHeight="false" outlineLevel="0" collapsed="false">
      <c r="A1272" s="8" t="s">
        <v>3138</v>
      </c>
      <c r="B1272" s="8" t="s">
        <v>51</v>
      </c>
      <c r="C1272" s="30" t="n">
        <v>250</v>
      </c>
      <c r="D1272" s="30" t="n">
        <v>325</v>
      </c>
      <c r="E1272" s="30" t="n">
        <f aca="false">MIN(C1272,D1272)</f>
        <v>250</v>
      </c>
      <c r="F1272" s="8" t="n">
        <f aca="false">IF(D1272&gt;0,1,0)</f>
        <v>1</v>
      </c>
    </row>
    <row r="1273" customFormat="false" ht="15" hidden="false" customHeight="false" outlineLevel="0" collapsed="false">
      <c r="A1273" s="8" t="s">
        <v>3536</v>
      </c>
      <c r="B1273" s="8" t="s">
        <v>51</v>
      </c>
      <c r="C1273" s="30" t="n">
        <v>250</v>
      </c>
      <c r="D1273" s="30" t="n">
        <v>250</v>
      </c>
      <c r="E1273" s="30" t="n">
        <f aca="false">MIN(C1273,D1273)</f>
        <v>250</v>
      </c>
      <c r="F1273" s="8" t="n">
        <f aca="false">IF(D1273&gt;0,1,0)</f>
        <v>1</v>
      </c>
    </row>
    <row r="1274" customFormat="false" ht="15" hidden="false" customHeight="false" outlineLevel="0" collapsed="false">
      <c r="A1274" s="8" t="s">
        <v>2914</v>
      </c>
      <c r="B1274" s="8" t="s">
        <v>51</v>
      </c>
      <c r="C1274" s="30" t="n">
        <v>250</v>
      </c>
      <c r="D1274" s="30" t="n">
        <v>375</v>
      </c>
      <c r="E1274" s="30" t="n">
        <f aca="false">MIN(C1274,D1274)</f>
        <v>250</v>
      </c>
      <c r="F1274" s="8" t="n">
        <f aca="false">IF(D1274&gt;0,1,0)</f>
        <v>1</v>
      </c>
    </row>
    <row r="1275" customFormat="false" ht="15" hidden="false" customHeight="false" outlineLevel="0" collapsed="false">
      <c r="A1275" s="8" t="s">
        <v>3538</v>
      </c>
      <c r="B1275" s="8" t="s">
        <v>51</v>
      </c>
      <c r="C1275" s="30" t="n">
        <v>250</v>
      </c>
      <c r="D1275" s="30" t="n">
        <v>250</v>
      </c>
      <c r="E1275" s="30" t="n">
        <f aca="false">MIN(C1275,D1275)</f>
        <v>250</v>
      </c>
      <c r="F1275" s="8" t="n">
        <f aca="false">IF(D1275&gt;0,1,0)</f>
        <v>1</v>
      </c>
    </row>
    <row r="1276" customFormat="false" ht="15" hidden="false" customHeight="false" outlineLevel="0" collapsed="false">
      <c r="A1276" s="8" t="s">
        <v>4557</v>
      </c>
      <c r="B1276" s="8" t="s">
        <v>51</v>
      </c>
      <c r="C1276" s="30" t="n">
        <v>250</v>
      </c>
      <c r="D1276" s="30" t="n">
        <v>0</v>
      </c>
      <c r="E1276" s="30" t="n">
        <f aca="false">MIN(C1276,D1276)</f>
        <v>0</v>
      </c>
      <c r="F1276" s="8" t="n">
        <f aca="false">IF(D1276&gt;0,1,0)</f>
        <v>0</v>
      </c>
    </row>
    <row r="1277" customFormat="false" ht="15" hidden="false" customHeight="false" outlineLevel="0" collapsed="false">
      <c r="A1277" s="8" t="s">
        <v>3540</v>
      </c>
      <c r="B1277" s="8" t="s">
        <v>51</v>
      </c>
      <c r="C1277" s="30" t="n">
        <v>250</v>
      </c>
      <c r="D1277" s="30" t="n">
        <v>250</v>
      </c>
      <c r="E1277" s="30" t="n">
        <f aca="false">MIN(C1277,D1277)</f>
        <v>250</v>
      </c>
      <c r="F1277" s="8" t="n">
        <f aca="false">IF(D1277&gt;0,1,0)</f>
        <v>1</v>
      </c>
    </row>
    <row r="1278" customFormat="false" ht="15" hidden="false" customHeight="false" outlineLevel="0" collapsed="false">
      <c r="A1278" s="8" t="s">
        <v>3542</v>
      </c>
      <c r="B1278" s="8" t="s">
        <v>51</v>
      </c>
      <c r="C1278" s="30" t="n">
        <v>240</v>
      </c>
      <c r="D1278" s="30" t="n">
        <v>240</v>
      </c>
      <c r="E1278" s="30" t="n">
        <f aca="false">MIN(C1278,D1278)</f>
        <v>240</v>
      </c>
      <c r="F1278" s="8" t="n">
        <f aca="false">IF(D1278&gt;0,1,0)</f>
        <v>1</v>
      </c>
    </row>
    <row r="1279" customFormat="false" ht="15" hidden="false" customHeight="false" outlineLevel="0" collapsed="false">
      <c r="A1279" s="8" t="s">
        <v>3546</v>
      </c>
      <c r="B1279" s="8" t="s">
        <v>51</v>
      </c>
      <c r="C1279" s="30" t="n">
        <v>240</v>
      </c>
      <c r="D1279" s="30" t="n">
        <v>240</v>
      </c>
      <c r="E1279" s="30" t="n">
        <f aca="false">MIN(C1279,D1279)</f>
        <v>240</v>
      </c>
      <c r="F1279" s="8" t="n">
        <f aca="false">IF(D1279&gt;0,1,0)</f>
        <v>1</v>
      </c>
    </row>
    <row r="1280" customFormat="false" ht="15" hidden="false" customHeight="false" outlineLevel="0" collapsed="false">
      <c r="A1280" s="8" t="s">
        <v>4558</v>
      </c>
      <c r="B1280" s="8" t="s">
        <v>51</v>
      </c>
      <c r="C1280" s="30" t="n">
        <v>240</v>
      </c>
      <c r="D1280" s="30" t="n">
        <v>0</v>
      </c>
      <c r="E1280" s="30" t="n">
        <f aca="false">MIN(C1280,D1280)</f>
        <v>0</v>
      </c>
      <c r="F1280" s="8" t="n">
        <f aca="false">IF(D1280&gt;0,1,0)</f>
        <v>0</v>
      </c>
    </row>
    <row r="1281" customFormat="false" ht="15" hidden="false" customHeight="false" outlineLevel="0" collapsed="false">
      <c r="A1281" s="8" t="s">
        <v>3550</v>
      </c>
      <c r="B1281" s="8" t="s">
        <v>51</v>
      </c>
      <c r="C1281" s="30" t="n">
        <v>240</v>
      </c>
      <c r="D1281" s="30" t="n">
        <v>240</v>
      </c>
      <c r="E1281" s="30" t="n">
        <f aca="false">MIN(C1281,D1281)</f>
        <v>240</v>
      </c>
      <c r="F1281" s="8" t="n">
        <f aca="false">IF(D1281&gt;0,1,0)</f>
        <v>1</v>
      </c>
    </row>
    <row r="1282" customFormat="false" ht="15" hidden="false" customHeight="false" outlineLevel="0" collapsed="false">
      <c r="A1282" s="8" t="s">
        <v>3552</v>
      </c>
      <c r="B1282" s="8" t="s">
        <v>51</v>
      </c>
      <c r="C1282" s="30" t="n">
        <v>240</v>
      </c>
      <c r="D1282" s="30" t="n">
        <v>240</v>
      </c>
      <c r="E1282" s="30" t="n">
        <f aca="false">MIN(C1282,D1282)</f>
        <v>240</v>
      </c>
      <c r="F1282" s="8" t="n">
        <f aca="false">IF(D1282&gt;0,1,0)</f>
        <v>1</v>
      </c>
    </row>
    <row r="1283" customFormat="false" ht="15" hidden="false" customHeight="false" outlineLevel="0" collapsed="false">
      <c r="A1283" s="8" t="s">
        <v>3554</v>
      </c>
      <c r="B1283" s="8" t="s">
        <v>51</v>
      </c>
      <c r="C1283" s="30" t="n">
        <v>240</v>
      </c>
      <c r="D1283" s="30" t="n">
        <v>240</v>
      </c>
      <c r="E1283" s="30" t="n">
        <f aca="false">MIN(C1283,D1283)</f>
        <v>240</v>
      </c>
      <c r="F1283" s="8" t="n">
        <f aca="false">IF(D1283&gt;0,1,0)</f>
        <v>1</v>
      </c>
    </row>
    <row r="1284" customFormat="false" ht="15" hidden="false" customHeight="false" outlineLevel="0" collapsed="false">
      <c r="A1284" s="8" t="s">
        <v>3340</v>
      </c>
      <c r="B1284" s="8" t="s">
        <v>51</v>
      </c>
      <c r="C1284" s="30" t="n">
        <v>240</v>
      </c>
      <c r="D1284" s="30" t="n">
        <v>288</v>
      </c>
      <c r="E1284" s="30" t="n">
        <f aca="false">MIN(C1284,D1284)</f>
        <v>240</v>
      </c>
      <c r="F1284" s="8" t="n">
        <f aca="false">IF(D1284&gt;0,1,0)</f>
        <v>1</v>
      </c>
    </row>
    <row r="1285" customFormat="false" ht="15" hidden="false" customHeight="false" outlineLevel="0" collapsed="false">
      <c r="A1285" s="8" t="s">
        <v>3556</v>
      </c>
      <c r="B1285" s="8" t="s">
        <v>51</v>
      </c>
      <c r="C1285" s="30" t="n">
        <v>240</v>
      </c>
      <c r="D1285" s="30" t="n">
        <v>240</v>
      </c>
      <c r="E1285" s="30" t="n">
        <f aca="false">MIN(C1285,D1285)</f>
        <v>240</v>
      </c>
      <c r="F1285" s="8" t="n">
        <f aca="false">IF(D1285&gt;0,1,0)</f>
        <v>1</v>
      </c>
    </row>
    <row r="1286" customFormat="false" ht="15" hidden="false" customHeight="false" outlineLevel="0" collapsed="false">
      <c r="A1286" s="8" t="s">
        <v>3562</v>
      </c>
      <c r="B1286" s="8" t="s">
        <v>51</v>
      </c>
      <c r="C1286" s="30" t="n">
        <v>240</v>
      </c>
      <c r="D1286" s="30" t="n">
        <v>240</v>
      </c>
      <c r="E1286" s="30" t="n">
        <f aca="false">MIN(C1286,D1286)</f>
        <v>240</v>
      </c>
      <c r="F1286" s="8" t="n">
        <f aca="false">IF(D1286&gt;0,1,0)</f>
        <v>1</v>
      </c>
    </row>
    <row r="1287" customFormat="false" ht="15" hidden="false" customHeight="false" outlineLevel="0" collapsed="false">
      <c r="A1287" s="8" t="s">
        <v>3564</v>
      </c>
      <c r="B1287" s="8" t="s">
        <v>51</v>
      </c>
      <c r="C1287" s="30" t="n">
        <v>240</v>
      </c>
      <c r="D1287" s="30" t="n">
        <v>240</v>
      </c>
      <c r="E1287" s="30" t="n">
        <f aca="false">MIN(C1287,D1287)</f>
        <v>240</v>
      </c>
      <c r="F1287" s="8" t="n">
        <f aca="false">IF(D1287&gt;0,1,0)</f>
        <v>1</v>
      </c>
    </row>
    <row r="1288" customFormat="false" ht="15" hidden="false" customHeight="false" outlineLevel="0" collapsed="false">
      <c r="A1288" s="8" t="s">
        <v>3182</v>
      </c>
      <c r="B1288" s="8" t="s">
        <v>51</v>
      </c>
      <c r="C1288" s="30" t="n">
        <v>240</v>
      </c>
      <c r="D1288" s="30" t="n">
        <v>324</v>
      </c>
      <c r="E1288" s="30" t="n">
        <f aca="false">MIN(C1288,D1288)</f>
        <v>240</v>
      </c>
      <c r="F1288" s="8" t="n">
        <f aca="false">IF(D1288&gt;0,1,0)</f>
        <v>1</v>
      </c>
    </row>
    <row r="1289" customFormat="false" ht="15" hidden="false" customHeight="false" outlineLevel="0" collapsed="false">
      <c r="A1289" s="8" t="s">
        <v>3572</v>
      </c>
      <c r="B1289" s="8" t="s">
        <v>51</v>
      </c>
      <c r="C1289" s="30" t="n">
        <v>240</v>
      </c>
      <c r="D1289" s="30" t="n">
        <v>240</v>
      </c>
      <c r="E1289" s="30" t="n">
        <f aca="false">MIN(C1289,D1289)</f>
        <v>240</v>
      </c>
      <c r="F1289" s="8" t="n">
        <f aca="false">IF(D1289&gt;0,1,0)</f>
        <v>1</v>
      </c>
    </row>
    <row r="1290" customFormat="false" ht="15" hidden="false" customHeight="false" outlineLevel="0" collapsed="false">
      <c r="A1290" s="8" t="s">
        <v>3574</v>
      </c>
      <c r="B1290" s="8" t="s">
        <v>51</v>
      </c>
      <c r="C1290" s="30" t="n">
        <v>240</v>
      </c>
      <c r="D1290" s="30" t="n">
        <v>240</v>
      </c>
      <c r="E1290" s="30" t="n">
        <f aca="false">MIN(C1290,D1290)</f>
        <v>240</v>
      </c>
      <c r="F1290" s="8" t="n">
        <f aca="false">IF(D1290&gt;0,1,0)</f>
        <v>1</v>
      </c>
    </row>
    <row r="1291" customFormat="false" ht="15" hidden="false" customHeight="false" outlineLevel="0" collapsed="false">
      <c r="A1291" s="8" t="s">
        <v>3580</v>
      </c>
      <c r="B1291" s="8" t="s">
        <v>51</v>
      </c>
      <c r="C1291" s="30" t="n">
        <v>240</v>
      </c>
      <c r="D1291" s="30" t="n">
        <v>240</v>
      </c>
      <c r="E1291" s="30" t="n">
        <f aca="false">MIN(C1291,D1291)</f>
        <v>240</v>
      </c>
      <c r="F1291" s="8" t="n">
        <f aca="false">IF(D1291&gt;0,1,0)</f>
        <v>1</v>
      </c>
    </row>
    <row r="1292" customFormat="false" ht="15" hidden="false" customHeight="false" outlineLevel="0" collapsed="false">
      <c r="A1292" s="8" t="s">
        <v>3188</v>
      </c>
      <c r="B1292" s="8" t="s">
        <v>51</v>
      </c>
      <c r="C1292" s="30" t="n">
        <v>240</v>
      </c>
      <c r="D1292" s="30" t="n">
        <v>324</v>
      </c>
      <c r="E1292" s="30" t="n">
        <f aca="false">MIN(C1292,D1292)</f>
        <v>240</v>
      </c>
      <c r="F1292" s="8" t="n">
        <f aca="false">IF(D1292&gt;0,1,0)</f>
        <v>1</v>
      </c>
    </row>
    <row r="1293" customFormat="false" ht="15" hidden="false" customHeight="false" outlineLevel="0" collapsed="false">
      <c r="A1293" s="8" t="s">
        <v>4559</v>
      </c>
      <c r="B1293" s="8" t="s">
        <v>51</v>
      </c>
      <c r="C1293" s="30" t="n">
        <v>240</v>
      </c>
      <c r="D1293" s="30" t="n">
        <v>0</v>
      </c>
      <c r="E1293" s="30" t="n">
        <f aca="false">MIN(C1293,D1293)</f>
        <v>0</v>
      </c>
      <c r="F1293" s="8" t="n">
        <f aca="false">IF(D1293&gt;0,1,0)</f>
        <v>0</v>
      </c>
    </row>
    <row r="1294" customFormat="false" ht="15" hidden="false" customHeight="false" outlineLevel="0" collapsed="false">
      <c r="A1294" s="8" t="s">
        <v>3582</v>
      </c>
      <c r="B1294" s="8" t="s">
        <v>51</v>
      </c>
      <c r="C1294" s="30" t="n">
        <v>240</v>
      </c>
      <c r="D1294" s="30" t="n">
        <v>240</v>
      </c>
      <c r="E1294" s="30" t="n">
        <f aca="false">MIN(C1294,D1294)</f>
        <v>240</v>
      </c>
      <c r="F1294" s="8" t="n">
        <f aca="false">IF(D1294&gt;0,1,0)</f>
        <v>1</v>
      </c>
    </row>
    <row r="1295" customFormat="false" ht="15" hidden="false" customHeight="false" outlineLevel="0" collapsed="false">
      <c r="A1295" s="8" t="s">
        <v>3774</v>
      </c>
      <c r="B1295" s="8" t="s">
        <v>51</v>
      </c>
      <c r="C1295" s="30" t="n">
        <v>240</v>
      </c>
      <c r="D1295" s="30" t="n">
        <v>192</v>
      </c>
      <c r="E1295" s="30" t="n">
        <f aca="false">MIN(C1295,D1295)</f>
        <v>192</v>
      </c>
      <c r="F1295" s="8" t="n">
        <f aca="false">IF(D1295&gt;0,1,0)</f>
        <v>1</v>
      </c>
    </row>
    <row r="1296" customFormat="false" ht="15" hidden="false" customHeight="false" outlineLevel="0" collapsed="false">
      <c r="A1296" s="8" t="s">
        <v>3196</v>
      </c>
      <c r="B1296" s="8" t="s">
        <v>51</v>
      </c>
      <c r="C1296" s="30" t="n">
        <v>240</v>
      </c>
      <c r="D1296" s="30" t="n">
        <v>324</v>
      </c>
      <c r="E1296" s="30" t="n">
        <f aca="false">MIN(C1296,D1296)</f>
        <v>240</v>
      </c>
      <c r="F1296" s="8" t="n">
        <f aca="false">IF(D1296&gt;0,1,0)</f>
        <v>1</v>
      </c>
    </row>
    <row r="1297" customFormat="false" ht="15" hidden="false" customHeight="false" outlineLevel="0" collapsed="false">
      <c r="A1297" s="8" t="s">
        <v>3586</v>
      </c>
      <c r="B1297" s="8" t="s">
        <v>51</v>
      </c>
      <c r="C1297" s="30" t="n">
        <v>228</v>
      </c>
      <c r="D1297" s="30" t="n">
        <v>228</v>
      </c>
      <c r="E1297" s="30" t="n">
        <f aca="false">MIN(C1297,D1297)</f>
        <v>228</v>
      </c>
      <c r="F1297" s="8" t="n">
        <f aca="false">IF(D1297&gt;0,1,0)</f>
        <v>1</v>
      </c>
    </row>
    <row r="1298" customFormat="false" ht="15" hidden="false" customHeight="false" outlineLevel="0" collapsed="false">
      <c r="A1298" s="8" t="s">
        <v>3600</v>
      </c>
      <c r="B1298" s="8" t="s">
        <v>51</v>
      </c>
      <c r="C1298" s="30" t="n">
        <v>228</v>
      </c>
      <c r="D1298" s="30" t="n">
        <v>228</v>
      </c>
      <c r="E1298" s="30" t="n">
        <f aca="false">MIN(C1298,D1298)</f>
        <v>228</v>
      </c>
      <c r="F1298" s="8" t="n">
        <f aca="false">IF(D1298&gt;0,1,0)</f>
        <v>1</v>
      </c>
    </row>
    <row r="1299" customFormat="false" ht="15" hidden="false" customHeight="false" outlineLevel="0" collapsed="false">
      <c r="A1299" s="8" t="s">
        <v>3396</v>
      </c>
      <c r="B1299" s="8" t="s">
        <v>51</v>
      </c>
      <c r="C1299" s="30" t="n">
        <v>228</v>
      </c>
      <c r="D1299" s="30" t="n">
        <v>276</v>
      </c>
      <c r="E1299" s="30" t="n">
        <f aca="false">MIN(C1299,D1299)</f>
        <v>228</v>
      </c>
      <c r="F1299" s="8" t="n">
        <f aca="false">IF(D1299&gt;0,1,0)</f>
        <v>1</v>
      </c>
    </row>
    <row r="1300" customFormat="false" ht="15" hidden="false" customHeight="false" outlineLevel="0" collapsed="false">
      <c r="A1300" s="8" t="s">
        <v>3602</v>
      </c>
      <c r="B1300" s="8" t="s">
        <v>51</v>
      </c>
      <c r="C1300" s="30" t="n">
        <v>228</v>
      </c>
      <c r="D1300" s="30" t="n">
        <v>228</v>
      </c>
      <c r="E1300" s="30" t="n">
        <f aca="false">MIN(C1300,D1300)</f>
        <v>228</v>
      </c>
      <c r="F1300" s="8" t="n">
        <f aca="false">IF(D1300&gt;0,1,0)</f>
        <v>1</v>
      </c>
    </row>
    <row r="1301" customFormat="false" ht="15" hidden="false" customHeight="false" outlineLevel="0" collapsed="false">
      <c r="A1301" s="8" t="s">
        <v>3604</v>
      </c>
      <c r="B1301" s="8" t="s">
        <v>51</v>
      </c>
      <c r="C1301" s="30" t="n">
        <v>228</v>
      </c>
      <c r="D1301" s="30" t="n">
        <v>228</v>
      </c>
      <c r="E1301" s="30" t="n">
        <f aca="false">MIN(C1301,D1301)</f>
        <v>228</v>
      </c>
      <c r="F1301" s="8" t="n">
        <f aca="false">IF(D1301&gt;0,1,0)</f>
        <v>1</v>
      </c>
    </row>
    <row r="1302" customFormat="false" ht="15" hidden="false" customHeight="false" outlineLevel="0" collapsed="false">
      <c r="A1302" s="8" t="s">
        <v>4560</v>
      </c>
      <c r="B1302" s="8" t="s">
        <v>51</v>
      </c>
      <c r="C1302" s="30" t="n">
        <v>228</v>
      </c>
      <c r="D1302" s="30" t="n">
        <v>0</v>
      </c>
      <c r="E1302" s="30" t="n">
        <f aca="false">MIN(C1302,D1302)</f>
        <v>0</v>
      </c>
      <c r="F1302" s="8" t="n">
        <f aca="false">IF(D1302&gt;0,1,0)</f>
        <v>0</v>
      </c>
    </row>
    <row r="1303" customFormat="false" ht="15" hidden="false" customHeight="false" outlineLevel="0" collapsed="false">
      <c r="A1303" s="8" t="s">
        <v>3472</v>
      </c>
      <c r="B1303" s="8" t="s">
        <v>51</v>
      </c>
      <c r="C1303" s="30" t="n">
        <v>228</v>
      </c>
      <c r="D1303" s="30" t="n">
        <v>264</v>
      </c>
      <c r="E1303" s="30" t="n">
        <f aca="false">MIN(C1303,D1303)</f>
        <v>228</v>
      </c>
      <c r="F1303" s="8" t="n">
        <f aca="false">IF(D1303&gt;0,1,0)</f>
        <v>1</v>
      </c>
    </row>
    <row r="1304" customFormat="false" ht="15" hidden="false" customHeight="false" outlineLevel="0" collapsed="false">
      <c r="A1304" s="8" t="s">
        <v>4561</v>
      </c>
      <c r="B1304" s="8" t="s">
        <v>51</v>
      </c>
      <c r="C1304" s="30" t="n">
        <v>228</v>
      </c>
      <c r="D1304" s="30" t="n">
        <v>0</v>
      </c>
      <c r="E1304" s="30" t="n">
        <f aca="false">MIN(C1304,D1304)</f>
        <v>0</v>
      </c>
      <c r="F1304" s="8" t="n">
        <f aca="false">IF(D1304&gt;0,1,0)</f>
        <v>0</v>
      </c>
    </row>
    <row r="1305" customFormat="false" ht="15" hidden="false" customHeight="false" outlineLevel="0" collapsed="false">
      <c r="A1305" s="8" t="s">
        <v>3614</v>
      </c>
      <c r="B1305" s="8" t="s">
        <v>51</v>
      </c>
      <c r="C1305" s="30" t="n">
        <v>228</v>
      </c>
      <c r="D1305" s="30" t="n">
        <v>228</v>
      </c>
      <c r="E1305" s="30" t="n">
        <f aca="false">MIN(C1305,D1305)</f>
        <v>228</v>
      </c>
      <c r="F1305" s="8" t="n">
        <f aca="false">IF(D1305&gt;0,1,0)</f>
        <v>1</v>
      </c>
    </row>
    <row r="1306" customFormat="false" ht="15" hidden="false" customHeight="false" outlineLevel="0" collapsed="false">
      <c r="A1306" s="8" t="s">
        <v>3476</v>
      </c>
      <c r="B1306" s="8" t="s">
        <v>51</v>
      </c>
      <c r="C1306" s="30" t="n">
        <v>228</v>
      </c>
      <c r="D1306" s="30" t="n">
        <v>264</v>
      </c>
      <c r="E1306" s="30" t="n">
        <f aca="false">MIN(C1306,D1306)</f>
        <v>228</v>
      </c>
      <c r="F1306" s="8" t="n">
        <f aca="false">IF(D1306&gt;0,1,0)</f>
        <v>1</v>
      </c>
    </row>
    <row r="1307" customFormat="false" ht="15" hidden="false" customHeight="false" outlineLevel="0" collapsed="false">
      <c r="A1307" s="8" t="s">
        <v>3616</v>
      </c>
      <c r="B1307" s="8" t="s">
        <v>51</v>
      </c>
      <c r="C1307" s="30" t="n">
        <v>228</v>
      </c>
      <c r="D1307" s="30" t="n">
        <v>228</v>
      </c>
      <c r="E1307" s="30" t="n">
        <f aca="false">MIN(C1307,D1307)</f>
        <v>228</v>
      </c>
      <c r="F1307" s="8" t="n">
        <f aca="false">IF(D1307&gt;0,1,0)</f>
        <v>1</v>
      </c>
    </row>
    <row r="1308" customFormat="false" ht="15" hidden="false" customHeight="false" outlineLevel="0" collapsed="false">
      <c r="A1308" s="8" t="s">
        <v>3250</v>
      </c>
      <c r="B1308" s="8" t="s">
        <v>51</v>
      </c>
      <c r="C1308" s="30" t="n">
        <v>225</v>
      </c>
      <c r="D1308" s="30" t="n">
        <v>300</v>
      </c>
      <c r="E1308" s="30" t="n">
        <f aca="false">MIN(C1308,D1308)</f>
        <v>225</v>
      </c>
      <c r="F1308" s="8" t="n">
        <f aca="false">IF(D1308&gt;0,1,0)</f>
        <v>1</v>
      </c>
    </row>
    <row r="1309" customFormat="false" ht="15" hidden="false" customHeight="false" outlineLevel="0" collapsed="false">
      <c r="A1309" s="8" t="s">
        <v>3528</v>
      </c>
      <c r="B1309" s="8" t="s">
        <v>51</v>
      </c>
      <c r="C1309" s="30" t="n">
        <v>225</v>
      </c>
      <c r="D1309" s="30" t="n">
        <v>250</v>
      </c>
      <c r="E1309" s="30" t="n">
        <f aca="false">MIN(C1309,D1309)</f>
        <v>225</v>
      </c>
      <c r="F1309" s="8" t="n">
        <f aca="false">IF(D1309&gt;0,1,0)</f>
        <v>1</v>
      </c>
    </row>
    <row r="1310" customFormat="false" ht="15" hidden="false" customHeight="false" outlineLevel="0" collapsed="false">
      <c r="A1310" s="8" t="s">
        <v>3956</v>
      </c>
      <c r="B1310" s="8" t="s">
        <v>51</v>
      </c>
      <c r="C1310" s="30" t="n">
        <v>225</v>
      </c>
      <c r="D1310" s="30" t="n">
        <v>150</v>
      </c>
      <c r="E1310" s="30" t="n">
        <f aca="false">MIN(C1310,D1310)</f>
        <v>150</v>
      </c>
      <c r="F1310" s="8" t="n">
        <f aca="false">IF(D1310&gt;0,1,0)</f>
        <v>1</v>
      </c>
    </row>
    <row r="1311" customFormat="false" ht="15" hidden="false" customHeight="false" outlineLevel="0" collapsed="false">
      <c r="A1311" s="8" t="s">
        <v>4562</v>
      </c>
      <c r="B1311" s="8" t="s">
        <v>51</v>
      </c>
      <c r="C1311" s="30" t="n">
        <v>225</v>
      </c>
      <c r="D1311" s="30" t="n">
        <v>0</v>
      </c>
      <c r="E1311" s="30" t="n">
        <f aca="false">MIN(C1311,D1311)</f>
        <v>0</v>
      </c>
      <c r="F1311" s="8" t="n">
        <f aca="false">IF(D1311&gt;0,1,0)</f>
        <v>0</v>
      </c>
    </row>
    <row r="1312" customFormat="false" ht="15" hidden="false" customHeight="false" outlineLevel="0" collapsed="false">
      <c r="A1312" s="8" t="s">
        <v>3630</v>
      </c>
      <c r="B1312" s="8" t="s">
        <v>51</v>
      </c>
      <c r="C1312" s="30" t="n">
        <v>225</v>
      </c>
      <c r="D1312" s="30" t="n">
        <v>225</v>
      </c>
      <c r="E1312" s="30" t="n">
        <f aca="false">MIN(C1312,D1312)</f>
        <v>225</v>
      </c>
      <c r="F1312" s="8" t="n">
        <f aca="false">IF(D1312&gt;0,1,0)</f>
        <v>1</v>
      </c>
    </row>
    <row r="1313" customFormat="false" ht="15" hidden="false" customHeight="false" outlineLevel="0" collapsed="false">
      <c r="A1313" s="8" t="s">
        <v>3968</v>
      </c>
      <c r="B1313" s="8" t="s">
        <v>51</v>
      </c>
      <c r="C1313" s="30" t="n">
        <v>225</v>
      </c>
      <c r="D1313" s="30" t="n">
        <v>150</v>
      </c>
      <c r="E1313" s="30" t="n">
        <f aca="false">MIN(C1313,D1313)</f>
        <v>150</v>
      </c>
      <c r="F1313" s="8" t="n">
        <f aca="false">IF(D1313&gt;0,1,0)</f>
        <v>1</v>
      </c>
    </row>
    <row r="1314" customFormat="false" ht="15" hidden="false" customHeight="false" outlineLevel="0" collapsed="false">
      <c r="A1314" s="8" t="s">
        <v>3636</v>
      </c>
      <c r="B1314" s="8" t="s">
        <v>51</v>
      </c>
      <c r="C1314" s="30" t="n">
        <v>225</v>
      </c>
      <c r="D1314" s="30" t="n">
        <v>225</v>
      </c>
      <c r="E1314" s="30" t="n">
        <f aca="false">MIN(C1314,D1314)</f>
        <v>225</v>
      </c>
      <c r="F1314" s="8" t="n">
        <f aca="false">IF(D1314&gt;0,1,0)</f>
        <v>1</v>
      </c>
    </row>
    <row r="1315" customFormat="false" ht="15" hidden="false" customHeight="false" outlineLevel="0" collapsed="false">
      <c r="A1315" s="8" t="s">
        <v>3644</v>
      </c>
      <c r="B1315" s="8" t="s">
        <v>51</v>
      </c>
      <c r="C1315" s="30" t="n">
        <v>225</v>
      </c>
      <c r="D1315" s="30" t="n">
        <v>225</v>
      </c>
      <c r="E1315" s="30" t="n">
        <f aca="false">MIN(C1315,D1315)</f>
        <v>225</v>
      </c>
      <c r="F1315" s="8" t="n">
        <f aca="false">IF(D1315&gt;0,1,0)</f>
        <v>1</v>
      </c>
    </row>
    <row r="1316" customFormat="false" ht="15" hidden="false" customHeight="false" outlineLevel="0" collapsed="false">
      <c r="A1316" s="8" t="s">
        <v>4563</v>
      </c>
      <c r="B1316" s="8" t="s">
        <v>51</v>
      </c>
      <c r="C1316" s="30" t="n">
        <v>225</v>
      </c>
      <c r="D1316" s="30" t="n">
        <v>0</v>
      </c>
      <c r="E1316" s="30" t="n">
        <f aca="false">MIN(C1316,D1316)</f>
        <v>0</v>
      </c>
      <c r="F1316" s="8" t="n">
        <f aca="false">IF(D1316&gt;0,1,0)</f>
        <v>0</v>
      </c>
    </row>
    <row r="1317" customFormat="false" ht="15" hidden="false" customHeight="false" outlineLevel="0" collapsed="false">
      <c r="A1317" s="8" t="s">
        <v>2918</v>
      </c>
      <c r="B1317" s="8" t="s">
        <v>51</v>
      </c>
      <c r="C1317" s="30" t="n">
        <v>216</v>
      </c>
      <c r="D1317" s="30" t="n">
        <v>372</v>
      </c>
      <c r="E1317" s="30" t="n">
        <f aca="false">MIN(C1317,D1317)</f>
        <v>216</v>
      </c>
      <c r="F1317" s="8" t="n">
        <f aca="false">IF(D1317&gt;0,1,0)</f>
        <v>1</v>
      </c>
    </row>
    <row r="1318" customFormat="false" ht="15" hidden="false" customHeight="false" outlineLevel="0" collapsed="false">
      <c r="A1318" s="8" t="s">
        <v>4564</v>
      </c>
      <c r="B1318" s="8" t="s">
        <v>51</v>
      </c>
      <c r="C1318" s="30" t="n">
        <v>216</v>
      </c>
      <c r="D1318" s="30" t="n">
        <v>0</v>
      </c>
      <c r="E1318" s="30" t="n">
        <f aca="false">MIN(C1318,D1318)</f>
        <v>0</v>
      </c>
      <c r="F1318" s="8" t="n">
        <f aca="false">IF(D1318&gt;0,1,0)</f>
        <v>0</v>
      </c>
    </row>
    <row r="1319" customFormat="false" ht="15" hidden="false" customHeight="false" outlineLevel="0" collapsed="false">
      <c r="A1319" s="8" t="s">
        <v>3646</v>
      </c>
      <c r="B1319" s="8" t="s">
        <v>51</v>
      </c>
      <c r="C1319" s="30" t="n">
        <v>216</v>
      </c>
      <c r="D1319" s="30" t="n">
        <v>216</v>
      </c>
      <c r="E1319" s="30" t="n">
        <f aca="false">MIN(C1319,D1319)</f>
        <v>216</v>
      </c>
      <c r="F1319" s="8" t="n">
        <f aca="false">IF(D1319&gt;0,1,0)</f>
        <v>1</v>
      </c>
    </row>
    <row r="1320" customFormat="false" ht="15" hidden="false" customHeight="false" outlineLevel="0" collapsed="false">
      <c r="A1320" s="8" t="s">
        <v>4565</v>
      </c>
      <c r="B1320" s="8" t="s">
        <v>51</v>
      </c>
      <c r="C1320" s="30" t="n">
        <v>216</v>
      </c>
      <c r="D1320" s="30" t="n">
        <v>0</v>
      </c>
      <c r="E1320" s="30" t="n">
        <f aca="false">MIN(C1320,D1320)</f>
        <v>0</v>
      </c>
      <c r="F1320" s="8" t="n">
        <f aca="false">IF(D1320&gt;0,1,0)</f>
        <v>0</v>
      </c>
    </row>
    <row r="1321" customFormat="false" ht="15" hidden="false" customHeight="false" outlineLevel="0" collapsed="false">
      <c r="A1321" s="8" t="s">
        <v>3650</v>
      </c>
      <c r="B1321" s="8" t="s">
        <v>51</v>
      </c>
      <c r="C1321" s="30" t="n">
        <v>216</v>
      </c>
      <c r="D1321" s="30" t="n">
        <v>216</v>
      </c>
      <c r="E1321" s="30" t="n">
        <f aca="false">MIN(C1321,D1321)</f>
        <v>216</v>
      </c>
      <c r="F1321" s="8" t="n">
        <f aca="false">IF(D1321&gt;0,1,0)</f>
        <v>1</v>
      </c>
    </row>
    <row r="1322" customFormat="false" ht="15" hidden="false" customHeight="false" outlineLevel="0" collapsed="false">
      <c r="A1322" s="8" t="s">
        <v>3656</v>
      </c>
      <c r="B1322" s="8" t="s">
        <v>51</v>
      </c>
      <c r="C1322" s="30" t="n">
        <v>216</v>
      </c>
      <c r="D1322" s="30" t="n">
        <v>216</v>
      </c>
      <c r="E1322" s="30" t="n">
        <f aca="false">MIN(C1322,D1322)</f>
        <v>216</v>
      </c>
      <c r="F1322" s="8" t="n">
        <f aca="false">IF(D1322&gt;0,1,0)</f>
        <v>1</v>
      </c>
    </row>
    <row r="1323" customFormat="false" ht="15" hidden="false" customHeight="false" outlineLevel="0" collapsed="false">
      <c r="A1323" s="8" t="s">
        <v>3466</v>
      </c>
      <c r="B1323" s="8" t="s">
        <v>51</v>
      </c>
      <c r="C1323" s="30" t="n">
        <v>216</v>
      </c>
      <c r="D1323" s="30" t="n">
        <v>264</v>
      </c>
      <c r="E1323" s="30" t="n">
        <f aca="false">MIN(C1323,D1323)</f>
        <v>216</v>
      </c>
      <c r="F1323" s="8" t="n">
        <f aca="false">IF(D1323&gt;0,1,0)</f>
        <v>1</v>
      </c>
    </row>
    <row r="1324" customFormat="false" ht="15" hidden="false" customHeight="false" outlineLevel="0" collapsed="false">
      <c r="A1324" s="8" t="s">
        <v>3660</v>
      </c>
      <c r="B1324" s="8" t="s">
        <v>51</v>
      </c>
      <c r="C1324" s="30" t="n">
        <v>216</v>
      </c>
      <c r="D1324" s="30" t="n">
        <v>216</v>
      </c>
      <c r="E1324" s="30" t="n">
        <f aca="false">MIN(C1324,D1324)</f>
        <v>216</v>
      </c>
      <c r="F1324" s="8" t="n">
        <f aca="false">IF(D1324&gt;0,1,0)</f>
        <v>1</v>
      </c>
    </row>
    <row r="1325" customFormat="false" ht="15" hidden="false" customHeight="false" outlineLevel="0" collapsed="false">
      <c r="A1325" s="8" t="s">
        <v>3664</v>
      </c>
      <c r="B1325" s="8" t="s">
        <v>51</v>
      </c>
      <c r="C1325" s="30" t="n">
        <v>216</v>
      </c>
      <c r="D1325" s="30" t="n">
        <v>216</v>
      </c>
      <c r="E1325" s="30" t="n">
        <f aca="false">MIN(C1325,D1325)</f>
        <v>216</v>
      </c>
      <c r="F1325" s="8" t="n">
        <f aca="false">IF(D1325&gt;0,1,0)</f>
        <v>1</v>
      </c>
    </row>
    <row r="1326" customFormat="false" ht="15" hidden="false" customHeight="false" outlineLevel="0" collapsed="false">
      <c r="A1326" s="8" t="s">
        <v>3666</v>
      </c>
      <c r="B1326" s="8" t="s">
        <v>51</v>
      </c>
      <c r="C1326" s="30" t="n">
        <v>216</v>
      </c>
      <c r="D1326" s="30" t="n">
        <v>216</v>
      </c>
      <c r="E1326" s="30" t="n">
        <f aca="false">MIN(C1326,D1326)</f>
        <v>216</v>
      </c>
      <c r="F1326" s="8" t="n">
        <f aca="false">IF(D1326&gt;0,1,0)</f>
        <v>1</v>
      </c>
    </row>
    <row r="1327" customFormat="false" ht="15" hidden="false" customHeight="false" outlineLevel="0" collapsed="false">
      <c r="A1327" s="8" t="s">
        <v>3400</v>
      </c>
      <c r="B1327" s="8" t="s">
        <v>51</v>
      </c>
      <c r="C1327" s="30" t="n">
        <v>216</v>
      </c>
      <c r="D1327" s="30" t="n">
        <v>276</v>
      </c>
      <c r="E1327" s="30" t="n">
        <f aca="false">MIN(C1327,D1327)</f>
        <v>216</v>
      </c>
      <c r="F1327" s="8" t="n">
        <f aca="false">IF(D1327&gt;0,1,0)</f>
        <v>1</v>
      </c>
    </row>
    <row r="1328" customFormat="false" ht="15" hidden="false" customHeight="false" outlineLevel="0" collapsed="false">
      <c r="A1328" s="8" t="s">
        <v>4566</v>
      </c>
      <c r="B1328" s="8" t="s">
        <v>51</v>
      </c>
      <c r="C1328" s="30" t="n">
        <v>216</v>
      </c>
      <c r="D1328" s="30" t="n">
        <v>0</v>
      </c>
      <c r="E1328" s="30" t="n">
        <f aca="false">MIN(C1328,D1328)</f>
        <v>0</v>
      </c>
      <c r="F1328" s="8" t="n">
        <f aca="false">IF(D1328&gt;0,1,0)</f>
        <v>0</v>
      </c>
    </row>
    <row r="1329" customFormat="false" ht="15" hidden="false" customHeight="false" outlineLevel="0" collapsed="false">
      <c r="A1329" s="8" t="s">
        <v>3668</v>
      </c>
      <c r="B1329" s="8" t="s">
        <v>51</v>
      </c>
      <c r="C1329" s="30" t="n">
        <v>216</v>
      </c>
      <c r="D1329" s="30" t="n">
        <v>216</v>
      </c>
      <c r="E1329" s="30" t="n">
        <f aca="false">MIN(C1329,D1329)</f>
        <v>216</v>
      </c>
      <c r="F1329" s="8" t="n">
        <f aca="false">IF(D1329&gt;0,1,0)</f>
        <v>1</v>
      </c>
    </row>
    <row r="1330" customFormat="false" ht="15" hidden="false" customHeight="false" outlineLevel="0" collapsed="false">
      <c r="A1330" s="8" t="s">
        <v>3670</v>
      </c>
      <c r="B1330" s="8" t="s">
        <v>51</v>
      </c>
      <c r="C1330" s="30" t="n">
        <v>216</v>
      </c>
      <c r="D1330" s="30" t="n">
        <v>216</v>
      </c>
      <c r="E1330" s="30" t="n">
        <f aca="false">MIN(C1330,D1330)</f>
        <v>216</v>
      </c>
      <c r="F1330" s="8" t="n">
        <f aca="false">IF(D1330&gt;0,1,0)</f>
        <v>1</v>
      </c>
    </row>
    <row r="1331" customFormat="false" ht="15" hidden="false" customHeight="false" outlineLevel="0" collapsed="false">
      <c r="A1331" s="8" t="s">
        <v>4567</v>
      </c>
      <c r="B1331" s="8" t="s">
        <v>51</v>
      </c>
      <c r="C1331" s="30" t="n">
        <v>216</v>
      </c>
      <c r="D1331" s="30" t="n">
        <v>0</v>
      </c>
      <c r="E1331" s="30" t="n">
        <f aca="false">MIN(C1331,D1331)</f>
        <v>0</v>
      </c>
      <c r="F1331" s="8" t="n">
        <f aca="false">IF(D1331&gt;0,1,0)</f>
        <v>0</v>
      </c>
    </row>
    <row r="1332" customFormat="false" ht="15" hidden="false" customHeight="false" outlineLevel="0" collapsed="false">
      <c r="A1332" s="8" t="s">
        <v>3678</v>
      </c>
      <c r="B1332" s="8" t="s">
        <v>51</v>
      </c>
      <c r="C1332" s="30" t="n">
        <v>216</v>
      </c>
      <c r="D1332" s="30" t="n">
        <v>216</v>
      </c>
      <c r="E1332" s="30" t="n">
        <f aca="false">MIN(C1332,D1332)</f>
        <v>216</v>
      </c>
      <c r="F1332" s="8" t="n">
        <f aca="false">IF(D1332&gt;0,1,0)</f>
        <v>1</v>
      </c>
    </row>
    <row r="1333" customFormat="false" ht="15" hidden="false" customHeight="false" outlineLevel="0" collapsed="false">
      <c r="A1333" s="8" t="s">
        <v>3682</v>
      </c>
      <c r="B1333" s="8" t="s">
        <v>51</v>
      </c>
      <c r="C1333" s="30" t="n">
        <v>216</v>
      </c>
      <c r="D1333" s="30" t="n">
        <v>216</v>
      </c>
      <c r="E1333" s="30" t="n">
        <f aca="false">MIN(C1333,D1333)</f>
        <v>216</v>
      </c>
      <c r="F1333" s="8" t="n">
        <f aca="false">IF(D1333&gt;0,1,0)</f>
        <v>1</v>
      </c>
    </row>
    <row r="1334" customFormat="false" ht="15" hidden="false" customHeight="false" outlineLevel="0" collapsed="false">
      <c r="A1334" s="8" t="s">
        <v>3686</v>
      </c>
      <c r="B1334" s="8" t="s">
        <v>51</v>
      </c>
      <c r="C1334" s="30" t="n">
        <v>216</v>
      </c>
      <c r="D1334" s="30" t="n">
        <v>216</v>
      </c>
      <c r="E1334" s="30" t="n">
        <f aca="false">MIN(C1334,D1334)</f>
        <v>216</v>
      </c>
      <c r="F1334" s="8" t="n">
        <f aca="false">IF(D1334&gt;0,1,0)</f>
        <v>1</v>
      </c>
    </row>
    <row r="1335" customFormat="false" ht="15" hidden="false" customHeight="false" outlineLevel="0" collapsed="false">
      <c r="A1335" s="8" t="s">
        <v>3896</v>
      </c>
      <c r="B1335" s="8" t="s">
        <v>51</v>
      </c>
      <c r="C1335" s="30" t="n">
        <v>216</v>
      </c>
      <c r="D1335" s="30" t="n">
        <v>168</v>
      </c>
      <c r="E1335" s="30" t="n">
        <f aca="false">MIN(C1335,D1335)</f>
        <v>168</v>
      </c>
      <c r="F1335" s="8" t="n">
        <f aca="false">IF(D1335&gt;0,1,0)</f>
        <v>1</v>
      </c>
    </row>
    <row r="1336" customFormat="false" ht="15" hidden="false" customHeight="false" outlineLevel="0" collapsed="false">
      <c r="A1336" s="8" t="s">
        <v>3952</v>
      </c>
      <c r="B1336" s="8" t="s">
        <v>51</v>
      </c>
      <c r="C1336" s="30" t="n">
        <v>216</v>
      </c>
      <c r="D1336" s="30" t="n">
        <v>156</v>
      </c>
      <c r="E1336" s="30" t="n">
        <f aca="false">MIN(C1336,D1336)</f>
        <v>156</v>
      </c>
      <c r="F1336" s="8" t="n">
        <f aca="false">IF(D1336&gt;0,1,0)</f>
        <v>1</v>
      </c>
    </row>
    <row r="1337" customFormat="false" ht="15" hidden="false" customHeight="false" outlineLevel="0" collapsed="false">
      <c r="A1337" s="8" t="s">
        <v>3696</v>
      </c>
      <c r="B1337" s="8" t="s">
        <v>51</v>
      </c>
      <c r="C1337" s="30" t="n">
        <v>204</v>
      </c>
      <c r="D1337" s="30" t="n">
        <v>204</v>
      </c>
      <c r="E1337" s="30" t="n">
        <f aca="false">MIN(C1337,D1337)</f>
        <v>204</v>
      </c>
      <c r="F1337" s="8" t="n">
        <f aca="false">IF(D1337&gt;0,1,0)</f>
        <v>1</v>
      </c>
    </row>
    <row r="1338" customFormat="false" ht="15" hidden="false" customHeight="false" outlineLevel="0" collapsed="false">
      <c r="A1338" s="8" t="s">
        <v>4568</v>
      </c>
      <c r="B1338" s="8" t="s">
        <v>51</v>
      </c>
      <c r="C1338" s="30" t="n">
        <v>204</v>
      </c>
      <c r="D1338" s="30" t="n">
        <v>0</v>
      </c>
      <c r="E1338" s="30" t="n">
        <f aca="false">MIN(C1338,D1338)</f>
        <v>0</v>
      </c>
      <c r="F1338" s="8" t="n">
        <f aca="false">IF(D1338&gt;0,1,0)</f>
        <v>0</v>
      </c>
    </row>
    <row r="1339" customFormat="false" ht="15" hidden="false" customHeight="false" outlineLevel="0" collapsed="false">
      <c r="A1339" s="8" t="s">
        <v>3698</v>
      </c>
      <c r="B1339" s="8" t="s">
        <v>51</v>
      </c>
      <c r="C1339" s="30" t="n">
        <v>204</v>
      </c>
      <c r="D1339" s="30" t="n">
        <v>204</v>
      </c>
      <c r="E1339" s="30" t="n">
        <f aca="false">MIN(C1339,D1339)</f>
        <v>204</v>
      </c>
      <c r="F1339" s="8" t="n">
        <f aca="false">IF(D1339&gt;0,1,0)</f>
        <v>1</v>
      </c>
    </row>
    <row r="1340" customFormat="false" ht="15" hidden="false" customHeight="false" outlineLevel="0" collapsed="false">
      <c r="A1340" s="8" t="s">
        <v>4569</v>
      </c>
      <c r="B1340" s="8" t="s">
        <v>51</v>
      </c>
      <c r="C1340" s="30" t="n">
        <v>204</v>
      </c>
      <c r="D1340" s="30" t="n">
        <v>0</v>
      </c>
      <c r="E1340" s="30" t="n">
        <f aca="false">MIN(C1340,D1340)</f>
        <v>0</v>
      </c>
      <c r="F1340" s="8" t="n">
        <f aca="false">IF(D1340&gt;0,1,0)</f>
        <v>0</v>
      </c>
    </row>
    <row r="1341" customFormat="false" ht="15" hidden="false" customHeight="false" outlineLevel="0" collapsed="false">
      <c r="A1341" s="8" t="s">
        <v>3700</v>
      </c>
      <c r="B1341" s="8" t="s">
        <v>51</v>
      </c>
      <c r="C1341" s="30" t="n">
        <v>204</v>
      </c>
      <c r="D1341" s="30" t="n">
        <v>204</v>
      </c>
      <c r="E1341" s="30" t="n">
        <f aca="false">MIN(C1341,D1341)</f>
        <v>204</v>
      </c>
      <c r="F1341" s="8" t="n">
        <f aca="false">IF(D1341&gt;0,1,0)</f>
        <v>1</v>
      </c>
    </row>
    <row r="1342" customFormat="false" ht="15" hidden="false" customHeight="false" outlineLevel="0" collapsed="false">
      <c r="A1342" s="8" t="s">
        <v>3866</v>
      </c>
      <c r="B1342" s="8" t="s">
        <v>51</v>
      </c>
      <c r="C1342" s="30" t="n">
        <v>204</v>
      </c>
      <c r="D1342" s="30" t="n">
        <v>168</v>
      </c>
      <c r="E1342" s="30" t="n">
        <f aca="false">MIN(C1342,D1342)</f>
        <v>168</v>
      </c>
      <c r="F1342" s="8" t="n">
        <f aca="false">IF(D1342&gt;0,1,0)</f>
        <v>1</v>
      </c>
    </row>
    <row r="1343" customFormat="false" ht="15" hidden="false" customHeight="false" outlineLevel="0" collapsed="false">
      <c r="A1343" s="8" t="s">
        <v>3870</v>
      </c>
      <c r="B1343" s="8" t="s">
        <v>51</v>
      </c>
      <c r="C1343" s="30" t="n">
        <v>204</v>
      </c>
      <c r="D1343" s="30" t="n">
        <v>168</v>
      </c>
      <c r="E1343" s="30" t="n">
        <f aca="false">MIN(C1343,D1343)</f>
        <v>168</v>
      </c>
      <c r="F1343" s="8" t="n">
        <f aca="false">IF(D1343&gt;0,1,0)</f>
        <v>1</v>
      </c>
    </row>
    <row r="1344" customFormat="false" ht="15" hidden="false" customHeight="false" outlineLevel="0" collapsed="false">
      <c r="A1344" s="8" t="s">
        <v>3704</v>
      </c>
      <c r="B1344" s="8" t="s">
        <v>51</v>
      </c>
      <c r="C1344" s="30" t="n">
        <v>204</v>
      </c>
      <c r="D1344" s="30" t="n">
        <v>204</v>
      </c>
      <c r="E1344" s="30" t="n">
        <f aca="false">MIN(C1344,D1344)</f>
        <v>204</v>
      </c>
      <c r="F1344" s="8" t="n">
        <f aca="false">IF(D1344&gt;0,1,0)</f>
        <v>1</v>
      </c>
    </row>
    <row r="1345" customFormat="false" ht="15" hidden="false" customHeight="false" outlineLevel="0" collapsed="false">
      <c r="A1345" s="8" t="s">
        <v>3706</v>
      </c>
      <c r="B1345" s="8" t="s">
        <v>51</v>
      </c>
      <c r="C1345" s="30" t="n">
        <v>204</v>
      </c>
      <c r="D1345" s="30" t="n">
        <v>204</v>
      </c>
      <c r="E1345" s="30" t="n">
        <f aca="false">MIN(C1345,D1345)</f>
        <v>204</v>
      </c>
      <c r="F1345" s="8" t="n">
        <f aca="false">IF(D1345&gt;0,1,0)</f>
        <v>1</v>
      </c>
    </row>
    <row r="1346" customFormat="false" ht="15" hidden="false" customHeight="false" outlineLevel="0" collapsed="false">
      <c r="A1346" s="8" t="s">
        <v>3708</v>
      </c>
      <c r="B1346" s="8" t="s">
        <v>51</v>
      </c>
      <c r="C1346" s="30" t="n">
        <v>204</v>
      </c>
      <c r="D1346" s="30" t="n">
        <v>204</v>
      </c>
      <c r="E1346" s="30" t="n">
        <f aca="false">MIN(C1346,D1346)</f>
        <v>204</v>
      </c>
      <c r="F1346" s="8" t="n">
        <f aca="false">IF(D1346&gt;0,1,0)</f>
        <v>1</v>
      </c>
    </row>
    <row r="1347" customFormat="false" ht="15" hidden="false" customHeight="false" outlineLevel="0" collapsed="false">
      <c r="A1347" s="8" t="s">
        <v>3716</v>
      </c>
      <c r="B1347" s="8" t="s">
        <v>51</v>
      </c>
      <c r="C1347" s="30" t="n">
        <v>204</v>
      </c>
      <c r="D1347" s="30" t="n">
        <v>204</v>
      </c>
      <c r="E1347" s="30" t="n">
        <f aca="false">MIN(C1347,D1347)</f>
        <v>204</v>
      </c>
      <c r="F1347" s="8" t="n">
        <f aca="false">IF(D1347&gt;0,1,0)</f>
        <v>1</v>
      </c>
    </row>
    <row r="1348" customFormat="false" ht="15" hidden="false" customHeight="false" outlineLevel="0" collapsed="false">
      <c r="A1348" s="8" t="s">
        <v>3718</v>
      </c>
      <c r="B1348" s="8" t="s">
        <v>51</v>
      </c>
      <c r="C1348" s="30" t="n">
        <v>204</v>
      </c>
      <c r="D1348" s="30" t="n">
        <v>204</v>
      </c>
      <c r="E1348" s="30" t="n">
        <f aca="false">MIN(C1348,D1348)</f>
        <v>204</v>
      </c>
      <c r="F1348" s="8" t="n">
        <f aca="false">IF(D1348&gt;0,1,0)</f>
        <v>1</v>
      </c>
    </row>
    <row r="1349" customFormat="false" ht="15" hidden="false" customHeight="false" outlineLevel="0" collapsed="false">
      <c r="A1349" s="8" t="s">
        <v>3938</v>
      </c>
      <c r="B1349" s="8" t="s">
        <v>51</v>
      </c>
      <c r="C1349" s="30" t="n">
        <v>204</v>
      </c>
      <c r="D1349" s="30" t="n">
        <v>156</v>
      </c>
      <c r="E1349" s="30" t="n">
        <f aca="false">MIN(C1349,D1349)</f>
        <v>156</v>
      </c>
      <c r="F1349" s="8" t="n">
        <f aca="false">IF(D1349&gt;0,1,0)</f>
        <v>1</v>
      </c>
    </row>
    <row r="1350" customFormat="false" ht="15" hidden="false" customHeight="false" outlineLevel="0" collapsed="false">
      <c r="A1350" s="8" t="s">
        <v>3722</v>
      </c>
      <c r="B1350" s="8" t="s">
        <v>51</v>
      </c>
      <c r="C1350" s="30" t="n">
        <v>204</v>
      </c>
      <c r="D1350" s="30" t="n">
        <v>204</v>
      </c>
      <c r="E1350" s="30" t="n">
        <f aca="false">MIN(C1350,D1350)</f>
        <v>204</v>
      </c>
      <c r="F1350" s="8" t="n">
        <f aca="false">IF(D1350&gt;0,1,0)</f>
        <v>1</v>
      </c>
    </row>
    <row r="1351" customFormat="false" ht="15" hidden="false" customHeight="false" outlineLevel="0" collapsed="false">
      <c r="A1351" s="8" t="s">
        <v>3724</v>
      </c>
      <c r="B1351" s="8" t="s">
        <v>51</v>
      </c>
      <c r="C1351" s="30" t="n">
        <v>204</v>
      </c>
      <c r="D1351" s="30" t="n">
        <v>204</v>
      </c>
      <c r="E1351" s="30" t="n">
        <f aca="false">MIN(C1351,D1351)</f>
        <v>204</v>
      </c>
      <c r="F1351" s="8" t="n">
        <f aca="false">IF(D1351&gt;0,1,0)</f>
        <v>1</v>
      </c>
    </row>
    <row r="1352" customFormat="false" ht="15" hidden="false" customHeight="false" outlineLevel="0" collapsed="false">
      <c r="A1352" s="8" t="s">
        <v>3618</v>
      </c>
      <c r="B1352" s="8" t="s">
        <v>51</v>
      </c>
      <c r="C1352" s="30" t="n">
        <v>204</v>
      </c>
      <c r="D1352" s="30" t="n">
        <v>228</v>
      </c>
      <c r="E1352" s="30" t="n">
        <f aca="false">MIN(C1352,D1352)</f>
        <v>204</v>
      </c>
      <c r="F1352" s="8" t="n">
        <f aca="false">IF(D1352&gt;0,1,0)</f>
        <v>1</v>
      </c>
    </row>
    <row r="1353" customFormat="false" ht="15" hidden="false" customHeight="false" outlineLevel="0" collapsed="false">
      <c r="A1353" s="8" t="s">
        <v>4570</v>
      </c>
      <c r="B1353" s="8" t="s">
        <v>51</v>
      </c>
      <c r="C1353" s="30" t="n">
        <v>204</v>
      </c>
      <c r="D1353" s="30" t="n">
        <v>0</v>
      </c>
      <c r="E1353" s="30" t="n">
        <f aca="false">MIN(C1353,D1353)</f>
        <v>0</v>
      </c>
      <c r="F1353" s="8" t="n">
        <f aca="false">IF(D1353&gt;0,1,0)</f>
        <v>0</v>
      </c>
    </row>
    <row r="1354" customFormat="false" ht="15" hidden="false" customHeight="false" outlineLevel="0" collapsed="false">
      <c r="A1354" s="8" t="s">
        <v>4571</v>
      </c>
      <c r="B1354" s="8" t="s">
        <v>51</v>
      </c>
      <c r="C1354" s="30" t="n">
        <v>204</v>
      </c>
      <c r="D1354" s="30" t="n">
        <v>0</v>
      </c>
      <c r="E1354" s="30" t="n">
        <f aca="false">MIN(C1354,D1354)</f>
        <v>0</v>
      </c>
      <c r="F1354" s="8" t="n">
        <f aca="false">IF(D1354&gt;0,1,0)</f>
        <v>0</v>
      </c>
    </row>
    <row r="1355" customFormat="false" ht="15" hidden="false" customHeight="false" outlineLevel="0" collapsed="false">
      <c r="A1355" s="8" t="s">
        <v>3958</v>
      </c>
      <c r="B1355" s="8" t="s">
        <v>51</v>
      </c>
      <c r="C1355" s="30" t="n">
        <v>200</v>
      </c>
      <c r="D1355" s="30" t="n">
        <v>150</v>
      </c>
      <c r="E1355" s="30" t="n">
        <f aca="false">MIN(C1355,D1355)</f>
        <v>150</v>
      </c>
      <c r="F1355" s="8" t="n">
        <f aca="false">IF(D1355&gt;0,1,0)</f>
        <v>1</v>
      </c>
    </row>
    <row r="1356" customFormat="false" ht="15" hidden="false" customHeight="false" outlineLevel="0" collapsed="false">
      <c r="A1356" s="8" t="s">
        <v>3726</v>
      </c>
      <c r="B1356" s="8" t="s">
        <v>51</v>
      </c>
      <c r="C1356" s="30" t="n">
        <v>200</v>
      </c>
      <c r="D1356" s="30" t="n">
        <v>200</v>
      </c>
      <c r="E1356" s="30" t="n">
        <f aca="false">MIN(C1356,D1356)</f>
        <v>200</v>
      </c>
      <c r="F1356" s="8" t="n">
        <f aca="false">IF(D1356&gt;0,1,0)</f>
        <v>1</v>
      </c>
    </row>
    <row r="1357" customFormat="false" ht="15" hidden="false" customHeight="false" outlineLevel="0" collapsed="false">
      <c r="A1357" s="8" t="s">
        <v>3626</v>
      </c>
      <c r="B1357" s="8" t="s">
        <v>51</v>
      </c>
      <c r="C1357" s="30" t="n">
        <v>200</v>
      </c>
      <c r="D1357" s="30" t="n">
        <v>225</v>
      </c>
      <c r="E1357" s="30" t="n">
        <f aca="false">MIN(C1357,D1357)</f>
        <v>200</v>
      </c>
      <c r="F1357" s="8" t="n">
        <f aca="false">IF(D1357&gt;0,1,0)</f>
        <v>1</v>
      </c>
    </row>
    <row r="1358" customFormat="false" ht="15" hidden="false" customHeight="false" outlineLevel="0" collapsed="false">
      <c r="A1358" s="8" t="s">
        <v>3734</v>
      </c>
      <c r="B1358" s="8" t="s">
        <v>51</v>
      </c>
      <c r="C1358" s="30" t="n">
        <v>200</v>
      </c>
      <c r="D1358" s="30" t="n">
        <v>200</v>
      </c>
      <c r="E1358" s="30" t="n">
        <f aca="false">MIN(C1358,D1358)</f>
        <v>200</v>
      </c>
      <c r="F1358" s="8" t="n">
        <f aca="false">IF(D1358&gt;0,1,0)</f>
        <v>1</v>
      </c>
    </row>
    <row r="1359" customFormat="false" ht="15" hidden="false" customHeight="false" outlineLevel="0" collapsed="false">
      <c r="A1359" s="8" t="s">
        <v>3736</v>
      </c>
      <c r="B1359" s="8" t="s">
        <v>51</v>
      </c>
      <c r="C1359" s="30" t="n">
        <v>200</v>
      </c>
      <c r="D1359" s="30" t="n">
        <v>200</v>
      </c>
      <c r="E1359" s="30" t="n">
        <f aca="false">MIN(C1359,D1359)</f>
        <v>200</v>
      </c>
      <c r="F1359" s="8" t="n">
        <f aca="false">IF(D1359&gt;0,1,0)</f>
        <v>1</v>
      </c>
    </row>
    <row r="1360" customFormat="false" ht="15" hidden="false" customHeight="false" outlineLevel="0" collapsed="false">
      <c r="A1360" s="8" t="s">
        <v>3030</v>
      </c>
      <c r="B1360" s="8" t="s">
        <v>51</v>
      </c>
      <c r="C1360" s="30" t="n">
        <v>200</v>
      </c>
      <c r="D1360" s="30" t="n">
        <v>350</v>
      </c>
      <c r="E1360" s="30" t="n">
        <f aca="false">MIN(C1360,D1360)</f>
        <v>200</v>
      </c>
      <c r="F1360" s="8" t="n">
        <f aca="false">IF(D1360&gt;0,1,0)</f>
        <v>1</v>
      </c>
    </row>
    <row r="1361" customFormat="false" ht="15" hidden="false" customHeight="false" outlineLevel="0" collapsed="false">
      <c r="A1361" s="8" t="s">
        <v>3738</v>
      </c>
      <c r="B1361" s="8" t="s">
        <v>51</v>
      </c>
      <c r="C1361" s="30" t="n">
        <v>200</v>
      </c>
      <c r="D1361" s="30" t="n">
        <v>200</v>
      </c>
      <c r="E1361" s="30" t="n">
        <f aca="false">MIN(C1361,D1361)</f>
        <v>200</v>
      </c>
      <c r="F1361" s="8" t="n">
        <f aca="false">IF(D1361&gt;0,1,0)</f>
        <v>1</v>
      </c>
    </row>
    <row r="1362" customFormat="false" ht="15" hidden="false" customHeight="false" outlineLevel="0" collapsed="false">
      <c r="A1362" s="8" t="s">
        <v>3642</v>
      </c>
      <c r="B1362" s="8" t="s">
        <v>51</v>
      </c>
      <c r="C1362" s="30" t="n">
        <v>200</v>
      </c>
      <c r="D1362" s="30" t="n">
        <v>225</v>
      </c>
      <c r="E1362" s="30" t="n">
        <f aca="false">MIN(C1362,D1362)</f>
        <v>200</v>
      </c>
      <c r="F1362" s="8" t="n">
        <f aca="false">IF(D1362&gt;0,1,0)</f>
        <v>1</v>
      </c>
    </row>
    <row r="1363" customFormat="false" ht="15" hidden="false" customHeight="false" outlineLevel="0" collapsed="false">
      <c r="A1363" s="8" t="s">
        <v>3490</v>
      </c>
      <c r="B1363" s="8" t="s">
        <v>51</v>
      </c>
      <c r="C1363" s="30" t="n">
        <v>192</v>
      </c>
      <c r="D1363" s="30" t="n">
        <v>252</v>
      </c>
      <c r="E1363" s="30" t="n">
        <f aca="false">MIN(C1363,D1363)</f>
        <v>192</v>
      </c>
      <c r="F1363" s="8" t="n">
        <f aca="false">IF(D1363&gt;0,1,0)</f>
        <v>1</v>
      </c>
    </row>
    <row r="1364" customFormat="false" ht="15" hidden="false" customHeight="false" outlineLevel="0" collapsed="false">
      <c r="A1364" s="8" t="s">
        <v>3744</v>
      </c>
      <c r="B1364" s="8" t="s">
        <v>51</v>
      </c>
      <c r="C1364" s="30" t="n">
        <v>192</v>
      </c>
      <c r="D1364" s="30" t="n">
        <v>192</v>
      </c>
      <c r="E1364" s="30" t="n">
        <f aca="false">MIN(C1364,D1364)</f>
        <v>192</v>
      </c>
      <c r="F1364" s="8" t="n">
        <f aca="false">IF(D1364&gt;0,1,0)</f>
        <v>1</v>
      </c>
    </row>
    <row r="1365" customFormat="false" ht="15" hidden="false" customHeight="false" outlineLevel="0" collapsed="false">
      <c r="A1365" s="8" t="s">
        <v>3748</v>
      </c>
      <c r="B1365" s="8" t="s">
        <v>51</v>
      </c>
      <c r="C1365" s="30" t="n">
        <v>192</v>
      </c>
      <c r="D1365" s="30" t="n">
        <v>192</v>
      </c>
      <c r="E1365" s="30" t="n">
        <f aca="false">MIN(C1365,D1365)</f>
        <v>192</v>
      </c>
      <c r="F1365" s="8" t="n">
        <f aca="false">IF(D1365&gt;0,1,0)</f>
        <v>1</v>
      </c>
    </row>
    <row r="1366" customFormat="false" ht="15" hidden="false" customHeight="false" outlineLevel="0" collapsed="false">
      <c r="A1366" s="8" t="s">
        <v>3750</v>
      </c>
      <c r="B1366" s="8" t="s">
        <v>51</v>
      </c>
      <c r="C1366" s="30" t="n">
        <v>192</v>
      </c>
      <c r="D1366" s="30" t="n">
        <v>192</v>
      </c>
      <c r="E1366" s="30" t="n">
        <f aca="false">MIN(C1366,D1366)</f>
        <v>192</v>
      </c>
      <c r="F1366" s="8" t="n">
        <f aca="false">IF(D1366&gt;0,1,0)</f>
        <v>1</v>
      </c>
    </row>
    <row r="1367" customFormat="false" ht="15" hidden="false" customHeight="false" outlineLevel="0" collapsed="false">
      <c r="A1367" s="8" t="s">
        <v>3612</v>
      </c>
      <c r="B1367" s="8" t="s">
        <v>51</v>
      </c>
      <c r="C1367" s="30" t="n">
        <v>192</v>
      </c>
      <c r="D1367" s="30" t="n">
        <v>228</v>
      </c>
      <c r="E1367" s="30" t="n">
        <f aca="false">MIN(C1367,D1367)</f>
        <v>192</v>
      </c>
      <c r="F1367" s="8" t="n">
        <f aca="false">IF(D1367&gt;0,1,0)</f>
        <v>1</v>
      </c>
    </row>
    <row r="1368" customFormat="false" ht="15" hidden="false" customHeight="false" outlineLevel="0" collapsed="false">
      <c r="A1368" s="8" t="s">
        <v>3680</v>
      </c>
      <c r="B1368" s="8" t="s">
        <v>51</v>
      </c>
      <c r="C1368" s="30" t="n">
        <v>192</v>
      </c>
      <c r="D1368" s="30" t="n">
        <v>216</v>
      </c>
      <c r="E1368" s="30" t="n">
        <f aca="false">MIN(C1368,D1368)</f>
        <v>192</v>
      </c>
      <c r="F1368" s="8" t="n">
        <f aca="false">IF(D1368&gt;0,1,0)</f>
        <v>1</v>
      </c>
    </row>
    <row r="1369" customFormat="false" ht="15" hidden="false" customHeight="false" outlineLevel="0" collapsed="false">
      <c r="A1369" s="8" t="s">
        <v>4006</v>
      </c>
      <c r="B1369" s="8" t="s">
        <v>51</v>
      </c>
      <c r="C1369" s="30" t="n">
        <v>192</v>
      </c>
      <c r="D1369" s="30" t="n">
        <v>144</v>
      </c>
      <c r="E1369" s="30" t="n">
        <f aca="false">MIN(C1369,D1369)</f>
        <v>144</v>
      </c>
      <c r="F1369" s="8" t="n">
        <f aca="false">IF(D1369&gt;0,1,0)</f>
        <v>1</v>
      </c>
    </row>
    <row r="1370" customFormat="false" ht="15" hidden="false" customHeight="false" outlineLevel="0" collapsed="false">
      <c r="A1370" s="8" t="s">
        <v>3684</v>
      </c>
      <c r="B1370" s="8" t="s">
        <v>51</v>
      </c>
      <c r="C1370" s="30" t="n">
        <v>192</v>
      </c>
      <c r="D1370" s="30" t="n">
        <v>216</v>
      </c>
      <c r="E1370" s="30" t="n">
        <f aca="false">MIN(C1370,D1370)</f>
        <v>192</v>
      </c>
      <c r="F1370" s="8" t="n">
        <f aca="false">IF(D1370&gt;0,1,0)</f>
        <v>1</v>
      </c>
    </row>
    <row r="1371" customFormat="false" ht="15" hidden="false" customHeight="false" outlineLevel="0" collapsed="false">
      <c r="A1371" s="8" t="s">
        <v>3510</v>
      </c>
      <c r="B1371" s="8" t="s">
        <v>51</v>
      </c>
      <c r="C1371" s="30" t="n">
        <v>192</v>
      </c>
      <c r="D1371" s="30" t="n">
        <v>252</v>
      </c>
      <c r="E1371" s="30" t="n">
        <f aca="false">MIN(C1371,D1371)</f>
        <v>192</v>
      </c>
      <c r="F1371" s="8" t="n">
        <f aca="false">IF(D1371&gt;0,1,0)</f>
        <v>1</v>
      </c>
    </row>
    <row r="1372" customFormat="false" ht="15" hidden="false" customHeight="false" outlineLevel="0" collapsed="false">
      <c r="A1372" s="8" t="s">
        <v>3758</v>
      </c>
      <c r="B1372" s="8" t="s">
        <v>51</v>
      </c>
      <c r="C1372" s="30" t="n">
        <v>192</v>
      </c>
      <c r="D1372" s="30" t="n">
        <v>192</v>
      </c>
      <c r="E1372" s="30" t="n">
        <f aca="false">MIN(C1372,D1372)</f>
        <v>192</v>
      </c>
      <c r="F1372" s="8" t="n">
        <f aca="false">IF(D1372&gt;0,1,0)</f>
        <v>1</v>
      </c>
    </row>
    <row r="1373" customFormat="false" ht="15" hidden="false" customHeight="false" outlineLevel="0" collapsed="false">
      <c r="A1373" s="8" t="s">
        <v>3890</v>
      </c>
      <c r="B1373" s="8" t="s">
        <v>51</v>
      </c>
      <c r="C1373" s="30" t="n">
        <v>192</v>
      </c>
      <c r="D1373" s="30" t="n">
        <v>168</v>
      </c>
      <c r="E1373" s="30" t="n">
        <f aca="false">MIN(C1373,D1373)</f>
        <v>168</v>
      </c>
      <c r="F1373" s="8" t="n">
        <f aca="false">IF(D1373&gt;0,1,0)</f>
        <v>1</v>
      </c>
    </row>
    <row r="1374" customFormat="false" ht="15" hidden="false" customHeight="false" outlineLevel="0" collapsed="false">
      <c r="A1374" s="8" t="s">
        <v>3296</v>
      </c>
      <c r="B1374" s="8" t="s">
        <v>51</v>
      </c>
      <c r="C1374" s="30" t="n">
        <v>192</v>
      </c>
      <c r="D1374" s="30" t="n">
        <v>300</v>
      </c>
      <c r="E1374" s="30" t="n">
        <f aca="false">MIN(C1374,D1374)</f>
        <v>192</v>
      </c>
      <c r="F1374" s="8" t="n">
        <f aca="false">IF(D1374&gt;0,1,0)</f>
        <v>1</v>
      </c>
    </row>
    <row r="1375" customFormat="false" ht="15" hidden="false" customHeight="false" outlineLevel="0" collapsed="false">
      <c r="A1375" s="8" t="s">
        <v>3766</v>
      </c>
      <c r="B1375" s="8" t="s">
        <v>51</v>
      </c>
      <c r="C1375" s="30" t="n">
        <v>192</v>
      </c>
      <c r="D1375" s="30" t="n">
        <v>192</v>
      </c>
      <c r="E1375" s="30" t="n">
        <f aca="false">MIN(C1375,D1375)</f>
        <v>192</v>
      </c>
      <c r="F1375" s="8" t="n">
        <f aca="false">IF(D1375&gt;0,1,0)</f>
        <v>1</v>
      </c>
    </row>
    <row r="1376" customFormat="false" ht="15" hidden="false" customHeight="false" outlineLevel="0" collapsed="false">
      <c r="A1376" s="8" t="s">
        <v>3518</v>
      </c>
      <c r="B1376" s="8" t="s">
        <v>51</v>
      </c>
      <c r="C1376" s="30" t="n">
        <v>192</v>
      </c>
      <c r="D1376" s="30" t="n">
        <v>252</v>
      </c>
      <c r="E1376" s="30" t="n">
        <f aca="false">MIN(C1376,D1376)</f>
        <v>192</v>
      </c>
      <c r="F1376" s="8" t="n">
        <f aca="false">IF(D1376&gt;0,1,0)</f>
        <v>1</v>
      </c>
    </row>
    <row r="1377" customFormat="false" ht="15" hidden="false" customHeight="false" outlineLevel="0" collapsed="false">
      <c r="A1377" s="8" t="s">
        <v>3620</v>
      </c>
      <c r="B1377" s="8" t="s">
        <v>51</v>
      </c>
      <c r="C1377" s="30" t="n">
        <v>192</v>
      </c>
      <c r="D1377" s="30" t="n">
        <v>228</v>
      </c>
      <c r="E1377" s="30" t="n">
        <f aca="false">MIN(C1377,D1377)</f>
        <v>192</v>
      </c>
      <c r="F1377" s="8" t="n">
        <f aca="false">IF(D1377&gt;0,1,0)</f>
        <v>1</v>
      </c>
    </row>
    <row r="1378" customFormat="false" ht="15" hidden="false" customHeight="false" outlineLevel="0" collapsed="false">
      <c r="A1378" s="8" t="s">
        <v>3772</v>
      </c>
      <c r="B1378" s="8" t="s">
        <v>51</v>
      </c>
      <c r="C1378" s="30" t="n">
        <v>192</v>
      </c>
      <c r="D1378" s="30" t="n">
        <v>192</v>
      </c>
      <c r="E1378" s="30" t="n">
        <f aca="false">MIN(C1378,D1378)</f>
        <v>192</v>
      </c>
      <c r="F1378" s="8" t="n">
        <f aca="false">IF(D1378&gt;0,1,0)</f>
        <v>1</v>
      </c>
    </row>
    <row r="1379" customFormat="false" ht="15" hidden="false" customHeight="false" outlineLevel="0" collapsed="false">
      <c r="A1379" s="8" t="s">
        <v>3780</v>
      </c>
      <c r="B1379" s="8" t="s">
        <v>51</v>
      </c>
      <c r="C1379" s="30" t="n">
        <v>180</v>
      </c>
      <c r="D1379" s="30" t="n">
        <v>180</v>
      </c>
      <c r="E1379" s="30" t="n">
        <f aca="false">MIN(C1379,D1379)</f>
        <v>180</v>
      </c>
      <c r="F1379" s="8" t="n">
        <f aca="false">IF(D1379&gt;0,1,0)</f>
        <v>1</v>
      </c>
    </row>
    <row r="1380" customFormat="false" ht="15" hidden="false" customHeight="false" outlineLevel="0" collapsed="false">
      <c r="A1380" s="8" t="s">
        <v>3324</v>
      </c>
      <c r="B1380" s="8" t="s">
        <v>51</v>
      </c>
      <c r="C1380" s="30" t="n">
        <v>180</v>
      </c>
      <c r="D1380" s="30" t="n">
        <v>288</v>
      </c>
      <c r="E1380" s="30" t="n">
        <f aca="false">MIN(C1380,D1380)</f>
        <v>180</v>
      </c>
      <c r="F1380" s="8" t="n">
        <f aca="false">IF(D1380&gt;0,1,0)</f>
        <v>1</v>
      </c>
    </row>
    <row r="1381" customFormat="false" ht="15" hidden="false" customHeight="false" outlineLevel="0" collapsed="false">
      <c r="A1381" s="8" t="s">
        <v>3784</v>
      </c>
      <c r="B1381" s="8" t="s">
        <v>51</v>
      </c>
      <c r="C1381" s="30" t="n">
        <v>180</v>
      </c>
      <c r="D1381" s="30" t="n">
        <v>180</v>
      </c>
      <c r="E1381" s="30" t="n">
        <f aca="false">MIN(C1381,D1381)</f>
        <v>180</v>
      </c>
      <c r="F1381" s="8" t="n">
        <f aca="false">IF(D1381&gt;0,1,0)</f>
        <v>1</v>
      </c>
    </row>
    <row r="1382" customFormat="false" ht="15" hidden="false" customHeight="false" outlineLevel="0" collapsed="false">
      <c r="A1382" s="8" t="s">
        <v>3788</v>
      </c>
      <c r="B1382" s="8" t="s">
        <v>51</v>
      </c>
      <c r="C1382" s="30" t="n">
        <v>180</v>
      </c>
      <c r="D1382" s="30" t="n">
        <v>180</v>
      </c>
      <c r="E1382" s="30" t="n">
        <f aca="false">MIN(C1382,D1382)</f>
        <v>180</v>
      </c>
      <c r="F1382" s="8" t="n">
        <f aca="false">IF(D1382&gt;0,1,0)</f>
        <v>1</v>
      </c>
    </row>
    <row r="1383" customFormat="false" ht="15" hidden="false" customHeight="false" outlineLevel="0" collapsed="false">
      <c r="A1383" s="8" t="s">
        <v>3790</v>
      </c>
      <c r="B1383" s="8" t="s">
        <v>51</v>
      </c>
      <c r="C1383" s="30" t="n">
        <v>180</v>
      </c>
      <c r="D1383" s="30" t="n">
        <v>180</v>
      </c>
      <c r="E1383" s="30" t="n">
        <f aca="false">MIN(C1383,D1383)</f>
        <v>180</v>
      </c>
      <c r="F1383" s="8" t="n">
        <f aca="false">IF(D1383&gt;0,1,0)</f>
        <v>1</v>
      </c>
    </row>
    <row r="1384" customFormat="false" ht="15" hidden="false" customHeight="false" outlineLevel="0" collapsed="false">
      <c r="A1384" s="8" t="s">
        <v>3794</v>
      </c>
      <c r="B1384" s="8" t="s">
        <v>51</v>
      </c>
      <c r="C1384" s="30" t="n">
        <v>180</v>
      </c>
      <c r="D1384" s="30" t="n">
        <v>180</v>
      </c>
      <c r="E1384" s="30" t="n">
        <f aca="false">MIN(C1384,D1384)</f>
        <v>180</v>
      </c>
      <c r="F1384" s="8" t="n">
        <f aca="false">IF(D1384&gt;0,1,0)</f>
        <v>1</v>
      </c>
    </row>
    <row r="1385" customFormat="false" ht="15" hidden="false" customHeight="false" outlineLevel="0" collapsed="false">
      <c r="A1385" s="8" t="s">
        <v>3796</v>
      </c>
      <c r="B1385" s="8" t="s">
        <v>51</v>
      </c>
      <c r="C1385" s="30" t="n">
        <v>180</v>
      </c>
      <c r="D1385" s="30" t="n">
        <v>180</v>
      </c>
      <c r="E1385" s="30" t="n">
        <f aca="false">MIN(C1385,D1385)</f>
        <v>180</v>
      </c>
      <c r="F1385" s="8" t="n">
        <f aca="false">IF(D1385&gt;0,1,0)</f>
        <v>1</v>
      </c>
    </row>
    <row r="1386" customFormat="false" ht="15" hidden="false" customHeight="false" outlineLevel="0" collapsed="false">
      <c r="A1386" s="8" t="s">
        <v>4572</v>
      </c>
      <c r="B1386" s="8" t="s">
        <v>51</v>
      </c>
      <c r="C1386" s="30" t="n">
        <v>180</v>
      </c>
      <c r="D1386" s="30" t="n">
        <v>0</v>
      </c>
      <c r="E1386" s="30" t="n">
        <f aca="false">MIN(C1386,D1386)</f>
        <v>0</v>
      </c>
      <c r="F1386" s="8" t="n">
        <f aca="false">IF(D1386&gt;0,1,0)</f>
        <v>0</v>
      </c>
    </row>
    <row r="1387" customFormat="false" ht="15" hidden="false" customHeight="false" outlineLevel="0" collapsed="false">
      <c r="A1387" s="8" t="s">
        <v>3798</v>
      </c>
      <c r="B1387" s="8" t="s">
        <v>51</v>
      </c>
      <c r="C1387" s="30" t="n">
        <v>180</v>
      </c>
      <c r="D1387" s="30" t="n">
        <v>180</v>
      </c>
      <c r="E1387" s="30" t="n">
        <f aca="false">MIN(C1387,D1387)</f>
        <v>180</v>
      </c>
      <c r="F1387" s="8" t="n">
        <f aca="false">IF(D1387&gt;0,1,0)</f>
        <v>1</v>
      </c>
    </row>
    <row r="1388" customFormat="false" ht="15" hidden="false" customHeight="false" outlineLevel="0" collapsed="false">
      <c r="A1388" s="8" t="s">
        <v>3702</v>
      </c>
      <c r="B1388" s="8" t="s">
        <v>51</v>
      </c>
      <c r="C1388" s="30" t="n">
        <v>180</v>
      </c>
      <c r="D1388" s="30" t="n">
        <v>204</v>
      </c>
      <c r="E1388" s="30" t="n">
        <f aca="false">MIN(C1388,D1388)</f>
        <v>180</v>
      </c>
      <c r="F1388" s="8" t="n">
        <f aca="false">IF(D1388&gt;0,1,0)</f>
        <v>1</v>
      </c>
    </row>
    <row r="1389" customFormat="false" ht="15" hidden="false" customHeight="false" outlineLevel="0" collapsed="false">
      <c r="A1389" s="8" t="s">
        <v>3802</v>
      </c>
      <c r="B1389" s="8" t="s">
        <v>51</v>
      </c>
      <c r="C1389" s="30" t="n">
        <v>180</v>
      </c>
      <c r="D1389" s="30" t="n">
        <v>180</v>
      </c>
      <c r="E1389" s="30" t="n">
        <f aca="false">MIN(C1389,D1389)</f>
        <v>180</v>
      </c>
      <c r="F1389" s="8" t="n">
        <f aca="false">IF(D1389&gt;0,1,0)</f>
        <v>1</v>
      </c>
    </row>
    <row r="1390" customFormat="false" ht="15" hidden="false" customHeight="false" outlineLevel="0" collapsed="false">
      <c r="A1390" s="8" t="s">
        <v>3712</v>
      </c>
      <c r="B1390" s="8" t="s">
        <v>51</v>
      </c>
      <c r="C1390" s="30" t="n">
        <v>180</v>
      </c>
      <c r="D1390" s="30" t="n">
        <v>204</v>
      </c>
      <c r="E1390" s="30" t="n">
        <f aca="false">MIN(C1390,D1390)</f>
        <v>180</v>
      </c>
      <c r="F1390" s="8" t="n">
        <f aca="false">IF(D1390&gt;0,1,0)</f>
        <v>1</v>
      </c>
    </row>
    <row r="1391" customFormat="false" ht="15" hidden="false" customHeight="false" outlineLevel="0" collapsed="false">
      <c r="A1391" s="8" t="s">
        <v>3808</v>
      </c>
      <c r="B1391" s="8" t="s">
        <v>51</v>
      </c>
      <c r="C1391" s="30" t="n">
        <v>180</v>
      </c>
      <c r="D1391" s="30" t="n">
        <v>180</v>
      </c>
      <c r="E1391" s="30" t="n">
        <f aca="false">MIN(C1391,D1391)</f>
        <v>180</v>
      </c>
      <c r="F1391" s="8" t="n">
        <f aca="false">IF(D1391&gt;0,1,0)</f>
        <v>1</v>
      </c>
    </row>
    <row r="1392" customFormat="false" ht="15" hidden="false" customHeight="false" outlineLevel="0" collapsed="false">
      <c r="A1392" s="8" t="s">
        <v>3810</v>
      </c>
      <c r="B1392" s="8" t="s">
        <v>51</v>
      </c>
      <c r="C1392" s="30" t="n">
        <v>180</v>
      </c>
      <c r="D1392" s="30" t="n">
        <v>180</v>
      </c>
      <c r="E1392" s="30" t="n">
        <f aca="false">MIN(C1392,D1392)</f>
        <v>180</v>
      </c>
      <c r="F1392" s="8" t="n">
        <f aca="false">IF(D1392&gt;0,1,0)</f>
        <v>1</v>
      </c>
    </row>
    <row r="1393" customFormat="false" ht="15" hidden="false" customHeight="false" outlineLevel="0" collapsed="false">
      <c r="A1393" s="8" t="s">
        <v>3168</v>
      </c>
      <c r="B1393" s="8" t="s">
        <v>51</v>
      </c>
      <c r="C1393" s="30" t="n">
        <v>180</v>
      </c>
      <c r="D1393" s="30" t="n">
        <v>324</v>
      </c>
      <c r="E1393" s="30" t="n">
        <f aca="false">MIN(C1393,D1393)</f>
        <v>180</v>
      </c>
      <c r="F1393" s="8" t="n">
        <f aca="false">IF(D1393&gt;0,1,0)</f>
        <v>1</v>
      </c>
    </row>
    <row r="1394" customFormat="false" ht="15" hidden="false" customHeight="false" outlineLevel="0" collapsed="false">
      <c r="A1394" s="8" t="s">
        <v>3566</v>
      </c>
      <c r="B1394" s="8" t="s">
        <v>51</v>
      </c>
      <c r="C1394" s="30" t="n">
        <v>180</v>
      </c>
      <c r="D1394" s="30" t="n">
        <v>240</v>
      </c>
      <c r="E1394" s="30" t="n">
        <f aca="false">MIN(C1394,D1394)</f>
        <v>180</v>
      </c>
      <c r="F1394" s="8" t="n">
        <f aca="false">IF(D1394&gt;0,1,0)</f>
        <v>1</v>
      </c>
    </row>
    <row r="1395" customFormat="false" ht="15" hidden="false" customHeight="false" outlineLevel="0" collapsed="false">
      <c r="A1395" s="8" t="s">
        <v>3816</v>
      </c>
      <c r="B1395" s="8" t="s">
        <v>51</v>
      </c>
      <c r="C1395" s="30" t="n">
        <v>180</v>
      </c>
      <c r="D1395" s="30" t="n">
        <v>180</v>
      </c>
      <c r="E1395" s="30" t="n">
        <f aca="false">MIN(C1395,D1395)</f>
        <v>180</v>
      </c>
      <c r="F1395" s="8" t="n">
        <f aca="false">IF(D1395&gt;0,1,0)</f>
        <v>1</v>
      </c>
    </row>
    <row r="1396" customFormat="false" ht="15" hidden="false" customHeight="false" outlineLevel="0" collapsed="false">
      <c r="A1396" s="8" t="s">
        <v>4044</v>
      </c>
      <c r="B1396" s="8" t="s">
        <v>51</v>
      </c>
      <c r="C1396" s="30" t="n">
        <v>180</v>
      </c>
      <c r="D1396" s="30" t="n">
        <v>132</v>
      </c>
      <c r="E1396" s="30" t="n">
        <f aca="false">MIN(C1396,D1396)</f>
        <v>132</v>
      </c>
      <c r="F1396" s="8" t="n">
        <f aca="false">IF(D1396&gt;0,1,0)</f>
        <v>1</v>
      </c>
    </row>
    <row r="1397" customFormat="false" ht="15" hidden="false" customHeight="false" outlineLevel="0" collapsed="false">
      <c r="A1397" s="8" t="s">
        <v>3818</v>
      </c>
      <c r="B1397" s="8" t="s">
        <v>51</v>
      </c>
      <c r="C1397" s="30" t="n">
        <v>180</v>
      </c>
      <c r="D1397" s="30" t="n">
        <v>180</v>
      </c>
      <c r="E1397" s="30" t="n">
        <f aca="false">MIN(C1397,D1397)</f>
        <v>180</v>
      </c>
      <c r="F1397" s="8" t="n">
        <f aca="false">IF(D1397&gt;0,1,0)</f>
        <v>1</v>
      </c>
    </row>
    <row r="1398" customFormat="false" ht="15" hidden="false" customHeight="false" outlineLevel="0" collapsed="false">
      <c r="A1398" s="8" t="s">
        <v>3824</v>
      </c>
      <c r="B1398" s="8" t="s">
        <v>51</v>
      </c>
      <c r="C1398" s="30" t="n">
        <v>180</v>
      </c>
      <c r="D1398" s="30" t="n">
        <v>180</v>
      </c>
      <c r="E1398" s="30" t="n">
        <f aca="false">MIN(C1398,D1398)</f>
        <v>180</v>
      </c>
      <c r="F1398" s="8" t="n">
        <f aca="false">IF(D1398&gt;0,1,0)</f>
        <v>1</v>
      </c>
    </row>
    <row r="1399" customFormat="false" ht="15" hidden="false" customHeight="false" outlineLevel="0" collapsed="false">
      <c r="A1399" s="8" t="s">
        <v>4573</v>
      </c>
      <c r="B1399" s="8" t="s">
        <v>51</v>
      </c>
      <c r="C1399" s="30" t="n">
        <v>180</v>
      </c>
      <c r="D1399" s="30" t="n">
        <v>0</v>
      </c>
      <c r="E1399" s="30" t="n">
        <f aca="false">MIN(C1399,D1399)</f>
        <v>0</v>
      </c>
      <c r="F1399" s="8" t="n">
        <f aca="false">IF(D1399&gt;0,1,0)</f>
        <v>0</v>
      </c>
    </row>
    <row r="1400" customFormat="false" ht="15" hidden="false" customHeight="false" outlineLevel="0" collapsed="false">
      <c r="A1400" s="8" t="s">
        <v>3826</v>
      </c>
      <c r="B1400" s="8" t="s">
        <v>51</v>
      </c>
      <c r="C1400" s="30" t="n">
        <v>180</v>
      </c>
      <c r="D1400" s="30" t="n">
        <v>180</v>
      </c>
      <c r="E1400" s="30" t="n">
        <f aca="false">MIN(C1400,D1400)</f>
        <v>180</v>
      </c>
      <c r="F1400" s="8" t="n">
        <f aca="false">IF(D1400&gt;0,1,0)</f>
        <v>1</v>
      </c>
    </row>
    <row r="1401" customFormat="false" ht="15" hidden="false" customHeight="false" outlineLevel="0" collapsed="false">
      <c r="A1401" s="8" t="s">
        <v>3830</v>
      </c>
      <c r="B1401" s="8" t="s">
        <v>51</v>
      </c>
      <c r="C1401" s="30" t="n">
        <v>180</v>
      </c>
      <c r="D1401" s="30" t="n">
        <v>180</v>
      </c>
      <c r="E1401" s="30" t="n">
        <f aca="false">MIN(C1401,D1401)</f>
        <v>180</v>
      </c>
      <c r="F1401" s="8" t="n">
        <f aca="false">IF(D1401&gt;0,1,0)</f>
        <v>1</v>
      </c>
    </row>
    <row r="1402" customFormat="false" ht="15" hidden="false" customHeight="false" outlineLevel="0" collapsed="false">
      <c r="A1402" s="8" t="s">
        <v>3584</v>
      </c>
      <c r="B1402" s="8" t="s">
        <v>51</v>
      </c>
      <c r="C1402" s="30" t="n">
        <v>180</v>
      </c>
      <c r="D1402" s="30" t="n">
        <v>240</v>
      </c>
      <c r="E1402" s="30" t="n">
        <f aca="false">MIN(C1402,D1402)</f>
        <v>180</v>
      </c>
      <c r="F1402" s="8" t="n">
        <f aca="false">IF(D1402&gt;0,1,0)</f>
        <v>1</v>
      </c>
    </row>
    <row r="1403" customFormat="false" ht="15" hidden="false" customHeight="false" outlineLevel="0" collapsed="false">
      <c r="A1403" s="8" t="s">
        <v>3836</v>
      </c>
      <c r="B1403" s="8" t="s">
        <v>51</v>
      </c>
      <c r="C1403" s="30" t="n">
        <v>175</v>
      </c>
      <c r="D1403" s="30" t="n">
        <v>175</v>
      </c>
      <c r="E1403" s="30" t="n">
        <f aca="false">MIN(C1403,D1403)</f>
        <v>175</v>
      </c>
      <c r="F1403" s="8" t="n">
        <f aca="false">IF(D1403&gt;0,1,0)</f>
        <v>1</v>
      </c>
    </row>
    <row r="1404" customFormat="false" ht="15" hidden="false" customHeight="false" outlineLevel="0" collapsed="false">
      <c r="A1404" s="8" t="s">
        <v>3530</v>
      </c>
      <c r="B1404" s="8" t="s">
        <v>51</v>
      </c>
      <c r="C1404" s="30" t="n">
        <v>175</v>
      </c>
      <c r="D1404" s="30" t="n">
        <v>250</v>
      </c>
      <c r="E1404" s="30" t="n">
        <f aca="false">MIN(C1404,D1404)</f>
        <v>175</v>
      </c>
      <c r="F1404" s="8" t="n">
        <f aca="false">IF(D1404&gt;0,1,0)</f>
        <v>1</v>
      </c>
    </row>
    <row r="1405" customFormat="false" ht="15" hidden="false" customHeight="false" outlineLevel="0" collapsed="false">
      <c r="A1405" s="8" t="s">
        <v>3624</v>
      </c>
      <c r="B1405" s="8" t="s">
        <v>51</v>
      </c>
      <c r="C1405" s="30" t="n">
        <v>175</v>
      </c>
      <c r="D1405" s="30" t="n">
        <v>225</v>
      </c>
      <c r="E1405" s="30" t="n">
        <f aca="false">MIN(C1405,D1405)</f>
        <v>175</v>
      </c>
      <c r="F1405" s="8" t="n">
        <f aca="false">IF(D1405&gt;0,1,0)</f>
        <v>1</v>
      </c>
    </row>
    <row r="1406" customFormat="false" ht="15" hidden="false" customHeight="false" outlineLevel="0" collapsed="false">
      <c r="A1406" s="8" t="s">
        <v>3838</v>
      </c>
      <c r="B1406" s="8" t="s">
        <v>51</v>
      </c>
      <c r="C1406" s="30" t="n">
        <v>175</v>
      </c>
      <c r="D1406" s="30" t="n">
        <v>175</v>
      </c>
      <c r="E1406" s="30" t="n">
        <f aca="false">MIN(C1406,D1406)</f>
        <v>175</v>
      </c>
      <c r="F1406" s="8" t="n">
        <f aca="false">IF(D1406&gt;0,1,0)</f>
        <v>1</v>
      </c>
    </row>
    <row r="1407" customFormat="false" ht="15" hidden="false" customHeight="false" outlineLevel="0" collapsed="false">
      <c r="A1407" s="8" t="s">
        <v>3840</v>
      </c>
      <c r="B1407" s="8" t="s">
        <v>51</v>
      </c>
      <c r="C1407" s="30" t="n">
        <v>175</v>
      </c>
      <c r="D1407" s="30" t="n">
        <v>175</v>
      </c>
      <c r="E1407" s="30" t="n">
        <f aca="false">MIN(C1407,D1407)</f>
        <v>175</v>
      </c>
      <c r="F1407" s="8" t="n">
        <f aca="false">IF(D1407&gt;0,1,0)</f>
        <v>1</v>
      </c>
    </row>
    <row r="1408" customFormat="false" ht="15" hidden="false" customHeight="false" outlineLevel="0" collapsed="false">
      <c r="A1408" s="8" t="s">
        <v>3730</v>
      </c>
      <c r="B1408" s="8" t="s">
        <v>51</v>
      </c>
      <c r="C1408" s="30" t="n">
        <v>175</v>
      </c>
      <c r="D1408" s="30" t="n">
        <v>200</v>
      </c>
      <c r="E1408" s="30" t="n">
        <f aca="false">MIN(C1408,D1408)</f>
        <v>175</v>
      </c>
      <c r="F1408" s="8" t="n">
        <f aca="false">IF(D1408&gt;0,1,0)</f>
        <v>1</v>
      </c>
    </row>
    <row r="1409" customFormat="false" ht="15" hidden="false" customHeight="false" outlineLevel="0" collapsed="false">
      <c r="A1409" s="8" t="s">
        <v>3844</v>
      </c>
      <c r="B1409" s="8" t="s">
        <v>51</v>
      </c>
      <c r="C1409" s="30" t="n">
        <v>175</v>
      </c>
      <c r="D1409" s="30" t="n">
        <v>175</v>
      </c>
      <c r="E1409" s="30" t="n">
        <f aca="false">MIN(C1409,D1409)</f>
        <v>175</v>
      </c>
      <c r="F1409" s="8" t="n">
        <f aca="false">IF(D1409&gt;0,1,0)</f>
        <v>1</v>
      </c>
    </row>
    <row r="1410" customFormat="false" ht="15" hidden="false" customHeight="false" outlineLevel="0" collapsed="false">
      <c r="A1410" s="8" t="s">
        <v>3846</v>
      </c>
      <c r="B1410" s="8" t="s">
        <v>51</v>
      </c>
      <c r="C1410" s="30" t="n">
        <v>175</v>
      </c>
      <c r="D1410" s="30" t="n">
        <v>175</v>
      </c>
      <c r="E1410" s="30" t="n">
        <f aca="false">MIN(C1410,D1410)</f>
        <v>175</v>
      </c>
      <c r="F1410" s="8" t="n">
        <f aca="false">IF(D1410&gt;0,1,0)</f>
        <v>1</v>
      </c>
    </row>
    <row r="1411" customFormat="false" ht="15" hidden="false" customHeight="false" outlineLevel="0" collapsed="false">
      <c r="A1411" s="8" t="s">
        <v>3848</v>
      </c>
      <c r="B1411" s="8" t="s">
        <v>51</v>
      </c>
      <c r="C1411" s="30" t="n">
        <v>175</v>
      </c>
      <c r="D1411" s="30" t="n">
        <v>175</v>
      </c>
      <c r="E1411" s="30" t="n">
        <f aca="false">MIN(C1411,D1411)</f>
        <v>175</v>
      </c>
      <c r="F1411" s="8" t="n">
        <f aca="false">IF(D1411&gt;0,1,0)</f>
        <v>1</v>
      </c>
    </row>
    <row r="1412" customFormat="false" ht="15" hidden="false" customHeight="false" outlineLevel="0" collapsed="false">
      <c r="A1412" s="8" t="s">
        <v>4574</v>
      </c>
      <c r="B1412" s="8" t="s">
        <v>51</v>
      </c>
      <c r="C1412" s="30" t="n">
        <v>168</v>
      </c>
      <c r="D1412" s="30" t="n">
        <v>0</v>
      </c>
      <c r="E1412" s="30" t="n">
        <f aca="false">MIN(C1412,D1412)</f>
        <v>0</v>
      </c>
      <c r="F1412" s="8" t="n">
        <f aca="false">IF(D1412&gt;0,1,0)</f>
        <v>0</v>
      </c>
    </row>
    <row r="1413" customFormat="false" ht="15" hidden="false" customHeight="false" outlineLevel="0" collapsed="false">
      <c r="A1413" s="8" t="s">
        <v>3852</v>
      </c>
      <c r="B1413" s="8" t="s">
        <v>51</v>
      </c>
      <c r="C1413" s="30" t="n">
        <v>168</v>
      </c>
      <c r="D1413" s="30" t="n">
        <v>168</v>
      </c>
      <c r="E1413" s="30" t="n">
        <f aca="false">MIN(C1413,D1413)</f>
        <v>168</v>
      </c>
      <c r="F1413" s="8" t="n">
        <f aca="false">IF(D1413&gt;0,1,0)</f>
        <v>1</v>
      </c>
    </row>
    <row r="1414" customFormat="false" ht="15" hidden="false" customHeight="false" outlineLevel="0" collapsed="false">
      <c r="A1414" s="8" t="s">
        <v>4575</v>
      </c>
      <c r="B1414" s="8" t="s">
        <v>51</v>
      </c>
      <c r="C1414" s="30" t="n">
        <v>168</v>
      </c>
      <c r="D1414" s="30" t="n">
        <v>0</v>
      </c>
      <c r="E1414" s="30" t="n">
        <f aca="false">MIN(C1414,D1414)</f>
        <v>0</v>
      </c>
      <c r="F1414" s="8" t="n">
        <f aca="false">IF(D1414&gt;0,1,0)</f>
        <v>0</v>
      </c>
    </row>
    <row r="1415" customFormat="false" ht="15" hidden="false" customHeight="false" outlineLevel="0" collapsed="false">
      <c r="A1415" s="8" t="s">
        <v>3854</v>
      </c>
      <c r="B1415" s="8" t="s">
        <v>51</v>
      </c>
      <c r="C1415" s="30" t="n">
        <v>168</v>
      </c>
      <c r="D1415" s="30" t="n">
        <v>168</v>
      </c>
      <c r="E1415" s="30" t="n">
        <f aca="false">MIN(C1415,D1415)</f>
        <v>168</v>
      </c>
      <c r="F1415" s="8" t="n">
        <f aca="false">IF(D1415&gt;0,1,0)</f>
        <v>1</v>
      </c>
    </row>
    <row r="1416" customFormat="false" ht="15" hidden="false" customHeight="false" outlineLevel="0" collapsed="false">
      <c r="A1416" s="8" t="s">
        <v>3856</v>
      </c>
      <c r="B1416" s="8" t="s">
        <v>51</v>
      </c>
      <c r="C1416" s="30" t="n">
        <v>168</v>
      </c>
      <c r="D1416" s="30" t="n">
        <v>168</v>
      </c>
      <c r="E1416" s="30" t="n">
        <f aca="false">MIN(C1416,D1416)</f>
        <v>168</v>
      </c>
      <c r="F1416" s="8" t="n">
        <f aca="false">IF(D1416&gt;0,1,0)</f>
        <v>1</v>
      </c>
    </row>
    <row r="1417" customFormat="false" ht="15" hidden="false" customHeight="false" outlineLevel="0" collapsed="false">
      <c r="A1417" s="8" t="s">
        <v>3654</v>
      </c>
      <c r="B1417" s="8" t="s">
        <v>51</v>
      </c>
      <c r="C1417" s="30" t="n">
        <v>168</v>
      </c>
      <c r="D1417" s="30" t="n">
        <v>216</v>
      </c>
      <c r="E1417" s="30" t="n">
        <f aca="false">MIN(C1417,D1417)</f>
        <v>168</v>
      </c>
      <c r="F1417" s="8" t="n">
        <f aca="false">IF(D1417&gt;0,1,0)</f>
        <v>1</v>
      </c>
    </row>
    <row r="1418" customFormat="false" ht="15" hidden="false" customHeight="false" outlineLevel="0" collapsed="false">
      <c r="A1418" s="8" t="s">
        <v>3858</v>
      </c>
      <c r="B1418" s="8" t="s">
        <v>51</v>
      </c>
      <c r="C1418" s="30" t="n">
        <v>168</v>
      </c>
      <c r="D1418" s="30" t="n">
        <v>168</v>
      </c>
      <c r="E1418" s="30" t="n">
        <f aca="false">MIN(C1418,D1418)</f>
        <v>168</v>
      </c>
      <c r="F1418" s="8" t="n">
        <f aca="false">IF(D1418&gt;0,1,0)</f>
        <v>1</v>
      </c>
    </row>
    <row r="1419" customFormat="false" ht="15" hidden="false" customHeight="false" outlineLevel="0" collapsed="false">
      <c r="A1419" s="8" t="s">
        <v>3864</v>
      </c>
      <c r="B1419" s="8" t="s">
        <v>51</v>
      </c>
      <c r="C1419" s="30" t="n">
        <v>168</v>
      </c>
      <c r="D1419" s="30" t="n">
        <v>168</v>
      </c>
      <c r="E1419" s="30" t="n">
        <f aca="false">MIN(C1419,D1419)</f>
        <v>168</v>
      </c>
      <c r="F1419" s="8" t="n">
        <f aca="false">IF(D1419&gt;0,1,0)</f>
        <v>1</v>
      </c>
    </row>
    <row r="1420" customFormat="false" ht="15" hidden="false" customHeight="false" outlineLevel="0" collapsed="false">
      <c r="A1420" s="8" t="s">
        <v>3872</v>
      </c>
      <c r="B1420" s="8" t="s">
        <v>51</v>
      </c>
      <c r="C1420" s="30" t="n">
        <v>168</v>
      </c>
      <c r="D1420" s="30" t="n">
        <v>168</v>
      </c>
      <c r="E1420" s="30" t="n">
        <f aca="false">MIN(C1420,D1420)</f>
        <v>168</v>
      </c>
      <c r="F1420" s="8" t="n">
        <f aca="false">IF(D1420&gt;0,1,0)</f>
        <v>1</v>
      </c>
    </row>
    <row r="1421" customFormat="false" ht="15" hidden="false" customHeight="false" outlineLevel="0" collapsed="false">
      <c r="A1421" s="8" t="s">
        <v>3608</v>
      </c>
      <c r="B1421" s="8" t="s">
        <v>51</v>
      </c>
      <c r="C1421" s="30" t="n">
        <v>168</v>
      </c>
      <c r="D1421" s="30" t="n">
        <v>228</v>
      </c>
      <c r="E1421" s="30" t="n">
        <f aca="false">MIN(C1421,D1421)</f>
        <v>168</v>
      </c>
      <c r="F1421" s="8" t="n">
        <f aca="false">IF(D1421&gt;0,1,0)</f>
        <v>1</v>
      </c>
    </row>
    <row r="1422" customFormat="false" ht="15" hidden="false" customHeight="false" outlineLevel="0" collapsed="false">
      <c r="A1422" s="8" t="s">
        <v>3880</v>
      </c>
      <c r="B1422" s="8" t="s">
        <v>51</v>
      </c>
      <c r="C1422" s="30" t="n">
        <v>168</v>
      </c>
      <c r="D1422" s="30" t="n">
        <v>168</v>
      </c>
      <c r="E1422" s="30" t="n">
        <f aca="false">MIN(C1422,D1422)</f>
        <v>168</v>
      </c>
      <c r="F1422" s="8" t="n">
        <f aca="false">IF(D1422&gt;0,1,0)</f>
        <v>1</v>
      </c>
    </row>
    <row r="1423" customFormat="false" ht="15" hidden="false" customHeight="false" outlineLevel="0" collapsed="false">
      <c r="A1423" s="8" t="s">
        <v>3884</v>
      </c>
      <c r="B1423" s="8" t="s">
        <v>51</v>
      </c>
      <c r="C1423" s="30" t="n">
        <v>168</v>
      </c>
      <c r="D1423" s="30" t="n">
        <v>168</v>
      </c>
      <c r="E1423" s="30" t="n">
        <f aca="false">MIN(C1423,D1423)</f>
        <v>168</v>
      </c>
      <c r="F1423" s="8" t="n">
        <f aca="false">IF(D1423&gt;0,1,0)</f>
        <v>1</v>
      </c>
    </row>
    <row r="1424" customFormat="false" ht="15" hidden="false" customHeight="false" outlineLevel="0" collapsed="false">
      <c r="A1424" s="8" t="s">
        <v>4052</v>
      </c>
      <c r="B1424" s="8" t="s">
        <v>51</v>
      </c>
      <c r="C1424" s="30" t="n">
        <v>168</v>
      </c>
      <c r="D1424" s="30" t="n">
        <v>132</v>
      </c>
      <c r="E1424" s="30" t="n">
        <f aca="false">MIN(C1424,D1424)</f>
        <v>132</v>
      </c>
      <c r="F1424" s="8" t="n">
        <f aca="false">IF(D1424&gt;0,1,0)</f>
        <v>1</v>
      </c>
    </row>
    <row r="1425" customFormat="false" ht="15" hidden="false" customHeight="false" outlineLevel="0" collapsed="false">
      <c r="A1425" s="8" t="s">
        <v>4576</v>
      </c>
      <c r="B1425" s="8" t="s">
        <v>51</v>
      </c>
      <c r="C1425" s="30" t="n">
        <v>168</v>
      </c>
      <c r="D1425" s="30" t="n">
        <v>0</v>
      </c>
      <c r="E1425" s="30" t="n">
        <f aca="false">MIN(C1425,D1425)</f>
        <v>0</v>
      </c>
      <c r="F1425" s="8" t="n">
        <f aca="false">IF(D1425&gt;0,1,0)</f>
        <v>0</v>
      </c>
    </row>
    <row r="1426" customFormat="false" ht="15" hidden="false" customHeight="false" outlineLevel="0" collapsed="false">
      <c r="A1426" s="8" t="s">
        <v>4010</v>
      </c>
      <c r="B1426" s="8" t="s">
        <v>51</v>
      </c>
      <c r="C1426" s="30" t="n">
        <v>168</v>
      </c>
      <c r="D1426" s="30" t="n">
        <v>144</v>
      </c>
      <c r="E1426" s="30" t="n">
        <f aca="false">MIN(C1426,D1426)</f>
        <v>144</v>
      </c>
      <c r="F1426" s="8" t="n">
        <f aca="false">IF(D1426&gt;0,1,0)</f>
        <v>1</v>
      </c>
    </row>
    <row r="1427" customFormat="false" ht="15" hidden="false" customHeight="false" outlineLevel="0" collapsed="false">
      <c r="A1427" s="8" t="s">
        <v>4058</v>
      </c>
      <c r="B1427" s="8" t="s">
        <v>51</v>
      </c>
      <c r="C1427" s="30" t="n">
        <v>168</v>
      </c>
      <c r="D1427" s="30" t="n">
        <v>132</v>
      </c>
      <c r="E1427" s="30" t="n">
        <f aca="false">MIN(C1427,D1427)</f>
        <v>132</v>
      </c>
      <c r="F1427" s="8" t="n">
        <f aca="false">IF(D1427&gt;0,1,0)</f>
        <v>1</v>
      </c>
    </row>
    <row r="1428" customFormat="false" ht="15" hidden="false" customHeight="false" outlineLevel="0" collapsed="false">
      <c r="A1428" s="8" t="s">
        <v>3892</v>
      </c>
      <c r="B1428" s="8" t="s">
        <v>51</v>
      </c>
      <c r="C1428" s="30" t="n">
        <v>168</v>
      </c>
      <c r="D1428" s="30" t="n">
        <v>168</v>
      </c>
      <c r="E1428" s="30" t="n">
        <f aca="false">MIN(C1428,D1428)</f>
        <v>168</v>
      </c>
      <c r="F1428" s="8" t="n">
        <f aca="false">IF(D1428&gt;0,1,0)</f>
        <v>1</v>
      </c>
    </row>
    <row r="1429" customFormat="false" ht="15" hidden="false" customHeight="false" outlineLevel="0" collapsed="false">
      <c r="A1429" s="8" t="s">
        <v>3894</v>
      </c>
      <c r="B1429" s="8" t="s">
        <v>51</v>
      </c>
      <c r="C1429" s="30" t="n">
        <v>168</v>
      </c>
      <c r="D1429" s="30" t="n">
        <v>168</v>
      </c>
      <c r="E1429" s="30" t="n">
        <f aca="false">MIN(C1429,D1429)</f>
        <v>168</v>
      </c>
      <c r="F1429" s="8" t="n">
        <f aca="false">IF(D1429&gt;0,1,0)</f>
        <v>1</v>
      </c>
    </row>
    <row r="1430" customFormat="false" ht="15" hidden="false" customHeight="false" outlineLevel="0" collapsed="false">
      <c r="A1430" s="8" t="s">
        <v>3898</v>
      </c>
      <c r="B1430" s="8" t="s">
        <v>51</v>
      </c>
      <c r="C1430" s="30" t="n">
        <v>156</v>
      </c>
      <c r="D1430" s="30" t="n">
        <v>156</v>
      </c>
      <c r="E1430" s="30" t="n">
        <f aca="false">MIN(C1430,D1430)</f>
        <v>156</v>
      </c>
      <c r="F1430" s="8" t="n">
        <f aca="false">IF(D1430&gt;0,1,0)</f>
        <v>1</v>
      </c>
    </row>
    <row r="1431" customFormat="false" ht="15" hidden="false" customHeight="false" outlineLevel="0" collapsed="false">
      <c r="A1431" s="8" t="s">
        <v>3904</v>
      </c>
      <c r="B1431" s="8" t="s">
        <v>51</v>
      </c>
      <c r="C1431" s="30" t="n">
        <v>156</v>
      </c>
      <c r="D1431" s="30" t="n">
        <v>156</v>
      </c>
      <c r="E1431" s="30" t="n">
        <f aca="false">MIN(C1431,D1431)</f>
        <v>156</v>
      </c>
      <c r="F1431" s="8" t="n">
        <f aca="false">IF(D1431&gt;0,1,0)</f>
        <v>1</v>
      </c>
    </row>
    <row r="1432" customFormat="false" ht="15" hidden="false" customHeight="false" outlineLevel="0" collapsed="false">
      <c r="A1432" s="8" t="s">
        <v>3906</v>
      </c>
      <c r="B1432" s="8" t="s">
        <v>51</v>
      </c>
      <c r="C1432" s="30" t="n">
        <v>156</v>
      </c>
      <c r="D1432" s="30" t="n">
        <v>156</v>
      </c>
      <c r="E1432" s="30" t="n">
        <f aca="false">MIN(C1432,D1432)</f>
        <v>156</v>
      </c>
      <c r="F1432" s="8" t="n">
        <f aca="false">IF(D1432&gt;0,1,0)</f>
        <v>1</v>
      </c>
    </row>
    <row r="1433" customFormat="false" ht="15" hidden="false" customHeight="false" outlineLevel="0" collapsed="false">
      <c r="A1433" s="8" t="s">
        <v>3908</v>
      </c>
      <c r="B1433" s="8" t="s">
        <v>51</v>
      </c>
      <c r="C1433" s="30" t="n">
        <v>156</v>
      </c>
      <c r="D1433" s="30" t="n">
        <v>156</v>
      </c>
      <c r="E1433" s="30" t="n">
        <f aca="false">MIN(C1433,D1433)</f>
        <v>156</v>
      </c>
      <c r="F1433" s="8" t="n">
        <f aca="false">IF(D1433&gt;0,1,0)</f>
        <v>1</v>
      </c>
    </row>
    <row r="1434" customFormat="false" ht="15" hidden="false" customHeight="false" outlineLevel="0" collapsed="false">
      <c r="A1434" s="8" t="s">
        <v>4086</v>
      </c>
      <c r="B1434" s="8" t="s">
        <v>51</v>
      </c>
      <c r="C1434" s="30" t="n">
        <v>156</v>
      </c>
      <c r="D1434" s="30" t="n">
        <v>120</v>
      </c>
      <c r="E1434" s="30" t="n">
        <f aca="false">MIN(C1434,D1434)</f>
        <v>120</v>
      </c>
      <c r="F1434" s="8" t="n">
        <f aca="false">IF(D1434&gt;0,1,0)</f>
        <v>1</v>
      </c>
    </row>
    <row r="1435" customFormat="false" ht="15" hidden="false" customHeight="false" outlineLevel="0" collapsed="false">
      <c r="A1435" s="8" t="s">
        <v>3910</v>
      </c>
      <c r="B1435" s="8" t="s">
        <v>51</v>
      </c>
      <c r="C1435" s="30" t="n">
        <v>156</v>
      </c>
      <c r="D1435" s="30" t="n">
        <v>156</v>
      </c>
      <c r="E1435" s="30" t="n">
        <f aca="false">MIN(C1435,D1435)</f>
        <v>156</v>
      </c>
      <c r="F1435" s="8" t="n">
        <f aca="false">IF(D1435&gt;0,1,0)</f>
        <v>1</v>
      </c>
    </row>
    <row r="1436" customFormat="false" ht="15" hidden="false" customHeight="false" outlineLevel="0" collapsed="false">
      <c r="A1436" s="8" t="s">
        <v>3912</v>
      </c>
      <c r="B1436" s="8" t="s">
        <v>51</v>
      </c>
      <c r="C1436" s="30" t="n">
        <v>156</v>
      </c>
      <c r="D1436" s="30" t="n">
        <v>156</v>
      </c>
      <c r="E1436" s="30" t="n">
        <f aca="false">MIN(C1436,D1436)</f>
        <v>156</v>
      </c>
      <c r="F1436" s="8" t="n">
        <f aca="false">IF(D1436&gt;0,1,0)</f>
        <v>1</v>
      </c>
    </row>
    <row r="1437" customFormat="false" ht="15" hidden="false" customHeight="false" outlineLevel="0" collapsed="false">
      <c r="A1437" s="8" t="s">
        <v>3916</v>
      </c>
      <c r="B1437" s="8" t="s">
        <v>51</v>
      </c>
      <c r="C1437" s="30" t="n">
        <v>156</v>
      </c>
      <c r="D1437" s="30" t="n">
        <v>156</v>
      </c>
      <c r="E1437" s="30" t="n">
        <f aca="false">MIN(C1437,D1437)</f>
        <v>156</v>
      </c>
      <c r="F1437" s="8" t="n">
        <f aca="false">IF(D1437&gt;0,1,0)</f>
        <v>1</v>
      </c>
    </row>
    <row r="1438" customFormat="false" ht="15" hidden="false" customHeight="false" outlineLevel="0" collapsed="false">
      <c r="A1438" s="8" t="s">
        <v>3920</v>
      </c>
      <c r="B1438" s="8" t="s">
        <v>51</v>
      </c>
      <c r="C1438" s="30" t="n">
        <v>156</v>
      </c>
      <c r="D1438" s="30" t="n">
        <v>156</v>
      </c>
      <c r="E1438" s="30" t="n">
        <f aca="false">MIN(C1438,D1438)</f>
        <v>156</v>
      </c>
      <c r="F1438" s="8" t="n">
        <f aca="false">IF(D1438&gt;0,1,0)</f>
        <v>1</v>
      </c>
    </row>
    <row r="1439" customFormat="false" ht="15" hidden="false" customHeight="false" outlineLevel="0" collapsed="false">
      <c r="A1439" s="8" t="s">
        <v>4577</v>
      </c>
      <c r="B1439" s="8" t="s">
        <v>51</v>
      </c>
      <c r="C1439" s="30" t="n">
        <v>156</v>
      </c>
      <c r="D1439" s="30" t="n">
        <v>0</v>
      </c>
      <c r="E1439" s="30" t="n">
        <f aca="false">MIN(C1439,D1439)</f>
        <v>0</v>
      </c>
      <c r="F1439" s="8" t="n">
        <f aca="false">IF(D1439&gt;0,1,0)</f>
        <v>0</v>
      </c>
    </row>
    <row r="1440" customFormat="false" ht="15" hidden="false" customHeight="false" outlineLevel="0" collapsed="false">
      <c r="A1440" s="8" t="s">
        <v>3922</v>
      </c>
      <c r="B1440" s="8" t="s">
        <v>51</v>
      </c>
      <c r="C1440" s="30" t="n">
        <v>156</v>
      </c>
      <c r="D1440" s="30" t="n">
        <v>156</v>
      </c>
      <c r="E1440" s="30" t="n">
        <f aca="false">MIN(C1440,D1440)</f>
        <v>156</v>
      </c>
      <c r="F1440" s="8" t="n">
        <f aca="false">IF(D1440&gt;0,1,0)</f>
        <v>1</v>
      </c>
    </row>
    <row r="1441" customFormat="false" ht="15" hidden="false" customHeight="false" outlineLevel="0" collapsed="false">
      <c r="A1441" s="8" t="s">
        <v>3930</v>
      </c>
      <c r="B1441" s="8" t="s">
        <v>51</v>
      </c>
      <c r="C1441" s="30" t="n">
        <v>156</v>
      </c>
      <c r="D1441" s="30" t="n">
        <v>156</v>
      </c>
      <c r="E1441" s="30" t="n">
        <f aca="false">MIN(C1441,D1441)</f>
        <v>156</v>
      </c>
      <c r="F1441" s="8" t="n">
        <f aca="false">IF(D1441&gt;0,1,0)</f>
        <v>1</v>
      </c>
    </row>
    <row r="1442" customFormat="false" ht="15" hidden="false" customHeight="false" outlineLevel="0" collapsed="false">
      <c r="A1442" s="8" t="s">
        <v>4174</v>
      </c>
      <c r="B1442" s="8" t="s">
        <v>51</v>
      </c>
      <c r="C1442" s="30" t="n">
        <v>156</v>
      </c>
      <c r="D1442" s="30" t="n">
        <v>108</v>
      </c>
      <c r="E1442" s="30" t="n">
        <f aca="false">MIN(C1442,D1442)</f>
        <v>108</v>
      </c>
      <c r="F1442" s="8" t="n">
        <f aca="false">IF(D1442&gt;0,1,0)</f>
        <v>1</v>
      </c>
    </row>
    <row r="1443" customFormat="false" ht="15" hidden="false" customHeight="false" outlineLevel="0" collapsed="false">
      <c r="A1443" s="8" t="s">
        <v>3672</v>
      </c>
      <c r="B1443" s="8" t="s">
        <v>51</v>
      </c>
      <c r="C1443" s="30" t="n">
        <v>156</v>
      </c>
      <c r="D1443" s="30" t="n">
        <v>216</v>
      </c>
      <c r="E1443" s="30" t="n">
        <f aca="false">MIN(C1443,D1443)</f>
        <v>156</v>
      </c>
      <c r="F1443" s="8" t="n">
        <f aca="false">IF(D1443&gt;0,1,0)</f>
        <v>1</v>
      </c>
    </row>
    <row r="1444" customFormat="false" ht="15" hidden="false" customHeight="false" outlineLevel="0" collapsed="false">
      <c r="A1444" s="8" t="s">
        <v>3934</v>
      </c>
      <c r="B1444" s="8" t="s">
        <v>51</v>
      </c>
      <c r="C1444" s="30" t="n">
        <v>156</v>
      </c>
      <c r="D1444" s="30" t="n">
        <v>156</v>
      </c>
      <c r="E1444" s="30" t="n">
        <f aca="false">MIN(C1444,D1444)</f>
        <v>156</v>
      </c>
      <c r="F1444" s="8" t="n">
        <f aca="false">IF(D1444&gt;0,1,0)</f>
        <v>1</v>
      </c>
    </row>
    <row r="1445" customFormat="false" ht="15" hidden="false" customHeight="false" outlineLevel="0" collapsed="false">
      <c r="A1445" s="8" t="s">
        <v>3936</v>
      </c>
      <c r="B1445" s="8" t="s">
        <v>51</v>
      </c>
      <c r="C1445" s="30" t="n">
        <v>156</v>
      </c>
      <c r="D1445" s="30" t="n">
        <v>156</v>
      </c>
      <c r="E1445" s="30" t="n">
        <f aca="false">MIN(C1445,D1445)</f>
        <v>156</v>
      </c>
      <c r="F1445" s="8" t="n">
        <f aca="false">IF(D1445&gt;0,1,0)</f>
        <v>1</v>
      </c>
    </row>
    <row r="1446" customFormat="false" ht="15" hidden="false" customHeight="false" outlineLevel="0" collapsed="false">
      <c r="A1446" s="8" t="s">
        <v>3940</v>
      </c>
      <c r="B1446" s="8" t="s">
        <v>51</v>
      </c>
      <c r="C1446" s="30" t="n">
        <v>156</v>
      </c>
      <c r="D1446" s="30" t="n">
        <v>156</v>
      </c>
      <c r="E1446" s="30" t="n">
        <f aca="false">MIN(C1446,D1446)</f>
        <v>156</v>
      </c>
      <c r="F1446" s="8" t="n">
        <f aca="false">IF(D1446&gt;0,1,0)</f>
        <v>1</v>
      </c>
    </row>
    <row r="1447" customFormat="false" ht="15" hidden="false" customHeight="false" outlineLevel="0" collapsed="false">
      <c r="A1447" s="8" t="s">
        <v>3948</v>
      </c>
      <c r="B1447" s="8" t="s">
        <v>51</v>
      </c>
      <c r="C1447" s="30" t="n">
        <v>156</v>
      </c>
      <c r="D1447" s="30" t="n">
        <v>156</v>
      </c>
      <c r="E1447" s="30" t="n">
        <f aca="false">MIN(C1447,D1447)</f>
        <v>156</v>
      </c>
      <c r="F1447" s="8" t="n">
        <f aca="false">IF(D1447&gt;0,1,0)</f>
        <v>1</v>
      </c>
    </row>
    <row r="1448" customFormat="false" ht="15" hidden="false" customHeight="false" outlineLevel="0" collapsed="false">
      <c r="A1448" s="8" t="s">
        <v>3950</v>
      </c>
      <c r="B1448" s="8" t="s">
        <v>51</v>
      </c>
      <c r="C1448" s="30" t="n">
        <v>156</v>
      </c>
      <c r="D1448" s="30" t="n">
        <v>156</v>
      </c>
      <c r="E1448" s="30" t="n">
        <f aca="false">MIN(C1448,D1448)</f>
        <v>156</v>
      </c>
      <c r="F1448" s="8" t="n">
        <f aca="false">IF(D1448&gt;0,1,0)</f>
        <v>1</v>
      </c>
    </row>
    <row r="1449" customFormat="false" ht="15" hidden="false" customHeight="false" outlineLevel="0" collapsed="false">
      <c r="A1449" s="8" t="s">
        <v>4578</v>
      </c>
      <c r="B1449" s="8" t="s">
        <v>51</v>
      </c>
      <c r="C1449" s="30" t="n">
        <v>150</v>
      </c>
      <c r="D1449" s="30" t="n">
        <v>0</v>
      </c>
      <c r="E1449" s="30" t="n">
        <f aca="false">MIN(C1449,D1449)</f>
        <v>0</v>
      </c>
      <c r="F1449" s="8" t="n">
        <f aca="false">IF(D1449&gt;0,1,0)</f>
        <v>0</v>
      </c>
    </row>
    <row r="1450" customFormat="false" ht="15" hidden="false" customHeight="false" outlineLevel="0" collapsed="false">
      <c r="A1450" s="8" t="s">
        <v>3954</v>
      </c>
      <c r="B1450" s="8" t="s">
        <v>51</v>
      </c>
      <c r="C1450" s="30" t="n">
        <v>150</v>
      </c>
      <c r="D1450" s="30" t="n">
        <v>150</v>
      </c>
      <c r="E1450" s="30" t="n">
        <f aca="false">MIN(C1450,D1450)</f>
        <v>150</v>
      </c>
      <c r="F1450" s="8" t="n">
        <f aca="false">IF(D1450&gt;0,1,0)</f>
        <v>1</v>
      </c>
    </row>
    <row r="1451" customFormat="false" ht="15" hidden="false" customHeight="false" outlineLevel="0" collapsed="false">
      <c r="A1451" s="8" t="s">
        <v>3962</v>
      </c>
      <c r="B1451" s="8" t="s">
        <v>51</v>
      </c>
      <c r="C1451" s="30" t="n">
        <v>150</v>
      </c>
      <c r="D1451" s="30" t="n">
        <v>150</v>
      </c>
      <c r="E1451" s="30" t="n">
        <f aca="false">MIN(C1451,D1451)</f>
        <v>150</v>
      </c>
      <c r="F1451" s="8" t="n">
        <f aca="false">IF(D1451&gt;0,1,0)</f>
        <v>1</v>
      </c>
    </row>
    <row r="1452" customFormat="false" ht="15" hidden="false" customHeight="false" outlineLevel="0" collapsed="false">
      <c r="A1452" s="8" t="s">
        <v>3964</v>
      </c>
      <c r="B1452" s="8" t="s">
        <v>51</v>
      </c>
      <c r="C1452" s="30" t="n">
        <v>150</v>
      </c>
      <c r="D1452" s="30" t="n">
        <v>150</v>
      </c>
      <c r="E1452" s="30" t="n">
        <f aca="false">MIN(C1452,D1452)</f>
        <v>150</v>
      </c>
      <c r="F1452" s="8" t="n">
        <f aca="false">IF(D1452&gt;0,1,0)</f>
        <v>1</v>
      </c>
    </row>
    <row r="1453" customFormat="false" ht="15" hidden="false" customHeight="false" outlineLevel="0" collapsed="false">
      <c r="A1453" s="8" t="s">
        <v>3728</v>
      </c>
      <c r="B1453" s="8" t="s">
        <v>51</v>
      </c>
      <c r="C1453" s="30" t="n">
        <v>150</v>
      </c>
      <c r="D1453" s="30" t="n">
        <v>200</v>
      </c>
      <c r="E1453" s="30" t="n">
        <f aca="false">MIN(C1453,D1453)</f>
        <v>150</v>
      </c>
      <c r="F1453" s="8" t="n">
        <f aca="false">IF(D1453&gt;0,1,0)</f>
        <v>1</v>
      </c>
    </row>
    <row r="1454" customFormat="false" ht="15" hidden="false" customHeight="false" outlineLevel="0" collapsed="false">
      <c r="A1454" s="8" t="s">
        <v>3970</v>
      </c>
      <c r="B1454" s="8" t="s">
        <v>51</v>
      </c>
      <c r="C1454" s="30" t="n">
        <v>150</v>
      </c>
      <c r="D1454" s="30" t="n">
        <v>150</v>
      </c>
      <c r="E1454" s="30" t="n">
        <f aca="false">MIN(C1454,D1454)</f>
        <v>150</v>
      </c>
      <c r="F1454" s="8" t="n">
        <f aca="false">IF(D1454&gt;0,1,0)</f>
        <v>1</v>
      </c>
    </row>
    <row r="1455" customFormat="false" ht="15" hidden="false" customHeight="false" outlineLevel="0" collapsed="false">
      <c r="A1455" s="8" t="s">
        <v>3634</v>
      </c>
      <c r="B1455" s="8" t="s">
        <v>51</v>
      </c>
      <c r="C1455" s="30" t="n">
        <v>150</v>
      </c>
      <c r="D1455" s="30" t="n">
        <v>225</v>
      </c>
      <c r="E1455" s="30" t="n">
        <f aca="false">MIN(C1455,D1455)</f>
        <v>150</v>
      </c>
      <c r="F1455" s="8" t="n">
        <f aca="false">IF(D1455&gt;0,1,0)</f>
        <v>1</v>
      </c>
    </row>
    <row r="1456" customFormat="false" ht="15" hidden="false" customHeight="false" outlineLevel="0" collapsed="false">
      <c r="A1456" s="8" t="s">
        <v>3974</v>
      </c>
      <c r="B1456" s="8" t="s">
        <v>51</v>
      </c>
      <c r="C1456" s="30" t="n">
        <v>150</v>
      </c>
      <c r="D1456" s="30" t="n">
        <v>150</v>
      </c>
      <c r="E1456" s="30" t="n">
        <f aca="false">MIN(C1456,D1456)</f>
        <v>150</v>
      </c>
      <c r="F1456" s="8" t="n">
        <f aca="false">IF(D1456&gt;0,1,0)</f>
        <v>1</v>
      </c>
    </row>
    <row r="1457" customFormat="false" ht="15" hidden="false" customHeight="false" outlineLevel="0" collapsed="false">
      <c r="A1457" s="8" t="s">
        <v>4579</v>
      </c>
      <c r="B1457" s="8" t="s">
        <v>51</v>
      </c>
      <c r="C1457" s="30" t="n">
        <v>150</v>
      </c>
      <c r="D1457" s="30" t="n">
        <v>0</v>
      </c>
      <c r="E1457" s="30" t="n">
        <f aca="false">MIN(C1457,D1457)</f>
        <v>0</v>
      </c>
      <c r="F1457" s="8" t="n">
        <f aca="false">IF(D1457&gt;0,1,0)</f>
        <v>0</v>
      </c>
    </row>
    <row r="1458" customFormat="false" ht="15" hidden="false" customHeight="false" outlineLevel="0" collapsed="false">
      <c r="A1458" s="8" t="s">
        <v>3980</v>
      </c>
      <c r="B1458" s="8" t="s">
        <v>51</v>
      </c>
      <c r="C1458" s="30" t="n">
        <v>150</v>
      </c>
      <c r="D1458" s="30" t="n">
        <v>150</v>
      </c>
      <c r="E1458" s="30" t="n">
        <f aca="false">MIN(C1458,D1458)</f>
        <v>150</v>
      </c>
      <c r="F1458" s="8" t="n">
        <f aca="false">IF(D1458&gt;0,1,0)</f>
        <v>1</v>
      </c>
    </row>
    <row r="1459" customFormat="false" ht="15" hidden="false" customHeight="false" outlineLevel="0" collapsed="false">
      <c r="A1459" s="8" t="s">
        <v>4580</v>
      </c>
      <c r="B1459" s="8" t="s">
        <v>51</v>
      </c>
      <c r="C1459" s="30" t="n">
        <v>144</v>
      </c>
      <c r="D1459" s="30" t="n">
        <v>0</v>
      </c>
      <c r="E1459" s="30" t="n">
        <f aca="false">MIN(C1459,D1459)</f>
        <v>0</v>
      </c>
      <c r="F1459" s="8" t="n">
        <f aca="false">IF(D1459&gt;0,1,0)</f>
        <v>0</v>
      </c>
    </row>
    <row r="1460" customFormat="false" ht="15" hidden="false" customHeight="false" outlineLevel="0" collapsed="false">
      <c r="A1460" s="8" t="s">
        <v>3982</v>
      </c>
      <c r="B1460" s="8" t="s">
        <v>51</v>
      </c>
      <c r="C1460" s="30" t="n">
        <v>144</v>
      </c>
      <c r="D1460" s="30" t="n">
        <v>144</v>
      </c>
      <c r="E1460" s="30" t="n">
        <f aca="false">MIN(C1460,D1460)</f>
        <v>144</v>
      </c>
      <c r="F1460" s="8" t="n">
        <f aca="false">IF(D1460&gt;0,1,0)</f>
        <v>1</v>
      </c>
    </row>
    <row r="1461" customFormat="false" ht="15" hidden="false" customHeight="false" outlineLevel="0" collapsed="false">
      <c r="A1461" s="8" t="s">
        <v>4581</v>
      </c>
      <c r="B1461" s="8" t="s">
        <v>51</v>
      </c>
      <c r="C1461" s="30" t="n">
        <v>144</v>
      </c>
      <c r="D1461" s="30" t="n">
        <v>0</v>
      </c>
      <c r="E1461" s="30" t="n">
        <f aca="false">MIN(C1461,D1461)</f>
        <v>0</v>
      </c>
      <c r="F1461" s="8" t="n">
        <f aca="false">IF(D1461&gt;0,1,0)</f>
        <v>0</v>
      </c>
    </row>
    <row r="1462" customFormat="false" ht="15" hidden="false" customHeight="false" outlineLevel="0" collapsed="false">
      <c r="A1462" s="8" t="s">
        <v>3984</v>
      </c>
      <c r="B1462" s="8" t="s">
        <v>51</v>
      </c>
      <c r="C1462" s="30" t="n">
        <v>144</v>
      </c>
      <c r="D1462" s="30" t="n">
        <v>144</v>
      </c>
      <c r="E1462" s="30" t="n">
        <f aca="false">MIN(C1462,D1462)</f>
        <v>144</v>
      </c>
      <c r="F1462" s="8" t="n">
        <f aca="false">IF(D1462&gt;0,1,0)</f>
        <v>1</v>
      </c>
    </row>
    <row r="1463" customFormat="false" ht="15" hidden="false" customHeight="false" outlineLevel="0" collapsed="false">
      <c r="A1463" s="8" t="s">
        <v>3742</v>
      </c>
      <c r="B1463" s="8" t="s">
        <v>51</v>
      </c>
      <c r="C1463" s="30" t="n">
        <v>144</v>
      </c>
      <c r="D1463" s="30" t="n">
        <v>192</v>
      </c>
      <c r="E1463" s="30" t="n">
        <f aca="false">MIN(C1463,D1463)</f>
        <v>144</v>
      </c>
      <c r="F1463" s="8" t="n">
        <f aca="false">IF(D1463&gt;0,1,0)</f>
        <v>1</v>
      </c>
    </row>
    <row r="1464" customFormat="false" ht="15" hidden="false" customHeight="false" outlineLevel="0" collapsed="false">
      <c r="A1464" s="8" t="s">
        <v>3992</v>
      </c>
      <c r="B1464" s="8" t="s">
        <v>51</v>
      </c>
      <c r="C1464" s="30" t="n">
        <v>144</v>
      </c>
      <c r="D1464" s="30" t="n">
        <v>144</v>
      </c>
      <c r="E1464" s="30" t="n">
        <f aca="false">MIN(C1464,D1464)</f>
        <v>144</v>
      </c>
      <c r="F1464" s="8" t="n">
        <f aca="false">IF(D1464&gt;0,1,0)</f>
        <v>1</v>
      </c>
    </row>
    <row r="1465" customFormat="false" ht="15" hidden="false" customHeight="false" outlineLevel="0" collapsed="false">
      <c r="A1465" s="8" t="s">
        <v>3994</v>
      </c>
      <c r="B1465" s="8" t="s">
        <v>51</v>
      </c>
      <c r="C1465" s="30" t="n">
        <v>144</v>
      </c>
      <c r="D1465" s="30" t="n">
        <v>144</v>
      </c>
      <c r="E1465" s="30" t="n">
        <f aca="false">MIN(C1465,D1465)</f>
        <v>144</v>
      </c>
      <c r="F1465" s="8" t="n">
        <f aca="false">IF(D1465&gt;0,1,0)</f>
        <v>1</v>
      </c>
    </row>
    <row r="1466" customFormat="false" ht="15" hidden="false" customHeight="false" outlineLevel="0" collapsed="false">
      <c r="A1466" s="8" t="s">
        <v>3998</v>
      </c>
      <c r="B1466" s="8" t="s">
        <v>51</v>
      </c>
      <c r="C1466" s="30" t="n">
        <v>144</v>
      </c>
      <c r="D1466" s="30" t="n">
        <v>144</v>
      </c>
      <c r="E1466" s="30" t="n">
        <f aca="false">MIN(C1466,D1466)</f>
        <v>144</v>
      </c>
      <c r="F1466" s="8" t="n">
        <f aca="false">IF(D1466&gt;0,1,0)</f>
        <v>1</v>
      </c>
    </row>
    <row r="1467" customFormat="false" ht="15" hidden="false" customHeight="false" outlineLevel="0" collapsed="false">
      <c r="A1467" s="8" t="s">
        <v>4582</v>
      </c>
      <c r="B1467" s="8" t="s">
        <v>51</v>
      </c>
      <c r="C1467" s="30" t="n">
        <v>144</v>
      </c>
      <c r="D1467" s="30" t="n">
        <v>0</v>
      </c>
      <c r="E1467" s="30" t="n">
        <f aca="false">MIN(C1467,D1467)</f>
        <v>0</v>
      </c>
      <c r="F1467" s="8" t="n">
        <f aca="false">IF(D1467&gt;0,1,0)</f>
        <v>0</v>
      </c>
    </row>
    <row r="1468" customFormat="false" ht="15" hidden="false" customHeight="false" outlineLevel="0" collapsed="false">
      <c r="A1468" s="8" t="s">
        <v>4008</v>
      </c>
      <c r="B1468" s="8" t="s">
        <v>51</v>
      </c>
      <c r="C1468" s="30" t="n">
        <v>144</v>
      </c>
      <c r="D1468" s="30" t="n">
        <v>144</v>
      </c>
      <c r="E1468" s="30" t="n">
        <f aca="false">MIN(C1468,D1468)</f>
        <v>144</v>
      </c>
      <c r="F1468" s="8" t="n">
        <f aca="false">IF(D1468&gt;0,1,0)</f>
        <v>1</v>
      </c>
    </row>
    <row r="1469" customFormat="false" ht="15" hidden="false" customHeight="false" outlineLevel="0" collapsed="false">
      <c r="A1469" s="8" t="s">
        <v>3822</v>
      </c>
      <c r="B1469" s="8" t="s">
        <v>51</v>
      </c>
      <c r="C1469" s="30" t="n">
        <v>144</v>
      </c>
      <c r="D1469" s="30" t="n">
        <v>180</v>
      </c>
      <c r="E1469" s="30" t="n">
        <f aca="false">MIN(C1469,D1469)</f>
        <v>144</v>
      </c>
      <c r="F1469" s="8" t="n">
        <f aca="false">IF(D1469&gt;0,1,0)</f>
        <v>1</v>
      </c>
    </row>
    <row r="1470" customFormat="false" ht="15" hidden="false" customHeight="false" outlineLevel="0" collapsed="false">
      <c r="A1470" s="8" t="s">
        <v>4016</v>
      </c>
      <c r="B1470" s="8" t="s">
        <v>51</v>
      </c>
      <c r="C1470" s="30" t="n">
        <v>144</v>
      </c>
      <c r="D1470" s="30" t="n">
        <v>144</v>
      </c>
      <c r="E1470" s="30" t="n">
        <f aca="false">MIN(C1470,D1470)</f>
        <v>144</v>
      </c>
      <c r="F1470" s="8" t="n">
        <f aca="false">IF(D1470&gt;0,1,0)</f>
        <v>1</v>
      </c>
    </row>
    <row r="1471" customFormat="false" ht="15" hidden="false" customHeight="false" outlineLevel="0" collapsed="false">
      <c r="A1471" s="8" t="s">
        <v>4022</v>
      </c>
      <c r="B1471" s="8" t="s">
        <v>51</v>
      </c>
      <c r="C1471" s="30" t="n">
        <v>144</v>
      </c>
      <c r="D1471" s="30" t="n">
        <v>144</v>
      </c>
      <c r="E1471" s="30" t="n">
        <f aca="false">MIN(C1471,D1471)</f>
        <v>144</v>
      </c>
      <c r="F1471" s="8" t="n">
        <f aca="false">IF(D1471&gt;0,1,0)</f>
        <v>1</v>
      </c>
    </row>
    <row r="1472" customFormat="false" ht="15" hidden="false" customHeight="false" outlineLevel="0" collapsed="false">
      <c r="A1472" s="8" t="s">
        <v>3900</v>
      </c>
      <c r="B1472" s="8" t="s">
        <v>51</v>
      </c>
      <c r="C1472" s="30" t="n">
        <v>132</v>
      </c>
      <c r="D1472" s="30" t="n">
        <v>156</v>
      </c>
      <c r="E1472" s="30" t="n">
        <f aca="false">MIN(C1472,D1472)</f>
        <v>132</v>
      </c>
      <c r="F1472" s="8" t="n">
        <f aca="false">IF(D1472&gt;0,1,0)</f>
        <v>1</v>
      </c>
    </row>
    <row r="1473" customFormat="false" ht="15" hidden="false" customHeight="false" outlineLevel="0" collapsed="false">
      <c r="A1473" s="8" t="s">
        <v>3778</v>
      </c>
      <c r="B1473" s="8" t="s">
        <v>51</v>
      </c>
      <c r="C1473" s="30" t="n">
        <v>132</v>
      </c>
      <c r="D1473" s="30" t="n">
        <v>180</v>
      </c>
      <c r="E1473" s="30" t="n">
        <f aca="false">MIN(C1473,D1473)</f>
        <v>132</v>
      </c>
      <c r="F1473" s="8" t="n">
        <f aca="false">IF(D1473&gt;0,1,0)</f>
        <v>1</v>
      </c>
    </row>
    <row r="1474" customFormat="false" ht="15" hidden="false" customHeight="false" outlineLevel="0" collapsed="false">
      <c r="A1474" s="8" t="s">
        <v>4024</v>
      </c>
      <c r="B1474" s="8" t="s">
        <v>51</v>
      </c>
      <c r="C1474" s="30" t="n">
        <v>132</v>
      </c>
      <c r="D1474" s="30" t="n">
        <v>132</v>
      </c>
      <c r="E1474" s="30" t="n">
        <f aca="false">MIN(C1474,D1474)</f>
        <v>132</v>
      </c>
      <c r="F1474" s="8" t="n">
        <f aca="false">IF(D1474&gt;0,1,0)</f>
        <v>1</v>
      </c>
    </row>
    <row r="1475" customFormat="false" ht="15" hidden="false" customHeight="false" outlineLevel="0" collapsed="false">
      <c r="A1475" s="8" t="s">
        <v>3782</v>
      </c>
      <c r="B1475" s="8" t="s">
        <v>51</v>
      </c>
      <c r="C1475" s="30" t="n">
        <v>132</v>
      </c>
      <c r="D1475" s="30" t="n">
        <v>180</v>
      </c>
      <c r="E1475" s="30" t="n">
        <f aca="false">MIN(C1475,D1475)</f>
        <v>132</v>
      </c>
      <c r="F1475" s="8" t="n">
        <f aca="false">IF(D1475&gt;0,1,0)</f>
        <v>1</v>
      </c>
    </row>
    <row r="1476" customFormat="false" ht="15" hidden="false" customHeight="false" outlineLevel="0" collapsed="false">
      <c r="A1476" s="8" t="s">
        <v>4026</v>
      </c>
      <c r="B1476" s="8" t="s">
        <v>51</v>
      </c>
      <c r="C1476" s="30" t="n">
        <v>132</v>
      </c>
      <c r="D1476" s="30" t="n">
        <v>132</v>
      </c>
      <c r="E1476" s="30" t="n">
        <f aca="false">MIN(C1476,D1476)</f>
        <v>132</v>
      </c>
      <c r="F1476" s="8" t="n">
        <f aca="false">IF(D1476&gt;0,1,0)</f>
        <v>1</v>
      </c>
    </row>
    <row r="1477" customFormat="false" ht="15" hidden="false" customHeight="false" outlineLevel="0" collapsed="false">
      <c r="A1477" s="8" t="s">
        <v>3914</v>
      </c>
      <c r="B1477" s="8" t="s">
        <v>51</v>
      </c>
      <c r="C1477" s="30" t="n">
        <v>132</v>
      </c>
      <c r="D1477" s="30" t="n">
        <v>156</v>
      </c>
      <c r="E1477" s="30" t="n">
        <f aca="false">MIN(C1477,D1477)</f>
        <v>132</v>
      </c>
      <c r="F1477" s="8" t="n">
        <f aca="false">IF(D1477&gt;0,1,0)</f>
        <v>1</v>
      </c>
    </row>
    <row r="1478" customFormat="false" ht="15" hidden="false" customHeight="false" outlineLevel="0" collapsed="false">
      <c r="A1478" s="8" t="s">
        <v>3862</v>
      </c>
      <c r="B1478" s="8" t="s">
        <v>51</v>
      </c>
      <c r="C1478" s="30" t="n">
        <v>132</v>
      </c>
      <c r="D1478" s="30" t="n">
        <v>168</v>
      </c>
      <c r="E1478" s="30" t="n">
        <f aca="false">MIN(C1478,D1478)</f>
        <v>132</v>
      </c>
      <c r="F1478" s="8" t="n">
        <f aca="false">IF(D1478&gt;0,1,0)</f>
        <v>1</v>
      </c>
    </row>
    <row r="1479" customFormat="false" ht="15" hidden="false" customHeight="false" outlineLevel="0" collapsed="false">
      <c r="A1479" s="8" t="s">
        <v>4030</v>
      </c>
      <c r="B1479" s="8" t="s">
        <v>51</v>
      </c>
      <c r="C1479" s="30" t="n">
        <v>132</v>
      </c>
      <c r="D1479" s="30" t="n">
        <v>132</v>
      </c>
      <c r="E1479" s="30" t="n">
        <f aca="false">MIN(C1479,D1479)</f>
        <v>132</v>
      </c>
      <c r="F1479" s="8" t="n">
        <f aca="false">IF(D1479&gt;0,1,0)</f>
        <v>1</v>
      </c>
    </row>
    <row r="1480" customFormat="false" ht="15" hidden="false" customHeight="false" outlineLevel="0" collapsed="false">
      <c r="A1480" s="8" t="s">
        <v>3928</v>
      </c>
      <c r="B1480" s="8" t="s">
        <v>51</v>
      </c>
      <c r="C1480" s="30" t="n">
        <v>132</v>
      </c>
      <c r="D1480" s="30" t="n">
        <v>156</v>
      </c>
      <c r="E1480" s="30" t="n">
        <f aca="false">MIN(C1480,D1480)</f>
        <v>132</v>
      </c>
      <c r="F1480" s="8" t="n">
        <f aca="false">IF(D1480&gt;0,1,0)</f>
        <v>1</v>
      </c>
    </row>
    <row r="1481" customFormat="false" ht="15" hidden="false" customHeight="false" outlineLevel="0" collapsed="false">
      <c r="A1481" s="8" t="s">
        <v>4583</v>
      </c>
      <c r="B1481" s="8" t="s">
        <v>51</v>
      </c>
      <c r="C1481" s="30" t="n">
        <v>132</v>
      </c>
      <c r="D1481" s="30" t="n">
        <v>0</v>
      </c>
      <c r="E1481" s="30" t="n">
        <f aca="false">MIN(C1481,D1481)</f>
        <v>0</v>
      </c>
      <c r="F1481" s="8" t="n">
        <f aca="false">IF(D1481&gt;0,1,0)</f>
        <v>0</v>
      </c>
    </row>
    <row r="1482" customFormat="false" ht="15" hidden="false" customHeight="false" outlineLevel="0" collapsed="false">
      <c r="A1482" s="8" t="s">
        <v>4036</v>
      </c>
      <c r="B1482" s="8" t="s">
        <v>51</v>
      </c>
      <c r="C1482" s="30" t="n">
        <v>132</v>
      </c>
      <c r="D1482" s="30" t="n">
        <v>132</v>
      </c>
      <c r="E1482" s="30" t="n">
        <f aca="false">MIN(C1482,D1482)</f>
        <v>132</v>
      </c>
      <c r="F1482" s="8" t="n">
        <f aca="false">IF(D1482&gt;0,1,0)</f>
        <v>1</v>
      </c>
    </row>
    <row r="1483" customFormat="false" ht="15" hidden="false" customHeight="false" outlineLevel="0" collapsed="false">
      <c r="A1483" s="8" t="s">
        <v>4038</v>
      </c>
      <c r="B1483" s="8" t="s">
        <v>51</v>
      </c>
      <c r="C1483" s="30" t="n">
        <v>132</v>
      </c>
      <c r="D1483" s="30" t="n">
        <v>132</v>
      </c>
      <c r="E1483" s="30" t="n">
        <f aca="false">MIN(C1483,D1483)</f>
        <v>132</v>
      </c>
      <c r="F1483" s="8" t="n">
        <f aca="false">IF(D1483&gt;0,1,0)</f>
        <v>1</v>
      </c>
    </row>
    <row r="1484" customFormat="false" ht="15" hidden="false" customHeight="false" outlineLevel="0" collapsed="false">
      <c r="A1484" s="8" t="s">
        <v>4048</v>
      </c>
      <c r="B1484" s="8" t="s">
        <v>51</v>
      </c>
      <c r="C1484" s="30" t="n">
        <v>132</v>
      </c>
      <c r="D1484" s="30" t="n">
        <v>132</v>
      </c>
      <c r="E1484" s="30" t="n">
        <f aca="false">MIN(C1484,D1484)</f>
        <v>132</v>
      </c>
      <c r="F1484" s="8" t="n">
        <f aca="false">IF(D1484&gt;0,1,0)</f>
        <v>1</v>
      </c>
    </row>
    <row r="1485" customFormat="false" ht="15" hidden="false" customHeight="false" outlineLevel="0" collapsed="false">
      <c r="A1485" s="8" t="s">
        <v>4054</v>
      </c>
      <c r="B1485" s="8" t="s">
        <v>51</v>
      </c>
      <c r="C1485" s="30" t="n">
        <v>132</v>
      </c>
      <c r="D1485" s="30" t="n">
        <v>132</v>
      </c>
      <c r="E1485" s="30" t="n">
        <f aca="false">MIN(C1485,D1485)</f>
        <v>132</v>
      </c>
      <c r="F1485" s="8" t="n">
        <f aca="false">IF(D1485&gt;0,1,0)</f>
        <v>1</v>
      </c>
    </row>
    <row r="1486" customFormat="false" ht="15" hidden="false" customHeight="false" outlineLevel="0" collapsed="false">
      <c r="A1486" s="8" t="s">
        <v>4060</v>
      </c>
      <c r="B1486" s="8" t="s">
        <v>51</v>
      </c>
      <c r="C1486" s="30" t="n">
        <v>132</v>
      </c>
      <c r="D1486" s="30" t="n">
        <v>132</v>
      </c>
      <c r="E1486" s="30" t="n">
        <f aca="false">MIN(C1486,D1486)</f>
        <v>132</v>
      </c>
      <c r="F1486" s="8" t="n">
        <f aca="false">IF(D1486&gt;0,1,0)</f>
        <v>1</v>
      </c>
    </row>
    <row r="1487" customFormat="false" ht="15" hidden="false" customHeight="false" outlineLevel="0" collapsed="false">
      <c r="A1487" s="8" t="s">
        <v>4064</v>
      </c>
      <c r="B1487" s="8" t="s">
        <v>51</v>
      </c>
      <c r="C1487" s="30" t="n">
        <v>132</v>
      </c>
      <c r="D1487" s="30" t="n">
        <v>132</v>
      </c>
      <c r="E1487" s="30" t="n">
        <f aca="false">MIN(C1487,D1487)</f>
        <v>132</v>
      </c>
      <c r="F1487" s="8" t="n">
        <f aca="false">IF(D1487&gt;0,1,0)</f>
        <v>1</v>
      </c>
    </row>
    <row r="1488" customFormat="false" ht="15" hidden="false" customHeight="false" outlineLevel="0" collapsed="false">
      <c r="A1488" s="8" t="s">
        <v>4584</v>
      </c>
      <c r="B1488" s="8" t="s">
        <v>51</v>
      </c>
      <c r="C1488" s="30" t="n">
        <v>132</v>
      </c>
      <c r="D1488" s="30" t="n">
        <v>0</v>
      </c>
      <c r="E1488" s="30" t="n">
        <f aca="false">MIN(C1488,D1488)</f>
        <v>0</v>
      </c>
      <c r="F1488" s="8" t="n">
        <f aca="false">IF(D1488&gt;0,1,0)</f>
        <v>0</v>
      </c>
    </row>
    <row r="1489" customFormat="false" ht="15" hidden="false" customHeight="false" outlineLevel="0" collapsed="false">
      <c r="A1489" s="8" t="s">
        <v>4070</v>
      </c>
      <c r="B1489" s="8" t="s">
        <v>51</v>
      </c>
      <c r="C1489" s="30" t="n">
        <v>132</v>
      </c>
      <c r="D1489" s="30" t="n">
        <v>132</v>
      </c>
      <c r="E1489" s="30" t="n">
        <f aca="false">MIN(C1489,D1489)</f>
        <v>132</v>
      </c>
      <c r="F1489" s="8" t="n">
        <f aca="false">IF(D1489&gt;0,1,0)</f>
        <v>1</v>
      </c>
    </row>
    <row r="1490" customFormat="false" ht="15" hidden="false" customHeight="false" outlineLevel="0" collapsed="false">
      <c r="A1490" s="8" t="s">
        <v>4585</v>
      </c>
      <c r="B1490" s="8" t="s">
        <v>51</v>
      </c>
      <c r="C1490" s="30" t="n">
        <v>132</v>
      </c>
      <c r="D1490" s="30" t="n">
        <v>0</v>
      </c>
      <c r="E1490" s="30" t="n">
        <f aca="false">MIN(C1490,D1490)</f>
        <v>0</v>
      </c>
      <c r="F1490" s="8" t="n">
        <f aca="false">IF(D1490&gt;0,1,0)</f>
        <v>0</v>
      </c>
    </row>
    <row r="1491" customFormat="false" ht="15" hidden="false" customHeight="false" outlineLevel="0" collapsed="false">
      <c r="A1491" s="8" t="s">
        <v>4586</v>
      </c>
      <c r="B1491" s="8" t="s">
        <v>51</v>
      </c>
      <c r="C1491" s="30" t="n">
        <v>125</v>
      </c>
      <c r="D1491" s="30" t="n">
        <v>0</v>
      </c>
      <c r="E1491" s="30" t="n">
        <f aca="false">MIN(C1491,D1491)</f>
        <v>0</v>
      </c>
      <c r="F1491" s="8" t="n">
        <f aca="false">IF(D1491&gt;0,1,0)</f>
        <v>0</v>
      </c>
    </row>
    <row r="1492" customFormat="false" ht="15" hidden="false" customHeight="false" outlineLevel="0" collapsed="false">
      <c r="A1492" s="8" t="s">
        <v>4587</v>
      </c>
      <c r="B1492" s="8" t="s">
        <v>51</v>
      </c>
      <c r="C1492" s="30" t="n">
        <v>125</v>
      </c>
      <c r="D1492" s="30" t="n">
        <v>0</v>
      </c>
      <c r="E1492" s="30" t="n">
        <f aca="false">MIN(C1492,D1492)</f>
        <v>0</v>
      </c>
      <c r="F1492" s="8" t="n">
        <f aca="false">IF(D1492&gt;0,1,0)</f>
        <v>0</v>
      </c>
    </row>
    <row r="1493" customFormat="false" ht="15" hidden="false" customHeight="false" outlineLevel="0" collapsed="false">
      <c r="A1493" s="8" t="s">
        <v>4076</v>
      </c>
      <c r="B1493" s="8" t="s">
        <v>51</v>
      </c>
      <c r="C1493" s="30" t="n">
        <v>125</v>
      </c>
      <c r="D1493" s="30" t="n">
        <v>125</v>
      </c>
      <c r="E1493" s="30" t="n">
        <f aca="false">MIN(C1493,D1493)</f>
        <v>125</v>
      </c>
      <c r="F1493" s="8" t="n">
        <f aca="false">IF(D1493&gt;0,1,0)</f>
        <v>1</v>
      </c>
    </row>
    <row r="1494" customFormat="false" ht="15" hidden="false" customHeight="false" outlineLevel="0" collapsed="false">
      <c r="A1494" s="8" t="s">
        <v>3842</v>
      </c>
      <c r="B1494" s="8" t="s">
        <v>51</v>
      </c>
      <c r="C1494" s="30" t="n">
        <v>125</v>
      </c>
      <c r="D1494" s="30" t="n">
        <v>175</v>
      </c>
      <c r="E1494" s="30" t="n">
        <f aca="false">MIN(C1494,D1494)</f>
        <v>125</v>
      </c>
      <c r="F1494" s="8" t="n">
        <f aca="false">IF(D1494&gt;0,1,0)</f>
        <v>1</v>
      </c>
    </row>
    <row r="1495" customFormat="false" ht="15" hidden="false" customHeight="false" outlineLevel="0" collapsed="false">
      <c r="A1495" s="8" t="s">
        <v>4080</v>
      </c>
      <c r="B1495" s="8" t="s">
        <v>51</v>
      </c>
      <c r="C1495" s="30" t="n">
        <v>125</v>
      </c>
      <c r="D1495" s="30" t="n">
        <v>125</v>
      </c>
      <c r="E1495" s="30" t="n">
        <f aca="false">MIN(C1495,D1495)</f>
        <v>125</v>
      </c>
      <c r="F1495" s="8" t="n">
        <f aca="false">IF(D1495&gt;0,1,0)</f>
        <v>1</v>
      </c>
    </row>
    <row r="1496" customFormat="false" ht="15" hidden="false" customHeight="false" outlineLevel="0" collapsed="false">
      <c r="A1496" s="8" t="s">
        <v>3850</v>
      </c>
      <c r="B1496" s="8" t="s">
        <v>51</v>
      </c>
      <c r="C1496" s="30" t="n">
        <v>125</v>
      </c>
      <c r="D1496" s="30" t="n">
        <v>175</v>
      </c>
      <c r="E1496" s="30" t="n">
        <f aca="false">MIN(C1496,D1496)</f>
        <v>125</v>
      </c>
      <c r="F1496" s="8" t="n">
        <f aca="false">IF(D1496&gt;0,1,0)</f>
        <v>1</v>
      </c>
    </row>
    <row r="1497" customFormat="false" ht="15" hidden="false" customHeight="false" outlineLevel="0" collapsed="false">
      <c r="A1497" s="8" t="s">
        <v>4082</v>
      </c>
      <c r="B1497" s="8" t="s">
        <v>51</v>
      </c>
      <c r="C1497" s="30" t="n">
        <v>120</v>
      </c>
      <c r="D1497" s="30" t="n">
        <v>120</v>
      </c>
      <c r="E1497" s="30" t="n">
        <f aca="false">MIN(C1497,D1497)</f>
        <v>120</v>
      </c>
      <c r="F1497" s="8" t="n">
        <f aca="false">IF(D1497&gt;0,1,0)</f>
        <v>1</v>
      </c>
    </row>
    <row r="1498" customFormat="false" ht="15" hidden="false" customHeight="false" outlineLevel="0" collapsed="false">
      <c r="A1498" s="8" t="s">
        <v>3658</v>
      </c>
      <c r="B1498" s="8" t="s">
        <v>51</v>
      </c>
      <c r="C1498" s="30" t="n">
        <v>120</v>
      </c>
      <c r="D1498" s="30" t="n">
        <v>216</v>
      </c>
      <c r="E1498" s="30" t="n">
        <f aca="false">MIN(C1498,D1498)</f>
        <v>120</v>
      </c>
      <c r="F1498" s="8" t="n">
        <f aca="false">IF(D1498&gt;0,1,0)</f>
        <v>1</v>
      </c>
    </row>
    <row r="1499" customFormat="false" ht="15" hidden="false" customHeight="false" outlineLevel="0" collapsed="false">
      <c r="A1499" s="8" t="s">
        <v>3918</v>
      </c>
      <c r="B1499" s="8" t="s">
        <v>51</v>
      </c>
      <c r="C1499" s="30" t="n">
        <v>120</v>
      </c>
      <c r="D1499" s="30" t="n">
        <v>156</v>
      </c>
      <c r="E1499" s="30" t="n">
        <f aca="false">MIN(C1499,D1499)</f>
        <v>120</v>
      </c>
      <c r="F1499" s="8" t="n">
        <f aca="false">IF(D1499&gt;0,1,0)</f>
        <v>1</v>
      </c>
    </row>
    <row r="1500" customFormat="false" ht="15" hidden="false" customHeight="false" outlineLevel="0" collapsed="false">
      <c r="A1500" s="8" t="s">
        <v>3986</v>
      </c>
      <c r="B1500" s="8" t="s">
        <v>51</v>
      </c>
      <c r="C1500" s="30" t="n">
        <v>120</v>
      </c>
      <c r="D1500" s="30" t="n">
        <v>144</v>
      </c>
      <c r="E1500" s="30" t="n">
        <f aca="false">MIN(C1500,D1500)</f>
        <v>120</v>
      </c>
      <c r="F1500" s="8" t="n">
        <f aca="false">IF(D1500&gt;0,1,0)</f>
        <v>1</v>
      </c>
    </row>
    <row r="1501" customFormat="false" ht="15" hidden="false" customHeight="false" outlineLevel="0" collapsed="false">
      <c r="A1501" s="8" t="s">
        <v>4090</v>
      </c>
      <c r="B1501" s="8" t="s">
        <v>51</v>
      </c>
      <c r="C1501" s="30" t="n">
        <v>120</v>
      </c>
      <c r="D1501" s="30" t="n">
        <v>120</v>
      </c>
      <c r="E1501" s="30" t="n">
        <f aca="false">MIN(C1501,D1501)</f>
        <v>120</v>
      </c>
      <c r="F1501" s="8" t="n">
        <f aca="false">IF(D1501&gt;0,1,0)</f>
        <v>1</v>
      </c>
    </row>
    <row r="1502" customFormat="false" ht="15" hidden="false" customHeight="false" outlineLevel="0" collapsed="false">
      <c r="A1502" s="8" t="s">
        <v>4096</v>
      </c>
      <c r="B1502" s="8" t="s">
        <v>51</v>
      </c>
      <c r="C1502" s="30" t="n">
        <v>120</v>
      </c>
      <c r="D1502" s="30" t="n">
        <v>120</v>
      </c>
      <c r="E1502" s="30" t="n">
        <f aca="false">MIN(C1502,D1502)</f>
        <v>120</v>
      </c>
      <c r="F1502" s="8" t="n">
        <f aca="false">IF(D1502&gt;0,1,0)</f>
        <v>1</v>
      </c>
    </row>
    <row r="1503" customFormat="false" ht="15" hidden="false" customHeight="false" outlineLevel="0" collapsed="false">
      <c r="A1503" s="8" t="s">
        <v>4098</v>
      </c>
      <c r="B1503" s="8" t="s">
        <v>51</v>
      </c>
      <c r="C1503" s="30" t="n">
        <v>120</v>
      </c>
      <c r="D1503" s="30" t="n">
        <v>120</v>
      </c>
      <c r="E1503" s="30" t="n">
        <f aca="false">MIN(C1503,D1503)</f>
        <v>120</v>
      </c>
      <c r="F1503" s="8" t="n">
        <f aca="false">IF(D1503&gt;0,1,0)</f>
        <v>1</v>
      </c>
    </row>
    <row r="1504" customFormat="false" ht="15" hidden="false" customHeight="false" outlineLevel="0" collapsed="false">
      <c r="A1504" s="8" t="s">
        <v>4100</v>
      </c>
      <c r="B1504" s="8" t="s">
        <v>51</v>
      </c>
      <c r="C1504" s="30" t="n">
        <v>120</v>
      </c>
      <c r="D1504" s="30" t="n">
        <v>120</v>
      </c>
      <c r="E1504" s="30" t="n">
        <f aca="false">MIN(C1504,D1504)</f>
        <v>120</v>
      </c>
      <c r="F1504" s="8" t="n">
        <f aca="false">IF(D1504&gt;0,1,0)</f>
        <v>1</v>
      </c>
    </row>
    <row r="1505" customFormat="false" ht="15" hidden="false" customHeight="false" outlineLevel="0" collapsed="false">
      <c r="A1505" s="8" t="s">
        <v>4104</v>
      </c>
      <c r="B1505" s="8" t="s">
        <v>51</v>
      </c>
      <c r="C1505" s="30" t="n">
        <v>120</v>
      </c>
      <c r="D1505" s="30" t="n">
        <v>120</v>
      </c>
      <c r="E1505" s="30" t="n">
        <f aca="false">MIN(C1505,D1505)</f>
        <v>120</v>
      </c>
      <c r="F1505" s="8" t="n">
        <f aca="false">IF(D1505&gt;0,1,0)</f>
        <v>1</v>
      </c>
    </row>
    <row r="1506" customFormat="false" ht="15" hidden="false" customHeight="false" outlineLevel="0" collapsed="false">
      <c r="A1506" s="8" t="s">
        <v>3996</v>
      </c>
      <c r="B1506" s="8" t="s">
        <v>51</v>
      </c>
      <c r="C1506" s="30" t="n">
        <v>120</v>
      </c>
      <c r="D1506" s="30" t="n">
        <v>144</v>
      </c>
      <c r="E1506" s="30" t="n">
        <f aca="false">MIN(C1506,D1506)</f>
        <v>120</v>
      </c>
      <c r="F1506" s="8" t="n">
        <f aca="false">IF(D1506&gt;0,1,0)</f>
        <v>1</v>
      </c>
    </row>
    <row r="1507" customFormat="false" ht="15" hidden="false" customHeight="false" outlineLevel="0" collapsed="false">
      <c r="A1507" s="8" t="s">
        <v>4106</v>
      </c>
      <c r="B1507" s="8" t="s">
        <v>51</v>
      </c>
      <c r="C1507" s="30" t="n">
        <v>120</v>
      </c>
      <c r="D1507" s="30" t="n">
        <v>120</v>
      </c>
      <c r="E1507" s="30" t="n">
        <f aca="false">MIN(C1507,D1507)</f>
        <v>120</v>
      </c>
      <c r="F1507" s="8" t="n">
        <f aca="false">IF(D1507&gt;0,1,0)</f>
        <v>1</v>
      </c>
    </row>
    <row r="1508" customFormat="false" ht="15" hidden="false" customHeight="false" outlineLevel="0" collapsed="false">
      <c r="A1508" s="8" t="s">
        <v>4108</v>
      </c>
      <c r="B1508" s="8" t="s">
        <v>51</v>
      </c>
      <c r="C1508" s="30" t="n">
        <v>120</v>
      </c>
      <c r="D1508" s="30" t="n">
        <v>120</v>
      </c>
      <c r="E1508" s="30" t="n">
        <f aca="false">MIN(C1508,D1508)</f>
        <v>120</v>
      </c>
      <c r="F1508" s="8" t="n">
        <f aca="false">IF(D1508&gt;0,1,0)</f>
        <v>1</v>
      </c>
    </row>
    <row r="1509" customFormat="false" ht="15" hidden="false" customHeight="false" outlineLevel="0" collapsed="false">
      <c r="A1509" s="8" t="s">
        <v>4110</v>
      </c>
      <c r="B1509" s="8" t="s">
        <v>51</v>
      </c>
      <c r="C1509" s="30" t="n">
        <v>120</v>
      </c>
      <c r="D1509" s="30" t="n">
        <v>120</v>
      </c>
      <c r="E1509" s="30" t="n">
        <f aca="false">MIN(C1509,D1509)</f>
        <v>120</v>
      </c>
      <c r="F1509" s="8" t="n">
        <f aca="false">IF(D1509&gt;0,1,0)</f>
        <v>1</v>
      </c>
    </row>
    <row r="1510" customFormat="false" ht="15" hidden="false" customHeight="false" outlineLevel="0" collapsed="false">
      <c r="A1510" s="8" t="s">
        <v>4002</v>
      </c>
      <c r="B1510" s="8" t="s">
        <v>51</v>
      </c>
      <c r="C1510" s="30" t="n">
        <v>120</v>
      </c>
      <c r="D1510" s="30" t="n">
        <v>144</v>
      </c>
      <c r="E1510" s="30" t="n">
        <f aca="false">MIN(C1510,D1510)</f>
        <v>120</v>
      </c>
      <c r="F1510" s="8" t="n">
        <f aca="false">IF(D1510&gt;0,1,0)</f>
        <v>1</v>
      </c>
    </row>
    <row r="1511" customFormat="false" ht="15" hidden="false" customHeight="false" outlineLevel="0" collapsed="false">
      <c r="A1511" s="8" t="s">
        <v>4120</v>
      </c>
      <c r="B1511" s="8" t="s">
        <v>51</v>
      </c>
      <c r="C1511" s="30" t="n">
        <v>120</v>
      </c>
      <c r="D1511" s="30" t="n">
        <v>120</v>
      </c>
      <c r="E1511" s="30" t="n">
        <f aca="false">MIN(C1511,D1511)</f>
        <v>120</v>
      </c>
      <c r="F1511" s="8" t="n">
        <f aca="false">IF(D1511&gt;0,1,0)</f>
        <v>1</v>
      </c>
    </row>
    <row r="1512" customFormat="false" ht="15" hidden="false" customHeight="false" outlineLevel="0" collapsed="false">
      <c r="A1512" s="8" t="s">
        <v>4004</v>
      </c>
      <c r="B1512" s="8" t="s">
        <v>51</v>
      </c>
      <c r="C1512" s="30" t="n">
        <v>120</v>
      </c>
      <c r="D1512" s="30" t="n">
        <v>144</v>
      </c>
      <c r="E1512" s="30" t="n">
        <f aca="false">MIN(C1512,D1512)</f>
        <v>120</v>
      </c>
      <c r="F1512" s="8" t="n">
        <f aca="false">IF(D1512&gt;0,1,0)</f>
        <v>1</v>
      </c>
    </row>
    <row r="1513" customFormat="false" ht="15" hidden="false" customHeight="false" outlineLevel="0" collapsed="false">
      <c r="A1513" s="8" t="s">
        <v>4124</v>
      </c>
      <c r="B1513" s="8" t="s">
        <v>51</v>
      </c>
      <c r="C1513" s="30" t="n">
        <v>120</v>
      </c>
      <c r="D1513" s="30" t="n">
        <v>120</v>
      </c>
      <c r="E1513" s="30" t="n">
        <f aca="false">MIN(C1513,D1513)</f>
        <v>120</v>
      </c>
      <c r="F1513" s="8" t="n">
        <f aca="false">IF(D1513&gt;0,1,0)</f>
        <v>1</v>
      </c>
    </row>
    <row r="1514" customFormat="false" ht="15" hidden="false" customHeight="false" outlineLevel="0" collapsed="false">
      <c r="A1514" s="8" t="s">
        <v>4128</v>
      </c>
      <c r="B1514" s="8" t="s">
        <v>51</v>
      </c>
      <c r="C1514" s="30" t="n">
        <v>120</v>
      </c>
      <c r="D1514" s="30" t="n">
        <v>120</v>
      </c>
      <c r="E1514" s="30" t="n">
        <f aca="false">MIN(C1514,D1514)</f>
        <v>120</v>
      </c>
      <c r="F1514" s="8" t="n">
        <f aca="false">IF(D1514&gt;0,1,0)</f>
        <v>1</v>
      </c>
    </row>
    <row r="1515" customFormat="false" ht="15" hidden="false" customHeight="false" outlineLevel="0" collapsed="false">
      <c r="A1515" s="8" t="s">
        <v>4130</v>
      </c>
      <c r="B1515" s="8" t="s">
        <v>51</v>
      </c>
      <c r="C1515" s="30" t="n">
        <v>120</v>
      </c>
      <c r="D1515" s="30" t="n">
        <v>120</v>
      </c>
      <c r="E1515" s="30" t="n">
        <f aca="false">MIN(C1515,D1515)</f>
        <v>120</v>
      </c>
      <c r="F1515" s="8" t="n">
        <f aca="false">IF(D1515&gt;0,1,0)</f>
        <v>1</v>
      </c>
    </row>
    <row r="1516" customFormat="false" ht="15" hidden="false" customHeight="false" outlineLevel="0" collapsed="false">
      <c r="A1516" s="8" t="s">
        <v>4136</v>
      </c>
      <c r="B1516" s="8" t="s">
        <v>51</v>
      </c>
      <c r="C1516" s="30" t="n">
        <v>120</v>
      </c>
      <c r="D1516" s="30" t="n">
        <v>120</v>
      </c>
      <c r="E1516" s="30" t="n">
        <f aca="false">MIN(C1516,D1516)</f>
        <v>120</v>
      </c>
      <c r="F1516" s="8" t="n">
        <f aca="false">IF(D1516&gt;0,1,0)</f>
        <v>1</v>
      </c>
    </row>
    <row r="1517" customFormat="false" ht="15" hidden="false" customHeight="false" outlineLevel="0" collapsed="false">
      <c r="A1517" s="8" t="s">
        <v>4138</v>
      </c>
      <c r="B1517" s="8" t="s">
        <v>51</v>
      </c>
      <c r="C1517" s="30" t="n">
        <v>120</v>
      </c>
      <c r="D1517" s="30" t="n">
        <v>120</v>
      </c>
      <c r="E1517" s="30" t="n">
        <f aca="false">MIN(C1517,D1517)</f>
        <v>120</v>
      </c>
      <c r="F1517" s="8" t="n">
        <f aca="false">IF(D1517&gt;0,1,0)</f>
        <v>1</v>
      </c>
    </row>
    <row r="1518" customFormat="false" ht="15" hidden="false" customHeight="false" outlineLevel="0" collapsed="false">
      <c r="A1518" s="8" t="s">
        <v>4140</v>
      </c>
      <c r="B1518" s="8" t="s">
        <v>51</v>
      </c>
      <c r="C1518" s="30" t="n">
        <v>120</v>
      </c>
      <c r="D1518" s="30" t="n">
        <v>120</v>
      </c>
      <c r="E1518" s="30" t="n">
        <f aca="false">MIN(C1518,D1518)</f>
        <v>120</v>
      </c>
      <c r="F1518" s="8" t="n">
        <f aca="false">IF(D1518&gt;0,1,0)</f>
        <v>1</v>
      </c>
    </row>
    <row r="1519" customFormat="false" ht="15" hidden="false" customHeight="false" outlineLevel="0" collapsed="false">
      <c r="A1519" s="8" t="s">
        <v>4142</v>
      </c>
      <c r="B1519" s="8" t="s">
        <v>51</v>
      </c>
      <c r="C1519" s="30" t="n">
        <v>120</v>
      </c>
      <c r="D1519" s="30" t="n">
        <v>120</v>
      </c>
      <c r="E1519" s="30" t="n">
        <f aca="false">MIN(C1519,D1519)</f>
        <v>120</v>
      </c>
      <c r="F1519" s="8" t="n">
        <f aca="false">IF(D1519&gt;0,1,0)</f>
        <v>1</v>
      </c>
    </row>
    <row r="1520" customFormat="false" ht="15" hidden="false" customHeight="false" outlineLevel="0" collapsed="false">
      <c r="A1520" s="8" t="s">
        <v>4298</v>
      </c>
      <c r="B1520" s="8" t="s">
        <v>51</v>
      </c>
      <c r="C1520" s="30" t="n">
        <v>120</v>
      </c>
      <c r="D1520" s="30" t="n">
        <v>84</v>
      </c>
      <c r="E1520" s="30" t="n">
        <f aca="false">MIN(C1520,D1520)</f>
        <v>84</v>
      </c>
      <c r="F1520" s="8" t="n">
        <f aca="false">IF(D1520&gt;0,1,0)</f>
        <v>1</v>
      </c>
    </row>
    <row r="1521" customFormat="false" ht="15" hidden="false" customHeight="false" outlineLevel="0" collapsed="false">
      <c r="A1521" s="8" t="s">
        <v>4588</v>
      </c>
      <c r="B1521" s="8" t="s">
        <v>51</v>
      </c>
      <c r="C1521" s="30" t="n">
        <v>120</v>
      </c>
      <c r="D1521" s="30" t="n">
        <v>0</v>
      </c>
      <c r="E1521" s="30" t="n">
        <f aca="false">MIN(C1521,D1521)</f>
        <v>0</v>
      </c>
      <c r="F1521" s="8" t="n">
        <f aca="false">IF(D1521&gt;0,1,0)</f>
        <v>0</v>
      </c>
    </row>
    <row r="1522" customFormat="false" ht="15" hidden="false" customHeight="false" outlineLevel="0" collapsed="false">
      <c r="A1522" s="8" t="s">
        <v>4148</v>
      </c>
      <c r="B1522" s="8" t="s">
        <v>51</v>
      </c>
      <c r="C1522" s="30" t="n">
        <v>120</v>
      </c>
      <c r="D1522" s="30" t="n">
        <v>120</v>
      </c>
      <c r="E1522" s="30" t="n">
        <f aca="false">MIN(C1522,D1522)</f>
        <v>120</v>
      </c>
      <c r="F1522" s="8" t="n">
        <f aca="false">IF(D1522&gt;0,1,0)</f>
        <v>1</v>
      </c>
    </row>
    <row r="1523" customFormat="false" ht="15" hidden="false" customHeight="false" outlineLevel="0" collapsed="false">
      <c r="A1523" s="8" t="s">
        <v>4158</v>
      </c>
      <c r="B1523" s="8" t="s">
        <v>51</v>
      </c>
      <c r="C1523" s="30" t="n">
        <v>108</v>
      </c>
      <c r="D1523" s="30" t="n">
        <v>108</v>
      </c>
      <c r="E1523" s="30" t="n">
        <f aca="false">MIN(C1523,D1523)</f>
        <v>108</v>
      </c>
      <c r="F1523" s="8" t="n">
        <f aca="false">IF(D1523&gt;0,1,0)</f>
        <v>1</v>
      </c>
    </row>
    <row r="1524" customFormat="false" ht="15" hidden="false" customHeight="false" outlineLevel="0" collapsed="false">
      <c r="A1524" s="8" t="s">
        <v>4589</v>
      </c>
      <c r="B1524" s="8" t="s">
        <v>51</v>
      </c>
      <c r="C1524" s="30" t="n">
        <v>108</v>
      </c>
      <c r="D1524" s="30" t="n">
        <v>0</v>
      </c>
      <c r="E1524" s="30" t="n">
        <f aca="false">MIN(C1524,D1524)</f>
        <v>0</v>
      </c>
      <c r="F1524" s="8" t="n">
        <f aca="false">IF(D1524&gt;0,1,0)</f>
        <v>0</v>
      </c>
    </row>
    <row r="1525" customFormat="false" ht="15" hidden="false" customHeight="false" outlineLevel="0" collapsed="false">
      <c r="A1525" s="8" t="s">
        <v>4164</v>
      </c>
      <c r="B1525" s="8" t="s">
        <v>51</v>
      </c>
      <c r="C1525" s="30" t="n">
        <v>108</v>
      </c>
      <c r="D1525" s="30" t="n">
        <v>108</v>
      </c>
      <c r="E1525" s="30" t="n">
        <f aca="false">MIN(C1525,D1525)</f>
        <v>108</v>
      </c>
      <c r="F1525" s="8" t="n">
        <f aca="false">IF(D1525&gt;0,1,0)</f>
        <v>1</v>
      </c>
    </row>
    <row r="1526" customFormat="false" ht="15" hidden="false" customHeight="false" outlineLevel="0" collapsed="false">
      <c r="A1526" s="8" t="s">
        <v>4168</v>
      </c>
      <c r="B1526" s="8" t="s">
        <v>51</v>
      </c>
      <c r="C1526" s="30" t="n">
        <v>108</v>
      </c>
      <c r="D1526" s="30" t="n">
        <v>108</v>
      </c>
      <c r="E1526" s="30" t="n">
        <f aca="false">MIN(C1526,D1526)</f>
        <v>108</v>
      </c>
      <c r="F1526" s="8" t="n">
        <f aca="false">IF(D1526&gt;0,1,0)</f>
        <v>1</v>
      </c>
    </row>
    <row r="1527" customFormat="false" ht="15" hidden="false" customHeight="false" outlineLevel="0" collapsed="false">
      <c r="A1527" s="8" t="s">
        <v>4170</v>
      </c>
      <c r="B1527" s="8" t="s">
        <v>51</v>
      </c>
      <c r="C1527" s="30" t="n">
        <v>108</v>
      </c>
      <c r="D1527" s="30" t="n">
        <v>108</v>
      </c>
      <c r="E1527" s="30" t="n">
        <f aca="false">MIN(C1527,D1527)</f>
        <v>108</v>
      </c>
      <c r="F1527" s="8" t="n">
        <f aca="false">IF(D1527&gt;0,1,0)</f>
        <v>1</v>
      </c>
    </row>
    <row r="1528" customFormat="false" ht="15" hidden="false" customHeight="false" outlineLevel="0" collapsed="false">
      <c r="A1528" s="8" t="s">
        <v>4172</v>
      </c>
      <c r="B1528" s="8" t="s">
        <v>51</v>
      </c>
      <c r="C1528" s="30" t="n">
        <v>108</v>
      </c>
      <c r="D1528" s="30" t="n">
        <v>108</v>
      </c>
      <c r="E1528" s="30" t="n">
        <f aca="false">MIN(C1528,D1528)</f>
        <v>108</v>
      </c>
      <c r="F1528" s="8" t="n">
        <f aca="false">IF(D1528&gt;0,1,0)</f>
        <v>1</v>
      </c>
    </row>
    <row r="1529" customFormat="false" ht="15" hidden="false" customHeight="false" outlineLevel="0" collapsed="false">
      <c r="A1529" s="8" t="s">
        <v>4236</v>
      </c>
      <c r="B1529" s="8" t="s">
        <v>51</v>
      </c>
      <c r="C1529" s="30" t="n">
        <v>108</v>
      </c>
      <c r="D1529" s="30" t="n">
        <v>96</v>
      </c>
      <c r="E1529" s="30" t="n">
        <f aca="false">MIN(C1529,D1529)</f>
        <v>96</v>
      </c>
      <c r="F1529" s="8" t="n">
        <f aca="false">IF(D1529&gt;0,1,0)</f>
        <v>1</v>
      </c>
    </row>
    <row r="1530" customFormat="false" ht="15" hidden="false" customHeight="false" outlineLevel="0" collapsed="false">
      <c r="A1530" s="8" t="s">
        <v>4590</v>
      </c>
      <c r="B1530" s="8" t="s">
        <v>51</v>
      </c>
      <c r="C1530" s="30" t="n">
        <v>108</v>
      </c>
      <c r="D1530" s="30" t="n">
        <v>0</v>
      </c>
      <c r="E1530" s="30" t="n">
        <f aca="false">MIN(C1530,D1530)</f>
        <v>0</v>
      </c>
      <c r="F1530" s="8" t="n">
        <f aca="false">IF(D1530&gt;0,1,0)</f>
        <v>0</v>
      </c>
    </row>
    <row r="1531" customFormat="false" ht="15" hidden="false" customHeight="false" outlineLevel="0" collapsed="false">
      <c r="A1531" s="8" t="s">
        <v>4278</v>
      </c>
      <c r="B1531" s="8" t="s">
        <v>51</v>
      </c>
      <c r="C1531" s="30" t="n">
        <v>108</v>
      </c>
      <c r="D1531" s="30" t="n">
        <v>84</v>
      </c>
      <c r="E1531" s="30" t="n">
        <f aca="false">MIN(C1531,D1531)</f>
        <v>84</v>
      </c>
      <c r="F1531" s="8" t="n">
        <f aca="false">IF(D1531&gt;0,1,0)</f>
        <v>1</v>
      </c>
    </row>
    <row r="1532" customFormat="false" ht="15" hidden="false" customHeight="false" outlineLevel="0" collapsed="false">
      <c r="A1532" s="8" t="s">
        <v>4182</v>
      </c>
      <c r="B1532" s="8" t="s">
        <v>51</v>
      </c>
      <c r="C1532" s="30" t="n">
        <v>108</v>
      </c>
      <c r="D1532" s="30" t="n">
        <v>108</v>
      </c>
      <c r="E1532" s="30" t="n">
        <f aca="false">MIN(C1532,D1532)</f>
        <v>108</v>
      </c>
      <c r="F1532" s="8" t="n">
        <f aca="false">IF(D1532&gt;0,1,0)</f>
        <v>1</v>
      </c>
    </row>
    <row r="1533" customFormat="false" ht="15" hidden="false" customHeight="false" outlineLevel="0" collapsed="false">
      <c r="A1533" s="8" t="s">
        <v>4184</v>
      </c>
      <c r="B1533" s="8" t="s">
        <v>51</v>
      </c>
      <c r="C1533" s="30" t="n">
        <v>108</v>
      </c>
      <c r="D1533" s="30" t="n">
        <v>108</v>
      </c>
      <c r="E1533" s="30" t="n">
        <f aca="false">MIN(C1533,D1533)</f>
        <v>108</v>
      </c>
      <c r="F1533" s="8" t="n">
        <f aca="false">IF(D1533&gt;0,1,0)</f>
        <v>1</v>
      </c>
    </row>
    <row r="1534" customFormat="false" ht="15" hidden="false" customHeight="false" outlineLevel="0" collapsed="false">
      <c r="A1534" s="8" t="s">
        <v>4046</v>
      </c>
      <c r="B1534" s="8" t="s">
        <v>51</v>
      </c>
      <c r="C1534" s="30" t="n">
        <v>108</v>
      </c>
      <c r="D1534" s="30" t="n">
        <v>132</v>
      </c>
      <c r="E1534" s="30" t="n">
        <f aca="false">MIN(C1534,D1534)</f>
        <v>108</v>
      </c>
      <c r="F1534" s="8" t="n">
        <f aca="false">IF(D1534&gt;0,1,0)</f>
        <v>1</v>
      </c>
    </row>
    <row r="1535" customFormat="false" ht="15" hidden="false" customHeight="false" outlineLevel="0" collapsed="false">
      <c r="A1535" s="8" t="s">
        <v>4186</v>
      </c>
      <c r="B1535" s="8" t="s">
        <v>51</v>
      </c>
      <c r="C1535" s="30" t="n">
        <v>108</v>
      </c>
      <c r="D1535" s="30" t="n">
        <v>108</v>
      </c>
      <c r="E1535" s="30" t="n">
        <f aca="false">MIN(C1535,D1535)</f>
        <v>108</v>
      </c>
      <c r="F1535" s="8" t="n">
        <f aca="false">IF(D1535&gt;0,1,0)</f>
        <v>1</v>
      </c>
    </row>
    <row r="1536" customFormat="false" ht="15" hidden="false" customHeight="false" outlineLevel="0" collapsed="false">
      <c r="A1536" s="8" t="s">
        <v>4190</v>
      </c>
      <c r="B1536" s="8" t="s">
        <v>51</v>
      </c>
      <c r="C1536" s="30" t="n">
        <v>108</v>
      </c>
      <c r="D1536" s="30" t="n">
        <v>108</v>
      </c>
      <c r="E1536" s="30" t="n">
        <f aca="false">MIN(C1536,D1536)</f>
        <v>108</v>
      </c>
      <c r="F1536" s="8" t="n">
        <f aca="false">IF(D1536&gt;0,1,0)</f>
        <v>1</v>
      </c>
    </row>
    <row r="1537" customFormat="false" ht="15" hidden="false" customHeight="false" outlineLevel="0" collapsed="false">
      <c r="A1537" s="8" t="s">
        <v>4192</v>
      </c>
      <c r="B1537" s="8" t="s">
        <v>51</v>
      </c>
      <c r="C1537" s="30" t="n">
        <v>108</v>
      </c>
      <c r="D1537" s="30" t="n">
        <v>108</v>
      </c>
      <c r="E1537" s="30" t="n">
        <f aca="false">MIN(C1537,D1537)</f>
        <v>108</v>
      </c>
      <c r="F1537" s="8" t="n">
        <f aca="false">IF(D1537&gt;0,1,0)</f>
        <v>1</v>
      </c>
    </row>
    <row r="1538" customFormat="false" ht="15" hidden="false" customHeight="false" outlineLevel="0" collapsed="false">
      <c r="A1538" s="8" t="s">
        <v>4062</v>
      </c>
      <c r="B1538" s="8" t="s">
        <v>51</v>
      </c>
      <c r="C1538" s="30" t="n">
        <v>108</v>
      </c>
      <c r="D1538" s="30" t="n">
        <v>132</v>
      </c>
      <c r="E1538" s="30" t="n">
        <f aca="false">MIN(C1538,D1538)</f>
        <v>108</v>
      </c>
      <c r="F1538" s="8" t="n">
        <f aca="false">IF(D1538&gt;0,1,0)</f>
        <v>1</v>
      </c>
    </row>
    <row r="1539" customFormat="false" ht="15" hidden="false" customHeight="false" outlineLevel="0" collapsed="false">
      <c r="A1539" s="8" t="s">
        <v>4194</v>
      </c>
      <c r="B1539" s="8" t="s">
        <v>51</v>
      </c>
      <c r="C1539" s="30" t="n">
        <v>108</v>
      </c>
      <c r="D1539" s="30" t="n">
        <v>108</v>
      </c>
      <c r="E1539" s="30" t="n">
        <f aca="false">MIN(C1539,D1539)</f>
        <v>108</v>
      </c>
      <c r="F1539" s="8" t="n">
        <f aca="false">IF(D1539&gt;0,1,0)</f>
        <v>1</v>
      </c>
    </row>
    <row r="1540" customFormat="false" ht="15" hidden="false" customHeight="false" outlineLevel="0" collapsed="false">
      <c r="A1540" s="8" t="s">
        <v>4196</v>
      </c>
      <c r="B1540" s="8" t="s">
        <v>51</v>
      </c>
      <c r="C1540" s="30" t="n">
        <v>108</v>
      </c>
      <c r="D1540" s="30" t="n">
        <v>108</v>
      </c>
      <c r="E1540" s="30" t="n">
        <f aca="false">MIN(C1540,D1540)</f>
        <v>108</v>
      </c>
      <c r="F1540" s="8" t="n">
        <f aca="false">IF(D1540&gt;0,1,0)</f>
        <v>1</v>
      </c>
    </row>
    <row r="1541" customFormat="false" ht="15" hidden="false" customHeight="false" outlineLevel="0" collapsed="false">
      <c r="A1541" s="8" t="s">
        <v>4068</v>
      </c>
      <c r="B1541" s="8" t="s">
        <v>51</v>
      </c>
      <c r="C1541" s="30" t="n">
        <v>108</v>
      </c>
      <c r="D1541" s="30" t="n">
        <v>132</v>
      </c>
      <c r="E1541" s="30" t="n">
        <f aca="false">MIN(C1541,D1541)</f>
        <v>108</v>
      </c>
      <c r="F1541" s="8" t="n">
        <f aca="false">IF(D1541&gt;0,1,0)</f>
        <v>1</v>
      </c>
    </row>
    <row r="1542" customFormat="false" ht="15" hidden="false" customHeight="false" outlineLevel="0" collapsed="false">
      <c r="A1542" s="8" t="s">
        <v>4200</v>
      </c>
      <c r="B1542" s="8" t="s">
        <v>51</v>
      </c>
      <c r="C1542" s="30" t="n">
        <v>108</v>
      </c>
      <c r="D1542" s="30" t="n">
        <v>108</v>
      </c>
      <c r="E1542" s="30" t="n">
        <f aca="false">MIN(C1542,D1542)</f>
        <v>108</v>
      </c>
      <c r="F1542" s="8" t="n">
        <f aca="false">IF(D1542&gt;0,1,0)</f>
        <v>1</v>
      </c>
    </row>
    <row r="1543" customFormat="false" ht="15" hidden="false" customHeight="false" outlineLevel="0" collapsed="false">
      <c r="A1543" s="8" t="s">
        <v>4202</v>
      </c>
      <c r="B1543" s="8" t="s">
        <v>51</v>
      </c>
      <c r="C1543" s="30" t="n">
        <v>108</v>
      </c>
      <c r="D1543" s="30" t="n">
        <v>108</v>
      </c>
      <c r="E1543" s="30" t="n">
        <f aca="false">MIN(C1543,D1543)</f>
        <v>108</v>
      </c>
      <c r="F1543" s="8" t="n">
        <f aca="false">IF(D1543&gt;0,1,0)</f>
        <v>1</v>
      </c>
    </row>
    <row r="1544" customFormat="false" ht="15" hidden="false" customHeight="false" outlineLevel="0" collapsed="false">
      <c r="A1544" s="8" t="s">
        <v>4206</v>
      </c>
      <c r="B1544" s="8" t="s">
        <v>51</v>
      </c>
      <c r="C1544" s="30" t="n">
        <v>100</v>
      </c>
      <c r="D1544" s="30" t="n">
        <v>100</v>
      </c>
      <c r="E1544" s="30" t="n">
        <f aca="false">MIN(C1544,D1544)</f>
        <v>100</v>
      </c>
      <c r="F1544" s="8" t="n">
        <f aca="false">IF(D1544&gt;0,1,0)</f>
        <v>1</v>
      </c>
    </row>
    <row r="1545" customFormat="false" ht="15" hidden="false" customHeight="false" outlineLevel="0" collapsed="false">
      <c r="A1545" s="8" t="s">
        <v>4210</v>
      </c>
      <c r="B1545" s="8" t="s">
        <v>51</v>
      </c>
      <c r="C1545" s="30" t="n">
        <v>96</v>
      </c>
      <c r="D1545" s="30" t="n">
        <v>96</v>
      </c>
      <c r="E1545" s="30" t="n">
        <f aca="false">MIN(C1545,D1545)</f>
        <v>96</v>
      </c>
      <c r="F1545" s="8" t="n">
        <f aca="false">IF(D1545&gt;0,1,0)</f>
        <v>1</v>
      </c>
    </row>
    <row r="1546" customFormat="false" ht="15" hidden="false" customHeight="false" outlineLevel="0" collapsed="false">
      <c r="A1546" s="8" t="s">
        <v>4591</v>
      </c>
      <c r="B1546" s="8" t="s">
        <v>51</v>
      </c>
      <c r="C1546" s="30" t="n">
        <v>96</v>
      </c>
      <c r="D1546" s="30" t="n">
        <v>0</v>
      </c>
      <c r="E1546" s="30" t="n">
        <f aca="false">MIN(C1546,D1546)</f>
        <v>0</v>
      </c>
      <c r="F1546" s="8" t="n">
        <f aca="false">IF(D1546&gt;0,1,0)</f>
        <v>0</v>
      </c>
    </row>
    <row r="1547" customFormat="false" ht="15" hidden="false" customHeight="false" outlineLevel="0" collapsed="false">
      <c r="A1547" s="8" t="s">
        <v>4218</v>
      </c>
      <c r="B1547" s="8" t="s">
        <v>51</v>
      </c>
      <c r="C1547" s="30" t="n">
        <v>96</v>
      </c>
      <c r="D1547" s="30" t="n">
        <v>96</v>
      </c>
      <c r="E1547" s="30" t="n">
        <f aca="false">MIN(C1547,D1547)</f>
        <v>96</v>
      </c>
      <c r="F1547" s="8" t="n">
        <f aca="false">IF(D1547&gt;0,1,0)</f>
        <v>1</v>
      </c>
    </row>
    <row r="1548" customFormat="false" ht="15" hidden="false" customHeight="false" outlineLevel="0" collapsed="false">
      <c r="A1548" s="8" t="s">
        <v>4592</v>
      </c>
      <c r="B1548" s="8" t="s">
        <v>51</v>
      </c>
      <c r="C1548" s="30" t="n">
        <v>96</v>
      </c>
      <c r="D1548" s="30" t="n">
        <v>0</v>
      </c>
      <c r="E1548" s="30" t="n">
        <f aca="false">MIN(C1548,D1548)</f>
        <v>0</v>
      </c>
      <c r="F1548" s="8" t="n">
        <f aca="false">IF(D1548&gt;0,1,0)</f>
        <v>0</v>
      </c>
    </row>
    <row r="1549" customFormat="false" ht="15" hidden="false" customHeight="false" outlineLevel="0" collapsed="false">
      <c r="A1549" s="8" t="s">
        <v>4220</v>
      </c>
      <c r="B1549" s="8" t="s">
        <v>51</v>
      </c>
      <c r="C1549" s="30" t="n">
        <v>96</v>
      </c>
      <c r="D1549" s="30" t="n">
        <v>96</v>
      </c>
      <c r="E1549" s="30" t="n">
        <f aca="false">MIN(C1549,D1549)</f>
        <v>96</v>
      </c>
      <c r="F1549" s="8" t="n">
        <f aca="false">IF(D1549&gt;0,1,0)</f>
        <v>1</v>
      </c>
    </row>
    <row r="1550" customFormat="false" ht="15" hidden="false" customHeight="false" outlineLevel="0" collapsed="false">
      <c r="A1550" s="8" t="s">
        <v>4222</v>
      </c>
      <c r="B1550" s="8" t="s">
        <v>51</v>
      </c>
      <c r="C1550" s="30" t="n">
        <v>96</v>
      </c>
      <c r="D1550" s="30" t="n">
        <v>96</v>
      </c>
      <c r="E1550" s="30" t="n">
        <f aca="false">MIN(C1550,D1550)</f>
        <v>96</v>
      </c>
      <c r="F1550" s="8" t="n">
        <f aca="false">IF(D1550&gt;0,1,0)</f>
        <v>1</v>
      </c>
    </row>
    <row r="1551" customFormat="false" ht="15" hidden="false" customHeight="false" outlineLevel="0" collapsed="false">
      <c r="A1551" s="8" t="s">
        <v>4028</v>
      </c>
      <c r="B1551" s="8" t="s">
        <v>51</v>
      </c>
      <c r="C1551" s="30" t="n">
        <v>96</v>
      </c>
      <c r="D1551" s="30" t="n">
        <v>132</v>
      </c>
      <c r="E1551" s="30" t="n">
        <f aca="false">MIN(C1551,D1551)</f>
        <v>96</v>
      </c>
      <c r="F1551" s="8" t="n">
        <f aca="false">IF(D1551&gt;0,1,0)</f>
        <v>1</v>
      </c>
    </row>
    <row r="1552" customFormat="false" ht="15" hidden="false" customHeight="false" outlineLevel="0" collapsed="false">
      <c r="A1552" s="8" t="s">
        <v>4226</v>
      </c>
      <c r="B1552" s="8" t="s">
        <v>51</v>
      </c>
      <c r="C1552" s="30" t="n">
        <v>96</v>
      </c>
      <c r="D1552" s="30" t="n">
        <v>96</v>
      </c>
      <c r="E1552" s="30" t="n">
        <f aca="false">MIN(C1552,D1552)</f>
        <v>96</v>
      </c>
      <c r="F1552" s="8" t="n">
        <f aca="false">IF(D1552&gt;0,1,0)</f>
        <v>1</v>
      </c>
    </row>
    <row r="1553" customFormat="false" ht="15" hidden="false" customHeight="false" outlineLevel="0" collapsed="false">
      <c r="A1553" s="8" t="s">
        <v>4228</v>
      </c>
      <c r="B1553" s="8" t="s">
        <v>51</v>
      </c>
      <c r="C1553" s="30" t="n">
        <v>96</v>
      </c>
      <c r="D1553" s="30" t="n">
        <v>96</v>
      </c>
      <c r="E1553" s="30" t="n">
        <f aca="false">MIN(C1553,D1553)</f>
        <v>96</v>
      </c>
      <c r="F1553" s="8" t="n">
        <f aca="false">IF(D1553&gt;0,1,0)</f>
        <v>1</v>
      </c>
    </row>
    <row r="1554" customFormat="false" ht="15" hidden="false" customHeight="false" outlineLevel="0" collapsed="false">
      <c r="A1554" s="8" t="s">
        <v>4232</v>
      </c>
      <c r="B1554" s="8" t="s">
        <v>51</v>
      </c>
      <c r="C1554" s="30" t="n">
        <v>96</v>
      </c>
      <c r="D1554" s="30" t="n">
        <v>96</v>
      </c>
      <c r="E1554" s="30" t="n">
        <f aca="false">MIN(C1554,D1554)</f>
        <v>96</v>
      </c>
      <c r="F1554" s="8" t="n">
        <f aca="false">IF(D1554&gt;0,1,0)</f>
        <v>1</v>
      </c>
    </row>
    <row r="1555" customFormat="false" ht="15" hidden="false" customHeight="false" outlineLevel="0" collapsed="false">
      <c r="A1555" s="8" t="s">
        <v>3932</v>
      </c>
      <c r="B1555" s="8" t="s">
        <v>51</v>
      </c>
      <c r="C1555" s="30" t="n">
        <v>96</v>
      </c>
      <c r="D1555" s="30" t="n">
        <v>156</v>
      </c>
      <c r="E1555" s="30" t="n">
        <f aca="false">MIN(C1555,D1555)</f>
        <v>96</v>
      </c>
      <c r="F1555" s="8" t="n">
        <f aca="false">IF(D1555&gt;0,1,0)</f>
        <v>1</v>
      </c>
    </row>
    <row r="1556" customFormat="false" ht="15" hidden="false" customHeight="false" outlineLevel="0" collapsed="false">
      <c r="A1556" s="8" t="s">
        <v>4238</v>
      </c>
      <c r="B1556" s="8" t="s">
        <v>51</v>
      </c>
      <c r="C1556" s="30" t="n">
        <v>96</v>
      </c>
      <c r="D1556" s="30" t="n">
        <v>96</v>
      </c>
      <c r="E1556" s="30" t="n">
        <f aca="false">MIN(C1556,D1556)</f>
        <v>96</v>
      </c>
      <c r="F1556" s="8" t="n">
        <f aca="false">IF(D1556&gt;0,1,0)</f>
        <v>1</v>
      </c>
    </row>
    <row r="1557" customFormat="false" ht="15" hidden="false" customHeight="false" outlineLevel="0" collapsed="false">
      <c r="A1557" s="8" t="s">
        <v>4242</v>
      </c>
      <c r="B1557" s="8" t="s">
        <v>51</v>
      </c>
      <c r="C1557" s="30" t="n">
        <v>96</v>
      </c>
      <c r="D1557" s="30" t="n">
        <v>96</v>
      </c>
      <c r="E1557" s="30" t="n">
        <f aca="false">MIN(C1557,D1557)</f>
        <v>96</v>
      </c>
      <c r="F1557" s="8" t="n">
        <f aca="false">IF(D1557&gt;0,1,0)</f>
        <v>1</v>
      </c>
    </row>
    <row r="1558" customFormat="false" ht="15" hidden="false" customHeight="false" outlineLevel="0" collapsed="false">
      <c r="A1558" s="8" t="s">
        <v>4593</v>
      </c>
      <c r="B1558" s="8" t="s">
        <v>51</v>
      </c>
      <c r="C1558" s="30" t="n">
        <v>96</v>
      </c>
      <c r="D1558" s="30" t="n">
        <v>0</v>
      </c>
      <c r="E1558" s="30" t="n">
        <f aca="false">MIN(C1558,D1558)</f>
        <v>0</v>
      </c>
      <c r="F1558" s="8" t="n">
        <f aca="false">IF(D1558&gt;0,1,0)</f>
        <v>0</v>
      </c>
    </row>
    <row r="1559" customFormat="false" ht="15" hidden="false" customHeight="false" outlineLevel="0" collapsed="false">
      <c r="A1559" s="8" t="s">
        <v>4594</v>
      </c>
      <c r="B1559" s="8" t="s">
        <v>51</v>
      </c>
      <c r="C1559" s="30" t="n">
        <v>96</v>
      </c>
      <c r="D1559" s="30" t="n">
        <v>0</v>
      </c>
      <c r="E1559" s="30" t="n">
        <f aca="false">MIN(C1559,D1559)</f>
        <v>0</v>
      </c>
      <c r="F1559" s="8" t="n">
        <f aca="false">IF(D1559&gt;0,1,0)</f>
        <v>0</v>
      </c>
    </row>
    <row r="1560" customFormat="false" ht="15" hidden="false" customHeight="false" outlineLevel="0" collapsed="false">
      <c r="A1560" s="8" t="s">
        <v>4132</v>
      </c>
      <c r="B1560" s="8" t="s">
        <v>51</v>
      </c>
      <c r="C1560" s="30" t="n">
        <v>96</v>
      </c>
      <c r="D1560" s="30" t="n">
        <v>120</v>
      </c>
      <c r="E1560" s="30" t="n">
        <f aca="false">MIN(C1560,D1560)</f>
        <v>96</v>
      </c>
      <c r="F1560" s="8" t="n">
        <f aca="false">IF(D1560&gt;0,1,0)</f>
        <v>1</v>
      </c>
    </row>
    <row r="1561" customFormat="false" ht="15" hidden="false" customHeight="false" outlineLevel="0" collapsed="false">
      <c r="A1561" s="8" t="s">
        <v>4248</v>
      </c>
      <c r="B1561" s="8" t="s">
        <v>51</v>
      </c>
      <c r="C1561" s="30" t="n">
        <v>96</v>
      </c>
      <c r="D1561" s="30" t="n">
        <v>96</v>
      </c>
      <c r="E1561" s="30" t="n">
        <f aca="false">MIN(C1561,D1561)</f>
        <v>96</v>
      </c>
      <c r="F1561" s="8" t="n">
        <f aca="false">IF(D1561&gt;0,1,0)</f>
        <v>1</v>
      </c>
    </row>
    <row r="1562" customFormat="false" ht="15" hidden="false" customHeight="false" outlineLevel="0" collapsed="false">
      <c r="A1562" s="8" t="s">
        <v>4250</v>
      </c>
      <c r="B1562" s="8" t="s">
        <v>51</v>
      </c>
      <c r="C1562" s="30" t="n">
        <v>96</v>
      </c>
      <c r="D1562" s="30" t="n">
        <v>96</v>
      </c>
      <c r="E1562" s="30" t="n">
        <f aca="false">MIN(C1562,D1562)</f>
        <v>96</v>
      </c>
      <c r="F1562" s="8" t="n">
        <f aca="false">IF(D1562&gt;0,1,0)</f>
        <v>1</v>
      </c>
    </row>
    <row r="1563" customFormat="false" ht="15" hidden="false" customHeight="false" outlineLevel="0" collapsed="false">
      <c r="A1563" s="8" t="s">
        <v>4134</v>
      </c>
      <c r="B1563" s="8" t="s">
        <v>51</v>
      </c>
      <c r="C1563" s="30" t="n">
        <v>96</v>
      </c>
      <c r="D1563" s="30" t="n">
        <v>120</v>
      </c>
      <c r="E1563" s="30" t="n">
        <f aca="false">MIN(C1563,D1563)</f>
        <v>96</v>
      </c>
      <c r="F1563" s="8" t="n">
        <f aca="false">IF(D1563&gt;0,1,0)</f>
        <v>1</v>
      </c>
    </row>
    <row r="1564" customFormat="false" ht="15" hidden="false" customHeight="false" outlineLevel="0" collapsed="false">
      <c r="A1564" s="8" t="s">
        <v>4332</v>
      </c>
      <c r="B1564" s="8" t="s">
        <v>51</v>
      </c>
      <c r="C1564" s="30" t="n">
        <v>96</v>
      </c>
      <c r="D1564" s="30" t="n">
        <v>72</v>
      </c>
      <c r="E1564" s="30" t="n">
        <f aca="false">MIN(C1564,D1564)</f>
        <v>72</v>
      </c>
      <c r="F1564" s="8" t="n">
        <f aca="false">IF(D1564&gt;0,1,0)</f>
        <v>1</v>
      </c>
    </row>
    <row r="1565" customFormat="false" ht="15" hidden="false" customHeight="false" outlineLevel="0" collapsed="false">
      <c r="A1565" s="8" t="s">
        <v>4254</v>
      </c>
      <c r="B1565" s="8" t="s">
        <v>51</v>
      </c>
      <c r="C1565" s="30" t="n">
        <v>96</v>
      </c>
      <c r="D1565" s="30" t="n">
        <v>96</v>
      </c>
      <c r="E1565" s="30" t="n">
        <f aca="false">MIN(C1565,D1565)</f>
        <v>96</v>
      </c>
      <c r="F1565" s="8" t="n">
        <f aca="false">IF(D1565&gt;0,1,0)</f>
        <v>1</v>
      </c>
    </row>
    <row r="1566" customFormat="false" ht="15" hidden="false" customHeight="false" outlineLevel="0" collapsed="false">
      <c r="A1566" s="8" t="s">
        <v>4296</v>
      </c>
      <c r="B1566" s="8" t="s">
        <v>51</v>
      </c>
      <c r="C1566" s="30" t="n">
        <v>96</v>
      </c>
      <c r="D1566" s="30" t="n">
        <v>84</v>
      </c>
      <c r="E1566" s="30" t="n">
        <f aca="false">MIN(C1566,D1566)</f>
        <v>84</v>
      </c>
      <c r="F1566" s="8" t="n">
        <f aca="false">IF(D1566&gt;0,1,0)</f>
        <v>1</v>
      </c>
    </row>
    <row r="1567" customFormat="false" ht="15" hidden="false" customHeight="false" outlineLevel="0" collapsed="false">
      <c r="A1567" s="8" t="s">
        <v>4334</v>
      </c>
      <c r="B1567" s="8" t="s">
        <v>51</v>
      </c>
      <c r="C1567" s="30" t="n">
        <v>96</v>
      </c>
      <c r="D1567" s="30" t="n">
        <v>72</v>
      </c>
      <c r="E1567" s="30" t="n">
        <f aca="false">MIN(C1567,D1567)</f>
        <v>72</v>
      </c>
      <c r="F1567" s="8" t="n">
        <f aca="false">IF(D1567&gt;0,1,0)</f>
        <v>1</v>
      </c>
    </row>
    <row r="1568" customFormat="false" ht="15" hidden="false" customHeight="false" outlineLevel="0" collapsed="false">
      <c r="A1568" s="8" t="s">
        <v>4256</v>
      </c>
      <c r="B1568" s="8" t="s">
        <v>51</v>
      </c>
      <c r="C1568" s="30" t="n">
        <v>96</v>
      </c>
      <c r="D1568" s="30" t="n">
        <v>96</v>
      </c>
      <c r="E1568" s="30" t="n">
        <f aca="false">MIN(C1568,D1568)</f>
        <v>96</v>
      </c>
      <c r="F1568" s="8" t="n">
        <f aca="false">IF(D1568&gt;0,1,0)</f>
        <v>1</v>
      </c>
    </row>
    <row r="1569" customFormat="false" ht="15" hidden="false" customHeight="false" outlineLevel="0" collapsed="false">
      <c r="A1569" s="8" t="s">
        <v>4204</v>
      </c>
      <c r="B1569" s="8" t="s">
        <v>51</v>
      </c>
      <c r="C1569" s="30" t="n">
        <v>96</v>
      </c>
      <c r="D1569" s="30" t="n">
        <v>108</v>
      </c>
      <c r="E1569" s="30" t="n">
        <f aca="false">MIN(C1569,D1569)</f>
        <v>96</v>
      </c>
      <c r="F1569" s="8" t="n">
        <f aca="false">IF(D1569&gt;0,1,0)</f>
        <v>1</v>
      </c>
    </row>
    <row r="1570" customFormat="false" ht="15" hidden="false" customHeight="false" outlineLevel="0" collapsed="false">
      <c r="A1570" s="8" t="s">
        <v>4258</v>
      </c>
      <c r="B1570" s="8" t="s">
        <v>51</v>
      </c>
      <c r="C1570" s="30" t="n">
        <v>96</v>
      </c>
      <c r="D1570" s="30" t="n">
        <v>96</v>
      </c>
      <c r="E1570" s="30" t="n">
        <f aca="false">MIN(C1570,D1570)</f>
        <v>96</v>
      </c>
      <c r="F1570" s="8" t="n">
        <f aca="false">IF(D1570&gt;0,1,0)</f>
        <v>1</v>
      </c>
    </row>
    <row r="1571" customFormat="false" ht="15" hidden="false" customHeight="false" outlineLevel="0" collapsed="false">
      <c r="A1571" s="8" t="s">
        <v>4262</v>
      </c>
      <c r="B1571" s="8" t="s">
        <v>51</v>
      </c>
      <c r="C1571" s="30" t="n">
        <v>84</v>
      </c>
      <c r="D1571" s="30" t="n">
        <v>84</v>
      </c>
      <c r="E1571" s="30" t="n">
        <f aca="false">MIN(C1571,D1571)</f>
        <v>84</v>
      </c>
      <c r="F1571" s="8" t="n">
        <f aca="false">IF(D1571&gt;0,1,0)</f>
        <v>1</v>
      </c>
    </row>
    <row r="1572" customFormat="false" ht="15" hidden="false" customHeight="false" outlineLevel="0" collapsed="false">
      <c r="A1572" s="8" t="s">
        <v>4266</v>
      </c>
      <c r="B1572" s="8" t="s">
        <v>51</v>
      </c>
      <c r="C1572" s="30" t="n">
        <v>84</v>
      </c>
      <c r="D1572" s="30" t="n">
        <v>84</v>
      </c>
      <c r="E1572" s="30" t="n">
        <f aca="false">MIN(C1572,D1572)</f>
        <v>84</v>
      </c>
      <c r="F1572" s="8" t="n">
        <f aca="false">IF(D1572&gt;0,1,0)</f>
        <v>1</v>
      </c>
    </row>
    <row r="1573" customFormat="false" ht="15" hidden="false" customHeight="false" outlineLevel="0" collapsed="false">
      <c r="A1573" s="8" t="s">
        <v>4160</v>
      </c>
      <c r="B1573" s="8" t="s">
        <v>51</v>
      </c>
      <c r="C1573" s="30" t="n">
        <v>84</v>
      </c>
      <c r="D1573" s="30" t="n">
        <v>108</v>
      </c>
      <c r="E1573" s="30" t="n">
        <f aca="false">MIN(C1573,D1573)</f>
        <v>84</v>
      </c>
      <c r="F1573" s="8" t="n">
        <f aca="false">IF(D1573&gt;0,1,0)</f>
        <v>1</v>
      </c>
    </row>
    <row r="1574" customFormat="false" ht="15" hidden="false" customHeight="false" outlineLevel="0" collapsed="false">
      <c r="A1574" s="8" t="s">
        <v>4272</v>
      </c>
      <c r="B1574" s="8" t="s">
        <v>51</v>
      </c>
      <c r="C1574" s="30" t="n">
        <v>84</v>
      </c>
      <c r="D1574" s="30" t="n">
        <v>84</v>
      </c>
      <c r="E1574" s="30" t="n">
        <f aca="false">MIN(C1574,D1574)</f>
        <v>84</v>
      </c>
      <c r="F1574" s="8" t="n">
        <f aca="false">IF(D1574&gt;0,1,0)</f>
        <v>1</v>
      </c>
    </row>
    <row r="1575" customFormat="false" ht="15" hidden="false" customHeight="false" outlineLevel="0" collapsed="false">
      <c r="A1575" s="8" t="s">
        <v>4274</v>
      </c>
      <c r="B1575" s="8" t="s">
        <v>51</v>
      </c>
      <c r="C1575" s="30" t="n">
        <v>84</v>
      </c>
      <c r="D1575" s="30" t="n">
        <v>84</v>
      </c>
      <c r="E1575" s="30" t="n">
        <f aca="false">MIN(C1575,D1575)</f>
        <v>84</v>
      </c>
      <c r="F1575" s="8" t="n">
        <f aca="false">IF(D1575&gt;0,1,0)</f>
        <v>1</v>
      </c>
    </row>
    <row r="1576" customFormat="false" ht="15" hidden="false" customHeight="false" outlineLevel="0" collapsed="false">
      <c r="A1576" s="8" t="s">
        <v>4276</v>
      </c>
      <c r="B1576" s="8" t="s">
        <v>51</v>
      </c>
      <c r="C1576" s="30" t="n">
        <v>84</v>
      </c>
      <c r="D1576" s="30" t="n">
        <v>84</v>
      </c>
      <c r="E1576" s="30" t="n">
        <f aca="false">MIN(C1576,D1576)</f>
        <v>84</v>
      </c>
      <c r="F1576" s="8" t="n">
        <f aca="false">IF(D1576&gt;0,1,0)</f>
        <v>1</v>
      </c>
    </row>
    <row r="1577" customFormat="false" ht="15" hidden="false" customHeight="false" outlineLevel="0" collapsed="false">
      <c r="A1577" s="8" t="s">
        <v>4178</v>
      </c>
      <c r="B1577" s="8" t="s">
        <v>51</v>
      </c>
      <c r="C1577" s="30" t="n">
        <v>84</v>
      </c>
      <c r="D1577" s="30" t="n">
        <v>108</v>
      </c>
      <c r="E1577" s="30" t="n">
        <f aca="false">MIN(C1577,D1577)</f>
        <v>84</v>
      </c>
      <c r="F1577" s="8" t="n">
        <f aca="false">IF(D1577&gt;0,1,0)</f>
        <v>1</v>
      </c>
    </row>
    <row r="1578" customFormat="false" ht="15" hidden="false" customHeight="false" outlineLevel="0" collapsed="false">
      <c r="A1578" s="8" t="s">
        <v>4282</v>
      </c>
      <c r="B1578" s="8" t="s">
        <v>51</v>
      </c>
      <c r="C1578" s="30" t="n">
        <v>84</v>
      </c>
      <c r="D1578" s="30" t="n">
        <v>84</v>
      </c>
      <c r="E1578" s="30" t="n">
        <f aca="false">MIN(C1578,D1578)</f>
        <v>84</v>
      </c>
      <c r="F1578" s="8" t="n">
        <f aca="false">IF(D1578&gt;0,1,0)</f>
        <v>1</v>
      </c>
    </row>
    <row r="1579" customFormat="false" ht="15" hidden="false" customHeight="false" outlineLevel="0" collapsed="false">
      <c r="A1579" s="8" t="s">
        <v>4362</v>
      </c>
      <c r="B1579" s="8" t="s">
        <v>51</v>
      </c>
      <c r="C1579" s="30" t="n">
        <v>84</v>
      </c>
      <c r="D1579" s="30" t="n">
        <v>60</v>
      </c>
      <c r="E1579" s="30" t="n">
        <f aca="false">MIN(C1579,D1579)</f>
        <v>60</v>
      </c>
      <c r="F1579" s="8" t="n">
        <f aca="false">IF(D1579&gt;0,1,0)</f>
        <v>1</v>
      </c>
    </row>
    <row r="1580" customFormat="false" ht="15" hidden="false" customHeight="false" outlineLevel="0" collapsed="false">
      <c r="A1580" s="8" t="s">
        <v>4286</v>
      </c>
      <c r="B1580" s="8" t="s">
        <v>51</v>
      </c>
      <c r="C1580" s="30" t="n">
        <v>84</v>
      </c>
      <c r="D1580" s="30" t="n">
        <v>84</v>
      </c>
      <c r="E1580" s="30" t="n">
        <f aca="false">MIN(C1580,D1580)</f>
        <v>84</v>
      </c>
      <c r="F1580" s="8" t="n">
        <f aca="false">IF(D1580&gt;0,1,0)</f>
        <v>1</v>
      </c>
    </row>
    <row r="1581" customFormat="false" ht="15" hidden="false" customHeight="false" outlineLevel="0" collapsed="false">
      <c r="A1581" s="8" t="s">
        <v>4188</v>
      </c>
      <c r="B1581" s="8" t="s">
        <v>51</v>
      </c>
      <c r="C1581" s="30" t="n">
        <v>84</v>
      </c>
      <c r="D1581" s="30" t="n">
        <v>108</v>
      </c>
      <c r="E1581" s="30" t="n">
        <f aca="false">MIN(C1581,D1581)</f>
        <v>84</v>
      </c>
      <c r="F1581" s="8" t="n">
        <f aca="false">IF(D1581&gt;0,1,0)</f>
        <v>1</v>
      </c>
    </row>
    <row r="1582" customFormat="false" ht="15" hidden="false" customHeight="false" outlineLevel="0" collapsed="false">
      <c r="A1582" s="8" t="s">
        <v>4595</v>
      </c>
      <c r="B1582" s="8" t="s">
        <v>51</v>
      </c>
      <c r="C1582" s="30" t="n">
        <v>84</v>
      </c>
      <c r="D1582" s="30" t="n">
        <v>0</v>
      </c>
      <c r="E1582" s="30" t="n">
        <f aca="false">MIN(C1582,D1582)</f>
        <v>0</v>
      </c>
      <c r="F1582" s="8" t="n">
        <f aca="false">IF(D1582&gt;0,1,0)</f>
        <v>0</v>
      </c>
    </row>
    <row r="1583" customFormat="false" ht="15" hidden="false" customHeight="false" outlineLevel="0" collapsed="false">
      <c r="A1583" s="8" t="s">
        <v>4288</v>
      </c>
      <c r="B1583" s="8" t="s">
        <v>51</v>
      </c>
      <c r="C1583" s="30" t="n">
        <v>84</v>
      </c>
      <c r="D1583" s="30" t="n">
        <v>84</v>
      </c>
      <c r="E1583" s="30" t="n">
        <f aca="false">MIN(C1583,D1583)</f>
        <v>84</v>
      </c>
      <c r="F1583" s="8" t="n">
        <f aca="false">IF(D1583&gt;0,1,0)</f>
        <v>1</v>
      </c>
    </row>
    <row r="1584" customFormat="false" ht="15" hidden="false" customHeight="false" outlineLevel="0" collapsed="false">
      <c r="A1584" s="8" t="s">
        <v>4290</v>
      </c>
      <c r="B1584" s="8" t="s">
        <v>51</v>
      </c>
      <c r="C1584" s="30" t="n">
        <v>84</v>
      </c>
      <c r="D1584" s="30" t="n">
        <v>84</v>
      </c>
      <c r="E1584" s="30" t="n">
        <f aca="false">MIN(C1584,D1584)</f>
        <v>84</v>
      </c>
      <c r="F1584" s="8" t="n">
        <f aca="false">IF(D1584&gt;0,1,0)</f>
        <v>1</v>
      </c>
    </row>
    <row r="1585" customFormat="false" ht="15" hidden="false" customHeight="false" outlineLevel="0" collapsed="false">
      <c r="A1585" s="8" t="s">
        <v>4292</v>
      </c>
      <c r="B1585" s="8" t="s">
        <v>51</v>
      </c>
      <c r="C1585" s="30" t="n">
        <v>84</v>
      </c>
      <c r="D1585" s="30" t="n">
        <v>84</v>
      </c>
      <c r="E1585" s="30" t="n">
        <f aca="false">MIN(C1585,D1585)</f>
        <v>84</v>
      </c>
      <c r="F1585" s="8" t="n">
        <f aca="false">IF(D1585&gt;0,1,0)</f>
        <v>1</v>
      </c>
    </row>
    <row r="1586" customFormat="false" ht="15" hidden="false" customHeight="false" outlineLevel="0" collapsed="false">
      <c r="A1586" s="8" t="s">
        <v>4596</v>
      </c>
      <c r="B1586" s="8" t="s">
        <v>51</v>
      </c>
      <c r="C1586" s="30" t="n">
        <v>72</v>
      </c>
      <c r="D1586" s="30" t="n">
        <v>0</v>
      </c>
      <c r="E1586" s="30" t="n">
        <f aca="false">MIN(C1586,D1586)</f>
        <v>0</v>
      </c>
      <c r="F1586" s="8" t="n">
        <f aca="false">IF(D1586&gt;0,1,0)</f>
        <v>0</v>
      </c>
    </row>
    <row r="1587" customFormat="false" ht="15" hidden="false" customHeight="false" outlineLevel="0" collapsed="false">
      <c r="A1587" s="8" t="s">
        <v>4212</v>
      </c>
      <c r="B1587" s="8" t="s">
        <v>51</v>
      </c>
      <c r="C1587" s="30" t="n">
        <v>72</v>
      </c>
      <c r="D1587" s="30" t="n">
        <v>96</v>
      </c>
      <c r="E1587" s="30" t="n">
        <f aca="false">MIN(C1587,D1587)</f>
        <v>72</v>
      </c>
      <c r="F1587" s="8" t="n">
        <f aca="false">IF(D1587&gt;0,1,0)</f>
        <v>1</v>
      </c>
    </row>
    <row r="1588" customFormat="false" ht="15" hidden="false" customHeight="false" outlineLevel="0" collapsed="false">
      <c r="A1588" s="8" t="s">
        <v>4214</v>
      </c>
      <c r="B1588" s="8" t="s">
        <v>51</v>
      </c>
      <c r="C1588" s="30" t="n">
        <v>72</v>
      </c>
      <c r="D1588" s="30" t="n">
        <v>96</v>
      </c>
      <c r="E1588" s="30" t="n">
        <f aca="false">MIN(C1588,D1588)</f>
        <v>72</v>
      </c>
      <c r="F1588" s="8" t="n">
        <f aca="false">IF(D1588&gt;0,1,0)</f>
        <v>1</v>
      </c>
    </row>
    <row r="1589" customFormat="false" ht="15" hidden="false" customHeight="false" outlineLevel="0" collapsed="false">
      <c r="A1589" s="8" t="s">
        <v>4224</v>
      </c>
      <c r="B1589" s="8" t="s">
        <v>51</v>
      </c>
      <c r="C1589" s="30" t="n">
        <v>72</v>
      </c>
      <c r="D1589" s="30" t="n">
        <v>96</v>
      </c>
      <c r="E1589" s="30" t="n">
        <f aca="false">MIN(C1589,D1589)</f>
        <v>72</v>
      </c>
      <c r="F1589" s="8" t="n">
        <f aca="false">IF(D1589&gt;0,1,0)</f>
        <v>1</v>
      </c>
    </row>
    <row r="1590" customFormat="false" ht="15" hidden="false" customHeight="false" outlineLevel="0" collapsed="false">
      <c r="A1590" s="8" t="s">
        <v>4304</v>
      </c>
      <c r="B1590" s="8" t="s">
        <v>51</v>
      </c>
      <c r="C1590" s="30" t="n">
        <v>72</v>
      </c>
      <c r="D1590" s="30" t="n">
        <v>72</v>
      </c>
      <c r="E1590" s="30" t="n">
        <f aca="false">MIN(C1590,D1590)</f>
        <v>72</v>
      </c>
      <c r="F1590" s="8" t="n">
        <f aca="false">IF(D1590&gt;0,1,0)</f>
        <v>1</v>
      </c>
    </row>
    <row r="1591" customFormat="false" ht="15" hidden="false" customHeight="false" outlineLevel="0" collapsed="false">
      <c r="A1591" s="8" t="s">
        <v>4306</v>
      </c>
      <c r="B1591" s="8" t="s">
        <v>51</v>
      </c>
      <c r="C1591" s="30" t="n">
        <v>72</v>
      </c>
      <c r="D1591" s="30" t="n">
        <v>72</v>
      </c>
      <c r="E1591" s="30" t="n">
        <f aca="false">MIN(C1591,D1591)</f>
        <v>72</v>
      </c>
      <c r="F1591" s="8" t="n">
        <f aca="false">IF(D1591&gt;0,1,0)</f>
        <v>1</v>
      </c>
    </row>
    <row r="1592" customFormat="false" ht="15" hidden="false" customHeight="false" outlineLevel="0" collapsed="false">
      <c r="A1592" s="8" t="s">
        <v>4354</v>
      </c>
      <c r="B1592" s="8" t="s">
        <v>51</v>
      </c>
      <c r="C1592" s="30" t="n">
        <v>72</v>
      </c>
      <c r="D1592" s="30" t="n">
        <v>60</v>
      </c>
      <c r="E1592" s="30" t="n">
        <f aca="false">MIN(C1592,D1592)</f>
        <v>60</v>
      </c>
      <c r="F1592" s="8" t="n">
        <f aca="false">IF(D1592&gt;0,1,0)</f>
        <v>1</v>
      </c>
    </row>
    <row r="1593" customFormat="false" ht="15" hidden="false" customHeight="false" outlineLevel="0" collapsed="false">
      <c r="A1593" s="8" t="s">
        <v>4310</v>
      </c>
      <c r="B1593" s="8" t="s">
        <v>51</v>
      </c>
      <c r="C1593" s="30" t="n">
        <v>72</v>
      </c>
      <c r="D1593" s="30" t="n">
        <v>72</v>
      </c>
      <c r="E1593" s="30" t="n">
        <f aca="false">MIN(C1593,D1593)</f>
        <v>72</v>
      </c>
      <c r="F1593" s="8" t="n">
        <f aca="false">IF(D1593&gt;0,1,0)</f>
        <v>1</v>
      </c>
    </row>
    <row r="1594" customFormat="false" ht="15" hidden="false" customHeight="false" outlineLevel="0" collapsed="false">
      <c r="A1594" s="8" t="s">
        <v>4320</v>
      </c>
      <c r="B1594" s="8" t="s">
        <v>51</v>
      </c>
      <c r="C1594" s="30" t="n">
        <v>72</v>
      </c>
      <c r="D1594" s="30" t="n">
        <v>72</v>
      </c>
      <c r="E1594" s="30" t="n">
        <f aca="false">MIN(C1594,D1594)</f>
        <v>72</v>
      </c>
      <c r="F1594" s="8" t="n">
        <f aca="false">IF(D1594&gt;0,1,0)</f>
        <v>1</v>
      </c>
    </row>
    <row r="1595" customFormat="false" ht="15" hidden="false" customHeight="false" outlineLevel="0" collapsed="false">
      <c r="A1595" s="8" t="s">
        <v>4244</v>
      </c>
      <c r="B1595" s="8" t="s">
        <v>51</v>
      </c>
      <c r="C1595" s="30" t="n">
        <v>72</v>
      </c>
      <c r="D1595" s="30" t="n">
        <v>96</v>
      </c>
      <c r="E1595" s="30" t="n">
        <f aca="false">MIN(C1595,D1595)</f>
        <v>72</v>
      </c>
      <c r="F1595" s="8" t="n">
        <f aca="false">IF(D1595&gt;0,1,0)</f>
        <v>1</v>
      </c>
    </row>
    <row r="1596" customFormat="false" ht="15" hidden="false" customHeight="false" outlineLevel="0" collapsed="false">
      <c r="A1596" s="8" t="s">
        <v>4322</v>
      </c>
      <c r="B1596" s="8" t="s">
        <v>51</v>
      </c>
      <c r="C1596" s="30" t="n">
        <v>72</v>
      </c>
      <c r="D1596" s="30" t="n">
        <v>72</v>
      </c>
      <c r="E1596" s="30" t="n">
        <f aca="false">MIN(C1596,D1596)</f>
        <v>72</v>
      </c>
      <c r="F1596" s="8" t="n">
        <f aca="false">IF(D1596&gt;0,1,0)</f>
        <v>1</v>
      </c>
    </row>
    <row r="1597" customFormat="false" ht="15" hidden="false" customHeight="false" outlineLevel="0" collapsed="false">
      <c r="A1597" s="8" t="s">
        <v>4326</v>
      </c>
      <c r="B1597" s="8" t="s">
        <v>51</v>
      </c>
      <c r="C1597" s="30" t="n">
        <v>72</v>
      </c>
      <c r="D1597" s="30" t="n">
        <v>72</v>
      </c>
      <c r="E1597" s="30" t="n">
        <f aca="false">MIN(C1597,D1597)</f>
        <v>72</v>
      </c>
      <c r="F1597" s="8" t="n">
        <f aca="false">IF(D1597&gt;0,1,0)</f>
        <v>1</v>
      </c>
    </row>
    <row r="1598" customFormat="false" ht="15" hidden="false" customHeight="false" outlineLevel="0" collapsed="false">
      <c r="A1598" s="8" t="s">
        <v>4386</v>
      </c>
      <c r="B1598" s="8" t="s">
        <v>51</v>
      </c>
      <c r="C1598" s="30" t="n">
        <v>72</v>
      </c>
      <c r="D1598" s="30" t="n">
        <v>48</v>
      </c>
      <c r="E1598" s="30" t="n">
        <f aca="false">MIN(C1598,D1598)</f>
        <v>48</v>
      </c>
      <c r="F1598" s="8" t="n">
        <f aca="false">IF(D1598&gt;0,1,0)</f>
        <v>1</v>
      </c>
    </row>
    <row r="1599" customFormat="false" ht="15" hidden="false" customHeight="false" outlineLevel="0" collapsed="false">
      <c r="A1599" s="8" t="s">
        <v>4328</v>
      </c>
      <c r="B1599" s="8" t="s">
        <v>51</v>
      </c>
      <c r="C1599" s="30" t="n">
        <v>72</v>
      </c>
      <c r="D1599" s="30" t="n">
        <v>72</v>
      </c>
      <c r="E1599" s="30" t="n">
        <f aca="false">MIN(C1599,D1599)</f>
        <v>72</v>
      </c>
      <c r="F1599" s="8" t="n">
        <f aca="false">IF(D1599&gt;0,1,0)</f>
        <v>1</v>
      </c>
    </row>
    <row r="1600" customFormat="false" ht="15" hidden="false" customHeight="false" outlineLevel="0" collapsed="false">
      <c r="A1600" s="8" t="s">
        <v>4252</v>
      </c>
      <c r="B1600" s="8" t="s">
        <v>51</v>
      </c>
      <c r="C1600" s="30" t="n">
        <v>72</v>
      </c>
      <c r="D1600" s="30" t="n">
        <v>96</v>
      </c>
      <c r="E1600" s="30" t="n">
        <f aca="false">MIN(C1600,D1600)</f>
        <v>72</v>
      </c>
      <c r="F1600" s="8" t="n">
        <f aca="false">IF(D1600&gt;0,1,0)</f>
        <v>1</v>
      </c>
    </row>
    <row r="1601" customFormat="false" ht="15" hidden="false" customHeight="false" outlineLevel="0" collapsed="false">
      <c r="A1601" s="8" t="s">
        <v>4597</v>
      </c>
      <c r="B1601" s="8" t="s">
        <v>51</v>
      </c>
      <c r="C1601" s="30" t="n">
        <v>72</v>
      </c>
      <c r="D1601" s="30" t="n">
        <v>0</v>
      </c>
      <c r="E1601" s="30" t="n">
        <f aca="false">MIN(C1601,D1601)</f>
        <v>0</v>
      </c>
      <c r="F1601" s="8" t="n">
        <f aca="false">IF(D1601&gt;0,1,0)</f>
        <v>0</v>
      </c>
    </row>
    <row r="1602" customFormat="false" ht="15" hidden="false" customHeight="false" outlineLevel="0" collapsed="false">
      <c r="A1602" s="8" t="s">
        <v>4370</v>
      </c>
      <c r="B1602" s="8" t="s">
        <v>51</v>
      </c>
      <c r="C1602" s="30" t="n">
        <v>72</v>
      </c>
      <c r="D1602" s="30" t="n">
        <v>60</v>
      </c>
      <c r="E1602" s="30" t="n">
        <f aca="false">MIN(C1602,D1602)</f>
        <v>60</v>
      </c>
      <c r="F1602" s="8" t="n">
        <f aca="false">IF(D1602&gt;0,1,0)</f>
        <v>1</v>
      </c>
    </row>
    <row r="1603" customFormat="false" ht="15" hidden="false" customHeight="false" outlineLevel="0" collapsed="false">
      <c r="A1603" s="8" t="s">
        <v>4598</v>
      </c>
      <c r="B1603" s="8" t="s">
        <v>51</v>
      </c>
      <c r="C1603" s="30" t="n">
        <v>72</v>
      </c>
      <c r="D1603" s="30" t="n">
        <v>0</v>
      </c>
      <c r="E1603" s="30" t="n">
        <f aca="false">MIN(C1603,D1603)</f>
        <v>0</v>
      </c>
      <c r="F1603" s="8" t="n">
        <f aca="false">IF(D1603&gt;0,1,0)</f>
        <v>0</v>
      </c>
    </row>
    <row r="1604" customFormat="false" ht="15" hidden="false" customHeight="false" outlineLevel="0" collapsed="false">
      <c r="A1604" s="8" t="s">
        <v>4336</v>
      </c>
      <c r="B1604" s="8" t="s">
        <v>51</v>
      </c>
      <c r="C1604" s="30" t="n">
        <v>72</v>
      </c>
      <c r="D1604" s="30" t="n">
        <v>72</v>
      </c>
      <c r="E1604" s="30" t="n">
        <f aca="false">MIN(C1604,D1604)</f>
        <v>72</v>
      </c>
      <c r="F1604" s="8" t="n">
        <f aca="false">IF(D1604&gt;0,1,0)</f>
        <v>1</v>
      </c>
    </row>
    <row r="1605" customFormat="false" ht="15" hidden="false" customHeight="false" outlineLevel="0" collapsed="false">
      <c r="A1605" s="8" t="s">
        <v>4599</v>
      </c>
      <c r="B1605" s="8" t="s">
        <v>51</v>
      </c>
      <c r="C1605" s="30" t="n">
        <v>60</v>
      </c>
      <c r="D1605" s="30" t="n">
        <v>0</v>
      </c>
      <c r="E1605" s="30" t="n">
        <f aca="false">MIN(C1605,D1605)</f>
        <v>0</v>
      </c>
      <c r="F1605" s="8" t="n">
        <f aca="false">IF(D1605&gt;0,1,0)</f>
        <v>0</v>
      </c>
    </row>
    <row r="1606" customFormat="false" ht="15" hidden="false" customHeight="false" outlineLevel="0" collapsed="false">
      <c r="A1606" s="8" t="s">
        <v>4338</v>
      </c>
      <c r="B1606" s="8" t="s">
        <v>51</v>
      </c>
      <c r="C1606" s="30" t="n">
        <v>60</v>
      </c>
      <c r="D1606" s="30" t="n">
        <v>60</v>
      </c>
      <c r="E1606" s="30" t="n">
        <f aca="false">MIN(C1606,D1606)</f>
        <v>60</v>
      </c>
      <c r="F1606" s="8" t="n">
        <f aca="false">IF(D1606&gt;0,1,0)</f>
        <v>1</v>
      </c>
    </row>
    <row r="1607" customFormat="false" ht="15" hidden="false" customHeight="false" outlineLevel="0" collapsed="false">
      <c r="A1607" s="8" t="s">
        <v>4342</v>
      </c>
      <c r="B1607" s="8" t="s">
        <v>51</v>
      </c>
      <c r="C1607" s="30" t="n">
        <v>60</v>
      </c>
      <c r="D1607" s="30" t="n">
        <v>60</v>
      </c>
      <c r="E1607" s="30" t="n">
        <f aca="false">MIN(C1607,D1607)</f>
        <v>60</v>
      </c>
      <c r="F1607" s="8" t="n">
        <f aca="false">IF(D1607&gt;0,1,0)</f>
        <v>1</v>
      </c>
    </row>
    <row r="1608" customFormat="false" ht="15" hidden="false" customHeight="false" outlineLevel="0" collapsed="false">
      <c r="A1608" s="8" t="s">
        <v>4346</v>
      </c>
      <c r="B1608" s="8" t="s">
        <v>51</v>
      </c>
      <c r="C1608" s="30" t="n">
        <v>60</v>
      </c>
      <c r="D1608" s="30" t="n">
        <v>60</v>
      </c>
      <c r="E1608" s="30" t="n">
        <f aca="false">MIN(C1608,D1608)</f>
        <v>60</v>
      </c>
      <c r="F1608" s="8" t="n">
        <f aca="false">IF(D1608&gt;0,1,0)</f>
        <v>1</v>
      </c>
    </row>
    <row r="1609" customFormat="false" ht="15" hidden="false" customHeight="false" outlineLevel="0" collapsed="false">
      <c r="A1609" s="8" t="s">
        <v>4384</v>
      </c>
      <c r="B1609" s="8" t="s">
        <v>51</v>
      </c>
      <c r="C1609" s="30" t="n">
        <v>60</v>
      </c>
      <c r="D1609" s="30" t="n">
        <v>48</v>
      </c>
      <c r="E1609" s="30" t="n">
        <f aca="false">MIN(C1609,D1609)</f>
        <v>48</v>
      </c>
      <c r="F1609" s="8" t="n">
        <f aca="false">IF(D1609&gt;0,1,0)</f>
        <v>1</v>
      </c>
    </row>
    <row r="1610" customFormat="false" ht="15" hidden="false" customHeight="false" outlineLevel="0" collapsed="false">
      <c r="A1610" s="8" t="s">
        <v>4348</v>
      </c>
      <c r="B1610" s="8" t="s">
        <v>51</v>
      </c>
      <c r="C1610" s="30" t="n">
        <v>60</v>
      </c>
      <c r="D1610" s="30" t="n">
        <v>60</v>
      </c>
      <c r="E1610" s="30" t="n">
        <f aca="false">MIN(C1610,D1610)</f>
        <v>60</v>
      </c>
      <c r="F1610" s="8" t="n">
        <f aca="false">IF(D1610&gt;0,1,0)</f>
        <v>1</v>
      </c>
    </row>
    <row r="1611" customFormat="false" ht="15" hidden="false" customHeight="false" outlineLevel="0" collapsed="false">
      <c r="A1611" s="8" t="s">
        <v>4350</v>
      </c>
      <c r="B1611" s="8" t="s">
        <v>51</v>
      </c>
      <c r="C1611" s="30" t="n">
        <v>60</v>
      </c>
      <c r="D1611" s="30" t="n">
        <v>60</v>
      </c>
      <c r="E1611" s="30" t="n">
        <f aca="false">MIN(C1611,D1611)</f>
        <v>60</v>
      </c>
      <c r="F1611" s="8" t="n">
        <f aca="false">IF(D1611&gt;0,1,0)</f>
        <v>1</v>
      </c>
    </row>
    <row r="1612" customFormat="false" ht="15" hidden="false" customHeight="false" outlineLevel="0" collapsed="false">
      <c r="A1612" s="8" t="s">
        <v>4352</v>
      </c>
      <c r="B1612" s="8" t="s">
        <v>51</v>
      </c>
      <c r="C1612" s="30" t="n">
        <v>60</v>
      </c>
      <c r="D1612" s="30" t="n">
        <v>60</v>
      </c>
      <c r="E1612" s="30" t="n">
        <f aca="false">MIN(C1612,D1612)</f>
        <v>60</v>
      </c>
      <c r="F1612" s="8" t="n">
        <f aca="false">IF(D1612&gt;0,1,0)</f>
        <v>1</v>
      </c>
    </row>
    <row r="1613" customFormat="false" ht="15" hidden="false" customHeight="false" outlineLevel="0" collapsed="false">
      <c r="A1613" s="8" t="s">
        <v>4280</v>
      </c>
      <c r="B1613" s="8" t="s">
        <v>51</v>
      </c>
      <c r="C1613" s="30" t="n">
        <v>60</v>
      </c>
      <c r="D1613" s="30" t="n">
        <v>84</v>
      </c>
      <c r="E1613" s="30" t="n">
        <f aca="false">MIN(C1613,D1613)</f>
        <v>60</v>
      </c>
      <c r="F1613" s="8" t="n">
        <f aca="false">IF(D1613&gt;0,1,0)</f>
        <v>1</v>
      </c>
    </row>
    <row r="1614" customFormat="false" ht="15" hidden="false" customHeight="false" outlineLevel="0" collapsed="false">
      <c r="A1614" s="8" t="s">
        <v>4356</v>
      </c>
      <c r="B1614" s="8" t="s">
        <v>51</v>
      </c>
      <c r="C1614" s="30" t="n">
        <v>60</v>
      </c>
      <c r="D1614" s="30" t="n">
        <v>60</v>
      </c>
      <c r="E1614" s="30" t="n">
        <f aca="false">MIN(C1614,D1614)</f>
        <v>60</v>
      </c>
      <c r="F1614" s="8" t="n">
        <f aca="false">IF(D1614&gt;0,1,0)</f>
        <v>1</v>
      </c>
    </row>
    <row r="1615" customFormat="false" ht="15" hidden="false" customHeight="false" outlineLevel="0" collapsed="false">
      <c r="A1615" s="8" t="s">
        <v>4600</v>
      </c>
      <c r="B1615" s="8" t="s">
        <v>51</v>
      </c>
      <c r="C1615" s="30" t="n">
        <v>60</v>
      </c>
      <c r="D1615" s="30" t="n">
        <v>0</v>
      </c>
      <c r="E1615" s="30" t="n">
        <f aca="false">MIN(C1615,D1615)</f>
        <v>0</v>
      </c>
      <c r="F1615" s="8" t="n">
        <f aca="false">IF(D1615&gt;0,1,0)</f>
        <v>0</v>
      </c>
    </row>
    <row r="1616" customFormat="false" ht="15" hidden="false" customHeight="false" outlineLevel="0" collapsed="false">
      <c r="A1616" s="8" t="s">
        <v>4360</v>
      </c>
      <c r="B1616" s="8" t="s">
        <v>51</v>
      </c>
      <c r="C1616" s="30" t="n">
        <v>60</v>
      </c>
      <c r="D1616" s="30" t="n">
        <v>60</v>
      </c>
      <c r="E1616" s="30" t="n">
        <f aca="false">MIN(C1616,D1616)</f>
        <v>60</v>
      </c>
      <c r="F1616" s="8" t="n">
        <f aca="false">IF(D1616&gt;0,1,0)</f>
        <v>1</v>
      </c>
    </row>
    <row r="1617" customFormat="false" ht="15" hidden="false" customHeight="false" outlineLevel="0" collapsed="false">
      <c r="A1617" s="8" t="s">
        <v>4364</v>
      </c>
      <c r="B1617" s="8" t="s">
        <v>51</v>
      </c>
      <c r="C1617" s="30" t="n">
        <v>60</v>
      </c>
      <c r="D1617" s="30" t="n">
        <v>60</v>
      </c>
      <c r="E1617" s="30" t="n">
        <f aca="false">MIN(C1617,D1617)</f>
        <v>60</v>
      </c>
      <c r="F1617" s="8" t="n">
        <f aca="false">IF(D1617&gt;0,1,0)</f>
        <v>1</v>
      </c>
    </row>
    <row r="1618" customFormat="false" ht="15" hidden="false" customHeight="false" outlineLevel="0" collapsed="false">
      <c r="A1618" s="8" t="s">
        <v>4366</v>
      </c>
      <c r="B1618" s="8" t="s">
        <v>51</v>
      </c>
      <c r="C1618" s="30" t="n">
        <v>60</v>
      </c>
      <c r="D1618" s="30" t="n">
        <v>60</v>
      </c>
      <c r="E1618" s="30" t="n">
        <f aca="false">MIN(C1618,D1618)</f>
        <v>60</v>
      </c>
      <c r="F1618" s="8" t="n">
        <f aca="false">IF(D1618&gt;0,1,0)</f>
        <v>1</v>
      </c>
    </row>
    <row r="1619" customFormat="false" ht="15" hidden="false" customHeight="false" outlineLevel="0" collapsed="false">
      <c r="A1619" s="8" t="s">
        <v>4368</v>
      </c>
      <c r="B1619" s="8" t="s">
        <v>51</v>
      </c>
      <c r="C1619" s="30" t="n">
        <v>60</v>
      </c>
      <c r="D1619" s="30" t="n">
        <v>60</v>
      </c>
      <c r="E1619" s="30" t="n">
        <f aca="false">MIN(C1619,D1619)</f>
        <v>60</v>
      </c>
      <c r="F1619" s="8" t="n">
        <f aca="false">IF(D1619&gt;0,1,0)</f>
        <v>1</v>
      </c>
    </row>
    <row r="1620" customFormat="false" ht="15" hidden="false" customHeight="false" outlineLevel="0" collapsed="false">
      <c r="A1620" s="8" t="s">
        <v>4372</v>
      </c>
      <c r="B1620" s="8" t="s">
        <v>51</v>
      </c>
      <c r="C1620" s="30" t="n">
        <v>60</v>
      </c>
      <c r="D1620" s="30" t="n">
        <v>60</v>
      </c>
      <c r="E1620" s="30" t="n">
        <f aca="false">MIN(C1620,D1620)</f>
        <v>60</v>
      </c>
      <c r="F1620" s="8" t="n">
        <f aca="false">IF(D1620&gt;0,1,0)</f>
        <v>1</v>
      </c>
    </row>
    <row r="1621" customFormat="false" ht="15" hidden="false" customHeight="false" outlineLevel="0" collapsed="false">
      <c r="A1621" s="8" t="s">
        <v>4601</v>
      </c>
      <c r="B1621" s="8" t="s">
        <v>51</v>
      </c>
      <c r="C1621" s="30" t="n">
        <v>48</v>
      </c>
      <c r="D1621" s="30" t="n">
        <v>0</v>
      </c>
      <c r="E1621" s="30" t="n">
        <f aca="false">MIN(C1621,D1621)</f>
        <v>0</v>
      </c>
      <c r="F1621" s="8" t="n">
        <f aca="false">IF(D1621&gt;0,1,0)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24" t="s">
        <v>4602</v>
      </c>
      <c r="B1" s="24" t="s">
        <v>94</v>
      </c>
      <c r="C1" s="24" t="s">
        <v>96</v>
      </c>
      <c r="D1" s="24" t="s">
        <v>4603</v>
      </c>
      <c r="E1" s="24" t="s">
        <v>4604</v>
      </c>
      <c r="F1" s="24" t="s">
        <v>4605</v>
      </c>
    </row>
    <row r="2" customFormat="false" ht="15" hidden="false" customHeight="false" outlineLevel="0" collapsed="false">
      <c r="A2" s="8" t="s">
        <v>4606</v>
      </c>
      <c r="B2" s="8" t="s">
        <v>228</v>
      </c>
      <c r="C2" s="8" t="s">
        <v>55</v>
      </c>
      <c r="D2" s="32" t="n">
        <v>45901</v>
      </c>
      <c r="E2" s="8" t="n">
        <v>10</v>
      </c>
      <c r="F2" s="8" t="str">
        <f aca="false">IF(E2&gt;=9,"Promoter",IF(E2&gt;=7,"Passive","Detractor"))</f>
        <v>Promoter</v>
      </c>
    </row>
    <row r="3" customFormat="false" ht="15" hidden="false" customHeight="false" outlineLevel="0" collapsed="false">
      <c r="A3" s="8" t="s">
        <v>4607</v>
      </c>
      <c r="B3" s="8" t="s">
        <v>4438</v>
      </c>
      <c r="C3" s="8" t="s">
        <v>53</v>
      </c>
      <c r="D3" s="32" t="n">
        <v>45901</v>
      </c>
      <c r="E3" s="8" t="n">
        <v>6</v>
      </c>
      <c r="F3" s="8" t="str">
        <f aca="false">IF(E3&gt;=9,"Promoter",IF(E3&gt;=7,"Passive","Detractor"))</f>
        <v>Detractor</v>
      </c>
    </row>
    <row r="4" customFormat="false" ht="15" hidden="false" customHeight="false" outlineLevel="0" collapsed="false">
      <c r="A4" s="8" t="s">
        <v>4608</v>
      </c>
      <c r="B4" s="8" t="s">
        <v>733</v>
      </c>
      <c r="C4" s="8" t="s">
        <v>55</v>
      </c>
      <c r="D4" s="32" t="n">
        <v>45901</v>
      </c>
      <c r="E4" s="8" t="n">
        <v>10</v>
      </c>
      <c r="F4" s="8" t="str">
        <f aca="false">IF(E4&gt;=9,"Promoter",IF(E4&gt;=7,"Passive","Detractor"))</f>
        <v>Promoter</v>
      </c>
    </row>
    <row r="5" customFormat="false" ht="15" hidden="false" customHeight="false" outlineLevel="0" collapsed="false">
      <c r="A5" s="8" t="s">
        <v>4609</v>
      </c>
      <c r="B5" s="8" t="s">
        <v>3774</v>
      </c>
      <c r="C5" s="8" t="s">
        <v>51</v>
      </c>
      <c r="D5" s="32" t="n">
        <v>45901</v>
      </c>
      <c r="E5" s="8" t="n">
        <v>8</v>
      </c>
      <c r="F5" s="8" t="str">
        <f aca="false">IF(E5&gt;=9,"Promoter",IF(E5&gt;=7,"Passive","Detractor"))</f>
        <v>Passive</v>
      </c>
    </row>
    <row r="6" customFormat="false" ht="15" hidden="false" customHeight="false" outlineLevel="0" collapsed="false">
      <c r="A6" s="8" t="s">
        <v>4610</v>
      </c>
      <c r="B6" s="8" t="s">
        <v>3952</v>
      </c>
      <c r="C6" s="8" t="s">
        <v>51</v>
      </c>
      <c r="D6" s="32" t="n">
        <v>45901</v>
      </c>
      <c r="E6" s="8" t="n">
        <v>7</v>
      </c>
      <c r="F6" s="8" t="str">
        <f aca="false">IF(E6&gt;=9,"Promoter",IF(E6&gt;=7,"Passive","Detractor"))</f>
        <v>Passive</v>
      </c>
    </row>
    <row r="7" customFormat="false" ht="15" hidden="false" customHeight="false" outlineLevel="0" collapsed="false">
      <c r="A7" s="8" t="s">
        <v>4611</v>
      </c>
      <c r="B7" s="8" t="s">
        <v>3448</v>
      </c>
      <c r="C7" s="8" t="s">
        <v>51</v>
      </c>
      <c r="D7" s="32" t="n">
        <v>45902</v>
      </c>
      <c r="E7" s="8" t="n">
        <v>7</v>
      </c>
      <c r="F7" s="8" t="str">
        <f aca="false">IF(E7&gt;=9,"Promoter",IF(E7&gt;=7,"Passive","Detractor"))</f>
        <v>Passive</v>
      </c>
    </row>
    <row r="8" customFormat="false" ht="15" hidden="false" customHeight="false" outlineLevel="0" collapsed="false">
      <c r="A8" s="8" t="s">
        <v>4612</v>
      </c>
      <c r="B8" s="8" t="s">
        <v>3020</v>
      </c>
      <c r="C8" s="8" t="s">
        <v>51</v>
      </c>
      <c r="D8" s="32" t="n">
        <v>45902</v>
      </c>
      <c r="E8" s="8" t="n">
        <v>7</v>
      </c>
      <c r="F8" s="8" t="str">
        <f aca="false">IF(E8&gt;=9,"Promoter",IF(E8&gt;=7,"Passive","Detractor"))</f>
        <v>Passive</v>
      </c>
    </row>
    <row r="9" customFormat="false" ht="15" hidden="false" customHeight="false" outlineLevel="0" collapsed="false">
      <c r="A9" s="8" t="s">
        <v>4613</v>
      </c>
      <c r="B9" s="8" t="s">
        <v>4564</v>
      </c>
      <c r="C9" s="8" t="s">
        <v>51</v>
      </c>
      <c r="D9" s="32" t="n">
        <v>45903</v>
      </c>
      <c r="E9" s="8" t="n">
        <v>6</v>
      </c>
      <c r="F9" s="8" t="str">
        <f aca="false">IF(E9&gt;=9,"Promoter",IF(E9&gt;=7,"Passive","Detractor"))</f>
        <v>Detractor</v>
      </c>
    </row>
    <row r="10" customFormat="false" ht="15" hidden="false" customHeight="false" outlineLevel="0" collapsed="false">
      <c r="A10" s="8" t="s">
        <v>4614</v>
      </c>
      <c r="B10" s="8" t="s">
        <v>1895</v>
      </c>
      <c r="C10" s="8" t="s">
        <v>51</v>
      </c>
      <c r="D10" s="32" t="n">
        <v>45903</v>
      </c>
      <c r="E10" s="8" t="n">
        <v>10</v>
      </c>
      <c r="F10" s="8" t="str">
        <f aca="false">IF(E10&gt;=9,"Promoter",IF(E10&gt;=7,"Passive","Detractor"))</f>
        <v>Promoter</v>
      </c>
    </row>
    <row r="11" customFormat="false" ht="15" hidden="false" customHeight="false" outlineLevel="0" collapsed="false">
      <c r="A11" s="8" t="s">
        <v>4615</v>
      </c>
      <c r="B11" s="8" t="s">
        <v>2172</v>
      </c>
      <c r="C11" s="8" t="s">
        <v>51</v>
      </c>
      <c r="D11" s="32" t="n">
        <v>45903</v>
      </c>
      <c r="E11" s="8" t="n">
        <v>9</v>
      </c>
      <c r="F11" s="8" t="str">
        <f aca="false">IF(E11&gt;=9,"Promoter",IF(E11&gt;=7,"Passive","Detractor"))</f>
        <v>Promoter</v>
      </c>
    </row>
    <row r="12" customFormat="false" ht="15" hidden="false" customHeight="false" outlineLevel="0" collapsed="false">
      <c r="A12" s="8" t="s">
        <v>4616</v>
      </c>
      <c r="B12" s="8" t="s">
        <v>4446</v>
      </c>
      <c r="C12" s="8" t="s">
        <v>53</v>
      </c>
      <c r="D12" s="32" t="n">
        <v>45903</v>
      </c>
      <c r="E12" s="8" t="n">
        <v>9</v>
      </c>
      <c r="F12" s="8" t="str">
        <f aca="false">IF(E12&gt;=9,"Promoter",IF(E12&gt;=7,"Passive","Detractor"))</f>
        <v>Promoter</v>
      </c>
    </row>
    <row r="13" customFormat="false" ht="15" hidden="false" customHeight="false" outlineLevel="0" collapsed="false">
      <c r="A13" s="8" t="s">
        <v>4617</v>
      </c>
      <c r="B13" s="8" t="s">
        <v>240</v>
      </c>
      <c r="C13" s="8" t="s">
        <v>55</v>
      </c>
      <c r="D13" s="32" t="n">
        <v>45903</v>
      </c>
      <c r="E13" s="8" t="n">
        <v>8</v>
      </c>
      <c r="F13" s="8" t="str">
        <f aca="false">IF(E13&gt;=9,"Promoter",IF(E13&gt;=7,"Passive","Detractor"))</f>
        <v>Passive</v>
      </c>
    </row>
    <row r="14" customFormat="false" ht="15" hidden="false" customHeight="false" outlineLevel="0" collapsed="false">
      <c r="A14" s="8" t="s">
        <v>4618</v>
      </c>
      <c r="B14" s="8" t="s">
        <v>3170</v>
      </c>
      <c r="C14" s="8" t="s">
        <v>51</v>
      </c>
      <c r="D14" s="32" t="n">
        <v>45903</v>
      </c>
      <c r="E14" s="8" t="n">
        <v>10</v>
      </c>
      <c r="F14" s="8" t="str">
        <f aca="false">IF(E14&gt;=9,"Promoter",IF(E14&gt;=7,"Passive","Detractor"))</f>
        <v>Promoter</v>
      </c>
    </row>
    <row r="15" customFormat="false" ht="15" hidden="false" customHeight="false" outlineLevel="0" collapsed="false">
      <c r="A15" s="8" t="s">
        <v>4619</v>
      </c>
      <c r="B15" s="8" t="s">
        <v>381</v>
      </c>
      <c r="C15" s="8" t="s">
        <v>55</v>
      </c>
      <c r="D15" s="32" t="n">
        <v>45903</v>
      </c>
      <c r="E15" s="8" t="n">
        <v>8</v>
      </c>
      <c r="F15" s="8" t="str">
        <f aca="false">IF(E15&gt;=9,"Promoter",IF(E15&gt;=7,"Passive","Detractor"))</f>
        <v>Passive</v>
      </c>
    </row>
    <row r="16" customFormat="false" ht="15" hidden="false" customHeight="false" outlineLevel="0" collapsed="false">
      <c r="A16" s="8" t="s">
        <v>4620</v>
      </c>
      <c r="B16" s="8" t="s">
        <v>673</v>
      </c>
      <c r="C16" s="8" t="s">
        <v>53</v>
      </c>
      <c r="D16" s="32" t="n">
        <v>45903</v>
      </c>
      <c r="E16" s="8" t="n">
        <v>8</v>
      </c>
      <c r="F16" s="8" t="str">
        <f aca="false">IF(E16&gt;=9,"Promoter",IF(E16&gt;=7,"Passive","Detractor"))</f>
        <v>Passive</v>
      </c>
    </row>
    <row r="17" customFormat="false" ht="15" hidden="false" customHeight="false" outlineLevel="0" collapsed="false">
      <c r="A17" s="8" t="s">
        <v>4621</v>
      </c>
      <c r="B17" s="8" t="s">
        <v>1571</v>
      </c>
      <c r="C17" s="8" t="s">
        <v>53</v>
      </c>
      <c r="D17" s="32" t="n">
        <v>45903</v>
      </c>
      <c r="E17" s="8" t="n">
        <v>8</v>
      </c>
      <c r="F17" s="8" t="str">
        <f aca="false">IF(E17&gt;=9,"Promoter",IF(E17&gt;=7,"Passive","Detractor"))</f>
        <v>Passive</v>
      </c>
    </row>
    <row r="18" customFormat="false" ht="15" hidden="false" customHeight="false" outlineLevel="0" collapsed="false">
      <c r="A18" s="8" t="s">
        <v>4622</v>
      </c>
      <c r="B18" s="8" t="s">
        <v>4306</v>
      </c>
      <c r="C18" s="8" t="s">
        <v>51</v>
      </c>
      <c r="D18" s="32" t="n">
        <v>45904</v>
      </c>
      <c r="E18" s="8" t="n">
        <v>6</v>
      </c>
      <c r="F18" s="8" t="str">
        <f aca="false">IF(E18&gt;=9,"Promoter",IF(E18&gt;=7,"Passive","Detractor"))</f>
        <v>Detractor</v>
      </c>
    </row>
    <row r="19" customFormat="false" ht="15" hidden="false" customHeight="false" outlineLevel="0" collapsed="false">
      <c r="A19" s="8" t="s">
        <v>4623</v>
      </c>
      <c r="B19" s="8" t="s">
        <v>1877</v>
      </c>
      <c r="C19" s="8" t="s">
        <v>51</v>
      </c>
      <c r="D19" s="32" t="n">
        <v>45904</v>
      </c>
      <c r="E19" s="8" t="n">
        <v>10</v>
      </c>
      <c r="F19" s="8" t="str">
        <f aca="false">IF(E19&gt;=9,"Promoter",IF(E19&gt;=7,"Passive","Detractor"))</f>
        <v>Promoter</v>
      </c>
    </row>
    <row r="20" customFormat="false" ht="15" hidden="false" customHeight="false" outlineLevel="0" collapsed="false">
      <c r="A20" s="8" t="s">
        <v>4624</v>
      </c>
      <c r="B20" s="8" t="s">
        <v>1357</v>
      </c>
      <c r="C20" s="8" t="s">
        <v>53</v>
      </c>
      <c r="D20" s="32" t="n">
        <v>45904</v>
      </c>
      <c r="E20" s="8" t="n">
        <v>9</v>
      </c>
      <c r="F20" s="8" t="str">
        <f aca="false">IF(E20&gt;=9,"Promoter",IF(E20&gt;=7,"Passive","Detractor"))</f>
        <v>Promoter</v>
      </c>
    </row>
    <row r="21" customFormat="false" ht="15" hidden="false" customHeight="false" outlineLevel="0" collapsed="false">
      <c r="A21" s="8" t="s">
        <v>4625</v>
      </c>
      <c r="B21" s="8" t="s">
        <v>207</v>
      </c>
      <c r="C21" s="8" t="s">
        <v>55</v>
      </c>
      <c r="D21" s="32" t="n">
        <v>45904</v>
      </c>
      <c r="E21" s="8" t="n">
        <v>10</v>
      </c>
      <c r="F21" s="8" t="str">
        <f aca="false">IF(E21&gt;=9,"Promoter",IF(E21&gt;=7,"Passive","Detractor"))</f>
        <v>Promoter</v>
      </c>
    </row>
    <row r="22" customFormat="false" ht="15" hidden="false" customHeight="false" outlineLevel="0" collapsed="false">
      <c r="A22" s="8" t="s">
        <v>4626</v>
      </c>
      <c r="B22" s="8" t="s">
        <v>2618</v>
      </c>
      <c r="C22" s="8" t="s">
        <v>51</v>
      </c>
      <c r="D22" s="32" t="n">
        <v>45904</v>
      </c>
      <c r="E22" s="8" t="n">
        <v>10</v>
      </c>
      <c r="F22" s="8" t="str">
        <f aca="false">IF(E22&gt;=9,"Promoter",IF(E22&gt;=7,"Passive","Detractor"))</f>
        <v>Promoter</v>
      </c>
    </row>
    <row r="23" customFormat="false" ht="15" hidden="false" customHeight="false" outlineLevel="0" collapsed="false">
      <c r="A23" s="8" t="s">
        <v>4627</v>
      </c>
      <c r="B23" s="8" t="s">
        <v>1397</v>
      </c>
      <c r="C23" s="8" t="s">
        <v>53</v>
      </c>
      <c r="D23" s="32" t="n">
        <v>45904</v>
      </c>
      <c r="E23" s="8" t="n">
        <v>6</v>
      </c>
      <c r="F23" s="8" t="str">
        <f aca="false">IF(E23&gt;=9,"Promoter",IF(E23&gt;=7,"Passive","Detractor"))</f>
        <v>Detractor</v>
      </c>
    </row>
    <row r="24" customFormat="false" ht="15" hidden="false" customHeight="false" outlineLevel="0" collapsed="false">
      <c r="A24" s="8" t="s">
        <v>4628</v>
      </c>
      <c r="B24" s="8" t="s">
        <v>1475</v>
      </c>
      <c r="C24" s="8" t="s">
        <v>53</v>
      </c>
      <c r="D24" s="32" t="n">
        <v>45905</v>
      </c>
      <c r="E24" s="8" t="n">
        <v>6</v>
      </c>
      <c r="F24" s="8" t="str">
        <f aca="false">IF(E24&gt;=9,"Promoter",IF(E24&gt;=7,"Passive","Detractor"))</f>
        <v>Detractor</v>
      </c>
    </row>
    <row r="25" customFormat="false" ht="15" hidden="false" customHeight="false" outlineLevel="0" collapsed="false">
      <c r="A25" s="8" t="s">
        <v>4629</v>
      </c>
      <c r="B25" s="8" t="s">
        <v>773</v>
      </c>
      <c r="C25" s="8" t="s">
        <v>53</v>
      </c>
      <c r="D25" s="32" t="n">
        <v>45905</v>
      </c>
      <c r="E25" s="8" t="n">
        <v>10</v>
      </c>
      <c r="F25" s="8" t="str">
        <f aca="false">IF(E25&gt;=9,"Promoter",IF(E25&gt;=7,"Passive","Detractor"))</f>
        <v>Promoter</v>
      </c>
    </row>
    <row r="26" customFormat="false" ht="15" hidden="false" customHeight="false" outlineLevel="0" collapsed="false">
      <c r="A26" s="8" t="s">
        <v>4630</v>
      </c>
      <c r="B26" s="8" t="s">
        <v>837</v>
      </c>
      <c r="C26" s="8" t="s">
        <v>53</v>
      </c>
      <c r="D26" s="32" t="n">
        <v>45905</v>
      </c>
      <c r="E26" s="8" t="n">
        <v>9</v>
      </c>
      <c r="F26" s="8" t="str">
        <f aca="false">IF(E26&gt;=9,"Promoter",IF(E26&gt;=7,"Passive","Detractor"))</f>
        <v>Promoter</v>
      </c>
    </row>
    <row r="27" customFormat="false" ht="15" hidden="false" customHeight="false" outlineLevel="0" collapsed="false">
      <c r="A27" s="8" t="s">
        <v>4631</v>
      </c>
      <c r="B27" s="8" t="s">
        <v>4447</v>
      </c>
      <c r="C27" s="8" t="s">
        <v>53</v>
      </c>
      <c r="D27" s="32" t="n">
        <v>45905</v>
      </c>
      <c r="E27" s="8" t="n">
        <v>4</v>
      </c>
      <c r="F27" s="8" t="str">
        <f aca="false">IF(E27&gt;=9,"Promoter",IF(E27&gt;=7,"Passive","Detractor"))</f>
        <v>Detractor</v>
      </c>
    </row>
    <row r="28" customFormat="false" ht="15" hidden="false" customHeight="false" outlineLevel="0" collapsed="false">
      <c r="A28" s="8" t="s">
        <v>4632</v>
      </c>
      <c r="B28" s="8" t="s">
        <v>841</v>
      </c>
      <c r="C28" s="8" t="s">
        <v>53</v>
      </c>
      <c r="D28" s="32" t="n">
        <v>45905</v>
      </c>
      <c r="E28" s="8" t="n">
        <v>6</v>
      </c>
      <c r="F28" s="8" t="str">
        <f aca="false">IF(E28&gt;=9,"Promoter",IF(E28&gt;=7,"Passive","Detractor"))</f>
        <v>Detractor</v>
      </c>
    </row>
    <row r="29" customFormat="false" ht="15" hidden="false" customHeight="false" outlineLevel="0" collapsed="false">
      <c r="A29" s="8" t="s">
        <v>4633</v>
      </c>
      <c r="B29" s="8" t="s">
        <v>4511</v>
      </c>
      <c r="C29" s="8" t="s">
        <v>51</v>
      </c>
      <c r="D29" s="32" t="n">
        <v>45905</v>
      </c>
      <c r="E29" s="8" t="n">
        <v>6</v>
      </c>
      <c r="F29" s="8" t="str">
        <f aca="false">IF(E29&gt;=9,"Promoter",IF(E29&gt;=7,"Passive","Detractor"))</f>
        <v>Detractor</v>
      </c>
    </row>
    <row r="30" customFormat="false" ht="15" hidden="false" customHeight="false" outlineLevel="0" collapsed="false">
      <c r="A30" s="8" t="s">
        <v>4634</v>
      </c>
      <c r="B30" s="8" t="s">
        <v>2624</v>
      </c>
      <c r="C30" s="8" t="s">
        <v>51</v>
      </c>
      <c r="D30" s="32" t="n">
        <v>45905</v>
      </c>
      <c r="E30" s="8" t="n">
        <v>10</v>
      </c>
      <c r="F30" s="8" t="str">
        <f aca="false">IF(E30&gt;=9,"Promoter",IF(E30&gt;=7,"Passive","Detractor"))</f>
        <v>Promoter</v>
      </c>
    </row>
    <row r="31" customFormat="false" ht="15" hidden="false" customHeight="false" outlineLevel="0" collapsed="false">
      <c r="A31" s="8" t="s">
        <v>4635</v>
      </c>
      <c r="B31" s="8" t="s">
        <v>4172</v>
      </c>
      <c r="C31" s="8" t="s">
        <v>51</v>
      </c>
      <c r="D31" s="32" t="n">
        <v>45906</v>
      </c>
      <c r="E31" s="8" t="n">
        <v>10</v>
      </c>
      <c r="F31" s="8" t="str">
        <f aca="false">IF(E31&gt;=9,"Promoter",IF(E31&gt;=7,"Passive","Detractor"))</f>
        <v>Promoter</v>
      </c>
    </row>
    <row r="32" customFormat="false" ht="15" hidden="false" customHeight="false" outlineLevel="0" collapsed="false">
      <c r="A32" s="8" t="s">
        <v>4636</v>
      </c>
      <c r="B32" s="8" t="s">
        <v>1281</v>
      </c>
      <c r="C32" s="8" t="s">
        <v>53</v>
      </c>
      <c r="D32" s="32" t="n">
        <v>45906</v>
      </c>
      <c r="E32" s="8" t="n">
        <v>10</v>
      </c>
      <c r="F32" s="8" t="str">
        <f aca="false">IF(E32&gt;=9,"Promoter",IF(E32&gt;=7,"Passive","Detractor"))</f>
        <v>Promoter</v>
      </c>
    </row>
    <row r="33" customFormat="false" ht="15" hidden="false" customHeight="false" outlineLevel="0" collapsed="false">
      <c r="A33" s="8" t="s">
        <v>4637</v>
      </c>
      <c r="B33" s="8" t="s">
        <v>2530</v>
      </c>
      <c r="C33" s="8" t="s">
        <v>51</v>
      </c>
      <c r="D33" s="32" t="n">
        <v>45906</v>
      </c>
      <c r="E33" s="8" t="n">
        <v>6</v>
      </c>
      <c r="F33" s="8" t="str">
        <f aca="false">IF(E33&gt;=9,"Promoter",IF(E33&gt;=7,"Passive","Detractor"))</f>
        <v>Detractor</v>
      </c>
    </row>
    <row r="34" customFormat="false" ht="15" hidden="false" customHeight="false" outlineLevel="0" collapsed="false">
      <c r="A34" s="8" t="s">
        <v>4638</v>
      </c>
      <c r="B34" s="8" t="s">
        <v>121</v>
      </c>
      <c r="C34" s="8" t="s">
        <v>55</v>
      </c>
      <c r="D34" s="32" t="n">
        <v>45906</v>
      </c>
      <c r="E34" s="8" t="n">
        <v>10</v>
      </c>
      <c r="F34" s="8" t="str">
        <f aca="false">IF(E34&gt;=9,"Promoter",IF(E34&gt;=7,"Passive","Detractor"))</f>
        <v>Promoter</v>
      </c>
    </row>
    <row r="35" customFormat="false" ht="15" hidden="false" customHeight="false" outlineLevel="0" collapsed="false">
      <c r="A35" s="8" t="s">
        <v>4639</v>
      </c>
      <c r="B35" s="8" t="s">
        <v>1303</v>
      </c>
      <c r="C35" s="8" t="s">
        <v>53</v>
      </c>
      <c r="D35" s="32" t="n">
        <v>45907</v>
      </c>
      <c r="E35" s="8" t="n">
        <v>7</v>
      </c>
      <c r="F35" s="8" t="str">
        <f aca="false">IF(E35&gt;=9,"Promoter",IF(E35&gt;=7,"Passive","Detractor"))</f>
        <v>Passive</v>
      </c>
    </row>
    <row r="36" customFormat="false" ht="15" hidden="false" customHeight="false" outlineLevel="0" collapsed="false">
      <c r="A36" s="8" t="s">
        <v>4640</v>
      </c>
      <c r="B36" s="8" t="s">
        <v>3588</v>
      </c>
      <c r="C36" s="8" t="s">
        <v>51</v>
      </c>
      <c r="D36" s="32" t="n">
        <v>45907</v>
      </c>
      <c r="E36" s="8" t="n">
        <v>8</v>
      </c>
      <c r="F36" s="8" t="str">
        <f aca="false">IF(E36&gt;=9,"Promoter",IF(E36&gt;=7,"Passive","Detractor"))</f>
        <v>Passive</v>
      </c>
    </row>
    <row r="37" customFormat="false" ht="15" hidden="false" customHeight="false" outlineLevel="0" collapsed="false">
      <c r="A37" s="8" t="s">
        <v>4641</v>
      </c>
      <c r="B37" s="8" t="s">
        <v>3470</v>
      </c>
      <c r="C37" s="8" t="s">
        <v>51</v>
      </c>
      <c r="D37" s="32" t="n">
        <v>45907</v>
      </c>
      <c r="E37" s="8" t="n">
        <v>10</v>
      </c>
      <c r="F37" s="8" t="str">
        <f aca="false">IF(E37&gt;=9,"Promoter",IF(E37&gt;=7,"Passive","Detractor"))</f>
        <v>Promoter</v>
      </c>
    </row>
    <row r="38" customFormat="false" ht="15" hidden="false" customHeight="false" outlineLevel="0" collapsed="false">
      <c r="A38" s="8" t="s">
        <v>4642</v>
      </c>
      <c r="B38" s="8" t="s">
        <v>2994</v>
      </c>
      <c r="C38" s="8" t="s">
        <v>51</v>
      </c>
      <c r="D38" s="32" t="n">
        <v>45907</v>
      </c>
      <c r="E38" s="8" t="n">
        <v>10</v>
      </c>
      <c r="F38" s="8" t="str">
        <f aca="false">IF(E38&gt;=9,"Promoter",IF(E38&gt;=7,"Passive","Detractor"))</f>
        <v>Promoter</v>
      </c>
    </row>
    <row r="39" customFormat="false" ht="15" hidden="false" customHeight="false" outlineLevel="0" collapsed="false">
      <c r="A39" s="8" t="s">
        <v>4643</v>
      </c>
      <c r="B39" s="8" t="s">
        <v>1681</v>
      </c>
      <c r="C39" s="8" t="s">
        <v>53</v>
      </c>
      <c r="D39" s="32" t="n">
        <v>45907</v>
      </c>
      <c r="E39" s="8" t="n">
        <v>10</v>
      </c>
      <c r="F39" s="8" t="str">
        <f aca="false">IF(E39&gt;=9,"Promoter",IF(E39&gt;=7,"Passive","Detractor"))</f>
        <v>Promoter</v>
      </c>
    </row>
    <row r="40" customFormat="false" ht="15" hidden="false" customHeight="false" outlineLevel="0" collapsed="false">
      <c r="A40" s="8" t="s">
        <v>4644</v>
      </c>
      <c r="B40" s="8" t="s">
        <v>633</v>
      </c>
      <c r="C40" s="8" t="s">
        <v>53</v>
      </c>
      <c r="D40" s="32" t="n">
        <v>45907</v>
      </c>
      <c r="E40" s="8" t="n">
        <v>10</v>
      </c>
      <c r="F40" s="8" t="str">
        <f aca="false">IF(E40&gt;=9,"Promoter",IF(E40&gt;=7,"Passive","Detractor"))</f>
        <v>Promoter</v>
      </c>
    </row>
    <row r="41" customFormat="false" ht="15" hidden="false" customHeight="false" outlineLevel="0" collapsed="false">
      <c r="A41" s="8" t="s">
        <v>4645</v>
      </c>
      <c r="B41" s="8" t="s">
        <v>2654</v>
      </c>
      <c r="C41" s="8" t="s">
        <v>51</v>
      </c>
      <c r="D41" s="32" t="n">
        <v>45907</v>
      </c>
      <c r="E41" s="8" t="n">
        <v>8</v>
      </c>
      <c r="F41" s="8" t="str">
        <f aca="false">IF(E41&gt;=9,"Promoter",IF(E41&gt;=7,"Passive","Detractor"))</f>
        <v>Passive</v>
      </c>
    </row>
    <row r="42" customFormat="false" ht="15" hidden="false" customHeight="false" outlineLevel="0" collapsed="false">
      <c r="A42" s="8" t="s">
        <v>4646</v>
      </c>
      <c r="B42" s="8" t="s">
        <v>2150</v>
      </c>
      <c r="C42" s="8" t="s">
        <v>51</v>
      </c>
      <c r="D42" s="32" t="n">
        <v>45907</v>
      </c>
      <c r="E42" s="8" t="n">
        <v>10</v>
      </c>
      <c r="F42" s="8" t="str">
        <f aca="false">IF(E42&gt;=9,"Promoter",IF(E42&gt;=7,"Passive","Detractor"))</f>
        <v>Promoter</v>
      </c>
    </row>
    <row r="43" customFormat="false" ht="15" hidden="false" customHeight="false" outlineLevel="0" collapsed="false">
      <c r="A43" s="8" t="s">
        <v>4647</v>
      </c>
      <c r="B43" s="8" t="s">
        <v>1445</v>
      </c>
      <c r="C43" s="8" t="s">
        <v>53</v>
      </c>
      <c r="D43" s="32" t="n">
        <v>45907</v>
      </c>
      <c r="E43" s="8" t="n">
        <v>7</v>
      </c>
      <c r="F43" s="8" t="str">
        <f aca="false">IF(E43&gt;=9,"Promoter",IF(E43&gt;=7,"Passive","Detractor"))</f>
        <v>Passive</v>
      </c>
    </row>
    <row r="44" customFormat="false" ht="15" hidden="false" customHeight="false" outlineLevel="0" collapsed="false">
      <c r="A44" s="8" t="s">
        <v>4648</v>
      </c>
      <c r="B44" s="8" t="s">
        <v>2132</v>
      </c>
      <c r="C44" s="8" t="s">
        <v>51</v>
      </c>
      <c r="D44" s="32" t="n">
        <v>45908</v>
      </c>
      <c r="E44" s="8" t="n">
        <v>7</v>
      </c>
      <c r="F44" s="8" t="str">
        <f aca="false">IF(E44&gt;=9,"Promoter",IF(E44&gt;=7,"Passive","Detractor"))</f>
        <v>Passive</v>
      </c>
    </row>
    <row r="45" customFormat="false" ht="15" hidden="false" customHeight="false" outlineLevel="0" collapsed="false">
      <c r="A45" s="8" t="s">
        <v>4649</v>
      </c>
      <c r="B45" s="8" t="s">
        <v>2180</v>
      </c>
      <c r="C45" s="8" t="s">
        <v>51</v>
      </c>
      <c r="D45" s="32" t="n">
        <v>45908</v>
      </c>
      <c r="E45" s="8" t="n">
        <v>6</v>
      </c>
      <c r="F45" s="8" t="str">
        <f aca="false">IF(E45&gt;=9,"Promoter",IF(E45&gt;=7,"Passive","Detractor"))</f>
        <v>Detractor</v>
      </c>
    </row>
    <row r="46" customFormat="false" ht="15" hidden="false" customHeight="false" outlineLevel="0" collapsed="false">
      <c r="A46" s="8" t="s">
        <v>4650</v>
      </c>
      <c r="B46" s="8" t="s">
        <v>1883</v>
      </c>
      <c r="C46" s="8" t="s">
        <v>51</v>
      </c>
      <c r="D46" s="32" t="n">
        <v>45908</v>
      </c>
      <c r="E46" s="8" t="n">
        <v>10</v>
      </c>
      <c r="F46" s="8" t="str">
        <f aca="false">IF(E46&gt;=9,"Promoter",IF(E46&gt;=7,"Passive","Detractor"))</f>
        <v>Promoter</v>
      </c>
    </row>
    <row r="47" customFormat="false" ht="15" hidden="false" customHeight="false" outlineLevel="0" collapsed="false">
      <c r="A47" s="8" t="s">
        <v>4651</v>
      </c>
      <c r="B47" s="8" t="s">
        <v>3826</v>
      </c>
      <c r="C47" s="8" t="s">
        <v>51</v>
      </c>
      <c r="D47" s="32" t="n">
        <v>45908</v>
      </c>
      <c r="E47" s="8" t="n">
        <v>6</v>
      </c>
      <c r="F47" s="8" t="str">
        <f aca="false">IF(E47&gt;=9,"Promoter",IF(E47&gt;=7,"Passive","Detractor"))</f>
        <v>Detractor</v>
      </c>
    </row>
    <row r="48" customFormat="false" ht="15" hidden="false" customHeight="false" outlineLevel="0" collapsed="false">
      <c r="A48" s="8" t="s">
        <v>4652</v>
      </c>
      <c r="B48" s="8" t="s">
        <v>4338</v>
      </c>
      <c r="C48" s="8" t="s">
        <v>51</v>
      </c>
      <c r="D48" s="32" t="n">
        <v>45909</v>
      </c>
      <c r="E48" s="8" t="n">
        <v>9</v>
      </c>
      <c r="F48" s="8" t="str">
        <f aca="false">IF(E48&gt;=9,"Promoter",IF(E48&gt;=7,"Passive","Detractor"))</f>
        <v>Promoter</v>
      </c>
    </row>
    <row r="49" customFormat="false" ht="15" hidden="false" customHeight="false" outlineLevel="0" collapsed="false">
      <c r="A49" s="8" t="s">
        <v>4653</v>
      </c>
      <c r="B49" s="8" t="s">
        <v>3264</v>
      </c>
      <c r="C49" s="8" t="s">
        <v>51</v>
      </c>
      <c r="D49" s="32" t="n">
        <v>45909</v>
      </c>
      <c r="E49" s="8" t="n">
        <v>10</v>
      </c>
      <c r="F49" s="8" t="str">
        <f aca="false">IF(E49&gt;=9,"Promoter",IF(E49&gt;=7,"Passive","Detractor"))</f>
        <v>Promoter</v>
      </c>
    </row>
    <row r="50" customFormat="false" ht="15" hidden="false" customHeight="false" outlineLevel="0" collapsed="false">
      <c r="A50" s="8" t="s">
        <v>4654</v>
      </c>
      <c r="B50" s="8" t="s">
        <v>1901</v>
      </c>
      <c r="C50" s="8" t="s">
        <v>51</v>
      </c>
      <c r="D50" s="32" t="n">
        <v>45909</v>
      </c>
      <c r="E50" s="8" t="n">
        <v>9</v>
      </c>
      <c r="F50" s="8" t="str">
        <f aca="false">IF(E50&gt;=9,"Promoter",IF(E50&gt;=7,"Passive","Detractor"))</f>
        <v>Promoter</v>
      </c>
    </row>
    <row r="51" customFormat="false" ht="15" hidden="false" customHeight="false" outlineLevel="0" collapsed="false">
      <c r="A51" s="8" t="s">
        <v>4655</v>
      </c>
      <c r="B51" s="8" t="s">
        <v>2456</v>
      </c>
      <c r="C51" s="8" t="s">
        <v>51</v>
      </c>
      <c r="D51" s="32" t="n">
        <v>45909</v>
      </c>
      <c r="E51" s="8" t="n">
        <v>7</v>
      </c>
      <c r="F51" s="8" t="str">
        <f aca="false">IF(E51&gt;=9,"Promoter",IF(E51&gt;=7,"Passive","Detractor"))</f>
        <v>Passive</v>
      </c>
    </row>
    <row r="52" customFormat="false" ht="15" hidden="false" customHeight="false" outlineLevel="0" collapsed="false">
      <c r="A52" s="8" t="s">
        <v>4656</v>
      </c>
      <c r="B52" s="8" t="s">
        <v>899</v>
      </c>
      <c r="C52" s="8" t="s">
        <v>53</v>
      </c>
      <c r="D52" s="32" t="n">
        <v>45909</v>
      </c>
      <c r="E52" s="8" t="n">
        <v>9</v>
      </c>
      <c r="F52" s="8" t="str">
        <f aca="false">IF(E52&gt;=9,"Promoter",IF(E52&gt;=7,"Passive","Detractor"))</f>
        <v>Promoter</v>
      </c>
    </row>
    <row r="53" customFormat="false" ht="15" hidden="false" customHeight="false" outlineLevel="0" collapsed="false">
      <c r="A53" s="8" t="s">
        <v>4657</v>
      </c>
      <c r="B53" s="8" t="s">
        <v>3136</v>
      </c>
      <c r="C53" s="8" t="s">
        <v>51</v>
      </c>
      <c r="D53" s="32" t="n">
        <v>45909</v>
      </c>
      <c r="E53" s="8" t="n">
        <v>8</v>
      </c>
      <c r="F53" s="8" t="str">
        <f aca="false">IF(E53&gt;=9,"Promoter",IF(E53&gt;=7,"Passive","Detractor"))</f>
        <v>Passive</v>
      </c>
    </row>
    <row r="54" customFormat="false" ht="15" hidden="false" customHeight="false" outlineLevel="0" collapsed="false">
      <c r="A54" s="8" t="s">
        <v>4658</v>
      </c>
      <c r="B54" s="8" t="s">
        <v>4493</v>
      </c>
      <c r="C54" s="8" t="s">
        <v>51</v>
      </c>
      <c r="D54" s="32" t="n">
        <v>45910</v>
      </c>
      <c r="E54" s="8" t="n">
        <v>2</v>
      </c>
      <c r="F54" s="8" t="str">
        <f aca="false">IF(E54&gt;=9,"Promoter",IF(E54&gt;=7,"Passive","Detractor"))</f>
        <v>Detractor</v>
      </c>
    </row>
    <row r="55" customFormat="false" ht="15" hidden="false" customHeight="false" outlineLevel="0" collapsed="false">
      <c r="A55" s="8" t="s">
        <v>4659</v>
      </c>
      <c r="B55" s="8" t="s">
        <v>713</v>
      </c>
      <c r="C55" s="8" t="s">
        <v>53</v>
      </c>
      <c r="D55" s="32" t="n">
        <v>45910</v>
      </c>
      <c r="E55" s="8" t="n">
        <v>7</v>
      </c>
      <c r="F55" s="8" t="str">
        <f aca="false">IF(E55&gt;=9,"Promoter",IF(E55&gt;=7,"Passive","Detractor"))</f>
        <v>Passive</v>
      </c>
    </row>
    <row r="56" customFormat="false" ht="15" hidden="false" customHeight="false" outlineLevel="0" collapsed="false">
      <c r="A56" s="8" t="s">
        <v>4660</v>
      </c>
      <c r="B56" s="8" t="s">
        <v>1645</v>
      </c>
      <c r="C56" s="8" t="s">
        <v>53</v>
      </c>
      <c r="D56" s="32" t="n">
        <v>45910</v>
      </c>
      <c r="E56" s="8" t="n">
        <v>10</v>
      </c>
      <c r="F56" s="8" t="str">
        <f aca="false">IF(E56&gt;=9,"Promoter",IF(E56&gt;=7,"Passive","Detractor"))</f>
        <v>Promoter</v>
      </c>
    </row>
    <row r="57" customFormat="false" ht="15" hidden="false" customHeight="false" outlineLevel="0" collapsed="false">
      <c r="A57" s="8" t="s">
        <v>4661</v>
      </c>
      <c r="B57" s="8" t="s">
        <v>3936</v>
      </c>
      <c r="C57" s="8" t="s">
        <v>51</v>
      </c>
      <c r="D57" s="32" t="n">
        <v>45910</v>
      </c>
      <c r="E57" s="8" t="n">
        <v>10</v>
      </c>
      <c r="F57" s="8" t="str">
        <f aca="false">IF(E57&gt;=9,"Promoter",IF(E57&gt;=7,"Passive","Detractor"))</f>
        <v>Promoter</v>
      </c>
    </row>
    <row r="58" customFormat="false" ht="15" hidden="false" customHeight="false" outlineLevel="0" collapsed="false">
      <c r="A58" s="8" t="s">
        <v>4662</v>
      </c>
      <c r="B58" s="8" t="s">
        <v>205</v>
      </c>
      <c r="C58" s="8" t="s">
        <v>55</v>
      </c>
      <c r="D58" s="32" t="n">
        <v>45910</v>
      </c>
      <c r="E58" s="8" t="n">
        <v>6</v>
      </c>
      <c r="F58" s="8" t="str">
        <f aca="false">IF(E58&gt;=9,"Promoter",IF(E58&gt;=7,"Passive","Detractor"))</f>
        <v>Detractor</v>
      </c>
    </row>
    <row r="59" customFormat="false" ht="15" hidden="false" customHeight="false" outlineLevel="0" collapsed="false">
      <c r="A59" s="8" t="s">
        <v>4663</v>
      </c>
      <c r="B59" s="8" t="s">
        <v>4280</v>
      </c>
      <c r="C59" s="8" t="s">
        <v>51</v>
      </c>
      <c r="D59" s="32" t="n">
        <v>45911</v>
      </c>
      <c r="E59" s="8" t="n">
        <v>10</v>
      </c>
      <c r="F59" s="8" t="str">
        <f aca="false">IF(E59&gt;=9,"Promoter",IF(E59&gt;=7,"Passive","Detractor"))</f>
        <v>Promoter</v>
      </c>
    </row>
    <row r="60" customFormat="false" ht="15" hidden="false" customHeight="false" outlineLevel="0" collapsed="false">
      <c r="A60" s="8" t="s">
        <v>4664</v>
      </c>
      <c r="B60" s="8" t="s">
        <v>304</v>
      </c>
      <c r="C60" s="8" t="s">
        <v>55</v>
      </c>
      <c r="D60" s="32" t="n">
        <v>45911</v>
      </c>
      <c r="E60" s="8" t="n">
        <v>6</v>
      </c>
      <c r="F60" s="8" t="str">
        <f aca="false">IF(E60&gt;=9,"Promoter",IF(E60&gt;=7,"Passive","Detractor"))</f>
        <v>Detractor</v>
      </c>
    </row>
    <row r="61" customFormat="false" ht="15" hidden="false" customHeight="false" outlineLevel="0" collapsed="false">
      <c r="A61" s="8" t="s">
        <v>4665</v>
      </c>
      <c r="B61" s="8" t="s">
        <v>1195</v>
      </c>
      <c r="C61" s="8" t="s">
        <v>53</v>
      </c>
      <c r="D61" s="32" t="n">
        <v>45911</v>
      </c>
      <c r="E61" s="8" t="n">
        <v>8</v>
      </c>
      <c r="F61" s="8" t="str">
        <f aca="false">IF(E61&gt;=9,"Promoter",IF(E61&gt;=7,"Passive","Detractor"))</f>
        <v>Passive</v>
      </c>
    </row>
    <row r="62" customFormat="false" ht="15" hidden="false" customHeight="false" outlineLevel="0" collapsed="false">
      <c r="A62" s="8" t="s">
        <v>4666</v>
      </c>
      <c r="B62" s="8" t="s">
        <v>211</v>
      </c>
      <c r="C62" s="8" t="s">
        <v>55</v>
      </c>
      <c r="D62" s="32" t="n">
        <v>45911</v>
      </c>
      <c r="E62" s="8" t="n">
        <v>10</v>
      </c>
      <c r="F62" s="8" t="str">
        <f aca="false">IF(E62&gt;=9,"Promoter",IF(E62&gt;=7,"Passive","Detractor"))</f>
        <v>Promoter</v>
      </c>
    </row>
    <row r="63" customFormat="false" ht="15" hidden="false" customHeight="false" outlineLevel="0" collapsed="false">
      <c r="A63" s="8" t="s">
        <v>4667</v>
      </c>
      <c r="B63" s="8" t="s">
        <v>651</v>
      </c>
      <c r="C63" s="8" t="s">
        <v>53</v>
      </c>
      <c r="D63" s="32" t="n">
        <v>45911</v>
      </c>
      <c r="E63" s="8" t="n">
        <v>8</v>
      </c>
      <c r="F63" s="8" t="str">
        <f aca="false">IF(E63&gt;=9,"Promoter",IF(E63&gt;=7,"Passive","Detractor"))</f>
        <v>Passive</v>
      </c>
    </row>
    <row r="64" customFormat="false" ht="15" hidden="false" customHeight="false" outlineLevel="0" collapsed="false">
      <c r="A64" s="8" t="s">
        <v>4668</v>
      </c>
      <c r="B64" s="8" t="s">
        <v>1485</v>
      </c>
      <c r="C64" s="8" t="s">
        <v>53</v>
      </c>
      <c r="D64" s="32" t="n">
        <v>45911</v>
      </c>
      <c r="E64" s="8" t="n">
        <v>9</v>
      </c>
      <c r="F64" s="8" t="str">
        <f aca="false">IF(E64&gt;=9,"Promoter",IF(E64&gt;=7,"Passive","Detractor"))</f>
        <v>Promoter</v>
      </c>
    </row>
    <row r="65" customFormat="false" ht="15" hidden="false" customHeight="false" outlineLevel="0" collapsed="false">
      <c r="A65" s="8" t="s">
        <v>4669</v>
      </c>
      <c r="B65" s="8" t="s">
        <v>4541</v>
      </c>
      <c r="C65" s="8" t="s">
        <v>51</v>
      </c>
      <c r="D65" s="32" t="n">
        <v>45912</v>
      </c>
      <c r="E65" s="8" t="n">
        <v>7</v>
      </c>
      <c r="F65" s="8" t="str">
        <f aca="false">IF(E65&gt;=9,"Promoter",IF(E65&gt;=7,"Passive","Detractor"))</f>
        <v>Passive</v>
      </c>
    </row>
    <row r="66" customFormat="false" ht="15" hidden="false" customHeight="false" outlineLevel="0" collapsed="false">
      <c r="A66" s="8" t="s">
        <v>4670</v>
      </c>
      <c r="B66" s="8" t="s">
        <v>541</v>
      </c>
      <c r="C66" s="8" t="s">
        <v>55</v>
      </c>
      <c r="D66" s="32" t="n">
        <v>45912</v>
      </c>
      <c r="E66" s="8" t="n">
        <v>5</v>
      </c>
      <c r="F66" s="8" t="str">
        <f aca="false">IF(E66&gt;=9,"Promoter",IF(E66&gt;=7,"Passive","Detractor"))</f>
        <v>Detractor</v>
      </c>
    </row>
    <row r="67" customFormat="false" ht="15" hidden="false" customHeight="false" outlineLevel="0" collapsed="false">
      <c r="A67" s="8" t="s">
        <v>4671</v>
      </c>
      <c r="B67" s="8" t="s">
        <v>1805</v>
      </c>
      <c r="C67" s="8" t="s">
        <v>53</v>
      </c>
      <c r="D67" s="32" t="n">
        <v>45912</v>
      </c>
      <c r="E67" s="8" t="n">
        <v>9</v>
      </c>
      <c r="F67" s="8" t="str">
        <f aca="false">IF(E67&gt;=9,"Promoter",IF(E67&gt;=7,"Passive","Detractor"))</f>
        <v>Promoter</v>
      </c>
    </row>
    <row r="68" customFormat="false" ht="15" hidden="false" customHeight="false" outlineLevel="0" collapsed="false">
      <c r="A68" s="8" t="s">
        <v>4672</v>
      </c>
      <c r="B68" s="8" t="s">
        <v>763</v>
      </c>
      <c r="C68" s="8" t="s">
        <v>53</v>
      </c>
      <c r="D68" s="32" t="n">
        <v>45912</v>
      </c>
      <c r="E68" s="8" t="n">
        <v>8</v>
      </c>
      <c r="F68" s="8" t="str">
        <f aca="false">IF(E68&gt;=9,"Promoter",IF(E68&gt;=7,"Passive","Detractor"))</f>
        <v>Passive</v>
      </c>
    </row>
    <row r="69" customFormat="false" ht="15" hidden="false" customHeight="false" outlineLevel="0" collapsed="false">
      <c r="A69" s="8" t="s">
        <v>4673</v>
      </c>
      <c r="B69" s="8" t="s">
        <v>1605</v>
      </c>
      <c r="C69" s="8" t="s">
        <v>53</v>
      </c>
      <c r="D69" s="32" t="n">
        <v>45912</v>
      </c>
      <c r="E69" s="8" t="n">
        <v>7</v>
      </c>
      <c r="F69" s="8" t="str">
        <f aca="false">IF(E69&gt;=9,"Promoter",IF(E69&gt;=7,"Passive","Detractor"))</f>
        <v>Passive</v>
      </c>
    </row>
    <row r="70" customFormat="false" ht="15" hidden="false" customHeight="false" outlineLevel="0" collapsed="false">
      <c r="A70" s="8" t="s">
        <v>4674</v>
      </c>
      <c r="B70" s="8" t="s">
        <v>3586</v>
      </c>
      <c r="C70" s="8" t="s">
        <v>51</v>
      </c>
      <c r="D70" s="32" t="n">
        <v>45913</v>
      </c>
      <c r="E70" s="8" t="n">
        <v>9</v>
      </c>
      <c r="F70" s="8" t="str">
        <f aca="false">IF(E70&gt;=9,"Promoter",IF(E70&gt;=7,"Passive","Detractor"))</f>
        <v>Promoter</v>
      </c>
    </row>
    <row r="71" customFormat="false" ht="15" hidden="false" customHeight="false" outlineLevel="0" collapsed="false">
      <c r="A71" s="8" t="s">
        <v>4675</v>
      </c>
      <c r="B71" s="8" t="s">
        <v>3780</v>
      </c>
      <c r="C71" s="8" t="s">
        <v>51</v>
      </c>
      <c r="D71" s="32" t="n">
        <v>45913</v>
      </c>
      <c r="E71" s="8" t="n">
        <v>10</v>
      </c>
      <c r="F71" s="8" t="str">
        <f aca="false">IF(E71&gt;=9,"Promoter",IF(E71&gt;=7,"Passive","Detractor"))</f>
        <v>Promoter</v>
      </c>
    </row>
    <row r="72" customFormat="false" ht="15" hidden="false" customHeight="false" outlineLevel="0" collapsed="false">
      <c r="A72" s="8" t="s">
        <v>4676</v>
      </c>
      <c r="B72" s="8" t="s">
        <v>1945</v>
      </c>
      <c r="C72" s="8" t="s">
        <v>51</v>
      </c>
      <c r="D72" s="32" t="n">
        <v>45913</v>
      </c>
      <c r="E72" s="8" t="n">
        <v>8</v>
      </c>
      <c r="F72" s="8" t="str">
        <f aca="false">IF(E72&gt;=9,"Promoter",IF(E72&gt;=7,"Passive","Detractor"))</f>
        <v>Passive</v>
      </c>
    </row>
    <row r="73" customFormat="false" ht="15" hidden="false" customHeight="false" outlineLevel="0" collapsed="false">
      <c r="A73" s="8" t="s">
        <v>4677</v>
      </c>
      <c r="B73" s="8" t="s">
        <v>2118</v>
      </c>
      <c r="C73" s="8" t="s">
        <v>51</v>
      </c>
      <c r="D73" s="32" t="n">
        <v>45913</v>
      </c>
      <c r="E73" s="8" t="n">
        <v>6</v>
      </c>
      <c r="F73" s="8" t="str">
        <f aca="false">IF(E73&gt;=9,"Promoter",IF(E73&gt;=7,"Passive","Detractor"))</f>
        <v>Detractor</v>
      </c>
    </row>
    <row r="74" customFormat="false" ht="15" hidden="false" customHeight="false" outlineLevel="0" collapsed="false">
      <c r="A74" s="8" t="s">
        <v>4678</v>
      </c>
      <c r="B74" s="8" t="s">
        <v>4505</v>
      </c>
      <c r="C74" s="8" t="s">
        <v>51</v>
      </c>
      <c r="D74" s="32" t="n">
        <v>45913</v>
      </c>
      <c r="E74" s="8" t="n">
        <v>7</v>
      </c>
      <c r="F74" s="8" t="str">
        <f aca="false">IF(E74&gt;=9,"Promoter",IF(E74&gt;=7,"Passive","Detractor"))</f>
        <v>Passive</v>
      </c>
    </row>
    <row r="75" customFormat="false" ht="15" hidden="false" customHeight="false" outlineLevel="0" collapsed="false">
      <c r="A75" s="8" t="s">
        <v>4679</v>
      </c>
      <c r="B75" s="8" t="s">
        <v>1253</v>
      </c>
      <c r="C75" s="8" t="s">
        <v>53</v>
      </c>
      <c r="D75" s="32" t="n">
        <v>45913</v>
      </c>
      <c r="E75" s="8" t="n">
        <v>8</v>
      </c>
      <c r="F75" s="8" t="str">
        <f aca="false">IF(E75&gt;=9,"Promoter",IF(E75&gt;=7,"Passive","Detractor"))</f>
        <v>Passive</v>
      </c>
    </row>
    <row r="76" customFormat="false" ht="15" hidden="false" customHeight="false" outlineLevel="0" collapsed="false">
      <c r="A76" s="8" t="s">
        <v>4680</v>
      </c>
      <c r="B76" s="8" t="s">
        <v>2148</v>
      </c>
      <c r="C76" s="8" t="s">
        <v>51</v>
      </c>
      <c r="D76" s="32" t="n">
        <v>45913</v>
      </c>
      <c r="E76" s="8" t="n">
        <v>7</v>
      </c>
      <c r="F76" s="8" t="str">
        <f aca="false">IF(E76&gt;=9,"Promoter",IF(E76&gt;=7,"Passive","Detractor"))</f>
        <v>Passive</v>
      </c>
    </row>
    <row r="77" customFormat="false" ht="15" hidden="false" customHeight="false" outlineLevel="0" collapsed="false">
      <c r="A77" s="8" t="s">
        <v>4681</v>
      </c>
      <c r="B77" s="8" t="s">
        <v>3050</v>
      </c>
      <c r="C77" s="8" t="s">
        <v>51</v>
      </c>
      <c r="D77" s="32" t="n">
        <v>45914</v>
      </c>
      <c r="E77" s="8" t="n">
        <v>10</v>
      </c>
      <c r="F77" s="8" t="str">
        <f aca="false">IF(E77&gt;=9,"Promoter",IF(E77&gt;=7,"Passive","Detractor"))</f>
        <v>Promoter</v>
      </c>
    </row>
    <row r="78" customFormat="false" ht="15" hidden="false" customHeight="false" outlineLevel="0" collapsed="false">
      <c r="A78" s="8" t="s">
        <v>4682</v>
      </c>
      <c r="B78" s="8" t="s">
        <v>1041</v>
      </c>
      <c r="C78" s="8" t="s">
        <v>53</v>
      </c>
      <c r="D78" s="32" t="n">
        <v>45914</v>
      </c>
      <c r="E78" s="8" t="n">
        <v>8</v>
      </c>
      <c r="F78" s="8" t="str">
        <f aca="false">IF(E78&gt;=9,"Promoter",IF(E78&gt;=7,"Passive","Detractor"))</f>
        <v>Passive</v>
      </c>
    </row>
    <row r="79" customFormat="false" ht="15" hidden="false" customHeight="false" outlineLevel="0" collapsed="false">
      <c r="A79" s="8" t="s">
        <v>4683</v>
      </c>
      <c r="B79" s="8" t="s">
        <v>1667</v>
      </c>
      <c r="C79" s="8" t="s">
        <v>53</v>
      </c>
      <c r="D79" s="32" t="n">
        <v>45914</v>
      </c>
      <c r="E79" s="8" t="n">
        <v>9</v>
      </c>
      <c r="F79" s="8" t="str">
        <f aca="false">IF(E79&gt;=9,"Promoter",IF(E79&gt;=7,"Passive","Detractor"))</f>
        <v>Promoter</v>
      </c>
    </row>
    <row r="80" customFormat="false" ht="15" hidden="false" customHeight="false" outlineLevel="0" collapsed="false">
      <c r="A80" s="8" t="s">
        <v>4684</v>
      </c>
      <c r="B80" s="8" t="s">
        <v>1449</v>
      </c>
      <c r="C80" s="8" t="s">
        <v>53</v>
      </c>
      <c r="D80" s="32" t="n">
        <v>45914</v>
      </c>
      <c r="E80" s="8" t="n">
        <v>8</v>
      </c>
      <c r="F80" s="8" t="str">
        <f aca="false">IF(E80&gt;=9,"Promoter",IF(E80&gt;=7,"Passive","Detractor"))</f>
        <v>Passive</v>
      </c>
    </row>
    <row r="81" customFormat="false" ht="15" hidden="false" customHeight="false" outlineLevel="0" collapsed="false">
      <c r="A81" s="8" t="s">
        <v>4685</v>
      </c>
      <c r="B81" s="8" t="s">
        <v>3310</v>
      </c>
      <c r="C81" s="8" t="s">
        <v>51</v>
      </c>
      <c r="D81" s="32" t="n">
        <v>45914</v>
      </c>
      <c r="E81" s="8" t="n">
        <v>5</v>
      </c>
      <c r="F81" s="8" t="str">
        <f aca="false">IF(E81&gt;=9,"Promoter",IF(E81&gt;=7,"Passive","Detractor"))</f>
        <v>Detractor</v>
      </c>
    </row>
    <row r="82" customFormat="false" ht="15" hidden="false" customHeight="false" outlineLevel="0" collapsed="false">
      <c r="A82" s="8" t="s">
        <v>4686</v>
      </c>
      <c r="B82" s="8" t="s">
        <v>1055</v>
      </c>
      <c r="C82" s="8" t="s">
        <v>53</v>
      </c>
      <c r="D82" s="32" t="n">
        <v>45914</v>
      </c>
      <c r="E82" s="8" t="n">
        <v>10</v>
      </c>
      <c r="F82" s="8" t="str">
        <f aca="false">IF(E82&gt;=9,"Promoter",IF(E82&gt;=7,"Passive","Detractor"))</f>
        <v>Promoter</v>
      </c>
    </row>
    <row r="83" customFormat="false" ht="15" hidden="false" customHeight="false" outlineLevel="0" collapsed="false">
      <c r="A83" s="8" t="s">
        <v>4687</v>
      </c>
      <c r="B83" s="8" t="s">
        <v>463</v>
      </c>
      <c r="C83" s="8" t="s">
        <v>53</v>
      </c>
      <c r="D83" s="32" t="n">
        <v>45915</v>
      </c>
      <c r="E83" s="8" t="n">
        <v>10</v>
      </c>
      <c r="F83" s="8" t="str">
        <f aca="false">IF(E83&gt;=9,"Promoter",IF(E83&gt;=7,"Passive","Detractor"))</f>
        <v>Promoter</v>
      </c>
    </row>
    <row r="84" customFormat="false" ht="15" hidden="false" customHeight="false" outlineLevel="0" collapsed="false">
      <c r="A84" s="8" t="s">
        <v>4688</v>
      </c>
      <c r="B84" s="8" t="s">
        <v>2758</v>
      </c>
      <c r="C84" s="8" t="s">
        <v>51</v>
      </c>
      <c r="D84" s="32" t="n">
        <v>45915</v>
      </c>
      <c r="E84" s="8" t="n">
        <v>10</v>
      </c>
      <c r="F84" s="8" t="str">
        <f aca="false">IF(E84&gt;=9,"Promoter",IF(E84&gt;=7,"Passive","Detractor"))</f>
        <v>Promoter</v>
      </c>
    </row>
    <row r="85" customFormat="false" ht="15" hidden="false" customHeight="false" outlineLevel="0" collapsed="false">
      <c r="A85" s="8" t="s">
        <v>4689</v>
      </c>
      <c r="B85" s="8" t="s">
        <v>320</v>
      </c>
      <c r="C85" s="8" t="s">
        <v>55</v>
      </c>
      <c r="D85" s="32" t="n">
        <v>45915</v>
      </c>
      <c r="E85" s="8" t="n">
        <v>8</v>
      </c>
      <c r="F85" s="8" t="str">
        <f aca="false">IF(E85&gt;=9,"Promoter",IF(E85&gt;=7,"Passive","Detractor"))</f>
        <v>Passive</v>
      </c>
    </row>
    <row r="86" customFormat="false" ht="15" hidden="false" customHeight="false" outlineLevel="0" collapsed="false">
      <c r="A86" s="8" t="s">
        <v>4690</v>
      </c>
      <c r="B86" s="8" t="s">
        <v>3420</v>
      </c>
      <c r="C86" s="8" t="s">
        <v>51</v>
      </c>
      <c r="D86" s="32" t="n">
        <v>45915</v>
      </c>
      <c r="E86" s="8" t="n">
        <v>9</v>
      </c>
      <c r="F86" s="8" t="str">
        <f aca="false">IF(E86&gt;=9,"Promoter",IF(E86&gt;=7,"Passive","Detractor"))</f>
        <v>Promoter</v>
      </c>
    </row>
    <row r="87" customFormat="false" ht="15" hidden="false" customHeight="false" outlineLevel="0" collapsed="false">
      <c r="A87" s="8" t="s">
        <v>4691</v>
      </c>
      <c r="B87" s="8" t="s">
        <v>4010</v>
      </c>
      <c r="C87" s="8" t="s">
        <v>51</v>
      </c>
      <c r="D87" s="32" t="n">
        <v>45915</v>
      </c>
      <c r="E87" s="8" t="n">
        <v>10</v>
      </c>
      <c r="F87" s="8" t="str">
        <f aca="false">IF(E87&gt;=9,"Promoter",IF(E87&gt;=7,"Passive","Detractor"))</f>
        <v>Promoter</v>
      </c>
    </row>
    <row r="88" customFormat="false" ht="15" hidden="false" customHeight="false" outlineLevel="0" collapsed="false">
      <c r="A88" s="8" t="s">
        <v>4692</v>
      </c>
      <c r="B88" s="8" t="s">
        <v>3948</v>
      </c>
      <c r="C88" s="8" t="s">
        <v>51</v>
      </c>
      <c r="D88" s="32" t="n">
        <v>45915</v>
      </c>
      <c r="E88" s="8" t="n">
        <v>3</v>
      </c>
      <c r="F88" s="8" t="str">
        <f aca="false">IF(E88&gt;=9,"Promoter",IF(E88&gt;=7,"Passive","Detractor"))</f>
        <v>Detractor</v>
      </c>
    </row>
    <row r="89" customFormat="false" ht="15" hidden="false" customHeight="false" outlineLevel="0" collapsed="false">
      <c r="A89" s="8" t="s">
        <v>4693</v>
      </c>
      <c r="B89" s="8" t="s">
        <v>4520</v>
      </c>
      <c r="C89" s="8" t="s">
        <v>51</v>
      </c>
      <c r="D89" s="32" t="n">
        <v>45915</v>
      </c>
      <c r="E89" s="8" t="n">
        <v>6</v>
      </c>
      <c r="F89" s="8" t="str">
        <f aca="false">IF(E89&gt;=9,"Promoter",IF(E89&gt;=7,"Passive","Detractor"))</f>
        <v>Detractor</v>
      </c>
    </row>
    <row r="90" customFormat="false" ht="15" hidden="false" customHeight="false" outlineLevel="0" collapsed="false">
      <c r="A90" s="8" t="s">
        <v>4694</v>
      </c>
      <c r="B90" s="8" t="s">
        <v>1315</v>
      </c>
      <c r="C90" s="8" t="s">
        <v>53</v>
      </c>
      <c r="D90" s="32" t="n">
        <v>45915</v>
      </c>
      <c r="E90" s="8" t="n">
        <v>10</v>
      </c>
      <c r="F90" s="8" t="str">
        <f aca="false">IF(E90&gt;=9,"Promoter",IF(E90&gt;=7,"Passive","Detractor"))</f>
        <v>Promoter</v>
      </c>
    </row>
    <row r="91" customFormat="false" ht="15" hidden="false" customHeight="false" outlineLevel="0" collapsed="false">
      <c r="A91" s="8" t="s">
        <v>4695</v>
      </c>
      <c r="B91" s="8" t="s">
        <v>2894</v>
      </c>
      <c r="C91" s="8" t="s">
        <v>51</v>
      </c>
      <c r="D91" s="32" t="n">
        <v>45916</v>
      </c>
      <c r="E91" s="8" t="n">
        <v>7</v>
      </c>
      <c r="F91" s="8" t="str">
        <f aca="false">IF(E91&gt;=9,"Promoter",IF(E91&gt;=7,"Passive","Detractor"))</f>
        <v>Passive</v>
      </c>
    </row>
    <row r="92" customFormat="false" ht="15" hidden="false" customHeight="false" outlineLevel="0" collapsed="false">
      <c r="A92" s="8" t="s">
        <v>4696</v>
      </c>
      <c r="B92" s="8" t="s">
        <v>2676</v>
      </c>
      <c r="C92" s="8" t="s">
        <v>51</v>
      </c>
      <c r="D92" s="32" t="n">
        <v>45916</v>
      </c>
      <c r="E92" s="8" t="n">
        <v>9</v>
      </c>
      <c r="F92" s="8" t="str">
        <f aca="false">IF(E92&gt;=9,"Promoter",IF(E92&gt;=7,"Passive","Detractor"))</f>
        <v>Promoter</v>
      </c>
    </row>
    <row r="93" customFormat="false" ht="15" hidden="false" customHeight="false" outlineLevel="0" collapsed="false">
      <c r="A93" s="8" t="s">
        <v>4697</v>
      </c>
      <c r="B93" s="8" t="s">
        <v>883</v>
      </c>
      <c r="C93" s="8" t="s">
        <v>55</v>
      </c>
      <c r="D93" s="32" t="n">
        <v>45916</v>
      </c>
      <c r="E93" s="8" t="n">
        <v>10</v>
      </c>
      <c r="F93" s="8" t="str">
        <f aca="false">IF(E93&gt;=9,"Promoter",IF(E93&gt;=7,"Passive","Detractor"))</f>
        <v>Promoter</v>
      </c>
    </row>
    <row r="94" customFormat="false" ht="15" hidden="false" customHeight="false" outlineLevel="0" collapsed="false">
      <c r="A94" s="8" t="s">
        <v>4698</v>
      </c>
      <c r="B94" s="8" t="s">
        <v>3608</v>
      </c>
      <c r="C94" s="8" t="s">
        <v>51</v>
      </c>
      <c r="D94" s="32" t="n">
        <v>45916</v>
      </c>
      <c r="E94" s="8" t="n">
        <v>10</v>
      </c>
      <c r="F94" s="8" t="str">
        <f aca="false">IF(E94&gt;=9,"Promoter",IF(E94&gt;=7,"Passive","Detractor"))</f>
        <v>Promoter</v>
      </c>
    </row>
    <row r="95" customFormat="false" ht="15" hidden="false" customHeight="false" outlineLevel="0" collapsed="false">
      <c r="A95" s="8" t="s">
        <v>4699</v>
      </c>
      <c r="B95" s="8" t="s">
        <v>3166</v>
      </c>
      <c r="C95" s="8" t="s">
        <v>51</v>
      </c>
      <c r="D95" s="32" t="n">
        <v>45916</v>
      </c>
      <c r="E95" s="8" t="n">
        <v>9</v>
      </c>
      <c r="F95" s="8" t="str">
        <f aca="false">IF(E95&gt;=9,"Promoter",IF(E95&gt;=7,"Passive","Detractor"))</f>
        <v>Promoter</v>
      </c>
    </row>
    <row r="96" customFormat="false" ht="15" hidden="false" customHeight="false" outlineLevel="0" collapsed="false">
      <c r="A96" s="8" t="s">
        <v>4700</v>
      </c>
      <c r="B96" s="8" t="s">
        <v>2462</v>
      </c>
      <c r="C96" s="8" t="s">
        <v>51</v>
      </c>
      <c r="D96" s="32" t="n">
        <v>45916</v>
      </c>
      <c r="E96" s="8" t="n">
        <v>6</v>
      </c>
      <c r="F96" s="8" t="str">
        <f aca="false">IF(E96&gt;=9,"Promoter",IF(E96&gt;=7,"Passive","Detractor"))</f>
        <v>Detractor</v>
      </c>
    </row>
    <row r="97" customFormat="false" ht="15" hidden="false" customHeight="false" outlineLevel="0" collapsed="false">
      <c r="A97" s="8" t="s">
        <v>4701</v>
      </c>
      <c r="B97" s="8" t="s">
        <v>4134</v>
      </c>
      <c r="C97" s="8" t="s">
        <v>51</v>
      </c>
      <c r="D97" s="32" t="n">
        <v>45916</v>
      </c>
      <c r="E97" s="8" t="n">
        <v>6</v>
      </c>
      <c r="F97" s="8" t="str">
        <f aca="false">IF(E97&gt;=9,"Promoter",IF(E97&gt;=7,"Passive","Detractor"))</f>
        <v>Detractor</v>
      </c>
    </row>
    <row r="98" customFormat="false" ht="15" hidden="false" customHeight="false" outlineLevel="0" collapsed="false">
      <c r="A98" s="8" t="s">
        <v>4702</v>
      </c>
      <c r="B98" s="8" t="s">
        <v>264</v>
      </c>
      <c r="C98" s="8" t="s">
        <v>55</v>
      </c>
      <c r="D98" s="32" t="n">
        <v>45916</v>
      </c>
      <c r="E98" s="8" t="n">
        <v>10</v>
      </c>
      <c r="F98" s="8" t="str">
        <f aca="false">IF(E98&gt;=9,"Promoter",IF(E98&gt;=7,"Passive","Detractor"))</f>
        <v>Promoter</v>
      </c>
    </row>
    <row r="99" customFormat="false" ht="15" hidden="false" customHeight="false" outlineLevel="0" collapsed="false">
      <c r="A99" s="8" t="s">
        <v>4703</v>
      </c>
      <c r="B99" s="8" t="s">
        <v>3708</v>
      </c>
      <c r="C99" s="8" t="s">
        <v>51</v>
      </c>
      <c r="D99" s="32" t="n">
        <v>45917</v>
      </c>
      <c r="E99" s="8" t="n">
        <v>9</v>
      </c>
      <c r="F99" s="8" t="str">
        <f aca="false">IF(E99&gt;=9,"Promoter",IF(E99&gt;=7,"Passive","Detractor"))</f>
        <v>Promoter</v>
      </c>
    </row>
    <row r="100" customFormat="false" ht="15" hidden="false" customHeight="false" outlineLevel="0" collapsed="false">
      <c r="A100" s="8" t="s">
        <v>4704</v>
      </c>
      <c r="B100" s="8" t="s">
        <v>2508</v>
      </c>
      <c r="C100" s="8" t="s">
        <v>51</v>
      </c>
      <c r="D100" s="32" t="n">
        <v>45917</v>
      </c>
      <c r="E100" s="8" t="n">
        <v>7</v>
      </c>
      <c r="F100" s="8" t="str">
        <f aca="false">IF(E100&gt;=9,"Promoter",IF(E100&gt;=7,"Passive","Detractor"))</f>
        <v>Passive</v>
      </c>
    </row>
    <row r="101" customFormat="false" ht="15" hidden="false" customHeight="false" outlineLevel="0" collapsed="false">
      <c r="A101" s="8" t="s">
        <v>4705</v>
      </c>
      <c r="B101" s="8" t="s">
        <v>1461</v>
      </c>
      <c r="C101" s="8" t="s">
        <v>53</v>
      </c>
      <c r="D101" s="32" t="n">
        <v>45917</v>
      </c>
      <c r="E101" s="8" t="n">
        <v>9</v>
      </c>
      <c r="F101" s="8" t="str">
        <f aca="false">IF(E101&gt;=9,"Promoter",IF(E101&gt;=7,"Passive","Detractor"))</f>
        <v>Promoter</v>
      </c>
    </row>
    <row r="102" customFormat="false" ht="15" hidden="false" customHeight="false" outlineLevel="0" collapsed="false">
      <c r="A102" s="8" t="s">
        <v>4706</v>
      </c>
      <c r="B102" s="8" t="s">
        <v>3810</v>
      </c>
      <c r="C102" s="8" t="s">
        <v>51</v>
      </c>
      <c r="D102" s="32" t="n">
        <v>45917</v>
      </c>
      <c r="E102" s="8" t="n">
        <v>10</v>
      </c>
      <c r="F102" s="8" t="str">
        <f aca="false">IF(E102&gt;=9,"Promoter",IF(E102&gt;=7,"Passive","Detractor"))</f>
        <v>Promoter</v>
      </c>
    </row>
    <row r="103" customFormat="false" ht="15" hidden="false" customHeight="false" outlineLevel="0" collapsed="false">
      <c r="A103" s="8" t="s">
        <v>4707</v>
      </c>
      <c r="B103" s="8" t="s">
        <v>815</v>
      </c>
      <c r="C103" s="8" t="s">
        <v>53</v>
      </c>
      <c r="D103" s="32" t="n">
        <v>45917</v>
      </c>
      <c r="E103" s="8" t="n">
        <v>10</v>
      </c>
      <c r="F103" s="8" t="str">
        <f aca="false">IF(E103&gt;=9,"Promoter",IF(E103&gt;=7,"Passive","Detractor"))</f>
        <v>Promoter</v>
      </c>
    </row>
    <row r="104" customFormat="false" ht="15" hidden="false" customHeight="false" outlineLevel="0" collapsed="false">
      <c r="A104" s="8" t="s">
        <v>4708</v>
      </c>
      <c r="B104" s="8" t="s">
        <v>3580</v>
      </c>
      <c r="C104" s="8" t="s">
        <v>51</v>
      </c>
      <c r="D104" s="32" t="n">
        <v>45917</v>
      </c>
      <c r="E104" s="8" t="n">
        <v>9</v>
      </c>
      <c r="F104" s="8" t="str">
        <f aca="false">IF(E104&gt;=9,"Promoter",IF(E104&gt;=7,"Passive","Detractor"))</f>
        <v>Promoter</v>
      </c>
    </row>
    <row r="105" customFormat="false" ht="15" hidden="false" customHeight="false" outlineLevel="0" collapsed="false">
      <c r="A105" s="8" t="s">
        <v>4709</v>
      </c>
      <c r="B105" s="8" t="s">
        <v>1293</v>
      </c>
      <c r="C105" s="8" t="s">
        <v>53</v>
      </c>
      <c r="D105" s="32" t="n">
        <v>45917</v>
      </c>
      <c r="E105" s="8" t="n">
        <v>9</v>
      </c>
      <c r="F105" s="8" t="str">
        <f aca="false">IF(E105&gt;=9,"Promoter",IF(E105&gt;=7,"Passive","Detractor"))</f>
        <v>Promoter</v>
      </c>
    </row>
    <row r="106" customFormat="false" ht="15" hidden="false" customHeight="false" outlineLevel="0" collapsed="false">
      <c r="A106" s="8" t="s">
        <v>4710</v>
      </c>
      <c r="B106" s="8" t="s">
        <v>2660</v>
      </c>
      <c r="C106" s="8" t="s">
        <v>51</v>
      </c>
      <c r="D106" s="32" t="n">
        <v>45917</v>
      </c>
      <c r="E106" s="8" t="n">
        <v>5</v>
      </c>
      <c r="F106" s="8" t="str">
        <f aca="false">IF(E106&gt;=9,"Promoter",IF(E106&gt;=7,"Passive","Detractor"))</f>
        <v>Detractor</v>
      </c>
    </row>
    <row r="107" customFormat="false" ht="15" hidden="false" customHeight="false" outlineLevel="0" collapsed="false">
      <c r="A107" s="8" t="s">
        <v>4711</v>
      </c>
      <c r="B107" s="8" t="s">
        <v>155</v>
      </c>
      <c r="C107" s="8" t="s">
        <v>55</v>
      </c>
      <c r="D107" s="32" t="n">
        <v>45918</v>
      </c>
      <c r="E107" s="8" t="n">
        <v>5</v>
      </c>
      <c r="F107" s="8" t="str">
        <f aca="false">IF(E107&gt;=9,"Promoter",IF(E107&gt;=7,"Passive","Detractor"))</f>
        <v>Detractor</v>
      </c>
    </row>
    <row r="108" customFormat="false" ht="15" hidden="false" customHeight="false" outlineLevel="0" collapsed="false">
      <c r="A108" s="8" t="s">
        <v>4712</v>
      </c>
      <c r="B108" s="8" t="s">
        <v>2816</v>
      </c>
      <c r="C108" s="8" t="s">
        <v>51</v>
      </c>
      <c r="D108" s="32" t="n">
        <v>45918</v>
      </c>
      <c r="E108" s="8" t="n">
        <v>9</v>
      </c>
      <c r="F108" s="8" t="str">
        <f aca="false">IF(E108&gt;=9,"Promoter",IF(E108&gt;=7,"Passive","Detractor"))</f>
        <v>Promoter</v>
      </c>
    </row>
    <row r="109" customFormat="false" ht="15" hidden="false" customHeight="false" outlineLevel="0" collapsed="false">
      <c r="A109" s="8" t="s">
        <v>4713</v>
      </c>
      <c r="B109" s="8" t="s">
        <v>3702</v>
      </c>
      <c r="C109" s="8" t="s">
        <v>51</v>
      </c>
      <c r="D109" s="32" t="n">
        <v>45918</v>
      </c>
      <c r="E109" s="8" t="n">
        <v>7</v>
      </c>
      <c r="F109" s="8" t="str">
        <f aca="false">IF(E109&gt;=9,"Promoter",IF(E109&gt;=7,"Passive","Detractor"))</f>
        <v>Passive</v>
      </c>
    </row>
    <row r="110" customFormat="false" ht="15" hidden="false" customHeight="false" outlineLevel="0" collapsed="false">
      <c r="A110" s="8" t="s">
        <v>4714</v>
      </c>
      <c r="B110" s="8" t="s">
        <v>4348</v>
      </c>
      <c r="C110" s="8" t="s">
        <v>51</v>
      </c>
      <c r="D110" s="32" t="n">
        <v>45918</v>
      </c>
      <c r="E110" s="8" t="n">
        <v>9</v>
      </c>
      <c r="F110" s="8" t="str">
        <f aca="false">IF(E110&gt;=9,"Promoter",IF(E110&gt;=7,"Passive","Detractor"))</f>
        <v>Promoter</v>
      </c>
    </row>
    <row r="111" customFormat="false" ht="15" hidden="false" customHeight="false" outlineLevel="0" collapsed="false">
      <c r="A111" s="8" t="s">
        <v>4715</v>
      </c>
      <c r="B111" s="8" t="s">
        <v>1111</v>
      </c>
      <c r="C111" s="8" t="s">
        <v>53</v>
      </c>
      <c r="D111" s="32" t="n">
        <v>45918</v>
      </c>
      <c r="E111" s="8" t="n">
        <v>7</v>
      </c>
      <c r="F111" s="8" t="str">
        <f aca="false">IF(E111&gt;=9,"Promoter",IF(E111&gt;=7,"Passive","Detractor"))</f>
        <v>Passive</v>
      </c>
    </row>
    <row r="112" customFormat="false" ht="15" hidden="false" customHeight="false" outlineLevel="0" collapsed="false">
      <c r="A112" s="8" t="s">
        <v>4716</v>
      </c>
      <c r="B112" s="8" t="s">
        <v>4038</v>
      </c>
      <c r="C112" s="8" t="s">
        <v>51</v>
      </c>
      <c r="D112" s="32" t="n">
        <v>45918</v>
      </c>
      <c r="E112" s="8" t="n">
        <v>6</v>
      </c>
      <c r="F112" s="8" t="str">
        <f aca="false">IF(E112&gt;=9,"Promoter",IF(E112&gt;=7,"Passive","Detractor"))</f>
        <v>Detractor</v>
      </c>
    </row>
    <row r="113" customFormat="false" ht="15" hidden="false" customHeight="false" outlineLevel="0" collapsed="false">
      <c r="A113" s="8" t="s">
        <v>4717</v>
      </c>
      <c r="B113" s="8" t="s">
        <v>3306</v>
      </c>
      <c r="C113" s="8" t="s">
        <v>51</v>
      </c>
      <c r="D113" s="32" t="n">
        <v>45918</v>
      </c>
      <c r="E113" s="8" t="n">
        <v>10</v>
      </c>
      <c r="F113" s="8" t="str">
        <f aca="false">IF(E113&gt;=9,"Promoter",IF(E113&gt;=7,"Passive","Detractor"))</f>
        <v>Promoter</v>
      </c>
    </row>
    <row r="114" customFormat="false" ht="15" hidden="false" customHeight="false" outlineLevel="0" collapsed="false">
      <c r="A114" s="8" t="s">
        <v>4718</v>
      </c>
      <c r="B114" s="8" t="s">
        <v>1387</v>
      </c>
      <c r="C114" s="8" t="s">
        <v>53</v>
      </c>
      <c r="D114" s="32" t="n">
        <v>45919</v>
      </c>
      <c r="E114" s="8" t="n">
        <v>7</v>
      </c>
      <c r="F114" s="8" t="str">
        <f aca="false">IF(E114&gt;=9,"Promoter",IF(E114&gt;=7,"Passive","Detractor"))</f>
        <v>Passive</v>
      </c>
    </row>
    <row r="115" customFormat="false" ht="15" hidden="false" customHeight="false" outlineLevel="0" collapsed="false">
      <c r="A115" s="8" t="s">
        <v>4719</v>
      </c>
      <c r="B115" s="8" t="s">
        <v>3096</v>
      </c>
      <c r="C115" s="8" t="s">
        <v>51</v>
      </c>
      <c r="D115" s="32" t="n">
        <v>45919</v>
      </c>
      <c r="E115" s="8" t="n">
        <v>5</v>
      </c>
      <c r="F115" s="8" t="str">
        <f aca="false">IF(E115&gt;=9,"Promoter",IF(E115&gt;=7,"Passive","Detractor"))</f>
        <v>Detractor</v>
      </c>
    </row>
    <row r="116" customFormat="false" ht="15" hidden="false" customHeight="false" outlineLevel="0" collapsed="false">
      <c r="A116" s="8" t="s">
        <v>4720</v>
      </c>
      <c r="B116" s="8" t="s">
        <v>3984</v>
      </c>
      <c r="C116" s="8" t="s">
        <v>51</v>
      </c>
      <c r="D116" s="32" t="n">
        <v>45919</v>
      </c>
      <c r="E116" s="8" t="n">
        <v>7</v>
      </c>
      <c r="F116" s="8" t="str">
        <f aca="false">IF(E116&gt;=9,"Promoter",IF(E116&gt;=7,"Passive","Detractor"))</f>
        <v>Passive</v>
      </c>
    </row>
    <row r="117" customFormat="false" ht="15" hidden="false" customHeight="false" outlineLevel="0" collapsed="false">
      <c r="A117" s="8" t="s">
        <v>4721</v>
      </c>
      <c r="B117" s="8" t="s">
        <v>767</v>
      </c>
      <c r="C117" s="8" t="s">
        <v>53</v>
      </c>
      <c r="D117" s="32" t="n">
        <v>45919</v>
      </c>
      <c r="E117" s="8" t="n">
        <v>7</v>
      </c>
      <c r="F117" s="8" t="str">
        <f aca="false">IF(E117&gt;=9,"Promoter",IF(E117&gt;=7,"Passive","Detractor"))</f>
        <v>Passive</v>
      </c>
    </row>
    <row r="118" customFormat="false" ht="15" hidden="false" customHeight="false" outlineLevel="0" collapsed="false">
      <c r="A118" s="8" t="s">
        <v>4722</v>
      </c>
      <c r="B118" s="8" t="s">
        <v>3626</v>
      </c>
      <c r="C118" s="8" t="s">
        <v>51</v>
      </c>
      <c r="D118" s="32" t="n">
        <v>45919</v>
      </c>
      <c r="E118" s="8" t="n">
        <v>7</v>
      </c>
      <c r="F118" s="8" t="str">
        <f aca="false">IF(E118&gt;=9,"Promoter",IF(E118&gt;=7,"Passive","Detractor"))</f>
        <v>Passive</v>
      </c>
    </row>
    <row r="119" customFormat="false" ht="15" hidden="false" customHeight="false" outlineLevel="0" collapsed="false">
      <c r="A119" s="8" t="s">
        <v>4723</v>
      </c>
      <c r="B119" s="8" t="s">
        <v>3176</v>
      </c>
      <c r="C119" s="8" t="s">
        <v>51</v>
      </c>
      <c r="D119" s="32" t="n">
        <v>45919</v>
      </c>
      <c r="E119" s="8" t="n">
        <v>6</v>
      </c>
      <c r="F119" s="8" t="str">
        <f aca="false">IF(E119&gt;=9,"Promoter",IF(E119&gt;=7,"Passive","Detractor"))</f>
        <v>Detractor</v>
      </c>
    </row>
    <row r="120" customFormat="false" ht="15" hidden="false" customHeight="false" outlineLevel="0" collapsed="false">
      <c r="A120" s="8" t="s">
        <v>4724</v>
      </c>
      <c r="B120" s="8" t="s">
        <v>3134</v>
      </c>
      <c r="C120" s="8" t="s">
        <v>51</v>
      </c>
      <c r="D120" s="32" t="n">
        <v>45919</v>
      </c>
      <c r="E120" s="8" t="n">
        <v>7</v>
      </c>
      <c r="F120" s="8" t="str">
        <f aca="false">IF(E120&gt;=9,"Promoter",IF(E120&gt;=7,"Passive","Detractor"))</f>
        <v>Passive</v>
      </c>
    </row>
    <row r="121" customFormat="false" ht="15" hidden="false" customHeight="false" outlineLevel="0" collapsed="false">
      <c r="A121" s="8" t="s">
        <v>4725</v>
      </c>
      <c r="B121" s="8" t="s">
        <v>2304</v>
      </c>
      <c r="C121" s="8" t="s">
        <v>51</v>
      </c>
      <c r="D121" s="32" t="n">
        <v>45919</v>
      </c>
      <c r="E121" s="8" t="n">
        <v>8</v>
      </c>
      <c r="F121" s="8" t="str">
        <f aca="false">IF(E121&gt;=9,"Promoter",IF(E121&gt;=7,"Passive","Detractor"))</f>
        <v>Passive</v>
      </c>
    </row>
    <row r="122" customFormat="false" ht="15" hidden="false" customHeight="false" outlineLevel="0" collapsed="false">
      <c r="A122" s="8" t="s">
        <v>4726</v>
      </c>
      <c r="B122" s="8" t="s">
        <v>3000</v>
      </c>
      <c r="C122" s="8" t="s">
        <v>51</v>
      </c>
      <c r="D122" s="32" t="n">
        <v>45920</v>
      </c>
      <c r="E122" s="8" t="n">
        <v>10</v>
      </c>
      <c r="F122" s="8" t="str">
        <f aca="false">IF(E122&gt;=9,"Promoter",IF(E122&gt;=7,"Passive","Detractor"))</f>
        <v>Promoter</v>
      </c>
    </row>
    <row r="123" customFormat="false" ht="15" hidden="false" customHeight="false" outlineLevel="0" collapsed="false">
      <c r="A123" s="8" t="s">
        <v>4727</v>
      </c>
      <c r="B123" s="8" t="s">
        <v>2218</v>
      </c>
      <c r="C123" s="8" t="s">
        <v>51</v>
      </c>
      <c r="D123" s="32" t="n">
        <v>45920</v>
      </c>
      <c r="E123" s="8" t="n">
        <v>6</v>
      </c>
      <c r="F123" s="8" t="str">
        <f aca="false">IF(E123&gt;=9,"Promoter",IF(E123&gt;=7,"Passive","Detractor"))</f>
        <v>Detractor</v>
      </c>
    </row>
    <row r="124" customFormat="false" ht="15" hidden="false" customHeight="false" outlineLevel="0" collapsed="false">
      <c r="A124" s="8" t="s">
        <v>4728</v>
      </c>
      <c r="B124" s="8" t="s">
        <v>1113</v>
      </c>
      <c r="C124" s="8" t="s">
        <v>53</v>
      </c>
      <c r="D124" s="32" t="n">
        <v>45920</v>
      </c>
      <c r="E124" s="8" t="n">
        <v>9</v>
      </c>
      <c r="F124" s="8" t="str">
        <f aca="false">IF(E124&gt;=9,"Promoter",IF(E124&gt;=7,"Passive","Detractor"))</f>
        <v>Promoter</v>
      </c>
    </row>
    <row r="125" customFormat="false" ht="15" hidden="false" customHeight="false" outlineLevel="0" collapsed="false">
      <c r="A125" s="8" t="s">
        <v>4729</v>
      </c>
      <c r="B125" s="8" t="s">
        <v>230</v>
      </c>
      <c r="C125" s="8" t="s">
        <v>55</v>
      </c>
      <c r="D125" s="32" t="n">
        <v>45920</v>
      </c>
      <c r="E125" s="8" t="n">
        <v>8</v>
      </c>
      <c r="F125" s="8" t="str">
        <f aca="false">IF(E125&gt;=9,"Promoter",IF(E125&gt;=7,"Passive","Detractor"))</f>
        <v>Passive</v>
      </c>
    </row>
    <row r="126" customFormat="false" ht="15" hidden="false" customHeight="false" outlineLevel="0" collapsed="false">
      <c r="A126" s="8" t="s">
        <v>4730</v>
      </c>
      <c r="B126" s="8" t="s">
        <v>3818</v>
      </c>
      <c r="C126" s="8" t="s">
        <v>51</v>
      </c>
      <c r="D126" s="32" t="n">
        <v>45920</v>
      </c>
      <c r="E126" s="8" t="n">
        <v>8</v>
      </c>
      <c r="F126" s="8" t="str">
        <f aca="false">IF(E126&gt;=9,"Promoter",IF(E126&gt;=7,"Passive","Detractor"))</f>
        <v>Passive</v>
      </c>
    </row>
    <row r="127" customFormat="false" ht="15" hidden="false" customHeight="false" outlineLevel="0" collapsed="false">
      <c r="A127" s="8" t="s">
        <v>4731</v>
      </c>
      <c r="B127" s="8" t="s">
        <v>3120</v>
      </c>
      <c r="C127" s="8" t="s">
        <v>51</v>
      </c>
      <c r="D127" s="32" t="n">
        <v>45920</v>
      </c>
      <c r="E127" s="8" t="n">
        <v>9</v>
      </c>
      <c r="F127" s="8" t="str">
        <f aca="false">IF(E127&gt;=9,"Promoter",IF(E127&gt;=7,"Passive","Detractor"))</f>
        <v>Promoter</v>
      </c>
    </row>
    <row r="128" customFormat="false" ht="15" hidden="false" customHeight="false" outlineLevel="0" collapsed="false">
      <c r="A128" s="8" t="s">
        <v>4732</v>
      </c>
      <c r="B128" s="8" t="s">
        <v>1153</v>
      </c>
      <c r="C128" s="8" t="s">
        <v>53</v>
      </c>
      <c r="D128" s="32" t="n">
        <v>45920</v>
      </c>
      <c r="E128" s="8" t="n">
        <v>6</v>
      </c>
      <c r="F128" s="8" t="str">
        <f aca="false">IF(E128&gt;=9,"Promoter",IF(E128&gt;=7,"Passive","Detractor"))</f>
        <v>Detractor</v>
      </c>
    </row>
    <row r="129" customFormat="false" ht="15" hidden="false" customHeight="false" outlineLevel="0" collapsed="false">
      <c r="A129" s="8" t="s">
        <v>4733</v>
      </c>
      <c r="B129" s="8" t="s">
        <v>3386</v>
      </c>
      <c r="C129" s="8" t="s">
        <v>51</v>
      </c>
      <c r="D129" s="32" t="n">
        <v>45921</v>
      </c>
      <c r="E129" s="8" t="n">
        <v>10</v>
      </c>
      <c r="F129" s="8" t="str">
        <f aca="false">IF(E129&gt;=9,"Promoter",IF(E129&gt;=7,"Passive","Detractor"))</f>
        <v>Promoter</v>
      </c>
    </row>
    <row r="130" customFormat="false" ht="15" hidden="false" customHeight="false" outlineLevel="0" collapsed="false">
      <c r="A130" s="8" t="s">
        <v>4734</v>
      </c>
      <c r="B130" s="8" t="s">
        <v>2009</v>
      </c>
      <c r="C130" s="8" t="s">
        <v>51</v>
      </c>
      <c r="D130" s="32" t="n">
        <v>45921</v>
      </c>
      <c r="E130" s="8" t="n">
        <v>9</v>
      </c>
      <c r="F130" s="8" t="str">
        <f aca="false">IF(E130&gt;=9,"Promoter",IF(E130&gt;=7,"Passive","Detractor"))</f>
        <v>Promoter</v>
      </c>
    </row>
    <row r="131" customFormat="false" ht="15" hidden="false" customHeight="false" outlineLevel="0" collapsed="false">
      <c r="A131" s="8" t="s">
        <v>4735</v>
      </c>
      <c r="B131" s="8" t="s">
        <v>4354</v>
      </c>
      <c r="C131" s="8" t="s">
        <v>51</v>
      </c>
      <c r="D131" s="32" t="n">
        <v>45921</v>
      </c>
      <c r="E131" s="8" t="n">
        <v>9</v>
      </c>
      <c r="F131" s="8" t="str">
        <f aca="false">IF(E131&gt;=9,"Promoter",IF(E131&gt;=7,"Passive","Detractor"))</f>
        <v>Promoter</v>
      </c>
    </row>
    <row r="132" customFormat="false" ht="15" hidden="false" customHeight="false" outlineLevel="0" collapsed="false">
      <c r="A132" s="8" t="s">
        <v>4736</v>
      </c>
      <c r="B132" s="8" t="s">
        <v>270</v>
      </c>
      <c r="C132" s="8" t="s">
        <v>55</v>
      </c>
      <c r="D132" s="32" t="n">
        <v>45921</v>
      </c>
      <c r="E132" s="8" t="n">
        <v>10</v>
      </c>
      <c r="F132" s="8" t="str">
        <f aca="false">IF(E132&gt;=9,"Promoter",IF(E132&gt;=7,"Passive","Detractor"))</f>
        <v>Promoter</v>
      </c>
    </row>
    <row r="133" customFormat="false" ht="15" hidden="false" customHeight="false" outlineLevel="0" collapsed="false">
      <c r="A133" s="8" t="s">
        <v>4737</v>
      </c>
      <c r="B133" s="8" t="s">
        <v>1985</v>
      </c>
      <c r="C133" s="8" t="s">
        <v>51</v>
      </c>
      <c r="D133" s="32" t="n">
        <v>45921</v>
      </c>
      <c r="E133" s="8" t="n">
        <v>10</v>
      </c>
      <c r="F133" s="8" t="str">
        <f aca="false">IF(E133&gt;=9,"Promoter",IF(E133&gt;=7,"Passive","Detractor"))</f>
        <v>Promoter</v>
      </c>
    </row>
    <row r="134" customFormat="false" ht="15" hidden="false" customHeight="false" outlineLevel="0" collapsed="false">
      <c r="A134" s="8" t="s">
        <v>4738</v>
      </c>
      <c r="B134" s="8" t="s">
        <v>2410</v>
      </c>
      <c r="C134" s="8" t="s">
        <v>51</v>
      </c>
      <c r="D134" s="32" t="n">
        <v>45921</v>
      </c>
      <c r="E134" s="8" t="n">
        <v>10</v>
      </c>
      <c r="F134" s="8" t="str">
        <f aca="false">IF(E134&gt;=9,"Promoter",IF(E134&gt;=7,"Passive","Detractor"))</f>
        <v>Promoter</v>
      </c>
    </row>
    <row r="135" customFormat="false" ht="15" hidden="false" customHeight="false" outlineLevel="0" collapsed="false">
      <c r="A135" s="8" t="s">
        <v>4739</v>
      </c>
      <c r="B135" s="8" t="s">
        <v>1327</v>
      </c>
      <c r="C135" s="8" t="s">
        <v>53</v>
      </c>
      <c r="D135" s="32" t="n">
        <v>45922</v>
      </c>
      <c r="E135" s="8" t="n">
        <v>9</v>
      </c>
      <c r="F135" s="8" t="str">
        <f aca="false">IF(E135&gt;=9,"Promoter",IF(E135&gt;=7,"Passive","Detractor"))</f>
        <v>Promoter</v>
      </c>
    </row>
    <row r="136" customFormat="false" ht="15" hidden="false" customHeight="false" outlineLevel="0" collapsed="false">
      <c r="A136" s="8" t="s">
        <v>4740</v>
      </c>
      <c r="B136" s="8" t="s">
        <v>375</v>
      </c>
      <c r="C136" s="8" t="s">
        <v>55</v>
      </c>
      <c r="D136" s="32" t="n">
        <v>45922</v>
      </c>
      <c r="E136" s="8" t="n">
        <v>9</v>
      </c>
      <c r="F136" s="8" t="str">
        <f aca="false">IF(E136&gt;=9,"Promoter",IF(E136&gt;=7,"Passive","Detractor"))</f>
        <v>Promoter</v>
      </c>
    </row>
    <row r="137" customFormat="false" ht="15" hidden="false" customHeight="false" outlineLevel="0" collapsed="false">
      <c r="A137" s="8" t="s">
        <v>4741</v>
      </c>
      <c r="B137" s="8" t="s">
        <v>857</v>
      </c>
      <c r="C137" s="8" t="s">
        <v>53</v>
      </c>
      <c r="D137" s="32" t="n">
        <v>45922</v>
      </c>
      <c r="E137" s="8" t="n">
        <v>8</v>
      </c>
      <c r="F137" s="8" t="str">
        <f aca="false">IF(E137&gt;=9,"Promoter",IF(E137&gt;=7,"Passive","Detractor"))</f>
        <v>Passive</v>
      </c>
    </row>
    <row r="138" customFormat="false" ht="15" hidden="false" customHeight="false" outlineLevel="0" collapsed="false">
      <c r="A138" s="8" t="s">
        <v>4742</v>
      </c>
      <c r="B138" s="8" t="s">
        <v>3450</v>
      </c>
      <c r="C138" s="8" t="s">
        <v>51</v>
      </c>
      <c r="D138" s="32" t="n">
        <v>45922</v>
      </c>
      <c r="E138" s="8" t="n">
        <v>9</v>
      </c>
      <c r="F138" s="8" t="str">
        <f aca="false">IF(E138&gt;=9,"Promoter",IF(E138&gt;=7,"Passive","Detractor"))</f>
        <v>Promoter</v>
      </c>
    </row>
    <row r="139" customFormat="false" ht="15" hidden="false" customHeight="false" outlineLevel="0" collapsed="false">
      <c r="A139" s="8" t="s">
        <v>4743</v>
      </c>
      <c r="B139" s="8" t="s">
        <v>2244</v>
      </c>
      <c r="C139" s="8" t="s">
        <v>51</v>
      </c>
      <c r="D139" s="32" t="n">
        <v>45922</v>
      </c>
      <c r="E139" s="8" t="n">
        <v>9</v>
      </c>
      <c r="F139" s="8" t="str">
        <f aca="false">IF(E139&gt;=9,"Promoter",IF(E139&gt;=7,"Passive","Detractor"))</f>
        <v>Promoter</v>
      </c>
    </row>
    <row r="140" customFormat="false" ht="15" hidden="false" customHeight="false" outlineLevel="0" collapsed="false">
      <c r="A140" s="8" t="s">
        <v>4744</v>
      </c>
      <c r="B140" s="8" t="s">
        <v>807</v>
      </c>
      <c r="C140" s="8" t="s">
        <v>53</v>
      </c>
      <c r="D140" s="32" t="n">
        <v>45922</v>
      </c>
      <c r="E140" s="8" t="n">
        <v>7</v>
      </c>
      <c r="F140" s="8" t="str">
        <f aca="false">IF(E140&gt;=9,"Promoter",IF(E140&gt;=7,"Passive","Detractor"))</f>
        <v>Passive</v>
      </c>
    </row>
    <row r="141" customFormat="false" ht="15" hidden="false" customHeight="false" outlineLevel="0" collapsed="false">
      <c r="A141" s="8" t="s">
        <v>4745</v>
      </c>
      <c r="B141" s="8" t="s">
        <v>635</v>
      </c>
      <c r="C141" s="8" t="s">
        <v>53</v>
      </c>
      <c r="D141" s="32" t="n">
        <v>45922</v>
      </c>
      <c r="E141" s="8" t="n">
        <v>9</v>
      </c>
      <c r="F141" s="8" t="str">
        <f aca="false">IF(E141&gt;=9,"Promoter",IF(E141&gt;=7,"Passive","Detractor"))</f>
        <v>Promoter</v>
      </c>
    </row>
    <row r="142" customFormat="false" ht="15" hidden="false" customHeight="false" outlineLevel="0" collapsed="false">
      <c r="A142" s="8" t="s">
        <v>4746</v>
      </c>
      <c r="B142" s="8" t="s">
        <v>4174</v>
      </c>
      <c r="C142" s="8" t="s">
        <v>51</v>
      </c>
      <c r="D142" s="32" t="n">
        <v>45923</v>
      </c>
      <c r="E142" s="8" t="n">
        <v>7</v>
      </c>
      <c r="F142" s="8" t="str">
        <f aca="false">IF(E142&gt;=9,"Promoter",IF(E142&gt;=7,"Passive","Detractor"))</f>
        <v>Passive</v>
      </c>
    </row>
    <row r="143" customFormat="false" ht="15" hidden="false" customHeight="false" outlineLevel="0" collapsed="false">
      <c r="A143" s="8" t="s">
        <v>4747</v>
      </c>
      <c r="B143" s="8" t="s">
        <v>771</v>
      </c>
      <c r="C143" s="8" t="s">
        <v>53</v>
      </c>
      <c r="D143" s="32" t="n">
        <v>45923</v>
      </c>
      <c r="E143" s="8" t="n">
        <v>9</v>
      </c>
      <c r="F143" s="8" t="str">
        <f aca="false">IF(E143&gt;=9,"Promoter",IF(E143&gt;=7,"Passive","Detractor"))</f>
        <v>Promoter</v>
      </c>
    </row>
    <row r="144" customFormat="false" ht="15" hidden="false" customHeight="false" outlineLevel="0" collapsed="false">
      <c r="A144" s="8" t="s">
        <v>4748</v>
      </c>
      <c r="B144" s="8" t="s">
        <v>145</v>
      </c>
      <c r="C144" s="8" t="s">
        <v>55</v>
      </c>
      <c r="D144" s="32" t="n">
        <v>45924</v>
      </c>
      <c r="E144" s="8" t="n">
        <v>7</v>
      </c>
      <c r="F144" s="8" t="str">
        <f aca="false">IF(E144&gt;=9,"Promoter",IF(E144&gt;=7,"Passive","Detractor"))</f>
        <v>Passive</v>
      </c>
    </row>
    <row r="145" customFormat="false" ht="15" hidden="false" customHeight="false" outlineLevel="0" collapsed="false">
      <c r="A145" s="8" t="s">
        <v>4749</v>
      </c>
      <c r="B145" s="8" t="s">
        <v>1613</v>
      </c>
      <c r="C145" s="8" t="s">
        <v>53</v>
      </c>
      <c r="D145" s="32" t="n">
        <v>45924</v>
      </c>
      <c r="E145" s="8" t="n">
        <v>7</v>
      </c>
      <c r="F145" s="8" t="str">
        <f aca="false">IF(E145&gt;=9,"Promoter",IF(E145&gt;=7,"Passive","Detractor"))</f>
        <v>Passive</v>
      </c>
    </row>
    <row r="146" customFormat="false" ht="15" hidden="false" customHeight="false" outlineLevel="0" collapsed="false">
      <c r="A146" s="8" t="s">
        <v>4750</v>
      </c>
      <c r="B146" s="8" t="s">
        <v>4433</v>
      </c>
      <c r="C146" s="8" t="s">
        <v>53</v>
      </c>
      <c r="D146" s="32" t="n">
        <v>45924</v>
      </c>
      <c r="E146" s="8" t="n">
        <v>8</v>
      </c>
      <c r="F146" s="8" t="str">
        <f aca="false">IF(E146&gt;=9,"Promoter",IF(E146&gt;=7,"Passive","Detractor"))</f>
        <v>Passive</v>
      </c>
    </row>
    <row r="147" customFormat="false" ht="15" hidden="false" customHeight="false" outlineLevel="0" collapsed="false">
      <c r="A147" s="8" t="s">
        <v>4751</v>
      </c>
      <c r="B147" s="8" t="s">
        <v>2160</v>
      </c>
      <c r="C147" s="8" t="s">
        <v>51</v>
      </c>
      <c r="D147" s="32" t="n">
        <v>45924</v>
      </c>
      <c r="E147" s="8" t="n">
        <v>10</v>
      </c>
      <c r="F147" s="8" t="str">
        <f aca="false">IF(E147&gt;=9,"Promoter",IF(E147&gt;=7,"Passive","Detractor"))</f>
        <v>Promoter</v>
      </c>
    </row>
    <row r="148" customFormat="false" ht="15" hidden="false" customHeight="false" outlineLevel="0" collapsed="false">
      <c r="A148" s="8" t="s">
        <v>4752</v>
      </c>
      <c r="B148" s="8" t="s">
        <v>4108</v>
      </c>
      <c r="C148" s="8" t="s">
        <v>51</v>
      </c>
      <c r="D148" s="32" t="n">
        <v>45924</v>
      </c>
      <c r="E148" s="8" t="n">
        <v>7</v>
      </c>
      <c r="F148" s="8" t="str">
        <f aca="false">IF(E148&gt;=9,"Promoter",IF(E148&gt;=7,"Passive","Detractor"))</f>
        <v>Passive</v>
      </c>
    </row>
    <row r="149" customFormat="false" ht="15" hidden="false" customHeight="false" outlineLevel="0" collapsed="false">
      <c r="A149" s="8" t="s">
        <v>4753</v>
      </c>
      <c r="B149" s="8" t="s">
        <v>164</v>
      </c>
      <c r="C149" s="8" t="s">
        <v>55</v>
      </c>
      <c r="D149" s="32" t="n">
        <v>45924</v>
      </c>
      <c r="E149" s="8" t="n">
        <v>10</v>
      </c>
      <c r="F149" s="8" t="str">
        <f aca="false">IF(E149&gt;=9,"Promoter",IF(E149&gt;=7,"Passive","Detractor"))</f>
        <v>Promoter</v>
      </c>
    </row>
    <row r="150" customFormat="false" ht="15" hidden="false" customHeight="false" outlineLevel="0" collapsed="false">
      <c r="A150" s="8" t="s">
        <v>4754</v>
      </c>
      <c r="B150" s="8" t="s">
        <v>3078</v>
      </c>
      <c r="C150" s="8" t="s">
        <v>51</v>
      </c>
      <c r="D150" s="32" t="n">
        <v>45924</v>
      </c>
      <c r="E150" s="8" t="n">
        <v>9</v>
      </c>
      <c r="F150" s="8" t="str">
        <f aca="false">IF(E150&gt;=9,"Promoter",IF(E150&gt;=7,"Passive","Detractor"))</f>
        <v>Promoter</v>
      </c>
    </row>
    <row r="151" customFormat="false" ht="15" hidden="false" customHeight="false" outlineLevel="0" collapsed="false">
      <c r="A151" s="8" t="s">
        <v>4755</v>
      </c>
      <c r="B151" s="8" t="s">
        <v>2954</v>
      </c>
      <c r="C151" s="8" t="s">
        <v>51</v>
      </c>
      <c r="D151" s="32" t="n">
        <v>45924</v>
      </c>
      <c r="E151" s="8" t="n">
        <v>10</v>
      </c>
      <c r="F151" s="8" t="str">
        <f aca="false">IF(E151&gt;=9,"Promoter",IF(E151&gt;=7,"Passive","Detractor"))</f>
        <v>Promoter</v>
      </c>
    </row>
    <row r="152" customFormat="false" ht="15" hidden="false" customHeight="false" outlineLevel="0" collapsed="false">
      <c r="A152" s="8" t="s">
        <v>4756</v>
      </c>
      <c r="B152" s="8" t="s">
        <v>4332</v>
      </c>
      <c r="C152" s="8" t="s">
        <v>51</v>
      </c>
      <c r="D152" s="32" t="n">
        <v>45924</v>
      </c>
      <c r="E152" s="8" t="n">
        <v>10</v>
      </c>
      <c r="F152" s="8" t="str">
        <f aca="false">IF(E152&gt;=9,"Promoter",IF(E152&gt;=7,"Passive","Detractor"))</f>
        <v>Promoter</v>
      </c>
    </row>
    <row r="153" customFormat="false" ht="15" hidden="false" customHeight="false" outlineLevel="0" collapsed="false">
      <c r="A153" s="8" t="s">
        <v>4757</v>
      </c>
      <c r="B153" s="8" t="s">
        <v>487</v>
      </c>
      <c r="C153" s="8" t="s">
        <v>55</v>
      </c>
      <c r="D153" s="32" t="n">
        <v>45924</v>
      </c>
      <c r="E153" s="8" t="n">
        <v>7</v>
      </c>
      <c r="F153" s="8" t="str">
        <f aca="false">IF(E153&gt;=9,"Promoter",IF(E153&gt;=7,"Passive","Detractor"))</f>
        <v>Passive</v>
      </c>
    </row>
    <row r="154" customFormat="false" ht="15" hidden="false" customHeight="false" outlineLevel="0" collapsed="false">
      <c r="A154" s="8" t="s">
        <v>4758</v>
      </c>
      <c r="B154" s="8" t="s">
        <v>1629</v>
      </c>
      <c r="C154" s="8" t="s">
        <v>53</v>
      </c>
      <c r="D154" s="32" t="n">
        <v>45925</v>
      </c>
      <c r="E154" s="8" t="n">
        <v>10</v>
      </c>
      <c r="F154" s="8" t="str">
        <f aca="false">IF(E154&gt;=9,"Promoter",IF(E154&gt;=7,"Passive","Detractor"))</f>
        <v>Promoter</v>
      </c>
    </row>
    <row r="155" customFormat="false" ht="15" hidden="false" customHeight="false" outlineLevel="0" collapsed="false">
      <c r="A155" s="8" t="s">
        <v>4759</v>
      </c>
      <c r="B155" s="8" t="s">
        <v>4096</v>
      </c>
      <c r="C155" s="8" t="s">
        <v>51</v>
      </c>
      <c r="D155" s="32" t="n">
        <v>45925</v>
      </c>
      <c r="E155" s="8" t="n">
        <v>10</v>
      </c>
      <c r="F155" s="8" t="str">
        <f aca="false">IF(E155&gt;=9,"Promoter",IF(E155&gt;=7,"Passive","Detractor"))</f>
        <v>Promoter</v>
      </c>
    </row>
    <row r="156" customFormat="false" ht="15" hidden="false" customHeight="false" outlineLevel="0" collapsed="false">
      <c r="A156" s="8" t="s">
        <v>4760</v>
      </c>
      <c r="B156" s="8" t="s">
        <v>2986</v>
      </c>
      <c r="C156" s="8" t="s">
        <v>51</v>
      </c>
      <c r="D156" s="32" t="n">
        <v>45925</v>
      </c>
      <c r="E156" s="8" t="n">
        <v>10</v>
      </c>
      <c r="F156" s="8" t="str">
        <f aca="false">IF(E156&gt;=9,"Promoter",IF(E156&gt;=7,"Passive","Detractor"))</f>
        <v>Promoter</v>
      </c>
    </row>
    <row r="157" customFormat="false" ht="15" hidden="false" customHeight="false" outlineLevel="0" collapsed="false">
      <c r="A157" s="8" t="s">
        <v>4761</v>
      </c>
      <c r="B157" s="8" t="s">
        <v>1953</v>
      </c>
      <c r="C157" s="8" t="s">
        <v>51</v>
      </c>
      <c r="D157" s="32" t="n">
        <v>45925</v>
      </c>
      <c r="E157" s="8" t="n">
        <v>8</v>
      </c>
      <c r="F157" s="8" t="str">
        <f aca="false">IF(E157&gt;=9,"Promoter",IF(E157&gt;=7,"Passive","Detractor"))</f>
        <v>Passive</v>
      </c>
    </row>
    <row r="158" customFormat="false" ht="15" hidden="false" customHeight="false" outlineLevel="0" collapsed="false">
      <c r="A158" s="8" t="s">
        <v>4762</v>
      </c>
      <c r="B158" s="8" t="s">
        <v>4128</v>
      </c>
      <c r="C158" s="8" t="s">
        <v>51</v>
      </c>
      <c r="D158" s="32" t="n">
        <v>45925</v>
      </c>
      <c r="E158" s="8" t="n">
        <v>8</v>
      </c>
      <c r="F158" s="8" t="str">
        <f aca="false">IF(E158&gt;=9,"Promoter",IF(E158&gt;=7,"Passive","Detractor"))</f>
        <v>Passive</v>
      </c>
    </row>
    <row r="159" customFormat="false" ht="15" hidden="false" customHeight="false" outlineLevel="0" collapsed="false">
      <c r="A159" s="8" t="s">
        <v>4763</v>
      </c>
      <c r="B159" s="8" t="s">
        <v>4441</v>
      </c>
      <c r="C159" s="8" t="s">
        <v>53</v>
      </c>
      <c r="D159" s="32" t="n">
        <v>45931</v>
      </c>
      <c r="E159" s="8" t="n">
        <v>7</v>
      </c>
      <c r="F159" s="8" t="str">
        <f aca="false">IF(E159&gt;=9,"Promoter",IF(E159&gt;=7,"Passive","Detractor"))</f>
        <v>Passive</v>
      </c>
    </row>
    <row r="160" customFormat="false" ht="15" hidden="false" customHeight="false" outlineLevel="0" collapsed="false">
      <c r="A160" s="8" t="s">
        <v>4764</v>
      </c>
      <c r="B160" s="8" t="s">
        <v>4428</v>
      </c>
      <c r="C160" s="8" t="s">
        <v>53</v>
      </c>
      <c r="D160" s="32" t="n">
        <v>45931</v>
      </c>
      <c r="E160" s="8" t="n">
        <v>4</v>
      </c>
      <c r="F160" s="8" t="str">
        <f aca="false">IF(E160&gt;=9,"Promoter",IF(E160&gt;=7,"Passive","Detractor"))</f>
        <v>Detractor</v>
      </c>
    </row>
    <row r="161" customFormat="false" ht="15" hidden="false" customHeight="false" outlineLevel="0" collapsed="false">
      <c r="A161" s="8" t="s">
        <v>4765</v>
      </c>
      <c r="B161" s="8" t="s">
        <v>951</v>
      </c>
      <c r="C161" s="8" t="s">
        <v>53</v>
      </c>
      <c r="D161" s="32" t="n">
        <v>45931</v>
      </c>
      <c r="E161" s="8" t="n">
        <v>7</v>
      </c>
      <c r="F161" s="8" t="str">
        <f aca="false">IF(E161&gt;=9,"Promoter",IF(E161&gt;=7,"Passive","Detractor"))</f>
        <v>Passive</v>
      </c>
    </row>
    <row r="162" customFormat="false" ht="15" hidden="false" customHeight="false" outlineLevel="0" collapsed="false">
      <c r="A162" s="8" t="s">
        <v>4766</v>
      </c>
      <c r="B162" s="8" t="s">
        <v>1501</v>
      </c>
      <c r="C162" s="8" t="s">
        <v>53</v>
      </c>
      <c r="D162" s="32" t="n">
        <v>45931</v>
      </c>
      <c r="E162" s="8" t="n">
        <v>9</v>
      </c>
      <c r="F162" s="8" t="str">
        <f aca="false">IF(E162&gt;=9,"Promoter",IF(E162&gt;=7,"Passive","Detractor"))</f>
        <v>Promoter</v>
      </c>
    </row>
    <row r="163" customFormat="false" ht="15" hidden="false" customHeight="false" outlineLevel="0" collapsed="false">
      <c r="A163" s="8" t="s">
        <v>4767</v>
      </c>
      <c r="B163" s="8" t="s">
        <v>939</v>
      </c>
      <c r="C163" s="8" t="s">
        <v>53</v>
      </c>
      <c r="D163" s="32" t="n">
        <v>45931</v>
      </c>
      <c r="E163" s="8" t="n">
        <v>7</v>
      </c>
      <c r="F163" s="8" t="str">
        <f aca="false">IF(E163&gt;=9,"Promoter",IF(E163&gt;=7,"Passive","Detractor"))</f>
        <v>Passive</v>
      </c>
    </row>
    <row r="164" customFormat="false" ht="15" hidden="false" customHeight="false" outlineLevel="0" collapsed="false">
      <c r="A164" s="8" t="s">
        <v>4768</v>
      </c>
      <c r="B164" s="8" t="s">
        <v>2934</v>
      </c>
      <c r="C164" s="8" t="s">
        <v>51</v>
      </c>
      <c r="D164" s="32" t="n">
        <v>45931</v>
      </c>
      <c r="E164" s="8" t="n">
        <v>10</v>
      </c>
      <c r="F164" s="8" t="str">
        <f aca="false">IF(E164&gt;=9,"Promoter",IF(E164&gt;=7,"Passive","Detractor"))</f>
        <v>Promoter</v>
      </c>
    </row>
    <row r="165" customFormat="false" ht="15" hidden="false" customHeight="false" outlineLevel="0" collapsed="false">
      <c r="A165" s="8" t="s">
        <v>4769</v>
      </c>
      <c r="B165" s="8" t="s">
        <v>1839</v>
      </c>
      <c r="C165" s="8" t="s">
        <v>51</v>
      </c>
      <c r="D165" s="32" t="n">
        <v>45931</v>
      </c>
      <c r="E165" s="8" t="n">
        <v>10</v>
      </c>
      <c r="F165" s="8" t="str">
        <f aca="false">IF(E165&gt;=9,"Promoter",IF(E165&gt;=7,"Passive","Detractor"))</f>
        <v>Promoter</v>
      </c>
    </row>
    <row r="166" customFormat="false" ht="15" hidden="false" customHeight="false" outlineLevel="0" collapsed="false">
      <c r="A166" s="8" t="s">
        <v>4770</v>
      </c>
      <c r="B166" s="8" t="s">
        <v>445</v>
      </c>
      <c r="C166" s="8" t="s">
        <v>55</v>
      </c>
      <c r="D166" s="32" t="n">
        <v>45931</v>
      </c>
      <c r="E166" s="8" t="n">
        <v>9</v>
      </c>
      <c r="F166" s="8" t="str">
        <f aca="false">IF(E166&gt;=9,"Promoter",IF(E166&gt;=7,"Passive","Detractor"))</f>
        <v>Promoter</v>
      </c>
    </row>
    <row r="167" customFormat="false" ht="15" hidden="false" customHeight="false" outlineLevel="0" collapsed="false">
      <c r="A167" s="8" t="s">
        <v>4771</v>
      </c>
      <c r="B167" s="8" t="s">
        <v>3062</v>
      </c>
      <c r="C167" s="8" t="s">
        <v>51</v>
      </c>
      <c r="D167" s="32" t="n">
        <v>45931</v>
      </c>
      <c r="E167" s="8" t="n">
        <v>9</v>
      </c>
      <c r="F167" s="8" t="str">
        <f aca="false">IF(E167&gt;=9,"Promoter",IF(E167&gt;=7,"Passive","Detractor"))</f>
        <v>Promoter</v>
      </c>
    </row>
    <row r="168" customFormat="false" ht="15" hidden="false" customHeight="false" outlineLevel="0" collapsed="false">
      <c r="A168" s="8" t="s">
        <v>4772</v>
      </c>
      <c r="B168" s="8" t="s">
        <v>3670</v>
      </c>
      <c r="C168" s="8" t="s">
        <v>51</v>
      </c>
      <c r="D168" s="32" t="n">
        <v>45931</v>
      </c>
      <c r="E168" s="8" t="n">
        <v>8</v>
      </c>
      <c r="F168" s="8" t="str">
        <f aca="false">IF(E168&gt;=9,"Promoter",IF(E168&gt;=7,"Passive","Detractor"))</f>
        <v>Passive</v>
      </c>
    </row>
    <row r="169" customFormat="false" ht="15" hidden="false" customHeight="false" outlineLevel="0" collapsed="false">
      <c r="A169" s="8" t="s">
        <v>4773</v>
      </c>
      <c r="B169" s="8" t="s">
        <v>3168</v>
      </c>
      <c r="C169" s="8" t="s">
        <v>51</v>
      </c>
      <c r="D169" s="32" t="n">
        <v>45931</v>
      </c>
      <c r="E169" s="8" t="n">
        <v>8</v>
      </c>
      <c r="F169" s="8" t="str">
        <f aca="false">IF(E169&gt;=9,"Promoter",IF(E169&gt;=7,"Passive","Detractor"))</f>
        <v>Passive</v>
      </c>
    </row>
    <row r="170" customFormat="false" ht="15" hidden="false" customHeight="false" outlineLevel="0" collapsed="false">
      <c r="A170" s="8" t="s">
        <v>4774</v>
      </c>
      <c r="B170" s="8" t="s">
        <v>2340</v>
      </c>
      <c r="C170" s="8" t="s">
        <v>51</v>
      </c>
      <c r="D170" s="32" t="n">
        <v>45931</v>
      </c>
      <c r="E170" s="8" t="n">
        <v>10</v>
      </c>
      <c r="F170" s="8" t="str">
        <f aca="false">IF(E170&gt;=9,"Promoter",IF(E170&gt;=7,"Passive","Detractor"))</f>
        <v>Promoter</v>
      </c>
    </row>
    <row r="171" customFormat="false" ht="15" hidden="false" customHeight="false" outlineLevel="0" collapsed="false">
      <c r="A171" s="8" t="s">
        <v>4775</v>
      </c>
      <c r="B171" s="8" t="s">
        <v>3614</v>
      </c>
      <c r="C171" s="8" t="s">
        <v>51</v>
      </c>
      <c r="D171" s="32" t="n">
        <v>45931</v>
      </c>
      <c r="E171" s="8" t="n">
        <v>10</v>
      </c>
      <c r="F171" s="8" t="str">
        <f aca="false">IF(E171&gt;=9,"Promoter",IF(E171&gt;=7,"Passive","Detractor"))</f>
        <v>Promoter</v>
      </c>
    </row>
    <row r="172" customFormat="false" ht="15" hidden="false" customHeight="false" outlineLevel="0" collapsed="false">
      <c r="A172" s="8" t="s">
        <v>4776</v>
      </c>
      <c r="B172" s="8" t="s">
        <v>1365</v>
      </c>
      <c r="C172" s="8" t="s">
        <v>53</v>
      </c>
      <c r="D172" s="32" t="n">
        <v>45931</v>
      </c>
      <c r="E172" s="8" t="n">
        <v>9</v>
      </c>
      <c r="F172" s="8" t="str">
        <f aca="false">IF(E172&gt;=9,"Promoter",IF(E172&gt;=7,"Passive","Detractor"))</f>
        <v>Promoter</v>
      </c>
    </row>
    <row r="173" customFormat="false" ht="15" hidden="false" customHeight="false" outlineLevel="0" collapsed="false">
      <c r="A173" s="8" t="s">
        <v>4777</v>
      </c>
      <c r="B173" s="8" t="s">
        <v>3360</v>
      </c>
      <c r="C173" s="8" t="s">
        <v>51</v>
      </c>
      <c r="D173" s="32" t="n">
        <v>45931</v>
      </c>
      <c r="E173" s="8" t="n">
        <v>9</v>
      </c>
      <c r="F173" s="8" t="str">
        <f aca="false">IF(E173&gt;=9,"Promoter",IF(E173&gt;=7,"Passive","Detractor"))</f>
        <v>Promoter</v>
      </c>
    </row>
    <row r="174" customFormat="false" ht="15" hidden="false" customHeight="false" outlineLevel="0" collapsed="false">
      <c r="A174" s="8" t="s">
        <v>4778</v>
      </c>
      <c r="B174" s="8" t="s">
        <v>3816</v>
      </c>
      <c r="C174" s="8" t="s">
        <v>51</v>
      </c>
      <c r="D174" s="32" t="n">
        <v>45931</v>
      </c>
      <c r="E174" s="8" t="n">
        <v>8</v>
      </c>
      <c r="F174" s="8" t="str">
        <f aca="false">IF(E174&gt;=9,"Promoter",IF(E174&gt;=7,"Passive","Detractor"))</f>
        <v>Passive</v>
      </c>
    </row>
    <row r="175" customFormat="false" ht="15" hidden="false" customHeight="false" outlineLevel="0" collapsed="false">
      <c r="A175" s="8" t="s">
        <v>4779</v>
      </c>
      <c r="B175" s="8" t="s">
        <v>2862</v>
      </c>
      <c r="C175" s="8" t="s">
        <v>51</v>
      </c>
      <c r="D175" s="32" t="n">
        <v>45931</v>
      </c>
      <c r="E175" s="8" t="n">
        <v>5</v>
      </c>
      <c r="F175" s="8" t="str">
        <f aca="false">IF(E175&gt;=9,"Promoter",IF(E175&gt;=7,"Passive","Detractor"))</f>
        <v>Detractor</v>
      </c>
    </row>
    <row r="176" customFormat="false" ht="15" hidden="false" customHeight="false" outlineLevel="0" collapsed="false">
      <c r="A176" s="8" t="s">
        <v>4780</v>
      </c>
      <c r="B176" s="8" t="s">
        <v>761</v>
      </c>
      <c r="C176" s="8" t="s">
        <v>55</v>
      </c>
      <c r="D176" s="32" t="n">
        <v>45931</v>
      </c>
      <c r="E176" s="8" t="n">
        <v>5</v>
      </c>
      <c r="F176" s="8" t="str">
        <f aca="false">IF(E176&gt;=9,"Promoter",IF(E176&gt;=7,"Passive","Detractor"))</f>
        <v>Detractor</v>
      </c>
    </row>
    <row r="177" customFormat="false" ht="15" hidden="false" customHeight="false" outlineLevel="0" collapsed="false">
      <c r="A177" s="8" t="s">
        <v>4781</v>
      </c>
      <c r="B177" s="8" t="s">
        <v>221</v>
      </c>
      <c r="C177" s="8" t="s">
        <v>55</v>
      </c>
      <c r="D177" s="32" t="n">
        <v>45931</v>
      </c>
      <c r="E177" s="8" t="n">
        <v>9</v>
      </c>
      <c r="F177" s="8" t="str">
        <f aca="false">IF(E177&gt;=9,"Promoter",IF(E177&gt;=7,"Passive","Detractor"))</f>
        <v>Promoter</v>
      </c>
    </row>
    <row r="178" customFormat="false" ht="15" hidden="false" customHeight="false" outlineLevel="0" collapsed="false">
      <c r="A178" s="8" t="s">
        <v>4782</v>
      </c>
      <c r="B178" s="8" t="s">
        <v>729</v>
      </c>
      <c r="C178" s="8" t="s">
        <v>53</v>
      </c>
      <c r="D178" s="32" t="n">
        <v>45931</v>
      </c>
      <c r="E178" s="8" t="n">
        <v>10</v>
      </c>
      <c r="F178" s="8" t="str">
        <f aca="false">IF(E178&gt;=9,"Promoter",IF(E178&gt;=7,"Passive","Detractor"))</f>
        <v>Promoter</v>
      </c>
    </row>
    <row r="179" customFormat="false" ht="15" hidden="false" customHeight="false" outlineLevel="0" collapsed="false">
      <c r="A179" s="8" t="s">
        <v>4783</v>
      </c>
      <c r="B179" s="8" t="s">
        <v>3298</v>
      </c>
      <c r="C179" s="8" t="s">
        <v>51</v>
      </c>
      <c r="D179" s="32" t="n">
        <v>45931</v>
      </c>
      <c r="E179" s="8" t="n">
        <v>8</v>
      </c>
      <c r="F179" s="8" t="str">
        <f aca="false">IF(E179&gt;=9,"Promoter",IF(E179&gt;=7,"Passive","Detractor"))</f>
        <v>Passive</v>
      </c>
    </row>
    <row r="180" customFormat="false" ht="15" hidden="false" customHeight="false" outlineLevel="0" collapsed="false">
      <c r="A180" s="8" t="s">
        <v>4784</v>
      </c>
      <c r="B180" s="8" t="s">
        <v>4062</v>
      </c>
      <c r="C180" s="8" t="s">
        <v>51</v>
      </c>
      <c r="D180" s="32" t="n">
        <v>45931</v>
      </c>
      <c r="E180" s="8" t="n">
        <v>9</v>
      </c>
      <c r="F180" s="8" t="str">
        <f aca="false">IF(E180&gt;=9,"Promoter",IF(E180&gt;=7,"Passive","Detractor"))</f>
        <v>Promoter</v>
      </c>
    </row>
    <row r="181" customFormat="false" ht="15" hidden="false" customHeight="false" outlineLevel="0" collapsed="false">
      <c r="A181" s="8" t="s">
        <v>4785</v>
      </c>
      <c r="B181" s="8" t="s">
        <v>1639</v>
      </c>
      <c r="C181" s="8" t="s">
        <v>53</v>
      </c>
      <c r="D181" s="32" t="n">
        <v>45931</v>
      </c>
      <c r="E181" s="8" t="n">
        <v>10</v>
      </c>
      <c r="F181" s="8" t="str">
        <f aca="false">IF(E181&gt;=9,"Promoter",IF(E181&gt;=7,"Passive","Detractor"))</f>
        <v>Promoter</v>
      </c>
    </row>
    <row r="182" customFormat="false" ht="15" hidden="false" customHeight="false" outlineLevel="0" collapsed="false">
      <c r="A182" s="8" t="s">
        <v>4786</v>
      </c>
      <c r="B182" s="8" t="s">
        <v>4571</v>
      </c>
      <c r="C182" s="8" t="s">
        <v>51</v>
      </c>
      <c r="D182" s="32" t="n">
        <v>45931</v>
      </c>
      <c r="E182" s="8" t="n">
        <v>3</v>
      </c>
      <c r="F182" s="8" t="str">
        <f aca="false">IF(E182&gt;=9,"Promoter",IF(E182&gt;=7,"Passive","Detractor"))</f>
        <v>Detractor</v>
      </c>
    </row>
    <row r="183" customFormat="false" ht="15" hidden="false" customHeight="false" outlineLevel="0" collapsed="false">
      <c r="A183" s="8" t="s">
        <v>4787</v>
      </c>
      <c r="B183" s="8" t="s">
        <v>312</v>
      </c>
      <c r="C183" s="8" t="s">
        <v>55</v>
      </c>
      <c r="D183" s="32" t="n">
        <v>45932</v>
      </c>
      <c r="E183" s="8" t="n">
        <v>10</v>
      </c>
      <c r="F183" s="8" t="str">
        <f aca="false">IF(E183&gt;=9,"Promoter",IF(E183&gt;=7,"Passive","Detractor"))</f>
        <v>Promoter</v>
      </c>
    </row>
    <row r="184" customFormat="false" ht="15" hidden="false" customHeight="false" outlineLevel="0" collapsed="false">
      <c r="A184" s="8" t="s">
        <v>4788</v>
      </c>
      <c r="B184" s="8" t="s">
        <v>1707</v>
      </c>
      <c r="C184" s="8" t="s">
        <v>53</v>
      </c>
      <c r="D184" s="32" t="n">
        <v>45932</v>
      </c>
      <c r="E184" s="8" t="n">
        <v>10</v>
      </c>
      <c r="F184" s="8" t="str">
        <f aca="false">IF(E184&gt;=9,"Promoter",IF(E184&gt;=7,"Passive","Detractor"))</f>
        <v>Promoter</v>
      </c>
    </row>
    <row r="185" customFormat="false" ht="15" hidden="false" customHeight="false" outlineLevel="0" collapsed="false">
      <c r="A185" s="8" t="s">
        <v>4789</v>
      </c>
      <c r="B185" s="8" t="s">
        <v>609</v>
      </c>
      <c r="C185" s="8" t="s">
        <v>53</v>
      </c>
      <c r="D185" s="32" t="n">
        <v>45932</v>
      </c>
      <c r="E185" s="8" t="n">
        <v>8</v>
      </c>
      <c r="F185" s="8" t="str">
        <f aca="false">IF(E185&gt;=9,"Promoter",IF(E185&gt;=7,"Passive","Detractor"))</f>
        <v>Passive</v>
      </c>
    </row>
    <row r="186" customFormat="false" ht="15" hidden="false" customHeight="false" outlineLevel="0" collapsed="false">
      <c r="A186" s="8" t="s">
        <v>4790</v>
      </c>
      <c r="B186" s="8" t="s">
        <v>3048</v>
      </c>
      <c r="C186" s="8" t="s">
        <v>51</v>
      </c>
      <c r="D186" s="32" t="n">
        <v>45932</v>
      </c>
      <c r="E186" s="8" t="n">
        <v>10</v>
      </c>
      <c r="F186" s="8" t="str">
        <f aca="false">IF(E186&gt;=9,"Promoter",IF(E186&gt;=7,"Passive","Detractor"))</f>
        <v>Promoter</v>
      </c>
    </row>
    <row r="187" customFormat="false" ht="15" hidden="false" customHeight="false" outlineLevel="0" collapsed="false">
      <c r="A187" s="8" t="s">
        <v>4791</v>
      </c>
      <c r="B187" s="8" t="s">
        <v>4214</v>
      </c>
      <c r="C187" s="8" t="s">
        <v>51</v>
      </c>
      <c r="D187" s="32" t="n">
        <v>45932</v>
      </c>
      <c r="E187" s="8" t="n">
        <v>10</v>
      </c>
      <c r="F187" s="8" t="str">
        <f aca="false">IF(E187&gt;=9,"Promoter",IF(E187&gt;=7,"Passive","Detractor"))</f>
        <v>Promoter</v>
      </c>
    </row>
    <row r="188" customFormat="false" ht="15" hidden="false" customHeight="false" outlineLevel="0" collapsed="false">
      <c r="A188" s="8" t="s">
        <v>4792</v>
      </c>
      <c r="B188" s="8" t="s">
        <v>4586</v>
      </c>
      <c r="C188" s="8" t="s">
        <v>51</v>
      </c>
      <c r="D188" s="32" t="n">
        <v>45932</v>
      </c>
      <c r="E188" s="8" t="n">
        <v>10</v>
      </c>
      <c r="F188" s="8" t="str">
        <f aca="false">IF(E188&gt;=9,"Promoter",IF(E188&gt;=7,"Passive","Detractor"))</f>
        <v>Promoter</v>
      </c>
    </row>
    <row r="189" customFormat="false" ht="15" hidden="false" customHeight="false" outlineLevel="0" collapsed="false">
      <c r="A189" s="8" t="s">
        <v>4793</v>
      </c>
      <c r="B189" s="8" t="s">
        <v>3550</v>
      </c>
      <c r="C189" s="8" t="s">
        <v>51</v>
      </c>
      <c r="D189" s="32" t="n">
        <v>45932</v>
      </c>
      <c r="E189" s="8" t="n">
        <v>7</v>
      </c>
      <c r="F189" s="8" t="str">
        <f aca="false">IF(E189&gt;=9,"Promoter",IF(E189&gt;=7,"Passive","Detractor"))</f>
        <v>Passive</v>
      </c>
    </row>
    <row r="190" customFormat="false" ht="15" hidden="false" customHeight="false" outlineLevel="0" collapsed="false">
      <c r="A190" s="8" t="s">
        <v>4794</v>
      </c>
      <c r="B190" s="8" t="s">
        <v>1801</v>
      </c>
      <c r="C190" s="8" t="s">
        <v>51</v>
      </c>
      <c r="D190" s="32" t="n">
        <v>45932</v>
      </c>
      <c r="E190" s="8" t="n">
        <v>9</v>
      </c>
      <c r="F190" s="8" t="str">
        <f aca="false">IF(E190&gt;=9,"Promoter",IF(E190&gt;=7,"Passive","Detractor"))</f>
        <v>Promoter</v>
      </c>
    </row>
    <row r="191" customFormat="false" ht="15" hidden="false" customHeight="false" outlineLevel="0" collapsed="false">
      <c r="A191" s="8" t="s">
        <v>4795</v>
      </c>
      <c r="B191" s="8" t="s">
        <v>4451</v>
      </c>
      <c r="C191" s="8" t="s">
        <v>53</v>
      </c>
      <c r="D191" s="32" t="n">
        <v>45932</v>
      </c>
      <c r="E191" s="8" t="n">
        <v>10</v>
      </c>
      <c r="F191" s="8" t="str">
        <f aca="false">IF(E191&gt;=9,"Promoter",IF(E191&gt;=7,"Passive","Detractor"))</f>
        <v>Promoter</v>
      </c>
    </row>
    <row r="192" customFormat="false" ht="15" hidden="false" customHeight="false" outlineLevel="0" collapsed="false">
      <c r="A192" s="8" t="s">
        <v>4796</v>
      </c>
      <c r="B192" s="8" t="s">
        <v>2376</v>
      </c>
      <c r="C192" s="8" t="s">
        <v>51</v>
      </c>
      <c r="D192" s="32" t="n">
        <v>45932</v>
      </c>
      <c r="E192" s="8" t="n">
        <v>6</v>
      </c>
      <c r="F192" s="8" t="str">
        <f aca="false">IF(E192&gt;=9,"Promoter",IF(E192&gt;=7,"Passive","Detractor"))</f>
        <v>Detractor</v>
      </c>
    </row>
    <row r="193" customFormat="false" ht="15" hidden="false" customHeight="false" outlineLevel="0" collapsed="false">
      <c r="A193" s="8" t="s">
        <v>4797</v>
      </c>
      <c r="B193" s="8" t="s">
        <v>1601</v>
      </c>
      <c r="C193" s="8" t="s">
        <v>53</v>
      </c>
      <c r="D193" s="32" t="n">
        <v>45932</v>
      </c>
      <c r="E193" s="8" t="n">
        <v>8</v>
      </c>
      <c r="F193" s="8" t="str">
        <f aca="false">IF(E193&gt;=9,"Promoter",IF(E193&gt;=7,"Passive","Detractor"))</f>
        <v>Passive</v>
      </c>
    </row>
    <row r="194" customFormat="false" ht="15" hidden="false" customHeight="false" outlineLevel="0" collapsed="false">
      <c r="A194" s="8" t="s">
        <v>4798</v>
      </c>
      <c r="B194" s="8" t="s">
        <v>2746</v>
      </c>
      <c r="C194" s="8" t="s">
        <v>51</v>
      </c>
      <c r="D194" s="32" t="n">
        <v>45932</v>
      </c>
      <c r="E194" s="8" t="n">
        <v>8</v>
      </c>
      <c r="F194" s="8" t="str">
        <f aca="false">IF(E194&gt;=9,"Promoter",IF(E194&gt;=7,"Passive","Detractor"))</f>
        <v>Passive</v>
      </c>
    </row>
    <row r="195" customFormat="false" ht="15" hidden="false" customHeight="false" outlineLevel="0" collapsed="false">
      <c r="A195" s="8" t="s">
        <v>4799</v>
      </c>
      <c r="B195" s="8" t="s">
        <v>3346</v>
      </c>
      <c r="C195" s="8" t="s">
        <v>51</v>
      </c>
      <c r="D195" s="32" t="n">
        <v>45932</v>
      </c>
      <c r="E195" s="8" t="n">
        <v>9</v>
      </c>
      <c r="F195" s="8" t="str">
        <f aca="false">IF(E195&gt;=9,"Promoter",IF(E195&gt;=7,"Passive","Detractor"))</f>
        <v>Promoter</v>
      </c>
    </row>
    <row r="196" customFormat="false" ht="15" hidden="false" customHeight="false" outlineLevel="0" collapsed="false">
      <c r="A196" s="8" t="s">
        <v>4800</v>
      </c>
      <c r="B196" s="8" t="s">
        <v>3668</v>
      </c>
      <c r="C196" s="8" t="s">
        <v>51</v>
      </c>
      <c r="D196" s="32" t="n">
        <v>45932</v>
      </c>
      <c r="E196" s="8" t="n">
        <v>6</v>
      </c>
      <c r="F196" s="8" t="str">
        <f aca="false">IF(E196&gt;=9,"Promoter",IF(E196&gt;=7,"Passive","Detractor"))</f>
        <v>Detractor</v>
      </c>
    </row>
    <row r="197" customFormat="false" ht="15" hidden="false" customHeight="false" outlineLevel="0" collapsed="false">
      <c r="A197" s="8" t="s">
        <v>4801</v>
      </c>
      <c r="B197" s="8" t="s">
        <v>4484</v>
      </c>
      <c r="C197" s="8" t="s">
        <v>51</v>
      </c>
      <c r="D197" s="32" t="n">
        <v>45932</v>
      </c>
      <c r="E197" s="8" t="n">
        <v>8</v>
      </c>
      <c r="F197" s="8" t="str">
        <f aca="false">IF(E197&gt;=9,"Promoter",IF(E197&gt;=7,"Passive","Detractor"))</f>
        <v>Passive</v>
      </c>
    </row>
    <row r="198" customFormat="false" ht="15" hidden="false" customHeight="false" outlineLevel="0" collapsed="false">
      <c r="A198" s="8" t="s">
        <v>4802</v>
      </c>
      <c r="B198" s="8" t="s">
        <v>4455</v>
      </c>
      <c r="C198" s="8" t="s">
        <v>53</v>
      </c>
      <c r="D198" s="32" t="n">
        <v>45932</v>
      </c>
      <c r="E198" s="8" t="n">
        <v>8</v>
      </c>
      <c r="F198" s="8" t="str">
        <f aca="false">IF(E198&gt;=9,"Promoter",IF(E198&gt;=7,"Passive","Detractor"))</f>
        <v>Passive</v>
      </c>
    </row>
    <row r="199" customFormat="false" ht="15" hidden="false" customHeight="false" outlineLevel="0" collapsed="false">
      <c r="A199" s="8" t="s">
        <v>4803</v>
      </c>
      <c r="B199" s="8" t="s">
        <v>2262</v>
      </c>
      <c r="C199" s="8" t="s">
        <v>51</v>
      </c>
      <c r="D199" s="32" t="n">
        <v>45932</v>
      </c>
      <c r="E199" s="8" t="n">
        <v>9</v>
      </c>
      <c r="F199" s="8" t="str">
        <f aca="false">IF(E199&gt;=9,"Promoter",IF(E199&gt;=7,"Passive","Detractor"))</f>
        <v>Promoter</v>
      </c>
    </row>
    <row r="200" customFormat="false" ht="15" hidden="false" customHeight="false" outlineLevel="0" collapsed="false">
      <c r="A200" s="8" t="s">
        <v>4804</v>
      </c>
      <c r="B200" s="8" t="s">
        <v>4322</v>
      </c>
      <c r="C200" s="8" t="s">
        <v>51</v>
      </c>
      <c r="D200" s="32" t="n">
        <v>45932</v>
      </c>
      <c r="E200" s="8" t="n">
        <v>5</v>
      </c>
      <c r="F200" s="8" t="str">
        <f aca="false">IF(E200&gt;=9,"Promoter",IF(E200&gt;=7,"Passive","Detractor"))</f>
        <v>Detractor</v>
      </c>
    </row>
    <row r="201" customFormat="false" ht="15" hidden="false" customHeight="false" outlineLevel="0" collapsed="false">
      <c r="A201" s="8" t="s">
        <v>4805</v>
      </c>
      <c r="B201" s="8" t="s">
        <v>2544</v>
      </c>
      <c r="C201" s="8" t="s">
        <v>51</v>
      </c>
      <c r="D201" s="32" t="n">
        <v>45932</v>
      </c>
      <c r="E201" s="8" t="n">
        <v>8</v>
      </c>
      <c r="F201" s="8" t="str">
        <f aca="false">IF(E201&gt;=9,"Promoter",IF(E201&gt;=7,"Passive","Detractor"))</f>
        <v>Passive</v>
      </c>
    </row>
    <row r="202" customFormat="false" ht="15" hidden="false" customHeight="false" outlineLevel="0" collapsed="false">
      <c r="A202" s="8" t="s">
        <v>4806</v>
      </c>
      <c r="B202" s="8" t="s">
        <v>1337</v>
      </c>
      <c r="C202" s="8" t="s">
        <v>53</v>
      </c>
      <c r="D202" s="32" t="n">
        <v>45932</v>
      </c>
      <c r="E202" s="8" t="n">
        <v>6</v>
      </c>
      <c r="F202" s="8" t="str">
        <f aca="false">IF(E202&gt;=9,"Promoter",IF(E202&gt;=7,"Passive","Detractor"))</f>
        <v>Detractor</v>
      </c>
    </row>
    <row r="203" customFormat="false" ht="15" hidden="false" customHeight="false" outlineLevel="0" collapsed="false">
      <c r="A203" s="8" t="s">
        <v>4807</v>
      </c>
      <c r="B203" s="8" t="s">
        <v>4405</v>
      </c>
      <c r="C203" s="8" t="s">
        <v>55</v>
      </c>
      <c r="D203" s="32" t="n">
        <v>45932</v>
      </c>
      <c r="E203" s="8" t="n">
        <v>3</v>
      </c>
      <c r="F203" s="8" t="str">
        <f aca="false">IF(E203&gt;=9,"Promoter",IF(E203&gt;=7,"Passive","Detractor"))</f>
        <v>Detractor</v>
      </c>
    </row>
    <row r="204" customFormat="false" ht="15" hidden="false" customHeight="false" outlineLevel="0" collapsed="false">
      <c r="A204" s="8" t="s">
        <v>4808</v>
      </c>
      <c r="B204" s="8" t="s">
        <v>4372</v>
      </c>
      <c r="C204" s="8" t="s">
        <v>51</v>
      </c>
      <c r="D204" s="32" t="n">
        <v>45932</v>
      </c>
      <c r="E204" s="8" t="n">
        <v>7</v>
      </c>
      <c r="F204" s="8" t="str">
        <f aca="false">IF(E204&gt;=9,"Promoter",IF(E204&gt;=7,"Passive","Detractor"))</f>
        <v>Passive</v>
      </c>
    </row>
    <row r="205" customFormat="false" ht="15" hidden="false" customHeight="false" outlineLevel="0" collapsed="false">
      <c r="A205" s="8" t="s">
        <v>4809</v>
      </c>
      <c r="B205" s="8" t="s">
        <v>2478</v>
      </c>
      <c r="C205" s="8" t="s">
        <v>51</v>
      </c>
      <c r="D205" s="32" t="n">
        <v>45932</v>
      </c>
      <c r="E205" s="8" t="n">
        <v>10</v>
      </c>
      <c r="F205" s="8" t="str">
        <f aca="false">IF(E205&gt;=9,"Promoter",IF(E205&gt;=7,"Passive","Detractor"))</f>
        <v>Promoter</v>
      </c>
    </row>
    <row r="206" customFormat="false" ht="15" hidden="false" customHeight="false" outlineLevel="0" collapsed="false">
      <c r="A206" s="8" t="s">
        <v>4810</v>
      </c>
      <c r="B206" s="8" t="s">
        <v>3900</v>
      </c>
      <c r="C206" s="8" t="s">
        <v>51</v>
      </c>
      <c r="D206" s="32" t="n">
        <v>45933</v>
      </c>
      <c r="E206" s="8" t="n">
        <v>7</v>
      </c>
      <c r="F206" s="8" t="str">
        <f aca="false">IF(E206&gt;=9,"Promoter",IF(E206&gt;=7,"Passive","Detractor"))</f>
        <v>Passive</v>
      </c>
    </row>
    <row r="207" customFormat="false" ht="15" hidden="false" customHeight="false" outlineLevel="0" collapsed="false">
      <c r="A207" s="8" t="s">
        <v>4811</v>
      </c>
      <c r="B207" s="8" t="s">
        <v>2005</v>
      </c>
      <c r="C207" s="8" t="s">
        <v>51</v>
      </c>
      <c r="D207" s="32" t="n">
        <v>45933</v>
      </c>
      <c r="E207" s="8" t="n">
        <v>9</v>
      </c>
      <c r="F207" s="8" t="str">
        <f aca="false">IF(E207&gt;=9,"Promoter",IF(E207&gt;=7,"Passive","Detractor"))</f>
        <v>Promoter</v>
      </c>
    </row>
    <row r="208" customFormat="false" ht="15" hidden="false" customHeight="false" outlineLevel="0" collapsed="false">
      <c r="A208" s="8" t="s">
        <v>4812</v>
      </c>
      <c r="B208" s="8" t="s">
        <v>2590</v>
      </c>
      <c r="C208" s="8" t="s">
        <v>51</v>
      </c>
      <c r="D208" s="32" t="n">
        <v>45933</v>
      </c>
      <c r="E208" s="8" t="n">
        <v>8</v>
      </c>
      <c r="F208" s="8" t="str">
        <f aca="false">IF(E208&gt;=9,"Promoter",IF(E208&gt;=7,"Passive","Detractor"))</f>
        <v>Passive</v>
      </c>
    </row>
    <row r="209" customFormat="false" ht="15" hidden="false" customHeight="false" outlineLevel="0" collapsed="false">
      <c r="A209" s="8" t="s">
        <v>4813</v>
      </c>
      <c r="B209" s="8" t="s">
        <v>4591</v>
      </c>
      <c r="C209" s="8" t="s">
        <v>51</v>
      </c>
      <c r="D209" s="32" t="n">
        <v>45933</v>
      </c>
      <c r="E209" s="8" t="n">
        <v>7</v>
      </c>
      <c r="F209" s="8" t="str">
        <f aca="false">IF(E209&gt;=9,"Promoter",IF(E209&gt;=7,"Passive","Detractor"))</f>
        <v>Passive</v>
      </c>
    </row>
    <row r="210" customFormat="false" ht="15" hidden="false" customHeight="false" outlineLevel="0" collapsed="false">
      <c r="A210" s="8" t="s">
        <v>4814</v>
      </c>
      <c r="B210" s="8" t="s">
        <v>675</v>
      </c>
      <c r="C210" s="8" t="s">
        <v>53</v>
      </c>
      <c r="D210" s="32" t="n">
        <v>45933</v>
      </c>
      <c r="E210" s="8" t="n">
        <v>7</v>
      </c>
      <c r="F210" s="8" t="str">
        <f aca="false">IF(E210&gt;=9,"Promoter",IF(E210&gt;=7,"Passive","Detractor"))</f>
        <v>Passive</v>
      </c>
    </row>
    <row r="211" customFormat="false" ht="15" hidden="false" customHeight="false" outlineLevel="0" collapsed="false">
      <c r="A211" s="8" t="s">
        <v>4815</v>
      </c>
      <c r="B211" s="8" t="s">
        <v>4028</v>
      </c>
      <c r="C211" s="8" t="s">
        <v>51</v>
      </c>
      <c r="D211" s="32" t="n">
        <v>45933</v>
      </c>
      <c r="E211" s="8" t="n">
        <v>8</v>
      </c>
      <c r="F211" s="8" t="str">
        <f aca="false">IF(E211&gt;=9,"Promoter",IF(E211&gt;=7,"Passive","Detractor"))</f>
        <v>Passive</v>
      </c>
    </row>
    <row r="212" customFormat="false" ht="15" hidden="false" customHeight="false" outlineLevel="0" collapsed="false">
      <c r="A212" s="8" t="s">
        <v>4816</v>
      </c>
      <c r="B212" s="8" t="s">
        <v>1683</v>
      </c>
      <c r="C212" s="8" t="s">
        <v>53</v>
      </c>
      <c r="D212" s="32" t="n">
        <v>45933</v>
      </c>
      <c r="E212" s="8" t="n">
        <v>6</v>
      </c>
      <c r="F212" s="8" t="str">
        <f aca="false">IF(E212&gt;=9,"Promoter",IF(E212&gt;=7,"Passive","Detractor"))</f>
        <v>Detractor</v>
      </c>
    </row>
    <row r="213" customFormat="false" ht="15" hidden="false" customHeight="false" outlineLevel="0" collapsed="false">
      <c r="A213" s="8" t="s">
        <v>4817</v>
      </c>
      <c r="B213" s="8" t="s">
        <v>2822</v>
      </c>
      <c r="C213" s="8" t="s">
        <v>51</v>
      </c>
      <c r="D213" s="32" t="n">
        <v>45933</v>
      </c>
      <c r="E213" s="8" t="n">
        <v>6</v>
      </c>
      <c r="F213" s="8" t="str">
        <f aca="false">IF(E213&gt;=9,"Promoter",IF(E213&gt;=7,"Passive","Detractor"))</f>
        <v>Detractor</v>
      </c>
    </row>
    <row r="214" customFormat="false" ht="15" hidden="false" customHeight="false" outlineLevel="0" collapsed="false">
      <c r="A214" s="8" t="s">
        <v>4818</v>
      </c>
      <c r="B214" s="8" t="s">
        <v>1223</v>
      </c>
      <c r="C214" s="8" t="s">
        <v>53</v>
      </c>
      <c r="D214" s="32" t="n">
        <v>45933</v>
      </c>
      <c r="E214" s="8" t="n">
        <v>7</v>
      </c>
      <c r="F214" s="8" t="str">
        <f aca="false">IF(E214&gt;=9,"Promoter",IF(E214&gt;=7,"Passive","Detractor"))</f>
        <v>Passive</v>
      </c>
    </row>
    <row r="215" customFormat="false" ht="15" hidden="false" customHeight="false" outlineLevel="0" collapsed="false">
      <c r="A215" s="8" t="s">
        <v>4819</v>
      </c>
      <c r="B215" s="8" t="s">
        <v>3068</v>
      </c>
      <c r="C215" s="8" t="s">
        <v>51</v>
      </c>
      <c r="D215" s="32" t="n">
        <v>45933</v>
      </c>
      <c r="E215" s="8" t="n">
        <v>9</v>
      </c>
      <c r="F215" s="8" t="str">
        <f aca="false">IF(E215&gt;=9,"Promoter",IF(E215&gt;=7,"Passive","Detractor"))</f>
        <v>Promoter</v>
      </c>
    </row>
    <row r="216" customFormat="false" ht="15" hidden="false" customHeight="false" outlineLevel="0" collapsed="false">
      <c r="A216" s="8" t="s">
        <v>4820</v>
      </c>
      <c r="B216" s="8" t="s">
        <v>1813</v>
      </c>
      <c r="C216" s="8" t="s">
        <v>51</v>
      </c>
      <c r="D216" s="32" t="n">
        <v>45933</v>
      </c>
      <c r="E216" s="8" t="n">
        <v>8</v>
      </c>
      <c r="F216" s="8" t="str">
        <f aca="false">IF(E216&gt;=9,"Promoter",IF(E216&gt;=7,"Passive","Detractor"))</f>
        <v>Passive</v>
      </c>
    </row>
    <row r="217" customFormat="false" ht="15" hidden="false" customHeight="false" outlineLevel="0" collapsed="false">
      <c r="A217" s="8" t="s">
        <v>4821</v>
      </c>
      <c r="B217" s="8" t="s">
        <v>4076</v>
      </c>
      <c r="C217" s="8" t="s">
        <v>51</v>
      </c>
      <c r="D217" s="32" t="n">
        <v>45933</v>
      </c>
      <c r="E217" s="8" t="n">
        <v>10</v>
      </c>
      <c r="F217" s="8" t="str">
        <f aca="false">IF(E217&gt;=9,"Promoter",IF(E217&gt;=7,"Passive","Detractor"))</f>
        <v>Promoter</v>
      </c>
    </row>
    <row r="218" customFormat="false" ht="15" hidden="false" customHeight="false" outlineLevel="0" collapsed="false">
      <c r="A218" s="8" t="s">
        <v>4822</v>
      </c>
      <c r="B218" s="8" t="s">
        <v>859</v>
      </c>
      <c r="C218" s="8" t="s">
        <v>53</v>
      </c>
      <c r="D218" s="32" t="n">
        <v>45933</v>
      </c>
      <c r="E218" s="8" t="n">
        <v>5</v>
      </c>
      <c r="F218" s="8" t="str">
        <f aca="false">IF(E218&gt;=9,"Promoter",IF(E218&gt;=7,"Passive","Detractor"))</f>
        <v>Detractor</v>
      </c>
    </row>
    <row r="219" customFormat="false" ht="15" hidden="false" customHeight="false" outlineLevel="0" collapsed="false">
      <c r="A219" s="8" t="s">
        <v>4823</v>
      </c>
      <c r="B219" s="8" t="s">
        <v>1297</v>
      </c>
      <c r="C219" s="8" t="s">
        <v>53</v>
      </c>
      <c r="D219" s="32" t="n">
        <v>45933</v>
      </c>
      <c r="E219" s="8" t="n">
        <v>8</v>
      </c>
      <c r="F219" s="8" t="str">
        <f aca="false">IF(E219&gt;=9,"Promoter",IF(E219&gt;=7,"Passive","Detractor"))</f>
        <v>Passive</v>
      </c>
    </row>
    <row r="220" customFormat="false" ht="15" hidden="false" customHeight="false" outlineLevel="0" collapsed="false">
      <c r="A220" s="8" t="s">
        <v>4824</v>
      </c>
      <c r="B220" s="8" t="s">
        <v>4507</v>
      </c>
      <c r="C220" s="8" t="s">
        <v>51</v>
      </c>
      <c r="D220" s="32" t="n">
        <v>45933</v>
      </c>
      <c r="E220" s="8" t="n">
        <v>7</v>
      </c>
      <c r="F220" s="8" t="str">
        <f aca="false">IF(E220&gt;=9,"Promoter",IF(E220&gt;=7,"Passive","Detractor"))</f>
        <v>Passive</v>
      </c>
    </row>
    <row r="221" customFormat="false" ht="15" hidden="false" customHeight="false" outlineLevel="0" collapsed="false">
      <c r="A221" s="8" t="s">
        <v>4825</v>
      </c>
      <c r="B221" s="8" t="s">
        <v>4421</v>
      </c>
      <c r="C221" s="8" t="s">
        <v>53</v>
      </c>
      <c r="D221" s="32" t="n">
        <v>45933</v>
      </c>
      <c r="E221" s="8" t="n">
        <v>6</v>
      </c>
      <c r="F221" s="8" t="str">
        <f aca="false">IF(E221&gt;=9,"Promoter",IF(E221&gt;=7,"Passive","Detractor"))</f>
        <v>Detractor</v>
      </c>
    </row>
    <row r="222" customFormat="false" ht="15" hidden="false" customHeight="false" outlineLevel="0" collapsed="false">
      <c r="A222" s="8" t="s">
        <v>4826</v>
      </c>
      <c r="B222" s="8" t="s">
        <v>3722</v>
      </c>
      <c r="C222" s="8" t="s">
        <v>51</v>
      </c>
      <c r="D222" s="32" t="n">
        <v>45933</v>
      </c>
      <c r="E222" s="8" t="n">
        <v>10</v>
      </c>
      <c r="F222" s="8" t="str">
        <f aca="false">IF(E222&gt;=9,"Promoter",IF(E222&gt;=7,"Passive","Detractor"))</f>
        <v>Promoter</v>
      </c>
    </row>
    <row r="223" customFormat="false" ht="15" hidden="false" customHeight="false" outlineLevel="0" collapsed="false">
      <c r="A223" s="8" t="s">
        <v>4827</v>
      </c>
      <c r="B223" s="8" t="s">
        <v>717</v>
      </c>
      <c r="C223" s="8" t="s">
        <v>53</v>
      </c>
      <c r="D223" s="32" t="n">
        <v>45933</v>
      </c>
      <c r="E223" s="8" t="n">
        <v>6</v>
      </c>
      <c r="F223" s="8" t="str">
        <f aca="false">IF(E223&gt;=9,"Promoter",IF(E223&gt;=7,"Passive","Detractor"))</f>
        <v>Detractor</v>
      </c>
    </row>
    <row r="224" customFormat="false" ht="15" hidden="false" customHeight="false" outlineLevel="0" collapsed="false">
      <c r="A224" s="8" t="s">
        <v>4828</v>
      </c>
      <c r="B224" s="8" t="s">
        <v>4386</v>
      </c>
      <c r="C224" s="8" t="s">
        <v>51</v>
      </c>
      <c r="D224" s="32" t="n">
        <v>45933</v>
      </c>
      <c r="E224" s="8" t="n">
        <v>10</v>
      </c>
      <c r="F224" s="8" t="str">
        <f aca="false">IF(E224&gt;=9,"Promoter",IF(E224&gt;=7,"Passive","Detractor"))</f>
        <v>Promoter</v>
      </c>
    </row>
    <row r="225" customFormat="false" ht="15" hidden="false" customHeight="false" outlineLevel="0" collapsed="false">
      <c r="A225" s="8" t="s">
        <v>4829</v>
      </c>
      <c r="B225" s="8" t="s">
        <v>373</v>
      </c>
      <c r="C225" s="8" t="s">
        <v>55</v>
      </c>
      <c r="D225" s="32" t="n">
        <v>45933</v>
      </c>
      <c r="E225" s="8" t="n">
        <v>10</v>
      </c>
      <c r="F225" s="8" t="str">
        <f aca="false">IF(E225&gt;=9,"Promoter",IF(E225&gt;=7,"Passive","Detractor"))</f>
        <v>Promoter</v>
      </c>
    </row>
    <row r="226" customFormat="false" ht="15" hidden="false" customHeight="false" outlineLevel="0" collapsed="false">
      <c r="A226" s="8" t="s">
        <v>4830</v>
      </c>
      <c r="B226" s="8" t="s">
        <v>3618</v>
      </c>
      <c r="C226" s="8" t="s">
        <v>51</v>
      </c>
      <c r="D226" s="32" t="n">
        <v>45933</v>
      </c>
      <c r="E226" s="8" t="n">
        <v>7</v>
      </c>
      <c r="F226" s="8" t="str">
        <f aca="false">IF(E226&gt;=9,"Promoter",IF(E226&gt;=7,"Passive","Detractor"))</f>
        <v>Passive</v>
      </c>
    </row>
    <row r="227" customFormat="false" ht="15" hidden="false" customHeight="false" outlineLevel="0" collapsed="false">
      <c r="A227" s="8" t="s">
        <v>4831</v>
      </c>
      <c r="B227" s="8" t="s">
        <v>4370</v>
      </c>
      <c r="C227" s="8" t="s">
        <v>51</v>
      </c>
      <c r="D227" s="32" t="n">
        <v>45933</v>
      </c>
      <c r="E227" s="8" t="n">
        <v>7</v>
      </c>
      <c r="F227" s="8" t="str">
        <f aca="false">IF(E227&gt;=9,"Promoter",IF(E227&gt;=7,"Passive","Detractor"))</f>
        <v>Passive</v>
      </c>
    </row>
    <row r="228" customFormat="false" ht="15" hidden="false" customHeight="false" outlineLevel="0" collapsed="false">
      <c r="A228" s="8" t="s">
        <v>4832</v>
      </c>
      <c r="B228" s="8" t="s">
        <v>2718</v>
      </c>
      <c r="C228" s="8" t="s">
        <v>51</v>
      </c>
      <c r="D228" s="32" t="n">
        <v>45933</v>
      </c>
      <c r="E228" s="8" t="n">
        <v>7</v>
      </c>
      <c r="F228" s="8" t="str">
        <f aca="false">IF(E228&gt;=9,"Promoter",IF(E228&gt;=7,"Passive","Detractor"))</f>
        <v>Passive</v>
      </c>
    </row>
    <row r="229" customFormat="false" ht="15" hidden="false" customHeight="false" outlineLevel="0" collapsed="false">
      <c r="A229" s="8" t="s">
        <v>4833</v>
      </c>
      <c r="B229" s="8" t="s">
        <v>963</v>
      </c>
      <c r="C229" s="8" t="s">
        <v>53</v>
      </c>
      <c r="D229" s="32" t="n">
        <v>45933</v>
      </c>
      <c r="E229" s="8" t="n">
        <v>5</v>
      </c>
      <c r="F229" s="8" t="str">
        <f aca="false">IF(E229&gt;=9,"Promoter",IF(E229&gt;=7,"Passive","Detractor"))</f>
        <v>Detractor</v>
      </c>
    </row>
    <row r="230" customFormat="false" ht="15" hidden="false" customHeight="false" outlineLevel="0" collapsed="false">
      <c r="A230" s="8" t="s">
        <v>4834</v>
      </c>
      <c r="B230" s="8" t="s">
        <v>1565</v>
      </c>
      <c r="C230" s="8" t="s">
        <v>53</v>
      </c>
      <c r="D230" s="32" t="n">
        <v>45933</v>
      </c>
      <c r="E230" s="8" t="n">
        <v>6</v>
      </c>
      <c r="F230" s="8" t="str">
        <f aca="false">IF(E230&gt;=9,"Promoter",IF(E230&gt;=7,"Passive","Detractor"))</f>
        <v>Detractor</v>
      </c>
    </row>
    <row r="231" customFormat="false" ht="15" hidden="false" customHeight="false" outlineLevel="0" collapsed="false">
      <c r="A231" s="8" t="s">
        <v>4835</v>
      </c>
      <c r="B231" s="8" t="s">
        <v>1087</v>
      </c>
      <c r="C231" s="8" t="s">
        <v>53</v>
      </c>
      <c r="D231" s="32" t="n">
        <v>45933</v>
      </c>
      <c r="E231" s="8" t="n">
        <v>7</v>
      </c>
      <c r="F231" s="8" t="str">
        <f aca="false">IF(E231&gt;=9,"Promoter",IF(E231&gt;=7,"Passive","Detractor"))</f>
        <v>Passive</v>
      </c>
    </row>
    <row r="232" customFormat="false" ht="15" hidden="false" customHeight="false" outlineLevel="0" collapsed="false">
      <c r="A232" s="8" t="s">
        <v>4836</v>
      </c>
      <c r="B232" s="8" t="s">
        <v>4410</v>
      </c>
      <c r="C232" s="8" t="s">
        <v>55</v>
      </c>
      <c r="D232" s="32" t="n">
        <v>45933</v>
      </c>
      <c r="E232" s="8" t="n">
        <v>6</v>
      </c>
      <c r="F232" s="8" t="str">
        <f aca="false">IF(E232&gt;=9,"Promoter",IF(E232&gt;=7,"Passive","Detractor"))</f>
        <v>Detractor</v>
      </c>
    </row>
    <row r="233" customFormat="false" ht="15" hidden="false" customHeight="false" outlineLevel="0" collapsed="false">
      <c r="A233" s="8" t="s">
        <v>4837</v>
      </c>
      <c r="B233" s="8" t="s">
        <v>2144</v>
      </c>
      <c r="C233" s="8" t="s">
        <v>51</v>
      </c>
      <c r="D233" s="32" t="n">
        <v>45933</v>
      </c>
      <c r="E233" s="8" t="n">
        <v>6</v>
      </c>
      <c r="F233" s="8" t="str">
        <f aca="false">IF(E233&gt;=9,"Promoter",IF(E233&gt;=7,"Passive","Detractor"))</f>
        <v>Detractor</v>
      </c>
    </row>
    <row r="234" customFormat="false" ht="15" hidden="false" customHeight="false" outlineLevel="0" collapsed="false">
      <c r="A234" s="8" t="s">
        <v>4838</v>
      </c>
      <c r="B234" s="8" t="s">
        <v>853</v>
      </c>
      <c r="C234" s="8" t="s">
        <v>53</v>
      </c>
      <c r="D234" s="32" t="n">
        <v>45934</v>
      </c>
      <c r="E234" s="8" t="n">
        <v>8</v>
      </c>
      <c r="F234" s="8" t="str">
        <f aca="false">IF(E234&gt;=9,"Promoter",IF(E234&gt;=7,"Passive","Detractor"))</f>
        <v>Passive</v>
      </c>
    </row>
    <row r="235" customFormat="false" ht="15" hidden="false" customHeight="false" outlineLevel="0" collapsed="false">
      <c r="A235" s="8" t="s">
        <v>4839</v>
      </c>
      <c r="B235" s="8" t="s">
        <v>585</v>
      </c>
      <c r="C235" s="8" t="s">
        <v>53</v>
      </c>
      <c r="D235" s="32" t="n">
        <v>45934</v>
      </c>
      <c r="E235" s="8" t="n">
        <v>10</v>
      </c>
      <c r="F235" s="8" t="str">
        <f aca="false">IF(E235&gt;=9,"Promoter",IF(E235&gt;=7,"Passive","Detractor"))</f>
        <v>Promoter</v>
      </c>
    </row>
    <row r="236" customFormat="false" ht="15" hidden="false" customHeight="false" outlineLevel="0" collapsed="false">
      <c r="A236" s="8" t="s">
        <v>4840</v>
      </c>
      <c r="B236" s="8" t="s">
        <v>2812</v>
      </c>
      <c r="C236" s="8" t="s">
        <v>51</v>
      </c>
      <c r="D236" s="32" t="n">
        <v>45934</v>
      </c>
      <c r="E236" s="8" t="n">
        <v>9</v>
      </c>
      <c r="F236" s="8" t="str">
        <f aca="false">IF(E236&gt;=9,"Promoter",IF(E236&gt;=7,"Passive","Detractor"))</f>
        <v>Promoter</v>
      </c>
    </row>
    <row r="237" customFormat="false" ht="15" hidden="false" customHeight="false" outlineLevel="0" collapsed="false">
      <c r="A237" s="8" t="s">
        <v>4841</v>
      </c>
      <c r="B237" s="8" t="s">
        <v>4160</v>
      </c>
      <c r="C237" s="8" t="s">
        <v>51</v>
      </c>
      <c r="D237" s="32" t="n">
        <v>45934</v>
      </c>
      <c r="E237" s="8" t="n">
        <v>9</v>
      </c>
      <c r="F237" s="8" t="str">
        <f aca="false">IF(E237&gt;=9,"Promoter",IF(E237&gt;=7,"Passive","Detractor"))</f>
        <v>Promoter</v>
      </c>
    </row>
    <row r="238" customFormat="false" ht="15" hidden="false" customHeight="false" outlineLevel="0" collapsed="false">
      <c r="A238" s="8" t="s">
        <v>4842</v>
      </c>
      <c r="B238" s="8" t="s">
        <v>339</v>
      </c>
      <c r="C238" s="8" t="s">
        <v>55</v>
      </c>
      <c r="D238" s="32" t="n">
        <v>45934</v>
      </c>
      <c r="E238" s="8" t="n">
        <v>10</v>
      </c>
      <c r="F238" s="8" t="str">
        <f aca="false">IF(E238&gt;=9,"Promoter",IF(E238&gt;=7,"Passive","Detractor"))</f>
        <v>Promoter</v>
      </c>
    </row>
    <row r="239" customFormat="false" ht="15" hidden="false" customHeight="false" outlineLevel="0" collapsed="false">
      <c r="A239" s="8" t="s">
        <v>4843</v>
      </c>
      <c r="B239" s="8" t="s">
        <v>2318</v>
      </c>
      <c r="C239" s="8" t="s">
        <v>51</v>
      </c>
      <c r="D239" s="32" t="n">
        <v>45934</v>
      </c>
      <c r="E239" s="8" t="n">
        <v>10</v>
      </c>
      <c r="F239" s="8" t="str">
        <f aca="false">IF(E239&gt;=9,"Promoter",IF(E239&gt;=7,"Passive","Detractor"))</f>
        <v>Promoter</v>
      </c>
    </row>
    <row r="240" customFormat="false" ht="15" hidden="false" customHeight="false" outlineLevel="0" collapsed="false">
      <c r="A240" s="8" t="s">
        <v>4844</v>
      </c>
      <c r="B240" s="8" t="s">
        <v>423</v>
      </c>
      <c r="C240" s="8" t="s">
        <v>55</v>
      </c>
      <c r="D240" s="32" t="n">
        <v>45934</v>
      </c>
      <c r="E240" s="8" t="n">
        <v>6</v>
      </c>
      <c r="F240" s="8" t="str">
        <f aca="false">IF(E240&gt;=9,"Promoter",IF(E240&gt;=7,"Passive","Detractor"))</f>
        <v>Detractor</v>
      </c>
    </row>
    <row r="241" customFormat="false" ht="15" hidden="false" customHeight="false" outlineLevel="0" collapsed="false">
      <c r="A241" s="8" t="s">
        <v>4845</v>
      </c>
      <c r="B241" s="8" t="s">
        <v>747</v>
      </c>
      <c r="C241" s="8" t="s">
        <v>53</v>
      </c>
      <c r="D241" s="32" t="n">
        <v>45934</v>
      </c>
      <c r="E241" s="8" t="n">
        <v>8</v>
      </c>
      <c r="F241" s="8" t="str">
        <f aca="false">IF(E241&gt;=9,"Promoter",IF(E241&gt;=7,"Passive","Detractor"))</f>
        <v>Passive</v>
      </c>
    </row>
    <row r="242" customFormat="false" ht="15" hidden="false" customHeight="false" outlineLevel="0" collapsed="false">
      <c r="A242" s="8" t="s">
        <v>4846</v>
      </c>
      <c r="B242" s="8" t="s">
        <v>465</v>
      </c>
      <c r="C242" s="8" t="s">
        <v>55</v>
      </c>
      <c r="D242" s="32" t="n">
        <v>45934</v>
      </c>
      <c r="E242" s="8" t="n">
        <v>4</v>
      </c>
      <c r="F242" s="8" t="str">
        <f aca="false">IF(E242&gt;=9,"Promoter",IF(E242&gt;=7,"Passive","Detractor"))</f>
        <v>Detractor</v>
      </c>
    </row>
    <row r="243" customFormat="false" ht="15" hidden="false" customHeight="false" outlineLevel="0" collapsed="false">
      <c r="A243" s="8" t="s">
        <v>4847</v>
      </c>
      <c r="B243" s="8" t="s">
        <v>3734</v>
      </c>
      <c r="C243" s="8" t="s">
        <v>51</v>
      </c>
      <c r="D243" s="32" t="n">
        <v>45934</v>
      </c>
      <c r="E243" s="8" t="n">
        <v>4</v>
      </c>
      <c r="F243" s="8" t="str">
        <f aca="false">IF(E243&gt;=9,"Promoter",IF(E243&gt;=7,"Passive","Detractor"))</f>
        <v>Detractor</v>
      </c>
    </row>
    <row r="244" customFormat="false" ht="15" hidden="false" customHeight="false" outlineLevel="0" collapsed="false">
      <c r="A244" s="8" t="s">
        <v>4848</v>
      </c>
      <c r="B244" s="8" t="s">
        <v>4288</v>
      </c>
      <c r="C244" s="8" t="s">
        <v>51</v>
      </c>
      <c r="D244" s="32" t="n">
        <v>45934</v>
      </c>
      <c r="E244" s="8" t="n">
        <v>9</v>
      </c>
      <c r="F244" s="8" t="str">
        <f aca="false">IF(E244&gt;=9,"Promoter",IF(E244&gt;=7,"Passive","Detractor"))</f>
        <v>Promoter</v>
      </c>
    </row>
    <row r="245" customFormat="false" ht="15" hidden="false" customHeight="false" outlineLevel="0" collapsed="false">
      <c r="A245" s="8" t="s">
        <v>4849</v>
      </c>
      <c r="B245" s="8" t="s">
        <v>2108</v>
      </c>
      <c r="C245" s="8" t="s">
        <v>51</v>
      </c>
      <c r="D245" s="32" t="n">
        <v>45934</v>
      </c>
      <c r="E245" s="8" t="n">
        <v>8</v>
      </c>
      <c r="F245" s="8" t="str">
        <f aca="false">IF(E245&gt;=9,"Promoter",IF(E245&gt;=7,"Passive","Detractor"))</f>
        <v>Passive</v>
      </c>
    </row>
    <row r="246" customFormat="false" ht="15" hidden="false" customHeight="false" outlineLevel="0" collapsed="false">
      <c r="A246" s="8" t="s">
        <v>4850</v>
      </c>
      <c r="B246" s="8" t="s">
        <v>1627</v>
      </c>
      <c r="C246" s="8" t="s">
        <v>53</v>
      </c>
      <c r="D246" s="32" t="n">
        <v>45934</v>
      </c>
      <c r="E246" s="8" t="n">
        <v>6</v>
      </c>
      <c r="F246" s="8" t="str">
        <f aca="false">IF(E246&gt;=9,"Promoter",IF(E246&gt;=7,"Passive","Detractor"))</f>
        <v>Detractor</v>
      </c>
    </row>
    <row r="247" customFormat="false" ht="15" hidden="false" customHeight="false" outlineLevel="0" collapsed="false">
      <c r="A247" s="8" t="s">
        <v>4851</v>
      </c>
      <c r="B247" s="8" t="s">
        <v>4487</v>
      </c>
      <c r="C247" s="8" t="s">
        <v>51</v>
      </c>
      <c r="D247" s="32" t="n">
        <v>45934</v>
      </c>
      <c r="E247" s="8" t="n">
        <v>7</v>
      </c>
      <c r="F247" s="8" t="str">
        <f aca="false">IF(E247&gt;=9,"Promoter",IF(E247&gt;=7,"Passive","Detractor"))</f>
        <v>Passive</v>
      </c>
    </row>
    <row r="248" customFormat="false" ht="15" hidden="false" customHeight="false" outlineLevel="0" collapsed="false">
      <c r="A248" s="8" t="s">
        <v>4852</v>
      </c>
      <c r="B248" s="8" t="s">
        <v>324</v>
      </c>
      <c r="C248" s="8" t="s">
        <v>55</v>
      </c>
      <c r="D248" s="32" t="n">
        <v>45934</v>
      </c>
      <c r="E248" s="8" t="n">
        <v>9</v>
      </c>
      <c r="F248" s="8" t="str">
        <f aca="false">IF(E248&gt;=9,"Promoter",IF(E248&gt;=7,"Passive","Detractor"))</f>
        <v>Promoter</v>
      </c>
    </row>
    <row r="249" customFormat="false" ht="15" hidden="false" customHeight="false" outlineLevel="0" collapsed="false">
      <c r="A249" s="8" t="s">
        <v>4853</v>
      </c>
      <c r="B249" s="8" t="s">
        <v>559</v>
      </c>
      <c r="C249" s="8" t="s">
        <v>53</v>
      </c>
      <c r="D249" s="32" t="n">
        <v>45934</v>
      </c>
      <c r="E249" s="8" t="n">
        <v>10</v>
      </c>
      <c r="F249" s="8" t="str">
        <f aca="false">IF(E249&gt;=9,"Promoter",IF(E249&gt;=7,"Passive","Detractor"))</f>
        <v>Promoter</v>
      </c>
    </row>
    <row r="250" customFormat="false" ht="15" hidden="false" customHeight="false" outlineLevel="0" collapsed="false">
      <c r="A250" s="8" t="s">
        <v>4854</v>
      </c>
      <c r="B250" s="8" t="s">
        <v>3980</v>
      </c>
      <c r="C250" s="8" t="s">
        <v>51</v>
      </c>
      <c r="D250" s="32" t="n">
        <v>45934</v>
      </c>
      <c r="E250" s="8" t="n">
        <v>7</v>
      </c>
      <c r="F250" s="8" t="str">
        <f aca="false">IF(E250&gt;=9,"Promoter",IF(E250&gt;=7,"Passive","Detractor"))</f>
        <v>Passive</v>
      </c>
    </row>
    <row r="251" customFormat="false" ht="15" hidden="false" customHeight="false" outlineLevel="0" collapsed="false">
      <c r="A251" s="8" t="s">
        <v>4855</v>
      </c>
      <c r="B251" s="8" t="s">
        <v>2890</v>
      </c>
      <c r="C251" s="8" t="s">
        <v>51</v>
      </c>
      <c r="D251" s="32" t="n">
        <v>45934</v>
      </c>
      <c r="E251" s="8" t="n">
        <v>9</v>
      </c>
      <c r="F251" s="8" t="str">
        <f aca="false">IF(E251&gt;=9,"Promoter",IF(E251&gt;=7,"Passive","Detractor"))</f>
        <v>Promoter</v>
      </c>
    </row>
    <row r="252" customFormat="false" ht="15" hidden="false" customHeight="false" outlineLevel="0" collapsed="false">
      <c r="A252" s="8" t="s">
        <v>4856</v>
      </c>
      <c r="B252" s="8" t="s">
        <v>2554</v>
      </c>
      <c r="C252" s="8" t="s">
        <v>51</v>
      </c>
      <c r="D252" s="32" t="n">
        <v>45935</v>
      </c>
      <c r="E252" s="8" t="n">
        <v>8</v>
      </c>
      <c r="F252" s="8" t="str">
        <f aca="false">IF(E252&gt;=9,"Promoter",IF(E252&gt;=7,"Passive","Detractor"))</f>
        <v>Passive</v>
      </c>
    </row>
    <row r="253" customFormat="false" ht="15" hidden="false" customHeight="false" outlineLevel="0" collapsed="false">
      <c r="A253" s="8" t="s">
        <v>4857</v>
      </c>
      <c r="B253" s="8" t="s">
        <v>4426</v>
      </c>
      <c r="C253" s="8" t="s">
        <v>53</v>
      </c>
      <c r="D253" s="32" t="n">
        <v>45935</v>
      </c>
      <c r="E253" s="8" t="n">
        <v>9</v>
      </c>
      <c r="F253" s="8" t="str">
        <f aca="false">IF(E253&gt;=9,"Promoter",IF(E253&gt;=7,"Passive","Detractor"))</f>
        <v>Promoter</v>
      </c>
    </row>
    <row r="254" customFormat="false" ht="15" hidden="false" customHeight="false" outlineLevel="0" collapsed="false">
      <c r="A254" s="8" t="s">
        <v>4858</v>
      </c>
      <c r="B254" s="8" t="s">
        <v>2736</v>
      </c>
      <c r="C254" s="8" t="s">
        <v>51</v>
      </c>
      <c r="D254" s="32" t="n">
        <v>45935</v>
      </c>
      <c r="E254" s="8" t="n">
        <v>9</v>
      </c>
      <c r="F254" s="8" t="str">
        <f aca="false">IF(E254&gt;=9,"Promoter",IF(E254&gt;=7,"Passive","Detractor"))</f>
        <v>Promoter</v>
      </c>
    </row>
    <row r="255" customFormat="false" ht="15" hidden="false" customHeight="false" outlineLevel="0" collapsed="false">
      <c r="A255" s="8" t="s">
        <v>4859</v>
      </c>
      <c r="B255" s="8" t="s">
        <v>619</v>
      </c>
      <c r="C255" s="8" t="s">
        <v>53</v>
      </c>
      <c r="D255" s="32" t="n">
        <v>45935</v>
      </c>
      <c r="E255" s="8" t="n">
        <v>9</v>
      </c>
      <c r="F255" s="8" t="str">
        <f aca="false">IF(E255&gt;=9,"Promoter",IF(E255&gt;=7,"Passive","Detractor"))</f>
        <v>Promoter</v>
      </c>
    </row>
    <row r="256" customFormat="false" ht="15" hidden="false" customHeight="false" outlineLevel="0" collapsed="false">
      <c r="A256" s="8" t="s">
        <v>4860</v>
      </c>
      <c r="B256" s="8" t="s">
        <v>4456</v>
      </c>
      <c r="C256" s="8" t="s">
        <v>53</v>
      </c>
      <c r="D256" s="32" t="n">
        <v>45935</v>
      </c>
      <c r="E256" s="8" t="n">
        <v>6</v>
      </c>
      <c r="F256" s="8" t="str">
        <f aca="false">IF(E256&gt;=9,"Promoter",IF(E256&gt;=7,"Passive","Detractor"))</f>
        <v>Detractor</v>
      </c>
    </row>
    <row r="257" customFormat="false" ht="15" hidden="false" customHeight="false" outlineLevel="0" collapsed="false">
      <c r="A257" s="8" t="s">
        <v>4861</v>
      </c>
      <c r="B257" s="8" t="s">
        <v>1489</v>
      </c>
      <c r="C257" s="8" t="s">
        <v>53</v>
      </c>
      <c r="D257" s="32" t="n">
        <v>45935</v>
      </c>
      <c r="E257" s="8" t="n">
        <v>8</v>
      </c>
      <c r="F257" s="8" t="str">
        <f aca="false">IF(E257&gt;=9,"Promoter",IF(E257&gt;=7,"Passive","Detractor"))</f>
        <v>Passive</v>
      </c>
    </row>
    <row r="258" customFormat="false" ht="15" hidden="false" customHeight="false" outlineLevel="0" collapsed="false">
      <c r="A258" s="8" t="s">
        <v>4862</v>
      </c>
      <c r="B258" s="8" t="s">
        <v>1557</v>
      </c>
      <c r="C258" s="8" t="s">
        <v>53</v>
      </c>
      <c r="D258" s="32" t="n">
        <v>45935</v>
      </c>
      <c r="E258" s="8" t="n">
        <v>7</v>
      </c>
      <c r="F258" s="8" t="str">
        <f aca="false">IF(E258&gt;=9,"Promoter",IF(E258&gt;=7,"Passive","Detractor"))</f>
        <v>Passive</v>
      </c>
    </row>
    <row r="259" customFormat="false" ht="15" hidden="false" customHeight="false" outlineLevel="0" collapsed="false">
      <c r="A259" s="8" t="s">
        <v>4863</v>
      </c>
      <c r="B259" s="8" t="s">
        <v>1819</v>
      </c>
      <c r="C259" s="8" t="s">
        <v>53</v>
      </c>
      <c r="D259" s="32" t="n">
        <v>45935</v>
      </c>
      <c r="E259" s="8" t="n">
        <v>7</v>
      </c>
      <c r="F259" s="8" t="str">
        <f aca="false">IF(E259&gt;=9,"Promoter",IF(E259&gt;=7,"Passive","Detractor"))</f>
        <v>Passive</v>
      </c>
    </row>
    <row r="260" customFormat="false" ht="15" hidden="false" customHeight="false" outlineLevel="0" collapsed="false">
      <c r="A260" s="8" t="s">
        <v>4864</v>
      </c>
      <c r="B260" s="8" t="s">
        <v>483</v>
      </c>
      <c r="C260" s="8" t="s">
        <v>55</v>
      </c>
      <c r="D260" s="32" t="n">
        <v>45935</v>
      </c>
      <c r="E260" s="8" t="n">
        <v>10</v>
      </c>
      <c r="F260" s="8" t="str">
        <f aca="false">IF(E260&gt;=9,"Promoter",IF(E260&gt;=7,"Passive","Detractor"))</f>
        <v>Promoter</v>
      </c>
    </row>
    <row r="261" customFormat="false" ht="15" hidden="false" customHeight="false" outlineLevel="0" collapsed="false">
      <c r="A261" s="8" t="s">
        <v>4865</v>
      </c>
      <c r="B261" s="8" t="s">
        <v>4068</v>
      </c>
      <c r="C261" s="8" t="s">
        <v>51</v>
      </c>
      <c r="D261" s="32" t="n">
        <v>45935</v>
      </c>
      <c r="E261" s="8" t="n">
        <v>7</v>
      </c>
      <c r="F261" s="8" t="str">
        <f aca="false">IF(E261&gt;=9,"Promoter",IF(E261&gt;=7,"Passive","Detractor"))</f>
        <v>Passive</v>
      </c>
    </row>
    <row r="262" customFormat="false" ht="15" hidden="false" customHeight="false" outlineLevel="0" collapsed="false">
      <c r="A262" s="8" t="s">
        <v>4866</v>
      </c>
      <c r="B262" s="8" t="s">
        <v>2436</v>
      </c>
      <c r="C262" s="8" t="s">
        <v>51</v>
      </c>
      <c r="D262" s="32" t="n">
        <v>45935</v>
      </c>
      <c r="E262" s="8" t="n">
        <v>5</v>
      </c>
      <c r="F262" s="8" t="str">
        <f aca="false">IF(E262&gt;=9,"Promoter",IF(E262&gt;=7,"Passive","Detractor"))</f>
        <v>Detractor</v>
      </c>
    </row>
    <row r="263" customFormat="false" ht="15" hidden="false" customHeight="false" outlineLevel="0" collapsed="false">
      <c r="A263" s="8" t="s">
        <v>4867</v>
      </c>
      <c r="B263" s="8" t="s">
        <v>4495</v>
      </c>
      <c r="C263" s="8" t="s">
        <v>51</v>
      </c>
      <c r="D263" s="32" t="n">
        <v>45935</v>
      </c>
      <c r="E263" s="8" t="n">
        <v>6</v>
      </c>
      <c r="F263" s="8" t="str">
        <f aca="false">IF(E263&gt;=9,"Promoter",IF(E263&gt;=7,"Passive","Detractor"))</f>
        <v>Detractor</v>
      </c>
    </row>
    <row r="264" customFormat="false" ht="15" hidden="false" customHeight="false" outlineLevel="0" collapsed="false">
      <c r="A264" s="8" t="s">
        <v>4868</v>
      </c>
      <c r="B264" s="8" t="s">
        <v>152</v>
      </c>
      <c r="C264" s="8" t="s">
        <v>55</v>
      </c>
      <c r="D264" s="32" t="n">
        <v>45935</v>
      </c>
      <c r="E264" s="8" t="n">
        <v>7</v>
      </c>
      <c r="F264" s="8" t="str">
        <f aca="false">IF(E264&gt;=9,"Promoter",IF(E264&gt;=7,"Passive","Detractor"))</f>
        <v>Passive</v>
      </c>
    </row>
    <row r="265" customFormat="false" ht="15" hidden="false" customHeight="false" outlineLevel="0" collapsed="false">
      <c r="A265" s="8" t="s">
        <v>4869</v>
      </c>
      <c r="B265" s="8" t="s">
        <v>1211</v>
      </c>
      <c r="C265" s="8" t="s">
        <v>53</v>
      </c>
      <c r="D265" s="32" t="n">
        <v>45935</v>
      </c>
      <c r="E265" s="8" t="n">
        <v>10</v>
      </c>
      <c r="F265" s="8" t="str">
        <f aca="false">IF(E265&gt;=9,"Promoter",IF(E265&gt;=7,"Passive","Detractor"))</f>
        <v>Promoter</v>
      </c>
    </row>
    <row r="266" customFormat="false" ht="15" hidden="false" customHeight="false" outlineLevel="0" collapsed="false">
      <c r="A266" s="8" t="s">
        <v>4870</v>
      </c>
      <c r="B266" s="8" t="s">
        <v>1643</v>
      </c>
      <c r="C266" s="8" t="s">
        <v>53</v>
      </c>
      <c r="D266" s="32" t="n">
        <v>45936</v>
      </c>
      <c r="E266" s="8" t="n">
        <v>8</v>
      </c>
      <c r="F266" s="8" t="str">
        <f aca="false">IF(E266&gt;=9,"Promoter",IF(E266&gt;=7,"Passive","Detractor"))</f>
        <v>Passive</v>
      </c>
    </row>
    <row r="267" customFormat="false" ht="15" hidden="false" customHeight="false" outlineLevel="0" collapsed="false">
      <c r="A267" s="8" t="s">
        <v>4871</v>
      </c>
      <c r="B267" s="8" t="s">
        <v>1149</v>
      </c>
      <c r="C267" s="8" t="s">
        <v>53</v>
      </c>
      <c r="D267" s="32" t="n">
        <v>45936</v>
      </c>
      <c r="E267" s="8" t="n">
        <v>7</v>
      </c>
      <c r="F267" s="8" t="str">
        <f aca="false">IF(E267&gt;=9,"Promoter",IF(E267&gt;=7,"Passive","Detractor"))</f>
        <v>Passive</v>
      </c>
    </row>
    <row r="268" customFormat="false" ht="15" hidden="false" customHeight="false" outlineLevel="0" collapsed="false">
      <c r="A268" s="8" t="s">
        <v>4872</v>
      </c>
      <c r="B268" s="8" t="s">
        <v>3492</v>
      </c>
      <c r="C268" s="8" t="s">
        <v>51</v>
      </c>
      <c r="D268" s="32" t="n">
        <v>45936</v>
      </c>
      <c r="E268" s="8" t="n">
        <v>9</v>
      </c>
      <c r="F268" s="8" t="str">
        <f aca="false">IF(E268&gt;=9,"Promoter",IF(E268&gt;=7,"Passive","Detractor"))</f>
        <v>Promoter</v>
      </c>
    </row>
    <row r="269" customFormat="false" ht="15" hidden="false" customHeight="false" outlineLevel="0" collapsed="false">
      <c r="A269" s="8" t="s">
        <v>4873</v>
      </c>
      <c r="B269" s="8" t="s">
        <v>1617</v>
      </c>
      <c r="C269" s="8" t="s">
        <v>51</v>
      </c>
      <c r="D269" s="32" t="n">
        <v>45936</v>
      </c>
      <c r="E269" s="8" t="n">
        <v>9</v>
      </c>
      <c r="F269" s="8" t="str">
        <f aca="false">IF(E269&gt;=9,"Promoter",IF(E269&gt;=7,"Passive","Detractor"))</f>
        <v>Promoter</v>
      </c>
    </row>
    <row r="270" customFormat="false" ht="15" hidden="false" customHeight="false" outlineLevel="0" collapsed="false">
      <c r="A270" s="8" t="s">
        <v>4874</v>
      </c>
      <c r="B270" s="8" t="s">
        <v>3856</v>
      </c>
      <c r="C270" s="8" t="s">
        <v>51</v>
      </c>
      <c r="D270" s="32" t="n">
        <v>45936</v>
      </c>
      <c r="E270" s="8" t="n">
        <v>10</v>
      </c>
      <c r="F270" s="8" t="str">
        <f aca="false">IF(E270&gt;=9,"Promoter",IF(E270&gt;=7,"Passive","Detractor"))</f>
        <v>Promoter</v>
      </c>
    </row>
    <row r="271" customFormat="false" ht="15" hidden="false" customHeight="false" outlineLevel="0" collapsed="false">
      <c r="A271" s="8" t="s">
        <v>4875</v>
      </c>
      <c r="B271" s="8" t="s">
        <v>1021</v>
      </c>
      <c r="C271" s="8" t="s">
        <v>53</v>
      </c>
      <c r="D271" s="32" t="n">
        <v>45936</v>
      </c>
      <c r="E271" s="8" t="n">
        <v>7</v>
      </c>
      <c r="F271" s="8" t="str">
        <f aca="false">IF(E271&gt;=9,"Promoter",IF(E271&gt;=7,"Passive","Detractor"))</f>
        <v>Passive</v>
      </c>
    </row>
    <row r="272" customFormat="false" ht="15" hidden="false" customHeight="false" outlineLevel="0" collapsed="false">
      <c r="A272" s="8" t="s">
        <v>4876</v>
      </c>
      <c r="B272" s="8" t="s">
        <v>1279</v>
      </c>
      <c r="C272" s="8" t="s">
        <v>53</v>
      </c>
      <c r="D272" s="32" t="n">
        <v>45936</v>
      </c>
      <c r="E272" s="8" t="n">
        <v>7</v>
      </c>
      <c r="F272" s="8" t="str">
        <f aca="false">IF(E272&gt;=9,"Promoter",IF(E272&gt;=7,"Passive","Detractor"))</f>
        <v>Passive</v>
      </c>
    </row>
    <row r="273" customFormat="false" ht="15" hidden="false" customHeight="false" outlineLevel="0" collapsed="false">
      <c r="A273" s="8" t="s">
        <v>4877</v>
      </c>
      <c r="B273" s="8" t="s">
        <v>3798</v>
      </c>
      <c r="C273" s="8" t="s">
        <v>51</v>
      </c>
      <c r="D273" s="32" t="n">
        <v>45936</v>
      </c>
      <c r="E273" s="8" t="n">
        <v>6</v>
      </c>
      <c r="F273" s="8" t="str">
        <f aca="false">IF(E273&gt;=9,"Promoter",IF(E273&gt;=7,"Passive","Detractor"))</f>
        <v>Detractor</v>
      </c>
    </row>
    <row r="274" customFormat="false" ht="15" hidden="false" customHeight="false" outlineLevel="0" collapsed="false">
      <c r="A274" s="8" t="s">
        <v>4878</v>
      </c>
      <c r="B274" s="8" t="s">
        <v>4516</v>
      </c>
      <c r="C274" s="8" t="s">
        <v>51</v>
      </c>
      <c r="D274" s="32" t="n">
        <v>45936</v>
      </c>
      <c r="E274" s="8" t="n">
        <v>7</v>
      </c>
      <c r="F274" s="8" t="str">
        <f aca="false">IF(E274&gt;=9,"Promoter",IF(E274&gt;=7,"Passive","Detractor"))</f>
        <v>Passive</v>
      </c>
    </row>
    <row r="275" customFormat="false" ht="15" hidden="false" customHeight="false" outlineLevel="0" collapsed="false">
      <c r="A275" s="8" t="s">
        <v>4879</v>
      </c>
      <c r="B275" s="8" t="s">
        <v>4232</v>
      </c>
      <c r="C275" s="8" t="s">
        <v>51</v>
      </c>
      <c r="D275" s="32" t="n">
        <v>45936</v>
      </c>
      <c r="E275" s="8" t="n">
        <v>7</v>
      </c>
      <c r="F275" s="8" t="str">
        <f aca="false">IF(E275&gt;=9,"Promoter",IF(E275&gt;=7,"Passive","Detractor"))</f>
        <v>Passive</v>
      </c>
    </row>
    <row r="276" customFormat="false" ht="15" hidden="false" customHeight="false" outlineLevel="0" collapsed="false">
      <c r="A276" s="8" t="s">
        <v>4880</v>
      </c>
      <c r="B276" s="8" t="s">
        <v>2996</v>
      </c>
      <c r="C276" s="8" t="s">
        <v>51</v>
      </c>
      <c r="D276" s="32" t="n">
        <v>45936</v>
      </c>
      <c r="E276" s="8" t="n">
        <v>10</v>
      </c>
      <c r="F276" s="8" t="str">
        <f aca="false">IF(E276&gt;=9,"Promoter",IF(E276&gt;=7,"Passive","Detractor"))</f>
        <v>Promoter</v>
      </c>
    </row>
    <row r="277" customFormat="false" ht="15" hidden="false" customHeight="false" outlineLevel="0" collapsed="false">
      <c r="A277" s="8" t="s">
        <v>4881</v>
      </c>
      <c r="B277" s="8" t="s">
        <v>525</v>
      </c>
      <c r="C277" s="8" t="s">
        <v>53</v>
      </c>
      <c r="D277" s="32" t="n">
        <v>45936</v>
      </c>
      <c r="E277" s="8" t="n">
        <v>10</v>
      </c>
      <c r="F277" s="8" t="str">
        <f aca="false">IF(E277&gt;=9,"Promoter",IF(E277&gt;=7,"Passive","Detractor"))</f>
        <v>Promoter</v>
      </c>
    </row>
    <row r="278" customFormat="false" ht="15" hidden="false" customHeight="false" outlineLevel="0" collapsed="false">
      <c r="A278" s="8" t="s">
        <v>4882</v>
      </c>
      <c r="B278" s="8" t="s">
        <v>4545</v>
      </c>
      <c r="C278" s="8" t="s">
        <v>51</v>
      </c>
      <c r="D278" s="32" t="n">
        <v>45936</v>
      </c>
      <c r="E278" s="8" t="n">
        <v>5</v>
      </c>
      <c r="F278" s="8" t="str">
        <f aca="false">IF(E278&gt;=9,"Promoter",IF(E278&gt;=7,"Passive","Detractor"))</f>
        <v>Detractor</v>
      </c>
    </row>
    <row r="279" customFormat="false" ht="15" hidden="false" customHeight="false" outlineLevel="0" collapsed="false">
      <c r="A279" s="8" t="s">
        <v>4883</v>
      </c>
      <c r="B279" s="8" t="s">
        <v>2058</v>
      </c>
      <c r="C279" s="8" t="s">
        <v>51</v>
      </c>
      <c r="D279" s="32" t="n">
        <v>45936</v>
      </c>
      <c r="E279" s="8" t="n">
        <v>7</v>
      </c>
      <c r="F279" s="8" t="str">
        <f aca="false">IF(E279&gt;=9,"Promoter",IF(E279&gt;=7,"Passive","Detractor"))</f>
        <v>Passive</v>
      </c>
    </row>
    <row r="280" customFormat="false" ht="15" hidden="false" customHeight="false" outlineLevel="0" collapsed="false">
      <c r="A280" s="8" t="s">
        <v>4884</v>
      </c>
      <c r="B280" s="8" t="s">
        <v>3016</v>
      </c>
      <c r="C280" s="8" t="s">
        <v>51</v>
      </c>
      <c r="D280" s="32" t="n">
        <v>45936</v>
      </c>
      <c r="E280" s="8" t="n">
        <v>7</v>
      </c>
      <c r="F280" s="8" t="str">
        <f aca="false">IF(E280&gt;=9,"Promoter",IF(E280&gt;=7,"Passive","Detractor"))</f>
        <v>Passive</v>
      </c>
    </row>
    <row r="281" customFormat="false" ht="15" hidden="false" customHeight="false" outlineLevel="0" collapsed="false">
      <c r="A281" s="8" t="s">
        <v>4885</v>
      </c>
      <c r="B281" s="8" t="s">
        <v>4570</v>
      </c>
      <c r="C281" s="8" t="s">
        <v>51</v>
      </c>
      <c r="D281" s="32" t="n">
        <v>45936</v>
      </c>
      <c r="E281" s="8" t="n">
        <v>6</v>
      </c>
      <c r="F281" s="8" t="str">
        <f aca="false">IF(E281&gt;=9,"Promoter",IF(E281&gt;=7,"Passive","Detractor"))</f>
        <v>Detractor</v>
      </c>
    </row>
    <row r="282" customFormat="false" ht="15" hidden="false" customHeight="false" outlineLevel="0" collapsed="false">
      <c r="A282" s="8" t="s">
        <v>4886</v>
      </c>
      <c r="B282" s="8" t="s">
        <v>1827</v>
      </c>
      <c r="C282" s="8" t="s">
        <v>51</v>
      </c>
      <c r="D282" s="32" t="n">
        <v>45936</v>
      </c>
      <c r="E282" s="8" t="n">
        <v>9</v>
      </c>
      <c r="F282" s="8" t="str">
        <f aca="false">IF(E282&gt;=9,"Promoter",IF(E282&gt;=7,"Passive","Detractor"))</f>
        <v>Promoter</v>
      </c>
    </row>
    <row r="283" customFormat="false" ht="15" hidden="false" customHeight="false" outlineLevel="0" collapsed="false">
      <c r="A283" s="8" t="s">
        <v>4887</v>
      </c>
      <c r="B283" s="8" t="s">
        <v>3582</v>
      </c>
      <c r="C283" s="8" t="s">
        <v>51</v>
      </c>
      <c r="D283" s="32" t="n">
        <v>45936</v>
      </c>
      <c r="E283" s="8" t="n">
        <v>10</v>
      </c>
      <c r="F283" s="8" t="str">
        <f aca="false">IF(E283&gt;=9,"Promoter",IF(E283&gt;=7,"Passive","Detractor"))</f>
        <v>Promoter</v>
      </c>
    </row>
    <row r="284" customFormat="false" ht="15" hidden="false" customHeight="false" outlineLevel="0" collapsed="false">
      <c r="A284" s="8" t="s">
        <v>4888</v>
      </c>
      <c r="B284" s="8" t="s">
        <v>316</v>
      </c>
      <c r="C284" s="8" t="s">
        <v>55</v>
      </c>
      <c r="D284" s="32" t="n">
        <v>45936</v>
      </c>
      <c r="E284" s="8" t="n">
        <v>10</v>
      </c>
      <c r="F284" s="8" t="str">
        <f aca="false">IF(E284&gt;=9,"Promoter",IF(E284&gt;=7,"Passive","Detractor"))</f>
        <v>Promoter</v>
      </c>
    </row>
    <row r="285" customFormat="false" ht="15" hidden="false" customHeight="false" outlineLevel="0" collapsed="false">
      <c r="A285" s="8" t="s">
        <v>4889</v>
      </c>
      <c r="B285" s="8" t="s">
        <v>2674</v>
      </c>
      <c r="C285" s="8" t="s">
        <v>51</v>
      </c>
      <c r="D285" s="32" t="n">
        <v>45937</v>
      </c>
      <c r="E285" s="8" t="n">
        <v>6</v>
      </c>
      <c r="F285" s="8" t="str">
        <f aca="false">IF(E285&gt;=9,"Promoter",IF(E285&gt;=7,"Passive","Detractor"))</f>
        <v>Detractor</v>
      </c>
    </row>
    <row r="286" customFormat="false" ht="15" hidden="false" customHeight="false" outlineLevel="0" collapsed="false">
      <c r="A286" s="8" t="s">
        <v>4890</v>
      </c>
      <c r="B286" s="8" t="s">
        <v>617</v>
      </c>
      <c r="C286" s="8" t="s">
        <v>55</v>
      </c>
      <c r="D286" s="32" t="n">
        <v>45937</v>
      </c>
      <c r="E286" s="8" t="n">
        <v>7</v>
      </c>
      <c r="F286" s="8" t="str">
        <f aca="false">IF(E286&gt;=9,"Promoter",IF(E286&gt;=7,"Passive","Detractor"))</f>
        <v>Passive</v>
      </c>
    </row>
    <row r="287" customFormat="false" ht="15" hidden="false" customHeight="false" outlineLevel="0" collapsed="false">
      <c r="A287" s="8" t="s">
        <v>4891</v>
      </c>
      <c r="B287" s="8" t="s">
        <v>4534</v>
      </c>
      <c r="C287" s="8" t="s">
        <v>51</v>
      </c>
      <c r="D287" s="32" t="n">
        <v>45937</v>
      </c>
      <c r="E287" s="8" t="n">
        <v>7</v>
      </c>
      <c r="F287" s="8" t="str">
        <f aca="false">IF(E287&gt;=9,"Promoter",IF(E287&gt;=7,"Passive","Detractor"))</f>
        <v>Passive</v>
      </c>
    </row>
    <row r="288" customFormat="false" ht="15" hidden="false" customHeight="false" outlineLevel="0" collapsed="false">
      <c r="A288" s="8" t="s">
        <v>4892</v>
      </c>
      <c r="B288" s="8" t="s">
        <v>4437</v>
      </c>
      <c r="C288" s="8" t="s">
        <v>53</v>
      </c>
      <c r="D288" s="32" t="n">
        <v>45937</v>
      </c>
      <c r="E288" s="8" t="n">
        <v>7</v>
      </c>
      <c r="F288" s="8" t="str">
        <f aca="false">IF(E288&gt;=9,"Promoter",IF(E288&gt;=7,"Passive","Detractor"))</f>
        <v>Passive</v>
      </c>
    </row>
    <row r="289" customFormat="false" ht="15" hidden="false" customHeight="false" outlineLevel="0" collapsed="false">
      <c r="A289" s="8" t="s">
        <v>4893</v>
      </c>
      <c r="B289" s="8" t="s">
        <v>2214</v>
      </c>
      <c r="C289" s="8" t="s">
        <v>51</v>
      </c>
      <c r="D289" s="32" t="n">
        <v>45937</v>
      </c>
      <c r="E289" s="8" t="n">
        <v>8</v>
      </c>
      <c r="F289" s="8" t="str">
        <f aca="false">IF(E289&gt;=9,"Promoter",IF(E289&gt;=7,"Passive","Detractor"))</f>
        <v>Passive</v>
      </c>
    </row>
    <row r="290" customFormat="false" ht="15" hidden="false" customHeight="false" outlineLevel="0" collapsed="false">
      <c r="A290" s="8" t="s">
        <v>4894</v>
      </c>
      <c r="B290" s="8" t="s">
        <v>1983</v>
      </c>
      <c r="C290" s="8" t="s">
        <v>51</v>
      </c>
      <c r="D290" s="32" t="n">
        <v>45937</v>
      </c>
      <c r="E290" s="8" t="n">
        <v>7</v>
      </c>
      <c r="F290" s="8" t="str">
        <f aca="false">IF(E290&gt;=9,"Promoter",IF(E290&gt;=7,"Passive","Detractor"))</f>
        <v>Passive</v>
      </c>
    </row>
    <row r="291" customFormat="false" ht="15" hidden="false" customHeight="false" outlineLevel="0" collapsed="false">
      <c r="A291" s="8" t="s">
        <v>4895</v>
      </c>
      <c r="B291" s="8" t="s">
        <v>1001</v>
      </c>
      <c r="C291" s="8" t="s">
        <v>53</v>
      </c>
      <c r="D291" s="32" t="n">
        <v>45937</v>
      </c>
      <c r="E291" s="8" t="n">
        <v>10</v>
      </c>
      <c r="F291" s="8" t="str">
        <f aca="false">IF(E291&gt;=9,"Promoter",IF(E291&gt;=7,"Passive","Detractor"))</f>
        <v>Promoter</v>
      </c>
    </row>
    <row r="292" customFormat="false" ht="15" hidden="false" customHeight="false" outlineLevel="0" collapsed="false">
      <c r="A292" s="8" t="s">
        <v>4896</v>
      </c>
      <c r="B292" s="8" t="s">
        <v>1607</v>
      </c>
      <c r="C292" s="8" t="s">
        <v>53</v>
      </c>
      <c r="D292" s="32" t="n">
        <v>45937</v>
      </c>
      <c r="E292" s="8" t="n">
        <v>6</v>
      </c>
      <c r="F292" s="8" t="str">
        <f aca="false">IF(E292&gt;=9,"Promoter",IF(E292&gt;=7,"Passive","Detractor"))</f>
        <v>Detractor</v>
      </c>
    </row>
    <row r="293" customFormat="false" ht="15" hidden="false" customHeight="false" outlineLevel="0" collapsed="false">
      <c r="A293" s="8" t="s">
        <v>4897</v>
      </c>
      <c r="B293" s="8" t="s">
        <v>4278</v>
      </c>
      <c r="C293" s="8" t="s">
        <v>51</v>
      </c>
      <c r="D293" s="32" t="n">
        <v>45937</v>
      </c>
      <c r="E293" s="8" t="n">
        <v>7</v>
      </c>
      <c r="F293" s="8" t="str">
        <f aca="false">IF(E293&gt;=9,"Promoter",IF(E293&gt;=7,"Passive","Detractor"))</f>
        <v>Passive</v>
      </c>
    </row>
    <row r="294" customFormat="false" ht="15" hidden="false" customHeight="false" outlineLevel="0" collapsed="false">
      <c r="A294" s="8" t="s">
        <v>4898</v>
      </c>
      <c r="B294" s="8" t="s">
        <v>3566</v>
      </c>
      <c r="C294" s="8" t="s">
        <v>51</v>
      </c>
      <c r="D294" s="32" t="n">
        <v>45937</v>
      </c>
      <c r="E294" s="8" t="n">
        <v>10</v>
      </c>
      <c r="F294" s="8" t="str">
        <f aca="false">IF(E294&gt;=9,"Promoter",IF(E294&gt;=7,"Passive","Detractor"))</f>
        <v>Promoter</v>
      </c>
    </row>
    <row r="295" customFormat="false" ht="15" hidden="false" customHeight="false" outlineLevel="0" collapsed="false">
      <c r="A295" s="8" t="s">
        <v>4899</v>
      </c>
      <c r="B295" s="8" t="s">
        <v>1129</v>
      </c>
      <c r="C295" s="8" t="s">
        <v>53</v>
      </c>
      <c r="D295" s="32" t="n">
        <v>45937</v>
      </c>
      <c r="E295" s="8" t="n">
        <v>7</v>
      </c>
      <c r="F295" s="8" t="str">
        <f aca="false">IF(E295&gt;=9,"Promoter",IF(E295&gt;=7,"Passive","Detractor"))</f>
        <v>Passive</v>
      </c>
    </row>
    <row r="296" customFormat="false" ht="15" hidden="false" customHeight="false" outlineLevel="0" collapsed="false">
      <c r="A296" s="8" t="s">
        <v>4900</v>
      </c>
      <c r="B296" s="8" t="s">
        <v>3182</v>
      </c>
      <c r="C296" s="8" t="s">
        <v>51</v>
      </c>
      <c r="D296" s="32" t="n">
        <v>45937</v>
      </c>
      <c r="E296" s="8" t="n">
        <v>8</v>
      </c>
      <c r="F296" s="8" t="str">
        <f aca="false">IF(E296&gt;=9,"Promoter",IF(E296&gt;=7,"Passive","Detractor"))</f>
        <v>Passive</v>
      </c>
    </row>
    <row r="297" customFormat="false" ht="15" hidden="false" customHeight="false" outlineLevel="0" collapsed="false">
      <c r="A297" s="8" t="s">
        <v>4901</v>
      </c>
      <c r="B297" s="8" t="s">
        <v>3684</v>
      </c>
      <c r="C297" s="8" t="s">
        <v>51</v>
      </c>
      <c r="D297" s="32" t="n">
        <v>45937</v>
      </c>
      <c r="E297" s="8" t="n">
        <v>8</v>
      </c>
      <c r="F297" s="8" t="str">
        <f aca="false">IF(E297&gt;=9,"Promoter",IF(E297&gt;=7,"Passive","Detractor"))</f>
        <v>Passive</v>
      </c>
    </row>
    <row r="298" customFormat="false" ht="15" hidden="false" customHeight="false" outlineLevel="0" collapsed="false">
      <c r="A298" s="8" t="s">
        <v>4902</v>
      </c>
      <c r="B298" s="8" t="s">
        <v>2196</v>
      </c>
      <c r="C298" s="8" t="s">
        <v>51</v>
      </c>
      <c r="D298" s="32" t="n">
        <v>45937</v>
      </c>
      <c r="E298" s="8" t="n">
        <v>10</v>
      </c>
      <c r="F298" s="8" t="str">
        <f aca="false">IF(E298&gt;=9,"Promoter",IF(E298&gt;=7,"Passive","Detractor"))</f>
        <v>Promoter</v>
      </c>
    </row>
    <row r="299" customFormat="false" ht="15" hidden="false" customHeight="false" outlineLevel="0" collapsed="false">
      <c r="A299" s="8" t="s">
        <v>4903</v>
      </c>
      <c r="B299" s="8" t="s">
        <v>2910</v>
      </c>
      <c r="C299" s="8" t="s">
        <v>51</v>
      </c>
      <c r="D299" s="32" t="n">
        <v>45937</v>
      </c>
      <c r="E299" s="8" t="n">
        <v>7</v>
      </c>
      <c r="F299" s="8" t="str">
        <f aca="false">IF(E299&gt;=9,"Promoter",IF(E299&gt;=7,"Passive","Detractor"))</f>
        <v>Passive</v>
      </c>
    </row>
    <row r="300" customFormat="false" ht="15" hidden="false" customHeight="false" outlineLevel="0" collapsed="false">
      <c r="A300" s="8" t="s">
        <v>4904</v>
      </c>
      <c r="B300" s="8" t="s">
        <v>817</v>
      </c>
      <c r="C300" s="8" t="s">
        <v>53</v>
      </c>
      <c r="D300" s="32" t="n">
        <v>45937</v>
      </c>
      <c r="E300" s="8" t="n">
        <v>8</v>
      </c>
      <c r="F300" s="8" t="str">
        <f aca="false">IF(E300&gt;=9,"Promoter",IF(E300&gt;=7,"Passive","Detractor"))</f>
        <v>Passive</v>
      </c>
    </row>
    <row r="301" customFormat="false" ht="15" hidden="false" customHeight="false" outlineLevel="0" collapsed="false">
      <c r="A301" s="8" t="s">
        <v>4905</v>
      </c>
      <c r="B301" s="8" t="s">
        <v>797</v>
      </c>
      <c r="C301" s="8" t="s">
        <v>53</v>
      </c>
      <c r="D301" s="32" t="n">
        <v>45937</v>
      </c>
      <c r="E301" s="8" t="n">
        <v>10</v>
      </c>
      <c r="F301" s="8" t="str">
        <f aca="false">IF(E301&gt;=9,"Promoter",IF(E301&gt;=7,"Passive","Detractor"))</f>
        <v>Promoter</v>
      </c>
    </row>
    <row r="302" customFormat="false" ht="15" hidden="false" customHeight="false" outlineLevel="0" collapsed="false">
      <c r="A302" s="8" t="s">
        <v>4906</v>
      </c>
      <c r="B302" s="8" t="s">
        <v>3032</v>
      </c>
      <c r="C302" s="8" t="s">
        <v>51</v>
      </c>
      <c r="D302" s="32" t="n">
        <v>45937</v>
      </c>
      <c r="E302" s="8" t="n">
        <v>10</v>
      </c>
      <c r="F302" s="8" t="str">
        <f aca="false">IF(E302&gt;=9,"Promoter",IF(E302&gt;=7,"Passive","Detractor"))</f>
        <v>Promoter</v>
      </c>
    </row>
    <row r="303" customFormat="false" ht="15" hidden="false" customHeight="false" outlineLevel="0" collapsed="false">
      <c r="A303" s="8" t="s">
        <v>4907</v>
      </c>
      <c r="B303" s="8" t="s">
        <v>4064</v>
      </c>
      <c r="C303" s="8" t="s">
        <v>51</v>
      </c>
      <c r="D303" s="32" t="n">
        <v>45937</v>
      </c>
      <c r="E303" s="8" t="n">
        <v>8</v>
      </c>
      <c r="F303" s="8" t="str">
        <f aca="false">IF(E303&gt;=9,"Promoter",IF(E303&gt;=7,"Passive","Detractor"))</f>
        <v>Passive</v>
      </c>
    </row>
    <row r="304" customFormat="false" ht="15" hidden="false" customHeight="false" outlineLevel="0" collapsed="false">
      <c r="A304" s="8" t="s">
        <v>4908</v>
      </c>
      <c r="B304" s="8" t="s">
        <v>517</v>
      </c>
      <c r="C304" s="8" t="s">
        <v>55</v>
      </c>
      <c r="D304" s="32" t="n">
        <v>45937</v>
      </c>
      <c r="E304" s="8" t="n">
        <v>6</v>
      </c>
      <c r="F304" s="8" t="str">
        <f aca="false">IF(E304&gt;=9,"Promoter",IF(E304&gt;=7,"Passive","Detractor"))</f>
        <v>Detractor</v>
      </c>
    </row>
    <row r="305" customFormat="false" ht="15" hidden="false" customHeight="false" outlineLevel="0" collapsed="false">
      <c r="A305" s="8" t="s">
        <v>4909</v>
      </c>
      <c r="B305" s="8" t="s">
        <v>2474</v>
      </c>
      <c r="C305" s="8" t="s">
        <v>51</v>
      </c>
      <c r="D305" s="32" t="n">
        <v>45937</v>
      </c>
      <c r="E305" s="8" t="n">
        <v>7</v>
      </c>
      <c r="F305" s="8" t="str">
        <f aca="false">IF(E305&gt;=9,"Promoter",IF(E305&gt;=7,"Passive","Detractor"))</f>
        <v>Passive</v>
      </c>
    </row>
    <row r="306" customFormat="false" ht="15" hidden="false" customHeight="false" outlineLevel="0" collapsed="false">
      <c r="A306" s="8" t="s">
        <v>4910</v>
      </c>
      <c r="B306" s="8" t="s">
        <v>3082</v>
      </c>
      <c r="C306" s="8" t="s">
        <v>51</v>
      </c>
      <c r="D306" s="32" t="n">
        <v>45937</v>
      </c>
      <c r="E306" s="8" t="n">
        <v>10</v>
      </c>
      <c r="F306" s="8" t="str">
        <f aca="false">IF(E306&gt;=9,"Promoter",IF(E306&gt;=7,"Passive","Detractor"))</f>
        <v>Promoter</v>
      </c>
    </row>
    <row r="307" customFormat="false" ht="15" hidden="false" customHeight="false" outlineLevel="0" collapsed="false">
      <c r="A307" s="8" t="s">
        <v>4911</v>
      </c>
      <c r="B307" s="8" t="s">
        <v>2720</v>
      </c>
      <c r="C307" s="8" t="s">
        <v>51</v>
      </c>
      <c r="D307" s="32" t="n">
        <v>45937</v>
      </c>
      <c r="E307" s="8" t="n">
        <v>4</v>
      </c>
      <c r="F307" s="8" t="str">
        <f aca="false">IF(E307&gt;=9,"Promoter",IF(E307&gt;=7,"Passive","Detractor"))</f>
        <v>Detractor</v>
      </c>
    </row>
    <row r="308" customFormat="false" ht="15" hidden="false" customHeight="false" outlineLevel="0" collapsed="false">
      <c r="A308" s="8" t="s">
        <v>4912</v>
      </c>
      <c r="B308" s="8" t="s">
        <v>3194</v>
      </c>
      <c r="C308" s="8" t="s">
        <v>51</v>
      </c>
      <c r="D308" s="32" t="n">
        <v>45937</v>
      </c>
      <c r="E308" s="8" t="n">
        <v>6</v>
      </c>
      <c r="F308" s="8" t="str">
        <f aca="false">IF(E308&gt;=9,"Promoter",IF(E308&gt;=7,"Passive","Detractor"))</f>
        <v>Detractor</v>
      </c>
    </row>
    <row r="309" customFormat="false" ht="15" hidden="false" customHeight="false" outlineLevel="0" collapsed="false">
      <c r="A309" s="8" t="s">
        <v>4913</v>
      </c>
      <c r="B309" s="8" t="s">
        <v>4563</v>
      </c>
      <c r="C309" s="8" t="s">
        <v>51</v>
      </c>
      <c r="D309" s="32" t="n">
        <v>45937</v>
      </c>
      <c r="E309" s="8" t="n">
        <v>10</v>
      </c>
      <c r="F309" s="8" t="str">
        <f aca="false">IF(E309&gt;=9,"Promoter",IF(E309&gt;=7,"Passive","Detractor"))</f>
        <v>Promoter</v>
      </c>
    </row>
    <row r="310" customFormat="false" ht="15" hidden="false" customHeight="false" outlineLevel="0" collapsed="false">
      <c r="A310" s="8" t="s">
        <v>4914</v>
      </c>
      <c r="B310" s="8" t="s">
        <v>191</v>
      </c>
      <c r="C310" s="8" t="s">
        <v>55</v>
      </c>
      <c r="D310" s="32" t="n">
        <v>45938</v>
      </c>
      <c r="E310" s="8" t="n">
        <v>8</v>
      </c>
      <c r="F310" s="8" t="str">
        <f aca="false">IF(E310&gt;=9,"Promoter",IF(E310&gt;=7,"Passive","Detractor"))</f>
        <v>Passive</v>
      </c>
    </row>
    <row r="311" customFormat="false" ht="15" hidden="false" customHeight="false" outlineLevel="0" collapsed="false">
      <c r="A311" s="8" t="s">
        <v>4915</v>
      </c>
      <c r="B311" s="8" t="s">
        <v>3858</v>
      </c>
      <c r="C311" s="8" t="s">
        <v>51</v>
      </c>
      <c r="D311" s="32" t="n">
        <v>45938</v>
      </c>
      <c r="E311" s="8" t="n">
        <v>10</v>
      </c>
      <c r="F311" s="8" t="str">
        <f aca="false">IF(E311&gt;=9,"Promoter",IF(E311&gt;=7,"Passive","Detractor"))</f>
        <v>Promoter</v>
      </c>
    </row>
    <row r="312" customFormat="false" ht="15" hidden="false" customHeight="false" outlineLevel="0" collapsed="false">
      <c r="A312" s="8" t="s">
        <v>4916</v>
      </c>
      <c r="B312" s="8" t="s">
        <v>979</v>
      </c>
      <c r="C312" s="8" t="s">
        <v>53</v>
      </c>
      <c r="D312" s="32" t="n">
        <v>45938</v>
      </c>
      <c r="E312" s="8" t="n">
        <v>10</v>
      </c>
      <c r="F312" s="8" t="str">
        <f aca="false">IF(E312&gt;=9,"Promoter",IF(E312&gt;=7,"Passive","Detractor"))</f>
        <v>Promoter</v>
      </c>
    </row>
    <row r="313" customFormat="false" ht="15" hidden="false" customHeight="false" outlineLevel="0" collapsed="false">
      <c r="A313" s="8" t="s">
        <v>4917</v>
      </c>
      <c r="B313" s="8" t="s">
        <v>2284</v>
      </c>
      <c r="C313" s="8" t="s">
        <v>51</v>
      </c>
      <c r="D313" s="32" t="n">
        <v>45938</v>
      </c>
      <c r="E313" s="8" t="n">
        <v>9</v>
      </c>
      <c r="F313" s="8" t="str">
        <f aca="false">IF(E313&gt;=9,"Promoter",IF(E313&gt;=7,"Passive","Detractor"))</f>
        <v>Promoter</v>
      </c>
    </row>
    <row r="314" customFormat="false" ht="15" hidden="false" customHeight="false" outlineLevel="0" collapsed="false">
      <c r="A314" s="8" t="s">
        <v>4918</v>
      </c>
      <c r="B314" s="8" t="s">
        <v>2504</v>
      </c>
      <c r="C314" s="8" t="s">
        <v>51</v>
      </c>
      <c r="D314" s="32" t="n">
        <v>45938</v>
      </c>
      <c r="E314" s="8" t="n">
        <v>6</v>
      </c>
      <c r="F314" s="8" t="str">
        <f aca="false">IF(E314&gt;=9,"Promoter",IF(E314&gt;=7,"Passive","Detractor"))</f>
        <v>Detractor</v>
      </c>
    </row>
    <row r="315" customFormat="false" ht="15" hidden="false" customHeight="false" outlineLevel="0" collapsed="false">
      <c r="A315" s="8" t="s">
        <v>4919</v>
      </c>
      <c r="B315" s="8" t="s">
        <v>3026</v>
      </c>
      <c r="C315" s="8" t="s">
        <v>51</v>
      </c>
      <c r="D315" s="32" t="n">
        <v>45938</v>
      </c>
      <c r="E315" s="8" t="n">
        <v>10</v>
      </c>
      <c r="F315" s="8" t="str">
        <f aca="false">IF(E315&gt;=9,"Promoter",IF(E315&gt;=7,"Passive","Detractor"))</f>
        <v>Promoter</v>
      </c>
    </row>
    <row r="316" customFormat="false" ht="15" hidden="false" customHeight="false" outlineLevel="0" collapsed="false">
      <c r="A316" s="8" t="s">
        <v>4920</v>
      </c>
      <c r="B316" s="8" t="s">
        <v>3986</v>
      </c>
      <c r="C316" s="8" t="s">
        <v>51</v>
      </c>
      <c r="D316" s="32" t="n">
        <v>45938</v>
      </c>
      <c r="E316" s="8" t="n">
        <v>7</v>
      </c>
      <c r="F316" s="8" t="str">
        <f aca="false">IF(E316&gt;=9,"Promoter",IF(E316&gt;=7,"Passive","Detractor"))</f>
        <v>Passive</v>
      </c>
    </row>
    <row r="317" customFormat="false" ht="15" hidden="false" customHeight="false" outlineLevel="0" collapsed="false">
      <c r="A317" s="8" t="s">
        <v>4921</v>
      </c>
      <c r="B317" s="8" t="s">
        <v>2274</v>
      </c>
      <c r="C317" s="8" t="s">
        <v>51</v>
      </c>
      <c r="D317" s="32" t="n">
        <v>45938</v>
      </c>
      <c r="E317" s="8" t="n">
        <v>10</v>
      </c>
      <c r="F317" s="8" t="str">
        <f aca="false">IF(E317&gt;=9,"Promoter",IF(E317&gt;=7,"Passive","Detractor"))</f>
        <v>Promoter</v>
      </c>
    </row>
    <row r="318" customFormat="false" ht="15" hidden="false" customHeight="false" outlineLevel="0" collapsed="false">
      <c r="A318" s="8" t="s">
        <v>4922</v>
      </c>
      <c r="B318" s="8" t="s">
        <v>775</v>
      </c>
      <c r="C318" s="8" t="s">
        <v>53</v>
      </c>
      <c r="D318" s="32" t="n">
        <v>45938</v>
      </c>
      <c r="E318" s="8" t="n">
        <v>8</v>
      </c>
      <c r="F318" s="8" t="str">
        <f aca="false">IF(E318&gt;=9,"Promoter",IF(E318&gt;=7,"Passive","Detractor"))</f>
        <v>Passive</v>
      </c>
    </row>
    <row r="319" customFormat="false" ht="15" hidden="false" customHeight="false" outlineLevel="0" collapsed="false">
      <c r="A319" s="8" t="s">
        <v>4923</v>
      </c>
      <c r="B319" s="8" t="s">
        <v>2790</v>
      </c>
      <c r="C319" s="8" t="s">
        <v>51</v>
      </c>
      <c r="D319" s="32" t="n">
        <v>45938</v>
      </c>
      <c r="E319" s="8" t="n">
        <v>5</v>
      </c>
      <c r="F319" s="8" t="str">
        <f aca="false">IF(E319&gt;=9,"Promoter",IF(E319&gt;=7,"Passive","Detractor"))</f>
        <v>Detractor</v>
      </c>
    </row>
    <row r="320" customFormat="false" ht="15" hidden="false" customHeight="false" outlineLevel="0" collapsed="false">
      <c r="A320" s="8" t="s">
        <v>4924</v>
      </c>
      <c r="B320" s="8" t="s">
        <v>3356</v>
      </c>
      <c r="C320" s="8" t="s">
        <v>51</v>
      </c>
      <c r="D320" s="32" t="n">
        <v>45938</v>
      </c>
      <c r="E320" s="8" t="n">
        <v>9</v>
      </c>
      <c r="F320" s="8" t="str">
        <f aca="false">IF(E320&gt;=9,"Promoter",IF(E320&gt;=7,"Passive","Detractor"))</f>
        <v>Promoter</v>
      </c>
    </row>
    <row r="321" customFormat="false" ht="15" hidden="false" customHeight="false" outlineLevel="0" collapsed="false">
      <c r="A321" s="8" t="s">
        <v>4925</v>
      </c>
      <c r="B321" s="8" t="s">
        <v>1507</v>
      </c>
      <c r="C321" s="8" t="s">
        <v>53</v>
      </c>
      <c r="D321" s="32" t="n">
        <v>45938</v>
      </c>
      <c r="E321" s="8" t="n">
        <v>6</v>
      </c>
      <c r="F321" s="8" t="str">
        <f aca="false">IF(E321&gt;=9,"Promoter",IF(E321&gt;=7,"Passive","Detractor"))</f>
        <v>Detractor</v>
      </c>
    </row>
    <row r="322" customFormat="false" ht="15" hidden="false" customHeight="false" outlineLevel="0" collapsed="false">
      <c r="A322" s="8" t="s">
        <v>4926</v>
      </c>
      <c r="B322" s="8" t="s">
        <v>1609</v>
      </c>
      <c r="C322" s="8" t="s">
        <v>51</v>
      </c>
      <c r="D322" s="32" t="n">
        <v>45938</v>
      </c>
      <c r="E322" s="8" t="n">
        <v>10</v>
      </c>
      <c r="F322" s="8" t="str">
        <f aca="false">IF(E322&gt;=9,"Promoter",IF(E322&gt;=7,"Passive","Detractor"))</f>
        <v>Promoter</v>
      </c>
    </row>
    <row r="323" customFormat="false" ht="15" hidden="false" customHeight="false" outlineLevel="0" collapsed="false">
      <c r="A323" s="8" t="s">
        <v>4927</v>
      </c>
      <c r="B323" s="8" t="s">
        <v>2946</v>
      </c>
      <c r="C323" s="8" t="s">
        <v>51</v>
      </c>
      <c r="D323" s="32" t="n">
        <v>45938</v>
      </c>
      <c r="E323" s="8" t="n">
        <v>8</v>
      </c>
      <c r="F323" s="8" t="str">
        <f aca="false">IF(E323&gt;=9,"Promoter",IF(E323&gt;=7,"Passive","Detractor"))</f>
        <v>Passive</v>
      </c>
    </row>
    <row r="324" customFormat="false" ht="15" hidden="false" customHeight="false" outlineLevel="0" collapsed="false">
      <c r="A324" s="8" t="s">
        <v>4928</v>
      </c>
      <c r="B324" s="8" t="s">
        <v>2650</v>
      </c>
      <c r="C324" s="8" t="s">
        <v>51</v>
      </c>
      <c r="D324" s="32" t="n">
        <v>45938</v>
      </c>
      <c r="E324" s="8" t="n">
        <v>8</v>
      </c>
      <c r="F324" s="8" t="str">
        <f aca="false">IF(E324&gt;=9,"Promoter",IF(E324&gt;=7,"Passive","Detractor"))</f>
        <v>Passive</v>
      </c>
    </row>
    <row r="325" customFormat="false" ht="15" hidden="false" customHeight="false" outlineLevel="0" collapsed="false">
      <c r="A325" s="8" t="s">
        <v>4929</v>
      </c>
      <c r="B325" s="8" t="s">
        <v>4435</v>
      </c>
      <c r="C325" s="8" t="s">
        <v>53</v>
      </c>
      <c r="D325" s="32" t="n">
        <v>45938</v>
      </c>
      <c r="E325" s="8" t="n">
        <v>6</v>
      </c>
      <c r="F325" s="8" t="str">
        <f aca="false">IF(E325&gt;=9,"Promoter",IF(E325&gt;=7,"Passive","Detractor"))</f>
        <v>Detractor</v>
      </c>
    </row>
    <row r="326" customFormat="false" ht="15" hidden="false" customHeight="false" outlineLevel="0" collapsed="false">
      <c r="A326" s="8" t="s">
        <v>4930</v>
      </c>
      <c r="B326" s="8" t="s">
        <v>533</v>
      </c>
      <c r="C326" s="8" t="s">
        <v>55</v>
      </c>
      <c r="D326" s="32" t="n">
        <v>45938</v>
      </c>
      <c r="E326" s="8" t="n">
        <v>9</v>
      </c>
      <c r="F326" s="8" t="str">
        <f aca="false">IF(E326&gt;=9,"Promoter",IF(E326&gt;=7,"Passive","Detractor"))</f>
        <v>Promoter</v>
      </c>
    </row>
    <row r="327" customFormat="false" ht="15" hidden="false" customHeight="false" outlineLevel="0" collapsed="false">
      <c r="A327" s="8" t="s">
        <v>4931</v>
      </c>
      <c r="B327" s="8" t="s">
        <v>3514</v>
      </c>
      <c r="C327" s="8" t="s">
        <v>51</v>
      </c>
      <c r="D327" s="32" t="n">
        <v>45938</v>
      </c>
      <c r="E327" s="8" t="n">
        <v>8</v>
      </c>
      <c r="F327" s="8" t="str">
        <f aca="false">IF(E327&gt;=9,"Promoter",IF(E327&gt;=7,"Passive","Detractor"))</f>
        <v>Passive</v>
      </c>
    </row>
    <row r="328" customFormat="false" ht="15" hidden="false" customHeight="false" outlineLevel="0" collapsed="false">
      <c r="A328" s="8" t="s">
        <v>4932</v>
      </c>
      <c r="B328" s="8" t="s">
        <v>2806</v>
      </c>
      <c r="C328" s="8" t="s">
        <v>51</v>
      </c>
      <c r="D328" s="32" t="n">
        <v>45938</v>
      </c>
      <c r="E328" s="8" t="n">
        <v>7</v>
      </c>
      <c r="F328" s="8" t="str">
        <f aca="false">IF(E328&gt;=9,"Promoter",IF(E328&gt;=7,"Passive","Detractor"))</f>
        <v>Passive</v>
      </c>
    </row>
    <row r="329" customFormat="false" ht="15" hidden="false" customHeight="false" outlineLevel="0" collapsed="false">
      <c r="A329" s="8" t="s">
        <v>4933</v>
      </c>
      <c r="B329" s="8" t="s">
        <v>1691</v>
      </c>
      <c r="C329" s="8" t="s">
        <v>51</v>
      </c>
      <c r="D329" s="32" t="n">
        <v>45938</v>
      </c>
      <c r="E329" s="8" t="n">
        <v>10</v>
      </c>
      <c r="F329" s="8" t="str">
        <f aca="false">IF(E329&gt;=9,"Promoter",IF(E329&gt;=7,"Passive","Detractor"))</f>
        <v>Promoter</v>
      </c>
    </row>
    <row r="330" customFormat="false" ht="15" hidden="false" customHeight="false" outlineLevel="0" collapsed="false">
      <c r="A330" s="8" t="s">
        <v>4934</v>
      </c>
      <c r="B330" s="8" t="s">
        <v>1543</v>
      </c>
      <c r="C330" s="8" t="s">
        <v>53</v>
      </c>
      <c r="D330" s="32" t="n">
        <v>45938</v>
      </c>
      <c r="E330" s="8" t="n">
        <v>9</v>
      </c>
      <c r="F330" s="8" t="str">
        <f aca="false">IF(E330&gt;=9,"Promoter",IF(E330&gt;=7,"Passive","Detractor"))</f>
        <v>Promoter</v>
      </c>
    </row>
    <row r="331" customFormat="false" ht="15" hidden="false" customHeight="false" outlineLevel="0" collapsed="false">
      <c r="A331" s="8" t="s">
        <v>4935</v>
      </c>
      <c r="B331" s="8" t="s">
        <v>1757</v>
      </c>
      <c r="C331" s="8" t="s">
        <v>53</v>
      </c>
      <c r="D331" s="32" t="n">
        <v>45938</v>
      </c>
      <c r="E331" s="8" t="n">
        <v>10</v>
      </c>
      <c r="F331" s="8" t="str">
        <f aca="false">IF(E331&gt;=9,"Promoter",IF(E331&gt;=7,"Passive","Detractor"))</f>
        <v>Promoter</v>
      </c>
    </row>
    <row r="332" customFormat="false" ht="15" hidden="false" customHeight="false" outlineLevel="0" collapsed="false">
      <c r="A332" s="8" t="s">
        <v>4936</v>
      </c>
      <c r="B332" s="8" t="s">
        <v>3142</v>
      </c>
      <c r="C332" s="8" t="s">
        <v>51</v>
      </c>
      <c r="D332" s="32" t="n">
        <v>45938</v>
      </c>
      <c r="E332" s="8" t="n">
        <v>10</v>
      </c>
      <c r="F332" s="8" t="str">
        <f aca="false">IF(E332&gt;=9,"Promoter",IF(E332&gt;=7,"Passive","Detractor"))</f>
        <v>Promoter</v>
      </c>
    </row>
    <row r="333" customFormat="false" ht="15" hidden="false" customHeight="false" outlineLevel="0" collapsed="false">
      <c r="A333" s="8" t="s">
        <v>4937</v>
      </c>
      <c r="B333" s="8" t="s">
        <v>3540</v>
      </c>
      <c r="C333" s="8" t="s">
        <v>51</v>
      </c>
      <c r="D333" s="32" t="n">
        <v>45938</v>
      </c>
      <c r="E333" s="8" t="n">
        <v>9</v>
      </c>
      <c r="F333" s="8" t="str">
        <f aca="false">IF(E333&gt;=9,"Promoter",IF(E333&gt;=7,"Passive","Detractor"))</f>
        <v>Promoter</v>
      </c>
    </row>
    <row r="334" customFormat="false" ht="15" hidden="false" customHeight="false" outlineLevel="0" collapsed="false">
      <c r="A334" s="8" t="s">
        <v>4938</v>
      </c>
      <c r="B334" s="8" t="s">
        <v>1015</v>
      </c>
      <c r="C334" s="8" t="s">
        <v>55</v>
      </c>
      <c r="D334" s="32" t="n">
        <v>45939</v>
      </c>
      <c r="E334" s="8" t="n">
        <v>8</v>
      </c>
      <c r="F334" s="8" t="str">
        <f aca="false">IF(E334&gt;=9,"Promoter",IF(E334&gt;=7,"Passive","Detractor"))</f>
        <v>Passive</v>
      </c>
    </row>
    <row r="335" customFormat="false" ht="15" hidden="false" customHeight="false" outlineLevel="0" collapsed="false">
      <c r="A335" s="8" t="s">
        <v>4939</v>
      </c>
      <c r="B335" s="8" t="s">
        <v>1915</v>
      </c>
      <c r="C335" s="8" t="s">
        <v>51</v>
      </c>
      <c r="D335" s="32" t="n">
        <v>45939</v>
      </c>
      <c r="E335" s="8" t="n">
        <v>10</v>
      </c>
      <c r="F335" s="8" t="str">
        <f aca="false">IF(E335&gt;=9,"Promoter",IF(E335&gt;=7,"Passive","Detractor"))</f>
        <v>Promoter</v>
      </c>
    </row>
    <row r="336" customFormat="false" ht="15" hidden="false" customHeight="false" outlineLevel="0" collapsed="false">
      <c r="A336" s="8" t="s">
        <v>4940</v>
      </c>
      <c r="B336" s="8" t="s">
        <v>529</v>
      </c>
      <c r="C336" s="8" t="s">
        <v>53</v>
      </c>
      <c r="D336" s="32" t="n">
        <v>45939</v>
      </c>
      <c r="E336" s="8" t="n">
        <v>7</v>
      </c>
      <c r="F336" s="8" t="str">
        <f aca="false">IF(E336&gt;=9,"Promoter",IF(E336&gt;=7,"Passive","Detractor"))</f>
        <v>Passive</v>
      </c>
    </row>
    <row r="337" customFormat="false" ht="15" hidden="false" customHeight="false" outlineLevel="0" collapsed="false">
      <c r="A337" s="8" t="s">
        <v>4941</v>
      </c>
      <c r="B337" s="8" t="s">
        <v>1535</v>
      </c>
      <c r="C337" s="8" t="s">
        <v>53</v>
      </c>
      <c r="D337" s="32" t="n">
        <v>45939</v>
      </c>
      <c r="E337" s="8" t="n">
        <v>7</v>
      </c>
      <c r="F337" s="8" t="str">
        <f aca="false">IF(E337&gt;=9,"Promoter",IF(E337&gt;=7,"Passive","Detractor"))</f>
        <v>Passive</v>
      </c>
    </row>
    <row r="338" customFormat="false" ht="15" hidden="false" customHeight="false" outlineLevel="0" collapsed="false">
      <c r="A338" s="8" t="s">
        <v>4942</v>
      </c>
      <c r="B338" s="8" t="s">
        <v>2092</v>
      </c>
      <c r="C338" s="8" t="s">
        <v>51</v>
      </c>
      <c r="D338" s="32" t="n">
        <v>45939</v>
      </c>
      <c r="E338" s="8" t="n">
        <v>7</v>
      </c>
      <c r="F338" s="8" t="str">
        <f aca="false">IF(E338&gt;=9,"Promoter",IF(E338&gt;=7,"Passive","Detractor"))</f>
        <v>Passive</v>
      </c>
    </row>
    <row r="339" customFormat="false" ht="15" hidden="false" customHeight="false" outlineLevel="0" collapsed="false">
      <c r="A339" s="8" t="s">
        <v>4943</v>
      </c>
      <c r="B339" s="8" t="s">
        <v>3602</v>
      </c>
      <c r="C339" s="8" t="s">
        <v>51</v>
      </c>
      <c r="D339" s="32" t="n">
        <v>45939</v>
      </c>
      <c r="E339" s="8" t="n">
        <v>4</v>
      </c>
      <c r="F339" s="8" t="str">
        <f aca="false">IF(E339&gt;=9,"Promoter",IF(E339&gt;=7,"Passive","Detractor"))</f>
        <v>Detractor</v>
      </c>
    </row>
    <row r="340" customFormat="false" ht="15" hidden="false" customHeight="false" outlineLevel="0" collapsed="false">
      <c r="A340" s="8" t="s">
        <v>4944</v>
      </c>
      <c r="B340" s="8" t="s">
        <v>3066</v>
      </c>
      <c r="C340" s="8" t="s">
        <v>51</v>
      </c>
      <c r="D340" s="32" t="n">
        <v>45939</v>
      </c>
      <c r="E340" s="8" t="n">
        <v>7</v>
      </c>
      <c r="F340" s="8" t="str">
        <f aca="false">IF(E340&gt;=9,"Promoter",IF(E340&gt;=7,"Passive","Detractor"))</f>
        <v>Passive</v>
      </c>
    </row>
    <row r="341" customFormat="false" ht="15" hidden="false" customHeight="false" outlineLevel="0" collapsed="false">
      <c r="A341" s="8" t="s">
        <v>4945</v>
      </c>
      <c r="B341" s="8" t="s">
        <v>639</v>
      </c>
      <c r="C341" s="8" t="s">
        <v>55</v>
      </c>
      <c r="D341" s="32" t="n">
        <v>45939</v>
      </c>
      <c r="E341" s="8" t="n">
        <v>8</v>
      </c>
      <c r="F341" s="8" t="str">
        <f aca="false">IF(E341&gt;=9,"Promoter",IF(E341&gt;=7,"Passive","Detractor"))</f>
        <v>Passive</v>
      </c>
    </row>
    <row r="342" customFormat="false" ht="15" hidden="false" customHeight="false" outlineLevel="0" collapsed="false">
      <c r="A342" s="8" t="s">
        <v>4946</v>
      </c>
      <c r="B342" s="8" t="s">
        <v>479</v>
      </c>
      <c r="C342" s="8" t="s">
        <v>55</v>
      </c>
      <c r="D342" s="32" t="n">
        <v>45939</v>
      </c>
      <c r="E342" s="8" t="n">
        <v>8</v>
      </c>
      <c r="F342" s="8" t="str">
        <f aca="false">IF(E342&gt;=9,"Promoter",IF(E342&gt;=7,"Passive","Detractor"))</f>
        <v>Passive</v>
      </c>
    </row>
    <row r="343" customFormat="false" ht="15" hidden="false" customHeight="false" outlineLevel="0" collapsed="false">
      <c r="A343" s="8" t="s">
        <v>4947</v>
      </c>
      <c r="B343" s="8" t="s">
        <v>519</v>
      </c>
      <c r="C343" s="8" t="s">
        <v>55</v>
      </c>
      <c r="D343" s="32" t="n">
        <v>45939</v>
      </c>
      <c r="E343" s="8" t="n">
        <v>8</v>
      </c>
      <c r="F343" s="8" t="str">
        <f aca="false">IF(E343&gt;=9,"Promoter",IF(E343&gt;=7,"Passive","Detractor"))</f>
        <v>Passive</v>
      </c>
    </row>
    <row r="344" customFormat="false" ht="15" hidden="false" customHeight="false" outlineLevel="0" collapsed="false">
      <c r="A344" s="8" t="s">
        <v>4948</v>
      </c>
      <c r="B344" s="8" t="s">
        <v>3076</v>
      </c>
      <c r="C344" s="8" t="s">
        <v>51</v>
      </c>
      <c r="D344" s="32" t="n">
        <v>45939</v>
      </c>
      <c r="E344" s="8" t="n">
        <v>8</v>
      </c>
      <c r="F344" s="8" t="str">
        <f aca="false">IF(E344&gt;=9,"Promoter",IF(E344&gt;=7,"Passive","Detractor"))</f>
        <v>Passive</v>
      </c>
    </row>
    <row r="345" customFormat="false" ht="15" hidden="false" customHeight="false" outlineLevel="0" collapsed="false">
      <c r="A345" s="8" t="s">
        <v>4949</v>
      </c>
      <c r="B345" s="8" t="s">
        <v>2054</v>
      </c>
      <c r="C345" s="8" t="s">
        <v>51</v>
      </c>
      <c r="D345" s="32" t="n">
        <v>45939</v>
      </c>
      <c r="E345" s="8" t="n">
        <v>5</v>
      </c>
      <c r="F345" s="8" t="str">
        <f aca="false">IF(E345&gt;=9,"Promoter",IF(E345&gt;=7,"Passive","Detractor"))</f>
        <v>Detractor</v>
      </c>
    </row>
    <row r="346" customFormat="false" ht="15" hidden="false" customHeight="false" outlineLevel="0" collapsed="false">
      <c r="A346" s="8" t="s">
        <v>4950</v>
      </c>
      <c r="B346" s="8" t="s">
        <v>1345</v>
      </c>
      <c r="C346" s="8" t="s">
        <v>53</v>
      </c>
      <c r="D346" s="32" t="n">
        <v>45939</v>
      </c>
      <c r="E346" s="8" t="n">
        <v>5</v>
      </c>
      <c r="F346" s="8" t="str">
        <f aca="false">IF(E346&gt;=9,"Promoter",IF(E346&gt;=7,"Passive","Detractor"))</f>
        <v>Detractor</v>
      </c>
    </row>
    <row r="347" customFormat="false" ht="15" hidden="false" customHeight="false" outlineLevel="0" collapsed="false">
      <c r="A347" s="8" t="s">
        <v>4951</v>
      </c>
      <c r="B347" s="8" t="s">
        <v>4080</v>
      </c>
      <c r="C347" s="8" t="s">
        <v>51</v>
      </c>
      <c r="D347" s="32" t="n">
        <v>45939</v>
      </c>
      <c r="E347" s="8" t="n">
        <v>7</v>
      </c>
      <c r="F347" s="8" t="str">
        <f aca="false">IF(E347&gt;=9,"Promoter",IF(E347&gt;=7,"Passive","Detractor"))</f>
        <v>Passive</v>
      </c>
    </row>
    <row r="348" customFormat="false" ht="15" hidden="false" customHeight="false" outlineLevel="0" collapsed="false">
      <c r="A348" s="8" t="s">
        <v>4952</v>
      </c>
      <c r="B348" s="8" t="s">
        <v>2112</v>
      </c>
      <c r="C348" s="8" t="s">
        <v>51</v>
      </c>
      <c r="D348" s="32" t="n">
        <v>45939</v>
      </c>
      <c r="E348" s="8" t="n">
        <v>10</v>
      </c>
      <c r="F348" s="8" t="str">
        <f aca="false">IF(E348&gt;=9,"Promoter",IF(E348&gt;=7,"Passive","Detractor"))</f>
        <v>Promoter</v>
      </c>
    </row>
    <row r="349" customFormat="false" ht="15" hidden="false" customHeight="false" outlineLevel="0" collapsed="false">
      <c r="A349" s="8" t="s">
        <v>4953</v>
      </c>
      <c r="B349" s="8" t="s">
        <v>3038</v>
      </c>
      <c r="C349" s="8" t="s">
        <v>51</v>
      </c>
      <c r="D349" s="32" t="n">
        <v>45939</v>
      </c>
      <c r="E349" s="8" t="n">
        <v>8</v>
      </c>
      <c r="F349" s="8" t="str">
        <f aca="false">IF(E349&gt;=9,"Promoter",IF(E349&gt;=7,"Passive","Detractor"))</f>
        <v>Passive</v>
      </c>
    </row>
    <row r="350" customFormat="false" ht="15" hidden="false" customHeight="false" outlineLevel="0" collapsed="false">
      <c r="A350" s="8" t="s">
        <v>4954</v>
      </c>
      <c r="B350" s="8" t="s">
        <v>3024</v>
      </c>
      <c r="C350" s="8" t="s">
        <v>51</v>
      </c>
      <c r="D350" s="32" t="n">
        <v>45940</v>
      </c>
      <c r="E350" s="8" t="n">
        <v>9</v>
      </c>
      <c r="F350" s="8" t="str">
        <f aca="false">IF(E350&gt;=9,"Promoter",IF(E350&gt;=7,"Passive","Detractor"))</f>
        <v>Promoter</v>
      </c>
    </row>
    <row r="351" customFormat="false" ht="15" hidden="false" customHeight="false" outlineLevel="0" collapsed="false">
      <c r="A351" s="8" t="s">
        <v>4955</v>
      </c>
      <c r="B351" s="8" t="s">
        <v>296</v>
      </c>
      <c r="C351" s="8" t="s">
        <v>55</v>
      </c>
      <c r="D351" s="32" t="n">
        <v>45940</v>
      </c>
      <c r="E351" s="8" t="n">
        <v>10</v>
      </c>
      <c r="F351" s="8" t="str">
        <f aca="false">IF(E351&gt;=9,"Promoter",IF(E351&gt;=7,"Passive","Detractor"))</f>
        <v>Promoter</v>
      </c>
    </row>
    <row r="352" customFormat="false" ht="15" hidden="false" customHeight="false" outlineLevel="0" collapsed="false">
      <c r="A352" s="8" t="s">
        <v>4956</v>
      </c>
      <c r="B352" s="8" t="s">
        <v>1319</v>
      </c>
      <c r="C352" s="8" t="s">
        <v>53</v>
      </c>
      <c r="D352" s="32" t="n">
        <v>45940</v>
      </c>
      <c r="E352" s="8" t="n">
        <v>5</v>
      </c>
      <c r="F352" s="8" t="str">
        <f aca="false">IF(E352&gt;=9,"Promoter",IF(E352&gt;=7,"Passive","Detractor"))</f>
        <v>Detractor</v>
      </c>
    </row>
    <row r="353" customFormat="false" ht="15" hidden="false" customHeight="false" outlineLevel="0" collapsed="false">
      <c r="A353" s="8" t="s">
        <v>4957</v>
      </c>
      <c r="B353" s="8" t="s">
        <v>2974</v>
      </c>
      <c r="C353" s="8" t="s">
        <v>51</v>
      </c>
      <c r="D353" s="32" t="n">
        <v>45940</v>
      </c>
      <c r="E353" s="8" t="n">
        <v>10</v>
      </c>
      <c r="F353" s="8" t="str">
        <f aca="false">IF(E353&gt;=9,"Promoter",IF(E353&gt;=7,"Passive","Detractor"))</f>
        <v>Promoter</v>
      </c>
    </row>
    <row r="354" customFormat="false" ht="15" hidden="false" customHeight="false" outlineLevel="0" collapsed="false">
      <c r="A354" s="8" t="s">
        <v>4958</v>
      </c>
      <c r="B354" s="8" t="s">
        <v>719</v>
      </c>
      <c r="C354" s="8" t="s">
        <v>53</v>
      </c>
      <c r="D354" s="32" t="n">
        <v>45940</v>
      </c>
      <c r="E354" s="8" t="n">
        <v>10</v>
      </c>
      <c r="F354" s="8" t="str">
        <f aca="false">IF(E354&gt;=9,"Promoter",IF(E354&gt;=7,"Passive","Detractor"))</f>
        <v>Promoter</v>
      </c>
    </row>
    <row r="355" customFormat="false" ht="15" hidden="false" customHeight="false" outlineLevel="0" collapsed="false">
      <c r="A355" s="8" t="s">
        <v>4959</v>
      </c>
      <c r="B355" s="8" t="s">
        <v>4568</v>
      </c>
      <c r="C355" s="8" t="s">
        <v>51</v>
      </c>
      <c r="D355" s="32" t="n">
        <v>45940</v>
      </c>
      <c r="E355" s="8" t="n">
        <v>7</v>
      </c>
      <c r="F355" s="8" t="str">
        <f aca="false">IF(E355&gt;=9,"Promoter",IF(E355&gt;=7,"Passive","Detractor"))</f>
        <v>Passive</v>
      </c>
    </row>
    <row r="356" customFormat="false" ht="15" hidden="false" customHeight="false" outlineLevel="0" collapsed="false">
      <c r="A356" s="8" t="s">
        <v>4960</v>
      </c>
      <c r="B356" s="8" t="s">
        <v>3256</v>
      </c>
      <c r="C356" s="8" t="s">
        <v>51</v>
      </c>
      <c r="D356" s="32" t="n">
        <v>45940</v>
      </c>
      <c r="E356" s="8" t="n">
        <v>10</v>
      </c>
      <c r="F356" s="8" t="str">
        <f aca="false">IF(E356&gt;=9,"Promoter",IF(E356&gt;=7,"Passive","Detractor"))</f>
        <v>Promoter</v>
      </c>
    </row>
    <row r="357" customFormat="false" ht="15" hidden="false" customHeight="false" outlineLevel="0" collapsed="false">
      <c r="A357" s="8" t="s">
        <v>4961</v>
      </c>
      <c r="B357" s="8" t="s">
        <v>1875</v>
      </c>
      <c r="C357" s="8" t="s">
        <v>51</v>
      </c>
      <c r="D357" s="32" t="n">
        <v>45940</v>
      </c>
      <c r="E357" s="8" t="n">
        <v>10</v>
      </c>
      <c r="F357" s="8" t="str">
        <f aca="false">IF(E357&gt;=9,"Promoter",IF(E357&gt;=7,"Passive","Detractor"))</f>
        <v>Promoter</v>
      </c>
    </row>
    <row r="358" customFormat="false" ht="15" hidden="false" customHeight="false" outlineLevel="0" collapsed="false">
      <c r="A358" s="8" t="s">
        <v>4962</v>
      </c>
      <c r="B358" s="8" t="s">
        <v>1251</v>
      </c>
      <c r="C358" s="8" t="s">
        <v>53</v>
      </c>
      <c r="D358" s="32" t="n">
        <v>45940</v>
      </c>
      <c r="E358" s="8" t="n">
        <v>10</v>
      </c>
      <c r="F358" s="8" t="str">
        <f aca="false">IF(E358&gt;=9,"Promoter",IF(E358&gt;=7,"Passive","Detractor"))</f>
        <v>Promoter</v>
      </c>
    </row>
    <row r="359" customFormat="false" ht="15" hidden="false" customHeight="false" outlineLevel="0" collapsed="false">
      <c r="A359" s="8" t="s">
        <v>4963</v>
      </c>
      <c r="B359" s="8" t="s">
        <v>3838</v>
      </c>
      <c r="C359" s="8" t="s">
        <v>51</v>
      </c>
      <c r="D359" s="32" t="n">
        <v>45940</v>
      </c>
      <c r="E359" s="8" t="n">
        <v>7</v>
      </c>
      <c r="F359" s="8" t="str">
        <f aca="false">IF(E359&gt;=9,"Promoter",IF(E359&gt;=7,"Passive","Detractor"))</f>
        <v>Passive</v>
      </c>
    </row>
    <row r="360" customFormat="false" ht="15" hidden="false" customHeight="false" outlineLevel="0" collapsed="false">
      <c r="A360" s="8" t="s">
        <v>4964</v>
      </c>
      <c r="B360" s="8" t="s">
        <v>4515</v>
      </c>
      <c r="C360" s="8" t="s">
        <v>51</v>
      </c>
      <c r="D360" s="32" t="n">
        <v>45940</v>
      </c>
      <c r="E360" s="8" t="n">
        <v>5</v>
      </c>
      <c r="F360" s="8" t="str">
        <f aca="false">IF(E360&gt;=9,"Promoter",IF(E360&gt;=7,"Passive","Detractor"))</f>
        <v>Detractor</v>
      </c>
    </row>
    <row r="361" customFormat="false" ht="15" hidden="false" customHeight="false" outlineLevel="0" collapsed="false">
      <c r="A361" s="8" t="s">
        <v>4965</v>
      </c>
      <c r="B361" s="8" t="s">
        <v>1339</v>
      </c>
      <c r="C361" s="8" t="s">
        <v>53</v>
      </c>
      <c r="D361" s="32" t="n">
        <v>45940</v>
      </c>
      <c r="E361" s="8" t="n">
        <v>7</v>
      </c>
      <c r="F361" s="8" t="str">
        <f aca="false">IF(E361&gt;=9,"Promoter",IF(E361&gt;=7,"Passive","Detractor"))</f>
        <v>Passive</v>
      </c>
    </row>
    <row r="362" customFormat="false" ht="15" hidden="false" customHeight="false" outlineLevel="0" collapsed="false">
      <c r="A362" s="8" t="s">
        <v>4966</v>
      </c>
      <c r="B362" s="8" t="s">
        <v>2202</v>
      </c>
      <c r="C362" s="8" t="s">
        <v>51</v>
      </c>
      <c r="D362" s="32" t="n">
        <v>45940</v>
      </c>
      <c r="E362" s="8" t="n">
        <v>10</v>
      </c>
      <c r="F362" s="8" t="str">
        <f aca="false">IF(E362&gt;=9,"Promoter",IF(E362&gt;=7,"Passive","Detractor"))</f>
        <v>Promoter</v>
      </c>
    </row>
    <row r="363" customFormat="false" ht="15" hidden="false" customHeight="false" outlineLevel="0" collapsed="false">
      <c r="A363" s="8" t="s">
        <v>4967</v>
      </c>
      <c r="B363" s="8" t="s">
        <v>3630</v>
      </c>
      <c r="C363" s="8" t="s">
        <v>51</v>
      </c>
      <c r="D363" s="32" t="n">
        <v>45940</v>
      </c>
      <c r="E363" s="8" t="n">
        <v>10</v>
      </c>
      <c r="F363" s="8" t="str">
        <f aca="false">IF(E363&gt;=9,"Promoter",IF(E363&gt;=7,"Passive","Detractor"))</f>
        <v>Promoter</v>
      </c>
    </row>
    <row r="364" customFormat="false" ht="15" hidden="false" customHeight="false" outlineLevel="0" collapsed="false">
      <c r="A364" s="8" t="s">
        <v>4968</v>
      </c>
      <c r="B364" s="8" t="s">
        <v>621</v>
      </c>
      <c r="C364" s="8" t="s">
        <v>55</v>
      </c>
      <c r="D364" s="32" t="n">
        <v>45940</v>
      </c>
      <c r="E364" s="8" t="n">
        <v>10</v>
      </c>
      <c r="F364" s="8" t="str">
        <f aca="false">IF(E364&gt;=9,"Promoter",IF(E364&gt;=7,"Passive","Detractor"))</f>
        <v>Promoter</v>
      </c>
    </row>
    <row r="365" customFormat="false" ht="15" hidden="false" customHeight="false" outlineLevel="0" collapsed="false">
      <c r="A365" s="8" t="s">
        <v>4969</v>
      </c>
      <c r="B365" s="8" t="s">
        <v>2754</v>
      </c>
      <c r="C365" s="8" t="s">
        <v>51</v>
      </c>
      <c r="D365" s="32" t="n">
        <v>45940</v>
      </c>
      <c r="E365" s="8" t="n">
        <v>7</v>
      </c>
      <c r="F365" s="8" t="str">
        <f aca="false">IF(E365&gt;=9,"Promoter",IF(E365&gt;=7,"Passive","Detractor"))</f>
        <v>Passive</v>
      </c>
    </row>
    <row r="366" customFormat="false" ht="15" hidden="false" customHeight="false" outlineLevel="0" collapsed="false">
      <c r="A366" s="8" t="s">
        <v>4970</v>
      </c>
      <c r="B366" s="8" t="s">
        <v>1825</v>
      </c>
      <c r="C366" s="8" t="s">
        <v>51</v>
      </c>
      <c r="D366" s="32" t="n">
        <v>45940</v>
      </c>
      <c r="E366" s="8" t="n">
        <v>6</v>
      </c>
      <c r="F366" s="8" t="str">
        <f aca="false">IF(E366&gt;=9,"Promoter",IF(E366&gt;=7,"Passive","Detractor"))</f>
        <v>Detractor</v>
      </c>
    </row>
    <row r="367" customFormat="false" ht="15" hidden="false" customHeight="false" outlineLevel="0" collapsed="false">
      <c r="A367" s="8" t="s">
        <v>4971</v>
      </c>
      <c r="B367" s="8" t="s">
        <v>1721</v>
      </c>
      <c r="C367" s="8" t="s">
        <v>53</v>
      </c>
      <c r="D367" s="32" t="n">
        <v>45940</v>
      </c>
      <c r="E367" s="8" t="n">
        <v>6</v>
      </c>
      <c r="F367" s="8" t="str">
        <f aca="false">IF(E367&gt;=9,"Promoter",IF(E367&gt;=7,"Passive","Detractor"))</f>
        <v>Detractor</v>
      </c>
    </row>
    <row r="368" customFormat="false" ht="15" hidden="false" customHeight="false" outlineLevel="0" collapsed="false">
      <c r="A368" s="8" t="s">
        <v>4972</v>
      </c>
      <c r="B368" s="8" t="s">
        <v>4453</v>
      </c>
      <c r="C368" s="8" t="s">
        <v>53</v>
      </c>
      <c r="D368" s="32" t="n">
        <v>45940</v>
      </c>
      <c r="E368" s="8" t="n">
        <v>8</v>
      </c>
      <c r="F368" s="8" t="str">
        <f aca="false">IF(E368&gt;=9,"Promoter",IF(E368&gt;=7,"Passive","Detractor"))</f>
        <v>Passive</v>
      </c>
    </row>
    <row r="369" customFormat="false" ht="15" hidden="false" customHeight="false" outlineLevel="0" collapsed="false">
      <c r="A369" s="8" t="s">
        <v>4973</v>
      </c>
      <c r="B369" s="8" t="s">
        <v>2458</v>
      </c>
      <c r="C369" s="8" t="s">
        <v>51</v>
      </c>
      <c r="D369" s="32" t="n">
        <v>45940</v>
      </c>
      <c r="E369" s="8" t="n">
        <v>5</v>
      </c>
      <c r="F369" s="8" t="str">
        <f aca="false">IF(E369&gt;=9,"Promoter",IF(E369&gt;=7,"Passive","Detractor"))</f>
        <v>Detractor</v>
      </c>
    </row>
    <row r="370" customFormat="false" ht="15" hidden="false" customHeight="false" outlineLevel="0" collapsed="false">
      <c r="A370" s="8" t="s">
        <v>4974</v>
      </c>
      <c r="B370" s="8" t="s">
        <v>4048</v>
      </c>
      <c r="C370" s="8" t="s">
        <v>51</v>
      </c>
      <c r="D370" s="32" t="n">
        <v>45940</v>
      </c>
      <c r="E370" s="8" t="n">
        <v>6</v>
      </c>
      <c r="F370" s="8" t="str">
        <f aca="false">IF(E370&gt;=9,"Promoter",IF(E370&gt;=7,"Passive","Detractor"))</f>
        <v>Detractor</v>
      </c>
    </row>
    <row r="371" customFormat="false" ht="15" hidden="false" customHeight="false" outlineLevel="0" collapsed="false">
      <c r="A371" s="8" t="s">
        <v>4975</v>
      </c>
      <c r="B371" s="8" t="s">
        <v>4503</v>
      </c>
      <c r="C371" s="8" t="s">
        <v>51</v>
      </c>
      <c r="D371" s="32" t="n">
        <v>45940</v>
      </c>
      <c r="E371" s="8" t="n">
        <v>10</v>
      </c>
      <c r="F371" s="8" t="str">
        <f aca="false">IF(E371&gt;=9,"Promoter",IF(E371&gt;=7,"Passive","Detractor"))</f>
        <v>Promoter</v>
      </c>
    </row>
    <row r="372" customFormat="false" ht="15" hidden="false" customHeight="false" outlineLevel="0" collapsed="false">
      <c r="A372" s="8" t="s">
        <v>4976</v>
      </c>
      <c r="B372" s="8" t="s">
        <v>3428</v>
      </c>
      <c r="C372" s="8" t="s">
        <v>51</v>
      </c>
      <c r="D372" s="32" t="n">
        <v>45940</v>
      </c>
      <c r="E372" s="8" t="n">
        <v>8</v>
      </c>
      <c r="F372" s="8" t="str">
        <f aca="false">IF(E372&gt;=9,"Promoter",IF(E372&gt;=7,"Passive","Detractor"))</f>
        <v>Passive</v>
      </c>
    </row>
    <row r="373" customFormat="false" ht="15" hidden="false" customHeight="false" outlineLevel="0" collapsed="false">
      <c r="A373" s="8" t="s">
        <v>4977</v>
      </c>
      <c r="B373" s="8" t="s">
        <v>2808</v>
      </c>
      <c r="C373" s="8" t="s">
        <v>51</v>
      </c>
      <c r="D373" s="32" t="n">
        <v>45940</v>
      </c>
      <c r="E373" s="8" t="n">
        <v>10</v>
      </c>
      <c r="F373" s="8" t="str">
        <f aca="false">IF(E373&gt;=9,"Promoter",IF(E373&gt;=7,"Passive","Detractor"))</f>
        <v>Promoter</v>
      </c>
    </row>
    <row r="374" customFormat="false" ht="15" hidden="false" customHeight="false" outlineLevel="0" collapsed="false">
      <c r="A374" s="8" t="s">
        <v>4978</v>
      </c>
      <c r="B374" s="8" t="s">
        <v>4298</v>
      </c>
      <c r="C374" s="8" t="s">
        <v>51</v>
      </c>
      <c r="D374" s="32" t="n">
        <v>45940</v>
      </c>
      <c r="E374" s="8" t="n">
        <v>9</v>
      </c>
      <c r="F374" s="8" t="str">
        <f aca="false">IF(E374&gt;=9,"Promoter",IF(E374&gt;=7,"Passive","Detractor"))</f>
        <v>Promoter</v>
      </c>
    </row>
    <row r="375" customFormat="false" ht="15" hidden="false" customHeight="false" outlineLevel="0" collapsed="false">
      <c r="A375" s="8" t="s">
        <v>4979</v>
      </c>
      <c r="B375" s="8" t="s">
        <v>2236</v>
      </c>
      <c r="C375" s="8" t="s">
        <v>51</v>
      </c>
      <c r="D375" s="32" t="n">
        <v>45941</v>
      </c>
      <c r="E375" s="8" t="n">
        <v>10</v>
      </c>
      <c r="F375" s="8" t="str">
        <f aca="false">IF(E375&gt;=9,"Promoter",IF(E375&gt;=7,"Passive","Detractor"))</f>
        <v>Promoter</v>
      </c>
    </row>
    <row r="376" customFormat="false" ht="15" hidden="false" customHeight="false" outlineLevel="0" collapsed="false">
      <c r="A376" s="8" t="s">
        <v>4980</v>
      </c>
      <c r="B376" s="8" t="s">
        <v>1523</v>
      </c>
      <c r="C376" s="8" t="s">
        <v>53</v>
      </c>
      <c r="D376" s="32" t="n">
        <v>45941</v>
      </c>
      <c r="E376" s="8" t="n">
        <v>10</v>
      </c>
      <c r="F376" s="8" t="str">
        <f aca="false">IF(E376&gt;=9,"Promoter",IF(E376&gt;=7,"Passive","Detractor"))</f>
        <v>Promoter</v>
      </c>
    </row>
    <row r="377" customFormat="false" ht="15" hidden="false" customHeight="false" outlineLevel="0" collapsed="false">
      <c r="A377" s="8" t="s">
        <v>4981</v>
      </c>
      <c r="B377" s="8" t="s">
        <v>999</v>
      </c>
      <c r="C377" s="8" t="s">
        <v>53</v>
      </c>
      <c r="D377" s="32" t="n">
        <v>45941</v>
      </c>
      <c r="E377" s="8" t="n">
        <v>7</v>
      </c>
      <c r="F377" s="8" t="str">
        <f aca="false">IF(E377&gt;=9,"Promoter",IF(E377&gt;=7,"Passive","Detractor"))</f>
        <v>Passive</v>
      </c>
    </row>
    <row r="378" customFormat="false" ht="15" hidden="false" customHeight="false" outlineLevel="0" collapsed="false">
      <c r="A378" s="8" t="s">
        <v>4982</v>
      </c>
      <c r="B378" s="8" t="s">
        <v>3338</v>
      </c>
      <c r="C378" s="8" t="s">
        <v>51</v>
      </c>
      <c r="D378" s="32" t="n">
        <v>45941</v>
      </c>
      <c r="E378" s="8" t="n">
        <v>10</v>
      </c>
      <c r="F378" s="8" t="str">
        <f aca="false">IF(E378&gt;=9,"Promoter",IF(E378&gt;=7,"Passive","Detractor"))</f>
        <v>Promoter</v>
      </c>
    </row>
    <row r="379" customFormat="false" ht="15" hidden="false" customHeight="false" outlineLevel="0" collapsed="false">
      <c r="A379" s="8" t="s">
        <v>4983</v>
      </c>
      <c r="B379" s="8" t="s">
        <v>3922</v>
      </c>
      <c r="C379" s="8" t="s">
        <v>51</v>
      </c>
      <c r="D379" s="32" t="n">
        <v>45941</v>
      </c>
      <c r="E379" s="8" t="n">
        <v>10</v>
      </c>
      <c r="F379" s="8" t="str">
        <f aca="false">IF(E379&gt;=9,"Promoter",IF(E379&gt;=7,"Passive","Detractor"))</f>
        <v>Promoter</v>
      </c>
    </row>
    <row r="380" customFormat="false" ht="15" hidden="false" customHeight="false" outlineLevel="0" collapsed="false">
      <c r="A380" s="8" t="s">
        <v>4984</v>
      </c>
      <c r="B380" s="8" t="s">
        <v>2596</v>
      </c>
      <c r="C380" s="8" t="s">
        <v>51</v>
      </c>
      <c r="D380" s="32" t="n">
        <v>45941</v>
      </c>
      <c r="E380" s="8" t="n">
        <v>9</v>
      </c>
      <c r="F380" s="8" t="str">
        <f aca="false">IF(E380&gt;=9,"Promoter",IF(E380&gt;=7,"Passive","Detractor"))</f>
        <v>Promoter</v>
      </c>
    </row>
    <row r="381" customFormat="false" ht="15" hidden="false" customHeight="false" outlineLevel="0" collapsed="false">
      <c r="A381" s="8" t="s">
        <v>4985</v>
      </c>
      <c r="B381" s="8" t="s">
        <v>2688</v>
      </c>
      <c r="C381" s="8" t="s">
        <v>51</v>
      </c>
      <c r="D381" s="32" t="n">
        <v>45941</v>
      </c>
      <c r="E381" s="8" t="n">
        <v>10</v>
      </c>
      <c r="F381" s="8" t="str">
        <f aca="false">IF(E381&gt;=9,"Promoter",IF(E381&gt;=7,"Passive","Detractor"))</f>
        <v>Promoter</v>
      </c>
    </row>
    <row r="382" customFormat="false" ht="15" hidden="false" customHeight="false" outlineLevel="0" collapsed="false">
      <c r="A382" s="8" t="s">
        <v>4986</v>
      </c>
      <c r="B382" s="8" t="s">
        <v>4228</v>
      </c>
      <c r="C382" s="8" t="s">
        <v>51</v>
      </c>
      <c r="D382" s="32" t="n">
        <v>45941</v>
      </c>
      <c r="E382" s="8" t="n">
        <v>9</v>
      </c>
      <c r="F382" s="8" t="str">
        <f aca="false">IF(E382&gt;=9,"Promoter",IF(E382&gt;=7,"Passive","Detractor"))</f>
        <v>Promoter</v>
      </c>
    </row>
    <row r="383" customFormat="false" ht="15" hidden="false" customHeight="false" outlineLevel="0" collapsed="false">
      <c r="A383" s="8" t="s">
        <v>4987</v>
      </c>
      <c r="B383" s="8" t="s">
        <v>2276</v>
      </c>
      <c r="C383" s="8" t="s">
        <v>51</v>
      </c>
      <c r="D383" s="32" t="n">
        <v>45941</v>
      </c>
      <c r="E383" s="8" t="n">
        <v>10</v>
      </c>
      <c r="F383" s="8" t="str">
        <f aca="false">IF(E383&gt;=9,"Promoter",IF(E383&gt;=7,"Passive","Detractor"))</f>
        <v>Promoter</v>
      </c>
    </row>
    <row r="384" customFormat="false" ht="15" hidden="false" customHeight="false" outlineLevel="0" collapsed="false">
      <c r="A384" s="8" t="s">
        <v>4988</v>
      </c>
      <c r="B384" s="8" t="s">
        <v>2126</v>
      </c>
      <c r="C384" s="8" t="s">
        <v>51</v>
      </c>
      <c r="D384" s="32" t="n">
        <v>45941</v>
      </c>
      <c r="E384" s="8" t="n">
        <v>9</v>
      </c>
      <c r="F384" s="8" t="str">
        <f aca="false">IF(E384&gt;=9,"Promoter",IF(E384&gt;=7,"Passive","Detractor"))</f>
        <v>Promoter</v>
      </c>
    </row>
    <row r="385" customFormat="false" ht="15" hidden="false" customHeight="false" outlineLevel="0" collapsed="false">
      <c r="A385" s="8" t="s">
        <v>4989</v>
      </c>
      <c r="B385" s="8" t="s">
        <v>2702</v>
      </c>
      <c r="C385" s="8" t="s">
        <v>51</v>
      </c>
      <c r="D385" s="32" t="n">
        <v>45941</v>
      </c>
      <c r="E385" s="8" t="n">
        <v>6</v>
      </c>
      <c r="F385" s="8" t="str">
        <f aca="false">IF(E385&gt;=9,"Promoter",IF(E385&gt;=7,"Passive","Detractor"))</f>
        <v>Detractor</v>
      </c>
    </row>
    <row r="386" customFormat="false" ht="15" hidden="false" customHeight="false" outlineLevel="0" collapsed="false">
      <c r="A386" s="8" t="s">
        <v>4990</v>
      </c>
      <c r="B386" s="8" t="s">
        <v>1371</v>
      </c>
      <c r="C386" s="8" t="s">
        <v>53</v>
      </c>
      <c r="D386" s="32" t="n">
        <v>45941</v>
      </c>
      <c r="E386" s="8" t="n">
        <v>10</v>
      </c>
      <c r="F386" s="8" t="str">
        <f aca="false">IF(E386&gt;=9,"Promoter",IF(E386&gt;=7,"Passive","Detractor"))</f>
        <v>Promoter</v>
      </c>
    </row>
    <row r="387" customFormat="false" ht="15" hidden="false" customHeight="false" outlineLevel="0" collapsed="false">
      <c r="A387" s="8" t="s">
        <v>4991</v>
      </c>
      <c r="B387" s="8" t="s">
        <v>813</v>
      </c>
      <c r="C387" s="8" t="s">
        <v>53</v>
      </c>
      <c r="D387" s="32" t="n">
        <v>45941</v>
      </c>
      <c r="E387" s="8" t="n">
        <v>8</v>
      </c>
      <c r="F387" s="8" t="str">
        <f aca="false">IF(E387&gt;=9,"Promoter",IF(E387&gt;=7,"Passive","Detractor"))</f>
        <v>Passive</v>
      </c>
    </row>
    <row r="388" customFormat="false" ht="15" hidden="false" customHeight="false" outlineLevel="0" collapsed="false">
      <c r="A388" s="8" t="s">
        <v>4992</v>
      </c>
      <c r="B388" s="8" t="s">
        <v>2998</v>
      </c>
      <c r="C388" s="8" t="s">
        <v>51</v>
      </c>
      <c r="D388" s="32" t="n">
        <v>45941</v>
      </c>
      <c r="E388" s="8" t="n">
        <v>8</v>
      </c>
      <c r="F388" s="8" t="str">
        <f aca="false">IF(E388&gt;=9,"Promoter",IF(E388&gt;=7,"Passive","Detractor"))</f>
        <v>Passive</v>
      </c>
    </row>
    <row r="389" customFormat="false" ht="15" hidden="false" customHeight="false" outlineLevel="0" collapsed="false">
      <c r="A389" s="8" t="s">
        <v>4993</v>
      </c>
      <c r="B389" s="8" t="s">
        <v>2242</v>
      </c>
      <c r="C389" s="8" t="s">
        <v>51</v>
      </c>
      <c r="D389" s="32" t="n">
        <v>45941</v>
      </c>
      <c r="E389" s="8" t="n">
        <v>7</v>
      </c>
      <c r="F389" s="8" t="str">
        <f aca="false">IF(E389&gt;=9,"Promoter",IF(E389&gt;=7,"Passive","Detractor"))</f>
        <v>Passive</v>
      </c>
    </row>
    <row r="390" customFormat="false" ht="15" hidden="false" customHeight="false" outlineLevel="0" collapsed="false">
      <c r="A390" s="8" t="s">
        <v>4994</v>
      </c>
      <c r="B390" s="8" t="s">
        <v>1715</v>
      </c>
      <c r="C390" s="8" t="s">
        <v>51</v>
      </c>
      <c r="D390" s="32" t="n">
        <v>45941</v>
      </c>
      <c r="E390" s="8" t="n">
        <v>8</v>
      </c>
      <c r="F390" s="8" t="str">
        <f aca="false">IF(E390&gt;=9,"Promoter",IF(E390&gt;=7,"Passive","Detractor"))</f>
        <v>Passive</v>
      </c>
    </row>
    <row r="391" customFormat="false" ht="15" hidden="false" customHeight="false" outlineLevel="0" collapsed="false">
      <c r="A391" s="8" t="s">
        <v>4995</v>
      </c>
      <c r="B391" s="8" t="s">
        <v>3118</v>
      </c>
      <c r="C391" s="8" t="s">
        <v>51</v>
      </c>
      <c r="D391" s="32" t="n">
        <v>45941</v>
      </c>
      <c r="E391" s="8" t="n">
        <v>7</v>
      </c>
      <c r="F391" s="8" t="str">
        <f aca="false">IF(E391&gt;=9,"Promoter",IF(E391&gt;=7,"Passive","Detractor"))</f>
        <v>Passive</v>
      </c>
    </row>
    <row r="392" customFormat="false" ht="15" hidden="false" customHeight="false" outlineLevel="0" collapsed="false">
      <c r="A392" s="8" t="s">
        <v>4996</v>
      </c>
      <c r="B392" s="8" t="s">
        <v>887</v>
      </c>
      <c r="C392" s="8" t="s">
        <v>53</v>
      </c>
      <c r="D392" s="32" t="n">
        <v>45941</v>
      </c>
      <c r="E392" s="8" t="n">
        <v>7</v>
      </c>
      <c r="F392" s="8" t="str">
        <f aca="false">IF(E392&gt;=9,"Promoter",IF(E392&gt;=7,"Passive","Detractor"))</f>
        <v>Passive</v>
      </c>
    </row>
    <row r="393" customFormat="false" ht="15" hidden="false" customHeight="false" outlineLevel="0" collapsed="false">
      <c r="A393" s="8" t="s">
        <v>4997</v>
      </c>
      <c r="B393" s="8" t="s">
        <v>2110</v>
      </c>
      <c r="C393" s="8" t="s">
        <v>51</v>
      </c>
      <c r="D393" s="32" t="n">
        <v>45941</v>
      </c>
      <c r="E393" s="8" t="n">
        <v>9</v>
      </c>
      <c r="F393" s="8" t="str">
        <f aca="false">IF(E393&gt;=9,"Promoter",IF(E393&gt;=7,"Passive","Detractor"))</f>
        <v>Promoter</v>
      </c>
    </row>
    <row r="394" customFormat="false" ht="15" hidden="false" customHeight="false" outlineLevel="0" collapsed="false">
      <c r="A394" s="8" t="s">
        <v>4998</v>
      </c>
      <c r="B394" s="8" t="s">
        <v>1433</v>
      </c>
      <c r="C394" s="8" t="s">
        <v>53</v>
      </c>
      <c r="D394" s="32" t="n">
        <v>45941</v>
      </c>
      <c r="E394" s="8" t="n">
        <v>6</v>
      </c>
      <c r="F394" s="8" t="str">
        <f aca="false">IF(E394&gt;=9,"Promoter",IF(E394&gt;=7,"Passive","Detractor"))</f>
        <v>Detractor</v>
      </c>
    </row>
    <row r="395" customFormat="false" ht="15" hidden="false" customHeight="false" outlineLevel="0" collapsed="false">
      <c r="A395" s="8" t="s">
        <v>4999</v>
      </c>
      <c r="B395" s="8" t="s">
        <v>3010</v>
      </c>
      <c r="C395" s="8" t="s">
        <v>51</v>
      </c>
      <c r="D395" s="32" t="n">
        <v>45941</v>
      </c>
      <c r="E395" s="8" t="n">
        <v>10</v>
      </c>
      <c r="F395" s="8" t="str">
        <f aca="false">IF(E395&gt;=9,"Promoter",IF(E395&gt;=7,"Passive","Detractor"))</f>
        <v>Promoter</v>
      </c>
    </row>
    <row r="396" customFormat="false" ht="15" hidden="false" customHeight="false" outlineLevel="0" collapsed="false">
      <c r="A396" s="8" t="s">
        <v>5000</v>
      </c>
      <c r="B396" s="8" t="s">
        <v>1995</v>
      </c>
      <c r="C396" s="8" t="s">
        <v>51</v>
      </c>
      <c r="D396" s="32" t="n">
        <v>45941</v>
      </c>
      <c r="E396" s="8" t="n">
        <v>10</v>
      </c>
      <c r="F396" s="8" t="str">
        <f aca="false">IF(E396&gt;=9,"Promoter",IF(E396&gt;=7,"Passive","Detractor"))</f>
        <v>Promoter</v>
      </c>
    </row>
    <row r="397" customFormat="false" ht="15" hidden="false" customHeight="false" outlineLevel="0" collapsed="false">
      <c r="A397" s="8" t="s">
        <v>5001</v>
      </c>
      <c r="B397" s="8" t="s">
        <v>1769</v>
      </c>
      <c r="C397" s="8" t="s">
        <v>51</v>
      </c>
      <c r="D397" s="32" t="n">
        <v>45941</v>
      </c>
      <c r="E397" s="8" t="n">
        <v>8</v>
      </c>
      <c r="F397" s="8" t="str">
        <f aca="false">IF(E397&gt;=9,"Promoter",IF(E397&gt;=7,"Passive","Detractor"))</f>
        <v>Passive</v>
      </c>
    </row>
    <row r="398" customFormat="false" ht="15" hidden="false" customHeight="false" outlineLevel="0" collapsed="false">
      <c r="A398" s="8" t="s">
        <v>5002</v>
      </c>
      <c r="B398" s="8" t="s">
        <v>2394</v>
      </c>
      <c r="C398" s="8" t="s">
        <v>51</v>
      </c>
      <c r="D398" s="32" t="n">
        <v>45941</v>
      </c>
      <c r="E398" s="8" t="n">
        <v>6</v>
      </c>
      <c r="F398" s="8" t="str">
        <f aca="false">IF(E398&gt;=9,"Promoter",IF(E398&gt;=7,"Passive","Detractor"))</f>
        <v>Detractor</v>
      </c>
    </row>
    <row r="399" customFormat="false" ht="15" hidden="false" customHeight="false" outlineLevel="0" collapsed="false">
      <c r="A399" s="8" t="s">
        <v>5003</v>
      </c>
      <c r="B399" s="8" t="s">
        <v>2300</v>
      </c>
      <c r="C399" s="8" t="s">
        <v>51</v>
      </c>
      <c r="D399" s="32" t="n">
        <v>45941</v>
      </c>
      <c r="E399" s="8" t="n">
        <v>9</v>
      </c>
      <c r="F399" s="8" t="str">
        <f aca="false">IF(E399&gt;=9,"Promoter",IF(E399&gt;=7,"Passive","Detractor"))</f>
        <v>Promoter</v>
      </c>
    </row>
    <row r="400" customFormat="false" ht="15" hidden="false" customHeight="false" outlineLevel="0" collapsed="false">
      <c r="A400" s="8" t="s">
        <v>5004</v>
      </c>
      <c r="B400" s="8" t="s">
        <v>2198</v>
      </c>
      <c r="C400" s="8" t="s">
        <v>51</v>
      </c>
      <c r="D400" s="32" t="n">
        <v>45941</v>
      </c>
      <c r="E400" s="8" t="n">
        <v>5</v>
      </c>
      <c r="F400" s="8" t="str">
        <f aca="false">IF(E400&gt;=9,"Promoter",IF(E400&gt;=7,"Passive","Detractor"))</f>
        <v>Detractor</v>
      </c>
    </row>
    <row r="401" customFormat="false" ht="15" hidden="false" customHeight="false" outlineLevel="0" collapsed="false">
      <c r="A401" s="8" t="s">
        <v>5005</v>
      </c>
      <c r="B401" s="8" t="s">
        <v>2488</v>
      </c>
      <c r="C401" s="8" t="s">
        <v>51</v>
      </c>
      <c r="D401" s="32" t="n">
        <v>45942</v>
      </c>
      <c r="E401" s="8" t="n">
        <v>9</v>
      </c>
      <c r="F401" s="8" t="str">
        <f aca="false">IF(E401&gt;=9,"Promoter",IF(E401&gt;=7,"Passive","Detractor"))</f>
        <v>Promoter</v>
      </c>
    </row>
    <row r="402" customFormat="false" ht="15" hidden="false" customHeight="false" outlineLevel="0" collapsed="false">
      <c r="A402" s="8" t="s">
        <v>5006</v>
      </c>
      <c r="B402" s="8" t="s">
        <v>1121</v>
      </c>
      <c r="C402" s="8" t="s">
        <v>53</v>
      </c>
      <c r="D402" s="32" t="n">
        <v>45942</v>
      </c>
      <c r="E402" s="8" t="n">
        <v>7</v>
      </c>
      <c r="F402" s="8" t="str">
        <f aca="false">IF(E402&gt;=9,"Promoter",IF(E402&gt;=7,"Passive","Detractor"))</f>
        <v>Passive</v>
      </c>
    </row>
    <row r="403" customFormat="false" ht="15" hidden="false" customHeight="false" outlineLevel="0" collapsed="false">
      <c r="A403" s="8" t="s">
        <v>5007</v>
      </c>
      <c r="B403" s="8" t="s">
        <v>3788</v>
      </c>
      <c r="C403" s="8" t="s">
        <v>51</v>
      </c>
      <c r="D403" s="32" t="n">
        <v>45942</v>
      </c>
      <c r="E403" s="8" t="n">
        <v>9</v>
      </c>
      <c r="F403" s="8" t="str">
        <f aca="false">IF(E403&gt;=9,"Promoter",IF(E403&gt;=7,"Passive","Detractor"))</f>
        <v>Promoter</v>
      </c>
    </row>
    <row r="404" customFormat="false" ht="15" hidden="false" customHeight="false" outlineLevel="0" collapsed="false">
      <c r="A404" s="8" t="s">
        <v>5008</v>
      </c>
      <c r="B404" s="8" t="s">
        <v>3334</v>
      </c>
      <c r="C404" s="8" t="s">
        <v>51</v>
      </c>
      <c r="D404" s="32" t="n">
        <v>45942</v>
      </c>
      <c r="E404" s="8" t="n">
        <v>6</v>
      </c>
      <c r="F404" s="8" t="str">
        <f aca="false">IF(E404&gt;=9,"Promoter",IF(E404&gt;=7,"Passive","Detractor"))</f>
        <v>Detractor</v>
      </c>
    </row>
    <row r="405" customFormat="false" ht="15" hidden="false" customHeight="false" outlineLevel="0" collapsed="false">
      <c r="A405" s="8" t="s">
        <v>5009</v>
      </c>
      <c r="B405" s="8" t="s">
        <v>2120</v>
      </c>
      <c r="C405" s="8" t="s">
        <v>51</v>
      </c>
      <c r="D405" s="32" t="n">
        <v>45942</v>
      </c>
      <c r="E405" s="8" t="n">
        <v>9</v>
      </c>
      <c r="F405" s="8" t="str">
        <f aca="false">IF(E405&gt;=9,"Promoter",IF(E405&gt;=7,"Passive","Detractor"))</f>
        <v>Promoter</v>
      </c>
    </row>
    <row r="406" customFormat="false" ht="15" hidden="false" customHeight="false" outlineLevel="0" collapsed="false">
      <c r="A406" s="8" t="s">
        <v>5010</v>
      </c>
      <c r="B406" s="8" t="s">
        <v>2038</v>
      </c>
      <c r="C406" s="8" t="s">
        <v>51</v>
      </c>
      <c r="D406" s="32" t="n">
        <v>45942</v>
      </c>
      <c r="E406" s="8" t="n">
        <v>7</v>
      </c>
      <c r="F406" s="8" t="str">
        <f aca="false">IF(E406&gt;=9,"Promoter",IF(E406&gt;=7,"Passive","Detractor"))</f>
        <v>Passive</v>
      </c>
    </row>
    <row r="407" customFormat="false" ht="15" hidden="false" customHeight="false" outlineLevel="0" collapsed="false">
      <c r="A407" s="8" t="s">
        <v>5011</v>
      </c>
      <c r="B407" s="8" t="s">
        <v>3344</v>
      </c>
      <c r="C407" s="8" t="s">
        <v>51</v>
      </c>
      <c r="D407" s="32" t="n">
        <v>45942</v>
      </c>
      <c r="E407" s="8" t="n">
        <v>10</v>
      </c>
      <c r="F407" s="8" t="str">
        <f aca="false">IF(E407&gt;=9,"Promoter",IF(E407&gt;=7,"Passive","Detractor"))</f>
        <v>Promoter</v>
      </c>
    </row>
    <row r="408" customFormat="false" ht="15" hidden="false" customHeight="false" outlineLevel="0" collapsed="false">
      <c r="A408" s="8" t="s">
        <v>5012</v>
      </c>
      <c r="B408" s="8" t="s">
        <v>3932</v>
      </c>
      <c r="C408" s="8" t="s">
        <v>51</v>
      </c>
      <c r="D408" s="32" t="n">
        <v>45942</v>
      </c>
      <c r="E408" s="8" t="n">
        <v>10</v>
      </c>
      <c r="F408" s="8" t="str">
        <f aca="false">IF(E408&gt;=9,"Promoter",IF(E408&gt;=7,"Passive","Detractor"))</f>
        <v>Promoter</v>
      </c>
    </row>
    <row r="409" customFormat="false" ht="15" hidden="false" customHeight="false" outlineLevel="0" collapsed="false">
      <c r="A409" s="8" t="s">
        <v>5013</v>
      </c>
      <c r="B409" s="8" t="s">
        <v>4238</v>
      </c>
      <c r="C409" s="8" t="s">
        <v>51</v>
      </c>
      <c r="D409" s="32" t="n">
        <v>45942</v>
      </c>
      <c r="E409" s="8" t="n">
        <v>6</v>
      </c>
      <c r="F409" s="8" t="str">
        <f aca="false">IF(E409&gt;=9,"Promoter",IF(E409&gt;=7,"Passive","Detractor"))</f>
        <v>Detractor</v>
      </c>
    </row>
    <row r="410" customFormat="false" ht="15" hidden="false" customHeight="false" outlineLevel="0" collapsed="false">
      <c r="A410" s="8" t="s">
        <v>5014</v>
      </c>
      <c r="B410" s="8" t="s">
        <v>4444</v>
      </c>
      <c r="C410" s="8" t="s">
        <v>53</v>
      </c>
      <c r="D410" s="32" t="n">
        <v>45942</v>
      </c>
      <c r="E410" s="8" t="n">
        <v>9</v>
      </c>
      <c r="F410" s="8" t="str">
        <f aca="false">IF(E410&gt;=9,"Promoter",IF(E410&gt;=7,"Passive","Detractor"))</f>
        <v>Promoter</v>
      </c>
    </row>
    <row r="411" customFormat="false" ht="15" hidden="false" customHeight="false" outlineLevel="0" collapsed="false">
      <c r="A411" s="8" t="s">
        <v>5015</v>
      </c>
      <c r="B411" s="8" t="s">
        <v>499</v>
      </c>
      <c r="C411" s="8" t="s">
        <v>55</v>
      </c>
      <c r="D411" s="32" t="n">
        <v>45942</v>
      </c>
      <c r="E411" s="8" t="n">
        <v>8</v>
      </c>
      <c r="F411" s="8" t="str">
        <f aca="false">IF(E411&gt;=9,"Promoter",IF(E411&gt;=7,"Passive","Detractor"))</f>
        <v>Passive</v>
      </c>
    </row>
    <row r="412" customFormat="false" ht="15" hidden="false" customHeight="false" outlineLevel="0" collapsed="false">
      <c r="A412" s="8" t="s">
        <v>5016</v>
      </c>
      <c r="B412" s="8" t="s">
        <v>1391</v>
      </c>
      <c r="C412" s="8" t="s">
        <v>53</v>
      </c>
      <c r="D412" s="32" t="n">
        <v>45942</v>
      </c>
      <c r="E412" s="8" t="n">
        <v>9</v>
      </c>
      <c r="F412" s="8" t="str">
        <f aca="false">IF(E412&gt;=9,"Promoter",IF(E412&gt;=7,"Passive","Detractor"))</f>
        <v>Promoter</v>
      </c>
    </row>
    <row r="413" customFormat="false" ht="15" hidden="false" customHeight="false" outlineLevel="0" collapsed="false">
      <c r="A413" s="8" t="s">
        <v>5017</v>
      </c>
      <c r="B413" s="8" t="s">
        <v>2220</v>
      </c>
      <c r="C413" s="8" t="s">
        <v>51</v>
      </c>
      <c r="D413" s="32" t="n">
        <v>45942</v>
      </c>
      <c r="E413" s="8" t="n">
        <v>7</v>
      </c>
      <c r="F413" s="8" t="str">
        <f aca="false">IF(E413&gt;=9,"Promoter",IF(E413&gt;=7,"Passive","Detractor"))</f>
        <v>Passive</v>
      </c>
    </row>
    <row r="414" customFormat="false" ht="15" hidden="false" customHeight="false" outlineLevel="0" collapsed="false">
      <c r="A414" s="8" t="s">
        <v>5018</v>
      </c>
      <c r="B414" s="8" t="s">
        <v>1959</v>
      </c>
      <c r="C414" s="8" t="s">
        <v>51</v>
      </c>
      <c r="D414" s="32" t="n">
        <v>45942</v>
      </c>
      <c r="E414" s="8" t="n">
        <v>9</v>
      </c>
      <c r="F414" s="8" t="str">
        <f aca="false">IF(E414&gt;=9,"Promoter",IF(E414&gt;=7,"Passive","Detractor"))</f>
        <v>Promoter</v>
      </c>
    </row>
    <row r="415" customFormat="false" ht="15" hidden="false" customHeight="false" outlineLevel="0" collapsed="false">
      <c r="A415" s="8" t="s">
        <v>5019</v>
      </c>
      <c r="B415" s="8" t="s">
        <v>4188</v>
      </c>
      <c r="C415" s="8" t="s">
        <v>51</v>
      </c>
      <c r="D415" s="32" t="n">
        <v>45942</v>
      </c>
      <c r="E415" s="8" t="n">
        <v>10</v>
      </c>
      <c r="F415" s="8" t="str">
        <f aca="false">IF(E415&gt;=9,"Promoter",IF(E415&gt;=7,"Passive","Detractor"))</f>
        <v>Promoter</v>
      </c>
    </row>
    <row r="416" customFormat="false" ht="15" hidden="false" customHeight="false" outlineLevel="0" collapsed="false">
      <c r="A416" s="8" t="s">
        <v>5020</v>
      </c>
      <c r="B416" s="8" t="s">
        <v>1587</v>
      </c>
      <c r="C416" s="8" t="s">
        <v>53</v>
      </c>
      <c r="D416" s="32" t="n">
        <v>45942</v>
      </c>
      <c r="E416" s="8" t="n">
        <v>7</v>
      </c>
      <c r="F416" s="8" t="str">
        <f aca="false">IF(E416&gt;=9,"Promoter",IF(E416&gt;=7,"Passive","Detractor"))</f>
        <v>Passive</v>
      </c>
    </row>
    <row r="417" customFormat="false" ht="15" hidden="false" customHeight="false" outlineLevel="0" collapsed="false">
      <c r="A417" s="8" t="s">
        <v>5021</v>
      </c>
      <c r="B417" s="8" t="s">
        <v>1273</v>
      </c>
      <c r="C417" s="8" t="s">
        <v>53</v>
      </c>
      <c r="D417" s="32" t="n">
        <v>45942</v>
      </c>
      <c r="E417" s="8" t="n">
        <v>9</v>
      </c>
      <c r="F417" s="8" t="str">
        <f aca="false">IF(E417&gt;=9,"Promoter",IF(E417&gt;=7,"Passive","Detractor"))</f>
        <v>Promoter</v>
      </c>
    </row>
    <row r="418" customFormat="false" ht="15" hidden="false" customHeight="false" outlineLevel="0" collapsed="false">
      <c r="A418" s="8" t="s">
        <v>5022</v>
      </c>
      <c r="B418" s="8" t="s">
        <v>308</v>
      </c>
      <c r="C418" s="8" t="s">
        <v>55</v>
      </c>
      <c r="D418" s="32" t="n">
        <v>45942</v>
      </c>
      <c r="E418" s="8" t="n">
        <v>7</v>
      </c>
      <c r="F418" s="8" t="str">
        <f aca="false">IF(E418&gt;=9,"Promoter",IF(E418&gt;=7,"Passive","Detractor"))</f>
        <v>Passive</v>
      </c>
    </row>
    <row r="419" customFormat="false" ht="15" hidden="false" customHeight="false" outlineLevel="0" collapsed="false">
      <c r="A419" s="8" t="s">
        <v>5023</v>
      </c>
      <c r="B419" s="8" t="s">
        <v>2480</v>
      </c>
      <c r="C419" s="8" t="s">
        <v>51</v>
      </c>
      <c r="D419" s="32" t="n">
        <v>45942</v>
      </c>
      <c r="E419" s="8" t="n">
        <v>8</v>
      </c>
      <c r="F419" s="8" t="str">
        <f aca="false">IF(E419&gt;=9,"Promoter",IF(E419&gt;=7,"Passive","Detractor"))</f>
        <v>Passive</v>
      </c>
    </row>
    <row r="420" customFormat="false" ht="15" hidden="false" customHeight="false" outlineLevel="0" collapsed="false">
      <c r="A420" s="8" t="s">
        <v>5024</v>
      </c>
      <c r="B420" s="8" t="s">
        <v>1255</v>
      </c>
      <c r="C420" s="8" t="s">
        <v>53</v>
      </c>
      <c r="D420" s="32" t="n">
        <v>45942</v>
      </c>
      <c r="E420" s="8" t="n">
        <v>10</v>
      </c>
      <c r="F420" s="8" t="str">
        <f aca="false">IF(E420&gt;=9,"Promoter",IF(E420&gt;=7,"Passive","Detractor"))</f>
        <v>Promoter</v>
      </c>
    </row>
    <row r="421" customFormat="false" ht="15" hidden="false" customHeight="false" outlineLevel="0" collapsed="false">
      <c r="A421" s="8" t="s">
        <v>5025</v>
      </c>
      <c r="B421" s="8" t="s">
        <v>2626</v>
      </c>
      <c r="C421" s="8" t="s">
        <v>51</v>
      </c>
      <c r="D421" s="32" t="n">
        <v>45942</v>
      </c>
      <c r="E421" s="8" t="n">
        <v>8</v>
      </c>
      <c r="F421" s="8" t="str">
        <f aca="false">IF(E421&gt;=9,"Promoter",IF(E421&gt;=7,"Passive","Detractor"))</f>
        <v>Passive</v>
      </c>
    </row>
    <row r="422" customFormat="false" ht="15" hidden="false" customHeight="false" outlineLevel="0" collapsed="false">
      <c r="A422" s="8" t="s">
        <v>5026</v>
      </c>
      <c r="B422" s="8" t="s">
        <v>4429</v>
      </c>
      <c r="C422" s="8" t="s">
        <v>53</v>
      </c>
      <c r="D422" s="32" t="n">
        <v>45942</v>
      </c>
      <c r="E422" s="8" t="n">
        <v>10</v>
      </c>
      <c r="F422" s="8" t="str">
        <f aca="false">IF(E422&gt;=9,"Promoter",IF(E422&gt;=7,"Passive","Detractor"))</f>
        <v>Promoter</v>
      </c>
    </row>
    <row r="423" customFormat="false" ht="15" hidden="false" customHeight="false" outlineLevel="0" collapsed="false">
      <c r="A423" s="8" t="s">
        <v>5027</v>
      </c>
      <c r="B423" s="8" t="s">
        <v>2350</v>
      </c>
      <c r="C423" s="8" t="s">
        <v>51</v>
      </c>
      <c r="D423" s="32" t="n">
        <v>45942</v>
      </c>
      <c r="E423" s="8" t="n">
        <v>10</v>
      </c>
      <c r="F423" s="8" t="str">
        <f aca="false">IF(E423&gt;=9,"Promoter",IF(E423&gt;=7,"Passive","Detractor"))</f>
        <v>Promoter</v>
      </c>
    </row>
    <row r="424" customFormat="false" ht="15" hidden="false" customHeight="false" outlineLevel="0" collapsed="false">
      <c r="A424" s="8" t="s">
        <v>5028</v>
      </c>
      <c r="B424" s="8" t="s">
        <v>2780</v>
      </c>
      <c r="C424" s="8" t="s">
        <v>51</v>
      </c>
      <c r="D424" s="32" t="n">
        <v>45942</v>
      </c>
      <c r="E424" s="8" t="n">
        <v>9</v>
      </c>
      <c r="F424" s="8" t="str">
        <f aca="false">IF(E424&gt;=9,"Promoter",IF(E424&gt;=7,"Passive","Detractor"))</f>
        <v>Promoter</v>
      </c>
    </row>
    <row r="425" customFormat="false" ht="15" hidden="false" customHeight="false" outlineLevel="0" collapsed="false">
      <c r="A425" s="8" t="s">
        <v>5029</v>
      </c>
      <c r="B425" s="8" t="s">
        <v>653</v>
      </c>
      <c r="C425" s="8" t="s">
        <v>53</v>
      </c>
      <c r="D425" s="32" t="n">
        <v>45943</v>
      </c>
      <c r="E425" s="8" t="n">
        <v>10</v>
      </c>
      <c r="F425" s="8" t="str">
        <f aca="false">IF(E425&gt;=9,"Promoter",IF(E425&gt;=7,"Passive","Detractor"))</f>
        <v>Promoter</v>
      </c>
    </row>
    <row r="426" customFormat="false" ht="15" hidden="false" customHeight="false" outlineLevel="0" collapsed="false">
      <c r="A426" s="8" t="s">
        <v>5030</v>
      </c>
      <c r="B426" s="8" t="s">
        <v>3040</v>
      </c>
      <c r="C426" s="8" t="s">
        <v>51</v>
      </c>
      <c r="D426" s="32" t="n">
        <v>45943</v>
      </c>
      <c r="E426" s="8" t="n">
        <v>9</v>
      </c>
      <c r="F426" s="8" t="str">
        <f aca="false">IF(E426&gt;=9,"Promoter",IF(E426&gt;=7,"Passive","Detractor"))</f>
        <v>Promoter</v>
      </c>
    </row>
    <row r="427" customFormat="false" ht="15" hidden="false" customHeight="false" outlineLevel="0" collapsed="false">
      <c r="A427" s="8" t="s">
        <v>5031</v>
      </c>
      <c r="B427" s="8" t="s">
        <v>2208</v>
      </c>
      <c r="C427" s="8" t="s">
        <v>51</v>
      </c>
      <c r="D427" s="32" t="n">
        <v>45943</v>
      </c>
      <c r="E427" s="8" t="n">
        <v>9</v>
      </c>
      <c r="F427" s="8" t="str">
        <f aca="false">IF(E427&gt;=9,"Promoter",IF(E427&gt;=7,"Passive","Detractor"))</f>
        <v>Promoter</v>
      </c>
    </row>
    <row r="428" customFormat="false" ht="15" hidden="false" customHeight="false" outlineLevel="0" collapsed="false">
      <c r="A428" s="8" t="s">
        <v>5032</v>
      </c>
      <c r="B428" s="8" t="s">
        <v>333</v>
      </c>
      <c r="C428" s="8" t="s">
        <v>55</v>
      </c>
      <c r="D428" s="32" t="n">
        <v>45943</v>
      </c>
      <c r="E428" s="8" t="n">
        <v>8</v>
      </c>
      <c r="F428" s="8" t="str">
        <f aca="false">IF(E428&gt;=9,"Promoter",IF(E428&gt;=7,"Passive","Detractor"))</f>
        <v>Passive</v>
      </c>
    </row>
    <row r="429" customFormat="false" ht="15" hidden="false" customHeight="false" outlineLevel="0" collapsed="false">
      <c r="A429" s="8" t="s">
        <v>5033</v>
      </c>
      <c r="B429" s="8" t="s">
        <v>4212</v>
      </c>
      <c r="C429" s="8" t="s">
        <v>51</v>
      </c>
      <c r="D429" s="32" t="n">
        <v>45943</v>
      </c>
      <c r="E429" s="8" t="n">
        <v>7</v>
      </c>
      <c r="F429" s="8" t="str">
        <f aca="false">IF(E429&gt;=9,"Promoter",IF(E429&gt;=7,"Passive","Detractor"))</f>
        <v>Passive</v>
      </c>
    </row>
    <row r="430" customFormat="false" ht="15" hidden="false" customHeight="false" outlineLevel="0" collapsed="false">
      <c r="A430" s="8" t="s">
        <v>5034</v>
      </c>
      <c r="B430" s="8" t="s">
        <v>3660</v>
      </c>
      <c r="C430" s="8" t="s">
        <v>51</v>
      </c>
      <c r="D430" s="32" t="n">
        <v>45943</v>
      </c>
      <c r="E430" s="8" t="n">
        <v>8</v>
      </c>
      <c r="F430" s="8" t="str">
        <f aca="false">IF(E430&gt;=9,"Promoter",IF(E430&gt;=7,"Passive","Detractor"))</f>
        <v>Passive</v>
      </c>
    </row>
    <row r="431" customFormat="false" ht="15" hidden="false" customHeight="false" outlineLevel="0" collapsed="false">
      <c r="A431" s="8" t="s">
        <v>5035</v>
      </c>
      <c r="B431" s="8" t="s">
        <v>4098</v>
      </c>
      <c r="C431" s="8" t="s">
        <v>51</v>
      </c>
      <c r="D431" s="32" t="n">
        <v>45943</v>
      </c>
      <c r="E431" s="8" t="n">
        <v>10</v>
      </c>
      <c r="F431" s="8" t="str">
        <f aca="false">IF(E431&gt;=9,"Promoter",IF(E431&gt;=7,"Passive","Detractor"))</f>
        <v>Promoter</v>
      </c>
    </row>
    <row r="432" customFormat="false" ht="15" hidden="false" customHeight="false" outlineLevel="0" collapsed="false">
      <c r="A432" s="8" t="s">
        <v>5036</v>
      </c>
      <c r="B432" s="8" t="s">
        <v>4488</v>
      </c>
      <c r="C432" s="8" t="s">
        <v>51</v>
      </c>
      <c r="D432" s="32" t="n">
        <v>45943</v>
      </c>
      <c r="E432" s="8" t="n">
        <v>7</v>
      </c>
      <c r="F432" s="8" t="str">
        <f aca="false">IF(E432&gt;=9,"Promoter",IF(E432&gt;=7,"Passive","Detractor"))</f>
        <v>Passive</v>
      </c>
    </row>
    <row r="433" customFormat="false" ht="15" hidden="false" customHeight="false" outlineLevel="0" collapsed="false">
      <c r="A433" s="8" t="s">
        <v>5037</v>
      </c>
      <c r="B433" s="8" t="s">
        <v>4236</v>
      </c>
      <c r="C433" s="8" t="s">
        <v>51</v>
      </c>
      <c r="D433" s="32" t="n">
        <v>45943</v>
      </c>
      <c r="E433" s="8" t="n">
        <v>8</v>
      </c>
      <c r="F433" s="8" t="str">
        <f aca="false">IF(E433&gt;=9,"Promoter",IF(E433&gt;=7,"Passive","Detractor"))</f>
        <v>Passive</v>
      </c>
    </row>
    <row r="434" customFormat="false" ht="15" hidden="false" customHeight="false" outlineLevel="0" collapsed="false">
      <c r="A434" s="8" t="s">
        <v>5038</v>
      </c>
      <c r="B434" s="8" t="s">
        <v>3414</v>
      </c>
      <c r="C434" s="8" t="s">
        <v>51</v>
      </c>
      <c r="D434" s="32" t="n">
        <v>45943</v>
      </c>
      <c r="E434" s="8" t="n">
        <v>6</v>
      </c>
      <c r="F434" s="8" t="str">
        <f aca="false">IF(E434&gt;=9,"Promoter",IF(E434&gt;=7,"Passive","Detractor"))</f>
        <v>Detractor</v>
      </c>
    </row>
    <row r="435" customFormat="false" ht="15" hidden="false" customHeight="false" outlineLevel="0" collapsed="false">
      <c r="A435" s="8" t="s">
        <v>5039</v>
      </c>
      <c r="B435" s="8" t="s">
        <v>4046</v>
      </c>
      <c r="C435" s="8" t="s">
        <v>51</v>
      </c>
      <c r="D435" s="32" t="n">
        <v>45943</v>
      </c>
      <c r="E435" s="8" t="n">
        <v>9</v>
      </c>
      <c r="F435" s="8" t="str">
        <f aca="false">IF(E435&gt;=9,"Promoter",IF(E435&gt;=7,"Passive","Detractor"))</f>
        <v>Promoter</v>
      </c>
    </row>
    <row r="436" customFormat="false" ht="15" hidden="false" customHeight="false" outlineLevel="0" collapsed="false">
      <c r="A436" s="8" t="s">
        <v>5040</v>
      </c>
      <c r="B436" s="8" t="s">
        <v>2868</v>
      </c>
      <c r="C436" s="8" t="s">
        <v>51</v>
      </c>
      <c r="D436" s="32" t="n">
        <v>45943</v>
      </c>
      <c r="E436" s="8" t="n">
        <v>10</v>
      </c>
      <c r="F436" s="8" t="str">
        <f aca="false">IF(E436&gt;=9,"Promoter",IF(E436&gt;=7,"Passive","Detractor"))</f>
        <v>Promoter</v>
      </c>
    </row>
    <row r="437" customFormat="false" ht="15" hidden="false" customHeight="false" outlineLevel="0" collapsed="false">
      <c r="A437" s="8" t="s">
        <v>5041</v>
      </c>
      <c r="B437" s="8" t="s">
        <v>1767</v>
      </c>
      <c r="C437" s="8" t="s">
        <v>51</v>
      </c>
      <c r="D437" s="32" t="n">
        <v>45943</v>
      </c>
      <c r="E437" s="8" t="n">
        <v>8</v>
      </c>
      <c r="F437" s="8" t="str">
        <f aca="false">IF(E437&gt;=9,"Promoter",IF(E437&gt;=7,"Passive","Detractor"))</f>
        <v>Passive</v>
      </c>
    </row>
    <row r="438" customFormat="false" ht="15" hidden="false" customHeight="false" outlineLevel="0" collapsed="false">
      <c r="A438" s="8" t="s">
        <v>5042</v>
      </c>
      <c r="B438" s="8" t="s">
        <v>885</v>
      </c>
      <c r="C438" s="8" t="s">
        <v>53</v>
      </c>
      <c r="D438" s="32" t="n">
        <v>45943</v>
      </c>
      <c r="E438" s="8" t="n">
        <v>9</v>
      </c>
      <c r="F438" s="8" t="str">
        <f aca="false">IF(E438&gt;=9,"Promoter",IF(E438&gt;=7,"Passive","Detractor"))</f>
        <v>Promoter</v>
      </c>
    </row>
    <row r="439" customFormat="false" ht="15" hidden="false" customHeight="false" outlineLevel="0" collapsed="false">
      <c r="A439" s="8" t="s">
        <v>5043</v>
      </c>
      <c r="B439" s="8" t="s">
        <v>1569</v>
      </c>
      <c r="C439" s="8" t="s">
        <v>53</v>
      </c>
      <c r="D439" s="32" t="n">
        <v>45943</v>
      </c>
      <c r="E439" s="8" t="n">
        <v>8</v>
      </c>
      <c r="F439" s="8" t="str">
        <f aca="false">IF(E439&gt;=9,"Promoter",IF(E439&gt;=7,"Passive","Detractor"))</f>
        <v>Passive</v>
      </c>
    </row>
    <row r="440" customFormat="false" ht="15" hidden="false" customHeight="false" outlineLevel="0" collapsed="false">
      <c r="A440" s="8" t="s">
        <v>5044</v>
      </c>
      <c r="B440" s="8" t="s">
        <v>1521</v>
      </c>
      <c r="C440" s="8" t="s">
        <v>53</v>
      </c>
      <c r="D440" s="32" t="n">
        <v>45943</v>
      </c>
      <c r="E440" s="8" t="n">
        <v>9</v>
      </c>
      <c r="F440" s="8" t="str">
        <f aca="false">IF(E440&gt;=9,"Promoter",IF(E440&gt;=7,"Passive","Detractor"))</f>
        <v>Promoter</v>
      </c>
    </row>
    <row r="441" customFormat="false" ht="15" hidden="false" customHeight="false" outlineLevel="0" collapsed="false">
      <c r="A441" s="8" t="s">
        <v>5045</v>
      </c>
      <c r="B441" s="8" t="s">
        <v>2774</v>
      </c>
      <c r="C441" s="8" t="s">
        <v>51</v>
      </c>
      <c r="D441" s="32" t="n">
        <v>45943</v>
      </c>
      <c r="E441" s="8" t="n">
        <v>7</v>
      </c>
      <c r="F441" s="8" t="str">
        <f aca="false">IF(E441&gt;=9,"Promoter",IF(E441&gt;=7,"Passive","Detractor"))</f>
        <v>Passive</v>
      </c>
    </row>
    <row r="442" customFormat="false" ht="15" hidden="false" customHeight="false" outlineLevel="0" collapsed="false">
      <c r="A442" s="8" t="s">
        <v>5046</v>
      </c>
      <c r="B442" s="8" t="s">
        <v>3122</v>
      </c>
      <c r="C442" s="8" t="s">
        <v>51</v>
      </c>
      <c r="D442" s="32" t="n">
        <v>45943</v>
      </c>
      <c r="E442" s="8" t="n">
        <v>6</v>
      </c>
      <c r="F442" s="8" t="str">
        <f aca="false">IF(E442&gt;=9,"Promoter",IF(E442&gt;=7,"Passive","Detractor"))</f>
        <v>Detractor</v>
      </c>
    </row>
    <row r="443" customFormat="false" ht="15" hidden="false" customHeight="false" outlineLevel="0" collapsed="false">
      <c r="A443" s="8" t="s">
        <v>5047</v>
      </c>
      <c r="B443" s="8" t="s">
        <v>455</v>
      </c>
      <c r="C443" s="8" t="s">
        <v>55</v>
      </c>
      <c r="D443" s="32" t="n">
        <v>45944</v>
      </c>
      <c r="E443" s="8" t="n">
        <v>6</v>
      </c>
      <c r="F443" s="8" t="str">
        <f aca="false">IF(E443&gt;=9,"Promoter",IF(E443&gt;=7,"Passive","Detractor"))</f>
        <v>Detractor</v>
      </c>
    </row>
    <row r="444" customFormat="false" ht="15" hidden="false" customHeight="false" outlineLevel="0" collapsed="false">
      <c r="A444" s="8" t="s">
        <v>5048</v>
      </c>
      <c r="B444" s="8" t="s">
        <v>1089</v>
      </c>
      <c r="C444" s="8" t="s">
        <v>53</v>
      </c>
      <c r="D444" s="32" t="n">
        <v>45944</v>
      </c>
      <c r="E444" s="8" t="n">
        <v>9</v>
      </c>
      <c r="F444" s="8" t="str">
        <f aca="false">IF(E444&gt;=9,"Promoter",IF(E444&gt;=7,"Passive","Detractor"))</f>
        <v>Promoter</v>
      </c>
    </row>
    <row r="445" customFormat="false" ht="15" hidden="false" customHeight="false" outlineLevel="0" collapsed="false">
      <c r="A445" s="8" t="s">
        <v>5049</v>
      </c>
      <c r="B445" s="8" t="s">
        <v>3326</v>
      </c>
      <c r="C445" s="8" t="s">
        <v>51</v>
      </c>
      <c r="D445" s="32" t="n">
        <v>45944</v>
      </c>
      <c r="E445" s="8" t="n">
        <v>5</v>
      </c>
      <c r="F445" s="8" t="str">
        <f aca="false">IF(E445&gt;=9,"Promoter",IF(E445&gt;=7,"Passive","Detractor"))</f>
        <v>Detractor</v>
      </c>
    </row>
    <row r="446" customFormat="false" ht="15" hidden="false" customHeight="false" outlineLevel="0" collapsed="false">
      <c r="A446" s="8" t="s">
        <v>5050</v>
      </c>
      <c r="B446" s="8" t="s">
        <v>1873</v>
      </c>
      <c r="C446" s="8" t="s">
        <v>51</v>
      </c>
      <c r="D446" s="32" t="n">
        <v>45944</v>
      </c>
      <c r="E446" s="8" t="n">
        <v>9</v>
      </c>
      <c r="F446" s="8" t="str">
        <f aca="false">IF(E446&gt;=9,"Promoter",IF(E446&gt;=7,"Passive","Detractor"))</f>
        <v>Promoter</v>
      </c>
    </row>
    <row r="447" customFormat="false" ht="15" hidden="false" customHeight="false" outlineLevel="0" collapsed="false">
      <c r="A447" s="8" t="s">
        <v>5051</v>
      </c>
      <c r="B447" s="8" t="s">
        <v>2558</v>
      </c>
      <c r="C447" s="8" t="s">
        <v>51</v>
      </c>
      <c r="D447" s="32" t="n">
        <v>45944</v>
      </c>
      <c r="E447" s="8" t="n">
        <v>7</v>
      </c>
      <c r="F447" s="8" t="str">
        <f aca="false">IF(E447&gt;=9,"Promoter",IF(E447&gt;=7,"Passive","Detractor"))</f>
        <v>Passive</v>
      </c>
    </row>
    <row r="448" customFormat="false" ht="15" hidden="false" customHeight="false" outlineLevel="0" collapsed="false">
      <c r="A448" s="8" t="s">
        <v>5052</v>
      </c>
      <c r="B448" s="8" t="s">
        <v>4430</v>
      </c>
      <c r="C448" s="8" t="s">
        <v>53</v>
      </c>
      <c r="D448" s="32" t="n">
        <v>45944</v>
      </c>
      <c r="E448" s="8" t="n">
        <v>1</v>
      </c>
      <c r="F448" s="8" t="str">
        <f aca="false">IF(E448&gt;=9,"Promoter",IF(E448&gt;=7,"Passive","Detractor"))</f>
        <v>Detractor</v>
      </c>
    </row>
    <row r="449" customFormat="false" ht="15" hidden="false" customHeight="false" outlineLevel="0" collapsed="false">
      <c r="A449" s="8" t="s">
        <v>5053</v>
      </c>
      <c r="B449" s="8" t="s">
        <v>347</v>
      </c>
      <c r="C449" s="8" t="s">
        <v>55</v>
      </c>
      <c r="D449" s="32" t="n">
        <v>45944</v>
      </c>
      <c r="E449" s="8" t="n">
        <v>10</v>
      </c>
      <c r="F449" s="8" t="str">
        <f aca="false">IF(E449&gt;=9,"Promoter",IF(E449&gt;=7,"Passive","Detractor"))</f>
        <v>Promoter</v>
      </c>
    </row>
    <row r="450" customFormat="false" ht="15" hidden="false" customHeight="false" outlineLevel="0" collapsed="false">
      <c r="A450" s="8" t="s">
        <v>5054</v>
      </c>
      <c r="B450" s="8" t="s">
        <v>2932</v>
      </c>
      <c r="C450" s="8" t="s">
        <v>51</v>
      </c>
      <c r="D450" s="32" t="n">
        <v>45944</v>
      </c>
      <c r="E450" s="8" t="n">
        <v>10</v>
      </c>
      <c r="F450" s="8" t="str">
        <f aca="false">IF(E450&gt;=9,"Promoter",IF(E450&gt;=7,"Passive","Detractor"))</f>
        <v>Promoter</v>
      </c>
    </row>
    <row r="451" customFormat="false" ht="15" hidden="false" customHeight="false" outlineLevel="0" collapsed="false">
      <c r="A451" s="8" t="s">
        <v>5055</v>
      </c>
      <c r="B451" s="8" t="s">
        <v>1347</v>
      </c>
      <c r="C451" s="8" t="s">
        <v>53</v>
      </c>
      <c r="D451" s="32" t="n">
        <v>45944</v>
      </c>
      <c r="E451" s="8" t="n">
        <v>10</v>
      </c>
      <c r="F451" s="8" t="str">
        <f aca="false">IF(E451&gt;=9,"Promoter",IF(E451&gt;=7,"Passive","Detractor"))</f>
        <v>Promoter</v>
      </c>
    </row>
    <row r="452" customFormat="false" ht="15" hidden="false" customHeight="false" outlineLevel="0" collapsed="false">
      <c r="A452" s="8" t="s">
        <v>5056</v>
      </c>
      <c r="B452" s="8" t="s">
        <v>3706</v>
      </c>
      <c r="C452" s="8" t="s">
        <v>51</v>
      </c>
      <c r="D452" s="32" t="n">
        <v>45944</v>
      </c>
      <c r="E452" s="8" t="n">
        <v>9</v>
      </c>
      <c r="F452" s="8" t="str">
        <f aca="false">IF(E452&gt;=9,"Promoter",IF(E452&gt;=7,"Passive","Detractor"))</f>
        <v>Promoter</v>
      </c>
    </row>
    <row r="453" customFormat="false" ht="15" hidden="false" customHeight="false" outlineLevel="0" collapsed="false">
      <c r="A453" s="8" t="s">
        <v>5057</v>
      </c>
      <c r="B453" s="8" t="s">
        <v>557</v>
      </c>
      <c r="C453" s="8" t="s">
        <v>53</v>
      </c>
      <c r="D453" s="32" t="n">
        <v>45944</v>
      </c>
      <c r="E453" s="8" t="n">
        <v>8</v>
      </c>
      <c r="F453" s="8" t="str">
        <f aca="false">IF(E453&gt;=9,"Promoter",IF(E453&gt;=7,"Passive","Detractor"))</f>
        <v>Passive</v>
      </c>
    </row>
    <row r="454" customFormat="false" ht="15" hidden="false" customHeight="false" outlineLevel="0" collapsed="false">
      <c r="A454" s="8" t="s">
        <v>5058</v>
      </c>
      <c r="B454" s="8" t="s">
        <v>130</v>
      </c>
      <c r="C454" s="8" t="s">
        <v>55</v>
      </c>
      <c r="D454" s="32" t="n">
        <v>45944</v>
      </c>
      <c r="E454" s="8" t="n">
        <v>7</v>
      </c>
      <c r="F454" s="8" t="str">
        <f aca="false">IF(E454&gt;=9,"Promoter",IF(E454&gt;=7,"Passive","Detractor"))</f>
        <v>Passive</v>
      </c>
    </row>
    <row r="455" customFormat="false" ht="15" hidden="false" customHeight="false" outlineLevel="0" collapsed="false">
      <c r="A455" s="8" t="s">
        <v>5059</v>
      </c>
      <c r="B455" s="8" t="s">
        <v>4110</v>
      </c>
      <c r="C455" s="8" t="s">
        <v>51</v>
      </c>
      <c r="D455" s="32" t="n">
        <v>45944</v>
      </c>
      <c r="E455" s="8" t="n">
        <v>8</v>
      </c>
      <c r="F455" s="8" t="str">
        <f aca="false">IF(E455&gt;=9,"Promoter",IF(E455&gt;=7,"Passive","Detractor"))</f>
        <v>Passive</v>
      </c>
    </row>
    <row r="456" customFormat="false" ht="15" hidden="false" customHeight="false" outlineLevel="0" collapsed="false">
      <c r="A456" s="8" t="s">
        <v>5060</v>
      </c>
      <c r="B456" s="8" t="s">
        <v>2015</v>
      </c>
      <c r="C456" s="8" t="s">
        <v>51</v>
      </c>
      <c r="D456" s="32" t="n">
        <v>45944</v>
      </c>
      <c r="E456" s="8" t="n">
        <v>9</v>
      </c>
      <c r="F456" s="8" t="str">
        <f aca="false">IF(E456&gt;=9,"Promoter",IF(E456&gt;=7,"Passive","Detractor"))</f>
        <v>Promoter</v>
      </c>
    </row>
    <row r="457" customFormat="false" ht="15" hidden="false" customHeight="false" outlineLevel="0" collapsed="false">
      <c r="A457" s="8" t="s">
        <v>5061</v>
      </c>
      <c r="B457" s="8" t="s">
        <v>2800</v>
      </c>
      <c r="C457" s="8" t="s">
        <v>51</v>
      </c>
      <c r="D457" s="32" t="n">
        <v>45944</v>
      </c>
      <c r="E457" s="8" t="n">
        <v>7</v>
      </c>
      <c r="F457" s="8" t="str">
        <f aca="false">IF(E457&gt;=9,"Promoter",IF(E457&gt;=7,"Passive","Detractor"))</f>
        <v>Passive</v>
      </c>
    </row>
    <row r="458" customFormat="false" ht="15" hidden="false" customHeight="false" outlineLevel="0" collapsed="false">
      <c r="A458" s="8" t="s">
        <v>5062</v>
      </c>
      <c r="B458" s="8" t="s">
        <v>3138</v>
      </c>
      <c r="C458" s="8" t="s">
        <v>51</v>
      </c>
      <c r="D458" s="32" t="n">
        <v>45944</v>
      </c>
      <c r="E458" s="8" t="n">
        <v>7</v>
      </c>
      <c r="F458" s="8" t="str">
        <f aca="false">IF(E458&gt;=9,"Promoter",IF(E458&gt;=7,"Passive","Detractor"))</f>
        <v>Passive</v>
      </c>
    </row>
    <row r="459" customFormat="false" ht="15" hidden="false" customHeight="false" outlineLevel="0" collapsed="false">
      <c r="A459" s="8" t="s">
        <v>5063</v>
      </c>
      <c r="B459" s="8" t="s">
        <v>2466</v>
      </c>
      <c r="C459" s="8" t="s">
        <v>51</v>
      </c>
      <c r="D459" s="32" t="n">
        <v>45944</v>
      </c>
      <c r="E459" s="8" t="n">
        <v>10</v>
      </c>
      <c r="F459" s="8" t="str">
        <f aca="false">IF(E459&gt;=9,"Promoter",IF(E459&gt;=7,"Passive","Detractor"))</f>
        <v>Promoter</v>
      </c>
    </row>
    <row r="460" customFormat="false" ht="15" hidden="false" customHeight="false" outlineLevel="0" collapsed="false">
      <c r="A460" s="8" t="s">
        <v>5064</v>
      </c>
      <c r="B460" s="8" t="s">
        <v>1467</v>
      </c>
      <c r="C460" s="8" t="s">
        <v>53</v>
      </c>
      <c r="D460" s="32" t="n">
        <v>45944</v>
      </c>
      <c r="E460" s="8" t="n">
        <v>10</v>
      </c>
      <c r="F460" s="8" t="str">
        <f aca="false">IF(E460&gt;=9,"Promoter",IF(E460&gt;=7,"Passive","Detractor"))</f>
        <v>Promoter</v>
      </c>
    </row>
    <row r="461" customFormat="false" ht="15" hidden="false" customHeight="false" outlineLevel="0" collapsed="false">
      <c r="A461" s="8" t="s">
        <v>5065</v>
      </c>
      <c r="B461" s="8" t="s">
        <v>539</v>
      </c>
      <c r="C461" s="8" t="s">
        <v>53</v>
      </c>
      <c r="D461" s="32" t="n">
        <v>45944</v>
      </c>
      <c r="E461" s="8" t="n">
        <v>9</v>
      </c>
      <c r="F461" s="8" t="str">
        <f aca="false">IF(E461&gt;=9,"Promoter",IF(E461&gt;=7,"Passive","Detractor"))</f>
        <v>Promoter</v>
      </c>
    </row>
    <row r="462" customFormat="false" ht="15" hidden="false" customHeight="false" outlineLevel="0" collapsed="false">
      <c r="A462" s="8" t="s">
        <v>5066</v>
      </c>
      <c r="B462" s="8" t="s">
        <v>2716</v>
      </c>
      <c r="C462" s="8" t="s">
        <v>51</v>
      </c>
      <c r="D462" s="32" t="n">
        <v>45944</v>
      </c>
      <c r="E462" s="8" t="n">
        <v>10</v>
      </c>
      <c r="F462" s="8" t="str">
        <f aca="false">IF(E462&gt;=9,"Promoter",IF(E462&gt;=7,"Passive","Detractor"))</f>
        <v>Promoter</v>
      </c>
    </row>
    <row r="463" customFormat="false" ht="15" hidden="false" customHeight="false" outlineLevel="0" collapsed="false">
      <c r="A463" s="8" t="s">
        <v>5067</v>
      </c>
      <c r="B463" s="8" t="s">
        <v>1499</v>
      </c>
      <c r="C463" s="8" t="s">
        <v>53</v>
      </c>
      <c r="D463" s="32" t="n">
        <v>45944</v>
      </c>
      <c r="E463" s="8" t="n">
        <v>7</v>
      </c>
      <c r="F463" s="8" t="str">
        <f aca="false">IF(E463&gt;=9,"Promoter",IF(E463&gt;=7,"Passive","Detractor"))</f>
        <v>Passive</v>
      </c>
    </row>
    <row r="464" customFormat="false" ht="15" hidden="false" customHeight="false" outlineLevel="0" collapsed="false">
      <c r="A464" s="8" t="s">
        <v>5068</v>
      </c>
      <c r="B464" s="8" t="s">
        <v>1733</v>
      </c>
      <c r="C464" s="8" t="s">
        <v>51</v>
      </c>
      <c r="D464" s="32" t="n">
        <v>45944</v>
      </c>
      <c r="E464" s="8" t="n">
        <v>10</v>
      </c>
      <c r="F464" s="8" t="str">
        <f aca="false">IF(E464&gt;=9,"Promoter",IF(E464&gt;=7,"Passive","Detractor"))</f>
        <v>Promoter</v>
      </c>
    </row>
    <row r="465" customFormat="false" ht="15" hidden="false" customHeight="false" outlineLevel="0" collapsed="false">
      <c r="A465" s="8" t="s">
        <v>5069</v>
      </c>
      <c r="B465" s="8" t="s">
        <v>2023</v>
      </c>
      <c r="C465" s="8" t="s">
        <v>51</v>
      </c>
      <c r="D465" s="32" t="n">
        <v>45944</v>
      </c>
      <c r="E465" s="8" t="n">
        <v>9</v>
      </c>
      <c r="F465" s="8" t="str">
        <f aca="false">IF(E465&gt;=9,"Promoter",IF(E465&gt;=7,"Passive","Detractor"))</f>
        <v>Promoter</v>
      </c>
    </row>
    <row r="466" customFormat="false" ht="15" hidden="false" customHeight="false" outlineLevel="0" collapsed="false">
      <c r="A466" s="8" t="s">
        <v>5070</v>
      </c>
      <c r="B466" s="8" t="s">
        <v>4498</v>
      </c>
      <c r="C466" s="8" t="s">
        <v>51</v>
      </c>
      <c r="D466" s="32" t="n">
        <v>45944</v>
      </c>
      <c r="E466" s="8" t="n">
        <v>7</v>
      </c>
      <c r="F466" s="8" t="str">
        <f aca="false">IF(E466&gt;=9,"Promoter",IF(E466&gt;=7,"Passive","Detractor"))</f>
        <v>Passive</v>
      </c>
    </row>
    <row r="467" customFormat="false" ht="15" hidden="false" customHeight="false" outlineLevel="0" collapsed="false">
      <c r="A467" s="8" t="s">
        <v>5071</v>
      </c>
      <c r="B467" s="8" t="s">
        <v>2888</v>
      </c>
      <c r="C467" s="8" t="s">
        <v>51</v>
      </c>
      <c r="D467" s="32" t="n">
        <v>45944</v>
      </c>
      <c r="E467" s="8" t="n">
        <v>10</v>
      </c>
      <c r="F467" s="8" t="str">
        <f aca="false">IF(E467&gt;=9,"Promoter",IF(E467&gt;=7,"Passive","Detractor"))</f>
        <v>Promoter</v>
      </c>
    </row>
    <row r="468" customFormat="false" ht="15" hidden="false" customHeight="false" outlineLevel="0" collapsed="false">
      <c r="A468" s="8" t="s">
        <v>5072</v>
      </c>
      <c r="B468" s="8" t="s">
        <v>1977</v>
      </c>
      <c r="C468" s="8" t="s">
        <v>51</v>
      </c>
      <c r="D468" s="32" t="n">
        <v>45944</v>
      </c>
      <c r="E468" s="8" t="n">
        <v>9</v>
      </c>
      <c r="F468" s="8" t="str">
        <f aca="false">IF(E468&gt;=9,"Promoter",IF(E468&gt;=7,"Passive","Detractor"))</f>
        <v>Promoter</v>
      </c>
    </row>
    <row r="469" customFormat="false" ht="15" hidden="false" customHeight="false" outlineLevel="0" collapsed="false">
      <c r="A469" s="8" t="s">
        <v>5073</v>
      </c>
      <c r="B469" s="8" t="s">
        <v>3646</v>
      </c>
      <c r="C469" s="8" t="s">
        <v>51</v>
      </c>
      <c r="D469" s="32" t="n">
        <v>45945</v>
      </c>
      <c r="E469" s="8" t="n">
        <v>9</v>
      </c>
      <c r="F469" s="8" t="str">
        <f aca="false">IF(E469&gt;=9,"Promoter",IF(E469&gt;=7,"Passive","Detractor"))</f>
        <v>Promoter</v>
      </c>
    </row>
    <row r="470" customFormat="false" ht="15" hidden="false" customHeight="false" outlineLevel="0" collapsed="false">
      <c r="A470" s="8" t="s">
        <v>5074</v>
      </c>
      <c r="B470" s="8" t="s">
        <v>2438</v>
      </c>
      <c r="C470" s="8" t="s">
        <v>51</v>
      </c>
      <c r="D470" s="32" t="n">
        <v>45945</v>
      </c>
      <c r="E470" s="8" t="n">
        <v>5</v>
      </c>
      <c r="F470" s="8" t="str">
        <f aca="false">IF(E470&gt;=9,"Promoter",IF(E470&gt;=7,"Passive","Detractor"))</f>
        <v>Detractor</v>
      </c>
    </row>
    <row r="471" customFormat="false" ht="15" hidden="false" customHeight="false" outlineLevel="0" collapsed="false">
      <c r="A471" s="8" t="s">
        <v>5075</v>
      </c>
      <c r="B471" s="8" t="s">
        <v>3906</v>
      </c>
      <c r="C471" s="8" t="s">
        <v>51</v>
      </c>
      <c r="D471" s="32" t="n">
        <v>45945</v>
      </c>
      <c r="E471" s="8" t="n">
        <v>6</v>
      </c>
      <c r="F471" s="8" t="str">
        <f aca="false">IF(E471&gt;=9,"Promoter",IF(E471&gt;=7,"Passive","Detractor"))</f>
        <v>Detractor</v>
      </c>
    </row>
    <row r="472" customFormat="false" ht="15" hidden="false" customHeight="false" outlineLevel="0" collapsed="false">
      <c r="A472" s="8" t="s">
        <v>5076</v>
      </c>
      <c r="B472" s="8" t="s">
        <v>3782</v>
      </c>
      <c r="C472" s="8" t="s">
        <v>51</v>
      </c>
      <c r="D472" s="32" t="n">
        <v>45945</v>
      </c>
      <c r="E472" s="8" t="n">
        <v>6</v>
      </c>
      <c r="F472" s="8" t="str">
        <f aca="false">IF(E472&gt;=9,"Promoter",IF(E472&gt;=7,"Passive","Detractor"))</f>
        <v>Detractor</v>
      </c>
    </row>
    <row r="473" customFormat="false" ht="15" hidden="false" customHeight="false" outlineLevel="0" collapsed="false">
      <c r="A473" s="8" t="s">
        <v>5077</v>
      </c>
      <c r="B473" s="8" t="s">
        <v>274</v>
      </c>
      <c r="C473" s="8" t="s">
        <v>55</v>
      </c>
      <c r="D473" s="32" t="n">
        <v>45945</v>
      </c>
      <c r="E473" s="8" t="n">
        <v>7</v>
      </c>
      <c r="F473" s="8" t="str">
        <f aca="false">IF(E473&gt;=9,"Promoter",IF(E473&gt;=7,"Passive","Detractor"))</f>
        <v>Passive</v>
      </c>
    </row>
    <row r="474" customFormat="false" ht="15" hidden="false" customHeight="false" outlineLevel="0" collapsed="false">
      <c r="A474" s="8" t="s">
        <v>5078</v>
      </c>
      <c r="B474" s="8" t="s">
        <v>4480</v>
      </c>
      <c r="C474" s="8" t="s">
        <v>51</v>
      </c>
      <c r="D474" s="32" t="n">
        <v>45945</v>
      </c>
      <c r="E474" s="8" t="n">
        <v>7</v>
      </c>
      <c r="F474" s="8" t="str">
        <f aca="false">IF(E474&gt;=9,"Promoter",IF(E474&gt;=7,"Passive","Detractor"))</f>
        <v>Passive</v>
      </c>
    </row>
    <row r="475" customFormat="false" ht="15" hidden="false" customHeight="false" outlineLevel="0" collapsed="false">
      <c r="A475" s="8" t="s">
        <v>5079</v>
      </c>
      <c r="B475" s="8" t="s">
        <v>4432</v>
      </c>
      <c r="C475" s="8" t="s">
        <v>53</v>
      </c>
      <c r="D475" s="32" t="n">
        <v>45945</v>
      </c>
      <c r="E475" s="8" t="n">
        <v>6</v>
      </c>
      <c r="F475" s="8" t="str">
        <f aca="false">IF(E475&gt;=9,"Promoter",IF(E475&gt;=7,"Passive","Detractor"))</f>
        <v>Detractor</v>
      </c>
    </row>
    <row r="476" customFormat="false" ht="15" hidden="false" customHeight="false" outlineLevel="0" collapsed="false">
      <c r="A476" s="8" t="s">
        <v>5080</v>
      </c>
      <c r="B476" s="8" t="s">
        <v>4592</v>
      </c>
      <c r="C476" s="8" t="s">
        <v>51</v>
      </c>
      <c r="D476" s="32" t="n">
        <v>45945</v>
      </c>
      <c r="E476" s="8" t="n">
        <v>10</v>
      </c>
      <c r="F476" s="8" t="str">
        <f aca="false">IF(E476&gt;=9,"Promoter",IF(E476&gt;=7,"Passive","Detractor"))</f>
        <v>Promoter</v>
      </c>
    </row>
    <row r="477" customFormat="false" ht="15" hidden="false" customHeight="false" outlineLevel="0" collapsed="false">
      <c r="A477" s="8" t="s">
        <v>5081</v>
      </c>
      <c r="B477" s="8" t="s">
        <v>2738</v>
      </c>
      <c r="C477" s="8" t="s">
        <v>51</v>
      </c>
      <c r="D477" s="32" t="n">
        <v>45945</v>
      </c>
      <c r="E477" s="8" t="n">
        <v>8</v>
      </c>
      <c r="F477" s="8" t="str">
        <f aca="false">IF(E477&gt;=9,"Promoter",IF(E477&gt;=7,"Passive","Detractor"))</f>
        <v>Passive</v>
      </c>
    </row>
    <row r="478" customFormat="false" ht="15" hidden="false" customHeight="false" outlineLevel="0" collapsed="false">
      <c r="A478" s="8" t="s">
        <v>5082</v>
      </c>
      <c r="B478" s="8" t="s">
        <v>3262</v>
      </c>
      <c r="C478" s="8" t="s">
        <v>51</v>
      </c>
      <c r="D478" s="32" t="n">
        <v>45945</v>
      </c>
      <c r="E478" s="8" t="n">
        <v>10</v>
      </c>
      <c r="F478" s="8" t="str">
        <f aca="false">IF(E478&gt;=9,"Promoter",IF(E478&gt;=7,"Passive","Detractor"))</f>
        <v>Promoter</v>
      </c>
    </row>
    <row r="479" customFormat="false" ht="15" hidden="false" customHeight="false" outlineLevel="0" collapsed="false">
      <c r="A479" s="8" t="s">
        <v>5083</v>
      </c>
      <c r="B479" s="8" t="s">
        <v>4532</v>
      </c>
      <c r="C479" s="8" t="s">
        <v>51</v>
      </c>
      <c r="D479" s="32" t="n">
        <v>45945</v>
      </c>
      <c r="E479" s="8" t="n">
        <v>8</v>
      </c>
      <c r="F479" s="8" t="str">
        <f aca="false">IF(E479&gt;=9,"Promoter",IF(E479&gt;=7,"Passive","Detractor"))</f>
        <v>Passive</v>
      </c>
    </row>
    <row r="480" customFormat="false" ht="15" hidden="false" customHeight="false" outlineLevel="0" collapsed="false">
      <c r="A480" s="8" t="s">
        <v>5084</v>
      </c>
      <c r="B480" s="8" t="s">
        <v>4384</v>
      </c>
      <c r="C480" s="8" t="s">
        <v>51</v>
      </c>
      <c r="D480" s="32" t="n">
        <v>45945</v>
      </c>
      <c r="E480" s="8" t="n">
        <v>9</v>
      </c>
      <c r="F480" s="8" t="str">
        <f aca="false">IF(E480&gt;=9,"Promoter",IF(E480&gt;=7,"Passive","Detractor"))</f>
        <v>Promoter</v>
      </c>
    </row>
    <row r="481" customFormat="false" ht="15" hidden="false" customHeight="false" outlineLevel="0" collapsed="false">
      <c r="A481" s="8" t="s">
        <v>5085</v>
      </c>
      <c r="B481" s="8" t="s">
        <v>3748</v>
      </c>
      <c r="C481" s="8" t="s">
        <v>51</v>
      </c>
      <c r="D481" s="32" t="n">
        <v>45945</v>
      </c>
      <c r="E481" s="8" t="n">
        <v>8</v>
      </c>
      <c r="F481" s="8" t="str">
        <f aca="false">IF(E481&gt;=9,"Promoter",IF(E481&gt;=7,"Passive","Detractor"))</f>
        <v>Passive</v>
      </c>
    </row>
    <row r="482" customFormat="false" ht="15" hidden="false" customHeight="false" outlineLevel="0" collapsed="false">
      <c r="A482" s="8" t="s">
        <v>5086</v>
      </c>
      <c r="B482" s="8" t="s">
        <v>2316</v>
      </c>
      <c r="C482" s="8" t="s">
        <v>51</v>
      </c>
      <c r="D482" s="32" t="n">
        <v>45945</v>
      </c>
      <c r="E482" s="8" t="n">
        <v>10</v>
      </c>
      <c r="F482" s="8" t="str">
        <f aca="false">IF(E482&gt;=9,"Promoter",IF(E482&gt;=7,"Passive","Detractor"))</f>
        <v>Promoter</v>
      </c>
    </row>
    <row r="483" customFormat="false" ht="15" hidden="false" customHeight="false" outlineLevel="0" collapsed="false">
      <c r="A483" s="8" t="s">
        <v>5087</v>
      </c>
      <c r="B483" s="8" t="s">
        <v>1419</v>
      </c>
      <c r="C483" s="8" t="s">
        <v>53</v>
      </c>
      <c r="D483" s="32" t="n">
        <v>45945</v>
      </c>
      <c r="E483" s="8" t="n">
        <v>10</v>
      </c>
      <c r="F483" s="8" t="str">
        <f aca="false">IF(E483&gt;=9,"Promoter",IF(E483&gt;=7,"Passive","Detractor"))</f>
        <v>Promoter</v>
      </c>
    </row>
    <row r="484" customFormat="false" ht="15" hidden="false" customHeight="false" outlineLevel="0" collapsed="false">
      <c r="A484" s="8" t="s">
        <v>5088</v>
      </c>
      <c r="B484" s="8" t="s">
        <v>4310</v>
      </c>
      <c r="C484" s="8" t="s">
        <v>51</v>
      </c>
      <c r="D484" s="32" t="n">
        <v>45945</v>
      </c>
      <c r="E484" s="8" t="n">
        <v>7</v>
      </c>
      <c r="F484" s="8" t="str">
        <f aca="false">IF(E484&gt;=9,"Promoter",IF(E484&gt;=7,"Passive","Detractor"))</f>
        <v>Passive</v>
      </c>
    </row>
    <row r="485" customFormat="false" ht="15" hidden="false" customHeight="false" outlineLevel="0" collapsed="false">
      <c r="A485" s="8" t="s">
        <v>5089</v>
      </c>
      <c r="B485" s="8" t="s">
        <v>1199</v>
      </c>
      <c r="C485" s="8" t="s">
        <v>53</v>
      </c>
      <c r="D485" s="32" t="n">
        <v>45945</v>
      </c>
      <c r="E485" s="8" t="n">
        <v>10</v>
      </c>
      <c r="F485" s="8" t="str">
        <f aca="false">IF(E485&gt;=9,"Promoter",IF(E485&gt;=7,"Passive","Detractor"))</f>
        <v>Promoter</v>
      </c>
    </row>
    <row r="486" customFormat="false" ht="15" hidden="false" customHeight="false" outlineLevel="0" collapsed="false">
      <c r="A486" s="8" t="s">
        <v>5090</v>
      </c>
      <c r="B486" s="8" t="s">
        <v>3572</v>
      </c>
      <c r="C486" s="8" t="s">
        <v>51</v>
      </c>
      <c r="D486" s="32" t="n">
        <v>45945</v>
      </c>
      <c r="E486" s="8" t="n">
        <v>9</v>
      </c>
      <c r="F486" s="8" t="str">
        <f aca="false">IF(E486&gt;=9,"Promoter",IF(E486&gt;=7,"Passive","Detractor"))</f>
        <v>Promoter</v>
      </c>
    </row>
    <row r="487" customFormat="false" ht="15" hidden="false" customHeight="false" outlineLevel="0" collapsed="false">
      <c r="A487" s="8" t="s">
        <v>5091</v>
      </c>
      <c r="B487" s="8" t="s">
        <v>2528</v>
      </c>
      <c r="C487" s="8" t="s">
        <v>51</v>
      </c>
      <c r="D487" s="32" t="n">
        <v>45945</v>
      </c>
      <c r="E487" s="8" t="n">
        <v>8</v>
      </c>
      <c r="F487" s="8" t="str">
        <f aca="false">IF(E487&gt;=9,"Promoter",IF(E487&gt;=7,"Passive","Detractor"))</f>
        <v>Passive</v>
      </c>
    </row>
    <row r="488" customFormat="false" ht="15" hidden="false" customHeight="false" outlineLevel="0" collapsed="false">
      <c r="A488" s="8" t="s">
        <v>5092</v>
      </c>
      <c r="B488" s="8" t="s">
        <v>138</v>
      </c>
      <c r="C488" s="8" t="s">
        <v>55</v>
      </c>
      <c r="D488" s="32" t="n">
        <v>45945</v>
      </c>
      <c r="E488" s="8" t="n">
        <v>10</v>
      </c>
      <c r="F488" s="8" t="str">
        <f aca="false">IF(E488&gt;=9,"Promoter",IF(E488&gt;=7,"Passive","Detractor"))</f>
        <v>Promoter</v>
      </c>
    </row>
    <row r="489" customFormat="false" ht="15" hidden="false" customHeight="false" outlineLevel="0" collapsed="false">
      <c r="A489" s="8" t="s">
        <v>5093</v>
      </c>
      <c r="B489" s="8" t="s">
        <v>3184</v>
      </c>
      <c r="C489" s="8" t="s">
        <v>51</v>
      </c>
      <c r="D489" s="32" t="n">
        <v>45945</v>
      </c>
      <c r="E489" s="8" t="n">
        <v>9</v>
      </c>
      <c r="F489" s="8" t="str">
        <f aca="false">IF(E489&gt;=9,"Promoter",IF(E489&gt;=7,"Passive","Detractor"))</f>
        <v>Promoter</v>
      </c>
    </row>
    <row r="490" customFormat="false" ht="15" hidden="false" customHeight="false" outlineLevel="0" collapsed="false">
      <c r="A490" s="8" t="s">
        <v>5094</v>
      </c>
      <c r="B490" s="8" t="s">
        <v>4483</v>
      </c>
      <c r="C490" s="8" t="s">
        <v>51</v>
      </c>
      <c r="D490" s="32" t="n">
        <v>45945</v>
      </c>
      <c r="E490" s="8" t="n">
        <v>6</v>
      </c>
      <c r="F490" s="8" t="str">
        <f aca="false">IF(E490&gt;=9,"Promoter",IF(E490&gt;=7,"Passive","Detractor"))</f>
        <v>Detractor</v>
      </c>
    </row>
    <row r="491" customFormat="false" ht="15" hidden="false" customHeight="false" outlineLevel="0" collapsed="false">
      <c r="A491" s="8" t="s">
        <v>5095</v>
      </c>
      <c r="B491" s="8" t="s">
        <v>2834</v>
      </c>
      <c r="C491" s="8" t="s">
        <v>51</v>
      </c>
      <c r="D491" s="32" t="n">
        <v>45945</v>
      </c>
      <c r="E491" s="8" t="n">
        <v>9</v>
      </c>
      <c r="F491" s="8" t="str">
        <f aca="false">IF(E491&gt;=9,"Promoter",IF(E491&gt;=7,"Passive","Detractor"))</f>
        <v>Promoter</v>
      </c>
    </row>
    <row r="492" customFormat="false" ht="15" hidden="false" customHeight="false" outlineLevel="0" collapsed="false">
      <c r="A492" s="8" t="s">
        <v>5096</v>
      </c>
      <c r="B492" s="8" t="s">
        <v>2362</v>
      </c>
      <c r="C492" s="8" t="s">
        <v>51</v>
      </c>
      <c r="D492" s="32" t="n">
        <v>45945</v>
      </c>
      <c r="E492" s="8" t="n">
        <v>7</v>
      </c>
      <c r="F492" s="8" t="str">
        <f aca="false">IF(E492&gt;=9,"Promoter",IF(E492&gt;=7,"Passive","Detractor"))</f>
        <v>Passive</v>
      </c>
    </row>
    <row r="493" customFormat="false" ht="15" hidden="false" customHeight="false" outlineLevel="0" collapsed="false">
      <c r="A493" s="8" t="s">
        <v>5097</v>
      </c>
      <c r="B493" s="8" t="s">
        <v>2628</v>
      </c>
      <c r="C493" s="8" t="s">
        <v>51</v>
      </c>
      <c r="D493" s="32" t="n">
        <v>45945</v>
      </c>
      <c r="E493" s="8" t="n">
        <v>10</v>
      </c>
      <c r="F493" s="8" t="str">
        <f aca="false">IF(E493&gt;=9,"Promoter",IF(E493&gt;=7,"Passive","Detractor"))</f>
        <v>Promoter</v>
      </c>
    </row>
    <row r="494" customFormat="false" ht="15" hidden="false" customHeight="false" outlineLevel="0" collapsed="false">
      <c r="A494" s="8" t="s">
        <v>5098</v>
      </c>
      <c r="B494" s="8" t="s">
        <v>2192</v>
      </c>
      <c r="C494" s="8" t="s">
        <v>51</v>
      </c>
      <c r="D494" s="32" t="n">
        <v>45945</v>
      </c>
      <c r="E494" s="8" t="n">
        <v>8</v>
      </c>
      <c r="F494" s="8" t="str">
        <f aca="false">IF(E494&gt;=9,"Promoter",IF(E494&gt;=7,"Passive","Detractor"))</f>
        <v>Passive</v>
      </c>
    </row>
    <row r="495" customFormat="false" ht="15" hidden="false" customHeight="false" outlineLevel="0" collapsed="false">
      <c r="A495" s="8" t="s">
        <v>5099</v>
      </c>
      <c r="B495" s="8" t="s">
        <v>2840</v>
      </c>
      <c r="C495" s="8" t="s">
        <v>51</v>
      </c>
      <c r="D495" s="32" t="n">
        <v>45946</v>
      </c>
      <c r="E495" s="8" t="n">
        <v>7</v>
      </c>
      <c r="F495" s="8" t="str">
        <f aca="false">IF(E495&gt;=9,"Promoter",IF(E495&gt;=7,"Passive","Detractor"))</f>
        <v>Passive</v>
      </c>
    </row>
    <row r="496" customFormat="false" ht="15" hidden="false" customHeight="false" outlineLevel="0" collapsed="false">
      <c r="A496" s="8" t="s">
        <v>5100</v>
      </c>
      <c r="B496" s="8" t="s">
        <v>2668</v>
      </c>
      <c r="C496" s="8" t="s">
        <v>51</v>
      </c>
      <c r="D496" s="32" t="n">
        <v>45946</v>
      </c>
      <c r="E496" s="8" t="n">
        <v>8</v>
      </c>
      <c r="F496" s="8" t="str">
        <f aca="false">IF(E496&gt;=9,"Promoter",IF(E496&gt;=7,"Passive","Detractor"))</f>
        <v>Passive</v>
      </c>
    </row>
    <row r="497" customFormat="false" ht="15" hidden="false" customHeight="false" outlineLevel="0" collapsed="false">
      <c r="A497" s="8" t="s">
        <v>5101</v>
      </c>
      <c r="B497" s="8" t="s">
        <v>3742</v>
      </c>
      <c r="C497" s="8" t="s">
        <v>51</v>
      </c>
      <c r="D497" s="32" t="n">
        <v>45946</v>
      </c>
      <c r="E497" s="8" t="n">
        <v>10</v>
      </c>
      <c r="F497" s="8" t="str">
        <f aca="false">IF(E497&gt;=9,"Promoter",IF(E497&gt;=7,"Passive","Detractor"))</f>
        <v>Promoter</v>
      </c>
    </row>
    <row r="498" customFormat="false" ht="15" hidden="false" customHeight="false" outlineLevel="0" collapsed="false">
      <c r="A498" s="8" t="s">
        <v>5102</v>
      </c>
      <c r="B498" s="8" t="s">
        <v>3128</v>
      </c>
      <c r="C498" s="8" t="s">
        <v>51</v>
      </c>
      <c r="D498" s="32" t="n">
        <v>45946</v>
      </c>
      <c r="E498" s="8" t="n">
        <v>8</v>
      </c>
      <c r="F498" s="8" t="str">
        <f aca="false">IF(E498&gt;=9,"Promoter",IF(E498&gt;=7,"Passive","Detractor"))</f>
        <v>Passive</v>
      </c>
    </row>
    <row r="499" customFormat="false" ht="15" hidden="false" customHeight="false" outlineLevel="0" collapsed="false">
      <c r="A499" s="8" t="s">
        <v>5103</v>
      </c>
      <c r="B499" s="8" t="s">
        <v>1537</v>
      </c>
      <c r="C499" s="8" t="s">
        <v>53</v>
      </c>
      <c r="D499" s="32" t="n">
        <v>45946</v>
      </c>
      <c r="E499" s="8" t="n">
        <v>8</v>
      </c>
      <c r="F499" s="8" t="str">
        <f aca="false">IF(E499&gt;=9,"Promoter",IF(E499&gt;=7,"Passive","Detractor"))</f>
        <v>Passive</v>
      </c>
    </row>
    <row r="500" customFormat="false" ht="15" hidden="false" customHeight="false" outlineLevel="0" collapsed="false">
      <c r="A500" s="8" t="s">
        <v>5104</v>
      </c>
      <c r="B500" s="8" t="s">
        <v>209</v>
      </c>
      <c r="C500" s="8" t="s">
        <v>55</v>
      </c>
      <c r="D500" s="32" t="n">
        <v>45946</v>
      </c>
      <c r="E500" s="8" t="n">
        <v>8</v>
      </c>
      <c r="F500" s="8" t="str">
        <f aca="false">IF(E500&gt;=9,"Promoter",IF(E500&gt;=7,"Passive","Detractor"))</f>
        <v>Passive</v>
      </c>
    </row>
    <row r="501" customFormat="false" ht="15" hidden="false" customHeight="false" outlineLevel="0" collapsed="false">
      <c r="A501" s="8" t="s">
        <v>5105</v>
      </c>
      <c r="B501" s="8" t="s">
        <v>3054</v>
      </c>
      <c r="C501" s="8" t="s">
        <v>51</v>
      </c>
      <c r="D501" s="32" t="n">
        <v>45946</v>
      </c>
      <c r="E501" s="8" t="n">
        <v>9</v>
      </c>
      <c r="F501" s="8" t="str">
        <f aca="false">IF(E501&gt;=9,"Promoter",IF(E501&gt;=7,"Passive","Detractor"))</f>
        <v>Promoter</v>
      </c>
    </row>
    <row r="502" customFormat="false" ht="15" hidden="false" customHeight="false" outlineLevel="0" collapsed="false">
      <c r="A502" s="8" t="s">
        <v>5106</v>
      </c>
      <c r="B502" s="8" t="s">
        <v>789</v>
      </c>
      <c r="C502" s="8" t="s">
        <v>53</v>
      </c>
      <c r="D502" s="32" t="n">
        <v>45946</v>
      </c>
      <c r="E502" s="8" t="n">
        <v>10</v>
      </c>
      <c r="F502" s="8" t="str">
        <f aca="false">IF(E502&gt;=9,"Promoter",IF(E502&gt;=7,"Passive","Detractor"))</f>
        <v>Promoter</v>
      </c>
    </row>
    <row r="503" customFormat="false" ht="15" hidden="false" customHeight="false" outlineLevel="0" collapsed="false">
      <c r="A503" s="8" t="s">
        <v>5107</v>
      </c>
      <c r="B503" s="8" t="s">
        <v>4427</v>
      </c>
      <c r="C503" s="8" t="s">
        <v>53</v>
      </c>
      <c r="D503" s="32" t="n">
        <v>45946</v>
      </c>
      <c r="E503" s="8" t="n">
        <v>4</v>
      </c>
      <c r="F503" s="8" t="str">
        <f aca="false">IF(E503&gt;=9,"Promoter",IF(E503&gt;=7,"Passive","Detractor"))</f>
        <v>Detractor</v>
      </c>
    </row>
    <row r="504" customFormat="false" ht="15" hidden="false" customHeight="false" outlineLevel="0" collapsed="false">
      <c r="A504" s="8" t="s">
        <v>5108</v>
      </c>
      <c r="B504" s="8" t="s">
        <v>2278</v>
      </c>
      <c r="C504" s="8" t="s">
        <v>51</v>
      </c>
      <c r="D504" s="32" t="n">
        <v>45946</v>
      </c>
      <c r="E504" s="8" t="n">
        <v>9</v>
      </c>
      <c r="F504" s="8" t="str">
        <f aca="false">IF(E504&gt;=9,"Promoter",IF(E504&gt;=7,"Passive","Detractor"))</f>
        <v>Promoter</v>
      </c>
    </row>
    <row r="505" customFormat="false" ht="15" hidden="false" customHeight="false" outlineLevel="0" collapsed="false">
      <c r="A505" s="8" t="s">
        <v>5109</v>
      </c>
      <c r="B505" s="8" t="s">
        <v>3940</v>
      </c>
      <c r="C505" s="8" t="s">
        <v>51</v>
      </c>
      <c r="D505" s="32" t="n">
        <v>45946</v>
      </c>
      <c r="E505" s="8" t="n">
        <v>8</v>
      </c>
      <c r="F505" s="8" t="str">
        <f aca="false">IF(E505&gt;=9,"Promoter",IF(E505&gt;=7,"Passive","Detractor"))</f>
        <v>Passive</v>
      </c>
    </row>
    <row r="506" customFormat="false" ht="15" hidden="false" customHeight="false" outlineLevel="0" collapsed="false">
      <c r="A506" s="8" t="s">
        <v>5110</v>
      </c>
      <c r="B506" s="8" t="s">
        <v>1233</v>
      </c>
      <c r="C506" s="8" t="s">
        <v>53</v>
      </c>
      <c r="D506" s="32" t="n">
        <v>45946</v>
      </c>
      <c r="E506" s="8" t="n">
        <v>9</v>
      </c>
      <c r="F506" s="8" t="str">
        <f aca="false">IF(E506&gt;=9,"Promoter",IF(E506&gt;=7,"Passive","Detractor"))</f>
        <v>Promoter</v>
      </c>
    </row>
    <row r="507" customFormat="false" ht="15" hidden="false" customHeight="false" outlineLevel="0" collapsed="false">
      <c r="A507" s="8" t="s">
        <v>5111</v>
      </c>
      <c r="B507" s="8" t="s">
        <v>2076</v>
      </c>
      <c r="C507" s="8" t="s">
        <v>51</v>
      </c>
      <c r="D507" s="32" t="n">
        <v>45946</v>
      </c>
      <c r="E507" s="8" t="n">
        <v>10</v>
      </c>
      <c r="F507" s="8" t="str">
        <f aca="false">IF(E507&gt;=9,"Promoter",IF(E507&gt;=7,"Passive","Detractor"))</f>
        <v>Promoter</v>
      </c>
    </row>
    <row r="508" customFormat="false" ht="15" hidden="false" customHeight="false" outlineLevel="0" collapsed="false">
      <c r="A508" s="8" t="s">
        <v>5112</v>
      </c>
      <c r="B508" s="8" t="s">
        <v>2246</v>
      </c>
      <c r="C508" s="8" t="s">
        <v>51</v>
      </c>
      <c r="D508" s="32" t="n">
        <v>45946</v>
      </c>
      <c r="E508" s="8" t="n">
        <v>10</v>
      </c>
      <c r="F508" s="8" t="str">
        <f aca="false">IF(E508&gt;=9,"Promoter",IF(E508&gt;=7,"Passive","Detractor"))</f>
        <v>Promoter</v>
      </c>
    </row>
    <row r="509" customFormat="false" ht="15" hidden="false" customHeight="false" outlineLevel="0" collapsed="false">
      <c r="A509" s="8" t="s">
        <v>5113</v>
      </c>
      <c r="B509" s="8" t="s">
        <v>3370</v>
      </c>
      <c r="C509" s="8" t="s">
        <v>51</v>
      </c>
      <c r="D509" s="32" t="n">
        <v>45946</v>
      </c>
      <c r="E509" s="8" t="n">
        <v>9</v>
      </c>
      <c r="F509" s="8" t="str">
        <f aca="false">IF(E509&gt;=9,"Promoter",IF(E509&gt;=7,"Passive","Detractor"))</f>
        <v>Promoter</v>
      </c>
    </row>
    <row r="510" customFormat="false" ht="15" hidden="false" customHeight="false" outlineLevel="0" collapsed="false">
      <c r="A510" s="8" t="s">
        <v>5114</v>
      </c>
      <c r="B510" s="8" t="s">
        <v>1659</v>
      </c>
      <c r="C510" s="8" t="s">
        <v>53</v>
      </c>
      <c r="D510" s="32" t="n">
        <v>45946</v>
      </c>
      <c r="E510" s="8" t="n">
        <v>10</v>
      </c>
      <c r="F510" s="8" t="str">
        <f aca="false">IF(E510&gt;=9,"Promoter",IF(E510&gt;=7,"Passive","Detractor"))</f>
        <v>Promoter</v>
      </c>
    </row>
    <row r="511" customFormat="false" ht="15" hidden="false" customHeight="false" outlineLevel="0" collapsed="false">
      <c r="A511" s="8" t="s">
        <v>5115</v>
      </c>
      <c r="B511" s="8" t="s">
        <v>4190</v>
      </c>
      <c r="C511" s="8" t="s">
        <v>51</v>
      </c>
      <c r="D511" s="32" t="n">
        <v>45946</v>
      </c>
      <c r="E511" s="8" t="n">
        <v>10</v>
      </c>
      <c r="F511" s="8" t="str">
        <f aca="false">IF(E511&gt;=9,"Promoter",IF(E511&gt;=7,"Passive","Detractor"))</f>
        <v>Promoter</v>
      </c>
    </row>
    <row r="512" customFormat="false" ht="15" hidden="false" customHeight="false" outlineLevel="0" collapsed="false">
      <c r="A512" s="8" t="s">
        <v>5116</v>
      </c>
      <c r="B512" s="8" t="s">
        <v>3018</v>
      </c>
      <c r="C512" s="8" t="s">
        <v>51</v>
      </c>
      <c r="D512" s="32" t="n">
        <v>45946</v>
      </c>
      <c r="E512" s="8" t="n">
        <v>5</v>
      </c>
      <c r="F512" s="8" t="str">
        <f aca="false">IF(E512&gt;=9,"Promoter",IF(E512&gt;=7,"Passive","Detractor"))</f>
        <v>Detractor</v>
      </c>
    </row>
    <row r="513" customFormat="false" ht="15" hidden="false" customHeight="false" outlineLevel="0" collapsed="false">
      <c r="A513" s="8" t="s">
        <v>5117</v>
      </c>
      <c r="B513" s="8" t="s">
        <v>2416</v>
      </c>
      <c r="C513" s="8" t="s">
        <v>51</v>
      </c>
      <c r="D513" s="32" t="n">
        <v>45946</v>
      </c>
      <c r="E513" s="8" t="n">
        <v>10</v>
      </c>
      <c r="F513" s="8" t="str">
        <f aca="false">IF(E513&gt;=9,"Promoter",IF(E513&gt;=7,"Passive","Detractor"))</f>
        <v>Promoter</v>
      </c>
    </row>
    <row r="514" customFormat="false" ht="15" hidden="false" customHeight="false" outlineLevel="0" collapsed="false">
      <c r="A514" s="8" t="s">
        <v>5118</v>
      </c>
      <c r="B514" s="8" t="s">
        <v>1663</v>
      </c>
      <c r="C514" s="8" t="s">
        <v>53</v>
      </c>
      <c r="D514" s="32" t="n">
        <v>45946</v>
      </c>
      <c r="E514" s="8" t="n">
        <v>9</v>
      </c>
      <c r="F514" s="8" t="str">
        <f aca="false">IF(E514&gt;=9,"Promoter",IF(E514&gt;=7,"Passive","Detractor"))</f>
        <v>Promoter</v>
      </c>
    </row>
    <row r="515" customFormat="false" ht="15" hidden="false" customHeight="false" outlineLevel="0" collapsed="false">
      <c r="A515" s="8" t="s">
        <v>5119</v>
      </c>
      <c r="B515" s="8" t="s">
        <v>1409</v>
      </c>
      <c r="C515" s="8" t="s">
        <v>53</v>
      </c>
      <c r="D515" s="32" t="n">
        <v>45946</v>
      </c>
      <c r="E515" s="8" t="n">
        <v>7</v>
      </c>
      <c r="F515" s="8" t="str">
        <f aca="false">IF(E515&gt;=9,"Promoter",IF(E515&gt;=7,"Passive","Detractor"))</f>
        <v>Passive</v>
      </c>
    </row>
    <row r="516" customFormat="false" ht="15" hidden="false" customHeight="false" outlineLevel="0" collapsed="false">
      <c r="A516" s="8" t="s">
        <v>5120</v>
      </c>
      <c r="B516" s="8" t="s">
        <v>575</v>
      </c>
      <c r="C516" s="8" t="s">
        <v>55</v>
      </c>
      <c r="D516" s="32" t="n">
        <v>45947</v>
      </c>
      <c r="E516" s="8" t="n">
        <v>9</v>
      </c>
      <c r="F516" s="8" t="str">
        <f aca="false">IF(E516&gt;=9,"Promoter",IF(E516&gt;=7,"Passive","Detractor"))</f>
        <v>Promoter</v>
      </c>
    </row>
    <row r="517" customFormat="false" ht="15" hidden="false" customHeight="false" outlineLevel="0" collapsed="false">
      <c r="A517" s="8" t="s">
        <v>5121</v>
      </c>
      <c r="B517" s="8" t="s">
        <v>2326</v>
      </c>
      <c r="C517" s="8" t="s">
        <v>51</v>
      </c>
      <c r="D517" s="32" t="n">
        <v>45947</v>
      </c>
      <c r="E517" s="8" t="n">
        <v>8</v>
      </c>
      <c r="F517" s="8" t="str">
        <f aca="false">IF(E517&gt;=9,"Promoter",IF(E517&gt;=7,"Passive","Detractor"))</f>
        <v>Passive</v>
      </c>
    </row>
    <row r="518" customFormat="false" ht="15" hidden="false" customHeight="false" outlineLevel="0" collapsed="false">
      <c r="A518" s="8" t="s">
        <v>5122</v>
      </c>
      <c r="B518" s="8" t="s">
        <v>2976</v>
      </c>
      <c r="C518" s="8" t="s">
        <v>51</v>
      </c>
      <c r="D518" s="32" t="n">
        <v>45947</v>
      </c>
      <c r="E518" s="8" t="n">
        <v>6</v>
      </c>
      <c r="F518" s="8" t="str">
        <f aca="false">IF(E518&gt;=9,"Promoter",IF(E518&gt;=7,"Passive","Detractor"))</f>
        <v>Detractor</v>
      </c>
    </row>
    <row r="519" customFormat="false" ht="15" hidden="false" customHeight="false" outlineLevel="0" collapsed="false">
      <c r="A519" s="8" t="s">
        <v>5123</v>
      </c>
      <c r="B519" s="8" t="s">
        <v>2978</v>
      </c>
      <c r="C519" s="8" t="s">
        <v>51</v>
      </c>
      <c r="D519" s="32" t="n">
        <v>45947</v>
      </c>
      <c r="E519" s="8" t="n">
        <v>8</v>
      </c>
      <c r="F519" s="8" t="str">
        <f aca="false">IF(E519&gt;=9,"Promoter",IF(E519&gt;=7,"Passive","Detractor"))</f>
        <v>Passive</v>
      </c>
    </row>
    <row r="520" customFormat="false" ht="15" hidden="false" customHeight="false" outlineLevel="0" collapsed="false">
      <c r="A520" s="8" t="s">
        <v>5124</v>
      </c>
      <c r="B520" s="8" t="s">
        <v>447</v>
      </c>
      <c r="C520" s="8" t="s">
        <v>55</v>
      </c>
      <c r="D520" s="32" t="n">
        <v>45947</v>
      </c>
      <c r="E520" s="8" t="n">
        <v>10</v>
      </c>
      <c r="F520" s="8" t="str">
        <f aca="false">IF(E520&gt;=9,"Promoter",IF(E520&gt;=7,"Passive","Detractor"))</f>
        <v>Promoter</v>
      </c>
    </row>
    <row r="521" customFormat="false" ht="15" hidden="false" customHeight="false" outlineLevel="0" collapsed="false">
      <c r="A521" s="8" t="s">
        <v>5125</v>
      </c>
      <c r="B521" s="8" t="s">
        <v>3912</v>
      </c>
      <c r="C521" s="8" t="s">
        <v>51</v>
      </c>
      <c r="D521" s="32" t="n">
        <v>45947</v>
      </c>
      <c r="E521" s="8" t="n">
        <v>9</v>
      </c>
      <c r="F521" s="8" t="str">
        <f aca="false">IF(E521&gt;=9,"Promoter",IF(E521&gt;=7,"Passive","Detractor"))</f>
        <v>Promoter</v>
      </c>
    </row>
    <row r="522" customFormat="false" ht="15" hidden="false" customHeight="false" outlineLevel="0" collapsed="false">
      <c r="A522" s="8" t="s">
        <v>5126</v>
      </c>
      <c r="B522" s="8" t="s">
        <v>2686</v>
      </c>
      <c r="C522" s="8" t="s">
        <v>51</v>
      </c>
      <c r="D522" s="32" t="n">
        <v>45947</v>
      </c>
      <c r="E522" s="8" t="n">
        <v>9</v>
      </c>
      <c r="F522" s="8" t="str">
        <f aca="false">IF(E522&gt;=9,"Promoter",IF(E522&gt;=7,"Passive","Detractor"))</f>
        <v>Promoter</v>
      </c>
    </row>
    <row r="523" customFormat="false" ht="15" hidden="false" customHeight="false" outlineLevel="0" collapsed="false">
      <c r="A523" s="8" t="s">
        <v>5127</v>
      </c>
      <c r="B523" s="8" t="s">
        <v>2564</v>
      </c>
      <c r="C523" s="8" t="s">
        <v>51</v>
      </c>
      <c r="D523" s="32" t="n">
        <v>45947</v>
      </c>
      <c r="E523" s="8" t="n">
        <v>8</v>
      </c>
      <c r="F523" s="8" t="str">
        <f aca="false">IF(E523&gt;=9,"Promoter",IF(E523&gt;=7,"Passive","Detractor"))</f>
        <v>Passive</v>
      </c>
    </row>
    <row r="524" customFormat="false" ht="15" hidden="false" customHeight="false" outlineLevel="0" collapsed="false">
      <c r="A524" s="8" t="s">
        <v>5128</v>
      </c>
      <c r="B524" s="8" t="s">
        <v>2788</v>
      </c>
      <c r="C524" s="8" t="s">
        <v>51</v>
      </c>
      <c r="D524" s="32" t="n">
        <v>45947</v>
      </c>
      <c r="E524" s="8" t="n">
        <v>9</v>
      </c>
      <c r="F524" s="8" t="str">
        <f aca="false">IF(E524&gt;=9,"Promoter",IF(E524&gt;=7,"Passive","Detractor"))</f>
        <v>Promoter</v>
      </c>
    </row>
    <row r="525" customFormat="false" ht="15" hidden="false" customHeight="false" outlineLevel="0" collapsed="false">
      <c r="A525" s="8" t="s">
        <v>5129</v>
      </c>
      <c r="B525" s="8" t="s">
        <v>4036</v>
      </c>
      <c r="C525" s="8" t="s">
        <v>51</v>
      </c>
      <c r="D525" s="32" t="n">
        <v>45947</v>
      </c>
      <c r="E525" s="8" t="n">
        <v>10</v>
      </c>
      <c r="F525" s="8" t="str">
        <f aca="false">IF(E525&gt;=9,"Promoter",IF(E525&gt;=7,"Passive","Detractor"))</f>
        <v>Promoter</v>
      </c>
    </row>
    <row r="526" customFormat="false" ht="15" hidden="false" customHeight="false" outlineLevel="0" collapsed="false">
      <c r="A526" s="8" t="s">
        <v>5130</v>
      </c>
      <c r="B526" s="8" t="s">
        <v>4320</v>
      </c>
      <c r="C526" s="8" t="s">
        <v>51</v>
      </c>
      <c r="D526" s="32" t="n">
        <v>45947</v>
      </c>
      <c r="E526" s="8" t="n">
        <v>7</v>
      </c>
      <c r="F526" s="8" t="str">
        <f aca="false">IF(E526&gt;=9,"Promoter",IF(E526&gt;=7,"Passive","Detractor"))</f>
        <v>Passive</v>
      </c>
    </row>
    <row r="527" customFormat="false" ht="15" hidden="false" customHeight="false" outlineLevel="0" collapsed="false">
      <c r="A527" s="8" t="s">
        <v>5131</v>
      </c>
      <c r="B527" s="8" t="s">
        <v>2360</v>
      </c>
      <c r="C527" s="8" t="s">
        <v>51</v>
      </c>
      <c r="D527" s="32" t="n">
        <v>45947</v>
      </c>
      <c r="E527" s="8" t="n">
        <v>7</v>
      </c>
      <c r="F527" s="8" t="str">
        <f aca="false">IF(E527&gt;=9,"Promoter",IF(E527&gt;=7,"Passive","Detractor"))</f>
        <v>Passive</v>
      </c>
    </row>
    <row r="528" customFormat="false" ht="15" hidden="false" customHeight="false" outlineLevel="0" collapsed="false">
      <c r="A528" s="8" t="s">
        <v>5132</v>
      </c>
      <c r="B528" s="8" t="s">
        <v>3132</v>
      </c>
      <c r="C528" s="8" t="s">
        <v>51</v>
      </c>
      <c r="D528" s="32" t="n">
        <v>45947</v>
      </c>
      <c r="E528" s="8" t="n">
        <v>6</v>
      </c>
      <c r="F528" s="8" t="str">
        <f aca="false">IF(E528&gt;=9,"Promoter",IF(E528&gt;=7,"Passive","Detractor"))</f>
        <v>Detractor</v>
      </c>
    </row>
    <row r="529" customFormat="false" ht="15" hidden="false" customHeight="false" outlineLevel="0" collapsed="false">
      <c r="A529" s="8" t="s">
        <v>5133</v>
      </c>
      <c r="B529" s="8" t="s">
        <v>3416</v>
      </c>
      <c r="C529" s="8" t="s">
        <v>51</v>
      </c>
      <c r="D529" s="32" t="n">
        <v>45947</v>
      </c>
      <c r="E529" s="8" t="n">
        <v>7</v>
      </c>
      <c r="F529" s="8" t="str">
        <f aca="false">IF(E529&gt;=9,"Promoter",IF(E529&gt;=7,"Passive","Detractor"))</f>
        <v>Passive</v>
      </c>
    </row>
    <row r="530" customFormat="false" ht="15" hidden="false" customHeight="false" outlineLevel="0" collapsed="false">
      <c r="A530" s="8" t="s">
        <v>5134</v>
      </c>
      <c r="B530" s="8" t="s">
        <v>3758</v>
      </c>
      <c r="C530" s="8" t="s">
        <v>51</v>
      </c>
      <c r="D530" s="32" t="n">
        <v>45947</v>
      </c>
      <c r="E530" s="8" t="n">
        <v>9</v>
      </c>
      <c r="F530" s="8" t="str">
        <f aca="false">IF(E530&gt;=9,"Promoter",IF(E530&gt;=7,"Passive","Detractor"))</f>
        <v>Promoter</v>
      </c>
    </row>
    <row r="531" customFormat="false" ht="15" hidden="false" customHeight="false" outlineLevel="0" collapsed="false">
      <c r="A531" s="8" t="s">
        <v>5135</v>
      </c>
      <c r="B531" s="8" t="s">
        <v>2872</v>
      </c>
      <c r="C531" s="8" t="s">
        <v>51</v>
      </c>
      <c r="D531" s="32" t="n">
        <v>45947</v>
      </c>
      <c r="E531" s="8" t="n">
        <v>10</v>
      </c>
      <c r="F531" s="8" t="str">
        <f aca="false">IF(E531&gt;=9,"Promoter",IF(E531&gt;=7,"Passive","Detractor"))</f>
        <v>Promoter</v>
      </c>
    </row>
    <row r="532" customFormat="false" ht="15" hidden="false" customHeight="false" outlineLevel="0" collapsed="false">
      <c r="A532" s="8" t="s">
        <v>5136</v>
      </c>
      <c r="B532" s="8" t="s">
        <v>2390</v>
      </c>
      <c r="C532" s="8" t="s">
        <v>51</v>
      </c>
      <c r="D532" s="32" t="n">
        <v>45947</v>
      </c>
      <c r="E532" s="8" t="n">
        <v>10</v>
      </c>
      <c r="F532" s="8" t="str">
        <f aca="false">IF(E532&gt;=9,"Promoter",IF(E532&gt;=7,"Passive","Detractor"))</f>
        <v>Promoter</v>
      </c>
    </row>
    <row r="533" customFormat="false" ht="15" hidden="false" customHeight="false" outlineLevel="0" collapsed="false">
      <c r="A533" s="8" t="s">
        <v>5137</v>
      </c>
      <c r="B533" s="8" t="s">
        <v>310</v>
      </c>
      <c r="C533" s="8" t="s">
        <v>55</v>
      </c>
      <c r="D533" s="32" t="n">
        <v>45947</v>
      </c>
      <c r="E533" s="8" t="n">
        <v>5</v>
      </c>
      <c r="F533" s="8" t="str">
        <f aca="false">IF(E533&gt;=9,"Promoter",IF(E533&gt;=7,"Passive","Detractor"))</f>
        <v>Detractor</v>
      </c>
    </row>
    <row r="534" customFormat="false" ht="15" hidden="false" customHeight="false" outlineLevel="0" collapsed="false">
      <c r="A534" s="8" t="s">
        <v>5138</v>
      </c>
      <c r="B534" s="8" t="s">
        <v>2960</v>
      </c>
      <c r="C534" s="8" t="s">
        <v>51</v>
      </c>
      <c r="D534" s="32" t="n">
        <v>45947</v>
      </c>
      <c r="E534" s="8" t="n">
        <v>9</v>
      </c>
      <c r="F534" s="8" t="str">
        <f aca="false">IF(E534&gt;=9,"Promoter",IF(E534&gt;=7,"Passive","Detractor"))</f>
        <v>Promoter</v>
      </c>
    </row>
    <row r="535" customFormat="false" ht="15" hidden="false" customHeight="false" outlineLevel="0" collapsed="false">
      <c r="A535" s="8" t="s">
        <v>5139</v>
      </c>
      <c r="B535" s="8" t="s">
        <v>2170</v>
      </c>
      <c r="C535" s="8" t="s">
        <v>51</v>
      </c>
      <c r="D535" s="32" t="n">
        <v>45947</v>
      </c>
      <c r="E535" s="8" t="n">
        <v>5</v>
      </c>
      <c r="F535" s="8" t="str">
        <f aca="false">IF(E535&gt;=9,"Promoter",IF(E535&gt;=7,"Passive","Detractor"))</f>
        <v>Detractor</v>
      </c>
    </row>
    <row r="536" customFormat="false" ht="15" hidden="false" customHeight="false" outlineLevel="0" collapsed="false">
      <c r="A536" s="8" t="s">
        <v>5140</v>
      </c>
      <c r="B536" s="8" t="s">
        <v>2630</v>
      </c>
      <c r="C536" s="8" t="s">
        <v>51</v>
      </c>
      <c r="D536" s="32" t="n">
        <v>45947</v>
      </c>
      <c r="E536" s="8" t="n">
        <v>10</v>
      </c>
      <c r="F536" s="8" t="str">
        <f aca="false">IF(E536&gt;=9,"Promoter",IF(E536&gt;=7,"Passive","Detractor"))</f>
        <v>Promoter</v>
      </c>
    </row>
    <row r="537" customFormat="false" ht="15" hidden="false" customHeight="false" outlineLevel="0" collapsed="false">
      <c r="A537" s="8" t="s">
        <v>5141</v>
      </c>
      <c r="B537" s="8" t="s">
        <v>2728</v>
      </c>
      <c r="C537" s="8" t="s">
        <v>51</v>
      </c>
      <c r="D537" s="32" t="n">
        <v>45947</v>
      </c>
      <c r="E537" s="8" t="n">
        <v>10</v>
      </c>
      <c r="F537" s="8" t="str">
        <f aca="false">IF(E537&gt;=9,"Promoter",IF(E537&gt;=7,"Passive","Detractor"))</f>
        <v>Promoter</v>
      </c>
    </row>
    <row r="538" customFormat="false" ht="15" hidden="false" customHeight="false" outlineLevel="0" collapsed="false">
      <c r="A538" s="8" t="s">
        <v>5142</v>
      </c>
      <c r="B538" s="8" t="s">
        <v>2586</v>
      </c>
      <c r="C538" s="8" t="s">
        <v>51</v>
      </c>
      <c r="D538" s="32" t="n">
        <v>45948</v>
      </c>
      <c r="E538" s="8" t="n">
        <v>8</v>
      </c>
      <c r="F538" s="8" t="str">
        <f aca="false">IF(E538&gt;=9,"Promoter",IF(E538&gt;=7,"Passive","Detractor"))</f>
        <v>Passive</v>
      </c>
    </row>
    <row r="539" customFormat="false" ht="15" hidden="false" customHeight="false" outlineLevel="0" collapsed="false">
      <c r="A539" s="8" t="s">
        <v>5143</v>
      </c>
      <c r="B539" s="8" t="s">
        <v>2364</v>
      </c>
      <c r="C539" s="8" t="s">
        <v>51</v>
      </c>
      <c r="D539" s="32" t="n">
        <v>45948</v>
      </c>
      <c r="E539" s="8" t="n">
        <v>9</v>
      </c>
      <c r="F539" s="8" t="str">
        <f aca="false">IF(E539&gt;=9,"Promoter",IF(E539&gt;=7,"Passive","Detractor"))</f>
        <v>Promoter</v>
      </c>
    </row>
    <row r="540" customFormat="false" ht="15" hidden="false" customHeight="false" outlineLevel="0" collapsed="false">
      <c r="A540" s="8" t="s">
        <v>5144</v>
      </c>
      <c r="B540" s="8" t="s">
        <v>2662</v>
      </c>
      <c r="C540" s="8" t="s">
        <v>51</v>
      </c>
      <c r="D540" s="32" t="n">
        <v>45948</v>
      </c>
      <c r="E540" s="8" t="n">
        <v>10</v>
      </c>
      <c r="F540" s="8" t="str">
        <f aca="false">IF(E540&gt;=9,"Promoter",IF(E540&gt;=7,"Passive","Detractor"))</f>
        <v>Promoter</v>
      </c>
    </row>
    <row r="541" customFormat="false" ht="15" hidden="false" customHeight="false" outlineLevel="0" collapsed="false">
      <c r="A541" s="8" t="s">
        <v>5145</v>
      </c>
      <c r="B541" s="8" t="s">
        <v>4082</v>
      </c>
      <c r="C541" s="8" t="s">
        <v>51</v>
      </c>
      <c r="D541" s="32" t="n">
        <v>45948</v>
      </c>
      <c r="E541" s="8" t="n">
        <v>6</v>
      </c>
      <c r="F541" s="8" t="str">
        <f aca="false">IF(E541&gt;=9,"Promoter",IF(E541&gt;=7,"Passive","Detractor"))</f>
        <v>Detractor</v>
      </c>
    </row>
    <row r="542" customFormat="false" ht="15" hidden="false" customHeight="false" outlineLevel="0" collapsed="false">
      <c r="A542" s="8" t="s">
        <v>5146</v>
      </c>
      <c r="B542" s="8" t="s">
        <v>193</v>
      </c>
      <c r="C542" s="8" t="s">
        <v>55</v>
      </c>
      <c r="D542" s="32" t="n">
        <v>45948</v>
      </c>
      <c r="E542" s="8" t="n">
        <v>8</v>
      </c>
      <c r="F542" s="8" t="str">
        <f aca="false">IF(E542&gt;=9,"Promoter",IF(E542&gt;=7,"Passive","Detractor"))</f>
        <v>Passive</v>
      </c>
    </row>
    <row r="543" customFormat="false" ht="15" hidden="false" customHeight="false" outlineLevel="0" collapsed="false">
      <c r="A543" s="8" t="s">
        <v>5147</v>
      </c>
      <c r="B543" s="8" t="s">
        <v>2036</v>
      </c>
      <c r="C543" s="8" t="s">
        <v>51</v>
      </c>
      <c r="D543" s="32" t="n">
        <v>45948</v>
      </c>
      <c r="E543" s="8" t="n">
        <v>7</v>
      </c>
      <c r="F543" s="8" t="str">
        <f aca="false">IF(E543&gt;=9,"Promoter",IF(E543&gt;=7,"Passive","Detractor"))</f>
        <v>Passive</v>
      </c>
    </row>
    <row r="544" customFormat="false" ht="15" hidden="false" customHeight="false" outlineLevel="0" collapsed="false">
      <c r="A544" s="8" t="s">
        <v>5148</v>
      </c>
      <c r="B544" s="8" t="s">
        <v>1541</v>
      </c>
      <c r="C544" s="8" t="s">
        <v>53</v>
      </c>
      <c r="D544" s="32" t="n">
        <v>45948</v>
      </c>
      <c r="E544" s="8" t="n">
        <v>7</v>
      </c>
      <c r="F544" s="8" t="str">
        <f aca="false">IF(E544&gt;=9,"Promoter",IF(E544&gt;=7,"Passive","Detractor"))</f>
        <v>Passive</v>
      </c>
    </row>
    <row r="545" customFormat="false" ht="15" hidden="false" customHeight="false" outlineLevel="0" collapsed="false">
      <c r="A545" s="8" t="s">
        <v>5149</v>
      </c>
      <c r="B545" s="8" t="s">
        <v>1647</v>
      </c>
      <c r="C545" s="8" t="s">
        <v>53</v>
      </c>
      <c r="D545" s="32" t="n">
        <v>45948</v>
      </c>
      <c r="E545" s="8" t="n">
        <v>9</v>
      </c>
      <c r="F545" s="8" t="str">
        <f aca="false">IF(E545&gt;=9,"Promoter",IF(E545&gt;=7,"Passive","Detractor"))</f>
        <v>Promoter</v>
      </c>
    </row>
    <row r="546" customFormat="false" ht="15" hidden="false" customHeight="false" outlineLevel="0" collapsed="false">
      <c r="A546" s="8" t="s">
        <v>5150</v>
      </c>
      <c r="B546" s="8" t="s">
        <v>1459</v>
      </c>
      <c r="C546" s="8" t="s">
        <v>53</v>
      </c>
      <c r="D546" s="32" t="n">
        <v>45948</v>
      </c>
      <c r="E546" s="8" t="n">
        <v>10</v>
      </c>
      <c r="F546" s="8" t="str">
        <f aca="false">IF(E546&gt;=9,"Promoter",IF(E546&gt;=7,"Passive","Detractor"))</f>
        <v>Promoter</v>
      </c>
    </row>
    <row r="547" customFormat="false" ht="15" hidden="false" customHeight="false" outlineLevel="0" collapsed="false">
      <c r="A547" s="8" t="s">
        <v>5151</v>
      </c>
      <c r="B547" s="8" t="s">
        <v>2011</v>
      </c>
      <c r="C547" s="8" t="s">
        <v>51</v>
      </c>
      <c r="D547" s="32" t="n">
        <v>45948</v>
      </c>
      <c r="E547" s="8" t="n">
        <v>10</v>
      </c>
      <c r="F547" s="8" t="str">
        <f aca="false">IF(E547&gt;=9,"Promoter",IF(E547&gt;=7,"Passive","Detractor"))</f>
        <v>Promoter</v>
      </c>
    </row>
    <row r="548" customFormat="false" ht="15" hidden="false" customHeight="false" outlineLevel="0" collapsed="false">
      <c r="A548" s="8" t="s">
        <v>5152</v>
      </c>
      <c r="B548" s="8" t="s">
        <v>3158</v>
      </c>
      <c r="C548" s="8" t="s">
        <v>51</v>
      </c>
      <c r="D548" s="32" t="n">
        <v>45948</v>
      </c>
      <c r="E548" s="8" t="n">
        <v>6</v>
      </c>
      <c r="F548" s="8" t="str">
        <f aca="false">IF(E548&gt;=9,"Promoter",IF(E548&gt;=7,"Passive","Detractor"))</f>
        <v>Detractor</v>
      </c>
    </row>
    <row r="549" customFormat="false" ht="15" hidden="false" customHeight="false" outlineLevel="0" collapsed="false">
      <c r="A549" s="8" t="s">
        <v>5153</v>
      </c>
      <c r="B549" s="8" t="s">
        <v>4168</v>
      </c>
      <c r="C549" s="8" t="s">
        <v>51</v>
      </c>
      <c r="D549" s="32" t="n">
        <v>45948</v>
      </c>
      <c r="E549" s="8" t="n">
        <v>6</v>
      </c>
      <c r="F549" s="8" t="str">
        <f aca="false">IF(E549&gt;=9,"Promoter",IF(E549&gt;=7,"Passive","Detractor"))</f>
        <v>Detractor</v>
      </c>
    </row>
    <row r="550" customFormat="false" ht="15" hidden="false" customHeight="false" outlineLevel="0" collapsed="false">
      <c r="A550" s="8" t="s">
        <v>5154</v>
      </c>
      <c r="B550" s="8" t="s">
        <v>4566</v>
      </c>
      <c r="C550" s="8" t="s">
        <v>51</v>
      </c>
      <c r="D550" s="32" t="n">
        <v>45948</v>
      </c>
      <c r="E550" s="8" t="n">
        <v>7</v>
      </c>
      <c r="F550" s="8" t="str">
        <f aca="false">IF(E550&gt;=9,"Promoter",IF(E550&gt;=7,"Passive","Detractor"))</f>
        <v>Passive</v>
      </c>
    </row>
    <row r="551" customFormat="false" ht="15" hidden="false" customHeight="false" outlineLevel="0" collapsed="false">
      <c r="A551" s="8" t="s">
        <v>5155</v>
      </c>
      <c r="B551" s="8" t="s">
        <v>4491</v>
      </c>
      <c r="C551" s="8" t="s">
        <v>51</v>
      </c>
      <c r="D551" s="32" t="n">
        <v>45948</v>
      </c>
      <c r="E551" s="8" t="n">
        <v>5</v>
      </c>
      <c r="F551" s="8" t="str">
        <f aca="false">IF(E551&gt;=9,"Promoter",IF(E551&gt;=7,"Passive","Detractor"))</f>
        <v>Detractor</v>
      </c>
    </row>
    <row r="552" customFormat="false" ht="15" hidden="false" customHeight="false" outlineLevel="0" collapsed="false">
      <c r="A552" s="8" t="s">
        <v>5156</v>
      </c>
      <c r="B552" s="8" t="s">
        <v>3172</v>
      </c>
      <c r="C552" s="8" t="s">
        <v>51</v>
      </c>
      <c r="D552" s="32" t="n">
        <v>45948</v>
      </c>
      <c r="E552" s="8" t="n">
        <v>8</v>
      </c>
      <c r="F552" s="8" t="str">
        <f aca="false">IF(E552&gt;=9,"Promoter",IF(E552&gt;=7,"Passive","Detractor"))</f>
        <v>Passive</v>
      </c>
    </row>
    <row r="553" customFormat="false" ht="15" hidden="false" customHeight="false" outlineLevel="0" collapsed="false">
      <c r="A553" s="8" t="s">
        <v>5157</v>
      </c>
      <c r="B553" s="8" t="s">
        <v>2824</v>
      </c>
      <c r="C553" s="8" t="s">
        <v>51</v>
      </c>
      <c r="D553" s="32" t="n">
        <v>45948</v>
      </c>
      <c r="E553" s="8" t="n">
        <v>10</v>
      </c>
      <c r="F553" s="8" t="str">
        <f aca="false">IF(E553&gt;=9,"Promoter",IF(E553&gt;=7,"Passive","Detractor"))</f>
        <v>Promoter</v>
      </c>
    </row>
    <row r="554" customFormat="false" ht="15" hidden="false" customHeight="false" outlineLevel="0" collapsed="false">
      <c r="A554" s="8" t="s">
        <v>5158</v>
      </c>
      <c r="B554" s="8" t="s">
        <v>2752</v>
      </c>
      <c r="C554" s="8" t="s">
        <v>51</v>
      </c>
      <c r="D554" s="32" t="n">
        <v>45948</v>
      </c>
      <c r="E554" s="8" t="n">
        <v>6</v>
      </c>
      <c r="F554" s="8" t="str">
        <f aca="false">IF(E554&gt;=9,"Promoter",IF(E554&gt;=7,"Passive","Detractor"))</f>
        <v>Detractor</v>
      </c>
    </row>
    <row r="555" customFormat="false" ht="15" hidden="false" customHeight="false" outlineLevel="0" collapsed="false">
      <c r="A555" s="8" t="s">
        <v>5159</v>
      </c>
      <c r="B555" s="8" t="s">
        <v>4184</v>
      </c>
      <c r="C555" s="8" t="s">
        <v>51</v>
      </c>
      <c r="D555" s="32" t="n">
        <v>45948</v>
      </c>
      <c r="E555" s="8" t="n">
        <v>10</v>
      </c>
      <c r="F555" s="8" t="str">
        <f aca="false">IF(E555&gt;=9,"Promoter",IF(E555&gt;=7,"Passive","Detractor"))</f>
        <v>Promoter</v>
      </c>
    </row>
    <row r="556" customFormat="false" ht="15" hidden="false" customHeight="false" outlineLevel="0" collapsed="false">
      <c r="A556" s="8" t="s">
        <v>5160</v>
      </c>
      <c r="B556" s="8" t="s">
        <v>779</v>
      </c>
      <c r="C556" s="8" t="s">
        <v>53</v>
      </c>
      <c r="D556" s="32" t="n">
        <v>45948</v>
      </c>
      <c r="E556" s="8" t="n">
        <v>5</v>
      </c>
      <c r="F556" s="8" t="str">
        <f aca="false">IF(E556&gt;=9,"Promoter",IF(E556&gt;=7,"Passive","Detractor"))</f>
        <v>Detractor</v>
      </c>
    </row>
    <row r="557" customFormat="false" ht="15" hidden="false" customHeight="false" outlineLevel="0" collapsed="false">
      <c r="A557" s="8" t="s">
        <v>5161</v>
      </c>
      <c r="B557" s="8" t="s">
        <v>2272</v>
      </c>
      <c r="C557" s="8" t="s">
        <v>51</v>
      </c>
      <c r="D557" s="32" t="n">
        <v>45948</v>
      </c>
      <c r="E557" s="8" t="n">
        <v>10</v>
      </c>
      <c r="F557" s="8" t="str">
        <f aca="false">IF(E557&gt;=9,"Promoter",IF(E557&gt;=7,"Passive","Detractor"))</f>
        <v>Promoter</v>
      </c>
    </row>
    <row r="558" customFormat="false" ht="15" hidden="false" customHeight="false" outlineLevel="0" collapsed="false">
      <c r="A558" s="8" t="s">
        <v>5162</v>
      </c>
      <c r="B558" s="8" t="s">
        <v>583</v>
      </c>
      <c r="C558" s="8" t="s">
        <v>53</v>
      </c>
      <c r="D558" s="32" t="n">
        <v>45948</v>
      </c>
      <c r="E558" s="8" t="n">
        <v>10</v>
      </c>
      <c r="F558" s="8" t="str">
        <f aca="false">IF(E558&gt;=9,"Promoter",IF(E558&gt;=7,"Passive","Detractor"))</f>
        <v>Promoter</v>
      </c>
    </row>
    <row r="559" customFormat="false" ht="15" hidden="false" customHeight="false" outlineLevel="0" collapsed="false">
      <c r="A559" s="8" t="s">
        <v>5163</v>
      </c>
      <c r="B559" s="8" t="s">
        <v>759</v>
      </c>
      <c r="C559" s="8" t="s">
        <v>53</v>
      </c>
      <c r="D559" s="32" t="n">
        <v>45948</v>
      </c>
      <c r="E559" s="8" t="n">
        <v>7</v>
      </c>
      <c r="F559" s="8" t="str">
        <f aca="false">IF(E559&gt;=9,"Promoter",IF(E559&gt;=7,"Passive","Detractor"))</f>
        <v>Passive</v>
      </c>
    </row>
    <row r="560" customFormat="false" ht="15" hidden="false" customHeight="false" outlineLevel="0" collapsed="false">
      <c r="A560" s="8" t="s">
        <v>5164</v>
      </c>
      <c r="B560" s="8" t="s">
        <v>3422</v>
      </c>
      <c r="C560" s="8" t="s">
        <v>51</v>
      </c>
      <c r="D560" s="32" t="n">
        <v>45948</v>
      </c>
      <c r="E560" s="8" t="n">
        <v>6</v>
      </c>
      <c r="F560" s="8" t="str">
        <f aca="false">IF(E560&gt;=9,"Promoter",IF(E560&gt;=7,"Passive","Detractor"))</f>
        <v>Detractor</v>
      </c>
    </row>
    <row r="561" customFormat="false" ht="15" hidden="false" customHeight="false" outlineLevel="0" collapsed="false">
      <c r="A561" s="8" t="s">
        <v>5165</v>
      </c>
      <c r="B561" s="8" t="s">
        <v>272</v>
      </c>
      <c r="C561" s="8" t="s">
        <v>55</v>
      </c>
      <c r="D561" s="32" t="n">
        <v>45948</v>
      </c>
      <c r="E561" s="8" t="n">
        <v>10</v>
      </c>
      <c r="F561" s="8" t="str">
        <f aca="false">IF(E561&gt;=9,"Promoter",IF(E561&gt;=7,"Passive","Detractor"))</f>
        <v>Promoter</v>
      </c>
    </row>
    <row r="562" customFormat="false" ht="15" hidden="false" customHeight="false" outlineLevel="0" collapsed="false">
      <c r="A562" s="8" t="s">
        <v>5166</v>
      </c>
      <c r="B562" s="8" t="s">
        <v>4412</v>
      </c>
      <c r="C562" s="8" t="s">
        <v>55</v>
      </c>
      <c r="D562" s="32" t="n">
        <v>45948</v>
      </c>
      <c r="E562" s="8" t="n">
        <v>7</v>
      </c>
      <c r="F562" s="8" t="str">
        <f aca="false">IF(E562&gt;=9,"Promoter",IF(E562&gt;=7,"Passive","Detractor"))</f>
        <v>Passive</v>
      </c>
    </row>
    <row r="563" customFormat="false" ht="15" hidden="false" customHeight="false" outlineLevel="0" collapsed="false">
      <c r="A563" s="8" t="s">
        <v>5167</v>
      </c>
      <c r="B563" s="8" t="s">
        <v>941</v>
      </c>
      <c r="C563" s="8" t="s">
        <v>53</v>
      </c>
      <c r="D563" s="32" t="n">
        <v>45948</v>
      </c>
      <c r="E563" s="8" t="n">
        <v>7</v>
      </c>
      <c r="F563" s="8" t="str">
        <f aca="false">IF(E563&gt;=9,"Promoter",IF(E563&gt;=7,"Passive","Detractor"))</f>
        <v>Passive</v>
      </c>
    </row>
    <row r="564" customFormat="false" ht="15" hidden="false" customHeight="false" outlineLevel="0" collapsed="false">
      <c r="A564" s="8" t="s">
        <v>5168</v>
      </c>
      <c r="B564" s="8" t="s">
        <v>3536</v>
      </c>
      <c r="C564" s="8" t="s">
        <v>51</v>
      </c>
      <c r="D564" s="32" t="n">
        <v>45948</v>
      </c>
      <c r="E564" s="8" t="n">
        <v>10</v>
      </c>
      <c r="F564" s="8" t="str">
        <f aca="false">IF(E564&gt;=9,"Promoter",IF(E564&gt;=7,"Passive","Detractor"))</f>
        <v>Promoter</v>
      </c>
    </row>
    <row r="565" customFormat="false" ht="15" hidden="false" customHeight="false" outlineLevel="0" collapsed="false">
      <c r="A565" s="8" t="s">
        <v>5169</v>
      </c>
      <c r="B565" s="8" t="s">
        <v>1383</v>
      </c>
      <c r="C565" s="8" t="s">
        <v>53</v>
      </c>
      <c r="D565" s="32" t="n">
        <v>45948</v>
      </c>
      <c r="E565" s="8" t="n">
        <v>10</v>
      </c>
      <c r="F565" s="8" t="str">
        <f aca="false">IF(E565&gt;=9,"Promoter",IF(E565&gt;=7,"Passive","Detractor"))</f>
        <v>Promoter</v>
      </c>
    </row>
    <row r="566" customFormat="false" ht="15" hidden="false" customHeight="false" outlineLevel="0" collapsed="false">
      <c r="A566" s="8" t="s">
        <v>5170</v>
      </c>
      <c r="B566" s="8" t="s">
        <v>593</v>
      </c>
      <c r="C566" s="8" t="s">
        <v>53</v>
      </c>
      <c r="D566" s="32" t="n">
        <v>45948</v>
      </c>
      <c r="E566" s="8" t="n">
        <v>9</v>
      </c>
      <c r="F566" s="8" t="str">
        <f aca="false">IF(E566&gt;=9,"Promoter",IF(E566&gt;=7,"Passive","Detractor"))</f>
        <v>Promoter</v>
      </c>
    </row>
    <row r="567" customFormat="false" ht="15" hidden="false" customHeight="false" outlineLevel="0" collapsed="false">
      <c r="A567" s="8" t="s">
        <v>5171</v>
      </c>
      <c r="B567" s="8" t="s">
        <v>2224</v>
      </c>
      <c r="C567" s="8" t="s">
        <v>51</v>
      </c>
      <c r="D567" s="32" t="n">
        <v>45948</v>
      </c>
      <c r="E567" s="8" t="n">
        <v>9</v>
      </c>
      <c r="F567" s="8" t="str">
        <f aca="false">IF(E567&gt;=9,"Promoter",IF(E567&gt;=7,"Passive","Detractor"))</f>
        <v>Promoter</v>
      </c>
    </row>
    <row r="568" customFormat="false" ht="15" hidden="false" customHeight="false" outlineLevel="0" collapsed="false">
      <c r="A568" s="8" t="s">
        <v>5172</v>
      </c>
      <c r="B568" s="8" t="s">
        <v>1545</v>
      </c>
      <c r="C568" s="8" t="s">
        <v>53</v>
      </c>
      <c r="D568" s="32" t="n">
        <v>45948</v>
      </c>
      <c r="E568" s="8" t="n">
        <v>10</v>
      </c>
      <c r="F568" s="8" t="str">
        <f aca="false">IF(E568&gt;=9,"Promoter",IF(E568&gt;=7,"Passive","Detractor"))</f>
        <v>Promoter</v>
      </c>
    </row>
    <row r="569" customFormat="false" ht="15" hidden="false" customHeight="false" outlineLevel="0" collapsed="false">
      <c r="A569" s="8" t="s">
        <v>5173</v>
      </c>
      <c r="B569" s="8" t="s">
        <v>2492</v>
      </c>
      <c r="C569" s="8" t="s">
        <v>51</v>
      </c>
      <c r="D569" s="32" t="n">
        <v>45949</v>
      </c>
      <c r="E569" s="8" t="n">
        <v>9</v>
      </c>
      <c r="F569" s="8" t="str">
        <f aca="false">IF(E569&gt;=9,"Promoter",IF(E569&gt;=7,"Passive","Detractor"))</f>
        <v>Promoter</v>
      </c>
    </row>
    <row r="570" customFormat="false" ht="15" hidden="false" customHeight="false" outlineLevel="0" collapsed="false">
      <c r="A570" s="8" t="s">
        <v>5174</v>
      </c>
      <c r="B570" s="8" t="s">
        <v>1939</v>
      </c>
      <c r="C570" s="8" t="s">
        <v>51</v>
      </c>
      <c r="D570" s="32" t="n">
        <v>45949</v>
      </c>
      <c r="E570" s="8" t="n">
        <v>8</v>
      </c>
      <c r="F570" s="8" t="str">
        <f aca="false">IF(E570&gt;=9,"Promoter",IF(E570&gt;=7,"Passive","Detractor"))</f>
        <v>Passive</v>
      </c>
    </row>
    <row r="571" customFormat="false" ht="15" hidden="false" customHeight="false" outlineLevel="0" collapsed="false">
      <c r="A571" s="8" t="s">
        <v>5175</v>
      </c>
      <c r="B571" s="8" t="s">
        <v>3650</v>
      </c>
      <c r="C571" s="8" t="s">
        <v>51</v>
      </c>
      <c r="D571" s="32" t="n">
        <v>45949</v>
      </c>
      <c r="E571" s="8" t="n">
        <v>8</v>
      </c>
      <c r="F571" s="8" t="str">
        <f aca="false">IF(E571&gt;=9,"Promoter",IF(E571&gt;=7,"Passive","Detractor"))</f>
        <v>Passive</v>
      </c>
    </row>
    <row r="572" customFormat="false" ht="15" hidden="false" customHeight="false" outlineLevel="0" collapsed="false">
      <c r="A572" s="8" t="s">
        <v>5176</v>
      </c>
      <c r="B572" s="8" t="s">
        <v>1389</v>
      </c>
      <c r="C572" s="8" t="s">
        <v>53</v>
      </c>
      <c r="D572" s="32" t="n">
        <v>45949</v>
      </c>
      <c r="E572" s="8" t="n">
        <v>10</v>
      </c>
      <c r="F572" s="8" t="str">
        <f aca="false">IF(E572&gt;=9,"Promoter",IF(E572&gt;=7,"Passive","Detractor"))</f>
        <v>Promoter</v>
      </c>
    </row>
    <row r="573" customFormat="false" ht="15" hidden="false" customHeight="false" outlineLevel="0" collapsed="false">
      <c r="A573" s="8" t="s">
        <v>5177</v>
      </c>
      <c r="B573" s="8" t="s">
        <v>1563</v>
      </c>
      <c r="C573" s="8" t="s">
        <v>53</v>
      </c>
      <c r="D573" s="32" t="n">
        <v>45949</v>
      </c>
      <c r="E573" s="8" t="n">
        <v>5</v>
      </c>
      <c r="F573" s="8" t="str">
        <f aca="false">IF(E573&gt;=9,"Promoter",IF(E573&gt;=7,"Passive","Detractor"))</f>
        <v>Detractor</v>
      </c>
    </row>
    <row r="574" customFormat="false" ht="15" hidden="false" customHeight="false" outlineLevel="0" collapsed="false">
      <c r="A574" s="8" t="s">
        <v>5178</v>
      </c>
      <c r="B574" s="8" t="s">
        <v>1585</v>
      </c>
      <c r="C574" s="8" t="s">
        <v>53</v>
      </c>
      <c r="D574" s="32" t="n">
        <v>45949</v>
      </c>
      <c r="E574" s="8" t="n">
        <v>10</v>
      </c>
      <c r="F574" s="8" t="str">
        <f aca="false">IF(E574&gt;=9,"Promoter",IF(E574&gt;=7,"Passive","Detractor"))</f>
        <v>Promoter</v>
      </c>
    </row>
    <row r="575" customFormat="false" ht="15" hidden="false" customHeight="false" outlineLevel="0" collapsed="false">
      <c r="A575" s="8" t="s">
        <v>5179</v>
      </c>
      <c r="B575" s="8" t="s">
        <v>302</v>
      </c>
      <c r="C575" s="8" t="s">
        <v>55</v>
      </c>
      <c r="D575" s="32" t="n">
        <v>45949</v>
      </c>
      <c r="E575" s="8" t="n">
        <v>10</v>
      </c>
      <c r="F575" s="8" t="str">
        <f aca="false">IF(E575&gt;=9,"Promoter",IF(E575&gt;=7,"Passive","Detractor"))</f>
        <v>Promoter</v>
      </c>
    </row>
    <row r="576" customFormat="false" ht="15" hidden="false" customHeight="false" outlineLevel="0" collapsed="false">
      <c r="A576" s="8" t="s">
        <v>5180</v>
      </c>
      <c r="B576" s="8" t="s">
        <v>865</v>
      </c>
      <c r="C576" s="8" t="s">
        <v>53</v>
      </c>
      <c r="D576" s="32" t="n">
        <v>45949</v>
      </c>
      <c r="E576" s="8" t="n">
        <v>8</v>
      </c>
      <c r="F576" s="8" t="str">
        <f aca="false">IF(E576&gt;=9,"Promoter",IF(E576&gt;=7,"Passive","Detractor"))</f>
        <v>Passive</v>
      </c>
    </row>
    <row r="577" customFormat="false" ht="15" hidden="false" customHeight="false" outlineLevel="0" collapsed="false">
      <c r="A577" s="8" t="s">
        <v>5181</v>
      </c>
      <c r="B577" s="8" t="s">
        <v>1209</v>
      </c>
      <c r="C577" s="8" t="s">
        <v>53</v>
      </c>
      <c r="D577" s="32" t="n">
        <v>45949</v>
      </c>
      <c r="E577" s="8" t="n">
        <v>10</v>
      </c>
      <c r="F577" s="8" t="str">
        <f aca="false">IF(E577&gt;=9,"Promoter",IF(E577&gt;=7,"Passive","Detractor"))</f>
        <v>Promoter</v>
      </c>
    </row>
    <row r="578" customFormat="false" ht="15" hidden="false" customHeight="false" outlineLevel="0" collapsed="false">
      <c r="A578" s="8" t="s">
        <v>5182</v>
      </c>
      <c r="B578" s="8" t="s">
        <v>2430</v>
      </c>
      <c r="C578" s="8" t="s">
        <v>51</v>
      </c>
      <c r="D578" s="32" t="n">
        <v>45949</v>
      </c>
      <c r="E578" s="8" t="n">
        <v>9</v>
      </c>
      <c r="F578" s="8" t="str">
        <f aca="false">IF(E578&gt;=9,"Promoter",IF(E578&gt;=7,"Passive","Detractor"))</f>
        <v>Promoter</v>
      </c>
    </row>
    <row r="579" customFormat="false" ht="15" hidden="false" customHeight="false" outlineLevel="0" collapsed="false">
      <c r="A579" s="8" t="s">
        <v>5183</v>
      </c>
      <c r="B579" s="8" t="s">
        <v>1793</v>
      </c>
      <c r="C579" s="8" t="s">
        <v>51</v>
      </c>
      <c r="D579" s="32" t="n">
        <v>45949</v>
      </c>
      <c r="E579" s="8" t="n">
        <v>6</v>
      </c>
      <c r="F579" s="8" t="str">
        <f aca="false">IF(E579&gt;=9,"Promoter",IF(E579&gt;=7,"Passive","Detractor"))</f>
        <v>Detractor</v>
      </c>
    </row>
    <row r="580" customFormat="false" ht="15" hidden="false" customHeight="false" outlineLevel="0" collapsed="false">
      <c r="A580" s="8" t="s">
        <v>5184</v>
      </c>
      <c r="B580" s="8" t="s">
        <v>3934</v>
      </c>
      <c r="C580" s="8" t="s">
        <v>51</v>
      </c>
      <c r="D580" s="32" t="n">
        <v>45949</v>
      </c>
      <c r="E580" s="8" t="n">
        <v>5</v>
      </c>
      <c r="F580" s="8" t="str">
        <f aca="false">IF(E580&gt;=9,"Promoter",IF(E580&gt;=7,"Passive","Detractor"))</f>
        <v>Detractor</v>
      </c>
    </row>
    <row r="581" customFormat="false" ht="15" hidden="false" customHeight="false" outlineLevel="0" collapsed="false">
      <c r="A581" s="8" t="s">
        <v>5185</v>
      </c>
      <c r="B581" s="8" t="s">
        <v>927</v>
      </c>
      <c r="C581" s="8" t="s">
        <v>53</v>
      </c>
      <c r="D581" s="32" t="n">
        <v>45949</v>
      </c>
      <c r="E581" s="8" t="n">
        <v>9</v>
      </c>
      <c r="F581" s="8" t="str">
        <f aca="false">IF(E581&gt;=9,"Promoter",IF(E581&gt;=7,"Passive","Detractor"))</f>
        <v>Promoter</v>
      </c>
    </row>
    <row r="582" customFormat="false" ht="15" hidden="false" customHeight="false" outlineLevel="0" collapsed="false">
      <c r="A582" s="8" t="s">
        <v>5186</v>
      </c>
      <c r="B582" s="8" t="s">
        <v>4124</v>
      </c>
      <c r="C582" s="8" t="s">
        <v>51</v>
      </c>
      <c r="D582" s="32" t="n">
        <v>45949</v>
      </c>
      <c r="E582" s="8" t="n">
        <v>10</v>
      </c>
      <c r="F582" s="8" t="str">
        <f aca="false">IF(E582&gt;=9,"Promoter",IF(E582&gt;=7,"Passive","Detractor"))</f>
        <v>Promoter</v>
      </c>
    </row>
    <row r="583" customFormat="false" ht="15" hidden="false" customHeight="false" outlineLevel="0" collapsed="false">
      <c r="A583" s="8" t="s">
        <v>5187</v>
      </c>
      <c r="B583" s="8" t="s">
        <v>3510</v>
      </c>
      <c r="C583" s="8" t="s">
        <v>51</v>
      </c>
      <c r="D583" s="32" t="n">
        <v>45949</v>
      </c>
      <c r="E583" s="8" t="n">
        <v>5</v>
      </c>
      <c r="F583" s="8" t="str">
        <f aca="false">IF(E583&gt;=9,"Promoter",IF(E583&gt;=7,"Passive","Detractor"))</f>
        <v>Detractor</v>
      </c>
    </row>
    <row r="584" customFormat="false" ht="15" hidden="false" customHeight="false" outlineLevel="0" collapsed="false">
      <c r="A584" s="8" t="s">
        <v>5188</v>
      </c>
      <c r="B584" s="8" t="s">
        <v>4448</v>
      </c>
      <c r="C584" s="8" t="s">
        <v>53</v>
      </c>
      <c r="D584" s="32" t="n">
        <v>45949</v>
      </c>
      <c r="E584" s="8" t="n">
        <v>7</v>
      </c>
      <c r="F584" s="8" t="str">
        <f aca="false">IF(E584&gt;=9,"Promoter",IF(E584&gt;=7,"Passive","Detractor"))</f>
        <v>Passive</v>
      </c>
    </row>
    <row r="585" customFormat="false" ht="15" hidden="false" customHeight="false" outlineLevel="0" collapsed="false">
      <c r="A585" s="8" t="s">
        <v>5189</v>
      </c>
      <c r="B585" s="8" t="s">
        <v>1341</v>
      </c>
      <c r="C585" s="8" t="s">
        <v>53</v>
      </c>
      <c r="D585" s="32" t="n">
        <v>45949</v>
      </c>
      <c r="E585" s="8" t="n">
        <v>10</v>
      </c>
      <c r="F585" s="8" t="str">
        <f aca="false">IF(E585&gt;=9,"Promoter",IF(E585&gt;=7,"Passive","Detractor"))</f>
        <v>Promoter</v>
      </c>
    </row>
    <row r="586" customFormat="false" ht="15" hidden="false" customHeight="false" outlineLevel="0" collapsed="false">
      <c r="A586" s="8" t="s">
        <v>5190</v>
      </c>
      <c r="B586" s="8" t="s">
        <v>1225</v>
      </c>
      <c r="C586" s="8" t="s">
        <v>53</v>
      </c>
      <c r="D586" s="32" t="n">
        <v>45949</v>
      </c>
      <c r="E586" s="8" t="n">
        <v>9</v>
      </c>
      <c r="F586" s="8" t="str">
        <f aca="false">IF(E586&gt;=9,"Promoter",IF(E586&gt;=7,"Passive","Detractor"))</f>
        <v>Promoter</v>
      </c>
    </row>
    <row r="587" customFormat="false" ht="15" hidden="false" customHeight="false" outlineLevel="0" collapsed="false">
      <c r="A587" s="8" t="s">
        <v>5191</v>
      </c>
      <c r="B587" s="8" t="s">
        <v>2612</v>
      </c>
      <c r="C587" s="8" t="s">
        <v>51</v>
      </c>
      <c r="D587" s="32" t="n">
        <v>45949</v>
      </c>
      <c r="E587" s="8" t="n">
        <v>10</v>
      </c>
      <c r="F587" s="8" t="str">
        <f aca="false">IF(E587&gt;=9,"Promoter",IF(E587&gt;=7,"Passive","Detractor"))</f>
        <v>Promoter</v>
      </c>
    </row>
    <row r="588" customFormat="false" ht="15" hidden="false" customHeight="false" outlineLevel="0" collapsed="false">
      <c r="A588" s="8" t="s">
        <v>5192</v>
      </c>
      <c r="B588" s="8" t="s">
        <v>2578</v>
      </c>
      <c r="C588" s="8" t="s">
        <v>51</v>
      </c>
      <c r="D588" s="32" t="n">
        <v>45949</v>
      </c>
      <c r="E588" s="8" t="n">
        <v>8</v>
      </c>
      <c r="F588" s="8" t="str">
        <f aca="false">IF(E588&gt;=9,"Promoter",IF(E588&gt;=7,"Passive","Detractor"))</f>
        <v>Passive</v>
      </c>
    </row>
    <row r="589" customFormat="false" ht="15" hidden="false" customHeight="false" outlineLevel="0" collapsed="false">
      <c r="A589" s="8" t="s">
        <v>5193</v>
      </c>
      <c r="B589" s="8" t="s">
        <v>1845</v>
      </c>
      <c r="C589" s="8" t="s">
        <v>51</v>
      </c>
      <c r="D589" s="32" t="n">
        <v>45949</v>
      </c>
      <c r="E589" s="8" t="n">
        <v>9</v>
      </c>
      <c r="F589" s="8" t="str">
        <f aca="false">IF(E589&gt;=9,"Promoter",IF(E589&gt;=7,"Passive","Detractor"))</f>
        <v>Promoter</v>
      </c>
    </row>
    <row r="590" customFormat="false" ht="15" hidden="false" customHeight="false" outlineLevel="0" collapsed="false">
      <c r="A590" s="8" t="s">
        <v>5194</v>
      </c>
      <c r="B590" s="8" t="s">
        <v>3186</v>
      </c>
      <c r="C590" s="8" t="s">
        <v>51</v>
      </c>
      <c r="D590" s="32" t="n">
        <v>45949</v>
      </c>
      <c r="E590" s="8" t="n">
        <v>7</v>
      </c>
      <c r="F590" s="8" t="str">
        <f aca="false">IF(E590&gt;=9,"Promoter",IF(E590&gt;=7,"Passive","Detractor"))</f>
        <v>Passive</v>
      </c>
    </row>
    <row r="591" customFormat="false" ht="15" hidden="false" customHeight="false" outlineLevel="0" collapsed="false">
      <c r="A591" s="8" t="s">
        <v>5195</v>
      </c>
      <c r="B591" s="8" t="s">
        <v>2234</v>
      </c>
      <c r="C591" s="8" t="s">
        <v>51</v>
      </c>
      <c r="D591" s="32" t="n">
        <v>45949</v>
      </c>
      <c r="E591" s="8" t="n">
        <v>7</v>
      </c>
      <c r="F591" s="8" t="str">
        <f aca="false">IF(E591&gt;=9,"Promoter",IF(E591&gt;=7,"Passive","Detractor"))</f>
        <v>Passive</v>
      </c>
    </row>
    <row r="592" customFormat="false" ht="15" hidden="false" customHeight="false" outlineLevel="0" collapsed="false">
      <c r="A592" s="8" t="s">
        <v>5196</v>
      </c>
      <c r="B592" s="8" t="s">
        <v>3850</v>
      </c>
      <c r="C592" s="8" t="s">
        <v>51</v>
      </c>
      <c r="D592" s="32" t="n">
        <v>45949</v>
      </c>
      <c r="E592" s="8" t="n">
        <v>9</v>
      </c>
      <c r="F592" s="8" t="str">
        <f aca="false">IF(E592&gt;=9,"Promoter",IF(E592&gt;=7,"Passive","Detractor"))</f>
        <v>Promoter</v>
      </c>
    </row>
    <row r="593" customFormat="false" ht="15" hidden="false" customHeight="false" outlineLevel="0" collapsed="false">
      <c r="A593" s="8" t="s">
        <v>5197</v>
      </c>
      <c r="B593" s="8" t="s">
        <v>3198</v>
      </c>
      <c r="C593" s="8" t="s">
        <v>51</v>
      </c>
      <c r="D593" s="32" t="n">
        <v>45949</v>
      </c>
      <c r="E593" s="8" t="n">
        <v>6</v>
      </c>
      <c r="F593" s="8" t="str">
        <f aca="false">IF(E593&gt;=9,"Promoter",IF(E593&gt;=7,"Passive","Detractor"))</f>
        <v>Detractor</v>
      </c>
    </row>
    <row r="594" customFormat="false" ht="15" hidden="false" customHeight="false" outlineLevel="0" collapsed="false">
      <c r="A594" s="8" t="s">
        <v>5198</v>
      </c>
      <c r="B594" s="8" t="s">
        <v>995</v>
      </c>
      <c r="C594" s="8" t="s">
        <v>53</v>
      </c>
      <c r="D594" s="32" t="n">
        <v>45949</v>
      </c>
      <c r="E594" s="8" t="n">
        <v>7</v>
      </c>
      <c r="F594" s="8" t="str">
        <f aca="false">IF(E594&gt;=9,"Promoter",IF(E594&gt;=7,"Passive","Detractor"))</f>
        <v>Passive</v>
      </c>
    </row>
    <row r="595" customFormat="false" ht="15" hidden="false" customHeight="false" outlineLevel="0" collapsed="false">
      <c r="A595" s="8" t="s">
        <v>5199</v>
      </c>
      <c r="B595" s="8" t="s">
        <v>589</v>
      </c>
      <c r="C595" s="8" t="s">
        <v>53</v>
      </c>
      <c r="D595" s="32" t="n">
        <v>45950</v>
      </c>
      <c r="E595" s="8" t="n">
        <v>9</v>
      </c>
      <c r="F595" s="8" t="str">
        <f aca="false">IF(E595&gt;=9,"Promoter",IF(E595&gt;=7,"Passive","Detractor"))</f>
        <v>Promoter</v>
      </c>
    </row>
    <row r="596" customFormat="false" ht="15" hidden="false" customHeight="false" outlineLevel="0" collapsed="false">
      <c r="A596" s="8" t="s">
        <v>5200</v>
      </c>
      <c r="B596" s="8" t="s">
        <v>689</v>
      </c>
      <c r="C596" s="8" t="s">
        <v>53</v>
      </c>
      <c r="D596" s="32" t="n">
        <v>45950</v>
      </c>
      <c r="E596" s="8" t="n">
        <v>9</v>
      </c>
      <c r="F596" s="8" t="str">
        <f aca="false">IF(E596&gt;=9,"Promoter",IF(E596&gt;=7,"Passive","Detractor"))</f>
        <v>Promoter</v>
      </c>
    </row>
    <row r="597" customFormat="false" ht="15" hidden="false" customHeight="false" outlineLevel="0" collapsed="false">
      <c r="A597" s="8" t="s">
        <v>5201</v>
      </c>
      <c r="B597" s="8" t="s">
        <v>3266</v>
      </c>
      <c r="C597" s="8" t="s">
        <v>51</v>
      </c>
      <c r="D597" s="32" t="n">
        <v>45950</v>
      </c>
      <c r="E597" s="8" t="n">
        <v>10</v>
      </c>
      <c r="F597" s="8" t="str">
        <f aca="false">IF(E597&gt;=9,"Promoter",IF(E597&gt;=7,"Passive","Detractor"))</f>
        <v>Promoter</v>
      </c>
    </row>
    <row r="598" customFormat="false" ht="15" hidden="false" customHeight="false" outlineLevel="0" collapsed="false">
      <c r="A598" s="8" t="s">
        <v>5202</v>
      </c>
      <c r="B598" s="8" t="s">
        <v>1547</v>
      </c>
      <c r="C598" s="8" t="s">
        <v>53</v>
      </c>
      <c r="D598" s="32" t="n">
        <v>45950</v>
      </c>
      <c r="E598" s="8" t="n">
        <v>5</v>
      </c>
      <c r="F598" s="8" t="str">
        <f aca="false">IF(E598&gt;=9,"Promoter",IF(E598&gt;=7,"Passive","Detractor"))</f>
        <v>Detractor</v>
      </c>
    </row>
    <row r="599" customFormat="false" ht="15" hidden="false" customHeight="false" outlineLevel="0" collapsed="false">
      <c r="A599" s="8" t="s">
        <v>5203</v>
      </c>
      <c r="B599" s="8" t="s">
        <v>1447</v>
      </c>
      <c r="C599" s="8" t="s">
        <v>53</v>
      </c>
      <c r="D599" s="32" t="n">
        <v>45950</v>
      </c>
      <c r="E599" s="8" t="n">
        <v>8</v>
      </c>
      <c r="F599" s="8" t="str">
        <f aca="false">IF(E599&gt;=9,"Promoter",IF(E599&gt;=7,"Passive","Detractor"))</f>
        <v>Passive</v>
      </c>
    </row>
    <row r="600" customFormat="false" ht="15" hidden="false" customHeight="false" outlineLevel="0" collapsed="false">
      <c r="A600" s="8" t="s">
        <v>5204</v>
      </c>
      <c r="B600" s="8" t="s">
        <v>3064</v>
      </c>
      <c r="C600" s="8" t="s">
        <v>51</v>
      </c>
      <c r="D600" s="32" t="n">
        <v>45950</v>
      </c>
      <c r="E600" s="8" t="n">
        <v>10</v>
      </c>
      <c r="F600" s="8" t="str">
        <f aca="false">IF(E600&gt;=9,"Promoter",IF(E600&gt;=7,"Passive","Detractor"))</f>
        <v>Promoter</v>
      </c>
    </row>
    <row r="601" customFormat="false" ht="15" hidden="false" customHeight="false" outlineLevel="0" collapsed="false">
      <c r="A601" s="8" t="s">
        <v>5205</v>
      </c>
      <c r="B601" s="8" t="s">
        <v>3728</v>
      </c>
      <c r="C601" s="8" t="s">
        <v>51</v>
      </c>
      <c r="D601" s="32" t="n">
        <v>45950</v>
      </c>
      <c r="E601" s="8" t="n">
        <v>10</v>
      </c>
      <c r="F601" s="8" t="str">
        <f aca="false">IF(E601&gt;=9,"Promoter",IF(E601&gt;=7,"Passive","Detractor"))</f>
        <v>Promoter</v>
      </c>
    </row>
    <row r="602" customFormat="false" ht="15" hidden="false" customHeight="false" outlineLevel="0" collapsed="false">
      <c r="A602" s="8" t="s">
        <v>5206</v>
      </c>
      <c r="B602" s="8" t="s">
        <v>4178</v>
      </c>
      <c r="C602" s="8" t="s">
        <v>51</v>
      </c>
      <c r="D602" s="32" t="n">
        <v>45950</v>
      </c>
      <c r="E602" s="8" t="n">
        <v>7</v>
      </c>
      <c r="F602" s="8" t="str">
        <f aca="false">IF(E602&gt;=9,"Promoter",IF(E602&gt;=7,"Passive","Detractor"))</f>
        <v>Passive</v>
      </c>
    </row>
    <row r="603" customFormat="false" ht="15" hidden="false" customHeight="false" outlineLevel="0" collapsed="false">
      <c r="A603" s="8" t="s">
        <v>5207</v>
      </c>
      <c r="B603" s="8" t="s">
        <v>1843</v>
      </c>
      <c r="C603" s="8" t="s">
        <v>51</v>
      </c>
      <c r="D603" s="32" t="n">
        <v>45950</v>
      </c>
      <c r="E603" s="8" t="n">
        <v>5</v>
      </c>
      <c r="F603" s="8" t="str">
        <f aca="false">IF(E603&gt;=9,"Promoter",IF(E603&gt;=7,"Passive","Detractor"))</f>
        <v>Detractor</v>
      </c>
    </row>
    <row r="604" customFormat="false" ht="15" hidden="false" customHeight="false" outlineLevel="0" collapsed="false">
      <c r="A604" s="8" t="s">
        <v>5208</v>
      </c>
      <c r="B604" s="8" t="s">
        <v>2944</v>
      </c>
      <c r="C604" s="8" t="s">
        <v>51</v>
      </c>
      <c r="D604" s="32" t="n">
        <v>45950</v>
      </c>
      <c r="E604" s="8" t="n">
        <v>10</v>
      </c>
      <c r="F604" s="8" t="str">
        <f aca="false">IF(E604&gt;=9,"Promoter",IF(E604&gt;=7,"Passive","Detractor"))</f>
        <v>Promoter</v>
      </c>
    </row>
    <row r="605" customFormat="false" ht="15" hidden="false" customHeight="false" outlineLevel="0" collapsed="false">
      <c r="A605" s="8" t="s">
        <v>5209</v>
      </c>
      <c r="B605" s="8" t="s">
        <v>4052</v>
      </c>
      <c r="C605" s="8" t="s">
        <v>51</v>
      </c>
      <c r="D605" s="32" t="n">
        <v>45950</v>
      </c>
      <c r="E605" s="8" t="n">
        <v>9</v>
      </c>
      <c r="F605" s="8" t="str">
        <f aca="false">IF(E605&gt;=9,"Promoter",IF(E605&gt;=7,"Passive","Detractor"))</f>
        <v>Promoter</v>
      </c>
    </row>
    <row r="606" customFormat="false" ht="15" hidden="false" customHeight="false" outlineLevel="0" collapsed="false">
      <c r="A606" s="8" t="s">
        <v>5210</v>
      </c>
      <c r="B606" s="8" t="s">
        <v>1011</v>
      </c>
      <c r="C606" s="8" t="s">
        <v>53</v>
      </c>
      <c r="D606" s="32" t="n">
        <v>45950</v>
      </c>
      <c r="E606" s="8" t="n">
        <v>8</v>
      </c>
      <c r="F606" s="8" t="str">
        <f aca="false">IF(E606&gt;=9,"Promoter",IF(E606&gt;=7,"Passive","Detractor"))</f>
        <v>Passive</v>
      </c>
    </row>
    <row r="607" customFormat="false" ht="15" hidden="false" customHeight="false" outlineLevel="0" collapsed="false">
      <c r="A607" s="8" t="s">
        <v>5211</v>
      </c>
      <c r="B607" s="8" t="s">
        <v>4364</v>
      </c>
      <c r="C607" s="8" t="s">
        <v>51</v>
      </c>
      <c r="D607" s="32" t="n">
        <v>45950</v>
      </c>
      <c r="E607" s="8" t="n">
        <v>10</v>
      </c>
      <c r="F607" s="8" t="str">
        <f aca="false">IF(E607&gt;=9,"Promoter",IF(E607&gt;=7,"Passive","Detractor"))</f>
        <v>Promoter</v>
      </c>
    </row>
    <row r="608" customFormat="false" ht="15" hidden="false" customHeight="false" outlineLevel="0" collapsed="false">
      <c r="A608" s="8" t="s">
        <v>5212</v>
      </c>
      <c r="B608" s="8" t="s">
        <v>4510</v>
      </c>
      <c r="C608" s="8" t="s">
        <v>51</v>
      </c>
      <c r="D608" s="32" t="n">
        <v>45950</v>
      </c>
      <c r="E608" s="8" t="n">
        <v>6</v>
      </c>
      <c r="F608" s="8" t="str">
        <f aca="false">IF(E608&gt;=9,"Promoter",IF(E608&gt;=7,"Passive","Detractor"))</f>
        <v>Detractor</v>
      </c>
    </row>
    <row r="609" customFormat="false" ht="15" hidden="false" customHeight="false" outlineLevel="0" collapsed="false">
      <c r="A609" s="8" t="s">
        <v>5213</v>
      </c>
      <c r="B609" s="8" t="s">
        <v>2146</v>
      </c>
      <c r="C609" s="8" t="s">
        <v>51</v>
      </c>
      <c r="D609" s="32" t="n">
        <v>45950</v>
      </c>
      <c r="E609" s="8" t="n">
        <v>6</v>
      </c>
      <c r="F609" s="8" t="str">
        <f aca="false">IF(E609&gt;=9,"Promoter",IF(E609&gt;=7,"Passive","Detractor"))</f>
        <v>Detractor</v>
      </c>
    </row>
    <row r="610" customFormat="false" ht="15" hidden="false" customHeight="false" outlineLevel="0" collapsed="false">
      <c r="A610" s="8" t="s">
        <v>5214</v>
      </c>
      <c r="B610" s="8" t="s">
        <v>513</v>
      </c>
      <c r="C610" s="8" t="s">
        <v>55</v>
      </c>
      <c r="D610" s="32" t="n">
        <v>45950</v>
      </c>
      <c r="E610" s="8" t="n">
        <v>10</v>
      </c>
      <c r="F610" s="8" t="str">
        <f aca="false">IF(E610&gt;=9,"Promoter",IF(E610&gt;=7,"Passive","Detractor"))</f>
        <v>Promoter</v>
      </c>
    </row>
    <row r="611" customFormat="false" ht="15" hidden="false" customHeight="false" outlineLevel="0" collapsed="false">
      <c r="A611" s="8" t="s">
        <v>5215</v>
      </c>
      <c r="B611" s="8" t="s">
        <v>565</v>
      </c>
      <c r="C611" s="8" t="s">
        <v>55</v>
      </c>
      <c r="D611" s="32" t="n">
        <v>45950</v>
      </c>
      <c r="E611" s="8" t="n">
        <v>6</v>
      </c>
      <c r="F611" s="8" t="str">
        <f aca="false">IF(E611&gt;=9,"Promoter",IF(E611&gt;=7,"Passive","Detractor"))</f>
        <v>Detractor</v>
      </c>
    </row>
    <row r="612" customFormat="false" ht="15" hidden="false" customHeight="false" outlineLevel="0" collapsed="false">
      <c r="A612" s="8" t="s">
        <v>5216</v>
      </c>
      <c r="B612" s="8" t="s">
        <v>2956</v>
      </c>
      <c r="C612" s="8" t="s">
        <v>51</v>
      </c>
      <c r="D612" s="32" t="n">
        <v>45950</v>
      </c>
      <c r="E612" s="8" t="n">
        <v>6</v>
      </c>
      <c r="F612" s="8" t="str">
        <f aca="false">IF(E612&gt;=9,"Promoter",IF(E612&gt;=7,"Passive","Detractor"))</f>
        <v>Detractor</v>
      </c>
    </row>
    <row r="613" customFormat="false" ht="15" hidden="false" customHeight="false" outlineLevel="0" collapsed="false">
      <c r="A613" s="8" t="s">
        <v>5217</v>
      </c>
      <c r="B613" s="8" t="s">
        <v>437</v>
      </c>
      <c r="C613" s="8" t="s">
        <v>55</v>
      </c>
      <c r="D613" s="32" t="n">
        <v>45950</v>
      </c>
      <c r="E613" s="8" t="n">
        <v>8</v>
      </c>
      <c r="F613" s="8" t="str">
        <f aca="false">IF(E613&gt;=9,"Promoter",IF(E613&gt;=7,"Passive","Detractor"))</f>
        <v>Passive</v>
      </c>
    </row>
    <row r="614" customFormat="false" ht="15" hidden="false" customHeight="false" outlineLevel="0" collapsed="false">
      <c r="A614" s="8" t="s">
        <v>5218</v>
      </c>
      <c r="B614" s="8" t="s">
        <v>2084</v>
      </c>
      <c r="C614" s="8" t="s">
        <v>51</v>
      </c>
      <c r="D614" s="32" t="n">
        <v>45950</v>
      </c>
      <c r="E614" s="8" t="n">
        <v>9</v>
      </c>
      <c r="F614" s="8" t="str">
        <f aca="false">IF(E614&gt;=9,"Promoter",IF(E614&gt;=7,"Passive","Detractor"))</f>
        <v>Promoter</v>
      </c>
    </row>
    <row r="615" customFormat="false" ht="15" hidden="false" customHeight="false" outlineLevel="0" collapsed="false">
      <c r="A615" s="8" t="s">
        <v>5219</v>
      </c>
      <c r="B615" s="8" t="s">
        <v>4434</v>
      </c>
      <c r="C615" s="8" t="s">
        <v>53</v>
      </c>
      <c r="D615" s="32" t="n">
        <v>45950</v>
      </c>
      <c r="E615" s="8" t="n">
        <v>7</v>
      </c>
      <c r="F615" s="8" t="str">
        <f aca="false">IF(E615&gt;=9,"Promoter",IF(E615&gt;=7,"Passive","Detractor"))</f>
        <v>Passive</v>
      </c>
    </row>
    <row r="616" customFormat="false" ht="15" hidden="false" customHeight="false" outlineLevel="0" collapsed="false">
      <c r="A616" s="8" t="s">
        <v>5220</v>
      </c>
      <c r="B616" s="8" t="s">
        <v>4256</v>
      </c>
      <c r="C616" s="8" t="s">
        <v>51</v>
      </c>
      <c r="D616" s="32" t="n">
        <v>45950</v>
      </c>
      <c r="E616" s="8" t="n">
        <v>8</v>
      </c>
      <c r="F616" s="8" t="str">
        <f aca="false">IF(E616&gt;=9,"Promoter",IF(E616&gt;=7,"Passive","Detractor"))</f>
        <v>Passive</v>
      </c>
    </row>
    <row r="617" customFormat="false" ht="15" hidden="false" customHeight="false" outlineLevel="0" collapsed="false">
      <c r="A617" s="8" t="s">
        <v>5221</v>
      </c>
      <c r="B617" s="8" t="s">
        <v>581</v>
      </c>
      <c r="C617" s="8" t="s">
        <v>55</v>
      </c>
      <c r="D617" s="32" t="n">
        <v>45950</v>
      </c>
      <c r="E617" s="8" t="n">
        <v>5</v>
      </c>
      <c r="F617" s="8" t="str">
        <f aca="false">IF(E617&gt;=9,"Promoter",IF(E617&gt;=7,"Passive","Detractor"))</f>
        <v>Detractor</v>
      </c>
    </row>
    <row r="618" customFormat="false" ht="15" hidden="false" customHeight="false" outlineLevel="0" collapsed="false">
      <c r="A618" s="8" t="s">
        <v>5222</v>
      </c>
      <c r="B618" s="8" t="s">
        <v>851</v>
      </c>
      <c r="C618" s="8" t="s">
        <v>53</v>
      </c>
      <c r="D618" s="32" t="n">
        <v>45950</v>
      </c>
      <c r="E618" s="8" t="n">
        <v>9</v>
      </c>
      <c r="F618" s="8" t="str">
        <f aca="false">IF(E618&gt;=9,"Promoter",IF(E618&gt;=7,"Passive","Detractor"))</f>
        <v>Promoter</v>
      </c>
    </row>
    <row r="619" customFormat="false" ht="15" hidden="false" customHeight="false" outlineLevel="0" collapsed="false">
      <c r="A619" s="8" t="s">
        <v>5223</v>
      </c>
      <c r="B619" s="8" t="s">
        <v>867</v>
      </c>
      <c r="C619" s="8" t="s">
        <v>53</v>
      </c>
      <c r="D619" s="32" t="n">
        <v>45951</v>
      </c>
      <c r="E619" s="8" t="n">
        <v>6</v>
      </c>
      <c r="F619" s="8" t="str">
        <f aca="false">IF(E619&gt;=9,"Promoter",IF(E619&gt;=7,"Passive","Detractor"))</f>
        <v>Detractor</v>
      </c>
    </row>
    <row r="620" customFormat="false" ht="15" hidden="false" customHeight="false" outlineLevel="0" collapsed="false">
      <c r="A620" s="8" t="s">
        <v>5224</v>
      </c>
      <c r="B620" s="8" t="s">
        <v>1675</v>
      </c>
      <c r="C620" s="8" t="s">
        <v>53</v>
      </c>
      <c r="D620" s="32" t="n">
        <v>45951</v>
      </c>
      <c r="E620" s="8" t="n">
        <v>7</v>
      </c>
      <c r="F620" s="8" t="str">
        <f aca="false">IF(E620&gt;=9,"Promoter",IF(E620&gt;=7,"Passive","Detractor"))</f>
        <v>Passive</v>
      </c>
    </row>
    <row r="621" customFormat="false" ht="15" hidden="false" customHeight="false" outlineLevel="0" collapsed="false">
      <c r="A621" s="8" t="s">
        <v>5225</v>
      </c>
      <c r="B621" s="8" t="s">
        <v>2270</v>
      </c>
      <c r="C621" s="8" t="s">
        <v>51</v>
      </c>
      <c r="D621" s="32" t="n">
        <v>45951</v>
      </c>
      <c r="E621" s="8" t="n">
        <v>6</v>
      </c>
      <c r="F621" s="8" t="str">
        <f aca="false">IF(E621&gt;=9,"Promoter",IF(E621&gt;=7,"Passive","Detractor"))</f>
        <v>Detractor</v>
      </c>
    </row>
    <row r="622" customFormat="false" ht="15" hidden="false" customHeight="false" outlineLevel="0" collapsed="false">
      <c r="A622" s="8" t="s">
        <v>5226</v>
      </c>
      <c r="B622" s="8" t="s">
        <v>2200</v>
      </c>
      <c r="C622" s="8" t="s">
        <v>51</v>
      </c>
      <c r="D622" s="32" t="n">
        <v>45951</v>
      </c>
      <c r="E622" s="8" t="n">
        <v>10</v>
      </c>
      <c r="F622" s="8" t="str">
        <f aca="false">IF(E622&gt;=9,"Promoter",IF(E622&gt;=7,"Passive","Detractor"))</f>
        <v>Promoter</v>
      </c>
    </row>
    <row r="623" customFormat="false" ht="15" hidden="false" customHeight="false" outlineLevel="0" collapsed="false">
      <c r="A623" s="8" t="s">
        <v>5227</v>
      </c>
      <c r="B623" s="8" t="s">
        <v>4481</v>
      </c>
      <c r="C623" s="8" t="s">
        <v>53</v>
      </c>
      <c r="D623" s="32" t="n">
        <v>45951</v>
      </c>
      <c r="E623" s="8" t="n">
        <v>5</v>
      </c>
      <c r="F623" s="8" t="str">
        <f aca="false">IF(E623&gt;=9,"Promoter",IF(E623&gt;=7,"Passive","Detractor"))</f>
        <v>Detractor</v>
      </c>
    </row>
    <row r="624" customFormat="false" ht="15" hidden="false" customHeight="false" outlineLevel="0" collapsed="false">
      <c r="A624" s="8" t="s">
        <v>5228</v>
      </c>
      <c r="B624" s="8" t="s">
        <v>419</v>
      </c>
      <c r="C624" s="8" t="s">
        <v>55</v>
      </c>
      <c r="D624" s="32" t="n">
        <v>45951</v>
      </c>
      <c r="E624" s="8" t="n">
        <v>10</v>
      </c>
      <c r="F624" s="8" t="str">
        <f aca="false">IF(E624&gt;=9,"Promoter",IF(E624&gt;=7,"Passive","Detractor"))</f>
        <v>Promoter</v>
      </c>
    </row>
    <row r="625" customFormat="false" ht="15" hidden="false" customHeight="false" outlineLevel="0" collapsed="false">
      <c r="A625" s="8" t="s">
        <v>5229</v>
      </c>
      <c r="B625" s="8" t="s">
        <v>3704</v>
      </c>
      <c r="C625" s="8" t="s">
        <v>51</v>
      </c>
      <c r="D625" s="32" t="n">
        <v>45951</v>
      </c>
      <c r="E625" s="8" t="n">
        <v>5</v>
      </c>
      <c r="F625" s="8" t="str">
        <f aca="false">IF(E625&gt;=9,"Promoter",IF(E625&gt;=7,"Passive","Detractor"))</f>
        <v>Detractor</v>
      </c>
    </row>
    <row r="626" customFormat="false" ht="15" hidden="false" customHeight="false" outlineLevel="0" collapsed="false">
      <c r="A626" s="8" t="s">
        <v>5230</v>
      </c>
      <c r="B626" s="8" t="s">
        <v>1169</v>
      </c>
      <c r="C626" s="8" t="s">
        <v>53</v>
      </c>
      <c r="D626" s="32" t="n">
        <v>45951</v>
      </c>
      <c r="E626" s="8" t="n">
        <v>5</v>
      </c>
      <c r="F626" s="8" t="str">
        <f aca="false">IF(E626&gt;=9,"Promoter",IF(E626&gt;=7,"Passive","Detractor"))</f>
        <v>Detractor</v>
      </c>
    </row>
    <row r="627" customFormat="false" ht="15" hidden="false" customHeight="false" outlineLevel="0" collapsed="false">
      <c r="A627" s="8" t="s">
        <v>5231</v>
      </c>
      <c r="B627" s="8" t="s">
        <v>1505</v>
      </c>
      <c r="C627" s="8" t="s">
        <v>53</v>
      </c>
      <c r="D627" s="32" t="n">
        <v>45951</v>
      </c>
      <c r="E627" s="8" t="n">
        <v>10</v>
      </c>
      <c r="F627" s="8" t="str">
        <f aca="false">IF(E627&gt;=9,"Promoter",IF(E627&gt;=7,"Passive","Detractor"))</f>
        <v>Promoter</v>
      </c>
    </row>
    <row r="628" customFormat="false" ht="15" hidden="false" customHeight="false" outlineLevel="0" collapsed="false">
      <c r="A628" s="8" t="s">
        <v>5232</v>
      </c>
      <c r="B628" s="8" t="s">
        <v>4443</v>
      </c>
      <c r="C628" s="8" t="s">
        <v>53</v>
      </c>
      <c r="D628" s="32" t="n">
        <v>45951</v>
      </c>
      <c r="E628" s="8" t="n">
        <v>7</v>
      </c>
      <c r="F628" s="8" t="str">
        <f aca="false">IF(E628&gt;=9,"Promoter",IF(E628&gt;=7,"Passive","Detractor"))</f>
        <v>Passive</v>
      </c>
    </row>
    <row r="629" customFormat="false" ht="15" hidden="false" customHeight="false" outlineLevel="0" collapsed="false">
      <c r="A629" s="8" t="s">
        <v>5233</v>
      </c>
      <c r="B629" s="8" t="s">
        <v>3412</v>
      </c>
      <c r="C629" s="8" t="s">
        <v>51</v>
      </c>
      <c r="D629" s="32" t="n">
        <v>45951</v>
      </c>
      <c r="E629" s="8" t="n">
        <v>8</v>
      </c>
      <c r="F629" s="8" t="str">
        <f aca="false">IF(E629&gt;=9,"Promoter",IF(E629&gt;=7,"Passive","Detractor"))</f>
        <v>Passive</v>
      </c>
    </row>
    <row r="630" customFormat="false" ht="15" hidden="false" customHeight="false" outlineLevel="0" collapsed="false">
      <c r="A630" s="8" t="s">
        <v>5234</v>
      </c>
      <c r="B630" s="8" t="s">
        <v>683</v>
      </c>
      <c r="C630" s="8" t="s">
        <v>55</v>
      </c>
      <c r="D630" s="32" t="n">
        <v>45951</v>
      </c>
      <c r="E630" s="8" t="n">
        <v>7</v>
      </c>
      <c r="F630" s="8" t="str">
        <f aca="false">IF(E630&gt;=9,"Promoter",IF(E630&gt;=7,"Passive","Detractor"))</f>
        <v>Passive</v>
      </c>
    </row>
    <row r="631" customFormat="false" ht="15" hidden="false" customHeight="false" outlineLevel="0" collapsed="false">
      <c r="A631" s="8" t="s">
        <v>5235</v>
      </c>
      <c r="B631" s="8" t="s">
        <v>1487</v>
      </c>
      <c r="C631" s="8" t="s">
        <v>53</v>
      </c>
      <c r="D631" s="32" t="n">
        <v>45951</v>
      </c>
      <c r="E631" s="8" t="n">
        <v>9</v>
      </c>
      <c r="F631" s="8" t="str">
        <f aca="false">IF(E631&gt;=9,"Promoter",IF(E631&gt;=7,"Passive","Detractor"))</f>
        <v>Promoter</v>
      </c>
    </row>
    <row r="632" customFormat="false" ht="15" hidden="false" customHeight="false" outlineLevel="0" collapsed="false">
      <c r="A632" s="8" t="s">
        <v>5236</v>
      </c>
      <c r="B632" s="8" t="s">
        <v>1401</v>
      </c>
      <c r="C632" s="8" t="s">
        <v>53</v>
      </c>
      <c r="D632" s="32" t="n">
        <v>45951</v>
      </c>
      <c r="E632" s="8" t="n">
        <v>10</v>
      </c>
      <c r="F632" s="8" t="str">
        <f aca="false">IF(E632&gt;=9,"Promoter",IF(E632&gt;=7,"Passive","Detractor"))</f>
        <v>Promoter</v>
      </c>
    </row>
    <row r="633" customFormat="false" ht="15" hidden="false" customHeight="false" outlineLevel="0" collapsed="false">
      <c r="A633" s="8" t="s">
        <v>5237</v>
      </c>
      <c r="B633" s="8" t="s">
        <v>2052</v>
      </c>
      <c r="C633" s="8" t="s">
        <v>51</v>
      </c>
      <c r="D633" s="32" t="n">
        <v>45951</v>
      </c>
      <c r="E633" s="8" t="n">
        <v>10</v>
      </c>
      <c r="F633" s="8" t="str">
        <f aca="false">IF(E633&gt;=9,"Promoter",IF(E633&gt;=7,"Passive","Detractor"))</f>
        <v>Promoter</v>
      </c>
    </row>
    <row r="634" customFormat="false" ht="15" hidden="false" customHeight="false" outlineLevel="0" collapsed="false">
      <c r="A634" s="8" t="s">
        <v>5238</v>
      </c>
      <c r="B634" s="8" t="s">
        <v>3302</v>
      </c>
      <c r="C634" s="8" t="s">
        <v>51</v>
      </c>
      <c r="D634" s="32" t="n">
        <v>45951</v>
      </c>
      <c r="E634" s="8" t="n">
        <v>10</v>
      </c>
      <c r="F634" s="8" t="str">
        <f aca="false">IF(E634&gt;=9,"Promoter",IF(E634&gt;=7,"Passive","Detractor"))</f>
        <v>Promoter</v>
      </c>
    </row>
    <row r="635" customFormat="false" ht="15" hidden="false" customHeight="false" outlineLevel="0" collapsed="false">
      <c r="A635" s="8" t="s">
        <v>5239</v>
      </c>
      <c r="B635" s="8" t="s">
        <v>1013</v>
      </c>
      <c r="C635" s="8" t="s">
        <v>53</v>
      </c>
      <c r="D635" s="32" t="n">
        <v>45951</v>
      </c>
      <c r="E635" s="8" t="n">
        <v>8</v>
      </c>
      <c r="F635" s="8" t="str">
        <f aca="false">IF(E635&gt;=9,"Promoter",IF(E635&gt;=7,"Passive","Detractor"))</f>
        <v>Passive</v>
      </c>
    </row>
    <row r="636" customFormat="false" ht="15" hidden="false" customHeight="false" outlineLevel="0" collapsed="false">
      <c r="A636" s="8" t="s">
        <v>5240</v>
      </c>
      <c r="B636" s="8" t="s">
        <v>4022</v>
      </c>
      <c r="C636" s="8" t="s">
        <v>51</v>
      </c>
      <c r="D636" s="32" t="n">
        <v>45951</v>
      </c>
      <c r="E636" s="8" t="n">
        <v>6</v>
      </c>
      <c r="F636" s="8" t="str">
        <f aca="false">IF(E636&gt;=9,"Promoter",IF(E636&gt;=7,"Passive","Detractor"))</f>
        <v>Detractor</v>
      </c>
    </row>
    <row r="637" customFormat="false" ht="15" hidden="false" customHeight="false" outlineLevel="0" collapsed="false">
      <c r="A637" s="8" t="s">
        <v>5241</v>
      </c>
      <c r="B637" s="8" t="s">
        <v>2584</v>
      </c>
      <c r="C637" s="8" t="s">
        <v>51</v>
      </c>
      <c r="D637" s="32" t="n">
        <v>45951</v>
      </c>
      <c r="E637" s="8" t="n">
        <v>10</v>
      </c>
      <c r="F637" s="8" t="str">
        <f aca="false">IF(E637&gt;=9,"Promoter",IF(E637&gt;=7,"Passive","Detractor"))</f>
        <v>Promoter</v>
      </c>
    </row>
    <row r="638" customFormat="false" ht="15" hidden="false" customHeight="false" outlineLevel="0" collapsed="false">
      <c r="A638" s="8" t="s">
        <v>5242</v>
      </c>
      <c r="B638" s="8" t="s">
        <v>2484</v>
      </c>
      <c r="C638" s="8" t="s">
        <v>51</v>
      </c>
      <c r="D638" s="32" t="n">
        <v>45951</v>
      </c>
      <c r="E638" s="8" t="n">
        <v>10</v>
      </c>
      <c r="F638" s="8" t="str">
        <f aca="false">IF(E638&gt;=9,"Promoter",IF(E638&gt;=7,"Passive","Detractor"))</f>
        <v>Promoter</v>
      </c>
    </row>
    <row r="639" customFormat="false" ht="15" hidden="false" customHeight="false" outlineLevel="0" collapsed="false">
      <c r="A639" s="8" t="s">
        <v>5243</v>
      </c>
      <c r="B639" s="8" t="s">
        <v>3898</v>
      </c>
      <c r="C639" s="8" t="s">
        <v>51</v>
      </c>
      <c r="D639" s="32" t="n">
        <v>45952</v>
      </c>
      <c r="E639" s="8" t="n">
        <v>8</v>
      </c>
      <c r="F639" s="8" t="str">
        <f aca="false">IF(E639&gt;=9,"Promoter",IF(E639&gt;=7,"Passive","Detractor"))</f>
        <v>Passive</v>
      </c>
    </row>
    <row r="640" customFormat="false" ht="15" hidden="false" customHeight="false" outlineLevel="0" collapsed="false">
      <c r="A640" s="8" t="s">
        <v>5244</v>
      </c>
      <c r="B640" s="8" t="s">
        <v>4490</v>
      </c>
      <c r="C640" s="8" t="s">
        <v>51</v>
      </c>
      <c r="D640" s="32" t="n">
        <v>45952</v>
      </c>
      <c r="E640" s="8" t="n">
        <v>10</v>
      </c>
      <c r="F640" s="8" t="str">
        <f aca="false">IF(E640&gt;=9,"Promoter",IF(E640&gt;=7,"Passive","Detractor"))</f>
        <v>Promoter</v>
      </c>
    </row>
    <row r="641" customFormat="false" ht="15" hidden="false" customHeight="false" outlineLevel="0" collapsed="false">
      <c r="A641" s="8" t="s">
        <v>5245</v>
      </c>
      <c r="B641" s="8" t="s">
        <v>1833</v>
      </c>
      <c r="C641" s="8" t="s">
        <v>51</v>
      </c>
      <c r="D641" s="32" t="n">
        <v>45952</v>
      </c>
      <c r="E641" s="8" t="n">
        <v>6</v>
      </c>
      <c r="F641" s="8" t="str">
        <f aca="false">IF(E641&gt;=9,"Promoter",IF(E641&gt;=7,"Passive","Detractor"))</f>
        <v>Detractor</v>
      </c>
    </row>
    <row r="642" customFormat="false" ht="15" hidden="false" customHeight="false" outlineLevel="0" collapsed="false">
      <c r="A642" s="8" t="s">
        <v>5246</v>
      </c>
      <c r="B642" s="8" t="s">
        <v>3696</v>
      </c>
      <c r="C642" s="8" t="s">
        <v>51</v>
      </c>
      <c r="D642" s="32" t="n">
        <v>45952</v>
      </c>
      <c r="E642" s="8" t="n">
        <v>10</v>
      </c>
      <c r="F642" s="8" t="str">
        <f aca="false">IF(E642&gt;=9,"Promoter",IF(E642&gt;=7,"Passive","Detractor"))</f>
        <v>Promoter</v>
      </c>
    </row>
    <row r="643" customFormat="false" ht="15" hidden="false" customHeight="false" outlineLevel="0" collapsed="false">
      <c r="A643" s="8" t="s">
        <v>5247</v>
      </c>
      <c r="B643" s="8" t="s">
        <v>4581</v>
      </c>
      <c r="C643" s="8" t="s">
        <v>51</v>
      </c>
      <c r="D643" s="32" t="n">
        <v>45952</v>
      </c>
      <c r="E643" s="8" t="n">
        <v>5</v>
      </c>
      <c r="F643" s="8" t="str">
        <f aca="false">IF(E643&gt;=9,"Promoter",IF(E643&gt;=7,"Passive","Detractor"))</f>
        <v>Detractor</v>
      </c>
    </row>
    <row r="644" customFormat="false" ht="15" hidden="false" customHeight="false" outlineLevel="0" collapsed="false">
      <c r="A644" s="8" t="s">
        <v>5248</v>
      </c>
      <c r="B644" s="8" t="s">
        <v>1591</v>
      </c>
      <c r="C644" s="8" t="s">
        <v>53</v>
      </c>
      <c r="D644" s="32" t="n">
        <v>45952</v>
      </c>
      <c r="E644" s="8" t="n">
        <v>7</v>
      </c>
      <c r="F644" s="8" t="str">
        <f aca="false">IF(E644&gt;=9,"Promoter",IF(E644&gt;=7,"Passive","Detractor"))</f>
        <v>Passive</v>
      </c>
    </row>
    <row r="645" customFormat="false" ht="15" hidden="false" customHeight="false" outlineLevel="0" collapsed="false">
      <c r="A645" s="8" t="s">
        <v>5249</v>
      </c>
      <c r="B645" s="8" t="s">
        <v>341</v>
      </c>
      <c r="C645" s="8" t="s">
        <v>55</v>
      </c>
      <c r="D645" s="32" t="n">
        <v>45952</v>
      </c>
      <c r="E645" s="8" t="n">
        <v>9</v>
      </c>
      <c r="F645" s="8" t="str">
        <f aca="false">IF(E645&gt;=9,"Promoter",IF(E645&gt;=7,"Passive","Detractor"))</f>
        <v>Promoter</v>
      </c>
    </row>
    <row r="646" customFormat="false" ht="15" hidden="false" customHeight="false" outlineLevel="0" collapsed="false">
      <c r="A646" s="8" t="s">
        <v>5250</v>
      </c>
      <c r="B646" s="8" t="s">
        <v>3790</v>
      </c>
      <c r="C646" s="8" t="s">
        <v>51</v>
      </c>
      <c r="D646" s="32" t="n">
        <v>45952</v>
      </c>
      <c r="E646" s="8" t="n">
        <v>10</v>
      </c>
      <c r="F646" s="8" t="str">
        <f aca="false">IF(E646&gt;=9,"Promoter",IF(E646&gt;=7,"Passive","Detractor"))</f>
        <v>Promoter</v>
      </c>
    </row>
    <row r="647" customFormat="false" ht="15" hidden="false" customHeight="false" outlineLevel="0" collapsed="false">
      <c r="A647" s="8" t="s">
        <v>5251</v>
      </c>
      <c r="B647" s="8" t="s">
        <v>2194</v>
      </c>
      <c r="C647" s="8" t="s">
        <v>51</v>
      </c>
      <c r="D647" s="32" t="n">
        <v>45952</v>
      </c>
      <c r="E647" s="8" t="n">
        <v>8</v>
      </c>
      <c r="F647" s="8" t="str">
        <f aca="false">IF(E647&gt;=9,"Promoter",IF(E647&gt;=7,"Passive","Detractor"))</f>
        <v>Passive</v>
      </c>
    </row>
    <row r="648" customFormat="false" ht="15" hidden="false" customHeight="false" outlineLevel="0" collapsed="false">
      <c r="A648" s="8" t="s">
        <v>5252</v>
      </c>
      <c r="B648" s="8" t="s">
        <v>1079</v>
      </c>
      <c r="C648" s="8" t="s">
        <v>53</v>
      </c>
      <c r="D648" s="32" t="n">
        <v>45952</v>
      </c>
      <c r="E648" s="8" t="n">
        <v>7</v>
      </c>
      <c r="F648" s="8" t="str">
        <f aca="false">IF(E648&gt;=9,"Promoter",IF(E648&gt;=7,"Passive","Detractor"))</f>
        <v>Passive</v>
      </c>
    </row>
    <row r="649" customFormat="false" ht="15" hidden="false" customHeight="false" outlineLevel="0" collapsed="false">
      <c r="A649" s="8" t="s">
        <v>5253</v>
      </c>
      <c r="B649" s="8" t="s">
        <v>1583</v>
      </c>
      <c r="C649" s="8" t="s">
        <v>53</v>
      </c>
      <c r="D649" s="32" t="n">
        <v>45952</v>
      </c>
      <c r="E649" s="8" t="n">
        <v>10</v>
      </c>
      <c r="F649" s="8" t="str">
        <f aca="false">IF(E649&gt;=9,"Promoter",IF(E649&gt;=7,"Passive","Detractor"))</f>
        <v>Promoter</v>
      </c>
    </row>
    <row r="650" customFormat="false" ht="15" hidden="false" customHeight="false" outlineLevel="0" collapsed="false">
      <c r="A650" s="8" t="s">
        <v>5254</v>
      </c>
      <c r="B650" s="8" t="s">
        <v>4494</v>
      </c>
      <c r="C650" s="8" t="s">
        <v>51</v>
      </c>
      <c r="D650" s="32" t="n">
        <v>45952</v>
      </c>
      <c r="E650" s="8" t="n">
        <v>1</v>
      </c>
      <c r="F650" s="8" t="str">
        <f aca="false">IF(E650&gt;=9,"Promoter",IF(E650&gt;=7,"Passive","Detractor"))</f>
        <v>Detractor</v>
      </c>
    </row>
    <row r="651" customFormat="false" ht="15" hidden="false" customHeight="false" outlineLevel="0" collapsed="false">
      <c r="A651" s="8" t="s">
        <v>5255</v>
      </c>
      <c r="B651" s="8" t="s">
        <v>407</v>
      </c>
      <c r="C651" s="8" t="s">
        <v>55</v>
      </c>
      <c r="D651" s="32" t="n">
        <v>45952</v>
      </c>
      <c r="E651" s="8" t="n">
        <v>9</v>
      </c>
      <c r="F651" s="8" t="str">
        <f aca="false">IF(E651&gt;=9,"Promoter",IF(E651&gt;=7,"Passive","Detractor"))</f>
        <v>Promoter</v>
      </c>
    </row>
    <row r="652" customFormat="false" ht="15" hidden="false" customHeight="false" outlineLevel="0" collapsed="false">
      <c r="A652" s="8" t="s">
        <v>5256</v>
      </c>
      <c r="B652" s="8" t="s">
        <v>2332</v>
      </c>
      <c r="C652" s="8" t="s">
        <v>51</v>
      </c>
      <c r="D652" s="32" t="n">
        <v>45952</v>
      </c>
      <c r="E652" s="8" t="n">
        <v>10</v>
      </c>
      <c r="F652" s="8" t="str">
        <f aca="false">IF(E652&gt;=9,"Promoter",IF(E652&gt;=7,"Passive","Detractor"))</f>
        <v>Promoter</v>
      </c>
    </row>
    <row r="653" customFormat="false" ht="15" hidden="false" customHeight="false" outlineLevel="0" collapsed="false">
      <c r="A653" s="8" t="s">
        <v>5257</v>
      </c>
      <c r="B653" s="8" t="s">
        <v>4509</v>
      </c>
      <c r="C653" s="8" t="s">
        <v>51</v>
      </c>
      <c r="D653" s="32" t="n">
        <v>45952</v>
      </c>
      <c r="E653" s="8" t="n">
        <v>7</v>
      </c>
      <c r="F653" s="8" t="str">
        <f aca="false">IF(E653&gt;=9,"Promoter",IF(E653&gt;=7,"Passive","Detractor"))</f>
        <v>Passive</v>
      </c>
    </row>
    <row r="654" customFormat="false" ht="15" hidden="false" customHeight="false" outlineLevel="0" collapsed="false">
      <c r="A654" s="8" t="s">
        <v>5258</v>
      </c>
      <c r="B654" s="8" t="s">
        <v>4475</v>
      </c>
      <c r="C654" s="8" t="s">
        <v>53</v>
      </c>
      <c r="D654" s="32" t="n">
        <v>45952</v>
      </c>
      <c r="E654" s="8" t="n">
        <v>8</v>
      </c>
      <c r="F654" s="8" t="str">
        <f aca="false">IF(E654&gt;=9,"Promoter",IF(E654&gt;=7,"Passive","Detractor"))</f>
        <v>Passive</v>
      </c>
    </row>
    <row r="655" customFormat="false" ht="15" hidden="false" customHeight="false" outlineLevel="0" collapsed="false">
      <c r="A655" s="8" t="s">
        <v>5259</v>
      </c>
      <c r="B655" s="8" t="s">
        <v>1861</v>
      </c>
      <c r="C655" s="8" t="s">
        <v>51</v>
      </c>
      <c r="D655" s="32" t="n">
        <v>45952</v>
      </c>
      <c r="E655" s="8" t="n">
        <v>10</v>
      </c>
      <c r="F655" s="8" t="str">
        <f aca="false">IF(E655&gt;=9,"Promoter",IF(E655&gt;=7,"Passive","Detractor"))</f>
        <v>Promoter</v>
      </c>
    </row>
    <row r="656" customFormat="false" ht="15" hidden="false" customHeight="false" outlineLevel="0" collapsed="false">
      <c r="A656" s="8" t="s">
        <v>5260</v>
      </c>
      <c r="B656" s="8" t="s">
        <v>2876</v>
      </c>
      <c r="C656" s="8" t="s">
        <v>51</v>
      </c>
      <c r="D656" s="32" t="n">
        <v>45952</v>
      </c>
      <c r="E656" s="8" t="n">
        <v>7</v>
      </c>
      <c r="F656" s="8" t="str">
        <f aca="false">IF(E656&gt;=9,"Promoter",IF(E656&gt;=7,"Passive","Detractor"))</f>
        <v>Passive</v>
      </c>
    </row>
    <row r="657" customFormat="false" ht="15" hidden="false" customHeight="false" outlineLevel="0" collapsed="false">
      <c r="A657" s="8" t="s">
        <v>5261</v>
      </c>
      <c r="B657" s="8" t="s">
        <v>799</v>
      </c>
      <c r="C657" s="8" t="s">
        <v>53</v>
      </c>
      <c r="D657" s="32" t="n">
        <v>45952</v>
      </c>
      <c r="E657" s="8" t="n">
        <v>7</v>
      </c>
      <c r="F657" s="8" t="str">
        <f aca="false">IF(E657&gt;=9,"Promoter",IF(E657&gt;=7,"Passive","Detractor"))</f>
        <v>Passive</v>
      </c>
    </row>
    <row r="658" customFormat="false" ht="15" hidden="false" customHeight="false" outlineLevel="0" collapsed="false">
      <c r="A658" s="8" t="s">
        <v>5262</v>
      </c>
      <c r="B658" s="8" t="s">
        <v>3772</v>
      </c>
      <c r="C658" s="8" t="s">
        <v>51</v>
      </c>
      <c r="D658" s="32" t="n">
        <v>45952</v>
      </c>
      <c r="E658" s="8" t="n">
        <v>10</v>
      </c>
      <c r="F658" s="8" t="str">
        <f aca="false">IF(E658&gt;=9,"Promoter",IF(E658&gt;=7,"Passive","Detractor"))</f>
        <v>Promoter</v>
      </c>
    </row>
    <row r="659" customFormat="false" ht="15" hidden="false" customHeight="false" outlineLevel="0" collapsed="false">
      <c r="A659" s="8" t="s">
        <v>5263</v>
      </c>
      <c r="B659" s="8" t="s">
        <v>4554</v>
      </c>
      <c r="C659" s="8" t="s">
        <v>51</v>
      </c>
      <c r="D659" s="32" t="n">
        <v>45952</v>
      </c>
      <c r="E659" s="8" t="n">
        <v>8</v>
      </c>
      <c r="F659" s="8" t="str">
        <f aca="false">IF(E659&gt;=9,"Promoter",IF(E659&gt;=7,"Passive","Detractor"))</f>
        <v>Passive</v>
      </c>
    </row>
    <row r="660" customFormat="false" ht="15" hidden="false" customHeight="false" outlineLevel="0" collapsed="false">
      <c r="A660" s="8" t="s">
        <v>5264</v>
      </c>
      <c r="B660" s="8" t="s">
        <v>1189</v>
      </c>
      <c r="C660" s="8" t="s">
        <v>53</v>
      </c>
      <c r="D660" s="32" t="n">
        <v>45952</v>
      </c>
      <c r="E660" s="8" t="n">
        <v>6</v>
      </c>
      <c r="F660" s="8" t="str">
        <f aca="false">IF(E660&gt;=9,"Promoter",IF(E660&gt;=7,"Passive","Detractor"))</f>
        <v>Detractor</v>
      </c>
    </row>
    <row r="661" customFormat="false" ht="15" hidden="false" customHeight="false" outlineLevel="0" collapsed="false">
      <c r="A661" s="8" t="s">
        <v>5265</v>
      </c>
      <c r="B661" s="8" t="s">
        <v>1007</v>
      </c>
      <c r="C661" s="8" t="s">
        <v>53</v>
      </c>
      <c r="D661" s="32" t="n">
        <v>45952</v>
      </c>
      <c r="E661" s="8" t="n">
        <v>10</v>
      </c>
      <c r="F661" s="8" t="str">
        <f aca="false">IF(E661&gt;=9,"Promoter",IF(E661&gt;=7,"Passive","Detractor"))</f>
        <v>Promoter</v>
      </c>
    </row>
    <row r="662" customFormat="false" ht="15" hidden="false" customHeight="false" outlineLevel="0" collapsed="false">
      <c r="A662" s="8" t="s">
        <v>5266</v>
      </c>
      <c r="B662" s="8" t="s">
        <v>2398</v>
      </c>
      <c r="C662" s="8" t="s">
        <v>51</v>
      </c>
      <c r="D662" s="32" t="n">
        <v>45952</v>
      </c>
      <c r="E662" s="8" t="n">
        <v>8</v>
      </c>
      <c r="F662" s="8" t="str">
        <f aca="false">IF(E662&gt;=9,"Promoter",IF(E662&gt;=7,"Passive","Detractor"))</f>
        <v>Passive</v>
      </c>
    </row>
    <row r="663" customFormat="false" ht="15" hidden="false" customHeight="false" outlineLevel="0" collapsed="false">
      <c r="A663" s="8" t="s">
        <v>5267</v>
      </c>
      <c r="B663" s="8" t="s">
        <v>217</v>
      </c>
      <c r="C663" s="8" t="s">
        <v>55</v>
      </c>
      <c r="D663" s="32" t="n">
        <v>45953</v>
      </c>
      <c r="E663" s="8" t="n">
        <v>10</v>
      </c>
      <c r="F663" s="8" t="str">
        <f aca="false">IF(E663&gt;=9,"Promoter",IF(E663&gt;=7,"Passive","Detractor"))</f>
        <v>Promoter</v>
      </c>
    </row>
    <row r="664" customFormat="false" ht="15" hidden="false" customHeight="false" outlineLevel="0" collapsed="false">
      <c r="A664" s="8" t="s">
        <v>5268</v>
      </c>
      <c r="B664" s="8" t="s">
        <v>3490</v>
      </c>
      <c r="C664" s="8" t="s">
        <v>51</v>
      </c>
      <c r="D664" s="32" t="n">
        <v>45953</v>
      </c>
      <c r="E664" s="8" t="n">
        <v>7</v>
      </c>
      <c r="F664" s="8" t="str">
        <f aca="false">IF(E664&gt;=9,"Promoter",IF(E664&gt;=7,"Passive","Detractor"))</f>
        <v>Passive</v>
      </c>
    </row>
    <row r="665" customFormat="false" ht="15" hidden="false" customHeight="false" outlineLevel="0" collapsed="false">
      <c r="A665" s="8" t="s">
        <v>5269</v>
      </c>
      <c r="B665" s="8" t="s">
        <v>3784</v>
      </c>
      <c r="C665" s="8" t="s">
        <v>51</v>
      </c>
      <c r="D665" s="32" t="n">
        <v>45953</v>
      </c>
      <c r="E665" s="8" t="n">
        <v>10</v>
      </c>
      <c r="F665" s="8" t="str">
        <f aca="false">IF(E665&gt;=9,"Promoter",IF(E665&gt;=7,"Passive","Detractor"))</f>
        <v>Promoter</v>
      </c>
    </row>
    <row r="666" customFormat="false" ht="15" hidden="false" customHeight="false" outlineLevel="0" collapsed="false">
      <c r="A666" s="8" t="s">
        <v>5270</v>
      </c>
      <c r="B666" s="8" t="s">
        <v>2672</v>
      </c>
      <c r="C666" s="8" t="s">
        <v>51</v>
      </c>
      <c r="D666" s="32" t="n">
        <v>45953</v>
      </c>
      <c r="E666" s="8" t="n">
        <v>7</v>
      </c>
      <c r="F666" s="8" t="str">
        <f aca="false">IF(E666&gt;=9,"Promoter",IF(E666&gt;=7,"Passive","Detractor"))</f>
        <v>Passive</v>
      </c>
    </row>
    <row r="667" customFormat="false" ht="15" hidden="false" customHeight="false" outlineLevel="0" collapsed="false">
      <c r="A667" s="8" t="s">
        <v>5271</v>
      </c>
      <c r="B667" s="8" t="s">
        <v>3466</v>
      </c>
      <c r="C667" s="8" t="s">
        <v>51</v>
      </c>
      <c r="D667" s="32" t="n">
        <v>45953</v>
      </c>
      <c r="E667" s="8" t="n">
        <v>10</v>
      </c>
      <c r="F667" s="8" t="str">
        <f aca="false">IF(E667&gt;=9,"Promoter",IF(E667&gt;=7,"Passive","Detractor"))</f>
        <v>Promoter</v>
      </c>
    </row>
    <row r="668" customFormat="false" ht="15" hidden="false" customHeight="false" outlineLevel="0" collapsed="false">
      <c r="A668" s="8" t="s">
        <v>5272</v>
      </c>
      <c r="B668" s="8" t="s">
        <v>2502</v>
      </c>
      <c r="C668" s="8" t="s">
        <v>51</v>
      </c>
      <c r="D668" s="32" t="n">
        <v>45953</v>
      </c>
      <c r="E668" s="8" t="n">
        <v>9</v>
      </c>
      <c r="F668" s="8" t="str">
        <f aca="false">IF(E668&gt;=9,"Promoter",IF(E668&gt;=7,"Passive","Detractor"))</f>
        <v>Promoter</v>
      </c>
    </row>
    <row r="669" customFormat="false" ht="15" hidden="false" customHeight="false" outlineLevel="0" collapsed="false">
      <c r="A669" s="8" t="s">
        <v>5273</v>
      </c>
      <c r="B669" s="8" t="s">
        <v>921</v>
      </c>
      <c r="C669" s="8" t="s">
        <v>53</v>
      </c>
      <c r="D669" s="32" t="n">
        <v>45953</v>
      </c>
      <c r="E669" s="8" t="n">
        <v>10</v>
      </c>
      <c r="F669" s="8" t="str">
        <f aca="false">IF(E669&gt;=9,"Promoter",IF(E669&gt;=7,"Passive","Detractor"))</f>
        <v>Promoter</v>
      </c>
    </row>
    <row r="670" customFormat="false" ht="15" hidden="false" customHeight="false" outlineLevel="0" collapsed="false">
      <c r="A670" s="8" t="s">
        <v>5274</v>
      </c>
      <c r="B670" s="8" t="s">
        <v>4350</v>
      </c>
      <c r="C670" s="8" t="s">
        <v>51</v>
      </c>
      <c r="D670" s="32" t="n">
        <v>45953</v>
      </c>
      <c r="E670" s="8" t="n">
        <v>10</v>
      </c>
      <c r="F670" s="8" t="str">
        <f aca="false">IF(E670&gt;=9,"Promoter",IF(E670&gt;=7,"Passive","Detractor"))</f>
        <v>Promoter</v>
      </c>
    </row>
    <row r="671" customFormat="false" ht="15" hidden="false" customHeight="false" outlineLevel="0" collapsed="false">
      <c r="A671" s="8" t="s">
        <v>5275</v>
      </c>
      <c r="B671" s="8" t="s">
        <v>3712</v>
      </c>
      <c r="C671" s="8" t="s">
        <v>51</v>
      </c>
      <c r="D671" s="32" t="n">
        <v>45953</v>
      </c>
      <c r="E671" s="8" t="n">
        <v>9</v>
      </c>
      <c r="F671" s="8" t="str">
        <f aca="false">IF(E671&gt;=9,"Promoter",IF(E671&gt;=7,"Passive","Detractor"))</f>
        <v>Promoter</v>
      </c>
    </row>
    <row r="672" customFormat="false" ht="15" hidden="false" customHeight="false" outlineLevel="0" collapsed="false">
      <c r="A672" s="8" t="s">
        <v>5276</v>
      </c>
      <c r="B672" s="8" t="s">
        <v>4418</v>
      </c>
      <c r="C672" s="8" t="s">
        <v>55</v>
      </c>
      <c r="D672" s="32" t="n">
        <v>45953</v>
      </c>
      <c r="E672" s="8" t="n">
        <v>8</v>
      </c>
      <c r="F672" s="8" t="str">
        <f aca="false">IF(E672&gt;=9,"Promoter",IF(E672&gt;=7,"Passive","Detractor"))</f>
        <v>Passive</v>
      </c>
    </row>
    <row r="673" customFormat="false" ht="15" hidden="false" customHeight="false" outlineLevel="0" collapsed="false">
      <c r="A673" s="8" t="s">
        <v>5277</v>
      </c>
      <c r="B673" s="8" t="s">
        <v>2232</v>
      </c>
      <c r="C673" s="8" t="s">
        <v>51</v>
      </c>
      <c r="D673" s="32" t="n">
        <v>45953</v>
      </c>
      <c r="E673" s="8" t="n">
        <v>9</v>
      </c>
      <c r="F673" s="8" t="str">
        <f aca="false">IF(E673&gt;=9,"Promoter",IF(E673&gt;=7,"Passive","Detractor"))</f>
        <v>Promoter</v>
      </c>
    </row>
    <row r="674" customFormat="false" ht="15" hidden="false" customHeight="false" outlineLevel="0" collapsed="false">
      <c r="A674" s="8" t="s">
        <v>5278</v>
      </c>
      <c r="B674" s="8" t="s">
        <v>2426</v>
      </c>
      <c r="C674" s="8" t="s">
        <v>51</v>
      </c>
      <c r="D674" s="32" t="n">
        <v>45953</v>
      </c>
      <c r="E674" s="8" t="n">
        <v>7</v>
      </c>
      <c r="F674" s="8" t="str">
        <f aca="false">IF(E674&gt;=9,"Promoter",IF(E674&gt;=7,"Passive","Detractor"))</f>
        <v>Passive</v>
      </c>
    </row>
    <row r="675" customFormat="false" ht="15" hidden="false" customHeight="false" outlineLevel="0" collapsed="false">
      <c r="A675" s="8" t="s">
        <v>5279</v>
      </c>
      <c r="B675" s="8" t="s">
        <v>569</v>
      </c>
      <c r="C675" s="8" t="s">
        <v>55</v>
      </c>
      <c r="D675" s="32" t="n">
        <v>45953</v>
      </c>
      <c r="E675" s="8" t="n">
        <v>6</v>
      </c>
      <c r="F675" s="8" t="str">
        <f aca="false">IF(E675&gt;=9,"Promoter",IF(E675&gt;=7,"Passive","Detractor"))</f>
        <v>Detractor</v>
      </c>
    </row>
    <row r="676" customFormat="false" ht="15" hidden="false" customHeight="false" outlineLevel="0" collapsed="false">
      <c r="A676" s="8" t="s">
        <v>5280</v>
      </c>
      <c r="B676" s="8" t="s">
        <v>4567</v>
      </c>
      <c r="C676" s="8" t="s">
        <v>51</v>
      </c>
      <c r="D676" s="32" t="n">
        <v>45953</v>
      </c>
      <c r="E676" s="8" t="n">
        <v>4</v>
      </c>
      <c r="F676" s="8" t="str">
        <f aca="false">IF(E676&gt;=9,"Promoter",IF(E676&gt;=7,"Passive","Detractor"))</f>
        <v>Detractor</v>
      </c>
    </row>
    <row r="677" customFormat="false" ht="15" hidden="false" customHeight="false" outlineLevel="0" collapsed="false">
      <c r="A677" s="8" t="s">
        <v>5281</v>
      </c>
      <c r="B677" s="8" t="s">
        <v>4468</v>
      </c>
      <c r="C677" s="8" t="s">
        <v>53</v>
      </c>
      <c r="D677" s="32" t="n">
        <v>45953</v>
      </c>
      <c r="E677" s="8" t="n">
        <v>3</v>
      </c>
      <c r="F677" s="8" t="str">
        <f aca="false">IF(E677&gt;=9,"Promoter",IF(E677&gt;=7,"Passive","Detractor"))</f>
        <v>Detractor</v>
      </c>
    </row>
    <row r="678" customFormat="false" ht="15" hidden="false" customHeight="false" outlineLevel="0" collapsed="false">
      <c r="A678" s="8" t="s">
        <v>5282</v>
      </c>
      <c r="B678" s="8" t="s">
        <v>1711</v>
      </c>
      <c r="C678" s="8" t="s">
        <v>51</v>
      </c>
      <c r="D678" s="32" t="n">
        <v>45953</v>
      </c>
      <c r="E678" s="8" t="n">
        <v>10</v>
      </c>
      <c r="F678" s="8" t="str">
        <f aca="false">IF(E678&gt;=9,"Promoter",IF(E678&gt;=7,"Passive","Detractor"))</f>
        <v>Promoter</v>
      </c>
    </row>
    <row r="679" customFormat="false" ht="15" hidden="false" customHeight="false" outlineLevel="0" collapsed="false">
      <c r="A679" s="8" t="s">
        <v>5283</v>
      </c>
      <c r="B679" s="8" t="s">
        <v>4002</v>
      </c>
      <c r="C679" s="8" t="s">
        <v>51</v>
      </c>
      <c r="D679" s="32" t="n">
        <v>45953</v>
      </c>
      <c r="E679" s="8" t="n">
        <v>10</v>
      </c>
      <c r="F679" s="8" t="str">
        <f aca="false">IF(E679&gt;=9,"Promoter",IF(E679&gt;=7,"Passive","Detractor"))</f>
        <v>Promoter</v>
      </c>
    </row>
    <row r="680" customFormat="false" ht="15" hidden="false" customHeight="false" outlineLevel="0" collapsed="false">
      <c r="A680" s="8" t="s">
        <v>5284</v>
      </c>
      <c r="B680" s="8" t="s">
        <v>1731</v>
      </c>
      <c r="C680" s="8" t="s">
        <v>51</v>
      </c>
      <c r="D680" s="32" t="n">
        <v>45953</v>
      </c>
      <c r="E680" s="8" t="n">
        <v>10</v>
      </c>
      <c r="F680" s="8" t="str">
        <f aca="false">IF(E680&gt;=9,"Promoter",IF(E680&gt;=7,"Passive","Detractor"))</f>
        <v>Promoter</v>
      </c>
    </row>
    <row r="681" customFormat="false" ht="15" hidden="false" customHeight="false" outlineLevel="0" collapsed="false">
      <c r="A681" s="8" t="s">
        <v>5285</v>
      </c>
      <c r="B681" s="8" t="s">
        <v>2342</v>
      </c>
      <c r="C681" s="8" t="s">
        <v>51</v>
      </c>
      <c r="D681" s="32" t="n">
        <v>45953</v>
      </c>
      <c r="E681" s="8" t="n">
        <v>8</v>
      </c>
      <c r="F681" s="8" t="str">
        <f aca="false">IF(E681&gt;=9,"Promoter",IF(E681&gt;=7,"Passive","Detractor"))</f>
        <v>Passive</v>
      </c>
    </row>
    <row r="682" customFormat="false" ht="15" hidden="false" customHeight="false" outlineLevel="0" collapsed="false">
      <c r="A682" s="8" t="s">
        <v>5286</v>
      </c>
      <c r="B682" s="8" t="s">
        <v>3480</v>
      </c>
      <c r="C682" s="8" t="s">
        <v>51</v>
      </c>
      <c r="D682" s="32" t="n">
        <v>45953</v>
      </c>
      <c r="E682" s="8" t="n">
        <v>9</v>
      </c>
      <c r="F682" s="8" t="str">
        <f aca="false">IF(E682&gt;=9,"Promoter",IF(E682&gt;=7,"Passive","Detractor"))</f>
        <v>Promoter</v>
      </c>
    </row>
    <row r="683" customFormat="false" ht="15" hidden="false" customHeight="false" outlineLevel="0" collapsed="false">
      <c r="A683" s="8" t="s">
        <v>5287</v>
      </c>
      <c r="B683" s="8" t="s">
        <v>4004</v>
      </c>
      <c r="C683" s="8" t="s">
        <v>51</v>
      </c>
      <c r="D683" s="32" t="n">
        <v>45953</v>
      </c>
      <c r="E683" s="8" t="n">
        <v>10</v>
      </c>
      <c r="F683" s="8" t="str">
        <f aca="false">IF(E683&gt;=9,"Promoter",IF(E683&gt;=7,"Passive","Detractor"))</f>
        <v>Promoter</v>
      </c>
    </row>
    <row r="684" customFormat="false" ht="15" hidden="false" customHeight="false" outlineLevel="0" collapsed="false">
      <c r="A684" s="8" t="s">
        <v>5288</v>
      </c>
      <c r="B684" s="8" t="s">
        <v>2388</v>
      </c>
      <c r="C684" s="8" t="s">
        <v>51</v>
      </c>
      <c r="D684" s="32" t="n">
        <v>45953</v>
      </c>
      <c r="E684" s="8" t="n">
        <v>9</v>
      </c>
      <c r="F684" s="8" t="str">
        <f aca="false">IF(E684&gt;=9,"Promoter",IF(E684&gt;=7,"Passive","Detractor"))</f>
        <v>Promoter</v>
      </c>
    </row>
    <row r="685" customFormat="false" ht="15" hidden="false" customHeight="false" outlineLevel="0" collapsed="false">
      <c r="A685" s="8" t="s">
        <v>5289</v>
      </c>
      <c r="B685" s="8" t="s">
        <v>2470</v>
      </c>
      <c r="C685" s="8" t="s">
        <v>51</v>
      </c>
      <c r="D685" s="32" t="n">
        <v>45953</v>
      </c>
      <c r="E685" s="8" t="n">
        <v>8</v>
      </c>
      <c r="F685" s="8" t="str">
        <f aca="false">IF(E685&gt;=9,"Promoter",IF(E685&gt;=7,"Passive","Detractor"))</f>
        <v>Passive</v>
      </c>
    </row>
    <row r="686" customFormat="false" ht="15" hidden="false" customHeight="false" outlineLevel="0" collapsed="false">
      <c r="A686" s="8" t="s">
        <v>5290</v>
      </c>
      <c r="B686" s="8" t="s">
        <v>2914</v>
      </c>
      <c r="C686" s="8" t="s">
        <v>51</v>
      </c>
      <c r="D686" s="32" t="n">
        <v>45953</v>
      </c>
      <c r="E686" s="8" t="n">
        <v>8</v>
      </c>
      <c r="F686" s="8" t="str">
        <f aca="false">IF(E686&gt;=9,"Promoter",IF(E686&gt;=7,"Passive","Detractor"))</f>
        <v>Passive</v>
      </c>
    </row>
    <row r="687" customFormat="false" ht="15" hidden="false" customHeight="false" outlineLevel="0" collapsed="false">
      <c r="A687" s="8" t="s">
        <v>5291</v>
      </c>
      <c r="B687" s="8" t="s">
        <v>3822</v>
      </c>
      <c r="C687" s="8" t="s">
        <v>51</v>
      </c>
      <c r="D687" s="32" t="n">
        <v>45953</v>
      </c>
      <c r="E687" s="8" t="n">
        <v>9</v>
      </c>
      <c r="F687" s="8" t="str">
        <f aca="false">IF(E687&gt;=9,"Promoter",IF(E687&gt;=7,"Passive","Detractor"))</f>
        <v>Promoter</v>
      </c>
    </row>
    <row r="688" customFormat="false" ht="15" hidden="false" customHeight="false" outlineLevel="0" collapsed="false">
      <c r="A688" s="8" t="s">
        <v>5292</v>
      </c>
      <c r="B688" s="8" t="s">
        <v>1533</v>
      </c>
      <c r="C688" s="8" t="s">
        <v>53</v>
      </c>
      <c r="D688" s="32" t="n">
        <v>45954</v>
      </c>
      <c r="E688" s="8" t="n">
        <v>10</v>
      </c>
      <c r="F688" s="8" t="str">
        <f aca="false">IF(E688&gt;=9,"Promoter",IF(E688&gt;=7,"Passive","Detractor"))</f>
        <v>Promoter</v>
      </c>
    </row>
    <row r="689" customFormat="false" ht="15" hidden="false" customHeight="false" outlineLevel="0" collapsed="false">
      <c r="A689" s="8" t="s">
        <v>5293</v>
      </c>
      <c r="B689" s="8" t="s">
        <v>2368</v>
      </c>
      <c r="C689" s="8" t="s">
        <v>51</v>
      </c>
      <c r="D689" s="32" t="n">
        <v>45954</v>
      </c>
      <c r="E689" s="8" t="n">
        <v>6</v>
      </c>
      <c r="F689" s="8" t="str">
        <f aca="false">IF(E689&gt;=9,"Promoter",IF(E689&gt;=7,"Passive","Detractor"))</f>
        <v>Detractor</v>
      </c>
    </row>
    <row r="690" customFormat="false" ht="15" hidden="false" customHeight="false" outlineLevel="0" collapsed="false">
      <c r="A690" s="8" t="s">
        <v>5294</v>
      </c>
      <c r="B690" s="8" t="s">
        <v>2370</v>
      </c>
      <c r="C690" s="8" t="s">
        <v>51</v>
      </c>
      <c r="D690" s="32" t="n">
        <v>45954</v>
      </c>
      <c r="E690" s="8" t="n">
        <v>7</v>
      </c>
      <c r="F690" s="8" t="str">
        <f aca="false">IF(E690&gt;=9,"Promoter",IF(E690&gt;=7,"Passive","Detractor"))</f>
        <v>Passive</v>
      </c>
    </row>
    <row r="691" customFormat="false" ht="15" hidden="false" customHeight="false" outlineLevel="0" collapsed="false">
      <c r="A691" s="8" t="s">
        <v>5295</v>
      </c>
      <c r="B691" s="8" t="s">
        <v>4452</v>
      </c>
      <c r="C691" s="8" t="s">
        <v>53</v>
      </c>
      <c r="D691" s="32" t="n">
        <v>45954</v>
      </c>
      <c r="E691" s="8" t="n">
        <v>9</v>
      </c>
      <c r="F691" s="8" t="str">
        <f aca="false">IF(E691&gt;=9,"Promoter",IF(E691&gt;=7,"Passive","Detractor"))</f>
        <v>Promoter</v>
      </c>
    </row>
    <row r="692" customFormat="false" ht="15" hidden="false" customHeight="false" outlineLevel="0" collapsed="false">
      <c r="A692" s="8" t="s">
        <v>5296</v>
      </c>
      <c r="B692" s="8" t="s">
        <v>4523</v>
      </c>
      <c r="C692" s="8" t="s">
        <v>51</v>
      </c>
      <c r="D692" s="32" t="n">
        <v>45954</v>
      </c>
      <c r="E692" s="8" t="n">
        <v>7</v>
      </c>
      <c r="F692" s="8" t="str">
        <f aca="false">IF(E692&gt;=9,"Promoter",IF(E692&gt;=7,"Passive","Detractor"))</f>
        <v>Passive</v>
      </c>
    </row>
    <row r="693" customFormat="false" ht="15" hidden="false" customHeight="false" outlineLevel="0" collapsed="false">
      <c r="A693" s="8" t="s">
        <v>5297</v>
      </c>
      <c r="B693" s="8" t="s">
        <v>3554</v>
      </c>
      <c r="C693" s="8" t="s">
        <v>51</v>
      </c>
      <c r="D693" s="32" t="n">
        <v>45954</v>
      </c>
      <c r="E693" s="8" t="n">
        <v>7</v>
      </c>
      <c r="F693" s="8" t="str">
        <f aca="false">IF(E693&gt;=9,"Promoter",IF(E693&gt;=7,"Passive","Detractor"))</f>
        <v>Passive</v>
      </c>
    </row>
    <row r="694" customFormat="false" ht="15" hidden="false" customHeight="false" outlineLevel="0" collapsed="false">
      <c r="A694" s="8" t="s">
        <v>5298</v>
      </c>
      <c r="B694" s="8" t="s">
        <v>175</v>
      </c>
      <c r="C694" s="8" t="s">
        <v>55</v>
      </c>
      <c r="D694" s="32" t="n">
        <v>45954</v>
      </c>
      <c r="E694" s="8" t="n">
        <v>6</v>
      </c>
      <c r="F694" s="8" t="str">
        <f aca="false">IF(E694&gt;=9,"Promoter",IF(E694&gt;=7,"Passive","Detractor"))</f>
        <v>Detractor</v>
      </c>
    </row>
    <row r="695" customFormat="false" ht="15" hidden="false" customHeight="false" outlineLevel="0" collapsed="false">
      <c r="A695" s="8" t="s">
        <v>5299</v>
      </c>
      <c r="B695" s="8" t="s">
        <v>4276</v>
      </c>
      <c r="C695" s="8" t="s">
        <v>51</v>
      </c>
      <c r="D695" s="32" t="n">
        <v>45954</v>
      </c>
      <c r="E695" s="8" t="n">
        <v>8</v>
      </c>
      <c r="F695" s="8" t="str">
        <f aca="false">IF(E695&gt;=9,"Promoter",IF(E695&gt;=7,"Passive","Detractor"))</f>
        <v>Passive</v>
      </c>
    </row>
    <row r="696" customFormat="false" ht="15" hidden="false" customHeight="false" outlineLevel="0" collapsed="false">
      <c r="A696" s="8" t="s">
        <v>5300</v>
      </c>
      <c r="B696" s="8" t="s">
        <v>4600</v>
      </c>
      <c r="C696" s="8" t="s">
        <v>51</v>
      </c>
      <c r="D696" s="32" t="n">
        <v>45954</v>
      </c>
      <c r="E696" s="8" t="n">
        <v>7</v>
      </c>
      <c r="F696" s="8" t="str">
        <f aca="false">IF(E696&gt;=9,"Promoter",IF(E696&gt;=7,"Passive","Detractor"))</f>
        <v>Passive</v>
      </c>
    </row>
    <row r="697" customFormat="false" ht="15" hidden="false" customHeight="false" outlineLevel="0" collapsed="false">
      <c r="A697" s="8" t="s">
        <v>5301</v>
      </c>
      <c r="B697" s="8" t="s">
        <v>1269</v>
      </c>
      <c r="C697" s="8" t="s">
        <v>53</v>
      </c>
      <c r="D697" s="32" t="n">
        <v>45954</v>
      </c>
      <c r="E697" s="8" t="n">
        <v>8</v>
      </c>
      <c r="F697" s="8" t="str">
        <f aca="false">IF(E697&gt;=9,"Promoter",IF(E697&gt;=7,"Passive","Detractor"))</f>
        <v>Passive</v>
      </c>
    </row>
    <row r="698" customFormat="false" ht="15" hidden="false" customHeight="false" outlineLevel="0" collapsed="false">
      <c r="A698" s="8" t="s">
        <v>5302</v>
      </c>
      <c r="B698" s="8" t="s">
        <v>3180</v>
      </c>
      <c r="C698" s="8" t="s">
        <v>51</v>
      </c>
      <c r="D698" s="32" t="n">
        <v>45954</v>
      </c>
      <c r="E698" s="8" t="n">
        <v>10</v>
      </c>
      <c r="F698" s="8" t="str">
        <f aca="false">IF(E698&gt;=9,"Promoter",IF(E698&gt;=7,"Passive","Detractor"))</f>
        <v>Promoter</v>
      </c>
    </row>
    <row r="699" customFormat="false" ht="15" hidden="false" customHeight="false" outlineLevel="0" collapsed="false">
      <c r="A699" s="8" t="s">
        <v>5303</v>
      </c>
      <c r="B699" s="8" t="s">
        <v>3574</v>
      </c>
      <c r="C699" s="8" t="s">
        <v>51</v>
      </c>
      <c r="D699" s="32" t="n">
        <v>45954</v>
      </c>
      <c r="E699" s="8" t="n">
        <v>7</v>
      </c>
      <c r="F699" s="8" t="str">
        <f aca="false">IF(E699&gt;=9,"Promoter",IF(E699&gt;=7,"Passive","Detractor"))</f>
        <v>Passive</v>
      </c>
    </row>
    <row r="700" customFormat="false" ht="15" hidden="false" customHeight="false" outlineLevel="0" collapsed="false">
      <c r="A700" s="8" t="s">
        <v>5304</v>
      </c>
      <c r="B700" s="8" t="s">
        <v>1741</v>
      </c>
      <c r="C700" s="8" t="s">
        <v>51</v>
      </c>
      <c r="D700" s="32" t="n">
        <v>45954</v>
      </c>
      <c r="E700" s="8" t="n">
        <v>9</v>
      </c>
      <c r="F700" s="8" t="str">
        <f aca="false">IF(E700&gt;=9,"Promoter",IF(E700&gt;=7,"Passive","Detractor"))</f>
        <v>Promoter</v>
      </c>
    </row>
    <row r="701" customFormat="false" ht="15" hidden="false" customHeight="false" outlineLevel="0" collapsed="false">
      <c r="A701" s="8" t="s">
        <v>5305</v>
      </c>
      <c r="B701" s="8" t="s">
        <v>4186</v>
      </c>
      <c r="C701" s="8" t="s">
        <v>51</v>
      </c>
      <c r="D701" s="32" t="n">
        <v>45954</v>
      </c>
      <c r="E701" s="8" t="n">
        <v>10</v>
      </c>
      <c r="F701" s="8" t="str">
        <f aca="false">IF(E701&gt;=9,"Promoter",IF(E701&gt;=7,"Passive","Detractor"))</f>
        <v>Promoter</v>
      </c>
    </row>
    <row r="702" customFormat="false" ht="15" hidden="false" customHeight="false" outlineLevel="0" collapsed="false">
      <c r="A702" s="8" t="s">
        <v>5306</v>
      </c>
      <c r="B702" s="8" t="s">
        <v>3292</v>
      </c>
      <c r="C702" s="8" t="s">
        <v>51</v>
      </c>
      <c r="D702" s="32" t="n">
        <v>45954</v>
      </c>
      <c r="E702" s="8" t="n">
        <v>8</v>
      </c>
      <c r="F702" s="8" t="str">
        <f aca="false">IF(E702&gt;=9,"Promoter",IF(E702&gt;=7,"Passive","Detractor"))</f>
        <v>Passive</v>
      </c>
    </row>
    <row r="703" customFormat="false" ht="15" hidden="false" customHeight="false" outlineLevel="0" collapsed="false">
      <c r="A703" s="8" t="s">
        <v>5307</v>
      </c>
      <c r="B703" s="8" t="s">
        <v>1575</v>
      </c>
      <c r="C703" s="8" t="s">
        <v>53</v>
      </c>
      <c r="D703" s="32" t="n">
        <v>45954</v>
      </c>
      <c r="E703" s="8" t="n">
        <v>8</v>
      </c>
      <c r="F703" s="8" t="str">
        <f aca="false">IF(E703&gt;=9,"Promoter",IF(E703&gt;=7,"Passive","Detractor"))</f>
        <v>Passive</v>
      </c>
    </row>
    <row r="704" customFormat="false" ht="15" hidden="false" customHeight="false" outlineLevel="0" collapsed="false">
      <c r="A704" s="8" t="s">
        <v>5308</v>
      </c>
      <c r="B704" s="8" t="s">
        <v>4250</v>
      </c>
      <c r="C704" s="8" t="s">
        <v>51</v>
      </c>
      <c r="D704" s="32" t="n">
        <v>45954</v>
      </c>
      <c r="E704" s="8" t="n">
        <v>9</v>
      </c>
      <c r="F704" s="8" t="str">
        <f aca="false">IF(E704&gt;=9,"Promoter",IF(E704&gt;=7,"Passive","Detractor"))</f>
        <v>Promoter</v>
      </c>
    </row>
    <row r="705" customFormat="false" ht="15" hidden="false" customHeight="false" outlineLevel="0" collapsed="false">
      <c r="A705" s="8" t="s">
        <v>5309</v>
      </c>
      <c r="B705" s="8" t="s">
        <v>2082</v>
      </c>
      <c r="C705" s="8" t="s">
        <v>51</v>
      </c>
      <c r="D705" s="32" t="n">
        <v>45954</v>
      </c>
      <c r="E705" s="8" t="n">
        <v>10</v>
      </c>
      <c r="F705" s="8" t="str">
        <f aca="false">IF(E705&gt;=9,"Promoter",IF(E705&gt;=7,"Passive","Detractor"))</f>
        <v>Promoter</v>
      </c>
    </row>
    <row r="706" customFormat="false" ht="15" hidden="false" customHeight="false" outlineLevel="0" collapsed="false">
      <c r="A706" s="8" t="s">
        <v>5310</v>
      </c>
      <c r="B706" s="8" t="s">
        <v>4489</v>
      </c>
      <c r="C706" s="8" t="s">
        <v>51</v>
      </c>
      <c r="D706" s="32" t="n">
        <v>45954</v>
      </c>
      <c r="E706" s="8" t="n">
        <v>5</v>
      </c>
      <c r="F706" s="8" t="str">
        <f aca="false">IF(E706&gt;=9,"Promoter",IF(E706&gt;=7,"Passive","Detractor"))</f>
        <v>Detractor</v>
      </c>
    </row>
    <row r="707" customFormat="false" ht="15" hidden="false" customHeight="false" outlineLevel="0" collapsed="false">
      <c r="A707" s="8" t="s">
        <v>5311</v>
      </c>
      <c r="B707" s="8" t="s">
        <v>1829</v>
      </c>
      <c r="C707" s="8" t="s">
        <v>51</v>
      </c>
      <c r="D707" s="32" t="n">
        <v>45954</v>
      </c>
      <c r="E707" s="8" t="n">
        <v>6</v>
      </c>
      <c r="F707" s="8" t="str">
        <f aca="false">IF(E707&gt;=9,"Promoter",IF(E707&gt;=7,"Passive","Detractor"))</f>
        <v>Detractor</v>
      </c>
    </row>
    <row r="708" customFormat="false" ht="15" hidden="false" customHeight="false" outlineLevel="0" collapsed="false">
      <c r="A708" s="8" t="s">
        <v>5312</v>
      </c>
      <c r="B708" s="8" t="s">
        <v>4517</v>
      </c>
      <c r="C708" s="8" t="s">
        <v>51</v>
      </c>
      <c r="D708" s="32" t="n">
        <v>45954</v>
      </c>
      <c r="E708" s="8" t="n">
        <v>10</v>
      </c>
      <c r="F708" s="8" t="str">
        <f aca="false">IF(E708&gt;=9,"Promoter",IF(E708&gt;=7,"Passive","Detractor"))</f>
        <v>Promoter</v>
      </c>
    </row>
    <row r="709" customFormat="false" ht="15" hidden="false" customHeight="false" outlineLevel="0" collapsed="false">
      <c r="A709" s="8" t="s">
        <v>5313</v>
      </c>
      <c r="B709" s="8" t="s">
        <v>1469</v>
      </c>
      <c r="C709" s="8" t="s">
        <v>53</v>
      </c>
      <c r="D709" s="32" t="n">
        <v>45954</v>
      </c>
      <c r="E709" s="8" t="n">
        <v>8</v>
      </c>
      <c r="F709" s="8" t="str">
        <f aca="false">IF(E709&gt;=9,"Promoter",IF(E709&gt;=7,"Passive","Detractor"))</f>
        <v>Passive</v>
      </c>
    </row>
    <row r="710" customFormat="false" ht="15" hidden="false" customHeight="false" outlineLevel="0" collapsed="false">
      <c r="A710" s="8" t="s">
        <v>5314</v>
      </c>
      <c r="B710" s="8" t="s">
        <v>3896</v>
      </c>
      <c r="C710" s="8" t="s">
        <v>51</v>
      </c>
      <c r="D710" s="32" t="n">
        <v>45954</v>
      </c>
      <c r="E710" s="8" t="n">
        <v>5</v>
      </c>
      <c r="F710" s="8" t="str">
        <f aca="false">IF(E710&gt;=9,"Promoter",IF(E710&gt;=7,"Passive","Detractor"))</f>
        <v>Detractor</v>
      </c>
    </row>
    <row r="711" customFormat="false" ht="15" hidden="false" customHeight="false" outlineLevel="0" collapsed="false">
      <c r="A711" s="8" t="s">
        <v>5315</v>
      </c>
      <c r="B711" s="8" t="s">
        <v>157</v>
      </c>
      <c r="C711" s="8" t="s">
        <v>55</v>
      </c>
      <c r="D711" s="32" t="n">
        <v>45954</v>
      </c>
      <c r="E711" s="8" t="n">
        <v>9</v>
      </c>
      <c r="F711" s="8" t="str">
        <f aca="false">IF(E711&gt;=9,"Promoter",IF(E711&gt;=7,"Passive","Detractor"))</f>
        <v>Promoter</v>
      </c>
    </row>
    <row r="712" customFormat="false" ht="15" hidden="false" customHeight="false" outlineLevel="0" collapsed="false">
      <c r="A712" s="8" t="s">
        <v>5316</v>
      </c>
      <c r="B712" s="8" t="s">
        <v>915</v>
      </c>
      <c r="C712" s="8" t="s">
        <v>53</v>
      </c>
      <c r="D712" s="32" t="n">
        <v>45955</v>
      </c>
      <c r="E712" s="8" t="n">
        <v>7</v>
      </c>
      <c r="F712" s="8" t="str">
        <f aca="false">IF(E712&gt;=9,"Promoter",IF(E712&gt;=7,"Passive","Detractor"))</f>
        <v>Passive</v>
      </c>
    </row>
    <row r="713" customFormat="false" ht="15" hidden="false" customHeight="false" outlineLevel="0" collapsed="false">
      <c r="A713" s="8" t="s">
        <v>5317</v>
      </c>
      <c r="B713" s="8" t="s">
        <v>597</v>
      </c>
      <c r="C713" s="8" t="s">
        <v>53</v>
      </c>
      <c r="D713" s="32" t="n">
        <v>45955</v>
      </c>
      <c r="E713" s="8" t="n">
        <v>7</v>
      </c>
      <c r="F713" s="8" t="str">
        <f aca="false">IF(E713&gt;=9,"Promoter",IF(E713&gt;=7,"Passive","Detractor"))</f>
        <v>Passive</v>
      </c>
    </row>
    <row r="714" customFormat="false" ht="15" hidden="false" customHeight="false" outlineLevel="0" collapsed="false">
      <c r="A714" s="8" t="s">
        <v>5318</v>
      </c>
      <c r="B714" s="8" t="s">
        <v>4562</v>
      </c>
      <c r="C714" s="8" t="s">
        <v>51</v>
      </c>
      <c r="D714" s="32" t="n">
        <v>45955</v>
      </c>
      <c r="E714" s="8" t="n">
        <v>6</v>
      </c>
      <c r="F714" s="8" t="str">
        <f aca="false">IF(E714&gt;=9,"Promoter",IF(E714&gt;=7,"Passive","Detractor"))</f>
        <v>Detractor</v>
      </c>
    </row>
    <row r="715" customFormat="false" ht="15" hidden="false" customHeight="false" outlineLevel="0" collapsed="false">
      <c r="A715" s="8" t="s">
        <v>5319</v>
      </c>
      <c r="B715" s="8" t="s">
        <v>2842</v>
      </c>
      <c r="C715" s="8" t="s">
        <v>51</v>
      </c>
      <c r="D715" s="32" t="n">
        <v>45955</v>
      </c>
      <c r="E715" s="8" t="n">
        <v>5</v>
      </c>
      <c r="F715" s="8" t="str">
        <f aca="false">IF(E715&gt;=9,"Promoter",IF(E715&gt;=7,"Passive","Detractor"))</f>
        <v>Detractor</v>
      </c>
    </row>
    <row r="716" customFormat="false" ht="15" hidden="false" customHeight="false" outlineLevel="0" collapsed="false">
      <c r="A716" s="8" t="s">
        <v>5320</v>
      </c>
      <c r="B716" s="8" t="s">
        <v>3100</v>
      </c>
      <c r="C716" s="8" t="s">
        <v>51</v>
      </c>
      <c r="D716" s="32" t="n">
        <v>45955</v>
      </c>
      <c r="E716" s="8" t="n">
        <v>5</v>
      </c>
      <c r="F716" s="8" t="str">
        <f aca="false">IF(E716&gt;=9,"Promoter",IF(E716&gt;=7,"Passive","Detractor"))</f>
        <v>Detractor</v>
      </c>
    </row>
    <row r="717" customFormat="false" ht="15" hidden="false" customHeight="false" outlineLevel="0" collapsed="false">
      <c r="A717" s="8" t="s">
        <v>5321</v>
      </c>
      <c r="B717" s="8" t="s">
        <v>4262</v>
      </c>
      <c r="C717" s="8" t="s">
        <v>51</v>
      </c>
      <c r="D717" s="32" t="n">
        <v>45955</v>
      </c>
      <c r="E717" s="8" t="n">
        <v>5</v>
      </c>
      <c r="F717" s="8" t="str">
        <f aca="false">IF(E717&gt;=9,"Promoter",IF(E717&gt;=7,"Passive","Detractor"))</f>
        <v>Detractor</v>
      </c>
    </row>
    <row r="718" customFormat="false" ht="15" hidden="false" customHeight="false" outlineLevel="0" collapsed="false">
      <c r="A718" s="8" t="s">
        <v>5322</v>
      </c>
      <c r="B718" s="8" t="s">
        <v>1107</v>
      </c>
      <c r="C718" s="8" t="s">
        <v>53</v>
      </c>
      <c r="D718" s="32" t="n">
        <v>45955</v>
      </c>
      <c r="E718" s="8" t="n">
        <v>9</v>
      </c>
      <c r="F718" s="8" t="str">
        <f aca="false">IF(E718&gt;=9,"Promoter",IF(E718&gt;=7,"Passive","Detractor"))</f>
        <v>Promoter</v>
      </c>
    </row>
    <row r="719" customFormat="false" ht="15" hidden="false" customHeight="false" outlineLevel="0" collapsed="false">
      <c r="A719" s="8" t="s">
        <v>5323</v>
      </c>
      <c r="B719" s="8" t="s">
        <v>2678</v>
      </c>
      <c r="C719" s="8" t="s">
        <v>51</v>
      </c>
      <c r="D719" s="32" t="n">
        <v>45955</v>
      </c>
      <c r="E719" s="8" t="n">
        <v>8</v>
      </c>
      <c r="F719" s="8" t="str">
        <f aca="false">IF(E719&gt;=9,"Promoter",IF(E719&gt;=7,"Passive","Detractor"))</f>
        <v>Passive</v>
      </c>
    </row>
    <row r="720" customFormat="false" ht="15" hidden="false" customHeight="false" outlineLevel="0" collapsed="false">
      <c r="A720" s="8" t="s">
        <v>5324</v>
      </c>
      <c r="B720" s="8" t="s">
        <v>1949</v>
      </c>
      <c r="C720" s="8" t="s">
        <v>51</v>
      </c>
      <c r="D720" s="32" t="n">
        <v>45955</v>
      </c>
      <c r="E720" s="8" t="n">
        <v>9</v>
      </c>
      <c r="F720" s="8" t="str">
        <f aca="false">IF(E720&gt;=9,"Promoter",IF(E720&gt;=7,"Passive","Detractor"))</f>
        <v>Promoter</v>
      </c>
    </row>
    <row r="721" customFormat="false" ht="15" hidden="false" customHeight="false" outlineLevel="0" collapsed="false">
      <c r="A721" s="8" t="s">
        <v>5325</v>
      </c>
      <c r="B721" s="8" t="s">
        <v>611</v>
      </c>
      <c r="C721" s="8" t="s">
        <v>55</v>
      </c>
      <c r="D721" s="32" t="n">
        <v>45955</v>
      </c>
      <c r="E721" s="8" t="n">
        <v>10</v>
      </c>
      <c r="F721" s="8" t="str">
        <f aca="false">IF(E721&gt;=9,"Promoter",IF(E721&gt;=7,"Passive","Detractor"))</f>
        <v>Promoter</v>
      </c>
    </row>
    <row r="722" customFormat="false" ht="15" hidden="false" customHeight="false" outlineLevel="0" collapsed="false">
      <c r="A722" s="8" t="s">
        <v>5326</v>
      </c>
      <c r="B722" s="8" t="s">
        <v>246</v>
      </c>
      <c r="C722" s="8" t="s">
        <v>55</v>
      </c>
      <c r="D722" s="32" t="n">
        <v>45955</v>
      </c>
      <c r="E722" s="8" t="n">
        <v>10</v>
      </c>
      <c r="F722" s="8" t="str">
        <f aca="false">IF(E722&gt;=9,"Promoter",IF(E722&gt;=7,"Passive","Detractor"))</f>
        <v>Promoter</v>
      </c>
    </row>
    <row r="723" customFormat="false" ht="15" hidden="false" customHeight="false" outlineLevel="0" collapsed="false">
      <c r="A723" s="8" t="s">
        <v>5327</v>
      </c>
      <c r="B723" s="8" t="s">
        <v>3102</v>
      </c>
      <c r="C723" s="8" t="s">
        <v>51</v>
      </c>
      <c r="D723" s="32" t="n">
        <v>45955</v>
      </c>
      <c r="E723" s="8" t="n">
        <v>9</v>
      </c>
      <c r="F723" s="8" t="str">
        <f aca="false">IF(E723&gt;=9,"Promoter",IF(E723&gt;=7,"Passive","Detractor"))</f>
        <v>Promoter</v>
      </c>
    </row>
    <row r="724" customFormat="false" ht="15" hidden="false" customHeight="false" outlineLevel="0" collapsed="false">
      <c r="A724" s="8" t="s">
        <v>5328</v>
      </c>
      <c r="B724" s="8" t="s">
        <v>3404</v>
      </c>
      <c r="C724" s="8" t="s">
        <v>51</v>
      </c>
      <c r="D724" s="32" t="n">
        <v>45955</v>
      </c>
      <c r="E724" s="8" t="n">
        <v>8</v>
      </c>
      <c r="F724" s="8" t="str">
        <f aca="false">IF(E724&gt;=9,"Promoter",IF(E724&gt;=7,"Passive","Detractor"))</f>
        <v>Passive</v>
      </c>
    </row>
    <row r="725" customFormat="false" ht="15" hidden="false" customHeight="false" outlineLevel="0" collapsed="false">
      <c r="A725" s="8" t="s">
        <v>5329</v>
      </c>
      <c r="B725" s="8" t="s">
        <v>579</v>
      </c>
      <c r="C725" s="8" t="s">
        <v>55</v>
      </c>
      <c r="D725" s="32" t="n">
        <v>45955</v>
      </c>
      <c r="E725" s="8" t="n">
        <v>9</v>
      </c>
      <c r="F725" s="8" t="str">
        <f aca="false">IF(E725&gt;=9,"Promoter",IF(E725&gt;=7,"Passive","Detractor"))</f>
        <v>Promoter</v>
      </c>
    </row>
    <row r="726" customFormat="false" ht="15" hidden="false" customHeight="false" outlineLevel="0" collapsed="false">
      <c r="A726" s="8" t="s">
        <v>5330</v>
      </c>
      <c r="B726" s="8" t="s">
        <v>4594</v>
      </c>
      <c r="C726" s="8" t="s">
        <v>51</v>
      </c>
      <c r="D726" s="32" t="n">
        <v>45955</v>
      </c>
      <c r="E726" s="8" t="n">
        <v>6</v>
      </c>
      <c r="F726" s="8" t="str">
        <f aca="false">IF(E726&gt;=9,"Promoter",IF(E726&gt;=7,"Passive","Detractor"))</f>
        <v>Detractor</v>
      </c>
    </row>
    <row r="727" customFormat="false" ht="15" hidden="false" customHeight="false" outlineLevel="0" collapsed="false">
      <c r="A727" s="8" t="s">
        <v>5331</v>
      </c>
      <c r="B727" s="8" t="s">
        <v>329</v>
      </c>
      <c r="C727" s="8" t="s">
        <v>55</v>
      </c>
      <c r="D727" s="32" t="n">
        <v>45955</v>
      </c>
      <c r="E727" s="8" t="n">
        <v>10</v>
      </c>
      <c r="F727" s="8" t="str">
        <f aca="false">IF(E727&gt;=9,"Promoter",IF(E727&gt;=7,"Passive","Detractor"))</f>
        <v>Promoter</v>
      </c>
    </row>
    <row r="728" customFormat="false" ht="15" hidden="false" customHeight="false" outlineLevel="0" collapsed="false">
      <c r="A728" s="8" t="s">
        <v>5332</v>
      </c>
      <c r="B728" s="8" t="s">
        <v>2230</v>
      </c>
      <c r="C728" s="8" t="s">
        <v>51</v>
      </c>
      <c r="D728" s="32" t="n">
        <v>45955</v>
      </c>
      <c r="E728" s="8" t="n">
        <v>9</v>
      </c>
      <c r="F728" s="8" t="str">
        <f aca="false">IF(E728&gt;=9,"Promoter",IF(E728&gt;=7,"Passive","Detractor"))</f>
        <v>Promoter</v>
      </c>
    </row>
    <row r="729" customFormat="false" ht="15" hidden="false" customHeight="false" outlineLevel="0" collapsed="false">
      <c r="A729" s="8" t="s">
        <v>5333</v>
      </c>
      <c r="B729" s="8" t="s">
        <v>2968</v>
      </c>
      <c r="C729" s="8" t="s">
        <v>51</v>
      </c>
      <c r="D729" s="32" t="n">
        <v>45955</v>
      </c>
      <c r="E729" s="8" t="n">
        <v>10</v>
      </c>
      <c r="F729" s="8" t="str">
        <f aca="false">IF(E729&gt;=9,"Promoter",IF(E729&gt;=7,"Passive","Detractor"))</f>
        <v>Promoter</v>
      </c>
    </row>
    <row r="730" customFormat="false" ht="15" hidden="false" customHeight="false" outlineLevel="0" collapsed="false">
      <c r="A730" s="8" t="s">
        <v>5334</v>
      </c>
      <c r="B730" s="8" t="s">
        <v>363</v>
      </c>
      <c r="C730" s="8" t="s">
        <v>55</v>
      </c>
      <c r="D730" s="32" t="n">
        <v>45955</v>
      </c>
      <c r="E730" s="8" t="n">
        <v>9</v>
      </c>
      <c r="F730" s="8" t="str">
        <f aca="false">IF(E730&gt;=9,"Promoter",IF(E730&gt;=7,"Passive","Detractor"))</f>
        <v>Promoter</v>
      </c>
    </row>
    <row r="731" customFormat="false" ht="15" hidden="false" customHeight="false" outlineLevel="0" collapsed="false">
      <c r="A731" s="8" t="s">
        <v>5335</v>
      </c>
      <c r="B731" s="8" t="s">
        <v>4502</v>
      </c>
      <c r="C731" s="8" t="s">
        <v>51</v>
      </c>
      <c r="D731" s="32" t="n">
        <v>45962</v>
      </c>
      <c r="E731" s="8" t="n">
        <v>7</v>
      </c>
      <c r="F731" s="8" t="str">
        <f aca="false">IF(E731&gt;=9,"Promoter",IF(E731&gt;=7,"Passive","Detractor"))</f>
        <v>Passive</v>
      </c>
    </row>
    <row r="732" customFormat="false" ht="15" hidden="false" customHeight="false" outlineLevel="0" collapsed="false">
      <c r="A732" s="8" t="s">
        <v>5336</v>
      </c>
      <c r="B732" s="8" t="s">
        <v>2534</v>
      </c>
      <c r="C732" s="8" t="s">
        <v>51</v>
      </c>
      <c r="D732" s="32" t="n">
        <v>45962</v>
      </c>
      <c r="E732" s="8" t="n">
        <v>10</v>
      </c>
      <c r="F732" s="8" t="str">
        <f aca="false">IF(E732&gt;=9,"Promoter",IF(E732&gt;=7,"Passive","Detractor"))</f>
        <v>Promoter</v>
      </c>
    </row>
    <row r="733" customFormat="false" ht="15" hidden="false" customHeight="false" outlineLevel="0" collapsed="false">
      <c r="A733" s="8" t="s">
        <v>5337</v>
      </c>
      <c r="B733" s="8" t="s">
        <v>3894</v>
      </c>
      <c r="C733" s="8" t="s">
        <v>51</v>
      </c>
      <c r="D733" s="32" t="n">
        <v>45962</v>
      </c>
      <c r="E733" s="8" t="n">
        <v>9</v>
      </c>
      <c r="F733" s="8" t="str">
        <f aca="false">IF(E733&gt;=9,"Promoter",IF(E733&gt;=7,"Passive","Detractor"))</f>
        <v>Promoter</v>
      </c>
    </row>
    <row r="734" customFormat="false" ht="15" hidden="false" customHeight="false" outlineLevel="0" collapsed="false">
      <c r="A734" s="8" t="s">
        <v>5338</v>
      </c>
      <c r="B734" s="8" t="s">
        <v>3584</v>
      </c>
      <c r="C734" s="8" t="s">
        <v>51</v>
      </c>
      <c r="D734" s="32" t="n">
        <v>45962</v>
      </c>
      <c r="E734" s="8" t="n">
        <v>10</v>
      </c>
      <c r="F734" s="8" t="str">
        <f aca="false">IF(E734&gt;=9,"Promoter",IF(E734&gt;=7,"Passive","Detractor"))</f>
        <v>Promoter</v>
      </c>
    </row>
    <row r="735" customFormat="false" ht="15" hidden="false" customHeight="false" outlineLevel="0" collapsed="false">
      <c r="A735" s="8" t="s">
        <v>5339</v>
      </c>
      <c r="B735" s="8" t="s">
        <v>3600</v>
      </c>
      <c r="C735" s="8" t="s">
        <v>51</v>
      </c>
      <c r="D735" s="32" t="n">
        <v>45963</v>
      </c>
      <c r="E735" s="8" t="n">
        <v>8</v>
      </c>
      <c r="F735" s="8" t="str">
        <f aca="false">IF(E735&gt;=9,"Promoter",IF(E735&gt;=7,"Passive","Detractor"))</f>
        <v>Passive</v>
      </c>
    </row>
    <row r="736" customFormat="false" ht="15" hidden="false" customHeight="false" outlineLevel="0" collapsed="false">
      <c r="A736" s="8" t="s">
        <v>5340</v>
      </c>
      <c r="B736" s="8" t="s">
        <v>2100</v>
      </c>
      <c r="C736" s="8" t="s">
        <v>51</v>
      </c>
      <c r="D736" s="32" t="n">
        <v>45963</v>
      </c>
      <c r="E736" s="8" t="n">
        <v>9</v>
      </c>
      <c r="F736" s="8" t="str">
        <f aca="false">IF(E736&gt;=9,"Promoter",IF(E736&gt;=7,"Passive","Detractor"))</f>
        <v>Promoter</v>
      </c>
    </row>
    <row r="737" customFormat="false" ht="15" hidden="false" customHeight="false" outlineLevel="0" collapsed="false">
      <c r="A737" s="8" t="s">
        <v>5341</v>
      </c>
      <c r="B737" s="8" t="s">
        <v>2013</v>
      </c>
      <c r="C737" s="8" t="s">
        <v>51</v>
      </c>
      <c r="D737" s="32" t="n">
        <v>45963</v>
      </c>
      <c r="E737" s="8" t="n">
        <v>10</v>
      </c>
      <c r="F737" s="8" t="str">
        <f aca="false">IF(E737&gt;=9,"Promoter",IF(E737&gt;=7,"Passive","Detractor"))</f>
        <v>Promoter</v>
      </c>
    </row>
    <row r="738" customFormat="false" ht="15" hidden="false" customHeight="false" outlineLevel="0" collapsed="false">
      <c r="A738" s="8" t="s">
        <v>5342</v>
      </c>
      <c r="B738" s="8" t="s">
        <v>3216</v>
      </c>
      <c r="C738" s="8" t="s">
        <v>51</v>
      </c>
      <c r="D738" s="32" t="n">
        <v>45963</v>
      </c>
      <c r="E738" s="8" t="n">
        <v>9</v>
      </c>
      <c r="F738" s="8" t="str">
        <f aca="false">IF(E738&gt;=9,"Promoter",IF(E738&gt;=7,"Passive","Detractor"))</f>
        <v>Promoter</v>
      </c>
    </row>
    <row r="739" customFormat="false" ht="15" hidden="false" customHeight="false" outlineLevel="0" collapsed="false">
      <c r="A739" s="8" t="s">
        <v>5343</v>
      </c>
      <c r="B739" s="8" t="s">
        <v>3454</v>
      </c>
      <c r="C739" s="8" t="s">
        <v>51</v>
      </c>
      <c r="D739" s="32" t="n">
        <v>45963</v>
      </c>
      <c r="E739" s="8" t="n">
        <v>5</v>
      </c>
      <c r="F739" s="8" t="str">
        <f aca="false">IF(E739&gt;=9,"Promoter",IF(E739&gt;=7,"Passive","Detractor"))</f>
        <v>Detractor</v>
      </c>
    </row>
    <row r="740" customFormat="false" ht="15" hidden="false" customHeight="false" outlineLevel="0" collapsed="false">
      <c r="A740" s="8" t="s">
        <v>5344</v>
      </c>
      <c r="B740" s="8" t="s">
        <v>755</v>
      </c>
      <c r="C740" s="8" t="s">
        <v>53</v>
      </c>
      <c r="D740" s="32" t="n">
        <v>45963</v>
      </c>
      <c r="E740" s="8" t="n">
        <v>8</v>
      </c>
      <c r="F740" s="8" t="str">
        <f aca="false">IF(E740&gt;=9,"Promoter",IF(E740&gt;=7,"Passive","Detractor"))</f>
        <v>Passive</v>
      </c>
    </row>
    <row r="741" customFormat="false" ht="15" hidden="false" customHeight="false" outlineLevel="0" collapsed="false">
      <c r="A741" s="8" t="s">
        <v>5345</v>
      </c>
      <c r="B741" s="8" t="s">
        <v>1963</v>
      </c>
      <c r="C741" s="8" t="s">
        <v>51</v>
      </c>
      <c r="D741" s="32" t="n">
        <v>45963</v>
      </c>
      <c r="E741" s="8" t="n">
        <v>7</v>
      </c>
      <c r="F741" s="8" t="str">
        <f aca="false">IF(E741&gt;=9,"Promoter",IF(E741&gt;=7,"Passive","Detractor"))</f>
        <v>Passive</v>
      </c>
    </row>
    <row r="742" customFormat="false" ht="15" hidden="false" customHeight="false" outlineLevel="0" collapsed="false">
      <c r="A742" s="8" t="s">
        <v>5346</v>
      </c>
      <c r="B742" s="8" t="s">
        <v>1673</v>
      </c>
      <c r="C742" s="8" t="s">
        <v>53</v>
      </c>
      <c r="D742" s="32" t="n">
        <v>45963</v>
      </c>
      <c r="E742" s="8" t="n">
        <v>8</v>
      </c>
      <c r="F742" s="8" t="str">
        <f aca="false">IF(E742&gt;=9,"Promoter",IF(E742&gt;=7,"Passive","Detractor"))</f>
        <v>Passive</v>
      </c>
    </row>
    <row r="743" customFormat="false" ht="15" hidden="false" customHeight="false" outlineLevel="0" collapsed="false">
      <c r="A743" s="8" t="s">
        <v>5347</v>
      </c>
      <c r="B743" s="8" t="s">
        <v>2958</v>
      </c>
      <c r="C743" s="8" t="s">
        <v>51</v>
      </c>
      <c r="D743" s="32" t="n">
        <v>45963</v>
      </c>
      <c r="E743" s="8" t="n">
        <v>8</v>
      </c>
      <c r="F743" s="8" t="str">
        <f aca="false">IF(E743&gt;=9,"Promoter",IF(E743&gt;=7,"Passive","Detractor"))</f>
        <v>Passive</v>
      </c>
    </row>
    <row r="744" customFormat="false" ht="15" hidden="false" customHeight="false" outlineLevel="0" collapsed="false">
      <c r="A744" s="8" t="s">
        <v>5348</v>
      </c>
      <c r="B744" s="8" t="s">
        <v>4473</v>
      </c>
      <c r="C744" s="8" t="s">
        <v>53</v>
      </c>
      <c r="D744" s="32" t="n">
        <v>45963</v>
      </c>
      <c r="E744" s="8" t="n">
        <v>6</v>
      </c>
      <c r="F744" s="8" t="str">
        <f aca="false">IF(E744&gt;=9,"Promoter",IF(E744&gt;=7,"Passive","Detractor"))</f>
        <v>Detractor</v>
      </c>
    </row>
    <row r="745" customFormat="false" ht="15" hidden="false" customHeight="false" outlineLevel="0" collapsed="false">
      <c r="A745" s="8" t="s">
        <v>5349</v>
      </c>
      <c r="B745" s="8" t="s">
        <v>2348</v>
      </c>
      <c r="C745" s="8" t="s">
        <v>51</v>
      </c>
      <c r="D745" s="32" t="n">
        <v>45963</v>
      </c>
      <c r="E745" s="8" t="n">
        <v>10</v>
      </c>
      <c r="F745" s="8" t="str">
        <f aca="false">IF(E745&gt;=9,"Promoter",IF(E745&gt;=7,"Passive","Detractor"))</f>
        <v>Promoter</v>
      </c>
    </row>
    <row r="746" customFormat="false" ht="15" hidden="false" customHeight="false" outlineLevel="0" collapsed="false">
      <c r="A746" s="8" t="s">
        <v>5350</v>
      </c>
      <c r="B746" s="8" t="s">
        <v>379</v>
      </c>
      <c r="C746" s="8" t="s">
        <v>55</v>
      </c>
      <c r="D746" s="32" t="n">
        <v>45963</v>
      </c>
      <c r="E746" s="8" t="n">
        <v>10</v>
      </c>
      <c r="F746" s="8" t="str">
        <f aca="false">IF(E746&gt;=9,"Promoter",IF(E746&gt;=7,"Passive","Detractor"))</f>
        <v>Promoter</v>
      </c>
    </row>
    <row r="747" customFormat="false" ht="15" hidden="false" customHeight="false" outlineLevel="0" collapsed="false">
      <c r="A747" s="8" t="s">
        <v>5351</v>
      </c>
      <c r="B747" s="8" t="s">
        <v>181</v>
      </c>
      <c r="C747" s="8" t="s">
        <v>55</v>
      </c>
      <c r="D747" s="32" t="n">
        <v>45964</v>
      </c>
      <c r="E747" s="8" t="n">
        <v>8</v>
      </c>
      <c r="F747" s="8" t="str">
        <f aca="false">IF(E747&gt;=9,"Promoter",IF(E747&gt;=7,"Passive","Detractor"))</f>
        <v>Passive</v>
      </c>
    </row>
    <row r="748" customFormat="false" ht="15" hidden="false" customHeight="false" outlineLevel="0" collapsed="false">
      <c r="A748" s="8" t="s">
        <v>5352</v>
      </c>
      <c r="B748" s="8" t="s">
        <v>631</v>
      </c>
      <c r="C748" s="8" t="s">
        <v>53</v>
      </c>
      <c r="D748" s="32" t="n">
        <v>45964</v>
      </c>
      <c r="E748" s="8" t="n">
        <v>10</v>
      </c>
      <c r="F748" s="8" t="str">
        <f aca="false">IF(E748&gt;=9,"Promoter",IF(E748&gt;=7,"Passive","Detractor"))</f>
        <v>Promoter</v>
      </c>
    </row>
    <row r="749" customFormat="false" ht="15" hidden="false" customHeight="false" outlineLevel="0" collapsed="false">
      <c r="A749" s="8" t="s">
        <v>5353</v>
      </c>
      <c r="B749" s="8" t="s">
        <v>284</v>
      </c>
      <c r="C749" s="8" t="s">
        <v>55</v>
      </c>
      <c r="D749" s="32" t="n">
        <v>45964</v>
      </c>
      <c r="E749" s="8" t="n">
        <v>8</v>
      </c>
      <c r="F749" s="8" t="str">
        <f aca="false">IF(E749&gt;=9,"Promoter",IF(E749&gt;=7,"Passive","Detractor"))</f>
        <v>Passive</v>
      </c>
    </row>
    <row r="750" customFormat="false" ht="15" hidden="false" customHeight="false" outlineLevel="0" collapsed="false">
      <c r="A750" s="8" t="s">
        <v>5354</v>
      </c>
      <c r="B750" s="8" t="s">
        <v>3106</v>
      </c>
      <c r="C750" s="8" t="s">
        <v>51</v>
      </c>
      <c r="D750" s="32" t="n">
        <v>45964</v>
      </c>
      <c r="E750" s="8" t="n">
        <v>9</v>
      </c>
      <c r="F750" s="8" t="str">
        <f aca="false">IF(E750&gt;=9,"Promoter",IF(E750&gt;=7,"Passive","Detractor"))</f>
        <v>Promoter</v>
      </c>
    </row>
    <row r="751" customFormat="false" ht="15" hidden="false" customHeight="false" outlineLevel="0" collapsed="false">
      <c r="A751" s="8" t="s">
        <v>5355</v>
      </c>
      <c r="B751" s="8" t="s">
        <v>169</v>
      </c>
      <c r="C751" s="8" t="s">
        <v>55</v>
      </c>
      <c r="D751" s="32" t="n">
        <v>45964</v>
      </c>
      <c r="E751" s="8" t="n">
        <v>6</v>
      </c>
      <c r="F751" s="8" t="str">
        <f aca="false">IF(E751&gt;=9,"Promoter",IF(E751&gt;=7,"Passive","Detractor"))</f>
        <v>Detractor</v>
      </c>
    </row>
    <row r="752" customFormat="false" ht="15" hidden="false" customHeight="false" outlineLevel="0" collapsed="false">
      <c r="A752" s="8" t="s">
        <v>5356</v>
      </c>
      <c r="B752" s="8" t="s">
        <v>3222</v>
      </c>
      <c r="C752" s="8" t="s">
        <v>51</v>
      </c>
      <c r="D752" s="32" t="n">
        <v>45964</v>
      </c>
      <c r="E752" s="8" t="n">
        <v>10</v>
      </c>
      <c r="F752" s="8" t="str">
        <f aca="false">IF(E752&gt;=9,"Promoter",IF(E752&gt;=7,"Passive","Detractor"))</f>
        <v>Promoter</v>
      </c>
    </row>
    <row r="753" customFormat="false" ht="15" hidden="false" customHeight="false" outlineLevel="0" collapsed="false">
      <c r="A753" s="8" t="s">
        <v>5357</v>
      </c>
      <c r="B753" s="8" t="s">
        <v>4585</v>
      </c>
      <c r="C753" s="8" t="s">
        <v>51</v>
      </c>
      <c r="D753" s="32" t="n">
        <v>45964</v>
      </c>
      <c r="E753" s="8" t="n">
        <v>9</v>
      </c>
      <c r="F753" s="8" t="str">
        <f aca="false">IF(E753&gt;=9,"Promoter",IF(E753&gt;=7,"Passive","Detractor"))</f>
        <v>Promoter</v>
      </c>
    </row>
    <row r="754" customFormat="false" ht="15" hidden="false" customHeight="false" outlineLevel="0" collapsed="false">
      <c r="A754" s="8" t="s">
        <v>5358</v>
      </c>
      <c r="B754" s="8" t="s">
        <v>268</v>
      </c>
      <c r="C754" s="8" t="s">
        <v>55</v>
      </c>
      <c r="D754" s="32" t="n">
        <v>45964</v>
      </c>
      <c r="E754" s="8" t="n">
        <v>8</v>
      </c>
      <c r="F754" s="8" t="str">
        <f aca="false">IF(E754&gt;=9,"Promoter",IF(E754&gt;=7,"Passive","Detractor"))</f>
        <v>Passive</v>
      </c>
    </row>
    <row r="755" customFormat="false" ht="15" hidden="false" customHeight="false" outlineLevel="0" collapsed="false">
      <c r="A755" s="8" t="s">
        <v>5359</v>
      </c>
      <c r="B755" s="8" t="s">
        <v>1355</v>
      </c>
      <c r="C755" s="8" t="s">
        <v>53</v>
      </c>
      <c r="D755" s="32" t="n">
        <v>45965</v>
      </c>
      <c r="E755" s="8" t="n">
        <v>6</v>
      </c>
      <c r="F755" s="8" t="str">
        <f aca="false">IF(E755&gt;=9,"Promoter",IF(E755&gt;=7,"Passive","Detractor"))</f>
        <v>Detractor</v>
      </c>
    </row>
    <row r="756" customFormat="false" ht="15" hidden="false" customHeight="false" outlineLevel="0" collapsed="false">
      <c r="A756" s="8" t="s">
        <v>5360</v>
      </c>
      <c r="B756" s="8" t="s">
        <v>743</v>
      </c>
      <c r="C756" s="8" t="s">
        <v>53</v>
      </c>
      <c r="D756" s="32" t="n">
        <v>45965</v>
      </c>
      <c r="E756" s="8" t="n">
        <v>6</v>
      </c>
      <c r="F756" s="8" t="str">
        <f aca="false">IF(E756&gt;=9,"Promoter",IF(E756&gt;=7,"Passive","Detractor"))</f>
        <v>Detractor</v>
      </c>
    </row>
    <row r="757" customFormat="false" ht="15" hidden="false" customHeight="false" outlineLevel="0" collapsed="false">
      <c r="A757" s="8" t="s">
        <v>5361</v>
      </c>
      <c r="B757" s="8" t="s">
        <v>3916</v>
      </c>
      <c r="C757" s="8" t="s">
        <v>51</v>
      </c>
      <c r="D757" s="32" t="n">
        <v>45965</v>
      </c>
      <c r="E757" s="8" t="n">
        <v>6</v>
      </c>
      <c r="F757" s="8" t="str">
        <f aca="false">IF(E757&gt;=9,"Promoter",IF(E757&gt;=7,"Passive","Detractor"))</f>
        <v>Detractor</v>
      </c>
    </row>
    <row r="758" customFormat="false" ht="15" hidden="false" customHeight="false" outlineLevel="0" collapsed="false">
      <c r="A758" s="8" t="s">
        <v>5362</v>
      </c>
      <c r="B758" s="8" t="s">
        <v>4030</v>
      </c>
      <c r="C758" s="8" t="s">
        <v>51</v>
      </c>
      <c r="D758" s="32" t="n">
        <v>45965</v>
      </c>
      <c r="E758" s="8" t="n">
        <v>8</v>
      </c>
      <c r="F758" s="8" t="str">
        <f aca="false">IF(E758&gt;=9,"Promoter",IF(E758&gt;=7,"Passive","Detractor"))</f>
        <v>Passive</v>
      </c>
    </row>
    <row r="759" customFormat="false" ht="15" hidden="false" customHeight="false" outlineLevel="0" collapsed="false">
      <c r="A759" s="8" t="s">
        <v>5363</v>
      </c>
      <c r="B759" s="8" t="s">
        <v>391</v>
      </c>
      <c r="C759" s="8" t="s">
        <v>55</v>
      </c>
      <c r="D759" s="32" t="n">
        <v>45965</v>
      </c>
      <c r="E759" s="8" t="n">
        <v>6</v>
      </c>
      <c r="F759" s="8" t="str">
        <f aca="false">IF(E759&gt;=9,"Promoter",IF(E759&gt;=7,"Passive","Detractor"))</f>
        <v>Detractor</v>
      </c>
    </row>
    <row r="760" customFormat="false" ht="15" hidden="false" customHeight="false" outlineLevel="0" collapsed="false">
      <c r="A760" s="8" t="s">
        <v>5364</v>
      </c>
      <c r="B760" s="8" t="s">
        <v>1171</v>
      </c>
      <c r="C760" s="8" t="s">
        <v>53</v>
      </c>
      <c r="D760" s="32" t="n">
        <v>45965</v>
      </c>
      <c r="E760" s="8" t="n">
        <v>7</v>
      </c>
      <c r="F760" s="8" t="str">
        <f aca="false">IF(E760&gt;=9,"Promoter",IF(E760&gt;=7,"Passive","Detractor"))</f>
        <v>Passive</v>
      </c>
    </row>
    <row r="761" customFormat="false" ht="15" hidden="false" customHeight="false" outlineLevel="0" collapsed="false">
      <c r="A761" s="8" t="s">
        <v>5365</v>
      </c>
      <c r="B761" s="8" t="s">
        <v>3518</v>
      </c>
      <c r="C761" s="8" t="s">
        <v>51</v>
      </c>
      <c r="D761" s="32" t="n">
        <v>45965</v>
      </c>
      <c r="E761" s="8" t="n">
        <v>8</v>
      </c>
      <c r="F761" s="8" t="str">
        <f aca="false">IF(E761&gt;=9,"Promoter",IF(E761&gt;=7,"Passive","Detractor"))</f>
        <v>Passive</v>
      </c>
    </row>
    <row r="762" customFormat="false" ht="15" hidden="false" customHeight="false" outlineLevel="0" collapsed="false">
      <c r="A762" s="8" t="s">
        <v>5366</v>
      </c>
      <c r="B762" s="8" t="s">
        <v>1887</v>
      </c>
      <c r="C762" s="8" t="s">
        <v>51</v>
      </c>
      <c r="D762" s="32" t="n">
        <v>45965</v>
      </c>
      <c r="E762" s="8" t="n">
        <v>7</v>
      </c>
      <c r="F762" s="8" t="str">
        <f aca="false">IF(E762&gt;=9,"Promoter",IF(E762&gt;=7,"Passive","Detractor"))</f>
        <v>Passive</v>
      </c>
    </row>
    <row r="763" customFormat="false" ht="15" hidden="false" customHeight="false" outlineLevel="0" collapsed="false">
      <c r="A763" s="8" t="s">
        <v>5367</v>
      </c>
      <c r="B763" s="8" t="s">
        <v>3438</v>
      </c>
      <c r="C763" s="8" t="s">
        <v>51</v>
      </c>
      <c r="D763" s="32" t="n">
        <v>45965</v>
      </c>
      <c r="E763" s="8" t="n">
        <v>7</v>
      </c>
      <c r="F763" s="8" t="str">
        <f aca="false">IF(E763&gt;=9,"Promoter",IF(E763&gt;=7,"Passive","Detractor"))</f>
        <v>Passive</v>
      </c>
    </row>
    <row r="764" customFormat="false" ht="15" hidden="false" customHeight="false" outlineLevel="0" collapsed="false">
      <c r="A764" s="8" t="s">
        <v>5368</v>
      </c>
      <c r="B764" s="8" t="s">
        <v>3196</v>
      </c>
      <c r="C764" s="8" t="s">
        <v>51</v>
      </c>
      <c r="D764" s="32" t="n">
        <v>45965</v>
      </c>
      <c r="E764" s="8" t="n">
        <v>6</v>
      </c>
      <c r="F764" s="8" t="str">
        <f aca="false">IF(E764&gt;=9,"Promoter",IF(E764&gt;=7,"Passive","Detractor"))</f>
        <v>Detractor</v>
      </c>
    </row>
    <row r="765" customFormat="false" ht="15" hidden="false" customHeight="false" outlineLevel="0" collapsed="false">
      <c r="A765" s="8" t="s">
        <v>5369</v>
      </c>
      <c r="B765" s="8" t="s">
        <v>3152</v>
      </c>
      <c r="C765" s="8" t="s">
        <v>51</v>
      </c>
      <c r="D765" s="32" t="n">
        <v>45966</v>
      </c>
      <c r="E765" s="8" t="n">
        <v>8</v>
      </c>
      <c r="F765" s="8" t="str">
        <f aca="false">IF(E765&gt;=9,"Promoter",IF(E765&gt;=7,"Passive","Detractor"))</f>
        <v>Passive</v>
      </c>
    </row>
    <row r="766" customFormat="false" ht="15" hidden="false" customHeight="false" outlineLevel="0" collapsed="false">
      <c r="A766" s="8" t="s">
        <v>5370</v>
      </c>
      <c r="B766" s="8" t="s">
        <v>1285</v>
      </c>
      <c r="C766" s="8" t="s">
        <v>53</v>
      </c>
      <c r="D766" s="32" t="n">
        <v>45966</v>
      </c>
      <c r="E766" s="8" t="n">
        <v>9</v>
      </c>
      <c r="F766" s="8" t="str">
        <f aca="false">IF(E766&gt;=9,"Promoter",IF(E766&gt;=7,"Passive","Detractor"))</f>
        <v>Promoter</v>
      </c>
    </row>
    <row r="767" customFormat="false" ht="15" hidden="false" customHeight="false" outlineLevel="0" collapsed="false">
      <c r="A767" s="8" t="s">
        <v>5371</v>
      </c>
      <c r="B767" s="8" t="s">
        <v>2444</v>
      </c>
      <c r="C767" s="8" t="s">
        <v>51</v>
      </c>
      <c r="D767" s="32" t="n">
        <v>45966</v>
      </c>
      <c r="E767" s="8" t="n">
        <v>5</v>
      </c>
      <c r="F767" s="8" t="str">
        <f aca="false">IF(E767&gt;=9,"Promoter",IF(E767&gt;=7,"Passive","Detractor"))</f>
        <v>Detractor</v>
      </c>
    </row>
    <row r="768" customFormat="false" ht="15" hidden="false" customHeight="false" outlineLevel="0" collapsed="false">
      <c r="A768" s="8" t="s">
        <v>5372</v>
      </c>
      <c r="B768" s="8" t="s">
        <v>2122</v>
      </c>
      <c r="C768" s="8" t="s">
        <v>51</v>
      </c>
      <c r="D768" s="32" t="n">
        <v>45966</v>
      </c>
      <c r="E768" s="8" t="n">
        <v>8</v>
      </c>
      <c r="F768" s="8" t="str">
        <f aca="false">IF(E768&gt;=9,"Promoter",IF(E768&gt;=7,"Passive","Detractor"))</f>
        <v>Passive</v>
      </c>
    </row>
    <row r="769" customFormat="false" ht="15" hidden="false" customHeight="false" outlineLevel="0" collapsed="false">
      <c r="A769" s="8" t="s">
        <v>5373</v>
      </c>
      <c r="B769" s="8" t="s">
        <v>4528</v>
      </c>
      <c r="C769" s="8" t="s">
        <v>51</v>
      </c>
      <c r="D769" s="32" t="n">
        <v>45966</v>
      </c>
      <c r="E769" s="8" t="n">
        <v>5</v>
      </c>
      <c r="F769" s="8" t="str">
        <f aca="false">IF(E769&gt;=9,"Promoter",IF(E769&gt;=7,"Passive","Detractor"))</f>
        <v>Detractor</v>
      </c>
    </row>
    <row r="770" customFormat="false" ht="15" hidden="false" customHeight="false" outlineLevel="0" collapsed="false">
      <c r="A770" s="8" t="s">
        <v>5374</v>
      </c>
      <c r="B770" s="8" t="s">
        <v>4547</v>
      </c>
      <c r="C770" s="8" t="s">
        <v>51</v>
      </c>
      <c r="D770" s="32" t="n">
        <v>45966</v>
      </c>
      <c r="E770" s="8" t="n">
        <v>6</v>
      </c>
      <c r="F770" s="8" t="str">
        <f aca="false">IF(E770&gt;=9,"Promoter",IF(E770&gt;=7,"Passive","Detractor"))</f>
        <v>Detractor</v>
      </c>
    </row>
    <row r="771" customFormat="false" ht="15" hidden="false" customHeight="false" outlineLevel="0" collapsed="false">
      <c r="A771" s="8" t="s">
        <v>5375</v>
      </c>
      <c r="B771" s="8" t="s">
        <v>4413</v>
      </c>
      <c r="C771" s="8" t="s">
        <v>55</v>
      </c>
      <c r="D771" s="32" t="n">
        <v>45967</v>
      </c>
      <c r="E771" s="8" t="n">
        <v>5</v>
      </c>
      <c r="F771" s="8" t="str">
        <f aca="false">IF(E771&gt;=9,"Promoter",IF(E771&gt;=7,"Passive","Detractor"))</f>
        <v>Detractor</v>
      </c>
    </row>
    <row r="772" customFormat="false" ht="15" hidden="false" customHeight="false" outlineLevel="0" collapsed="false">
      <c r="A772" s="8" t="s">
        <v>5376</v>
      </c>
      <c r="B772" s="8" t="s">
        <v>3250</v>
      </c>
      <c r="C772" s="8" t="s">
        <v>51</v>
      </c>
      <c r="D772" s="32" t="n">
        <v>45967</v>
      </c>
      <c r="E772" s="8" t="n">
        <v>7</v>
      </c>
      <c r="F772" s="8" t="str">
        <f aca="false">IF(E772&gt;=9,"Promoter",IF(E772&gt;=7,"Passive","Detractor"))</f>
        <v>Passive</v>
      </c>
    </row>
    <row r="773" customFormat="false" ht="15" hidden="false" customHeight="false" outlineLevel="0" collapsed="false">
      <c r="A773" s="8" t="s">
        <v>5377</v>
      </c>
      <c r="B773" s="8" t="s">
        <v>2538</v>
      </c>
      <c r="C773" s="8" t="s">
        <v>51</v>
      </c>
      <c r="D773" s="32" t="n">
        <v>45967</v>
      </c>
      <c r="E773" s="8" t="n">
        <v>8</v>
      </c>
      <c r="F773" s="8" t="str">
        <f aca="false">IF(E773&gt;=9,"Promoter",IF(E773&gt;=7,"Passive","Detractor"))</f>
        <v>Passive</v>
      </c>
    </row>
    <row r="774" customFormat="false" ht="15" hidden="false" customHeight="false" outlineLevel="0" collapsed="false">
      <c r="A774" s="8" t="s">
        <v>5378</v>
      </c>
      <c r="B774" s="8" t="s">
        <v>3958</v>
      </c>
      <c r="C774" s="8" t="s">
        <v>51</v>
      </c>
      <c r="D774" s="32" t="n">
        <v>45967</v>
      </c>
      <c r="E774" s="8" t="n">
        <v>10</v>
      </c>
      <c r="F774" s="8" t="str">
        <f aca="false">IF(E774&gt;=9,"Promoter",IF(E774&gt;=7,"Passive","Detractor"))</f>
        <v>Promoter</v>
      </c>
    </row>
    <row r="775" customFormat="false" ht="15" hidden="false" customHeight="false" outlineLevel="0" collapsed="false">
      <c r="A775" s="8" t="s">
        <v>5379</v>
      </c>
      <c r="B775" s="8" t="s">
        <v>1777</v>
      </c>
      <c r="C775" s="8" t="s">
        <v>53</v>
      </c>
      <c r="D775" s="32" t="n">
        <v>45967</v>
      </c>
      <c r="E775" s="8" t="n">
        <v>6</v>
      </c>
      <c r="F775" s="8" t="str">
        <f aca="false">IF(E775&gt;=9,"Promoter",IF(E775&gt;=7,"Passive","Detractor"))</f>
        <v>Detractor</v>
      </c>
    </row>
    <row r="776" customFormat="false" ht="15" hidden="false" customHeight="false" outlineLevel="0" collapsed="false">
      <c r="A776" s="8" t="s">
        <v>5380</v>
      </c>
      <c r="B776" s="8" t="s">
        <v>1443</v>
      </c>
      <c r="C776" s="8" t="s">
        <v>53</v>
      </c>
      <c r="D776" s="32" t="n">
        <v>45967</v>
      </c>
      <c r="E776" s="8" t="n">
        <v>9</v>
      </c>
      <c r="F776" s="8" t="str">
        <f aca="false">IF(E776&gt;=9,"Promoter",IF(E776&gt;=7,"Passive","Detractor"))</f>
        <v>Promoter</v>
      </c>
    </row>
    <row r="777" customFormat="false" ht="15" hidden="false" customHeight="false" outlineLevel="0" collapsed="false">
      <c r="A777" s="8" t="s">
        <v>5381</v>
      </c>
      <c r="B777" s="8" t="s">
        <v>3968</v>
      </c>
      <c r="C777" s="8" t="s">
        <v>51</v>
      </c>
      <c r="D777" s="32" t="n">
        <v>45967</v>
      </c>
      <c r="E777" s="8" t="n">
        <v>6</v>
      </c>
      <c r="F777" s="8" t="str">
        <f aca="false">IF(E777&gt;=9,"Promoter",IF(E777&gt;=7,"Passive","Detractor"))</f>
        <v>Detractor</v>
      </c>
    </row>
    <row r="778" customFormat="false" ht="15" hidden="false" customHeight="false" outlineLevel="0" collapsed="false">
      <c r="A778" s="8" t="s">
        <v>5382</v>
      </c>
      <c r="B778" s="8" t="s">
        <v>3004</v>
      </c>
      <c r="C778" s="8" t="s">
        <v>51</v>
      </c>
      <c r="D778" s="32" t="n">
        <v>45967</v>
      </c>
      <c r="E778" s="8" t="n">
        <v>6</v>
      </c>
      <c r="F778" s="8" t="str">
        <f aca="false">IF(E778&gt;=9,"Promoter",IF(E778&gt;=7,"Passive","Detractor"))</f>
        <v>Detractor</v>
      </c>
    </row>
    <row r="779" customFormat="false" ht="15" hidden="false" customHeight="false" outlineLevel="0" collapsed="false">
      <c r="A779" s="8" t="s">
        <v>5383</v>
      </c>
      <c r="B779" s="8" t="s">
        <v>735</v>
      </c>
      <c r="C779" s="8" t="s">
        <v>53</v>
      </c>
      <c r="D779" s="32" t="n">
        <v>45967</v>
      </c>
      <c r="E779" s="8" t="n">
        <v>8</v>
      </c>
      <c r="F779" s="8" t="str">
        <f aca="false">IF(E779&gt;=9,"Promoter",IF(E779&gt;=7,"Passive","Detractor"))</f>
        <v>Passive</v>
      </c>
    </row>
    <row r="780" customFormat="false" ht="15" hidden="false" customHeight="false" outlineLevel="0" collapsed="false">
      <c r="A780" s="8" t="s">
        <v>5384</v>
      </c>
      <c r="B780" s="8" t="s">
        <v>4458</v>
      </c>
      <c r="C780" s="8" t="s">
        <v>53</v>
      </c>
      <c r="D780" s="32" t="n">
        <v>45967</v>
      </c>
      <c r="E780" s="8" t="n">
        <v>8</v>
      </c>
      <c r="F780" s="8" t="str">
        <f aca="false">IF(E780&gt;=9,"Promoter",IF(E780&gt;=7,"Passive","Detractor"))</f>
        <v>Passive</v>
      </c>
    </row>
    <row r="781" customFormat="false" ht="15" hidden="false" customHeight="false" outlineLevel="0" collapsed="false">
      <c r="A781" s="8" t="s">
        <v>5385</v>
      </c>
      <c r="B781" s="8" t="s">
        <v>4254</v>
      </c>
      <c r="C781" s="8" t="s">
        <v>51</v>
      </c>
      <c r="D781" s="32" t="n">
        <v>45967</v>
      </c>
      <c r="E781" s="8" t="n">
        <v>7</v>
      </c>
      <c r="F781" s="8" t="str">
        <f aca="false">IF(E781&gt;=9,"Promoter",IF(E781&gt;=7,"Passive","Detractor"))</f>
        <v>Passive</v>
      </c>
    </row>
    <row r="782" customFormat="false" ht="15" hidden="false" customHeight="false" outlineLevel="0" collapsed="false">
      <c r="A782" s="8" t="s">
        <v>5386</v>
      </c>
      <c r="B782" s="8" t="s">
        <v>4336</v>
      </c>
      <c r="C782" s="8" t="s">
        <v>51</v>
      </c>
      <c r="D782" s="32" t="n">
        <v>45967</v>
      </c>
      <c r="E782" s="8" t="n">
        <v>10</v>
      </c>
      <c r="F782" s="8" t="str">
        <f aca="false">IF(E782&gt;=9,"Promoter",IF(E782&gt;=7,"Passive","Detractor"))</f>
        <v>Promoter</v>
      </c>
    </row>
    <row r="783" customFormat="false" ht="15" hidden="false" customHeight="false" outlineLevel="0" collapsed="false">
      <c r="A783" s="8" t="s">
        <v>5387</v>
      </c>
      <c r="B783" s="8" t="s">
        <v>3156</v>
      </c>
      <c r="C783" s="8" t="s">
        <v>51</v>
      </c>
      <c r="D783" s="32" t="n">
        <v>45968</v>
      </c>
      <c r="E783" s="8" t="n">
        <v>9</v>
      </c>
      <c r="F783" s="8" t="str">
        <f aca="false">IF(E783&gt;=9,"Promoter",IF(E783&gt;=7,"Passive","Detractor"))</f>
        <v>Promoter</v>
      </c>
    </row>
    <row r="784" customFormat="false" ht="15" hidden="false" customHeight="false" outlineLevel="0" collapsed="false">
      <c r="A784" s="8" t="s">
        <v>5388</v>
      </c>
      <c r="B784" s="8" t="s">
        <v>1765</v>
      </c>
      <c r="C784" s="8" t="s">
        <v>51</v>
      </c>
      <c r="D784" s="32" t="n">
        <v>45968</v>
      </c>
      <c r="E784" s="8" t="n">
        <v>10</v>
      </c>
      <c r="F784" s="8" t="str">
        <f aca="false">IF(E784&gt;=9,"Promoter",IF(E784&gt;=7,"Passive","Detractor"))</f>
        <v>Promoter</v>
      </c>
    </row>
    <row r="785" customFormat="false" ht="15" hidden="false" customHeight="false" outlineLevel="0" collapsed="false">
      <c r="A785" s="8" t="s">
        <v>5389</v>
      </c>
      <c r="B785" s="8" t="s">
        <v>701</v>
      </c>
      <c r="C785" s="8" t="s">
        <v>53</v>
      </c>
      <c r="D785" s="32" t="n">
        <v>45968</v>
      </c>
      <c r="E785" s="8" t="n">
        <v>9</v>
      </c>
      <c r="F785" s="8" t="str">
        <f aca="false">IF(E785&gt;=9,"Promoter",IF(E785&gt;=7,"Passive","Detractor"))</f>
        <v>Promoter</v>
      </c>
    </row>
    <row r="786" customFormat="false" ht="15" hidden="false" customHeight="false" outlineLevel="0" collapsed="false">
      <c r="A786" s="8" t="s">
        <v>5390</v>
      </c>
      <c r="B786" s="8" t="s">
        <v>3278</v>
      </c>
      <c r="C786" s="8" t="s">
        <v>51</v>
      </c>
      <c r="D786" s="32" t="n">
        <v>45968</v>
      </c>
      <c r="E786" s="8" t="n">
        <v>10</v>
      </c>
      <c r="F786" s="8" t="str">
        <f aca="false">IF(E786&gt;=9,"Promoter",IF(E786&gt;=7,"Passive","Detractor"))</f>
        <v>Promoter</v>
      </c>
    </row>
    <row r="787" customFormat="false" ht="15" hidden="false" customHeight="false" outlineLevel="0" collapsed="false">
      <c r="A787" s="8" t="s">
        <v>5391</v>
      </c>
      <c r="B787" s="8" t="s">
        <v>3484</v>
      </c>
      <c r="C787" s="8" t="s">
        <v>51</v>
      </c>
      <c r="D787" s="32" t="n">
        <v>45968</v>
      </c>
      <c r="E787" s="8" t="n">
        <v>9</v>
      </c>
      <c r="F787" s="8" t="str">
        <f aca="false">IF(E787&gt;=9,"Promoter",IF(E787&gt;=7,"Passive","Detractor"))</f>
        <v>Promoter</v>
      </c>
    </row>
    <row r="788" customFormat="false" ht="15" hidden="false" customHeight="false" outlineLevel="0" collapsed="false">
      <c r="A788" s="8" t="s">
        <v>5392</v>
      </c>
      <c r="B788" s="8" t="s">
        <v>2322</v>
      </c>
      <c r="C788" s="8" t="s">
        <v>51</v>
      </c>
      <c r="D788" s="32" t="n">
        <v>45968</v>
      </c>
      <c r="E788" s="8" t="n">
        <v>10</v>
      </c>
      <c r="F788" s="8" t="str">
        <f aca="false">IF(E788&gt;=9,"Promoter",IF(E788&gt;=7,"Passive","Detractor"))</f>
        <v>Promoter</v>
      </c>
    </row>
    <row r="789" customFormat="false" ht="15" hidden="false" customHeight="false" outlineLevel="0" collapsed="false">
      <c r="A789" s="8" t="s">
        <v>5393</v>
      </c>
      <c r="B789" s="8" t="s">
        <v>2620</v>
      </c>
      <c r="C789" s="8" t="s">
        <v>51</v>
      </c>
      <c r="D789" s="32" t="n">
        <v>45968</v>
      </c>
      <c r="E789" s="8" t="n">
        <v>10</v>
      </c>
      <c r="F789" s="8" t="str">
        <f aca="false">IF(E789&gt;=9,"Promoter",IF(E789&gt;=7,"Passive","Detractor"))</f>
        <v>Promoter</v>
      </c>
    </row>
    <row r="790" customFormat="false" ht="15" hidden="false" customHeight="false" outlineLevel="0" collapsed="false">
      <c r="A790" s="8" t="s">
        <v>5394</v>
      </c>
      <c r="B790" s="8" t="s">
        <v>429</v>
      </c>
      <c r="C790" s="8" t="s">
        <v>55</v>
      </c>
      <c r="D790" s="32" t="n">
        <v>45969</v>
      </c>
      <c r="E790" s="8" t="n">
        <v>10</v>
      </c>
      <c r="F790" s="8" t="str">
        <f aca="false">IF(E790&gt;=9,"Promoter",IF(E790&gt;=7,"Passive","Detractor"))</f>
        <v>Promoter</v>
      </c>
    </row>
    <row r="791" customFormat="false" ht="15" hidden="false" customHeight="false" outlineLevel="0" collapsed="false">
      <c r="A791" s="8" t="s">
        <v>5395</v>
      </c>
      <c r="B791" s="8" t="s">
        <v>2982</v>
      </c>
      <c r="C791" s="8" t="s">
        <v>51</v>
      </c>
      <c r="D791" s="32" t="n">
        <v>45969</v>
      </c>
      <c r="E791" s="8" t="n">
        <v>10</v>
      </c>
      <c r="F791" s="8" t="str">
        <f aca="false">IF(E791&gt;=9,"Promoter",IF(E791&gt;=7,"Passive","Detractor"))</f>
        <v>Promoter</v>
      </c>
    </row>
    <row r="792" customFormat="false" ht="15" hidden="false" customHeight="false" outlineLevel="0" collapsed="false">
      <c r="A792" s="8" t="s">
        <v>5396</v>
      </c>
      <c r="B792" s="8" t="s">
        <v>2156</v>
      </c>
      <c r="C792" s="8" t="s">
        <v>51</v>
      </c>
      <c r="D792" s="32" t="n">
        <v>45969</v>
      </c>
      <c r="E792" s="8" t="n">
        <v>4</v>
      </c>
      <c r="F792" s="8" t="str">
        <f aca="false">IF(E792&gt;=9,"Promoter",IF(E792&gt;=7,"Passive","Detractor"))</f>
        <v>Detractor</v>
      </c>
    </row>
    <row r="793" customFormat="false" ht="15" hidden="false" customHeight="false" outlineLevel="0" collapsed="false">
      <c r="A793" s="8" t="s">
        <v>5397</v>
      </c>
      <c r="B793" s="8" t="s">
        <v>2124</v>
      </c>
      <c r="C793" s="8" t="s">
        <v>51</v>
      </c>
      <c r="D793" s="32" t="n">
        <v>45969</v>
      </c>
      <c r="E793" s="8" t="n">
        <v>4</v>
      </c>
      <c r="F793" s="8" t="str">
        <f aca="false">IF(E793&gt;=9,"Promoter",IF(E793&gt;=7,"Passive","Detractor"))</f>
        <v>Detractor</v>
      </c>
    </row>
    <row r="794" customFormat="false" ht="15" hidden="false" customHeight="false" outlineLevel="0" collapsed="false">
      <c r="A794" s="8" t="s">
        <v>5398</v>
      </c>
      <c r="B794" s="8" t="s">
        <v>3354</v>
      </c>
      <c r="C794" s="8" t="s">
        <v>51</v>
      </c>
      <c r="D794" s="32" t="n">
        <v>45969</v>
      </c>
      <c r="E794" s="8" t="n">
        <v>8</v>
      </c>
      <c r="F794" s="8" t="str">
        <f aca="false">IF(E794&gt;=9,"Promoter",IF(E794&gt;=7,"Passive","Detractor"))</f>
        <v>Passive</v>
      </c>
    </row>
    <row r="795" customFormat="false" ht="15" hidden="false" customHeight="false" outlineLevel="0" collapsed="false">
      <c r="A795" s="8" t="s">
        <v>5399</v>
      </c>
      <c r="B795" s="8" t="s">
        <v>2048</v>
      </c>
      <c r="C795" s="8" t="s">
        <v>51</v>
      </c>
      <c r="D795" s="32" t="n">
        <v>45969</v>
      </c>
      <c r="E795" s="8" t="n">
        <v>9</v>
      </c>
      <c r="F795" s="8" t="str">
        <f aca="false">IF(E795&gt;=9,"Promoter",IF(E795&gt;=7,"Passive","Detractor"))</f>
        <v>Promoter</v>
      </c>
    </row>
    <row r="796" customFormat="false" ht="15" hidden="false" customHeight="false" outlineLevel="0" collapsed="false">
      <c r="A796" s="8" t="s">
        <v>5400</v>
      </c>
      <c r="B796" s="8" t="s">
        <v>893</v>
      </c>
      <c r="C796" s="8" t="s">
        <v>53</v>
      </c>
      <c r="D796" s="32" t="n">
        <v>45969</v>
      </c>
      <c r="E796" s="8" t="n">
        <v>10</v>
      </c>
      <c r="F796" s="8" t="str">
        <f aca="false">IF(E796&gt;=9,"Promoter",IF(E796&gt;=7,"Passive","Detractor"))</f>
        <v>Promoter</v>
      </c>
    </row>
    <row r="797" customFormat="false" ht="15" hidden="false" customHeight="false" outlineLevel="0" collapsed="false">
      <c r="A797" s="8" t="s">
        <v>5401</v>
      </c>
      <c r="B797" s="8" t="s">
        <v>2608</v>
      </c>
      <c r="C797" s="8" t="s">
        <v>51</v>
      </c>
      <c r="D797" s="32" t="n">
        <v>45969</v>
      </c>
      <c r="E797" s="8" t="n">
        <v>9</v>
      </c>
      <c r="F797" s="8" t="str">
        <f aca="false">IF(E797&gt;=9,"Promoter",IF(E797&gt;=7,"Passive","Detractor"))</f>
        <v>Promoter</v>
      </c>
    </row>
    <row r="798" customFormat="false" ht="15" hidden="false" customHeight="false" outlineLevel="0" collapsed="false">
      <c r="A798" s="8" t="s">
        <v>5402</v>
      </c>
      <c r="B798" s="8" t="s">
        <v>1621</v>
      </c>
      <c r="C798" s="8" t="s">
        <v>53</v>
      </c>
      <c r="D798" s="32" t="n">
        <v>45969</v>
      </c>
      <c r="E798" s="8" t="n">
        <v>7</v>
      </c>
      <c r="F798" s="8" t="str">
        <f aca="false">IF(E798&gt;=9,"Promoter",IF(E798&gt;=7,"Passive","Detractor"))</f>
        <v>Passive</v>
      </c>
    </row>
    <row r="799" customFormat="false" ht="15" hidden="false" customHeight="false" outlineLevel="0" collapsed="false">
      <c r="A799" s="8" t="s">
        <v>5403</v>
      </c>
      <c r="B799" s="8" t="s">
        <v>3430</v>
      </c>
      <c r="C799" s="8" t="s">
        <v>51</v>
      </c>
      <c r="D799" s="32" t="n">
        <v>45969</v>
      </c>
      <c r="E799" s="8" t="n">
        <v>10</v>
      </c>
      <c r="F799" s="8" t="str">
        <f aca="false">IF(E799&gt;=9,"Promoter",IF(E799&gt;=7,"Passive","Detractor"))</f>
        <v>Promoter</v>
      </c>
    </row>
    <row r="800" customFormat="false" ht="15" hidden="false" customHeight="false" outlineLevel="0" collapsed="false">
      <c r="A800" s="8" t="s">
        <v>5404</v>
      </c>
      <c r="B800" s="8" t="s">
        <v>2116</v>
      </c>
      <c r="C800" s="8" t="s">
        <v>51</v>
      </c>
      <c r="D800" s="32" t="n">
        <v>45969</v>
      </c>
      <c r="E800" s="8" t="n">
        <v>8</v>
      </c>
      <c r="F800" s="8" t="str">
        <f aca="false">IF(E800&gt;=9,"Promoter",IF(E800&gt;=7,"Passive","Detractor"))</f>
        <v>Passive</v>
      </c>
    </row>
    <row r="801" customFormat="false" ht="15" hidden="false" customHeight="false" outlineLevel="0" collapsed="false">
      <c r="A801" s="8" t="s">
        <v>5405</v>
      </c>
      <c r="B801" s="8" t="s">
        <v>3012</v>
      </c>
      <c r="C801" s="8" t="s">
        <v>51</v>
      </c>
      <c r="D801" s="32" t="n">
        <v>45969</v>
      </c>
      <c r="E801" s="8" t="n">
        <v>7</v>
      </c>
      <c r="F801" s="8" t="str">
        <f aca="false">IF(E801&gt;=9,"Promoter",IF(E801&gt;=7,"Passive","Detractor"))</f>
        <v>Passive</v>
      </c>
    </row>
    <row r="802" customFormat="false" ht="15" hidden="false" customHeight="false" outlineLevel="0" collapsed="false">
      <c r="A802" s="8" t="s">
        <v>5406</v>
      </c>
      <c r="B802" s="8" t="s">
        <v>2136</v>
      </c>
      <c r="C802" s="8" t="s">
        <v>51</v>
      </c>
      <c r="D802" s="32" t="n">
        <v>45969</v>
      </c>
      <c r="E802" s="8" t="n">
        <v>9</v>
      </c>
      <c r="F802" s="8" t="str">
        <f aca="false">IF(E802&gt;=9,"Promoter",IF(E802&gt;=7,"Passive","Detractor"))</f>
        <v>Promoter</v>
      </c>
    </row>
    <row r="803" customFormat="false" ht="15" hidden="false" customHeight="false" outlineLevel="0" collapsed="false">
      <c r="A803" s="8" t="s">
        <v>5407</v>
      </c>
      <c r="B803" s="8" t="s">
        <v>587</v>
      </c>
      <c r="C803" s="8" t="s">
        <v>55</v>
      </c>
      <c r="D803" s="32" t="n">
        <v>45969</v>
      </c>
      <c r="E803" s="8" t="n">
        <v>8</v>
      </c>
      <c r="F803" s="8" t="str">
        <f aca="false">IF(E803&gt;=9,"Promoter",IF(E803&gt;=7,"Passive","Detractor"))</f>
        <v>Passive</v>
      </c>
    </row>
    <row r="804" customFormat="false" ht="15" hidden="false" customHeight="false" outlineLevel="0" collapsed="false">
      <c r="A804" s="8" t="s">
        <v>5408</v>
      </c>
      <c r="B804" s="8" t="s">
        <v>232</v>
      </c>
      <c r="C804" s="8" t="s">
        <v>55</v>
      </c>
      <c r="D804" s="32" t="n">
        <v>45970</v>
      </c>
      <c r="E804" s="8" t="n">
        <v>10</v>
      </c>
      <c r="F804" s="8" t="str">
        <f aca="false">IF(E804&gt;=9,"Promoter",IF(E804&gt;=7,"Passive","Detractor"))</f>
        <v>Promoter</v>
      </c>
    </row>
    <row r="805" customFormat="false" ht="15" hidden="false" customHeight="false" outlineLevel="0" collapsed="false">
      <c r="A805" s="8" t="s">
        <v>5409</v>
      </c>
      <c r="B805" s="8" t="s">
        <v>2374</v>
      </c>
      <c r="C805" s="8" t="s">
        <v>51</v>
      </c>
      <c r="D805" s="32" t="n">
        <v>45970</v>
      </c>
      <c r="E805" s="8" t="n">
        <v>7</v>
      </c>
      <c r="F805" s="8" t="str">
        <f aca="false">IF(E805&gt;=9,"Promoter",IF(E805&gt;=7,"Passive","Detractor"))</f>
        <v>Passive</v>
      </c>
    </row>
    <row r="806" customFormat="false" ht="15" hidden="false" customHeight="false" outlineLevel="0" collapsed="false">
      <c r="A806" s="8" t="s">
        <v>5410</v>
      </c>
      <c r="B806" s="8" t="s">
        <v>4222</v>
      </c>
      <c r="C806" s="8" t="s">
        <v>51</v>
      </c>
      <c r="D806" s="32" t="n">
        <v>45970</v>
      </c>
      <c r="E806" s="8" t="n">
        <v>10</v>
      </c>
      <c r="F806" s="8" t="str">
        <f aca="false">IF(E806&gt;=9,"Promoter",IF(E806&gt;=7,"Passive","Detractor"))</f>
        <v>Promoter</v>
      </c>
    </row>
    <row r="807" customFormat="false" ht="15" hidden="false" customHeight="false" outlineLevel="0" collapsed="false">
      <c r="A807" s="8" t="s">
        <v>5411</v>
      </c>
      <c r="B807" s="8" t="s">
        <v>4560</v>
      </c>
      <c r="C807" s="8" t="s">
        <v>51</v>
      </c>
      <c r="D807" s="32" t="n">
        <v>45970</v>
      </c>
      <c r="E807" s="8" t="n">
        <v>8</v>
      </c>
      <c r="F807" s="8" t="str">
        <f aca="false">IF(E807&gt;=9,"Promoter",IF(E807&gt;=7,"Passive","Detractor"))</f>
        <v>Passive</v>
      </c>
    </row>
    <row r="808" customFormat="false" ht="15" hidden="false" customHeight="false" outlineLevel="0" collapsed="false">
      <c r="A808" s="8" t="s">
        <v>5412</v>
      </c>
      <c r="B808" s="8" t="s">
        <v>4272</v>
      </c>
      <c r="C808" s="8" t="s">
        <v>51</v>
      </c>
      <c r="D808" s="32" t="n">
        <v>45970</v>
      </c>
      <c r="E808" s="8" t="n">
        <v>8</v>
      </c>
      <c r="F808" s="8" t="str">
        <f aca="false">IF(E808&gt;=9,"Promoter",IF(E808&gt;=7,"Passive","Detractor"))</f>
        <v>Passive</v>
      </c>
    </row>
    <row r="809" customFormat="false" ht="15" hidden="false" customHeight="false" outlineLevel="0" collapsed="false">
      <c r="A809" s="8" t="s">
        <v>5413</v>
      </c>
      <c r="B809" s="8" t="s">
        <v>4242</v>
      </c>
      <c r="C809" s="8" t="s">
        <v>51</v>
      </c>
      <c r="D809" s="32" t="n">
        <v>45970</v>
      </c>
      <c r="E809" s="8" t="n">
        <v>5</v>
      </c>
      <c r="F809" s="8" t="str">
        <f aca="false">IF(E809&gt;=9,"Promoter",IF(E809&gt;=7,"Passive","Detractor"))</f>
        <v>Detractor</v>
      </c>
    </row>
    <row r="810" customFormat="false" ht="15" hidden="false" customHeight="false" outlineLevel="0" collapsed="false">
      <c r="A810" s="8" t="s">
        <v>5414</v>
      </c>
      <c r="B810" s="8" t="s">
        <v>2522</v>
      </c>
      <c r="C810" s="8" t="s">
        <v>51</v>
      </c>
      <c r="D810" s="32" t="n">
        <v>45970</v>
      </c>
      <c r="E810" s="8" t="n">
        <v>10</v>
      </c>
      <c r="F810" s="8" t="str">
        <f aca="false">IF(E810&gt;=9,"Promoter",IF(E810&gt;=7,"Passive","Detractor"))</f>
        <v>Promoter</v>
      </c>
    </row>
    <row r="811" customFormat="false" ht="15" hidden="false" customHeight="false" outlineLevel="0" collapsed="false">
      <c r="A811" s="8" t="s">
        <v>5415</v>
      </c>
      <c r="B811" s="8" t="s">
        <v>1625</v>
      </c>
      <c r="C811" s="8" t="s">
        <v>53</v>
      </c>
      <c r="D811" s="32" t="n">
        <v>45970</v>
      </c>
      <c r="E811" s="8" t="n">
        <v>10</v>
      </c>
      <c r="F811" s="8" t="str">
        <f aca="false">IF(E811&gt;=9,"Promoter",IF(E811&gt;=7,"Passive","Detractor"))</f>
        <v>Promoter</v>
      </c>
    </row>
    <row r="812" customFormat="false" ht="15" hidden="false" customHeight="false" outlineLevel="0" collapsed="false">
      <c r="A812" s="8" t="s">
        <v>5416</v>
      </c>
      <c r="B812" s="8" t="s">
        <v>411</v>
      </c>
      <c r="C812" s="8" t="s">
        <v>55</v>
      </c>
      <c r="D812" s="32" t="n">
        <v>45970</v>
      </c>
      <c r="E812" s="8" t="n">
        <v>5</v>
      </c>
      <c r="F812" s="8" t="str">
        <f aca="false">IF(E812&gt;=9,"Promoter",IF(E812&gt;=7,"Passive","Detractor"))</f>
        <v>Detractor</v>
      </c>
    </row>
    <row r="813" customFormat="false" ht="15" hidden="false" customHeight="false" outlineLevel="0" collapsed="false">
      <c r="A813" s="8" t="s">
        <v>5417</v>
      </c>
      <c r="B813" s="8" t="s">
        <v>1325</v>
      </c>
      <c r="C813" s="8" t="s">
        <v>53</v>
      </c>
      <c r="D813" s="32" t="n">
        <v>45970</v>
      </c>
      <c r="E813" s="8" t="n">
        <v>7</v>
      </c>
      <c r="F813" s="8" t="str">
        <f aca="false">IF(E813&gt;=9,"Promoter",IF(E813&gt;=7,"Passive","Detractor"))</f>
        <v>Passive</v>
      </c>
    </row>
    <row r="814" customFormat="false" ht="15" hidden="false" customHeight="false" outlineLevel="0" collapsed="false">
      <c r="A814" s="8" t="s">
        <v>5418</v>
      </c>
      <c r="B814" s="8" t="s">
        <v>4569</v>
      </c>
      <c r="C814" s="8" t="s">
        <v>51</v>
      </c>
      <c r="D814" s="32" t="n">
        <v>45971</v>
      </c>
      <c r="E814" s="8" t="n">
        <v>4</v>
      </c>
      <c r="F814" s="8" t="str">
        <f aca="false">IF(E814&gt;=9,"Promoter",IF(E814&gt;=7,"Passive","Detractor"))</f>
        <v>Detractor</v>
      </c>
    </row>
    <row r="815" customFormat="false" ht="15" hidden="false" customHeight="false" outlineLevel="0" collapsed="false">
      <c r="A815" s="8" t="s">
        <v>5419</v>
      </c>
      <c r="B815" s="8" t="s">
        <v>4274</v>
      </c>
      <c r="C815" s="8" t="s">
        <v>51</v>
      </c>
      <c r="D815" s="32" t="n">
        <v>45971</v>
      </c>
      <c r="E815" s="8" t="n">
        <v>10</v>
      </c>
      <c r="F815" s="8" t="str">
        <f aca="false">IF(E815&gt;=9,"Promoter",IF(E815&gt;=7,"Passive","Detractor"))</f>
        <v>Promoter</v>
      </c>
    </row>
    <row r="816" customFormat="false" ht="15" hidden="false" customHeight="false" outlineLevel="0" collapsed="false">
      <c r="A816" s="8" t="s">
        <v>5420</v>
      </c>
      <c r="B816" s="8" t="s">
        <v>2664</v>
      </c>
      <c r="C816" s="8" t="s">
        <v>51</v>
      </c>
      <c r="D816" s="32" t="n">
        <v>45972</v>
      </c>
      <c r="E816" s="8" t="n">
        <v>9</v>
      </c>
      <c r="F816" s="8" t="str">
        <f aca="false">IF(E816&gt;=9,"Promoter",IF(E816&gt;=7,"Passive","Detractor"))</f>
        <v>Promoter</v>
      </c>
    </row>
    <row r="817" customFormat="false" ht="15" hidden="false" customHeight="false" outlineLevel="0" collapsed="false">
      <c r="A817" s="8" t="s">
        <v>5421</v>
      </c>
      <c r="B817" s="8" t="s">
        <v>3042</v>
      </c>
      <c r="C817" s="8" t="s">
        <v>51</v>
      </c>
      <c r="D817" s="32" t="n">
        <v>45972</v>
      </c>
      <c r="E817" s="8" t="n">
        <v>6</v>
      </c>
      <c r="F817" s="8" t="str">
        <f aca="false">IF(E817&gt;=9,"Promoter",IF(E817&gt;=7,"Passive","Detractor"))</f>
        <v>Detractor</v>
      </c>
    </row>
    <row r="818" customFormat="false" ht="15" hidden="false" customHeight="false" outlineLevel="0" collapsed="false">
      <c r="A818" s="8" t="s">
        <v>5422</v>
      </c>
      <c r="B818" s="8" t="s">
        <v>1899</v>
      </c>
      <c r="C818" s="8" t="s">
        <v>51</v>
      </c>
      <c r="D818" s="32" t="n">
        <v>45972</v>
      </c>
      <c r="E818" s="8" t="n">
        <v>9</v>
      </c>
      <c r="F818" s="8" t="str">
        <f aca="false">IF(E818&gt;=9,"Promoter",IF(E818&gt;=7,"Passive","Detractor"))</f>
        <v>Promoter</v>
      </c>
    </row>
    <row r="819" customFormat="false" ht="15" hidden="false" customHeight="false" outlineLevel="0" collapsed="false">
      <c r="A819" s="8" t="s">
        <v>5423</v>
      </c>
      <c r="B819" s="8" t="s">
        <v>3658</v>
      </c>
      <c r="C819" s="8" t="s">
        <v>51</v>
      </c>
      <c r="D819" s="32" t="n">
        <v>45972</v>
      </c>
      <c r="E819" s="8" t="n">
        <v>10</v>
      </c>
      <c r="F819" s="8" t="str">
        <f aca="false">IF(E819&gt;=9,"Promoter",IF(E819&gt;=7,"Passive","Detractor"))</f>
        <v>Promoter</v>
      </c>
    </row>
    <row r="820" customFormat="false" ht="15" hidden="false" customHeight="false" outlineLevel="0" collapsed="false">
      <c r="A820" s="8" t="s">
        <v>5424</v>
      </c>
      <c r="B820" s="8" t="s">
        <v>1471</v>
      </c>
      <c r="C820" s="8" t="s">
        <v>53</v>
      </c>
      <c r="D820" s="32" t="n">
        <v>45972</v>
      </c>
      <c r="E820" s="8" t="n">
        <v>9</v>
      </c>
      <c r="F820" s="8" t="str">
        <f aca="false">IF(E820&gt;=9,"Promoter",IF(E820&gt;=7,"Passive","Detractor"))</f>
        <v>Promoter</v>
      </c>
    </row>
    <row r="821" customFormat="false" ht="15" hidden="false" customHeight="false" outlineLevel="0" collapsed="false">
      <c r="A821" s="8" t="s">
        <v>5425</v>
      </c>
      <c r="B821" s="8" t="s">
        <v>1955</v>
      </c>
      <c r="C821" s="8" t="s">
        <v>53</v>
      </c>
      <c r="D821" s="32" t="n">
        <v>45972</v>
      </c>
      <c r="E821" s="8" t="n">
        <v>10</v>
      </c>
      <c r="F821" s="8" t="str">
        <f aca="false">IF(E821&gt;=9,"Promoter",IF(E821&gt;=7,"Passive","Detractor"))</f>
        <v>Promoter</v>
      </c>
    </row>
    <row r="822" customFormat="false" ht="15" hidden="false" customHeight="false" outlineLevel="0" collapsed="false">
      <c r="A822" s="8" t="s">
        <v>5426</v>
      </c>
      <c r="B822" s="8" t="s">
        <v>3682</v>
      </c>
      <c r="C822" s="8" t="s">
        <v>51</v>
      </c>
      <c r="D822" s="32" t="n">
        <v>45972</v>
      </c>
      <c r="E822" s="8" t="n">
        <v>9</v>
      </c>
      <c r="F822" s="8" t="str">
        <f aca="false">IF(E822&gt;=9,"Promoter",IF(E822&gt;=7,"Passive","Detractor"))</f>
        <v>Promoter</v>
      </c>
    </row>
    <row r="823" customFormat="false" ht="15" hidden="false" customHeight="false" outlineLevel="0" collapsed="false">
      <c r="A823" s="8" t="s">
        <v>5427</v>
      </c>
      <c r="B823" s="8" t="s">
        <v>2652</v>
      </c>
      <c r="C823" s="8" t="s">
        <v>51</v>
      </c>
      <c r="D823" s="32" t="n">
        <v>45972</v>
      </c>
      <c r="E823" s="8" t="n">
        <v>7</v>
      </c>
      <c r="F823" s="8" t="str">
        <f aca="false">IF(E823&gt;=9,"Promoter",IF(E823&gt;=7,"Passive","Detractor"))</f>
        <v>Passive</v>
      </c>
    </row>
    <row r="824" customFormat="false" ht="15" hidden="false" customHeight="false" outlineLevel="0" collapsed="false">
      <c r="A824" s="8" t="s">
        <v>5428</v>
      </c>
      <c r="B824" s="8" t="s">
        <v>1589</v>
      </c>
      <c r="C824" s="8" t="s">
        <v>53</v>
      </c>
      <c r="D824" s="32" t="n">
        <v>45972</v>
      </c>
      <c r="E824" s="8" t="n">
        <v>5</v>
      </c>
      <c r="F824" s="8" t="str">
        <f aca="false">IF(E824&gt;=9,"Promoter",IF(E824&gt;=7,"Passive","Detractor"))</f>
        <v>Detractor</v>
      </c>
    </row>
    <row r="825" customFormat="false" ht="15" hidden="false" customHeight="false" outlineLevel="0" collapsed="false">
      <c r="A825" s="8" t="s">
        <v>5429</v>
      </c>
      <c r="B825" s="8" t="s">
        <v>1351</v>
      </c>
      <c r="C825" s="8" t="s">
        <v>53</v>
      </c>
      <c r="D825" s="32" t="n">
        <v>45972</v>
      </c>
      <c r="E825" s="8" t="n">
        <v>10</v>
      </c>
      <c r="F825" s="8" t="str">
        <f aca="false">IF(E825&gt;=9,"Promoter",IF(E825&gt;=7,"Passive","Detractor"))</f>
        <v>Promoter</v>
      </c>
    </row>
    <row r="826" customFormat="false" ht="15" hidden="false" customHeight="false" outlineLevel="0" collapsed="false">
      <c r="A826" s="8" t="s">
        <v>5430</v>
      </c>
      <c r="B826" s="8" t="s">
        <v>2916</v>
      </c>
      <c r="C826" s="8" t="s">
        <v>51</v>
      </c>
      <c r="D826" s="32" t="n">
        <v>45972</v>
      </c>
      <c r="E826" s="8" t="n">
        <v>10</v>
      </c>
      <c r="F826" s="8" t="str">
        <f aca="false">IF(E826&gt;=9,"Promoter",IF(E826&gt;=7,"Passive","Detractor"))</f>
        <v>Promoter</v>
      </c>
    </row>
    <row r="827" customFormat="false" ht="15" hidden="false" customHeight="false" outlineLevel="0" collapsed="false">
      <c r="A827" s="8" t="s">
        <v>5431</v>
      </c>
      <c r="B827" s="8" t="s">
        <v>1865</v>
      </c>
      <c r="C827" s="8" t="s">
        <v>51</v>
      </c>
      <c r="D827" s="32" t="n">
        <v>45972</v>
      </c>
      <c r="E827" s="8" t="n">
        <v>10</v>
      </c>
      <c r="F827" s="8" t="str">
        <f aca="false">IF(E827&gt;=9,"Promoter",IF(E827&gt;=7,"Passive","Detractor"))</f>
        <v>Promoter</v>
      </c>
    </row>
    <row r="828" customFormat="false" ht="15" hidden="false" customHeight="false" outlineLevel="0" collapsed="false">
      <c r="A828" s="8" t="s">
        <v>5432</v>
      </c>
      <c r="B828" s="8" t="s">
        <v>3904</v>
      </c>
      <c r="C828" s="8" t="s">
        <v>51</v>
      </c>
      <c r="D828" s="32" t="n">
        <v>45973</v>
      </c>
      <c r="E828" s="8" t="n">
        <v>7</v>
      </c>
      <c r="F828" s="8" t="str">
        <f aca="false">IF(E828&gt;=9,"Promoter",IF(E828&gt;=7,"Passive","Detractor"))</f>
        <v>Passive</v>
      </c>
    </row>
    <row r="829" customFormat="false" ht="15" hidden="false" customHeight="false" outlineLevel="0" collapsed="false">
      <c r="A829" s="8" t="s">
        <v>5433</v>
      </c>
      <c r="B829" s="8" t="s">
        <v>2926</v>
      </c>
      <c r="C829" s="8" t="s">
        <v>51</v>
      </c>
      <c r="D829" s="32" t="n">
        <v>45973</v>
      </c>
      <c r="E829" s="8" t="n">
        <v>6</v>
      </c>
      <c r="F829" s="8" t="str">
        <f aca="false">IF(E829&gt;=9,"Promoter",IF(E829&gt;=7,"Passive","Detractor"))</f>
        <v>Detractor</v>
      </c>
    </row>
    <row r="830" customFormat="false" ht="15" hidden="false" customHeight="false" outlineLevel="0" collapsed="false">
      <c r="A830" s="8" t="s">
        <v>5434</v>
      </c>
      <c r="B830" s="8" t="s">
        <v>3604</v>
      </c>
      <c r="C830" s="8" t="s">
        <v>51</v>
      </c>
      <c r="D830" s="32" t="n">
        <v>45973</v>
      </c>
      <c r="E830" s="8" t="n">
        <v>8</v>
      </c>
      <c r="F830" s="8" t="str">
        <f aca="false">IF(E830&gt;=9,"Promoter",IF(E830&gt;=7,"Passive","Detractor"))</f>
        <v>Passive</v>
      </c>
    </row>
    <row r="831" customFormat="false" ht="15" hidden="false" customHeight="false" outlineLevel="0" collapsed="false">
      <c r="A831" s="8" t="s">
        <v>5435</v>
      </c>
      <c r="B831" s="8" t="s">
        <v>2848</v>
      </c>
      <c r="C831" s="8" t="s">
        <v>51</v>
      </c>
      <c r="D831" s="32" t="n">
        <v>45973</v>
      </c>
      <c r="E831" s="8" t="n">
        <v>8</v>
      </c>
      <c r="F831" s="8" t="str">
        <f aca="false">IF(E831&gt;=9,"Promoter",IF(E831&gt;=7,"Passive","Detractor"))</f>
        <v>Passive</v>
      </c>
    </row>
    <row r="832" customFormat="false" ht="15" hidden="false" customHeight="false" outlineLevel="0" collapsed="false">
      <c r="A832" s="8" t="s">
        <v>5436</v>
      </c>
      <c r="B832" s="8" t="s">
        <v>3664</v>
      </c>
      <c r="C832" s="8" t="s">
        <v>51</v>
      </c>
      <c r="D832" s="32" t="n">
        <v>45973</v>
      </c>
      <c r="E832" s="8" t="n">
        <v>10</v>
      </c>
      <c r="F832" s="8" t="str">
        <f aca="false">IF(E832&gt;=9,"Promoter",IF(E832&gt;=7,"Passive","Detractor"))</f>
        <v>Promoter</v>
      </c>
    </row>
    <row r="833" customFormat="false" ht="15" hidden="false" customHeight="false" outlineLevel="0" collapsed="false">
      <c r="A833" s="8" t="s">
        <v>5437</v>
      </c>
      <c r="B833" s="8" t="s">
        <v>403</v>
      </c>
      <c r="C833" s="8" t="s">
        <v>55</v>
      </c>
      <c r="D833" s="32" t="n">
        <v>45973</v>
      </c>
      <c r="E833" s="8" t="n">
        <v>10</v>
      </c>
      <c r="F833" s="8" t="str">
        <f aca="false">IF(E833&gt;=9,"Promoter",IF(E833&gt;=7,"Passive","Detractor"))</f>
        <v>Promoter</v>
      </c>
    </row>
    <row r="834" customFormat="false" ht="15" hidden="false" customHeight="false" outlineLevel="0" collapsed="false">
      <c r="A834" s="8" t="s">
        <v>5438</v>
      </c>
      <c r="B834" s="8" t="s">
        <v>4360</v>
      </c>
      <c r="C834" s="8" t="s">
        <v>51</v>
      </c>
      <c r="D834" s="32" t="n">
        <v>45973</v>
      </c>
      <c r="E834" s="8" t="n">
        <v>7</v>
      </c>
      <c r="F834" s="8" t="str">
        <f aca="false">IF(E834&gt;=9,"Promoter",IF(E834&gt;=7,"Passive","Detractor"))</f>
        <v>Passive</v>
      </c>
    </row>
    <row r="835" customFormat="false" ht="15" hidden="false" customHeight="false" outlineLevel="0" collapsed="false">
      <c r="A835" s="8" t="s">
        <v>5439</v>
      </c>
      <c r="B835" s="8" t="s">
        <v>4362</v>
      </c>
      <c r="C835" s="8" t="s">
        <v>51</v>
      </c>
      <c r="D835" s="32" t="n">
        <v>45973</v>
      </c>
      <c r="E835" s="8" t="n">
        <v>10</v>
      </c>
      <c r="F835" s="8" t="str">
        <f aca="false">IF(E835&gt;=9,"Promoter",IF(E835&gt;=7,"Passive","Detractor"))</f>
        <v>Promoter</v>
      </c>
    </row>
    <row r="836" customFormat="false" ht="15" hidden="false" customHeight="false" outlineLevel="0" collapsed="false">
      <c r="A836" s="8" t="s">
        <v>5440</v>
      </c>
      <c r="B836" s="8" t="s">
        <v>3248</v>
      </c>
      <c r="C836" s="8" t="s">
        <v>51</v>
      </c>
      <c r="D836" s="32" t="n">
        <v>45973</v>
      </c>
      <c r="E836" s="8" t="n">
        <v>6</v>
      </c>
      <c r="F836" s="8" t="str">
        <f aca="false">IF(E836&gt;=9,"Promoter",IF(E836&gt;=7,"Passive","Detractor"))</f>
        <v>Detractor</v>
      </c>
    </row>
    <row r="837" customFormat="false" ht="15" hidden="false" customHeight="false" outlineLevel="0" collapsed="false">
      <c r="A837" s="8" t="s">
        <v>5441</v>
      </c>
      <c r="B837" s="8" t="s">
        <v>3908</v>
      </c>
      <c r="C837" s="8" t="s">
        <v>51</v>
      </c>
      <c r="D837" s="32" t="n">
        <v>45974</v>
      </c>
      <c r="E837" s="8" t="n">
        <v>10</v>
      </c>
      <c r="F837" s="8" t="str">
        <f aca="false">IF(E837&gt;=9,"Promoter",IF(E837&gt;=7,"Passive","Detractor"))</f>
        <v>Promoter</v>
      </c>
    </row>
    <row r="838" customFormat="false" ht="15" hidden="false" customHeight="false" outlineLevel="0" collapsed="false">
      <c r="A838" s="8" t="s">
        <v>5442</v>
      </c>
      <c r="B838" s="8" t="s">
        <v>3494</v>
      </c>
      <c r="C838" s="8" t="s">
        <v>51</v>
      </c>
      <c r="D838" s="32" t="n">
        <v>45974</v>
      </c>
      <c r="E838" s="8" t="n">
        <v>9</v>
      </c>
      <c r="F838" s="8" t="str">
        <f aca="false">IF(E838&gt;=9,"Promoter",IF(E838&gt;=7,"Passive","Detractor"))</f>
        <v>Promoter</v>
      </c>
    </row>
    <row r="839" customFormat="false" ht="15" hidden="false" customHeight="false" outlineLevel="0" collapsed="false">
      <c r="A839" s="8" t="s">
        <v>5443</v>
      </c>
      <c r="B839" s="8" t="s">
        <v>2258</v>
      </c>
      <c r="C839" s="8" t="s">
        <v>51</v>
      </c>
      <c r="D839" s="32" t="n">
        <v>45974</v>
      </c>
      <c r="E839" s="8" t="n">
        <v>7</v>
      </c>
      <c r="F839" s="8" t="str">
        <f aca="false">IF(E839&gt;=9,"Promoter",IF(E839&gt;=7,"Passive","Detractor"))</f>
        <v>Passive</v>
      </c>
    </row>
    <row r="840" customFormat="false" ht="15" hidden="false" customHeight="false" outlineLevel="0" collapsed="false">
      <c r="A840" s="8" t="s">
        <v>5444</v>
      </c>
      <c r="B840" s="8" t="s">
        <v>2604</v>
      </c>
      <c r="C840" s="8" t="s">
        <v>51</v>
      </c>
      <c r="D840" s="32" t="n">
        <v>45974</v>
      </c>
      <c r="E840" s="8" t="n">
        <v>9</v>
      </c>
      <c r="F840" s="8" t="str">
        <f aca="false">IF(E840&gt;=9,"Promoter",IF(E840&gt;=7,"Passive","Detractor"))</f>
        <v>Promoter</v>
      </c>
    </row>
    <row r="841" customFormat="false" ht="15" hidden="false" customHeight="false" outlineLevel="0" collapsed="false">
      <c r="A841" s="8" t="s">
        <v>5445</v>
      </c>
      <c r="B841" s="8" t="s">
        <v>3284</v>
      </c>
      <c r="C841" s="8" t="s">
        <v>51</v>
      </c>
      <c r="D841" s="32" t="n">
        <v>45974</v>
      </c>
      <c r="E841" s="8" t="n">
        <v>9</v>
      </c>
      <c r="F841" s="8" t="str">
        <f aca="false">IF(E841&gt;=9,"Promoter",IF(E841&gt;=7,"Passive","Detractor"))</f>
        <v>Promoter</v>
      </c>
    </row>
    <row r="842" customFormat="false" ht="15" hidden="false" customHeight="false" outlineLevel="0" collapsed="false">
      <c r="A842" s="8" t="s">
        <v>5446</v>
      </c>
      <c r="B842" s="8" t="s">
        <v>849</v>
      </c>
      <c r="C842" s="8" t="s">
        <v>53</v>
      </c>
      <c r="D842" s="32" t="n">
        <v>45974</v>
      </c>
      <c r="E842" s="8" t="n">
        <v>6</v>
      </c>
      <c r="F842" s="8" t="str">
        <f aca="false">IF(E842&gt;=9,"Promoter",IF(E842&gt;=7,"Passive","Detractor"))</f>
        <v>Detractor</v>
      </c>
    </row>
    <row r="843" customFormat="false" ht="15" hidden="false" customHeight="false" outlineLevel="0" collapsed="false">
      <c r="A843" s="8" t="s">
        <v>5447</v>
      </c>
      <c r="B843" s="8" t="s">
        <v>3512</v>
      </c>
      <c r="C843" s="8" t="s">
        <v>51</v>
      </c>
      <c r="D843" s="32" t="n">
        <v>45974</v>
      </c>
      <c r="E843" s="8" t="n">
        <v>10</v>
      </c>
      <c r="F843" s="8" t="str">
        <f aca="false">IF(E843&gt;=9,"Promoter",IF(E843&gt;=7,"Passive","Detractor"))</f>
        <v>Promoter</v>
      </c>
    </row>
    <row r="844" customFormat="false" ht="15" hidden="false" customHeight="false" outlineLevel="0" collapsed="false">
      <c r="A844" s="8" t="s">
        <v>5448</v>
      </c>
      <c r="B844" s="8" t="s">
        <v>4130</v>
      </c>
      <c r="C844" s="8" t="s">
        <v>51</v>
      </c>
      <c r="D844" s="32" t="n">
        <v>45974</v>
      </c>
      <c r="E844" s="8" t="n">
        <v>9</v>
      </c>
      <c r="F844" s="8" t="str">
        <f aca="false">IF(E844&gt;=9,"Promoter",IF(E844&gt;=7,"Passive","Detractor"))</f>
        <v>Promoter</v>
      </c>
    </row>
    <row r="845" customFormat="false" ht="15" hidden="false" customHeight="false" outlineLevel="0" collapsed="false">
      <c r="A845" s="8" t="s">
        <v>5449</v>
      </c>
      <c r="B845" s="8" t="s">
        <v>3296</v>
      </c>
      <c r="C845" s="8" t="s">
        <v>51</v>
      </c>
      <c r="D845" s="32" t="n">
        <v>45974</v>
      </c>
      <c r="E845" s="8" t="n">
        <v>10</v>
      </c>
      <c r="F845" s="8" t="str">
        <f aca="false">IF(E845&gt;=9,"Promoter",IF(E845&gt;=7,"Passive","Detractor"))</f>
        <v>Promoter</v>
      </c>
    </row>
    <row r="846" customFormat="false" ht="15" hidden="false" customHeight="false" outlineLevel="0" collapsed="false">
      <c r="A846" s="8" t="s">
        <v>5450</v>
      </c>
      <c r="B846" s="8" t="s">
        <v>1151</v>
      </c>
      <c r="C846" s="8" t="s">
        <v>53</v>
      </c>
      <c r="D846" s="32" t="n">
        <v>45974</v>
      </c>
      <c r="E846" s="8" t="n">
        <v>8</v>
      </c>
      <c r="F846" s="8" t="str">
        <f aca="false">IF(E846&gt;=9,"Promoter",IF(E846&gt;=7,"Passive","Detractor"))</f>
        <v>Passive</v>
      </c>
    </row>
    <row r="847" customFormat="false" ht="15" hidden="false" customHeight="false" outlineLevel="0" collapsed="false">
      <c r="A847" s="8" t="s">
        <v>5451</v>
      </c>
      <c r="B847" s="8" t="s">
        <v>1377</v>
      </c>
      <c r="C847" s="8" t="s">
        <v>53</v>
      </c>
      <c r="D847" s="32" t="n">
        <v>45975</v>
      </c>
      <c r="E847" s="8" t="n">
        <v>4</v>
      </c>
      <c r="F847" s="8" t="str">
        <f aca="false">IF(E847&gt;=9,"Promoter",IF(E847&gt;=7,"Passive","Detractor"))</f>
        <v>Detractor</v>
      </c>
    </row>
    <row r="848" customFormat="false" ht="15" hidden="false" customHeight="false" outlineLevel="0" collapsed="false">
      <c r="A848" s="8" t="s">
        <v>5452</v>
      </c>
      <c r="B848" s="8" t="s">
        <v>4558</v>
      </c>
      <c r="C848" s="8" t="s">
        <v>51</v>
      </c>
      <c r="D848" s="32" t="n">
        <v>45975</v>
      </c>
      <c r="E848" s="8" t="n">
        <v>10</v>
      </c>
      <c r="F848" s="8" t="str">
        <f aca="false">IF(E848&gt;=9,"Promoter",IF(E848&gt;=7,"Passive","Detractor"))</f>
        <v>Promoter</v>
      </c>
    </row>
    <row r="849" customFormat="false" ht="15" hidden="false" customHeight="false" outlineLevel="0" collapsed="false">
      <c r="A849" s="8" t="s">
        <v>5453</v>
      </c>
      <c r="B849" s="8" t="s">
        <v>4449</v>
      </c>
      <c r="C849" s="8" t="s">
        <v>53</v>
      </c>
      <c r="D849" s="32" t="n">
        <v>45975</v>
      </c>
      <c r="E849" s="8" t="n">
        <v>7</v>
      </c>
      <c r="F849" s="8" t="str">
        <f aca="false">IF(E849&gt;=9,"Promoter",IF(E849&gt;=7,"Passive","Detractor"))</f>
        <v>Passive</v>
      </c>
    </row>
    <row r="850" customFormat="false" ht="15" hidden="false" customHeight="false" outlineLevel="0" collapsed="false">
      <c r="A850" s="8" t="s">
        <v>5454</v>
      </c>
      <c r="B850" s="8" t="s">
        <v>1687</v>
      </c>
      <c r="C850" s="8" t="s">
        <v>51</v>
      </c>
      <c r="D850" s="32" t="n">
        <v>45975</v>
      </c>
      <c r="E850" s="8" t="n">
        <v>8</v>
      </c>
      <c r="F850" s="8" t="str">
        <f aca="false">IF(E850&gt;=9,"Promoter",IF(E850&gt;=7,"Passive","Detractor"))</f>
        <v>Passive</v>
      </c>
    </row>
    <row r="851" customFormat="false" ht="15" hidden="false" customHeight="false" outlineLevel="0" collapsed="false">
      <c r="A851" s="8" t="s">
        <v>5455</v>
      </c>
      <c r="B851" s="8" t="s">
        <v>645</v>
      </c>
      <c r="C851" s="8" t="s">
        <v>55</v>
      </c>
      <c r="D851" s="32" t="n">
        <v>45975</v>
      </c>
      <c r="E851" s="8" t="n">
        <v>8</v>
      </c>
      <c r="F851" s="8" t="str">
        <f aca="false">IF(E851&gt;=9,"Promoter",IF(E851&gt;=7,"Passive","Detractor"))</f>
        <v>Passive</v>
      </c>
    </row>
    <row r="852" customFormat="false" ht="15" hidden="false" customHeight="false" outlineLevel="0" collapsed="false">
      <c r="A852" s="8" t="s">
        <v>5456</v>
      </c>
      <c r="B852" s="8" t="s">
        <v>1367</v>
      </c>
      <c r="C852" s="8" t="s">
        <v>53</v>
      </c>
      <c r="D852" s="32" t="n">
        <v>45975</v>
      </c>
      <c r="E852" s="8" t="n">
        <v>9</v>
      </c>
      <c r="F852" s="8" t="str">
        <f aca="false">IF(E852&gt;=9,"Promoter",IF(E852&gt;=7,"Passive","Detractor"))</f>
        <v>Promoter</v>
      </c>
    </row>
    <row r="853" customFormat="false" ht="15" hidden="false" customHeight="false" outlineLevel="0" collapsed="false">
      <c r="A853" s="8" t="s">
        <v>5457</v>
      </c>
      <c r="B853" s="8" t="s">
        <v>2384</v>
      </c>
      <c r="C853" s="8" t="s">
        <v>51</v>
      </c>
      <c r="D853" s="32" t="n">
        <v>45975</v>
      </c>
      <c r="E853" s="8" t="n">
        <v>10</v>
      </c>
      <c r="F853" s="8" t="str">
        <f aca="false">IF(E853&gt;=9,"Promoter",IF(E853&gt;=7,"Passive","Detractor"))</f>
        <v>Promoter</v>
      </c>
    </row>
    <row r="854" customFormat="false" ht="15" hidden="false" customHeight="false" outlineLevel="0" collapsed="false">
      <c r="A854" s="8" t="s">
        <v>5458</v>
      </c>
      <c r="B854" s="8" t="s">
        <v>3002</v>
      </c>
      <c r="C854" s="8" t="s">
        <v>51</v>
      </c>
      <c r="D854" s="32" t="n">
        <v>45975</v>
      </c>
      <c r="E854" s="8" t="n">
        <v>10</v>
      </c>
      <c r="F854" s="8" t="str">
        <f aca="false">IF(E854&gt;=9,"Promoter",IF(E854&gt;=7,"Passive","Detractor"))</f>
        <v>Promoter</v>
      </c>
    </row>
    <row r="855" customFormat="false" ht="15" hidden="false" customHeight="false" outlineLevel="0" collapsed="false">
      <c r="A855" s="8" t="s">
        <v>5459</v>
      </c>
      <c r="B855" s="8" t="s">
        <v>987</v>
      </c>
      <c r="C855" s="8" t="s">
        <v>53</v>
      </c>
      <c r="D855" s="32" t="n">
        <v>45975</v>
      </c>
      <c r="E855" s="8" t="n">
        <v>7</v>
      </c>
      <c r="F855" s="8" t="str">
        <f aca="false">IF(E855&gt;=9,"Promoter",IF(E855&gt;=7,"Passive","Detractor"))</f>
        <v>Passive</v>
      </c>
    </row>
    <row r="856" customFormat="false" ht="15" hidden="false" customHeight="false" outlineLevel="0" collapsed="false">
      <c r="A856" s="8" t="s">
        <v>5460</v>
      </c>
      <c r="B856" s="8" t="s">
        <v>1425</v>
      </c>
      <c r="C856" s="8" t="s">
        <v>53</v>
      </c>
      <c r="D856" s="32" t="n">
        <v>45975</v>
      </c>
      <c r="E856" s="8" t="n">
        <v>5</v>
      </c>
      <c r="F856" s="8" t="str">
        <f aca="false">IF(E856&gt;=9,"Promoter",IF(E856&gt;=7,"Passive","Detractor"))</f>
        <v>Detractor</v>
      </c>
    </row>
    <row r="857" customFormat="false" ht="15" hidden="false" customHeight="false" outlineLevel="0" collapsed="false">
      <c r="A857" s="8" t="s">
        <v>5461</v>
      </c>
      <c r="B857" s="8" t="s">
        <v>1063</v>
      </c>
      <c r="C857" s="8" t="s">
        <v>53</v>
      </c>
      <c r="D857" s="32" t="n">
        <v>45976</v>
      </c>
      <c r="E857" s="8" t="n">
        <v>6</v>
      </c>
      <c r="F857" s="8" t="str">
        <f aca="false">IF(E857&gt;=9,"Promoter",IF(E857&gt;=7,"Passive","Detractor"))</f>
        <v>Detractor</v>
      </c>
    </row>
    <row r="858" customFormat="false" ht="15" hidden="false" customHeight="false" outlineLevel="0" collapsed="false">
      <c r="A858" s="8" t="s">
        <v>5462</v>
      </c>
      <c r="B858" s="8" t="s">
        <v>2666</v>
      </c>
      <c r="C858" s="8" t="s">
        <v>51</v>
      </c>
      <c r="D858" s="32" t="n">
        <v>45976</v>
      </c>
      <c r="E858" s="8" t="n">
        <v>10</v>
      </c>
      <c r="F858" s="8" t="str">
        <f aca="false">IF(E858&gt;=9,"Promoter",IF(E858&gt;=7,"Passive","Detractor"))</f>
        <v>Promoter</v>
      </c>
    </row>
    <row r="859" customFormat="false" ht="15" hidden="false" customHeight="false" outlineLevel="0" collapsed="false">
      <c r="A859" s="8" t="s">
        <v>5463</v>
      </c>
      <c r="B859" s="8" t="s">
        <v>1593</v>
      </c>
      <c r="C859" s="8" t="s">
        <v>51</v>
      </c>
      <c r="D859" s="32" t="n">
        <v>45976</v>
      </c>
      <c r="E859" s="8" t="n">
        <v>8</v>
      </c>
      <c r="F859" s="8" t="str">
        <f aca="false">IF(E859&gt;=9,"Promoter",IF(E859&gt;=7,"Passive","Detractor"))</f>
        <v>Passive</v>
      </c>
    </row>
    <row r="860" customFormat="false" ht="15" hidden="false" customHeight="false" outlineLevel="0" collapsed="false">
      <c r="A860" s="8" t="s">
        <v>5464</v>
      </c>
      <c r="B860" s="8" t="s">
        <v>2698</v>
      </c>
      <c r="C860" s="8" t="s">
        <v>51</v>
      </c>
      <c r="D860" s="32" t="n">
        <v>45976</v>
      </c>
      <c r="E860" s="8" t="n">
        <v>10</v>
      </c>
      <c r="F860" s="8" t="str">
        <f aca="false">IF(E860&gt;=9,"Promoter",IF(E860&gt;=7,"Passive","Detractor"))</f>
        <v>Promoter</v>
      </c>
    </row>
    <row r="861" customFormat="false" ht="15" hidden="false" customHeight="false" outlineLevel="0" collapsed="false">
      <c r="A861" s="8" t="s">
        <v>5465</v>
      </c>
      <c r="B861" s="8" t="s">
        <v>709</v>
      </c>
      <c r="C861" s="8" t="s">
        <v>53</v>
      </c>
      <c r="D861" s="32" t="n">
        <v>45976</v>
      </c>
      <c r="E861" s="8" t="n">
        <v>10</v>
      </c>
      <c r="F861" s="8" t="str">
        <f aca="false">IF(E861&gt;=9,"Promoter",IF(E861&gt;=7,"Passive","Detractor"))</f>
        <v>Promoter</v>
      </c>
    </row>
    <row r="862" customFormat="false" ht="15" hidden="false" customHeight="false" outlineLevel="0" collapsed="false">
      <c r="A862" s="8" t="s">
        <v>5466</v>
      </c>
      <c r="B862" s="8" t="s">
        <v>1241</v>
      </c>
      <c r="C862" s="8" t="s">
        <v>53</v>
      </c>
      <c r="D862" s="32" t="n">
        <v>45976</v>
      </c>
      <c r="E862" s="8" t="n">
        <v>10</v>
      </c>
      <c r="F862" s="8" t="str">
        <f aca="false">IF(E862&gt;=9,"Promoter",IF(E862&gt;=7,"Passive","Detractor"))</f>
        <v>Promoter</v>
      </c>
    </row>
    <row r="863" customFormat="false" ht="15" hidden="false" customHeight="false" outlineLevel="0" collapsed="false">
      <c r="A863" s="8" t="s">
        <v>5467</v>
      </c>
      <c r="B863" s="8" t="s">
        <v>1893</v>
      </c>
      <c r="C863" s="8" t="s">
        <v>51</v>
      </c>
      <c r="D863" s="32" t="n">
        <v>45976</v>
      </c>
      <c r="E863" s="8" t="n">
        <v>8</v>
      </c>
      <c r="F863" s="8" t="str">
        <f aca="false">IF(E863&gt;=9,"Promoter",IF(E863&gt;=7,"Passive","Detractor"))</f>
        <v>Passive</v>
      </c>
    </row>
    <row r="864" customFormat="false" ht="15" hidden="false" customHeight="false" outlineLevel="0" collapsed="false">
      <c r="A864" s="8" t="s">
        <v>5468</v>
      </c>
      <c r="B864" s="8" t="s">
        <v>3214</v>
      </c>
      <c r="C864" s="8" t="s">
        <v>51</v>
      </c>
      <c r="D864" s="32" t="n">
        <v>45977</v>
      </c>
      <c r="E864" s="8" t="n">
        <v>10</v>
      </c>
      <c r="F864" s="8" t="str">
        <f aca="false">IF(E864&gt;=9,"Promoter",IF(E864&gt;=7,"Passive","Detractor"))</f>
        <v>Promoter</v>
      </c>
    </row>
    <row r="865" customFormat="false" ht="15" hidden="false" customHeight="false" outlineLevel="0" collapsed="false">
      <c r="A865" s="8" t="s">
        <v>5469</v>
      </c>
      <c r="B865" s="8" t="s">
        <v>4477</v>
      </c>
      <c r="C865" s="8" t="s">
        <v>53</v>
      </c>
      <c r="D865" s="32" t="n">
        <v>45977</v>
      </c>
      <c r="E865" s="8" t="n">
        <v>7</v>
      </c>
      <c r="F865" s="8" t="str">
        <f aca="false">IF(E865&gt;=9,"Promoter",IF(E865&gt;=7,"Passive","Detractor"))</f>
        <v>Passive</v>
      </c>
    </row>
    <row r="866" customFormat="false" ht="15" hidden="false" customHeight="false" outlineLevel="0" collapsed="false">
      <c r="A866" s="8" t="s">
        <v>5470</v>
      </c>
      <c r="B866" s="8" t="s">
        <v>723</v>
      </c>
      <c r="C866" s="8" t="s">
        <v>53</v>
      </c>
      <c r="D866" s="32" t="n">
        <v>45977</v>
      </c>
      <c r="E866" s="8" t="n">
        <v>7</v>
      </c>
      <c r="F866" s="8" t="str">
        <f aca="false">IF(E866&gt;=9,"Promoter",IF(E866&gt;=7,"Passive","Detractor"))</f>
        <v>Passive</v>
      </c>
    </row>
    <row r="867" customFormat="false" ht="15" hidden="false" customHeight="false" outlineLevel="0" collapsed="false">
      <c r="A867" s="8" t="s">
        <v>5471</v>
      </c>
      <c r="B867" s="8" t="s">
        <v>503</v>
      </c>
      <c r="C867" s="8" t="s">
        <v>53</v>
      </c>
      <c r="D867" s="32" t="n">
        <v>45977</v>
      </c>
      <c r="E867" s="8" t="n">
        <v>9</v>
      </c>
      <c r="F867" s="8" t="str">
        <f aca="false">IF(E867&gt;=9,"Promoter",IF(E867&gt;=7,"Passive","Detractor"))</f>
        <v>Promoter</v>
      </c>
    </row>
    <row r="868" customFormat="false" ht="15" hidden="false" customHeight="false" outlineLevel="0" collapsed="false">
      <c r="A868" s="8" t="s">
        <v>5472</v>
      </c>
      <c r="B868" s="8" t="s">
        <v>4286</v>
      </c>
      <c r="C868" s="8" t="s">
        <v>51</v>
      </c>
      <c r="D868" s="32" t="n">
        <v>45977</v>
      </c>
      <c r="E868" s="8" t="n">
        <v>9</v>
      </c>
      <c r="F868" s="8" t="str">
        <f aca="false">IF(E868&gt;=9,"Promoter",IF(E868&gt;=7,"Passive","Detractor"))</f>
        <v>Promoter</v>
      </c>
    </row>
    <row r="869" customFormat="false" ht="15" hidden="false" customHeight="false" outlineLevel="0" collapsed="false">
      <c r="A869" s="8" t="s">
        <v>5473</v>
      </c>
      <c r="B869" s="8" t="s">
        <v>661</v>
      </c>
      <c r="C869" s="8" t="s">
        <v>53</v>
      </c>
      <c r="D869" s="32" t="n">
        <v>45977</v>
      </c>
      <c r="E869" s="8" t="n">
        <v>6</v>
      </c>
      <c r="F869" s="8" t="str">
        <f aca="false">IF(E869&gt;=9,"Promoter",IF(E869&gt;=7,"Passive","Detractor"))</f>
        <v>Detractor</v>
      </c>
    </row>
    <row r="870" customFormat="false" ht="15" hidden="false" customHeight="false" outlineLevel="0" collapsed="false">
      <c r="A870" s="8" t="s">
        <v>5474</v>
      </c>
      <c r="B870" s="8" t="s">
        <v>2886</v>
      </c>
      <c r="C870" s="8" t="s">
        <v>51</v>
      </c>
      <c r="D870" s="32" t="n">
        <v>45977</v>
      </c>
      <c r="E870" s="8" t="n">
        <v>10</v>
      </c>
      <c r="F870" s="8" t="str">
        <f aca="false">IF(E870&gt;=9,"Promoter",IF(E870&gt;=7,"Passive","Detractor"))</f>
        <v>Promoter</v>
      </c>
    </row>
    <row r="871" customFormat="false" ht="15" hidden="false" customHeight="false" outlineLevel="0" collapsed="false">
      <c r="A871" s="8" t="s">
        <v>5475</v>
      </c>
      <c r="B871" s="8" t="s">
        <v>4588</v>
      </c>
      <c r="C871" s="8" t="s">
        <v>51</v>
      </c>
      <c r="D871" s="32" t="n">
        <v>45977</v>
      </c>
      <c r="E871" s="8" t="n">
        <v>7</v>
      </c>
      <c r="F871" s="8" t="str">
        <f aca="false">IF(E871&gt;=9,"Promoter",IF(E871&gt;=7,"Passive","Detractor"))</f>
        <v>Passive</v>
      </c>
    </row>
    <row r="872" customFormat="false" ht="15" hidden="false" customHeight="false" outlineLevel="0" collapsed="false">
      <c r="A872" s="8" t="s">
        <v>5476</v>
      </c>
      <c r="B872" s="8" t="s">
        <v>889</v>
      </c>
      <c r="C872" s="8" t="s">
        <v>53</v>
      </c>
      <c r="D872" s="32" t="n">
        <v>45977</v>
      </c>
      <c r="E872" s="8" t="n">
        <v>7</v>
      </c>
      <c r="F872" s="8" t="str">
        <f aca="false">IF(E872&gt;=9,"Promoter",IF(E872&gt;=7,"Passive","Detractor"))</f>
        <v>Passive</v>
      </c>
    </row>
    <row r="873" customFormat="false" ht="15" hidden="false" customHeight="false" outlineLevel="0" collapsed="false">
      <c r="A873" s="8" t="s">
        <v>5477</v>
      </c>
      <c r="B873" s="8" t="s">
        <v>3546</v>
      </c>
      <c r="C873" s="8" t="s">
        <v>51</v>
      </c>
      <c r="D873" s="32" t="n">
        <v>45978</v>
      </c>
      <c r="E873" s="8" t="n">
        <v>3</v>
      </c>
      <c r="F873" s="8" t="str">
        <f aca="false">IF(E873&gt;=9,"Promoter",IF(E873&gt;=7,"Passive","Detractor"))</f>
        <v>Detractor</v>
      </c>
    </row>
    <row r="874" customFormat="false" ht="15" hidden="false" customHeight="false" outlineLevel="0" collapsed="false">
      <c r="A874" s="8" t="s">
        <v>5478</v>
      </c>
      <c r="B874" s="8" t="s">
        <v>695</v>
      </c>
      <c r="C874" s="8" t="s">
        <v>53</v>
      </c>
      <c r="D874" s="32" t="n">
        <v>45978</v>
      </c>
      <c r="E874" s="8" t="n">
        <v>10</v>
      </c>
      <c r="F874" s="8" t="str">
        <f aca="false">IF(E874&gt;=9,"Promoter",IF(E874&gt;=7,"Passive","Detractor"))</f>
        <v>Promoter</v>
      </c>
    </row>
    <row r="875" customFormat="false" ht="15" hidden="false" customHeight="false" outlineLevel="0" collapsed="false">
      <c r="A875" s="8" t="s">
        <v>5479</v>
      </c>
      <c r="B875" s="8" t="s">
        <v>3654</v>
      </c>
      <c r="C875" s="8" t="s">
        <v>51</v>
      </c>
      <c r="D875" s="32" t="n">
        <v>45978</v>
      </c>
      <c r="E875" s="8" t="n">
        <v>8</v>
      </c>
      <c r="F875" s="8" t="str">
        <f aca="false">IF(E875&gt;=9,"Promoter",IF(E875&gt;=7,"Passive","Detractor"))</f>
        <v>Passive</v>
      </c>
    </row>
    <row r="876" customFormat="false" ht="15" hidden="false" customHeight="false" outlineLevel="0" collapsed="false">
      <c r="A876" s="8" t="s">
        <v>5480</v>
      </c>
      <c r="B876" s="8" t="s">
        <v>3446</v>
      </c>
      <c r="C876" s="8" t="s">
        <v>51</v>
      </c>
      <c r="D876" s="32" t="n">
        <v>45978</v>
      </c>
      <c r="E876" s="8" t="n">
        <v>9</v>
      </c>
      <c r="F876" s="8" t="str">
        <f aca="false">IF(E876&gt;=9,"Promoter",IF(E876&gt;=7,"Passive","Detractor"))</f>
        <v>Promoter</v>
      </c>
    </row>
    <row r="877" customFormat="false" ht="15" hidden="false" customHeight="false" outlineLevel="0" collapsed="false">
      <c r="A877" s="8" t="s">
        <v>5481</v>
      </c>
      <c r="B877" s="8" t="s">
        <v>1857</v>
      </c>
      <c r="C877" s="8" t="s">
        <v>53</v>
      </c>
      <c r="D877" s="32" t="n">
        <v>45978</v>
      </c>
      <c r="E877" s="8" t="n">
        <v>9</v>
      </c>
      <c r="F877" s="8" t="str">
        <f aca="false">IF(E877&gt;=9,"Promoter",IF(E877&gt;=7,"Passive","Detractor"))</f>
        <v>Promoter</v>
      </c>
    </row>
    <row r="878" customFormat="false" ht="15" hidden="false" customHeight="false" outlineLevel="0" collapsed="false">
      <c r="A878" s="8" t="s">
        <v>5482</v>
      </c>
      <c r="B878" s="8" t="s">
        <v>2646</v>
      </c>
      <c r="C878" s="8" t="s">
        <v>51</v>
      </c>
      <c r="D878" s="32" t="n">
        <v>45978</v>
      </c>
      <c r="E878" s="8" t="n">
        <v>8</v>
      </c>
      <c r="F878" s="8" t="str">
        <f aca="false">IF(E878&gt;=9,"Promoter",IF(E878&gt;=7,"Passive","Detractor"))</f>
        <v>Passive</v>
      </c>
    </row>
    <row r="879" customFormat="false" ht="15" hidden="false" customHeight="false" outlineLevel="0" collapsed="false">
      <c r="A879" s="8" t="s">
        <v>5483</v>
      </c>
      <c r="B879" s="8" t="s">
        <v>3234</v>
      </c>
      <c r="C879" s="8" t="s">
        <v>51</v>
      </c>
      <c r="D879" s="32" t="n">
        <v>45978</v>
      </c>
      <c r="E879" s="8" t="n">
        <v>8</v>
      </c>
      <c r="F879" s="8" t="str">
        <f aca="false">IF(E879&gt;=9,"Promoter",IF(E879&gt;=7,"Passive","Detractor"))</f>
        <v>Passive</v>
      </c>
    </row>
    <row r="880" customFormat="false" ht="15" hidden="false" customHeight="false" outlineLevel="0" collapsed="false">
      <c r="A880" s="8" t="s">
        <v>5484</v>
      </c>
      <c r="B880" s="8" t="s">
        <v>2580</v>
      </c>
      <c r="C880" s="8" t="s">
        <v>51</v>
      </c>
      <c r="D880" s="32" t="n">
        <v>45978</v>
      </c>
      <c r="E880" s="8" t="n">
        <v>10</v>
      </c>
      <c r="F880" s="8" t="str">
        <f aca="false">IF(E880&gt;=9,"Promoter",IF(E880&gt;=7,"Passive","Detractor"))</f>
        <v>Promoter</v>
      </c>
    </row>
    <row r="881" customFormat="false" ht="15" hidden="false" customHeight="false" outlineLevel="0" collapsed="false">
      <c r="A881" s="8" t="s">
        <v>5485</v>
      </c>
      <c r="B881" s="8" t="s">
        <v>2804</v>
      </c>
      <c r="C881" s="8" t="s">
        <v>51</v>
      </c>
      <c r="D881" s="32" t="n">
        <v>45978</v>
      </c>
      <c r="E881" s="8" t="n">
        <v>7</v>
      </c>
      <c r="F881" s="8" t="str">
        <f aca="false">IF(E881&gt;=9,"Promoter",IF(E881&gt;=7,"Passive","Detractor"))</f>
        <v>Passive</v>
      </c>
    </row>
    <row r="882" customFormat="false" ht="15" hidden="false" customHeight="false" outlineLevel="0" collapsed="false">
      <c r="A882" s="8" t="s">
        <v>5486</v>
      </c>
      <c r="B882" s="8" t="s">
        <v>256</v>
      </c>
      <c r="C882" s="8" t="s">
        <v>55</v>
      </c>
      <c r="D882" s="32" t="n">
        <v>45979</v>
      </c>
      <c r="E882" s="8" t="n">
        <v>7</v>
      </c>
      <c r="F882" s="8" t="str">
        <f aca="false">IF(E882&gt;=9,"Promoter",IF(E882&gt;=7,"Passive","Detractor"))</f>
        <v>Passive</v>
      </c>
    </row>
    <row r="883" customFormat="false" ht="15" hidden="false" customHeight="false" outlineLevel="0" collapsed="false">
      <c r="A883" s="8" t="s">
        <v>5487</v>
      </c>
      <c r="B883" s="8" t="s">
        <v>4411</v>
      </c>
      <c r="C883" s="8" t="s">
        <v>55</v>
      </c>
      <c r="D883" s="32" t="n">
        <v>45979</v>
      </c>
      <c r="E883" s="8" t="n">
        <v>4</v>
      </c>
      <c r="F883" s="8" t="str">
        <f aca="false">IF(E883&gt;=9,"Promoter",IF(E883&gt;=7,"Passive","Detractor"))</f>
        <v>Detractor</v>
      </c>
    </row>
    <row r="884" customFormat="false" ht="15" hidden="false" customHeight="false" outlineLevel="0" collapsed="false">
      <c r="A884" s="8" t="s">
        <v>5488</v>
      </c>
      <c r="B884" s="8" t="s">
        <v>178</v>
      </c>
      <c r="C884" s="8" t="s">
        <v>55</v>
      </c>
      <c r="D884" s="32" t="n">
        <v>45979</v>
      </c>
      <c r="E884" s="8" t="n">
        <v>8</v>
      </c>
      <c r="F884" s="8" t="str">
        <f aca="false">IF(E884&gt;=9,"Promoter",IF(E884&gt;=7,"Passive","Detractor"))</f>
        <v>Passive</v>
      </c>
    </row>
    <row r="885" customFormat="false" ht="15" hidden="false" customHeight="false" outlineLevel="0" collapsed="false">
      <c r="A885" s="8" t="s">
        <v>5489</v>
      </c>
      <c r="B885" s="8" t="s">
        <v>4486</v>
      </c>
      <c r="C885" s="8" t="s">
        <v>51</v>
      </c>
      <c r="D885" s="32" t="n">
        <v>45979</v>
      </c>
      <c r="E885" s="8" t="n">
        <v>4</v>
      </c>
      <c r="F885" s="8" t="str">
        <f aca="false">IF(E885&gt;=9,"Promoter",IF(E885&gt;=7,"Passive","Detractor"))</f>
        <v>Detractor</v>
      </c>
    </row>
    <row r="886" customFormat="false" ht="15" hidden="false" customHeight="false" outlineLevel="0" collapsed="false">
      <c r="A886" s="8" t="s">
        <v>5490</v>
      </c>
      <c r="B886" s="8" t="s">
        <v>4457</v>
      </c>
      <c r="C886" s="8" t="s">
        <v>53</v>
      </c>
      <c r="D886" s="32" t="n">
        <v>45979</v>
      </c>
      <c r="E886" s="8" t="n">
        <v>9</v>
      </c>
      <c r="F886" s="8" t="str">
        <f aca="false">IF(E886&gt;=9,"Promoter",IF(E886&gt;=7,"Passive","Detractor"))</f>
        <v>Promoter</v>
      </c>
    </row>
    <row r="887" customFormat="false" ht="15" hidden="false" customHeight="false" outlineLevel="0" collapsed="false">
      <c r="A887" s="8" t="s">
        <v>5491</v>
      </c>
      <c r="B887" s="8" t="s">
        <v>829</v>
      </c>
      <c r="C887" s="8" t="s">
        <v>53</v>
      </c>
      <c r="D887" s="32" t="n">
        <v>45979</v>
      </c>
      <c r="E887" s="8" t="n">
        <v>10</v>
      </c>
      <c r="F887" s="8" t="str">
        <f aca="false">IF(E887&gt;=9,"Promoter",IF(E887&gt;=7,"Passive","Detractor"))</f>
        <v>Promoter</v>
      </c>
    </row>
    <row r="888" customFormat="false" ht="15" hidden="false" customHeight="false" outlineLevel="0" collapsed="false">
      <c r="A888" s="8" t="s">
        <v>5492</v>
      </c>
      <c r="B888" s="8" t="s">
        <v>4599</v>
      </c>
      <c r="C888" s="8" t="s">
        <v>51</v>
      </c>
      <c r="D888" s="32" t="n">
        <v>45980</v>
      </c>
      <c r="E888" s="8" t="n">
        <v>9</v>
      </c>
      <c r="F888" s="8" t="str">
        <f aca="false">IF(E888&gt;=9,"Promoter",IF(E888&gt;=7,"Passive","Detractor"))</f>
        <v>Promoter</v>
      </c>
    </row>
    <row r="889" customFormat="false" ht="15" hidden="false" customHeight="false" outlineLevel="0" collapsed="false">
      <c r="A889" s="8" t="s">
        <v>5493</v>
      </c>
      <c r="B889" s="8" t="s">
        <v>1095</v>
      </c>
      <c r="C889" s="8" t="s">
        <v>53</v>
      </c>
      <c r="D889" s="32" t="n">
        <v>45980</v>
      </c>
      <c r="E889" s="8" t="n">
        <v>6</v>
      </c>
      <c r="F889" s="8" t="str">
        <f aca="false">IF(E889&gt;=9,"Promoter",IF(E889&gt;=7,"Passive","Detractor"))</f>
        <v>Detractor</v>
      </c>
    </row>
    <row r="890" customFormat="false" ht="15" hidden="false" customHeight="false" outlineLevel="0" collapsed="false">
      <c r="A890" s="8" t="s">
        <v>5494</v>
      </c>
      <c r="B890" s="8" t="s">
        <v>1633</v>
      </c>
      <c r="C890" s="8" t="s">
        <v>53</v>
      </c>
      <c r="D890" s="32" t="n">
        <v>45980</v>
      </c>
      <c r="E890" s="8" t="n">
        <v>10</v>
      </c>
      <c r="F890" s="8" t="str">
        <f aca="false">IF(E890&gt;=9,"Promoter",IF(E890&gt;=7,"Passive","Detractor"))</f>
        <v>Promoter</v>
      </c>
    </row>
    <row r="891" customFormat="false" ht="15" hidden="false" customHeight="false" outlineLevel="0" collapsed="false">
      <c r="A891" s="8" t="s">
        <v>5495</v>
      </c>
      <c r="B891" s="8" t="s">
        <v>3962</v>
      </c>
      <c r="C891" s="8" t="s">
        <v>51</v>
      </c>
      <c r="D891" s="32" t="n">
        <v>45980</v>
      </c>
      <c r="E891" s="8" t="n">
        <v>6</v>
      </c>
      <c r="F891" s="8" t="str">
        <f aca="false">IF(E891&gt;=9,"Promoter",IF(E891&gt;=7,"Passive","Detractor"))</f>
        <v>Detractor</v>
      </c>
    </row>
    <row r="892" customFormat="false" ht="15" hidden="false" customHeight="false" outlineLevel="0" collapsed="false">
      <c r="A892" s="8" t="s">
        <v>5496</v>
      </c>
      <c r="B892" s="8" t="s">
        <v>2454</v>
      </c>
      <c r="C892" s="8" t="s">
        <v>51</v>
      </c>
      <c r="D892" s="32" t="n">
        <v>45980</v>
      </c>
      <c r="E892" s="8" t="n">
        <v>8</v>
      </c>
      <c r="F892" s="8" t="str">
        <f aca="false">IF(E892&gt;=9,"Promoter",IF(E892&gt;=7,"Passive","Detractor"))</f>
        <v>Passive</v>
      </c>
    </row>
    <row r="893" customFormat="false" ht="15" hidden="false" customHeight="false" outlineLevel="0" collapsed="false">
      <c r="A893" s="8" t="s">
        <v>5497</v>
      </c>
      <c r="B893" s="8" t="s">
        <v>1407</v>
      </c>
      <c r="C893" s="8" t="s">
        <v>53</v>
      </c>
      <c r="D893" s="32" t="n">
        <v>45980</v>
      </c>
      <c r="E893" s="8" t="n">
        <v>8</v>
      </c>
      <c r="F893" s="8" t="str">
        <f aca="false">IF(E893&gt;=9,"Promoter",IF(E893&gt;=7,"Passive","Detractor"))</f>
        <v>Passive</v>
      </c>
    </row>
    <row r="894" customFormat="false" ht="15" hidden="false" customHeight="false" outlineLevel="0" collapsed="false">
      <c r="A894" s="8" t="s">
        <v>5498</v>
      </c>
      <c r="B894" s="8" t="s">
        <v>2260</v>
      </c>
      <c r="C894" s="8" t="s">
        <v>51</v>
      </c>
      <c r="D894" s="32" t="n">
        <v>45980</v>
      </c>
      <c r="E894" s="8" t="n">
        <v>9</v>
      </c>
      <c r="F894" s="8" t="str">
        <f aca="false">IF(E894&gt;=9,"Promoter",IF(E894&gt;=7,"Passive","Detractor"))</f>
        <v>Promoter</v>
      </c>
    </row>
    <row r="895" customFormat="false" ht="15" hidden="false" customHeight="false" outlineLevel="0" collapsed="false">
      <c r="A895" s="8" t="s">
        <v>5499</v>
      </c>
      <c r="B895" s="8" t="s">
        <v>4459</v>
      </c>
      <c r="C895" s="8" t="s">
        <v>53</v>
      </c>
      <c r="D895" s="32" t="n">
        <v>45980</v>
      </c>
      <c r="E895" s="8" t="n">
        <v>7</v>
      </c>
      <c r="F895" s="8" t="str">
        <f aca="false">IF(E895&gt;=9,"Promoter",IF(E895&gt;=7,"Passive","Detractor"))</f>
        <v>Passive</v>
      </c>
    </row>
    <row r="896" customFormat="false" ht="15" hidden="false" customHeight="false" outlineLevel="0" collapsed="false">
      <c r="A896" s="8" t="s">
        <v>5500</v>
      </c>
      <c r="B896" s="8" t="s">
        <v>3686</v>
      </c>
      <c r="C896" s="8" t="s">
        <v>51</v>
      </c>
      <c r="D896" s="32" t="n">
        <v>45980</v>
      </c>
      <c r="E896" s="8" t="n">
        <v>8</v>
      </c>
      <c r="F896" s="8" t="str">
        <f aca="false">IF(E896&gt;=9,"Promoter",IF(E896&gt;=7,"Passive","Detractor"))</f>
        <v>Passive</v>
      </c>
    </row>
    <row r="897" customFormat="false" ht="15" hidden="false" customHeight="false" outlineLevel="0" collapsed="false">
      <c r="A897" s="8" t="s">
        <v>5501</v>
      </c>
      <c r="B897" s="8" t="s">
        <v>3642</v>
      </c>
      <c r="C897" s="8" t="s">
        <v>51</v>
      </c>
      <c r="D897" s="32" t="n">
        <v>45980</v>
      </c>
      <c r="E897" s="8" t="n">
        <v>10</v>
      </c>
      <c r="F897" s="8" t="str">
        <f aca="false">IF(E897&gt;=9,"Promoter",IF(E897&gt;=7,"Passive","Detractor"))</f>
        <v>Promoter</v>
      </c>
    </row>
    <row r="898" customFormat="false" ht="15" hidden="false" customHeight="false" outlineLevel="0" collapsed="false">
      <c r="A898" s="8" t="s">
        <v>5502</v>
      </c>
      <c r="B898" s="8" t="s">
        <v>3892</v>
      </c>
      <c r="C898" s="8" t="s">
        <v>51</v>
      </c>
      <c r="D898" s="32" t="n">
        <v>45980</v>
      </c>
      <c r="E898" s="8" t="n">
        <v>7</v>
      </c>
      <c r="F898" s="8" t="str">
        <f aca="false">IF(E898&gt;=9,"Promoter",IF(E898&gt;=7,"Passive","Detractor"))</f>
        <v>Passive</v>
      </c>
    </row>
    <row r="899" customFormat="false" ht="15" hidden="false" customHeight="false" outlineLevel="0" collapsed="false">
      <c r="A899" s="8" t="s">
        <v>5503</v>
      </c>
      <c r="B899" s="8" t="s">
        <v>2918</v>
      </c>
      <c r="C899" s="8" t="s">
        <v>51</v>
      </c>
      <c r="D899" s="32" t="n">
        <v>45981</v>
      </c>
      <c r="E899" s="8" t="n">
        <v>8</v>
      </c>
      <c r="F899" s="8" t="str">
        <f aca="false">IF(E899&gt;=9,"Promoter",IF(E899&gt;=7,"Passive","Detractor"))</f>
        <v>Passive</v>
      </c>
    </row>
    <row r="900" customFormat="false" ht="15" hidden="false" customHeight="false" outlineLevel="0" collapsed="false">
      <c r="A900" s="8" t="s">
        <v>5504</v>
      </c>
      <c r="B900" s="8" t="s">
        <v>971</v>
      </c>
      <c r="C900" s="8" t="s">
        <v>53</v>
      </c>
      <c r="D900" s="32" t="n">
        <v>45981</v>
      </c>
      <c r="E900" s="8" t="n">
        <v>5</v>
      </c>
      <c r="F900" s="8" t="str">
        <f aca="false">IF(E900&gt;=9,"Promoter",IF(E900&gt;=7,"Passive","Detractor"))</f>
        <v>Detractor</v>
      </c>
    </row>
    <row r="901" customFormat="false" ht="15" hidden="false" customHeight="false" outlineLevel="0" collapsed="false">
      <c r="A901" s="8" t="s">
        <v>5505</v>
      </c>
      <c r="B901" s="8" t="s">
        <v>3200</v>
      </c>
      <c r="C901" s="8" t="s">
        <v>51</v>
      </c>
      <c r="D901" s="32" t="n">
        <v>45981</v>
      </c>
      <c r="E901" s="8" t="n">
        <v>10</v>
      </c>
      <c r="F901" s="8" t="str">
        <f aca="false">IF(E901&gt;=9,"Promoter",IF(E901&gt;=7,"Passive","Detractor"))</f>
        <v>Promoter</v>
      </c>
    </row>
    <row r="902" customFormat="false" ht="15" hidden="false" customHeight="false" outlineLevel="0" collapsed="false">
      <c r="A902" s="8" t="s">
        <v>5506</v>
      </c>
      <c r="B902" s="8" t="s">
        <v>3530</v>
      </c>
      <c r="C902" s="8" t="s">
        <v>51</v>
      </c>
      <c r="D902" s="32" t="n">
        <v>45981</v>
      </c>
      <c r="E902" s="8" t="n">
        <v>9</v>
      </c>
      <c r="F902" s="8" t="str">
        <f aca="false">IF(E902&gt;=9,"Promoter",IF(E902&gt;=7,"Passive","Detractor"))</f>
        <v>Promoter</v>
      </c>
    </row>
    <row r="903" customFormat="false" ht="15" hidden="false" customHeight="false" outlineLevel="0" collapsed="false">
      <c r="A903" s="8" t="s">
        <v>5507</v>
      </c>
      <c r="B903" s="8" t="s">
        <v>1009</v>
      </c>
      <c r="C903" s="8" t="s">
        <v>53</v>
      </c>
      <c r="D903" s="32" t="n">
        <v>45981</v>
      </c>
      <c r="E903" s="8" t="n">
        <v>9</v>
      </c>
      <c r="F903" s="8" t="str">
        <f aca="false">IF(E903&gt;=9,"Promoter",IF(E903&gt;=7,"Passive","Detractor"))</f>
        <v>Promoter</v>
      </c>
    </row>
    <row r="904" customFormat="false" ht="15" hidden="false" customHeight="false" outlineLevel="0" collapsed="false">
      <c r="A904" s="8" t="s">
        <v>5508</v>
      </c>
      <c r="B904" s="8" t="s">
        <v>4266</v>
      </c>
      <c r="C904" s="8" t="s">
        <v>51</v>
      </c>
      <c r="D904" s="32" t="n">
        <v>45981</v>
      </c>
      <c r="E904" s="8" t="n">
        <v>10</v>
      </c>
      <c r="F904" s="8" t="str">
        <f aca="false">IF(E904&gt;=9,"Promoter",IF(E904&gt;=7,"Passive","Detractor"))</f>
        <v>Promoter</v>
      </c>
    </row>
    <row r="905" customFormat="false" ht="15" hidden="false" customHeight="false" outlineLevel="0" collapsed="false">
      <c r="A905" s="8" t="s">
        <v>5509</v>
      </c>
      <c r="B905" s="8" t="s">
        <v>4506</v>
      </c>
      <c r="C905" s="8" t="s">
        <v>51</v>
      </c>
      <c r="D905" s="32" t="n">
        <v>45981</v>
      </c>
      <c r="E905" s="8" t="n">
        <v>3</v>
      </c>
      <c r="F905" s="8" t="str">
        <f aca="false">IF(E905&gt;=9,"Promoter",IF(E905&gt;=7,"Passive","Detractor"))</f>
        <v>Detractor</v>
      </c>
    </row>
    <row r="906" customFormat="false" ht="15" hidden="false" customHeight="false" outlineLevel="0" collapsed="false">
      <c r="A906" s="8" t="s">
        <v>5510</v>
      </c>
      <c r="B906" s="8" t="s">
        <v>2432</v>
      </c>
      <c r="C906" s="8" t="s">
        <v>51</v>
      </c>
      <c r="D906" s="32" t="n">
        <v>45981</v>
      </c>
      <c r="E906" s="8" t="n">
        <v>9</v>
      </c>
      <c r="F906" s="8" t="str">
        <f aca="false">IF(E906&gt;=9,"Promoter",IF(E906&gt;=7,"Passive","Detractor"))</f>
        <v>Promoter</v>
      </c>
    </row>
    <row r="907" customFormat="false" ht="15" hidden="false" customHeight="false" outlineLevel="0" collapsed="false">
      <c r="A907" s="8" t="s">
        <v>5511</v>
      </c>
      <c r="B907" s="8" t="s">
        <v>351</v>
      </c>
      <c r="C907" s="8" t="s">
        <v>55</v>
      </c>
      <c r="D907" s="32" t="n">
        <v>45981</v>
      </c>
      <c r="E907" s="8" t="n">
        <v>9</v>
      </c>
      <c r="F907" s="8" t="str">
        <f aca="false">IF(E907&gt;=9,"Promoter",IF(E907&gt;=7,"Passive","Detractor"))</f>
        <v>Promoter</v>
      </c>
    </row>
    <row r="908" customFormat="false" ht="15" hidden="false" customHeight="false" outlineLevel="0" collapsed="false">
      <c r="A908" s="8" t="s">
        <v>5512</v>
      </c>
      <c r="B908" s="8" t="s">
        <v>4142</v>
      </c>
      <c r="C908" s="8" t="s">
        <v>51</v>
      </c>
      <c r="D908" s="32" t="n">
        <v>45981</v>
      </c>
      <c r="E908" s="8" t="n">
        <v>7</v>
      </c>
      <c r="F908" s="8" t="str">
        <f aca="false">IF(E908&gt;=9,"Promoter",IF(E908&gt;=7,"Passive","Detractor"))</f>
        <v>Passive</v>
      </c>
    </row>
    <row r="909" customFormat="false" ht="15" hidden="false" customHeight="false" outlineLevel="0" collapsed="false">
      <c r="A909" s="8" t="s">
        <v>5513</v>
      </c>
      <c r="B909" s="8" t="s">
        <v>4460</v>
      </c>
      <c r="C909" s="8" t="s">
        <v>53</v>
      </c>
      <c r="D909" s="32" t="n">
        <v>45982</v>
      </c>
      <c r="E909" s="8" t="n">
        <v>6</v>
      </c>
      <c r="F909" s="8" t="str">
        <f aca="false">IF(E909&gt;=9,"Promoter",IF(E909&gt;=7,"Passive","Detractor"))</f>
        <v>Detractor</v>
      </c>
    </row>
    <row r="910" customFormat="false" ht="15" hidden="false" customHeight="false" outlineLevel="0" collapsed="false">
      <c r="A910" s="8" t="s">
        <v>5514</v>
      </c>
      <c r="B910" s="8" t="s">
        <v>4467</v>
      </c>
      <c r="C910" s="8" t="s">
        <v>53</v>
      </c>
      <c r="D910" s="32" t="n">
        <v>45982</v>
      </c>
      <c r="E910" s="8" t="n">
        <v>9</v>
      </c>
      <c r="F910" s="8" t="str">
        <f aca="false">IF(E910&gt;=9,"Promoter",IF(E910&gt;=7,"Passive","Detractor"))</f>
        <v>Promoter</v>
      </c>
    </row>
    <row r="911" customFormat="false" ht="15" hidden="false" customHeight="false" outlineLevel="0" collapsed="false">
      <c r="A911" s="8" t="s">
        <v>5515</v>
      </c>
      <c r="B911" s="8" t="s">
        <v>2836</v>
      </c>
      <c r="C911" s="8" t="s">
        <v>51</v>
      </c>
      <c r="D911" s="32" t="n">
        <v>45982</v>
      </c>
      <c r="E911" s="8" t="n">
        <v>9</v>
      </c>
      <c r="F911" s="8" t="str">
        <f aca="false">IF(E911&gt;=9,"Promoter",IF(E911&gt;=7,"Passive","Detractor"))</f>
        <v>Promoter</v>
      </c>
    </row>
    <row r="912" customFormat="false" ht="15" hidden="false" customHeight="false" outlineLevel="0" collapsed="false">
      <c r="A912" s="8" t="s">
        <v>5516</v>
      </c>
      <c r="B912" s="8" t="s">
        <v>3956</v>
      </c>
      <c r="C912" s="8" t="s">
        <v>51</v>
      </c>
      <c r="D912" s="32" t="n">
        <v>45982</v>
      </c>
      <c r="E912" s="8" t="n">
        <v>6</v>
      </c>
      <c r="F912" s="8" t="str">
        <f aca="false">IF(E912&gt;=9,"Promoter",IF(E912&gt;=7,"Passive","Detractor"))</f>
        <v>Detractor</v>
      </c>
    </row>
    <row r="913" customFormat="false" ht="15" hidden="false" customHeight="false" outlineLevel="0" collapsed="false">
      <c r="A913" s="8" t="s">
        <v>5517</v>
      </c>
      <c r="B913" s="8" t="s">
        <v>777</v>
      </c>
      <c r="C913" s="8" t="s">
        <v>53</v>
      </c>
      <c r="D913" s="32" t="n">
        <v>45982</v>
      </c>
      <c r="E913" s="8" t="n">
        <v>9</v>
      </c>
      <c r="F913" s="8" t="str">
        <f aca="false">IF(E913&gt;=9,"Promoter",IF(E913&gt;=7,"Passive","Detractor"))</f>
        <v>Promoter</v>
      </c>
    </row>
    <row r="914" customFormat="false" ht="15" hidden="false" customHeight="false" outlineLevel="0" collapsed="false">
      <c r="A914" s="8" t="s">
        <v>5518</v>
      </c>
      <c r="B914" s="8" t="s">
        <v>160</v>
      </c>
      <c r="C914" s="8" t="s">
        <v>55</v>
      </c>
      <c r="D914" s="32" t="n">
        <v>45982</v>
      </c>
      <c r="E914" s="8" t="n">
        <v>6</v>
      </c>
      <c r="F914" s="8" t="str">
        <f aca="false">IF(E914&gt;=9,"Promoter",IF(E914&gt;=7,"Passive","Detractor"))</f>
        <v>Detractor</v>
      </c>
    </row>
    <row r="915" customFormat="false" ht="15" hidden="false" customHeight="false" outlineLevel="0" collapsed="false">
      <c r="A915" s="8" t="s">
        <v>5519</v>
      </c>
      <c r="B915" s="8" t="s">
        <v>2760</v>
      </c>
      <c r="C915" s="8" t="s">
        <v>51</v>
      </c>
      <c r="D915" s="32" t="n">
        <v>45982</v>
      </c>
      <c r="E915" s="8" t="n">
        <v>9</v>
      </c>
      <c r="F915" s="8" t="str">
        <f aca="false">IF(E915&gt;=9,"Promoter",IF(E915&gt;=7,"Passive","Detractor"))</f>
        <v>Promoter</v>
      </c>
    </row>
    <row r="916" customFormat="false" ht="15" hidden="false" customHeight="false" outlineLevel="0" collapsed="false">
      <c r="A916" s="8" t="s">
        <v>5520</v>
      </c>
      <c r="B916" s="8" t="s">
        <v>613</v>
      </c>
      <c r="C916" s="8" t="s">
        <v>55</v>
      </c>
      <c r="D916" s="32" t="n">
        <v>45982</v>
      </c>
      <c r="E916" s="8" t="n">
        <v>3</v>
      </c>
      <c r="F916" s="8" t="str">
        <f aca="false">IF(E916&gt;=9,"Promoter",IF(E916&gt;=7,"Passive","Detractor"))</f>
        <v>Detractor</v>
      </c>
    </row>
    <row r="917" customFormat="false" ht="15" hidden="false" customHeight="false" outlineLevel="0" collapsed="false">
      <c r="A917" s="8" t="s">
        <v>5521</v>
      </c>
      <c r="B917" s="8" t="s">
        <v>2206</v>
      </c>
      <c r="C917" s="8" t="s">
        <v>51</v>
      </c>
      <c r="D917" s="32" t="n">
        <v>45982</v>
      </c>
      <c r="E917" s="8" t="n">
        <v>7</v>
      </c>
      <c r="F917" s="8" t="str">
        <f aca="false">IF(E917&gt;=9,"Promoter",IF(E917&gt;=7,"Passive","Detractor"))</f>
        <v>Passive</v>
      </c>
    </row>
    <row r="918" customFormat="false" ht="15" hidden="false" customHeight="false" outlineLevel="0" collapsed="false">
      <c r="A918" s="8" t="s">
        <v>5522</v>
      </c>
      <c r="B918" s="8" t="s">
        <v>1749</v>
      </c>
      <c r="C918" s="8" t="s">
        <v>53</v>
      </c>
      <c r="D918" s="32" t="n">
        <v>45983</v>
      </c>
      <c r="E918" s="8" t="n">
        <v>10</v>
      </c>
      <c r="F918" s="8" t="str">
        <f aca="false">IF(E918&gt;=9,"Promoter",IF(E918&gt;=7,"Passive","Detractor"))</f>
        <v>Promoter</v>
      </c>
    </row>
    <row r="919" customFormat="false" ht="15" hidden="false" customHeight="false" outlineLevel="0" collapsed="false">
      <c r="A919" s="8" t="s">
        <v>5523</v>
      </c>
      <c r="B919" s="8" t="s">
        <v>3052</v>
      </c>
      <c r="C919" s="8" t="s">
        <v>51</v>
      </c>
      <c r="D919" s="32" t="n">
        <v>45983</v>
      </c>
      <c r="E919" s="8" t="n">
        <v>10</v>
      </c>
      <c r="F919" s="8" t="str">
        <f aca="false">IF(E919&gt;=9,"Promoter",IF(E919&gt;=7,"Passive","Detractor"))</f>
        <v>Promoter</v>
      </c>
    </row>
    <row r="920" customFormat="false" ht="15" hidden="false" customHeight="false" outlineLevel="0" collapsed="false">
      <c r="A920" s="8" t="s">
        <v>5524</v>
      </c>
      <c r="B920" s="8" t="s">
        <v>3406</v>
      </c>
      <c r="C920" s="8" t="s">
        <v>51</v>
      </c>
      <c r="D920" s="32" t="n">
        <v>45983</v>
      </c>
      <c r="E920" s="8" t="n">
        <v>6</v>
      </c>
      <c r="F920" s="8" t="str">
        <f aca="false">IF(E920&gt;=9,"Promoter",IF(E920&gt;=7,"Passive","Detractor"))</f>
        <v>Detractor</v>
      </c>
    </row>
    <row r="921" customFormat="false" ht="15" hidden="false" customHeight="false" outlineLevel="0" collapsed="false">
      <c r="A921" s="8" t="s">
        <v>5525</v>
      </c>
      <c r="B921" s="8" t="s">
        <v>3680</v>
      </c>
      <c r="C921" s="8" t="s">
        <v>51</v>
      </c>
      <c r="D921" s="32" t="n">
        <v>45983</v>
      </c>
      <c r="E921" s="8" t="n">
        <v>5</v>
      </c>
      <c r="F921" s="8" t="str">
        <f aca="false">IF(E921&gt;=9,"Promoter",IF(E921&gt;=7,"Passive","Detractor"))</f>
        <v>Detractor</v>
      </c>
    </row>
    <row r="922" customFormat="false" ht="15" hidden="false" customHeight="false" outlineLevel="0" collapsed="false">
      <c r="A922" s="8" t="s">
        <v>5526</v>
      </c>
      <c r="B922" s="8" t="s">
        <v>4442</v>
      </c>
      <c r="C922" s="8" t="s">
        <v>53</v>
      </c>
      <c r="D922" s="32" t="n">
        <v>45983</v>
      </c>
      <c r="E922" s="8" t="n">
        <v>9</v>
      </c>
      <c r="F922" s="8" t="str">
        <f aca="false">IF(E922&gt;=9,"Promoter",IF(E922&gt;=7,"Passive","Detractor"))</f>
        <v>Promoter</v>
      </c>
    </row>
    <row r="923" customFormat="false" ht="15" hidden="false" customHeight="false" outlineLevel="0" collapsed="false">
      <c r="A923" s="8" t="s">
        <v>5527</v>
      </c>
      <c r="B923" s="8" t="s">
        <v>1615</v>
      </c>
      <c r="C923" s="8" t="s">
        <v>53</v>
      </c>
      <c r="D923" s="32" t="n">
        <v>45983</v>
      </c>
      <c r="E923" s="8" t="n">
        <v>9</v>
      </c>
      <c r="F923" s="8" t="str">
        <f aca="false">IF(E923&gt;=9,"Promoter",IF(E923&gt;=7,"Passive","Detractor"))</f>
        <v>Promoter</v>
      </c>
    </row>
    <row r="924" customFormat="false" ht="15" hidden="false" customHeight="false" outlineLevel="0" collapsed="false">
      <c r="A924" s="8" t="s">
        <v>5528</v>
      </c>
      <c r="B924" s="8" t="s">
        <v>2021</v>
      </c>
      <c r="C924" s="8" t="s">
        <v>51</v>
      </c>
      <c r="D924" s="32" t="n">
        <v>45983</v>
      </c>
      <c r="E924" s="8" t="n">
        <v>9</v>
      </c>
      <c r="F924" s="8" t="str">
        <f aca="false">IF(E924&gt;=9,"Promoter",IF(E924&gt;=7,"Passive","Detractor"))</f>
        <v>Promoter</v>
      </c>
    </row>
    <row r="925" customFormat="false" ht="15" hidden="false" customHeight="false" outlineLevel="0" collapsed="false">
      <c r="A925" s="8" t="s">
        <v>5529</v>
      </c>
      <c r="B925" s="8" t="s">
        <v>3236</v>
      </c>
      <c r="C925" s="8" t="s">
        <v>51</v>
      </c>
      <c r="D925" s="32" t="n">
        <v>45983</v>
      </c>
      <c r="E925" s="8" t="n">
        <v>10</v>
      </c>
      <c r="F925" s="8" t="str">
        <f aca="false">IF(E925&gt;=9,"Promoter",IF(E925&gt;=7,"Passive","Detractor"))</f>
        <v>Promoter</v>
      </c>
    </row>
    <row r="926" customFormat="false" ht="15" hidden="false" customHeight="false" outlineLevel="0" collapsed="false">
      <c r="A926" s="8" t="s">
        <v>5530</v>
      </c>
      <c r="B926" s="8" t="s">
        <v>3846</v>
      </c>
      <c r="C926" s="8" t="s">
        <v>51</v>
      </c>
      <c r="D926" s="32" t="n">
        <v>45983</v>
      </c>
      <c r="E926" s="8" t="n">
        <v>9</v>
      </c>
      <c r="F926" s="8" t="str">
        <f aca="false">IF(E926&gt;=9,"Promoter",IF(E926&gt;=7,"Passive","Detractor"))</f>
        <v>Promoter</v>
      </c>
    </row>
    <row r="927" customFormat="false" ht="15" hidden="false" customHeight="false" outlineLevel="0" collapsed="false">
      <c r="A927" s="8" t="s">
        <v>5531</v>
      </c>
      <c r="B927" s="8" t="s">
        <v>4555</v>
      </c>
      <c r="C927" s="8" t="s">
        <v>51</v>
      </c>
      <c r="D927" s="32" t="n">
        <v>45983</v>
      </c>
      <c r="E927" s="8" t="n">
        <v>5</v>
      </c>
      <c r="F927" s="8" t="str">
        <f aca="false">IF(E927&gt;=9,"Promoter",IF(E927&gt;=7,"Passive","Detractor"))</f>
        <v>Detractor</v>
      </c>
    </row>
    <row r="928" customFormat="false" ht="15" hidden="false" customHeight="false" outlineLevel="0" collapsed="false">
      <c r="A928" s="8" t="s">
        <v>5532</v>
      </c>
      <c r="B928" s="8" t="s">
        <v>290</v>
      </c>
      <c r="C928" s="8" t="s">
        <v>55</v>
      </c>
      <c r="D928" s="32" t="n">
        <v>45983</v>
      </c>
      <c r="E928" s="8" t="n">
        <v>10</v>
      </c>
      <c r="F928" s="8" t="str">
        <f aca="false">IF(E928&gt;=9,"Promoter",IF(E928&gt;=7,"Passive","Detractor"))</f>
        <v>Promoter</v>
      </c>
    </row>
    <row r="929" customFormat="false" ht="15" hidden="false" customHeight="false" outlineLevel="0" collapsed="false">
      <c r="A929" s="8" t="s">
        <v>5533</v>
      </c>
      <c r="B929" s="8" t="s">
        <v>1867</v>
      </c>
      <c r="C929" s="8" t="s">
        <v>51</v>
      </c>
      <c r="D929" s="32" t="n">
        <v>45983</v>
      </c>
      <c r="E929" s="8" t="n">
        <v>7</v>
      </c>
      <c r="F929" s="8" t="str">
        <f aca="false">IF(E929&gt;=9,"Promoter",IF(E929&gt;=7,"Passive","Detractor"))</f>
        <v>Passive</v>
      </c>
    </row>
    <row r="930" customFormat="false" ht="15" hidden="false" customHeight="false" outlineLevel="0" collapsed="false">
      <c r="A930" s="8" t="s">
        <v>5534</v>
      </c>
      <c r="B930" s="8" t="s">
        <v>421</v>
      </c>
      <c r="C930" s="8" t="s">
        <v>55</v>
      </c>
      <c r="D930" s="32" t="n">
        <v>45984</v>
      </c>
      <c r="E930" s="8" t="n">
        <v>3</v>
      </c>
      <c r="F930" s="8" t="str">
        <f aca="false">IF(E930&gt;=9,"Promoter",IF(E930&gt;=7,"Passive","Detractor"))</f>
        <v>Detractor</v>
      </c>
    </row>
    <row r="931" customFormat="false" ht="15" hidden="false" customHeight="false" outlineLevel="0" collapsed="false">
      <c r="A931" s="8" t="s">
        <v>5535</v>
      </c>
      <c r="B931" s="8" t="s">
        <v>2450</v>
      </c>
      <c r="C931" s="8" t="s">
        <v>51</v>
      </c>
      <c r="D931" s="32" t="n">
        <v>45984</v>
      </c>
      <c r="E931" s="8" t="n">
        <v>6</v>
      </c>
      <c r="F931" s="8" t="str">
        <f aca="false">IF(E931&gt;=9,"Promoter",IF(E931&gt;=7,"Passive","Detractor"))</f>
        <v>Detractor</v>
      </c>
    </row>
    <row r="932" customFormat="false" ht="15" hidden="false" customHeight="false" outlineLevel="0" collapsed="false">
      <c r="A932" s="8" t="s">
        <v>5536</v>
      </c>
      <c r="B932" s="8" t="s">
        <v>1969</v>
      </c>
      <c r="C932" s="8" t="s">
        <v>51</v>
      </c>
      <c r="D932" s="32" t="n">
        <v>45984</v>
      </c>
      <c r="E932" s="8" t="n">
        <v>8</v>
      </c>
      <c r="F932" s="8" t="str">
        <f aca="false">IF(E932&gt;=9,"Promoter",IF(E932&gt;=7,"Passive","Detractor"))</f>
        <v>Passive</v>
      </c>
    </row>
    <row r="933" customFormat="false" ht="15" hidden="false" customHeight="false" outlineLevel="0" collapsed="false">
      <c r="A933" s="8" t="s">
        <v>5537</v>
      </c>
      <c r="B933" s="8" t="s">
        <v>4474</v>
      </c>
      <c r="C933" s="8" t="s">
        <v>53</v>
      </c>
      <c r="D933" s="32" t="n">
        <v>45984</v>
      </c>
      <c r="E933" s="8" t="n">
        <v>9</v>
      </c>
      <c r="F933" s="8" t="str">
        <f aca="false">IF(E933&gt;=9,"Promoter",IF(E933&gt;=7,"Passive","Detractor"))</f>
        <v>Promoter</v>
      </c>
    </row>
    <row r="934" customFormat="false" ht="15" hidden="false" customHeight="false" outlineLevel="0" collapsed="false">
      <c r="A934" s="8" t="s">
        <v>5538</v>
      </c>
      <c r="B934" s="8" t="s">
        <v>629</v>
      </c>
      <c r="C934" s="8" t="s">
        <v>53</v>
      </c>
      <c r="D934" s="32" t="n">
        <v>45984</v>
      </c>
      <c r="E934" s="8" t="n">
        <v>7</v>
      </c>
      <c r="F934" s="8" t="str">
        <f aca="false">IF(E934&gt;=9,"Promoter",IF(E934&gt;=7,"Passive","Detractor"))</f>
        <v>Passive</v>
      </c>
    </row>
    <row r="935" customFormat="false" ht="15" hidden="false" customHeight="false" outlineLevel="0" collapsed="false">
      <c r="A935" s="8" t="s">
        <v>5539</v>
      </c>
      <c r="B935" s="8" t="s">
        <v>3028</v>
      </c>
      <c r="C935" s="8" t="s">
        <v>51</v>
      </c>
      <c r="D935" s="32" t="n">
        <v>45984</v>
      </c>
      <c r="E935" s="8" t="n">
        <v>6</v>
      </c>
      <c r="F935" s="8" t="str">
        <f aca="false">IF(E935&gt;=9,"Promoter",IF(E935&gt;=7,"Passive","Detractor"))</f>
        <v>Detractor</v>
      </c>
    </row>
    <row r="936" customFormat="false" ht="15" hidden="false" customHeight="false" outlineLevel="0" collapsed="false">
      <c r="A936" s="8" t="s">
        <v>5540</v>
      </c>
      <c r="B936" s="8" t="s">
        <v>4422</v>
      </c>
      <c r="C936" s="8" t="s">
        <v>53</v>
      </c>
      <c r="D936" s="32" t="n">
        <v>45984</v>
      </c>
      <c r="E936" s="8" t="n">
        <v>6</v>
      </c>
      <c r="F936" s="8" t="str">
        <f aca="false">IF(E936&gt;=9,"Promoter",IF(E936&gt;=7,"Passive","Detractor"))</f>
        <v>Detractor</v>
      </c>
    </row>
    <row r="937" customFormat="false" ht="15" hidden="false" customHeight="false" outlineLevel="0" collapsed="false">
      <c r="A937" s="8" t="s">
        <v>5541</v>
      </c>
      <c r="B937" s="8" t="s">
        <v>2324</v>
      </c>
      <c r="C937" s="8" t="s">
        <v>51</v>
      </c>
      <c r="D937" s="32" t="n">
        <v>45984</v>
      </c>
      <c r="E937" s="8" t="n">
        <v>8</v>
      </c>
      <c r="F937" s="8" t="str">
        <f aca="false">IF(E937&gt;=9,"Promoter",IF(E937&gt;=7,"Passive","Detractor"))</f>
        <v>Passive</v>
      </c>
    </row>
    <row r="938" customFormat="false" ht="15" hidden="false" customHeight="false" outlineLevel="0" collapsed="false">
      <c r="A938" s="8" t="s">
        <v>5542</v>
      </c>
      <c r="B938" s="8" t="s">
        <v>3954</v>
      </c>
      <c r="C938" s="8" t="s">
        <v>51</v>
      </c>
      <c r="D938" s="32" t="n">
        <v>45985</v>
      </c>
      <c r="E938" s="8" t="n">
        <v>10</v>
      </c>
      <c r="F938" s="8" t="str">
        <f aca="false">IF(E938&gt;=9,"Promoter",IF(E938&gt;=7,"Passive","Detractor"))</f>
        <v>Promoter</v>
      </c>
    </row>
    <row r="939" customFormat="false" ht="15" hidden="false" customHeight="false" outlineLevel="0" collapsed="false">
      <c r="A939" s="8" t="s">
        <v>5543</v>
      </c>
      <c r="B939" s="8" t="s">
        <v>1029</v>
      </c>
      <c r="C939" s="8" t="s">
        <v>53</v>
      </c>
      <c r="D939" s="32" t="n">
        <v>45985</v>
      </c>
      <c r="E939" s="8" t="n">
        <v>9</v>
      </c>
      <c r="F939" s="8" t="str">
        <f aca="false">IF(E939&gt;=9,"Promoter",IF(E939&gt;=7,"Passive","Detractor"))</f>
        <v>Promoter</v>
      </c>
    </row>
    <row r="940" customFormat="false" ht="15" hidden="false" customHeight="false" outlineLevel="0" collapsed="false">
      <c r="A940" s="8" t="s">
        <v>5544</v>
      </c>
      <c r="B940" s="8" t="s">
        <v>4170</v>
      </c>
      <c r="C940" s="8" t="s">
        <v>51</v>
      </c>
      <c r="D940" s="32" t="n">
        <v>45985</v>
      </c>
      <c r="E940" s="8" t="n">
        <v>6</v>
      </c>
      <c r="F940" s="8" t="str">
        <f aca="false">IF(E940&gt;=9,"Promoter",IF(E940&gt;=7,"Passive","Detractor"))</f>
        <v>Detractor</v>
      </c>
    </row>
    <row r="941" customFormat="false" ht="15" hidden="false" customHeight="false" outlineLevel="0" collapsed="false">
      <c r="A941" s="8" t="s">
        <v>5545</v>
      </c>
      <c r="B941" s="8" t="s">
        <v>1619</v>
      </c>
      <c r="C941" s="8" t="s">
        <v>53</v>
      </c>
      <c r="D941" s="32" t="n">
        <v>45985</v>
      </c>
      <c r="E941" s="8" t="n">
        <v>7</v>
      </c>
      <c r="F941" s="8" t="str">
        <f aca="false">IF(E941&gt;=9,"Promoter",IF(E941&gt;=7,"Passive","Detractor"))</f>
        <v>Passive</v>
      </c>
    </row>
    <row r="942" customFormat="false" ht="15" hidden="false" customHeight="false" outlineLevel="0" collapsed="false">
      <c r="A942" s="8" t="s">
        <v>5546</v>
      </c>
      <c r="B942" s="8" t="s">
        <v>1933</v>
      </c>
      <c r="C942" s="8" t="s">
        <v>51</v>
      </c>
      <c r="D942" s="32" t="n">
        <v>45985</v>
      </c>
      <c r="E942" s="8" t="n">
        <v>10</v>
      </c>
      <c r="F942" s="8" t="str">
        <f aca="false">IF(E942&gt;=9,"Promoter",IF(E942&gt;=7,"Passive","Detractor"))</f>
        <v>Promoter</v>
      </c>
    </row>
    <row r="943" customFormat="false" ht="15" hidden="false" customHeight="false" outlineLevel="0" collapsed="false">
      <c r="A943" s="8" t="s">
        <v>5547</v>
      </c>
      <c r="B943" s="8" t="s">
        <v>1051</v>
      </c>
      <c r="C943" s="8" t="s">
        <v>53</v>
      </c>
      <c r="D943" s="32" t="n">
        <v>45985</v>
      </c>
      <c r="E943" s="8" t="n">
        <v>7</v>
      </c>
      <c r="F943" s="8" t="str">
        <f aca="false">IF(E943&gt;=9,"Promoter",IF(E943&gt;=7,"Passive","Detractor"))</f>
        <v>Passive</v>
      </c>
    </row>
    <row r="944" customFormat="false" ht="15" hidden="false" customHeight="false" outlineLevel="0" collapsed="false">
      <c r="A944" s="8" t="s">
        <v>5548</v>
      </c>
      <c r="B944" s="8" t="s">
        <v>401</v>
      </c>
      <c r="C944" s="8" t="s">
        <v>55</v>
      </c>
      <c r="D944" s="32" t="n">
        <v>45986</v>
      </c>
      <c r="E944" s="8" t="n">
        <v>5</v>
      </c>
      <c r="F944" s="8" t="str">
        <f aca="false">IF(E944&gt;=9,"Promoter",IF(E944&gt;=7,"Passive","Detractor"))</f>
        <v>Detractor</v>
      </c>
    </row>
    <row r="945" customFormat="false" ht="15" hidden="false" customHeight="false" outlineLevel="0" collapsed="false">
      <c r="A945" s="8" t="s">
        <v>5549</v>
      </c>
      <c r="B945" s="8" t="s">
        <v>4535</v>
      </c>
      <c r="C945" s="8" t="s">
        <v>51</v>
      </c>
      <c r="D945" s="32" t="n">
        <v>45986</v>
      </c>
      <c r="E945" s="8" t="n">
        <v>8</v>
      </c>
      <c r="F945" s="8" t="str">
        <f aca="false">IF(E945&gt;=9,"Promoter",IF(E945&gt;=7,"Passive","Detractor"))</f>
        <v>Passive</v>
      </c>
    </row>
    <row r="946" customFormat="false" ht="15" hidden="false" customHeight="false" outlineLevel="0" collapsed="false">
      <c r="A946" s="8" t="s">
        <v>5550</v>
      </c>
      <c r="B946" s="8" t="s">
        <v>1855</v>
      </c>
      <c r="C946" s="8" t="s">
        <v>51</v>
      </c>
      <c r="D946" s="32" t="n">
        <v>45986</v>
      </c>
      <c r="E946" s="8" t="n">
        <v>10</v>
      </c>
      <c r="F946" s="8" t="str">
        <f aca="false">IF(E946&gt;=9,"Promoter",IF(E946&gt;=7,"Passive","Detractor"))</f>
        <v>Promoter</v>
      </c>
    </row>
    <row r="947" customFormat="false" ht="15" hidden="false" customHeight="false" outlineLevel="0" collapsed="false">
      <c r="A947" s="8" t="s">
        <v>5551</v>
      </c>
      <c r="B947" s="8" t="s">
        <v>3634</v>
      </c>
      <c r="C947" s="8" t="s">
        <v>51</v>
      </c>
      <c r="D947" s="32" t="n">
        <v>45986</v>
      </c>
      <c r="E947" s="8" t="n">
        <v>10</v>
      </c>
      <c r="F947" s="8" t="str">
        <f aca="false">IF(E947&gt;=9,"Promoter",IF(E947&gt;=7,"Passive","Detractor"))</f>
        <v>Promoter</v>
      </c>
    </row>
    <row r="948" customFormat="false" ht="15" hidden="false" customHeight="false" outlineLevel="0" collapsed="false">
      <c r="A948" s="8" t="s">
        <v>5552</v>
      </c>
      <c r="B948" s="8" t="s">
        <v>2056</v>
      </c>
      <c r="C948" s="8" t="s">
        <v>51</v>
      </c>
      <c r="D948" s="32" t="n">
        <v>45986</v>
      </c>
      <c r="E948" s="8" t="n">
        <v>8</v>
      </c>
      <c r="F948" s="8" t="str">
        <f aca="false">IF(E948&gt;=9,"Promoter",IF(E948&gt;=7,"Passive","Detractor"))</f>
        <v>Passive</v>
      </c>
    </row>
    <row r="949" customFormat="false" ht="15" hidden="false" customHeight="false" outlineLevel="0" collapsed="false">
      <c r="A949" s="8" t="s">
        <v>5553</v>
      </c>
      <c r="B949" s="8" t="s">
        <v>1307</v>
      </c>
      <c r="C949" s="8" t="s">
        <v>53</v>
      </c>
      <c r="D949" s="32" t="n">
        <v>45986</v>
      </c>
      <c r="E949" s="8" t="n">
        <v>10</v>
      </c>
      <c r="F949" s="8" t="str">
        <f aca="false">IF(E949&gt;=9,"Promoter",IF(E949&gt;=7,"Passive","Detractor"))</f>
        <v>Promoter</v>
      </c>
    </row>
    <row r="950" customFormat="false" ht="15" hidden="false" customHeight="false" outlineLevel="0" collapsed="false">
      <c r="A950" s="8" t="s">
        <v>5554</v>
      </c>
      <c r="B950" s="8" t="s">
        <v>1935</v>
      </c>
      <c r="C950" s="8" t="s">
        <v>51</v>
      </c>
      <c r="D950" s="32" t="n">
        <v>45992</v>
      </c>
      <c r="E950" s="8" t="n">
        <v>8</v>
      </c>
      <c r="F950" s="8" t="str">
        <f aca="false">IF(E950&gt;=9,"Promoter",IF(E950&gt;=7,"Passive","Detractor"))</f>
        <v>Passive</v>
      </c>
    </row>
    <row r="951" customFormat="false" ht="15" hidden="false" customHeight="false" outlineLevel="0" collapsed="false">
      <c r="A951" s="8" t="s">
        <v>5555</v>
      </c>
      <c r="B951" s="8" t="s">
        <v>4478</v>
      </c>
      <c r="C951" s="8" t="s">
        <v>53</v>
      </c>
      <c r="D951" s="32" t="n">
        <v>45992</v>
      </c>
      <c r="E951" s="8" t="n">
        <v>10</v>
      </c>
      <c r="F951" s="8" t="str">
        <f aca="false">IF(E951&gt;=9,"Promoter",IF(E951&gt;=7,"Passive","Detractor"))</f>
        <v>Promoter</v>
      </c>
    </row>
    <row r="952" customFormat="false" ht="15" hidden="false" customHeight="false" outlineLevel="0" collapsed="false">
      <c r="A952" s="8" t="s">
        <v>5556</v>
      </c>
      <c r="B952" s="8" t="s">
        <v>3992</v>
      </c>
      <c r="C952" s="8" t="s">
        <v>51</v>
      </c>
      <c r="D952" s="32" t="n">
        <v>45992</v>
      </c>
      <c r="E952" s="8" t="n">
        <v>8</v>
      </c>
      <c r="F952" s="8" t="str">
        <f aca="false">IF(E952&gt;=9,"Promoter",IF(E952&gt;=7,"Passive","Detractor"))</f>
        <v>Passive</v>
      </c>
    </row>
    <row r="953" customFormat="false" ht="15" hidden="false" customHeight="false" outlineLevel="0" collapsed="false">
      <c r="A953" s="8" t="s">
        <v>5557</v>
      </c>
      <c r="B953" s="8" t="s">
        <v>2452</v>
      </c>
      <c r="C953" s="8" t="s">
        <v>51</v>
      </c>
      <c r="D953" s="32" t="n">
        <v>45992</v>
      </c>
      <c r="E953" s="8" t="n">
        <v>10</v>
      </c>
      <c r="F953" s="8" t="str">
        <f aca="false">IF(E953&gt;=9,"Promoter",IF(E953&gt;=7,"Passive","Detractor"))</f>
        <v>Promoter</v>
      </c>
    </row>
    <row r="954" customFormat="false" ht="15" hidden="false" customHeight="false" outlineLevel="0" collapsed="false">
      <c r="A954" s="8" t="s">
        <v>5558</v>
      </c>
      <c r="B954" s="8" t="s">
        <v>3108</v>
      </c>
      <c r="C954" s="8" t="s">
        <v>51</v>
      </c>
      <c r="D954" s="32" t="n">
        <v>45992</v>
      </c>
      <c r="E954" s="8" t="n">
        <v>5</v>
      </c>
      <c r="F954" s="8" t="str">
        <f aca="false">IF(E954&gt;=9,"Promoter",IF(E954&gt;=7,"Passive","Detractor"))</f>
        <v>Detractor</v>
      </c>
    </row>
    <row r="955" customFormat="false" ht="15" hidden="false" customHeight="false" outlineLevel="0" collapsed="false">
      <c r="A955" s="8" t="s">
        <v>5559</v>
      </c>
      <c r="B955" s="8" t="s">
        <v>469</v>
      </c>
      <c r="C955" s="8" t="s">
        <v>53</v>
      </c>
      <c r="D955" s="32" t="n">
        <v>45992</v>
      </c>
      <c r="E955" s="8" t="n">
        <v>10</v>
      </c>
      <c r="F955" s="8" t="str">
        <f aca="false">IF(E955&gt;=9,"Promoter",IF(E955&gt;=7,"Passive","Detractor"))</f>
        <v>Promoter</v>
      </c>
    </row>
    <row r="956" customFormat="false" ht="15" hidden="false" customHeight="false" outlineLevel="0" collapsed="false">
      <c r="A956" s="8" t="s">
        <v>5560</v>
      </c>
      <c r="B956" s="8" t="s">
        <v>681</v>
      </c>
      <c r="C956" s="8" t="s">
        <v>53</v>
      </c>
      <c r="D956" s="32" t="n">
        <v>45993</v>
      </c>
      <c r="E956" s="8" t="n">
        <v>10</v>
      </c>
      <c r="F956" s="8" t="str">
        <f aca="false">IF(E956&gt;=9,"Promoter",IF(E956&gt;=7,"Passive","Detractor"))</f>
        <v>Promoter</v>
      </c>
    </row>
    <row r="957" customFormat="false" ht="15" hidden="false" customHeight="false" outlineLevel="0" collapsed="false">
      <c r="A957" s="8" t="s">
        <v>5561</v>
      </c>
      <c r="B957" s="8" t="s">
        <v>3698</v>
      </c>
      <c r="C957" s="8" t="s">
        <v>51</v>
      </c>
      <c r="D957" s="32" t="n">
        <v>45993</v>
      </c>
      <c r="E957" s="8" t="n">
        <v>7</v>
      </c>
      <c r="F957" s="8" t="str">
        <f aca="false">IF(E957&gt;=9,"Promoter",IF(E957&gt;=7,"Passive","Detractor"))</f>
        <v>Passive</v>
      </c>
    </row>
    <row r="958" customFormat="false" ht="15" hidden="false" customHeight="false" outlineLevel="0" collapsed="false">
      <c r="A958" s="8" t="s">
        <v>5562</v>
      </c>
      <c r="B958" s="8" t="s">
        <v>1027</v>
      </c>
      <c r="C958" s="8" t="s">
        <v>53</v>
      </c>
      <c r="D958" s="32" t="n">
        <v>45993</v>
      </c>
      <c r="E958" s="8" t="n">
        <v>8</v>
      </c>
      <c r="F958" s="8" t="str">
        <f aca="false">IF(E958&gt;=9,"Promoter",IF(E958&gt;=7,"Passive","Detractor"))</f>
        <v>Passive</v>
      </c>
    </row>
    <row r="959" customFormat="false" ht="15" hidden="false" customHeight="false" outlineLevel="0" collapsed="false">
      <c r="A959" s="8" t="s">
        <v>5563</v>
      </c>
      <c r="B959" s="8" t="s">
        <v>1109</v>
      </c>
      <c r="C959" s="8" t="s">
        <v>53</v>
      </c>
      <c r="D959" s="32" t="n">
        <v>45993</v>
      </c>
      <c r="E959" s="8" t="n">
        <v>8</v>
      </c>
      <c r="F959" s="8" t="str">
        <f aca="false">IF(E959&gt;=9,"Promoter",IF(E959&gt;=7,"Passive","Detractor"))</f>
        <v>Passive</v>
      </c>
    </row>
    <row r="960" customFormat="false" ht="15" hidden="false" customHeight="false" outlineLevel="0" collapsed="false">
      <c r="A960" s="8" t="s">
        <v>5564</v>
      </c>
      <c r="B960" s="8" t="s">
        <v>3268</v>
      </c>
      <c r="C960" s="8" t="s">
        <v>51</v>
      </c>
      <c r="D960" s="32" t="n">
        <v>45993</v>
      </c>
      <c r="E960" s="8" t="n">
        <v>9</v>
      </c>
      <c r="F960" s="8" t="str">
        <f aca="false">IF(E960&gt;=9,"Promoter",IF(E960&gt;=7,"Passive","Detractor"))</f>
        <v>Promoter</v>
      </c>
    </row>
    <row r="961" customFormat="false" ht="15" hidden="false" customHeight="false" outlineLevel="0" collapsed="false">
      <c r="A961" s="8" t="s">
        <v>5565</v>
      </c>
      <c r="B961" s="8" t="s">
        <v>991</v>
      </c>
      <c r="C961" s="8" t="s">
        <v>53</v>
      </c>
      <c r="D961" s="32" t="n">
        <v>45993</v>
      </c>
      <c r="E961" s="8" t="n">
        <v>9</v>
      </c>
      <c r="F961" s="8" t="str">
        <f aca="false">IF(E961&gt;=9,"Promoter",IF(E961&gt;=7,"Passive","Detractor"))</f>
        <v>Promoter</v>
      </c>
    </row>
    <row r="962" customFormat="false" ht="15" hidden="false" customHeight="false" outlineLevel="0" collapsed="false">
      <c r="A962" s="8" t="s">
        <v>5566</v>
      </c>
      <c r="B962" s="8" t="s">
        <v>4060</v>
      </c>
      <c r="C962" s="8" t="s">
        <v>51</v>
      </c>
      <c r="D962" s="32" t="n">
        <v>45993</v>
      </c>
      <c r="E962" s="8" t="n">
        <v>8</v>
      </c>
      <c r="F962" s="8" t="str">
        <f aca="false">IF(E962&gt;=9,"Promoter",IF(E962&gt;=7,"Passive","Detractor"))</f>
        <v>Passive</v>
      </c>
    </row>
    <row r="963" customFormat="false" ht="15" hidden="false" customHeight="false" outlineLevel="0" collapsed="false">
      <c r="A963" s="8" t="s">
        <v>5567</v>
      </c>
      <c r="B963" s="8" t="s">
        <v>4479</v>
      </c>
      <c r="C963" s="8" t="s">
        <v>53</v>
      </c>
      <c r="D963" s="32" t="n">
        <v>45993</v>
      </c>
      <c r="E963" s="8" t="n">
        <v>5</v>
      </c>
      <c r="F963" s="8" t="str">
        <f aca="false">IF(E963&gt;=9,"Promoter",IF(E963&gt;=7,"Passive","Detractor"))</f>
        <v>Detractor</v>
      </c>
    </row>
    <row r="964" customFormat="false" ht="15" hidden="false" customHeight="false" outlineLevel="0" collapsed="false">
      <c r="A964" s="8" t="s">
        <v>5568</v>
      </c>
      <c r="B964" s="8" t="s">
        <v>4148</v>
      </c>
      <c r="C964" s="8" t="s">
        <v>51</v>
      </c>
      <c r="D964" s="32" t="n">
        <v>45993</v>
      </c>
      <c r="E964" s="8" t="n">
        <v>10</v>
      </c>
      <c r="F964" s="8" t="str">
        <f aca="false">IF(E964&gt;=9,"Promoter",IF(E964&gt;=7,"Passive","Detractor"))</f>
        <v>Promoter</v>
      </c>
    </row>
    <row r="965" customFormat="false" ht="15" hidden="false" customHeight="false" outlineLevel="0" collapsed="false">
      <c r="A965" s="8" t="s">
        <v>5569</v>
      </c>
      <c r="B965" s="8" t="s">
        <v>649</v>
      </c>
      <c r="C965" s="8" t="s">
        <v>55</v>
      </c>
      <c r="D965" s="32" t="n">
        <v>45994</v>
      </c>
      <c r="E965" s="8" t="n">
        <v>7</v>
      </c>
      <c r="F965" s="8" t="str">
        <f aca="false">IF(E965&gt;=9,"Promoter",IF(E965&gt;=7,"Passive","Detractor"))</f>
        <v>Passive</v>
      </c>
    </row>
    <row r="966" customFormat="false" ht="15" hidden="false" customHeight="false" outlineLevel="0" collapsed="false">
      <c r="A966" s="8" t="s">
        <v>5570</v>
      </c>
      <c r="B966" s="8" t="s">
        <v>3624</v>
      </c>
      <c r="C966" s="8" t="s">
        <v>51</v>
      </c>
      <c r="D966" s="32" t="n">
        <v>45994</v>
      </c>
      <c r="E966" s="8" t="n">
        <v>10</v>
      </c>
      <c r="F966" s="8" t="str">
        <f aca="false">IF(E966&gt;=9,"Promoter",IF(E966&gt;=7,"Passive","Detractor"))</f>
        <v>Promoter</v>
      </c>
    </row>
    <row r="967" customFormat="false" ht="15" hidden="false" customHeight="false" outlineLevel="0" collapsed="false">
      <c r="A967" s="8" t="s">
        <v>5571</v>
      </c>
      <c r="B967" s="8" t="s">
        <v>2904</v>
      </c>
      <c r="C967" s="8" t="s">
        <v>51</v>
      </c>
      <c r="D967" s="32" t="n">
        <v>45994</v>
      </c>
      <c r="E967" s="8" t="n">
        <v>9</v>
      </c>
      <c r="F967" s="8" t="str">
        <f aca="false">IF(E967&gt;=9,"Promoter",IF(E967&gt;=7,"Passive","Detractor"))</f>
        <v>Promoter</v>
      </c>
    </row>
    <row r="968" customFormat="false" ht="15" hidden="false" customHeight="false" outlineLevel="0" collapsed="false">
      <c r="A968" s="8" t="s">
        <v>5572</v>
      </c>
      <c r="B968" s="8" t="s">
        <v>2512</v>
      </c>
      <c r="C968" s="8" t="s">
        <v>51</v>
      </c>
      <c r="D968" s="32" t="n">
        <v>45994</v>
      </c>
      <c r="E968" s="8" t="n">
        <v>8</v>
      </c>
      <c r="F968" s="8" t="str">
        <f aca="false">IF(E968&gt;=9,"Promoter",IF(E968&gt;=7,"Passive","Detractor"))</f>
        <v>Passive</v>
      </c>
    </row>
    <row r="969" customFormat="false" ht="15" hidden="false" customHeight="false" outlineLevel="0" collapsed="false">
      <c r="A969" s="8" t="s">
        <v>5573</v>
      </c>
      <c r="B969" s="8" t="s">
        <v>3410</v>
      </c>
      <c r="C969" s="8" t="s">
        <v>51</v>
      </c>
      <c r="D969" s="32" t="n">
        <v>45994</v>
      </c>
      <c r="E969" s="8" t="n">
        <v>10</v>
      </c>
      <c r="F969" s="8" t="str">
        <f aca="false">IF(E969&gt;=9,"Promoter",IF(E969&gt;=7,"Passive","Detractor"))</f>
        <v>Promoter</v>
      </c>
    </row>
    <row r="970" customFormat="false" ht="15" hidden="false" customHeight="false" outlineLevel="0" collapsed="false">
      <c r="A970" s="8" t="s">
        <v>5574</v>
      </c>
      <c r="B970" s="8" t="s">
        <v>2942</v>
      </c>
      <c r="C970" s="8" t="s">
        <v>51</v>
      </c>
      <c r="D970" s="32" t="n">
        <v>45994</v>
      </c>
      <c r="E970" s="8" t="n">
        <v>9</v>
      </c>
      <c r="F970" s="8" t="str">
        <f aca="false">IF(E970&gt;=9,"Promoter",IF(E970&gt;=7,"Passive","Detractor"))</f>
        <v>Promoter</v>
      </c>
    </row>
    <row r="971" customFormat="false" ht="15" hidden="false" customHeight="false" outlineLevel="0" collapsed="false">
      <c r="A971" s="8" t="s">
        <v>5575</v>
      </c>
      <c r="B971" s="8" t="s">
        <v>911</v>
      </c>
      <c r="C971" s="8" t="s">
        <v>53</v>
      </c>
      <c r="D971" s="32" t="n">
        <v>45994</v>
      </c>
      <c r="E971" s="8" t="n">
        <v>7</v>
      </c>
      <c r="F971" s="8" t="str">
        <f aca="false">IF(E971&gt;=9,"Promoter",IF(E971&gt;=7,"Passive","Detractor"))</f>
        <v>Passive</v>
      </c>
    </row>
    <row r="972" customFormat="false" ht="15" hidden="false" customHeight="false" outlineLevel="0" collapsed="false">
      <c r="A972" s="8" t="s">
        <v>5576</v>
      </c>
      <c r="B972" s="8" t="s">
        <v>2714</v>
      </c>
      <c r="C972" s="8" t="s">
        <v>51</v>
      </c>
      <c r="D972" s="32" t="n">
        <v>45994</v>
      </c>
      <c r="E972" s="8" t="n">
        <v>8</v>
      </c>
      <c r="F972" s="8" t="str">
        <f aca="false">IF(E972&gt;=9,"Promoter",IF(E972&gt;=7,"Passive","Detractor"))</f>
        <v>Passive</v>
      </c>
    </row>
    <row r="973" customFormat="false" ht="15" hidden="false" customHeight="false" outlineLevel="0" collapsed="false">
      <c r="A973" s="8" t="s">
        <v>5577</v>
      </c>
      <c r="B973" s="8" t="s">
        <v>1369</v>
      </c>
      <c r="C973" s="8" t="s">
        <v>53</v>
      </c>
      <c r="D973" s="32" t="n">
        <v>45994</v>
      </c>
      <c r="E973" s="8" t="n">
        <v>10</v>
      </c>
      <c r="F973" s="8" t="str">
        <f aca="false">IF(E973&gt;=9,"Promoter",IF(E973&gt;=7,"Passive","Detractor"))</f>
        <v>Promoter</v>
      </c>
    </row>
    <row r="974" customFormat="false" ht="15" hidden="false" customHeight="false" outlineLevel="0" collapsed="false">
      <c r="A974" s="8" t="s">
        <v>5578</v>
      </c>
      <c r="B974" s="8" t="s">
        <v>1227</v>
      </c>
      <c r="C974" s="8" t="s">
        <v>53</v>
      </c>
      <c r="D974" s="32" t="n">
        <v>45994</v>
      </c>
      <c r="E974" s="8" t="n">
        <v>7</v>
      </c>
      <c r="F974" s="8" t="str">
        <f aca="false">IF(E974&gt;=9,"Promoter",IF(E974&gt;=7,"Passive","Detractor"))</f>
        <v>Passive</v>
      </c>
    </row>
    <row r="975" customFormat="false" ht="15" hidden="false" customHeight="false" outlineLevel="0" collapsed="false">
      <c r="A975" s="8" t="s">
        <v>5579</v>
      </c>
      <c r="B975" s="8" t="s">
        <v>2174</v>
      </c>
      <c r="C975" s="8" t="s">
        <v>51</v>
      </c>
      <c r="D975" s="32" t="n">
        <v>45995</v>
      </c>
      <c r="E975" s="8" t="n">
        <v>10</v>
      </c>
      <c r="F975" s="8" t="str">
        <f aca="false">IF(E975&gt;=9,"Promoter",IF(E975&gt;=7,"Passive","Detractor"))</f>
        <v>Promoter</v>
      </c>
    </row>
    <row r="976" customFormat="false" ht="15" hidden="false" customHeight="false" outlineLevel="0" collapsed="false">
      <c r="A976" s="8" t="s">
        <v>5580</v>
      </c>
      <c r="B976" s="8" t="s">
        <v>3910</v>
      </c>
      <c r="C976" s="8" t="s">
        <v>51</v>
      </c>
      <c r="D976" s="32" t="n">
        <v>45995</v>
      </c>
      <c r="E976" s="8" t="n">
        <v>10</v>
      </c>
      <c r="F976" s="8" t="str">
        <f aca="false">IF(E976&gt;=9,"Promoter",IF(E976&gt;=7,"Passive","Detractor"))</f>
        <v>Promoter</v>
      </c>
    </row>
    <row r="977" customFormat="false" ht="15" hidden="false" customHeight="false" outlineLevel="0" collapsed="false">
      <c r="A977" s="8" t="s">
        <v>5581</v>
      </c>
      <c r="B977" s="8" t="s">
        <v>679</v>
      </c>
      <c r="C977" s="8" t="s">
        <v>53</v>
      </c>
      <c r="D977" s="32" t="n">
        <v>45995</v>
      </c>
      <c r="E977" s="8" t="n">
        <v>8</v>
      </c>
      <c r="F977" s="8" t="str">
        <f aca="false">IF(E977&gt;=9,"Promoter",IF(E977&gt;=7,"Passive","Detractor"))</f>
        <v>Passive</v>
      </c>
    </row>
    <row r="978" customFormat="false" ht="15" hidden="false" customHeight="false" outlineLevel="0" collapsed="false">
      <c r="A978" s="8" t="s">
        <v>5582</v>
      </c>
      <c r="B978" s="8" t="s">
        <v>965</v>
      </c>
      <c r="C978" s="8" t="s">
        <v>53</v>
      </c>
      <c r="D978" s="32" t="n">
        <v>45995</v>
      </c>
      <c r="E978" s="8" t="n">
        <v>7</v>
      </c>
      <c r="F978" s="8" t="str">
        <f aca="false">IF(E978&gt;=9,"Promoter",IF(E978&gt;=7,"Passive","Detractor"))</f>
        <v>Passive</v>
      </c>
    </row>
    <row r="979" customFormat="false" ht="15" hidden="false" customHeight="false" outlineLevel="0" collapsed="false">
      <c r="A979" s="8" t="s">
        <v>5583</v>
      </c>
      <c r="B979" s="8" t="s">
        <v>2514</v>
      </c>
      <c r="C979" s="8" t="s">
        <v>51</v>
      </c>
      <c r="D979" s="32" t="n">
        <v>45995</v>
      </c>
      <c r="E979" s="8" t="n">
        <v>8</v>
      </c>
      <c r="F979" s="8" t="str">
        <f aca="false">IF(E979&gt;=9,"Promoter",IF(E979&gt;=7,"Passive","Detractor"))</f>
        <v>Passive</v>
      </c>
    </row>
    <row r="980" customFormat="false" ht="15" hidden="false" customHeight="false" outlineLevel="0" collapsed="false">
      <c r="A980" s="8" t="s">
        <v>5584</v>
      </c>
      <c r="B980" s="8" t="s">
        <v>2826</v>
      </c>
      <c r="C980" s="8" t="s">
        <v>51</v>
      </c>
      <c r="D980" s="32" t="n">
        <v>45995</v>
      </c>
      <c r="E980" s="8" t="n">
        <v>3</v>
      </c>
      <c r="F980" s="8" t="str">
        <f aca="false">IF(E980&gt;=9,"Promoter",IF(E980&gt;=7,"Passive","Detractor"))</f>
        <v>Detractor</v>
      </c>
    </row>
    <row r="981" customFormat="false" ht="15" hidden="false" customHeight="false" outlineLevel="0" collapsed="false">
      <c r="A981" s="8" t="s">
        <v>5585</v>
      </c>
      <c r="B981" s="8" t="s">
        <v>2400</v>
      </c>
      <c r="C981" s="8" t="s">
        <v>51</v>
      </c>
      <c r="D981" s="32" t="n">
        <v>45995</v>
      </c>
      <c r="E981" s="8" t="n">
        <v>9</v>
      </c>
      <c r="F981" s="8" t="str">
        <f aca="false">IF(E981&gt;=9,"Promoter",IF(E981&gt;=7,"Passive","Detractor"))</f>
        <v>Promoter</v>
      </c>
    </row>
    <row r="982" customFormat="false" ht="15" hidden="false" customHeight="false" outlineLevel="0" collapsed="false">
      <c r="A982" s="8" t="s">
        <v>5586</v>
      </c>
      <c r="B982" s="8" t="s">
        <v>903</v>
      </c>
      <c r="C982" s="8" t="s">
        <v>53</v>
      </c>
      <c r="D982" s="32" t="n">
        <v>45995</v>
      </c>
      <c r="E982" s="8" t="n">
        <v>6</v>
      </c>
      <c r="F982" s="8" t="str">
        <f aca="false">IF(E982&gt;=9,"Promoter",IF(E982&gt;=7,"Passive","Detractor"))</f>
        <v>Detractor</v>
      </c>
    </row>
    <row r="983" customFormat="false" ht="15" hidden="false" customHeight="false" outlineLevel="0" collapsed="false">
      <c r="A983" s="8" t="s">
        <v>5587</v>
      </c>
      <c r="B983" s="8" t="s">
        <v>1229</v>
      </c>
      <c r="C983" s="8" t="s">
        <v>53</v>
      </c>
      <c r="D983" s="32" t="n">
        <v>45996</v>
      </c>
      <c r="E983" s="8" t="n">
        <v>7</v>
      </c>
      <c r="F983" s="8" t="str">
        <f aca="false">IF(E983&gt;=9,"Promoter",IF(E983&gt;=7,"Passive","Detractor"))</f>
        <v>Passive</v>
      </c>
    </row>
    <row r="984" customFormat="false" ht="15" hidden="false" customHeight="false" outlineLevel="0" collapsed="false">
      <c r="A984" s="8" t="s">
        <v>5588</v>
      </c>
      <c r="B984" s="8" t="s">
        <v>3866</v>
      </c>
      <c r="C984" s="8" t="s">
        <v>51</v>
      </c>
      <c r="D984" s="32" t="n">
        <v>45996</v>
      </c>
      <c r="E984" s="8" t="n">
        <v>10</v>
      </c>
      <c r="F984" s="8" t="str">
        <f aca="false">IF(E984&gt;=9,"Promoter",IF(E984&gt;=7,"Passive","Detractor"))</f>
        <v>Promoter</v>
      </c>
    </row>
    <row r="985" customFormat="false" ht="15" hidden="false" customHeight="false" outlineLevel="0" collapsed="false">
      <c r="A985" s="8" t="s">
        <v>5589</v>
      </c>
      <c r="B985" s="8" t="s">
        <v>2256</v>
      </c>
      <c r="C985" s="8" t="s">
        <v>51</v>
      </c>
      <c r="D985" s="32" t="n">
        <v>45996</v>
      </c>
      <c r="E985" s="8" t="n">
        <v>9</v>
      </c>
      <c r="F985" s="8" t="str">
        <f aca="false">IF(E985&gt;=9,"Promoter",IF(E985&gt;=7,"Passive","Detractor"))</f>
        <v>Promoter</v>
      </c>
    </row>
    <row r="986" customFormat="false" ht="15" hidden="false" customHeight="false" outlineLevel="0" collapsed="false">
      <c r="A986" s="8" t="s">
        <v>5590</v>
      </c>
      <c r="B986" s="8" t="s">
        <v>1105</v>
      </c>
      <c r="C986" s="8" t="s">
        <v>53</v>
      </c>
      <c r="D986" s="32" t="n">
        <v>45996</v>
      </c>
      <c r="E986" s="8" t="n">
        <v>6</v>
      </c>
      <c r="F986" s="8" t="str">
        <f aca="false">IF(E986&gt;=9,"Promoter",IF(E986&gt;=7,"Passive","Detractor"))</f>
        <v>Detractor</v>
      </c>
    </row>
    <row r="987" customFormat="false" ht="15" hidden="false" customHeight="false" outlineLevel="0" collapsed="false">
      <c r="A987" s="8" t="s">
        <v>5591</v>
      </c>
      <c r="B987" s="8" t="s">
        <v>4244</v>
      </c>
      <c r="C987" s="8" t="s">
        <v>51</v>
      </c>
      <c r="D987" s="32" t="n">
        <v>45996</v>
      </c>
      <c r="E987" s="8" t="n">
        <v>7</v>
      </c>
      <c r="F987" s="8" t="str">
        <f aca="false">IF(E987&gt;=9,"Promoter",IF(E987&gt;=7,"Passive","Detractor"))</f>
        <v>Passive</v>
      </c>
    </row>
    <row r="988" customFormat="false" ht="15" hidden="false" customHeight="false" outlineLevel="0" collapsed="false">
      <c r="A988" s="8" t="s">
        <v>5592</v>
      </c>
      <c r="B988" s="8" t="s">
        <v>1173</v>
      </c>
      <c r="C988" s="8" t="s">
        <v>53</v>
      </c>
      <c r="D988" s="32" t="n">
        <v>45996</v>
      </c>
      <c r="E988" s="8" t="n">
        <v>7</v>
      </c>
      <c r="F988" s="8" t="str">
        <f aca="false">IF(E988&gt;=9,"Promoter",IF(E988&gt;=7,"Passive","Detractor"))</f>
        <v>Passive</v>
      </c>
    </row>
    <row r="989" customFormat="false" ht="15" hidden="false" customHeight="false" outlineLevel="0" collapsed="false">
      <c r="A989" s="8" t="s">
        <v>5593</v>
      </c>
      <c r="B989" s="8" t="s">
        <v>2464</v>
      </c>
      <c r="C989" s="8" t="s">
        <v>51</v>
      </c>
      <c r="D989" s="32" t="n">
        <v>45996</v>
      </c>
      <c r="E989" s="8" t="n">
        <v>8</v>
      </c>
      <c r="F989" s="8" t="str">
        <f aca="false">IF(E989&gt;=9,"Promoter",IF(E989&gt;=7,"Passive","Detractor"))</f>
        <v>Passive</v>
      </c>
    </row>
    <row r="990" customFormat="false" ht="15" hidden="false" customHeight="false" outlineLevel="0" collapsed="false">
      <c r="A990" s="8" t="s">
        <v>5594</v>
      </c>
      <c r="B990" s="8" t="s">
        <v>1403</v>
      </c>
      <c r="C990" s="8" t="s">
        <v>53</v>
      </c>
      <c r="D990" s="32" t="n">
        <v>45996</v>
      </c>
      <c r="E990" s="8" t="n">
        <v>9</v>
      </c>
      <c r="F990" s="8" t="str">
        <f aca="false">IF(E990&gt;=9,"Promoter",IF(E990&gt;=7,"Passive","Detractor"))</f>
        <v>Promoter</v>
      </c>
    </row>
    <row r="991" customFormat="false" ht="15" hidden="false" customHeight="false" outlineLevel="0" collapsed="false">
      <c r="A991" s="8" t="s">
        <v>5595</v>
      </c>
      <c r="B991" s="8" t="s">
        <v>4546</v>
      </c>
      <c r="C991" s="8" t="s">
        <v>51</v>
      </c>
      <c r="D991" s="32" t="n">
        <v>45996</v>
      </c>
      <c r="E991" s="8" t="n">
        <v>10</v>
      </c>
      <c r="F991" s="8" t="str">
        <f aca="false">IF(E991&gt;=9,"Promoter",IF(E991&gt;=7,"Passive","Detractor"))</f>
        <v>Promoter</v>
      </c>
    </row>
    <row r="992" customFormat="false" ht="15" hidden="false" customHeight="false" outlineLevel="0" collapsed="false">
      <c r="A992" s="8" t="s">
        <v>5596</v>
      </c>
      <c r="B992" s="8" t="s">
        <v>1053</v>
      </c>
      <c r="C992" s="8" t="s">
        <v>53</v>
      </c>
      <c r="D992" s="32" t="n">
        <v>45996</v>
      </c>
      <c r="E992" s="8" t="n">
        <v>9</v>
      </c>
      <c r="F992" s="8" t="str">
        <f aca="false">IF(E992&gt;=9,"Promoter",IF(E992&gt;=7,"Passive","Detractor"))</f>
        <v>Promoter</v>
      </c>
    </row>
    <row r="993" customFormat="false" ht="15" hidden="false" customHeight="false" outlineLevel="0" collapsed="false">
      <c r="A993" s="8" t="s">
        <v>5597</v>
      </c>
      <c r="B993" s="8" t="s">
        <v>2634</v>
      </c>
      <c r="C993" s="8" t="s">
        <v>51</v>
      </c>
      <c r="D993" s="32" t="n">
        <v>45997</v>
      </c>
      <c r="E993" s="8" t="n">
        <v>7</v>
      </c>
      <c r="F993" s="8" t="str">
        <f aca="false">IF(E993&gt;=9,"Promoter",IF(E993&gt;=7,"Passive","Detractor"))</f>
        <v>Passive</v>
      </c>
    </row>
    <row r="994" customFormat="false" ht="15" hidden="false" customHeight="false" outlineLevel="0" collapsed="false">
      <c r="A994" s="8" t="s">
        <v>5598</v>
      </c>
      <c r="B994" s="8" t="s">
        <v>2372</v>
      </c>
      <c r="C994" s="8" t="s">
        <v>51</v>
      </c>
      <c r="D994" s="32" t="n">
        <v>45997</v>
      </c>
      <c r="E994" s="8" t="n">
        <v>9</v>
      </c>
      <c r="F994" s="8" t="str">
        <f aca="false">IF(E994&gt;=9,"Promoter",IF(E994&gt;=7,"Passive","Detractor"))</f>
        <v>Promoter</v>
      </c>
    </row>
    <row r="995" customFormat="false" ht="15" hidden="false" customHeight="false" outlineLevel="0" collapsed="false">
      <c r="A995" s="8" t="s">
        <v>5599</v>
      </c>
      <c r="B995" s="8" t="s">
        <v>3872</v>
      </c>
      <c r="C995" s="8" t="s">
        <v>51</v>
      </c>
      <c r="D995" s="32" t="n">
        <v>45997</v>
      </c>
      <c r="E995" s="8" t="n">
        <v>7</v>
      </c>
      <c r="F995" s="8" t="str">
        <f aca="false">IF(E995&gt;=9,"Promoter",IF(E995&gt;=7,"Passive","Detractor"))</f>
        <v>Passive</v>
      </c>
    </row>
    <row r="996" customFormat="false" ht="15" hidden="false" customHeight="false" outlineLevel="0" collapsed="false">
      <c r="A996" s="8" t="s">
        <v>5600</v>
      </c>
      <c r="B996" s="8" t="s">
        <v>2742</v>
      </c>
      <c r="C996" s="8" t="s">
        <v>51</v>
      </c>
      <c r="D996" s="32" t="n">
        <v>45997</v>
      </c>
      <c r="E996" s="8" t="n">
        <v>10</v>
      </c>
      <c r="F996" s="8" t="str">
        <f aca="false">IF(E996&gt;=9,"Promoter",IF(E996&gt;=7,"Passive","Detractor"))</f>
        <v>Promoter</v>
      </c>
    </row>
    <row r="997" customFormat="false" ht="15" hidden="false" customHeight="false" outlineLevel="0" collapsed="false">
      <c r="A997" s="8" t="s">
        <v>5601</v>
      </c>
      <c r="B997" s="8" t="s">
        <v>4497</v>
      </c>
      <c r="C997" s="8" t="s">
        <v>51</v>
      </c>
      <c r="D997" s="32" t="n">
        <v>45997</v>
      </c>
      <c r="E997" s="8" t="n">
        <v>6</v>
      </c>
      <c r="F997" s="8" t="str">
        <f aca="false">IF(E997&gt;=9,"Promoter",IF(E997&gt;=7,"Passive","Detractor"))</f>
        <v>Detractor</v>
      </c>
    </row>
    <row r="998" customFormat="false" ht="15" hidden="false" customHeight="false" outlineLevel="0" collapsed="false">
      <c r="A998" s="8" t="s">
        <v>5602</v>
      </c>
      <c r="B998" s="8" t="s">
        <v>4601</v>
      </c>
      <c r="C998" s="8" t="s">
        <v>51</v>
      </c>
      <c r="D998" s="32" t="n">
        <v>45997</v>
      </c>
      <c r="E998" s="8" t="n">
        <v>7</v>
      </c>
      <c r="F998" s="8" t="str">
        <f aca="false">IF(E998&gt;=9,"Promoter",IF(E998&gt;=7,"Passive","Detractor"))</f>
        <v>Passive</v>
      </c>
    </row>
    <row r="999" customFormat="false" ht="15" hidden="false" customHeight="false" outlineLevel="0" collapsed="false">
      <c r="A999" s="8" t="s">
        <v>5603</v>
      </c>
      <c r="B999" s="8" t="s">
        <v>3616</v>
      </c>
      <c r="C999" s="8" t="s">
        <v>51</v>
      </c>
      <c r="D999" s="32" t="n">
        <v>45997</v>
      </c>
      <c r="E999" s="8" t="n">
        <v>8</v>
      </c>
      <c r="F999" s="8" t="str">
        <f aca="false">IF(E999&gt;=9,"Promoter",IF(E999&gt;=7,"Passive","Detractor"))</f>
        <v>Passive</v>
      </c>
    </row>
    <row r="1000" customFormat="false" ht="15" hidden="false" customHeight="false" outlineLevel="0" collapsed="false">
      <c r="A1000" s="8" t="s">
        <v>5604</v>
      </c>
      <c r="B1000" s="8" t="s">
        <v>3520</v>
      </c>
      <c r="C1000" s="8" t="s">
        <v>51</v>
      </c>
      <c r="D1000" s="32" t="n">
        <v>45997</v>
      </c>
      <c r="E1000" s="8" t="n">
        <v>9</v>
      </c>
      <c r="F1000" s="8" t="str">
        <f aca="false">IF(E1000&gt;=9,"Promoter",IF(E1000&gt;=7,"Passive","Detractor"))</f>
        <v>Promoter</v>
      </c>
    </row>
    <row r="1001" customFormat="false" ht="15" hidden="false" customHeight="false" outlineLevel="0" collapsed="false">
      <c r="A1001" s="8" t="s">
        <v>5605</v>
      </c>
      <c r="B1001" s="8" t="s">
        <v>955</v>
      </c>
      <c r="C1001" s="8" t="s">
        <v>53</v>
      </c>
      <c r="D1001" s="32" t="n">
        <v>45998</v>
      </c>
      <c r="E1001" s="8" t="n">
        <v>9</v>
      </c>
      <c r="F1001" s="8" t="str">
        <f aca="false">IF(E1001&gt;=9,"Promoter",IF(E1001&gt;=7,"Passive","Detractor"))</f>
        <v>Promoter</v>
      </c>
    </row>
    <row r="1002" customFormat="false" ht="15" hidden="false" customHeight="false" outlineLevel="0" collapsed="false">
      <c r="A1002" s="8" t="s">
        <v>5606</v>
      </c>
      <c r="B1002" s="8" t="s">
        <v>3150</v>
      </c>
      <c r="C1002" s="8" t="s">
        <v>51</v>
      </c>
      <c r="D1002" s="32" t="n">
        <v>45998</v>
      </c>
      <c r="E1002" s="8" t="n">
        <v>6</v>
      </c>
      <c r="F1002" s="8" t="str">
        <f aca="false">IF(E1002&gt;=9,"Promoter",IF(E1002&gt;=7,"Passive","Detractor"))</f>
        <v>Detractor</v>
      </c>
    </row>
    <row r="1003" customFormat="false" ht="15" hidden="false" customHeight="false" outlineLevel="0" collapsed="false">
      <c r="A1003" s="8" t="s">
        <v>5607</v>
      </c>
      <c r="B1003" s="8" t="s">
        <v>1451</v>
      </c>
      <c r="C1003" s="8" t="s">
        <v>53</v>
      </c>
      <c r="D1003" s="32" t="n">
        <v>45998</v>
      </c>
      <c r="E1003" s="8" t="n">
        <v>9</v>
      </c>
      <c r="F1003" s="8" t="str">
        <f aca="false">IF(E1003&gt;=9,"Promoter",IF(E1003&gt;=7,"Passive","Detractor"))</f>
        <v>Promoter</v>
      </c>
    </row>
    <row r="1004" customFormat="false" ht="15" hidden="false" customHeight="false" outlineLevel="0" collapsed="false">
      <c r="A1004" s="8" t="s">
        <v>5608</v>
      </c>
      <c r="B1004" s="8" t="s">
        <v>2900</v>
      </c>
      <c r="C1004" s="8" t="s">
        <v>51</v>
      </c>
      <c r="D1004" s="32" t="n">
        <v>45998</v>
      </c>
      <c r="E1004" s="8" t="n">
        <v>8</v>
      </c>
      <c r="F1004" s="8" t="str">
        <f aca="false">IF(E1004&gt;=9,"Promoter",IF(E1004&gt;=7,"Passive","Detractor"))</f>
        <v>Passive</v>
      </c>
    </row>
    <row r="1005" customFormat="false" ht="15" hidden="false" customHeight="false" outlineLevel="0" collapsed="false">
      <c r="A1005" s="8" t="s">
        <v>5609</v>
      </c>
      <c r="B1005" s="8" t="s">
        <v>4552</v>
      </c>
      <c r="C1005" s="8" t="s">
        <v>51</v>
      </c>
      <c r="D1005" s="32" t="n">
        <v>45998</v>
      </c>
      <c r="E1005" s="8" t="n">
        <v>6</v>
      </c>
      <c r="F1005" s="8" t="str">
        <f aca="false">IF(E1005&gt;=9,"Promoter",IF(E1005&gt;=7,"Passive","Detractor"))</f>
        <v>Detractor</v>
      </c>
    </row>
    <row r="1006" customFormat="false" ht="15" hidden="false" customHeight="false" outlineLevel="0" collapsed="false">
      <c r="A1006" s="8" t="s">
        <v>5610</v>
      </c>
      <c r="B1006" s="8" t="s">
        <v>4194</v>
      </c>
      <c r="C1006" s="8" t="s">
        <v>51</v>
      </c>
      <c r="D1006" s="32" t="n">
        <v>45998</v>
      </c>
      <c r="E1006" s="8" t="n">
        <v>6</v>
      </c>
      <c r="F1006" s="8" t="str">
        <f aca="false">IF(E1006&gt;=9,"Promoter",IF(E1006&gt;=7,"Passive","Detractor"))</f>
        <v>Detractor</v>
      </c>
    </row>
    <row r="1007" customFormat="false" ht="15" hidden="false" customHeight="false" outlineLevel="0" collapsed="false">
      <c r="A1007" s="8" t="s">
        <v>5611</v>
      </c>
      <c r="B1007" s="8" t="s">
        <v>4514</v>
      </c>
      <c r="C1007" s="8" t="s">
        <v>51</v>
      </c>
      <c r="D1007" s="32" t="n">
        <v>45998</v>
      </c>
      <c r="E1007" s="8" t="n">
        <v>7</v>
      </c>
      <c r="F1007" s="8" t="str">
        <f aca="false">IF(E1007&gt;=9,"Promoter",IF(E1007&gt;=7,"Passive","Detractor"))</f>
        <v>Passive</v>
      </c>
    </row>
    <row r="1008" customFormat="false" ht="15" hidden="false" customHeight="false" outlineLevel="0" collapsed="false">
      <c r="A1008" s="8" t="s">
        <v>5612</v>
      </c>
      <c r="B1008" s="8" t="s">
        <v>4533</v>
      </c>
      <c r="C1008" s="8" t="s">
        <v>51</v>
      </c>
      <c r="D1008" s="32" t="n">
        <v>45998</v>
      </c>
      <c r="E1008" s="8" t="n">
        <v>7</v>
      </c>
      <c r="F1008" s="8" t="str">
        <f aca="false">IF(E1008&gt;=9,"Promoter",IF(E1008&gt;=7,"Passive","Detractor"))</f>
        <v>Passive</v>
      </c>
    </row>
    <row r="1009" customFormat="false" ht="15" hidden="false" customHeight="false" outlineLevel="0" collapsed="false">
      <c r="A1009" s="8" t="s">
        <v>5613</v>
      </c>
      <c r="B1009" s="8" t="s">
        <v>1785</v>
      </c>
      <c r="C1009" s="8" t="s">
        <v>51</v>
      </c>
      <c r="D1009" s="32" t="n">
        <v>45998</v>
      </c>
      <c r="E1009" s="8" t="n">
        <v>10</v>
      </c>
      <c r="F1009" s="8" t="str">
        <f aca="false">IF(E1009&gt;=9,"Promoter",IF(E1009&gt;=7,"Passive","Detractor"))</f>
        <v>Promoter</v>
      </c>
    </row>
    <row r="1010" customFormat="false" ht="15" hidden="false" customHeight="false" outlineLevel="0" collapsed="false">
      <c r="A1010" s="8" t="s">
        <v>5614</v>
      </c>
      <c r="B1010" s="8" t="s">
        <v>3486</v>
      </c>
      <c r="C1010" s="8" t="s">
        <v>51</v>
      </c>
      <c r="D1010" s="32" t="n">
        <v>45999</v>
      </c>
      <c r="E1010" s="8" t="n">
        <v>10</v>
      </c>
      <c r="F1010" s="8" t="str">
        <f aca="false">IF(E1010&gt;=9,"Promoter",IF(E1010&gt;=7,"Passive","Detractor"))</f>
        <v>Promoter</v>
      </c>
    </row>
    <row r="1011" customFormat="false" ht="15" hidden="false" customHeight="false" outlineLevel="0" collapsed="false">
      <c r="A1011" s="8" t="s">
        <v>5615</v>
      </c>
      <c r="B1011" s="8" t="s">
        <v>3778</v>
      </c>
      <c r="C1011" s="8" t="s">
        <v>51</v>
      </c>
      <c r="D1011" s="32" t="n">
        <v>45999</v>
      </c>
      <c r="E1011" s="8" t="n">
        <v>9</v>
      </c>
      <c r="F1011" s="8" t="str">
        <f aca="false">IF(E1011&gt;=9,"Promoter",IF(E1011&gt;=7,"Passive","Detractor"))</f>
        <v>Promoter</v>
      </c>
    </row>
    <row r="1012" customFormat="false" ht="15" hidden="false" customHeight="false" outlineLevel="0" collapsed="false">
      <c r="A1012" s="8" t="s">
        <v>5616</v>
      </c>
      <c r="B1012" s="8" t="s">
        <v>1305</v>
      </c>
      <c r="C1012" s="8" t="s">
        <v>53</v>
      </c>
      <c r="D1012" s="32" t="n">
        <v>45999</v>
      </c>
      <c r="E1012" s="8" t="n">
        <v>6</v>
      </c>
      <c r="F1012" s="8" t="str">
        <f aca="false">IF(E1012&gt;=9,"Promoter",IF(E1012&gt;=7,"Passive","Detractor"))</f>
        <v>Detractor</v>
      </c>
    </row>
    <row r="1013" customFormat="false" ht="15" hidden="false" customHeight="false" outlineLevel="0" collapsed="false">
      <c r="A1013" s="8" t="s">
        <v>5617</v>
      </c>
      <c r="B1013" s="8" t="s">
        <v>875</v>
      </c>
      <c r="C1013" s="8" t="s">
        <v>53</v>
      </c>
      <c r="D1013" s="32" t="n">
        <v>45999</v>
      </c>
      <c r="E1013" s="8" t="n">
        <v>10</v>
      </c>
      <c r="F1013" s="8" t="str">
        <f aca="false">IF(E1013&gt;=9,"Promoter",IF(E1013&gt;=7,"Passive","Detractor"))</f>
        <v>Promoter</v>
      </c>
    </row>
    <row r="1014" customFormat="false" ht="15" hidden="false" customHeight="false" outlineLevel="0" collapsed="false">
      <c r="A1014" s="8" t="s">
        <v>5618</v>
      </c>
      <c r="B1014" s="8" t="s">
        <v>3736</v>
      </c>
      <c r="C1014" s="8" t="s">
        <v>51</v>
      </c>
      <c r="D1014" s="32" t="n">
        <v>45999</v>
      </c>
      <c r="E1014" s="8" t="n">
        <v>9</v>
      </c>
      <c r="F1014" s="8" t="str">
        <f aca="false">IF(E1014&gt;=9,"Promoter",IF(E1014&gt;=7,"Passive","Detractor"))</f>
        <v>Promoter</v>
      </c>
    </row>
    <row r="1015" customFormat="false" ht="15" hidden="false" customHeight="false" outlineLevel="0" collapsed="false">
      <c r="A1015" s="8" t="s">
        <v>5619</v>
      </c>
      <c r="B1015" s="8" t="s">
        <v>2710</v>
      </c>
      <c r="C1015" s="8" t="s">
        <v>51</v>
      </c>
      <c r="D1015" s="32" t="n">
        <v>45999</v>
      </c>
      <c r="E1015" s="8" t="n">
        <v>9</v>
      </c>
      <c r="F1015" s="8" t="str">
        <f aca="false">IF(E1015&gt;=9,"Promoter",IF(E1015&gt;=7,"Passive","Detractor"))</f>
        <v>Promoter</v>
      </c>
    </row>
    <row r="1016" customFormat="false" ht="15" hidden="false" customHeight="false" outlineLevel="0" collapsed="false">
      <c r="A1016" s="8" t="s">
        <v>5620</v>
      </c>
      <c r="B1016" s="8" t="s">
        <v>1961</v>
      </c>
      <c r="C1016" s="8" t="s">
        <v>51</v>
      </c>
      <c r="D1016" s="32" t="n">
        <v>45999</v>
      </c>
      <c r="E1016" s="8" t="n">
        <v>9</v>
      </c>
      <c r="F1016" s="8" t="str">
        <f aca="false">IF(E1016&gt;=9,"Promoter",IF(E1016&gt;=7,"Passive","Detractor"))</f>
        <v>Promoter</v>
      </c>
    </row>
    <row r="1017" customFormat="false" ht="15" hidden="false" customHeight="false" outlineLevel="0" collapsed="false">
      <c r="A1017" s="8" t="s">
        <v>5621</v>
      </c>
      <c r="B1017" s="8" t="s">
        <v>1909</v>
      </c>
      <c r="C1017" s="8" t="s">
        <v>51</v>
      </c>
      <c r="D1017" s="32" t="n">
        <v>45999</v>
      </c>
      <c r="E1017" s="8" t="n">
        <v>8</v>
      </c>
      <c r="F1017" s="8" t="str">
        <f aca="false">IF(E1017&gt;=9,"Promoter",IF(E1017&gt;=7,"Passive","Detractor"))</f>
        <v>Passive</v>
      </c>
    </row>
    <row r="1018" customFormat="false" ht="15" hidden="false" customHeight="false" outlineLevel="0" collapsed="false">
      <c r="A1018" s="8" t="s">
        <v>5622</v>
      </c>
      <c r="B1018" s="8" t="s">
        <v>4138</v>
      </c>
      <c r="C1018" s="8" t="s">
        <v>51</v>
      </c>
      <c r="D1018" s="32" t="n">
        <v>45999</v>
      </c>
      <c r="E1018" s="8" t="n">
        <v>7</v>
      </c>
      <c r="F1018" s="8" t="str">
        <f aca="false">IF(E1018&gt;=9,"Promoter",IF(E1018&gt;=7,"Passive","Detractor"))</f>
        <v>Passive</v>
      </c>
    </row>
    <row r="1019" customFormat="false" ht="15" hidden="false" customHeight="false" outlineLevel="0" collapsed="false">
      <c r="A1019" s="8" t="s">
        <v>5623</v>
      </c>
      <c r="B1019" s="8" t="s">
        <v>4573</v>
      </c>
      <c r="C1019" s="8" t="s">
        <v>51</v>
      </c>
      <c r="D1019" s="32" t="n">
        <v>45999</v>
      </c>
      <c r="E1019" s="8" t="n">
        <v>6</v>
      </c>
      <c r="F1019" s="8" t="str">
        <f aca="false">IF(E1019&gt;=9,"Promoter",IF(E1019&gt;=7,"Passive","Detractor"))</f>
        <v>Detractor</v>
      </c>
    </row>
    <row r="1020" customFormat="false" ht="15" hidden="false" customHeight="false" outlineLevel="0" collapsed="false">
      <c r="A1020" s="8" t="s">
        <v>5624</v>
      </c>
      <c r="B1020" s="8" t="s">
        <v>3084</v>
      </c>
      <c r="C1020" s="8" t="s">
        <v>51</v>
      </c>
      <c r="D1020" s="32" t="n">
        <v>45999</v>
      </c>
      <c r="E1020" s="8" t="n">
        <v>6</v>
      </c>
      <c r="F1020" s="8" t="str">
        <f aca="false">IF(E1020&gt;=9,"Promoter",IF(E1020&gt;=7,"Passive","Detractor"))</f>
        <v>Detractor</v>
      </c>
    </row>
    <row r="1021" customFormat="false" ht="15" hidden="false" customHeight="false" outlineLevel="0" collapsed="false">
      <c r="A1021" s="8" t="s">
        <v>5625</v>
      </c>
      <c r="B1021" s="8" t="s">
        <v>2782</v>
      </c>
      <c r="C1021" s="8" t="s">
        <v>51</v>
      </c>
      <c r="D1021" s="32" t="n">
        <v>46000</v>
      </c>
      <c r="E1021" s="8" t="n">
        <v>9</v>
      </c>
      <c r="F1021" s="8" t="str">
        <f aca="false">IF(E1021&gt;=9,"Promoter",IF(E1021&gt;=7,"Passive","Detractor"))</f>
        <v>Promoter</v>
      </c>
    </row>
    <row r="1022" customFormat="false" ht="15" hidden="false" customHeight="false" outlineLevel="0" collapsed="false">
      <c r="A1022" s="8" t="s">
        <v>5626</v>
      </c>
      <c r="B1022" s="8" t="s">
        <v>1811</v>
      </c>
      <c r="C1022" s="8" t="s">
        <v>51</v>
      </c>
      <c r="D1022" s="32" t="n">
        <v>46000</v>
      </c>
      <c r="E1022" s="8" t="n">
        <v>7</v>
      </c>
      <c r="F1022" s="8" t="str">
        <f aca="false">IF(E1022&gt;=9,"Promoter",IF(E1022&gt;=7,"Passive","Detractor"))</f>
        <v>Passive</v>
      </c>
    </row>
    <row r="1023" customFormat="false" ht="15" hidden="false" customHeight="false" outlineLevel="0" collapsed="false">
      <c r="A1023" s="8" t="s">
        <v>5627</v>
      </c>
      <c r="B1023" s="8" t="s">
        <v>300</v>
      </c>
      <c r="C1023" s="8" t="s">
        <v>55</v>
      </c>
      <c r="D1023" s="32" t="n">
        <v>46000</v>
      </c>
      <c r="E1023" s="8" t="n">
        <v>10</v>
      </c>
      <c r="F1023" s="8" t="str">
        <f aca="false">IF(E1023&gt;=9,"Promoter",IF(E1023&gt;=7,"Passive","Detractor"))</f>
        <v>Promoter</v>
      </c>
    </row>
    <row r="1024" customFormat="false" ht="15" hidden="false" customHeight="false" outlineLevel="0" collapsed="false">
      <c r="A1024" s="8" t="s">
        <v>5628</v>
      </c>
      <c r="B1024" s="8" t="s">
        <v>515</v>
      </c>
      <c r="C1024" s="8" t="s">
        <v>55</v>
      </c>
      <c r="D1024" s="32" t="n">
        <v>46000</v>
      </c>
      <c r="E1024" s="8" t="n">
        <v>8</v>
      </c>
      <c r="F1024" s="8" t="str">
        <f aca="false">IF(E1024&gt;=9,"Promoter",IF(E1024&gt;=7,"Passive","Detractor"))</f>
        <v>Passive</v>
      </c>
    </row>
    <row r="1025" customFormat="false" ht="15" hidden="false" customHeight="false" outlineLevel="0" collapsed="false">
      <c r="A1025" s="8" t="s">
        <v>5629</v>
      </c>
      <c r="B1025" s="8" t="s">
        <v>2422</v>
      </c>
      <c r="C1025" s="8" t="s">
        <v>51</v>
      </c>
      <c r="D1025" s="32" t="n">
        <v>46000</v>
      </c>
      <c r="E1025" s="8" t="n">
        <v>6</v>
      </c>
      <c r="F1025" s="8" t="str">
        <f aca="false">IF(E1025&gt;=9,"Promoter",IF(E1025&gt;=7,"Passive","Detractor"))</f>
        <v>Detractor</v>
      </c>
    </row>
    <row r="1026" customFormat="false" ht="15" hidden="false" customHeight="false" outlineLevel="0" collapsed="false">
      <c r="A1026" s="8" t="s">
        <v>5630</v>
      </c>
      <c r="B1026" s="8" t="s">
        <v>4206</v>
      </c>
      <c r="C1026" s="8" t="s">
        <v>51</v>
      </c>
      <c r="D1026" s="32" t="n">
        <v>46000</v>
      </c>
      <c r="E1026" s="8" t="n">
        <v>10</v>
      </c>
      <c r="F1026" s="8" t="str">
        <f aca="false">IF(E1026&gt;=9,"Promoter",IF(E1026&gt;=7,"Passive","Detractor"))</f>
        <v>Promoter</v>
      </c>
    </row>
    <row r="1027" customFormat="false" ht="15" hidden="false" customHeight="false" outlineLevel="0" collapsed="false">
      <c r="A1027" s="8" t="s">
        <v>5631</v>
      </c>
      <c r="B1027" s="8" t="s">
        <v>3472</v>
      </c>
      <c r="C1027" s="8" t="s">
        <v>51</v>
      </c>
      <c r="D1027" s="32" t="n">
        <v>46000</v>
      </c>
      <c r="E1027" s="8" t="n">
        <v>7</v>
      </c>
      <c r="F1027" s="8" t="str">
        <f aca="false">IF(E1027&gt;=9,"Promoter",IF(E1027&gt;=7,"Passive","Detractor"))</f>
        <v>Passive</v>
      </c>
    </row>
    <row r="1028" customFormat="false" ht="15" hidden="false" customHeight="false" outlineLevel="0" collapsed="false">
      <c r="A1028" s="8" t="s">
        <v>5632</v>
      </c>
      <c r="B1028" s="8" t="s">
        <v>2292</v>
      </c>
      <c r="C1028" s="8" t="s">
        <v>51</v>
      </c>
      <c r="D1028" s="32" t="n">
        <v>46000</v>
      </c>
      <c r="E1028" s="8" t="n">
        <v>5</v>
      </c>
      <c r="F1028" s="8" t="str">
        <f aca="false">IF(E1028&gt;=9,"Promoter",IF(E1028&gt;=7,"Passive","Detractor"))</f>
        <v>Detractor</v>
      </c>
    </row>
    <row r="1029" customFormat="false" ht="15" hidden="false" customHeight="false" outlineLevel="0" collapsed="false">
      <c r="A1029" s="8" t="s">
        <v>5633</v>
      </c>
      <c r="B1029" s="8" t="s">
        <v>2428</v>
      </c>
      <c r="C1029" s="8" t="s">
        <v>51</v>
      </c>
      <c r="D1029" s="32" t="n">
        <v>46000</v>
      </c>
      <c r="E1029" s="8" t="n">
        <v>9</v>
      </c>
      <c r="F1029" s="8" t="str">
        <f aca="false">IF(E1029&gt;=9,"Promoter",IF(E1029&gt;=7,"Passive","Detractor"))</f>
        <v>Promoter</v>
      </c>
    </row>
    <row r="1030" customFormat="false" ht="15" hidden="false" customHeight="false" outlineLevel="0" collapsed="false">
      <c r="A1030" s="8" t="s">
        <v>5634</v>
      </c>
      <c r="B1030" s="8" t="s">
        <v>3974</v>
      </c>
      <c r="C1030" s="8" t="s">
        <v>51</v>
      </c>
      <c r="D1030" s="32" t="n">
        <v>46000</v>
      </c>
      <c r="E1030" s="8" t="n">
        <v>6</v>
      </c>
      <c r="F1030" s="8" t="str">
        <f aca="false">IF(E1030&gt;=9,"Promoter",IF(E1030&gt;=7,"Passive","Detractor"))</f>
        <v>Detractor</v>
      </c>
    </row>
    <row r="1031" customFormat="false" ht="15" hidden="false" customHeight="false" outlineLevel="0" collapsed="false">
      <c r="A1031" s="8" t="s">
        <v>5635</v>
      </c>
      <c r="B1031" s="8" t="s">
        <v>477</v>
      </c>
      <c r="C1031" s="8" t="s">
        <v>55</v>
      </c>
      <c r="D1031" s="32" t="n">
        <v>46001</v>
      </c>
      <c r="E1031" s="8" t="n">
        <v>9</v>
      </c>
      <c r="F1031" s="8" t="str">
        <f aca="false">IF(E1031&gt;=9,"Promoter",IF(E1031&gt;=7,"Passive","Detractor"))</f>
        <v>Promoter</v>
      </c>
    </row>
    <row r="1032" customFormat="false" ht="15" hidden="false" customHeight="false" outlineLevel="0" collapsed="false">
      <c r="A1032" s="8" t="s">
        <v>5636</v>
      </c>
      <c r="B1032" s="8" t="s">
        <v>2898</v>
      </c>
      <c r="C1032" s="8" t="s">
        <v>51</v>
      </c>
      <c r="D1032" s="32" t="n">
        <v>46001</v>
      </c>
      <c r="E1032" s="8" t="n">
        <v>8</v>
      </c>
      <c r="F1032" s="8" t="str">
        <f aca="false">IF(E1032&gt;=9,"Promoter",IF(E1032&gt;=7,"Passive","Detractor"))</f>
        <v>Passive</v>
      </c>
    </row>
    <row r="1033" customFormat="false" ht="15" hidden="false" customHeight="false" outlineLevel="0" collapsed="false">
      <c r="A1033" s="8" t="s">
        <v>5637</v>
      </c>
      <c r="B1033" s="8" t="s">
        <v>1215</v>
      </c>
      <c r="C1033" s="8" t="s">
        <v>53</v>
      </c>
      <c r="D1033" s="32" t="n">
        <v>46001</v>
      </c>
      <c r="E1033" s="8" t="n">
        <v>8</v>
      </c>
      <c r="F1033" s="8" t="str">
        <f aca="false">IF(E1033&gt;=9,"Promoter",IF(E1033&gt;=7,"Passive","Detractor"))</f>
        <v>Passive</v>
      </c>
    </row>
    <row r="1034" customFormat="false" ht="15" hidden="false" customHeight="false" outlineLevel="0" collapsed="false">
      <c r="A1034" s="8" t="s">
        <v>5638</v>
      </c>
      <c r="B1034" s="8" t="s">
        <v>2412</v>
      </c>
      <c r="C1034" s="8" t="s">
        <v>51</v>
      </c>
      <c r="D1034" s="32" t="n">
        <v>46001</v>
      </c>
      <c r="E1034" s="8" t="n">
        <v>9</v>
      </c>
      <c r="F1034" s="8" t="str">
        <f aca="false">IF(E1034&gt;=9,"Promoter",IF(E1034&gt;=7,"Passive","Detractor"))</f>
        <v>Promoter</v>
      </c>
    </row>
    <row r="1035" customFormat="false" ht="15" hidden="false" customHeight="false" outlineLevel="0" collapsed="false">
      <c r="A1035" s="8" t="s">
        <v>5639</v>
      </c>
      <c r="B1035" s="8" t="s">
        <v>1701</v>
      </c>
      <c r="C1035" s="8" t="s">
        <v>53</v>
      </c>
      <c r="D1035" s="32" t="n">
        <v>46001</v>
      </c>
      <c r="E1035" s="8" t="n">
        <v>8</v>
      </c>
      <c r="F1035" s="8" t="str">
        <f aca="false">IF(E1035&gt;=9,"Promoter",IF(E1035&gt;=7,"Passive","Detractor"))</f>
        <v>Passive</v>
      </c>
    </row>
    <row r="1036" customFormat="false" ht="15" hidden="false" customHeight="false" outlineLevel="0" collapsed="false">
      <c r="A1036" s="8" t="s">
        <v>5640</v>
      </c>
      <c r="B1036" s="8" t="s">
        <v>1655</v>
      </c>
      <c r="C1036" s="8" t="s">
        <v>53</v>
      </c>
      <c r="D1036" s="32" t="n">
        <v>46001</v>
      </c>
      <c r="E1036" s="8" t="n">
        <v>7</v>
      </c>
      <c r="F1036" s="8" t="str">
        <f aca="false">IF(E1036&gt;=9,"Promoter",IF(E1036&gt;=7,"Passive","Detractor"))</f>
        <v>Passive</v>
      </c>
    </row>
    <row r="1037" customFormat="false" ht="15" hidden="false" customHeight="false" outlineLevel="0" collapsed="false">
      <c r="A1037" s="8" t="s">
        <v>5641</v>
      </c>
      <c r="B1037" s="8" t="s">
        <v>3244</v>
      </c>
      <c r="C1037" s="8" t="s">
        <v>51</v>
      </c>
      <c r="D1037" s="32" t="n">
        <v>46001</v>
      </c>
      <c r="E1037" s="8" t="n">
        <v>10</v>
      </c>
      <c r="F1037" s="8" t="str">
        <f aca="false">IF(E1037&gt;=9,"Promoter",IF(E1037&gt;=7,"Passive","Detractor"))</f>
        <v>Promoter</v>
      </c>
    </row>
    <row r="1038" customFormat="false" ht="15" hidden="false" customHeight="false" outlineLevel="0" collapsed="false">
      <c r="A1038" s="8" t="s">
        <v>5642</v>
      </c>
      <c r="B1038" s="8" t="s">
        <v>2282</v>
      </c>
      <c r="C1038" s="8" t="s">
        <v>51</v>
      </c>
      <c r="D1038" s="32" t="n">
        <v>46002</v>
      </c>
      <c r="E1038" s="8" t="n">
        <v>10</v>
      </c>
      <c r="F1038" s="8" t="str">
        <f aca="false">IF(E1038&gt;=9,"Promoter",IF(E1038&gt;=7,"Passive","Detractor"))</f>
        <v>Promoter</v>
      </c>
    </row>
    <row r="1039" customFormat="false" ht="15" hidden="false" customHeight="false" outlineLevel="0" collapsed="false">
      <c r="A1039" s="8" t="s">
        <v>5643</v>
      </c>
      <c r="B1039" s="8" t="s">
        <v>2328</v>
      </c>
      <c r="C1039" s="8" t="s">
        <v>51</v>
      </c>
      <c r="D1039" s="32" t="n">
        <v>46002</v>
      </c>
      <c r="E1039" s="8" t="n">
        <v>7</v>
      </c>
      <c r="F1039" s="8" t="str">
        <f aca="false">IF(E1039&gt;=9,"Promoter",IF(E1039&gt;=7,"Passive","Detractor"))</f>
        <v>Passive</v>
      </c>
    </row>
    <row r="1040" customFormat="false" ht="15" hidden="false" customHeight="false" outlineLevel="0" collapsed="false">
      <c r="A1040" s="8" t="s">
        <v>5644</v>
      </c>
      <c r="B1040" s="8" t="s">
        <v>3928</v>
      </c>
      <c r="C1040" s="8" t="s">
        <v>51</v>
      </c>
      <c r="D1040" s="32" t="n">
        <v>46002</v>
      </c>
      <c r="E1040" s="8" t="n">
        <v>8</v>
      </c>
      <c r="F1040" s="8" t="str">
        <f aca="false">IF(E1040&gt;=9,"Promoter",IF(E1040&gt;=7,"Passive","Detractor"))</f>
        <v>Passive</v>
      </c>
    </row>
    <row r="1041" customFormat="false" ht="15" hidden="false" customHeight="false" outlineLevel="0" collapsed="false">
      <c r="A1041" s="8" t="s">
        <v>5645</v>
      </c>
      <c r="B1041" s="8" t="s">
        <v>3276</v>
      </c>
      <c r="C1041" s="8" t="s">
        <v>51</v>
      </c>
      <c r="D1041" s="32" t="n">
        <v>46002</v>
      </c>
      <c r="E1041" s="8" t="n">
        <v>5</v>
      </c>
      <c r="F1041" s="8" t="str">
        <f aca="false">IF(E1041&gt;=9,"Promoter",IF(E1041&gt;=7,"Passive","Detractor"))</f>
        <v>Detractor</v>
      </c>
    </row>
    <row r="1042" customFormat="false" ht="15" hidden="false" customHeight="false" outlineLevel="0" collapsed="false">
      <c r="A1042" s="8" t="s">
        <v>5646</v>
      </c>
      <c r="B1042" s="8" t="s">
        <v>1581</v>
      </c>
      <c r="C1042" s="8" t="s">
        <v>53</v>
      </c>
      <c r="D1042" s="32" t="n">
        <v>46002</v>
      </c>
      <c r="E1042" s="8" t="n">
        <v>10</v>
      </c>
      <c r="F1042" s="8" t="str">
        <f aca="false">IF(E1042&gt;=9,"Promoter",IF(E1042&gt;=7,"Passive","Detractor"))</f>
        <v>Promoter</v>
      </c>
    </row>
    <row r="1043" customFormat="false" ht="15" hidden="false" customHeight="false" outlineLevel="0" collapsed="false">
      <c r="A1043" s="8" t="s">
        <v>5647</v>
      </c>
      <c r="B1043" s="8" t="s">
        <v>2762</v>
      </c>
      <c r="C1043" s="8" t="s">
        <v>51</v>
      </c>
      <c r="D1043" s="32" t="n">
        <v>46002</v>
      </c>
      <c r="E1043" s="8" t="n">
        <v>7</v>
      </c>
      <c r="F1043" s="8" t="str">
        <f aca="false">IF(E1043&gt;=9,"Promoter",IF(E1043&gt;=7,"Passive","Detractor"))</f>
        <v>Passive</v>
      </c>
    </row>
    <row r="1044" customFormat="false" ht="15" hidden="false" customHeight="false" outlineLevel="0" collapsed="false">
      <c r="A1044" s="8" t="s">
        <v>5648</v>
      </c>
      <c r="B1044" s="8" t="s">
        <v>1405</v>
      </c>
      <c r="C1044" s="8" t="s">
        <v>53</v>
      </c>
      <c r="D1044" s="32" t="n">
        <v>46002</v>
      </c>
      <c r="E1044" s="8" t="n">
        <v>8</v>
      </c>
      <c r="F1044" s="8" t="str">
        <f aca="false">IF(E1044&gt;=9,"Promoter",IF(E1044&gt;=7,"Passive","Detractor"))</f>
        <v>Passive</v>
      </c>
    </row>
    <row r="1045" customFormat="false" ht="15" hidden="false" customHeight="false" outlineLevel="0" collapsed="false">
      <c r="A1045" s="8" t="s">
        <v>5649</v>
      </c>
      <c r="B1045" s="8" t="s">
        <v>4202</v>
      </c>
      <c r="C1045" s="8" t="s">
        <v>51</v>
      </c>
      <c r="D1045" s="32" t="n">
        <v>46002</v>
      </c>
      <c r="E1045" s="8" t="n">
        <v>5</v>
      </c>
      <c r="F1045" s="8" t="str">
        <f aca="false">IF(E1045&gt;=9,"Promoter",IF(E1045&gt;=7,"Passive","Detractor"))</f>
        <v>Detractor</v>
      </c>
    </row>
    <row r="1046" customFormat="false" ht="15" hidden="false" customHeight="false" outlineLevel="0" collapsed="false">
      <c r="A1046" s="8" t="s">
        <v>5650</v>
      </c>
      <c r="B1046" s="8" t="s">
        <v>3398</v>
      </c>
      <c r="C1046" s="8" t="s">
        <v>51</v>
      </c>
      <c r="D1046" s="32" t="n">
        <v>46003</v>
      </c>
      <c r="E1046" s="8" t="n">
        <v>5</v>
      </c>
      <c r="F1046" s="8" t="str">
        <f aca="false">IF(E1046&gt;=9,"Promoter",IF(E1046&gt;=7,"Passive","Detractor"))</f>
        <v>Detractor</v>
      </c>
    </row>
    <row r="1047" customFormat="false" ht="15" hidden="false" customHeight="false" outlineLevel="0" collapsed="false">
      <c r="A1047" s="8" t="s">
        <v>5651</v>
      </c>
      <c r="B1047" s="8" t="s">
        <v>3796</v>
      </c>
      <c r="C1047" s="8" t="s">
        <v>51</v>
      </c>
      <c r="D1047" s="32" t="n">
        <v>46003</v>
      </c>
      <c r="E1047" s="8" t="n">
        <v>10</v>
      </c>
      <c r="F1047" s="8" t="str">
        <f aca="false">IF(E1047&gt;=9,"Promoter",IF(E1047&gt;=7,"Passive","Detractor"))</f>
        <v>Promoter</v>
      </c>
    </row>
    <row r="1048" customFormat="false" ht="15" hidden="false" customHeight="false" outlineLevel="0" collapsed="false">
      <c r="A1048" s="8" t="s">
        <v>5652</v>
      </c>
      <c r="B1048" s="8" t="s">
        <v>1567</v>
      </c>
      <c r="C1048" s="8" t="s">
        <v>53</v>
      </c>
      <c r="D1048" s="32" t="n">
        <v>46003</v>
      </c>
      <c r="E1048" s="8" t="n">
        <v>8</v>
      </c>
      <c r="F1048" s="8" t="str">
        <f aca="false">IF(E1048&gt;=9,"Promoter",IF(E1048&gt;=7,"Passive","Detractor"))</f>
        <v>Passive</v>
      </c>
    </row>
    <row r="1049" customFormat="false" ht="15" hidden="false" customHeight="false" outlineLevel="0" collapsed="false">
      <c r="A1049" s="8" t="s">
        <v>5653</v>
      </c>
      <c r="B1049" s="8" t="s">
        <v>2178</v>
      </c>
      <c r="C1049" s="8" t="s">
        <v>51</v>
      </c>
      <c r="D1049" s="32" t="n">
        <v>46003</v>
      </c>
      <c r="E1049" s="8" t="n">
        <v>10</v>
      </c>
      <c r="F1049" s="8" t="str">
        <f aca="false">IF(E1049&gt;=9,"Promoter",IF(E1049&gt;=7,"Passive","Detractor"))</f>
        <v>Promoter</v>
      </c>
    </row>
    <row r="1050" customFormat="false" ht="15" hidden="false" customHeight="false" outlineLevel="0" collapsed="false">
      <c r="A1050" s="8" t="s">
        <v>5654</v>
      </c>
      <c r="B1050" s="8" t="s">
        <v>3716</v>
      </c>
      <c r="C1050" s="8" t="s">
        <v>51</v>
      </c>
      <c r="D1050" s="32" t="n">
        <v>46003</v>
      </c>
      <c r="E1050" s="8" t="n">
        <v>8</v>
      </c>
      <c r="F1050" s="8" t="str">
        <f aca="false">IF(E1050&gt;=9,"Promoter",IF(E1050&gt;=7,"Passive","Detractor"))</f>
        <v>Passive</v>
      </c>
    </row>
    <row r="1051" customFormat="false" ht="15" hidden="false" customHeight="false" outlineLevel="0" collapsed="false">
      <c r="A1051" s="8" t="s">
        <v>5655</v>
      </c>
      <c r="B1051" s="8" t="s">
        <v>2346</v>
      </c>
      <c r="C1051" s="8" t="s">
        <v>51</v>
      </c>
      <c r="D1051" s="32" t="n">
        <v>46003</v>
      </c>
      <c r="E1051" s="8" t="n">
        <v>8</v>
      </c>
      <c r="F1051" s="8" t="str">
        <f aca="false">IF(E1051&gt;=9,"Promoter",IF(E1051&gt;=7,"Passive","Detractor"))</f>
        <v>Passive</v>
      </c>
    </row>
    <row r="1052" customFormat="false" ht="15" hidden="false" customHeight="false" outlineLevel="0" collapsed="false">
      <c r="A1052" s="8" t="s">
        <v>5656</v>
      </c>
      <c r="B1052" s="8" t="s">
        <v>2658</v>
      </c>
      <c r="C1052" s="8" t="s">
        <v>51</v>
      </c>
      <c r="D1052" s="32" t="n">
        <v>46003</v>
      </c>
      <c r="E1052" s="8" t="n">
        <v>7</v>
      </c>
      <c r="F1052" s="8" t="str">
        <f aca="false">IF(E1052&gt;=9,"Promoter",IF(E1052&gt;=7,"Passive","Detractor"))</f>
        <v>Passive</v>
      </c>
    </row>
    <row r="1053" customFormat="false" ht="15" hidden="false" customHeight="false" outlineLevel="0" collapsed="false">
      <c r="A1053" s="8" t="s">
        <v>5657</v>
      </c>
      <c r="B1053" s="8" t="s">
        <v>2188</v>
      </c>
      <c r="C1053" s="8" t="s">
        <v>51</v>
      </c>
      <c r="D1053" s="32" t="n">
        <v>46003</v>
      </c>
      <c r="E1053" s="8" t="n">
        <v>6</v>
      </c>
      <c r="F1053" s="8" t="str">
        <f aca="false">IF(E1053&gt;=9,"Promoter",IF(E1053&gt;=7,"Passive","Detractor"))</f>
        <v>Detractor</v>
      </c>
    </row>
    <row r="1054" customFormat="false" ht="15" hidden="false" customHeight="false" outlineLevel="0" collapsed="false">
      <c r="A1054" s="8" t="s">
        <v>5658</v>
      </c>
      <c r="B1054" s="8" t="s">
        <v>1257</v>
      </c>
      <c r="C1054" s="8" t="s">
        <v>53</v>
      </c>
      <c r="D1054" s="32" t="n">
        <v>46004</v>
      </c>
      <c r="E1054" s="8" t="n">
        <v>8</v>
      </c>
      <c r="F1054" s="8" t="str">
        <f aca="false">IF(E1054&gt;=9,"Promoter",IF(E1054&gt;=7,"Passive","Detractor"))</f>
        <v>Passive</v>
      </c>
    </row>
    <row r="1055" customFormat="false" ht="15" hidden="false" customHeight="false" outlineLevel="0" collapsed="false">
      <c r="A1055" s="8" t="s">
        <v>5659</v>
      </c>
      <c r="B1055" s="8" t="s">
        <v>1937</v>
      </c>
      <c r="C1055" s="8" t="s">
        <v>51</v>
      </c>
      <c r="D1055" s="32" t="n">
        <v>46004</v>
      </c>
      <c r="E1055" s="8" t="n">
        <v>10</v>
      </c>
      <c r="F1055" s="8" t="str">
        <f aca="false">IF(E1055&gt;=9,"Promoter",IF(E1055&gt;=7,"Passive","Detractor"))</f>
        <v>Promoter</v>
      </c>
    </row>
    <row r="1056" customFormat="false" ht="15" hidden="false" customHeight="false" outlineLevel="0" collapsed="false">
      <c r="A1056" s="8" t="s">
        <v>5660</v>
      </c>
      <c r="B1056" s="8" t="s">
        <v>1559</v>
      </c>
      <c r="C1056" s="8" t="s">
        <v>53</v>
      </c>
      <c r="D1056" s="32" t="n">
        <v>46004</v>
      </c>
      <c r="E1056" s="8" t="n">
        <v>8</v>
      </c>
      <c r="F1056" s="8" t="str">
        <f aca="false">IF(E1056&gt;=9,"Promoter",IF(E1056&gt;=7,"Passive","Detractor"))</f>
        <v>Passive</v>
      </c>
    </row>
    <row r="1057" customFormat="false" ht="15" hidden="false" customHeight="false" outlineLevel="0" collapsed="false">
      <c r="A1057" s="8" t="s">
        <v>5661</v>
      </c>
      <c r="B1057" s="8" t="s">
        <v>1781</v>
      </c>
      <c r="C1057" s="8" t="s">
        <v>53</v>
      </c>
      <c r="D1057" s="32" t="n">
        <v>46004</v>
      </c>
      <c r="E1057" s="8" t="n">
        <v>5</v>
      </c>
      <c r="F1057" s="8" t="str">
        <f aca="false">IF(E1057&gt;=9,"Promoter",IF(E1057&gt;=7,"Passive","Detractor"))</f>
        <v>Detractor</v>
      </c>
    </row>
    <row r="1058" customFormat="false" ht="15" hidden="false" customHeight="false" outlineLevel="0" collapsed="false">
      <c r="A1058" s="8" t="s">
        <v>5662</v>
      </c>
      <c r="B1058" s="8" t="s">
        <v>2510</v>
      </c>
      <c r="C1058" s="8" t="s">
        <v>51</v>
      </c>
      <c r="D1058" s="32" t="n">
        <v>46004</v>
      </c>
      <c r="E1058" s="8" t="n">
        <v>9</v>
      </c>
      <c r="F1058" s="8" t="str">
        <f aca="false">IF(E1058&gt;=9,"Promoter",IF(E1058&gt;=7,"Passive","Detractor"))</f>
        <v>Promoter</v>
      </c>
    </row>
    <row r="1059" customFormat="false" ht="15" hidden="false" customHeight="false" outlineLevel="0" collapsed="false">
      <c r="A1059" s="8" t="s">
        <v>5663</v>
      </c>
      <c r="B1059" s="8" t="s">
        <v>2644</v>
      </c>
      <c r="C1059" s="8" t="s">
        <v>51</v>
      </c>
      <c r="D1059" s="32" t="n">
        <v>46004</v>
      </c>
      <c r="E1059" s="8" t="n">
        <v>6</v>
      </c>
      <c r="F1059" s="8" t="str">
        <f aca="false">IF(E1059&gt;=9,"Promoter",IF(E1059&gt;=7,"Passive","Detractor"))</f>
        <v>Detractor</v>
      </c>
    </row>
    <row r="1060" customFormat="false" ht="15" hidden="false" customHeight="false" outlineLevel="0" collapsed="false">
      <c r="A1060" s="8" t="s">
        <v>5664</v>
      </c>
      <c r="B1060" s="8" t="s">
        <v>3718</v>
      </c>
      <c r="C1060" s="8" t="s">
        <v>51</v>
      </c>
      <c r="D1060" s="32" t="n">
        <v>46004</v>
      </c>
      <c r="E1060" s="8" t="n">
        <v>10</v>
      </c>
      <c r="F1060" s="8" t="str">
        <f aca="false">IF(E1060&gt;=9,"Promoter",IF(E1060&gt;=7,"Passive","Detractor"))</f>
        <v>Promoter</v>
      </c>
    </row>
    <row r="1061" customFormat="false" ht="15" hidden="false" customHeight="false" outlineLevel="0" collapsed="false">
      <c r="A1061" s="8" t="s">
        <v>5665</v>
      </c>
      <c r="B1061" s="8" t="s">
        <v>3738</v>
      </c>
      <c r="C1061" s="8" t="s">
        <v>51</v>
      </c>
      <c r="D1061" s="32" t="n">
        <v>46004</v>
      </c>
      <c r="E1061" s="8" t="n">
        <v>6</v>
      </c>
      <c r="F1061" s="8" t="str">
        <f aca="false">IF(E1061&gt;=9,"Promoter",IF(E1061&gt;=7,"Passive","Detractor"))</f>
        <v>Detractor</v>
      </c>
    </row>
    <row r="1062" customFormat="false" ht="15" hidden="false" customHeight="false" outlineLevel="0" collapsed="false">
      <c r="A1062" s="8" t="s">
        <v>5666</v>
      </c>
      <c r="B1062" s="8" t="s">
        <v>2722</v>
      </c>
      <c r="C1062" s="8" t="s">
        <v>51</v>
      </c>
      <c r="D1062" s="32" t="n">
        <v>46004</v>
      </c>
      <c r="E1062" s="8" t="n">
        <v>3</v>
      </c>
      <c r="F1062" s="8" t="str">
        <f aca="false">IF(E1062&gt;=9,"Promoter",IF(E1062&gt;=7,"Passive","Detractor"))</f>
        <v>Detractor</v>
      </c>
    </row>
    <row r="1063" customFormat="false" ht="15" hidden="false" customHeight="false" outlineLevel="0" collapsed="false">
      <c r="A1063" s="8" t="s">
        <v>5667</v>
      </c>
      <c r="B1063" s="8" t="s">
        <v>2226</v>
      </c>
      <c r="C1063" s="8" t="s">
        <v>51</v>
      </c>
      <c r="D1063" s="32" t="n">
        <v>46004</v>
      </c>
      <c r="E1063" s="8" t="n">
        <v>9</v>
      </c>
      <c r="F1063" s="8" t="str">
        <f aca="false">IF(E1063&gt;=9,"Promoter",IF(E1063&gt;=7,"Passive","Detractor"))</f>
        <v>Promoter</v>
      </c>
    </row>
    <row r="1064" customFormat="false" ht="15" hidden="false" customHeight="false" outlineLevel="0" collapsed="false">
      <c r="A1064" s="8" t="s">
        <v>5668</v>
      </c>
      <c r="B1064" s="8" t="s">
        <v>3462</v>
      </c>
      <c r="C1064" s="8" t="s">
        <v>51</v>
      </c>
      <c r="D1064" s="32" t="n">
        <v>46005</v>
      </c>
      <c r="E1064" s="8" t="n">
        <v>9</v>
      </c>
      <c r="F1064" s="8" t="str">
        <f aca="false">IF(E1064&gt;=9,"Promoter",IF(E1064&gt;=7,"Passive","Detractor"))</f>
        <v>Promoter</v>
      </c>
    </row>
    <row r="1065" customFormat="false" ht="15" hidden="false" customHeight="false" outlineLevel="0" collapsed="false">
      <c r="A1065" s="8" t="s">
        <v>5669</v>
      </c>
      <c r="B1065" s="8" t="s">
        <v>3528</v>
      </c>
      <c r="C1065" s="8" t="s">
        <v>51</v>
      </c>
      <c r="D1065" s="32" t="n">
        <v>46005</v>
      </c>
      <c r="E1065" s="8" t="n">
        <v>9</v>
      </c>
      <c r="F1065" s="8" t="str">
        <f aca="false">IF(E1065&gt;=9,"Promoter",IF(E1065&gt;=7,"Passive","Detractor"))</f>
        <v>Promoter</v>
      </c>
    </row>
    <row r="1066" customFormat="false" ht="15" hidden="false" customHeight="false" outlineLevel="0" collapsed="false">
      <c r="A1066" s="8" t="s">
        <v>5670</v>
      </c>
      <c r="B1066" s="8" t="s">
        <v>2090</v>
      </c>
      <c r="C1066" s="8" t="s">
        <v>51</v>
      </c>
      <c r="D1066" s="32" t="n">
        <v>46005</v>
      </c>
      <c r="E1066" s="8" t="n">
        <v>7</v>
      </c>
      <c r="F1066" s="8" t="str">
        <f aca="false">IF(E1066&gt;=9,"Promoter",IF(E1066&gt;=7,"Passive","Detractor"))</f>
        <v>Passive</v>
      </c>
    </row>
    <row r="1067" customFormat="false" ht="15" hidden="false" customHeight="false" outlineLevel="0" collapsed="false">
      <c r="A1067" s="8" t="s">
        <v>5671</v>
      </c>
      <c r="B1067" s="8" t="s">
        <v>2730</v>
      </c>
      <c r="C1067" s="8" t="s">
        <v>51</v>
      </c>
      <c r="D1067" s="32" t="n">
        <v>46005</v>
      </c>
      <c r="E1067" s="8" t="n">
        <v>9</v>
      </c>
      <c r="F1067" s="8" t="str">
        <f aca="false">IF(E1067&gt;=9,"Promoter",IF(E1067&gt;=7,"Passive","Detractor"))</f>
        <v>Promoter</v>
      </c>
    </row>
    <row r="1068" customFormat="false" ht="15" hidden="false" customHeight="false" outlineLevel="0" collapsed="false">
      <c r="A1068" s="8" t="s">
        <v>5672</v>
      </c>
      <c r="B1068" s="8" t="s">
        <v>3464</v>
      </c>
      <c r="C1068" s="8" t="s">
        <v>51</v>
      </c>
      <c r="D1068" s="32" t="n">
        <v>46005</v>
      </c>
      <c r="E1068" s="8" t="n">
        <v>9</v>
      </c>
      <c r="F1068" s="8" t="str">
        <f aca="false">IF(E1068&gt;=9,"Promoter",IF(E1068&gt;=7,"Passive","Detractor"))</f>
        <v>Promoter</v>
      </c>
    </row>
    <row r="1069" customFormat="false" ht="15" hidden="false" customHeight="false" outlineLevel="0" collapsed="false">
      <c r="A1069" s="8" t="s">
        <v>5673</v>
      </c>
      <c r="B1069" s="8" t="s">
        <v>4521</v>
      </c>
      <c r="C1069" s="8" t="s">
        <v>51</v>
      </c>
      <c r="D1069" s="32" t="n">
        <v>46005</v>
      </c>
      <c r="E1069" s="8" t="n">
        <v>4</v>
      </c>
      <c r="F1069" s="8" t="str">
        <f aca="false">IF(E1069&gt;=9,"Promoter",IF(E1069&gt;=7,"Passive","Detractor"))</f>
        <v>Detractor</v>
      </c>
    </row>
    <row r="1070" customFormat="false" ht="15" hidden="false" customHeight="false" outlineLevel="0" collapsed="false">
      <c r="A1070" s="8" t="s">
        <v>5674</v>
      </c>
      <c r="B1070" s="8" t="s">
        <v>805</v>
      </c>
      <c r="C1070" s="8" t="s">
        <v>53</v>
      </c>
      <c r="D1070" s="32" t="n">
        <v>46005</v>
      </c>
      <c r="E1070" s="8" t="n">
        <v>5</v>
      </c>
      <c r="F1070" s="8" t="str">
        <f aca="false">IF(E1070&gt;=9,"Promoter",IF(E1070&gt;=7,"Passive","Detractor"))</f>
        <v>Detractor</v>
      </c>
    </row>
    <row r="1071" customFormat="false" ht="15" hidden="false" customHeight="false" outlineLevel="0" collapsed="false">
      <c r="A1071" s="8" t="s">
        <v>5675</v>
      </c>
      <c r="B1071" s="8" t="s">
        <v>4583</v>
      </c>
      <c r="C1071" s="8" t="s">
        <v>51</v>
      </c>
      <c r="D1071" s="32" t="n">
        <v>46005</v>
      </c>
      <c r="E1071" s="8" t="n">
        <v>9</v>
      </c>
      <c r="F1071" s="8" t="str">
        <f aca="false">IF(E1071&gt;=9,"Promoter",IF(E1071&gt;=7,"Passive","Detractor"))</f>
        <v>Promoter</v>
      </c>
    </row>
    <row r="1072" customFormat="false" ht="15" hidden="false" customHeight="false" outlineLevel="0" collapsed="false">
      <c r="A1072" s="8" t="s">
        <v>5676</v>
      </c>
      <c r="B1072" s="8" t="s">
        <v>811</v>
      </c>
      <c r="C1072" s="8" t="s">
        <v>53</v>
      </c>
      <c r="D1072" s="32" t="n">
        <v>46005</v>
      </c>
      <c r="E1072" s="8" t="n">
        <v>6</v>
      </c>
      <c r="F1072" s="8" t="str">
        <f aca="false">IF(E1072&gt;=9,"Promoter",IF(E1072&gt;=7,"Passive","Detractor"))</f>
        <v>Detractor</v>
      </c>
    </row>
    <row r="1073" customFormat="false" ht="15" hidden="false" customHeight="false" outlineLevel="0" collapsed="false">
      <c r="A1073" s="8" t="s">
        <v>5677</v>
      </c>
      <c r="B1073" s="8" t="s">
        <v>1323</v>
      </c>
      <c r="C1073" s="8" t="s">
        <v>53</v>
      </c>
      <c r="D1073" s="32" t="n">
        <v>46005</v>
      </c>
      <c r="E1073" s="8" t="n">
        <v>6</v>
      </c>
      <c r="F1073" s="8" t="str">
        <f aca="false">IF(E1073&gt;=9,"Promoter",IF(E1073&gt;=7,"Passive","Detractor"))</f>
        <v>Detractor</v>
      </c>
    </row>
    <row r="1074" customFormat="false" ht="15" hidden="false" customHeight="false" outlineLevel="0" collapsed="false">
      <c r="A1074" s="8" t="s">
        <v>5678</v>
      </c>
      <c r="B1074" s="8" t="s">
        <v>2546</v>
      </c>
      <c r="C1074" s="8" t="s">
        <v>51</v>
      </c>
      <c r="D1074" s="32" t="n">
        <v>46005</v>
      </c>
      <c r="E1074" s="8" t="n">
        <v>7</v>
      </c>
      <c r="F1074" s="8" t="str">
        <f aca="false">IF(E1074&gt;=9,"Promoter",IF(E1074&gt;=7,"Passive","Detractor"))</f>
        <v>Passive</v>
      </c>
    </row>
    <row r="1075" customFormat="false" ht="15" hidden="false" customHeight="false" outlineLevel="0" collapsed="false">
      <c r="A1075" s="8" t="s">
        <v>5679</v>
      </c>
      <c r="B1075" s="8" t="s">
        <v>4366</v>
      </c>
      <c r="C1075" s="8" t="s">
        <v>51</v>
      </c>
      <c r="D1075" s="32" t="n">
        <v>46005</v>
      </c>
      <c r="E1075" s="8" t="n">
        <v>7</v>
      </c>
      <c r="F1075" s="8" t="str">
        <f aca="false">IF(E1075&gt;=9,"Promoter",IF(E1075&gt;=7,"Passive","Detractor"))</f>
        <v>Passive</v>
      </c>
    </row>
    <row r="1076" customFormat="false" ht="15" hidden="false" customHeight="false" outlineLevel="0" collapsed="false">
      <c r="A1076" s="8" t="s">
        <v>5680</v>
      </c>
      <c r="B1076" s="8" t="s">
        <v>1717</v>
      </c>
      <c r="C1076" s="8" t="s">
        <v>53</v>
      </c>
      <c r="D1076" s="32" t="n">
        <v>46005</v>
      </c>
      <c r="E1076" s="8" t="n">
        <v>6</v>
      </c>
      <c r="F1076" s="8" t="str">
        <f aca="false">IF(E1076&gt;=9,"Promoter",IF(E1076&gt;=7,"Passive","Detractor"))</f>
        <v>Detractor</v>
      </c>
    </row>
    <row r="1077" customFormat="false" ht="15" hidden="false" customHeight="false" outlineLevel="0" collapsed="false">
      <c r="A1077" s="8" t="s">
        <v>5681</v>
      </c>
      <c r="B1077" s="8" t="s">
        <v>1299</v>
      </c>
      <c r="C1077" s="8" t="s">
        <v>53</v>
      </c>
      <c r="D1077" s="32" t="n">
        <v>46005</v>
      </c>
      <c r="E1077" s="8" t="n">
        <v>7</v>
      </c>
      <c r="F1077" s="8" t="str">
        <f aca="false">IF(E1077&gt;=9,"Promoter",IF(E1077&gt;=7,"Passive","Detractor"))</f>
        <v>Passive</v>
      </c>
    </row>
    <row r="1078" customFormat="false" ht="15" hidden="false" customHeight="false" outlineLevel="0" collapsed="false">
      <c r="A1078" s="8" t="s">
        <v>5682</v>
      </c>
      <c r="B1078" s="8" t="s">
        <v>861</v>
      </c>
      <c r="C1078" s="8" t="s">
        <v>53</v>
      </c>
      <c r="D1078" s="32" t="n">
        <v>46005</v>
      </c>
      <c r="E1078" s="8" t="n">
        <v>8</v>
      </c>
      <c r="F1078" s="8" t="str">
        <f aca="false">IF(E1078&gt;=9,"Promoter",IF(E1078&gt;=7,"Passive","Detractor"))</f>
        <v>Passive</v>
      </c>
    </row>
    <row r="1079" customFormat="false" ht="15" hidden="false" customHeight="false" outlineLevel="0" collapsed="false">
      <c r="A1079" s="8" t="s">
        <v>5683</v>
      </c>
      <c r="B1079" s="8" t="s">
        <v>2306</v>
      </c>
      <c r="C1079" s="8" t="s">
        <v>51</v>
      </c>
      <c r="D1079" s="32" t="n">
        <v>46005</v>
      </c>
      <c r="E1079" s="8" t="n">
        <v>10</v>
      </c>
      <c r="F1079" s="8" t="str">
        <f aca="false">IF(E1079&gt;=9,"Promoter",IF(E1079&gt;=7,"Passive","Detractor"))</f>
        <v>Promoter</v>
      </c>
    </row>
    <row r="1080" customFormat="false" ht="15" hidden="false" customHeight="false" outlineLevel="0" collapsed="false">
      <c r="A1080" s="8" t="s">
        <v>5684</v>
      </c>
      <c r="B1080" s="8" t="s">
        <v>1493</v>
      </c>
      <c r="C1080" s="8" t="s">
        <v>53</v>
      </c>
      <c r="D1080" s="32" t="n">
        <v>46005</v>
      </c>
      <c r="E1080" s="8" t="n">
        <v>9</v>
      </c>
      <c r="F1080" s="8" t="str">
        <f aca="false">IF(E1080&gt;=9,"Promoter",IF(E1080&gt;=7,"Passive","Detractor"))</f>
        <v>Promoter</v>
      </c>
    </row>
    <row r="1081" customFormat="false" ht="15" hidden="false" customHeight="false" outlineLevel="0" collapsed="false">
      <c r="A1081" s="8" t="s">
        <v>5685</v>
      </c>
      <c r="B1081" s="8" t="s">
        <v>1023</v>
      </c>
      <c r="C1081" s="8" t="s">
        <v>53</v>
      </c>
      <c r="D1081" s="32" t="n">
        <v>46006</v>
      </c>
      <c r="E1081" s="8" t="n">
        <v>10</v>
      </c>
      <c r="F1081" s="8" t="str">
        <f aca="false">IF(E1081&gt;=9,"Promoter",IF(E1081&gt;=7,"Passive","Detractor"))</f>
        <v>Promoter</v>
      </c>
    </row>
    <row r="1082" customFormat="false" ht="15" hidden="false" customHeight="false" outlineLevel="0" collapsed="false">
      <c r="A1082" s="8" t="s">
        <v>5686</v>
      </c>
      <c r="B1082" s="8" t="s">
        <v>4538</v>
      </c>
      <c r="C1082" s="8" t="s">
        <v>51</v>
      </c>
      <c r="D1082" s="32" t="n">
        <v>46006</v>
      </c>
      <c r="E1082" s="8" t="n">
        <v>7</v>
      </c>
      <c r="F1082" s="8" t="str">
        <f aca="false">IF(E1082&gt;=9,"Promoter",IF(E1082&gt;=7,"Passive","Detractor"))</f>
        <v>Passive</v>
      </c>
    </row>
    <row r="1083" customFormat="false" ht="15" hidden="false" customHeight="false" outlineLevel="0" collapsed="false">
      <c r="A1083" s="8" t="s">
        <v>5687</v>
      </c>
      <c r="B1083" s="8" t="s">
        <v>2354</v>
      </c>
      <c r="C1083" s="8" t="s">
        <v>51</v>
      </c>
      <c r="D1083" s="32" t="n">
        <v>46006</v>
      </c>
      <c r="E1083" s="8" t="n">
        <v>7</v>
      </c>
      <c r="F1083" s="8" t="str">
        <f aca="false">IF(E1083&gt;=9,"Promoter",IF(E1083&gt;=7,"Passive","Detractor"))</f>
        <v>Passive</v>
      </c>
    </row>
    <row r="1084" customFormat="false" ht="15" hidden="false" customHeight="false" outlineLevel="0" collapsed="false">
      <c r="A1084" s="8" t="s">
        <v>5688</v>
      </c>
      <c r="B1084" s="8" t="s">
        <v>4471</v>
      </c>
      <c r="C1084" s="8" t="s">
        <v>53</v>
      </c>
      <c r="D1084" s="32" t="n">
        <v>46006</v>
      </c>
      <c r="E1084" s="8" t="n">
        <v>7</v>
      </c>
      <c r="F1084" s="8" t="str">
        <f aca="false">IF(E1084&gt;=9,"Promoter",IF(E1084&gt;=7,"Passive","Detractor"))</f>
        <v>Passive</v>
      </c>
    </row>
    <row r="1085" customFormat="false" ht="15" hidden="false" customHeight="false" outlineLevel="0" collapsed="false">
      <c r="A1085" s="8" t="s">
        <v>5689</v>
      </c>
      <c r="B1085" s="8" t="s">
        <v>2442</v>
      </c>
      <c r="C1085" s="8" t="s">
        <v>51</v>
      </c>
      <c r="D1085" s="32" t="n">
        <v>46006</v>
      </c>
      <c r="E1085" s="8" t="n">
        <v>9</v>
      </c>
      <c r="F1085" s="8" t="str">
        <f aca="false">IF(E1085&gt;=9,"Promoter",IF(E1085&gt;=7,"Passive","Detractor"))</f>
        <v>Promoter</v>
      </c>
    </row>
    <row r="1086" customFormat="false" ht="15" hidden="false" customHeight="false" outlineLevel="0" collapsed="false">
      <c r="A1086" s="8" t="s">
        <v>5690</v>
      </c>
      <c r="B1086" s="8" t="s">
        <v>2380</v>
      </c>
      <c r="C1086" s="8" t="s">
        <v>51</v>
      </c>
      <c r="D1086" s="32" t="n">
        <v>46006</v>
      </c>
      <c r="E1086" s="8" t="n">
        <v>7</v>
      </c>
      <c r="F1086" s="8" t="str">
        <f aca="false">IF(E1086&gt;=9,"Promoter",IF(E1086&gt;=7,"Passive","Detractor"))</f>
        <v>Passive</v>
      </c>
    </row>
    <row r="1087" customFormat="false" ht="15" hidden="false" customHeight="false" outlineLevel="0" collapsed="false">
      <c r="A1087" s="8" t="s">
        <v>5691</v>
      </c>
      <c r="B1087" s="8" t="s">
        <v>1555</v>
      </c>
      <c r="C1087" s="8" t="s">
        <v>53</v>
      </c>
      <c r="D1087" s="32" t="n">
        <v>46006</v>
      </c>
      <c r="E1087" s="8" t="n">
        <v>7</v>
      </c>
      <c r="F1087" s="8" t="str">
        <f aca="false">IF(E1087&gt;=9,"Promoter",IF(E1087&gt;=7,"Passive","Detractor"))</f>
        <v>Passive</v>
      </c>
    </row>
    <row r="1088" customFormat="false" ht="15" hidden="false" customHeight="false" outlineLevel="0" collapsed="false">
      <c r="A1088" s="8" t="s">
        <v>5692</v>
      </c>
      <c r="B1088" s="8" t="s">
        <v>1723</v>
      </c>
      <c r="C1088" s="8" t="s">
        <v>53</v>
      </c>
      <c r="D1088" s="32" t="n">
        <v>46006</v>
      </c>
      <c r="E1088" s="8" t="n">
        <v>10</v>
      </c>
      <c r="F1088" s="8" t="str">
        <f aca="false">IF(E1088&gt;=9,"Promoter",IF(E1088&gt;=7,"Passive","Detractor"))</f>
        <v>Promoter</v>
      </c>
    </row>
    <row r="1089" customFormat="false" ht="15" hidden="false" customHeight="false" outlineLevel="0" collapsed="false">
      <c r="A1089" s="8" t="s">
        <v>5693</v>
      </c>
      <c r="B1089" s="8" t="s">
        <v>3258</v>
      </c>
      <c r="C1089" s="8" t="s">
        <v>51</v>
      </c>
      <c r="D1089" s="32" t="n">
        <v>46007</v>
      </c>
      <c r="E1089" s="8" t="n">
        <v>10</v>
      </c>
      <c r="F1089" s="8" t="str">
        <f aca="false">IF(E1089&gt;=9,"Promoter",IF(E1089&gt;=7,"Passive","Detractor"))</f>
        <v>Promoter</v>
      </c>
    </row>
    <row r="1090" customFormat="false" ht="15" hidden="false" customHeight="false" outlineLevel="0" collapsed="false">
      <c r="A1090" s="8" t="s">
        <v>5694</v>
      </c>
      <c r="B1090" s="8" t="s">
        <v>4164</v>
      </c>
      <c r="C1090" s="8" t="s">
        <v>51</v>
      </c>
      <c r="D1090" s="32" t="n">
        <v>46007</v>
      </c>
      <c r="E1090" s="8" t="n">
        <v>8</v>
      </c>
      <c r="F1090" s="8" t="str">
        <f aca="false">IF(E1090&gt;=9,"Promoter",IF(E1090&gt;=7,"Passive","Detractor"))</f>
        <v>Passive</v>
      </c>
    </row>
    <row r="1091" customFormat="false" ht="15" hidden="false" customHeight="false" outlineLevel="0" collapsed="false">
      <c r="A1091" s="8" t="s">
        <v>5695</v>
      </c>
      <c r="B1091" s="8" t="s">
        <v>819</v>
      </c>
      <c r="C1091" s="8" t="s">
        <v>55</v>
      </c>
      <c r="D1091" s="32" t="n">
        <v>46007</v>
      </c>
      <c r="E1091" s="8" t="n">
        <v>9</v>
      </c>
      <c r="F1091" s="8" t="str">
        <f aca="false">IF(E1091&gt;=9,"Promoter",IF(E1091&gt;=7,"Passive","Detractor"))</f>
        <v>Promoter</v>
      </c>
    </row>
    <row r="1092" customFormat="false" ht="15" hidden="false" customHeight="false" outlineLevel="0" collapsed="false">
      <c r="A1092" s="8" t="s">
        <v>5696</v>
      </c>
      <c r="B1092" s="8" t="s">
        <v>4226</v>
      </c>
      <c r="C1092" s="8" t="s">
        <v>51</v>
      </c>
      <c r="D1092" s="32" t="n">
        <v>46007</v>
      </c>
      <c r="E1092" s="8" t="n">
        <v>8</v>
      </c>
      <c r="F1092" s="8" t="str">
        <f aca="false">IF(E1092&gt;=9,"Promoter",IF(E1092&gt;=7,"Passive","Detractor"))</f>
        <v>Passive</v>
      </c>
    </row>
    <row r="1093" customFormat="false" ht="15" hidden="false" customHeight="false" outlineLevel="0" collapsed="false">
      <c r="A1093" s="8" t="s">
        <v>5697</v>
      </c>
      <c r="B1093" s="8" t="s">
        <v>439</v>
      </c>
      <c r="C1093" s="8" t="s">
        <v>55</v>
      </c>
      <c r="D1093" s="32" t="n">
        <v>46007</v>
      </c>
      <c r="E1093" s="8" t="n">
        <v>7</v>
      </c>
      <c r="F1093" s="8" t="str">
        <f aca="false">IF(E1093&gt;=9,"Promoter",IF(E1093&gt;=7,"Passive","Detractor"))</f>
        <v>Passive</v>
      </c>
    </row>
    <row r="1094" customFormat="false" ht="15" hidden="false" customHeight="false" outlineLevel="0" collapsed="false">
      <c r="A1094" s="8" t="s">
        <v>5698</v>
      </c>
      <c r="B1094" s="8" t="s">
        <v>953</v>
      </c>
      <c r="C1094" s="8" t="s">
        <v>53</v>
      </c>
      <c r="D1094" s="32" t="n">
        <v>46007</v>
      </c>
      <c r="E1094" s="8" t="n">
        <v>7</v>
      </c>
      <c r="F1094" s="8" t="str">
        <f aca="false">IF(E1094&gt;=9,"Promoter",IF(E1094&gt;=7,"Passive","Detractor"))</f>
        <v>Passive</v>
      </c>
    </row>
    <row r="1095" customFormat="false" ht="15" hidden="false" customHeight="false" outlineLevel="0" collapsed="false">
      <c r="A1095" s="8" t="s">
        <v>5699</v>
      </c>
      <c r="B1095" s="8" t="s">
        <v>505</v>
      </c>
      <c r="C1095" s="8" t="s">
        <v>55</v>
      </c>
      <c r="D1095" s="32" t="n">
        <v>46007</v>
      </c>
      <c r="E1095" s="8" t="n">
        <v>10</v>
      </c>
      <c r="F1095" s="8" t="str">
        <f aca="false">IF(E1095&gt;=9,"Promoter",IF(E1095&gt;=7,"Passive","Detractor"))</f>
        <v>Promoter</v>
      </c>
    </row>
    <row r="1096" customFormat="false" ht="15" hidden="false" customHeight="false" outlineLevel="0" collapsed="false">
      <c r="A1096" s="8" t="s">
        <v>5700</v>
      </c>
      <c r="B1096" s="8" t="s">
        <v>1005</v>
      </c>
      <c r="C1096" s="8" t="s">
        <v>53</v>
      </c>
      <c r="D1096" s="32" t="n">
        <v>46007</v>
      </c>
      <c r="E1096" s="8" t="n">
        <v>10</v>
      </c>
      <c r="F1096" s="8" t="str">
        <f aca="false">IF(E1096&gt;=9,"Promoter",IF(E1096&gt;=7,"Passive","Detractor"))</f>
        <v>Promoter</v>
      </c>
    </row>
    <row r="1097" customFormat="false" ht="15" hidden="false" customHeight="false" outlineLevel="0" collapsed="false">
      <c r="A1097" s="8" t="s">
        <v>5701</v>
      </c>
      <c r="B1097" s="8" t="s">
        <v>4016</v>
      </c>
      <c r="C1097" s="8" t="s">
        <v>51</v>
      </c>
      <c r="D1097" s="32" t="n">
        <v>46007</v>
      </c>
      <c r="E1097" s="8" t="n">
        <v>10</v>
      </c>
      <c r="F1097" s="8" t="str">
        <f aca="false">IF(E1097&gt;=9,"Promoter",IF(E1097&gt;=7,"Passive","Detractor"))</f>
        <v>Promoter</v>
      </c>
    </row>
    <row r="1098" customFormat="false" ht="15" hidden="false" customHeight="false" outlineLevel="0" collapsed="false">
      <c r="A1098" s="8" t="s">
        <v>5702</v>
      </c>
      <c r="B1098" s="8" t="s">
        <v>2970</v>
      </c>
      <c r="C1098" s="8" t="s">
        <v>51</v>
      </c>
      <c r="D1098" s="32" t="n">
        <v>46007</v>
      </c>
      <c r="E1098" s="8" t="n">
        <v>8</v>
      </c>
      <c r="F1098" s="8" t="str">
        <f aca="false">IF(E1098&gt;=9,"Promoter",IF(E1098&gt;=7,"Passive","Detractor"))</f>
        <v>Passive</v>
      </c>
    </row>
    <row r="1099" customFormat="false" ht="15" hidden="false" customHeight="false" outlineLevel="0" collapsed="false">
      <c r="A1099" s="8" t="s">
        <v>5703</v>
      </c>
      <c r="B1099" s="8" t="s">
        <v>2556</v>
      </c>
      <c r="C1099" s="8" t="s">
        <v>51</v>
      </c>
      <c r="D1099" s="32" t="n">
        <v>46008</v>
      </c>
      <c r="E1099" s="8" t="n">
        <v>8</v>
      </c>
      <c r="F1099" s="8" t="str">
        <f aca="false">IF(E1099&gt;=9,"Promoter",IF(E1099&gt;=7,"Passive","Detractor"))</f>
        <v>Passive</v>
      </c>
    </row>
    <row r="1100" customFormat="false" ht="15" hidden="false" customHeight="false" outlineLevel="0" collapsed="false">
      <c r="A1100" s="8" t="s">
        <v>5704</v>
      </c>
      <c r="B1100" s="8" t="s">
        <v>873</v>
      </c>
      <c r="C1100" s="8" t="s">
        <v>53</v>
      </c>
      <c r="D1100" s="32" t="n">
        <v>46008</v>
      </c>
      <c r="E1100" s="8" t="n">
        <v>9</v>
      </c>
      <c r="F1100" s="8" t="str">
        <f aca="false">IF(E1100&gt;=9,"Promoter",IF(E1100&gt;=7,"Passive","Detractor"))</f>
        <v>Promoter</v>
      </c>
    </row>
    <row r="1101" customFormat="false" ht="15" hidden="false" customHeight="false" outlineLevel="0" collapsed="false">
      <c r="A1101" s="8" t="s">
        <v>5705</v>
      </c>
      <c r="B1101" s="8" t="s">
        <v>3538</v>
      </c>
      <c r="C1101" s="8" t="s">
        <v>51</v>
      </c>
      <c r="D1101" s="32" t="n">
        <v>46008</v>
      </c>
      <c r="E1101" s="8" t="n">
        <v>6</v>
      </c>
      <c r="F1101" s="8" t="str">
        <f aca="false">IF(E1101&gt;=9,"Promoter",IF(E1101&gt;=7,"Passive","Detractor"))</f>
        <v>Detractor</v>
      </c>
    </row>
    <row r="1102" customFormat="false" ht="15" hidden="false" customHeight="false" outlineLevel="0" collapsed="false">
      <c r="A1102" s="8" t="s">
        <v>5706</v>
      </c>
      <c r="B1102" s="8" t="s">
        <v>1417</v>
      </c>
      <c r="C1102" s="8" t="s">
        <v>53</v>
      </c>
      <c r="D1102" s="32" t="n">
        <v>46008</v>
      </c>
      <c r="E1102" s="8" t="n">
        <v>9</v>
      </c>
      <c r="F1102" s="8" t="str">
        <f aca="false">IF(E1102&gt;=9,"Promoter",IF(E1102&gt;=7,"Passive","Detractor"))</f>
        <v>Promoter</v>
      </c>
    </row>
    <row r="1103" customFormat="false" ht="15" hidden="false" customHeight="false" outlineLevel="0" collapsed="false">
      <c r="A1103" s="8" t="s">
        <v>5707</v>
      </c>
      <c r="B1103" s="8" t="s">
        <v>1787</v>
      </c>
      <c r="C1103" s="8" t="s">
        <v>53</v>
      </c>
      <c r="D1103" s="32" t="n">
        <v>46008</v>
      </c>
      <c r="E1103" s="8" t="n">
        <v>10</v>
      </c>
      <c r="F1103" s="8" t="str">
        <f aca="false">IF(E1103&gt;=9,"Promoter",IF(E1103&gt;=7,"Passive","Detractor"))</f>
        <v>Promoter</v>
      </c>
    </row>
    <row r="1104" customFormat="false" ht="15" hidden="false" customHeight="false" outlineLevel="0" collapsed="false">
      <c r="A1104" s="8" t="s">
        <v>5708</v>
      </c>
      <c r="B1104" s="8" t="s">
        <v>1709</v>
      </c>
      <c r="C1104" s="8" t="s">
        <v>53</v>
      </c>
      <c r="D1104" s="32" t="n">
        <v>46009</v>
      </c>
      <c r="E1104" s="8" t="n">
        <v>8</v>
      </c>
      <c r="F1104" s="8" t="str">
        <f aca="false">IF(E1104&gt;=9,"Promoter",IF(E1104&gt;=7,"Passive","Detractor"))</f>
        <v>Passive</v>
      </c>
    </row>
    <row r="1105" customFormat="false" ht="15" hidden="false" customHeight="false" outlineLevel="0" collapsed="false">
      <c r="A1105" s="8" t="s">
        <v>5709</v>
      </c>
      <c r="B1105" s="8" t="s">
        <v>2936</v>
      </c>
      <c r="C1105" s="8" t="s">
        <v>51</v>
      </c>
      <c r="D1105" s="32" t="n">
        <v>46009</v>
      </c>
      <c r="E1105" s="8" t="n">
        <v>9</v>
      </c>
      <c r="F1105" s="8" t="str">
        <f aca="false">IF(E1105&gt;=9,"Promoter",IF(E1105&gt;=7,"Passive","Detractor"))</f>
        <v>Promoter</v>
      </c>
    </row>
    <row r="1106" customFormat="false" ht="15" hidden="false" customHeight="false" outlineLevel="0" collapsed="false">
      <c r="A1106" s="8" t="s">
        <v>5710</v>
      </c>
      <c r="B1106" s="8" t="s">
        <v>3232</v>
      </c>
      <c r="C1106" s="8" t="s">
        <v>51</v>
      </c>
      <c r="D1106" s="32" t="n">
        <v>46009</v>
      </c>
      <c r="E1106" s="8" t="n">
        <v>10</v>
      </c>
      <c r="F1106" s="8" t="str">
        <f aca="false">IF(E1106&gt;=9,"Promoter",IF(E1106&gt;=7,"Passive","Detractor"))</f>
        <v>Promoter</v>
      </c>
    </row>
    <row r="1107" customFormat="false" ht="15" hidden="false" customHeight="false" outlineLevel="0" collapsed="false">
      <c r="A1107" s="8" t="s">
        <v>5711</v>
      </c>
      <c r="B1107" s="8" t="s">
        <v>1141</v>
      </c>
      <c r="C1107" s="8" t="s">
        <v>53</v>
      </c>
      <c r="D1107" s="32" t="n">
        <v>46009</v>
      </c>
      <c r="E1107" s="8" t="n">
        <v>8</v>
      </c>
      <c r="F1107" s="8" t="str">
        <f aca="false">IF(E1107&gt;=9,"Promoter",IF(E1107&gt;=7,"Passive","Detractor"))</f>
        <v>Passive</v>
      </c>
    </row>
    <row r="1108" customFormat="false" ht="15" hidden="false" customHeight="false" outlineLevel="0" collapsed="false">
      <c r="A1108" s="8" t="s">
        <v>5712</v>
      </c>
      <c r="B1108" s="8" t="s">
        <v>551</v>
      </c>
      <c r="C1108" s="8" t="s">
        <v>53</v>
      </c>
      <c r="D1108" s="32" t="n">
        <v>46009</v>
      </c>
      <c r="E1108" s="8" t="n">
        <v>7</v>
      </c>
      <c r="F1108" s="8" t="str">
        <f aca="false">IF(E1108&gt;=9,"Promoter",IF(E1108&gt;=7,"Passive","Detractor"))</f>
        <v>Passive</v>
      </c>
    </row>
    <row r="1109" customFormat="false" ht="15" hidden="false" customHeight="false" outlineLevel="0" collapsed="false">
      <c r="A1109" s="8" t="s">
        <v>5713</v>
      </c>
      <c r="B1109" s="8" t="s">
        <v>663</v>
      </c>
      <c r="C1109" s="8" t="s">
        <v>53</v>
      </c>
      <c r="D1109" s="32" t="n">
        <v>46009</v>
      </c>
      <c r="E1109" s="8" t="n">
        <v>10</v>
      </c>
      <c r="F1109" s="8" t="str">
        <f aca="false">IF(E1109&gt;=9,"Promoter",IF(E1109&gt;=7,"Passive","Detractor"))</f>
        <v>Promoter</v>
      </c>
    </row>
    <row r="1110" customFormat="false" ht="15" hidden="false" customHeight="false" outlineLevel="0" collapsed="false">
      <c r="A1110" s="8" t="s">
        <v>5714</v>
      </c>
      <c r="B1110" s="8" t="s">
        <v>1039</v>
      </c>
      <c r="C1110" s="8" t="s">
        <v>53</v>
      </c>
      <c r="D1110" s="32" t="n">
        <v>46010</v>
      </c>
      <c r="E1110" s="8" t="n">
        <v>9</v>
      </c>
      <c r="F1110" s="8" t="str">
        <f aca="false">IF(E1110&gt;=9,"Promoter",IF(E1110&gt;=7,"Passive","Detractor"))</f>
        <v>Promoter</v>
      </c>
    </row>
    <row r="1111" customFormat="false" ht="15" hidden="false" customHeight="false" outlineLevel="0" collapsed="false">
      <c r="A1111" s="8" t="s">
        <v>5715</v>
      </c>
      <c r="B1111" s="8" t="s">
        <v>1821</v>
      </c>
      <c r="C1111" s="8" t="s">
        <v>51</v>
      </c>
      <c r="D1111" s="32" t="n">
        <v>46010</v>
      </c>
      <c r="E1111" s="8" t="n">
        <v>9</v>
      </c>
      <c r="F1111" s="8" t="str">
        <f aca="false">IF(E1111&gt;=9,"Promoter",IF(E1111&gt;=7,"Passive","Detractor"))</f>
        <v>Promoter</v>
      </c>
    </row>
    <row r="1112" customFormat="false" ht="15" hidden="false" customHeight="false" outlineLevel="0" collapsed="false">
      <c r="A1112" s="8" t="s">
        <v>5716</v>
      </c>
      <c r="B1112" s="8" t="s">
        <v>2238</v>
      </c>
      <c r="C1112" s="8" t="s">
        <v>51</v>
      </c>
      <c r="D1112" s="32" t="n">
        <v>46010</v>
      </c>
      <c r="E1112" s="8" t="n">
        <v>9</v>
      </c>
      <c r="F1112" s="8" t="str">
        <f aca="false">IF(E1112&gt;=9,"Promoter",IF(E1112&gt;=7,"Passive","Detractor"))</f>
        <v>Promoter</v>
      </c>
    </row>
    <row r="1113" customFormat="false" ht="15" hidden="false" customHeight="false" outlineLevel="0" collapsed="false">
      <c r="A1113" s="8" t="s">
        <v>5717</v>
      </c>
      <c r="B1113" s="8" t="s">
        <v>4352</v>
      </c>
      <c r="C1113" s="8" t="s">
        <v>51</v>
      </c>
      <c r="D1113" s="32" t="n">
        <v>46010</v>
      </c>
      <c r="E1113" s="8" t="n">
        <v>10</v>
      </c>
      <c r="F1113" s="8" t="str">
        <f aca="false">IF(E1113&gt;=9,"Promoter",IF(E1113&gt;=7,"Passive","Detractor"))</f>
        <v>Promoter</v>
      </c>
    </row>
    <row r="1114" customFormat="false" ht="15" hidden="false" customHeight="false" outlineLevel="0" collapsed="false">
      <c r="A1114" s="8" t="s">
        <v>5718</v>
      </c>
      <c r="B1114" s="8" t="s">
        <v>3612</v>
      </c>
      <c r="C1114" s="8" t="s">
        <v>51</v>
      </c>
      <c r="D1114" s="32" t="n">
        <v>46010</v>
      </c>
      <c r="E1114" s="8" t="n">
        <v>8</v>
      </c>
      <c r="F1114" s="8" t="str">
        <f aca="false">IF(E1114&gt;=9,"Promoter",IF(E1114&gt;=7,"Passive","Detractor"))</f>
        <v>Passive</v>
      </c>
    </row>
    <row r="1115" customFormat="false" ht="15" hidden="false" customHeight="false" outlineLevel="0" collapsed="false">
      <c r="A1115" s="8" t="s">
        <v>5719</v>
      </c>
      <c r="B1115" s="8" t="s">
        <v>2162</v>
      </c>
      <c r="C1115" s="8" t="s">
        <v>51</v>
      </c>
      <c r="D1115" s="32" t="n">
        <v>46010</v>
      </c>
      <c r="E1115" s="8" t="n">
        <v>10</v>
      </c>
      <c r="F1115" s="8" t="str">
        <f aca="false">IF(E1115&gt;=9,"Promoter",IF(E1115&gt;=7,"Passive","Detractor"))</f>
        <v>Promoter</v>
      </c>
    </row>
    <row r="1116" customFormat="false" ht="15" hidden="false" customHeight="false" outlineLevel="0" collapsed="false">
      <c r="A1116" s="8" t="s">
        <v>5720</v>
      </c>
      <c r="B1116" s="8" t="s">
        <v>3998</v>
      </c>
      <c r="C1116" s="8" t="s">
        <v>51</v>
      </c>
      <c r="D1116" s="32" t="n">
        <v>46010</v>
      </c>
      <c r="E1116" s="8" t="n">
        <v>10</v>
      </c>
      <c r="F1116" s="8" t="str">
        <f aca="false">IF(E1116&gt;=9,"Promoter",IF(E1116&gt;=7,"Passive","Detractor"))</f>
        <v>Promoter</v>
      </c>
    </row>
    <row r="1117" customFormat="false" ht="15" hidden="false" customHeight="false" outlineLevel="0" collapsed="false">
      <c r="A1117" s="8" t="s">
        <v>5721</v>
      </c>
      <c r="B1117" s="8" t="s">
        <v>3324</v>
      </c>
      <c r="C1117" s="8" t="s">
        <v>51</v>
      </c>
      <c r="D1117" s="32" t="n">
        <v>46011</v>
      </c>
      <c r="E1117" s="8" t="n">
        <v>9</v>
      </c>
      <c r="F1117" s="8" t="str">
        <f aca="false">IF(E1117&gt;=9,"Promoter",IF(E1117&gt;=7,"Passive","Detractor"))</f>
        <v>Promoter</v>
      </c>
    </row>
    <row r="1118" customFormat="false" ht="15" hidden="false" customHeight="false" outlineLevel="0" collapsed="false">
      <c r="A1118" s="8" t="s">
        <v>5722</v>
      </c>
      <c r="B1118" s="8" t="s">
        <v>1783</v>
      </c>
      <c r="C1118" s="8" t="s">
        <v>53</v>
      </c>
      <c r="D1118" s="32" t="n">
        <v>46011</v>
      </c>
      <c r="E1118" s="8" t="n">
        <v>10</v>
      </c>
      <c r="F1118" s="8" t="str">
        <f aca="false">IF(E1118&gt;=9,"Promoter",IF(E1118&gt;=7,"Passive","Detractor"))</f>
        <v>Promoter</v>
      </c>
    </row>
    <row r="1119" customFormat="false" ht="15" hidden="false" customHeight="false" outlineLevel="0" collapsed="false">
      <c r="A1119" s="8" t="s">
        <v>5723</v>
      </c>
      <c r="B1119" s="8" t="s">
        <v>2358</v>
      </c>
      <c r="C1119" s="8" t="s">
        <v>51</v>
      </c>
      <c r="D1119" s="32" t="n">
        <v>46011</v>
      </c>
      <c r="E1119" s="8" t="n">
        <v>10</v>
      </c>
      <c r="F1119" s="8" t="str">
        <f aca="false">IF(E1119&gt;=9,"Promoter",IF(E1119&gt;=7,"Passive","Detractor"))</f>
        <v>Promoter</v>
      </c>
    </row>
    <row r="1120" customFormat="false" ht="15" hidden="false" customHeight="false" outlineLevel="0" collapsed="false">
      <c r="A1120" s="8" t="s">
        <v>5724</v>
      </c>
      <c r="B1120" s="8" t="s">
        <v>4054</v>
      </c>
      <c r="C1120" s="8" t="s">
        <v>51</v>
      </c>
      <c r="D1120" s="32" t="n">
        <v>46011</v>
      </c>
      <c r="E1120" s="8" t="n">
        <v>9</v>
      </c>
      <c r="F1120" s="8" t="str">
        <f aca="false">IF(E1120&gt;=9,"Promoter",IF(E1120&gt;=7,"Passive","Detractor"))</f>
        <v>Promoter</v>
      </c>
    </row>
    <row r="1121" customFormat="false" ht="15" hidden="false" customHeight="false" outlineLevel="0" collapsed="false">
      <c r="A1121" s="8" t="s">
        <v>5725</v>
      </c>
      <c r="B1121" s="8" t="s">
        <v>2724</v>
      </c>
      <c r="C1121" s="8" t="s">
        <v>51</v>
      </c>
      <c r="D1121" s="32" t="n">
        <v>46011</v>
      </c>
      <c r="E1121" s="8" t="n">
        <v>10</v>
      </c>
      <c r="F1121" s="8" t="str">
        <f aca="false">IF(E1121&gt;=9,"Promoter",IF(E1121&gt;=7,"Passive","Detractor"))</f>
        <v>Promoter</v>
      </c>
    </row>
    <row r="1122" customFormat="false" ht="15" hidden="false" customHeight="false" outlineLevel="0" collapsed="false">
      <c r="A1122" s="8" t="s">
        <v>5726</v>
      </c>
      <c r="B1122" s="8" t="s">
        <v>1115</v>
      </c>
      <c r="C1122" s="8" t="s">
        <v>53</v>
      </c>
      <c r="D1122" s="32" t="n">
        <v>46012</v>
      </c>
      <c r="E1122" s="8" t="n">
        <v>9</v>
      </c>
      <c r="F1122" s="8" t="str">
        <f aca="false">IF(E1122&gt;=9,"Promoter",IF(E1122&gt;=7,"Passive","Detractor"))</f>
        <v>Promoter</v>
      </c>
    </row>
    <row r="1123" customFormat="false" ht="15" hidden="false" customHeight="false" outlineLevel="0" collapsed="false">
      <c r="A1123" s="8" t="s">
        <v>5727</v>
      </c>
      <c r="B1123" s="8" t="s">
        <v>2846</v>
      </c>
      <c r="C1123" s="8" t="s">
        <v>51</v>
      </c>
      <c r="D1123" s="32" t="n">
        <v>46012</v>
      </c>
      <c r="E1123" s="8" t="n">
        <v>10</v>
      </c>
      <c r="F1123" s="8" t="str">
        <f aca="false">IF(E1123&gt;=9,"Promoter",IF(E1123&gt;=7,"Passive","Detractor"))</f>
        <v>Promoter</v>
      </c>
    </row>
    <row r="1124" customFormat="false" ht="15" hidden="false" customHeight="false" outlineLevel="0" collapsed="false">
      <c r="A1124" s="8" t="s">
        <v>5728</v>
      </c>
      <c r="B1124" s="8" t="s">
        <v>3332</v>
      </c>
      <c r="C1124" s="8" t="s">
        <v>51</v>
      </c>
      <c r="D1124" s="32" t="n">
        <v>46012</v>
      </c>
      <c r="E1124" s="8" t="n">
        <v>8</v>
      </c>
      <c r="F1124" s="8" t="str">
        <f aca="false">IF(E1124&gt;=9,"Promoter",IF(E1124&gt;=7,"Passive","Detractor"))</f>
        <v>Passive</v>
      </c>
    </row>
    <row r="1125" customFormat="false" ht="15" hidden="false" customHeight="false" outlineLevel="0" collapsed="false">
      <c r="A1125" s="8" t="s">
        <v>5729</v>
      </c>
      <c r="B1125" s="8" t="s">
        <v>1187</v>
      </c>
      <c r="C1125" s="8" t="s">
        <v>53</v>
      </c>
      <c r="D1125" s="32" t="n">
        <v>46012</v>
      </c>
      <c r="E1125" s="8" t="n">
        <v>10</v>
      </c>
      <c r="F1125" s="8" t="str">
        <f aca="false">IF(E1125&gt;=9,"Promoter",IF(E1125&gt;=7,"Passive","Detractor"))</f>
        <v>Promoter</v>
      </c>
    </row>
    <row r="1126" customFormat="false" ht="15" hidden="false" customHeight="false" outlineLevel="0" collapsed="false">
      <c r="A1126" s="8" t="s">
        <v>5730</v>
      </c>
      <c r="B1126" s="8" t="s">
        <v>3564</v>
      </c>
      <c r="C1126" s="8" t="s">
        <v>51</v>
      </c>
      <c r="D1126" s="32" t="n">
        <v>46012</v>
      </c>
      <c r="E1126" s="8" t="n">
        <v>10</v>
      </c>
      <c r="F1126" s="8" t="str">
        <f aca="false">IF(E1126&gt;=9,"Promoter",IF(E1126&gt;=7,"Passive","Detractor"))</f>
        <v>Promoter</v>
      </c>
    </row>
    <row r="1127" customFormat="false" ht="15" hidden="false" customHeight="false" outlineLevel="0" collapsed="false">
      <c r="A1127" s="8" t="s">
        <v>5731</v>
      </c>
      <c r="B1127" s="8" t="s">
        <v>3672</v>
      </c>
      <c r="C1127" s="8" t="s">
        <v>51</v>
      </c>
      <c r="D1127" s="32" t="n">
        <v>46012</v>
      </c>
      <c r="E1127" s="8" t="n">
        <v>9</v>
      </c>
      <c r="F1127" s="8" t="str">
        <f aca="false">IF(E1127&gt;=9,"Promoter",IF(E1127&gt;=7,"Passive","Detractor"))</f>
        <v>Promoter</v>
      </c>
    </row>
    <row r="1128" customFormat="false" ht="15" hidden="false" customHeight="false" outlineLevel="0" collapsed="false">
      <c r="A1128" s="8" t="s">
        <v>5732</v>
      </c>
      <c r="B1128" s="8" t="s">
        <v>521</v>
      </c>
      <c r="C1128" s="8" t="s">
        <v>53</v>
      </c>
      <c r="D1128" s="32" t="n">
        <v>46012</v>
      </c>
      <c r="E1128" s="8" t="n">
        <v>10</v>
      </c>
      <c r="F1128" s="8" t="str">
        <f aca="false">IF(E1128&gt;=9,"Promoter",IF(E1128&gt;=7,"Passive","Detractor"))</f>
        <v>Promoter</v>
      </c>
    </row>
    <row r="1129" customFormat="false" ht="15" hidden="false" customHeight="false" outlineLevel="0" collapsed="false">
      <c r="A1129" s="8" t="s">
        <v>5733</v>
      </c>
      <c r="B1129" s="8" t="s">
        <v>2046</v>
      </c>
      <c r="C1129" s="8" t="s">
        <v>51</v>
      </c>
      <c r="D1129" s="32" t="n">
        <v>46012</v>
      </c>
      <c r="E1129" s="8" t="n">
        <v>9</v>
      </c>
      <c r="F1129" s="8" t="str">
        <f aca="false">IF(E1129&gt;=9,"Promoter",IF(E1129&gt;=7,"Passive","Detractor"))</f>
        <v>Promoter</v>
      </c>
    </row>
    <row r="1130" customFormat="false" ht="15" hidden="false" customHeight="false" outlineLevel="0" collapsed="false">
      <c r="A1130" s="8" t="s">
        <v>5734</v>
      </c>
      <c r="B1130" s="8" t="s">
        <v>1689</v>
      </c>
      <c r="C1130" s="8" t="s">
        <v>51</v>
      </c>
      <c r="D1130" s="32" t="n">
        <v>46012</v>
      </c>
      <c r="E1130" s="8" t="n">
        <v>9</v>
      </c>
      <c r="F1130" s="8" t="str">
        <f aca="false">IF(E1130&gt;=9,"Promoter",IF(E1130&gt;=7,"Passive","Detractor"))</f>
        <v>Promoter</v>
      </c>
    </row>
    <row r="1131" customFormat="false" ht="15" hidden="false" customHeight="false" outlineLevel="0" collapsed="false">
      <c r="A1131" s="8" t="s">
        <v>5735</v>
      </c>
      <c r="B1131" s="8" t="s">
        <v>4196</v>
      </c>
      <c r="C1131" s="8" t="s">
        <v>51</v>
      </c>
      <c r="D1131" s="32" t="n">
        <v>46012</v>
      </c>
      <c r="E1131" s="8" t="n">
        <v>9</v>
      </c>
      <c r="F1131" s="8" t="str">
        <f aca="false">IF(E1131&gt;=9,"Promoter",IF(E1131&gt;=7,"Passive","Detractor"))</f>
        <v>Promoter</v>
      </c>
    </row>
    <row r="1132" customFormat="false" ht="15" hidden="false" customHeight="false" outlineLevel="0" collapsed="false">
      <c r="A1132" s="8" t="s">
        <v>5736</v>
      </c>
      <c r="B1132" s="8" t="s">
        <v>1755</v>
      </c>
      <c r="C1132" s="8" t="s">
        <v>53</v>
      </c>
      <c r="D1132" s="32" t="n">
        <v>46012</v>
      </c>
      <c r="E1132" s="8" t="n">
        <v>8</v>
      </c>
      <c r="F1132" s="8" t="str">
        <f aca="false">IF(E1132&gt;=9,"Promoter",IF(E1132&gt;=7,"Passive","Detractor"))</f>
        <v>Passive</v>
      </c>
    </row>
    <row r="1133" customFormat="false" ht="15" hidden="false" customHeight="false" outlineLevel="0" collapsed="false">
      <c r="A1133" s="8" t="s">
        <v>5737</v>
      </c>
      <c r="B1133" s="8" t="s">
        <v>2302</v>
      </c>
      <c r="C1133" s="8" t="s">
        <v>51</v>
      </c>
      <c r="D1133" s="32" t="n">
        <v>46012</v>
      </c>
      <c r="E1133" s="8" t="n">
        <v>9</v>
      </c>
      <c r="F1133" s="8" t="str">
        <f aca="false">IF(E1133&gt;=9,"Promoter",IF(E1133&gt;=7,"Passive","Detractor"))</f>
        <v>Promoter</v>
      </c>
    </row>
    <row r="1134" customFormat="false" ht="15" hidden="false" customHeight="false" outlineLevel="0" collapsed="false">
      <c r="A1134" s="8" t="s">
        <v>5738</v>
      </c>
      <c r="B1134" s="8" t="s">
        <v>367</v>
      </c>
      <c r="C1134" s="8" t="s">
        <v>55</v>
      </c>
      <c r="D1134" s="32" t="n">
        <v>46012</v>
      </c>
      <c r="E1134" s="8" t="n">
        <v>6</v>
      </c>
      <c r="F1134" s="8" t="str">
        <f aca="false">IF(E1134&gt;=9,"Promoter",IF(E1134&gt;=7,"Passive","Detractor"))</f>
        <v>Detractor</v>
      </c>
    </row>
    <row r="1135" customFormat="false" ht="15" hidden="false" customHeight="false" outlineLevel="0" collapsed="false">
      <c r="A1135" s="8" t="s">
        <v>5739</v>
      </c>
      <c r="B1135" s="8" t="s">
        <v>4425</v>
      </c>
      <c r="C1135" s="8" t="s">
        <v>53</v>
      </c>
      <c r="D1135" s="32" t="n">
        <v>46013</v>
      </c>
      <c r="E1135" s="8" t="n">
        <v>6</v>
      </c>
      <c r="F1135" s="8" t="str">
        <f aca="false">IF(E1135&gt;=9,"Promoter",IF(E1135&gt;=7,"Passive","Detractor"))</f>
        <v>Detractor</v>
      </c>
    </row>
    <row r="1136" customFormat="false" ht="15" hidden="false" customHeight="false" outlineLevel="0" collapsed="false">
      <c r="A1136" s="8" t="s">
        <v>5740</v>
      </c>
      <c r="B1136" s="8" t="s">
        <v>3532</v>
      </c>
      <c r="C1136" s="8" t="s">
        <v>51</v>
      </c>
      <c r="D1136" s="32" t="n">
        <v>46013</v>
      </c>
      <c r="E1136" s="8" t="n">
        <v>8</v>
      </c>
      <c r="F1136" s="8" t="str">
        <f aca="false">IF(E1136&gt;=9,"Promoter",IF(E1136&gt;=7,"Passive","Detractor"))</f>
        <v>Passive</v>
      </c>
    </row>
    <row r="1137" customFormat="false" ht="15" hidden="false" customHeight="false" outlineLevel="0" collapsed="false">
      <c r="A1137" s="8" t="s">
        <v>5741</v>
      </c>
      <c r="B1137" s="8" t="s">
        <v>4513</v>
      </c>
      <c r="C1137" s="8" t="s">
        <v>51</v>
      </c>
      <c r="D1137" s="32" t="n">
        <v>46013</v>
      </c>
      <c r="E1137" s="8" t="n">
        <v>10</v>
      </c>
      <c r="F1137" s="8" t="str">
        <f aca="false">IF(E1137&gt;=9,"Promoter",IF(E1137&gt;=7,"Passive","Detractor"))</f>
        <v>Promoter</v>
      </c>
    </row>
    <row r="1138" customFormat="false" ht="15" hidden="false" customHeight="false" outlineLevel="0" collapsed="false">
      <c r="A1138" s="8" t="s">
        <v>5742</v>
      </c>
      <c r="B1138" s="8" t="s">
        <v>3506</v>
      </c>
      <c r="C1138" s="8" t="s">
        <v>51</v>
      </c>
      <c r="D1138" s="32" t="n">
        <v>46013</v>
      </c>
      <c r="E1138" s="8" t="n">
        <v>9</v>
      </c>
      <c r="F1138" s="8" t="str">
        <f aca="false">IF(E1138&gt;=9,"Promoter",IF(E1138&gt;=7,"Passive","Detractor"))</f>
        <v>Promoter</v>
      </c>
    </row>
    <row r="1139" customFormat="false" ht="15" hidden="false" customHeight="false" outlineLevel="0" collapsed="false">
      <c r="A1139" s="8" t="s">
        <v>5743</v>
      </c>
      <c r="B1139" s="8" t="s">
        <v>3426</v>
      </c>
      <c r="C1139" s="8" t="s">
        <v>51</v>
      </c>
      <c r="D1139" s="32" t="n">
        <v>46013</v>
      </c>
      <c r="E1139" s="8" t="n">
        <v>7</v>
      </c>
      <c r="F1139" s="8" t="str">
        <f aca="false">IF(E1139&gt;=9,"Promoter",IF(E1139&gt;=7,"Passive","Detractor"))</f>
        <v>Passive</v>
      </c>
    </row>
    <row r="1140" customFormat="false" ht="15" hidden="false" customHeight="false" outlineLevel="0" collapsed="false">
      <c r="A1140" s="8" t="s">
        <v>5744</v>
      </c>
      <c r="B1140" s="8" t="s">
        <v>1927</v>
      </c>
      <c r="C1140" s="8" t="s">
        <v>51</v>
      </c>
      <c r="D1140" s="32" t="n">
        <v>46013</v>
      </c>
      <c r="E1140" s="8" t="n">
        <v>5</v>
      </c>
      <c r="F1140" s="8" t="str">
        <f aca="false">IF(E1140&gt;=9,"Promoter",IF(E1140&gt;=7,"Passive","Detractor"))</f>
        <v>Detractor</v>
      </c>
    </row>
    <row r="1141" customFormat="false" ht="15" hidden="false" customHeight="false" outlineLevel="0" collapsed="false">
      <c r="A1141" s="8" t="s">
        <v>5745</v>
      </c>
      <c r="B1141" s="8" t="s">
        <v>252</v>
      </c>
      <c r="C1141" s="8" t="s">
        <v>55</v>
      </c>
      <c r="D1141" s="32" t="n">
        <v>46013</v>
      </c>
      <c r="E1141" s="8" t="n">
        <v>6</v>
      </c>
      <c r="F1141" s="8" t="str">
        <f aca="false">IF(E1141&gt;=9,"Promoter",IF(E1141&gt;=7,"Passive","Detractor"))</f>
        <v>Detractor</v>
      </c>
    </row>
    <row r="1142" customFormat="false" ht="15" hidden="false" customHeight="false" outlineLevel="0" collapsed="false">
      <c r="A1142" s="8" t="s">
        <v>5746</v>
      </c>
      <c r="B1142" s="8" t="s">
        <v>383</v>
      </c>
      <c r="C1142" s="8" t="s">
        <v>55</v>
      </c>
      <c r="D1142" s="32" t="n">
        <v>46014</v>
      </c>
      <c r="E1142" s="8" t="n">
        <v>7</v>
      </c>
      <c r="F1142" s="8" t="str">
        <f aca="false">IF(E1142&gt;=9,"Promoter",IF(E1142&gt;=7,"Passive","Detractor"))</f>
        <v>Passive</v>
      </c>
    </row>
    <row r="1143" customFormat="false" ht="15" hidden="false" customHeight="false" outlineLevel="0" collapsed="false">
      <c r="A1143" s="8" t="s">
        <v>5747</v>
      </c>
      <c r="B1143" s="8" t="s">
        <v>4086</v>
      </c>
      <c r="C1143" s="8" t="s">
        <v>51</v>
      </c>
      <c r="D1143" s="32" t="n">
        <v>46014</v>
      </c>
      <c r="E1143" s="8" t="n">
        <v>8</v>
      </c>
      <c r="F1143" s="8" t="str">
        <f aca="false">IF(E1143&gt;=9,"Promoter",IF(E1143&gt;=7,"Passive","Detractor"))</f>
        <v>Passive</v>
      </c>
    </row>
    <row r="1144" customFormat="false" ht="15" hidden="false" customHeight="false" outlineLevel="0" collapsed="false">
      <c r="A1144" s="8" t="s">
        <v>5748</v>
      </c>
      <c r="B1144" s="8" t="s">
        <v>561</v>
      </c>
      <c r="C1144" s="8" t="s">
        <v>53</v>
      </c>
      <c r="D1144" s="32" t="n">
        <v>46014</v>
      </c>
      <c r="E1144" s="8" t="n">
        <v>6</v>
      </c>
      <c r="F1144" s="8" t="str">
        <f aca="false">IF(E1144&gt;=9,"Promoter",IF(E1144&gt;=7,"Passive","Detractor"))</f>
        <v>Detractor</v>
      </c>
    </row>
    <row r="1145" customFormat="false" ht="15" hidden="false" customHeight="false" outlineLevel="0" collapsed="false">
      <c r="A1145" s="8" t="s">
        <v>5749</v>
      </c>
      <c r="B1145" s="8" t="s">
        <v>3870</v>
      </c>
      <c r="C1145" s="8" t="s">
        <v>51</v>
      </c>
      <c r="D1145" s="32" t="n">
        <v>46014</v>
      </c>
      <c r="E1145" s="8" t="n">
        <v>8</v>
      </c>
      <c r="F1145" s="8" t="str">
        <f aca="false">IF(E1145&gt;=9,"Promoter",IF(E1145&gt;=7,"Passive","Detractor"))</f>
        <v>Passive</v>
      </c>
    </row>
    <row r="1146" customFormat="false" ht="15" hidden="false" customHeight="false" outlineLevel="0" collapsed="false">
      <c r="A1146" s="8" t="s">
        <v>5750</v>
      </c>
      <c r="B1146" s="8" t="s">
        <v>1685</v>
      </c>
      <c r="C1146" s="8" t="s">
        <v>53</v>
      </c>
      <c r="D1146" s="32" t="n">
        <v>46014</v>
      </c>
      <c r="E1146" s="8" t="n">
        <v>10</v>
      </c>
      <c r="F1146" s="8" t="str">
        <f aca="false">IF(E1146&gt;=9,"Promoter",IF(E1146&gt;=7,"Passive","Detractor"))</f>
        <v>Promoter</v>
      </c>
    </row>
    <row r="1147" customFormat="false" ht="15" hidden="false" customHeight="false" outlineLevel="0" collapsed="false">
      <c r="A1147" s="8" t="s">
        <v>5751</v>
      </c>
      <c r="B1147" s="8" t="s">
        <v>2264</v>
      </c>
      <c r="C1147" s="8" t="s">
        <v>51</v>
      </c>
      <c r="D1147" s="32" t="n">
        <v>46014</v>
      </c>
      <c r="E1147" s="8" t="n">
        <v>8</v>
      </c>
      <c r="F1147" s="8" t="str">
        <f aca="false">IF(E1147&gt;=9,"Promoter",IF(E1147&gt;=7,"Passive","Detractor"))</f>
        <v>Passive</v>
      </c>
    </row>
    <row r="1148" customFormat="false" ht="15" hidden="false" customHeight="false" outlineLevel="0" collapsed="false">
      <c r="A1148" s="8" t="s">
        <v>5752</v>
      </c>
      <c r="B1148" s="8" t="s">
        <v>4408</v>
      </c>
      <c r="C1148" s="8" t="s">
        <v>55</v>
      </c>
      <c r="D1148" s="32" t="n">
        <v>46014</v>
      </c>
      <c r="E1148" s="8" t="n">
        <v>4</v>
      </c>
      <c r="F1148" s="8" t="str">
        <f aca="false">IF(E1148&gt;=9,"Promoter",IF(E1148&gt;=7,"Passive","Detractor"))</f>
        <v>Detractor</v>
      </c>
    </row>
    <row r="1149" customFormat="false" ht="15" hidden="false" customHeight="false" outlineLevel="0" collapsed="false">
      <c r="A1149" s="8" t="s">
        <v>5753</v>
      </c>
      <c r="B1149" s="8" t="s">
        <v>969</v>
      </c>
      <c r="C1149" s="8" t="s">
        <v>53</v>
      </c>
      <c r="D1149" s="32" t="n">
        <v>46014</v>
      </c>
      <c r="E1149" s="8" t="n">
        <v>7</v>
      </c>
      <c r="F1149" s="8" t="str">
        <f aca="false">IF(E1149&gt;=9,"Promoter",IF(E1149&gt;=7,"Passive","Detractor"))</f>
        <v>Passive</v>
      </c>
    </row>
    <row r="1150" customFormat="false" ht="15" hidden="false" customHeight="false" outlineLevel="0" collapsed="false">
      <c r="A1150" s="8" t="s">
        <v>5754</v>
      </c>
      <c r="B1150" s="8" t="s">
        <v>1911</v>
      </c>
      <c r="C1150" s="8" t="s">
        <v>51</v>
      </c>
      <c r="D1150" s="32" t="n">
        <v>46014</v>
      </c>
      <c r="E1150" s="8" t="n">
        <v>6</v>
      </c>
      <c r="F1150" s="8" t="str">
        <f aca="false">IF(E1150&gt;=9,"Promoter",IF(E1150&gt;=7,"Passive","Detractor"))</f>
        <v>Detractor</v>
      </c>
    </row>
    <row r="1151" customFormat="false" ht="15" hidden="false" customHeight="false" outlineLevel="0" collapsed="false">
      <c r="A1151" s="8" t="s">
        <v>5755</v>
      </c>
      <c r="B1151" s="8" t="s">
        <v>4579</v>
      </c>
      <c r="C1151" s="8" t="s">
        <v>51</v>
      </c>
      <c r="D1151" s="32" t="n">
        <v>46014</v>
      </c>
      <c r="E1151" s="8" t="n">
        <v>3</v>
      </c>
      <c r="F1151" s="8" t="str">
        <f aca="false">IF(E1151&gt;=9,"Promoter",IF(E1151&gt;=7,"Passive","Detractor"))</f>
        <v>Detractor</v>
      </c>
    </row>
    <row r="1152" customFormat="false" ht="15" hidden="false" customHeight="false" outlineLevel="0" collapsed="false">
      <c r="A1152" s="8" t="s">
        <v>5756</v>
      </c>
      <c r="B1152" s="8" t="s">
        <v>226</v>
      </c>
      <c r="C1152" s="8" t="s">
        <v>55</v>
      </c>
      <c r="D1152" s="32" t="n">
        <v>46014</v>
      </c>
      <c r="E1152" s="8" t="n">
        <v>8</v>
      </c>
      <c r="F1152" s="8" t="str">
        <f aca="false">IF(E1152&gt;=9,"Promoter",IF(E1152&gt;=7,"Passive","Detractor"))</f>
        <v>Passive</v>
      </c>
    </row>
    <row r="1153" customFormat="false" ht="15" hidden="false" customHeight="false" outlineLevel="0" collapsed="false">
      <c r="A1153" s="8" t="s">
        <v>5757</v>
      </c>
      <c r="B1153" s="8" t="s">
        <v>3092</v>
      </c>
      <c r="C1153" s="8" t="s">
        <v>51</v>
      </c>
      <c r="D1153" s="32" t="n">
        <v>46014</v>
      </c>
      <c r="E1153" s="8" t="n">
        <v>9</v>
      </c>
      <c r="F1153" s="8" t="str">
        <f aca="false">IF(E1153&gt;=9,"Promoter",IF(E1153&gt;=7,"Passive","Detractor"))</f>
        <v>Promoter</v>
      </c>
    </row>
    <row r="1154" customFormat="false" ht="15" hidden="false" customHeight="false" outlineLevel="0" collapsed="false">
      <c r="A1154" s="8" t="s">
        <v>5758</v>
      </c>
      <c r="B1154" s="8" t="s">
        <v>625</v>
      </c>
      <c r="C1154" s="8" t="s">
        <v>53</v>
      </c>
      <c r="D1154" s="32" t="n">
        <v>46015</v>
      </c>
      <c r="E1154" s="8" t="n">
        <v>7</v>
      </c>
      <c r="F1154" s="8" t="str">
        <f aca="false">IF(E1154&gt;=9,"Promoter",IF(E1154&gt;=7,"Passive","Detractor"))</f>
        <v>Passive</v>
      </c>
    </row>
    <row r="1155" customFormat="false" ht="15" hidden="false" customHeight="false" outlineLevel="0" collapsed="false">
      <c r="A1155" s="8" t="s">
        <v>5759</v>
      </c>
      <c r="B1155" s="8" t="s">
        <v>3854</v>
      </c>
      <c r="C1155" s="8" t="s">
        <v>51</v>
      </c>
      <c r="D1155" s="32" t="n">
        <v>46015</v>
      </c>
      <c r="E1155" s="8" t="n">
        <v>7</v>
      </c>
      <c r="F1155" s="8" t="str">
        <f aca="false">IF(E1155&gt;=9,"Promoter",IF(E1155&gt;=7,"Passive","Detractor"))</f>
        <v>Passive</v>
      </c>
    </row>
    <row r="1156" customFormat="false" ht="15" hidden="false" customHeight="false" outlineLevel="0" collapsed="false">
      <c r="A1156" s="8" t="s">
        <v>5760</v>
      </c>
      <c r="B1156" s="8" t="s">
        <v>1919</v>
      </c>
      <c r="C1156" s="8" t="s">
        <v>51</v>
      </c>
      <c r="D1156" s="32" t="n">
        <v>46015</v>
      </c>
      <c r="E1156" s="8" t="n">
        <v>6</v>
      </c>
      <c r="F1156" s="8" t="str">
        <f aca="false">IF(E1156&gt;=9,"Promoter",IF(E1156&gt;=7,"Passive","Detractor"))</f>
        <v>Detractor</v>
      </c>
    </row>
    <row r="1157" customFormat="false" ht="15" hidden="false" customHeight="false" outlineLevel="0" collapsed="false">
      <c r="A1157" s="8" t="s">
        <v>5761</v>
      </c>
      <c r="B1157" s="8" t="s">
        <v>1249</v>
      </c>
      <c r="C1157" s="8" t="s">
        <v>53</v>
      </c>
      <c r="D1157" s="32" t="n">
        <v>46015</v>
      </c>
      <c r="E1157" s="8" t="n">
        <v>10</v>
      </c>
      <c r="F1157" s="8" t="str">
        <f aca="false">IF(E1157&gt;=9,"Promoter",IF(E1157&gt;=7,"Passive","Detractor"))</f>
        <v>Promoter</v>
      </c>
    </row>
    <row r="1158" customFormat="false" ht="15" hidden="false" customHeight="false" outlineLevel="0" collapsed="false">
      <c r="A1158" s="8" t="s">
        <v>5762</v>
      </c>
      <c r="B1158" s="8" t="s">
        <v>1697</v>
      </c>
      <c r="C1158" s="8" t="s">
        <v>53</v>
      </c>
      <c r="D1158" s="32" t="n">
        <v>46015</v>
      </c>
      <c r="E1158" s="8" t="n">
        <v>7</v>
      </c>
      <c r="F1158" s="8" t="str">
        <f aca="false">IF(E1158&gt;=9,"Promoter",IF(E1158&gt;=7,"Passive","Detractor"))</f>
        <v>Passive</v>
      </c>
    </row>
    <row r="1159" customFormat="false" ht="15" hidden="false" customHeight="false" outlineLevel="0" collapsed="false">
      <c r="A1159" s="8" t="s">
        <v>5763</v>
      </c>
      <c r="B1159" s="8" t="s">
        <v>1423</v>
      </c>
      <c r="C1159" s="8" t="s">
        <v>53</v>
      </c>
      <c r="D1159" s="32" t="n">
        <v>46015</v>
      </c>
      <c r="E1159" s="8" t="n">
        <v>10</v>
      </c>
      <c r="F1159" s="8" t="str">
        <f aca="false">IF(E1159&gt;=9,"Promoter",IF(E1159&gt;=7,"Passive","Detractor"))</f>
        <v>Promoter</v>
      </c>
    </row>
    <row r="1160" customFormat="false" ht="15" hidden="false" customHeight="false" outlineLevel="0" collapsed="false">
      <c r="A1160" s="8" t="s">
        <v>5764</v>
      </c>
      <c r="B1160" s="8" t="s">
        <v>2744</v>
      </c>
      <c r="C1160" s="8" t="s">
        <v>51</v>
      </c>
      <c r="D1160" s="32" t="n">
        <v>46015</v>
      </c>
      <c r="E1160" s="8" t="n">
        <v>7</v>
      </c>
      <c r="F1160" s="8" t="str">
        <f aca="false">IF(E1160&gt;=9,"Promoter",IF(E1160&gt;=7,"Passive","Detractor"))</f>
        <v>Passive</v>
      </c>
    </row>
    <row r="1161" customFormat="false" ht="15" hidden="false" customHeight="false" outlineLevel="0" collapsed="false">
      <c r="A1161" s="8" t="s">
        <v>5765</v>
      </c>
      <c r="B1161" s="8" t="s">
        <v>3930</v>
      </c>
      <c r="C1161" s="8" t="s">
        <v>51</v>
      </c>
      <c r="D1161" s="32" t="n">
        <v>46015</v>
      </c>
      <c r="E1161" s="8" t="n">
        <v>8</v>
      </c>
      <c r="F1161" s="8" t="str">
        <f aca="false">IF(E1161&gt;=9,"Promoter",IF(E1161&gt;=7,"Passive","Detractor"))</f>
        <v>Passive</v>
      </c>
    </row>
    <row r="1162" customFormat="false" ht="15" hidden="false" customHeight="false" outlineLevel="0" collapsed="false">
      <c r="A1162" s="8" t="s">
        <v>5766</v>
      </c>
      <c r="B1162" s="8" t="s">
        <v>4529</v>
      </c>
      <c r="C1162" s="8" t="s">
        <v>51</v>
      </c>
      <c r="D1162" s="32" t="n">
        <v>46015</v>
      </c>
      <c r="E1162" s="8" t="n">
        <v>1</v>
      </c>
      <c r="F1162" s="8" t="str">
        <f aca="false">IF(E1162&gt;=9,"Promoter",IF(E1162&gt;=7,"Passive","Detractor"))</f>
        <v>Detractor</v>
      </c>
    </row>
    <row r="1163" customFormat="false" ht="15" hidden="false" customHeight="false" outlineLevel="0" collapsed="false">
      <c r="A1163" s="8" t="s">
        <v>5767</v>
      </c>
      <c r="B1163" s="8" t="s">
        <v>4182</v>
      </c>
      <c r="C1163" s="8" t="s">
        <v>51</v>
      </c>
      <c r="D1163" s="32" t="n">
        <v>46015</v>
      </c>
      <c r="E1163" s="8" t="n">
        <v>8</v>
      </c>
      <c r="F1163" s="8" t="str">
        <f aca="false">IF(E1163&gt;=9,"Promoter",IF(E1163&gt;=7,"Passive","Detractor"))</f>
        <v>Passive</v>
      </c>
    </row>
    <row r="1164" customFormat="false" ht="15" hidden="false" customHeight="false" outlineLevel="0" collapsed="false">
      <c r="A1164" s="8" t="s">
        <v>5768</v>
      </c>
      <c r="B1164" s="8" t="s">
        <v>2570</v>
      </c>
      <c r="C1164" s="8" t="s">
        <v>51</v>
      </c>
      <c r="D1164" s="32" t="n">
        <v>46015</v>
      </c>
      <c r="E1164" s="8" t="n">
        <v>8</v>
      </c>
      <c r="F1164" s="8" t="str">
        <f aca="false">IF(E1164&gt;=9,"Promoter",IF(E1164&gt;=7,"Passive","Detractor"))</f>
        <v>Passive</v>
      </c>
    </row>
    <row r="1165" customFormat="false" ht="15" hidden="false" customHeight="false" outlineLevel="0" collapsed="false">
      <c r="A1165" s="8" t="s">
        <v>5769</v>
      </c>
      <c r="B1165" s="8" t="s">
        <v>2204</v>
      </c>
      <c r="C1165" s="8" t="s">
        <v>51</v>
      </c>
      <c r="D1165" s="32" t="n">
        <v>46015</v>
      </c>
      <c r="E1165" s="8" t="n">
        <v>9</v>
      </c>
      <c r="F1165" s="8" t="str">
        <f aca="false">IF(E1165&gt;=9,"Promoter",IF(E1165&gt;=7,"Passive","Detractor"))</f>
        <v>Promoter</v>
      </c>
    </row>
    <row r="1166" customFormat="false" ht="15" hidden="false" customHeight="false" outlineLevel="0" collapsed="false">
      <c r="A1166" s="8" t="s">
        <v>5770</v>
      </c>
      <c r="B1166" s="8" t="s">
        <v>4512</v>
      </c>
      <c r="C1166" s="8" t="s">
        <v>51</v>
      </c>
      <c r="D1166" s="32" t="n">
        <v>46015</v>
      </c>
      <c r="E1166" s="8" t="n">
        <v>7</v>
      </c>
      <c r="F1166" s="8" t="str">
        <f aca="false">IF(E1166&gt;=9,"Promoter",IF(E1166&gt;=7,"Passive","Detractor"))</f>
        <v>Passive</v>
      </c>
    </row>
    <row r="1167" customFormat="false" ht="15" hidden="false" customHeight="false" outlineLevel="0" collapsed="false">
      <c r="A1167" s="8" t="s">
        <v>5771</v>
      </c>
      <c r="B1167" s="8" t="s">
        <v>3844</v>
      </c>
      <c r="C1167" s="8" t="s">
        <v>51</v>
      </c>
      <c r="D1167" s="32" t="n">
        <v>46015</v>
      </c>
      <c r="E1167" s="8" t="n">
        <v>8</v>
      </c>
      <c r="F1167" s="8" t="str">
        <f aca="false">IF(E1167&gt;=9,"Promoter",IF(E1167&gt;=7,"Passive","Detractor"))</f>
        <v>Passive</v>
      </c>
    </row>
    <row r="1168" customFormat="false" ht="15" hidden="false" customHeight="false" outlineLevel="0" collapsed="false">
      <c r="A1168" s="8" t="s">
        <v>5772</v>
      </c>
      <c r="B1168" s="8" t="s">
        <v>895</v>
      </c>
      <c r="C1168" s="8" t="s">
        <v>53</v>
      </c>
      <c r="D1168" s="32" t="n">
        <v>46015</v>
      </c>
      <c r="E1168" s="8" t="n">
        <v>6</v>
      </c>
      <c r="F1168" s="8" t="str">
        <f aca="false">IF(E1168&gt;=9,"Promoter",IF(E1168&gt;=7,"Passive","Detractor"))</f>
        <v>Detractor</v>
      </c>
    </row>
    <row r="1169" customFormat="false" ht="15" hidden="false" customHeight="false" outlineLevel="0" collapsed="false">
      <c r="A1169" s="8" t="s">
        <v>5773</v>
      </c>
      <c r="B1169" s="8" t="s">
        <v>4192</v>
      </c>
      <c r="C1169" s="8" t="s">
        <v>51</v>
      </c>
      <c r="D1169" s="32" t="n">
        <v>46015</v>
      </c>
      <c r="E1169" s="8" t="n">
        <v>10</v>
      </c>
      <c r="F1169" s="8" t="str">
        <f aca="false">IF(E1169&gt;=9,"Promoter",IF(E1169&gt;=7,"Passive","Detractor"))</f>
        <v>Promoter</v>
      </c>
    </row>
    <row r="1170" customFormat="false" ht="15" hidden="false" customHeight="false" outlineLevel="0" collapsed="false">
      <c r="A1170" s="8" t="s">
        <v>5774</v>
      </c>
      <c r="B1170" s="8" t="s">
        <v>4597</v>
      </c>
      <c r="C1170" s="8" t="s">
        <v>51</v>
      </c>
      <c r="D1170" s="32" t="n">
        <v>46015</v>
      </c>
      <c r="E1170" s="8" t="n">
        <v>7</v>
      </c>
      <c r="F1170" s="8" t="str">
        <f aca="false">IF(E1170&gt;=9,"Promoter",IF(E1170&gt;=7,"Passive","Detractor"))</f>
        <v>Passive</v>
      </c>
    </row>
    <row r="1171" customFormat="false" ht="15" hidden="false" customHeight="false" outlineLevel="0" collapsed="false">
      <c r="A1171" s="8" t="s">
        <v>5775</v>
      </c>
      <c r="B1171" s="8" t="s">
        <v>461</v>
      </c>
      <c r="C1171" s="8" t="s">
        <v>55</v>
      </c>
      <c r="D1171" s="32" t="n">
        <v>46015</v>
      </c>
      <c r="E1171" s="8" t="n">
        <v>8</v>
      </c>
      <c r="F1171" s="8" t="str">
        <f aca="false">IF(E1171&gt;=9,"Promoter",IF(E1171&gt;=7,"Passive","Detractor"))</f>
        <v>Passive</v>
      </c>
    </row>
    <row r="1172" customFormat="false" ht="15" hidden="false" customHeight="false" outlineLevel="0" collapsed="false">
      <c r="A1172" s="8" t="s">
        <v>5776</v>
      </c>
      <c r="B1172" s="8" t="s">
        <v>3444</v>
      </c>
      <c r="C1172" s="8" t="s">
        <v>51</v>
      </c>
      <c r="D1172" s="32" t="n">
        <v>46016</v>
      </c>
      <c r="E1172" s="8" t="n">
        <v>10</v>
      </c>
      <c r="F1172" s="8" t="str">
        <f aca="false">IF(E1172&gt;=9,"Promoter",IF(E1172&gt;=7,"Passive","Detractor"))</f>
        <v>Promoter</v>
      </c>
    </row>
    <row r="1173" customFormat="false" ht="15" hidden="false" customHeight="false" outlineLevel="0" collapsed="false">
      <c r="A1173" s="8" t="s">
        <v>5777</v>
      </c>
      <c r="B1173" s="8" t="s">
        <v>2838</v>
      </c>
      <c r="C1173" s="8" t="s">
        <v>51</v>
      </c>
      <c r="D1173" s="32" t="n">
        <v>46016</v>
      </c>
      <c r="E1173" s="8" t="n">
        <v>10</v>
      </c>
      <c r="F1173" s="8" t="str">
        <f aca="false">IF(E1173&gt;=9,"Promoter",IF(E1173&gt;=7,"Passive","Detractor"))</f>
        <v>Promoter</v>
      </c>
    </row>
    <row r="1174" customFormat="false" ht="15" hidden="false" customHeight="false" outlineLevel="0" collapsed="false">
      <c r="A1174" s="8" t="s">
        <v>5778</v>
      </c>
      <c r="B1174" s="8" t="s">
        <v>126</v>
      </c>
      <c r="C1174" s="8" t="s">
        <v>55</v>
      </c>
      <c r="D1174" s="32" t="n">
        <v>46016</v>
      </c>
      <c r="E1174" s="8" t="n">
        <v>10</v>
      </c>
      <c r="F1174" s="8" t="str">
        <f aca="false">IF(E1174&gt;=9,"Promoter",IF(E1174&gt;=7,"Passive","Detractor"))</f>
        <v>Promoter</v>
      </c>
    </row>
    <row r="1175" customFormat="false" ht="15" hidden="false" customHeight="false" outlineLevel="0" collapsed="false">
      <c r="A1175" s="8" t="s">
        <v>5779</v>
      </c>
      <c r="B1175" s="8" t="s">
        <v>1791</v>
      </c>
      <c r="C1175" s="8" t="s">
        <v>53</v>
      </c>
      <c r="D1175" s="32" t="n">
        <v>46016</v>
      </c>
      <c r="E1175" s="8" t="n">
        <v>7</v>
      </c>
      <c r="F1175" s="8" t="str">
        <f aca="false">IF(E1175&gt;=9,"Promoter",IF(E1175&gt;=7,"Passive","Detractor"))</f>
        <v>Passive</v>
      </c>
    </row>
    <row r="1176" customFormat="false" ht="15" hidden="false" customHeight="false" outlineLevel="0" collapsed="false">
      <c r="A1176" s="8" t="s">
        <v>5780</v>
      </c>
      <c r="B1176" s="8" t="s">
        <v>3750</v>
      </c>
      <c r="C1176" s="8" t="s">
        <v>51</v>
      </c>
      <c r="D1176" s="32" t="n">
        <v>46016</v>
      </c>
      <c r="E1176" s="8" t="n">
        <v>10</v>
      </c>
      <c r="F1176" s="8" t="str">
        <f aca="false">IF(E1176&gt;=9,"Promoter",IF(E1176&gt;=7,"Passive","Detractor"))</f>
        <v>Promoter</v>
      </c>
    </row>
    <row r="1177" customFormat="false" ht="15" hidden="false" customHeight="false" outlineLevel="0" collapsed="false">
      <c r="A1177" s="8" t="s">
        <v>5781</v>
      </c>
      <c r="B1177" s="8" t="s">
        <v>3562</v>
      </c>
      <c r="C1177" s="8" t="s">
        <v>51</v>
      </c>
      <c r="D1177" s="32" t="n">
        <v>46016</v>
      </c>
      <c r="E1177" s="8" t="n">
        <v>10</v>
      </c>
      <c r="F1177" s="8" t="str">
        <f aca="false">IF(E1177&gt;=9,"Promoter",IF(E1177&gt;=7,"Passive","Detractor"))</f>
        <v>Promoter</v>
      </c>
    </row>
    <row r="1178" customFormat="false" ht="15" hidden="false" customHeight="false" outlineLevel="0" collapsed="false">
      <c r="A1178" s="8" t="s">
        <v>5782</v>
      </c>
      <c r="B1178" s="8" t="s">
        <v>891</v>
      </c>
      <c r="C1178" s="8" t="s">
        <v>53</v>
      </c>
      <c r="D1178" s="32" t="n">
        <v>46016</v>
      </c>
      <c r="E1178" s="8" t="n">
        <v>10</v>
      </c>
      <c r="F1178" s="8" t="str">
        <f aca="false">IF(E1178&gt;=9,"Promoter",IF(E1178&gt;=7,"Passive","Detractor"))</f>
        <v>Promoter</v>
      </c>
    </row>
    <row r="1179" customFormat="false" ht="15" hidden="false" customHeight="false" outlineLevel="0" collapsed="false">
      <c r="A1179" s="8" t="s">
        <v>5783</v>
      </c>
      <c r="B1179" s="8" t="s">
        <v>2574</v>
      </c>
      <c r="C1179" s="8" t="s">
        <v>51</v>
      </c>
      <c r="D1179" s="32" t="n">
        <v>46016</v>
      </c>
      <c r="E1179" s="8" t="n">
        <v>10</v>
      </c>
      <c r="F1179" s="8" t="str">
        <f aca="false">IF(E1179&gt;=9,"Promoter",IF(E1179&gt;=7,"Passive","Detractor"))</f>
        <v>Promoter</v>
      </c>
    </row>
    <row r="1180" customFormat="false" ht="15" hidden="false" customHeight="false" outlineLevel="0" collapsed="false">
      <c r="A1180" s="8" t="s">
        <v>5784</v>
      </c>
      <c r="B1180" s="8" t="s">
        <v>4058</v>
      </c>
      <c r="C1180" s="8" t="s">
        <v>51</v>
      </c>
      <c r="D1180" s="32" t="n">
        <v>46016</v>
      </c>
      <c r="E1180" s="8" t="n">
        <v>4</v>
      </c>
      <c r="F1180" s="8" t="str">
        <f aca="false">IF(E1180&gt;=9,"Promoter",IF(E1180&gt;=7,"Passive","Detractor"))</f>
        <v>Detractor</v>
      </c>
    </row>
    <row r="1181" customFormat="false" ht="15" hidden="false" customHeight="false" outlineLevel="0" collapsed="false">
      <c r="A1181" s="8" t="s">
        <v>5785</v>
      </c>
      <c r="B1181" s="8" t="s">
        <v>4248</v>
      </c>
      <c r="C1181" s="8" t="s">
        <v>51</v>
      </c>
      <c r="D1181" s="32" t="n">
        <v>46016</v>
      </c>
      <c r="E1181" s="8" t="n">
        <v>9</v>
      </c>
      <c r="F1181" s="8" t="str">
        <f aca="false">IF(E1181&gt;=9,"Promoter",IF(E1181&gt;=7,"Passive","Detractor"))</f>
        <v>Promoter</v>
      </c>
    </row>
    <row r="1182" customFormat="false" ht="15" hidden="false" customHeight="false" outlineLevel="0" collapsed="false">
      <c r="A1182" s="8" t="s">
        <v>5786</v>
      </c>
      <c r="B1182" s="8" t="s">
        <v>1881</v>
      </c>
      <c r="C1182" s="8" t="s">
        <v>51</v>
      </c>
      <c r="D1182" s="32" t="n">
        <v>46016</v>
      </c>
      <c r="E1182" s="8" t="n">
        <v>9</v>
      </c>
      <c r="F1182" s="8" t="str">
        <f aca="false">IF(E1182&gt;=9,"Promoter",IF(E1182&gt;=7,"Passive","Detractor"))</f>
        <v>Promoter</v>
      </c>
    </row>
    <row r="1183" customFormat="false" ht="15" hidden="false" customHeight="false" outlineLevel="0" collapsed="false">
      <c r="A1183" s="8" t="s">
        <v>5787</v>
      </c>
      <c r="B1183" s="8" t="s">
        <v>2356</v>
      </c>
      <c r="C1183" s="8" t="s">
        <v>51</v>
      </c>
      <c r="D1183" s="32" t="n">
        <v>46023</v>
      </c>
      <c r="E1183" s="8" t="n">
        <v>10</v>
      </c>
      <c r="F1183" s="8" t="str">
        <f aca="false">IF(E1183&gt;=9,"Promoter",IF(E1183&gt;=7,"Passive","Detractor"))</f>
        <v>Promoter</v>
      </c>
    </row>
    <row r="1184" customFormat="false" ht="15" hidden="false" customHeight="false" outlineLevel="0" collapsed="false">
      <c r="A1184" s="8" t="s">
        <v>5788</v>
      </c>
      <c r="B1184" s="8" t="s">
        <v>1329</v>
      </c>
      <c r="C1184" s="8" t="s">
        <v>53</v>
      </c>
      <c r="D1184" s="32" t="n">
        <v>46023</v>
      </c>
      <c r="E1184" s="8" t="n">
        <v>9</v>
      </c>
      <c r="F1184" s="8" t="str">
        <f aca="false">IF(E1184&gt;=9,"Promoter",IF(E1184&gt;=7,"Passive","Detractor"))</f>
        <v>Promoter</v>
      </c>
    </row>
    <row r="1185" customFormat="false" ht="15" hidden="false" customHeight="false" outlineLevel="0" collapsed="false">
      <c r="A1185" s="8" t="s">
        <v>5789</v>
      </c>
      <c r="B1185" s="8" t="s">
        <v>3524</v>
      </c>
      <c r="C1185" s="8" t="s">
        <v>51</v>
      </c>
      <c r="D1185" s="32" t="n">
        <v>46023</v>
      </c>
      <c r="E1185" s="8" t="n">
        <v>7</v>
      </c>
      <c r="F1185" s="8" t="str">
        <f aca="false">IF(E1185&gt;=9,"Promoter",IF(E1185&gt;=7,"Passive","Detractor"))</f>
        <v>Passive</v>
      </c>
    </row>
    <row r="1186" customFormat="false" ht="15" hidden="false" customHeight="false" outlineLevel="0" collapsed="false">
      <c r="A1186" s="8" t="s">
        <v>5790</v>
      </c>
      <c r="B1186" s="8" t="s">
        <v>4342</v>
      </c>
      <c r="C1186" s="8" t="s">
        <v>51</v>
      </c>
      <c r="D1186" s="32" t="n">
        <v>46024</v>
      </c>
      <c r="E1186" s="8" t="n">
        <v>9</v>
      </c>
      <c r="F1186" s="8" t="str">
        <f aca="false">IF(E1186&gt;=9,"Promoter",IF(E1186&gt;=7,"Passive","Detractor"))</f>
        <v>Promoter</v>
      </c>
    </row>
    <row r="1187" customFormat="false" ht="15" hidden="false" customHeight="false" outlineLevel="0" collapsed="false">
      <c r="A1187" s="8" t="s">
        <v>5791</v>
      </c>
      <c r="B1187" s="8" t="s">
        <v>4454</v>
      </c>
      <c r="C1187" s="8" t="s">
        <v>53</v>
      </c>
      <c r="D1187" s="32" t="n">
        <v>46024</v>
      </c>
      <c r="E1187" s="8" t="n">
        <v>7</v>
      </c>
      <c r="F1187" s="8" t="str">
        <f aca="false">IF(E1187&gt;=9,"Promoter",IF(E1187&gt;=7,"Passive","Detractor"))</f>
        <v>Passive</v>
      </c>
    </row>
    <row r="1188" customFormat="false" ht="15" hidden="false" customHeight="false" outlineLevel="0" collapsed="false">
      <c r="A1188" s="8" t="s">
        <v>5792</v>
      </c>
      <c r="B1188" s="8" t="s">
        <v>3744</v>
      </c>
      <c r="C1188" s="8" t="s">
        <v>51</v>
      </c>
      <c r="D1188" s="32" t="n">
        <v>46024</v>
      </c>
      <c r="E1188" s="8" t="n">
        <v>7</v>
      </c>
      <c r="F1188" s="8" t="str">
        <f aca="false">IF(E1188&gt;=9,"Promoter",IF(E1188&gt;=7,"Passive","Detractor"))</f>
        <v>Passive</v>
      </c>
    </row>
    <row r="1189" customFormat="false" ht="15" hidden="false" customHeight="false" outlineLevel="0" collapsed="false">
      <c r="A1189" s="8" t="s">
        <v>5793</v>
      </c>
      <c r="B1189" s="8" t="s">
        <v>671</v>
      </c>
      <c r="C1189" s="8" t="s">
        <v>53</v>
      </c>
      <c r="D1189" s="32" t="n">
        <v>46024</v>
      </c>
      <c r="E1189" s="8" t="n">
        <v>10</v>
      </c>
      <c r="F1189" s="8" t="str">
        <f aca="false">IF(E1189&gt;=9,"Promoter",IF(E1189&gt;=7,"Passive","Detractor"))</f>
        <v>Promoter</v>
      </c>
    </row>
    <row r="1190" customFormat="false" ht="15" hidden="false" customHeight="false" outlineLevel="0" collapsed="false">
      <c r="A1190" s="8" t="s">
        <v>5794</v>
      </c>
      <c r="B1190" s="8" t="s">
        <v>3104</v>
      </c>
      <c r="C1190" s="8" t="s">
        <v>51</v>
      </c>
      <c r="D1190" s="32" t="n">
        <v>46024</v>
      </c>
      <c r="E1190" s="8" t="n">
        <v>7</v>
      </c>
      <c r="F1190" s="8" t="str">
        <f aca="false">IF(E1190&gt;=9,"Promoter",IF(E1190&gt;=7,"Passive","Detractor"))</f>
        <v>Passive</v>
      </c>
    </row>
    <row r="1191" customFormat="false" ht="15" hidden="false" customHeight="false" outlineLevel="0" collapsed="false">
      <c r="A1191" s="8" t="s">
        <v>5795</v>
      </c>
      <c r="B1191" s="8" t="s">
        <v>943</v>
      </c>
      <c r="C1191" s="8" t="s">
        <v>53</v>
      </c>
      <c r="D1191" s="32" t="n">
        <v>46024</v>
      </c>
      <c r="E1191" s="8" t="n">
        <v>10</v>
      </c>
      <c r="F1191" s="8" t="str">
        <f aca="false">IF(E1191&gt;=9,"Promoter",IF(E1191&gt;=7,"Passive","Detractor"))</f>
        <v>Promoter</v>
      </c>
    </row>
    <row r="1192" customFormat="false" ht="15" hidden="false" customHeight="false" outlineLevel="0" collapsed="false">
      <c r="A1192" s="8" t="s">
        <v>5796</v>
      </c>
      <c r="B1192" s="8" t="s">
        <v>901</v>
      </c>
      <c r="C1192" s="8" t="s">
        <v>53</v>
      </c>
      <c r="D1192" s="32" t="n">
        <v>46024</v>
      </c>
      <c r="E1192" s="8" t="n">
        <v>8</v>
      </c>
      <c r="F1192" s="8" t="str">
        <f aca="false">IF(E1192&gt;=9,"Promoter",IF(E1192&gt;=7,"Passive","Detractor"))</f>
        <v>Passive</v>
      </c>
    </row>
    <row r="1193" customFormat="false" ht="15" hidden="false" customHeight="false" outlineLevel="0" collapsed="false">
      <c r="A1193" s="8" t="s">
        <v>5797</v>
      </c>
      <c r="B1193" s="8" t="s">
        <v>725</v>
      </c>
      <c r="C1193" s="8" t="s">
        <v>53</v>
      </c>
      <c r="D1193" s="32" t="n">
        <v>46024</v>
      </c>
      <c r="E1193" s="8" t="n">
        <v>9</v>
      </c>
      <c r="F1193" s="8" t="str">
        <f aca="false">IF(E1193&gt;=9,"Promoter",IF(E1193&gt;=7,"Passive","Detractor"))</f>
        <v>Promoter</v>
      </c>
    </row>
    <row r="1194" customFormat="false" ht="15" hidden="false" customHeight="false" outlineLevel="0" collapsed="false">
      <c r="A1194" s="8" t="s">
        <v>5798</v>
      </c>
      <c r="B1194" s="8" t="s">
        <v>1527</v>
      </c>
      <c r="C1194" s="8" t="s">
        <v>53</v>
      </c>
      <c r="D1194" s="32" t="n">
        <v>46024</v>
      </c>
      <c r="E1194" s="8" t="n">
        <v>7</v>
      </c>
      <c r="F1194" s="8" t="str">
        <f aca="false">IF(E1194&gt;=9,"Promoter",IF(E1194&gt;=7,"Passive","Detractor"))</f>
        <v>Passive</v>
      </c>
    </row>
    <row r="1195" customFormat="false" ht="15" hidden="false" customHeight="false" outlineLevel="0" collapsed="false">
      <c r="A1195" s="8" t="s">
        <v>5799</v>
      </c>
      <c r="B1195" s="8" t="s">
        <v>757</v>
      </c>
      <c r="C1195" s="8" t="s">
        <v>53</v>
      </c>
      <c r="D1195" s="32" t="n">
        <v>46025</v>
      </c>
      <c r="E1195" s="8" t="n">
        <v>10</v>
      </c>
      <c r="F1195" s="8" t="str">
        <f aca="false">IF(E1195&gt;=9,"Promoter",IF(E1195&gt;=7,"Passive","Detractor"))</f>
        <v>Promoter</v>
      </c>
    </row>
    <row r="1196" customFormat="false" ht="15" hidden="false" customHeight="false" outlineLevel="0" collapsed="false">
      <c r="A1196" s="8" t="s">
        <v>5800</v>
      </c>
      <c r="B1196" s="8" t="s">
        <v>2704</v>
      </c>
      <c r="C1196" s="8" t="s">
        <v>51</v>
      </c>
      <c r="D1196" s="32" t="n">
        <v>46025</v>
      </c>
      <c r="E1196" s="8" t="n">
        <v>6</v>
      </c>
      <c r="F1196" s="8" t="str">
        <f aca="false">IF(E1196&gt;=9,"Promoter",IF(E1196&gt;=7,"Passive","Detractor"))</f>
        <v>Detractor</v>
      </c>
    </row>
    <row r="1197" customFormat="false" ht="15" hidden="false" customHeight="false" outlineLevel="0" collapsed="false">
      <c r="A1197" s="8" t="s">
        <v>5801</v>
      </c>
      <c r="B1197" s="8" t="s">
        <v>1859</v>
      </c>
      <c r="C1197" s="8" t="s">
        <v>51</v>
      </c>
      <c r="D1197" s="32" t="n">
        <v>46025</v>
      </c>
      <c r="E1197" s="8" t="n">
        <v>10</v>
      </c>
      <c r="F1197" s="8" t="str">
        <f aca="false">IF(E1197&gt;=9,"Promoter",IF(E1197&gt;=7,"Passive","Detractor"))</f>
        <v>Promoter</v>
      </c>
    </row>
    <row r="1198" customFormat="false" ht="15" hidden="false" customHeight="false" outlineLevel="0" collapsed="false">
      <c r="A1198" s="8" t="s">
        <v>5802</v>
      </c>
      <c r="B1198" s="8" t="s">
        <v>4290</v>
      </c>
      <c r="C1198" s="8" t="s">
        <v>51</v>
      </c>
      <c r="D1198" s="32" t="n">
        <v>46025</v>
      </c>
      <c r="E1198" s="8" t="n">
        <v>9</v>
      </c>
      <c r="F1198" s="8" t="str">
        <f aca="false">IF(E1198&gt;=9,"Promoter",IF(E1198&gt;=7,"Passive","Detractor"))</f>
        <v>Promoter</v>
      </c>
    </row>
    <row r="1199" customFormat="false" ht="15" hidden="false" customHeight="false" outlineLevel="0" collapsed="false">
      <c r="A1199" s="8" t="s">
        <v>5803</v>
      </c>
      <c r="B1199" s="8" t="s">
        <v>2222</v>
      </c>
      <c r="C1199" s="8" t="s">
        <v>51</v>
      </c>
      <c r="D1199" s="32" t="n">
        <v>46025</v>
      </c>
      <c r="E1199" s="8" t="n">
        <v>10</v>
      </c>
      <c r="F1199" s="8" t="str">
        <f aca="false">IF(E1199&gt;=9,"Promoter",IF(E1199&gt;=7,"Passive","Detractor"))</f>
        <v>Promoter</v>
      </c>
    </row>
    <row r="1200" customFormat="false" ht="15" hidden="false" customHeight="false" outlineLevel="0" collapsed="false">
      <c r="A1200" s="8" t="s">
        <v>5804</v>
      </c>
      <c r="B1200" s="8" t="s">
        <v>1599</v>
      </c>
      <c r="C1200" s="8" t="s">
        <v>53</v>
      </c>
      <c r="D1200" s="32" t="n">
        <v>46025</v>
      </c>
      <c r="E1200" s="8" t="n">
        <v>10</v>
      </c>
      <c r="F1200" s="8" t="str">
        <f aca="false">IF(E1200&gt;=9,"Promoter",IF(E1200&gt;=7,"Passive","Detractor"))</f>
        <v>Promoter</v>
      </c>
    </row>
    <row r="1201" customFormat="false" ht="15" hidden="false" customHeight="false" outlineLevel="0" collapsed="false">
      <c r="A1201" s="8" t="s">
        <v>5805</v>
      </c>
      <c r="B1201" s="8" t="s">
        <v>1623</v>
      </c>
      <c r="C1201" s="8" t="s">
        <v>53</v>
      </c>
      <c r="D1201" s="32" t="n">
        <v>46026</v>
      </c>
      <c r="E1201" s="8" t="n">
        <v>6</v>
      </c>
      <c r="F1201" s="8" t="str">
        <f aca="false">IF(E1201&gt;=9,"Promoter",IF(E1201&gt;=7,"Passive","Detractor"))</f>
        <v>Detractor</v>
      </c>
    </row>
    <row r="1202" customFormat="false" ht="15" hidden="false" customHeight="false" outlineLevel="0" collapsed="false">
      <c r="A1202" s="8" t="s">
        <v>5806</v>
      </c>
      <c r="B1202" s="8" t="s">
        <v>2418</v>
      </c>
      <c r="C1202" s="8" t="s">
        <v>51</v>
      </c>
      <c r="D1202" s="32" t="n">
        <v>46026</v>
      </c>
      <c r="E1202" s="8" t="n">
        <v>8</v>
      </c>
      <c r="F1202" s="8" t="str">
        <f aca="false">IF(E1202&gt;=9,"Promoter",IF(E1202&gt;=7,"Passive","Detractor"))</f>
        <v>Passive</v>
      </c>
    </row>
    <row r="1203" customFormat="false" ht="15" hidden="false" customHeight="false" outlineLevel="0" collapsed="false">
      <c r="A1203" s="8" t="s">
        <v>5807</v>
      </c>
      <c r="B1203" s="8" t="s">
        <v>306</v>
      </c>
      <c r="C1203" s="8" t="s">
        <v>55</v>
      </c>
      <c r="D1203" s="32" t="n">
        <v>46026</v>
      </c>
      <c r="E1203" s="8" t="n">
        <v>10</v>
      </c>
      <c r="F1203" s="8" t="str">
        <f aca="false">IF(E1203&gt;=9,"Promoter",IF(E1203&gt;=7,"Passive","Detractor"))</f>
        <v>Promoter</v>
      </c>
    </row>
    <row r="1204" customFormat="false" ht="15" hidden="false" customHeight="false" outlineLevel="0" collapsed="false">
      <c r="A1204" s="8" t="s">
        <v>5808</v>
      </c>
      <c r="B1204" s="8" t="s">
        <v>202</v>
      </c>
      <c r="C1204" s="8" t="s">
        <v>55</v>
      </c>
      <c r="D1204" s="32" t="n">
        <v>46026</v>
      </c>
      <c r="E1204" s="8" t="n">
        <v>10</v>
      </c>
      <c r="F1204" s="8" t="str">
        <f aca="false">IF(E1204&gt;=9,"Promoter",IF(E1204&gt;=7,"Passive","Detractor"))</f>
        <v>Promoter</v>
      </c>
    </row>
    <row r="1205" customFormat="false" ht="15" hidden="false" customHeight="false" outlineLevel="0" collapsed="false">
      <c r="A1205" s="8" t="s">
        <v>5809</v>
      </c>
      <c r="B1205" s="8" t="s">
        <v>3960</v>
      </c>
      <c r="C1205" s="8" t="s">
        <v>51</v>
      </c>
      <c r="D1205" s="32" t="n">
        <v>46026</v>
      </c>
      <c r="E1205" s="8" t="n">
        <v>8</v>
      </c>
      <c r="F1205" s="8" t="str">
        <f aca="false">IF(E1205&gt;=9,"Promoter",IF(E1205&gt;=7,"Passive","Detractor"))</f>
        <v>Passive</v>
      </c>
    </row>
    <row r="1206" customFormat="false" ht="15" hidden="false" customHeight="false" outlineLevel="0" collapsed="false">
      <c r="A1206" s="8" t="s">
        <v>5810</v>
      </c>
      <c r="B1206" s="8" t="s">
        <v>787</v>
      </c>
      <c r="C1206" s="8" t="s">
        <v>53</v>
      </c>
      <c r="D1206" s="32" t="n">
        <v>46026</v>
      </c>
      <c r="E1206" s="8" t="n">
        <v>9</v>
      </c>
      <c r="F1206" s="8" t="str">
        <f aca="false">IF(E1206&gt;=9,"Promoter",IF(E1206&gt;=7,"Passive","Detractor"))</f>
        <v>Promoter</v>
      </c>
    </row>
    <row r="1207" customFormat="false" ht="15" hidden="false" customHeight="false" outlineLevel="0" collapsed="false">
      <c r="A1207" s="8" t="s">
        <v>5811</v>
      </c>
      <c r="B1207" s="8" t="s">
        <v>4472</v>
      </c>
      <c r="C1207" s="8" t="s">
        <v>53</v>
      </c>
      <c r="D1207" s="32" t="n">
        <v>46026</v>
      </c>
      <c r="E1207" s="8" t="n">
        <v>1</v>
      </c>
      <c r="F1207" s="8" t="str">
        <f aca="false">IF(E1207&gt;=9,"Promoter",IF(E1207&gt;=7,"Passive","Detractor"))</f>
        <v>Detractor</v>
      </c>
    </row>
    <row r="1208" customFormat="false" ht="15" hidden="false" customHeight="false" outlineLevel="0" collapsed="false">
      <c r="A1208" s="8" t="s">
        <v>5812</v>
      </c>
      <c r="B1208" s="8" t="s">
        <v>1017</v>
      </c>
      <c r="C1208" s="8" t="s">
        <v>53</v>
      </c>
      <c r="D1208" s="32" t="n">
        <v>46026</v>
      </c>
      <c r="E1208" s="8" t="n">
        <v>7</v>
      </c>
      <c r="F1208" s="8" t="str">
        <f aca="false">IF(E1208&gt;=9,"Promoter",IF(E1208&gt;=7,"Passive","Detractor"))</f>
        <v>Passive</v>
      </c>
    </row>
    <row r="1209" customFormat="false" ht="15" hidden="false" customHeight="false" outlineLevel="0" collapsed="false">
      <c r="A1209" s="8" t="s">
        <v>5813</v>
      </c>
      <c r="B1209" s="8" t="s">
        <v>2166</v>
      </c>
      <c r="C1209" s="8" t="s">
        <v>51</v>
      </c>
      <c r="D1209" s="32" t="n">
        <v>46026</v>
      </c>
      <c r="E1209" s="8" t="n">
        <v>6</v>
      </c>
      <c r="F1209" s="8" t="str">
        <f aca="false">IF(E1209&gt;=9,"Promoter",IF(E1209&gt;=7,"Passive","Detractor"))</f>
        <v>Detractor</v>
      </c>
    </row>
    <row r="1210" customFormat="false" ht="15" hidden="false" customHeight="false" outlineLevel="0" collapsed="false">
      <c r="A1210" s="8" t="s">
        <v>5814</v>
      </c>
      <c r="B1210" s="8" t="s">
        <v>1343</v>
      </c>
      <c r="C1210" s="8" t="s">
        <v>53</v>
      </c>
      <c r="D1210" s="32" t="n">
        <v>46026</v>
      </c>
      <c r="E1210" s="8" t="n">
        <v>8</v>
      </c>
      <c r="F1210" s="8" t="str">
        <f aca="false">IF(E1210&gt;=9,"Promoter",IF(E1210&gt;=7,"Passive","Detractor"))</f>
        <v>Passive</v>
      </c>
    </row>
    <row r="1211" customFormat="false" ht="15" hidden="false" customHeight="false" outlineLevel="0" collapsed="false">
      <c r="A1211" s="8" t="s">
        <v>5815</v>
      </c>
      <c r="B1211" s="8" t="s">
        <v>1081</v>
      </c>
      <c r="C1211" s="8" t="s">
        <v>53</v>
      </c>
      <c r="D1211" s="32" t="n">
        <v>46026</v>
      </c>
      <c r="E1211" s="8" t="n">
        <v>8</v>
      </c>
      <c r="F1211" s="8" t="str">
        <f aca="false">IF(E1211&gt;=9,"Promoter",IF(E1211&gt;=7,"Passive","Detractor"))</f>
        <v>Passive</v>
      </c>
    </row>
    <row r="1212" customFormat="false" ht="15" hidden="false" customHeight="false" outlineLevel="0" collapsed="false">
      <c r="A1212" s="8" t="s">
        <v>5816</v>
      </c>
      <c r="B1212" s="8" t="s">
        <v>3022</v>
      </c>
      <c r="C1212" s="8" t="s">
        <v>51</v>
      </c>
      <c r="D1212" s="32" t="n">
        <v>46026</v>
      </c>
      <c r="E1212" s="8" t="n">
        <v>10</v>
      </c>
      <c r="F1212" s="8" t="str">
        <f aca="false">IF(E1212&gt;=9,"Promoter",IF(E1212&gt;=7,"Passive","Detractor"))</f>
        <v>Promoter</v>
      </c>
    </row>
    <row r="1213" customFormat="false" ht="15" hidden="false" customHeight="false" outlineLevel="0" collapsed="false">
      <c r="A1213" s="8" t="s">
        <v>5817</v>
      </c>
      <c r="B1213" s="8" t="s">
        <v>5818</v>
      </c>
      <c r="C1213" s="8" t="s">
        <v>51</v>
      </c>
      <c r="D1213" s="32" t="n">
        <v>46027</v>
      </c>
      <c r="E1213" s="8" t="n">
        <v>4</v>
      </c>
      <c r="F1213" s="8" t="str">
        <f aca="false">IF(E1213&gt;=9,"Promoter",IF(E1213&gt;=7,"Passive","Detractor"))</f>
        <v>Detractor</v>
      </c>
    </row>
    <row r="1214" customFormat="false" ht="15" hidden="false" customHeight="false" outlineLevel="0" collapsed="false">
      <c r="A1214" s="8" t="s">
        <v>5819</v>
      </c>
      <c r="B1214" s="8" t="s">
        <v>977</v>
      </c>
      <c r="C1214" s="8" t="s">
        <v>53</v>
      </c>
      <c r="D1214" s="32" t="n">
        <v>46027</v>
      </c>
      <c r="E1214" s="8" t="n">
        <v>10</v>
      </c>
      <c r="F1214" s="8" t="str">
        <f aca="false">IF(E1214&gt;=9,"Promoter",IF(E1214&gt;=7,"Passive","Detractor"))</f>
        <v>Promoter</v>
      </c>
    </row>
    <row r="1215" customFormat="false" ht="15" hidden="false" customHeight="false" outlineLevel="0" collapsed="false">
      <c r="A1215" s="8" t="s">
        <v>5820</v>
      </c>
      <c r="B1215" s="8" t="s">
        <v>2308</v>
      </c>
      <c r="C1215" s="8" t="s">
        <v>51</v>
      </c>
      <c r="D1215" s="32" t="n">
        <v>46027</v>
      </c>
      <c r="E1215" s="8" t="n">
        <v>7</v>
      </c>
      <c r="F1215" s="8" t="str">
        <f aca="false">IF(E1215&gt;=9,"Promoter",IF(E1215&gt;=7,"Passive","Detractor"))</f>
        <v>Passive</v>
      </c>
    </row>
    <row r="1216" customFormat="false" ht="15" hidden="false" customHeight="false" outlineLevel="0" collapsed="false">
      <c r="A1216" s="8" t="s">
        <v>5821</v>
      </c>
      <c r="B1216" s="8" t="s">
        <v>727</v>
      </c>
      <c r="C1216" s="8" t="s">
        <v>55</v>
      </c>
      <c r="D1216" s="32" t="n">
        <v>46027</v>
      </c>
      <c r="E1216" s="8" t="n">
        <v>10</v>
      </c>
      <c r="F1216" s="8" t="str">
        <f aca="false">IF(E1216&gt;=9,"Promoter",IF(E1216&gt;=7,"Passive","Detractor"))</f>
        <v>Promoter</v>
      </c>
    </row>
    <row r="1217" customFormat="false" ht="15" hidden="false" customHeight="false" outlineLevel="0" collapsed="false">
      <c r="A1217" s="8" t="s">
        <v>5822</v>
      </c>
      <c r="B1217" s="8" t="s">
        <v>3666</v>
      </c>
      <c r="C1217" s="8" t="s">
        <v>51</v>
      </c>
      <c r="D1217" s="32" t="n">
        <v>46027</v>
      </c>
      <c r="E1217" s="8" t="n">
        <v>7</v>
      </c>
      <c r="F1217" s="8" t="str">
        <f aca="false">IF(E1217&gt;=9,"Promoter",IF(E1217&gt;=7,"Passive","Detractor"))</f>
        <v>Passive</v>
      </c>
    </row>
    <row r="1218" customFormat="false" ht="15" hidden="false" customHeight="false" outlineLevel="0" collapsed="false">
      <c r="A1218" s="8" t="s">
        <v>5823</v>
      </c>
      <c r="B1218" s="8" t="s">
        <v>847</v>
      </c>
      <c r="C1218" s="8" t="s">
        <v>53</v>
      </c>
      <c r="D1218" s="32" t="n">
        <v>46027</v>
      </c>
      <c r="E1218" s="8" t="n">
        <v>7</v>
      </c>
      <c r="F1218" s="8" t="str">
        <f aca="false">IF(E1218&gt;=9,"Promoter",IF(E1218&gt;=7,"Passive","Detractor"))</f>
        <v>Passive</v>
      </c>
    </row>
    <row r="1219" customFormat="false" ht="15" hidden="false" customHeight="false" outlineLevel="0" collapsed="false">
      <c r="A1219" s="8" t="s">
        <v>5824</v>
      </c>
      <c r="B1219" s="8" t="s">
        <v>3280</v>
      </c>
      <c r="C1219" s="8" t="s">
        <v>51</v>
      </c>
      <c r="D1219" s="32" t="n">
        <v>46027</v>
      </c>
      <c r="E1219" s="8" t="n">
        <v>9</v>
      </c>
      <c r="F1219" s="8" t="str">
        <f aca="false">IF(E1219&gt;=9,"Promoter",IF(E1219&gt;=7,"Passive","Detractor"))</f>
        <v>Promoter</v>
      </c>
    </row>
    <row r="1220" customFormat="false" ht="15" hidden="false" customHeight="false" outlineLevel="0" collapsed="false">
      <c r="A1220" s="8" t="s">
        <v>5825</v>
      </c>
      <c r="B1220" s="8" t="s">
        <v>3362</v>
      </c>
      <c r="C1220" s="8" t="s">
        <v>51</v>
      </c>
      <c r="D1220" s="32" t="n">
        <v>46027</v>
      </c>
      <c r="E1220" s="8" t="n">
        <v>9</v>
      </c>
      <c r="F1220" s="8" t="str">
        <f aca="false">IF(E1220&gt;=9,"Promoter",IF(E1220&gt;=7,"Passive","Detractor"))</f>
        <v>Promoter</v>
      </c>
    </row>
    <row r="1221" customFormat="false" ht="15" hidden="false" customHeight="false" outlineLevel="0" collapsed="false">
      <c r="A1221" s="8" t="s">
        <v>5826</v>
      </c>
      <c r="B1221" s="8" t="s">
        <v>2794</v>
      </c>
      <c r="C1221" s="8" t="s">
        <v>51</v>
      </c>
      <c r="D1221" s="32" t="n">
        <v>46027</v>
      </c>
      <c r="E1221" s="8" t="n">
        <v>9</v>
      </c>
      <c r="F1221" s="8" t="str">
        <f aca="false">IF(E1221&gt;=9,"Promoter",IF(E1221&gt;=7,"Passive","Detractor"))</f>
        <v>Promoter</v>
      </c>
    </row>
    <row r="1222" customFormat="false" ht="15" hidden="false" customHeight="false" outlineLevel="0" collapsed="false">
      <c r="A1222" s="8" t="s">
        <v>5827</v>
      </c>
      <c r="B1222" s="8" t="s">
        <v>1511</v>
      </c>
      <c r="C1222" s="8" t="s">
        <v>53</v>
      </c>
      <c r="D1222" s="32" t="n">
        <v>46027</v>
      </c>
      <c r="E1222" s="8" t="n">
        <v>8</v>
      </c>
      <c r="F1222" s="8" t="str">
        <f aca="false">IF(E1222&gt;=9,"Promoter",IF(E1222&gt;=7,"Passive","Detractor"))</f>
        <v>Passive</v>
      </c>
    </row>
    <row r="1223" customFormat="false" ht="15" hidden="false" customHeight="false" outlineLevel="0" collapsed="false">
      <c r="A1223" s="8" t="s">
        <v>5828</v>
      </c>
      <c r="B1223" s="8" t="s">
        <v>4524</v>
      </c>
      <c r="C1223" s="8" t="s">
        <v>51</v>
      </c>
      <c r="D1223" s="32" t="n">
        <v>46027</v>
      </c>
      <c r="E1223" s="8" t="n">
        <v>6</v>
      </c>
      <c r="F1223" s="8" t="str">
        <f aca="false">IF(E1223&gt;=9,"Promoter",IF(E1223&gt;=7,"Passive","Detractor"))</f>
        <v>Detractor</v>
      </c>
    </row>
    <row r="1224" customFormat="false" ht="15" hidden="false" customHeight="false" outlineLevel="0" collapsed="false">
      <c r="A1224" s="8" t="s">
        <v>5829</v>
      </c>
      <c r="B1224" s="8" t="s">
        <v>4406</v>
      </c>
      <c r="C1224" s="8" t="s">
        <v>55</v>
      </c>
      <c r="D1224" s="32" t="n">
        <v>46027</v>
      </c>
      <c r="E1224" s="8" t="n">
        <v>5</v>
      </c>
      <c r="F1224" s="8" t="str">
        <f aca="false">IF(E1224&gt;=9,"Promoter",IF(E1224&gt;=7,"Passive","Detractor"))</f>
        <v>Detractor</v>
      </c>
    </row>
    <row r="1225" customFormat="false" ht="15" hidden="false" customHeight="false" outlineLevel="0" collapsed="false">
      <c r="A1225" s="8" t="s">
        <v>5830</v>
      </c>
      <c r="B1225" s="8" t="s">
        <v>4204</v>
      </c>
      <c r="C1225" s="8" t="s">
        <v>51</v>
      </c>
      <c r="D1225" s="32" t="n">
        <v>46027</v>
      </c>
      <c r="E1225" s="8" t="n">
        <v>10</v>
      </c>
      <c r="F1225" s="8" t="str">
        <f aca="false">IF(E1225&gt;=9,"Promoter",IF(E1225&gt;=7,"Passive","Detractor"))</f>
        <v>Promoter</v>
      </c>
    </row>
    <row r="1226" customFormat="false" ht="15" hidden="false" customHeight="false" outlineLevel="0" collapsed="false">
      <c r="A1226" s="8" t="s">
        <v>5831</v>
      </c>
      <c r="B1226" s="8" t="s">
        <v>1999</v>
      </c>
      <c r="C1226" s="8" t="s">
        <v>51</v>
      </c>
      <c r="D1226" s="32" t="n">
        <v>46027</v>
      </c>
      <c r="E1226" s="8" t="n">
        <v>9</v>
      </c>
      <c r="F1226" s="8" t="str">
        <f aca="false">IF(E1226&gt;=9,"Promoter",IF(E1226&gt;=7,"Passive","Detractor"))</f>
        <v>Promoter</v>
      </c>
    </row>
    <row r="1227" customFormat="false" ht="15" hidden="false" customHeight="false" outlineLevel="0" collapsed="false">
      <c r="A1227" s="8" t="s">
        <v>5832</v>
      </c>
      <c r="B1227" s="8" t="s">
        <v>3794</v>
      </c>
      <c r="C1227" s="8" t="s">
        <v>51</v>
      </c>
      <c r="D1227" s="32" t="n">
        <v>46028</v>
      </c>
      <c r="E1227" s="8" t="n">
        <v>10</v>
      </c>
      <c r="F1227" s="8" t="str">
        <f aca="false">IF(E1227&gt;=9,"Promoter",IF(E1227&gt;=7,"Passive","Detractor"))</f>
        <v>Promoter</v>
      </c>
    </row>
    <row r="1228" customFormat="false" ht="15" hidden="false" customHeight="false" outlineLevel="0" collapsed="false">
      <c r="A1228" s="8" t="s">
        <v>5833</v>
      </c>
      <c r="B1228" s="8" t="s">
        <v>1057</v>
      </c>
      <c r="C1228" s="8" t="s">
        <v>53</v>
      </c>
      <c r="D1228" s="32" t="n">
        <v>46028</v>
      </c>
      <c r="E1228" s="8" t="n">
        <v>9</v>
      </c>
      <c r="F1228" s="8" t="str">
        <f aca="false">IF(E1228&gt;=9,"Promoter",IF(E1228&gt;=7,"Passive","Detractor"))</f>
        <v>Promoter</v>
      </c>
    </row>
    <row r="1229" customFormat="false" ht="15" hidden="false" customHeight="false" outlineLevel="0" collapsed="false">
      <c r="A1229" s="8" t="s">
        <v>5834</v>
      </c>
      <c r="B1229" s="8" t="s">
        <v>769</v>
      </c>
      <c r="C1229" s="8" t="s">
        <v>53</v>
      </c>
      <c r="D1229" s="32" t="n">
        <v>46028</v>
      </c>
      <c r="E1229" s="8" t="n">
        <v>6</v>
      </c>
      <c r="F1229" s="8" t="str">
        <f aca="false">IF(E1229&gt;=9,"Promoter",IF(E1229&gt;=7,"Passive","Detractor"))</f>
        <v>Detractor</v>
      </c>
    </row>
    <row r="1230" customFormat="false" ht="15" hidden="false" customHeight="false" outlineLevel="0" collapsed="false">
      <c r="A1230" s="8" t="s">
        <v>5835</v>
      </c>
      <c r="B1230" s="8" t="s">
        <v>945</v>
      </c>
      <c r="C1230" s="8" t="s">
        <v>53</v>
      </c>
      <c r="D1230" s="32" t="n">
        <v>46028</v>
      </c>
      <c r="E1230" s="8" t="n">
        <v>9</v>
      </c>
      <c r="F1230" s="8" t="str">
        <f aca="false">IF(E1230&gt;=9,"Promoter",IF(E1230&gt;=7,"Passive","Detractor"))</f>
        <v>Promoter</v>
      </c>
    </row>
    <row r="1231" customFormat="false" ht="15" hidden="false" customHeight="false" outlineLevel="0" collapsed="false">
      <c r="A1231" s="8" t="s">
        <v>5836</v>
      </c>
      <c r="B1231" s="8" t="s">
        <v>387</v>
      </c>
      <c r="C1231" s="8" t="s">
        <v>55</v>
      </c>
      <c r="D1231" s="32" t="n">
        <v>46028</v>
      </c>
      <c r="E1231" s="8" t="n">
        <v>8</v>
      </c>
      <c r="F1231" s="8" t="str">
        <f aca="false">IF(E1231&gt;=9,"Promoter",IF(E1231&gt;=7,"Passive","Detractor"))</f>
        <v>Passive</v>
      </c>
    </row>
    <row r="1232" customFormat="false" ht="15" hidden="false" customHeight="false" outlineLevel="0" collapsed="false">
      <c r="A1232" s="8" t="s">
        <v>5837</v>
      </c>
      <c r="B1232" s="8" t="s">
        <v>2648</v>
      </c>
      <c r="C1232" s="8" t="s">
        <v>51</v>
      </c>
      <c r="D1232" s="32" t="n">
        <v>46028</v>
      </c>
      <c r="E1232" s="8" t="n">
        <v>10</v>
      </c>
      <c r="F1232" s="8" t="str">
        <f aca="false">IF(E1232&gt;=9,"Promoter",IF(E1232&gt;=7,"Passive","Detractor"))</f>
        <v>Promoter</v>
      </c>
    </row>
    <row r="1233" customFormat="false" ht="15" hidden="false" customHeight="false" outlineLevel="0" collapsed="false">
      <c r="A1233" s="8" t="s">
        <v>5838</v>
      </c>
      <c r="B1233" s="8" t="s">
        <v>599</v>
      </c>
      <c r="C1233" s="8" t="s">
        <v>53</v>
      </c>
      <c r="D1233" s="32" t="n">
        <v>46028</v>
      </c>
      <c r="E1233" s="8" t="n">
        <v>6</v>
      </c>
      <c r="F1233" s="8" t="str">
        <f aca="false">IF(E1233&gt;=9,"Promoter",IF(E1233&gt;=7,"Passive","Detractor"))</f>
        <v>Detractor</v>
      </c>
    </row>
    <row r="1234" customFormat="false" ht="15" hidden="false" customHeight="false" outlineLevel="0" collapsed="false">
      <c r="A1234" s="8" t="s">
        <v>5839</v>
      </c>
      <c r="B1234" s="8" t="s">
        <v>1725</v>
      </c>
      <c r="C1234" s="8" t="s">
        <v>53</v>
      </c>
      <c r="D1234" s="32" t="n">
        <v>46028</v>
      </c>
      <c r="E1234" s="8" t="n">
        <v>5</v>
      </c>
      <c r="F1234" s="8" t="str">
        <f aca="false">IF(E1234&gt;=9,"Promoter",IF(E1234&gt;=7,"Passive","Detractor"))</f>
        <v>Detractor</v>
      </c>
    </row>
    <row r="1235" customFormat="false" ht="15" hidden="false" customHeight="false" outlineLevel="0" collapsed="false">
      <c r="A1235" s="8" t="s">
        <v>5840</v>
      </c>
      <c r="B1235" s="8" t="s">
        <v>809</v>
      </c>
      <c r="C1235" s="8" t="s">
        <v>53</v>
      </c>
      <c r="D1235" s="32" t="n">
        <v>46028</v>
      </c>
      <c r="E1235" s="8" t="n">
        <v>10</v>
      </c>
      <c r="F1235" s="8" t="str">
        <f aca="false">IF(E1235&gt;=9,"Promoter",IF(E1235&gt;=7,"Passive","Detractor"))</f>
        <v>Promoter</v>
      </c>
    </row>
    <row r="1236" customFormat="false" ht="15" hidden="false" customHeight="false" outlineLevel="0" collapsed="false">
      <c r="A1236" s="8" t="s">
        <v>5841</v>
      </c>
      <c r="B1236" s="8" t="s">
        <v>4575</v>
      </c>
      <c r="C1236" s="8" t="s">
        <v>51</v>
      </c>
      <c r="D1236" s="32" t="n">
        <v>46029</v>
      </c>
      <c r="E1236" s="8" t="n">
        <v>8</v>
      </c>
      <c r="F1236" s="8" t="str">
        <f aca="false">IF(E1236&gt;=9,"Promoter",IF(E1236&gt;=7,"Passive","Detractor"))</f>
        <v>Passive</v>
      </c>
    </row>
    <row r="1237" customFormat="false" ht="15" hidden="false" customHeight="false" outlineLevel="0" collapsed="false">
      <c r="A1237" s="8" t="s">
        <v>5842</v>
      </c>
      <c r="B1237" s="8" t="s">
        <v>2844</v>
      </c>
      <c r="C1237" s="8" t="s">
        <v>51</v>
      </c>
      <c r="D1237" s="32" t="n">
        <v>46029</v>
      </c>
      <c r="E1237" s="8" t="n">
        <v>10</v>
      </c>
      <c r="F1237" s="8" t="str">
        <f aca="false">IF(E1237&gt;=9,"Promoter",IF(E1237&gt;=7,"Passive","Detractor"))</f>
        <v>Promoter</v>
      </c>
    </row>
    <row r="1238" customFormat="false" ht="15" hidden="false" customHeight="false" outlineLevel="0" collapsed="false">
      <c r="A1238" s="8" t="s">
        <v>5843</v>
      </c>
      <c r="B1238" s="8" t="s">
        <v>2540</v>
      </c>
      <c r="C1238" s="8" t="s">
        <v>51</v>
      </c>
      <c r="D1238" s="32" t="n">
        <v>46029</v>
      </c>
      <c r="E1238" s="8" t="n">
        <v>7</v>
      </c>
      <c r="F1238" s="8" t="str">
        <f aca="false">IF(E1238&gt;=9,"Promoter",IF(E1238&gt;=7,"Passive","Detractor"))</f>
        <v>Passive</v>
      </c>
    </row>
    <row r="1239" customFormat="false" ht="15" hidden="false" customHeight="false" outlineLevel="0" collapsed="false">
      <c r="A1239" s="8" t="s">
        <v>5844</v>
      </c>
      <c r="B1239" s="8" t="s">
        <v>5845</v>
      </c>
      <c r="C1239" s="8" t="s">
        <v>51</v>
      </c>
      <c r="D1239" s="32" t="n">
        <v>46029</v>
      </c>
      <c r="E1239" s="8" t="n">
        <v>7</v>
      </c>
      <c r="F1239" s="8" t="str">
        <f aca="false">IF(E1239&gt;=9,"Promoter",IF(E1239&gt;=7,"Passive","Detractor"))</f>
        <v>Passive</v>
      </c>
    </row>
    <row r="1240" customFormat="false" ht="15" hidden="false" customHeight="false" outlineLevel="0" collapsed="false">
      <c r="A1240" s="8" t="s">
        <v>5846</v>
      </c>
      <c r="B1240" s="8" t="s">
        <v>4356</v>
      </c>
      <c r="C1240" s="8" t="s">
        <v>51</v>
      </c>
      <c r="D1240" s="32" t="n">
        <v>46029</v>
      </c>
      <c r="E1240" s="8" t="n">
        <v>7</v>
      </c>
      <c r="F1240" s="8" t="str">
        <f aca="false">IF(E1240&gt;=9,"Promoter",IF(E1240&gt;=7,"Passive","Detractor"))</f>
        <v>Passive</v>
      </c>
    </row>
    <row r="1241" customFormat="false" ht="15" hidden="false" customHeight="false" outlineLevel="0" collapsed="false">
      <c r="A1241" s="8" t="s">
        <v>5847</v>
      </c>
      <c r="B1241" s="8" t="s">
        <v>2700</v>
      </c>
      <c r="C1241" s="8" t="s">
        <v>51</v>
      </c>
      <c r="D1241" s="32" t="n">
        <v>46029</v>
      </c>
      <c r="E1241" s="8" t="n">
        <v>10</v>
      </c>
      <c r="F1241" s="8" t="str">
        <f aca="false">IF(E1241&gt;=9,"Promoter",IF(E1241&gt;=7,"Passive","Detractor"))</f>
        <v>Promoter</v>
      </c>
    </row>
    <row r="1242" customFormat="false" ht="15" hidden="false" customHeight="false" outlineLevel="0" collapsed="false">
      <c r="A1242" s="8" t="s">
        <v>5848</v>
      </c>
      <c r="B1242" s="8" t="s">
        <v>1879</v>
      </c>
      <c r="C1242" s="8" t="s">
        <v>53</v>
      </c>
      <c r="D1242" s="32" t="n">
        <v>46029</v>
      </c>
      <c r="E1242" s="8" t="n">
        <v>10</v>
      </c>
      <c r="F1242" s="8" t="str">
        <f aca="false">IF(E1242&gt;=9,"Promoter",IF(E1242&gt;=7,"Passive","Detractor"))</f>
        <v>Promoter</v>
      </c>
    </row>
    <row r="1243" customFormat="false" ht="15" hidden="false" customHeight="false" outlineLevel="0" collapsed="false">
      <c r="A1243" s="8" t="s">
        <v>5849</v>
      </c>
      <c r="B1243" s="8" t="s">
        <v>765</v>
      </c>
      <c r="C1243" s="8" t="s">
        <v>53</v>
      </c>
      <c r="D1243" s="32" t="n">
        <v>46029</v>
      </c>
      <c r="E1243" s="8" t="n">
        <v>9</v>
      </c>
      <c r="F1243" s="8" t="str">
        <f aca="false">IF(E1243&gt;=9,"Promoter",IF(E1243&gt;=7,"Passive","Detractor"))</f>
        <v>Promoter</v>
      </c>
    </row>
    <row r="1244" customFormat="false" ht="15" hidden="false" customHeight="false" outlineLevel="0" collapsed="false">
      <c r="A1244" s="8" t="s">
        <v>5850</v>
      </c>
      <c r="B1244" s="8" t="s">
        <v>1727</v>
      </c>
      <c r="C1244" s="8" t="s">
        <v>53</v>
      </c>
      <c r="D1244" s="32" t="n">
        <v>46029</v>
      </c>
      <c r="E1244" s="8" t="n">
        <v>10</v>
      </c>
      <c r="F1244" s="8" t="str">
        <f aca="false">IF(E1244&gt;=9,"Promoter",IF(E1244&gt;=7,"Passive","Detractor"))</f>
        <v>Promoter</v>
      </c>
    </row>
    <row r="1245" customFormat="false" ht="15" hidden="false" customHeight="false" outlineLevel="0" collapsed="false">
      <c r="A1245" s="8" t="s">
        <v>5851</v>
      </c>
      <c r="B1245" s="8" t="s">
        <v>3126</v>
      </c>
      <c r="C1245" s="8" t="s">
        <v>51</v>
      </c>
      <c r="D1245" s="32" t="n">
        <v>46030</v>
      </c>
      <c r="E1245" s="8" t="n">
        <v>10</v>
      </c>
      <c r="F1245" s="8" t="str">
        <f aca="false">IF(E1245&gt;=9,"Promoter",IF(E1245&gt;=7,"Passive","Detractor"))</f>
        <v>Promoter</v>
      </c>
    </row>
    <row r="1246" customFormat="false" ht="15" hidden="false" customHeight="false" outlineLevel="0" collapsed="false">
      <c r="A1246" s="8" t="s">
        <v>5852</v>
      </c>
      <c r="B1246" s="8" t="s">
        <v>3700</v>
      </c>
      <c r="C1246" s="8" t="s">
        <v>51</v>
      </c>
      <c r="D1246" s="32" t="n">
        <v>46030</v>
      </c>
      <c r="E1246" s="8" t="n">
        <v>5</v>
      </c>
      <c r="F1246" s="8" t="str">
        <f aca="false">IF(E1246&gt;=9,"Promoter",IF(E1246&gt;=7,"Passive","Detractor"))</f>
        <v>Detractor</v>
      </c>
    </row>
    <row r="1247" customFormat="false" ht="15" hidden="false" customHeight="false" outlineLevel="0" collapsed="false">
      <c r="A1247" s="8" t="s">
        <v>5853</v>
      </c>
      <c r="B1247" s="8" t="s">
        <v>248</v>
      </c>
      <c r="C1247" s="8" t="s">
        <v>55</v>
      </c>
      <c r="D1247" s="32" t="n">
        <v>46030</v>
      </c>
      <c r="E1247" s="8" t="n">
        <v>8</v>
      </c>
      <c r="F1247" s="8" t="str">
        <f aca="false">IF(E1247&gt;=9,"Promoter",IF(E1247&gt;=7,"Passive","Detractor"))</f>
        <v>Passive</v>
      </c>
    </row>
    <row r="1248" customFormat="false" ht="15" hidden="false" customHeight="false" outlineLevel="0" collapsed="false">
      <c r="A1248" s="8" t="s">
        <v>5854</v>
      </c>
      <c r="B1248" s="8" t="s">
        <v>2098</v>
      </c>
      <c r="C1248" s="8" t="s">
        <v>51</v>
      </c>
      <c r="D1248" s="32" t="n">
        <v>46030</v>
      </c>
      <c r="E1248" s="8" t="n">
        <v>6</v>
      </c>
      <c r="F1248" s="8" t="str">
        <f aca="false">IF(E1248&gt;=9,"Promoter",IF(E1248&gt;=7,"Passive","Detractor"))</f>
        <v>Detractor</v>
      </c>
    </row>
    <row r="1249" customFormat="false" ht="15" hidden="false" customHeight="false" outlineLevel="0" collapsed="false">
      <c r="A1249" s="8" t="s">
        <v>5855</v>
      </c>
      <c r="B1249" s="8" t="s">
        <v>3560</v>
      </c>
      <c r="C1249" s="8" t="s">
        <v>51</v>
      </c>
      <c r="D1249" s="32" t="n">
        <v>46030</v>
      </c>
      <c r="E1249" s="8" t="n">
        <v>10</v>
      </c>
      <c r="F1249" s="8" t="str">
        <f aca="false">IF(E1249&gt;=9,"Promoter",IF(E1249&gt;=7,"Passive","Detractor"))</f>
        <v>Promoter</v>
      </c>
    </row>
    <row r="1250" customFormat="false" ht="15" hidden="false" customHeight="false" outlineLevel="0" collapsed="false">
      <c r="A1250" s="8" t="s">
        <v>5856</v>
      </c>
      <c r="B1250" s="8" t="s">
        <v>3508</v>
      </c>
      <c r="C1250" s="8" t="s">
        <v>51</v>
      </c>
      <c r="D1250" s="32" t="n">
        <v>46030</v>
      </c>
      <c r="E1250" s="8" t="n">
        <v>9</v>
      </c>
      <c r="F1250" s="8" t="str">
        <f aca="false">IF(E1250&gt;=9,"Promoter",IF(E1250&gt;=7,"Passive","Detractor"))</f>
        <v>Promoter</v>
      </c>
    </row>
    <row r="1251" customFormat="false" ht="15" hidden="false" customHeight="false" outlineLevel="0" collapsed="false">
      <c r="A1251" s="8" t="s">
        <v>5857</v>
      </c>
      <c r="B1251" s="8" t="s">
        <v>1047</v>
      </c>
      <c r="C1251" s="8" t="s">
        <v>53</v>
      </c>
      <c r="D1251" s="32" t="n">
        <v>46030</v>
      </c>
      <c r="E1251" s="8" t="n">
        <v>8</v>
      </c>
      <c r="F1251" s="8" t="str">
        <f aca="false">IF(E1251&gt;=9,"Promoter",IF(E1251&gt;=7,"Passive","Detractor"))</f>
        <v>Passive</v>
      </c>
    </row>
    <row r="1252" customFormat="false" ht="15" hidden="false" customHeight="false" outlineLevel="0" collapsed="false">
      <c r="A1252" s="8" t="s">
        <v>5858</v>
      </c>
      <c r="B1252" s="8" t="s">
        <v>4492</v>
      </c>
      <c r="C1252" s="8" t="s">
        <v>51</v>
      </c>
      <c r="D1252" s="32" t="n">
        <v>46030</v>
      </c>
      <c r="E1252" s="8" t="n">
        <v>5</v>
      </c>
      <c r="F1252" s="8" t="str">
        <f aca="false">IF(E1252&gt;=9,"Promoter",IF(E1252&gt;=7,"Passive","Detractor"))</f>
        <v>Detractor</v>
      </c>
    </row>
    <row r="1253" customFormat="false" ht="15" hidden="false" customHeight="false" outlineLevel="0" collapsed="false">
      <c r="A1253" s="8" t="s">
        <v>5859</v>
      </c>
      <c r="B1253" s="8" t="s">
        <v>4258</v>
      </c>
      <c r="C1253" s="8" t="s">
        <v>51</v>
      </c>
      <c r="D1253" s="32" t="n">
        <v>46030</v>
      </c>
      <c r="E1253" s="8" t="n">
        <v>3</v>
      </c>
      <c r="F1253" s="8" t="str">
        <f aca="false">IF(E1253&gt;=9,"Promoter",IF(E1253&gt;=7,"Passive","Detractor"))</f>
        <v>Detractor</v>
      </c>
    </row>
    <row r="1254" customFormat="false" ht="15" hidden="false" customHeight="false" outlineLevel="0" collapsed="false">
      <c r="A1254" s="8" t="s">
        <v>5860</v>
      </c>
      <c r="B1254" s="8" t="s">
        <v>3316</v>
      </c>
      <c r="C1254" s="8" t="s">
        <v>51</v>
      </c>
      <c r="D1254" s="32" t="n">
        <v>46031</v>
      </c>
      <c r="E1254" s="8" t="n">
        <v>9</v>
      </c>
      <c r="F1254" s="8" t="str">
        <f aca="false">IF(E1254&gt;=9,"Promoter",IF(E1254&gt;=7,"Passive","Detractor"))</f>
        <v>Promoter</v>
      </c>
    </row>
    <row r="1255" customFormat="false" ht="15" hidden="false" customHeight="false" outlineLevel="0" collapsed="false">
      <c r="A1255" s="8" t="s">
        <v>5861</v>
      </c>
      <c r="B1255" s="8" t="s">
        <v>2490</v>
      </c>
      <c r="C1255" s="8" t="s">
        <v>51</v>
      </c>
      <c r="D1255" s="32" t="n">
        <v>46031</v>
      </c>
      <c r="E1255" s="8" t="n">
        <v>8</v>
      </c>
      <c r="F1255" s="8" t="str">
        <f aca="false">IF(E1255&gt;=9,"Promoter",IF(E1255&gt;=7,"Passive","Detractor"))</f>
        <v>Passive</v>
      </c>
    </row>
    <row r="1256" customFormat="false" ht="15" hidden="false" customHeight="false" outlineLevel="0" collapsed="false">
      <c r="A1256" s="8" t="s">
        <v>5862</v>
      </c>
      <c r="B1256" s="8" t="s">
        <v>831</v>
      </c>
      <c r="C1256" s="8" t="s">
        <v>53</v>
      </c>
      <c r="D1256" s="32" t="n">
        <v>46031</v>
      </c>
      <c r="E1256" s="8" t="n">
        <v>8</v>
      </c>
      <c r="F1256" s="8" t="str">
        <f aca="false">IF(E1256&gt;=9,"Promoter",IF(E1256&gt;=7,"Passive","Detractor"))</f>
        <v>Passive</v>
      </c>
    </row>
    <row r="1257" customFormat="false" ht="15" hidden="false" customHeight="false" outlineLevel="0" collapsed="false">
      <c r="A1257" s="8" t="s">
        <v>5863</v>
      </c>
      <c r="B1257" s="8" t="s">
        <v>3254</v>
      </c>
      <c r="C1257" s="8" t="s">
        <v>51</v>
      </c>
      <c r="D1257" s="32" t="n">
        <v>46031</v>
      </c>
      <c r="E1257" s="8" t="n">
        <v>8</v>
      </c>
      <c r="F1257" s="8" t="str">
        <f aca="false">IF(E1257&gt;=9,"Promoter",IF(E1257&gt;=7,"Passive","Detractor"))</f>
        <v>Passive</v>
      </c>
    </row>
    <row r="1258" customFormat="false" ht="15" hidden="false" customHeight="false" outlineLevel="0" collapsed="false">
      <c r="A1258" s="8" t="s">
        <v>5864</v>
      </c>
      <c r="B1258" s="8" t="s">
        <v>1043</v>
      </c>
      <c r="C1258" s="8" t="s">
        <v>53</v>
      </c>
      <c r="D1258" s="32" t="n">
        <v>46031</v>
      </c>
      <c r="E1258" s="8" t="n">
        <v>10</v>
      </c>
      <c r="F1258" s="8" t="str">
        <f aca="false">IF(E1258&gt;=9,"Promoter",IF(E1258&gt;=7,"Passive","Detractor"))</f>
        <v>Promoter</v>
      </c>
    </row>
    <row r="1259" customFormat="false" ht="15" hidden="false" customHeight="false" outlineLevel="0" collapsed="false">
      <c r="A1259" s="8" t="s">
        <v>5865</v>
      </c>
      <c r="B1259" s="8" t="s">
        <v>2984</v>
      </c>
      <c r="C1259" s="8" t="s">
        <v>51</v>
      </c>
      <c r="D1259" s="32" t="n">
        <v>46031</v>
      </c>
      <c r="E1259" s="8" t="n">
        <v>5</v>
      </c>
      <c r="F1259" s="8" t="str">
        <f aca="false">IF(E1259&gt;=9,"Promoter",IF(E1259&gt;=7,"Passive","Detractor"))</f>
        <v>Detractor</v>
      </c>
    </row>
    <row r="1260" customFormat="false" ht="15" hidden="false" customHeight="false" outlineLevel="0" collapsed="false">
      <c r="A1260" s="8" t="s">
        <v>5866</v>
      </c>
      <c r="B1260" s="8" t="s">
        <v>1671</v>
      </c>
      <c r="C1260" s="8" t="s">
        <v>53</v>
      </c>
      <c r="D1260" s="32" t="n">
        <v>46031</v>
      </c>
      <c r="E1260" s="8" t="n">
        <v>9</v>
      </c>
      <c r="F1260" s="8" t="str">
        <f aca="false">IF(E1260&gt;=9,"Promoter",IF(E1260&gt;=7,"Passive","Detractor"))</f>
        <v>Promoter</v>
      </c>
    </row>
    <row r="1261" customFormat="false" ht="15" hidden="false" customHeight="false" outlineLevel="0" collapsed="false">
      <c r="A1261" s="8" t="s">
        <v>5867</v>
      </c>
      <c r="B1261" s="8" t="s">
        <v>2696</v>
      </c>
      <c r="C1261" s="8" t="s">
        <v>51</v>
      </c>
      <c r="D1261" s="32" t="n">
        <v>46031</v>
      </c>
      <c r="E1261" s="8" t="n">
        <v>10</v>
      </c>
      <c r="F1261" s="8" t="str">
        <f aca="false">IF(E1261&gt;=9,"Promoter",IF(E1261&gt;=7,"Passive","Detractor"))</f>
        <v>Promoter</v>
      </c>
    </row>
    <row r="1262" customFormat="false" ht="15" hidden="false" customHeight="false" outlineLevel="0" collapsed="false">
      <c r="A1262" s="8" t="s">
        <v>5868</v>
      </c>
      <c r="B1262" s="8" t="s">
        <v>4465</v>
      </c>
      <c r="C1262" s="8" t="s">
        <v>53</v>
      </c>
      <c r="D1262" s="32" t="n">
        <v>46031</v>
      </c>
      <c r="E1262" s="8" t="n">
        <v>3</v>
      </c>
      <c r="F1262" s="8" t="str">
        <f aca="false">IF(E1262&gt;=9,"Promoter",IF(E1262&gt;=7,"Passive","Detractor"))</f>
        <v>Detractor</v>
      </c>
    </row>
    <row r="1263" customFormat="false" ht="15" hidden="false" customHeight="false" outlineLevel="0" collapsed="false">
      <c r="A1263" s="8" t="s">
        <v>5869</v>
      </c>
      <c r="B1263" s="8" t="s">
        <v>791</v>
      </c>
      <c r="C1263" s="8" t="s">
        <v>53</v>
      </c>
      <c r="D1263" s="32" t="n">
        <v>46031</v>
      </c>
      <c r="E1263" s="8" t="n">
        <v>5</v>
      </c>
      <c r="F1263" s="8" t="str">
        <f aca="false">IF(E1263&gt;=9,"Promoter",IF(E1263&gt;=7,"Passive","Detractor"))</f>
        <v>Detractor</v>
      </c>
    </row>
    <row r="1264" customFormat="false" ht="15" hidden="false" customHeight="false" outlineLevel="0" collapsed="false">
      <c r="A1264" s="8" t="s">
        <v>5870</v>
      </c>
      <c r="B1264" s="8" t="s">
        <v>1309</v>
      </c>
      <c r="C1264" s="8" t="s">
        <v>53</v>
      </c>
      <c r="D1264" s="32" t="n">
        <v>46032</v>
      </c>
      <c r="E1264" s="8" t="n">
        <v>7</v>
      </c>
      <c r="F1264" s="8" t="str">
        <f aca="false">IF(E1264&gt;=9,"Promoter",IF(E1264&gt;=7,"Passive","Detractor"))</f>
        <v>Passive</v>
      </c>
    </row>
    <row r="1265" customFormat="false" ht="15" hidden="false" customHeight="false" outlineLevel="0" collapsed="false">
      <c r="A1265" s="8" t="s">
        <v>5871</v>
      </c>
      <c r="B1265" s="8" t="s">
        <v>3786</v>
      </c>
      <c r="C1265" s="8" t="s">
        <v>51</v>
      </c>
      <c r="D1265" s="32" t="n">
        <v>46032</v>
      </c>
      <c r="E1265" s="8" t="n">
        <v>10</v>
      </c>
      <c r="F1265" s="8" t="str">
        <f aca="false">IF(E1265&gt;=9,"Promoter",IF(E1265&gt;=7,"Passive","Detractor"))</f>
        <v>Promoter</v>
      </c>
    </row>
    <row r="1266" customFormat="false" ht="15" hidden="false" customHeight="false" outlineLevel="0" collapsed="false">
      <c r="A1266" s="8" t="s">
        <v>5872</v>
      </c>
      <c r="B1266" s="8" t="s">
        <v>981</v>
      </c>
      <c r="C1266" s="8" t="s">
        <v>53</v>
      </c>
      <c r="D1266" s="32" t="n">
        <v>46032</v>
      </c>
      <c r="E1266" s="8" t="n">
        <v>9</v>
      </c>
      <c r="F1266" s="8" t="str">
        <f aca="false">IF(E1266&gt;=9,"Promoter",IF(E1266&gt;=7,"Passive","Detractor"))</f>
        <v>Promoter</v>
      </c>
    </row>
    <row r="1267" customFormat="false" ht="15" hidden="false" customHeight="false" outlineLevel="0" collapsed="false">
      <c r="A1267" s="8" t="s">
        <v>5873</v>
      </c>
      <c r="B1267" s="8" t="s">
        <v>1135</v>
      </c>
      <c r="C1267" s="8" t="s">
        <v>53</v>
      </c>
      <c r="D1267" s="32" t="n">
        <v>46032</v>
      </c>
      <c r="E1267" s="8" t="n">
        <v>9</v>
      </c>
      <c r="F1267" s="8" t="str">
        <f aca="false">IF(E1267&gt;=9,"Promoter",IF(E1267&gt;=7,"Passive","Detractor"))</f>
        <v>Promoter</v>
      </c>
    </row>
    <row r="1268" customFormat="false" ht="15" hidden="false" customHeight="false" outlineLevel="0" collapsed="false">
      <c r="A1268" s="8" t="s">
        <v>5874</v>
      </c>
      <c r="B1268" s="8" t="s">
        <v>2068</v>
      </c>
      <c r="C1268" s="8" t="s">
        <v>51</v>
      </c>
      <c r="D1268" s="32" t="n">
        <v>46032</v>
      </c>
      <c r="E1268" s="8" t="n">
        <v>8</v>
      </c>
      <c r="F1268" s="8" t="str">
        <f aca="false">IF(E1268&gt;=9,"Promoter",IF(E1268&gt;=7,"Passive","Detractor"))</f>
        <v>Passive</v>
      </c>
    </row>
    <row r="1269" customFormat="false" ht="15" hidden="false" customHeight="false" outlineLevel="0" collapsed="false">
      <c r="A1269" s="8" t="s">
        <v>5875</v>
      </c>
      <c r="B1269" s="8" t="s">
        <v>3160</v>
      </c>
      <c r="C1269" s="8" t="s">
        <v>51</v>
      </c>
      <c r="D1269" s="32" t="n">
        <v>46032</v>
      </c>
      <c r="E1269" s="8" t="n">
        <v>9</v>
      </c>
      <c r="F1269" s="8" t="str">
        <f aca="false">IF(E1269&gt;=9,"Promoter",IF(E1269&gt;=7,"Passive","Detractor"))</f>
        <v>Promoter</v>
      </c>
    </row>
    <row r="1270" customFormat="false" ht="15" hidden="false" customHeight="false" outlineLevel="0" collapsed="false">
      <c r="A1270" s="8" t="s">
        <v>5876</v>
      </c>
      <c r="B1270" s="8" t="s">
        <v>641</v>
      </c>
      <c r="C1270" s="8" t="s">
        <v>53</v>
      </c>
      <c r="D1270" s="32" t="n">
        <v>46032</v>
      </c>
      <c r="E1270" s="8" t="n">
        <v>7</v>
      </c>
      <c r="F1270" s="8" t="str">
        <f aca="false">IF(E1270&gt;=9,"Promoter",IF(E1270&gt;=7,"Passive","Detractor"))</f>
        <v>Passive</v>
      </c>
    </row>
    <row r="1271" customFormat="false" ht="15" hidden="false" customHeight="false" outlineLevel="0" collapsed="false">
      <c r="A1271" s="8" t="s">
        <v>5877</v>
      </c>
      <c r="B1271" s="8" t="s">
        <v>425</v>
      </c>
      <c r="C1271" s="8" t="s">
        <v>55</v>
      </c>
      <c r="D1271" s="32" t="n">
        <v>46032</v>
      </c>
      <c r="E1271" s="8" t="n">
        <v>9</v>
      </c>
      <c r="F1271" s="8" t="str">
        <f aca="false">IF(E1271&gt;=9,"Promoter",IF(E1271&gt;=7,"Passive","Detractor"))</f>
        <v>Promoter</v>
      </c>
    </row>
    <row r="1272" customFormat="false" ht="15" hidden="false" customHeight="false" outlineLevel="0" collapsed="false">
      <c r="A1272" s="8" t="s">
        <v>5878</v>
      </c>
      <c r="B1272" s="8" t="s">
        <v>3724</v>
      </c>
      <c r="C1272" s="8" t="s">
        <v>51</v>
      </c>
      <c r="D1272" s="32" t="n">
        <v>46032</v>
      </c>
      <c r="E1272" s="8" t="n">
        <v>9</v>
      </c>
      <c r="F1272" s="8" t="str">
        <f aca="false">IF(E1272&gt;=9,"Promoter",IF(E1272&gt;=7,"Passive","Detractor"))</f>
        <v>Promoter</v>
      </c>
    </row>
    <row r="1273" customFormat="false" ht="15" hidden="false" customHeight="false" outlineLevel="0" collapsed="false">
      <c r="A1273" s="8" t="s">
        <v>5879</v>
      </c>
      <c r="B1273" s="8" t="s">
        <v>1799</v>
      </c>
      <c r="C1273" s="8" t="s">
        <v>53</v>
      </c>
      <c r="D1273" s="32" t="n">
        <v>46032</v>
      </c>
      <c r="E1273" s="8" t="n">
        <v>7</v>
      </c>
      <c r="F1273" s="8" t="str">
        <f aca="false">IF(E1273&gt;=9,"Promoter",IF(E1273&gt;=7,"Passive","Detractor"))</f>
        <v>Passive</v>
      </c>
    </row>
    <row r="1274" customFormat="false" ht="15" hidden="false" customHeight="false" outlineLevel="0" collapsed="false">
      <c r="A1274" s="8" t="s">
        <v>5880</v>
      </c>
      <c r="B1274" s="8" t="s">
        <v>1661</v>
      </c>
      <c r="C1274" s="8" t="s">
        <v>53</v>
      </c>
      <c r="D1274" s="32" t="n">
        <v>46032</v>
      </c>
      <c r="E1274" s="8" t="n">
        <v>10</v>
      </c>
      <c r="F1274" s="8" t="str">
        <f aca="false">IF(E1274&gt;=9,"Promoter",IF(E1274&gt;=7,"Passive","Detractor"))</f>
        <v>Promoter</v>
      </c>
    </row>
    <row r="1275" customFormat="false" ht="15" hidden="false" customHeight="false" outlineLevel="0" collapsed="false">
      <c r="A1275" s="8" t="s">
        <v>5881</v>
      </c>
      <c r="B1275" s="8" t="s">
        <v>1415</v>
      </c>
      <c r="C1275" s="8" t="s">
        <v>53</v>
      </c>
      <c r="D1275" s="32" t="n">
        <v>46032</v>
      </c>
      <c r="E1275" s="8" t="n">
        <v>4</v>
      </c>
      <c r="F1275" s="8" t="str">
        <f aca="false">IF(E1275&gt;=9,"Promoter",IF(E1275&gt;=7,"Passive","Detractor"))</f>
        <v>Detractor</v>
      </c>
    </row>
    <row r="1276" customFormat="false" ht="15" hidden="false" customHeight="false" outlineLevel="0" collapsed="false">
      <c r="A1276" s="8" t="s">
        <v>5882</v>
      </c>
      <c r="B1276" s="8" t="s">
        <v>3836</v>
      </c>
      <c r="C1276" s="8" t="s">
        <v>51</v>
      </c>
      <c r="D1276" s="32" t="n">
        <v>46033</v>
      </c>
      <c r="E1276" s="8" t="n">
        <v>9</v>
      </c>
      <c r="F1276" s="8" t="str">
        <f aca="false">IF(E1276&gt;=9,"Promoter",IF(E1276&gt;=7,"Passive","Detractor"))</f>
        <v>Promoter</v>
      </c>
    </row>
    <row r="1277" customFormat="false" ht="15" hidden="false" customHeight="false" outlineLevel="0" collapsed="false">
      <c r="A1277" s="8" t="s">
        <v>5883</v>
      </c>
      <c r="B1277" s="8" t="s">
        <v>431</v>
      </c>
      <c r="C1277" s="8" t="s">
        <v>55</v>
      </c>
      <c r="D1277" s="32" t="n">
        <v>46033</v>
      </c>
      <c r="E1277" s="8" t="n">
        <v>8</v>
      </c>
      <c r="F1277" s="8" t="str">
        <f aca="false">IF(E1277&gt;=9,"Promoter",IF(E1277&gt;=7,"Passive","Detractor"))</f>
        <v>Passive</v>
      </c>
    </row>
    <row r="1278" customFormat="false" ht="15" hidden="false" customHeight="false" outlineLevel="0" collapsed="false">
      <c r="A1278" s="8" t="s">
        <v>5884</v>
      </c>
      <c r="B1278" s="8" t="s">
        <v>3656</v>
      </c>
      <c r="C1278" s="8" t="s">
        <v>51</v>
      </c>
      <c r="D1278" s="32" t="n">
        <v>46033</v>
      </c>
      <c r="E1278" s="8" t="n">
        <v>8</v>
      </c>
      <c r="F1278" s="8" t="str">
        <f aca="false">IF(E1278&gt;=9,"Promoter",IF(E1278&gt;=7,"Passive","Detractor"))</f>
        <v>Passive</v>
      </c>
    </row>
    <row r="1279" customFormat="false" ht="15" hidden="false" customHeight="false" outlineLevel="0" collapsed="false">
      <c r="A1279" s="8" t="s">
        <v>5885</v>
      </c>
      <c r="B1279" s="8" t="s">
        <v>2500</v>
      </c>
      <c r="C1279" s="8" t="s">
        <v>51</v>
      </c>
      <c r="D1279" s="32" t="n">
        <v>46033</v>
      </c>
      <c r="E1279" s="8" t="n">
        <v>9</v>
      </c>
      <c r="F1279" s="8" t="str">
        <f aca="false">IF(E1279&gt;=9,"Promoter",IF(E1279&gt;=7,"Passive","Detractor"))</f>
        <v>Promoter</v>
      </c>
    </row>
    <row r="1280" customFormat="false" ht="15" hidden="false" customHeight="false" outlineLevel="0" collapsed="false">
      <c r="A1280" s="8" t="s">
        <v>5886</v>
      </c>
      <c r="B1280" s="8" t="s">
        <v>3918</v>
      </c>
      <c r="C1280" s="8" t="s">
        <v>51</v>
      </c>
      <c r="D1280" s="32" t="n">
        <v>46033</v>
      </c>
      <c r="E1280" s="8" t="n">
        <v>7</v>
      </c>
      <c r="F1280" s="8" t="str">
        <f aca="false">IF(E1280&gt;=9,"Promoter",IF(E1280&gt;=7,"Passive","Detractor"))</f>
        <v>Passive</v>
      </c>
    </row>
    <row r="1281" customFormat="false" ht="15" hidden="false" customHeight="false" outlineLevel="0" collapsed="false">
      <c r="A1281" s="8" t="s">
        <v>5887</v>
      </c>
      <c r="B1281" s="8" t="s">
        <v>4346</v>
      </c>
      <c r="C1281" s="8" t="s">
        <v>51</v>
      </c>
      <c r="D1281" s="32" t="n">
        <v>46033</v>
      </c>
      <c r="E1281" s="8" t="n">
        <v>9</v>
      </c>
      <c r="F1281" s="8" t="str">
        <f aca="false">IF(E1281&gt;=9,"Promoter",IF(E1281&gt;=7,"Passive","Detractor"))</f>
        <v>Promoter</v>
      </c>
    </row>
    <row r="1282" customFormat="false" ht="15" hidden="false" customHeight="false" outlineLevel="0" collapsed="false">
      <c r="A1282" s="8" t="s">
        <v>5888</v>
      </c>
      <c r="B1282" s="8" t="s">
        <v>1457</v>
      </c>
      <c r="C1282" s="8" t="s">
        <v>53</v>
      </c>
      <c r="D1282" s="32" t="n">
        <v>46033</v>
      </c>
      <c r="E1282" s="8" t="n">
        <v>6</v>
      </c>
      <c r="F1282" s="8" t="str">
        <f aca="false">IF(E1282&gt;=9,"Promoter",IF(E1282&gt;=7,"Passive","Detractor"))</f>
        <v>Detractor</v>
      </c>
    </row>
    <row r="1283" customFormat="false" ht="15" hidden="false" customHeight="false" outlineLevel="0" collapsed="false">
      <c r="A1283" s="8" t="s">
        <v>5889</v>
      </c>
      <c r="B1283" s="8" t="s">
        <v>489</v>
      </c>
      <c r="C1283" s="8" t="s">
        <v>55</v>
      </c>
      <c r="D1283" s="32" t="n">
        <v>46033</v>
      </c>
      <c r="E1283" s="8" t="n">
        <v>8</v>
      </c>
      <c r="F1283" s="8" t="str">
        <f aca="false">IF(E1283&gt;=9,"Promoter",IF(E1283&gt;=7,"Passive","Detractor"))</f>
        <v>Passive</v>
      </c>
    </row>
    <row r="1284" customFormat="false" ht="15" hidden="false" customHeight="false" outlineLevel="0" collapsed="false">
      <c r="A1284" s="8" t="s">
        <v>5890</v>
      </c>
      <c r="B1284" s="8" t="s">
        <v>905</v>
      </c>
      <c r="C1284" s="8" t="s">
        <v>53</v>
      </c>
      <c r="D1284" s="32" t="n">
        <v>46033</v>
      </c>
      <c r="E1284" s="8" t="n">
        <v>8</v>
      </c>
      <c r="F1284" s="8" t="str">
        <f aca="false">IF(E1284&gt;=9,"Promoter",IF(E1284&gt;=7,"Passive","Detractor"))</f>
        <v>Passive</v>
      </c>
    </row>
    <row r="1285" customFormat="false" ht="15" hidden="false" customHeight="false" outlineLevel="0" collapsed="false">
      <c r="A1285" s="8" t="s">
        <v>5891</v>
      </c>
      <c r="B1285" s="8" t="s">
        <v>3188</v>
      </c>
      <c r="C1285" s="8" t="s">
        <v>51</v>
      </c>
      <c r="D1285" s="32" t="n">
        <v>46033</v>
      </c>
      <c r="E1285" s="8" t="n">
        <v>8</v>
      </c>
      <c r="F1285" s="8" t="str">
        <f aca="false">IF(E1285&gt;=9,"Promoter",IF(E1285&gt;=7,"Passive","Detractor"))</f>
        <v>Passive</v>
      </c>
    </row>
    <row r="1286" customFormat="false" ht="15" hidden="false" customHeight="false" outlineLevel="0" collapsed="false">
      <c r="A1286" s="8" t="s">
        <v>5892</v>
      </c>
      <c r="B1286" s="8" t="s">
        <v>2768</v>
      </c>
      <c r="C1286" s="8" t="s">
        <v>51</v>
      </c>
      <c r="D1286" s="32" t="n">
        <v>46033</v>
      </c>
      <c r="E1286" s="8" t="n">
        <v>7</v>
      </c>
      <c r="F1286" s="8" t="str">
        <f aca="false">IF(E1286&gt;=9,"Promoter",IF(E1286&gt;=7,"Passive","Detractor"))</f>
        <v>Passive</v>
      </c>
    </row>
    <row r="1287" customFormat="false" ht="15" hidden="false" customHeight="false" outlineLevel="0" collapsed="false">
      <c r="A1287" s="8" t="s">
        <v>5893</v>
      </c>
      <c r="B1287" s="8" t="s">
        <v>4508</v>
      </c>
      <c r="C1287" s="8" t="s">
        <v>51</v>
      </c>
      <c r="D1287" s="32" t="n">
        <v>46033</v>
      </c>
      <c r="E1287" s="8" t="n">
        <v>7</v>
      </c>
      <c r="F1287" s="8" t="str">
        <f aca="false">IF(E1287&gt;=9,"Promoter",IF(E1287&gt;=7,"Passive","Detractor"))</f>
        <v>Passive</v>
      </c>
    </row>
    <row r="1288" customFormat="false" ht="15" hidden="false" customHeight="false" outlineLevel="0" collapsed="false">
      <c r="A1288" s="8" t="s">
        <v>5894</v>
      </c>
      <c r="B1288" s="8" t="s">
        <v>443</v>
      </c>
      <c r="C1288" s="8" t="s">
        <v>55</v>
      </c>
      <c r="D1288" s="32" t="n">
        <v>46033</v>
      </c>
      <c r="E1288" s="8" t="n">
        <v>10</v>
      </c>
      <c r="F1288" s="8" t="str">
        <f aca="false">IF(E1288&gt;=9,"Promoter",IF(E1288&gt;=7,"Passive","Detractor"))</f>
        <v>Promoter</v>
      </c>
    </row>
    <row r="1289" customFormat="false" ht="15" hidden="false" customHeight="false" outlineLevel="0" collapsed="false">
      <c r="A1289" s="8" t="s">
        <v>5895</v>
      </c>
      <c r="B1289" s="8" t="s">
        <v>2228</v>
      </c>
      <c r="C1289" s="8" t="s">
        <v>51</v>
      </c>
      <c r="D1289" s="32" t="n">
        <v>46033</v>
      </c>
      <c r="E1289" s="8" t="n">
        <v>10</v>
      </c>
      <c r="F1289" s="8" t="str">
        <f aca="false">IF(E1289&gt;=9,"Promoter",IF(E1289&gt;=7,"Passive","Detractor"))</f>
        <v>Promoter</v>
      </c>
    </row>
    <row r="1290" customFormat="false" ht="15" hidden="false" customHeight="false" outlineLevel="0" collapsed="false">
      <c r="A1290" s="8" t="s">
        <v>5896</v>
      </c>
      <c r="B1290" s="8" t="s">
        <v>2366</v>
      </c>
      <c r="C1290" s="8" t="s">
        <v>51</v>
      </c>
      <c r="D1290" s="32" t="n">
        <v>46034</v>
      </c>
      <c r="E1290" s="8" t="n">
        <v>7</v>
      </c>
      <c r="F1290" s="8" t="str">
        <f aca="false">IF(E1290&gt;=9,"Promoter",IF(E1290&gt;=7,"Passive","Detractor"))</f>
        <v>Passive</v>
      </c>
    </row>
    <row r="1291" customFormat="false" ht="15" hidden="false" customHeight="false" outlineLevel="0" collapsed="false">
      <c r="A1291" s="8" t="s">
        <v>5897</v>
      </c>
      <c r="B1291" s="8" t="s">
        <v>785</v>
      </c>
      <c r="C1291" s="8" t="s">
        <v>53</v>
      </c>
      <c r="D1291" s="32" t="n">
        <v>46034</v>
      </c>
      <c r="E1291" s="8" t="n">
        <v>10</v>
      </c>
      <c r="F1291" s="8" t="str">
        <f aca="false">IF(E1291&gt;=9,"Promoter",IF(E1291&gt;=7,"Passive","Detractor"))</f>
        <v>Promoter</v>
      </c>
    </row>
    <row r="1292" customFormat="false" ht="15" hidden="false" customHeight="false" outlineLevel="0" collapsed="false">
      <c r="A1292" s="8" t="s">
        <v>5898</v>
      </c>
      <c r="B1292" s="8" t="s">
        <v>282</v>
      </c>
      <c r="C1292" s="8" t="s">
        <v>55</v>
      </c>
      <c r="D1292" s="32" t="n">
        <v>46034</v>
      </c>
      <c r="E1292" s="8" t="n">
        <v>8</v>
      </c>
      <c r="F1292" s="8" t="str">
        <f aca="false">IF(E1292&gt;=9,"Promoter",IF(E1292&gt;=7,"Passive","Detractor"))</f>
        <v>Passive</v>
      </c>
    </row>
    <row r="1293" customFormat="false" ht="15" hidden="false" customHeight="false" outlineLevel="0" collapsed="false">
      <c r="A1293" s="8" t="s">
        <v>5899</v>
      </c>
      <c r="B1293" s="8" t="s">
        <v>707</v>
      </c>
      <c r="C1293" s="8" t="s">
        <v>53</v>
      </c>
      <c r="D1293" s="32" t="n">
        <v>46034</v>
      </c>
      <c r="E1293" s="8" t="n">
        <v>5</v>
      </c>
      <c r="F1293" s="8" t="str">
        <f aca="false">IF(E1293&gt;=9,"Promoter",IF(E1293&gt;=7,"Passive","Detractor"))</f>
        <v>Detractor</v>
      </c>
    </row>
    <row r="1294" customFormat="false" ht="15" hidden="false" customHeight="false" outlineLevel="0" collapsed="false">
      <c r="A1294" s="8" t="s">
        <v>5900</v>
      </c>
      <c r="B1294" s="8" t="s">
        <v>2988</v>
      </c>
      <c r="C1294" s="8" t="s">
        <v>51</v>
      </c>
      <c r="D1294" s="32" t="n">
        <v>46034</v>
      </c>
      <c r="E1294" s="8" t="n">
        <v>10</v>
      </c>
      <c r="F1294" s="8" t="str">
        <f aca="false">IF(E1294&gt;=9,"Promoter",IF(E1294&gt;=7,"Passive","Detractor"))</f>
        <v>Promoter</v>
      </c>
    </row>
    <row r="1295" customFormat="false" ht="15" hidden="false" customHeight="false" outlineLevel="0" collapsed="false">
      <c r="A1295" s="8" t="s">
        <v>5901</v>
      </c>
      <c r="B1295" s="8" t="s">
        <v>937</v>
      </c>
      <c r="C1295" s="8" t="s">
        <v>53</v>
      </c>
      <c r="D1295" s="32" t="n">
        <v>46034</v>
      </c>
      <c r="E1295" s="8" t="n">
        <v>7</v>
      </c>
      <c r="F1295" s="8" t="str">
        <f aca="false">IF(E1295&gt;=9,"Promoter",IF(E1295&gt;=7,"Passive","Detractor"))</f>
        <v>Passive</v>
      </c>
    </row>
    <row r="1296" customFormat="false" ht="15" hidden="false" customHeight="false" outlineLevel="0" collapsed="false">
      <c r="A1296" s="8" t="s">
        <v>5902</v>
      </c>
      <c r="B1296" s="8" t="s">
        <v>1743</v>
      </c>
      <c r="C1296" s="8" t="s">
        <v>51</v>
      </c>
      <c r="D1296" s="32" t="n">
        <v>46034</v>
      </c>
      <c r="E1296" s="8" t="n">
        <v>3</v>
      </c>
      <c r="F1296" s="8" t="str">
        <f aca="false">IF(E1296&gt;=9,"Promoter",IF(E1296&gt;=7,"Passive","Detractor"))</f>
        <v>Detractor</v>
      </c>
    </row>
    <row r="1297" customFormat="false" ht="15" hidden="false" customHeight="false" outlineLevel="0" collapsed="false">
      <c r="A1297" s="8" t="s">
        <v>5903</v>
      </c>
      <c r="B1297" s="8" t="s">
        <v>543</v>
      </c>
      <c r="C1297" s="8" t="s">
        <v>55</v>
      </c>
      <c r="D1297" s="32" t="n">
        <v>46034</v>
      </c>
      <c r="E1297" s="8" t="n">
        <v>9</v>
      </c>
      <c r="F1297" s="8" t="str">
        <f aca="false">IF(E1297&gt;=9,"Promoter",IF(E1297&gt;=7,"Passive","Detractor"))</f>
        <v>Promoter</v>
      </c>
    </row>
    <row r="1298" customFormat="false" ht="15" hidden="false" customHeight="false" outlineLevel="0" collapsed="false">
      <c r="A1298" s="8" t="s">
        <v>5904</v>
      </c>
      <c r="B1298" s="8" t="s">
        <v>547</v>
      </c>
      <c r="C1298" s="8" t="s">
        <v>53</v>
      </c>
      <c r="D1298" s="32" t="n">
        <v>46034</v>
      </c>
      <c r="E1298" s="8" t="n">
        <v>7</v>
      </c>
      <c r="F1298" s="8" t="str">
        <f aca="false">IF(E1298&gt;=9,"Promoter",IF(E1298&gt;=7,"Passive","Detractor"))</f>
        <v>Passive</v>
      </c>
    </row>
    <row r="1299" customFormat="false" ht="15" hidden="false" customHeight="false" outlineLevel="0" collapsed="false">
      <c r="A1299" s="8" t="s">
        <v>5905</v>
      </c>
      <c r="B1299" s="8" t="s">
        <v>1033</v>
      </c>
      <c r="C1299" s="8" t="s">
        <v>53</v>
      </c>
      <c r="D1299" s="32" t="n">
        <v>46035</v>
      </c>
      <c r="E1299" s="8" t="n">
        <v>8</v>
      </c>
      <c r="F1299" s="8" t="str">
        <f aca="false">IF(E1299&gt;=9,"Promoter",IF(E1299&gt;=7,"Passive","Detractor"))</f>
        <v>Passive</v>
      </c>
    </row>
    <row r="1300" customFormat="false" ht="15" hidden="false" customHeight="false" outlineLevel="0" collapsed="false">
      <c r="A1300" s="8" t="s">
        <v>5906</v>
      </c>
      <c r="B1300" s="8" t="s">
        <v>3920</v>
      </c>
      <c r="C1300" s="8" t="s">
        <v>51</v>
      </c>
      <c r="D1300" s="32" t="n">
        <v>46035</v>
      </c>
      <c r="E1300" s="8" t="n">
        <v>6</v>
      </c>
      <c r="F1300" s="8" t="str">
        <f aca="false">IF(E1300&gt;=9,"Promoter",IF(E1300&gt;=7,"Passive","Detractor"))</f>
        <v>Detractor</v>
      </c>
    </row>
    <row r="1301" customFormat="false" ht="15" hidden="false" customHeight="false" outlineLevel="0" collapsed="false">
      <c r="A1301" s="8" t="s">
        <v>5907</v>
      </c>
      <c r="B1301" s="8" t="s">
        <v>3400</v>
      </c>
      <c r="C1301" s="8" t="s">
        <v>51</v>
      </c>
      <c r="D1301" s="32" t="n">
        <v>46035</v>
      </c>
      <c r="E1301" s="8" t="n">
        <v>10</v>
      </c>
      <c r="F1301" s="8" t="str">
        <f aca="false">IF(E1301&gt;=9,"Promoter",IF(E1301&gt;=7,"Passive","Detractor"))</f>
        <v>Promoter</v>
      </c>
    </row>
    <row r="1302" customFormat="false" ht="15" hidden="false" customHeight="false" outlineLevel="0" collapsed="false">
      <c r="A1302" s="8" t="s">
        <v>5908</v>
      </c>
      <c r="B1302" s="8" t="s">
        <v>1237</v>
      </c>
      <c r="C1302" s="8" t="s">
        <v>53</v>
      </c>
      <c r="D1302" s="32" t="n">
        <v>46035</v>
      </c>
      <c r="E1302" s="8" t="n">
        <v>6</v>
      </c>
      <c r="F1302" s="8" t="str">
        <f aca="false">IF(E1302&gt;=9,"Promoter",IF(E1302&gt;=7,"Passive","Detractor"))</f>
        <v>Detractor</v>
      </c>
    </row>
    <row r="1303" customFormat="false" ht="15" hidden="false" customHeight="false" outlineLevel="0" collapsed="false">
      <c r="A1303" s="8" t="s">
        <v>5909</v>
      </c>
      <c r="B1303" s="8" t="s">
        <v>1903</v>
      </c>
      <c r="C1303" s="8" t="s">
        <v>51</v>
      </c>
      <c r="D1303" s="32" t="n">
        <v>46035</v>
      </c>
      <c r="E1303" s="8" t="n">
        <v>8</v>
      </c>
      <c r="F1303" s="8" t="str">
        <f aca="false">IF(E1303&gt;=9,"Promoter",IF(E1303&gt;=7,"Passive","Detractor"))</f>
        <v>Passive</v>
      </c>
    </row>
    <row r="1304" customFormat="false" ht="15" hidden="false" customHeight="false" outlineLevel="0" collapsed="false">
      <c r="A1304" s="8" t="s">
        <v>5910</v>
      </c>
      <c r="B1304" s="8" t="s">
        <v>2606</v>
      </c>
      <c r="C1304" s="8" t="s">
        <v>51</v>
      </c>
      <c r="D1304" s="32" t="n">
        <v>46035</v>
      </c>
      <c r="E1304" s="8" t="n">
        <v>10</v>
      </c>
      <c r="F1304" s="8" t="str">
        <f aca="false">IF(E1304&gt;=9,"Promoter",IF(E1304&gt;=7,"Passive","Detractor"))</f>
        <v>Promoter</v>
      </c>
    </row>
    <row r="1305" customFormat="false" ht="15" hidden="false" customHeight="false" outlineLevel="0" collapsed="false">
      <c r="A1305" s="8" t="s">
        <v>5911</v>
      </c>
      <c r="B1305" s="8" t="s">
        <v>1699</v>
      </c>
      <c r="C1305" s="8" t="s">
        <v>53</v>
      </c>
      <c r="D1305" s="32" t="n">
        <v>46036</v>
      </c>
      <c r="E1305" s="8" t="n">
        <v>10</v>
      </c>
      <c r="F1305" s="8" t="str">
        <f aca="false">IF(E1305&gt;=9,"Promoter",IF(E1305&gt;=7,"Passive","Detractor"))</f>
        <v>Promoter</v>
      </c>
    </row>
    <row r="1306" customFormat="false" ht="15" hidden="false" customHeight="false" outlineLevel="0" collapsed="false">
      <c r="A1306" s="8" t="s">
        <v>5912</v>
      </c>
      <c r="B1306" s="8" t="s">
        <v>4415</v>
      </c>
      <c r="C1306" s="8" t="s">
        <v>55</v>
      </c>
      <c r="D1306" s="32" t="n">
        <v>46036</v>
      </c>
      <c r="E1306" s="8" t="n">
        <v>3</v>
      </c>
      <c r="F1306" s="8" t="str">
        <f aca="false">IF(E1306&gt;=9,"Promoter",IF(E1306&gt;=7,"Passive","Detractor"))</f>
        <v>Detractor</v>
      </c>
    </row>
    <row r="1307" customFormat="false" ht="15" hidden="false" customHeight="false" outlineLevel="0" collapsed="false">
      <c r="A1307" s="8" t="s">
        <v>5913</v>
      </c>
      <c r="B1307" s="8" t="s">
        <v>1239</v>
      </c>
      <c r="C1307" s="8" t="s">
        <v>53</v>
      </c>
      <c r="D1307" s="32" t="n">
        <v>46036</v>
      </c>
      <c r="E1307" s="8" t="n">
        <v>7</v>
      </c>
      <c r="F1307" s="8" t="str">
        <f aca="false">IF(E1307&gt;=9,"Promoter",IF(E1307&gt;=7,"Passive","Detractor"))</f>
        <v>Passive</v>
      </c>
    </row>
    <row r="1308" customFormat="false" ht="15" hidden="false" customHeight="false" outlineLevel="0" collapsed="false">
      <c r="A1308" s="8" t="s">
        <v>5914</v>
      </c>
      <c r="B1308" s="8" t="s">
        <v>2992</v>
      </c>
      <c r="C1308" s="8" t="s">
        <v>51</v>
      </c>
      <c r="D1308" s="32" t="n">
        <v>46036</v>
      </c>
      <c r="E1308" s="8" t="n">
        <v>8</v>
      </c>
      <c r="F1308" s="8" t="str">
        <f aca="false">IF(E1308&gt;=9,"Promoter",IF(E1308&gt;=7,"Passive","Detractor"))</f>
        <v>Passive</v>
      </c>
    </row>
    <row r="1309" customFormat="false" ht="15" hidden="false" customHeight="false" outlineLevel="0" collapsed="false">
      <c r="A1309" s="8" t="s">
        <v>5915</v>
      </c>
      <c r="B1309" s="8" t="s">
        <v>715</v>
      </c>
      <c r="C1309" s="8" t="s">
        <v>53</v>
      </c>
      <c r="D1309" s="32" t="n">
        <v>46036</v>
      </c>
      <c r="E1309" s="8" t="n">
        <v>8</v>
      </c>
      <c r="F1309" s="8" t="str">
        <f aca="false">IF(E1309&gt;=9,"Promoter",IF(E1309&gt;=7,"Passive","Detractor"))</f>
        <v>Passive</v>
      </c>
    </row>
    <row r="1310" customFormat="false" ht="15" hidden="false" customHeight="false" outlineLevel="0" collapsed="false">
      <c r="A1310" s="8" t="s">
        <v>5916</v>
      </c>
      <c r="B1310" s="8" t="s">
        <v>3620</v>
      </c>
      <c r="C1310" s="8" t="s">
        <v>51</v>
      </c>
      <c r="D1310" s="32" t="n">
        <v>46036</v>
      </c>
      <c r="E1310" s="8" t="n">
        <v>6</v>
      </c>
      <c r="F1310" s="8" t="str">
        <f aca="false">IF(E1310&gt;=9,"Promoter",IF(E1310&gt;=7,"Passive","Detractor"))</f>
        <v>Detractor</v>
      </c>
    </row>
    <row r="1311" customFormat="false" ht="15" hidden="false" customHeight="false" outlineLevel="0" collapsed="false">
      <c r="A1311" s="8" t="s">
        <v>5917</v>
      </c>
      <c r="B1311" s="8" t="s">
        <v>699</v>
      </c>
      <c r="C1311" s="8" t="s">
        <v>55</v>
      </c>
      <c r="D1311" s="32" t="n">
        <v>46036</v>
      </c>
      <c r="E1311" s="8" t="n">
        <v>7</v>
      </c>
      <c r="F1311" s="8" t="str">
        <f aca="false">IF(E1311&gt;=9,"Promoter",IF(E1311&gt;=7,"Passive","Detractor"))</f>
        <v>Passive</v>
      </c>
    </row>
    <row r="1312" customFormat="false" ht="15" hidden="false" customHeight="false" outlineLevel="0" collapsed="false">
      <c r="A1312" s="8" t="s">
        <v>5918</v>
      </c>
      <c r="B1312" s="8" t="s">
        <v>751</v>
      </c>
      <c r="C1312" s="8" t="s">
        <v>53</v>
      </c>
      <c r="D1312" s="32" t="n">
        <v>46037</v>
      </c>
      <c r="E1312" s="8" t="n">
        <v>10</v>
      </c>
      <c r="F1312" s="8" t="str">
        <f aca="false">IF(E1312&gt;=9,"Promoter",IF(E1312&gt;=7,"Passive","Detractor"))</f>
        <v>Promoter</v>
      </c>
    </row>
    <row r="1313" customFormat="false" ht="15" hidden="false" customHeight="false" outlineLevel="0" collapsed="false">
      <c r="A1313" s="8" t="s">
        <v>5919</v>
      </c>
      <c r="B1313" s="8" t="s">
        <v>3982</v>
      </c>
      <c r="C1313" s="8" t="s">
        <v>51</v>
      </c>
      <c r="D1313" s="32" t="n">
        <v>46037</v>
      </c>
      <c r="E1313" s="8" t="n">
        <v>7</v>
      </c>
      <c r="F1313" s="8" t="str">
        <f aca="false">IF(E1313&gt;=9,"Promoter",IF(E1313&gt;=7,"Passive","Detractor"))</f>
        <v>Passive</v>
      </c>
    </row>
    <row r="1314" customFormat="false" ht="15" hidden="false" customHeight="false" outlineLevel="0" collapsed="false">
      <c r="A1314" s="8" t="s">
        <v>5920</v>
      </c>
      <c r="B1314" s="8" t="s">
        <v>4445</v>
      </c>
      <c r="C1314" s="8" t="s">
        <v>53</v>
      </c>
      <c r="D1314" s="32" t="n">
        <v>46037</v>
      </c>
      <c r="E1314" s="8" t="n">
        <v>10</v>
      </c>
      <c r="F1314" s="8" t="str">
        <f aca="false">IF(E1314&gt;=9,"Promoter",IF(E1314&gt;=7,"Passive","Detractor"))</f>
        <v>Promoter</v>
      </c>
    </row>
    <row r="1315" customFormat="false" ht="15" hidden="false" customHeight="false" outlineLevel="0" collapsed="false">
      <c r="A1315" s="8" t="s">
        <v>5921</v>
      </c>
      <c r="B1315" s="8" t="s">
        <v>2034</v>
      </c>
      <c r="C1315" s="8" t="s">
        <v>51</v>
      </c>
      <c r="D1315" s="32" t="n">
        <v>46037</v>
      </c>
      <c r="E1315" s="8" t="n">
        <v>10</v>
      </c>
      <c r="F1315" s="8" t="str">
        <f aca="false">IF(E1315&gt;=9,"Promoter",IF(E1315&gt;=7,"Passive","Detractor"))</f>
        <v>Promoter</v>
      </c>
    </row>
    <row r="1316" customFormat="false" ht="15" hidden="false" customHeight="false" outlineLevel="0" collapsed="false">
      <c r="A1316" s="8" t="s">
        <v>5922</v>
      </c>
      <c r="B1316" s="8" t="s">
        <v>3340</v>
      </c>
      <c r="C1316" s="8" t="s">
        <v>51</v>
      </c>
      <c r="D1316" s="32" t="n">
        <v>46037</v>
      </c>
      <c r="E1316" s="8" t="n">
        <v>10</v>
      </c>
      <c r="F1316" s="8" t="str">
        <f aca="false">IF(E1316&gt;=9,"Promoter",IF(E1316&gt;=7,"Passive","Detractor"))</f>
        <v>Promoter</v>
      </c>
    </row>
    <row r="1317" customFormat="false" ht="15" hidden="false" customHeight="false" outlineLevel="0" collapsed="false">
      <c r="A1317" s="8" t="s">
        <v>5923</v>
      </c>
      <c r="B1317" s="8" t="s">
        <v>3556</v>
      </c>
      <c r="C1317" s="8" t="s">
        <v>51</v>
      </c>
      <c r="D1317" s="32" t="n">
        <v>46037</v>
      </c>
      <c r="E1317" s="8" t="n">
        <v>9</v>
      </c>
      <c r="F1317" s="8" t="str">
        <f aca="false">IF(E1317&gt;=9,"Promoter",IF(E1317&gt;=7,"Passive","Detractor"))</f>
        <v>Promoter</v>
      </c>
    </row>
    <row r="1318" customFormat="false" ht="15" hidden="false" customHeight="false" outlineLevel="0" collapsed="false">
      <c r="A1318" s="8" t="s">
        <v>5924</v>
      </c>
      <c r="B1318" s="8" t="s">
        <v>1065</v>
      </c>
      <c r="C1318" s="8" t="s">
        <v>53</v>
      </c>
      <c r="D1318" s="32" t="n">
        <v>46037</v>
      </c>
      <c r="E1318" s="8" t="n">
        <v>10</v>
      </c>
      <c r="F1318" s="8" t="str">
        <f aca="false">IF(E1318&gt;=9,"Promoter",IF(E1318&gt;=7,"Passive","Detractor"))</f>
        <v>Promoter</v>
      </c>
    </row>
    <row r="1319" customFormat="false" ht="15" hidden="false" customHeight="false" outlineLevel="0" collapsed="false">
      <c r="A1319" s="8" t="s">
        <v>5925</v>
      </c>
      <c r="B1319" s="8" t="s">
        <v>2856</v>
      </c>
      <c r="C1319" s="8" t="s">
        <v>51</v>
      </c>
      <c r="D1319" s="32" t="n">
        <v>46037</v>
      </c>
      <c r="E1319" s="8" t="n">
        <v>9</v>
      </c>
      <c r="F1319" s="8" t="str">
        <f aca="false">IF(E1319&gt;=9,"Promoter",IF(E1319&gt;=7,"Passive","Detractor"))</f>
        <v>Promoter</v>
      </c>
    </row>
    <row r="1320" customFormat="false" ht="15" hidden="false" customHeight="false" outlineLevel="0" collapsed="false">
      <c r="A1320" s="8" t="s">
        <v>5926</v>
      </c>
      <c r="B1320" s="8" t="s">
        <v>5927</v>
      </c>
      <c r="C1320" s="8" t="s">
        <v>51</v>
      </c>
      <c r="D1320" s="32" t="n">
        <v>46037</v>
      </c>
      <c r="E1320" s="8" t="n">
        <v>5</v>
      </c>
      <c r="F1320" s="8" t="str">
        <f aca="false">IF(E1320&gt;=9,"Promoter",IF(E1320&gt;=7,"Passive","Detractor"))</f>
        <v>Detractor</v>
      </c>
    </row>
    <row r="1321" customFormat="false" ht="15" hidden="false" customHeight="false" outlineLevel="0" collapsed="false">
      <c r="A1321" s="8" t="s">
        <v>5928</v>
      </c>
      <c r="B1321" s="8" t="s">
        <v>2858</v>
      </c>
      <c r="C1321" s="8" t="s">
        <v>51</v>
      </c>
      <c r="D1321" s="32" t="n">
        <v>46037</v>
      </c>
      <c r="E1321" s="8" t="n">
        <v>8</v>
      </c>
      <c r="F1321" s="8" t="str">
        <f aca="false">IF(E1321&gt;=9,"Promoter",IF(E1321&gt;=7,"Passive","Detractor"))</f>
        <v>Passive</v>
      </c>
    </row>
    <row r="1322" customFormat="false" ht="15" hidden="false" customHeight="false" outlineLevel="0" collapsed="false">
      <c r="A1322" s="8" t="s">
        <v>5929</v>
      </c>
      <c r="B1322" s="8" t="s">
        <v>1497</v>
      </c>
      <c r="C1322" s="8" t="s">
        <v>53</v>
      </c>
      <c r="D1322" s="32" t="n">
        <v>46037</v>
      </c>
      <c r="E1322" s="8" t="n">
        <v>10</v>
      </c>
      <c r="F1322" s="8" t="str">
        <f aca="false">IF(E1322&gt;=9,"Promoter",IF(E1322&gt;=7,"Passive","Detractor"))</f>
        <v>Promoter</v>
      </c>
    </row>
    <row r="1323" customFormat="false" ht="15" hidden="false" customHeight="false" outlineLevel="0" collapsed="false">
      <c r="A1323" s="8" t="s">
        <v>5930</v>
      </c>
      <c r="B1323" s="8" t="s">
        <v>877</v>
      </c>
      <c r="C1323" s="8" t="s">
        <v>53</v>
      </c>
      <c r="D1323" s="32" t="n">
        <v>46037</v>
      </c>
      <c r="E1323" s="8" t="n">
        <v>9</v>
      </c>
      <c r="F1323" s="8" t="str">
        <f aca="false">IF(E1323&gt;=9,"Promoter",IF(E1323&gt;=7,"Passive","Detractor"))</f>
        <v>Promoter</v>
      </c>
    </row>
    <row r="1324" customFormat="false" ht="15" hidden="false" customHeight="false" outlineLevel="0" collapsed="false">
      <c r="A1324" s="8" t="s">
        <v>5931</v>
      </c>
      <c r="B1324" s="8" t="s">
        <v>549</v>
      </c>
      <c r="C1324" s="8" t="s">
        <v>53</v>
      </c>
      <c r="D1324" s="32" t="n">
        <v>46037</v>
      </c>
      <c r="E1324" s="8" t="n">
        <v>7</v>
      </c>
      <c r="F1324" s="8" t="str">
        <f aca="false">IF(E1324&gt;=9,"Promoter",IF(E1324&gt;=7,"Passive","Detractor"))</f>
        <v>Passive</v>
      </c>
    </row>
    <row r="1325" customFormat="false" ht="15" hidden="false" customHeight="false" outlineLevel="0" collapsed="false">
      <c r="A1325" s="8" t="s">
        <v>5932</v>
      </c>
      <c r="B1325" s="8" t="s">
        <v>4044</v>
      </c>
      <c r="C1325" s="8" t="s">
        <v>51</v>
      </c>
      <c r="D1325" s="32" t="n">
        <v>46037</v>
      </c>
      <c r="E1325" s="8" t="n">
        <v>6</v>
      </c>
      <c r="F1325" s="8" t="str">
        <f aca="false">IF(E1325&gt;=9,"Promoter",IF(E1325&gt;=7,"Passive","Detractor"))</f>
        <v>Detractor</v>
      </c>
    </row>
    <row r="1326" customFormat="false" ht="15" hidden="false" customHeight="false" outlineLevel="0" collapsed="false">
      <c r="A1326" s="8" t="s">
        <v>5933</v>
      </c>
      <c r="B1326" s="8" t="s">
        <v>705</v>
      </c>
      <c r="C1326" s="8" t="s">
        <v>53</v>
      </c>
      <c r="D1326" s="32" t="n">
        <v>46037</v>
      </c>
      <c r="E1326" s="8" t="n">
        <v>6</v>
      </c>
      <c r="F1326" s="8" t="str">
        <f aca="false">IF(E1326&gt;=9,"Promoter",IF(E1326&gt;=7,"Passive","Detractor"))</f>
        <v>Detractor</v>
      </c>
    </row>
    <row r="1327" customFormat="false" ht="15" hidden="false" customHeight="false" outlineLevel="0" collapsed="false">
      <c r="A1327" s="8" t="s">
        <v>5934</v>
      </c>
      <c r="B1327" s="8" t="s">
        <v>2486</v>
      </c>
      <c r="C1327" s="8" t="s">
        <v>51</v>
      </c>
      <c r="D1327" s="32" t="n">
        <v>46038</v>
      </c>
      <c r="E1327" s="8" t="n">
        <v>10</v>
      </c>
      <c r="F1327" s="8" t="str">
        <f aca="false">IF(E1327&gt;=9,"Promoter",IF(E1327&gt;=7,"Passive","Detractor"))</f>
        <v>Promoter</v>
      </c>
    </row>
    <row r="1328" customFormat="false" ht="15" hidden="false" customHeight="false" outlineLevel="0" collapsed="false">
      <c r="A1328" s="8" t="s">
        <v>5935</v>
      </c>
      <c r="B1328" s="8" t="s">
        <v>389</v>
      </c>
      <c r="C1328" s="8" t="s">
        <v>55</v>
      </c>
      <c r="D1328" s="32" t="n">
        <v>46038</v>
      </c>
      <c r="E1328" s="8" t="n">
        <v>9</v>
      </c>
      <c r="F1328" s="8" t="str">
        <f aca="false">IF(E1328&gt;=9,"Promoter",IF(E1328&gt;=7,"Passive","Detractor"))</f>
        <v>Promoter</v>
      </c>
    </row>
    <row r="1329" customFormat="false" ht="15" hidden="false" customHeight="false" outlineLevel="0" collapsed="false">
      <c r="A1329" s="8" t="s">
        <v>5936</v>
      </c>
      <c r="B1329" s="8" t="s">
        <v>1157</v>
      </c>
      <c r="C1329" s="8" t="s">
        <v>53</v>
      </c>
      <c r="D1329" s="32" t="n">
        <v>46038</v>
      </c>
      <c r="E1329" s="8" t="n">
        <v>7</v>
      </c>
      <c r="F1329" s="8" t="str">
        <f aca="false">IF(E1329&gt;=9,"Promoter",IF(E1329&gt;=7,"Passive","Detractor"))</f>
        <v>Passive</v>
      </c>
    </row>
    <row r="1330" customFormat="false" ht="15" hidden="false" customHeight="false" outlineLevel="0" collapsed="false">
      <c r="A1330" s="8" t="s">
        <v>5937</v>
      </c>
      <c r="B1330" s="8" t="s">
        <v>4100</v>
      </c>
      <c r="C1330" s="8" t="s">
        <v>51</v>
      </c>
      <c r="D1330" s="32" t="n">
        <v>46038</v>
      </c>
      <c r="E1330" s="8" t="n">
        <v>6</v>
      </c>
      <c r="F1330" s="8" t="str">
        <f aca="false">IF(E1330&gt;=9,"Promoter",IF(E1330&gt;=7,"Passive","Detractor"))</f>
        <v>Detractor</v>
      </c>
    </row>
    <row r="1331" customFormat="false" ht="15" hidden="false" customHeight="false" outlineLevel="0" collapsed="false">
      <c r="A1331" s="8" t="s">
        <v>5938</v>
      </c>
      <c r="B1331" s="8" t="s">
        <v>1853</v>
      </c>
      <c r="C1331" s="8" t="s">
        <v>51</v>
      </c>
      <c r="D1331" s="32" t="n">
        <v>46038</v>
      </c>
      <c r="E1331" s="8" t="n">
        <v>9</v>
      </c>
      <c r="F1331" s="8" t="str">
        <f aca="false">IF(E1331&gt;=9,"Promoter",IF(E1331&gt;=7,"Passive","Detractor"))</f>
        <v>Promoter</v>
      </c>
    </row>
    <row r="1332" customFormat="false" ht="15" hidden="false" customHeight="false" outlineLevel="0" collapsed="false">
      <c r="A1332" s="8" t="s">
        <v>5939</v>
      </c>
      <c r="B1332" s="8" t="s">
        <v>2692</v>
      </c>
      <c r="C1332" s="8" t="s">
        <v>51</v>
      </c>
      <c r="D1332" s="32" t="n">
        <v>46038</v>
      </c>
      <c r="E1332" s="8" t="n">
        <v>9</v>
      </c>
      <c r="F1332" s="8" t="str">
        <f aca="false">IF(E1332&gt;=9,"Promoter",IF(E1332&gt;=7,"Passive","Detractor"))</f>
        <v>Promoter</v>
      </c>
    </row>
    <row r="1333" customFormat="false" ht="15" hidden="false" customHeight="false" outlineLevel="0" collapsed="false">
      <c r="A1333" s="8" t="s">
        <v>5940</v>
      </c>
      <c r="B1333" s="8" t="s">
        <v>595</v>
      </c>
      <c r="C1333" s="8" t="s">
        <v>53</v>
      </c>
      <c r="D1333" s="32" t="n">
        <v>46038</v>
      </c>
      <c r="E1333" s="8" t="n">
        <v>7</v>
      </c>
      <c r="F1333" s="8" t="str">
        <f aca="false">IF(E1333&gt;=9,"Promoter",IF(E1333&gt;=7,"Passive","Detractor"))</f>
        <v>Passive</v>
      </c>
    </row>
    <row r="1334" customFormat="false" ht="15" hidden="false" customHeight="false" outlineLevel="0" collapsed="false">
      <c r="A1334" s="8" t="s">
        <v>5941</v>
      </c>
      <c r="B1334" s="8" t="s">
        <v>5942</v>
      </c>
      <c r="C1334" s="8" t="s">
        <v>53</v>
      </c>
      <c r="D1334" s="32" t="n">
        <v>46038</v>
      </c>
      <c r="E1334" s="8" t="n">
        <v>5</v>
      </c>
      <c r="F1334" s="8" t="str">
        <f aca="false">IF(E1334&gt;=9,"Promoter",IF(E1334&gt;=7,"Passive","Detractor"))</f>
        <v>Detractor</v>
      </c>
    </row>
    <row r="1335" customFormat="false" ht="15" hidden="false" customHeight="false" outlineLevel="0" collapsed="false">
      <c r="A1335" s="8" t="s">
        <v>5943</v>
      </c>
      <c r="B1335" s="8" t="s">
        <v>4120</v>
      </c>
      <c r="C1335" s="8" t="s">
        <v>51</v>
      </c>
      <c r="D1335" s="32" t="n">
        <v>46038</v>
      </c>
      <c r="E1335" s="8" t="n">
        <v>10</v>
      </c>
      <c r="F1335" s="8" t="str">
        <f aca="false">IF(E1335&gt;=9,"Promoter",IF(E1335&gt;=7,"Passive","Detractor"))</f>
        <v>Promoter</v>
      </c>
    </row>
    <row r="1336" customFormat="false" ht="15" hidden="false" customHeight="false" outlineLevel="0" collapsed="false">
      <c r="A1336" s="8" t="s">
        <v>5944</v>
      </c>
      <c r="B1336" s="8" t="s">
        <v>4292</v>
      </c>
      <c r="C1336" s="8" t="s">
        <v>51</v>
      </c>
      <c r="D1336" s="32" t="n">
        <v>46038</v>
      </c>
      <c r="E1336" s="8" t="n">
        <v>10</v>
      </c>
      <c r="F1336" s="8" t="str">
        <f aca="false">IF(E1336&gt;=9,"Promoter",IF(E1336&gt;=7,"Passive","Detractor"))</f>
        <v>Promoter</v>
      </c>
    </row>
    <row r="1337" customFormat="false" ht="15" hidden="false" customHeight="false" outlineLevel="0" collapsed="false">
      <c r="A1337" s="8" t="s">
        <v>5945</v>
      </c>
      <c r="B1337" s="8" t="s">
        <v>4559</v>
      </c>
      <c r="C1337" s="8" t="s">
        <v>51</v>
      </c>
      <c r="D1337" s="32" t="n">
        <v>46038</v>
      </c>
      <c r="E1337" s="8" t="n">
        <v>7</v>
      </c>
      <c r="F1337" s="8" t="str">
        <f aca="false">IF(E1337&gt;=9,"Promoter",IF(E1337&gt;=7,"Passive","Detractor"))</f>
        <v>Passive</v>
      </c>
    </row>
    <row r="1338" customFormat="false" ht="15" hidden="false" customHeight="false" outlineLevel="0" collapsed="false">
      <c r="A1338" s="8" t="s">
        <v>5946</v>
      </c>
      <c r="B1338" s="8" t="s">
        <v>1807</v>
      </c>
      <c r="C1338" s="8" t="s">
        <v>51</v>
      </c>
      <c r="D1338" s="32" t="n">
        <v>46038</v>
      </c>
      <c r="E1338" s="8" t="n">
        <v>9</v>
      </c>
      <c r="F1338" s="8" t="str">
        <f aca="false">IF(E1338&gt;=9,"Promoter",IF(E1338&gt;=7,"Passive","Detractor"))</f>
        <v>Promoter</v>
      </c>
    </row>
    <row r="1339" customFormat="false" ht="15" hidden="false" customHeight="false" outlineLevel="0" collapsed="false">
      <c r="A1339" s="8" t="s">
        <v>5947</v>
      </c>
      <c r="B1339" s="8" t="s">
        <v>4334</v>
      </c>
      <c r="C1339" s="8" t="s">
        <v>51</v>
      </c>
      <c r="D1339" s="32" t="n">
        <v>46038</v>
      </c>
      <c r="E1339" s="8" t="n">
        <v>7</v>
      </c>
      <c r="F1339" s="8" t="str">
        <f aca="false">IF(E1339&gt;=9,"Promoter",IF(E1339&gt;=7,"Passive","Detractor"))</f>
        <v>Passive</v>
      </c>
    </row>
    <row r="1340" customFormat="false" ht="15" hidden="false" customHeight="false" outlineLevel="0" collapsed="false">
      <c r="A1340" s="8" t="s">
        <v>5948</v>
      </c>
      <c r="B1340" s="8" t="s">
        <v>1361</v>
      </c>
      <c r="C1340" s="8" t="s">
        <v>53</v>
      </c>
      <c r="D1340" s="32" t="n">
        <v>46038</v>
      </c>
      <c r="E1340" s="8" t="n">
        <v>8</v>
      </c>
      <c r="F1340" s="8" t="str">
        <f aca="false">IF(E1340&gt;=9,"Promoter",IF(E1340&gt;=7,"Passive","Detractor"))</f>
        <v>Passive</v>
      </c>
    </row>
    <row r="1341" customFormat="false" ht="15" hidden="false" customHeight="false" outlineLevel="0" collapsed="false">
      <c r="A1341" s="8" t="s">
        <v>5949</v>
      </c>
      <c r="B1341" s="8" t="s">
        <v>188</v>
      </c>
      <c r="C1341" s="8" t="s">
        <v>55</v>
      </c>
      <c r="D1341" s="32" t="n">
        <v>46039</v>
      </c>
      <c r="E1341" s="8" t="n">
        <v>7</v>
      </c>
      <c r="F1341" s="8" t="str">
        <f aca="false">IF(E1341&gt;=9,"Promoter",IF(E1341&gt;=7,"Passive","Detractor"))</f>
        <v>Passive</v>
      </c>
    </row>
    <row r="1342" customFormat="false" ht="15" hidden="false" customHeight="false" outlineLevel="0" collapsed="false">
      <c r="A1342" s="8" t="s">
        <v>5950</v>
      </c>
      <c r="B1342" s="8" t="s">
        <v>3252</v>
      </c>
      <c r="C1342" s="8" t="s">
        <v>51</v>
      </c>
      <c r="D1342" s="32" t="n">
        <v>46039</v>
      </c>
      <c r="E1342" s="8" t="n">
        <v>10</v>
      </c>
      <c r="F1342" s="8" t="str">
        <f aca="false">IF(E1342&gt;=9,"Promoter",IF(E1342&gt;=7,"Passive","Detractor"))</f>
        <v>Promoter</v>
      </c>
    </row>
    <row r="1343" customFormat="false" ht="15" hidden="false" customHeight="false" outlineLevel="0" collapsed="false">
      <c r="A1343" s="8" t="s">
        <v>5951</v>
      </c>
      <c r="B1343" s="8" t="s">
        <v>3330</v>
      </c>
      <c r="C1343" s="8" t="s">
        <v>51</v>
      </c>
      <c r="D1343" s="32" t="n">
        <v>46039</v>
      </c>
      <c r="E1343" s="8" t="n">
        <v>7</v>
      </c>
      <c r="F1343" s="8" t="str">
        <f aca="false">IF(E1343&gt;=9,"Promoter",IF(E1343&gt;=7,"Passive","Detractor"))</f>
        <v>Passive</v>
      </c>
    </row>
    <row r="1344" customFormat="false" ht="15" hidden="false" customHeight="false" outlineLevel="0" collapsed="false">
      <c r="A1344" s="8" t="s">
        <v>5952</v>
      </c>
      <c r="B1344" s="8" t="s">
        <v>973</v>
      </c>
      <c r="C1344" s="8" t="s">
        <v>53</v>
      </c>
      <c r="D1344" s="32" t="n">
        <v>46039</v>
      </c>
      <c r="E1344" s="8" t="n">
        <v>9</v>
      </c>
      <c r="F1344" s="8" t="str">
        <f aca="false">IF(E1344&gt;=9,"Promoter",IF(E1344&gt;=7,"Passive","Detractor"))</f>
        <v>Promoter</v>
      </c>
    </row>
    <row r="1345" customFormat="false" ht="15" hidden="false" customHeight="false" outlineLevel="0" collapsed="false">
      <c r="A1345" s="8" t="s">
        <v>5953</v>
      </c>
      <c r="B1345" s="8" t="s">
        <v>1147</v>
      </c>
      <c r="C1345" s="8" t="s">
        <v>53</v>
      </c>
      <c r="D1345" s="32" t="n">
        <v>46039</v>
      </c>
      <c r="E1345" s="8" t="n">
        <v>7</v>
      </c>
      <c r="F1345" s="8" t="str">
        <f aca="false">IF(E1345&gt;=9,"Promoter",IF(E1345&gt;=7,"Passive","Detractor"))</f>
        <v>Passive</v>
      </c>
    </row>
    <row r="1346" customFormat="false" ht="15" hidden="false" customHeight="false" outlineLevel="0" collapsed="false">
      <c r="A1346" s="8" t="s">
        <v>5954</v>
      </c>
      <c r="B1346" s="8" t="s">
        <v>677</v>
      </c>
      <c r="C1346" s="8" t="s">
        <v>53</v>
      </c>
      <c r="D1346" s="32" t="n">
        <v>46039</v>
      </c>
      <c r="E1346" s="8" t="n">
        <v>9</v>
      </c>
      <c r="F1346" s="8" t="str">
        <f aca="false">IF(E1346&gt;=9,"Promoter",IF(E1346&gt;=7,"Passive","Detractor"))</f>
        <v>Promoter</v>
      </c>
    </row>
    <row r="1347" customFormat="false" ht="15" hidden="false" customHeight="false" outlineLevel="0" collapsed="false">
      <c r="A1347" s="8" t="s">
        <v>5955</v>
      </c>
      <c r="B1347" s="8" t="s">
        <v>3674</v>
      </c>
      <c r="C1347" s="8" t="s">
        <v>51</v>
      </c>
      <c r="D1347" s="32" t="n">
        <v>46039</v>
      </c>
      <c r="E1347" s="8" t="n">
        <v>9</v>
      </c>
      <c r="F1347" s="8" t="str">
        <f aca="false">IF(E1347&gt;=9,"Promoter",IF(E1347&gt;=7,"Passive","Detractor"))</f>
        <v>Promoter</v>
      </c>
    </row>
    <row r="1348" customFormat="false" ht="15" hidden="false" customHeight="false" outlineLevel="0" collapsed="false">
      <c r="A1348" s="8" t="s">
        <v>5956</v>
      </c>
      <c r="B1348" s="8" t="s">
        <v>3286</v>
      </c>
      <c r="C1348" s="8" t="s">
        <v>51</v>
      </c>
      <c r="D1348" s="32" t="n">
        <v>46039</v>
      </c>
      <c r="E1348" s="8" t="n">
        <v>5</v>
      </c>
      <c r="F1348" s="8" t="str">
        <f aca="false">IF(E1348&gt;=9,"Promoter",IF(E1348&gt;=7,"Passive","Detractor"))</f>
        <v>Detractor</v>
      </c>
    </row>
    <row r="1349" customFormat="false" ht="15" hidden="false" customHeight="false" outlineLevel="0" collapsed="false">
      <c r="A1349" s="8" t="s">
        <v>5957</v>
      </c>
      <c r="B1349" s="8" t="s">
        <v>879</v>
      </c>
      <c r="C1349" s="8" t="s">
        <v>53</v>
      </c>
      <c r="D1349" s="32" t="n">
        <v>46039</v>
      </c>
      <c r="E1349" s="8" t="n">
        <v>10</v>
      </c>
      <c r="F1349" s="8" t="str">
        <f aca="false">IF(E1349&gt;=9,"Promoter",IF(E1349&gt;=7,"Passive","Detractor"))</f>
        <v>Promoter</v>
      </c>
    </row>
    <row r="1350" customFormat="false" ht="15" hidden="false" customHeight="false" outlineLevel="0" collapsed="false">
      <c r="A1350" s="8" t="s">
        <v>5958</v>
      </c>
      <c r="B1350" s="8" t="s">
        <v>1759</v>
      </c>
      <c r="C1350" s="8" t="s">
        <v>51</v>
      </c>
      <c r="D1350" s="32" t="n">
        <v>46039</v>
      </c>
      <c r="E1350" s="8" t="n">
        <v>8</v>
      </c>
      <c r="F1350" s="8" t="str">
        <f aca="false">IF(E1350&gt;=9,"Promoter",IF(E1350&gt;=7,"Passive","Detractor"))</f>
        <v>Passive</v>
      </c>
    </row>
    <row r="1351" customFormat="false" ht="15" hidden="false" customHeight="false" outlineLevel="0" collapsed="false">
      <c r="A1351" s="8" t="s">
        <v>5959</v>
      </c>
      <c r="B1351" s="8" t="s">
        <v>2030</v>
      </c>
      <c r="C1351" s="8" t="s">
        <v>51</v>
      </c>
      <c r="D1351" s="32" t="n">
        <v>46040</v>
      </c>
      <c r="E1351" s="8" t="n">
        <v>10</v>
      </c>
      <c r="F1351" s="8" t="str">
        <f aca="false">IF(E1351&gt;=9,"Promoter",IF(E1351&gt;=7,"Passive","Detractor"))</f>
        <v>Promoter</v>
      </c>
    </row>
    <row r="1352" customFormat="false" ht="15" hidden="false" customHeight="false" outlineLevel="0" collapsed="false">
      <c r="A1352" s="8" t="s">
        <v>5960</v>
      </c>
      <c r="B1352" s="8" t="s">
        <v>835</v>
      </c>
      <c r="C1352" s="8" t="s">
        <v>53</v>
      </c>
      <c r="D1352" s="32" t="n">
        <v>46040</v>
      </c>
      <c r="E1352" s="8" t="n">
        <v>10</v>
      </c>
      <c r="F1352" s="8" t="str">
        <f aca="false">IF(E1352&gt;=9,"Promoter",IF(E1352&gt;=7,"Passive","Detractor"))</f>
        <v>Promoter</v>
      </c>
    </row>
    <row r="1353" customFormat="false" ht="15" hidden="false" customHeight="false" outlineLevel="0" collapsed="false">
      <c r="A1353" s="8" t="s">
        <v>5961</v>
      </c>
      <c r="B1353" s="8" t="s">
        <v>475</v>
      </c>
      <c r="C1353" s="8" t="s">
        <v>55</v>
      </c>
      <c r="D1353" s="32" t="n">
        <v>46040</v>
      </c>
      <c r="E1353" s="8" t="n">
        <v>6</v>
      </c>
      <c r="F1353" s="8" t="str">
        <f aca="false">IF(E1353&gt;=9,"Promoter",IF(E1353&gt;=7,"Passive","Detractor"))</f>
        <v>Detractor</v>
      </c>
    </row>
    <row r="1354" customFormat="false" ht="15" hidden="false" customHeight="false" outlineLevel="0" collapsed="false">
      <c r="A1354" s="8" t="s">
        <v>5962</v>
      </c>
      <c r="B1354" s="8" t="s">
        <v>721</v>
      </c>
      <c r="C1354" s="8" t="s">
        <v>53</v>
      </c>
      <c r="D1354" s="32" t="n">
        <v>46040</v>
      </c>
      <c r="E1354" s="8" t="n">
        <v>10</v>
      </c>
      <c r="F1354" s="8" t="str">
        <f aca="false">IF(E1354&gt;=9,"Promoter",IF(E1354&gt;=7,"Passive","Detractor"))</f>
        <v>Promoter</v>
      </c>
    </row>
    <row r="1355" customFormat="false" ht="15" hidden="false" customHeight="false" outlineLevel="0" collapsed="false">
      <c r="A1355" s="8" t="s">
        <v>5963</v>
      </c>
      <c r="B1355" s="8" t="s">
        <v>531</v>
      </c>
      <c r="C1355" s="8" t="s">
        <v>55</v>
      </c>
      <c r="D1355" s="32" t="n">
        <v>46040</v>
      </c>
      <c r="E1355" s="8" t="n">
        <v>10</v>
      </c>
      <c r="F1355" s="8" t="str">
        <f aca="false">IF(E1355&gt;=9,"Promoter",IF(E1355&gt;=7,"Passive","Detractor"))</f>
        <v>Promoter</v>
      </c>
    </row>
    <row r="1356" customFormat="false" ht="15" hidden="false" customHeight="false" outlineLevel="0" collapsed="false">
      <c r="A1356" s="8" t="s">
        <v>5964</v>
      </c>
      <c r="B1356" s="8" t="s">
        <v>353</v>
      </c>
      <c r="C1356" s="8" t="s">
        <v>55</v>
      </c>
      <c r="D1356" s="32" t="n">
        <v>46040</v>
      </c>
      <c r="E1356" s="8" t="n">
        <v>7</v>
      </c>
      <c r="F1356" s="8" t="str">
        <f aca="false">IF(E1356&gt;=9,"Promoter",IF(E1356&gt;=7,"Passive","Detractor"))</f>
        <v>Passive</v>
      </c>
    </row>
    <row r="1357" customFormat="false" ht="15" hidden="false" customHeight="false" outlineLevel="0" collapsed="false">
      <c r="A1357" s="8" t="s">
        <v>5965</v>
      </c>
      <c r="B1357" s="8" t="s">
        <v>1973</v>
      </c>
      <c r="C1357" s="8" t="s">
        <v>51</v>
      </c>
      <c r="D1357" s="32" t="n">
        <v>46040</v>
      </c>
      <c r="E1357" s="8" t="n">
        <v>10</v>
      </c>
      <c r="F1357" s="8" t="str">
        <f aca="false">IF(E1357&gt;=9,"Promoter",IF(E1357&gt;=7,"Passive","Detractor"))</f>
        <v>Promoter</v>
      </c>
    </row>
    <row r="1358" customFormat="false" ht="15" hidden="false" customHeight="false" outlineLevel="0" collapsed="false">
      <c r="A1358" s="8" t="s">
        <v>5966</v>
      </c>
      <c r="B1358" s="8" t="s">
        <v>2526</v>
      </c>
      <c r="C1358" s="8" t="s">
        <v>51</v>
      </c>
      <c r="D1358" s="32" t="n">
        <v>46040</v>
      </c>
      <c r="E1358" s="8" t="n">
        <v>9</v>
      </c>
      <c r="F1358" s="8" t="str">
        <f aca="false">IF(E1358&gt;=9,"Promoter",IF(E1358&gt;=7,"Passive","Detractor"))</f>
        <v>Promoter</v>
      </c>
    </row>
    <row r="1359" customFormat="false" ht="15" hidden="false" customHeight="false" outlineLevel="0" collapsed="false">
      <c r="A1359" s="8" t="s">
        <v>5967</v>
      </c>
      <c r="B1359" s="8" t="s">
        <v>2764</v>
      </c>
      <c r="C1359" s="8" t="s">
        <v>51</v>
      </c>
      <c r="D1359" s="32" t="n">
        <v>46040</v>
      </c>
      <c r="E1359" s="8" t="n">
        <v>6</v>
      </c>
      <c r="F1359" s="8" t="str">
        <f aca="false">IF(E1359&gt;=9,"Promoter",IF(E1359&gt;=7,"Passive","Detractor"))</f>
        <v>Detractor</v>
      </c>
    </row>
    <row r="1360" customFormat="false" ht="15" hidden="false" customHeight="false" outlineLevel="0" collapsed="false">
      <c r="A1360" s="8" t="s">
        <v>5968</v>
      </c>
      <c r="B1360" s="8" t="s">
        <v>3636</v>
      </c>
      <c r="C1360" s="8" t="s">
        <v>51</v>
      </c>
      <c r="D1360" s="32" t="n">
        <v>46040</v>
      </c>
      <c r="E1360" s="8" t="n">
        <v>3</v>
      </c>
      <c r="F1360" s="8" t="str">
        <f aca="false">IF(E1360&gt;=9,"Promoter",IF(E1360&gt;=7,"Passive","Detractor"))</f>
        <v>Detractor</v>
      </c>
    </row>
    <row r="1361" customFormat="false" ht="15" hidden="false" customHeight="false" outlineLevel="0" collapsed="false">
      <c r="A1361" s="8" t="s">
        <v>5969</v>
      </c>
      <c r="B1361" s="8" t="s">
        <v>3390</v>
      </c>
      <c r="C1361" s="8" t="s">
        <v>51</v>
      </c>
      <c r="D1361" s="32" t="n">
        <v>46041</v>
      </c>
      <c r="E1361" s="8" t="n">
        <v>9</v>
      </c>
      <c r="F1361" s="8" t="str">
        <f aca="false">IF(E1361&gt;=9,"Promoter",IF(E1361&gt;=7,"Passive","Detractor"))</f>
        <v>Promoter</v>
      </c>
    </row>
    <row r="1362" customFormat="false" ht="15" hidden="false" customHeight="false" outlineLevel="0" collapsed="false">
      <c r="A1362" s="8" t="s">
        <v>5970</v>
      </c>
      <c r="B1362" s="8" t="s">
        <v>1763</v>
      </c>
      <c r="C1362" s="8" t="s">
        <v>53</v>
      </c>
      <c r="D1362" s="32" t="n">
        <v>46041</v>
      </c>
      <c r="E1362" s="8" t="n">
        <v>8</v>
      </c>
      <c r="F1362" s="8" t="str">
        <f aca="false">IF(E1362&gt;=9,"Promoter",IF(E1362&gt;=7,"Passive","Detractor"))</f>
        <v>Passive</v>
      </c>
    </row>
    <row r="1363" customFormat="false" ht="15" hidden="false" customHeight="false" outlineLevel="0" collapsed="false">
      <c r="A1363" s="8" t="s">
        <v>5971</v>
      </c>
      <c r="B1363" s="8" t="s">
        <v>3552</v>
      </c>
      <c r="C1363" s="8" t="s">
        <v>51</v>
      </c>
      <c r="D1363" s="32" t="n">
        <v>46041</v>
      </c>
      <c r="E1363" s="8" t="n">
        <v>5</v>
      </c>
      <c r="F1363" s="8" t="str">
        <f aca="false">IF(E1363&gt;=9,"Promoter",IF(E1363&gt;=7,"Passive","Detractor"))</f>
        <v>Detractor</v>
      </c>
    </row>
    <row r="1364" customFormat="false" ht="15" hidden="false" customHeight="false" outlineLevel="0" collapsed="false">
      <c r="A1364" s="8" t="s">
        <v>5972</v>
      </c>
      <c r="B1364" s="8" t="s">
        <v>2007</v>
      </c>
      <c r="C1364" s="8" t="s">
        <v>51</v>
      </c>
      <c r="D1364" s="32" t="n">
        <v>46041</v>
      </c>
      <c r="E1364" s="8" t="n">
        <v>10</v>
      </c>
      <c r="F1364" s="8" t="str">
        <f aca="false">IF(E1364&gt;=9,"Promoter",IF(E1364&gt;=7,"Passive","Detractor"))</f>
        <v>Promoter</v>
      </c>
    </row>
    <row r="1365" customFormat="false" ht="15" hidden="false" customHeight="false" outlineLevel="0" collapsed="false">
      <c r="A1365" s="8" t="s">
        <v>5973</v>
      </c>
      <c r="B1365" s="8" t="s">
        <v>2850</v>
      </c>
      <c r="C1365" s="8" t="s">
        <v>51</v>
      </c>
      <c r="D1365" s="32" t="n">
        <v>46041</v>
      </c>
      <c r="E1365" s="8" t="n">
        <v>8</v>
      </c>
      <c r="F1365" s="8" t="str">
        <f aca="false">IF(E1365&gt;=9,"Promoter",IF(E1365&gt;=7,"Passive","Detractor"))</f>
        <v>Passive</v>
      </c>
    </row>
    <row r="1366" customFormat="false" ht="15" hidden="false" customHeight="false" outlineLevel="0" collapsed="false">
      <c r="A1366" s="8" t="s">
        <v>5974</v>
      </c>
      <c r="B1366" s="8" t="s">
        <v>2290</v>
      </c>
      <c r="C1366" s="8" t="s">
        <v>51</v>
      </c>
      <c r="D1366" s="32" t="n">
        <v>46041</v>
      </c>
      <c r="E1366" s="8" t="n">
        <v>10</v>
      </c>
      <c r="F1366" s="8" t="str">
        <f aca="false">IF(E1366&gt;=9,"Promoter",IF(E1366&gt;=7,"Passive","Detractor"))</f>
        <v>Promoter</v>
      </c>
    </row>
    <row r="1367" customFormat="false" ht="15" hidden="false" customHeight="false" outlineLevel="0" collapsed="false">
      <c r="A1367" s="8" t="s">
        <v>5975</v>
      </c>
      <c r="B1367" s="8" t="s">
        <v>753</v>
      </c>
      <c r="C1367" s="8" t="s">
        <v>53</v>
      </c>
      <c r="D1367" s="32" t="n">
        <v>46041</v>
      </c>
      <c r="E1367" s="8" t="n">
        <v>9</v>
      </c>
      <c r="F1367" s="8" t="str">
        <f aca="false">IF(E1367&gt;=9,"Promoter",IF(E1367&gt;=7,"Passive","Detractor"))</f>
        <v>Promoter</v>
      </c>
    </row>
    <row r="1368" customFormat="false" ht="15" hidden="false" customHeight="false" outlineLevel="0" collapsed="false">
      <c r="A1368" s="8" t="s">
        <v>5976</v>
      </c>
      <c r="B1368" s="8" t="s">
        <v>923</v>
      </c>
      <c r="C1368" s="8" t="s">
        <v>53</v>
      </c>
      <c r="D1368" s="32" t="n">
        <v>46041</v>
      </c>
      <c r="E1368" s="8" t="n">
        <v>9</v>
      </c>
      <c r="F1368" s="8" t="str">
        <f aca="false">IF(E1368&gt;=9,"Promoter",IF(E1368&gt;=7,"Passive","Detractor"))</f>
        <v>Promoter</v>
      </c>
    </row>
    <row r="1369" customFormat="false" ht="15" hidden="false" customHeight="false" outlineLevel="0" collapsed="false">
      <c r="A1369" s="8" t="s">
        <v>5977</v>
      </c>
      <c r="B1369" s="8" t="s">
        <v>2312</v>
      </c>
      <c r="C1369" s="8" t="s">
        <v>51</v>
      </c>
      <c r="D1369" s="32" t="n">
        <v>46041</v>
      </c>
      <c r="E1369" s="8" t="n">
        <v>10</v>
      </c>
      <c r="F1369" s="8" t="str">
        <f aca="false">IF(E1369&gt;=9,"Promoter",IF(E1369&gt;=7,"Passive","Detractor"))</f>
        <v>Promoter</v>
      </c>
    </row>
    <row r="1370" customFormat="false" ht="15" hidden="false" customHeight="false" outlineLevel="0" collapsed="false">
      <c r="A1370" s="8" t="s">
        <v>5978</v>
      </c>
      <c r="B1370" s="8" t="s">
        <v>1217</v>
      </c>
      <c r="C1370" s="8" t="s">
        <v>53</v>
      </c>
      <c r="D1370" s="32" t="n">
        <v>46041</v>
      </c>
      <c r="E1370" s="8" t="n">
        <v>8</v>
      </c>
      <c r="F1370" s="8" t="str">
        <f aca="false">IF(E1370&gt;=9,"Promoter",IF(E1370&gt;=7,"Passive","Detractor"))</f>
        <v>Passive</v>
      </c>
    </row>
    <row r="1371" customFormat="false" ht="15" hidden="false" customHeight="false" outlineLevel="0" collapsed="false">
      <c r="A1371" s="8" t="s">
        <v>5979</v>
      </c>
      <c r="B1371" s="8" t="s">
        <v>3824</v>
      </c>
      <c r="C1371" s="8" t="s">
        <v>51</v>
      </c>
      <c r="D1371" s="32" t="n">
        <v>46041</v>
      </c>
      <c r="E1371" s="8" t="n">
        <v>7</v>
      </c>
      <c r="F1371" s="8" t="str">
        <f aca="false">IF(E1371&gt;=9,"Promoter",IF(E1371&gt;=7,"Passive","Detractor"))</f>
        <v>Passive</v>
      </c>
    </row>
    <row r="1372" customFormat="false" ht="15" hidden="false" customHeight="false" outlineLevel="0" collapsed="false">
      <c r="A1372" s="8" t="s">
        <v>5980</v>
      </c>
      <c r="B1372" s="8" t="s">
        <v>1913</v>
      </c>
      <c r="C1372" s="8" t="s">
        <v>51</v>
      </c>
      <c r="D1372" s="32" t="n">
        <v>46041</v>
      </c>
      <c r="E1372" s="8" t="n">
        <v>6</v>
      </c>
      <c r="F1372" s="8" t="str">
        <f aca="false">IF(E1372&gt;=9,"Promoter",IF(E1372&gt;=7,"Passive","Detractor"))</f>
        <v>Detractor</v>
      </c>
    </row>
    <row r="1373" customFormat="false" ht="15" hidden="false" customHeight="false" outlineLevel="0" collapsed="false">
      <c r="A1373" s="8" t="s">
        <v>5981</v>
      </c>
      <c r="B1373" s="8" t="s">
        <v>527</v>
      </c>
      <c r="C1373" s="8" t="s">
        <v>55</v>
      </c>
      <c r="D1373" s="32" t="n">
        <v>46041</v>
      </c>
      <c r="E1373" s="8" t="n">
        <v>7</v>
      </c>
      <c r="F1373" s="8" t="str">
        <f aca="false">IF(E1373&gt;=9,"Promoter",IF(E1373&gt;=7,"Passive","Detractor"))</f>
        <v>Passive</v>
      </c>
    </row>
    <row r="1374" customFormat="false" ht="15" hidden="false" customHeight="false" outlineLevel="0" collapsed="false">
      <c r="A1374" s="8" t="s">
        <v>5982</v>
      </c>
      <c r="B1374" s="8" t="s">
        <v>2406</v>
      </c>
      <c r="C1374" s="8" t="s">
        <v>51</v>
      </c>
      <c r="D1374" s="32" t="n">
        <v>46042</v>
      </c>
      <c r="E1374" s="8" t="n">
        <v>9</v>
      </c>
      <c r="F1374" s="8" t="str">
        <f aca="false">IF(E1374&gt;=9,"Promoter",IF(E1374&gt;=7,"Passive","Detractor"))</f>
        <v>Promoter</v>
      </c>
    </row>
    <row r="1375" customFormat="false" ht="15" hidden="false" customHeight="false" outlineLevel="0" collapsed="false">
      <c r="A1375" s="8" t="s">
        <v>5983</v>
      </c>
      <c r="B1375" s="8" t="s">
        <v>2496</v>
      </c>
      <c r="C1375" s="8" t="s">
        <v>51</v>
      </c>
      <c r="D1375" s="32" t="n">
        <v>46042</v>
      </c>
      <c r="E1375" s="8" t="n">
        <v>7</v>
      </c>
      <c r="F1375" s="8" t="str">
        <f aca="false">IF(E1375&gt;=9,"Promoter",IF(E1375&gt;=7,"Passive","Detractor"))</f>
        <v>Passive</v>
      </c>
    </row>
    <row r="1376" customFormat="false" ht="15" hidden="false" customHeight="false" outlineLevel="0" collapsed="false">
      <c r="A1376" s="8" t="s">
        <v>5984</v>
      </c>
      <c r="B1376" s="8" t="s">
        <v>3394</v>
      </c>
      <c r="C1376" s="8" t="s">
        <v>51</v>
      </c>
      <c r="D1376" s="32" t="n">
        <v>46042</v>
      </c>
      <c r="E1376" s="8" t="n">
        <v>6</v>
      </c>
      <c r="F1376" s="8" t="str">
        <f aca="false">IF(E1376&gt;=9,"Promoter",IF(E1376&gt;=7,"Passive","Detractor"))</f>
        <v>Detractor</v>
      </c>
    </row>
    <row r="1377" customFormat="false" ht="15" hidden="false" customHeight="false" outlineLevel="0" collapsed="false">
      <c r="A1377" s="8" t="s">
        <v>5985</v>
      </c>
      <c r="B1377" s="8" t="s">
        <v>2130</v>
      </c>
      <c r="C1377" s="8" t="s">
        <v>51</v>
      </c>
      <c r="D1377" s="32" t="n">
        <v>46042</v>
      </c>
      <c r="E1377" s="8" t="n">
        <v>8</v>
      </c>
      <c r="F1377" s="8" t="str">
        <f aca="false">IF(E1377&gt;=9,"Promoter",IF(E1377&gt;=7,"Passive","Detractor"))</f>
        <v>Passive</v>
      </c>
    </row>
    <row r="1378" customFormat="false" ht="15" hidden="false" customHeight="false" outlineLevel="0" collapsed="false">
      <c r="A1378" s="8" t="s">
        <v>5986</v>
      </c>
      <c r="B1378" s="8" t="s">
        <v>4006</v>
      </c>
      <c r="C1378" s="8" t="s">
        <v>51</v>
      </c>
      <c r="D1378" s="32" t="n">
        <v>46042</v>
      </c>
      <c r="E1378" s="8" t="n">
        <v>9</v>
      </c>
      <c r="F1378" s="8" t="str">
        <f aca="false">IF(E1378&gt;=9,"Promoter",IF(E1378&gt;=7,"Passive","Detractor"))</f>
        <v>Promoter</v>
      </c>
    </row>
    <row r="1379" customFormat="false" ht="15" hidden="false" customHeight="false" outlineLevel="0" collapsed="false">
      <c r="A1379" s="8" t="s">
        <v>5987</v>
      </c>
      <c r="B1379" s="8" t="s">
        <v>3842</v>
      </c>
      <c r="C1379" s="8" t="s">
        <v>51</v>
      </c>
      <c r="D1379" s="32" t="n">
        <v>46042</v>
      </c>
      <c r="E1379" s="8" t="n">
        <v>10</v>
      </c>
      <c r="F1379" s="8" t="str">
        <f aca="false">IF(E1379&gt;=9,"Promoter",IF(E1379&gt;=7,"Passive","Detractor"))</f>
        <v>Promoter</v>
      </c>
    </row>
    <row r="1380" customFormat="false" ht="15" hidden="false" customHeight="false" outlineLevel="0" collapsed="false">
      <c r="A1380" s="8" t="s">
        <v>5988</v>
      </c>
      <c r="B1380" s="8" t="s">
        <v>3690</v>
      </c>
      <c r="C1380" s="8" t="s">
        <v>51</v>
      </c>
      <c r="D1380" s="32" t="n">
        <v>46042</v>
      </c>
      <c r="E1380" s="8" t="n">
        <v>9</v>
      </c>
      <c r="F1380" s="8" t="str">
        <f aca="false">IF(E1380&gt;=9,"Promoter",IF(E1380&gt;=7,"Passive","Detractor"))</f>
        <v>Promoter</v>
      </c>
    </row>
    <row r="1381" customFormat="false" ht="15" hidden="false" customHeight="false" outlineLevel="0" collapsed="false">
      <c r="A1381" s="8" t="s">
        <v>5989</v>
      </c>
      <c r="B1381" s="8" t="s">
        <v>314</v>
      </c>
      <c r="C1381" s="8" t="s">
        <v>55</v>
      </c>
      <c r="D1381" s="32" t="n">
        <v>46042</v>
      </c>
      <c r="E1381" s="8" t="n">
        <v>9</v>
      </c>
      <c r="F1381" s="8" t="str">
        <f aca="false">IF(E1381&gt;=9,"Promoter",IF(E1381&gt;=7,"Passive","Detractor"))</f>
        <v>Promoter</v>
      </c>
    </row>
    <row r="1382" customFormat="false" ht="15" hidden="false" customHeight="false" outlineLevel="0" collapsed="false">
      <c r="A1382" s="8" t="s">
        <v>5990</v>
      </c>
      <c r="B1382" s="8" t="s">
        <v>1235</v>
      </c>
      <c r="C1382" s="8" t="s">
        <v>53</v>
      </c>
      <c r="D1382" s="32" t="n">
        <v>46043</v>
      </c>
      <c r="E1382" s="8" t="n">
        <v>9</v>
      </c>
      <c r="F1382" s="8" t="str">
        <f aca="false">IF(E1382&gt;=9,"Promoter",IF(E1382&gt;=7,"Passive","Detractor"))</f>
        <v>Promoter</v>
      </c>
    </row>
    <row r="1383" customFormat="false" ht="15" hidden="false" customHeight="false" outlineLevel="0" collapsed="false">
      <c r="A1383" s="8" t="s">
        <v>5991</v>
      </c>
      <c r="B1383" s="8" t="s">
        <v>1897</v>
      </c>
      <c r="C1383" s="8" t="s">
        <v>51</v>
      </c>
      <c r="D1383" s="32" t="n">
        <v>46043</v>
      </c>
      <c r="E1383" s="8" t="n">
        <v>9</v>
      </c>
      <c r="F1383" s="8" t="str">
        <f aca="false">IF(E1383&gt;=9,"Promoter",IF(E1383&gt;=7,"Passive","Detractor"))</f>
        <v>Promoter</v>
      </c>
    </row>
    <row r="1384" customFormat="false" ht="15" hidden="false" customHeight="false" outlineLevel="0" collapsed="false">
      <c r="A1384" s="8" t="s">
        <v>5992</v>
      </c>
      <c r="B1384" s="8" t="s">
        <v>3500</v>
      </c>
      <c r="C1384" s="8" t="s">
        <v>51</v>
      </c>
      <c r="D1384" s="32" t="n">
        <v>46043</v>
      </c>
      <c r="E1384" s="8" t="n">
        <v>8</v>
      </c>
      <c r="F1384" s="8" t="str">
        <f aca="false">IF(E1384&gt;=9,"Promoter",IF(E1384&gt;=7,"Passive","Detractor"))</f>
        <v>Passive</v>
      </c>
    </row>
    <row r="1385" customFormat="false" ht="15" hidden="false" customHeight="false" outlineLevel="0" collapsed="false">
      <c r="A1385" s="8" t="s">
        <v>5993</v>
      </c>
      <c r="B1385" s="8" t="s">
        <v>2240</v>
      </c>
      <c r="C1385" s="8" t="s">
        <v>51</v>
      </c>
      <c r="D1385" s="32" t="n">
        <v>46043</v>
      </c>
      <c r="E1385" s="8" t="n">
        <v>10</v>
      </c>
      <c r="F1385" s="8" t="str">
        <f aca="false">IF(E1385&gt;=9,"Promoter",IF(E1385&gt;=7,"Passive","Detractor"))</f>
        <v>Promoter</v>
      </c>
    </row>
    <row r="1386" customFormat="false" ht="15" hidden="false" customHeight="false" outlineLevel="0" collapsed="false">
      <c r="A1386" s="8" t="s">
        <v>5994</v>
      </c>
      <c r="B1386" s="8" t="s">
        <v>3476</v>
      </c>
      <c r="C1386" s="8" t="s">
        <v>51</v>
      </c>
      <c r="D1386" s="32" t="n">
        <v>46043</v>
      </c>
      <c r="E1386" s="8" t="n">
        <v>10</v>
      </c>
      <c r="F1386" s="8" t="str">
        <f aca="false">IF(E1386&gt;=9,"Promoter",IF(E1386&gt;=7,"Passive","Detractor"))</f>
        <v>Promoter</v>
      </c>
    </row>
    <row r="1387" customFormat="false" ht="15" hidden="false" customHeight="false" outlineLevel="0" collapsed="false">
      <c r="A1387" s="8" t="s">
        <v>5995</v>
      </c>
      <c r="B1387" s="8" t="s">
        <v>3884</v>
      </c>
      <c r="C1387" s="8" t="s">
        <v>51</v>
      </c>
      <c r="D1387" s="32" t="n">
        <v>46043</v>
      </c>
      <c r="E1387" s="8" t="n">
        <v>9</v>
      </c>
      <c r="F1387" s="8" t="str">
        <f aca="false">IF(E1387&gt;=9,"Promoter",IF(E1387&gt;=7,"Passive","Detractor"))</f>
        <v>Promoter</v>
      </c>
    </row>
    <row r="1388" customFormat="false" ht="15" hidden="false" customHeight="false" outlineLevel="0" collapsed="false">
      <c r="A1388" s="8" t="s">
        <v>5996</v>
      </c>
      <c r="B1388" s="8" t="s">
        <v>537</v>
      </c>
      <c r="C1388" s="8" t="s">
        <v>55</v>
      </c>
      <c r="D1388" s="32" t="n">
        <v>46043</v>
      </c>
      <c r="E1388" s="8" t="n">
        <v>5</v>
      </c>
      <c r="F1388" s="8" t="str">
        <f aca="false">IF(E1388&gt;=9,"Promoter",IF(E1388&gt;=7,"Passive","Detractor"))</f>
        <v>Detractor</v>
      </c>
    </row>
    <row r="1389" customFormat="false" ht="15" hidden="false" customHeight="false" outlineLevel="0" collapsed="false">
      <c r="A1389" s="8" t="s">
        <v>5997</v>
      </c>
      <c r="B1389" s="8" t="s">
        <v>141</v>
      </c>
      <c r="C1389" s="8" t="s">
        <v>55</v>
      </c>
      <c r="D1389" s="32" t="n">
        <v>46043</v>
      </c>
      <c r="E1389" s="8" t="n">
        <v>6</v>
      </c>
      <c r="F1389" s="8" t="str">
        <f aca="false">IF(E1389&gt;=9,"Promoter",IF(E1389&gt;=7,"Passive","Detractor"))</f>
        <v>Detractor</v>
      </c>
    </row>
    <row r="1390" customFormat="false" ht="15" hidden="false" customHeight="false" outlineLevel="0" collapsed="false">
      <c r="A1390" s="8" t="s">
        <v>5998</v>
      </c>
      <c r="B1390" s="8" t="s">
        <v>5999</v>
      </c>
      <c r="C1390" s="8" t="s">
        <v>53</v>
      </c>
      <c r="D1390" s="32" t="n">
        <v>46043</v>
      </c>
      <c r="E1390" s="8" t="n">
        <v>7</v>
      </c>
      <c r="F1390" s="8" t="str">
        <f aca="false">IF(E1390&gt;=9,"Promoter",IF(E1390&gt;=7,"Passive","Detractor"))</f>
        <v>Passive</v>
      </c>
    </row>
    <row r="1391" customFormat="false" ht="15" hidden="false" customHeight="false" outlineLevel="0" collapsed="false">
      <c r="A1391" s="8" t="s">
        <v>6000</v>
      </c>
      <c r="B1391" s="8" t="s">
        <v>3124</v>
      </c>
      <c r="C1391" s="8" t="s">
        <v>51</v>
      </c>
      <c r="D1391" s="32" t="n">
        <v>46044</v>
      </c>
      <c r="E1391" s="8" t="n">
        <v>6</v>
      </c>
      <c r="F1391" s="8" t="str">
        <f aca="false">IF(E1391&gt;=9,"Promoter",IF(E1391&gt;=7,"Passive","Detractor"))</f>
        <v>Detractor</v>
      </c>
    </row>
    <row r="1392" customFormat="false" ht="15" hidden="false" customHeight="false" outlineLevel="0" collapsed="false">
      <c r="A1392" s="8" t="s">
        <v>6001</v>
      </c>
      <c r="B1392" s="8" t="s">
        <v>1761</v>
      </c>
      <c r="C1392" s="8" t="s">
        <v>51</v>
      </c>
      <c r="D1392" s="32" t="n">
        <v>46044</v>
      </c>
      <c r="E1392" s="8" t="n">
        <v>10</v>
      </c>
      <c r="F1392" s="8" t="str">
        <f aca="false">IF(E1392&gt;=9,"Promoter",IF(E1392&gt;=7,"Passive","Detractor"))</f>
        <v>Promoter</v>
      </c>
    </row>
    <row r="1393" customFormat="false" ht="15" hidden="false" customHeight="false" outlineLevel="0" collapsed="false">
      <c r="A1393" s="8" t="s">
        <v>6002</v>
      </c>
      <c r="B1393" s="8" t="s">
        <v>6003</v>
      </c>
      <c r="C1393" s="8" t="s">
        <v>51</v>
      </c>
      <c r="D1393" s="32" t="n">
        <v>46044</v>
      </c>
      <c r="E1393" s="8" t="n">
        <v>6</v>
      </c>
      <c r="F1393" s="8" t="str">
        <f aca="false">IF(E1393&gt;=9,"Promoter",IF(E1393&gt;=7,"Passive","Detractor"))</f>
        <v>Detractor</v>
      </c>
    </row>
    <row r="1394" customFormat="false" ht="15" hidden="false" customHeight="false" outlineLevel="0" collapsed="false">
      <c r="A1394" s="8" t="s">
        <v>6004</v>
      </c>
      <c r="B1394" s="8" t="s">
        <v>1947</v>
      </c>
      <c r="C1394" s="8" t="s">
        <v>51</v>
      </c>
      <c r="D1394" s="32" t="n">
        <v>46044</v>
      </c>
      <c r="E1394" s="8" t="n">
        <v>9</v>
      </c>
      <c r="F1394" s="8" t="str">
        <f aca="false">IF(E1394&gt;=9,"Promoter",IF(E1394&gt;=7,"Passive","Detractor"))</f>
        <v>Promoter</v>
      </c>
    </row>
    <row r="1395" customFormat="false" ht="15" hidden="false" customHeight="false" outlineLevel="0" collapsed="false">
      <c r="A1395" s="8" t="s">
        <v>6005</v>
      </c>
      <c r="B1395" s="8" t="s">
        <v>1159</v>
      </c>
      <c r="C1395" s="8" t="s">
        <v>53</v>
      </c>
      <c r="D1395" s="32" t="n">
        <v>46044</v>
      </c>
      <c r="E1395" s="8" t="n">
        <v>10</v>
      </c>
      <c r="F1395" s="8" t="str">
        <f aca="false">IF(E1395&gt;=9,"Promoter",IF(E1395&gt;=7,"Passive","Detractor"))</f>
        <v>Promoter</v>
      </c>
    </row>
    <row r="1396" customFormat="false" ht="15" hidden="false" customHeight="false" outlineLevel="0" collapsed="false">
      <c r="A1396" s="8" t="s">
        <v>6006</v>
      </c>
      <c r="B1396" s="8" t="s">
        <v>3074</v>
      </c>
      <c r="C1396" s="8" t="s">
        <v>51</v>
      </c>
      <c r="D1396" s="32" t="n">
        <v>46044</v>
      </c>
      <c r="E1396" s="8" t="n">
        <v>5</v>
      </c>
      <c r="F1396" s="8" t="str">
        <f aca="false">IF(E1396&gt;=9,"Promoter",IF(E1396&gt;=7,"Passive","Detractor"))</f>
        <v>Detractor</v>
      </c>
    </row>
    <row r="1397" customFormat="false" ht="15" hidden="false" customHeight="false" outlineLevel="0" collapsed="false">
      <c r="A1397" s="8" t="s">
        <v>6007</v>
      </c>
      <c r="B1397" s="8" t="s">
        <v>397</v>
      </c>
      <c r="C1397" s="8" t="s">
        <v>55</v>
      </c>
      <c r="D1397" s="32" t="n">
        <v>46044</v>
      </c>
      <c r="E1397" s="8" t="n">
        <v>9</v>
      </c>
      <c r="F1397" s="8" t="str">
        <f aca="false">IF(E1397&gt;=9,"Promoter",IF(E1397&gt;=7,"Passive","Detractor"))</f>
        <v>Promoter</v>
      </c>
    </row>
    <row r="1398" customFormat="false" ht="15" hidden="false" customHeight="false" outlineLevel="0" collapsed="false">
      <c r="A1398" s="8" t="s">
        <v>6008</v>
      </c>
      <c r="B1398" s="8" t="s">
        <v>433</v>
      </c>
      <c r="C1398" s="8" t="s">
        <v>55</v>
      </c>
      <c r="D1398" s="32" t="n">
        <v>46044</v>
      </c>
      <c r="E1398" s="8" t="n">
        <v>9</v>
      </c>
      <c r="F1398" s="8" t="str">
        <f aca="false">IF(E1398&gt;=9,"Promoter",IF(E1398&gt;=7,"Passive","Detractor"))</f>
        <v>Promoter</v>
      </c>
    </row>
    <row r="1399" customFormat="false" ht="15" hidden="false" customHeight="false" outlineLevel="0" collapsed="false">
      <c r="A1399" s="8" t="s">
        <v>6009</v>
      </c>
      <c r="B1399" s="8" t="s">
        <v>4485</v>
      </c>
      <c r="C1399" s="8" t="s">
        <v>51</v>
      </c>
      <c r="D1399" s="32" t="n">
        <v>46044</v>
      </c>
      <c r="E1399" s="8" t="n">
        <v>3</v>
      </c>
      <c r="F1399" s="8" t="str">
        <f aca="false">IF(E1399&gt;=9,"Promoter",IF(E1399&gt;=7,"Passive","Detractor"))</f>
        <v>Detractor</v>
      </c>
    </row>
    <row r="1400" customFormat="false" ht="15" hidden="false" customHeight="false" outlineLevel="0" collapsed="false">
      <c r="A1400" s="8" t="s">
        <v>6010</v>
      </c>
      <c r="B1400" s="8" t="s">
        <v>3542</v>
      </c>
      <c r="C1400" s="8" t="s">
        <v>51</v>
      </c>
      <c r="D1400" s="32" t="n">
        <v>46045</v>
      </c>
      <c r="E1400" s="8" t="n">
        <v>9</v>
      </c>
      <c r="F1400" s="8" t="str">
        <f aca="false">IF(E1400&gt;=9,"Promoter",IF(E1400&gt;=7,"Passive","Detractor"))</f>
        <v>Promoter</v>
      </c>
    </row>
    <row r="1401" customFormat="false" ht="15" hidden="false" customHeight="false" outlineLevel="0" collapsed="false">
      <c r="A1401" s="8" t="s">
        <v>6011</v>
      </c>
      <c r="B1401" s="8" t="s">
        <v>607</v>
      </c>
      <c r="C1401" s="8" t="s">
        <v>55</v>
      </c>
      <c r="D1401" s="32" t="n">
        <v>46045</v>
      </c>
      <c r="E1401" s="8" t="n">
        <v>8</v>
      </c>
      <c r="F1401" s="8" t="str">
        <f aca="false">IF(E1401&gt;=9,"Promoter",IF(E1401&gt;=7,"Passive","Detractor"))</f>
        <v>Passive</v>
      </c>
    </row>
    <row r="1402" customFormat="false" ht="15" hidden="false" customHeight="false" outlineLevel="0" collapsed="false">
      <c r="A1402" s="8" t="s">
        <v>6012</v>
      </c>
      <c r="B1402" s="8" t="s">
        <v>2518</v>
      </c>
      <c r="C1402" s="8" t="s">
        <v>51</v>
      </c>
      <c r="D1402" s="32" t="n">
        <v>46045</v>
      </c>
      <c r="E1402" s="8" t="n">
        <v>10</v>
      </c>
      <c r="F1402" s="8" t="str">
        <f aca="false">IF(E1402&gt;=9,"Promoter",IF(E1402&gt;=7,"Passive","Detractor"))</f>
        <v>Promoter</v>
      </c>
    </row>
    <row r="1403" customFormat="false" ht="15" hidden="false" customHeight="false" outlineLevel="0" collapsed="false">
      <c r="A1403" s="8" t="s">
        <v>6013</v>
      </c>
      <c r="B1403" s="8" t="s">
        <v>318</v>
      </c>
      <c r="C1403" s="8" t="s">
        <v>55</v>
      </c>
      <c r="D1403" s="32" t="n">
        <v>46045</v>
      </c>
      <c r="E1403" s="8" t="n">
        <v>10</v>
      </c>
      <c r="F1403" s="8" t="str">
        <f aca="false">IF(E1403&gt;=9,"Promoter",IF(E1403&gt;=7,"Passive","Detractor"))</f>
        <v>Promoter</v>
      </c>
    </row>
    <row r="1404" customFormat="false" ht="15" hidden="false" customHeight="false" outlineLevel="0" collapsed="false">
      <c r="A1404" s="8" t="s">
        <v>6014</v>
      </c>
      <c r="B1404" s="8" t="s">
        <v>4431</v>
      </c>
      <c r="C1404" s="8" t="s">
        <v>53</v>
      </c>
      <c r="D1404" s="32" t="n">
        <v>46045</v>
      </c>
      <c r="E1404" s="8" t="n">
        <v>4</v>
      </c>
      <c r="F1404" s="8" t="str">
        <f aca="false">IF(E1404&gt;=9,"Promoter",IF(E1404&gt;=7,"Passive","Detractor"))</f>
        <v>Detractor</v>
      </c>
    </row>
    <row r="1405" customFormat="false" ht="15" hidden="false" customHeight="false" outlineLevel="0" collapsed="false">
      <c r="A1405" s="8" t="s">
        <v>6015</v>
      </c>
      <c r="B1405" s="8" t="s">
        <v>3114</v>
      </c>
      <c r="C1405" s="8" t="s">
        <v>51</v>
      </c>
      <c r="D1405" s="32" t="n">
        <v>46045</v>
      </c>
      <c r="E1405" s="8" t="n">
        <v>9</v>
      </c>
      <c r="F1405" s="8" t="str">
        <f aca="false">IF(E1405&gt;=9,"Promoter",IF(E1405&gt;=7,"Passive","Detractor"))</f>
        <v>Promoter</v>
      </c>
    </row>
    <row r="1406" customFormat="false" ht="15" hidden="false" customHeight="false" outlineLevel="0" collapsed="false">
      <c r="A1406" s="8" t="s">
        <v>6016</v>
      </c>
      <c r="B1406" s="8" t="s">
        <v>4328</v>
      </c>
      <c r="C1406" s="8" t="s">
        <v>51</v>
      </c>
      <c r="D1406" s="32" t="n">
        <v>46045</v>
      </c>
      <c r="E1406" s="8" t="n">
        <v>7</v>
      </c>
      <c r="F1406" s="8" t="str">
        <f aca="false">IF(E1406&gt;=9,"Promoter",IF(E1406&gt;=7,"Passive","Detractor"))</f>
        <v>Passive</v>
      </c>
    </row>
    <row r="1407" customFormat="false" ht="15" hidden="false" customHeight="false" outlineLevel="0" collapsed="false">
      <c r="A1407" s="8" t="s">
        <v>6017</v>
      </c>
      <c r="B1407" s="8" t="s">
        <v>1427</v>
      </c>
      <c r="C1407" s="8" t="s">
        <v>53</v>
      </c>
      <c r="D1407" s="32" t="n">
        <v>46045</v>
      </c>
      <c r="E1407" s="8" t="n">
        <v>7</v>
      </c>
      <c r="F1407" s="8" t="str">
        <f aca="false">IF(E1407&gt;=9,"Promoter",IF(E1407&gt;=7,"Passive","Detractor"))</f>
        <v>Passive</v>
      </c>
    </row>
    <row r="1408" customFormat="false" ht="15" hidden="false" customHeight="false" outlineLevel="0" collapsed="false">
      <c r="A1408" s="8" t="s">
        <v>6018</v>
      </c>
      <c r="B1408" s="8" t="s">
        <v>3548</v>
      </c>
      <c r="C1408" s="8" t="s">
        <v>51</v>
      </c>
      <c r="D1408" s="32" t="n">
        <v>46046</v>
      </c>
      <c r="E1408" s="8" t="n">
        <v>10</v>
      </c>
      <c r="F1408" s="8" t="str">
        <f aca="false">IF(E1408&gt;=9,"Promoter",IF(E1408&gt;=7,"Passive","Detractor"))</f>
        <v>Promoter</v>
      </c>
    </row>
    <row r="1409" customFormat="false" ht="15" hidden="false" customHeight="false" outlineLevel="0" collapsed="false">
      <c r="A1409" s="8" t="s">
        <v>6019</v>
      </c>
      <c r="B1409" s="8" t="s">
        <v>6020</v>
      </c>
      <c r="C1409" s="8" t="s">
        <v>53</v>
      </c>
      <c r="D1409" s="32" t="n">
        <v>46046</v>
      </c>
      <c r="E1409" s="8" t="n">
        <v>9</v>
      </c>
      <c r="F1409" s="8" t="str">
        <f aca="false">IF(E1409&gt;=9,"Promoter",IF(E1409&gt;=7,"Passive","Detractor"))</f>
        <v>Promoter</v>
      </c>
    </row>
    <row r="1410" customFormat="false" ht="15" hidden="false" customHeight="false" outlineLevel="0" collapsed="false">
      <c r="A1410" s="8" t="s">
        <v>6021</v>
      </c>
      <c r="B1410" s="8" t="s">
        <v>4417</v>
      </c>
      <c r="C1410" s="8" t="s">
        <v>53</v>
      </c>
      <c r="D1410" s="32" t="n">
        <v>46046</v>
      </c>
      <c r="E1410" s="8" t="n">
        <v>8</v>
      </c>
      <c r="F1410" s="8" t="str">
        <f aca="false">IF(E1410&gt;=9,"Promoter",IF(E1410&gt;=7,"Passive","Detractor"))</f>
        <v>Passive</v>
      </c>
    </row>
    <row r="1411" customFormat="false" ht="15" hidden="false" customHeight="false" outlineLevel="0" collapsed="false">
      <c r="A1411" s="8" t="s">
        <v>6022</v>
      </c>
      <c r="B1411" s="8" t="s">
        <v>3260</v>
      </c>
      <c r="C1411" s="8" t="s">
        <v>51</v>
      </c>
      <c r="D1411" s="32" t="n">
        <v>46046</v>
      </c>
      <c r="E1411" s="8" t="n">
        <v>9</v>
      </c>
      <c r="F1411" s="8" t="str">
        <f aca="false">IF(E1411&gt;=9,"Promoter",IF(E1411&gt;=7,"Passive","Detractor"))</f>
        <v>Promoter</v>
      </c>
    </row>
    <row r="1412" customFormat="false" ht="15" hidden="false" customHeight="false" outlineLevel="0" collapsed="false">
      <c r="A1412" s="8" t="s">
        <v>6023</v>
      </c>
      <c r="B1412" s="8" t="s">
        <v>1083</v>
      </c>
      <c r="C1412" s="8" t="s">
        <v>53</v>
      </c>
      <c r="D1412" s="32" t="n">
        <v>46046</v>
      </c>
      <c r="E1412" s="8" t="n">
        <v>5</v>
      </c>
      <c r="F1412" s="8" t="str">
        <f aca="false">IF(E1412&gt;=9,"Promoter",IF(E1412&gt;=7,"Passive","Detractor"))</f>
        <v>Detractor</v>
      </c>
    </row>
    <row r="1413" customFormat="false" ht="15" hidden="false" customHeight="false" outlineLevel="0" collapsed="false">
      <c r="A1413" s="8" t="s">
        <v>6024</v>
      </c>
      <c r="B1413" s="8" t="s">
        <v>4368</v>
      </c>
      <c r="C1413" s="8" t="s">
        <v>51</v>
      </c>
      <c r="D1413" s="32" t="n">
        <v>46046</v>
      </c>
      <c r="E1413" s="8" t="n">
        <v>8</v>
      </c>
      <c r="F1413" s="8" t="str">
        <f aca="false">IF(E1413&gt;=9,"Promoter",IF(E1413&gt;=7,"Passive","Detractor"))</f>
        <v>Passive</v>
      </c>
    </row>
    <row r="1414" customFormat="false" ht="15" hidden="false" customHeight="false" outlineLevel="0" collapsed="false">
      <c r="A1414" s="8" t="s">
        <v>6025</v>
      </c>
      <c r="B1414" s="8" t="s">
        <v>2882</v>
      </c>
      <c r="C1414" s="8" t="s">
        <v>51</v>
      </c>
      <c r="D1414" s="32" t="n">
        <v>46046</v>
      </c>
      <c r="E1414" s="8" t="n">
        <v>5</v>
      </c>
      <c r="F1414" s="8" t="str">
        <f aca="false">IF(E1414&gt;=9,"Promoter",IF(E1414&gt;=7,"Passive","Detractor"))</f>
        <v>Detractor</v>
      </c>
    </row>
    <row r="1415" customFormat="false" ht="15" hidden="false" customHeight="false" outlineLevel="0" collapsed="false">
      <c r="A1415" s="8" t="s">
        <v>6026</v>
      </c>
      <c r="B1415" s="8" t="s">
        <v>4580</v>
      </c>
      <c r="C1415" s="8" t="s">
        <v>51</v>
      </c>
      <c r="D1415" s="32" t="n">
        <v>46047</v>
      </c>
      <c r="E1415" s="8" t="n">
        <v>7</v>
      </c>
      <c r="F1415" s="8" t="str">
        <f aca="false">IF(E1415&gt;=9,"Promoter",IF(E1415&gt;=7,"Passive","Detractor"))</f>
        <v>Passive</v>
      </c>
    </row>
    <row r="1416" customFormat="false" ht="15" hidden="false" customHeight="false" outlineLevel="0" collapsed="false">
      <c r="A1416" s="8" t="s">
        <v>6027</v>
      </c>
      <c r="B1416" s="8" t="s">
        <v>1247</v>
      </c>
      <c r="C1416" s="8" t="s">
        <v>53</v>
      </c>
      <c r="D1416" s="32" t="n">
        <v>46047</v>
      </c>
      <c r="E1416" s="8" t="n">
        <v>5</v>
      </c>
      <c r="F1416" s="8" t="str">
        <f aca="false">IF(E1416&gt;=9,"Promoter",IF(E1416&gt;=7,"Passive","Detractor"))</f>
        <v>Detractor</v>
      </c>
    </row>
    <row r="1417" customFormat="false" ht="15" hidden="false" customHeight="false" outlineLevel="0" collapsed="false">
      <c r="A1417" s="8" t="s">
        <v>6028</v>
      </c>
      <c r="B1417" s="8" t="s">
        <v>3740</v>
      </c>
      <c r="C1417" s="8" t="s">
        <v>51</v>
      </c>
      <c r="D1417" s="32" t="n">
        <v>46047</v>
      </c>
      <c r="E1417" s="8" t="n">
        <v>10</v>
      </c>
      <c r="F1417" s="8" t="str">
        <f aca="false">IF(E1417&gt;=9,"Promoter",IF(E1417&gt;=7,"Passive","Detractor"))</f>
        <v>Promoter</v>
      </c>
    </row>
    <row r="1418" customFormat="false" ht="15" hidden="false" customHeight="false" outlineLevel="0" collapsed="false">
      <c r="A1418" s="8" t="s">
        <v>6029</v>
      </c>
      <c r="B1418" s="8" t="s">
        <v>1335</v>
      </c>
      <c r="C1418" s="8" t="s">
        <v>53</v>
      </c>
      <c r="D1418" s="32" t="n">
        <v>46047</v>
      </c>
      <c r="E1418" s="8" t="n">
        <v>9</v>
      </c>
      <c r="F1418" s="8" t="str">
        <f aca="false">IF(E1418&gt;=9,"Promoter",IF(E1418&gt;=7,"Passive","Detractor"))</f>
        <v>Promoter</v>
      </c>
    </row>
    <row r="1419" customFormat="false" ht="15" hidden="false" customHeight="false" outlineLevel="0" collapsed="false">
      <c r="A1419" s="8" t="s">
        <v>6030</v>
      </c>
      <c r="B1419" s="8" t="s">
        <v>459</v>
      </c>
      <c r="C1419" s="8" t="s">
        <v>55</v>
      </c>
      <c r="D1419" s="32" t="n">
        <v>46047</v>
      </c>
      <c r="E1419" s="8" t="n">
        <v>8</v>
      </c>
      <c r="F1419" s="8" t="str">
        <f aca="false">IF(E1419&gt;=9,"Promoter",IF(E1419&gt;=7,"Passive","Detractor"))</f>
        <v>Passive</v>
      </c>
    </row>
    <row r="1420" customFormat="false" ht="15" hidden="false" customHeight="false" outlineLevel="0" collapsed="false">
      <c r="A1420" s="8" t="s">
        <v>6031</v>
      </c>
      <c r="B1420" s="8" t="s">
        <v>2338</v>
      </c>
      <c r="C1420" s="8" t="s">
        <v>51</v>
      </c>
      <c r="D1420" s="32" t="n">
        <v>46047</v>
      </c>
      <c r="E1420" s="8" t="n">
        <v>9</v>
      </c>
      <c r="F1420" s="8" t="str">
        <f aca="false">IF(E1420&gt;=9,"Promoter",IF(E1420&gt;=7,"Passive","Detractor"))</f>
        <v>Promoter</v>
      </c>
    </row>
    <row r="1421" customFormat="false" ht="15" hidden="false" customHeight="false" outlineLevel="0" collapsed="false">
      <c r="A1421" s="8" t="s">
        <v>6032</v>
      </c>
      <c r="B1421" s="8" t="s">
        <v>2280</v>
      </c>
      <c r="C1421" s="8" t="s">
        <v>51</v>
      </c>
      <c r="D1421" s="32" t="n">
        <v>46047</v>
      </c>
      <c r="E1421" s="8" t="n">
        <v>7</v>
      </c>
      <c r="F1421" s="8" t="str">
        <f aca="false">IF(E1421&gt;=9,"Promoter",IF(E1421&gt;=7,"Passive","Detractor"))</f>
        <v>Passive</v>
      </c>
    </row>
    <row r="1422" customFormat="false" ht="15" hidden="false" customHeight="false" outlineLevel="0" collapsed="false">
      <c r="A1422" s="8" t="s">
        <v>6033</v>
      </c>
      <c r="B1422" s="8" t="s">
        <v>647</v>
      </c>
      <c r="C1422" s="8" t="s">
        <v>53</v>
      </c>
      <c r="D1422" s="32" t="n">
        <v>46047</v>
      </c>
      <c r="E1422" s="8" t="n">
        <v>4</v>
      </c>
      <c r="F1422" s="8" t="str">
        <f aca="false">IF(E1422&gt;=9,"Promoter",IF(E1422&gt;=7,"Passive","Detractor"))</f>
        <v>Detractor</v>
      </c>
    </row>
    <row r="1423" customFormat="false" ht="15" hidden="false" customHeight="false" outlineLevel="0" collapsed="false">
      <c r="A1423" s="8" t="s">
        <v>6034</v>
      </c>
      <c r="B1423" s="8" t="s">
        <v>627</v>
      </c>
      <c r="C1423" s="8" t="s">
        <v>55</v>
      </c>
      <c r="D1423" s="32" t="n">
        <v>46047</v>
      </c>
      <c r="E1423" s="8" t="n">
        <v>7</v>
      </c>
      <c r="F1423" s="8" t="str">
        <f aca="false">IF(E1423&gt;=9,"Promoter",IF(E1423&gt;=7,"Passive","Detractor"))</f>
        <v>Passive</v>
      </c>
    </row>
    <row r="1424" customFormat="false" ht="15" hidden="false" customHeight="false" outlineLevel="0" collapsed="false">
      <c r="A1424" s="8" t="s">
        <v>6035</v>
      </c>
      <c r="B1424" s="8" t="s">
        <v>6036</v>
      </c>
      <c r="C1424" s="8" t="s">
        <v>51</v>
      </c>
      <c r="D1424" s="32" t="n">
        <v>46047</v>
      </c>
      <c r="E1424" s="8" t="n">
        <v>5</v>
      </c>
      <c r="F1424" s="8" t="str">
        <f aca="false">IF(E1424&gt;=9,"Promoter",IF(E1424&gt;=7,"Passive","Detractor"))</f>
        <v>Detractor</v>
      </c>
    </row>
    <row r="1425" customFormat="false" ht="15" hidden="false" customHeight="false" outlineLevel="0" collapsed="false">
      <c r="A1425" s="8" t="s">
        <v>6037</v>
      </c>
      <c r="B1425" s="8" t="s">
        <v>4020</v>
      </c>
      <c r="C1425" s="8" t="s">
        <v>51</v>
      </c>
      <c r="D1425" s="32" t="n">
        <v>46047</v>
      </c>
      <c r="E1425" s="8" t="n">
        <v>8</v>
      </c>
      <c r="F1425" s="8" t="str">
        <f aca="false">IF(E1425&gt;=9,"Promoter",IF(E1425&gt;=7,"Passive","Detractor"))</f>
        <v>Passive</v>
      </c>
    </row>
    <row r="1426" customFormat="false" ht="15" hidden="false" customHeight="false" outlineLevel="0" collapsed="false">
      <c r="A1426" s="8" t="s">
        <v>6038</v>
      </c>
      <c r="B1426" s="8" t="s">
        <v>749</v>
      </c>
      <c r="C1426" s="8" t="s">
        <v>55</v>
      </c>
      <c r="D1426" s="32" t="n">
        <v>46047</v>
      </c>
      <c r="E1426" s="8" t="n">
        <v>9</v>
      </c>
      <c r="F1426" s="8" t="str">
        <f aca="false">IF(E1426&gt;=9,"Promoter",IF(E1426&gt;=7,"Passive","Detractor"))</f>
        <v>Promoter</v>
      </c>
    </row>
    <row r="1427" customFormat="false" ht="15" hidden="false" customHeight="false" outlineLevel="0" collapsed="false">
      <c r="A1427" s="8" t="s">
        <v>6039</v>
      </c>
      <c r="B1427" s="8" t="s">
        <v>1809</v>
      </c>
      <c r="C1427" s="8" t="s">
        <v>51</v>
      </c>
      <c r="D1427" s="32" t="n">
        <v>46047</v>
      </c>
      <c r="E1427" s="8" t="n">
        <v>7</v>
      </c>
      <c r="F1427" s="8" t="str">
        <f aca="false">IF(E1427&gt;=9,"Promoter",IF(E1427&gt;=7,"Passive","Detractor"))</f>
        <v>Passive</v>
      </c>
    </row>
    <row r="1428" customFormat="false" ht="15" hidden="false" customHeight="false" outlineLevel="0" collapsed="false">
      <c r="A1428" s="8" t="s">
        <v>6040</v>
      </c>
      <c r="B1428" s="8" t="s">
        <v>1747</v>
      </c>
      <c r="C1428" s="8" t="s">
        <v>53</v>
      </c>
      <c r="D1428" s="32" t="n">
        <v>46054</v>
      </c>
      <c r="E1428" s="8" t="n">
        <v>7</v>
      </c>
      <c r="F1428" s="8" t="str">
        <f aca="false">IF(E1428&gt;=9,"Promoter",IF(E1428&gt;=7,"Passive","Detractor"))</f>
        <v>Passive</v>
      </c>
    </row>
    <row r="1429" customFormat="false" ht="15" hidden="false" customHeight="false" outlineLevel="0" collapsed="false">
      <c r="A1429" s="8" t="s">
        <v>6041</v>
      </c>
      <c r="B1429" s="8" t="s">
        <v>1917</v>
      </c>
      <c r="C1429" s="8" t="s">
        <v>51</v>
      </c>
      <c r="D1429" s="32" t="n">
        <v>46054</v>
      </c>
      <c r="E1429" s="8" t="n">
        <v>7</v>
      </c>
      <c r="F1429" s="8" t="str">
        <f aca="false">IF(E1429&gt;=9,"Promoter",IF(E1429&gt;=7,"Passive","Detractor"))</f>
        <v>Passive</v>
      </c>
    </row>
    <row r="1430" customFormat="false" ht="15" hidden="false" customHeight="false" outlineLevel="0" collapsed="false">
      <c r="A1430" s="8" t="s">
        <v>6042</v>
      </c>
      <c r="B1430" s="8" t="s">
        <v>1263</v>
      </c>
      <c r="C1430" s="8" t="s">
        <v>53</v>
      </c>
      <c r="D1430" s="32" t="n">
        <v>46054</v>
      </c>
      <c r="E1430" s="8" t="n">
        <v>8</v>
      </c>
      <c r="F1430" s="8" t="str">
        <f aca="false">IF(E1430&gt;=9,"Promoter",IF(E1430&gt;=7,"Passive","Detractor"))</f>
        <v>Passive</v>
      </c>
    </row>
    <row r="1431" customFormat="false" ht="15" hidden="false" customHeight="false" outlineLevel="0" collapsed="false">
      <c r="A1431" s="8" t="s">
        <v>6043</v>
      </c>
      <c r="B1431" s="8" t="s">
        <v>1145</v>
      </c>
      <c r="C1431" s="8" t="s">
        <v>53</v>
      </c>
      <c r="D1431" s="32" t="n">
        <v>46054</v>
      </c>
      <c r="E1431" s="8" t="n">
        <v>5</v>
      </c>
      <c r="F1431" s="8" t="str">
        <f aca="false">IF(E1431&gt;=9,"Promoter",IF(E1431&gt;=7,"Passive","Detractor"))</f>
        <v>Detractor</v>
      </c>
    </row>
    <row r="1432" customFormat="false" ht="15" hidden="false" customHeight="false" outlineLevel="0" collapsed="false">
      <c r="A1432" s="8" t="s">
        <v>6044</v>
      </c>
      <c r="B1432" s="8" t="s">
        <v>745</v>
      </c>
      <c r="C1432" s="8" t="s">
        <v>53</v>
      </c>
      <c r="D1432" s="32" t="n">
        <v>46054</v>
      </c>
      <c r="E1432" s="8" t="n">
        <v>6</v>
      </c>
      <c r="F1432" s="8" t="str">
        <f aca="false">IF(E1432&gt;=9,"Promoter",IF(E1432&gt;=7,"Passive","Detractor"))</f>
        <v>Detractor</v>
      </c>
    </row>
    <row r="1433" customFormat="false" ht="15" hidden="false" customHeight="false" outlineLevel="0" collapsed="false">
      <c r="A1433" s="8" t="s">
        <v>6045</v>
      </c>
      <c r="B1433" s="8" t="s">
        <v>1069</v>
      </c>
      <c r="C1433" s="8" t="s">
        <v>53</v>
      </c>
      <c r="D1433" s="32" t="n">
        <v>46054</v>
      </c>
      <c r="E1433" s="8" t="n">
        <v>8</v>
      </c>
      <c r="F1433" s="8" t="str">
        <f aca="false">IF(E1433&gt;=9,"Promoter",IF(E1433&gt;=7,"Passive","Detractor"))</f>
        <v>Passive</v>
      </c>
    </row>
    <row r="1434" customFormat="false" ht="15" hidden="false" customHeight="false" outlineLevel="0" collapsed="false">
      <c r="A1434" s="8" t="s">
        <v>6046</v>
      </c>
      <c r="B1434" s="8" t="s">
        <v>4326</v>
      </c>
      <c r="C1434" s="8" t="s">
        <v>51</v>
      </c>
      <c r="D1434" s="32" t="n">
        <v>46054</v>
      </c>
      <c r="E1434" s="8" t="n">
        <v>9</v>
      </c>
      <c r="F1434" s="8" t="str">
        <f aca="false">IF(E1434&gt;=9,"Promoter",IF(E1434&gt;=7,"Passive","Detractor"))</f>
        <v>Promoter</v>
      </c>
    </row>
    <row r="1435" customFormat="false" ht="15" hidden="false" customHeight="false" outlineLevel="0" collapsed="false">
      <c r="A1435" s="8" t="s">
        <v>6047</v>
      </c>
      <c r="B1435" s="8" t="s">
        <v>4136</v>
      </c>
      <c r="C1435" s="8" t="s">
        <v>51</v>
      </c>
      <c r="D1435" s="32" t="n">
        <v>46054</v>
      </c>
      <c r="E1435" s="8" t="n">
        <v>8</v>
      </c>
      <c r="F1435" s="8" t="str">
        <f aca="false">IF(E1435&gt;=9,"Promoter",IF(E1435&gt;=7,"Passive","Detractor"))</f>
        <v>Passive</v>
      </c>
    </row>
    <row r="1436" customFormat="false" ht="15" hidden="false" customHeight="false" outlineLevel="0" collapsed="false">
      <c r="A1436" s="8" t="s">
        <v>6048</v>
      </c>
      <c r="B1436" s="8" t="s">
        <v>2134</v>
      </c>
      <c r="C1436" s="8" t="s">
        <v>51</v>
      </c>
      <c r="D1436" s="32" t="n">
        <v>46054</v>
      </c>
      <c r="E1436" s="8" t="n">
        <v>6</v>
      </c>
      <c r="F1436" s="8" t="str">
        <f aca="false">IF(E1436&gt;=9,"Promoter",IF(E1436&gt;=7,"Passive","Detractor"))</f>
        <v>Detractor</v>
      </c>
    </row>
    <row r="1437" customFormat="false" ht="15" hidden="false" customHeight="false" outlineLevel="0" collapsed="false">
      <c r="A1437" s="8" t="s">
        <v>6049</v>
      </c>
      <c r="B1437" s="8" t="s">
        <v>3086</v>
      </c>
      <c r="C1437" s="8" t="s">
        <v>51</v>
      </c>
      <c r="D1437" s="32" t="n">
        <v>46054</v>
      </c>
      <c r="E1437" s="8" t="n">
        <v>6</v>
      </c>
      <c r="F1437" s="8" t="str">
        <f aca="false">IF(E1437&gt;=9,"Promoter",IF(E1437&gt;=7,"Passive","Detractor"))</f>
        <v>Detractor</v>
      </c>
    </row>
    <row r="1438" customFormat="false" ht="15" hidden="false" customHeight="false" outlineLevel="0" collapsed="false">
      <c r="A1438" s="8" t="s">
        <v>6050</v>
      </c>
      <c r="B1438" s="8" t="s">
        <v>3242</v>
      </c>
      <c r="C1438" s="8" t="s">
        <v>51</v>
      </c>
      <c r="D1438" s="32" t="n">
        <v>46054</v>
      </c>
      <c r="E1438" s="8" t="n">
        <v>9</v>
      </c>
      <c r="F1438" s="8" t="str">
        <f aca="false">IF(E1438&gt;=9,"Promoter",IF(E1438&gt;=7,"Passive","Detractor"))</f>
        <v>Promoter</v>
      </c>
    </row>
    <row r="1439" customFormat="false" ht="15" hidden="false" customHeight="false" outlineLevel="0" collapsed="false">
      <c r="A1439" s="8" t="s">
        <v>6051</v>
      </c>
      <c r="B1439" s="8" t="s">
        <v>3246</v>
      </c>
      <c r="C1439" s="8" t="s">
        <v>51</v>
      </c>
      <c r="D1439" s="32" t="n">
        <v>46054</v>
      </c>
      <c r="E1439" s="8" t="n">
        <v>6</v>
      </c>
      <c r="F1439" s="8" t="str">
        <f aca="false">IF(E1439&gt;=9,"Promoter",IF(E1439&gt;=7,"Passive","Detractor"))</f>
        <v>Detractor</v>
      </c>
    </row>
    <row r="1440" customFormat="false" ht="15" hidden="false" customHeight="false" outlineLevel="0" collapsed="false">
      <c r="A1440" s="8" t="s">
        <v>6052</v>
      </c>
      <c r="B1440" s="8" t="s">
        <v>4210</v>
      </c>
      <c r="C1440" s="8" t="s">
        <v>51</v>
      </c>
      <c r="D1440" s="32" t="n">
        <v>46055</v>
      </c>
      <c r="E1440" s="8" t="n">
        <v>6</v>
      </c>
      <c r="F1440" s="8" t="str">
        <f aca="false">IF(E1440&gt;=9,"Promoter",IF(E1440&gt;=7,"Passive","Detractor"))</f>
        <v>Detractor</v>
      </c>
    </row>
    <row r="1441" customFormat="false" ht="15" hidden="false" customHeight="false" outlineLevel="0" collapsed="false">
      <c r="A1441" s="8" t="s">
        <v>6053</v>
      </c>
      <c r="B1441" s="8" t="s">
        <v>1483</v>
      </c>
      <c r="C1441" s="8" t="s">
        <v>53</v>
      </c>
      <c r="D1441" s="32" t="n">
        <v>46055</v>
      </c>
      <c r="E1441" s="8" t="n">
        <v>7</v>
      </c>
      <c r="F1441" s="8" t="str">
        <f aca="false">IF(E1441&gt;=9,"Promoter",IF(E1441&gt;=7,"Passive","Detractor"))</f>
        <v>Passive</v>
      </c>
    </row>
    <row r="1442" customFormat="false" ht="15" hidden="false" customHeight="false" outlineLevel="0" collapsed="false">
      <c r="A1442" s="8" t="s">
        <v>6054</v>
      </c>
      <c r="B1442" s="8" t="s">
        <v>4090</v>
      </c>
      <c r="C1442" s="8" t="s">
        <v>51</v>
      </c>
      <c r="D1442" s="32" t="n">
        <v>46055</v>
      </c>
      <c r="E1442" s="8" t="n">
        <v>10</v>
      </c>
      <c r="F1442" s="8" t="str">
        <f aca="false">IF(E1442&gt;=9,"Promoter",IF(E1442&gt;=7,"Passive","Detractor"))</f>
        <v>Promoter</v>
      </c>
    </row>
    <row r="1443" customFormat="false" ht="15" hidden="false" customHeight="false" outlineLevel="0" collapsed="false">
      <c r="A1443" s="8" t="s">
        <v>6055</v>
      </c>
      <c r="B1443" s="8" t="s">
        <v>3970</v>
      </c>
      <c r="C1443" s="8" t="s">
        <v>51</v>
      </c>
      <c r="D1443" s="32" t="n">
        <v>46055</v>
      </c>
      <c r="E1443" s="8" t="n">
        <v>9</v>
      </c>
      <c r="F1443" s="8" t="str">
        <f aca="false">IF(E1443&gt;=9,"Promoter",IF(E1443&gt;=7,"Passive","Detractor"))</f>
        <v>Promoter</v>
      </c>
    </row>
    <row r="1444" customFormat="false" ht="15" hidden="false" customHeight="false" outlineLevel="0" collapsed="false">
      <c r="A1444" s="8" t="s">
        <v>6056</v>
      </c>
      <c r="B1444" s="8" t="s">
        <v>298</v>
      </c>
      <c r="C1444" s="8" t="s">
        <v>55</v>
      </c>
      <c r="D1444" s="32" t="n">
        <v>46055</v>
      </c>
      <c r="E1444" s="8" t="n">
        <v>7</v>
      </c>
      <c r="F1444" s="8" t="str">
        <f aca="false">IF(E1444&gt;=9,"Promoter",IF(E1444&gt;=7,"Passive","Detractor"))</f>
        <v>Passive</v>
      </c>
    </row>
    <row r="1445" customFormat="false" ht="15" hidden="false" customHeight="false" outlineLevel="0" collapsed="false">
      <c r="A1445" s="8" t="s">
        <v>6057</v>
      </c>
      <c r="B1445" s="8" t="s">
        <v>1975</v>
      </c>
      <c r="C1445" s="8" t="s">
        <v>51</v>
      </c>
      <c r="D1445" s="32" t="n">
        <v>46055</v>
      </c>
      <c r="E1445" s="8" t="n">
        <v>8</v>
      </c>
      <c r="F1445" s="8" t="str">
        <f aca="false">IF(E1445&gt;=9,"Promoter",IF(E1445&gt;=7,"Passive","Detractor"))</f>
        <v>Passive</v>
      </c>
    </row>
    <row r="1446" customFormat="false" ht="15" hidden="false" customHeight="false" outlineLevel="0" collapsed="false">
      <c r="A1446" s="8" t="s">
        <v>6058</v>
      </c>
      <c r="B1446" s="8" t="s">
        <v>4012</v>
      </c>
      <c r="C1446" s="8" t="s">
        <v>51</v>
      </c>
      <c r="D1446" s="32" t="n">
        <v>46055</v>
      </c>
      <c r="E1446" s="8" t="n">
        <v>9</v>
      </c>
      <c r="F1446" s="8" t="str">
        <f aca="false">IF(E1446&gt;=9,"Promoter",IF(E1446&gt;=7,"Passive","Detractor"))</f>
        <v>Promoter</v>
      </c>
    </row>
    <row r="1447" customFormat="false" ht="15" hidden="false" customHeight="false" outlineLevel="0" collapsed="false">
      <c r="A1447" s="8" t="s">
        <v>6059</v>
      </c>
      <c r="B1447" s="8" t="s">
        <v>2884</v>
      </c>
      <c r="C1447" s="8" t="s">
        <v>51</v>
      </c>
      <c r="D1447" s="32" t="n">
        <v>46055</v>
      </c>
      <c r="E1447" s="8" t="n">
        <v>7</v>
      </c>
      <c r="F1447" s="8" t="str">
        <f aca="false">IF(E1447&gt;=9,"Promoter",IF(E1447&gt;=7,"Passive","Detractor"))</f>
        <v>Passive</v>
      </c>
    </row>
    <row r="1448" customFormat="false" ht="15" hidden="false" customHeight="false" outlineLevel="0" collapsed="false">
      <c r="A1448" s="8" t="s">
        <v>6060</v>
      </c>
      <c r="B1448" s="8" t="s">
        <v>4200</v>
      </c>
      <c r="C1448" s="8" t="s">
        <v>51</v>
      </c>
      <c r="D1448" s="32" t="n">
        <v>46055</v>
      </c>
      <c r="E1448" s="8" t="n">
        <v>10</v>
      </c>
      <c r="F1448" s="8" t="str">
        <f aca="false">IF(E1448&gt;=9,"Promoter",IF(E1448&gt;=7,"Passive","Detractor"))</f>
        <v>Promoter</v>
      </c>
    </row>
    <row r="1449" customFormat="false" ht="15" hidden="false" customHeight="false" outlineLevel="0" collapsed="false">
      <c r="A1449" s="8" t="s">
        <v>6061</v>
      </c>
      <c r="B1449" s="8" t="s">
        <v>3526</v>
      </c>
      <c r="C1449" s="8" t="s">
        <v>51</v>
      </c>
      <c r="D1449" s="32" t="n">
        <v>46055</v>
      </c>
      <c r="E1449" s="8" t="n">
        <v>10</v>
      </c>
      <c r="F1449" s="8" t="str">
        <f aca="false">IF(E1449&gt;=9,"Promoter",IF(E1449&gt;=7,"Passive","Detractor"))</f>
        <v>Promoter</v>
      </c>
    </row>
    <row r="1450" customFormat="false" ht="15" hidden="false" customHeight="false" outlineLevel="0" collapsed="false">
      <c r="A1450" s="8" t="s">
        <v>6062</v>
      </c>
      <c r="B1450" s="8" t="s">
        <v>2632</v>
      </c>
      <c r="C1450" s="8" t="s">
        <v>51</v>
      </c>
      <c r="D1450" s="32" t="n">
        <v>46055</v>
      </c>
      <c r="E1450" s="8" t="n">
        <v>4</v>
      </c>
      <c r="F1450" s="8" t="str">
        <f aca="false">IF(E1450&gt;=9,"Promoter",IF(E1450&gt;=7,"Passive","Detractor"))</f>
        <v>Detractor</v>
      </c>
    </row>
    <row r="1451" customFormat="false" ht="15" hidden="false" customHeight="false" outlineLevel="0" collapsed="false">
      <c r="A1451" s="8" t="s">
        <v>6063</v>
      </c>
      <c r="B1451" s="8" t="s">
        <v>3384</v>
      </c>
      <c r="C1451" s="8" t="s">
        <v>51</v>
      </c>
      <c r="D1451" s="32" t="n">
        <v>46055</v>
      </c>
      <c r="E1451" s="8" t="n">
        <v>8</v>
      </c>
      <c r="F1451" s="8" t="str">
        <f aca="false">IF(E1451&gt;=9,"Promoter",IF(E1451&gt;=7,"Passive","Detractor"))</f>
        <v>Passive</v>
      </c>
    </row>
    <row r="1452" customFormat="false" ht="15" hidden="false" customHeight="false" outlineLevel="0" collapsed="false">
      <c r="A1452" s="8" t="s">
        <v>6064</v>
      </c>
      <c r="B1452" s="8" t="s">
        <v>2810</v>
      </c>
      <c r="C1452" s="8" t="s">
        <v>51</v>
      </c>
      <c r="D1452" s="32" t="n">
        <v>46056</v>
      </c>
      <c r="E1452" s="8" t="n">
        <v>9</v>
      </c>
      <c r="F1452" s="8" t="str">
        <f aca="false">IF(E1452&gt;=9,"Promoter",IF(E1452&gt;=7,"Passive","Detractor"))</f>
        <v>Promoter</v>
      </c>
    </row>
    <row r="1453" customFormat="false" ht="15" hidden="false" customHeight="false" outlineLevel="0" collapsed="false">
      <c r="A1453" s="8" t="s">
        <v>6065</v>
      </c>
      <c r="B1453" s="8" t="s">
        <v>1693</v>
      </c>
      <c r="C1453" s="8" t="s">
        <v>53</v>
      </c>
      <c r="D1453" s="32" t="n">
        <v>46056</v>
      </c>
      <c r="E1453" s="8" t="n">
        <v>8</v>
      </c>
      <c r="F1453" s="8" t="str">
        <f aca="false">IF(E1453&gt;=9,"Promoter",IF(E1453&gt;=7,"Passive","Detractor"))</f>
        <v>Passive</v>
      </c>
    </row>
    <row r="1454" customFormat="false" ht="15" hidden="false" customHeight="false" outlineLevel="0" collapsed="false">
      <c r="A1454" s="8" t="s">
        <v>6066</v>
      </c>
      <c r="B1454" s="8" t="s">
        <v>555</v>
      </c>
      <c r="C1454" s="8" t="s">
        <v>55</v>
      </c>
      <c r="D1454" s="32" t="n">
        <v>46056</v>
      </c>
      <c r="E1454" s="8" t="n">
        <v>8</v>
      </c>
      <c r="F1454" s="8" t="str">
        <f aca="false">IF(E1454&gt;=9,"Promoter",IF(E1454&gt;=7,"Passive","Detractor"))</f>
        <v>Passive</v>
      </c>
    </row>
    <row r="1455" customFormat="false" ht="15" hidden="false" customHeight="false" outlineLevel="0" collapsed="false">
      <c r="A1455" s="8" t="s">
        <v>6067</v>
      </c>
      <c r="B1455" s="8" t="s">
        <v>3852</v>
      </c>
      <c r="C1455" s="8" t="s">
        <v>51</v>
      </c>
      <c r="D1455" s="32" t="n">
        <v>46056</v>
      </c>
      <c r="E1455" s="8" t="n">
        <v>9</v>
      </c>
      <c r="F1455" s="8" t="str">
        <f aca="false">IF(E1455&gt;=9,"Promoter",IF(E1455&gt;=7,"Passive","Detractor"))</f>
        <v>Promoter</v>
      </c>
    </row>
    <row r="1456" customFormat="false" ht="15" hidden="false" customHeight="false" outlineLevel="0" collapsed="false">
      <c r="A1456" s="8" t="s">
        <v>6068</v>
      </c>
      <c r="B1456" s="8" t="s">
        <v>4220</v>
      </c>
      <c r="C1456" s="8" t="s">
        <v>51</v>
      </c>
      <c r="D1456" s="32" t="n">
        <v>46056</v>
      </c>
      <c r="E1456" s="8" t="n">
        <v>5</v>
      </c>
      <c r="F1456" s="8" t="str">
        <f aca="false">IF(E1456&gt;=9,"Promoter",IF(E1456&gt;=7,"Passive","Detractor"))</f>
        <v>Detractor</v>
      </c>
    </row>
    <row r="1457" customFormat="false" ht="15" hidden="false" customHeight="false" outlineLevel="0" collapsed="false">
      <c r="A1457" s="8" t="s">
        <v>6069</v>
      </c>
      <c r="B1457" s="8" t="s">
        <v>2906</v>
      </c>
      <c r="C1457" s="8" t="s">
        <v>51</v>
      </c>
      <c r="D1457" s="32" t="n">
        <v>46056</v>
      </c>
      <c r="E1457" s="8" t="n">
        <v>10</v>
      </c>
      <c r="F1457" s="8" t="str">
        <f aca="false">IF(E1457&gt;=9,"Promoter",IF(E1457&gt;=7,"Passive","Detractor"))</f>
        <v>Promoter</v>
      </c>
    </row>
    <row r="1458" customFormat="false" ht="15" hidden="false" customHeight="false" outlineLevel="0" collapsed="false">
      <c r="A1458" s="8" t="s">
        <v>6070</v>
      </c>
      <c r="B1458" s="8" t="s">
        <v>3996</v>
      </c>
      <c r="C1458" s="8" t="s">
        <v>51</v>
      </c>
      <c r="D1458" s="32" t="n">
        <v>46056</v>
      </c>
      <c r="E1458" s="8" t="n">
        <v>8</v>
      </c>
      <c r="F1458" s="8" t="str">
        <f aca="false">IF(E1458&gt;=9,"Promoter",IF(E1458&gt;=7,"Passive","Detractor"))</f>
        <v>Passive</v>
      </c>
    </row>
    <row r="1459" customFormat="false" ht="15" hidden="false" customHeight="false" outlineLevel="0" collapsed="false">
      <c r="A1459" s="8" t="s">
        <v>6071</v>
      </c>
      <c r="B1459" s="8" t="s">
        <v>925</v>
      </c>
      <c r="C1459" s="8" t="s">
        <v>53</v>
      </c>
      <c r="D1459" s="32" t="n">
        <v>46056</v>
      </c>
      <c r="E1459" s="8" t="n">
        <v>9</v>
      </c>
      <c r="F1459" s="8" t="str">
        <f aca="false">IF(E1459&gt;=9,"Promoter",IF(E1459&gt;=7,"Passive","Detractor"))</f>
        <v>Promoter</v>
      </c>
    </row>
    <row r="1460" customFormat="false" ht="15" hidden="false" customHeight="false" outlineLevel="0" collapsed="false">
      <c r="A1460" s="8" t="s">
        <v>6072</v>
      </c>
      <c r="B1460" s="8" t="s">
        <v>693</v>
      </c>
      <c r="C1460" s="8" t="s">
        <v>53</v>
      </c>
      <c r="D1460" s="32" t="n">
        <v>46056</v>
      </c>
      <c r="E1460" s="8" t="n">
        <v>9</v>
      </c>
      <c r="F1460" s="8" t="str">
        <f aca="false">IF(E1460&gt;=9,"Promoter",IF(E1460&gt;=7,"Passive","Detractor"))</f>
        <v>Promoter</v>
      </c>
    </row>
    <row r="1461" customFormat="false" ht="15" hidden="false" customHeight="false" outlineLevel="0" collapsed="false">
      <c r="A1461" s="8" t="s">
        <v>6073</v>
      </c>
      <c r="B1461" s="8" t="s">
        <v>4284</v>
      </c>
      <c r="C1461" s="8" t="s">
        <v>51</v>
      </c>
      <c r="D1461" s="32" t="n">
        <v>46056</v>
      </c>
      <c r="E1461" s="8" t="n">
        <v>7</v>
      </c>
      <c r="F1461" s="8" t="str">
        <f aca="false">IF(E1461&gt;=9,"Promoter",IF(E1461&gt;=7,"Passive","Detractor"))</f>
        <v>Passive</v>
      </c>
    </row>
    <row r="1462" customFormat="false" ht="15" hidden="false" customHeight="false" outlineLevel="0" collapsed="false">
      <c r="A1462" s="8" t="s">
        <v>6074</v>
      </c>
      <c r="B1462" s="8" t="s">
        <v>1455</v>
      </c>
      <c r="C1462" s="8" t="s">
        <v>53</v>
      </c>
      <c r="D1462" s="32" t="n">
        <v>46056</v>
      </c>
      <c r="E1462" s="8" t="n">
        <v>9</v>
      </c>
      <c r="F1462" s="8" t="str">
        <f aca="false">IF(E1462&gt;=9,"Promoter",IF(E1462&gt;=7,"Passive","Detractor"))</f>
        <v>Promoter</v>
      </c>
    </row>
    <row r="1463" customFormat="false" ht="15" hidden="false" customHeight="false" outlineLevel="0" collapsed="false">
      <c r="A1463" s="8" t="s">
        <v>6075</v>
      </c>
      <c r="B1463" s="8" t="s">
        <v>1885</v>
      </c>
      <c r="C1463" s="8" t="s">
        <v>51</v>
      </c>
      <c r="D1463" s="32" t="n">
        <v>46056</v>
      </c>
      <c r="E1463" s="8" t="n">
        <v>8</v>
      </c>
      <c r="F1463" s="8" t="str">
        <f aca="false">IF(E1463&gt;=9,"Promoter",IF(E1463&gt;=7,"Passive","Detractor"))</f>
        <v>Passive</v>
      </c>
    </row>
    <row r="1464" customFormat="false" ht="15" hidden="false" customHeight="false" outlineLevel="0" collapsed="false">
      <c r="A1464" s="8" t="s">
        <v>6076</v>
      </c>
      <c r="B1464" s="8" t="s">
        <v>2536</v>
      </c>
      <c r="C1464" s="8" t="s">
        <v>51</v>
      </c>
      <c r="D1464" s="32" t="n">
        <v>46056</v>
      </c>
      <c r="E1464" s="8" t="n">
        <v>9</v>
      </c>
      <c r="F1464" s="8" t="str">
        <f aca="false">IF(E1464&gt;=9,"Promoter",IF(E1464&gt;=7,"Passive","Detractor"))</f>
        <v>Promoter</v>
      </c>
    </row>
    <row r="1465" customFormat="false" ht="15" hidden="false" customHeight="false" outlineLevel="0" collapsed="false">
      <c r="A1465" s="8" t="s">
        <v>6077</v>
      </c>
      <c r="B1465" s="8" t="s">
        <v>3644</v>
      </c>
      <c r="C1465" s="8" t="s">
        <v>51</v>
      </c>
      <c r="D1465" s="32" t="n">
        <v>46056</v>
      </c>
      <c r="E1465" s="8" t="n">
        <v>7</v>
      </c>
      <c r="F1465" s="8" t="str">
        <f aca="false">IF(E1465&gt;=9,"Promoter",IF(E1465&gt;=7,"Passive","Detractor"))</f>
        <v>Passive</v>
      </c>
    </row>
    <row r="1466" customFormat="false" ht="15" hidden="false" customHeight="false" outlineLevel="0" collapsed="false">
      <c r="A1466" s="8" t="s">
        <v>6078</v>
      </c>
      <c r="B1466" s="8" t="s">
        <v>1835</v>
      </c>
      <c r="C1466" s="8" t="s">
        <v>51</v>
      </c>
      <c r="D1466" s="32" t="n">
        <v>46057</v>
      </c>
      <c r="E1466" s="8" t="n">
        <v>10</v>
      </c>
      <c r="F1466" s="8" t="str">
        <f aca="false">IF(E1466&gt;=9,"Promoter",IF(E1466&gt;=7,"Passive","Detractor"))</f>
        <v>Promoter</v>
      </c>
    </row>
    <row r="1467" customFormat="false" ht="15" hidden="false" customHeight="false" outlineLevel="0" collapsed="false">
      <c r="A1467" s="8" t="s">
        <v>6079</v>
      </c>
      <c r="B1467" s="8" t="s">
        <v>2592</v>
      </c>
      <c r="C1467" s="8" t="s">
        <v>51</v>
      </c>
      <c r="D1467" s="32" t="n">
        <v>46057</v>
      </c>
      <c r="E1467" s="8" t="n">
        <v>6</v>
      </c>
      <c r="F1467" s="8" t="str">
        <f aca="false">IF(E1467&gt;=9,"Promoter",IF(E1467&gt;=7,"Passive","Detractor"))</f>
        <v>Detractor</v>
      </c>
    </row>
    <row r="1468" customFormat="false" ht="15" hidden="false" customHeight="false" outlineLevel="0" collapsed="false">
      <c r="A1468" s="8" t="s">
        <v>6080</v>
      </c>
      <c r="B1468" s="8" t="s">
        <v>1677</v>
      </c>
      <c r="C1468" s="8" t="s">
        <v>53</v>
      </c>
      <c r="D1468" s="32" t="n">
        <v>46057</v>
      </c>
      <c r="E1468" s="8" t="n">
        <v>10</v>
      </c>
      <c r="F1468" s="8" t="str">
        <f aca="false">IF(E1468&gt;=9,"Promoter",IF(E1468&gt;=7,"Passive","Detractor"))</f>
        <v>Promoter</v>
      </c>
    </row>
    <row r="1469" customFormat="false" ht="15" hidden="false" customHeight="false" outlineLevel="0" collapsed="false">
      <c r="A1469" s="8" t="s">
        <v>6081</v>
      </c>
      <c r="B1469" s="8" t="s">
        <v>2682</v>
      </c>
      <c r="C1469" s="8" t="s">
        <v>51</v>
      </c>
      <c r="D1469" s="32" t="n">
        <v>46057</v>
      </c>
      <c r="E1469" s="8" t="n">
        <v>9</v>
      </c>
      <c r="F1469" s="8" t="str">
        <f aca="false">IF(E1469&gt;=9,"Promoter",IF(E1469&gt;=7,"Passive","Detractor"))</f>
        <v>Promoter</v>
      </c>
    </row>
    <row r="1470" customFormat="false" ht="15" hidden="false" customHeight="false" outlineLevel="0" collapsed="false">
      <c r="A1470" s="8" t="s">
        <v>6082</v>
      </c>
      <c r="B1470" s="8" t="s">
        <v>3210</v>
      </c>
      <c r="C1470" s="8" t="s">
        <v>51</v>
      </c>
      <c r="D1470" s="32" t="n">
        <v>46057</v>
      </c>
      <c r="E1470" s="8" t="n">
        <v>8</v>
      </c>
      <c r="F1470" s="8" t="str">
        <f aca="false">IF(E1470&gt;=9,"Promoter",IF(E1470&gt;=7,"Passive","Detractor"))</f>
        <v>Passive</v>
      </c>
    </row>
    <row r="1471" customFormat="false" ht="15" hidden="false" customHeight="false" outlineLevel="0" collapsed="false">
      <c r="A1471" s="8" t="s">
        <v>6083</v>
      </c>
      <c r="B1471" s="8" t="s">
        <v>1137</v>
      </c>
      <c r="C1471" s="8" t="s">
        <v>53</v>
      </c>
      <c r="D1471" s="32" t="n">
        <v>46057</v>
      </c>
      <c r="E1471" s="8" t="n">
        <v>10</v>
      </c>
      <c r="F1471" s="8" t="str">
        <f aca="false">IF(E1471&gt;=9,"Promoter",IF(E1471&gt;=7,"Passive","Detractor"))</f>
        <v>Promoter</v>
      </c>
    </row>
    <row r="1472" customFormat="false" ht="15" hidden="false" customHeight="false" outlineLevel="0" collapsed="false">
      <c r="A1472" s="8" t="s">
        <v>6084</v>
      </c>
      <c r="B1472" s="8" t="s">
        <v>3964</v>
      </c>
      <c r="C1472" s="8" t="s">
        <v>51</v>
      </c>
      <c r="D1472" s="32" t="n">
        <v>46057</v>
      </c>
      <c r="E1472" s="8" t="n">
        <v>6</v>
      </c>
      <c r="F1472" s="8" t="str">
        <f aca="false">IF(E1472&gt;=9,"Promoter",IF(E1472&gt;=7,"Passive","Detractor"))</f>
        <v>Detractor</v>
      </c>
    </row>
    <row r="1473" customFormat="false" ht="15" hidden="false" customHeight="false" outlineLevel="0" collapsed="false">
      <c r="A1473" s="8" t="s">
        <v>6085</v>
      </c>
      <c r="B1473" s="8" t="s">
        <v>4106</v>
      </c>
      <c r="C1473" s="8" t="s">
        <v>51</v>
      </c>
      <c r="D1473" s="32" t="n">
        <v>46057</v>
      </c>
      <c r="E1473" s="8" t="n">
        <v>10</v>
      </c>
      <c r="F1473" s="8" t="str">
        <f aca="false">IF(E1473&gt;=9,"Promoter",IF(E1473&gt;=7,"Passive","Detractor"))</f>
        <v>Promoter</v>
      </c>
    </row>
    <row r="1474" customFormat="false" ht="15" hidden="false" customHeight="false" outlineLevel="0" collapsed="false">
      <c r="A1474" s="8" t="s">
        <v>6086</v>
      </c>
      <c r="B1474" s="8" t="s">
        <v>3502</v>
      </c>
      <c r="C1474" s="8" t="s">
        <v>51</v>
      </c>
      <c r="D1474" s="32" t="n">
        <v>46057</v>
      </c>
      <c r="E1474" s="8" t="n">
        <v>6</v>
      </c>
      <c r="F1474" s="8" t="str">
        <f aca="false">IF(E1474&gt;=9,"Promoter",IF(E1474&gt;=7,"Passive","Detractor"))</f>
        <v>Detractor</v>
      </c>
    </row>
    <row r="1475" customFormat="false" ht="15" hidden="false" customHeight="false" outlineLevel="0" collapsed="false">
      <c r="A1475" s="8" t="s">
        <v>6087</v>
      </c>
      <c r="B1475" s="8" t="s">
        <v>3364</v>
      </c>
      <c r="C1475" s="8" t="s">
        <v>51</v>
      </c>
      <c r="D1475" s="32" t="n">
        <v>46057</v>
      </c>
      <c r="E1475" s="8" t="n">
        <v>8</v>
      </c>
      <c r="F1475" s="8" t="str">
        <f aca="false">IF(E1475&gt;=9,"Promoter",IF(E1475&gt;=7,"Passive","Detractor"))</f>
        <v>Passive</v>
      </c>
    </row>
    <row r="1476" customFormat="false" ht="15" hidden="false" customHeight="false" outlineLevel="0" collapsed="false">
      <c r="A1476" s="8" t="s">
        <v>6088</v>
      </c>
      <c r="B1476" s="8" t="s">
        <v>2948</v>
      </c>
      <c r="C1476" s="8" t="s">
        <v>51</v>
      </c>
      <c r="D1476" s="32" t="n">
        <v>46057</v>
      </c>
      <c r="E1476" s="8" t="n">
        <v>6</v>
      </c>
      <c r="F1476" s="8" t="str">
        <f aca="false">IF(E1476&gt;=9,"Promoter",IF(E1476&gt;=7,"Passive","Detractor"))</f>
        <v>Detractor</v>
      </c>
    </row>
    <row r="1477" customFormat="false" ht="15" hidden="false" customHeight="false" outlineLevel="0" collapsed="false">
      <c r="A1477" s="8" t="s">
        <v>6089</v>
      </c>
      <c r="B1477" s="8" t="s">
        <v>623</v>
      </c>
      <c r="C1477" s="8" t="s">
        <v>53</v>
      </c>
      <c r="D1477" s="32" t="n">
        <v>46057</v>
      </c>
      <c r="E1477" s="8" t="n">
        <v>7</v>
      </c>
      <c r="F1477" s="8" t="str">
        <f aca="false">IF(E1477&gt;=9,"Promoter",IF(E1477&gt;=7,"Passive","Detractor"))</f>
        <v>Passive</v>
      </c>
    </row>
    <row r="1478" customFormat="false" ht="15" hidden="false" customHeight="false" outlineLevel="0" collapsed="false">
      <c r="A1478" s="8" t="s">
        <v>6090</v>
      </c>
      <c r="B1478" s="8" t="s">
        <v>2576</v>
      </c>
      <c r="C1478" s="8" t="s">
        <v>51</v>
      </c>
      <c r="D1478" s="32" t="n">
        <v>46057</v>
      </c>
      <c r="E1478" s="8" t="n">
        <v>10</v>
      </c>
      <c r="F1478" s="8" t="str">
        <f aca="false">IF(E1478&gt;=9,"Promoter",IF(E1478&gt;=7,"Passive","Detractor"))</f>
        <v>Promoter</v>
      </c>
    </row>
    <row r="1479" customFormat="false" ht="15" hidden="false" customHeight="false" outlineLevel="0" collapsed="false">
      <c r="A1479" s="8" t="s">
        <v>6091</v>
      </c>
      <c r="B1479" s="8" t="s">
        <v>2712</v>
      </c>
      <c r="C1479" s="8" t="s">
        <v>51</v>
      </c>
      <c r="D1479" s="32" t="n">
        <v>46057</v>
      </c>
      <c r="E1479" s="8" t="n">
        <v>9</v>
      </c>
      <c r="F1479" s="8" t="str">
        <f aca="false">IF(E1479&gt;=9,"Promoter",IF(E1479&gt;=7,"Passive","Detractor"))</f>
        <v>Promoter</v>
      </c>
    </row>
    <row r="1480" customFormat="false" ht="15" hidden="false" customHeight="false" outlineLevel="0" collapsed="false">
      <c r="A1480" s="8" t="s">
        <v>6092</v>
      </c>
      <c r="B1480" s="8" t="s">
        <v>1375</v>
      </c>
      <c r="C1480" s="8" t="s">
        <v>53</v>
      </c>
      <c r="D1480" s="32" t="n">
        <v>46057</v>
      </c>
      <c r="E1480" s="8" t="n">
        <v>10</v>
      </c>
      <c r="F1480" s="8" t="str">
        <f aca="false">IF(E1480&gt;=9,"Promoter",IF(E1480&gt;=7,"Passive","Detractor"))</f>
        <v>Promoter</v>
      </c>
    </row>
    <row r="1481" customFormat="false" ht="15" hidden="false" customHeight="false" outlineLevel="0" collapsed="false">
      <c r="A1481" s="8" t="s">
        <v>6093</v>
      </c>
      <c r="B1481" s="8" t="s">
        <v>3830</v>
      </c>
      <c r="C1481" s="8" t="s">
        <v>51</v>
      </c>
      <c r="D1481" s="32" t="n">
        <v>46057</v>
      </c>
      <c r="E1481" s="8" t="n">
        <v>7</v>
      </c>
      <c r="F1481" s="8" t="str">
        <f aca="false">IF(E1481&gt;=9,"Promoter",IF(E1481&gt;=7,"Passive","Detractor"))</f>
        <v>Passive</v>
      </c>
    </row>
    <row r="1482" customFormat="false" ht="15" hidden="false" customHeight="false" outlineLevel="0" collapsed="false">
      <c r="A1482" s="8" t="s">
        <v>6094</v>
      </c>
      <c r="B1482" s="8" t="s">
        <v>3950</v>
      </c>
      <c r="C1482" s="8" t="s">
        <v>51</v>
      </c>
      <c r="D1482" s="32" t="n">
        <v>46057</v>
      </c>
      <c r="E1482" s="8" t="n">
        <v>10</v>
      </c>
      <c r="F1482" s="8" t="str">
        <f aca="false">IF(E1482&gt;=9,"Promoter",IF(E1482&gt;=7,"Passive","Detractor"))</f>
        <v>Promoter</v>
      </c>
    </row>
    <row r="1483" customFormat="false" ht="15" hidden="false" customHeight="false" outlineLevel="0" collapsed="false">
      <c r="A1483" s="8" t="s">
        <v>6095</v>
      </c>
      <c r="B1483" s="8" t="s">
        <v>357</v>
      </c>
      <c r="C1483" s="8" t="s">
        <v>55</v>
      </c>
      <c r="D1483" s="32" t="n">
        <v>46058</v>
      </c>
      <c r="E1483" s="8" t="n">
        <v>10</v>
      </c>
      <c r="F1483" s="8" t="str">
        <f aca="false">IF(E1483&gt;=9,"Promoter",IF(E1483&gt;=7,"Passive","Detractor"))</f>
        <v>Promoter</v>
      </c>
    </row>
    <row r="1484" customFormat="false" ht="15" hidden="false" customHeight="false" outlineLevel="0" collapsed="false">
      <c r="A1484" s="8" t="s">
        <v>6096</v>
      </c>
      <c r="B1484" s="8" t="s">
        <v>3860</v>
      </c>
      <c r="C1484" s="8" t="s">
        <v>51</v>
      </c>
      <c r="D1484" s="32" t="n">
        <v>46058</v>
      </c>
      <c r="E1484" s="8" t="n">
        <v>9</v>
      </c>
      <c r="F1484" s="8" t="str">
        <f aca="false">IF(E1484&gt;=9,"Promoter",IF(E1484&gt;=7,"Passive","Detractor"))</f>
        <v>Promoter</v>
      </c>
    </row>
    <row r="1485" customFormat="false" ht="15" hidden="false" customHeight="false" outlineLevel="0" collapsed="false">
      <c r="A1485" s="8" t="s">
        <v>6097</v>
      </c>
      <c r="B1485" s="8" t="s">
        <v>1075</v>
      </c>
      <c r="C1485" s="8" t="s">
        <v>53</v>
      </c>
      <c r="D1485" s="32" t="n">
        <v>46058</v>
      </c>
      <c r="E1485" s="8" t="n">
        <v>6</v>
      </c>
      <c r="F1485" s="8" t="str">
        <f aca="false">IF(E1485&gt;=9,"Promoter",IF(E1485&gt;=7,"Passive","Detractor"))</f>
        <v>Detractor</v>
      </c>
    </row>
    <row r="1486" customFormat="false" ht="15" hidden="false" customHeight="false" outlineLevel="0" collapsed="false">
      <c r="A1486" s="8" t="s">
        <v>6098</v>
      </c>
      <c r="B1486" s="8" t="s">
        <v>1439</v>
      </c>
      <c r="C1486" s="8" t="s">
        <v>53</v>
      </c>
      <c r="D1486" s="32" t="n">
        <v>46058</v>
      </c>
      <c r="E1486" s="8" t="n">
        <v>10</v>
      </c>
      <c r="F1486" s="8" t="str">
        <f aca="false">IF(E1486&gt;=9,"Promoter",IF(E1486&gt;=7,"Passive","Detractor"))</f>
        <v>Promoter</v>
      </c>
    </row>
    <row r="1487" customFormat="false" ht="15" hidden="false" customHeight="false" outlineLevel="0" collapsed="false">
      <c r="A1487" s="8" t="s">
        <v>6099</v>
      </c>
      <c r="B1487" s="8" t="s">
        <v>1035</v>
      </c>
      <c r="C1487" s="8" t="s">
        <v>53</v>
      </c>
      <c r="D1487" s="32" t="n">
        <v>46058</v>
      </c>
      <c r="E1487" s="8" t="n">
        <v>8</v>
      </c>
      <c r="F1487" s="8" t="str">
        <f aca="false">IF(E1487&gt;=9,"Promoter",IF(E1487&gt;=7,"Passive","Detractor"))</f>
        <v>Passive</v>
      </c>
    </row>
    <row r="1488" customFormat="false" ht="15" hidden="false" customHeight="false" outlineLevel="0" collapsed="false">
      <c r="A1488" s="8" t="s">
        <v>6100</v>
      </c>
      <c r="B1488" s="8" t="s">
        <v>1175</v>
      </c>
      <c r="C1488" s="8" t="s">
        <v>53</v>
      </c>
      <c r="D1488" s="32" t="n">
        <v>46058</v>
      </c>
      <c r="E1488" s="8" t="n">
        <v>8</v>
      </c>
      <c r="F1488" s="8" t="str">
        <f aca="false">IF(E1488&gt;=9,"Promoter",IF(E1488&gt;=7,"Passive","Detractor"))</f>
        <v>Passive</v>
      </c>
    </row>
    <row r="1489" customFormat="false" ht="15" hidden="false" customHeight="false" outlineLevel="0" collapsed="false">
      <c r="A1489" s="8" t="s">
        <v>6101</v>
      </c>
      <c r="B1489" s="8" t="s">
        <v>1631</v>
      </c>
      <c r="C1489" s="8" t="s">
        <v>53</v>
      </c>
      <c r="D1489" s="32" t="n">
        <v>46058</v>
      </c>
      <c r="E1489" s="8" t="n">
        <v>10</v>
      </c>
      <c r="F1489" s="8" t="str">
        <f aca="false">IF(E1489&gt;=9,"Promoter",IF(E1489&gt;=7,"Passive","Detractor"))</f>
        <v>Promoter</v>
      </c>
    </row>
    <row r="1490" customFormat="false" ht="15" hidden="false" customHeight="false" outlineLevel="0" collapsed="false">
      <c r="A1490" s="8" t="s">
        <v>6102</v>
      </c>
      <c r="B1490" s="8" t="s">
        <v>2088</v>
      </c>
      <c r="C1490" s="8" t="s">
        <v>51</v>
      </c>
      <c r="D1490" s="32" t="n">
        <v>46059</v>
      </c>
      <c r="E1490" s="8" t="n">
        <v>9</v>
      </c>
      <c r="F1490" s="8" t="str">
        <f aca="false">IF(E1490&gt;=9,"Promoter",IF(E1490&gt;=7,"Passive","Detractor"))</f>
        <v>Promoter</v>
      </c>
    </row>
    <row r="1491" customFormat="false" ht="15" hidden="false" customHeight="false" outlineLevel="0" collapsed="false">
      <c r="A1491" s="8" t="s">
        <v>6103</v>
      </c>
      <c r="B1491" s="8" t="s">
        <v>6104</v>
      </c>
      <c r="C1491" s="8" t="s">
        <v>53</v>
      </c>
      <c r="D1491" s="32" t="n">
        <v>46059</v>
      </c>
      <c r="E1491" s="8" t="n">
        <v>5</v>
      </c>
      <c r="F1491" s="8" t="str">
        <f aca="false">IF(E1491&gt;=9,"Promoter",IF(E1491&gt;=7,"Passive","Detractor"))</f>
        <v>Detractor</v>
      </c>
    </row>
    <row r="1492" customFormat="false" ht="15" hidden="false" customHeight="false" outlineLevel="0" collapsed="false">
      <c r="A1492" s="8" t="s">
        <v>6105</v>
      </c>
      <c r="B1492" s="8" t="s">
        <v>1101</v>
      </c>
      <c r="C1492" s="8" t="s">
        <v>53</v>
      </c>
      <c r="D1492" s="32" t="n">
        <v>46059</v>
      </c>
      <c r="E1492" s="8" t="n">
        <v>10</v>
      </c>
      <c r="F1492" s="8" t="str">
        <f aca="false">IF(E1492&gt;=9,"Promoter",IF(E1492&gt;=7,"Passive","Detractor"))</f>
        <v>Promoter</v>
      </c>
    </row>
    <row r="1493" customFormat="false" ht="15" hidden="false" customHeight="false" outlineLevel="0" collapsed="false">
      <c r="A1493" s="8" t="s">
        <v>6106</v>
      </c>
      <c r="B1493" s="8" t="s">
        <v>897</v>
      </c>
      <c r="C1493" s="8" t="s">
        <v>53</v>
      </c>
      <c r="D1493" s="32" t="n">
        <v>46059</v>
      </c>
      <c r="E1493" s="8" t="n">
        <v>8</v>
      </c>
      <c r="F1493" s="8" t="str">
        <f aca="false">IF(E1493&gt;=9,"Promoter",IF(E1493&gt;=7,"Passive","Detractor"))</f>
        <v>Passive</v>
      </c>
    </row>
    <row r="1494" customFormat="false" ht="15" hidden="false" customHeight="false" outlineLevel="0" collapsed="false">
      <c r="A1494" s="8" t="s">
        <v>6107</v>
      </c>
      <c r="B1494" s="8" t="s">
        <v>2734</v>
      </c>
      <c r="C1494" s="8" t="s">
        <v>51</v>
      </c>
      <c r="D1494" s="32" t="n">
        <v>46059</v>
      </c>
      <c r="E1494" s="8" t="n">
        <v>10</v>
      </c>
      <c r="F1494" s="8" t="str">
        <f aca="false">IF(E1494&gt;=9,"Promoter",IF(E1494&gt;=7,"Passive","Detractor"))</f>
        <v>Promoter</v>
      </c>
    </row>
    <row r="1495" customFormat="false" ht="15" hidden="false" customHeight="false" outlineLevel="0" collapsed="false">
      <c r="A1495" s="8" t="s">
        <v>6108</v>
      </c>
      <c r="B1495" s="8" t="s">
        <v>4158</v>
      </c>
      <c r="C1495" s="8" t="s">
        <v>51</v>
      </c>
      <c r="D1495" s="32" t="n">
        <v>46059</v>
      </c>
      <c r="E1495" s="8" t="n">
        <v>10</v>
      </c>
      <c r="F1495" s="8" t="str">
        <f aca="false">IF(E1495&gt;=9,"Promoter",IF(E1495&gt;=7,"Passive","Detractor"))</f>
        <v>Promoter</v>
      </c>
    </row>
    <row r="1496" customFormat="false" ht="15" hidden="false" customHeight="false" outlineLevel="0" collapsed="false">
      <c r="A1496" s="8" t="s">
        <v>6109</v>
      </c>
      <c r="B1496" s="8" t="s">
        <v>1579</v>
      </c>
      <c r="C1496" s="8" t="s">
        <v>53</v>
      </c>
      <c r="D1496" s="32" t="n">
        <v>46059</v>
      </c>
      <c r="E1496" s="8" t="n">
        <v>10</v>
      </c>
      <c r="F1496" s="8" t="str">
        <f aca="false">IF(E1496&gt;=9,"Promoter",IF(E1496&gt;=7,"Passive","Detractor"))</f>
        <v>Promoter</v>
      </c>
    </row>
    <row r="1497" customFormat="false" ht="15" hidden="false" customHeight="false" outlineLevel="0" collapsed="false">
      <c r="A1497" s="8" t="s">
        <v>6110</v>
      </c>
      <c r="B1497" s="8" t="s">
        <v>4304</v>
      </c>
      <c r="C1497" s="8" t="s">
        <v>51</v>
      </c>
      <c r="D1497" s="32" t="n">
        <v>46059</v>
      </c>
      <c r="E1497" s="8" t="n">
        <v>9</v>
      </c>
      <c r="F1497" s="8" t="str">
        <f aca="false">IF(E1497&gt;=9,"Promoter",IF(E1497&gt;=7,"Passive","Detractor"))</f>
        <v>Promoter</v>
      </c>
    </row>
    <row r="1498" customFormat="false" ht="15" hidden="false" customHeight="false" outlineLevel="0" collapsed="false">
      <c r="A1498" s="8" t="s">
        <v>6111</v>
      </c>
      <c r="B1498" s="8" t="s">
        <v>3342</v>
      </c>
      <c r="C1498" s="8" t="s">
        <v>51</v>
      </c>
      <c r="D1498" s="32" t="n">
        <v>46059</v>
      </c>
      <c r="E1498" s="8" t="n">
        <v>9</v>
      </c>
      <c r="F1498" s="8" t="str">
        <f aca="false">IF(E1498&gt;=9,"Promoter",IF(E1498&gt;=7,"Passive","Detractor"))</f>
        <v>Promoter</v>
      </c>
    </row>
    <row r="1499" customFormat="false" ht="15" hidden="false" customHeight="false" outlineLevel="0" collapsed="false">
      <c r="A1499" s="8" t="s">
        <v>6112</v>
      </c>
      <c r="B1499" s="8" t="s">
        <v>427</v>
      </c>
      <c r="C1499" s="8" t="s">
        <v>55</v>
      </c>
      <c r="D1499" s="32" t="n">
        <v>46059</v>
      </c>
      <c r="E1499" s="8" t="n">
        <v>5</v>
      </c>
      <c r="F1499" s="8" t="str">
        <f aca="false">IF(E1499&gt;=9,"Promoter",IF(E1499&gt;=7,"Passive","Detractor"))</f>
        <v>Detractor</v>
      </c>
    </row>
    <row r="1500" customFormat="false" ht="15" hidden="false" customHeight="false" outlineLevel="0" collapsed="false">
      <c r="A1500" s="8" t="s">
        <v>6113</v>
      </c>
      <c r="B1500" s="8" t="s">
        <v>4469</v>
      </c>
      <c r="C1500" s="8" t="s">
        <v>53</v>
      </c>
      <c r="D1500" s="32" t="n">
        <v>46059</v>
      </c>
      <c r="E1500" s="8" t="n">
        <v>6</v>
      </c>
      <c r="F1500" s="8" t="str">
        <f aca="false">IF(E1500&gt;=9,"Promoter",IF(E1500&gt;=7,"Passive","Detractor"))</f>
        <v>Detractor</v>
      </c>
    </row>
    <row r="1501" customFormat="false" ht="15" hidden="false" customHeight="false" outlineLevel="0" collapsed="false">
      <c r="A1501" s="8" t="s">
        <v>6114</v>
      </c>
      <c r="B1501" s="8" t="s">
        <v>1597</v>
      </c>
      <c r="C1501" s="8" t="s">
        <v>53</v>
      </c>
      <c r="D1501" s="32" t="n">
        <v>46059</v>
      </c>
      <c r="E1501" s="8" t="n">
        <v>10</v>
      </c>
      <c r="F1501" s="8" t="str">
        <f aca="false">IF(E1501&gt;=9,"Promoter",IF(E1501&gt;=7,"Passive","Detractor"))</f>
        <v>Promoter</v>
      </c>
    </row>
    <row r="1502" customFormat="false" ht="15" hidden="false" customHeight="false" outlineLevel="0" collapsed="false">
      <c r="A1502" s="8" t="s">
        <v>6115</v>
      </c>
      <c r="B1502" s="8" t="s">
        <v>3008</v>
      </c>
      <c r="C1502" s="8" t="s">
        <v>51</v>
      </c>
      <c r="D1502" s="32" t="n">
        <v>46059</v>
      </c>
      <c r="E1502" s="8" t="n">
        <v>10</v>
      </c>
      <c r="F1502" s="8" t="str">
        <f aca="false">IF(E1502&gt;=9,"Promoter",IF(E1502&gt;=7,"Passive","Detractor"))</f>
        <v>Promoter</v>
      </c>
    </row>
    <row r="1503" customFormat="false" ht="15" hidden="false" customHeight="false" outlineLevel="0" collapsed="false">
      <c r="A1503" s="8" t="s">
        <v>6116</v>
      </c>
      <c r="B1503" s="8" t="s">
        <v>4519</v>
      </c>
      <c r="C1503" s="8" t="s">
        <v>51</v>
      </c>
      <c r="D1503" s="32" t="n">
        <v>46059</v>
      </c>
      <c r="E1503" s="8" t="n">
        <v>7</v>
      </c>
      <c r="F1503" s="8" t="str">
        <f aca="false">IF(E1503&gt;=9,"Promoter",IF(E1503&gt;=7,"Passive","Detractor"))</f>
        <v>Passive</v>
      </c>
    </row>
    <row r="1504" customFormat="false" ht="15" hidden="false" customHeight="false" outlineLevel="0" collapsed="false">
      <c r="A1504" s="8" t="s">
        <v>6117</v>
      </c>
      <c r="B1504" s="8" t="s">
        <v>4518</v>
      </c>
      <c r="C1504" s="8" t="s">
        <v>51</v>
      </c>
      <c r="D1504" s="32" t="n">
        <v>46060</v>
      </c>
      <c r="E1504" s="8" t="n">
        <v>2</v>
      </c>
      <c r="F1504" s="8" t="str">
        <f aca="false">IF(E1504&gt;=9,"Promoter",IF(E1504&gt;=7,"Passive","Detractor"))</f>
        <v>Detractor</v>
      </c>
    </row>
    <row r="1505" customFormat="false" ht="15" hidden="false" customHeight="false" outlineLevel="0" collapsed="false">
      <c r="A1505" s="8" t="s">
        <v>6118</v>
      </c>
      <c r="B1505" s="8" t="s">
        <v>1773</v>
      </c>
      <c r="C1505" s="8" t="s">
        <v>53</v>
      </c>
      <c r="D1505" s="32" t="n">
        <v>46060</v>
      </c>
      <c r="E1505" s="8" t="n">
        <v>6</v>
      </c>
      <c r="F1505" s="8" t="str">
        <f aca="false">IF(E1505&gt;=9,"Promoter",IF(E1505&gt;=7,"Passive","Detractor"))</f>
        <v>Detractor</v>
      </c>
    </row>
    <row r="1506" customFormat="false" ht="15" hidden="false" customHeight="false" outlineLevel="0" collapsed="false">
      <c r="A1506" s="8" t="s">
        <v>6119</v>
      </c>
      <c r="B1506" s="8" t="s">
        <v>4026</v>
      </c>
      <c r="C1506" s="8" t="s">
        <v>51</v>
      </c>
      <c r="D1506" s="32" t="n">
        <v>46060</v>
      </c>
      <c r="E1506" s="8" t="n">
        <v>9</v>
      </c>
      <c r="F1506" s="8" t="str">
        <f aca="false">IF(E1506&gt;=9,"Promoter",IF(E1506&gt;=7,"Passive","Detractor"))</f>
        <v>Promoter</v>
      </c>
    </row>
    <row r="1507" customFormat="false" ht="15" hidden="false" customHeight="false" outlineLevel="0" collapsed="false">
      <c r="A1507" s="8" t="s">
        <v>6120</v>
      </c>
      <c r="B1507" s="8" t="s">
        <v>3862</v>
      </c>
      <c r="C1507" s="8" t="s">
        <v>51</v>
      </c>
      <c r="D1507" s="32" t="n">
        <v>46060</v>
      </c>
      <c r="E1507" s="8" t="n">
        <v>9</v>
      </c>
      <c r="F1507" s="8" t="str">
        <f aca="false">IF(E1507&gt;=9,"Promoter",IF(E1507&gt;=7,"Passive","Detractor"))</f>
        <v>Promoter</v>
      </c>
    </row>
    <row r="1508" customFormat="false" ht="15" hidden="false" customHeight="false" outlineLevel="0" collapsed="false">
      <c r="A1508" s="8" t="s">
        <v>6121</v>
      </c>
      <c r="B1508" s="8" t="s">
        <v>3864</v>
      </c>
      <c r="C1508" s="8" t="s">
        <v>51</v>
      </c>
      <c r="D1508" s="32" t="n">
        <v>46060</v>
      </c>
      <c r="E1508" s="8" t="n">
        <v>9</v>
      </c>
      <c r="F1508" s="8" t="str">
        <f aca="false">IF(E1508&gt;=9,"Promoter",IF(E1508&gt;=7,"Passive","Detractor"))</f>
        <v>Promoter</v>
      </c>
    </row>
    <row r="1509" customFormat="false" ht="15" hidden="false" customHeight="false" outlineLevel="0" collapsed="false">
      <c r="A1509" s="8" t="s">
        <v>6122</v>
      </c>
      <c r="B1509" s="8" t="s">
        <v>793</v>
      </c>
      <c r="C1509" s="8" t="s">
        <v>53</v>
      </c>
      <c r="D1509" s="32" t="n">
        <v>46060</v>
      </c>
      <c r="E1509" s="8" t="n">
        <v>10</v>
      </c>
      <c r="F1509" s="8" t="str">
        <f aca="false">IF(E1509&gt;=9,"Promoter",IF(E1509&gt;=7,"Passive","Detractor"))</f>
        <v>Promoter</v>
      </c>
    </row>
    <row r="1510" customFormat="false" ht="15" hidden="false" customHeight="false" outlineLevel="0" collapsed="false">
      <c r="A1510" s="8" t="s">
        <v>6123</v>
      </c>
      <c r="B1510" s="8" t="s">
        <v>377</v>
      </c>
      <c r="C1510" s="8" t="s">
        <v>55</v>
      </c>
      <c r="D1510" s="32" t="n">
        <v>46060</v>
      </c>
      <c r="E1510" s="8" t="n">
        <v>10</v>
      </c>
      <c r="F1510" s="8" t="str">
        <f aca="false">IF(E1510&gt;=9,"Promoter",IF(E1510&gt;=7,"Passive","Detractor"))</f>
        <v>Promoter</v>
      </c>
    </row>
    <row r="1511" customFormat="false" ht="15" hidden="false" customHeight="false" outlineLevel="0" collapsed="false">
      <c r="A1511" s="8" t="s">
        <v>6124</v>
      </c>
      <c r="B1511" s="8" t="s">
        <v>2602</v>
      </c>
      <c r="C1511" s="8" t="s">
        <v>51</v>
      </c>
      <c r="D1511" s="32" t="n">
        <v>46060</v>
      </c>
      <c r="E1511" s="8" t="n">
        <v>7</v>
      </c>
      <c r="F1511" s="8" t="str">
        <f aca="false">IF(E1511&gt;=9,"Promoter",IF(E1511&gt;=7,"Passive","Detractor"))</f>
        <v>Passive</v>
      </c>
    </row>
    <row r="1512" customFormat="false" ht="15" hidden="false" customHeight="false" outlineLevel="0" collapsed="false">
      <c r="A1512" s="8" t="s">
        <v>6125</v>
      </c>
      <c r="B1512" s="8" t="s">
        <v>3058</v>
      </c>
      <c r="C1512" s="8" t="s">
        <v>51</v>
      </c>
      <c r="D1512" s="32" t="n">
        <v>46060</v>
      </c>
      <c r="E1512" s="8" t="n">
        <v>6</v>
      </c>
      <c r="F1512" s="8" t="str">
        <f aca="false">IF(E1512&gt;=9,"Promoter",IF(E1512&gt;=7,"Passive","Detractor"))</f>
        <v>Detractor</v>
      </c>
    </row>
    <row r="1513" customFormat="false" ht="15" hidden="false" customHeight="false" outlineLevel="0" collapsed="false">
      <c r="A1513" s="8" t="s">
        <v>6126</v>
      </c>
      <c r="B1513" s="8" t="s">
        <v>571</v>
      </c>
      <c r="C1513" s="8" t="s">
        <v>53</v>
      </c>
      <c r="D1513" s="32" t="n">
        <v>46060</v>
      </c>
      <c r="E1513" s="8" t="n">
        <v>8</v>
      </c>
      <c r="F1513" s="8" t="str">
        <f aca="false">IF(E1513&gt;=9,"Promoter",IF(E1513&gt;=7,"Passive","Detractor"))</f>
        <v>Passive</v>
      </c>
    </row>
    <row r="1514" customFormat="false" ht="15" hidden="false" customHeight="false" outlineLevel="0" collapsed="false">
      <c r="A1514" s="8" t="s">
        <v>6127</v>
      </c>
      <c r="B1514" s="8" t="s">
        <v>1863</v>
      </c>
      <c r="C1514" s="8" t="s">
        <v>51</v>
      </c>
      <c r="D1514" s="32" t="n">
        <v>46060</v>
      </c>
      <c r="E1514" s="8" t="n">
        <v>10</v>
      </c>
      <c r="F1514" s="8" t="str">
        <f aca="false">IF(E1514&gt;=9,"Promoter",IF(E1514&gt;=7,"Passive","Detractor"))</f>
        <v>Promoter</v>
      </c>
    </row>
    <row r="1515" customFormat="false" ht="15" hidden="false" customHeight="false" outlineLevel="0" collapsed="false">
      <c r="A1515" s="8" t="s">
        <v>6128</v>
      </c>
      <c r="B1515" s="8" t="s">
        <v>3300</v>
      </c>
      <c r="C1515" s="8" t="s">
        <v>51</v>
      </c>
      <c r="D1515" s="32" t="n">
        <v>46060</v>
      </c>
      <c r="E1515" s="8" t="n">
        <v>10</v>
      </c>
      <c r="F1515" s="8" t="str">
        <f aca="false">IF(E1515&gt;=9,"Promoter",IF(E1515&gt;=7,"Passive","Detractor"))</f>
        <v>Promoter</v>
      </c>
    </row>
    <row r="1516" customFormat="false" ht="15" hidden="false" customHeight="false" outlineLevel="0" collapsed="false">
      <c r="A1516" s="8" t="s">
        <v>6129</v>
      </c>
      <c r="B1516" s="8" t="s">
        <v>2392</v>
      </c>
      <c r="C1516" s="8" t="s">
        <v>51</v>
      </c>
      <c r="D1516" s="32" t="n">
        <v>46060</v>
      </c>
      <c r="E1516" s="8" t="n">
        <v>10</v>
      </c>
      <c r="F1516" s="8" t="str">
        <f aca="false">IF(E1516&gt;=9,"Promoter",IF(E1516&gt;=7,"Passive","Detractor"))</f>
        <v>Promoter</v>
      </c>
    </row>
    <row r="1517" customFormat="false" ht="15" hidden="false" customHeight="false" outlineLevel="0" collapsed="false">
      <c r="A1517" s="8" t="s">
        <v>6130</v>
      </c>
      <c r="B1517" s="8" t="s">
        <v>2252</v>
      </c>
      <c r="C1517" s="8" t="s">
        <v>51</v>
      </c>
      <c r="D1517" s="32" t="n">
        <v>46061</v>
      </c>
      <c r="E1517" s="8" t="n">
        <v>10</v>
      </c>
      <c r="F1517" s="8" t="str">
        <f aca="false">IF(E1517&gt;=9,"Promoter",IF(E1517&gt;=7,"Passive","Detractor"))</f>
        <v>Promoter</v>
      </c>
    </row>
    <row r="1518" customFormat="false" ht="15" hidden="false" customHeight="false" outlineLevel="0" collapsed="false">
      <c r="A1518" s="8" t="s">
        <v>6131</v>
      </c>
      <c r="B1518" s="8" t="s">
        <v>3808</v>
      </c>
      <c r="C1518" s="8" t="s">
        <v>51</v>
      </c>
      <c r="D1518" s="32" t="n">
        <v>46061</v>
      </c>
      <c r="E1518" s="8" t="n">
        <v>10</v>
      </c>
      <c r="F1518" s="8" t="str">
        <f aca="false">IF(E1518&gt;=9,"Promoter",IF(E1518&gt;=7,"Passive","Detractor"))</f>
        <v>Promoter</v>
      </c>
    </row>
    <row r="1519" customFormat="false" ht="15" hidden="false" customHeight="false" outlineLevel="0" collapsed="false">
      <c r="A1519" s="8" t="s">
        <v>6132</v>
      </c>
      <c r="B1519" s="8" t="s">
        <v>1577</v>
      </c>
      <c r="C1519" s="8" t="s">
        <v>53</v>
      </c>
      <c r="D1519" s="32" t="n">
        <v>46061</v>
      </c>
      <c r="E1519" s="8" t="n">
        <v>6</v>
      </c>
      <c r="F1519" s="8" t="str">
        <f aca="false">IF(E1519&gt;=9,"Promoter",IF(E1519&gt;=7,"Passive","Detractor"))</f>
        <v>Detractor</v>
      </c>
    </row>
    <row r="1520" customFormat="false" ht="15" hidden="false" customHeight="false" outlineLevel="0" collapsed="false">
      <c r="A1520" s="8" t="s">
        <v>6133</v>
      </c>
      <c r="B1520" s="8" t="s">
        <v>3730</v>
      </c>
      <c r="C1520" s="8" t="s">
        <v>51</v>
      </c>
      <c r="D1520" s="32" t="n">
        <v>46061</v>
      </c>
      <c r="E1520" s="8" t="n">
        <v>8</v>
      </c>
      <c r="F1520" s="8" t="str">
        <f aca="false">IF(E1520&gt;=9,"Promoter",IF(E1520&gt;=7,"Passive","Detractor"))</f>
        <v>Passive</v>
      </c>
    </row>
    <row r="1521" customFormat="false" ht="15" hidden="false" customHeight="false" outlineLevel="0" collapsed="false">
      <c r="A1521" s="8" t="s">
        <v>6134</v>
      </c>
      <c r="B1521" s="8" t="s">
        <v>3678</v>
      </c>
      <c r="C1521" s="8" t="s">
        <v>51</v>
      </c>
      <c r="D1521" s="32" t="n">
        <v>46061</v>
      </c>
      <c r="E1521" s="8" t="n">
        <v>9</v>
      </c>
      <c r="F1521" s="8" t="str">
        <f aca="false">IF(E1521&gt;=9,"Promoter",IF(E1521&gt;=7,"Passive","Detractor"))</f>
        <v>Promoter</v>
      </c>
    </row>
    <row r="1522" customFormat="false" ht="15" hidden="false" customHeight="false" outlineLevel="0" collapsed="false">
      <c r="A1522" s="8" t="s">
        <v>6135</v>
      </c>
      <c r="B1522" s="8" t="s">
        <v>863</v>
      </c>
      <c r="C1522" s="8" t="s">
        <v>53</v>
      </c>
      <c r="D1522" s="32" t="n">
        <v>46061</v>
      </c>
      <c r="E1522" s="8" t="n">
        <v>9</v>
      </c>
      <c r="F1522" s="8" t="str">
        <f aca="false">IF(E1522&gt;=9,"Promoter",IF(E1522&gt;=7,"Passive","Detractor"))</f>
        <v>Promoter</v>
      </c>
    </row>
    <row r="1523" customFormat="false" ht="15" hidden="false" customHeight="false" outlineLevel="0" collapsed="false">
      <c r="A1523" s="8" t="s">
        <v>6136</v>
      </c>
      <c r="B1523" s="8" t="s">
        <v>507</v>
      </c>
      <c r="C1523" s="8" t="s">
        <v>55</v>
      </c>
      <c r="D1523" s="32" t="n">
        <v>46061</v>
      </c>
      <c r="E1523" s="8" t="n">
        <v>10</v>
      </c>
      <c r="F1523" s="8" t="str">
        <f aca="false">IF(E1523&gt;=9,"Promoter",IF(E1523&gt;=7,"Passive","Detractor"))</f>
        <v>Promoter</v>
      </c>
    </row>
    <row r="1524" customFormat="false" ht="15" hidden="false" customHeight="false" outlineLevel="0" collapsed="false">
      <c r="A1524" s="8" t="s">
        <v>6137</v>
      </c>
      <c r="B1524" s="8" t="s">
        <v>1203</v>
      </c>
      <c r="C1524" s="8" t="s">
        <v>53</v>
      </c>
      <c r="D1524" s="32" t="n">
        <v>46061</v>
      </c>
      <c r="E1524" s="8" t="n">
        <v>10</v>
      </c>
      <c r="F1524" s="8" t="str">
        <f aca="false">IF(E1524&gt;=9,"Promoter",IF(E1524&gt;=7,"Passive","Detractor"))</f>
        <v>Promoter</v>
      </c>
    </row>
    <row r="1525" customFormat="false" ht="15" hidden="false" customHeight="false" outlineLevel="0" collapsed="false">
      <c r="A1525" s="8" t="s">
        <v>6138</v>
      </c>
      <c r="B1525" s="8" t="s">
        <v>2610</v>
      </c>
      <c r="C1525" s="8" t="s">
        <v>51</v>
      </c>
      <c r="D1525" s="32" t="n">
        <v>46061</v>
      </c>
      <c r="E1525" s="8" t="n">
        <v>7</v>
      </c>
      <c r="F1525" s="8" t="str">
        <f aca="false">IF(E1525&gt;=9,"Promoter",IF(E1525&gt;=7,"Passive","Detractor"))</f>
        <v>Passive</v>
      </c>
    </row>
    <row r="1526" customFormat="false" ht="15" hidden="false" customHeight="false" outlineLevel="0" collapsed="false">
      <c r="A1526" s="8" t="s">
        <v>6139</v>
      </c>
      <c r="B1526" s="8" t="s">
        <v>3890</v>
      </c>
      <c r="C1526" s="8" t="s">
        <v>51</v>
      </c>
      <c r="D1526" s="32" t="n">
        <v>46061</v>
      </c>
      <c r="E1526" s="8" t="n">
        <v>8</v>
      </c>
      <c r="F1526" s="8" t="str">
        <f aca="false">IF(E1526&gt;=9,"Promoter",IF(E1526&gt;=7,"Passive","Detractor"))</f>
        <v>Passive</v>
      </c>
    </row>
    <row r="1527" customFormat="false" ht="15" hidden="false" customHeight="false" outlineLevel="0" collapsed="false">
      <c r="A1527" s="8" t="s">
        <v>6140</v>
      </c>
      <c r="B1527" s="8" t="s">
        <v>2114</v>
      </c>
      <c r="C1527" s="8" t="s">
        <v>51</v>
      </c>
      <c r="D1527" s="32" t="n">
        <v>46061</v>
      </c>
      <c r="E1527" s="8" t="n">
        <v>10</v>
      </c>
      <c r="F1527" s="8" t="str">
        <f aca="false">IF(E1527&gt;=9,"Promoter",IF(E1527&gt;=7,"Passive","Detractor"))</f>
        <v>Promoter</v>
      </c>
    </row>
    <row r="1528" customFormat="false" ht="15" hidden="false" customHeight="false" outlineLevel="0" collapsed="false">
      <c r="A1528" s="8" t="s">
        <v>6141</v>
      </c>
      <c r="B1528" s="8" t="s">
        <v>913</v>
      </c>
      <c r="C1528" s="8" t="s">
        <v>53</v>
      </c>
      <c r="D1528" s="32" t="n">
        <v>46061</v>
      </c>
      <c r="E1528" s="8" t="n">
        <v>8</v>
      </c>
      <c r="F1528" s="8" t="str">
        <f aca="false">IF(E1528&gt;=9,"Promoter",IF(E1528&gt;=7,"Passive","Detractor"))</f>
        <v>Passive</v>
      </c>
    </row>
    <row r="1529" customFormat="false" ht="15" hidden="false" customHeight="false" outlineLevel="0" collapsed="false">
      <c r="A1529" s="8" t="s">
        <v>6142</v>
      </c>
      <c r="B1529" s="8" t="s">
        <v>2396</v>
      </c>
      <c r="C1529" s="8" t="s">
        <v>51</v>
      </c>
      <c r="D1529" s="32" t="n">
        <v>46061</v>
      </c>
      <c r="E1529" s="8" t="n">
        <v>7</v>
      </c>
      <c r="F1529" s="8" t="str">
        <f aca="false">IF(E1529&gt;=9,"Promoter",IF(E1529&gt;=7,"Passive","Detractor"))</f>
        <v>Passive</v>
      </c>
    </row>
    <row r="1530" customFormat="false" ht="15" hidden="false" customHeight="false" outlineLevel="0" collapsed="false">
      <c r="A1530" s="8" t="s">
        <v>6143</v>
      </c>
      <c r="B1530" s="8" t="s">
        <v>2670</v>
      </c>
      <c r="C1530" s="8" t="s">
        <v>51</v>
      </c>
      <c r="D1530" s="32" t="n">
        <v>46062</v>
      </c>
      <c r="E1530" s="8" t="n">
        <v>8</v>
      </c>
      <c r="F1530" s="8" t="str">
        <f aca="false">IF(E1530&gt;=9,"Promoter",IF(E1530&gt;=7,"Passive","Detractor"))</f>
        <v>Passive</v>
      </c>
    </row>
    <row r="1531" customFormat="false" ht="15" hidden="false" customHeight="false" outlineLevel="0" collapsed="false">
      <c r="A1531" s="8" t="s">
        <v>6144</v>
      </c>
      <c r="B1531" s="8" t="s">
        <v>2990</v>
      </c>
      <c r="C1531" s="8" t="s">
        <v>51</v>
      </c>
      <c r="D1531" s="32" t="n">
        <v>46062</v>
      </c>
      <c r="E1531" s="8" t="n">
        <v>10</v>
      </c>
      <c r="F1531" s="8" t="str">
        <f aca="false">IF(E1531&gt;=9,"Promoter",IF(E1531&gt;=7,"Passive","Detractor"))</f>
        <v>Promoter</v>
      </c>
    </row>
    <row r="1532" customFormat="false" ht="15" hidden="false" customHeight="false" outlineLevel="0" collapsed="false">
      <c r="A1532" s="8" t="s">
        <v>6145</v>
      </c>
      <c r="B1532" s="8" t="s">
        <v>2310</v>
      </c>
      <c r="C1532" s="8" t="s">
        <v>51</v>
      </c>
      <c r="D1532" s="32" t="n">
        <v>46062</v>
      </c>
      <c r="E1532" s="8" t="n">
        <v>7</v>
      </c>
      <c r="F1532" s="8" t="str">
        <f aca="false">IF(E1532&gt;=9,"Promoter",IF(E1532&gt;=7,"Passive","Detractor"))</f>
        <v>Passive</v>
      </c>
    </row>
    <row r="1533" customFormat="false" ht="15" hidden="false" customHeight="false" outlineLevel="0" collapsed="false">
      <c r="A1533" s="8" t="s">
        <v>6146</v>
      </c>
      <c r="B1533" s="8" t="s">
        <v>1429</v>
      </c>
      <c r="C1533" s="8" t="s">
        <v>53</v>
      </c>
      <c r="D1533" s="32" t="n">
        <v>46062</v>
      </c>
      <c r="E1533" s="8" t="n">
        <v>8</v>
      </c>
      <c r="F1533" s="8" t="str">
        <f aca="false">IF(E1533&gt;=9,"Promoter",IF(E1533&gt;=7,"Passive","Detractor"))</f>
        <v>Passive</v>
      </c>
    </row>
    <row r="1534" customFormat="false" ht="15" hidden="false" customHeight="false" outlineLevel="0" collapsed="false">
      <c r="A1534" s="8" t="s">
        <v>6147</v>
      </c>
      <c r="B1534" s="8" t="s">
        <v>3290</v>
      </c>
      <c r="C1534" s="8" t="s">
        <v>51</v>
      </c>
      <c r="D1534" s="32" t="n">
        <v>46062</v>
      </c>
      <c r="E1534" s="8" t="n">
        <v>8</v>
      </c>
      <c r="F1534" s="8" t="str">
        <f aca="false">IF(E1534&gt;=9,"Promoter",IF(E1534&gt;=7,"Passive","Detractor"))</f>
        <v>Passive</v>
      </c>
    </row>
    <row r="1535" customFormat="false" ht="15" hidden="false" customHeight="false" outlineLevel="0" collapsed="false">
      <c r="A1535" s="8" t="s">
        <v>6148</v>
      </c>
      <c r="B1535" s="8" t="s">
        <v>1125</v>
      </c>
      <c r="C1535" s="8" t="s">
        <v>53</v>
      </c>
      <c r="D1535" s="32" t="n">
        <v>46062</v>
      </c>
      <c r="E1535" s="8" t="n">
        <v>10</v>
      </c>
      <c r="F1535" s="8" t="str">
        <f aca="false">IF(E1535&gt;=9,"Promoter",IF(E1535&gt;=7,"Passive","Detractor"))</f>
        <v>Promoter</v>
      </c>
    </row>
    <row r="1536" customFormat="false" ht="15" hidden="false" customHeight="false" outlineLevel="0" collapsed="false">
      <c r="A1536" s="8" t="s">
        <v>6149</v>
      </c>
      <c r="B1536" s="8" t="s">
        <v>453</v>
      </c>
      <c r="C1536" s="8" t="s">
        <v>53</v>
      </c>
      <c r="D1536" s="32" t="n">
        <v>46062</v>
      </c>
      <c r="E1536" s="8" t="n">
        <v>6</v>
      </c>
      <c r="F1536" s="8" t="str">
        <f aca="false">IF(E1536&gt;=9,"Promoter",IF(E1536&gt;=7,"Passive","Detractor"))</f>
        <v>Detractor</v>
      </c>
    </row>
    <row r="1537" customFormat="false" ht="15" hidden="false" customHeight="false" outlineLevel="0" collapsed="false">
      <c r="A1537" s="8" t="s">
        <v>6150</v>
      </c>
      <c r="B1537" s="8" t="s">
        <v>4440</v>
      </c>
      <c r="C1537" s="8" t="s">
        <v>53</v>
      </c>
      <c r="D1537" s="32" t="n">
        <v>46062</v>
      </c>
      <c r="E1537" s="8" t="n">
        <v>10</v>
      </c>
      <c r="F1537" s="8" t="str">
        <f aca="false">IF(E1537&gt;=9,"Promoter",IF(E1537&gt;=7,"Passive","Detractor"))</f>
        <v>Promoter</v>
      </c>
    </row>
    <row r="1538" customFormat="false" ht="15" hidden="false" customHeight="false" outlineLevel="0" collapsed="false">
      <c r="A1538" s="8" t="s">
        <v>6151</v>
      </c>
      <c r="B1538" s="8" t="s">
        <v>3014</v>
      </c>
      <c r="C1538" s="8" t="s">
        <v>51</v>
      </c>
      <c r="D1538" s="32" t="n">
        <v>46062</v>
      </c>
      <c r="E1538" s="8" t="n">
        <v>7</v>
      </c>
      <c r="F1538" s="8" t="str">
        <f aca="false">IF(E1538&gt;=9,"Promoter",IF(E1538&gt;=7,"Passive","Detractor"))</f>
        <v>Passive</v>
      </c>
    </row>
    <row r="1539" customFormat="false" ht="15" hidden="false" customHeight="false" outlineLevel="0" collapsed="false">
      <c r="A1539" s="8" t="s">
        <v>6152</v>
      </c>
      <c r="B1539" s="8" t="s">
        <v>1479</v>
      </c>
      <c r="C1539" s="8" t="s">
        <v>53</v>
      </c>
      <c r="D1539" s="32" t="n">
        <v>46062</v>
      </c>
      <c r="E1539" s="8" t="n">
        <v>7</v>
      </c>
      <c r="F1539" s="8" t="str">
        <f aca="false">IF(E1539&gt;=9,"Promoter",IF(E1539&gt;=7,"Passive","Detractor"))</f>
        <v>Passive</v>
      </c>
    </row>
    <row r="1540" customFormat="false" ht="15" hidden="false" customHeight="false" outlineLevel="0" collapsed="false">
      <c r="A1540" s="8" t="s">
        <v>6153</v>
      </c>
      <c r="B1540" s="8" t="s">
        <v>1019</v>
      </c>
      <c r="C1540" s="8" t="s">
        <v>55</v>
      </c>
      <c r="D1540" s="32" t="n">
        <v>46062</v>
      </c>
      <c r="E1540" s="8" t="n">
        <v>7</v>
      </c>
      <c r="F1540" s="8" t="str">
        <f aca="false">IF(E1540&gt;=9,"Promoter",IF(E1540&gt;=7,"Passive","Detractor"))</f>
        <v>Passive</v>
      </c>
    </row>
    <row r="1541" customFormat="false" ht="15" hidden="false" customHeight="false" outlineLevel="0" collapsed="false">
      <c r="A1541" s="8" t="s">
        <v>6154</v>
      </c>
      <c r="B1541" s="8" t="s">
        <v>1871</v>
      </c>
      <c r="C1541" s="8" t="s">
        <v>51</v>
      </c>
      <c r="D1541" s="32" t="n">
        <v>46063</v>
      </c>
      <c r="E1541" s="8" t="n">
        <v>6</v>
      </c>
      <c r="F1541" s="8" t="str">
        <f aca="false">IF(E1541&gt;=9,"Promoter",IF(E1541&gt;=7,"Passive","Detractor"))</f>
        <v>Detractor</v>
      </c>
    </row>
    <row r="1542" customFormat="false" ht="15" hidden="false" customHeight="false" outlineLevel="0" collapsed="false">
      <c r="A1542" s="8" t="s">
        <v>6155</v>
      </c>
      <c r="B1542" s="8" t="s">
        <v>1923</v>
      </c>
      <c r="C1542" s="8" t="s">
        <v>51</v>
      </c>
      <c r="D1542" s="32" t="n">
        <v>46063</v>
      </c>
      <c r="E1542" s="8" t="n">
        <v>7</v>
      </c>
      <c r="F1542" s="8" t="str">
        <f aca="false">IF(E1542&gt;=9,"Promoter",IF(E1542&gt;=7,"Passive","Detractor"))</f>
        <v>Passive</v>
      </c>
    </row>
    <row r="1543" customFormat="false" ht="15" hidden="false" customHeight="false" outlineLevel="0" collapsed="false">
      <c r="A1543" s="8" t="s">
        <v>6156</v>
      </c>
      <c r="B1543" s="8" t="s">
        <v>1185</v>
      </c>
      <c r="C1543" s="8" t="s">
        <v>53</v>
      </c>
      <c r="D1543" s="32" t="n">
        <v>46063</v>
      </c>
      <c r="E1543" s="8" t="n">
        <v>9</v>
      </c>
      <c r="F1543" s="8" t="str">
        <f aca="false">IF(E1543&gt;=9,"Promoter",IF(E1543&gt;=7,"Passive","Detractor"))</f>
        <v>Promoter</v>
      </c>
    </row>
    <row r="1544" customFormat="false" ht="15" hidden="false" customHeight="false" outlineLevel="0" collapsed="false">
      <c r="A1544" s="8" t="s">
        <v>6157</v>
      </c>
      <c r="B1544" s="8" t="s">
        <v>3348</v>
      </c>
      <c r="C1544" s="8" t="s">
        <v>51</v>
      </c>
      <c r="D1544" s="32" t="n">
        <v>46063</v>
      </c>
      <c r="E1544" s="8" t="n">
        <v>7</v>
      </c>
      <c r="F1544" s="8" t="str">
        <f aca="false">IF(E1544&gt;=9,"Promoter",IF(E1544&gt;=7,"Passive","Detractor"))</f>
        <v>Passive</v>
      </c>
    </row>
    <row r="1545" customFormat="false" ht="15" hidden="false" customHeight="false" outlineLevel="0" collapsed="false">
      <c r="A1545" s="8" t="s">
        <v>6158</v>
      </c>
      <c r="B1545" s="8" t="s">
        <v>2268</v>
      </c>
      <c r="C1545" s="8" t="s">
        <v>51</v>
      </c>
      <c r="D1545" s="32" t="n">
        <v>46063</v>
      </c>
      <c r="E1545" s="8" t="n">
        <v>7</v>
      </c>
      <c r="F1545" s="8" t="str">
        <f aca="false">IF(E1545&gt;=9,"Promoter",IF(E1545&gt;=7,"Passive","Detractor"))</f>
        <v>Passive</v>
      </c>
    </row>
    <row r="1546" customFormat="false" ht="15" hidden="false" customHeight="false" outlineLevel="0" collapsed="false">
      <c r="A1546" s="8" t="s">
        <v>6159</v>
      </c>
      <c r="B1546" s="8" t="s">
        <v>3820</v>
      </c>
      <c r="C1546" s="8" t="s">
        <v>51</v>
      </c>
      <c r="D1546" s="32" t="n">
        <v>46063</v>
      </c>
      <c r="E1546" s="8" t="n">
        <v>7</v>
      </c>
      <c r="F1546" s="8" t="str">
        <f aca="false">IF(E1546&gt;=9,"Promoter",IF(E1546&gt;=7,"Passive","Detractor"))</f>
        <v>Passive</v>
      </c>
    </row>
    <row r="1547" customFormat="false" ht="15" hidden="false" customHeight="false" outlineLevel="0" collapsed="false">
      <c r="A1547" s="8" t="s">
        <v>6160</v>
      </c>
      <c r="B1547" s="8" t="s">
        <v>1177</v>
      </c>
      <c r="C1547" s="8" t="s">
        <v>53</v>
      </c>
      <c r="D1547" s="32" t="n">
        <v>46063</v>
      </c>
      <c r="E1547" s="8" t="n">
        <v>10</v>
      </c>
      <c r="F1547" s="8" t="str">
        <f aca="false">IF(E1547&gt;=9,"Promoter",IF(E1547&gt;=7,"Passive","Detractor"))</f>
        <v>Promoter</v>
      </c>
    </row>
    <row r="1548" customFormat="false" ht="15" hidden="false" customHeight="false" outlineLevel="0" collapsed="false">
      <c r="A1548" s="8" t="s">
        <v>6161</v>
      </c>
      <c r="B1548" s="8" t="s">
        <v>2552</v>
      </c>
      <c r="C1548" s="8" t="s">
        <v>51</v>
      </c>
      <c r="D1548" s="32" t="n">
        <v>46064</v>
      </c>
      <c r="E1548" s="8" t="n">
        <v>10</v>
      </c>
      <c r="F1548" s="8" t="str">
        <f aca="false">IF(E1548&gt;=9,"Promoter",IF(E1548&gt;=7,"Passive","Detractor"))</f>
        <v>Promoter</v>
      </c>
    </row>
    <row r="1549" customFormat="false" ht="15" hidden="false" customHeight="false" outlineLevel="0" collapsed="false">
      <c r="A1549" s="8" t="s">
        <v>6162</v>
      </c>
      <c r="B1549" s="8" t="s">
        <v>3388</v>
      </c>
      <c r="C1549" s="8" t="s">
        <v>51</v>
      </c>
      <c r="D1549" s="32" t="n">
        <v>46064</v>
      </c>
      <c r="E1549" s="8" t="n">
        <v>5</v>
      </c>
      <c r="F1549" s="8" t="str">
        <f aca="false">IF(E1549&gt;=9,"Promoter",IF(E1549&gt;=7,"Passive","Detractor"))</f>
        <v>Detractor</v>
      </c>
    </row>
    <row r="1550" customFormat="false" ht="15" hidden="false" customHeight="false" outlineLevel="0" collapsed="false">
      <c r="A1550" s="8" t="s">
        <v>6163</v>
      </c>
      <c r="B1550" s="8" t="s">
        <v>4461</v>
      </c>
      <c r="C1550" s="8" t="s">
        <v>53</v>
      </c>
      <c r="D1550" s="32" t="n">
        <v>46064</v>
      </c>
      <c r="E1550" s="8" t="n">
        <v>3</v>
      </c>
      <c r="F1550" s="8" t="str">
        <f aca="false">IF(E1550&gt;=9,"Promoter",IF(E1550&gt;=7,"Passive","Detractor"))</f>
        <v>Detractor</v>
      </c>
    </row>
    <row r="1551" customFormat="false" ht="15" hidden="false" customHeight="false" outlineLevel="0" collapsed="false">
      <c r="A1551" s="8" t="s">
        <v>6164</v>
      </c>
      <c r="B1551" s="8" t="s">
        <v>3802</v>
      </c>
      <c r="C1551" s="8" t="s">
        <v>51</v>
      </c>
      <c r="D1551" s="32" t="n">
        <v>46064</v>
      </c>
      <c r="E1551" s="8" t="n">
        <v>9</v>
      </c>
      <c r="F1551" s="8" t="str">
        <f aca="false">IF(E1551&gt;=9,"Promoter",IF(E1551&gt;=7,"Passive","Detractor"))</f>
        <v>Promoter</v>
      </c>
    </row>
    <row r="1552" customFormat="false" ht="15" hidden="false" customHeight="false" outlineLevel="0" collapsed="false">
      <c r="A1552" s="8" t="s">
        <v>6165</v>
      </c>
      <c r="B1552" s="8" t="s">
        <v>1815</v>
      </c>
      <c r="C1552" s="8" t="s">
        <v>53</v>
      </c>
      <c r="D1552" s="32" t="n">
        <v>46064</v>
      </c>
      <c r="E1552" s="8" t="n">
        <v>10</v>
      </c>
      <c r="F1552" s="8" t="str">
        <f aca="false">IF(E1552&gt;=9,"Promoter",IF(E1552&gt;=7,"Passive","Detractor"))</f>
        <v>Promoter</v>
      </c>
    </row>
    <row r="1553" customFormat="false" ht="15" hidden="false" customHeight="false" outlineLevel="0" collapsed="false">
      <c r="A1553" s="8" t="s">
        <v>6166</v>
      </c>
      <c r="B1553" s="8" t="s">
        <v>3374</v>
      </c>
      <c r="C1553" s="8" t="s">
        <v>51</v>
      </c>
      <c r="D1553" s="32" t="n">
        <v>46064</v>
      </c>
      <c r="E1553" s="8" t="n">
        <v>10</v>
      </c>
      <c r="F1553" s="8" t="str">
        <f aca="false">IF(E1553&gt;=9,"Promoter",IF(E1553&gt;=7,"Passive","Detractor"))</f>
        <v>Promoter</v>
      </c>
    </row>
    <row r="1554" customFormat="false" ht="15" hidden="false" customHeight="false" outlineLevel="0" collapsed="false">
      <c r="A1554" s="8" t="s">
        <v>6167</v>
      </c>
      <c r="B1554" s="8" t="s">
        <v>2802</v>
      </c>
      <c r="C1554" s="8" t="s">
        <v>51</v>
      </c>
      <c r="D1554" s="32" t="n">
        <v>46064</v>
      </c>
      <c r="E1554" s="8" t="n">
        <v>6</v>
      </c>
      <c r="F1554" s="8" t="str">
        <f aca="false">IF(E1554&gt;=9,"Promoter",IF(E1554&gt;=7,"Passive","Detractor"))</f>
        <v>Detractor</v>
      </c>
    </row>
    <row r="1555" customFormat="false" ht="15" hidden="false" customHeight="false" outlineLevel="0" collapsed="false">
      <c r="A1555" s="8" t="s">
        <v>6168</v>
      </c>
      <c r="B1555" s="8" t="s">
        <v>1165</v>
      </c>
      <c r="C1555" s="8" t="s">
        <v>53</v>
      </c>
      <c r="D1555" s="32" t="n">
        <v>46064</v>
      </c>
      <c r="E1555" s="8" t="n">
        <v>10</v>
      </c>
      <c r="F1555" s="8" t="str">
        <f aca="false">IF(E1555&gt;=9,"Promoter",IF(E1555&gt;=7,"Passive","Detractor"))</f>
        <v>Promoter</v>
      </c>
    </row>
    <row r="1556" customFormat="false" ht="15" hidden="false" customHeight="false" outlineLevel="0" collapsed="false">
      <c r="A1556" s="8" t="s">
        <v>6169</v>
      </c>
      <c r="B1556" s="8" t="s">
        <v>4140</v>
      </c>
      <c r="C1556" s="8" t="s">
        <v>51</v>
      </c>
      <c r="D1556" s="32" t="n">
        <v>46064</v>
      </c>
      <c r="E1556" s="8" t="n">
        <v>7</v>
      </c>
      <c r="F1556" s="8" t="str">
        <f aca="false">IF(E1556&gt;=9,"Promoter",IF(E1556&gt;=7,"Passive","Detractor"))</f>
        <v>Passive</v>
      </c>
    </row>
    <row r="1557" customFormat="false" ht="15" hidden="false" customHeight="false" outlineLevel="0" collapsed="false">
      <c r="A1557" s="8" t="s">
        <v>6170</v>
      </c>
      <c r="B1557" s="8" t="s">
        <v>1243</v>
      </c>
      <c r="C1557" s="8" t="s">
        <v>53</v>
      </c>
      <c r="D1557" s="32" t="n">
        <v>46064</v>
      </c>
      <c r="E1557" s="8" t="n">
        <v>10</v>
      </c>
      <c r="F1557" s="8" t="str">
        <f aca="false">IF(E1557&gt;=9,"Promoter",IF(E1557&gt;=7,"Passive","Detractor"))</f>
        <v>Promoter</v>
      </c>
    </row>
    <row r="1558" customFormat="false" ht="15" hidden="false" customHeight="false" outlineLevel="0" collapsed="false">
      <c r="A1558" s="8" t="s">
        <v>6171</v>
      </c>
      <c r="B1558" s="8" t="s">
        <v>535</v>
      </c>
      <c r="C1558" s="8" t="s">
        <v>55</v>
      </c>
      <c r="D1558" s="32" t="n">
        <v>46065</v>
      </c>
      <c r="E1558" s="8" t="n">
        <v>10</v>
      </c>
      <c r="F1558" s="8" t="str">
        <f aca="false">IF(E1558&gt;=9,"Promoter",IF(E1558&gt;=7,"Passive","Detractor"))</f>
        <v>Promoter</v>
      </c>
    </row>
    <row r="1559" customFormat="false" ht="15" hidden="false" customHeight="false" outlineLevel="0" collapsed="false">
      <c r="A1559" s="8" t="s">
        <v>6172</v>
      </c>
      <c r="B1559" s="8" t="s">
        <v>4024</v>
      </c>
      <c r="C1559" s="8" t="s">
        <v>51</v>
      </c>
      <c r="D1559" s="32" t="n">
        <v>46065</v>
      </c>
      <c r="E1559" s="8" t="n">
        <v>7</v>
      </c>
      <c r="F1559" s="8" t="str">
        <f aca="false">IF(E1559&gt;=9,"Promoter",IF(E1559&gt;=7,"Passive","Detractor"))</f>
        <v>Passive</v>
      </c>
    </row>
    <row r="1560" customFormat="false" ht="15" hidden="false" customHeight="false" outlineLevel="0" collapsed="false">
      <c r="A1560" s="8" t="s">
        <v>6173</v>
      </c>
      <c r="B1560" s="8" t="s">
        <v>1093</v>
      </c>
      <c r="C1560" s="8" t="s">
        <v>53</v>
      </c>
      <c r="D1560" s="32" t="n">
        <v>46065</v>
      </c>
      <c r="E1560" s="8" t="n">
        <v>10</v>
      </c>
      <c r="F1560" s="8" t="str">
        <f aca="false">IF(E1560&gt;=9,"Promoter",IF(E1560&gt;=7,"Passive","Detractor"))</f>
        <v>Promoter</v>
      </c>
    </row>
    <row r="1561" customFormat="false" ht="15" hidden="false" customHeight="false" outlineLevel="0" collapsed="false">
      <c r="A1561" s="8" t="s">
        <v>6174</v>
      </c>
      <c r="B1561" s="8" t="s">
        <v>4224</v>
      </c>
      <c r="C1561" s="8" t="s">
        <v>51</v>
      </c>
      <c r="D1561" s="32" t="n">
        <v>46065</v>
      </c>
      <c r="E1561" s="8" t="n">
        <v>8</v>
      </c>
      <c r="F1561" s="8" t="str">
        <f aca="false">IF(E1561&gt;=9,"Promoter",IF(E1561&gt;=7,"Passive","Detractor"))</f>
        <v>Passive</v>
      </c>
    </row>
    <row r="1562" customFormat="false" ht="15" hidden="false" customHeight="false" outlineLevel="0" collapsed="false">
      <c r="A1562" s="8" t="s">
        <v>6175</v>
      </c>
      <c r="B1562" s="8" t="s">
        <v>2096</v>
      </c>
      <c r="C1562" s="8" t="s">
        <v>51</v>
      </c>
      <c r="D1562" s="32" t="n">
        <v>46065</v>
      </c>
      <c r="E1562" s="8" t="n">
        <v>9</v>
      </c>
      <c r="F1562" s="8" t="str">
        <f aca="false">IF(E1562&gt;=9,"Promoter",IF(E1562&gt;=7,"Passive","Detractor"))</f>
        <v>Promoter</v>
      </c>
    </row>
    <row r="1563" customFormat="false" ht="15" hidden="false" customHeight="false" outlineLevel="0" collapsed="false">
      <c r="A1563" s="8" t="s">
        <v>6176</v>
      </c>
      <c r="B1563" s="8" t="s">
        <v>2854</v>
      </c>
      <c r="C1563" s="8" t="s">
        <v>51</v>
      </c>
      <c r="D1563" s="32" t="n">
        <v>46065</v>
      </c>
      <c r="E1563" s="8" t="n">
        <v>8</v>
      </c>
      <c r="F1563" s="8" t="str">
        <f aca="false">IF(E1563&gt;=9,"Promoter",IF(E1563&gt;=7,"Passive","Detractor"))</f>
        <v>Passive</v>
      </c>
    </row>
    <row r="1564" customFormat="false" ht="15" hidden="false" customHeight="false" outlineLevel="0" collapsed="false">
      <c r="A1564" s="8" t="s">
        <v>6177</v>
      </c>
      <c r="B1564" s="8" t="s">
        <v>2542</v>
      </c>
      <c r="C1564" s="8" t="s">
        <v>51</v>
      </c>
      <c r="D1564" s="32" t="n">
        <v>46065</v>
      </c>
      <c r="E1564" s="8" t="n">
        <v>10</v>
      </c>
      <c r="F1564" s="8" t="str">
        <f aca="false">IF(E1564&gt;=9,"Promoter",IF(E1564&gt;=7,"Passive","Detractor"))</f>
        <v>Promoter</v>
      </c>
    </row>
    <row r="1565" customFormat="false" ht="15" hidden="false" customHeight="false" outlineLevel="0" collapsed="false">
      <c r="A1565" s="8" t="s">
        <v>6178</v>
      </c>
      <c r="B1565" s="8" t="s">
        <v>3358</v>
      </c>
      <c r="C1565" s="8" t="s">
        <v>51</v>
      </c>
      <c r="D1565" s="32" t="n">
        <v>46065</v>
      </c>
      <c r="E1565" s="8" t="n">
        <v>7</v>
      </c>
      <c r="F1565" s="8" t="str">
        <f aca="false">IF(E1565&gt;=9,"Promoter",IF(E1565&gt;=7,"Passive","Detractor"))</f>
        <v>Passive</v>
      </c>
    </row>
    <row r="1566" customFormat="false" ht="15" hidden="false" customHeight="false" outlineLevel="0" collapsed="false">
      <c r="A1566" s="8" t="s">
        <v>6179</v>
      </c>
      <c r="B1566" s="8" t="s">
        <v>1679</v>
      </c>
      <c r="C1566" s="8" t="s">
        <v>53</v>
      </c>
      <c r="D1566" s="32" t="n">
        <v>46065</v>
      </c>
      <c r="E1566" s="8" t="n">
        <v>5</v>
      </c>
      <c r="F1566" s="8" t="str">
        <f aca="false">IF(E1566&gt;=9,"Promoter",IF(E1566&gt;=7,"Passive","Detractor"))</f>
        <v>Detractor</v>
      </c>
    </row>
    <row r="1567" customFormat="false" ht="15" hidden="false" customHeight="false" outlineLevel="0" collapsed="false">
      <c r="A1567" s="8" t="s">
        <v>6180</v>
      </c>
      <c r="B1567" s="8" t="s">
        <v>1201</v>
      </c>
      <c r="C1567" s="8" t="s">
        <v>53</v>
      </c>
      <c r="D1567" s="32" t="n">
        <v>46065</v>
      </c>
      <c r="E1567" s="8" t="n">
        <v>7</v>
      </c>
      <c r="F1567" s="8" t="str">
        <f aca="false">IF(E1567&gt;=9,"Promoter",IF(E1567&gt;=7,"Passive","Detractor"))</f>
        <v>Passive</v>
      </c>
    </row>
    <row r="1568" customFormat="false" ht="15" hidden="false" customHeight="false" outlineLevel="0" collapsed="false">
      <c r="A1568" s="8" t="s">
        <v>6181</v>
      </c>
      <c r="B1568" s="8" t="s">
        <v>3226</v>
      </c>
      <c r="C1568" s="8" t="s">
        <v>51</v>
      </c>
      <c r="D1568" s="32" t="n">
        <v>46065</v>
      </c>
      <c r="E1568" s="8" t="n">
        <v>10</v>
      </c>
      <c r="F1568" s="8" t="str">
        <f aca="false">IF(E1568&gt;=9,"Promoter",IF(E1568&gt;=7,"Passive","Detractor"))</f>
        <v>Promoter</v>
      </c>
    </row>
    <row r="1569" customFormat="false" ht="15" hidden="false" customHeight="false" outlineLevel="0" collapsed="false">
      <c r="A1569" s="8" t="s">
        <v>6182</v>
      </c>
      <c r="B1569" s="8" t="s">
        <v>2414</v>
      </c>
      <c r="C1569" s="8" t="s">
        <v>51</v>
      </c>
      <c r="D1569" s="32" t="n">
        <v>46065</v>
      </c>
      <c r="E1569" s="8" t="n">
        <v>9</v>
      </c>
      <c r="F1569" s="8" t="str">
        <f aca="false">IF(E1569&gt;=9,"Promoter",IF(E1569&gt;=7,"Passive","Detractor"))</f>
        <v>Promoter</v>
      </c>
    </row>
    <row r="1570" customFormat="false" ht="15" hidden="false" customHeight="false" outlineLevel="0" collapsed="false">
      <c r="A1570" s="8" t="s">
        <v>6183</v>
      </c>
      <c r="B1570" s="8" t="s">
        <v>3638</v>
      </c>
      <c r="C1570" s="8" t="s">
        <v>51</v>
      </c>
      <c r="D1570" s="32" t="n">
        <v>46065</v>
      </c>
      <c r="E1570" s="8" t="n">
        <v>10</v>
      </c>
      <c r="F1570" s="8" t="str">
        <f aca="false">IF(E1570&gt;=9,"Promoter",IF(E1570&gt;=7,"Passive","Detractor"))</f>
        <v>Promoter</v>
      </c>
    </row>
    <row r="1571" customFormat="false" ht="15" hidden="false" customHeight="false" outlineLevel="0" collapsed="false">
      <c r="A1571" s="8" t="s">
        <v>6184</v>
      </c>
      <c r="B1571" s="8" t="s">
        <v>2770</v>
      </c>
      <c r="C1571" s="8" t="s">
        <v>51</v>
      </c>
      <c r="D1571" s="32" t="n">
        <v>46065</v>
      </c>
      <c r="E1571" s="8" t="n">
        <v>10</v>
      </c>
      <c r="F1571" s="8" t="str">
        <f aca="false">IF(E1571&gt;=9,"Promoter",IF(E1571&gt;=7,"Passive","Detractor"))</f>
        <v>Promoter</v>
      </c>
    </row>
    <row r="1572" customFormat="false" ht="15" hidden="false" customHeight="false" outlineLevel="0" collapsed="false">
      <c r="A1572" s="8" t="s">
        <v>6185</v>
      </c>
      <c r="B1572" s="8" t="s">
        <v>294</v>
      </c>
      <c r="C1572" s="8" t="s">
        <v>55</v>
      </c>
      <c r="D1572" s="32" t="n">
        <v>46065</v>
      </c>
      <c r="E1572" s="8" t="n">
        <v>6</v>
      </c>
      <c r="F1572" s="8" t="str">
        <f aca="false">IF(E1572&gt;=9,"Promoter",IF(E1572&gt;=7,"Passive","Detractor"))</f>
        <v>Detractor</v>
      </c>
    </row>
    <row r="1573" customFormat="false" ht="15" hidden="false" customHeight="false" outlineLevel="0" collapsed="false">
      <c r="A1573" s="8" t="s">
        <v>6186</v>
      </c>
      <c r="B1573" s="8" t="s">
        <v>3140</v>
      </c>
      <c r="C1573" s="8" t="s">
        <v>51</v>
      </c>
      <c r="D1573" s="32" t="n">
        <v>46065</v>
      </c>
      <c r="E1573" s="8" t="n">
        <v>6</v>
      </c>
      <c r="F1573" s="8" t="str">
        <f aca="false">IF(E1573&gt;=9,"Promoter",IF(E1573&gt;=7,"Passive","Detractor"))</f>
        <v>Detractor</v>
      </c>
    </row>
    <row r="1574" customFormat="false" ht="15" hidden="false" customHeight="false" outlineLevel="0" collapsed="false">
      <c r="A1574" s="8" t="s">
        <v>6187</v>
      </c>
      <c r="B1574" s="8" t="s">
        <v>591</v>
      </c>
      <c r="C1574" s="8" t="s">
        <v>55</v>
      </c>
      <c r="D1574" s="32" t="n">
        <v>46065</v>
      </c>
      <c r="E1574" s="8" t="n">
        <v>9</v>
      </c>
      <c r="F1574" s="8" t="str">
        <f aca="false">IF(E1574&gt;=9,"Promoter",IF(E1574&gt;=7,"Passive","Detractor"))</f>
        <v>Promoter</v>
      </c>
    </row>
    <row r="1575" customFormat="false" ht="15" hidden="false" customHeight="false" outlineLevel="0" collapsed="false">
      <c r="A1575" s="8" t="s">
        <v>6188</v>
      </c>
      <c r="B1575" s="8" t="s">
        <v>1421</v>
      </c>
      <c r="C1575" s="8" t="s">
        <v>53</v>
      </c>
      <c r="D1575" s="32" t="n">
        <v>46066</v>
      </c>
      <c r="E1575" s="8" t="n">
        <v>10</v>
      </c>
      <c r="F1575" s="8" t="str">
        <f aca="false">IF(E1575&gt;=9,"Promoter",IF(E1575&gt;=7,"Passive","Detractor"))</f>
        <v>Promoter</v>
      </c>
    </row>
    <row r="1576" customFormat="false" ht="15" hidden="false" customHeight="false" outlineLevel="0" collapsed="false">
      <c r="A1576" s="8" t="s">
        <v>6189</v>
      </c>
      <c r="B1576" s="8" t="s">
        <v>369</v>
      </c>
      <c r="C1576" s="8" t="s">
        <v>55</v>
      </c>
      <c r="D1576" s="32" t="n">
        <v>46066</v>
      </c>
      <c r="E1576" s="8" t="n">
        <v>6</v>
      </c>
      <c r="F1576" s="8" t="str">
        <f aca="false">IF(E1576&gt;=9,"Promoter",IF(E1576&gt;=7,"Passive","Detractor"))</f>
        <v>Detractor</v>
      </c>
    </row>
    <row r="1577" customFormat="false" ht="15" hidden="false" customHeight="false" outlineLevel="0" collapsed="false">
      <c r="A1577" s="8" t="s">
        <v>6190</v>
      </c>
      <c r="B1577" s="8" t="s">
        <v>2930</v>
      </c>
      <c r="C1577" s="8" t="s">
        <v>51</v>
      </c>
      <c r="D1577" s="32" t="n">
        <v>46066</v>
      </c>
      <c r="E1577" s="8" t="n">
        <v>9</v>
      </c>
      <c r="F1577" s="8" t="str">
        <f aca="false">IF(E1577&gt;=9,"Promoter",IF(E1577&gt;=7,"Passive","Detractor"))</f>
        <v>Promoter</v>
      </c>
    </row>
    <row r="1578" customFormat="false" ht="15" hidden="false" customHeight="false" outlineLevel="0" collapsed="false">
      <c r="A1578" s="8" t="s">
        <v>6191</v>
      </c>
      <c r="B1578" s="8" t="s">
        <v>881</v>
      </c>
      <c r="C1578" s="8" t="s">
        <v>53</v>
      </c>
      <c r="D1578" s="32" t="n">
        <v>46066</v>
      </c>
      <c r="E1578" s="8" t="n">
        <v>7</v>
      </c>
      <c r="F1578" s="8" t="str">
        <f aca="false">IF(E1578&gt;=9,"Promoter",IF(E1578&gt;=7,"Passive","Detractor"))</f>
        <v>Passive</v>
      </c>
    </row>
    <row r="1579" customFormat="false" ht="15" hidden="false" customHeight="false" outlineLevel="0" collapsed="false">
      <c r="A1579" s="8" t="s">
        <v>6192</v>
      </c>
      <c r="B1579" s="8" t="s">
        <v>3468</v>
      </c>
      <c r="C1579" s="8" t="s">
        <v>51</v>
      </c>
      <c r="D1579" s="32" t="n">
        <v>46066</v>
      </c>
      <c r="E1579" s="8" t="n">
        <v>10</v>
      </c>
      <c r="F1579" s="8" t="str">
        <f aca="false">IF(E1579&gt;=9,"Promoter",IF(E1579&gt;=7,"Passive","Detractor"))</f>
        <v>Promoter</v>
      </c>
    </row>
    <row r="1580" customFormat="false" ht="15" hidden="false" customHeight="false" outlineLevel="0" collapsed="false">
      <c r="A1580" s="8" t="s">
        <v>6193</v>
      </c>
      <c r="B1580" s="8" t="s">
        <v>3880</v>
      </c>
      <c r="C1580" s="8" t="s">
        <v>51</v>
      </c>
      <c r="D1580" s="32" t="n">
        <v>46066</v>
      </c>
      <c r="E1580" s="8" t="n">
        <v>9</v>
      </c>
      <c r="F1580" s="8" t="str">
        <f aca="false">IF(E1580&gt;=9,"Promoter",IF(E1580&gt;=7,"Passive","Detractor"))</f>
        <v>Promoter</v>
      </c>
    </row>
    <row r="1581" customFormat="false" ht="15" hidden="false" customHeight="false" outlineLevel="0" collapsed="false">
      <c r="A1581" s="8" t="s">
        <v>6194</v>
      </c>
      <c r="B1581" s="8" t="s">
        <v>1539</v>
      </c>
      <c r="C1581" s="8" t="s">
        <v>53</v>
      </c>
      <c r="D1581" s="32" t="n">
        <v>46066</v>
      </c>
      <c r="E1581" s="8" t="n">
        <v>9</v>
      </c>
      <c r="F1581" s="8" t="str">
        <f aca="false">IF(E1581&gt;=9,"Promoter",IF(E1581&gt;=7,"Passive","Detractor"))</f>
        <v>Promoter</v>
      </c>
    </row>
    <row r="1582" customFormat="false" ht="15" hidden="false" customHeight="false" outlineLevel="0" collapsed="false">
      <c r="A1582" s="8" t="s">
        <v>6195</v>
      </c>
      <c r="B1582" s="8" t="s">
        <v>149</v>
      </c>
      <c r="C1582" s="8" t="s">
        <v>55</v>
      </c>
      <c r="D1582" s="32" t="n">
        <v>46066</v>
      </c>
      <c r="E1582" s="8" t="n">
        <v>7</v>
      </c>
      <c r="F1582" s="8" t="str">
        <f aca="false">IF(E1582&gt;=9,"Promoter",IF(E1582&gt;=7,"Passive","Detractor"))</f>
        <v>Passive</v>
      </c>
    </row>
    <row r="1583" customFormat="false" ht="15" hidden="false" customHeight="false" outlineLevel="0" collapsed="false">
      <c r="A1583" s="8" t="s">
        <v>6196</v>
      </c>
      <c r="B1583" s="8" t="s">
        <v>2566</v>
      </c>
      <c r="C1583" s="8" t="s">
        <v>51</v>
      </c>
      <c r="D1583" s="32" t="n">
        <v>46066</v>
      </c>
      <c r="E1583" s="8" t="n">
        <v>9</v>
      </c>
      <c r="F1583" s="8" t="str">
        <f aca="false">IF(E1583&gt;=9,"Promoter",IF(E1583&gt;=7,"Passive","Detractor"))</f>
        <v>Promoter</v>
      </c>
    </row>
    <row r="1584" customFormat="false" ht="15" hidden="false" customHeight="false" outlineLevel="0" collapsed="false">
      <c r="A1584" s="8" t="s">
        <v>6197</v>
      </c>
      <c r="B1584" s="8" t="s">
        <v>1161</v>
      </c>
      <c r="C1584" s="8" t="s">
        <v>53</v>
      </c>
      <c r="D1584" s="32" t="n">
        <v>46066</v>
      </c>
      <c r="E1584" s="8" t="n">
        <v>4</v>
      </c>
      <c r="F1584" s="8" t="str">
        <f aca="false">IF(E1584&gt;=9,"Promoter",IF(E1584&gt;=7,"Passive","Detractor"))</f>
        <v>Detractor</v>
      </c>
    </row>
    <row r="1585" customFormat="false" ht="15" hidden="false" customHeight="false" outlineLevel="0" collapsed="false">
      <c r="A1585" s="8" t="s">
        <v>6198</v>
      </c>
      <c r="B1585" s="8" t="s">
        <v>2386</v>
      </c>
      <c r="C1585" s="8" t="s">
        <v>51</v>
      </c>
      <c r="D1585" s="32" t="n">
        <v>46066</v>
      </c>
      <c r="E1585" s="8" t="n">
        <v>8</v>
      </c>
      <c r="F1585" s="8" t="str">
        <f aca="false">IF(E1585&gt;=9,"Promoter",IF(E1585&gt;=7,"Passive","Detractor"))</f>
        <v>Passive</v>
      </c>
    </row>
    <row r="1586" customFormat="false" ht="15" hidden="false" customHeight="false" outlineLevel="0" collapsed="false">
      <c r="A1586" s="8" t="s">
        <v>6199</v>
      </c>
      <c r="B1586" s="8" t="s">
        <v>4296</v>
      </c>
      <c r="C1586" s="8" t="s">
        <v>51</v>
      </c>
      <c r="D1586" s="32" t="n">
        <v>46066</v>
      </c>
      <c r="E1586" s="8" t="n">
        <v>5</v>
      </c>
      <c r="F1586" s="8" t="str">
        <f aca="false">IF(E1586&gt;=9,"Promoter",IF(E1586&gt;=7,"Passive","Detractor"))</f>
        <v>Detractor</v>
      </c>
    </row>
    <row r="1587" customFormat="false" ht="15" hidden="false" customHeight="false" outlineLevel="0" collapsed="false">
      <c r="A1587" s="8" t="s">
        <v>6200</v>
      </c>
      <c r="B1587" s="8" t="s">
        <v>4070</v>
      </c>
      <c r="C1587" s="8" t="s">
        <v>51</v>
      </c>
      <c r="D1587" s="32" t="n">
        <v>46066</v>
      </c>
      <c r="E1587" s="8" t="n">
        <v>9</v>
      </c>
      <c r="F1587" s="8" t="str">
        <f aca="false">IF(E1587&gt;=9,"Promoter",IF(E1587&gt;=7,"Passive","Detractor"))</f>
        <v>Promoter</v>
      </c>
    </row>
    <row r="1588" customFormat="false" ht="15" hidden="false" customHeight="false" outlineLevel="0" collapsed="false">
      <c r="A1588" s="8" t="s">
        <v>6201</v>
      </c>
      <c r="B1588" s="8" t="s">
        <v>4466</v>
      </c>
      <c r="C1588" s="8" t="s">
        <v>53</v>
      </c>
      <c r="D1588" s="32" t="n">
        <v>46066</v>
      </c>
      <c r="E1588" s="8" t="n">
        <v>5</v>
      </c>
      <c r="F1588" s="8" t="str">
        <f aca="false">IF(E1588&gt;=9,"Promoter",IF(E1588&gt;=7,"Passive","Detractor"))</f>
        <v>Detractor</v>
      </c>
    </row>
    <row r="1589" customFormat="false" ht="15" hidden="false" customHeight="false" outlineLevel="0" collapsed="false">
      <c r="A1589" s="8" t="s">
        <v>6202</v>
      </c>
      <c r="B1589" s="8" t="s">
        <v>2732</v>
      </c>
      <c r="C1589" s="8" t="s">
        <v>51</v>
      </c>
      <c r="D1589" s="32" t="n">
        <v>46067</v>
      </c>
      <c r="E1589" s="8" t="n">
        <v>10</v>
      </c>
      <c r="F1589" s="8" t="str">
        <f aca="false">IF(E1589&gt;=9,"Promoter",IF(E1589&gt;=7,"Passive","Detractor"))</f>
        <v>Promoter</v>
      </c>
    </row>
    <row r="1590" customFormat="false" ht="15" hidden="false" customHeight="false" outlineLevel="0" collapsed="false">
      <c r="A1590" s="8" t="s">
        <v>6203</v>
      </c>
      <c r="B1590" s="8" t="s">
        <v>4264</v>
      </c>
      <c r="C1590" s="8" t="s">
        <v>51</v>
      </c>
      <c r="D1590" s="32" t="n">
        <v>46067</v>
      </c>
      <c r="E1590" s="8" t="n">
        <v>5</v>
      </c>
      <c r="F1590" s="8" t="str">
        <f aca="false">IF(E1590&gt;=9,"Promoter",IF(E1590&gt;=7,"Passive","Detractor"))</f>
        <v>Detractor</v>
      </c>
    </row>
    <row r="1591" customFormat="false" ht="15" hidden="false" customHeight="false" outlineLevel="0" collapsed="false">
      <c r="A1591" s="8" t="s">
        <v>6204</v>
      </c>
      <c r="B1591" s="8" t="s">
        <v>3726</v>
      </c>
      <c r="C1591" s="8" t="s">
        <v>51</v>
      </c>
      <c r="D1591" s="32" t="n">
        <v>46067</v>
      </c>
      <c r="E1591" s="8" t="n">
        <v>9</v>
      </c>
      <c r="F1591" s="8" t="str">
        <f aca="false">IF(E1591&gt;=9,"Promoter",IF(E1591&gt;=7,"Passive","Detractor"))</f>
        <v>Promoter</v>
      </c>
    </row>
    <row r="1592" customFormat="false" ht="15" hidden="false" customHeight="false" outlineLevel="0" collapsed="false">
      <c r="A1592" s="8" t="s">
        <v>6205</v>
      </c>
      <c r="B1592" s="8" t="s">
        <v>2158</v>
      </c>
      <c r="C1592" s="8" t="s">
        <v>51</v>
      </c>
      <c r="D1592" s="32" t="n">
        <v>46067</v>
      </c>
      <c r="E1592" s="8" t="n">
        <v>10</v>
      </c>
      <c r="F1592" s="8" t="str">
        <f aca="false">IF(E1592&gt;=9,"Promoter",IF(E1592&gt;=7,"Passive","Detractor"))</f>
        <v>Promoter</v>
      </c>
    </row>
    <row r="1593" customFormat="false" ht="15" hidden="false" customHeight="false" outlineLevel="0" collapsed="false">
      <c r="A1593" s="8" t="s">
        <v>6206</v>
      </c>
      <c r="B1593" s="8" t="s">
        <v>4104</v>
      </c>
      <c r="C1593" s="8" t="s">
        <v>51</v>
      </c>
      <c r="D1593" s="32" t="n">
        <v>46067</v>
      </c>
      <c r="E1593" s="8" t="n">
        <v>8</v>
      </c>
      <c r="F1593" s="8" t="str">
        <f aca="false">IF(E1593&gt;=9,"Promoter",IF(E1593&gt;=7,"Passive","Detractor"))</f>
        <v>Passive</v>
      </c>
    </row>
    <row r="1594" customFormat="false" ht="15" hidden="false" customHeight="false" outlineLevel="0" collapsed="false">
      <c r="A1594" s="8" t="s">
        <v>6207</v>
      </c>
      <c r="B1594" s="8" t="s">
        <v>4282</v>
      </c>
      <c r="C1594" s="8" t="s">
        <v>51</v>
      </c>
      <c r="D1594" s="32" t="n">
        <v>46067</v>
      </c>
      <c r="E1594" s="8" t="n">
        <v>8</v>
      </c>
      <c r="F1594" s="8" t="str">
        <f aca="false">IF(E1594&gt;=9,"Promoter",IF(E1594&gt;=7,"Passive","Detractor"))</f>
        <v>Passive</v>
      </c>
    </row>
    <row r="1595" customFormat="false" ht="15" hidden="false" customHeight="false" outlineLevel="0" collapsed="false">
      <c r="A1595" s="8" t="s">
        <v>6208</v>
      </c>
      <c r="B1595" s="8" t="s">
        <v>171</v>
      </c>
      <c r="C1595" s="8" t="s">
        <v>55</v>
      </c>
      <c r="D1595" s="32" t="n">
        <v>46067</v>
      </c>
      <c r="E1595" s="8" t="n">
        <v>10</v>
      </c>
      <c r="F1595" s="8" t="str">
        <f aca="false">IF(E1595&gt;=9,"Promoter",IF(E1595&gt;=7,"Passive","Detractor"))</f>
        <v>Promoter</v>
      </c>
    </row>
    <row r="1596" customFormat="false" ht="15" hidden="false" customHeight="false" outlineLevel="0" collapsed="false">
      <c r="A1596" s="8" t="s">
        <v>6209</v>
      </c>
      <c r="B1596" s="8" t="s">
        <v>2572</v>
      </c>
      <c r="C1596" s="8" t="s">
        <v>51</v>
      </c>
      <c r="D1596" s="32" t="n">
        <v>46067</v>
      </c>
      <c r="E1596" s="8" t="n">
        <v>6</v>
      </c>
      <c r="F1596" s="8" t="str">
        <f aca="false">IF(E1596&gt;=9,"Promoter",IF(E1596&gt;=7,"Passive","Detractor"))</f>
        <v>Detractor</v>
      </c>
    </row>
    <row r="1597" customFormat="false" ht="15" hidden="false" customHeight="false" outlineLevel="0" collapsed="false">
      <c r="A1597" s="8" t="s">
        <v>6210</v>
      </c>
      <c r="B1597" s="8" t="s">
        <v>481</v>
      </c>
      <c r="C1597" s="8" t="s">
        <v>55</v>
      </c>
      <c r="D1597" s="32" t="n">
        <v>46067</v>
      </c>
      <c r="E1597" s="8" t="n">
        <v>5</v>
      </c>
      <c r="F1597" s="8" t="str">
        <f aca="false">IF(E1597&gt;=9,"Promoter",IF(E1597&gt;=7,"Passive","Detractor"))</f>
        <v>Detractor</v>
      </c>
    </row>
    <row r="1598" customFormat="false" ht="15" hidden="false" customHeight="false" outlineLevel="0" collapsed="false">
      <c r="A1598" s="8" t="s">
        <v>6211</v>
      </c>
      <c r="B1598" s="8" t="s">
        <v>1131</v>
      </c>
      <c r="C1598" s="8" t="s">
        <v>53</v>
      </c>
      <c r="D1598" s="32" t="n">
        <v>46067</v>
      </c>
      <c r="E1598" s="8" t="n">
        <v>8</v>
      </c>
      <c r="F1598" s="8" t="str">
        <f aca="false">IF(E1598&gt;=9,"Promoter",IF(E1598&gt;=7,"Passive","Detractor"))</f>
        <v>Passive</v>
      </c>
    </row>
    <row r="1599" customFormat="false" ht="15" hidden="false" customHeight="false" outlineLevel="0" collapsed="false">
      <c r="A1599" s="8" t="s">
        <v>6212</v>
      </c>
      <c r="B1599" s="8" t="s">
        <v>3030</v>
      </c>
      <c r="C1599" s="8" t="s">
        <v>51</v>
      </c>
      <c r="D1599" s="32" t="n">
        <v>46067</v>
      </c>
      <c r="E1599" s="8" t="n">
        <v>7</v>
      </c>
      <c r="F1599" s="8" t="str">
        <f aca="false">IF(E1599&gt;=9,"Promoter",IF(E1599&gt;=7,"Passive","Detractor"))</f>
        <v>Passive</v>
      </c>
    </row>
    <row r="1600" customFormat="false" ht="15" hidden="false" customHeight="false" outlineLevel="0" collapsed="false">
      <c r="A1600" s="8" t="s">
        <v>6213</v>
      </c>
      <c r="B1600" s="8" t="s">
        <v>4132</v>
      </c>
      <c r="C1600" s="8" t="s">
        <v>51</v>
      </c>
      <c r="D1600" s="32" t="n">
        <v>46067</v>
      </c>
      <c r="E1600" s="8" t="n">
        <v>7</v>
      </c>
      <c r="F1600" s="8" t="str">
        <f aca="false">IF(E1600&gt;=9,"Promoter",IF(E1600&gt;=7,"Passive","Detractor"))</f>
        <v>Passive</v>
      </c>
    </row>
    <row r="1601" customFormat="false" ht="15" hidden="false" customHeight="false" outlineLevel="0" collapsed="false">
      <c r="A1601" s="8" t="s">
        <v>6214</v>
      </c>
      <c r="B1601" s="8" t="s">
        <v>3080</v>
      </c>
      <c r="C1601" s="8" t="s">
        <v>51</v>
      </c>
      <c r="D1601" s="32" t="n">
        <v>46067</v>
      </c>
      <c r="E1601" s="8" t="n">
        <v>9</v>
      </c>
      <c r="F1601" s="8" t="str">
        <f aca="false">IF(E1601&gt;=9,"Promoter",IF(E1601&gt;=7,"Passive","Detractor"))</f>
        <v>Promoter</v>
      </c>
    </row>
    <row r="1602" customFormat="false" ht="15" hidden="false" customHeight="false" outlineLevel="0" collapsed="false">
      <c r="A1602" s="8" t="s">
        <v>6215</v>
      </c>
      <c r="B1602" s="8" t="s">
        <v>3090</v>
      </c>
      <c r="C1602" s="8" t="s">
        <v>51</v>
      </c>
      <c r="D1602" s="32" t="n">
        <v>46067</v>
      </c>
      <c r="E1602" s="8" t="n">
        <v>10</v>
      </c>
      <c r="F1602" s="8" t="str">
        <f aca="false">IF(E1602&gt;=9,"Promoter",IF(E1602&gt;=7,"Passive","Detractor"))</f>
        <v>Promoter</v>
      </c>
    </row>
    <row r="1603" customFormat="false" ht="15" hidden="false" customHeight="false" outlineLevel="0" collapsed="false">
      <c r="A1603" s="8" t="s">
        <v>6216</v>
      </c>
      <c r="B1603" s="8" t="s">
        <v>1399</v>
      </c>
      <c r="C1603" s="8" t="s">
        <v>53</v>
      </c>
      <c r="D1603" s="32" t="n">
        <v>46068</v>
      </c>
      <c r="E1603" s="8" t="n">
        <v>10</v>
      </c>
      <c r="F1603" s="8" t="str">
        <f aca="false">IF(E1603&gt;=9,"Promoter",IF(E1603&gt;=7,"Passive","Detractor"))</f>
        <v>Promoter</v>
      </c>
    </row>
    <row r="1604" customFormat="false" ht="15" hidden="false" customHeight="false" outlineLevel="0" collapsed="false">
      <c r="A1604" s="8" t="s">
        <v>6217</v>
      </c>
      <c r="B1604" s="8" t="s">
        <v>224</v>
      </c>
      <c r="C1604" s="8" t="s">
        <v>55</v>
      </c>
      <c r="D1604" s="32" t="n">
        <v>46068</v>
      </c>
      <c r="E1604" s="8" t="n">
        <v>6</v>
      </c>
      <c r="F1604" s="8" t="str">
        <f aca="false">IF(E1604&gt;=9,"Promoter",IF(E1604&gt;=7,"Passive","Detractor"))</f>
        <v>Detractor</v>
      </c>
    </row>
    <row r="1605" customFormat="false" ht="15" hidden="false" customHeight="false" outlineLevel="0" collapsed="false">
      <c r="A1605" s="8" t="s">
        <v>6218</v>
      </c>
      <c r="B1605" s="8" t="s">
        <v>4008</v>
      </c>
      <c r="C1605" s="8" t="s">
        <v>51</v>
      </c>
      <c r="D1605" s="32" t="n">
        <v>46068</v>
      </c>
      <c r="E1605" s="8" t="n">
        <v>10</v>
      </c>
      <c r="F1605" s="8" t="str">
        <f aca="false">IF(E1605&gt;=9,"Promoter",IF(E1605&gt;=7,"Passive","Detractor"))</f>
        <v>Promoter</v>
      </c>
    </row>
    <row r="1606" customFormat="false" ht="15" hidden="false" customHeight="false" outlineLevel="0" collapsed="false">
      <c r="A1606" s="8" t="s">
        <v>6219</v>
      </c>
      <c r="B1606" s="8" t="s">
        <v>1803</v>
      </c>
      <c r="C1606" s="8" t="s">
        <v>53</v>
      </c>
      <c r="D1606" s="32" t="n">
        <v>46068</v>
      </c>
      <c r="E1606" s="8" t="n">
        <v>10</v>
      </c>
      <c r="F1606" s="8" t="str">
        <f aca="false">IF(E1606&gt;=9,"Promoter",IF(E1606&gt;=7,"Passive","Detractor"))</f>
        <v>Promoter</v>
      </c>
    </row>
    <row r="1607" customFormat="false" ht="15" hidden="false" customHeight="false" outlineLevel="0" collapsed="false">
      <c r="A1607" s="8" t="s">
        <v>6220</v>
      </c>
      <c r="B1607" s="8" t="s">
        <v>523</v>
      </c>
      <c r="C1607" s="8" t="s">
        <v>55</v>
      </c>
      <c r="D1607" s="32" t="n">
        <v>46068</v>
      </c>
      <c r="E1607" s="8" t="n">
        <v>7</v>
      </c>
      <c r="F1607" s="8" t="str">
        <f aca="false">IF(E1607&gt;=9,"Promoter",IF(E1607&gt;=7,"Passive","Detractor"))</f>
        <v>Passive</v>
      </c>
    </row>
    <row r="1608" customFormat="false" ht="15" hidden="false" customHeight="false" outlineLevel="0" collapsed="false">
      <c r="A1608" s="8" t="s">
        <v>6221</v>
      </c>
      <c r="B1608" s="8" t="s">
        <v>2060</v>
      </c>
      <c r="C1608" s="8" t="s">
        <v>51</v>
      </c>
      <c r="D1608" s="32" t="n">
        <v>46068</v>
      </c>
      <c r="E1608" s="8" t="n">
        <v>10</v>
      </c>
      <c r="F1608" s="8" t="str">
        <f aca="false">IF(E1608&gt;=9,"Promoter",IF(E1608&gt;=7,"Passive","Detractor"))</f>
        <v>Promoter</v>
      </c>
    </row>
    <row r="1609" customFormat="false" ht="15" hidden="false" customHeight="false" outlineLevel="0" collapsed="false">
      <c r="A1609" s="8" t="s">
        <v>6222</v>
      </c>
      <c r="B1609" s="8" t="s">
        <v>2972</v>
      </c>
      <c r="C1609" s="8" t="s">
        <v>51</v>
      </c>
      <c r="D1609" s="32" t="n">
        <v>46069</v>
      </c>
      <c r="E1609" s="8" t="n">
        <v>9</v>
      </c>
      <c r="F1609" s="8" t="str">
        <f aca="false">IF(E1609&gt;=9,"Promoter",IF(E1609&gt;=7,"Passive","Detractor"))</f>
        <v>Promoter</v>
      </c>
    </row>
    <row r="1610" customFormat="false" ht="15" hidden="false" customHeight="false" outlineLevel="0" collapsed="false">
      <c r="A1610" s="8" t="s">
        <v>6223</v>
      </c>
      <c r="B1610" s="8" t="s">
        <v>3488</v>
      </c>
      <c r="C1610" s="8" t="s">
        <v>51</v>
      </c>
      <c r="D1610" s="32" t="n">
        <v>46069</v>
      </c>
      <c r="E1610" s="8" t="n">
        <v>10</v>
      </c>
      <c r="F1610" s="8" t="str">
        <f aca="false">IF(E1610&gt;=9,"Promoter",IF(E1610&gt;=7,"Passive","Detractor"))</f>
        <v>Promoter</v>
      </c>
    </row>
    <row r="1611" customFormat="false" ht="15" hidden="false" customHeight="false" outlineLevel="0" collapsed="false">
      <c r="A1611" s="8" t="s">
        <v>6224</v>
      </c>
      <c r="B1611" s="8" t="s">
        <v>4407</v>
      </c>
      <c r="C1611" s="8" t="s">
        <v>55</v>
      </c>
      <c r="D1611" s="32" t="n">
        <v>46069</v>
      </c>
      <c r="E1611" s="8" t="n">
        <v>5</v>
      </c>
      <c r="F1611" s="8" t="str">
        <f aca="false">IF(E1611&gt;=9,"Promoter",IF(E1611&gt;=7,"Passive","Detractor"))</f>
        <v>Detractor</v>
      </c>
    </row>
    <row r="1612" customFormat="false" ht="15" hidden="false" customHeight="false" outlineLevel="0" collapsed="false">
      <c r="A1612" s="8" t="s">
        <v>6225</v>
      </c>
      <c r="B1612" s="8" t="s">
        <v>1967</v>
      </c>
      <c r="C1612" s="8" t="s">
        <v>51</v>
      </c>
      <c r="D1612" s="32" t="n">
        <v>46069</v>
      </c>
      <c r="E1612" s="8" t="n">
        <v>7</v>
      </c>
      <c r="F1612" s="8" t="str">
        <f aca="false">IF(E1612&gt;=9,"Promoter",IF(E1612&gt;=7,"Passive","Detractor"))</f>
        <v>Passive</v>
      </c>
    </row>
    <row r="1613" customFormat="false" ht="15" hidden="false" customHeight="false" outlineLevel="0" collapsed="false">
      <c r="A1613" s="8" t="s">
        <v>6226</v>
      </c>
      <c r="B1613" s="8" t="s">
        <v>2642</v>
      </c>
      <c r="C1613" s="8" t="s">
        <v>51</v>
      </c>
      <c r="D1613" s="32" t="n">
        <v>46069</v>
      </c>
      <c r="E1613" s="8" t="n">
        <v>7</v>
      </c>
      <c r="F1613" s="8" t="str">
        <f aca="false">IF(E1613&gt;=9,"Promoter",IF(E1613&gt;=7,"Passive","Detractor"))</f>
        <v>Passive</v>
      </c>
    </row>
    <row r="1614" customFormat="false" ht="15" hidden="false" customHeight="false" outlineLevel="0" collapsed="false">
      <c r="A1614" s="8" t="s">
        <v>6227</v>
      </c>
      <c r="B1614" s="8" t="s">
        <v>4561</v>
      </c>
      <c r="C1614" s="8" t="s">
        <v>51</v>
      </c>
      <c r="D1614" s="32" t="n">
        <v>46069</v>
      </c>
      <c r="E1614" s="8" t="n">
        <v>5</v>
      </c>
      <c r="F1614" s="8" t="str">
        <f aca="false">IF(E1614&gt;=9,"Promoter",IF(E1614&gt;=7,"Passive","Detractor"))</f>
        <v>Detractor</v>
      </c>
    </row>
    <row r="1615" customFormat="false" ht="15" hidden="false" customHeight="false" outlineLevel="0" collapsed="false">
      <c r="A1615" s="8" t="s">
        <v>6228</v>
      </c>
      <c r="B1615" s="8" t="s">
        <v>2128</v>
      </c>
      <c r="C1615" s="8" t="s">
        <v>51</v>
      </c>
      <c r="D1615" s="32" t="n">
        <v>46069</v>
      </c>
      <c r="E1615" s="8" t="n">
        <v>7</v>
      </c>
      <c r="F1615" s="8" t="str">
        <f aca="false">IF(E1615&gt;=9,"Promoter",IF(E1615&gt;=7,"Passive","Detractor"))</f>
        <v>Passive</v>
      </c>
    </row>
    <row r="1616" customFormat="false" ht="15" hidden="false" customHeight="false" outlineLevel="0" collapsed="false">
      <c r="A1616" s="8" t="s">
        <v>6229</v>
      </c>
      <c r="B1616" s="8" t="s">
        <v>2460</v>
      </c>
      <c r="C1616" s="8" t="s">
        <v>51</v>
      </c>
      <c r="D1616" s="32" t="n">
        <v>46069</v>
      </c>
      <c r="E1616" s="8" t="n">
        <v>8</v>
      </c>
      <c r="F1616" s="8" t="str">
        <f aca="false">IF(E1616&gt;=9,"Promoter",IF(E1616&gt;=7,"Passive","Detractor"))</f>
        <v>Passive</v>
      </c>
    </row>
    <row r="1617" customFormat="false" ht="15" hidden="false" customHeight="false" outlineLevel="0" collapsed="false">
      <c r="A1617" s="8" t="s">
        <v>6230</v>
      </c>
      <c r="B1617" s="8" t="s">
        <v>6231</v>
      </c>
      <c r="C1617" s="8" t="s">
        <v>53</v>
      </c>
      <c r="D1617" s="32" t="n">
        <v>46069</v>
      </c>
      <c r="E1617" s="8" t="n">
        <v>8</v>
      </c>
      <c r="F1617" s="8" t="str">
        <f aca="false">IF(E1617&gt;=9,"Promoter",IF(E1617&gt;=7,"Passive","Detractor"))</f>
        <v>Passive</v>
      </c>
    </row>
    <row r="1618" customFormat="false" ht="15" hidden="false" customHeight="false" outlineLevel="0" collapsed="false">
      <c r="A1618" s="8" t="s">
        <v>6232</v>
      </c>
      <c r="B1618" s="8" t="s">
        <v>2830</v>
      </c>
      <c r="C1618" s="8" t="s">
        <v>51</v>
      </c>
      <c r="D1618" s="32" t="n">
        <v>46069</v>
      </c>
      <c r="E1618" s="8" t="n">
        <v>5</v>
      </c>
      <c r="F1618" s="8" t="str">
        <f aca="false">IF(E1618&gt;=9,"Promoter",IF(E1618&gt;=7,"Passive","Detractor"))</f>
        <v>Detractor</v>
      </c>
    </row>
    <row r="1619" customFormat="false" ht="15" hidden="false" customHeight="false" outlineLevel="0" collapsed="false">
      <c r="A1619" s="8" t="s">
        <v>6233</v>
      </c>
      <c r="B1619" s="8" t="s">
        <v>3396</v>
      </c>
      <c r="C1619" s="8" t="s">
        <v>51</v>
      </c>
      <c r="D1619" s="32" t="n">
        <v>46070</v>
      </c>
      <c r="E1619" s="8" t="n">
        <v>10</v>
      </c>
      <c r="F1619" s="8" t="str">
        <f aca="false">IF(E1619&gt;=9,"Promoter",IF(E1619&gt;=7,"Passive","Detractor"))</f>
        <v>Promoter</v>
      </c>
    </row>
    <row r="1620" customFormat="false" ht="15" hidden="false" customHeight="false" outlineLevel="0" collapsed="false">
      <c r="A1620" s="8" t="s">
        <v>6234</v>
      </c>
      <c r="B1620" s="8" t="s">
        <v>4218</v>
      </c>
      <c r="C1620" s="8" t="s">
        <v>51</v>
      </c>
      <c r="D1620" s="32" t="n">
        <v>46070</v>
      </c>
      <c r="E1620" s="8" t="n">
        <v>9</v>
      </c>
      <c r="F1620" s="8" t="str">
        <f aca="false">IF(E1620&gt;=9,"Promoter",IF(E1620&gt;=7,"Passive","Detractor"))</f>
        <v>Promoter</v>
      </c>
    </row>
    <row r="1621" customFormat="false" ht="15" hidden="false" customHeight="false" outlineLevel="0" collapsed="false">
      <c r="A1621" s="8" t="s">
        <v>6235</v>
      </c>
      <c r="B1621" s="8" t="s">
        <v>6236</v>
      </c>
      <c r="C1621" s="8" t="s">
        <v>53</v>
      </c>
      <c r="D1621" s="32" t="n">
        <v>46070</v>
      </c>
      <c r="E1621" s="8" t="n">
        <v>6</v>
      </c>
      <c r="F1621" s="8" t="str">
        <f aca="false">IF(E1621&gt;=9,"Promoter",IF(E1621&gt;=7,"Passive","Detractor"))</f>
        <v>Detractor</v>
      </c>
    </row>
    <row r="1622" customFormat="false" ht="15" hidden="false" customHeight="false" outlineLevel="0" collapsed="false">
      <c r="A1622" s="8" t="s">
        <v>6237</v>
      </c>
      <c r="B1622" s="8" t="s">
        <v>2040</v>
      </c>
      <c r="C1622" s="8" t="s">
        <v>51</v>
      </c>
      <c r="D1622" s="32" t="n">
        <v>46070</v>
      </c>
      <c r="E1622" s="8" t="n">
        <v>9</v>
      </c>
      <c r="F1622" s="8" t="str">
        <f aca="false">IF(E1622&gt;=9,"Promoter",IF(E1622&gt;=7,"Passive","Detractor"))</f>
        <v>Promoter</v>
      </c>
    </row>
    <row r="1623" customFormat="false" ht="15" hidden="false" customHeight="false" outlineLevel="0" collapsed="false">
      <c r="A1623" s="8" t="s">
        <v>6238</v>
      </c>
      <c r="B1623" s="8" t="s">
        <v>2940</v>
      </c>
      <c r="C1623" s="8" t="s">
        <v>51</v>
      </c>
      <c r="D1623" s="32" t="n">
        <v>46070</v>
      </c>
      <c r="E1623" s="8" t="n">
        <v>10</v>
      </c>
      <c r="F1623" s="8" t="str">
        <f aca="false">IF(E1623&gt;=9,"Promoter",IF(E1623&gt;=7,"Passive","Detractor"))</f>
        <v>Promoter</v>
      </c>
    </row>
    <row r="1624" customFormat="false" ht="15" hidden="false" customHeight="false" outlineLevel="0" collapsed="false">
      <c r="A1624" s="8" t="s">
        <v>6239</v>
      </c>
      <c r="B1624" s="8" t="s">
        <v>1463</v>
      </c>
      <c r="C1624" s="8" t="s">
        <v>53</v>
      </c>
      <c r="D1624" s="32" t="n">
        <v>46070</v>
      </c>
      <c r="E1624" s="8" t="n">
        <v>7</v>
      </c>
      <c r="F1624" s="8" t="str">
        <f aca="false">IF(E1624&gt;=9,"Promoter",IF(E1624&gt;=7,"Passive","Detractor"))</f>
        <v>Passive</v>
      </c>
    </row>
    <row r="1625" customFormat="false" ht="15" hidden="false" customHeight="false" outlineLevel="0" collapsed="false">
      <c r="A1625" s="8" t="s">
        <v>6240</v>
      </c>
      <c r="B1625" s="8" t="s">
        <v>2106</v>
      </c>
      <c r="C1625" s="8" t="s">
        <v>51</v>
      </c>
      <c r="D1625" s="32" t="n">
        <v>46070</v>
      </c>
      <c r="E1625" s="8" t="n">
        <v>9</v>
      </c>
      <c r="F1625" s="8" t="str">
        <f aca="false">IF(E1625&gt;=9,"Promoter",IF(E1625&gt;=7,"Passive","Detractor"))</f>
        <v>Promoter</v>
      </c>
    </row>
    <row r="1626" customFormat="false" ht="15" hidden="false" customHeight="false" outlineLevel="0" collapsed="false">
      <c r="A1626" s="8" t="s">
        <v>6241</v>
      </c>
      <c r="B1626" s="8" t="s">
        <v>335</v>
      </c>
      <c r="C1626" s="8" t="s">
        <v>55</v>
      </c>
      <c r="D1626" s="32" t="n">
        <v>46070</v>
      </c>
      <c r="E1626" s="8" t="n">
        <v>7</v>
      </c>
      <c r="F1626" s="8" t="str">
        <f aca="false">IF(E1626&gt;=9,"Promoter",IF(E1626&gt;=7,"Passive","Detractor"))</f>
        <v>Passive</v>
      </c>
    </row>
    <row r="1627" customFormat="false" ht="15" hidden="false" customHeight="false" outlineLevel="0" collapsed="false">
      <c r="A1627" s="8" t="s">
        <v>6242</v>
      </c>
      <c r="B1627" s="8" t="s">
        <v>1943</v>
      </c>
      <c r="C1627" s="8" t="s">
        <v>51</v>
      </c>
      <c r="D1627" s="32" t="n">
        <v>46071</v>
      </c>
      <c r="E1627" s="8" t="n">
        <v>7</v>
      </c>
      <c r="F1627" s="8" t="str">
        <f aca="false">IF(E1627&gt;=9,"Promoter",IF(E1627&gt;=7,"Passive","Detractor"))</f>
        <v>Passive</v>
      </c>
    </row>
    <row r="1628" customFormat="false" ht="15" hidden="false" customHeight="false" outlineLevel="0" collapsed="false">
      <c r="A1628" s="8" t="s">
        <v>6243</v>
      </c>
      <c r="B1628" s="8" t="s">
        <v>2814</v>
      </c>
      <c r="C1628" s="8" t="s">
        <v>51</v>
      </c>
      <c r="D1628" s="32" t="n">
        <v>46071</v>
      </c>
      <c r="E1628" s="8" t="n">
        <v>10</v>
      </c>
      <c r="F1628" s="8" t="str">
        <f aca="false">IF(E1628&gt;=9,"Promoter",IF(E1628&gt;=7,"Passive","Detractor"))</f>
        <v>Promoter</v>
      </c>
    </row>
    <row r="1629" customFormat="false" ht="15" hidden="false" customHeight="false" outlineLevel="0" collapsed="false">
      <c r="A1629" s="8" t="s">
        <v>6244</v>
      </c>
      <c r="B1629" s="8" t="s">
        <v>2784</v>
      </c>
      <c r="C1629" s="8" t="s">
        <v>51</v>
      </c>
      <c r="D1629" s="32" t="n">
        <v>46071</v>
      </c>
      <c r="E1629" s="8" t="n">
        <v>7</v>
      </c>
      <c r="F1629" s="8" t="str">
        <f aca="false">IF(E1629&gt;=9,"Promoter",IF(E1629&gt;=7,"Passive","Detractor"))</f>
        <v>Passive</v>
      </c>
    </row>
    <row r="1630" customFormat="false" ht="15" hidden="false" customHeight="false" outlineLevel="0" collapsed="false">
      <c r="A1630" s="8" t="s">
        <v>6245</v>
      </c>
      <c r="B1630" s="8" t="s">
        <v>2176</v>
      </c>
      <c r="C1630" s="8" t="s">
        <v>51</v>
      </c>
      <c r="D1630" s="32" t="n">
        <v>46071</v>
      </c>
      <c r="E1630" s="8" t="n">
        <v>9</v>
      </c>
      <c r="F1630" s="8" t="str">
        <f aca="false">IF(E1630&gt;=9,"Promoter",IF(E1630&gt;=7,"Passive","Detractor"))</f>
        <v>Promoter</v>
      </c>
    </row>
    <row r="1631" customFormat="false" ht="15" hidden="false" customHeight="false" outlineLevel="0" collapsed="false">
      <c r="A1631" s="8" t="s">
        <v>6246</v>
      </c>
      <c r="B1631" s="8" t="s">
        <v>337</v>
      </c>
      <c r="C1631" s="8" t="s">
        <v>55</v>
      </c>
      <c r="D1631" s="32" t="n">
        <v>46071</v>
      </c>
      <c r="E1631" s="8" t="n">
        <v>10</v>
      </c>
      <c r="F1631" s="8" t="str">
        <f aca="false">IF(E1631&gt;=9,"Promoter",IF(E1631&gt;=7,"Passive","Detractor"))</f>
        <v>Promoter</v>
      </c>
    </row>
    <row r="1632" customFormat="false" ht="15" hidden="false" customHeight="false" outlineLevel="0" collapsed="false">
      <c r="A1632" s="8" t="s">
        <v>6247</v>
      </c>
      <c r="B1632" s="8" t="s">
        <v>1989</v>
      </c>
      <c r="C1632" s="8" t="s">
        <v>51</v>
      </c>
      <c r="D1632" s="32" t="n">
        <v>46071</v>
      </c>
      <c r="E1632" s="8" t="n">
        <v>10</v>
      </c>
      <c r="F1632" s="8" t="str">
        <f aca="false">IF(E1632&gt;=9,"Promoter",IF(E1632&gt;=7,"Passive","Detractor"))</f>
        <v>Promoter</v>
      </c>
    </row>
    <row r="1633" customFormat="false" ht="15" hidden="false" customHeight="false" outlineLevel="0" collapsed="false">
      <c r="A1633" s="8" t="s">
        <v>6248</v>
      </c>
      <c r="B1633" s="8" t="s">
        <v>1657</v>
      </c>
      <c r="C1633" s="8" t="s">
        <v>53</v>
      </c>
      <c r="D1633" s="32" t="n">
        <v>46071</v>
      </c>
      <c r="E1633" s="8" t="n">
        <v>8</v>
      </c>
      <c r="F1633" s="8" t="str">
        <f aca="false">IF(E1633&gt;=9,"Promoter",IF(E1633&gt;=7,"Passive","Detractor"))</f>
        <v>Passive</v>
      </c>
    </row>
    <row r="1634" customFormat="false" ht="15" hidden="false" customHeight="false" outlineLevel="0" collapsed="false">
      <c r="A1634" s="8" t="s">
        <v>6249</v>
      </c>
      <c r="B1634" s="8" t="s">
        <v>327</v>
      </c>
      <c r="C1634" s="8" t="s">
        <v>55</v>
      </c>
      <c r="D1634" s="32" t="n">
        <v>46071</v>
      </c>
      <c r="E1634" s="8" t="n">
        <v>10</v>
      </c>
      <c r="F1634" s="8" t="str">
        <f aca="false">IF(E1634&gt;=9,"Promoter",IF(E1634&gt;=7,"Passive","Detractor"))</f>
        <v>Promoter</v>
      </c>
    </row>
    <row r="1635" customFormat="false" ht="15" hidden="false" customHeight="false" outlineLevel="0" collapsed="false">
      <c r="A1635" s="8" t="s">
        <v>6250</v>
      </c>
      <c r="B1635" s="8" t="s">
        <v>258</v>
      </c>
      <c r="C1635" s="8" t="s">
        <v>55</v>
      </c>
      <c r="D1635" s="32" t="n">
        <v>46071</v>
      </c>
      <c r="E1635" s="8" t="n">
        <v>6</v>
      </c>
      <c r="F1635" s="8" t="str">
        <f aca="false">IF(E1635&gt;=9,"Promoter",IF(E1635&gt;=7,"Passive","Detractor"))</f>
        <v>Detractor</v>
      </c>
    </row>
    <row r="1636" customFormat="false" ht="15" hidden="false" customHeight="false" outlineLevel="0" collapsed="false">
      <c r="A1636" s="8" t="s">
        <v>6251</v>
      </c>
      <c r="B1636" s="8" t="s">
        <v>1529</v>
      </c>
      <c r="C1636" s="8" t="s">
        <v>53</v>
      </c>
      <c r="D1636" s="32" t="n">
        <v>46072</v>
      </c>
      <c r="E1636" s="8" t="n">
        <v>10</v>
      </c>
      <c r="F1636" s="8" t="str">
        <f aca="false">IF(E1636&gt;=9,"Promoter",IF(E1636&gt;=7,"Passive","Detractor"))</f>
        <v>Promoter</v>
      </c>
    </row>
    <row r="1637" customFormat="false" ht="15" hidden="false" customHeight="false" outlineLevel="0" collapsed="false">
      <c r="A1637" s="8" t="s">
        <v>6252</v>
      </c>
      <c r="B1637" s="8" t="s">
        <v>3206</v>
      </c>
      <c r="C1637" s="8" t="s">
        <v>51</v>
      </c>
      <c r="D1637" s="32" t="n">
        <v>46072</v>
      </c>
      <c r="E1637" s="8" t="n">
        <v>8</v>
      </c>
      <c r="F1637" s="8" t="str">
        <f aca="false">IF(E1637&gt;=9,"Promoter",IF(E1637&gt;=7,"Passive","Detractor"))</f>
        <v>Passive</v>
      </c>
    </row>
    <row r="1638" customFormat="false" ht="15" hidden="false" customHeight="false" outlineLevel="0" collapsed="false">
      <c r="A1638" s="8" t="s">
        <v>6253</v>
      </c>
      <c r="B1638" s="8" t="s">
        <v>1503</v>
      </c>
      <c r="C1638" s="8" t="s">
        <v>53</v>
      </c>
      <c r="D1638" s="32" t="n">
        <v>46072</v>
      </c>
      <c r="E1638" s="8" t="n">
        <v>10</v>
      </c>
      <c r="F1638" s="8" t="str">
        <f aca="false">IF(E1638&gt;=9,"Promoter",IF(E1638&gt;=7,"Passive","Detractor"))</f>
        <v>Promoter</v>
      </c>
    </row>
    <row r="1639" customFormat="false" ht="15" hidden="false" customHeight="false" outlineLevel="0" collapsed="false">
      <c r="A1639" s="8" t="s">
        <v>6254</v>
      </c>
      <c r="B1639" s="8" t="s">
        <v>2638</v>
      </c>
      <c r="C1639" s="8" t="s">
        <v>51</v>
      </c>
      <c r="D1639" s="32" t="n">
        <v>46072</v>
      </c>
      <c r="E1639" s="8" t="n">
        <v>7</v>
      </c>
      <c r="F1639" s="8" t="str">
        <f aca="false">IF(E1639&gt;=9,"Promoter",IF(E1639&gt;=7,"Passive","Detractor"))</f>
        <v>Passive</v>
      </c>
    </row>
    <row r="1640" customFormat="false" ht="15" hidden="false" customHeight="false" outlineLevel="0" collapsed="false">
      <c r="A1640" s="8" t="s">
        <v>6255</v>
      </c>
      <c r="B1640" s="8" t="s">
        <v>3178</v>
      </c>
      <c r="C1640" s="8" t="s">
        <v>51</v>
      </c>
      <c r="D1640" s="32" t="n">
        <v>46072</v>
      </c>
      <c r="E1640" s="8" t="n">
        <v>10</v>
      </c>
      <c r="F1640" s="8" t="str">
        <f aca="false">IF(E1640&gt;=9,"Promoter",IF(E1640&gt;=7,"Passive","Detractor"))</f>
        <v>Promoter</v>
      </c>
    </row>
    <row r="1641" customFormat="false" ht="15" hidden="false" customHeight="false" outlineLevel="0" collapsed="false">
      <c r="A1641" s="8" t="s">
        <v>6256</v>
      </c>
      <c r="B1641" s="8" t="s">
        <v>1197</v>
      </c>
      <c r="C1641" s="8" t="s">
        <v>53</v>
      </c>
      <c r="D1641" s="32" t="n">
        <v>46072</v>
      </c>
      <c r="E1641" s="8" t="n">
        <v>7</v>
      </c>
      <c r="F1641" s="8" t="str">
        <f aca="false">IF(E1641&gt;=9,"Promoter",IF(E1641&gt;=7,"Passive","Detractor"))</f>
        <v>Passive</v>
      </c>
    </row>
    <row r="1642" customFormat="false" ht="15" hidden="false" customHeight="false" outlineLevel="0" collapsed="false">
      <c r="A1642" s="8" t="s">
        <v>6257</v>
      </c>
      <c r="B1642" s="8" t="s">
        <v>907</v>
      </c>
      <c r="C1642" s="8" t="s">
        <v>53</v>
      </c>
      <c r="D1642" s="32" t="n">
        <v>46072</v>
      </c>
      <c r="E1642" s="8" t="n">
        <v>10</v>
      </c>
      <c r="F1642" s="8" t="str">
        <f aca="false">IF(E1642&gt;=9,"Promoter",IF(E1642&gt;=7,"Passive","Detractor"))</f>
        <v>Promoter</v>
      </c>
    </row>
    <row r="1643" customFormat="false" ht="15" hidden="false" customHeight="false" outlineLevel="0" collapsed="false">
      <c r="A1643" s="8" t="s">
        <v>6258</v>
      </c>
      <c r="B1643" s="8" t="s">
        <v>4118</v>
      </c>
      <c r="C1643" s="8" t="s">
        <v>51</v>
      </c>
      <c r="D1643" s="32" t="n">
        <v>46072</v>
      </c>
      <c r="E1643" s="8" t="n">
        <v>8</v>
      </c>
      <c r="F1643" s="8" t="str">
        <f aca="false">IF(E1643&gt;=9,"Promoter",IF(E1643&gt;=7,"Passive","Detractor"))</f>
        <v>Passive</v>
      </c>
    </row>
    <row r="1644" customFormat="false" ht="15" hidden="false" customHeight="false" outlineLevel="0" collapsed="false">
      <c r="A1644" s="8" t="s">
        <v>6259</v>
      </c>
      <c r="B1644" s="8" t="s">
        <v>659</v>
      </c>
      <c r="C1644" s="8" t="s">
        <v>53</v>
      </c>
      <c r="D1644" s="32" t="n">
        <v>46072</v>
      </c>
      <c r="E1644" s="8" t="n">
        <v>6</v>
      </c>
      <c r="F1644" s="8" t="str">
        <f aca="false">IF(E1644&gt;=9,"Promoter",IF(E1644&gt;=7,"Passive","Detractor"))</f>
        <v>Detractor</v>
      </c>
    </row>
    <row r="1645" customFormat="false" ht="15" hidden="false" customHeight="false" outlineLevel="0" collapsed="false">
      <c r="A1645" s="8" t="s">
        <v>6260</v>
      </c>
      <c r="B1645" s="8" t="s">
        <v>669</v>
      </c>
      <c r="C1645" s="8" t="s">
        <v>53</v>
      </c>
      <c r="D1645" s="32" t="n">
        <v>46072</v>
      </c>
      <c r="E1645" s="8" t="n">
        <v>8</v>
      </c>
      <c r="F1645" s="8" t="str">
        <f aca="false">IF(E1645&gt;=9,"Promoter",IF(E1645&gt;=7,"Passive","Detractor"))</f>
        <v>Passive</v>
      </c>
    </row>
    <row r="1646" customFormat="false" ht="15" hidden="false" customHeight="false" outlineLevel="0" collapsed="false">
      <c r="A1646" s="8" t="s">
        <v>6261</v>
      </c>
      <c r="B1646" s="8" t="s">
        <v>3534</v>
      </c>
      <c r="C1646" s="8" t="s">
        <v>51</v>
      </c>
      <c r="D1646" s="32" t="n">
        <v>46072</v>
      </c>
      <c r="E1646" s="8" t="n">
        <v>10</v>
      </c>
      <c r="F1646" s="8" t="str">
        <f aca="false">IF(E1646&gt;=9,"Promoter",IF(E1646&gt;=7,"Passive","Detractor"))</f>
        <v>Promoter</v>
      </c>
    </row>
    <row r="1647" customFormat="false" ht="15" hidden="false" customHeight="false" outlineLevel="0" collapsed="false">
      <c r="A1647" s="8" t="s">
        <v>6262</v>
      </c>
      <c r="B1647" s="8" t="s">
        <v>2138</v>
      </c>
      <c r="C1647" s="8" t="s">
        <v>51</v>
      </c>
      <c r="D1647" s="32" t="n">
        <v>46072</v>
      </c>
      <c r="E1647" s="8" t="n">
        <v>9</v>
      </c>
      <c r="F1647" s="8" t="str">
        <f aca="false">IF(E1647&gt;=9,"Promoter",IF(E1647&gt;=7,"Passive","Detractor"))</f>
        <v>Promoter</v>
      </c>
    </row>
    <row r="1648" customFormat="false" ht="15" hidden="false" customHeight="false" outlineLevel="0" collapsed="false">
      <c r="A1648" s="8" t="s">
        <v>6263</v>
      </c>
      <c r="B1648" s="8" t="s">
        <v>2832</v>
      </c>
      <c r="C1648" s="8" t="s">
        <v>51</v>
      </c>
      <c r="D1648" s="32" t="n">
        <v>46072</v>
      </c>
      <c r="E1648" s="8" t="n">
        <v>8</v>
      </c>
      <c r="F1648" s="8" t="str">
        <f aca="false">IF(E1648&gt;=9,"Promoter",IF(E1648&gt;=7,"Passive","Detractor"))</f>
        <v>Passive</v>
      </c>
    </row>
    <row r="1649" customFormat="false" ht="15" hidden="false" customHeight="false" outlineLevel="0" collapsed="false">
      <c r="A1649" s="8" t="s">
        <v>6264</v>
      </c>
      <c r="B1649" s="8" t="s">
        <v>4423</v>
      </c>
      <c r="C1649" s="8" t="s">
        <v>53</v>
      </c>
      <c r="D1649" s="32" t="n">
        <v>46073</v>
      </c>
      <c r="E1649" s="8" t="n">
        <v>9</v>
      </c>
      <c r="F1649" s="8" t="str">
        <f aca="false">IF(E1649&gt;=9,"Promoter",IF(E1649&gt;=7,"Passive","Detractor"))</f>
        <v>Promoter</v>
      </c>
    </row>
    <row r="1650" customFormat="false" ht="15" hidden="false" customHeight="false" outlineLevel="0" collapsed="false">
      <c r="A1650" s="8" t="s">
        <v>6265</v>
      </c>
      <c r="B1650" s="8" t="s">
        <v>1291</v>
      </c>
      <c r="C1650" s="8" t="s">
        <v>53</v>
      </c>
      <c r="D1650" s="32" t="n">
        <v>46073</v>
      </c>
      <c r="E1650" s="8" t="n">
        <v>10</v>
      </c>
      <c r="F1650" s="8" t="str">
        <f aca="false">IF(E1650&gt;=9,"Promoter",IF(E1650&gt;=7,"Passive","Detractor"))</f>
        <v>Promoter</v>
      </c>
    </row>
    <row r="1651" customFormat="false" ht="15" hidden="false" customHeight="false" outlineLevel="0" collapsed="false">
      <c r="A1651" s="8" t="s">
        <v>6266</v>
      </c>
      <c r="B1651" s="8" t="s">
        <v>485</v>
      </c>
      <c r="C1651" s="8" t="s">
        <v>53</v>
      </c>
      <c r="D1651" s="32" t="n">
        <v>46073</v>
      </c>
      <c r="E1651" s="8" t="n">
        <v>9</v>
      </c>
      <c r="F1651" s="8" t="str">
        <f aca="false">IF(E1651&gt;=9,"Promoter",IF(E1651&gt;=7,"Passive","Detractor"))</f>
        <v>Promoter</v>
      </c>
    </row>
    <row r="1652" customFormat="false" ht="15" hidden="false" customHeight="false" outlineLevel="0" collapsed="false">
      <c r="A1652" s="8" t="s">
        <v>6267</v>
      </c>
      <c r="B1652" s="8" t="s">
        <v>501</v>
      </c>
      <c r="C1652" s="8" t="s">
        <v>53</v>
      </c>
      <c r="D1652" s="32" t="n">
        <v>46073</v>
      </c>
      <c r="E1652" s="8" t="n">
        <v>7</v>
      </c>
      <c r="F1652" s="8" t="str">
        <f aca="false">IF(E1652&gt;=9,"Promoter",IF(E1652&gt;=7,"Passive","Detractor"))</f>
        <v>Passive</v>
      </c>
    </row>
    <row r="1653" customFormat="false" ht="15" hidden="false" customHeight="false" outlineLevel="0" collapsed="false">
      <c r="A1653" s="8" t="s">
        <v>6268</v>
      </c>
      <c r="B1653" s="8" t="s">
        <v>1219</v>
      </c>
      <c r="C1653" s="8" t="s">
        <v>53</v>
      </c>
      <c r="D1653" s="32" t="n">
        <v>46073</v>
      </c>
      <c r="E1653" s="8" t="n">
        <v>4</v>
      </c>
      <c r="F1653" s="8" t="str">
        <f aca="false">IF(E1653&gt;=9,"Promoter",IF(E1653&gt;=7,"Passive","Detractor"))</f>
        <v>Detractor</v>
      </c>
    </row>
    <row r="1654" customFormat="false" ht="15" hidden="false" customHeight="false" outlineLevel="0" collapsed="false">
      <c r="A1654" s="8" t="s">
        <v>6269</v>
      </c>
      <c r="B1654" s="8" t="s">
        <v>1817</v>
      </c>
      <c r="C1654" s="8" t="s">
        <v>51</v>
      </c>
      <c r="D1654" s="32" t="n">
        <v>46073</v>
      </c>
      <c r="E1654" s="8" t="n">
        <v>7</v>
      </c>
      <c r="F1654" s="8" t="str">
        <f aca="false">IF(E1654&gt;=9,"Promoter",IF(E1654&gt;=7,"Passive","Detractor"))</f>
        <v>Passive</v>
      </c>
    </row>
    <row r="1655" customFormat="false" ht="15" hidden="false" customHeight="false" outlineLevel="0" collapsed="false">
      <c r="A1655" s="8" t="s">
        <v>6270</v>
      </c>
      <c r="B1655" s="8" t="s">
        <v>195</v>
      </c>
      <c r="C1655" s="8" t="s">
        <v>55</v>
      </c>
      <c r="D1655" s="32" t="n">
        <v>46073</v>
      </c>
      <c r="E1655" s="8" t="n">
        <v>9</v>
      </c>
      <c r="F1655" s="8" t="str">
        <f aca="false">IF(E1655&gt;=9,"Promoter",IF(E1655&gt;=7,"Passive","Detractor"))</f>
        <v>Promoter</v>
      </c>
    </row>
    <row r="1656" customFormat="false" ht="15" hidden="false" customHeight="false" outlineLevel="0" collapsed="false">
      <c r="A1656" s="8" t="s">
        <v>6271</v>
      </c>
      <c r="B1656" s="8" t="s">
        <v>2402</v>
      </c>
      <c r="C1656" s="8" t="s">
        <v>51</v>
      </c>
      <c r="D1656" s="32" t="n">
        <v>46073</v>
      </c>
      <c r="E1656" s="8" t="n">
        <v>10</v>
      </c>
      <c r="F1656" s="8" t="str">
        <f aca="false">IF(E1656&gt;=9,"Promoter",IF(E1656&gt;=7,"Passive","Detractor"))</f>
        <v>Promoter</v>
      </c>
    </row>
    <row r="1657" customFormat="false" ht="15" hidden="false" customHeight="false" outlineLevel="0" collapsed="false">
      <c r="A1657" s="8" t="s">
        <v>6272</v>
      </c>
      <c r="B1657" s="8" t="s">
        <v>2472</v>
      </c>
      <c r="C1657" s="8" t="s">
        <v>51</v>
      </c>
      <c r="D1657" s="32" t="n">
        <v>46073</v>
      </c>
      <c r="E1657" s="8" t="n">
        <v>6</v>
      </c>
      <c r="F1657" s="8" t="str">
        <f aca="false">IF(E1657&gt;=9,"Promoter",IF(E1657&gt;=7,"Passive","Detractor"))</f>
        <v>Detractor</v>
      </c>
    </row>
    <row r="1658" customFormat="false" ht="15" hidden="false" customHeight="false" outlineLevel="0" collapsed="false">
      <c r="A1658" s="8" t="s">
        <v>6273</v>
      </c>
      <c r="B1658" s="8" t="s">
        <v>1705</v>
      </c>
      <c r="C1658" s="8" t="s">
        <v>53</v>
      </c>
      <c r="D1658" s="32" t="n">
        <v>46073</v>
      </c>
      <c r="E1658" s="8" t="n">
        <v>5</v>
      </c>
      <c r="F1658" s="8" t="str">
        <f aca="false">IF(E1658&gt;=9,"Promoter",IF(E1658&gt;=7,"Passive","Detractor"))</f>
        <v>Detractor</v>
      </c>
    </row>
    <row r="1659" customFormat="false" ht="15" hidden="false" customHeight="false" outlineLevel="0" collapsed="false">
      <c r="A1659" s="8" t="s">
        <v>6274</v>
      </c>
      <c r="B1659" s="8" t="s">
        <v>1551</v>
      </c>
      <c r="C1659" s="8" t="s">
        <v>53</v>
      </c>
      <c r="D1659" s="32" t="n">
        <v>46073</v>
      </c>
      <c r="E1659" s="8" t="n">
        <v>10</v>
      </c>
      <c r="F1659" s="8" t="str">
        <f aca="false">IF(E1659&gt;=9,"Promoter",IF(E1659&gt;=7,"Passive","Detractor"))</f>
        <v>Promoter</v>
      </c>
    </row>
    <row r="1660" customFormat="false" ht="15" hidden="false" customHeight="false" outlineLevel="0" collapsed="false">
      <c r="A1660" s="8" t="s">
        <v>6275</v>
      </c>
      <c r="B1660" s="8" t="s">
        <v>4531</v>
      </c>
      <c r="C1660" s="8" t="s">
        <v>51</v>
      </c>
      <c r="D1660" s="32" t="n">
        <v>46073</v>
      </c>
      <c r="E1660" s="8" t="n">
        <v>3</v>
      </c>
      <c r="F1660" s="8" t="str">
        <f aca="false">IF(E1660&gt;=9,"Promoter",IF(E1660&gt;=7,"Passive","Detractor"))</f>
        <v>Detractor</v>
      </c>
    </row>
    <row r="1661" customFormat="false" ht="15" hidden="false" customHeight="false" outlineLevel="0" collapsed="false">
      <c r="A1661" s="8" t="s">
        <v>6276</v>
      </c>
      <c r="B1661" s="8" t="s">
        <v>1745</v>
      </c>
      <c r="C1661" s="8" t="s">
        <v>53</v>
      </c>
      <c r="D1661" s="32" t="n">
        <v>46073</v>
      </c>
      <c r="E1661" s="8" t="n">
        <v>7</v>
      </c>
      <c r="F1661" s="8" t="str">
        <f aca="false">IF(E1661&gt;=9,"Promoter",IF(E1661&gt;=7,"Passive","Detractor"))</f>
        <v>Passive</v>
      </c>
    </row>
    <row r="1662" customFormat="false" ht="15" hidden="false" customHeight="false" outlineLevel="0" collapsed="false">
      <c r="A1662" s="8" t="s">
        <v>6277</v>
      </c>
      <c r="B1662" s="8" t="s">
        <v>2314</v>
      </c>
      <c r="C1662" s="8" t="s">
        <v>51</v>
      </c>
      <c r="D1662" s="32" t="n">
        <v>46074</v>
      </c>
      <c r="E1662" s="8" t="n">
        <v>7</v>
      </c>
      <c r="F1662" s="8" t="str">
        <f aca="false">IF(E1662&gt;=9,"Promoter",IF(E1662&gt;=7,"Passive","Detractor"))</f>
        <v>Passive</v>
      </c>
    </row>
    <row r="1663" customFormat="false" ht="15" hidden="false" customHeight="false" outlineLevel="0" collapsed="false">
      <c r="A1663" s="8" t="s">
        <v>6278</v>
      </c>
      <c r="B1663" s="8" t="s">
        <v>4156</v>
      </c>
      <c r="C1663" s="8" t="s">
        <v>51</v>
      </c>
      <c r="D1663" s="32" t="n">
        <v>46074</v>
      </c>
      <c r="E1663" s="8" t="n">
        <v>9</v>
      </c>
      <c r="F1663" s="8" t="str">
        <f aca="false">IF(E1663&gt;=9,"Promoter",IF(E1663&gt;=7,"Passive","Detractor"))</f>
        <v>Promoter</v>
      </c>
    </row>
    <row r="1664" customFormat="false" ht="15" hidden="false" customHeight="false" outlineLevel="0" collapsed="false">
      <c r="A1664" s="8" t="s">
        <v>6279</v>
      </c>
      <c r="B1664" s="8" t="s">
        <v>839</v>
      </c>
      <c r="C1664" s="8" t="s">
        <v>53</v>
      </c>
      <c r="D1664" s="32" t="n">
        <v>46074</v>
      </c>
      <c r="E1664" s="8" t="n">
        <v>8</v>
      </c>
      <c r="F1664" s="8" t="str">
        <f aca="false">IF(E1664&gt;=9,"Promoter",IF(E1664&gt;=7,"Passive","Detractor"))</f>
        <v>Passive</v>
      </c>
    </row>
    <row r="1665" customFormat="false" ht="15" hidden="false" customHeight="false" outlineLevel="0" collapsed="false">
      <c r="A1665" s="8" t="s">
        <v>6280</v>
      </c>
      <c r="B1665" s="8" t="s">
        <v>4040</v>
      </c>
      <c r="C1665" s="8" t="s">
        <v>51</v>
      </c>
      <c r="D1665" s="32" t="n">
        <v>46074</v>
      </c>
      <c r="E1665" s="8" t="n">
        <v>9</v>
      </c>
      <c r="F1665" s="8" t="str">
        <f aca="false">IF(E1665&gt;=9,"Promoter",IF(E1665&gt;=7,"Passive","Detractor"))</f>
        <v>Promoter</v>
      </c>
    </row>
    <row r="1666" customFormat="false" ht="15" hidden="false" customHeight="false" outlineLevel="0" collapsed="false">
      <c r="A1666" s="8" t="s">
        <v>6281</v>
      </c>
      <c r="B1666" s="8" t="s">
        <v>4252</v>
      </c>
      <c r="C1666" s="8" t="s">
        <v>51</v>
      </c>
      <c r="D1666" s="32" t="n">
        <v>46074</v>
      </c>
      <c r="E1666" s="8" t="n">
        <v>8</v>
      </c>
      <c r="F1666" s="8" t="str">
        <f aca="false">IF(E1666&gt;=9,"Promoter",IF(E1666&gt;=7,"Passive","Detractor"))</f>
        <v>Passive</v>
      </c>
    </row>
    <row r="1667" customFormat="false" ht="15" hidden="false" customHeight="false" outlineLevel="0" collapsed="false">
      <c r="A1667" s="8" t="s">
        <v>6282</v>
      </c>
      <c r="B1667" s="8" t="s">
        <v>2878</v>
      </c>
      <c r="C1667" s="8" t="s">
        <v>51</v>
      </c>
      <c r="D1667" s="32" t="n">
        <v>46074</v>
      </c>
      <c r="E1667" s="8" t="n">
        <v>3</v>
      </c>
      <c r="F1667" s="8" t="str">
        <f aca="false">IF(E1667&gt;=9,"Promoter",IF(E1667&gt;=7,"Passive","Detractor"))</f>
        <v>Detractor</v>
      </c>
    </row>
    <row r="1668" customFormat="false" ht="15" hidden="false" customHeight="false" outlineLevel="0" collapsed="false">
      <c r="A1668" s="8" t="s">
        <v>6283</v>
      </c>
      <c r="B1668" s="8" t="s">
        <v>3314</v>
      </c>
      <c r="C1668" s="8" t="s">
        <v>51</v>
      </c>
      <c r="D1668" s="32" t="n">
        <v>46074</v>
      </c>
      <c r="E1668" s="8" t="n">
        <v>9</v>
      </c>
      <c r="F1668" s="8" t="str">
        <f aca="false">IF(E1668&gt;=9,"Promoter",IF(E1668&gt;=7,"Passive","Detractor"))</f>
        <v>Promoter</v>
      </c>
    </row>
    <row r="1669" customFormat="false" ht="15" hidden="false" customHeight="false" outlineLevel="0" collapsed="false">
      <c r="A1669" s="8" t="s">
        <v>6284</v>
      </c>
      <c r="B1669" s="8" t="s">
        <v>1133</v>
      </c>
      <c r="C1669" s="8" t="s">
        <v>53</v>
      </c>
      <c r="D1669" s="32" t="n">
        <v>46075</v>
      </c>
      <c r="E1669" s="8" t="n">
        <v>9</v>
      </c>
      <c r="F1669" s="8" t="str">
        <f aca="false">IF(E1669&gt;=9,"Promoter",IF(E1669&gt;=7,"Passive","Detractor"))</f>
        <v>Promoter</v>
      </c>
    </row>
    <row r="1670" customFormat="false" ht="15" hidden="false" customHeight="false" outlineLevel="0" collapsed="false">
      <c r="A1670" s="8" t="s">
        <v>6285</v>
      </c>
      <c r="B1670" s="8" t="s">
        <v>2684</v>
      </c>
      <c r="C1670" s="8" t="s">
        <v>51</v>
      </c>
      <c r="D1670" s="32" t="n">
        <v>46075</v>
      </c>
      <c r="E1670" s="8" t="n">
        <v>10</v>
      </c>
      <c r="F1670" s="8" t="str">
        <f aca="false">IF(E1670&gt;=9,"Promoter",IF(E1670&gt;=7,"Passive","Detractor"))</f>
        <v>Promoter</v>
      </c>
    </row>
    <row r="1671" customFormat="false" ht="15" hidden="false" customHeight="false" outlineLevel="0" collapsed="false">
      <c r="A1671" s="8" t="s">
        <v>6286</v>
      </c>
      <c r="B1671" s="8" t="s">
        <v>6287</v>
      </c>
      <c r="C1671" s="8" t="s">
        <v>51</v>
      </c>
      <c r="D1671" s="32" t="n">
        <v>46075</v>
      </c>
      <c r="E1671" s="8" t="n">
        <v>8</v>
      </c>
      <c r="F1671" s="8" t="str">
        <f aca="false">IF(E1671&gt;=9,"Promoter",IF(E1671&gt;=7,"Passive","Detractor"))</f>
        <v>Passive</v>
      </c>
    </row>
    <row r="1672" customFormat="false" ht="15" hidden="false" customHeight="false" outlineLevel="0" collapsed="false">
      <c r="A1672" s="8" t="s">
        <v>6288</v>
      </c>
      <c r="B1672" s="8" t="s">
        <v>1775</v>
      </c>
      <c r="C1672" s="8" t="s">
        <v>53</v>
      </c>
      <c r="D1672" s="32" t="n">
        <v>46075</v>
      </c>
      <c r="E1672" s="8" t="n">
        <v>7</v>
      </c>
      <c r="F1672" s="8" t="str">
        <f aca="false">IF(E1672&gt;=9,"Promoter",IF(E1672&gt;=7,"Passive","Detractor"))</f>
        <v>Passive</v>
      </c>
    </row>
    <row r="1673" customFormat="false" ht="15" hidden="false" customHeight="false" outlineLevel="0" collapsed="false">
      <c r="A1673" s="8" t="s">
        <v>6289</v>
      </c>
      <c r="B1673" s="8" t="s">
        <v>3994</v>
      </c>
      <c r="C1673" s="8" t="s">
        <v>51</v>
      </c>
      <c r="D1673" s="32" t="n">
        <v>46075</v>
      </c>
      <c r="E1673" s="8" t="n">
        <v>6</v>
      </c>
      <c r="F1673" s="8" t="str">
        <f aca="false">IF(E1673&gt;=9,"Promoter",IF(E1673&gt;=7,"Passive","Detractor"))</f>
        <v>Detractor</v>
      </c>
    </row>
    <row r="1674" customFormat="false" ht="15" hidden="false" customHeight="false" outlineLevel="0" collapsed="false">
      <c r="A1674" s="8" t="s">
        <v>6290</v>
      </c>
      <c r="B1674" s="8" t="s">
        <v>280</v>
      </c>
      <c r="C1674" s="8" t="s">
        <v>55</v>
      </c>
      <c r="D1674" s="32" t="n">
        <v>46075</v>
      </c>
      <c r="E1674" s="8" t="n">
        <v>7</v>
      </c>
      <c r="F1674" s="8" t="str">
        <f aca="false">IF(E1674&gt;=9,"Promoter",IF(E1674&gt;=7,"Passive","Detractor"))</f>
        <v>Passive</v>
      </c>
    </row>
    <row r="1675" customFormat="false" ht="15" hidden="false" customHeight="false" outlineLevel="0" collapsed="false">
      <c r="A1675" s="8" t="s">
        <v>6291</v>
      </c>
      <c r="B1675" s="8" t="s">
        <v>115</v>
      </c>
      <c r="C1675" s="8" t="s">
        <v>55</v>
      </c>
      <c r="D1675" s="32" t="n">
        <v>46075</v>
      </c>
      <c r="E1675" s="8" t="n">
        <v>9</v>
      </c>
      <c r="F1675" s="8" t="str">
        <f aca="false">IF(E1675&gt;=9,"Promoter",IF(E1675&gt;=7,"Passive","Detractor"))</f>
        <v>Promoter</v>
      </c>
    </row>
    <row r="1676" customFormat="false" ht="15" hidden="false" customHeight="false" outlineLevel="0" collapsed="false">
      <c r="A1676" s="8" t="s">
        <v>6292</v>
      </c>
      <c r="B1676" s="8" t="s">
        <v>3418</v>
      </c>
      <c r="C1676" s="8" t="s">
        <v>51</v>
      </c>
      <c r="D1676" s="32" t="n">
        <v>46075</v>
      </c>
      <c r="E1676" s="8" t="n">
        <v>8</v>
      </c>
      <c r="F1676" s="8" t="str">
        <f aca="false">IF(E1676&gt;=9,"Promoter",IF(E1676&gt;=7,"Passive","Detractor"))</f>
        <v>Passive</v>
      </c>
    </row>
    <row r="1677" customFormat="false" ht="15" hidden="false" customHeight="false" outlineLevel="0" collapsed="false">
      <c r="A1677" s="8" t="s">
        <v>6293</v>
      </c>
      <c r="B1677" s="8" t="s">
        <v>2320</v>
      </c>
      <c r="C1677" s="8" t="s">
        <v>51</v>
      </c>
      <c r="D1677" s="32" t="n">
        <v>46075</v>
      </c>
      <c r="E1677" s="8" t="n">
        <v>10</v>
      </c>
      <c r="F1677" s="8" t="str">
        <f aca="false">IF(E1677&gt;=9,"Promoter",IF(E1677&gt;=7,"Passive","Detractor"))</f>
        <v>Promoter</v>
      </c>
    </row>
    <row r="1678" customFormat="false" ht="15" hidden="false" customHeight="false" outlineLevel="0" collapsed="false">
      <c r="A1678" s="8" t="s">
        <v>6294</v>
      </c>
      <c r="B1678" s="8" t="s">
        <v>3848</v>
      </c>
      <c r="C1678" s="8" t="s">
        <v>51</v>
      </c>
      <c r="D1678" s="32" t="n">
        <v>46075</v>
      </c>
      <c r="E1678" s="8" t="n">
        <v>9</v>
      </c>
      <c r="F1678" s="8" t="str">
        <f aca="false">IF(E1678&gt;=9,"Promoter",IF(E1678&gt;=7,"Passive","Detractor"))</f>
        <v>Promoter</v>
      </c>
    </row>
    <row r="1679" customFormat="false" ht="15" hidden="false" customHeight="false" outlineLevel="0" collapsed="false">
      <c r="A1679" s="8" t="s">
        <v>6295</v>
      </c>
      <c r="B1679" s="8" t="s">
        <v>2190</v>
      </c>
      <c r="C1679" s="8" t="s">
        <v>51</v>
      </c>
      <c r="D1679" s="32" t="n">
        <v>46075</v>
      </c>
      <c r="E1679" s="8" t="n">
        <v>10</v>
      </c>
      <c r="F1679" s="8" t="str">
        <f aca="false">IF(E1679&gt;=9,"Promoter",IF(E1679&gt;=7,"Passive","Detractor"))</f>
        <v>Promoter</v>
      </c>
    </row>
    <row r="1680" customFormat="false" ht="15" hidden="false" customHeight="false" outlineLevel="0" collapsed="false">
      <c r="A1680" s="8" t="s">
        <v>6296</v>
      </c>
      <c r="B1680" s="8" t="s">
        <v>871</v>
      </c>
      <c r="C1680" s="8" t="s">
        <v>53</v>
      </c>
      <c r="D1680" s="32" t="n">
        <v>46075</v>
      </c>
      <c r="E1680" s="8" t="n">
        <v>9</v>
      </c>
      <c r="F1680" s="8" t="str">
        <f aca="false">IF(E1680&gt;=9,"Promoter",IF(E1680&gt;=7,"Passive","Detractor"))</f>
        <v>Promoter</v>
      </c>
    </row>
    <row r="1681" customFormat="false" ht="15" hidden="false" customHeight="false" outlineLevel="0" collapsed="false">
      <c r="A1681" s="8" t="s">
        <v>6297</v>
      </c>
      <c r="B1681" s="8" t="s">
        <v>2025</v>
      </c>
      <c r="C1681" s="8" t="s">
        <v>51</v>
      </c>
      <c r="D1681" s="32" t="n">
        <v>46076</v>
      </c>
      <c r="E1681" s="8" t="n">
        <v>10</v>
      </c>
      <c r="F1681" s="8" t="str">
        <f aca="false">IF(E1681&gt;=9,"Promoter",IF(E1681&gt;=7,"Passive","Detractor"))</f>
        <v>Promoter</v>
      </c>
    </row>
    <row r="1682" customFormat="false" ht="15" hidden="false" customHeight="false" outlineLevel="0" collapsed="false">
      <c r="A1682" s="8" t="s">
        <v>6298</v>
      </c>
      <c r="B1682" s="8" t="s">
        <v>687</v>
      </c>
      <c r="C1682" s="8" t="s">
        <v>53</v>
      </c>
      <c r="D1682" s="32" t="n">
        <v>46076</v>
      </c>
      <c r="E1682" s="8" t="n">
        <v>8</v>
      </c>
      <c r="F1682" s="8" t="str">
        <f aca="false">IF(E1682&gt;=9,"Promoter",IF(E1682&gt;=7,"Passive","Detractor"))</f>
        <v>Passive</v>
      </c>
    </row>
    <row r="1683" customFormat="false" ht="15" hidden="false" customHeight="false" outlineLevel="0" collapsed="false">
      <c r="A1683" s="8" t="s">
        <v>6299</v>
      </c>
      <c r="B1683" s="8" t="s">
        <v>2420</v>
      </c>
      <c r="C1683" s="8" t="s">
        <v>51</v>
      </c>
      <c r="D1683" s="32" t="n">
        <v>46076</v>
      </c>
      <c r="E1683" s="8" t="n">
        <v>10</v>
      </c>
      <c r="F1683" s="8" t="str">
        <f aca="false">IF(E1683&gt;=9,"Promoter",IF(E1683&gt;=7,"Passive","Detractor"))</f>
        <v>Promoter</v>
      </c>
    </row>
    <row r="1684" customFormat="false" ht="15" hidden="false" customHeight="false" outlineLevel="0" collapsed="false">
      <c r="A1684" s="8" t="s">
        <v>6300</v>
      </c>
      <c r="B1684" s="8" t="s">
        <v>2032</v>
      </c>
      <c r="C1684" s="8" t="s">
        <v>51</v>
      </c>
      <c r="D1684" s="32" t="n">
        <v>46076</v>
      </c>
      <c r="E1684" s="8" t="n">
        <v>7</v>
      </c>
      <c r="F1684" s="8" t="str">
        <f aca="false">IF(E1684&gt;=9,"Promoter",IF(E1684&gt;=7,"Passive","Detractor"))</f>
        <v>Passive</v>
      </c>
    </row>
    <row r="1685" customFormat="false" ht="15" hidden="false" customHeight="false" outlineLevel="0" collapsed="false">
      <c r="A1685" s="8" t="s">
        <v>6301</v>
      </c>
      <c r="B1685" s="8" t="s">
        <v>451</v>
      </c>
      <c r="C1685" s="8" t="s">
        <v>55</v>
      </c>
      <c r="D1685" s="32" t="n">
        <v>46076</v>
      </c>
      <c r="E1685" s="8" t="n">
        <v>8</v>
      </c>
      <c r="F1685" s="8" t="str">
        <f aca="false">IF(E1685&gt;=9,"Promoter",IF(E1685&gt;=7,"Passive","Detractor"))</f>
        <v>Passive</v>
      </c>
    </row>
    <row r="1686" customFormat="false" ht="15" hidden="false" customHeight="false" outlineLevel="0" collapsed="false">
      <c r="A1686" s="8" t="s">
        <v>6302</v>
      </c>
      <c r="B1686" s="8" t="s">
        <v>3938</v>
      </c>
      <c r="C1686" s="8" t="s">
        <v>51</v>
      </c>
      <c r="D1686" s="32" t="n">
        <v>46076</v>
      </c>
      <c r="E1686" s="8" t="n">
        <v>7</v>
      </c>
      <c r="F1686" s="8" t="str">
        <f aca="false">IF(E1686&gt;=9,"Promoter",IF(E1686&gt;=7,"Passive","Detractor"))</f>
        <v>Passive</v>
      </c>
    </row>
    <row r="1687" customFormat="false" ht="15" hidden="false" customHeight="false" outlineLevel="0" collapsed="false">
      <c r="A1687" s="8" t="s">
        <v>6303</v>
      </c>
      <c r="B1687" s="8" t="s">
        <v>4530</v>
      </c>
      <c r="C1687" s="8" t="s">
        <v>51</v>
      </c>
      <c r="D1687" s="32" t="n">
        <v>46076</v>
      </c>
      <c r="E1687" s="8" t="n">
        <v>4</v>
      </c>
      <c r="F1687" s="8" t="str">
        <f aca="false">IF(E1687&gt;=9,"Promoter",IF(E1687&gt;=7,"Passive","Detractor"))</f>
        <v>Detractor</v>
      </c>
    </row>
    <row r="1688" customFormat="false" ht="15" hidden="false" customHeight="false" outlineLevel="0" collapsed="false">
      <c r="A1688" s="8" t="s">
        <v>6304</v>
      </c>
      <c r="B1688" s="8" t="s">
        <v>821</v>
      </c>
      <c r="C1688" s="8" t="s">
        <v>53</v>
      </c>
      <c r="D1688" s="32" t="n">
        <v>46076</v>
      </c>
      <c r="E1688" s="8" t="n">
        <v>9</v>
      </c>
      <c r="F1688" s="8" t="str">
        <f aca="false">IF(E1688&gt;=9,"Promoter",IF(E1688&gt;=7,"Passive","Detractor"))</f>
        <v>Promoter</v>
      </c>
    </row>
    <row r="1689" customFormat="false" ht="15" hidden="false" customHeight="false" outlineLevel="0" collapsed="false">
      <c r="A1689" s="8" t="s">
        <v>6305</v>
      </c>
      <c r="B1689" s="8" t="s">
        <v>3766</v>
      </c>
      <c r="C1689" s="8" t="s">
        <v>51</v>
      </c>
      <c r="D1689" s="32" t="n">
        <v>46076</v>
      </c>
      <c r="E1689" s="8" t="n">
        <v>6</v>
      </c>
      <c r="F1689" s="8" t="str">
        <f aca="false">IF(E1689&gt;=9,"Promoter",IF(E1689&gt;=7,"Passive","Detractor"))</f>
        <v>Detractor</v>
      </c>
    </row>
    <row r="1690" customFormat="false" ht="15" hidden="false" customHeight="false" outlineLevel="0" collapsed="false">
      <c r="A1690" s="8" t="s">
        <v>6306</v>
      </c>
      <c r="B1690" s="8" t="s">
        <v>2548</v>
      </c>
      <c r="C1690" s="8" t="s">
        <v>51</v>
      </c>
      <c r="D1690" s="32" t="n">
        <v>46076</v>
      </c>
      <c r="E1690" s="8" t="n">
        <v>7</v>
      </c>
      <c r="F1690" s="8" t="str">
        <f aca="false">IF(E1690&gt;=9,"Promoter",IF(E1690&gt;=7,"Passive","Detractor"))</f>
        <v>Passive</v>
      </c>
    </row>
    <row r="1691" customFormat="false" ht="15" hidden="false" customHeight="false" outlineLevel="0" collapsed="false">
      <c r="A1691" s="8" t="s">
        <v>6307</v>
      </c>
      <c r="B1691" s="8" t="s">
        <v>4450</v>
      </c>
      <c r="C1691" s="8" t="s">
        <v>53</v>
      </c>
      <c r="D1691" s="32" t="n">
        <v>46077</v>
      </c>
      <c r="E1691" s="8" t="n">
        <v>7</v>
      </c>
      <c r="F1691" s="8" t="str">
        <f aca="false">IF(E1691&gt;=9,"Promoter",IF(E1691&gt;=7,"Passive","Detractor"))</f>
        <v>Passive</v>
      </c>
    </row>
    <row r="1692" customFormat="false" ht="15" hidden="false" customHeight="false" outlineLevel="0" collapsed="false">
      <c r="A1692" s="8" t="s">
        <v>6308</v>
      </c>
      <c r="B1692" s="8" t="s">
        <v>1333</v>
      </c>
      <c r="C1692" s="8" t="s">
        <v>53</v>
      </c>
      <c r="D1692" s="32" t="n">
        <v>46077</v>
      </c>
      <c r="E1692" s="8" t="n">
        <v>8</v>
      </c>
      <c r="F1692" s="8" t="str">
        <f aca="false">IF(E1692&gt;=9,"Promoter",IF(E1692&gt;=7,"Passive","Detractor"))</f>
        <v>Passive</v>
      </c>
    </row>
    <row r="1693" customFormat="false" ht="15" hidden="false" customHeight="false" outlineLevel="0" collapsed="false">
      <c r="A1693" s="8" t="s">
        <v>6309</v>
      </c>
      <c r="B1693" s="8" t="s">
        <v>919</v>
      </c>
      <c r="C1693" s="8" t="s">
        <v>53</v>
      </c>
      <c r="D1693" s="32" t="n">
        <v>46077</v>
      </c>
      <c r="E1693" s="8" t="n">
        <v>9</v>
      </c>
      <c r="F1693" s="8" t="str">
        <f aca="false">IF(E1693&gt;=9,"Promoter",IF(E1693&gt;=7,"Passive","Detractor"))</f>
        <v>Promoter</v>
      </c>
    </row>
    <row r="1694" customFormat="false" ht="15" hidden="false" customHeight="false" outlineLevel="0" collapsed="false">
      <c r="A1694" s="8" t="s">
        <v>6310</v>
      </c>
      <c r="B1694" s="8" t="s">
        <v>3914</v>
      </c>
      <c r="C1694" s="8" t="s">
        <v>51</v>
      </c>
      <c r="D1694" s="32" t="n">
        <v>46077</v>
      </c>
      <c r="E1694" s="8" t="n">
        <v>9</v>
      </c>
      <c r="F1694" s="8" t="str">
        <f aca="false">IF(E1694&gt;=9,"Promoter",IF(E1694&gt;=7,"Passive","Detractor"))</f>
        <v>Promoter</v>
      </c>
    </row>
    <row r="1695" customFormat="false" ht="15" hidden="false" customHeight="false" outlineLevel="0" collapsed="false">
      <c r="A1695" s="8" t="s">
        <v>6311</v>
      </c>
      <c r="B1695" s="8" t="s">
        <v>2818</v>
      </c>
      <c r="C1695" s="8" t="s">
        <v>51</v>
      </c>
      <c r="D1695" s="32" t="n">
        <v>46077</v>
      </c>
      <c r="E1695" s="8" t="n">
        <v>7</v>
      </c>
      <c r="F1695" s="8" t="str">
        <f aca="false">IF(E1695&gt;=9,"Promoter",IF(E1695&gt;=7,"Passive","Detractor"))</f>
        <v>Passive</v>
      </c>
    </row>
    <row r="1696" customFormat="false" ht="15" hidden="false" customHeight="false" outlineLevel="0" collapsed="false">
      <c r="A1696" s="8" t="s">
        <v>6312</v>
      </c>
      <c r="B1696" s="8" t="s">
        <v>961</v>
      </c>
      <c r="C1696" s="8" t="s">
        <v>53</v>
      </c>
      <c r="D1696" s="32" t="n">
        <v>46077</v>
      </c>
      <c r="E1696" s="8" t="n">
        <v>7</v>
      </c>
      <c r="F1696" s="8" t="str">
        <f aca="false">IF(E1696&gt;=9,"Promoter",IF(E1696&gt;=7,"Passive","Detractor"))</f>
        <v>Passive</v>
      </c>
    </row>
    <row r="1697" customFormat="false" ht="15" hidden="false" customHeight="false" outlineLevel="0" collapsed="false">
      <c r="A1697" s="8" t="s">
        <v>6313</v>
      </c>
      <c r="B1697" s="8" t="s">
        <v>1797</v>
      </c>
      <c r="C1697" s="8" t="s">
        <v>53</v>
      </c>
      <c r="D1697" s="32" t="n">
        <v>46077</v>
      </c>
      <c r="E1697" s="8" t="n">
        <v>8</v>
      </c>
      <c r="F1697" s="8" t="str">
        <f aca="false">IF(E1697&gt;=9,"Promoter",IF(E1697&gt;=7,"Passive","Detractor"))</f>
        <v>Passive</v>
      </c>
    </row>
    <row r="1698" customFormat="false" ht="15" hidden="false" customHeight="false" outlineLevel="0" collapsed="false">
      <c r="A1698" s="8" t="s">
        <v>6314</v>
      </c>
      <c r="B1698" s="8" t="s">
        <v>2656</v>
      </c>
      <c r="C1698" s="8" t="s">
        <v>51</v>
      </c>
      <c r="D1698" s="32" t="n">
        <v>46077</v>
      </c>
      <c r="E1698" s="8" t="n">
        <v>8</v>
      </c>
      <c r="F1698" s="8" t="str">
        <f aca="false">IF(E1698&gt;=9,"Promoter",IF(E1698&gt;=7,"Passive","Detractor"))</f>
        <v>Passive</v>
      </c>
    </row>
    <row r="1699" customFormat="false" ht="15" hidden="false" customHeight="false" outlineLevel="0" collapsed="false">
      <c r="A1699" s="8" t="s">
        <v>6315</v>
      </c>
      <c r="B1699" s="8" t="s">
        <v>1301</v>
      </c>
      <c r="C1699" s="8" t="s">
        <v>53</v>
      </c>
      <c r="D1699" s="32" t="n">
        <v>46077</v>
      </c>
      <c r="E1699" s="8" t="n">
        <v>8</v>
      </c>
      <c r="F1699" s="8" t="str">
        <f aca="false">IF(E1699&gt;=9,"Promoter",IF(E1699&gt;=7,"Passive","Detractor"))</f>
        <v>Passive</v>
      </c>
    </row>
    <row r="1700" customFormat="false" ht="15" hidden="false" customHeight="false" outlineLevel="0" collapsed="false">
      <c r="A1700" s="8" t="s">
        <v>6316</v>
      </c>
      <c r="B1700" s="8" t="s">
        <v>4598</v>
      </c>
      <c r="C1700" s="8" t="s">
        <v>51</v>
      </c>
      <c r="D1700" s="32" t="n">
        <v>46077</v>
      </c>
      <c r="E1700" s="8" t="n">
        <v>8</v>
      </c>
      <c r="F1700" s="8" t="str">
        <f aca="false">IF(E1700&gt;=9,"Promoter",IF(E1700&gt;=7,"Passive","Detractor"))</f>
        <v>Passive</v>
      </c>
    </row>
    <row r="1701" customFormat="false" ht="15" hidden="false" customHeight="false" outlineLevel="0" collapsed="false">
      <c r="A1701" s="8" t="s">
        <v>6317</v>
      </c>
      <c r="B1701" s="8" t="s">
        <v>3144</v>
      </c>
      <c r="C1701" s="8" t="s">
        <v>51</v>
      </c>
      <c r="D1701" s="32" t="n">
        <v>46077</v>
      </c>
      <c r="E1701" s="8" t="n">
        <v>6</v>
      </c>
      <c r="F1701" s="8" t="str">
        <f aca="false">IF(E1701&gt;=9,"Promoter",IF(E1701&gt;=7,"Passive","Detractor"))</f>
        <v>Detractor</v>
      </c>
    </row>
    <row r="1702" customFormat="false" ht="15" hidden="false" customHeight="false" outlineLevel="0" collapsed="false">
      <c r="A1702" s="8" t="s">
        <v>6318</v>
      </c>
      <c r="B1702" s="8" t="s">
        <v>173</v>
      </c>
      <c r="C1702" s="8" t="s">
        <v>55</v>
      </c>
      <c r="D1702" s="32" t="n">
        <v>46078</v>
      </c>
      <c r="E1702" s="8" t="n">
        <v>7</v>
      </c>
      <c r="F1702" s="8" t="str">
        <f aca="false">IF(E1702&gt;=9,"Promoter",IF(E1702&gt;=7,"Passive","Detractor"))</f>
        <v>Passive</v>
      </c>
    </row>
    <row r="1703" customFormat="false" ht="15" hidden="false" customHeight="false" outlineLevel="0" collapsed="false">
      <c r="A1703" s="8" t="s">
        <v>6319</v>
      </c>
      <c r="B1703" s="8" t="s">
        <v>449</v>
      </c>
      <c r="C1703" s="8" t="s">
        <v>55</v>
      </c>
      <c r="D1703" s="32" t="n">
        <v>46078</v>
      </c>
      <c r="E1703" s="8" t="n">
        <v>8</v>
      </c>
      <c r="F1703" s="8" t="str">
        <f aca="false">IF(E1703&gt;=9,"Promoter",IF(E1703&gt;=7,"Passive","Detractor"))</f>
        <v>Passive</v>
      </c>
    </row>
    <row r="1704" customFormat="false" ht="15" hidden="false" customHeight="false" outlineLevel="0" collapsed="false">
      <c r="A1704" s="8" t="s">
        <v>6320</v>
      </c>
      <c r="B1704" s="8" t="s">
        <v>957</v>
      </c>
      <c r="C1704" s="8" t="s">
        <v>53</v>
      </c>
      <c r="D1704" s="32" t="n">
        <v>46078</v>
      </c>
      <c r="E1704" s="8" t="n">
        <v>10</v>
      </c>
      <c r="F1704" s="8" t="str">
        <f aca="false">IF(E1704&gt;=9,"Promoter",IF(E1704&gt;=7,"Passive","Detractor"))</f>
        <v>Promoter</v>
      </c>
    </row>
    <row r="1705" customFormat="false" ht="15" hidden="false" customHeight="false" outlineLevel="0" collapsed="false">
      <c r="A1705" s="8" t="s">
        <v>6321</v>
      </c>
      <c r="B1705" s="8" t="s">
        <v>3840</v>
      </c>
      <c r="C1705" s="8" t="s">
        <v>51</v>
      </c>
      <c r="D1705" s="32" t="n">
        <v>46078</v>
      </c>
      <c r="E1705" s="8" t="n">
        <v>8</v>
      </c>
      <c r="F1705" s="8" t="str">
        <f aca="false">IF(E1705&gt;=9,"Promoter",IF(E1705&gt;=7,"Passive","Detractor"))</f>
        <v>Passive</v>
      </c>
    </row>
    <row r="1706" customFormat="false" ht="15" hidden="false" customHeight="false" outlineLevel="0" collapsed="false">
      <c r="A1706" s="8" t="s">
        <v>6322</v>
      </c>
      <c r="B1706" s="8" t="s">
        <v>1181</v>
      </c>
      <c r="C1706" s="8" t="s">
        <v>53</v>
      </c>
      <c r="D1706" s="32" t="n">
        <v>46078</v>
      </c>
      <c r="E1706" s="8" t="n">
        <v>8</v>
      </c>
      <c r="F1706" s="8" t="str">
        <f aca="false">IF(E1706&gt;=9,"Promoter",IF(E1706&gt;=7,"Passive","Detractor"))</f>
        <v>Passive</v>
      </c>
    </row>
    <row r="1707" customFormat="false" ht="15" hidden="false" customHeight="false" outlineLevel="0" collapsed="false">
      <c r="A1707" s="8" t="s">
        <v>6323</v>
      </c>
      <c r="B1707" s="8" t="s">
        <v>2694</v>
      </c>
      <c r="C1707" s="8" t="s">
        <v>51</v>
      </c>
      <c r="D1707" s="32" t="n">
        <v>46078</v>
      </c>
      <c r="E1707" s="8" t="n">
        <v>10</v>
      </c>
      <c r="F1707" s="8" t="str">
        <f aca="false">IF(E1707&gt;=9,"Promoter",IF(E1707&gt;=7,"Passive","Detractor"))</f>
        <v>Promoter</v>
      </c>
    </row>
    <row r="1708" customFormat="false" ht="15" hidden="false" customHeight="false" outlineLevel="0" collapsed="false">
      <c r="A1708" s="8" t="s">
        <v>6324</v>
      </c>
      <c r="B1708" s="8" t="s">
        <v>1641</v>
      </c>
      <c r="C1708" s="8" t="s">
        <v>53</v>
      </c>
      <c r="D1708" s="32" t="n">
        <v>46078</v>
      </c>
      <c r="E1708" s="8" t="n">
        <v>9</v>
      </c>
      <c r="F1708" s="8" t="str">
        <f aca="false">IF(E1708&gt;=9,"Promoter",IF(E1708&gt;=7,"Passive","Detractor"))</f>
        <v>Promoter</v>
      </c>
    </row>
    <row r="1709" customFormat="false" ht="15" hidden="false" customHeight="false" outlineLevel="0" collapsed="false">
      <c r="A1709" s="8" t="s">
        <v>6325</v>
      </c>
      <c r="B1709" s="8" t="s">
        <v>162</v>
      </c>
      <c r="C1709" s="8" t="s">
        <v>55</v>
      </c>
      <c r="D1709" s="32" t="n">
        <v>46078</v>
      </c>
      <c r="E1709" s="8" t="n">
        <v>9</v>
      </c>
      <c r="F1709" s="8" t="str">
        <f aca="false">IF(E1709&gt;=9,"Promoter",IF(E1709&gt;=7,"Passive","Detractor"))</f>
        <v>Promoter</v>
      </c>
    </row>
    <row r="1710" customFormat="false" ht="15" hidden="false" customHeight="false" outlineLevel="0" collapsed="false">
      <c r="A1710" s="8" t="s">
        <v>6326</v>
      </c>
      <c r="B1710" s="8" t="s">
        <v>2468</v>
      </c>
      <c r="C1710" s="8" t="s">
        <v>51</v>
      </c>
      <c r="D1710" s="32" t="n">
        <v>46078</v>
      </c>
      <c r="E1710" s="8" t="n">
        <v>5</v>
      </c>
      <c r="F1710" s="8" t="str">
        <f aca="false">IF(E1710&gt;=9,"Promoter",IF(E1710&gt;=7,"Passive","Detractor"))</f>
        <v>Detractor</v>
      </c>
    </row>
    <row r="1711" customFormat="false" ht="15" hidden="false" customHeight="false" outlineLevel="0" collapsed="false">
      <c r="A1711" s="8" t="s">
        <v>6327</v>
      </c>
      <c r="B1711" s="8" t="s">
        <v>2344</v>
      </c>
      <c r="C1711" s="8" t="s">
        <v>51</v>
      </c>
      <c r="D1711" s="32" t="n">
        <v>46078</v>
      </c>
      <c r="E1711" s="8" t="n">
        <v>8</v>
      </c>
      <c r="F1711" s="8" t="str">
        <f aca="false">IF(E1711&gt;=9,"Promoter",IF(E1711&gt;=7,"Passive","Detractor"))</f>
        <v>Passive</v>
      </c>
    </row>
    <row r="1712" customFormat="false" ht="15" hidden="false" customHeight="false" outlineLevel="0" collapsed="false">
      <c r="A1712" s="8" t="s">
        <v>6328</v>
      </c>
      <c r="B1712" s="8" t="s">
        <v>1435</v>
      </c>
      <c r="C1712" s="8" t="s">
        <v>53</v>
      </c>
      <c r="D1712" s="32" t="n">
        <v>46078</v>
      </c>
      <c r="E1712" s="8" t="n">
        <v>8</v>
      </c>
      <c r="F1712" s="8" t="str">
        <f aca="false">IF(E1712&gt;=9,"Promoter",IF(E1712&gt;=7,"Passive","Detractor"))</f>
        <v>Passive</v>
      </c>
    </row>
    <row r="1713" customFormat="false" ht="15" hidden="false" customHeight="false" outlineLevel="0" collapsed="false">
      <c r="A1713" s="8" t="s">
        <v>6329</v>
      </c>
      <c r="B1713" s="8" t="s">
        <v>949</v>
      </c>
      <c r="C1713" s="8" t="s">
        <v>53</v>
      </c>
      <c r="D1713" s="32" t="n">
        <v>46078</v>
      </c>
      <c r="E1713" s="8" t="n">
        <v>10</v>
      </c>
      <c r="F1713" s="8" t="str">
        <f aca="false">IF(E1713&gt;=9,"Promoter",IF(E1713&gt;=7,"Passive","Detractor"))</f>
        <v>Promoter</v>
      </c>
    </row>
    <row r="1714" customFormat="false" ht="15" hidden="false" customHeight="false" outlineLevel="0" collapsed="false">
      <c r="A1714" s="8" t="s">
        <v>6330</v>
      </c>
      <c r="B1714" s="8" t="s">
        <v>3440</v>
      </c>
      <c r="C1714" s="8" t="s">
        <v>51</v>
      </c>
      <c r="D1714" s="32" t="n">
        <v>46078</v>
      </c>
      <c r="E1714" s="8" t="n">
        <v>10</v>
      </c>
      <c r="F1714" s="8" t="str">
        <f aca="false">IF(E1714&gt;=9,"Promoter",IF(E1714&gt;=7,"Passive","Detractor"))</f>
        <v>Promoter</v>
      </c>
    </row>
    <row r="1715" customFormat="false" ht="15" hidden="false" customHeight="false" outlineLevel="0" collapsed="false">
      <c r="A1715" s="8" t="s">
        <v>6331</v>
      </c>
      <c r="B1715" s="8" t="s">
        <v>1645</v>
      </c>
      <c r="C1715" s="8" t="s">
        <v>53</v>
      </c>
      <c r="D1715" s="32" t="n">
        <v>46082</v>
      </c>
      <c r="E1715" s="8" t="n">
        <v>9</v>
      </c>
      <c r="F1715" s="8" t="str">
        <f aca="false">IF(E1715&gt;=9,"Promoter",IF(E1715&gt;=7,"Passive","Detractor"))</f>
        <v>Promoter</v>
      </c>
    </row>
    <row r="1716" customFormat="false" ht="15" hidden="false" customHeight="false" outlineLevel="0" collapsed="false">
      <c r="A1716" s="8" t="s">
        <v>6332</v>
      </c>
      <c r="B1716" s="8" t="s">
        <v>6333</v>
      </c>
      <c r="C1716" s="8" t="s">
        <v>51</v>
      </c>
      <c r="D1716" s="32" t="n">
        <v>46082</v>
      </c>
      <c r="E1716" s="8" t="n">
        <v>3</v>
      </c>
      <c r="F1716" s="8" t="str">
        <f aca="false">IF(E1716&gt;=9,"Promoter",IF(E1716&gt;=7,"Passive","Detractor"))</f>
        <v>Detractor</v>
      </c>
    </row>
    <row r="1717" customFormat="false" ht="15" hidden="false" customHeight="false" outlineLevel="0" collapsed="false">
      <c r="A1717" s="8" t="s">
        <v>6334</v>
      </c>
      <c r="B1717" s="8" t="s">
        <v>857</v>
      </c>
      <c r="C1717" s="8" t="s">
        <v>53</v>
      </c>
      <c r="D1717" s="32" t="n">
        <v>46082</v>
      </c>
      <c r="E1717" s="8" t="n">
        <v>6</v>
      </c>
      <c r="F1717" s="8" t="str">
        <f aca="false">IF(E1717&gt;=9,"Promoter",IF(E1717&gt;=7,"Passive","Detractor"))</f>
        <v>Detractor</v>
      </c>
    </row>
    <row r="1718" customFormat="false" ht="15" hidden="false" customHeight="false" outlineLevel="0" collapsed="false">
      <c r="A1718" s="8" t="s">
        <v>6335</v>
      </c>
      <c r="B1718" s="8" t="s">
        <v>1437</v>
      </c>
      <c r="C1718" s="8" t="s">
        <v>53</v>
      </c>
      <c r="D1718" s="32" t="n">
        <v>46082</v>
      </c>
      <c r="E1718" s="8" t="n">
        <v>9</v>
      </c>
      <c r="F1718" s="8" t="str">
        <f aca="false">IF(E1718&gt;=9,"Promoter",IF(E1718&gt;=7,"Passive","Detractor"))</f>
        <v>Promoter</v>
      </c>
    </row>
    <row r="1719" customFormat="false" ht="15" hidden="false" customHeight="false" outlineLevel="0" collapsed="false">
      <c r="A1719" s="8" t="s">
        <v>6336</v>
      </c>
      <c r="B1719" s="8" t="s">
        <v>1653</v>
      </c>
      <c r="C1719" s="8" t="s">
        <v>53</v>
      </c>
      <c r="D1719" s="32" t="n">
        <v>46082</v>
      </c>
      <c r="E1719" s="8" t="n">
        <v>9</v>
      </c>
      <c r="F1719" s="8" t="str">
        <f aca="false">IF(E1719&gt;=9,"Promoter",IF(E1719&gt;=7,"Passive","Detractor"))</f>
        <v>Promoter</v>
      </c>
    </row>
    <row r="1720" customFormat="false" ht="15" hidden="false" customHeight="false" outlineLevel="0" collapsed="false">
      <c r="A1720" s="8" t="s">
        <v>6337</v>
      </c>
      <c r="B1720" s="8" t="s">
        <v>3366</v>
      </c>
      <c r="C1720" s="8" t="s">
        <v>51</v>
      </c>
      <c r="D1720" s="32" t="n">
        <v>46082</v>
      </c>
      <c r="E1720" s="8" t="n">
        <v>8</v>
      </c>
      <c r="F1720" s="8" t="str">
        <f aca="false">IF(E1720&gt;=9,"Promoter",IF(E1720&gt;=7,"Passive","Detractor"))</f>
        <v>Passive</v>
      </c>
    </row>
    <row r="1721" customFormat="false" ht="15" hidden="false" customHeight="false" outlineLevel="0" collapsed="false">
      <c r="A1721" s="8" t="s">
        <v>6338</v>
      </c>
      <c r="B1721" s="8" t="s">
        <v>2304</v>
      </c>
      <c r="C1721" s="8" t="s">
        <v>51</v>
      </c>
      <c r="D1721" s="32" t="n">
        <v>46082</v>
      </c>
      <c r="E1721" s="8" t="n">
        <v>9</v>
      </c>
      <c r="F1721" s="8" t="str">
        <f aca="false">IF(E1721&gt;=9,"Promoter",IF(E1721&gt;=7,"Passive","Detractor"))</f>
        <v>Promoter</v>
      </c>
    </row>
    <row r="1722" customFormat="false" ht="15" hidden="false" customHeight="false" outlineLevel="0" collapsed="false">
      <c r="A1722" s="8" t="s">
        <v>6339</v>
      </c>
      <c r="B1722" s="8" t="s">
        <v>3588</v>
      </c>
      <c r="C1722" s="8" t="s">
        <v>51</v>
      </c>
      <c r="D1722" s="32" t="n">
        <v>46083</v>
      </c>
      <c r="E1722" s="8" t="n">
        <v>8</v>
      </c>
      <c r="F1722" s="8" t="str">
        <f aca="false">IF(E1722&gt;=9,"Promoter",IF(E1722&gt;=7,"Passive","Detractor"))</f>
        <v>Passive</v>
      </c>
    </row>
    <row r="1723" customFormat="false" ht="15" hidden="false" customHeight="false" outlineLevel="0" collapsed="false">
      <c r="A1723" s="8" t="s">
        <v>6340</v>
      </c>
      <c r="B1723" s="8" t="s">
        <v>1475</v>
      </c>
      <c r="C1723" s="8" t="s">
        <v>53</v>
      </c>
      <c r="D1723" s="32" t="n">
        <v>46083</v>
      </c>
      <c r="E1723" s="8" t="n">
        <v>10</v>
      </c>
      <c r="F1723" s="8" t="str">
        <f aca="false">IF(E1723&gt;=9,"Promoter",IF(E1723&gt;=7,"Passive","Detractor"))</f>
        <v>Promoter</v>
      </c>
    </row>
    <row r="1724" customFormat="false" ht="15" hidden="false" customHeight="false" outlineLevel="0" collapsed="false">
      <c r="A1724" s="8" t="s">
        <v>6341</v>
      </c>
      <c r="B1724" s="8" t="s">
        <v>1901</v>
      </c>
      <c r="C1724" s="8" t="s">
        <v>51</v>
      </c>
      <c r="D1724" s="32" t="n">
        <v>46083</v>
      </c>
      <c r="E1724" s="8" t="n">
        <v>9</v>
      </c>
      <c r="F1724" s="8" t="str">
        <f aca="false">IF(E1724&gt;=9,"Promoter",IF(E1724&gt;=7,"Passive","Detractor"))</f>
        <v>Promoter</v>
      </c>
    </row>
    <row r="1725" customFormat="false" ht="15" hidden="false" customHeight="false" outlineLevel="0" collapsed="false">
      <c r="A1725" s="8" t="s">
        <v>6342</v>
      </c>
      <c r="B1725" s="8" t="s">
        <v>4348</v>
      </c>
      <c r="C1725" s="8" t="s">
        <v>51</v>
      </c>
      <c r="D1725" s="32" t="n">
        <v>46083</v>
      </c>
      <c r="E1725" s="8" t="n">
        <v>10</v>
      </c>
      <c r="F1725" s="8" t="str">
        <f aca="false">IF(E1725&gt;=9,"Promoter",IF(E1725&gt;=7,"Passive","Detractor"))</f>
        <v>Promoter</v>
      </c>
    </row>
    <row r="1726" customFormat="false" ht="15" hidden="false" customHeight="false" outlineLevel="0" collapsed="false">
      <c r="A1726" s="8" t="s">
        <v>6343</v>
      </c>
      <c r="B1726" s="8" t="s">
        <v>2160</v>
      </c>
      <c r="C1726" s="8" t="s">
        <v>51</v>
      </c>
      <c r="D1726" s="32" t="n">
        <v>46083</v>
      </c>
      <c r="E1726" s="8" t="n">
        <v>8</v>
      </c>
      <c r="F1726" s="8" t="str">
        <f aca="false">IF(E1726&gt;=9,"Promoter",IF(E1726&gt;=7,"Passive","Detractor"))</f>
        <v>Passive</v>
      </c>
    </row>
    <row r="1727" customFormat="false" ht="15" hidden="false" customHeight="false" outlineLevel="0" collapsed="false">
      <c r="A1727" s="8" t="s">
        <v>6344</v>
      </c>
      <c r="B1727" s="8" t="s">
        <v>1195</v>
      </c>
      <c r="C1727" s="8" t="s">
        <v>53</v>
      </c>
      <c r="D1727" s="32" t="n">
        <v>46083</v>
      </c>
      <c r="E1727" s="8" t="n">
        <v>7</v>
      </c>
      <c r="F1727" s="8" t="str">
        <f aca="false">IF(E1727&gt;=9,"Promoter",IF(E1727&gt;=7,"Passive","Detractor"))</f>
        <v>Passive</v>
      </c>
    </row>
    <row r="1728" customFormat="false" ht="15" hidden="false" customHeight="false" outlineLevel="0" collapsed="false">
      <c r="A1728" s="8" t="s">
        <v>6345</v>
      </c>
      <c r="B1728" s="8" t="s">
        <v>2758</v>
      </c>
      <c r="C1728" s="8" t="s">
        <v>51</v>
      </c>
      <c r="D1728" s="32" t="n">
        <v>46083</v>
      </c>
      <c r="E1728" s="8" t="n">
        <v>10</v>
      </c>
      <c r="F1728" s="8" t="str">
        <f aca="false">IF(E1728&gt;=9,"Promoter",IF(E1728&gt;=7,"Passive","Detractor"))</f>
        <v>Promoter</v>
      </c>
    </row>
    <row r="1729" customFormat="false" ht="15" hidden="false" customHeight="false" outlineLevel="0" collapsed="false">
      <c r="A1729" s="8" t="s">
        <v>6346</v>
      </c>
      <c r="B1729" s="8" t="s">
        <v>320</v>
      </c>
      <c r="C1729" s="8" t="s">
        <v>55</v>
      </c>
      <c r="D1729" s="32" t="n">
        <v>46083</v>
      </c>
      <c r="E1729" s="8" t="n">
        <v>10</v>
      </c>
      <c r="F1729" s="8" t="str">
        <f aca="false">IF(E1729&gt;=9,"Promoter",IF(E1729&gt;=7,"Passive","Detractor"))</f>
        <v>Promoter</v>
      </c>
    </row>
    <row r="1730" customFormat="false" ht="15" hidden="false" customHeight="false" outlineLevel="0" collapsed="false">
      <c r="A1730" s="8" t="s">
        <v>6347</v>
      </c>
      <c r="B1730" s="8" t="s">
        <v>4056</v>
      </c>
      <c r="C1730" s="8" t="s">
        <v>51</v>
      </c>
      <c r="D1730" s="32" t="n">
        <v>46083</v>
      </c>
      <c r="E1730" s="8" t="n">
        <v>10</v>
      </c>
      <c r="F1730" s="8" t="str">
        <f aca="false">IF(E1730&gt;=9,"Promoter",IF(E1730&gt;=7,"Passive","Detractor"))</f>
        <v>Promoter</v>
      </c>
    </row>
    <row r="1731" customFormat="false" ht="15" hidden="false" customHeight="false" outlineLevel="0" collapsed="false">
      <c r="A1731" s="8" t="s">
        <v>6348</v>
      </c>
      <c r="B1731" s="8" t="s">
        <v>6349</v>
      </c>
      <c r="C1731" s="8" t="s">
        <v>51</v>
      </c>
      <c r="D1731" s="32" t="n">
        <v>46083</v>
      </c>
      <c r="E1731" s="8" t="n">
        <v>7</v>
      </c>
      <c r="F1731" s="8" t="str">
        <f aca="false">IF(E1731&gt;=9,"Promoter",IF(E1731&gt;=7,"Passive","Detractor"))</f>
        <v>Passive</v>
      </c>
    </row>
    <row r="1732" customFormat="false" ht="15" hidden="false" customHeight="false" outlineLevel="0" collapsed="false">
      <c r="A1732" s="8" t="s">
        <v>6350</v>
      </c>
      <c r="B1732" s="8" t="s">
        <v>1397</v>
      </c>
      <c r="C1732" s="8" t="s">
        <v>53</v>
      </c>
      <c r="D1732" s="32" t="n">
        <v>46083</v>
      </c>
      <c r="E1732" s="8" t="n">
        <v>7</v>
      </c>
      <c r="F1732" s="8" t="str">
        <f aca="false">IF(E1732&gt;=9,"Promoter",IF(E1732&gt;=7,"Passive","Detractor"))</f>
        <v>Passive</v>
      </c>
    </row>
    <row r="1733" customFormat="false" ht="15" hidden="false" customHeight="false" outlineLevel="0" collapsed="false">
      <c r="A1733" s="8" t="s">
        <v>6351</v>
      </c>
      <c r="B1733" s="8" t="s">
        <v>288</v>
      </c>
      <c r="C1733" s="8" t="s">
        <v>55</v>
      </c>
      <c r="D1733" s="32" t="n">
        <v>46083</v>
      </c>
      <c r="E1733" s="8" t="n">
        <v>7</v>
      </c>
      <c r="F1733" s="8" t="str">
        <f aca="false">IF(E1733&gt;=9,"Promoter",IF(E1733&gt;=7,"Passive","Detractor"))</f>
        <v>Passive</v>
      </c>
    </row>
    <row r="1734" customFormat="false" ht="15" hidden="false" customHeight="false" outlineLevel="0" collapsed="false">
      <c r="A1734" s="8" t="s">
        <v>6352</v>
      </c>
      <c r="B1734" s="8" t="s">
        <v>3792</v>
      </c>
      <c r="C1734" s="8" t="s">
        <v>51</v>
      </c>
      <c r="D1734" s="32" t="n">
        <v>46084</v>
      </c>
      <c r="E1734" s="8" t="n">
        <v>10</v>
      </c>
      <c r="F1734" s="8" t="str">
        <f aca="false">IF(E1734&gt;=9,"Promoter",IF(E1734&gt;=7,"Passive","Detractor"))</f>
        <v>Promoter</v>
      </c>
    </row>
    <row r="1735" customFormat="false" ht="15" hidden="false" customHeight="false" outlineLevel="0" collapsed="false">
      <c r="A1735" s="8" t="s">
        <v>6353</v>
      </c>
      <c r="B1735" s="8" t="s">
        <v>3448</v>
      </c>
      <c r="C1735" s="8" t="s">
        <v>51</v>
      </c>
      <c r="D1735" s="32" t="n">
        <v>46084</v>
      </c>
      <c r="E1735" s="8" t="n">
        <v>10</v>
      </c>
      <c r="F1735" s="8" t="str">
        <f aca="false">IF(E1735&gt;=9,"Promoter",IF(E1735&gt;=7,"Passive","Detractor"))</f>
        <v>Promoter</v>
      </c>
    </row>
    <row r="1736" customFormat="false" ht="15" hidden="false" customHeight="false" outlineLevel="0" collapsed="false">
      <c r="A1736" s="8" t="s">
        <v>6354</v>
      </c>
      <c r="B1736" s="8" t="s">
        <v>1877</v>
      </c>
      <c r="C1736" s="8" t="s">
        <v>51</v>
      </c>
      <c r="D1736" s="32" t="n">
        <v>46084</v>
      </c>
      <c r="E1736" s="8" t="n">
        <v>9</v>
      </c>
      <c r="F1736" s="8" t="str">
        <f aca="false">IF(E1736&gt;=9,"Promoter",IF(E1736&gt;=7,"Passive","Detractor"))</f>
        <v>Promoter</v>
      </c>
    </row>
    <row r="1737" customFormat="false" ht="15" hidden="false" customHeight="false" outlineLevel="0" collapsed="false">
      <c r="A1737" s="8" t="s">
        <v>6355</v>
      </c>
      <c r="B1737" s="8" t="s">
        <v>3628</v>
      </c>
      <c r="C1737" s="8" t="s">
        <v>51</v>
      </c>
      <c r="D1737" s="32" t="n">
        <v>46084</v>
      </c>
      <c r="E1737" s="8" t="n">
        <v>10</v>
      </c>
      <c r="F1737" s="8" t="str">
        <f aca="false">IF(E1737&gt;=9,"Promoter",IF(E1737&gt;=7,"Passive","Detractor"))</f>
        <v>Promoter</v>
      </c>
    </row>
    <row r="1738" customFormat="false" ht="15" hidden="false" customHeight="false" outlineLevel="0" collapsed="false">
      <c r="A1738" s="8" t="s">
        <v>6356</v>
      </c>
      <c r="B1738" s="8" t="s">
        <v>2180</v>
      </c>
      <c r="C1738" s="8" t="s">
        <v>51</v>
      </c>
      <c r="D1738" s="32" t="n">
        <v>46084</v>
      </c>
      <c r="E1738" s="8" t="n">
        <v>7</v>
      </c>
      <c r="F1738" s="8" t="str">
        <f aca="false">IF(E1738&gt;=9,"Promoter",IF(E1738&gt;=7,"Passive","Detractor"))</f>
        <v>Passive</v>
      </c>
    </row>
    <row r="1739" customFormat="false" ht="15" hidden="false" customHeight="false" outlineLevel="0" collapsed="false">
      <c r="A1739" s="8" t="s">
        <v>6357</v>
      </c>
      <c r="B1739" s="8" t="s">
        <v>733</v>
      </c>
      <c r="C1739" s="8" t="s">
        <v>55</v>
      </c>
      <c r="D1739" s="32" t="n">
        <v>46084</v>
      </c>
      <c r="E1739" s="8" t="n">
        <v>9</v>
      </c>
      <c r="F1739" s="8" t="str">
        <f aca="false">IF(E1739&gt;=9,"Promoter",IF(E1739&gt;=7,"Passive","Detractor"))</f>
        <v>Promoter</v>
      </c>
    </row>
    <row r="1740" customFormat="false" ht="15" hidden="false" customHeight="false" outlineLevel="0" collapsed="false">
      <c r="A1740" s="8" t="s">
        <v>6358</v>
      </c>
      <c r="B1740" s="8" t="s">
        <v>633</v>
      </c>
      <c r="C1740" s="8" t="s">
        <v>53</v>
      </c>
      <c r="D1740" s="32" t="n">
        <v>46084</v>
      </c>
      <c r="E1740" s="8" t="n">
        <v>10</v>
      </c>
      <c r="F1740" s="8" t="str">
        <f aca="false">IF(E1740&gt;=9,"Promoter",IF(E1740&gt;=7,"Passive","Detractor"))</f>
        <v>Promoter</v>
      </c>
    </row>
    <row r="1741" customFormat="false" ht="15" hidden="false" customHeight="false" outlineLevel="0" collapsed="false">
      <c r="A1741" s="8" t="s">
        <v>6359</v>
      </c>
      <c r="B1741" s="8" t="s">
        <v>1293</v>
      </c>
      <c r="C1741" s="8" t="s">
        <v>53</v>
      </c>
      <c r="D1741" s="32" t="n">
        <v>46084</v>
      </c>
      <c r="E1741" s="8" t="n">
        <v>8</v>
      </c>
      <c r="F1741" s="8" t="str">
        <f aca="false">IF(E1741&gt;=9,"Promoter",IF(E1741&gt;=7,"Passive","Detractor"))</f>
        <v>Passive</v>
      </c>
    </row>
    <row r="1742" customFormat="false" ht="15" hidden="false" customHeight="false" outlineLevel="0" collapsed="false">
      <c r="A1742" s="8" t="s">
        <v>6360</v>
      </c>
      <c r="B1742" s="8" t="s">
        <v>1629</v>
      </c>
      <c r="C1742" s="8" t="s">
        <v>53</v>
      </c>
      <c r="D1742" s="32" t="n">
        <v>46085</v>
      </c>
      <c r="E1742" s="8" t="n">
        <v>7</v>
      </c>
      <c r="F1742" s="8" t="str">
        <f aca="false">IF(E1742&gt;=9,"Promoter",IF(E1742&gt;=7,"Passive","Detractor"))</f>
        <v>Passive</v>
      </c>
    </row>
    <row r="1743" customFormat="false" ht="15" hidden="false" customHeight="false" outlineLevel="0" collapsed="false">
      <c r="A1743" s="8" t="s">
        <v>6361</v>
      </c>
      <c r="B1743" s="8" t="s">
        <v>3810</v>
      </c>
      <c r="C1743" s="8" t="s">
        <v>51</v>
      </c>
      <c r="D1743" s="32" t="n">
        <v>46085</v>
      </c>
      <c r="E1743" s="8" t="n">
        <v>10</v>
      </c>
      <c r="F1743" s="8" t="str">
        <f aca="false">IF(E1743&gt;=9,"Promoter",IF(E1743&gt;=7,"Passive","Detractor"))</f>
        <v>Promoter</v>
      </c>
    </row>
    <row r="1744" customFormat="false" ht="15" hidden="false" customHeight="false" outlineLevel="0" collapsed="false">
      <c r="A1744" s="8" t="s">
        <v>6362</v>
      </c>
      <c r="B1744" s="8" t="s">
        <v>6363</v>
      </c>
      <c r="C1744" s="8" t="s">
        <v>53</v>
      </c>
      <c r="D1744" s="32" t="n">
        <v>46085</v>
      </c>
      <c r="E1744" s="8" t="n">
        <v>3</v>
      </c>
      <c r="F1744" s="8" t="str">
        <f aca="false">IF(E1744&gt;=9,"Promoter",IF(E1744&gt;=7,"Passive","Detractor"))</f>
        <v>Detractor</v>
      </c>
    </row>
    <row r="1745" customFormat="false" ht="15" hidden="false" customHeight="false" outlineLevel="0" collapsed="false">
      <c r="A1745" s="8" t="s">
        <v>6364</v>
      </c>
      <c r="B1745" s="8" t="s">
        <v>3134</v>
      </c>
      <c r="C1745" s="8" t="s">
        <v>51</v>
      </c>
      <c r="D1745" s="32" t="n">
        <v>46085</v>
      </c>
      <c r="E1745" s="8" t="n">
        <v>6</v>
      </c>
      <c r="F1745" s="8" t="str">
        <f aca="false">IF(E1745&gt;=9,"Promoter",IF(E1745&gt;=7,"Passive","Detractor"))</f>
        <v>Detractor</v>
      </c>
    </row>
    <row r="1746" customFormat="false" ht="15" hidden="false" customHeight="false" outlineLevel="0" collapsed="false">
      <c r="A1746" s="8" t="s">
        <v>6365</v>
      </c>
      <c r="B1746" s="8" t="s">
        <v>655</v>
      </c>
      <c r="C1746" s="8" t="s">
        <v>53</v>
      </c>
      <c r="D1746" s="32" t="n">
        <v>46085</v>
      </c>
      <c r="E1746" s="8" t="n">
        <v>9</v>
      </c>
      <c r="F1746" s="8" t="str">
        <f aca="false">IF(E1746&gt;=9,"Promoter",IF(E1746&gt;=7,"Passive","Detractor"))</f>
        <v>Promoter</v>
      </c>
    </row>
    <row r="1747" customFormat="false" ht="15" hidden="false" customHeight="false" outlineLevel="0" collapsed="false">
      <c r="A1747" s="8" t="s">
        <v>6366</v>
      </c>
      <c r="B1747" s="8" t="s">
        <v>3310</v>
      </c>
      <c r="C1747" s="8" t="s">
        <v>51</v>
      </c>
      <c r="D1747" s="32" t="n">
        <v>46085</v>
      </c>
      <c r="E1747" s="8" t="n">
        <v>8</v>
      </c>
      <c r="F1747" s="8" t="str">
        <f aca="false">IF(E1747&gt;=9,"Promoter",IF(E1747&gt;=7,"Passive","Detractor"))</f>
        <v>Passive</v>
      </c>
    </row>
    <row r="1748" customFormat="false" ht="15" hidden="false" customHeight="false" outlineLevel="0" collapsed="false">
      <c r="A1748" s="8" t="s">
        <v>6367</v>
      </c>
      <c r="B1748" s="8" t="s">
        <v>713</v>
      </c>
      <c r="C1748" s="8" t="s">
        <v>53</v>
      </c>
      <c r="D1748" s="32" t="n">
        <v>46086</v>
      </c>
      <c r="E1748" s="8" t="n">
        <v>5</v>
      </c>
      <c r="F1748" s="8" t="str">
        <f aca="false">IF(E1748&gt;=9,"Promoter",IF(E1748&gt;=7,"Passive","Detractor"))</f>
        <v>Detractor</v>
      </c>
    </row>
    <row r="1749" customFormat="false" ht="15" hidden="false" customHeight="false" outlineLevel="0" collapsed="false">
      <c r="A1749" s="8" t="s">
        <v>6368</v>
      </c>
      <c r="B1749" s="8" t="s">
        <v>1179</v>
      </c>
      <c r="C1749" s="8" t="s">
        <v>53</v>
      </c>
      <c r="D1749" s="32" t="n">
        <v>46086</v>
      </c>
      <c r="E1749" s="8" t="n">
        <v>9</v>
      </c>
      <c r="F1749" s="8" t="str">
        <f aca="false">IF(E1749&gt;=9,"Promoter",IF(E1749&gt;=7,"Passive","Detractor"))</f>
        <v>Promoter</v>
      </c>
    </row>
    <row r="1750" customFormat="false" ht="15" hidden="false" customHeight="false" outlineLevel="0" collapsed="false">
      <c r="A1750" s="8" t="s">
        <v>6369</v>
      </c>
      <c r="B1750" s="8" t="s">
        <v>4354</v>
      </c>
      <c r="C1750" s="8" t="s">
        <v>51</v>
      </c>
      <c r="D1750" s="32" t="n">
        <v>46086</v>
      </c>
      <c r="E1750" s="8" t="n">
        <v>10</v>
      </c>
      <c r="F1750" s="8" t="str">
        <f aca="false">IF(E1750&gt;=9,"Promoter",IF(E1750&gt;=7,"Passive","Detractor"))</f>
        <v>Promoter</v>
      </c>
    </row>
    <row r="1751" customFormat="false" ht="15" hidden="false" customHeight="false" outlineLevel="0" collapsed="false">
      <c r="A1751" s="8" t="s">
        <v>6370</v>
      </c>
      <c r="B1751" s="8" t="s">
        <v>1119</v>
      </c>
      <c r="C1751" s="8" t="s">
        <v>53</v>
      </c>
      <c r="D1751" s="32" t="n">
        <v>46086</v>
      </c>
      <c r="E1751" s="8" t="n">
        <v>10</v>
      </c>
      <c r="F1751" s="8" t="str">
        <f aca="false">IF(E1751&gt;=9,"Promoter",IF(E1751&gt;=7,"Passive","Detractor"))</f>
        <v>Promoter</v>
      </c>
    </row>
    <row r="1752" customFormat="false" ht="15" hidden="false" customHeight="false" outlineLevel="0" collapsed="false">
      <c r="A1752" s="8" t="s">
        <v>6371</v>
      </c>
      <c r="B1752" s="8" t="s">
        <v>1113</v>
      </c>
      <c r="C1752" s="8" t="s">
        <v>53</v>
      </c>
      <c r="D1752" s="32" t="n">
        <v>46086</v>
      </c>
      <c r="E1752" s="8" t="n">
        <v>10</v>
      </c>
      <c r="F1752" s="8" t="str">
        <f aca="false">IF(E1752&gt;=9,"Promoter",IF(E1752&gt;=7,"Passive","Detractor"))</f>
        <v>Promoter</v>
      </c>
    </row>
    <row r="1753" customFormat="false" ht="15" hidden="false" customHeight="false" outlineLevel="0" collapsed="false">
      <c r="A1753" s="8" t="s">
        <v>6372</v>
      </c>
      <c r="B1753" s="8" t="s">
        <v>1327</v>
      </c>
      <c r="C1753" s="8" t="s">
        <v>53</v>
      </c>
      <c r="D1753" s="32" t="n">
        <v>46087</v>
      </c>
      <c r="E1753" s="8" t="n">
        <v>7</v>
      </c>
      <c r="F1753" s="8" t="str">
        <f aca="false">IF(E1753&gt;=9,"Promoter",IF(E1753&gt;=7,"Passive","Detractor"))</f>
        <v>Passive</v>
      </c>
    </row>
    <row r="1754" customFormat="false" ht="15" hidden="false" customHeight="false" outlineLevel="0" collapsed="false">
      <c r="A1754" s="8" t="s">
        <v>6373</v>
      </c>
      <c r="B1754" s="8" t="s">
        <v>2066</v>
      </c>
      <c r="C1754" s="8" t="s">
        <v>51</v>
      </c>
      <c r="D1754" s="32" t="n">
        <v>46087</v>
      </c>
      <c r="E1754" s="8" t="n">
        <v>6</v>
      </c>
      <c r="F1754" s="8" t="str">
        <f aca="false">IF(E1754&gt;=9,"Promoter",IF(E1754&gt;=7,"Passive","Detractor"))</f>
        <v>Detractor</v>
      </c>
    </row>
    <row r="1755" customFormat="false" ht="15" hidden="false" customHeight="false" outlineLevel="0" collapsed="false">
      <c r="A1755" s="8" t="s">
        <v>6374</v>
      </c>
      <c r="B1755" s="8" t="s">
        <v>211</v>
      </c>
      <c r="C1755" s="8" t="s">
        <v>55</v>
      </c>
      <c r="D1755" s="32" t="n">
        <v>46087</v>
      </c>
      <c r="E1755" s="8" t="n">
        <v>9</v>
      </c>
      <c r="F1755" s="8" t="str">
        <f aca="false">IF(E1755&gt;=9,"Promoter",IF(E1755&gt;=7,"Passive","Detractor"))</f>
        <v>Promoter</v>
      </c>
    </row>
    <row r="1756" customFormat="false" ht="15" hidden="false" customHeight="false" outlineLevel="0" collapsed="false">
      <c r="A1756" s="8" t="s">
        <v>6375</v>
      </c>
      <c r="B1756" s="8" t="s">
        <v>4447</v>
      </c>
      <c r="C1756" s="8" t="s">
        <v>53</v>
      </c>
      <c r="D1756" s="32" t="n">
        <v>46087</v>
      </c>
      <c r="E1756" s="8" t="n">
        <v>8</v>
      </c>
      <c r="F1756" s="8" t="str">
        <f aca="false">IF(E1756&gt;=9,"Promoter",IF(E1756&gt;=7,"Passive","Detractor"))</f>
        <v>Passive</v>
      </c>
    </row>
    <row r="1757" customFormat="false" ht="15" hidden="false" customHeight="false" outlineLevel="0" collapsed="false">
      <c r="A1757" s="8" t="s">
        <v>6376</v>
      </c>
      <c r="B1757" s="8" t="s">
        <v>3072</v>
      </c>
      <c r="C1757" s="8" t="s">
        <v>51</v>
      </c>
      <c r="D1757" s="32" t="n">
        <v>46087</v>
      </c>
      <c r="E1757" s="8" t="n">
        <v>6</v>
      </c>
      <c r="F1757" s="8" t="str">
        <f aca="false">IF(E1757&gt;=9,"Promoter",IF(E1757&gt;=7,"Passive","Detractor"))</f>
        <v>Detractor</v>
      </c>
    </row>
    <row r="1758" customFormat="false" ht="15" hidden="false" customHeight="false" outlineLevel="0" collapsed="false">
      <c r="A1758" s="8" t="s">
        <v>6377</v>
      </c>
      <c r="B1758" s="8" t="s">
        <v>1681</v>
      </c>
      <c r="C1758" s="8" t="s">
        <v>53</v>
      </c>
      <c r="D1758" s="32" t="n">
        <v>46087</v>
      </c>
      <c r="E1758" s="8" t="n">
        <v>10</v>
      </c>
      <c r="F1758" s="8" t="str">
        <f aca="false">IF(E1758&gt;=9,"Promoter",IF(E1758&gt;=7,"Passive","Detractor"))</f>
        <v>Promoter</v>
      </c>
    </row>
    <row r="1759" customFormat="false" ht="15" hidden="false" customHeight="false" outlineLevel="0" collapsed="false">
      <c r="A1759" s="8" t="s">
        <v>6378</v>
      </c>
      <c r="B1759" s="8" t="s">
        <v>869</v>
      </c>
      <c r="C1759" s="8" t="s">
        <v>53</v>
      </c>
      <c r="D1759" s="32" t="n">
        <v>46087</v>
      </c>
      <c r="E1759" s="8" t="n">
        <v>4</v>
      </c>
      <c r="F1759" s="8" t="str">
        <f aca="false">IF(E1759&gt;=9,"Promoter",IF(E1759&gt;=7,"Passive","Detractor"))</f>
        <v>Detractor</v>
      </c>
    </row>
    <row r="1760" customFormat="false" ht="15" hidden="false" customHeight="false" outlineLevel="0" collapsed="false">
      <c r="A1760" s="8" t="s">
        <v>6379</v>
      </c>
      <c r="B1760" s="8" t="s">
        <v>4208</v>
      </c>
      <c r="C1760" s="8" t="s">
        <v>51</v>
      </c>
      <c r="D1760" s="32" t="n">
        <v>46088</v>
      </c>
      <c r="E1760" s="8" t="n">
        <v>10</v>
      </c>
      <c r="F1760" s="8" t="str">
        <f aca="false">IF(E1760&gt;=9,"Promoter",IF(E1760&gt;=7,"Passive","Detractor"))</f>
        <v>Promoter</v>
      </c>
    </row>
    <row r="1761" customFormat="false" ht="15" hidden="false" customHeight="false" outlineLevel="0" collapsed="false">
      <c r="A1761" s="8" t="s">
        <v>6380</v>
      </c>
      <c r="B1761" s="8" t="s">
        <v>1837</v>
      </c>
      <c r="C1761" s="8" t="s">
        <v>51</v>
      </c>
      <c r="D1761" s="32" t="n">
        <v>46088</v>
      </c>
      <c r="E1761" s="8" t="n">
        <v>10</v>
      </c>
      <c r="F1761" s="8" t="str">
        <f aca="false">IF(E1761&gt;=9,"Promoter",IF(E1761&gt;=7,"Passive","Detractor"))</f>
        <v>Promoter</v>
      </c>
    </row>
    <row r="1762" customFormat="false" ht="15" hidden="false" customHeight="false" outlineLevel="0" collapsed="false">
      <c r="A1762" s="8" t="s">
        <v>6381</v>
      </c>
      <c r="B1762" s="8" t="s">
        <v>1953</v>
      </c>
      <c r="C1762" s="8" t="s">
        <v>51</v>
      </c>
      <c r="D1762" s="32" t="n">
        <v>46088</v>
      </c>
      <c r="E1762" s="8" t="n">
        <v>10</v>
      </c>
      <c r="F1762" s="8" t="str">
        <f aca="false">IF(E1762&gt;=9,"Promoter",IF(E1762&gt;=7,"Passive","Detractor"))</f>
        <v>Promoter</v>
      </c>
    </row>
    <row r="1763" customFormat="false" ht="15" hidden="false" customHeight="false" outlineLevel="0" collapsed="false">
      <c r="A1763" s="8" t="s">
        <v>6382</v>
      </c>
      <c r="B1763" s="8" t="s">
        <v>381</v>
      </c>
      <c r="C1763" s="8" t="s">
        <v>55</v>
      </c>
      <c r="D1763" s="32" t="n">
        <v>46088</v>
      </c>
      <c r="E1763" s="8" t="n">
        <v>9</v>
      </c>
      <c r="F1763" s="8" t="str">
        <f aca="false">IF(E1763&gt;=9,"Promoter",IF(E1763&gt;=7,"Passive","Detractor"))</f>
        <v>Promoter</v>
      </c>
    </row>
    <row r="1764" customFormat="false" ht="15" hidden="false" customHeight="false" outlineLevel="0" collapsed="false">
      <c r="A1764" s="8" t="s">
        <v>6383</v>
      </c>
      <c r="B1764" s="8" t="s">
        <v>1987</v>
      </c>
      <c r="C1764" s="8" t="s">
        <v>51</v>
      </c>
      <c r="D1764" s="32" t="n">
        <v>46088</v>
      </c>
      <c r="E1764" s="8" t="n">
        <v>10</v>
      </c>
      <c r="F1764" s="8" t="str">
        <f aca="false">IF(E1764&gt;=9,"Promoter",IF(E1764&gt;=7,"Passive","Detractor"))</f>
        <v>Promoter</v>
      </c>
    </row>
    <row r="1765" customFormat="false" ht="15" hidden="false" customHeight="false" outlineLevel="0" collapsed="false">
      <c r="A1765" s="8" t="s">
        <v>6384</v>
      </c>
      <c r="B1765" s="8" t="s">
        <v>807</v>
      </c>
      <c r="C1765" s="8" t="s">
        <v>53</v>
      </c>
      <c r="D1765" s="32" t="n">
        <v>46088</v>
      </c>
      <c r="E1765" s="8" t="n">
        <v>8</v>
      </c>
      <c r="F1765" s="8" t="str">
        <f aca="false">IF(E1765&gt;=9,"Promoter",IF(E1765&gt;=7,"Passive","Detractor"))</f>
        <v>Passive</v>
      </c>
    </row>
    <row r="1766" customFormat="false" ht="15" hidden="false" customHeight="false" outlineLevel="0" collapsed="false">
      <c r="A1766" s="8" t="s">
        <v>6385</v>
      </c>
      <c r="B1766" s="8" t="s">
        <v>3720</v>
      </c>
      <c r="C1766" s="8" t="s">
        <v>51</v>
      </c>
      <c r="D1766" s="32" t="n">
        <v>46088</v>
      </c>
      <c r="E1766" s="8" t="n">
        <v>10</v>
      </c>
      <c r="F1766" s="8" t="str">
        <f aca="false">IF(E1766&gt;=9,"Promoter",IF(E1766&gt;=7,"Passive","Detractor"))</f>
        <v>Promoter</v>
      </c>
    </row>
    <row r="1767" customFormat="false" ht="15" hidden="false" customHeight="false" outlineLevel="0" collapsed="false">
      <c r="A1767" s="8" t="s">
        <v>6386</v>
      </c>
      <c r="B1767" s="8" t="s">
        <v>3420</v>
      </c>
      <c r="C1767" s="8" t="s">
        <v>51</v>
      </c>
      <c r="D1767" s="32" t="n">
        <v>46088</v>
      </c>
      <c r="E1767" s="8" t="n">
        <v>10</v>
      </c>
      <c r="F1767" s="8" t="str">
        <f aca="false">IF(E1767&gt;=9,"Promoter",IF(E1767&gt;=7,"Passive","Detractor"))</f>
        <v>Promoter</v>
      </c>
    </row>
    <row r="1768" customFormat="false" ht="15" hidden="false" customHeight="false" outlineLevel="0" collapsed="false">
      <c r="A1768" s="8" t="s">
        <v>6387</v>
      </c>
      <c r="B1768" s="8" t="s">
        <v>3580</v>
      </c>
      <c r="C1768" s="8" t="s">
        <v>51</v>
      </c>
      <c r="D1768" s="32" t="n">
        <v>46088</v>
      </c>
      <c r="E1768" s="8" t="n">
        <v>8</v>
      </c>
      <c r="F1768" s="8" t="str">
        <f aca="false">IF(E1768&gt;=9,"Promoter",IF(E1768&gt;=7,"Passive","Detractor"))</f>
        <v>Passive</v>
      </c>
    </row>
    <row r="1769" customFormat="false" ht="15" hidden="false" customHeight="false" outlineLevel="0" collapsed="false">
      <c r="A1769" s="8" t="s">
        <v>6388</v>
      </c>
      <c r="B1769" s="8" t="s">
        <v>1571</v>
      </c>
      <c r="C1769" s="8" t="s">
        <v>53</v>
      </c>
      <c r="D1769" s="32" t="n">
        <v>46088</v>
      </c>
      <c r="E1769" s="8" t="n">
        <v>10</v>
      </c>
      <c r="F1769" s="8" t="str">
        <f aca="false">IF(E1769&gt;=9,"Promoter",IF(E1769&gt;=7,"Passive","Detractor"))</f>
        <v>Promoter</v>
      </c>
    </row>
    <row r="1770" customFormat="false" ht="15" hidden="false" customHeight="false" outlineLevel="0" collapsed="false">
      <c r="A1770" s="8" t="s">
        <v>6389</v>
      </c>
      <c r="B1770" s="8" t="s">
        <v>1965</v>
      </c>
      <c r="C1770" s="8" t="s">
        <v>51</v>
      </c>
      <c r="D1770" s="32" t="n">
        <v>46089</v>
      </c>
      <c r="E1770" s="8" t="n">
        <v>7</v>
      </c>
      <c r="F1770" s="8" t="str">
        <f aca="false">IF(E1770&gt;=9,"Promoter",IF(E1770&gt;=7,"Passive","Detractor"))</f>
        <v>Passive</v>
      </c>
    </row>
    <row r="1771" customFormat="false" ht="15" hidden="false" customHeight="false" outlineLevel="0" collapsed="false">
      <c r="A1771" s="8" t="s">
        <v>6390</v>
      </c>
      <c r="B1771" s="8" t="s">
        <v>375</v>
      </c>
      <c r="C1771" s="8" t="s">
        <v>55</v>
      </c>
      <c r="D1771" s="32" t="n">
        <v>46089</v>
      </c>
      <c r="E1771" s="8" t="n">
        <v>4</v>
      </c>
      <c r="F1771" s="8" t="str">
        <f aca="false">IF(E1771&gt;=9,"Promoter",IF(E1771&gt;=7,"Passive","Detractor"))</f>
        <v>Detractor</v>
      </c>
    </row>
    <row r="1772" customFormat="false" ht="15" hidden="false" customHeight="false" outlineLevel="0" collapsed="false">
      <c r="A1772" s="8" t="s">
        <v>6391</v>
      </c>
      <c r="B1772" s="8" t="s">
        <v>1951</v>
      </c>
      <c r="C1772" s="8" t="s">
        <v>51</v>
      </c>
      <c r="D1772" s="32" t="n">
        <v>46089</v>
      </c>
      <c r="E1772" s="8" t="n">
        <v>8</v>
      </c>
      <c r="F1772" s="8" t="str">
        <f aca="false">IF(E1772&gt;=9,"Promoter",IF(E1772&gt;=7,"Passive","Detractor"))</f>
        <v>Passive</v>
      </c>
    </row>
    <row r="1773" customFormat="false" ht="15" hidden="false" customHeight="false" outlineLevel="0" collapsed="false">
      <c r="A1773" s="8" t="s">
        <v>6392</v>
      </c>
      <c r="B1773" s="8" t="s">
        <v>1281</v>
      </c>
      <c r="C1773" s="8" t="s">
        <v>53</v>
      </c>
      <c r="D1773" s="32" t="n">
        <v>46089</v>
      </c>
      <c r="E1773" s="8" t="n">
        <v>10</v>
      </c>
      <c r="F1773" s="8" t="str">
        <f aca="false">IF(E1773&gt;=9,"Promoter",IF(E1773&gt;=7,"Passive","Detractor"))</f>
        <v>Promoter</v>
      </c>
    </row>
    <row r="1774" customFormat="false" ht="15" hidden="false" customHeight="false" outlineLevel="0" collapsed="false">
      <c r="A1774" s="8" t="s">
        <v>6393</v>
      </c>
      <c r="B1774" s="8" t="s">
        <v>3888</v>
      </c>
      <c r="C1774" s="8" t="s">
        <v>51</v>
      </c>
      <c r="D1774" s="32" t="n">
        <v>46089</v>
      </c>
      <c r="E1774" s="8" t="n">
        <v>7</v>
      </c>
      <c r="F1774" s="8" t="str">
        <f aca="false">IF(E1774&gt;=9,"Promoter",IF(E1774&gt;=7,"Passive","Detractor"))</f>
        <v>Passive</v>
      </c>
    </row>
    <row r="1775" customFormat="false" ht="15" hidden="false" customHeight="false" outlineLevel="0" collapsed="false">
      <c r="A1775" s="8" t="s">
        <v>6394</v>
      </c>
      <c r="B1775" s="8" t="s">
        <v>3948</v>
      </c>
      <c r="C1775" s="8" t="s">
        <v>51</v>
      </c>
      <c r="D1775" s="32" t="n">
        <v>46089</v>
      </c>
      <c r="E1775" s="8" t="n">
        <v>7</v>
      </c>
      <c r="F1775" s="8" t="str">
        <f aca="false">IF(E1775&gt;=9,"Promoter",IF(E1775&gt;=7,"Passive","Detractor"))</f>
        <v>Passive</v>
      </c>
    </row>
    <row r="1776" customFormat="false" ht="15" hidden="false" customHeight="false" outlineLevel="0" collapsed="false">
      <c r="A1776" s="8" t="s">
        <v>6395</v>
      </c>
      <c r="B1776" s="8" t="s">
        <v>2624</v>
      </c>
      <c r="C1776" s="8" t="s">
        <v>51</v>
      </c>
      <c r="D1776" s="32" t="n">
        <v>46089</v>
      </c>
      <c r="E1776" s="8" t="n">
        <v>10</v>
      </c>
      <c r="F1776" s="8" t="str">
        <f aca="false">IF(E1776&gt;=9,"Promoter",IF(E1776&gt;=7,"Passive","Detractor"))</f>
        <v>Promoter</v>
      </c>
    </row>
    <row r="1777" customFormat="false" ht="15" hidden="false" customHeight="false" outlineLevel="0" collapsed="false">
      <c r="A1777" s="8" t="s">
        <v>6396</v>
      </c>
      <c r="B1777" s="8" t="s">
        <v>767</v>
      </c>
      <c r="C1777" s="8" t="s">
        <v>53</v>
      </c>
      <c r="D1777" s="32" t="n">
        <v>46090</v>
      </c>
      <c r="E1777" s="8" t="n">
        <v>7</v>
      </c>
      <c r="F1777" s="8" t="str">
        <f aca="false">IF(E1777&gt;=9,"Promoter",IF(E1777&gt;=7,"Passive","Detractor"))</f>
        <v>Passive</v>
      </c>
    </row>
    <row r="1778" customFormat="false" ht="15" hidden="false" customHeight="false" outlineLevel="0" collapsed="false">
      <c r="A1778" s="8" t="s">
        <v>6397</v>
      </c>
      <c r="B1778" s="8" t="s">
        <v>3264</v>
      </c>
      <c r="C1778" s="8" t="s">
        <v>51</v>
      </c>
      <c r="D1778" s="32" t="n">
        <v>46090</v>
      </c>
      <c r="E1778" s="8" t="n">
        <v>7</v>
      </c>
      <c r="F1778" s="8" t="str">
        <f aca="false">IF(E1778&gt;=9,"Promoter",IF(E1778&gt;=7,"Passive","Detractor"))</f>
        <v>Passive</v>
      </c>
    </row>
    <row r="1779" customFormat="false" ht="15" hidden="false" customHeight="false" outlineLevel="0" collapsed="false">
      <c r="A1779" s="8" t="s">
        <v>6398</v>
      </c>
      <c r="B1779" s="8" t="s">
        <v>240</v>
      </c>
      <c r="C1779" s="8" t="s">
        <v>55</v>
      </c>
      <c r="D1779" s="32" t="n">
        <v>46090</v>
      </c>
      <c r="E1779" s="8" t="n">
        <v>7</v>
      </c>
      <c r="F1779" s="8" t="str">
        <f aca="false">IF(E1779&gt;=9,"Promoter",IF(E1779&gt;=7,"Passive","Detractor"))</f>
        <v>Passive</v>
      </c>
    </row>
    <row r="1780" customFormat="false" ht="15" hidden="false" customHeight="false" outlineLevel="0" collapsed="false">
      <c r="A1780" s="8" t="s">
        <v>6399</v>
      </c>
      <c r="B1780" s="8" t="s">
        <v>164</v>
      </c>
      <c r="C1780" s="8" t="s">
        <v>55</v>
      </c>
      <c r="D1780" s="32" t="n">
        <v>46090</v>
      </c>
      <c r="E1780" s="8" t="n">
        <v>8</v>
      </c>
      <c r="F1780" s="8" t="str">
        <f aca="false">IF(E1780&gt;=9,"Promoter",IF(E1780&gt;=7,"Passive","Detractor"))</f>
        <v>Passive</v>
      </c>
    </row>
    <row r="1781" customFormat="false" ht="15" hidden="false" customHeight="false" outlineLevel="0" collapsed="false">
      <c r="A1781" s="8" t="s">
        <v>6400</v>
      </c>
      <c r="B1781" s="8" t="s">
        <v>731</v>
      </c>
      <c r="C1781" s="8" t="s">
        <v>53</v>
      </c>
      <c r="D1781" s="32" t="n">
        <v>46090</v>
      </c>
      <c r="E1781" s="8" t="n">
        <v>9</v>
      </c>
      <c r="F1781" s="8" t="str">
        <f aca="false">IF(E1781&gt;=9,"Promoter",IF(E1781&gt;=7,"Passive","Detractor"))</f>
        <v>Promoter</v>
      </c>
    </row>
    <row r="1782" customFormat="false" ht="15" hidden="false" customHeight="false" outlineLevel="0" collapsed="false">
      <c r="A1782" s="8" t="s">
        <v>6401</v>
      </c>
      <c r="B1782" s="8" t="s">
        <v>3942</v>
      </c>
      <c r="C1782" s="8" t="s">
        <v>51</v>
      </c>
      <c r="D1782" s="32" t="n">
        <v>46090</v>
      </c>
      <c r="E1782" s="8" t="n">
        <v>10</v>
      </c>
      <c r="F1782" s="8" t="str">
        <f aca="false">IF(E1782&gt;=9,"Promoter",IF(E1782&gt;=7,"Passive","Detractor"))</f>
        <v>Promoter</v>
      </c>
    </row>
    <row r="1783" customFormat="false" ht="15" hidden="false" customHeight="false" outlineLevel="0" collapsed="false">
      <c r="A1783" s="8" t="s">
        <v>6402</v>
      </c>
      <c r="B1783" s="8" t="s">
        <v>270</v>
      </c>
      <c r="C1783" s="8" t="s">
        <v>55</v>
      </c>
      <c r="D1783" s="32" t="n">
        <v>46091</v>
      </c>
      <c r="E1783" s="8" t="n">
        <v>10</v>
      </c>
      <c r="F1783" s="8" t="str">
        <f aca="false">IF(E1783&gt;=9,"Promoter",IF(E1783&gt;=7,"Passive","Detractor"))</f>
        <v>Promoter</v>
      </c>
    </row>
    <row r="1784" customFormat="false" ht="15" hidden="false" customHeight="false" outlineLevel="0" collapsed="false">
      <c r="A1784" s="8" t="s">
        <v>6403</v>
      </c>
      <c r="B1784" s="8" t="s">
        <v>463</v>
      </c>
      <c r="C1784" s="8" t="s">
        <v>53</v>
      </c>
      <c r="D1784" s="32" t="n">
        <v>46091</v>
      </c>
      <c r="E1784" s="8" t="n">
        <v>7</v>
      </c>
      <c r="F1784" s="8" t="str">
        <f aca="false">IF(E1784&gt;=9,"Promoter",IF(E1784&gt;=7,"Passive","Detractor"))</f>
        <v>Passive</v>
      </c>
    </row>
    <row r="1785" customFormat="false" ht="15" hidden="false" customHeight="false" outlineLevel="0" collapsed="false">
      <c r="A1785" s="8" t="s">
        <v>6404</v>
      </c>
      <c r="B1785" s="8" t="s">
        <v>1449</v>
      </c>
      <c r="C1785" s="8" t="s">
        <v>53</v>
      </c>
      <c r="D1785" s="32" t="n">
        <v>46091</v>
      </c>
      <c r="E1785" s="8" t="n">
        <v>7</v>
      </c>
      <c r="F1785" s="8" t="str">
        <f aca="false">IF(E1785&gt;=9,"Promoter",IF(E1785&gt;=7,"Passive","Detractor"))</f>
        <v>Passive</v>
      </c>
    </row>
    <row r="1786" customFormat="false" ht="15" hidden="false" customHeight="false" outlineLevel="0" collapsed="false">
      <c r="A1786" s="8" t="s">
        <v>6405</v>
      </c>
      <c r="B1786" s="8" t="s">
        <v>4438</v>
      </c>
      <c r="C1786" s="8" t="s">
        <v>53</v>
      </c>
      <c r="D1786" s="32" t="n">
        <v>46091</v>
      </c>
      <c r="E1786" s="8" t="n">
        <v>7</v>
      </c>
      <c r="F1786" s="8" t="str">
        <f aca="false">IF(E1786&gt;=9,"Promoter",IF(E1786&gt;=7,"Passive","Detractor"))</f>
        <v>Passive</v>
      </c>
    </row>
    <row r="1787" customFormat="false" ht="15" hidden="false" customHeight="false" outlineLevel="0" collapsed="false">
      <c r="A1787" s="8" t="s">
        <v>6406</v>
      </c>
      <c r="B1787" s="8" t="s">
        <v>1253</v>
      </c>
      <c r="C1787" s="8" t="s">
        <v>53</v>
      </c>
      <c r="D1787" s="32" t="n">
        <v>46091</v>
      </c>
      <c r="E1787" s="8" t="n">
        <v>9</v>
      </c>
      <c r="F1787" s="8" t="str">
        <f aca="false">IF(E1787&gt;=9,"Promoter",IF(E1787&gt;=7,"Passive","Detractor"))</f>
        <v>Promoter</v>
      </c>
    </row>
    <row r="1788" customFormat="false" ht="15" hidden="false" customHeight="false" outlineLevel="0" collapsed="false">
      <c r="A1788" s="8" t="s">
        <v>6407</v>
      </c>
      <c r="B1788" s="8" t="s">
        <v>345</v>
      </c>
      <c r="C1788" s="8" t="s">
        <v>55</v>
      </c>
      <c r="D1788" s="32" t="n">
        <v>46091</v>
      </c>
      <c r="E1788" s="8" t="n">
        <v>9</v>
      </c>
      <c r="F1788" s="8" t="str">
        <f aca="false">IF(E1788&gt;=9,"Promoter",IF(E1788&gt;=7,"Passive","Detractor"))</f>
        <v>Promoter</v>
      </c>
    </row>
    <row r="1789" customFormat="false" ht="15" hidden="false" customHeight="false" outlineLevel="0" collapsed="false">
      <c r="A1789" s="8" t="s">
        <v>6408</v>
      </c>
      <c r="B1789" s="8" t="s">
        <v>1153</v>
      </c>
      <c r="C1789" s="8" t="s">
        <v>53</v>
      </c>
      <c r="D1789" s="32" t="n">
        <v>46091</v>
      </c>
      <c r="E1789" s="8" t="n">
        <v>5</v>
      </c>
      <c r="F1789" s="8" t="str">
        <f aca="false">IF(E1789&gt;=9,"Promoter",IF(E1789&gt;=7,"Passive","Detractor"))</f>
        <v>Detractor</v>
      </c>
    </row>
    <row r="1790" customFormat="false" ht="15" hidden="false" customHeight="false" outlineLevel="0" collapsed="false">
      <c r="A1790" s="8" t="s">
        <v>6409</v>
      </c>
      <c r="B1790" s="8" t="s">
        <v>685</v>
      </c>
      <c r="C1790" s="8" t="s">
        <v>53</v>
      </c>
      <c r="D1790" s="32" t="n">
        <v>46091</v>
      </c>
      <c r="E1790" s="8" t="n">
        <v>9</v>
      </c>
      <c r="F1790" s="8" t="str">
        <f aca="false">IF(E1790&gt;=9,"Promoter",IF(E1790&gt;=7,"Passive","Detractor"))</f>
        <v>Promoter</v>
      </c>
    </row>
    <row r="1791" customFormat="false" ht="15" hidden="false" customHeight="false" outlineLevel="0" collapsed="false">
      <c r="A1791" s="8" t="s">
        <v>6410</v>
      </c>
      <c r="B1791" s="8" t="s">
        <v>2118</v>
      </c>
      <c r="C1791" s="8" t="s">
        <v>51</v>
      </c>
      <c r="D1791" s="32" t="n">
        <v>46092</v>
      </c>
      <c r="E1791" s="8" t="n">
        <v>6</v>
      </c>
      <c r="F1791" s="8" t="str">
        <f aca="false">IF(E1791&gt;=9,"Promoter",IF(E1791&gt;=7,"Passive","Detractor"))</f>
        <v>Detractor</v>
      </c>
    </row>
    <row r="1792" customFormat="false" ht="15" hidden="false" customHeight="false" outlineLevel="0" collapsed="false">
      <c r="A1792" s="8" t="s">
        <v>6411</v>
      </c>
      <c r="B1792" s="8" t="s">
        <v>3608</v>
      </c>
      <c r="C1792" s="8" t="s">
        <v>51</v>
      </c>
      <c r="D1792" s="32" t="n">
        <v>46092</v>
      </c>
      <c r="E1792" s="8" t="n">
        <v>9</v>
      </c>
      <c r="F1792" s="8" t="str">
        <f aca="false">IF(E1792&gt;=9,"Promoter",IF(E1792&gt;=7,"Passive","Detractor"))</f>
        <v>Promoter</v>
      </c>
    </row>
    <row r="1793" customFormat="false" ht="15" hidden="false" customHeight="false" outlineLevel="0" collapsed="false">
      <c r="A1793" s="8" t="s">
        <v>6412</v>
      </c>
      <c r="B1793" s="8" t="s">
        <v>3626</v>
      </c>
      <c r="C1793" s="8" t="s">
        <v>51</v>
      </c>
      <c r="D1793" s="32" t="n">
        <v>46092</v>
      </c>
      <c r="E1793" s="8" t="n">
        <v>8</v>
      </c>
      <c r="F1793" s="8" t="str">
        <f aca="false">IF(E1793&gt;=9,"Promoter",IF(E1793&gt;=7,"Passive","Detractor"))</f>
        <v>Passive</v>
      </c>
    </row>
    <row r="1794" customFormat="false" ht="15" hidden="false" customHeight="false" outlineLevel="0" collapsed="false">
      <c r="A1794" s="8" t="s">
        <v>6413</v>
      </c>
      <c r="B1794" s="8" t="s">
        <v>1357</v>
      </c>
      <c r="C1794" s="8" t="s">
        <v>53</v>
      </c>
      <c r="D1794" s="32" t="n">
        <v>46092</v>
      </c>
      <c r="E1794" s="8" t="n">
        <v>10</v>
      </c>
      <c r="F1794" s="8" t="str">
        <f aca="false">IF(E1794&gt;=9,"Promoter",IF(E1794&gt;=7,"Passive","Detractor"))</f>
        <v>Promoter</v>
      </c>
    </row>
    <row r="1795" customFormat="false" ht="15" hidden="false" customHeight="false" outlineLevel="0" collapsed="false">
      <c r="A1795" s="8" t="s">
        <v>6414</v>
      </c>
      <c r="B1795" s="8" t="s">
        <v>3162</v>
      </c>
      <c r="C1795" s="8" t="s">
        <v>51</v>
      </c>
      <c r="D1795" s="32" t="n">
        <v>46092</v>
      </c>
      <c r="E1795" s="8" t="n">
        <v>8</v>
      </c>
      <c r="F1795" s="8" t="str">
        <f aca="false">IF(E1795&gt;=9,"Promoter",IF(E1795&gt;=7,"Passive","Detractor"))</f>
        <v>Passive</v>
      </c>
    </row>
    <row r="1796" customFormat="false" ht="15" hidden="false" customHeight="false" outlineLevel="0" collapsed="false">
      <c r="A1796" s="8" t="s">
        <v>6415</v>
      </c>
      <c r="B1796" s="8" t="s">
        <v>3972</v>
      </c>
      <c r="C1796" s="8" t="s">
        <v>51</v>
      </c>
      <c r="D1796" s="32" t="n">
        <v>46092</v>
      </c>
      <c r="E1796" s="8" t="n">
        <v>7</v>
      </c>
      <c r="F1796" s="8" t="str">
        <f aca="false">IF(E1796&gt;=9,"Promoter",IF(E1796&gt;=7,"Passive","Detractor"))</f>
        <v>Passive</v>
      </c>
    </row>
    <row r="1797" customFormat="false" ht="15" hidden="false" customHeight="false" outlineLevel="0" collapsed="false">
      <c r="A1797" s="8" t="s">
        <v>6416</v>
      </c>
      <c r="B1797" s="8" t="s">
        <v>2530</v>
      </c>
      <c r="C1797" s="8" t="s">
        <v>51</v>
      </c>
      <c r="D1797" s="32" t="n">
        <v>46092</v>
      </c>
      <c r="E1797" s="8" t="n">
        <v>6</v>
      </c>
      <c r="F1797" s="8" t="str">
        <f aca="false">IF(E1797&gt;=9,"Promoter",IF(E1797&gt;=7,"Passive","Detractor"))</f>
        <v>Detractor</v>
      </c>
    </row>
    <row r="1798" customFormat="false" ht="15" hidden="false" customHeight="false" outlineLevel="0" collapsed="false">
      <c r="A1798" s="8" t="s">
        <v>6417</v>
      </c>
      <c r="B1798" s="8" t="s">
        <v>3078</v>
      </c>
      <c r="C1798" s="8" t="s">
        <v>51</v>
      </c>
      <c r="D1798" s="32" t="n">
        <v>46092</v>
      </c>
      <c r="E1798" s="8" t="n">
        <v>10</v>
      </c>
      <c r="F1798" s="8" t="str">
        <f aca="false">IF(E1798&gt;=9,"Promoter",IF(E1798&gt;=7,"Passive","Detractor"))</f>
        <v>Promoter</v>
      </c>
    </row>
    <row r="1799" customFormat="false" ht="15" hidden="false" customHeight="false" outlineLevel="0" collapsed="false">
      <c r="A1799" s="8" t="s">
        <v>6418</v>
      </c>
      <c r="B1799" s="8" t="s">
        <v>2954</v>
      </c>
      <c r="C1799" s="8" t="s">
        <v>51</v>
      </c>
      <c r="D1799" s="32" t="n">
        <v>46092</v>
      </c>
      <c r="E1799" s="8" t="n">
        <v>10</v>
      </c>
      <c r="F1799" s="8" t="str">
        <f aca="false">IF(E1799&gt;=9,"Promoter",IF(E1799&gt;=7,"Passive","Detractor"))</f>
        <v>Promoter</v>
      </c>
    </row>
    <row r="1800" customFormat="false" ht="15" hidden="false" customHeight="false" outlineLevel="0" collapsed="false">
      <c r="A1800" s="8" t="s">
        <v>6419</v>
      </c>
      <c r="B1800" s="8" t="s">
        <v>145</v>
      </c>
      <c r="C1800" s="8" t="s">
        <v>55</v>
      </c>
      <c r="D1800" s="32" t="n">
        <v>46093</v>
      </c>
      <c r="E1800" s="8" t="n">
        <v>9</v>
      </c>
      <c r="F1800" s="8" t="str">
        <f aca="false">IF(E1800&gt;=9,"Promoter",IF(E1800&gt;=7,"Passive","Detractor"))</f>
        <v>Promoter</v>
      </c>
    </row>
    <row r="1801" customFormat="false" ht="15" hidden="false" customHeight="false" outlineLevel="0" collapsed="false">
      <c r="A1801" s="8" t="s">
        <v>6420</v>
      </c>
      <c r="B1801" s="8" t="s">
        <v>2594</v>
      </c>
      <c r="C1801" s="8" t="s">
        <v>51</v>
      </c>
      <c r="D1801" s="32" t="n">
        <v>46093</v>
      </c>
      <c r="E1801" s="8" t="n">
        <v>10</v>
      </c>
      <c r="F1801" s="8" t="str">
        <f aca="false">IF(E1801&gt;=9,"Promoter",IF(E1801&gt;=7,"Passive","Detractor"))</f>
        <v>Promoter</v>
      </c>
    </row>
    <row r="1802" customFormat="false" ht="15" hidden="false" customHeight="false" outlineLevel="0" collapsed="false">
      <c r="A1802" s="8" t="s">
        <v>6421</v>
      </c>
      <c r="B1802" s="8" t="s">
        <v>2506</v>
      </c>
      <c r="C1802" s="8" t="s">
        <v>51</v>
      </c>
      <c r="D1802" s="32" t="n">
        <v>46093</v>
      </c>
      <c r="E1802" s="8" t="n">
        <v>7</v>
      </c>
      <c r="F1802" s="8" t="str">
        <f aca="false">IF(E1802&gt;=9,"Promoter",IF(E1802&gt;=7,"Passive","Detractor"))</f>
        <v>Passive</v>
      </c>
    </row>
    <row r="1803" customFormat="false" ht="15" hidden="false" customHeight="false" outlineLevel="0" collapsed="false">
      <c r="A1803" s="8" t="s">
        <v>6422</v>
      </c>
      <c r="B1803" s="8" t="s">
        <v>3576</v>
      </c>
      <c r="C1803" s="8" t="s">
        <v>51</v>
      </c>
      <c r="D1803" s="32" t="n">
        <v>46093</v>
      </c>
      <c r="E1803" s="8" t="n">
        <v>8</v>
      </c>
      <c r="F1803" s="8" t="str">
        <f aca="false">IF(E1803&gt;=9,"Promoter",IF(E1803&gt;=7,"Passive","Detractor"))</f>
        <v>Passive</v>
      </c>
    </row>
    <row r="1804" customFormat="false" ht="15" hidden="false" customHeight="false" outlineLevel="0" collapsed="false">
      <c r="A1804" s="8" t="s">
        <v>6423</v>
      </c>
      <c r="B1804" s="8" t="s">
        <v>4128</v>
      </c>
      <c r="C1804" s="8" t="s">
        <v>51</v>
      </c>
      <c r="D1804" s="32" t="n">
        <v>46093</v>
      </c>
      <c r="E1804" s="8" t="n">
        <v>8</v>
      </c>
      <c r="F1804" s="8" t="str">
        <f aca="false">IF(E1804&gt;=9,"Promoter",IF(E1804&gt;=7,"Passive","Detractor"))</f>
        <v>Passive</v>
      </c>
    </row>
    <row r="1805" customFormat="false" ht="15" hidden="false" customHeight="false" outlineLevel="0" collapsed="false">
      <c r="A1805" s="8" t="s">
        <v>6424</v>
      </c>
      <c r="B1805" s="8" t="s">
        <v>3826</v>
      </c>
      <c r="C1805" s="8" t="s">
        <v>51</v>
      </c>
      <c r="D1805" s="32" t="n">
        <v>46093</v>
      </c>
      <c r="E1805" s="8" t="n">
        <v>6</v>
      </c>
      <c r="F1805" s="8" t="str">
        <f aca="false">IF(E1805&gt;=9,"Promoter",IF(E1805&gt;=7,"Passive","Detractor"))</f>
        <v>Detractor</v>
      </c>
    </row>
    <row r="1806" customFormat="false" ht="15" hidden="false" customHeight="false" outlineLevel="0" collapsed="false">
      <c r="A1806" s="8" t="s">
        <v>6425</v>
      </c>
      <c r="B1806" s="8" t="s">
        <v>2778</v>
      </c>
      <c r="C1806" s="8" t="s">
        <v>51</v>
      </c>
      <c r="D1806" s="32" t="n">
        <v>46093</v>
      </c>
      <c r="E1806" s="8" t="n">
        <v>5</v>
      </c>
      <c r="F1806" s="8" t="str">
        <f aca="false">IF(E1806&gt;=9,"Promoter",IF(E1806&gt;=7,"Passive","Detractor"))</f>
        <v>Detractor</v>
      </c>
    </row>
    <row r="1807" customFormat="false" ht="15" hidden="false" customHeight="false" outlineLevel="0" collapsed="false">
      <c r="A1807" s="8" t="s">
        <v>6426</v>
      </c>
      <c r="B1807" s="8" t="s">
        <v>3984</v>
      </c>
      <c r="C1807" s="8" t="s">
        <v>51</v>
      </c>
      <c r="D1807" s="32" t="n">
        <v>46094</v>
      </c>
      <c r="E1807" s="8" t="n">
        <v>6</v>
      </c>
      <c r="F1807" s="8" t="str">
        <f aca="false">IF(E1807&gt;=9,"Promoter",IF(E1807&gt;=7,"Passive","Detractor"))</f>
        <v>Detractor</v>
      </c>
    </row>
    <row r="1808" customFormat="false" ht="15" hidden="false" customHeight="false" outlineLevel="0" collapsed="false">
      <c r="A1808" s="8" t="s">
        <v>6427</v>
      </c>
      <c r="B1808" s="8" t="s">
        <v>615</v>
      </c>
      <c r="C1808" s="8" t="s">
        <v>53</v>
      </c>
      <c r="D1808" s="32" t="n">
        <v>46094</v>
      </c>
      <c r="E1808" s="8" t="n">
        <v>9</v>
      </c>
      <c r="F1808" s="8" t="str">
        <f aca="false">IF(E1808&gt;=9,"Promoter",IF(E1808&gt;=7,"Passive","Detractor"))</f>
        <v>Promoter</v>
      </c>
    </row>
    <row r="1809" customFormat="false" ht="15" hidden="false" customHeight="false" outlineLevel="0" collapsed="false">
      <c r="A1809" s="8" t="s">
        <v>6428</v>
      </c>
      <c r="B1809" s="8" t="s">
        <v>228</v>
      </c>
      <c r="C1809" s="8" t="s">
        <v>55</v>
      </c>
      <c r="D1809" s="32" t="n">
        <v>46094</v>
      </c>
      <c r="E1809" s="8" t="n">
        <v>10</v>
      </c>
      <c r="F1809" s="8" t="str">
        <f aca="false">IF(E1809&gt;=9,"Promoter",IF(E1809&gt;=7,"Passive","Detractor"))</f>
        <v>Promoter</v>
      </c>
    </row>
    <row r="1810" customFormat="false" ht="15" hidden="false" customHeight="false" outlineLevel="0" collapsed="false">
      <c r="A1810" s="8" t="s">
        <v>6429</v>
      </c>
      <c r="B1810" s="8" t="s">
        <v>304</v>
      </c>
      <c r="C1810" s="8" t="s">
        <v>55</v>
      </c>
      <c r="D1810" s="32" t="n">
        <v>46094</v>
      </c>
      <c r="E1810" s="8" t="n">
        <v>8</v>
      </c>
      <c r="F1810" s="8" t="str">
        <f aca="false">IF(E1810&gt;=9,"Promoter",IF(E1810&gt;=7,"Passive","Detractor"))</f>
        <v>Passive</v>
      </c>
    </row>
    <row r="1811" customFormat="false" ht="15" hidden="false" customHeight="false" outlineLevel="0" collapsed="false">
      <c r="A1811" s="8" t="s">
        <v>6430</v>
      </c>
      <c r="B1811" s="8" t="s">
        <v>1667</v>
      </c>
      <c r="C1811" s="8" t="s">
        <v>53</v>
      </c>
      <c r="D1811" s="32" t="n">
        <v>46094</v>
      </c>
      <c r="E1811" s="8" t="n">
        <v>8</v>
      </c>
      <c r="F1811" s="8" t="str">
        <f aca="false">IF(E1811&gt;=9,"Promoter",IF(E1811&gt;=7,"Passive","Detractor"))</f>
        <v>Passive</v>
      </c>
    </row>
    <row r="1812" customFormat="false" ht="15" hidden="false" customHeight="false" outlineLevel="0" collapsed="false">
      <c r="A1812" s="8" t="s">
        <v>6431</v>
      </c>
      <c r="B1812" s="8" t="s">
        <v>213</v>
      </c>
      <c r="C1812" s="8" t="s">
        <v>55</v>
      </c>
      <c r="D1812" s="32" t="n">
        <v>46094</v>
      </c>
      <c r="E1812" s="8" t="n">
        <v>10</v>
      </c>
      <c r="F1812" s="8" t="str">
        <f aca="false">IF(E1812&gt;=9,"Promoter",IF(E1812&gt;=7,"Passive","Detractor"))</f>
        <v>Promoter</v>
      </c>
    </row>
    <row r="1813" customFormat="false" ht="15" hidden="false" customHeight="false" outlineLevel="0" collapsed="false">
      <c r="A1813" s="8" t="s">
        <v>6432</v>
      </c>
      <c r="B1813" s="8" t="s">
        <v>2150</v>
      </c>
      <c r="C1813" s="8" t="s">
        <v>51</v>
      </c>
      <c r="D1813" s="32" t="n">
        <v>46094</v>
      </c>
      <c r="E1813" s="8" t="n">
        <v>10</v>
      </c>
      <c r="F1813" s="8" t="str">
        <f aca="false">IF(E1813&gt;=9,"Promoter",IF(E1813&gt;=7,"Passive","Detractor"))</f>
        <v>Promoter</v>
      </c>
    </row>
    <row r="1814" customFormat="false" ht="15" hidden="false" customHeight="false" outlineLevel="0" collapsed="false">
      <c r="A1814" s="8" t="s">
        <v>6433</v>
      </c>
      <c r="B1814" s="8" t="s">
        <v>1605</v>
      </c>
      <c r="C1814" s="8" t="s">
        <v>53</v>
      </c>
      <c r="D1814" s="32" t="n">
        <v>46094</v>
      </c>
      <c r="E1814" s="8" t="n">
        <v>6</v>
      </c>
      <c r="F1814" s="8" t="str">
        <f aca="false">IF(E1814&gt;=9,"Promoter",IF(E1814&gt;=7,"Passive","Detractor"))</f>
        <v>Detractor</v>
      </c>
    </row>
    <row r="1815" customFormat="false" ht="15" hidden="false" customHeight="false" outlineLevel="0" collapsed="false">
      <c r="A1815" s="8" t="s">
        <v>6434</v>
      </c>
      <c r="B1815" s="8" t="s">
        <v>1315</v>
      </c>
      <c r="C1815" s="8" t="s">
        <v>53</v>
      </c>
      <c r="D1815" s="32" t="n">
        <v>46094</v>
      </c>
      <c r="E1815" s="8" t="n">
        <v>10</v>
      </c>
      <c r="F1815" s="8" t="str">
        <f aca="false">IF(E1815&gt;=9,"Promoter",IF(E1815&gt;=7,"Passive","Detractor"))</f>
        <v>Promoter</v>
      </c>
    </row>
    <row r="1816" customFormat="false" ht="15" hidden="false" customHeight="false" outlineLevel="0" collapsed="false">
      <c r="A1816" s="8" t="s">
        <v>6435</v>
      </c>
      <c r="B1816" s="8" t="s">
        <v>3780</v>
      </c>
      <c r="C1816" s="8" t="s">
        <v>51</v>
      </c>
      <c r="D1816" s="32" t="n">
        <v>46095</v>
      </c>
      <c r="E1816" s="8" t="n">
        <v>10</v>
      </c>
      <c r="F1816" s="8" t="str">
        <f aca="false">IF(E1816&gt;=9,"Promoter",IF(E1816&gt;=7,"Passive","Detractor"))</f>
        <v>Promoter</v>
      </c>
    </row>
    <row r="1817" customFormat="false" ht="15" hidden="false" customHeight="false" outlineLevel="0" collapsed="false">
      <c r="A1817" s="8" t="s">
        <v>6436</v>
      </c>
      <c r="B1817" s="8" t="s">
        <v>6437</v>
      </c>
      <c r="C1817" s="8" t="s">
        <v>55</v>
      </c>
      <c r="D1817" s="32" t="n">
        <v>46095</v>
      </c>
      <c r="E1817" s="8" t="n">
        <v>6</v>
      </c>
      <c r="F1817" s="8" t="str">
        <f aca="false">IF(E1817&gt;=9,"Promoter",IF(E1817&gt;=7,"Passive","Detractor"))</f>
        <v>Detractor</v>
      </c>
    </row>
    <row r="1818" customFormat="false" ht="15" hidden="false" customHeight="false" outlineLevel="0" collapsed="false">
      <c r="A1818" s="8" t="s">
        <v>6438</v>
      </c>
      <c r="B1818" s="8" t="s">
        <v>1945</v>
      </c>
      <c r="C1818" s="8" t="s">
        <v>51</v>
      </c>
      <c r="D1818" s="32" t="n">
        <v>46095</v>
      </c>
      <c r="E1818" s="8" t="n">
        <v>10</v>
      </c>
      <c r="F1818" s="8" t="str">
        <f aca="false">IF(E1818&gt;=9,"Promoter",IF(E1818&gt;=7,"Passive","Detractor"))</f>
        <v>Promoter</v>
      </c>
    </row>
    <row r="1819" customFormat="false" ht="15" hidden="false" customHeight="false" outlineLevel="0" collapsed="false">
      <c r="A1819" s="8" t="s">
        <v>6439</v>
      </c>
      <c r="B1819" s="8" t="s">
        <v>4306</v>
      </c>
      <c r="C1819" s="8" t="s">
        <v>51</v>
      </c>
      <c r="D1819" s="32" t="n">
        <v>46095</v>
      </c>
      <c r="E1819" s="8" t="n">
        <v>5</v>
      </c>
      <c r="F1819" s="8" t="str">
        <f aca="false">IF(E1819&gt;=9,"Promoter",IF(E1819&gt;=7,"Passive","Detractor"))</f>
        <v>Detractor</v>
      </c>
    </row>
    <row r="1820" customFormat="false" ht="15" hidden="false" customHeight="false" outlineLevel="0" collapsed="false">
      <c r="A1820" s="8" t="s">
        <v>6440</v>
      </c>
      <c r="B1820" s="8" t="s">
        <v>3708</v>
      </c>
      <c r="C1820" s="8" t="s">
        <v>51</v>
      </c>
      <c r="D1820" s="32" t="n">
        <v>46095</v>
      </c>
      <c r="E1820" s="8" t="n">
        <v>10</v>
      </c>
      <c r="F1820" s="8" t="str">
        <f aca="false">IF(E1820&gt;=9,"Promoter",IF(E1820&gt;=7,"Passive","Detractor"))</f>
        <v>Promoter</v>
      </c>
    </row>
    <row r="1821" customFormat="false" ht="15" hidden="false" customHeight="false" outlineLevel="0" collapsed="false">
      <c r="A1821" s="8" t="s">
        <v>6441</v>
      </c>
      <c r="B1821" s="8" t="s">
        <v>1823</v>
      </c>
      <c r="C1821" s="8" t="s">
        <v>51</v>
      </c>
      <c r="D1821" s="32" t="n">
        <v>46095</v>
      </c>
      <c r="E1821" s="8" t="n">
        <v>3</v>
      </c>
      <c r="F1821" s="8" t="str">
        <f aca="false">IF(E1821&gt;=9,"Promoter",IF(E1821&gt;=7,"Passive","Detractor"))</f>
        <v>Detractor</v>
      </c>
    </row>
    <row r="1822" customFormat="false" ht="15" hidden="false" customHeight="false" outlineLevel="0" collapsed="false">
      <c r="A1822" s="8" t="s">
        <v>6442</v>
      </c>
      <c r="B1822" s="8" t="s">
        <v>1041</v>
      </c>
      <c r="C1822" s="8" t="s">
        <v>53</v>
      </c>
      <c r="D1822" s="32" t="n">
        <v>46095</v>
      </c>
      <c r="E1822" s="8" t="n">
        <v>8</v>
      </c>
      <c r="F1822" s="8" t="str">
        <f aca="false">IF(E1822&gt;=9,"Promoter",IF(E1822&gt;=7,"Passive","Detractor"))</f>
        <v>Passive</v>
      </c>
    </row>
    <row r="1823" customFormat="false" ht="15" hidden="false" customHeight="false" outlineLevel="0" collapsed="false">
      <c r="A1823" s="8" t="s">
        <v>6443</v>
      </c>
      <c r="B1823" s="8" t="s">
        <v>1549</v>
      </c>
      <c r="C1823" s="8" t="s">
        <v>53</v>
      </c>
      <c r="D1823" s="32" t="n">
        <v>46095</v>
      </c>
      <c r="E1823" s="8" t="n">
        <v>8</v>
      </c>
      <c r="F1823" s="8" t="str">
        <f aca="false">IF(E1823&gt;=9,"Promoter",IF(E1823&gt;=7,"Passive","Detractor"))</f>
        <v>Passive</v>
      </c>
    </row>
    <row r="1824" customFormat="false" ht="15" hidden="false" customHeight="false" outlineLevel="0" collapsed="false">
      <c r="A1824" s="8" t="s">
        <v>6444</v>
      </c>
      <c r="B1824" s="8" t="s">
        <v>4280</v>
      </c>
      <c r="C1824" s="8" t="s">
        <v>51</v>
      </c>
      <c r="D1824" s="32" t="n">
        <v>46095</v>
      </c>
      <c r="E1824" s="8" t="n">
        <v>10</v>
      </c>
      <c r="F1824" s="8" t="str">
        <f aca="false">IF(E1824&gt;=9,"Promoter",IF(E1824&gt;=7,"Passive","Detractor"))</f>
        <v>Promoter</v>
      </c>
    </row>
    <row r="1825" customFormat="false" ht="15" hidden="false" customHeight="false" outlineLevel="0" collapsed="false">
      <c r="A1825" s="8" t="s">
        <v>6445</v>
      </c>
      <c r="B1825" s="8" t="s">
        <v>771</v>
      </c>
      <c r="C1825" s="8" t="s">
        <v>53</v>
      </c>
      <c r="D1825" s="32" t="n">
        <v>46095</v>
      </c>
      <c r="E1825" s="8" t="n">
        <v>10</v>
      </c>
      <c r="F1825" s="8" t="str">
        <f aca="false">IF(E1825&gt;=9,"Promoter",IF(E1825&gt;=7,"Passive","Detractor"))</f>
        <v>Promoter</v>
      </c>
    </row>
    <row r="1826" customFormat="false" ht="15" hidden="false" customHeight="false" outlineLevel="0" collapsed="false">
      <c r="A1826" s="8" t="s">
        <v>6446</v>
      </c>
      <c r="B1826" s="8" t="s">
        <v>230</v>
      </c>
      <c r="C1826" s="8" t="s">
        <v>55</v>
      </c>
      <c r="D1826" s="32" t="n">
        <v>46095</v>
      </c>
      <c r="E1826" s="8" t="n">
        <v>9</v>
      </c>
      <c r="F1826" s="8" t="str">
        <f aca="false">IF(E1826&gt;=9,"Promoter",IF(E1826&gt;=7,"Passive","Detractor"))</f>
        <v>Promoter</v>
      </c>
    </row>
    <row r="1827" customFormat="false" ht="15" hidden="false" customHeight="false" outlineLevel="0" collapsed="false">
      <c r="A1827" s="8" t="s">
        <v>6447</v>
      </c>
      <c r="B1827" s="8" t="s">
        <v>3818</v>
      </c>
      <c r="C1827" s="8" t="s">
        <v>51</v>
      </c>
      <c r="D1827" s="32" t="n">
        <v>46095</v>
      </c>
      <c r="E1827" s="8" t="n">
        <v>6</v>
      </c>
      <c r="F1827" s="8" t="str">
        <f aca="false">IF(E1827&gt;=9,"Promoter",IF(E1827&gt;=7,"Passive","Detractor"))</f>
        <v>Detractor</v>
      </c>
    </row>
    <row r="1828" customFormat="false" ht="15" hidden="false" customHeight="false" outlineLevel="0" collapsed="false">
      <c r="A1828" s="8" t="s">
        <v>6448</v>
      </c>
      <c r="B1828" s="8" t="s">
        <v>1805</v>
      </c>
      <c r="C1828" s="8" t="s">
        <v>53</v>
      </c>
      <c r="D1828" s="32" t="n">
        <v>46095</v>
      </c>
      <c r="E1828" s="8" t="n">
        <v>10</v>
      </c>
      <c r="F1828" s="8" t="str">
        <f aca="false">IF(E1828&gt;=9,"Promoter",IF(E1828&gt;=7,"Passive","Detractor"))</f>
        <v>Promoter</v>
      </c>
    </row>
    <row r="1829" customFormat="false" ht="15" hidden="false" customHeight="false" outlineLevel="0" collapsed="false">
      <c r="A1829" s="8" t="s">
        <v>6449</v>
      </c>
      <c r="B1829" s="8" t="s">
        <v>635</v>
      </c>
      <c r="C1829" s="8" t="s">
        <v>53</v>
      </c>
      <c r="D1829" s="32" t="n">
        <v>46095</v>
      </c>
      <c r="E1829" s="8" t="n">
        <v>10</v>
      </c>
      <c r="F1829" s="8" t="str">
        <f aca="false">IF(E1829&gt;=9,"Promoter",IF(E1829&gt;=7,"Passive","Detractor"))</f>
        <v>Promoter</v>
      </c>
    </row>
    <row r="1830" customFormat="false" ht="15" hidden="false" customHeight="false" outlineLevel="0" collapsed="false">
      <c r="A1830" s="8" t="s">
        <v>6450</v>
      </c>
      <c r="B1830" s="8" t="s">
        <v>4541</v>
      </c>
      <c r="C1830" s="8" t="s">
        <v>51</v>
      </c>
      <c r="D1830" s="32" t="n">
        <v>46096</v>
      </c>
      <c r="E1830" s="8" t="n">
        <v>7</v>
      </c>
      <c r="F1830" s="8" t="str">
        <f aca="false">IF(E1830&gt;=9,"Promoter",IF(E1830&gt;=7,"Passive","Detractor"))</f>
        <v>Passive</v>
      </c>
    </row>
    <row r="1831" customFormat="false" ht="15" hidden="false" customHeight="false" outlineLevel="0" collapsed="false">
      <c r="A1831" s="8" t="s">
        <v>6451</v>
      </c>
      <c r="B1831" s="8" t="s">
        <v>603</v>
      </c>
      <c r="C1831" s="8" t="s">
        <v>53</v>
      </c>
      <c r="D1831" s="32" t="n">
        <v>46096</v>
      </c>
      <c r="E1831" s="8" t="n">
        <v>6</v>
      </c>
      <c r="F1831" s="8" t="str">
        <f aca="false">IF(E1831&gt;=9,"Promoter",IF(E1831&gt;=7,"Passive","Detractor"))</f>
        <v>Detractor</v>
      </c>
    </row>
    <row r="1832" customFormat="false" ht="15" hidden="false" customHeight="false" outlineLevel="0" collapsed="false">
      <c r="A1832" s="8" t="s">
        <v>6452</v>
      </c>
      <c r="B1832" s="8" t="s">
        <v>4340</v>
      </c>
      <c r="C1832" s="8" t="s">
        <v>51</v>
      </c>
      <c r="D1832" s="32" t="n">
        <v>46096</v>
      </c>
      <c r="E1832" s="8" t="n">
        <v>10</v>
      </c>
      <c r="F1832" s="8" t="str">
        <f aca="false">IF(E1832&gt;=9,"Promoter",IF(E1832&gt;=7,"Passive","Detractor"))</f>
        <v>Promoter</v>
      </c>
    </row>
    <row r="1833" customFormat="false" ht="15" hidden="false" customHeight="false" outlineLevel="0" collapsed="false">
      <c r="A1833" s="8" t="s">
        <v>6453</v>
      </c>
      <c r="B1833" s="8" t="s">
        <v>3050</v>
      </c>
      <c r="C1833" s="8" t="s">
        <v>51</v>
      </c>
      <c r="D1833" s="32" t="n">
        <v>46096</v>
      </c>
      <c r="E1833" s="8" t="n">
        <v>8</v>
      </c>
      <c r="F1833" s="8" t="str">
        <f aca="false">IF(E1833&gt;=9,"Promoter",IF(E1833&gt;=7,"Passive","Detractor"))</f>
        <v>Passive</v>
      </c>
    </row>
    <row r="1834" customFormat="false" ht="15" hidden="false" customHeight="false" outlineLevel="0" collapsed="false">
      <c r="A1834" s="8" t="s">
        <v>6454</v>
      </c>
      <c r="B1834" s="8" t="s">
        <v>1613</v>
      </c>
      <c r="C1834" s="8" t="s">
        <v>53</v>
      </c>
      <c r="D1834" s="32" t="n">
        <v>46096</v>
      </c>
      <c r="E1834" s="8" t="n">
        <v>5</v>
      </c>
      <c r="F1834" s="8" t="str">
        <f aca="false">IF(E1834&gt;=9,"Promoter",IF(E1834&gt;=7,"Passive","Detractor"))</f>
        <v>Detractor</v>
      </c>
    </row>
    <row r="1835" customFormat="false" ht="15" hidden="false" customHeight="false" outlineLevel="0" collapsed="false">
      <c r="A1835" s="8" t="s">
        <v>6455</v>
      </c>
      <c r="B1835" s="8" t="s">
        <v>883</v>
      </c>
      <c r="C1835" s="8" t="s">
        <v>55</v>
      </c>
      <c r="D1835" s="32" t="n">
        <v>46096</v>
      </c>
      <c r="E1835" s="8" t="n">
        <v>7</v>
      </c>
      <c r="F1835" s="8" t="str">
        <f aca="false">IF(E1835&gt;=9,"Promoter",IF(E1835&gt;=7,"Passive","Detractor"))</f>
        <v>Passive</v>
      </c>
    </row>
    <row r="1836" customFormat="false" ht="15" hidden="false" customHeight="false" outlineLevel="0" collapsed="false">
      <c r="A1836" s="8" t="s">
        <v>6456</v>
      </c>
      <c r="B1836" s="8" t="s">
        <v>266</v>
      </c>
      <c r="C1836" s="8" t="s">
        <v>55</v>
      </c>
      <c r="D1836" s="32" t="n">
        <v>46096</v>
      </c>
      <c r="E1836" s="8" t="n">
        <v>9</v>
      </c>
      <c r="F1836" s="8" t="str">
        <f aca="false">IF(E1836&gt;=9,"Promoter",IF(E1836&gt;=7,"Passive","Detractor"))</f>
        <v>Promoter</v>
      </c>
    </row>
    <row r="1837" customFormat="false" ht="15" hidden="false" customHeight="false" outlineLevel="0" collapsed="false">
      <c r="A1837" s="8" t="s">
        <v>6457</v>
      </c>
      <c r="B1837" s="8" t="s">
        <v>837</v>
      </c>
      <c r="C1837" s="8" t="s">
        <v>53</v>
      </c>
      <c r="D1837" s="32" t="n">
        <v>46096</v>
      </c>
      <c r="E1837" s="8" t="n">
        <v>10</v>
      </c>
      <c r="F1837" s="8" t="str">
        <f aca="false">IF(E1837&gt;=9,"Promoter",IF(E1837&gt;=7,"Passive","Detractor"))</f>
        <v>Promoter</v>
      </c>
    </row>
    <row r="1838" customFormat="false" ht="15" hidden="false" customHeight="false" outlineLevel="0" collapsed="false">
      <c r="A1838" s="8" t="s">
        <v>6458</v>
      </c>
      <c r="B1838" s="8" t="s">
        <v>4174</v>
      </c>
      <c r="C1838" s="8" t="s">
        <v>51</v>
      </c>
      <c r="D1838" s="32" t="n">
        <v>46096</v>
      </c>
      <c r="E1838" s="8" t="n">
        <v>7</v>
      </c>
      <c r="F1838" s="8" t="str">
        <f aca="false">IF(E1838&gt;=9,"Promoter",IF(E1838&gt;=7,"Passive","Detractor"))</f>
        <v>Passive</v>
      </c>
    </row>
    <row r="1839" customFormat="false" ht="15" hidden="false" customHeight="false" outlineLevel="0" collapsed="false">
      <c r="A1839" s="8" t="s">
        <v>6459</v>
      </c>
      <c r="B1839" s="8" t="s">
        <v>651</v>
      </c>
      <c r="C1839" s="8" t="s">
        <v>53</v>
      </c>
      <c r="D1839" s="32" t="n">
        <v>46096</v>
      </c>
      <c r="E1839" s="8" t="n">
        <v>6</v>
      </c>
      <c r="F1839" s="8" t="str">
        <f aca="false">IF(E1839&gt;=9,"Promoter",IF(E1839&gt;=7,"Passive","Detractor"))</f>
        <v>Detractor</v>
      </c>
    </row>
    <row r="1840" customFormat="false" ht="15" hidden="false" customHeight="false" outlineLevel="0" collapsed="false">
      <c r="A1840" s="8" t="s">
        <v>6460</v>
      </c>
      <c r="B1840" s="8" t="s">
        <v>3000</v>
      </c>
      <c r="C1840" s="8" t="s">
        <v>51</v>
      </c>
      <c r="D1840" s="32" t="n">
        <v>46096</v>
      </c>
      <c r="E1840" s="8" t="n">
        <v>10</v>
      </c>
      <c r="F1840" s="8" t="str">
        <f aca="false">IF(E1840&gt;=9,"Promoter",IF(E1840&gt;=7,"Passive","Detractor"))</f>
        <v>Promoter</v>
      </c>
    </row>
    <row r="1841" customFormat="false" ht="15" hidden="false" customHeight="false" outlineLevel="0" collapsed="false">
      <c r="A1841" s="8" t="s">
        <v>6461</v>
      </c>
      <c r="B1841" s="8" t="s">
        <v>899</v>
      </c>
      <c r="C1841" s="8" t="s">
        <v>53</v>
      </c>
      <c r="D1841" s="32" t="n">
        <v>46096</v>
      </c>
      <c r="E1841" s="8" t="n">
        <v>8</v>
      </c>
      <c r="F1841" s="8" t="str">
        <f aca="false">IF(E1841&gt;=9,"Promoter",IF(E1841&gt;=7,"Passive","Detractor"))</f>
        <v>Passive</v>
      </c>
    </row>
    <row r="1842" customFormat="false" ht="15" hidden="false" customHeight="false" outlineLevel="0" collapsed="false">
      <c r="A1842" s="8" t="s">
        <v>6462</v>
      </c>
      <c r="B1842" s="8" t="s">
        <v>1445</v>
      </c>
      <c r="C1842" s="8" t="s">
        <v>53</v>
      </c>
      <c r="D1842" s="32" t="n">
        <v>46096</v>
      </c>
      <c r="E1842" s="8" t="n">
        <v>8</v>
      </c>
      <c r="F1842" s="8" t="str">
        <f aca="false">IF(E1842&gt;=9,"Promoter",IF(E1842&gt;=7,"Passive","Detractor"))</f>
        <v>Passive</v>
      </c>
    </row>
    <row r="1843" customFormat="false" ht="15" hidden="false" customHeight="false" outlineLevel="0" collapsed="false">
      <c r="A1843" s="8" t="s">
        <v>6463</v>
      </c>
      <c r="B1843" s="8" t="s">
        <v>773</v>
      </c>
      <c r="C1843" s="8" t="s">
        <v>53</v>
      </c>
      <c r="D1843" s="32" t="n">
        <v>46097</v>
      </c>
      <c r="E1843" s="8" t="n">
        <v>10</v>
      </c>
      <c r="F1843" s="8" t="str">
        <f aca="false">IF(E1843&gt;=9,"Promoter",IF(E1843&gt;=7,"Passive","Detractor"))</f>
        <v>Promoter</v>
      </c>
    </row>
    <row r="1844" customFormat="false" ht="15" hidden="false" customHeight="false" outlineLevel="0" collapsed="false">
      <c r="A1844" s="8" t="s">
        <v>6464</v>
      </c>
      <c r="B1844" s="8" t="s">
        <v>3702</v>
      </c>
      <c r="C1844" s="8" t="s">
        <v>51</v>
      </c>
      <c r="D1844" s="32" t="n">
        <v>46097</v>
      </c>
      <c r="E1844" s="8" t="n">
        <v>7</v>
      </c>
      <c r="F1844" s="8" t="str">
        <f aca="false">IF(E1844&gt;=9,"Promoter",IF(E1844&gt;=7,"Passive","Detractor"))</f>
        <v>Passive</v>
      </c>
    </row>
    <row r="1845" customFormat="false" ht="15" hidden="false" customHeight="false" outlineLevel="0" collapsed="false">
      <c r="A1845" s="8" t="s">
        <v>6465</v>
      </c>
      <c r="B1845" s="8" t="s">
        <v>2866</v>
      </c>
      <c r="C1845" s="8" t="s">
        <v>51</v>
      </c>
      <c r="D1845" s="32" t="n">
        <v>46097</v>
      </c>
      <c r="E1845" s="8" t="n">
        <v>7</v>
      </c>
      <c r="F1845" s="8" t="str">
        <f aca="false">IF(E1845&gt;=9,"Promoter",IF(E1845&gt;=7,"Passive","Detractor"))</f>
        <v>Passive</v>
      </c>
    </row>
    <row r="1846" customFormat="false" ht="15" hidden="false" customHeight="false" outlineLevel="0" collapsed="false">
      <c r="A1846" s="8" t="s">
        <v>6466</v>
      </c>
      <c r="B1846" s="8" t="s">
        <v>2654</v>
      </c>
      <c r="C1846" s="8" t="s">
        <v>51</v>
      </c>
      <c r="D1846" s="32" t="n">
        <v>46097</v>
      </c>
      <c r="E1846" s="8" t="n">
        <v>7</v>
      </c>
      <c r="F1846" s="8" t="str">
        <f aca="false">IF(E1846&gt;=9,"Promoter",IF(E1846&gt;=7,"Passive","Detractor"))</f>
        <v>Passive</v>
      </c>
    </row>
    <row r="1847" customFormat="false" ht="15" hidden="false" customHeight="false" outlineLevel="0" collapsed="false">
      <c r="A1847" s="8" t="s">
        <v>6467</v>
      </c>
      <c r="B1847" s="8" t="s">
        <v>4134</v>
      </c>
      <c r="C1847" s="8" t="s">
        <v>51</v>
      </c>
      <c r="D1847" s="32" t="n">
        <v>46097</v>
      </c>
      <c r="E1847" s="8" t="n">
        <v>8</v>
      </c>
      <c r="F1847" s="8" t="str">
        <f aca="false">IF(E1847&gt;=9,"Promoter",IF(E1847&gt;=7,"Passive","Detractor"))</f>
        <v>Passive</v>
      </c>
    </row>
    <row r="1848" customFormat="false" ht="15" hidden="false" customHeight="false" outlineLevel="0" collapsed="false">
      <c r="A1848" s="8" t="s">
        <v>6468</v>
      </c>
      <c r="B1848" s="8" t="s">
        <v>1055</v>
      </c>
      <c r="C1848" s="8" t="s">
        <v>53</v>
      </c>
      <c r="D1848" s="32" t="n">
        <v>46097</v>
      </c>
      <c r="E1848" s="8" t="n">
        <v>8</v>
      </c>
      <c r="F1848" s="8" t="str">
        <f aca="false">IF(E1848&gt;=9,"Promoter",IF(E1848&gt;=7,"Passive","Detractor"))</f>
        <v>Passive</v>
      </c>
    </row>
    <row r="1849" customFormat="false" ht="15" hidden="false" customHeight="false" outlineLevel="0" collapsed="false">
      <c r="A1849" s="8" t="s">
        <v>6469</v>
      </c>
      <c r="B1849" s="8" t="s">
        <v>1735</v>
      </c>
      <c r="C1849" s="8" t="s">
        <v>53</v>
      </c>
      <c r="D1849" s="32" t="n">
        <v>46097</v>
      </c>
      <c r="E1849" s="8" t="n">
        <v>9</v>
      </c>
      <c r="F1849" s="8" t="str">
        <f aca="false">IF(E1849&gt;=9,"Promoter",IF(E1849&gt;=7,"Passive","Detractor"))</f>
        <v>Promoter</v>
      </c>
    </row>
    <row r="1850" customFormat="false" ht="15" hidden="false" customHeight="false" outlineLevel="0" collapsed="false">
      <c r="A1850" s="8" t="s">
        <v>6470</v>
      </c>
      <c r="B1850" s="8" t="s">
        <v>121</v>
      </c>
      <c r="C1850" s="8" t="s">
        <v>55</v>
      </c>
      <c r="D1850" s="32" t="n">
        <v>46097</v>
      </c>
      <c r="E1850" s="8" t="n">
        <v>10</v>
      </c>
      <c r="F1850" s="8" t="str">
        <f aca="false">IF(E1850&gt;=9,"Promoter",IF(E1850&gt;=7,"Passive","Detractor"))</f>
        <v>Promoter</v>
      </c>
    </row>
    <row r="1851" customFormat="false" ht="15" hidden="false" customHeight="false" outlineLevel="0" collapsed="false">
      <c r="A1851" s="8" t="s">
        <v>6471</v>
      </c>
      <c r="B1851" s="8" t="s">
        <v>703</v>
      </c>
      <c r="C1851" s="8" t="s">
        <v>53</v>
      </c>
      <c r="D1851" s="32" t="n">
        <v>46097</v>
      </c>
      <c r="E1851" s="8" t="n">
        <v>8</v>
      </c>
      <c r="F1851" s="8" t="str">
        <f aca="false">IF(E1851&gt;=9,"Promoter",IF(E1851&gt;=7,"Passive","Detractor"))</f>
        <v>Passive</v>
      </c>
    </row>
    <row r="1852" customFormat="false" ht="15" hidden="false" customHeight="false" outlineLevel="0" collapsed="false">
      <c r="A1852" s="8" t="s">
        <v>6472</v>
      </c>
      <c r="B1852" s="8" t="s">
        <v>3148</v>
      </c>
      <c r="C1852" s="8" t="s">
        <v>51</v>
      </c>
      <c r="D1852" s="32" t="n">
        <v>46098</v>
      </c>
      <c r="E1852" s="8" t="n">
        <v>7</v>
      </c>
      <c r="F1852" s="8" t="str">
        <f aca="false">IF(E1852&gt;=9,"Promoter",IF(E1852&gt;=7,"Passive","Detractor"))</f>
        <v>Passive</v>
      </c>
    </row>
    <row r="1853" customFormat="false" ht="15" hidden="false" customHeight="false" outlineLevel="0" collapsed="false">
      <c r="A1853" s="8" t="s">
        <v>6473</v>
      </c>
      <c r="B1853" s="8" t="s">
        <v>1387</v>
      </c>
      <c r="C1853" s="8" t="s">
        <v>53</v>
      </c>
      <c r="D1853" s="32" t="n">
        <v>46098</v>
      </c>
      <c r="E1853" s="8" t="n">
        <v>8</v>
      </c>
      <c r="F1853" s="8" t="str">
        <f aca="false">IF(E1853&gt;=9,"Promoter",IF(E1853&gt;=7,"Passive","Detractor"))</f>
        <v>Passive</v>
      </c>
    </row>
    <row r="1854" customFormat="false" ht="15" hidden="false" customHeight="false" outlineLevel="0" collapsed="false">
      <c r="A1854" s="8" t="s">
        <v>6474</v>
      </c>
      <c r="B1854" s="8" t="s">
        <v>1071</v>
      </c>
      <c r="C1854" s="8" t="s">
        <v>53</v>
      </c>
      <c r="D1854" s="32" t="n">
        <v>46098</v>
      </c>
      <c r="E1854" s="8" t="n">
        <v>7</v>
      </c>
      <c r="F1854" s="8" t="str">
        <f aca="false">IF(E1854&gt;=9,"Promoter",IF(E1854&gt;=7,"Passive","Detractor"))</f>
        <v>Passive</v>
      </c>
    </row>
    <row r="1855" customFormat="false" ht="15" hidden="false" customHeight="false" outlineLevel="0" collapsed="false">
      <c r="A1855" s="8" t="s">
        <v>6475</v>
      </c>
      <c r="B1855" s="8" t="s">
        <v>509</v>
      </c>
      <c r="C1855" s="8" t="s">
        <v>53</v>
      </c>
      <c r="D1855" s="32" t="n">
        <v>46098</v>
      </c>
      <c r="E1855" s="8" t="n">
        <v>8</v>
      </c>
      <c r="F1855" s="8" t="str">
        <f aca="false">IF(E1855&gt;=9,"Promoter",IF(E1855&gt;=7,"Passive","Detractor"))</f>
        <v>Passive</v>
      </c>
    </row>
    <row r="1856" customFormat="false" ht="15" hidden="false" customHeight="false" outlineLevel="0" collapsed="false">
      <c r="A1856" s="8" t="s">
        <v>6476</v>
      </c>
      <c r="B1856" s="8" t="s">
        <v>1289</v>
      </c>
      <c r="C1856" s="8" t="s">
        <v>53</v>
      </c>
      <c r="D1856" s="32" t="n">
        <v>46098</v>
      </c>
      <c r="E1856" s="8" t="n">
        <v>8</v>
      </c>
      <c r="F1856" s="8" t="str">
        <f aca="false">IF(E1856&gt;=9,"Promoter",IF(E1856&gt;=7,"Passive","Detractor"))</f>
        <v>Passive</v>
      </c>
    </row>
    <row r="1857" customFormat="false" ht="15" hidden="false" customHeight="false" outlineLevel="0" collapsed="false">
      <c r="A1857" s="8" t="s">
        <v>6477</v>
      </c>
      <c r="B1857" s="8" t="s">
        <v>1985</v>
      </c>
      <c r="C1857" s="8" t="s">
        <v>51</v>
      </c>
      <c r="D1857" s="32" t="n">
        <v>46098</v>
      </c>
      <c r="E1857" s="8" t="n">
        <v>7</v>
      </c>
      <c r="F1857" s="8" t="str">
        <f aca="false">IF(E1857&gt;=9,"Promoter",IF(E1857&gt;=7,"Passive","Detractor"))</f>
        <v>Passive</v>
      </c>
    </row>
    <row r="1858" customFormat="false" ht="15" hidden="false" customHeight="false" outlineLevel="0" collapsed="false">
      <c r="A1858" s="8" t="s">
        <v>6478</v>
      </c>
      <c r="B1858" s="8" t="s">
        <v>2994</v>
      </c>
      <c r="C1858" s="8" t="s">
        <v>51</v>
      </c>
      <c r="D1858" s="32" t="n">
        <v>46098</v>
      </c>
      <c r="E1858" s="8" t="n">
        <v>7</v>
      </c>
      <c r="F1858" s="8" t="str">
        <f aca="false">IF(E1858&gt;=9,"Promoter",IF(E1858&gt;=7,"Passive","Detractor"))</f>
        <v>Passive</v>
      </c>
    </row>
    <row r="1859" customFormat="false" ht="15" hidden="false" customHeight="false" outlineLevel="0" collapsed="false">
      <c r="A1859" s="8" t="s">
        <v>6479</v>
      </c>
      <c r="B1859" s="8" t="s">
        <v>3936</v>
      </c>
      <c r="C1859" s="8" t="s">
        <v>51</v>
      </c>
      <c r="D1859" s="32" t="n">
        <v>46098</v>
      </c>
      <c r="E1859" s="8" t="n">
        <v>10</v>
      </c>
      <c r="F1859" s="8" t="str">
        <f aca="false">IF(E1859&gt;=9,"Promoter",IF(E1859&gt;=7,"Passive","Detractor"))</f>
        <v>Promoter</v>
      </c>
    </row>
    <row r="1860" customFormat="false" ht="15" hidden="false" customHeight="false" outlineLevel="0" collapsed="false">
      <c r="A1860" s="8" t="s">
        <v>6480</v>
      </c>
      <c r="B1860" s="8" t="s">
        <v>6481</v>
      </c>
      <c r="C1860" s="8" t="s">
        <v>51</v>
      </c>
      <c r="D1860" s="32" t="n">
        <v>46098</v>
      </c>
      <c r="E1860" s="8" t="n">
        <v>8</v>
      </c>
      <c r="F1860" s="8" t="str">
        <f aca="false">IF(E1860&gt;=9,"Promoter",IF(E1860&gt;=7,"Passive","Detractor"))</f>
        <v>Passive</v>
      </c>
    </row>
    <row r="1861" customFormat="false" ht="15" hidden="false" customHeight="false" outlineLevel="0" collapsed="false">
      <c r="A1861" s="8" t="s">
        <v>6482</v>
      </c>
      <c r="B1861" s="8" t="s">
        <v>3544</v>
      </c>
      <c r="C1861" s="8" t="s">
        <v>51</v>
      </c>
      <c r="D1861" s="32" t="n">
        <v>46099</v>
      </c>
      <c r="E1861" s="8" t="n">
        <v>8</v>
      </c>
      <c r="F1861" s="8" t="str">
        <f aca="false">IF(E1861&gt;=9,"Promoter",IF(E1861&gt;=7,"Passive","Detractor"))</f>
        <v>Passive</v>
      </c>
    </row>
    <row r="1862" customFormat="false" ht="15" hidden="false" customHeight="false" outlineLevel="0" collapsed="false">
      <c r="A1862" s="8" t="s">
        <v>6483</v>
      </c>
      <c r="B1862" s="8" t="s">
        <v>3096</v>
      </c>
      <c r="C1862" s="8" t="s">
        <v>51</v>
      </c>
      <c r="D1862" s="32" t="n">
        <v>46099</v>
      </c>
      <c r="E1862" s="8" t="n">
        <v>5</v>
      </c>
      <c r="F1862" s="8" t="str">
        <f aca="false">IF(E1862&gt;=9,"Promoter",IF(E1862&gt;=7,"Passive","Detractor"))</f>
        <v>Detractor</v>
      </c>
    </row>
    <row r="1863" customFormat="false" ht="15" hidden="false" customHeight="false" outlineLevel="0" collapsed="false">
      <c r="A1863" s="8" t="s">
        <v>6484</v>
      </c>
      <c r="B1863" s="8" t="s">
        <v>4216</v>
      </c>
      <c r="C1863" s="8" t="s">
        <v>51</v>
      </c>
      <c r="D1863" s="32" t="n">
        <v>46099</v>
      </c>
      <c r="E1863" s="8" t="n">
        <v>9</v>
      </c>
      <c r="F1863" s="8" t="str">
        <f aca="false">IF(E1863&gt;=9,"Promoter",IF(E1863&gt;=7,"Passive","Detractor"))</f>
        <v>Promoter</v>
      </c>
    </row>
    <row r="1864" customFormat="false" ht="15" hidden="false" customHeight="false" outlineLevel="0" collapsed="false">
      <c r="A1864" s="8" t="s">
        <v>6485</v>
      </c>
      <c r="B1864" s="8" t="s">
        <v>2676</v>
      </c>
      <c r="C1864" s="8" t="s">
        <v>51</v>
      </c>
      <c r="D1864" s="32" t="n">
        <v>46099</v>
      </c>
      <c r="E1864" s="8" t="n">
        <v>10</v>
      </c>
      <c r="F1864" s="8" t="str">
        <f aca="false">IF(E1864&gt;=9,"Promoter",IF(E1864&gt;=7,"Passive","Detractor"))</f>
        <v>Promoter</v>
      </c>
    </row>
    <row r="1865" customFormat="false" ht="15" hidden="false" customHeight="false" outlineLevel="0" collapsed="false">
      <c r="A1865" s="8" t="s">
        <v>6486</v>
      </c>
      <c r="B1865" s="8" t="s">
        <v>2786</v>
      </c>
      <c r="C1865" s="8" t="s">
        <v>51</v>
      </c>
      <c r="D1865" s="32" t="n">
        <v>46099</v>
      </c>
      <c r="E1865" s="8" t="n">
        <v>9</v>
      </c>
      <c r="F1865" s="8" t="str">
        <f aca="false">IF(E1865&gt;=9,"Promoter",IF(E1865&gt;=7,"Passive","Detractor"))</f>
        <v>Promoter</v>
      </c>
    </row>
    <row r="1866" customFormat="false" ht="15" hidden="false" customHeight="false" outlineLevel="0" collapsed="false">
      <c r="A1866" s="8" t="s">
        <v>6487</v>
      </c>
      <c r="B1866" s="8" t="s">
        <v>3470</v>
      </c>
      <c r="C1866" s="8" t="s">
        <v>51</v>
      </c>
      <c r="D1866" s="32" t="n">
        <v>46099</v>
      </c>
      <c r="E1866" s="8" t="n">
        <v>7</v>
      </c>
      <c r="F1866" s="8" t="str">
        <f aca="false">IF(E1866&gt;=9,"Promoter",IF(E1866&gt;=7,"Passive","Detractor"))</f>
        <v>Passive</v>
      </c>
    </row>
    <row r="1867" customFormat="false" ht="15" hidden="false" customHeight="false" outlineLevel="0" collapsed="false">
      <c r="A1867" s="8" t="s">
        <v>6488</v>
      </c>
      <c r="B1867" s="8" t="s">
        <v>1111</v>
      </c>
      <c r="C1867" s="8" t="s">
        <v>53</v>
      </c>
      <c r="D1867" s="32" t="n">
        <v>46099</v>
      </c>
      <c r="E1867" s="8" t="n">
        <v>7</v>
      </c>
      <c r="F1867" s="8" t="str">
        <f aca="false">IF(E1867&gt;=9,"Promoter",IF(E1867&gt;=7,"Passive","Detractor"))</f>
        <v>Passive</v>
      </c>
    </row>
    <row r="1868" customFormat="false" ht="15" hidden="false" customHeight="false" outlineLevel="0" collapsed="false">
      <c r="A1868" s="8" t="s">
        <v>6489</v>
      </c>
      <c r="B1868" s="8" t="s">
        <v>4172</v>
      </c>
      <c r="C1868" s="8" t="s">
        <v>51</v>
      </c>
      <c r="D1868" s="32" t="n">
        <v>46099</v>
      </c>
      <c r="E1868" s="8" t="n">
        <v>8</v>
      </c>
      <c r="F1868" s="8" t="str">
        <f aca="false">IF(E1868&gt;=9,"Promoter",IF(E1868&gt;=7,"Passive","Detractor"))</f>
        <v>Passive</v>
      </c>
    </row>
    <row r="1869" customFormat="false" ht="15" hidden="false" customHeight="false" outlineLevel="0" collapsed="false">
      <c r="A1869" s="8" t="s">
        <v>6490</v>
      </c>
      <c r="B1869" s="8" t="s">
        <v>4108</v>
      </c>
      <c r="C1869" s="8" t="s">
        <v>51</v>
      </c>
      <c r="D1869" s="32" t="n">
        <v>46099</v>
      </c>
      <c r="E1869" s="8" t="n">
        <v>7</v>
      </c>
      <c r="F1869" s="8" t="str">
        <f aca="false">IF(E1869&gt;=9,"Promoter",IF(E1869&gt;=7,"Passive","Detractor"))</f>
        <v>Passive</v>
      </c>
    </row>
    <row r="1870" customFormat="false" ht="15" hidden="false" customHeight="false" outlineLevel="0" collapsed="false">
      <c r="A1870" s="8" t="s">
        <v>6491</v>
      </c>
      <c r="B1870" s="8" t="s">
        <v>3450</v>
      </c>
      <c r="C1870" s="8" t="s">
        <v>51</v>
      </c>
      <c r="D1870" s="32" t="n">
        <v>46099</v>
      </c>
      <c r="E1870" s="8" t="n">
        <v>7</v>
      </c>
      <c r="F1870" s="8" t="str">
        <f aca="false">IF(E1870&gt;=9,"Promoter",IF(E1870&gt;=7,"Passive","Detractor"))</f>
        <v>Passive</v>
      </c>
    </row>
    <row r="1871" customFormat="false" ht="15" hidden="false" customHeight="false" outlineLevel="0" collapsed="false">
      <c r="A1871" s="8" t="s">
        <v>6492</v>
      </c>
      <c r="B1871" s="8" t="s">
        <v>815</v>
      </c>
      <c r="C1871" s="8" t="s">
        <v>53</v>
      </c>
      <c r="D1871" s="32" t="n">
        <v>46099</v>
      </c>
      <c r="E1871" s="8" t="n">
        <v>8</v>
      </c>
      <c r="F1871" s="8" t="str">
        <f aca="false">IF(E1871&gt;=9,"Promoter",IF(E1871&gt;=7,"Passive","Detractor"))</f>
        <v>Passive</v>
      </c>
    </row>
    <row r="1872" customFormat="false" ht="15" hidden="false" customHeight="false" outlineLevel="0" collapsed="false">
      <c r="A1872" s="8" t="s">
        <v>6493</v>
      </c>
      <c r="B1872" s="8" t="s">
        <v>264</v>
      </c>
      <c r="C1872" s="8" t="s">
        <v>55</v>
      </c>
      <c r="D1872" s="32" t="n">
        <v>46099</v>
      </c>
      <c r="E1872" s="8" t="n">
        <v>9</v>
      </c>
      <c r="F1872" s="8" t="str">
        <f aca="false">IF(E1872&gt;=9,"Promoter",IF(E1872&gt;=7,"Passive","Detractor"))</f>
        <v>Promoter</v>
      </c>
    </row>
    <row r="1873" customFormat="false" ht="15" hidden="false" customHeight="false" outlineLevel="0" collapsed="false">
      <c r="A1873" s="8" t="s">
        <v>6494</v>
      </c>
      <c r="B1873" s="8" t="s">
        <v>1303</v>
      </c>
      <c r="C1873" s="8" t="s">
        <v>53</v>
      </c>
      <c r="D1873" s="32" t="n">
        <v>46100</v>
      </c>
      <c r="E1873" s="8" t="n">
        <v>10</v>
      </c>
      <c r="F1873" s="8" t="str">
        <f aca="false">IF(E1873&gt;=9,"Promoter",IF(E1873&gt;=7,"Passive","Detractor"))</f>
        <v>Promoter</v>
      </c>
    </row>
    <row r="1874" customFormat="false" ht="15" hidden="false" customHeight="false" outlineLevel="0" collapsed="false">
      <c r="A1874" s="8" t="s">
        <v>6495</v>
      </c>
      <c r="B1874" s="8" t="s">
        <v>4338</v>
      </c>
      <c r="C1874" s="8" t="s">
        <v>51</v>
      </c>
      <c r="D1874" s="32" t="n">
        <v>46100</v>
      </c>
      <c r="E1874" s="8" t="n">
        <v>7</v>
      </c>
      <c r="F1874" s="8" t="str">
        <f aca="false">IF(E1874&gt;=9,"Promoter",IF(E1874&gt;=7,"Passive","Detractor"))</f>
        <v>Passive</v>
      </c>
    </row>
    <row r="1875" customFormat="false" ht="15" hidden="false" customHeight="false" outlineLevel="0" collapsed="false">
      <c r="A1875" s="8" t="s">
        <v>6496</v>
      </c>
      <c r="B1875" s="8" t="s">
        <v>3044</v>
      </c>
      <c r="C1875" s="8" t="s">
        <v>51</v>
      </c>
      <c r="D1875" s="32" t="n">
        <v>46100</v>
      </c>
      <c r="E1875" s="8" t="n">
        <v>7</v>
      </c>
      <c r="F1875" s="8" t="str">
        <f aca="false">IF(E1875&gt;=9,"Promoter",IF(E1875&gt;=7,"Passive","Detractor"))</f>
        <v>Passive</v>
      </c>
    </row>
    <row r="1876" customFormat="false" ht="15" hidden="false" customHeight="false" outlineLevel="0" collapsed="false">
      <c r="A1876" s="8" t="s">
        <v>6497</v>
      </c>
      <c r="B1876" s="8" t="s">
        <v>4096</v>
      </c>
      <c r="C1876" s="8" t="s">
        <v>51</v>
      </c>
      <c r="D1876" s="32" t="n">
        <v>46100</v>
      </c>
      <c r="E1876" s="8" t="n">
        <v>6</v>
      </c>
      <c r="F1876" s="8" t="str">
        <f aca="false">IF(E1876&gt;=9,"Promoter",IF(E1876&gt;=7,"Passive","Detractor"))</f>
        <v>Detractor</v>
      </c>
    </row>
    <row r="1877" customFormat="false" ht="15" hidden="false" customHeight="false" outlineLevel="0" collapsed="false">
      <c r="A1877" s="8" t="s">
        <v>6498</v>
      </c>
      <c r="B1877" s="8" t="s">
        <v>343</v>
      </c>
      <c r="C1877" s="8" t="s">
        <v>55</v>
      </c>
      <c r="D1877" s="32" t="n">
        <v>46100</v>
      </c>
      <c r="E1877" s="8" t="n">
        <v>5</v>
      </c>
      <c r="F1877" s="8" t="str">
        <f aca="false">IF(E1877&gt;=9,"Promoter",IF(E1877&gt;=7,"Passive","Detractor"))</f>
        <v>Detractor</v>
      </c>
    </row>
    <row r="1878" customFormat="false" ht="15" hidden="false" customHeight="false" outlineLevel="0" collapsed="false">
      <c r="A1878" s="8" t="s">
        <v>6499</v>
      </c>
      <c r="B1878" s="8" t="s">
        <v>2132</v>
      </c>
      <c r="C1878" s="8" t="s">
        <v>51</v>
      </c>
      <c r="D1878" s="32" t="n">
        <v>46100</v>
      </c>
      <c r="E1878" s="8" t="n">
        <v>7</v>
      </c>
      <c r="F1878" s="8" t="str">
        <f aca="false">IF(E1878&gt;=9,"Promoter",IF(E1878&gt;=7,"Passive","Detractor"))</f>
        <v>Passive</v>
      </c>
    </row>
    <row r="1879" customFormat="false" ht="15" hidden="false" customHeight="false" outlineLevel="0" collapsed="false">
      <c r="A1879" s="8" t="s">
        <v>6500</v>
      </c>
      <c r="B1879" s="8" t="s">
        <v>841</v>
      </c>
      <c r="C1879" s="8" t="s">
        <v>53</v>
      </c>
      <c r="D1879" s="32" t="n">
        <v>46100</v>
      </c>
      <c r="E1879" s="8" t="n">
        <v>10</v>
      </c>
      <c r="F1879" s="8" t="str">
        <f aca="false">IF(E1879&gt;=9,"Promoter",IF(E1879&gt;=7,"Passive","Detractor"))</f>
        <v>Promoter</v>
      </c>
    </row>
    <row r="1880" customFormat="false" ht="15" hidden="false" customHeight="false" outlineLevel="0" collapsed="false">
      <c r="A1880" s="8" t="s">
        <v>6501</v>
      </c>
      <c r="B1880" s="8" t="s">
        <v>511</v>
      </c>
      <c r="C1880" s="8" t="s">
        <v>55</v>
      </c>
      <c r="D1880" s="32" t="n">
        <v>46100</v>
      </c>
      <c r="E1880" s="8" t="n">
        <v>10</v>
      </c>
      <c r="F1880" s="8" t="str">
        <f aca="false">IF(E1880&gt;=9,"Promoter",IF(E1880&gt;=7,"Passive","Detractor"))</f>
        <v>Promoter</v>
      </c>
    </row>
    <row r="1881" customFormat="false" ht="15" hidden="false" customHeight="false" outlineLevel="0" collapsed="false">
      <c r="A1881" s="8" t="s">
        <v>6502</v>
      </c>
      <c r="B1881" s="8" t="s">
        <v>278</v>
      </c>
      <c r="C1881" s="8" t="s">
        <v>55</v>
      </c>
      <c r="D1881" s="32" t="n">
        <v>46100</v>
      </c>
      <c r="E1881" s="8" t="n">
        <v>7</v>
      </c>
      <c r="F1881" s="8" t="str">
        <f aca="false">IF(E1881&gt;=9,"Promoter",IF(E1881&gt;=7,"Passive","Detractor"))</f>
        <v>Passive</v>
      </c>
    </row>
    <row r="1882" customFormat="false" ht="15" hidden="false" customHeight="false" outlineLevel="0" collapsed="false">
      <c r="A1882" s="8" t="s">
        <v>6503</v>
      </c>
      <c r="B1882" s="8" t="s">
        <v>4332</v>
      </c>
      <c r="C1882" s="8" t="s">
        <v>51</v>
      </c>
      <c r="D1882" s="32" t="n">
        <v>46100</v>
      </c>
      <c r="E1882" s="8" t="n">
        <v>8</v>
      </c>
      <c r="F1882" s="8" t="str">
        <f aca="false">IF(E1882&gt;=9,"Promoter",IF(E1882&gt;=7,"Passive","Detractor"))</f>
        <v>Passive</v>
      </c>
    </row>
    <row r="1883" customFormat="false" ht="15" hidden="false" customHeight="false" outlineLevel="0" collapsed="false">
      <c r="A1883" s="8" t="s">
        <v>6504</v>
      </c>
      <c r="B1883" s="8" t="s">
        <v>2618</v>
      </c>
      <c r="C1883" s="8" t="s">
        <v>51</v>
      </c>
      <c r="D1883" s="32" t="n">
        <v>46100</v>
      </c>
      <c r="E1883" s="8" t="n">
        <v>10</v>
      </c>
      <c r="F1883" s="8" t="str">
        <f aca="false">IF(E1883&gt;=9,"Promoter",IF(E1883&gt;=7,"Passive","Detractor"))</f>
        <v>Promoter</v>
      </c>
    </row>
    <row r="1884" customFormat="false" ht="15" hidden="false" customHeight="false" outlineLevel="0" collapsed="false">
      <c r="A1884" s="8" t="s">
        <v>6505</v>
      </c>
      <c r="B1884" s="8" t="s">
        <v>1931</v>
      </c>
      <c r="C1884" s="8" t="s">
        <v>51</v>
      </c>
      <c r="D1884" s="32" t="n">
        <v>46100</v>
      </c>
      <c r="E1884" s="8" t="n">
        <v>8</v>
      </c>
      <c r="F1884" s="8" t="str">
        <f aca="false">IF(E1884&gt;=9,"Promoter",IF(E1884&gt;=7,"Passive","Detractor"))</f>
        <v>Passive</v>
      </c>
    </row>
    <row r="1885" customFormat="false" ht="15" hidden="false" customHeight="false" outlineLevel="0" collapsed="false">
      <c r="A1885" s="8" t="s">
        <v>6506</v>
      </c>
      <c r="B1885" s="8" t="s">
        <v>567</v>
      </c>
      <c r="C1885" s="8" t="s">
        <v>55</v>
      </c>
      <c r="D1885" s="32" t="n">
        <v>46101</v>
      </c>
      <c r="E1885" s="8" t="n">
        <v>9</v>
      </c>
      <c r="F1885" s="8" t="str">
        <f aca="false">IF(E1885&gt;=9,"Promoter",IF(E1885&gt;=7,"Passive","Detractor"))</f>
        <v>Promoter</v>
      </c>
    </row>
    <row r="1886" customFormat="false" ht="15" hidden="false" customHeight="false" outlineLevel="0" collapsed="false">
      <c r="A1886" s="8" t="s">
        <v>6507</v>
      </c>
      <c r="B1886" s="8" t="s">
        <v>1905</v>
      </c>
      <c r="C1886" s="8" t="s">
        <v>51</v>
      </c>
      <c r="D1886" s="32" t="n">
        <v>46101</v>
      </c>
      <c r="E1886" s="8" t="n">
        <v>8</v>
      </c>
      <c r="F1886" s="8" t="str">
        <f aca="false">IF(E1886&gt;=9,"Promoter",IF(E1886&gt;=7,"Passive","Detractor"))</f>
        <v>Passive</v>
      </c>
    </row>
    <row r="1887" customFormat="false" ht="15" hidden="false" customHeight="false" outlineLevel="0" collapsed="false">
      <c r="A1887" s="8" t="s">
        <v>6508</v>
      </c>
      <c r="B1887" s="8" t="s">
        <v>2706</v>
      </c>
      <c r="C1887" s="8" t="s">
        <v>51</v>
      </c>
      <c r="D1887" s="32" t="n">
        <v>46101</v>
      </c>
      <c r="E1887" s="8" t="n">
        <v>10</v>
      </c>
      <c r="F1887" s="8" t="str">
        <f aca="false">IF(E1887&gt;=9,"Promoter",IF(E1887&gt;=7,"Passive","Detractor"))</f>
        <v>Promoter</v>
      </c>
    </row>
    <row r="1888" customFormat="false" ht="15" hidden="false" customHeight="false" outlineLevel="0" collapsed="false">
      <c r="A1888" s="8" t="s">
        <v>6509</v>
      </c>
      <c r="B1888" s="8" t="s">
        <v>487</v>
      </c>
      <c r="C1888" s="8" t="s">
        <v>55</v>
      </c>
      <c r="D1888" s="32" t="n">
        <v>46101</v>
      </c>
      <c r="E1888" s="8" t="n">
        <v>8</v>
      </c>
      <c r="F1888" s="8" t="str">
        <f aca="false">IF(E1888&gt;=9,"Promoter",IF(E1888&gt;=7,"Passive","Detractor"))</f>
        <v>Passive</v>
      </c>
    </row>
    <row r="1889" customFormat="false" ht="15" hidden="false" customHeight="false" outlineLevel="0" collapsed="false">
      <c r="A1889" s="8" t="s">
        <v>6510</v>
      </c>
      <c r="B1889" s="8" t="s">
        <v>2168</v>
      </c>
      <c r="C1889" s="8" t="s">
        <v>51</v>
      </c>
      <c r="D1889" s="32" t="n">
        <v>46101</v>
      </c>
      <c r="E1889" s="8" t="n">
        <v>7</v>
      </c>
      <c r="F1889" s="8" t="str">
        <f aca="false">IF(E1889&gt;=9,"Promoter",IF(E1889&gt;=7,"Passive","Detractor"))</f>
        <v>Passive</v>
      </c>
    </row>
    <row r="1890" customFormat="false" ht="15" hidden="false" customHeight="false" outlineLevel="0" collapsed="false">
      <c r="A1890" s="8" t="s">
        <v>6511</v>
      </c>
      <c r="B1890" s="8" t="s">
        <v>2660</v>
      </c>
      <c r="C1890" s="8" t="s">
        <v>51</v>
      </c>
      <c r="D1890" s="32" t="n">
        <v>46101</v>
      </c>
      <c r="E1890" s="8" t="n">
        <v>7</v>
      </c>
      <c r="F1890" s="8" t="str">
        <f aca="false">IF(E1890&gt;=9,"Promoter",IF(E1890&gt;=7,"Passive","Detractor"))</f>
        <v>Passive</v>
      </c>
    </row>
    <row r="1891" customFormat="false" ht="15" hidden="false" customHeight="false" outlineLevel="0" collapsed="false">
      <c r="A1891" s="8" t="s">
        <v>6512</v>
      </c>
      <c r="B1891" s="8" t="s">
        <v>3586</v>
      </c>
      <c r="C1891" s="8" t="s">
        <v>51</v>
      </c>
      <c r="D1891" s="32" t="n">
        <v>46102</v>
      </c>
      <c r="E1891" s="8" t="n">
        <v>10</v>
      </c>
      <c r="F1891" s="8" t="str">
        <f aca="false">IF(E1891&gt;=9,"Promoter",IF(E1891&gt;=7,"Passive","Detractor"))</f>
        <v>Promoter</v>
      </c>
    </row>
    <row r="1892" customFormat="false" ht="15" hidden="false" customHeight="false" outlineLevel="0" collapsed="false">
      <c r="A1892" s="8" t="s">
        <v>6513</v>
      </c>
      <c r="B1892" s="8" t="s">
        <v>2508</v>
      </c>
      <c r="C1892" s="8" t="s">
        <v>51</v>
      </c>
      <c r="D1892" s="32" t="n">
        <v>46102</v>
      </c>
      <c r="E1892" s="8" t="n">
        <v>8</v>
      </c>
      <c r="F1892" s="8" t="str">
        <f aca="false">IF(E1892&gt;=9,"Promoter",IF(E1892&gt;=7,"Passive","Detractor"))</f>
        <v>Passive</v>
      </c>
    </row>
    <row r="1893" customFormat="false" ht="15" hidden="false" customHeight="false" outlineLevel="0" collapsed="false">
      <c r="A1893" s="8" t="s">
        <v>6514</v>
      </c>
      <c r="B1893" s="8" t="s">
        <v>3170</v>
      </c>
      <c r="C1893" s="8" t="s">
        <v>51</v>
      </c>
      <c r="D1893" s="32" t="n">
        <v>46102</v>
      </c>
      <c r="E1893" s="8" t="n">
        <v>9</v>
      </c>
      <c r="F1893" s="8" t="str">
        <f aca="false">IF(E1893&gt;=9,"Promoter",IF(E1893&gt;=7,"Passive","Detractor"))</f>
        <v>Promoter</v>
      </c>
    </row>
    <row r="1894" customFormat="false" ht="15" hidden="false" customHeight="false" outlineLevel="0" collapsed="false">
      <c r="A1894" s="8" t="s">
        <v>6515</v>
      </c>
      <c r="B1894" s="8" t="s">
        <v>4038</v>
      </c>
      <c r="C1894" s="8" t="s">
        <v>51</v>
      </c>
      <c r="D1894" s="32" t="n">
        <v>46102</v>
      </c>
      <c r="E1894" s="8" t="n">
        <v>8</v>
      </c>
      <c r="F1894" s="8" t="str">
        <f aca="false">IF(E1894&gt;=9,"Promoter",IF(E1894&gt;=7,"Passive","Detractor"))</f>
        <v>Passive</v>
      </c>
    </row>
    <row r="1895" customFormat="false" ht="15" hidden="false" customHeight="false" outlineLevel="0" collapsed="false">
      <c r="A1895" s="8" t="s">
        <v>6516</v>
      </c>
      <c r="B1895" s="8" t="s">
        <v>2410</v>
      </c>
      <c r="C1895" s="8" t="s">
        <v>51</v>
      </c>
      <c r="D1895" s="32" t="n">
        <v>46102</v>
      </c>
      <c r="E1895" s="8" t="n">
        <v>10</v>
      </c>
      <c r="F1895" s="8" t="str">
        <f aca="false">IF(E1895&gt;=9,"Promoter",IF(E1895&gt;=7,"Passive","Detractor"))</f>
        <v>Promoter</v>
      </c>
    </row>
    <row r="1896" customFormat="false" ht="15" hidden="false" customHeight="false" outlineLevel="0" collapsed="false">
      <c r="A1896" s="8" t="s">
        <v>6517</v>
      </c>
      <c r="B1896" s="8" t="s">
        <v>2244</v>
      </c>
      <c r="C1896" s="8" t="s">
        <v>51</v>
      </c>
      <c r="D1896" s="32" t="n">
        <v>46102</v>
      </c>
      <c r="E1896" s="8" t="n">
        <v>5</v>
      </c>
      <c r="F1896" s="8" t="str">
        <f aca="false">IF(E1896&gt;=9,"Promoter",IF(E1896&gt;=7,"Passive","Detractor"))</f>
        <v>Detractor</v>
      </c>
    </row>
    <row r="1897" customFormat="false" ht="15" hidden="false" customHeight="false" outlineLevel="0" collapsed="false">
      <c r="A1897" s="8" t="s">
        <v>6518</v>
      </c>
      <c r="B1897" s="8" t="s">
        <v>1883</v>
      </c>
      <c r="C1897" s="8" t="s">
        <v>51</v>
      </c>
      <c r="D1897" s="32" t="n">
        <v>46102</v>
      </c>
      <c r="E1897" s="8" t="n">
        <v>9</v>
      </c>
      <c r="F1897" s="8" t="str">
        <f aca="false">IF(E1897&gt;=9,"Promoter",IF(E1897&gt;=7,"Passive","Detractor"))</f>
        <v>Promoter</v>
      </c>
    </row>
    <row r="1898" customFormat="false" ht="15" hidden="false" customHeight="false" outlineLevel="0" collapsed="false">
      <c r="A1898" s="8" t="s">
        <v>6519</v>
      </c>
      <c r="B1898" s="8" t="s">
        <v>763</v>
      </c>
      <c r="C1898" s="8" t="s">
        <v>53</v>
      </c>
      <c r="D1898" s="32" t="n">
        <v>46102</v>
      </c>
      <c r="E1898" s="8" t="n">
        <v>10</v>
      </c>
      <c r="F1898" s="8" t="str">
        <f aca="false">IF(E1898&gt;=9,"Promoter",IF(E1898&gt;=7,"Passive","Detractor"))</f>
        <v>Promoter</v>
      </c>
    </row>
    <row r="1899" customFormat="false" ht="15" hidden="false" customHeight="false" outlineLevel="0" collapsed="false">
      <c r="A1899" s="8" t="s">
        <v>6520</v>
      </c>
      <c r="B1899" s="8" t="s">
        <v>3774</v>
      </c>
      <c r="C1899" s="8" t="s">
        <v>51</v>
      </c>
      <c r="D1899" s="32" t="n">
        <v>46102</v>
      </c>
      <c r="E1899" s="8" t="n">
        <v>7</v>
      </c>
      <c r="F1899" s="8" t="str">
        <f aca="false">IF(E1899&gt;=9,"Promoter",IF(E1899&gt;=7,"Passive","Detractor"))</f>
        <v>Passive</v>
      </c>
    </row>
    <row r="1900" customFormat="false" ht="15" hidden="false" customHeight="false" outlineLevel="0" collapsed="false">
      <c r="A1900" s="8" t="s">
        <v>6521</v>
      </c>
      <c r="B1900" s="8" t="s">
        <v>1895</v>
      </c>
      <c r="C1900" s="8" t="s">
        <v>51</v>
      </c>
      <c r="D1900" s="32" t="n">
        <v>46103</v>
      </c>
      <c r="E1900" s="8" t="n">
        <v>10</v>
      </c>
      <c r="F1900" s="8" t="str">
        <f aca="false">IF(E1900&gt;=9,"Promoter",IF(E1900&gt;=7,"Passive","Detractor"))</f>
        <v>Promoter</v>
      </c>
    </row>
    <row r="1901" customFormat="false" ht="15" hidden="false" customHeight="false" outlineLevel="0" collapsed="false">
      <c r="A1901" s="8" t="s">
        <v>6522</v>
      </c>
      <c r="B1901" s="8" t="s">
        <v>2172</v>
      </c>
      <c r="C1901" s="8" t="s">
        <v>51</v>
      </c>
      <c r="D1901" s="32" t="n">
        <v>46103</v>
      </c>
      <c r="E1901" s="8" t="n">
        <v>10</v>
      </c>
      <c r="F1901" s="8" t="str">
        <f aca="false">IF(E1901&gt;=9,"Promoter",IF(E1901&gt;=7,"Passive","Detractor"))</f>
        <v>Promoter</v>
      </c>
    </row>
    <row r="1902" customFormat="false" ht="15" hidden="false" customHeight="false" outlineLevel="0" collapsed="false">
      <c r="A1902" s="8" t="s">
        <v>6523</v>
      </c>
      <c r="B1902" s="8" t="s">
        <v>1267</v>
      </c>
      <c r="C1902" s="8" t="s">
        <v>53</v>
      </c>
      <c r="D1902" s="32" t="n">
        <v>46103</v>
      </c>
      <c r="E1902" s="8" t="n">
        <v>7</v>
      </c>
      <c r="F1902" s="8" t="str">
        <f aca="false">IF(E1902&gt;=9,"Promoter",IF(E1902&gt;=7,"Passive","Detractor"))</f>
        <v>Passive</v>
      </c>
    </row>
    <row r="1903" customFormat="false" ht="15" hidden="false" customHeight="false" outlineLevel="0" collapsed="false">
      <c r="A1903" s="8" t="s">
        <v>6524</v>
      </c>
      <c r="B1903" s="8" t="s">
        <v>2456</v>
      </c>
      <c r="C1903" s="8" t="s">
        <v>51</v>
      </c>
      <c r="D1903" s="32" t="n">
        <v>46103</v>
      </c>
      <c r="E1903" s="8" t="n">
        <v>5</v>
      </c>
      <c r="F1903" s="8" t="str">
        <f aca="false">IF(E1903&gt;=9,"Promoter",IF(E1903&gt;=7,"Passive","Detractor"))</f>
        <v>Detractor</v>
      </c>
    </row>
    <row r="1904" customFormat="false" ht="15" hidden="false" customHeight="false" outlineLevel="0" collapsed="false">
      <c r="A1904" s="8" t="s">
        <v>6525</v>
      </c>
      <c r="B1904" s="8" t="s">
        <v>2404</v>
      </c>
      <c r="C1904" s="8" t="s">
        <v>51</v>
      </c>
      <c r="D1904" s="32" t="n">
        <v>46103</v>
      </c>
      <c r="E1904" s="8" t="n">
        <v>6</v>
      </c>
      <c r="F1904" s="8" t="str">
        <f aca="false">IF(E1904&gt;=9,"Promoter",IF(E1904&gt;=7,"Passive","Detractor"))</f>
        <v>Detractor</v>
      </c>
    </row>
    <row r="1905" customFormat="false" ht="15" hidden="false" customHeight="false" outlineLevel="0" collapsed="false">
      <c r="A1905" s="8" t="s">
        <v>6526</v>
      </c>
      <c r="B1905" s="8" t="s">
        <v>3952</v>
      </c>
      <c r="C1905" s="8" t="s">
        <v>51</v>
      </c>
      <c r="D1905" s="32" t="n">
        <v>46103</v>
      </c>
      <c r="E1905" s="8" t="n">
        <v>4</v>
      </c>
      <c r="F1905" s="8" t="str">
        <f aca="false">IF(E1905&gt;=9,"Promoter",IF(E1905&gt;=7,"Passive","Detractor"))</f>
        <v>Detractor</v>
      </c>
    </row>
    <row r="1906" customFormat="false" ht="15" hidden="false" customHeight="false" outlineLevel="0" collapsed="false">
      <c r="A1906" s="8" t="s">
        <v>6527</v>
      </c>
      <c r="B1906" s="8" t="s">
        <v>1611</v>
      </c>
      <c r="C1906" s="8" t="s">
        <v>53</v>
      </c>
      <c r="D1906" s="32" t="n">
        <v>46104</v>
      </c>
      <c r="E1906" s="8" t="n">
        <v>9</v>
      </c>
      <c r="F1906" s="8" t="str">
        <f aca="false">IF(E1906&gt;=9,"Promoter",IF(E1906&gt;=7,"Passive","Detractor"))</f>
        <v>Promoter</v>
      </c>
    </row>
    <row r="1907" customFormat="false" ht="15" hidden="false" customHeight="false" outlineLevel="0" collapsed="false">
      <c r="A1907" s="8" t="s">
        <v>6528</v>
      </c>
      <c r="B1907" s="8" t="s">
        <v>2816</v>
      </c>
      <c r="C1907" s="8" t="s">
        <v>51</v>
      </c>
      <c r="D1907" s="32" t="n">
        <v>46104</v>
      </c>
      <c r="E1907" s="8" t="n">
        <v>9</v>
      </c>
      <c r="F1907" s="8" t="str">
        <f aca="false">IF(E1907&gt;=9,"Promoter",IF(E1907&gt;=7,"Passive","Detractor"))</f>
        <v>Promoter</v>
      </c>
    </row>
    <row r="1908" customFormat="false" ht="15" hidden="false" customHeight="false" outlineLevel="0" collapsed="false">
      <c r="A1908" s="8" t="s">
        <v>6529</v>
      </c>
      <c r="B1908" s="8" t="s">
        <v>2009</v>
      </c>
      <c r="C1908" s="8" t="s">
        <v>51</v>
      </c>
      <c r="D1908" s="32" t="n">
        <v>46104</v>
      </c>
      <c r="E1908" s="8" t="n">
        <v>8</v>
      </c>
      <c r="F1908" s="8" t="str">
        <f aca="false">IF(E1908&gt;=9,"Promoter",IF(E1908&gt;=7,"Passive","Detractor"))</f>
        <v>Passive</v>
      </c>
    </row>
    <row r="1909" customFormat="false" ht="15" hidden="false" customHeight="false" outlineLevel="0" collapsed="false">
      <c r="A1909" s="8" t="s">
        <v>6530</v>
      </c>
      <c r="B1909" s="8" t="s">
        <v>1461</v>
      </c>
      <c r="C1909" s="8" t="s">
        <v>53</v>
      </c>
      <c r="D1909" s="32" t="n">
        <v>46104</v>
      </c>
      <c r="E1909" s="8" t="n">
        <v>9</v>
      </c>
      <c r="F1909" s="8" t="str">
        <f aca="false">IF(E1909&gt;=9,"Promoter",IF(E1909&gt;=7,"Passive","Detractor"))</f>
        <v>Promoter</v>
      </c>
    </row>
    <row r="1910" customFormat="false" ht="15" hidden="false" customHeight="false" outlineLevel="0" collapsed="false">
      <c r="A1910" s="8" t="s">
        <v>6531</v>
      </c>
      <c r="B1910" s="8" t="s">
        <v>673</v>
      </c>
      <c r="C1910" s="8" t="s">
        <v>53</v>
      </c>
      <c r="D1910" s="32" t="n">
        <v>46104</v>
      </c>
      <c r="E1910" s="8" t="n">
        <v>9</v>
      </c>
      <c r="F1910" s="8" t="str">
        <f aca="false">IF(E1910&gt;=9,"Promoter",IF(E1910&gt;=7,"Passive","Detractor"))</f>
        <v>Promoter</v>
      </c>
    </row>
    <row r="1911" customFormat="false" ht="15" hidden="false" customHeight="false" outlineLevel="0" collapsed="false">
      <c r="A1911" s="8" t="s">
        <v>6532</v>
      </c>
      <c r="B1911" s="8" t="s">
        <v>3120</v>
      </c>
      <c r="C1911" s="8" t="s">
        <v>51</v>
      </c>
      <c r="D1911" s="32" t="n">
        <v>46104</v>
      </c>
      <c r="E1911" s="8" t="n">
        <v>10</v>
      </c>
      <c r="F1911" s="8" t="str">
        <f aca="false">IF(E1911&gt;=9,"Promoter",IF(E1911&gt;=7,"Passive","Detractor"))</f>
        <v>Promoter</v>
      </c>
    </row>
    <row r="1912" customFormat="false" ht="15" hidden="false" customHeight="false" outlineLevel="0" collapsed="false">
      <c r="A1912" s="8" t="s">
        <v>6533</v>
      </c>
      <c r="B1912" s="8" t="s">
        <v>3020</v>
      </c>
      <c r="C1912" s="8" t="s">
        <v>51</v>
      </c>
      <c r="D1912" s="32" t="n">
        <v>46104</v>
      </c>
      <c r="E1912" s="8" t="n">
        <v>9</v>
      </c>
      <c r="F1912" s="8" t="str">
        <f aca="false">IF(E1912&gt;=9,"Promoter",IF(E1912&gt;=7,"Passive","Detractor"))</f>
        <v>Promoter</v>
      </c>
    </row>
    <row r="1913" customFormat="false" ht="15" hidden="false" customHeight="false" outlineLevel="0" collapsed="false">
      <c r="A1913" s="8" t="s">
        <v>6534</v>
      </c>
      <c r="B1913" s="8" t="s">
        <v>2894</v>
      </c>
      <c r="C1913" s="8" t="s">
        <v>51</v>
      </c>
      <c r="D1913" s="32" t="n">
        <v>46105</v>
      </c>
      <c r="E1913" s="8" t="n">
        <v>10</v>
      </c>
      <c r="F1913" s="8" t="str">
        <f aca="false">IF(E1913&gt;=9,"Promoter",IF(E1913&gt;=7,"Passive","Detractor"))</f>
        <v>Promoter</v>
      </c>
    </row>
    <row r="1914" customFormat="false" ht="15" hidden="false" customHeight="false" outlineLevel="0" collapsed="false">
      <c r="A1914" s="8" t="s">
        <v>6535</v>
      </c>
      <c r="B1914" s="8" t="s">
        <v>4446</v>
      </c>
      <c r="C1914" s="8" t="s">
        <v>53</v>
      </c>
      <c r="D1914" s="32" t="n">
        <v>46105</v>
      </c>
      <c r="E1914" s="8" t="n">
        <v>4</v>
      </c>
      <c r="F1914" s="8" t="str">
        <f aca="false">IF(E1914&gt;=9,"Promoter",IF(E1914&gt;=7,"Passive","Detractor"))</f>
        <v>Detractor</v>
      </c>
    </row>
    <row r="1915" customFormat="false" ht="15" hidden="false" customHeight="false" outlineLevel="0" collapsed="false">
      <c r="A1915" s="8" t="s">
        <v>6536</v>
      </c>
      <c r="B1915" s="8" t="s">
        <v>3166</v>
      </c>
      <c r="C1915" s="8" t="s">
        <v>51</v>
      </c>
      <c r="D1915" s="32" t="n">
        <v>46105</v>
      </c>
      <c r="E1915" s="8" t="n">
        <v>10</v>
      </c>
      <c r="F1915" s="8" t="str">
        <f aca="false">IF(E1915&gt;=9,"Promoter",IF(E1915&gt;=7,"Passive","Detractor"))</f>
        <v>Promoter</v>
      </c>
    </row>
    <row r="1916" customFormat="false" ht="15" hidden="false" customHeight="false" outlineLevel="0" collapsed="false">
      <c r="A1916" s="8" t="s">
        <v>6537</v>
      </c>
      <c r="B1916" s="8" t="s">
        <v>2750</v>
      </c>
      <c r="C1916" s="8" t="s">
        <v>51</v>
      </c>
      <c r="D1916" s="32" t="n">
        <v>46105</v>
      </c>
      <c r="E1916" s="8" t="n">
        <v>10</v>
      </c>
      <c r="F1916" s="8" t="str">
        <f aca="false">IF(E1916&gt;=9,"Promoter",IF(E1916&gt;=7,"Passive","Detractor"))</f>
        <v>Promoter</v>
      </c>
    </row>
    <row r="1917" customFormat="false" ht="15" hidden="false" customHeight="false" outlineLevel="0" collapsed="false">
      <c r="A1917" s="8" t="s">
        <v>6538</v>
      </c>
      <c r="B1917" s="8" t="s">
        <v>3176</v>
      </c>
      <c r="C1917" s="8" t="s">
        <v>51</v>
      </c>
      <c r="D1917" s="32" t="n">
        <v>46105</v>
      </c>
      <c r="E1917" s="8" t="n">
        <v>10</v>
      </c>
      <c r="F1917" s="8" t="str">
        <f aca="false">IF(E1917&gt;=9,"Promoter",IF(E1917&gt;=7,"Passive","Detractor"))</f>
        <v>Promoter</v>
      </c>
    </row>
    <row r="1918" customFormat="false" ht="15" hidden="false" customHeight="false" outlineLevel="0" collapsed="false">
      <c r="A1918" s="8" t="s">
        <v>6539</v>
      </c>
      <c r="B1918" s="8" t="s">
        <v>4010</v>
      </c>
      <c r="C1918" s="8" t="s">
        <v>51</v>
      </c>
      <c r="D1918" s="32" t="n">
        <v>46105</v>
      </c>
      <c r="E1918" s="8" t="n">
        <v>7</v>
      </c>
      <c r="F1918" s="8" t="str">
        <f aca="false">IF(E1918&gt;=9,"Promoter",IF(E1918&gt;=7,"Passive","Detractor"))</f>
        <v>Passive</v>
      </c>
    </row>
    <row r="1919" customFormat="false" ht="15" hidden="false" customHeight="false" outlineLevel="0" collapsed="false">
      <c r="A1919" s="8" t="s">
        <v>6540</v>
      </c>
      <c r="B1919" s="8" t="s">
        <v>205</v>
      </c>
      <c r="C1919" s="8" t="s">
        <v>55</v>
      </c>
      <c r="D1919" s="32" t="n">
        <v>46105</v>
      </c>
      <c r="E1919" s="8" t="n">
        <v>8</v>
      </c>
      <c r="F1919" s="8" t="str">
        <f aca="false">IF(E1919&gt;=9,"Promoter",IF(E1919&gt;=7,"Passive","Detractor"))</f>
        <v>Passive</v>
      </c>
    </row>
    <row r="1920" customFormat="false" ht="15" hidden="false" customHeight="false" outlineLevel="0" collapsed="false">
      <c r="A1920" s="8" t="s">
        <v>6541</v>
      </c>
      <c r="B1920" s="8" t="s">
        <v>2964</v>
      </c>
      <c r="C1920" s="8" t="s">
        <v>51</v>
      </c>
      <c r="D1920" s="32" t="n">
        <v>46105</v>
      </c>
      <c r="E1920" s="8" t="n">
        <v>10</v>
      </c>
      <c r="F1920" s="8" t="str">
        <f aca="false">IF(E1920&gt;=9,"Promoter",IF(E1920&gt;=7,"Passive","Detractor"))</f>
        <v>Promoter</v>
      </c>
    </row>
    <row r="1921" customFormat="false" ht="15" hidden="false" customHeight="false" outlineLevel="0" collapsed="false">
      <c r="A1921" s="8" t="s">
        <v>6542</v>
      </c>
      <c r="B1921" s="8" t="s">
        <v>3386</v>
      </c>
      <c r="C1921" s="8" t="s">
        <v>51</v>
      </c>
      <c r="D1921" s="32" t="n">
        <v>46106</v>
      </c>
      <c r="E1921" s="8" t="n">
        <v>10</v>
      </c>
      <c r="F1921" s="8" t="str">
        <f aca="false">IF(E1921&gt;=9,"Promoter",IF(E1921&gt;=7,"Passive","Detractor"))</f>
        <v>Promoter</v>
      </c>
    </row>
    <row r="1922" customFormat="false" ht="15" hidden="false" customHeight="false" outlineLevel="0" collapsed="false">
      <c r="A1922" s="8" t="s">
        <v>6543</v>
      </c>
      <c r="B1922" s="8" t="s">
        <v>155</v>
      </c>
      <c r="C1922" s="8" t="s">
        <v>55</v>
      </c>
      <c r="D1922" s="32" t="n">
        <v>46106</v>
      </c>
      <c r="E1922" s="8" t="n">
        <v>6</v>
      </c>
      <c r="F1922" s="8" t="str">
        <f aca="false">IF(E1922&gt;=9,"Promoter",IF(E1922&gt;=7,"Passive","Detractor"))</f>
        <v>Detractor</v>
      </c>
    </row>
    <row r="1923" customFormat="false" ht="15" hidden="false" customHeight="false" outlineLevel="0" collapsed="false">
      <c r="A1923" s="8" t="s">
        <v>6544</v>
      </c>
      <c r="B1923" s="8" t="s">
        <v>4505</v>
      </c>
      <c r="C1923" s="8" t="s">
        <v>51</v>
      </c>
      <c r="D1923" s="32" t="n">
        <v>46106</v>
      </c>
      <c r="E1923" s="8" t="n">
        <v>4</v>
      </c>
      <c r="F1923" s="8" t="str">
        <f aca="false">IF(E1923&gt;=9,"Promoter",IF(E1923&gt;=7,"Passive","Detractor"))</f>
        <v>Detractor</v>
      </c>
    </row>
    <row r="1924" customFormat="false" ht="15" hidden="false" customHeight="false" outlineLevel="0" collapsed="false">
      <c r="A1924" s="8" t="s">
        <v>6545</v>
      </c>
      <c r="B1924" s="8" t="s">
        <v>2986</v>
      </c>
      <c r="C1924" s="8" t="s">
        <v>51</v>
      </c>
      <c r="D1924" s="32" t="n">
        <v>46106</v>
      </c>
      <c r="E1924" s="8" t="n">
        <v>8</v>
      </c>
      <c r="F1924" s="8" t="str">
        <f aca="false">IF(E1924&gt;=9,"Promoter",IF(E1924&gt;=7,"Passive","Detractor"))</f>
        <v>Passive</v>
      </c>
    </row>
    <row r="1925" customFormat="false" ht="15" hidden="false" customHeight="false" outlineLevel="0" collapsed="false">
      <c r="A1925" s="8" t="s">
        <v>6546</v>
      </c>
      <c r="B1925" s="8" t="s">
        <v>6547</v>
      </c>
      <c r="C1925" s="8" t="s">
        <v>51</v>
      </c>
      <c r="D1925" s="32" t="n">
        <v>46106</v>
      </c>
      <c r="E1925" s="8" t="n">
        <v>6</v>
      </c>
      <c r="F1925" s="8" t="str">
        <f aca="false">IF(E1925&gt;=9,"Promoter",IF(E1925&gt;=7,"Passive","Detractor"))</f>
        <v>Detractor</v>
      </c>
    </row>
    <row r="1926" customFormat="false" ht="15" hidden="false" customHeight="false" outlineLevel="0" collapsed="false">
      <c r="A1926" s="8" t="s">
        <v>6548</v>
      </c>
      <c r="B1926" s="8" t="s">
        <v>207</v>
      </c>
      <c r="C1926" s="8" t="s">
        <v>55</v>
      </c>
      <c r="D1926" s="32" t="n">
        <v>46106</v>
      </c>
      <c r="E1926" s="8" t="n">
        <v>9</v>
      </c>
      <c r="F1926" s="8" t="str">
        <f aca="false">IF(E1926&gt;=9,"Promoter",IF(E1926&gt;=7,"Passive","Detractor"))</f>
        <v>Promoter</v>
      </c>
    </row>
    <row r="1927" customFormat="false" ht="15" hidden="false" customHeight="false" outlineLevel="0" collapsed="false">
      <c r="A1927" s="8" t="s">
        <v>6549</v>
      </c>
      <c r="B1927" s="8" t="s">
        <v>541</v>
      </c>
      <c r="C1927" s="8" t="s">
        <v>55</v>
      </c>
      <c r="D1927" s="32" t="n">
        <v>46106</v>
      </c>
      <c r="E1927" s="8" t="n">
        <v>5</v>
      </c>
      <c r="F1927" s="8" t="str">
        <f aca="false">IF(E1927&gt;=9,"Promoter",IF(E1927&gt;=7,"Passive","Detractor"))</f>
        <v>Detractor</v>
      </c>
    </row>
    <row r="1928" customFormat="false" ht="15" hidden="false" customHeight="false" outlineLevel="0" collapsed="false">
      <c r="A1928" s="8" t="s">
        <v>6550</v>
      </c>
      <c r="B1928" s="8" t="s">
        <v>6551</v>
      </c>
      <c r="C1928" s="8" t="s">
        <v>51</v>
      </c>
      <c r="D1928" s="32" t="n">
        <v>46106</v>
      </c>
      <c r="E1928" s="8" t="n">
        <v>6</v>
      </c>
      <c r="F1928" s="8" t="str">
        <f aca="false">IF(E1928&gt;=9,"Promoter",IF(E1928&gt;=7,"Passive","Detractor"))</f>
        <v>Detractor</v>
      </c>
    </row>
    <row r="1929" customFormat="false" ht="15" hidden="false" customHeight="false" outlineLevel="0" collapsed="false">
      <c r="A1929" s="8" t="s">
        <v>6552</v>
      </c>
      <c r="B1929" s="8" t="s">
        <v>1485</v>
      </c>
      <c r="C1929" s="8" t="s">
        <v>53</v>
      </c>
      <c r="D1929" s="32" t="n">
        <v>46106</v>
      </c>
      <c r="E1929" s="8" t="n">
        <v>10</v>
      </c>
      <c r="F1929" s="8" t="str">
        <f aca="false">IF(E1929&gt;=9,"Promoter",IF(E1929&gt;=7,"Passive","Detractor"))</f>
        <v>Promoter</v>
      </c>
    </row>
    <row r="1930" customFormat="false" ht="15" hidden="false" customHeight="false" outlineLevel="0" collapsed="false">
      <c r="A1930" s="8" t="s">
        <v>6553</v>
      </c>
      <c r="B1930" s="8" t="s">
        <v>2218</v>
      </c>
      <c r="C1930" s="8" t="s">
        <v>51</v>
      </c>
      <c r="D1930" s="32" t="n">
        <v>46106</v>
      </c>
      <c r="E1930" s="8" t="n">
        <v>8</v>
      </c>
      <c r="F1930" s="8" t="str">
        <f aca="false">IF(E1930&gt;=9,"Promoter",IF(E1930&gt;=7,"Passive","Detractor"))</f>
        <v>Passive</v>
      </c>
    </row>
    <row r="1931" customFormat="false" ht="15" hidden="false" customHeight="false" outlineLevel="0" collapsed="false">
      <c r="A1931" s="8" t="s">
        <v>6554</v>
      </c>
      <c r="B1931" s="8" t="s">
        <v>2462</v>
      </c>
      <c r="C1931" s="8" t="s">
        <v>51</v>
      </c>
      <c r="D1931" s="32" t="n">
        <v>46106</v>
      </c>
      <c r="E1931" s="8" t="n">
        <v>6</v>
      </c>
      <c r="F1931" s="8" t="str">
        <f aca="false">IF(E1931&gt;=9,"Promoter",IF(E1931&gt;=7,"Passive","Detractor"))</f>
        <v>Detractor</v>
      </c>
    </row>
    <row r="1932" customFormat="false" ht="15" hidden="false" customHeight="false" outlineLevel="0" collapsed="false">
      <c r="A1932" s="8" t="s">
        <v>6555</v>
      </c>
      <c r="B1932" s="8" t="s">
        <v>3136</v>
      </c>
      <c r="C1932" s="8" t="s">
        <v>51</v>
      </c>
      <c r="D1932" s="32" t="n">
        <v>46106</v>
      </c>
      <c r="E1932" s="8" t="n">
        <v>5</v>
      </c>
      <c r="F1932" s="8" t="str">
        <f aca="false">IF(E1932&gt;=9,"Promoter",IF(E1932&gt;=7,"Passive","Detractor"))</f>
        <v>Detractor</v>
      </c>
    </row>
    <row r="1933" customFormat="false" ht="15" hidden="false" customHeight="false" outlineLevel="0" collapsed="false">
      <c r="A1933" s="8" t="s">
        <v>6556</v>
      </c>
      <c r="B1933" s="8" t="s">
        <v>2148</v>
      </c>
      <c r="C1933" s="8" t="s">
        <v>51</v>
      </c>
      <c r="D1933" s="32" t="n">
        <v>46106</v>
      </c>
      <c r="E1933" s="8" t="n">
        <v>8</v>
      </c>
      <c r="F1933" s="8" t="str">
        <f aca="false">IF(E1933&gt;=9,"Promoter",IF(E1933&gt;=7,"Passive","Detractor"))</f>
        <v>Passive</v>
      </c>
    </row>
    <row r="1934" customFormat="false" ht="15" hidden="false" customHeight="false" outlineLevel="0" collapsed="false">
      <c r="A1934" s="8" t="s">
        <v>6557</v>
      </c>
      <c r="B1934" s="8" t="s">
        <v>3306</v>
      </c>
      <c r="C1934" s="8" t="s">
        <v>51</v>
      </c>
      <c r="D1934" s="32" t="n">
        <v>46106</v>
      </c>
      <c r="E1934" s="8" t="n">
        <v>9</v>
      </c>
      <c r="F1934" s="8" t="str">
        <f aca="false">IF(E1934&gt;=9,"Promoter",IF(E1934&gt;=7,"Passive","Detractor"))</f>
        <v>Promoter</v>
      </c>
    </row>
    <row r="1935" customFormat="false" ht="15" hidden="false" customHeight="false" outlineLevel="0" collapsed="false">
      <c r="A1935" s="8" t="s">
        <v>6558</v>
      </c>
      <c r="B1935" s="8" t="s">
        <v>1533</v>
      </c>
      <c r="C1935" s="8" t="s">
        <v>53</v>
      </c>
      <c r="D1935" s="32" t="n">
        <v>46113</v>
      </c>
      <c r="E1935" s="8" t="n">
        <v>9</v>
      </c>
      <c r="F1935" s="8" t="str">
        <f aca="false">IF(E1935&gt;=9,"Promoter",IF(E1935&gt;=7,"Passive","Detractor"))</f>
        <v>Promoter</v>
      </c>
    </row>
    <row r="1936" customFormat="false" ht="15" hidden="false" customHeight="false" outlineLevel="0" collapsed="false">
      <c r="A1936" s="8" t="s">
        <v>6559</v>
      </c>
      <c r="B1936" s="8" t="s">
        <v>3650</v>
      </c>
      <c r="C1936" s="8" t="s">
        <v>51</v>
      </c>
      <c r="D1936" s="32" t="n">
        <v>46113</v>
      </c>
      <c r="E1936" s="8" t="n">
        <v>6</v>
      </c>
      <c r="F1936" s="8" t="str">
        <f aca="false">IF(E1936&gt;=9,"Promoter",IF(E1936&gt;=7,"Passive","Detractor"))</f>
        <v>Detractor</v>
      </c>
    </row>
    <row r="1937" customFormat="false" ht="15" hidden="false" customHeight="false" outlineLevel="0" collapsed="false">
      <c r="A1937" s="8" t="s">
        <v>6560</v>
      </c>
      <c r="B1937" s="8" t="s">
        <v>1617</v>
      </c>
      <c r="C1937" s="8" t="s">
        <v>51</v>
      </c>
      <c r="D1937" s="32" t="n">
        <v>46113</v>
      </c>
      <c r="E1937" s="8" t="n">
        <v>9</v>
      </c>
      <c r="F1937" s="8" t="str">
        <f aca="false">IF(E1937&gt;=9,"Promoter",IF(E1937&gt;=7,"Passive","Detractor"))</f>
        <v>Promoter</v>
      </c>
    </row>
    <row r="1938" customFormat="false" ht="15" hidden="false" customHeight="false" outlineLevel="0" collapsed="false">
      <c r="A1938" s="8" t="s">
        <v>6561</v>
      </c>
      <c r="B1938" s="8" t="s">
        <v>312</v>
      </c>
      <c r="C1938" s="8" t="s">
        <v>55</v>
      </c>
      <c r="D1938" s="32" t="n">
        <v>46113</v>
      </c>
      <c r="E1938" s="8" t="n">
        <v>9</v>
      </c>
      <c r="F1938" s="8" t="str">
        <f aca="false">IF(E1938&gt;=9,"Promoter",IF(E1938&gt;=7,"Passive","Detractor"))</f>
        <v>Promoter</v>
      </c>
    </row>
    <row r="1939" customFormat="false" ht="15" hidden="false" customHeight="false" outlineLevel="0" collapsed="false">
      <c r="A1939" s="8" t="s">
        <v>6562</v>
      </c>
      <c r="B1939" s="8" t="s">
        <v>347</v>
      </c>
      <c r="C1939" s="8" t="s">
        <v>55</v>
      </c>
      <c r="D1939" s="32" t="n">
        <v>46113</v>
      </c>
      <c r="E1939" s="8" t="n">
        <v>7</v>
      </c>
      <c r="F1939" s="8" t="str">
        <f aca="false">IF(E1939&gt;=9,"Promoter",IF(E1939&gt;=7,"Passive","Detractor"))</f>
        <v>Passive</v>
      </c>
    </row>
    <row r="1940" customFormat="false" ht="15" hidden="false" customHeight="false" outlineLevel="0" collapsed="false">
      <c r="A1940" s="8" t="s">
        <v>6563</v>
      </c>
      <c r="B1940" s="8" t="s">
        <v>445</v>
      </c>
      <c r="C1940" s="8" t="s">
        <v>55</v>
      </c>
      <c r="D1940" s="32" t="n">
        <v>46113</v>
      </c>
      <c r="E1940" s="8" t="n">
        <v>10</v>
      </c>
      <c r="F1940" s="8" t="str">
        <f aca="false">IF(E1940&gt;=9,"Promoter",IF(E1940&gt;=7,"Passive","Detractor"))</f>
        <v>Promoter</v>
      </c>
    </row>
    <row r="1941" customFormat="false" ht="15" hidden="false" customHeight="false" outlineLevel="0" collapsed="false">
      <c r="A1941" s="8" t="s">
        <v>6564</v>
      </c>
      <c r="B1941" s="8" t="s">
        <v>361</v>
      </c>
      <c r="C1941" s="8" t="s">
        <v>55</v>
      </c>
      <c r="D1941" s="32" t="n">
        <v>46113</v>
      </c>
      <c r="E1941" s="8" t="n">
        <v>8</v>
      </c>
      <c r="F1941" s="8" t="str">
        <f aca="false">IF(E1941&gt;=9,"Promoter",IF(E1941&gt;=7,"Passive","Detractor"))</f>
        <v>Passive</v>
      </c>
    </row>
    <row r="1942" customFormat="false" ht="15" hidden="false" customHeight="false" outlineLevel="0" collapsed="false">
      <c r="A1942" s="8" t="s">
        <v>6565</v>
      </c>
      <c r="B1942" s="8" t="s">
        <v>4232</v>
      </c>
      <c r="C1942" s="8" t="s">
        <v>51</v>
      </c>
      <c r="D1942" s="32" t="n">
        <v>46113</v>
      </c>
      <c r="E1942" s="8" t="n">
        <v>10</v>
      </c>
      <c r="F1942" s="8" t="str">
        <f aca="false">IF(E1942&gt;=9,"Promoter",IF(E1942&gt;=7,"Passive","Detractor"))</f>
        <v>Promoter</v>
      </c>
    </row>
    <row r="1943" customFormat="false" ht="15" hidden="false" customHeight="false" outlineLevel="0" collapsed="false">
      <c r="A1943" s="8" t="s">
        <v>6566</v>
      </c>
      <c r="B1943" s="8" t="s">
        <v>4418</v>
      </c>
      <c r="C1943" s="8" t="s">
        <v>55</v>
      </c>
      <c r="D1943" s="32" t="n">
        <v>46113</v>
      </c>
      <c r="E1943" s="8" t="n">
        <v>6</v>
      </c>
      <c r="F1943" s="8" t="str">
        <f aca="false">IF(E1943&gt;=9,"Promoter",IF(E1943&gt;=7,"Passive","Detractor"))</f>
        <v>Detractor</v>
      </c>
    </row>
    <row r="1944" customFormat="false" ht="15" hidden="false" customHeight="false" outlineLevel="0" collapsed="false">
      <c r="A1944" s="8" t="s">
        <v>6567</v>
      </c>
      <c r="B1944" s="8" t="s">
        <v>339</v>
      </c>
      <c r="C1944" s="8" t="s">
        <v>55</v>
      </c>
      <c r="D1944" s="32" t="n">
        <v>46113</v>
      </c>
      <c r="E1944" s="8" t="n">
        <v>8</v>
      </c>
      <c r="F1944" s="8" t="str">
        <f aca="false">IF(E1944&gt;=9,"Promoter",IF(E1944&gt;=7,"Passive","Detractor"))</f>
        <v>Passive</v>
      </c>
    </row>
    <row r="1945" customFormat="false" ht="15" hidden="false" customHeight="false" outlineLevel="0" collapsed="false">
      <c r="A1945" s="8" t="s">
        <v>6568</v>
      </c>
      <c r="B1945" s="8" t="s">
        <v>1793</v>
      </c>
      <c r="C1945" s="8" t="s">
        <v>51</v>
      </c>
      <c r="D1945" s="32" t="n">
        <v>46113</v>
      </c>
      <c r="E1945" s="8" t="n">
        <v>9</v>
      </c>
      <c r="F1945" s="8" t="str">
        <f aca="false">IF(E1945&gt;=9,"Promoter",IF(E1945&gt;=7,"Passive","Detractor"))</f>
        <v>Promoter</v>
      </c>
    </row>
    <row r="1946" customFormat="false" ht="15" hidden="false" customHeight="false" outlineLevel="0" collapsed="false">
      <c r="A1946" s="8" t="s">
        <v>6569</v>
      </c>
      <c r="B1946" s="8" t="s">
        <v>2862</v>
      </c>
      <c r="C1946" s="8" t="s">
        <v>51</v>
      </c>
      <c r="D1946" s="32" t="n">
        <v>46113</v>
      </c>
      <c r="E1946" s="8" t="n">
        <v>2</v>
      </c>
      <c r="F1946" s="8" t="str">
        <f aca="false">IF(E1946&gt;=9,"Promoter",IF(E1946&gt;=7,"Passive","Detractor"))</f>
        <v>Detractor</v>
      </c>
    </row>
    <row r="1947" customFormat="false" ht="15" hidden="false" customHeight="false" outlineLevel="0" collapsed="false">
      <c r="A1947" s="8" t="s">
        <v>6570</v>
      </c>
      <c r="B1947" s="8" t="s">
        <v>4507</v>
      </c>
      <c r="C1947" s="8" t="s">
        <v>51</v>
      </c>
      <c r="D1947" s="32" t="n">
        <v>46113</v>
      </c>
      <c r="E1947" s="8" t="n">
        <v>4</v>
      </c>
      <c r="F1947" s="8" t="str">
        <f aca="false">IF(E1947&gt;=9,"Promoter",IF(E1947&gt;=7,"Passive","Detractor"))</f>
        <v>Detractor</v>
      </c>
    </row>
    <row r="1948" customFormat="false" ht="15" hidden="false" customHeight="false" outlineLevel="0" collapsed="false">
      <c r="A1948" s="8" t="s">
        <v>6571</v>
      </c>
      <c r="B1948" s="8" t="s">
        <v>533</v>
      </c>
      <c r="C1948" s="8" t="s">
        <v>55</v>
      </c>
      <c r="D1948" s="32" t="n">
        <v>46113</v>
      </c>
      <c r="E1948" s="8" t="n">
        <v>7</v>
      </c>
      <c r="F1948" s="8" t="str">
        <f aca="false">IF(E1948&gt;=9,"Promoter",IF(E1948&gt;=7,"Passive","Detractor"))</f>
        <v>Passive</v>
      </c>
    </row>
    <row r="1949" customFormat="false" ht="15" hidden="false" customHeight="false" outlineLevel="0" collapsed="false">
      <c r="A1949" s="8" t="s">
        <v>6572</v>
      </c>
      <c r="B1949" s="8" t="s">
        <v>4188</v>
      </c>
      <c r="C1949" s="8" t="s">
        <v>51</v>
      </c>
      <c r="D1949" s="32" t="n">
        <v>46113</v>
      </c>
      <c r="E1949" s="8" t="n">
        <v>9</v>
      </c>
      <c r="F1949" s="8" t="str">
        <f aca="false">IF(E1949&gt;=9,"Promoter",IF(E1949&gt;=7,"Passive","Detractor"))</f>
        <v>Promoter</v>
      </c>
    </row>
    <row r="1950" customFormat="false" ht="15" hidden="false" customHeight="false" outlineLevel="0" collapsed="false">
      <c r="A1950" s="8" t="s">
        <v>6573</v>
      </c>
      <c r="B1950" s="8" t="s">
        <v>3722</v>
      </c>
      <c r="C1950" s="8" t="s">
        <v>51</v>
      </c>
      <c r="D1950" s="32" t="n">
        <v>46113</v>
      </c>
      <c r="E1950" s="8" t="n">
        <v>7</v>
      </c>
      <c r="F1950" s="8" t="str">
        <f aca="false">IF(E1950&gt;=9,"Promoter",IF(E1950&gt;=7,"Passive","Detractor"))</f>
        <v>Passive</v>
      </c>
    </row>
    <row r="1951" customFormat="false" ht="15" hidden="false" customHeight="false" outlineLevel="0" collapsed="false">
      <c r="A1951" s="8" t="s">
        <v>6574</v>
      </c>
      <c r="B1951" s="8" t="s">
        <v>799</v>
      </c>
      <c r="C1951" s="8" t="s">
        <v>53</v>
      </c>
      <c r="D1951" s="32" t="n">
        <v>46113</v>
      </c>
      <c r="E1951" s="8" t="n">
        <v>5</v>
      </c>
      <c r="F1951" s="8" t="str">
        <f aca="false">IF(E1951&gt;=9,"Promoter",IF(E1951&gt;=7,"Passive","Detractor"))</f>
        <v>Detractor</v>
      </c>
    </row>
    <row r="1952" customFormat="false" ht="15" hidden="false" customHeight="false" outlineLevel="0" collapsed="false">
      <c r="A1952" s="8" t="s">
        <v>6575</v>
      </c>
      <c r="B1952" s="8" t="s">
        <v>2023</v>
      </c>
      <c r="C1952" s="8" t="s">
        <v>51</v>
      </c>
      <c r="D1952" s="32" t="n">
        <v>46113</v>
      </c>
      <c r="E1952" s="8" t="n">
        <v>7</v>
      </c>
      <c r="F1952" s="8" t="str">
        <f aca="false">IF(E1952&gt;=9,"Promoter",IF(E1952&gt;=7,"Passive","Detractor"))</f>
        <v>Passive</v>
      </c>
    </row>
    <row r="1953" customFormat="false" ht="15" hidden="false" customHeight="false" outlineLevel="0" collapsed="false">
      <c r="A1953" s="8" t="s">
        <v>6576</v>
      </c>
      <c r="B1953" s="8" t="s">
        <v>1255</v>
      </c>
      <c r="C1953" s="8" t="s">
        <v>53</v>
      </c>
      <c r="D1953" s="32" t="n">
        <v>46113</v>
      </c>
      <c r="E1953" s="8" t="n">
        <v>10</v>
      </c>
      <c r="F1953" s="8" t="str">
        <f aca="false">IF(E1953&gt;=9,"Promoter",IF(E1953&gt;=7,"Passive","Detractor"))</f>
        <v>Promoter</v>
      </c>
    </row>
    <row r="1954" customFormat="false" ht="15" hidden="false" customHeight="false" outlineLevel="0" collapsed="false">
      <c r="A1954" s="8" t="s">
        <v>6577</v>
      </c>
      <c r="B1954" s="8" t="s">
        <v>951</v>
      </c>
      <c r="C1954" s="8" t="s">
        <v>53</v>
      </c>
      <c r="D1954" s="32" t="n">
        <v>46114</v>
      </c>
      <c r="E1954" s="8" t="n">
        <v>10</v>
      </c>
      <c r="F1954" s="8" t="str">
        <f aca="false">IF(E1954&gt;=9,"Promoter",IF(E1954&gt;=7,"Passive","Detractor"))</f>
        <v>Promoter</v>
      </c>
    </row>
    <row r="1955" customFormat="false" ht="15" hidden="false" customHeight="false" outlineLevel="0" collapsed="false">
      <c r="A1955" s="8" t="s">
        <v>6578</v>
      </c>
      <c r="B1955" s="8" t="s">
        <v>2438</v>
      </c>
      <c r="C1955" s="8" t="s">
        <v>51</v>
      </c>
      <c r="D1955" s="32" t="n">
        <v>46114</v>
      </c>
      <c r="E1955" s="8" t="n">
        <v>6</v>
      </c>
      <c r="F1955" s="8" t="str">
        <f aca="false">IF(E1955&gt;=9,"Promoter",IF(E1955&gt;=7,"Passive","Detractor"))</f>
        <v>Detractor</v>
      </c>
    </row>
    <row r="1956" customFormat="false" ht="15" hidden="false" customHeight="false" outlineLevel="0" collapsed="false">
      <c r="A1956" s="8" t="s">
        <v>6579</v>
      </c>
      <c r="B1956" s="8" t="s">
        <v>1149</v>
      </c>
      <c r="C1956" s="8" t="s">
        <v>53</v>
      </c>
      <c r="D1956" s="32" t="n">
        <v>46114</v>
      </c>
      <c r="E1956" s="8" t="n">
        <v>5</v>
      </c>
      <c r="F1956" s="8" t="str">
        <f aca="false">IF(E1956&gt;=9,"Promoter",IF(E1956&gt;=7,"Passive","Detractor"))</f>
        <v>Detractor</v>
      </c>
    </row>
    <row r="1957" customFormat="false" ht="15" hidden="false" customHeight="false" outlineLevel="0" collapsed="false">
      <c r="A1957" s="8" t="s">
        <v>6580</v>
      </c>
      <c r="B1957" s="8" t="s">
        <v>2842</v>
      </c>
      <c r="C1957" s="8" t="s">
        <v>51</v>
      </c>
      <c r="D1957" s="32" t="n">
        <v>46114</v>
      </c>
      <c r="E1957" s="8" t="n">
        <v>9</v>
      </c>
      <c r="F1957" s="8" t="str">
        <f aca="false">IF(E1957&gt;=9,"Promoter",IF(E1957&gt;=7,"Passive","Detractor"))</f>
        <v>Promoter</v>
      </c>
    </row>
    <row r="1958" customFormat="false" ht="15" hidden="false" customHeight="false" outlineLevel="0" collapsed="false">
      <c r="A1958" s="8" t="s">
        <v>6581</v>
      </c>
      <c r="B1958" s="8" t="s">
        <v>3100</v>
      </c>
      <c r="C1958" s="8" t="s">
        <v>51</v>
      </c>
      <c r="D1958" s="32" t="n">
        <v>46114</v>
      </c>
      <c r="E1958" s="8" t="n">
        <v>8</v>
      </c>
      <c r="F1958" s="8" t="str">
        <f aca="false">IF(E1958&gt;=9,"Promoter",IF(E1958&gt;=7,"Passive","Detractor"))</f>
        <v>Passive</v>
      </c>
    </row>
    <row r="1959" customFormat="false" ht="15" hidden="false" customHeight="false" outlineLevel="0" collapsed="false">
      <c r="A1959" s="8" t="s">
        <v>6582</v>
      </c>
      <c r="B1959" s="8" t="s">
        <v>4028</v>
      </c>
      <c r="C1959" s="8" t="s">
        <v>51</v>
      </c>
      <c r="D1959" s="32" t="n">
        <v>46114</v>
      </c>
      <c r="E1959" s="8" t="n">
        <v>5</v>
      </c>
      <c r="F1959" s="8" t="str">
        <f aca="false">IF(E1959&gt;=9,"Promoter",IF(E1959&gt;=7,"Passive","Detractor"))</f>
        <v>Detractor</v>
      </c>
    </row>
    <row r="1960" customFormat="false" ht="15" hidden="false" customHeight="false" outlineLevel="0" collapsed="false">
      <c r="A1960" s="8" t="s">
        <v>6583</v>
      </c>
      <c r="B1960" s="8" t="s">
        <v>4384</v>
      </c>
      <c r="C1960" s="8" t="s">
        <v>51</v>
      </c>
      <c r="D1960" s="32" t="n">
        <v>46114</v>
      </c>
      <c r="E1960" s="8" t="n">
        <v>8</v>
      </c>
      <c r="F1960" s="8" t="str">
        <f aca="false">IF(E1960&gt;=9,"Promoter",IF(E1960&gt;=7,"Passive","Detractor"))</f>
        <v>Passive</v>
      </c>
    </row>
    <row r="1961" customFormat="false" ht="15" hidden="false" customHeight="false" outlineLevel="0" collapsed="false">
      <c r="A1961" s="8" t="s">
        <v>6584</v>
      </c>
      <c r="B1961" s="8" t="s">
        <v>2426</v>
      </c>
      <c r="C1961" s="8" t="s">
        <v>51</v>
      </c>
      <c r="D1961" s="32" t="n">
        <v>46114</v>
      </c>
      <c r="E1961" s="8" t="n">
        <v>6</v>
      </c>
      <c r="F1961" s="8" t="str">
        <f aca="false">IF(E1961&gt;=9,"Promoter",IF(E1961&gt;=7,"Passive","Detractor"))</f>
        <v>Detractor</v>
      </c>
    </row>
    <row r="1962" customFormat="false" ht="15" hidden="false" customHeight="false" outlineLevel="0" collapsed="false">
      <c r="A1962" s="8" t="s">
        <v>6585</v>
      </c>
      <c r="B1962" s="8" t="s">
        <v>130</v>
      </c>
      <c r="C1962" s="8" t="s">
        <v>55</v>
      </c>
      <c r="D1962" s="32" t="n">
        <v>46114</v>
      </c>
      <c r="E1962" s="8" t="n">
        <v>8</v>
      </c>
      <c r="F1962" s="8" t="str">
        <f aca="false">IF(E1962&gt;=9,"Promoter",IF(E1962&gt;=7,"Passive","Detractor"))</f>
        <v>Passive</v>
      </c>
    </row>
    <row r="1963" customFormat="false" ht="15" hidden="false" customHeight="false" outlineLevel="0" collapsed="false">
      <c r="A1963" s="8" t="s">
        <v>6586</v>
      </c>
      <c r="B1963" s="8" t="s">
        <v>407</v>
      </c>
      <c r="C1963" s="8" t="s">
        <v>55</v>
      </c>
      <c r="D1963" s="32" t="n">
        <v>46114</v>
      </c>
      <c r="E1963" s="8" t="n">
        <v>7</v>
      </c>
      <c r="F1963" s="8" t="str">
        <f aca="false">IF(E1963&gt;=9,"Promoter",IF(E1963&gt;=7,"Passive","Detractor"))</f>
        <v>Passive</v>
      </c>
    </row>
    <row r="1964" customFormat="false" ht="15" hidden="false" customHeight="false" outlineLevel="0" collapsed="false">
      <c r="A1964" s="8" t="s">
        <v>6587</v>
      </c>
      <c r="B1964" s="8" t="s">
        <v>2126</v>
      </c>
      <c r="C1964" s="8" t="s">
        <v>51</v>
      </c>
      <c r="D1964" s="32" t="n">
        <v>46114</v>
      </c>
      <c r="E1964" s="8" t="n">
        <v>10</v>
      </c>
      <c r="F1964" s="8" t="str">
        <f aca="false">IF(E1964&gt;=9,"Promoter",IF(E1964&gt;=7,"Passive","Detractor"))</f>
        <v>Promoter</v>
      </c>
    </row>
    <row r="1965" customFormat="false" ht="15" hidden="false" customHeight="false" outlineLevel="0" collapsed="false">
      <c r="A1965" s="8" t="s">
        <v>6588</v>
      </c>
      <c r="B1965" s="8" t="s">
        <v>3180</v>
      </c>
      <c r="C1965" s="8" t="s">
        <v>51</v>
      </c>
      <c r="D1965" s="32" t="n">
        <v>46114</v>
      </c>
      <c r="E1965" s="8" t="n">
        <v>8</v>
      </c>
      <c r="F1965" s="8" t="str">
        <f aca="false">IF(E1965&gt;=9,"Promoter",IF(E1965&gt;=7,"Passive","Detractor"))</f>
        <v>Passive</v>
      </c>
    </row>
    <row r="1966" customFormat="false" ht="15" hidden="false" customHeight="false" outlineLevel="0" collapsed="false">
      <c r="A1966" s="8" t="s">
        <v>6589</v>
      </c>
      <c r="B1966" s="8" t="s">
        <v>927</v>
      </c>
      <c r="C1966" s="8" t="s">
        <v>53</v>
      </c>
      <c r="D1966" s="32" t="n">
        <v>46114</v>
      </c>
      <c r="E1966" s="8" t="n">
        <v>8</v>
      </c>
      <c r="F1966" s="8" t="str">
        <f aca="false">IF(E1966&gt;=9,"Promoter",IF(E1966&gt;=7,"Passive","Detractor"))</f>
        <v>Passive</v>
      </c>
    </row>
    <row r="1967" customFormat="false" ht="15" hidden="false" customHeight="false" outlineLevel="0" collapsed="false">
      <c r="A1967" s="8" t="s">
        <v>6590</v>
      </c>
      <c r="B1967" s="8" t="s">
        <v>4052</v>
      </c>
      <c r="C1967" s="8" t="s">
        <v>51</v>
      </c>
      <c r="D1967" s="32" t="n">
        <v>46114</v>
      </c>
      <c r="E1967" s="8" t="n">
        <v>8</v>
      </c>
      <c r="F1967" s="8" t="str">
        <f aca="false">IF(E1967&gt;=9,"Promoter",IF(E1967&gt;=7,"Passive","Detractor"))</f>
        <v>Passive</v>
      </c>
    </row>
    <row r="1968" customFormat="false" ht="15" hidden="false" customHeight="false" outlineLevel="0" collapsed="false">
      <c r="A1968" s="8" t="s">
        <v>6591</v>
      </c>
      <c r="B1968" s="8" t="s">
        <v>1233</v>
      </c>
      <c r="C1968" s="8" t="s">
        <v>53</v>
      </c>
      <c r="D1968" s="32" t="n">
        <v>46114</v>
      </c>
      <c r="E1968" s="8" t="n">
        <v>8</v>
      </c>
      <c r="F1968" s="8" t="str">
        <f aca="false">IF(E1968&gt;=9,"Promoter",IF(E1968&gt;=7,"Passive","Detractor"))</f>
        <v>Passive</v>
      </c>
    </row>
    <row r="1969" customFormat="false" ht="15" hidden="false" customHeight="false" outlineLevel="0" collapsed="false">
      <c r="A1969" s="8" t="s">
        <v>6592</v>
      </c>
      <c r="B1969" s="8" t="s">
        <v>2910</v>
      </c>
      <c r="C1969" s="8" t="s">
        <v>51</v>
      </c>
      <c r="D1969" s="32" t="n">
        <v>46114</v>
      </c>
      <c r="E1969" s="8" t="n">
        <v>6</v>
      </c>
      <c r="F1969" s="8" t="str">
        <f aca="false">IF(E1969&gt;=9,"Promoter",IF(E1969&gt;=7,"Passive","Detractor"))</f>
        <v>Detractor</v>
      </c>
    </row>
    <row r="1970" customFormat="false" ht="15" hidden="false" customHeight="false" outlineLevel="0" collapsed="false">
      <c r="A1970" s="8" t="s">
        <v>6593</v>
      </c>
      <c r="B1970" s="8" t="s">
        <v>2294</v>
      </c>
      <c r="C1970" s="8" t="s">
        <v>51</v>
      </c>
      <c r="D1970" s="32" t="n">
        <v>46114</v>
      </c>
      <c r="E1970" s="8" t="n">
        <v>9</v>
      </c>
      <c r="F1970" s="8" t="str">
        <f aca="false">IF(E1970&gt;=9,"Promoter",IF(E1970&gt;=7,"Passive","Detractor"))</f>
        <v>Promoter</v>
      </c>
    </row>
    <row r="1971" customFormat="false" ht="15" hidden="false" customHeight="false" outlineLevel="0" collapsed="false">
      <c r="A1971" s="8" t="s">
        <v>6594</v>
      </c>
      <c r="B1971" s="8" t="s">
        <v>3298</v>
      </c>
      <c r="C1971" s="8" t="s">
        <v>51</v>
      </c>
      <c r="D1971" s="32" t="n">
        <v>46114</v>
      </c>
      <c r="E1971" s="8" t="n">
        <v>6</v>
      </c>
      <c r="F1971" s="8" t="str">
        <f aca="false">IF(E1971&gt;=9,"Promoter",IF(E1971&gt;=7,"Passive","Detractor"))</f>
        <v>Detractor</v>
      </c>
    </row>
    <row r="1972" customFormat="false" ht="15" hidden="false" customHeight="false" outlineLevel="0" collapsed="false">
      <c r="A1972" s="8" t="s">
        <v>6595</v>
      </c>
      <c r="B1972" s="8" t="s">
        <v>2716</v>
      </c>
      <c r="C1972" s="8" t="s">
        <v>51</v>
      </c>
      <c r="D1972" s="32" t="n">
        <v>46114</v>
      </c>
      <c r="E1972" s="8" t="n">
        <v>9</v>
      </c>
      <c r="F1972" s="8" t="str">
        <f aca="false">IF(E1972&gt;=9,"Promoter",IF(E1972&gt;=7,"Passive","Detractor"))</f>
        <v>Promoter</v>
      </c>
    </row>
    <row r="1973" customFormat="false" ht="15" hidden="false" customHeight="false" outlineLevel="0" collapsed="false">
      <c r="A1973" s="8" t="s">
        <v>6596</v>
      </c>
      <c r="B1973" s="8" t="s">
        <v>2474</v>
      </c>
      <c r="C1973" s="8" t="s">
        <v>51</v>
      </c>
      <c r="D1973" s="32" t="n">
        <v>46114</v>
      </c>
      <c r="E1973" s="8" t="n">
        <v>6</v>
      </c>
      <c r="F1973" s="8" t="str">
        <f aca="false">IF(E1973&gt;=9,"Promoter",IF(E1973&gt;=7,"Passive","Detractor"))</f>
        <v>Detractor</v>
      </c>
    </row>
    <row r="1974" customFormat="false" ht="15" hidden="false" customHeight="false" outlineLevel="0" collapsed="false">
      <c r="A1974" s="8" t="s">
        <v>6597</v>
      </c>
      <c r="B1974" s="8" t="s">
        <v>1565</v>
      </c>
      <c r="C1974" s="8" t="s">
        <v>53</v>
      </c>
      <c r="D1974" s="32" t="n">
        <v>46114</v>
      </c>
      <c r="E1974" s="8" t="n">
        <v>8</v>
      </c>
      <c r="F1974" s="8" t="str">
        <f aca="false">IF(E1974&gt;=9,"Promoter",IF(E1974&gt;=7,"Passive","Detractor"))</f>
        <v>Passive</v>
      </c>
    </row>
    <row r="1975" customFormat="false" ht="15" hidden="false" customHeight="false" outlineLevel="0" collapsed="false">
      <c r="A1975" s="8" t="s">
        <v>6598</v>
      </c>
      <c r="B1975" s="8" t="s">
        <v>559</v>
      </c>
      <c r="C1975" s="8" t="s">
        <v>53</v>
      </c>
      <c r="D1975" s="32" t="n">
        <v>46114</v>
      </c>
      <c r="E1975" s="8" t="n">
        <v>8</v>
      </c>
      <c r="F1975" s="8" t="str">
        <f aca="false">IF(E1975&gt;=9,"Promoter",IF(E1975&gt;=7,"Passive","Detractor"))</f>
        <v>Passive</v>
      </c>
    </row>
    <row r="1976" customFormat="false" ht="15" hidden="false" customHeight="false" outlineLevel="0" collapsed="false">
      <c r="A1976" s="8" t="s">
        <v>6599</v>
      </c>
      <c r="B1976" s="8" t="s">
        <v>3142</v>
      </c>
      <c r="C1976" s="8" t="s">
        <v>51</v>
      </c>
      <c r="D1976" s="32" t="n">
        <v>46114</v>
      </c>
      <c r="E1976" s="8" t="n">
        <v>9</v>
      </c>
      <c r="F1976" s="8" t="str">
        <f aca="false">IF(E1976&gt;=9,"Promoter",IF(E1976&gt;=7,"Passive","Detractor"))</f>
        <v>Promoter</v>
      </c>
    </row>
    <row r="1977" customFormat="false" ht="15" hidden="false" customHeight="false" outlineLevel="0" collapsed="false">
      <c r="A1977" s="8" t="s">
        <v>6600</v>
      </c>
      <c r="B1977" s="8" t="s">
        <v>2780</v>
      </c>
      <c r="C1977" s="8" t="s">
        <v>51</v>
      </c>
      <c r="D1977" s="32" t="n">
        <v>46114</v>
      </c>
      <c r="E1977" s="8" t="n">
        <v>9</v>
      </c>
      <c r="F1977" s="8" t="str">
        <f aca="false">IF(E1977&gt;=9,"Promoter",IF(E1977&gt;=7,"Passive","Detractor"))</f>
        <v>Promoter</v>
      </c>
    </row>
    <row r="1978" customFormat="false" ht="15" hidden="false" customHeight="false" outlineLevel="0" collapsed="false">
      <c r="A1978" s="8" t="s">
        <v>6601</v>
      </c>
      <c r="B1978" s="8" t="s">
        <v>1915</v>
      </c>
      <c r="C1978" s="8" t="s">
        <v>51</v>
      </c>
      <c r="D1978" s="32" t="n">
        <v>46115</v>
      </c>
      <c r="E1978" s="8" t="n">
        <v>6</v>
      </c>
      <c r="F1978" s="8" t="str">
        <f aca="false">IF(E1978&gt;=9,"Promoter",IF(E1978&gt;=7,"Passive","Detractor"))</f>
        <v>Detractor</v>
      </c>
    </row>
    <row r="1979" customFormat="false" ht="15" hidden="false" customHeight="false" outlineLevel="0" collapsed="false">
      <c r="A1979" s="8" t="s">
        <v>6602</v>
      </c>
      <c r="B1979" s="8" t="s">
        <v>296</v>
      </c>
      <c r="C1979" s="8" t="s">
        <v>55</v>
      </c>
      <c r="D1979" s="32" t="n">
        <v>46115</v>
      </c>
      <c r="E1979" s="8" t="n">
        <v>7</v>
      </c>
      <c r="F1979" s="8" t="str">
        <f aca="false">IF(E1979&gt;=9,"Promoter",IF(E1979&gt;=7,"Passive","Detractor"))</f>
        <v>Passive</v>
      </c>
    </row>
    <row r="1980" customFormat="false" ht="15" hidden="false" customHeight="false" outlineLevel="0" collapsed="false">
      <c r="A1980" s="8" t="s">
        <v>6603</v>
      </c>
      <c r="B1980" s="8" t="s">
        <v>2368</v>
      </c>
      <c r="C1980" s="8" t="s">
        <v>51</v>
      </c>
      <c r="D1980" s="32" t="n">
        <v>46115</v>
      </c>
      <c r="E1980" s="8" t="n">
        <v>7</v>
      </c>
      <c r="F1980" s="8" t="str">
        <f aca="false">IF(E1980&gt;=9,"Promoter",IF(E1980&gt;=7,"Passive","Detractor"))</f>
        <v>Passive</v>
      </c>
    </row>
    <row r="1981" customFormat="false" ht="15" hidden="false" customHeight="false" outlineLevel="0" collapsed="false">
      <c r="A1981" s="8" t="s">
        <v>6604</v>
      </c>
      <c r="B1981" s="8" t="s">
        <v>529</v>
      </c>
      <c r="C1981" s="8" t="s">
        <v>53</v>
      </c>
      <c r="D1981" s="32" t="n">
        <v>46115</v>
      </c>
      <c r="E1981" s="8" t="n">
        <v>10</v>
      </c>
      <c r="F1981" s="8" t="str">
        <f aca="false">IF(E1981&gt;=9,"Promoter",IF(E1981&gt;=7,"Passive","Detractor"))</f>
        <v>Promoter</v>
      </c>
    </row>
    <row r="1982" customFormat="false" ht="15" hidden="false" customHeight="false" outlineLevel="0" collapsed="false">
      <c r="A1982" s="8" t="s">
        <v>6605</v>
      </c>
      <c r="B1982" s="8" t="s">
        <v>609</v>
      </c>
      <c r="C1982" s="8" t="s">
        <v>53</v>
      </c>
      <c r="D1982" s="32" t="n">
        <v>46115</v>
      </c>
      <c r="E1982" s="8" t="n">
        <v>10</v>
      </c>
      <c r="F1982" s="8" t="str">
        <f aca="false">IF(E1982&gt;=9,"Promoter",IF(E1982&gt;=7,"Passive","Detractor"))</f>
        <v>Promoter</v>
      </c>
    </row>
    <row r="1983" customFormat="false" ht="15" hidden="false" customHeight="false" outlineLevel="0" collapsed="false">
      <c r="A1983" s="8" t="s">
        <v>6606</v>
      </c>
      <c r="B1983" s="8" t="s">
        <v>979</v>
      </c>
      <c r="C1983" s="8" t="s">
        <v>53</v>
      </c>
      <c r="D1983" s="32" t="n">
        <v>46115</v>
      </c>
      <c r="E1983" s="8" t="n">
        <v>10</v>
      </c>
      <c r="F1983" s="8" t="str">
        <f aca="false">IF(E1983&gt;=9,"Promoter",IF(E1983&gt;=7,"Passive","Detractor"))</f>
        <v>Promoter</v>
      </c>
    </row>
    <row r="1984" customFormat="false" ht="15" hidden="false" customHeight="false" outlineLevel="0" collapsed="false">
      <c r="A1984" s="8" t="s">
        <v>6607</v>
      </c>
      <c r="B1984" s="8" t="s">
        <v>617</v>
      </c>
      <c r="C1984" s="8" t="s">
        <v>55</v>
      </c>
      <c r="D1984" s="32" t="n">
        <v>46115</v>
      </c>
      <c r="E1984" s="8" t="n">
        <v>6</v>
      </c>
      <c r="F1984" s="8" t="str">
        <f aca="false">IF(E1984&gt;=9,"Promoter",IF(E1984&gt;=7,"Passive","Detractor"))</f>
        <v>Detractor</v>
      </c>
    </row>
    <row r="1985" customFormat="false" ht="15" hidden="false" customHeight="false" outlineLevel="0" collapsed="false">
      <c r="A1985" s="8" t="s">
        <v>6608</v>
      </c>
      <c r="B1985" s="8" t="s">
        <v>3602</v>
      </c>
      <c r="C1985" s="8" t="s">
        <v>51</v>
      </c>
      <c r="D1985" s="32" t="n">
        <v>46115</v>
      </c>
      <c r="E1985" s="8" t="n">
        <v>4</v>
      </c>
      <c r="F1985" s="8" t="str">
        <f aca="false">IF(E1985&gt;=9,"Promoter",IF(E1985&gt;=7,"Passive","Detractor"))</f>
        <v>Detractor</v>
      </c>
    </row>
    <row r="1986" customFormat="false" ht="15" hidden="false" customHeight="false" outlineLevel="0" collapsed="false">
      <c r="A1986" s="8" t="s">
        <v>6609</v>
      </c>
      <c r="B1986" s="8" t="s">
        <v>1221</v>
      </c>
      <c r="C1986" s="8" t="s">
        <v>53</v>
      </c>
      <c r="D1986" s="32" t="n">
        <v>46115</v>
      </c>
      <c r="E1986" s="8" t="n">
        <v>5</v>
      </c>
      <c r="F1986" s="8" t="str">
        <f aca="false">IF(E1986&gt;=9,"Promoter",IF(E1986&gt;=7,"Passive","Detractor"))</f>
        <v>Detractor</v>
      </c>
    </row>
    <row r="1987" customFormat="false" ht="15" hidden="false" customHeight="false" outlineLevel="0" collapsed="false">
      <c r="A1987" s="8" t="s">
        <v>6610</v>
      </c>
      <c r="B1987" s="8" t="s">
        <v>1801</v>
      </c>
      <c r="C1987" s="8" t="s">
        <v>51</v>
      </c>
      <c r="D1987" s="32" t="n">
        <v>46115</v>
      </c>
      <c r="E1987" s="8" t="n">
        <v>10</v>
      </c>
      <c r="F1987" s="8" t="str">
        <f aca="false">IF(E1987&gt;=9,"Promoter",IF(E1987&gt;=7,"Passive","Detractor"))</f>
        <v>Promoter</v>
      </c>
    </row>
    <row r="1988" customFormat="false" ht="15" hidden="false" customHeight="false" outlineLevel="0" collapsed="false">
      <c r="A1988" s="8" t="s">
        <v>6611</v>
      </c>
      <c r="B1988" s="8" t="s">
        <v>2011</v>
      </c>
      <c r="C1988" s="8" t="s">
        <v>51</v>
      </c>
      <c r="D1988" s="32" t="n">
        <v>46115</v>
      </c>
      <c r="E1988" s="8" t="n">
        <v>9</v>
      </c>
      <c r="F1988" s="8" t="str">
        <f aca="false">IF(E1988&gt;=9,"Promoter",IF(E1988&gt;=7,"Passive","Detractor"))</f>
        <v>Promoter</v>
      </c>
    </row>
    <row r="1989" customFormat="false" ht="15" hidden="false" customHeight="false" outlineLevel="0" collapsed="false">
      <c r="A1989" s="8" t="s">
        <v>6612</v>
      </c>
      <c r="B1989" s="8" t="s">
        <v>3346</v>
      </c>
      <c r="C1989" s="8" t="s">
        <v>51</v>
      </c>
      <c r="D1989" s="32" t="n">
        <v>46115</v>
      </c>
      <c r="E1989" s="8" t="n">
        <v>9</v>
      </c>
      <c r="F1989" s="8" t="str">
        <f aca="false">IF(E1989&gt;=9,"Promoter",IF(E1989&gt;=7,"Passive","Detractor"))</f>
        <v>Promoter</v>
      </c>
    </row>
    <row r="1990" customFormat="false" ht="15" hidden="false" customHeight="false" outlineLevel="0" collapsed="false">
      <c r="A1990" s="8" t="s">
        <v>6613</v>
      </c>
      <c r="B1990" s="8" t="s">
        <v>1169</v>
      </c>
      <c r="C1990" s="8" t="s">
        <v>53</v>
      </c>
      <c r="D1990" s="32" t="n">
        <v>46115</v>
      </c>
      <c r="E1990" s="8" t="n">
        <v>6</v>
      </c>
      <c r="F1990" s="8" t="str">
        <f aca="false">IF(E1990&gt;=9,"Promoter",IF(E1990&gt;=7,"Passive","Detractor"))</f>
        <v>Detractor</v>
      </c>
    </row>
    <row r="1991" customFormat="false" ht="15" hidden="false" customHeight="false" outlineLevel="0" collapsed="false">
      <c r="A1991" s="8" t="s">
        <v>6614</v>
      </c>
      <c r="B1991" s="8" t="s">
        <v>2318</v>
      </c>
      <c r="C1991" s="8" t="s">
        <v>51</v>
      </c>
      <c r="D1991" s="32" t="n">
        <v>46115</v>
      </c>
      <c r="E1991" s="8" t="n">
        <v>10</v>
      </c>
      <c r="F1991" s="8" t="str">
        <f aca="false">IF(E1991&gt;=9,"Promoter",IF(E1991&gt;=7,"Passive","Detractor"))</f>
        <v>Promoter</v>
      </c>
    </row>
    <row r="1992" customFormat="false" ht="15" hidden="false" customHeight="false" outlineLevel="0" collapsed="false">
      <c r="A1992" s="8" t="s">
        <v>6615</v>
      </c>
      <c r="B1992" s="8" t="s">
        <v>3282</v>
      </c>
      <c r="C1992" s="8" t="s">
        <v>51</v>
      </c>
      <c r="D1992" s="32" t="n">
        <v>46115</v>
      </c>
      <c r="E1992" s="8" t="n">
        <v>4</v>
      </c>
      <c r="F1992" s="8" t="str">
        <f aca="false">IF(E1992&gt;=9,"Promoter",IF(E1992&gt;=7,"Passive","Detractor"))</f>
        <v>Detractor</v>
      </c>
    </row>
    <row r="1993" customFormat="false" ht="15" hidden="false" customHeight="false" outlineLevel="0" collapsed="false">
      <c r="A1993" s="8" t="s">
        <v>6616</v>
      </c>
      <c r="B1993" s="8" t="s">
        <v>4320</v>
      </c>
      <c r="C1993" s="8" t="s">
        <v>51</v>
      </c>
      <c r="D1993" s="32" t="n">
        <v>46115</v>
      </c>
      <c r="E1993" s="8" t="n">
        <v>9</v>
      </c>
      <c r="F1993" s="8" t="str">
        <f aca="false">IF(E1993&gt;=9,"Promoter",IF(E1993&gt;=7,"Passive","Detractor"))</f>
        <v>Promoter</v>
      </c>
    </row>
    <row r="1994" customFormat="false" ht="15" hidden="false" customHeight="false" outlineLevel="0" collapsed="false">
      <c r="A1994" s="8" t="s">
        <v>6617</v>
      </c>
      <c r="B1994" s="8" t="s">
        <v>2360</v>
      </c>
      <c r="C1994" s="8" t="s">
        <v>51</v>
      </c>
      <c r="D1994" s="32" t="n">
        <v>46115</v>
      </c>
      <c r="E1994" s="8" t="n">
        <v>9</v>
      </c>
      <c r="F1994" s="8" t="str">
        <f aca="false">IF(E1994&gt;=9,"Promoter",IF(E1994&gt;=7,"Passive","Detractor"))</f>
        <v>Promoter</v>
      </c>
    </row>
    <row r="1995" customFormat="false" ht="15" hidden="false" customHeight="false" outlineLevel="0" collapsed="false">
      <c r="A1995" s="8" t="s">
        <v>6618</v>
      </c>
      <c r="B1995" s="8" t="s">
        <v>1225</v>
      </c>
      <c r="C1995" s="8" t="s">
        <v>53</v>
      </c>
      <c r="D1995" s="32" t="n">
        <v>46115</v>
      </c>
      <c r="E1995" s="8" t="n">
        <v>6</v>
      </c>
      <c r="F1995" s="8" t="str">
        <f aca="false">IF(E1995&gt;=9,"Promoter",IF(E1995&gt;=7,"Passive","Detractor"))</f>
        <v>Detractor</v>
      </c>
    </row>
    <row r="1996" customFormat="false" ht="15" hidden="false" customHeight="false" outlineLevel="0" collapsed="false">
      <c r="A1996" s="8" t="s">
        <v>6619</v>
      </c>
      <c r="B1996" s="8" t="s">
        <v>4545</v>
      </c>
      <c r="C1996" s="8" t="s">
        <v>51</v>
      </c>
      <c r="D1996" s="32" t="n">
        <v>46115</v>
      </c>
      <c r="E1996" s="8" t="n">
        <v>6</v>
      </c>
      <c r="F1996" s="8" t="str">
        <f aca="false">IF(E1996&gt;=9,"Promoter",IF(E1996&gt;=7,"Passive","Detractor"))</f>
        <v>Detractor</v>
      </c>
    </row>
    <row r="1997" customFormat="false" ht="15" hidden="false" customHeight="false" outlineLevel="0" collapsed="false">
      <c r="A1997" s="8" t="s">
        <v>6620</v>
      </c>
      <c r="B1997" s="8" t="s">
        <v>729</v>
      </c>
      <c r="C1997" s="8" t="s">
        <v>53</v>
      </c>
      <c r="D1997" s="32" t="n">
        <v>46115</v>
      </c>
      <c r="E1997" s="8" t="n">
        <v>10</v>
      </c>
      <c r="F1997" s="8" t="str">
        <f aca="false">IF(E1997&gt;=9,"Promoter",IF(E1997&gt;=7,"Passive","Detractor"))</f>
        <v>Promoter</v>
      </c>
    </row>
    <row r="1998" customFormat="false" ht="15" hidden="false" customHeight="false" outlineLevel="0" collapsed="false">
      <c r="A1998" s="8" t="s">
        <v>6621</v>
      </c>
      <c r="B1998" s="8" t="s">
        <v>4483</v>
      </c>
      <c r="C1998" s="8" t="s">
        <v>51</v>
      </c>
      <c r="D1998" s="32" t="n">
        <v>46115</v>
      </c>
      <c r="E1998" s="8" t="n">
        <v>5</v>
      </c>
      <c r="F1998" s="8" t="str">
        <f aca="false">IF(E1998&gt;=9,"Promoter",IF(E1998&gt;=7,"Passive","Detractor"))</f>
        <v>Detractor</v>
      </c>
    </row>
    <row r="1999" customFormat="false" ht="15" hidden="false" customHeight="false" outlineLevel="0" collapsed="false">
      <c r="A1999" s="8" t="s">
        <v>6622</v>
      </c>
      <c r="B1999" s="8" t="s">
        <v>310</v>
      </c>
      <c r="C1999" s="8" t="s">
        <v>55</v>
      </c>
      <c r="D1999" s="32" t="n">
        <v>46115</v>
      </c>
      <c r="E1999" s="8" t="n">
        <v>10</v>
      </c>
      <c r="F1999" s="8" t="str">
        <f aca="false">IF(E1999&gt;=9,"Promoter",IF(E1999&gt;=7,"Passive","Detractor"))</f>
        <v>Promoter</v>
      </c>
    </row>
    <row r="2000" customFormat="false" ht="15" hidden="false" customHeight="false" outlineLevel="0" collapsed="false">
      <c r="A2000" s="8" t="s">
        <v>6623</v>
      </c>
      <c r="B2000" s="8" t="s">
        <v>1827</v>
      </c>
      <c r="C2000" s="8" t="s">
        <v>51</v>
      </c>
      <c r="D2000" s="32" t="n">
        <v>46115</v>
      </c>
      <c r="E2000" s="8" t="n">
        <v>7</v>
      </c>
      <c r="F2000" s="8" t="str">
        <f aca="false">IF(E2000&gt;=9,"Promoter",IF(E2000&gt;=7,"Passive","Detractor"))</f>
        <v>Passive</v>
      </c>
    </row>
    <row r="2001" customFormat="false" ht="15" hidden="false" customHeight="false" outlineLevel="0" collapsed="false">
      <c r="A2001" s="8" t="s">
        <v>6624</v>
      </c>
      <c r="B2001" s="8" t="s">
        <v>1639</v>
      </c>
      <c r="C2001" s="8" t="s">
        <v>53</v>
      </c>
      <c r="D2001" s="32" t="n">
        <v>46115</v>
      </c>
      <c r="E2001" s="8" t="n">
        <v>8</v>
      </c>
      <c r="F2001" s="8" t="str">
        <f aca="false">IF(E2001&gt;=9,"Promoter",IF(E2001&gt;=7,"Passive","Detractor"))</f>
        <v>Passive</v>
      </c>
    </row>
    <row r="2002" customFormat="false" ht="15" hidden="false" customHeight="false" outlineLevel="0" collapsed="false">
      <c r="A2002" s="8" t="s">
        <v>6625</v>
      </c>
      <c r="B2002" s="8" t="s">
        <v>4434</v>
      </c>
      <c r="C2002" s="8" t="s">
        <v>53</v>
      </c>
      <c r="D2002" s="32" t="n">
        <v>46115</v>
      </c>
      <c r="E2002" s="8" t="n">
        <v>4</v>
      </c>
      <c r="F2002" s="8" t="str">
        <f aca="false">IF(E2002&gt;=9,"Promoter",IF(E2002&gt;=7,"Passive","Detractor"))</f>
        <v>Detractor</v>
      </c>
    </row>
    <row r="2003" customFormat="false" ht="15" hidden="false" customHeight="false" outlineLevel="0" collapsed="false">
      <c r="A2003" s="8" t="s">
        <v>6626</v>
      </c>
      <c r="B2003" s="8" t="s">
        <v>3122</v>
      </c>
      <c r="C2003" s="8" t="s">
        <v>51</v>
      </c>
      <c r="D2003" s="32" t="n">
        <v>46115</v>
      </c>
      <c r="E2003" s="8" t="n">
        <v>4</v>
      </c>
      <c r="F2003" s="8" t="str">
        <f aca="false">IF(E2003&gt;=9,"Promoter",IF(E2003&gt;=7,"Passive","Detractor"))</f>
        <v>Detractor</v>
      </c>
    </row>
    <row r="2004" customFormat="false" ht="15" hidden="false" customHeight="false" outlineLevel="0" collapsed="false">
      <c r="A2004" s="8" t="s">
        <v>6627</v>
      </c>
      <c r="B2004" s="8" t="s">
        <v>1833</v>
      </c>
      <c r="C2004" s="8" t="s">
        <v>51</v>
      </c>
      <c r="D2004" s="32" t="n">
        <v>46116</v>
      </c>
      <c r="E2004" s="8" t="n">
        <v>4</v>
      </c>
      <c r="F2004" s="8" t="str">
        <f aca="false">IF(E2004&gt;=9,"Promoter",IF(E2004&gt;=7,"Passive","Detractor"))</f>
        <v>Detractor</v>
      </c>
    </row>
    <row r="2005" customFormat="false" ht="15" hidden="false" customHeight="false" outlineLevel="0" collapsed="false">
      <c r="A2005" s="8" t="s">
        <v>6628</v>
      </c>
      <c r="B2005" s="8" t="s">
        <v>4568</v>
      </c>
      <c r="C2005" s="8" t="s">
        <v>51</v>
      </c>
      <c r="D2005" s="32" t="n">
        <v>46116</v>
      </c>
      <c r="E2005" s="8" t="n">
        <v>3</v>
      </c>
      <c r="F2005" s="8" t="str">
        <f aca="false">IF(E2005&gt;=9,"Promoter",IF(E2005&gt;=7,"Passive","Detractor"))</f>
        <v>Detractor</v>
      </c>
    </row>
    <row r="2006" customFormat="false" ht="15" hidden="false" customHeight="false" outlineLevel="0" collapsed="false">
      <c r="A2006" s="8" t="s">
        <v>6629</v>
      </c>
      <c r="B2006" s="8" t="s">
        <v>2668</v>
      </c>
      <c r="C2006" s="8" t="s">
        <v>51</v>
      </c>
      <c r="D2006" s="32" t="n">
        <v>46116</v>
      </c>
      <c r="E2006" s="8" t="n">
        <v>10</v>
      </c>
      <c r="F2006" s="8" t="str">
        <f aca="false">IF(E2006&gt;=9,"Promoter",IF(E2006&gt;=7,"Passive","Detractor"))</f>
        <v>Promoter</v>
      </c>
    </row>
    <row r="2007" customFormat="false" ht="15" hidden="false" customHeight="false" outlineLevel="0" collapsed="false">
      <c r="A2007" s="8" t="s">
        <v>6630</v>
      </c>
      <c r="B2007" s="8" t="s">
        <v>589</v>
      </c>
      <c r="C2007" s="8" t="s">
        <v>53</v>
      </c>
      <c r="D2007" s="32" t="n">
        <v>46116</v>
      </c>
      <c r="E2007" s="8" t="n">
        <v>9</v>
      </c>
      <c r="F2007" s="8" t="str">
        <f aca="false">IF(E2007&gt;=9,"Promoter",IF(E2007&gt;=7,"Passive","Detractor"))</f>
        <v>Promoter</v>
      </c>
    </row>
    <row r="2008" customFormat="false" ht="15" hidden="false" customHeight="false" outlineLevel="0" collapsed="false">
      <c r="A2008" s="8" t="s">
        <v>6631</v>
      </c>
      <c r="B2008" s="8" t="s">
        <v>4432</v>
      </c>
      <c r="C2008" s="8" t="s">
        <v>53</v>
      </c>
      <c r="D2008" s="32" t="n">
        <v>46116</v>
      </c>
      <c r="E2008" s="8" t="n">
        <v>6</v>
      </c>
      <c r="F2008" s="8" t="str">
        <f aca="false">IF(E2008&gt;=9,"Promoter",IF(E2008&gt;=7,"Passive","Detractor"))</f>
        <v>Detractor</v>
      </c>
    </row>
    <row r="2009" customFormat="false" ht="15" hidden="false" customHeight="false" outlineLevel="0" collapsed="false">
      <c r="A2009" s="8" t="s">
        <v>6632</v>
      </c>
      <c r="B2009" s="8" t="s">
        <v>1563</v>
      </c>
      <c r="C2009" s="8" t="s">
        <v>53</v>
      </c>
      <c r="D2009" s="32" t="n">
        <v>46116</v>
      </c>
      <c r="E2009" s="8" t="n">
        <v>4</v>
      </c>
      <c r="F2009" s="8" t="str">
        <f aca="false">IF(E2009&gt;=9,"Promoter",IF(E2009&gt;=7,"Passive","Detractor"))</f>
        <v>Detractor</v>
      </c>
    </row>
    <row r="2010" customFormat="false" ht="15" hidden="false" customHeight="false" outlineLevel="0" collapsed="false">
      <c r="A2010" s="8" t="s">
        <v>6633</v>
      </c>
      <c r="B2010" s="8" t="s">
        <v>2736</v>
      </c>
      <c r="C2010" s="8" t="s">
        <v>51</v>
      </c>
      <c r="D2010" s="32" t="n">
        <v>46116</v>
      </c>
      <c r="E2010" s="8" t="n">
        <v>9</v>
      </c>
      <c r="F2010" s="8" t="str">
        <f aca="false">IF(E2010&gt;=9,"Promoter",IF(E2010&gt;=7,"Passive","Detractor"))</f>
        <v>Promoter</v>
      </c>
    </row>
    <row r="2011" customFormat="false" ht="15" hidden="false" customHeight="false" outlineLevel="0" collapsed="false">
      <c r="A2011" s="8" t="s">
        <v>6634</v>
      </c>
      <c r="B2011" s="8" t="s">
        <v>675</v>
      </c>
      <c r="C2011" s="8" t="s">
        <v>53</v>
      </c>
      <c r="D2011" s="32" t="n">
        <v>46116</v>
      </c>
      <c r="E2011" s="8" t="n">
        <v>5</v>
      </c>
      <c r="F2011" s="8" t="str">
        <f aca="false">IF(E2011&gt;=9,"Promoter",IF(E2011&gt;=7,"Passive","Detractor"))</f>
        <v>Detractor</v>
      </c>
    </row>
    <row r="2012" customFormat="false" ht="15" hidden="false" customHeight="false" outlineLevel="0" collapsed="false">
      <c r="A2012" s="8" t="s">
        <v>6635</v>
      </c>
      <c r="B2012" s="8" t="s">
        <v>4592</v>
      </c>
      <c r="C2012" s="8" t="s">
        <v>51</v>
      </c>
      <c r="D2012" s="32" t="n">
        <v>46116</v>
      </c>
      <c r="E2012" s="8" t="n">
        <v>7</v>
      </c>
      <c r="F2012" s="8" t="str">
        <f aca="false">IF(E2012&gt;=9,"Promoter",IF(E2012&gt;=7,"Passive","Detractor"))</f>
        <v>Passive</v>
      </c>
    </row>
    <row r="2013" customFormat="false" ht="15" hidden="false" customHeight="false" outlineLevel="0" collapsed="false">
      <c r="A2013" s="8" t="s">
        <v>6636</v>
      </c>
      <c r="B2013" s="8" t="s">
        <v>1073</v>
      </c>
      <c r="C2013" s="8" t="s">
        <v>53</v>
      </c>
      <c r="D2013" s="32" t="n">
        <v>46116</v>
      </c>
      <c r="E2013" s="8" t="n">
        <v>10</v>
      </c>
      <c r="F2013" s="8" t="str">
        <f aca="false">IF(E2013&gt;=9,"Promoter",IF(E2013&gt;=7,"Passive","Detractor"))</f>
        <v>Promoter</v>
      </c>
    </row>
    <row r="2014" customFormat="false" ht="15" hidden="false" customHeight="false" outlineLevel="0" collapsed="false">
      <c r="A2014" s="8" t="s">
        <v>6637</v>
      </c>
      <c r="B2014" s="8" t="s">
        <v>3102</v>
      </c>
      <c r="C2014" s="8" t="s">
        <v>51</v>
      </c>
      <c r="D2014" s="32" t="n">
        <v>46116</v>
      </c>
      <c r="E2014" s="8" t="n">
        <v>10</v>
      </c>
      <c r="F2014" s="8" t="str">
        <f aca="false">IF(E2014&gt;=9,"Promoter",IF(E2014&gt;=7,"Passive","Detractor"))</f>
        <v>Promoter</v>
      </c>
    </row>
    <row r="2015" customFormat="false" ht="15" hidden="false" customHeight="false" outlineLevel="0" collapsed="false">
      <c r="A2015" s="8" t="s">
        <v>6638</v>
      </c>
      <c r="B2015" s="8" t="s">
        <v>1251</v>
      </c>
      <c r="C2015" s="8" t="s">
        <v>53</v>
      </c>
      <c r="D2015" s="32" t="n">
        <v>46116</v>
      </c>
      <c r="E2015" s="8" t="n">
        <v>10</v>
      </c>
      <c r="F2015" s="8" t="str">
        <f aca="false">IF(E2015&gt;=9,"Promoter",IF(E2015&gt;=7,"Passive","Detractor"))</f>
        <v>Promoter</v>
      </c>
    </row>
    <row r="2016" customFormat="false" ht="15" hidden="false" customHeight="false" outlineLevel="0" collapsed="false">
      <c r="A2016" s="8" t="s">
        <v>6639</v>
      </c>
      <c r="B2016" s="8" t="s">
        <v>1583</v>
      </c>
      <c r="C2016" s="8" t="s">
        <v>53</v>
      </c>
      <c r="D2016" s="32" t="n">
        <v>46116</v>
      </c>
      <c r="E2016" s="8" t="n">
        <v>10</v>
      </c>
      <c r="F2016" s="8" t="str">
        <f aca="false">IF(E2016&gt;=9,"Promoter",IF(E2016&gt;=7,"Passive","Detractor"))</f>
        <v>Promoter</v>
      </c>
    </row>
    <row r="2017" customFormat="false" ht="15" hidden="false" customHeight="false" outlineLevel="0" collapsed="false">
      <c r="A2017" s="8" t="s">
        <v>6640</v>
      </c>
      <c r="B2017" s="8" t="s">
        <v>557</v>
      </c>
      <c r="C2017" s="8" t="s">
        <v>53</v>
      </c>
      <c r="D2017" s="32" t="n">
        <v>46116</v>
      </c>
      <c r="E2017" s="8" t="n">
        <v>9</v>
      </c>
      <c r="F2017" s="8" t="str">
        <f aca="false">IF(E2017&gt;=9,"Promoter",IF(E2017&gt;=7,"Passive","Detractor"))</f>
        <v>Promoter</v>
      </c>
    </row>
    <row r="2018" customFormat="false" ht="15" hidden="false" customHeight="false" outlineLevel="0" collapsed="false">
      <c r="A2018" s="8" t="s">
        <v>6641</v>
      </c>
      <c r="B2018" s="8" t="s">
        <v>4455</v>
      </c>
      <c r="C2018" s="8" t="s">
        <v>53</v>
      </c>
      <c r="D2018" s="32" t="n">
        <v>46116</v>
      </c>
      <c r="E2018" s="8" t="n">
        <v>7</v>
      </c>
      <c r="F2018" s="8" t="str">
        <f aca="false">IF(E2018&gt;=9,"Promoter",IF(E2018&gt;=7,"Passive","Detractor"))</f>
        <v>Passive</v>
      </c>
    </row>
    <row r="2019" customFormat="false" ht="15" hidden="false" customHeight="false" outlineLevel="0" collapsed="false">
      <c r="A2019" s="8" t="s">
        <v>6642</v>
      </c>
      <c r="B2019" s="8" t="s">
        <v>3728</v>
      </c>
      <c r="C2019" s="8" t="s">
        <v>51</v>
      </c>
      <c r="D2019" s="32" t="n">
        <v>46116</v>
      </c>
      <c r="E2019" s="8" t="n">
        <v>10</v>
      </c>
      <c r="F2019" s="8" t="str">
        <f aca="false">IF(E2019&gt;=9,"Promoter",IF(E2019&gt;=7,"Passive","Detractor"))</f>
        <v>Promoter</v>
      </c>
    </row>
    <row r="2020" customFormat="false" ht="15" hidden="false" customHeight="false" outlineLevel="0" collapsed="false">
      <c r="A2020" s="8" t="s">
        <v>6643</v>
      </c>
      <c r="B2020" s="8" t="s">
        <v>1365</v>
      </c>
      <c r="C2020" s="8" t="s">
        <v>53</v>
      </c>
      <c r="D2020" s="32" t="n">
        <v>46116</v>
      </c>
      <c r="E2020" s="8" t="n">
        <v>8</v>
      </c>
      <c r="F2020" s="8" t="str">
        <f aca="false">IF(E2020&gt;=9,"Promoter",IF(E2020&gt;=7,"Passive","Detractor"))</f>
        <v>Passive</v>
      </c>
    </row>
    <row r="2021" customFormat="false" ht="15" hidden="false" customHeight="false" outlineLevel="0" collapsed="false">
      <c r="A2021" s="8" t="s">
        <v>6644</v>
      </c>
      <c r="B2021" s="8" t="s">
        <v>1223</v>
      </c>
      <c r="C2021" s="8" t="s">
        <v>53</v>
      </c>
      <c r="D2021" s="32" t="n">
        <v>46116</v>
      </c>
      <c r="E2021" s="8" t="n">
        <v>7</v>
      </c>
      <c r="F2021" s="8" t="str">
        <f aca="false">IF(E2021&gt;=9,"Promoter",IF(E2021&gt;=7,"Passive","Detractor"))</f>
        <v>Passive</v>
      </c>
    </row>
    <row r="2022" customFormat="false" ht="15" hidden="false" customHeight="false" outlineLevel="0" collapsed="false">
      <c r="A2022" s="8" t="s">
        <v>6645</v>
      </c>
      <c r="B2022" s="8" t="s">
        <v>2754</v>
      </c>
      <c r="C2022" s="8" t="s">
        <v>51</v>
      </c>
      <c r="D2022" s="32" t="n">
        <v>46116</v>
      </c>
      <c r="E2022" s="8" t="n">
        <v>8</v>
      </c>
      <c r="F2022" s="8" t="str">
        <f aca="false">IF(E2022&gt;=9,"Promoter",IF(E2022&gt;=7,"Passive","Detractor"))</f>
        <v>Passive</v>
      </c>
    </row>
    <row r="2023" customFormat="false" ht="15" hidden="false" customHeight="false" outlineLevel="0" collapsed="false">
      <c r="A2023" s="8" t="s">
        <v>6646</v>
      </c>
      <c r="B2023" s="8" t="s">
        <v>4444</v>
      </c>
      <c r="C2023" s="8" t="s">
        <v>53</v>
      </c>
      <c r="D2023" s="32" t="n">
        <v>46116</v>
      </c>
      <c r="E2023" s="8" t="n">
        <v>3</v>
      </c>
      <c r="F2023" s="8" t="str">
        <f aca="false">IF(E2023&gt;=9,"Promoter",IF(E2023&gt;=7,"Passive","Detractor"))</f>
        <v>Detractor</v>
      </c>
    </row>
    <row r="2024" customFormat="false" ht="15" hidden="false" customHeight="false" outlineLevel="0" collapsed="false">
      <c r="A2024" s="8" t="s">
        <v>6647</v>
      </c>
      <c r="B2024" s="8" t="s">
        <v>2828</v>
      </c>
      <c r="C2024" s="8" t="s">
        <v>51</v>
      </c>
      <c r="D2024" s="32" t="n">
        <v>46116</v>
      </c>
      <c r="E2024" s="8" t="n">
        <v>5</v>
      </c>
      <c r="F2024" s="8" t="str">
        <f aca="false">IF(E2024&gt;=9,"Promoter",IF(E2024&gt;=7,"Passive","Detractor"))</f>
        <v>Detractor</v>
      </c>
    </row>
    <row r="2025" customFormat="false" ht="15" hidden="false" customHeight="false" outlineLevel="0" collapsed="false">
      <c r="A2025" s="8" t="s">
        <v>6648</v>
      </c>
      <c r="B2025" s="8" t="s">
        <v>4076</v>
      </c>
      <c r="C2025" s="8" t="s">
        <v>51</v>
      </c>
      <c r="D2025" s="32" t="n">
        <v>46116</v>
      </c>
      <c r="E2025" s="8" t="n">
        <v>9</v>
      </c>
      <c r="F2025" s="8" t="str">
        <f aca="false">IF(E2025&gt;=9,"Promoter",IF(E2025&gt;=7,"Passive","Detractor"))</f>
        <v>Promoter</v>
      </c>
    </row>
    <row r="2026" customFormat="false" ht="15" hidden="false" customHeight="false" outlineLevel="0" collapsed="false">
      <c r="A2026" s="8" t="s">
        <v>6649</v>
      </c>
      <c r="B2026" s="8" t="s">
        <v>2650</v>
      </c>
      <c r="C2026" s="8" t="s">
        <v>51</v>
      </c>
      <c r="D2026" s="32" t="n">
        <v>46116</v>
      </c>
      <c r="E2026" s="8" t="n">
        <v>8</v>
      </c>
      <c r="F2026" s="8" t="str">
        <f aca="false">IF(E2026&gt;=9,"Promoter",IF(E2026&gt;=7,"Passive","Detractor"))</f>
        <v>Passive</v>
      </c>
    </row>
    <row r="2027" customFormat="false" ht="15" hidden="false" customHeight="false" outlineLevel="0" collapsed="false">
      <c r="A2027" s="8" t="s">
        <v>6650</v>
      </c>
      <c r="B2027" s="8" t="s">
        <v>759</v>
      </c>
      <c r="C2027" s="8" t="s">
        <v>53</v>
      </c>
      <c r="D2027" s="32" t="n">
        <v>46116</v>
      </c>
      <c r="E2027" s="8" t="n">
        <v>8</v>
      </c>
      <c r="F2027" s="8" t="str">
        <f aca="false">IF(E2027&gt;=9,"Promoter",IF(E2027&gt;=7,"Passive","Detractor"))</f>
        <v>Passive</v>
      </c>
    </row>
    <row r="2028" customFormat="false" ht="15" hidden="false" customHeight="false" outlineLevel="0" collapsed="false">
      <c r="A2028" s="8" t="s">
        <v>6651</v>
      </c>
      <c r="B2028" s="8" t="s">
        <v>3138</v>
      </c>
      <c r="C2028" s="8" t="s">
        <v>51</v>
      </c>
      <c r="D2028" s="32" t="n">
        <v>46116</v>
      </c>
      <c r="E2028" s="8" t="n">
        <v>7</v>
      </c>
      <c r="F2028" s="8" t="str">
        <f aca="false">IF(E2028&gt;=9,"Promoter",IF(E2028&gt;=7,"Passive","Detractor"))</f>
        <v>Passive</v>
      </c>
    </row>
    <row r="2029" customFormat="false" ht="15" hidden="false" customHeight="false" outlineLevel="0" collapsed="false">
      <c r="A2029" s="8" t="s">
        <v>6652</v>
      </c>
      <c r="B2029" s="8" t="s">
        <v>2052</v>
      </c>
      <c r="C2029" s="8" t="s">
        <v>51</v>
      </c>
      <c r="D2029" s="32" t="n">
        <v>46116</v>
      </c>
      <c r="E2029" s="8" t="n">
        <v>9</v>
      </c>
      <c r="F2029" s="8" t="str">
        <f aca="false">IF(E2029&gt;=9,"Promoter",IF(E2029&gt;=7,"Passive","Detractor"))</f>
        <v>Promoter</v>
      </c>
    </row>
    <row r="2030" customFormat="false" ht="15" hidden="false" customHeight="false" outlineLevel="0" collapsed="false">
      <c r="A2030" s="8" t="s">
        <v>6653</v>
      </c>
      <c r="B2030" s="8" t="s">
        <v>4250</v>
      </c>
      <c r="C2030" s="8" t="s">
        <v>51</v>
      </c>
      <c r="D2030" s="32" t="n">
        <v>46116</v>
      </c>
      <c r="E2030" s="8" t="n">
        <v>10</v>
      </c>
      <c r="F2030" s="8" t="str">
        <f aca="false">IF(E2030&gt;=9,"Promoter",IF(E2030&gt;=7,"Passive","Detractor"))</f>
        <v>Promoter</v>
      </c>
    </row>
    <row r="2031" customFormat="false" ht="15" hidden="false" customHeight="false" outlineLevel="0" collapsed="false">
      <c r="A2031" s="8" t="s">
        <v>6654</v>
      </c>
      <c r="B2031" s="8" t="s">
        <v>2956</v>
      </c>
      <c r="C2031" s="8" t="s">
        <v>51</v>
      </c>
      <c r="D2031" s="32" t="n">
        <v>46116</v>
      </c>
      <c r="E2031" s="8" t="n">
        <v>4</v>
      </c>
      <c r="F2031" s="8" t="str">
        <f aca="false">IF(E2031&gt;=9,"Promoter",IF(E2031&gt;=7,"Passive","Detractor"))</f>
        <v>Detractor</v>
      </c>
    </row>
    <row r="2032" customFormat="false" ht="15" hidden="false" customHeight="false" outlineLevel="0" collapsed="false">
      <c r="A2032" s="8" t="s">
        <v>6655</v>
      </c>
      <c r="B2032" s="8" t="s">
        <v>2718</v>
      </c>
      <c r="C2032" s="8" t="s">
        <v>51</v>
      </c>
      <c r="D2032" s="32" t="n">
        <v>46116</v>
      </c>
      <c r="E2032" s="8" t="n">
        <v>10</v>
      </c>
      <c r="F2032" s="8" t="str">
        <f aca="false">IF(E2032&gt;=9,"Promoter",IF(E2032&gt;=7,"Passive","Detractor"))</f>
        <v>Promoter</v>
      </c>
    </row>
    <row r="2033" customFormat="false" ht="15" hidden="false" customHeight="false" outlineLevel="0" collapsed="false">
      <c r="A2033" s="8" t="s">
        <v>6656</v>
      </c>
      <c r="B2033" s="8" t="s">
        <v>2230</v>
      </c>
      <c r="C2033" s="8" t="s">
        <v>51</v>
      </c>
      <c r="D2033" s="32" t="n">
        <v>46116</v>
      </c>
      <c r="E2033" s="8" t="n">
        <v>10</v>
      </c>
      <c r="F2033" s="8" t="str">
        <f aca="false">IF(E2033&gt;=9,"Promoter",IF(E2033&gt;=7,"Passive","Detractor"))</f>
        <v>Promoter</v>
      </c>
    </row>
    <row r="2034" customFormat="false" ht="15" hidden="false" customHeight="false" outlineLevel="0" collapsed="false">
      <c r="A2034" s="8" t="s">
        <v>6657</v>
      </c>
      <c r="B2034" s="8" t="s">
        <v>2968</v>
      </c>
      <c r="C2034" s="8" t="s">
        <v>51</v>
      </c>
      <c r="D2034" s="32" t="n">
        <v>46116</v>
      </c>
      <c r="E2034" s="8" t="n">
        <v>8</v>
      </c>
      <c r="F2034" s="8" t="str">
        <f aca="false">IF(E2034&gt;=9,"Promoter",IF(E2034&gt;=7,"Passive","Detractor"))</f>
        <v>Passive</v>
      </c>
    </row>
    <row r="2035" customFormat="false" ht="15" hidden="false" customHeight="false" outlineLevel="0" collapsed="false">
      <c r="A2035" s="8" t="s">
        <v>6658</v>
      </c>
      <c r="B2035" s="8" t="s">
        <v>2586</v>
      </c>
      <c r="C2035" s="8" t="s">
        <v>51</v>
      </c>
      <c r="D2035" s="32" t="n">
        <v>46117</v>
      </c>
      <c r="E2035" s="8" t="n">
        <v>10</v>
      </c>
      <c r="F2035" s="8" t="str">
        <f aca="false">IF(E2035&gt;=9,"Promoter",IF(E2035&gt;=7,"Passive","Detractor"))</f>
        <v>Promoter</v>
      </c>
    </row>
    <row r="2036" customFormat="false" ht="15" hidden="false" customHeight="false" outlineLevel="0" collapsed="false">
      <c r="A2036" s="8" t="s">
        <v>6659</v>
      </c>
      <c r="B2036" s="8" t="s">
        <v>2974</v>
      </c>
      <c r="C2036" s="8" t="s">
        <v>51</v>
      </c>
      <c r="D2036" s="32" t="n">
        <v>46117</v>
      </c>
      <c r="E2036" s="8" t="n">
        <v>9</v>
      </c>
      <c r="F2036" s="8" t="str">
        <f aca="false">IF(E2036&gt;=9,"Promoter",IF(E2036&gt;=7,"Passive","Detractor"))</f>
        <v>Promoter</v>
      </c>
    </row>
    <row r="2037" customFormat="false" ht="15" hidden="false" customHeight="false" outlineLevel="0" collapsed="false">
      <c r="A2037" s="8" t="s">
        <v>6660</v>
      </c>
      <c r="B2037" s="8" t="s">
        <v>2208</v>
      </c>
      <c r="C2037" s="8" t="s">
        <v>51</v>
      </c>
      <c r="D2037" s="32" t="n">
        <v>46117</v>
      </c>
      <c r="E2037" s="8" t="n">
        <v>10</v>
      </c>
      <c r="F2037" s="8" t="str">
        <f aca="false">IF(E2037&gt;=9,"Promoter",IF(E2037&gt;=7,"Passive","Detractor"))</f>
        <v>Promoter</v>
      </c>
    </row>
    <row r="2038" customFormat="false" ht="15" hidden="false" customHeight="false" outlineLevel="0" collapsed="false">
      <c r="A2038" s="8" t="s">
        <v>6661</v>
      </c>
      <c r="B2038" s="8" t="s">
        <v>1541</v>
      </c>
      <c r="C2038" s="8" t="s">
        <v>53</v>
      </c>
      <c r="D2038" s="32" t="n">
        <v>46117</v>
      </c>
      <c r="E2038" s="8" t="n">
        <v>10</v>
      </c>
      <c r="F2038" s="8" t="str">
        <f aca="false">IF(E2038&gt;=9,"Promoter",IF(E2038&gt;=7,"Passive","Detractor"))</f>
        <v>Promoter</v>
      </c>
    </row>
    <row r="2039" customFormat="false" ht="15" hidden="false" customHeight="false" outlineLevel="0" collapsed="false">
      <c r="A2039" s="8" t="s">
        <v>6662</v>
      </c>
      <c r="B2039" s="8" t="s">
        <v>3338</v>
      </c>
      <c r="C2039" s="8" t="s">
        <v>51</v>
      </c>
      <c r="D2039" s="32" t="n">
        <v>46117</v>
      </c>
      <c r="E2039" s="8" t="n">
        <v>8</v>
      </c>
      <c r="F2039" s="8" t="str">
        <f aca="false">IF(E2039&gt;=9,"Promoter",IF(E2039&gt;=7,"Passive","Detractor"))</f>
        <v>Passive</v>
      </c>
    </row>
    <row r="2040" customFormat="false" ht="15" hidden="false" customHeight="false" outlineLevel="0" collapsed="false">
      <c r="A2040" s="8" t="s">
        <v>6663</v>
      </c>
      <c r="B2040" s="8" t="s">
        <v>3838</v>
      </c>
      <c r="C2040" s="8" t="s">
        <v>51</v>
      </c>
      <c r="D2040" s="32" t="n">
        <v>46117</v>
      </c>
      <c r="E2040" s="8" t="n">
        <v>9</v>
      </c>
      <c r="F2040" s="8" t="str">
        <f aca="false">IF(E2040&gt;=9,"Promoter",IF(E2040&gt;=7,"Passive","Detractor"))</f>
        <v>Promoter</v>
      </c>
    </row>
    <row r="2041" customFormat="false" ht="15" hidden="false" customHeight="false" outlineLevel="0" collapsed="false">
      <c r="A2041" s="8" t="s">
        <v>6664</v>
      </c>
      <c r="B2041" s="8" t="s">
        <v>3402</v>
      </c>
      <c r="C2041" s="8" t="s">
        <v>51</v>
      </c>
      <c r="D2041" s="32" t="n">
        <v>46117</v>
      </c>
      <c r="E2041" s="8" t="n">
        <v>9</v>
      </c>
      <c r="F2041" s="8" t="str">
        <f aca="false">IF(E2041&gt;=9,"Promoter",IF(E2041&gt;=7,"Passive","Detractor"))</f>
        <v>Promoter</v>
      </c>
    </row>
    <row r="2042" customFormat="false" ht="15" hidden="false" customHeight="false" outlineLevel="0" collapsed="false">
      <c r="A2042" s="8" t="s">
        <v>6665</v>
      </c>
      <c r="B2042" s="8" t="s">
        <v>2516</v>
      </c>
      <c r="C2042" s="8" t="s">
        <v>51</v>
      </c>
      <c r="D2042" s="32" t="n">
        <v>46117</v>
      </c>
      <c r="E2042" s="8" t="n">
        <v>10</v>
      </c>
      <c r="F2042" s="8" t="str">
        <f aca="false">IF(E2042&gt;=9,"Promoter",IF(E2042&gt;=7,"Passive","Detractor"))</f>
        <v>Promoter</v>
      </c>
    </row>
    <row r="2043" customFormat="false" ht="15" hidden="false" customHeight="false" outlineLevel="0" collapsed="false">
      <c r="A2043" s="8" t="s">
        <v>6666</v>
      </c>
      <c r="B2043" s="8" t="s">
        <v>302</v>
      </c>
      <c r="C2043" s="8" t="s">
        <v>55</v>
      </c>
      <c r="D2043" s="32" t="n">
        <v>46117</v>
      </c>
      <c r="E2043" s="8" t="n">
        <v>7</v>
      </c>
      <c r="F2043" s="8" t="str">
        <f aca="false">IF(E2043&gt;=9,"Promoter",IF(E2043&gt;=7,"Passive","Detractor"))</f>
        <v>Passive</v>
      </c>
    </row>
    <row r="2044" customFormat="false" ht="15" hidden="false" customHeight="false" outlineLevel="0" collapsed="false">
      <c r="A2044" s="8" t="s">
        <v>6667</v>
      </c>
      <c r="B2044" s="8" t="s">
        <v>2340</v>
      </c>
      <c r="C2044" s="8" t="s">
        <v>51</v>
      </c>
      <c r="D2044" s="32" t="n">
        <v>46117</v>
      </c>
      <c r="E2044" s="8" t="n">
        <v>8</v>
      </c>
      <c r="F2044" s="8" t="str">
        <f aca="false">IF(E2044&gt;=9,"Promoter",IF(E2044&gt;=7,"Passive","Detractor"))</f>
        <v>Passive</v>
      </c>
    </row>
    <row r="2045" customFormat="false" ht="15" hidden="false" customHeight="false" outlineLevel="0" collapsed="false">
      <c r="A2045" s="8" t="s">
        <v>6668</v>
      </c>
      <c r="B2045" s="8" t="s">
        <v>1609</v>
      </c>
      <c r="C2045" s="8" t="s">
        <v>51</v>
      </c>
      <c r="D2045" s="32" t="n">
        <v>46117</v>
      </c>
      <c r="E2045" s="8" t="n">
        <v>10</v>
      </c>
      <c r="F2045" s="8" t="str">
        <f aca="false">IF(E2045&gt;=9,"Promoter",IF(E2045&gt;=7,"Passive","Detractor"))</f>
        <v>Promoter</v>
      </c>
    </row>
    <row r="2046" customFormat="false" ht="15" hidden="false" customHeight="false" outlineLevel="0" collapsed="false">
      <c r="A2046" s="8" t="s">
        <v>6669</v>
      </c>
      <c r="B2046" s="8" t="s">
        <v>1959</v>
      </c>
      <c r="C2046" s="8" t="s">
        <v>51</v>
      </c>
      <c r="D2046" s="32" t="n">
        <v>46117</v>
      </c>
      <c r="E2046" s="8" t="n">
        <v>9</v>
      </c>
      <c r="F2046" s="8" t="str">
        <f aca="false">IF(E2046&gt;=9,"Promoter",IF(E2046&gt;=7,"Passive","Detractor"))</f>
        <v>Promoter</v>
      </c>
    </row>
    <row r="2047" customFormat="false" ht="15" hidden="false" customHeight="false" outlineLevel="0" collapsed="false">
      <c r="A2047" s="8" t="s">
        <v>6670</v>
      </c>
      <c r="B2047" s="8" t="s">
        <v>1767</v>
      </c>
      <c r="C2047" s="8" t="s">
        <v>51</v>
      </c>
      <c r="D2047" s="32" t="n">
        <v>46117</v>
      </c>
      <c r="E2047" s="8" t="n">
        <v>7</v>
      </c>
      <c r="F2047" s="8" t="str">
        <f aca="false">IF(E2047&gt;=9,"Promoter",IF(E2047&gt;=7,"Passive","Detractor"))</f>
        <v>Passive</v>
      </c>
    </row>
    <row r="2048" customFormat="false" ht="15" hidden="false" customHeight="false" outlineLevel="0" collapsed="false">
      <c r="A2048" s="8" t="s">
        <v>6671</v>
      </c>
      <c r="B2048" s="8" t="s">
        <v>717</v>
      </c>
      <c r="C2048" s="8" t="s">
        <v>53</v>
      </c>
      <c r="D2048" s="32" t="n">
        <v>46117</v>
      </c>
      <c r="E2048" s="8" t="n">
        <v>10</v>
      </c>
      <c r="F2048" s="8" t="str">
        <f aca="false">IF(E2048&gt;=9,"Promoter",IF(E2048&gt;=7,"Passive","Detractor"))</f>
        <v>Promoter</v>
      </c>
    </row>
    <row r="2049" customFormat="false" ht="15" hidden="false" customHeight="false" outlineLevel="0" collapsed="false">
      <c r="A2049" s="8" t="s">
        <v>6672</v>
      </c>
      <c r="B2049" s="8" t="s">
        <v>1819</v>
      </c>
      <c r="C2049" s="8" t="s">
        <v>53</v>
      </c>
      <c r="D2049" s="32" t="n">
        <v>46117</v>
      </c>
      <c r="E2049" s="8" t="n">
        <v>8</v>
      </c>
      <c r="F2049" s="8" t="str">
        <f aca="false">IF(E2049&gt;=9,"Promoter",IF(E2049&gt;=7,"Passive","Detractor"))</f>
        <v>Passive</v>
      </c>
    </row>
    <row r="2050" customFormat="false" ht="15" hidden="false" customHeight="false" outlineLevel="0" collapsed="false">
      <c r="A2050" s="8" t="s">
        <v>6673</v>
      </c>
      <c r="B2050" s="8" t="s">
        <v>1829</v>
      </c>
      <c r="C2050" s="8" t="s">
        <v>51</v>
      </c>
      <c r="D2050" s="32" t="n">
        <v>46117</v>
      </c>
      <c r="E2050" s="8" t="n">
        <v>6</v>
      </c>
      <c r="F2050" s="8" t="str">
        <f aca="false">IF(E2050&gt;=9,"Promoter",IF(E2050&gt;=7,"Passive","Detractor"))</f>
        <v>Detractor</v>
      </c>
    </row>
    <row r="2051" customFormat="false" ht="15" hidden="false" customHeight="false" outlineLevel="0" collapsed="false">
      <c r="A2051" s="8" t="s">
        <v>6674</v>
      </c>
      <c r="B2051" s="8" t="s">
        <v>4068</v>
      </c>
      <c r="C2051" s="8" t="s">
        <v>51</v>
      </c>
      <c r="D2051" s="32" t="n">
        <v>46117</v>
      </c>
      <c r="E2051" s="8" t="n">
        <v>8</v>
      </c>
      <c r="F2051" s="8" t="str">
        <f aca="false">IF(E2051&gt;=9,"Promoter",IF(E2051&gt;=7,"Passive","Detractor"))</f>
        <v>Passive</v>
      </c>
    </row>
    <row r="2052" customFormat="false" ht="15" hidden="false" customHeight="false" outlineLevel="0" collapsed="false">
      <c r="A2052" s="8" t="s">
        <v>6675</v>
      </c>
      <c r="B2052" s="8" t="s">
        <v>1007</v>
      </c>
      <c r="C2052" s="8" t="s">
        <v>53</v>
      </c>
      <c r="D2052" s="32" t="n">
        <v>46117</v>
      </c>
      <c r="E2052" s="8" t="n">
        <v>10</v>
      </c>
      <c r="F2052" s="8" t="str">
        <f aca="false">IF(E2052&gt;=9,"Promoter",IF(E2052&gt;=7,"Passive","Detractor"))</f>
        <v>Promoter</v>
      </c>
    </row>
    <row r="2053" customFormat="false" ht="15" hidden="false" customHeight="false" outlineLevel="0" collapsed="false">
      <c r="A2053" s="8" t="s">
        <v>6676</v>
      </c>
      <c r="B2053" s="8" t="s">
        <v>3896</v>
      </c>
      <c r="C2053" s="8" t="s">
        <v>51</v>
      </c>
      <c r="D2053" s="32" t="n">
        <v>46117</v>
      </c>
      <c r="E2053" s="8" t="n">
        <v>4</v>
      </c>
      <c r="F2053" s="8" t="str">
        <f aca="false">IF(E2053&gt;=9,"Promoter",IF(E2053&gt;=7,"Passive","Detractor"))</f>
        <v>Detractor</v>
      </c>
    </row>
    <row r="2054" customFormat="false" ht="15" hidden="false" customHeight="false" outlineLevel="0" collapsed="false">
      <c r="A2054" s="8" t="s">
        <v>6677</v>
      </c>
      <c r="B2054" s="8" t="s">
        <v>1545</v>
      </c>
      <c r="C2054" s="8" t="s">
        <v>53</v>
      </c>
      <c r="D2054" s="32" t="n">
        <v>46117</v>
      </c>
      <c r="E2054" s="8" t="n">
        <v>8</v>
      </c>
      <c r="F2054" s="8" t="str">
        <f aca="false">IF(E2054&gt;=9,"Promoter",IF(E2054&gt;=7,"Passive","Detractor"))</f>
        <v>Passive</v>
      </c>
    </row>
    <row r="2055" customFormat="false" ht="15" hidden="false" customHeight="false" outlineLevel="0" collapsed="false">
      <c r="A2055" s="8" t="s">
        <v>6678</v>
      </c>
      <c r="B2055" s="8" t="s">
        <v>2728</v>
      </c>
      <c r="C2055" s="8" t="s">
        <v>51</v>
      </c>
      <c r="D2055" s="32" t="n">
        <v>46117</v>
      </c>
      <c r="E2055" s="8" t="n">
        <v>10</v>
      </c>
      <c r="F2055" s="8" t="str">
        <f aca="false">IF(E2055&gt;=9,"Promoter",IF(E2055&gt;=7,"Passive","Detractor"))</f>
        <v>Promoter</v>
      </c>
    </row>
    <row r="2056" customFormat="false" ht="15" hidden="false" customHeight="false" outlineLevel="0" collapsed="false">
      <c r="A2056" s="8" t="s">
        <v>6679</v>
      </c>
      <c r="B2056" s="8" t="s">
        <v>2270</v>
      </c>
      <c r="C2056" s="8" t="s">
        <v>51</v>
      </c>
      <c r="D2056" s="32" t="n">
        <v>46118</v>
      </c>
      <c r="E2056" s="8" t="n">
        <v>7</v>
      </c>
      <c r="F2056" s="8" t="str">
        <f aca="false">IF(E2056&gt;=9,"Promoter",IF(E2056&gt;=7,"Passive","Detractor"))</f>
        <v>Passive</v>
      </c>
    </row>
    <row r="2057" customFormat="false" ht="15" hidden="false" customHeight="false" outlineLevel="0" collapsed="false">
      <c r="A2057" s="8" t="s">
        <v>6680</v>
      </c>
      <c r="B2057" s="8" t="s">
        <v>447</v>
      </c>
      <c r="C2057" s="8" t="s">
        <v>55</v>
      </c>
      <c r="D2057" s="32" t="n">
        <v>46118</v>
      </c>
      <c r="E2057" s="8" t="n">
        <v>10</v>
      </c>
      <c r="F2057" s="8" t="str">
        <f aca="false">IF(E2057&gt;=9,"Promoter",IF(E2057&gt;=7,"Passive","Detractor"))</f>
        <v>Promoter</v>
      </c>
    </row>
    <row r="2058" customFormat="false" ht="15" hidden="false" customHeight="false" outlineLevel="0" collapsed="false">
      <c r="A2058" s="8" t="s">
        <v>6681</v>
      </c>
      <c r="B2058" s="8" t="s">
        <v>4586</v>
      </c>
      <c r="C2058" s="8" t="s">
        <v>51</v>
      </c>
      <c r="D2058" s="32" t="n">
        <v>46118</v>
      </c>
      <c r="E2058" s="8" t="n">
        <v>7</v>
      </c>
      <c r="F2058" s="8" t="str">
        <f aca="false">IF(E2058&gt;=9,"Promoter",IF(E2058&gt;=7,"Passive","Detractor"))</f>
        <v>Passive</v>
      </c>
    </row>
    <row r="2059" customFormat="false" ht="15" hidden="false" customHeight="false" outlineLevel="0" collapsed="false">
      <c r="A2059" s="8" t="s">
        <v>6682</v>
      </c>
      <c r="B2059" s="8" t="s">
        <v>3660</v>
      </c>
      <c r="C2059" s="8" t="s">
        <v>51</v>
      </c>
      <c r="D2059" s="32" t="n">
        <v>46118</v>
      </c>
      <c r="E2059" s="8" t="n">
        <v>8</v>
      </c>
      <c r="F2059" s="8" t="str">
        <f aca="false">IF(E2059&gt;=9,"Promoter",IF(E2059&gt;=7,"Passive","Detractor"))</f>
        <v>Passive</v>
      </c>
    </row>
    <row r="2060" customFormat="false" ht="15" hidden="false" customHeight="false" outlineLevel="0" collapsed="false">
      <c r="A2060" s="8" t="s">
        <v>6683</v>
      </c>
      <c r="B2060" s="8" t="s">
        <v>3554</v>
      </c>
      <c r="C2060" s="8" t="s">
        <v>51</v>
      </c>
      <c r="D2060" s="32" t="n">
        <v>46118</v>
      </c>
      <c r="E2060" s="8" t="n">
        <v>10</v>
      </c>
      <c r="F2060" s="8" t="str">
        <f aca="false">IF(E2060&gt;=9,"Promoter",IF(E2060&gt;=7,"Passive","Detractor"))</f>
        <v>Promoter</v>
      </c>
    </row>
    <row r="2061" customFormat="false" ht="15" hidden="false" customHeight="false" outlineLevel="0" collapsed="false">
      <c r="A2061" s="8" t="s">
        <v>6684</v>
      </c>
      <c r="B2061" s="8" t="s">
        <v>3922</v>
      </c>
      <c r="C2061" s="8" t="s">
        <v>51</v>
      </c>
      <c r="D2061" s="32" t="n">
        <v>46118</v>
      </c>
      <c r="E2061" s="8" t="n">
        <v>9</v>
      </c>
      <c r="F2061" s="8" t="str">
        <f aca="false">IF(E2061&gt;=9,"Promoter",IF(E2061&gt;=7,"Passive","Detractor"))</f>
        <v>Promoter</v>
      </c>
    </row>
    <row r="2062" customFormat="false" ht="15" hidden="false" customHeight="false" outlineLevel="0" collapsed="false">
      <c r="A2062" s="8" t="s">
        <v>6685</v>
      </c>
      <c r="B2062" s="8" t="s">
        <v>3266</v>
      </c>
      <c r="C2062" s="8" t="s">
        <v>51</v>
      </c>
      <c r="D2062" s="32" t="n">
        <v>46118</v>
      </c>
      <c r="E2062" s="8" t="n">
        <v>10</v>
      </c>
      <c r="F2062" s="8" t="str">
        <f aca="false">IF(E2062&gt;=9,"Promoter",IF(E2062&gt;=7,"Passive","Detractor"))</f>
        <v>Promoter</v>
      </c>
    </row>
    <row r="2063" customFormat="false" ht="15" hidden="false" customHeight="false" outlineLevel="0" collapsed="false">
      <c r="A2063" s="8" t="s">
        <v>6686</v>
      </c>
      <c r="B2063" s="8" t="s">
        <v>3748</v>
      </c>
      <c r="C2063" s="8" t="s">
        <v>51</v>
      </c>
      <c r="D2063" s="32" t="n">
        <v>46118</v>
      </c>
      <c r="E2063" s="8" t="n">
        <v>6</v>
      </c>
      <c r="F2063" s="8" t="str">
        <f aca="false">IF(E2063&gt;=9,"Promoter",IF(E2063&gt;=7,"Passive","Detractor"))</f>
        <v>Detractor</v>
      </c>
    </row>
    <row r="2064" customFormat="false" ht="15" hidden="false" customHeight="false" outlineLevel="0" collapsed="false">
      <c r="A2064" s="8" t="s">
        <v>6687</v>
      </c>
      <c r="B2064" s="8" t="s">
        <v>4488</v>
      </c>
      <c r="C2064" s="8" t="s">
        <v>51</v>
      </c>
      <c r="D2064" s="32" t="n">
        <v>46118</v>
      </c>
      <c r="E2064" s="8" t="n">
        <v>3</v>
      </c>
      <c r="F2064" s="8" t="str">
        <f aca="false">IF(E2064&gt;=9,"Promoter",IF(E2064&gt;=7,"Passive","Detractor"))</f>
        <v>Detractor</v>
      </c>
    </row>
    <row r="2065" customFormat="false" ht="15" hidden="false" customHeight="false" outlineLevel="0" collapsed="false">
      <c r="A2065" s="8" t="s">
        <v>6688</v>
      </c>
      <c r="B2065" s="8" t="s">
        <v>569</v>
      </c>
      <c r="C2065" s="8" t="s">
        <v>55</v>
      </c>
      <c r="D2065" s="32" t="n">
        <v>46118</v>
      </c>
      <c r="E2065" s="8" t="n">
        <v>7</v>
      </c>
      <c r="F2065" s="8" t="str">
        <f aca="false">IF(E2065&gt;=9,"Promoter",IF(E2065&gt;=7,"Passive","Detractor"))</f>
        <v>Passive</v>
      </c>
    </row>
    <row r="2066" customFormat="false" ht="15" hidden="false" customHeight="false" outlineLevel="0" collapsed="false">
      <c r="A2066" s="8" t="s">
        <v>6689</v>
      </c>
      <c r="B2066" s="8" t="s">
        <v>2202</v>
      </c>
      <c r="C2066" s="8" t="s">
        <v>51</v>
      </c>
      <c r="D2066" s="32" t="n">
        <v>46118</v>
      </c>
      <c r="E2066" s="8" t="n">
        <v>9</v>
      </c>
      <c r="F2066" s="8" t="str">
        <f aca="false">IF(E2066&gt;=9,"Promoter",IF(E2066&gt;=7,"Passive","Detractor"))</f>
        <v>Promoter</v>
      </c>
    </row>
    <row r="2067" customFormat="false" ht="15" hidden="false" customHeight="false" outlineLevel="0" collapsed="false">
      <c r="A2067" s="8" t="s">
        <v>6690</v>
      </c>
      <c r="B2067" s="8" t="s">
        <v>2788</v>
      </c>
      <c r="C2067" s="8" t="s">
        <v>51</v>
      </c>
      <c r="D2067" s="32" t="n">
        <v>46118</v>
      </c>
      <c r="E2067" s="8" t="n">
        <v>10</v>
      </c>
      <c r="F2067" s="8" t="str">
        <f aca="false">IF(E2067&gt;=9,"Promoter",IF(E2067&gt;=7,"Passive","Detractor"))</f>
        <v>Promoter</v>
      </c>
    </row>
    <row r="2068" customFormat="false" ht="15" hidden="false" customHeight="false" outlineLevel="0" collapsed="false">
      <c r="A2068" s="8" t="s">
        <v>6691</v>
      </c>
      <c r="B2068" s="8" t="s">
        <v>1843</v>
      </c>
      <c r="C2068" s="8" t="s">
        <v>51</v>
      </c>
      <c r="D2068" s="32" t="n">
        <v>46118</v>
      </c>
      <c r="E2068" s="8" t="n">
        <v>10</v>
      </c>
      <c r="F2068" s="8" t="str">
        <f aca="false">IF(E2068&gt;=9,"Promoter",IF(E2068&gt;=7,"Passive","Detractor"))</f>
        <v>Promoter</v>
      </c>
    </row>
    <row r="2069" customFormat="false" ht="15" hidden="false" customHeight="false" outlineLevel="0" collapsed="false">
      <c r="A2069" s="8" t="s">
        <v>6692</v>
      </c>
      <c r="B2069" s="8" t="s">
        <v>3412</v>
      </c>
      <c r="C2069" s="8" t="s">
        <v>51</v>
      </c>
      <c r="D2069" s="32" t="n">
        <v>46118</v>
      </c>
      <c r="E2069" s="8" t="n">
        <v>10</v>
      </c>
      <c r="F2069" s="8" t="str">
        <f aca="false">IF(E2069&gt;=9,"Promoter",IF(E2069&gt;=7,"Passive","Detractor"))</f>
        <v>Promoter</v>
      </c>
    </row>
    <row r="2070" customFormat="false" ht="15" hidden="false" customHeight="false" outlineLevel="0" collapsed="false">
      <c r="A2070" s="8" t="s">
        <v>6693</v>
      </c>
      <c r="B2070" s="8" t="s">
        <v>827</v>
      </c>
      <c r="C2070" s="8" t="s">
        <v>53</v>
      </c>
      <c r="D2070" s="32" t="n">
        <v>46118</v>
      </c>
      <c r="E2070" s="8" t="n">
        <v>10</v>
      </c>
      <c r="F2070" s="8" t="str">
        <f aca="false">IF(E2070&gt;=9,"Promoter",IF(E2070&gt;=7,"Passive","Detractor"))</f>
        <v>Promoter</v>
      </c>
    </row>
    <row r="2071" customFormat="false" ht="15" hidden="false" customHeight="false" outlineLevel="0" collapsed="false">
      <c r="A2071" s="8" t="s">
        <v>6694</v>
      </c>
      <c r="B2071" s="8" t="s">
        <v>2076</v>
      </c>
      <c r="C2071" s="8" t="s">
        <v>51</v>
      </c>
      <c r="D2071" s="32" t="n">
        <v>46118</v>
      </c>
      <c r="E2071" s="8" t="n">
        <v>9</v>
      </c>
      <c r="F2071" s="8" t="str">
        <f aca="false">IF(E2071&gt;=9,"Promoter",IF(E2071&gt;=7,"Passive","Detractor"))</f>
        <v>Promoter</v>
      </c>
    </row>
    <row r="2072" customFormat="false" ht="15" hidden="false" customHeight="false" outlineLevel="0" collapsed="false">
      <c r="A2072" s="8" t="s">
        <v>6695</v>
      </c>
      <c r="B2072" s="8" t="s">
        <v>637</v>
      </c>
      <c r="C2072" s="8" t="s">
        <v>55</v>
      </c>
      <c r="D2072" s="32" t="n">
        <v>46118</v>
      </c>
      <c r="E2072" s="8" t="n">
        <v>10</v>
      </c>
      <c r="F2072" s="8" t="str">
        <f aca="false">IF(E2072&gt;=9,"Promoter",IF(E2072&gt;=7,"Passive","Detractor"))</f>
        <v>Promoter</v>
      </c>
    </row>
    <row r="2073" customFormat="false" ht="15" hidden="false" customHeight="false" outlineLevel="0" collapsed="false">
      <c r="A2073" s="8" t="s">
        <v>6696</v>
      </c>
      <c r="B2073" s="8" t="s">
        <v>4370</v>
      </c>
      <c r="C2073" s="8" t="s">
        <v>51</v>
      </c>
      <c r="D2073" s="32" t="n">
        <v>46118</v>
      </c>
      <c r="E2073" s="8" t="n">
        <v>5</v>
      </c>
      <c r="F2073" s="8" t="str">
        <f aca="false">IF(E2073&gt;=9,"Promoter",IF(E2073&gt;=7,"Passive","Detractor"))</f>
        <v>Detractor</v>
      </c>
    </row>
    <row r="2074" customFormat="false" ht="15" hidden="false" customHeight="false" outlineLevel="0" collapsed="false">
      <c r="A2074" s="8" t="s">
        <v>6697</v>
      </c>
      <c r="B2074" s="8" t="s">
        <v>2112</v>
      </c>
      <c r="C2074" s="8" t="s">
        <v>51</v>
      </c>
      <c r="D2074" s="32" t="n">
        <v>46118</v>
      </c>
      <c r="E2074" s="8" t="n">
        <v>10</v>
      </c>
      <c r="F2074" s="8" t="str">
        <f aca="false">IF(E2074&gt;=9,"Promoter",IF(E2074&gt;=7,"Passive","Detractor"))</f>
        <v>Promoter</v>
      </c>
    </row>
    <row r="2075" customFormat="false" ht="15" hidden="false" customHeight="false" outlineLevel="0" collapsed="false">
      <c r="A2075" s="8" t="s">
        <v>6698</v>
      </c>
      <c r="B2075" s="8" t="s">
        <v>1627</v>
      </c>
      <c r="C2075" s="8" t="s">
        <v>53</v>
      </c>
      <c r="D2075" s="32" t="n">
        <v>46118</v>
      </c>
      <c r="E2075" s="8" t="n">
        <v>9</v>
      </c>
      <c r="F2075" s="8" t="str">
        <f aca="false">IF(E2075&gt;=9,"Promoter",IF(E2075&gt;=7,"Passive","Detractor"))</f>
        <v>Promoter</v>
      </c>
    </row>
    <row r="2076" customFormat="false" ht="15" hidden="false" customHeight="false" outlineLevel="0" collapsed="false">
      <c r="A2076" s="8" t="s">
        <v>6699</v>
      </c>
      <c r="B2076" s="8" t="s">
        <v>2480</v>
      </c>
      <c r="C2076" s="8" t="s">
        <v>51</v>
      </c>
      <c r="D2076" s="32" t="n">
        <v>46118</v>
      </c>
      <c r="E2076" s="8" t="n">
        <v>7</v>
      </c>
      <c r="F2076" s="8" t="str">
        <f aca="false">IF(E2076&gt;=9,"Promoter",IF(E2076&gt;=7,"Passive","Detractor"))</f>
        <v>Passive</v>
      </c>
    </row>
    <row r="2077" customFormat="false" ht="15" hidden="false" customHeight="false" outlineLevel="0" collapsed="false">
      <c r="A2077" s="8" t="s">
        <v>6700</v>
      </c>
      <c r="B2077" s="8" t="s">
        <v>2628</v>
      </c>
      <c r="C2077" s="8" t="s">
        <v>51</v>
      </c>
      <c r="D2077" s="32" t="n">
        <v>46118</v>
      </c>
      <c r="E2077" s="8" t="n">
        <v>8</v>
      </c>
      <c r="F2077" s="8" t="str">
        <f aca="false">IF(E2077&gt;=9,"Promoter",IF(E2077&gt;=7,"Passive","Detractor"))</f>
        <v>Passive</v>
      </c>
    </row>
    <row r="2078" customFormat="false" ht="15" hidden="false" customHeight="false" outlineLevel="0" collapsed="false">
      <c r="A2078" s="8" t="s">
        <v>6701</v>
      </c>
      <c r="B2078" s="8" t="s">
        <v>2350</v>
      </c>
      <c r="C2078" s="8" t="s">
        <v>51</v>
      </c>
      <c r="D2078" s="32" t="n">
        <v>46118</v>
      </c>
      <c r="E2078" s="8" t="n">
        <v>7</v>
      </c>
      <c r="F2078" s="8" t="str">
        <f aca="false">IF(E2078&gt;=9,"Promoter",IF(E2078&gt;=7,"Passive","Detractor"))</f>
        <v>Passive</v>
      </c>
    </row>
    <row r="2079" customFormat="false" ht="15" hidden="false" customHeight="false" outlineLevel="0" collapsed="false">
      <c r="A2079" s="8" t="s">
        <v>6702</v>
      </c>
      <c r="B2079" s="8" t="s">
        <v>915</v>
      </c>
      <c r="C2079" s="8" t="s">
        <v>53</v>
      </c>
      <c r="D2079" s="32" t="n">
        <v>46119</v>
      </c>
      <c r="E2079" s="8" t="n">
        <v>9</v>
      </c>
      <c r="F2079" s="8" t="str">
        <f aca="false">IF(E2079&gt;=9,"Promoter",IF(E2079&gt;=7,"Passive","Detractor"))</f>
        <v>Promoter</v>
      </c>
    </row>
    <row r="2080" customFormat="false" ht="15" hidden="false" customHeight="false" outlineLevel="0" collapsed="false">
      <c r="A2080" s="8" t="s">
        <v>6703</v>
      </c>
      <c r="B2080" s="8" t="s">
        <v>2326</v>
      </c>
      <c r="C2080" s="8" t="s">
        <v>51</v>
      </c>
      <c r="D2080" s="32" t="n">
        <v>46119</v>
      </c>
      <c r="E2080" s="8" t="n">
        <v>10</v>
      </c>
      <c r="F2080" s="8" t="str">
        <f aca="false">IF(E2080&gt;=9,"Promoter",IF(E2080&gt;=7,"Passive","Detractor"))</f>
        <v>Promoter</v>
      </c>
    </row>
    <row r="2081" customFormat="false" ht="15" hidden="false" customHeight="false" outlineLevel="0" collapsed="false">
      <c r="A2081" s="8" t="s">
        <v>6704</v>
      </c>
      <c r="B2081" s="8" t="s">
        <v>2978</v>
      </c>
      <c r="C2081" s="8" t="s">
        <v>51</v>
      </c>
      <c r="D2081" s="32" t="n">
        <v>46119</v>
      </c>
      <c r="E2081" s="8" t="n">
        <v>6</v>
      </c>
      <c r="F2081" s="8" t="str">
        <f aca="false">IF(E2081&gt;=9,"Promoter",IF(E2081&gt;=7,"Passive","Detractor"))</f>
        <v>Detractor</v>
      </c>
    </row>
    <row r="2082" customFormat="false" ht="15" hidden="false" customHeight="false" outlineLevel="0" collapsed="false">
      <c r="A2082" s="8" t="s">
        <v>6705</v>
      </c>
      <c r="B2082" s="8" t="s">
        <v>2738</v>
      </c>
      <c r="C2082" s="8" t="s">
        <v>51</v>
      </c>
      <c r="D2082" s="32" t="n">
        <v>46119</v>
      </c>
      <c r="E2082" s="8" t="n">
        <v>8</v>
      </c>
      <c r="F2082" s="8" t="str">
        <f aca="false">IF(E2082&gt;=9,"Promoter",IF(E2082&gt;=7,"Passive","Detractor"))</f>
        <v>Passive</v>
      </c>
    </row>
    <row r="2083" customFormat="false" ht="15" hidden="false" customHeight="false" outlineLevel="0" collapsed="false">
      <c r="A2083" s="8" t="s">
        <v>6706</v>
      </c>
      <c r="B2083" s="8" t="s">
        <v>1875</v>
      </c>
      <c r="C2083" s="8" t="s">
        <v>51</v>
      </c>
      <c r="D2083" s="32" t="n">
        <v>46119</v>
      </c>
      <c r="E2083" s="8" t="n">
        <v>10</v>
      </c>
      <c r="F2083" s="8" t="str">
        <f aca="false">IF(E2083&gt;=9,"Promoter",IF(E2083&gt;=7,"Passive","Detractor"))</f>
        <v>Promoter</v>
      </c>
    </row>
    <row r="2084" customFormat="false" ht="15" hidden="false" customHeight="false" outlineLevel="0" collapsed="false">
      <c r="A2084" s="8" t="s">
        <v>6707</v>
      </c>
      <c r="B2084" s="8" t="s">
        <v>611</v>
      </c>
      <c r="C2084" s="8" t="s">
        <v>55</v>
      </c>
      <c r="D2084" s="32" t="n">
        <v>46119</v>
      </c>
      <c r="E2084" s="8" t="n">
        <v>9</v>
      </c>
      <c r="F2084" s="8" t="str">
        <f aca="false">IF(E2084&gt;=9,"Promoter",IF(E2084&gt;=7,"Passive","Detractor"))</f>
        <v>Promoter</v>
      </c>
    </row>
    <row r="2085" customFormat="false" ht="15" hidden="false" customHeight="false" outlineLevel="0" collapsed="false">
      <c r="A2085" s="8" t="s">
        <v>6708</v>
      </c>
      <c r="B2085" s="8" t="s">
        <v>3606</v>
      </c>
      <c r="C2085" s="8" t="s">
        <v>51</v>
      </c>
      <c r="D2085" s="32" t="n">
        <v>46119</v>
      </c>
      <c r="E2085" s="8" t="n">
        <v>10</v>
      </c>
      <c r="F2085" s="8" t="str">
        <f aca="false">IF(E2085&gt;=9,"Promoter",IF(E2085&gt;=7,"Passive","Detractor"))</f>
        <v>Promoter</v>
      </c>
    </row>
    <row r="2086" customFormat="false" ht="15" hidden="false" customHeight="false" outlineLevel="0" collapsed="false">
      <c r="A2086" s="8" t="s">
        <v>6709</v>
      </c>
      <c r="B2086" s="8" t="s">
        <v>1537</v>
      </c>
      <c r="C2086" s="8" t="s">
        <v>53</v>
      </c>
      <c r="D2086" s="32" t="n">
        <v>46119</v>
      </c>
      <c r="E2086" s="8" t="n">
        <v>10</v>
      </c>
      <c r="F2086" s="8" t="str">
        <f aca="false">IF(E2086&gt;=9,"Promoter",IF(E2086&gt;=7,"Passive","Detractor"))</f>
        <v>Promoter</v>
      </c>
    </row>
    <row r="2087" customFormat="false" ht="15" hidden="false" customHeight="false" outlineLevel="0" collapsed="false">
      <c r="A2087" s="8" t="s">
        <v>6710</v>
      </c>
      <c r="B2087" s="8" t="s">
        <v>1079</v>
      </c>
      <c r="C2087" s="8" t="s">
        <v>53</v>
      </c>
      <c r="D2087" s="32" t="n">
        <v>46119</v>
      </c>
      <c r="E2087" s="8" t="n">
        <v>8</v>
      </c>
      <c r="F2087" s="8" t="str">
        <f aca="false">IF(E2087&gt;=9,"Promoter",IF(E2087&gt;=7,"Passive","Detractor"))</f>
        <v>Passive</v>
      </c>
    </row>
    <row r="2088" customFormat="false" ht="15" hidden="false" customHeight="false" outlineLevel="0" collapsed="false">
      <c r="A2088" s="8" t="s">
        <v>6711</v>
      </c>
      <c r="B2088" s="8" t="s">
        <v>4036</v>
      </c>
      <c r="C2088" s="8" t="s">
        <v>51</v>
      </c>
      <c r="D2088" s="32" t="n">
        <v>46119</v>
      </c>
      <c r="E2088" s="8" t="n">
        <v>7</v>
      </c>
      <c r="F2088" s="8" t="str">
        <f aca="false">IF(E2088&gt;=9,"Promoter",IF(E2088&gt;=7,"Passive","Detractor"))</f>
        <v>Passive</v>
      </c>
    </row>
    <row r="2089" customFormat="false" ht="15" hidden="false" customHeight="false" outlineLevel="0" collapsed="false">
      <c r="A2089" s="8" t="s">
        <v>6712</v>
      </c>
      <c r="B2089" s="8" t="s">
        <v>1813</v>
      </c>
      <c r="C2089" s="8" t="s">
        <v>51</v>
      </c>
      <c r="D2089" s="32" t="n">
        <v>46119</v>
      </c>
      <c r="E2089" s="8" t="n">
        <v>7</v>
      </c>
      <c r="F2089" s="8" t="str">
        <f aca="false">IF(E2089&gt;=9,"Promoter",IF(E2089&gt;=7,"Passive","Detractor"))</f>
        <v>Passive</v>
      </c>
    </row>
    <row r="2090" customFormat="false" ht="15" hidden="false" customHeight="false" outlineLevel="0" collapsed="false">
      <c r="A2090" s="8" t="s">
        <v>6713</v>
      </c>
      <c r="B2090" s="8" t="s">
        <v>2102</v>
      </c>
      <c r="C2090" s="8" t="s">
        <v>51</v>
      </c>
      <c r="D2090" s="32" t="n">
        <v>46119</v>
      </c>
      <c r="E2090" s="8" t="n">
        <v>6</v>
      </c>
      <c r="F2090" s="8" t="str">
        <f aca="false">IF(E2090&gt;=9,"Promoter",IF(E2090&gt;=7,"Passive","Detractor"))</f>
        <v>Detractor</v>
      </c>
    </row>
    <row r="2091" customFormat="false" ht="15" hidden="false" customHeight="false" outlineLevel="0" collapsed="false">
      <c r="A2091" s="8" t="s">
        <v>6714</v>
      </c>
      <c r="B2091" s="8" t="s">
        <v>4448</v>
      </c>
      <c r="C2091" s="8" t="s">
        <v>53</v>
      </c>
      <c r="D2091" s="32" t="n">
        <v>46119</v>
      </c>
      <c r="E2091" s="8" t="n">
        <v>8</v>
      </c>
      <c r="F2091" s="8" t="str">
        <f aca="false">IF(E2091&gt;=9,"Promoter",IF(E2091&gt;=7,"Passive","Detractor"))</f>
        <v>Passive</v>
      </c>
    </row>
    <row r="2092" customFormat="false" ht="15" hidden="false" customHeight="false" outlineLevel="0" collapsed="false">
      <c r="A2092" s="8" t="s">
        <v>6715</v>
      </c>
      <c r="B2092" s="8" t="s">
        <v>1733</v>
      </c>
      <c r="C2092" s="8" t="s">
        <v>51</v>
      </c>
      <c r="D2092" s="32" t="n">
        <v>46119</v>
      </c>
      <c r="E2092" s="8" t="n">
        <v>10</v>
      </c>
      <c r="F2092" s="8" t="str">
        <f aca="false">IF(E2092&gt;=9,"Promoter",IF(E2092&gt;=7,"Passive","Detractor"))</f>
        <v>Promoter</v>
      </c>
    </row>
    <row r="2093" customFormat="false" ht="15" hidden="false" customHeight="false" outlineLevel="0" collapsed="false">
      <c r="A2093" s="8" t="s">
        <v>6716</v>
      </c>
      <c r="B2093" s="8" t="s">
        <v>1521</v>
      </c>
      <c r="C2093" s="8" t="s">
        <v>53</v>
      </c>
      <c r="D2093" s="32" t="n">
        <v>46119</v>
      </c>
      <c r="E2093" s="8" t="n">
        <v>8</v>
      </c>
      <c r="F2093" s="8" t="str">
        <f aca="false">IF(E2093&gt;=9,"Promoter",IF(E2093&gt;=7,"Passive","Detractor"))</f>
        <v>Passive</v>
      </c>
    </row>
    <row r="2094" customFormat="false" ht="15" hidden="false" customHeight="false" outlineLevel="0" collapsed="false">
      <c r="A2094" s="8" t="s">
        <v>6717</v>
      </c>
      <c r="B2094" s="8" t="s">
        <v>2960</v>
      </c>
      <c r="C2094" s="8" t="s">
        <v>51</v>
      </c>
      <c r="D2094" s="32" t="n">
        <v>46119</v>
      </c>
      <c r="E2094" s="8" t="n">
        <v>10</v>
      </c>
      <c r="F2094" s="8" t="str">
        <f aca="false">IF(E2094&gt;=9,"Promoter",IF(E2094&gt;=7,"Passive","Detractor"))</f>
        <v>Promoter</v>
      </c>
    </row>
    <row r="2095" customFormat="false" ht="15" hidden="false" customHeight="false" outlineLevel="0" collapsed="false">
      <c r="A2095" s="8" t="s">
        <v>6718</v>
      </c>
      <c r="B2095" s="8" t="s">
        <v>2198</v>
      </c>
      <c r="C2095" s="8" t="s">
        <v>51</v>
      </c>
      <c r="D2095" s="32" t="n">
        <v>46119</v>
      </c>
      <c r="E2095" s="8" t="n">
        <v>6</v>
      </c>
      <c r="F2095" s="8" t="str">
        <f aca="false">IF(E2095&gt;=9,"Promoter",IF(E2095&gt;=7,"Passive","Detractor"))</f>
        <v>Detractor</v>
      </c>
    </row>
    <row r="2096" customFormat="false" ht="15" hidden="false" customHeight="false" outlineLevel="0" collapsed="false">
      <c r="A2096" s="8" t="s">
        <v>6719</v>
      </c>
      <c r="B2096" s="8" t="s">
        <v>1707</v>
      </c>
      <c r="C2096" s="8" t="s">
        <v>53</v>
      </c>
      <c r="D2096" s="32" t="n">
        <v>46120</v>
      </c>
      <c r="E2096" s="8" t="n">
        <v>10</v>
      </c>
      <c r="F2096" s="8" t="str">
        <f aca="false">IF(E2096&gt;=9,"Promoter",IF(E2096&gt;=7,"Passive","Detractor"))</f>
        <v>Promoter</v>
      </c>
    </row>
    <row r="2097" customFormat="false" ht="15" hidden="false" customHeight="false" outlineLevel="0" collapsed="false">
      <c r="A2097" s="8" t="s">
        <v>6720</v>
      </c>
      <c r="B2097" s="8" t="s">
        <v>2408</v>
      </c>
      <c r="C2097" s="8" t="s">
        <v>51</v>
      </c>
      <c r="D2097" s="32" t="n">
        <v>46120</v>
      </c>
      <c r="E2097" s="8" t="n">
        <v>9</v>
      </c>
      <c r="F2097" s="8" t="str">
        <f aca="false">IF(E2097&gt;=9,"Promoter",IF(E2097&gt;=7,"Passive","Detractor"))</f>
        <v>Promoter</v>
      </c>
    </row>
    <row r="2098" customFormat="false" ht="15" hidden="false" customHeight="false" outlineLevel="0" collapsed="false">
      <c r="A2098" s="8" t="s">
        <v>6721</v>
      </c>
      <c r="B2098" s="8" t="s">
        <v>4534</v>
      </c>
      <c r="C2098" s="8" t="s">
        <v>51</v>
      </c>
      <c r="D2098" s="32" t="n">
        <v>46120</v>
      </c>
      <c r="E2098" s="8" t="n">
        <v>3</v>
      </c>
      <c r="F2098" s="8" t="str">
        <f aca="false">IF(E2098&gt;=9,"Promoter",IF(E2098&gt;=7,"Passive","Detractor"))</f>
        <v>Detractor</v>
      </c>
    </row>
    <row r="2099" customFormat="false" ht="15" hidden="false" customHeight="false" outlineLevel="0" collapsed="false">
      <c r="A2099" s="8" t="s">
        <v>6722</v>
      </c>
      <c r="B2099" s="8" t="s">
        <v>3026</v>
      </c>
      <c r="C2099" s="8" t="s">
        <v>51</v>
      </c>
      <c r="D2099" s="32" t="n">
        <v>46120</v>
      </c>
      <c r="E2099" s="8" t="n">
        <v>10</v>
      </c>
      <c r="F2099" s="8" t="str">
        <f aca="false">IF(E2099&gt;=9,"Promoter",IF(E2099&gt;=7,"Passive","Detractor"))</f>
        <v>Promoter</v>
      </c>
    </row>
    <row r="2100" customFormat="false" ht="15" hidden="false" customHeight="false" outlineLevel="0" collapsed="false">
      <c r="A2100" s="8" t="s">
        <v>6723</v>
      </c>
      <c r="B2100" s="8" t="s">
        <v>2678</v>
      </c>
      <c r="C2100" s="8" t="s">
        <v>51</v>
      </c>
      <c r="D2100" s="32" t="n">
        <v>46120</v>
      </c>
      <c r="E2100" s="8" t="n">
        <v>6</v>
      </c>
      <c r="F2100" s="8" t="str">
        <f aca="false">IF(E2100&gt;=9,"Promoter",IF(E2100&gt;=7,"Passive","Detractor"))</f>
        <v>Detractor</v>
      </c>
    </row>
    <row r="2101" customFormat="false" ht="15" hidden="false" customHeight="false" outlineLevel="0" collapsed="false">
      <c r="A2101" s="8" t="s">
        <v>6724</v>
      </c>
      <c r="B2101" s="8" t="s">
        <v>4532</v>
      </c>
      <c r="C2101" s="8" t="s">
        <v>51</v>
      </c>
      <c r="D2101" s="32" t="n">
        <v>46120</v>
      </c>
      <c r="E2101" s="8" t="n">
        <v>6</v>
      </c>
      <c r="F2101" s="8" t="str">
        <f aca="false">IF(E2101&gt;=9,"Promoter",IF(E2101&gt;=7,"Passive","Detractor"))</f>
        <v>Detractor</v>
      </c>
    </row>
    <row r="2102" customFormat="false" ht="15" hidden="false" customHeight="false" outlineLevel="0" collapsed="false">
      <c r="A2102" s="8" t="s">
        <v>6725</v>
      </c>
      <c r="B2102" s="8" t="s">
        <v>1001</v>
      </c>
      <c r="C2102" s="8" t="s">
        <v>53</v>
      </c>
      <c r="D2102" s="32" t="n">
        <v>46120</v>
      </c>
      <c r="E2102" s="8" t="n">
        <v>10</v>
      </c>
      <c r="F2102" s="8" t="str">
        <f aca="false">IF(E2102&gt;=9,"Promoter",IF(E2102&gt;=7,"Passive","Detractor"))</f>
        <v>Promoter</v>
      </c>
    </row>
    <row r="2103" customFormat="false" ht="15" hidden="false" customHeight="false" outlineLevel="0" collapsed="false">
      <c r="A2103" s="8" t="s">
        <v>6726</v>
      </c>
      <c r="B2103" s="8" t="s">
        <v>621</v>
      </c>
      <c r="C2103" s="8" t="s">
        <v>55</v>
      </c>
      <c r="D2103" s="32" t="n">
        <v>46120</v>
      </c>
      <c r="E2103" s="8" t="n">
        <v>9</v>
      </c>
      <c r="F2103" s="8" t="str">
        <f aca="false">IF(E2103&gt;=9,"Promoter",IF(E2103&gt;=7,"Passive","Detractor"))</f>
        <v>Promoter</v>
      </c>
    </row>
    <row r="2104" customFormat="false" ht="15" hidden="false" customHeight="false" outlineLevel="0" collapsed="false">
      <c r="A2104" s="8" t="s">
        <v>6727</v>
      </c>
      <c r="B2104" s="8" t="s">
        <v>3480</v>
      </c>
      <c r="C2104" s="8" t="s">
        <v>51</v>
      </c>
      <c r="D2104" s="32" t="n">
        <v>46120</v>
      </c>
      <c r="E2104" s="8" t="n">
        <v>10</v>
      </c>
      <c r="F2104" s="8" t="str">
        <f aca="false">IF(E2104&gt;=9,"Promoter",IF(E2104&gt;=7,"Passive","Detractor"))</f>
        <v>Promoter</v>
      </c>
    </row>
    <row r="2105" customFormat="false" ht="15" hidden="false" customHeight="false" outlineLevel="0" collapsed="false">
      <c r="A2105" s="8" t="s">
        <v>6728</v>
      </c>
      <c r="B2105" s="8" t="s">
        <v>499</v>
      </c>
      <c r="C2105" s="8" t="s">
        <v>55</v>
      </c>
      <c r="D2105" s="32" t="n">
        <v>46120</v>
      </c>
      <c r="E2105" s="8" t="n">
        <v>9</v>
      </c>
      <c r="F2105" s="8" t="str">
        <f aca="false">IF(E2105&gt;=9,"Promoter",IF(E2105&gt;=7,"Passive","Detractor"))</f>
        <v>Promoter</v>
      </c>
    </row>
    <row r="2106" customFormat="false" ht="15" hidden="false" customHeight="false" outlineLevel="0" collapsed="false">
      <c r="A2106" s="8" t="s">
        <v>6729</v>
      </c>
      <c r="B2106" s="8" t="s">
        <v>2800</v>
      </c>
      <c r="C2106" s="8" t="s">
        <v>51</v>
      </c>
      <c r="D2106" s="32" t="n">
        <v>46120</v>
      </c>
      <c r="E2106" s="8" t="n">
        <v>6</v>
      </c>
      <c r="F2106" s="8" t="str">
        <f aca="false">IF(E2106&gt;=9,"Promoter",IF(E2106&gt;=7,"Passive","Detractor"))</f>
        <v>Detractor</v>
      </c>
    </row>
    <row r="2107" customFormat="false" ht="15" hidden="false" customHeight="false" outlineLevel="0" collapsed="false">
      <c r="A2107" s="8" t="s">
        <v>6730</v>
      </c>
      <c r="B2107" s="8" t="s">
        <v>138</v>
      </c>
      <c r="C2107" s="8" t="s">
        <v>55</v>
      </c>
      <c r="D2107" s="32" t="n">
        <v>46120</v>
      </c>
      <c r="E2107" s="8" t="n">
        <v>10</v>
      </c>
      <c r="F2107" s="8" t="str">
        <f aca="false">IF(E2107&gt;=9,"Promoter",IF(E2107&gt;=7,"Passive","Detractor"))</f>
        <v>Promoter</v>
      </c>
    </row>
    <row r="2108" customFormat="false" ht="15" hidden="false" customHeight="false" outlineLevel="0" collapsed="false">
      <c r="A2108" s="8" t="s">
        <v>6731</v>
      </c>
      <c r="B2108" s="8" t="s">
        <v>3514</v>
      </c>
      <c r="C2108" s="8" t="s">
        <v>51</v>
      </c>
      <c r="D2108" s="32" t="n">
        <v>46120</v>
      </c>
      <c r="E2108" s="8" t="n">
        <v>9</v>
      </c>
      <c r="F2108" s="8" t="str">
        <f aca="false">IF(E2108&gt;=9,"Promoter",IF(E2108&gt;=7,"Passive","Detractor"))</f>
        <v>Promoter</v>
      </c>
    </row>
    <row r="2109" customFormat="false" ht="15" hidden="false" customHeight="false" outlineLevel="0" collapsed="false">
      <c r="A2109" s="8" t="s">
        <v>6732</v>
      </c>
      <c r="B2109" s="8" t="s">
        <v>1845</v>
      </c>
      <c r="C2109" s="8" t="s">
        <v>51</v>
      </c>
      <c r="D2109" s="32" t="n">
        <v>46120</v>
      </c>
      <c r="E2109" s="8" t="n">
        <v>9</v>
      </c>
      <c r="F2109" s="8" t="str">
        <f aca="false">IF(E2109&gt;=9,"Promoter",IF(E2109&gt;=7,"Passive","Detractor"))</f>
        <v>Promoter</v>
      </c>
    </row>
    <row r="2110" customFormat="false" ht="15" hidden="false" customHeight="false" outlineLevel="0" collapsed="false">
      <c r="A2110" s="8" t="s">
        <v>6733</v>
      </c>
      <c r="B2110" s="8" t="s">
        <v>2470</v>
      </c>
      <c r="C2110" s="8" t="s">
        <v>51</v>
      </c>
      <c r="D2110" s="32" t="n">
        <v>46120</v>
      </c>
      <c r="E2110" s="8" t="n">
        <v>9</v>
      </c>
      <c r="F2110" s="8" t="str">
        <f aca="false">IF(E2110&gt;=9,"Promoter",IF(E2110&gt;=7,"Passive","Detractor"))</f>
        <v>Promoter</v>
      </c>
    </row>
    <row r="2111" customFormat="false" ht="15" hidden="false" customHeight="false" outlineLevel="0" collapsed="false">
      <c r="A2111" s="8" t="s">
        <v>6734</v>
      </c>
      <c r="B2111" s="8" t="s">
        <v>4489</v>
      </c>
      <c r="C2111" s="8" t="s">
        <v>51</v>
      </c>
      <c r="D2111" s="32" t="n">
        <v>46120</v>
      </c>
      <c r="E2111" s="8" t="n">
        <v>2</v>
      </c>
      <c r="F2111" s="8" t="str">
        <f aca="false">IF(E2111&gt;=9,"Promoter",IF(E2111&gt;=7,"Passive","Detractor"))</f>
        <v>Detractor</v>
      </c>
    </row>
    <row r="2112" customFormat="false" ht="15" hidden="false" customHeight="false" outlineLevel="0" collapsed="false">
      <c r="A2112" s="8" t="s">
        <v>6735</v>
      </c>
      <c r="B2112" s="8" t="s">
        <v>1087</v>
      </c>
      <c r="C2112" s="8" t="s">
        <v>53</v>
      </c>
      <c r="D2112" s="32" t="n">
        <v>46120</v>
      </c>
      <c r="E2112" s="8" t="n">
        <v>6</v>
      </c>
      <c r="F2112" s="8" t="str">
        <f aca="false">IF(E2112&gt;=9,"Promoter",IF(E2112&gt;=7,"Passive","Detractor"))</f>
        <v>Detractor</v>
      </c>
    </row>
    <row r="2113" customFormat="false" ht="15" hidden="false" customHeight="false" outlineLevel="0" collapsed="false">
      <c r="A2113" s="8" t="s">
        <v>6736</v>
      </c>
      <c r="B2113" s="8" t="s">
        <v>3038</v>
      </c>
      <c r="C2113" s="8" t="s">
        <v>51</v>
      </c>
      <c r="D2113" s="32" t="n">
        <v>46120</v>
      </c>
      <c r="E2113" s="8" t="n">
        <v>6</v>
      </c>
      <c r="F2113" s="8" t="str">
        <f aca="false">IF(E2113&gt;=9,"Promoter",IF(E2113&gt;=7,"Passive","Detractor"))</f>
        <v>Detractor</v>
      </c>
    </row>
    <row r="2114" customFormat="false" ht="15" hidden="false" customHeight="false" outlineLevel="0" collapsed="false">
      <c r="A2114" s="8" t="s">
        <v>6737</v>
      </c>
      <c r="B2114" s="8" t="s">
        <v>1015</v>
      </c>
      <c r="C2114" s="8" t="s">
        <v>55</v>
      </c>
      <c r="D2114" s="32" t="n">
        <v>46121</v>
      </c>
      <c r="E2114" s="8" t="n">
        <v>8</v>
      </c>
      <c r="F2114" s="8" t="str">
        <f aca="false">IF(E2114&gt;=9,"Promoter",IF(E2114&gt;=7,"Passive","Detractor"))</f>
        <v>Passive</v>
      </c>
    </row>
    <row r="2115" customFormat="false" ht="15" hidden="false" customHeight="false" outlineLevel="0" collapsed="false">
      <c r="A2115" s="8" t="s">
        <v>6738</v>
      </c>
      <c r="B2115" s="8" t="s">
        <v>3040</v>
      </c>
      <c r="C2115" s="8" t="s">
        <v>51</v>
      </c>
      <c r="D2115" s="32" t="n">
        <v>46121</v>
      </c>
      <c r="E2115" s="8" t="n">
        <v>10</v>
      </c>
      <c r="F2115" s="8" t="str">
        <f aca="false">IF(E2115&gt;=9,"Promoter",IF(E2115&gt;=7,"Passive","Detractor"))</f>
        <v>Promoter</v>
      </c>
    </row>
    <row r="2116" customFormat="false" ht="15" hidden="false" customHeight="false" outlineLevel="0" collapsed="false">
      <c r="A2116" s="8" t="s">
        <v>6739</v>
      </c>
      <c r="B2116" s="8" t="s">
        <v>2005</v>
      </c>
      <c r="C2116" s="8" t="s">
        <v>51</v>
      </c>
      <c r="D2116" s="32" t="n">
        <v>46121</v>
      </c>
      <c r="E2116" s="8" t="n">
        <v>8</v>
      </c>
      <c r="F2116" s="8" t="str">
        <f aca="false">IF(E2116&gt;=9,"Promoter",IF(E2116&gt;=7,"Passive","Detractor"))</f>
        <v>Passive</v>
      </c>
    </row>
    <row r="2117" customFormat="false" ht="15" hidden="false" customHeight="false" outlineLevel="0" collapsed="false">
      <c r="A2117" s="8" t="s">
        <v>6740</v>
      </c>
      <c r="B2117" s="8" t="s">
        <v>2924</v>
      </c>
      <c r="C2117" s="8" t="s">
        <v>51</v>
      </c>
      <c r="D2117" s="32" t="n">
        <v>46121</v>
      </c>
      <c r="E2117" s="8" t="n">
        <v>5</v>
      </c>
      <c r="F2117" s="8" t="str">
        <f aca="false">IF(E2117&gt;=9,"Promoter",IF(E2117&gt;=7,"Passive","Detractor"))</f>
        <v>Detractor</v>
      </c>
    </row>
    <row r="2118" customFormat="false" ht="15" hidden="false" customHeight="false" outlineLevel="0" collapsed="false">
      <c r="A2118" s="8" t="s">
        <v>6741</v>
      </c>
      <c r="B2118" s="8" t="s">
        <v>1591</v>
      </c>
      <c r="C2118" s="8" t="s">
        <v>53</v>
      </c>
      <c r="D2118" s="32" t="n">
        <v>46121</v>
      </c>
      <c r="E2118" s="8" t="n">
        <v>8</v>
      </c>
      <c r="F2118" s="8" t="str">
        <f aca="false">IF(E2118&gt;=9,"Promoter",IF(E2118&gt;=7,"Passive","Detractor"))</f>
        <v>Passive</v>
      </c>
    </row>
    <row r="2119" customFormat="false" ht="15" hidden="false" customHeight="false" outlineLevel="0" collapsed="false">
      <c r="A2119" s="8" t="s">
        <v>6742</v>
      </c>
      <c r="B2119" s="8" t="s">
        <v>1739</v>
      </c>
      <c r="C2119" s="8" t="s">
        <v>51</v>
      </c>
      <c r="D2119" s="32" t="n">
        <v>46121</v>
      </c>
      <c r="E2119" s="8" t="n">
        <v>8</v>
      </c>
      <c r="F2119" s="8" t="str">
        <f aca="false">IF(E2119&gt;=9,"Promoter",IF(E2119&gt;=7,"Passive","Detractor"))</f>
        <v>Passive</v>
      </c>
    </row>
    <row r="2120" customFormat="false" ht="15" hidden="false" customHeight="false" outlineLevel="0" collapsed="false">
      <c r="A2120" s="8" t="s">
        <v>6743</v>
      </c>
      <c r="B2120" s="8" t="s">
        <v>3550</v>
      </c>
      <c r="C2120" s="8" t="s">
        <v>51</v>
      </c>
      <c r="D2120" s="32" t="n">
        <v>46121</v>
      </c>
      <c r="E2120" s="8" t="n">
        <v>7</v>
      </c>
      <c r="F2120" s="8" t="str">
        <f aca="false">IF(E2120&gt;=9,"Promoter",IF(E2120&gt;=7,"Passive","Detractor"))</f>
        <v>Passive</v>
      </c>
    </row>
    <row r="2121" customFormat="false" ht="15" hidden="false" customHeight="false" outlineLevel="0" collapsed="false">
      <c r="A2121" s="8" t="s">
        <v>6744</v>
      </c>
      <c r="B2121" s="8" t="s">
        <v>2934</v>
      </c>
      <c r="C2121" s="8" t="s">
        <v>51</v>
      </c>
      <c r="D2121" s="32" t="n">
        <v>46121</v>
      </c>
      <c r="E2121" s="8" t="n">
        <v>10</v>
      </c>
      <c r="F2121" s="8" t="str">
        <f aca="false">IF(E2121&gt;=9,"Promoter",IF(E2121&gt;=7,"Passive","Detractor"))</f>
        <v>Promoter</v>
      </c>
    </row>
    <row r="2122" customFormat="false" ht="15" hidden="false" customHeight="false" outlineLevel="0" collapsed="false">
      <c r="A2122" s="8" t="s">
        <v>6745</v>
      </c>
      <c r="B2122" s="8" t="s">
        <v>4350</v>
      </c>
      <c r="C2122" s="8" t="s">
        <v>51</v>
      </c>
      <c r="D2122" s="32" t="n">
        <v>46121</v>
      </c>
      <c r="E2122" s="8" t="n">
        <v>10</v>
      </c>
      <c r="F2122" s="8" t="str">
        <f aca="false">IF(E2122&gt;=9,"Promoter",IF(E2122&gt;=7,"Passive","Detractor"))</f>
        <v>Promoter</v>
      </c>
    </row>
    <row r="2123" customFormat="false" ht="15" hidden="false" customHeight="false" outlineLevel="0" collapsed="false">
      <c r="A2123" s="8" t="s">
        <v>6746</v>
      </c>
      <c r="B2123" s="8" t="s">
        <v>1983</v>
      </c>
      <c r="C2123" s="8" t="s">
        <v>51</v>
      </c>
      <c r="D2123" s="32" t="n">
        <v>46121</v>
      </c>
      <c r="E2123" s="8" t="n">
        <v>10</v>
      </c>
      <c r="F2123" s="8" t="str">
        <f aca="false">IF(E2123&gt;=9,"Promoter",IF(E2123&gt;=7,"Passive","Detractor"))</f>
        <v>Promoter</v>
      </c>
    </row>
    <row r="2124" customFormat="false" ht="15" hidden="false" customHeight="false" outlineLevel="0" collapsed="false">
      <c r="A2124" s="8" t="s">
        <v>6747</v>
      </c>
      <c r="B2124" s="8" t="s">
        <v>619</v>
      </c>
      <c r="C2124" s="8" t="s">
        <v>53</v>
      </c>
      <c r="D2124" s="32" t="n">
        <v>46121</v>
      </c>
      <c r="E2124" s="8" t="n">
        <v>10</v>
      </c>
      <c r="F2124" s="8" t="str">
        <f aca="false">IF(E2124&gt;=9,"Promoter",IF(E2124&gt;=7,"Passive","Detractor"))</f>
        <v>Promoter</v>
      </c>
    </row>
    <row r="2125" customFormat="false" ht="15" hidden="false" customHeight="false" outlineLevel="0" collapsed="false">
      <c r="A2125" s="8" t="s">
        <v>6748</v>
      </c>
      <c r="B2125" s="8" t="s">
        <v>4236</v>
      </c>
      <c r="C2125" s="8" t="s">
        <v>51</v>
      </c>
      <c r="D2125" s="32" t="n">
        <v>46121</v>
      </c>
      <c r="E2125" s="8" t="n">
        <v>8</v>
      </c>
      <c r="F2125" s="8" t="str">
        <f aca="false">IF(E2125&gt;=9,"Promoter",IF(E2125&gt;=7,"Passive","Detractor"))</f>
        <v>Passive</v>
      </c>
    </row>
    <row r="2126" customFormat="false" ht="15" hidden="false" customHeight="false" outlineLevel="0" collapsed="false">
      <c r="A2126" s="8" t="s">
        <v>6749</v>
      </c>
      <c r="B2126" s="8" t="s">
        <v>423</v>
      </c>
      <c r="C2126" s="8" t="s">
        <v>55</v>
      </c>
      <c r="D2126" s="32" t="n">
        <v>46121</v>
      </c>
      <c r="E2126" s="8" t="n">
        <v>8</v>
      </c>
      <c r="F2126" s="8" t="str">
        <f aca="false">IF(E2126&gt;=9,"Promoter",IF(E2126&gt;=7,"Passive","Detractor"))</f>
        <v>Passive</v>
      </c>
    </row>
    <row r="2127" customFormat="false" ht="15" hidden="false" customHeight="false" outlineLevel="0" collapsed="false">
      <c r="A2127" s="8" t="s">
        <v>6750</v>
      </c>
      <c r="B2127" s="8" t="s">
        <v>3172</v>
      </c>
      <c r="C2127" s="8" t="s">
        <v>51</v>
      </c>
      <c r="D2127" s="32" t="n">
        <v>46121</v>
      </c>
      <c r="E2127" s="8" t="n">
        <v>7</v>
      </c>
      <c r="F2127" s="8" t="str">
        <f aca="false">IF(E2127&gt;=9,"Promoter",IF(E2127&gt;=7,"Passive","Detractor"))</f>
        <v>Passive</v>
      </c>
    </row>
    <row r="2128" customFormat="false" ht="15" hidden="false" customHeight="false" outlineLevel="0" collapsed="false">
      <c r="A2128" s="8" t="s">
        <v>6751</v>
      </c>
      <c r="B2128" s="8" t="s">
        <v>3934</v>
      </c>
      <c r="C2128" s="8" t="s">
        <v>51</v>
      </c>
      <c r="D2128" s="32" t="n">
        <v>46121</v>
      </c>
      <c r="E2128" s="8" t="n">
        <v>7</v>
      </c>
      <c r="F2128" s="8" t="str">
        <f aca="false">IF(E2128&gt;=9,"Promoter",IF(E2128&gt;=7,"Passive","Detractor"))</f>
        <v>Passive</v>
      </c>
    </row>
    <row r="2129" customFormat="false" ht="15" hidden="false" customHeight="false" outlineLevel="0" collapsed="false">
      <c r="A2129" s="8" t="s">
        <v>6752</v>
      </c>
      <c r="B2129" s="8" t="s">
        <v>1721</v>
      </c>
      <c r="C2129" s="8" t="s">
        <v>53</v>
      </c>
      <c r="D2129" s="32" t="n">
        <v>46121</v>
      </c>
      <c r="E2129" s="8" t="n">
        <v>4</v>
      </c>
      <c r="F2129" s="8" t="str">
        <f aca="false">IF(E2129&gt;=9,"Promoter",IF(E2129&gt;=7,"Passive","Detractor"))</f>
        <v>Detractor</v>
      </c>
    </row>
    <row r="2130" customFormat="false" ht="15" hidden="false" customHeight="false" outlineLevel="0" collapsed="false">
      <c r="A2130" s="8" t="s">
        <v>6753</v>
      </c>
      <c r="B2130" s="8" t="s">
        <v>2458</v>
      </c>
      <c r="C2130" s="8" t="s">
        <v>51</v>
      </c>
      <c r="D2130" s="32" t="n">
        <v>46121</v>
      </c>
      <c r="E2130" s="8" t="n">
        <v>8</v>
      </c>
      <c r="F2130" s="8" t="str">
        <f aca="false">IF(E2130&gt;=9,"Promoter",IF(E2130&gt;=7,"Passive","Detractor"))</f>
        <v>Passive</v>
      </c>
    </row>
    <row r="2131" customFormat="false" ht="15" hidden="false" customHeight="false" outlineLevel="0" collapsed="false">
      <c r="A2131" s="8" t="s">
        <v>6754</v>
      </c>
      <c r="B2131" s="8" t="s">
        <v>2262</v>
      </c>
      <c r="C2131" s="8" t="s">
        <v>51</v>
      </c>
      <c r="D2131" s="32" t="n">
        <v>46121</v>
      </c>
      <c r="E2131" s="8" t="n">
        <v>8</v>
      </c>
      <c r="F2131" s="8" t="str">
        <f aca="false">IF(E2131&gt;=9,"Promoter",IF(E2131&gt;=7,"Passive","Detractor"))</f>
        <v>Passive</v>
      </c>
    </row>
    <row r="2132" customFormat="false" ht="15" hidden="false" customHeight="false" outlineLevel="0" collapsed="false">
      <c r="A2132" s="8" t="s">
        <v>6755</v>
      </c>
      <c r="B2132" s="8" t="s">
        <v>761</v>
      </c>
      <c r="C2132" s="8" t="s">
        <v>55</v>
      </c>
      <c r="D2132" s="32" t="n">
        <v>46121</v>
      </c>
      <c r="E2132" s="8" t="n">
        <v>7</v>
      </c>
      <c r="F2132" s="8" t="str">
        <f aca="false">IF(E2132&gt;=9,"Promoter",IF(E2132&gt;=7,"Passive","Detractor"))</f>
        <v>Passive</v>
      </c>
    </row>
    <row r="2133" customFormat="false" ht="15" hidden="false" customHeight="false" outlineLevel="0" collapsed="false">
      <c r="A2133" s="8" t="s">
        <v>6756</v>
      </c>
      <c r="B2133" s="8" t="s">
        <v>2246</v>
      </c>
      <c r="C2133" s="8" t="s">
        <v>51</v>
      </c>
      <c r="D2133" s="32" t="n">
        <v>46121</v>
      </c>
      <c r="E2133" s="8" t="n">
        <v>7</v>
      </c>
      <c r="F2133" s="8" t="str">
        <f aca="false">IF(E2133&gt;=9,"Promoter",IF(E2133&gt;=7,"Passive","Detractor"))</f>
        <v>Passive</v>
      </c>
    </row>
    <row r="2134" customFormat="false" ht="15" hidden="false" customHeight="false" outlineLevel="0" collapsed="false">
      <c r="A2134" s="8" t="s">
        <v>6757</v>
      </c>
      <c r="B2134" s="8" t="s">
        <v>3422</v>
      </c>
      <c r="C2134" s="8" t="s">
        <v>51</v>
      </c>
      <c r="D2134" s="32" t="n">
        <v>46121</v>
      </c>
      <c r="E2134" s="8" t="n">
        <v>8</v>
      </c>
      <c r="F2134" s="8" t="str">
        <f aca="false">IF(E2134&gt;=9,"Promoter",IF(E2134&gt;=7,"Passive","Detractor"))</f>
        <v>Passive</v>
      </c>
    </row>
    <row r="2135" customFormat="false" ht="15" hidden="false" customHeight="false" outlineLevel="0" collapsed="false">
      <c r="A2135" s="8" t="s">
        <v>6758</v>
      </c>
      <c r="B2135" s="8" t="s">
        <v>3118</v>
      </c>
      <c r="C2135" s="8" t="s">
        <v>51</v>
      </c>
      <c r="D2135" s="32" t="n">
        <v>46121</v>
      </c>
      <c r="E2135" s="8" t="n">
        <v>9</v>
      </c>
      <c r="F2135" s="8" t="str">
        <f aca="false">IF(E2135&gt;=9,"Promoter",IF(E2135&gt;=7,"Passive","Detractor"))</f>
        <v>Promoter</v>
      </c>
    </row>
    <row r="2136" customFormat="false" ht="15" hidden="false" customHeight="false" outlineLevel="0" collapsed="false">
      <c r="A2136" s="8" t="s">
        <v>6759</v>
      </c>
      <c r="B2136" s="8" t="s">
        <v>373</v>
      </c>
      <c r="C2136" s="8" t="s">
        <v>55</v>
      </c>
      <c r="D2136" s="32" t="n">
        <v>46121</v>
      </c>
      <c r="E2136" s="8" t="n">
        <v>10</v>
      </c>
      <c r="F2136" s="8" t="str">
        <f aca="false">IF(E2136&gt;=9,"Promoter",IF(E2136&gt;=7,"Passive","Detractor"))</f>
        <v>Promoter</v>
      </c>
    </row>
    <row r="2137" customFormat="false" ht="15" hidden="false" customHeight="false" outlineLevel="0" collapsed="false">
      <c r="A2137" s="8" t="s">
        <v>6760</v>
      </c>
      <c r="B2137" s="8" t="s">
        <v>483</v>
      </c>
      <c r="C2137" s="8" t="s">
        <v>55</v>
      </c>
      <c r="D2137" s="32" t="n">
        <v>46121</v>
      </c>
      <c r="E2137" s="8" t="n">
        <v>10</v>
      </c>
      <c r="F2137" s="8" t="str">
        <f aca="false">IF(E2137&gt;=9,"Promoter",IF(E2137&gt;=7,"Passive","Detractor"))</f>
        <v>Promoter</v>
      </c>
    </row>
    <row r="2138" customFormat="false" ht="15" hidden="false" customHeight="false" outlineLevel="0" collapsed="false">
      <c r="A2138" s="8" t="s">
        <v>6761</v>
      </c>
      <c r="B2138" s="8" t="s">
        <v>2394</v>
      </c>
      <c r="C2138" s="8" t="s">
        <v>51</v>
      </c>
      <c r="D2138" s="32" t="n">
        <v>46121</v>
      </c>
      <c r="E2138" s="8" t="n">
        <v>8</v>
      </c>
      <c r="F2138" s="8" t="str">
        <f aca="false">IF(E2138&gt;=9,"Promoter",IF(E2138&gt;=7,"Passive","Detractor"))</f>
        <v>Passive</v>
      </c>
    </row>
    <row r="2139" customFormat="false" ht="15" hidden="false" customHeight="false" outlineLevel="0" collapsed="false">
      <c r="A2139" s="8" t="s">
        <v>6762</v>
      </c>
      <c r="B2139" s="8" t="s">
        <v>157</v>
      </c>
      <c r="C2139" s="8" t="s">
        <v>55</v>
      </c>
      <c r="D2139" s="32" t="n">
        <v>46121</v>
      </c>
      <c r="E2139" s="8" t="n">
        <v>8</v>
      </c>
      <c r="F2139" s="8" t="str">
        <f aca="false">IF(E2139&gt;=9,"Promoter",IF(E2139&gt;=7,"Passive","Detractor"))</f>
        <v>Passive</v>
      </c>
    </row>
    <row r="2140" customFormat="false" ht="15" hidden="false" customHeight="false" outlineLevel="0" collapsed="false">
      <c r="A2140" s="8" t="s">
        <v>6763</v>
      </c>
      <c r="B2140" s="8" t="s">
        <v>3540</v>
      </c>
      <c r="C2140" s="8" t="s">
        <v>51</v>
      </c>
      <c r="D2140" s="32" t="n">
        <v>46121</v>
      </c>
      <c r="E2140" s="8" t="n">
        <v>8</v>
      </c>
      <c r="F2140" s="8" t="str">
        <f aca="false">IF(E2140&gt;=9,"Promoter",IF(E2140&gt;=7,"Passive","Detractor"))</f>
        <v>Passive</v>
      </c>
    </row>
    <row r="2141" customFormat="false" ht="15" hidden="false" customHeight="false" outlineLevel="0" collapsed="false">
      <c r="A2141" s="8" t="s">
        <v>6764</v>
      </c>
      <c r="B2141" s="8" t="s">
        <v>4563</v>
      </c>
      <c r="C2141" s="8" t="s">
        <v>51</v>
      </c>
      <c r="D2141" s="32" t="n">
        <v>46121</v>
      </c>
      <c r="E2141" s="8" t="n">
        <v>4</v>
      </c>
      <c r="F2141" s="8" t="str">
        <f aca="false">IF(E2141&gt;=9,"Promoter",IF(E2141&gt;=7,"Passive","Detractor"))</f>
        <v>Detractor</v>
      </c>
    </row>
    <row r="2142" customFormat="false" ht="15" hidden="false" customHeight="false" outlineLevel="0" collapsed="false">
      <c r="A2142" s="8" t="s">
        <v>6765</v>
      </c>
      <c r="B2142" s="8" t="s">
        <v>2001</v>
      </c>
      <c r="C2142" s="8" t="s">
        <v>51</v>
      </c>
      <c r="D2142" s="32" t="n">
        <v>46122</v>
      </c>
      <c r="E2142" s="8" t="n">
        <v>8</v>
      </c>
      <c r="F2142" s="8" t="str">
        <f aca="false">IF(E2142&gt;=9,"Promoter",IF(E2142&gt;=7,"Passive","Detractor"))</f>
        <v>Passive</v>
      </c>
    </row>
    <row r="2143" customFormat="false" ht="15" hidden="false" customHeight="false" outlineLevel="0" collapsed="false">
      <c r="A2143" s="8" t="s">
        <v>6766</v>
      </c>
      <c r="B2143" s="8" t="s">
        <v>3648</v>
      </c>
      <c r="C2143" s="8" t="s">
        <v>51</v>
      </c>
      <c r="D2143" s="32" t="n">
        <v>46122</v>
      </c>
      <c r="E2143" s="8" t="n">
        <v>10</v>
      </c>
      <c r="F2143" s="8" t="str">
        <f aca="false">IF(E2143&gt;=9,"Promoter",IF(E2143&gt;=7,"Passive","Detractor"))</f>
        <v>Promoter</v>
      </c>
    </row>
    <row r="2144" customFormat="false" ht="15" hidden="false" customHeight="false" outlineLevel="0" collapsed="false">
      <c r="A2144" s="8" t="s">
        <v>6767</v>
      </c>
      <c r="B2144" s="8" t="s">
        <v>333</v>
      </c>
      <c r="C2144" s="8" t="s">
        <v>55</v>
      </c>
      <c r="D2144" s="32" t="n">
        <v>46122</v>
      </c>
      <c r="E2144" s="8" t="n">
        <v>7</v>
      </c>
      <c r="F2144" s="8" t="str">
        <f aca="false">IF(E2144&gt;=9,"Promoter",IF(E2144&gt;=7,"Passive","Detractor"))</f>
        <v>Passive</v>
      </c>
    </row>
    <row r="2145" customFormat="false" ht="15" hidden="false" customHeight="false" outlineLevel="0" collapsed="false">
      <c r="A2145" s="8" t="s">
        <v>6768</v>
      </c>
      <c r="B2145" s="8" t="s">
        <v>1259</v>
      </c>
      <c r="C2145" s="8" t="s">
        <v>53</v>
      </c>
      <c r="D2145" s="32" t="n">
        <v>46122</v>
      </c>
      <c r="E2145" s="8" t="n">
        <v>8</v>
      </c>
      <c r="F2145" s="8" t="str">
        <f aca="false">IF(E2145&gt;=9,"Promoter",IF(E2145&gt;=7,"Passive","Detractor"))</f>
        <v>Passive</v>
      </c>
    </row>
    <row r="2146" customFormat="false" ht="15" hidden="false" customHeight="false" outlineLevel="0" collapsed="false">
      <c r="A2146" s="8" t="s">
        <v>6769</v>
      </c>
      <c r="B2146" s="8" t="s">
        <v>999</v>
      </c>
      <c r="C2146" s="8" t="s">
        <v>53</v>
      </c>
      <c r="D2146" s="32" t="n">
        <v>46122</v>
      </c>
      <c r="E2146" s="8" t="n">
        <v>8</v>
      </c>
      <c r="F2146" s="8" t="str">
        <f aca="false">IF(E2146&gt;=9,"Promoter",IF(E2146&gt;=7,"Passive","Detractor"))</f>
        <v>Passive</v>
      </c>
    </row>
    <row r="2147" customFormat="false" ht="15" hidden="false" customHeight="false" outlineLevel="0" collapsed="false">
      <c r="A2147" s="8" t="s">
        <v>6770</v>
      </c>
      <c r="B2147" s="8" t="s">
        <v>1921</v>
      </c>
      <c r="C2147" s="8" t="s">
        <v>51</v>
      </c>
      <c r="D2147" s="32" t="n">
        <v>46122</v>
      </c>
      <c r="E2147" s="8" t="n">
        <v>9</v>
      </c>
      <c r="F2147" s="8" t="str">
        <f aca="false">IF(E2147&gt;=9,"Promoter",IF(E2147&gt;=7,"Passive","Detractor"))</f>
        <v>Promoter</v>
      </c>
    </row>
    <row r="2148" customFormat="false" ht="15" hidden="false" customHeight="false" outlineLevel="0" collapsed="false">
      <c r="A2148" s="8" t="s">
        <v>6771</v>
      </c>
      <c r="B2148" s="8" t="s">
        <v>3798</v>
      </c>
      <c r="C2148" s="8" t="s">
        <v>51</v>
      </c>
      <c r="D2148" s="32" t="n">
        <v>46122</v>
      </c>
      <c r="E2148" s="8" t="n">
        <v>5</v>
      </c>
      <c r="F2148" s="8" t="str">
        <f aca="false">IF(E2148&gt;=9,"Promoter",IF(E2148&gt;=7,"Passive","Detractor"))</f>
        <v>Detractor</v>
      </c>
    </row>
    <row r="2149" customFormat="false" ht="15" hidden="false" customHeight="false" outlineLevel="0" collapsed="false">
      <c r="A2149" s="8" t="s">
        <v>6772</v>
      </c>
      <c r="B2149" s="8" t="s">
        <v>4098</v>
      </c>
      <c r="C2149" s="8" t="s">
        <v>51</v>
      </c>
      <c r="D2149" s="32" t="n">
        <v>46122</v>
      </c>
      <c r="E2149" s="8" t="n">
        <v>9</v>
      </c>
      <c r="F2149" s="8" t="str">
        <f aca="false">IF(E2149&gt;=9,"Promoter",IF(E2149&gt;=7,"Passive","Detractor"))</f>
        <v>Promoter</v>
      </c>
    </row>
    <row r="2150" customFormat="false" ht="15" hidden="false" customHeight="false" outlineLevel="0" collapsed="false">
      <c r="A2150" s="8" t="s">
        <v>6773</v>
      </c>
      <c r="B2150" s="8" t="s">
        <v>209</v>
      </c>
      <c r="C2150" s="8" t="s">
        <v>55</v>
      </c>
      <c r="D2150" s="32" t="n">
        <v>46122</v>
      </c>
      <c r="E2150" s="8" t="n">
        <v>6</v>
      </c>
      <c r="F2150" s="8" t="str">
        <f aca="false">IF(E2150&gt;=9,"Promoter",IF(E2150&gt;=7,"Passive","Detractor"))</f>
        <v>Detractor</v>
      </c>
    </row>
    <row r="2151" customFormat="false" ht="15" hidden="false" customHeight="false" outlineLevel="0" collapsed="false">
      <c r="A2151" s="8" t="s">
        <v>6774</v>
      </c>
      <c r="B2151" s="8" t="s">
        <v>3064</v>
      </c>
      <c r="C2151" s="8" t="s">
        <v>51</v>
      </c>
      <c r="D2151" s="32" t="n">
        <v>46122</v>
      </c>
      <c r="E2151" s="8" t="n">
        <v>9</v>
      </c>
      <c r="F2151" s="8" t="str">
        <f aca="false">IF(E2151&gt;=9,"Promoter",IF(E2151&gt;=7,"Passive","Detractor"))</f>
        <v>Promoter</v>
      </c>
    </row>
    <row r="2152" customFormat="false" ht="15" hidden="false" customHeight="false" outlineLevel="0" collapsed="false">
      <c r="A2152" s="8" t="s">
        <v>6775</v>
      </c>
      <c r="B2152" s="8" t="s">
        <v>3566</v>
      </c>
      <c r="C2152" s="8" t="s">
        <v>51</v>
      </c>
      <c r="D2152" s="32" t="n">
        <v>46122</v>
      </c>
      <c r="E2152" s="8" t="n">
        <v>10</v>
      </c>
      <c r="F2152" s="8" t="str">
        <f aca="false">IF(E2152&gt;=9,"Promoter",IF(E2152&gt;=7,"Passive","Detractor"))</f>
        <v>Promoter</v>
      </c>
    </row>
    <row r="2153" customFormat="false" ht="15" hidden="false" customHeight="false" outlineLevel="0" collapsed="false">
      <c r="A2153" s="8" t="s">
        <v>6776</v>
      </c>
      <c r="B2153" s="8" t="s">
        <v>1199</v>
      </c>
      <c r="C2153" s="8" t="s">
        <v>53</v>
      </c>
      <c r="D2153" s="32" t="n">
        <v>46122</v>
      </c>
      <c r="E2153" s="8" t="n">
        <v>8</v>
      </c>
      <c r="F2153" s="8" t="str">
        <f aca="false">IF(E2153&gt;=9,"Promoter",IF(E2153&gt;=7,"Passive","Detractor"))</f>
        <v>Passive</v>
      </c>
    </row>
    <row r="2154" customFormat="false" ht="15" hidden="false" customHeight="false" outlineLevel="0" collapsed="false">
      <c r="A2154" s="8" t="s">
        <v>6777</v>
      </c>
      <c r="B2154" s="8" t="s">
        <v>479</v>
      </c>
      <c r="C2154" s="8" t="s">
        <v>55</v>
      </c>
      <c r="D2154" s="32" t="n">
        <v>46122</v>
      </c>
      <c r="E2154" s="8" t="n">
        <v>7</v>
      </c>
      <c r="F2154" s="8" t="str">
        <f aca="false">IF(E2154&gt;=9,"Promoter",IF(E2154&gt;=7,"Passive","Detractor"))</f>
        <v>Passive</v>
      </c>
    </row>
    <row r="2155" customFormat="false" ht="15" hidden="false" customHeight="false" outlineLevel="0" collapsed="false">
      <c r="A2155" s="8" t="s">
        <v>6778</v>
      </c>
      <c r="B2155" s="8" t="s">
        <v>2015</v>
      </c>
      <c r="C2155" s="8" t="s">
        <v>51</v>
      </c>
      <c r="D2155" s="32" t="n">
        <v>46122</v>
      </c>
      <c r="E2155" s="8" t="n">
        <v>7</v>
      </c>
      <c r="F2155" s="8" t="str">
        <f aca="false">IF(E2155&gt;=9,"Promoter",IF(E2155&gt;=7,"Passive","Detractor"))</f>
        <v>Passive</v>
      </c>
    </row>
    <row r="2156" customFormat="false" ht="15" hidden="false" customHeight="false" outlineLevel="0" collapsed="false">
      <c r="A2156" s="8" t="s">
        <v>6779</v>
      </c>
      <c r="B2156" s="8" t="s">
        <v>683</v>
      </c>
      <c r="C2156" s="8" t="s">
        <v>55</v>
      </c>
      <c r="D2156" s="32" t="n">
        <v>46122</v>
      </c>
      <c r="E2156" s="8" t="n">
        <v>7</v>
      </c>
      <c r="F2156" s="8" t="str">
        <f aca="false">IF(E2156&gt;=9,"Promoter",IF(E2156&gt;=7,"Passive","Detractor"))</f>
        <v>Passive</v>
      </c>
    </row>
    <row r="2157" customFormat="false" ht="15" hidden="false" customHeight="false" outlineLevel="0" collapsed="false">
      <c r="A2157" s="8" t="s">
        <v>6780</v>
      </c>
      <c r="B2157" s="8" t="s">
        <v>4046</v>
      </c>
      <c r="C2157" s="8" t="s">
        <v>51</v>
      </c>
      <c r="D2157" s="32" t="n">
        <v>46122</v>
      </c>
      <c r="E2157" s="8" t="n">
        <v>9</v>
      </c>
      <c r="F2157" s="8" t="str">
        <f aca="false">IF(E2157&gt;=9,"Promoter",IF(E2157&gt;=7,"Passive","Detractor"))</f>
        <v>Promoter</v>
      </c>
    </row>
    <row r="2158" customFormat="false" ht="15" hidden="false" customHeight="false" outlineLevel="0" collapsed="false">
      <c r="A2158" s="8" t="s">
        <v>6781</v>
      </c>
      <c r="B2158" s="8" t="s">
        <v>4048</v>
      </c>
      <c r="C2158" s="8" t="s">
        <v>51</v>
      </c>
      <c r="D2158" s="32" t="n">
        <v>46122</v>
      </c>
      <c r="E2158" s="8" t="n">
        <v>9</v>
      </c>
      <c r="F2158" s="8" t="str">
        <f aca="false">IF(E2158&gt;=9,"Promoter",IF(E2158&gt;=7,"Passive","Detractor"))</f>
        <v>Promoter</v>
      </c>
    </row>
    <row r="2159" customFormat="false" ht="15" hidden="false" customHeight="false" outlineLevel="0" collapsed="false">
      <c r="A2159" s="8" t="s">
        <v>6782</v>
      </c>
      <c r="B2159" s="8" t="s">
        <v>1011</v>
      </c>
      <c r="C2159" s="8" t="s">
        <v>53</v>
      </c>
      <c r="D2159" s="32" t="n">
        <v>46122</v>
      </c>
      <c r="E2159" s="8" t="n">
        <v>10</v>
      </c>
      <c r="F2159" s="8" t="str">
        <f aca="false">IF(E2159&gt;=9,"Promoter",IF(E2159&gt;=7,"Passive","Detractor"))</f>
        <v>Promoter</v>
      </c>
    </row>
    <row r="2160" customFormat="false" ht="15" hidden="false" customHeight="false" outlineLevel="0" collapsed="false">
      <c r="A2160" s="8" t="s">
        <v>6783</v>
      </c>
      <c r="B2160" s="8" t="s">
        <v>1587</v>
      </c>
      <c r="C2160" s="8" t="s">
        <v>53</v>
      </c>
      <c r="D2160" s="32" t="n">
        <v>46122</v>
      </c>
      <c r="E2160" s="8" t="n">
        <v>8</v>
      </c>
      <c r="F2160" s="8" t="str">
        <f aca="false">IF(E2160&gt;=9,"Promoter",IF(E2160&gt;=7,"Passive","Detractor"))</f>
        <v>Passive</v>
      </c>
    </row>
    <row r="2161" customFormat="false" ht="15" hidden="false" customHeight="false" outlineLevel="0" collapsed="false">
      <c r="A2161" s="8" t="s">
        <v>6784</v>
      </c>
      <c r="B2161" s="8" t="s">
        <v>513</v>
      </c>
      <c r="C2161" s="8" t="s">
        <v>55</v>
      </c>
      <c r="D2161" s="32" t="n">
        <v>46122</v>
      </c>
      <c r="E2161" s="8" t="n">
        <v>10</v>
      </c>
      <c r="F2161" s="8" t="str">
        <f aca="false">IF(E2161&gt;=9,"Promoter",IF(E2161&gt;=7,"Passive","Detractor"))</f>
        <v>Promoter</v>
      </c>
    </row>
    <row r="2162" customFormat="false" ht="15" hidden="false" customHeight="false" outlineLevel="0" collapsed="false">
      <c r="A2162" s="8" t="s">
        <v>6785</v>
      </c>
      <c r="B2162" s="8" t="s">
        <v>3536</v>
      </c>
      <c r="C2162" s="8" t="s">
        <v>51</v>
      </c>
      <c r="D2162" s="32" t="n">
        <v>46122</v>
      </c>
      <c r="E2162" s="8" t="n">
        <v>5</v>
      </c>
      <c r="F2162" s="8" t="str">
        <f aca="false">IF(E2162&gt;=9,"Promoter",IF(E2162&gt;=7,"Passive","Detractor"))</f>
        <v>Detractor</v>
      </c>
    </row>
    <row r="2163" customFormat="false" ht="15" hidden="false" customHeight="false" outlineLevel="0" collapsed="false">
      <c r="A2163" s="8" t="s">
        <v>6786</v>
      </c>
      <c r="B2163" s="8" t="s">
        <v>1433</v>
      </c>
      <c r="C2163" s="8" t="s">
        <v>53</v>
      </c>
      <c r="D2163" s="32" t="n">
        <v>46122</v>
      </c>
      <c r="E2163" s="8" t="n">
        <v>7</v>
      </c>
      <c r="F2163" s="8" t="str">
        <f aca="false">IF(E2163&gt;=9,"Promoter",IF(E2163&gt;=7,"Passive","Detractor"))</f>
        <v>Passive</v>
      </c>
    </row>
    <row r="2164" customFormat="false" ht="15" hidden="false" customHeight="false" outlineLevel="0" collapsed="false">
      <c r="A2164" s="8" t="s">
        <v>6787</v>
      </c>
      <c r="B2164" s="8" t="s">
        <v>1691</v>
      </c>
      <c r="C2164" s="8" t="s">
        <v>51</v>
      </c>
      <c r="D2164" s="32" t="n">
        <v>46122</v>
      </c>
      <c r="E2164" s="8" t="n">
        <v>9</v>
      </c>
      <c r="F2164" s="8" t="str">
        <f aca="false">IF(E2164&gt;=9,"Promoter",IF(E2164&gt;=7,"Passive","Detractor"))</f>
        <v>Promoter</v>
      </c>
    </row>
    <row r="2165" customFormat="false" ht="15" hidden="false" customHeight="false" outlineLevel="0" collapsed="false">
      <c r="A2165" s="8" t="s">
        <v>6788</v>
      </c>
      <c r="B2165" s="8" t="s">
        <v>3772</v>
      </c>
      <c r="C2165" s="8" t="s">
        <v>51</v>
      </c>
      <c r="D2165" s="32" t="n">
        <v>46122</v>
      </c>
      <c r="E2165" s="8" t="n">
        <v>10</v>
      </c>
      <c r="F2165" s="8" t="str">
        <f aca="false">IF(E2165&gt;=9,"Promoter",IF(E2165&gt;=7,"Passive","Detractor"))</f>
        <v>Promoter</v>
      </c>
    </row>
    <row r="2166" customFormat="false" ht="15" hidden="false" customHeight="false" outlineLevel="0" collapsed="false">
      <c r="A2166" s="8" t="s">
        <v>6789</v>
      </c>
      <c r="B2166" s="8" t="s">
        <v>3082</v>
      </c>
      <c r="C2166" s="8" t="s">
        <v>51</v>
      </c>
      <c r="D2166" s="32" t="n">
        <v>46122</v>
      </c>
      <c r="E2166" s="8" t="n">
        <v>7</v>
      </c>
      <c r="F2166" s="8" t="str">
        <f aca="false">IF(E2166&gt;=9,"Promoter",IF(E2166&gt;=7,"Passive","Detractor"))</f>
        <v>Passive</v>
      </c>
    </row>
    <row r="2167" customFormat="false" ht="15" hidden="false" customHeight="false" outlineLevel="0" collapsed="false">
      <c r="A2167" s="8" t="s">
        <v>6790</v>
      </c>
      <c r="B2167" s="8" t="s">
        <v>1469</v>
      </c>
      <c r="C2167" s="8" t="s">
        <v>53</v>
      </c>
      <c r="D2167" s="32" t="n">
        <v>46122</v>
      </c>
      <c r="E2167" s="8" t="n">
        <v>6</v>
      </c>
      <c r="F2167" s="8" t="str">
        <f aca="false">IF(E2167&gt;=9,"Promoter",IF(E2167&gt;=7,"Passive","Detractor"))</f>
        <v>Detractor</v>
      </c>
    </row>
    <row r="2168" customFormat="false" ht="15" hidden="false" customHeight="false" outlineLevel="0" collapsed="false">
      <c r="A2168" s="8" t="s">
        <v>6791</v>
      </c>
      <c r="B2168" s="8" t="s">
        <v>4298</v>
      </c>
      <c r="C2168" s="8" t="s">
        <v>51</v>
      </c>
      <c r="D2168" s="32" t="n">
        <v>46122</v>
      </c>
      <c r="E2168" s="8" t="n">
        <v>9</v>
      </c>
      <c r="F2168" s="8" t="str">
        <f aca="false">IF(E2168&gt;=9,"Promoter",IF(E2168&gt;=7,"Passive","Detractor"))</f>
        <v>Promoter</v>
      </c>
    </row>
    <row r="2169" customFormat="false" ht="15" hidden="false" customHeight="false" outlineLevel="0" collapsed="false">
      <c r="A2169" s="8" t="s">
        <v>6792</v>
      </c>
      <c r="B2169" s="8" t="s">
        <v>2554</v>
      </c>
      <c r="C2169" s="8" t="s">
        <v>51</v>
      </c>
      <c r="D2169" s="32" t="n">
        <v>46123</v>
      </c>
      <c r="E2169" s="8" t="n">
        <v>7</v>
      </c>
      <c r="F2169" s="8" t="str">
        <f aca="false">IF(E2169&gt;=9,"Promoter",IF(E2169&gt;=7,"Passive","Detractor"))</f>
        <v>Passive</v>
      </c>
    </row>
    <row r="2170" customFormat="false" ht="15" hidden="false" customHeight="false" outlineLevel="0" collapsed="false">
      <c r="A2170" s="8" t="s">
        <v>6793</v>
      </c>
      <c r="B2170" s="8" t="s">
        <v>3782</v>
      </c>
      <c r="C2170" s="8" t="s">
        <v>51</v>
      </c>
      <c r="D2170" s="32" t="n">
        <v>46123</v>
      </c>
      <c r="E2170" s="8" t="n">
        <v>8</v>
      </c>
      <c r="F2170" s="8" t="str">
        <f aca="false">IF(E2170&gt;=9,"Promoter",IF(E2170&gt;=7,"Passive","Detractor"))</f>
        <v>Passive</v>
      </c>
    </row>
    <row r="2171" customFormat="false" ht="15" hidden="false" customHeight="false" outlineLevel="0" collapsed="false">
      <c r="A2171" s="8" t="s">
        <v>6794</v>
      </c>
      <c r="B2171" s="8" t="s">
        <v>1873</v>
      </c>
      <c r="C2171" s="8" t="s">
        <v>51</v>
      </c>
      <c r="D2171" s="32" t="n">
        <v>46123</v>
      </c>
      <c r="E2171" s="8" t="n">
        <v>10</v>
      </c>
      <c r="F2171" s="8" t="str">
        <f aca="false">IF(E2171&gt;=9,"Promoter",IF(E2171&gt;=7,"Passive","Detractor"))</f>
        <v>Promoter</v>
      </c>
    </row>
    <row r="2172" customFormat="false" ht="15" hidden="false" customHeight="false" outlineLevel="0" collapsed="false">
      <c r="A2172" s="8" t="s">
        <v>6795</v>
      </c>
      <c r="B2172" s="8" t="s">
        <v>2812</v>
      </c>
      <c r="C2172" s="8" t="s">
        <v>51</v>
      </c>
      <c r="D2172" s="32" t="n">
        <v>46123</v>
      </c>
      <c r="E2172" s="8" t="n">
        <v>8</v>
      </c>
      <c r="F2172" s="8" t="str">
        <f aca="false">IF(E2172&gt;=9,"Promoter",IF(E2172&gt;=7,"Passive","Detractor"))</f>
        <v>Passive</v>
      </c>
    </row>
    <row r="2173" customFormat="false" ht="15" hidden="false" customHeight="false" outlineLevel="0" collapsed="false">
      <c r="A2173" s="8" t="s">
        <v>6796</v>
      </c>
      <c r="B2173" s="8" t="s">
        <v>2976</v>
      </c>
      <c r="C2173" s="8" t="s">
        <v>51</v>
      </c>
      <c r="D2173" s="32" t="n">
        <v>46123</v>
      </c>
      <c r="E2173" s="8" t="n">
        <v>9</v>
      </c>
      <c r="F2173" s="8" t="str">
        <f aca="false">IF(E2173&gt;=9,"Promoter",IF(E2173&gt;=7,"Passive","Detractor"))</f>
        <v>Promoter</v>
      </c>
    </row>
    <row r="2174" customFormat="false" ht="15" hidden="false" customHeight="false" outlineLevel="0" collapsed="false">
      <c r="A2174" s="8" t="s">
        <v>6797</v>
      </c>
      <c r="B2174" s="8" t="s">
        <v>274</v>
      </c>
      <c r="C2174" s="8" t="s">
        <v>55</v>
      </c>
      <c r="D2174" s="32" t="n">
        <v>46123</v>
      </c>
      <c r="E2174" s="8" t="n">
        <v>6</v>
      </c>
      <c r="F2174" s="8" t="str">
        <f aca="false">IF(E2174&gt;=9,"Promoter",IF(E2174&gt;=7,"Passive","Detractor"))</f>
        <v>Detractor</v>
      </c>
    </row>
    <row r="2175" customFormat="false" ht="15" hidden="false" customHeight="false" outlineLevel="0" collapsed="false">
      <c r="A2175" s="8" t="s">
        <v>6798</v>
      </c>
      <c r="B2175" s="8" t="s">
        <v>2376</v>
      </c>
      <c r="C2175" s="8" t="s">
        <v>51</v>
      </c>
      <c r="D2175" s="32" t="n">
        <v>46123</v>
      </c>
      <c r="E2175" s="8" t="n">
        <v>10</v>
      </c>
      <c r="F2175" s="8" t="str">
        <f aca="false">IF(E2175&gt;=9,"Promoter",IF(E2175&gt;=7,"Passive","Detractor"))</f>
        <v>Promoter</v>
      </c>
    </row>
    <row r="2176" customFormat="false" ht="15" hidden="false" customHeight="false" outlineLevel="0" collapsed="false">
      <c r="A2176" s="8" t="s">
        <v>6799</v>
      </c>
      <c r="B2176" s="8" t="s">
        <v>2194</v>
      </c>
      <c r="C2176" s="8" t="s">
        <v>51</v>
      </c>
      <c r="D2176" s="32" t="n">
        <v>46123</v>
      </c>
      <c r="E2176" s="8" t="n">
        <v>9</v>
      </c>
      <c r="F2176" s="8" t="str">
        <f aca="false">IF(E2176&gt;=9,"Promoter",IF(E2176&gt;=7,"Passive","Detractor"))</f>
        <v>Promoter</v>
      </c>
    </row>
    <row r="2177" customFormat="false" ht="15" hidden="false" customHeight="false" outlineLevel="0" collapsed="false">
      <c r="A2177" s="8" t="s">
        <v>6800</v>
      </c>
      <c r="B2177" s="8" t="s">
        <v>921</v>
      </c>
      <c r="C2177" s="8" t="s">
        <v>53</v>
      </c>
      <c r="D2177" s="32" t="n">
        <v>46123</v>
      </c>
      <c r="E2177" s="8" t="n">
        <v>7</v>
      </c>
      <c r="F2177" s="8" t="str">
        <f aca="false">IF(E2177&gt;=9,"Promoter",IF(E2177&gt;=7,"Passive","Detractor"))</f>
        <v>Passive</v>
      </c>
    </row>
    <row r="2178" customFormat="false" ht="15" hidden="false" customHeight="false" outlineLevel="0" collapsed="false">
      <c r="A2178" s="8" t="s">
        <v>6801</v>
      </c>
      <c r="B2178" s="8" t="s">
        <v>1127</v>
      </c>
      <c r="C2178" s="8" t="s">
        <v>53</v>
      </c>
      <c r="D2178" s="32" t="n">
        <v>46123</v>
      </c>
      <c r="E2178" s="8" t="n">
        <v>8</v>
      </c>
      <c r="F2178" s="8" t="str">
        <f aca="false">IF(E2178&gt;=9,"Promoter",IF(E2178&gt;=7,"Passive","Detractor"))</f>
        <v>Passive</v>
      </c>
    </row>
    <row r="2179" customFormat="false" ht="15" hidden="false" customHeight="false" outlineLevel="0" collapsed="false">
      <c r="A2179" s="8" t="s">
        <v>6802</v>
      </c>
      <c r="B2179" s="8" t="s">
        <v>1209</v>
      </c>
      <c r="C2179" s="8" t="s">
        <v>53</v>
      </c>
      <c r="D2179" s="32" t="n">
        <v>46123</v>
      </c>
      <c r="E2179" s="8" t="n">
        <v>8</v>
      </c>
      <c r="F2179" s="8" t="str">
        <f aca="false">IF(E2179&gt;=9,"Promoter",IF(E2179&gt;=7,"Passive","Detractor"))</f>
        <v>Passive</v>
      </c>
    </row>
    <row r="2180" customFormat="false" ht="15" hidden="false" customHeight="false" outlineLevel="0" collapsed="false">
      <c r="A2180" s="8" t="s">
        <v>6803</v>
      </c>
      <c r="B2180" s="8" t="s">
        <v>4114</v>
      </c>
      <c r="C2180" s="8" t="s">
        <v>51</v>
      </c>
      <c r="D2180" s="32" t="n">
        <v>46123</v>
      </c>
      <c r="E2180" s="8" t="n">
        <v>10</v>
      </c>
      <c r="F2180" s="8" t="str">
        <f aca="false">IF(E2180&gt;=9,"Promoter",IF(E2180&gt;=7,"Passive","Detractor"))</f>
        <v>Promoter</v>
      </c>
    </row>
    <row r="2181" customFormat="false" ht="15" hidden="false" customHeight="false" outlineLevel="0" collapsed="false">
      <c r="A2181" s="8" t="s">
        <v>6804</v>
      </c>
      <c r="B2181" s="8" t="s">
        <v>3574</v>
      </c>
      <c r="C2181" s="8" t="s">
        <v>51</v>
      </c>
      <c r="D2181" s="32" t="n">
        <v>46123</v>
      </c>
      <c r="E2181" s="8" t="n">
        <v>8</v>
      </c>
      <c r="F2181" s="8" t="str">
        <f aca="false">IF(E2181&gt;=9,"Promoter",IF(E2181&gt;=7,"Passive","Detractor"))</f>
        <v>Passive</v>
      </c>
    </row>
    <row r="2182" customFormat="false" ht="15" hidden="false" customHeight="false" outlineLevel="0" collapsed="false">
      <c r="A2182" s="8" t="s">
        <v>6805</v>
      </c>
      <c r="B2182" s="8" t="s">
        <v>1487</v>
      </c>
      <c r="C2182" s="8" t="s">
        <v>53</v>
      </c>
      <c r="D2182" s="32" t="n">
        <v>46123</v>
      </c>
      <c r="E2182" s="8" t="n">
        <v>9</v>
      </c>
      <c r="F2182" s="8" t="str">
        <f aca="false">IF(E2182&gt;=9,"Promoter",IF(E2182&gt;=7,"Passive","Detractor"))</f>
        <v>Promoter</v>
      </c>
    </row>
    <row r="2183" customFormat="false" ht="15" hidden="false" customHeight="false" outlineLevel="0" collapsed="false">
      <c r="A2183" s="8" t="s">
        <v>6806</v>
      </c>
      <c r="B2183" s="8" t="s">
        <v>3076</v>
      </c>
      <c r="C2183" s="8" t="s">
        <v>51</v>
      </c>
      <c r="D2183" s="32" t="n">
        <v>46123</v>
      </c>
      <c r="E2183" s="8" t="n">
        <v>8</v>
      </c>
      <c r="F2183" s="8" t="str">
        <f aca="false">IF(E2183&gt;=9,"Promoter",IF(E2183&gt;=7,"Passive","Detractor"))</f>
        <v>Passive</v>
      </c>
    </row>
    <row r="2184" customFormat="false" ht="15" hidden="false" customHeight="false" outlineLevel="0" collapsed="false">
      <c r="A2184" s="8" t="s">
        <v>6807</v>
      </c>
      <c r="B2184" s="8" t="s">
        <v>797</v>
      </c>
      <c r="C2184" s="8" t="s">
        <v>53</v>
      </c>
      <c r="D2184" s="32" t="n">
        <v>46123</v>
      </c>
      <c r="E2184" s="8" t="n">
        <v>10</v>
      </c>
      <c r="F2184" s="8" t="str">
        <f aca="false">IF(E2184&gt;=9,"Promoter",IF(E2184&gt;=7,"Passive","Detractor"))</f>
        <v>Promoter</v>
      </c>
    </row>
    <row r="2185" customFormat="false" ht="15" hidden="false" customHeight="false" outlineLevel="0" collapsed="false">
      <c r="A2185" s="8" t="s">
        <v>6808</v>
      </c>
      <c r="B2185" s="8" t="s">
        <v>2054</v>
      </c>
      <c r="C2185" s="8" t="s">
        <v>51</v>
      </c>
      <c r="D2185" s="32" t="n">
        <v>46123</v>
      </c>
      <c r="E2185" s="8" t="n">
        <v>5</v>
      </c>
      <c r="F2185" s="8" t="str">
        <f aca="false">IF(E2185&gt;=9,"Promoter",IF(E2185&gt;=7,"Passive","Detractor"))</f>
        <v>Detractor</v>
      </c>
    </row>
    <row r="2186" customFormat="false" ht="15" hidden="false" customHeight="false" outlineLevel="0" collapsed="false">
      <c r="A2186" s="8" t="s">
        <v>6809</v>
      </c>
      <c r="B2186" s="8" t="s">
        <v>3184</v>
      </c>
      <c r="C2186" s="8" t="s">
        <v>51</v>
      </c>
      <c r="D2186" s="32" t="n">
        <v>46123</v>
      </c>
      <c r="E2186" s="8" t="n">
        <v>10</v>
      </c>
      <c r="F2186" s="8" t="str">
        <f aca="false">IF(E2186&gt;=9,"Promoter",IF(E2186&gt;=7,"Passive","Detractor"))</f>
        <v>Promoter</v>
      </c>
    </row>
    <row r="2187" customFormat="false" ht="15" hidden="false" customHeight="false" outlineLevel="0" collapsed="false">
      <c r="A2187" s="8" t="s">
        <v>6810</v>
      </c>
      <c r="B2187" s="8" t="s">
        <v>539</v>
      </c>
      <c r="C2187" s="8" t="s">
        <v>53</v>
      </c>
      <c r="D2187" s="32" t="n">
        <v>46123</v>
      </c>
      <c r="E2187" s="8" t="n">
        <v>9</v>
      </c>
      <c r="F2187" s="8" t="str">
        <f aca="false">IF(E2187&gt;=9,"Promoter",IF(E2187&gt;=7,"Passive","Detractor"))</f>
        <v>Promoter</v>
      </c>
    </row>
    <row r="2188" customFormat="false" ht="15" hidden="false" customHeight="false" outlineLevel="0" collapsed="false">
      <c r="A2188" s="8" t="s">
        <v>6811</v>
      </c>
      <c r="B2188" s="8" t="s">
        <v>2872</v>
      </c>
      <c r="C2188" s="8" t="s">
        <v>51</v>
      </c>
      <c r="D2188" s="32" t="n">
        <v>46123</v>
      </c>
      <c r="E2188" s="8" t="n">
        <v>10</v>
      </c>
      <c r="F2188" s="8" t="str">
        <f aca="false">IF(E2188&gt;=9,"Promoter",IF(E2188&gt;=7,"Passive","Detractor"))</f>
        <v>Promoter</v>
      </c>
    </row>
    <row r="2189" customFormat="false" ht="15" hidden="false" customHeight="false" outlineLevel="0" collapsed="false">
      <c r="A2189" s="8" t="s">
        <v>6812</v>
      </c>
      <c r="B2189" s="8" t="s">
        <v>565</v>
      </c>
      <c r="C2189" s="8" t="s">
        <v>55</v>
      </c>
      <c r="D2189" s="32" t="n">
        <v>46123</v>
      </c>
      <c r="E2189" s="8" t="n">
        <v>8</v>
      </c>
      <c r="F2189" s="8" t="str">
        <f aca="false">IF(E2189&gt;=9,"Promoter",IF(E2189&gt;=7,"Passive","Detractor"))</f>
        <v>Passive</v>
      </c>
    </row>
    <row r="2190" customFormat="false" ht="15" hidden="false" customHeight="false" outlineLevel="0" collapsed="false">
      <c r="A2190" s="8" t="s">
        <v>6813</v>
      </c>
      <c r="B2190" s="8" t="s">
        <v>2300</v>
      </c>
      <c r="C2190" s="8" t="s">
        <v>51</v>
      </c>
      <c r="D2190" s="32" t="n">
        <v>46123</v>
      </c>
      <c r="E2190" s="8" t="n">
        <v>10</v>
      </c>
      <c r="F2190" s="8" t="str">
        <f aca="false">IF(E2190&gt;=9,"Promoter",IF(E2190&gt;=7,"Passive","Detractor"))</f>
        <v>Promoter</v>
      </c>
    </row>
    <row r="2191" customFormat="false" ht="15" hidden="false" customHeight="false" outlineLevel="0" collapsed="false">
      <c r="A2191" s="8" t="s">
        <v>6814</v>
      </c>
      <c r="B2191" s="8" t="s">
        <v>4429</v>
      </c>
      <c r="C2191" s="8" t="s">
        <v>53</v>
      </c>
      <c r="D2191" s="32" t="n">
        <v>46123</v>
      </c>
      <c r="E2191" s="8" t="n">
        <v>7</v>
      </c>
      <c r="F2191" s="8" t="str">
        <f aca="false">IF(E2191&gt;=9,"Promoter",IF(E2191&gt;=7,"Passive","Detractor"))</f>
        <v>Passive</v>
      </c>
    </row>
    <row r="2192" customFormat="false" ht="15" hidden="false" customHeight="false" outlineLevel="0" collapsed="false">
      <c r="A2192" s="8" t="s">
        <v>6815</v>
      </c>
      <c r="B2192" s="8" t="s">
        <v>597</v>
      </c>
      <c r="C2192" s="8" t="s">
        <v>53</v>
      </c>
      <c r="D2192" s="32" t="n">
        <v>46124</v>
      </c>
      <c r="E2192" s="8" t="n">
        <v>9</v>
      </c>
      <c r="F2192" s="8" t="str">
        <f aca="false">IF(E2192&gt;=9,"Promoter",IF(E2192&gt;=7,"Passive","Detractor"))</f>
        <v>Promoter</v>
      </c>
    </row>
    <row r="2193" customFormat="false" ht="15" hidden="false" customHeight="false" outlineLevel="0" collapsed="false">
      <c r="A2193" s="8" t="s">
        <v>6816</v>
      </c>
      <c r="B2193" s="8" t="s">
        <v>2154</v>
      </c>
      <c r="C2193" s="8" t="s">
        <v>51</v>
      </c>
      <c r="D2193" s="32" t="n">
        <v>46124</v>
      </c>
      <c r="E2193" s="8" t="n">
        <v>8</v>
      </c>
      <c r="F2193" s="8" t="str">
        <f aca="false">IF(E2193&gt;=9,"Promoter",IF(E2193&gt;=7,"Passive","Detractor"))</f>
        <v>Passive</v>
      </c>
    </row>
    <row r="2194" customFormat="false" ht="15" hidden="false" customHeight="false" outlineLevel="0" collapsed="false">
      <c r="A2194" s="8" t="s">
        <v>6817</v>
      </c>
      <c r="B2194" s="8" t="s">
        <v>1121</v>
      </c>
      <c r="C2194" s="8" t="s">
        <v>53</v>
      </c>
      <c r="D2194" s="32" t="n">
        <v>46124</v>
      </c>
      <c r="E2194" s="8" t="n">
        <v>6</v>
      </c>
      <c r="F2194" s="8" t="str">
        <f aca="false">IF(E2194&gt;=9,"Promoter",IF(E2194&gt;=7,"Passive","Detractor"))</f>
        <v>Detractor</v>
      </c>
    </row>
    <row r="2195" customFormat="false" ht="15" hidden="false" customHeight="false" outlineLevel="0" collapsed="false">
      <c r="A2195" s="8" t="s">
        <v>6818</v>
      </c>
      <c r="B2195" s="8" t="s">
        <v>200</v>
      </c>
      <c r="C2195" s="8" t="s">
        <v>55</v>
      </c>
      <c r="D2195" s="32" t="n">
        <v>46124</v>
      </c>
      <c r="E2195" s="8" t="n">
        <v>6</v>
      </c>
      <c r="F2195" s="8" t="str">
        <f aca="false">IF(E2195&gt;=9,"Promoter",IF(E2195&gt;=7,"Passive","Detractor"))</f>
        <v>Detractor</v>
      </c>
    </row>
    <row r="2196" customFormat="false" ht="15" hidden="false" customHeight="false" outlineLevel="0" collapsed="false">
      <c r="A2196" s="8" t="s">
        <v>6819</v>
      </c>
      <c r="B2196" s="8" t="s">
        <v>1523</v>
      </c>
      <c r="C2196" s="8" t="s">
        <v>53</v>
      </c>
      <c r="D2196" s="32" t="n">
        <v>46124</v>
      </c>
      <c r="E2196" s="8" t="n">
        <v>8</v>
      </c>
      <c r="F2196" s="8" t="str">
        <f aca="false">IF(E2196&gt;=9,"Promoter",IF(E2196&gt;=7,"Passive","Detractor"))</f>
        <v>Passive</v>
      </c>
    </row>
    <row r="2197" customFormat="false" ht="15" hidden="false" customHeight="false" outlineLevel="0" collapsed="false">
      <c r="A2197" s="8" t="s">
        <v>6820</v>
      </c>
      <c r="B2197" s="8" t="s">
        <v>2672</v>
      </c>
      <c r="C2197" s="8" t="s">
        <v>51</v>
      </c>
      <c r="D2197" s="32" t="n">
        <v>46124</v>
      </c>
      <c r="E2197" s="8" t="n">
        <v>8</v>
      </c>
      <c r="F2197" s="8" t="str">
        <f aca="false">IF(E2197&gt;=9,"Promoter",IF(E2197&gt;=7,"Passive","Detractor"))</f>
        <v>Passive</v>
      </c>
    </row>
    <row r="2198" customFormat="false" ht="15" hidden="false" customHeight="false" outlineLevel="0" collapsed="false">
      <c r="A2198" s="8" t="s">
        <v>6821</v>
      </c>
      <c r="B2198" s="8" t="s">
        <v>1107</v>
      </c>
      <c r="C2198" s="8" t="s">
        <v>53</v>
      </c>
      <c r="D2198" s="32" t="n">
        <v>46124</v>
      </c>
      <c r="E2198" s="8" t="n">
        <v>7</v>
      </c>
      <c r="F2198" s="8" t="str">
        <f aca="false">IF(E2198&gt;=9,"Promoter",IF(E2198&gt;=7,"Passive","Detractor"))</f>
        <v>Passive</v>
      </c>
    </row>
    <row r="2199" customFormat="false" ht="15" hidden="false" customHeight="false" outlineLevel="0" collapsed="false">
      <c r="A2199" s="8" t="s">
        <v>6822</v>
      </c>
      <c r="B2199" s="8" t="s">
        <v>2120</v>
      </c>
      <c r="C2199" s="8" t="s">
        <v>51</v>
      </c>
      <c r="D2199" s="32" t="n">
        <v>46124</v>
      </c>
      <c r="E2199" s="8" t="n">
        <v>9</v>
      </c>
      <c r="F2199" s="8" t="str">
        <f aca="false">IF(E2199&gt;=9,"Promoter",IF(E2199&gt;=7,"Passive","Detractor"))</f>
        <v>Promoter</v>
      </c>
    </row>
    <row r="2200" customFormat="false" ht="15" hidden="false" customHeight="false" outlineLevel="0" collapsed="false">
      <c r="A2200" s="8" t="s">
        <v>6823</v>
      </c>
      <c r="B2200" s="8" t="s">
        <v>1949</v>
      </c>
      <c r="C2200" s="8" t="s">
        <v>51</v>
      </c>
      <c r="D2200" s="32" t="n">
        <v>46124</v>
      </c>
      <c r="E2200" s="8" t="n">
        <v>9</v>
      </c>
      <c r="F2200" s="8" t="str">
        <f aca="false">IF(E2200&gt;=9,"Promoter",IF(E2200&gt;=7,"Passive","Detractor"))</f>
        <v>Promoter</v>
      </c>
    </row>
    <row r="2201" customFormat="false" ht="15" hidden="false" customHeight="false" outlineLevel="0" collapsed="false">
      <c r="A2201" s="8" t="s">
        <v>6824</v>
      </c>
      <c r="B2201" s="8" t="s">
        <v>3158</v>
      </c>
      <c r="C2201" s="8" t="s">
        <v>51</v>
      </c>
      <c r="D2201" s="32" t="n">
        <v>46124</v>
      </c>
      <c r="E2201" s="8" t="n">
        <v>4</v>
      </c>
      <c r="F2201" s="8" t="str">
        <f aca="false">IF(E2201&gt;=9,"Promoter",IF(E2201&gt;=7,"Passive","Detractor"))</f>
        <v>Detractor</v>
      </c>
    </row>
    <row r="2202" customFormat="false" ht="15" hidden="false" customHeight="false" outlineLevel="0" collapsed="false">
      <c r="A2202" s="8" t="s">
        <v>6825</v>
      </c>
      <c r="B2202" s="8" t="s">
        <v>1841</v>
      </c>
      <c r="C2202" s="8" t="s">
        <v>51</v>
      </c>
      <c r="D2202" s="32" t="n">
        <v>46124</v>
      </c>
      <c r="E2202" s="8" t="n">
        <v>9</v>
      </c>
      <c r="F2202" s="8" t="str">
        <f aca="false">IF(E2202&gt;=9,"Promoter",IF(E2202&gt;=7,"Passive","Detractor"))</f>
        <v>Promoter</v>
      </c>
    </row>
    <row r="2203" customFormat="false" ht="15" hidden="false" customHeight="false" outlineLevel="0" collapsed="false">
      <c r="A2203" s="8" t="s">
        <v>6826</v>
      </c>
      <c r="B2203" s="8" t="s">
        <v>1447</v>
      </c>
      <c r="C2203" s="8" t="s">
        <v>53</v>
      </c>
      <c r="D2203" s="32" t="n">
        <v>46124</v>
      </c>
      <c r="E2203" s="8" t="n">
        <v>9</v>
      </c>
      <c r="F2203" s="8" t="str">
        <f aca="false">IF(E2203&gt;=9,"Promoter",IF(E2203&gt;=7,"Passive","Detractor"))</f>
        <v>Promoter</v>
      </c>
    </row>
    <row r="2204" customFormat="false" ht="15" hidden="false" customHeight="false" outlineLevel="0" collapsed="false">
      <c r="A2204" s="8" t="s">
        <v>6827</v>
      </c>
      <c r="B2204" s="8" t="s">
        <v>789</v>
      </c>
      <c r="C2204" s="8" t="s">
        <v>53</v>
      </c>
      <c r="D2204" s="32" t="n">
        <v>46124</v>
      </c>
      <c r="E2204" s="8" t="n">
        <v>10</v>
      </c>
      <c r="F2204" s="8" t="str">
        <f aca="false">IF(E2204&gt;=9,"Promoter",IF(E2204&gt;=7,"Passive","Detractor"))</f>
        <v>Promoter</v>
      </c>
    </row>
    <row r="2205" customFormat="false" ht="15" hidden="false" customHeight="false" outlineLevel="0" collapsed="false">
      <c r="A2205" s="8" t="s">
        <v>6828</v>
      </c>
      <c r="B2205" s="8" t="s">
        <v>4278</v>
      </c>
      <c r="C2205" s="8" t="s">
        <v>51</v>
      </c>
      <c r="D2205" s="32" t="n">
        <v>46124</v>
      </c>
      <c r="E2205" s="8" t="n">
        <v>5</v>
      </c>
      <c r="F2205" s="8" t="str">
        <f aca="false">IF(E2205&gt;=9,"Promoter",IF(E2205&gt;=7,"Passive","Detractor"))</f>
        <v>Detractor</v>
      </c>
    </row>
    <row r="2206" customFormat="false" ht="15" hidden="false" customHeight="false" outlineLevel="0" collapsed="false">
      <c r="A2206" s="8" t="s">
        <v>6829</v>
      </c>
      <c r="B2206" s="8" t="s">
        <v>242</v>
      </c>
      <c r="C2206" s="8" t="s">
        <v>55</v>
      </c>
      <c r="D2206" s="32" t="n">
        <v>46124</v>
      </c>
      <c r="E2206" s="8" t="n">
        <v>9</v>
      </c>
      <c r="F2206" s="8" t="str">
        <f aca="false">IF(E2206&gt;=9,"Promoter",IF(E2206&gt;=7,"Passive","Detractor"))</f>
        <v>Promoter</v>
      </c>
    </row>
    <row r="2207" customFormat="false" ht="15" hidden="false" customHeight="false" outlineLevel="0" collapsed="false">
      <c r="A2207" s="8" t="s">
        <v>6830</v>
      </c>
      <c r="B2207" s="8" t="s">
        <v>2944</v>
      </c>
      <c r="C2207" s="8" t="s">
        <v>51</v>
      </c>
      <c r="D2207" s="32" t="n">
        <v>46124</v>
      </c>
      <c r="E2207" s="8" t="n">
        <v>9</v>
      </c>
      <c r="F2207" s="8" t="str">
        <f aca="false">IF(E2207&gt;=9,"Promoter",IF(E2207&gt;=7,"Passive","Detractor"))</f>
        <v>Promoter</v>
      </c>
    </row>
    <row r="2208" customFormat="false" ht="15" hidden="false" customHeight="false" outlineLevel="0" collapsed="false">
      <c r="A2208" s="8" t="s">
        <v>6831</v>
      </c>
      <c r="B2208" s="8" t="s">
        <v>859</v>
      </c>
      <c r="C2208" s="8" t="s">
        <v>53</v>
      </c>
      <c r="D2208" s="32" t="n">
        <v>46124</v>
      </c>
      <c r="E2208" s="8" t="n">
        <v>7</v>
      </c>
      <c r="F2208" s="8" t="str">
        <f aca="false">IF(E2208&gt;=9,"Promoter",IF(E2208&gt;=7,"Passive","Detractor"))</f>
        <v>Passive</v>
      </c>
    </row>
    <row r="2209" customFormat="false" ht="15" hidden="false" customHeight="false" outlineLevel="0" collapsed="false">
      <c r="A2209" s="8" t="s">
        <v>6832</v>
      </c>
      <c r="B2209" s="8" t="s">
        <v>2528</v>
      </c>
      <c r="C2209" s="8" t="s">
        <v>51</v>
      </c>
      <c r="D2209" s="32" t="n">
        <v>46124</v>
      </c>
      <c r="E2209" s="8" t="n">
        <v>9</v>
      </c>
      <c r="F2209" s="8" t="str">
        <f aca="false">IF(E2209&gt;=9,"Promoter",IF(E2209&gt;=7,"Passive","Detractor"))</f>
        <v>Promoter</v>
      </c>
    </row>
    <row r="2210" customFormat="false" ht="15" hidden="false" customHeight="false" outlineLevel="0" collapsed="false">
      <c r="A2210" s="8" t="s">
        <v>6833</v>
      </c>
      <c r="B2210" s="8" t="s">
        <v>583</v>
      </c>
      <c r="C2210" s="8" t="s">
        <v>53</v>
      </c>
      <c r="D2210" s="32" t="n">
        <v>46124</v>
      </c>
      <c r="E2210" s="8" t="n">
        <v>10</v>
      </c>
      <c r="F2210" s="8" t="str">
        <f aca="false">IF(E2210&gt;=9,"Promoter",IF(E2210&gt;=7,"Passive","Detractor"))</f>
        <v>Promoter</v>
      </c>
    </row>
    <row r="2211" customFormat="false" ht="15" hidden="false" customHeight="false" outlineLevel="0" collapsed="false">
      <c r="A2211" s="8" t="s">
        <v>6834</v>
      </c>
      <c r="B2211" s="8" t="s">
        <v>3370</v>
      </c>
      <c r="C2211" s="8" t="s">
        <v>51</v>
      </c>
      <c r="D2211" s="32" t="n">
        <v>46124</v>
      </c>
      <c r="E2211" s="8" t="n">
        <v>7</v>
      </c>
      <c r="F2211" s="8" t="str">
        <f aca="false">IF(E2211&gt;=9,"Promoter",IF(E2211&gt;=7,"Passive","Detractor"))</f>
        <v>Passive</v>
      </c>
    </row>
    <row r="2212" customFormat="false" ht="15" hidden="false" customHeight="false" outlineLevel="0" collapsed="false">
      <c r="A2212" s="8" t="s">
        <v>6835</v>
      </c>
      <c r="B2212" s="8" t="s">
        <v>3032</v>
      </c>
      <c r="C2212" s="8" t="s">
        <v>51</v>
      </c>
      <c r="D2212" s="32" t="n">
        <v>46124</v>
      </c>
      <c r="E2212" s="8" t="n">
        <v>9</v>
      </c>
      <c r="F2212" s="8" t="str">
        <f aca="false">IF(E2212&gt;=9,"Promoter",IF(E2212&gt;=7,"Passive","Detractor"))</f>
        <v>Promoter</v>
      </c>
    </row>
    <row r="2213" customFormat="false" ht="15" hidden="false" customHeight="false" outlineLevel="0" collapsed="false">
      <c r="A2213" s="8" t="s">
        <v>6836</v>
      </c>
      <c r="B2213" s="8" t="s">
        <v>2466</v>
      </c>
      <c r="C2213" s="8" t="s">
        <v>51</v>
      </c>
      <c r="D2213" s="32" t="n">
        <v>46124</v>
      </c>
      <c r="E2213" s="8" t="n">
        <v>10</v>
      </c>
      <c r="F2213" s="8" t="str">
        <f aca="false">IF(E2213&gt;=9,"Promoter",IF(E2213&gt;=7,"Passive","Detractor"))</f>
        <v>Promoter</v>
      </c>
    </row>
    <row r="2214" customFormat="false" ht="15" hidden="false" customHeight="false" outlineLevel="0" collapsed="false">
      <c r="A2214" s="8" t="s">
        <v>6837</v>
      </c>
      <c r="B2214" s="8" t="s">
        <v>2876</v>
      </c>
      <c r="C2214" s="8" t="s">
        <v>51</v>
      </c>
      <c r="D2214" s="32" t="n">
        <v>46124</v>
      </c>
      <c r="E2214" s="8" t="n">
        <v>5</v>
      </c>
      <c r="F2214" s="8" t="str">
        <f aca="false">IF(E2214&gt;=9,"Promoter",IF(E2214&gt;=7,"Passive","Detractor"))</f>
        <v>Detractor</v>
      </c>
    </row>
    <row r="2215" customFormat="false" ht="15" hidden="false" customHeight="false" outlineLevel="0" collapsed="false">
      <c r="A2215" s="8" t="s">
        <v>6838</v>
      </c>
      <c r="B2215" s="8" t="s">
        <v>4080</v>
      </c>
      <c r="C2215" s="8" t="s">
        <v>51</v>
      </c>
      <c r="D2215" s="32" t="n">
        <v>46124</v>
      </c>
      <c r="E2215" s="8" t="n">
        <v>8</v>
      </c>
      <c r="F2215" s="8" t="str">
        <f aca="false">IF(E2215&gt;=9,"Promoter",IF(E2215&gt;=7,"Passive","Detractor"))</f>
        <v>Passive</v>
      </c>
    </row>
    <row r="2216" customFormat="false" ht="15" hidden="false" customHeight="false" outlineLevel="0" collapsed="false">
      <c r="A2216" s="8" t="s">
        <v>6839</v>
      </c>
      <c r="B2216" s="8" t="s">
        <v>1211</v>
      </c>
      <c r="C2216" s="8" t="s">
        <v>53</v>
      </c>
      <c r="D2216" s="32" t="n">
        <v>46124</v>
      </c>
      <c r="E2216" s="8" t="n">
        <v>10</v>
      </c>
      <c r="F2216" s="8" t="str">
        <f aca="false">IF(E2216&gt;=9,"Promoter",IF(E2216&gt;=7,"Passive","Detractor"))</f>
        <v>Promoter</v>
      </c>
    </row>
    <row r="2217" customFormat="false" ht="15" hidden="false" customHeight="false" outlineLevel="0" collapsed="false">
      <c r="A2217" s="8" t="s">
        <v>6840</v>
      </c>
      <c r="B2217" s="8" t="s">
        <v>4022</v>
      </c>
      <c r="C2217" s="8" t="s">
        <v>51</v>
      </c>
      <c r="D2217" s="32" t="n">
        <v>46124</v>
      </c>
      <c r="E2217" s="8" t="n">
        <v>9</v>
      </c>
      <c r="F2217" s="8" t="str">
        <f aca="false">IF(E2217&gt;=9,"Promoter",IF(E2217&gt;=7,"Passive","Detractor"))</f>
        <v>Promoter</v>
      </c>
    </row>
    <row r="2218" customFormat="false" ht="15" hidden="false" customHeight="false" outlineLevel="0" collapsed="false">
      <c r="A2218" s="8" t="s">
        <v>6841</v>
      </c>
      <c r="B2218" s="8" t="s">
        <v>581</v>
      </c>
      <c r="C2218" s="8" t="s">
        <v>55</v>
      </c>
      <c r="D2218" s="32" t="n">
        <v>46124</v>
      </c>
      <c r="E2218" s="8" t="n">
        <v>6</v>
      </c>
      <c r="F2218" s="8" t="str">
        <f aca="false">IF(E2218&gt;=9,"Promoter",IF(E2218&gt;=7,"Passive","Detractor"))</f>
        <v>Detractor</v>
      </c>
    </row>
    <row r="2219" customFormat="false" ht="15" hidden="false" customHeight="false" outlineLevel="0" collapsed="false">
      <c r="A2219" s="8" t="s">
        <v>6842</v>
      </c>
      <c r="B2219" s="8" t="s">
        <v>1939</v>
      </c>
      <c r="C2219" s="8" t="s">
        <v>51</v>
      </c>
      <c r="D2219" s="32" t="n">
        <v>46125</v>
      </c>
      <c r="E2219" s="8" t="n">
        <v>8</v>
      </c>
      <c r="F2219" s="8" t="str">
        <f aca="false">IF(E2219&gt;=9,"Promoter",IF(E2219&gt;=7,"Passive","Detractor"))</f>
        <v>Passive</v>
      </c>
    </row>
    <row r="2220" customFormat="false" ht="15" hidden="false" customHeight="false" outlineLevel="0" collapsed="false">
      <c r="A2220" s="8" t="s">
        <v>6843</v>
      </c>
      <c r="B2220" s="8" t="s">
        <v>719</v>
      </c>
      <c r="C2220" s="8" t="s">
        <v>53</v>
      </c>
      <c r="D2220" s="32" t="n">
        <v>46125</v>
      </c>
      <c r="E2220" s="8" t="n">
        <v>9</v>
      </c>
      <c r="F2220" s="8" t="str">
        <f aca="false">IF(E2220&gt;=9,"Promoter",IF(E2220&gt;=7,"Passive","Detractor"))</f>
        <v>Promoter</v>
      </c>
    </row>
    <row r="2221" customFormat="false" ht="15" hidden="false" customHeight="false" outlineLevel="0" collapsed="false">
      <c r="A2221" s="8" t="s">
        <v>6844</v>
      </c>
      <c r="B2221" s="8" t="s">
        <v>2840</v>
      </c>
      <c r="C2221" s="8" t="s">
        <v>51</v>
      </c>
      <c r="D2221" s="32" t="n">
        <v>46125</v>
      </c>
      <c r="E2221" s="8" t="n">
        <v>9</v>
      </c>
      <c r="F2221" s="8" t="str">
        <f aca="false">IF(E2221&gt;=9,"Promoter",IF(E2221&gt;=7,"Passive","Detractor"))</f>
        <v>Promoter</v>
      </c>
    </row>
    <row r="2222" customFormat="false" ht="15" hidden="false" customHeight="false" outlineLevel="0" collapsed="false">
      <c r="A2222" s="8" t="s">
        <v>6845</v>
      </c>
      <c r="B2222" s="8" t="s">
        <v>3492</v>
      </c>
      <c r="C2222" s="8" t="s">
        <v>51</v>
      </c>
      <c r="D2222" s="32" t="n">
        <v>46125</v>
      </c>
      <c r="E2222" s="8" t="n">
        <v>10</v>
      </c>
      <c r="F2222" s="8" t="str">
        <f aca="false">IF(E2222&gt;=9,"Promoter",IF(E2222&gt;=7,"Passive","Detractor"))</f>
        <v>Promoter</v>
      </c>
    </row>
    <row r="2223" customFormat="false" ht="15" hidden="false" customHeight="false" outlineLevel="0" collapsed="false">
      <c r="A2223" s="8" t="s">
        <v>6846</v>
      </c>
      <c r="B2223" s="8" t="s">
        <v>2092</v>
      </c>
      <c r="C2223" s="8" t="s">
        <v>51</v>
      </c>
      <c r="D2223" s="32" t="n">
        <v>46125</v>
      </c>
      <c r="E2223" s="8" t="n">
        <v>9</v>
      </c>
      <c r="F2223" s="8" t="str">
        <f aca="false">IF(E2223&gt;=9,"Promoter",IF(E2223&gt;=7,"Passive","Detractor"))</f>
        <v>Promoter</v>
      </c>
    </row>
    <row r="2224" customFormat="false" ht="15" hidden="false" customHeight="false" outlineLevel="0" collapsed="false">
      <c r="A2224" s="8" t="s">
        <v>6847</v>
      </c>
      <c r="B2224" s="8" t="s">
        <v>341</v>
      </c>
      <c r="C2224" s="8" t="s">
        <v>55</v>
      </c>
      <c r="D2224" s="32" t="n">
        <v>46125</v>
      </c>
      <c r="E2224" s="8" t="n">
        <v>10</v>
      </c>
      <c r="F2224" s="8" t="str">
        <f aca="false">IF(E2224&gt;=9,"Promoter",IF(E2224&gt;=7,"Passive","Detractor"))</f>
        <v>Promoter</v>
      </c>
    </row>
    <row r="2225" customFormat="false" ht="15" hidden="false" customHeight="false" outlineLevel="0" collapsed="false">
      <c r="A2225" s="8" t="s">
        <v>6848</v>
      </c>
      <c r="B2225" s="8" t="s">
        <v>2558</v>
      </c>
      <c r="C2225" s="8" t="s">
        <v>51</v>
      </c>
      <c r="D2225" s="32" t="n">
        <v>46125</v>
      </c>
      <c r="E2225" s="8" t="n">
        <v>6</v>
      </c>
      <c r="F2225" s="8" t="str">
        <f aca="false">IF(E2225&gt;=9,"Promoter",IF(E2225&gt;=7,"Passive","Detractor"))</f>
        <v>Detractor</v>
      </c>
    </row>
    <row r="2226" customFormat="false" ht="15" hidden="false" customHeight="false" outlineLevel="0" collapsed="false">
      <c r="A2226" s="8" t="s">
        <v>6849</v>
      </c>
      <c r="B2226" s="8" t="s">
        <v>2504</v>
      </c>
      <c r="C2226" s="8" t="s">
        <v>51</v>
      </c>
      <c r="D2226" s="32" t="n">
        <v>46125</v>
      </c>
      <c r="E2226" s="8" t="n">
        <v>7</v>
      </c>
      <c r="F2226" s="8" t="str">
        <f aca="false">IF(E2226&gt;=9,"Promoter",IF(E2226&gt;=7,"Passive","Detractor"))</f>
        <v>Passive</v>
      </c>
    </row>
    <row r="2227" customFormat="false" ht="15" hidden="false" customHeight="false" outlineLevel="0" collapsed="false">
      <c r="A2227" s="8" t="s">
        <v>6850</v>
      </c>
      <c r="B2227" s="8" t="s">
        <v>3262</v>
      </c>
      <c r="C2227" s="8" t="s">
        <v>51</v>
      </c>
      <c r="D2227" s="32" t="n">
        <v>46125</v>
      </c>
      <c r="E2227" s="8" t="n">
        <v>10</v>
      </c>
      <c r="F2227" s="8" t="str">
        <f aca="false">IF(E2227&gt;=9,"Promoter",IF(E2227&gt;=7,"Passive","Detractor"))</f>
        <v>Promoter</v>
      </c>
    </row>
    <row r="2228" customFormat="false" ht="15" hidden="false" customHeight="false" outlineLevel="0" collapsed="false">
      <c r="A2228" s="8" t="s">
        <v>6851</v>
      </c>
      <c r="B2228" s="8" t="s">
        <v>2316</v>
      </c>
      <c r="C2228" s="8" t="s">
        <v>51</v>
      </c>
      <c r="D2228" s="32" t="n">
        <v>46125</v>
      </c>
      <c r="E2228" s="8" t="n">
        <v>9</v>
      </c>
      <c r="F2228" s="8" t="str">
        <f aca="false">IF(E2228&gt;=9,"Promoter",IF(E2228&gt;=7,"Passive","Detractor"))</f>
        <v>Promoter</v>
      </c>
    </row>
    <row r="2229" customFormat="false" ht="15" hidden="false" customHeight="false" outlineLevel="0" collapsed="false">
      <c r="A2229" s="8" t="s">
        <v>6852</v>
      </c>
      <c r="B2229" s="8" t="s">
        <v>1419</v>
      </c>
      <c r="C2229" s="8" t="s">
        <v>53</v>
      </c>
      <c r="D2229" s="32" t="n">
        <v>46125</v>
      </c>
      <c r="E2229" s="8" t="n">
        <v>9</v>
      </c>
      <c r="F2229" s="8" t="str">
        <f aca="false">IF(E2229&gt;=9,"Promoter",IF(E2229&gt;=7,"Passive","Detractor"))</f>
        <v>Promoter</v>
      </c>
    </row>
    <row r="2230" customFormat="false" ht="15" hidden="false" customHeight="false" outlineLevel="0" collapsed="false">
      <c r="A2230" s="8" t="s">
        <v>6853</v>
      </c>
      <c r="B2230" s="8" t="s">
        <v>3668</v>
      </c>
      <c r="C2230" s="8" t="s">
        <v>51</v>
      </c>
      <c r="D2230" s="32" t="n">
        <v>46125</v>
      </c>
      <c r="E2230" s="8" t="n">
        <v>6</v>
      </c>
      <c r="F2230" s="8" t="str">
        <f aca="false">IF(E2230&gt;=9,"Promoter",IF(E2230&gt;=7,"Passive","Detractor"))</f>
        <v>Detractor</v>
      </c>
    </row>
    <row r="2231" customFormat="false" ht="15" hidden="false" customHeight="false" outlineLevel="0" collapsed="false">
      <c r="A2231" s="8" t="s">
        <v>6854</v>
      </c>
      <c r="B2231" s="8" t="s">
        <v>1957</v>
      </c>
      <c r="C2231" s="8" t="s">
        <v>51</v>
      </c>
      <c r="D2231" s="32" t="n">
        <v>46125</v>
      </c>
      <c r="E2231" s="8" t="n">
        <v>6</v>
      </c>
      <c r="F2231" s="8" t="str">
        <f aca="false">IF(E2231&gt;=9,"Promoter",IF(E2231&gt;=7,"Passive","Detractor"))</f>
        <v>Detractor</v>
      </c>
    </row>
    <row r="2232" customFormat="false" ht="15" hidden="false" customHeight="false" outlineLevel="0" collapsed="false">
      <c r="A2232" s="8" t="s">
        <v>6855</v>
      </c>
      <c r="B2232" s="8" t="s">
        <v>1371</v>
      </c>
      <c r="C2232" s="8" t="s">
        <v>53</v>
      </c>
      <c r="D2232" s="32" t="n">
        <v>46125</v>
      </c>
      <c r="E2232" s="8" t="n">
        <v>9</v>
      </c>
      <c r="F2232" s="8" t="str">
        <f aca="false">IF(E2232&gt;=9,"Promoter",IF(E2232&gt;=7,"Passive","Detractor"))</f>
        <v>Promoter</v>
      </c>
    </row>
    <row r="2233" customFormat="false" ht="15" hidden="false" customHeight="false" outlineLevel="0" collapsed="false">
      <c r="A2233" s="8" t="s">
        <v>6856</v>
      </c>
      <c r="B2233" s="8" t="s">
        <v>1391</v>
      </c>
      <c r="C2233" s="8" t="s">
        <v>53</v>
      </c>
      <c r="D2233" s="32" t="n">
        <v>46125</v>
      </c>
      <c r="E2233" s="8" t="n">
        <v>7</v>
      </c>
      <c r="F2233" s="8" t="str">
        <f aca="false">IF(E2233&gt;=9,"Promoter",IF(E2233&gt;=7,"Passive","Detractor"))</f>
        <v>Passive</v>
      </c>
    </row>
    <row r="2234" customFormat="false" ht="15" hidden="false" customHeight="false" outlineLevel="0" collapsed="false">
      <c r="A2234" s="8" t="s">
        <v>6857</v>
      </c>
      <c r="B2234" s="8" t="s">
        <v>1465</v>
      </c>
      <c r="C2234" s="8" t="s">
        <v>53</v>
      </c>
      <c r="D2234" s="32" t="n">
        <v>46125</v>
      </c>
      <c r="E2234" s="8" t="n">
        <v>8</v>
      </c>
      <c r="F2234" s="8" t="str">
        <f aca="false">IF(E2234&gt;=9,"Promoter",IF(E2234&gt;=7,"Passive","Detractor"))</f>
        <v>Passive</v>
      </c>
    </row>
    <row r="2235" customFormat="false" ht="15" hidden="false" customHeight="false" outlineLevel="0" collapsed="false">
      <c r="A2235" s="8" t="s">
        <v>6858</v>
      </c>
      <c r="B2235" s="8" t="s">
        <v>2868</v>
      </c>
      <c r="C2235" s="8" t="s">
        <v>51</v>
      </c>
      <c r="D2235" s="32" t="n">
        <v>46125</v>
      </c>
      <c r="E2235" s="8" t="n">
        <v>10</v>
      </c>
      <c r="F2235" s="8" t="str">
        <f aca="false">IF(E2235&gt;=9,"Promoter",IF(E2235&gt;=7,"Passive","Detractor"))</f>
        <v>Promoter</v>
      </c>
    </row>
    <row r="2236" customFormat="false" ht="15" hidden="false" customHeight="false" outlineLevel="0" collapsed="false">
      <c r="A2236" s="8" t="s">
        <v>6859</v>
      </c>
      <c r="B2236" s="8" t="s">
        <v>221</v>
      </c>
      <c r="C2236" s="8" t="s">
        <v>55</v>
      </c>
      <c r="D2236" s="32" t="n">
        <v>46125</v>
      </c>
      <c r="E2236" s="8" t="n">
        <v>8</v>
      </c>
      <c r="F2236" s="8" t="str">
        <f aca="false">IF(E2236&gt;=9,"Promoter",IF(E2236&gt;=7,"Passive","Detractor"))</f>
        <v>Passive</v>
      </c>
    </row>
    <row r="2237" customFormat="false" ht="15" hidden="false" customHeight="false" outlineLevel="0" collapsed="false">
      <c r="A2237" s="8" t="s">
        <v>6860</v>
      </c>
      <c r="B2237" s="8" t="s">
        <v>1575</v>
      </c>
      <c r="C2237" s="8" t="s">
        <v>53</v>
      </c>
      <c r="D2237" s="32" t="n">
        <v>46125</v>
      </c>
      <c r="E2237" s="8" t="n">
        <v>8</v>
      </c>
      <c r="F2237" s="8" t="str">
        <f aca="false">IF(E2237&gt;=9,"Promoter",IF(E2237&gt;=7,"Passive","Detractor"))</f>
        <v>Passive</v>
      </c>
    </row>
    <row r="2238" customFormat="false" ht="15" hidden="false" customHeight="false" outlineLevel="0" collapsed="false">
      <c r="A2238" s="8" t="s">
        <v>6861</v>
      </c>
      <c r="B2238" s="8" t="s">
        <v>1345</v>
      </c>
      <c r="C2238" s="8" t="s">
        <v>53</v>
      </c>
      <c r="D2238" s="32" t="n">
        <v>46125</v>
      </c>
      <c r="E2238" s="8" t="n">
        <v>6</v>
      </c>
      <c r="F2238" s="8" t="str">
        <f aca="false">IF(E2238&gt;=9,"Promoter",IF(E2238&gt;=7,"Passive","Detractor"))</f>
        <v>Detractor</v>
      </c>
    </row>
    <row r="2239" customFormat="false" ht="15" hidden="false" customHeight="false" outlineLevel="0" collapsed="false">
      <c r="A2239" s="8" t="s">
        <v>6862</v>
      </c>
      <c r="B2239" s="8" t="s">
        <v>4062</v>
      </c>
      <c r="C2239" s="8" t="s">
        <v>51</v>
      </c>
      <c r="D2239" s="32" t="n">
        <v>46125</v>
      </c>
      <c r="E2239" s="8" t="n">
        <v>7</v>
      </c>
      <c r="F2239" s="8" t="str">
        <f aca="false">IF(E2239&gt;=9,"Promoter",IF(E2239&gt;=7,"Passive","Detractor"))</f>
        <v>Passive</v>
      </c>
    </row>
    <row r="2240" customFormat="false" ht="15" hidden="false" customHeight="false" outlineLevel="0" collapsed="false">
      <c r="A2240" s="8" t="s">
        <v>6863</v>
      </c>
      <c r="B2240" s="8" t="s">
        <v>3010</v>
      </c>
      <c r="C2240" s="8" t="s">
        <v>51</v>
      </c>
      <c r="D2240" s="32" t="n">
        <v>46125</v>
      </c>
      <c r="E2240" s="8" t="n">
        <v>10</v>
      </c>
      <c r="F2240" s="8" t="str">
        <f aca="false">IF(E2240&gt;=9,"Promoter",IF(E2240&gt;=7,"Passive","Detractor"))</f>
        <v>Promoter</v>
      </c>
    </row>
    <row r="2241" customFormat="false" ht="15" hidden="false" customHeight="false" outlineLevel="0" collapsed="false">
      <c r="A2241" s="8" t="s">
        <v>6864</v>
      </c>
      <c r="B2241" s="8" t="s">
        <v>1997</v>
      </c>
      <c r="C2241" s="8" t="s">
        <v>51</v>
      </c>
      <c r="D2241" s="32" t="n">
        <v>46125</v>
      </c>
      <c r="E2241" s="8" t="n">
        <v>7</v>
      </c>
      <c r="F2241" s="8" t="str">
        <f aca="false">IF(E2241&gt;=9,"Promoter",IF(E2241&gt;=7,"Passive","Detractor"))</f>
        <v>Passive</v>
      </c>
    </row>
    <row r="2242" customFormat="false" ht="15" hidden="false" customHeight="false" outlineLevel="0" collapsed="false">
      <c r="A2242" s="8" t="s">
        <v>6865</v>
      </c>
      <c r="B2242" s="8" t="s">
        <v>2630</v>
      </c>
      <c r="C2242" s="8" t="s">
        <v>51</v>
      </c>
      <c r="D2242" s="32" t="n">
        <v>46125</v>
      </c>
      <c r="E2242" s="8" t="n">
        <v>9</v>
      </c>
      <c r="F2242" s="8" t="str">
        <f aca="false">IF(E2242&gt;=9,"Promoter",IF(E2242&gt;=7,"Passive","Detractor"))</f>
        <v>Promoter</v>
      </c>
    </row>
    <row r="2243" customFormat="false" ht="15" hidden="false" customHeight="false" outlineLevel="0" collapsed="false">
      <c r="A2243" s="8" t="s">
        <v>6866</v>
      </c>
      <c r="B2243" s="8" t="s">
        <v>995</v>
      </c>
      <c r="C2243" s="8" t="s">
        <v>53</v>
      </c>
      <c r="D2243" s="32" t="n">
        <v>46125</v>
      </c>
      <c r="E2243" s="8" t="n">
        <v>7</v>
      </c>
      <c r="F2243" s="8" t="str">
        <f aca="false">IF(E2243&gt;=9,"Promoter",IF(E2243&gt;=7,"Passive","Detractor"))</f>
        <v>Passive</v>
      </c>
    </row>
    <row r="2244" customFormat="false" ht="15" hidden="false" customHeight="false" outlineLevel="0" collapsed="false">
      <c r="A2244" s="8" t="s">
        <v>6867</v>
      </c>
      <c r="B2244" s="8" t="s">
        <v>2352</v>
      </c>
      <c r="C2244" s="8" t="s">
        <v>51</v>
      </c>
      <c r="D2244" s="32" t="n">
        <v>46126</v>
      </c>
      <c r="E2244" s="8" t="n">
        <v>9</v>
      </c>
      <c r="F2244" s="8" t="str">
        <f aca="false">IF(E2244&gt;=9,"Promoter",IF(E2244&gt;=7,"Passive","Detractor"))</f>
        <v>Promoter</v>
      </c>
    </row>
    <row r="2245" customFormat="false" ht="15" hidden="false" customHeight="false" outlineLevel="0" collapsed="false">
      <c r="A2245" s="8" t="s">
        <v>6868</v>
      </c>
      <c r="B2245" s="8" t="s">
        <v>2550</v>
      </c>
      <c r="C2245" s="8" t="s">
        <v>51</v>
      </c>
      <c r="D2245" s="32" t="n">
        <v>46126</v>
      </c>
      <c r="E2245" s="8" t="n">
        <v>8</v>
      </c>
      <c r="F2245" s="8" t="str">
        <f aca="false">IF(E2245&gt;=9,"Promoter",IF(E2245&gt;=7,"Passive","Detractor"))</f>
        <v>Passive</v>
      </c>
    </row>
    <row r="2246" customFormat="false" ht="15" hidden="false" customHeight="false" outlineLevel="0" collapsed="false">
      <c r="A2246" s="8" t="s">
        <v>6869</v>
      </c>
      <c r="B2246" s="8" t="s">
        <v>2662</v>
      </c>
      <c r="C2246" s="8" t="s">
        <v>51</v>
      </c>
      <c r="D2246" s="32" t="n">
        <v>46126</v>
      </c>
      <c r="E2246" s="8" t="n">
        <v>10</v>
      </c>
      <c r="F2246" s="8" t="str">
        <f aca="false">IF(E2246&gt;=9,"Promoter",IF(E2246&gt;=7,"Passive","Detractor"))</f>
        <v>Promoter</v>
      </c>
    </row>
    <row r="2247" customFormat="false" ht="15" hidden="false" customHeight="false" outlineLevel="0" collapsed="false">
      <c r="A2247" s="8" t="s">
        <v>6870</v>
      </c>
      <c r="B2247" s="8" t="s">
        <v>2494</v>
      </c>
      <c r="C2247" s="8" t="s">
        <v>51</v>
      </c>
      <c r="D2247" s="32" t="n">
        <v>46126</v>
      </c>
      <c r="E2247" s="8" t="n">
        <v>10</v>
      </c>
      <c r="F2247" s="8" t="str">
        <f aca="false">IF(E2247&gt;=9,"Promoter",IF(E2247&gt;=7,"Passive","Detractor"))</f>
        <v>Promoter</v>
      </c>
    </row>
    <row r="2248" customFormat="false" ht="15" hidden="false" customHeight="false" outlineLevel="0" collapsed="false">
      <c r="A2248" s="8" t="s">
        <v>6871</v>
      </c>
      <c r="B2248" s="8" t="s">
        <v>4480</v>
      </c>
      <c r="C2248" s="8" t="s">
        <v>51</v>
      </c>
      <c r="D2248" s="32" t="n">
        <v>46126</v>
      </c>
      <c r="E2248" s="8" t="n">
        <v>5</v>
      </c>
      <c r="F2248" s="8" t="str">
        <f aca="false">IF(E2248&gt;=9,"Promoter",IF(E2248&gt;=7,"Passive","Detractor"))</f>
        <v>Detractor</v>
      </c>
    </row>
    <row r="2249" customFormat="false" ht="15" hidden="false" customHeight="false" outlineLevel="0" collapsed="false">
      <c r="A2249" s="8" t="s">
        <v>6872</v>
      </c>
      <c r="B2249" s="8" t="s">
        <v>3912</v>
      </c>
      <c r="C2249" s="8" t="s">
        <v>51</v>
      </c>
      <c r="D2249" s="32" t="n">
        <v>46126</v>
      </c>
      <c r="E2249" s="8" t="n">
        <v>9</v>
      </c>
      <c r="F2249" s="8" t="str">
        <f aca="false">IF(E2249&gt;=9,"Promoter",IF(E2249&gt;=7,"Passive","Detractor"))</f>
        <v>Promoter</v>
      </c>
    </row>
    <row r="2250" customFormat="false" ht="15" hidden="false" customHeight="false" outlineLevel="0" collapsed="false">
      <c r="A2250" s="8" t="s">
        <v>6873</v>
      </c>
      <c r="B2250" s="8" t="s">
        <v>2250</v>
      </c>
      <c r="C2250" s="8" t="s">
        <v>51</v>
      </c>
      <c r="D2250" s="32" t="n">
        <v>46126</v>
      </c>
      <c r="E2250" s="8" t="n">
        <v>7</v>
      </c>
      <c r="F2250" s="8" t="str">
        <f aca="false">IF(E2250&gt;=9,"Promoter",IF(E2250&gt;=7,"Passive","Detractor"))</f>
        <v>Passive</v>
      </c>
    </row>
    <row r="2251" customFormat="false" ht="15" hidden="false" customHeight="false" outlineLevel="0" collapsed="false">
      <c r="A2251" s="8" t="s">
        <v>6874</v>
      </c>
      <c r="B2251" s="8" t="s">
        <v>1585</v>
      </c>
      <c r="C2251" s="8" t="s">
        <v>53</v>
      </c>
      <c r="D2251" s="32" t="n">
        <v>46126</v>
      </c>
      <c r="E2251" s="8" t="n">
        <v>10</v>
      </c>
      <c r="F2251" s="8" t="str">
        <f aca="false">IF(E2251&gt;=9,"Promoter",IF(E2251&gt;=7,"Passive","Detractor"))</f>
        <v>Promoter</v>
      </c>
    </row>
    <row r="2252" customFormat="false" ht="15" hidden="false" customHeight="false" outlineLevel="0" collapsed="false">
      <c r="A2252" s="8" t="s">
        <v>6875</v>
      </c>
      <c r="B2252" s="8" t="s">
        <v>183</v>
      </c>
      <c r="C2252" s="8" t="s">
        <v>55</v>
      </c>
      <c r="D2252" s="32" t="n">
        <v>46126</v>
      </c>
      <c r="E2252" s="8" t="n">
        <v>9</v>
      </c>
      <c r="F2252" s="8" t="str">
        <f aca="false">IF(E2252&gt;=9,"Promoter",IF(E2252&gt;=7,"Passive","Detractor"))</f>
        <v>Promoter</v>
      </c>
    </row>
    <row r="2253" customFormat="false" ht="15" hidden="false" customHeight="false" outlineLevel="0" collapsed="false">
      <c r="A2253" s="8" t="s">
        <v>6876</v>
      </c>
      <c r="B2253" s="8" t="s">
        <v>3990</v>
      </c>
      <c r="C2253" s="8" t="s">
        <v>51</v>
      </c>
      <c r="D2253" s="32" t="n">
        <v>46126</v>
      </c>
      <c r="E2253" s="8" t="n">
        <v>7</v>
      </c>
      <c r="F2253" s="8" t="str">
        <f aca="false">IF(E2253&gt;=9,"Promoter",IF(E2253&gt;=7,"Passive","Detractor"))</f>
        <v>Passive</v>
      </c>
    </row>
    <row r="2254" customFormat="false" ht="15" hidden="false" customHeight="false" outlineLevel="0" collapsed="false">
      <c r="A2254" s="8" t="s">
        <v>6877</v>
      </c>
      <c r="B2254" s="8" t="s">
        <v>3168</v>
      </c>
      <c r="C2254" s="8" t="s">
        <v>51</v>
      </c>
      <c r="D2254" s="32" t="n">
        <v>46126</v>
      </c>
      <c r="E2254" s="8" t="n">
        <v>6</v>
      </c>
      <c r="F2254" s="8" t="str">
        <f aca="false">IF(E2254&gt;=9,"Promoter",IF(E2254&gt;=7,"Passive","Detractor"))</f>
        <v>Detractor</v>
      </c>
    </row>
    <row r="2255" customFormat="false" ht="15" hidden="false" customHeight="false" outlineLevel="0" collapsed="false">
      <c r="A2255" s="8" t="s">
        <v>6878</v>
      </c>
      <c r="B2255" s="8" t="s">
        <v>465</v>
      </c>
      <c r="C2255" s="8" t="s">
        <v>55</v>
      </c>
      <c r="D2255" s="32" t="n">
        <v>46126</v>
      </c>
      <c r="E2255" s="8" t="n">
        <v>10</v>
      </c>
      <c r="F2255" s="8" t="str">
        <f aca="false">IF(E2255&gt;=9,"Promoter",IF(E2255&gt;=7,"Passive","Detractor"))</f>
        <v>Promoter</v>
      </c>
    </row>
    <row r="2256" customFormat="false" ht="15" hidden="false" customHeight="false" outlineLevel="0" collapsed="false">
      <c r="A2256" s="8" t="s">
        <v>6879</v>
      </c>
      <c r="B2256" s="8" t="s">
        <v>1489</v>
      </c>
      <c r="C2256" s="8" t="s">
        <v>53</v>
      </c>
      <c r="D2256" s="32" t="n">
        <v>46126</v>
      </c>
      <c r="E2256" s="8" t="n">
        <v>7</v>
      </c>
      <c r="F2256" s="8" t="str">
        <f aca="false">IF(E2256&gt;=9,"Promoter",IF(E2256&gt;=7,"Passive","Detractor"))</f>
        <v>Passive</v>
      </c>
    </row>
    <row r="2257" customFormat="false" ht="15" hidden="false" customHeight="false" outlineLevel="0" collapsed="false">
      <c r="A2257" s="8" t="s">
        <v>6880</v>
      </c>
      <c r="B2257" s="8" t="s">
        <v>1659</v>
      </c>
      <c r="C2257" s="8" t="s">
        <v>53</v>
      </c>
      <c r="D2257" s="32" t="n">
        <v>46126</v>
      </c>
      <c r="E2257" s="8" t="n">
        <v>9</v>
      </c>
      <c r="F2257" s="8" t="str">
        <f aca="false">IF(E2257&gt;=9,"Promoter",IF(E2257&gt;=7,"Passive","Detractor"))</f>
        <v>Promoter</v>
      </c>
    </row>
    <row r="2258" customFormat="false" ht="15" hidden="false" customHeight="false" outlineLevel="0" collapsed="false">
      <c r="A2258" s="8" t="s">
        <v>6881</v>
      </c>
      <c r="B2258" s="8" t="s">
        <v>1383</v>
      </c>
      <c r="C2258" s="8" t="s">
        <v>53</v>
      </c>
      <c r="D2258" s="32" t="n">
        <v>46126</v>
      </c>
      <c r="E2258" s="8" t="n">
        <v>9</v>
      </c>
      <c r="F2258" s="8" t="str">
        <f aca="false">IF(E2258&gt;=9,"Promoter",IF(E2258&gt;=7,"Passive","Detractor"))</f>
        <v>Promoter</v>
      </c>
    </row>
    <row r="2259" customFormat="false" ht="15" hidden="false" customHeight="false" outlineLevel="0" collapsed="false">
      <c r="A2259" s="8" t="s">
        <v>6882</v>
      </c>
      <c r="B2259" s="8" t="s">
        <v>517</v>
      </c>
      <c r="C2259" s="8" t="s">
        <v>55</v>
      </c>
      <c r="D2259" s="32" t="n">
        <v>46126</v>
      </c>
      <c r="E2259" s="8" t="n">
        <v>6</v>
      </c>
      <c r="F2259" s="8" t="str">
        <f aca="false">IF(E2259&gt;=9,"Promoter",IF(E2259&gt;=7,"Passive","Detractor"))</f>
        <v>Detractor</v>
      </c>
    </row>
    <row r="2260" customFormat="false" ht="15" hidden="false" customHeight="false" outlineLevel="0" collapsed="false">
      <c r="A2260" s="8" t="s">
        <v>6883</v>
      </c>
      <c r="B2260" s="8" t="s">
        <v>1189</v>
      </c>
      <c r="C2260" s="8" t="s">
        <v>53</v>
      </c>
      <c r="D2260" s="32" t="n">
        <v>46126</v>
      </c>
      <c r="E2260" s="8" t="n">
        <v>8</v>
      </c>
      <c r="F2260" s="8" t="str">
        <f aca="false">IF(E2260&gt;=9,"Promoter",IF(E2260&gt;=7,"Passive","Detractor"))</f>
        <v>Passive</v>
      </c>
    </row>
    <row r="2261" customFormat="false" ht="15" hidden="false" customHeight="false" outlineLevel="0" collapsed="false">
      <c r="A2261" s="8" t="s">
        <v>6884</v>
      </c>
      <c r="B2261" s="8" t="s">
        <v>4517</v>
      </c>
      <c r="C2261" s="8" t="s">
        <v>51</v>
      </c>
      <c r="D2261" s="32" t="n">
        <v>46126</v>
      </c>
      <c r="E2261" s="8" t="n">
        <v>6</v>
      </c>
      <c r="F2261" s="8" t="str">
        <f aca="false">IF(E2261&gt;=9,"Promoter",IF(E2261&gt;=7,"Passive","Detractor"))</f>
        <v>Detractor</v>
      </c>
    </row>
    <row r="2262" customFormat="false" ht="15" hidden="false" customHeight="false" outlineLevel="0" collapsed="false">
      <c r="A2262" s="8" t="s">
        <v>6885</v>
      </c>
      <c r="B2262" s="8" t="s">
        <v>1757</v>
      </c>
      <c r="C2262" s="8" t="s">
        <v>53</v>
      </c>
      <c r="D2262" s="32" t="n">
        <v>46126</v>
      </c>
      <c r="E2262" s="8" t="n">
        <v>10</v>
      </c>
      <c r="F2262" s="8" t="str">
        <f aca="false">IF(E2262&gt;=9,"Promoter",IF(E2262&gt;=7,"Passive","Detractor"))</f>
        <v>Promoter</v>
      </c>
    </row>
    <row r="2263" customFormat="false" ht="15" hidden="false" customHeight="false" outlineLevel="0" collapsed="false">
      <c r="A2263" s="8" t="s">
        <v>6886</v>
      </c>
      <c r="B2263" s="8" t="s">
        <v>3194</v>
      </c>
      <c r="C2263" s="8" t="s">
        <v>51</v>
      </c>
      <c r="D2263" s="32" t="n">
        <v>46126</v>
      </c>
      <c r="E2263" s="8" t="n">
        <v>9</v>
      </c>
      <c r="F2263" s="8" t="str">
        <f aca="false">IF(E2263&gt;=9,"Promoter",IF(E2263&gt;=7,"Passive","Detractor"))</f>
        <v>Promoter</v>
      </c>
    </row>
    <row r="2264" customFormat="false" ht="15" hidden="false" customHeight="false" outlineLevel="0" collapsed="false">
      <c r="A2264" s="8" t="s">
        <v>6887</v>
      </c>
      <c r="B2264" s="8" t="s">
        <v>1385</v>
      </c>
      <c r="C2264" s="8" t="s">
        <v>53</v>
      </c>
      <c r="D2264" s="32" t="n">
        <v>46126</v>
      </c>
      <c r="E2264" s="8" t="n">
        <v>10</v>
      </c>
      <c r="F2264" s="8" t="str">
        <f aca="false">IF(E2264&gt;=9,"Promoter",IF(E2264&gt;=7,"Passive","Detractor"))</f>
        <v>Promoter</v>
      </c>
    </row>
    <row r="2265" customFormat="false" ht="15" hidden="false" customHeight="false" outlineLevel="0" collapsed="false">
      <c r="A2265" s="8" t="s">
        <v>6888</v>
      </c>
      <c r="B2265" s="8" t="s">
        <v>2170</v>
      </c>
      <c r="C2265" s="8" t="s">
        <v>51</v>
      </c>
      <c r="D2265" s="32" t="n">
        <v>46126</v>
      </c>
      <c r="E2265" s="8" t="n">
        <v>5</v>
      </c>
      <c r="F2265" s="8" t="str">
        <f aca="false">IF(E2265&gt;=9,"Promoter",IF(E2265&gt;=7,"Passive","Detractor"))</f>
        <v>Detractor</v>
      </c>
    </row>
    <row r="2266" customFormat="false" ht="15" hidden="false" customHeight="false" outlineLevel="0" collapsed="false">
      <c r="A2266" s="8" t="s">
        <v>6889</v>
      </c>
      <c r="B2266" s="8" t="s">
        <v>2488</v>
      </c>
      <c r="C2266" s="8" t="s">
        <v>51</v>
      </c>
      <c r="D2266" s="32" t="n">
        <v>46127</v>
      </c>
      <c r="E2266" s="8" t="n">
        <v>10</v>
      </c>
      <c r="F2266" s="8" t="str">
        <f aca="false">IF(E2266&gt;=9,"Promoter",IF(E2266&gt;=7,"Passive","Detractor"))</f>
        <v>Promoter</v>
      </c>
    </row>
    <row r="2267" customFormat="false" ht="15" hidden="false" customHeight="false" outlineLevel="0" collapsed="false">
      <c r="A2267" s="8" t="s">
        <v>6890</v>
      </c>
      <c r="B2267" s="8" t="s">
        <v>2492</v>
      </c>
      <c r="C2267" s="8" t="s">
        <v>51</v>
      </c>
      <c r="D2267" s="32" t="n">
        <v>46127</v>
      </c>
      <c r="E2267" s="8" t="n">
        <v>10</v>
      </c>
      <c r="F2267" s="8" t="str">
        <f aca="false">IF(E2267&gt;=9,"Promoter",IF(E2267&gt;=7,"Passive","Detractor"))</f>
        <v>Promoter</v>
      </c>
    </row>
    <row r="2268" customFormat="false" ht="15" hidden="false" customHeight="false" outlineLevel="0" collapsed="false">
      <c r="A2268" s="8" t="s">
        <v>6891</v>
      </c>
      <c r="B2268" s="8" t="s">
        <v>2236</v>
      </c>
      <c r="C2268" s="8" t="s">
        <v>51</v>
      </c>
      <c r="D2268" s="32" t="n">
        <v>46127</v>
      </c>
      <c r="E2268" s="8" t="n">
        <v>10</v>
      </c>
      <c r="F2268" s="8" t="str">
        <f aca="false">IF(E2268&gt;=9,"Promoter",IF(E2268&gt;=7,"Passive","Detractor"))</f>
        <v>Promoter</v>
      </c>
    </row>
    <row r="2269" customFormat="false" ht="15" hidden="false" customHeight="false" outlineLevel="0" collapsed="false">
      <c r="A2269" s="8" t="s">
        <v>6892</v>
      </c>
      <c r="B2269" s="8" t="s">
        <v>2674</v>
      </c>
      <c r="C2269" s="8" t="s">
        <v>51</v>
      </c>
      <c r="D2269" s="32" t="n">
        <v>46127</v>
      </c>
      <c r="E2269" s="8" t="n">
        <v>8</v>
      </c>
      <c r="F2269" s="8" t="str">
        <f aca="false">IF(E2269&gt;=9,"Promoter",IF(E2269&gt;=7,"Passive","Detractor"))</f>
        <v>Passive</v>
      </c>
    </row>
    <row r="2270" customFormat="false" ht="15" hidden="false" customHeight="false" outlineLevel="0" collapsed="false">
      <c r="A2270" s="8" t="s">
        <v>6893</v>
      </c>
      <c r="B2270" s="8" t="s">
        <v>4214</v>
      </c>
      <c r="C2270" s="8" t="s">
        <v>51</v>
      </c>
      <c r="D2270" s="32" t="n">
        <v>46127</v>
      </c>
      <c r="E2270" s="8" t="n">
        <v>7</v>
      </c>
      <c r="F2270" s="8" t="str">
        <f aca="false">IF(E2270&gt;=9,"Promoter",IF(E2270&gt;=7,"Passive","Detractor"))</f>
        <v>Passive</v>
      </c>
    </row>
    <row r="2271" customFormat="false" ht="15" hidden="false" customHeight="false" outlineLevel="0" collapsed="false">
      <c r="A2271" s="8" t="s">
        <v>6894</v>
      </c>
      <c r="B2271" s="8" t="s">
        <v>2688</v>
      </c>
      <c r="C2271" s="8" t="s">
        <v>51</v>
      </c>
      <c r="D2271" s="32" t="n">
        <v>46127</v>
      </c>
      <c r="E2271" s="8" t="n">
        <v>10</v>
      </c>
      <c r="F2271" s="8" t="str">
        <f aca="false">IF(E2271&gt;=9,"Promoter",IF(E2271&gt;=7,"Passive","Detractor"))</f>
        <v>Promoter</v>
      </c>
    </row>
    <row r="2272" customFormat="false" ht="15" hidden="false" customHeight="false" outlineLevel="0" collapsed="false">
      <c r="A2272" s="8" t="s">
        <v>6895</v>
      </c>
      <c r="B2272" s="8" t="s">
        <v>4228</v>
      </c>
      <c r="C2272" s="8" t="s">
        <v>51</v>
      </c>
      <c r="D2272" s="32" t="n">
        <v>46127</v>
      </c>
      <c r="E2272" s="8" t="n">
        <v>10</v>
      </c>
      <c r="F2272" s="8" t="str">
        <f aca="false">IF(E2272&gt;=9,"Promoter",IF(E2272&gt;=7,"Passive","Detractor"))</f>
        <v>Promoter</v>
      </c>
    </row>
    <row r="2273" customFormat="false" ht="15" hidden="false" customHeight="false" outlineLevel="0" collapsed="false">
      <c r="A2273" s="8" t="s">
        <v>6896</v>
      </c>
      <c r="B2273" s="8" t="s">
        <v>3054</v>
      </c>
      <c r="C2273" s="8" t="s">
        <v>51</v>
      </c>
      <c r="D2273" s="32" t="n">
        <v>46127</v>
      </c>
      <c r="E2273" s="8" t="n">
        <v>10</v>
      </c>
      <c r="F2273" s="8" t="str">
        <f aca="false">IF(E2273&gt;=9,"Promoter",IF(E2273&gt;=7,"Passive","Detractor"))</f>
        <v>Promoter</v>
      </c>
    </row>
    <row r="2274" customFormat="false" ht="15" hidden="false" customHeight="false" outlineLevel="0" collapsed="false">
      <c r="A2274" s="8" t="s">
        <v>6897</v>
      </c>
      <c r="B2274" s="8" t="s">
        <v>3712</v>
      </c>
      <c r="C2274" s="8" t="s">
        <v>51</v>
      </c>
      <c r="D2274" s="32" t="n">
        <v>46127</v>
      </c>
      <c r="E2274" s="8" t="n">
        <v>6</v>
      </c>
      <c r="F2274" s="8" t="str">
        <f aca="false">IF(E2274&gt;=9,"Promoter",IF(E2274&gt;=7,"Passive","Detractor"))</f>
        <v>Detractor</v>
      </c>
    </row>
    <row r="2275" customFormat="false" ht="15" hidden="false" customHeight="false" outlineLevel="0" collapsed="false">
      <c r="A2275" s="8" t="s">
        <v>6898</v>
      </c>
      <c r="B2275" s="8" t="s">
        <v>4566</v>
      </c>
      <c r="C2275" s="8" t="s">
        <v>51</v>
      </c>
      <c r="D2275" s="32" t="n">
        <v>46127</v>
      </c>
      <c r="E2275" s="8" t="n">
        <v>9</v>
      </c>
      <c r="F2275" s="8" t="str">
        <f aca="false">IF(E2275&gt;=9,"Promoter",IF(E2275&gt;=7,"Passive","Detractor"))</f>
        <v>Promoter</v>
      </c>
    </row>
    <row r="2276" customFormat="false" ht="15" hidden="false" customHeight="false" outlineLevel="0" collapsed="false">
      <c r="A2276" s="8" t="s">
        <v>6899</v>
      </c>
      <c r="B2276" s="8" t="s">
        <v>2232</v>
      </c>
      <c r="C2276" s="8" t="s">
        <v>51</v>
      </c>
      <c r="D2276" s="32" t="n">
        <v>46127</v>
      </c>
      <c r="E2276" s="8" t="n">
        <v>10</v>
      </c>
      <c r="F2276" s="8" t="str">
        <f aca="false">IF(E2276&gt;=9,"Promoter",IF(E2276&gt;=7,"Passive","Detractor"))</f>
        <v>Promoter</v>
      </c>
    </row>
    <row r="2277" customFormat="false" ht="15" hidden="false" customHeight="false" outlineLevel="0" collapsed="false">
      <c r="A2277" s="8" t="s">
        <v>6900</v>
      </c>
      <c r="B2277" s="8" t="s">
        <v>4238</v>
      </c>
      <c r="C2277" s="8" t="s">
        <v>51</v>
      </c>
      <c r="D2277" s="32" t="n">
        <v>46127</v>
      </c>
      <c r="E2277" s="8" t="n">
        <v>7</v>
      </c>
      <c r="F2277" s="8" t="str">
        <f aca="false">IF(E2277&gt;=9,"Promoter",IF(E2277&gt;=7,"Passive","Detractor"))</f>
        <v>Passive</v>
      </c>
    </row>
    <row r="2278" customFormat="false" ht="15" hidden="false" customHeight="false" outlineLevel="0" collapsed="false">
      <c r="A2278" s="8" t="s">
        <v>6901</v>
      </c>
      <c r="B2278" s="8" t="s">
        <v>3614</v>
      </c>
      <c r="C2278" s="8" t="s">
        <v>51</v>
      </c>
      <c r="D2278" s="32" t="n">
        <v>46127</v>
      </c>
      <c r="E2278" s="8" t="n">
        <v>10</v>
      </c>
      <c r="F2278" s="8" t="str">
        <f aca="false">IF(E2278&gt;=9,"Promoter",IF(E2278&gt;=7,"Passive","Detractor"))</f>
        <v>Promoter</v>
      </c>
    </row>
    <row r="2279" customFormat="false" ht="15" hidden="false" customHeight="false" outlineLevel="0" collapsed="false">
      <c r="A2279" s="8" t="s">
        <v>6902</v>
      </c>
      <c r="B2279" s="8" t="s">
        <v>3068</v>
      </c>
      <c r="C2279" s="8" t="s">
        <v>51</v>
      </c>
      <c r="D2279" s="32" t="n">
        <v>46127</v>
      </c>
      <c r="E2279" s="8" t="n">
        <v>6</v>
      </c>
      <c r="F2279" s="8" t="str">
        <f aca="false">IF(E2279&gt;=9,"Promoter",IF(E2279&gt;=7,"Passive","Detractor"))</f>
        <v>Detractor</v>
      </c>
    </row>
    <row r="2280" customFormat="false" ht="15" hidden="false" customHeight="false" outlineLevel="0" collapsed="false">
      <c r="A2280" s="8" t="s">
        <v>6903</v>
      </c>
      <c r="B2280" s="8" t="s">
        <v>4322</v>
      </c>
      <c r="C2280" s="8" t="s">
        <v>51</v>
      </c>
      <c r="D2280" s="32" t="n">
        <v>46127</v>
      </c>
      <c r="E2280" s="8" t="n">
        <v>6</v>
      </c>
      <c r="F2280" s="8" t="str">
        <f aca="false">IF(E2280&gt;=9,"Promoter",IF(E2280&gt;=7,"Passive","Detractor"))</f>
        <v>Detractor</v>
      </c>
    </row>
    <row r="2281" customFormat="false" ht="15" hidden="false" customHeight="false" outlineLevel="0" collapsed="false">
      <c r="A2281" s="8" t="s">
        <v>6904</v>
      </c>
      <c r="B2281" s="8" t="s">
        <v>2278</v>
      </c>
      <c r="C2281" s="8" t="s">
        <v>51</v>
      </c>
      <c r="D2281" s="32" t="n">
        <v>46127</v>
      </c>
      <c r="E2281" s="8" t="n">
        <v>10</v>
      </c>
      <c r="F2281" s="8" t="str">
        <f aca="false">IF(E2281&gt;=9,"Promoter",IF(E2281&gt;=7,"Passive","Detractor"))</f>
        <v>Promoter</v>
      </c>
    </row>
    <row r="2282" customFormat="false" ht="15" hidden="false" customHeight="false" outlineLevel="0" collapsed="false">
      <c r="A2282" s="8" t="s">
        <v>6905</v>
      </c>
      <c r="B2282" s="8" t="s">
        <v>525</v>
      </c>
      <c r="C2282" s="8" t="s">
        <v>53</v>
      </c>
      <c r="D2282" s="32" t="n">
        <v>46127</v>
      </c>
      <c r="E2282" s="8" t="n">
        <v>10</v>
      </c>
      <c r="F2282" s="8" t="str">
        <f aca="false">IF(E2282&gt;=9,"Promoter",IF(E2282&gt;=7,"Passive","Detractor"))</f>
        <v>Promoter</v>
      </c>
    </row>
    <row r="2283" customFormat="false" ht="15" hidden="false" customHeight="false" outlineLevel="0" collapsed="false">
      <c r="A2283" s="8" t="s">
        <v>6906</v>
      </c>
      <c r="B2283" s="8" t="s">
        <v>1467</v>
      </c>
      <c r="C2283" s="8" t="s">
        <v>53</v>
      </c>
      <c r="D2283" s="32" t="n">
        <v>46127</v>
      </c>
      <c r="E2283" s="8" t="n">
        <v>10</v>
      </c>
      <c r="F2283" s="8" t="str">
        <f aca="false">IF(E2283&gt;=9,"Promoter",IF(E2283&gt;=7,"Passive","Detractor"))</f>
        <v>Promoter</v>
      </c>
    </row>
    <row r="2284" customFormat="false" ht="15" hidden="false" customHeight="false" outlineLevel="0" collapsed="false">
      <c r="A2284" s="8" t="s">
        <v>6907</v>
      </c>
      <c r="B2284" s="8" t="s">
        <v>4064</v>
      </c>
      <c r="C2284" s="8" t="s">
        <v>51</v>
      </c>
      <c r="D2284" s="32" t="n">
        <v>46127</v>
      </c>
      <c r="E2284" s="8" t="n">
        <v>6</v>
      </c>
      <c r="F2284" s="8" t="str">
        <f aca="false">IF(E2284&gt;=9,"Promoter",IF(E2284&gt;=7,"Passive","Detractor"))</f>
        <v>Detractor</v>
      </c>
    </row>
    <row r="2285" customFormat="false" ht="15" hidden="false" customHeight="false" outlineLevel="0" collapsed="false">
      <c r="A2285" s="8" t="s">
        <v>6908</v>
      </c>
      <c r="B2285" s="8" t="s">
        <v>4570</v>
      </c>
      <c r="C2285" s="8" t="s">
        <v>51</v>
      </c>
      <c r="D2285" s="32" t="n">
        <v>46127</v>
      </c>
      <c r="E2285" s="8" t="n">
        <v>10</v>
      </c>
      <c r="F2285" s="8" t="str">
        <f aca="false">IF(E2285&gt;=9,"Promoter",IF(E2285&gt;=7,"Passive","Detractor"))</f>
        <v>Promoter</v>
      </c>
    </row>
    <row r="2286" customFormat="false" ht="15" hidden="false" customHeight="false" outlineLevel="0" collapsed="false">
      <c r="A2286" s="8" t="s">
        <v>6909</v>
      </c>
      <c r="B2286" s="8" t="s">
        <v>4571</v>
      </c>
      <c r="C2286" s="8" t="s">
        <v>51</v>
      </c>
      <c r="D2286" s="32" t="n">
        <v>46127</v>
      </c>
      <c r="E2286" s="8" t="n">
        <v>3</v>
      </c>
      <c r="F2286" s="8" t="str">
        <f aca="false">IF(E2286&gt;=9,"Promoter",IF(E2286&gt;=7,"Passive","Detractor"))</f>
        <v>Detractor</v>
      </c>
    </row>
    <row r="2287" customFormat="false" ht="15" hidden="false" customHeight="false" outlineLevel="0" collapsed="false">
      <c r="A2287" s="8" t="s">
        <v>6910</v>
      </c>
      <c r="B2287" s="8" t="s">
        <v>316</v>
      </c>
      <c r="C2287" s="8" t="s">
        <v>55</v>
      </c>
      <c r="D2287" s="32" t="n">
        <v>46127</v>
      </c>
      <c r="E2287" s="8" t="n">
        <v>7</v>
      </c>
      <c r="F2287" s="8" t="str">
        <f aca="false">IF(E2287&gt;=9,"Promoter",IF(E2287&gt;=7,"Passive","Detractor"))</f>
        <v>Passive</v>
      </c>
    </row>
    <row r="2288" customFormat="false" ht="15" hidden="false" customHeight="false" outlineLevel="0" collapsed="false">
      <c r="A2288" s="8" t="s">
        <v>6911</v>
      </c>
      <c r="B2288" s="8" t="s">
        <v>4256</v>
      </c>
      <c r="C2288" s="8" t="s">
        <v>51</v>
      </c>
      <c r="D2288" s="32" t="n">
        <v>46127</v>
      </c>
      <c r="E2288" s="8" t="n">
        <v>10</v>
      </c>
      <c r="F2288" s="8" t="str">
        <f aca="false">IF(E2288&gt;=9,"Promoter",IF(E2288&gt;=7,"Passive","Detractor"))</f>
        <v>Promoter</v>
      </c>
    </row>
    <row r="2289" customFormat="false" ht="15" hidden="false" customHeight="false" outlineLevel="0" collapsed="false">
      <c r="A2289" s="8" t="s">
        <v>6912</v>
      </c>
      <c r="B2289" s="8" t="s">
        <v>2584</v>
      </c>
      <c r="C2289" s="8" t="s">
        <v>51</v>
      </c>
      <c r="D2289" s="32" t="n">
        <v>46127</v>
      </c>
      <c r="E2289" s="8" t="n">
        <v>8</v>
      </c>
      <c r="F2289" s="8" t="str">
        <f aca="false">IF(E2289&gt;=9,"Promoter",IF(E2289&gt;=7,"Passive","Detractor"))</f>
        <v>Passive</v>
      </c>
    </row>
    <row r="2290" customFormat="false" ht="15" hidden="false" customHeight="false" outlineLevel="0" collapsed="false">
      <c r="A2290" s="8" t="s">
        <v>6913</v>
      </c>
      <c r="B2290" s="8" t="s">
        <v>3898</v>
      </c>
      <c r="C2290" s="8" t="s">
        <v>51</v>
      </c>
      <c r="D2290" s="32" t="n">
        <v>46128</v>
      </c>
      <c r="E2290" s="8" t="n">
        <v>6</v>
      </c>
      <c r="F2290" s="8" t="str">
        <f aca="false">IF(E2290&gt;=9,"Promoter",IF(E2290&gt;=7,"Passive","Detractor"))</f>
        <v>Detractor</v>
      </c>
    </row>
    <row r="2291" customFormat="false" ht="15" hidden="false" customHeight="false" outlineLevel="0" collapsed="false">
      <c r="A2291" s="8" t="s">
        <v>6914</v>
      </c>
      <c r="B2291" s="8" t="s">
        <v>653</v>
      </c>
      <c r="C2291" s="8" t="s">
        <v>53</v>
      </c>
      <c r="D2291" s="32" t="n">
        <v>46128</v>
      </c>
      <c r="E2291" s="8" t="n">
        <v>10</v>
      </c>
      <c r="F2291" s="8" t="str">
        <f aca="false">IF(E2291&gt;=9,"Promoter",IF(E2291&gt;=7,"Passive","Detractor"))</f>
        <v>Promoter</v>
      </c>
    </row>
    <row r="2292" customFormat="false" ht="15" hidden="false" customHeight="false" outlineLevel="0" collapsed="false">
      <c r="A2292" s="8" t="s">
        <v>6915</v>
      </c>
      <c r="B2292" s="8" t="s">
        <v>217</v>
      </c>
      <c r="C2292" s="8" t="s">
        <v>55</v>
      </c>
      <c r="D2292" s="32" t="n">
        <v>46128</v>
      </c>
      <c r="E2292" s="8" t="n">
        <v>8</v>
      </c>
      <c r="F2292" s="8" t="str">
        <f aca="false">IF(E2292&gt;=9,"Promoter",IF(E2292&gt;=7,"Passive","Detractor"))</f>
        <v>Passive</v>
      </c>
    </row>
    <row r="2293" customFormat="false" ht="15" hidden="false" customHeight="false" outlineLevel="0" collapsed="false">
      <c r="A2293" s="8" t="s">
        <v>6916</v>
      </c>
      <c r="B2293" s="8" t="s">
        <v>853</v>
      </c>
      <c r="C2293" s="8" t="s">
        <v>53</v>
      </c>
      <c r="D2293" s="32" t="n">
        <v>46128</v>
      </c>
      <c r="E2293" s="8" t="n">
        <v>9</v>
      </c>
      <c r="F2293" s="8" t="str">
        <f aca="false">IF(E2293&gt;=9,"Promoter",IF(E2293&gt;=7,"Passive","Detractor"))</f>
        <v>Promoter</v>
      </c>
    </row>
    <row r="2294" customFormat="false" ht="15" hidden="false" customHeight="false" outlineLevel="0" collapsed="false">
      <c r="A2294" s="8" t="s">
        <v>6917</v>
      </c>
      <c r="B2294" s="8" t="s">
        <v>2200</v>
      </c>
      <c r="C2294" s="8" t="s">
        <v>51</v>
      </c>
      <c r="D2294" s="32" t="n">
        <v>46128</v>
      </c>
      <c r="E2294" s="8" t="n">
        <v>8</v>
      </c>
      <c r="F2294" s="8" t="str">
        <f aca="false">IF(E2294&gt;=9,"Promoter",IF(E2294&gt;=7,"Passive","Detractor"))</f>
        <v>Passive</v>
      </c>
    </row>
    <row r="2295" customFormat="false" ht="15" hidden="false" customHeight="false" outlineLevel="0" collapsed="false">
      <c r="A2295" s="8" t="s">
        <v>6918</v>
      </c>
      <c r="B2295" s="8" t="s">
        <v>3326</v>
      </c>
      <c r="C2295" s="8" t="s">
        <v>51</v>
      </c>
      <c r="D2295" s="32" t="n">
        <v>46128</v>
      </c>
      <c r="E2295" s="8" t="n">
        <v>6</v>
      </c>
      <c r="F2295" s="8" t="str">
        <f aca="false">IF(E2295&gt;=9,"Promoter",IF(E2295&gt;=7,"Passive","Detractor"))</f>
        <v>Detractor</v>
      </c>
    </row>
    <row r="2296" customFormat="false" ht="15" hidden="false" customHeight="false" outlineLevel="0" collapsed="false">
      <c r="A2296" s="8" t="s">
        <v>6919</v>
      </c>
      <c r="B2296" s="8" t="s">
        <v>3858</v>
      </c>
      <c r="C2296" s="8" t="s">
        <v>51</v>
      </c>
      <c r="D2296" s="32" t="n">
        <v>46128</v>
      </c>
      <c r="E2296" s="8" t="n">
        <v>9</v>
      </c>
      <c r="F2296" s="8" t="str">
        <f aca="false">IF(E2296&gt;=9,"Promoter",IF(E2296&gt;=7,"Passive","Detractor"))</f>
        <v>Promoter</v>
      </c>
    </row>
    <row r="2297" customFormat="false" ht="15" hidden="false" customHeight="false" outlineLevel="0" collapsed="false">
      <c r="A2297" s="8" t="s">
        <v>6920</v>
      </c>
      <c r="B2297" s="8" t="s">
        <v>3048</v>
      </c>
      <c r="C2297" s="8" t="s">
        <v>51</v>
      </c>
      <c r="D2297" s="32" t="n">
        <v>46128</v>
      </c>
      <c r="E2297" s="8" t="n">
        <v>10</v>
      </c>
      <c r="F2297" s="8" t="str">
        <f aca="false">IF(E2297&gt;=9,"Promoter",IF(E2297&gt;=7,"Passive","Detractor"))</f>
        <v>Promoter</v>
      </c>
    </row>
    <row r="2298" customFormat="false" ht="15" hidden="false" customHeight="false" outlineLevel="0" collapsed="false">
      <c r="A2298" s="8" t="s">
        <v>6921</v>
      </c>
      <c r="B2298" s="8" t="s">
        <v>2502</v>
      </c>
      <c r="C2298" s="8" t="s">
        <v>51</v>
      </c>
      <c r="D2298" s="32" t="n">
        <v>46128</v>
      </c>
      <c r="E2298" s="8" t="n">
        <v>10</v>
      </c>
      <c r="F2298" s="8" t="str">
        <f aca="false">IF(E2298&gt;=9,"Promoter",IF(E2298&gt;=7,"Passive","Detractor"))</f>
        <v>Promoter</v>
      </c>
    </row>
    <row r="2299" customFormat="false" ht="15" hidden="false" customHeight="false" outlineLevel="0" collapsed="false">
      <c r="A2299" s="8" t="s">
        <v>6922</v>
      </c>
      <c r="B2299" s="8" t="s">
        <v>4452</v>
      </c>
      <c r="C2299" s="8" t="s">
        <v>53</v>
      </c>
      <c r="D2299" s="32" t="n">
        <v>46128</v>
      </c>
      <c r="E2299" s="8" t="n">
        <v>5</v>
      </c>
      <c r="F2299" s="8" t="str">
        <f aca="false">IF(E2299&gt;=9,"Promoter",IF(E2299&gt;=7,"Passive","Detractor"))</f>
        <v>Detractor</v>
      </c>
    </row>
    <row r="2300" customFormat="false" ht="15" hidden="false" customHeight="false" outlineLevel="0" collapsed="false">
      <c r="A2300" s="8" t="s">
        <v>6923</v>
      </c>
      <c r="B2300" s="8" t="s">
        <v>939</v>
      </c>
      <c r="C2300" s="8" t="s">
        <v>53</v>
      </c>
      <c r="D2300" s="32" t="n">
        <v>46128</v>
      </c>
      <c r="E2300" s="8" t="n">
        <v>7</v>
      </c>
      <c r="F2300" s="8" t="str">
        <f aca="false">IF(E2300&gt;=9,"Promoter",IF(E2300&gt;=7,"Passive","Detractor"))</f>
        <v>Passive</v>
      </c>
    </row>
    <row r="2301" customFormat="false" ht="15" hidden="false" customHeight="false" outlineLevel="0" collapsed="false">
      <c r="A2301" s="8" t="s">
        <v>6924</v>
      </c>
      <c r="B2301" s="8" t="s">
        <v>3704</v>
      </c>
      <c r="C2301" s="8" t="s">
        <v>51</v>
      </c>
      <c r="D2301" s="32" t="n">
        <v>46128</v>
      </c>
      <c r="E2301" s="8" t="n">
        <v>7</v>
      </c>
      <c r="F2301" s="8" t="str">
        <f aca="false">IF(E2301&gt;=9,"Promoter",IF(E2301&gt;=7,"Passive","Detractor"))</f>
        <v>Passive</v>
      </c>
    </row>
    <row r="2302" customFormat="false" ht="15" hidden="false" customHeight="false" outlineLevel="0" collapsed="false">
      <c r="A2302" s="8" t="s">
        <v>6925</v>
      </c>
      <c r="B2302" s="8" t="s">
        <v>3706</v>
      </c>
      <c r="C2302" s="8" t="s">
        <v>51</v>
      </c>
      <c r="D2302" s="32" t="n">
        <v>46128</v>
      </c>
      <c r="E2302" s="8" t="n">
        <v>10</v>
      </c>
      <c r="F2302" s="8" t="str">
        <f aca="false">IF(E2302&gt;=9,"Promoter",IF(E2302&gt;=7,"Passive","Detractor"))</f>
        <v>Promoter</v>
      </c>
    </row>
    <row r="2303" customFormat="false" ht="15" hidden="false" customHeight="false" outlineLevel="0" collapsed="false">
      <c r="A2303" s="8" t="s">
        <v>6926</v>
      </c>
      <c r="B2303" s="8" t="s">
        <v>1839</v>
      </c>
      <c r="C2303" s="8" t="s">
        <v>51</v>
      </c>
      <c r="D2303" s="32" t="n">
        <v>46128</v>
      </c>
      <c r="E2303" s="8" t="n">
        <v>10</v>
      </c>
      <c r="F2303" s="8" t="str">
        <f aca="false">IF(E2303&gt;=9,"Promoter",IF(E2303&gt;=7,"Passive","Detractor"))</f>
        <v>Promoter</v>
      </c>
    </row>
    <row r="2304" customFormat="false" ht="15" hidden="false" customHeight="false" outlineLevel="0" collapsed="false">
      <c r="A2304" s="8" t="s">
        <v>6927</v>
      </c>
      <c r="B2304" s="8" t="s">
        <v>4310</v>
      </c>
      <c r="C2304" s="8" t="s">
        <v>51</v>
      </c>
      <c r="D2304" s="32" t="n">
        <v>46128</v>
      </c>
      <c r="E2304" s="8" t="n">
        <v>10</v>
      </c>
      <c r="F2304" s="8" t="str">
        <f aca="false">IF(E2304&gt;=9,"Promoter",IF(E2304&gt;=7,"Passive","Detractor"))</f>
        <v>Promoter</v>
      </c>
    </row>
    <row r="2305" customFormat="false" ht="15" hidden="false" customHeight="false" outlineLevel="0" collapsed="false">
      <c r="A2305" s="8" t="s">
        <v>6928</v>
      </c>
      <c r="B2305" s="8" t="s">
        <v>2752</v>
      </c>
      <c r="C2305" s="8" t="s">
        <v>51</v>
      </c>
      <c r="D2305" s="32" t="n">
        <v>46128</v>
      </c>
      <c r="E2305" s="8" t="n">
        <v>4</v>
      </c>
      <c r="F2305" s="8" t="str">
        <f aca="false">IF(E2305&gt;=9,"Promoter",IF(E2305&gt;=7,"Passive","Detractor"))</f>
        <v>Detractor</v>
      </c>
    </row>
    <row r="2306" customFormat="false" ht="15" hidden="false" customHeight="false" outlineLevel="0" collapsed="false">
      <c r="A2306" s="8" t="s">
        <v>6929</v>
      </c>
      <c r="B2306" s="8" t="s">
        <v>4002</v>
      </c>
      <c r="C2306" s="8" t="s">
        <v>51</v>
      </c>
      <c r="D2306" s="32" t="n">
        <v>46128</v>
      </c>
      <c r="E2306" s="8" t="n">
        <v>8</v>
      </c>
      <c r="F2306" s="8" t="str">
        <f aca="false">IF(E2306&gt;=9,"Promoter",IF(E2306&gt;=7,"Passive","Detractor"))</f>
        <v>Passive</v>
      </c>
    </row>
    <row r="2307" customFormat="false" ht="15" hidden="false" customHeight="false" outlineLevel="0" collapsed="false">
      <c r="A2307" s="8" t="s">
        <v>6930</v>
      </c>
      <c r="B2307" s="8" t="s">
        <v>1731</v>
      </c>
      <c r="C2307" s="8" t="s">
        <v>51</v>
      </c>
      <c r="D2307" s="32" t="n">
        <v>46128</v>
      </c>
      <c r="E2307" s="8" t="n">
        <v>6</v>
      </c>
      <c r="F2307" s="8" t="str">
        <f aca="false">IF(E2307&gt;=9,"Promoter",IF(E2307&gt;=7,"Passive","Detractor"))</f>
        <v>Detractor</v>
      </c>
    </row>
    <row r="2308" customFormat="false" ht="15" hidden="false" customHeight="false" outlineLevel="0" collapsed="false">
      <c r="A2308" s="8" t="s">
        <v>6931</v>
      </c>
      <c r="B2308" s="8" t="s">
        <v>3288</v>
      </c>
      <c r="C2308" s="8" t="s">
        <v>51</v>
      </c>
      <c r="D2308" s="32" t="n">
        <v>46128</v>
      </c>
      <c r="E2308" s="8" t="n">
        <v>10</v>
      </c>
      <c r="F2308" s="8" t="str">
        <f aca="false">IF(E2308&gt;=9,"Promoter",IF(E2308&gt;=7,"Passive","Detractor"))</f>
        <v>Promoter</v>
      </c>
    </row>
    <row r="2309" customFormat="false" ht="15" hidden="false" customHeight="false" outlineLevel="0" collapsed="false">
      <c r="A2309" s="8" t="s">
        <v>6932</v>
      </c>
      <c r="B2309" s="8" t="s">
        <v>1401</v>
      </c>
      <c r="C2309" s="8" t="s">
        <v>53</v>
      </c>
      <c r="D2309" s="32" t="n">
        <v>46128</v>
      </c>
      <c r="E2309" s="8" t="n">
        <v>10</v>
      </c>
      <c r="F2309" s="8" t="str">
        <f aca="false">IF(E2309&gt;=9,"Promoter",IF(E2309&gt;=7,"Passive","Detractor"))</f>
        <v>Promoter</v>
      </c>
    </row>
    <row r="2310" customFormat="false" ht="15" hidden="false" customHeight="false" outlineLevel="0" collapsed="false">
      <c r="A2310" s="8" t="s">
        <v>6933</v>
      </c>
      <c r="B2310" s="8" t="s">
        <v>4364</v>
      </c>
      <c r="C2310" s="8" t="s">
        <v>51</v>
      </c>
      <c r="D2310" s="32" t="n">
        <v>46128</v>
      </c>
      <c r="E2310" s="8" t="n">
        <v>10</v>
      </c>
      <c r="F2310" s="8" t="str">
        <f aca="false">IF(E2310&gt;=9,"Promoter",IF(E2310&gt;=7,"Passive","Detractor"))</f>
        <v>Promoter</v>
      </c>
    </row>
    <row r="2311" customFormat="false" ht="15" hidden="false" customHeight="false" outlineLevel="0" collapsed="false">
      <c r="A2311" s="8" t="s">
        <v>6934</v>
      </c>
      <c r="B2311" s="8" t="s">
        <v>3292</v>
      </c>
      <c r="C2311" s="8" t="s">
        <v>51</v>
      </c>
      <c r="D2311" s="32" t="n">
        <v>46128</v>
      </c>
      <c r="E2311" s="8" t="n">
        <v>6</v>
      </c>
      <c r="F2311" s="8" t="str">
        <f aca="false">IF(E2311&gt;=9,"Promoter",IF(E2311&gt;=7,"Passive","Detractor"))</f>
        <v>Detractor</v>
      </c>
    </row>
    <row r="2312" customFormat="false" ht="15" hidden="false" customHeight="false" outlineLevel="0" collapsed="false">
      <c r="A2312" s="8" t="s">
        <v>6935</v>
      </c>
      <c r="B2312" s="8" t="s">
        <v>272</v>
      </c>
      <c r="C2312" s="8" t="s">
        <v>55</v>
      </c>
      <c r="D2312" s="32" t="n">
        <v>46128</v>
      </c>
      <c r="E2312" s="8" t="n">
        <v>10</v>
      </c>
      <c r="F2312" s="8" t="str">
        <f aca="false">IF(E2312&gt;=9,"Promoter",IF(E2312&gt;=7,"Passive","Detractor"))</f>
        <v>Promoter</v>
      </c>
    </row>
    <row r="2313" customFormat="false" ht="15" hidden="false" customHeight="false" outlineLevel="0" collapsed="false">
      <c r="A2313" s="8" t="s">
        <v>6936</v>
      </c>
      <c r="B2313" s="8" t="s">
        <v>4386</v>
      </c>
      <c r="C2313" s="8" t="s">
        <v>51</v>
      </c>
      <c r="D2313" s="32" t="n">
        <v>46128</v>
      </c>
      <c r="E2313" s="8" t="n">
        <v>9</v>
      </c>
      <c r="F2313" s="8" t="str">
        <f aca="false">IF(E2313&gt;=9,"Promoter",IF(E2313&gt;=7,"Passive","Detractor"))</f>
        <v>Promoter</v>
      </c>
    </row>
    <row r="2314" customFormat="false" ht="15" hidden="false" customHeight="false" outlineLevel="0" collapsed="false">
      <c r="A2314" s="8" t="s">
        <v>6937</v>
      </c>
      <c r="B2314" s="8" t="s">
        <v>1031</v>
      </c>
      <c r="C2314" s="8" t="s">
        <v>53</v>
      </c>
      <c r="D2314" s="32" t="n">
        <v>46128</v>
      </c>
      <c r="E2314" s="8" t="n">
        <v>9</v>
      </c>
      <c r="F2314" s="8" t="str">
        <f aca="false">IF(E2314&gt;=9,"Promoter",IF(E2314&gt;=7,"Passive","Detractor"))</f>
        <v>Promoter</v>
      </c>
    </row>
    <row r="2315" customFormat="false" ht="15" hidden="false" customHeight="false" outlineLevel="0" collapsed="false">
      <c r="A2315" s="8" t="s">
        <v>6938</v>
      </c>
      <c r="B2315" s="8" t="s">
        <v>1569</v>
      </c>
      <c r="C2315" s="8" t="s">
        <v>53</v>
      </c>
      <c r="D2315" s="32" t="n">
        <v>46128</v>
      </c>
      <c r="E2315" s="8" t="n">
        <v>7</v>
      </c>
      <c r="F2315" s="8" t="str">
        <f aca="false">IF(E2315&gt;=9,"Promoter",IF(E2315&gt;=7,"Passive","Detractor"))</f>
        <v>Passive</v>
      </c>
    </row>
    <row r="2316" customFormat="false" ht="15" hidden="false" customHeight="false" outlineLevel="0" collapsed="false">
      <c r="A2316" s="8" t="s">
        <v>6939</v>
      </c>
      <c r="B2316" s="8" t="s">
        <v>1543</v>
      </c>
      <c r="C2316" s="8" t="s">
        <v>53</v>
      </c>
      <c r="D2316" s="32" t="n">
        <v>46128</v>
      </c>
      <c r="E2316" s="8" t="n">
        <v>9</v>
      </c>
      <c r="F2316" s="8" t="str">
        <f aca="false">IF(E2316&gt;=9,"Promoter",IF(E2316&gt;=7,"Passive","Detractor"))</f>
        <v>Promoter</v>
      </c>
    </row>
    <row r="2317" customFormat="false" ht="15" hidden="false" customHeight="false" outlineLevel="0" collapsed="false">
      <c r="A2317" s="8" t="s">
        <v>6940</v>
      </c>
      <c r="B2317" s="8" t="s">
        <v>3582</v>
      </c>
      <c r="C2317" s="8" t="s">
        <v>51</v>
      </c>
      <c r="D2317" s="32" t="n">
        <v>46128</v>
      </c>
      <c r="E2317" s="8" t="n">
        <v>10</v>
      </c>
      <c r="F2317" s="8" t="str">
        <f aca="false">IF(E2317&gt;=9,"Promoter",IF(E2317&gt;=7,"Passive","Detractor"))</f>
        <v>Promoter</v>
      </c>
    </row>
    <row r="2318" customFormat="false" ht="15" hidden="false" customHeight="false" outlineLevel="0" collapsed="false">
      <c r="A2318" s="8" t="s">
        <v>6941</v>
      </c>
      <c r="B2318" s="8" t="s">
        <v>2890</v>
      </c>
      <c r="C2318" s="8" t="s">
        <v>51</v>
      </c>
      <c r="D2318" s="32" t="n">
        <v>46128</v>
      </c>
      <c r="E2318" s="8" t="n">
        <v>7</v>
      </c>
      <c r="F2318" s="8" t="str">
        <f aca="false">IF(E2318&gt;=9,"Promoter",IF(E2318&gt;=7,"Passive","Detractor"))</f>
        <v>Passive</v>
      </c>
    </row>
    <row r="2319" customFormat="false" ht="15" hidden="false" customHeight="false" outlineLevel="0" collapsed="false">
      <c r="A2319" s="8" t="s">
        <v>6942</v>
      </c>
      <c r="B2319" s="8" t="s">
        <v>191</v>
      </c>
      <c r="C2319" s="8" t="s">
        <v>55</v>
      </c>
      <c r="D2319" s="32" t="n">
        <v>46129</v>
      </c>
      <c r="E2319" s="8" t="n">
        <v>10</v>
      </c>
      <c r="F2319" s="8" t="str">
        <f aca="false">IF(E2319&gt;=9,"Promoter",IF(E2319&gt;=7,"Passive","Detractor"))</f>
        <v>Promoter</v>
      </c>
    </row>
    <row r="2320" customFormat="false" ht="15" hidden="false" customHeight="false" outlineLevel="0" collapsed="false">
      <c r="A2320" s="8" t="s">
        <v>6943</v>
      </c>
      <c r="B2320" s="8" t="s">
        <v>867</v>
      </c>
      <c r="C2320" s="8" t="s">
        <v>53</v>
      </c>
      <c r="D2320" s="32" t="n">
        <v>46129</v>
      </c>
      <c r="E2320" s="8" t="n">
        <v>6</v>
      </c>
      <c r="F2320" s="8" t="str">
        <f aca="false">IF(E2320&gt;=9,"Promoter",IF(E2320&gt;=7,"Passive","Detractor"))</f>
        <v>Detractor</v>
      </c>
    </row>
    <row r="2321" customFormat="false" ht="15" hidden="false" customHeight="false" outlineLevel="0" collapsed="false">
      <c r="A2321" s="8" t="s">
        <v>6944</v>
      </c>
      <c r="B2321" s="8" t="s">
        <v>3696</v>
      </c>
      <c r="C2321" s="8" t="s">
        <v>51</v>
      </c>
      <c r="D2321" s="32" t="n">
        <v>46129</v>
      </c>
      <c r="E2321" s="8" t="n">
        <v>7</v>
      </c>
      <c r="F2321" s="8" t="str">
        <f aca="false">IF(E2321&gt;=9,"Promoter",IF(E2321&gt;=7,"Passive","Detractor"))</f>
        <v>Passive</v>
      </c>
    </row>
    <row r="2322" customFormat="false" ht="15" hidden="false" customHeight="false" outlineLevel="0" collapsed="false">
      <c r="A2322" s="8" t="s">
        <v>6945</v>
      </c>
      <c r="B2322" s="8" t="s">
        <v>1675</v>
      </c>
      <c r="C2322" s="8" t="s">
        <v>53</v>
      </c>
      <c r="D2322" s="32" t="n">
        <v>46129</v>
      </c>
      <c r="E2322" s="8" t="n">
        <v>8</v>
      </c>
      <c r="F2322" s="8" t="str">
        <f aca="false">IF(E2322&gt;=9,"Promoter",IF(E2322&gt;=7,"Passive","Detractor"))</f>
        <v>Passive</v>
      </c>
    </row>
    <row r="2323" customFormat="false" ht="15" hidden="false" customHeight="false" outlineLevel="0" collapsed="false">
      <c r="A2323" s="8" t="s">
        <v>6946</v>
      </c>
      <c r="B2323" s="8" t="s">
        <v>4212</v>
      </c>
      <c r="C2323" s="8" t="s">
        <v>51</v>
      </c>
      <c r="D2323" s="32" t="n">
        <v>46129</v>
      </c>
      <c r="E2323" s="8" t="n">
        <v>6</v>
      </c>
      <c r="F2323" s="8" t="str">
        <f aca="false">IF(E2323&gt;=9,"Promoter",IF(E2323&gt;=7,"Passive","Detractor"))</f>
        <v>Detractor</v>
      </c>
    </row>
    <row r="2324" customFormat="false" ht="15" hidden="false" customHeight="false" outlineLevel="0" collapsed="false">
      <c r="A2324" s="8" t="s">
        <v>6947</v>
      </c>
      <c r="B2324" s="8" t="s">
        <v>3986</v>
      </c>
      <c r="C2324" s="8" t="s">
        <v>51</v>
      </c>
      <c r="D2324" s="32" t="n">
        <v>46129</v>
      </c>
      <c r="E2324" s="8" t="n">
        <v>6</v>
      </c>
      <c r="F2324" s="8" t="str">
        <f aca="false">IF(E2324&gt;=9,"Promoter",IF(E2324&gt;=7,"Passive","Detractor"))</f>
        <v>Detractor</v>
      </c>
    </row>
    <row r="2325" customFormat="false" ht="15" hidden="false" customHeight="false" outlineLevel="0" collapsed="false">
      <c r="A2325" s="8" t="s">
        <v>6948</v>
      </c>
      <c r="B2325" s="8" t="s">
        <v>2686</v>
      </c>
      <c r="C2325" s="8" t="s">
        <v>51</v>
      </c>
      <c r="D2325" s="32" t="n">
        <v>46129</v>
      </c>
      <c r="E2325" s="8" t="n">
        <v>10</v>
      </c>
      <c r="F2325" s="8" t="str">
        <f aca="false">IF(E2325&gt;=9,"Promoter",IF(E2325&gt;=7,"Passive","Detractor"))</f>
        <v>Promoter</v>
      </c>
    </row>
    <row r="2326" customFormat="false" ht="15" hidden="false" customHeight="false" outlineLevel="0" collapsed="false">
      <c r="A2326" s="8" t="s">
        <v>6949</v>
      </c>
      <c r="B2326" s="8" t="s">
        <v>865</v>
      </c>
      <c r="C2326" s="8" t="s">
        <v>53</v>
      </c>
      <c r="D2326" s="32" t="n">
        <v>46129</v>
      </c>
      <c r="E2326" s="8" t="n">
        <v>7</v>
      </c>
      <c r="F2326" s="8" t="str">
        <f aca="false">IF(E2326&gt;=9,"Promoter",IF(E2326&gt;=7,"Passive","Detractor"))</f>
        <v>Passive</v>
      </c>
    </row>
    <row r="2327" customFormat="false" ht="15" hidden="false" customHeight="false" outlineLevel="0" collapsed="false">
      <c r="A2327" s="8" t="s">
        <v>6950</v>
      </c>
      <c r="B2327" s="8" t="s">
        <v>4453</v>
      </c>
      <c r="C2327" s="8" t="s">
        <v>53</v>
      </c>
      <c r="D2327" s="32" t="n">
        <v>46129</v>
      </c>
      <c r="E2327" s="8" t="n">
        <v>7</v>
      </c>
      <c r="F2327" s="8" t="str">
        <f aca="false">IF(E2327&gt;=9,"Promoter",IF(E2327&gt;=7,"Passive","Detractor"))</f>
        <v>Passive</v>
      </c>
    </row>
    <row r="2328" customFormat="false" ht="15" hidden="false" customHeight="false" outlineLevel="0" collapsed="false">
      <c r="A2328" s="8" t="s">
        <v>6951</v>
      </c>
      <c r="B2328" s="8" t="s">
        <v>2019</v>
      </c>
      <c r="C2328" s="8" t="s">
        <v>51</v>
      </c>
      <c r="D2328" s="32" t="n">
        <v>46129</v>
      </c>
      <c r="E2328" s="8" t="n">
        <v>8</v>
      </c>
      <c r="F2328" s="8" t="str">
        <f aca="false">IF(E2328&gt;=9,"Promoter",IF(E2328&gt;=7,"Passive","Detractor"))</f>
        <v>Passive</v>
      </c>
    </row>
    <row r="2329" customFormat="false" ht="15" hidden="false" customHeight="false" outlineLevel="0" collapsed="false">
      <c r="A2329" s="8" t="s">
        <v>6952</v>
      </c>
      <c r="B2329" s="8" t="s">
        <v>3416</v>
      </c>
      <c r="C2329" s="8" t="s">
        <v>51</v>
      </c>
      <c r="D2329" s="32" t="n">
        <v>46129</v>
      </c>
      <c r="E2329" s="8" t="n">
        <v>6</v>
      </c>
      <c r="F2329" s="8" t="str">
        <f aca="false">IF(E2329&gt;=9,"Promoter",IF(E2329&gt;=7,"Passive","Detractor"))</f>
        <v>Detractor</v>
      </c>
    </row>
    <row r="2330" customFormat="false" ht="15" hidden="false" customHeight="false" outlineLevel="0" collapsed="false">
      <c r="A2330" s="8" t="s">
        <v>6953</v>
      </c>
      <c r="B2330" s="8" t="s">
        <v>329</v>
      </c>
      <c r="C2330" s="8" t="s">
        <v>55</v>
      </c>
      <c r="D2330" s="32" t="n">
        <v>46129</v>
      </c>
      <c r="E2330" s="8" t="n">
        <v>9</v>
      </c>
      <c r="F2330" s="8" t="str">
        <f aca="false">IF(E2330&gt;=9,"Promoter",IF(E2330&gt;=7,"Passive","Detractor"))</f>
        <v>Promoter</v>
      </c>
    </row>
    <row r="2331" customFormat="false" ht="15" hidden="false" customHeight="false" outlineLevel="0" collapsed="false">
      <c r="A2331" s="8" t="s">
        <v>6954</v>
      </c>
      <c r="B2331" s="8" t="s">
        <v>3940</v>
      </c>
      <c r="C2331" s="8" t="s">
        <v>51</v>
      </c>
      <c r="D2331" s="32" t="n">
        <v>46129</v>
      </c>
      <c r="E2331" s="8" t="n">
        <v>6</v>
      </c>
      <c r="F2331" s="8" t="str">
        <f aca="false">IF(E2331&gt;=9,"Promoter",IF(E2331&gt;=7,"Passive","Detractor"))</f>
        <v>Detractor</v>
      </c>
    </row>
    <row r="2332" customFormat="false" ht="15" hidden="false" customHeight="false" outlineLevel="0" collapsed="false">
      <c r="A2332" s="8" t="s">
        <v>6955</v>
      </c>
      <c r="B2332" s="8" t="s">
        <v>2196</v>
      </c>
      <c r="C2332" s="8" t="s">
        <v>51</v>
      </c>
      <c r="D2332" s="32" t="n">
        <v>46129</v>
      </c>
      <c r="E2332" s="8" t="n">
        <v>10</v>
      </c>
      <c r="F2332" s="8" t="str">
        <f aca="false">IF(E2332&gt;=9,"Promoter",IF(E2332&gt;=7,"Passive","Detractor"))</f>
        <v>Promoter</v>
      </c>
    </row>
    <row r="2333" customFormat="false" ht="15" hidden="false" customHeight="false" outlineLevel="0" collapsed="false">
      <c r="A2333" s="8" t="s">
        <v>6956</v>
      </c>
      <c r="B2333" s="8" t="s">
        <v>2220</v>
      </c>
      <c r="C2333" s="8" t="s">
        <v>51</v>
      </c>
      <c r="D2333" s="32" t="n">
        <v>46129</v>
      </c>
      <c r="E2333" s="8" t="n">
        <v>6</v>
      </c>
      <c r="F2333" s="8" t="str">
        <f aca="false">IF(E2333&gt;=9,"Promoter",IF(E2333&gt;=7,"Passive","Detractor"))</f>
        <v>Detractor</v>
      </c>
    </row>
    <row r="2334" customFormat="false" ht="15" hidden="false" customHeight="false" outlineLevel="0" collapsed="false">
      <c r="A2334" s="8" t="s">
        <v>6957</v>
      </c>
      <c r="B2334" s="8" t="s">
        <v>4190</v>
      </c>
      <c r="C2334" s="8" t="s">
        <v>51</v>
      </c>
      <c r="D2334" s="32" t="n">
        <v>46129</v>
      </c>
      <c r="E2334" s="8" t="n">
        <v>10</v>
      </c>
      <c r="F2334" s="8" t="str">
        <f aca="false">IF(E2334&gt;=9,"Promoter",IF(E2334&gt;=7,"Passive","Detractor"))</f>
        <v>Promoter</v>
      </c>
    </row>
    <row r="2335" customFormat="false" ht="15" hidden="false" customHeight="false" outlineLevel="0" collapsed="false">
      <c r="A2335" s="8" t="s">
        <v>6958</v>
      </c>
      <c r="B2335" s="8" t="s">
        <v>2532</v>
      </c>
      <c r="C2335" s="8" t="s">
        <v>51</v>
      </c>
      <c r="D2335" s="32" t="n">
        <v>46129</v>
      </c>
      <c r="E2335" s="8" t="n">
        <v>10</v>
      </c>
      <c r="F2335" s="8" t="str">
        <f aca="false">IF(E2335&gt;=9,"Promoter",IF(E2335&gt;=7,"Passive","Detractor"))</f>
        <v>Promoter</v>
      </c>
    </row>
    <row r="2336" customFormat="false" ht="15" hidden="false" customHeight="false" outlineLevel="0" collapsed="false">
      <c r="A2336" s="8" t="s">
        <v>6959</v>
      </c>
      <c r="B2336" s="8" t="s">
        <v>1013</v>
      </c>
      <c r="C2336" s="8" t="s">
        <v>53</v>
      </c>
      <c r="D2336" s="32" t="n">
        <v>46129</v>
      </c>
      <c r="E2336" s="8" t="n">
        <v>7</v>
      </c>
      <c r="F2336" s="8" t="str">
        <f aca="false">IF(E2336&gt;=9,"Promoter",IF(E2336&gt;=7,"Passive","Detractor"))</f>
        <v>Passive</v>
      </c>
    </row>
    <row r="2337" customFormat="false" ht="15" hidden="false" customHeight="false" outlineLevel="0" collapsed="false">
      <c r="A2337" s="8" t="s">
        <v>6960</v>
      </c>
      <c r="B2337" s="8" t="s">
        <v>2774</v>
      </c>
      <c r="C2337" s="8" t="s">
        <v>51</v>
      </c>
      <c r="D2337" s="32" t="n">
        <v>46129</v>
      </c>
      <c r="E2337" s="8" t="n">
        <v>8</v>
      </c>
      <c r="F2337" s="8" t="str">
        <f aca="false">IF(E2337&gt;=9,"Promoter",IF(E2337&gt;=7,"Passive","Detractor"))</f>
        <v>Passive</v>
      </c>
    </row>
    <row r="2338" customFormat="false" ht="15" hidden="false" customHeight="false" outlineLevel="0" collapsed="false">
      <c r="A2338" s="8" t="s">
        <v>6961</v>
      </c>
      <c r="B2338" s="8" t="s">
        <v>2720</v>
      </c>
      <c r="C2338" s="8" t="s">
        <v>51</v>
      </c>
      <c r="D2338" s="32" t="n">
        <v>46129</v>
      </c>
      <c r="E2338" s="8" t="n">
        <v>6</v>
      </c>
      <c r="F2338" s="8" t="str">
        <f aca="false">IF(E2338&gt;=9,"Promoter",IF(E2338&gt;=7,"Passive","Detractor"))</f>
        <v>Detractor</v>
      </c>
    </row>
    <row r="2339" customFormat="false" ht="15" hidden="false" customHeight="false" outlineLevel="0" collapsed="false">
      <c r="A2339" s="8" t="s">
        <v>6962</v>
      </c>
      <c r="B2339" s="8" t="s">
        <v>2582</v>
      </c>
      <c r="C2339" s="8" t="s">
        <v>51</v>
      </c>
      <c r="D2339" s="32" t="n">
        <v>46129</v>
      </c>
      <c r="E2339" s="8" t="n">
        <v>5</v>
      </c>
      <c r="F2339" s="8" t="str">
        <f aca="false">IF(E2339&gt;=9,"Promoter",IF(E2339&gt;=7,"Passive","Detractor"))</f>
        <v>Detractor</v>
      </c>
    </row>
    <row r="2340" customFormat="false" ht="15" hidden="false" customHeight="false" outlineLevel="0" collapsed="false">
      <c r="A2340" s="8" t="s">
        <v>6963</v>
      </c>
      <c r="B2340" s="8" t="s">
        <v>3198</v>
      </c>
      <c r="C2340" s="8" t="s">
        <v>51</v>
      </c>
      <c r="D2340" s="32" t="n">
        <v>46129</v>
      </c>
      <c r="E2340" s="8" t="n">
        <v>9</v>
      </c>
      <c r="F2340" s="8" t="str">
        <f aca="false">IF(E2340&gt;=9,"Promoter",IF(E2340&gt;=7,"Passive","Detractor"))</f>
        <v>Promoter</v>
      </c>
    </row>
    <row r="2341" customFormat="false" ht="15" hidden="false" customHeight="false" outlineLevel="0" collapsed="false">
      <c r="A2341" s="8" t="s">
        <v>6964</v>
      </c>
      <c r="B2341" s="8" t="s">
        <v>3382</v>
      </c>
      <c r="C2341" s="8" t="s">
        <v>51</v>
      </c>
      <c r="D2341" s="32" t="n">
        <v>46129</v>
      </c>
      <c r="E2341" s="8" t="n">
        <v>10</v>
      </c>
      <c r="F2341" s="8" t="str">
        <f aca="false">IF(E2341&gt;=9,"Promoter",IF(E2341&gt;=7,"Passive","Detractor"))</f>
        <v>Promoter</v>
      </c>
    </row>
    <row r="2342" customFormat="false" ht="15" hidden="false" customHeight="false" outlineLevel="0" collapsed="false">
      <c r="A2342" s="8" t="s">
        <v>6965</v>
      </c>
      <c r="B2342" s="8" t="s">
        <v>1649</v>
      </c>
      <c r="C2342" s="8" t="s">
        <v>53</v>
      </c>
      <c r="D2342" s="32" t="n">
        <v>46130</v>
      </c>
      <c r="E2342" s="8" t="n">
        <v>9</v>
      </c>
      <c r="F2342" s="8" t="str">
        <f aca="false">IF(E2342&gt;=9,"Promoter",IF(E2342&gt;=7,"Passive","Detractor"))</f>
        <v>Promoter</v>
      </c>
    </row>
    <row r="2343" customFormat="false" ht="15" hidden="false" customHeight="false" outlineLevel="0" collapsed="false">
      <c r="A2343" s="8" t="s">
        <v>6966</v>
      </c>
      <c r="B2343" s="8" t="s">
        <v>3256</v>
      </c>
      <c r="C2343" s="8" t="s">
        <v>51</v>
      </c>
      <c r="D2343" s="32" t="n">
        <v>46130</v>
      </c>
      <c r="E2343" s="8" t="n">
        <v>10</v>
      </c>
      <c r="F2343" s="8" t="str">
        <f aca="false">IF(E2343&gt;=9,"Promoter",IF(E2343&gt;=7,"Passive","Detractor"))</f>
        <v>Promoter</v>
      </c>
    </row>
    <row r="2344" customFormat="false" ht="15" hidden="false" customHeight="false" outlineLevel="0" collapsed="false">
      <c r="A2344" s="8" t="s">
        <v>6967</v>
      </c>
      <c r="B2344" s="8" t="s">
        <v>3856</v>
      </c>
      <c r="C2344" s="8" t="s">
        <v>51</v>
      </c>
      <c r="D2344" s="32" t="n">
        <v>46130</v>
      </c>
      <c r="E2344" s="8" t="n">
        <v>6</v>
      </c>
      <c r="F2344" s="8" t="str">
        <f aca="false">IF(E2344&gt;=9,"Promoter",IF(E2344&gt;=7,"Passive","Detractor"))</f>
        <v>Detractor</v>
      </c>
    </row>
    <row r="2345" customFormat="false" ht="15" hidden="false" customHeight="false" outlineLevel="0" collapsed="false">
      <c r="A2345" s="8" t="s">
        <v>6968</v>
      </c>
      <c r="B2345" s="8" t="s">
        <v>585</v>
      </c>
      <c r="C2345" s="8" t="s">
        <v>53</v>
      </c>
      <c r="D2345" s="32" t="n">
        <v>46130</v>
      </c>
      <c r="E2345" s="8" t="n">
        <v>10</v>
      </c>
      <c r="F2345" s="8" t="str">
        <f aca="false">IF(E2345&gt;=9,"Promoter",IF(E2345&gt;=7,"Passive","Detractor"))</f>
        <v>Promoter</v>
      </c>
    </row>
    <row r="2346" customFormat="false" ht="15" hidden="false" customHeight="false" outlineLevel="0" collapsed="false">
      <c r="A2346" s="8" t="s">
        <v>6969</v>
      </c>
      <c r="B2346" s="8" t="s">
        <v>1501</v>
      </c>
      <c r="C2346" s="8" t="s">
        <v>53</v>
      </c>
      <c r="D2346" s="32" t="n">
        <v>46130</v>
      </c>
      <c r="E2346" s="8" t="n">
        <v>9</v>
      </c>
      <c r="F2346" s="8" t="str">
        <f aca="false">IF(E2346&gt;=9,"Promoter",IF(E2346&gt;=7,"Passive","Detractor"))</f>
        <v>Promoter</v>
      </c>
    </row>
    <row r="2347" customFormat="false" ht="15" hidden="false" customHeight="false" outlineLevel="0" collapsed="false">
      <c r="A2347" s="8" t="s">
        <v>6970</v>
      </c>
      <c r="B2347" s="8" t="s">
        <v>2284</v>
      </c>
      <c r="C2347" s="8" t="s">
        <v>51</v>
      </c>
      <c r="D2347" s="32" t="n">
        <v>46130</v>
      </c>
      <c r="E2347" s="8" t="n">
        <v>9</v>
      </c>
      <c r="F2347" s="8" t="str">
        <f aca="false">IF(E2347&gt;=9,"Promoter",IF(E2347&gt;=7,"Passive","Detractor"))</f>
        <v>Promoter</v>
      </c>
    </row>
    <row r="2348" customFormat="false" ht="15" hidden="false" customHeight="false" outlineLevel="0" collapsed="false">
      <c r="A2348" s="8" t="s">
        <v>6971</v>
      </c>
      <c r="B2348" s="8" t="s">
        <v>3208</v>
      </c>
      <c r="C2348" s="8" t="s">
        <v>51</v>
      </c>
      <c r="D2348" s="32" t="n">
        <v>46130</v>
      </c>
      <c r="E2348" s="8" t="n">
        <v>7</v>
      </c>
      <c r="F2348" s="8" t="str">
        <f aca="false">IF(E2348&gt;=9,"Promoter",IF(E2348&gt;=7,"Passive","Detractor"))</f>
        <v>Passive</v>
      </c>
    </row>
    <row r="2349" customFormat="false" ht="15" hidden="false" customHeight="false" outlineLevel="0" collapsed="false">
      <c r="A2349" s="8" t="s">
        <v>6972</v>
      </c>
      <c r="B2349" s="8" t="s">
        <v>2214</v>
      </c>
      <c r="C2349" s="8" t="s">
        <v>51</v>
      </c>
      <c r="D2349" s="32" t="n">
        <v>46130</v>
      </c>
      <c r="E2349" s="8" t="n">
        <v>7</v>
      </c>
      <c r="F2349" s="8" t="str">
        <f aca="false">IF(E2349&gt;=9,"Promoter",IF(E2349&gt;=7,"Passive","Detractor"))</f>
        <v>Passive</v>
      </c>
    </row>
    <row r="2350" customFormat="false" ht="15" hidden="false" customHeight="false" outlineLevel="0" collapsed="false">
      <c r="A2350" s="8" t="s">
        <v>6973</v>
      </c>
      <c r="B2350" s="8" t="s">
        <v>419</v>
      </c>
      <c r="C2350" s="8" t="s">
        <v>55</v>
      </c>
      <c r="D2350" s="32" t="n">
        <v>46130</v>
      </c>
      <c r="E2350" s="8" t="n">
        <v>10</v>
      </c>
      <c r="F2350" s="8" t="str">
        <f aca="false">IF(E2350&gt;=9,"Promoter",IF(E2350&gt;=7,"Passive","Detractor"))</f>
        <v>Promoter</v>
      </c>
    </row>
    <row r="2351" customFormat="false" ht="15" hidden="false" customHeight="false" outlineLevel="0" collapsed="false">
      <c r="A2351" s="8" t="s">
        <v>6974</v>
      </c>
      <c r="B2351" s="8" t="s">
        <v>579</v>
      </c>
      <c r="C2351" s="8" t="s">
        <v>55</v>
      </c>
      <c r="D2351" s="32" t="n">
        <v>46130</v>
      </c>
      <c r="E2351" s="8" t="n">
        <v>10</v>
      </c>
      <c r="F2351" s="8" t="str">
        <f aca="false">IF(E2351&gt;=9,"Promoter",IF(E2351&gt;=7,"Passive","Detractor"))</f>
        <v>Promoter</v>
      </c>
    </row>
    <row r="2352" customFormat="false" ht="15" hidden="false" customHeight="false" outlineLevel="0" collapsed="false">
      <c r="A2352" s="8" t="s">
        <v>6975</v>
      </c>
      <c r="B2352" s="8" t="s">
        <v>639</v>
      </c>
      <c r="C2352" s="8" t="s">
        <v>55</v>
      </c>
      <c r="D2352" s="32" t="n">
        <v>46130</v>
      </c>
      <c r="E2352" s="8" t="n">
        <v>10</v>
      </c>
      <c r="F2352" s="8" t="str">
        <f aca="false">IF(E2352&gt;=9,"Promoter",IF(E2352&gt;=7,"Passive","Detractor"))</f>
        <v>Promoter</v>
      </c>
    </row>
    <row r="2353" customFormat="false" ht="15" hidden="false" customHeight="false" outlineLevel="0" collapsed="false">
      <c r="A2353" s="8" t="s">
        <v>6976</v>
      </c>
      <c r="B2353" s="8" t="s">
        <v>4110</v>
      </c>
      <c r="C2353" s="8" t="s">
        <v>51</v>
      </c>
      <c r="D2353" s="32" t="n">
        <v>46130</v>
      </c>
      <c r="E2353" s="8" t="n">
        <v>7</v>
      </c>
      <c r="F2353" s="8" t="str">
        <f aca="false">IF(E2353&gt;=9,"Promoter",IF(E2353&gt;=7,"Passive","Detractor"))</f>
        <v>Passive</v>
      </c>
    </row>
    <row r="2354" customFormat="false" ht="15" hidden="false" customHeight="false" outlineLevel="0" collapsed="false">
      <c r="A2354" s="8" t="s">
        <v>6977</v>
      </c>
      <c r="B2354" s="8" t="s">
        <v>1129</v>
      </c>
      <c r="C2354" s="8" t="s">
        <v>53</v>
      </c>
      <c r="D2354" s="32" t="n">
        <v>46130</v>
      </c>
      <c r="E2354" s="8" t="n">
        <v>8</v>
      </c>
      <c r="F2354" s="8" t="str">
        <f aca="false">IF(E2354&gt;=9,"Promoter",IF(E2354&gt;=7,"Passive","Detractor"))</f>
        <v>Passive</v>
      </c>
    </row>
    <row r="2355" customFormat="false" ht="15" hidden="false" customHeight="false" outlineLevel="0" collapsed="false">
      <c r="A2355" s="8" t="s">
        <v>6978</v>
      </c>
      <c r="B2355" s="8" t="s">
        <v>3414</v>
      </c>
      <c r="C2355" s="8" t="s">
        <v>51</v>
      </c>
      <c r="D2355" s="32" t="n">
        <v>46130</v>
      </c>
      <c r="E2355" s="8" t="n">
        <v>8</v>
      </c>
      <c r="F2355" s="8" t="str">
        <f aca="false">IF(E2355&gt;=9,"Promoter",IF(E2355&gt;=7,"Passive","Detractor"))</f>
        <v>Passive</v>
      </c>
    </row>
    <row r="2356" customFormat="false" ht="15" hidden="false" customHeight="false" outlineLevel="0" collapsed="false">
      <c r="A2356" s="8" t="s">
        <v>6979</v>
      </c>
      <c r="B2356" s="8" t="s">
        <v>3510</v>
      </c>
      <c r="C2356" s="8" t="s">
        <v>51</v>
      </c>
      <c r="D2356" s="32" t="n">
        <v>46130</v>
      </c>
      <c r="E2356" s="8" t="n">
        <v>4</v>
      </c>
      <c r="F2356" s="8" t="str">
        <f aca="false">IF(E2356&gt;=9,"Promoter",IF(E2356&gt;=7,"Passive","Detractor"))</f>
        <v>Detractor</v>
      </c>
    </row>
    <row r="2357" customFormat="false" ht="15" hidden="false" customHeight="false" outlineLevel="0" collapsed="false">
      <c r="A2357" s="8" t="s">
        <v>6980</v>
      </c>
      <c r="B2357" s="8" t="s">
        <v>2952</v>
      </c>
      <c r="C2357" s="8" t="s">
        <v>51</v>
      </c>
      <c r="D2357" s="32" t="n">
        <v>46130</v>
      </c>
      <c r="E2357" s="8" t="n">
        <v>8</v>
      </c>
      <c r="F2357" s="8" t="str">
        <f aca="false">IF(E2357&gt;=9,"Promoter",IF(E2357&gt;=7,"Passive","Detractor"))</f>
        <v>Passive</v>
      </c>
    </row>
    <row r="2358" customFormat="false" ht="15" hidden="false" customHeight="false" outlineLevel="0" collapsed="false">
      <c r="A2358" s="8" t="s">
        <v>6981</v>
      </c>
      <c r="B2358" s="8" t="s">
        <v>3018</v>
      </c>
      <c r="C2358" s="8" t="s">
        <v>51</v>
      </c>
      <c r="D2358" s="32" t="n">
        <v>46130</v>
      </c>
      <c r="E2358" s="8" t="n">
        <v>7</v>
      </c>
      <c r="F2358" s="8" t="str">
        <f aca="false">IF(E2358&gt;=9,"Promoter",IF(E2358&gt;=7,"Passive","Detractor"))</f>
        <v>Passive</v>
      </c>
    </row>
    <row r="2359" customFormat="false" ht="15" hidden="false" customHeight="false" outlineLevel="0" collapsed="false">
      <c r="A2359" s="8" t="s">
        <v>6982</v>
      </c>
      <c r="B2359" s="8" t="s">
        <v>2478</v>
      </c>
      <c r="C2359" s="8" t="s">
        <v>51</v>
      </c>
      <c r="D2359" s="32" t="n">
        <v>46130</v>
      </c>
      <c r="E2359" s="8" t="n">
        <v>6</v>
      </c>
      <c r="F2359" s="8" t="str">
        <f aca="false">IF(E2359&gt;=9,"Promoter",IF(E2359&gt;=7,"Passive","Detractor"))</f>
        <v>Detractor</v>
      </c>
    </row>
    <row r="2360" customFormat="false" ht="15" hidden="false" customHeight="false" outlineLevel="0" collapsed="false">
      <c r="A2360" s="8" t="s">
        <v>6983</v>
      </c>
      <c r="B2360" s="8" t="s">
        <v>2808</v>
      </c>
      <c r="C2360" s="8" t="s">
        <v>51</v>
      </c>
      <c r="D2360" s="32" t="n">
        <v>46130</v>
      </c>
      <c r="E2360" s="8" t="n">
        <v>9</v>
      </c>
      <c r="F2360" s="8" t="str">
        <f aca="false">IF(E2360&gt;=9,"Promoter",IF(E2360&gt;=7,"Passive","Detractor"))</f>
        <v>Promoter</v>
      </c>
    </row>
    <row r="2361" customFormat="false" ht="15" hidden="false" customHeight="false" outlineLevel="0" collapsed="false">
      <c r="A2361" s="8" t="s">
        <v>6984</v>
      </c>
      <c r="B2361" s="8" t="s">
        <v>1663</v>
      </c>
      <c r="C2361" s="8" t="s">
        <v>53</v>
      </c>
      <c r="D2361" s="32" t="n">
        <v>46130</v>
      </c>
      <c r="E2361" s="8" t="n">
        <v>7</v>
      </c>
      <c r="F2361" s="8" t="str">
        <f aca="false">IF(E2361&gt;=9,"Promoter",IF(E2361&gt;=7,"Passive","Detractor"))</f>
        <v>Passive</v>
      </c>
    </row>
    <row r="2362" customFormat="false" ht="15" hidden="false" customHeight="false" outlineLevel="0" collapsed="false">
      <c r="A2362" s="8" t="s">
        <v>6985</v>
      </c>
      <c r="B2362" s="8" t="s">
        <v>3900</v>
      </c>
      <c r="C2362" s="8" t="s">
        <v>51</v>
      </c>
      <c r="D2362" s="32" t="n">
        <v>46131</v>
      </c>
      <c r="E2362" s="8" t="n">
        <v>8</v>
      </c>
      <c r="F2362" s="8" t="str">
        <f aca="false">IF(E2362&gt;=9,"Promoter",IF(E2362&gt;=7,"Passive","Detractor"))</f>
        <v>Passive</v>
      </c>
    </row>
    <row r="2363" customFormat="false" ht="15" hidden="false" customHeight="false" outlineLevel="0" collapsed="false">
      <c r="A2363" s="8" t="s">
        <v>6986</v>
      </c>
      <c r="B2363" s="8" t="s">
        <v>1319</v>
      </c>
      <c r="C2363" s="8" t="s">
        <v>53</v>
      </c>
      <c r="D2363" s="32" t="n">
        <v>46131</v>
      </c>
      <c r="E2363" s="8" t="n">
        <v>8</v>
      </c>
      <c r="F2363" s="8" t="str">
        <f aca="false">IF(E2363&gt;=9,"Promoter",IF(E2363&gt;=7,"Passive","Detractor"))</f>
        <v>Passive</v>
      </c>
    </row>
    <row r="2364" customFormat="false" ht="15" hidden="false" customHeight="false" outlineLevel="0" collapsed="false">
      <c r="A2364" s="8" t="s">
        <v>6987</v>
      </c>
      <c r="B2364" s="8" t="s">
        <v>1231</v>
      </c>
      <c r="C2364" s="8" t="s">
        <v>53</v>
      </c>
      <c r="D2364" s="32" t="n">
        <v>46131</v>
      </c>
      <c r="E2364" s="8" t="n">
        <v>10</v>
      </c>
      <c r="F2364" s="8" t="str">
        <f aca="false">IF(E2364&gt;=9,"Promoter",IF(E2364&gt;=7,"Passive","Detractor"))</f>
        <v>Promoter</v>
      </c>
    </row>
    <row r="2365" customFormat="false" ht="15" hidden="false" customHeight="false" outlineLevel="0" collapsed="false">
      <c r="A2365" s="8" t="s">
        <v>6988</v>
      </c>
      <c r="B2365" s="8" t="s">
        <v>1279</v>
      </c>
      <c r="C2365" s="8" t="s">
        <v>53</v>
      </c>
      <c r="D2365" s="32" t="n">
        <v>46131</v>
      </c>
      <c r="E2365" s="8" t="n">
        <v>7</v>
      </c>
      <c r="F2365" s="8" t="str">
        <f aca="false">IF(E2365&gt;=9,"Promoter",IF(E2365&gt;=7,"Passive","Detractor"))</f>
        <v>Passive</v>
      </c>
    </row>
    <row r="2366" customFormat="false" ht="15" hidden="false" customHeight="false" outlineLevel="0" collapsed="false">
      <c r="A2366" s="8" t="s">
        <v>6989</v>
      </c>
      <c r="B2366" s="8" t="s">
        <v>3334</v>
      </c>
      <c r="C2366" s="8" t="s">
        <v>51</v>
      </c>
      <c r="D2366" s="32" t="n">
        <v>46131</v>
      </c>
      <c r="E2366" s="8" t="n">
        <v>8</v>
      </c>
      <c r="F2366" s="8" t="str">
        <f aca="false">IF(E2366&gt;=9,"Promoter",IF(E2366&gt;=7,"Passive","Detractor"))</f>
        <v>Passive</v>
      </c>
    </row>
    <row r="2367" customFormat="false" ht="15" hidden="false" customHeight="false" outlineLevel="0" collapsed="false">
      <c r="A2367" s="8" t="s">
        <v>6990</v>
      </c>
      <c r="B2367" s="8" t="s">
        <v>4268</v>
      </c>
      <c r="C2367" s="8" t="s">
        <v>51</v>
      </c>
      <c r="D2367" s="32" t="n">
        <v>46131</v>
      </c>
      <c r="E2367" s="8" t="n">
        <v>9</v>
      </c>
      <c r="F2367" s="8" t="str">
        <f aca="false">IF(E2367&gt;=9,"Promoter",IF(E2367&gt;=7,"Passive","Detractor"))</f>
        <v>Promoter</v>
      </c>
    </row>
    <row r="2368" customFormat="false" ht="15" hidden="false" customHeight="false" outlineLevel="0" collapsed="false">
      <c r="A2368" s="8" t="s">
        <v>6991</v>
      </c>
      <c r="B2368" s="8" t="s">
        <v>1601</v>
      </c>
      <c r="C2368" s="8" t="s">
        <v>53</v>
      </c>
      <c r="D2368" s="32" t="n">
        <v>46131</v>
      </c>
      <c r="E2368" s="8" t="n">
        <v>8</v>
      </c>
      <c r="F2368" s="8" t="str">
        <f aca="false">IF(E2368&gt;=9,"Promoter",IF(E2368&gt;=7,"Passive","Detractor"))</f>
        <v>Passive</v>
      </c>
    </row>
    <row r="2369" customFormat="false" ht="15" hidden="false" customHeight="false" outlineLevel="0" collapsed="false">
      <c r="A2369" s="8" t="s">
        <v>6992</v>
      </c>
      <c r="B2369" s="8" t="s">
        <v>3062</v>
      </c>
      <c r="C2369" s="8" t="s">
        <v>51</v>
      </c>
      <c r="D2369" s="32" t="n">
        <v>46131</v>
      </c>
      <c r="E2369" s="8" t="n">
        <v>10</v>
      </c>
      <c r="F2369" s="8" t="str">
        <f aca="false">IF(E2369&gt;=9,"Promoter",IF(E2369&gt;=7,"Passive","Detractor"))</f>
        <v>Promoter</v>
      </c>
    </row>
    <row r="2370" customFormat="false" ht="15" hidden="false" customHeight="false" outlineLevel="0" collapsed="false">
      <c r="A2370" s="8" t="s">
        <v>6993</v>
      </c>
      <c r="B2370" s="8" t="s">
        <v>3812</v>
      </c>
      <c r="C2370" s="8" t="s">
        <v>51</v>
      </c>
      <c r="D2370" s="32" t="n">
        <v>46131</v>
      </c>
      <c r="E2370" s="8" t="n">
        <v>8</v>
      </c>
      <c r="F2370" s="8" t="str">
        <f aca="false">IF(E2370&gt;=9,"Promoter",IF(E2370&gt;=7,"Passive","Detractor"))</f>
        <v>Passive</v>
      </c>
    </row>
    <row r="2371" customFormat="false" ht="15" hidden="false" customHeight="false" outlineLevel="0" collapsed="false">
      <c r="A2371" s="8" t="s">
        <v>6994</v>
      </c>
      <c r="B2371" s="8" t="s">
        <v>4276</v>
      </c>
      <c r="C2371" s="8" t="s">
        <v>51</v>
      </c>
      <c r="D2371" s="32" t="n">
        <v>46131</v>
      </c>
      <c r="E2371" s="8" t="n">
        <v>10</v>
      </c>
      <c r="F2371" s="8" t="str">
        <f aca="false">IF(E2371&gt;=9,"Promoter",IF(E2371&gt;=7,"Passive","Detractor"))</f>
        <v>Promoter</v>
      </c>
    </row>
    <row r="2372" customFormat="false" ht="15" hidden="false" customHeight="false" outlineLevel="0" collapsed="false">
      <c r="A2372" s="8" t="s">
        <v>6995</v>
      </c>
      <c r="B2372" s="8" t="s">
        <v>4443</v>
      </c>
      <c r="C2372" s="8" t="s">
        <v>53</v>
      </c>
      <c r="D2372" s="32" t="n">
        <v>46131</v>
      </c>
      <c r="E2372" s="8" t="n">
        <v>3</v>
      </c>
      <c r="F2372" s="8" t="str">
        <f aca="false">IF(E2372&gt;=9,"Promoter",IF(E2372&gt;=7,"Passive","Detractor"))</f>
        <v>Detractor</v>
      </c>
    </row>
    <row r="2373" customFormat="false" ht="15" hidden="false" customHeight="false" outlineLevel="0" collapsed="false">
      <c r="A2373" s="8" t="s">
        <v>6996</v>
      </c>
      <c r="B2373" s="8" t="s">
        <v>2790</v>
      </c>
      <c r="C2373" s="8" t="s">
        <v>51</v>
      </c>
      <c r="D2373" s="32" t="n">
        <v>46131</v>
      </c>
      <c r="E2373" s="8" t="n">
        <v>7</v>
      </c>
      <c r="F2373" s="8" t="str">
        <f aca="false">IF(E2373&gt;=9,"Promoter",IF(E2373&gt;=7,"Passive","Detractor"))</f>
        <v>Passive</v>
      </c>
    </row>
    <row r="2374" customFormat="false" ht="15" hidden="false" customHeight="false" outlineLevel="0" collapsed="false">
      <c r="A2374" s="8" t="s">
        <v>6997</v>
      </c>
      <c r="B2374" s="8" t="s">
        <v>3572</v>
      </c>
      <c r="C2374" s="8" t="s">
        <v>51</v>
      </c>
      <c r="D2374" s="32" t="n">
        <v>46131</v>
      </c>
      <c r="E2374" s="8" t="n">
        <v>7</v>
      </c>
      <c r="F2374" s="8" t="str">
        <f aca="false">IF(E2374&gt;=9,"Promoter",IF(E2374&gt;=7,"Passive","Detractor"))</f>
        <v>Passive</v>
      </c>
    </row>
    <row r="2375" customFormat="false" ht="15" hidden="false" customHeight="false" outlineLevel="0" collapsed="false">
      <c r="A2375" s="8" t="s">
        <v>6998</v>
      </c>
      <c r="B2375" s="8" t="s">
        <v>2946</v>
      </c>
      <c r="C2375" s="8" t="s">
        <v>51</v>
      </c>
      <c r="D2375" s="32" t="n">
        <v>46131</v>
      </c>
      <c r="E2375" s="8" t="n">
        <v>9</v>
      </c>
      <c r="F2375" s="8" t="str">
        <f aca="false">IF(E2375&gt;=9,"Promoter",IF(E2375&gt;=7,"Passive","Detractor"))</f>
        <v>Promoter</v>
      </c>
    </row>
    <row r="2376" customFormat="false" ht="15" hidden="false" customHeight="false" outlineLevel="0" collapsed="false">
      <c r="A2376" s="8" t="s">
        <v>6999</v>
      </c>
      <c r="B2376" s="8" t="s">
        <v>2798</v>
      </c>
      <c r="C2376" s="8" t="s">
        <v>51</v>
      </c>
      <c r="D2376" s="32" t="n">
        <v>46131</v>
      </c>
      <c r="E2376" s="8" t="n">
        <v>6</v>
      </c>
      <c r="F2376" s="8" t="str">
        <f aca="false">IF(E2376&gt;=9,"Promoter",IF(E2376&gt;=7,"Passive","Detractor"))</f>
        <v>Detractor</v>
      </c>
    </row>
    <row r="2377" customFormat="false" ht="15" hidden="false" customHeight="false" outlineLevel="0" collapsed="false">
      <c r="A2377" s="8" t="s">
        <v>7000</v>
      </c>
      <c r="B2377" s="8" t="s">
        <v>234</v>
      </c>
      <c r="C2377" s="8" t="s">
        <v>55</v>
      </c>
      <c r="D2377" s="32" t="n">
        <v>46131</v>
      </c>
      <c r="E2377" s="8" t="n">
        <v>8</v>
      </c>
      <c r="F2377" s="8" t="str">
        <f aca="false">IF(E2377&gt;=9,"Promoter",IF(E2377&gt;=7,"Passive","Detractor"))</f>
        <v>Passive</v>
      </c>
    </row>
    <row r="2378" customFormat="false" ht="15" hidden="false" customHeight="false" outlineLevel="0" collapsed="false">
      <c r="A2378" s="8" t="s">
        <v>7001</v>
      </c>
      <c r="B2378" s="8" t="s">
        <v>1715</v>
      </c>
      <c r="C2378" s="8" t="s">
        <v>51</v>
      </c>
      <c r="D2378" s="32" t="n">
        <v>46131</v>
      </c>
      <c r="E2378" s="8" t="n">
        <v>7</v>
      </c>
      <c r="F2378" s="8" t="str">
        <f aca="false">IF(E2378&gt;=9,"Promoter",IF(E2378&gt;=7,"Passive","Detractor"))</f>
        <v>Passive</v>
      </c>
    </row>
    <row r="2379" customFormat="false" ht="15" hidden="false" customHeight="false" outlineLevel="0" collapsed="false">
      <c r="A2379" s="8" t="s">
        <v>7002</v>
      </c>
      <c r="B2379" s="8" t="s">
        <v>4412</v>
      </c>
      <c r="C2379" s="8" t="s">
        <v>55</v>
      </c>
      <c r="D2379" s="32" t="n">
        <v>46131</v>
      </c>
      <c r="E2379" s="8" t="n">
        <v>3</v>
      </c>
      <c r="F2379" s="8" t="str">
        <f aca="false">IF(E2379&gt;=9,"Promoter",IF(E2379&gt;=7,"Passive","Detractor"))</f>
        <v>Detractor</v>
      </c>
    </row>
    <row r="2380" customFormat="false" ht="15" hidden="false" customHeight="false" outlineLevel="0" collapsed="false">
      <c r="A2380" s="8" t="s">
        <v>7003</v>
      </c>
      <c r="B2380" s="8" t="s">
        <v>2390</v>
      </c>
      <c r="C2380" s="8" t="s">
        <v>51</v>
      </c>
      <c r="D2380" s="32" t="n">
        <v>46131</v>
      </c>
      <c r="E2380" s="8" t="n">
        <v>10</v>
      </c>
      <c r="F2380" s="8" t="str">
        <f aca="false">IF(E2380&gt;=9,"Promoter",IF(E2380&gt;=7,"Passive","Detractor"))</f>
        <v>Promoter</v>
      </c>
    </row>
    <row r="2381" customFormat="false" ht="15" hidden="false" customHeight="false" outlineLevel="0" collapsed="false">
      <c r="A2381" s="8" t="s">
        <v>7004</v>
      </c>
      <c r="B2381" s="8" t="s">
        <v>2108</v>
      </c>
      <c r="C2381" s="8" t="s">
        <v>51</v>
      </c>
      <c r="D2381" s="32" t="n">
        <v>46131</v>
      </c>
      <c r="E2381" s="8" t="n">
        <v>7</v>
      </c>
      <c r="F2381" s="8" t="str">
        <f aca="false">IF(E2381&gt;=9,"Promoter",IF(E2381&gt;=7,"Passive","Detractor"))</f>
        <v>Passive</v>
      </c>
    </row>
    <row r="2382" customFormat="false" ht="15" hidden="false" customHeight="false" outlineLevel="0" collapsed="false">
      <c r="A2382" s="8" t="s">
        <v>7005</v>
      </c>
      <c r="B2382" s="8" t="s">
        <v>3770</v>
      </c>
      <c r="C2382" s="8" t="s">
        <v>51</v>
      </c>
      <c r="D2382" s="32" t="n">
        <v>46131</v>
      </c>
      <c r="E2382" s="8" t="n">
        <v>9</v>
      </c>
      <c r="F2382" s="8" t="str">
        <f aca="false">IF(E2382&gt;=9,"Promoter",IF(E2382&gt;=7,"Passive","Detractor"))</f>
        <v>Promoter</v>
      </c>
    </row>
    <row r="2383" customFormat="false" ht="15" hidden="false" customHeight="false" outlineLevel="0" collapsed="false">
      <c r="A2383" s="8" t="s">
        <v>7006</v>
      </c>
      <c r="B2383" s="8" t="s">
        <v>437</v>
      </c>
      <c r="C2383" s="8" t="s">
        <v>55</v>
      </c>
      <c r="D2383" s="32" t="n">
        <v>46131</v>
      </c>
      <c r="E2383" s="8" t="n">
        <v>8</v>
      </c>
      <c r="F2383" s="8" t="str">
        <f aca="false">IF(E2383&gt;=9,"Promoter",IF(E2383&gt;=7,"Passive","Detractor"))</f>
        <v>Passive</v>
      </c>
    </row>
    <row r="2384" customFormat="false" ht="15" hidden="false" customHeight="false" outlineLevel="0" collapsed="false">
      <c r="A2384" s="8" t="s">
        <v>7007</v>
      </c>
      <c r="B2384" s="8" t="s">
        <v>2224</v>
      </c>
      <c r="C2384" s="8" t="s">
        <v>51</v>
      </c>
      <c r="D2384" s="32" t="n">
        <v>46131</v>
      </c>
      <c r="E2384" s="8" t="n">
        <v>7</v>
      </c>
      <c r="F2384" s="8" t="str">
        <f aca="false">IF(E2384&gt;=9,"Promoter",IF(E2384&gt;=7,"Passive","Detractor"))</f>
        <v>Passive</v>
      </c>
    </row>
    <row r="2385" customFormat="false" ht="15" hidden="false" customHeight="false" outlineLevel="0" collapsed="false">
      <c r="A2385" s="8" t="s">
        <v>7008</v>
      </c>
      <c r="B2385" s="8" t="s">
        <v>1769</v>
      </c>
      <c r="C2385" s="8" t="s">
        <v>51</v>
      </c>
      <c r="D2385" s="32" t="n">
        <v>46131</v>
      </c>
      <c r="E2385" s="8" t="n">
        <v>9</v>
      </c>
      <c r="F2385" s="8" t="str">
        <f aca="false">IF(E2385&gt;=9,"Promoter",IF(E2385&gt;=7,"Passive","Detractor"))</f>
        <v>Promoter</v>
      </c>
    </row>
    <row r="2386" customFormat="false" ht="15" hidden="false" customHeight="false" outlineLevel="0" collapsed="false">
      <c r="A2386" s="8" t="s">
        <v>7009</v>
      </c>
      <c r="B2386" s="8" t="s">
        <v>2064</v>
      </c>
      <c r="C2386" s="8" t="s">
        <v>51</v>
      </c>
      <c r="D2386" s="32" t="n">
        <v>46131</v>
      </c>
      <c r="E2386" s="8" t="n">
        <v>10</v>
      </c>
      <c r="F2386" s="8" t="str">
        <f aca="false">IF(E2386&gt;=9,"Promoter",IF(E2386&gt;=7,"Passive","Detractor"))</f>
        <v>Promoter</v>
      </c>
    </row>
    <row r="2387" customFormat="false" ht="15" hidden="false" customHeight="false" outlineLevel="0" collapsed="false">
      <c r="A2387" s="8" t="s">
        <v>7010</v>
      </c>
      <c r="B2387" s="8" t="s">
        <v>1977</v>
      </c>
      <c r="C2387" s="8" t="s">
        <v>51</v>
      </c>
      <c r="D2387" s="32" t="n">
        <v>46131</v>
      </c>
      <c r="E2387" s="8" t="n">
        <v>5</v>
      </c>
      <c r="F2387" s="8" t="str">
        <f aca="false">IF(E2387&gt;=9,"Promoter",IF(E2387&gt;=7,"Passive","Detractor"))</f>
        <v>Detractor</v>
      </c>
    </row>
    <row r="2388" customFormat="false" ht="15" hidden="false" customHeight="false" outlineLevel="0" collapsed="false">
      <c r="A2388" s="8" t="s">
        <v>7011</v>
      </c>
      <c r="B2388" s="8" t="s">
        <v>2144</v>
      </c>
      <c r="C2388" s="8" t="s">
        <v>51</v>
      </c>
      <c r="D2388" s="32" t="n">
        <v>46131</v>
      </c>
      <c r="E2388" s="8" t="n">
        <v>7</v>
      </c>
      <c r="F2388" s="8" t="str">
        <f aca="false">IF(E2388&gt;=9,"Promoter",IF(E2388&gt;=7,"Passive","Detractor"))</f>
        <v>Passive</v>
      </c>
    </row>
    <row r="2389" customFormat="false" ht="15" hidden="false" customHeight="false" outlineLevel="0" collapsed="false">
      <c r="A2389" s="8" t="s">
        <v>7012</v>
      </c>
      <c r="B2389" s="8" t="s">
        <v>4490</v>
      </c>
      <c r="C2389" s="8" t="s">
        <v>51</v>
      </c>
      <c r="D2389" s="32" t="n">
        <v>46132</v>
      </c>
      <c r="E2389" s="8" t="n">
        <v>7</v>
      </c>
      <c r="F2389" s="8" t="str">
        <f aca="false">IF(E2389&gt;=9,"Promoter",IF(E2389&gt;=7,"Passive","Detractor"))</f>
        <v>Passive</v>
      </c>
    </row>
    <row r="2390" customFormat="false" ht="15" hidden="false" customHeight="false" outlineLevel="0" collapsed="false">
      <c r="A2390" s="8" t="s">
        <v>7013</v>
      </c>
      <c r="B2390" s="8" t="s">
        <v>455</v>
      </c>
      <c r="C2390" s="8" t="s">
        <v>55</v>
      </c>
      <c r="D2390" s="32" t="n">
        <v>46132</v>
      </c>
      <c r="E2390" s="8" t="n">
        <v>10</v>
      </c>
      <c r="F2390" s="8" t="str">
        <f aca="false">IF(E2390&gt;=9,"Promoter",IF(E2390&gt;=7,"Passive","Detractor"))</f>
        <v>Promoter</v>
      </c>
    </row>
    <row r="2391" customFormat="false" ht="15" hidden="false" customHeight="false" outlineLevel="0" collapsed="false">
      <c r="A2391" s="8" t="s">
        <v>7014</v>
      </c>
      <c r="B2391" s="8" t="s">
        <v>1089</v>
      </c>
      <c r="C2391" s="8" t="s">
        <v>53</v>
      </c>
      <c r="D2391" s="32" t="n">
        <v>46132</v>
      </c>
      <c r="E2391" s="8" t="n">
        <v>9</v>
      </c>
      <c r="F2391" s="8" t="str">
        <f aca="false">IF(E2391&gt;=9,"Promoter",IF(E2391&gt;=7,"Passive","Detractor"))</f>
        <v>Promoter</v>
      </c>
    </row>
    <row r="2392" customFormat="false" ht="15" hidden="false" customHeight="false" outlineLevel="0" collapsed="false">
      <c r="A2392" s="8" t="s">
        <v>7015</v>
      </c>
      <c r="B2392" s="8" t="s">
        <v>193</v>
      </c>
      <c r="C2392" s="8" t="s">
        <v>55</v>
      </c>
      <c r="D2392" s="32" t="n">
        <v>46132</v>
      </c>
      <c r="E2392" s="8" t="n">
        <v>9</v>
      </c>
      <c r="F2392" s="8" t="str">
        <f aca="false">IF(E2392&gt;=9,"Promoter",IF(E2392&gt;=7,"Passive","Detractor"))</f>
        <v>Promoter</v>
      </c>
    </row>
    <row r="2393" customFormat="false" ht="15" hidden="false" customHeight="false" outlineLevel="0" collapsed="false">
      <c r="A2393" s="8" t="s">
        <v>7016</v>
      </c>
      <c r="B2393" s="8" t="s">
        <v>4382</v>
      </c>
      <c r="C2393" s="8" t="s">
        <v>51</v>
      </c>
      <c r="D2393" s="32" t="n">
        <v>46132</v>
      </c>
      <c r="E2393" s="8" t="n">
        <v>6</v>
      </c>
      <c r="F2393" s="8" t="str">
        <f aca="false">IF(E2393&gt;=9,"Promoter",IF(E2393&gt;=7,"Passive","Detractor"))</f>
        <v>Detractor</v>
      </c>
    </row>
    <row r="2394" customFormat="false" ht="15" hidden="false" customHeight="false" outlineLevel="0" collapsed="false">
      <c r="A2394" s="8" t="s">
        <v>7017</v>
      </c>
      <c r="B2394" s="8" t="s">
        <v>2590</v>
      </c>
      <c r="C2394" s="8" t="s">
        <v>51</v>
      </c>
      <c r="D2394" s="32" t="n">
        <v>46132</v>
      </c>
      <c r="E2394" s="8" t="n">
        <v>10</v>
      </c>
      <c r="F2394" s="8" t="str">
        <f aca="false">IF(E2394&gt;=9,"Promoter",IF(E2394&gt;=7,"Passive","Detractor"))</f>
        <v>Promoter</v>
      </c>
    </row>
    <row r="2395" customFormat="false" ht="15" hidden="false" customHeight="false" outlineLevel="0" collapsed="false">
      <c r="A2395" s="8" t="s">
        <v>7018</v>
      </c>
      <c r="B2395" s="8" t="s">
        <v>3790</v>
      </c>
      <c r="C2395" s="8" t="s">
        <v>51</v>
      </c>
      <c r="D2395" s="32" t="n">
        <v>46132</v>
      </c>
      <c r="E2395" s="8" t="n">
        <v>10</v>
      </c>
      <c r="F2395" s="8" t="str">
        <f aca="false">IF(E2395&gt;=9,"Promoter",IF(E2395&gt;=7,"Passive","Detractor"))</f>
        <v>Promoter</v>
      </c>
    </row>
    <row r="2396" customFormat="false" ht="15" hidden="false" customHeight="false" outlineLevel="0" collapsed="false">
      <c r="A2396" s="8" t="s">
        <v>7019</v>
      </c>
      <c r="B2396" s="8" t="s">
        <v>1683</v>
      </c>
      <c r="C2396" s="8" t="s">
        <v>53</v>
      </c>
      <c r="D2396" s="32" t="n">
        <v>46132</v>
      </c>
      <c r="E2396" s="8" t="n">
        <v>8</v>
      </c>
      <c r="F2396" s="8" t="str">
        <f aca="false">IF(E2396&gt;=9,"Promoter",IF(E2396&gt;=7,"Passive","Detractor"))</f>
        <v>Passive</v>
      </c>
    </row>
    <row r="2397" customFormat="false" ht="15" hidden="false" customHeight="false" outlineLevel="0" collapsed="false">
      <c r="A2397" s="8" t="s">
        <v>7020</v>
      </c>
      <c r="B2397" s="8" t="s">
        <v>2932</v>
      </c>
      <c r="C2397" s="8" t="s">
        <v>51</v>
      </c>
      <c r="D2397" s="32" t="n">
        <v>46132</v>
      </c>
      <c r="E2397" s="8" t="n">
        <v>8</v>
      </c>
      <c r="F2397" s="8" t="str">
        <f aca="false">IF(E2397&gt;=9,"Promoter",IF(E2397&gt;=7,"Passive","Detractor"))</f>
        <v>Passive</v>
      </c>
    </row>
    <row r="2398" customFormat="false" ht="15" hidden="false" customHeight="false" outlineLevel="0" collapsed="false">
      <c r="A2398" s="8" t="s">
        <v>7021</v>
      </c>
      <c r="B2398" s="8" t="s">
        <v>175</v>
      </c>
      <c r="C2398" s="8" t="s">
        <v>55</v>
      </c>
      <c r="D2398" s="32" t="n">
        <v>46132</v>
      </c>
      <c r="E2398" s="8" t="n">
        <v>7</v>
      </c>
      <c r="F2398" s="8" t="str">
        <f aca="false">IF(E2398&gt;=9,"Promoter",IF(E2398&gt;=7,"Passive","Detractor"))</f>
        <v>Passive</v>
      </c>
    </row>
    <row r="2399" customFormat="false" ht="15" hidden="false" customHeight="false" outlineLevel="0" collapsed="false">
      <c r="A2399" s="8" t="s">
        <v>7022</v>
      </c>
      <c r="B2399" s="8" t="s">
        <v>1459</v>
      </c>
      <c r="C2399" s="8" t="s">
        <v>53</v>
      </c>
      <c r="D2399" s="32" t="n">
        <v>46132</v>
      </c>
      <c r="E2399" s="8" t="n">
        <v>7</v>
      </c>
      <c r="F2399" s="8" t="str">
        <f aca="false">IF(E2399&gt;=9,"Promoter",IF(E2399&gt;=7,"Passive","Detractor"))</f>
        <v>Passive</v>
      </c>
    </row>
    <row r="2400" customFormat="false" ht="15" hidden="false" customHeight="false" outlineLevel="0" collapsed="false">
      <c r="A2400" s="8" t="s">
        <v>7023</v>
      </c>
      <c r="B2400" s="8" t="s">
        <v>4166</v>
      </c>
      <c r="C2400" s="8" t="s">
        <v>51</v>
      </c>
      <c r="D2400" s="32" t="n">
        <v>46132</v>
      </c>
      <c r="E2400" s="8" t="n">
        <v>6</v>
      </c>
      <c r="F2400" s="8" t="str">
        <f aca="false">IF(E2400&gt;=9,"Promoter",IF(E2400&gt;=7,"Passive","Detractor"))</f>
        <v>Detractor</v>
      </c>
    </row>
    <row r="2401" customFormat="false" ht="15" hidden="false" customHeight="false" outlineLevel="0" collapsed="false">
      <c r="A2401" s="8" t="s">
        <v>7024</v>
      </c>
      <c r="B2401" s="8" t="s">
        <v>3404</v>
      </c>
      <c r="C2401" s="8" t="s">
        <v>51</v>
      </c>
      <c r="D2401" s="32" t="n">
        <v>46132</v>
      </c>
      <c r="E2401" s="8" t="n">
        <v>9</v>
      </c>
      <c r="F2401" s="8" t="str">
        <f aca="false">IF(E2401&gt;=9,"Promoter",IF(E2401&gt;=7,"Passive","Detractor"))</f>
        <v>Promoter</v>
      </c>
    </row>
    <row r="2402" customFormat="false" ht="15" hidden="false" customHeight="false" outlineLevel="0" collapsed="false">
      <c r="A2402" s="8" t="s">
        <v>7025</v>
      </c>
      <c r="B2402" s="8" t="s">
        <v>2746</v>
      </c>
      <c r="C2402" s="8" t="s">
        <v>51</v>
      </c>
      <c r="D2402" s="32" t="n">
        <v>46132</v>
      </c>
      <c r="E2402" s="8" t="n">
        <v>8</v>
      </c>
      <c r="F2402" s="8" t="str">
        <f aca="false">IF(E2402&gt;=9,"Promoter",IF(E2402&gt;=7,"Passive","Detractor"))</f>
        <v>Passive</v>
      </c>
    </row>
    <row r="2403" customFormat="false" ht="15" hidden="false" customHeight="false" outlineLevel="0" collapsed="false">
      <c r="A2403" s="8" t="s">
        <v>7026</v>
      </c>
      <c r="B2403" s="8" t="s">
        <v>3932</v>
      </c>
      <c r="C2403" s="8" t="s">
        <v>51</v>
      </c>
      <c r="D2403" s="32" t="n">
        <v>46132</v>
      </c>
      <c r="E2403" s="8" t="n">
        <v>10</v>
      </c>
      <c r="F2403" s="8" t="str">
        <f aca="false">IF(E2403&gt;=9,"Promoter",IF(E2403&gt;=7,"Passive","Detractor"))</f>
        <v>Promoter</v>
      </c>
    </row>
    <row r="2404" customFormat="false" ht="15" hidden="false" customHeight="false" outlineLevel="0" collapsed="false">
      <c r="A2404" s="8" t="s">
        <v>7027</v>
      </c>
      <c r="B2404" s="8" t="s">
        <v>747</v>
      </c>
      <c r="C2404" s="8" t="s">
        <v>53</v>
      </c>
      <c r="D2404" s="32" t="n">
        <v>46132</v>
      </c>
      <c r="E2404" s="8" t="n">
        <v>8</v>
      </c>
      <c r="F2404" s="8" t="str">
        <f aca="false">IF(E2404&gt;=9,"Promoter",IF(E2404&gt;=7,"Passive","Detractor"))</f>
        <v>Passive</v>
      </c>
    </row>
    <row r="2405" customFormat="false" ht="15" hidden="false" customHeight="false" outlineLevel="0" collapsed="false">
      <c r="A2405" s="8" t="s">
        <v>7028</v>
      </c>
      <c r="B2405" s="8" t="s">
        <v>3356</v>
      </c>
      <c r="C2405" s="8" t="s">
        <v>51</v>
      </c>
      <c r="D2405" s="32" t="n">
        <v>46132</v>
      </c>
      <c r="E2405" s="8" t="n">
        <v>9</v>
      </c>
      <c r="F2405" s="8" t="str">
        <f aca="false">IF(E2405&gt;=9,"Promoter",IF(E2405&gt;=7,"Passive","Detractor"))</f>
        <v>Promoter</v>
      </c>
    </row>
    <row r="2406" customFormat="false" ht="15" hidden="false" customHeight="false" outlineLevel="0" collapsed="false">
      <c r="A2406" s="8" t="s">
        <v>7029</v>
      </c>
      <c r="B2406" s="8" t="s">
        <v>2430</v>
      </c>
      <c r="C2406" s="8" t="s">
        <v>51</v>
      </c>
      <c r="D2406" s="32" t="n">
        <v>46132</v>
      </c>
      <c r="E2406" s="8" t="n">
        <v>10</v>
      </c>
      <c r="F2406" s="8" t="str">
        <f aca="false">IF(E2406&gt;=9,"Promoter",IF(E2406&gt;=7,"Passive","Detractor"))</f>
        <v>Promoter</v>
      </c>
    </row>
    <row r="2407" customFormat="false" ht="15" hidden="false" customHeight="false" outlineLevel="0" collapsed="false">
      <c r="A2407" s="8" t="s">
        <v>7030</v>
      </c>
      <c r="B2407" s="8" t="s">
        <v>2824</v>
      </c>
      <c r="C2407" s="8" t="s">
        <v>51</v>
      </c>
      <c r="D2407" s="32" t="n">
        <v>46132</v>
      </c>
      <c r="E2407" s="8" t="n">
        <v>10</v>
      </c>
      <c r="F2407" s="8" t="str">
        <f aca="false">IF(E2407&gt;=9,"Promoter",IF(E2407&gt;=7,"Passive","Detractor"))</f>
        <v>Promoter</v>
      </c>
    </row>
    <row r="2408" customFormat="false" ht="15" hidden="false" customHeight="false" outlineLevel="0" collapsed="false">
      <c r="A2408" s="8" t="s">
        <v>7031</v>
      </c>
      <c r="B2408" s="8" t="s">
        <v>2272</v>
      </c>
      <c r="C2408" s="8" t="s">
        <v>51</v>
      </c>
      <c r="D2408" s="32" t="n">
        <v>46132</v>
      </c>
      <c r="E2408" s="8" t="n">
        <v>6</v>
      </c>
      <c r="F2408" s="8" t="str">
        <f aca="false">IF(E2408&gt;=9,"Promoter",IF(E2408&gt;=7,"Passive","Detractor"))</f>
        <v>Detractor</v>
      </c>
    </row>
    <row r="2409" customFormat="false" ht="15" hidden="false" customHeight="false" outlineLevel="0" collapsed="false">
      <c r="A2409" s="8" t="s">
        <v>7032</v>
      </c>
      <c r="B2409" s="8" t="s">
        <v>3684</v>
      </c>
      <c r="C2409" s="8" t="s">
        <v>51</v>
      </c>
      <c r="D2409" s="32" t="n">
        <v>46132</v>
      </c>
      <c r="E2409" s="8" t="n">
        <v>8</v>
      </c>
      <c r="F2409" s="8" t="str">
        <f aca="false">IF(E2409&gt;=9,"Promoter",IF(E2409&gt;=7,"Passive","Detractor"))</f>
        <v>Passive</v>
      </c>
    </row>
    <row r="2410" customFormat="false" ht="15" hidden="false" customHeight="false" outlineLevel="0" collapsed="false">
      <c r="A2410" s="8" t="s">
        <v>7033</v>
      </c>
      <c r="B2410" s="8" t="s">
        <v>4124</v>
      </c>
      <c r="C2410" s="8" t="s">
        <v>51</v>
      </c>
      <c r="D2410" s="32" t="n">
        <v>46132</v>
      </c>
      <c r="E2410" s="8" t="n">
        <v>10</v>
      </c>
      <c r="F2410" s="8" t="str">
        <f aca="false">IF(E2410&gt;=9,"Promoter",IF(E2410&gt;=7,"Passive","Detractor"))</f>
        <v>Promoter</v>
      </c>
    </row>
    <row r="2411" customFormat="false" ht="15" hidden="false" customHeight="false" outlineLevel="0" collapsed="false">
      <c r="A2411" s="8" t="s">
        <v>7034</v>
      </c>
      <c r="B2411" s="8" t="s">
        <v>4186</v>
      </c>
      <c r="C2411" s="8" t="s">
        <v>51</v>
      </c>
      <c r="D2411" s="32" t="n">
        <v>46132</v>
      </c>
      <c r="E2411" s="8" t="n">
        <v>7</v>
      </c>
      <c r="F2411" s="8" t="str">
        <f aca="false">IF(E2411&gt;=9,"Promoter",IF(E2411&gt;=7,"Passive","Detractor"))</f>
        <v>Passive</v>
      </c>
    </row>
    <row r="2412" customFormat="false" ht="15" hidden="false" customHeight="false" outlineLevel="0" collapsed="false">
      <c r="A2412" s="8" t="s">
        <v>7035</v>
      </c>
      <c r="B2412" s="8" t="s">
        <v>1557</v>
      </c>
      <c r="C2412" s="8" t="s">
        <v>53</v>
      </c>
      <c r="D2412" s="32" t="n">
        <v>46132</v>
      </c>
      <c r="E2412" s="8" t="n">
        <v>9</v>
      </c>
      <c r="F2412" s="8" t="str">
        <f aca="false">IF(E2412&gt;=9,"Promoter",IF(E2412&gt;=7,"Passive","Detractor"))</f>
        <v>Promoter</v>
      </c>
    </row>
    <row r="2413" customFormat="false" ht="15" hidden="false" customHeight="false" outlineLevel="0" collapsed="false">
      <c r="A2413" s="8" t="s">
        <v>7036</v>
      </c>
      <c r="B2413" s="8" t="s">
        <v>1273</v>
      </c>
      <c r="C2413" s="8" t="s">
        <v>53</v>
      </c>
      <c r="D2413" s="32" t="n">
        <v>46132</v>
      </c>
      <c r="E2413" s="8" t="n">
        <v>10</v>
      </c>
      <c r="F2413" s="8" t="str">
        <f aca="false">IF(E2413&gt;=9,"Promoter",IF(E2413&gt;=7,"Passive","Detractor"))</f>
        <v>Promoter</v>
      </c>
    </row>
    <row r="2414" customFormat="false" ht="15" hidden="false" customHeight="false" outlineLevel="0" collapsed="false">
      <c r="A2414" s="8" t="s">
        <v>7037</v>
      </c>
      <c r="B2414" s="8" t="s">
        <v>2578</v>
      </c>
      <c r="C2414" s="8" t="s">
        <v>51</v>
      </c>
      <c r="D2414" s="32" t="n">
        <v>46132</v>
      </c>
      <c r="E2414" s="8" t="n">
        <v>8</v>
      </c>
      <c r="F2414" s="8" t="str">
        <f aca="false">IF(E2414&gt;=9,"Promoter",IF(E2414&gt;=7,"Passive","Detractor"))</f>
        <v>Passive</v>
      </c>
    </row>
    <row r="2415" customFormat="false" ht="15" hidden="false" customHeight="false" outlineLevel="0" collapsed="false">
      <c r="A2415" s="8" t="s">
        <v>7038</v>
      </c>
      <c r="B2415" s="8" t="s">
        <v>2058</v>
      </c>
      <c r="C2415" s="8" t="s">
        <v>51</v>
      </c>
      <c r="D2415" s="32" t="n">
        <v>46132</v>
      </c>
      <c r="E2415" s="8" t="n">
        <v>7</v>
      </c>
      <c r="F2415" s="8" t="str">
        <f aca="false">IF(E2415&gt;=9,"Promoter",IF(E2415&gt;=7,"Passive","Detractor"))</f>
        <v>Passive</v>
      </c>
    </row>
    <row r="2416" customFormat="false" ht="15" hidden="false" customHeight="false" outlineLevel="0" collapsed="false">
      <c r="A2416" s="8" t="s">
        <v>7039</v>
      </c>
      <c r="B2416" s="8" t="s">
        <v>3428</v>
      </c>
      <c r="C2416" s="8" t="s">
        <v>51</v>
      </c>
      <c r="D2416" s="32" t="n">
        <v>46132</v>
      </c>
      <c r="E2416" s="8" t="n">
        <v>9</v>
      </c>
      <c r="F2416" s="8" t="str">
        <f aca="false">IF(E2416&gt;=9,"Promoter",IF(E2416&gt;=7,"Passive","Detractor"))</f>
        <v>Promoter</v>
      </c>
    </row>
    <row r="2417" customFormat="false" ht="15" hidden="false" customHeight="false" outlineLevel="0" collapsed="false">
      <c r="A2417" s="8" t="s">
        <v>7040</v>
      </c>
      <c r="B2417" s="8" t="s">
        <v>3822</v>
      </c>
      <c r="C2417" s="8" t="s">
        <v>51</v>
      </c>
      <c r="D2417" s="32" t="n">
        <v>46132</v>
      </c>
      <c r="E2417" s="8" t="n">
        <v>9</v>
      </c>
      <c r="F2417" s="8" t="str">
        <f aca="false">IF(E2417&gt;=9,"Promoter",IF(E2417&gt;=7,"Passive","Detractor"))</f>
        <v>Promoter</v>
      </c>
    </row>
    <row r="2418" customFormat="false" ht="15" hidden="false" customHeight="false" outlineLevel="0" collapsed="false">
      <c r="A2418" s="8" t="s">
        <v>7041</v>
      </c>
      <c r="B2418" s="8" t="s">
        <v>1995</v>
      </c>
      <c r="C2418" s="8" t="s">
        <v>51</v>
      </c>
      <c r="D2418" s="32" t="n">
        <v>46132</v>
      </c>
      <c r="E2418" s="8" t="n">
        <v>10</v>
      </c>
      <c r="F2418" s="8" t="str">
        <f aca="false">IF(E2418&gt;=9,"Promoter",IF(E2418&gt;=7,"Passive","Detractor"))</f>
        <v>Promoter</v>
      </c>
    </row>
    <row r="2419" customFormat="false" ht="15" hidden="false" customHeight="false" outlineLevel="0" collapsed="false">
      <c r="A2419" s="8" t="s">
        <v>7042</v>
      </c>
      <c r="B2419" s="8" t="s">
        <v>963</v>
      </c>
      <c r="C2419" s="8" t="s">
        <v>53</v>
      </c>
      <c r="D2419" s="32" t="n">
        <v>46132</v>
      </c>
      <c r="E2419" s="8" t="n">
        <v>10</v>
      </c>
      <c r="F2419" s="8" t="str">
        <f aca="false">IF(E2419&gt;=9,"Promoter",IF(E2419&gt;=7,"Passive","Detractor"))</f>
        <v>Promoter</v>
      </c>
    </row>
    <row r="2420" customFormat="false" ht="15" hidden="false" customHeight="false" outlineLevel="0" collapsed="false">
      <c r="A2420" s="8" t="s">
        <v>7043</v>
      </c>
      <c r="B2420" s="8" t="s">
        <v>2084</v>
      </c>
      <c r="C2420" s="8" t="s">
        <v>51</v>
      </c>
      <c r="D2420" s="32" t="n">
        <v>46132</v>
      </c>
      <c r="E2420" s="8" t="n">
        <v>10</v>
      </c>
      <c r="F2420" s="8" t="str">
        <f aca="false">IF(E2420&gt;=9,"Promoter",IF(E2420&gt;=7,"Passive","Detractor"))</f>
        <v>Promoter</v>
      </c>
    </row>
    <row r="2421" customFormat="false" ht="15" hidden="false" customHeight="false" outlineLevel="0" collapsed="false">
      <c r="A2421" s="8" t="s">
        <v>7044</v>
      </c>
      <c r="B2421" s="8" t="s">
        <v>4498</v>
      </c>
      <c r="C2421" s="8" t="s">
        <v>51</v>
      </c>
      <c r="D2421" s="32" t="n">
        <v>46132</v>
      </c>
      <c r="E2421" s="8" t="n">
        <v>5</v>
      </c>
      <c r="F2421" s="8" t="str">
        <f aca="false">IF(E2421&gt;=9,"Promoter",IF(E2421&gt;=7,"Passive","Detractor"))</f>
        <v>Detractor</v>
      </c>
    </row>
    <row r="2422" customFormat="false" ht="15" hidden="false" customHeight="false" outlineLevel="0" collapsed="false">
      <c r="A2422" s="8" t="s">
        <v>7045</v>
      </c>
      <c r="B2422" s="8" t="s">
        <v>2888</v>
      </c>
      <c r="C2422" s="8" t="s">
        <v>51</v>
      </c>
      <c r="D2422" s="32" t="n">
        <v>46132</v>
      </c>
      <c r="E2422" s="8" t="n">
        <v>10</v>
      </c>
      <c r="F2422" s="8" t="str">
        <f aca="false">IF(E2422&gt;=9,"Promoter",IF(E2422&gt;=7,"Passive","Detractor"))</f>
        <v>Promoter</v>
      </c>
    </row>
    <row r="2423" customFormat="false" ht="15" hidden="false" customHeight="false" outlineLevel="0" collapsed="false">
      <c r="A2423" s="8" t="s">
        <v>7046</v>
      </c>
      <c r="B2423" s="8" t="s">
        <v>4082</v>
      </c>
      <c r="C2423" s="8" t="s">
        <v>51</v>
      </c>
      <c r="D2423" s="32" t="n">
        <v>46133</v>
      </c>
      <c r="E2423" s="8" t="n">
        <v>7</v>
      </c>
      <c r="F2423" s="8" t="str">
        <f aca="false">IF(E2423&gt;=9,"Promoter",IF(E2423&gt;=7,"Passive","Detractor"))</f>
        <v>Passive</v>
      </c>
    </row>
    <row r="2424" customFormat="false" ht="15" hidden="false" customHeight="false" outlineLevel="0" collapsed="false">
      <c r="A2424" s="8" t="s">
        <v>7047</v>
      </c>
      <c r="B2424" s="8" t="s">
        <v>2210</v>
      </c>
      <c r="C2424" s="8" t="s">
        <v>51</v>
      </c>
      <c r="D2424" s="32" t="n">
        <v>46133</v>
      </c>
      <c r="E2424" s="8" t="n">
        <v>6</v>
      </c>
      <c r="F2424" s="8" t="str">
        <f aca="false">IF(E2424&gt;=9,"Promoter",IF(E2424&gt;=7,"Passive","Detractor"))</f>
        <v>Detractor</v>
      </c>
    </row>
    <row r="2425" customFormat="false" ht="15" hidden="false" customHeight="false" outlineLevel="0" collapsed="false">
      <c r="A2425" s="8" t="s">
        <v>7048</v>
      </c>
      <c r="B2425" s="8" t="s">
        <v>3466</v>
      </c>
      <c r="C2425" s="8" t="s">
        <v>51</v>
      </c>
      <c r="D2425" s="32" t="n">
        <v>46133</v>
      </c>
      <c r="E2425" s="8" t="n">
        <v>9</v>
      </c>
      <c r="F2425" s="8" t="str">
        <f aca="false">IF(E2425&gt;=9,"Promoter",IF(E2425&gt;=7,"Passive","Detractor"))</f>
        <v>Promoter</v>
      </c>
    </row>
    <row r="2426" customFormat="false" ht="15" hidden="false" customHeight="false" outlineLevel="0" collapsed="false">
      <c r="A2426" s="8" t="s">
        <v>7049</v>
      </c>
      <c r="B2426" s="8" t="s">
        <v>3742</v>
      </c>
      <c r="C2426" s="8" t="s">
        <v>51</v>
      </c>
      <c r="D2426" s="32" t="n">
        <v>46133</v>
      </c>
      <c r="E2426" s="8" t="n">
        <v>8</v>
      </c>
      <c r="F2426" s="8" t="str">
        <f aca="false">IF(E2426&gt;=9,"Promoter",IF(E2426&gt;=7,"Passive","Detractor"))</f>
        <v>Passive</v>
      </c>
    </row>
    <row r="2427" customFormat="false" ht="15" hidden="false" customHeight="false" outlineLevel="0" collapsed="false">
      <c r="A2427" s="8" t="s">
        <v>7050</v>
      </c>
      <c r="B2427" s="8" t="s">
        <v>246</v>
      </c>
      <c r="C2427" s="8" t="s">
        <v>55</v>
      </c>
      <c r="D2427" s="32" t="n">
        <v>46133</v>
      </c>
      <c r="E2427" s="8" t="n">
        <v>8</v>
      </c>
      <c r="F2427" s="8" t="str">
        <f aca="false">IF(E2427&gt;=9,"Promoter",IF(E2427&gt;=7,"Passive","Detractor"))</f>
        <v>Passive</v>
      </c>
    </row>
    <row r="2428" customFormat="false" ht="15" hidden="false" customHeight="false" outlineLevel="0" collapsed="false">
      <c r="A2428" s="8" t="s">
        <v>7051</v>
      </c>
      <c r="B2428" s="8" t="s">
        <v>2036</v>
      </c>
      <c r="C2428" s="8" t="s">
        <v>51</v>
      </c>
      <c r="D2428" s="32" t="n">
        <v>46133</v>
      </c>
      <c r="E2428" s="8" t="n">
        <v>8</v>
      </c>
      <c r="F2428" s="8" t="str">
        <f aca="false">IF(E2428&gt;=9,"Promoter",IF(E2428&gt;=7,"Passive","Detractor"))</f>
        <v>Passive</v>
      </c>
    </row>
    <row r="2429" customFormat="false" ht="15" hidden="false" customHeight="false" outlineLevel="0" collapsed="false">
      <c r="A2429" s="8" t="s">
        <v>7052</v>
      </c>
      <c r="B2429" s="8" t="s">
        <v>1647</v>
      </c>
      <c r="C2429" s="8" t="s">
        <v>53</v>
      </c>
      <c r="D2429" s="32" t="n">
        <v>46133</v>
      </c>
      <c r="E2429" s="8" t="n">
        <v>5</v>
      </c>
      <c r="F2429" s="8" t="str">
        <f aca="false">IF(E2429&gt;=9,"Promoter",IF(E2429&gt;=7,"Passive","Detractor"))</f>
        <v>Detractor</v>
      </c>
    </row>
    <row r="2430" customFormat="false" ht="15" hidden="false" customHeight="false" outlineLevel="0" collapsed="false">
      <c r="A2430" s="8" t="s">
        <v>7053</v>
      </c>
      <c r="B2430" s="8" t="s">
        <v>4168</v>
      </c>
      <c r="C2430" s="8" t="s">
        <v>51</v>
      </c>
      <c r="D2430" s="32" t="n">
        <v>46133</v>
      </c>
      <c r="E2430" s="8" t="n">
        <v>6</v>
      </c>
      <c r="F2430" s="8" t="str">
        <f aca="false">IF(E2430&gt;=9,"Promoter",IF(E2430&gt;=7,"Passive","Detractor"))</f>
        <v>Detractor</v>
      </c>
    </row>
    <row r="2431" customFormat="false" ht="15" hidden="false" customHeight="false" outlineLevel="0" collapsed="false">
      <c r="A2431" s="8" t="s">
        <v>7054</v>
      </c>
      <c r="B2431" s="8" t="s">
        <v>286</v>
      </c>
      <c r="C2431" s="8" t="s">
        <v>55</v>
      </c>
      <c r="D2431" s="32" t="n">
        <v>46133</v>
      </c>
      <c r="E2431" s="8" t="n">
        <v>8</v>
      </c>
      <c r="F2431" s="8" t="str">
        <f aca="false">IF(E2431&gt;=9,"Promoter",IF(E2431&gt;=7,"Passive","Detractor"))</f>
        <v>Passive</v>
      </c>
    </row>
    <row r="2432" customFormat="false" ht="15" hidden="false" customHeight="false" outlineLevel="0" collapsed="false">
      <c r="A2432" s="8" t="s">
        <v>7055</v>
      </c>
      <c r="B2432" s="8" t="s">
        <v>3670</v>
      </c>
      <c r="C2432" s="8" t="s">
        <v>51</v>
      </c>
      <c r="D2432" s="32" t="n">
        <v>46133</v>
      </c>
      <c r="E2432" s="8" t="n">
        <v>9</v>
      </c>
      <c r="F2432" s="8" t="str">
        <f aca="false">IF(E2432&gt;=9,"Promoter",IF(E2432&gt;=7,"Passive","Detractor"))</f>
        <v>Promoter</v>
      </c>
    </row>
    <row r="2433" customFormat="false" ht="15" hidden="false" customHeight="false" outlineLevel="0" collapsed="false">
      <c r="A2433" s="8" t="s">
        <v>7056</v>
      </c>
      <c r="B2433" s="8" t="s">
        <v>3630</v>
      </c>
      <c r="C2433" s="8" t="s">
        <v>51</v>
      </c>
      <c r="D2433" s="32" t="n">
        <v>46133</v>
      </c>
      <c r="E2433" s="8" t="n">
        <v>8</v>
      </c>
      <c r="F2433" s="8" t="str">
        <f aca="false">IF(E2433&gt;=9,"Promoter",IF(E2433&gt;=7,"Passive","Detractor"))</f>
        <v>Passive</v>
      </c>
    </row>
    <row r="2434" customFormat="false" ht="15" hidden="false" customHeight="false" outlineLevel="0" collapsed="false">
      <c r="A2434" s="8" t="s">
        <v>7057</v>
      </c>
      <c r="B2434" s="8" t="s">
        <v>4178</v>
      </c>
      <c r="C2434" s="8" t="s">
        <v>51</v>
      </c>
      <c r="D2434" s="32" t="n">
        <v>46133</v>
      </c>
      <c r="E2434" s="8" t="n">
        <v>6</v>
      </c>
      <c r="F2434" s="8" t="str">
        <f aca="false">IF(E2434&gt;=9,"Promoter",IF(E2434&gt;=7,"Passive","Detractor"))</f>
        <v>Detractor</v>
      </c>
    </row>
    <row r="2435" customFormat="false" ht="15" hidden="false" customHeight="false" outlineLevel="0" collapsed="false">
      <c r="A2435" s="8" t="s">
        <v>7058</v>
      </c>
      <c r="B2435" s="8" t="s">
        <v>2702</v>
      </c>
      <c r="C2435" s="8" t="s">
        <v>51</v>
      </c>
      <c r="D2435" s="32" t="n">
        <v>46133</v>
      </c>
      <c r="E2435" s="8" t="n">
        <v>6</v>
      </c>
      <c r="F2435" s="8" t="str">
        <f aca="false">IF(E2435&gt;=9,"Promoter",IF(E2435&gt;=7,"Passive","Detractor"))</f>
        <v>Detractor</v>
      </c>
    </row>
    <row r="2436" customFormat="false" ht="15" hidden="false" customHeight="false" outlineLevel="0" collapsed="false">
      <c r="A2436" s="8" t="s">
        <v>7059</v>
      </c>
      <c r="B2436" s="8" t="s">
        <v>779</v>
      </c>
      <c r="C2436" s="8" t="s">
        <v>53</v>
      </c>
      <c r="D2436" s="32" t="n">
        <v>46133</v>
      </c>
      <c r="E2436" s="8" t="n">
        <v>7</v>
      </c>
      <c r="F2436" s="8" t="str">
        <f aca="false">IF(E2436&gt;=9,"Promoter",IF(E2436&gt;=7,"Passive","Detractor"))</f>
        <v>Passive</v>
      </c>
    </row>
    <row r="2437" customFormat="false" ht="15" hidden="false" customHeight="false" outlineLevel="0" collapsed="false">
      <c r="A2437" s="8" t="s">
        <v>7060</v>
      </c>
      <c r="B2437" s="8" t="s">
        <v>1507</v>
      </c>
      <c r="C2437" s="8" t="s">
        <v>53</v>
      </c>
      <c r="D2437" s="32" t="n">
        <v>46133</v>
      </c>
      <c r="E2437" s="8" t="n">
        <v>8</v>
      </c>
      <c r="F2437" s="8" t="str">
        <f aca="false">IF(E2437&gt;=9,"Promoter",IF(E2437&gt;=7,"Passive","Detractor"))</f>
        <v>Passive</v>
      </c>
    </row>
    <row r="2438" customFormat="false" ht="15" hidden="false" customHeight="false" outlineLevel="0" collapsed="false">
      <c r="A2438" s="8" t="s">
        <v>7061</v>
      </c>
      <c r="B2438" s="8" t="s">
        <v>2388</v>
      </c>
      <c r="C2438" s="8" t="s">
        <v>51</v>
      </c>
      <c r="D2438" s="32" t="n">
        <v>46133</v>
      </c>
      <c r="E2438" s="8" t="n">
        <v>7</v>
      </c>
      <c r="F2438" s="8" t="str">
        <f aca="false">IF(E2438&gt;=9,"Promoter",IF(E2438&gt;=7,"Passive","Detractor"))</f>
        <v>Passive</v>
      </c>
    </row>
    <row r="2439" customFormat="false" ht="15" hidden="false" customHeight="false" outlineLevel="0" collapsed="false">
      <c r="A2439" s="8" t="s">
        <v>7062</v>
      </c>
      <c r="B2439" s="8" t="s">
        <v>2242</v>
      </c>
      <c r="C2439" s="8" t="s">
        <v>51</v>
      </c>
      <c r="D2439" s="32" t="n">
        <v>46133</v>
      </c>
      <c r="E2439" s="8" t="n">
        <v>7</v>
      </c>
      <c r="F2439" s="8" t="str">
        <f aca="false">IF(E2439&gt;=9,"Promoter",IF(E2439&gt;=7,"Passive","Detractor"))</f>
        <v>Passive</v>
      </c>
    </row>
    <row r="2440" customFormat="false" ht="15" hidden="false" customHeight="false" outlineLevel="0" collapsed="false">
      <c r="A2440" s="8" t="s">
        <v>7063</v>
      </c>
      <c r="B2440" s="8" t="s">
        <v>1297</v>
      </c>
      <c r="C2440" s="8" t="s">
        <v>53</v>
      </c>
      <c r="D2440" s="32" t="n">
        <v>46133</v>
      </c>
      <c r="E2440" s="8" t="n">
        <v>10</v>
      </c>
      <c r="F2440" s="8" t="str">
        <f aca="false">IF(E2440&gt;=9,"Promoter",IF(E2440&gt;=7,"Passive","Detractor"))</f>
        <v>Promoter</v>
      </c>
    </row>
    <row r="2441" customFormat="false" ht="15" hidden="false" customHeight="false" outlineLevel="0" collapsed="false">
      <c r="A2441" s="8" t="s">
        <v>7064</v>
      </c>
      <c r="B2441" s="8" t="s">
        <v>4435</v>
      </c>
      <c r="C2441" s="8" t="s">
        <v>53</v>
      </c>
      <c r="D2441" s="32" t="n">
        <v>46133</v>
      </c>
      <c r="E2441" s="8" t="n">
        <v>2</v>
      </c>
      <c r="F2441" s="8" t="str">
        <f aca="false">IF(E2441&gt;=9,"Promoter",IF(E2441&gt;=7,"Passive","Detractor"))</f>
        <v>Detractor</v>
      </c>
    </row>
    <row r="2442" customFormat="false" ht="15" hidden="false" customHeight="false" outlineLevel="0" collapsed="false">
      <c r="A2442" s="8" t="s">
        <v>7065</v>
      </c>
      <c r="B2442" s="8" t="s">
        <v>4475</v>
      </c>
      <c r="C2442" s="8" t="s">
        <v>53</v>
      </c>
      <c r="D2442" s="32" t="n">
        <v>46133</v>
      </c>
      <c r="E2442" s="8" t="n">
        <v>5</v>
      </c>
      <c r="F2442" s="8" t="str">
        <f aca="false">IF(E2442&gt;=9,"Promoter",IF(E2442&gt;=7,"Passive","Detractor"))</f>
        <v>Detractor</v>
      </c>
    </row>
    <row r="2443" customFormat="false" ht="15" hidden="false" customHeight="false" outlineLevel="0" collapsed="false">
      <c r="A2443" s="8" t="s">
        <v>7066</v>
      </c>
      <c r="B2443" s="8" t="s">
        <v>2234</v>
      </c>
      <c r="C2443" s="8" t="s">
        <v>51</v>
      </c>
      <c r="D2443" s="32" t="n">
        <v>46133</v>
      </c>
      <c r="E2443" s="8" t="n">
        <v>8</v>
      </c>
      <c r="F2443" s="8" t="str">
        <f aca="false">IF(E2443&gt;=9,"Promoter",IF(E2443&gt;=7,"Passive","Detractor"))</f>
        <v>Passive</v>
      </c>
    </row>
    <row r="2444" customFormat="false" ht="15" hidden="false" customHeight="false" outlineLevel="0" collapsed="false">
      <c r="A2444" s="8" t="s">
        <v>7067</v>
      </c>
      <c r="B2444" s="8" t="s">
        <v>2110</v>
      </c>
      <c r="C2444" s="8" t="s">
        <v>51</v>
      </c>
      <c r="D2444" s="32" t="n">
        <v>46133</v>
      </c>
      <c r="E2444" s="8" t="n">
        <v>8</v>
      </c>
      <c r="F2444" s="8" t="str">
        <f aca="false">IF(E2444&gt;=9,"Promoter",IF(E2444&gt;=7,"Passive","Detractor"))</f>
        <v>Passive</v>
      </c>
    </row>
    <row r="2445" customFormat="false" ht="15" hidden="false" customHeight="false" outlineLevel="0" collapsed="false">
      <c r="A2445" s="8" t="s">
        <v>7068</v>
      </c>
      <c r="B2445" s="8" t="s">
        <v>3302</v>
      </c>
      <c r="C2445" s="8" t="s">
        <v>51</v>
      </c>
      <c r="D2445" s="32" t="n">
        <v>46133</v>
      </c>
      <c r="E2445" s="8" t="n">
        <v>9</v>
      </c>
      <c r="F2445" s="8" t="str">
        <f aca="false">IF(E2445&gt;=9,"Promoter",IF(E2445&gt;=7,"Passive","Detractor"))</f>
        <v>Promoter</v>
      </c>
    </row>
    <row r="2446" customFormat="false" ht="15" hidden="false" customHeight="false" outlineLevel="0" collapsed="false">
      <c r="A2446" s="8" t="s">
        <v>7069</v>
      </c>
      <c r="B2446" s="8" t="s">
        <v>4372</v>
      </c>
      <c r="C2446" s="8" t="s">
        <v>51</v>
      </c>
      <c r="D2446" s="32" t="n">
        <v>46133</v>
      </c>
      <c r="E2446" s="8" t="n">
        <v>6</v>
      </c>
      <c r="F2446" s="8" t="str">
        <f aca="false">IF(E2446&gt;=9,"Promoter",IF(E2446&gt;=7,"Passive","Detractor"))</f>
        <v>Detractor</v>
      </c>
    </row>
    <row r="2447" customFormat="false" ht="15" hidden="false" customHeight="false" outlineLevel="0" collapsed="false">
      <c r="A2447" s="8" t="s">
        <v>7070</v>
      </c>
      <c r="B2447" s="8" t="s">
        <v>2834</v>
      </c>
      <c r="C2447" s="8" t="s">
        <v>51</v>
      </c>
      <c r="D2447" s="32" t="n">
        <v>46133</v>
      </c>
      <c r="E2447" s="8" t="n">
        <v>10</v>
      </c>
      <c r="F2447" s="8" t="str">
        <f aca="false">IF(E2447&gt;=9,"Promoter",IF(E2447&gt;=7,"Passive","Detractor"))</f>
        <v>Promoter</v>
      </c>
    </row>
    <row r="2448" customFormat="false" ht="15" hidden="false" customHeight="false" outlineLevel="0" collapsed="false">
      <c r="A2448" s="8" t="s">
        <v>7071</v>
      </c>
      <c r="B2448" s="8" t="s">
        <v>2416</v>
      </c>
      <c r="C2448" s="8" t="s">
        <v>51</v>
      </c>
      <c r="D2448" s="32" t="n">
        <v>46133</v>
      </c>
      <c r="E2448" s="8" t="n">
        <v>7</v>
      </c>
      <c r="F2448" s="8" t="str">
        <f aca="false">IF(E2448&gt;=9,"Promoter",IF(E2448&gt;=7,"Passive","Detractor"))</f>
        <v>Passive</v>
      </c>
    </row>
    <row r="2449" customFormat="false" ht="15" hidden="false" customHeight="false" outlineLevel="0" collapsed="false">
      <c r="A2449" s="8" t="s">
        <v>7072</v>
      </c>
      <c r="B2449" s="8" t="s">
        <v>3850</v>
      </c>
      <c r="C2449" s="8" t="s">
        <v>51</v>
      </c>
      <c r="D2449" s="32" t="n">
        <v>46133</v>
      </c>
      <c r="E2449" s="8" t="n">
        <v>9</v>
      </c>
      <c r="F2449" s="8" t="str">
        <f aca="false">IF(E2449&gt;=9,"Promoter",IF(E2449&gt;=7,"Passive","Detractor"))</f>
        <v>Promoter</v>
      </c>
    </row>
    <row r="2450" customFormat="false" ht="15" hidden="false" customHeight="false" outlineLevel="0" collapsed="false">
      <c r="A2450" s="8" t="s">
        <v>7073</v>
      </c>
      <c r="B2450" s="8" t="s">
        <v>4378</v>
      </c>
      <c r="C2450" s="8" t="s">
        <v>51</v>
      </c>
      <c r="D2450" s="32" t="n">
        <v>46133</v>
      </c>
      <c r="E2450" s="8" t="n">
        <v>8</v>
      </c>
      <c r="F2450" s="8" t="str">
        <f aca="false">IF(E2450&gt;=9,"Promoter",IF(E2450&gt;=7,"Passive","Detractor"))</f>
        <v>Passive</v>
      </c>
    </row>
    <row r="2451" customFormat="false" ht="15" hidden="false" customHeight="false" outlineLevel="0" collapsed="false">
      <c r="A2451" s="8" t="s">
        <v>7074</v>
      </c>
      <c r="B2451" s="8" t="s">
        <v>1409</v>
      </c>
      <c r="C2451" s="8" t="s">
        <v>53</v>
      </c>
      <c r="D2451" s="32" t="n">
        <v>46133</v>
      </c>
      <c r="E2451" s="8" t="n">
        <v>8</v>
      </c>
      <c r="F2451" s="8" t="str">
        <f aca="false">IF(E2451&gt;=9,"Promoter",IF(E2451&gt;=7,"Passive","Detractor"))</f>
        <v>Passive</v>
      </c>
    </row>
    <row r="2452" customFormat="false" ht="15" hidden="false" customHeight="false" outlineLevel="0" collapsed="false">
      <c r="A2452" s="8" t="s">
        <v>7075</v>
      </c>
      <c r="B2452" s="8" t="s">
        <v>2192</v>
      </c>
      <c r="C2452" s="8" t="s">
        <v>51</v>
      </c>
      <c r="D2452" s="32" t="n">
        <v>46133</v>
      </c>
      <c r="E2452" s="8" t="n">
        <v>8</v>
      </c>
      <c r="F2452" s="8" t="str">
        <f aca="false">IF(E2452&gt;=9,"Promoter",IF(E2452&gt;=7,"Passive","Detractor"))</f>
        <v>Passive</v>
      </c>
    </row>
    <row r="2453" customFormat="false" ht="15" hidden="false" customHeight="false" outlineLevel="0" collapsed="false">
      <c r="A2453" s="8" t="s">
        <v>7076</v>
      </c>
      <c r="B2453" s="8" t="s">
        <v>2364</v>
      </c>
      <c r="C2453" s="8" t="s">
        <v>51</v>
      </c>
      <c r="D2453" s="32" t="n">
        <v>46134</v>
      </c>
      <c r="E2453" s="8" t="n">
        <v>6</v>
      </c>
      <c r="F2453" s="8" t="str">
        <f aca="false">IF(E2453&gt;=9,"Promoter",IF(E2453&gt;=7,"Passive","Detractor"))</f>
        <v>Detractor</v>
      </c>
    </row>
    <row r="2454" customFormat="false" ht="15" hidden="false" customHeight="false" outlineLevel="0" collapsed="false">
      <c r="A2454" s="8" t="s">
        <v>7077</v>
      </c>
      <c r="B2454" s="8" t="s">
        <v>3646</v>
      </c>
      <c r="C2454" s="8" t="s">
        <v>51</v>
      </c>
      <c r="D2454" s="32" t="n">
        <v>46134</v>
      </c>
      <c r="E2454" s="8" t="n">
        <v>4</v>
      </c>
      <c r="F2454" s="8" t="str">
        <f aca="false">IF(E2454&gt;=9,"Promoter",IF(E2454&gt;=7,"Passive","Detractor"))</f>
        <v>Detractor</v>
      </c>
    </row>
    <row r="2455" customFormat="false" ht="15" hidden="false" customHeight="false" outlineLevel="0" collapsed="false">
      <c r="A2455" s="8" t="s">
        <v>7078</v>
      </c>
      <c r="B2455" s="8" t="s">
        <v>3024</v>
      </c>
      <c r="C2455" s="8" t="s">
        <v>51</v>
      </c>
      <c r="D2455" s="32" t="n">
        <v>46134</v>
      </c>
      <c r="E2455" s="8" t="n">
        <v>6</v>
      </c>
      <c r="F2455" s="8" t="str">
        <f aca="false">IF(E2455&gt;=9,"Promoter",IF(E2455&gt;=7,"Passive","Detractor"))</f>
        <v>Detractor</v>
      </c>
    </row>
    <row r="2456" customFormat="false" ht="15" hidden="false" customHeight="false" outlineLevel="0" collapsed="false">
      <c r="A2456" s="8" t="s">
        <v>7079</v>
      </c>
      <c r="B2456" s="8" t="s">
        <v>3490</v>
      </c>
      <c r="C2456" s="8" t="s">
        <v>51</v>
      </c>
      <c r="D2456" s="32" t="n">
        <v>46134</v>
      </c>
      <c r="E2456" s="8" t="n">
        <v>7</v>
      </c>
      <c r="F2456" s="8" t="str">
        <f aca="false">IF(E2456&gt;=9,"Promoter",IF(E2456&gt;=7,"Passive","Detractor"))</f>
        <v>Passive</v>
      </c>
    </row>
    <row r="2457" customFormat="false" ht="15" hidden="false" customHeight="false" outlineLevel="0" collapsed="false">
      <c r="A2457" s="8" t="s">
        <v>7080</v>
      </c>
      <c r="B2457" s="8" t="s">
        <v>3906</v>
      </c>
      <c r="C2457" s="8" t="s">
        <v>51</v>
      </c>
      <c r="D2457" s="32" t="n">
        <v>46134</v>
      </c>
      <c r="E2457" s="8" t="n">
        <v>9</v>
      </c>
      <c r="F2457" s="8" t="str">
        <f aca="false">IF(E2457&gt;=9,"Promoter",IF(E2457&gt;=7,"Passive","Detractor"))</f>
        <v>Promoter</v>
      </c>
    </row>
    <row r="2458" customFormat="false" ht="15" hidden="false" customHeight="false" outlineLevel="0" collapsed="false">
      <c r="A2458" s="8" t="s">
        <v>7081</v>
      </c>
      <c r="B2458" s="8" t="s">
        <v>3128</v>
      </c>
      <c r="C2458" s="8" t="s">
        <v>51</v>
      </c>
      <c r="D2458" s="32" t="n">
        <v>46134</v>
      </c>
      <c r="E2458" s="8" t="n">
        <v>8</v>
      </c>
      <c r="F2458" s="8" t="str">
        <f aca="false">IF(E2458&gt;=9,"Promoter",IF(E2458&gt;=7,"Passive","Detractor"))</f>
        <v>Passive</v>
      </c>
    </row>
    <row r="2459" customFormat="false" ht="15" hidden="false" customHeight="false" outlineLevel="0" collapsed="false">
      <c r="A2459" s="8" t="s">
        <v>7082</v>
      </c>
      <c r="B2459" s="8" t="s">
        <v>2596</v>
      </c>
      <c r="C2459" s="8" t="s">
        <v>51</v>
      </c>
      <c r="D2459" s="32" t="n">
        <v>46134</v>
      </c>
      <c r="E2459" s="8" t="n">
        <v>10</v>
      </c>
      <c r="F2459" s="8" t="str">
        <f aca="false">IF(E2459&gt;=9,"Promoter",IF(E2459&gt;=7,"Passive","Detractor"))</f>
        <v>Promoter</v>
      </c>
    </row>
    <row r="2460" customFormat="false" ht="15" hidden="false" customHeight="false" outlineLevel="0" collapsed="false">
      <c r="A2460" s="8" t="s">
        <v>7083</v>
      </c>
      <c r="B2460" s="8" t="s">
        <v>1547</v>
      </c>
      <c r="C2460" s="8" t="s">
        <v>53</v>
      </c>
      <c r="D2460" s="32" t="n">
        <v>46134</v>
      </c>
      <c r="E2460" s="8" t="n">
        <v>8</v>
      </c>
      <c r="F2460" s="8" t="str">
        <f aca="false">IF(E2460&gt;=9,"Promoter",IF(E2460&gt;=7,"Passive","Detractor"))</f>
        <v>Passive</v>
      </c>
    </row>
    <row r="2461" customFormat="false" ht="15" hidden="false" customHeight="false" outlineLevel="0" collapsed="false">
      <c r="A2461" s="8" t="s">
        <v>7084</v>
      </c>
      <c r="B2461" s="8" t="s">
        <v>4184</v>
      </c>
      <c r="C2461" s="8" t="s">
        <v>51</v>
      </c>
      <c r="D2461" s="32" t="n">
        <v>46134</v>
      </c>
      <c r="E2461" s="8" t="n">
        <v>10</v>
      </c>
      <c r="F2461" s="8" t="str">
        <f aca="false">IF(E2461&gt;=9,"Promoter",IF(E2461&gt;=7,"Passive","Detractor"))</f>
        <v>Promoter</v>
      </c>
    </row>
    <row r="2462" customFormat="false" ht="15" hidden="false" customHeight="false" outlineLevel="0" collapsed="false">
      <c r="A2462" s="8" t="s">
        <v>7085</v>
      </c>
      <c r="B2462" s="8" t="s">
        <v>3504</v>
      </c>
      <c r="C2462" s="8" t="s">
        <v>51</v>
      </c>
      <c r="D2462" s="32" t="n">
        <v>46134</v>
      </c>
      <c r="E2462" s="8" t="n">
        <v>8</v>
      </c>
      <c r="F2462" s="8" t="str">
        <f aca="false">IF(E2462&gt;=9,"Promoter",IF(E2462&gt;=7,"Passive","Detractor"))</f>
        <v>Passive</v>
      </c>
    </row>
    <row r="2463" customFormat="false" ht="15" hidden="false" customHeight="false" outlineLevel="0" collapsed="false">
      <c r="A2463" s="8" t="s">
        <v>7086</v>
      </c>
      <c r="B2463" s="8" t="s">
        <v>3182</v>
      </c>
      <c r="C2463" s="8" t="s">
        <v>51</v>
      </c>
      <c r="D2463" s="32" t="n">
        <v>46134</v>
      </c>
      <c r="E2463" s="8" t="n">
        <v>10</v>
      </c>
      <c r="F2463" s="8" t="str">
        <f aca="false">IF(E2463&gt;=9,"Promoter",IF(E2463&gt;=7,"Passive","Detractor"))</f>
        <v>Promoter</v>
      </c>
    </row>
    <row r="2464" customFormat="false" ht="15" hidden="false" customHeight="false" outlineLevel="0" collapsed="false">
      <c r="A2464" s="8" t="s">
        <v>7087</v>
      </c>
      <c r="B2464" s="8" t="s">
        <v>2332</v>
      </c>
      <c r="C2464" s="8" t="s">
        <v>51</v>
      </c>
      <c r="D2464" s="32" t="n">
        <v>46134</v>
      </c>
      <c r="E2464" s="8" t="n">
        <v>10</v>
      </c>
      <c r="F2464" s="8" t="str">
        <f aca="false">IF(E2464&gt;=9,"Promoter",IF(E2464&gt;=7,"Passive","Detractor"))</f>
        <v>Promoter</v>
      </c>
    </row>
    <row r="2465" customFormat="false" ht="15" hidden="false" customHeight="false" outlineLevel="0" collapsed="false">
      <c r="A2465" s="8" t="s">
        <v>7088</v>
      </c>
      <c r="B2465" s="8" t="s">
        <v>803</v>
      </c>
      <c r="C2465" s="8" t="s">
        <v>53</v>
      </c>
      <c r="D2465" s="32" t="n">
        <v>46134</v>
      </c>
      <c r="E2465" s="8" t="n">
        <v>8</v>
      </c>
      <c r="F2465" s="8" t="str">
        <f aca="false">IF(E2465&gt;=9,"Promoter",IF(E2465&gt;=7,"Passive","Detractor"))</f>
        <v>Passive</v>
      </c>
    </row>
    <row r="2466" customFormat="false" ht="15" hidden="false" customHeight="false" outlineLevel="0" collapsed="false">
      <c r="A2466" s="8" t="s">
        <v>7089</v>
      </c>
      <c r="B2466" s="8" t="s">
        <v>4288</v>
      </c>
      <c r="C2466" s="8" t="s">
        <v>51</v>
      </c>
      <c r="D2466" s="32" t="n">
        <v>46134</v>
      </c>
      <c r="E2466" s="8" t="n">
        <v>8</v>
      </c>
      <c r="F2466" s="8" t="str">
        <f aca="false">IF(E2466&gt;=9,"Promoter",IF(E2466&gt;=7,"Passive","Detractor"))</f>
        <v>Passive</v>
      </c>
    </row>
    <row r="2467" customFormat="false" ht="15" hidden="false" customHeight="false" outlineLevel="0" collapsed="false">
      <c r="A2467" s="8" t="s">
        <v>7090</v>
      </c>
      <c r="B2467" s="8" t="s">
        <v>941</v>
      </c>
      <c r="C2467" s="8" t="s">
        <v>53</v>
      </c>
      <c r="D2467" s="32" t="n">
        <v>46134</v>
      </c>
      <c r="E2467" s="8" t="n">
        <v>6</v>
      </c>
      <c r="F2467" s="8" t="str">
        <f aca="false">IF(E2467&gt;=9,"Promoter",IF(E2467&gt;=7,"Passive","Detractor"))</f>
        <v>Detractor</v>
      </c>
    </row>
    <row r="2468" customFormat="false" ht="15" hidden="false" customHeight="false" outlineLevel="0" collapsed="false">
      <c r="A2468" s="8" t="s">
        <v>7091</v>
      </c>
      <c r="B2468" s="8" t="s">
        <v>593</v>
      </c>
      <c r="C2468" s="8" t="s">
        <v>53</v>
      </c>
      <c r="D2468" s="32" t="n">
        <v>46134</v>
      </c>
      <c r="E2468" s="8" t="n">
        <v>10</v>
      </c>
      <c r="F2468" s="8" t="str">
        <f aca="false">IF(E2468&gt;=9,"Promoter",IF(E2468&gt;=7,"Passive","Detractor"))</f>
        <v>Promoter</v>
      </c>
    </row>
    <row r="2469" customFormat="false" ht="15" hidden="false" customHeight="false" outlineLevel="0" collapsed="false">
      <c r="A2469" s="8" t="s">
        <v>7092</v>
      </c>
      <c r="B2469" s="8" t="s">
        <v>2362</v>
      </c>
      <c r="C2469" s="8" t="s">
        <v>51</v>
      </c>
      <c r="D2469" s="32" t="n">
        <v>46134</v>
      </c>
      <c r="E2469" s="8" t="n">
        <v>10</v>
      </c>
      <c r="F2469" s="8" t="str">
        <f aca="false">IF(E2469&gt;=9,"Promoter",IF(E2469&gt;=7,"Passive","Detractor"))</f>
        <v>Promoter</v>
      </c>
    </row>
    <row r="2470" customFormat="false" ht="15" hidden="false" customHeight="false" outlineLevel="0" collapsed="false">
      <c r="A2470" s="8" t="s">
        <v>7093</v>
      </c>
      <c r="B2470" s="8" t="s">
        <v>324</v>
      </c>
      <c r="C2470" s="8" t="s">
        <v>55</v>
      </c>
      <c r="D2470" s="32" t="n">
        <v>46134</v>
      </c>
      <c r="E2470" s="8" t="n">
        <v>8</v>
      </c>
      <c r="F2470" s="8" t="str">
        <f aca="false">IF(E2470&gt;=9,"Promoter",IF(E2470&gt;=7,"Passive","Detractor"))</f>
        <v>Passive</v>
      </c>
    </row>
    <row r="2471" customFormat="false" ht="15" hidden="false" customHeight="false" outlineLevel="0" collapsed="false">
      <c r="A2471" s="8" t="s">
        <v>7094</v>
      </c>
      <c r="B2471" s="8" t="s">
        <v>851</v>
      </c>
      <c r="C2471" s="8" t="s">
        <v>53</v>
      </c>
      <c r="D2471" s="32" t="n">
        <v>46134</v>
      </c>
      <c r="E2471" s="8" t="n">
        <v>6</v>
      </c>
      <c r="F2471" s="8" t="str">
        <f aca="false">IF(E2471&gt;=9,"Promoter",IF(E2471&gt;=7,"Passive","Detractor"))</f>
        <v>Detractor</v>
      </c>
    </row>
    <row r="2472" customFormat="false" ht="15" hidden="false" customHeight="false" outlineLevel="0" collapsed="false">
      <c r="A2472" s="8" t="s">
        <v>7095</v>
      </c>
      <c r="B2472" s="8" t="s">
        <v>575</v>
      </c>
      <c r="C2472" s="8" t="s">
        <v>55</v>
      </c>
      <c r="D2472" s="32" t="n">
        <v>46135</v>
      </c>
      <c r="E2472" s="8" t="n">
        <v>6</v>
      </c>
      <c r="F2472" s="8" t="str">
        <f aca="false">IF(E2472&gt;=9,"Promoter",IF(E2472&gt;=7,"Passive","Detractor"))</f>
        <v>Detractor</v>
      </c>
    </row>
    <row r="2473" customFormat="false" ht="15" hidden="false" customHeight="false" outlineLevel="0" collapsed="false">
      <c r="A2473" s="8" t="s">
        <v>7096</v>
      </c>
      <c r="B2473" s="8" t="s">
        <v>1021</v>
      </c>
      <c r="C2473" s="8" t="s">
        <v>53</v>
      </c>
      <c r="D2473" s="32" t="n">
        <v>46135</v>
      </c>
      <c r="E2473" s="8" t="n">
        <v>8</v>
      </c>
      <c r="F2473" s="8" t="str">
        <f aca="false">IF(E2473&gt;=9,"Promoter",IF(E2473&gt;=7,"Passive","Detractor"))</f>
        <v>Passive</v>
      </c>
    </row>
    <row r="2474" customFormat="false" ht="15" hidden="false" customHeight="false" outlineLevel="0" collapsed="false">
      <c r="A2474" s="8" t="s">
        <v>7097</v>
      </c>
      <c r="B2474" s="8" t="s">
        <v>3784</v>
      </c>
      <c r="C2474" s="8" t="s">
        <v>51</v>
      </c>
      <c r="D2474" s="32" t="n">
        <v>46135</v>
      </c>
      <c r="E2474" s="8" t="n">
        <v>10</v>
      </c>
      <c r="F2474" s="8" t="str">
        <f aca="false">IF(E2474&gt;=9,"Promoter",IF(E2474&gt;=7,"Passive","Detractor"))</f>
        <v>Promoter</v>
      </c>
    </row>
    <row r="2475" customFormat="false" ht="15" hidden="false" customHeight="false" outlineLevel="0" collapsed="false">
      <c r="A2475" s="8" t="s">
        <v>7098</v>
      </c>
      <c r="B2475" s="8" t="s">
        <v>2370</v>
      </c>
      <c r="C2475" s="8" t="s">
        <v>51</v>
      </c>
      <c r="D2475" s="32" t="n">
        <v>46135</v>
      </c>
      <c r="E2475" s="8" t="n">
        <v>8</v>
      </c>
      <c r="F2475" s="8" t="str">
        <f aca="false">IF(E2475&gt;=9,"Promoter",IF(E2475&gt;=7,"Passive","Detractor"))</f>
        <v>Passive</v>
      </c>
    </row>
    <row r="2476" customFormat="false" ht="15" hidden="false" customHeight="false" outlineLevel="0" collapsed="false">
      <c r="A2476" s="8" t="s">
        <v>7099</v>
      </c>
      <c r="B2476" s="8" t="s">
        <v>3344</v>
      </c>
      <c r="C2476" s="8" t="s">
        <v>51</v>
      </c>
      <c r="D2476" s="32" t="n">
        <v>46135</v>
      </c>
      <c r="E2476" s="8" t="n">
        <v>9</v>
      </c>
      <c r="F2476" s="8" t="str">
        <f aca="false">IF(E2476&gt;=9,"Promoter",IF(E2476&gt;=7,"Passive","Detractor"))</f>
        <v>Promoter</v>
      </c>
    </row>
    <row r="2477" customFormat="false" ht="15" hidden="false" customHeight="false" outlineLevel="0" collapsed="false">
      <c r="A2477" s="8" t="s">
        <v>7100</v>
      </c>
      <c r="B2477" s="8" t="s">
        <v>775</v>
      </c>
      <c r="C2477" s="8" t="s">
        <v>53</v>
      </c>
      <c r="D2477" s="32" t="n">
        <v>46135</v>
      </c>
      <c r="E2477" s="8" t="n">
        <v>4</v>
      </c>
      <c r="F2477" s="8" t="str">
        <f aca="false">IF(E2477&gt;=9,"Promoter",IF(E2477&gt;=7,"Passive","Detractor"))</f>
        <v>Detractor</v>
      </c>
    </row>
    <row r="2478" customFormat="false" ht="15" hidden="false" customHeight="false" outlineLevel="0" collapsed="false">
      <c r="A2478" s="8" t="s">
        <v>7101</v>
      </c>
      <c r="B2478" s="8" t="s">
        <v>1505</v>
      </c>
      <c r="C2478" s="8" t="s">
        <v>53</v>
      </c>
      <c r="D2478" s="32" t="n">
        <v>46135</v>
      </c>
      <c r="E2478" s="8" t="n">
        <v>8</v>
      </c>
      <c r="F2478" s="8" t="str">
        <f aca="false">IF(E2478&gt;=9,"Promoter",IF(E2478&gt;=7,"Passive","Detractor"))</f>
        <v>Passive</v>
      </c>
    </row>
    <row r="2479" customFormat="false" ht="15" hidden="false" customHeight="false" outlineLevel="0" collapsed="false">
      <c r="A2479" s="8" t="s">
        <v>7102</v>
      </c>
      <c r="B2479" s="8" t="s">
        <v>1607</v>
      </c>
      <c r="C2479" s="8" t="s">
        <v>53</v>
      </c>
      <c r="D2479" s="32" t="n">
        <v>46135</v>
      </c>
      <c r="E2479" s="8" t="n">
        <v>8</v>
      </c>
      <c r="F2479" s="8" t="str">
        <f aca="false">IF(E2479&gt;=9,"Promoter",IF(E2479&gt;=7,"Passive","Detractor"))</f>
        <v>Passive</v>
      </c>
    </row>
    <row r="2480" customFormat="false" ht="15" hidden="false" customHeight="false" outlineLevel="0" collapsed="false">
      <c r="A2480" s="8" t="s">
        <v>7103</v>
      </c>
      <c r="B2480" s="8" t="s">
        <v>3066</v>
      </c>
      <c r="C2480" s="8" t="s">
        <v>51</v>
      </c>
      <c r="D2480" s="32" t="n">
        <v>46135</v>
      </c>
      <c r="E2480" s="8" t="n">
        <v>4</v>
      </c>
      <c r="F2480" s="8" t="str">
        <f aca="false">IF(E2480&gt;=9,"Promoter",IF(E2480&gt;=7,"Passive","Detractor"))</f>
        <v>Detractor</v>
      </c>
    </row>
    <row r="2481" customFormat="false" ht="15" hidden="false" customHeight="false" outlineLevel="0" collapsed="false">
      <c r="A2481" s="8" t="s">
        <v>7104</v>
      </c>
      <c r="B2481" s="8" t="s">
        <v>1339</v>
      </c>
      <c r="C2481" s="8" t="s">
        <v>53</v>
      </c>
      <c r="D2481" s="32" t="n">
        <v>46135</v>
      </c>
      <c r="E2481" s="8" t="n">
        <v>8</v>
      </c>
      <c r="F2481" s="8" t="str">
        <f aca="false">IF(E2481&gt;=9,"Promoter",IF(E2481&gt;=7,"Passive","Detractor"))</f>
        <v>Passive</v>
      </c>
    </row>
    <row r="2482" customFormat="false" ht="15" hidden="false" customHeight="false" outlineLevel="0" collapsed="false">
      <c r="A2482" s="8" t="s">
        <v>7105</v>
      </c>
      <c r="B2482" s="8" t="s">
        <v>2276</v>
      </c>
      <c r="C2482" s="8" t="s">
        <v>51</v>
      </c>
      <c r="D2482" s="32" t="n">
        <v>46135</v>
      </c>
      <c r="E2482" s="8" t="n">
        <v>9</v>
      </c>
      <c r="F2482" s="8" t="str">
        <f aca="false">IF(E2482&gt;=9,"Promoter",IF(E2482&gt;=7,"Passive","Detractor"))</f>
        <v>Promoter</v>
      </c>
    </row>
    <row r="2483" customFormat="false" ht="15" hidden="false" customHeight="false" outlineLevel="0" collapsed="false">
      <c r="A2483" s="8" t="s">
        <v>7106</v>
      </c>
      <c r="B2483" s="8" t="s">
        <v>1269</v>
      </c>
      <c r="C2483" s="8" t="s">
        <v>53</v>
      </c>
      <c r="D2483" s="32" t="n">
        <v>46135</v>
      </c>
      <c r="E2483" s="8" t="n">
        <v>9</v>
      </c>
      <c r="F2483" s="8" t="str">
        <f aca="false">IF(E2483&gt;=9,"Promoter",IF(E2483&gt;=7,"Passive","Detractor"))</f>
        <v>Promoter</v>
      </c>
    </row>
    <row r="2484" customFormat="false" ht="15" hidden="false" customHeight="false" outlineLevel="0" collapsed="false">
      <c r="A2484" s="8" t="s">
        <v>7107</v>
      </c>
      <c r="B2484" s="8" t="s">
        <v>813</v>
      </c>
      <c r="C2484" s="8" t="s">
        <v>53</v>
      </c>
      <c r="D2484" s="32" t="n">
        <v>46135</v>
      </c>
      <c r="E2484" s="8" t="n">
        <v>7</v>
      </c>
      <c r="F2484" s="8" t="str">
        <f aca="false">IF(E2484&gt;=9,"Promoter",IF(E2484&gt;=7,"Passive","Detractor"))</f>
        <v>Passive</v>
      </c>
    </row>
    <row r="2485" customFormat="false" ht="15" hidden="false" customHeight="false" outlineLevel="0" collapsed="false">
      <c r="A2485" s="8" t="s">
        <v>7108</v>
      </c>
      <c r="B2485" s="8" t="s">
        <v>4004</v>
      </c>
      <c r="C2485" s="8" t="s">
        <v>51</v>
      </c>
      <c r="D2485" s="32" t="n">
        <v>46135</v>
      </c>
      <c r="E2485" s="8" t="n">
        <v>10</v>
      </c>
      <c r="F2485" s="8" t="str">
        <f aca="false">IF(E2485&gt;=9,"Promoter",IF(E2485&gt;=7,"Passive","Detractor"))</f>
        <v>Promoter</v>
      </c>
    </row>
    <row r="2486" customFormat="false" ht="15" hidden="false" customHeight="false" outlineLevel="0" collapsed="false">
      <c r="A2486" s="8" t="s">
        <v>7109</v>
      </c>
      <c r="B2486" s="8" t="s">
        <v>4503</v>
      </c>
      <c r="C2486" s="8" t="s">
        <v>51</v>
      </c>
      <c r="D2486" s="32" t="n">
        <v>46135</v>
      </c>
      <c r="E2486" s="8" t="n">
        <v>7</v>
      </c>
      <c r="F2486" s="8" t="str">
        <f aca="false">IF(E2486&gt;=9,"Promoter",IF(E2486&gt;=7,"Passive","Detractor"))</f>
        <v>Passive</v>
      </c>
    </row>
    <row r="2487" customFormat="false" ht="15" hidden="false" customHeight="false" outlineLevel="0" collapsed="false">
      <c r="A2487" s="8" t="s">
        <v>7110</v>
      </c>
      <c r="B2487" s="8" t="s">
        <v>3758</v>
      </c>
      <c r="C2487" s="8" t="s">
        <v>51</v>
      </c>
      <c r="D2487" s="32" t="n">
        <v>46135</v>
      </c>
      <c r="E2487" s="8" t="n">
        <v>5</v>
      </c>
      <c r="F2487" s="8" t="str">
        <f aca="false">IF(E2487&gt;=9,"Promoter",IF(E2487&gt;=7,"Passive","Detractor"))</f>
        <v>Detractor</v>
      </c>
    </row>
    <row r="2488" customFormat="false" ht="15" hidden="false" customHeight="false" outlineLevel="0" collapsed="false">
      <c r="A2488" s="8" t="s">
        <v>7111</v>
      </c>
      <c r="B2488" s="8" t="s">
        <v>2612</v>
      </c>
      <c r="C2488" s="8" t="s">
        <v>51</v>
      </c>
      <c r="D2488" s="32" t="n">
        <v>46135</v>
      </c>
      <c r="E2488" s="8" t="n">
        <v>8</v>
      </c>
      <c r="F2488" s="8" t="str">
        <f aca="false">IF(E2488&gt;=9,"Promoter",IF(E2488&gt;=7,"Passive","Detractor"))</f>
        <v>Passive</v>
      </c>
    </row>
    <row r="2489" customFormat="false" ht="15" hidden="false" customHeight="false" outlineLevel="0" collapsed="false">
      <c r="A2489" s="8" t="s">
        <v>7112</v>
      </c>
      <c r="B2489" s="8" t="s">
        <v>2544</v>
      </c>
      <c r="C2489" s="8" t="s">
        <v>51</v>
      </c>
      <c r="D2489" s="32" t="n">
        <v>46135</v>
      </c>
      <c r="E2489" s="8" t="n">
        <v>10</v>
      </c>
      <c r="F2489" s="8" t="str">
        <f aca="false">IF(E2489&gt;=9,"Promoter",IF(E2489&gt;=7,"Passive","Detractor"))</f>
        <v>Promoter</v>
      </c>
    </row>
    <row r="2490" customFormat="false" ht="15" hidden="false" customHeight="false" outlineLevel="0" collapsed="false">
      <c r="A2490" s="8" t="s">
        <v>7113</v>
      </c>
      <c r="B2490" s="8" t="s">
        <v>1861</v>
      </c>
      <c r="C2490" s="8" t="s">
        <v>51</v>
      </c>
      <c r="D2490" s="32" t="n">
        <v>46135</v>
      </c>
      <c r="E2490" s="8" t="n">
        <v>8</v>
      </c>
      <c r="F2490" s="8" t="str">
        <f aca="false">IF(E2490&gt;=9,"Promoter",IF(E2490&gt;=7,"Passive","Detractor"))</f>
        <v>Passive</v>
      </c>
    </row>
    <row r="2491" customFormat="false" ht="15" hidden="false" customHeight="false" outlineLevel="0" collapsed="false">
      <c r="A2491" s="8" t="s">
        <v>7114</v>
      </c>
      <c r="B2491" s="8" t="s">
        <v>1337</v>
      </c>
      <c r="C2491" s="8" t="s">
        <v>53</v>
      </c>
      <c r="D2491" s="32" t="n">
        <v>46135</v>
      </c>
      <c r="E2491" s="8" t="n">
        <v>6</v>
      </c>
      <c r="F2491" s="8" t="str">
        <f aca="false">IF(E2491&gt;=9,"Promoter",IF(E2491&gt;=7,"Passive","Detractor"))</f>
        <v>Detractor</v>
      </c>
    </row>
    <row r="2492" customFormat="false" ht="15" hidden="false" customHeight="false" outlineLevel="0" collapsed="false">
      <c r="A2492" s="8" t="s">
        <v>7115</v>
      </c>
      <c r="B2492" s="8" t="s">
        <v>885</v>
      </c>
      <c r="C2492" s="8" t="s">
        <v>53</v>
      </c>
      <c r="D2492" s="32" t="n">
        <v>46135</v>
      </c>
      <c r="E2492" s="8" t="n">
        <v>5</v>
      </c>
      <c r="F2492" s="8" t="str">
        <f aca="false">IF(E2492&gt;=9,"Promoter",IF(E2492&gt;=7,"Passive","Detractor"))</f>
        <v>Detractor</v>
      </c>
    </row>
    <row r="2493" customFormat="false" ht="15" hidden="false" customHeight="false" outlineLevel="0" collapsed="false">
      <c r="A2493" s="8" t="s">
        <v>7116</v>
      </c>
      <c r="B2493" s="8" t="s">
        <v>308</v>
      </c>
      <c r="C2493" s="8" t="s">
        <v>55</v>
      </c>
      <c r="D2493" s="32" t="n">
        <v>46135</v>
      </c>
      <c r="E2493" s="8" t="n">
        <v>9</v>
      </c>
      <c r="F2493" s="8" t="str">
        <f aca="false">IF(E2493&gt;=9,"Promoter",IF(E2493&gt;=7,"Passive","Detractor"))</f>
        <v>Promoter</v>
      </c>
    </row>
    <row r="2494" customFormat="false" ht="15" hidden="false" customHeight="false" outlineLevel="0" collapsed="false">
      <c r="A2494" s="8" t="s">
        <v>7117</v>
      </c>
      <c r="B2494" s="8" t="s">
        <v>3618</v>
      </c>
      <c r="C2494" s="8" t="s">
        <v>51</v>
      </c>
      <c r="D2494" s="32" t="n">
        <v>46135</v>
      </c>
      <c r="E2494" s="8" t="n">
        <v>7</v>
      </c>
      <c r="F2494" s="8" t="str">
        <f aca="false">IF(E2494&gt;=9,"Promoter",IF(E2494&gt;=7,"Passive","Detractor"))</f>
        <v>Passive</v>
      </c>
    </row>
    <row r="2495" customFormat="false" ht="15" hidden="false" customHeight="false" outlineLevel="0" collapsed="false">
      <c r="A2495" s="8" t="s">
        <v>7118</v>
      </c>
      <c r="B2495" s="8" t="s">
        <v>2806</v>
      </c>
      <c r="C2495" s="8" t="s">
        <v>51</v>
      </c>
      <c r="D2495" s="32" t="n">
        <v>46135</v>
      </c>
      <c r="E2495" s="8" t="n">
        <v>9</v>
      </c>
      <c r="F2495" s="8" t="str">
        <f aca="false">IF(E2495&gt;=9,"Promoter",IF(E2495&gt;=7,"Passive","Detractor"))</f>
        <v>Promoter</v>
      </c>
    </row>
    <row r="2496" customFormat="false" ht="15" hidden="false" customHeight="false" outlineLevel="0" collapsed="false">
      <c r="A2496" s="8" t="s">
        <v>7119</v>
      </c>
      <c r="B2496" s="8" t="s">
        <v>3016</v>
      </c>
      <c r="C2496" s="8" t="s">
        <v>51</v>
      </c>
      <c r="D2496" s="32" t="n">
        <v>46135</v>
      </c>
      <c r="E2496" s="8" t="n">
        <v>7</v>
      </c>
      <c r="F2496" s="8" t="str">
        <f aca="false">IF(E2496&gt;=9,"Promoter",IF(E2496&gt;=7,"Passive","Detractor"))</f>
        <v>Passive</v>
      </c>
    </row>
    <row r="2497" customFormat="false" ht="15" hidden="false" customHeight="false" outlineLevel="0" collapsed="false">
      <c r="A2497" s="8" t="s">
        <v>7120</v>
      </c>
      <c r="B2497" s="8" t="s">
        <v>7121</v>
      </c>
      <c r="C2497" s="8" t="s">
        <v>53</v>
      </c>
      <c r="D2497" s="32" t="n">
        <v>46135</v>
      </c>
      <c r="E2497" s="8" t="n">
        <v>3</v>
      </c>
      <c r="F2497" s="8" t="str">
        <f aca="false">IF(E2497&gt;=9,"Promoter",IF(E2497&gt;=7,"Passive","Detractor"))</f>
        <v>Detractor</v>
      </c>
    </row>
    <row r="2498" customFormat="false" ht="15" hidden="false" customHeight="false" outlineLevel="0" collapsed="false">
      <c r="A2498" s="8" t="s">
        <v>7122</v>
      </c>
      <c r="B2498" s="8" t="s">
        <v>2398</v>
      </c>
      <c r="C2498" s="8" t="s">
        <v>51</v>
      </c>
      <c r="D2498" s="32" t="n">
        <v>46135</v>
      </c>
      <c r="E2498" s="8" t="n">
        <v>7</v>
      </c>
      <c r="F2498" s="8" t="str">
        <f aca="false">IF(E2498&gt;=9,"Promoter",IF(E2498&gt;=7,"Passive","Detractor"))</f>
        <v>Passive</v>
      </c>
    </row>
    <row r="2499" customFormat="false" ht="15" hidden="false" customHeight="false" outlineLevel="0" collapsed="false">
      <c r="A2499" s="8" t="s">
        <v>7123</v>
      </c>
      <c r="B2499" s="8" t="s">
        <v>1091</v>
      </c>
      <c r="C2499" s="8" t="s">
        <v>53</v>
      </c>
      <c r="D2499" s="32" t="n">
        <v>46136</v>
      </c>
      <c r="E2499" s="8" t="n">
        <v>10</v>
      </c>
      <c r="F2499" s="8" t="str">
        <f aca="false">IF(E2499&gt;=9,"Promoter",IF(E2499&gt;=7,"Passive","Detractor"))</f>
        <v>Promoter</v>
      </c>
    </row>
    <row r="2500" customFormat="false" ht="15" hidden="false" customHeight="false" outlineLevel="0" collapsed="false">
      <c r="A2500" s="8" t="s">
        <v>7124</v>
      </c>
      <c r="B2500" s="8" t="s">
        <v>1643</v>
      </c>
      <c r="C2500" s="8" t="s">
        <v>53</v>
      </c>
      <c r="D2500" s="32" t="n">
        <v>46136</v>
      </c>
      <c r="E2500" s="8" t="n">
        <v>4</v>
      </c>
      <c r="F2500" s="8" t="str">
        <f aca="false">IF(E2500&gt;=9,"Promoter",IF(E2500&gt;=7,"Passive","Detractor"))</f>
        <v>Detractor</v>
      </c>
    </row>
    <row r="2501" customFormat="false" ht="15" hidden="false" customHeight="false" outlineLevel="0" collapsed="false">
      <c r="A2501" s="8" t="s">
        <v>7125</v>
      </c>
      <c r="B2501" s="8" t="s">
        <v>2588</v>
      </c>
      <c r="C2501" s="8" t="s">
        <v>51</v>
      </c>
      <c r="D2501" s="32" t="n">
        <v>46136</v>
      </c>
      <c r="E2501" s="8" t="n">
        <v>6</v>
      </c>
      <c r="F2501" s="8" t="str">
        <f aca="false">IF(E2501&gt;=9,"Promoter",IF(E2501&gt;=7,"Passive","Detractor"))</f>
        <v>Detractor</v>
      </c>
    </row>
    <row r="2502" customFormat="false" ht="15" hidden="false" customHeight="false" outlineLevel="0" collapsed="false">
      <c r="A2502" s="8" t="s">
        <v>7126</v>
      </c>
      <c r="B2502" s="8" t="s">
        <v>1535</v>
      </c>
      <c r="C2502" s="8" t="s">
        <v>53</v>
      </c>
      <c r="D2502" s="32" t="n">
        <v>46136</v>
      </c>
      <c r="E2502" s="8" t="n">
        <v>8</v>
      </c>
      <c r="F2502" s="8" t="str">
        <f aca="false">IF(E2502&gt;=9,"Promoter",IF(E2502&gt;=7,"Passive","Detractor"))</f>
        <v>Passive</v>
      </c>
    </row>
    <row r="2503" customFormat="false" ht="15" hidden="false" customHeight="false" outlineLevel="0" collapsed="false">
      <c r="A2503" s="8" t="s">
        <v>7127</v>
      </c>
      <c r="B2503" s="8" t="s">
        <v>1395</v>
      </c>
      <c r="C2503" s="8" t="s">
        <v>53</v>
      </c>
      <c r="D2503" s="32" t="n">
        <v>46136</v>
      </c>
      <c r="E2503" s="8" t="n">
        <v>7</v>
      </c>
      <c r="F2503" s="8" t="str">
        <f aca="false">IF(E2503&gt;=9,"Promoter",IF(E2503&gt;=7,"Passive","Detractor"))</f>
        <v>Passive</v>
      </c>
    </row>
    <row r="2504" customFormat="false" ht="15" hidden="false" customHeight="false" outlineLevel="0" collapsed="false">
      <c r="A2504" s="8" t="s">
        <v>7128</v>
      </c>
      <c r="B2504" s="8" t="s">
        <v>4262</v>
      </c>
      <c r="C2504" s="8" t="s">
        <v>51</v>
      </c>
      <c r="D2504" s="32" t="n">
        <v>46136</v>
      </c>
      <c r="E2504" s="8" t="n">
        <v>8</v>
      </c>
      <c r="F2504" s="8" t="str">
        <f aca="false">IF(E2504&gt;=9,"Promoter",IF(E2504&gt;=7,"Passive","Detractor"))</f>
        <v>Passive</v>
      </c>
    </row>
    <row r="2505" customFormat="false" ht="15" hidden="false" customHeight="false" outlineLevel="0" collapsed="false">
      <c r="A2505" s="8" t="s">
        <v>7129</v>
      </c>
      <c r="B2505" s="8" t="s">
        <v>3788</v>
      </c>
      <c r="C2505" s="8" t="s">
        <v>51</v>
      </c>
      <c r="D2505" s="32" t="n">
        <v>46136</v>
      </c>
      <c r="E2505" s="8" t="n">
        <v>6</v>
      </c>
      <c r="F2505" s="8" t="str">
        <f aca="false">IF(E2505&gt;=9,"Promoter",IF(E2505&gt;=7,"Passive","Detractor"))</f>
        <v>Detractor</v>
      </c>
    </row>
    <row r="2506" customFormat="false" ht="15" hidden="false" customHeight="false" outlineLevel="0" collapsed="false">
      <c r="A2506" s="8" t="s">
        <v>7130</v>
      </c>
      <c r="B2506" s="8" t="s">
        <v>4160</v>
      </c>
      <c r="C2506" s="8" t="s">
        <v>51</v>
      </c>
      <c r="D2506" s="32" t="n">
        <v>46136</v>
      </c>
      <c r="E2506" s="8" t="n">
        <v>10</v>
      </c>
      <c r="F2506" s="8" t="str">
        <f aca="false">IF(E2506&gt;=9,"Promoter",IF(E2506&gt;=7,"Passive","Detractor"))</f>
        <v>Promoter</v>
      </c>
    </row>
    <row r="2507" customFormat="false" ht="15" hidden="false" customHeight="false" outlineLevel="0" collapsed="false">
      <c r="A2507" s="8" t="s">
        <v>7131</v>
      </c>
      <c r="B2507" s="8" t="s">
        <v>1347</v>
      </c>
      <c r="C2507" s="8" t="s">
        <v>53</v>
      </c>
      <c r="D2507" s="32" t="n">
        <v>46136</v>
      </c>
      <c r="E2507" s="8" t="n">
        <v>9</v>
      </c>
      <c r="F2507" s="8" t="str">
        <f aca="false">IF(E2507&gt;=9,"Promoter",IF(E2507&gt;=7,"Passive","Detractor"))</f>
        <v>Promoter</v>
      </c>
    </row>
    <row r="2508" customFormat="false" ht="15" hidden="false" customHeight="false" outlineLevel="0" collapsed="false">
      <c r="A2508" s="8" t="s">
        <v>7132</v>
      </c>
      <c r="B2508" s="8" t="s">
        <v>2038</v>
      </c>
      <c r="C2508" s="8" t="s">
        <v>51</v>
      </c>
      <c r="D2508" s="32" t="n">
        <v>46136</v>
      </c>
      <c r="E2508" s="8" t="n">
        <v>10</v>
      </c>
      <c r="F2508" s="8" t="str">
        <f aca="false">IF(E2508&gt;=9,"Promoter",IF(E2508&gt;=7,"Passive","Detractor"))</f>
        <v>Promoter</v>
      </c>
    </row>
    <row r="2509" customFormat="false" ht="15" hidden="false" customHeight="false" outlineLevel="0" collapsed="false">
      <c r="A2509" s="8" t="s">
        <v>7133</v>
      </c>
      <c r="B2509" s="8" t="s">
        <v>2274</v>
      </c>
      <c r="C2509" s="8" t="s">
        <v>51</v>
      </c>
      <c r="D2509" s="32" t="n">
        <v>46136</v>
      </c>
      <c r="E2509" s="8" t="n">
        <v>10</v>
      </c>
      <c r="F2509" s="8" t="str">
        <f aca="false">IF(E2509&gt;=9,"Promoter",IF(E2509&gt;=7,"Passive","Detractor"))</f>
        <v>Promoter</v>
      </c>
    </row>
    <row r="2510" customFormat="false" ht="15" hidden="false" customHeight="false" outlineLevel="0" collapsed="false">
      <c r="A2510" s="8" t="s">
        <v>7134</v>
      </c>
      <c r="B2510" s="8" t="s">
        <v>2072</v>
      </c>
      <c r="C2510" s="8" t="s">
        <v>51</v>
      </c>
      <c r="D2510" s="32" t="n">
        <v>46136</v>
      </c>
      <c r="E2510" s="8" t="n">
        <v>10</v>
      </c>
      <c r="F2510" s="8" t="str">
        <f aca="false">IF(E2510&gt;=9,"Promoter",IF(E2510&gt;=7,"Passive","Detractor"))</f>
        <v>Promoter</v>
      </c>
    </row>
    <row r="2511" customFormat="false" ht="15" hidden="false" customHeight="false" outlineLevel="0" collapsed="false">
      <c r="A2511" s="8" t="s">
        <v>7135</v>
      </c>
      <c r="B2511" s="8" t="s">
        <v>1825</v>
      </c>
      <c r="C2511" s="8" t="s">
        <v>51</v>
      </c>
      <c r="D2511" s="32" t="n">
        <v>46136</v>
      </c>
      <c r="E2511" s="8" t="n">
        <v>8</v>
      </c>
      <c r="F2511" s="8" t="str">
        <f aca="false">IF(E2511&gt;=9,"Promoter",IF(E2511&gt;=7,"Passive","Detractor"))</f>
        <v>Passive</v>
      </c>
    </row>
    <row r="2512" customFormat="false" ht="15" hidden="false" customHeight="false" outlineLevel="0" collapsed="false">
      <c r="A2512" s="8" t="s">
        <v>7136</v>
      </c>
      <c r="B2512" s="8" t="s">
        <v>2996</v>
      </c>
      <c r="C2512" s="8" t="s">
        <v>51</v>
      </c>
      <c r="D2512" s="32" t="n">
        <v>46136</v>
      </c>
      <c r="E2512" s="8" t="n">
        <v>8</v>
      </c>
      <c r="F2512" s="8" t="str">
        <f aca="false">IF(E2512&gt;=9,"Promoter",IF(E2512&gt;=7,"Passive","Detractor"))</f>
        <v>Passive</v>
      </c>
    </row>
    <row r="2513" customFormat="false" ht="15" hidden="false" customHeight="false" outlineLevel="0" collapsed="false">
      <c r="A2513" s="8" t="s">
        <v>7137</v>
      </c>
      <c r="B2513" s="8" t="s">
        <v>1711</v>
      </c>
      <c r="C2513" s="8" t="s">
        <v>51</v>
      </c>
      <c r="D2513" s="32" t="n">
        <v>46136</v>
      </c>
      <c r="E2513" s="8" t="n">
        <v>10</v>
      </c>
      <c r="F2513" s="8" t="str">
        <f aca="false">IF(E2513&gt;=9,"Promoter",IF(E2513&gt;=7,"Passive","Detractor"))</f>
        <v>Promoter</v>
      </c>
    </row>
    <row r="2514" customFormat="false" ht="15" hidden="false" customHeight="false" outlineLevel="0" collapsed="false">
      <c r="A2514" s="8" t="s">
        <v>7138</v>
      </c>
      <c r="B2514" s="8" t="s">
        <v>3816</v>
      </c>
      <c r="C2514" s="8" t="s">
        <v>51</v>
      </c>
      <c r="D2514" s="32" t="n">
        <v>46136</v>
      </c>
      <c r="E2514" s="8" t="n">
        <v>5</v>
      </c>
      <c r="F2514" s="8" t="str">
        <f aca="false">IF(E2514&gt;=9,"Promoter",IF(E2514&gt;=7,"Passive","Detractor"))</f>
        <v>Detractor</v>
      </c>
    </row>
    <row r="2515" customFormat="false" ht="15" hidden="false" customHeight="false" outlineLevel="0" collapsed="false">
      <c r="A2515" s="8" t="s">
        <v>7139</v>
      </c>
      <c r="B2515" s="8" t="s">
        <v>845</v>
      </c>
      <c r="C2515" s="8" t="s">
        <v>53</v>
      </c>
      <c r="D2515" s="32" t="n">
        <v>46136</v>
      </c>
      <c r="E2515" s="8" t="n">
        <v>10</v>
      </c>
      <c r="F2515" s="8" t="str">
        <f aca="false">IF(E2515&gt;=9,"Promoter",IF(E2515&gt;=7,"Passive","Detractor"))</f>
        <v>Promoter</v>
      </c>
    </row>
    <row r="2516" customFormat="false" ht="15" hidden="false" customHeight="false" outlineLevel="0" collapsed="false">
      <c r="A2516" s="8" t="s">
        <v>7140</v>
      </c>
      <c r="B2516" s="8" t="s">
        <v>3132</v>
      </c>
      <c r="C2516" s="8" t="s">
        <v>51</v>
      </c>
      <c r="D2516" s="32" t="n">
        <v>46136</v>
      </c>
      <c r="E2516" s="8" t="n">
        <v>8</v>
      </c>
      <c r="F2516" s="8" t="str">
        <f aca="false">IF(E2516&gt;=9,"Promoter",IF(E2516&gt;=7,"Passive","Detractor"))</f>
        <v>Passive</v>
      </c>
    </row>
    <row r="2517" customFormat="false" ht="15" hidden="false" customHeight="false" outlineLevel="0" collapsed="false">
      <c r="A2517" s="8" t="s">
        <v>7141</v>
      </c>
      <c r="B2517" s="8" t="s">
        <v>519</v>
      </c>
      <c r="C2517" s="8" t="s">
        <v>55</v>
      </c>
      <c r="D2517" s="32" t="n">
        <v>46136</v>
      </c>
      <c r="E2517" s="8" t="n">
        <v>7</v>
      </c>
      <c r="F2517" s="8" t="str">
        <f aca="false">IF(E2517&gt;=9,"Promoter",IF(E2517&gt;=7,"Passive","Detractor"))</f>
        <v>Passive</v>
      </c>
    </row>
    <row r="2518" customFormat="false" ht="15" hidden="false" customHeight="false" outlineLevel="0" collapsed="false">
      <c r="A2518" s="8" t="s">
        <v>7142</v>
      </c>
      <c r="B2518" s="8" t="s">
        <v>1741</v>
      </c>
      <c r="C2518" s="8" t="s">
        <v>51</v>
      </c>
      <c r="D2518" s="32" t="n">
        <v>46136</v>
      </c>
      <c r="E2518" s="8" t="n">
        <v>7</v>
      </c>
      <c r="F2518" s="8" t="str">
        <f aca="false">IF(E2518&gt;=9,"Promoter",IF(E2518&gt;=7,"Passive","Detractor"))</f>
        <v>Passive</v>
      </c>
    </row>
    <row r="2519" customFormat="false" ht="15" hidden="false" customHeight="false" outlineLevel="0" collapsed="false">
      <c r="A2519" s="8" t="s">
        <v>7143</v>
      </c>
      <c r="B2519" s="8" t="s">
        <v>2146</v>
      </c>
      <c r="C2519" s="8" t="s">
        <v>51</v>
      </c>
      <c r="D2519" s="32" t="n">
        <v>46136</v>
      </c>
      <c r="E2519" s="8" t="n">
        <v>7</v>
      </c>
      <c r="F2519" s="8" t="str">
        <f aca="false">IF(E2519&gt;=9,"Promoter",IF(E2519&gt;=7,"Passive","Detractor"))</f>
        <v>Passive</v>
      </c>
    </row>
    <row r="2520" customFormat="false" ht="15" hidden="false" customHeight="false" outlineLevel="0" collapsed="false">
      <c r="A2520" s="8" t="s">
        <v>7144</v>
      </c>
      <c r="B2520" s="8" t="s">
        <v>887</v>
      </c>
      <c r="C2520" s="8" t="s">
        <v>53</v>
      </c>
      <c r="D2520" s="32" t="n">
        <v>46136</v>
      </c>
      <c r="E2520" s="8" t="n">
        <v>7</v>
      </c>
      <c r="F2520" s="8" t="str">
        <f aca="false">IF(E2520&gt;=9,"Promoter",IF(E2520&gt;=7,"Passive","Detractor"))</f>
        <v>Passive</v>
      </c>
    </row>
    <row r="2521" customFormat="false" ht="15" hidden="false" customHeight="false" outlineLevel="0" collapsed="false">
      <c r="A2521" s="8" t="s">
        <v>7145</v>
      </c>
      <c r="B2521" s="8" t="s">
        <v>2436</v>
      </c>
      <c r="C2521" s="8" t="s">
        <v>51</v>
      </c>
      <c r="D2521" s="32" t="n">
        <v>46136</v>
      </c>
      <c r="E2521" s="8" t="n">
        <v>10</v>
      </c>
      <c r="F2521" s="8" t="str">
        <f aca="false">IF(E2521&gt;=9,"Promoter",IF(E2521&gt;=7,"Passive","Detractor"))</f>
        <v>Promoter</v>
      </c>
    </row>
    <row r="2522" customFormat="false" ht="15" hidden="false" customHeight="false" outlineLevel="0" collapsed="false">
      <c r="A2522" s="8" t="s">
        <v>7146</v>
      </c>
      <c r="B2522" s="8" t="s">
        <v>2626</v>
      </c>
      <c r="C2522" s="8" t="s">
        <v>51</v>
      </c>
      <c r="D2522" s="32" t="n">
        <v>46136</v>
      </c>
      <c r="E2522" s="8" t="n">
        <v>8</v>
      </c>
      <c r="F2522" s="8" t="str">
        <f aca="false">IF(E2522&gt;=9,"Promoter",IF(E2522&gt;=7,"Passive","Detractor"))</f>
        <v>Passive</v>
      </c>
    </row>
    <row r="2523" customFormat="false" ht="15" hidden="false" customHeight="false" outlineLevel="0" collapsed="false">
      <c r="A2523" s="8" t="s">
        <v>7147</v>
      </c>
      <c r="B2523" s="8" t="s">
        <v>363</v>
      </c>
      <c r="C2523" s="8" t="s">
        <v>55</v>
      </c>
      <c r="D2523" s="32" t="n">
        <v>46136</v>
      </c>
      <c r="E2523" s="8" t="n">
        <v>8</v>
      </c>
      <c r="F2523" s="8" t="str">
        <f aca="false">IF(E2523&gt;=9,"Promoter",IF(E2523&gt;=7,"Passive","Detractor"))</f>
        <v>Passive</v>
      </c>
    </row>
    <row r="2524" customFormat="false" ht="15" hidden="false" customHeight="false" outlineLevel="0" collapsed="false">
      <c r="A2524" s="8" t="s">
        <v>7148</v>
      </c>
      <c r="B2524" s="8" t="s">
        <v>1389</v>
      </c>
      <c r="C2524" s="8" t="s">
        <v>53</v>
      </c>
      <c r="D2524" s="32" t="n">
        <v>46137</v>
      </c>
      <c r="E2524" s="8" t="n">
        <v>8</v>
      </c>
      <c r="F2524" s="8" t="str">
        <f aca="false">IF(E2524&gt;=9,"Promoter",IF(E2524&gt;=7,"Passive","Detractor"))</f>
        <v>Passive</v>
      </c>
    </row>
    <row r="2525" customFormat="false" ht="15" hidden="false" customHeight="false" outlineLevel="0" collapsed="false">
      <c r="A2525" s="8" t="s">
        <v>7149</v>
      </c>
      <c r="B2525" s="8" t="s">
        <v>4154</v>
      </c>
      <c r="C2525" s="8" t="s">
        <v>51</v>
      </c>
      <c r="D2525" s="32" t="n">
        <v>46137</v>
      </c>
      <c r="E2525" s="8" t="n">
        <v>10</v>
      </c>
      <c r="F2525" s="8" t="str">
        <f aca="false">IF(E2525&gt;=9,"Promoter",IF(E2525&gt;=7,"Passive","Detractor"))</f>
        <v>Promoter</v>
      </c>
    </row>
    <row r="2526" customFormat="false" ht="15" hidden="false" customHeight="false" outlineLevel="0" collapsed="false">
      <c r="A2526" s="8" t="s">
        <v>7150</v>
      </c>
      <c r="B2526" s="8" t="s">
        <v>689</v>
      </c>
      <c r="C2526" s="8" t="s">
        <v>53</v>
      </c>
      <c r="D2526" s="32" t="n">
        <v>46137</v>
      </c>
      <c r="E2526" s="8" t="n">
        <v>10</v>
      </c>
      <c r="F2526" s="8" t="str">
        <f aca="false">IF(E2526&gt;=9,"Promoter",IF(E2526&gt;=7,"Passive","Detractor"))</f>
        <v>Promoter</v>
      </c>
    </row>
    <row r="2527" customFormat="false" ht="15" hidden="false" customHeight="false" outlineLevel="0" collapsed="false">
      <c r="A2527" s="8" t="s">
        <v>7151</v>
      </c>
      <c r="B2527" s="8" t="s">
        <v>2564</v>
      </c>
      <c r="C2527" s="8" t="s">
        <v>51</v>
      </c>
      <c r="D2527" s="32" t="n">
        <v>46137</v>
      </c>
      <c r="E2527" s="8" t="n">
        <v>6</v>
      </c>
      <c r="F2527" s="8" t="str">
        <f aca="false">IF(E2527&gt;=9,"Promoter",IF(E2527&gt;=7,"Passive","Detractor"))</f>
        <v>Detractor</v>
      </c>
    </row>
    <row r="2528" customFormat="false" ht="15" hidden="false" customHeight="false" outlineLevel="0" collapsed="false">
      <c r="A2528" s="8" t="s">
        <v>7152</v>
      </c>
      <c r="B2528" s="8" t="s">
        <v>2822</v>
      </c>
      <c r="C2528" s="8" t="s">
        <v>51</v>
      </c>
      <c r="D2528" s="32" t="n">
        <v>46137</v>
      </c>
      <c r="E2528" s="8" t="n">
        <v>9</v>
      </c>
      <c r="F2528" s="8" t="str">
        <f aca="false">IF(E2528&gt;=9,"Promoter",IF(E2528&gt;=7,"Passive","Detractor"))</f>
        <v>Promoter</v>
      </c>
    </row>
    <row r="2529" customFormat="false" ht="15" hidden="false" customHeight="false" outlineLevel="0" collapsed="false">
      <c r="A2529" s="8" t="s">
        <v>7153</v>
      </c>
      <c r="B2529" s="8" t="s">
        <v>1167</v>
      </c>
      <c r="C2529" s="8" t="s">
        <v>53</v>
      </c>
      <c r="D2529" s="32" t="n">
        <v>46137</v>
      </c>
      <c r="E2529" s="8" t="n">
        <v>10</v>
      </c>
      <c r="F2529" s="8" t="str">
        <f aca="false">IF(E2529&gt;=9,"Promoter",IF(E2529&gt;=7,"Passive","Detractor"))</f>
        <v>Promoter</v>
      </c>
    </row>
    <row r="2530" customFormat="false" ht="15" hidden="false" customHeight="false" outlineLevel="0" collapsed="false">
      <c r="A2530" s="8" t="s">
        <v>7154</v>
      </c>
      <c r="B2530" s="8" t="s">
        <v>4484</v>
      </c>
      <c r="C2530" s="8" t="s">
        <v>51</v>
      </c>
      <c r="D2530" s="32" t="n">
        <v>46137</v>
      </c>
      <c r="E2530" s="8" t="n">
        <v>10</v>
      </c>
      <c r="F2530" s="8" t="str">
        <f aca="false">IF(E2530&gt;=9,"Promoter",IF(E2530&gt;=7,"Passive","Detractor"))</f>
        <v>Promoter</v>
      </c>
    </row>
    <row r="2531" customFormat="false" ht="15" hidden="false" customHeight="false" outlineLevel="0" collapsed="false">
      <c r="A2531" s="8" t="s">
        <v>7155</v>
      </c>
      <c r="B2531" s="8" t="s">
        <v>3360</v>
      </c>
      <c r="C2531" s="8" t="s">
        <v>51</v>
      </c>
      <c r="D2531" s="32" t="n">
        <v>46137</v>
      </c>
      <c r="E2531" s="8" t="n">
        <v>9</v>
      </c>
      <c r="F2531" s="8" t="str">
        <f aca="false">IF(E2531&gt;=9,"Promoter",IF(E2531&gt;=7,"Passive","Detractor"))</f>
        <v>Promoter</v>
      </c>
    </row>
    <row r="2532" customFormat="false" ht="15" hidden="false" customHeight="false" outlineLevel="0" collapsed="false">
      <c r="A2532" s="8" t="s">
        <v>7156</v>
      </c>
      <c r="B2532" s="8" t="s">
        <v>2342</v>
      </c>
      <c r="C2532" s="8" t="s">
        <v>51</v>
      </c>
      <c r="D2532" s="32" t="n">
        <v>46137</v>
      </c>
      <c r="E2532" s="8" t="n">
        <v>9</v>
      </c>
      <c r="F2532" s="8" t="str">
        <f aca="false">IF(E2532&gt;=9,"Promoter",IF(E2532&gt;=7,"Passive","Detractor"))</f>
        <v>Promoter</v>
      </c>
    </row>
    <row r="2533" customFormat="false" ht="15" hidden="false" customHeight="false" outlineLevel="0" collapsed="false">
      <c r="A2533" s="8" t="s">
        <v>7157</v>
      </c>
      <c r="B2533" s="8" t="s">
        <v>2998</v>
      </c>
      <c r="C2533" s="8" t="s">
        <v>51</v>
      </c>
      <c r="D2533" s="32" t="n">
        <v>46137</v>
      </c>
      <c r="E2533" s="8" t="n">
        <v>9</v>
      </c>
      <c r="F2533" s="8" t="str">
        <f aca="false">IF(E2533&gt;=9,"Promoter",IF(E2533&gt;=7,"Passive","Detractor"))</f>
        <v>Promoter</v>
      </c>
    </row>
    <row r="2534" customFormat="false" ht="15" hidden="false" customHeight="false" outlineLevel="0" collapsed="false">
      <c r="A2534" s="8" t="s">
        <v>7158</v>
      </c>
      <c r="B2534" s="8" t="s">
        <v>3734</v>
      </c>
      <c r="C2534" s="8" t="s">
        <v>51</v>
      </c>
      <c r="D2534" s="32" t="n">
        <v>46137</v>
      </c>
      <c r="E2534" s="8" t="n">
        <v>3</v>
      </c>
      <c r="F2534" s="8" t="str">
        <f aca="false">IF(E2534&gt;=9,"Promoter",IF(E2534&gt;=7,"Passive","Detractor"))</f>
        <v>Detractor</v>
      </c>
    </row>
    <row r="2535" customFormat="false" ht="15" hidden="false" customHeight="false" outlineLevel="0" collapsed="false">
      <c r="A2535" s="8" t="s">
        <v>7159</v>
      </c>
      <c r="B2535" s="8" t="s">
        <v>1341</v>
      </c>
      <c r="C2535" s="8" t="s">
        <v>53</v>
      </c>
      <c r="D2535" s="32" t="n">
        <v>46137</v>
      </c>
      <c r="E2535" s="8" t="n">
        <v>9</v>
      </c>
      <c r="F2535" s="8" t="str">
        <f aca="false">IF(E2535&gt;=9,"Promoter",IF(E2535&gt;=7,"Passive","Detractor"))</f>
        <v>Promoter</v>
      </c>
    </row>
    <row r="2536" customFormat="false" ht="15" hidden="false" customHeight="false" outlineLevel="0" collapsed="false">
      <c r="A2536" s="8" t="s">
        <v>7160</v>
      </c>
      <c r="B2536" s="8" t="s">
        <v>817</v>
      </c>
      <c r="C2536" s="8" t="s">
        <v>53</v>
      </c>
      <c r="D2536" s="32" t="n">
        <v>46137</v>
      </c>
      <c r="E2536" s="8" t="n">
        <v>8</v>
      </c>
      <c r="F2536" s="8" t="str">
        <f aca="false">IF(E2536&gt;=9,"Promoter",IF(E2536&gt;=7,"Passive","Detractor"))</f>
        <v>Passive</v>
      </c>
    </row>
    <row r="2537" customFormat="false" ht="15" hidden="false" customHeight="false" outlineLevel="0" collapsed="false">
      <c r="A2537" s="8" t="s">
        <v>7161</v>
      </c>
      <c r="B2537" s="8" t="s">
        <v>3186</v>
      </c>
      <c r="C2537" s="8" t="s">
        <v>51</v>
      </c>
      <c r="D2537" s="32" t="n">
        <v>46137</v>
      </c>
      <c r="E2537" s="8" t="n">
        <v>10</v>
      </c>
      <c r="F2537" s="8" t="str">
        <f aca="false">IF(E2537&gt;=9,"Promoter",IF(E2537&gt;=7,"Passive","Detractor"))</f>
        <v>Promoter</v>
      </c>
    </row>
    <row r="2538" customFormat="false" ht="15" hidden="false" customHeight="false" outlineLevel="0" collapsed="false">
      <c r="A2538" s="8" t="s">
        <v>7162</v>
      </c>
      <c r="B2538" s="8" t="s">
        <v>2082</v>
      </c>
      <c r="C2538" s="8" t="s">
        <v>51</v>
      </c>
      <c r="D2538" s="32" t="n">
        <v>46137</v>
      </c>
      <c r="E2538" s="8" t="n">
        <v>10</v>
      </c>
      <c r="F2538" s="8" t="str">
        <f aca="false">IF(E2538&gt;=9,"Promoter",IF(E2538&gt;=7,"Passive","Detractor"))</f>
        <v>Promoter</v>
      </c>
    </row>
    <row r="2539" customFormat="false" ht="15" hidden="false" customHeight="false" outlineLevel="0" collapsed="false">
      <c r="A2539" s="8" t="s">
        <v>7163</v>
      </c>
      <c r="B2539" s="8" t="s">
        <v>2914</v>
      </c>
      <c r="C2539" s="8" t="s">
        <v>51</v>
      </c>
      <c r="D2539" s="32" t="n">
        <v>46137</v>
      </c>
      <c r="E2539" s="8" t="n">
        <v>8</v>
      </c>
      <c r="F2539" s="8" t="str">
        <f aca="false">IF(E2539&gt;=9,"Promoter",IF(E2539&gt;=7,"Passive","Detractor"))</f>
        <v>Passive</v>
      </c>
    </row>
    <row r="2540" customFormat="false" ht="15" hidden="false" customHeight="false" outlineLevel="0" collapsed="false">
      <c r="A2540" s="8" t="s">
        <v>7164</v>
      </c>
      <c r="B2540" s="8" t="s">
        <v>1499</v>
      </c>
      <c r="C2540" s="8" t="s">
        <v>53</v>
      </c>
      <c r="D2540" s="32" t="n">
        <v>46137</v>
      </c>
      <c r="E2540" s="8" t="n">
        <v>10</v>
      </c>
      <c r="F2540" s="8" t="str">
        <f aca="false">IF(E2540&gt;=9,"Promoter",IF(E2540&gt;=7,"Passive","Detractor"))</f>
        <v>Promoter</v>
      </c>
    </row>
    <row r="2541" customFormat="false" ht="15" hidden="false" customHeight="false" outlineLevel="0" collapsed="false">
      <c r="A2541" s="8" t="s">
        <v>7165</v>
      </c>
      <c r="B2541" s="8" t="s">
        <v>152</v>
      </c>
      <c r="C2541" s="8" t="s">
        <v>55</v>
      </c>
      <c r="D2541" s="32" t="n">
        <v>46137</v>
      </c>
      <c r="E2541" s="8" t="n">
        <v>8</v>
      </c>
      <c r="F2541" s="8" t="str">
        <f aca="false">IF(E2541&gt;=9,"Promoter",IF(E2541&gt;=7,"Passive","Detractor"))</f>
        <v>Passive</v>
      </c>
    </row>
    <row r="2542" customFormat="false" ht="15" hidden="false" customHeight="false" outlineLevel="0" collapsed="false">
      <c r="A2542" s="8" t="s">
        <v>7166</v>
      </c>
      <c r="B2542" s="8" t="s">
        <v>4074</v>
      </c>
      <c r="C2542" s="8" t="s">
        <v>51</v>
      </c>
      <c r="D2542" s="32" t="n">
        <v>46137</v>
      </c>
      <c r="E2542" s="8" t="n">
        <v>7</v>
      </c>
      <c r="F2542" s="8" t="str">
        <f aca="false">IF(E2542&gt;=9,"Promoter",IF(E2542&gt;=7,"Passive","Detractor"))</f>
        <v>Passive</v>
      </c>
    </row>
    <row r="2543" customFormat="false" ht="15" hidden="false" customHeight="false" outlineLevel="0" collapsed="false">
      <c r="A2543" s="8" t="s">
        <v>7167</v>
      </c>
      <c r="B2543" s="8" t="s">
        <v>3980</v>
      </c>
      <c r="C2543" s="8" t="s">
        <v>51</v>
      </c>
      <c r="D2543" s="32" t="n">
        <v>46137</v>
      </c>
      <c r="E2543" s="8" t="n">
        <v>2</v>
      </c>
      <c r="F2543" s="8" t="str">
        <f aca="false">IF(E2543&gt;=9,"Promoter",IF(E2543&gt;=7,"Passive","Detractor"))</f>
        <v>Detractor</v>
      </c>
    </row>
    <row r="2544" customFormat="false" ht="15" hidden="false" customHeight="false" outlineLevel="0" collapsed="false">
      <c r="A2544" s="8" t="s">
        <v>7168</v>
      </c>
      <c r="B2544" s="8" t="s">
        <v>2484</v>
      </c>
      <c r="C2544" s="8" t="s">
        <v>51</v>
      </c>
      <c r="D2544" s="32" t="n">
        <v>46137</v>
      </c>
      <c r="E2544" s="8" t="n">
        <v>9</v>
      </c>
      <c r="F2544" s="8" t="str">
        <f aca="false">IF(E2544&gt;=9,"Promoter",IF(E2544&gt;=7,"Passive","Detractor"))</f>
        <v>Promoter</v>
      </c>
    </row>
    <row r="2545" customFormat="false" ht="15" hidden="false" customHeight="false" outlineLevel="0" collapsed="false">
      <c r="A2545" s="8" t="s">
        <v>7169</v>
      </c>
      <c r="B2545" s="8" t="s">
        <v>4300</v>
      </c>
      <c r="C2545" s="8" t="s">
        <v>51</v>
      </c>
      <c r="D2545" s="32" t="n">
        <v>46143</v>
      </c>
      <c r="E2545" s="8" t="n">
        <v>8</v>
      </c>
      <c r="F2545" s="8" t="str">
        <f aca="false">IF(E2545&gt;=9,"Promoter",IF(E2545&gt;=7,"Passive","Detractor"))</f>
        <v>Passive</v>
      </c>
    </row>
    <row r="2546" customFormat="false" ht="15" hidden="false" customHeight="false" outlineLevel="0" collapsed="false">
      <c r="A2546" s="8" t="s">
        <v>7170</v>
      </c>
      <c r="B2546" s="8" t="s">
        <v>2636</v>
      </c>
      <c r="C2546" s="8" t="s">
        <v>51</v>
      </c>
      <c r="D2546" s="32" t="n">
        <v>46143</v>
      </c>
      <c r="E2546" s="8" t="n">
        <v>7</v>
      </c>
      <c r="F2546" s="8" t="str">
        <f aca="false">IF(E2546&gt;=9,"Promoter",IF(E2546&gt;=7,"Passive","Detractor"))</f>
        <v>Passive</v>
      </c>
    </row>
    <row r="2547" customFormat="false" ht="15" hidden="false" customHeight="false" outlineLevel="0" collapsed="false">
      <c r="A2547" s="8" t="s">
        <v>7171</v>
      </c>
      <c r="B2547" s="8" t="s">
        <v>743</v>
      </c>
      <c r="C2547" s="8" t="s">
        <v>53</v>
      </c>
      <c r="D2547" s="32" t="n">
        <v>46143</v>
      </c>
      <c r="E2547" s="8" t="n">
        <v>8</v>
      </c>
      <c r="F2547" s="8" t="str">
        <f aca="false">IF(E2547&gt;=9,"Promoter",IF(E2547&gt;=7,"Passive","Detractor"))</f>
        <v>Passive</v>
      </c>
    </row>
    <row r="2548" customFormat="false" ht="15" hidden="false" customHeight="false" outlineLevel="0" collapsed="false">
      <c r="A2548" s="8" t="s">
        <v>7172</v>
      </c>
      <c r="B2548" s="8" t="s">
        <v>2928</v>
      </c>
      <c r="C2548" s="8" t="s">
        <v>51</v>
      </c>
      <c r="D2548" s="32" t="n">
        <v>46143</v>
      </c>
      <c r="E2548" s="8" t="n">
        <v>8</v>
      </c>
      <c r="F2548" s="8" t="str">
        <f aca="false">IF(E2548&gt;=9,"Promoter",IF(E2548&gt;=7,"Passive","Detractor"))</f>
        <v>Passive</v>
      </c>
    </row>
    <row r="2549" customFormat="false" ht="15" hidden="false" customHeight="false" outlineLevel="0" collapsed="false">
      <c r="A2549" s="8" t="s">
        <v>7173</v>
      </c>
      <c r="B2549" s="8" t="s">
        <v>1955</v>
      </c>
      <c r="C2549" s="8" t="s">
        <v>53</v>
      </c>
      <c r="D2549" s="32" t="n">
        <v>46143</v>
      </c>
      <c r="E2549" s="8" t="n">
        <v>8</v>
      </c>
      <c r="F2549" s="8" t="str">
        <f aca="false">IF(E2549&gt;=9,"Promoter",IF(E2549&gt;=7,"Passive","Detractor"))</f>
        <v>Passive</v>
      </c>
    </row>
    <row r="2550" customFormat="false" ht="15" hidden="false" customHeight="false" outlineLevel="0" collapsed="false">
      <c r="A2550" s="8" t="s">
        <v>7174</v>
      </c>
      <c r="B2550" s="8" t="s">
        <v>391</v>
      </c>
      <c r="C2550" s="8" t="s">
        <v>55</v>
      </c>
      <c r="D2550" s="32" t="n">
        <v>46143</v>
      </c>
      <c r="E2550" s="8" t="n">
        <v>9</v>
      </c>
      <c r="F2550" s="8" t="str">
        <f aca="false">IF(E2550&gt;=9,"Promoter",IF(E2550&gt;=7,"Passive","Detractor"))</f>
        <v>Promoter</v>
      </c>
    </row>
    <row r="2551" customFormat="false" ht="15" hidden="false" customHeight="false" outlineLevel="0" collapsed="false">
      <c r="A2551" s="8" t="s">
        <v>7175</v>
      </c>
      <c r="B2551" s="8" t="s">
        <v>1619</v>
      </c>
      <c r="C2551" s="8" t="s">
        <v>53</v>
      </c>
      <c r="D2551" s="32" t="n">
        <v>46143</v>
      </c>
      <c r="E2551" s="8" t="n">
        <v>8</v>
      </c>
      <c r="F2551" s="8" t="str">
        <f aca="false">IF(E2551&gt;=9,"Promoter",IF(E2551&gt;=7,"Passive","Detractor"))</f>
        <v>Passive</v>
      </c>
    </row>
    <row r="2552" customFormat="false" ht="15" hidden="false" customHeight="false" outlineLevel="0" collapsed="false">
      <c r="A2552" s="8" t="s">
        <v>7176</v>
      </c>
      <c r="B2552" s="8" t="s">
        <v>2760</v>
      </c>
      <c r="C2552" s="8" t="s">
        <v>51</v>
      </c>
      <c r="D2552" s="32" t="n">
        <v>46143</v>
      </c>
      <c r="E2552" s="8" t="n">
        <v>9</v>
      </c>
      <c r="F2552" s="8" t="str">
        <f aca="false">IF(E2552&gt;=9,"Promoter",IF(E2552&gt;=7,"Passive","Detractor"))</f>
        <v>Promoter</v>
      </c>
    </row>
    <row r="2553" customFormat="false" ht="15" hidden="false" customHeight="false" outlineLevel="0" collapsed="false">
      <c r="A2553" s="8" t="s">
        <v>7177</v>
      </c>
      <c r="B2553" s="8" t="s">
        <v>3968</v>
      </c>
      <c r="C2553" s="8" t="s">
        <v>51</v>
      </c>
      <c r="D2553" s="32" t="n">
        <v>46143</v>
      </c>
      <c r="E2553" s="8" t="n">
        <v>9</v>
      </c>
      <c r="F2553" s="8" t="str">
        <f aca="false">IF(E2553&gt;=9,"Promoter",IF(E2553&gt;=7,"Passive","Detractor"))</f>
        <v>Promoter</v>
      </c>
    </row>
    <row r="2554" customFormat="false" ht="15" hidden="false" customHeight="false" outlineLevel="0" collapsed="false">
      <c r="A2554" s="8" t="s">
        <v>7178</v>
      </c>
      <c r="B2554" s="8" t="s">
        <v>2652</v>
      </c>
      <c r="C2554" s="8" t="s">
        <v>51</v>
      </c>
      <c r="D2554" s="32" t="n">
        <v>46143</v>
      </c>
      <c r="E2554" s="8" t="n">
        <v>8</v>
      </c>
      <c r="F2554" s="8" t="str">
        <f aca="false">IF(E2554&gt;=9,"Promoter",IF(E2554&gt;=7,"Passive","Detractor"))</f>
        <v>Passive</v>
      </c>
    </row>
    <row r="2555" customFormat="false" ht="15" hidden="false" customHeight="false" outlineLevel="0" collapsed="false">
      <c r="A2555" s="8" t="s">
        <v>7179</v>
      </c>
      <c r="B2555" s="8" t="s">
        <v>1887</v>
      </c>
      <c r="C2555" s="8" t="s">
        <v>51</v>
      </c>
      <c r="D2555" s="32" t="n">
        <v>46143</v>
      </c>
      <c r="E2555" s="8" t="n">
        <v>9</v>
      </c>
      <c r="F2555" s="8" t="str">
        <f aca="false">IF(E2555&gt;=9,"Promoter",IF(E2555&gt;=7,"Passive","Detractor"))</f>
        <v>Promoter</v>
      </c>
    </row>
    <row r="2556" customFormat="false" ht="15" hidden="false" customHeight="false" outlineLevel="0" collapsed="false">
      <c r="A2556" s="8" t="s">
        <v>7180</v>
      </c>
      <c r="B2556" s="8" t="s">
        <v>2916</v>
      </c>
      <c r="C2556" s="8" t="s">
        <v>51</v>
      </c>
      <c r="D2556" s="32" t="n">
        <v>46143</v>
      </c>
      <c r="E2556" s="8" t="n">
        <v>10</v>
      </c>
      <c r="F2556" s="8" t="str">
        <f aca="false">IF(E2556&gt;=9,"Promoter",IF(E2556&gt;=7,"Passive","Detractor"))</f>
        <v>Promoter</v>
      </c>
    </row>
    <row r="2557" customFormat="false" ht="15" hidden="false" customHeight="false" outlineLevel="0" collapsed="false">
      <c r="A2557" s="8" t="s">
        <v>7181</v>
      </c>
      <c r="B2557" s="8" t="s">
        <v>3152</v>
      </c>
      <c r="C2557" s="8" t="s">
        <v>51</v>
      </c>
      <c r="D2557" s="32" t="n">
        <v>46144</v>
      </c>
      <c r="E2557" s="8" t="n">
        <v>10</v>
      </c>
      <c r="F2557" s="8" t="str">
        <f aca="false">IF(E2557&gt;=9,"Promoter",IF(E2557&gt;=7,"Passive","Detractor"))</f>
        <v>Promoter</v>
      </c>
    </row>
    <row r="2558" customFormat="false" ht="15" hidden="false" customHeight="false" outlineLevel="0" collapsed="false">
      <c r="A2558" s="8" t="s">
        <v>7182</v>
      </c>
      <c r="B2558" s="8" t="s">
        <v>4558</v>
      </c>
      <c r="C2558" s="8" t="s">
        <v>51</v>
      </c>
      <c r="D2558" s="32" t="n">
        <v>46144</v>
      </c>
      <c r="E2558" s="8" t="n">
        <v>4</v>
      </c>
      <c r="F2558" s="8" t="str">
        <f aca="false">IF(E2558&gt;=9,"Promoter",IF(E2558&gt;=7,"Passive","Detractor"))</f>
        <v>Detractor</v>
      </c>
    </row>
    <row r="2559" customFormat="false" ht="15" hidden="false" customHeight="false" outlineLevel="0" collapsed="false">
      <c r="A2559" s="8" t="s">
        <v>7183</v>
      </c>
      <c r="B2559" s="8" t="s">
        <v>1009</v>
      </c>
      <c r="C2559" s="8" t="s">
        <v>53</v>
      </c>
      <c r="D2559" s="32" t="n">
        <v>46144</v>
      </c>
      <c r="E2559" s="8" t="n">
        <v>8</v>
      </c>
      <c r="F2559" s="8" t="str">
        <f aca="false">IF(E2559&gt;=9,"Promoter",IF(E2559&gt;=7,"Passive","Detractor"))</f>
        <v>Passive</v>
      </c>
    </row>
    <row r="2560" customFormat="false" ht="15" hidden="false" customHeight="false" outlineLevel="0" collapsed="false">
      <c r="A2560" s="8" t="s">
        <v>7184</v>
      </c>
      <c r="B2560" s="8" t="s">
        <v>665</v>
      </c>
      <c r="C2560" s="8" t="s">
        <v>55</v>
      </c>
      <c r="D2560" s="32" t="n">
        <v>46144</v>
      </c>
      <c r="E2560" s="8" t="n">
        <v>8</v>
      </c>
      <c r="F2560" s="8" t="str">
        <f aca="false">IF(E2560&gt;=9,"Promoter",IF(E2560&gt;=7,"Passive","Detractor"))</f>
        <v>Passive</v>
      </c>
    </row>
    <row r="2561" customFormat="false" ht="15" hidden="false" customHeight="false" outlineLevel="0" collapsed="false">
      <c r="A2561" s="8" t="s">
        <v>7185</v>
      </c>
      <c r="B2561" s="8" t="s">
        <v>2216</v>
      </c>
      <c r="C2561" s="8" t="s">
        <v>51</v>
      </c>
      <c r="D2561" s="32" t="n">
        <v>46144</v>
      </c>
      <c r="E2561" s="8" t="n">
        <v>7</v>
      </c>
      <c r="F2561" s="8" t="str">
        <f aca="false">IF(E2561&gt;=9,"Promoter",IF(E2561&gt;=7,"Passive","Detractor"))</f>
        <v>Passive</v>
      </c>
    </row>
    <row r="2562" customFormat="false" ht="15" hidden="false" customHeight="false" outlineLevel="0" collapsed="false">
      <c r="A2562" s="8" t="s">
        <v>7186</v>
      </c>
      <c r="B2562" s="8" t="s">
        <v>2206</v>
      </c>
      <c r="C2562" s="8" t="s">
        <v>51</v>
      </c>
      <c r="D2562" s="32" t="n">
        <v>46144</v>
      </c>
      <c r="E2562" s="8" t="n">
        <v>7</v>
      </c>
      <c r="F2562" s="8" t="str">
        <f aca="false">IF(E2562&gt;=9,"Promoter",IF(E2562&gt;=7,"Passive","Detractor"))</f>
        <v>Passive</v>
      </c>
    </row>
    <row r="2563" customFormat="false" ht="15" hidden="false" customHeight="false" outlineLevel="0" collapsed="false">
      <c r="A2563" s="8" t="s">
        <v>7187</v>
      </c>
      <c r="B2563" s="8" t="s">
        <v>1621</v>
      </c>
      <c r="C2563" s="8" t="s">
        <v>53</v>
      </c>
      <c r="D2563" s="32" t="n">
        <v>46144</v>
      </c>
      <c r="E2563" s="8" t="n">
        <v>7</v>
      </c>
      <c r="F2563" s="8" t="str">
        <f aca="false">IF(E2563&gt;=9,"Promoter",IF(E2563&gt;=7,"Passive","Detractor"))</f>
        <v>Passive</v>
      </c>
    </row>
    <row r="2564" customFormat="false" ht="15" hidden="false" customHeight="false" outlineLevel="0" collapsed="false">
      <c r="A2564" s="8" t="s">
        <v>7188</v>
      </c>
      <c r="B2564" s="8" t="s">
        <v>2056</v>
      </c>
      <c r="C2564" s="8" t="s">
        <v>51</v>
      </c>
      <c r="D2564" s="32" t="n">
        <v>46144</v>
      </c>
      <c r="E2564" s="8" t="n">
        <v>10</v>
      </c>
      <c r="F2564" s="8" t="str">
        <f aca="false">IF(E2564&gt;=9,"Promoter",IF(E2564&gt;=7,"Passive","Detractor"))</f>
        <v>Promoter</v>
      </c>
    </row>
    <row r="2565" customFormat="false" ht="15" hidden="false" customHeight="false" outlineLevel="0" collapsed="false">
      <c r="A2565" s="8" t="s">
        <v>7189</v>
      </c>
      <c r="B2565" s="8" t="s">
        <v>1673</v>
      </c>
      <c r="C2565" s="8" t="s">
        <v>53</v>
      </c>
      <c r="D2565" s="32" t="n">
        <v>46144</v>
      </c>
      <c r="E2565" s="8" t="n">
        <v>10</v>
      </c>
      <c r="F2565" s="8" t="str">
        <f aca="false">IF(E2565&gt;=9,"Promoter",IF(E2565&gt;=7,"Passive","Detractor"))</f>
        <v>Promoter</v>
      </c>
    </row>
    <row r="2566" customFormat="false" ht="15" hidden="false" customHeight="false" outlineLevel="0" collapsed="false">
      <c r="A2566" s="8" t="s">
        <v>7190</v>
      </c>
      <c r="B2566" s="8" t="s">
        <v>2880</v>
      </c>
      <c r="C2566" s="8" t="s">
        <v>51</v>
      </c>
      <c r="D2566" s="32" t="n">
        <v>46144</v>
      </c>
      <c r="E2566" s="8" t="n">
        <v>9</v>
      </c>
      <c r="F2566" s="8" t="str">
        <f aca="false">IF(E2566&gt;=9,"Promoter",IF(E2566&gt;=7,"Passive","Detractor"))</f>
        <v>Promoter</v>
      </c>
    </row>
    <row r="2567" customFormat="false" ht="15" hidden="false" customHeight="false" outlineLevel="0" collapsed="false">
      <c r="A2567" s="8" t="s">
        <v>7191</v>
      </c>
      <c r="B2567" s="8" t="s">
        <v>2534</v>
      </c>
      <c r="C2567" s="8" t="s">
        <v>51</v>
      </c>
      <c r="D2567" s="32" t="n">
        <v>46144</v>
      </c>
      <c r="E2567" s="8" t="n">
        <v>8</v>
      </c>
      <c r="F2567" s="8" t="str">
        <f aca="false">IF(E2567&gt;=9,"Promoter",IF(E2567&gt;=7,"Passive","Detractor"))</f>
        <v>Passive</v>
      </c>
    </row>
    <row r="2568" customFormat="false" ht="15" hidden="false" customHeight="false" outlineLevel="0" collapsed="false">
      <c r="A2568" s="8" t="s">
        <v>7192</v>
      </c>
      <c r="B2568" s="8" t="s">
        <v>1933</v>
      </c>
      <c r="C2568" s="8" t="s">
        <v>51</v>
      </c>
      <c r="D2568" s="32" t="n">
        <v>46144</v>
      </c>
      <c r="E2568" s="8" t="n">
        <v>6</v>
      </c>
      <c r="F2568" s="8" t="str">
        <f aca="false">IF(E2568&gt;=9,"Promoter",IF(E2568&gt;=7,"Passive","Detractor"))</f>
        <v>Detractor</v>
      </c>
    </row>
    <row r="2569" customFormat="false" ht="15" hidden="false" customHeight="false" outlineLevel="0" collapsed="false">
      <c r="A2569" s="8" t="s">
        <v>7193</v>
      </c>
      <c r="B2569" s="8" t="s">
        <v>3904</v>
      </c>
      <c r="C2569" s="8" t="s">
        <v>51</v>
      </c>
      <c r="D2569" s="32" t="n">
        <v>46145</v>
      </c>
      <c r="E2569" s="8" t="n">
        <v>8</v>
      </c>
      <c r="F2569" s="8" t="str">
        <f aca="false">IF(E2569&gt;=9,"Promoter",IF(E2569&gt;=7,"Passive","Detractor"))</f>
        <v>Passive</v>
      </c>
    </row>
    <row r="2570" customFormat="false" ht="15" hidden="false" customHeight="false" outlineLevel="0" collapsed="false">
      <c r="A2570" s="8" t="s">
        <v>7194</v>
      </c>
      <c r="B2570" s="8" t="s">
        <v>3590</v>
      </c>
      <c r="C2570" s="8" t="s">
        <v>51</v>
      </c>
      <c r="D2570" s="32" t="n">
        <v>46145</v>
      </c>
      <c r="E2570" s="8" t="n">
        <v>10</v>
      </c>
      <c r="F2570" s="8" t="str">
        <f aca="false">IF(E2570&gt;=9,"Promoter",IF(E2570&gt;=7,"Passive","Detractor"))</f>
        <v>Promoter</v>
      </c>
    </row>
    <row r="2571" customFormat="false" ht="15" hidden="false" customHeight="false" outlineLevel="0" collapsed="false">
      <c r="A2571" s="8" t="s">
        <v>7195</v>
      </c>
      <c r="B2571" s="8" t="s">
        <v>3908</v>
      </c>
      <c r="C2571" s="8" t="s">
        <v>51</v>
      </c>
      <c r="D2571" s="32" t="n">
        <v>46145</v>
      </c>
      <c r="E2571" s="8" t="n">
        <v>9</v>
      </c>
      <c r="F2571" s="8" t="str">
        <f aca="false">IF(E2571&gt;=9,"Promoter",IF(E2571&gt;=7,"Passive","Detractor"))</f>
        <v>Promoter</v>
      </c>
    </row>
    <row r="2572" customFormat="false" ht="15" hidden="false" customHeight="false" outlineLevel="0" collapsed="false">
      <c r="A2572" s="8" t="s">
        <v>7196</v>
      </c>
      <c r="B2572" s="8" t="s">
        <v>1941</v>
      </c>
      <c r="C2572" s="8" t="s">
        <v>53</v>
      </c>
      <c r="D2572" s="32" t="n">
        <v>46145</v>
      </c>
      <c r="E2572" s="8" t="n">
        <v>8</v>
      </c>
      <c r="F2572" s="8" t="str">
        <f aca="false">IF(E2572&gt;=9,"Promoter",IF(E2572&gt;=7,"Passive","Detractor"))</f>
        <v>Passive</v>
      </c>
    </row>
    <row r="2573" customFormat="false" ht="15" hidden="false" customHeight="false" outlineLevel="0" collapsed="false">
      <c r="A2573" s="8" t="s">
        <v>7197</v>
      </c>
      <c r="B2573" s="8" t="s">
        <v>3664</v>
      </c>
      <c r="C2573" s="8" t="s">
        <v>51</v>
      </c>
      <c r="D2573" s="32" t="n">
        <v>46145</v>
      </c>
      <c r="E2573" s="8" t="n">
        <v>8</v>
      </c>
      <c r="F2573" s="8" t="str">
        <f aca="false">IF(E2573&gt;=9,"Promoter",IF(E2573&gt;=7,"Passive","Detractor"))</f>
        <v>Passive</v>
      </c>
    </row>
    <row r="2574" customFormat="false" ht="15" hidden="false" customHeight="false" outlineLevel="0" collapsed="false">
      <c r="A2574" s="8" t="s">
        <v>7198</v>
      </c>
      <c r="B2574" s="8" t="s">
        <v>2124</v>
      </c>
      <c r="C2574" s="8" t="s">
        <v>51</v>
      </c>
      <c r="D2574" s="32" t="n">
        <v>46145</v>
      </c>
      <c r="E2574" s="8" t="n">
        <v>8</v>
      </c>
      <c r="F2574" s="8" t="str">
        <f aca="false">IF(E2574&gt;=9,"Promoter",IF(E2574&gt;=7,"Passive","Detractor"))</f>
        <v>Passive</v>
      </c>
    </row>
    <row r="2575" customFormat="false" ht="15" hidden="false" customHeight="false" outlineLevel="0" collapsed="false">
      <c r="A2575" s="8" t="s">
        <v>7199</v>
      </c>
      <c r="B2575" s="8" t="s">
        <v>3406</v>
      </c>
      <c r="C2575" s="8" t="s">
        <v>51</v>
      </c>
      <c r="D2575" s="32" t="n">
        <v>46145</v>
      </c>
      <c r="E2575" s="8" t="n">
        <v>6</v>
      </c>
      <c r="F2575" s="8" t="str">
        <f aca="false">IF(E2575&gt;=9,"Promoter",IF(E2575&gt;=7,"Passive","Detractor"))</f>
        <v>Detractor</v>
      </c>
    </row>
    <row r="2576" customFormat="false" ht="15" hidden="false" customHeight="false" outlineLevel="0" collapsed="false">
      <c r="A2576" s="8" t="s">
        <v>7200</v>
      </c>
      <c r="B2576" s="8" t="s">
        <v>3274</v>
      </c>
      <c r="C2576" s="8" t="s">
        <v>51</v>
      </c>
      <c r="D2576" s="32" t="n">
        <v>46145</v>
      </c>
      <c r="E2576" s="8" t="n">
        <v>7</v>
      </c>
      <c r="F2576" s="8" t="str">
        <f aca="false">IF(E2576&gt;=9,"Promoter",IF(E2576&gt;=7,"Passive","Detractor"))</f>
        <v>Passive</v>
      </c>
    </row>
    <row r="2577" customFormat="false" ht="15" hidden="false" customHeight="false" outlineLevel="0" collapsed="false">
      <c r="A2577" s="8" t="s">
        <v>7201</v>
      </c>
      <c r="B2577" s="8" t="s">
        <v>169</v>
      </c>
      <c r="C2577" s="8" t="s">
        <v>55</v>
      </c>
      <c r="D2577" s="32" t="n">
        <v>46145</v>
      </c>
      <c r="E2577" s="8" t="n">
        <v>7</v>
      </c>
      <c r="F2577" s="8" t="str">
        <f aca="false">IF(E2577&gt;=9,"Promoter",IF(E2577&gt;=7,"Passive","Detractor"))</f>
        <v>Passive</v>
      </c>
    </row>
    <row r="2578" customFormat="false" ht="15" hidden="false" customHeight="false" outlineLevel="0" collapsed="false">
      <c r="A2578" s="8" t="s">
        <v>7202</v>
      </c>
      <c r="B2578" s="8" t="s">
        <v>3454</v>
      </c>
      <c r="C2578" s="8" t="s">
        <v>51</v>
      </c>
      <c r="D2578" s="32" t="n">
        <v>46145</v>
      </c>
      <c r="E2578" s="8" t="n">
        <v>8</v>
      </c>
      <c r="F2578" s="8" t="str">
        <f aca="false">IF(E2578&gt;=9,"Promoter",IF(E2578&gt;=7,"Passive","Detractor"))</f>
        <v>Passive</v>
      </c>
    </row>
    <row r="2579" customFormat="false" ht="15" hidden="false" customHeight="false" outlineLevel="0" collapsed="false">
      <c r="A2579" s="8" t="s">
        <v>7203</v>
      </c>
      <c r="B2579" s="8" t="s">
        <v>1893</v>
      </c>
      <c r="C2579" s="8" t="s">
        <v>51</v>
      </c>
      <c r="D2579" s="32" t="n">
        <v>46145</v>
      </c>
      <c r="E2579" s="8" t="n">
        <v>8</v>
      </c>
      <c r="F2579" s="8" t="str">
        <f aca="false">IF(E2579&gt;=9,"Promoter",IF(E2579&gt;=7,"Passive","Detractor"))</f>
        <v>Passive</v>
      </c>
    </row>
    <row r="2580" customFormat="false" ht="15" hidden="false" customHeight="false" outlineLevel="0" collapsed="false">
      <c r="A2580" s="8" t="s">
        <v>7204</v>
      </c>
      <c r="B2580" s="8" t="s">
        <v>3584</v>
      </c>
      <c r="C2580" s="8" t="s">
        <v>51</v>
      </c>
      <c r="D2580" s="32" t="n">
        <v>46145</v>
      </c>
      <c r="E2580" s="8" t="n">
        <v>10</v>
      </c>
      <c r="F2580" s="8" t="str">
        <f aca="false">IF(E2580&gt;=9,"Promoter",IF(E2580&gt;=7,"Passive","Detractor"))</f>
        <v>Promoter</v>
      </c>
    </row>
    <row r="2581" customFormat="false" ht="15" hidden="false" customHeight="false" outlineLevel="0" collapsed="false">
      <c r="A2581" s="8" t="s">
        <v>7205</v>
      </c>
      <c r="B2581" s="8" t="s">
        <v>1063</v>
      </c>
      <c r="C2581" s="8" t="s">
        <v>53</v>
      </c>
      <c r="D2581" s="32" t="n">
        <v>46146</v>
      </c>
      <c r="E2581" s="8" t="n">
        <v>7</v>
      </c>
      <c r="F2581" s="8" t="str">
        <f aca="false">IF(E2581&gt;=9,"Promoter",IF(E2581&gt;=7,"Passive","Detractor"))</f>
        <v>Passive</v>
      </c>
    </row>
    <row r="2582" customFormat="false" ht="15" hidden="false" customHeight="false" outlineLevel="0" collapsed="false">
      <c r="A2582" s="8" t="s">
        <v>7206</v>
      </c>
      <c r="B2582" s="8" t="s">
        <v>2666</v>
      </c>
      <c r="C2582" s="8" t="s">
        <v>51</v>
      </c>
      <c r="D2582" s="32" t="n">
        <v>46146</v>
      </c>
      <c r="E2582" s="8" t="n">
        <v>8</v>
      </c>
      <c r="F2582" s="8" t="str">
        <f aca="false">IF(E2582&gt;=9,"Promoter",IF(E2582&gt;=7,"Passive","Detractor"))</f>
        <v>Passive</v>
      </c>
    </row>
    <row r="2583" customFormat="false" ht="15" hidden="false" customHeight="false" outlineLevel="0" collapsed="false">
      <c r="A2583" s="8" t="s">
        <v>7207</v>
      </c>
      <c r="B2583" s="8" t="s">
        <v>2982</v>
      </c>
      <c r="C2583" s="8" t="s">
        <v>51</v>
      </c>
      <c r="D2583" s="32" t="n">
        <v>46146</v>
      </c>
      <c r="E2583" s="8" t="n">
        <v>10</v>
      </c>
      <c r="F2583" s="8" t="str">
        <f aca="false">IF(E2583&gt;=9,"Promoter",IF(E2583&gt;=7,"Passive","Detractor"))</f>
        <v>Promoter</v>
      </c>
    </row>
    <row r="2584" customFormat="false" ht="15" hidden="false" customHeight="false" outlineLevel="0" collapsed="false">
      <c r="A2584" s="8" t="s">
        <v>7208</v>
      </c>
      <c r="B2584" s="8" t="s">
        <v>2444</v>
      </c>
      <c r="C2584" s="8" t="s">
        <v>51</v>
      </c>
      <c r="D2584" s="32" t="n">
        <v>46146</v>
      </c>
      <c r="E2584" s="8" t="n">
        <v>7</v>
      </c>
      <c r="F2584" s="8" t="str">
        <f aca="false">IF(E2584&gt;=9,"Promoter",IF(E2584&gt;=7,"Passive","Detractor"))</f>
        <v>Passive</v>
      </c>
    </row>
    <row r="2585" customFormat="false" ht="15" hidden="false" customHeight="false" outlineLevel="0" collapsed="false">
      <c r="A2585" s="8" t="s">
        <v>7209</v>
      </c>
      <c r="B2585" s="8" t="s">
        <v>4274</v>
      </c>
      <c r="C2585" s="8" t="s">
        <v>51</v>
      </c>
      <c r="D2585" s="32" t="n">
        <v>46146</v>
      </c>
      <c r="E2585" s="8" t="n">
        <v>10</v>
      </c>
      <c r="F2585" s="8" t="str">
        <f aca="false">IF(E2585&gt;=9,"Promoter",IF(E2585&gt;=7,"Passive","Detractor"))</f>
        <v>Promoter</v>
      </c>
    </row>
    <row r="2586" customFormat="false" ht="15" hidden="false" customHeight="false" outlineLevel="0" collapsed="false">
      <c r="A2586" s="8" t="s">
        <v>7210</v>
      </c>
      <c r="B2586" s="8" t="s">
        <v>1593</v>
      </c>
      <c r="C2586" s="8" t="s">
        <v>51</v>
      </c>
      <c r="D2586" s="32" t="n">
        <v>46146</v>
      </c>
      <c r="E2586" s="8" t="n">
        <v>10</v>
      </c>
      <c r="F2586" s="8" t="str">
        <f aca="false">IF(E2586&gt;=9,"Promoter",IF(E2586&gt;=7,"Passive","Detractor"))</f>
        <v>Promoter</v>
      </c>
    </row>
    <row r="2587" customFormat="false" ht="15" hidden="false" customHeight="false" outlineLevel="0" collapsed="false">
      <c r="A2587" s="8" t="s">
        <v>7211</v>
      </c>
      <c r="B2587" s="8" t="s">
        <v>4449</v>
      </c>
      <c r="C2587" s="8" t="s">
        <v>53</v>
      </c>
      <c r="D2587" s="32" t="n">
        <v>46146</v>
      </c>
      <c r="E2587" s="8" t="n">
        <v>7</v>
      </c>
      <c r="F2587" s="8" t="str">
        <f aca="false">IF(E2587&gt;=9,"Promoter",IF(E2587&gt;=7,"Passive","Detractor"))</f>
        <v>Passive</v>
      </c>
    </row>
    <row r="2588" customFormat="false" ht="15" hidden="false" customHeight="false" outlineLevel="0" collapsed="false">
      <c r="A2588" s="8" t="s">
        <v>7212</v>
      </c>
      <c r="B2588" s="8" t="s">
        <v>1509</v>
      </c>
      <c r="C2588" s="8" t="s">
        <v>53</v>
      </c>
      <c r="D2588" s="32" t="n">
        <v>46146</v>
      </c>
      <c r="E2588" s="8" t="n">
        <v>5</v>
      </c>
      <c r="F2588" s="8" t="str">
        <f aca="false">IF(E2588&gt;=9,"Promoter",IF(E2588&gt;=7,"Passive","Detractor"))</f>
        <v>Detractor</v>
      </c>
    </row>
    <row r="2589" customFormat="false" ht="15" hidden="false" customHeight="false" outlineLevel="0" collapsed="false">
      <c r="A2589" s="8" t="s">
        <v>7213</v>
      </c>
      <c r="B2589" s="8" t="s">
        <v>3236</v>
      </c>
      <c r="C2589" s="8" t="s">
        <v>51</v>
      </c>
      <c r="D2589" s="32" t="n">
        <v>46146</v>
      </c>
      <c r="E2589" s="8" t="n">
        <v>6</v>
      </c>
      <c r="F2589" s="8" t="str">
        <f aca="false">IF(E2589&gt;=9,"Promoter",IF(E2589&gt;=7,"Passive","Detractor"))</f>
        <v>Detractor</v>
      </c>
    </row>
    <row r="2590" customFormat="false" ht="15" hidden="false" customHeight="false" outlineLevel="0" collapsed="false">
      <c r="A2590" s="8" t="s">
        <v>7214</v>
      </c>
      <c r="B2590" s="8" t="s">
        <v>783</v>
      </c>
      <c r="C2590" s="8" t="s">
        <v>53</v>
      </c>
      <c r="D2590" s="32" t="n">
        <v>46147</v>
      </c>
      <c r="E2590" s="8" t="n">
        <v>6</v>
      </c>
      <c r="F2590" s="8" t="str">
        <f aca="false">IF(E2590&gt;=9,"Promoter",IF(E2590&gt;=7,"Passive","Detractor"))</f>
        <v>Detractor</v>
      </c>
    </row>
    <row r="2591" customFormat="false" ht="15" hidden="false" customHeight="false" outlineLevel="0" collapsed="false">
      <c r="A2591" s="8" t="s">
        <v>7215</v>
      </c>
      <c r="B2591" s="8" t="s">
        <v>1695</v>
      </c>
      <c r="C2591" s="8" t="s">
        <v>53</v>
      </c>
      <c r="D2591" s="32" t="n">
        <v>46147</v>
      </c>
      <c r="E2591" s="8" t="n">
        <v>10</v>
      </c>
      <c r="F2591" s="8" t="str">
        <f aca="false">IF(E2591&gt;=9,"Promoter",IF(E2591&gt;=7,"Passive","Detractor"))</f>
        <v>Promoter</v>
      </c>
    </row>
    <row r="2592" customFormat="false" ht="15" hidden="false" customHeight="false" outlineLevel="0" collapsed="false">
      <c r="A2592" s="8" t="s">
        <v>7216</v>
      </c>
      <c r="B2592" s="8" t="s">
        <v>3658</v>
      </c>
      <c r="C2592" s="8" t="s">
        <v>51</v>
      </c>
      <c r="D2592" s="32" t="n">
        <v>46147</v>
      </c>
      <c r="E2592" s="8" t="n">
        <v>10</v>
      </c>
      <c r="F2592" s="8" t="str">
        <f aca="false">IF(E2592&gt;=9,"Promoter",IF(E2592&gt;=7,"Passive","Detractor"))</f>
        <v>Promoter</v>
      </c>
    </row>
    <row r="2593" customFormat="false" ht="15" hidden="false" customHeight="false" outlineLevel="0" collapsed="false">
      <c r="A2593" s="8" t="s">
        <v>7217</v>
      </c>
      <c r="B2593" s="8" t="s">
        <v>421</v>
      </c>
      <c r="C2593" s="8" t="s">
        <v>55</v>
      </c>
      <c r="D2593" s="32" t="n">
        <v>46147</v>
      </c>
      <c r="E2593" s="8" t="n">
        <v>6</v>
      </c>
      <c r="F2593" s="8" t="str">
        <f aca="false">IF(E2593&gt;=9,"Promoter",IF(E2593&gt;=7,"Passive","Detractor"))</f>
        <v>Detractor</v>
      </c>
    </row>
    <row r="2594" customFormat="false" ht="15" hidden="false" customHeight="false" outlineLevel="0" collapsed="false">
      <c r="A2594" s="8" t="s">
        <v>7218</v>
      </c>
      <c r="B2594" s="8" t="s">
        <v>2156</v>
      </c>
      <c r="C2594" s="8" t="s">
        <v>51</v>
      </c>
      <c r="D2594" s="32" t="n">
        <v>46147</v>
      </c>
      <c r="E2594" s="8" t="n">
        <v>10</v>
      </c>
      <c r="F2594" s="8" t="str">
        <f aca="false">IF(E2594&gt;=9,"Promoter",IF(E2594&gt;=7,"Passive","Detractor"))</f>
        <v>Promoter</v>
      </c>
    </row>
    <row r="2595" customFormat="false" ht="15" hidden="false" customHeight="false" outlineLevel="0" collapsed="false">
      <c r="A2595" s="8" t="s">
        <v>7219</v>
      </c>
      <c r="B2595" s="8" t="s">
        <v>2450</v>
      </c>
      <c r="C2595" s="8" t="s">
        <v>51</v>
      </c>
      <c r="D2595" s="32" t="n">
        <v>46147</v>
      </c>
      <c r="E2595" s="8" t="n">
        <v>10</v>
      </c>
      <c r="F2595" s="8" t="str">
        <f aca="false">IF(E2595&gt;=9,"Promoter",IF(E2595&gt;=7,"Passive","Detractor"))</f>
        <v>Promoter</v>
      </c>
    </row>
    <row r="2596" customFormat="false" ht="15" hidden="false" customHeight="false" outlineLevel="0" collapsed="false">
      <c r="A2596" s="8" t="s">
        <v>7220</v>
      </c>
      <c r="B2596" s="8" t="s">
        <v>2013</v>
      </c>
      <c r="C2596" s="8" t="s">
        <v>51</v>
      </c>
      <c r="D2596" s="32" t="n">
        <v>46147</v>
      </c>
      <c r="E2596" s="8" t="n">
        <v>10</v>
      </c>
      <c r="F2596" s="8" t="str">
        <f aca="false">IF(E2596&gt;=9,"Promoter",IF(E2596&gt;=7,"Passive","Detractor"))</f>
        <v>Promoter</v>
      </c>
    </row>
    <row r="2597" customFormat="false" ht="15" hidden="false" customHeight="false" outlineLevel="0" collapsed="false">
      <c r="A2597" s="8" t="s">
        <v>7221</v>
      </c>
      <c r="B2597" s="8" t="s">
        <v>4360</v>
      </c>
      <c r="C2597" s="8" t="s">
        <v>51</v>
      </c>
      <c r="D2597" s="32" t="n">
        <v>46147</v>
      </c>
      <c r="E2597" s="8" t="n">
        <v>6</v>
      </c>
      <c r="F2597" s="8" t="str">
        <f aca="false">IF(E2597&gt;=9,"Promoter",IF(E2597&gt;=7,"Passive","Detractor"))</f>
        <v>Detractor</v>
      </c>
    </row>
    <row r="2598" customFormat="false" ht="15" hidden="false" customHeight="false" outlineLevel="0" collapsed="false">
      <c r="A2598" s="8" t="s">
        <v>7222</v>
      </c>
      <c r="B2598" s="8" t="s">
        <v>3028</v>
      </c>
      <c r="C2598" s="8" t="s">
        <v>51</v>
      </c>
      <c r="D2598" s="32" t="n">
        <v>46147</v>
      </c>
      <c r="E2598" s="8" t="n">
        <v>9</v>
      </c>
      <c r="F2598" s="8" t="str">
        <f aca="false">IF(E2598&gt;=9,"Promoter",IF(E2598&gt;=7,"Passive","Detractor"))</f>
        <v>Promoter</v>
      </c>
    </row>
    <row r="2599" customFormat="false" ht="15" hidden="false" customHeight="false" outlineLevel="0" collapsed="false">
      <c r="A2599" s="8" t="s">
        <v>7223</v>
      </c>
      <c r="B2599" s="8" t="s">
        <v>3512</v>
      </c>
      <c r="C2599" s="8" t="s">
        <v>51</v>
      </c>
      <c r="D2599" s="32" t="n">
        <v>46147</v>
      </c>
      <c r="E2599" s="8" t="n">
        <v>10</v>
      </c>
      <c r="F2599" s="8" t="str">
        <f aca="false">IF(E2599&gt;=9,"Promoter",IF(E2599&gt;=7,"Passive","Detractor"))</f>
        <v>Promoter</v>
      </c>
    </row>
    <row r="2600" customFormat="false" ht="15" hidden="false" customHeight="false" outlineLevel="0" collapsed="false">
      <c r="A2600" s="8" t="s">
        <v>7224</v>
      </c>
      <c r="B2600" s="8" t="s">
        <v>4457</v>
      </c>
      <c r="C2600" s="8" t="s">
        <v>53</v>
      </c>
      <c r="D2600" s="32" t="n">
        <v>46147</v>
      </c>
      <c r="E2600" s="8" t="n">
        <v>7</v>
      </c>
      <c r="F2600" s="8" t="str">
        <f aca="false">IF(E2600&gt;=9,"Promoter",IF(E2600&gt;=7,"Passive","Detractor"))</f>
        <v>Passive</v>
      </c>
    </row>
    <row r="2601" customFormat="false" ht="15" hidden="false" customHeight="false" outlineLevel="0" collapsed="false">
      <c r="A2601" s="8" t="s">
        <v>7225</v>
      </c>
      <c r="B2601" s="8" t="s">
        <v>3846</v>
      </c>
      <c r="C2601" s="8" t="s">
        <v>51</v>
      </c>
      <c r="D2601" s="32" t="n">
        <v>46147</v>
      </c>
      <c r="E2601" s="8" t="n">
        <v>10</v>
      </c>
      <c r="F2601" s="8" t="str">
        <f aca="false">IF(E2601&gt;=9,"Promoter",IF(E2601&gt;=7,"Passive","Detractor"))</f>
        <v>Promoter</v>
      </c>
    </row>
    <row r="2602" customFormat="false" ht="15" hidden="false" customHeight="false" outlineLevel="0" collapsed="false">
      <c r="A2602" s="8" t="s">
        <v>7226</v>
      </c>
      <c r="B2602" s="8" t="s">
        <v>3034</v>
      </c>
      <c r="C2602" s="8" t="s">
        <v>51</v>
      </c>
      <c r="D2602" s="32" t="n">
        <v>46147</v>
      </c>
      <c r="E2602" s="8" t="n">
        <v>8</v>
      </c>
      <c r="F2602" s="8" t="str">
        <f aca="false">IF(E2602&gt;=9,"Promoter",IF(E2602&gt;=7,"Passive","Detractor"))</f>
        <v>Passive</v>
      </c>
    </row>
    <row r="2603" customFormat="false" ht="15" hidden="false" customHeight="false" outlineLevel="0" collapsed="false">
      <c r="A2603" s="8" t="s">
        <v>7227</v>
      </c>
      <c r="B2603" s="8" t="s">
        <v>587</v>
      </c>
      <c r="C2603" s="8" t="s">
        <v>55</v>
      </c>
      <c r="D2603" s="32" t="n">
        <v>46147</v>
      </c>
      <c r="E2603" s="8" t="n">
        <v>7</v>
      </c>
      <c r="F2603" s="8" t="str">
        <f aca="false">IF(E2603&gt;=9,"Promoter",IF(E2603&gt;=7,"Passive","Detractor"))</f>
        <v>Passive</v>
      </c>
    </row>
    <row r="2604" customFormat="false" ht="15" hidden="false" customHeight="false" outlineLevel="0" collapsed="false">
      <c r="A2604" s="8" t="s">
        <v>7228</v>
      </c>
      <c r="B2604" s="8" t="s">
        <v>829</v>
      </c>
      <c r="C2604" s="8" t="s">
        <v>53</v>
      </c>
      <c r="D2604" s="32" t="n">
        <v>46147</v>
      </c>
      <c r="E2604" s="8" t="n">
        <v>9</v>
      </c>
      <c r="F2604" s="8" t="str">
        <f aca="false">IF(E2604&gt;=9,"Promoter",IF(E2604&gt;=7,"Passive","Detractor"))</f>
        <v>Promoter</v>
      </c>
    </row>
    <row r="2605" customFormat="false" ht="15" hidden="false" customHeight="false" outlineLevel="0" collapsed="false">
      <c r="A2605" s="8" t="s">
        <v>7229</v>
      </c>
      <c r="B2605" s="8" t="s">
        <v>1307</v>
      </c>
      <c r="C2605" s="8" t="s">
        <v>53</v>
      </c>
      <c r="D2605" s="32" t="n">
        <v>46147</v>
      </c>
      <c r="E2605" s="8" t="n">
        <v>10</v>
      </c>
      <c r="F2605" s="8" t="str">
        <f aca="false">IF(E2605&gt;=9,"Promoter",IF(E2605&gt;=7,"Passive","Detractor"))</f>
        <v>Promoter</v>
      </c>
    </row>
    <row r="2606" customFormat="false" ht="15" hidden="false" customHeight="false" outlineLevel="0" collapsed="false">
      <c r="A2606" s="8" t="s">
        <v>7230</v>
      </c>
      <c r="B2606" s="8" t="s">
        <v>2848</v>
      </c>
      <c r="C2606" s="8" t="s">
        <v>51</v>
      </c>
      <c r="D2606" s="32" t="n">
        <v>46148</v>
      </c>
      <c r="E2606" s="8" t="n">
        <v>10</v>
      </c>
      <c r="F2606" s="8" t="str">
        <f aca="false">IF(E2606&gt;=9,"Promoter",IF(E2606&gt;=7,"Passive","Detractor"))</f>
        <v>Promoter</v>
      </c>
    </row>
    <row r="2607" customFormat="false" ht="15" hidden="false" customHeight="false" outlineLevel="0" collapsed="false">
      <c r="A2607" s="8" t="s">
        <v>7231</v>
      </c>
      <c r="B2607" s="8" t="s">
        <v>2122</v>
      </c>
      <c r="C2607" s="8" t="s">
        <v>51</v>
      </c>
      <c r="D2607" s="32" t="n">
        <v>46148</v>
      </c>
      <c r="E2607" s="8" t="n">
        <v>10</v>
      </c>
      <c r="F2607" s="8" t="str">
        <f aca="false">IF(E2607&gt;=9,"Promoter",IF(E2607&gt;=7,"Passive","Detractor"))</f>
        <v>Promoter</v>
      </c>
    </row>
    <row r="2608" customFormat="false" ht="15" hidden="false" customHeight="false" outlineLevel="0" collapsed="false">
      <c r="A2608" s="8" t="s">
        <v>7232</v>
      </c>
      <c r="B2608" s="8" t="s">
        <v>1477</v>
      </c>
      <c r="C2608" s="8" t="s">
        <v>53</v>
      </c>
      <c r="D2608" s="32" t="n">
        <v>46148</v>
      </c>
      <c r="E2608" s="8" t="n">
        <v>5</v>
      </c>
      <c r="F2608" s="8" t="str">
        <f aca="false">IF(E2608&gt;=9,"Promoter",IF(E2608&gt;=7,"Passive","Detractor"))</f>
        <v>Detractor</v>
      </c>
    </row>
    <row r="2609" customFormat="false" ht="15" hidden="false" customHeight="false" outlineLevel="0" collapsed="false">
      <c r="A2609" s="8" t="s">
        <v>7233</v>
      </c>
      <c r="B2609" s="8" t="s">
        <v>4242</v>
      </c>
      <c r="C2609" s="8" t="s">
        <v>51</v>
      </c>
      <c r="D2609" s="32" t="n">
        <v>46148</v>
      </c>
      <c r="E2609" s="8" t="n">
        <v>6</v>
      </c>
      <c r="F2609" s="8" t="str">
        <f aca="false">IF(E2609&gt;=9,"Promoter",IF(E2609&gt;=7,"Passive","Detractor"))</f>
        <v>Detractor</v>
      </c>
    </row>
    <row r="2610" customFormat="false" ht="15" hidden="false" customHeight="false" outlineLevel="0" collapsed="false">
      <c r="A2610" s="8" t="s">
        <v>7234</v>
      </c>
      <c r="B2610" s="8" t="s">
        <v>4358</v>
      </c>
      <c r="C2610" s="8" t="s">
        <v>51</v>
      </c>
      <c r="D2610" s="32" t="n">
        <v>46148</v>
      </c>
      <c r="E2610" s="8" t="n">
        <v>6</v>
      </c>
      <c r="F2610" s="8" t="str">
        <f aca="false">IF(E2610&gt;=9,"Promoter",IF(E2610&gt;=7,"Passive","Detractor"))</f>
        <v>Detractor</v>
      </c>
    </row>
    <row r="2611" customFormat="false" ht="15" hidden="false" customHeight="false" outlineLevel="0" collapsed="false">
      <c r="A2611" s="8" t="s">
        <v>7235</v>
      </c>
      <c r="B2611" s="8" t="s">
        <v>2136</v>
      </c>
      <c r="C2611" s="8" t="s">
        <v>51</v>
      </c>
      <c r="D2611" s="32" t="n">
        <v>46148</v>
      </c>
      <c r="E2611" s="8" t="n">
        <v>10</v>
      </c>
      <c r="F2611" s="8" t="str">
        <f aca="false">IF(E2611&gt;=9,"Promoter",IF(E2611&gt;=7,"Passive","Detractor"))</f>
        <v>Promoter</v>
      </c>
    </row>
    <row r="2612" customFormat="false" ht="15" hidden="false" customHeight="false" outlineLevel="0" collapsed="false">
      <c r="A2612" s="8" t="s">
        <v>7236</v>
      </c>
      <c r="B2612" s="8" t="s">
        <v>290</v>
      </c>
      <c r="C2612" s="8" t="s">
        <v>55</v>
      </c>
      <c r="D2612" s="32" t="n">
        <v>46148</v>
      </c>
      <c r="E2612" s="8" t="n">
        <v>10</v>
      </c>
      <c r="F2612" s="8" t="str">
        <f aca="false">IF(E2612&gt;=9,"Promoter",IF(E2612&gt;=7,"Passive","Detractor"))</f>
        <v>Promoter</v>
      </c>
    </row>
    <row r="2613" customFormat="false" ht="15" hidden="false" customHeight="false" outlineLevel="0" collapsed="false">
      <c r="A2613" s="8" t="s">
        <v>7237</v>
      </c>
      <c r="B2613" s="8" t="s">
        <v>2836</v>
      </c>
      <c r="C2613" s="8" t="s">
        <v>51</v>
      </c>
      <c r="D2613" s="32" t="n">
        <v>46149</v>
      </c>
      <c r="E2613" s="8" t="n">
        <v>6</v>
      </c>
      <c r="F2613" s="8" t="str">
        <f aca="false">IF(E2613&gt;=9,"Promoter",IF(E2613&gt;=7,"Passive","Detractor"))</f>
        <v>Detractor</v>
      </c>
    </row>
    <row r="2614" customFormat="false" ht="15" hidden="false" customHeight="false" outlineLevel="0" collapsed="false">
      <c r="A2614" s="8" t="s">
        <v>7238</v>
      </c>
      <c r="B2614" s="8" t="s">
        <v>1981</v>
      </c>
      <c r="C2614" s="8" t="s">
        <v>51</v>
      </c>
      <c r="D2614" s="32" t="n">
        <v>46149</v>
      </c>
      <c r="E2614" s="8" t="n">
        <v>9</v>
      </c>
      <c r="F2614" s="8" t="str">
        <f aca="false">IF(E2614&gt;=9,"Promoter",IF(E2614&gt;=7,"Passive","Detractor"))</f>
        <v>Promoter</v>
      </c>
    </row>
    <row r="2615" customFormat="false" ht="15" hidden="false" customHeight="false" outlineLevel="0" collapsed="false">
      <c r="A2615" s="8" t="s">
        <v>7239</v>
      </c>
      <c r="B2615" s="8" t="s">
        <v>232</v>
      </c>
      <c r="C2615" s="8" t="s">
        <v>55</v>
      </c>
      <c r="D2615" s="32" t="n">
        <v>46149</v>
      </c>
      <c r="E2615" s="8" t="n">
        <v>4</v>
      </c>
      <c r="F2615" s="8" t="str">
        <f aca="false">IF(E2615&gt;=9,"Promoter",IF(E2615&gt;=7,"Passive","Detractor"))</f>
        <v>Detractor</v>
      </c>
    </row>
    <row r="2616" customFormat="false" ht="15" hidden="false" customHeight="false" outlineLevel="0" collapsed="false">
      <c r="A2616" s="8" t="s">
        <v>7240</v>
      </c>
      <c r="B2616" s="8" t="s">
        <v>3042</v>
      </c>
      <c r="C2616" s="8" t="s">
        <v>51</v>
      </c>
      <c r="D2616" s="32" t="n">
        <v>46149</v>
      </c>
      <c r="E2616" s="8" t="n">
        <v>5</v>
      </c>
      <c r="F2616" s="8" t="str">
        <f aca="false">IF(E2616&gt;=9,"Promoter",IF(E2616&gt;=7,"Passive","Detractor"))</f>
        <v>Detractor</v>
      </c>
    </row>
    <row r="2617" customFormat="false" ht="15" hidden="false" customHeight="false" outlineLevel="0" collapsed="false">
      <c r="A2617" s="8" t="s">
        <v>7241</v>
      </c>
      <c r="B2617" s="8" t="s">
        <v>3604</v>
      </c>
      <c r="C2617" s="8" t="s">
        <v>51</v>
      </c>
      <c r="D2617" s="32" t="n">
        <v>46149</v>
      </c>
      <c r="E2617" s="8" t="n">
        <v>5</v>
      </c>
      <c r="F2617" s="8" t="str">
        <f aca="false">IF(E2617&gt;=9,"Promoter",IF(E2617&gt;=7,"Passive","Detractor"))</f>
        <v>Detractor</v>
      </c>
    </row>
    <row r="2618" customFormat="false" ht="15" hidden="false" customHeight="false" outlineLevel="0" collapsed="false">
      <c r="A2618" s="8" t="s">
        <v>7242</v>
      </c>
      <c r="B2618" s="8" t="s">
        <v>7243</v>
      </c>
      <c r="C2618" s="8" t="s">
        <v>51</v>
      </c>
      <c r="D2618" s="32" t="n">
        <v>46149</v>
      </c>
      <c r="E2618" s="8" t="n">
        <v>4</v>
      </c>
      <c r="F2618" s="8" t="str">
        <f aca="false">IF(E2618&gt;=9,"Promoter",IF(E2618&gt;=7,"Passive","Detractor"))</f>
        <v>Detractor</v>
      </c>
    </row>
    <row r="2619" customFormat="false" ht="15" hidden="false" customHeight="false" outlineLevel="0" collapsed="false">
      <c r="A2619" s="8" t="s">
        <v>7244</v>
      </c>
      <c r="B2619" s="8" t="s">
        <v>3714</v>
      </c>
      <c r="C2619" s="8" t="s">
        <v>51</v>
      </c>
      <c r="D2619" s="32" t="n">
        <v>46149</v>
      </c>
      <c r="E2619" s="8" t="n">
        <v>10</v>
      </c>
      <c r="F2619" s="8" t="str">
        <f aca="false">IF(E2619&gt;=9,"Promoter",IF(E2619&gt;=7,"Passive","Detractor"))</f>
        <v>Promoter</v>
      </c>
    </row>
    <row r="2620" customFormat="false" ht="15" hidden="false" customHeight="false" outlineLevel="0" collapsed="false">
      <c r="A2620" s="8" t="s">
        <v>7245</v>
      </c>
      <c r="B2620" s="8" t="s">
        <v>1067</v>
      </c>
      <c r="C2620" s="8" t="s">
        <v>53</v>
      </c>
      <c r="D2620" s="32" t="n">
        <v>46149</v>
      </c>
      <c r="E2620" s="8" t="n">
        <v>7</v>
      </c>
      <c r="F2620" s="8" t="str">
        <f aca="false">IF(E2620&gt;=9,"Promoter",IF(E2620&gt;=7,"Passive","Detractor"))</f>
        <v>Passive</v>
      </c>
    </row>
    <row r="2621" customFormat="false" ht="15" hidden="false" customHeight="false" outlineLevel="0" collapsed="false">
      <c r="A2621" s="8" t="s">
        <v>7246</v>
      </c>
      <c r="B2621" s="8" t="s">
        <v>563</v>
      </c>
      <c r="C2621" s="8" t="s">
        <v>55</v>
      </c>
      <c r="D2621" s="32" t="n">
        <v>46149</v>
      </c>
      <c r="E2621" s="8" t="n">
        <v>10</v>
      </c>
      <c r="F2621" s="8" t="str">
        <f aca="false">IF(E2621&gt;=9,"Promoter",IF(E2621&gt;=7,"Passive","Detractor"))</f>
        <v>Promoter</v>
      </c>
    </row>
    <row r="2622" customFormat="false" ht="15" hidden="false" customHeight="false" outlineLevel="0" collapsed="false">
      <c r="A2622" s="8" t="s">
        <v>7247</v>
      </c>
      <c r="B2622" s="8" t="s">
        <v>2260</v>
      </c>
      <c r="C2622" s="8" t="s">
        <v>51</v>
      </c>
      <c r="D2622" s="32" t="n">
        <v>46149</v>
      </c>
      <c r="E2622" s="8" t="n">
        <v>8</v>
      </c>
      <c r="F2622" s="8" t="str">
        <f aca="false">IF(E2622&gt;=9,"Promoter",IF(E2622&gt;=7,"Passive","Detractor"))</f>
        <v>Passive</v>
      </c>
    </row>
    <row r="2623" customFormat="false" ht="15" hidden="false" customHeight="false" outlineLevel="0" collapsed="false">
      <c r="A2623" s="8" t="s">
        <v>7248</v>
      </c>
      <c r="B2623" s="8" t="s">
        <v>3002</v>
      </c>
      <c r="C2623" s="8" t="s">
        <v>51</v>
      </c>
      <c r="D2623" s="32" t="n">
        <v>46149</v>
      </c>
      <c r="E2623" s="8" t="n">
        <v>10</v>
      </c>
      <c r="F2623" s="8" t="str">
        <f aca="false">IF(E2623&gt;=9,"Promoter",IF(E2623&gt;=7,"Passive","Detractor"))</f>
        <v>Promoter</v>
      </c>
    </row>
    <row r="2624" customFormat="false" ht="15" hidden="false" customHeight="false" outlineLevel="0" collapsed="false">
      <c r="A2624" s="8" t="s">
        <v>7249</v>
      </c>
      <c r="B2624" s="8" t="s">
        <v>2432</v>
      </c>
      <c r="C2624" s="8" t="s">
        <v>51</v>
      </c>
      <c r="D2624" s="32" t="n">
        <v>46149</v>
      </c>
      <c r="E2624" s="8" t="n">
        <v>9</v>
      </c>
      <c r="F2624" s="8" t="str">
        <f aca="false">IF(E2624&gt;=9,"Promoter",IF(E2624&gt;=7,"Passive","Detractor"))</f>
        <v>Promoter</v>
      </c>
    </row>
    <row r="2625" customFormat="false" ht="15" hidden="false" customHeight="false" outlineLevel="0" collapsed="false">
      <c r="A2625" s="8" t="s">
        <v>7250</v>
      </c>
      <c r="B2625" s="8" t="s">
        <v>4130</v>
      </c>
      <c r="C2625" s="8" t="s">
        <v>51</v>
      </c>
      <c r="D2625" s="32" t="n">
        <v>46149</v>
      </c>
      <c r="E2625" s="8" t="n">
        <v>8</v>
      </c>
      <c r="F2625" s="8" t="str">
        <f aca="false">IF(E2625&gt;=9,"Promoter",IF(E2625&gt;=7,"Passive","Detractor"))</f>
        <v>Passive</v>
      </c>
    </row>
    <row r="2626" customFormat="false" ht="15" hidden="false" customHeight="false" outlineLevel="0" collapsed="false">
      <c r="A2626" s="8" t="s">
        <v>7251</v>
      </c>
      <c r="B2626" s="8" t="s">
        <v>3686</v>
      </c>
      <c r="C2626" s="8" t="s">
        <v>51</v>
      </c>
      <c r="D2626" s="32" t="n">
        <v>46149</v>
      </c>
      <c r="E2626" s="8" t="n">
        <v>8</v>
      </c>
      <c r="F2626" s="8" t="str">
        <f aca="false">IF(E2626&gt;=9,"Promoter",IF(E2626&gt;=7,"Passive","Detractor"))</f>
        <v>Passive</v>
      </c>
    </row>
    <row r="2627" customFormat="false" ht="15" hidden="false" customHeight="false" outlineLevel="0" collapsed="false">
      <c r="A2627" s="8" t="s">
        <v>7252</v>
      </c>
      <c r="B2627" s="8" t="s">
        <v>889</v>
      </c>
      <c r="C2627" s="8" t="s">
        <v>53</v>
      </c>
      <c r="D2627" s="32" t="n">
        <v>46149</v>
      </c>
      <c r="E2627" s="8" t="n">
        <v>9</v>
      </c>
      <c r="F2627" s="8" t="str">
        <f aca="false">IF(E2627&gt;=9,"Promoter",IF(E2627&gt;=7,"Passive","Detractor"))</f>
        <v>Promoter</v>
      </c>
    </row>
    <row r="2628" customFormat="false" ht="15" hidden="false" customHeight="false" outlineLevel="0" collapsed="false">
      <c r="A2628" s="8" t="s">
        <v>7253</v>
      </c>
      <c r="B2628" s="8" t="s">
        <v>429</v>
      </c>
      <c r="C2628" s="8" t="s">
        <v>55</v>
      </c>
      <c r="D2628" s="32" t="n">
        <v>46150</v>
      </c>
      <c r="E2628" s="8" t="n">
        <v>9</v>
      </c>
      <c r="F2628" s="8" t="str">
        <f aca="false">IF(E2628&gt;=9,"Promoter",IF(E2628&gt;=7,"Passive","Detractor"))</f>
        <v>Promoter</v>
      </c>
    </row>
    <row r="2629" customFormat="false" ht="15" hidden="false" customHeight="false" outlineLevel="0" collapsed="false">
      <c r="A2629" s="8" t="s">
        <v>7254</v>
      </c>
      <c r="B2629" s="8" t="s">
        <v>3098</v>
      </c>
      <c r="C2629" s="8" t="s">
        <v>51</v>
      </c>
      <c r="D2629" s="32" t="n">
        <v>46150</v>
      </c>
      <c r="E2629" s="8" t="n">
        <v>7</v>
      </c>
      <c r="F2629" s="8" t="str">
        <f aca="false">IF(E2629&gt;=9,"Promoter",IF(E2629&gt;=7,"Passive","Detractor"))</f>
        <v>Passive</v>
      </c>
    </row>
    <row r="2630" customFormat="false" ht="15" hidden="false" customHeight="false" outlineLevel="0" collapsed="false">
      <c r="A2630" s="8" t="s">
        <v>7255</v>
      </c>
      <c r="B2630" s="8" t="s">
        <v>3446</v>
      </c>
      <c r="C2630" s="8" t="s">
        <v>51</v>
      </c>
      <c r="D2630" s="32" t="n">
        <v>46150</v>
      </c>
      <c r="E2630" s="8" t="n">
        <v>8</v>
      </c>
      <c r="F2630" s="8" t="str">
        <f aca="false">IF(E2630&gt;=9,"Promoter",IF(E2630&gt;=7,"Passive","Detractor"))</f>
        <v>Passive</v>
      </c>
    </row>
    <row r="2631" customFormat="false" ht="15" hidden="false" customHeight="false" outlineLevel="0" collapsed="false">
      <c r="A2631" s="8" t="s">
        <v>7256</v>
      </c>
      <c r="B2631" s="8" t="s">
        <v>1029</v>
      </c>
      <c r="C2631" s="8" t="s">
        <v>53</v>
      </c>
      <c r="D2631" s="32" t="n">
        <v>46150</v>
      </c>
      <c r="E2631" s="8" t="n">
        <v>9</v>
      </c>
      <c r="F2631" s="8" t="str">
        <f aca="false">IF(E2631&gt;=9,"Promoter",IF(E2631&gt;=7,"Passive","Detractor"))</f>
        <v>Promoter</v>
      </c>
    </row>
    <row r="2632" customFormat="false" ht="15" hidden="false" customHeight="false" outlineLevel="0" collapsed="false">
      <c r="A2632" s="8" t="s">
        <v>7257</v>
      </c>
      <c r="B2632" s="8" t="s">
        <v>3214</v>
      </c>
      <c r="C2632" s="8" t="s">
        <v>51</v>
      </c>
      <c r="D2632" s="32" t="n">
        <v>46150</v>
      </c>
      <c r="E2632" s="8" t="n">
        <v>9</v>
      </c>
      <c r="F2632" s="8" t="str">
        <f aca="false">IF(E2632&gt;=9,"Promoter",IF(E2632&gt;=7,"Passive","Detractor"))</f>
        <v>Promoter</v>
      </c>
    </row>
    <row r="2633" customFormat="false" ht="15" hidden="false" customHeight="false" outlineLevel="0" collapsed="false">
      <c r="A2633" s="8" t="s">
        <v>7258</v>
      </c>
      <c r="B2633" s="8" t="s">
        <v>1777</v>
      </c>
      <c r="C2633" s="8" t="s">
        <v>53</v>
      </c>
      <c r="D2633" s="32" t="n">
        <v>46150</v>
      </c>
      <c r="E2633" s="8" t="n">
        <v>9</v>
      </c>
      <c r="F2633" s="8" t="str">
        <f aca="false">IF(E2633&gt;=9,"Promoter",IF(E2633&gt;=7,"Passive","Detractor"))</f>
        <v>Promoter</v>
      </c>
    </row>
    <row r="2634" customFormat="false" ht="15" hidden="false" customHeight="false" outlineLevel="0" collapsed="false">
      <c r="A2634" s="8" t="s">
        <v>7259</v>
      </c>
      <c r="B2634" s="8" t="s">
        <v>741</v>
      </c>
      <c r="C2634" s="8" t="s">
        <v>53</v>
      </c>
      <c r="D2634" s="32" t="n">
        <v>46150</v>
      </c>
      <c r="E2634" s="8" t="n">
        <v>7</v>
      </c>
      <c r="F2634" s="8" t="str">
        <f aca="false">IF(E2634&gt;=9,"Promoter",IF(E2634&gt;=7,"Passive","Detractor"))</f>
        <v>Passive</v>
      </c>
    </row>
    <row r="2635" customFormat="false" ht="15" hidden="false" customHeight="false" outlineLevel="0" collapsed="false">
      <c r="A2635" s="8" t="s">
        <v>7260</v>
      </c>
      <c r="B2635" s="8" t="s">
        <v>7261</v>
      </c>
      <c r="C2635" s="8" t="s">
        <v>51</v>
      </c>
      <c r="D2635" s="32" t="n">
        <v>46150</v>
      </c>
      <c r="E2635" s="8" t="n">
        <v>4</v>
      </c>
      <c r="F2635" s="8" t="str">
        <f aca="false">IF(E2635&gt;=9,"Promoter",IF(E2635&gt;=7,"Passive","Detractor"))</f>
        <v>Detractor</v>
      </c>
    </row>
    <row r="2636" customFormat="false" ht="15" hidden="false" customHeight="false" outlineLevel="0" collapsed="false">
      <c r="A2636" s="8" t="s">
        <v>7262</v>
      </c>
      <c r="B2636" s="8" t="s">
        <v>723</v>
      </c>
      <c r="C2636" s="8" t="s">
        <v>53</v>
      </c>
      <c r="D2636" s="32" t="n">
        <v>46150</v>
      </c>
      <c r="E2636" s="8" t="n">
        <v>9</v>
      </c>
      <c r="F2636" s="8" t="str">
        <f aca="false">IF(E2636&gt;=9,"Promoter",IF(E2636&gt;=7,"Passive","Detractor"))</f>
        <v>Promoter</v>
      </c>
    </row>
    <row r="2637" customFormat="false" ht="15" hidden="false" customHeight="false" outlineLevel="0" collapsed="false">
      <c r="A2637" s="8" t="s">
        <v>7263</v>
      </c>
      <c r="B2637" s="8" t="s">
        <v>4585</v>
      </c>
      <c r="C2637" s="8" t="s">
        <v>51</v>
      </c>
      <c r="D2637" s="32" t="n">
        <v>46150</v>
      </c>
      <c r="E2637" s="8" t="n">
        <v>4</v>
      </c>
      <c r="F2637" s="8" t="str">
        <f aca="false">IF(E2637&gt;=9,"Promoter",IF(E2637&gt;=7,"Passive","Detractor"))</f>
        <v>Detractor</v>
      </c>
    </row>
    <row r="2638" customFormat="false" ht="15" hidden="false" customHeight="false" outlineLevel="0" collapsed="false">
      <c r="A2638" s="8" t="s">
        <v>7264</v>
      </c>
      <c r="B2638" s="8" t="s">
        <v>695</v>
      </c>
      <c r="C2638" s="8" t="s">
        <v>53</v>
      </c>
      <c r="D2638" s="32" t="n">
        <v>46151</v>
      </c>
      <c r="E2638" s="8" t="n">
        <v>10</v>
      </c>
      <c r="F2638" s="8" t="str">
        <f aca="false">IF(E2638&gt;=9,"Promoter",IF(E2638&gt;=7,"Passive","Detractor"))</f>
        <v>Promoter</v>
      </c>
    </row>
    <row r="2639" customFormat="false" ht="15" hidden="false" customHeight="false" outlineLevel="0" collapsed="false">
      <c r="A2639" s="8" t="s">
        <v>7265</v>
      </c>
      <c r="B2639" s="8" t="s">
        <v>1183</v>
      </c>
      <c r="C2639" s="8" t="s">
        <v>53</v>
      </c>
      <c r="D2639" s="32" t="n">
        <v>46151</v>
      </c>
      <c r="E2639" s="8" t="n">
        <v>10</v>
      </c>
      <c r="F2639" s="8" t="str">
        <f aca="false">IF(E2639&gt;=9,"Promoter",IF(E2639&gt;=7,"Passive","Detractor"))</f>
        <v>Promoter</v>
      </c>
    </row>
    <row r="2640" customFormat="false" ht="15" hidden="false" customHeight="false" outlineLevel="0" collapsed="false">
      <c r="A2640" s="8" t="s">
        <v>7266</v>
      </c>
      <c r="B2640" s="8" t="s">
        <v>7267</v>
      </c>
      <c r="C2640" s="8" t="s">
        <v>51</v>
      </c>
      <c r="D2640" s="32" t="n">
        <v>46151</v>
      </c>
      <c r="E2640" s="8" t="n">
        <v>6</v>
      </c>
      <c r="F2640" s="8" t="str">
        <f aca="false">IF(E2640&gt;=9,"Promoter",IF(E2640&gt;=7,"Passive","Detractor"))</f>
        <v>Detractor</v>
      </c>
    </row>
    <row r="2641" customFormat="false" ht="15" hidden="false" customHeight="false" outlineLevel="0" collapsed="false">
      <c r="A2641" s="8" t="s">
        <v>7268</v>
      </c>
      <c r="B2641" s="8" t="s">
        <v>4030</v>
      </c>
      <c r="C2641" s="8" t="s">
        <v>51</v>
      </c>
      <c r="D2641" s="32" t="n">
        <v>46151</v>
      </c>
      <c r="E2641" s="8" t="n">
        <v>10</v>
      </c>
      <c r="F2641" s="8" t="str">
        <f aca="false">IF(E2641&gt;=9,"Promoter",IF(E2641&gt;=7,"Passive","Detractor"))</f>
        <v>Promoter</v>
      </c>
    </row>
    <row r="2642" customFormat="false" ht="15" hidden="false" customHeight="false" outlineLevel="0" collapsed="false">
      <c r="A2642" s="8" t="s">
        <v>7269</v>
      </c>
      <c r="B2642" s="8" t="s">
        <v>2522</v>
      </c>
      <c r="C2642" s="8" t="s">
        <v>51</v>
      </c>
      <c r="D2642" s="32" t="n">
        <v>46151</v>
      </c>
      <c r="E2642" s="8" t="n">
        <v>10</v>
      </c>
      <c r="F2642" s="8" t="str">
        <f aca="false">IF(E2642&gt;=9,"Promoter",IF(E2642&gt;=7,"Passive","Detractor"))</f>
        <v>Promoter</v>
      </c>
    </row>
    <row r="2643" customFormat="false" ht="15" hidden="false" customHeight="false" outlineLevel="0" collapsed="false">
      <c r="A2643" s="8" t="s">
        <v>7270</v>
      </c>
      <c r="B2643" s="8" t="s">
        <v>1241</v>
      </c>
      <c r="C2643" s="8" t="s">
        <v>53</v>
      </c>
      <c r="D2643" s="32" t="n">
        <v>46151</v>
      </c>
      <c r="E2643" s="8" t="n">
        <v>10</v>
      </c>
      <c r="F2643" s="8" t="str">
        <f aca="false">IF(E2643&gt;=9,"Promoter",IF(E2643&gt;=7,"Passive","Detractor"))</f>
        <v>Promoter</v>
      </c>
    </row>
    <row r="2644" customFormat="false" ht="15" hidden="false" customHeight="false" outlineLevel="0" collapsed="false">
      <c r="A2644" s="8" t="s">
        <v>7271</v>
      </c>
      <c r="B2644" s="8" t="s">
        <v>3234</v>
      </c>
      <c r="C2644" s="8" t="s">
        <v>51</v>
      </c>
      <c r="D2644" s="32" t="n">
        <v>46151</v>
      </c>
      <c r="E2644" s="8" t="n">
        <v>8</v>
      </c>
      <c r="F2644" s="8" t="str">
        <f aca="false">IF(E2644&gt;=9,"Promoter",IF(E2644&gt;=7,"Passive","Detractor"))</f>
        <v>Passive</v>
      </c>
    </row>
    <row r="2645" customFormat="false" ht="15" hidden="false" customHeight="false" outlineLevel="0" collapsed="false">
      <c r="A2645" s="8" t="s">
        <v>7272</v>
      </c>
      <c r="B2645" s="8" t="s">
        <v>1867</v>
      </c>
      <c r="C2645" s="8" t="s">
        <v>51</v>
      </c>
      <c r="D2645" s="32" t="n">
        <v>46151</v>
      </c>
      <c r="E2645" s="8" t="n">
        <v>8</v>
      </c>
      <c r="F2645" s="8" t="str">
        <f aca="false">IF(E2645&gt;=9,"Promoter",IF(E2645&gt;=7,"Passive","Detractor"))</f>
        <v>Passive</v>
      </c>
    </row>
    <row r="2646" customFormat="false" ht="15" hidden="false" customHeight="false" outlineLevel="0" collapsed="false">
      <c r="A2646" s="8" t="s">
        <v>7273</v>
      </c>
      <c r="B2646" s="8" t="s">
        <v>1355</v>
      </c>
      <c r="C2646" s="8" t="s">
        <v>53</v>
      </c>
      <c r="D2646" s="32" t="n">
        <v>46152</v>
      </c>
      <c r="E2646" s="8" t="n">
        <v>8</v>
      </c>
      <c r="F2646" s="8" t="str">
        <f aca="false">IF(E2646&gt;=9,"Promoter",IF(E2646&gt;=7,"Passive","Detractor"))</f>
        <v>Passive</v>
      </c>
    </row>
    <row r="2647" customFormat="false" ht="15" hidden="false" customHeight="false" outlineLevel="0" collapsed="false">
      <c r="A2647" s="8" t="s">
        <v>7274</v>
      </c>
      <c r="B2647" s="8" t="s">
        <v>3530</v>
      </c>
      <c r="C2647" s="8" t="s">
        <v>51</v>
      </c>
      <c r="D2647" s="32" t="n">
        <v>46152</v>
      </c>
      <c r="E2647" s="8" t="n">
        <v>7</v>
      </c>
      <c r="F2647" s="8" t="str">
        <f aca="false">IF(E2647&gt;=9,"Promoter",IF(E2647&gt;=7,"Passive","Detractor"))</f>
        <v>Passive</v>
      </c>
    </row>
    <row r="2648" customFormat="false" ht="15" hidden="false" customHeight="false" outlineLevel="0" collapsed="false">
      <c r="A2648" s="8" t="s">
        <v>7275</v>
      </c>
      <c r="B2648" s="8" t="s">
        <v>3216</v>
      </c>
      <c r="C2648" s="8" t="s">
        <v>51</v>
      </c>
      <c r="D2648" s="32" t="n">
        <v>46152</v>
      </c>
      <c r="E2648" s="8" t="n">
        <v>10</v>
      </c>
      <c r="F2648" s="8" t="str">
        <f aca="false">IF(E2648&gt;=9,"Promoter",IF(E2648&gt;=7,"Passive","Detractor"))</f>
        <v>Promoter</v>
      </c>
    </row>
    <row r="2649" customFormat="false" ht="15" hidden="false" customHeight="false" outlineLevel="0" collapsed="false">
      <c r="A2649" s="8" t="s">
        <v>7276</v>
      </c>
      <c r="B2649" s="8" t="s">
        <v>260</v>
      </c>
      <c r="C2649" s="8" t="s">
        <v>55</v>
      </c>
      <c r="D2649" s="32" t="n">
        <v>46152</v>
      </c>
      <c r="E2649" s="8" t="n">
        <v>7</v>
      </c>
      <c r="F2649" s="8" t="str">
        <f aca="false">IF(E2649&gt;=9,"Promoter",IF(E2649&gt;=7,"Passive","Detractor"))</f>
        <v>Passive</v>
      </c>
    </row>
    <row r="2650" customFormat="false" ht="15" hidden="false" customHeight="false" outlineLevel="0" collapsed="false">
      <c r="A2650" s="8" t="s">
        <v>7277</v>
      </c>
      <c r="B2650" s="8" t="s">
        <v>3680</v>
      </c>
      <c r="C2650" s="8" t="s">
        <v>51</v>
      </c>
      <c r="D2650" s="32" t="n">
        <v>46152</v>
      </c>
      <c r="E2650" s="8" t="n">
        <v>9</v>
      </c>
      <c r="F2650" s="8" t="str">
        <f aca="false">IF(E2650&gt;=9,"Promoter",IF(E2650&gt;=7,"Passive","Detractor"))</f>
        <v>Promoter</v>
      </c>
    </row>
    <row r="2651" customFormat="false" ht="15" hidden="false" customHeight="false" outlineLevel="0" collapsed="false">
      <c r="A2651" s="8" t="s">
        <v>7278</v>
      </c>
      <c r="B2651" s="8" t="s">
        <v>629</v>
      </c>
      <c r="C2651" s="8" t="s">
        <v>53</v>
      </c>
      <c r="D2651" s="32" t="n">
        <v>46152</v>
      </c>
      <c r="E2651" s="8" t="n">
        <v>6</v>
      </c>
      <c r="F2651" s="8" t="str">
        <f aca="false">IF(E2651&gt;=9,"Promoter",IF(E2651&gt;=7,"Passive","Detractor"))</f>
        <v>Detractor</v>
      </c>
    </row>
    <row r="2652" customFormat="false" ht="15" hidden="false" customHeight="false" outlineLevel="0" collapsed="false">
      <c r="A2652" s="8" t="s">
        <v>7279</v>
      </c>
      <c r="B2652" s="8" t="s">
        <v>7280</v>
      </c>
      <c r="C2652" s="8" t="s">
        <v>53</v>
      </c>
      <c r="D2652" s="32" t="n">
        <v>46152</v>
      </c>
      <c r="E2652" s="8" t="n">
        <v>4</v>
      </c>
      <c r="F2652" s="8" t="str">
        <f aca="false">IF(E2652&gt;=9,"Promoter",IF(E2652&gt;=7,"Passive","Detractor"))</f>
        <v>Detractor</v>
      </c>
    </row>
    <row r="2653" customFormat="false" ht="15" hidden="false" customHeight="false" outlineLevel="0" collapsed="false">
      <c r="A2653" s="8" t="s">
        <v>7281</v>
      </c>
      <c r="B2653" s="8" t="s">
        <v>1625</v>
      </c>
      <c r="C2653" s="8" t="s">
        <v>53</v>
      </c>
      <c r="D2653" s="32" t="n">
        <v>46152</v>
      </c>
      <c r="E2653" s="8" t="n">
        <v>10</v>
      </c>
      <c r="F2653" s="8" t="str">
        <f aca="false">IF(E2653&gt;=9,"Promoter",IF(E2653&gt;=7,"Passive","Detractor"))</f>
        <v>Promoter</v>
      </c>
    </row>
    <row r="2654" customFormat="false" ht="15" hidden="false" customHeight="false" outlineLevel="0" collapsed="false">
      <c r="A2654" s="8" t="s">
        <v>7282</v>
      </c>
      <c r="B2654" s="8" t="s">
        <v>3004</v>
      </c>
      <c r="C2654" s="8" t="s">
        <v>51</v>
      </c>
      <c r="D2654" s="32" t="n">
        <v>46152</v>
      </c>
      <c r="E2654" s="8" t="n">
        <v>5</v>
      </c>
      <c r="F2654" s="8" t="str">
        <f aca="false">IF(E2654&gt;=9,"Promoter",IF(E2654&gt;=7,"Passive","Detractor"))</f>
        <v>Detractor</v>
      </c>
    </row>
    <row r="2655" customFormat="false" ht="15" hidden="false" customHeight="false" outlineLevel="0" collapsed="false">
      <c r="A2655" s="8" t="s">
        <v>7283</v>
      </c>
      <c r="B2655" s="8" t="s">
        <v>3484</v>
      </c>
      <c r="C2655" s="8" t="s">
        <v>51</v>
      </c>
      <c r="D2655" s="32" t="n">
        <v>46152</v>
      </c>
      <c r="E2655" s="8" t="n">
        <v>10</v>
      </c>
      <c r="F2655" s="8" t="str">
        <f aca="false">IF(E2655&gt;=9,"Promoter",IF(E2655&gt;=7,"Passive","Detractor"))</f>
        <v>Promoter</v>
      </c>
    </row>
    <row r="2656" customFormat="false" ht="15" hidden="false" customHeight="false" outlineLevel="0" collapsed="false">
      <c r="A2656" s="8" t="s">
        <v>7284</v>
      </c>
      <c r="B2656" s="8" t="s">
        <v>2886</v>
      </c>
      <c r="C2656" s="8" t="s">
        <v>51</v>
      </c>
      <c r="D2656" s="32" t="n">
        <v>46152</v>
      </c>
      <c r="E2656" s="8" t="n">
        <v>7</v>
      </c>
      <c r="F2656" s="8" t="str">
        <f aca="false">IF(E2656&gt;=9,"Promoter",IF(E2656&gt;=7,"Passive","Detractor"))</f>
        <v>Passive</v>
      </c>
    </row>
    <row r="2657" customFormat="false" ht="15" hidden="false" customHeight="false" outlineLevel="0" collapsed="false">
      <c r="A2657" s="8" t="s">
        <v>7285</v>
      </c>
      <c r="B2657" s="8" t="s">
        <v>2664</v>
      </c>
      <c r="C2657" s="8" t="s">
        <v>51</v>
      </c>
      <c r="D2657" s="32" t="n">
        <v>46153</v>
      </c>
      <c r="E2657" s="8" t="n">
        <v>10</v>
      </c>
      <c r="F2657" s="8" t="str">
        <f aca="false">IF(E2657&gt;=9,"Promoter",IF(E2657&gt;=7,"Passive","Detractor"))</f>
        <v>Promoter</v>
      </c>
    </row>
    <row r="2658" customFormat="false" ht="15" hidden="false" customHeight="false" outlineLevel="0" collapsed="false">
      <c r="A2658" s="8" t="s">
        <v>7286</v>
      </c>
      <c r="B2658" s="8" t="s">
        <v>3546</v>
      </c>
      <c r="C2658" s="8" t="s">
        <v>51</v>
      </c>
      <c r="D2658" s="32" t="n">
        <v>46153</v>
      </c>
      <c r="E2658" s="8" t="n">
        <v>4</v>
      </c>
      <c r="F2658" s="8" t="str">
        <f aca="false">IF(E2658&gt;=9,"Promoter",IF(E2658&gt;=7,"Passive","Detractor"))</f>
        <v>Detractor</v>
      </c>
    </row>
    <row r="2659" customFormat="false" ht="15" hidden="false" customHeight="false" outlineLevel="0" collapsed="false">
      <c r="A2659" s="8" t="s">
        <v>7287</v>
      </c>
      <c r="B2659" s="8" t="s">
        <v>3156</v>
      </c>
      <c r="C2659" s="8" t="s">
        <v>51</v>
      </c>
      <c r="D2659" s="32" t="n">
        <v>46153</v>
      </c>
      <c r="E2659" s="8" t="n">
        <v>6</v>
      </c>
      <c r="F2659" s="8" t="str">
        <f aca="false">IF(E2659&gt;=9,"Promoter",IF(E2659&gt;=7,"Passive","Detractor"))</f>
        <v>Detractor</v>
      </c>
    </row>
    <row r="2660" customFormat="false" ht="15" hidden="false" customHeight="false" outlineLevel="0" collapsed="false">
      <c r="A2660" s="8" t="s">
        <v>7288</v>
      </c>
      <c r="B2660" s="8" t="s">
        <v>4092</v>
      </c>
      <c r="C2660" s="8" t="s">
        <v>51</v>
      </c>
      <c r="D2660" s="32" t="n">
        <v>46153</v>
      </c>
      <c r="E2660" s="8" t="n">
        <v>8</v>
      </c>
      <c r="F2660" s="8" t="str">
        <f aca="false">IF(E2660&gt;=9,"Promoter",IF(E2660&gt;=7,"Passive","Detractor"))</f>
        <v>Passive</v>
      </c>
    </row>
    <row r="2661" customFormat="false" ht="15" hidden="false" customHeight="false" outlineLevel="0" collapsed="false">
      <c r="A2661" s="8" t="s">
        <v>7289</v>
      </c>
      <c r="B2661" s="8" t="s">
        <v>2100</v>
      </c>
      <c r="C2661" s="8" t="s">
        <v>51</v>
      </c>
      <c r="D2661" s="32" t="n">
        <v>46153</v>
      </c>
      <c r="E2661" s="8" t="n">
        <v>10</v>
      </c>
      <c r="F2661" s="8" t="str">
        <f aca="false">IF(E2661&gt;=9,"Promoter",IF(E2661&gt;=7,"Passive","Detractor"))</f>
        <v>Promoter</v>
      </c>
    </row>
    <row r="2662" customFormat="false" ht="15" hidden="false" customHeight="false" outlineLevel="0" collapsed="false">
      <c r="A2662" s="8" t="s">
        <v>7290</v>
      </c>
      <c r="B2662" s="8" t="s">
        <v>645</v>
      </c>
      <c r="C2662" s="8" t="s">
        <v>55</v>
      </c>
      <c r="D2662" s="32" t="n">
        <v>46153</v>
      </c>
      <c r="E2662" s="8" t="n">
        <v>10</v>
      </c>
      <c r="F2662" s="8" t="str">
        <f aca="false">IF(E2662&gt;=9,"Promoter",IF(E2662&gt;=7,"Passive","Detractor"))</f>
        <v>Promoter</v>
      </c>
    </row>
    <row r="2663" customFormat="false" ht="15" hidden="false" customHeight="false" outlineLevel="0" collapsed="false">
      <c r="A2663" s="8" t="s">
        <v>7291</v>
      </c>
      <c r="B2663" s="8" t="s">
        <v>3732</v>
      </c>
      <c r="C2663" s="8" t="s">
        <v>51</v>
      </c>
      <c r="D2663" s="32" t="n">
        <v>46153</v>
      </c>
      <c r="E2663" s="8" t="n">
        <v>10</v>
      </c>
      <c r="F2663" s="8" t="str">
        <f aca="false">IF(E2663&gt;=9,"Promoter",IF(E2663&gt;=7,"Passive","Detractor"))</f>
        <v>Promoter</v>
      </c>
    </row>
    <row r="2664" customFormat="false" ht="15" hidden="false" customHeight="false" outlineLevel="0" collapsed="false">
      <c r="A2664" s="8" t="s">
        <v>7292</v>
      </c>
      <c r="B2664" s="8" t="s">
        <v>4246</v>
      </c>
      <c r="C2664" s="8" t="s">
        <v>51</v>
      </c>
      <c r="D2664" s="32" t="n">
        <v>46153</v>
      </c>
      <c r="E2664" s="8" t="n">
        <v>10</v>
      </c>
      <c r="F2664" s="8" t="str">
        <f aca="false">IF(E2664&gt;=9,"Promoter",IF(E2664&gt;=7,"Passive","Detractor"))</f>
        <v>Promoter</v>
      </c>
    </row>
    <row r="2665" customFormat="false" ht="15" hidden="false" customHeight="false" outlineLevel="0" collapsed="false">
      <c r="A2665" s="8" t="s">
        <v>7293</v>
      </c>
      <c r="B2665" s="8" t="s">
        <v>4286</v>
      </c>
      <c r="C2665" s="8" t="s">
        <v>51</v>
      </c>
      <c r="D2665" s="32" t="n">
        <v>46153</v>
      </c>
      <c r="E2665" s="8" t="n">
        <v>10</v>
      </c>
      <c r="F2665" s="8" t="str">
        <f aca="false">IF(E2665&gt;=9,"Promoter",IF(E2665&gt;=7,"Passive","Detractor"))</f>
        <v>Promoter</v>
      </c>
    </row>
    <row r="2666" customFormat="false" ht="15" hidden="false" customHeight="false" outlineLevel="0" collapsed="false">
      <c r="A2666" s="8" t="s">
        <v>7294</v>
      </c>
      <c r="B2666" s="8" t="s">
        <v>3430</v>
      </c>
      <c r="C2666" s="8" t="s">
        <v>51</v>
      </c>
      <c r="D2666" s="32" t="n">
        <v>46153</v>
      </c>
      <c r="E2666" s="8" t="n">
        <v>9</v>
      </c>
      <c r="F2666" s="8" t="str">
        <f aca="false">IF(E2666&gt;=9,"Promoter",IF(E2666&gt;=7,"Passive","Detractor"))</f>
        <v>Promoter</v>
      </c>
    </row>
    <row r="2667" customFormat="false" ht="15" hidden="false" customHeight="false" outlineLevel="0" collapsed="false">
      <c r="A2667" s="8" t="s">
        <v>7295</v>
      </c>
      <c r="B2667" s="8" t="s">
        <v>3894</v>
      </c>
      <c r="C2667" s="8" t="s">
        <v>51</v>
      </c>
      <c r="D2667" s="32" t="n">
        <v>46153</v>
      </c>
      <c r="E2667" s="8" t="n">
        <v>10</v>
      </c>
      <c r="F2667" s="8" t="str">
        <f aca="false">IF(E2667&gt;=9,"Promoter",IF(E2667&gt;=7,"Passive","Detractor"))</f>
        <v>Promoter</v>
      </c>
    </row>
    <row r="2668" customFormat="false" ht="15" hidden="false" customHeight="false" outlineLevel="0" collapsed="false">
      <c r="A2668" s="8" t="s">
        <v>7296</v>
      </c>
      <c r="B2668" s="8" t="s">
        <v>971</v>
      </c>
      <c r="C2668" s="8" t="s">
        <v>53</v>
      </c>
      <c r="D2668" s="32" t="n">
        <v>46154</v>
      </c>
      <c r="E2668" s="8" t="n">
        <v>10</v>
      </c>
      <c r="F2668" s="8" t="str">
        <f aca="false">IF(E2668&gt;=9,"Promoter",IF(E2668&gt;=7,"Passive","Detractor"))</f>
        <v>Promoter</v>
      </c>
    </row>
    <row r="2669" customFormat="false" ht="15" hidden="false" customHeight="false" outlineLevel="0" collapsed="false">
      <c r="A2669" s="8" t="s">
        <v>7297</v>
      </c>
      <c r="B2669" s="8" t="s">
        <v>3318</v>
      </c>
      <c r="C2669" s="8" t="s">
        <v>51</v>
      </c>
      <c r="D2669" s="32" t="n">
        <v>46154</v>
      </c>
      <c r="E2669" s="8" t="n">
        <v>9</v>
      </c>
      <c r="F2669" s="8" t="str">
        <f aca="false">IF(E2669&gt;=9,"Promoter",IF(E2669&gt;=7,"Passive","Detractor"))</f>
        <v>Promoter</v>
      </c>
    </row>
    <row r="2670" customFormat="false" ht="15" hidden="false" customHeight="false" outlineLevel="0" collapsed="false">
      <c r="A2670" s="8" t="s">
        <v>7298</v>
      </c>
      <c r="B2670" s="8" t="s">
        <v>1517</v>
      </c>
      <c r="C2670" s="8" t="s">
        <v>53</v>
      </c>
      <c r="D2670" s="32" t="n">
        <v>46154</v>
      </c>
      <c r="E2670" s="8" t="n">
        <v>9</v>
      </c>
      <c r="F2670" s="8" t="str">
        <f aca="false">IF(E2670&gt;=9,"Promoter",IF(E2670&gt;=7,"Passive","Detractor"))</f>
        <v>Promoter</v>
      </c>
    </row>
    <row r="2671" customFormat="false" ht="15" hidden="false" customHeight="false" outlineLevel="0" collapsed="false">
      <c r="A2671" s="8" t="s">
        <v>7299</v>
      </c>
      <c r="B2671" s="8" t="s">
        <v>2322</v>
      </c>
      <c r="C2671" s="8" t="s">
        <v>51</v>
      </c>
      <c r="D2671" s="32" t="n">
        <v>46154</v>
      </c>
      <c r="E2671" s="8" t="n">
        <v>8</v>
      </c>
      <c r="F2671" s="8" t="str">
        <f aca="false">IF(E2671&gt;=9,"Promoter",IF(E2671&gt;=7,"Passive","Detractor"))</f>
        <v>Passive</v>
      </c>
    </row>
    <row r="2672" customFormat="false" ht="15" hidden="false" customHeight="false" outlineLevel="0" collapsed="false">
      <c r="A2672" s="8" t="s">
        <v>7300</v>
      </c>
      <c r="B2672" s="8" t="s">
        <v>2116</v>
      </c>
      <c r="C2672" s="8" t="s">
        <v>51</v>
      </c>
      <c r="D2672" s="32" t="n">
        <v>46154</v>
      </c>
      <c r="E2672" s="8" t="n">
        <v>10</v>
      </c>
      <c r="F2672" s="8" t="str">
        <f aca="false">IF(E2672&gt;=9,"Promoter",IF(E2672&gt;=7,"Passive","Detractor"))</f>
        <v>Promoter</v>
      </c>
    </row>
    <row r="2673" customFormat="false" ht="15" hidden="false" customHeight="false" outlineLevel="0" collapsed="false">
      <c r="A2673" s="8" t="s">
        <v>7301</v>
      </c>
      <c r="B2673" s="8" t="s">
        <v>1425</v>
      </c>
      <c r="C2673" s="8" t="s">
        <v>53</v>
      </c>
      <c r="D2673" s="32" t="n">
        <v>46154</v>
      </c>
      <c r="E2673" s="8" t="n">
        <v>8</v>
      </c>
      <c r="F2673" s="8" t="str">
        <f aca="false">IF(E2673&gt;=9,"Promoter",IF(E2673&gt;=7,"Passive","Detractor"))</f>
        <v>Passive</v>
      </c>
    </row>
    <row r="2674" customFormat="false" ht="15" hidden="false" customHeight="false" outlineLevel="0" collapsed="false">
      <c r="A2674" s="8" t="s">
        <v>7302</v>
      </c>
      <c r="B2674" s="8" t="s">
        <v>2324</v>
      </c>
      <c r="C2674" s="8" t="s">
        <v>51</v>
      </c>
      <c r="D2674" s="32" t="n">
        <v>46154</v>
      </c>
      <c r="E2674" s="8" t="n">
        <v>9</v>
      </c>
      <c r="F2674" s="8" t="str">
        <f aca="false">IF(E2674&gt;=9,"Promoter",IF(E2674&gt;=7,"Passive","Detractor"))</f>
        <v>Promoter</v>
      </c>
    </row>
    <row r="2675" customFormat="false" ht="15" hidden="false" customHeight="false" outlineLevel="0" collapsed="false">
      <c r="A2675" s="8" t="s">
        <v>7303</v>
      </c>
      <c r="B2675" s="8" t="s">
        <v>4142</v>
      </c>
      <c r="C2675" s="8" t="s">
        <v>51</v>
      </c>
      <c r="D2675" s="32" t="n">
        <v>46154</v>
      </c>
      <c r="E2675" s="8" t="n">
        <v>10</v>
      </c>
      <c r="F2675" s="8" t="str">
        <f aca="false">IF(E2675&gt;=9,"Promoter",IF(E2675&gt;=7,"Passive","Detractor"))</f>
        <v>Promoter</v>
      </c>
    </row>
    <row r="2676" customFormat="false" ht="15" hidden="false" customHeight="false" outlineLevel="0" collapsed="false">
      <c r="A2676" s="8" t="s">
        <v>7304</v>
      </c>
      <c r="B2676" s="8" t="s">
        <v>7305</v>
      </c>
      <c r="C2676" s="8" t="s">
        <v>51</v>
      </c>
      <c r="D2676" s="32" t="n">
        <v>46155</v>
      </c>
      <c r="E2676" s="8" t="n">
        <v>5</v>
      </c>
      <c r="F2676" s="8" t="str">
        <f aca="false">IF(E2676&gt;=9,"Promoter",IF(E2676&gt;=7,"Passive","Detractor"))</f>
        <v>Detractor</v>
      </c>
    </row>
    <row r="2677" customFormat="false" ht="15" hidden="false" customHeight="false" outlineLevel="0" collapsed="false">
      <c r="A2677" s="8" t="s">
        <v>7306</v>
      </c>
      <c r="B2677" s="8" t="s">
        <v>1899</v>
      </c>
      <c r="C2677" s="8" t="s">
        <v>51</v>
      </c>
      <c r="D2677" s="32" t="n">
        <v>46155</v>
      </c>
      <c r="E2677" s="8" t="n">
        <v>9</v>
      </c>
      <c r="F2677" s="8" t="str">
        <f aca="false">IF(E2677&gt;=9,"Promoter",IF(E2677&gt;=7,"Passive","Detractor"))</f>
        <v>Promoter</v>
      </c>
    </row>
    <row r="2678" customFormat="false" ht="15" hidden="false" customHeight="false" outlineLevel="0" collapsed="false">
      <c r="A2678" s="8" t="s">
        <v>7307</v>
      </c>
      <c r="B2678" s="8" t="s">
        <v>4535</v>
      </c>
      <c r="C2678" s="8" t="s">
        <v>51</v>
      </c>
      <c r="D2678" s="32" t="n">
        <v>46155</v>
      </c>
      <c r="E2678" s="8" t="n">
        <v>5</v>
      </c>
      <c r="F2678" s="8" t="str">
        <f aca="false">IF(E2678&gt;=9,"Promoter",IF(E2678&gt;=7,"Passive","Detractor"))</f>
        <v>Detractor</v>
      </c>
    </row>
    <row r="2679" customFormat="false" ht="15" hidden="false" customHeight="false" outlineLevel="0" collapsed="false">
      <c r="A2679" s="8" t="s">
        <v>7308</v>
      </c>
      <c r="B2679" s="8" t="s">
        <v>403</v>
      </c>
      <c r="C2679" s="8" t="s">
        <v>55</v>
      </c>
      <c r="D2679" s="32" t="n">
        <v>46155</v>
      </c>
      <c r="E2679" s="8" t="n">
        <v>10</v>
      </c>
      <c r="F2679" s="8" t="str">
        <f aca="false">IF(E2679&gt;=9,"Promoter",IF(E2679&gt;=7,"Passive","Detractor"))</f>
        <v>Promoter</v>
      </c>
    </row>
    <row r="2680" customFormat="false" ht="15" hidden="false" customHeight="false" outlineLevel="0" collapsed="false">
      <c r="A2680" s="8" t="s">
        <v>7309</v>
      </c>
      <c r="B2680" s="8" t="s">
        <v>1857</v>
      </c>
      <c r="C2680" s="8" t="s">
        <v>53</v>
      </c>
      <c r="D2680" s="32" t="n">
        <v>46155</v>
      </c>
      <c r="E2680" s="8" t="n">
        <v>7</v>
      </c>
      <c r="F2680" s="8" t="str">
        <f aca="false">IF(E2680&gt;=9,"Promoter",IF(E2680&gt;=7,"Passive","Detractor"))</f>
        <v>Passive</v>
      </c>
    </row>
    <row r="2681" customFormat="false" ht="15" hidden="false" customHeight="false" outlineLevel="0" collapsed="false">
      <c r="A2681" s="8" t="s">
        <v>7310</v>
      </c>
      <c r="B2681" s="8" t="s">
        <v>2454</v>
      </c>
      <c r="C2681" s="8" t="s">
        <v>51</v>
      </c>
      <c r="D2681" s="32" t="n">
        <v>46155</v>
      </c>
      <c r="E2681" s="8" t="n">
        <v>7</v>
      </c>
      <c r="F2681" s="8" t="str">
        <f aca="false">IF(E2681&gt;=9,"Promoter",IF(E2681&gt;=7,"Passive","Detractor"))</f>
        <v>Passive</v>
      </c>
    </row>
    <row r="2682" customFormat="false" ht="15" hidden="false" customHeight="false" outlineLevel="0" collapsed="false">
      <c r="A2682" s="8" t="s">
        <v>7311</v>
      </c>
      <c r="B2682" s="8" t="s">
        <v>2604</v>
      </c>
      <c r="C2682" s="8" t="s">
        <v>51</v>
      </c>
      <c r="D2682" s="32" t="n">
        <v>46155</v>
      </c>
      <c r="E2682" s="8" t="n">
        <v>10</v>
      </c>
      <c r="F2682" s="8" t="str">
        <f aca="false">IF(E2682&gt;=9,"Promoter",IF(E2682&gt;=7,"Passive","Detractor"))</f>
        <v>Promoter</v>
      </c>
    </row>
    <row r="2683" customFormat="false" ht="15" hidden="false" customHeight="false" outlineLevel="0" collapsed="false">
      <c r="A2683" s="8" t="s">
        <v>7312</v>
      </c>
      <c r="B2683" s="8" t="s">
        <v>4362</v>
      </c>
      <c r="C2683" s="8" t="s">
        <v>51</v>
      </c>
      <c r="D2683" s="32" t="n">
        <v>46155</v>
      </c>
      <c r="E2683" s="8" t="n">
        <v>8</v>
      </c>
      <c r="F2683" s="8" t="str">
        <f aca="false">IF(E2683&gt;=9,"Promoter",IF(E2683&gt;=7,"Passive","Detractor"))</f>
        <v>Passive</v>
      </c>
    </row>
    <row r="2684" customFormat="false" ht="15" hidden="false" customHeight="false" outlineLevel="0" collapsed="false">
      <c r="A2684" s="8" t="s">
        <v>7313</v>
      </c>
      <c r="B2684" s="8" t="s">
        <v>667</v>
      </c>
      <c r="C2684" s="8" t="s">
        <v>55</v>
      </c>
      <c r="D2684" s="32" t="n">
        <v>46155</v>
      </c>
      <c r="E2684" s="8" t="n">
        <v>7</v>
      </c>
      <c r="F2684" s="8" t="str">
        <f aca="false">IF(E2684&gt;=9,"Promoter",IF(E2684&gt;=7,"Passive","Detractor"))</f>
        <v>Passive</v>
      </c>
    </row>
    <row r="2685" customFormat="false" ht="15" hidden="false" customHeight="false" outlineLevel="0" collapsed="false">
      <c r="A2685" s="8" t="s">
        <v>7314</v>
      </c>
      <c r="B2685" s="8" t="s">
        <v>411</v>
      </c>
      <c r="C2685" s="8" t="s">
        <v>55</v>
      </c>
      <c r="D2685" s="32" t="n">
        <v>46155</v>
      </c>
      <c r="E2685" s="8" t="n">
        <v>5</v>
      </c>
      <c r="F2685" s="8" t="str">
        <f aca="false">IF(E2685&gt;=9,"Promoter",IF(E2685&gt;=7,"Passive","Detractor"))</f>
        <v>Detractor</v>
      </c>
    </row>
    <row r="2686" customFormat="false" ht="15" hidden="false" customHeight="false" outlineLevel="0" collapsed="false">
      <c r="A2686" s="8" t="s">
        <v>7315</v>
      </c>
      <c r="B2686" s="8" t="s">
        <v>4146</v>
      </c>
      <c r="C2686" s="8" t="s">
        <v>51</v>
      </c>
      <c r="D2686" s="32" t="n">
        <v>46155</v>
      </c>
      <c r="E2686" s="8" t="n">
        <v>8</v>
      </c>
      <c r="F2686" s="8" t="str">
        <f aca="false">IF(E2686&gt;=9,"Promoter",IF(E2686&gt;=7,"Passive","Detractor"))</f>
        <v>Passive</v>
      </c>
    </row>
    <row r="2687" customFormat="false" ht="15" hidden="false" customHeight="false" outlineLevel="0" collapsed="false">
      <c r="A2687" s="8" t="s">
        <v>7316</v>
      </c>
      <c r="B2687" s="8" t="s">
        <v>441</v>
      </c>
      <c r="C2687" s="8" t="s">
        <v>55</v>
      </c>
      <c r="D2687" s="32" t="n">
        <v>46155</v>
      </c>
      <c r="E2687" s="8" t="n">
        <v>9</v>
      </c>
      <c r="F2687" s="8" t="str">
        <f aca="false">IF(E2687&gt;=9,"Promoter",IF(E2687&gt;=7,"Passive","Detractor"))</f>
        <v>Promoter</v>
      </c>
    </row>
    <row r="2688" customFormat="false" ht="15" hidden="false" customHeight="false" outlineLevel="0" collapsed="false">
      <c r="A2688" s="8" t="s">
        <v>7317</v>
      </c>
      <c r="B2688" s="8" t="s">
        <v>1051</v>
      </c>
      <c r="C2688" s="8" t="s">
        <v>53</v>
      </c>
      <c r="D2688" s="32" t="n">
        <v>46155</v>
      </c>
      <c r="E2688" s="8" t="n">
        <v>5</v>
      </c>
      <c r="F2688" s="8" t="str">
        <f aca="false">IF(E2688&gt;=9,"Promoter",IF(E2688&gt;=7,"Passive","Detractor"))</f>
        <v>Detractor</v>
      </c>
    </row>
    <row r="2689" customFormat="false" ht="15" hidden="false" customHeight="false" outlineLevel="0" collapsed="false">
      <c r="A2689" s="8" t="s">
        <v>7318</v>
      </c>
      <c r="B2689" s="8" t="s">
        <v>4413</v>
      </c>
      <c r="C2689" s="8" t="s">
        <v>55</v>
      </c>
      <c r="D2689" s="32" t="n">
        <v>46156</v>
      </c>
      <c r="E2689" s="8" t="n">
        <v>5</v>
      </c>
      <c r="F2689" s="8" t="str">
        <f aca="false">IF(E2689&gt;=9,"Promoter",IF(E2689&gt;=7,"Passive","Detractor"))</f>
        <v>Detractor</v>
      </c>
    </row>
    <row r="2690" customFormat="false" ht="15" hidden="false" customHeight="false" outlineLevel="0" collapsed="false">
      <c r="A2690" s="8" t="s">
        <v>7319</v>
      </c>
      <c r="B2690" s="8" t="s">
        <v>3600</v>
      </c>
      <c r="C2690" s="8" t="s">
        <v>51</v>
      </c>
      <c r="D2690" s="32" t="n">
        <v>46156</v>
      </c>
      <c r="E2690" s="8" t="n">
        <v>8</v>
      </c>
      <c r="F2690" s="8" t="str">
        <f aca="false">IF(E2690&gt;=9,"Promoter",IF(E2690&gt;=7,"Passive","Detractor"))</f>
        <v>Passive</v>
      </c>
    </row>
    <row r="2691" customFormat="false" ht="15" hidden="false" customHeight="false" outlineLevel="0" collapsed="false">
      <c r="A2691" s="8" t="s">
        <v>7320</v>
      </c>
      <c r="B2691" s="8" t="s">
        <v>3958</v>
      </c>
      <c r="C2691" s="8" t="s">
        <v>51</v>
      </c>
      <c r="D2691" s="32" t="n">
        <v>46156</v>
      </c>
      <c r="E2691" s="8" t="n">
        <v>8</v>
      </c>
      <c r="F2691" s="8" t="str">
        <f aca="false">IF(E2691&gt;=9,"Promoter",IF(E2691&gt;=7,"Passive","Detractor"))</f>
        <v>Passive</v>
      </c>
    </row>
    <row r="2692" customFormat="false" ht="15" hidden="false" customHeight="false" outlineLevel="0" collapsed="false">
      <c r="A2692" s="8" t="s">
        <v>7321</v>
      </c>
      <c r="B2692" s="8" t="s">
        <v>4266</v>
      </c>
      <c r="C2692" s="8" t="s">
        <v>51</v>
      </c>
      <c r="D2692" s="32" t="n">
        <v>46156</v>
      </c>
      <c r="E2692" s="8" t="n">
        <v>10</v>
      </c>
      <c r="F2692" s="8" t="str">
        <f aca="false">IF(E2692&gt;=9,"Promoter",IF(E2692&gt;=7,"Passive","Detractor"))</f>
        <v>Promoter</v>
      </c>
    </row>
    <row r="2693" customFormat="false" ht="15" hidden="false" customHeight="false" outlineLevel="0" collapsed="false">
      <c r="A2693" s="8" t="s">
        <v>7322</v>
      </c>
      <c r="B2693" s="8" t="s">
        <v>4272</v>
      </c>
      <c r="C2693" s="8" t="s">
        <v>51</v>
      </c>
      <c r="D2693" s="32" t="n">
        <v>46156</v>
      </c>
      <c r="E2693" s="8" t="n">
        <v>6</v>
      </c>
      <c r="F2693" s="8" t="str">
        <f aca="false">IF(E2693&gt;=9,"Promoter",IF(E2693&gt;=7,"Passive","Detractor"))</f>
        <v>Detractor</v>
      </c>
    </row>
    <row r="2694" customFormat="false" ht="15" hidden="false" customHeight="false" outlineLevel="0" collapsed="false">
      <c r="A2694" s="8" t="s">
        <v>7323</v>
      </c>
      <c r="B2694" s="8" t="s">
        <v>1443</v>
      </c>
      <c r="C2694" s="8" t="s">
        <v>53</v>
      </c>
      <c r="D2694" s="32" t="n">
        <v>46156</v>
      </c>
      <c r="E2694" s="8" t="n">
        <v>7</v>
      </c>
      <c r="F2694" s="8" t="str">
        <f aca="false">IF(E2694&gt;=9,"Promoter",IF(E2694&gt;=7,"Passive","Detractor"))</f>
        <v>Passive</v>
      </c>
    </row>
    <row r="2695" customFormat="false" ht="15" hidden="false" customHeight="false" outlineLevel="0" collapsed="false">
      <c r="A2695" s="8" t="s">
        <v>7324</v>
      </c>
      <c r="B2695" s="8" t="s">
        <v>178</v>
      </c>
      <c r="C2695" s="8" t="s">
        <v>55</v>
      </c>
      <c r="D2695" s="32" t="n">
        <v>46156</v>
      </c>
      <c r="E2695" s="8" t="n">
        <v>9</v>
      </c>
      <c r="F2695" s="8" t="str">
        <f aca="false">IF(E2695&gt;=9,"Promoter",IF(E2695&gt;=7,"Passive","Detractor"))</f>
        <v>Promoter</v>
      </c>
    </row>
    <row r="2696" customFormat="false" ht="15" hidden="false" customHeight="false" outlineLevel="0" collapsed="false">
      <c r="A2696" s="8" t="s">
        <v>7325</v>
      </c>
      <c r="B2696" s="8" t="s">
        <v>238</v>
      </c>
      <c r="C2696" s="8" t="s">
        <v>55</v>
      </c>
      <c r="D2696" s="32" t="n">
        <v>46156</v>
      </c>
      <c r="E2696" s="8" t="n">
        <v>9</v>
      </c>
      <c r="F2696" s="8" t="str">
        <f aca="false">IF(E2696&gt;=9,"Promoter",IF(E2696&gt;=7,"Passive","Detractor"))</f>
        <v>Promoter</v>
      </c>
    </row>
    <row r="2697" customFormat="false" ht="15" hidden="false" customHeight="false" outlineLevel="0" collapsed="false">
      <c r="A2697" s="8" t="s">
        <v>7326</v>
      </c>
      <c r="B2697" s="8" t="s">
        <v>4254</v>
      </c>
      <c r="C2697" s="8" t="s">
        <v>51</v>
      </c>
      <c r="D2697" s="32" t="n">
        <v>46156</v>
      </c>
      <c r="E2697" s="8" t="n">
        <v>10</v>
      </c>
      <c r="F2697" s="8" t="str">
        <f aca="false">IF(E2697&gt;=9,"Promoter",IF(E2697&gt;=7,"Passive","Detractor"))</f>
        <v>Promoter</v>
      </c>
    </row>
    <row r="2698" customFormat="false" ht="15" hidden="false" customHeight="false" outlineLevel="0" collapsed="false">
      <c r="A2698" s="8" t="s">
        <v>7327</v>
      </c>
      <c r="B2698" s="8" t="s">
        <v>351</v>
      </c>
      <c r="C2698" s="8" t="s">
        <v>55</v>
      </c>
      <c r="D2698" s="32" t="n">
        <v>46156</v>
      </c>
      <c r="E2698" s="8" t="n">
        <v>9</v>
      </c>
      <c r="F2698" s="8" t="str">
        <f aca="false">IF(E2698&gt;=9,"Promoter",IF(E2698&gt;=7,"Passive","Detractor"))</f>
        <v>Promoter</v>
      </c>
    </row>
    <row r="2699" customFormat="false" ht="15" hidden="false" customHeight="false" outlineLevel="0" collapsed="false">
      <c r="A2699" s="8" t="s">
        <v>7328</v>
      </c>
      <c r="B2699" s="8" t="s">
        <v>379</v>
      </c>
      <c r="C2699" s="8" t="s">
        <v>55</v>
      </c>
      <c r="D2699" s="32" t="n">
        <v>46156</v>
      </c>
      <c r="E2699" s="8" t="n">
        <v>10</v>
      </c>
      <c r="F2699" s="8" t="str">
        <f aca="false">IF(E2699&gt;=9,"Promoter",IF(E2699&gt;=7,"Passive","Detractor"))</f>
        <v>Promoter</v>
      </c>
    </row>
    <row r="2700" customFormat="false" ht="15" hidden="false" customHeight="false" outlineLevel="0" collapsed="false">
      <c r="A2700" s="8" t="s">
        <v>7329</v>
      </c>
      <c r="B2700" s="8" t="s">
        <v>1377</v>
      </c>
      <c r="C2700" s="8" t="s">
        <v>53</v>
      </c>
      <c r="D2700" s="32" t="n">
        <v>46157</v>
      </c>
      <c r="E2700" s="8" t="n">
        <v>6</v>
      </c>
      <c r="F2700" s="8" t="str">
        <f aca="false">IF(E2700&gt;=9,"Promoter",IF(E2700&gt;=7,"Passive","Detractor"))</f>
        <v>Detractor</v>
      </c>
    </row>
    <row r="2701" customFormat="false" ht="15" hidden="false" customHeight="false" outlineLevel="0" collapsed="false">
      <c r="A2701" s="8" t="s">
        <v>7330</v>
      </c>
      <c r="B2701" s="8" t="s">
        <v>2918</v>
      </c>
      <c r="C2701" s="8" t="s">
        <v>51</v>
      </c>
      <c r="D2701" s="32" t="n">
        <v>46157</v>
      </c>
      <c r="E2701" s="8" t="n">
        <v>10</v>
      </c>
      <c r="F2701" s="8" t="str">
        <f aca="false">IF(E2701&gt;=9,"Promoter",IF(E2701&gt;=7,"Passive","Detractor"))</f>
        <v>Promoter</v>
      </c>
    </row>
    <row r="2702" customFormat="false" ht="15" hidden="false" customHeight="false" outlineLevel="0" collapsed="false">
      <c r="A2702" s="8" t="s">
        <v>7331</v>
      </c>
      <c r="B2702" s="8" t="s">
        <v>1779</v>
      </c>
      <c r="C2702" s="8" t="s">
        <v>53</v>
      </c>
      <c r="D2702" s="32" t="n">
        <v>46157</v>
      </c>
      <c r="E2702" s="8" t="n">
        <v>8</v>
      </c>
      <c r="F2702" s="8" t="str">
        <f aca="false">IF(E2702&gt;=9,"Promoter",IF(E2702&gt;=7,"Passive","Detractor"))</f>
        <v>Passive</v>
      </c>
    </row>
    <row r="2703" customFormat="false" ht="15" hidden="false" customHeight="false" outlineLevel="0" collapsed="false">
      <c r="A2703" s="8" t="s">
        <v>7332</v>
      </c>
      <c r="B2703" s="8" t="s">
        <v>181</v>
      </c>
      <c r="C2703" s="8" t="s">
        <v>55</v>
      </c>
      <c r="D2703" s="32" t="n">
        <v>46157</v>
      </c>
      <c r="E2703" s="8" t="n">
        <v>7</v>
      </c>
      <c r="F2703" s="8" t="str">
        <f aca="false">IF(E2703&gt;=9,"Promoter",IF(E2703&gt;=7,"Passive","Detractor"))</f>
        <v>Passive</v>
      </c>
    </row>
    <row r="2704" customFormat="false" ht="15" hidden="false" customHeight="false" outlineLevel="0" collapsed="false">
      <c r="A2704" s="8" t="s">
        <v>7333</v>
      </c>
      <c r="B2704" s="8" t="s">
        <v>631</v>
      </c>
      <c r="C2704" s="8" t="s">
        <v>53</v>
      </c>
      <c r="D2704" s="32" t="n">
        <v>46157</v>
      </c>
      <c r="E2704" s="8" t="n">
        <v>10</v>
      </c>
      <c r="F2704" s="8" t="str">
        <f aca="false">IF(E2704&gt;=9,"Promoter",IF(E2704&gt;=7,"Passive","Detractor"))</f>
        <v>Promoter</v>
      </c>
    </row>
    <row r="2705" customFormat="false" ht="15" hidden="false" customHeight="false" outlineLevel="0" collapsed="false">
      <c r="A2705" s="8" t="s">
        <v>7334</v>
      </c>
      <c r="B2705" s="8" t="s">
        <v>2212</v>
      </c>
      <c r="C2705" s="8" t="s">
        <v>51</v>
      </c>
      <c r="D2705" s="32" t="n">
        <v>46157</v>
      </c>
      <c r="E2705" s="8" t="n">
        <v>6</v>
      </c>
      <c r="F2705" s="8" t="str">
        <f aca="false">IF(E2705&gt;=9,"Promoter",IF(E2705&gt;=7,"Passive","Detractor"))</f>
        <v>Detractor</v>
      </c>
    </row>
    <row r="2706" customFormat="false" ht="15" hidden="false" customHeight="false" outlineLevel="0" collapsed="false">
      <c r="A2706" s="8" t="s">
        <v>7335</v>
      </c>
      <c r="B2706" s="8" t="s">
        <v>413</v>
      </c>
      <c r="C2706" s="8" t="s">
        <v>55</v>
      </c>
      <c r="D2706" s="32" t="n">
        <v>46157</v>
      </c>
      <c r="E2706" s="8" t="n">
        <v>9</v>
      </c>
      <c r="F2706" s="8" t="str">
        <f aca="false">IF(E2706&gt;=9,"Promoter",IF(E2706&gt;=7,"Passive","Detractor"))</f>
        <v>Promoter</v>
      </c>
    </row>
    <row r="2707" customFormat="false" ht="15" hidden="false" customHeight="false" outlineLevel="0" collapsed="false">
      <c r="A2707" s="8" t="s">
        <v>7336</v>
      </c>
      <c r="B2707" s="8" t="s">
        <v>3962</v>
      </c>
      <c r="C2707" s="8" t="s">
        <v>51</v>
      </c>
      <c r="D2707" s="32" t="n">
        <v>46157</v>
      </c>
      <c r="E2707" s="8" t="n">
        <v>8</v>
      </c>
      <c r="F2707" s="8" t="str">
        <f aca="false">IF(E2707&gt;=9,"Promoter",IF(E2707&gt;=7,"Passive","Detractor"))</f>
        <v>Passive</v>
      </c>
    </row>
    <row r="2708" customFormat="false" ht="15" hidden="false" customHeight="false" outlineLevel="0" collapsed="false">
      <c r="A2708" s="8" t="s">
        <v>7337</v>
      </c>
      <c r="B2708" s="8" t="s">
        <v>503</v>
      </c>
      <c r="C2708" s="8" t="s">
        <v>53</v>
      </c>
      <c r="D2708" s="32" t="n">
        <v>46157</v>
      </c>
      <c r="E2708" s="8" t="n">
        <v>10</v>
      </c>
      <c r="F2708" s="8" t="str">
        <f aca="false">IF(E2708&gt;=9,"Promoter",IF(E2708&gt;=7,"Passive","Detractor"))</f>
        <v>Promoter</v>
      </c>
    </row>
    <row r="2709" customFormat="false" ht="15" hidden="false" customHeight="false" outlineLevel="0" collapsed="false">
      <c r="A2709" s="8" t="s">
        <v>7338</v>
      </c>
      <c r="B2709" s="8" t="s">
        <v>3634</v>
      </c>
      <c r="C2709" s="8" t="s">
        <v>51</v>
      </c>
      <c r="D2709" s="32" t="n">
        <v>46157</v>
      </c>
      <c r="E2709" s="8" t="n">
        <v>10</v>
      </c>
      <c r="F2709" s="8" t="str">
        <f aca="false">IF(E2709&gt;=9,"Promoter",IF(E2709&gt;=7,"Passive","Detractor"))</f>
        <v>Promoter</v>
      </c>
    </row>
    <row r="2710" customFormat="false" ht="15" hidden="false" customHeight="false" outlineLevel="0" collapsed="false">
      <c r="A2710" s="8" t="s">
        <v>7339</v>
      </c>
      <c r="B2710" s="8" t="s">
        <v>613</v>
      </c>
      <c r="C2710" s="8" t="s">
        <v>55</v>
      </c>
      <c r="D2710" s="32" t="n">
        <v>46157</v>
      </c>
      <c r="E2710" s="8" t="n">
        <v>6</v>
      </c>
      <c r="F2710" s="8" t="str">
        <f aca="false">IF(E2710&gt;=9,"Promoter",IF(E2710&gt;=7,"Passive","Detractor"))</f>
        <v>Detractor</v>
      </c>
    </row>
    <row r="2711" customFormat="false" ht="15" hidden="false" customHeight="false" outlineLevel="0" collapsed="false">
      <c r="A2711" s="8" t="s">
        <v>7340</v>
      </c>
      <c r="B2711" s="8" t="s">
        <v>3642</v>
      </c>
      <c r="C2711" s="8" t="s">
        <v>51</v>
      </c>
      <c r="D2711" s="32" t="n">
        <v>46157</v>
      </c>
      <c r="E2711" s="8" t="n">
        <v>9</v>
      </c>
      <c r="F2711" s="8" t="str">
        <f aca="false">IF(E2711&gt;=9,"Promoter",IF(E2711&gt;=7,"Passive","Detractor"))</f>
        <v>Promoter</v>
      </c>
    </row>
    <row r="2712" customFormat="false" ht="15" hidden="false" customHeight="false" outlineLevel="0" collapsed="false">
      <c r="A2712" s="8" t="s">
        <v>7341</v>
      </c>
      <c r="B2712" s="8" t="s">
        <v>2958</v>
      </c>
      <c r="C2712" s="8" t="s">
        <v>51</v>
      </c>
      <c r="D2712" s="32" t="n">
        <v>46157</v>
      </c>
      <c r="E2712" s="8" t="n">
        <v>10</v>
      </c>
      <c r="F2712" s="8" t="str">
        <f aca="false">IF(E2712&gt;=9,"Promoter",IF(E2712&gt;=7,"Passive","Detractor"))</f>
        <v>Promoter</v>
      </c>
    </row>
    <row r="2713" customFormat="false" ht="15" hidden="false" customHeight="false" outlineLevel="0" collapsed="false">
      <c r="A2713" s="8" t="s">
        <v>7342</v>
      </c>
      <c r="B2713" s="8" t="s">
        <v>3250</v>
      </c>
      <c r="C2713" s="8" t="s">
        <v>51</v>
      </c>
      <c r="D2713" s="32" t="n">
        <v>46158</v>
      </c>
      <c r="E2713" s="8" t="n">
        <v>5</v>
      </c>
      <c r="F2713" s="8" t="str">
        <f aca="false">IF(E2713&gt;=9,"Promoter",IF(E2713&gt;=7,"Passive","Detractor"))</f>
        <v>Detractor</v>
      </c>
    </row>
    <row r="2714" customFormat="false" ht="15" hidden="false" customHeight="false" outlineLevel="0" collapsed="false">
      <c r="A2714" s="8" t="s">
        <v>7343</v>
      </c>
      <c r="B2714" s="8" t="s">
        <v>2538</v>
      </c>
      <c r="C2714" s="8" t="s">
        <v>51</v>
      </c>
      <c r="D2714" s="32" t="n">
        <v>46158</v>
      </c>
      <c r="E2714" s="8" t="n">
        <v>9</v>
      </c>
      <c r="F2714" s="8" t="str">
        <f aca="false">IF(E2714&gt;=9,"Promoter",IF(E2714&gt;=7,"Passive","Detractor"))</f>
        <v>Promoter</v>
      </c>
    </row>
    <row r="2715" customFormat="false" ht="15" hidden="false" customHeight="false" outlineLevel="0" collapsed="false">
      <c r="A2715" s="8" t="s">
        <v>7344</v>
      </c>
      <c r="B2715" s="8" t="s">
        <v>1095</v>
      </c>
      <c r="C2715" s="8" t="s">
        <v>53</v>
      </c>
      <c r="D2715" s="32" t="n">
        <v>46158</v>
      </c>
      <c r="E2715" s="8" t="n">
        <v>7</v>
      </c>
      <c r="F2715" s="8" t="str">
        <f aca="false">IF(E2715&gt;=9,"Promoter",IF(E2715&gt;=7,"Passive","Detractor"))</f>
        <v>Passive</v>
      </c>
    </row>
    <row r="2716" customFormat="false" ht="15" hidden="false" customHeight="false" outlineLevel="0" collapsed="false">
      <c r="A2716" s="8" t="s">
        <v>7345</v>
      </c>
      <c r="B2716" s="8" t="s">
        <v>3956</v>
      </c>
      <c r="C2716" s="8" t="s">
        <v>51</v>
      </c>
      <c r="D2716" s="32" t="n">
        <v>46158</v>
      </c>
      <c r="E2716" s="8" t="n">
        <v>8</v>
      </c>
      <c r="F2716" s="8" t="str">
        <f aca="false">IF(E2716&gt;=9,"Promoter",IF(E2716&gt;=7,"Passive","Detractor"))</f>
        <v>Passive</v>
      </c>
    </row>
    <row r="2717" customFormat="false" ht="15" hidden="false" customHeight="false" outlineLevel="0" collapsed="false">
      <c r="A2717" s="8" t="s">
        <v>7346</v>
      </c>
      <c r="B2717" s="8" t="s">
        <v>3494</v>
      </c>
      <c r="C2717" s="8" t="s">
        <v>51</v>
      </c>
      <c r="D2717" s="32" t="n">
        <v>46158</v>
      </c>
      <c r="E2717" s="8" t="n">
        <v>8</v>
      </c>
      <c r="F2717" s="8" t="str">
        <f aca="false">IF(E2717&gt;=9,"Promoter",IF(E2717&gt;=7,"Passive","Detractor"))</f>
        <v>Passive</v>
      </c>
    </row>
    <row r="2718" customFormat="false" ht="15" hidden="false" customHeight="false" outlineLevel="0" collapsed="false">
      <c r="A2718" s="8" t="s">
        <v>7347</v>
      </c>
      <c r="B2718" s="8" t="s">
        <v>3662</v>
      </c>
      <c r="C2718" s="8" t="s">
        <v>51</v>
      </c>
      <c r="D2718" s="32" t="n">
        <v>46158</v>
      </c>
      <c r="E2718" s="8" t="n">
        <v>10</v>
      </c>
      <c r="F2718" s="8" t="str">
        <f aca="false">IF(E2718&gt;=9,"Promoter",IF(E2718&gt;=7,"Passive","Detractor"))</f>
        <v>Promoter</v>
      </c>
    </row>
    <row r="2719" customFormat="false" ht="15" hidden="false" customHeight="false" outlineLevel="0" collapsed="false">
      <c r="A2719" s="8" t="s">
        <v>7348</v>
      </c>
      <c r="B2719" s="8" t="s">
        <v>701</v>
      </c>
      <c r="C2719" s="8" t="s">
        <v>53</v>
      </c>
      <c r="D2719" s="32" t="n">
        <v>46158</v>
      </c>
      <c r="E2719" s="8" t="n">
        <v>7</v>
      </c>
      <c r="F2719" s="8" t="str">
        <f aca="false">IF(E2719&gt;=9,"Promoter",IF(E2719&gt;=7,"Passive","Detractor"))</f>
        <v>Passive</v>
      </c>
    </row>
    <row r="2720" customFormat="false" ht="15" hidden="false" customHeight="false" outlineLevel="0" collapsed="false">
      <c r="A2720" s="8" t="s">
        <v>7349</v>
      </c>
      <c r="B2720" s="8" t="s">
        <v>1367</v>
      </c>
      <c r="C2720" s="8" t="s">
        <v>53</v>
      </c>
      <c r="D2720" s="32" t="n">
        <v>46158</v>
      </c>
      <c r="E2720" s="8" t="n">
        <v>7</v>
      </c>
      <c r="F2720" s="8" t="str">
        <f aca="false">IF(E2720&gt;=9,"Promoter",IF(E2720&gt;=7,"Passive","Detractor"))</f>
        <v>Passive</v>
      </c>
    </row>
    <row r="2721" customFormat="false" ht="15" hidden="false" customHeight="false" outlineLevel="0" collapsed="false">
      <c r="A2721" s="8" t="s">
        <v>7350</v>
      </c>
      <c r="B2721" s="8" t="s">
        <v>4547</v>
      </c>
      <c r="C2721" s="8" t="s">
        <v>51</v>
      </c>
      <c r="D2721" s="32" t="n">
        <v>46158</v>
      </c>
      <c r="E2721" s="8" t="n">
        <v>3</v>
      </c>
      <c r="F2721" s="8" t="str">
        <f aca="false">IF(E2721&gt;=9,"Promoter",IF(E2721&gt;=7,"Passive","Detractor"))</f>
        <v>Detractor</v>
      </c>
    </row>
    <row r="2722" customFormat="false" ht="15" hidden="false" customHeight="false" outlineLevel="0" collapsed="false">
      <c r="A2722" s="8" t="s">
        <v>7351</v>
      </c>
      <c r="B2722" s="8" t="s">
        <v>2298</v>
      </c>
      <c r="C2722" s="8" t="s">
        <v>51</v>
      </c>
      <c r="D2722" s="32" t="n">
        <v>46158</v>
      </c>
      <c r="E2722" s="8" t="n">
        <v>8</v>
      </c>
      <c r="F2722" s="8" t="str">
        <f aca="false">IF(E2722&gt;=9,"Promoter",IF(E2722&gt;=7,"Passive","Detractor"))</f>
        <v>Passive</v>
      </c>
    </row>
    <row r="2723" customFormat="false" ht="15" hidden="false" customHeight="false" outlineLevel="0" collapsed="false">
      <c r="A2723" s="8" t="s">
        <v>7352</v>
      </c>
      <c r="B2723" s="8" t="s">
        <v>1325</v>
      </c>
      <c r="C2723" s="8" t="s">
        <v>53</v>
      </c>
      <c r="D2723" s="32" t="n">
        <v>46158</v>
      </c>
      <c r="E2723" s="8" t="n">
        <v>7</v>
      </c>
      <c r="F2723" s="8" t="str">
        <f aca="false">IF(E2723&gt;=9,"Promoter",IF(E2723&gt;=7,"Passive","Detractor"))</f>
        <v>Passive</v>
      </c>
    </row>
    <row r="2724" customFormat="false" ht="15" hidden="false" customHeight="false" outlineLevel="0" collapsed="false">
      <c r="A2724" s="8" t="s">
        <v>7353</v>
      </c>
      <c r="B2724" s="8" t="s">
        <v>4336</v>
      </c>
      <c r="C2724" s="8" t="s">
        <v>51</v>
      </c>
      <c r="D2724" s="32" t="n">
        <v>46158</v>
      </c>
      <c r="E2724" s="8" t="n">
        <v>9</v>
      </c>
      <c r="F2724" s="8" t="str">
        <f aca="false">IF(E2724&gt;=9,"Promoter",IF(E2724&gt;=7,"Passive","Detractor"))</f>
        <v>Promoter</v>
      </c>
    </row>
    <row r="2725" customFormat="false" ht="15" hidden="false" customHeight="false" outlineLevel="0" collapsed="false">
      <c r="A2725" s="8" t="s">
        <v>7354</v>
      </c>
      <c r="B2725" s="8" t="s">
        <v>2348</v>
      </c>
      <c r="C2725" s="8" t="s">
        <v>51</v>
      </c>
      <c r="D2725" s="32" t="n">
        <v>46158</v>
      </c>
      <c r="E2725" s="8" t="n">
        <v>10</v>
      </c>
      <c r="F2725" s="8" t="str">
        <f aca="false">IF(E2725&gt;=9,"Promoter",IF(E2725&gt;=7,"Passive","Detractor"))</f>
        <v>Promoter</v>
      </c>
    </row>
    <row r="2726" customFormat="false" ht="15" hidden="false" customHeight="false" outlineLevel="0" collapsed="false">
      <c r="A2726" s="8" t="s">
        <v>7355</v>
      </c>
      <c r="B2726" s="8" t="s">
        <v>3834</v>
      </c>
      <c r="C2726" s="8" t="s">
        <v>51</v>
      </c>
      <c r="D2726" s="32" t="n">
        <v>46158</v>
      </c>
      <c r="E2726" s="8" t="n">
        <v>10</v>
      </c>
      <c r="F2726" s="8" t="str">
        <f aca="false">IF(E2726&gt;=9,"Promoter",IF(E2726&gt;=7,"Passive","Detractor"))</f>
        <v>Promoter</v>
      </c>
    </row>
    <row r="2727" customFormat="false" ht="15" hidden="false" customHeight="false" outlineLevel="0" collapsed="false">
      <c r="A2727" s="8" t="s">
        <v>7356</v>
      </c>
      <c r="B2727" s="8" t="s">
        <v>4467</v>
      </c>
      <c r="C2727" s="8" t="s">
        <v>53</v>
      </c>
      <c r="D2727" s="32" t="n">
        <v>46159</v>
      </c>
      <c r="E2727" s="8" t="n">
        <v>7</v>
      </c>
      <c r="F2727" s="8" t="str">
        <f aca="false">IF(E2727&gt;=9,"Promoter",IF(E2727&gt;=7,"Passive","Detractor"))</f>
        <v>Passive</v>
      </c>
    </row>
    <row r="2728" customFormat="false" ht="15" hidden="false" customHeight="false" outlineLevel="0" collapsed="false">
      <c r="A2728" s="8" t="s">
        <v>7357</v>
      </c>
      <c r="B2728" s="8" t="s">
        <v>931</v>
      </c>
      <c r="C2728" s="8" t="s">
        <v>53</v>
      </c>
      <c r="D2728" s="32" t="n">
        <v>46159</v>
      </c>
      <c r="E2728" s="8" t="n">
        <v>7</v>
      </c>
      <c r="F2728" s="8" t="str">
        <f aca="false">IF(E2728&gt;=9,"Promoter",IF(E2728&gt;=7,"Passive","Detractor"))</f>
        <v>Passive</v>
      </c>
    </row>
    <row r="2729" customFormat="false" ht="15" hidden="false" customHeight="false" outlineLevel="0" collapsed="false">
      <c r="A2729" s="8" t="s">
        <v>7358</v>
      </c>
      <c r="B2729" s="8" t="s">
        <v>1749</v>
      </c>
      <c r="C2729" s="8" t="s">
        <v>53</v>
      </c>
      <c r="D2729" s="32" t="n">
        <v>46159</v>
      </c>
      <c r="E2729" s="8" t="n">
        <v>10</v>
      </c>
      <c r="F2729" s="8" t="str">
        <f aca="false">IF(E2729&gt;=9,"Promoter",IF(E2729&gt;=7,"Passive","Detractor"))</f>
        <v>Promoter</v>
      </c>
    </row>
    <row r="2730" customFormat="false" ht="15" hidden="false" customHeight="false" outlineLevel="0" collapsed="false">
      <c r="A2730" s="8" t="s">
        <v>7359</v>
      </c>
      <c r="B2730" s="8" t="s">
        <v>4222</v>
      </c>
      <c r="C2730" s="8" t="s">
        <v>51</v>
      </c>
      <c r="D2730" s="32" t="n">
        <v>46159</v>
      </c>
      <c r="E2730" s="8" t="n">
        <v>5</v>
      </c>
      <c r="F2730" s="8" t="str">
        <f aca="false">IF(E2730&gt;=9,"Promoter",IF(E2730&gt;=7,"Passive","Detractor"))</f>
        <v>Detractor</v>
      </c>
    </row>
    <row r="2731" customFormat="false" ht="15" hidden="false" customHeight="false" outlineLevel="0" collapsed="false">
      <c r="A2731" s="8" t="s">
        <v>7360</v>
      </c>
      <c r="B2731" s="8" t="s">
        <v>1285</v>
      </c>
      <c r="C2731" s="8" t="s">
        <v>53</v>
      </c>
      <c r="D2731" s="32" t="n">
        <v>46159</v>
      </c>
      <c r="E2731" s="8" t="n">
        <v>8</v>
      </c>
      <c r="F2731" s="8" t="str">
        <f aca="false">IF(E2731&gt;=9,"Promoter",IF(E2731&gt;=7,"Passive","Detractor"))</f>
        <v>Passive</v>
      </c>
    </row>
    <row r="2732" customFormat="false" ht="15" hidden="false" customHeight="false" outlineLevel="0" collapsed="false">
      <c r="A2732" s="8" t="s">
        <v>7361</v>
      </c>
      <c r="B2732" s="8" t="s">
        <v>4170</v>
      </c>
      <c r="C2732" s="8" t="s">
        <v>51</v>
      </c>
      <c r="D2732" s="32" t="n">
        <v>46159</v>
      </c>
      <c r="E2732" s="8" t="n">
        <v>8</v>
      </c>
      <c r="F2732" s="8" t="str">
        <f aca="false">IF(E2732&gt;=9,"Promoter",IF(E2732&gt;=7,"Passive","Detractor"))</f>
        <v>Passive</v>
      </c>
    </row>
    <row r="2733" customFormat="false" ht="15" hidden="false" customHeight="false" outlineLevel="0" collapsed="false">
      <c r="A2733" s="8" t="s">
        <v>7362</v>
      </c>
      <c r="B2733" s="8" t="s">
        <v>3106</v>
      </c>
      <c r="C2733" s="8" t="s">
        <v>51</v>
      </c>
      <c r="D2733" s="32" t="n">
        <v>46159</v>
      </c>
      <c r="E2733" s="8" t="n">
        <v>6</v>
      </c>
      <c r="F2733" s="8" t="str">
        <f aca="false">IF(E2733&gt;=9,"Promoter",IF(E2733&gt;=7,"Passive","Detractor"))</f>
        <v>Detractor</v>
      </c>
    </row>
    <row r="2734" customFormat="false" ht="15" hidden="false" customHeight="false" outlineLevel="0" collapsed="false">
      <c r="A2734" s="8" t="s">
        <v>7363</v>
      </c>
      <c r="B2734" s="8" t="s">
        <v>1969</v>
      </c>
      <c r="C2734" s="8" t="s">
        <v>51</v>
      </c>
      <c r="D2734" s="32" t="n">
        <v>46159</v>
      </c>
      <c r="E2734" s="8" t="n">
        <v>10</v>
      </c>
      <c r="F2734" s="8" t="str">
        <f aca="false">IF(E2734&gt;=9,"Promoter",IF(E2734&gt;=7,"Passive","Detractor"))</f>
        <v>Promoter</v>
      </c>
    </row>
    <row r="2735" customFormat="false" ht="15" hidden="false" customHeight="false" outlineLevel="0" collapsed="false">
      <c r="A2735" s="8" t="s">
        <v>7364</v>
      </c>
      <c r="B2735" s="8" t="s">
        <v>1971</v>
      </c>
      <c r="C2735" s="8" t="s">
        <v>51</v>
      </c>
      <c r="D2735" s="32" t="n">
        <v>46159</v>
      </c>
      <c r="E2735" s="8" t="n">
        <v>10</v>
      </c>
      <c r="F2735" s="8" t="str">
        <f aca="false">IF(E2735&gt;=9,"Promoter",IF(E2735&gt;=7,"Passive","Detractor"))</f>
        <v>Promoter</v>
      </c>
    </row>
    <row r="2736" customFormat="false" ht="15" hidden="false" customHeight="false" outlineLevel="0" collapsed="false">
      <c r="A2736" s="8" t="s">
        <v>7365</v>
      </c>
      <c r="B2736" s="8" t="s">
        <v>3222</v>
      </c>
      <c r="C2736" s="8" t="s">
        <v>51</v>
      </c>
      <c r="D2736" s="32" t="n">
        <v>46159</v>
      </c>
      <c r="E2736" s="8" t="n">
        <v>10</v>
      </c>
      <c r="F2736" s="8" t="str">
        <f aca="false">IF(E2736&gt;=9,"Promoter",IF(E2736&gt;=7,"Passive","Detractor"))</f>
        <v>Promoter</v>
      </c>
    </row>
    <row r="2737" customFormat="false" ht="15" hidden="false" customHeight="false" outlineLevel="0" collapsed="false">
      <c r="A2737" s="8" t="s">
        <v>7366</v>
      </c>
      <c r="B2737" s="8" t="s">
        <v>739</v>
      </c>
      <c r="C2737" s="8" t="s">
        <v>53</v>
      </c>
      <c r="D2737" s="32" t="n">
        <v>46159</v>
      </c>
      <c r="E2737" s="8" t="n">
        <v>7</v>
      </c>
      <c r="F2737" s="8" t="str">
        <f aca="false">IF(E2737&gt;=9,"Promoter",IF(E2737&gt;=7,"Passive","Detractor"))</f>
        <v>Passive</v>
      </c>
    </row>
    <row r="2738" customFormat="false" ht="15" hidden="false" customHeight="false" outlineLevel="0" collapsed="false">
      <c r="A2738" s="8" t="s">
        <v>7367</v>
      </c>
      <c r="B2738" s="8" t="s">
        <v>268</v>
      </c>
      <c r="C2738" s="8" t="s">
        <v>55</v>
      </c>
      <c r="D2738" s="32" t="n">
        <v>46159</v>
      </c>
      <c r="E2738" s="8" t="n">
        <v>9</v>
      </c>
      <c r="F2738" s="8" t="str">
        <f aca="false">IF(E2738&gt;=9,"Promoter",IF(E2738&gt;=7,"Passive","Detractor"))</f>
        <v>Promoter</v>
      </c>
    </row>
    <row r="2739" customFormat="false" ht="15" hidden="false" customHeight="false" outlineLevel="0" collapsed="false">
      <c r="A2739" s="8" t="s">
        <v>7368</v>
      </c>
      <c r="B2739" s="8" t="s">
        <v>3954</v>
      </c>
      <c r="C2739" s="8" t="s">
        <v>51</v>
      </c>
      <c r="D2739" s="32" t="n">
        <v>46160</v>
      </c>
      <c r="E2739" s="8" t="n">
        <v>10</v>
      </c>
      <c r="F2739" s="8" t="str">
        <f aca="false">IF(E2739&gt;=9,"Promoter",IF(E2739&gt;=7,"Passive","Detractor"))</f>
        <v>Promoter</v>
      </c>
    </row>
    <row r="2740" customFormat="false" ht="15" hidden="false" customHeight="false" outlineLevel="0" collapsed="false">
      <c r="A2740" s="8" t="s">
        <v>7369</v>
      </c>
      <c r="B2740" s="8" t="s">
        <v>777</v>
      </c>
      <c r="C2740" s="8" t="s">
        <v>53</v>
      </c>
      <c r="D2740" s="32" t="n">
        <v>46160</v>
      </c>
      <c r="E2740" s="8" t="n">
        <v>6</v>
      </c>
      <c r="F2740" s="8" t="str">
        <f aca="false">IF(E2740&gt;=9,"Promoter",IF(E2740&gt;=7,"Passive","Detractor"))</f>
        <v>Detractor</v>
      </c>
    </row>
    <row r="2741" customFormat="false" ht="15" hidden="false" customHeight="false" outlineLevel="0" collapsed="false">
      <c r="A2741" s="8" t="s">
        <v>7370</v>
      </c>
      <c r="B2741" s="8" t="s">
        <v>160</v>
      </c>
      <c r="C2741" s="8" t="s">
        <v>55</v>
      </c>
      <c r="D2741" s="32" t="n">
        <v>46160</v>
      </c>
      <c r="E2741" s="8" t="n">
        <v>7</v>
      </c>
      <c r="F2741" s="8" t="str">
        <f aca="false">IF(E2741&gt;=9,"Promoter",IF(E2741&gt;=7,"Passive","Detractor"))</f>
        <v>Passive</v>
      </c>
    </row>
    <row r="2742" customFormat="false" ht="15" hidden="false" customHeight="false" outlineLevel="0" collapsed="false">
      <c r="A2742" s="8" t="s">
        <v>7371</v>
      </c>
      <c r="B2742" s="8" t="s">
        <v>1265</v>
      </c>
      <c r="C2742" s="8" t="s">
        <v>53</v>
      </c>
      <c r="D2742" s="32" t="n">
        <v>46160</v>
      </c>
      <c r="E2742" s="8" t="n">
        <v>7</v>
      </c>
      <c r="F2742" s="8" t="str">
        <f aca="false">IF(E2742&gt;=9,"Promoter",IF(E2742&gt;=7,"Passive","Detractor"))</f>
        <v>Passive</v>
      </c>
    </row>
    <row r="2743" customFormat="false" ht="15" hidden="false" customHeight="false" outlineLevel="0" collapsed="false">
      <c r="A2743" s="8" t="s">
        <v>7372</v>
      </c>
      <c r="B2743" s="8" t="s">
        <v>1519</v>
      </c>
      <c r="C2743" s="8" t="s">
        <v>53</v>
      </c>
      <c r="D2743" s="32" t="n">
        <v>46160</v>
      </c>
      <c r="E2743" s="8" t="n">
        <v>10</v>
      </c>
      <c r="F2743" s="8" t="str">
        <f aca="false">IF(E2743&gt;=9,"Promoter",IF(E2743&gt;=7,"Passive","Detractor"))</f>
        <v>Promoter</v>
      </c>
    </row>
    <row r="2744" customFormat="false" ht="15" hidden="false" customHeight="false" outlineLevel="0" collapsed="false">
      <c r="A2744" s="8" t="s">
        <v>7373</v>
      </c>
      <c r="B2744" s="8" t="s">
        <v>735</v>
      </c>
      <c r="C2744" s="8" t="s">
        <v>53</v>
      </c>
      <c r="D2744" s="32" t="n">
        <v>46160</v>
      </c>
      <c r="E2744" s="8" t="n">
        <v>10</v>
      </c>
      <c r="F2744" s="8" t="str">
        <f aca="false">IF(E2744&gt;=9,"Promoter",IF(E2744&gt;=7,"Passive","Detractor"))</f>
        <v>Promoter</v>
      </c>
    </row>
    <row r="2745" customFormat="false" ht="15" hidden="false" customHeight="false" outlineLevel="0" collapsed="false">
      <c r="A2745" s="8" t="s">
        <v>7374</v>
      </c>
      <c r="B2745" s="8" t="s">
        <v>1151</v>
      </c>
      <c r="C2745" s="8" t="s">
        <v>53</v>
      </c>
      <c r="D2745" s="32" t="n">
        <v>46160</v>
      </c>
      <c r="E2745" s="8" t="n">
        <v>9</v>
      </c>
      <c r="F2745" s="8" t="str">
        <f aca="false">IF(E2745&gt;=9,"Promoter",IF(E2745&gt;=7,"Passive","Detractor"))</f>
        <v>Promoter</v>
      </c>
    </row>
    <row r="2746" customFormat="false" ht="15" hidden="false" customHeight="false" outlineLevel="0" collapsed="false">
      <c r="A2746" s="8" t="s">
        <v>7375</v>
      </c>
      <c r="B2746" s="8" t="s">
        <v>3946</v>
      </c>
      <c r="C2746" s="8" t="s">
        <v>51</v>
      </c>
      <c r="D2746" s="32" t="n">
        <v>46160</v>
      </c>
      <c r="E2746" s="8" t="n">
        <v>7</v>
      </c>
      <c r="F2746" s="8" t="str">
        <f aca="false">IF(E2746&gt;=9,"Promoter",IF(E2746&gt;=7,"Passive","Detractor"))</f>
        <v>Passive</v>
      </c>
    </row>
    <row r="2747" customFormat="false" ht="15" hidden="false" customHeight="false" outlineLevel="0" collapsed="false">
      <c r="A2747" s="8" t="s">
        <v>7376</v>
      </c>
      <c r="B2747" s="8" t="s">
        <v>3438</v>
      </c>
      <c r="C2747" s="8" t="s">
        <v>51</v>
      </c>
      <c r="D2747" s="32" t="n">
        <v>46160</v>
      </c>
      <c r="E2747" s="8" t="n">
        <v>9</v>
      </c>
      <c r="F2747" s="8" t="str">
        <f aca="false">IF(E2747&gt;=9,"Promoter",IF(E2747&gt;=7,"Passive","Detractor"))</f>
        <v>Promoter</v>
      </c>
    </row>
    <row r="2748" customFormat="false" ht="15" hidden="false" customHeight="false" outlineLevel="0" collapsed="false">
      <c r="A2748" s="8" t="s">
        <v>7377</v>
      </c>
      <c r="B2748" s="8" t="s">
        <v>256</v>
      </c>
      <c r="C2748" s="8" t="s">
        <v>55</v>
      </c>
      <c r="D2748" s="32" t="n">
        <v>46161</v>
      </c>
      <c r="E2748" s="8" t="n">
        <v>10</v>
      </c>
      <c r="F2748" s="8" t="str">
        <f aca="false">IF(E2748&gt;=9,"Promoter",IF(E2748&gt;=7,"Passive","Detractor"))</f>
        <v>Promoter</v>
      </c>
    </row>
    <row r="2749" customFormat="false" ht="15" hidden="false" customHeight="false" outlineLevel="0" collapsed="false">
      <c r="A2749" s="8" t="s">
        <v>7378</v>
      </c>
      <c r="B2749" s="8" t="s">
        <v>2374</v>
      </c>
      <c r="C2749" s="8" t="s">
        <v>51</v>
      </c>
      <c r="D2749" s="32" t="n">
        <v>46161</v>
      </c>
      <c r="E2749" s="8" t="n">
        <v>9</v>
      </c>
      <c r="F2749" s="8" t="str">
        <f aca="false">IF(E2749&gt;=9,"Promoter",IF(E2749&gt;=7,"Passive","Detractor"))</f>
        <v>Promoter</v>
      </c>
    </row>
    <row r="2750" customFormat="false" ht="15" hidden="false" customHeight="false" outlineLevel="0" collapsed="false">
      <c r="A2750" s="8" t="s">
        <v>7379</v>
      </c>
      <c r="B2750" s="8" t="s">
        <v>3682</v>
      </c>
      <c r="C2750" s="8" t="s">
        <v>51</v>
      </c>
      <c r="D2750" s="32" t="n">
        <v>46161</v>
      </c>
      <c r="E2750" s="8" t="n">
        <v>8</v>
      </c>
      <c r="F2750" s="8" t="str">
        <f aca="false">IF(E2750&gt;=9,"Promoter",IF(E2750&gt;=7,"Passive","Detractor"))</f>
        <v>Passive</v>
      </c>
    </row>
    <row r="2751" customFormat="false" ht="15" hidden="false" customHeight="false" outlineLevel="0" collapsed="false">
      <c r="A2751" s="8" t="s">
        <v>7380</v>
      </c>
      <c r="B2751" s="8" t="s">
        <v>4442</v>
      </c>
      <c r="C2751" s="8" t="s">
        <v>53</v>
      </c>
      <c r="D2751" s="32" t="n">
        <v>46161</v>
      </c>
      <c r="E2751" s="8" t="n">
        <v>7</v>
      </c>
      <c r="F2751" s="8" t="str">
        <f aca="false">IF(E2751&gt;=9,"Promoter",IF(E2751&gt;=7,"Passive","Detractor"))</f>
        <v>Passive</v>
      </c>
    </row>
    <row r="2752" customFormat="false" ht="15" hidden="false" customHeight="false" outlineLevel="0" collapsed="false">
      <c r="A2752" s="8" t="s">
        <v>7381</v>
      </c>
      <c r="B2752" s="8" t="s">
        <v>893</v>
      </c>
      <c r="C2752" s="8" t="s">
        <v>53</v>
      </c>
      <c r="D2752" s="32" t="n">
        <v>46161</v>
      </c>
      <c r="E2752" s="8" t="n">
        <v>10</v>
      </c>
      <c r="F2752" s="8" t="str">
        <f aca="false">IF(E2752&gt;=9,"Promoter",IF(E2752&gt;=7,"Passive","Detractor"))</f>
        <v>Promoter</v>
      </c>
    </row>
    <row r="2753" customFormat="false" ht="15" hidden="false" customHeight="false" outlineLevel="0" collapsed="false">
      <c r="A2753" s="8" t="s">
        <v>7382</v>
      </c>
      <c r="B2753" s="8" t="s">
        <v>2021</v>
      </c>
      <c r="C2753" s="8" t="s">
        <v>51</v>
      </c>
      <c r="D2753" s="32" t="n">
        <v>46161</v>
      </c>
      <c r="E2753" s="8" t="n">
        <v>7</v>
      </c>
      <c r="F2753" s="8" t="str">
        <f aca="false">IF(E2753&gt;=9,"Promoter",IF(E2753&gt;=7,"Passive","Detractor"))</f>
        <v>Passive</v>
      </c>
    </row>
    <row r="2754" customFormat="false" ht="15" hidden="false" customHeight="false" outlineLevel="0" collapsed="false">
      <c r="A2754" s="8" t="s">
        <v>7383</v>
      </c>
      <c r="B2754" s="8" t="s">
        <v>2580</v>
      </c>
      <c r="C2754" s="8" t="s">
        <v>51</v>
      </c>
      <c r="D2754" s="32" t="n">
        <v>46161</v>
      </c>
      <c r="E2754" s="8" t="n">
        <v>9</v>
      </c>
      <c r="F2754" s="8" t="str">
        <f aca="false">IF(E2754&gt;=9,"Promoter",IF(E2754&gt;=7,"Passive","Detractor"))</f>
        <v>Promoter</v>
      </c>
    </row>
    <row r="2755" customFormat="false" ht="15" hidden="false" customHeight="false" outlineLevel="0" collapsed="false">
      <c r="A2755" s="8" t="s">
        <v>7384</v>
      </c>
      <c r="B2755" s="8" t="s">
        <v>2434</v>
      </c>
      <c r="C2755" s="8" t="s">
        <v>51</v>
      </c>
      <c r="D2755" s="32" t="n">
        <v>46161</v>
      </c>
      <c r="E2755" s="8" t="n">
        <v>8</v>
      </c>
      <c r="F2755" s="8" t="str">
        <f aca="false">IF(E2755&gt;=9,"Promoter",IF(E2755&gt;=7,"Passive","Detractor"))</f>
        <v>Passive</v>
      </c>
    </row>
    <row r="2756" customFormat="false" ht="15" hidden="false" customHeight="false" outlineLevel="0" collapsed="false">
      <c r="A2756" s="8" t="s">
        <v>7385</v>
      </c>
      <c r="B2756" s="8" t="s">
        <v>2140</v>
      </c>
      <c r="C2756" s="8" t="s">
        <v>51</v>
      </c>
      <c r="D2756" s="32" t="n">
        <v>46161</v>
      </c>
      <c r="E2756" s="8" t="n">
        <v>7</v>
      </c>
      <c r="F2756" s="8" t="str">
        <f aca="false">IF(E2756&gt;=9,"Promoter",IF(E2756&gt;=7,"Passive","Detractor"))</f>
        <v>Passive</v>
      </c>
    </row>
    <row r="2757" customFormat="false" ht="15" hidden="false" customHeight="false" outlineLevel="0" collapsed="false">
      <c r="A2757" s="8" t="s">
        <v>7386</v>
      </c>
      <c r="B2757" s="8" t="s">
        <v>3622</v>
      </c>
      <c r="C2757" s="8" t="s">
        <v>51</v>
      </c>
      <c r="D2757" s="32" t="n">
        <v>46161</v>
      </c>
      <c r="E2757" s="8" t="n">
        <v>10</v>
      </c>
      <c r="F2757" s="8" t="str">
        <f aca="false">IF(E2757&gt;=9,"Promoter",IF(E2757&gt;=7,"Passive","Detractor"))</f>
        <v>Promoter</v>
      </c>
    </row>
    <row r="2758" customFormat="false" ht="15" hidden="false" customHeight="false" outlineLevel="0" collapsed="false">
      <c r="A2758" s="8" t="s">
        <v>7387</v>
      </c>
      <c r="B2758" s="8" t="s">
        <v>3196</v>
      </c>
      <c r="C2758" s="8" t="s">
        <v>51</v>
      </c>
      <c r="D2758" s="32" t="n">
        <v>46161</v>
      </c>
      <c r="E2758" s="8" t="n">
        <v>6</v>
      </c>
      <c r="F2758" s="8" t="str">
        <f aca="false">IF(E2758&gt;=9,"Promoter",IF(E2758&gt;=7,"Passive","Detractor"))</f>
        <v>Detractor</v>
      </c>
    </row>
    <row r="2759" customFormat="false" ht="15" hidden="false" customHeight="false" outlineLevel="0" collapsed="false">
      <c r="A2759" s="8" t="s">
        <v>7388</v>
      </c>
      <c r="B2759" s="8" t="s">
        <v>2922</v>
      </c>
      <c r="C2759" s="8" t="s">
        <v>51</v>
      </c>
      <c r="D2759" s="32" t="n">
        <v>46162</v>
      </c>
      <c r="E2759" s="8" t="n">
        <v>7</v>
      </c>
      <c r="F2759" s="8" t="str">
        <f aca="false">IF(E2759&gt;=9,"Promoter",IF(E2759&gt;=7,"Passive","Detractor"))</f>
        <v>Passive</v>
      </c>
    </row>
    <row r="2760" customFormat="false" ht="15" hidden="false" customHeight="false" outlineLevel="0" collapsed="false">
      <c r="A2760" s="8" t="s">
        <v>7389</v>
      </c>
      <c r="B2760" s="8" t="s">
        <v>3598</v>
      </c>
      <c r="C2760" s="8" t="s">
        <v>51</v>
      </c>
      <c r="D2760" s="32" t="n">
        <v>46162</v>
      </c>
      <c r="E2760" s="8" t="n">
        <v>9</v>
      </c>
      <c r="F2760" s="8" t="str">
        <f aca="false">IF(E2760&gt;=9,"Promoter",IF(E2760&gt;=7,"Passive","Detractor"))</f>
        <v>Promoter</v>
      </c>
    </row>
    <row r="2761" customFormat="false" ht="15" hidden="false" customHeight="false" outlineLevel="0" collapsed="false">
      <c r="A2761" s="8" t="s">
        <v>7390</v>
      </c>
      <c r="B2761" s="8" t="s">
        <v>3916</v>
      </c>
      <c r="C2761" s="8" t="s">
        <v>51</v>
      </c>
      <c r="D2761" s="32" t="n">
        <v>46162</v>
      </c>
      <c r="E2761" s="8" t="n">
        <v>8</v>
      </c>
      <c r="F2761" s="8" t="str">
        <f aca="false">IF(E2761&gt;=9,"Promoter",IF(E2761&gt;=7,"Passive","Detractor"))</f>
        <v>Passive</v>
      </c>
    </row>
    <row r="2762" customFormat="false" ht="15" hidden="false" customHeight="false" outlineLevel="0" collapsed="false">
      <c r="A2762" s="8" t="s">
        <v>7391</v>
      </c>
      <c r="B2762" s="8" t="s">
        <v>284</v>
      </c>
      <c r="C2762" s="8" t="s">
        <v>55</v>
      </c>
      <c r="D2762" s="32" t="n">
        <v>46162</v>
      </c>
      <c r="E2762" s="8" t="n">
        <v>9</v>
      </c>
      <c r="F2762" s="8" t="str">
        <f aca="false">IF(E2762&gt;=9,"Promoter",IF(E2762&gt;=7,"Passive","Detractor"))</f>
        <v>Promoter</v>
      </c>
    </row>
    <row r="2763" customFormat="false" ht="15" hidden="false" customHeight="false" outlineLevel="0" collapsed="false">
      <c r="A2763" s="8" t="s">
        <v>7392</v>
      </c>
      <c r="B2763" s="8" t="s">
        <v>3052</v>
      </c>
      <c r="C2763" s="8" t="s">
        <v>51</v>
      </c>
      <c r="D2763" s="32" t="n">
        <v>46162</v>
      </c>
      <c r="E2763" s="8" t="n">
        <v>10</v>
      </c>
      <c r="F2763" s="8" t="str">
        <f aca="false">IF(E2763&gt;=9,"Promoter",IF(E2763&gt;=7,"Passive","Detractor"))</f>
        <v>Promoter</v>
      </c>
    </row>
    <row r="2764" customFormat="false" ht="15" hidden="false" customHeight="false" outlineLevel="0" collapsed="false">
      <c r="A2764" s="8" t="s">
        <v>7393</v>
      </c>
      <c r="B2764" s="8" t="s">
        <v>2698</v>
      </c>
      <c r="C2764" s="8" t="s">
        <v>51</v>
      </c>
      <c r="D2764" s="32" t="n">
        <v>46162</v>
      </c>
      <c r="E2764" s="8" t="n">
        <v>10</v>
      </c>
      <c r="F2764" s="8" t="str">
        <f aca="false">IF(E2764&gt;=9,"Promoter",IF(E2764&gt;=7,"Passive","Detractor"))</f>
        <v>Promoter</v>
      </c>
    </row>
    <row r="2765" customFormat="false" ht="15" hidden="false" customHeight="false" outlineLevel="0" collapsed="false">
      <c r="A2765" s="8" t="s">
        <v>7394</v>
      </c>
      <c r="B2765" s="8" t="s">
        <v>3284</v>
      </c>
      <c r="C2765" s="8" t="s">
        <v>51</v>
      </c>
      <c r="D2765" s="32" t="n">
        <v>46162</v>
      </c>
      <c r="E2765" s="8" t="n">
        <v>5</v>
      </c>
      <c r="F2765" s="8" t="str">
        <f aca="false">IF(E2765&gt;=9,"Promoter",IF(E2765&gt;=7,"Passive","Detractor"))</f>
        <v>Detractor</v>
      </c>
    </row>
    <row r="2766" customFormat="false" ht="15" hidden="false" customHeight="false" outlineLevel="0" collapsed="false">
      <c r="A2766" s="8" t="s">
        <v>7395</v>
      </c>
      <c r="B2766" s="8" t="s">
        <v>781</v>
      </c>
      <c r="C2766" s="8" t="s">
        <v>53</v>
      </c>
      <c r="D2766" s="32" t="n">
        <v>46162</v>
      </c>
      <c r="E2766" s="8" t="n">
        <v>7</v>
      </c>
      <c r="F2766" s="8" t="str">
        <f aca="false">IF(E2766&gt;=9,"Promoter",IF(E2766&gt;=7,"Passive","Detractor"))</f>
        <v>Passive</v>
      </c>
    </row>
    <row r="2767" customFormat="false" ht="15" hidden="false" customHeight="false" outlineLevel="0" collapsed="false">
      <c r="A2767" s="8" t="s">
        <v>7396</v>
      </c>
      <c r="B2767" s="8" t="s">
        <v>2646</v>
      </c>
      <c r="C2767" s="8" t="s">
        <v>51</v>
      </c>
      <c r="D2767" s="32" t="n">
        <v>46162</v>
      </c>
      <c r="E2767" s="8" t="n">
        <v>10</v>
      </c>
      <c r="F2767" s="8" t="str">
        <f aca="false">IF(E2767&gt;=9,"Promoter",IF(E2767&gt;=7,"Passive","Detractor"))</f>
        <v>Promoter</v>
      </c>
    </row>
    <row r="2768" customFormat="false" ht="15" hidden="false" customHeight="false" outlineLevel="0" collapsed="false">
      <c r="A2768" s="8" t="s">
        <v>7397</v>
      </c>
      <c r="B2768" s="8" t="s">
        <v>3296</v>
      </c>
      <c r="C2768" s="8" t="s">
        <v>51</v>
      </c>
      <c r="D2768" s="32" t="n">
        <v>46162</v>
      </c>
      <c r="E2768" s="8" t="n">
        <v>8</v>
      </c>
      <c r="F2768" s="8" t="str">
        <f aca="false">IF(E2768&gt;=9,"Promoter",IF(E2768&gt;=7,"Passive","Detractor"))</f>
        <v>Passive</v>
      </c>
    </row>
    <row r="2769" customFormat="false" ht="15" hidden="false" customHeight="false" outlineLevel="0" collapsed="false">
      <c r="A2769" s="8" t="s">
        <v>7398</v>
      </c>
      <c r="B2769" s="8" t="s">
        <v>1907</v>
      </c>
      <c r="C2769" s="8" t="s">
        <v>51</v>
      </c>
      <c r="D2769" s="32" t="n">
        <v>46162</v>
      </c>
      <c r="E2769" s="8" t="n">
        <v>10</v>
      </c>
      <c r="F2769" s="8" t="str">
        <f aca="false">IF(E2769&gt;=9,"Promoter",IF(E2769&gt;=7,"Passive","Detractor"))</f>
        <v>Promoter</v>
      </c>
    </row>
    <row r="2770" customFormat="false" ht="15" hidden="false" customHeight="false" outlineLevel="0" collapsed="false">
      <c r="A2770" s="8" t="s">
        <v>7399</v>
      </c>
      <c r="B2770" s="8" t="s">
        <v>3518</v>
      </c>
      <c r="C2770" s="8" t="s">
        <v>51</v>
      </c>
      <c r="D2770" s="32" t="n">
        <v>46162</v>
      </c>
      <c r="E2770" s="8" t="n">
        <v>5</v>
      </c>
      <c r="F2770" s="8" t="str">
        <f aca="false">IF(E2770&gt;=9,"Promoter",IF(E2770&gt;=7,"Passive","Detractor"))</f>
        <v>Detractor</v>
      </c>
    </row>
    <row r="2771" customFormat="false" ht="15" hidden="false" customHeight="false" outlineLevel="0" collapsed="false">
      <c r="A2771" s="8" t="s">
        <v>7400</v>
      </c>
      <c r="B2771" s="8" t="s">
        <v>1351</v>
      </c>
      <c r="C2771" s="8" t="s">
        <v>53</v>
      </c>
      <c r="D2771" s="32" t="n">
        <v>46162</v>
      </c>
      <c r="E2771" s="8" t="n">
        <v>8</v>
      </c>
      <c r="F2771" s="8" t="str">
        <f aca="false">IF(E2771&gt;=9,"Promoter",IF(E2771&gt;=7,"Passive","Detractor"))</f>
        <v>Passive</v>
      </c>
    </row>
    <row r="2772" customFormat="false" ht="15" hidden="false" customHeight="false" outlineLevel="0" collapsed="false">
      <c r="A2772" s="8" t="s">
        <v>7401</v>
      </c>
      <c r="B2772" s="8" t="s">
        <v>2926</v>
      </c>
      <c r="C2772" s="8" t="s">
        <v>51</v>
      </c>
      <c r="D2772" s="32" t="n">
        <v>46163</v>
      </c>
      <c r="E2772" s="8" t="n">
        <v>9</v>
      </c>
      <c r="F2772" s="8" t="str">
        <f aca="false">IF(E2772&gt;=9,"Promoter",IF(E2772&gt;=7,"Passive","Detractor"))</f>
        <v>Promoter</v>
      </c>
    </row>
    <row r="2773" customFormat="false" ht="15" hidden="false" customHeight="false" outlineLevel="0" collapsed="false">
      <c r="A2773" s="8" t="s">
        <v>7402</v>
      </c>
      <c r="B2773" s="8" t="s">
        <v>1765</v>
      </c>
      <c r="C2773" s="8" t="s">
        <v>51</v>
      </c>
      <c r="D2773" s="32" t="n">
        <v>46163</v>
      </c>
      <c r="E2773" s="8" t="n">
        <v>10</v>
      </c>
      <c r="F2773" s="8" t="str">
        <f aca="false">IF(E2773&gt;=9,"Promoter",IF(E2773&gt;=7,"Passive","Detractor"))</f>
        <v>Promoter</v>
      </c>
    </row>
    <row r="2774" customFormat="false" ht="15" hidden="false" customHeight="false" outlineLevel="0" collapsed="false">
      <c r="A2774" s="8" t="s">
        <v>7403</v>
      </c>
      <c r="B2774" s="8" t="s">
        <v>1687</v>
      </c>
      <c r="C2774" s="8" t="s">
        <v>51</v>
      </c>
      <c r="D2774" s="32" t="n">
        <v>46163</v>
      </c>
      <c r="E2774" s="8" t="n">
        <v>9</v>
      </c>
      <c r="F2774" s="8" t="str">
        <f aca="false">IF(E2774&gt;=9,"Promoter",IF(E2774&gt;=7,"Passive","Detractor"))</f>
        <v>Promoter</v>
      </c>
    </row>
    <row r="2775" customFormat="false" ht="15" hidden="false" customHeight="false" outlineLevel="0" collapsed="false">
      <c r="A2775" s="8" t="s">
        <v>7404</v>
      </c>
      <c r="B2775" s="8" t="s">
        <v>1855</v>
      </c>
      <c r="C2775" s="8" t="s">
        <v>51</v>
      </c>
      <c r="D2775" s="32" t="n">
        <v>46163</v>
      </c>
      <c r="E2775" s="8" t="n">
        <v>6</v>
      </c>
      <c r="F2775" s="8" t="str">
        <f aca="false">IF(E2775&gt;=9,"Promoter",IF(E2775&gt;=7,"Passive","Detractor"))</f>
        <v>Detractor</v>
      </c>
    </row>
    <row r="2776" customFormat="false" ht="15" hidden="false" customHeight="false" outlineLevel="0" collapsed="false">
      <c r="A2776" s="8" t="s">
        <v>7405</v>
      </c>
      <c r="B2776" s="8" t="s">
        <v>1615</v>
      </c>
      <c r="C2776" s="8" t="s">
        <v>53</v>
      </c>
      <c r="D2776" s="32" t="n">
        <v>46163</v>
      </c>
      <c r="E2776" s="8" t="n">
        <v>7</v>
      </c>
      <c r="F2776" s="8" t="str">
        <f aca="false">IF(E2776&gt;=9,"Promoter",IF(E2776&gt;=7,"Passive","Detractor"))</f>
        <v>Passive</v>
      </c>
    </row>
    <row r="2777" customFormat="false" ht="15" hidden="false" customHeight="false" outlineLevel="0" collapsed="false">
      <c r="A2777" s="8" t="s">
        <v>7406</v>
      </c>
      <c r="B2777" s="8" t="s">
        <v>2334</v>
      </c>
      <c r="C2777" s="8" t="s">
        <v>51</v>
      </c>
      <c r="D2777" s="32" t="n">
        <v>46163</v>
      </c>
      <c r="E2777" s="8" t="n">
        <v>7</v>
      </c>
      <c r="F2777" s="8" t="str">
        <f aca="false">IF(E2777&gt;=9,"Promoter",IF(E2777&gt;=7,"Passive","Detractor"))</f>
        <v>Passive</v>
      </c>
    </row>
    <row r="2778" customFormat="false" ht="15" hidden="false" customHeight="false" outlineLevel="0" collapsed="false">
      <c r="A2778" s="8" t="s">
        <v>7407</v>
      </c>
      <c r="B2778" s="8" t="s">
        <v>661</v>
      </c>
      <c r="C2778" s="8" t="s">
        <v>53</v>
      </c>
      <c r="D2778" s="32" t="n">
        <v>46163</v>
      </c>
      <c r="E2778" s="8" t="n">
        <v>5</v>
      </c>
      <c r="F2778" s="8" t="str">
        <f aca="false">IF(E2778&gt;=9,"Promoter",IF(E2778&gt;=7,"Passive","Detractor"))</f>
        <v>Detractor</v>
      </c>
    </row>
    <row r="2779" customFormat="false" ht="15" hidden="false" customHeight="false" outlineLevel="0" collapsed="false">
      <c r="A2779" s="8" t="s">
        <v>7408</v>
      </c>
      <c r="B2779" s="8" t="s">
        <v>1061</v>
      </c>
      <c r="C2779" s="8" t="s">
        <v>53</v>
      </c>
      <c r="D2779" s="32" t="n">
        <v>46163</v>
      </c>
      <c r="E2779" s="8" t="n">
        <v>5</v>
      </c>
      <c r="F2779" s="8" t="str">
        <f aca="false">IF(E2779&gt;=9,"Promoter",IF(E2779&gt;=7,"Passive","Detractor"))</f>
        <v>Detractor</v>
      </c>
    </row>
    <row r="2780" customFormat="false" ht="15" hidden="false" customHeight="false" outlineLevel="0" collapsed="false">
      <c r="A2780" s="8" t="s">
        <v>7409</v>
      </c>
      <c r="B2780" s="8" t="s">
        <v>2620</v>
      </c>
      <c r="C2780" s="8" t="s">
        <v>51</v>
      </c>
      <c r="D2780" s="32" t="n">
        <v>46163</v>
      </c>
      <c r="E2780" s="8" t="n">
        <v>10</v>
      </c>
      <c r="F2780" s="8" t="str">
        <f aca="false">IF(E2780&gt;=9,"Promoter",IF(E2780&gt;=7,"Passive","Detractor"))</f>
        <v>Promoter</v>
      </c>
    </row>
    <row r="2781" customFormat="false" ht="15" hidden="false" customHeight="false" outlineLevel="0" collapsed="false">
      <c r="A2781" s="8" t="s">
        <v>7410</v>
      </c>
      <c r="B2781" s="8" t="s">
        <v>3654</v>
      </c>
      <c r="C2781" s="8" t="s">
        <v>51</v>
      </c>
      <c r="D2781" s="32" t="n">
        <v>46164</v>
      </c>
      <c r="E2781" s="8" t="n">
        <v>7</v>
      </c>
      <c r="F2781" s="8" t="str">
        <f aca="false">IF(E2781&gt;=9,"Promoter",IF(E2781&gt;=7,"Passive","Detractor"))</f>
        <v>Passive</v>
      </c>
    </row>
    <row r="2782" customFormat="false" ht="15" hidden="false" customHeight="false" outlineLevel="0" collapsed="false">
      <c r="A2782" s="8" t="s">
        <v>7411</v>
      </c>
      <c r="B2782" s="8" t="s">
        <v>1633</v>
      </c>
      <c r="C2782" s="8" t="s">
        <v>53</v>
      </c>
      <c r="D2782" s="32" t="n">
        <v>46164</v>
      </c>
      <c r="E2782" s="8" t="n">
        <v>9</v>
      </c>
      <c r="F2782" s="8" t="str">
        <f aca="false">IF(E2782&gt;=9,"Promoter",IF(E2782&gt;=7,"Passive","Detractor"))</f>
        <v>Promoter</v>
      </c>
    </row>
    <row r="2783" customFormat="false" ht="15" hidden="false" customHeight="false" outlineLevel="0" collapsed="false">
      <c r="A2783" s="8" t="s">
        <v>7412</v>
      </c>
      <c r="B2783" s="8" t="s">
        <v>2378</v>
      </c>
      <c r="C2783" s="8" t="s">
        <v>51</v>
      </c>
      <c r="D2783" s="32" t="n">
        <v>46164</v>
      </c>
      <c r="E2783" s="8" t="n">
        <v>7</v>
      </c>
      <c r="F2783" s="8" t="str">
        <f aca="false">IF(E2783&gt;=9,"Promoter",IF(E2783&gt;=7,"Passive","Detractor"))</f>
        <v>Passive</v>
      </c>
    </row>
    <row r="2784" customFormat="false" ht="15" hidden="false" customHeight="false" outlineLevel="0" collapsed="false">
      <c r="A2784" s="8" t="s">
        <v>7413</v>
      </c>
      <c r="B2784" s="8" t="s">
        <v>2258</v>
      </c>
      <c r="C2784" s="8" t="s">
        <v>51</v>
      </c>
      <c r="D2784" s="32" t="n">
        <v>46164</v>
      </c>
      <c r="E2784" s="8" t="n">
        <v>9</v>
      </c>
      <c r="F2784" s="8" t="str">
        <f aca="false">IF(E2784&gt;=9,"Promoter",IF(E2784&gt;=7,"Passive","Detractor"))</f>
        <v>Promoter</v>
      </c>
    </row>
    <row r="2785" customFormat="false" ht="15" hidden="false" customHeight="false" outlineLevel="0" collapsed="false">
      <c r="A2785" s="8" t="s">
        <v>7414</v>
      </c>
      <c r="B2785" s="8" t="s">
        <v>2384</v>
      </c>
      <c r="C2785" s="8" t="s">
        <v>51</v>
      </c>
      <c r="D2785" s="32" t="n">
        <v>46164</v>
      </c>
      <c r="E2785" s="8" t="n">
        <v>8</v>
      </c>
      <c r="F2785" s="8" t="str">
        <f aca="false">IF(E2785&gt;=9,"Promoter",IF(E2785&gt;=7,"Passive","Detractor"))</f>
        <v>Passive</v>
      </c>
    </row>
    <row r="2786" customFormat="false" ht="15" hidden="false" customHeight="false" outlineLevel="0" collapsed="false">
      <c r="A2786" s="8" t="s">
        <v>7415</v>
      </c>
      <c r="B2786" s="8" t="s">
        <v>987</v>
      </c>
      <c r="C2786" s="8" t="s">
        <v>53</v>
      </c>
      <c r="D2786" s="32" t="n">
        <v>46164</v>
      </c>
      <c r="E2786" s="8" t="n">
        <v>8</v>
      </c>
      <c r="F2786" s="8" t="str">
        <f aca="false">IF(E2786&gt;=9,"Promoter",IF(E2786&gt;=7,"Passive","Detractor"))</f>
        <v>Passive</v>
      </c>
    </row>
    <row r="2787" customFormat="false" ht="15" hidden="false" customHeight="false" outlineLevel="0" collapsed="false">
      <c r="A2787" s="8" t="s">
        <v>7416</v>
      </c>
      <c r="B2787" s="8" t="s">
        <v>2804</v>
      </c>
      <c r="C2787" s="8" t="s">
        <v>51</v>
      </c>
      <c r="D2787" s="32" t="n">
        <v>46164</v>
      </c>
      <c r="E2787" s="8" t="n">
        <v>9</v>
      </c>
      <c r="F2787" s="8" t="str">
        <f aca="false">IF(E2787&gt;=9,"Promoter",IF(E2787&gt;=7,"Passive","Detractor"))</f>
        <v>Promoter</v>
      </c>
    </row>
    <row r="2788" customFormat="false" ht="15" hidden="false" customHeight="false" outlineLevel="0" collapsed="false">
      <c r="A2788" s="8" t="s">
        <v>7417</v>
      </c>
      <c r="B2788" s="8" t="s">
        <v>3012</v>
      </c>
      <c r="C2788" s="8" t="s">
        <v>51</v>
      </c>
      <c r="D2788" s="32" t="n">
        <v>46164</v>
      </c>
      <c r="E2788" s="8" t="n">
        <v>7</v>
      </c>
      <c r="F2788" s="8" t="str">
        <f aca="false">IF(E2788&gt;=9,"Promoter",IF(E2788&gt;=7,"Passive","Detractor"))</f>
        <v>Passive</v>
      </c>
    </row>
    <row r="2789" customFormat="false" ht="15" hidden="false" customHeight="false" outlineLevel="0" collapsed="false">
      <c r="A2789" s="8" t="s">
        <v>7418</v>
      </c>
      <c r="B2789" s="8" t="s">
        <v>3892</v>
      </c>
      <c r="C2789" s="8" t="s">
        <v>51</v>
      </c>
      <c r="D2789" s="32" t="n">
        <v>46164</v>
      </c>
      <c r="E2789" s="8" t="n">
        <v>8</v>
      </c>
      <c r="F2789" s="8" t="str">
        <f aca="false">IF(E2789&gt;=9,"Promoter",IF(E2789&gt;=7,"Passive","Detractor"))</f>
        <v>Passive</v>
      </c>
    </row>
    <row r="2790" customFormat="false" ht="15" hidden="false" customHeight="false" outlineLevel="0" collapsed="false">
      <c r="A2790" s="8" t="s">
        <v>7419</v>
      </c>
      <c r="B2790" s="8" t="s">
        <v>1669</v>
      </c>
      <c r="C2790" s="8" t="s">
        <v>53</v>
      </c>
      <c r="D2790" s="32" t="n">
        <v>46164</v>
      </c>
      <c r="E2790" s="8" t="n">
        <v>6</v>
      </c>
      <c r="F2790" s="8" t="str">
        <f aca="false">IF(E2790&gt;=9,"Promoter",IF(E2790&gt;=7,"Passive","Detractor"))</f>
        <v>Detractor</v>
      </c>
    </row>
    <row r="2791" customFormat="false" ht="15" hidden="false" customHeight="false" outlineLevel="0" collapsed="false">
      <c r="A2791" s="8" t="s">
        <v>7420</v>
      </c>
      <c r="B2791" s="8" t="s">
        <v>3354</v>
      </c>
      <c r="C2791" s="8" t="s">
        <v>51</v>
      </c>
      <c r="D2791" s="32" t="n">
        <v>46165</v>
      </c>
      <c r="E2791" s="8" t="n">
        <v>7</v>
      </c>
      <c r="F2791" s="8" t="str">
        <f aca="false">IF(E2791&gt;=9,"Promoter",IF(E2791&gt;=7,"Passive","Detractor"))</f>
        <v>Passive</v>
      </c>
    </row>
    <row r="2792" customFormat="false" ht="15" hidden="false" customHeight="false" outlineLevel="0" collapsed="false">
      <c r="A2792" s="8" t="s">
        <v>7421</v>
      </c>
      <c r="B2792" s="8" t="s">
        <v>1407</v>
      </c>
      <c r="C2792" s="8" t="s">
        <v>53</v>
      </c>
      <c r="D2792" s="32" t="n">
        <v>46165</v>
      </c>
      <c r="E2792" s="8" t="n">
        <v>9</v>
      </c>
      <c r="F2792" s="8" t="str">
        <f aca="false">IF(E2792&gt;=9,"Promoter",IF(E2792&gt;=7,"Passive","Detractor"))</f>
        <v>Promoter</v>
      </c>
    </row>
    <row r="2793" customFormat="false" ht="15" hidden="false" customHeight="false" outlineLevel="0" collapsed="false">
      <c r="A2793" s="8" t="s">
        <v>7422</v>
      </c>
      <c r="B2793" s="8" t="s">
        <v>849</v>
      </c>
      <c r="C2793" s="8" t="s">
        <v>53</v>
      </c>
      <c r="D2793" s="32" t="n">
        <v>46165</v>
      </c>
      <c r="E2793" s="8" t="n">
        <v>8</v>
      </c>
      <c r="F2793" s="8" t="str">
        <f aca="false">IF(E2793&gt;=9,"Promoter",IF(E2793&gt;=7,"Passive","Detractor"))</f>
        <v>Passive</v>
      </c>
    </row>
    <row r="2794" customFormat="false" ht="15" hidden="false" customHeight="false" outlineLevel="0" collapsed="false">
      <c r="A2794" s="8" t="s">
        <v>7423</v>
      </c>
      <c r="B2794" s="8" t="s">
        <v>2048</v>
      </c>
      <c r="C2794" s="8" t="s">
        <v>51</v>
      </c>
      <c r="D2794" s="32" t="n">
        <v>46165</v>
      </c>
      <c r="E2794" s="8" t="n">
        <v>7</v>
      </c>
      <c r="F2794" s="8" t="str">
        <f aca="false">IF(E2794&gt;=9,"Promoter",IF(E2794&gt;=7,"Passive","Detractor"))</f>
        <v>Passive</v>
      </c>
    </row>
    <row r="2795" customFormat="false" ht="15" hidden="false" customHeight="false" outlineLevel="0" collapsed="false">
      <c r="A2795" s="8" t="s">
        <v>7424</v>
      </c>
      <c r="B2795" s="8" t="s">
        <v>1703</v>
      </c>
      <c r="C2795" s="8" t="s">
        <v>53</v>
      </c>
      <c r="D2795" s="32" t="n">
        <v>46165</v>
      </c>
      <c r="E2795" s="8" t="n">
        <v>4</v>
      </c>
      <c r="F2795" s="8" t="str">
        <f aca="false">IF(E2795&gt;=9,"Promoter",IF(E2795&gt;=7,"Passive","Detractor"))</f>
        <v>Detractor</v>
      </c>
    </row>
    <row r="2796" customFormat="false" ht="15" hidden="false" customHeight="false" outlineLevel="0" collapsed="false">
      <c r="A2796" s="8" t="s">
        <v>7425</v>
      </c>
      <c r="B2796" s="8" t="s">
        <v>2608</v>
      </c>
      <c r="C2796" s="8" t="s">
        <v>51</v>
      </c>
      <c r="D2796" s="32" t="n">
        <v>46165</v>
      </c>
      <c r="E2796" s="8" t="n">
        <v>6</v>
      </c>
      <c r="F2796" s="8" t="str">
        <f aca="false">IF(E2796&gt;=9,"Promoter",IF(E2796&gt;=7,"Passive","Detractor"))</f>
        <v>Detractor</v>
      </c>
    </row>
    <row r="2797" customFormat="false" ht="15" hidden="false" customHeight="false" outlineLevel="0" collapsed="false">
      <c r="A2797" s="8" t="s">
        <v>7426</v>
      </c>
      <c r="B2797" s="8" t="s">
        <v>1963</v>
      </c>
      <c r="C2797" s="8" t="s">
        <v>51</v>
      </c>
      <c r="D2797" s="32" t="n">
        <v>46165</v>
      </c>
      <c r="E2797" s="8" t="n">
        <v>7</v>
      </c>
      <c r="F2797" s="8" t="str">
        <f aca="false">IF(E2797&gt;=9,"Promoter",IF(E2797&gt;=7,"Passive","Detractor"))</f>
        <v>Passive</v>
      </c>
    </row>
    <row r="2798" customFormat="false" ht="15" hidden="false" customHeight="false" outlineLevel="0" collapsed="false">
      <c r="A2798" s="8" t="s">
        <v>7427</v>
      </c>
      <c r="B2798" s="8" t="s">
        <v>3200</v>
      </c>
      <c r="C2798" s="8" t="s">
        <v>51</v>
      </c>
      <c r="D2798" s="32" t="n">
        <v>46166</v>
      </c>
      <c r="E2798" s="8" t="n">
        <v>10</v>
      </c>
      <c r="F2798" s="8" t="str">
        <f aca="false">IF(E2798&gt;=9,"Promoter",IF(E2798&gt;=7,"Passive","Detractor"))</f>
        <v>Promoter</v>
      </c>
    </row>
    <row r="2799" customFormat="false" ht="15" hidden="false" customHeight="false" outlineLevel="0" collapsed="false">
      <c r="A2799" s="8" t="s">
        <v>7428</v>
      </c>
      <c r="B2799" s="8" t="s">
        <v>1059</v>
      </c>
      <c r="C2799" s="8" t="s">
        <v>53</v>
      </c>
      <c r="D2799" s="32" t="n">
        <v>46166</v>
      </c>
      <c r="E2799" s="8" t="n">
        <v>6</v>
      </c>
      <c r="F2799" s="8" t="str">
        <f aca="false">IF(E2799&gt;=9,"Promoter",IF(E2799&gt;=7,"Passive","Detractor"))</f>
        <v>Detractor</v>
      </c>
    </row>
    <row r="2800" customFormat="false" ht="15" hidden="false" customHeight="false" outlineLevel="0" collapsed="false">
      <c r="A2800" s="8" t="s">
        <v>7429</v>
      </c>
      <c r="B2800" s="8" t="s">
        <v>401</v>
      </c>
      <c r="C2800" s="8" t="s">
        <v>55</v>
      </c>
      <c r="D2800" s="32" t="n">
        <v>46166</v>
      </c>
      <c r="E2800" s="8" t="n">
        <v>10</v>
      </c>
      <c r="F2800" s="8" t="str">
        <f aca="false">IF(E2800&gt;=9,"Promoter",IF(E2800&gt;=7,"Passive","Detractor"))</f>
        <v>Promoter</v>
      </c>
    </row>
    <row r="2801" customFormat="false" ht="15" hidden="false" customHeight="false" outlineLevel="0" collapsed="false">
      <c r="A2801" s="8" t="s">
        <v>7430</v>
      </c>
      <c r="B2801" s="8" t="s">
        <v>1471</v>
      </c>
      <c r="C2801" s="8" t="s">
        <v>53</v>
      </c>
      <c r="D2801" s="32" t="n">
        <v>46166</v>
      </c>
      <c r="E2801" s="8" t="n">
        <v>3</v>
      </c>
      <c r="F2801" s="8" t="str">
        <f aca="false">IF(E2801&gt;=9,"Promoter",IF(E2801&gt;=7,"Passive","Detractor"))</f>
        <v>Detractor</v>
      </c>
    </row>
    <row r="2802" customFormat="false" ht="15" hidden="false" customHeight="false" outlineLevel="0" collapsed="false">
      <c r="A2802" s="8" t="s">
        <v>7431</v>
      </c>
      <c r="B2802" s="8" t="s">
        <v>3278</v>
      </c>
      <c r="C2802" s="8" t="s">
        <v>51</v>
      </c>
      <c r="D2802" s="32" t="n">
        <v>46166</v>
      </c>
      <c r="E2802" s="8" t="n">
        <v>7</v>
      </c>
      <c r="F2802" s="8" t="str">
        <f aca="false">IF(E2802&gt;=9,"Promoter",IF(E2802&gt;=7,"Passive","Detractor"))</f>
        <v>Passive</v>
      </c>
    </row>
    <row r="2803" customFormat="false" ht="15" hidden="false" customHeight="false" outlineLevel="0" collapsed="false">
      <c r="A2803" s="8" t="s">
        <v>7432</v>
      </c>
      <c r="B2803" s="8" t="s">
        <v>709</v>
      </c>
      <c r="C2803" s="8" t="s">
        <v>53</v>
      </c>
      <c r="D2803" s="32" t="n">
        <v>46166</v>
      </c>
      <c r="E2803" s="8" t="n">
        <v>10</v>
      </c>
      <c r="F2803" s="8" t="str">
        <f aca="false">IF(E2803&gt;=9,"Promoter",IF(E2803&gt;=7,"Passive","Detractor"))</f>
        <v>Promoter</v>
      </c>
    </row>
    <row r="2804" customFormat="false" ht="15" hidden="false" customHeight="false" outlineLevel="0" collapsed="false">
      <c r="A2804" s="8" t="s">
        <v>7433</v>
      </c>
      <c r="B2804" s="8" t="s">
        <v>2050</v>
      </c>
      <c r="C2804" s="8" t="s">
        <v>51</v>
      </c>
      <c r="D2804" s="32" t="n">
        <v>46166</v>
      </c>
      <c r="E2804" s="8" t="n">
        <v>10</v>
      </c>
      <c r="F2804" s="8" t="str">
        <f aca="false">IF(E2804&gt;=9,"Promoter",IF(E2804&gt;=7,"Passive","Detractor"))</f>
        <v>Promoter</v>
      </c>
    </row>
    <row r="2805" customFormat="false" ht="15" hidden="false" customHeight="false" outlineLevel="0" collapsed="false">
      <c r="A2805" s="8" t="s">
        <v>7434</v>
      </c>
      <c r="B2805" s="8" t="s">
        <v>755</v>
      </c>
      <c r="C2805" s="8" t="s">
        <v>53</v>
      </c>
      <c r="D2805" s="32" t="n">
        <v>46166</v>
      </c>
      <c r="E2805" s="8" t="n">
        <v>10</v>
      </c>
      <c r="F2805" s="8" t="str">
        <f aca="false">IF(E2805&gt;=9,"Promoter",IF(E2805&gt;=7,"Passive","Detractor"))</f>
        <v>Promoter</v>
      </c>
    </row>
    <row r="2806" customFormat="false" ht="15" hidden="false" customHeight="false" outlineLevel="0" collapsed="false">
      <c r="A2806" s="8" t="s">
        <v>7435</v>
      </c>
      <c r="B2806" s="8" t="s">
        <v>3764</v>
      </c>
      <c r="C2806" s="8" t="s">
        <v>51</v>
      </c>
      <c r="D2806" s="32" t="n">
        <v>46166</v>
      </c>
      <c r="E2806" s="8" t="n">
        <v>9</v>
      </c>
      <c r="F2806" s="8" t="str">
        <f aca="false">IF(E2806&gt;=9,"Promoter",IF(E2806&gt;=7,"Passive","Detractor"))</f>
        <v>Promoter</v>
      </c>
    </row>
    <row r="2807" customFormat="false" ht="15" hidden="false" customHeight="false" outlineLevel="0" collapsed="false">
      <c r="A2807" s="8" t="s">
        <v>7436</v>
      </c>
      <c r="B2807" s="8" t="s">
        <v>473</v>
      </c>
      <c r="C2807" s="8" t="s">
        <v>55</v>
      </c>
      <c r="D2807" s="32" t="n">
        <v>46166</v>
      </c>
      <c r="E2807" s="8" t="n">
        <v>7</v>
      </c>
      <c r="F2807" s="8" t="str">
        <f aca="false">IF(E2807&gt;=9,"Promoter",IF(E2807&gt;=7,"Passive","Detractor"))</f>
        <v>Passive</v>
      </c>
    </row>
    <row r="2808" customFormat="false" ht="15" hidden="false" customHeight="false" outlineLevel="0" collapsed="false">
      <c r="A2808" s="8" t="s">
        <v>7437</v>
      </c>
      <c r="B2808" s="8" t="s">
        <v>1589</v>
      </c>
      <c r="C2808" s="8" t="s">
        <v>53</v>
      </c>
      <c r="D2808" s="32" t="n">
        <v>46166</v>
      </c>
      <c r="E2808" s="8" t="n">
        <v>7</v>
      </c>
      <c r="F2808" s="8" t="str">
        <f aca="false">IF(E2808&gt;=9,"Promoter",IF(E2808&gt;=7,"Passive","Detractor"))</f>
        <v>Passive</v>
      </c>
    </row>
    <row r="2809" customFormat="false" ht="15" hidden="false" customHeight="false" outlineLevel="0" collapsed="false">
      <c r="A2809" s="8" t="s">
        <v>7438</v>
      </c>
      <c r="B2809" s="8" t="s">
        <v>493</v>
      </c>
      <c r="C2809" s="8" t="s">
        <v>55</v>
      </c>
      <c r="D2809" s="32" t="n">
        <v>46166</v>
      </c>
      <c r="E2809" s="8" t="n">
        <v>9</v>
      </c>
      <c r="F2809" s="8" t="str">
        <f aca="false">IF(E2809&gt;=9,"Promoter",IF(E2809&gt;=7,"Passive","Detractor"))</f>
        <v>Promoter</v>
      </c>
    </row>
    <row r="2810" customFormat="false" ht="15" hidden="false" customHeight="false" outlineLevel="0" collapsed="false">
      <c r="A2810" s="8" t="s">
        <v>7439</v>
      </c>
      <c r="B2810" s="8" t="s">
        <v>1865</v>
      </c>
      <c r="C2810" s="8" t="s">
        <v>51</v>
      </c>
      <c r="D2810" s="32" t="n">
        <v>46166</v>
      </c>
      <c r="E2810" s="8" t="n">
        <v>10</v>
      </c>
      <c r="F2810" s="8" t="str">
        <f aca="false">IF(E2810&gt;=9,"Promoter",IF(E2810&gt;=7,"Passive","Detractor"))</f>
        <v>Promoter</v>
      </c>
    </row>
    <row r="2811" customFormat="false" ht="15" hidden="false" customHeight="false" outlineLevel="0" collapsed="false">
      <c r="A2811" s="8" t="s">
        <v>7440</v>
      </c>
      <c r="B2811" s="8" t="s">
        <v>134</v>
      </c>
      <c r="C2811" s="8" t="s">
        <v>55</v>
      </c>
      <c r="D2811" s="32" t="n">
        <v>46166</v>
      </c>
      <c r="E2811" s="8" t="n">
        <v>7</v>
      </c>
      <c r="F2811" s="8" t="str">
        <f aca="false">IF(E2811&gt;=9,"Promoter",IF(E2811&gt;=7,"Passive","Detractor"))</f>
        <v>Passive</v>
      </c>
    </row>
    <row r="2812" customFormat="false" ht="15" hidden="false" customHeight="false" outlineLevel="0" collapsed="false">
      <c r="A2812" s="8" t="s">
        <v>7441</v>
      </c>
      <c r="B2812" s="8" t="s">
        <v>975</v>
      </c>
      <c r="C2812" s="8" t="s">
        <v>53</v>
      </c>
      <c r="D2812" s="32" t="n">
        <v>46166</v>
      </c>
      <c r="E2812" s="8" t="n">
        <v>7</v>
      </c>
      <c r="F2812" s="8" t="str">
        <f aca="false">IF(E2812&gt;=9,"Promoter",IF(E2812&gt;=7,"Passive","Detractor"))</f>
        <v>Passive</v>
      </c>
    </row>
    <row r="2813" customFormat="false" ht="15" hidden="false" customHeight="false" outlineLevel="0" collapsed="false">
      <c r="A2813" s="8" t="s">
        <v>7442</v>
      </c>
      <c r="B2813" s="8" t="s">
        <v>1171</v>
      </c>
      <c r="C2813" s="8" t="s">
        <v>53</v>
      </c>
      <c r="D2813" s="32" t="n">
        <v>46167</v>
      </c>
      <c r="E2813" s="8" t="n">
        <v>7</v>
      </c>
      <c r="F2813" s="8" t="str">
        <f aca="false">IF(E2813&gt;=9,"Promoter",IF(E2813&gt;=7,"Passive","Detractor"))</f>
        <v>Passive</v>
      </c>
    </row>
    <row r="2814" customFormat="false" ht="15" hidden="false" customHeight="false" outlineLevel="0" collapsed="false">
      <c r="A2814" s="8" t="s">
        <v>7443</v>
      </c>
      <c r="B2814" s="8" t="s">
        <v>3248</v>
      </c>
      <c r="C2814" s="8" t="s">
        <v>51</v>
      </c>
      <c r="D2814" s="32" t="n">
        <v>46167</v>
      </c>
      <c r="E2814" s="8" t="n">
        <v>8</v>
      </c>
      <c r="F2814" s="8" t="str">
        <f aca="false">IF(E2814&gt;=9,"Promoter",IF(E2814&gt;=7,"Passive","Detractor"))</f>
        <v>Passive</v>
      </c>
    </row>
    <row r="2815" customFormat="false" ht="15" hidden="false" customHeight="false" outlineLevel="0" collapsed="false">
      <c r="A2815" s="8" t="s">
        <v>7444</v>
      </c>
      <c r="B2815" s="8" t="s">
        <v>1559</v>
      </c>
      <c r="C2815" s="8" t="s">
        <v>53</v>
      </c>
      <c r="D2815" s="32" t="n">
        <v>46174</v>
      </c>
      <c r="E2815" s="8" t="n">
        <v>9</v>
      </c>
      <c r="F2815" s="8" t="str">
        <f aca="false">IF(E2815&gt;=9,"Promoter",IF(E2815&gt;=7,"Passive","Detractor"))</f>
        <v>Promoter</v>
      </c>
    </row>
    <row r="2816" customFormat="false" ht="15" hidden="false" customHeight="false" outlineLevel="0" collapsed="false">
      <c r="A2816" s="8" t="s">
        <v>7445</v>
      </c>
      <c r="B2816" s="8" t="s">
        <v>805</v>
      </c>
      <c r="C2816" s="8" t="s">
        <v>53</v>
      </c>
      <c r="D2816" s="32" t="n">
        <v>46174</v>
      </c>
      <c r="E2816" s="8" t="n">
        <v>9</v>
      </c>
      <c r="F2816" s="8" t="str">
        <f aca="false">IF(E2816&gt;=9,"Promoter",IF(E2816&gt;=7,"Passive","Detractor"))</f>
        <v>Promoter</v>
      </c>
    </row>
    <row r="2817" customFormat="false" ht="15" hidden="false" customHeight="false" outlineLevel="0" collapsed="false">
      <c r="A2817" s="8" t="s">
        <v>7446</v>
      </c>
      <c r="B2817" s="8" t="s">
        <v>875</v>
      </c>
      <c r="C2817" s="8" t="s">
        <v>53</v>
      </c>
      <c r="D2817" s="32" t="n">
        <v>46174</v>
      </c>
      <c r="E2817" s="8" t="n">
        <v>10</v>
      </c>
      <c r="F2817" s="8" t="str">
        <f aca="false">IF(E2817&gt;=9,"Promoter",IF(E2817&gt;=7,"Passive","Detractor"))</f>
        <v>Promoter</v>
      </c>
    </row>
    <row r="2818" customFormat="false" ht="15" hidden="false" customHeight="false" outlineLevel="0" collapsed="false">
      <c r="A2818" s="8" t="s">
        <v>7447</v>
      </c>
      <c r="B2818" s="8" t="s">
        <v>3218</v>
      </c>
      <c r="C2818" s="8" t="s">
        <v>51</v>
      </c>
      <c r="D2818" s="32" t="n">
        <v>46174</v>
      </c>
      <c r="E2818" s="8" t="n">
        <v>7</v>
      </c>
      <c r="F2818" s="8" t="str">
        <f aca="false">IF(E2818&gt;=9,"Promoter",IF(E2818&gt;=7,"Passive","Detractor"))</f>
        <v>Passive</v>
      </c>
    </row>
    <row r="2819" customFormat="false" ht="15" hidden="false" customHeight="false" outlineLevel="0" collapsed="false">
      <c r="A2819" s="8" t="s">
        <v>7448</v>
      </c>
      <c r="B2819" s="8" t="s">
        <v>811</v>
      </c>
      <c r="C2819" s="8" t="s">
        <v>53</v>
      </c>
      <c r="D2819" s="32" t="n">
        <v>46174</v>
      </c>
      <c r="E2819" s="8" t="n">
        <v>5</v>
      </c>
      <c r="F2819" s="8" t="str">
        <f aca="false">IF(E2819&gt;=9,"Promoter",IF(E2819&gt;=7,"Passive","Detractor"))</f>
        <v>Detractor</v>
      </c>
    </row>
    <row r="2820" customFormat="false" ht="15" hidden="false" customHeight="false" outlineLevel="0" collapsed="false">
      <c r="A2820" s="8" t="s">
        <v>7449</v>
      </c>
      <c r="B2820" s="8" t="s">
        <v>469</v>
      </c>
      <c r="C2820" s="8" t="s">
        <v>53</v>
      </c>
      <c r="D2820" s="32" t="n">
        <v>46174</v>
      </c>
      <c r="E2820" s="8" t="n">
        <v>9</v>
      </c>
      <c r="F2820" s="8" t="str">
        <f aca="false">IF(E2820&gt;=9,"Promoter",IF(E2820&gt;=7,"Passive","Detractor"))</f>
        <v>Promoter</v>
      </c>
    </row>
    <row r="2821" customFormat="false" ht="15" hidden="false" customHeight="false" outlineLevel="0" collapsed="false">
      <c r="A2821" s="8" t="s">
        <v>7450</v>
      </c>
      <c r="B2821" s="8" t="s">
        <v>4194</v>
      </c>
      <c r="C2821" s="8" t="s">
        <v>51</v>
      </c>
      <c r="D2821" s="32" t="n">
        <v>46174</v>
      </c>
      <c r="E2821" s="8" t="n">
        <v>4</v>
      </c>
      <c r="F2821" s="8" t="str">
        <f aca="false">IF(E2821&gt;=9,"Promoter",IF(E2821&gt;=7,"Passive","Detractor"))</f>
        <v>Detractor</v>
      </c>
    </row>
    <row r="2822" customFormat="false" ht="15" hidden="false" customHeight="false" outlineLevel="0" collapsed="false">
      <c r="A2822" s="8" t="s">
        <v>7451</v>
      </c>
      <c r="B2822" s="8" t="s">
        <v>2970</v>
      </c>
      <c r="C2822" s="8" t="s">
        <v>51</v>
      </c>
      <c r="D2822" s="32" t="n">
        <v>46174</v>
      </c>
      <c r="E2822" s="8" t="n">
        <v>10</v>
      </c>
      <c r="F2822" s="8" t="str">
        <f aca="false">IF(E2822&gt;=9,"Promoter",IF(E2822&gt;=7,"Passive","Detractor"))</f>
        <v>Promoter</v>
      </c>
    </row>
    <row r="2823" customFormat="false" ht="15" hidden="false" customHeight="false" outlineLevel="0" collapsed="false">
      <c r="A2823" s="8" t="s">
        <v>7452</v>
      </c>
      <c r="B2823" s="8" t="s">
        <v>3392</v>
      </c>
      <c r="C2823" s="8" t="s">
        <v>51</v>
      </c>
      <c r="D2823" s="32" t="n">
        <v>46175</v>
      </c>
      <c r="E2823" s="8" t="n">
        <v>10</v>
      </c>
      <c r="F2823" s="8" t="str">
        <f aca="false">IF(E2823&gt;=9,"Promoter",IF(E2823&gt;=7,"Passive","Detractor"))</f>
        <v>Promoter</v>
      </c>
    </row>
    <row r="2824" customFormat="false" ht="15" hidden="false" customHeight="false" outlineLevel="0" collapsed="false">
      <c r="A2824" s="8" t="s">
        <v>7453</v>
      </c>
      <c r="B2824" s="8" t="s">
        <v>2446</v>
      </c>
      <c r="C2824" s="8" t="s">
        <v>51</v>
      </c>
      <c r="D2824" s="32" t="n">
        <v>46175</v>
      </c>
      <c r="E2824" s="8" t="n">
        <v>10</v>
      </c>
      <c r="F2824" s="8" t="str">
        <f aca="false">IF(E2824&gt;=9,"Promoter",IF(E2824&gt;=7,"Passive","Detractor"))</f>
        <v>Promoter</v>
      </c>
    </row>
    <row r="2825" customFormat="false" ht="15" hidden="false" customHeight="false" outlineLevel="0" collapsed="false">
      <c r="A2825" s="8" t="s">
        <v>7454</v>
      </c>
      <c r="B2825" s="8" t="s">
        <v>2640</v>
      </c>
      <c r="C2825" s="8" t="s">
        <v>51</v>
      </c>
      <c r="D2825" s="32" t="n">
        <v>46175</v>
      </c>
      <c r="E2825" s="8" t="n">
        <v>6</v>
      </c>
      <c r="F2825" s="8" t="str">
        <f aca="false">IF(E2825&gt;=9,"Promoter",IF(E2825&gt;=7,"Passive","Detractor"))</f>
        <v>Detractor</v>
      </c>
    </row>
    <row r="2826" customFormat="false" ht="15" hidden="false" customHeight="false" outlineLevel="0" collapsed="false">
      <c r="A2826" s="8" t="s">
        <v>7455</v>
      </c>
      <c r="B2826" s="8" t="s">
        <v>4206</v>
      </c>
      <c r="C2826" s="8" t="s">
        <v>51</v>
      </c>
      <c r="D2826" s="32" t="n">
        <v>46175</v>
      </c>
      <c r="E2826" s="8" t="n">
        <v>9</v>
      </c>
      <c r="F2826" s="8" t="str">
        <f aca="false">IF(E2826&gt;=9,"Promoter",IF(E2826&gt;=7,"Passive","Detractor"))</f>
        <v>Promoter</v>
      </c>
    </row>
    <row r="2827" customFormat="false" ht="15" hidden="false" customHeight="false" outlineLevel="0" collapsed="false">
      <c r="A2827" s="8" t="s">
        <v>7456</v>
      </c>
      <c r="B2827" s="8" t="s">
        <v>3130</v>
      </c>
      <c r="C2827" s="8" t="s">
        <v>51</v>
      </c>
      <c r="D2827" s="32" t="n">
        <v>46175</v>
      </c>
      <c r="E2827" s="8" t="n">
        <v>6</v>
      </c>
      <c r="F2827" s="8" t="str">
        <f aca="false">IF(E2827&gt;=9,"Promoter",IF(E2827&gt;=7,"Passive","Detractor"))</f>
        <v>Detractor</v>
      </c>
    </row>
    <row r="2828" customFormat="false" ht="15" hidden="false" customHeight="false" outlineLevel="0" collapsed="false">
      <c r="A2828" s="8" t="s">
        <v>7457</v>
      </c>
      <c r="B2828" s="8" t="s">
        <v>2742</v>
      </c>
      <c r="C2828" s="8" t="s">
        <v>51</v>
      </c>
      <c r="D2828" s="32" t="n">
        <v>46175</v>
      </c>
      <c r="E2828" s="8" t="n">
        <v>8</v>
      </c>
      <c r="F2828" s="8" t="str">
        <f aca="false">IF(E2828&gt;=9,"Promoter",IF(E2828&gt;=7,"Passive","Detractor"))</f>
        <v>Passive</v>
      </c>
    </row>
    <row r="2829" customFormat="false" ht="15" hidden="false" customHeight="false" outlineLevel="0" collapsed="false">
      <c r="A2829" s="8" t="s">
        <v>7458</v>
      </c>
      <c r="B2829" s="8" t="s">
        <v>1709</v>
      </c>
      <c r="C2829" s="8" t="s">
        <v>53</v>
      </c>
      <c r="D2829" s="32" t="n">
        <v>46175</v>
      </c>
      <c r="E2829" s="8" t="n">
        <v>5</v>
      </c>
      <c r="F2829" s="8" t="str">
        <f aca="false">IF(E2829&gt;=9,"Promoter",IF(E2829&gt;=7,"Passive","Detractor"))</f>
        <v>Detractor</v>
      </c>
    </row>
    <row r="2830" customFormat="false" ht="15" hidden="false" customHeight="false" outlineLevel="0" collapsed="false">
      <c r="A2830" s="8" t="s">
        <v>7459</v>
      </c>
      <c r="B2830" s="8" t="s">
        <v>1665</v>
      </c>
      <c r="C2830" s="8" t="s">
        <v>53</v>
      </c>
      <c r="D2830" s="32" t="n">
        <v>46175</v>
      </c>
      <c r="E2830" s="8" t="n">
        <v>8</v>
      </c>
      <c r="F2830" s="8" t="str">
        <f aca="false">IF(E2830&gt;=9,"Promoter",IF(E2830&gt;=7,"Passive","Detractor"))</f>
        <v>Passive</v>
      </c>
    </row>
    <row r="2831" customFormat="false" ht="15" hidden="false" customHeight="false" outlineLevel="0" collapsed="false">
      <c r="A2831" s="8" t="s">
        <v>7460</v>
      </c>
      <c r="B2831" s="8" t="s">
        <v>4318</v>
      </c>
      <c r="C2831" s="8" t="s">
        <v>51</v>
      </c>
      <c r="D2831" s="32" t="n">
        <v>46175</v>
      </c>
      <c r="E2831" s="8" t="n">
        <v>10</v>
      </c>
      <c r="F2831" s="8" t="str">
        <f aca="false">IF(E2831&gt;=9,"Promoter",IF(E2831&gt;=7,"Passive","Detractor"))</f>
        <v>Promoter</v>
      </c>
    </row>
    <row r="2832" customFormat="false" ht="15" hidden="false" customHeight="false" outlineLevel="0" collapsed="false">
      <c r="A2832" s="8" t="s">
        <v>7461</v>
      </c>
      <c r="B2832" s="8" t="s">
        <v>521</v>
      </c>
      <c r="C2832" s="8" t="s">
        <v>53</v>
      </c>
      <c r="D2832" s="32" t="n">
        <v>46175</v>
      </c>
      <c r="E2832" s="8" t="n">
        <v>10</v>
      </c>
      <c r="F2832" s="8" t="str">
        <f aca="false">IF(E2832&gt;=9,"Promoter",IF(E2832&gt;=7,"Passive","Detractor"))</f>
        <v>Promoter</v>
      </c>
    </row>
    <row r="2833" customFormat="false" ht="15" hidden="false" customHeight="false" outlineLevel="0" collapsed="false">
      <c r="A2833" s="8" t="s">
        <v>7462</v>
      </c>
      <c r="B2833" s="8" t="s">
        <v>3736</v>
      </c>
      <c r="C2833" s="8" t="s">
        <v>51</v>
      </c>
      <c r="D2833" s="32" t="n">
        <v>46175</v>
      </c>
      <c r="E2833" s="8" t="n">
        <v>8</v>
      </c>
      <c r="F2833" s="8" t="str">
        <f aca="false">IF(E2833&gt;=9,"Promoter",IF(E2833&gt;=7,"Passive","Detractor"))</f>
        <v>Passive</v>
      </c>
    </row>
    <row r="2834" customFormat="false" ht="15" hidden="false" customHeight="false" outlineLevel="0" collapsed="false">
      <c r="A2834" s="8" t="s">
        <v>7463</v>
      </c>
      <c r="B2834" s="8" t="s">
        <v>2078</v>
      </c>
      <c r="C2834" s="8" t="s">
        <v>51</v>
      </c>
      <c r="D2834" s="32" t="n">
        <v>46175</v>
      </c>
      <c r="E2834" s="8" t="n">
        <v>8</v>
      </c>
      <c r="F2834" s="8" t="str">
        <f aca="false">IF(E2834&gt;=9,"Promoter",IF(E2834&gt;=7,"Passive","Detractor"))</f>
        <v>Passive</v>
      </c>
    </row>
    <row r="2835" customFormat="false" ht="15" hidden="false" customHeight="false" outlineLevel="0" collapsed="false">
      <c r="A2835" s="8" t="s">
        <v>7464</v>
      </c>
      <c r="B2835" s="8" t="s">
        <v>1717</v>
      </c>
      <c r="C2835" s="8" t="s">
        <v>53</v>
      </c>
      <c r="D2835" s="32" t="n">
        <v>46175</v>
      </c>
      <c r="E2835" s="8" t="n">
        <v>7</v>
      </c>
      <c r="F2835" s="8" t="str">
        <f aca="false">IF(E2835&gt;=9,"Promoter",IF(E2835&gt;=7,"Passive","Detractor"))</f>
        <v>Passive</v>
      </c>
    </row>
    <row r="2836" customFormat="false" ht="15" hidden="false" customHeight="false" outlineLevel="0" collapsed="false">
      <c r="A2836" s="8" t="s">
        <v>7465</v>
      </c>
      <c r="B2836" s="8" t="s">
        <v>2346</v>
      </c>
      <c r="C2836" s="8" t="s">
        <v>51</v>
      </c>
      <c r="D2836" s="32" t="n">
        <v>46175</v>
      </c>
      <c r="E2836" s="8" t="n">
        <v>9</v>
      </c>
      <c r="F2836" s="8" t="str">
        <f aca="false">IF(E2836&gt;=9,"Promoter",IF(E2836&gt;=7,"Passive","Detractor"))</f>
        <v>Promoter</v>
      </c>
    </row>
    <row r="2837" customFormat="false" ht="15" hidden="false" customHeight="false" outlineLevel="0" collapsed="false">
      <c r="A2837" s="8" t="s">
        <v>7466</v>
      </c>
      <c r="B2837" s="8" t="s">
        <v>2184</v>
      </c>
      <c r="C2837" s="8" t="s">
        <v>51</v>
      </c>
      <c r="D2837" s="32" t="n">
        <v>46175</v>
      </c>
      <c r="E2837" s="8" t="n">
        <v>10</v>
      </c>
      <c r="F2837" s="8" t="str">
        <f aca="false">IF(E2837&gt;=9,"Promoter",IF(E2837&gt;=7,"Passive","Detractor"))</f>
        <v>Promoter</v>
      </c>
    </row>
    <row r="2838" customFormat="false" ht="15" hidden="false" customHeight="false" outlineLevel="0" collapsed="false">
      <c r="A2838" s="8" t="s">
        <v>7467</v>
      </c>
      <c r="B2838" s="8" t="s">
        <v>551</v>
      </c>
      <c r="C2838" s="8" t="s">
        <v>53</v>
      </c>
      <c r="D2838" s="32" t="n">
        <v>46175</v>
      </c>
      <c r="E2838" s="8" t="n">
        <v>9</v>
      </c>
      <c r="F2838" s="8" t="str">
        <f aca="false">IF(E2838&gt;=9,"Promoter",IF(E2838&gt;=7,"Passive","Detractor"))</f>
        <v>Promoter</v>
      </c>
    </row>
    <row r="2839" customFormat="false" ht="15" hidden="false" customHeight="false" outlineLevel="0" collapsed="false">
      <c r="A2839" s="8" t="s">
        <v>7468</v>
      </c>
      <c r="B2839" s="8" t="s">
        <v>2226</v>
      </c>
      <c r="C2839" s="8" t="s">
        <v>51</v>
      </c>
      <c r="D2839" s="32" t="n">
        <v>46175</v>
      </c>
      <c r="E2839" s="8" t="n">
        <v>10</v>
      </c>
      <c r="F2839" s="8" t="str">
        <f aca="false">IF(E2839&gt;=9,"Promoter",IF(E2839&gt;=7,"Passive","Detractor"))</f>
        <v>Promoter</v>
      </c>
    </row>
    <row r="2840" customFormat="false" ht="15" hidden="false" customHeight="false" outlineLevel="0" collapsed="false">
      <c r="A2840" s="8" t="s">
        <v>7469</v>
      </c>
      <c r="B2840" s="8" t="s">
        <v>3092</v>
      </c>
      <c r="C2840" s="8" t="s">
        <v>51</v>
      </c>
      <c r="D2840" s="32" t="n">
        <v>46175</v>
      </c>
      <c r="E2840" s="8" t="n">
        <v>9</v>
      </c>
      <c r="F2840" s="8" t="str">
        <f aca="false">IF(E2840&gt;=9,"Promoter",IF(E2840&gt;=7,"Passive","Detractor"))</f>
        <v>Promoter</v>
      </c>
    </row>
    <row r="2841" customFormat="false" ht="15" hidden="false" customHeight="false" outlineLevel="0" collapsed="false">
      <c r="A2841" s="8" t="s">
        <v>7470</v>
      </c>
      <c r="B2841" s="8" t="s">
        <v>2634</v>
      </c>
      <c r="C2841" s="8" t="s">
        <v>51</v>
      </c>
      <c r="D2841" s="32" t="n">
        <v>46176</v>
      </c>
      <c r="E2841" s="8" t="n">
        <v>9</v>
      </c>
      <c r="F2841" s="8" t="str">
        <f aca="false">IF(E2841&gt;=9,"Promoter",IF(E2841&gt;=7,"Passive","Detractor"))</f>
        <v>Promoter</v>
      </c>
    </row>
    <row r="2842" customFormat="false" ht="15" hidden="false" customHeight="false" outlineLevel="0" collapsed="false">
      <c r="A2842" s="8" t="s">
        <v>7471</v>
      </c>
      <c r="B2842" s="8" t="s">
        <v>1697</v>
      </c>
      <c r="C2842" s="8" t="s">
        <v>53</v>
      </c>
      <c r="D2842" s="32" t="n">
        <v>46176</v>
      </c>
      <c r="E2842" s="8" t="n">
        <v>5</v>
      </c>
      <c r="F2842" s="8" t="str">
        <f aca="false">IF(E2842&gt;=9,"Promoter",IF(E2842&gt;=7,"Passive","Detractor"))</f>
        <v>Detractor</v>
      </c>
    </row>
    <row r="2843" customFormat="false" ht="15" hidden="false" customHeight="false" outlineLevel="0" collapsed="false">
      <c r="A2843" s="8" t="s">
        <v>7472</v>
      </c>
      <c r="B2843" s="8" t="s">
        <v>2422</v>
      </c>
      <c r="C2843" s="8" t="s">
        <v>51</v>
      </c>
      <c r="D2843" s="32" t="n">
        <v>46176</v>
      </c>
      <c r="E2843" s="8" t="n">
        <v>4</v>
      </c>
      <c r="F2843" s="8" t="str">
        <f aca="false">IF(E2843&gt;=9,"Promoter",IF(E2843&gt;=7,"Passive","Detractor"))</f>
        <v>Detractor</v>
      </c>
    </row>
    <row r="2844" customFormat="false" ht="15" hidden="false" customHeight="false" outlineLevel="0" collapsed="false">
      <c r="A2844" s="8" t="s">
        <v>7473</v>
      </c>
      <c r="B2844" s="8" t="s">
        <v>819</v>
      </c>
      <c r="C2844" s="8" t="s">
        <v>55</v>
      </c>
      <c r="D2844" s="32" t="n">
        <v>46176</v>
      </c>
      <c r="E2844" s="8" t="n">
        <v>10</v>
      </c>
      <c r="F2844" s="8" t="str">
        <f aca="false">IF(E2844&gt;=9,"Promoter",IF(E2844&gt;=7,"Passive","Detractor"))</f>
        <v>Promoter</v>
      </c>
    </row>
    <row r="2845" customFormat="false" ht="15" hidden="false" customHeight="false" outlineLevel="0" collapsed="false">
      <c r="A2845" s="8" t="s">
        <v>7474</v>
      </c>
      <c r="B2845" s="8" t="s">
        <v>4226</v>
      </c>
      <c r="C2845" s="8" t="s">
        <v>51</v>
      </c>
      <c r="D2845" s="32" t="n">
        <v>46176</v>
      </c>
      <c r="E2845" s="8" t="n">
        <v>9</v>
      </c>
      <c r="F2845" s="8" t="str">
        <f aca="false">IF(E2845&gt;=9,"Promoter",IF(E2845&gt;=7,"Passive","Detractor"))</f>
        <v>Promoter</v>
      </c>
    </row>
    <row r="2846" customFormat="false" ht="15" hidden="false" customHeight="false" outlineLevel="0" collapsed="false">
      <c r="A2846" s="8" t="s">
        <v>7475</v>
      </c>
      <c r="B2846" s="8" t="s">
        <v>1423</v>
      </c>
      <c r="C2846" s="8" t="s">
        <v>53</v>
      </c>
      <c r="D2846" s="32" t="n">
        <v>46176</v>
      </c>
      <c r="E2846" s="8" t="n">
        <v>6</v>
      </c>
      <c r="F2846" s="8" t="str">
        <f aca="false">IF(E2846&gt;=9,"Promoter",IF(E2846&gt;=7,"Passive","Detractor"))</f>
        <v>Detractor</v>
      </c>
    </row>
    <row r="2847" customFormat="false" ht="15" hidden="false" customHeight="false" outlineLevel="0" collapsed="false">
      <c r="A2847" s="8" t="s">
        <v>7476</v>
      </c>
      <c r="B2847" s="8" t="s">
        <v>991</v>
      </c>
      <c r="C2847" s="8" t="s">
        <v>53</v>
      </c>
      <c r="D2847" s="32" t="n">
        <v>46176</v>
      </c>
      <c r="E2847" s="8" t="n">
        <v>10</v>
      </c>
      <c r="F2847" s="8" t="str">
        <f aca="false">IF(E2847&gt;=9,"Promoter",IF(E2847&gt;=7,"Passive","Detractor"))</f>
        <v>Promoter</v>
      </c>
    </row>
    <row r="2848" customFormat="false" ht="15" hidden="false" customHeight="false" outlineLevel="0" collapsed="false">
      <c r="A2848" s="8" t="s">
        <v>7477</v>
      </c>
      <c r="B2848" s="8" t="s">
        <v>2546</v>
      </c>
      <c r="C2848" s="8" t="s">
        <v>51</v>
      </c>
      <c r="D2848" s="32" t="n">
        <v>46176</v>
      </c>
      <c r="E2848" s="8" t="n">
        <v>5</v>
      </c>
      <c r="F2848" s="8" t="str">
        <f aca="false">IF(E2848&gt;=9,"Promoter",IF(E2848&gt;=7,"Passive","Detractor"))</f>
        <v>Detractor</v>
      </c>
    </row>
    <row r="2849" customFormat="false" ht="15" hidden="false" customHeight="false" outlineLevel="0" collapsed="false">
      <c r="A2849" s="8" t="s">
        <v>7478</v>
      </c>
      <c r="B2849" s="8" t="s">
        <v>461</v>
      </c>
      <c r="C2849" s="8" t="s">
        <v>55</v>
      </c>
      <c r="D2849" s="32" t="n">
        <v>46176</v>
      </c>
      <c r="E2849" s="8" t="n">
        <v>9</v>
      </c>
      <c r="F2849" s="8" t="str">
        <f aca="false">IF(E2849&gt;=9,"Promoter",IF(E2849&gt;=7,"Passive","Detractor"))</f>
        <v>Promoter</v>
      </c>
    </row>
    <row r="2850" customFormat="false" ht="15" hidden="false" customHeight="false" outlineLevel="0" collapsed="false">
      <c r="A2850" s="8" t="s">
        <v>7479</v>
      </c>
      <c r="B2850" s="8" t="s">
        <v>7480</v>
      </c>
      <c r="C2850" s="8" t="s">
        <v>53</v>
      </c>
      <c r="D2850" s="32" t="n">
        <v>46177</v>
      </c>
      <c r="E2850" s="8" t="n">
        <v>3</v>
      </c>
      <c r="F2850" s="8" t="str">
        <f aca="false">IF(E2850&gt;=9,"Promoter",IF(E2850&gt;=7,"Passive","Detractor"))</f>
        <v>Detractor</v>
      </c>
    </row>
    <row r="2851" customFormat="false" ht="15" hidden="false" customHeight="false" outlineLevel="0" collapsed="false">
      <c r="A2851" s="8" t="s">
        <v>7481</v>
      </c>
      <c r="B2851" s="8" t="s">
        <v>1937</v>
      </c>
      <c r="C2851" s="8" t="s">
        <v>51</v>
      </c>
      <c r="D2851" s="32" t="n">
        <v>46177</v>
      </c>
      <c r="E2851" s="8" t="n">
        <v>9</v>
      </c>
      <c r="F2851" s="8" t="str">
        <f aca="false">IF(E2851&gt;=9,"Promoter",IF(E2851&gt;=7,"Passive","Detractor"))</f>
        <v>Promoter</v>
      </c>
    </row>
    <row r="2852" customFormat="false" ht="15" hidden="false" customHeight="false" outlineLevel="0" collapsed="false">
      <c r="A2852" s="8" t="s">
        <v>7482</v>
      </c>
      <c r="B2852" s="8" t="s">
        <v>3268</v>
      </c>
      <c r="C2852" s="8" t="s">
        <v>51</v>
      </c>
      <c r="D2852" s="32" t="n">
        <v>46177</v>
      </c>
      <c r="E2852" s="8" t="n">
        <v>10</v>
      </c>
      <c r="F2852" s="8" t="str">
        <f aca="false">IF(E2852&gt;=9,"Promoter",IF(E2852&gt;=7,"Passive","Detractor"))</f>
        <v>Promoter</v>
      </c>
    </row>
    <row r="2853" customFormat="false" ht="15" hidden="false" customHeight="false" outlineLevel="0" collapsed="false">
      <c r="A2853" s="8" t="s">
        <v>7483</v>
      </c>
      <c r="B2853" s="8" t="s">
        <v>3410</v>
      </c>
      <c r="C2853" s="8" t="s">
        <v>51</v>
      </c>
      <c r="D2853" s="32" t="n">
        <v>46177</v>
      </c>
      <c r="E2853" s="8" t="n">
        <v>7</v>
      </c>
      <c r="F2853" s="8" t="str">
        <f aca="false">IF(E2853&gt;=9,"Promoter",IF(E2853&gt;=7,"Passive","Detractor"))</f>
        <v>Passive</v>
      </c>
    </row>
    <row r="2854" customFormat="false" ht="15" hidden="false" customHeight="false" outlineLevel="0" collapsed="false">
      <c r="A2854" s="8" t="s">
        <v>7484</v>
      </c>
      <c r="B2854" s="8" t="s">
        <v>4244</v>
      </c>
      <c r="C2854" s="8" t="s">
        <v>51</v>
      </c>
      <c r="D2854" s="32" t="n">
        <v>46177</v>
      </c>
      <c r="E2854" s="8" t="n">
        <v>3</v>
      </c>
      <c r="F2854" s="8" t="str">
        <f aca="false">IF(E2854&gt;=9,"Promoter",IF(E2854&gt;=7,"Passive","Detractor"))</f>
        <v>Detractor</v>
      </c>
    </row>
    <row r="2855" customFormat="false" ht="15" hidden="false" customHeight="false" outlineLevel="0" collapsed="false">
      <c r="A2855" s="8" t="s">
        <v>7485</v>
      </c>
      <c r="B2855" s="8" t="s">
        <v>1581</v>
      </c>
      <c r="C2855" s="8" t="s">
        <v>53</v>
      </c>
      <c r="D2855" s="32" t="n">
        <v>46177</v>
      </c>
      <c r="E2855" s="8" t="n">
        <v>10</v>
      </c>
      <c r="F2855" s="8" t="str">
        <f aca="false">IF(E2855&gt;=9,"Promoter",IF(E2855&gt;=7,"Passive","Detractor"))</f>
        <v>Promoter</v>
      </c>
    </row>
    <row r="2856" customFormat="false" ht="15" hidden="false" customHeight="false" outlineLevel="0" collapsed="false">
      <c r="A2856" s="8" t="s">
        <v>7486</v>
      </c>
      <c r="B2856" s="8" t="s">
        <v>969</v>
      </c>
      <c r="C2856" s="8" t="s">
        <v>53</v>
      </c>
      <c r="D2856" s="32" t="n">
        <v>46177</v>
      </c>
      <c r="E2856" s="8" t="n">
        <v>8</v>
      </c>
      <c r="F2856" s="8" t="str">
        <f aca="false">IF(E2856&gt;=9,"Promoter",IF(E2856&gt;=7,"Passive","Detractor"))</f>
        <v>Passive</v>
      </c>
    </row>
    <row r="2857" customFormat="false" ht="15" hidden="false" customHeight="false" outlineLevel="0" collapsed="false">
      <c r="A2857" s="8" t="s">
        <v>7487</v>
      </c>
      <c r="B2857" s="8" t="s">
        <v>3616</v>
      </c>
      <c r="C2857" s="8" t="s">
        <v>51</v>
      </c>
      <c r="D2857" s="32" t="n">
        <v>46177</v>
      </c>
      <c r="E2857" s="8" t="n">
        <v>6</v>
      </c>
      <c r="F2857" s="8" t="str">
        <f aca="false">IF(E2857&gt;=9,"Promoter",IF(E2857&gt;=7,"Passive","Detractor"))</f>
        <v>Detractor</v>
      </c>
    </row>
    <row r="2858" customFormat="false" ht="15" hidden="false" customHeight="false" outlineLevel="0" collapsed="false">
      <c r="A2858" s="8" t="s">
        <v>7488</v>
      </c>
      <c r="B2858" s="8" t="s">
        <v>1689</v>
      </c>
      <c r="C2858" s="8" t="s">
        <v>51</v>
      </c>
      <c r="D2858" s="32" t="n">
        <v>46177</v>
      </c>
      <c r="E2858" s="8" t="n">
        <v>10</v>
      </c>
      <c r="F2858" s="8" t="str">
        <f aca="false">IF(E2858&gt;=9,"Promoter",IF(E2858&gt;=7,"Passive","Detractor"))</f>
        <v>Promoter</v>
      </c>
    </row>
    <row r="2859" customFormat="false" ht="15" hidden="false" customHeight="false" outlineLevel="0" collapsed="false">
      <c r="A2859" s="8" t="s">
        <v>7489</v>
      </c>
      <c r="B2859" s="8" t="s">
        <v>3538</v>
      </c>
      <c r="C2859" s="8" t="s">
        <v>51</v>
      </c>
      <c r="D2859" s="32" t="n">
        <v>46177</v>
      </c>
      <c r="E2859" s="8" t="n">
        <v>8</v>
      </c>
      <c r="F2859" s="8" t="str">
        <f aca="false">IF(E2859&gt;=9,"Promoter",IF(E2859&gt;=7,"Passive","Detractor"))</f>
        <v>Passive</v>
      </c>
    </row>
    <row r="2860" customFormat="false" ht="15" hidden="false" customHeight="false" outlineLevel="0" collapsed="false">
      <c r="A2860" s="8" t="s">
        <v>7490</v>
      </c>
      <c r="B2860" s="8" t="s">
        <v>7491</v>
      </c>
      <c r="C2860" s="8" t="s">
        <v>51</v>
      </c>
      <c r="D2860" s="32" t="n">
        <v>46177</v>
      </c>
      <c r="E2860" s="8" t="n">
        <v>4</v>
      </c>
      <c r="F2860" s="8" t="str">
        <f aca="false">IF(E2860&gt;=9,"Promoter",IF(E2860&gt;=7,"Passive","Detractor"))</f>
        <v>Detractor</v>
      </c>
    </row>
    <row r="2861" customFormat="false" ht="15" hidden="false" customHeight="false" outlineLevel="0" collapsed="false">
      <c r="A2861" s="8" t="s">
        <v>7492</v>
      </c>
      <c r="B2861" s="8" t="s">
        <v>2724</v>
      </c>
      <c r="C2861" s="8" t="s">
        <v>51</v>
      </c>
      <c r="D2861" s="32" t="n">
        <v>46177</v>
      </c>
      <c r="E2861" s="8" t="n">
        <v>10</v>
      </c>
      <c r="F2861" s="8" t="str">
        <f aca="false">IF(E2861&gt;=9,"Promoter",IF(E2861&gt;=7,"Passive","Detractor"))</f>
        <v>Promoter</v>
      </c>
    </row>
    <row r="2862" customFormat="false" ht="15" hidden="false" customHeight="false" outlineLevel="0" collapsed="false">
      <c r="A2862" s="8" t="s">
        <v>7493</v>
      </c>
      <c r="B2862" s="8" t="s">
        <v>2174</v>
      </c>
      <c r="C2862" s="8" t="s">
        <v>51</v>
      </c>
      <c r="D2862" s="32" t="n">
        <v>46178</v>
      </c>
      <c r="E2862" s="8" t="n">
        <v>9</v>
      </c>
      <c r="F2862" s="8" t="str">
        <f aca="false">IF(E2862&gt;=9,"Promoter",IF(E2862&gt;=7,"Passive","Detractor"))</f>
        <v>Promoter</v>
      </c>
    </row>
    <row r="2863" customFormat="false" ht="15" hidden="false" customHeight="false" outlineLevel="0" collapsed="false">
      <c r="A2863" s="8" t="s">
        <v>7494</v>
      </c>
      <c r="B2863" s="8" t="s">
        <v>1305</v>
      </c>
      <c r="C2863" s="8" t="s">
        <v>53</v>
      </c>
      <c r="D2863" s="32" t="n">
        <v>46178</v>
      </c>
      <c r="E2863" s="8" t="n">
        <v>7</v>
      </c>
      <c r="F2863" s="8" t="str">
        <f aca="false">IF(E2863&gt;=9,"Promoter",IF(E2863&gt;=7,"Passive","Detractor"))</f>
        <v>Passive</v>
      </c>
    </row>
    <row r="2864" customFormat="false" ht="15" hidden="false" customHeight="false" outlineLevel="0" collapsed="false">
      <c r="A2864" s="8" t="s">
        <v>7495</v>
      </c>
      <c r="B2864" s="8" t="s">
        <v>3592</v>
      </c>
      <c r="C2864" s="8" t="s">
        <v>51</v>
      </c>
      <c r="D2864" s="32" t="n">
        <v>46178</v>
      </c>
      <c r="E2864" s="8" t="n">
        <v>9</v>
      </c>
      <c r="F2864" s="8" t="str">
        <f aca="false">IF(E2864&gt;=9,"Promoter",IF(E2864&gt;=7,"Passive","Detractor"))</f>
        <v>Promoter</v>
      </c>
    </row>
    <row r="2865" customFormat="false" ht="15" hidden="false" customHeight="false" outlineLevel="0" collapsed="false">
      <c r="A2865" s="8" t="s">
        <v>7496</v>
      </c>
      <c r="B2865" s="8" t="s">
        <v>3498</v>
      </c>
      <c r="C2865" s="8" t="s">
        <v>51</v>
      </c>
      <c r="D2865" s="32" t="n">
        <v>46178</v>
      </c>
      <c r="E2865" s="8" t="n">
        <v>8</v>
      </c>
      <c r="F2865" s="8" t="str">
        <f aca="false">IF(E2865&gt;=9,"Promoter",IF(E2865&gt;=7,"Passive","Detractor"))</f>
        <v>Passive</v>
      </c>
    </row>
    <row r="2866" customFormat="false" ht="15" hidden="false" customHeight="false" outlineLevel="0" collapsed="false">
      <c r="A2866" s="8" t="s">
        <v>7497</v>
      </c>
      <c r="B2866" s="8" t="s">
        <v>3108</v>
      </c>
      <c r="C2866" s="8" t="s">
        <v>51</v>
      </c>
      <c r="D2866" s="32" t="n">
        <v>46178</v>
      </c>
      <c r="E2866" s="8" t="n">
        <v>9</v>
      </c>
      <c r="F2866" s="8" t="str">
        <f aca="false">IF(E2866&gt;=9,"Promoter",IF(E2866&gt;=7,"Passive","Detractor"))</f>
        <v>Promoter</v>
      </c>
    </row>
    <row r="2867" customFormat="false" ht="15" hidden="false" customHeight="false" outlineLevel="0" collapsed="false">
      <c r="A2867" s="8" t="s">
        <v>7498</v>
      </c>
      <c r="B2867" s="8" t="s">
        <v>2264</v>
      </c>
      <c r="C2867" s="8" t="s">
        <v>51</v>
      </c>
      <c r="D2867" s="32" t="n">
        <v>46178</v>
      </c>
      <c r="E2867" s="8" t="n">
        <v>8</v>
      </c>
      <c r="F2867" s="8" t="str">
        <f aca="false">IF(E2867&gt;=9,"Promoter",IF(E2867&gt;=7,"Passive","Detractor"))</f>
        <v>Passive</v>
      </c>
    </row>
    <row r="2868" customFormat="false" ht="15" hidden="false" customHeight="false" outlineLevel="0" collapsed="false">
      <c r="A2868" s="8" t="s">
        <v>7499</v>
      </c>
      <c r="B2868" s="8" t="s">
        <v>1431</v>
      </c>
      <c r="C2868" s="8" t="s">
        <v>53</v>
      </c>
      <c r="D2868" s="32" t="n">
        <v>46178</v>
      </c>
      <c r="E2868" s="8" t="n">
        <v>9</v>
      </c>
      <c r="F2868" s="8" t="str">
        <f aca="false">IF(E2868&gt;=9,"Promoter",IF(E2868&gt;=7,"Passive","Detractor"))</f>
        <v>Promoter</v>
      </c>
    </row>
    <row r="2869" customFormat="false" ht="15" hidden="false" customHeight="false" outlineLevel="0" collapsed="false">
      <c r="A2869" s="8" t="s">
        <v>7500</v>
      </c>
      <c r="B2869" s="8" t="s">
        <v>2722</v>
      </c>
      <c r="C2869" s="8" t="s">
        <v>51</v>
      </c>
      <c r="D2869" s="32" t="n">
        <v>46178</v>
      </c>
      <c r="E2869" s="8" t="n">
        <v>5</v>
      </c>
      <c r="F2869" s="8" t="str">
        <f aca="false">IF(E2869&gt;=9,"Promoter",IF(E2869&gt;=7,"Passive","Detractor"))</f>
        <v>Detractor</v>
      </c>
    </row>
    <row r="2870" customFormat="false" ht="15" hidden="false" customHeight="false" outlineLevel="0" collapsed="false">
      <c r="A2870" s="8" t="s">
        <v>7501</v>
      </c>
      <c r="B2870" s="8" t="s">
        <v>3444</v>
      </c>
      <c r="C2870" s="8" t="s">
        <v>51</v>
      </c>
      <c r="D2870" s="32" t="n">
        <v>46179</v>
      </c>
      <c r="E2870" s="8" t="n">
        <v>10</v>
      </c>
      <c r="F2870" s="8" t="str">
        <f aca="false">IF(E2870&gt;=9,"Promoter",IF(E2870&gt;=7,"Passive","Detractor"))</f>
        <v>Promoter</v>
      </c>
    </row>
    <row r="2871" customFormat="false" ht="15" hidden="false" customHeight="false" outlineLevel="0" collapsed="false">
      <c r="A2871" s="8" t="s">
        <v>7502</v>
      </c>
      <c r="B2871" s="8" t="s">
        <v>2838</v>
      </c>
      <c r="C2871" s="8" t="s">
        <v>51</v>
      </c>
      <c r="D2871" s="32" t="n">
        <v>46179</v>
      </c>
      <c r="E2871" s="8" t="n">
        <v>10</v>
      </c>
      <c r="F2871" s="8" t="str">
        <f aca="false">IF(E2871&gt;=9,"Promoter",IF(E2871&gt;=7,"Passive","Detractor"))</f>
        <v>Promoter</v>
      </c>
    </row>
    <row r="2872" customFormat="false" ht="15" hidden="false" customHeight="false" outlineLevel="0" collapsed="false">
      <c r="A2872" s="8" t="s">
        <v>7503</v>
      </c>
      <c r="B2872" s="8" t="s">
        <v>4086</v>
      </c>
      <c r="C2872" s="8" t="s">
        <v>51</v>
      </c>
      <c r="D2872" s="32" t="n">
        <v>46179</v>
      </c>
      <c r="E2872" s="8" t="n">
        <v>6</v>
      </c>
      <c r="F2872" s="8" t="str">
        <f aca="false">IF(E2872&gt;=9,"Promoter",IF(E2872&gt;=7,"Passive","Detractor"))</f>
        <v>Detractor</v>
      </c>
    </row>
    <row r="2873" customFormat="false" ht="15" hidden="false" customHeight="false" outlineLevel="0" collapsed="false">
      <c r="A2873" s="8" t="s">
        <v>7504</v>
      </c>
      <c r="B2873" s="8" t="s">
        <v>3698</v>
      </c>
      <c r="C2873" s="8" t="s">
        <v>51</v>
      </c>
      <c r="D2873" s="32" t="n">
        <v>46179</v>
      </c>
      <c r="E2873" s="8" t="n">
        <v>8</v>
      </c>
      <c r="F2873" s="8" t="str">
        <f aca="false">IF(E2873&gt;=9,"Promoter",IF(E2873&gt;=7,"Passive","Detractor"))</f>
        <v>Passive</v>
      </c>
    </row>
    <row r="2874" customFormat="false" ht="15" hidden="false" customHeight="false" outlineLevel="0" collapsed="false">
      <c r="A2874" s="8" t="s">
        <v>7505</v>
      </c>
      <c r="B2874" s="8" t="s">
        <v>2354</v>
      </c>
      <c r="C2874" s="8" t="s">
        <v>51</v>
      </c>
      <c r="D2874" s="32" t="n">
        <v>46179</v>
      </c>
      <c r="E2874" s="8" t="n">
        <v>4</v>
      </c>
      <c r="F2874" s="8" t="str">
        <f aca="false">IF(E2874&gt;=9,"Promoter",IF(E2874&gt;=7,"Passive","Detractor"))</f>
        <v>Detractor</v>
      </c>
    </row>
    <row r="2875" customFormat="false" ht="15" hidden="false" customHeight="false" outlineLevel="0" collapsed="false">
      <c r="A2875" s="8" t="s">
        <v>7506</v>
      </c>
      <c r="B2875" s="8" t="s">
        <v>3496</v>
      </c>
      <c r="C2875" s="8" t="s">
        <v>51</v>
      </c>
      <c r="D2875" s="32" t="n">
        <v>46179</v>
      </c>
      <c r="E2875" s="8" t="n">
        <v>7</v>
      </c>
      <c r="F2875" s="8" t="str">
        <f aca="false">IF(E2875&gt;=9,"Promoter",IF(E2875&gt;=7,"Passive","Detractor"))</f>
        <v>Passive</v>
      </c>
    </row>
    <row r="2876" customFormat="false" ht="15" hidden="false" customHeight="false" outlineLevel="0" collapsed="false">
      <c r="A2876" s="8" t="s">
        <v>7507</v>
      </c>
      <c r="B2876" s="8" t="s">
        <v>3866</v>
      </c>
      <c r="C2876" s="8" t="s">
        <v>51</v>
      </c>
      <c r="D2876" s="32" t="n">
        <v>46179</v>
      </c>
      <c r="E2876" s="8" t="n">
        <v>8</v>
      </c>
      <c r="F2876" s="8" t="str">
        <f aca="false">IF(E2876&gt;=9,"Promoter",IF(E2876&gt;=7,"Passive","Detractor"))</f>
        <v>Passive</v>
      </c>
    </row>
    <row r="2877" customFormat="false" ht="15" hidden="false" customHeight="false" outlineLevel="0" collapsed="false">
      <c r="A2877" s="8" t="s">
        <v>7508</v>
      </c>
      <c r="B2877" s="8" t="s">
        <v>3872</v>
      </c>
      <c r="C2877" s="8" t="s">
        <v>51</v>
      </c>
      <c r="D2877" s="32" t="n">
        <v>46179</v>
      </c>
      <c r="E2877" s="8" t="n">
        <v>8</v>
      </c>
      <c r="F2877" s="8" t="str">
        <f aca="false">IF(E2877&gt;=9,"Promoter",IF(E2877&gt;=7,"Passive","Detractor"))</f>
        <v>Passive</v>
      </c>
    </row>
    <row r="2878" customFormat="false" ht="15" hidden="false" customHeight="false" outlineLevel="0" collapsed="false">
      <c r="A2878" s="8" t="s">
        <v>7509</v>
      </c>
      <c r="B2878" s="8" t="s">
        <v>2510</v>
      </c>
      <c r="C2878" s="8" t="s">
        <v>51</v>
      </c>
      <c r="D2878" s="32" t="n">
        <v>46179</v>
      </c>
      <c r="E2878" s="8" t="n">
        <v>7</v>
      </c>
      <c r="F2878" s="8" t="str">
        <f aca="false">IF(E2878&gt;=9,"Promoter",IF(E2878&gt;=7,"Passive","Detractor"))</f>
        <v>Passive</v>
      </c>
    </row>
    <row r="2879" customFormat="false" ht="15" hidden="false" customHeight="false" outlineLevel="0" collapsed="false">
      <c r="A2879" s="8" t="s">
        <v>7510</v>
      </c>
      <c r="B2879" s="8" t="s">
        <v>3506</v>
      </c>
      <c r="C2879" s="8" t="s">
        <v>51</v>
      </c>
      <c r="D2879" s="32" t="n">
        <v>46179</v>
      </c>
      <c r="E2879" s="8" t="n">
        <v>8</v>
      </c>
      <c r="F2879" s="8" t="str">
        <f aca="false">IF(E2879&gt;=9,"Promoter",IF(E2879&gt;=7,"Passive","Detractor"))</f>
        <v>Passive</v>
      </c>
    </row>
    <row r="2880" customFormat="false" ht="15" hidden="false" customHeight="false" outlineLevel="0" collapsed="false">
      <c r="A2880" s="8" t="s">
        <v>7511</v>
      </c>
      <c r="B2880" s="8" t="s">
        <v>2570</v>
      </c>
      <c r="C2880" s="8" t="s">
        <v>51</v>
      </c>
      <c r="D2880" s="32" t="n">
        <v>46179</v>
      </c>
      <c r="E2880" s="8" t="n">
        <v>7</v>
      </c>
      <c r="F2880" s="8" t="str">
        <f aca="false">IF(E2880&gt;=9,"Promoter",IF(E2880&gt;=7,"Passive","Detractor"))</f>
        <v>Passive</v>
      </c>
    </row>
    <row r="2881" customFormat="false" ht="15" hidden="false" customHeight="false" outlineLevel="0" collapsed="false">
      <c r="A2881" s="8" t="s">
        <v>7512</v>
      </c>
      <c r="B2881" s="8" t="s">
        <v>4408</v>
      </c>
      <c r="C2881" s="8" t="s">
        <v>55</v>
      </c>
      <c r="D2881" s="32" t="n">
        <v>46179</v>
      </c>
      <c r="E2881" s="8" t="n">
        <v>6</v>
      </c>
      <c r="F2881" s="8" t="str">
        <f aca="false">IF(E2881&gt;=9,"Promoter",IF(E2881&gt;=7,"Passive","Detractor"))</f>
        <v>Detractor</v>
      </c>
    </row>
    <row r="2882" customFormat="false" ht="15" hidden="false" customHeight="false" outlineLevel="0" collapsed="false">
      <c r="A2882" s="8" t="s">
        <v>7513</v>
      </c>
      <c r="B2882" s="8" t="s">
        <v>1723</v>
      </c>
      <c r="C2882" s="8" t="s">
        <v>53</v>
      </c>
      <c r="D2882" s="32" t="n">
        <v>46179</v>
      </c>
      <c r="E2882" s="8" t="n">
        <v>10</v>
      </c>
      <c r="F2882" s="8" t="str">
        <f aca="false">IF(E2882&gt;=9,"Promoter",IF(E2882&gt;=7,"Passive","Detractor"))</f>
        <v>Promoter</v>
      </c>
    </row>
    <row r="2883" customFormat="false" ht="15" hidden="false" customHeight="false" outlineLevel="0" collapsed="false">
      <c r="A2883" s="8" t="s">
        <v>7514</v>
      </c>
      <c r="B2883" s="8" t="s">
        <v>3426</v>
      </c>
      <c r="C2883" s="8" t="s">
        <v>51</v>
      </c>
      <c r="D2883" s="32" t="n">
        <v>46179</v>
      </c>
      <c r="E2883" s="8" t="n">
        <v>6</v>
      </c>
      <c r="F2883" s="8" t="str">
        <f aca="false">IF(E2883&gt;=9,"Promoter",IF(E2883&gt;=7,"Passive","Detractor"))</f>
        <v>Detractor</v>
      </c>
    </row>
    <row r="2884" customFormat="false" ht="15" hidden="false" customHeight="false" outlineLevel="0" collapsed="false">
      <c r="A2884" s="8" t="s">
        <v>7515</v>
      </c>
      <c r="B2884" s="8" t="s">
        <v>4248</v>
      </c>
      <c r="C2884" s="8" t="s">
        <v>51</v>
      </c>
      <c r="D2884" s="32" t="n">
        <v>46179</v>
      </c>
      <c r="E2884" s="8" t="n">
        <v>9</v>
      </c>
      <c r="F2884" s="8" t="str">
        <f aca="false">IF(E2884&gt;=9,"Promoter",IF(E2884&gt;=7,"Passive","Detractor"))</f>
        <v>Promoter</v>
      </c>
    </row>
    <row r="2885" customFormat="false" ht="15" hidden="false" customHeight="false" outlineLevel="0" collapsed="false">
      <c r="A2885" s="8" t="s">
        <v>7516</v>
      </c>
      <c r="B2885" s="8" t="s">
        <v>4016</v>
      </c>
      <c r="C2885" s="8" t="s">
        <v>51</v>
      </c>
      <c r="D2885" s="32" t="n">
        <v>46179</v>
      </c>
      <c r="E2885" s="8" t="n">
        <v>10</v>
      </c>
      <c r="F2885" s="8" t="str">
        <f aca="false">IF(E2885&gt;=9,"Promoter",IF(E2885&gt;=7,"Passive","Detractor"))</f>
        <v>Promoter</v>
      </c>
    </row>
    <row r="2886" customFormat="false" ht="15" hidden="false" customHeight="false" outlineLevel="0" collapsed="false">
      <c r="A2886" s="8" t="s">
        <v>7517</v>
      </c>
      <c r="B2886" s="8" t="s">
        <v>1911</v>
      </c>
      <c r="C2886" s="8" t="s">
        <v>51</v>
      </c>
      <c r="D2886" s="32" t="n">
        <v>46179</v>
      </c>
      <c r="E2886" s="8" t="n">
        <v>9</v>
      </c>
      <c r="F2886" s="8" t="str">
        <f aca="false">IF(E2886&gt;=9,"Promoter",IF(E2886&gt;=7,"Passive","Detractor"))</f>
        <v>Promoter</v>
      </c>
    </row>
    <row r="2887" customFormat="false" ht="15" hidden="false" customHeight="false" outlineLevel="0" collapsed="false">
      <c r="A2887" s="8" t="s">
        <v>7518</v>
      </c>
      <c r="B2887" s="8" t="s">
        <v>903</v>
      </c>
      <c r="C2887" s="8" t="s">
        <v>53</v>
      </c>
      <c r="D2887" s="32" t="n">
        <v>46179</v>
      </c>
      <c r="E2887" s="8" t="n">
        <v>6</v>
      </c>
      <c r="F2887" s="8" t="str">
        <f aca="false">IF(E2887&gt;=9,"Promoter",IF(E2887&gt;=7,"Passive","Detractor"))</f>
        <v>Detractor</v>
      </c>
    </row>
    <row r="2888" customFormat="false" ht="15" hidden="false" customHeight="false" outlineLevel="0" collapsed="false">
      <c r="A2888" s="8" t="s">
        <v>7519</v>
      </c>
      <c r="B2888" s="8" t="s">
        <v>4260</v>
      </c>
      <c r="C2888" s="8" t="s">
        <v>51</v>
      </c>
      <c r="D2888" s="32" t="n">
        <v>46180</v>
      </c>
      <c r="E2888" s="8" t="n">
        <v>7</v>
      </c>
      <c r="F2888" s="8" t="str">
        <f aca="false">IF(E2888&gt;=9,"Promoter",IF(E2888&gt;=7,"Passive","Detractor"))</f>
        <v>Passive</v>
      </c>
    </row>
    <row r="2889" customFormat="false" ht="15" hidden="false" customHeight="false" outlineLevel="0" collapsed="false">
      <c r="A2889" s="8" t="s">
        <v>7520</v>
      </c>
      <c r="B2889" s="8" t="s">
        <v>3854</v>
      </c>
      <c r="C2889" s="8" t="s">
        <v>51</v>
      </c>
      <c r="D2889" s="32" t="n">
        <v>46180</v>
      </c>
      <c r="E2889" s="8" t="n">
        <v>8</v>
      </c>
      <c r="F2889" s="8" t="str">
        <f aca="false">IF(E2889&gt;=9,"Promoter",IF(E2889&gt;=7,"Passive","Detractor"))</f>
        <v>Passive</v>
      </c>
    </row>
    <row r="2890" customFormat="false" ht="15" hidden="false" customHeight="false" outlineLevel="0" collapsed="false">
      <c r="A2890" s="8" t="s">
        <v>7521</v>
      </c>
      <c r="B2890" s="8" t="s">
        <v>2442</v>
      </c>
      <c r="C2890" s="8" t="s">
        <v>51</v>
      </c>
      <c r="D2890" s="32" t="n">
        <v>46180</v>
      </c>
      <c r="E2890" s="8" t="n">
        <v>8</v>
      </c>
      <c r="F2890" s="8" t="str">
        <f aca="false">IF(E2890&gt;=9,"Promoter",IF(E2890&gt;=7,"Passive","Detractor"))</f>
        <v>Passive</v>
      </c>
    </row>
    <row r="2891" customFormat="false" ht="15" hidden="false" customHeight="false" outlineLevel="0" collapsed="false">
      <c r="A2891" s="8" t="s">
        <v>7522</v>
      </c>
      <c r="B2891" s="8" t="s">
        <v>2680</v>
      </c>
      <c r="C2891" s="8" t="s">
        <v>51</v>
      </c>
      <c r="D2891" s="32" t="n">
        <v>46180</v>
      </c>
      <c r="E2891" s="8" t="n">
        <v>9</v>
      </c>
      <c r="F2891" s="8" t="str">
        <f aca="false">IF(E2891&gt;=9,"Promoter",IF(E2891&gt;=7,"Passive","Detractor"))</f>
        <v>Promoter</v>
      </c>
    </row>
    <row r="2892" customFormat="false" ht="15" hidden="false" customHeight="false" outlineLevel="0" collapsed="false">
      <c r="A2892" s="8" t="s">
        <v>7523</v>
      </c>
      <c r="B2892" s="8" t="s">
        <v>2600</v>
      </c>
      <c r="C2892" s="8" t="s">
        <v>51</v>
      </c>
      <c r="D2892" s="32" t="n">
        <v>46180</v>
      </c>
      <c r="E2892" s="8" t="n">
        <v>8</v>
      </c>
      <c r="F2892" s="8" t="str">
        <f aca="false">IF(E2892&gt;=9,"Promoter",IF(E2892&gt;=7,"Passive","Detractor"))</f>
        <v>Passive</v>
      </c>
    </row>
    <row r="2893" customFormat="false" ht="15" hidden="false" customHeight="false" outlineLevel="0" collapsed="false">
      <c r="A2893" s="8" t="s">
        <v>7524</v>
      </c>
      <c r="B2893" s="8" t="s">
        <v>1567</v>
      </c>
      <c r="C2893" s="8" t="s">
        <v>53</v>
      </c>
      <c r="D2893" s="32" t="n">
        <v>46180</v>
      </c>
      <c r="E2893" s="8" t="n">
        <v>10</v>
      </c>
      <c r="F2893" s="8" t="str">
        <f aca="false">IF(E2893&gt;=9,"Promoter",IF(E2893&gt;=7,"Passive","Detractor"))</f>
        <v>Promoter</v>
      </c>
    </row>
    <row r="2894" customFormat="false" ht="15" hidden="false" customHeight="false" outlineLevel="0" collapsed="false">
      <c r="A2894" s="8" t="s">
        <v>7525</v>
      </c>
      <c r="B2894" s="8" t="s">
        <v>2452</v>
      </c>
      <c r="C2894" s="8" t="s">
        <v>51</v>
      </c>
      <c r="D2894" s="32" t="n">
        <v>46180</v>
      </c>
      <c r="E2894" s="8" t="n">
        <v>9</v>
      </c>
      <c r="F2894" s="8" t="str">
        <f aca="false">IF(E2894&gt;=9,"Promoter",IF(E2894&gt;=7,"Passive","Detractor"))</f>
        <v>Promoter</v>
      </c>
    </row>
    <row r="2895" customFormat="false" ht="15" hidden="false" customHeight="false" outlineLevel="0" collapsed="false">
      <c r="A2895" s="8" t="s">
        <v>7526</v>
      </c>
      <c r="B2895" s="8" t="s">
        <v>3612</v>
      </c>
      <c r="C2895" s="8" t="s">
        <v>51</v>
      </c>
      <c r="D2895" s="32" t="n">
        <v>46180</v>
      </c>
      <c r="E2895" s="8" t="n">
        <v>6</v>
      </c>
      <c r="F2895" s="8" t="str">
        <f aca="false">IF(E2895&gt;=9,"Promoter",IF(E2895&gt;=7,"Passive","Detractor"))</f>
        <v>Detractor</v>
      </c>
    </row>
    <row r="2896" customFormat="false" ht="15" hidden="false" customHeight="false" outlineLevel="0" collapsed="false">
      <c r="A2896" s="8" t="s">
        <v>7527</v>
      </c>
      <c r="B2896" s="8" t="s">
        <v>3756</v>
      </c>
      <c r="C2896" s="8" t="s">
        <v>51</v>
      </c>
      <c r="D2896" s="32" t="n">
        <v>46180</v>
      </c>
      <c r="E2896" s="8" t="n">
        <v>6</v>
      </c>
      <c r="F2896" s="8" t="str">
        <f aca="false">IF(E2896&gt;=9,"Promoter",IF(E2896&gt;=7,"Passive","Detractor"))</f>
        <v>Detractor</v>
      </c>
    </row>
    <row r="2897" customFormat="false" ht="15" hidden="false" customHeight="false" outlineLevel="0" collapsed="false">
      <c r="A2897" s="8" t="s">
        <v>7528</v>
      </c>
      <c r="B2897" s="8" t="s">
        <v>1141</v>
      </c>
      <c r="C2897" s="8" t="s">
        <v>53</v>
      </c>
      <c r="D2897" s="32" t="n">
        <v>46180</v>
      </c>
      <c r="E2897" s="8" t="n">
        <v>7</v>
      </c>
      <c r="F2897" s="8" t="str">
        <f aca="false">IF(E2897&gt;=9,"Promoter",IF(E2897&gt;=7,"Passive","Detractor"))</f>
        <v>Passive</v>
      </c>
    </row>
    <row r="2898" customFormat="false" ht="15" hidden="false" customHeight="false" outlineLevel="0" collapsed="false">
      <c r="A2898" s="8" t="s">
        <v>7529</v>
      </c>
      <c r="B2898" s="8" t="s">
        <v>1927</v>
      </c>
      <c r="C2898" s="8" t="s">
        <v>51</v>
      </c>
      <c r="D2898" s="32" t="n">
        <v>46180</v>
      </c>
      <c r="E2898" s="8" t="n">
        <v>6</v>
      </c>
      <c r="F2898" s="8" t="str">
        <f aca="false">IF(E2898&gt;=9,"Promoter",IF(E2898&gt;=7,"Passive","Detractor"))</f>
        <v>Detractor</v>
      </c>
    </row>
    <row r="2899" customFormat="false" ht="15" hidden="false" customHeight="false" outlineLevel="0" collapsed="false">
      <c r="A2899" s="8" t="s">
        <v>7530</v>
      </c>
      <c r="B2899" s="8" t="s">
        <v>1005</v>
      </c>
      <c r="C2899" s="8" t="s">
        <v>53</v>
      </c>
      <c r="D2899" s="32" t="n">
        <v>46180</v>
      </c>
      <c r="E2899" s="8" t="n">
        <v>9</v>
      </c>
      <c r="F2899" s="8" t="str">
        <f aca="false">IF(E2899&gt;=9,"Promoter",IF(E2899&gt;=7,"Passive","Detractor"))</f>
        <v>Promoter</v>
      </c>
    </row>
    <row r="2900" customFormat="false" ht="15" hidden="false" customHeight="false" outlineLevel="0" collapsed="false">
      <c r="A2900" s="8" t="s">
        <v>7531</v>
      </c>
      <c r="B2900" s="8" t="s">
        <v>3778</v>
      </c>
      <c r="C2900" s="8" t="s">
        <v>51</v>
      </c>
      <c r="D2900" s="32" t="n">
        <v>46181</v>
      </c>
      <c r="E2900" s="8" t="n">
        <v>6</v>
      </c>
      <c r="F2900" s="8" t="str">
        <f aca="false">IF(E2900&gt;=9,"Promoter",IF(E2900&gt;=7,"Passive","Detractor"))</f>
        <v>Detractor</v>
      </c>
    </row>
    <row r="2901" customFormat="false" ht="15" hidden="false" customHeight="false" outlineLevel="0" collapsed="false">
      <c r="A2901" s="8" t="s">
        <v>7532</v>
      </c>
      <c r="B2901" s="8" t="s">
        <v>3464</v>
      </c>
      <c r="C2901" s="8" t="s">
        <v>51</v>
      </c>
      <c r="D2901" s="32" t="n">
        <v>46181</v>
      </c>
      <c r="E2901" s="8" t="n">
        <v>9</v>
      </c>
      <c r="F2901" s="8" t="str">
        <f aca="false">IF(E2901&gt;=9,"Promoter",IF(E2901&gt;=7,"Passive","Detractor"))</f>
        <v>Promoter</v>
      </c>
    </row>
    <row r="2902" customFormat="false" ht="15" hidden="false" customHeight="false" outlineLevel="0" collapsed="false">
      <c r="A2902" s="8" t="s">
        <v>7533</v>
      </c>
      <c r="B2902" s="8" t="s">
        <v>2846</v>
      </c>
      <c r="C2902" s="8" t="s">
        <v>51</v>
      </c>
      <c r="D2902" s="32" t="n">
        <v>46181</v>
      </c>
      <c r="E2902" s="8" t="n">
        <v>10</v>
      </c>
      <c r="F2902" s="8" t="str">
        <f aca="false">IF(E2902&gt;=9,"Promoter",IF(E2902&gt;=7,"Passive","Detractor"))</f>
        <v>Promoter</v>
      </c>
    </row>
    <row r="2903" customFormat="false" ht="15" hidden="false" customHeight="false" outlineLevel="0" collapsed="false">
      <c r="A2903" s="8" t="s">
        <v>7534</v>
      </c>
      <c r="B2903" s="8" t="s">
        <v>1109</v>
      </c>
      <c r="C2903" s="8" t="s">
        <v>53</v>
      </c>
      <c r="D2903" s="32" t="n">
        <v>46181</v>
      </c>
      <c r="E2903" s="8" t="n">
        <v>9</v>
      </c>
      <c r="F2903" s="8" t="str">
        <f aca="false">IF(E2903&gt;=9,"Promoter",IF(E2903&gt;=7,"Passive","Detractor"))</f>
        <v>Promoter</v>
      </c>
    </row>
    <row r="2904" customFormat="false" ht="15" hidden="false" customHeight="false" outlineLevel="0" collapsed="false">
      <c r="A2904" s="8" t="s">
        <v>7535</v>
      </c>
      <c r="B2904" s="8" t="s">
        <v>1311</v>
      </c>
      <c r="C2904" s="8" t="s">
        <v>53</v>
      </c>
      <c r="D2904" s="32" t="n">
        <v>46181</v>
      </c>
      <c r="E2904" s="8" t="n">
        <v>10</v>
      </c>
      <c r="F2904" s="8" t="str">
        <f aca="false">IF(E2904&gt;=9,"Promoter",IF(E2904&gt;=7,"Passive","Detractor"))</f>
        <v>Promoter</v>
      </c>
    </row>
    <row r="2905" customFormat="false" ht="15" hidden="false" customHeight="false" outlineLevel="0" collapsed="false">
      <c r="A2905" s="8" t="s">
        <v>7536</v>
      </c>
      <c r="B2905" s="8" t="s">
        <v>2756</v>
      </c>
      <c r="C2905" s="8" t="s">
        <v>51</v>
      </c>
      <c r="D2905" s="32" t="n">
        <v>46181</v>
      </c>
      <c r="E2905" s="8" t="n">
        <v>7</v>
      </c>
      <c r="F2905" s="8" t="str">
        <f aca="false">IF(E2905&gt;=9,"Promoter",IF(E2905&gt;=7,"Passive","Detractor"))</f>
        <v>Passive</v>
      </c>
    </row>
    <row r="2906" customFormat="false" ht="15" hidden="false" customHeight="false" outlineLevel="0" collapsed="false">
      <c r="A2906" s="8" t="s">
        <v>7537</v>
      </c>
      <c r="B2906" s="8" t="s">
        <v>1323</v>
      </c>
      <c r="C2906" s="8" t="s">
        <v>53</v>
      </c>
      <c r="D2906" s="32" t="n">
        <v>46181</v>
      </c>
      <c r="E2906" s="8" t="n">
        <v>9</v>
      </c>
      <c r="F2906" s="8" t="str">
        <f aca="false">IF(E2906&gt;=9,"Promoter",IF(E2906&gt;=7,"Passive","Detractor"))</f>
        <v>Promoter</v>
      </c>
    </row>
    <row r="2907" customFormat="false" ht="15" hidden="false" customHeight="false" outlineLevel="0" collapsed="false">
      <c r="A2907" s="8" t="s">
        <v>7538</v>
      </c>
      <c r="B2907" s="8" t="s">
        <v>3070</v>
      </c>
      <c r="C2907" s="8" t="s">
        <v>51</v>
      </c>
      <c r="D2907" s="32" t="n">
        <v>46181</v>
      </c>
      <c r="E2907" s="8" t="n">
        <v>9</v>
      </c>
      <c r="F2907" s="8" t="str">
        <f aca="false">IF(E2907&gt;=9,"Promoter",IF(E2907&gt;=7,"Passive","Detractor"))</f>
        <v>Promoter</v>
      </c>
    </row>
    <row r="2908" customFormat="false" ht="15" hidden="false" customHeight="false" outlineLevel="0" collapsed="false">
      <c r="A2908" s="8" t="s">
        <v>7539</v>
      </c>
      <c r="B2908" s="8" t="s">
        <v>3232</v>
      </c>
      <c r="C2908" s="8" t="s">
        <v>51</v>
      </c>
      <c r="D2908" s="32" t="n">
        <v>46181</v>
      </c>
      <c r="E2908" s="8" t="n">
        <v>9</v>
      </c>
      <c r="F2908" s="8" t="str">
        <f aca="false">IF(E2908&gt;=9,"Promoter",IF(E2908&gt;=7,"Passive","Detractor"))</f>
        <v>Promoter</v>
      </c>
    </row>
    <row r="2909" customFormat="false" ht="15" hidden="false" customHeight="false" outlineLevel="0" collapsed="false">
      <c r="A2909" s="8" t="s">
        <v>7540</v>
      </c>
      <c r="B2909" s="8" t="s">
        <v>3738</v>
      </c>
      <c r="C2909" s="8" t="s">
        <v>51</v>
      </c>
      <c r="D2909" s="32" t="n">
        <v>46181</v>
      </c>
      <c r="E2909" s="8" t="n">
        <v>9</v>
      </c>
      <c r="F2909" s="8" t="str">
        <f aca="false">IF(E2909&gt;=9,"Promoter",IF(E2909&gt;=7,"Passive","Detractor"))</f>
        <v>Promoter</v>
      </c>
    </row>
    <row r="2910" customFormat="false" ht="15" hidden="false" customHeight="false" outlineLevel="0" collapsed="false">
      <c r="A2910" s="8" t="s">
        <v>7541</v>
      </c>
      <c r="B2910" s="8" t="s">
        <v>3376</v>
      </c>
      <c r="C2910" s="8" t="s">
        <v>51</v>
      </c>
      <c r="D2910" s="32" t="n">
        <v>46181</v>
      </c>
      <c r="E2910" s="8" t="n">
        <v>9</v>
      </c>
      <c r="F2910" s="8" t="str">
        <f aca="false">IF(E2910&gt;=9,"Promoter",IF(E2910&gt;=7,"Passive","Detractor"))</f>
        <v>Promoter</v>
      </c>
    </row>
    <row r="2911" customFormat="false" ht="15" hidden="false" customHeight="false" outlineLevel="0" collapsed="false">
      <c r="A2911" s="8" t="s">
        <v>7542</v>
      </c>
      <c r="B2911" s="8" t="s">
        <v>2476</v>
      </c>
      <c r="C2911" s="8" t="s">
        <v>51</v>
      </c>
      <c r="D2911" s="32" t="n">
        <v>46181</v>
      </c>
      <c r="E2911" s="8" t="n">
        <v>10</v>
      </c>
      <c r="F2911" s="8" t="str">
        <f aca="false">IF(E2911&gt;=9,"Promoter",IF(E2911&gt;=7,"Passive","Detractor"))</f>
        <v>Promoter</v>
      </c>
    </row>
    <row r="2912" customFormat="false" ht="15" hidden="false" customHeight="false" outlineLevel="0" collapsed="false">
      <c r="A2912" s="8" t="s">
        <v>7543</v>
      </c>
      <c r="B2912" s="8" t="s">
        <v>2658</v>
      </c>
      <c r="C2912" s="8" t="s">
        <v>51</v>
      </c>
      <c r="D2912" s="32" t="n">
        <v>46181</v>
      </c>
      <c r="E2912" s="8" t="n">
        <v>8</v>
      </c>
      <c r="F2912" s="8" t="str">
        <f aca="false">IF(E2912&gt;=9,"Promoter",IF(E2912&gt;=7,"Passive","Detractor"))</f>
        <v>Passive</v>
      </c>
    </row>
    <row r="2913" customFormat="false" ht="15" hidden="false" customHeight="false" outlineLevel="0" collapsed="false">
      <c r="A2913" s="8" t="s">
        <v>7544</v>
      </c>
      <c r="B2913" s="8" t="s">
        <v>1299</v>
      </c>
      <c r="C2913" s="8" t="s">
        <v>53</v>
      </c>
      <c r="D2913" s="32" t="n">
        <v>46181</v>
      </c>
      <c r="E2913" s="8" t="n">
        <v>5</v>
      </c>
      <c r="F2913" s="8" t="str">
        <f aca="false">IF(E2913&gt;=9,"Promoter",IF(E2913&gt;=7,"Passive","Detractor"))</f>
        <v>Detractor</v>
      </c>
    </row>
    <row r="2914" customFormat="false" ht="15" hidden="false" customHeight="false" outlineLevel="0" collapsed="false">
      <c r="A2914" s="8" t="s">
        <v>7545</v>
      </c>
      <c r="B2914" s="8" t="s">
        <v>3150</v>
      </c>
      <c r="C2914" s="8" t="s">
        <v>51</v>
      </c>
      <c r="D2914" s="32" t="n">
        <v>46182</v>
      </c>
      <c r="E2914" s="8" t="n">
        <v>9</v>
      </c>
      <c r="F2914" s="8" t="str">
        <f aca="false">IF(E2914&gt;=9,"Promoter",IF(E2914&gt;=7,"Passive","Detractor"))</f>
        <v>Promoter</v>
      </c>
    </row>
    <row r="2915" customFormat="false" ht="15" hidden="false" customHeight="false" outlineLevel="0" collapsed="false">
      <c r="A2915" s="8" t="s">
        <v>7546</v>
      </c>
      <c r="B2915" s="8" t="s">
        <v>1451</v>
      </c>
      <c r="C2915" s="8" t="s">
        <v>53</v>
      </c>
      <c r="D2915" s="32" t="n">
        <v>46182</v>
      </c>
      <c r="E2915" s="8" t="n">
        <v>9</v>
      </c>
      <c r="F2915" s="8" t="str">
        <f aca="false">IF(E2915&gt;=9,"Promoter",IF(E2915&gt;=7,"Passive","Detractor"))</f>
        <v>Promoter</v>
      </c>
    </row>
    <row r="2916" customFormat="false" ht="15" hidden="false" customHeight="false" outlineLevel="0" collapsed="false">
      <c r="A2916" s="8" t="s">
        <v>7547</v>
      </c>
      <c r="B2916" s="8" t="s">
        <v>300</v>
      </c>
      <c r="C2916" s="8" t="s">
        <v>55</v>
      </c>
      <c r="D2916" s="32" t="n">
        <v>46182</v>
      </c>
      <c r="E2916" s="8" t="n">
        <v>8</v>
      </c>
      <c r="F2916" s="8" t="str">
        <f aca="false">IF(E2916&gt;=9,"Promoter",IF(E2916&gt;=7,"Passive","Detractor"))</f>
        <v>Passive</v>
      </c>
    </row>
    <row r="2917" customFormat="false" ht="15" hidden="false" customHeight="false" outlineLevel="0" collapsed="false">
      <c r="A2917" s="8" t="s">
        <v>7548</v>
      </c>
      <c r="B2917" s="8" t="s">
        <v>2288</v>
      </c>
      <c r="C2917" s="8" t="s">
        <v>51</v>
      </c>
      <c r="D2917" s="32" t="n">
        <v>46182</v>
      </c>
      <c r="E2917" s="8" t="n">
        <v>9</v>
      </c>
      <c r="F2917" s="8" t="str">
        <f aca="false">IF(E2917&gt;=9,"Promoter",IF(E2917&gt;=7,"Passive","Detractor"))</f>
        <v>Promoter</v>
      </c>
    </row>
    <row r="2918" customFormat="false" ht="15" hidden="false" customHeight="false" outlineLevel="0" collapsed="false">
      <c r="A2918" s="8" t="s">
        <v>7549</v>
      </c>
      <c r="B2918" s="8" t="s">
        <v>1173</v>
      </c>
      <c r="C2918" s="8" t="s">
        <v>53</v>
      </c>
      <c r="D2918" s="32" t="n">
        <v>46182</v>
      </c>
      <c r="E2918" s="8" t="n">
        <v>7</v>
      </c>
      <c r="F2918" s="8" t="str">
        <f aca="false">IF(E2918&gt;=9,"Promoter",IF(E2918&gt;=7,"Passive","Detractor"))</f>
        <v>Passive</v>
      </c>
    </row>
    <row r="2919" customFormat="false" ht="15" hidden="false" customHeight="false" outlineLevel="0" collapsed="false">
      <c r="A2919" s="8" t="s">
        <v>7550</v>
      </c>
      <c r="B2919" s="8" t="s">
        <v>2464</v>
      </c>
      <c r="C2919" s="8" t="s">
        <v>51</v>
      </c>
      <c r="D2919" s="32" t="n">
        <v>46182</v>
      </c>
      <c r="E2919" s="8" t="n">
        <v>10</v>
      </c>
      <c r="F2919" s="8" t="str">
        <f aca="false">IF(E2919&gt;=9,"Promoter",IF(E2919&gt;=7,"Passive","Detractor"))</f>
        <v>Promoter</v>
      </c>
    </row>
    <row r="2920" customFormat="false" ht="15" hidden="false" customHeight="false" outlineLevel="0" collapsed="false">
      <c r="A2920" s="8" t="s">
        <v>7551</v>
      </c>
      <c r="B2920" s="8" t="s">
        <v>4060</v>
      </c>
      <c r="C2920" s="8" t="s">
        <v>51</v>
      </c>
      <c r="D2920" s="32" t="n">
        <v>46182</v>
      </c>
      <c r="E2920" s="8" t="n">
        <v>7</v>
      </c>
      <c r="F2920" s="8" t="str">
        <f aca="false">IF(E2920&gt;=9,"Promoter",IF(E2920&gt;=7,"Passive","Detractor"))</f>
        <v>Passive</v>
      </c>
    </row>
    <row r="2921" customFormat="false" ht="15" hidden="false" customHeight="false" outlineLevel="0" collapsed="false">
      <c r="A2921" s="8" t="s">
        <v>7552</v>
      </c>
      <c r="B2921" s="8" t="s">
        <v>1603</v>
      </c>
      <c r="C2921" s="8" t="s">
        <v>53</v>
      </c>
      <c r="D2921" s="32" t="n">
        <v>46182</v>
      </c>
      <c r="E2921" s="8" t="n">
        <v>9</v>
      </c>
      <c r="F2921" s="8" t="str">
        <f aca="false">IF(E2921&gt;=9,"Promoter",IF(E2921&gt;=7,"Passive","Detractor"))</f>
        <v>Promoter</v>
      </c>
    </row>
    <row r="2922" customFormat="false" ht="15" hidden="false" customHeight="false" outlineLevel="0" collapsed="false">
      <c r="A2922" s="8" t="s">
        <v>7553</v>
      </c>
      <c r="B2922" s="8" t="s">
        <v>7554</v>
      </c>
      <c r="C2922" s="8" t="s">
        <v>55</v>
      </c>
      <c r="D2922" s="32" t="n">
        <v>46182</v>
      </c>
      <c r="E2922" s="8" t="n">
        <v>5</v>
      </c>
      <c r="F2922" s="8" t="str">
        <f aca="false">IF(E2922&gt;=9,"Promoter",IF(E2922&gt;=7,"Passive","Detractor"))</f>
        <v>Detractor</v>
      </c>
    </row>
    <row r="2923" customFormat="false" ht="15" hidden="false" customHeight="false" outlineLevel="0" collapsed="false">
      <c r="A2923" s="8" t="s">
        <v>7555</v>
      </c>
      <c r="B2923" s="8" t="s">
        <v>1405</v>
      </c>
      <c r="C2923" s="8" t="s">
        <v>53</v>
      </c>
      <c r="D2923" s="32" t="n">
        <v>46182</v>
      </c>
      <c r="E2923" s="8" t="n">
        <v>9</v>
      </c>
      <c r="F2923" s="8" t="str">
        <f aca="false">IF(E2923&gt;=9,"Promoter",IF(E2923&gt;=7,"Passive","Detractor"))</f>
        <v>Promoter</v>
      </c>
    </row>
    <row r="2924" customFormat="false" ht="15" hidden="false" customHeight="false" outlineLevel="0" collapsed="false">
      <c r="A2924" s="8" t="s">
        <v>7556</v>
      </c>
      <c r="B2924" s="8" t="s">
        <v>2730</v>
      </c>
      <c r="C2924" s="8" t="s">
        <v>51</v>
      </c>
      <c r="D2924" s="32" t="n">
        <v>46183</v>
      </c>
      <c r="E2924" s="8" t="n">
        <v>10</v>
      </c>
      <c r="F2924" s="8" t="str">
        <f aca="false">IF(E2924&gt;=9,"Promoter",IF(E2924&gt;=7,"Passive","Detractor"))</f>
        <v>Promoter</v>
      </c>
    </row>
    <row r="2925" customFormat="false" ht="15" hidden="false" customHeight="false" outlineLevel="0" collapsed="false">
      <c r="A2925" s="8" t="s">
        <v>7557</v>
      </c>
      <c r="B2925" s="8" t="s">
        <v>1821</v>
      </c>
      <c r="C2925" s="8" t="s">
        <v>51</v>
      </c>
      <c r="D2925" s="32" t="n">
        <v>46183</v>
      </c>
      <c r="E2925" s="8" t="n">
        <v>10</v>
      </c>
      <c r="F2925" s="8" t="str">
        <f aca="false">IF(E2925&gt;=9,"Promoter",IF(E2925&gt;=7,"Passive","Detractor"))</f>
        <v>Promoter</v>
      </c>
    </row>
    <row r="2926" customFormat="false" ht="15" hidden="false" customHeight="false" outlineLevel="0" collapsed="false">
      <c r="A2926" s="8" t="s">
        <v>7558</v>
      </c>
      <c r="B2926" s="8" t="s">
        <v>3870</v>
      </c>
      <c r="C2926" s="8" t="s">
        <v>51</v>
      </c>
      <c r="D2926" s="32" t="n">
        <v>46183</v>
      </c>
      <c r="E2926" s="8" t="n">
        <v>9</v>
      </c>
      <c r="F2926" s="8" t="str">
        <f aca="false">IF(E2926&gt;=9,"Promoter",IF(E2926&gt;=7,"Passive","Detractor"))</f>
        <v>Promoter</v>
      </c>
    </row>
    <row r="2927" customFormat="false" ht="15" hidden="false" customHeight="false" outlineLevel="0" collapsed="false">
      <c r="A2927" s="8" t="s">
        <v>7559</v>
      </c>
      <c r="B2927" s="8" t="s">
        <v>3474</v>
      </c>
      <c r="C2927" s="8" t="s">
        <v>51</v>
      </c>
      <c r="D2927" s="32" t="n">
        <v>46183</v>
      </c>
      <c r="E2927" s="8" t="n">
        <v>8</v>
      </c>
      <c r="F2927" s="8" t="str">
        <f aca="false">IF(E2927&gt;=9,"Promoter",IF(E2927&gt;=7,"Passive","Detractor"))</f>
        <v>Passive</v>
      </c>
    </row>
    <row r="2928" customFormat="false" ht="15" hidden="false" customHeight="false" outlineLevel="0" collapsed="false">
      <c r="A2928" s="8" t="s">
        <v>7560</v>
      </c>
      <c r="B2928" s="8" t="s">
        <v>2162</v>
      </c>
      <c r="C2928" s="8" t="s">
        <v>51</v>
      </c>
      <c r="D2928" s="32" t="n">
        <v>46183</v>
      </c>
      <c r="E2928" s="8" t="n">
        <v>10</v>
      </c>
      <c r="F2928" s="8" t="str">
        <f aca="false">IF(E2928&gt;=9,"Promoter",IF(E2928&gt;=7,"Passive","Detractor"))</f>
        <v>Promoter</v>
      </c>
    </row>
    <row r="2929" customFormat="false" ht="15" hidden="false" customHeight="false" outlineLevel="0" collapsed="false">
      <c r="A2929" s="8" t="s">
        <v>7561</v>
      </c>
      <c r="B2929" s="8" t="s">
        <v>1555</v>
      </c>
      <c r="C2929" s="8" t="s">
        <v>53</v>
      </c>
      <c r="D2929" s="32" t="n">
        <v>46183</v>
      </c>
      <c r="E2929" s="8" t="n">
        <v>6</v>
      </c>
      <c r="F2929" s="8" t="str">
        <f aca="false">IF(E2929&gt;=9,"Promoter",IF(E2929&gt;=7,"Passive","Detractor"))</f>
        <v>Detractor</v>
      </c>
    </row>
    <row r="2930" customFormat="false" ht="15" hidden="false" customHeight="false" outlineLevel="0" collapsed="false">
      <c r="A2930" s="8" t="s">
        <v>7562</v>
      </c>
      <c r="B2930" s="8" t="s">
        <v>3230</v>
      </c>
      <c r="C2930" s="8" t="s">
        <v>51</v>
      </c>
      <c r="D2930" s="32" t="n">
        <v>46183</v>
      </c>
      <c r="E2930" s="8" t="n">
        <v>10</v>
      </c>
      <c r="F2930" s="8" t="str">
        <f aca="false">IF(E2930&gt;=9,"Promoter",IF(E2930&gt;=7,"Passive","Detractor"))</f>
        <v>Promoter</v>
      </c>
    </row>
    <row r="2931" customFormat="false" ht="15" hidden="false" customHeight="false" outlineLevel="0" collapsed="false">
      <c r="A2931" s="8" t="s">
        <v>7563</v>
      </c>
      <c r="B2931" s="8" t="s">
        <v>3456</v>
      </c>
      <c r="C2931" s="8" t="s">
        <v>51</v>
      </c>
      <c r="D2931" s="32" t="n">
        <v>46183</v>
      </c>
      <c r="E2931" s="8" t="n">
        <v>7</v>
      </c>
      <c r="F2931" s="8" t="str">
        <f aca="false">IF(E2931&gt;=9,"Promoter",IF(E2931&gt;=7,"Passive","Detractor"))</f>
        <v>Passive</v>
      </c>
    </row>
    <row r="2932" customFormat="false" ht="15" hidden="false" customHeight="false" outlineLevel="0" collapsed="false">
      <c r="A2932" s="8" t="s">
        <v>7564</v>
      </c>
      <c r="B2932" s="8" t="s">
        <v>1881</v>
      </c>
      <c r="C2932" s="8" t="s">
        <v>51</v>
      </c>
      <c r="D2932" s="32" t="n">
        <v>46183</v>
      </c>
      <c r="E2932" s="8" t="n">
        <v>10</v>
      </c>
      <c r="F2932" s="8" t="str">
        <f aca="false">IF(E2932&gt;=9,"Promoter",IF(E2932&gt;=7,"Passive","Detractor"))</f>
        <v>Promoter</v>
      </c>
    </row>
    <row r="2933" customFormat="false" ht="15" hidden="false" customHeight="false" outlineLevel="0" collapsed="false">
      <c r="A2933" s="8" t="s">
        <v>7565</v>
      </c>
      <c r="B2933" s="8" t="s">
        <v>4066</v>
      </c>
      <c r="C2933" s="8" t="s">
        <v>51</v>
      </c>
      <c r="D2933" s="32" t="n">
        <v>46183</v>
      </c>
      <c r="E2933" s="8" t="n">
        <v>8</v>
      </c>
      <c r="F2933" s="8" t="str">
        <f aca="false">IF(E2933&gt;=9,"Promoter",IF(E2933&gt;=7,"Passive","Detractor"))</f>
        <v>Passive</v>
      </c>
    </row>
    <row r="2934" customFormat="false" ht="15" hidden="false" customHeight="false" outlineLevel="0" collapsed="false">
      <c r="A2934" s="8" t="s">
        <v>7566</v>
      </c>
      <c r="B2934" s="8" t="s">
        <v>3944</v>
      </c>
      <c r="C2934" s="8" t="s">
        <v>51</v>
      </c>
      <c r="D2934" s="32" t="n">
        <v>46183</v>
      </c>
      <c r="E2934" s="8" t="n">
        <v>6</v>
      </c>
      <c r="F2934" s="8" t="str">
        <f aca="false">IF(E2934&gt;=9,"Promoter",IF(E2934&gt;=7,"Passive","Detractor"))</f>
        <v>Detractor</v>
      </c>
    </row>
    <row r="2935" customFormat="false" ht="15" hidden="false" customHeight="false" outlineLevel="0" collapsed="false">
      <c r="A2935" s="8" t="s">
        <v>7567</v>
      </c>
      <c r="B2935" s="8" t="s">
        <v>649</v>
      </c>
      <c r="C2935" s="8" t="s">
        <v>55</v>
      </c>
      <c r="D2935" s="32" t="n">
        <v>46184</v>
      </c>
      <c r="E2935" s="8" t="n">
        <v>7</v>
      </c>
      <c r="F2935" s="8" t="str">
        <f aca="false">IF(E2935&gt;=9,"Promoter",IF(E2935&gt;=7,"Passive","Detractor"))</f>
        <v>Passive</v>
      </c>
    </row>
    <row r="2936" customFormat="false" ht="15" hidden="false" customHeight="false" outlineLevel="0" collapsed="false">
      <c r="A2936" s="8" t="s">
        <v>7568</v>
      </c>
      <c r="B2936" s="8" t="s">
        <v>2556</v>
      </c>
      <c r="C2936" s="8" t="s">
        <v>51</v>
      </c>
      <c r="D2936" s="32" t="n">
        <v>46184</v>
      </c>
      <c r="E2936" s="8" t="n">
        <v>10</v>
      </c>
      <c r="F2936" s="8" t="str">
        <f aca="false">IF(E2936&gt;=9,"Promoter",IF(E2936&gt;=7,"Passive","Detractor"))</f>
        <v>Promoter</v>
      </c>
    </row>
    <row r="2937" customFormat="false" ht="15" hidden="false" customHeight="false" outlineLevel="0" collapsed="false">
      <c r="A2937" s="8" t="s">
        <v>7569</v>
      </c>
      <c r="B2937" s="8" t="s">
        <v>1701</v>
      </c>
      <c r="C2937" s="8" t="s">
        <v>53</v>
      </c>
      <c r="D2937" s="32" t="n">
        <v>46184</v>
      </c>
      <c r="E2937" s="8" t="n">
        <v>8</v>
      </c>
      <c r="F2937" s="8" t="str">
        <f aca="false">IF(E2937&gt;=9,"Promoter",IF(E2937&gt;=7,"Passive","Detractor"))</f>
        <v>Passive</v>
      </c>
    </row>
    <row r="2938" customFormat="false" ht="15" hidden="false" customHeight="false" outlineLevel="0" collapsed="false">
      <c r="A2938" s="8" t="s">
        <v>7570</v>
      </c>
      <c r="B2938" s="8" t="s">
        <v>953</v>
      </c>
      <c r="C2938" s="8" t="s">
        <v>53</v>
      </c>
      <c r="D2938" s="32" t="n">
        <v>46184</v>
      </c>
      <c r="E2938" s="8" t="n">
        <v>8</v>
      </c>
      <c r="F2938" s="8" t="str">
        <f aca="false">IF(E2938&gt;=9,"Promoter",IF(E2938&gt;=7,"Passive","Detractor"))</f>
        <v>Passive</v>
      </c>
    </row>
    <row r="2939" customFormat="false" ht="15" hidden="false" customHeight="false" outlineLevel="0" collapsed="false">
      <c r="A2939" s="8" t="s">
        <v>7571</v>
      </c>
      <c r="B2939" s="8" t="s">
        <v>2762</v>
      </c>
      <c r="C2939" s="8" t="s">
        <v>51</v>
      </c>
      <c r="D2939" s="32" t="n">
        <v>46184</v>
      </c>
      <c r="E2939" s="8" t="n">
        <v>7</v>
      </c>
      <c r="F2939" s="8" t="str">
        <f aca="false">IF(E2939&gt;=9,"Promoter",IF(E2939&gt;=7,"Passive","Detractor"))</f>
        <v>Passive</v>
      </c>
    </row>
    <row r="2940" customFormat="false" ht="15" hidden="false" customHeight="false" outlineLevel="0" collapsed="false">
      <c r="A2940" s="8" t="s">
        <v>7572</v>
      </c>
      <c r="B2940" s="8" t="s">
        <v>3244</v>
      </c>
      <c r="C2940" s="8" t="s">
        <v>51</v>
      </c>
      <c r="D2940" s="32" t="n">
        <v>46184</v>
      </c>
      <c r="E2940" s="8" t="n">
        <v>6</v>
      </c>
      <c r="F2940" s="8" t="str">
        <f aca="false">IF(E2940&gt;=9,"Promoter",IF(E2940&gt;=7,"Passive","Detractor"))</f>
        <v>Detractor</v>
      </c>
    </row>
    <row r="2941" customFormat="false" ht="15" hidden="false" customHeight="false" outlineLevel="0" collapsed="false">
      <c r="A2941" s="8" t="s">
        <v>7573</v>
      </c>
      <c r="B2941" s="8" t="s">
        <v>4202</v>
      </c>
      <c r="C2941" s="8" t="s">
        <v>51</v>
      </c>
      <c r="D2941" s="32" t="n">
        <v>46184</v>
      </c>
      <c r="E2941" s="8" t="n">
        <v>6</v>
      </c>
      <c r="F2941" s="8" t="str">
        <f aca="false">IF(E2941&gt;=9,"Promoter",IF(E2941&gt;=7,"Passive","Detractor"))</f>
        <v>Detractor</v>
      </c>
    </row>
    <row r="2942" customFormat="false" ht="15" hidden="false" customHeight="false" outlineLevel="0" collapsed="false">
      <c r="A2942" s="8" t="s">
        <v>7574</v>
      </c>
      <c r="B2942" s="8" t="s">
        <v>7575</v>
      </c>
      <c r="C2942" s="8" t="s">
        <v>51</v>
      </c>
      <c r="D2942" s="32" t="n">
        <v>46185</v>
      </c>
      <c r="E2942" s="8" t="n">
        <v>4</v>
      </c>
      <c r="F2942" s="8" t="str">
        <f aca="false">IF(E2942&gt;=9,"Promoter",IF(E2942&gt;=7,"Passive","Detractor"))</f>
        <v>Detractor</v>
      </c>
    </row>
    <row r="2943" customFormat="false" ht="15" hidden="false" customHeight="false" outlineLevel="0" collapsed="false">
      <c r="A2943" s="8" t="s">
        <v>7576</v>
      </c>
      <c r="B2943" s="8" t="s">
        <v>2900</v>
      </c>
      <c r="C2943" s="8" t="s">
        <v>51</v>
      </c>
      <c r="D2943" s="32" t="n">
        <v>46185</v>
      </c>
      <c r="E2943" s="8" t="n">
        <v>8</v>
      </c>
      <c r="F2943" s="8" t="str">
        <f aca="false">IF(E2943&gt;=9,"Promoter",IF(E2943&gt;=7,"Passive","Detractor"))</f>
        <v>Passive</v>
      </c>
    </row>
    <row r="2944" customFormat="false" ht="15" hidden="false" customHeight="false" outlineLevel="0" collapsed="false">
      <c r="A2944" s="8" t="s">
        <v>7577</v>
      </c>
      <c r="B2944" s="8" t="s">
        <v>3926</v>
      </c>
      <c r="C2944" s="8" t="s">
        <v>51</v>
      </c>
      <c r="D2944" s="32" t="n">
        <v>46185</v>
      </c>
      <c r="E2944" s="8" t="n">
        <v>10</v>
      </c>
      <c r="F2944" s="8" t="str">
        <f aca="false">IF(E2944&gt;=9,"Promoter",IF(E2944&gt;=7,"Passive","Detractor"))</f>
        <v>Promoter</v>
      </c>
    </row>
    <row r="2945" customFormat="false" ht="15" hidden="false" customHeight="false" outlineLevel="0" collapsed="false">
      <c r="A2945" s="8" t="s">
        <v>7578</v>
      </c>
      <c r="B2945" s="8" t="s">
        <v>1187</v>
      </c>
      <c r="C2945" s="8" t="s">
        <v>53</v>
      </c>
      <c r="D2945" s="32" t="n">
        <v>46185</v>
      </c>
      <c r="E2945" s="8" t="n">
        <v>10</v>
      </c>
      <c r="F2945" s="8" t="str">
        <f aca="false">IF(E2945&gt;=9,"Promoter",IF(E2945&gt;=7,"Passive","Detractor"))</f>
        <v>Promoter</v>
      </c>
    </row>
    <row r="2946" customFormat="false" ht="15" hidden="false" customHeight="false" outlineLevel="0" collapsed="false">
      <c r="A2946" s="8" t="s">
        <v>7579</v>
      </c>
      <c r="B2946" s="8" t="s">
        <v>3276</v>
      </c>
      <c r="C2946" s="8" t="s">
        <v>51</v>
      </c>
      <c r="D2946" s="32" t="n">
        <v>46185</v>
      </c>
      <c r="E2946" s="8" t="n">
        <v>10</v>
      </c>
      <c r="F2946" s="8" t="str">
        <f aca="false">IF(E2946&gt;=9,"Promoter",IF(E2946&gt;=7,"Passive","Detractor"))</f>
        <v>Promoter</v>
      </c>
    </row>
    <row r="2947" customFormat="false" ht="15" hidden="false" customHeight="false" outlineLevel="0" collapsed="false">
      <c r="A2947" s="8" t="s">
        <v>7580</v>
      </c>
      <c r="B2947" s="8" t="s">
        <v>2380</v>
      </c>
      <c r="C2947" s="8" t="s">
        <v>51</v>
      </c>
      <c r="D2947" s="32" t="n">
        <v>46185</v>
      </c>
      <c r="E2947" s="8" t="n">
        <v>9</v>
      </c>
      <c r="F2947" s="8" t="str">
        <f aca="false">IF(E2947&gt;=9,"Promoter",IF(E2947&gt;=7,"Passive","Detractor"))</f>
        <v>Promoter</v>
      </c>
    </row>
    <row r="2948" customFormat="false" ht="15" hidden="false" customHeight="false" outlineLevel="0" collapsed="false">
      <c r="A2948" s="8" t="s">
        <v>7581</v>
      </c>
      <c r="B2948" s="8" t="s">
        <v>3974</v>
      </c>
      <c r="C2948" s="8" t="s">
        <v>51</v>
      </c>
      <c r="D2948" s="32" t="n">
        <v>46185</v>
      </c>
      <c r="E2948" s="8" t="n">
        <v>7</v>
      </c>
      <c r="F2948" s="8" t="str">
        <f aca="false">IF(E2948&gt;=9,"Promoter",IF(E2948&gt;=7,"Passive","Detractor"))</f>
        <v>Passive</v>
      </c>
    </row>
    <row r="2949" customFormat="false" ht="15" hidden="false" customHeight="false" outlineLevel="0" collapsed="false">
      <c r="A2949" s="8" t="s">
        <v>7582</v>
      </c>
      <c r="B2949" s="8" t="s">
        <v>3190</v>
      </c>
      <c r="C2949" s="8" t="s">
        <v>51</v>
      </c>
      <c r="D2949" s="32" t="n">
        <v>46185</v>
      </c>
      <c r="E2949" s="8" t="n">
        <v>10</v>
      </c>
      <c r="F2949" s="8" t="str">
        <f aca="false">IF(E2949&gt;=9,"Promoter",IF(E2949&gt;=7,"Passive","Detractor"))</f>
        <v>Promoter</v>
      </c>
    </row>
    <row r="2950" customFormat="false" ht="15" hidden="false" customHeight="false" outlineLevel="0" collapsed="false">
      <c r="A2950" s="8" t="s">
        <v>7583</v>
      </c>
      <c r="B2950" s="8" t="s">
        <v>1283</v>
      </c>
      <c r="C2950" s="8" t="s">
        <v>53</v>
      </c>
      <c r="D2950" s="32" t="n">
        <v>46185</v>
      </c>
      <c r="E2950" s="8" t="n">
        <v>6</v>
      </c>
      <c r="F2950" s="8" t="str">
        <f aca="false">IF(E2950&gt;=9,"Promoter",IF(E2950&gt;=7,"Passive","Detractor"))</f>
        <v>Detractor</v>
      </c>
    </row>
    <row r="2951" customFormat="false" ht="15" hidden="false" customHeight="false" outlineLevel="0" collapsed="false">
      <c r="A2951" s="8" t="s">
        <v>7584</v>
      </c>
      <c r="B2951" s="8" t="s">
        <v>1053</v>
      </c>
      <c r="C2951" s="8" t="s">
        <v>53</v>
      </c>
      <c r="D2951" s="32" t="n">
        <v>46185</v>
      </c>
      <c r="E2951" s="8" t="n">
        <v>9</v>
      </c>
      <c r="F2951" s="8" t="str">
        <f aca="false">IF(E2951&gt;=9,"Promoter",IF(E2951&gt;=7,"Passive","Detractor"))</f>
        <v>Promoter</v>
      </c>
    </row>
    <row r="2952" customFormat="false" ht="15" hidden="false" customHeight="false" outlineLevel="0" collapsed="false">
      <c r="A2952" s="8" t="s">
        <v>7585</v>
      </c>
      <c r="B2952" s="8" t="s">
        <v>1353</v>
      </c>
      <c r="C2952" s="8" t="s">
        <v>53</v>
      </c>
      <c r="D2952" s="32" t="n">
        <v>46185</v>
      </c>
      <c r="E2952" s="8" t="n">
        <v>8</v>
      </c>
      <c r="F2952" s="8" t="str">
        <f aca="false">IF(E2952&gt;=9,"Promoter",IF(E2952&gt;=7,"Passive","Detractor"))</f>
        <v>Passive</v>
      </c>
    </row>
    <row r="2953" customFormat="false" ht="15" hidden="false" customHeight="false" outlineLevel="0" collapsed="false">
      <c r="A2953" s="8" t="s">
        <v>7586</v>
      </c>
      <c r="B2953" s="8" t="s">
        <v>4374</v>
      </c>
      <c r="C2953" s="8" t="s">
        <v>51</v>
      </c>
      <c r="D2953" s="32" t="n">
        <v>46185</v>
      </c>
      <c r="E2953" s="8" t="n">
        <v>10</v>
      </c>
      <c r="F2953" s="8" t="str">
        <f aca="false">IF(E2953&gt;=9,"Promoter",IF(E2953&gt;=7,"Passive","Detractor"))</f>
        <v>Promoter</v>
      </c>
    </row>
    <row r="2954" customFormat="false" ht="15" hidden="false" customHeight="false" outlineLevel="0" collapsed="false">
      <c r="A2954" s="8" t="s">
        <v>7587</v>
      </c>
      <c r="B2954" s="8" t="s">
        <v>681</v>
      </c>
      <c r="C2954" s="8" t="s">
        <v>53</v>
      </c>
      <c r="D2954" s="32" t="n">
        <v>46186</v>
      </c>
      <c r="E2954" s="8" t="n">
        <v>10</v>
      </c>
      <c r="F2954" s="8" t="str">
        <f aca="false">IF(E2954&gt;=9,"Promoter",IF(E2954&gt;=7,"Passive","Detractor"))</f>
        <v>Promoter</v>
      </c>
    </row>
    <row r="2955" customFormat="false" ht="15" hidden="false" customHeight="false" outlineLevel="0" collapsed="false">
      <c r="A2955" s="8" t="s">
        <v>7588</v>
      </c>
      <c r="B2955" s="8" t="s">
        <v>3258</v>
      </c>
      <c r="C2955" s="8" t="s">
        <v>51</v>
      </c>
      <c r="D2955" s="32" t="n">
        <v>46186</v>
      </c>
      <c r="E2955" s="8" t="n">
        <v>8</v>
      </c>
      <c r="F2955" s="8" t="str">
        <f aca="false">IF(E2955&gt;=9,"Promoter",IF(E2955&gt;=7,"Passive","Detractor"))</f>
        <v>Passive</v>
      </c>
    </row>
    <row r="2956" customFormat="false" ht="15" hidden="false" customHeight="false" outlineLevel="0" collapsed="false">
      <c r="A2956" s="8" t="s">
        <v>7589</v>
      </c>
      <c r="B2956" s="8" t="s">
        <v>3910</v>
      </c>
      <c r="C2956" s="8" t="s">
        <v>51</v>
      </c>
      <c r="D2956" s="32" t="n">
        <v>46186</v>
      </c>
      <c r="E2956" s="8" t="n">
        <v>10</v>
      </c>
      <c r="F2956" s="8" t="str">
        <f aca="false">IF(E2956&gt;=9,"Promoter",IF(E2956&gt;=7,"Passive","Detractor"))</f>
        <v>Promoter</v>
      </c>
    </row>
    <row r="2957" customFormat="false" ht="15" hidden="false" customHeight="false" outlineLevel="0" collapsed="false">
      <c r="A2957" s="8" t="s">
        <v>7590</v>
      </c>
      <c r="B2957" s="8" t="s">
        <v>1783</v>
      </c>
      <c r="C2957" s="8" t="s">
        <v>53</v>
      </c>
      <c r="D2957" s="32" t="n">
        <v>46186</v>
      </c>
      <c r="E2957" s="8" t="n">
        <v>9</v>
      </c>
      <c r="F2957" s="8" t="str">
        <f aca="false">IF(E2957&gt;=9,"Promoter",IF(E2957&gt;=7,"Passive","Detractor"))</f>
        <v>Promoter</v>
      </c>
    </row>
    <row r="2958" customFormat="false" ht="15" hidden="false" customHeight="false" outlineLevel="0" collapsed="false">
      <c r="A2958" s="8" t="s">
        <v>7591</v>
      </c>
      <c r="B2958" s="8" t="s">
        <v>385</v>
      </c>
      <c r="C2958" s="8" t="s">
        <v>55</v>
      </c>
      <c r="D2958" s="32" t="n">
        <v>46186</v>
      </c>
      <c r="E2958" s="8" t="n">
        <v>7</v>
      </c>
      <c r="F2958" s="8" t="str">
        <f aca="false">IF(E2958&gt;=9,"Promoter",IF(E2958&gt;=7,"Passive","Detractor"))</f>
        <v>Passive</v>
      </c>
    </row>
    <row r="2959" customFormat="false" ht="15" hidden="false" customHeight="false" outlineLevel="0" collapsed="false">
      <c r="A2959" s="8" t="s">
        <v>7592</v>
      </c>
      <c r="B2959" s="8" t="s">
        <v>873</v>
      </c>
      <c r="C2959" s="8" t="s">
        <v>53</v>
      </c>
      <c r="D2959" s="32" t="n">
        <v>46186</v>
      </c>
      <c r="E2959" s="8" t="n">
        <v>9</v>
      </c>
      <c r="F2959" s="8" t="str">
        <f aca="false">IF(E2959&gt;=9,"Promoter",IF(E2959&gt;=7,"Passive","Detractor"))</f>
        <v>Promoter</v>
      </c>
    </row>
    <row r="2960" customFormat="false" ht="15" hidden="false" customHeight="false" outlineLevel="0" collapsed="false">
      <c r="A2960" s="8" t="s">
        <v>7593</v>
      </c>
      <c r="B2960" s="8" t="s">
        <v>3562</v>
      </c>
      <c r="C2960" s="8" t="s">
        <v>51</v>
      </c>
      <c r="D2960" s="32" t="n">
        <v>46186</v>
      </c>
      <c r="E2960" s="8" t="n">
        <v>10</v>
      </c>
      <c r="F2960" s="8" t="str">
        <f aca="false">IF(E2960&gt;=9,"Promoter",IF(E2960&gt;=7,"Passive","Detractor"))</f>
        <v>Promoter</v>
      </c>
    </row>
    <row r="2961" customFormat="false" ht="15" hidden="false" customHeight="false" outlineLevel="0" collapsed="false">
      <c r="A2961" s="8" t="s">
        <v>7594</v>
      </c>
      <c r="B2961" s="8" t="s">
        <v>1685</v>
      </c>
      <c r="C2961" s="8" t="s">
        <v>53</v>
      </c>
      <c r="D2961" s="32" t="n">
        <v>46186</v>
      </c>
      <c r="E2961" s="8" t="n">
        <v>8</v>
      </c>
      <c r="F2961" s="8" t="str">
        <f aca="false">IF(E2961&gt;=9,"Promoter",IF(E2961&gt;=7,"Passive","Detractor"))</f>
        <v>Passive</v>
      </c>
    </row>
    <row r="2962" customFormat="false" ht="15" hidden="false" customHeight="false" outlineLevel="0" collapsed="false">
      <c r="A2962" s="8" t="s">
        <v>7595</v>
      </c>
      <c r="B2962" s="8" t="s">
        <v>395</v>
      </c>
      <c r="C2962" s="8" t="s">
        <v>55</v>
      </c>
      <c r="D2962" s="32" t="n">
        <v>46186</v>
      </c>
      <c r="E2962" s="8" t="n">
        <v>9</v>
      </c>
      <c r="F2962" s="8" t="str">
        <f aca="false">IF(E2962&gt;=9,"Promoter",IF(E2962&gt;=7,"Passive","Detractor"))</f>
        <v>Promoter</v>
      </c>
    </row>
    <row r="2963" customFormat="false" ht="15" hidden="false" customHeight="false" outlineLevel="0" collapsed="false">
      <c r="A2963" s="8" t="s">
        <v>7596</v>
      </c>
      <c r="B2963" s="8" t="s">
        <v>2482</v>
      </c>
      <c r="C2963" s="8" t="s">
        <v>51</v>
      </c>
      <c r="D2963" s="32" t="n">
        <v>46186</v>
      </c>
      <c r="E2963" s="8" t="n">
        <v>9</v>
      </c>
      <c r="F2963" s="8" t="str">
        <f aca="false">IF(E2963&gt;=9,"Promoter",IF(E2963&gt;=7,"Passive","Detractor"))</f>
        <v>Promoter</v>
      </c>
    </row>
    <row r="2964" customFormat="false" ht="15" hidden="false" customHeight="false" outlineLevel="0" collapsed="false">
      <c r="A2964" s="8" t="s">
        <v>7597</v>
      </c>
      <c r="B2964" s="8" t="s">
        <v>2282</v>
      </c>
      <c r="C2964" s="8" t="s">
        <v>51</v>
      </c>
      <c r="D2964" s="32" t="n">
        <v>46187</v>
      </c>
      <c r="E2964" s="8" t="n">
        <v>9</v>
      </c>
      <c r="F2964" s="8" t="str">
        <f aca="false">IF(E2964&gt;=9,"Promoter",IF(E2964&gt;=7,"Passive","Detractor"))</f>
        <v>Promoter</v>
      </c>
    </row>
    <row r="2965" customFormat="false" ht="15" hidden="false" customHeight="false" outlineLevel="0" collapsed="false">
      <c r="A2965" s="8" t="s">
        <v>7598</v>
      </c>
      <c r="B2965" s="8" t="s">
        <v>2372</v>
      </c>
      <c r="C2965" s="8" t="s">
        <v>51</v>
      </c>
      <c r="D2965" s="32" t="n">
        <v>46187</v>
      </c>
      <c r="E2965" s="8" t="n">
        <v>9</v>
      </c>
      <c r="F2965" s="8" t="str">
        <f aca="false">IF(E2965&gt;=9,"Promoter",IF(E2965&gt;=7,"Passive","Detractor"))</f>
        <v>Promoter</v>
      </c>
    </row>
    <row r="2966" customFormat="false" ht="15" hidden="false" customHeight="false" outlineLevel="0" collapsed="false">
      <c r="A2966" s="8" t="s">
        <v>7599</v>
      </c>
      <c r="B2966" s="8" t="s">
        <v>3796</v>
      </c>
      <c r="C2966" s="8" t="s">
        <v>51</v>
      </c>
      <c r="D2966" s="32" t="n">
        <v>46187</v>
      </c>
      <c r="E2966" s="8" t="n">
        <v>8</v>
      </c>
      <c r="F2966" s="8" t="str">
        <f aca="false">IF(E2966&gt;=9,"Promoter",IF(E2966&gt;=7,"Passive","Detractor"))</f>
        <v>Passive</v>
      </c>
    </row>
    <row r="2967" customFormat="false" ht="15" hidden="false" customHeight="false" outlineLevel="0" collapsed="false">
      <c r="A2967" s="8" t="s">
        <v>7600</v>
      </c>
      <c r="B2967" s="8" t="s">
        <v>2748</v>
      </c>
      <c r="C2967" s="8" t="s">
        <v>51</v>
      </c>
      <c r="D2967" s="32" t="n">
        <v>46187</v>
      </c>
      <c r="E2967" s="8" t="n">
        <v>9</v>
      </c>
      <c r="F2967" s="8" t="str">
        <f aca="false">IF(E2967&gt;=9,"Promoter",IF(E2967&gt;=7,"Passive","Detractor"))</f>
        <v>Promoter</v>
      </c>
    </row>
    <row r="2968" customFormat="false" ht="15" hidden="false" customHeight="false" outlineLevel="0" collapsed="false">
      <c r="A2968" s="8" t="s">
        <v>7601</v>
      </c>
      <c r="B2968" s="8" t="s">
        <v>1441</v>
      </c>
      <c r="C2968" s="8" t="s">
        <v>53</v>
      </c>
      <c r="D2968" s="32" t="n">
        <v>46187</v>
      </c>
      <c r="E2968" s="8" t="n">
        <v>9</v>
      </c>
      <c r="F2968" s="8" t="str">
        <f aca="false">IF(E2968&gt;=9,"Promoter",IF(E2968&gt;=7,"Passive","Detractor"))</f>
        <v>Promoter</v>
      </c>
    </row>
    <row r="2969" customFormat="false" ht="15" hidden="false" customHeight="false" outlineLevel="0" collapsed="false">
      <c r="A2969" s="8" t="s">
        <v>7602</v>
      </c>
      <c r="B2969" s="8" t="s">
        <v>4042</v>
      </c>
      <c r="C2969" s="8" t="s">
        <v>51</v>
      </c>
      <c r="D2969" s="32" t="n">
        <v>46187</v>
      </c>
      <c r="E2969" s="8" t="n">
        <v>7</v>
      </c>
      <c r="F2969" s="8" t="str">
        <f aca="false">IF(E2969&gt;=9,"Promoter",IF(E2969&gt;=7,"Passive","Detractor"))</f>
        <v>Passive</v>
      </c>
    </row>
    <row r="2970" customFormat="false" ht="15" hidden="false" customHeight="false" outlineLevel="0" collapsed="false">
      <c r="A2970" s="8" t="s">
        <v>7603</v>
      </c>
      <c r="B2970" s="8" t="s">
        <v>4058</v>
      </c>
      <c r="C2970" s="8" t="s">
        <v>51</v>
      </c>
      <c r="D2970" s="32" t="n">
        <v>46187</v>
      </c>
      <c r="E2970" s="8" t="n">
        <v>7</v>
      </c>
      <c r="F2970" s="8" t="str">
        <f aca="false">IF(E2970&gt;=9,"Promoter",IF(E2970&gt;=7,"Passive","Detractor"))</f>
        <v>Passive</v>
      </c>
    </row>
    <row r="2971" customFormat="false" ht="15" hidden="false" customHeight="false" outlineLevel="0" collapsed="false">
      <c r="A2971" s="8" t="s">
        <v>7604</v>
      </c>
      <c r="B2971" s="8" t="s">
        <v>4366</v>
      </c>
      <c r="C2971" s="8" t="s">
        <v>51</v>
      </c>
      <c r="D2971" s="32" t="n">
        <v>46187</v>
      </c>
      <c r="E2971" s="8" t="n">
        <v>6</v>
      </c>
      <c r="F2971" s="8" t="str">
        <f aca="false">IF(E2971&gt;=9,"Promoter",IF(E2971&gt;=7,"Passive","Detractor"))</f>
        <v>Detractor</v>
      </c>
    </row>
    <row r="2972" customFormat="false" ht="15" hidden="false" customHeight="false" outlineLevel="0" collapsed="false">
      <c r="A2972" s="8" t="s">
        <v>7605</v>
      </c>
      <c r="B2972" s="8" t="s">
        <v>4196</v>
      </c>
      <c r="C2972" s="8" t="s">
        <v>51</v>
      </c>
      <c r="D2972" s="32" t="n">
        <v>46187</v>
      </c>
      <c r="E2972" s="8" t="n">
        <v>7</v>
      </c>
      <c r="F2972" s="8" t="str">
        <f aca="false">IF(E2972&gt;=9,"Promoter",IF(E2972&gt;=7,"Passive","Detractor"))</f>
        <v>Passive</v>
      </c>
    </row>
    <row r="2973" customFormat="false" ht="15" hidden="false" customHeight="false" outlineLevel="0" collapsed="false">
      <c r="A2973" s="8" t="s">
        <v>7606</v>
      </c>
      <c r="B2973" s="8" t="s">
        <v>4138</v>
      </c>
      <c r="C2973" s="8" t="s">
        <v>51</v>
      </c>
      <c r="D2973" s="32" t="n">
        <v>46187</v>
      </c>
      <c r="E2973" s="8" t="n">
        <v>6</v>
      </c>
      <c r="F2973" s="8" t="str">
        <f aca="false">IF(E2973&gt;=9,"Promoter",IF(E2973&gt;=7,"Passive","Detractor"))</f>
        <v>Detractor</v>
      </c>
    </row>
    <row r="2974" customFormat="false" ht="15" hidden="false" customHeight="false" outlineLevel="0" collapsed="false">
      <c r="A2974" s="8" t="s">
        <v>7607</v>
      </c>
      <c r="B2974" s="8" t="s">
        <v>1369</v>
      </c>
      <c r="C2974" s="8" t="s">
        <v>53</v>
      </c>
      <c r="D2974" s="32" t="n">
        <v>46187</v>
      </c>
      <c r="E2974" s="8" t="n">
        <v>8</v>
      </c>
      <c r="F2974" s="8" t="str">
        <f aca="false">IF(E2974&gt;=9,"Promoter",IF(E2974&gt;=7,"Passive","Detractor"))</f>
        <v>Passive</v>
      </c>
    </row>
    <row r="2975" customFormat="false" ht="15" hidden="false" customHeight="false" outlineLevel="0" collapsed="false">
      <c r="A2975" s="8" t="s">
        <v>7608</v>
      </c>
      <c r="B2975" s="8" t="s">
        <v>1787</v>
      </c>
      <c r="C2975" s="8" t="s">
        <v>53</v>
      </c>
      <c r="D2975" s="32" t="n">
        <v>46187</v>
      </c>
      <c r="E2975" s="8" t="n">
        <v>10</v>
      </c>
      <c r="F2975" s="8" t="str">
        <f aca="false">IF(E2975&gt;=9,"Promoter",IF(E2975&gt;=7,"Passive","Detractor"))</f>
        <v>Promoter</v>
      </c>
    </row>
    <row r="2976" customFormat="false" ht="15" hidden="false" customHeight="false" outlineLevel="0" collapsed="false">
      <c r="A2976" s="8" t="s">
        <v>7609</v>
      </c>
      <c r="B2976" s="8" t="s">
        <v>3324</v>
      </c>
      <c r="C2976" s="8" t="s">
        <v>51</v>
      </c>
      <c r="D2976" s="32" t="n">
        <v>46188</v>
      </c>
      <c r="E2976" s="8" t="n">
        <v>8</v>
      </c>
      <c r="F2976" s="8" t="str">
        <f aca="false">IF(E2976&gt;=9,"Promoter",IF(E2976&gt;=7,"Passive","Detractor"))</f>
        <v>Passive</v>
      </c>
    </row>
    <row r="2977" customFormat="false" ht="15" hidden="false" customHeight="false" outlineLevel="0" collapsed="false">
      <c r="A2977" s="8" t="s">
        <v>7610</v>
      </c>
      <c r="B2977" s="8" t="s">
        <v>1027</v>
      </c>
      <c r="C2977" s="8" t="s">
        <v>53</v>
      </c>
      <c r="D2977" s="32" t="n">
        <v>46188</v>
      </c>
      <c r="E2977" s="8" t="n">
        <v>8</v>
      </c>
      <c r="F2977" s="8" t="str">
        <f aca="false">IF(E2977&gt;=9,"Promoter",IF(E2977&gt;=7,"Passive","Detractor"))</f>
        <v>Passive</v>
      </c>
    </row>
    <row r="2978" customFormat="false" ht="15" hidden="false" customHeight="false" outlineLevel="0" collapsed="false">
      <c r="A2978" s="8" t="s">
        <v>7611</v>
      </c>
      <c r="B2978" s="8" t="s">
        <v>1249</v>
      </c>
      <c r="C2978" s="8" t="s">
        <v>53</v>
      </c>
      <c r="D2978" s="32" t="n">
        <v>46188</v>
      </c>
      <c r="E2978" s="8" t="n">
        <v>9</v>
      </c>
      <c r="F2978" s="8" t="str">
        <f aca="false">IF(E2978&gt;=9,"Promoter",IF(E2978&gt;=7,"Passive","Detractor"))</f>
        <v>Promoter</v>
      </c>
    </row>
    <row r="2979" customFormat="false" ht="15" hidden="false" customHeight="false" outlineLevel="0" collapsed="false">
      <c r="A2979" s="8" t="s">
        <v>7612</v>
      </c>
      <c r="B2979" s="8" t="s">
        <v>3992</v>
      </c>
      <c r="C2979" s="8" t="s">
        <v>51</v>
      </c>
      <c r="D2979" s="32" t="n">
        <v>46188</v>
      </c>
      <c r="E2979" s="8" t="n">
        <v>6</v>
      </c>
      <c r="F2979" s="8" t="str">
        <f aca="false">IF(E2979&gt;=9,"Promoter",IF(E2979&gt;=7,"Passive","Detractor"))</f>
        <v>Detractor</v>
      </c>
    </row>
    <row r="2980" customFormat="false" ht="15" hidden="false" customHeight="false" outlineLevel="0" collapsed="false">
      <c r="A2980" s="8" t="s">
        <v>7613</v>
      </c>
      <c r="B2980" s="8" t="s">
        <v>3532</v>
      </c>
      <c r="C2980" s="8" t="s">
        <v>51</v>
      </c>
      <c r="D2980" s="32" t="n">
        <v>46188</v>
      </c>
      <c r="E2980" s="8" t="n">
        <v>9</v>
      </c>
      <c r="F2980" s="8" t="str">
        <f aca="false">IF(E2980&gt;=9,"Promoter",IF(E2980&gt;=7,"Passive","Detractor"))</f>
        <v>Promoter</v>
      </c>
    </row>
    <row r="2981" customFormat="false" ht="15" hidden="false" customHeight="false" outlineLevel="0" collapsed="false">
      <c r="A2981" s="8" t="s">
        <v>7614</v>
      </c>
      <c r="B2981" s="8" t="s">
        <v>3564</v>
      </c>
      <c r="C2981" s="8" t="s">
        <v>51</v>
      </c>
      <c r="D2981" s="32" t="n">
        <v>46188</v>
      </c>
      <c r="E2981" s="8" t="n">
        <v>9</v>
      </c>
      <c r="F2981" s="8" t="str">
        <f aca="false">IF(E2981&gt;=9,"Promoter",IF(E2981&gt;=7,"Passive","Detractor"))</f>
        <v>Promoter</v>
      </c>
    </row>
    <row r="2982" customFormat="false" ht="15" hidden="false" customHeight="false" outlineLevel="0" collapsed="false">
      <c r="A2982" s="8" t="s">
        <v>7615</v>
      </c>
      <c r="B2982" s="8" t="s">
        <v>545</v>
      </c>
      <c r="C2982" s="8" t="s">
        <v>53</v>
      </c>
      <c r="D2982" s="32" t="n">
        <v>46188</v>
      </c>
      <c r="E2982" s="8" t="n">
        <v>6</v>
      </c>
      <c r="F2982" s="8" t="str">
        <f aca="false">IF(E2982&gt;=9,"Promoter",IF(E2982&gt;=7,"Passive","Detractor"))</f>
        <v>Detractor</v>
      </c>
    </row>
    <row r="2983" customFormat="false" ht="15" hidden="false" customHeight="false" outlineLevel="0" collapsed="false">
      <c r="A2983" s="8" t="s">
        <v>7616</v>
      </c>
      <c r="B2983" s="8" t="s">
        <v>2178</v>
      </c>
      <c r="C2983" s="8" t="s">
        <v>51</v>
      </c>
      <c r="D2983" s="32" t="n">
        <v>46188</v>
      </c>
      <c r="E2983" s="8" t="n">
        <v>10</v>
      </c>
      <c r="F2983" s="8" t="str">
        <f aca="false">IF(E2983&gt;=9,"Promoter",IF(E2983&gt;=7,"Passive","Detractor"))</f>
        <v>Promoter</v>
      </c>
    </row>
    <row r="2984" customFormat="false" ht="15" hidden="false" customHeight="false" outlineLevel="0" collapsed="false">
      <c r="A2984" s="8" t="s">
        <v>7617</v>
      </c>
      <c r="B2984" s="8" t="s">
        <v>7618</v>
      </c>
      <c r="C2984" s="8" t="s">
        <v>51</v>
      </c>
      <c r="D2984" s="32" t="n">
        <v>46188</v>
      </c>
      <c r="E2984" s="8" t="n">
        <v>4</v>
      </c>
      <c r="F2984" s="8" t="str">
        <f aca="false">IF(E2984&gt;=9,"Promoter",IF(E2984&gt;=7,"Passive","Detractor"))</f>
        <v>Detractor</v>
      </c>
    </row>
    <row r="2985" customFormat="false" ht="15" hidden="false" customHeight="false" outlineLevel="0" collapsed="false">
      <c r="A2985" s="8" t="s">
        <v>7619</v>
      </c>
      <c r="B2985" s="8" t="s">
        <v>2864</v>
      </c>
      <c r="C2985" s="8" t="s">
        <v>51</v>
      </c>
      <c r="D2985" s="32" t="n">
        <v>46188</v>
      </c>
      <c r="E2985" s="8" t="n">
        <v>7</v>
      </c>
      <c r="F2985" s="8" t="str">
        <f aca="false">IF(E2985&gt;=9,"Promoter",IF(E2985&gt;=7,"Passive","Detractor"))</f>
        <v>Passive</v>
      </c>
    </row>
    <row r="2986" customFormat="false" ht="15" hidden="false" customHeight="false" outlineLevel="0" collapsed="false">
      <c r="A2986" s="8" t="s">
        <v>7620</v>
      </c>
      <c r="B2986" s="8" t="s">
        <v>911</v>
      </c>
      <c r="C2986" s="8" t="s">
        <v>53</v>
      </c>
      <c r="D2986" s="32" t="n">
        <v>46188</v>
      </c>
      <c r="E2986" s="8" t="n">
        <v>8</v>
      </c>
      <c r="F2986" s="8" t="str">
        <f aca="false">IF(E2986&gt;=9,"Promoter",IF(E2986&gt;=7,"Passive","Detractor"))</f>
        <v>Passive</v>
      </c>
    </row>
    <row r="2987" customFormat="false" ht="15" hidden="false" customHeight="false" outlineLevel="0" collapsed="false">
      <c r="A2987" s="8" t="s">
        <v>7621</v>
      </c>
      <c r="B2987" s="8" t="s">
        <v>1403</v>
      </c>
      <c r="C2987" s="8" t="s">
        <v>53</v>
      </c>
      <c r="D2987" s="32" t="n">
        <v>46188</v>
      </c>
      <c r="E2987" s="8" t="n">
        <v>9</v>
      </c>
      <c r="F2987" s="8" t="str">
        <f aca="false">IF(E2987&gt;=9,"Promoter",IF(E2987&gt;=7,"Passive","Detractor"))</f>
        <v>Promoter</v>
      </c>
    </row>
    <row r="2988" customFormat="false" ht="15" hidden="false" customHeight="false" outlineLevel="0" collapsed="false">
      <c r="A2988" s="8" t="s">
        <v>7622</v>
      </c>
      <c r="B2988" s="8" t="s">
        <v>3380</v>
      </c>
      <c r="C2988" s="8" t="s">
        <v>51</v>
      </c>
      <c r="D2988" s="32" t="n">
        <v>46188</v>
      </c>
      <c r="E2988" s="8" t="n">
        <v>8</v>
      </c>
      <c r="F2988" s="8" t="str">
        <f aca="false">IF(E2988&gt;=9,"Promoter",IF(E2988&gt;=7,"Passive","Detractor"))</f>
        <v>Passive</v>
      </c>
    </row>
    <row r="2989" customFormat="false" ht="15" hidden="false" customHeight="false" outlineLevel="0" collapsed="false">
      <c r="A2989" s="8" t="s">
        <v>7623</v>
      </c>
      <c r="B2989" s="8" t="s">
        <v>1919</v>
      </c>
      <c r="C2989" s="8" t="s">
        <v>51</v>
      </c>
      <c r="D2989" s="32" t="n">
        <v>46189</v>
      </c>
      <c r="E2989" s="8" t="n">
        <v>10</v>
      </c>
      <c r="F2989" s="8" t="str">
        <f aca="false">IF(E2989&gt;=9,"Promoter",IF(E2989&gt;=7,"Passive","Detractor"))</f>
        <v>Promoter</v>
      </c>
    </row>
    <row r="2990" customFormat="false" ht="15" hidden="false" customHeight="false" outlineLevel="0" collapsed="false">
      <c r="A2990" s="8" t="s">
        <v>7624</v>
      </c>
      <c r="B2990" s="8" t="s">
        <v>3398</v>
      </c>
      <c r="C2990" s="8" t="s">
        <v>51</v>
      </c>
      <c r="D2990" s="32" t="n">
        <v>46189</v>
      </c>
      <c r="E2990" s="8" t="n">
        <v>8</v>
      </c>
      <c r="F2990" s="8" t="str">
        <f aca="false">IF(E2990&gt;=9,"Promoter",IF(E2990&gt;=7,"Passive","Detractor"))</f>
        <v>Passive</v>
      </c>
    </row>
    <row r="2991" customFormat="false" ht="15" hidden="false" customHeight="false" outlineLevel="0" collapsed="false">
      <c r="A2991" s="8" t="s">
        <v>7625</v>
      </c>
      <c r="B2991" s="8" t="s">
        <v>2238</v>
      </c>
      <c r="C2991" s="8" t="s">
        <v>51</v>
      </c>
      <c r="D2991" s="32" t="n">
        <v>46189</v>
      </c>
      <c r="E2991" s="8" t="n">
        <v>10</v>
      </c>
      <c r="F2991" s="8" t="str">
        <f aca="false">IF(E2991&gt;=9,"Promoter",IF(E2991&gt;=7,"Passive","Detractor"))</f>
        <v>Promoter</v>
      </c>
    </row>
    <row r="2992" customFormat="false" ht="15" hidden="false" customHeight="false" outlineLevel="0" collapsed="false">
      <c r="A2992" s="8" t="s">
        <v>7626</v>
      </c>
      <c r="B2992" s="8" t="s">
        <v>2428</v>
      </c>
      <c r="C2992" s="8" t="s">
        <v>51</v>
      </c>
      <c r="D2992" s="32" t="n">
        <v>46189</v>
      </c>
      <c r="E2992" s="8" t="n">
        <v>10</v>
      </c>
      <c r="F2992" s="8" t="str">
        <f aca="false">IF(E2992&gt;=9,"Promoter",IF(E2992&gt;=7,"Passive","Detractor"))</f>
        <v>Promoter</v>
      </c>
    </row>
    <row r="2993" customFormat="false" ht="15" hidden="false" customHeight="false" outlineLevel="0" collapsed="false">
      <c r="A2993" s="8" t="s">
        <v>7627</v>
      </c>
      <c r="B2993" s="8" t="s">
        <v>1637</v>
      </c>
      <c r="C2993" s="8" t="s">
        <v>53</v>
      </c>
      <c r="D2993" s="32" t="n">
        <v>46189</v>
      </c>
      <c r="E2993" s="8" t="n">
        <v>7</v>
      </c>
      <c r="F2993" s="8" t="str">
        <f aca="false">IF(E2993&gt;=9,"Promoter",IF(E2993&gt;=7,"Passive","Detractor"))</f>
        <v>Passive</v>
      </c>
    </row>
    <row r="2994" customFormat="false" ht="15" hidden="false" customHeight="false" outlineLevel="0" collapsed="false">
      <c r="A2994" s="8" t="s">
        <v>7628</v>
      </c>
      <c r="B2994" s="8" t="s">
        <v>3520</v>
      </c>
      <c r="C2994" s="8" t="s">
        <v>51</v>
      </c>
      <c r="D2994" s="32" t="n">
        <v>46189</v>
      </c>
      <c r="E2994" s="8" t="n">
        <v>4</v>
      </c>
      <c r="F2994" s="8" t="str">
        <f aca="false">IF(E2994&gt;=9,"Promoter",IF(E2994&gt;=7,"Passive","Detractor"))</f>
        <v>Detractor</v>
      </c>
    </row>
    <row r="2995" customFormat="false" ht="15" hidden="false" customHeight="false" outlineLevel="0" collapsed="false">
      <c r="A2995" s="8" t="s">
        <v>7629</v>
      </c>
      <c r="B2995" s="8" t="s">
        <v>3036</v>
      </c>
      <c r="C2995" s="8" t="s">
        <v>51</v>
      </c>
      <c r="D2995" s="32" t="n">
        <v>46189</v>
      </c>
      <c r="E2995" s="8" t="n">
        <v>8</v>
      </c>
      <c r="F2995" s="8" t="str">
        <f aca="false">IF(E2995&gt;=9,"Promoter",IF(E2995&gt;=7,"Passive","Detractor"))</f>
        <v>Passive</v>
      </c>
    </row>
    <row r="2996" customFormat="false" ht="15" hidden="false" customHeight="false" outlineLevel="0" collapsed="false">
      <c r="A2996" s="8" t="s">
        <v>7630</v>
      </c>
      <c r="B2996" s="8" t="s">
        <v>1755</v>
      </c>
      <c r="C2996" s="8" t="s">
        <v>53</v>
      </c>
      <c r="D2996" s="32" t="n">
        <v>46189</v>
      </c>
      <c r="E2996" s="8" t="n">
        <v>8</v>
      </c>
      <c r="F2996" s="8" t="str">
        <f aca="false">IF(E2996&gt;=9,"Promoter",IF(E2996&gt;=7,"Passive","Detractor"))</f>
        <v>Passive</v>
      </c>
    </row>
    <row r="2997" customFormat="false" ht="15" hidden="false" customHeight="false" outlineLevel="0" collapsed="false">
      <c r="A2997" s="8" t="s">
        <v>7631</v>
      </c>
      <c r="B2997" s="8" t="s">
        <v>1785</v>
      </c>
      <c r="C2997" s="8" t="s">
        <v>51</v>
      </c>
      <c r="D2997" s="32" t="n">
        <v>46189</v>
      </c>
      <c r="E2997" s="8" t="n">
        <v>10</v>
      </c>
      <c r="F2997" s="8" t="str">
        <f aca="false">IF(E2997&gt;=9,"Promoter",IF(E2997&gt;=7,"Passive","Detractor"))</f>
        <v>Promoter</v>
      </c>
    </row>
    <row r="2998" customFormat="false" ht="15" hidden="false" customHeight="false" outlineLevel="0" collapsed="false">
      <c r="A2998" s="8" t="s">
        <v>7632</v>
      </c>
      <c r="B2998" s="8" t="s">
        <v>1935</v>
      </c>
      <c r="C2998" s="8" t="s">
        <v>51</v>
      </c>
      <c r="D2998" s="32" t="n">
        <v>46190</v>
      </c>
      <c r="E2998" s="8" t="n">
        <v>10</v>
      </c>
      <c r="F2998" s="8" t="str">
        <f aca="false">IF(E2998&gt;=9,"Promoter",IF(E2998&gt;=7,"Passive","Detractor"))</f>
        <v>Promoter</v>
      </c>
    </row>
    <row r="2999" customFormat="false" ht="15" hidden="false" customHeight="false" outlineLevel="0" collapsed="false">
      <c r="A2999" s="8" t="s">
        <v>7633</v>
      </c>
      <c r="B2999" s="8" t="s">
        <v>1229</v>
      </c>
      <c r="C2999" s="8" t="s">
        <v>53</v>
      </c>
      <c r="D2999" s="32" t="n">
        <v>46190</v>
      </c>
      <c r="E2999" s="8" t="n">
        <v>10</v>
      </c>
      <c r="F2999" s="8" t="str">
        <f aca="false">IF(E2999&gt;=9,"Promoter",IF(E2999&gt;=7,"Passive","Detractor"))</f>
        <v>Promoter</v>
      </c>
    </row>
    <row r="3000" customFormat="false" ht="15" hidden="false" customHeight="false" outlineLevel="0" collapsed="false">
      <c r="A3000" s="8" t="s">
        <v>7634</v>
      </c>
      <c r="B3000" s="8" t="s">
        <v>3328</v>
      </c>
      <c r="C3000" s="8" t="s">
        <v>51</v>
      </c>
      <c r="D3000" s="32" t="n">
        <v>46190</v>
      </c>
      <c r="E3000" s="8" t="n">
        <v>7</v>
      </c>
      <c r="F3000" s="8" t="str">
        <f aca="false">IF(E3000&gt;=9,"Promoter",IF(E3000&gt;=7,"Passive","Detractor"))</f>
        <v>Passive</v>
      </c>
    </row>
    <row r="3001" customFormat="false" ht="15" hidden="false" customHeight="false" outlineLevel="0" collapsed="false">
      <c r="A3001" s="8" t="s">
        <v>7635</v>
      </c>
      <c r="B3001" s="8" t="s">
        <v>1561</v>
      </c>
      <c r="C3001" s="8" t="s">
        <v>53</v>
      </c>
      <c r="D3001" s="32" t="n">
        <v>46190</v>
      </c>
      <c r="E3001" s="8" t="n">
        <v>6</v>
      </c>
      <c r="F3001" s="8" t="str">
        <f aca="false">IF(E3001&gt;=9,"Promoter",IF(E3001&gt;=7,"Passive","Detractor"))</f>
        <v>Detractor</v>
      </c>
    </row>
    <row r="3002" customFormat="false" ht="15" hidden="false" customHeight="false" outlineLevel="0" collapsed="false">
      <c r="A3002" s="8" t="s">
        <v>7636</v>
      </c>
      <c r="B3002" s="8" t="s">
        <v>515</v>
      </c>
      <c r="C3002" s="8" t="s">
        <v>55</v>
      </c>
      <c r="D3002" s="32" t="n">
        <v>46190</v>
      </c>
      <c r="E3002" s="8" t="n">
        <v>5</v>
      </c>
      <c r="F3002" s="8" t="str">
        <f aca="false">IF(E3002&gt;=9,"Promoter",IF(E3002&gt;=7,"Passive","Detractor"))</f>
        <v>Detractor</v>
      </c>
    </row>
    <row r="3003" customFormat="false" ht="15" hidden="false" customHeight="false" outlineLevel="0" collapsed="false">
      <c r="A3003" s="8" t="s">
        <v>7637</v>
      </c>
      <c r="B3003" s="8" t="s">
        <v>3874</v>
      </c>
      <c r="C3003" s="8" t="s">
        <v>51</v>
      </c>
      <c r="D3003" s="32" t="n">
        <v>46190</v>
      </c>
      <c r="E3003" s="8" t="n">
        <v>9</v>
      </c>
      <c r="F3003" s="8" t="str">
        <f aca="false">IF(E3003&gt;=9,"Promoter",IF(E3003&gt;=7,"Passive","Detractor"))</f>
        <v>Promoter</v>
      </c>
    </row>
    <row r="3004" customFormat="false" ht="15" hidden="false" customHeight="false" outlineLevel="0" collapsed="false">
      <c r="A3004" s="8" t="s">
        <v>7638</v>
      </c>
      <c r="B3004" s="8" t="s">
        <v>2292</v>
      </c>
      <c r="C3004" s="8" t="s">
        <v>51</v>
      </c>
      <c r="D3004" s="32" t="n">
        <v>46190</v>
      </c>
      <c r="E3004" s="8" t="n">
        <v>10</v>
      </c>
      <c r="F3004" s="8" t="str">
        <f aca="false">IF(E3004&gt;=9,"Promoter",IF(E3004&gt;=7,"Passive","Detractor"))</f>
        <v>Promoter</v>
      </c>
    </row>
    <row r="3005" customFormat="false" ht="15" hidden="false" customHeight="false" outlineLevel="0" collapsed="false">
      <c r="A3005" s="8" t="s">
        <v>7639</v>
      </c>
      <c r="B3005" s="8" t="s">
        <v>4078</v>
      </c>
      <c r="C3005" s="8" t="s">
        <v>51</v>
      </c>
      <c r="D3005" s="32" t="n">
        <v>46190</v>
      </c>
      <c r="E3005" s="8" t="n">
        <v>9</v>
      </c>
      <c r="F3005" s="8" t="str">
        <f aca="false">IF(E3005&gt;=9,"Promoter",IF(E3005&gt;=7,"Passive","Detractor"))</f>
        <v>Promoter</v>
      </c>
    </row>
    <row r="3006" customFormat="false" ht="15" hidden="false" customHeight="false" outlineLevel="0" collapsed="false">
      <c r="A3006" s="8" t="s">
        <v>7640</v>
      </c>
      <c r="B3006" s="8" t="s">
        <v>4192</v>
      </c>
      <c r="C3006" s="8" t="s">
        <v>51</v>
      </c>
      <c r="D3006" s="32" t="n">
        <v>46190</v>
      </c>
      <c r="E3006" s="8" t="n">
        <v>6</v>
      </c>
      <c r="F3006" s="8" t="str">
        <f aca="false">IF(E3006&gt;=9,"Promoter",IF(E3006&gt;=7,"Passive","Detractor"))</f>
        <v>Detractor</v>
      </c>
    </row>
    <row r="3007" customFormat="false" ht="15" hidden="false" customHeight="false" outlineLevel="0" collapsed="false">
      <c r="A3007" s="8" t="s">
        <v>7641</v>
      </c>
      <c r="B3007" s="8" t="s">
        <v>2328</v>
      </c>
      <c r="C3007" s="8" t="s">
        <v>51</v>
      </c>
      <c r="D3007" s="32" t="n">
        <v>46191</v>
      </c>
      <c r="E3007" s="8" t="n">
        <v>10</v>
      </c>
      <c r="F3007" s="8" t="str">
        <f aca="false">IF(E3007&gt;=9,"Promoter",IF(E3007&gt;=7,"Passive","Detractor"))</f>
        <v>Promoter</v>
      </c>
    </row>
    <row r="3008" customFormat="false" ht="15" hidden="false" customHeight="false" outlineLevel="0" collapsed="false">
      <c r="A3008" s="8" t="s">
        <v>7642</v>
      </c>
      <c r="B3008" s="8" t="s">
        <v>561</v>
      </c>
      <c r="C3008" s="8" t="s">
        <v>53</v>
      </c>
      <c r="D3008" s="32" t="n">
        <v>46191</v>
      </c>
      <c r="E3008" s="8" t="n">
        <v>6</v>
      </c>
      <c r="F3008" s="8" t="str">
        <f aca="false">IF(E3008&gt;=9,"Promoter",IF(E3008&gt;=7,"Passive","Detractor"))</f>
        <v>Detractor</v>
      </c>
    </row>
    <row r="3009" customFormat="false" ht="15" hidden="false" customHeight="false" outlineLevel="0" collapsed="false">
      <c r="A3009" s="8" t="s">
        <v>7643</v>
      </c>
      <c r="B3009" s="8" t="s">
        <v>1791</v>
      </c>
      <c r="C3009" s="8" t="s">
        <v>53</v>
      </c>
      <c r="D3009" s="32" t="n">
        <v>46191</v>
      </c>
      <c r="E3009" s="8" t="n">
        <v>8</v>
      </c>
      <c r="F3009" s="8" t="str">
        <f aca="false">IF(E3009&gt;=9,"Promoter",IF(E3009&gt;=7,"Passive","Detractor"))</f>
        <v>Passive</v>
      </c>
    </row>
    <row r="3010" customFormat="false" ht="15" hidden="false" customHeight="false" outlineLevel="0" collapsed="false">
      <c r="A3010" s="8" t="s">
        <v>7644</v>
      </c>
      <c r="B3010" s="8" t="s">
        <v>679</v>
      </c>
      <c r="C3010" s="8" t="s">
        <v>53</v>
      </c>
      <c r="D3010" s="32" t="n">
        <v>46191</v>
      </c>
      <c r="E3010" s="8" t="n">
        <v>8</v>
      </c>
      <c r="F3010" s="8" t="str">
        <f aca="false">IF(E3010&gt;=9,"Promoter",IF(E3010&gt;=7,"Passive","Detractor"))</f>
        <v>Passive</v>
      </c>
    </row>
    <row r="3011" customFormat="false" ht="15" hidden="false" customHeight="false" outlineLevel="0" collapsed="false">
      <c r="A3011" s="8" t="s">
        <v>7645</v>
      </c>
      <c r="B3011" s="8" t="s">
        <v>2898</v>
      </c>
      <c r="C3011" s="8" t="s">
        <v>51</v>
      </c>
      <c r="D3011" s="32" t="n">
        <v>46191</v>
      </c>
      <c r="E3011" s="8" t="n">
        <v>3</v>
      </c>
      <c r="F3011" s="8" t="str">
        <f aca="false">IF(E3011&gt;=9,"Promoter",IF(E3011&gt;=7,"Passive","Detractor"))</f>
        <v>Detractor</v>
      </c>
    </row>
    <row r="3012" customFormat="false" ht="15" hidden="false" customHeight="false" outlineLevel="0" collapsed="false">
      <c r="A3012" s="8" t="s">
        <v>7646</v>
      </c>
      <c r="B3012" s="8" t="s">
        <v>4230</v>
      </c>
      <c r="C3012" s="8" t="s">
        <v>51</v>
      </c>
      <c r="D3012" s="32" t="n">
        <v>46191</v>
      </c>
      <c r="E3012" s="8" t="n">
        <v>10</v>
      </c>
      <c r="F3012" s="8" t="str">
        <f aca="false">IF(E3012&gt;=9,"Promoter",IF(E3012&gt;=7,"Passive","Detractor"))</f>
        <v>Promoter</v>
      </c>
    </row>
    <row r="3013" customFormat="false" ht="15" hidden="false" customHeight="false" outlineLevel="0" collapsed="false">
      <c r="A3013" s="8" t="s">
        <v>7647</v>
      </c>
      <c r="B3013" s="8" t="s">
        <v>3750</v>
      </c>
      <c r="C3013" s="8" t="s">
        <v>51</v>
      </c>
      <c r="D3013" s="32" t="n">
        <v>46191</v>
      </c>
      <c r="E3013" s="8" t="n">
        <v>6</v>
      </c>
      <c r="F3013" s="8" t="str">
        <f aca="false">IF(E3013&gt;=9,"Promoter",IF(E3013&gt;=7,"Passive","Detractor"))</f>
        <v>Detractor</v>
      </c>
    </row>
    <row r="3014" customFormat="false" ht="15" hidden="false" customHeight="false" outlineLevel="0" collapsed="false">
      <c r="A3014" s="8" t="s">
        <v>7648</v>
      </c>
      <c r="B3014" s="8" t="s">
        <v>2514</v>
      </c>
      <c r="C3014" s="8" t="s">
        <v>51</v>
      </c>
      <c r="D3014" s="32" t="n">
        <v>46191</v>
      </c>
      <c r="E3014" s="8" t="n">
        <v>9</v>
      </c>
      <c r="F3014" s="8" t="str">
        <f aca="false">IF(E3014&gt;=9,"Promoter",IF(E3014&gt;=7,"Passive","Detractor"))</f>
        <v>Promoter</v>
      </c>
    </row>
    <row r="3015" customFormat="false" ht="15" hidden="false" customHeight="false" outlineLevel="0" collapsed="false">
      <c r="A3015" s="8" t="s">
        <v>7649</v>
      </c>
      <c r="B3015" s="8" t="s">
        <v>2046</v>
      </c>
      <c r="C3015" s="8" t="s">
        <v>51</v>
      </c>
      <c r="D3015" s="32" t="n">
        <v>46191</v>
      </c>
      <c r="E3015" s="8" t="n">
        <v>9</v>
      </c>
      <c r="F3015" s="8" t="str">
        <f aca="false">IF(E3015&gt;=9,"Promoter",IF(E3015&gt;=7,"Passive","Detractor"))</f>
        <v>Promoter</v>
      </c>
    </row>
    <row r="3016" customFormat="false" ht="15" hidden="false" customHeight="false" outlineLevel="0" collapsed="false">
      <c r="A3016" s="8" t="s">
        <v>7650</v>
      </c>
      <c r="B3016" s="8" t="s">
        <v>2950</v>
      </c>
      <c r="C3016" s="8" t="s">
        <v>51</v>
      </c>
      <c r="D3016" s="32" t="n">
        <v>46191</v>
      </c>
      <c r="E3016" s="8" t="n">
        <v>7</v>
      </c>
      <c r="F3016" s="8" t="str">
        <f aca="false">IF(E3016&gt;=9,"Promoter",IF(E3016&gt;=7,"Passive","Detractor"))</f>
        <v>Passive</v>
      </c>
    </row>
    <row r="3017" customFormat="false" ht="15" hidden="false" customHeight="false" outlineLevel="0" collapsed="false">
      <c r="A3017" s="8" t="s">
        <v>7651</v>
      </c>
      <c r="B3017" s="8" t="s">
        <v>3294</v>
      </c>
      <c r="C3017" s="8" t="s">
        <v>51</v>
      </c>
      <c r="D3017" s="32" t="n">
        <v>46191</v>
      </c>
      <c r="E3017" s="8" t="n">
        <v>9</v>
      </c>
      <c r="F3017" s="8" t="str">
        <f aca="false">IF(E3017&gt;=9,"Promoter",IF(E3017&gt;=7,"Passive","Detractor"))</f>
        <v>Promoter</v>
      </c>
    </row>
    <row r="3018" customFormat="false" ht="15" hidden="false" customHeight="false" outlineLevel="0" collapsed="false">
      <c r="A3018" s="8" t="s">
        <v>7652</v>
      </c>
      <c r="B3018" s="8" t="s">
        <v>4072</v>
      </c>
      <c r="C3018" s="8" t="s">
        <v>51</v>
      </c>
      <c r="D3018" s="32" t="n">
        <v>46191</v>
      </c>
      <c r="E3018" s="8" t="n">
        <v>7</v>
      </c>
      <c r="F3018" s="8" t="str">
        <f aca="false">IF(E3018&gt;=9,"Promoter",IF(E3018&gt;=7,"Passive","Detractor"))</f>
        <v>Passive</v>
      </c>
    </row>
    <row r="3019" customFormat="false" ht="15" hidden="false" customHeight="false" outlineLevel="0" collapsed="false">
      <c r="A3019" s="8" t="s">
        <v>7653</v>
      </c>
      <c r="B3019" s="8" t="s">
        <v>1227</v>
      </c>
      <c r="C3019" s="8" t="s">
        <v>53</v>
      </c>
      <c r="D3019" s="32" t="n">
        <v>46191</v>
      </c>
      <c r="E3019" s="8" t="n">
        <v>10</v>
      </c>
      <c r="F3019" s="8" t="str">
        <f aca="false">IF(E3019&gt;=9,"Promoter",IF(E3019&gt;=7,"Passive","Detractor"))</f>
        <v>Promoter</v>
      </c>
    </row>
    <row r="3020" customFormat="false" ht="15" hidden="false" customHeight="false" outlineLevel="0" collapsed="false">
      <c r="A3020" s="8" t="s">
        <v>7654</v>
      </c>
      <c r="B3020" s="8" t="s">
        <v>4148</v>
      </c>
      <c r="C3020" s="8" t="s">
        <v>51</v>
      </c>
      <c r="D3020" s="32" t="n">
        <v>46191</v>
      </c>
      <c r="E3020" s="8" t="n">
        <v>10</v>
      </c>
      <c r="F3020" s="8" t="str">
        <f aca="false">IF(E3020&gt;=9,"Promoter",IF(E3020&gt;=7,"Passive","Detractor"))</f>
        <v>Promoter</v>
      </c>
    </row>
    <row r="3021" customFormat="false" ht="15" hidden="false" customHeight="false" outlineLevel="0" collapsed="false">
      <c r="A3021" s="8" t="s">
        <v>7655</v>
      </c>
      <c r="B3021" s="8" t="s">
        <v>663</v>
      </c>
      <c r="C3021" s="8" t="s">
        <v>53</v>
      </c>
      <c r="D3021" s="32" t="n">
        <v>46191</v>
      </c>
      <c r="E3021" s="8" t="n">
        <v>5</v>
      </c>
      <c r="F3021" s="8" t="str">
        <f aca="false">IF(E3021&gt;=9,"Promoter",IF(E3021&gt;=7,"Passive","Detractor"))</f>
        <v>Detractor</v>
      </c>
    </row>
    <row r="3022" customFormat="false" ht="15" hidden="false" customHeight="false" outlineLevel="0" collapsed="false">
      <c r="A3022" s="8" t="s">
        <v>7656</v>
      </c>
      <c r="B3022" s="8" t="s">
        <v>276</v>
      </c>
      <c r="C3022" s="8" t="s">
        <v>55</v>
      </c>
      <c r="D3022" s="32" t="n">
        <v>46192</v>
      </c>
      <c r="E3022" s="8" t="n">
        <v>10</v>
      </c>
      <c r="F3022" s="8" t="str">
        <f aca="false">IF(E3022&gt;=9,"Promoter",IF(E3022&gt;=7,"Passive","Detractor"))</f>
        <v>Promoter</v>
      </c>
    </row>
    <row r="3023" customFormat="false" ht="15" hidden="false" customHeight="false" outlineLevel="0" collapsed="false">
      <c r="A3023" s="8" t="s">
        <v>7657</v>
      </c>
      <c r="B3023" s="8" t="s">
        <v>3624</v>
      </c>
      <c r="C3023" s="8" t="s">
        <v>51</v>
      </c>
      <c r="D3023" s="32" t="n">
        <v>46192</v>
      </c>
      <c r="E3023" s="8" t="n">
        <v>9</v>
      </c>
      <c r="F3023" s="8" t="str">
        <f aca="false">IF(E3023&gt;=9,"Promoter",IF(E3023&gt;=7,"Passive","Detractor"))</f>
        <v>Promoter</v>
      </c>
    </row>
    <row r="3024" customFormat="false" ht="15" hidden="false" customHeight="false" outlineLevel="0" collapsed="false">
      <c r="A3024" s="8" t="s">
        <v>7658</v>
      </c>
      <c r="B3024" s="8" t="s">
        <v>4164</v>
      </c>
      <c r="C3024" s="8" t="s">
        <v>51</v>
      </c>
      <c r="D3024" s="32" t="n">
        <v>46192</v>
      </c>
      <c r="E3024" s="8" t="n">
        <v>5</v>
      </c>
      <c r="F3024" s="8" t="str">
        <f aca="false">IF(E3024&gt;=9,"Promoter",IF(E3024&gt;=7,"Passive","Detractor"))</f>
        <v>Detractor</v>
      </c>
    </row>
    <row r="3025" customFormat="false" ht="15" hidden="false" customHeight="false" outlineLevel="0" collapsed="false">
      <c r="A3025" s="8" t="s">
        <v>7659</v>
      </c>
      <c r="B3025" s="8" t="s">
        <v>965</v>
      </c>
      <c r="C3025" s="8" t="s">
        <v>53</v>
      </c>
      <c r="D3025" s="32" t="n">
        <v>46192</v>
      </c>
      <c r="E3025" s="8" t="n">
        <v>8</v>
      </c>
      <c r="F3025" s="8" t="str">
        <f aca="false">IF(E3025&gt;=9,"Promoter",IF(E3025&gt;=7,"Passive","Detractor"))</f>
        <v>Passive</v>
      </c>
    </row>
    <row r="3026" customFormat="false" ht="15" hidden="false" customHeight="false" outlineLevel="0" collapsed="false">
      <c r="A3026" s="8" t="s">
        <v>7660</v>
      </c>
      <c r="B3026" s="8" t="s">
        <v>2942</v>
      </c>
      <c r="C3026" s="8" t="s">
        <v>51</v>
      </c>
      <c r="D3026" s="32" t="n">
        <v>46192</v>
      </c>
      <c r="E3026" s="8" t="n">
        <v>9</v>
      </c>
      <c r="F3026" s="8" t="str">
        <f aca="false">IF(E3026&gt;=9,"Promoter",IF(E3026&gt;=7,"Passive","Detractor"))</f>
        <v>Promoter</v>
      </c>
    </row>
    <row r="3027" customFormat="false" ht="15" hidden="false" customHeight="false" outlineLevel="0" collapsed="false">
      <c r="A3027" s="8" t="s">
        <v>7661</v>
      </c>
      <c r="B3027" s="8" t="s">
        <v>2400</v>
      </c>
      <c r="C3027" s="8" t="s">
        <v>51</v>
      </c>
      <c r="D3027" s="32" t="n">
        <v>46192</v>
      </c>
      <c r="E3027" s="8" t="n">
        <v>8</v>
      </c>
      <c r="F3027" s="8" t="str">
        <f aca="false">IF(E3027&gt;=9,"Promoter",IF(E3027&gt;=7,"Passive","Detractor"))</f>
        <v>Passive</v>
      </c>
    </row>
    <row r="3028" customFormat="false" ht="15" hidden="false" customHeight="false" outlineLevel="0" collapsed="false">
      <c r="A3028" s="8" t="s">
        <v>7662</v>
      </c>
      <c r="B3028" s="8" t="s">
        <v>4054</v>
      </c>
      <c r="C3028" s="8" t="s">
        <v>51</v>
      </c>
      <c r="D3028" s="32" t="n">
        <v>46192</v>
      </c>
      <c r="E3028" s="8" t="n">
        <v>9</v>
      </c>
      <c r="F3028" s="8" t="str">
        <f aca="false">IF(E3028&gt;=9,"Promoter",IF(E3028&gt;=7,"Passive","Detractor"))</f>
        <v>Promoter</v>
      </c>
    </row>
    <row r="3029" customFormat="false" ht="15" hidden="false" customHeight="false" outlineLevel="0" collapsed="false">
      <c r="A3029" s="8" t="s">
        <v>7663</v>
      </c>
      <c r="B3029" s="8" t="s">
        <v>3482</v>
      </c>
      <c r="C3029" s="8" t="s">
        <v>51</v>
      </c>
      <c r="D3029" s="32" t="n">
        <v>46192</v>
      </c>
      <c r="E3029" s="8" t="n">
        <v>6</v>
      </c>
      <c r="F3029" s="8" t="str">
        <f aca="false">IF(E3029&gt;=9,"Promoter",IF(E3029&gt;=7,"Passive","Detractor"))</f>
        <v>Detractor</v>
      </c>
    </row>
    <row r="3030" customFormat="false" ht="15" hidden="false" customHeight="false" outlineLevel="0" collapsed="false">
      <c r="A3030" s="8" t="s">
        <v>7664</v>
      </c>
      <c r="B3030" s="8" t="s">
        <v>2710</v>
      </c>
      <c r="C3030" s="8" t="s">
        <v>51</v>
      </c>
      <c r="D3030" s="32" t="n">
        <v>46192</v>
      </c>
      <c r="E3030" s="8" t="n">
        <v>10</v>
      </c>
      <c r="F3030" s="8" t="str">
        <f aca="false">IF(E3030&gt;=9,"Promoter",IF(E3030&gt;=7,"Passive","Detractor"))</f>
        <v>Promoter</v>
      </c>
    </row>
    <row r="3031" customFormat="false" ht="15" hidden="false" customHeight="false" outlineLevel="0" collapsed="false">
      <c r="A3031" s="8" t="s">
        <v>7665</v>
      </c>
      <c r="B3031" s="8" t="s">
        <v>505</v>
      </c>
      <c r="C3031" s="8" t="s">
        <v>55</v>
      </c>
      <c r="D3031" s="32" t="n">
        <v>46192</v>
      </c>
      <c r="E3031" s="8" t="n">
        <v>10</v>
      </c>
      <c r="F3031" s="8" t="str">
        <f aca="false">IF(E3031&gt;=9,"Promoter",IF(E3031&gt;=7,"Passive","Detractor"))</f>
        <v>Promoter</v>
      </c>
    </row>
    <row r="3032" customFormat="false" ht="15" hidden="false" customHeight="false" outlineLevel="0" collapsed="false">
      <c r="A3032" s="8" t="s">
        <v>7666</v>
      </c>
      <c r="B3032" s="8" t="s">
        <v>1909</v>
      </c>
      <c r="C3032" s="8" t="s">
        <v>51</v>
      </c>
      <c r="D3032" s="32" t="n">
        <v>46192</v>
      </c>
      <c r="E3032" s="8" t="n">
        <v>6</v>
      </c>
      <c r="F3032" s="8" t="str">
        <f aca="false">IF(E3032&gt;=9,"Promoter",IF(E3032&gt;=7,"Passive","Detractor"))</f>
        <v>Detractor</v>
      </c>
    </row>
    <row r="3033" customFormat="false" ht="15" hidden="false" customHeight="false" outlineLevel="0" collapsed="false">
      <c r="A3033" s="8" t="s">
        <v>7667</v>
      </c>
      <c r="B3033" s="8" t="s">
        <v>1417</v>
      </c>
      <c r="C3033" s="8" t="s">
        <v>53</v>
      </c>
      <c r="D3033" s="32" t="n">
        <v>46192</v>
      </c>
      <c r="E3033" s="8" t="n">
        <v>8</v>
      </c>
      <c r="F3033" s="8" t="str">
        <f aca="false">IF(E3033&gt;=9,"Promoter",IF(E3033&gt;=7,"Passive","Detractor"))</f>
        <v>Passive</v>
      </c>
    </row>
    <row r="3034" customFormat="false" ht="15" hidden="false" customHeight="false" outlineLevel="0" collapsed="false">
      <c r="A3034" s="8" t="s">
        <v>7668</v>
      </c>
      <c r="B3034" s="8" t="s">
        <v>226</v>
      </c>
      <c r="C3034" s="8" t="s">
        <v>55</v>
      </c>
      <c r="D3034" s="32" t="n">
        <v>46192</v>
      </c>
      <c r="E3034" s="8" t="n">
        <v>10</v>
      </c>
      <c r="F3034" s="8" t="str">
        <f aca="false">IF(E3034&gt;=9,"Promoter",IF(E3034&gt;=7,"Passive","Detractor"))</f>
        <v>Promoter</v>
      </c>
    </row>
    <row r="3035" customFormat="false" ht="15" hidden="false" customHeight="false" outlineLevel="0" collapsed="false">
      <c r="A3035" s="8" t="s">
        <v>7669</v>
      </c>
      <c r="B3035" s="8" t="s">
        <v>4538</v>
      </c>
      <c r="C3035" s="8" t="s">
        <v>51</v>
      </c>
      <c r="D3035" s="32" t="n">
        <v>46193</v>
      </c>
      <c r="E3035" s="8" t="n">
        <v>6</v>
      </c>
      <c r="F3035" s="8" t="str">
        <f aca="false">IF(E3035&gt;=9,"Promoter",IF(E3035&gt;=7,"Passive","Detractor"))</f>
        <v>Detractor</v>
      </c>
    </row>
    <row r="3036" customFormat="false" ht="15" hidden="false" customHeight="false" outlineLevel="0" collapsed="false">
      <c r="A3036" s="8" t="s">
        <v>7670</v>
      </c>
      <c r="B3036" s="8" t="s">
        <v>2938</v>
      </c>
      <c r="C3036" s="8" t="s">
        <v>51</v>
      </c>
      <c r="D3036" s="32" t="n">
        <v>46193</v>
      </c>
      <c r="E3036" s="8" t="n">
        <v>8</v>
      </c>
      <c r="F3036" s="8" t="str">
        <f aca="false">IF(E3036&gt;=9,"Promoter",IF(E3036&gt;=7,"Passive","Detractor"))</f>
        <v>Passive</v>
      </c>
    </row>
    <row r="3037" customFormat="false" ht="15" hidden="false" customHeight="false" outlineLevel="0" collapsed="false">
      <c r="A3037" s="8" t="s">
        <v>7671</v>
      </c>
      <c r="B3037" s="8" t="s">
        <v>2644</v>
      </c>
      <c r="C3037" s="8" t="s">
        <v>51</v>
      </c>
      <c r="D3037" s="32" t="n">
        <v>46193</v>
      </c>
      <c r="E3037" s="8" t="n">
        <v>10</v>
      </c>
      <c r="F3037" s="8" t="str">
        <f aca="false">IF(E3037&gt;=9,"Promoter",IF(E3037&gt;=7,"Passive","Detractor"))</f>
        <v>Promoter</v>
      </c>
    </row>
    <row r="3038" customFormat="false" ht="15" hidden="false" customHeight="false" outlineLevel="0" collapsed="false">
      <c r="A3038" s="8" t="s">
        <v>7672</v>
      </c>
      <c r="B3038" s="8" t="s">
        <v>3672</v>
      </c>
      <c r="C3038" s="8" t="s">
        <v>51</v>
      </c>
      <c r="D3038" s="32" t="n">
        <v>46193</v>
      </c>
      <c r="E3038" s="8" t="n">
        <v>8</v>
      </c>
      <c r="F3038" s="8" t="str">
        <f aca="false">IF(E3038&gt;=9,"Promoter",IF(E3038&gt;=7,"Passive","Detractor"))</f>
        <v>Passive</v>
      </c>
    </row>
    <row r="3039" customFormat="false" ht="15" hidden="false" customHeight="false" outlineLevel="0" collapsed="false">
      <c r="A3039" s="8" t="s">
        <v>7673</v>
      </c>
      <c r="B3039" s="8" t="s">
        <v>3998</v>
      </c>
      <c r="C3039" s="8" t="s">
        <v>51</v>
      </c>
      <c r="D3039" s="32" t="n">
        <v>46193</v>
      </c>
      <c r="E3039" s="8" t="n">
        <v>7</v>
      </c>
      <c r="F3039" s="8" t="str">
        <f aca="false">IF(E3039&gt;=9,"Promoter",IF(E3039&gt;=7,"Passive","Detractor"))</f>
        <v>Passive</v>
      </c>
    </row>
    <row r="3040" customFormat="false" ht="15" hidden="false" customHeight="false" outlineLevel="0" collapsed="false">
      <c r="A3040" s="8" t="s">
        <v>7674</v>
      </c>
      <c r="B3040" s="8" t="s">
        <v>891</v>
      </c>
      <c r="C3040" s="8" t="s">
        <v>53</v>
      </c>
      <c r="D3040" s="32" t="n">
        <v>46193</v>
      </c>
      <c r="E3040" s="8" t="n">
        <v>10</v>
      </c>
      <c r="F3040" s="8" t="str">
        <f aca="false">IF(E3040&gt;=9,"Promoter",IF(E3040&gt;=7,"Passive","Detractor"))</f>
        <v>Promoter</v>
      </c>
    </row>
    <row r="3041" customFormat="false" ht="15" hidden="false" customHeight="false" outlineLevel="0" collapsed="false">
      <c r="A3041" s="8" t="s">
        <v>7675</v>
      </c>
      <c r="B3041" s="8" t="s">
        <v>2826</v>
      </c>
      <c r="C3041" s="8" t="s">
        <v>51</v>
      </c>
      <c r="D3041" s="32" t="n">
        <v>46193</v>
      </c>
      <c r="E3041" s="8" t="n">
        <v>6</v>
      </c>
      <c r="F3041" s="8" t="str">
        <f aca="false">IF(E3041&gt;=9,"Promoter",IF(E3041&gt;=7,"Passive","Detractor"))</f>
        <v>Detractor</v>
      </c>
    </row>
    <row r="3042" customFormat="false" ht="15" hidden="false" customHeight="false" outlineLevel="0" collapsed="false">
      <c r="A3042" s="8" t="s">
        <v>7676</v>
      </c>
      <c r="B3042" s="8" t="s">
        <v>3006</v>
      </c>
      <c r="C3042" s="8" t="s">
        <v>51</v>
      </c>
      <c r="D3042" s="32" t="n">
        <v>46193</v>
      </c>
      <c r="E3042" s="8" t="n">
        <v>8</v>
      </c>
      <c r="F3042" s="8" t="str">
        <f aca="false">IF(E3042&gt;=9,"Promoter",IF(E3042&gt;=7,"Passive","Detractor"))</f>
        <v>Passive</v>
      </c>
    </row>
    <row r="3043" customFormat="false" ht="15" hidden="false" customHeight="false" outlineLevel="0" collapsed="false">
      <c r="A3043" s="8" t="s">
        <v>7677</v>
      </c>
      <c r="B3043" s="8" t="s">
        <v>2616</v>
      </c>
      <c r="C3043" s="8" t="s">
        <v>51</v>
      </c>
      <c r="D3043" s="32" t="n">
        <v>46193</v>
      </c>
      <c r="E3043" s="8" t="n">
        <v>8</v>
      </c>
      <c r="F3043" s="8" t="str">
        <f aca="false">IF(E3043&gt;=9,"Promoter",IF(E3043&gt;=7,"Passive","Detractor"))</f>
        <v>Passive</v>
      </c>
    </row>
    <row r="3044" customFormat="false" ht="15" hidden="false" customHeight="false" outlineLevel="0" collapsed="false">
      <c r="A3044" s="8" t="s">
        <v>7678</v>
      </c>
      <c r="B3044" s="8" t="s">
        <v>2306</v>
      </c>
      <c r="C3044" s="8" t="s">
        <v>51</v>
      </c>
      <c r="D3044" s="32" t="n">
        <v>46193</v>
      </c>
      <c r="E3044" s="8" t="n">
        <v>10</v>
      </c>
      <c r="F3044" s="8" t="str">
        <f aca="false">IF(E3044&gt;=9,"Promoter",IF(E3044&gt;=7,"Passive","Detractor"))</f>
        <v>Promoter</v>
      </c>
    </row>
    <row r="3045" customFormat="false" ht="15" hidden="false" customHeight="false" outlineLevel="0" collapsed="false">
      <c r="A3045" s="8" t="s">
        <v>7679</v>
      </c>
      <c r="B3045" s="8" t="s">
        <v>2188</v>
      </c>
      <c r="C3045" s="8" t="s">
        <v>51</v>
      </c>
      <c r="D3045" s="32" t="n">
        <v>46193</v>
      </c>
      <c r="E3045" s="8" t="n">
        <v>7</v>
      </c>
      <c r="F3045" s="8" t="str">
        <f aca="false">IF(E3045&gt;=9,"Promoter",IF(E3045&gt;=7,"Passive","Detractor"))</f>
        <v>Passive</v>
      </c>
    </row>
    <row r="3046" customFormat="false" ht="15" hidden="false" customHeight="false" outlineLevel="0" collapsed="false">
      <c r="A3046" s="8" t="s">
        <v>7680</v>
      </c>
      <c r="B3046" s="8" t="s">
        <v>4479</v>
      </c>
      <c r="C3046" s="8" t="s">
        <v>53</v>
      </c>
      <c r="D3046" s="32" t="n">
        <v>46193</v>
      </c>
      <c r="E3046" s="8" t="n">
        <v>6</v>
      </c>
      <c r="F3046" s="8" t="str">
        <f aca="false">IF(E3046&gt;=9,"Promoter",IF(E3046&gt;=7,"Passive","Detractor"))</f>
        <v>Detractor</v>
      </c>
    </row>
    <row r="3047" customFormat="false" ht="15" hidden="false" customHeight="false" outlineLevel="0" collapsed="false">
      <c r="A3047" s="8" t="s">
        <v>7681</v>
      </c>
      <c r="B3047" s="8" t="s">
        <v>3486</v>
      </c>
      <c r="C3047" s="8" t="s">
        <v>51</v>
      </c>
      <c r="D3047" s="32" t="n">
        <v>46194</v>
      </c>
      <c r="E3047" s="8" t="n">
        <v>9</v>
      </c>
      <c r="F3047" s="8" t="str">
        <f aca="false">IF(E3047&gt;=9,"Promoter",IF(E3047&gt;=7,"Passive","Detractor"))</f>
        <v>Promoter</v>
      </c>
    </row>
    <row r="3048" customFormat="false" ht="15" hidden="false" customHeight="false" outlineLevel="0" collapsed="false">
      <c r="A3048" s="8" t="s">
        <v>7682</v>
      </c>
      <c r="B3048" s="8" t="s">
        <v>2090</v>
      </c>
      <c r="C3048" s="8" t="s">
        <v>51</v>
      </c>
      <c r="D3048" s="32" t="n">
        <v>46194</v>
      </c>
      <c r="E3048" s="8" t="n">
        <v>8</v>
      </c>
      <c r="F3048" s="8" t="str">
        <f aca="false">IF(E3048&gt;=9,"Promoter",IF(E3048&gt;=7,"Passive","Detractor"))</f>
        <v>Passive</v>
      </c>
    </row>
    <row r="3049" customFormat="false" ht="15" hidden="false" customHeight="false" outlineLevel="0" collapsed="false">
      <c r="A3049" s="8" t="s">
        <v>7683</v>
      </c>
      <c r="B3049" s="8" t="s">
        <v>1039</v>
      </c>
      <c r="C3049" s="8" t="s">
        <v>53</v>
      </c>
      <c r="D3049" s="32" t="n">
        <v>46194</v>
      </c>
      <c r="E3049" s="8" t="n">
        <v>8</v>
      </c>
      <c r="F3049" s="8" t="str">
        <f aca="false">IF(E3049&gt;=9,"Promoter",IF(E3049&gt;=7,"Passive","Detractor"))</f>
        <v>Passive</v>
      </c>
    </row>
    <row r="3050" customFormat="false" ht="15" hidden="false" customHeight="false" outlineLevel="0" collapsed="false">
      <c r="A3050" s="8" t="s">
        <v>7684</v>
      </c>
      <c r="B3050" s="8" t="s">
        <v>1103</v>
      </c>
      <c r="C3050" s="8" t="s">
        <v>53</v>
      </c>
      <c r="D3050" s="32" t="n">
        <v>46194</v>
      </c>
      <c r="E3050" s="8" t="n">
        <v>5</v>
      </c>
      <c r="F3050" s="8" t="str">
        <f aca="false">IF(E3050&gt;=9,"Promoter",IF(E3050&gt;=7,"Passive","Detractor"))</f>
        <v>Detractor</v>
      </c>
    </row>
    <row r="3051" customFormat="false" ht="15" hidden="false" customHeight="false" outlineLevel="0" collapsed="false">
      <c r="A3051" s="8" t="s">
        <v>7685</v>
      </c>
      <c r="B3051" s="8" t="s">
        <v>2744</v>
      </c>
      <c r="C3051" s="8" t="s">
        <v>51</v>
      </c>
      <c r="D3051" s="32" t="n">
        <v>46194</v>
      </c>
      <c r="E3051" s="8" t="n">
        <v>5</v>
      </c>
      <c r="F3051" s="8" t="str">
        <f aca="false">IF(E3051&gt;=9,"Promoter",IF(E3051&gt;=7,"Passive","Detractor"))</f>
        <v>Detractor</v>
      </c>
    </row>
    <row r="3052" customFormat="false" ht="15" hidden="false" customHeight="false" outlineLevel="0" collapsed="false">
      <c r="A3052" s="8" t="s">
        <v>7686</v>
      </c>
      <c r="B3052" s="8" t="s">
        <v>2256</v>
      </c>
      <c r="C3052" s="8" t="s">
        <v>51</v>
      </c>
      <c r="D3052" s="32" t="n">
        <v>46194</v>
      </c>
      <c r="E3052" s="8" t="n">
        <v>8</v>
      </c>
      <c r="F3052" s="8" t="str">
        <f aca="false">IF(E3052&gt;=9,"Promoter",IF(E3052&gt;=7,"Passive","Detractor"))</f>
        <v>Passive</v>
      </c>
    </row>
    <row r="3053" customFormat="false" ht="15" hidden="false" customHeight="false" outlineLevel="0" collapsed="false">
      <c r="A3053" s="8" t="s">
        <v>7687</v>
      </c>
      <c r="B3053" s="8" t="s">
        <v>4034</v>
      </c>
      <c r="C3053" s="8" t="s">
        <v>51</v>
      </c>
      <c r="D3053" s="32" t="n">
        <v>46194</v>
      </c>
      <c r="E3053" s="8" t="n">
        <v>9</v>
      </c>
      <c r="F3053" s="8" t="str">
        <f aca="false">IF(E3053&gt;=9,"Promoter",IF(E3053&gt;=7,"Passive","Detractor"))</f>
        <v>Promoter</v>
      </c>
    </row>
    <row r="3054" customFormat="false" ht="15" hidden="false" customHeight="false" outlineLevel="0" collapsed="false">
      <c r="A3054" s="8" t="s">
        <v>7688</v>
      </c>
      <c r="B3054" s="8" t="s">
        <v>3568</v>
      </c>
      <c r="C3054" s="8" t="s">
        <v>51</v>
      </c>
      <c r="D3054" s="32" t="n">
        <v>46194</v>
      </c>
      <c r="E3054" s="8" t="n">
        <v>6</v>
      </c>
      <c r="F3054" s="8" t="str">
        <f aca="false">IF(E3054&gt;=9,"Promoter",IF(E3054&gt;=7,"Passive","Detractor"))</f>
        <v>Detractor</v>
      </c>
    </row>
    <row r="3055" customFormat="false" ht="15" hidden="false" customHeight="false" outlineLevel="0" collapsed="false">
      <c r="A3055" s="8" t="s">
        <v>7689</v>
      </c>
      <c r="B3055" s="8" t="s">
        <v>1655</v>
      </c>
      <c r="C3055" s="8" t="s">
        <v>53</v>
      </c>
      <c r="D3055" s="32" t="n">
        <v>46194</v>
      </c>
      <c r="E3055" s="8" t="n">
        <v>7</v>
      </c>
      <c r="F3055" s="8" t="str">
        <f aca="false">IF(E3055&gt;=9,"Promoter",IF(E3055&gt;=7,"Passive","Detractor"))</f>
        <v>Passive</v>
      </c>
    </row>
    <row r="3056" customFormat="false" ht="15" hidden="false" customHeight="false" outlineLevel="0" collapsed="false">
      <c r="A3056" s="8" t="s">
        <v>7690</v>
      </c>
      <c r="B3056" s="8" t="s">
        <v>1961</v>
      </c>
      <c r="C3056" s="8" t="s">
        <v>51</v>
      </c>
      <c r="D3056" s="32" t="n">
        <v>46194</v>
      </c>
      <c r="E3056" s="8" t="n">
        <v>5</v>
      </c>
      <c r="F3056" s="8" t="str">
        <f aca="false">IF(E3056&gt;=9,"Promoter",IF(E3056&gt;=7,"Passive","Detractor"))</f>
        <v>Detractor</v>
      </c>
    </row>
    <row r="3057" customFormat="false" ht="15" hidden="false" customHeight="false" outlineLevel="0" collapsed="false">
      <c r="A3057" s="8" t="s">
        <v>7691</v>
      </c>
      <c r="B3057" s="8" t="s">
        <v>2714</v>
      </c>
      <c r="C3057" s="8" t="s">
        <v>51</v>
      </c>
      <c r="D3057" s="32" t="n">
        <v>46194</v>
      </c>
      <c r="E3057" s="8" t="n">
        <v>10</v>
      </c>
      <c r="F3057" s="8" t="str">
        <f aca="false">IF(E3057&gt;=9,"Promoter",IF(E3057&gt;=7,"Passive","Detractor"))</f>
        <v>Promoter</v>
      </c>
    </row>
    <row r="3058" customFormat="false" ht="15" hidden="false" customHeight="false" outlineLevel="0" collapsed="false">
      <c r="A3058" s="8" t="s">
        <v>7692</v>
      </c>
      <c r="B3058" s="8" t="s">
        <v>3084</v>
      </c>
      <c r="C3058" s="8" t="s">
        <v>51</v>
      </c>
      <c r="D3058" s="32" t="n">
        <v>46194</v>
      </c>
      <c r="E3058" s="8" t="n">
        <v>9</v>
      </c>
      <c r="F3058" s="8" t="str">
        <f aca="false">IF(E3058&gt;=9,"Promoter",IF(E3058&gt;=7,"Passive","Detractor"))</f>
        <v>Promoter</v>
      </c>
    </row>
    <row r="3059" customFormat="false" ht="15" hidden="false" customHeight="false" outlineLevel="0" collapsed="false">
      <c r="A3059" s="8" t="s">
        <v>7693</v>
      </c>
      <c r="B3059" s="8" t="s">
        <v>1023</v>
      </c>
      <c r="C3059" s="8" t="s">
        <v>53</v>
      </c>
      <c r="D3059" s="32" t="n">
        <v>46195</v>
      </c>
      <c r="E3059" s="8" t="n">
        <v>6</v>
      </c>
      <c r="F3059" s="8" t="str">
        <f aca="false">IF(E3059&gt;=9,"Promoter",IF(E3059&gt;=7,"Passive","Detractor"))</f>
        <v>Detractor</v>
      </c>
    </row>
    <row r="3060" customFormat="false" ht="15" hidden="false" customHeight="false" outlineLevel="0" collapsed="false">
      <c r="A3060" s="8" t="s">
        <v>7694</v>
      </c>
      <c r="B3060" s="8" t="s">
        <v>3462</v>
      </c>
      <c r="C3060" s="8" t="s">
        <v>51</v>
      </c>
      <c r="D3060" s="32" t="n">
        <v>46195</v>
      </c>
      <c r="E3060" s="8" t="n">
        <v>10</v>
      </c>
      <c r="F3060" s="8" t="str">
        <f aca="false">IF(E3060&gt;=9,"Promoter",IF(E3060&gt;=7,"Passive","Detractor"))</f>
        <v>Promoter</v>
      </c>
    </row>
    <row r="3061" customFormat="false" ht="15" hidden="false" customHeight="false" outlineLevel="0" collapsed="false">
      <c r="A3061" s="8" t="s">
        <v>7695</v>
      </c>
      <c r="B3061" s="8" t="s">
        <v>3528</v>
      </c>
      <c r="C3061" s="8" t="s">
        <v>51</v>
      </c>
      <c r="D3061" s="32" t="n">
        <v>46195</v>
      </c>
      <c r="E3061" s="8" t="n">
        <v>7</v>
      </c>
      <c r="F3061" s="8" t="str">
        <f aca="false">IF(E3061&gt;=9,"Promoter",IF(E3061&gt;=7,"Passive","Detractor"))</f>
        <v>Passive</v>
      </c>
    </row>
    <row r="3062" customFormat="false" ht="15" hidden="false" customHeight="false" outlineLevel="0" collapsed="false">
      <c r="A3062" s="8" t="s">
        <v>7696</v>
      </c>
      <c r="B3062" s="8" t="s">
        <v>4471</v>
      </c>
      <c r="C3062" s="8" t="s">
        <v>53</v>
      </c>
      <c r="D3062" s="32" t="n">
        <v>46195</v>
      </c>
      <c r="E3062" s="8" t="n">
        <v>6</v>
      </c>
      <c r="F3062" s="8" t="str">
        <f aca="false">IF(E3062&gt;=9,"Promoter",IF(E3062&gt;=7,"Passive","Detractor"))</f>
        <v>Detractor</v>
      </c>
    </row>
    <row r="3063" customFormat="false" ht="15" hidden="false" customHeight="false" outlineLevel="0" collapsed="false">
      <c r="A3063" s="8" t="s">
        <v>7697</v>
      </c>
      <c r="B3063" s="8" t="s">
        <v>439</v>
      </c>
      <c r="C3063" s="8" t="s">
        <v>55</v>
      </c>
      <c r="D3063" s="32" t="n">
        <v>46195</v>
      </c>
      <c r="E3063" s="8" t="n">
        <v>7</v>
      </c>
      <c r="F3063" s="8" t="str">
        <f aca="false">IF(E3063&gt;=9,"Promoter",IF(E3063&gt;=7,"Passive","Detractor"))</f>
        <v>Passive</v>
      </c>
    </row>
    <row r="3064" customFormat="false" ht="15" hidden="false" customHeight="false" outlineLevel="0" collapsed="false">
      <c r="A3064" s="8" t="s">
        <v>7698</v>
      </c>
      <c r="B3064" s="8" t="s">
        <v>2936</v>
      </c>
      <c r="C3064" s="8" t="s">
        <v>51</v>
      </c>
      <c r="D3064" s="32" t="n">
        <v>46195</v>
      </c>
      <c r="E3064" s="8" t="n">
        <v>8</v>
      </c>
      <c r="F3064" s="8" t="str">
        <f aca="false">IF(E3064&gt;=9,"Promoter",IF(E3064&gt;=7,"Passive","Detractor"))</f>
        <v>Passive</v>
      </c>
    </row>
    <row r="3065" customFormat="false" ht="15" hidden="false" customHeight="false" outlineLevel="0" collapsed="false">
      <c r="A3065" s="8" t="s">
        <v>7699</v>
      </c>
      <c r="B3065" s="8" t="s">
        <v>1215</v>
      </c>
      <c r="C3065" s="8" t="s">
        <v>53</v>
      </c>
      <c r="D3065" s="32" t="n">
        <v>46195</v>
      </c>
      <c r="E3065" s="8" t="n">
        <v>5</v>
      </c>
      <c r="F3065" s="8" t="str">
        <f aca="false">IF(E3065&gt;=9,"Promoter",IF(E3065&gt;=7,"Passive","Detractor"))</f>
        <v>Detractor</v>
      </c>
    </row>
    <row r="3066" customFormat="false" ht="15" hidden="false" customHeight="false" outlineLevel="0" collapsed="false">
      <c r="A3066" s="8" t="s">
        <v>7700</v>
      </c>
      <c r="B3066" s="8" t="s">
        <v>435</v>
      </c>
      <c r="C3066" s="8" t="s">
        <v>55</v>
      </c>
      <c r="D3066" s="32" t="n">
        <v>46195</v>
      </c>
      <c r="E3066" s="8" t="n">
        <v>10</v>
      </c>
      <c r="F3066" s="8" t="str">
        <f aca="false">IF(E3066&gt;=9,"Promoter",IF(E3066&gt;=7,"Passive","Detractor"))</f>
        <v>Promoter</v>
      </c>
    </row>
    <row r="3067" customFormat="false" ht="15" hidden="false" customHeight="false" outlineLevel="0" collapsed="false">
      <c r="A3067" s="8" t="s">
        <v>7701</v>
      </c>
      <c r="B3067" s="8" t="s">
        <v>2412</v>
      </c>
      <c r="C3067" s="8" t="s">
        <v>51</v>
      </c>
      <c r="D3067" s="32" t="n">
        <v>46195</v>
      </c>
      <c r="E3067" s="8" t="n">
        <v>10</v>
      </c>
      <c r="F3067" s="8" t="str">
        <f aca="false">IF(E3067&gt;=9,"Promoter",IF(E3067&gt;=7,"Passive","Detractor"))</f>
        <v>Promoter</v>
      </c>
    </row>
    <row r="3068" customFormat="false" ht="15" hidden="false" customHeight="false" outlineLevel="0" collapsed="false">
      <c r="A3068" s="8" t="s">
        <v>7702</v>
      </c>
      <c r="B3068" s="8" t="s">
        <v>1105</v>
      </c>
      <c r="C3068" s="8" t="s">
        <v>53</v>
      </c>
      <c r="D3068" s="32" t="n">
        <v>46195</v>
      </c>
      <c r="E3068" s="8" t="n">
        <v>7</v>
      </c>
      <c r="F3068" s="8" t="str">
        <f aca="false">IF(E3068&gt;=9,"Promoter",IF(E3068&gt;=7,"Passive","Detractor"))</f>
        <v>Passive</v>
      </c>
    </row>
    <row r="3069" customFormat="false" ht="15" hidden="false" customHeight="false" outlineLevel="0" collapsed="false">
      <c r="A3069" s="8" t="s">
        <v>7703</v>
      </c>
      <c r="B3069" s="8" t="s">
        <v>3718</v>
      </c>
      <c r="C3069" s="8" t="s">
        <v>51</v>
      </c>
      <c r="D3069" s="32" t="n">
        <v>46195</v>
      </c>
      <c r="E3069" s="8" t="n">
        <v>8</v>
      </c>
      <c r="F3069" s="8" t="str">
        <f aca="false">IF(E3069&gt;=9,"Promoter",IF(E3069&gt;=7,"Passive","Detractor"))</f>
        <v>Passive</v>
      </c>
    </row>
    <row r="3070" customFormat="false" ht="15" hidden="false" customHeight="false" outlineLevel="0" collapsed="false">
      <c r="A3070" s="8" t="s">
        <v>7704</v>
      </c>
      <c r="B3070" s="8" t="s">
        <v>3768</v>
      </c>
      <c r="C3070" s="8" t="s">
        <v>51</v>
      </c>
      <c r="D3070" s="32" t="n">
        <v>46195</v>
      </c>
      <c r="E3070" s="8" t="n">
        <v>10</v>
      </c>
      <c r="F3070" s="8" t="str">
        <f aca="false">IF(E3070&gt;=9,"Promoter",IF(E3070&gt;=7,"Passive","Detractor"))</f>
        <v>Promoter</v>
      </c>
    </row>
    <row r="3071" customFormat="false" ht="15" hidden="false" customHeight="false" outlineLevel="0" collapsed="false">
      <c r="A3071" s="8" t="s">
        <v>7705</v>
      </c>
      <c r="B3071" s="8" t="s">
        <v>252</v>
      </c>
      <c r="C3071" s="8" t="s">
        <v>55</v>
      </c>
      <c r="D3071" s="32" t="n">
        <v>46195</v>
      </c>
      <c r="E3071" s="8" t="n">
        <v>7</v>
      </c>
      <c r="F3071" s="8" t="str">
        <f aca="false">IF(E3071&gt;=9,"Promoter",IF(E3071&gt;=7,"Passive","Detractor"))</f>
        <v>Passive</v>
      </c>
    </row>
    <row r="3072" customFormat="false" ht="15" hidden="false" customHeight="false" outlineLevel="0" collapsed="false">
      <c r="A3072" s="8" t="s">
        <v>7706</v>
      </c>
      <c r="B3072" s="8" t="s">
        <v>1037</v>
      </c>
      <c r="C3072" s="8" t="s">
        <v>53</v>
      </c>
      <c r="D3072" s="32" t="n">
        <v>46195</v>
      </c>
      <c r="E3072" s="8" t="n">
        <v>7</v>
      </c>
      <c r="F3072" s="8" t="str">
        <f aca="false">IF(E3072&gt;=9,"Promoter",IF(E3072&gt;=7,"Passive","Detractor"))</f>
        <v>Passive</v>
      </c>
    </row>
    <row r="3073" customFormat="false" ht="15" hidden="false" customHeight="false" outlineLevel="0" collapsed="false">
      <c r="A3073" s="8" t="s">
        <v>7707</v>
      </c>
      <c r="B3073" s="8" t="s">
        <v>955</v>
      </c>
      <c r="C3073" s="8" t="s">
        <v>53</v>
      </c>
      <c r="D3073" s="32" t="n">
        <v>46196</v>
      </c>
      <c r="E3073" s="8" t="n">
        <v>8</v>
      </c>
      <c r="F3073" s="8" t="str">
        <f aca="false">IF(E3073&gt;=9,"Promoter",IF(E3073&gt;=7,"Passive","Detractor"))</f>
        <v>Passive</v>
      </c>
    </row>
    <row r="3074" customFormat="false" ht="15" hidden="false" customHeight="false" outlineLevel="0" collapsed="false">
      <c r="A3074" s="8" t="s">
        <v>7708</v>
      </c>
      <c r="B3074" s="8" t="s">
        <v>3594</v>
      </c>
      <c r="C3074" s="8" t="s">
        <v>51</v>
      </c>
      <c r="D3074" s="32" t="n">
        <v>46196</v>
      </c>
      <c r="E3074" s="8" t="n">
        <v>9</v>
      </c>
      <c r="F3074" s="8" t="str">
        <f aca="false">IF(E3074&gt;=9,"Promoter",IF(E3074&gt;=7,"Passive","Detractor"))</f>
        <v>Promoter</v>
      </c>
    </row>
    <row r="3075" customFormat="false" ht="15" hidden="false" customHeight="false" outlineLevel="0" collapsed="false">
      <c r="A3075" s="8" t="s">
        <v>7709</v>
      </c>
      <c r="B3075" s="8" t="s">
        <v>1781</v>
      </c>
      <c r="C3075" s="8" t="s">
        <v>53</v>
      </c>
      <c r="D3075" s="32" t="n">
        <v>46196</v>
      </c>
      <c r="E3075" s="8" t="n">
        <v>8</v>
      </c>
      <c r="F3075" s="8" t="str">
        <f aca="false">IF(E3075&gt;=9,"Promoter",IF(E3075&gt;=7,"Passive","Detractor"))</f>
        <v>Passive</v>
      </c>
    </row>
    <row r="3076" customFormat="false" ht="15" hidden="false" customHeight="false" outlineLevel="0" collapsed="false">
      <c r="A3076" s="8" t="s">
        <v>7710</v>
      </c>
      <c r="B3076" s="8" t="s">
        <v>2782</v>
      </c>
      <c r="C3076" s="8" t="s">
        <v>51</v>
      </c>
      <c r="D3076" s="32" t="n">
        <v>46196</v>
      </c>
      <c r="E3076" s="8" t="n">
        <v>9</v>
      </c>
      <c r="F3076" s="8" t="str">
        <f aca="false">IF(E3076&gt;=9,"Promoter",IF(E3076&gt;=7,"Passive","Detractor"))</f>
        <v>Promoter</v>
      </c>
    </row>
    <row r="3077" customFormat="false" ht="15" hidden="false" customHeight="false" outlineLevel="0" collapsed="false">
      <c r="A3077" s="8" t="s">
        <v>7711</v>
      </c>
      <c r="B3077" s="8" t="s">
        <v>1363</v>
      </c>
      <c r="C3077" s="8" t="s">
        <v>53</v>
      </c>
      <c r="D3077" s="32" t="n">
        <v>46196</v>
      </c>
      <c r="E3077" s="8" t="n">
        <v>7</v>
      </c>
      <c r="F3077" s="8" t="str">
        <f aca="false">IF(E3077&gt;=9,"Promoter",IF(E3077&gt;=7,"Passive","Detractor"))</f>
        <v>Passive</v>
      </c>
    </row>
    <row r="3078" customFormat="false" ht="15" hidden="false" customHeight="false" outlineLevel="0" collapsed="false">
      <c r="A3078" s="8" t="s">
        <v>7712</v>
      </c>
      <c r="B3078" s="8" t="s">
        <v>4352</v>
      </c>
      <c r="C3078" s="8" t="s">
        <v>51</v>
      </c>
      <c r="D3078" s="32" t="n">
        <v>46196</v>
      </c>
      <c r="E3078" s="8" t="n">
        <v>10</v>
      </c>
      <c r="F3078" s="8" t="str">
        <f aca="false">IF(E3078&gt;=9,"Promoter",IF(E3078&gt;=7,"Passive","Detractor"))</f>
        <v>Promoter</v>
      </c>
    </row>
    <row r="3079" customFormat="false" ht="15" hidden="false" customHeight="false" outlineLevel="0" collapsed="false">
      <c r="A3079" s="8" t="s">
        <v>7713</v>
      </c>
      <c r="B3079" s="8" t="s">
        <v>3928</v>
      </c>
      <c r="C3079" s="8" t="s">
        <v>51</v>
      </c>
      <c r="D3079" s="32" t="n">
        <v>46196</v>
      </c>
      <c r="E3079" s="8" t="n">
        <v>10</v>
      </c>
      <c r="F3079" s="8" t="str">
        <f aca="false">IF(E3079&gt;=9,"Promoter",IF(E3079&gt;=7,"Passive","Detractor"))</f>
        <v>Promoter</v>
      </c>
    </row>
    <row r="3080" customFormat="false" ht="15" hidden="false" customHeight="false" outlineLevel="0" collapsed="false">
      <c r="A3080" s="8" t="s">
        <v>7714</v>
      </c>
      <c r="B3080" s="8" t="s">
        <v>2512</v>
      </c>
      <c r="C3080" s="8" t="s">
        <v>51</v>
      </c>
      <c r="D3080" s="32" t="n">
        <v>46196</v>
      </c>
      <c r="E3080" s="8" t="n">
        <v>6</v>
      </c>
      <c r="F3080" s="8" t="str">
        <f aca="false">IF(E3080&gt;=9,"Promoter",IF(E3080&gt;=7,"Passive","Detractor"))</f>
        <v>Detractor</v>
      </c>
    </row>
    <row r="3081" customFormat="false" ht="15" hidden="false" customHeight="false" outlineLevel="0" collapsed="false">
      <c r="A3081" s="8" t="s">
        <v>7715</v>
      </c>
      <c r="B3081" s="8" t="s">
        <v>3930</v>
      </c>
      <c r="C3081" s="8" t="s">
        <v>51</v>
      </c>
      <c r="D3081" s="32" t="n">
        <v>46196</v>
      </c>
      <c r="E3081" s="8" t="n">
        <v>8</v>
      </c>
      <c r="F3081" s="8" t="str">
        <f aca="false">IF(E3081&gt;=9,"Promoter",IF(E3081&gt;=7,"Passive","Detractor"))</f>
        <v>Passive</v>
      </c>
    </row>
    <row r="3082" customFormat="false" ht="15" hidden="false" customHeight="false" outlineLevel="0" collapsed="false">
      <c r="A3082" s="8" t="s">
        <v>7716</v>
      </c>
      <c r="B3082" s="8" t="s">
        <v>3886</v>
      </c>
      <c r="C3082" s="8" t="s">
        <v>51</v>
      </c>
      <c r="D3082" s="32" t="n">
        <v>46196</v>
      </c>
      <c r="E3082" s="8" t="n">
        <v>7</v>
      </c>
      <c r="F3082" s="8" t="str">
        <f aca="false">IF(E3082&gt;=9,"Promoter",IF(E3082&gt;=7,"Passive","Detractor"))</f>
        <v>Passive</v>
      </c>
    </row>
    <row r="3083" customFormat="false" ht="15" hidden="false" customHeight="false" outlineLevel="0" collapsed="false">
      <c r="A3083" s="8" t="s">
        <v>7717</v>
      </c>
      <c r="B3083" s="8" t="s">
        <v>3844</v>
      </c>
      <c r="C3083" s="8" t="s">
        <v>51</v>
      </c>
      <c r="D3083" s="32" t="n">
        <v>46196</v>
      </c>
      <c r="E3083" s="8" t="n">
        <v>8</v>
      </c>
      <c r="F3083" s="8" t="str">
        <f aca="false">IF(E3083&gt;=9,"Promoter",IF(E3083&gt;=7,"Passive","Detractor"))</f>
        <v>Passive</v>
      </c>
    </row>
    <row r="3084" customFormat="false" ht="15" hidden="false" customHeight="false" outlineLevel="0" collapsed="false">
      <c r="A3084" s="8" t="s">
        <v>7718</v>
      </c>
      <c r="B3084" s="8" t="s">
        <v>3088</v>
      </c>
      <c r="C3084" s="8" t="s">
        <v>51</v>
      </c>
      <c r="D3084" s="32" t="n">
        <v>46196</v>
      </c>
      <c r="E3084" s="8" t="n">
        <v>8</v>
      </c>
      <c r="F3084" s="8" t="str">
        <f aca="false">IF(E3084&gt;=9,"Promoter",IF(E3084&gt;=7,"Passive","Detractor"))</f>
        <v>Passive</v>
      </c>
    </row>
    <row r="3085" customFormat="false" ht="15" hidden="false" customHeight="false" outlineLevel="0" collapsed="false">
      <c r="A3085" s="8" t="s">
        <v>7719</v>
      </c>
      <c r="B3085" s="8" t="s">
        <v>1257</v>
      </c>
      <c r="C3085" s="8" t="s">
        <v>53</v>
      </c>
      <c r="D3085" s="32" t="n">
        <v>46197</v>
      </c>
      <c r="E3085" s="8" t="n">
        <v>9</v>
      </c>
      <c r="F3085" s="8" t="str">
        <f aca="false">IF(E3085&gt;=9,"Promoter",IF(E3085&gt;=7,"Passive","Detractor"))</f>
        <v>Promoter</v>
      </c>
    </row>
    <row r="3086" customFormat="false" ht="15" hidden="false" customHeight="false" outlineLevel="0" collapsed="false">
      <c r="A3086" s="8" t="s">
        <v>7720</v>
      </c>
      <c r="B3086" s="8" t="s">
        <v>1719</v>
      </c>
      <c r="C3086" s="8" t="s">
        <v>53</v>
      </c>
      <c r="D3086" s="32" t="n">
        <v>46197</v>
      </c>
      <c r="E3086" s="8" t="n">
        <v>6</v>
      </c>
      <c r="F3086" s="8" t="str">
        <f aca="false">IF(E3086&gt;=9,"Promoter",IF(E3086&gt;=7,"Passive","Detractor"))</f>
        <v>Detractor</v>
      </c>
    </row>
    <row r="3087" customFormat="false" ht="15" hidden="false" customHeight="false" outlineLevel="0" collapsed="false">
      <c r="A3087" s="8" t="s">
        <v>7721</v>
      </c>
      <c r="B3087" s="8" t="s">
        <v>1525</v>
      </c>
      <c r="C3087" s="8" t="s">
        <v>53</v>
      </c>
      <c r="D3087" s="32" t="n">
        <v>46197</v>
      </c>
      <c r="E3087" s="8" t="n">
        <v>6</v>
      </c>
      <c r="F3087" s="8" t="str">
        <f aca="false">IF(E3087&gt;=9,"Promoter",IF(E3087&gt;=7,"Passive","Detractor"))</f>
        <v>Detractor</v>
      </c>
    </row>
    <row r="3088" customFormat="false" ht="15" hidden="false" customHeight="false" outlineLevel="0" collapsed="false">
      <c r="A3088" s="8" t="s">
        <v>7722</v>
      </c>
      <c r="B3088" s="8" t="s">
        <v>625</v>
      </c>
      <c r="C3088" s="8" t="s">
        <v>53</v>
      </c>
      <c r="D3088" s="32" t="n">
        <v>46197</v>
      </c>
      <c r="E3088" s="8" t="n">
        <v>8</v>
      </c>
      <c r="F3088" s="8" t="str">
        <f aca="false">IF(E3088&gt;=9,"Promoter",IF(E3088&gt;=7,"Passive","Detractor"))</f>
        <v>Passive</v>
      </c>
    </row>
    <row r="3089" customFormat="false" ht="15" hidden="false" customHeight="false" outlineLevel="0" collapsed="false">
      <c r="A3089" s="8" t="s">
        <v>7723</v>
      </c>
      <c r="B3089" s="8" t="s">
        <v>1277</v>
      </c>
      <c r="C3089" s="8" t="s">
        <v>53</v>
      </c>
      <c r="D3089" s="32" t="n">
        <v>46197</v>
      </c>
      <c r="E3089" s="8" t="n">
        <v>5</v>
      </c>
      <c r="F3089" s="8" t="str">
        <f aca="false">IF(E3089&gt;=9,"Promoter",IF(E3089&gt;=7,"Passive","Detractor"))</f>
        <v>Detractor</v>
      </c>
    </row>
    <row r="3090" customFormat="false" ht="15" hidden="false" customHeight="false" outlineLevel="0" collapsed="false">
      <c r="A3090" s="8" t="s">
        <v>7724</v>
      </c>
      <c r="B3090" s="8" t="s">
        <v>1115</v>
      </c>
      <c r="C3090" s="8" t="s">
        <v>53</v>
      </c>
      <c r="D3090" s="32" t="n">
        <v>46197</v>
      </c>
      <c r="E3090" s="8" t="n">
        <v>10</v>
      </c>
      <c r="F3090" s="8" t="str">
        <f aca="false">IF(E3090&gt;=9,"Promoter",IF(E3090&gt;=7,"Passive","Detractor"))</f>
        <v>Promoter</v>
      </c>
    </row>
    <row r="3091" customFormat="false" ht="15" hidden="false" customHeight="false" outlineLevel="0" collapsed="false">
      <c r="A3091" s="8" t="s">
        <v>7725</v>
      </c>
      <c r="B3091" s="8" t="s">
        <v>3046</v>
      </c>
      <c r="C3091" s="8" t="s">
        <v>51</v>
      </c>
      <c r="D3091" s="32" t="n">
        <v>46197</v>
      </c>
      <c r="E3091" s="8" t="n">
        <v>10</v>
      </c>
      <c r="F3091" s="8" t="str">
        <f aca="false">IF(E3091&gt;=9,"Promoter",IF(E3091&gt;=7,"Passive","Detractor"))</f>
        <v>Promoter</v>
      </c>
    </row>
    <row r="3092" customFormat="false" ht="15" hidden="false" customHeight="false" outlineLevel="0" collapsed="false">
      <c r="A3092" s="8" t="s">
        <v>7726</v>
      </c>
      <c r="B3092" s="8" t="s">
        <v>1811</v>
      </c>
      <c r="C3092" s="8" t="s">
        <v>51</v>
      </c>
      <c r="D3092" s="32" t="n">
        <v>46197</v>
      </c>
      <c r="E3092" s="8" t="n">
        <v>10</v>
      </c>
      <c r="F3092" s="8" t="str">
        <f aca="false">IF(E3092&gt;=9,"Promoter",IF(E3092&gt;=7,"Passive","Detractor"))</f>
        <v>Promoter</v>
      </c>
    </row>
    <row r="3093" customFormat="false" ht="15" hidden="false" customHeight="false" outlineLevel="0" collapsed="false">
      <c r="A3093" s="8" t="s">
        <v>7727</v>
      </c>
      <c r="B3093" s="8" t="s">
        <v>126</v>
      </c>
      <c r="C3093" s="8" t="s">
        <v>55</v>
      </c>
      <c r="D3093" s="32" t="n">
        <v>46197</v>
      </c>
      <c r="E3093" s="8" t="n">
        <v>8</v>
      </c>
      <c r="F3093" s="8" t="str">
        <f aca="false">IF(E3093&gt;=9,"Promoter",IF(E3093&gt;=7,"Passive","Detractor"))</f>
        <v>Passive</v>
      </c>
    </row>
    <row r="3094" customFormat="false" ht="15" hidden="false" customHeight="false" outlineLevel="0" collapsed="false">
      <c r="A3094" s="8" t="s">
        <v>7728</v>
      </c>
      <c r="B3094" s="8" t="s">
        <v>3332</v>
      </c>
      <c r="C3094" s="8" t="s">
        <v>51</v>
      </c>
      <c r="D3094" s="32" t="n">
        <v>46197</v>
      </c>
      <c r="E3094" s="8" t="n">
        <v>8</v>
      </c>
      <c r="F3094" s="8" t="str">
        <f aca="false">IF(E3094&gt;=9,"Promoter",IF(E3094&gt;=7,"Passive","Detractor"))</f>
        <v>Passive</v>
      </c>
    </row>
    <row r="3095" customFormat="false" ht="15" hidden="false" customHeight="false" outlineLevel="0" collapsed="false">
      <c r="A3095" s="8" t="s">
        <v>7729</v>
      </c>
      <c r="B3095" s="8" t="s">
        <v>2286</v>
      </c>
      <c r="C3095" s="8" t="s">
        <v>51</v>
      </c>
      <c r="D3095" s="32" t="n">
        <v>46197</v>
      </c>
      <c r="E3095" s="8" t="n">
        <v>10</v>
      </c>
      <c r="F3095" s="8" t="str">
        <f aca="false">IF(E3095&gt;=9,"Promoter",IF(E3095&gt;=7,"Passive","Detractor"))</f>
        <v>Promoter</v>
      </c>
    </row>
    <row r="3096" customFormat="false" ht="15" hidden="false" customHeight="false" outlineLevel="0" collapsed="false">
      <c r="A3096" s="8" t="s">
        <v>7730</v>
      </c>
      <c r="B3096" s="8" t="s">
        <v>2904</v>
      </c>
      <c r="C3096" s="8" t="s">
        <v>51</v>
      </c>
      <c r="D3096" s="32" t="n">
        <v>46197</v>
      </c>
      <c r="E3096" s="8" t="n">
        <v>10</v>
      </c>
      <c r="F3096" s="8" t="str">
        <f aca="false">IF(E3096&gt;=9,"Promoter",IF(E3096&gt;=7,"Passive","Detractor"))</f>
        <v>Promoter</v>
      </c>
    </row>
    <row r="3097" customFormat="false" ht="15" hidden="false" customHeight="false" outlineLevel="0" collapsed="false">
      <c r="A3097" s="8" t="s">
        <v>7731</v>
      </c>
      <c r="B3097" s="8" t="s">
        <v>3472</v>
      </c>
      <c r="C3097" s="8" t="s">
        <v>51</v>
      </c>
      <c r="D3097" s="32" t="n">
        <v>46197</v>
      </c>
      <c r="E3097" s="8" t="n">
        <v>8</v>
      </c>
      <c r="F3097" s="8" t="str">
        <f aca="false">IF(E3097&gt;=9,"Promoter",IF(E3097&gt;=7,"Passive","Detractor"))</f>
        <v>Passive</v>
      </c>
    </row>
    <row r="3098" customFormat="false" ht="15" hidden="false" customHeight="false" outlineLevel="0" collapsed="false">
      <c r="A3098" s="8" t="s">
        <v>7732</v>
      </c>
      <c r="B3098" s="8" t="s">
        <v>2690</v>
      </c>
      <c r="C3098" s="8" t="s">
        <v>51</v>
      </c>
      <c r="D3098" s="32" t="n">
        <v>46197</v>
      </c>
      <c r="E3098" s="8" t="n">
        <v>3</v>
      </c>
      <c r="F3098" s="8" t="str">
        <f aca="false">IF(E3098&gt;=9,"Promoter",IF(E3098&gt;=7,"Passive","Detractor"))</f>
        <v>Detractor</v>
      </c>
    </row>
    <row r="3099" customFormat="false" ht="15" hidden="false" customHeight="false" outlineLevel="0" collapsed="false">
      <c r="A3099" s="8" t="s">
        <v>7733</v>
      </c>
      <c r="B3099" s="8" t="s">
        <v>457</v>
      </c>
      <c r="C3099" s="8" t="s">
        <v>55</v>
      </c>
      <c r="D3099" s="32" t="n">
        <v>46197</v>
      </c>
      <c r="E3099" s="8" t="n">
        <v>7</v>
      </c>
      <c r="F3099" s="8" t="str">
        <f aca="false">IF(E3099&gt;=9,"Promoter",IF(E3099&gt;=7,"Passive","Detractor"))</f>
        <v>Passive</v>
      </c>
    </row>
    <row r="3100" customFormat="false" ht="15" hidden="false" customHeight="false" outlineLevel="0" collapsed="false">
      <c r="A3100" s="8" t="s">
        <v>7734</v>
      </c>
      <c r="B3100" s="8" t="s">
        <v>2204</v>
      </c>
      <c r="C3100" s="8" t="s">
        <v>51</v>
      </c>
      <c r="D3100" s="32" t="n">
        <v>46197</v>
      </c>
      <c r="E3100" s="8" t="n">
        <v>7</v>
      </c>
      <c r="F3100" s="8" t="str">
        <f aca="false">IF(E3100&gt;=9,"Promoter",IF(E3100&gt;=7,"Passive","Detractor"))</f>
        <v>Passive</v>
      </c>
    </row>
    <row r="3101" customFormat="false" ht="15" hidden="false" customHeight="false" outlineLevel="0" collapsed="false">
      <c r="A3101" s="8" t="s">
        <v>7735</v>
      </c>
      <c r="B3101" s="8" t="s">
        <v>643</v>
      </c>
      <c r="C3101" s="8" t="s">
        <v>55</v>
      </c>
      <c r="D3101" s="32" t="n">
        <v>46197</v>
      </c>
      <c r="E3101" s="8" t="n">
        <v>8</v>
      </c>
      <c r="F3101" s="8" t="str">
        <f aca="false">IF(E3101&gt;=9,"Promoter",IF(E3101&gt;=7,"Passive","Detractor"))</f>
        <v>Passive</v>
      </c>
    </row>
    <row r="3102" customFormat="false" ht="15" hidden="false" customHeight="false" outlineLevel="0" collapsed="false">
      <c r="A3102" s="8" t="s">
        <v>7736</v>
      </c>
      <c r="B3102" s="8" t="s">
        <v>895</v>
      </c>
      <c r="C3102" s="8" t="s">
        <v>53</v>
      </c>
      <c r="D3102" s="32" t="n">
        <v>46197</v>
      </c>
      <c r="E3102" s="8" t="n">
        <v>8</v>
      </c>
      <c r="F3102" s="8" t="str">
        <f aca="false">IF(E3102&gt;=9,"Promoter",IF(E3102&gt;=7,"Passive","Detractor"))</f>
        <v>Passive</v>
      </c>
    </row>
    <row r="3103" customFormat="false" ht="15" hidden="false" customHeight="false" outlineLevel="0" collapsed="false">
      <c r="A3103" s="8" t="s">
        <v>7737</v>
      </c>
      <c r="B3103" s="8" t="s">
        <v>4198</v>
      </c>
      <c r="C3103" s="8" t="s">
        <v>51</v>
      </c>
      <c r="D3103" s="32" t="n">
        <v>46197</v>
      </c>
      <c r="E3103" s="8" t="n">
        <v>6</v>
      </c>
      <c r="F3103" s="8" t="str">
        <f aca="false">IF(E3103&gt;=9,"Promoter",IF(E3103&gt;=7,"Passive","Detractor"))</f>
        <v>Detractor</v>
      </c>
    </row>
    <row r="3104" customFormat="false" ht="15" hidden="false" customHeight="false" outlineLevel="0" collapsed="false">
      <c r="A3104" s="8" t="s">
        <v>7738</v>
      </c>
      <c r="B3104" s="8" t="s">
        <v>1213</v>
      </c>
      <c r="C3104" s="8" t="s">
        <v>53</v>
      </c>
      <c r="D3104" s="32" t="n">
        <v>46197</v>
      </c>
      <c r="E3104" s="8" t="n">
        <v>10</v>
      </c>
      <c r="F3104" s="8" t="str">
        <f aca="false">IF(E3104&gt;=9,"Promoter",IF(E3104&gt;=7,"Passive","Detractor"))</f>
        <v>Promoter</v>
      </c>
    </row>
    <row r="3105" customFormat="false" ht="15" hidden="false" customHeight="false" outlineLevel="0" collapsed="false">
      <c r="A3105" s="8" t="s">
        <v>7739</v>
      </c>
      <c r="B3105" s="8" t="s">
        <v>383</v>
      </c>
      <c r="C3105" s="8" t="s">
        <v>55</v>
      </c>
      <c r="D3105" s="32" t="n">
        <v>46198</v>
      </c>
      <c r="E3105" s="8" t="n">
        <v>7</v>
      </c>
      <c r="F3105" s="8" t="str">
        <f aca="false">IF(E3105&gt;=9,"Promoter",IF(E3105&gt;=7,"Passive","Detractor"))</f>
        <v>Passive</v>
      </c>
    </row>
    <row r="3106" customFormat="false" ht="15" hidden="false" customHeight="false" outlineLevel="0" collapsed="false">
      <c r="A3106" s="8" t="s">
        <v>7740</v>
      </c>
      <c r="B3106" s="8" t="s">
        <v>477</v>
      </c>
      <c r="C3106" s="8" t="s">
        <v>55</v>
      </c>
      <c r="D3106" s="32" t="n">
        <v>46198</v>
      </c>
      <c r="E3106" s="8" t="n">
        <v>10</v>
      </c>
      <c r="F3106" s="8" t="str">
        <f aca="false">IF(E3106&gt;=9,"Promoter",IF(E3106&gt;=7,"Passive","Detractor"))</f>
        <v>Promoter</v>
      </c>
    </row>
    <row r="3107" customFormat="false" ht="15" hidden="false" customHeight="false" outlineLevel="0" collapsed="false">
      <c r="A3107" s="8" t="s">
        <v>7741</v>
      </c>
      <c r="B3107" s="8" t="s">
        <v>2358</v>
      </c>
      <c r="C3107" s="8" t="s">
        <v>51</v>
      </c>
      <c r="D3107" s="32" t="n">
        <v>46198</v>
      </c>
      <c r="E3107" s="8" t="n">
        <v>10</v>
      </c>
      <c r="F3107" s="8" t="str">
        <f aca="false">IF(E3107&gt;=9,"Promoter",IF(E3107&gt;=7,"Passive","Detractor"))</f>
        <v>Promoter</v>
      </c>
    </row>
    <row r="3108" customFormat="false" ht="15" hidden="false" customHeight="false" outlineLevel="0" collapsed="false">
      <c r="A3108" s="8" t="s">
        <v>7742</v>
      </c>
      <c r="B3108" s="8" t="s">
        <v>3716</v>
      </c>
      <c r="C3108" s="8" t="s">
        <v>51</v>
      </c>
      <c r="D3108" s="32" t="n">
        <v>46198</v>
      </c>
      <c r="E3108" s="8" t="n">
        <v>9</v>
      </c>
      <c r="F3108" s="8" t="str">
        <f aca="false">IF(E3108&gt;=9,"Promoter",IF(E3108&gt;=7,"Passive","Detractor"))</f>
        <v>Promoter</v>
      </c>
    </row>
    <row r="3109" customFormat="false" ht="15" hidden="false" customHeight="false" outlineLevel="0" collapsed="false">
      <c r="A3109" s="8" t="s">
        <v>7743</v>
      </c>
      <c r="B3109" s="8" t="s">
        <v>4182</v>
      </c>
      <c r="C3109" s="8" t="s">
        <v>51</v>
      </c>
      <c r="D3109" s="32" t="n">
        <v>46198</v>
      </c>
      <c r="E3109" s="8" t="n">
        <v>9</v>
      </c>
      <c r="F3109" s="8" t="str">
        <f aca="false">IF(E3109&gt;=9,"Promoter",IF(E3109&gt;=7,"Passive","Detractor"))</f>
        <v>Promoter</v>
      </c>
    </row>
    <row r="3110" customFormat="false" ht="15" hidden="false" customHeight="false" outlineLevel="0" collapsed="false">
      <c r="A3110" s="8" t="s">
        <v>7744</v>
      </c>
      <c r="B3110" s="8" t="s">
        <v>2574</v>
      </c>
      <c r="C3110" s="8" t="s">
        <v>51</v>
      </c>
      <c r="D3110" s="32" t="n">
        <v>46198</v>
      </c>
      <c r="E3110" s="8" t="n">
        <v>10</v>
      </c>
      <c r="F3110" s="8" t="str">
        <f aca="false">IF(E3110&gt;=9,"Promoter",IF(E3110&gt;=7,"Passive","Detractor"))</f>
        <v>Promoter</v>
      </c>
    </row>
    <row r="3111" customFormat="false" ht="15" hidden="false" customHeight="false" outlineLevel="0" collapsed="false">
      <c r="A3111" s="8" t="s">
        <v>7745</v>
      </c>
      <c r="B3111" s="8" t="s">
        <v>861</v>
      </c>
      <c r="C3111" s="8" t="s">
        <v>53</v>
      </c>
      <c r="D3111" s="32" t="n">
        <v>46198</v>
      </c>
      <c r="E3111" s="8" t="n">
        <v>7</v>
      </c>
      <c r="F3111" s="8" t="str">
        <f aca="false">IF(E3111&gt;=9,"Promoter",IF(E3111&gt;=7,"Passive","Detractor"))</f>
        <v>Passive</v>
      </c>
    </row>
    <row r="3112" customFormat="false" ht="15" hidden="false" customHeight="false" outlineLevel="0" collapsed="false">
      <c r="A3112" s="8" t="s">
        <v>7746</v>
      </c>
      <c r="B3112" s="8" t="s">
        <v>2302</v>
      </c>
      <c r="C3112" s="8" t="s">
        <v>51</v>
      </c>
      <c r="D3112" s="32" t="n">
        <v>46198</v>
      </c>
      <c r="E3112" s="8" t="n">
        <v>10</v>
      </c>
      <c r="F3112" s="8" t="str">
        <f aca="false">IF(E3112&gt;=9,"Promoter",IF(E3112&gt;=7,"Passive","Detractor"))</f>
        <v>Promoter</v>
      </c>
    </row>
    <row r="3113" customFormat="false" ht="15" hidden="false" customHeight="false" outlineLevel="0" collapsed="false">
      <c r="A3113" s="8" t="s">
        <v>7747</v>
      </c>
      <c r="B3113" s="8" t="s">
        <v>367</v>
      </c>
      <c r="C3113" s="8" t="s">
        <v>55</v>
      </c>
      <c r="D3113" s="32" t="n">
        <v>46198</v>
      </c>
      <c r="E3113" s="8" t="n">
        <v>9</v>
      </c>
      <c r="F3113" s="8" t="str">
        <f aca="false">IF(E3113&gt;=9,"Promoter",IF(E3113&gt;=7,"Passive","Detractor"))</f>
        <v>Promoter</v>
      </c>
    </row>
    <row r="3114" customFormat="false" ht="15" hidden="false" customHeight="false" outlineLevel="0" collapsed="false">
      <c r="A3114" s="8" t="s">
        <v>7748</v>
      </c>
      <c r="B3114" s="8" t="s">
        <v>1493</v>
      </c>
      <c r="C3114" s="8" t="s">
        <v>53</v>
      </c>
      <c r="D3114" s="32" t="n">
        <v>46198</v>
      </c>
      <c r="E3114" s="8" t="n">
        <v>9</v>
      </c>
      <c r="F3114" s="8" t="str">
        <f aca="false">IF(E3114&gt;=9,"Promoter",IF(E3114&gt;=7,"Passive","Detractor"))</f>
        <v>Promoter</v>
      </c>
    </row>
    <row r="3115" customFormat="false" ht="15" hidden="false" customHeight="false" outlineLevel="0" collapsed="false">
      <c r="A3115" s="8" t="s">
        <v>7749</v>
      </c>
      <c r="B3115" s="8" t="s">
        <v>3542</v>
      </c>
      <c r="C3115" s="8" t="s">
        <v>51</v>
      </c>
      <c r="D3115" s="32" t="n">
        <v>46204</v>
      </c>
      <c r="E3115" s="8" t="n">
        <v>10</v>
      </c>
      <c r="F3115" s="8" t="str">
        <f aca="false">IF(E3115&gt;=9,"Promoter",IF(E3115&gt;=7,"Passive","Detractor"))</f>
        <v>Promoter</v>
      </c>
    </row>
    <row r="3116" customFormat="false" ht="15" hidden="false" customHeight="false" outlineLevel="0" collapsed="false">
      <c r="A3116" s="8" t="s">
        <v>7750</v>
      </c>
      <c r="B3116" s="8" t="s">
        <v>3094</v>
      </c>
      <c r="C3116" s="8" t="s">
        <v>51</v>
      </c>
      <c r="D3116" s="32" t="n">
        <v>46204</v>
      </c>
      <c r="E3116" s="8" t="n">
        <v>10</v>
      </c>
      <c r="F3116" s="8" t="str">
        <f aca="false">IF(E3116&gt;=9,"Promoter",IF(E3116&gt;=7,"Passive","Detractor"))</f>
        <v>Promoter</v>
      </c>
    </row>
    <row r="3117" customFormat="false" ht="15" hidden="false" customHeight="false" outlineLevel="0" collapsed="false">
      <c r="A3117" s="8" t="s">
        <v>7751</v>
      </c>
      <c r="B3117" s="8" t="s">
        <v>2248</v>
      </c>
      <c r="C3117" s="8" t="s">
        <v>51</v>
      </c>
      <c r="D3117" s="32" t="n">
        <v>46204</v>
      </c>
      <c r="E3117" s="8" t="n">
        <v>5</v>
      </c>
      <c r="F3117" s="8" t="str">
        <f aca="false">IF(E3117&gt;=9,"Promoter",IF(E3117&gt;=7,"Passive","Detractor"))</f>
        <v>Detractor</v>
      </c>
    </row>
    <row r="3118" customFormat="false" ht="15" hidden="false" customHeight="false" outlineLevel="0" collapsed="false">
      <c r="A3118" s="8" t="s">
        <v>7752</v>
      </c>
      <c r="B3118" s="8" t="s">
        <v>3548</v>
      </c>
      <c r="C3118" s="8" t="s">
        <v>51</v>
      </c>
      <c r="D3118" s="32" t="n">
        <v>46204</v>
      </c>
      <c r="E3118" s="8" t="n">
        <v>7</v>
      </c>
      <c r="F3118" s="8" t="str">
        <f aca="false">IF(E3118&gt;=9,"Promoter",IF(E3118&gt;=7,"Passive","Detractor"))</f>
        <v>Passive</v>
      </c>
    </row>
    <row r="3119" customFormat="false" ht="15" hidden="false" customHeight="false" outlineLevel="0" collapsed="false">
      <c r="A3119" s="8" t="s">
        <v>7753</v>
      </c>
      <c r="B3119" s="8" t="s">
        <v>1897</v>
      </c>
      <c r="C3119" s="8" t="s">
        <v>51</v>
      </c>
      <c r="D3119" s="32" t="n">
        <v>46204</v>
      </c>
      <c r="E3119" s="8" t="n">
        <v>10</v>
      </c>
      <c r="F3119" s="8" t="str">
        <f aca="false">IF(E3119&gt;=9,"Promoter",IF(E3119&gt;=7,"Passive","Detractor"))</f>
        <v>Promoter</v>
      </c>
    </row>
    <row r="3120" customFormat="false" ht="15" hidden="false" customHeight="false" outlineLevel="0" collapsed="false">
      <c r="A3120" s="8" t="s">
        <v>7754</v>
      </c>
      <c r="B3120" s="8" t="s">
        <v>248</v>
      </c>
      <c r="C3120" s="8" t="s">
        <v>55</v>
      </c>
      <c r="D3120" s="32" t="n">
        <v>46204</v>
      </c>
      <c r="E3120" s="8" t="n">
        <v>9</v>
      </c>
      <c r="F3120" s="8" t="str">
        <f aca="false">IF(E3120&gt;=9,"Promoter",IF(E3120&gt;=7,"Passive","Detractor"))</f>
        <v>Promoter</v>
      </c>
    </row>
    <row r="3121" customFormat="false" ht="15" hidden="false" customHeight="false" outlineLevel="0" collapsed="false">
      <c r="A3121" s="8" t="s">
        <v>7755</v>
      </c>
      <c r="B3121" s="8" t="s">
        <v>2330</v>
      </c>
      <c r="C3121" s="8" t="s">
        <v>51</v>
      </c>
      <c r="D3121" s="32" t="n">
        <v>46204</v>
      </c>
      <c r="E3121" s="8" t="n">
        <v>10</v>
      </c>
      <c r="F3121" s="8" t="str">
        <f aca="false">IF(E3121&gt;=9,"Promoter",IF(E3121&gt;=7,"Passive","Detractor"))</f>
        <v>Promoter</v>
      </c>
    </row>
    <row r="3122" customFormat="false" ht="15" hidden="false" customHeight="false" outlineLevel="0" collapsed="false">
      <c r="A3122" s="8" t="s">
        <v>7756</v>
      </c>
      <c r="B3122" s="8" t="s">
        <v>3560</v>
      </c>
      <c r="C3122" s="8" t="s">
        <v>51</v>
      </c>
      <c r="D3122" s="32" t="n">
        <v>46204</v>
      </c>
      <c r="E3122" s="8" t="n">
        <v>10</v>
      </c>
      <c r="F3122" s="8" t="str">
        <f aca="false">IF(E3122&gt;=9,"Promoter",IF(E3122&gt;=7,"Passive","Detractor"))</f>
        <v>Promoter</v>
      </c>
    </row>
    <row r="3123" customFormat="false" ht="15" hidden="false" customHeight="false" outlineLevel="0" collapsed="false">
      <c r="A3123" s="8" t="s">
        <v>7757</v>
      </c>
      <c r="B3123" s="8" t="s">
        <v>3286</v>
      </c>
      <c r="C3123" s="8" t="s">
        <v>51</v>
      </c>
      <c r="D3123" s="32" t="n">
        <v>46204</v>
      </c>
      <c r="E3123" s="8" t="n">
        <v>8</v>
      </c>
      <c r="F3123" s="8" t="str">
        <f aca="false">IF(E3123&gt;=9,"Promoter",IF(E3123&gt;=7,"Passive","Detractor"))</f>
        <v>Passive</v>
      </c>
    </row>
    <row r="3124" customFormat="false" ht="15" hidden="false" customHeight="false" outlineLevel="0" collapsed="false">
      <c r="A3124" s="8" t="s">
        <v>7758</v>
      </c>
      <c r="B3124" s="8" t="s">
        <v>3724</v>
      </c>
      <c r="C3124" s="8" t="s">
        <v>51</v>
      </c>
      <c r="D3124" s="32" t="n">
        <v>46204</v>
      </c>
      <c r="E3124" s="8" t="n">
        <v>8</v>
      </c>
      <c r="F3124" s="8" t="str">
        <f aca="false">IF(E3124&gt;=9,"Promoter",IF(E3124&gt;=7,"Passive","Detractor"))</f>
        <v>Passive</v>
      </c>
    </row>
    <row r="3125" customFormat="false" ht="15" hidden="false" customHeight="false" outlineLevel="0" collapsed="false">
      <c r="A3125" s="8" t="s">
        <v>7759</v>
      </c>
      <c r="B3125" s="8" t="s">
        <v>2080</v>
      </c>
      <c r="C3125" s="8" t="s">
        <v>51</v>
      </c>
      <c r="D3125" s="32" t="n">
        <v>46204</v>
      </c>
      <c r="E3125" s="8" t="n">
        <v>7</v>
      </c>
      <c r="F3125" s="8" t="str">
        <f aca="false">IF(E3125&gt;=9,"Promoter",IF(E3125&gt;=7,"Passive","Detractor"))</f>
        <v>Passive</v>
      </c>
    </row>
    <row r="3126" customFormat="false" ht="15" hidden="false" customHeight="false" outlineLevel="0" collapsed="false">
      <c r="A3126" s="8" t="s">
        <v>7760</v>
      </c>
      <c r="B3126" s="8" t="s">
        <v>809</v>
      </c>
      <c r="C3126" s="8" t="s">
        <v>53</v>
      </c>
      <c r="D3126" s="32" t="n">
        <v>46204</v>
      </c>
      <c r="E3126" s="8" t="n">
        <v>10</v>
      </c>
      <c r="F3126" s="8" t="str">
        <f aca="false">IF(E3126&gt;=9,"Promoter",IF(E3126&gt;=7,"Passive","Detractor"))</f>
        <v>Promoter</v>
      </c>
    </row>
    <row r="3127" customFormat="false" ht="15" hidden="false" customHeight="false" outlineLevel="0" collapsed="false">
      <c r="A3127" s="8" t="s">
        <v>7761</v>
      </c>
      <c r="B3127" s="8" t="s">
        <v>389</v>
      </c>
      <c r="C3127" s="8" t="s">
        <v>55</v>
      </c>
      <c r="D3127" s="32" t="n">
        <v>46205</v>
      </c>
      <c r="E3127" s="8" t="n">
        <v>10</v>
      </c>
      <c r="F3127" s="8" t="str">
        <f aca="false">IF(E3127&gt;=9,"Promoter",IF(E3127&gt;=7,"Passive","Detractor"))</f>
        <v>Promoter</v>
      </c>
    </row>
    <row r="3128" customFormat="false" ht="15" hidden="false" customHeight="false" outlineLevel="0" collapsed="false">
      <c r="A3128" s="8" t="s">
        <v>7762</v>
      </c>
      <c r="B3128" s="8" t="s">
        <v>1699</v>
      </c>
      <c r="C3128" s="8" t="s">
        <v>53</v>
      </c>
      <c r="D3128" s="32" t="n">
        <v>46205</v>
      </c>
      <c r="E3128" s="8" t="n">
        <v>10</v>
      </c>
      <c r="F3128" s="8" t="str">
        <f aca="false">IF(E3128&gt;=9,"Promoter",IF(E3128&gt;=7,"Passive","Detractor"))</f>
        <v>Promoter</v>
      </c>
    </row>
    <row r="3129" customFormat="false" ht="15" hidden="false" customHeight="false" outlineLevel="0" collapsed="false">
      <c r="A3129" s="8" t="s">
        <v>7763</v>
      </c>
      <c r="B3129" s="8" t="s">
        <v>671</v>
      </c>
      <c r="C3129" s="8" t="s">
        <v>53</v>
      </c>
      <c r="D3129" s="32" t="n">
        <v>46205</v>
      </c>
      <c r="E3129" s="8" t="n">
        <v>10</v>
      </c>
      <c r="F3129" s="8" t="str">
        <f aca="false">IF(E3129&gt;=9,"Promoter",IF(E3129&gt;=7,"Passive","Detractor"))</f>
        <v>Promoter</v>
      </c>
    </row>
    <row r="3130" customFormat="false" ht="15" hidden="false" customHeight="false" outlineLevel="0" collapsed="false">
      <c r="A3130" s="8" t="s">
        <v>7764</v>
      </c>
      <c r="B3130" s="8" t="s">
        <v>215</v>
      </c>
      <c r="C3130" s="8" t="s">
        <v>55</v>
      </c>
      <c r="D3130" s="32" t="n">
        <v>46205</v>
      </c>
      <c r="E3130" s="8" t="n">
        <v>6</v>
      </c>
      <c r="F3130" s="8" t="str">
        <f aca="false">IF(E3130&gt;=9,"Promoter",IF(E3130&gt;=7,"Passive","Detractor"))</f>
        <v>Detractor</v>
      </c>
    </row>
    <row r="3131" customFormat="false" ht="15" hidden="false" customHeight="false" outlineLevel="0" collapsed="false">
      <c r="A3131" s="8" t="s">
        <v>7765</v>
      </c>
      <c r="B3131" s="8" t="s">
        <v>3362</v>
      </c>
      <c r="C3131" s="8" t="s">
        <v>51</v>
      </c>
      <c r="D3131" s="32" t="n">
        <v>46205</v>
      </c>
      <c r="E3131" s="8" t="n">
        <v>9</v>
      </c>
      <c r="F3131" s="8" t="str">
        <f aca="false">IF(E3131&gt;=9,"Promoter",IF(E3131&gt;=7,"Passive","Detractor"))</f>
        <v>Promoter</v>
      </c>
    </row>
    <row r="3132" customFormat="false" ht="15" hidden="false" customHeight="false" outlineLevel="0" collapsed="false">
      <c r="A3132" s="8" t="s">
        <v>7766</v>
      </c>
      <c r="B3132" s="8" t="s">
        <v>387</v>
      </c>
      <c r="C3132" s="8" t="s">
        <v>55</v>
      </c>
      <c r="D3132" s="32" t="n">
        <v>46205</v>
      </c>
      <c r="E3132" s="8" t="n">
        <v>8</v>
      </c>
      <c r="F3132" s="8" t="str">
        <f aca="false">IF(E3132&gt;=9,"Promoter",IF(E3132&gt;=7,"Passive","Detractor"))</f>
        <v>Passive</v>
      </c>
    </row>
    <row r="3133" customFormat="false" ht="15" hidden="false" customHeight="false" outlineLevel="0" collapsed="false">
      <c r="A3133" s="8" t="s">
        <v>7767</v>
      </c>
      <c r="B3133" s="8" t="s">
        <v>3192</v>
      </c>
      <c r="C3133" s="8" t="s">
        <v>51</v>
      </c>
      <c r="D3133" s="32" t="n">
        <v>46205</v>
      </c>
      <c r="E3133" s="8" t="n">
        <v>9</v>
      </c>
      <c r="F3133" s="8" t="str">
        <f aca="false">IF(E3133&gt;=9,"Promoter",IF(E3133&gt;=7,"Passive","Detractor"))</f>
        <v>Promoter</v>
      </c>
    </row>
    <row r="3134" customFormat="false" ht="15" hidden="false" customHeight="false" outlineLevel="0" collapsed="false">
      <c r="A3134" s="8" t="s">
        <v>7768</v>
      </c>
      <c r="B3134" s="8" t="s">
        <v>1913</v>
      </c>
      <c r="C3134" s="8" t="s">
        <v>51</v>
      </c>
      <c r="D3134" s="32" t="n">
        <v>46205</v>
      </c>
      <c r="E3134" s="8" t="n">
        <v>7</v>
      </c>
      <c r="F3134" s="8" t="str">
        <f aca="false">IF(E3134&gt;=9,"Promoter",IF(E3134&gt;=7,"Passive","Detractor"))</f>
        <v>Passive</v>
      </c>
    </row>
    <row r="3135" customFormat="false" ht="15" hidden="false" customHeight="false" outlineLevel="0" collapsed="false">
      <c r="A3135" s="8" t="s">
        <v>7769</v>
      </c>
      <c r="B3135" s="8" t="s">
        <v>188</v>
      </c>
      <c r="C3135" s="8" t="s">
        <v>55</v>
      </c>
      <c r="D3135" s="32" t="n">
        <v>46206</v>
      </c>
      <c r="E3135" s="8" t="n">
        <v>9</v>
      </c>
      <c r="F3135" s="8" t="str">
        <f aca="false">IF(E3135&gt;=9,"Promoter",IF(E3135&gt;=7,"Passive","Detractor"))</f>
        <v>Promoter</v>
      </c>
    </row>
    <row r="3136" customFormat="false" ht="15" hidden="false" customHeight="false" outlineLevel="0" collapsed="false">
      <c r="A3136" s="8" t="s">
        <v>7770</v>
      </c>
      <c r="B3136" s="8" t="s">
        <v>202</v>
      </c>
      <c r="C3136" s="8" t="s">
        <v>55</v>
      </c>
      <c r="D3136" s="32" t="n">
        <v>46206</v>
      </c>
      <c r="E3136" s="8" t="n">
        <v>8</v>
      </c>
      <c r="F3136" s="8" t="str">
        <f aca="false">IF(E3136&gt;=9,"Promoter",IF(E3136&gt;=7,"Passive","Detractor"))</f>
        <v>Passive</v>
      </c>
    </row>
    <row r="3137" customFormat="false" ht="15" hidden="false" customHeight="false" outlineLevel="0" collapsed="false">
      <c r="A3137" s="8" t="s">
        <v>7771</v>
      </c>
      <c r="B3137" s="8" t="s">
        <v>3260</v>
      </c>
      <c r="C3137" s="8" t="s">
        <v>51</v>
      </c>
      <c r="D3137" s="32" t="n">
        <v>46206</v>
      </c>
      <c r="E3137" s="8" t="n">
        <v>5</v>
      </c>
      <c r="F3137" s="8" t="str">
        <f aca="false">IF(E3137&gt;=9,"Promoter",IF(E3137&gt;=7,"Passive","Detractor"))</f>
        <v>Detractor</v>
      </c>
    </row>
    <row r="3138" customFormat="false" ht="15" hidden="false" customHeight="false" outlineLevel="0" collapsed="false">
      <c r="A3138" s="8" t="s">
        <v>7772</v>
      </c>
      <c r="B3138" s="8" t="s">
        <v>1147</v>
      </c>
      <c r="C3138" s="8" t="s">
        <v>53</v>
      </c>
      <c r="D3138" s="32" t="n">
        <v>46206</v>
      </c>
      <c r="E3138" s="8" t="n">
        <v>5</v>
      </c>
      <c r="F3138" s="8" t="str">
        <f aca="false">IF(E3138&gt;=9,"Promoter",IF(E3138&gt;=7,"Passive","Detractor"))</f>
        <v>Detractor</v>
      </c>
    </row>
    <row r="3139" customFormat="false" ht="15" hidden="false" customHeight="false" outlineLevel="0" collapsed="false">
      <c r="A3139" s="8" t="s">
        <v>7773</v>
      </c>
      <c r="B3139" s="8" t="s">
        <v>409</v>
      </c>
      <c r="C3139" s="8" t="s">
        <v>55</v>
      </c>
      <c r="D3139" s="32" t="n">
        <v>46206</v>
      </c>
      <c r="E3139" s="8" t="n">
        <v>9</v>
      </c>
      <c r="F3139" s="8" t="str">
        <f aca="false">IF(E3139&gt;=9,"Promoter",IF(E3139&gt;=7,"Passive","Detractor"))</f>
        <v>Promoter</v>
      </c>
    </row>
    <row r="3140" customFormat="false" ht="15" hidden="false" customHeight="false" outlineLevel="0" collapsed="false">
      <c r="A3140" s="8" t="s">
        <v>7774</v>
      </c>
      <c r="B3140" s="8" t="s">
        <v>923</v>
      </c>
      <c r="C3140" s="8" t="s">
        <v>53</v>
      </c>
      <c r="D3140" s="32" t="n">
        <v>46206</v>
      </c>
      <c r="E3140" s="8" t="n">
        <v>9</v>
      </c>
      <c r="F3140" s="8" t="str">
        <f aca="false">IF(E3140&gt;=9,"Promoter",IF(E3140&gt;=7,"Passive","Detractor"))</f>
        <v>Promoter</v>
      </c>
    </row>
    <row r="3141" customFormat="false" ht="15" hidden="false" customHeight="false" outlineLevel="0" collapsed="false">
      <c r="A3141" s="8" t="s">
        <v>7775</v>
      </c>
      <c r="B3141" s="8" t="s">
        <v>4316</v>
      </c>
      <c r="C3141" s="8" t="s">
        <v>51</v>
      </c>
      <c r="D3141" s="32" t="n">
        <v>46206</v>
      </c>
      <c r="E3141" s="8" t="n">
        <v>10</v>
      </c>
      <c r="F3141" s="8" t="str">
        <f aca="false">IF(E3141&gt;=9,"Promoter",IF(E3141&gt;=7,"Passive","Detractor"))</f>
        <v>Promoter</v>
      </c>
    </row>
    <row r="3142" customFormat="false" ht="15" hidden="false" customHeight="false" outlineLevel="0" collapsed="false">
      <c r="A3142" s="8" t="s">
        <v>7776</v>
      </c>
      <c r="B3142" s="8" t="s">
        <v>4356</v>
      </c>
      <c r="C3142" s="8" t="s">
        <v>51</v>
      </c>
      <c r="D3142" s="32" t="n">
        <v>46206</v>
      </c>
      <c r="E3142" s="8" t="n">
        <v>10</v>
      </c>
      <c r="F3142" s="8" t="str">
        <f aca="false">IF(E3142&gt;=9,"Promoter",IF(E3142&gt;=7,"Passive","Detractor"))</f>
        <v>Promoter</v>
      </c>
    </row>
    <row r="3143" customFormat="false" ht="15" hidden="false" customHeight="false" outlineLevel="0" collapsed="false">
      <c r="A3143" s="8" t="s">
        <v>7777</v>
      </c>
      <c r="B3143" s="8" t="s">
        <v>2704</v>
      </c>
      <c r="C3143" s="8" t="s">
        <v>51</v>
      </c>
      <c r="D3143" s="32" t="n">
        <v>46206</v>
      </c>
      <c r="E3143" s="8" t="n">
        <v>8</v>
      </c>
      <c r="F3143" s="8" t="str">
        <f aca="false">IF(E3143&gt;=9,"Promoter",IF(E3143&gt;=7,"Passive","Detractor"))</f>
        <v>Passive</v>
      </c>
    </row>
    <row r="3144" customFormat="false" ht="15" hidden="false" customHeight="false" outlineLevel="0" collapsed="false">
      <c r="A3144" s="8" t="s">
        <v>7778</v>
      </c>
      <c r="B3144" s="8" t="s">
        <v>2992</v>
      </c>
      <c r="C3144" s="8" t="s">
        <v>51</v>
      </c>
      <c r="D3144" s="32" t="n">
        <v>46206</v>
      </c>
      <c r="E3144" s="8" t="n">
        <v>8</v>
      </c>
      <c r="F3144" s="8" t="str">
        <f aca="false">IF(E3144&gt;=9,"Promoter",IF(E3144&gt;=7,"Passive","Detractor"))</f>
        <v>Passive</v>
      </c>
    </row>
    <row r="3145" customFormat="false" ht="15" hidden="false" customHeight="false" outlineLevel="0" collapsed="false">
      <c r="A3145" s="8" t="s">
        <v>7779</v>
      </c>
      <c r="B3145" s="8" t="s">
        <v>4044</v>
      </c>
      <c r="C3145" s="8" t="s">
        <v>51</v>
      </c>
      <c r="D3145" s="32" t="n">
        <v>46206</v>
      </c>
      <c r="E3145" s="8" t="n">
        <v>7</v>
      </c>
      <c r="F3145" s="8" t="str">
        <f aca="false">IF(E3145&gt;=9,"Promoter",IF(E3145&gt;=7,"Passive","Detractor"))</f>
        <v>Passive</v>
      </c>
    </row>
    <row r="3146" customFormat="false" ht="15" hidden="false" customHeight="false" outlineLevel="0" collapsed="false">
      <c r="A3146" s="8" t="s">
        <v>7780</v>
      </c>
      <c r="B3146" s="8" t="s">
        <v>1017</v>
      </c>
      <c r="C3146" s="8" t="s">
        <v>53</v>
      </c>
      <c r="D3146" s="32" t="n">
        <v>46206</v>
      </c>
      <c r="E3146" s="8" t="n">
        <v>5</v>
      </c>
      <c r="F3146" s="8" t="str">
        <f aca="false">IF(E3146&gt;=9,"Promoter",IF(E3146&gt;=7,"Passive","Detractor"))</f>
        <v>Detractor</v>
      </c>
    </row>
    <row r="3147" customFormat="false" ht="15" hidden="false" customHeight="false" outlineLevel="0" collapsed="false">
      <c r="A3147" s="8" t="s">
        <v>7781</v>
      </c>
      <c r="B3147" s="8" t="s">
        <v>2166</v>
      </c>
      <c r="C3147" s="8" t="s">
        <v>51</v>
      </c>
      <c r="D3147" s="32" t="n">
        <v>46206</v>
      </c>
      <c r="E3147" s="8" t="n">
        <v>8</v>
      </c>
      <c r="F3147" s="8" t="str">
        <f aca="false">IF(E3147&gt;=9,"Promoter",IF(E3147&gt;=7,"Passive","Detractor"))</f>
        <v>Passive</v>
      </c>
    </row>
    <row r="3148" customFormat="false" ht="15" hidden="false" customHeight="false" outlineLevel="0" collapsed="false">
      <c r="A3148" s="8" t="s">
        <v>7782</v>
      </c>
      <c r="B3148" s="8" t="s">
        <v>1361</v>
      </c>
      <c r="C3148" s="8" t="s">
        <v>53</v>
      </c>
      <c r="D3148" s="32" t="n">
        <v>46206</v>
      </c>
      <c r="E3148" s="8" t="n">
        <v>10</v>
      </c>
      <c r="F3148" s="8" t="str">
        <f aca="false">IF(E3148&gt;=9,"Promoter",IF(E3148&gt;=7,"Passive","Detractor"))</f>
        <v>Promoter</v>
      </c>
    </row>
    <row r="3149" customFormat="false" ht="15" hidden="false" customHeight="false" outlineLevel="0" collapsed="false">
      <c r="A3149" s="8" t="s">
        <v>7783</v>
      </c>
      <c r="B3149" s="8" t="s">
        <v>833</v>
      </c>
      <c r="C3149" s="8" t="s">
        <v>53</v>
      </c>
      <c r="D3149" s="32" t="n">
        <v>46207</v>
      </c>
      <c r="E3149" s="8" t="n">
        <v>6</v>
      </c>
      <c r="F3149" s="8" t="str">
        <f aca="false">IF(E3149&gt;=9,"Promoter",IF(E3149&gt;=7,"Passive","Detractor"))</f>
        <v>Detractor</v>
      </c>
    </row>
    <row r="3150" customFormat="false" ht="15" hidden="false" customHeight="false" outlineLevel="0" collapsed="false">
      <c r="A3150" s="8" t="s">
        <v>7784</v>
      </c>
      <c r="B3150" s="8" t="s">
        <v>4575</v>
      </c>
      <c r="C3150" s="8" t="s">
        <v>51</v>
      </c>
      <c r="D3150" s="32" t="n">
        <v>46207</v>
      </c>
      <c r="E3150" s="8" t="n">
        <v>3</v>
      </c>
      <c r="F3150" s="8" t="str">
        <f aca="false">IF(E3150&gt;=9,"Promoter",IF(E3150&gt;=7,"Passive","Detractor"))</f>
        <v>Detractor</v>
      </c>
    </row>
    <row r="3151" customFormat="false" ht="15" hidden="false" customHeight="false" outlineLevel="0" collapsed="false">
      <c r="A3151" s="8" t="s">
        <v>7785</v>
      </c>
      <c r="B3151" s="8" t="s">
        <v>2500</v>
      </c>
      <c r="C3151" s="8" t="s">
        <v>51</v>
      </c>
      <c r="D3151" s="32" t="n">
        <v>46207</v>
      </c>
      <c r="E3151" s="8" t="n">
        <v>9</v>
      </c>
      <c r="F3151" s="8" t="str">
        <f aca="false">IF(E3151&gt;=9,"Promoter",IF(E3151&gt;=7,"Passive","Detractor"))</f>
        <v>Promoter</v>
      </c>
    </row>
    <row r="3152" customFormat="false" ht="15" hidden="false" customHeight="false" outlineLevel="0" collapsed="false">
      <c r="A3152" s="8" t="s">
        <v>7786</v>
      </c>
      <c r="B3152" s="8" t="s">
        <v>727</v>
      </c>
      <c r="C3152" s="8" t="s">
        <v>55</v>
      </c>
      <c r="D3152" s="32" t="n">
        <v>46207</v>
      </c>
      <c r="E3152" s="8" t="n">
        <v>8</v>
      </c>
      <c r="F3152" s="8" t="str">
        <f aca="false">IF(E3152&gt;=9,"Promoter",IF(E3152&gt;=7,"Passive","Detractor"))</f>
        <v>Passive</v>
      </c>
    </row>
    <row r="3153" customFormat="false" ht="15" hidden="false" customHeight="false" outlineLevel="0" collapsed="false">
      <c r="A3153" s="8" t="s">
        <v>7787</v>
      </c>
      <c r="B3153" s="8" t="s">
        <v>1973</v>
      </c>
      <c r="C3153" s="8" t="s">
        <v>51</v>
      </c>
      <c r="D3153" s="32" t="n">
        <v>46207</v>
      </c>
      <c r="E3153" s="8" t="n">
        <v>10</v>
      </c>
      <c r="F3153" s="8" t="str">
        <f aca="false">IF(E3153&gt;=9,"Promoter",IF(E3153&gt;=7,"Passive","Detractor"))</f>
        <v>Promoter</v>
      </c>
    </row>
    <row r="3154" customFormat="false" ht="15" hidden="false" customHeight="false" outlineLevel="0" collapsed="false">
      <c r="A3154" s="8" t="s">
        <v>7788</v>
      </c>
      <c r="B3154" s="8" t="s">
        <v>4120</v>
      </c>
      <c r="C3154" s="8" t="s">
        <v>51</v>
      </c>
      <c r="D3154" s="32" t="n">
        <v>46207</v>
      </c>
      <c r="E3154" s="8" t="n">
        <v>7</v>
      </c>
      <c r="F3154" s="8" t="str">
        <f aca="false">IF(E3154&gt;=9,"Promoter",IF(E3154&gt;=7,"Passive","Detractor"))</f>
        <v>Passive</v>
      </c>
    </row>
    <row r="3155" customFormat="false" ht="15" hidden="false" customHeight="false" outlineLevel="0" collapsed="false">
      <c r="A3155" s="8" t="s">
        <v>7789</v>
      </c>
      <c r="B3155" s="8" t="s">
        <v>3114</v>
      </c>
      <c r="C3155" s="8" t="s">
        <v>51</v>
      </c>
      <c r="D3155" s="32" t="n">
        <v>46207</v>
      </c>
      <c r="E3155" s="8" t="n">
        <v>7</v>
      </c>
      <c r="F3155" s="8" t="str">
        <f aca="false">IF(E3155&gt;=9,"Promoter",IF(E3155&gt;=7,"Passive","Detractor"))</f>
        <v>Passive</v>
      </c>
    </row>
    <row r="3156" customFormat="false" ht="15" hidden="false" customHeight="false" outlineLevel="0" collapsed="false">
      <c r="A3156" s="8" t="s">
        <v>7790</v>
      </c>
      <c r="B3156" s="8" t="s">
        <v>1359</v>
      </c>
      <c r="C3156" s="8" t="s">
        <v>53</v>
      </c>
      <c r="D3156" s="32" t="n">
        <v>46207</v>
      </c>
      <c r="E3156" s="8" t="n">
        <v>10</v>
      </c>
      <c r="F3156" s="8" t="str">
        <f aca="false">IF(E3156&gt;=9,"Promoter",IF(E3156&gt;=7,"Passive","Detractor"))</f>
        <v>Promoter</v>
      </c>
    </row>
    <row r="3157" customFormat="false" ht="15" hidden="false" customHeight="false" outlineLevel="0" collapsed="false">
      <c r="A3157" s="8" t="s">
        <v>7791</v>
      </c>
      <c r="B3157" s="8" t="s">
        <v>1511</v>
      </c>
      <c r="C3157" s="8" t="s">
        <v>53</v>
      </c>
      <c r="D3157" s="32" t="n">
        <v>46207</v>
      </c>
      <c r="E3157" s="8" t="n">
        <v>8</v>
      </c>
      <c r="F3157" s="8" t="str">
        <f aca="false">IF(E3157&gt;=9,"Promoter",IF(E3157&gt;=7,"Passive","Detractor"))</f>
        <v>Passive</v>
      </c>
    </row>
    <row r="3158" customFormat="false" ht="15" hidden="false" customHeight="false" outlineLevel="0" collapsed="false">
      <c r="A3158" s="8" t="s">
        <v>7792</v>
      </c>
      <c r="B3158" s="8" t="s">
        <v>3640</v>
      </c>
      <c r="C3158" s="8" t="s">
        <v>51</v>
      </c>
      <c r="D3158" s="32" t="n">
        <v>46207</v>
      </c>
      <c r="E3158" s="8" t="n">
        <v>7</v>
      </c>
      <c r="F3158" s="8" t="str">
        <f aca="false">IF(E3158&gt;=9,"Promoter",IF(E3158&gt;=7,"Passive","Detractor"))</f>
        <v>Passive</v>
      </c>
    </row>
    <row r="3159" customFormat="false" ht="15" hidden="false" customHeight="false" outlineLevel="0" collapsed="false">
      <c r="A3159" s="8" t="s">
        <v>7793</v>
      </c>
      <c r="B3159" s="8" t="s">
        <v>3458</v>
      </c>
      <c r="C3159" s="8" t="s">
        <v>51</v>
      </c>
      <c r="D3159" s="32" t="n">
        <v>46207</v>
      </c>
      <c r="E3159" s="8" t="n">
        <v>5</v>
      </c>
      <c r="F3159" s="8" t="str">
        <f aca="false">IF(E3159&gt;=9,"Promoter",IF(E3159&gt;=7,"Passive","Detractor"))</f>
        <v>Detractor</v>
      </c>
    </row>
    <row r="3160" customFormat="false" ht="15" hidden="false" customHeight="false" outlineLevel="0" collapsed="false">
      <c r="A3160" s="8" t="s">
        <v>7794</v>
      </c>
      <c r="B3160" s="8" t="s">
        <v>2062</v>
      </c>
      <c r="C3160" s="8" t="s">
        <v>51</v>
      </c>
      <c r="D3160" s="32" t="n">
        <v>46207</v>
      </c>
      <c r="E3160" s="8" t="n">
        <v>7</v>
      </c>
      <c r="F3160" s="8" t="str">
        <f aca="false">IF(E3160&gt;=9,"Promoter",IF(E3160&gt;=7,"Passive","Detractor"))</f>
        <v>Passive</v>
      </c>
    </row>
    <row r="3161" customFormat="false" ht="15" hidden="false" customHeight="false" outlineLevel="0" collapsed="false">
      <c r="A3161" s="8" t="s">
        <v>7795</v>
      </c>
      <c r="B3161" s="8" t="s">
        <v>1623</v>
      </c>
      <c r="C3161" s="8" t="s">
        <v>53</v>
      </c>
      <c r="D3161" s="32" t="n">
        <v>46208</v>
      </c>
      <c r="E3161" s="8" t="n">
        <v>6</v>
      </c>
      <c r="F3161" s="8" t="str">
        <f aca="false">IF(E3161&gt;=9,"Promoter",IF(E3161&gt;=7,"Passive","Detractor"))</f>
        <v>Detractor</v>
      </c>
    </row>
    <row r="3162" customFormat="false" ht="15" hidden="false" customHeight="false" outlineLevel="0" collapsed="false">
      <c r="A3162" s="8" t="s">
        <v>7796</v>
      </c>
      <c r="B3162" s="8" t="s">
        <v>1763</v>
      </c>
      <c r="C3162" s="8" t="s">
        <v>53</v>
      </c>
      <c r="D3162" s="32" t="n">
        <v>46208</v>
      </c>
      <c r="E3162" s="8" t="n">
        <v>10</v>
      </c>
      <c r="F3162" s="8" t="str">
        <f aca="false">IF(E3162&gt;=9,"Promoter",IF(E3162&gt;=7,"Passive","Detractor"))</f>
        <v>Promoter</v>
      </c>
    </row>
    <row r="3163" customFormat="false" ht="15" hidden="false" customHeight="false" outlineLevel="0" collapsed="false">
      <c r="A3163" s="8" t="s">
        <v>7797</v>
      </c>
      <c r="B3163" s="8" t="s">
        <v>1135</v>
      </c>
      <c r="C3163" s="8" t="s">
        <v>53</v>
      </c>
      <c r="D3163" s="32" t="n">
        <v>46208</v>
      </c>
      <c r="E3163" s="8" t="n">
        <v>10</v>
      </c>
      <c r="F3163" s="8" t="str">
        <f aca="false">IF(E3163&gt;=9,"Promoter",IF(E3163&gt;=7,"Passive","Detractor"))</f>
        <v>Promoter</v>
      </c>
    </row>
    <row r="3164" customFormat="false" ht="15" hidden="false" customHeight="false" outlineLevel="0" collapsed="false">
      <c r="A3164" s="8" t="s">
        <v>7798</v>
      </c>
      <c r="B3164" s="8" t="s">
        <v>549</v>
      </c>
      <c r="C3164" s="8" t="s">
        <v>53</v>
      </c>
      <c r="D3164" s="32" t="n">
        <v>46208</v>
      </c>
      <c r="E3164" s="8" t="n">
        <v>5</v>
      </c>
      <c r="F3164" s="8" t="str">
        <f aca="false">IF(E3164&gt;=9,"Promoter",IF(E3164&gt;=7,"Passive","Detractor"))</f>
        <v>Detractor</v>
      </c>
    </row>
    <row r="3165" customFormat="false" ht="15" hidden="false" customHeight="false" outlineLevel="0" collapsed="false">
      <c r="A3165" s="8" t="s">
        <v>7799</v>
      </c>
      <c r="B3165" s="8" t="s">
        <v>711</v>
      </c>
      <c r="C3165" s="8" t="s">
        <v>53</v>
      </c>
      <c r="D3165" s="32" t="n">
        <v>46208</v>
      </c>
      <c r="E3165" s="8" t="n">
        <v>8</v>
      </c>
      <c r="F3165" s="8" t="str">
        <f aca="false">IF(E3165&gt;=9,"Promoter",IF(E3165&gt;=7,"Passive","Detractor"))</f>
        <v>Passive</v>
      </c>
    </row>
    <row r="3166" customFormat="false" ht="15" hidden="false" customHeight="false" outlineLevel="0" collapsed="false">
      <c r="A3166" s="8" t="s">
        <v>7800</v>
      </c>
      <c r="B3166" s="8" t="s">
        <v>537</v>
      </c>
      <c r="C3166" s="8" t="s">
        <v>55</v>
      </c>
      <c r="D3166" s="32" t="n">
        <v>46208</v>
      </c>
      <c r="E3166" s="8" t="n">
        <v>9</v>
      </c>
      <c r="F3166" s="8" t="str">
        <f aca="false">IF(E3166&gt;=9,"Promoter",IF(E3166&gt;=7,"Passive","Detractor"))</f>
        <v>Promoter</v>
      </c>
    </row>
    <row r="3167" customFormat="false" ht="15" hidden="false" customHeight="false" outlineLevel="0" collapsed="false">
      <c r="A3167" s="8" t="s">
        <v>7801</v>
      </c>
      <c r="B3167" s="8" t="s">
        <v>443</v>
      </c>
      <c r="C3167" s="8" t="s">
        <v>55</v>
      </c>
      <c r="D3167" s="32" t="n">
        <v>46208</v>
      </c>
      <c r="E3167" s="8" t="n">
        <v>9</v>
      </c>
      <c r="F3167" s="8" t="str">
        <f aca="false">IF(E3167&gt;=9,"Promoter",IF(E3167&gt;=7,"Passive","Detractor"))</f>
        <v>Promoter</v>
      </c>
    </row>
    <row r="3168" customFormat="false" ht="15" hidden="false" customHeight="false" outlineLevel="0" collapsed="false">
      <c r="A3168" s="8" t="s">
        <v>7802</v>
      </c>
      <c r="B3168" s="8" t="s">
        <v>831</v>
      </c>
      <c r="C3168" s="8" t="s">
        <v>53</v>
      </c>
      <c r="D3168" s="32" t="n">
        <v>46209</v>
      </c>
      <c r="E3168" s="8" t="n">
        <v>6</v>
      </c>
      <c r="F3168" s="8" t="str">
        <f aca="false">IF(E3168&gt;=9,"Promoter",IF(E3168&gt;=7,"Passive","Detractor"))</f>
        <v>Detractor</v>
      </c>
    </row>
    <row r="3169" customFormat="false" ht="15" hidden="false" customHeight="false" outlineLevel="0" collapsed="false">
      <c r="A3169" s="8" t="s">
        <v>7803</v>
      </c>
      <c r="B3169" s="8" t="s">
        <v>981</v>
      </c>
      <c r="C3169" s="8" t="s">
        <v>53</v>
      </c>
      <c r="D3169" s="32" t="n">
        <v>46209</v>
      </c>
      <c r="E3169" s="8" t="n">
        <v>9</v>
      </c>
      <c r="F3169" s="8" t="str">
        <f aca="false">IF(E3169&gt;=9,"Promoter",IF(E3169&gt;=7,"Passive","Detractor"))</f>
        <v>Promoter</v>
      </c>
    </row>
    <row r="3170" customFormat="false" ht="15" hidden="false" customHeight="false" outlineLevel="0" collapsed="false">
      <c r="A3170" s="8" t="s">
        <v>7804</v>
      </c>
      <c r="B3170" s="8" t="s">
        <v>1335</v>
      </c>
      <c r="C3170" s="8" t="s">
        <v>53</v>
      </c>
      <c r="D3170" s="32" t="n">
        <v>46209</v>
      </c>
      <c r="E3170" s="8" t="n">
        <v>6</v>
      </c>
      <c r="F3170" s="8" t="str">
        <f aca="false">IF(E3170&gt;=9,"Promoter",IF(E3170&gt;=7,"Passive","Detractor"))</f>
        <v>Detractor</v>
      </c>
    </row>
    <row r="3171" customFormat="false" ht="15" hidden="false" customHeight="false" outlineLevel="0" collapsed="false">
      <c r="A3171" s="8" t="s">
        <v>7805</v>
      </c>
      <c r="B3171" s="8" t="s">
        <v>1671</v>
      </c>
      <c r="C3171" s="8" t="s">
        <v>53</v>
      </c>
      <c r="D3171" s="32" t="n">
        <v>46209</v>
      </c>
      <c r="E3171" s="8" t="n">
        <v>8</v>
      </c>
      <c r="F3171" s="8" t="str">
        <f aca="false">IF(E3171&gt;=9,"Promoter",IF(E3171&gt;=7,"Passive","Detractor"))</f>
        <v>Passive</v>
      </c>
    </row>
    <row r="3172" customFormat="false" ht="15" hidden="false" customHeight="false" outlineLevel="0" collapsed="false">
      <c r="A3172" s="8" t="s">
        <v>7806</v>
      </c>
      <c r="B3172" s="8" t="s">
        <v>3752</v>
      </c>
      <c r="C3172" s="8" t="s">
        <v>51</v>
      </c>
      <c r="D3172" s="32" t="n">
        <v>46209</v>
      </c>
      <c r="E3172" s="8" t="n">
        <v>8</v>
      </c>
      <c r="F3172" s="8" t="str">
        <f aca="false">IF(E3172&gt;=9,"Promoter",IF(E3172&gt;=7,"Passive","Detractor"))</f>
        <v>Passive</v>
      </c>
    </row>
    <row r="3173" customFormat="false" ht="15" hidden="false" customHeight="false" outlineLevel="0" collapsed="false">
      <c r="A3173" s="8" t="s">
        <v>7807</v>
      </c>
      <c r="B3173" s="8" t="s">
        <v>2130</v>
      </c>
      <c r="C3173" s="8" t="s">
        <v>51</v>
      </c>
      <c r="D3173" s="32" t="n">
        <v>46209</v>
      </c>
      <c r="E3173" s="8" t="n">
        <v>6</v>
      </c>
      <c r="F3173" s="8" t="str">
        <f aca="false">IF(E3173&gt;=9,"Promoter",IF(E3173&gt;=7,"Passive","Detractor"))</f>
        <v>Detractor</v>
      </c>
    </row>
    <row r="3174" customFormat="false" ht="15" hidden="false" customHeight="false" outlineLevel="0" collapsed="false">
      <c r="A3174" s="8" t="s">
        <v>7808</v>
      </c>
      <c r="B3174" s="8" t="s">
        <v>3478</v>
      </c>
      <c r="C3174" s="8" t="s">
        <v>51</v>
      </c>
      <c r="D3174" s="32" t="n">
        <v>46209</v>
      </c>
      <c r="E3174" s="8" t="n">
        <v>9</v>
      </c>
      <c r="F3174" s="8" t="str">
        <f aca="false">IF(E3174&gt;=9,"Promoter",IF(E3174&gt;=7,"Passive","Detractor"))</f>
        <v>Promoter</v>
      </c>
    </row>
    <row r="3175" customFormat="false" ht="15" hidden="false" customHeight="false" outlineLevel="0" collapsed="false">
      <c r="A3175" s="8" t="s">
        <v>7809</v>
      </c>
      <c r="B3175" s="8" t="s">
        <v>1159</v>
      </c>
      <c r="C3175" s="8" t="s">
        <v>53</v>
      </c>
      <c r="D3175" s="32" t="n">
        <v>46209</v>
      </c>
      <c r="E3175" s="8" t="n">
        <v>8</v>
      </c>
      <c r="F3175" s="8" t="str">
        <f aca="false">IF(E3175&gt;=9,"Promoter",IF(E3175&gt;=7,"Passive","Detractor"))</f>
        <v>Passive</v>
      </c>
    </row>
    <row r="3176" customFormat="false" ht="15" hidden="false" customHeight="false" outlineLevel="0" collapsed="false">
      <c r="A3176" s="8" t="s">
        <v>7810</v>
      </c>
      <c r="B3176" s="8" t="s">
        <v>3842</v>
      </c>
      <c r="C3176" s="8" t="s">
        <v>51</v>
      </c>
      <c r="D3176" s="32" t="n">
        <v>46209</v>
      </c>
      <c r="E3176" s="8" t="n">
        <v>8</v>
      </c>
      <c r="F3176" s="8" t="str">
        <f aca="false">IF(E3176&gt;=9,"Promoter",IF(E3176&gt;=7,"Passive","Detractor"))</f>
        <v>Passive</v>
      </c>
    </row>
    <row r="3177" customFormat="false" ht="15" hidden="false" customHeight="false" outlineLevel="0" collapsed="false">
      <c r="A3177" s="8" t="s">
        <v>7811</v>
      </c>
      <c r="B3177" s="8" t="s">
        <v>2908</v>
      </c>
      <c r="C3177" s="8" t="s">
        <v>51</v>
      </c>
      <c r="D3177" s="32" t="n">
        <v>46209</v>
      </c>
      <c r="E3177" s="8" t="n">
        <v>9</v>
      </c>
      <c r="F3177" s="8" t="str">
        <f aca="false">IF(E3177&gt;=9,"Promoter",IF(E3177&gt;=7,"Passive","Detractor"))</f>
        <v>Promoter</v>
      </c>
    </row>
    <row r="3178" customFormat="false" ht="15" hidden="false" customHeight="false" outlineLevel="0" collapsed="false">
      <c r="A3178" s="8" t="s">
        <v>7812</v>
      </c>
      <c r="B3178" s="8" t="s">
        <v>4334</v>
      </c>
      <c r="C3178" s="8" t="s">
        <v>51</v>
      </c>
      <c r="D3178" s="32" t="n">
        <v>46209</v>
      </c>
      <c r="E3178" s="8" t="n">
        <v>7</v>
      </c>
      <c r="F3178" s="8" t="str">
        <f aca="false">IF(E3178&gt;=9,"Promoter",IF(E3178&gt;=7,"Passive","Detractor"))</f>
        <v>Passive</v>
      </c>
    </row>
    <row r="3179" customFormat="false" ht="15" hidden="false" customHeight="false" outlineLevel="0" collapsed="false">
      <c r="A3179" s="8" t="s">
        <v>7813</v>
      </c>
      <c r="B3179" s="8" t="s">
        <v>314</v>
      </c>
      <c r="C3179" s="8" t="s">
        <v>55</v>
      </c>
      <c r="D3179" s="32" t="n">
        <v>46209</v>
      </c>
      <c r="E3179" s="8" t="n">
        <v>9</v>
      </c>
      <c r="F3179" s="8" t="str">
        <f aca="false">IF(E3179&gt;=9,"Promoter",IF(E3179&gt;=7,"Passive","Detractor"))</f>
        <v>Promoter</v>
      </c>
    </row>
    <row r="3180" customFormat="false" ht="15" hidden="false" customHeight="false" outlineLevel="0" collapsed="false">
      <c r="A3180" s="8" t="s">
        <v>7814</v>
      </c>
      <c r="B3180" s="8" t="s">
        <v>1381</v>
      </c>
      <c r="C3180" s="8" t="s">
        <v>53</v>
      </c>
      <c r="D3180" s="32" t="n">
        <v>46210</v>
      </c>
      <c r="E3180" s="8" t="n">
        <v>6</v>
      </c>
      <c r="F3180" s="8" t="str">
        <f aca="false">IF(E3180&gt;=9,"Promoter",IF(E3180&gt;=7,"Passive","Detractor"))</f>
        <v>Detractor</v>
      </c>
    </row>
    <row r="3181" customFormat="false" ht="15" hidden="false" customHeight="false" outlineLevel="0" collapsed="false">
      <c r="A3181" s="8" t="s">
        <v>7815</v>
      </c>
      <c r="B3181" s="8" t="s">
        <v>3254</v>
      </c>
      <c r="C3181" s="8" t="s">
        <v>51</v>
      </c>
      <c r="D3181" s="32" t="n">
        <v>46210</v>
      </c>
      <c r="E3181" s="8" t="n">
        <v>7</v>
      </c>
      <c r="F3181" s="8" t="str">
        <f aca="false">IF(E3181&gt;=9,"Promoter",IF(E3181&gt;=7,"Passive","Detractor"))</f>
        <v>Passive</v>
      </c>
    </row>
    <row r="3182" customFormat="false" ht="15" hidden="false" customHeight="false" outlineLevel="0" collapsed="false">
      <c r="A3182" s="8" t="s">
        <v>7816</v>
      </c>
      <c r="B3182" s="8" t="s">
        <v>2844</v>
      </c>
      <c r="C3182" s="8" t="s">
        <v>51</v>
      </c>
      <c r="D3182" s="32" t="n">
        <v>46210</v>
      </c>
      <c r="E3182" s="8" t="n">
        <v>6</v>
      </c>
      <c r="F3182" s="8" t="str">
        <f aca="false">IF(E3182&gt;=9,"Promoter",IF(E3182&gt;=7,"Passive","Detractor"))</f>
        <v>Detractor</v>
      </c>
    </row>
    <row r="3183" customFormat="false" ht="15" hidden="false" customHeight="false" outlineLevel="0" collapsed="false">
      <c r="A3183" s="8" t="s">
        <v>7817</v>
      </c>
      <c r="B3183" s="8" t="s">
        <v>2034</v>
      </c>
      <c r="C3183" s="8" t="s">
        <v>51</v>
      </c>
      <c r="D3183" s="32" t="n">
        <v>46210</v>
      </c>
      <c r="E3183" s="8" t="n">
        <v>10</v>
      </c>
      <c r="F3183" s="8" t="str">
        <f aca="false">IF(E3183&gt;=9,"Promoter",IF(E3183&gt;=7,"Passive","Detractor"))</f>
        <v>Promoter</v>
      </c>
    </row>
    <row r="3184" customFormat="false" ht="15" hidden="false" customHeight="false" outlineLevel="0" collapsed="false">
      <c r="A3184" s="8" t="s">
        <v>7818</v>
      </c>
      <c r="B3184" s="8" t="s">
        <v>2094</v>
      </c>
      <c r="C3184" s="8" t="s">
        <v>51</v>
      </c>
      <c r="D3184" s="32" t="n">
        <v>46210</v>
      </c>
      <c r="E3184" s="8" t="n">
        <v>7</v>
      </c>
      <c r="F3184" s="8" t="str">
        <f aca="false">IF(E3184&gt;=9,"Promoter",IF(E3184&gt;=7,"Passive","Detractor"))</f>
        <v>Passive</v>
      </c>
    </row>
    <row r="3185" customFormat="false" ht="15" hidden="false" customHeight="false" outlineLevel="0" collapsed="false">
      <c r="A3185" s="8" t="s">
        <v>7819</v>
      </c>
      <c r="B3185" s="8" t="s">
        <v>757</v>
      </c>
      <c r="C3185" s="8" t="s">
        <v>53</v>
      </c>
      <c r="D3185" s="32" t="n">
        <v>46210</v>
      </c>
      <c r="E3185" s="8" t="n">
        <v>6</v>
      </c>
      <c r="F3185" s="8" t="str">
        <f aca="false">IF(E3185&gt;=9,"Promoter",IF(E3185&gt;=7,"Passive","Detractor"))</f>
        <v>Detractor</v>
      </c>
    </row>
    <row r="3186" customFormat="false" ht="15" hidden="false" customHeight="false" outlineLevel="0" collapsed="false">
      <c r="A3186" s="8" t="s">
        <v>7820</v>
      </c>
      <c r="B3186" s="8" t="s">
        <v>1057</v>
      </c>
      <c r="C3186" s="8" t="s">
        <v>53</v>
      </c>
      <c r="D3186" s="32" t="n">
        <v>46210</v>
      </c>
      <c r="E3186" s="8" t="n">
        <v>10</v>
      </c>
      <c r="F3186" s="8" t="str">
        <f aca="false">IF(E3186&gt;=9,"Promoter",IF(E3186&gt;=7,"Passive","Detractor"))</f>
        <v>Promoter</v>
      </c>
    </row>
    <row r="3187" customFormat="false" ht="15" hidden="false" customHeight="false" outlineLevel="0" collapsed="false">
      <c r="A3187" s="8" t="s">
        <v>7821</v>
      </c>
      <c r="B3187" s="8" t="s">
        <v>1743</v>
      </c>
      <c r="C3187" s="8" t="s">
        <v>51</v>
      </c>
      <c r="D3187" s="32" t="n">
        <v>46210</v>
      </c>
      <c r="E3187" s="8" t="n">
        <v>8</v>
      </c>
      <c r="F3187" s="8" t="str">
        <f aca="false">IF(E3187&gt;=9,"Promoter",IF(E3187&gt;=7,"Passive","Detractor"))</f>
        <v>Passive</v>
      </c>
    </row>
    <row r="3188" customFormat="false" ht="15" hidden="false" customHeight="false" outlineLevel="0" collapsed="false">
      <c r="A3188" s="8" t="s">
        <v>7822</v>
      </c>
      <c r="B3188" s="8" t="s">
        <v>1879</v>
      </c>
      <c r="C3188" s="8" t="s">
        <v>53</v>
      </c>
      <c r="D3188" s="32" t="n">
        <v>46210</v>
      </c>
      <c r="E3188" s="8" t="n">
        <v>9</v>
      </c>
      <c r="F3188" s="8" t="str">
        <f aca="false">IF(E3188&gt;=9,"Promoter",IF(E3188&gt;=7,"Passive","Detractor"))</f>
        <v>Promoter</v>
      </c>
    </row>
    <row r="3189" customFormat="false" ht="15" hidden="false" customHeight="false" outlineLevel="0" collapsed="false">
      <c r="A3189" s="8" t="s">
        <v>7823</v>
      </c>
      <c r="B3189" s="8" t="s">
        <v>4294</v>
      </c>
      <c r="C3189" s="8" t="s">
        <v>51</v>
      </c>
      <c r="D3189" s="32" t="n">
        <v>46210</v>
      </c>
      <c r="E3189" s="8" t="n">
        <v>10</v>
      </c>
      <c r="F3189" s="8" t="str">
        <f aca="false">IF(E3189&gt;=9,"Promoter",IF(E3189&gt;=7,"Passive","Detractor"))</f>
        <v>Promoter</v>
      </c>
    </row>
    <row r="3190" customFormat="false" ht="15" hidden="false" customHeight="false" outlineLevel="0" collapsed="false">
      <c r="A3190" s="8" t="s">
        <v>7824</v>
      </c>
      <c r="B3190" s="8" t="s">
        <v>306</v>
      </c>
      <c r="C3190" s="8" t="s">
        <v>55</v>
      </c>
      <c r="D3190" s="32" t="n">
        <v>46211</v>
      </c>
      <c r="E3190" s="8" t="n">
        <v>6</v>
      </c>
      <c r="F3190" s="8" t="str">
        <f aca="false">IF(E3190&gt;=9,"Promoter",IF(E3190&gt;=7,"Passive","Detractor"))</f>
        <v>Detractor</v>
      </c>
    </row>
    <row r="3191" customFormat="false" ht="15" hidden="false" customHeight="false" outlineLevel="0" collapsed="false">
      <c r="A3191" s="8" t="s">
        <v>7825</v>
      </c>
      <c r="B3191" s="8" t="s">
        <v>3786</v>
      </c>
      <c r="C3191" s="8" t="s">
        <v>51</v>
      </c>
      <c r="D3191" s="32" t="n">
        <v>46211</v>
      </c>
      <c r="E3191" s="8" t="n">
        <v>10</v>
      </c>
      <c r="F3191" s="8" t="str">
        <f aca="false">IF(E3191&gt;=9,"Promoter",IF(E3191&gt;=7,"Passive","Detractor"))</f>
        <v>Promoter</v>
      </c>
    </row>
    <row r="3192" customFormat="false" ht="15" hidden="false" customHeight="false" outlineLevel="0" collapsed="false">
      <c r="A3192" s="8" t="s">
        <v>7826</v>
      </c>
      <c r="B3192" s="8" t="s">
        <v>3666</v>
      </c>
      <c r="C3192" s="8" t="s">
        <v>51</v>
      </c>
      <c r="D3192" s="32" t="n">
        <v>46211</v>
      </c>
      <c r="E3192" s="8" t="n">
        <v>9</v>
      </c>
      <c r="F3192" s="8" t="str">
        <f aca="false">IF(E3192&gt;=9,"Promoter",IF(E3192&gt;=7,"Passive","Detractor"))</f>
        <v>Promoter</v>
      </c>
    </row>
    <row r="3193" customFormat="false" ht="15" hidden="false" customHeight="false" outlineLevel="0" collapsed="false">
      <c r="A3193" s="8" t="s">
        <v>7827</v>
      </c>
      <c r="B3193" s="8" t="s">
        <v>973</v>
      </c>
      <c r="C3193" s="8" t="s">
        <v>53</v>
      </c>
      <c r="D3193" s="32" t="n">
        <v>46211</v>
      </c>
      <c r="E3193" s="8" t="n">
        <v>7</v>
      </c>
      <c r="F3193" s="8" t="str">
        <f aca="false">IF(E3193&gt;=9,"Promoter",IF(E3193&gt;=7,"Passive","Detractor"))</f>
        <v>Passive</v>
      </c>
    </row>
    <row r="3194" customFormat="false" ht="15" hidden="false" customHeight="false" outlineLevel="0" collapsed="false">
      <c r="A3194" s="8" t="s">
        <v>7828</v>
      </c>
      <c r="B3194" s="8" t="s">
        <v>1065</v>
      </c>
      <c r="C3194" s="8" t="s">
        <v>53</v>
      </c>
      <c r="D3194" s="32" t="n">
        <v>46211</v>
      </c>
      <c r="E3194" s="8" t="n">
        <v>10</v>
      </c>
      <c r="F3194" s="8" t="str">
        <f aca="false">IF(E3194&gt;=9,"Promoter",IF(E3194&gt;=7,"Passive","Detractor"))</f>
        <v>Promoter</v>
      </c>
    </row>
    <row r="3195" customFormat="false" ht="15" hidden="false" customHeight="false" outlineLevel="0" collapsed="false">
      <c r="A3195" s="8" t="s">
        <v>7829</v>
      </c>
      <c r="B3195" s="8" t="s">
        <v>4312</v>
      </c>
      <c r="C3195" s="8" t="s">
        <v>51</v>
      </c>
      <c r="D3195" s="32" t="n">
        <v>46211</v>
      </c>
      <c r="E3195" s="8" t="n">
        <v>7</v>
      </c>
      <c r="F3195" s="8" t="str">
        <f aca="false">IF(E3195&gt;=9,"Promoter",IF(E3195&gt;=7,"Passive","Detractor"))</f>
        <v>Passive</v>
      </c>
    </row>
    <row r="3196" customFormat="false" ht="15" hidden="false" customHeight="false" outlineLevel="0" collapsed="false">
      <c r="A3196" s="8" t="s">
        <v>7830</v>
      </c>
      <c r="B3196" s="8" t="s">
        <v>607</v>
      </c>
      <c r="C3196" s="8" t="s">
        <v>55</v>
      </c>
      <c r="D3196" s="32" t="n">
        <v>46211</v>
      </c>
      <c r="E3196" s="8" t="n">
        <v>9</v>
      </c>
      <c r="F3196" s="8" t="str">
        <f aca="false">IF(E3196&gt;=9,"Promoter",IF(E3196&gt;=7,"Passive","Detractor"))</f>
        <v>Promoter</v>
      </c>
    </row>
    <row r="3197" customFormat="false" ht="15" hidden="false" customHeight="false" outlineLevel="0" collapsed="false">
      <c r="A3197" s="8" t="s">
        <v>7831</v>
      </c>
      <c r="B3197" s="8" t="s">
        <v>595</v>
      </c>
      <c r="C3197" s="8" t="s">
        <v>53</v>
      </c>
      <c r="D3197" s="32" t="n">
        <v>46211</v>
      </c>
      <c r="E3197" s="8" t="n">
        <v>6</v>
      </c>
      <c r="F3197" s="8" t="str">
        <f aca="false">IF(E3197&gt;=9,"Promoter",IF(E3197&gt;=7,"Passive","Detractor"))</f>
        <v>Detractor</v>
      </c>
    </row>
    <row r="3198" customFormat="false" ht="15" hidden="false" customHeight="false" outlineLevel="0" collapsed="false">
      <c r="A3198" s="8" t="s">
        <v>7832</v>
      </c>
      <c r="B3198" s="8" t="s">
        <v>905</v>
      </c>
      <c r="C3198" s="8" t="s">
        <v>53</v>
      </c>
      <c r="D3198" s="32" t="n">
        <v>46211</v>
      </c>
      <c r="E3198" s="8" t="n">
        <v>9</v>
      </c>
      <c r="F3198" s="8" t="str">
        <f aca="false">IF(E3198&gt;=9,"Promoter",IF(E3198&gt;=7,"Passive","Detractor"))</f>
        <v>Promoter</v>
      </c>
    </row>
    <row r="3199" customFormat="false" ht="15" hidden="false" customHeight="false" outlineLevel="0" collapsed="false">
      <c r="A3199" s="8" t="s">
        <v>7833</v>
      </c>
      <c r="B3199" s="8" t="s">
        <v>2860</v>
      </c>
      <c r="C3199" s="8" t="s">
        <v>51</v>
      </c>
      <c r="D3199" s="32" t="n">
        <v>46211</v>
      </c>
      <c r="E3199" s="8" t="n">
        <v>7</v>
      </c>
      <c r="F3199" s="8" t="str">
        <f aca="false">IF(E3199&gt;=9,"Promoter",IF(E3199&gt;=7,"Passive","Detractor"))</f>
        <v>Passive</v>
      </c>
    </row>
    <row r="3200" customFormat="false" ht="15" hidden="false" customHeight="false" outlineLevel="0" collapsed="false">
      <c r="A3200" s="8" t="s">
        <v>7834</v>
      </c>
      <c r="B3200" s="8" t="s">
        <v>186</v>
      </c>
      <c r="C3200" s="8" t="s">
        <v>55</v>
      </c>
      <c r="D3200" s="32" t="n">
        <v>46211</v>
      </c>
      <c r="E3200" s="8" t="n">
        <v>10</v>
      </c>
      <c r="F3200" s="8" t="str">
        <f aca="false">IF(E3200&gt;=9,"Promoter",IF(E3200&gt;=7,"Passive","Detractor"))</f>
        <v>Promoter</v>
      </c>
    </row>
    <row r="3201" customFormat="false" ht="15" hidden="false" customHeight="false" outlineLevel="0" collapsed="false">
      <c r="A3201" s="8" t="s">
        <v>7835</v>
      </c>
      <c r="B3201" s="8" t="s">
        <v>1527</v>
      </c>
      <c r="C3201" s="8" t="s">
        <v>53</v>
      </c>
      <c r="D3201" s="32" t="n">
        <v>46211</v>
      </c>
      <c r="E3201" s="8" t="n">
        <v>7</v>
      </c>
      <c r="F3201" s="8" t="str">
        <f aca="false">IF(E3201&gt;=9,"Promoter",IF(E3201&gt;=7,"Passive","Detractor"))</f>
        <v>Passive</v>
      </c>
    </row>
    <row r="3202" customFormat="false" ht="15" hidden="false" customHeight="false" outlineLevel="0" collapsed="false">
      <c r="A3202" s="8" t="s">
        <v>7836</v>
      </c>
      <c r="B3202" s="8" t="s">
        <v>1287</v>
      </c>
      <c r="C3202" s="8" t="s">
        <v>53</v>
      </c>
      <c r="D3202" s="32" t="n">
        <v>46211</v>
      </c>
      <c r="E3202" s="8" t="n">
        <v>10</v>
      </c>
      <c r="F3202" s="8" t="str">
        <f aca="false">IF(E3202&gt;=9,"Promoter",IF(E3202&gt;=7,"Passive","Detractor"))</f>
        <v>Promoter</v>
      </c>
    </row>
    <row r="3203" customFormat="false" ht="15" hidden="false" customHeight="false" outlineLevel="0" collapsed="false">
      <c r="A3203" s="8" t="s">
        <v>7837</v>
      </c>
      <c r="B3203" s="8" t="s">
        <v>835</v>
      </c>
      <c r="C3203" s="8" t="s">
        <v>53</v>
      </c>
      <c r="D3203" s="32" t="n">
        <v>46212</v>
      </c>
      <c r="E3203" s="8" t="n">
        <v>10</v>
      </c>
      <c r="F3203" s="8" t="str">
        <f aca="false">IF(E3203&gt;=9,"Promoter",IF(E3203&gt;=7,"Passive","Detractor"))</f>
        <v>Promoter</v>
      </c>
    </row>
    <row r="3204" customFormat="false" ht="15" hidden="false" customHeight="false" outlineLevel="0" collapsed="false">
      <c r="A3204" s="8" t="s">
        <v>7838</v>
      </c>
      <c r="B3204" s="8" t="s">
        <v>3740</v>
      </c>
      <c r="C3204" s="8" t="s">
        <v>51</v>
      </c>
      <c r="D3204" s="32" t="n">
        <v>46212</v>
      </c>
      <c r="E3204" s="8" t="n">
        <v>10</v>
      </c>
      <c r="F3204" s="8" t="str">
        <f aca="false">IF(E3204&gt;=9,"Promoter",IF(E3204&gt;=7,"Passive","Detractor"))</f>
        <v>Promoter</v>
      </c>
    </row>
    <row r="3205" customFormat="false" ht="15" hidden="false" customHeight="false" outlineLevel="0" collapsed="false">
      <c r="A3205" s="8" t="s">
        <v>7839</v>
      </c>
      <c r="B3205" s="8" t="s">
        <v>785</v>
      </c>
      <c r="C3205" s="8" t="s">
        <v>53</v>
      </c>
      <c r="D3205" s="32" t="n">
        <v>46212</v>
      </c>
      <c r="E3205" s="8" t="n">
        <v>8</v>
      </c>
      <c r="F3205" s="8" t="str">
        <f aca="false">IF(E3205&gt;=9,"Promoter",IF(E3205&gt;=7,"Passive","Detractor"))</f>
        <v>Passive</v>
      </c>
    </row>
    <row r="3206" customFormat="false" ht="15" hidden="false" customHeight="false" outlineLevel="0" collapsed="false">
      <c r="A3206" s="8" t="s">
        <v>7840</v>
      </c>
      <c r="B3206" s="8" t="s">
        <v>3918</v>
      </c>
      <c r="C3206" s="8" t="s">
        <v>51</v>
      </c>
      <c r="D3206" s="32" t="n">
        <v>46212</v>
      </c>
      <c r="E3206" s="8" t="n">
        <v>9</v>
      </c>
      <c r="F3206" s="8" t="str">
        <f aca="false">IF(E3206&gt;=9,"Promoter",IF(E3206&gt;=7,"Passive","Detractor"))</f>
        <v>Promoter</v>
      </c>
    </row>
    <row r="3207" customFormat="false" ht="15" hidden="false" customHeight="false" outlineLevel="0" collapsed="false">
      <c r="A3207" s="8" t="s">
        <v>7841</v>
      </c>
      <c r="B3207" s="8" t="s">
        <v>3794</v>
      </c>
      <c r="C3207" s="8" t="s">
        <v>51</v>
      </c>
      <c r="D3207" s="32" t="n">
        <v>46212</v>
      </c>
      <c r="E3207" s="8" t="n">
        <v>10</v>
      </c>
      <c r="F3207" s="8" t="str">
        <f aca="false">IF(E3207&gt;=9,"Promoter",IF(E3207&gt;=7,"Passive","Detractor"))</f>
        <v>Promoter</v>
      </c>
    </row>
    <row r="3208" customFormat="false" ht="15" hidden="false" customHeight="false" outlineLevel="0" collapsed="false">
      <c r="A3208" s="8" t="s">
        <v>7842</v>
      </c>
      <c r="B3208" s="8" t="s">
        <v>2850</v>
      </c>
      <c r="C3208" s="8" t="s">
        <v>51</v>
      </c>
      <c r="D3208" s="32" t="n">
        <v>46212</v>
      </c>
      <c r="E3208" s="8" t="n">
        <v>7</v>
      </c>
      <c r="F3208" s="8" t="str">
        <f aca="false">IF(E3208&gt;=9,"Promoter",IF(E3208&gt;=7,"Passive","Detractor"))</f>
        <v>Passive</v>
      </c>
    </row>
    <row r="3209" customFormat="false" ht="15" hidden="false" customHeight="false" outlineLevel="0" collapsed="false">
      <c r="A3209" s="8" t="s">
        <v>7843</v>
      </c>
      <c r="B3209" s="8" t="s">
        <v>3400</v>
      </c>
      <c r="C3209" s="8" t="s">
        <v>51</v>
      </c>
      <c r="D3209" s="32" t="n">
        <v>46212</v>
      </c>
      <c r="E3209" s="8" t="n">
        <v>7</v>
      </c>
      <c r="F3209" s="8" t="str">
        <f aca="false">IF(E3209&gt;=9,"Promoter",IF(E3209&gt;=7,"Passive","Detractor"))</f>
        <v>Passive</v>
      </c>
    </row>
    <row r="3210" customFormat="false" ht="15" hidden="false" customHeight="false" outlineLevel="0" collapsed="false">
      <c r="A3210" s="8" t="s">
        <v>7844</v>
      </c>
      <c r="B3210" s="8" t="s">
        <v>943</v>
      </c>
      <c r="C3210" s="8" t="s">
        <v>53</v>
      </c>
      <c r="D3210" s="32" t="n">
        <v>46212</v>
      </c>
      <c r="E3210" s="8" t="n">
        <v>9</v>
      </c>
      <c r="F3210" s="8" t="str">
        <f aca="false">IF(E3210&gt;=9,"Promoter",IF(E3210&gt;=7,"Passive","Detractor"))</f>
        <v>Promoter</v>
      </c>
    </row>
    <row r="3211" customFormat="false" ht="15" hidden="false" customHeight="false" outlineLevel="0" collapsed="false">
      <c r="A3211" s="8" t="s">
        <v>7845</v>
      </c>
      <c r="B3211" s="8" t="s">
        <v>2518</v>
      </c>
      <c r="C3211" s="8" t="s">
        <v>51</v>
      </c>
      <c r="D3211" s="32" t="n">
        <v>46212</v>
      </c>
      <c r="E3211" s="8" t="n">
        <v>9</v>
      </c>
      <c r="F3211" s="8" t="str">
        <f aca="false">IF(E3211&gt;=9,"Promoter",IF(E3211&gt;=7,"Passive","Detractor"))</f>
        <v>Promoter</v>
      </c>
    </row>
    <row r="3212" customFormat="false" ht="15" hidden="false" customHeight="false" outlineLevel="0" collapsed="false">
      <c r="A3212" s="8" t="s">
        <v>7846</v>
      </c>
      <c r="B3212" s="8" t="s">
        <v>3508</v>
      </c>
      <c r="C3212" s="8" t="s">
        <v>51</v>
      </c>
      <c r="D3212" s="32" t="n">
        <v>46212</v>
      </c>
      <c r="E3212" s="8" t="n">
        <v>8</v>
      </c>
      <c r="F3212" s="8" t="str">
        <f aca="false">IF(E3212&gt;=9,"Promoter",IF(E3212&gt;=7,"Passive","Detractor"))</f>
        <v>Passive</v>
      </c>
    </row>
    <row r="3213" customFormat="false" ht="15" hidden="false" customHeight="false" outlineLevel="0" collapsed="false">
      <c r="A3213" s="8" t="s">
        <v>7847</v>
      </c>
      <c r="B3213" s="8" t="s">
        <v>4050</v>
      </c>
      <c r="C3213" s="8" t="s">
        <v>51</v>
      </c>
      <c r="D3213" s="32" t="n">
        <v>46212</v>
      </c>
      <c r="E3213" s="8" t="n">
        <v>8</v>
      </c>
      <c r="F3213" s="8" t="str">
        <f aca="false">IF(E3213&gt;=9,"Promoter",IF(E3213&gt;=7,"Passive","Detractor"))</f>
        <v>Passive</v>
      </c>
    </row>
    <row r="3214" customFormat="false" ht="15" hidden="false" customHeight="false" outlineLevel="0" collapsed="false">
      <c r="A3214" s="8" t="s">
        <v>7848</v>
      </c>
      <c r="B3214" s="8" t="s">
        <v>2296</v>
      </c>
      <c r="C3214" s="8" t="s">
        <v>51</v>
      </c>
      <c r="D3214" s="32" t="n">
        <v>46212</v>
      </c>
      <c r="E3214" s="8" t="n">
        <v>10</v>
      </c>
      <c r="F3214" s="8" t="str">
        <f aca="false">IF(E3214&gt;=9,"Promoter",IF(E3214&gt;=7,"Passive","Detractor"))</f>
        <v>Promoter</v>
      </c>
    </row>
    <row r="3215" customFormat="false" ht="15" hidden="false" customHeight="false" outlineLevel="0" collapsed="false">
      <c r="A3215" s="8" t="s">
        <v>7849</v>
      </c>
      <c r="B3215" s="8" t="s">
        <v>4292</v>
      </c>
      <c r="C3215" s="8" t="s">
        <v>51</v>
      </c>
      <c r="D3215" s="32" t="n">
        <v>46212</v>
      </c>
      <c r="E3215" s="8" t="n">
        <v>10</v>
      </c>
      <c r="F3215" s="8" t="str">
        <f aca="false">IF(E3215&gt;=9,"Promoter",IF(E3215&gt;=7,"Passive","Detractor"))</f>
        <v>Promoter</v>
      </c>
    </row>
    <row r="3216" customFormat="false" ht="15" hidden="false" customHeight="false" outlineLevel="0" collapsed="false">
      <c r="A3216" s="8" t="s">
        <v>7850</v>
      </c>
      <c r="B3216" s="8" t="s">
        <v>3828</v>
      </c>
      <c r="C3216" s="8" t="s">
        <v>51</v>
      </c>
      <c r="D3216" s="32" t="n">
        <v>46212</v>
      </c>
      <c r="E3216" s="8" t="n">
        <v>9</v>
      </c>
      <c r="F3216" s="8" t="str">
        <f aca="false">IF(E3216&gt;=9,"Promoter",IF(E3216&gt;=7,"Passive","Detractor"))</f>
        <v>Promoter</v>
      </c>
    </row>
    <row r="3217" customFormat="false" ht="15" hidden="false" customHeight="false" outlineLevel="0" collapsed="false">
      <c r="A3217" s="8" t="s">
        <v>7851</v>
      </c>
      <c r="B3217" s="8" t="s">
        <v>573</v>
      </c>
      <c r="C3217" s="8" t="s">
        <v>55</v>
      </c>
      <c r="D3217" s="32" t="n">
        <v>46212</v>
      </c>
      <c r="E3217" s="8" t="n">
        <v>9</v>
      </c>
      <c r="F3217" s="8" t="str">
        <f aca="false">IF(E3217&gt;=9,"Promoter",IF(E3217&gt;=7,"Passive","Detractor"))</f>
        <v>Promoter</v>
      </c>
    </row>
    <row r="3218" customFormat="false" ht="15" hidden="false" customHeight="false" outlineLevel="0" collapsed="false">
      <c r="A3218" s="8" t="s">
        <v>7852</v>
      </c>
      <c r="B3218" s="8" t="s">
        <v>2030</v>
      </c>
      <c r="C3218" s="8" t="s">
        <v>51</v>
      </c>
      <c r="D3218" s="32" t="n">
        <v>46213</v>
      </c>
      <c r="E3218" s="8" t="n">
        <v>10</v>
      </c>
      <c r="F3218" s="8" t="str">
        <f aca="false">IF(E3218&gt;=9,"Promoter",IF(E3218&gt;=7,"Passive","Detractor"))</f>
        <v>Promoter</v>
      </c>
    </row>
    <row r="3219" customFormat="false" ht="15" hidden="false" customHeight="false" outlineLevel="0" collapsed="false">
      <c r="A3219" s="8" t="s">
        <v>7853</v>
      </c>
      <c r="B3219" s="8" t="s">
        <v>3126</v>
      </c>
      <c r="C3219" s="8" t="s">
        <v>51</v>
      </c>
      <c r="D3219" s="32" t="n">
        <v>46213</v>
      </c>
      <c r="E3219" s="8" t="n">
        <v>10</v>
      </c>
      <c r="F3219" s="8" t="str">
        <f aca="false">IF(E3219&gt;=9,"Promoter",IF(E3219&gt;=7,"Passive","Detractor"))</f>
        <v>Promoter</v>
      </c>
    </row>
    <row r="3220" customFormat="false" ht="15" hidden="false" customHeight="false" outlineLevel="0" collapsed="false">
      <c r="A3220" s="8" t="s">
        <v>7854</v>
      </c>
      <c r="B3220" s="8" t="s">
        <v>2007</v>
      </c>
      <c r="C3220" s="8" t="s">
        <v>51</v>
      </c>
      <c r="D3220" s="32" t="n">
        <v>46213</v>
      </c>
      <c r="E3220" s="8" t="n">
        <v>7</v>
      </c>
      <c r="F3220" s="8" t="str">
        <f aca="false">IF(E3220&gt;=9,"Promoter",IF(E3220&gt;=7,"Passive","Detractor"))</f>
        <v>Passive</v>
      </c>
    </row>
    <row r="3221" customFormat="false" ht="15" hidden="false" customHeight="false" outlineLevel="0" collapsed="false">
      <c r="A3221" s="8" t="s">
        <v>7855</v>
      </c>
      <c r="B3221" s="8" t="s">
        <v>3340</v>
      </c>
      <c r="C3221" s="8" t="s">
        <v>51</v>
      </c>
      <c r="D3221" s="32" t="n">
        <v>46213</v>
      </c>
      <c r="E3221" s="8" t="n">
        <v>10</v>
      </c>
      <c r="F3221" s="8" t="str">
        <f aca="false">IF(E3221&gt;=9,"Promoter",IF(E3221&gt;=7,"Passive","Detractor"))</f>
        <v>Promoter</v>
      </c>
    </row>
    <row r="3222" customFormat="false" ht="15" hidden="false" customHeight="false" outlineLevel="0" collapsed="false">
      <c r="A3222" s="8" t="s">
        <v>7856</v>
      </c>
      <c r="B3222" s="8" t="s">
        <v>1237</v>
      </c>
      <c r="C3222" s="8" t="s">
        <v>53</v>
      </c>
      <c r="D3222" s="32" t="n">
        <v>46213</v>
      </c>
      <c r="E3222" s="8" t="n">
        <v>8</v>
      </c>
      <c r="F3222" s="8" t="str">
        <f aca="false">IF(E3222&gt;=9,"Promoter",IF(E3222&gt;=7,"Passive","Detractor"))</f>
        <v>Passive</v>
      </c>
    </row>
    <row r="3223" customFormat="false" ht="15" hidden="false" customHeight="false" outlineLevel="0" collapsed="false">
      <c r="A3223" s="8" t="s">
        <v>7857</v>
      </c>
      <c r="B3223" s="8" t="s">
        <v>1239</v>
      </c>
      <c r="C3223" s="8" t="s">
        <v>53</v>
      </c>
      <c r="D3223" s="32" t="n">
        <v>46213</v>
      </c>
      <c r="E3223" s="8" t="n">
        <v>5</v>
      </c>
      <c r="F3223" s="8" t="str">
        <f aca="false">IF(E3223&gt;=9,"Promoter",IF(E3223&gt;=7,"Passive","Detractor"))</f>
        <v>Detractor</v>
      </c>
    </row>
    <row r="3224" customFormat="false" ht="15" hidden="false" customHeight="false" outlineLevel="0" collapsed="false">
      <c r="A3224" s="8" t="s">
        <v>7858</v>
      </c>
      <c r="B3224" s="8" t="s">
        <v>3238</v>
      </c>
      <c r="C3224" s="8" t="s">
        <v>51</v>
      </c>
      <c r="D3224" s="32" t="n">
        <v>46213</v>
      </c>
      <c r="E3224" s="8" t="n">
        <v>10</v>
      </c>
      <c r="F3224" s="8" t="str">
        <f aca="false">IF(E3224&gt;=9,"Promoter",IF(E3224&gt;=7,"Passive","Detractor"))</f>
        <v>Promoter</v>
      </c>
    </row>
    <row r="3225" customFormat="false" ht="15" hidden="false" customHeight="false" outlineLevel="0" collapsed="false">
      <c r="A3225" s="8" t="s">
        <v>7859</v>
      </c>
      <c r="B3225" s="8" t="s">
        <v>3524</v>
      </c>
      <c r="C3225" s="8" t="s">
        <v>51</v>
      </c>
      <c r="D3225" s="32" t="n">
        <v>46213</v>
      </c>
      <c r="E3225" s="8" t="n">
        <v>8</v>
      </c>
      <c r="F3225" s="8" t="str">
        <f aca="false">IF(E3225&gt;=9,"Promoter",IF(E3225&gt;=7,"Passive","Detractor"))</f>
        <v>Passive</v>
      </c>
    </row>
    <row r="3226" customFormat="false" ht="15" hidden="false" customHeight="false" outlineLevel="0" collapsed="false">
      <c r="A3226" s="8" t="s">
        <v>7860</v>
      </c>
      <c r="B3226" s="8" t="s">
        <v>3982</v>
      </c>
      <c r="C3226" s="8" t="s">
        <v>51</v>
      </c>
      <c r="D3226" s="32" t="n">
        <v>46214</v>
      </c>
      <c r="E3226" s="8" t="n">
        <v>7</v>
      </c>
      <c r="F3226" s="8" t="str">
        <f aca="false">IF(E3226&gt;=9,"Promoter",IF(E3226&gt;=7,"Passive","Detractor"))</f>
        <v>Passive</v>
      </c>
    </row>
    <row r="3227" customFormat="false" ht="15" hidden="false" customHeight="false" outlineLevel="0" collapsed="false">
      <c r="A3227" s="8" t="s">
        <v>7861</v>
      </c>
      <c r="B3227" s="8" t="s">
        <v>1043</v>
      </c>
      <c r="C3227" s="8" t="s">
        <v>53</v>
      </c>
      <c r="D3227" s="32" t="n">
        <v>46214</v>
      </c>
      <c r="E3227" s="8" t="n">
        <v>10</v>
      </c>
      <c r="F3227" s="8" t="str">
        <f aca="false">IF(E3227&gt;=9,"Promoter",IF(E3227&gt;=7,"Passive","Detractor"))</f>
        <v>Promoter</v>
      </c>
    </row>
    <row r="3228" customFormat="false" ht="15" hidden="false" customHeight="false" outlineLevel="0" collapsed="false">
      <c r="A3228" s="8" t="s">
        <v>7862</v>
      </c>
      <c r="B3228" s="8" t="s">
        <v>753</v>
      </c>
      <c r="C3228" s="8" t="s">
        <v>53</v>
      </c>
      <c r="D3228" s="32" t="n">
        <v>46214</v>
      </c>
      <c r="E3228" s="8" t="n">
        <v>10</v>
      </c>
      <c r="F3228" s="8" t="str">
        <f aca="false">IF(E3228&gt;=9,"Promoter",IF(E3228&gt;=7,"Passive","Detractor"))</f>
        <v>Promoter</v>
      </c>
    </row>
    <row r="3229" customFormat="false" ht="15" hidden="false" customHeight="false" outlineLevel="0" collapsed="false">
      <c r="A3229" s="8" t="s">
        <v>7863</v>
      </c>
      <c r="B3229" s="8" t="s">
        <v>1157</v>
      </c>
      <c r="C3229" s="8" t="s">
        <v>53</v>
      </c>
      <c r="D3229" s="32" t="n">
        <v>46214</v>
      </c>
      <c r="E3229" s="8" t="n">
        <v>8</v>
      </c>
      <c r="F3229" s="8" t="str">
        <f aca="false">IF(E3229&gt;=9,"Promoter",IF(E3229&gt;=7,"Passive","Detractor"))</f>
        <v>Passive</v>
      </c>
    </row>
    <row r="3230" customFormat="false" ht="15" hidden="false" customHeight="false" outlineLevel="0" collapsed="false">
      <c r="A3230" s="8" t="s">
        <v>7864</v>
      </c>
      <c r="B3230" s="8" t="s">
        <v>3674</v>
      </c>
      <c r="C3230" s="8" t="s">
        <v>51</v>
      </c>
      <c r="D3230" s="32" t="n">
        <v>46214</v>
      </c>
      <c r="E3230" s="8" t="n">
        <v>10</v>
      </c>
      <c r="F3230" s="8" t="str">
        <f aca="false">IF(E3230&gt;=9,"Promoter",IF(E3230&gt;=7,"Passive","Detractor"))</f>
        <v>Promoter</v>
      </c>
    </row>
    <row r="3231" customFormat="false" ht="15" hidden="false" customHeight="false" outlineLevel="0" collapsed="false">
      <c r="A3231" s="8" t="s">
        <v>7865</v>
      </c>
      <c r="B3231" s="8" t="s">
        <v>318</v>
      </c>
      <c r="C3231" s="8" t="s">
        <v>55</v>
      </c>
      <c r="D3231" s="32" t="n">
        <v>46214</v>
      </c>
      <c r="E3231" s="8" t="n">
        <v>8</v>
      </c>
      <c r="F3231" s="8" t="str">
        <f aca="false">IF(E3231&gt;=9,"Promoter",IF(E3231&gt;=7,"Passive","Detractor"))</f>
        <v>Passive</v>
      </c>
    </row>
    <row r="3232" customFormat="false" ht="15" hidden="false" customHeight="false" outlineLevel="0" collapsed="false">
      <c r="A3232" s="8" t="s">
        <v>7866</v>
      </c>
      <c r="B3232" s="8" t="s">
        <v>1085</v>
      </c>
      <c r="C3232" s="8" t="s">
        <v>53</v>
      </c>
      <c r="D3232" s="32" t="n">
        <v>46214</v>
      </c>
      <c r="E3232" s="8" t="n">
        <v>6</v>
      </c>
      <c r="F3232" s="8" t="str">
        <f aca="false">IF(E3232&gt;=9,"Promoter",IF(E3232&gt;=7,"Passive","Detractor"))</f>
        <v>Detractor</v>
      </c>
    </row>
    <row r="3233" customFormat="false" ht="15" hidden="false" customHeight="false" outlineLevel="0" collapsed="false">
      <c r="A3233" s="8" t="s">
        <v>7867</v>
      </c>
      <c r="B3233" s="8" t="s">
        <v>2222</v>
      </c>
      <c r="C3233" s="8" t="s">
        <v>51</v>
      </c>
      <c r="D3233" s="32" t="n">
        <v>46214</v>
      </c>
      <c r="E3233" s="8" t="n">
        <v>10</v>
      </c>
      <c r="F3233" s="8" t="str">
        <f aca="false">IF(E3233&gt;=9,"Promoter",IF(E3233&gt;=7,"Passive","Detractor"))</f>
        <v>Promoter</v>
      </c>
    </row>
    <row r="3234" customFormat="false" ht="15" hidden="false" customHeight="false" outlineLevel="0" collapsed="false">
      <c r="A3234" s="8" t="s">
        <v>7868</v>
      </c>
      <c r="B3234" s="8" t="s">
        <v>3690</v>
      </c>
      <c r="C3234" s="8" t="s">
        <v>51</v>
      </c>
      <c r="D3234" s="32" t="n">
        <v>46214</v>
      </c>
      <c r="E3234" s="8" t="n">
        <v>7</v>
      </c>
      <c r="F3234" s="8" t="str">
        <f aca="false">IF(E3234&gt;=9,"Promoter",IF(E3234&gt;=7,"Passive","Detractor"))</f>
        <v>Passive</v>
      </c>
    </row>
    <row r="3235" customFormat="false" ht="15" hidden="false" customHeight="false" outlineLevel="0" collapsed="false">
      <c r="A3235" s="8" t="s">
        <v>7869</v>
      </c>
      <c r="B3235" s="8" t="s">
        <v>2338</v>
      </c>
      <c r="C3235" s="8" t="s">
        <v>51</v>
      </c>
      <c r="D3235" s="32" t="n">
        <v>46215</v>
      </c>
      <c r="E3235" s="8" t="n">
        <v>9</v>
      </c>
      <c r="F3235" s="8" t="str">
        <f aca="false">IF(E3235&gt;=9,"Promoter",IF(E3235&gt;=7,"Passive","Detractor"))</f>
        <v>Promoter</v>
      </c>
    </row>
    <row r="3236" customFormat="false" ht="15" hidden="false" customHeight="false" outlineLevel="0" collapsed="false">
      <c r="A3236" s="8" t="s">
        <v>7870</v>
      </c>
      <c r="B3236" s="8" t="s">
        <v>2764</v>
      </c>
      <c r="C3236" s="8" t="s">
        <v>51</v>
      </c>
      <c r="D3236" s="32" t="n">
        <v>46215</v>
      </c>
      <c r="E3236" s="8" t="n">
        <v>6</v>
      </c>
      <c r="F3236" s="8" t="str">
        <f aca="false">IF(E3236&gt;=9,"Promoter",IF(E3236&gt;=7,"Passive","Detractor"))</f>
        <v>Detractor</v>
      </c>
    </row>
    <row r="3237" customFormat="false" ht="15" hidden="false" customHeight="false" outlineLevel="0" collapsed="false">
      <c r="A3237" s="8" t="s">
        <v>7871</v>
      </c>
      <c r="B3237" s="8" t="s">
        <v>715</v>
      </c>
      <c r="C3237" s="8" t="s">
        <v>53</v>
      </c>
      <c r="D3237" s="32" t="n">
        <v>46215</v>
      </c>
      <c r="E3237" s="8" t="n">
        <v>6</v>
      </c>
      <c r="F3237" s="8" t="str">
        <f aca="false">IF(E3237&gt;=9,"Promoter",IF(E3237&gt;=7,"Passive","Detractor"))</f>
        <v>Detractor</v>
      </c>
    </row>
    <row r="3238" customFormat="false" ht="15" hidden="false" customHeight="false" outlineLevel="0" collapsed="false">
      <c r="A3238" s="8" t="s">
        <v>7872</v>
      </c>
      <c r="B3238" s="8" t="s">
        <v>4290</v>
      </c>
      <c r="C3238" s="8" t="s">
        <v>51</v>
      </c>
      <c r="D3238" s="32" t="n">
        <v>46215</v>
      </c>
      <c r="E3238" s="8" t="n">
        <v>9</v>
      </c>
      <c r="F3238" s="8" t="str">
        <f aca="false">IF(E3238&gt;=9,"Promoter",IF(E3238&gt;=7,"Passive","Detractor"))</f>
        <v>Promoter</v>
      </c>
    </row>
    <row r="3239" customFormat="false" ht="15" hidden="false" customHeight="false" outlineLevel="0" collapsed="false">
      <c r="A3239" s="8" t="s">
        <v>7873</v>
      </c>
      <c r="B3239" s="8" t="s">
        <v>791</v>
      </c>
      <c r="C3239" s="8" t="s">
        <v>53</v>
      </c>
      <c r="D3239" s="32" t="n">
        <v>46215</v>
      </c>
      <c r="E3239" s="8" t="n">
        <v>7</v>
      </c>
      <c r="F3239" s="8" t="str">
        <f aca="false">IF(E3239&gt;=9,"Promoter",IF(E3239&gt;=7,"Passive","Detractor"))</f>
        <v>Passive</v>
      </c>
    </row>
    <row r="3240" customFormat="false" ht="15" hidden="false" customHeight="false" outlineLevel="0" collapsed="false">
      <c r="A3240" s="8" t="s">
        <v>7874</v>
      </c>
      <c r="B3240" s="8" t="s">
        <v>3620</v>
      </c>
      <c r="C3240" s="8" t="s">
        <v>51</v>
      </c>
      <c r="D3240" s="32" t="n">
        <v>46215</v>
      </c>
      <c r="E3240" s="8" t="n">
        <v>4</v>
      </c>
      <c r="F3240" s="8" t="str">
        <f aca="false">IF(E3240&gt;=9,"Promoter",IF(E3240&gt;=7,"Passive","Detractor"))</f>
        <v>Detractor</v>
      </c>
    </row>
    <row r="3241" customFormat="false" ht="15" hidden="false" customHeight="false" outlineLevel="0" collapsed="false">
      <c r="A3241" s="8" t="s">
        <v>7875</v>
      </c>
      <c r="B3241" s="8" t="s">
        <v>1661</v>
      </c>
      <c r="C3241" s="8" t="s">
        <v>53</v>
      </c>
      <c r="D3241" s="32" t="n">
        <v>46215</v>
      </c>
      <c r="E3241" s="8" t="n">
        <v>8</v>
      </c>
      <c r="F3241" s="8" t="str">
        <f aca="false">IF(E3241&gt;=9,"Promoter",IF(E3241&gt;=7,"Passive","Detractor"))</f>
        <v>Passive</v>
      </c>
    </row>
    <row r="3242" customFormat="false" ht="15" hidden="false" customHeight="false" outlineLevel="0" collapsed="false">
      <c r="A3242" s="8" t="s">
        <v>7876</v>
      </c>
      <c r="B3242" s="8" t="s">
        <v>349</v>
      </c>
      <c r="C3242" s="8" t="s">
        <v>55</v>
      </c>
      <c r="D3242" s="32" t="n">
        <v>46215</v>
      </c>
      <c r="E3242" s="8" t="n">
        <v>10</v>
      </c>
      <c r="F3242" s="8" t="str">
        <f aca="false">IF(E3242&gt;=9,"Promoter",IF(E3242&gt;=7,"Passive","Detractor"))</f>
        <v>Promoter</v>
      </c>
    </row>
    <row r="3243" customFormat="false" ht="15" hidden="false" customHeight="false" outlineLevel="0" collapsed="false">
      <c r="A3243" s="8" t="s">
        <v>7877</v>
      </c>
      <c r="B3243" s="8" t="s">
        <v>3124</v>
      </c>
      <c r="C3243" s="8" t="s">
        <v>51</v>
      </c>
      <c r="D3243" s="32" t="n">
        <v>46216</v>
      </c>
      <c r="E3243" s="8" t="n">
        <v>4</v>
      </c>
      <c r="F3243" s="8" t="str">
        <f aca="false">IF(E3243&gt;=9,"Promoter",IF(E3243&gt;=7,"Passive","Detractor"))</f>
        <v>Detractor</v>
      </c>
    </row>
    <row r="3244" customFormat="false" ht="15" hidden="false" customHeight="false" outlineLevel="0" collapsed="false">
      <c r="A3244" s="8" t="s">
        <v>7878</v>
      </c>
      <c r="B3244" s="8" t="s">
        <v>707</v>
      </c>
      <c r="C3244" s="8" t="s">
        <v>53</v>
      </c>
      <c r="D3244" s="32" t="n">
        <v>46216</v>
      </c>
      <c r="E3244" s="8" t="n">
        <v>8</v>
      </c>
      <c r="F3244" s="8" t="str">
        <f aca="false">IF(E3244&gt;=9,"Promoter",IF(E3244&gt;=7,"Passive","Detractor"))</f>
        <v>Passive</v>
      </c>
    </row>
    <row r="3245" customFormat="false" ht="15" hidden="false" customHeight="false" outlineLevel="0" collapsed="false">
      <c r="A3245" s="8" t="s">
        <v>7879</v>
      </c>
      <c r="B3245" s="8" t="s">
        <v>2098</v>
      </c>
      <c r="C3245" s="8" t="s">
        <v>51</v>
      </c>
      <c r="D3245" s="32" t="n">
        <v>46216</v>
      </c>
      <c r="E3245" s="8" t="n">
        <v>9</v>
      </c>
      <c r="F3245" s="8" t="str">
        <f aca="false">IF(E3245&gt;=9,"Promoter",IF(E3245&gt;=7,"Passive","Detractor"))</f>
        <v>Promoter</v>
      </c>
    </row>
    <row r="3246" customFormat="false" ht="15" hidden="false" customHeight="false" outlineLevel="0" collapsed="false">
      <c r="A3246" s="8" t="s">
        <v>7880</v>
      </c>
      <c r="B3246" s="8" t="s">
        <v>167</v>
      </c>
      <c r="C3246" s="8" t="s">
        <v>55</v>
      </c>
      <c r="D3246" s="32" t="n">
        <v>46216</v>
      </c>
      <c r="E3246" s="8" t="n">
        <v>7</v>
      </c>
      <c r="F3246" s="8" t="str">
        <f aca="false">IF(E3246&gt;=9,"Promoter",IF(E3246&gt;=7,"Passive","Detractor"))</f>
        <v>Passive</v>
      </c>
    </row>
    <row r="3247" customFormat="false" ht="15" hidden="false" customHeight="false" outlineLevel="0" collapsed="false">
      <c r="A3247" s="8" t="s">
        <v>7881</v>
      </c>
      <c r="B3247" s="8" t="s">
        <v>1515</v>
      </c>
      <c r="C3247" s="8" t="s">
        <v>53</v>
      </c>
      <c r="D3247" s="32" t="n">
        <v>46216</v>
      </c>
      <c r="E3247" s="8" t="n">
        <v>8</v>
      </c>
      <c r="F3247" s="8" t="str">
        <f aca="false">IF(E3247&gt;=9,"Promoter",IF(E3247&gt;=7,"Passive","Detractor"))</f>
        <v>Passive</v>
      </c>
    </row>
    <row r="3248" customFormat="false" ht="15" hidden="false" customHeight="false" outlineLevel="0" collapsed="false">
      <c r="A3248" s="8" t="s">
        <v>7882</v>
      </c>
      <c r="B3248" s="8" t="s">
        <v>415</v>
      </c>
      <c r="C3248" s="8" t="s">
        <v>55</v>
      </c>
      <c r="D3248" s="32" t="n">
        <v>46216</v>
      </c>
      <c r="E3248" s="8" t="n">
        <v>7</v>
      </c>
      <c r="F3248" s="8" t="str">
        <f aca="false">IF(E3248&gt;=9,"Promoter",IF(E3248&gt;=7,"Passive","Detractor"))</f>
        <v>Passive</v>
      </c>
    </row>
    <row r="3249" customFormat="false" ht="15" hidden="false" customHeight="false" outlineLevel="0" collapsed="false">
      <c r="A3249" s="8" t="s">
        <v>7883</v>
      </c>
      <c r="B3249" s="8" t="s">
        <v>141</v>
      </c>
      <c r="C3249" s="8" t="s">
        <v>55</v>
      </c>
      <c r="D3249" s="32" t="n">
        <v>46216</v>
      </c>
      <c r="E3249" s="8" t="n">
        <v>9</v>
      </c>
      <c r="F3249" s="8" t="str">
        <f aca="false">IF(E3249&gt;=9,"Promoter",IF(E3249&gt;=7,"Passive","Detractor"))</f>
        <v>Promoter</v>
      </c>
    </row>
    <row r="3250" customFormat="false" ht="15" hidden="false" customHeight="false" outlineLevel="0" collapsed="false">
      <c r="A3250" s="8" t="s">
        <v>7884</v>
      </c>
      <c r="B3250" s="8" t="s">
        <v>699</v>
      </c>
      <c r="C3250" s="8" t="s">
        <v>55</v>
      </c>
      <c r="D3250" s="32" t="n">
        <v>46216</v>
      </c>
      <c r="E3250" s="8" t="n">
        <v>9</v>
      </c>
      <c r="F3250" s="8" t="str">
        <f aca="false">IF(E3250&gt;=9,"Promoter",IF(E3250&gt;=7,"Passive","Detractor"))</f>
        <v>Promoter</v>
      </c>
    </row>
    <row r="3251" customFormat="false" ht="15" hidden="false" customHeight="false" outlineLevel="0" collapsed="false">
      <c r="A3251" s="8" t="s">
        <v>7885</v>
      </c>
      <c r="B3251" s="8" t="s">
        <v>4258</v>
      </c>
      <c r="C3251" s="8" t="s">
        <v>51</v>
      </c>
      <c r="D3251" s="32" t="n">
        <v>46216</v>
      </c>
      <c r="E3251" s="8" t="n">
        <v>7</v>
      </c>
      <c r="F3251" s="8" t="str">
        <f aca="false">IF(E3251&gt;=9,"Promoter",IF(E3251&gt;=7,"Passive","Detractor"))</f>
        <v>Passive</v>
      </c>
    </row>
    <row r="3252" customFormat="false" ht="15" hidden="false" customHeight="false" outlineLevel="0" collapsed="false">
      <c r="A3252" s="8" t="s">
        <v>7886</v>
      </c>
      <c r="B3252" s="8" t="s">
        <v>3836</v>
      </c>
      <c r="C3252" s="8" t="s">
        <v>51</v>
      </c>
      <c r="D3252" s="32" t="n">
        <v>46217</v>
      </c>
      <c r="E3252" s="8" t="n">
        <v>8</v>
      </c>
      <c r="F3252" s="8" t="str">
        <f aca="false">IF(E3252&gt;=9,"Promoter",IF(E3252&gt;=7,"Passive","Detractor"))</f>
        <v>Passive</v>
      </c>
    </row>
    <row r="3253" customFormat="false" ht="15" hidden="false" customHeight="false" outlineLevel="0" collapsed="false">
      <c r="A3253" s="8" t="s">
        <v>7887</v>
      </c>
      <c r="B3253" s="8" t="s">
        <v>2496</v>
      </c>
      <c r="C3253" s="8" t="s">
        <v>51</v>
      </c>
      <c r="D3253" s="32" t="n">
        <v>46217</v>
      </c>
      <c r="E3253" s="8" t="n">
        <v>10</v>
      </c>
      <c r="F3253" s="8" t="str">
        <f aca="false">IF(E3253&gt;=9,"Promoter",IF(E3253&gt;=7,"Passive","Detractor"))</f>
        <v>Promoter</v>
      </c>
    </row>
    <row r="3254" customFormat="false" ht="15" hidden="false" customHeight="false" outlineLevel="0" collapsed="false">
      <c r="A3254" s="8" t="s">
        <v>7888</v>
      </c>
      <c r="B3254" s="8" t="s">
        <v>475</v>
      </c>
      <c r="C3254" s="8" t="s">
        <v>55</v>
      </c>
      <c r="D3254" s="32" t="n">
        <v>46217</v>
      </c>
      <c r="E3254" s="8" t="n">
        <v>8</v>
      </c>
      <c r="F3254" s="8" t="str">
        <f aca="false">IF(E3254&gt;=9,"Promoter",IF(E3254&gt;=7,"Passive","Detractor"))</f>
        <v>Passive</v>
      </c>
    </row>
    <row r="3255" customFormat="false" ht="15" hidden="false" customHeight="false" outlineLevel="0" collapsed="false">
      <c r="A3255" s="8" t="s">
        <v>7889</v>
      </c>
      <c r="B3255" s="8" t="s">
        <v>3920</v>
      </c>
      <c r="C3255" s="8" t="s">
        <v>51</v>
      </c>
      <c r="D3255" s="32" t="n">
        <v>46217</v>
      </c>
      <c r="E3255" s="8" t="n">
        <v>10</v>
      </c>
      <c r="F3255" s="8" t="str">
        <f aca="false">IF(E3255&gt;=9,"Promoter",IF(E3255&gt;=7,"Passive","Detractor"))</f>
        <v>Promoter</v>
      </c>
    </row>
    <row r="3256" customFormat="false" ht="15" hidden="false" customHeight="false" outlineLevel="0" collapsed="false">
      <c r="A3256" s="8" t="s">
        <v>7890</v>
      </c>
      <c r="B3256" s="8" t="s">
        <v>2988</v>
      </c>
      <c r="C3256" s="8" t="s">
        <v>51</v>
      </c>
      <c r="D3256" s="32" t="n">
        <v>46217</v>
      </c>
      <c r="E3256" s="8" t="n">
        <v>8</v>
      </c>
      <c r="F3256" s="8" t="str">
        <f aca="false">IF(E3256&gt;=9,"Promoter",IF(E3256&gt;=7,"Passive","Detractor"))</f>
        <v>Passive</v>
      </c>
    </row>
    <row r="3257" customFormat="false" ht="15" hidden="false" customHeight="false" outlineLevel="0" collapsed="false">
      <c r="A3257" s="8" t="s">
        <v>7891</v>
      </c>
      <c r="B3257" s="8" t="s">
        <v>601</v>
      </c>
      <c r="C3257" s="8" t="s">
        <v>53</v>
      </c>
      <c r="D3257" s="32" t="n">
        <v>46217</v>
      </c>
      <c r="E3257" s="8" t="n">
        <v>10</v>
      </c>
      <c r="F3257" s="8" t="str">
        <f aca="false">IF(E3257&gt;=9,"Promoter",IF(E3257&gt;=7,"Passive","Detractor"))</f>
        <v>Promoter</v>
      </c>
    </row>
    <row r="3258" customFormat="false" ht="15" hidden="false" customHeight="false" outlineLevel="0" collapsed="false">
      <c r="A3258" s="8" t="s">
        <v>7892</v>
      </c>
      <c r="B3258" s="8" t="s">
        <v>489</v>
      </c>
      <c r="C3258" s="8" t="s">
        <v>55</v>
      </c>
      <c r="D3258" s="32" t="n">
        <v>46217</v>
      </c>
      <c r="E3258" s="8" t="n">
        <v>9</v>
      </c>
      <c r="F3258" s="8" t="str">
        <f aca="false">IF(E3258&gt;=9,"Promoter",IF(E3258&gt;=7,"Passive","Detractor"))</f>
        <v>Promoter</v>
      </c>
    </row>
    <row r="3259" customFormat="false" ht="15" hidden="false" customHeight="false" outlineLevel="0" collapsed="false">
      <c r="A3259" s="8" t="s">
        <v>7893</v>
      </c>
      <c r="B3259" s="8" t="s">
        <v>3352</v>
      </c>
      <c r="C3259" s="8" t="s">
        <v>51</v>
      </c>
      <c r="D3259" s="32" t="n">
        <v>46217</v>
      </c>
      <c r="E3259" s="8" t="n">
        <v>9</v>
      </c>
      <c r="F3259" s="8" t="str">
        <f aca="false">IF(E3259&gt;=9,"Promoter",IF(E3259&gt;=7,"Passive","Detractor"))</f>
        <v>Promoter</v>
      </c>
    </row>
    <row r="3260" customFormat="false" ht="15" hidden="false" customHeight="false" outlineLevel="0" collapsed="false">
      <c r="A3260" s="8" t="s">
        <v>7894</v>
      </c>
      <c r="B3260" s="8" t="s">
        <v>2606</v>
      </c>
      <c r="C3260" s="8" t="s">
        <v>51</v>
      </c>
      <c r="D3260" s="32" t="n">
        <v>46217</v>
      </c>
      <c r="E3260" s="8" t="n">
        <v>9</v>
      </c>
      <c r="F3260" s="8" t="str">
        <f aca="false">IF(E3260&gt;=9,"Promoter",IF(E3260&gt;=7,"Passive","Detractor"))</f>
        <v>Promoter</v>
      </c>
    </row>
    <row r="3261" customFormat="false" ht="15" hidden="false" customHeight="false" outlineLevel="0" collapsed="false">
      <c r="A3261" s="8" t="s">
        <v>7895</v>
      </c>
      <c r="B3261" s="8" t="s">
        <v>1497</v>
      </c>
      <c r="C3261" s="8" t="s">
        <v>53</v>
      </c>
      <c r="D3261" s="32" t="n">
        <v>46217</v>
      </c>
      <c r="E3261" s="8" t="n">
        <v>9</v>
      </c>
      <c r="F3261" s="8" t="str">
        <f aca="false">IF(E3261&gt;=9,"Promoter",IF(E3261&gt;=7,"Passive","Detractor"))</f>
        <v>Promoter</v>
      </c>
    </row>
    <row r="3262" customFormat="false" ht="15" hidden="false" customHeight="false" outlineLevel="0" collapsed="false">
      <c r="A3262" s="8" t="s">
        <v>7896</v>
      </c>
      <c r="B3262" s="8" t="s">
        <v>2017</v>
      </c>
      <c r="C3262" s="8" t="s">
        <v>51</v>
      </c>
      <c r="D3262" s="32" t="n">
        <v>46217</v>
      </c>
      <c r="E3262" s="8" t="n">
        <v>10</v>
      </c>
      <c r="F3262" s="8" t="str">
        <f aca="false">IF(E3262&gt;=9,"Promoter",IF(E3262&gt;=7,"Passive","Detractor"))</f>
        <v>Promoter</v>
      </c>
    </row>
    <row r="3263" customFormat="false" ht="15" hidden="false" customHeight="false" outlineLevel="0" collapsed="false">
      <c r="A3263" s="8" t="s">
        <v>7897</v>
      </c>
      <c r="B3263" s="8" t="s">
        <v>2648</v>
      </c>
      <c r="C3263" s="8" t="s">
        <v>51</v>
      </c>
      <c r="D3263" s="32" t="n">
        <v>46217</v>
      </c>
      <c r="E3263" s="8" t="n">
        <v>9</v>
      </c>
      <c r="F3263" s="8" t="str">
        <f aca="false">IF(E3263&gt;=9,"Promoter",IF(E3263&gt;=7,"Passive","Detractor"))</f>
        <v>Promoter</v>
      </c>
    </row>
    <row r="3264" customFormat="false" ht="15" hidden="false" customHeight="false" outlineLevel="0" collapsed="false">
      <c r="A3264" s="8" t="s">
        <v>7898</v>
      </c>
      <c r="B3264" s="8" t="s">
        <v>3074</v>
      </c>
      <c r="C3264" s="8" t="s">
        <v>51</v>
      </c>
      <c r="D3264" s="32" t="n">
        <v>46217</v>
      </c>
      <c r="E3264" s="8" t="n">
        <v>8</v>
      </c>
      <c r="F3264" s="8" t="str">
        <f aca="false">IF(E3264&gt;=9,"Promoter",IF(E3264&gt;=7,"Passive","Detractor"))</f>
        <v>Passive</v>
      </c>
    </row>
    <row r="3265" customFormat="false" ht="15" hidden="false" customHeight="false" outlineLevel="0" collapsed="false">
      <c r="A3265" s="8" t="s">
        <v>7899</v>
      </c>
      <c r="B3265" s="8" t="s">
        <v>627</v>
      </c>
      <c r="C3265" s="8" t="s">
        <v>55</v>
      </c>
      <c r="D3265" s="32" t="n">
        <v>46217</v>
      </c>
      <c r="E3265" s="8" t="n">
        <v>9</v>
      </c>
      <c r="F3265" s="8" t="str">
        <f aca="false">IF(E3265&gt;=9,"Promoter",IF(E3265&gt;=7,"Passive","Detractor"))</f>
        <v>Promoter</v>
      </c>
    </row>
    <row r="3266" customFormat="false" ht="15" hidden="false" customHeight="false" outlineLevel="0" collapsed="false">
      <c r="A3266" s="8" t="s">
        <v>7900</v>
      </c>
      <c r="B3266" s="8" t="s">
        <v>4020</v>
      </c>
      <c r="C3266" s="8" t="s">
        <v>51</v>
      </c>
      <c r="D3266" s="32" t="n">
        <v>46217</v>
      </c>
      <c r="E3266" s="8" t="n">
        <v>9</v>
      </c>
      <c r="F3266" s="8" t="str">
        <f aca="false">IF(E3266&gt;=9,"Promoter",IF(E3266&gt;=7,"Passive","Detractor"))</f>
        <v>Promoter</v>
      </c>
    </row>
    <row r="3267" customFormat="false" ht="15" hidden="false" customHeight="false" outlineLevel="0" collapsed="false">
      <c r="A3267" s="8" t="s">
        <v>7901</v>
      </c>
      <c r="B3267" s="8" t="s">
        <v>1415</v>
      </c>
      <c r="C3267" s="8" t="s">
        <v>53</v>
      </c>
      <c r="D3267" s="32" t="n">
        <v>46217</v>
      </c>
      <c r="E3267" s="8" t="n">
        <v>5</v>
      </c>
      <c r="F3267" s="8" t="str">
        <f aca="false">IF(E3267&gt;=9,"Promoter",IF(E3267&gt;=7,"Passive","Detractor"))</f>
        <v>Detractor</v>
      </c>
    </row>
    <row r="3268" customFormat="false" ht="15" hidden="false" customHeight="false" outlineLevel="0" collapsed="false">
      <c r="A3268" s="8" t="s">
        <v>7902</v>
      </c>
      <c r="B3268" s="8" t="s">
        <v>3252</v>
      </c>
      <c r="C3268" s="8" t="s">
        <v>51</v>
      </c>
      <c r="D3268" s="32" t="n">
        <v>46218</v>
      </c>
      <c r="E3268" s="8" t="n">
        <v>8</v>
      </c>
      <c r="F3268" s="8" t="str">
        <f aca="false">IF(E3268&gt;=9,"Promoter",IF(E3268&gt;=7,"Passive","Detractor"))</f>
        <v>Passive</v>
      </c>
    </row>
    <row r="3269" customFormat="false" ht="15" hidden="false" customHeight="false" outlineLevel="0" collapsed="false">
      <c r="A3269" s="8" t="s">
        <v>7903</v>
      </c>
      <c r="B3269" s="8" t="s">
        <v>1033</v>
      </c>
      <c r="C3269" s="8" t="s">
        <v>53</v>
      </c>
      <c r="D3269" s="32" t="n">
        <v>46218</v>
      </c>
      <c r="E3269" s="8" t="n">
        <v>6</v>
      </c>
      <c r="F3269" s="8" t="str">
        <f aca="false">IF(E3269&gt;=9,"Promoter",IF(E3269&gt;=7,"Passive","Detractor"))</f>
        <v>Detractor</v>
      </c>
    </row>
    <row r="3270" customFormat="false" ht="15" hidden="false" customHeight="false" outlineLevel="0" collapsed="false">
      <c r="A3270" s="8" t="s">
        <v>7904</v>
      </c>
      <c r="B3270" s="8" t="s">
        <v>3330</v>
      </c>
      <c r="C3270" s="8" t="s">
        <v>51</v>
      </c>
      <c r="D3270" s="32" t="n">
        <v>46218</v>
      </c>
      <c r="E3270" s="8" t="n">
        <v>8</v>
      </c>
      <c r="F3270" s="8" t="str">
        <f aca="false">IF(E3270&gt;=9,"Promoter",IF(E3270&gt;=7,"Passive","Detractor"))</f>
        <v>Passive</v>
      </c>
    </row>
    <row r="3271" customFormat="false" ht="15" hidden="false" customHeight="false" outlineLevel="0" collapsed="false">
      <c r="A3271" s="8" t="s">
        <v>7905</v>
      </c>
      <c r="B3271" s="8" t="s">
        <v>3552</v>
      </c>
      <c r="C3271" s="8" t="s">
        <v>51</v>
      </c>
      <c r="D3271" s="32" t="n">
        <v>46218</v>
      </c>
      <c r="E3271" s="8" t="n">
        <v>6</v>
      </c>
      <c r="F3271" s="8" t="str">
        <f aca="false">IF(E3271&gt;=9,"Promoter",IF(E3271&gt;=7,"Passive","Detractor"))</f>
        <v>Detractor</v>
      </c>
    </row>
    <row r="3272" customFormat="false" ht="15" hidden="false" customHeight="false" outlineLevel="0" collapsed="false">
      <c r="A3272" s="8" t="s">
        <v>7906</v>
      </c>
      <c r="B3272" s="8" t="s">
        <v>1045</v>
      </c>
      <c r="C3272" s="8" t="s">
        <v>53</v>
      </c>
      <c r="D3272" s="32" t="n">
        <v>46218</v>
      </c>
      <c r="E3272" s="8" t="n">
        <v>8</v>
      </c>
      <c r="F3272" s="8" t="str">
        <f aca="false">IF(E3272&gt;=9,"Promoter",IF(E3272&gt;=7,"Passive","Detractor"))</f>
        <v>Passive</v>
      </c>
    </row>
    <row r="3273" customFormat="false" ht="15" hidden="false" customHeight="false" outlineLevel="0" collapsed="false">
      <c r="A3273" s="8" t="s">
        <v>7907</v>
      </c>
      <c r="B3273" s="8" t="s">
        <v>705</v>
      </c>
      <c r="C3273" s="8" t="s">
        <v>53</v>
      </c>
      <c r="D3273" s="32" t="n">
        <v>46218</v>
      </c>
      <c r="E3273" s="8" t="n">
        <v>5</v>
      </c>
      <c r="F3273" s="8" t="str">
        <f aca="false">IF(E3273&gt;=9,"Promoter",IF(E3273&gt;=7,"Passive","Detractor"))</f>
        <v>Detractor</v>
      </c>
    </row>
    <row r="3274" customFormat="false" ht="15" hidden="false" customHeight="false" outlineLevel="0" collapsed="false">
      <c r="A3274" s="8" t="s">
        <v>7908</v>
      </c>
      <c r="B3274" s="8" t="s">
        <v>1725</v>
      </c>
      <c r="C3274" s="8" t="s">
        <v>53</v>
      </c>
      <c r="D3274" s="32" t="n">
        <v>46218</v>
      </c>
      <c r="E3274" s="8" t="n">
        <v>6</v>
      </c>
      <c r="F3274" s="8" t="str">
        <f aca="false">IF(E3274&gt;=9,"Promoter",IF(E3274&gt;=7,"Passive","Detractor"))</f>
        <v>Detractor</v>
      </c>
    </row>
    <row r="3275" customFormat="false" ht="15" hidden="false" customHeight="false" outlineLevel="0" collapsed="false">
      <c r="A3275" s="8" t="s">
        <v>7909</v>
      </c>
      <c r="B3275" s="8" t="s">
        <v>3188</v>
      </c>
      <c r="C3275" s="8" t="s">
        <v>51</v>
      </c>
      <c r="D3275" s="32" t="n">
        <v>46218</v>
      </c>
      <c r="E3275" s="8" t="n">
        <v>8</v>
      </c>
      <c r="F3275" s="8" t="str">
        <f aca="false">IF(E3275&gt;=9,"Promoter",IF(E3275&gt;=7,"Passive","Detractor"))</f>
        <v>Passive</v>
      </c>
    </row>
    <row r="3276" customFormat="false" ht="15" hidden="false" customHeight="false" outlineLevel="0" collapsed="false">
      <c r="A3276" s="8" t="s">
        <v>7910</v>
      </c>
      <c r="B3276" s="8" t="s">
        <v>605</v>
      </c>
      <c r="C3276" s="8" t="s">
        <v>55</v>
      </c>
      <c r="D3276" s="32" t="n">
        <v>46218</v>
      </c>
      <c r="E3276" s="8" t="n">
        <v>8</v>
      </c>
      <c r="F3276" s="8" t="str">
        <f aca="false">IF(E3276&gt;=9,"Promoter",IF(E3276&gt;=7,"Passive","Detractor"))</f>
        <v>Passive</v>
      </c>
    </row>
    <row r="3277" customFormat="false" ht="15" hidden="false" customHeight="false" outlineLevel="0" collapsed="false">
      <c r="A3277" s="8" t="s">
        <v>7911</v>
      </c>
      <c r="B3277" s="8" t="s">
        <v>1081</v>
      </c>
      <c r="C3277" s="8" t="s">
        <v>53</v>
      </c>
      <c r="D3277" s="32" t="n">
        <v>46218</v>
      </c>
      <c r="E3277" s="8" t="n">
        <v>9</v>
      </c>
      <c r="F3277" s="8" t="str">
        <f aca="false">IF(E3277&gt;=9,"Promoter",IF(E3277&gt;=7,"Passive","Detractor"))</f>
        <v>Promoter</v>
      </c>
    </row>
    <row r="3278" customFormat="false" ht="15" hidden="false" customHeight="false" outlineLevel="0" collapsed="false">
      <c r="A3278" s="8" t="s">
        <v>7912</v>
      </c>
      <c r="B3278" s="8" t="s">
        <v>2228</v>
      </c>
      <c r="C3278" s="8" t="s">
        <v>51</v>
      </c>
      <c r="D3278" s="32" t="n">
        <v>46218</v>
      </c>
      <c r="E3278" s="8" t="n">
        <v>10</v>
      </c>
      <c r="F3278" s="8" t="str">
        <f aca="false">IF(E3278&gt;=9,"Promoter",IF(E3278&gt;=7,"Passive","Detractor"))</f>
        <v>Promoter</v>
      </c>
    </row>
    <row r="3279" customFormat="false" ht="15" hidden="false" customHeight="false" outlineLevel="0" collapsed="false">
      <c r="A3279" s="8" t="s">
        <v>7913</v>
      </c>
      <c r="B3279" s="8" t="s">
        <v>847</v>
      </c>
      <c r="C3279" s="8" t="s">
        <v>53</v>
      </c>
      <c r="D3279" s="32" t="n">
        <v>46219</v>
      </c>
      <c r="E3279" s="8" t="n">
        <v>7</v>
      </c>
      <c r="F3279" s="8" t="str">
        <f aca="false">IF(E3279&gt;=9,"Promoter",IF(E3279&gt;=7,"Passive","Detractor"))</f>
        <v>Passive</v>
      </c>
    </row>
    <row r="3280" customFormat="false" ht="15" hidden="false" customHeight="false" outlineLevel="0" collapsed="false">
      <c r="A3280" s="8" t="s">
        <v>7914</v>
      </c>
      <c r="B3280" s="8" t="s">
        <v>3500</v>
      </c>
      <c r="C3280" s="8" t="s">
        <v>51</v>
      </c>
      <c r="D3280" s="32" t="n">
        <v>46219</v>
      </c>
      <c r="E3280" s="8" t="n">
        <v>4</v>
      </c>
      <c r="F3280" s="8" t="str">
        <f aca="false">IF(E3280&gt;=9,"Promoter",IF(E3280&gt;=7,"Passive","Detractor"))</f>
        <v>Detractor</v>
      </c>
    </row>
    <row r="3281" customFormat="false" ht="15" hidden="false" customHeight="false" outlineLevel="0" collapsed="false">
      <c r="A3281" s="8" t="s">
        <v>7915</v>
      </c>
      <c r="B3281" s="8" t="s">
        <v>425</v>
      </c>
      <c r="C3281" s="8" t="s">
        <v>55</v>
      </c>
      <c r="D3281" s="32" t="n">
        <v>46219</v>
      </c>
      <c r="E3281" s="8" t="n">
        <v>6</v>
      </c>
      <c r="F3281" s="8" t="str">
        <f aca="false">IF(E3281&gt;=9,"Promoter",IF(E3281&gt;=7,"Passive","Detractor"))</f>
        <v>Detractor</v>
      </c>
    </row>
    <row r="3282" customFormat="false" ht="15" hidden="false" customHeight="false" outlineLevel="0" collapsed="false">
      <c r="A3282" s="8" t="s">
        <v>7916</v>
      </c>
      <c r="B3282" s="8" t="s">
        <v>2700</v>
      </c>
      <c r="C3282" s="8" t="s">
        <v>51</v>
      </c>
      <c r="D3282" s="32" t="n">
        <v>46219</v>
      </c>
      <c r="E3282" s="8" t="n">
        <v>6</v>
      </c>
      <c r="F3282" s="8" t="str">
        <f aca="false">IF(E3282&gt;=9,"Promoter",IF(E3282&gt;=7,"Passive","Detractor"))</f>
        <v>Detractor</v>
      </c>
    </row>
    <row r="3283" customFormat="false" ht="15" hidden="false" customHeight="false" outlineLevel="0" collapsed="false">
      <c r="A3283" s="8" t="s">
        <v>7917</v>
      </c>
      <c r="B3283" s="8" t="s">
        <v>2240</v>
      </c>
      <c r="C3283" s="8" t="s">
        <v>51</v>
      </c>
      <c r="D3283" s="32" t="n">
        <v>46219</v>
      </c>
      <c r="E3283" s="8" t="n">
        <v>10</v>
      </c>
      <c r="F3283" s="8" t="str">
        <f aca="false">IF(E3283&gt;=9,"Promoter",IF(E3283&gt;=7,"Passive","Detractor"))</f>
        <v>Promoter</v>
      </c>
    </row>
    <row r="3284" customFormat="false" ht="15" hidden="false" customHeight="false" outlineLevel="0" collapsed="false">
      <c r="A3284" s="8" t="s">
        <v>7918</v>
      </c>
      <c r="B3284" s="8" t="s">
        <v>2858</v>
      </c>
      <c r="C3284" s="8" t="s">
        <v>51</v>
      </c>
      <c r="D3284" s="32" t="n">
        <v>46219</v>
      </c>
      <c r="E3284" s="8" t="n">
        <v>9</v>
      </c>
      <c r="F3284" s="8" t="str">
        <f aca="false">IF(E3284&gt;=9,"Promoter",IF(E3284&gt;=7,"Passive","Detractor"))</f>
        <v>Promoter</v>
      </c>
    </row>
    <row r="3285" customFormat="false" ht="15" hidden="false" customHeight="false" outlineLevel="0" collapsed="false">
      <c r="A3285" s="8" t="s">
        <v>7919</v>
      </c>
      <c r="B3285" s="8" t="s">
        <v>2794</v>
      </c>
      <c r="C3285" s="8" t="s">
        <v>51</v>
      </c>
      <c r="D3285" s="32" t="n">
        <v>46219</v>
      </c>
      <c r="E3285" s="8" t="n">
        <v>9</v>
      </c>
      <c r="F3285" s="8" t="str">
        <f aca="false">IF(E3285&gt;=9,"Promoter",IF(E3285&gt;=7,"Passive","Detractor"))</f>
        <v>Promoter</v>
      </c>
    </row>
    <row r="3286" customFormat="false" ht="15" hidden="false" customHeight="false" outlineLevel="0" collapsed="false">
      <c r="A3286" s="8" t="s">
        <v>7920</v>
      </c>
      <c r="B3286" s="8" t="s">
        <v>1859</v>
      </c>
      <c r="C3286" s="8" t="s">
        <v>51</v>
      </c>
      <c r="D3286" s="32" t="n">
        <v>46219</v>
      </c>
      <c r="E3286" s="8" t="n">
        <v>9</v>
      </c>
      <c r="F3286" s="8" t="str">
        <f aca="false">IF(E3286&gt;=9,"Promoter",IF(E3286&gt;=7,"Passive","Detractor"))</f>
        <v>Promoter</v>
      </c>
    </row>
    <row r="3287" customFormat="false" ht="15" hidden="false" customHeight="false" outlineLevel="0" collapsed="false">
      <c r="A3287" s="8" t="s">
        <v>7921</v>
      </c>
      <c r="B3287" s="8" t="s">
        <v>1047</v>
      </c>
      <c r="C3287" s="8" t="s">
        <v>53</v>
      </c>
      <c r="D3287" s="32" t="n">
        <v>46219</v>
      </c>
      <c r="E3287" s="8" t="n">
        <v>9</v>
      </c>
      <c r="F3287" s="8" t="str">
        <f aca="false">IF(E3287&gt;=9,"Promoter",IF(E3287&gt;=7,"Passive","Detractor"))</f>
        <v>Promoter</v>
      </c>
    </row>
    <row r="3288" customFormat="false" ht="15" hidden="false" customHeight="false" outlineLevel="0" collapsed="false">
      <c r="A3288" s="8" t="s">
        <v>7922</v>
      </c>
      <c r="B3288" s="8" t="s">
        <v>543</v>
      </c>
      <c r="C3288" s="8" t="s">
        <v>55</v>
      </c>
      <c r="D3288" s="32" t="n">
        <v>46219</v>
      </c>
      <c r="E3288" s="8" t="n">
        <v>9</v>
      </c>
      <c r="F3288" s="8" t="str">
        <f aca="false">IF(E3288&gt;=9,"Promoter",IF(E3288&gt;=7,"Passive","Detractor"))</f>
        <v>Promoter</v>
      </c>
    </row>
    <row r="3289" customFormat="false" ht="15" hidden="false" customHeight="false" outlineLevel="0" collapsed="false">
      <c r="A3289" s="8" t="s">
        <v>7923</v>
      </c>
      <c r="B3289" s="8" t="s">
        <v>1799</v>
      </c>
      <c r="C3289" s="8" t="s">
        <v>53</v>
      </c>
      <c r="D3289" s="32" t="n">
        <v>46219</v>
      </c>
      <c r="E3289" s="8" t="n">
        <v>7</v>
      </c>
      <c r="F3289" s="8" t="str">
        <f aca="false">IF(E3289&gt;=9,"Promoter",IF(E3289&gt;=7,"Passive","Detractor"))</f>
        <v>Passive</v>
      </c>
    </row>
    <row r="3290" customFormat="false" ht="15" hidden="false" customHeight="false" outlineLevel="0" collapsed="false">
      <c r="A3290" s="8" t="s">
        <v>7924</v>
      </c>
      <c r="B3290" s="8" t="s">
        <v>2776</v>
      </c>
      <c r="C3290" s="8" t="s">
        <v>51</v>
      </c>
      <c r="D3290" s="32" t="n">
        <v>46219</v>
      </c>
      <c r="E3290" s="8" t="n">
        <v>8</v>
      </c>
      <c r="F3290" s="8" t="str">
        <f aca="false">IF(E3290&gt;=9,"Promoter",IF(E3290&gt;=7,"Passive","Detractor"))</f>
        <v>Passive</v>
      </c>
    </row>
    <row r="3291" customFormat="false" ht="15" hidden="false" customHeight="false" outlineLevel="0" collapsed="false">
      <c r="A3291" s="8" t="s">
        <v>7925</v>
      </c>
      <c r="B3291" s="8" t="s">
        <v>823</v>
      </c>
      <c r="C3291" s="8" t="s">
        <v>53</v>
      </c>
      <c r="D3291" s="32" t="n">
        <v>46220</v>
      </c>
      <c r="E3291" s="8" t="n">
        <v>8</v>
      </c>
      <c r="F3291" s="8" t="str">
        <f aca="false">IF(E3291&gt;=9,"Promoter",IF(E3291&gt;=7,"Passive","Detractor"))</f>
        <v>Passive</v>
      </c>
    </row>
    <row r="3292" customFormat="false" ht="15" hidden="false" customHeight="false" outlineLevel="0" collapsed="false">
      <c r="A3292" s="8" t="s">
        <v>7926</v>
      </c>
      <c r="B3292" s="8" t="s">
        <v>1761</v>
      </c>
      <c r="C3292" s="8" t="s">
        <v>51</v>
      </c>
      <c r="D3292" s="32" t="n">
        <v>46220</v>
      </c>
      <c r="E3292" s="8" t="n">
        <v>10</v>
      </c>
      <c r="F3292" s="8" t="str">
        <f aca="false">IF(E3292&gt;=9,"Promoter",IF(E3292&gt;=7,"Passive","Detractor"))</f>
        <v>Promoter</v>
      </c>
    </row>
    <row r="3293" customFormat="false" ht="15" hidden="false" customHeight="false" outlineLevel="0" collapsed="false">
      <c r="A3293" s="8" t="s">
        <v>7927</v>
      </c>
      <c r="B3293" s="8" t="s">
        <v>2308</v>
      </c>
      <c r="C3293" s="8" t="s">
        <v>51</v>
      </c>
      <c r="D3293" s="32" t="n">
        <v>46220</v>
      </c>
      <c r="E3293" s="8" t="n">
        <v>7</v>
      </c>
      <c r="F3293" s="8" t="str">
        <f aca="false">IF(E3293&gt;=9,"Promoter",IF(E3293&gt;=7,"Passive","Detractor"))</f>
        <v>Passive</v>
      </c>
    </row>
    <row r="3294" customFormat="false" ht="15" hidden="false" customHeight="false" outlineLevel="0" collapsed="false">
      <c r="A3294" s="8" t="s">
        <v>7928</v>
      </c>
      <c r="B3294" s="8" t="s">
        <v>459</v>
      </c>
      <c r="C3294" s="8" t="s">
        <v>55</v>
      </c>
      <c r="D3294" s="32" t="n">
        <v>46220</v>
      </c>
      <c r="E3294" s="8" t="n">
        <v>10</v>
      </c>
      <c r="F3294" s="8" t="str">
        <f aca="false">IF(E3294&gt;=9,"Promoter",IF(E3294&gt;=7,"Passive","Detractor"))</f>
        <v>Promoter</v>
      </c>
    </row>
    <row r="3295" customFormat="false" ht="15" hidden="false" customHeight="false" outlineLevel="0" collapsed="false">
      <c r="A3295" s="8" t="s">
        <v>7929</v>
      </c>
      <c r="B3295" s="8" t="s">
        <v>353</v>
      </c>
      <c r="C3295" s="8" t="s">
        <v>55</v>
      </c>
      <c r="D3295" s="32" t="n">
        <v>46220</v>
      </c>
      <c r="E3295" s="8" t="n">
        <v>10</v>
      </c>
      <c r="F3295" s="8" t="str">
        <f aca="false">IF(E3295&gt;=9,"Promoter",IF(E3295&gt;=7,"Passive","Detractor"))</f>
        <v>Promoter</v>
      </c>
    </row>
    <row r="3296" customFormat="false" ht="15" hidden="false" customHeight="false" outlineLevel="0" collapsed="false">
      <c r="A3296" s="8" t="s">
        <v>7930</v>
      </c>
      <c r="B3296" s="8" t="s">
        <v>547</v>
      </c>
      <c r="C3296" s="8" t="s">
        <v>53</v>
      </c>
      <c r="D3296" s="32" t="n">
        <v>46220</v>
      </c>
      <c r="E3296" s="8" t="n">
        <v>8</v>
      </c>
      <c r="F3296" s="8" t="str">
        <f aca="false">IF(E3296&gt;=9,"Promoter",IF(E3296&gt;=7,"Passive","Detractor"))</f>
        <v>Passive</v>
      </c>
    </row>
    <row r="3297" customFormat="false" ht="15" hidden="false" customHeight="false" outlineLevel="0" collapsed="false">
      <c r="A3297" s="8" t="s">
        <v>7931</v>
      </c>
      <c r="B3297" s="8" t="s">
        <v>3390</v>
      </c>
      <c r="C3297" s="8" t="s">
        <v>51</v>
      </c>
      <c r="D3297" s="32" t="n">
        <v>46221</v>
      </c>
      <c r="E3297" s="8" t="n">
        <v>9</v>
      </c>
      <c r="F3297" s="8" t="str">
        <f aca="false">IF(E3297&gt;=9,"Promoter",IF(E3297&gt;=7,"Passive","Detractor"))</f>
        <v>Promoter</v>
      </c>
    </row>
    <row r="3298" customFormat="false" ht="15" hidden="false" customHeight="false" outlineLevel="0" collapsed="false">
      <c r="A3298" s="8" t="s">
        <v>7932</v>
      </c>
      <c r="B3298" s="8" t="s">
        <v>1729</v>
      </c>
      <c r="C3298" s="8" t="s">
        <v>53</v>
      </c>
      <c r="D3298" s="32" t="n">
        <v>46221</v>
      </c>
      <c r="E3298" s="8" t="n">
        <v>8</v>
      </c>
      <c r="F3298" s="8" t="str">
        <f aca="false">IF(E3298&gt;=9,"Promoter",IF(E3298&gt;=7,"Passive","Detractor"))</f>
        <v>Passive</v>
      </c>
    </row>
    <row r="3299" customFormat="false" ht="15" hidden="false" customHeight="false" outlineLevel="0" collapsed="false">
      <c r="A3299" s="8" t="s">
        <v>7933</v>
      </c>
      <c r="B3299" s="8" t="s">
        <v>2336</v>
      </c>
      <c r="C3299" s="8" t="s">
        <v>51</v>
      </c>
      <c r="D3299" s="32" t="n">
        <v>46221</v>
      </c>
      <c r="E3299" s="8" t="n">
        <v>9</v>
      </c>
      <c r="F3299" s="8" t="str">
        <f aca="false">IF(E3299&gt;=9,"Promoter",IF(E3299&gt;=7,"Passive","Detractor"))</f>
        <v>Promoter</v>
      </c>
    </row>
    <row r="3300" customFormat="false" ht="15" hidden="false" customHeight="false" outlineLevel="0" collapsed="false">
      <c r="A3300" s="8" t="s">
        <v>7934</v>
      </c>
      <c r="B3300" s="8" t="s">
        <v>2356</v>
      </c>
      <c r="C3300" s="8" t="s">
        <v>51</v>
      </c>
      <c r="D3300" s="32" t="n">
        <v>46221</v>
      </c>
      <c r="E3300" s="8" t="n">
        <v>10</v>
      </c>
      <c r="F3300" s="8" t="str">
        <f aca="false">IF(E3300&gt;=9,"Promoter",IF(E3300&gt;=7,"Passive","Detractor"))</f>
        <v>Promoter</v>
      </c>
    </row>
    <row r="3301" customFormat="false" ht="15" hidden="false" customHeight="false" outlineLevel="0" collapsed="false">
      <c r="A3301" s="8" t="s">
        <v>7935</v>
      </c>
      <c r="B3301" s="8" t="s">
        <v>4346</v>
      </c>
      <c r="C3301" s="8" t="s">
        <v>51</v>
      </c>
      <c r="D3301" s="32" t="n">
        <v>46221</v>
      </c>
      <c r="E3301" s="8" t="n">
        <v>7</v>
      </c>
      <c r="F3301" s="8" t="str">
        <f aca="false">IF(E3301&gt;=9,"Promoter",IF(E3301&gt;=7,"Passive","Detractor"))</f>
        <v>Passive</v>
      </c>
    </row>
    <row r="3302" customFormat="false" ht="15" hidden="false" customHeight="false" outlineLevel="0" collapsed="false">
      <c r="A3302" s="8" t="s">
        <v>7936</v>
      </c>
      <c r="B3302" s="8" t="s">
        <v>3104</v>
      </c>
      <c r="C3302" s="8" t="s">
        <v>51</v>
      </c>
      <c r="D3302" s="32" t="n">
        <v>46221</v>
      </c>
      <c r="E3302" s="8" t="n">
        <v>8</v>
      </c>
      <c r="F3302" s="8" t="str">
        <f aca="false">IF(E3302&gt;=9,"Promoter",IF(E3302&gt;=7,"Passive","Detractor"))</f>
        <v>Passive</v>
      </c>
    </row>
    <row r="3303" customFormat="false" ht="15" hidden="false" customHeight="false" outlineLevel="0" collapsed="false">
      <c r="A3303" s="8" t="s">
        <v>7937</v>
      </c>
      <c r="B3303" s="8" t="s">
        <v>2692</v>
      </c>
      <c r="C3303" s="8" t="s">
        <v>51</v>
      </c>
      <c r="D3303" s="32" t="n">
        <v>46221</v>
      </c>
      <c r="E3303" s="8" t="n">
        <v>8</v>
      </c>
      <c r="F3303" s="8" t="str">
        <f aca="false">IF(E3303&gt;=9,"Promoter",IF(E3303&gt;=7,"Passive","Detractor"))</f>
        <v>Passive</v>
      </c>
    </row>
    <row r="3304" customFormat="false" ht="15" hidden="false" customHeight="false" outlineLevel="0" collapsed="false">
      <c r="A3304" s="8" t="s">
        <v>7938</v>
      </c>
      <c r="B3304" s="8" t="s">
        <v>937</v>
      </c>
      <c r="C3304" s="8" t="s">
        <v>53</v>
      </c>
      <c r="D3304" s="32" t="n">
        <v>46221</v>
      </c>
      <c r="E3304" s="8" t="n">
        <v>7</v>
      </c>
      <c r="F3304" s="8" t="str">
        <f aca="false">IF(E3304&gt;=9,"Promoter",IF(E3304&gt;=7,"Passive","Detractor"))</f>
        <v>Passive</v>
      </c>
    </row>
    <row r="3305" customFormat="false" ht="15" hidden="false" customHeight="false" outlineLevel="0" collapsed="false">
      <c r="A3305" s="8" t="s">
        <v>7939</v>
      </c>
      <c r="B3305" s="8" t="s">
        <v>3280</v>
      </c>
      <c r="C3305" s="8" t="s">
        <v>51</v>
      </c>
      <c r="D3305" s="32" t="n">
        <v>46221</v>
      </c>
      <c r="E3305" s="8" t="n">
        <v>6</v>
      </c>
      <c r="F3305" s="8" t="str">
        <f aca="false">IF(E3305&gt;=9,"Promoter",IF(E3305&gt;=7,"Passive","Detractor"))</f>
        <v>Detractor</v>
      </c>
    </row>
    <row r="3306" customFormat="false" ht="15" hidden="false" customHeight="false" outlineLevel="0" collapsed="false">
      <c r="A3306" s="8" t="s">
        <v>7940</v>
      </c>
      <c r="B3306" s="8" t="s">
        <v>945</v>
      </c>
      <c r="C3306" s="8" t="s">
        <v>53</v>
      </c>
      <c r="D3306" s="32" t="n">
        <v>46221</v>
      </c>
      <c r="E3306" s="8" t="n">
        <v>9</v>
      </c>
      <c r="F3306" s="8" t="str">
        <f aca="false">IF(E3306&gt;=9,"Promoter",IF(E3306&gt;=7,"Passive","Detractor"))</f>
        <v>Promoter</v>
      </c>
    </row>
    <row r="3307" customFormat="false" ht="15" hidden="false" customHeight="false" outlineLevel="0" collapsed="false">
      <c r="A3307" s="8" t="s">
        <v>7941</v>
      </c>
      <c r="B3307" s="8" t="s">
        <v>2526</v>
      </c>
      <c r="C3307" s="8" t="s">
        <v>51</v>
      </c>
      <c r="D3307" s="32" t="n">
        <v>46221</v>
      </c>
      <c r="E3307" s="8" t="n">
        <v>8</v>
      </c>
      <c r="F3307" s="8" t="str">
        <f aca="false">IF(E3307&gt;=9,"Promoter",IF(E3307&gt;=7,"Passive","Detractor"))</f>
        <v>Passive</v>
      </c>
    </row>
    <row r="3308" customFormat="false" ht="15" hidden="false" customHeight="false" outlineLevel="0" collapsed="false">
      <c r="A3308" s="8" t="s">
        <v>7942</v>
      </c>
      <c r="B3308" s="8" t="s">
        <v>1217</v>
      </c>
      <c r="C3308" s="8" t="s">
        <v>53</v>
      </c>
      <c r="D3308" s="32" t="n">
        <v>46221</v>
      </c>
      <c r="E3308" s="8" t="n">
        <v>5</v>
      </c>
      <c r="F3308" s="8" t="str">
        <f aca="false">IF(E3308&gt;=9,"Promoter",IF(E3308&gt;=7,"Passive","Detractor"))</f>
        <v>Detractor</v>
      </c>
    </row>
    <row r="3309" customFormat="false" ht="15" hidden="false" customHeight="false" outlineLevel="0" collapsed="false">
      <c r="A3309" s="8" t="s">
        <v>7943</v>
      </c>
      <c r="B3309" s="8" t="s">
        <v>2912</v>
      </c>
      <c r="C3309" s="8" t="s">
        <v>51</v>
      </c>
      <c r="D3309" s="32" t="n">
        <v>46221</v>
      </c>
      <c r="E3309" s="8" t="n">
        <v>8</v>
      </c>
      <c r="F3309" s="8" t="str">
        <f aca="false">IF(E3309&gt;=9,"Promoter",IF(E3309&gt;=7,"Passive","Detractor"))</f>
        <v>Passive</v>
      </c>
    </row>
    <row r="3310" customFormat="false" ht="15" hidden="false" customHeight="false" outlineLevel="0" collapsed="false">
      <c r="A3310" s="8" t="s">
        <v>7944</v>
      </c>
      <c r="B3310" s="8" t="s">
        <v>4328</v>
      </c>
      <c r="C3310" s="8" t="s">
        <v>51</v>
      </c>
      <c r="D3310" s="32" t="n">
        <v>46221</v>
      </c>
      <c r="E3310" s="8" t="n">
        <v>6</v>
      </c>
      <c r="F3310" s="8" t="str">
        <f aca="false">IF(E3310&gt;=9,"Promoter",IF(E3310&gt;=7,"Passive","Detractor"))</f>
        <v>Detractor</v>
      </c>
    </row>
    <row r="3311" customFormat="false" ht="15" hidden="false" customHeight="false" outlineLevel="0" collapsed="false">
      <c r="A3311" s="8" t="s">
        <v>7945</v>
      </c>
      <c r="B3311" s="8" t="s">
        <v>725</v>
      </c>
      <c r="C3311" s="8" t="s">
        <v>53</v>
      </c>
      <c r="D3311" s="32" t="n">
        <v>46221</v>
      </c>
      <c r="E3311" s="8" t="n">
        <v>10</v>
      </c>
      <c r="F3311" s="8" t="str">
        <f aca="false">IF(E3311&gt;=9,"Promoter",IF(E3311&gt;=7,"Passive","Detractor"))</f>
        <v>Promoter</v>
      </c>
    </row>
    <row r="3312" customFormat="false" ht="15" hidden="false" customHeight="false" outlineLevel="0" collapsed="false">
      <c r="A3312" s="8" t="s">
        <v>7946</v>
      </c>
      <c r="B3312" s="8" t="s">
        <v>3824</v>
      </c>
      <c r="C3312" s="8" t="s">
        <v>51</v>
      </c>
      <c r="D3312" s="32" t="n">
        <v>46221</v>
      </c>
      <c r="E3312" s="8" t="n">
        <v>5</v>
      </c>
      <c r="F3312" s="8" t="str">
        <f aca="false">IF(E3312&gt;=9,"Promoter",IF(E3312&gt;=7,"Passive","Detractor"))</f>
        <v>Detractor</v>
      </c>
    </row>
    <row r="3313" customFormat="false" ht="15" hidden="false" customHeight="false" outlineLevel="0" collapsed="false">
      <c r="A3313" s="8" t="s">
        <v>7947</v>
      </c>
      <c r="B3313" s="8" t="s">
        <v>2882</v>
      </c>
      <c r="C3313" s="8" t="s">
        <v>51</v>
      </c>
      <c r="D3313" s="32" t="n">
        <v>46221</v>
      </c>
      <c r="E3313" s="8" t="n">
        <v>6</v>
      </c>
      <c r="F3313" s="8" t="str">
        <f aca="false">IF(E3313&gt;=9,"Promoter",IF(E3313&gt;=7,"Passive","Detractor"))</f>
        <v>Detractor</v>
      </c>
    </row>
    <row r="3314" customFormat="false" ht="15" hidden="false" customHeight="false" outlineLevel="0" collapsed="false">
      <c r="A3314" s="8" t="s">
        <v>7948</v>
      </c>
      <c r="B3314" s="8" t="s">
        <v>397</v>
      </c>
      <c r="C3314" s="8" t="s">
        <v>55</v>
      </c>
      <c r="D3314" s="32" t="n">
        <v>46221</v>
      </c>
      <c r="E3314" s="8" t="n">
        <v>9</v>
      </c>
      <c r="F3314" s="8" t="str">
        <f aca="false">IF(E3314&gt;=9,"Promoter",IF(E3314&gt;=7,"Passive","Detractor"))</f>
        <v>Promoter</v>
      </c>
    </row>
    <row r="3315" customFormat="false" ht="15" hidden="false" customHeight="false" outlineLevel="0" collapsed="false">
      <c r="A3315" s="8" t="s">
        <v>7949</v>
      </c>
      <c r="B3315" s="8" t="s">
        <v>2366</v>
      </c>
      <c r="C3315" s="8" t="s">
        <v>51</v>
      </c>
      <c r="D3315" s="32" t="n">
        <v>46222</v>
      </c>
      <c r="E3315" s="8" t="n">
        <v>10</v>
      </c>
      <c r="F3315" s="8" t="str">
        <f aca="false">IF(E3315&gt;=9,"Promoter",IF(E3315&gt;=7,"Passive","Detractor"))</f>
        <v>Promoter</v>
      </c>
    </row>
    <row r="3316" customFormat="false" ht="15" hidden="false" customHeight="false" outlineLevel="0" collapsed="false">
      <c r="A3316" s="8" t="s">
        <v>7950</v>
      </c>
      <c r="B3316" s="8" t="s">
        <v>431</v>
      </c>
      <c r="C3316" s="8" t="s">
        <v>55</v>
      </c>
      <c r="D3316" s="32" t="n">
        <v>46222</v>
      </c>
      <c r="E3316" s="8" t="n">
        <v>5</v>
      </c>
      <c r="F3316" s="8" t="str">
        <f aca="false">IF(E3316&gt;=9,"Promoter",IF(E3316&gt;=7,"Passive","Detractor"))</f>
        <v>Detractor</v>
      </c>
    </row>
    <row r="3317" customFormat="false" ht="15" hidden="false" customHeight="false" outlineLevel="0" collapsed="false">
      <c r="A3317" s="8" t="s">
        <v>7951</v>
      </c>
      <c r="B3317" s="8" t="s">
        <v>4445</v>
      </c>
      <c r="C3317" s="8" t="s">
        <v>53</v>
      </c>
      <c r="D3317" s="32" t="n">
        <v>46222</v>
      </c>
      <c r="E3317" s="8" t="n">
        <v>3</v>
      </c>
      <c r="F3317" s="8" t="str">
        <f aca="false">IF(E3317&gt;=9,"Promoter",IF(E3317&gt;=7,"Passive","Detractor"))</f>
        <v>Detractor</v>
      </c>
    </row>
    <row r="3318" customFormat="false" ht="15" hidden="false" customHeight="false" outlineLevel="0" collapsed="false">
      <c r="A3318" s="8" t="s">
        <v>7952</v>
      </c>
      <c r="B3318" s="8" t="s">
        <v>3744</v>
      </c>
      <c r="C3318" s="8" t="s">
        <v>51</v>
      </c>
      <c r="D3318" s="32" t="n">
        <v>46222</v>
      </c>
      <c r="E3318" s="8" t="n">
        <v>9</v>
      </c>
      <c r="F3318" s="8" t="str">
        <f aca="false">IF(E3318&gt;=9,"Promoter",IF(E3318&gt;=7,"Passive","Detractor"))</f>
        <v>Promoter</v>
      </c>
    </row>
    <row r="3319" customFormat="false" ht="15" hidden="false" customHeight="false" outlineLevel="0" collapsed="false">
      <c r="A3319" s="8" t="s">
        <v>7953</v>
      </c>
      <c r="B3319" s="8" t="s">
        <v>282</v>
      </c>
      <c r="C3319" s="8" t="s">
        <v>55</v>
      </c>
      <c r="D3319" s="32" t="n">
        <v>46222</v>
      </c>
      <c r="E3319" s="8" t="n">
        <v>6</v>
      </c>
      <c r="F3319" s="8" t="str">
        <f aca="false">IF(E3319&gt;=9,"Promoter",IF(E3319&gt;=7,"Passive","Detractor"))</f>
        <v>Detractor</v>
      </c>
    </row>
    <row r="3320" customFormat="false" ht="15" hidden="false" customHeight="false" outlineLevel="0" collapsed="false">
      <c r="A3320" s="8" t="s">
        <v>7954</v>
      </c>
      <c r="B3320" s="8" t="s">
        <v>1331</v>
      </c>
      <c r="C3320" s="8" t="s">
        <v>53</v>
      </c>
      <c r="D3320" s="32" t="n">
        <v>46222</v>
      </c>
      <c r="E3320" s="8" t="n">
        <v>10</v>
      </c>
      <c r="F3320" s="8" t="str">
        <f aca="false">IF(E3320&gt;=9,"Promoter",IF(E3320&gt;=7,"Passive","Detractor"))</f>
        <v>Promoter</v>
      </c>
    </row>
    <row r="3321" customFormat="false" ht="15" hidden="false" customHeight="false" outlineLevel="0" collapsed="false">
      <c r="A3321" s="8" t="s">
        <v>7955</v>
      </c>
      <c r="B3321" s="8" t="s">
        <v>691</v>
      </c>
      <c r="C3321" s="8" t="s">
        <v>55</v>
      </c>
      <c r="D3321" s="32" t="n">
        <v>46222</v>
      </c>
      <c r="E3321" s="8" t="n">
        <v>8</v>
      </c>
      <c r="F3321" s="8" t="str">
        <f aca="false">IF(E3321&gt;=9,"Promoter",IF(E3321&gt;=7,"Passive","Detractor"))</f>
        <v>Passive</v>
      </c>
    </row>
    <row r="3322" customFormat="false" ht="15" hidden="false" customHeight="false" outlineLevel="0" collapsed="false">
      <c r="A3322" s="8" t="s">
        <v>7956</v>
      </c>
      <c r="B3322" s="8" t="s">
        <v>2312</v>
      </c>
      <c r="C3322" s="8" t="s">
        <v>51</v>
      </c>
      <c r="D3322" s="32" t="n">
        <v>46222</v>
      </c>
      <c r="E3322" s="8" t="n">
        <v>10</v>
      </c>
      <c r="F3322" s="8" t="str">
        <f aca="false">IF(E3322&gt;=9,"Promoter",IF(E3322&gt;=7,"Passive","Detractor"))</f>
        <v>Promoter</v>
      </c>
    </row>
    <row r="3323" customFormat="false" ht="15" hidden="false" customHeight="false" outlineLevel="0" collapsed="false">
      <c r="A3323" s="8" t="s">
        <v>7957</v>
      </c>
      <c r="B3323" s="8" t="s">
        <v>2068</v>
      </c>
      <c r="C3323" s="8" t="s">
        <v>51</v>
      </c>
      <c r="D3323" s="32" t="n">
        <v>46223</v>
      </c>
      <c r="E3323" s="8" t="n">
        <v>10</v>
      </c>
      <c r="F3323" s="8" t="str">
        <f aca="false">IF(E3323&gt;=9,"Promoter",IF(E3323&gt;=7,"Passive","Detractor"))</f>
        <v>Promoter</v>
      </c>
    </row>
    <row r="3324" customFormat="false" ht="15" hidden="false" customHeight="false" outlineLevel="0" collapsed="false">
      <c r="A3324" s="8" t="s">
        <v>7958</v>
      </c>
      <c r="B3324" s="8" t="s">
        <v>787</v>
      </c>
      <c r="C3324" s="8" t="s">
        <v>53</v>
      </c>
      <c r="D3324" s="32" t="n">
        <v>46223</v>
      </c>
      <c r="E3324" s="8" t="n">
        <v>7</v>
      </c>
      <c r="F3324" s="8" t="str">
        <f aca="false">IF(E3324&gt;=9,"Promoter",IF(E3324&gt;=7,"Passive","Detractor"))</f>
        <v>Passive</v>
      </c>
    </row>
    <row r="3325" customFormat="false" ht="15" hidden="false" customHeight="false" outlineLevel="0" collapsed="false">
      <c r="A3325" s="8" t="s">
        <v>7959</v>
      </c>
      <c r="B3325" s="8" t="s">
        <v>1903</v>
      </c>
      <c r="C3325" s="8" t="s">
        <v>51</v>
      </c>
      <c r="D3325" s="32" t="n">
        <v>46223</v>
      </c>
      <c r="E3325" s="8" t="n">
        <v>7</v>
      </c>
      <c r="F3325" s="8" t="str">
        <f aca="false">IF(E3325&gt;=9,"Promoter",IF(E3325&gt;=7,"Passive","Detractor"))</f>
        <v>Passive</v>
      </c>
    </row>
    <row r="3326" customFormat="false" ht="15" hidden="false" customHeight="false" outlineLevel="0" collapsed="false">
      <c r="A3326" s="8" t="s">
        <v>7960</v>
      </c>
      <c r="B3326" s="8" t="s">
        <v>1795</v>
      </c>
      <c r="C3326" s="8" t="s">
        <v>53</v>
      </c>
      <c r="D3326" s="32" t="n">
        <v>46223</v>
      </c>
      <c r="E3326" s="8" t="n">
        <v>5</v>
      </c>
      <c r="F3326" s="8" t="str">
        <f aca="false">IF(E3326&gt;=9,"Promoter",IF(E3326&gt;=7,"Passive","Detractor"))</f>
        <v>Detractor</v>
      </c>
    </row>
    <row r="3327" customFormat="false" ht="15" hidden="false" customHeight="false" outlineLevel="0" collapsed="false">
      <c r="A3327" s="8" t="s">
        <v>7961</v>
      </c>
      <c r="B3327" s="8" t="s">
        <v>877</v>
      </c>
      <c r="C3327" s="8" t="s">
        <v>53</v>
      </c>
      <c r="D3327" s="32" t="n">
        <v>46223</v>
      </c>
      <c r="E3327" s="8" t="n">
        <v>8</v>
      </c>
      <c r="F3327" s="8" t="str">
        <f aca="false">IF(E3327&gt;=9,"Promoter",IF(E3327&gt;=7,"Passive","Detractor"))</f>
        <v>Passive</v>
      </c>
    </row>
    <row r="3328" customFormat="false" ht="15" hidden="false" customHeight="false" outlineLevel="0" collapsed="false">
      <c r="A3328" s="8" t="s">
        <v>7962</v>
      </c>
      <c r="B3328" s="8" t="s">
        <v>1727</v>
      </c>
      <c r="C3328" s="8" t="s">
        <v>53</v>
      </c>
      <c r="D3328" s="32" t="n">
        <v>46223</v>
      </c>
      <c r="E3328" s="8" t="n">
        <v>6</v>
      </c>
      <c r="F3328" s="8" t="str">
        <f aca="false">IF(E3328&gt;=9,"Promoter",IF(E3328&gt;=7,"Passive","Detractor"))</f>
        <v>Detractor</v>
      </c>
    </row>
    <row r="3329" customFormat="false" ht="15" hidden="false" customHeight="false" outlineLevel="0" collapsed="false">
      <c r="A3329" s="8" t="s">
        <v>7963</v>
      </c>
      <c r="B3329" s="8" t="s">
        <v>1807</v>
      </c>
      <c r="C3329" s="8" t="s">
        <v>51</v>
      </c>
      <c r="D3329" s="32" t="n">
        <v>46223</v>
      </c>
      <c r="E3329" s="8" t="n">
        <v>8</v>
      </c>
      <c r="F3329" s="8" t="str">
        <f aca="false">IF(E3329&gt;=9,"Promoter",IF(E3329&gt;=7,"Passive","Detractor"))</f>
        <v>Passive</v>
      </c>
    </row>
    <row r="3330" customFormat="false" ht="15" hidden="false" customHeight="false" outlineLevel="0" collapsed="false">
      <c r="A3330" s="8" t="s">
        <v>7964</v>
      </c>
      <c r="B3330" s="8" t="s">
        <v>4204</v>
      </c>
      <c r="C3330" s="8" t="s">
        <v>51</v>
      </c>
      <c r="D3330" s="32" t="n">
        <v>46223</v>
      </c>
      <c r="E3330" s="8" t="n">
        <v>8</v>
      </c>
      <c r="F3330" s="8" t="str">
        <f aca="false">IF(E3330&gt;=9,"Promoter",IF(E3330&gt;=7,"Passive","Detractor"))</f>
        <v>Passive</v>
      </c>
    </row>
    <row r="3331" customFormat="false" ht="15" hidden="false" customHeight="false" outlineLevel="0" collapsed="false">
      <c r="A3331" s="8" t="s">
        <v>7965</v>
      </c>
      <c r="B3331" s="8" t="s">
        <v>1247</v>
      </c>
      <c r="C3331" s="8" t="s">
        <v>53</v>
      </c>
      <c r="D3331" s="32" t="n">
        <v>46224</v>
      </c>
      <c r="E3331" s="8" t="n">
        <v>8</v>
      </c>
      <c r="F3331" s="8" t="str">
        <f aca="false">IF(E3331&gt;=9,"Promoter",IF(E3331&gt;=7,"Passive","Detractor"))</f>
        <v>Passive</v>
      </c>
    </row>
    <row r="3332" customFormat="false" ht="15" hidden="false" customHeight="false" outlineLevel="0" collapsed="false">
      <c r="A3332" s="8" t="s">
        <v>7966</v>
      </c>
      <c r="B3332" s="8" t="s">
        <v>531</v>
      </c>
      <c r="C3332" s="8" t="s">
        <v>55</v>
      </c>
      <c r="D3332" s="32" t="n">
        <v>46224</v>
      </c>
      <c r="E3332" s="8" t="n">
        <v>9</v>
      </c>
      <c r="F3332" s="8" t="str">
        <f aca="false">IF(E3332&gt;=9,"Promoter",IF(E3332&gt;=7,"Passive","Detractor"))</f>
        <v>Promoter</v>
      </c>
    </row>
    <row r="3333" customFormat="false" ht="15" hidden="false" customHeight="false" outlineLevel="0" collapsed="false">
      <c r="A3333" s="8" t="s">
        <v>7967</v>
      </c>
      <c r="B3333" s="8" t="s">
        <v>769</v>
      </c>
      <c r="C3333" s="8" t="s">
        <v>53</v>
      </c>
      <c r="D3333" s="32" t="n">
        <v>46224</v>
      </c>
      <c r="E3333" s="8" t="n">
        <v>7</v>
      </c>
      <c r="F3333" s="8" t="str">
        <f aca="false">IF(E3333&gt;=9,"Promoter",IF(E3333&gt;=7,"Passive","Detractor"))</f>
        <v>Passive</v>
      </c>
    </row>
    <row r="3334" customFormat="false" ht="15" hidden="false" customHeight="false" outlineLevel="0" collapsed="false">
      <c r="A3334" s="8" t="s">
        <v>7968</v>
      </c>
      <c r="B3334" s="8" t="s">
        <v>4324</v>
      </c>
      <c r="C3334" s="8" t="s">
        <v>51</v>
      </c>
      <c r="D3334" s="32" t="n">
        <v>46224</v>
      </c>
      <c r="E3334" s="8" t="n">
        <v>5</v>
      </c>
      <c r="F3334" s="8" t="str">
        <f aca="false">IF(E3334&gt;=9,"Promoter",IF(E3334&gt;=7,"Passive","Detractor"))</f>
        <v>Detractor</v>
      </c>
    </row>
    <row r="3335" customFormat="false" ht="15" hidden="false" customHeight="false" outlineLevel="0" collapsed="false">
      <c r="A3335" s="8" t="s">
        <v>7969</v>
      </c>
      <c r="B3335" s="8" t="s">
        <v>599</v>
      </c>
      <c r="C3335" s="8" t="s">
        <v>53</v>
      </c>
      <c r="D3335" s="32" t="n">
        <v>46224</v>
      </c>
      <c r="E3335" s="8" t="n">
        <v>8</v>
      </c>
      <c r="F3335" s="8" t="str">
        <f aca="false">IF(E3335&gt;=9,"Promoter",IF(E3335&gt;=7,"Passive","Detractor"))</f>
        <v>Passive</v>
      </c>
    </row>
    <row r="3336" customFormat="false" ht="15" hidden="false" customHeight="false" outlineLevel="0" collapsed="false">
      <c r="A3336" s="8" t="s">
        <v>7970</v>
      </c>
      <c r="B3336" s="8" t="s">
        <v>2280</v>
      </c>
      <c r="C3336" s="8" t="s">
        <v>51</v>
      </c>
      <c r="D3336" s="32" t="n">
        <v>46224</v>
      </c>
      <c r="E3336" s="8" t="n">
        <v>4</v>
      </c>
      <c r="F3336" s="8" t="str">
        <f aca="false">IF(E3336&gt;=9,"Promoter",IF(E3336&gt;=7,"Passive","Detractor"))</f>
        <v>Detractor</v>
      </c>
    </row>
    <row r="3337" customFormat="false" ht="15" hidden="false" customHeight="false" outlineLevel="0" collapsed="false">
      <c r="A3337" s="8" t="s">
        <v>7971</v>
      </c>
      <c r="B3337" s="8" t="s">
        <v>2768</v>
      </c>
      <c r="C3337" s="8" t="s">
        <v>51</v>
      </c>
      <c r="D3337" s="32" t="n">
        <v>46224</v>
      </c>
      <c r="E3337" s="8" t="n">
        <v>8</v>
      </c>
      <c r="F3337" s="8" t="str">
        <f aca="false">IF(E3337&gt;=9,"Promoter",IF(E3337&gt;=7,"Passive","Detractor"))</f>
        <v>Passive</v>
      </c>
    </row>
    <row r="3338" customFormat="false" ht="15" hidden="false" customHeight="false" outlineLevel="0" collapsed="false">
      <c r="A3338" s="8" t="s">
        <v>7972</v>
      </c>
      <c r="B3338" s="8" t="s">
        <v>1343</v>
      </c>
      <c r="C3338" s="8" t="s">
        <v>53</v>
      </c>
      <c r="D3338" s="32" t="n">
        <v>46224</v>
      </c>
      <c r="E3338" s="8" t="n">
        <v>10</v>
      </c>
      <c r="F3338" s="8" t="str">
        <f aca="false">IF(E3338&gt;=9,"Promoter",IF(E3338&gt;=7,"Passive","Detractor"))</f>
        <v>Promoter</v>
      </c>
    </row>
    <row r="3339" customFormat="false" ht="15" hidden="false" customHeight="false" outlineLevel="0" collapsed="false">
      <c r="A3339" s="8" t="s">
        <v>7973</v>
      </c>
      <c r="B3339" s="8" t="s">
        <v>3022</v>
      </c>
      <c r="C3339" s="8" t="s">
        <v>51</v>
      </c>
      <c r="D3339" s="32" t="n">
        <v>46224</v>
      </c>
      <c r="E3339" s="8" t="n">
        <v>8</v>
      </c>
      <c r="F3339" s="8" t="str">
        <f aca="false">IF(E3339&gt;=9,"Promoter",IF(E3339&gt;=7,"Passive","Detractor"))</f>
        <v>Passive</v>
      </c>
    </row>
    <row r="3340" customFormat="false" ht="15" hidden="false" customHeight="false" outlineLevel="0" collapsed="false">
      <c r="A3340" s="8" t="s">
        <v>7974</v>
      </c>
      <c r="B3340" s="8" t="s">
        <v>1999</v>
      </c>
      <c r="C3340" s="8" t="s">
        <v>51</v>
      </c>
      <c r="D3340" s="32" t="n">
        <v>46224</v>
      </c>
      <c r="E3340" s="8" t="n">
        <v>10</v>
      </c>
      <c r="F3340" s="8" t="str">
        <f aca="false">IF(E3340&gt;=9,"Promoter",IF(E3340&gt;=7,"Passive","Detractor"))</f>
        <v>Promoter</v>
      </c>
    </row>
    <row r="3341" customFormat="false" ht="15" hidden="false" customHeight="false" outlineLevel="0" collapsed="false">
      <c r="A3341" s="8" t="s">
        <v>7975</v>
      </c>
      <c r="B3341" s="8" t="s">
        <v>2418</v>
      </c>
      <c r="C3341" s="8" t="s">
        <v>51</v>
      </c>
      <c r="D3341" s="32" t="n">
        <v>46225</v>
      </c>
      <c r="E3341" s="8" t="n">
        <v>10</v>
      </c>
      <c r="F3341" s="8" t="str">
        <f aca="false">IF(E3341&gt;=9,"Promoter",IF(E3341&gt;=7,"Passive","Detractor"))</f>
        <v>Promoter</v>
      </c>
    </row>
    <row r="3342" customFormat="false" ht="15" hidden="false" customHeight="false" outlineLevel="0" collapsed="false">
      <c r="A3342" s="8" t="s">
        <v>7976</v>
      </c>
      <c r="B3342" s="8" t="s">
        <v>3316</v>
      </c>
      <c r="C3342" s="8" t="s">
        <v>51</v>
      </c>
      <c r="D3342" s="32" t="n">
        <v>46225</v>
      </c>
      <c r="E3342" s="8" t="n">
        <v>9</v>
      </c>
      <c r="F3342" s="8" t="str">
        <f aca="false">IF(E3342&gt;=9,"Promoter",IF(E3342&gt;=7,"Passive","Detractor"))</f>
        <v>Promoter</v>
      </c>
    </row>
    <row r="3343" customFormat="false" ht="15" hidden="false" customHeight="false" outlineLevel="0" collapsed="false">
      <c r="A3343" s="8" t="s">
        <v>7977</v>
      </c>
      <c r="B3343" s="8" t="s">
        <v>1309</v>
      </c>
      <c r="C3343" s="8" t="s">
        <v>53</v>
      </c>
      <c r="D3343" s="32" t="n">
        <v>46225</v>
      </c>
      <c r="E3343" s="8" t="n">
        <v>7</v>
      </c>
      <c r="F3343" s="8" t="str">
        <f aca="false">IF(E3343&gt;=9,"Promoter",IF(E3343&gt;=7,"Passive","Detractor"))</f>
        <v>Passive</v>
      </c>
    </row>
    <row r="3344" customFormat="false" ht="15" hidden="false" customHeight="false" outlineLevel="0" collapsed="false">
      <c r="A3344" s="8" t="s">
        <v>7978</v>
      </c>
      <c r="B3344" s="8" t="s">
        <v>3394</v>
      </c>
      <c r="C3344" s="8" t="s">
        <v>51</v>
      </c>
      <c r="D3344" s="32" t="n">
        <v>46225</v>
      </c>
      <c r="E3344" s="8" t="n">
        <v>7</v>
      </c>
      <c r="F3344" s="8" t="str">
        <f aca="false">IF(E3344&gt;=9,"Promoter",IF(E3344&gt;=7,"Passive","Detractor"))</f>
        <v>Passive</v>
      </c>
    </row>
    <row r="3345" customFormat="false" ht="15" hidden="false" customHeight="false" outlineLevel="0" collapsed="false">
      <c r="A3345" s="8" t="s">
        <v>7979</v>
      </c>
      <c r="B3345" s="8" t="s">
        <v>3960</v>
      </c>
      <c r="C3345" s="8" t="s">
        <v>51</v>
      </c>
      <c r="D3345" s="32" t="n">
        <v>46225</v>
      </c>
      <c r="E3345" s="8" t="n">
        <v>6</v>
      </c>
      <c r="F3345" s="8" t="str">
        <f aca="false">IF(E3345&gt;=9,"Promoter",IF(E3345&gt;=7,"Passive","Detractor"))</f>
        <v>Detractor</v>
      </c>
    </row>
    <row r="3346" customFormat="false" ht="15" hidden="false" customHeight="false" outlineLevel="0" collapsed="false">
      <c r="A3346" s="8" t="s">
        <v>7980</v>
      </c>
      <c r="B3346" s="8" t="s">
        <v>3556</v>
      </c>
      <c r="C3346" s="8" t="s">
        <v>51</v>
      </c>
      <c r="D3346" s="32" t="n">
        <v>46225</v>
      </c>
      <c r="E3346" s="8" t="n">
        <v>9</v>
      </c>
      <c r="F3346" s="8" t="str">
        <f aca="false">IF(E3346&gt;=9,"Promoter",IF(E3346&gt;=7,"Passive","Detractor"))</f>
        <v>Promoter</v>
      </c>
    </row>
    <row r="3347" customFormat="false" ht="15" hidden="false" customHeight="false" outlineLevel="0" collapsed="false">
      <c r="A3347" s="8" t="s">
        <v>7981</v>
      </c>
      <c r="B3347" s="8" t="s">
        <v>2856</v>
      </c>
      <c r="C3347" s="8" t="s">
        <v>51</v>
      </c>
      <c r="D3347" s="32" t="n">
        <v>46225</v>
      </c>
      <c r="E3347" s="8" t="n">
        <v>7</v>
      </c>
      <c r="F3347" s="8" t="str">
        <f aca="false">IF(E3347&gt;=9,"Promoter",IF(E3347&gt;=7,"Passive","Detractor"))</f>
        <v>Passive</v>
      </c>
    </row>
    <row r="3348" customFormat="false" ht="15" hidden="false" customHeight="false" outlineLevel="0" collapsed="false">
      <c r="A3348" s="8" t="s">
        <v>7982</v>
      </c>
      <c r="B3348" s="8" t="s">
        <v>3884</v>
      </c>
      <c r="C3348" s="8" t="s">
        <v>51</v>
      </c>
      <c r="D3348" s="32" t="n">
        <v>46225</v>
      </c>
      <c r="E3348" s="8" t="n">
        <v>10</v>
      </c>
      <c r="F3348" s="8" t="str">
        <f aca="false">IF(E3348&gt;=9,"Promoter",IF(E3348&gt;=7,"Passive","Detractor"))</f>
        <v>Promoter</v>
      </c>
    </row>
    <row r="3349" customFormat="false" ht="15" hidden="false" customHeight="false" outlineLevel="0" collapsed="false">
      <c r="A3349" s="8" t="s">
        <v>7983</v>
      </c>
      <c r="B3349" s="8" t="s">
        <v>4006</v>
      </c>
      <c r="C3349" s="8" t="s">
        <v>51</v>
      </c>
      <c r="D3349" s="32" t="n">
        <v>46225</v>
      </c>
      <c r="E3349" s="8" t="n">
        <v>9</v>
      </c>
      <c r="F3349" s="8" t="str">
        <f aca="false">IF(E3349&gt;=9,"Promoter",IF(E3349&gt;=7,"Passive","Detractor"))</f>
        <v>Promoter</v>
      </c>
    </row>
    <row r="3350" customFormat="false" ht="15" hidden="false" customHeight="false" outlineLevel="0" collapsed="false">
      <c r="A3350" s="8" t="s">
        <v>7984</v>
      </c>
      <c r="B3350" s="8" t="s">
        <v>3636</v>
      </c>
      <c r="C3350" s="8" t="s">
        <v>51</v>
      </c>
      <c r="D3350" s="32" t="n">
        <v>46225</v>
      </c>
      <c r="E3350" s="8" t="n">
        <v>2</v>
      </c>
      <c r="F3350" s="8" t="str">
        <f aca="false">IF(E3350&gt;=9,"Promoter",IF(E3350&gt;=7,"Passive","Detractor"))</f>
        <v>Detractor</v>
      </c>
    </row>
    <row r="3351" customFormat="false" ht="15" hidden="false" customHeight="false" outlineLevel="0" collapsed="false">
      <c r="A3351" s="8" t="s">
        <v>7985</v>
      </c>
      <c r="B3351" s="8" t="s">
        <v>4368</v>
      </c>
      <c r="C3351" s="8" t="s">
        <v>51</v>
      </c>
      <c r="D3351" s="32" t="n">
        <v>46225</v>
      </c>
      <c r="E3351" s="8" t="n">
        <v>7</v>
      </c>
      <c r="F3351" s="8" t="str">
        <f aca="false">IF(E3351&gt;=9,"Promoter",IF(E3351&gt;=7,"Passive","Detractor"))</f>
        <v>Passive</v>
      </c>
    </row>
    <row r="3352" customFormat="false" ht="15" hidden="false" customHeight="false" outlineLevel="0" collapsed="false">
      <c r="A3352" s="8" t="s">
        <v>7986</v>
      </c>
      <c r="B3352" s="8" t="s">
        <v>433</v>
      </c>
      <c r="C3352" s="8" t="s">
        <v>55</v>
      </c>
      <c r="D3352" s="32" t="n">
        <v>46225</v>
      </c>
      <c r="E3352" s="8" t="n">
        <v>8</v>
      </c>
      <c r="F3352" s="8" t="str">
        <f aca="false">IF(E3352&gt;=9,"Promoter",IF(E3352&gt;=7,"Passive","Detractor"))</f>
        <v>Passive</v>
      </c>
    </row>
    <row r="3353" customFormat="false" ht="15" hidden="false" customHeight="false" outlineLevel="0" collapsed="false">
      <c r="A3353" s="8" t="s">
        <v>7987</v>
      </c>
      <c r="B3353" s="8" t="s">
        <v>749</v>
      </c>
      <c r="C3353" s="8" t="s">
        <v>55</v>
      </c>
      <c r="D3353" s="32" t="n">
        <v>46225</v>
      </c>
      <c r="E3353" s="8" t="n">
        <v>7</v>
      </c>
      <c r="F3353" s="8" t="str">
        <f aca="false">IF(E3353&gt;=9,"Promoter",IF(E3353&gt;=7,"Passive","Detractor"))</f>
        <v>Passive</v>
      </c>
    </row>
    <row r="3354" customFormat="false" ht="15" hidden="false" customHeight="false" outlineLevel="0" collapsed="false">
      <c r="A3354" s="8" t="s">
        <v>7988</v>
      </c>
      <c r="B3354" s="8" t="s">
        <v>1759</v>
      </c>
      <c r="C3354" s="8" t="s">
        <v>51</v>
      </c>
      <c r="D3354" s="32" t="n">
        <v>46225</v>
      </c>
      <c r="E3354" s="8" t="n">
        <v>10</v>
      </c>
      <c r="F3354" s="8" t="str">
        <f aca="false">IF(E3354&gt;=9,"Promoter",IF(E3354&gt;=7,"Passive","Detractor"))</f>
        <v>Promoter</v>
      </c>
    </row>
    <row r="3355" customFormat="false" ht="15" hidden="false" customHeight="false" outlineLevel="0" collapsed="false">
      <c r="A3355" s="8" t="s">
        <v>7989</v>
      </c>
      <c r="B3355" s="8" t="s">
        <v>2966</v>
      </c>
      <c r="C3355" s="8" t="s">
        <v>51</v>
      </c>
      <c r="D3355" s="32" t="n">
        <v>46225</v>
      </c>
      <c r="E3355" s="8" t="n">
        <v>10</v>
      </c>
      <c r="F3355" s="8" t="str">
        <f aca="false">IF(E3355&gt;=9,"Promoter",IF(E3355&gt;=7,"Passive","Detractor"))</f>
        <v>Promoter</v>
      </c>
    </row>
    <row r="3356" customFormat="false" ht="15" hidden="false" customHeight="false" outlineLevel="0" collapsed="false">
      <c r="A3356" s="8" t="s">
        <v>7990</v>
      </c>
      <c r="B3356" s="8" t="s">
        <v>751</v>
      </c>
      <c r="C3356" s="8" t="s">
        <v>53</v>
      </c>
      <c r="D3356" s="32" t="n">
        <v>46226</v>
      </c>
      <c r="E3356" s="8" t="n">
        <v>10</v>
      </c>
      <c r="F3356" s="8" t="str">
        <f aca="false">IF(E3356&gt;=9,"Promoter",IF(E3356&gt;=7,"Passive","Detractor"))</f>
        <v>Promoter</v>
      </c>
    </row>
    <row r="3357" customFormat="false" ht="15" hidden="false" customHeight="false" outlineLevel="0" collapsed="false">
      <c r="A3357" s="8" t="s">
        <v>7991</v>
      </c>
      <c r="B3357" s="8" t="s">
        <v>2490</v>
      </c>
      <c r="C3357" s="8" t="s">
        <v>51</v>
      </c>
      <c r="D3357" s="32" t="n">
        <v>46226</v>
      </c>
      <c r="E3357" s="8" t="n">
        <v>8</v>
      </c>
      <c r="F3357" s="8" t="str">
        <f aca="false">IF(E3357&gt;=9,"Promoter",IF(E3357&gt;=7,"Passive","Detractor"))</f>
        <v>Passive</v>
      </c>
    </row>
    <row r="3358" customFormat="false" ht="15" hidden="false" customHeight="false" outlineLevel="0" collapsed="false">
      <c r="A3358" s="8" t="s">
        <v>7992</v>
      </c>
      <c r="B3358" s="8" t="s">
        <v>4342</v>
      </c>
      <c r="C3358" s="8" t="s">
        <v>51</v>
      </c>
      <c r="D3358" s="32" t="n">
        <v>46226</v>
      </c>
      <c r="E3358" s="8" t="n">
        <v>6</v>
      </c>
      <c r="F3358" s="8" t="str">
        <f aca="false">IF(E3358&gt;=9,"Promoter",IF(E3358&gt;=7,"Passive","Detractor"))</f>
        <v>Detractor</v>
      </c>
    </row>
    <row r="3359" customFormat="false" ht="15" hidden="false" customHeight="false" outlineLevel="0" collapsed="false">
      <c r="A3359" s="8" t="s">
        <v>7993</v>
      </c>
      <c r="B3359" s="8" t="s">
        <v>3700</v>
      </c>
      <c r="C3359" s="8" t="s">
        <v>51</v>
      </c>
      <c r="D3359" s="32" t="n">
        <v>46226</v>
      </c>
      <c r="E3359" s="8" t="n">
        <v>7</v>
      </c>
      <c r="F3359" s="8" t="str">
        <f aca="false">IF(E3359&gt;=9,"Promoter",IF(E3359&gt;=7,"Passive","Detractor"))</f>
        <v>Passive</v>
      </c>
    </row>
    <row r="3360" customFormat="false" ht="15" hidden="false" customHeight="false" outlineLevel="0" collapsed="false">
      <c r="A3360" s="8" t="s">
        <v>7994</v>
      </c>
      <c r="B3360" s="8" t="s">
        <v>3160</v>
      </c>
      <c r="C3360" s="8" t="s">
        <v>51</v>
      </c>
      <c r="D3360" s="32" t="n">
        <v>46226</v>
      </c>
      <c r="E3360" s="8" t="n">
        <v>7</v>
      </c>
      <c r="F3360" s="8" t="str">
        <f aca="false">IF(E3360&gt;=9,"Promoter",IF(E3360&gt;=7,"Passive","Detractor"))</f>
        <v>Passive</v>
      </c>
    </row>
    <row r="3361" customFormat="false" ht="15" hidden="false" customHeight="false" outlineLevel="0" collapsed="false">
      <c r="A3361" s="8" t="s">
        <v>7995</v>
      </c>
      <c r="B3361" s="8" t="s">
        <v>1329</v>
      </c>
      <c r="C3361" s="8" t="s">
        <v>53</v>
      </c>
      <c r="D3361" s="32" t="n">
        <v>46226</v>
      </c>
      <c r="E3361" s="8" t="n">
        <v>7</v>
      </c>
      <c r="F3361" s="8" t="str">
        <f aca="false">IF(E3361&gt;=9,"Promoter",IF(E3361&gt;=7,"Passive","Detractor"))</f>
        <v>Passive</v>
      </c>
    </row>
    <row r="3362" customFormat="false" ht="15" hidden="false" customHeight="false" outlineLevel="0" collapsed="false">
      <c r="A3362" s="8" t="s">
        <v>7996</v>
      </c>
      <c r="B3362" s="8" t="s">
        <v>677</v>
      </c>
      <c r="C3362" s="8" t="s">
        <v>53</v>
      </c>
      <c r="D3362" s="32" t="n">
        <v>46226</v>
      </c>
      <c r="E3362" s="8" t="n">
        <v>7</v>
      </c>
      <c r="F3362" s="8" t="str">
        <f aca="false">IF(E3362&gt;=9,"Promoter",IF(E3362&gt;=7,"Passive","Detractor"))</f>
        <v>Passive</v>
      </c>
    </row>
    <row r="3363" customFormat="false" ht="15" hidden="false" customHeight="false" outlineLevel="0" collapsed="false">
      <c r="A3363" s="8" t="s">
        <v>7997</v>
      </c>
      <c r="B3363" s="8" t="s">
        <v>641</v>
      </c>
      <c r="C3363" s="8" t="s">
        <v>53</v>
      </c>
      <c r="D3363" s="32" t="n">
        <v>46226</v>
      </c>
      <c r="E3363" s="8" t="n">
        <v>10</v>
      </c>
      <c r="F3363" s="8" t="str">
        <f aca="false">IF(E3363&gt;=9,"Promoter",IF(E3363&gt;=7,"Passive","Detractor"))</f>
        <v>Promoter</v>
      </c>
    </row>
    <row r="3364" customFormat="false" ht="15" hidden="false" customHeight="false" outlineLevel="0" collapsed="false">
      <c r="A3364" s="8" t="s">
        <v>7998</v>
      </c>
      <c r="B3364" s="8" t="s">
        <v>1083</v>
      </c>
      <c r="C3364" s="8" t="s">
        <v>53</v>
      </c>
      <c r="D3364" s="32" t="n">
        <v>46226</v>
      </c>
      <c r="E3364" s="8" t="n">
        <v>6</v>
      </c>
      <c r="F3364" s="8" t="str">
        <f aca="false">IF(E3364&gt;=9,"Promoter",IF(E3364&gt;=7,"Passive","Detractor"))</f>
        <v>Detractor</v>
      </c>
    </row>
    <row r="3365" customFormat="false" ht="15" hidden="false" customHeight="false" outlineLevel="0" collapsed="false">
      <c r="A3365" s="8" t="s">
        <v>7999</v>
      </c>
      <c r="B3365" s="8" t="s">
        <v>901</v>
      </c>
      <c r="C3365" s="8" t="s">
        <v>53</v>
      </c>
      <c r="D3365" s="32" t="n">
        <v>46226</v>
      </c>
      <c r="E3365" s="8" t="n">
        <v>9</v>
      </c>
      <c r="F3365" s="8" t="str">
        <f aca="false">IF(E3365&gt;=9,"Promoter",IF(E3365&gt;=7,"Passive","Detractor"))</f>
        <v>Promoter</v>
      </c>
    </row>
    <row r="3366" customFormat="false" ht="15" hidden="false" customHeight="false" outlineLevel="0" collapsed="false">
      <c r="A3366" s="8" t="s">
        <v>8000</v>
      </c>
      <c r="B3366" s="8" t="s">
        <v>3424</v>
      </c>
      <c r="C3366" s="8" t="s">
        <v>51</v>
      </c>
      <c r="D3366" s="32" t="n">
        <v>46226</v>
      </c>
      <c r="E3366" s="8" t="n">
        <v>8</v>
      </c>
      <c r="F3366" s="8" t="str">
        <f aca="false">IF(E3366&gt;=9,"Promoter",IF(E3366&gt;=7,"Passive","Detractor"))</f>
        <v>Passive</v>
      </c>
    </row>
    <row r="3367" customFormat="false" ht="15" hidden="false" customHeight="false" outlineLevel="0" collapsed="false">
      <c r="A3367" s="8" t="s">
        <v>8001</v>
      </c>
      <c r="B3367" s="8" t="s">
        <v>879</v>
      </c>
      <c r="C3367" s="8" t="s">
        <v>53</v>
      </c>
      <c r="D3367" s="32" t="n">
        <v>46226</v>
      </c>
      <c r="E3367" s="8" t="n">
        <v>9</v>
      </c>
      <c r="F3367" s="8" t="str">
        <f aca="false">IF(E3367&gt;=9,"Promoter",IF(E3367&gt;=7,"Passive","Detractor"))</f>
        <v>Promoter</v>
      </c>
    </row>
    <row r="3368" customFormat="false" ht="15" hidden="false" customHeight="false" outlineLevel="0" collapsed="false">
      <c r="A3368" s="8" t="s">
        <v>8002</v>
      </c>
      <c r="B3368" s="8" t="s">
        <v>1427</v>
      </c>
      <c r="C3368" s="8" t="s">
        <v>53</v>
      </c>
      <c r="D3368" s="32" t="n">
        <v>46226</v>
      </c>
      <c r="E3368" s="8" t="n">
        <v>5</v>
      </c>
      <c r="F3368" s="8" t="str">
        <f aca="false">IF(E3368&gt;=9,"Promoter",IF(E3368&gt;=7,"Passive","Detractor"))</f>
        <v>Detractor</v>
      </c>
    </row>
    <row r="3369" customFormat="false" ht="15" hidden="false" customHeight="false" outlineLevel="0" collapsed="false">
      <c r="A3369" s="8" t="s">
        <v>8003</v>
      </c>
      <c r="B3369" s="8" t="s">
        <v>1049</v>
      </c>
      <c r="C3369" s="8" t="s">
        <v>53</v>
      </c>
      <c r="D3369" s="32" t="n">
        <v>46226</v>
      </c>
      <c r="E3369" s="8" t="n">
        <v>8</v>
      </c>
      <c r="F3369" s="8" t="str">
        <f aca="false">IF(E3369&gt;=9,"Promoter",IF(E3369&gt;=7,"Passive","Detractor"))</f>
        <v>Passive</v>
      </c>
    </row>
    <row r="3370" customFormat="false" ht="15" hidden="false" customHeight="false" outlineLevel="0" collapsed="false">
      <c r="A3370" s="8" t="s">
        <v>8004</v>
      </c>
      <c r="B3370" s="8" t="s">
        <v>8005</v>
      </c>
      <c r="C3370" s="8" t="s">
        <v>53</v>
      </c>
      <c r="D3370" s="32" t="n">
        <v>46226</v>
      </c>
      <c r="E3370" s="8" t="n">
        <v>7</v>
      </c>
      <c r="F3370" s="8" t="str">
        <f aca="false">IF(E3370&gt;=9,"Promoter",IF(E3370&gt;=7,"Passive","Detractor"))</f>
        <v>Passive</v>
      </c>
    </row>
    <row r="3371" customFormat="false" ht="15" hidden="false" customHeight="false" outlineLevel="0" collapsed="false">
      <c r="A3371" s="8" t="s">
        <v>8006</v>
      </c>
      <c r="B3371" s="8" t="s">
        <v>1599</v>
      </c>
      <c r="C3371" s="8" t="s">
        <v>53</v>
      </c>
      <c r="D3371" s="32" t="n">
        <v>46226</v>
      </c>
      <c r="E3371" s="8" t="n">
        <v>6</v>
      </c>
      <c r="F3371" s="8" t="str">
        <f aca="false">IF(E3371&gt;=9,"Promoter",IF(E3371&gt;=7,"Passive","Detractor"))</f>
        <v>Detractor</v>
      </c>
    </row>
    <row r="3372" customFormat="false" ht="15" hidden="false" customHeight="false" outlineLevel="0" collapsed="false">
      <c r="A3372" s="8" t="s">
        <v>8007</v>
      </c>
      <c r="B3372" s="8" t="s">
        <v>2486</v>
      </c>
      <c r="C3372" s="8" t="s">
        <v>51</v>
      </c>
      <c r="D3372" s="32" t="n">
        <v>46227</v>
      </c>
      <c r="E3372" s="8" t="n">
        <v>10</v>
      </c>
      <c r="F3372" s="8" t="str">
        <f aca="false">IF(E3372&gt;=9,"Promoter",IF(E3372&gt;=7,"Passive","Detractor"))</f>
        <v>Promoter</v>
      </c>
    </row>
    <row r="3373" customFormat="false" ht="15" hidden="false" customHeight="false" outlineLevel="0" collapsed="false">
      <c r="A3373" s="8" t="s">
        <v>8008</v>
      </c>
      <c r="B3373" s="8" t="s">
        <v>250</v>
      </c>
      <c r="C3373" s="8" t="s">
        <v>55</v>
      </c>
      <c r="D3373" s="32" t="n">
        <v>46227</v>
      </c>
      <c r="E3373" s="8" t="n">
        <v>9</v>
      </c>
      <c r="F3373" s="8" t="str">
        <f aca="false">IF(E3373&gt;=9,"Promoter",IF(E3373&gt;=7,"Passive","Detractor"))</f>
        <v>Promoter</v>
      </c>
    </row>
    <row r="3374" customFormat="false" ht="15" hidden="false" customHeight="false" outlineLevel="0" collapsed="false">
      <c r="A3374" s="8" t="s">
        <v>8009</v>
      </c>
      <c r="B3374" s="8" t="s">
        <v>1235</v>
      </c>
      <c r="C3374" s="8" t="s">
        <v>53</v>
      </c>
      <c r="D3374" s="32" t="n">
        <v>46227</v>
      </c>
      <c r="E3374" s="8" t="n">
        <v>9</v>
      </c>
      <c r="F3374" s="8" t="str">
        <f aca="false">IF(E3374&gt;=9,"Promoter",IF(E3374&gt;=7,"Passive","Detractor"))</f>
        <v>Promoter</v>
      </c>
    </row>
    <row r="3375" customFormat="false" ht="15" hidden="false" customHeight="false" outlineLevel="0" collapsed="false">
      <c r="A3375" s="8" t="s">
        <v>8010</v>
      </c>
      <c r="B3375" s="8" t="s">
        <v>977</v>
      </c>
      <c r="C3375" s="8" t="s">
        <v>53</v>
      </c>
      <c r="D3375" s="32" t="n">
        <v>46227</v>
      </c>
      <c r="E3375" s="8" t="n">
        <v>10</v>
      </c>
      <c r="F3375" s="8" t="str">
        <f aca="false">IF(E3375&gt;=9,"Promoter",IF(E3375&gt;=7,"Passive","Detractor"))</f>
        <v>Promoter</v>
      </c>
    </row>
    <row r="3376" customFormat="false" ht="15" hidden="false" customHeight="false" outlineLevel="0" collapsed="false">
      <c r="A3376" s="8" t="s">
        <v>8011</v>
      </c>
      <c r="B3376" s="8" t="s">
        <v>2406</v>
      </c>
      <c r="C3376" s="8" t="s">
        <v>51</v>
      </c>
      <c r="D3376" s="32" t="n">
        <v>46227</v>
      </c>
      <c r="E3376" s="8" t="n">
        <v>10</v>
      </c>
      <c r="F3376" s="8" t="str">
        <f aca="false">IF(E3376&gt;=9,"Promoter",IF(E3376&gt;=7,"Passive","Detractor"))</f>
        <v>Promoter</v>
      </c>
    </row>
    <row r="3377" customFormat="false" ht="15" hidden="false" customHeight="false" outlineLevel="0" collapsed="false">
      <c r="A3377" s="8" t="s">
        <v>8012</v>
      </c>
      <c r="B3377" s="8" t="s">
        <v>1947</v>
      </c>
      <c r="C3377" s="8" t="s">
        <v>51</v>
      </c>
      <c r="D3377" s="32" t="n">
        <v>46227</v>
      </c>
      <c r="E3377" s="8" t="n">
        <v>6</v>
      </c>
      <c r="F3377" s="8" t="str">
        <f aca="false">IF(E3377&gt;=9,"Promoter",IF(E3377&gt;=7,"Passive","Detractor"))</f>
        <v>Detractor</v>
      </c>
    </row>
    <row r="3378" customFormat="false" ht="15" hidden="false" customHeight="false" outlineLevel="0" collapsed="false">
      <c r="A3378" s="8" t="s">
        <v>8013</v>
      </c>
      <c r="B3378" s="8" t="s">
        <v>2540</v>
      </c>
      <c r="C3378" s="8" t="s">
        <v>51</v>
      </c>
      <c r="D3378" s="32" t="n">
        <v>46227</v>
      </c>
      <c r="E3378" s="8" t="n">
        <v>10</v>
      </c>
      <c r="F3378" s="8" t="str">
        <f aca="false">IF(E3378&gt;=9,"Promoter",IF(E3378&gt;=7,"Passive","Detractor"))</f>
        <v>Promoter</v>
      </c>
    </row>
    <row r="3379" customFormat="false" ht="15" hidden="false" customHeight="false" outlineLevel="0" collapsed="false">
      <c r="A3379" s="8" t="s">
        <v>8014</v>
      </c>
      <c r="B3379" s="8" t="s">
        <v>1853</v>
      </c>
      <c r="C3379" s="8" t="s">
        <v>51</v>
      </c>
      <c r="D3379" s="32" t="n">
        <v>46227</v>
      </c>
      <c r="E3379" s="8" t="n">
        <v>8</v>
      </c>
      <c r="F3379" s="8" t="str">
        <f aca="false">IF(E3379&gt;=9,"Promoter",IF(E3379&gt;=7,"Passive","Detractor"))</f>
        <v>Passive</v>
      </c>
    </row>
    <row r="3380" customFormat="false" ht="15" hidden="false" customHeight="false" outlineLevel="0" collapsed="false">
      <c r="A3380" s="8" t="s">
        <v>8015</v>
      </c>
      <c r="B3380" s="8" t="s">
        <v>3408</v>
      </c>
      <c r="C3380" s="8" t="s">
        <v>51</v>
      </c>
      <c r="D3380" s="32" t="n">
        <v>46227</v>
      </c>
      <c r="E3380" s="8" t="n">
        <v>7</v>
      </c>
      <c r="F3380" s="8" t="str">
        <f aca="false">IF(E3380&gt;=9,"Promoter",IF(E3380&gt;=7,"Passive","Detractor"))</f>
        <v>Passive</v>
      </c>
    </row>
    <row r="3381" customFormat="false" ht="15" hidden="false" customHeight="false" outlineLevel="0" collapsed="false">
      <c r="A3381" s="8" t="s">
        <v>8016</v>
      </c>
      <c r="B3381" s="8" t="s">
        <v>2696</v>
      </c>
      <c r="C3381" s="8" t="s">
        <v>51</v>
      </c>
      <c r="D3381" s="32" t="n">
        <v>46227</v>
      </c>
      <c r="E3381" s="8" t="n">
        <v>10</v>
      </c>
      <c r="F3381" s="8" t="str">
        <f aca="false">IF(E3381&gt;=9,"Promoter",IF(E3381&gt;=7,"Passive","Detractor"))</f>
        <v>Promoter</v>
      </c>
    </row>
    <row r="3382" customFormat="false" ht="15" hidden="false" customHeight="false" outlineLevel="0" collapsed="false">
      <c r="A3382" s="8" t="s">
        <v>8017</v>
      </c>
      <c r="B3382" s="8" t="s">
        <v>1379</v>
      </c>
      <c r="C3382" s="8" t="s">
        <v>53</v>
      </c>
      <c r="D3382" s="32" t="n">
        <v>46227</v>
      </c>
      <c r="E3382" s="8" t="n">
        <v>10</v>
      </c>
      <c r="F3382" s="8" t="str">
        <f aca="false">IF(E3382&gt;=9,"Promoter",IF(E3382&gt;=7,"Passive","Detractor"))</f>
        <v>Promoter</v>
      </c>
    </row>
    <row r="3383" customFormat="false" ht="15" hidden="false" customHeight="false" outlineLevel="0" collapsed="false">
      <c r="A3383" s="8" t="s">
        <v>8018</v>
      </c>
      <c r="B3383" s="8" t="s">
        <v>2766</v>
      </c>
      <c r="C3383" s="8" t="s">
        <v>51</v>
      </c>
      <c r="D3383" s="32" t="n">
        <v>46227</v>
      </c>
      <c r="E3383" s="8" t="n">
        <v>10</v>
      </c>
      <c r="F3383" s="8" t="str">
        <f aca="false">IF(E3383&gt;=9,"Promoter",IF(E3383&gt;=7,"Passive","Detractor"))</f>
        <v>Promoter</v>
      </c>
    </row>
    <row r="3384" customFormat="false" ht="15" hidden="false" customHeight="false" outlineLevel="0" collapsed="false">
      <c r="A3384" s="8" t="s">
        <v>8019</v>
      </c>
      <c r="B3384" s="8" t="s">
        <v>765</v>
      </c>
      <c r="C3384" s="8" t="s">
        <v>53</v>
      </c>
      <c r="D3384" s="32" t="n">
        <v>46227</v>
      </c>
      <c r="E3384" s="8" t="n">
        <v>10</v>
      </c>
      <c r="F3384" s="8" t="str">
        <f aca="false">IF(E3384&gt;=9,"Promoter",IF(E3384&gt;=7,"Passive","Detractor"))</f>
        <v>Promoter</v>
      </c>
    </row>
    <row r="3385" customFormat="false" ht="15" hidden="false" customHeight="false" outlineLevel="0" collapsed="false">
      <c r="A3385" s="8" t="s">
        <v>8020</v>
      </c>
      <c r="B3385" s="8" t="s">
        <v>527</v>
      </c>
      <c r="C3385" s="8" t="s">
        <v>55</v>
      </c>
      <c r="D3385" s="32" t="n">
        <v>46227</v>
      </c>
      <c r="E3385" s="8" t="n">
        <v>9</v>
      </c>
      <c r="F3385" s="8" t="str">
        <f aca="false">IF(E3385&gt;=9,"Promoter",IF(E3385&gt;=7,"Passive","Detractor"))</f>
        <v>Promoter</v>
      </c>
    </row>
    <row r="3386" customFormat="false" ht="15" hidden="false" customHeight="false" outlineLevel="0" collapsed="false">
      <c r="A3386" s="8" t="s">
        <v>8021</v>
      </c>
      <c r="B3386" s="8" t="s">
        <v>1809</v>
      </c>
      <c r="C3386" s="8" t="s">
        <v>51</v>
      </c>
      <c r="D3386" s="32" t="n">
        <v>46227</v>
      </c>
      <c r="E3386" s="8" t="n">
        <v>7</v>
      </c>
      <c r="F3386" s="8" t="str">
        <f aca="false">IF(E3386&gt;=9,"Promoter",IF(E3386&gt;=7,"Passive","Detractor"))</f>
        <v>Passive</v>
      </c>
    </row>
    <row r="3387" customFormat="false" ht="15" hidden="false" customHeight="false" outlineLevel="0" collapsed="false">
      <c r="A3387" s="8" t="s">
        <v>8022</v>
      </c>
      <c r="B3387" s="8" t="s">
        <v>3656</v>
      </c>
      <c r="C3387" s="8" t="s">
        <v>51</v>
      </c>
      <c r="D3387" s="32" t="n">
        <v>46228</v>
      </c>
      <c r="E3387" s="8" t="n">
        <v>6</v>
      </c>
      <c r="F3387" s="8" t="str">
        <f aca="false">IF(E3387&gt;=9,"Promoter",IF(E3387&gt;=7,"Passive","Detractor"))</f>
        <v>Detractor</v>
      </c>
    </row>
    <row r="3388" customFormat="false" ht="15" hidden="false" customHeight="false" outlineLevel="0" collapsed="false">
      <c r="A3388" s="8" t="s">
        <v>8023</v>
      </c>
      <c r="B3388" s="8" t="s">
        <v>2984</v>
      </c>
      <c r="C3388" s="8" t="s">
        <v>51</v>
      </c>
      <c r="D3388" s="32" t="n">
        <v>46228</v>
      </c>
      <c r="E3388" s="8" t="n">
        <v>9</v>
      </c>
      <c r="F3388" s="8" t="str">
        <f aca="false">IF(E3388&gt;=9,"Promoter",IF(E3388&gt;=7,"Passive","Detractor"))</f>
        <v>Promoter</v>
      </c>
    </row>
    <row r="3389" customFormat="false" ht="15" hidden="false" customHeight="false" outlineLevel="0" collapsed="false">
      <c r="A3389" s="8" t="s">
        <v>8024</v>
      </c>
      <c r="B3389" s="8" t="s">
        <v>3868</v>
      </c>
      <c r="C3389" s="8" t="s">
        <v>51</v>
      </c>
      <c r="D3389" s="32" t="n">
        <v>46228</v>
      </c>
      <c r="E3389" s="8" t="n">
        <v>5</v>
      </c>
      <c r="F3389" s="8" t="str">
        <f aca="false">IF(E3389&gt;=9,"Promoter",IF(E3389&gt;=7,"Passive","Detractor"))</f>
        <v>Detractor</v>
      </c>
    </row>
    <row r="3390" customFormat="false" ht="15" hidden="false" customHeight="false" outlineLevel="0" collapsed="false">
      <c r="A3390" s="8" t="s">
        <v>8025</v>
      </c>
      <c r="B3390" s="8" t="s">
        <v>721</v>
      </c>
      <c r="C3390" s="8" t="s">
        <v>53</v>
      </c>
      <c r="D3390" s="32" t="n">
        <v>46228</v>
      </c>
      <c r="E3390" s="8" t="n">
        <v>10</v>
      </c>
      <c r="F3390" s="8" t="str">
        <f aca="false">IF(E3390&gt;=9,"Promoter",IF(E3390&gt;=7,"Passive","Detractor"))</f>
        <v>Promoter</v>
      </c>
    </row>
    <row r="3391" customFormat="false" ht="15" hidden="false" customHeight="false" outlineLevel="0" collapsed="false">
      <c r="A3391" s="8" t="s">
        <v>8026</v>
      </c>
      <c r="B3391" s="8" t="s">
        <v>1457</v>
      </c>
      <c r="C3391" s="8" t="s">
        <v>53</v>
      </c>
      <c r="D3391" s="32" t="n">
        <v>46228</v>
      </c>
      <c r="E3391" s="8" t="n">
        <v>6</v>
      </c>
      <c r="F3391" s="8" t="str">
        <f aca="false">IF(E3391&gt;=9,"Promoter",IF(E3391&gt;=7,"Passive","Detractor"))</f>
        <v>Detractor</v>
      </c>
    </row>
    <row r="3392" customFormat="false" ht="15" hidden="false" customHeight="false" outlineLevel="0" collapsed="false">
      <c r="A3392" s="8" t="s">
        <v>8027</v>
      </c>
      <c r="B3392" s="8" t="s">
        <v>2290</v>
      </c>
      <c r="C3392" s="8" t="s">
        <v>51</v>
      </c>
      <c r="D3392" s="32" t="n">
        <v>46228</v>
      </c>
      <c r="E3392" s="8" t="n">
        <v>9</v>
      </c>
      <c r="F3392" s="8" t="str">
        <f aca="false">IF(E3392&gt;=9,"Promoter",IF(E3392&gt;=7,"Passive","Detractor"))</f>
        <v>Promoter</v>
      </c>
    </row>
    <row r="3393" customFormat="false" ht="15" hidden="false" customHeight="false" outlineLevel="0" collapsed="false">
      <c r="A3393" s="8" t="s">
        <v>8028</v>
      </c>
      <c r="B3393" s="8" t="s">
        <v>4100</v>
      </c>
      <c r="C3393" s="8" t="s">
        <v>51</v>
      </c>
      <c r="D3393" s="32" t="n">
        <v>46228</v>
      </c>
      <c r="E3393" s="8" t="n">
        <v>10</v>
      </c>
      <c r="F3393" s="8" t="str">
        <f aca="false">IF(E3393&gt;=9,"Promoter",IF(E3393&gt;=7,"Passive","Detractor"))</f>
        <v>Promoter</v>
      </c>
    </row>
    <row r="3394" customFormat="false" ht="15" hidden="false" customHeight="false" outlineLevel="0" collapsed="false">
      <c r="A3394" s="8" t="s">
        <v>8029</v>
      </c>
      <c r="B3394" s="8" t="s">
        <v>3476</v>
      </c>
      <c r="C3394" s="8" t="s">
        <v>51</v>
      </c>
      <c r="D3394" s="32" t="n">
        <v>46228</v>
      </c>
      <c r="E3394" s="8" t="n">
        <v>8</v>
      </c>
      <c r="F3394" s="8" t="str">
        <f aca="false">IF(E3394&gt;=9,"Promoter",IF(E3394&gt;=7,"Passive","Detractor"))</f>
        <v>Passive</v>
      </c>
    </row>
    <row r="3395" customFormat="false" ht="15" hidden="false" customHeight="false" outlineLevel="0" collapsed="false">
      <c r="A3395" s="8" t="s">
        <v>8030</v>
      </c>
      <c r="B3395" s="8" t="s">
        <v>1099</v>
      </c>
      <c r="C3395" s="8" t="s">
        <v>53</v>
      </c>
      <c r="D3395" s="32" t="n">
        <v>46228</v>
      </c>
      <c r="E3395" s="8" t="n">
        <v>9</v>
      </c>
      <c r="F3395" s="8" t="str">
        <f aca="false">IF(E3395&gt;=9,"Promoter",IF(E3395&gt;=7,"Passive","Detractor"))</f>
        <v>Promoter</v>
      </c>
    </row>
    <row r="3396" customFormat="false" ht="15" hidden="false" customHeight="false" outlineLevel="0" collapsed="false">
      <c r="A3396" s="8" t="s">
        <v>8031</v>
      </c>
      <c r="B3396" s="8" t="s">
        <v>647</v>
      </c>
      <c r="C3396" s="8" t="s">
        <v>53</v>
      </c>
      <c r="D3396" s="32" t="n">
        <v>46228</v>
      </c>
      <c r="E3396" s="8" t="n">
        <v>6</v>
      </c>
      <c r="F3396" s="8" t="str">
        <f aca="false">IF(E3396&gt;=9,"Promoter",IF(E3396&gt;=7,"Passive","Detractor"))</f>
        <v>Detractor</v>
      </c>
    </row>
    <row r="3397" customFormat="false" ht="15" hidden="false" customHeight="false" outlineLevel="0" collapsed="false">
      <c r="A3397" s="8" t="s">
        <v>8032</v>
      </c>
      <c r="B3397" s="8" t="s">
        <v>3522</v>
      </c>
      <c r="C3397" s="8" t="s">
        <v>51</v>
      </c>
      <c r="D3397" s="32" t="n">
        <v>46228</v>
      </c>
      <c r="E3397" s="8" t="n">
        <v>10</v>
      </c>
      <c r="F3397" s="8" t="str">
        <f aca="false">IF(E3397&gt;=9,"Promoter",IF(E3397&gt;=7,"Passive","Detractor"))</f>
        <v>Promoter</v>
      </c>
    </row>
    <row r="3398" customFormat="false" ht="15" hidden="false" customHeight="false" outlineLevel="0" collapsed="false">
      <c r="A3398" s="8" t="s">
        <v>8033</v>
      </c>
      <c r="B3398" s="8" t="s">
        <v>1333</v>
      </c>
      <c r="C3398" s="8" t="s">
        <v>53</v>
      </c>
      <c r="D3398" s="32" t="n">
        <v>46235</v>
      </c>
      <c r="E3398" s="8" t="n">
        <v>6</v>
      </c>
      <c r="F3398" s="8" t="str">
        <f aca="false">IF(E3398&gt;=9,"Promoter",IF(E3398&gt;=7,"Passive","Detractor"))</f>
        <v>Detractor</v>
      </c>
    </row>
    <row r="3399" customFormat="false" ht="15" hidden="false" customHeight="false" outlineLevel="0" collapsed="false">
      <c r="A3399" s="8" t="s">
        <v>8034</v>
      </c>
      <c r="B3399" s="8" t="s">
        <v>173</v>
      </c>
      <c r="C3399" s="8" t="s">
        <v>55</v>
      </c>
      <c r="D3399" s="32" t="n">
        <v>46235</v>
      </c>
      <c r="E3399" s="8" t="n">
        <v>9</v>
      </c>
      <c r="F3399" s="8" t="str">
        <f aca="false">IF(E3399&gt;=9,"Promoter",IF(E3399&gt;=7,"Passive","Detractor"))</f>
        <v>Promoter</v>
      </c>
    </row>
    <row r="3400" customFormat="false" ht="15" hidden="false" customHeight="false" outlineLevel="0" collapsed="false">
      <c r="A3400" s="8" t="s">
        <v>8035</v>
      </c>
      <c r="B3400" s="8" t="s">
        <v>3852</v>
      </c>
      <c r="C3400" s="8" t="s">
        <v>51</v>
      </c>
      <c r="D3400" s="32" t="n">
        <v>46235</v>
      </c>
      <c r="E3400" s="8" t="n">
        <v>7</v>
      </c>
      <c r="F3400" s="8" t="str">
        <f aca="false">IF(E3400&gt;=9,"Promoter",IF(E3400&gt;=7,"Passive","Detractor"))</f>
        <v>Passive</v>
      </c>
    </row>
    <row r="3401" customFormat="false" ht="15" hidden="false" customHeight="false" outlineLevel="0" collapsed="false">
      <c r="A3401" s="8" t="s">
        <v>8036</v>
      </c>
      <c r="B3401" s="8" t="s">
        <v>4344</v>
      </c>
      <c r="C3401" s="8" t="s">
        <v>51</v>
      </c>
      <c r="D3401" s="32" t="n">
        <v>46235</v>
      </c>
      <c r="E3401" s="8" t="n">
        <v>6</v>
      </c>
      <c r="F3401" s="8" t="str">
        <f aca="false">IF(E3401&gt;=9,"Promoter",IF(E3401&gt;=7,"Passive","Detractor"))</f>
        <v>Detractor</v>
      </c>
    </row>
    <row r="3402" customFormat="false" ht="15" hidden="false" customHeight="false" outlineLevel="0" collapsed="false">
      <c r="A3402" s="8" t="s">
        <v>8037</v>
      </c>
      <c r="B3402" s="8" t="s">
        <v>2096</v>
      </c>
      <c r="C3402" s="8" t="s">
        <v>51</v>
      </c>
      <c r="D3402" s="32" t="n">
        <v>46235</v>
      </c>
      <c r="E3402" s="8" t="n">
        <v>9</v>
      </c>
      <c r="F3402" s="8" t="str">
        <f aca="false">IF(E3402&gt;=9,"Promoter",IF(E3402&gt;=7,"Passive","Detractor"))</f>
        <v>Promoter</v>
      </c>
    </row>
    <row r="3403" customFormat="false" ht="15" hidden="false" customHeight="false" outlineLevel="0" collapsed="false">
      <c r="A3403" s="8" t="s">
        <v>8038</v>
      </c>
      <c r="B3403" s="8" t="s">
        <v>1923</v>
      </c>
      <c r="C3403" s="8" t="s">
        <v>51</v>
      </c>
      <c r="D3403" s="32" t="n">
        <v>46235</v>
      </c>
      <c r="E3403" s="8" t="n">
        <v>9</v>
      </c>
      <c r="F3403" s="8" t="str">
        <f aca="false">IF(E3403&gt;=9,"Promoter",IF(E3403&gt;=7,"Passive","Detractor"))</f>
        <v>Promoter</v>
      </c>
    </row>
    <row r="3404" customFormat="false" ht="15" hidden="false" customHeight="false" outlineLevel="0" collapsed="false">
      <c r="A3404" s="8" t="s">
        <v>8039</v>
      </c>
      <c r="B3404" s="8" t="s">
        <v>1399</v>
      </c>
      <c r="C3404" s="8" t="s">
        <v>53</v>
      </c>
      <c r="D3404" s="32" t="n">
        <v>46235</v>
      </c>
      <c r="E3404" s="8" t="n">
        <v>9</v>
      </c>
      <c r="F3404" s="8" t="str">
        <f aca="false">IF(E3404&gt;=9,"Promoter",IF(E3404&gt;=7,"Passive","Detractor"))</f>
        <v>Promoter</v>
      </c>
    </row>
    <row r="3405" customFormat="false" ht="15" hidden="false" customHeight="false" outlineLevel="0" collapsed="false">
      <c r="A3405" s="8" t="s">
        <v>8040</v>
      </c>
      <c r="B3405" s="8" t="s">
        <v>2854</v>
      </c>
      <c r="C3405" s="8" t="s">
        <v>51</v>
      </c>
      <c r="D3405" s="32" t="n">
        <v>46235</v>
      </c>
      <c r="E3405" s="8" t="n">
        <v>10</v>
      </c>
      <c r="F3405" s="8" t="str">
        <f aca="false">IF(E3405&gt;=9,"Promoter",IF(E3405&gt;=7,"Passive","Detractor"))</f>
        <v>Promoter</v>
      </c>
    </row>
    <row r="3406" customFormat="false" ht="15" hidden="false" customHeight="false" outlineLevel="0" collapsed="false">
      <c r="A3406" s="8" t="s">
        <v>8041</v>
      </c>
      <c r="B3406" s="8" t="s">
        <v>2176</v>
      </c>
      <c r="C3406" s="8" t="s">
        <v>51</v>
      </c>
      <c r="D3406" s="32" t="n">
        <v>46235</v>
      </c>
      <c r="E3406" s="8" t="n">
        <v>7</v>
      </c>
      <c r="F3406" s="8" t="str">
        <f aca="false">IF(E3406&gt;=9,"Promoter",IF(E3406&gt;=7,"Passive","Detractor"))</f>
        <v>Passive</v>
      </c>
    </row>
    <row r="3407" customFormat="false" ht="15" hidden="false" customHeight="false" outlineLevel="0" collapsed="false">
      <c r="A3407" s="8" t="s">
        <v>8042</v>
      </c>
      <c r="B3407" s="8" t="s">
        <v>3364</v>
      </c>
      <c r="C3407" s="8" t="s">
        <v>51</v>
      </c>
      <c r="D3407" s="32" t="n">
        <v>46235</v>
      </c>
      <c r="E3407" s="8" t="n">
        <v>9</v>
      </c>
      <c r="F3407" s="8" t="str">
        <f aca="false">IF(E3407&gt;=9,"Promoter",IF(E3407&gt;=7,"Passive","Detractor"))</f>
        <v>Promoter</v>
      </c>
    </row>
    <row r="3408" customFormat="false" ht="15" hidden="false" customHeight="false" outlineLevel="0" collapsed="false">
      <c r="A3408" s="8" t="s">
        <v>8043</v>
      </c>
      <c r="B3408" s="8" t="s">
        <v>1349</v>
      </c>
      <c r="C3408" s="8" t="s">
        <v>53</v>
      </c>
      <c r="D3408" s="32" t="n">
        <v>46235</v>
      </c>
      <c r="E3408" s="8" t="n">
        <v>7</v>
      </c>
      <c r="F3408" s="8" t="str">
        <f aca="false">IF(E3408&gt;=9,"Promoter",IF(E3408&gt;=7,"Passive","Detractor"))</f>
        <v>Passive</v>
      </c>
    </row>
    <row r="3409" customFormat="false" ht="15" hidden="false" customHeight="false" outlineLevel="0" collapsed="false">
      <c r="A3409" s="8" t="s">
        <v>8044</v>
      </c>
      <c r="B3409" s="8" t="s">
        <v>4126</v>
      </c>
      <c r="C3409" s="8" t="s">
        <v>51</v>
      </c>
      <c r="D3409" s="32" t="n">
        <v>46235</v>
      </c>
      <c r="E3409" s="8" t="n">
        <v>9</v>
      </c>
      <c r="F3409" s="8" t="str">
        <f aca="false">IF(E3409&gt;=9,"Promoter",IF(E3409&gt;=7,"Passive","Detractor"))</f>
        <v>Promoter</v>
      </c>
    </row>
    <row r="3410" customFormat="false" ht="15" hidden="false" customHeight="false" outlineLevel="0" collapsed="false">
      <c r="A3410" s="8" t="s">
        <v>8045</v>
      </c>
      <c r="B3410" s="8" t="s">
        <v>258</v>
      </c>
      <c r="C3410" s="8" t="s">
        <v>55</v>
      </c>
      <c r="D3410" s="32" t="n">
        <v>46235</v>
      </c>
      <c r="E3410" s="8" t="n">
        <v>8</v>
      </c>
      <c r="F3410" s="8" t="str">
        <f aca="false">IF(E3410&gt;=9,"Promoter",IF(E3410&gt;=7,"Passive","Detractor"))</f>
        <v>Passive</v>
      </c>
    </row>
    <row r="3411" customFormat="false" ht="15" hidden="false" customHeight="false" outlineLevel="0" collapsed="false">
      <c r="A3411" s="8" t="s">
        <v>8046</v>
      </c>
      <c r="B3411" s="8" t="s">
        <v>1243</v>
      </c>
      <c r="C3411" s="8" t="s">
        <v>53</v>
      </c>
      <c r="D3411" s="32" t="n">
        <v>46235</v>
      </c>
      <c r="E3411" s="8" t="n">
        <v>6</v>
      </c>
      <c r="F3411" s="8" t="str">
        <f aca="false">IF(E3411&gt;=9,"Promoter",IF(E3411&gt;=7,"Passive","Detractor"))</f>
        <v>Detractor</v>
      </c>
    </row>
    <row r="3412" customFormat="false" ht="15" hidden="false" customHeight="false" outlineLevel="0" collapsed="false">
      <c r="A3412" s="8" t="s">
        <v>8047</v>
      </c>
      <c r="B3412" s="8" t="s">
        <v>1979</v>
      </c>
      <c r="C3412" s="8" t="s">
        <v>51</v>
      </c>
      <c r="D3412" s="32" t="n">
        <v>46236</v>
      </c>
      <c r="E3412" s="8" t="n">
        <v>8</v>
      </c>
      <c r="F3412" s="8" t="str">
        <f aca="false">IF(E3412&gt;=9,"Promoter",IF(E3412&gt;=7,"Passive","Detractor"))</f>
        <v>Passive</v>
      </c>
    </row>
    <row r="3413" customFormat="false" ht="15" hidden="false" customHeight="false" outlineLevel="0" collapsed="false">
      <c r="A3413" s="8" t="s">
        <v>8048</v>
      </c>
      <c r="B3413" s="8" t="s">
        <v>1773</v>
      </c>
      <c r="C3413" s="8" t="s">
        <v>53</v>
      </c>
      <c r="D3413" s="32" t="n">
        <v>46236</v>
      </c>
      <c r="E3413" s="8" t="n">
        <v>7</v>
      </c>
      <c r="F3413" s="8" t="str">
        <f aca="false">IF(E3413&gt;=9,"Promoter",IF(E3413&gt;=7,"Passive","Detractor"))</f>
        <v>Passive</v>
      </c>
    </row>
    <row r="3414" customFormat="false" ht="15" hidden="false" customHeight="false" outlineLevel="0" collapsed="false">
      <c r="A3414" s="8" t="s">
        <v>8049</v>
      </c>
      <c r="B3414" s="8" t="s">
        <v>3396</v>
      </c>
      <c r="C3414" s="8" t="s">
        <v>51</v>
      </c>
      <c r="D3414" s="32" t="n">
        <v>46236</v>
      </c>
      <c r="E3414" s="8" t="n">
        <v>10</v>
      </c>
      <c r="F3414" s="8" t="str">
        <f aca="false">IF(E3414&gt;=9,"Promoter",IF(E3414&gt;=7,"Passive","Detractor"))</f>
        <v>Promoter</v>
      </c>
    </row>
    <row r="3415" customFormat="false" ht="15" hidden="false" customHeight="false" outlineLevel="0" collapsed="false">
      <c r="A3415" s="8" t="s">
        <v>8050</v>
      </c>
      <c r="B3415" s="8" t="s">
        <v>4218</v>
      </c>
      <c r="C3415" s="8" t="s">
        <v>51</v>
      </c>
      <c r="D3415" s="32" t="n">
        <v>46236</v>
      </c>
      <c r="E3415" s="8" t="n">
        <v>7</v>
      </c>
      <c r="F3415" s="8" t="str">
        <f aca="false">IF(E3415&gt;=9,"Promoter",IF(E3415&gt;=7,"Passive","Detractor"))</f>
        <v>Passive</v>
      </c>
    </row>
    <row r="3416" customFormat="false" ht="15" hidden="false" customHeight="false" outlineLevel="0" collapsed="false">
      <c r="A3416" s="8" t="s">
        <v>8051</v>
      </c>
      <c r="B3416" s="8" t="s">
        <v>4220</v>
      </c>
      <c r="C3416" s="8" t="s">
        <v>51</v>
      </c>
      <c r="D3416" s="32" t="n">
        <v>46236</v>
      </c>
      <c r="E3416" s="8" t="n">
        <v>9</v>
      </c>
      <c r="F3416" s="8" t="str">
        <f aca="false">IF(E3416&gt;=9,"Promoter",IF(E3416&gt;=7,"Passive","Detractor"))</f>
        <v>Promoter</v>
      </c>
    </row>
    <row r="3417" customFormat="false" ht="15" hidden="false" customHeight="false" outlineLevel="0" collapsed="false">
      <c r="A3417" s="8" t="s">
        <v>8052</v>
      </c>
      <c r="B3417" s="8" t="s">
        <v>1193</v>
      </c>
      <c r="C3417" s="8" t="s">
        <v>53</v>
      </c>
      <c r="D3417" s="32" t="n">
        <v>46236</v>
      </c>
      <c r="E3417" s="8" t="n">
        <v>10</v>
      </c>
      <c r="F3417" s="8" t="str">
        <f aca="false">IF(E3417&gt;=9,"Promoter",IF(E3417&gt;=7,"Passive","Detractor"))</f>
        <v>Promoter</v>
      </c>
    </row>
    <row r="3418" customFormat="false" ht="15" hidden="false" customHeight="false" outlineLevel="0" collapsed="false">
      <c r="A3418" s="8" t="s">
        <v>8053</v>
      </c>
      <c r="B3418" s="8" t="s">
        <v>4308</v>
      </c>
      <c r="C3418" s="8" t="s">
        <v>51</v>
      </c>
      <c r="D3418" s="32" t="n">
        <v>46236</v>
      </c>
      <c r="E3418" s="8" t="n">
        <v>9</v>
      </c>
      <c r="F3418" s="8" t="str">
        <f aca="false">IF(E3418&gt;=9,"Promoter",IF(E3418&gt;=7,"Passive","Detractor"))</f>
        <v>Promoter</v>
      </c>
    </row>
    <row r="3419" customFormat="false" ht="15" hidden="false" customHeight="false" outlineLevel="0" collapsed="false">
      <c r="A3419" s="8" t="s">
        <v>8054</v>
      </c>
      <c r="B3419" s="8" t="s">
        <v>2128</v>
      </c>
      <c r="C3419" s="8" t="s">
        <v>51</v>
      </c>
      <c r="D3419" s="32" t="n">
        <v>46236</v>
      </c>
      <c r="E3419" s="8" t="n">
        <v>8</v>
      </c>
      <c r="F3419" s="8" t="str">
        <f aca="false">IF(E3419&gt;=9,"Promoter",IF(E3419&gt;=7,"Passive","Detractor"))</f>
        <v>Passive</v>
      </c>
    </row>
    <row r="3420" customFormat="false" ht="15" hidden="false" customHeight="false" outlineLevel="0" collapsed="false">
      <c r="A3420" s="8" t="s">
        <v>8055</v>
      </c>
      <c r="B3420" s="8" t="s">
        <v>1035</v>
      </c>
      <c r="C3420" s="8" t="s">
        <v>53</v>
      </c>
      <c r="D3420" s="32" t="n">
        <v>46236</v>
      </c>
      <c r="E3420" s="8" t="n">
        <v>8</v>
      </c>
      <c r="F3420" s="8" t="str">
        <f aca="false">IF(E3420&gt;=9,"Promoter",IF(E3420&gt;=7,"Passive","Detractor"))</f>
        <v>Passive</v>
      </c>
    </row>
    <row r="3421" customFormat="false" ht="15" hidden="false" customHeight="false" outlineLevel="0" collapsed="false">
      <c r="A3421" s="8" t="s">
        <v>8056</v>
      </c>
      <c r="B3421" s="8" t="s">
        <v>3882</v>
      </c>
      <c r="C3421" s="8" t="s">
        <v>51</v>
      </c>
      <c r="D3421" s="32" t="n">
        <v>46236</v>
      </c>
      <c r="E3421" s="8" t="n">
        <v>8</v>
      </c>
      <c r="F3421" s="8" t="str">
        <f aca="false">IF(E3421&gt;=9,"Promoter",IF(E3421&gt;=7,"Passive","Detractor"))</f>
        <v>Passive</v>
      </c>
    </row>
    <row r="3422" customFormat="false" ht="15" hidden="false" customHeight="false" outlineLevel="0" collapsed="false">
      <c r="A3422" s="8" t="s">
        <v>8057</v>
      </c>
      <c r="B3422" s="8" t="s">
        <v>659</v>
      </c>
      <c r="C3422" s="8" t="s">
        <v>53</v>
      </c>
      <c r="D3422" s="32" t="n">
        <v>46236</v>
      </c>
      <c r="E3422" s="8" t="n">
        <v>6</v>
      </c>
      <c r="F3422" s="8" t="str">
        <f aca="false">IF(E3422&gt;=9,"Promoter",IF(E3422&gt;=7,"Passive","Detractor"))</f>
        <v>Detractor</v>
      </c>
    </row>
    <row r="3423" customFormat="false" ht="15" hidden="false" customHeight="false" outlineLevel="0" collapsed="false">
      <c r="A3423" s="8" t="s">
        <v>8058</v>
      </c>
      <c r="B3423" s="8" t="s">
        <v>1163</v>
      </c>
      <c r="C3423" s="8" t="s">
        <v>53</v>
      </c>
      <c r="D3423" s="32" t="n">
        <v>46236</v>
      </c>
      <c r="E3423" s="8" t="n">
        <v>5</v>
      </c>
      <c r="F3423" s="8" t="str">
        <f aca="false">IF(E3423&gt;=9,"Promoter",IF(E3423&gt;=7,"Passive","Detractor"))</f>
        <v>Detractor</v>
      </c>
    </row>
    <row r="3424" customFormat="false" ht="15" hidden="false" customHeight="false" outlineLevel="0" collapsed="false">
      <c r="A3424" s="8" t="s">
        <v>8059</v>
      </c>
      <c r="B3424" s="8" t="s">
        <v>523</v>
      </c>
      <c r="C3424" s="8" t="s">
        <v>55</v>
      </c>
      <c r="D3424" s="32" t="n">
        <v>46236</v>
      </c>
      <c r="E3424" s="8" t="n">
        <v>8</v>
      </c>
      <c r="F3424" s="8" t="str">
        <f aca="false">IF(E3424&gt;=9,"Promoter",IF(E3424&gt;=7,"Passive","Detractor"))</f>
        <v>Passive</v>
      </c>
    </row>
    <row r="3425" customFormat="false" ht="15" hidden="false" customHeight="false" outlineLevel="0" collapsed="false">
      <c r="A3425" s="8" t="s">
        <v>8060</v>
      </c>
      <c r="B3425" s="8" t="s">
        <v>3820</v>
      </c>
      <c r="C3425" s="8" t="s">
        <v>51</v>
      </c>
      <c r="D3425" s="32" t="n">
        <v>46236</v>
      </c>
      <c r="E3425" s="8" t="n">
        <v>10</v>
      </c>
      <c r="F3425" s="8" t="str">
        <f aca="false">IF(E3425&gt;=9,"Promoter",IF(E3425&gt;=7,"Passive","Detractor"))</f>
        <v>Promoter</v>
      </c>
    </row>
    <row r="3426" customFormat="false" ht="15" hidden="false" customHeight="false" outlineLevel="0" collapsed="false">
      <c r="A3426" s="8" t="s">
        <v>8061</v>
      </c>
      <c r="B3426" s="8" t="s">
        <v>1753</v>
      </c>
      <c r="C3426" s="8" t="s">
        <v>53</v>
      </c>
      <c r="D3426" s="32" t="n">
        <v>46236</v>
      </c>
      <c r="E3426" s="8" t="n">
        <v>7</v>
      </c>
      <c r="F3426" s="8" t="str">
        <f aca="false">IF(E3426&gt;=9,"Promoter",IF(E3426&gt;=7,"Passive","Detractor"))</f>
        <v>Passive</v>
      </c>
    </row>
    <row r="3427" customFormat="false" ht="15" hidden="false" customHeight="false" outlineLevel="0" collapsed="false">
      <c r="A3427" s="8" t="s">
        <v>8062</v>
      </c>
      <c r="B3427" s="8" t="s">
        <v>2536</v>
      </c>
      <c r="C3427" s="8" t="s">
        <v>51</v>
      </c>
      <c r="D3427" s="32" t="n">
        <v>46236</v>
      </c>
      <c r="E3427" s="8" t="n">
        <v>8</v>
      </c>
      <c r="F3427" s="8" t="str">
        <f aca="false">IF(E3427&gt;=9,"Promoter",IF(E3427&gt;=7,"Passive","Detractor"))</f>
        <v>Passive</v>
      </c>
    </row>
    <row r="3428" customFormat="false" ht="15" hidden="false" customHeight="false" outlineLevel="0" collapsed="false">
      <c r="A3428" s="8" t="s">
        <v>8063</v>
      </c>
      <c r="B3428" s="8" t="s">
        <v>357</v>
      </c>
      <c r="C3428" s="8" t="s">
        <v>55</v>
      </c>
      <c r="D3428" s="32" t="n">
        <v>46237</v>
      </c>
      <c r="E3428" s="8" t="n">
        <v>10</v>
      </c>
      <c r="F3428" s="8" t="str">
        <f aca="false">IF(E3428&gt;=9,"Promoter",IF(E3428&gt;=7,"Passive","Detractor"))</f>
        <v>Promoter</v>
      </c>
    </row>
    <row r="3429" customFormat="false" ht="15" hidden="false" customHeight="false" outlineLevel="0" collapsed="false">
      <c r="A3429" s="8" t="s">
        <v>8064</v>
      </c>
      <c r="B3429" s="8" t="s">
        <v>2734</v>
      </c>
      <c r="C3429" s="8" t="s">
        <v>51</v>
      </c>
      <c r="D3429" s="32" t="n">
        <v>46237</v>
      </c>
      <c r="E3429" s="8" t="n">
        <v>8</v>
      </c>
      <c r="F3429" s="8" t="str">
        <f aca="false">IF(E3429&gt;=9,"Promoter",IF(E3429&gt;=7,"Passive","Detractor"))</f>
        <v>Passive</v>
      </c>
    </row>
    <row r="3430" customFormat="false" ht="15" hidden="false" customHeight="false" outlineLevel="0" collapsed="false">
      <c r="A3430" s="8" t="s">
        <v>8065</v>
      </c>
      <c r="B3430" s="8" t="s">
        <v>369</v>
      </c>
      <c r="C3430" s="8" t="s">
        <v>55</v>
      </c>
      <c r="D3430" s="32" t="n">
        <v>46237</v>
      </c>
      <c r="E3430" s="8" t="n">
        <v>5</v>
      </c>
      <c r="F3430" s="8" t="str">
        <f aca="false">IF(E3430&gt;=9,"Promoter",IF(E3430&gt;=7,"Passive","Detractor"))</f>
        <v>Detractor</v>
      </c>
    </row>
    <row r="3431" customFormat="false" ht="15" hidden="false" customHeight="false" outlineLevel="0" collapsed="false">
      <c r="A3431" s="8" t="s">
        <v>8066</v>
      </c>
      <c r="B3431" s="8" t="s">
        <v>3864</v>
      </c>
      <c r="C3431" s="8" t="s">
        <v>51</v>
      </c>
      <c r="D3431" s="32" t="n">
        <v>46237</v>
      </c>
      <c r="E3431" s="8" t="n">
        <v>9</v>
      </c>
      <c r="F3431" s="8" t="str">
        <f aca="false">IF(E3431&gt;=9,"Promoter",IF(E3431&gt;=7,"Passive","Detractor"))</f>
        <v>Promoter</v>
      </c>
    </row>
    <row r="3432" customFormat="false" ht="15" hidden="false" customHeight="false" outlineLevel="0" collapsed="false">
      <c r="A3432" s="8" t="s">
        <v>8067</v>
      </c>
      <c r="B3432" s="8" t="s">
        <v>4314</v>
      </c>
      <c r="C3432" s="8" t="s">
        <v>51</v>
      </c>
      <c r="D3432" s="32" t="n">
        <v>46237</v>
      </c>
      <c r="E3432" s="8" t="n">
        <v>10</v>
      </c>
      <c r="F3432" s="8" t="str">
        <f aca="false">IF(E3432&gt;=9,"Promoter",IF(E3432&gt;=7,"Passive","Detractor"))</f>
        <v>Promoter</v>
      </c>
    </row>
    <row r="3433" customFormat="false" ht="15" hidden="false" customHeight="false" outlineLevel="0" collapsed="false">
      <c r="A3433" s="8" t="s">
        <v>8068</v>
      </c>
      <c r="B3433" s="8" t="s">
        <v>3350</v>
      </c>
      <c r="C3433" s="8" t="s">
        <v>51</v>
      </c>
      <c r="D3433" s="32" t="n">
        <v>46237</v>
      </c>
      <c r="E3433" s="8" t="n">
        <v>3</v>
      </c>
      <c r="F3433" s="8" t="str">
        <f aca="false">IF(E3433&gt;=9,"Promoter",IF(E3433&gt;=7,"Passive","Detractor"))</f>
        <v>Detractor</v>
      </c>
    </row>
    <row r="3434" customFormat="false" ht="15" hidden="false" customHeight="false" outlineLevel="0" collapsed="false">
      <c r="A3434" s="8" t="s">
        <v>8069</v>
      </c>
      <c r="B3434" s="8" t="s">
        <v>1197</v>
      </c>
      <c r="C3434" s="8" t="s">
        <v>53</v>
      </c>
      <c r="D3434" s="32" t="n">
        <v>46237</v>
      </c>
      <c r="E3434" s="8" t="n">
        <v>9</v>
      </c>
      <c r="F3434" s="8" t="str">
        <f aca="false">IF(E3434&gt;=9,"Promoter",IF(E3434&gt;=7,"Passive","Detractor"))</f>
        <v>Promoter</v>
      </c>
    </row>
    <row r="3435" customFormat="false" ht="15" hidden="false" customHeight="false" outlineLevel="0" collapsed="false">
      <c r="A3435" s="8" t="s">
        <v>8070</v>
      </c>
      <c r="B3435" s="8" t="s">
        <v>3678</v>
      </c>
      <c r="C3435" s="8" t="s">
        <v>51</v>
      </c>
      <c r="D3435" s="32" t="n">
        <v>46237</v>
      </c>
      <c r="E3435" s="8" t="n">
        <v>8</v>
      </c>
      <c r="F3435" s="8" t="str">
        <f aca="false">IF(E3435&gt;=9,"Promoter",IF(E3435&gt;=7,"Passive","Detractor"))</f>
        <v>Passive</v>
      </c>
    </row>
    <row r="3436" customFormat="false" ht="15" hidden="false" customHeight="false" outlineLevel="0" collapsed="false">
      <c r="A3436" s="8" t="s">
        <v>8071</v>
      </c>
      <c r="B3436" s="8" t="s">
        <v>1203</v>
      </c>
      <c r="C3436" s="8" t="s">
        <v>53</v>
      </c>
      <c r="D3436" s="32" t="n">
        <v>46237</v>
      </c>
      <c r="E3436" s="8" t="n">
        <v>9</v>
      </c>
      <c r="F3436" s="8" t="str">
        <f aca="false">IF(E3436&gt;=9,"Promoter",IF(E3436&gt;=7,"Passive","Detractor"))</f>
        <v>Promoter</v>
      </c>
    </row>
    <row r="3437" customFormat="false" ht="15" hidden="false" customHeight="false" outlineLevel="0" collapsed="false">
      <c r="A3437" s="8" t="s">
        <v>8072</v>
      </c>
      <c r="B3437" s="8" t="s">
        <v>2948</v>
      </c>
      <c r="C3437" s="8" t="s">
        <v>51</v>
      </c>
      <c r="D3437" s="32" t="n">
        <v>46237</v>
      </c>
      <c r="E3437" s="8" t="n">
        <v>10</v>
      </c>
      <c r="F3437" s="8" t="str">
        <f aca="false">IF(E3437&gt;=9,"Promoter",IF(E3437&gt;=7,"Passive","Detractor"))</f>
        <v>Promoter</v>
      </c>
    </row>
    <row r="3438" customFormat="false" ht="15" hidden="false" customHeight="false" outlineLevel="0" collapsed="false">
      <c r="A3438" s="8" t="s">
        <v>8073</v>
      </c>
      <c r="B3438" s="8" t="s">
        <v>1797</v>
      </c>
      <c r="C3438" s="8" t="s">
        <v>53</v>
      </c>
      <c r="D3438" s="32" t="n">
        <v>46237</v>
      </c>
      <c r="E3438" s="8" t="n">
        <v>8</v>
      </c>
      <c r="F3438" s="8" t="str">
        <f aca="false">IF(E3438&gt;=9,"Promoter",IF(E3438&gt;=7,"Passive","Detractor"))</f>
        <v>Passive</v>
      </c>
    </row>
    <row r="3439" customFormat="false" ht="15" hidden="false" customHeight="false" outlineLevel="0" collapsed="false">
      <c r="A3439" s="8" t="s">
        <v>8074</v>
      </c>
      <c r="B3439" s="8" t="s">
        <v>2548</v>
      </c>
      <c r="C3439" s="8" t="s">
        <v>51</v>
      </c>
      <c r="D3439" s="32" t="n">
        <v>46237</v>
      </c>
      <c r="E3439" s="8" t="n">
        <v>8</v>
      </c>
      <c r="F3439" s="8" t="str">
        <f aca="false">IF(E3439&gt;=9,"Promoter",IF(E3439&gt;=7,"Passive","Detractor"))</f>
        <v>Passive</v>
      </c>
    </row>
    <row r="3440" customFormat="false" ht="15" hidden="false" customHeight="false" outlineLevel="0" collapsed="false">
      <c r="A3440" s="8" t="s">
        <v>8075</v>
      </c>
      <c r="B3440" s="8" t="s">
        <v>3246</v>
      </c>
      <c r="C3440" s="8" t="s">
        <v>51</v>
      </c>
      <c r="D3440" s="32" t="n">
        <v>46237</v>
      </c>
      <c r="E3440" s="8" t="n">
        <v>7</v>
      </c>
      <c r="F3440" s="8" t="str">
        <f aca="false">IF(E3440&gt;=9,"Promoter",IF(E3440&gt;=7,"Passive","Detractor"))</f>
        <v>Passive</v>
      </c>
    </row>
    <row r="3441" customFormat="false" ht="15" hidden="false" customHeight="false" outlineLevel="0" collapsed="false">
      <c r="A3441" s="8" t="s">
        <v>8076</v>
      </c>
      <c r="B3441" s="8" t="s">
        <v>871</v>
      </c>
      <c r="C3441" s="8" t="s">
        <v>53</v>
      </c>
      <c r="D3441" s="32" t="n">
        <v>46237</v>
      </c>
      <c r="E3441" s="8" t="n">
        <v>8</v>
      </c>
      <c r="F3441" s="8" t="str">
        <f aca="false">IF(E3441&gt;=9,"Promoter",IF(E3441&gt;=7,"Passive","Detractor"))</f>
        <v>Passive</v>
      </c>
    </row>
    <row r="3442" customFormat="false" ht="15" hidden="false" customHeight="false" outlineLevel="0" collapsed="false">
      <c r="A3442" s="8" t="s">
        <v>8077</v>
      </c>
      <c r="B3442" s="8" t="s">
        <v>1093</v>
      </c>
      <c r="C3442" s="8" t="s">
        <v>53</v>
      </c>
      <c r="D3442" s="32" t="n">
        <v>46238</v>
      </c>
      <c r="E3442" s="8" t="n">
        <v>8</v>
      </c>
      <c r="F3442" s="8" t="str">
        <f aca="false">IF(E3442&gt;=9,"Promoter",IF(E3442&gt;=7,"Passive","Detractor"))</f>
        <v>Passive</v>
      </c>
    </row>
    <row r="3443" customFormat="false" ht="15" hidden="false" customHeight="false" outlineLevel="0" collapsed="false">
      <c r="A3443" s="8" t="s">
        <v>8078</v>
      </c>
      <c r="B3443" s="8" t="s">
        <v>2158</v>
      </c>
      <c r="C3443" s="8" t="s">
        <v>51</v>
      </c>
      <c r="D3443" s="32" t="n">
        <v>46238</v>
      </c>
      <c r="E3443" s="8" t="n">
        <v>10</v>
      </c>
      <c r="F3443" s="8" t="str">
        <f aca="false">IF(E3443&gt;=9,"Promoter",IF(E3443&gt;=7,"Passive","Detractor"))</f>
        <v>Promoter</v>
      </c>
    </row>
    <row r="3444" customFormat="false" ht="15" hidden="false" customHeight="false" outlineLevel="0" collapsed="false">
      <c r="A3444" s="8" t="s">
        <v>8079</v>
      </c>
      <c r="B3444" s="8" t="s">
        <v>2906</v>
      </c>
      <c r="C3444" s="8" t="s">
        <v>51</v>
      </c>
      <c r="D3444" s="32" t="n">
        <v>46238</v>
      </c>
      <c r="E3444" s="8" t="n">
        <v>7</v>
      </c>
      <c r="F3444" s="8" t="str">
        <f aca="false">IF(E3444&gt;=9,"Promoter",IF(E3444&gt;=7,"Passive","Detractor"))</f>
        <v>Passive</v>
      </c>
    </row>
    <row r="3445" customFormat="false" ht="15" hidden="false" customHeight="false" outlineLevel="0" collapsed="false">
      <c r="A3445" s="8" t="s">
        <v>8080</v>
      </c>
      <c r="B3445" s="8" t="s">
        <v>925</v>
      </c>
      <c r="C3445" s="8" t="s">
        <v>53</v>
      </c>
      <c r="D3445" s="32" t="n">
        <v>46238</v>
      </c>
      <c r="E3445" s="8" t="n">
        <v>10</v>
      </c>
      <c r="F3445" s="8" t="str">
        <f aca="false">IF(E3445&gt;=9,"Promoter",IF(E3445&gt;=7,"Passive","Detractor"))</f>
        <v>Promoter</v>
      </c>
    </row>
    <row r="3446" customFormat="false" ht="15" hidden="false" customHeight="false" outlineLevel="0" collapsed="false">
      <c r="A3446" s="8" t="s">
        <v>8081</v>
      </c>
      <c r="B3446" s="8" t="s">
        <v>4180</v>
      </c>
      <c r="C3446" s="8" t="s">
        <v>51</v>
      </c>
      <c r="D3446" s="32" t="n">
        <v>46238</v>
      </c>
      <c r="E3446" s="8" t="n">
        <v>8</v>
      </c>
      <c r="F3446" s="8" t="str">
        <f aca="false">IF(E3446&gt;=9,"Promoter",IF(E3446&gt;=7,"Passive","Detractor"))</f>
        <v>Passive</v>
      </c>
    </row>
    <row r="3447" customFormat="false" ht="15" hidden="false" customHeight="false" outlineLevel="0" collapsed="false">
      <c r="A3447" s="8" t="s">
        <v>8082</v>
      </c>
      <c r="B3447" s="8" t="s">
        <v>115</v>
      </c>
      <c r="C3447" s="8" t="s">
        <v>55</v>
      </c>
      <c r="D3447" s="32" t="n">
        <v>46238</v>
      </c>
      <c r="E3447" s="8" t="n">
        <v>10</v>
      </c>
      <c r="F3447" s="8" t="str">
        <f aca="false">IF(E3447&gt;=9,"Promoter",IF(E3447&gt;=7,"Passive","Detractor"))</f>
        <v>Promoter</v>
      </c>
    </row>
    <row r="3448" customFormat="false" ht="15" hidden="false" customHeight="false" outlineLevel="0" collapsed="false">
      <c r="A3448" s="8" t="s">
        <v>8083</v>
      </c>
      <c r="B3448" s="8" t="s">
        <v>2796</v>
      </c>
      <c r="C3448" s="8" t="s">
        <v>51</v>
      </c>
      <c r="D3448" s="32" t="n">
        <v>46238</v>
      </c>
      <c r="E3448" s="8" t="n">
        <v>8</v>
      </c>
      <c r="F3448" s="8" t="str">
        <f aca="false">IF(E3448&gt;=9,"Promoter",IF(E3448&gt;=7,"Passive","Detractor"))</f>
        <v>Passive</v>
      </c>
    </row>
    <row r="3449" customFormat="false" ht="15" hidden="false" customHeight="false" outlineLevel="0" collapsed="false">
      <c r="A3449" s="8" t="s">
        <v>8084</v>
      </c>
      <c r="B3449" s="8" t="s">
        <v>3030</v>
      </c>
      <c r="C3449" s="8" t="s">
        <v>51</v>
      </c>
      <c r="D3449" s="32" t="n">
        <v>46238</v>
      </c>
      <c r="E3449" s="8" t="n">
        <v>8</v>
      </c>
      <c r="F3449" s="8" t="str">
        <f aca="false">IF(E3449&gt;=9,"Promoter",IF(E3449&gt;=7,"Passive","Detractor"))</f>
        <v>Passive</v>
      </c>
    </row>
    <row r="3450" customFormat="false" ht="15" hidden="false" customHeight="false" outlineLevel="0" collapsed="false">
      <c r="A3450" s="8" t="s">
        <v>8085</v>
      </c>
      <c r="B3450" s="8" t="s">
        <v>2106</v>
      </c>
      <c r="C3450" s="8" t="s">
        <v>51</v>
      </c>
      <c r="D3450" s="32" t="n">
        <v>46238</v>
      </c>
      <c r="E3450" s="8" t="n">
        <v>8</v>
      </c>
      <c r="F3450" s="8" t="str">
        <f aca="false">IF(E3450&gt;=9,"Promoter",IF(E3450&gt;=7,"Passive","Detractor"))</f>
        <v>Passive</v>
      </c>
    </row>
    <row r="3451" customFormat="false" ht="15" hidden="false" customHeight="false" outlineLevel="0" collapsed="false">
      <c r="A3451" s="8" t="s">
        <v>8086</v>
      </c>
      <c r="B3451" s="8" t="s">
        <v>1455</v>
      </c>
      <c r="C3451" s="8" t="s">
        <v>53</v>
      </c>
      <c r="D3451" s="32" t="n">
        <v>46238</v>
      </c>
      <c r="E3451" s="8" t="n">
        <v>9</v>
      </c>
      <c r="F3451" s="8" t="str">
        <f aca="false">IF(E3451&gt;=9,"Promoter",IF(E3451&gt;=7,"Passive","Detractor"))</f>
        <v>Promoter</v>
      </c>
    </row>
    <row r="3452" customFormat="false" ht="15" hidden="false" customHeight="false" outlineLevel="0" collapsed="false">
      <c r="A3452" s="8" t="s">
        <v>8087</v>
      </c>
      <c r="B3452" s="8" t="s">
        <v>3080</v>
      </c>
      <c r="C3452" s="8" t="s">
        <v>51</v>
      </c>
      <c r="D3452" s="32" t="n">
        <v>46238</v>
      </c>
      <c r="E3452" s="8" t="n">
        <v>8</v>
      </c>
      <c r="F3452" s="8" t="str">
        <f aca="false">IF(E3452&gt;=9,"Promoter",IF(E3452&gt;=7,"Passive","Detractor"))</f>
        <v>Passive</v>
      </c>
    </row>
    <row r="3453" customFormat="false" ht="15" hidden="false" customHeight="false" outlineLevel="0" collapsed="false">
      <c r="A3453" s="8" t="s">
        <v>8088</v>
      </c>
      <c r="B3453" s="8" t="s">
        <v>335</v>
      </c>
      <c r="C3453" s="8" t="s">
        <v>55</v>
      </c>
      <c r="D3453" s="32" t="n">
        <v>46238</v>
      </c>
      <c r="E3453" s="8" t="n">
        <v>7</v>
      </c>
      <c r="F3453" s="8" t="str">
        <f aca="false">IF(E3453&gt;=9,"Promoter",IF(E3453&gt;=7,"Passive","Detractor"))</f>
        <v>Passive</v>
      </c>
    </row>
    <row r="3454" customFormat="false" ht="15" hidden="false" customHeight="false" outlineLevel="0" collapsed="false">
      <c r="A3454" s="8" t="s">
        <v>8089</v>
      </c>
      <c r="B3454" s="8" t="s">
        <v>1871</v>
      </c>
      <c r="C3454" s="8" t="s">
        <v>51</v>
      </c>
      <c r="D3454" s="32" t="n">
        <v>46239</v>
      </c>
      <c r="E3454" s="8" t="n">
        <v>10</v>
      </c>
      <c r="F3454" s="8" t="str">
        <f aca="false">IF(E3454&gt;=9,"Promoter",IF(E3454&gt;=7,"Passive","Detractor"))</f>
        <v>Promoter</v>
      </c>
    </row>
    <row r="3455" customFormat="false" ht="15" hidden="false" customHeight="false" outlineLevel="0" collapsed="false">
      <c r="A3455" s="8" t="s">
        <v>8090</v>
      </c>
      <c r="B3455" s="8" t="s">
        <v>1117</v>
      </c>
      <c r="C3455" s="8" t="s">
        <v>53</v>
      </c>
      <c r="D3455" s="32" t="n">
        <v>46239</v>
      </c>
      <c r="E3455" s="8" t="n">
        <v>8</v>
      </c>
      <c r="F3455" s="8" t="str">
        <f aca="false">IF(E3455&gt;=9,"Promoter",IF(E3455&gt;=7,"Passive","Detractor"))</f>
        <v>Passive</v>
      </c>
    </row>
    <row r="3456" customFormat="false" ht="15" hidden="false" customHeight="false" outlineLevel="0" collapsed="false">
      <c r="A3456" s="8" t="s">
        <v>8091</v>
      </c>
      <c r="B3456" s="8" t="s">
        <v>2040</v>
      </c>
      <c r="C3456" s="8" t="s">
        <v>51</v>
      </c>
      <c r="D3456" s="32" t="n">
        <v>46239</v>
      </c>
      <c r="E3456" s="8" t="n">
        <v>7</v>
      </c>
      <c r="F3456" s="8" t="str">
        <f aca="false">IF(E3456&gt;=9,"Promoter",IF(E3456&gt;=7,"Passive","Detractor"))</f>
        <v>Passive</v>
      </c>
    </row>
    <row r="3457" customFormat="false" ht="15" hidden="false" customHeight="false" outlineLevel="0" collapsed="false">
      <c r="A3457" s="8" t="s">
        <v>8092</v>
      </c>
      <c r="B3457" s="8" t="s">
        <v>4040</v>
      </c>
      <c r="C3457" s="8" t="s">
        <v>51</v>
      </c>
      <c r="D3457" s="32" t="n">
        <v>46239</v>
      </c>
      <c r="E3457" s="8" t="n">
        <v>9</v>
      </c>
      <c r="F3457" s="8" t="str">
        <f aca="false">IF(E3457&gt;=9,"Promoter",IF(E3457&gt;=7,"Passive","Detractor"))</f>
        <v>Promoter</v>
      </c>
    </row>
    <row r="3458" customFormat="false" ht="15" hidden="false" customHeight="false" outlineLevel="0" collapsed="false">
      <c r="A3458" s="8" t="s">
        <v>8093</v>
      </c>
      <c r="B3458" s="8" t="s">
        <v>2386</v>
      </c>
      <c r="C3458" s="8" t="s">
        <v>51</v>
      </c>
      <c r="D3458" s="32" t="n">
        <v>46239</v>
      </c>
      <c r="E3458" s="8" t="n">
        <v>6</v>
      </c>
      <c r="F3458" s="8" t="str">
        <f aca="false">IF(E3458&gt;=9,"Promoter",IF(E3458&gt;=7,"Passive","Detractor"))</f>
        <v>Detractor</v>
      </c>
    </row>
    <row r="3459" customFormat="false" ht="15" hidden="false" customHeight="false" outlineLevel="0" collapsed="false">
      <c r="A3459" s="8" t="s">
        <v>8094</v>
      </c>
      <c r="B3459" s="8" t="s">
        <v>843</v>
      </c>
      <c r="C3459" s="8" t="s">
        <v>53</v>
      </c>
      <c r="D3459" s="32" t="n">
        <v>46239</v>
      </c>
      <c r="E3459" s="8" t="n">
        <v>9</v>
      </c>
      <c r="F3459" s="8" t="str">
        <f aca="false">IF(E3459&gt;=9,"Promoter",IF(E3459&gt;=7,"Passive","Detractor"))</f>
        <v>Promoter</v>
      </c>
    </row>
    <row r="3460" customFormat="false" ht="15" hidden="false" customHeight="false" outlineLevel="0" collapsed="false">
      <c r="A3460" s="8" t="s">
        <v>8095</v>
      </c>
      <c r="B3460" s="8" t="s">
        <v>2712</v>
      </c>
      <c r="C3460" s="8" t="s">
        <v>51</v>
      </c>
      <c r="D3460" s="32" t="n">
        <v>46239</v>
      </c>
      <c r="E3460" s="8" t="n">
        <v>7</v>
      </c>
      <c r="F3460" s="8" t="str">
        <f aca="false">IF(E3460&gt;=9,"Promoter",IF(E3460&gt;=7,"Passive","Detractor"))</f>
        <v>Passive</v>
      </c>
    </row>
    <row r="3461" customFormat="false" ht="15" hidden="false" customHeight="false" outlineLevel="0" collapsed="false">
      <c r="A3461" s="8" t="s">
        <v>8096</v>
      </c>
      <c r="B3461" s="8" t="s">
        <v>2060</v>
      </c>
      <c r="C3461" s="8" t="s">
        <v>51</v>
      </c>
      <c r="D3461" s="32" t="n">
        <v>46239</v>
      </c>
      <c r="E3461" s="8" t="n">
        <v>7</v>
      </c>
      <c r="F3461" s="8" t="str">
        <f aca="false">IF(E3461&gt;=9,"Promoter",IF(E3461&gt;=7,"Passive","Detractor"))</f>
        <v>Passive</v>
      </c>
    </row>
    <row r="3462" customFormat="false" ht="15" hidden="false" customHeight="false" outlineLevel="0" collapsed="false">
      <c r="A3462" s="8" t="s">
        <v>8097</v>
      </c>
      <c r="B3462" s="8" t="s">
        <v>1745</v>
      </c>
      <c r="C3462" s="8" t="s">
        <v>53</v>
      </c>
      <c r="D3462" s="32" t="n">
        <v>46239</v>
      </c>
      <c r="E3462" s="8" t="n">
        <v>7</v>
      </c>
      <c r="F3462" s="8" t="str">
        <f aca="false">IF(E3462&gt;=9,"Promoter",IF(E3462&gt;=7,"Passive","Detractor"))</f>
        <v>Passive</v>
      </c>
    </row>
    <row r="3463" customFormat="false" ht="15" hidden="false" customHeight="false" outlineLevel="0" collapsed="false">
      <c r="A3463" s="8" t="s">
        <v>8098</v>
      </c>
      <c r="B3463" s="8" t="s">
        <v>1789</v>
      </c>
      <c r="C3463" s="8" t="s">
        <v>53</v>
      </c>
      <c r="D3463" s="32" t="n">
        <v>46240</v>
      </c>
      <c r="E3463" s="8" t="n">
        <v>6</v>
      </c>
      <c r="F3463" s="8" t="str">
        <f aca="false">IF(E3463&gt;=9,"Promoter",IF(E3463&gt;=7,"Passive","Detractor"))</f>
        <v>Detractor</v>
      </c>
    </row>
    <row r="3464" customFormat="false" ht="15" hidden="false" customHeight="false" outlineLevel="0" collapsed="false">
      <c r="A3464" s="8" t="s">
        <v>8099</v>
      </c>
      <c r="B3464" s="8" t="s">
        <v>2670</v>
      </c>
      <c r="C3464" s="8" t="s">
        <v>51</v>
      </c>
      <c r="D3464" s="32" t="n">
        <v>46240</v>
      </c>
      <c r="E3464" s="8" t="n">
        <v>10</v>
      </c>
      <c r="F3464" s="8" t="str">
        <f aca="false">IF(E3464&gt;=9,"Promoter",IF(E3464&gt;=7,"Passive","Detractor"))</f>
        <v>Promoter</v>
      </c>
    </row>
    <row r="3465" customFormat="false" ht="15" hidden="false" customHeight="false" outlineLevel="0" collapsed="false">
      <c r="A3465" s="8" t="s">
        <v>8100</v>
      </c>
      <c r="B3465" s="8" t="s">
        <v>897</v>
      </c>
      <c r="C3465" s="8" t="s">
        <v>53</v>
      </c>
      <c r="D3465" s="32" t="n">
        <v>46240</v>
      </c>
      <c r="E3465" s="8" t="n">
        <v>9</v>
      </c>
      <c r="F3465" s="8" t="str">
        <f aca="false">IF(E3465&gt;=9,"Promoter",IF(E3465&gt;=7,"Passive","Detractor"))</f>
        <v>Promoter</v>
      </c>
    </row>
    <row r="3466" customFormat="false" ht="15" hidden="false" customHeight="false" outlineLevel="0" collapsed="false">
      <c r="A3466" s="8" t="s">
        <v>8101</v>
      </c>
      <c r="B3466" s="8" t="s">
        <v>4224</v>
      </c>
      <c r="C3466" s="8" t="s">
        <v>51</v>
      </c>
      <c r="D3466" s="32" t="n">
        <v>46240</v>
      </c>
      <c r="E3466" s="8" t="n">
        <v>9</v>
      </c>
      <c r="F3466" s="8" t="str">
        <f aca="false">IF(E3466&gt;=9,"Promoter",IF(E3466&gt;=7,"Passive","Detractor"))</f>
        <v>Promoter</v>
      </c>
    </row>
    <row r="3467" customFormat="false" ht="15" hidden="false" customHeight="false" outlineLevel="0" collapsed="false">
      <c r="A3467" s="8" t="s">
        <v>8102</v>
      </c>
      <c r="B3467" s="8" t="s">
        <v>1577</v>
      </c>
      <c r="C3467" s="8" t="s">
        <v>53</v>
      </c>
      <c r="D3467" s="32" t="n">
        <v>46240</v>
      </c>
      <c r="E3467" s="8" t="n">
        <v>7</v>
      </c>
      <c r="F3467" s="8" t="str">
        <f aca="false">IF(E3467&gt;=9,"Promoter",IF(E3467&gt;=7,"Passive","Detractor"))</f>
        <v>Passive</v>
      </c>
    </row>
    <row r="3468" customFormat="false" ht="15" hidden="false" customHeight="false" outlineLevel="0" collapsed="false">
      <c r="A3468" s="8" t="s">
        <v>8103</v>
      </c>
      <c r="B3468" s="8" t="s">
        <v>2694</v>
      </c>
      <c r="C3468" s="8" t="s">
        <v>51</v>
      </c>
      <c r="D3468" s="32" t="n">
        <v>46240</v>
      </c>
      <c r="E3468" s="8" t="n">
        <v>9</v>
      </c>
      <c r="F3468" s="8" t="str">
        <f aca="false">IF(E3468&gt;=9,"Promoter",IF(E3468&gt;=7,"Passive","Detractor"))</f>
        <v>Promoter</v>
      </c>
    </row>
    <row r="3469" customFormat="false" ht="15" hidden="false" customHeight="false" outlineLevel="0" collapsed="false">
      <c r="A3469" s="8" t="s">
        <v>8104</v>
      </c>
      <c r="B3469" s="8" t="s">
        <v>1429</v>
      </c>
      <c r="C3469" s="8" t="s">
        <v>53</v>
      </c>
      <c r="D3469" s="32" t="n">
        <v>46240</v>
      </c>
      <c r="E3469" s="8" t="n">
        <v>9</v>
      </c>
      <c r="F3469" s="8" t="str">
        <f aca="false">IF(E3469&gt;=9,"Promoter",IF(E3469&gt;=7,"Passive","Detractor"))</f>
        <v>Promoter</v>
      </c>
    </row>
    <row r="3470" customFormat="false" ht="15" hidden="false" customHeight="false" outlineLevel="0" collapsed="false">
      <c r="A3470" s="8" t="s">
        <v>8105</v>
      </c>
      <c r="B3470" s="8" t="s">
        <v>1175</v>
      </c>
      <c r="C3470" s="8" t="s">
        <v>53</v>
      </c>
      <c r="D3470" s="32" t="n">
        <v>46240</v>
      </c>
      <c r="E3470" s="8" t="n">
        <v>8</v>
      </c>
      <c r="F3470" s="8" t="str">
        <f aca="false">IF(E3470&gt;=9,"Promoter",IF(E3470&gt;=7,"Passive","Detractor"))</f>
        <v>Passive</v>
      </c>
    </row>
    <row r="3471" customFormat="false" ht="15" hidden="false" customHeight="false" outlineLevel="0" collapsed="false">
      <c r="A3471" s="8" t="s">
        <v>8106</v>
      </c>
      <c r="B3471" s="8" t="s">
        <v>3762</v>
      </c>
      <c r="C3471" s="8" t="s">
        <v>51</v>
      </c>
      <c r="D3471" s="32" t="n">
        <v>46240</v>
      </c>
      <c r="E3471" s="8" t="n">
        <v>9</v>
      </c>
      <c r="F3471" s="8" t="str">
        <f aca="false">IF(E3471&gt;=9,"Promoter",IF(E3471&gt;=7,"Passive","Detractor"))</f>
        <v>Promoter</v>
      </c>
    </row>
    <row r="3472" customFormat="false" ht="15" hidden="false" customHeight="false" outlineLevel="0" collapsed="false">
      <c r="A3472" s="8" t="s">
        <v>8107</v>
      </c>
      <c r="B3472" s="8" t="s">
        <v>1101</v>
      </c>
      <c r="C3472" s="8" t="s">
        <v>53</v>
      </c>
      <c r="D3472" s="32" t="n">
        <v>46241</v>
      </c>
      <c r="E3472" s="8" t="n">
        <v>9</v>
      </c>
      <c r="F3472" s="8" t="str">
        <f aca="false">IF(E3472&gt;=9,"Promoter",IF(E3472&gt;=7,"Passive","Detractor"))</f>
        <v>Promoter</v>
      </c>
    </row>
    <row r="3473" customFormat="false" ht="15" hidden="false" customHeight="false" outlineLevel="0" collapsed="false">
      <c r="A3473" s="8" t="s">
        <v>8108</v>
      </c>
      <c r="B3473" s="8" t="s">
        <v>2592</v>
      </c>
      <c r="C3473" s="8" t="s">
        <v>51</v>
      </c>
      <c r="D3473" s="32" t="n">
        <v>46241</v>
      </c>
      <c r="E3473" s="8" t="n">
        <v>8</v>
      </c>
      <c r="F3473" s="8" t="str">
        <f aca="false">IF(E3473&gt;=9,"Promoter",IF(E3473&gt;=7,"Passive","Detractor"))</f>
        <v>Passive</v>
      </c>
    </row>
    <row r="3474" customFormat="false" ht="15" hidden="false" customHeight="false" outlineLevel="0" collapsed="false">
      <c r="A3474" s="8" t="s">
        <v>8109</v>
      </c>
      <c r="B3474" s="8" t="s">
        <v>3726</v>
      </c>
      <c r="C3474" s="8" t="s">
        <v>51</v>
      </c>
      <c r="D3474" s="32" t="n">
        <v>46241</v>
      </c>
      <c r="E3474" s="8" t="n">
        <v>7</v>
      </c>
      <c r="F3474" s="8" t="str">
        <f aca="false">IF(E3474&gt;=9,"Promoter",IF(E3474&gt;=7,"Passive","Detractor"))</f>
        <v>Passive</v>
      </c>
    </row>
    <row r="3475" customFormat="false" ht="15" hidden="false" customHeight="false" outlineLevel="0" collapsed="false">
      <c r="A3475" s="8" t="s">
        <v>8110</v>
      </c>
      <c r="B3475" s="8" t="s">
        <v>2254</v>
      </c>
      <c r="C3475" s="8" t="s">
        <v>51</v>
      </c>
      <c r="D3475" s="32" t="n">
        <v>46241</v>
      </c>
      <c r="E3475" s="8" t="n">
        <v>10</v>
      </c>
      <c r="F3475" s="8" t="str">
        <f aca="false">IF(E3475&gt;=9,"Promoter",IF(E3475&gt;=7,"Passive","Detractor"))</f>
        <v>Promoter</v>
      </c>
    </row>
    <row r="3476" customFormat="false" ht="15" hidden="false" customHeight="false" outlineLevel="0" collapsed="false">
      <c r="A3476" s="8" t="s">
        <v>8111</v>
      </c>
      <c r="B3476" s="8" t="s">
        <v>1657</v>
      </c>
      <c r="C3476" s="8" t="s">
        <v>53</v>
      </c>
      <c r="D3476" s="32" t="n">
        <v>46241</v>
      </c>
      <c r="E3476" s="8" t="n">
        <v>7</v>
      </c>
      <c r="F3476" s="8" t="str">
        <f aca="false">IF(E3476&gt;=9,"Promoter",IF(E3476&gt;=7,"Passive","Detractor"))</f>
        <v>Passive</v>
      </c>
    </row>
    <row r="3477" customFormat="false" ht="15" hidden="false" customHeight="false" outlineLevel="0" collapsed="false">
      <c r="A3477" s="8" t="s">
        <v>8112</v>
      </c>
      <c r="B3477" s="8" t="s">
        <v>1815</v>
      </c>
      <c r="C3477" s="8" t="s">
        <v>53</v>
      </c>
      <c r="D3477" s="32" t="n">
        <v>46241</v>
      </c>
      <c r="E3477" s="8" t="n">
        <v>7</v>
      </c>
      <c r="F3477" s="8" t="str">
        <f aca="false">IF(E3477&gt;=9,"Promoter",IF(E3477&gt;=7,"Passive","Detractor"))</f>
        <v>Passive</v>
      </c>
    </row>
    <row r="3478" customFormat="false" ht="15" hidden="false" customHeight="false" outlineLevel="0" collapsed="false">
      <c r="A3478" s="8" t="s">
        <v>8113</v>
      </c>
      <c r="B3478" s="8" t="s">
        <v>2414</v>
      </c>
      <c r="C3478" s="8" t="s">
        <v>51</v>
      </c>
      <c r="D3478" s="32" t="n">
        <v>46241</v>
      </c>
      <c r="E3478" s="8" t="n">
        <v>9</v>
      </c>
      <c r="F3478" s="8" t="str">
        <f aca="false">IF(E3478&gt;=9,"Promoter",IF(E3478&gt;=7,"Passive","Detractor"))</f>
        <v>Promoter</v>
      </c>
    </row>
    <row r="3479" customFormat="false" ht="15" hidden="false" customHeight="false" outlineLevel="0" collapsed="false">
      <c r="A3479" s="8" t="s">
        <v>8114</v>
      </c>
      <c r="B3479" s="8" t="s">
        <v>2610</v>
      </c>
      <c r="C3479" s="8" t="s">
        <v>51</v>
      </c>
      <c r="D3479" s="32" t="n">
        <v>46241</v>
      </c>
      <c r="E3479" s="8" t="n">
        <v>6</v>
      </c>
      <c r="F3479" s="8" t="str">
        <f aca="false">IF(E3479&gt;=9,"Promoter",IF(E3479&gt;=7,"Passive","Detractor"))</f>
        <v>Detractor</v>
      </c>
    </row>
    <row r="3480" customFormat="false" ht="15" hidden="false" customHeight="false" outlineLevel="0" collapsed="false">
      <c r="A3480" s="8" t="s">
        <v>8115</v>
      </c>
      <c r="B3480" s="8" t="s">
        <v>2878</v>
      </c>
      <c r="C3480" s="8" t="s">
        <v>51</v>
      </c>
      <c r="D3480" s="32" t="n">
        <v>46241</v>
      </c>
      <c r="E3480" s="8" t="n">
        <v>6</v>
      </c>
      <c r="F3480" s="8" t="str">
        <f aca="false">IF(E3480&gt;=9,"Promoter",IF(E3480&gt;=7,"Passive","Detractor"))</f>
        <v>Detractor</v>
      </c>
    </row>
    <row r="3481" customFormat="false" ht="15" hidden="false" customHeight="false" outlineLevel="0" collapsed="false">
      <c r="A3481" s="8" t="s">
        <v>8116</v>
      </c>
      <c r="B3481" s="8" t="s">
        <v>3644</v>
      </c>
      <c r="C3481" s="8" t="s">
        <v>51</v>
      </c>
      <c r="D3481" s="32" t="n">
        <v>46241</v>
      </c>
      <c r="E3481" s="8" t="n">
        <v>8</v>
      </c>
      <c r="F3481" s="8" t="str">
        <f aca="false">IF(E3481&gt;=9,"Promoter",IF(E3481&gt;=7,"Passive","Detractor"))</f>
        <v>Passive</v>
      </c>
    </row>
    <row r="3482" customFormat="false" ht="15" hidden="false" customHeight="false" outlineLevel="0" collapsed="false">
      <c r="A3482" s="8" t="s">
        <v>8117</v>
      </c>
      <c r="B3482" s="8" t="s">
        <v>1263</v>
      </c>
      <c r="C3482" s="8" t="s">
        <v>53</v>
      </c>
      <c r="D3482" s="32" t="n">
        <v>46242</v>
      </c>
      <c r="E3482" s="8" t="n">
        <v>10</v>
      </c>
      <c r="F3482" s="8" t="str">
        <f aca="false">IF(E3482&gt;=9,"Promoter",IF(E3482&gt;=7,"Passive","Detractor"))</f>
        <v>Promoter</v>
      </c>
    </row>
    <row r="3483" customFormat="false" ht="15" hidden="false" customHeight="false" outlineLevel="0" collapsed="false">
      <c r="A3483" s="8" t="s">
        <v>8118</v>
      </c>
      <c r="B3483" s="8" t="s">
        <v>2732</v>
      </c>
      <c r="C3483" s="8" t="s">
        <v>51</v>
      </c>
      <c r="D3483" s="32" t="n">
        <v>46242</v>
      </c>
      <c r="E3483" s="8" t="n">
        <v>8</v>
      </c>
      <c r="F3483" s="8" t="str">
        <f aca="false">IF(E3483&gt;=9,"Promoter",IF(E3483&gt;=7,"Passive","Detractor"))</f>
        <v>Passive</v>
      </c>
    </row>
    <row r="3484" customFormat="false" ht="15" hidden="false" customHeight="false" outlineLevel="0" collapsed="false">
      <c r="A3484" s="8" t="s">
        <v>8119</v>
      </c>
      <c r="B3484" s="8" t="s">
        <v>2980</v>
      </c>
      <c r="C3484" s="8" t="s">
        <v>51</v>
      </c>
      <c r="D3484" s="32" t="n">
        <v>46242</v>
      </c>
      <c r="E3484" s="8" t="n">
        <v>8</v>
      </c>
      <c r="F3484" s="8" t="str">
        <f aca="false">IF(E3484&gt;=9,"Promoter",IF(E3484&gt;=7,"Passive","Detractor"))</f>
        <v>Passive</v>
      </c>
    </row>
    <row r="3485" customFormat="false" ht="15" hidden="false" customHeight="false" outlineLevel="0" collapsed="false">
      <c r="A3485" s="8" t="s">
        <v>8120</v>
      </c>
      <c r="B3485" s="8" t="s">
        <v>4156</v>
      </c>
      <c r="C3485" s="8" t="s">
        <v>51</v>
      </c>
      <c r="D3485" s="32" t="n">
        <v>46242</v>
      </c>
      <c r="E3485" s="8" t="n">
        <v>10</v>
      </c>
      <c r="F3485" s="8" t="str">
        <f aca="false">IF(E3485&gt;=9,"Promoter",IF(E3485&gt;=7,"Passive","Detractor"))</f>
        <v>Promoter</v>
      </c>
    </row>
    <row r="3486" customFormat="false" ht="15" hidden="false" customHeight="false" outlineLevel="0" collapsed="false">
      <c r="A3486" s="8" t="s">
        <v>8121</v>
      </c>
      <c r="B3486" s="8" t="s">
        <v>793</v>
      </c>
      <c r="C3486" s="8" t="s">
        <v>53</v>
      </c>
      <c r="D3486" s="32" t="n">
        <v>46242</v>
      </c>
      <c r="E3486" s="8" t="n">
        <v>10</v>
      </c>
      <c r="F3486" s="8" t="str">
        <f aca="false">IF(E3486&gt;=9,"Promoter",IF(E3486&gt;=7,"Passive","Detractor"))</f>
        <v>Promoter</v>
      </c>
    </row>
    <row r="3487" customFormat="false" ht="15" hidden="false" customHeight="false" outlineLevel="0" collapsed="false">
      <c r="A3487" s="8" t="s">
        <v>8122</v>
      </c>
      <c r="B3487" s="8" t="s">
        <v>2542</v>
      </c>
      <c r="C3487" s="8" t="s">
        <v>51</v>
      </c>
      <c r="D3487" s="32" t="n">
        <v>46242</v>
      </c>
      <c r="E3487" s="8" t="n">
        <v>8</v>
      </c>
      <c r="F3487" s="8" t="str">
        <f aca="false">IF(E3487&gt;=9,"Promoter",IF(E3487&gt;=7,"Passive","Detractor"))</f>
        <v>Passive</v>
      </c>
    </row>
    <row r="3488" customFormat="false" ht="15" hidden="false" customHeight="false" outlineLevel="0" collapsed="false">
      <c r="A3488" s="8" t="s">
        <v>8123</v>
      </c>
      <c r="B3488" s="8" t="s">
        <v>3994</v>
      </c>
      <c r="C3488" s="8" t="s">
        <v>51</v>
      </c>
      <c r="D3488" s="32" t="n">
        <v>46242</v>
      </c>
      <c r="E3488" s="8" t="n">
        <v>8</v>
      </c>
      <c r="F3488" s="8" t="str">
        <f aca="false">IF(E3488&gt;=9,"Promoter",IF(E3488&gt;=7,"Passive","Detractor"))</f>
        <v>Passive</v>
      </c>
    </row>
    <row r="3489" customFormat="false" ht="15" hidden="false" customHeight="false" outlineLevel="0" collapsed="false">
      <c r="A3489" s="8" t="s">
        <v>8124</v>
      </c>
      <c r="B3489" s="8" t="s">
        <v>1453</v>
      </c>
      <c r="C3489" s="8" t="s">
        <v>53</v>
      </c>
      <c r="D3489" s="32" t="n">
        <v>46242</v>
      </c>
      <c r="E3489" s="8" t="n">
        <v>8</v>
      </c>
      <c r="F3489" s="8" t="str">
        <f aca="false">IF(E3489&gt;=9,"Promoter",IF(E3489&gt;=7,"Passive","Detractor"))</f>
        <v>Passive</v>
      </c>
    </row>
    <row r="3490" customFormat="false" ht="15" hidden="false" customHeight="false" outlineLevel="0" collapsed="false">
      <c r="A3490" s="8" t="s">
        <v>8125</v>
      </c>
      <c r="B3490" s="8" t="s">
        <v>693</v>
      </c>
      <c r="C3490" s="8" t="s">
        <v>53</v>
      </c>
      <c r="D3490" s="32" t="n">
        <v>46242</v>
      </c>
      <c r="E3490" s="8" t="n">
        <v>10</v>
      </c>
      <c r="F3490" s="8" t="str">
        <f aca="false">IF(E3490&gt;=9,"Promoter",IF(E3490&gt;=7,"Passive","Detractor"))</f>
        <v>Promoter</v>
      </c>
    </row>
    <row r="3491" customFormat="false" ht="15" hidden="false" customHeight="false" outlineLevel="0" collapsed="false">
      <c r="A3491" s="8" t="s">
        <v>8126</v>
      </c>
      <c r="B3491" s="8" t="s">
        <v>2524</v>
      </c>
      <c r="C3491" s="8" t="s">
        <v>51</v>
      </c>
      <c r="D3491" s="32" t="n">
        <v>46242</v>
      </c>
      <c r="E3491" s="8" t="n">
        <v>8</v>
      </c>
      <c r="F3491" s="8" t="str">
        <f aca="false">IF(E3491&gt;=9,"Promoter",IF(E3491&gt;=7,"Passive","Detractor"))</f>
        <v>Passive</v>
      </c>
    </row>
    <row r="3492" customFormat="false" ht="15" hidden="false" customHeight="false" outlineLevel="0" collapsed="false">
      <c r="A3492" s="8" t="s">
        <v>8127</v>
      </c>
      <c r="B3492" s="8" t="s">
        <v>1803</v>
      </c>
      <c r="C3492" s="8" t="s">
        <v>53</v>
      </c>
      <c r="D3492" s="32" t="n">
        <v>46242</v>
      </c>
      <c r="E3492" s="8" t="n">
        <v>9</v>
      </c>
      <c r="F3492" s="8" t="str">
        <f aca="false">IF(E3492&gt;=9,"Promoter",IF(E3492&gt;=7,"Passive","Detractor"))</f>
        <v>Promoter</v>
      </c>
    </row>
    <row r="3493" customFormat="false" ht="15" hidden="false" customHeight="false" outlineLevel="0" collapsed="false">
      <c r="A3493" s="8" t="s">
        <v>8128</v>
      </c>
      <c r="B3493" s="8" t="s">
        <v>1301</v>
      </c>
      <c r="C3493" s="8" t="s">
        <v>53</v>
      </c>
      <c r="D3493" s="32" t="n">
        <v>46242</v>
      </c>
      <c r="E3493" s="8" t="n">
        <v>9</v>
      </c>
      <c r="F3493" s="8" t="str">
        <f aca="false">IF(E3493&gt;=9,"Promoter",IF(E3493&gt;=7,"Passive","Detractor"))</f>
        <v>Promoter</v>
      </c>
    </row>
    <row r="3494" customFormat="false" ht="15" hidden="false" customHeight="false" outlineLevel="0" collapsed="false">
      <c r="A3494" s="8" t="s">
        <v>8129</v>
      </c>
      <c r="B3494" s="8" t="s">
        <v>1375</v>
      </c>
      <c r="C3494" s="8" t="s">
        <v>53</v>
      </c>
      <c r="D3494" s="32" t="n">
        <v>46242</v>
      </c>
      <c r="E3494" s="8" t="n">
        <v>10</v>
      </c>
      <c r="F3494" s="8" t="str">
        <f aca="false">IF(E3494&gt;=9,"Promoter",IF(E3494&gt;=7,"Passive","Detractor"))</f>
        <v>Promoter</v>
      </c>
    </row>
    <row r="3495" customFormat="false" ht="15" hidden="false" customHeight="false" outlineLevel="0" collapsed="false">
      <c r="A3495" s="8" t="s">
        <v>8130</v>
      </c>
      <c r="B3495" s="8" t="s">
        <v>3976</v>
      </c>
      <c r="C3495" s="8" t="s">
        <v>51</v>
      </c>
      <c r="D3495" s="32" t="n">
        <v>46242</v>
      </c>
      <c r="E3495" s="8" t="n">
        <v>9</v>
      </c>
      <c r="F3495" s="8" t="str">
        <f aca="false">IF(E3495&gt;=9,"Promoter",IF(E3495&gt;=7,"Passive","Detractor"))</f>
        <v>Promoter</v>
      </c>
    </row>
    <row r="3496" customFormat="false" ht="15" hidden="false" customHeight="false" outlineLevel="0" collapsed="false">
      <c r="A3496" s="8" t="s">
        <v>8131</v>
      </c>
      <c r="B3496" s="8" t="s">
        <v>449</v>
      </c>
      <c r="C3496" s="8" t="s">
        <v>55</v>
      </c>
      <c r="D3496" s="32" t="n">
        <v>46243</v>
      </c>
      <c r="E3496" s="8" t="n">
        <v>7</v>
      </c>
      <c r="F3496" s="8" t="str">
        <f aca="false">IF(E3496&gt;=9,"Promoter",IF(E3496&gt;=7,"Passive","Detractor"))</f>
        <v>Passive</v>
      </c>
    </row>
    <row r="3497" customFormat="false" ht="15" hidden="false" customHeight="false" outlineLevel="0" collapsed="false">
      <c r="A3497" s="8" t="s">
        <v>8132</v>
      </c>
      <c r="B3497" s="8" t="s">
        <v>2602</v>
      </c>
      <c r="C3497" s="8" t="s">
        <v>51</v>
      </c>
      <c r="D3497" s="32" t="n">
        <v>46243</v>
      </c>
      <c r="E3497" s="8" t="n">
        <v>7</v>
      </c>
      <c r="F3497" s="8" t="str">
        <f aca="false">IF(E3497&gt;=9,"Promoter",IF(E3497&gt;=7,"Passive","Detractor"))</f>
        <v>Passive</v>
      </c>
    </row>
    <row r="3498" customFormat="false" ht="15" hidden="false" customHeight="false" outlineLevel="0" collapsed="false">
      <c r="A3498" s="8" t="s">
        <v>8133</v>
      </c>
      <c r="B3498" s="8" t="s">
        <v>3964</v>
      </c>
      <c r="C3498" s="8" t="s">
        <v>51</v>
      </c>
      <c r="D3498" s="32" t="n">
        <v>46243</v>
      </c>
      <c r="E3498" s="8" t="n">
        <v>7</v>
      </c>
      <c r="F3498" s="8" t="str">
        <f aca="false">IF(E3498&gt;=9,"Promoter",IF(E3498&gt;=7,"Passive","Detractor"))</f>
        <v>Passive</v>
      </c>
    </row>
    <row r="3499" customFormat="false" ht="15" hidden="false" customHeight="false" outlineLevel="0" collapsed="false">
      <c r="A3499" s="8" t="s">
        <v>8134</v>
      </c>
      <c r="B3499" s="8" t="s">
        <v>657</v>
      </c>
      <c r="C3499" s="8" t="s">
        <v>53</v>
      </c>
      <c r="D3499" s="32" t="n">
        <v>46243</v>
      </c>
      <c r="E3499" s="8" t="n">
        <v>10</v>
      </c>
      <c r="F3499" s="8" t="str">
        <f aca="false">IF(E3499&gt;=9,"Promoter",IF(E3499&gt;=7,"Passive","Detractor"))</f>
        <v>Promoter</v>
      </c>
    </row>
    <row r="3500" customFormat="false" ht="15" hidden="false" customHeight="false" outlineLevel="0" collapsed="false">
      <c r="A3500" s="8" t="s">
        <v>8135</v>
      </c>
      <c r="B3500" s="8" t="s">
        <v>1181</v>
      </c>
      <c r="C3500" s="8" t="s">
        <v>53</v>
      </c>
      <c r="D3500" s="32" t="n">
        <v>46243</v>
      </c>
      <c r="E3500" s="8" t="n">
        <v>8</v>
      </c>
      <c r="F3500" s="8" t="str">
        <f aca="false">IF(E3500&gt;=9,"Promoter",IF(E3500&gt;=7,"Passive","Detractor"))</f>
        <v>Passive</v>
      </c>
    </row>
    <row r="3501" customFormat="false" ht="15" hidden="false" customHeight="false" outlineLevel="0" collapsed="false">
      <c r="A3501" s="8" t="s">
        <v>8136</v>
      </c>
      <c r="B3501" s="8" t="s">
        <v>3178</v>
      </c>
      <c r="C3501" s="8" t="s">
        <v>51</v>
      </c>
      <c r="D3501" s="32" t="n">
        <v>46243</v>
      </c>
      <c r="E3501" s="8" t="n">
        <v>10</v>
      </c>
      <c r="F3501" s="8" t="str">
        <f aca="false">IF(E3501&gt;=9,"Promoter",IF(E3501&gt;=7,"Passive","Detractor"))</f>
        <v>Promoter</v>
      </c>
    </row>
    <row r="3502" customFormat="false" ht="15" hidden="false" customHeight="false" outlineLevel="0" collapsed="false">
      <c r="A3502" s="8" t="s">
        <v>8137</v>
      </c>
      <c r="B3502" s="8" t="s">
        <v>3418</v>
      </c>
      <c r="C3502" s="8" t="s">
        <v>51</v>
      </c>
      <c r="D3502" s="32" t="n">
        <v>46243</v>
      </c>
      <c r="E3502" s="8" t="n">
        <v>7</v>
      </c>
      <c r="F3502" s="8" t="str">
        <f aca="false">IF(E3502&gt;=9,"Promoter",IF(E3502&gt;=7,"Passive","Detractor"))</f>
        <v>Passive</v>
      </c>
    </row>
    <row r="3503" customFormat="false" ht="15" hidden="false" customHeight="false" outlineLevel="0" collapsed="false">
      <c r="A3503" s="8" t="s">
        <v>8138</v>
      </c>
      <c r="B3503" s="8" t="s">
        <v>2402</v>
      </c>
      <c r="C3503" s="8" t="s">
        <v>51</v>
      </c>
      <c r="D3503" s="32" t="n">
        <v>46243</v>
      </c>
      <c r="E3503" s="8" t="n">
        <v>10</v>
      </c>
      <c r="F3503" s="8" t="str">
        <f aca="false">IF(E3503&gt;=9,"Promoter",IF(E3503&gt;=7,"Passive","Detractor"))</f>
        <v>Promoter</v>
      </c>
    </row>
    <row r="3504" customFormat="false" ht="15" hidden="false" customHeight="false" outlineLevel="0" collapsed="false">
      <c r="A3504" s="8" t="s">
        <v>8139</v>
      </c>
      <c r="B3504" s="8" t="s">
        <v>2770</v>
      </c>
      <c r="C3504" s="8" t="s">
        <v>51</v>
      </c>
      <c r="D3504" s="32" t="n">
        <v>46243</v>
      </c>
      <c r="E3504" s="8" t="n">
        <v>8</v>
      </c>
      <c r="F3504" s="8" t="str">
        <f aca="false">IF(E3504&gt;=9,"Promoter",IF(E3504&gt;=7,"Passive","Detractor"))</f>
        <v>Passive</v>
      </c>
    </row>
    <row r="3505" customFormat="false" ht="15" hidden="false" customHeight="false" outlineLevel="0" collapsed="false">
      <c r="A3505" s="8" t="s">
        <v>8140</v>
      </c>
      <c r="B3505" s="8" t="s">
        <v>1165</v>
      </c>
      <c r="C3505" s="8" t="s">
        <v>53</v>
      </c>
      <c r="D3505" s="32" t="n">
        <v>46243</v>
      </c>
      <c r="E3505" s="8" t="n">
        <v>10</v>
      </c>
      <c r="F3505" s="8" t="str">
        <f aca="false">IF(E3505&gt;=9,"Promoter",IF(E3505&gt;=7,"Passive","Detractor"))</f>
        <v>Promoter</v>
      </c>
    </row>
    <row r="3506" customFormat="false" ht="15" hidden="false" customHeight="false" outlineLevel="0" collapsed="false">
      <c r="A3506" s="8" t="s">
        <v>8141</v>
      </c>
      <c r="B3506" s="8" t="s">
        <v>2472</v>
      </c>
      <c r="C3506" s="8" t="s">
        <v>51</v>
      </c>
      <c r="D3506" s="32" t="n">
        <v>46243</v>
      </c>
      <c r="E3506" s="8" t="n">
        <v>7</v>
      </c>
      <c r="F3506" s="8" t="str">
        <f aca="false">IF(E3506&gt;=9,"Promoter",IF(E3506&gt;=7,"Passive","Detractor"))</f>
        <v>Passive</v>
      </c>
    </row>
    <row r="3507" customFormat="false" ht="15" hidden="false" customHeight="false" outlineLevel="0" collapsed="false">
      <c r="A3507" s="8" t="s">
        <v>8142</v>
      </c>
      <c r="B3507" s="8" t="s">
        <v>3014</v>
      </c>
      <c r="C3507" s="8" t="s">
        <v>51</v>
      </c>
      <c r="D3507" s="32" t="n">
        <v>46243</v>
      </c>
      <c r="E3507" s="8" t="n">
        <v>10</v>
      </c>
      <c r="F3507" s="8" t="str">
        <f aca="false">IF(E3507&gt;=9,"Promoter",IF(E3507&gt;=7,"Passive","Detractor"))</f>
        <v>Promoter</v>
      </c>
    </row>
    <row r="3508" customFormat="false" ht="15" hidden="false" customHeight="false" outlineLevel="0" collapsed="false">
      <c r="A3508" s="8" t="s">
        <v>8143</v>
      </c>
      <c r="B3508" s="8" t="s">
        <v>2088</v>
      </c>
      <c r="C3508" s="8" t="s">
        <v>51</v>
      </c>
      <c r="D3508" s="32" t="n">
        <v>46244</v>
      </c>
      <c r="E3508" s="8" t="n">
        <v>8</v>
      </c>
      <c r="F3508" s="8" t="str">
        <f aca="false">IF(E3508&gt;=9,"Promoter",IF(E3508&gt;=7,"Passive","Detractor"))</f>
        <v>Passive</v>
      </c>
    </row>
    <row r="3509" customFormat="false" ht="15" hidden="false" customHeight="false" outlineLevel="0" collapsed="false">
      <c r="A3509" s="8" t="s">
        <v>8144</v>
      </c>
      <c r="B3509" s="8" t="s">
        <v>1693</v>
      </c>
      <c r="C3509" s="8" t="s">
        <v>53</v>
      </c>
      <c r="D3509" s="32" t="n">
        <v>46244</v>
      </c>
      <c r="E3509" s="8" t="n">
        <v>8</v>
      </c>
      <c r="F3509" s="8" t="str">
        <f aca="false">IF(E3509&gt;=9,"Promoter",IF(E3509&gt;=7,"Passive","Detractor"))</f>
        <v>Passive</v>
      </c>
    </row>
    <row r="3510" customFormat="false" ht="15" hidden="false" customHeight="false" outlineLevel="0" collapsed="false">
      <c r="A3510" s="8" t="s">
        <v>8145</v>
      </c>
      <c r="B3510" s="8" t="s">
        <v>919</v>
      </c>
      <c r="C3510" s="8" t="s">
        <v>53</v>
      </c>
      <c r="D3510" s="32" t="n">
        <v>46244</v>
      </c>
      <c r="E3510" s="8" t="n">
        <v>9</v>
      </c>
      <c r="F3510" s="8" t="str">
        <f aca="false">IF(E3510&gt;=9,"Promoter",IF(E3510&gt;=7,"Passive","Detractor"))</f>
        <v>Promoter</v>
      </c>
    </row>
    <row r="3511" customFormat="false" ht="15" hidden="false" customHeight="false" outlineLevel="0" collapsed="false">
      <c r="A3511" s="8" t="s">
        <v>8146</v>
      </c>
      <c r="B3511" s="8" t="s">
        <v>1133</v>
      </c>
      <c r="C3511" s="8" t="s">
        <v>53</v>
      </c>
      <c r="D3511" s="32" t="n">
        <v>46244</v>
      </c>
      <c r="E3511" s="8" t="n">
        <v>9</v>
      </c>
      <c r="F3511" s="8" t="str">
        <f aca="false">IF(E3511&gt;=9,"Promoter",IF(E3511&gt;=7,"Passive","Detractor"))</f>
        <v>Promoter</v>
      </c>
    </row>
    <row r="3512" customFormat="false" ht="15" hidden="false" customHeight="false" outlineLevel="0" collapsed="false">
      <c r="A3512" s="8" t="s">
        <v>8147</v>
      </c>
      <c r="B3512" s="8" t="s">
        <v>4158</v>
      </c>
      <c r="C3512" s="8" t="s">
        <v>51</v>
      </c>
      <c r="D3512" s="32" t="n">
        <v>46244</v>
      </c>
      <c r="E3512" s="8" t="n">
        <v>5</v>
      </c>
      <c r="F3512" s="8" t="str">
        <f aca="false">IF(E3512&gt;=9,"Promoter",IF(E3512&gt;=7,"Passive","Detractor"))</f>
        <v>Detractor</v>
      </c>
    </row>
    <row r="3513" customFormat="false" ht="15" hidden="false" customHeight="false" outlineLevel="0" collapsed="false">
      <c r="A3513" s="8" t="s">
        <v>8148</v>
      </c>
      <c r="B3513" s="8" t="s">
        <v>2638</v>
      </c>
      <c r="C3513" s="8" t="s">
        <v>51</v>
      </c>
      <c r="D3513" s="32" t="n">
        <v>46244</v>
      </c>
      <c r="E3513" s="8" t="n">
        <v>5</v>
      </c>
      <c r="F3513" s="8" t="str">
        <f aca="false">IF(E3513&gt;=9,"Promoter",IF(E3513&gt;=7,"Passive","Detractor"))</f>
        <v>Detractor</v>
      </c>
    </row>
    <row r="3514" customFormat="false" ht="15" hidden="false" customHeight="false" outlineLevel="0" collapsed="false">
      <c r="A3514" s="8" t="s">
        <v>8149</v>
      </c>
      <c r="B3514" s="8" t="s">
        <v>881</v>
      </c>
      <c r="C3514" s="8" t="s">
        <v>53</v>
      </c>
      <c r="D3514" s="32" t="n">
        <v>46244</v>
      </c>
      <c r="E3514" s="8" t="n">
        <v>10</v>
      </c>
      <c r="F3514" s="8" t="str">
        <f aca="false">IF(E3514&gt;=9,"Promoter",IF(E3514&gt;=7,"Passive","Detractor"))</f>
        <v>Promoter</v>
      </c>
    </row>
    <row r="3515" customFormat="false" ht="15" hidden="false" customHeight="false" outlineLevel="0" collapsed="false">
      <c r="A3515" s="8" t="s">
        <v>8150</v>
      </c>
      <c r="B3515" s="8" t="s">
        <v>4304</v>
      </c>
      <c r="C3515" s="8" t="s">
        <v>51</v>
      </c>
      <c r="D3515" s="32" t="n">
        <v>46244</v>
      </c>
      <c r="E3515" s="8" t="n">
        <v>8</v>
      </c>
      <c r="F3515" s="8" t="str">
        <f aca="false">IF(E3515&gt;=9,"Promoter",IF(E3515&gt;=7,"Passive","Detractor"))</f>
        <v>Passive</v>
      </c>
    </row>
    <row r="3516" customFormat="false" ht="15" hidden="false" customHeight="false" outlineLevel="0" collapsed="false">
      <c r="A3516" s="8" t="s">
        <v>8151</v>
      </c>
      <c r="B3516" s="8" t="s">
        <v>4104</v>
      </c>
      <c r="C3516" s="8" t="s">
        <v>51</v>
      </c>
      <c r="D3516" s="32" t="n">
        <v>46244</v>
      </c>
      <c r="E3516" s="8" t="n">
        <v>5</v>
      </c>
      <c r="F3516" s="8" t="str">
        <f aca="false">IF(E3516&gt;=9,"Promoter",IF(E3516&gt;=7,"Passive","Detractor"))</f>
        <v>Detractor</v>
      </c>
    </row>
    <row r="3517" customFormat="false" ht="15" hidden="false" customHeight="false" outlineLevel="0" collapsed="false">
      <c r="A3517" s="8" t="s">
        <v>8152</v>
      </c>
      <c r="B3517" s="8" t="s">
        <v>993</v>
      </c>
      <c r="C3517" s="8" t="s">
        <v>53</v>
      </c>
      <c r="D3517" s="32" t="n">
        <v>46244</v>
      </c>
      <c r="E3517" s="8" t="n">
        <v>10</v>
      </c>
      <c r="F3517" s="8" t="str">
        <f aca="false">IF(E3517&gt;=9,"Promoter",IF(E3517&gt;=7,"Passive","Detractor"))</f>
        <v>Promoter</v>
      </c>
    </row>
    <row r="3518" customFormat="false" ht="15" hidden="false" customHeight="false" outlineLevel="0" collapsed="false">
      <c r="A3518" s="8" t="s">
        <v>8153</v>
      </c>
      <c r="B3518" s="8" t="s">
        <v>355</v>
      </c>
      <c r="C3518" s="8" t="s">
        <v>55</v>
      </c>
      <c r="D3518" s="32" t="n">
        <v>46244</v>
      </c>
      <c r="E3518" s="8" t="n">
        <v>9</v>
      </c>
      <c r="F3518" s="8" t="str">
        <f aca="false">IF(E3518&gt;=9,"Promoter",IF(E3518&gt;=7,"Passive","Detractor"))</f>
        <v>Promoter</v>
      </c>
    </row>
    <row r="3519" customFormat="false" ht="15" hidden="false" customHeight="false" outlineLevel="0" collapsed="false">
      <c r="A3519" s="8" t="s">
        <v>8154</v>
      </c>
      <c r="B3519" s="8" t="s">
        <v>3226</v>
      </c>
      <c r="C3519" s="8" t="s">
        <v>51</v>
      </c>
      <c r="D3519" s="32" t="n">
        <v>46244</v>
      </c>
      <c r="E3519" s="8" t="n">
        <v>10</v>
      </c>
      <c r="F3519" s="8" t="str">
        <f aca="false">IF(E3519&gt;=9,"Promoter",IF(E3519&gt;=7,"Passive","Detractor"))</f>
        <v>Promoter</v>
      </c>
    </row>
    <row r="3520" customFormat="false" ht="15" hidden="false" customHeight="false" outlineLevel="0" collapsed="false">
      <c r="A3520" s="8" t="s">
        <v>8155</v>
      </c>
      <c r="B3520" s="8" t="s">
        <v>947</v>
      </c>
      <c r="C3520" s="8" t="s">
        <v>53</v>
      </c>
      <c r="D3520" s="32" t="n">
        <v>46244</v>
      </c>
      <c r="E3520" s="8" t="n">
        <v>10</v>
      </c>
      <c r="F3520" s="8" t="str">
        <f aca="false">IF(E3520&gt;=9,"Promoter",IF(E3520&gt;=7,"Passive","Detractor"))</f>
        <v>Promoter</v>
      </c>
    </row>
    <row r="3521" customFormat="false" ht="15" hidden="false" customHeight="false" outlineLevel="0" collapsed="false">
      <c r="A3521" s="8" t="s">
        <v>8156</v>
      </c>
      <c r="B3521" s="8" t="s">
        <v>4326</v>
      </c>
      <c r="C3521" s="8" t="s">
        <v>51</v>
      </c>
      <c r="D3521" s="32" t="n">
        <v>46244</v>
      </c>
      <c r="E3521" s="8" t="n">
        <v>8</v>
      </c>
      <c r="F3521" s="8" t="str">
        <f aca="false">IF(E3521&gt;=9,"Promoter",IF(E3521&gt;=7,"Passive","Detractor"))</f>
        <v>Passive</v>
      </c>
    </row>
    <row r="3522" customFormat="false" ht="15" hidden="false" customHeight="false" outlineLevel="0" collapsed="false">
      <c r="A3522" s="8" t="s">
        <v>8157</v>
      </c>
      <c r="B3522" s="8" t="s">
        <v>1863</v>
      </c>
      <c r="C3522" s="8" t="s">
        <v>51</v>
      </c>
      <c r="D3522" s="32" t="n">
        <v>46244</v>
      </c>
      <c r="E3522" s="8" t="n">
        <v>7</v>
      </c>
      <c r="F3522" s="8" t="str">
        <f aca="false">IF(E3522&gt;=9,"Promoter",IF(E3522&gt;=7,"Passive","Detractor"))</f>
        <v>Passive</v>
      </c>
    </row>
    <row r="3523" customFormat="false" ht="15" hidden="false" customHeight="false" outlineLevel="0" collapsed="false">
      <c r="A3523" s="8" t="s">
        <v>8158</v>
      </c>
      <c r="B3523" s="8" t="s">
        <v>2576</v>
      </c>
      <c r="C3523" s="8" t="s">
        <v>51</v>
      </c>
      <c r="D3523" s="32" t="n">
        <v>46244</v>
      </c>
      <c r="E3523" s="8" t="n">
        <v>7</v>
      </c>
      <c r="F3523" s="8" t="str">
        <f aca="false">IF(E3523&gt;=9,"Promoter",IF(E3523&gt;=7,"Passive","Detractor"))</f>
        <v>Passive</v>
      </c>
    </row>
    <row r="3524" customFormat="false" ht="15" hidden="false" customHeight="false" outlineLevel="0" collapsed="false">
      <c r="A3524" s="8" t="s">
        <v>8159</v>
      </c>
      <c r="B3524" s="8" t="s">
        <v>4012</v>
      </c>
      <c r="C3524" s="8" t="s">
        <v>51</v>
      </c>
      <c r="D3524" s="32" t="n">
        <v>46244</v>
      </c>
      <c r="E3524" s="8" t="n">
        <v>7</v>
      </c>
      <c r="F3524" s="8" t="str">
        <f aca="false">IF(E3524&gt;=9,"Promoter",IF(E3524&gt;=7,"Passive","Detractor"))</f>
        <v>Passive</v>
      </c>
    </row>
    <row r="3525" customFormat="false" ht="15" hidden="false" customHeight="false" outlineLevel="0" collapsed="false">
      <c r="A3525" s="8" t="s">
        <v>8160</v>
      </c>
      <c r="B3525" s="8" t="s">
        <v>2344</v>
      </c>
      <c r="C3525" s="8" t="s">
        <v>51</v>
      </c>
      <c r="D3525" s="32" t="n">
        <v>46244</v>
      </c>
      <c r="E3525" s="8" t="n">
        <v>10</v>
      </c>
      <c r="F3525" s="8" t="str">
        <f aca="false">IF(E3525&gt;=9,"Promoter",IF(E3525&gt;=7,"Passive","Detractor"))</f>
        <v>Promoter</v>
      </c>
    </row>
    <row r="3526" customFormat="false" ht="15" hidden="false" customHeight="false" outlineLevel="0" collapsed="false">
      <c r="A3526" s="8" t="s">
        <v>8161</v>
      </c>
      <c r="B3526" s="8" t="s">
        <v>2320</v>
      </c>
      <c r="C3526" s="8" t="s">
        <v>51</v>
      </c>
      <c r="D3526" s="32" t="n">
        <v>46244</v>
      </c>
      <c r="E3526" s="8" t="n">
        <v>10</v>
      </c>
      <c r="F3526" s="8" t="str">
        <f aca="false">IF(E3526&gt;=9,"Promoter",IF(E3526&gt;=7,"Passive","Detractor"))</f>
        <v>Promoter</v>
      </c>
    </row>
    <row r="3527" customFormat="false" ht="15" hidden="false" customHeight="false" outlineLevel="0" collapsed="false">
      <c r="A3527" s="8" t="s">
        <v>8162</v>
      </c>
      <c r="B3527" s="8" t="s">
        <v>1435</v>
      </c>
      <c r="C3527" s="8" t="s">
        <v>53</v>
      </c>
      <c r="D3527" s="32" t="n">
        <v>46244</v>
      </c>
      <c r="E3527" s="8" t="n">
        <v>9</v>
      </c>
      <c r="F3527" s="8" t="str">
        <f aca="false">IF(E3527&gt;=9,"Promoter",IF(E3527&gt;=7,"Passive","Detractor"))</f>
        <v>Promoter</v>
      </c>
    </row>
    <row r="3528" customFormat="false" ht="15" hidden="false" customHeight="false" outlineLevel="0" collapsed="false">
      <c r="A3528" s="8" t="s">
        <v>8163</v>
      </c>
      <c r="B3528" s="8" t="s">
        <v>1553</v>
      </c>
      <c r="C3528" s="8" t="s">
        <v>53</v>
      </c>
      <c r="D3528" s="32" t="n">
        <v>46245</v>
      </c>
      <c r="E3528" s="8" t="n">
        <v>10</v>
      </c>
      <c r="F3528" s="8" t="str">
        <f aca="false">IF(E3528&gt;=9,"Promoter",IF(E3528&gt;=7,"Passive","Detractor"))</f>
        <v>Promoter</v>
      </c>
    </row>
    <row r="3529" customFormat="false" ht="15" hidden="false" customHeight="false" outlineLevel="0" collapsed="false">
      <c r="A3529" s="8" t="s">
        <v>8164</v>
      </c>
      <c r="B3529" s="8" t="s">
        <v>4210</v>
      </c>
      <c r="C3529" s="8" t="s">
        <v>51</v>
      </c>
      <c r="D3529" s="32" t="n">
        <v>46245</v>
      </c>
      <c r="E3529" s="8" t="n">
        <v>7</v>
      </c>
      <c r="F3529" s="8" t="str">
        <f aca="false">IF(E3529&gt;=9,"Promoter",IF(E3529&gt;=7,"Passive","Detractor"))</f>
        <v>Passive</v>
      </c>
    </row>
    <row r="3530" customFormat="false" ht="15" hidden="false" customHeight="false" outlineLevel="0" collapsed="false">
      <c r="A3530" s="8" t="s">
        <v>8165</v>
      </c>
      <c r="B3530" s="8" t="s">
        <v>1421</v>
      </c>
      <c r="C3530" s="8" t="s">
        <v>53</v>
      </c>
      <c r="D3530" s="32" t="n">
        <v>46245</v>
      </c>
      <c r="E3530" s="8" t="n">
        <v>10</v>
      </c>
      <c r="F3530" s="8" t="str">
        <f aca="false">IF(E3530&gt;=9,"Promoter",IF(E3530&gt;=7,"Passive","Detractor"))</f>
        <v>Promoter</v>
      </c>
    </row>
    <row r="3531" customFormat="false" ht="15" hidden="false" customHeight="false" outlineLevel="0" collapsed="false">
      <c r="A3531" s="8" t="s">
        <v>8166</v>
      </c>
      <c r="B3531" s="8" t="s">
        <v>1483</v>
      </c>
      <c r="C3531" s="8" t="s">
        <v>53</v>
      </c>
      <c r="D3531" s="32" t="n">
        <v>46245</v>
      </c>
      <c r="E3531" s="8" t="n">
        <v>7</v>
      </c>
      <c r="F3531" s="8" t="str">
        <f aca="false">IF(E3531&gt;=9,"Promoter",IF(E3531&gt;=7,"Passive","Detractor"))</f>
        <v>Passive</v>
      </c>
    </row>
    <row r="3532" customFormat="false" ht="15" hidden="false" customHeight="false" outlineLevel="0" collapsed="false">
      <c r="A3532" s="8" t="s">
        <v>8167</v>
      </c>
      <c r="B3532" s="8" t="s">
        <v>1503</v>
      </c>
      <c r="C3532" s="8" t="s">
        <v>53</v>
      </c>
      <c r="D3532" s="32" t="n">
        <v>46245</v>
      </c>
      <c r="E3532" s="8" t="n">
        <v>10</v>
      </c>
      <c r="F3532" s="8" t="str">
        <f aca="false">IF(E3532&gt;=9,"Promoter",IF(E3532&gt;=7,"Passive","Detractor"))</f>
        <v>Promoter</v>
      </c>
    </row>
    <row r="3533" customFormat="false" ht="15" hidden="false" customHeight="false" outlineLevel="0" collapsed="false">
      <c r="A3533" s="8" t="s">
        <v>8168</v>
      </c>
      <c r="B3533" s="8" t="s">
        <v>2032</v>
      </c>
      <c r="C3533" s="8" t="s">
        <v>51</v>
      </c>
      <c r="D3533" s="32" t="n">
        <v>46245</v>
      </c>
      <c r="E3533" s="8" t="n">
        <v>7</v>
      </c>
      <c r="F3533" s="8" t="str">
        <f aca="false">IF(E3533&gt;=9,"Promoter",IF(E3533&gt;=7,"Passive","Detractor"))</f>
        <v>Passive</v>
      </c>
    </row>
    <row r="3534" customFormat="false" ht="15" hidden="false" customHeight="false" outlineLevel="0" collapsed="false">
      <c r="A3534" s="8" t="s">
        <v>8169</v>
      </c>
      <c r="B3534" s="8" t="s">
        <v>1185</v>
      </c>
      <c r="C3534" s="8" t="s">
        <v>53</v>
      </c>
      <c r="D3534" s="32" t="n">
        <v>46245</v>
      </c>
      <c r="E3534" s="8" t="n">
        <v>6</v>
      </c>
      <c r="F3534" s="8" t="str">
        <f aca="false">IF(E3534&gt;=9,"Promoter",IF(E3534&gt;=7,"Passive","Detractor"))</f>
        <v>Detractor</v>
      </c>
    </row>
    <row r="3535" customFormat="false" ht="15" hidden="false" customHeight="false" outlineLevel="0" collapsed="false">
      <c r="A3535" s="8" t="s">
        <v>8170</v>
      </c>
      <c r="B3535" s="8" t="s">
        <v>2424</v>
      </c>
      <c r="C3535" s="8" t="s">
        <v>51</v>
      </c>
      <c r="D3535" s="32" t="n">
        <v>46245</v>
      </c>
      <c r="E3535" s="8" t="n">
        <v>9</v>
      </c>
      <c r="F3535" s="8" t="str">
        <f aca="false">IF(E3535&gt;=9,"Promoter",IF(E3535&gt;=7,"Passive","Detractor"))</f>
        <v>Promoter</v>
      </c>
    </row>
    <row r="3536" customFormat="false" ht="15" hidden="false" customHeight="false" outlineLevel="0" collapsed="false">
      <c r="A3536" s="8" t="s">
        <v>8171</v>
      </c>
      <c r="B3536" s="8" t="s">
        <v>3058</v>
      </c>
      <c r="C3536" s="8" t="s">
        <v>51</v>
      </c>
      <c r="D3536" s="32" t="n">
        <v>46245</v>
      </c>
      <c r="E3536" s="8" t="n">
        <v>8</v>
      </c>
      <c r="F3536" s="8" t="str">
        <f aca="false">IF(E3536&gt;=9,"Promoter",IF(E3536&gt;=7,"Passive","Detractor"))</f>
        <v>Passive</v>
      </c>
    </row>
    <row r="3537" customFormat="false" ht="15" hidden="false" customHeight="false" outlineLevel="0" collapsed="false">
      <c r="A3537" s="8" t="s">
        <v>8172</v>
      </c>
      <c r="B3537" s="8" t="s">
        <v>1139</v>
      </c>
      <c r="C3537" s="8" t="s">
        <v>53</v>
      </c>
      <c r="D3537" s="32" t="n">
        <v>46245</v>
      </c>
      <c r="E3537" s="8" t="n">
        <v>8</v>
      </c>
      <c r="F3537" s="8" t="str">
        <f aca="false">IF(E3537&gt;=9,"Promoter",IF(E3537&gt;=7,"Passive","Detractor"))</f>
        <v>Passive</v>
      </c>
    </row>
    <row r="3538" customFormat="false" ht="15" hidden="false" customHeight="false" outlineLevel="0" collapsed="false">
      <c r="A3538" s="8" t="s">
        <v>8173</v>
      </c>
      <c r="B3538" s="8" t="s">
        <v>501</v>
      </c>
      <c r="C3538" s="8" t="s">
        <v>53</v>
      </c>
      <c r="D3538" s="32" t="n">
        <v>46245</v>
      </c>
      <c r="E3538" s="8" t="n">
        <v>7</v>
      </c>
      <c r="F3538" s="8" t="str">
        <f aca="false">IF(E3538&gt;=9,"Promoter",IF(E3538&gt;=7,"Passive","Detractor"))</f>
        <v>Passive</v>
      </c>
    </row>
    <row r="3539" customFormat="false" ht="15" hidden="false" customHeight="false" outlineLevel="0" collapsed="false">
      <c r="A3539" s="8" t="s">
        <v>8174</v>
      </c>
      <c r="B3539" s="8" t="s">
        <v>2268</v>
      </c>
      <c r="C3539" s="8" t="s">
        <v>51</v>
      </c>
      <c r="D3539" s="32" t="n">
        <v>46245</v>
      </c>
      <c r="E3539" s="8" t="n">
        <v>10</v>
      </c>
      <c r="F3539" s="8" t="str">
        <f aca="false">IF(E3539&gt;=9,"Promoter",IF(E3539&gt;=7,"Passive","Detractor"))</f>
        <v>Promoter</v>
      </c>
    </row>
    <row r="3540" customFormat="false" ht="15" hidden="false" customHeight="false" outlineLevel="0" collapsed="false">
      <c r="A3540" s="8" t="s">
        <v>8175</v>
      </c>
      <c r="B3540" s="8" t="s">
        <v>3140</v>
      </c>
      <c r="C3540" s="8" t="s">
        <v>51</v>
      </c>
      <c r="D3540" s="32" t="n">
        <v>46245</v>
      </c>
      <c r="E3540" s="8" t="n">
        <v>7</v>
      </c>
      <c r="F3540" s="8" t="str">
        <f aca="false">IF(E3540&gt;=9,"Promoter",IF(E3540&gt;=7,"Passive","Detractor"))</f>
        <v>Passive</v>
      </c>
    </row>
    <row r="3541" customFormat="false" ht="15" hidden="false" customHeight="false" outlineLevel="0" collapsed="false">
      <c r="A3541" s="8" t="s">
        <v>8176</v>
      </c>
      <c r="B3541" s="8" t="s">
        <v>4014</v>
      </c>
      <c r="C3541" s="8" t="s">
        <v>51</v>
      </c>
      <c r="D3541" s="32" t="n">
        <v>46245</v>
      </c>
      <c r="E3541" s="8" t="n">
        <v>9</v>
      </c>
      <c r="F3541" s="8" t="str">
        <f aca="false">IF(E3541&gt;=9,"Promoter",IF(E3541&gt;=7,"Passive","Detractor"))</f>
        <v>Promoter</v>
      </c>
    </row>
    <row r="3542" customFormat="false" ht="15" hidden="false" customHeight="false" outlineLevel="0" collapsed="false">
      <c r="A3542" s="8" t="s">
        <v>8177</v>
      </c>
      <c r="B3542" s="8" t="s">
        <v>949</v>
      </c>
      <c r="C3542" s="8" t="s">
        <v>53</v>
      </c>
      <c r="D3542" s="32" t="n">
        <v>46245</v>
      </c>
      <c r="E3542" s="8" t="n">
        <v>10</v>
      </c>
      <c r="F3542" s="8" t="str">
        <f aca="false">IF(E3542&gt;=9,"Promoter",IF(E3542&gt;=7,"Passive","Detractor"))</f>
        <v>Promoter</v>
      </c>
    </row>
    <row r="3543" customFormat="false" ht="15" hidden="false" customHeight="false" outlineLevel="0" collapsed="false">
      <c r="A3543" s="8" t="s">
        <v>8178</v>
      </c>
      <c r="B3543" s="8" t="s">
        <v>3526</v>
      </c>
      <c r="C3543" s="8" t="s">
        <v>51</v>
      </c>
      <c r="D3543" s="32" t="n">
        <v>46245</v>
      </c>
      <c r="E3543" s="8" t="n">
        <v>8</v>
      </c>
      <c r="F3543" s="8" t="str">
        <f aca="false">IF(E3543&gt;=9,"Promoter",IF(E3543&gt;=7,"Passive","Detractor"))</f>
        <v>Passive</v>
      </c>
    </row>
    <row r="3544" customFormat="false" ht="15" hidden="false" customHeight="false" outlineLevel="0" collapsed="false">
      <c r="A3544" s="8" t="s">
        <v>8179</v>
      </c>
      <c r="B3544" s="8" t="s">
        <v>3384</v>
      </c>
      <c r="C3544" s="8" t="s">
        <v>51</v>
      </c>
      <c r="D3544" s="32" t="n">
        <v>46245</v>
      </c>
      <c r="E3544" s="8" t="n">
        <v>8</v>
      </c>
      <c r="F3544" s="8" t="str">
        <f aca="false">IF(E3544&gt;=9,"Promoter",IF(E3544&gt;=7,"Passive","Detractor"))</f>
        <v>Passive</v>
      </c>
    </row>
    <row r="3545" customFormat="false" ht="15" hidden="false" customHeight="false" outlineLevel="0" collapsed="false">
      <c r="A3545" s="8" t="s">
        <v>8180</v>
      </c>
      <c r="B3545" s="8" t="s">
        <v>2810</v>
      </c>
      <c r="C3545" s="8" t="s">
        <v>51</v>
      </c>
      <c r="D3545" s="32" t="n">
        <v>46246</v>
      </c>
      <c r="E3545" s="8" t="n">
        <v>10</v>
      </c>
      <c r="F3545" s="8" t="str">
        <f aca="false">IF(E3545&gt;=9,"Promoter",IF(E3545&gt;=7,"Passive","Detractor"))</f>
        <v>Promoter</v>
      </c>
    </row>
    <row r="3546" customFormat="false" ht="15" hidden="false" customHeight="false" outlineLevel="0" collapsed="false">
      <c r="A3546" s="8" t="s">
        <v>8181</v>
      </c>
      <c r="B3546" s="8" t="s">
        <v>535</v>
      </c>
      <c r="C3546" s="8" t="s">
        <v>55</v>
      </c>
      <c r="D3546" s="32" t="n">
        <v>46246</v>
      </c>
      <c r="E3546" s="8" t="n">
        <v>10</v>
      </c>
      <c r="F3546" s="8" t="str">
        <f aca="false">IF(E3546&gt;=9,"Promoter",IF(E3546&gt;=7,"Passive","Detractor"))</f>
        <v>Promoter</v>
      </c>
    </row>
    <row r="3547" customFormat="false" ht="15" hidden="false" customHeight="false" outlineLevel="0" collapsed="false">
      <c r="A3547" s="8" t="s">
        <v>8182</v>
      </c>
      <c r="B3547" s="8" t="s">
        <v>2420</v>
      </c>
      <c r="C3547" s="8" t="s">
        <v>51</v>
      </c>
      <c r="D3547" s="32" t="n">
        <v>46246</v>
      </c>
      <c r="E3547" s="8" t="n">
        <v>10</v>
      </c>
      <c r="F3547" s="8" t="str">
        <f aca="false">IF(E3547&gt;=9,"Promoter",IF(E3547&gt;=7,"Passive","Detractor"))</f>
        <v>Promoter</v>
      </c>
    </row>
    <row r="3548" customFormat="false" ht="15" hidden="false" customHeight="false" outlineLevel="0" collapsed="false">
      <c r="A3548" s="8" t="s">
        <v>8183</v>
      </c>
      <c r="B3548" s="8" t="s">
        <v>4264</v>
      </c>
      <c r="C3548" s="8" t="s">
        <v>51</v>
      </c>
      <c r="D3548" s="32" t="n">
        <v>46246</v>
      </c>
      <c r="E3548" s="8" t="n">
        <v>6</v>
      </c>
      <c r="F3548" s="8" t="str">
        <f aca="false">IF(E3548&gt;=9,"Promoter",IF(E3548&gt;=7,"Passive","Detractor"))</f>
        <v>Detractor</v>
      </c>
    </row>
    <row r="3549" customFormat="false" ht="15" hidden="false" customHeight="false" outlineLevel="0" collapsed="false">
      <c r="A3549" s="8" t="s">
        <v>8184</v>
      </c>
      <c r="B3549" s="8" t="s">
        <v>3914</v>
      </c>
      <c r="C3549" s="8" t="s">
        <v>51</v>
      </c>
      <c r="D3549" s="32" t="n">
        <v>46246</v>
      </c>
      <c r="E3549" s="8" t="n">
        <v>10</v>
      </c>
      <c r="F3549" s="8" t="str">
        <f aca="false">IF(E3549&gt;=9,"Promoter",IF(E3549&gt;=7,"Passive","Detractor"))</f>
        <v>Promoter</v>
      </c>
    </row>
    <row r="3550" customFormat="false" ht="15" hidden="false" customHeight="false" outlineLevel="0" collapsed="false">
      <c r="A3550" s="8" t="s">
        <v>8185</v>
      </c>
      <c r="B3550" s="8" t="s">
        <v>3808</v>
      </c>
      <c r="C3550" s="8" t="s">
        <v>51</v>
      </c>
      <c r="D3550" s="32" t="n">
        <v>46246</v>
      </c>
      <c r="E3550" s="8" t="n">
        <v>10</v>
      </c>
      <c r="F3550" s="8" t="str">
        <f aca="false">IF(E3550&gt;=9,"Promoter",IF(E3550&gt;=7,"Passive","Detractor"))</f>
        <v>Promoter</v>
      </c>
    </row>
    <row r="3551" customFormat="false" ht="15" hidden="false" customHeight="false" outlineLevel="0" collapsed="false">
      <c r="A3551" s="8" t="s">
        <v>8186</v>
      </c>
      <c r="B3551" s="8" t="s">
        <v>2940</v>
      </c>
      <c r="C3551" s="8" t="s">
        <v>51</v>
      </c>
      <c r="D3551" s="32" t="n">
        <v>46246</v>
      </c>
      <c r="E3551" s="8" t="n">
        <v>10</v>
      </c>
      <c r="F3551" s="8" t="str">
        <f aca="false">IF(E3551&gt;=9,"Promoter",IF(E3551&gt;=7,"Passive","Detractor"))</f>
        <v>Promoter</v>
      </c>
    </row>
    <row r="3552" customFormat="false" ht="15" hidden="false" customHeight="false" outlineLevel="0" collapsed="false">
      <c r="A3552" s="8" t="s">
        <v>8187</v>
      </c>
      <c r="B3552" s="8" t="s">
        <v>795</v>
      </c>
      <c r="C3552" s="8" t="s">
        <v>53</v>
      </c>
      <c r="D3552" s="32" t="n">
        <v>46246</v>
      </c>
      <c r="E3552" s="8" t="n">
        <v>8</v>
      </c>
      <c r="F3552" s="8" t="str">
        <f aca="false">IF(E3552&gt;=9,"Promoter",IF(E3552&gt;=7,"Passive","Detractor"))</f>
        <v>Passive</v>
      </c>
    </row>
    <row r="3553" customFormat="false" ht="15" hidden="false" customHeight="false" outlineLevel="0" collapsed="false">
      <c r="A3553" s="8" t="s">
        <v>8188</v>
      </c>
      <c r="B3553" s="8" t="s">
        <v>1201</v>
      </c>
      <c r="C3553" s="8" t="s">
        <v>53</v>
      </c>
      <c r="D3553" s="32" t="n">
        <v>46246</v>
      </c>
      <c r="E3553" s="8" t="n">
        <v>9</v>
      </c>
      <c r="F3553" s="8" t="str">
        <f aca="false">IF(E3553&gt;=9,"Promoter",IF(E3553&gt;=7,"Passive","Detractor"))</f>
        <v>Promoter</v>
      </c>
    </row>
    <row r="3554" customFormat="false" ht="15" hidden="false" customHeight="false" outlineLevel="0" collapsed="false">
      <c r="A3554" s="8" t="s">
        <v>8189</v>
      </c>
      <c r="B3554" s="8" t="s">
        <v>1131</v>
      </c>
      <c r="C3554" s="8" t="s">
        <v>53</v>
      </c>
      <c r="D3554" s="32" t="n">
        <v>46246</v>
      </c>
      <c r="E3554" s="8" t="n">
        <v>10</v>
      </c>
      <c r="F3554" s="8" t="str">
        <f aca="false">IF(E3554&gt;=9,"Promoter",IF(E3554&gt;=7,"Passive","Detractor"))</f>
        <v>Promoter</v>
      </c>
    </row>
    <row r="3555" customFormat="false" ht="15" hidden="false" customHeight="false" outlineLevel="0" collapsed="false">
      <c r="A3555" s="8" t="s">
        <v>8190</v>
      </c>
      <c r="B3555" s="8" t="s">
        <v>821</v>
      </c>
      <c r="C3555" s="8" t="s">
        <v>53</v>
      </c>
      <c r="D3555" s="32" t="n">
        <v>46246</v>
      </c>
      <c r="E3555" s="8" t="n">
        <v>8</v>
      </c>
      <c r="F3555" s="8" t="str">
        <f aca="false">IF(E3555&gt;=9,"Promoter",IF(E3555&gt;=7,"Passive","Detractor"))</f>
        <v>Passive</v>
      </c>
    </row>
    <row r="3556" customFormat="false" ht="15" hidden="false" customHeight="false" outlineLevel="0" collapsed="false">
      <c r="A3556" s="8" t="s">
        <v>8191</v>
      </c>
      <c r="B3556" s="8" t="s">
        <v>3008</v>
      </c>
      <c r="C3556" s="8" t="s">
        <v>51</v>
      </c>
      <c r="D3556" s="32" t="n">
        <v>46246</v>
      </c>
      <c r="E3556" s="8" t="n">
        <v>10</v>
      </c>
      <c r="F3556" s="8" t="str">
        <f aca="false">IF(E3556&gt;=9,"Promoter",IF(E3556&gt;=7,"Passive","Detractor"))</f>
        <v>Promoter</v>
      </c>
    </row>
    <row r="3557" customFormat="false" ht="15" hidden="false" customHeight="false" outlineLevel="0" collapsed="false">
      <c r="A3557" s="8" t="s">
        <v>8192</v>
      </c>
      <c r="B3557" s="8" t="s">
        <v>3378</v>
      </c>
      <c r="C3557" s="8" t="s">
        <v>51</v>
      </c>
      <c r="D3557" s="32" t="n">
        <v>46246</v>
      </c>
      <c r="E3557" s="8" t="n">
        <v>6</v>
      </c>
      <c r="F3557" s="8" t="str">
        <f aca="false">IF(E3557&gt;=9,"Promoter",IF(E3557&gt;=7,"Passive","Detractor"))</f>
        <v>Detractor</v>
      </c>
    </row>
    <row r="3558" customFormat="false" ht="15" hidden="false" customHeight="false" outlineLevel="0" collapsed="false">
      <c r="A3558" s="8" t="s">
        <v>8193</v>
      </c>
      <c r="B3558" s="8" t="s">
        <v>2396</v>
      </c>
      <c r="C3558" s="8" t="s">
        <v>51</v>
      </c>
      <c r="D3558" s="32" t="n">
        <v>46246</v>
      </c>
      <c r="E3558" s="8" t="n">
        <v>8</v>
      </c>
      <c r="F3558" s="8" t="str">
        <f aca="false">IF(E3558&gt;=9,"Promoter",IF(E3558&gt;=7,"Passive","Detractor"))</f>
        <v>Passive</v>
      </c>
    </row>
    <row r="3559" customFormat="false" ht="15" hidden="false" customHeight="false" outlineLevel="0" collapsed="false">
      <c r="A3559" s="8" t="s">
        <v>8194</v>
      </c>
      <c r="B3559" s="8" t="s">
        <v>417</v>
      </c>
      <c r="C3559" s="8" t="s">
        <v>55</v>
      </c>
      <c r="D3559" s="32" t="n">
        <v>46246</v>
      </c>
      <c r="E3559" s="8" t="n">
        <v>9</v>
      </c>
      <c r="F3559" s="8" t="str">
        <f aca="false">IF(E3559&gt;=9,"Promoter",IF(E3559&gt;=7,"Passive","Detractor"))</f>
        <v>Promoter</v>
      </c>
    </row>
    <row r="3560" customFormat="false" ht="15" hidden="false" customHeight="false" outlineLevel="0" collapsed="false">
      <c r="A3560" s="8" t="s">
        <v>8195</v>
      </c>
      <c r="B3560" s="8" t="s">
        <v>1747</v>
      </c>
      <c r="C3560" s="8" t="s">
        <v>53</v>
      </c>
      <c r="D3560" s="32" t="n">
        <v>46247</v>
      </c>
      <c r="E3560" s="8" t="n">
        <v>6</v>
      </c>
      <c r="F3560" s="8" t="str">
        <f aca="false">IF(E3560&gt;=9,"Promoter",IF(E3560&gt;=7,"Passive","Detractor"))</f>
        <v>Detractor</v>
      </c>
    </row>
    <row r="3561" customFormat="false" ht="15" hidden="false" customHeight="false" outlineLevel="0" collapsed="false">
      <c r="A3561" s="8" t="s">
        <v>8196</v>
      </c>
      <c r="B3561" s="8" t="s">
        <v>1831</v>
      </c>
      <c r="C3561" s="8" t="s">
        <v>51</v>
      </c>
      <c r="D3561" s="32" t="n">
        <v>46247</v>
      </c>
      <c r="E3561" s="8" t="n">
        <v>6</v>
      </c>
      <c r="F3561" s="8" t="str">
        <f aca="false">IF(E3561&gt;=9,"Promoter",IF(E3561&gt;=7,"Passive","Detractor"))</f>
        <v>Detractor</v>
      </c>
    </row>
    <row r="3562" customFormat="false" ht="15" hidden="false" customHeight="false" outlineLevel="0" collapsed="false">
      <c r="A3562" s="8" t="s">
        <v>8197</v>
      </c>
      <c r="B3562" s="8" t="s">
        <v>1291</v>
      </c>
      <c r="C3562" s="8" t="s">
        <v>53</v>
      </c>
      <c r="D3562" s="32" t="n">
        <v>46247</v>
      </c>
      <c r="E3562" s="8" t="n">
        <v>7</v>
      </c>
      <c r="F3562" s="8" t="str">
        <f aca="false">IF(E3562&gt;=9,"Promoter",IF(E3562&gt;=7,"Passive","Detractor"))</f>
        <v>Passive</v>
      </c>
    </row>
    <row r="3563" customFormat="false" ht="15" hidden="false" customHeight="false" outlineLevel="0" collapsed="false">
      <c r="A3563" s="8" t="s">
        <v>8198</v>
      </c>
      <c r="B3563" s="8" t="s">
        <v>1835</v>
      </c>
      <c r="C3563" s="8" t="s">
        <v>51</v>
      </c>
      <c r="D3563" s="32" t="n">
        <v>46247</v>
      </c>
      <c r="E3563" s="8" t="n">
        <v>10</v>
      </c>
      <c r="F3563" s="8" t="str">
        <f aca="false">IF(E3563&gt;=9,"Promoter",IF(E3563&gt;=7,"Passive","Detractor"))</f>
        <v>Promoter</v>
      </c>
    </row>
    <row r="3564" customFormat="false" ht="15" hidden="false" customHeight="false" outlineLevel="0" collapsed="false">
      <c r="A3564" s="8" t="s">
        <v>8199</v>
      </c>
      <c r="B3564" s="8" t="s">
        <v>2814</v>
      </c>
      <c r="C3564" s="8" t="s">
        <v>51</v>
      </c>
      <c r="D3564" s="32" t="n">
        <v>46247</v>
      </c>
      <c r="E3564" s="8" t="n">
        <v>8</v>
      </c>
      <c r="F3564" s="8" t="str">
        <f aca="false">IF(E3564&gt;=9,"Promoter",IF(E3564&gt;=7,"Passive","Detractor"))</f>
        <v>Passive</v>
      </c>
    </row>
    <row r="3565" customFormat="false" ht="15" hidden="false" customHeight="false" outlineLevel="0" collapsed="false">
      <c r="A3565" s="8" t="s">
        <v>8200</v>
      </c>
      <c r="B3565" s="8" t="s">
        <v>485</v>
      </c>
      <c r="C3565" s="8" t="s">
        <v>53</v>
      </c>
      <c r="D3565" s="32" t="n">
        <v>46247</v>
      </c>
      <c r="E3565" s="8" t="n">
        <v>9</v>
      </c>
      <c r="F3565" s="8" t="str">
        <f aca="false">IF(E3565&gt;=9,"Promoter",IF(E3565&gt;=7,"Passive","Detractor"))</f>
        <v>Promoter</v>
      </c>
    </row>
    <row r="3566" customFormat="false" ht="15" hidden="false" customHeight="false" outlineLevel="0" collapsed="false">
      <c r="A3566" s="8" t="s">
        <v>8201</v>
      </c>
      <c r="B3566" s="8" t="s">
        <v>3164</v>
      </c>
      <c r="C3566" s="8" t="s">
        <v>51</v>
      </c>
      <c r="D3566" s="32" t="n">
        <v>46247</v>
      </c>
      <c r="E3566" s="8" t="n">
        <v>6</v>
      </c>
      <c r="F3566" s="8" t="str">
        <f aca="false">IF(E3566&gt;=9,"Promoter",IF(E3566&gt;=7,"Passive","Detractor"))</f>
        <v>Detractor</v>
      </c>
    </row>
    <row r="3567" customFormat="false" ht="15" hidden="false" customHeight="false" outlineLevel="0" collapsed="false">
      <c r="A3567" s="8" t="s">
        <v>8202</v>
      </c>
      <c r="B3567" s="8" t="s">
        <v>451</v>
      </c>
      <c r="C3567" s="8" t="s">
        <v>55</v>
      </c>
      <c r="D3567" s="32" t="n">
        <v>46247</v>
      </c>
      <c r="E3567" s="8" t="n">
        <v>9</v>
      </c>
      <c r="F3567" s="8" t="str">
        <f aca="false">IF(E3567&gt;=9,"Promoter",IF(E3567&gt;=7,"Passive","Detractor"))</f>
        <v>Promoter</v>
      </c>
    </row>
    <row r="3568" customFormat="false" ht="15" hidden="false" customHeight="false" outlineLevel="0" collapsed="false">
      <c r="A3568" s="8" t="s">
        <v>8203</v>
      </c>
      <c r="B3568" s="8" t="s">
        <v>907</v>
      </c>
      <c r="C3568" s="8" t="s">
        <v>53</v>
      </c>
      <c r="D3568" s="32" t="n">
        <v>46247</v>
      </c>
      <c r="E3568" s="8" t="n">
        <v>7</v>
      </c>
      <c r="F3568" s="8" t="str">
        <f aca="false">IF(E3568&gt;=9,"Promoter",IF(E3568&gt;=7,"Passive","Detractor"))</f>
        <v>Passive</v>
      </c>
    </row>
    <row r="3569" customFormat="false" ht="15" hidden="false" customHeight="false" outlineLevel="0" collapsed="false">
      <c r="A3569" s="8" t="s">
        <v>8204</v>
      </c>
      <c r="B3569" s="8" t="s">
        <v>4284</v>
      </c>
      <c r="C3569" s="8" t="s">
        <v>51</v>
      </c>
      <c r="D3569" s="32" t="n">
        <v>46247</v>
      </c>
      <c r="E3569" s="8" t="n">
        <v>8</v>
      </c>
      <c r="F3569" s="8" t="str">
        <f aca="false">IF(E3569&gt;=9,"Promoter",IF(E3569&gt;=7,"Passive","Detractor"))</f>
        <v>Passive</v>
      </c>
    </row>
    <row r="3570" customFormat="false" ht="15" hidden="false" customHeight="false" outlineLevel="0" collapsed="false">
      <c r="A3570" s="8" t="s">
        <v>8205</v>
      </c>
      <c r="B3570" s="8" t="s">
        <v>171</v>
      </c>
      <c r="C3570" s="8" t="s">
        <v>55</v>
      </c>
      <c r="D3570" s="32" t="n">
        <v>46247</v>
      </c>
      <c r="E3570" s="8" t="n">
        <v>8</v>
      </c>
      <c r="F3570" s="8" t="str">
        <f aca="false">IF(E3570&gt;=9,"Promoter",IF(E3570&gt;=7,"Passive","Detractor"))</f>
        <v>Passive</v>
      </c>
    </row>
    <row r="3571" customFormat="false" ht="15" hidden="false" customHeight="false" outlineLevel="0" collapsed="false">
      <c r="A3571" s="8" t="s">
        <v>8206</v>
      </c>
      <c r="B3571" s="8" t="s">
        <v>453</v>
      </c>
      <c r="C3571" s="8" t="s">
        <v>53</v>
      </c>
      <c r="D3571" s="32" t="n">
        <v>46247</v>
      </c>
      <c r="E3571" s="8" t="n">
        <v>9</v>
      </c>
      <c r="F3571" s="8" t="str">
        <f aca="false">IF(E3571&gt;=9,"Promoter",IF(E3571&gt;=7,"Passive","Detractor"))</f>
        <v>Promoter</v>
      </c>
    </row>
    <row r="3572" customFormat="false" ht="15" hidden="false" customHeight="false" outlineLevel="0" collapsed="false">
      <c r="A3572" s="8" t="s">
        <v>8207</v>
      </c>
      <c r="B3572" s="8" t="s">
        <v>3300</v>
      </c>
      <c r="C3572" s="8" t="s">
        <v>51</v>
      </c>
      <c r="D3572" s="32" t="n">
        <v>46247</v>
      </c>
      <c r="E3572" s="8" t="n">
        <v>9</v>
      </c>
      <c r="F3572" s="8" t="str">
        <f aca="false">IF(E3572&gt;=9,"Promoter",IF(E3572&gt;=7,"Passive","Detractor"))</f>
        <v>Promoter</v>
      </c>
    </row>
    <row r="3573" customFormat="false" ht="15" hidden="false" customHeight="false" outlineLevel="0" collapsed="false">
      <c r="A3573" s="8" t="s">
        <v>8208</v>
      </c>
      <c r="B3573" s="8" t="s">
        <v>2392</v>
      </c>
      <c r="C3573" s="8" t="s">
        <v>51</v>
      </c>
      <c r="D3573" s="32" t="n">
        <v>46247</v>
      </c>
      <c r="E3573" s="8" t="n">
        <v>10</v>
      </c>
      <c r="F3573" s="8" t="str">
        <f aca="false">IF(E3573&gt;=9,"Promoter",IF(E3573&gt;=7,"Passive","Detractor"))</f>
        <v>Promoter</v>
      </c>
    </row>
    <row r="3574" customFormat="false" ht="15" hidden="false" customHeight="false" outlineLevel="0" collapsed="false">
      <c r="A3574" s="8" t="s">
        <v>8209</v>
      </c>
      <c r="B3574" s="8" t="s">
        <v>553</v>
      </c>
      <c r="C3574" s="8" t="s">
        <v>53</v>
      </c>
      <c r="D3574" s="32" t="n">
        <v>46247</v>
      </c>
      <c r="E3574" s="8" t="n">
        <v>10</v>
      </c>
      <c r="F3574" s="8" t="str">
        <f aca="false">IF(E3574&gt;=9,"Promoter",IF(E3574&gt;=7,"Passive","Detractor"))</f>
        <v>Promoter</v>
      </c>
    </row>
    <row r="3575" customFormat="false" ht="15" hidden="false" customHeight="false" outlineLevel="0" collapsed="false">
      <c r="A3575" s="8" t="s">
        <v>8210</v>
      </c>
      <c r="B3575" s="8" t="s">
        <v>3688</v>
      </c>
      <c r="C3575" s="8" t="s">
        <v>51</v>
      </c>
      <c r="D3575" s="32" t="n">
        <v>46247</v>
      </c>
      <c r="E3575" s="8" t="n">
        <v>8</v>
      </c>
      <c r="F3575" s="8" t="str">
        <f aca="false">IF(E3575&gt;=9,"Promoter",IF(E3575&gt;=7,"Passive","Detractor"))</f>
        <v>Passive</v>
      </c>
    </row>
    <row r="3576" customFormat="false" ht="15" hidden="false" customHeight="false" outlineLevel="0" collapsed="false">
      <c r="A3576" s="8" t="s">
        <v>8211</v>
      </c>
      <c r="B3576" s="8" t="s">
        <v>1631</v>
      </c>
      <c r="C3576" s="8" t="s">
        <v>53</v>
      </c>
      <c r="D3576" s="32" t="n">
        <v>46247</v>
      </c>
      <c r="E3576" s="8" t="n">
        <v>10</v>
      </c>
      <c r="F3576" s="8" t="str">
        <f aca="false">IF(E3576&gt;=9,"Promoter",IF(E3576&gt;=7,"Passive","Detractor"))</f>
        <v>Promoter</v>
      </c>
    </row>
    <row r="3577" customFormat="false" ht="15" hidden="false" customHeight="false" outlineLevel="0" collapsed="false">
      <c r="A3577" s="8" t="s">
        <v>8212</v>
      </c>
      <c r="B3577" s="8" t="s">
        <v>3314</v>
      </c>
      <c r="C3577" s="8" t="s">
        <v>51</v>
      </c>
      <c r="D3577" s="32" t="n">
        <v>46247</v>
      </c>
      <c r="E3577" s="8" t="n">
        <v>9</v>
      </c>
      <c r="F3577" s="8" t="str">
        <f aca="false">IF(E3577&gt;=9,"Promoter",IF(E3577&gt;=7,"Passive","Detractor"))</f>
        <v>Promoter</v>
      </c>
    </row>
    <row r="3578" customFormat="false" ht="15" hidden="false" customHeight="false" outlineLevel="0" collapsed="false">
      <c r="A3578" s="8" t="s">
        <v>8213</v>
      </c>
      <c r="B3578" s="8" t="s">
        <v>3440</v>
      </c>
      <c r="C3578" s="8" t="s">
        <v>51</v>
      </c>
      <c r="D3578" s="32" t="n">
        <v>46247</v>
      </c>
      <c r="E3578" s="8" t="n">
        <v>9</v>
      </c>
      <c r="F3578" s="8" t="str">
        <f aca="false">IF(E3578&gt;=9,"Promoter",IF(E3578&gt;=7,"Passive","Detractor"))</f>
        <v>Promoter</v>
      </c>
    </row>
    <row r="3579" customFormat="false" ht="15" hidden="false" customHeight="false" outlineLevel="0" collapsed="false">
      <c r="A3579" s="8" t="s">
        <v>8214</v>
      </c>
      <c r="B3579" s="8" t="s">
        <v>2930</v>
      </c>
      <c r="C3579" s="8" t="s">
        <v>51</v>
      </c>
      <c r="D3579" s="32" t="n">
        <v>46248</v>
      </c>
      <c r="E3579" s="8" t="n">
        <v>7</v>
      </c>
      <c r="F3579" s="8" t="str">
        <f aca="false">IF(E3579&gt;=9,"Promoter",IF(E3579&gt;=7,"Passive","Detractor"))</f>
        <v>Passive</v>
      </c>
    </row>
    <row r="3580" customFormat="false" ht="15" hidden="false" customHeight="false" outlineLevel="0" collapsed="false">
      <c r="A3580" s="8" t="s">
        <v>8215</v>
      </c>
      <c r="B3580" s="8" t="s">
        <v>1145</v>
      </c>
      <c r="C3580" s="8" t="s">
        <v>53</v>
      </c>
      <c r="D3580" s="32" t="n">
        <v>46248</v>
      </c>
      <c r="E3580" s="8" t="n">
        <v>10</v>
      </c>
      <c r="F3580" s="8" t="str">
        <f aca="false">IF(E3580&gt;=9,"Promoter",IF(E3580&gt;=7,"Passive","Detractor"))</f>
        <v>Promoter</v>
      </c>
    </row>
    <row r="3581" customFormat="false" ht="15" hidden="false" customHeight="false" outlineLevel="0" collapsed="false">
      <c r="A3581" s="8" t="s">
        <v>8216</v>
      </c>
      <c r="B3581" s="8" t="s">
        <v>3468</v>
      </c>
      <c r="C3581" s="8" t="s">
        <v>51</v>
      </c>
      <c r="D3581" s="32" t="n">
        <v>46248</v>
      </c>
      <c r="E3581" s="8" t="n">
        <v>10</v>
      </c>
      <c r="F3581" s="8" t="str">
        <f aca="false">IF(E3581&gt;=9,"Promoter",IF(E3581&gt;=7,"Passive","Detractor"))</f>
        <v>Promoter</v>
      </c>
    </row>
    <row r="3582" customFormat="false" ht="15" hidden="false" customHeight="false" outlineLevel="0" collapsed="false">
      <c r="A3582" s="8" t="s">
        <v>8217</v>
      </c>
      <c r="B3582" s="8" t="s">
        <v>2740</v>
      </c>
      <c r="C3582" s="8" t="s">
        <v>51</v>
      </c>
      <c r="D3582" s="32" t="n">
        <v>46248</v>
      </c>
      <c r="E3582" s="8" t="n">
        <v>10</v>
      </c>
      <c r="F3582" s="8" t="str">
        <f aca="false">IF(E3582&gt;=9,"Promoter",IF(E3582&gt;=7,"Passive","Detractor"))</f>
        <v>Promoter</v>
      </c>
    </row>
    <row r="3583" customFormat="false" ht="15" hidden="false" customHeight="false" outlineLevel="0" collapsed="false">
      <c r="A3583" s="8" t="s">
        <v>8218</v>
      </c>
      <c r="B3583" s="8" t="s">
        <v>745</v>
      </c>
      <c r="C3583" s="8" t="s">
        <v>53</v>
      </c>
      <c r="D3583" s="32" t="n">
        <v>46248</v>
      </c>
      <c r="E3583" s="8" t="n">
        <v>8</v>
      </c>
      <c r="F3583" s="8" t="str">
        <f aca="false">IF(E3583&gt;=9,"Promoter",IF(E3583&gt;=7,"Passive","Detractor"))</f>
        <v>Passive</v>
      </c>
    </row>
    <row r="3584" customFormat="false" ht="15" hidden="false" customHeight="false" outlineLevel="0" collapsed="false">
      <c r="A3584" s="8" t="s">
        <v>8219</v>
      </c>
      <c r="B3584" s="8" t="s">
        <v>4106</v>
      </c>
      <c r="C3584" s="8" t="s">
        <v>51</v>
      </c>
      <c r="D3584" s="32" t="n">
        <v>46248</v>
      </c>
      <c r="E3584" s="8" t="n">
        <v>10</v>
      </c>
      <c r="F3584" s="8" t="str">
        <f aca="false">IF(E3584&gt;=9,"Promoter",IF(E3584&gt;=7,"Passive","Detractor"))</f>
        <v>Promoter</v>
      </c>
    </row>
    <row r="3585" customFormat="false" ht="15" hidden="false" customHeight="false" outlineLevel="0" collapsed="false">
      <c r="A3585" s="8" t="s">
        <v>8220</v>
      </c>
      <c r="B3585" s="8" t="s">
        <v>3060</v>
      </c>
      <c r="C3585" s="8" t="s">
        <v>51</v>
      </c>
      <c r="D3585" s="32" t="n">
        <v>46248</v>
      </c>
      <c r="E3585" s="8" t="n">
        <v>5</v>
      </c>
      <c r="F3585" s="8" t="str">
        <f aca="false">IF(E3585&gt;=9,"Promoter",IF(E3585&gt;=7,"Passive","Detractor"))</f>
        <v>Detractor</v>
      </c>
    </row>
    <row r="3586" customFormat="false" ht="15" hidden="false" customHeight="false" outlineLevel="0" collapsed="false">
      <c r="A3586" s="8" t="s">
        <v>8221</v>
      </c>
      <c r="B3586" s="8" t="s">
        <v>3730</v>
      </c>
      <c r="C3586" s="8" t="s">
        <v>51</v>
      </c>
      <c r="D3586" s="32" t="n">
        <v>46248</v>
      </c>
      <c r="E3586" s="8" t="n">
        <v>9</v>
      </c>
      <c r="F3586" s="8" t="str">
        <f aca="false">IF(E3586&gt;=9,"Promoter",IF(E3586&gt;=7,"Passive","Detractor"))</f>
        <v>Promoter</v>
      </c>
    </row>
    <row r="3587" customFormat="false" ht="15" hidden="false" customHeight="false" outlineLevel="0" collapsed="false">
      <c r="A3587" s="8" t="s">
        <v>8222</v>
      </c>
      <c r="B3587" s="8" t="s">
        <v>4118</v>
      </c>
      <c r="C3587" s="8" t="s">
        <v>51</v>
      </c>
      <c r="D3587" s="32" t="n">
        <v>46248</v>
      </c>
      <c r="E3587" s="8" t="n">
        <v>8</v>
      </c>
      <c r="F3587" s="8" t="str">
        <f aca="false">IF(E3587&gt;=9,"Promoter",IF(E3587&gt;=7,"Passive","Detractor"))</f>
        <v>Passive</v>
      </c>
    </row>
    <row r="3588" customFormat="false" ht="15" hidden="false" customHeight="false" outlineLevel="0" collapsed="false">
      <c r="A3588" s="8" t="s">
        <v>8223</v>
      </c>
      <c r="B3588" s="8" t="s">
        <v>2460</v>
      </c>
      <c r="C3588" s="8" t="s">
        <v>51</v>
      </c>
      <c r="D3588" s="32" t="n">
        <v>46248</v>
      </c>
      <c r="E3588" s="8" t="n">
        <v>7</v>
      </c>
      <c r="F3588" s="8" t="str">
        <f aca="false">IF(E3588&gt;=9,"Promoter",IF(E3588&gt;=7,"Passive","Detractor"))</f>
        <v>Passive</v>
      </c>
    </row>
    <row r="3589" customFormat="false" ht="15" hidden="false" customHeight="false" outlineLevel="0" collapsed="false">
      <c r="A3589" s="8" t="s">
        <v>8224</v>
      </c>
      <c r="B3589" s="8" t="s">
        <v>3938</v>
      </c>
      <c r="C3589" s="8" t="s">
        <v>51</v>
      </c>
      <c r="D3589" s="32" t="n">
        <v>46248</v>
      </c>
      <c r="E3589" s="8" t="n">
        <v>10</v>
      </c>
      <c r="F3589" s="8" t="str">
        <f aca="false">IF(E3589&gt;=9,"Promoter",IF(E3589&gt;=7,"Passive","Detractor"))</f>
        <v>Promoter</v>
      </c>
    </row>
    <row r="3590" customFormat="false" ht="15" hidden="false" customHeight="false" outlineLevel="0" collapsed="false">
      <c r="A3590" s="8" t="s">
        <v>8225</v>
      </c>
      <c r="B3590" s="8" t="s">
        <v>3374</v>
      </c>
      <c r="C3590" s="8" t="s">
        <v>51</v>
      </c>
      <c r="D3590" s="32" t="n">
        <v>46248</v>
      </c>
      <c r="E3590" s="8" t="n">
        <v>7</v>
      </c>
      <c r="F3590" s="8" t="str">
        <f aca="false">IF(E3590&gt;=9,"Promoter",IF(E3590&gt;=7,"Passive","Detractor"))</f>
        <v>Passive</v>
      </c>
    </row>
    <row r="3591" customFormat="false" ht="15" hidden="false" customHeight="false" outlineLevel="0" collapsed="false">
      <c r="A3591" s="8" t="s">
        <v>8226</v>
      </c>
      <c r="B3591" s="8" t="s">
        <v>327</v>
      </c>
      <c r="C3591" s="8" t="s">
        <v>55</v>
      </c>
      <c r="D3591" s="32" t="n">
        <v>46248</v>
      </c>
      <c r="E3591" s="8" t="n">
        <v>9</v>
      </c>
      <c r="F3591" s="8" t="str">
        <f aca="false">IF(E3591&gt;=9,"Promoter",IF(E3591&gt;=7,"Passive","Detractor"))</f>
        <v>Promoter</v>
      </c>
    </row>
    <row r="3592" customFormat="false" ht="15" hidden="false" customHeight="false" outlineLevel="0" collapsed="false">
      <c r="A3592" s="8" t="s">
        <v>8227</v>
      </c>
      <c r="B3592" s="8" t="s">
        <v>2114</v>
      </c>
      <c r="C3592" s="8" t="s">
        <v>51</v>
      </c>
      <c r="D3592" s="32" t="n">
        <v>46248</v>
      </c>
      <c r="E3592" s="8" t="n">
        <v>9</v>
      </c>
      <c r="F3592" s="8" t="str">
        <f aca="false">IF(E3592&gt;=9,"Promoter",IF(E3592&gt;=7,"Passive","Detractor"))</f>
        <v>Promoter</v>
      </c>
    </row>
    <row r="3593" customFormat="false" ht="15" hidden="false" customHeight="false" outlineLevel="0" collapsed="false">
      <c r="A3593" s="8" t="s">
        <v>8228</v>
      </c>
      <c r="B3593" s="8" t="s">
        <v>2884</v>
      </c>
      <c r="C3593" s="8" t="s">
        <v>51</v>
      </c>
      <c r="D3593" s="32" t="n">
        <v>46248</v>
      </c>
      <c r="E3593" s="8" t="n">
        <v>8</v>
      </c>
      <c r="F3593" s="8" t="str">
        <f aca="false">IF(E3593&gt;=9,"Promoter",IF(E3593&gt;=7,"Passive","Detractor"))</f>
        <v>Passive</v>
      </c>
    </row>
    <row r="3594" customFormat="false" ht="15" hidden="false" customHeight="false" outlineLevel="0" collapsed="false">
      <c r="A3594" s="8" t="s">
        <v>8229</v>
      </c>
      <c r="B3594" s="8" t="s">
        <v>3086</v>
      </c>
      <c r="C3594" s="8" t="s">
        <v>51</v>
      </c>
      <c r="D3594" s="32" t="n">
        <v>46248</v>
      </c>
      <c r="E3594" s="8" t="n">
        <v>6</v>
      </c>
      <c r="F3594" s="8" t="str">
        <f aca="false">IF(E3594&gt;=9,"Promoter",IF(E3594&gt;=7,"Passive","Detractor"))</f>
        <v>Detractor</v>
      </c>
    </row>
    <row r="3595" customFormat="false" ht="15" hidden="false" customHeight="false" outlineLevel="0" collapsed="false">
      <c r="A3595" s="8" t="s">
        <v>8230</v>
      </c>
      <c r="B3595" s="8" t="s">
        <v>1737</v>
      </c>
      <c r="C3595" s="8" t="s">
        <v>53</v>
      </c>
      <c r="D3595" s="32" t="n">
        <v>46249</v>
      </c>
      <c r="E3595" s="8" t="n">
        <v>10</v>
      </c>
      <c r="F3595" s="8" t="str">
        <f aca="false">IF(E3595&gt;=9,"Promoter",IF(E3595&gt;=7,"Passive","Detractor"))</f>
        <v>Promoter</v>
      </c>
    </row>
    <row r="3596" customFormat="false" ht="15" hidden="false" customHeight="false" outlineLevel="0" collapsed="false">
      <c r="A3596" s="8" t="s">
        <v>8231</v>
      </c>
      <c r="B3596" s="8" t="s">
        <v>3862</v>
      </c>
      <c r="C3596" s="8" t="s">
        <v>51</v>
      </c>
      <c r="D3596" s="32" t="n">
        <v>46249</v>
      </c>
      <c r="E3596" s="8" t="n">
        <v>10</v>
      </c>
      <c r="F3596" s="8" t="str">
        <f aca="false">IF(E3596&gt;=9,"Promoter",IF(E3596&gt;=7,"Passive","Detractor"))</f>
        <v>Promoter</v>
      </c>
    </row>
    <row r="3597" customFormat="false" ht="15" hidden="false" customHeight="false" outlineLevel="0" collapsed="false">
      <c r="A3597" s="8" t="s">
        <v>8232</v>
      </c>
      <c r="B3597" s="8" t="s">
        <v>1967</v>
      </c>
      <c r="C3597" s="8" t="s">
        <v>51</v>
      </c>
      <c r="D3597" s="32" t="n">
        <v>46249</v>
      </c>
      <c r="E3597" s="8" t="n">
        <v>7</v>
      </c>
      <c r="F3597" s="8" t="str">
        <f aca="false">IF(E3597&gt;=9,"Promoter",IF(E3597&gt;=7,"Passive","Detractor"))</f>
        <v>Passive</v>
      </c>
    </row>
    <row r="3598" customFormat="false" ht="15" hidden="false" customHeight="false" outlineLevel="0" collapsed="false">
      <c r="A3598" s="8" t="s">
        <v>8233</v>
      </c>
      <c r="B3598" s="8" t="s">
        <v>377</v>
      </c>
      <c r="C3598" s="8" t="s">
        <v>55</v>
      </c>
      <c r="D3598" s="32" t="n">
        <v>46249</v>
      </c>
      <c r="E3598" s="8" t="n">
        <v>10</v>
      </c>
      <c r="F3598" s="8" t="str">
        <f aca="false">IF(E3598&gt;=9,"Promoter",IF(E3598&gt;=7,"Passive","Detractor"))</f>
        <v>Promoter</v>
      </c>
    </row>
    <row r="3599" customFormat="false" ht="15" hidden="false" customHeight="false" outlineLevel="0" collapsed="false">
      <c r="A3599" s="8" t="s">
        <v>8234</v>
      </c>
      <c r="B3599" s="8" t="s">
        <v>149</v>
      </c>
      <c r="C3599" s="8" t="s">
        <v>55</v>
      </c>
      <c r="D3599" s="32" t="n">
        <v>46249</v>
      </c>
      <c r="E3599" s="8" t="n">
        <v>10</v>
      </c>
      <c r="F3599" s="8" t="str">
        <f aca="false">IF(E3599&gt;=9,"Promoter",IF(E3599&gt;=7,"Passive","Detractor"))</f>
        <v>Promoter</v>
      </c>
    </row>
    <row r="3600" customFormat="false" ht="15" hidden="false" customHeight="false" outlineLevel="0" collapsed="false">
      <c r="A3600" s="8" t="s">
        <v>8235</v>
      </c>
      <c r="B3600" s="8" t="s">
        <v>298</v>
      </c>
      <c r="C3600" s="8" t="s">
        <v>55</v>
      </c>
      <c r="D3600" s="32" t="n">
        <v>46249</v>
      </c>
      <c r="E3600" s="8" t="n">
        <v>8</v>
      </c>
      <c r="F3600" s="8" t="str">
        <f aca="false">IF(E3600&gt;=9,"Promoter",IF(E3600&gt;=7,"Passive","Detractor"))</f>
        <v>Passive</v>
      </c>
    </row>
    <row r="3601" customFormat="false" ht="15" hidden="false" customHeight="false" outlineLevel="0" collapsed="false">
      <c r="A3601" s="8" t="s">
        <v>8236</v>
      </c>
      <c r="B3601" s="8" t="s">
        <v>8237</v>
      </c>
      <c r="C3601" s="8" t="s">
        <v>53</v>
      </c>
      <c r="D3601" s="32" t="n">
        <v>46249</v>
      </c>
      <c r="E3601" s="8" t="n">
        <v>3</v>
      </c>
      <c r="F3601" s="8" t="str">
        <f aca="false">IF(E3601&gt;=9,"Promoter",IF(E3601&gt;=7,"Passive","Detractor"))</f>
        <v>Detractor</v>
      </c>
    </row>
    <row r="3602" customFormat="false" ht="15" hidden="false" customHeight="false" outlineLevel="0" collapsed="false">
      <c r="A3602" s="8" t="s">
        <v>8238</v>
      </c>
      <c r="B3602" s="8" t="s">
        <v>3308</v>
      </c>
      <c r="C3602" s="8" t="s">
        <v>51</v>
      </c>
      <c r="D3602" s="32" t="n">
        <v>46249</v>
      </c>
      <c r="E3602" s="8" t="n">
        <v>10</v>
      </c>
      <c r="F3602" s="8" t="str">
        <f aca="false">IF(E3602&gt;=9,"Promoter",IF(E3602&gt;=7,"Passive","Detractor"))</f>
        <v>Promoter</v>
      </c>
    </row>
    <row r="3603" customFormat="false" ht="15" hidden="false" customHeight="false" outlineLevel="0" collapsed="false">
      <c r="A3603" s="8" t="s">
        <v>8239</v>
      </c>
      <c r="B3603" s="8" t="s">
        <v>913</v>
      </c>
      <c r="C3603" s="8" t="s">
        <v>53</v>
      </c>
      <c r="D3603" s="32" t="n">
        <v>46249</v>
      </c>
      <c r="E3603" s="8" t="n">
        <v>10</v>
      </c>
      <c r="F3603" s="8" t="str">
        <f aca="false">IF(E3603&gt;=9,"Promoter",IF(E3603&gt;=7,"Passive","Detractor"))</f>
        <v>Promoter</v>
      </c>
    </row>
    <row r="3604" customFormat="false" ht="15" hidden="false" customHeight="false" outlineLevel="0" collapsed="false">
      <c r="A3604" s="8" t="s">
        <v>8240</v>
      </c>
      <c r="B3604" s="8" t="s">
        <v>2025</v>
      </c>
      <c r="C3604" s="8" t="s">
        <v>51</v>
      </c>
      <c r="D3604" s="32" t="n">
        <v>46250</v>
      </c>
      <c r="E3604" s="8" t="n">
        <v>6</v>
      </c>
      <c r="F3604" s="8" t="str">
        <f aca="false">IF(E3604&gt;=9,"Promoter",IF(E3604&gt;=7,"Passive","Detractor"))</f>
        <v>Detractor</v>
      </c>
    </row>
    <row r="3605" customFormat="false" ht="15" hidden="false" customHeight="false" outlineLevel="0" collapsed="false">
      <c r="A3605" s="8" t="s">
        <v>8241</v>
      </c>
      <c r="B3605" s="8" t="s">
        <v>1529</v>
      </c>
      <c r="C3605" s="8" t="s">
        <v>53</v>
      </c>
      <c r="D3605" s="32" t="n">
        <v>46250</v>
      </c>
      <c r="E3605" s="8" t="n">
        <v>6</v>
      </c>
      <c r="F3605" s="8" t="str">
        <f aca="false">IF(E3605&gt;=9,"Promoter",IF(E3605&gt;=7,"Passive","Detractor"))</f>
        <v>Detractor</v>
      </c>
    </row>
    <row r="3606" customFormat="false" ht="15" hidden="false" customHeight="false" outlineLevel="0" collapsed="false">
      <c r="A3606" s="8" t="s">
        <v>8242</v>
      </c>
      <c r="B3606" s="8" t="s">
        <v>2896</v>
      </c>
      <c r="C3606" s="8" t="s">
        <v>51</v>
      </c>
      <c r="D3606" s="32" t="n">
        <v>46250</v>
      </c>
      <c r="E3606" s="8" t="n">
        <v>5</v>
      </c>
      <c r="F3606" s="8" t="str">
        <f aca="false">IF(E3606&gt;=9,"Promoter",IF(E3606&gt;=7,"Passive","Detractor"))</f>
        <v>Detractor</v>
      </c>
    </row>
    <row r="3607" customFormat="false" ht="15" hidden="false" customHeight="false" outlineLevel="0" collapsed="false">
      <c r="A3607" s="8" t="s">
        <v>8243</v>
      </c>
      <c r="B3607" s="8" t="s">
        <v>1075</v>
      </c>
      <c r="C3607" s="8" t="s">
        <v>53</v>
      </c>
      <c r="D3607" s="32" t="n">
        <v>46250</v>
      </c>
      <c r="E3607" s="8" t="n">
        <v>8</v>
      </c>
      <c r="F3607" s="8" t="str">
        <f aca="false">IF(E3607&gt;=9,"Promoter",IF(E3607&gt;=7,"Passive","Detractor"))</f>
        <v>Passive</v>
      </c>
    </row>
    <row r="3608" customFormat="false" ht="15" hidden="false" customHeight="false" outlineLevel="0" collapsed="false">
      <c r="A3608" s="8" t="s">
        <v>8244</v>
      </c>
      <c r="B3608" s="8" t="s">
        <v>2852</v>
      </c>
      <c r="C3608" s="8" t="s">
        <v>51</v>
      </c>
      <c r="D3608" s="32" t="n">
        <v>46250</v>
      </c>
      <c r="E3608" s="8" t="n">
        <v>10</v>
      </c>
      <c r="F3608" s="8" t="str">
        <f aca="false">IF(E3608&gt;=9,"Promoter",IF(E3608&gt;=7,"Passive","Detractor"))</f>
        <v>Promoter</v>
      </c>
    </row>
    <row r="3609" customFormat="false" ht="15" hidden="false" customHeight="false" outlineLevel="0" collapsed="false">
      <c r="A3609" s="8" t="s">
        <v>8245</v>
      </c>
      <c r="B3609" s="8" t="s">
        <v>337</v>
      </c>
      <c r="C3609" s="8" t="s">
        <v>55</v>
      </c>
      <c r="D3609" s="32" t="n">
        <v>46250</v>
      </c>
      <c r="E3609" s="8" t="n">
        <v>7</v>
      </c>
      <c r="F3609" s="8" t="str">
        <f aca="false">IF(E3609&gt;=9,"Promoter",IF(E3609&gt;=7,"Passive","Detractor"))</f>
        <v>Passive</v>
      </c>
    </row>
    <row r="3610" customFormat="false" ht="15" hidden="false" customHeight="false" outlineLevel="0" collapsed="false">
      <c r="A3610" s="8" t="s">
        <v>8246</v>
      </c>
      <c r="B3610" s="8" t="s">
        <v>2572</v>
      </c>
      <c r="C3610" s="8" t="s">
        <v>51</v>
      </c>
      <c r="D3610" s="32" t="n">
        <v>46250</v>
      </c>
      <c r="E3610" s="8" t="n">
        <v>7</v>
      </c>
      <c r="F3610" s="8" t="str">
        <f aca="false">IF(E3610&gt;=9,"Promoter",IF(E3610&gt;=7,"Passive","Detractor"))</f>
        <v>Passive</v>
      </c>
    </row>
    <row r="3611" customFormat="false" ht="15" hidden="false" customHeight="false" outlineLevel="0" collapsed="false">
      <c r="A3611" s="8" t="s">
        <v>8247</v>
      </c>
      <c r="B3611" s="8" t="s">
        <v>669</v>
      </c>
      <c r="C3611" s="8" t="s">
        <v>53</v>
      </c>
      <c r="D3611" s="32" t="n">
        <v>46250</v>
      </c>
      <c r="E3611" s="8" t="n">
        <v>8</v>
      </c>
      <c r="F3611" s="8" t="str">
        <f aca="false">IF(E3611&gt;=9,"Promoter",IF(E3611&gt;=7,"Passive","Detractor"))</f>
        <v>Passive</v>
      </c>
    </row>
    <row r="3612" customFormat="false" ht="15" hidden="false" customHeight="false" outlineLevel="0" collapsed="false">
      <c r="A3612" s="8" t="s">
        <v>8248</v>
      </c>
      <c r="B3612" s="8" t="s">
        <v>3242</v>
      </c>
      <c r="C3612" s="8" t="s">
        <v>51</v>
      </c>
      <c r="D3612" s="32" t="n">
        <v>46250</v>
      </c>
      <c r="E3612" s="8" t="n">
        <v>10</v>
      </c>
      <c r="F3612" s="8" t="str">
        <f aca="false">IF(E3612&gt;=9,"Promoter",IF(E3612&gt;=7,"Passive","Detractor"))</f>
        <v>Promoter</v>
      </c>
    </row>
    <row r="3613" customFormat="false" ht="15" hidden="false" customHeight="false" outlineLevel="0" collapsed="false">
      <c r="A3613" s="8" t="s">
        <v>8249</v>
      </c>
      <c r="B3613" s="8" t="s">
        <v>3090</v>
      </c>
      <c r="C3613" s="8" t="s">
        <v>51</v>
      </c>
      <c r="D3613" s="32" t="n">
        <v>46250</v>
      </c>
      <c r="E3613" s="8" t="n">
        <v>9</v>
      </c>
      <c r="F3613" s="8" t="str">
        <f aca="false">IF(E3613&gt;=9,"Promoter",IF(E3613&gt;=7,"Passive","Detractor"))</f>
        <v>Promoter</v>
      </c>
    </row>
    <row r="3614" customFormat="false" ht="15" hidden="false" customHeight="false" outlineLevel="0" collapsed="false">
      <c r="A3614" s="8" t="s">
        <v>8250</v>
      </c>
      <c r="B3614" s="8" t="s">
        <v>1177</v>
      </c>
      <c r="C3614" s="8" t="s">
        <v>53</v>
      </c>
      <c r="D3614" s="32" t="n">
        <v>46250</v>
      </c>
      <c r="E3614" s="8" t="n">
        <v>10</v>
      </c>
      <c r="F3614" s="8" t="str">
        <f aca="false">IF(E3614&gt;=9,"Promoter",IF(E3614&gt;=7,"Passive","Detractor"))</f>
        <v>Promoter</v>
      </c>
    </row>
    <row r="3615" customFormat="false" ht="15" hidden="false" customHeight="false" outlineLevel="0" collapsed="false">
      <c r="A3615" s="8" t="s">
        <v>8251</v>
      </c>
      <c r="B3615" s="8" t="s">
        <v>3202</v>
      </c>
      <c r="C3615" s="8" t="s">
        <v>51</v>
      </c>
      <c r="D3615" s="32" t="n">
        <v>46251</v>
      </c>
      <c r="E3615" s="8" t="n">
        <v>10</v>
      </c>
      <c r="F3615" s="8" t="str">
        <f aca="false">IF(E3615&gt;=9,"Promoter",IF(E3615&gt;=7,"Passive","Detractor"))</f>
        <v>Promoter</v>
      </c>
    </row>
    <row r="3616" customFormat="false" ht="15" hidden="false" customHeight="false" outlineLevel="0" collapsed="false">
      <c r="A3616" s="8" t="s">
        <v>8252</v>
      </c>
      <c r="B3616" s="8" t="s">
        <v>3322</v>
      </c>
      <c r="C3616" s="8" t="s">
        <v>51</v>
      </c>
      <c r="D3616" s="32" t="n">
        <v>46251</v>
      </c>
      <c r="E3616" s="8" t="n">
        <v>6</v>
      </c>
      <c r="F3616" s="8" t="str">
        <f aca="false">IF(E3616&gt;=9,"Promoter",IF(E3616&gt;=7,"Passive","Detractor"))</f>
        <v>Detractor</v>
      </c>
    </row>
    <row r="3617" customFormat="false" ht="15" hidden="false" customHeight="false" outlineLevel="0" collapsed="false">
      <c r="A3617" s="8" t="s">
        <v>8253</v>
      </c>
      <c r="B3617" s="8" t="s">
        <v>3860</v>
      </c>
      <c r="C3617" s="8" t="s">
        <v>51</v>
      </c>
      <c r="D3617" s="32" t="n">
        <v>46251</v>
      </c>
      <c r="E3617" s="8" t="n">
        <v>9</v>
      </c>
      <c r="F3617" s="8" t="str">
        <f aca="false">IF(E3617&gt;=9,"Promoter",IF(E3617&gt;=7,"Passive","Detractor"))</f>
        <v>Promoter</v>
      </c>
    </row>
    <row r="3618" customFormat="false" ht="15" hidden="false" customHeight="false" outlineLevel="0" collapsed="false">
      <c r="A3618" s="8" t="s">
        <v>8254</v>
      </c>
      <c r="B3618" s="8" t="s">
        <v>2682</v>
      </c>
      <c r="C3618" s="8" t="s">
        <v>51</v>
      </c>
      <c r="D3618" s="32" t="n">
        <v>46251</v>
      </c>
      <c r="E3618" s="8" t="n">
        <v>7</v>
      </c>
      <c r="F3618" s="8" t="str">
        <f aca="false">IF(E3618&gt;=9,"Promoter",IF(E3618&gt;=7,"Passive","Detractor"))</f>
        <v>Passive</v>
      </c>
    </row>
    <row r="3619" customFormat="false" ht="15" hidden="false" customHeight="false" outlineLevel="0" collapsed="false">
      <c r="A3619" s="8" t="s">
        <v>8255</v>
      </c>
      <c r="B3619" s="8" t="s">
        <v>3342</v>
      </c>
      <c r="C3619" s="8" t="s">
        <v>51</v>
      </c>
      <c r="D3619" s="32" t="n">
        <v>46251</v>
      </c>
      <c r="E3619" s="8" t="n">
        <v>9</v>
      </c>
      <c r="F3619" s="8" t="str">
        <f aca="false">IF(E3619&gt;=9,"Promoter",IF(E3619&gt;=7,"Passive","Detractor"))</f>
        <v>Promoter</v>
      </c>
    </row>
    <row r="3620" customFormat="false" ht="15" hidden="false" customHeight="false" outlineLevel="0" collapsed="false">
      <c r="A3620" s="8" t="s">
        <v>8256</v>
      </c>
      <c r="B3620" s="8" t="s">
        <v>4102</v>
      </c>
      <c r="C3620" s="8" t="s">
        <v>51</v>
      </c>
      <c r="D3620" s="32" t="n">
        <v>46251</v>
      </c>
      <c r="E3620" s="8" t="n">
        <v>9</v>
      </c>
      <c r="F3620" s="8" t="str">
        <f aca="false">IF(E3620&gt;=9,"Promoter",IF(E3620&gt;=7,"Passive","Detractor"))</f>
        <v>Promoter</v>
      </c>
    </row>
    <row r="3621" customFormat="false" ht="15" hidden="false" customHeight="false" outlineLevel="0" collapsed="false">
      <c r="A3621" s="8" t="s">
        <v>8257</v>
      </c>
      <c r="B3621" s="8" t="s">
        <v>1439</v>
      </c>
      <c r="C3621" s="8" t="s">
        <v>53</v>
      </c>
      <c r="D3621" s="32" t="n">
        <v>46251</v>
      </c>
      <c r="E3621" s="8" t="n">
        <v>10</v>
      </c>
      <c r="F3621" s="8" t="str">
        <f aca="false">IF(E3621&gt;=9,"Promoter",IF(E3621&gt;=7,"Passive","Detractor"))</f>
        <v>Promoter</v>
      </c>
    </row>
    <row r="3622" customFormat="false" ht="15" hidden="false" customHeight="false" outlineLevel="0" collapsed="false">
      <c r="A3622" s="8" t="s">
        <v>8258</v>
      </c>
      <c r="B3622" s="8" t="s">
        <v>2990</v>
      </c>
      <c r="C3622" s="8" t="s">
        <v>51</v>
      </c>
      <c r="D3622" s="32" t="n">
        <v>46251</v>
      </c>
      <c r="E3622" s="8" t="n">
        <v>8</v>
      </c>
      <c r="F3622" s="8" t="str">
        <f aca="false">IF(E3622&gt;=9,"Promoter",IF(E3622&gt;=7,"Passive","Detractor"))</f>
        <v>Passive</v>
      </c>
    </row>
    <row r="3623" customFormat="false" ht="15" hidden="false" customHeight="false" outlineLevel="0" collapsed="false">
      <c r="A3623" s="8" t="s">
        <v>8259</v>
      </c>
      <c r="B3623" s="8" t="s">
        <v>2566</v>
      </c>
      <c r="C3623" s="8" t="s">
        <v>51</v>
      </c>
      <c r="D3623" s="32" t="n">
        <v>46251</v>
      </c>
      <c r="E3623" s="8" t="n">
        <v>10</v>
      </c>
      <c r="F3623" s="8" t="str">
        <f aca="false">IF(E3623&gt;=9,"Promoter",IF(E3623&gt;=7,"Passive","Detractor"))</f>
        <v>Promoter</v>
      </c>
    </row>
    <row r="3624" customFormat="false" ht="15" hidden="false" customHeight="false" outlineLevel="0" collapsed="false">
      <c r="A3624" s="8" t="s">
        <v>8260</v>
      </c>
      <c r="B3624" s="8" t="s">
        <v>224</v>
      </c>
      <c r="C3624" s="8" t="s">
        <v>55</v>
      </c>
      <c r="D3624" s="32" t="n">
        <v>46251</v>
      </c>
      <c r="E3624" s="8" t="n">
        <v>7</v>
      </c>
      <c r="F3624" s="8" t="str">
        <f aca="false">IF(E3624&gt;=9,"Promoter",IF(E3624&gt;=7,"Passive","Detractor"))</f>
        <v>Passive</v>
      </c>
    </row>
    <row r="3625" customFormat="false" ht="15" hidden="false" customHeight="false" outlineLevel="0" collapsed="false">
      <c r="A3625" s="8" t="s">
        <v>8261</v>
      </c>
      <c r="B3625" s="8" t="s">
        <v>1393</v>
      </c>
      <c r="C3625" s="8" t="s">
        <v>53</v>
      </c>
      <c r="D3625" s="32" t="n">
        <v>46251</v>
      </c>
      <c r="E3625" s="8" t="n">
        <v>10</v>
      </c>
      <c r="F3625" s="8" t="str">
        <f aca="false">IF(E3625&gt;=9,"Promoter",IF(E3625&gt;=7,"Passive","Detractor"))</f>
        <v>Promoter</v>
      </c>
    </row>
    <row r="3626" customFormat="false" ht="15" hidden="false" customHeight="false" outlineLevel="0" collapsed="false">
      <c r="A3626" s="8" t="s">
        <v>8262</v>
      </c>
      <c r="B3626" s="8" t="s">
        <v>3890</v>
      </c>
      <c r="C3626" s="8" t="s">
        <v>51</v>
      </c>
      <c r="D3626" s="32" t="n">
        <v>46251</v>
      </c>
      <c r="E3626" s="8" t="n">
        <v>8</v>
      </c>
      <c r="F3626" s="8" t="str">
        <f aca="false">IF(E3626&gt;=9,"Promoter",IF(E3626&gt;=7,"Passive","Detractor"))</f>
        <v>Passive</v>
      </c>
    </row>
    <row r="3627" customFormat="false" ht="15" hidden="false" customHeight="false" outlineLevel="0" collapsed="false">
      <c r="A3627" s="8" t="s">
        <v>8263</v>
      </c>
      <c r="B3627" s="8" t="s">
        <v>4200</v>
      </c>
      <c r="C3627" s="8" t="s">
        <v>51</v>
      </c>
      <c r="D3627" s="32" t="n">
        <v>46251</v>
      </c>
      <c r="E3627" s="8" t="n">
        <v>8</v>
      </c>
      <c r="F3627" s="8" t="str">
        <f aca="false">IF(E3627&gt;=9,"Promoter",IF(E3627&gt;=7,"Passive","Detractor"))</f>
        <v>Passive</v>
      </c>
    </row>
    <row r="3628" customFormat="false" ht="15" hidden="false" customHeight="false" outlineLevel="0" collapsed="false">
      <c r="A3628" s="8" t="s">
        <v>8264</v>
      </c>
      <c r="B3628" s="8" t="s">
        <v>1155</v>
      </c>
      <c r="C3628" s="8" t="s">
        <v>53</v>
      </c>
      <c r="D3628" s="32" t="n">
        <v>46252</v>
      </c>
      <c r="E3628" s="8" t="n">
        <v>6</v>
      </c>
      <c r="F3628" s="8" t="str">
        <f aca="false">IF(E3628&gt;=9,"Promoter",IF(E3628&gt;=7,"Passive","Detractor"))</f>
        <v>Detractor</v>
      </c>
    </row>
    <row r="3629" customFormat="false" ht="15" hidden="false" customHeight="false" outlineLevel="0" collapsed="false">
      <c r="A3629" s="8" t="s">
        <v>8265</v>
      </c>
      <c r="B3629" s="8" t="s">
        <v>3652</v>
      </c>
      <c r="C3629" s="8" t="s">
        <v>51</v>
      </c>
      <c r="D3629" s="32" t="n">
        <v>46252</v>
      </c>
      <c r="E3629" s="8" t="n">
        <v>8</v>
      </c>
      <c r="F3629" s="8" t="str">
        <f aca="false">IF(E3629&gt;=9,"Promoter",IF(E3629&gt;=7,"Passive","Detractor"))</f>
        <v>Passive</v>
      </c>
    </row>
    <row r="3630" customFormat="false" ht="15" hidden="false" customHeight="false" outlineLevel="0" collapsed="false">
      <c r="A3630" s="8" t="s">
        <v>8266</v>
      </c>
      <c r="B3630" s="8" t="s">
        <v>3206</v>
      </c>
      <c r="C3630" s="8" t="s">
        <v>51</v>
      </c>
      <c r="D3630" s="32" t="n">
        <v>46252</v>
      </c>
      <c r="E3630" s="8" t="n">
        <v>6</v>
      </c>
      <c r="F3630" s="8" t="str">
        <f aca="false">IF(E3630&gt;=9,"Promoter",IF(E3630&gt;=7,"Passive","Detractor"))</f>
        <v>Detractor</v>
      </c>
    </row>
    <row r="3631" customFormat="false" ht="15" hidden="false" customHeight="false" outlineLevel="0" collapsed="false">
      <c r="A3631" s="8" t="s">
        <v>8267</v>
      </c>
      <c r="B3631" s="8" t="s">
        <v>4090</v>
      </c>
      <c r="C3631" s="8" t="s">
        <v>51</v>
      </c>
      <c r="D3631" s="32" t="n">
        <v>46252</v>
      </c>
      <c r="E3631" s="8" t="n">
        <v>9</v>
      </c>
      <c r="F3631" s="8" t="str">
        <f aca="false">IF(E3631&gt;=9,"Promoter",IF(E3631&gt;=7,"Passive","Detractor"))</f>
        <v>Promoter</v>
      </c>
    </row>
    <row r="3632" customFormat="false" ht="15" hidden="false" customHeight="false" outlineLevel="0" collapsed="false">
      <c r="A3632" s="8" t="s">
        <v>8268</v>
      </c>
      <c r="B3632" s="8" t="s">
        <v>3996</v>
      </c>
      <c r="C3632" s="8" t="s">
        <v>51</v>
      </c>
      <c r="D3632" s="32" t="n">
        <v>46252</v>
      </c>
      <c r="E3632" s="8" t="n">
        <v>10</v>
      </c>
      <c r="F3632" s="8" t="str">
        <f aca="false">IF(E3632&gt;=9,"Promoter",IF(E3632&gt;=7,"Passive","Detractor"))</f>
        <v>Promoter</v>
      </c>
    </row>
    <row r="3633" customFormat="false" ht="15" hidden="false" customHeight="false" outlineLevel="0" collapsed="false">
      <c r="A3633" s="8" t="s">
        <v>8269</v>
      </c>
      <c r="B3633" s="8" t="s">
        <v>3348</v>
      </c>
      <c r="C3633" s="8" t="s">
        <v>51</v>
      </c>
      <c r="D3633" s="32" t="n">
        <v>46252</v>
      </c>
      <c r="E3633" s="8" t="n">
        <v>9</v>
      </c>
      <c r="F3633" s="8" t="str">
        <f aca="false">IF(E3633&gt;=9,"Promoter",IF(E3633&gt;=7,"Passive","Detractor"))</f>
        <v>Promoter</v>
      </c>
    </row>
    <row r="3634" customFormat="false" ht="15" hidden="false" customHeight="false" outlineLevel="0" collapsed="false">
      <c r="A3634" s="8" t="s">
        <v>8270</v>
      </c>
      <c r="B3634" s="8" t="s">
        <v>961</v>
      </c>
      <c r="C3634" s="8" t="s">
        <v>53</v>
      </c>
      <c r="D3634" s="32" t="n">
        <v>46252</v>
      </c>
      <c r="E3634" s="8" t="n">
        <v>5</v>
      </c>
      <c r="F3634" s="8" t="str">
        <f aca="false">IF(E3634&gt;=9,"Promoter",IF(E3634&gt;=7,"Passive","Detractor"))</f>
        <v>Detractor</v>
      </c>
    </row>
    <row r="3635" customFormat="false" ht="15" hidden="false" customHeight="false" outlineLevel="0" collapsed="false">
      <c r="A3635" s="8" t="s">
        <v>8271</v>
      </c>
      <c r="B3635" s="8" t="s">
        <v>3830</v>
      </c>
      <c r="C3635" s="8" t="s">
        <v>51</v>
      </c>
      <c r="D3635" s="32" t="n">
        <v>46252</v>
      </c>
      <c r="E3635" s="8" t="n">
        <v>6</v>
      </c>
      <c r="F3635" s="8" t="str">
        <f aca="false">IF(E3635&gt;=9,"Promoter",IF(E3635&gt;=7,"Passive","Detractor"))</f>
        <v>Detractor</v>
      </c>
    </row>
    <row r="3636" customFormat="false" ht="15" hidden="false" customHeight="false" outlineLevel="0" collapsed="false">
      <c r="A3636" s="8" t="s">
        <v>8272</v>
      </c>
      <c r="B3636" s="8" t="s">
        <v>2152</v>
      </c>
      <c r="C3636" s="8" t="s">
        <v>51</v>
      </c>
      <c r="D3636" s="32" t="n">
        <v>46253</v>
      </c>
      <c r="E3636" s="8" t="n">
        <v>9</v>
      </c>
      <c r="F3636" s="8" t="str">
        <f aca="false">IF(E3636&gt;=9,"Promoter",IF(E3636&gt;=7,"Passive","Detractor"))</f>
        <v>Promoter</v>
      </c>
    </row>
    <row r="3637" customFormat="false" ht="15" hidden="false" customHeight="false" outlineLevel="0" collapsed="false">
      <c r="A3637" s="8" t="s">
        <v>8273</v>
      </c>
      <c r="B3637" s="8" t="s">
        <v>1771</v>
      </c>
      <c r="C3637" s="8" t="s">
        <v>53</v>
      </c>
      <c r="D3637" s="32" t="n">
        <v>46253</v>
      </c>
      <c r="E3637" s="8" t="n">
        <v>8</v>
      </c>
      <c r="F3637" s="8" t="str">
        <f aca="false">IF(E3637&gt;=9,"Promoter",IF(E3637&gt;=7,"Passive","Detractor"))</f>
        <v>Passive</v>
      </c>
    </row>
    <row r="3638" customFormat="false" ht="15" hidden="false" customHeight="false" outlineLevel="0" collapsed="false">
      <c r="A3638" s="8" t="s">
        <v>8274</v>
      </c>
      <c r="B3638" s="8" t="s">
        <v>1295</v>
      </c>
      <c r="C3638" s="8" t="s">
        <v>53</v>
      </c>
      <c r="D3638" s="32" t="n">
        <v>46253</v>
      </c>
      <c r="E3638" s="8" t="n">
        <v>5</v>
      </c>
      <c r="F3638" s="8" t="str">
        <f aca="false">IF(E3638&gt;=9,"Promoter",IF(E3638&gt;=7,"Passive","Detractor"))</f>
        <v>Detractor</v>
      </c>
    </row>
    <row r="3639" customFormat="false" ht="15" hidden="false" customHeight="false" outlineLevel="0" collapsed="false">
      <c r="A3639" s="8" t="s">
        <v>8275</v>
      </c>
      <c r="B3639" s="8" t="s">
        <v>2552</v>
      </c>
      <c r="C3639" s="8" t="s">
        <v>51</v>
      </c>
      <c r="D3639" s="32" t="n">
        <v>46253</v>
      </c>
      <c r="E3639" s="8" t="n">
        <v>10</v>
      </c>
      <c r="F3639" s="8" t="str">
        <f aca="false">IF(E3639&gt;=9,"Promoter",IF(E3639&gt;=7,"Passive","Detractor"))</f>
        <v>Promoter</v>
      </c>
    </row>
    <row r="3640" customFormat="false" ht="15" hidden="false" customHeight="false" outlineLevel="0" collapsed="false">
      <c r="A3640" s="8" t="s">
        <v>8276</v>
      </c>
      <c r="B3640" s="8" t="s">
        <v>2784</v>
      </c>
      <c r="C3640" s="8" t="s">
        <v>51</v>
      </c>
      <c r="D3640" s="32" t="n">
        <v>46253</v>
      </c>
      <c r="E3640" s="8" t="n">
        <v>9</v>
      </c>
      <c r="F3640" s="8" t="str">
        <f aca="false">IF(E3640&gt;=9,"Promoter",IF(E3640&gt;=7,"Passive","Detractor"))</f>
        <v>Promoter</v>
      </c>
    </row>
    <row r="3641" customFormat="false" ht="15" hidden="false" customHeight="false" outlineLevel="0" collapsed="false">
      <c r="A3641" s="8" t="s">
        <v>8277</v>
      </c>
      <c r="B3641" s="8" t="s">
        <v>3802</v>
      </c>
      <c r="C3641" s="8" t="s">
        <v>51</v>
      </c>
      <c r="D3641" s="32" t="n">
        <v>46253</v>
      </c>
      <c r="E3641" s="8" t="n">
        <v>10</v>
      </c>
      <c r="F3641" s="8" t="str">
        <f aca="false">IF(E3641&gt;=9,"Promoter",IF(E3641&gt;=7,"Passive","Detractor"))</f>
        <v>Promoter</v>
      </c>
    </row>
    <row r="3642" customFormat="false" ht="15" hidden="false" customHeight="false" outlineLevel="0" collapsed="false">
      <c r="A3642" s="8" t="s">
        <v>8278</v>
      </c>
      <c r="B3642" s="8" t="s">
        <v>2252</v>
      </c>
      <c r="C3642" s="8" t="s">
        <v>51</v>
      </c>
      <c r="D3642" s="32" t="n">
        <v>46253</v>
      </c>
      <c r="E3642" s="8" t="n">
        <v>8</v>
      </c>
      <c r="F3642" s="8" t="str">
        <f aca="false">IF(E3642&gt;=9,"Promoter",IF(E3642&gt;=7,"Passive","Detractor"))</f>
        <v>Passive</v>
      </c>
    </row>
    <row r="3643" customFormat="false" ht="15" hidden="false" customHeight="false" outlineLevel="0" collapsed="false">
      <c r="A3643" s="8" t="s">
        <v>8279</v>
      </c>
      <c r="B3643" s="8" t="s">
        <v>2642</v>
      </c>
      <c r="C3643" s="8" t="s">
        <v>51</v>
      </c>
      <c r="D3643" s="32" t="n">
        <v>46253</v>
      </c>
      <c r="E3643" s="8" t="n">
        <v>7</v>
      </c>
      <c r="F3643" s="8" t="str">
        <f aca="false">IF(E3643&gt;=9,"Promoter",IF(E3643&gt;=7,"Passive","Detractor"))</f>
        <v>Passive</v>
      </c>
    </row>
    <row r="3644" customFormat="false" ht="15" hidden="false" customHeight="false" outlineLevel="0" collapsed="false">
      <c r="A3644" s="8" t="s">
        <v>8280</v>
      </c>
      <c r="B3644" s="8" t="s">
        <v>1679</v>
      </c>
      <c r="C3644" s="8" t="s">
        <v>53</v>
      </c>
      <c r="D3644" s="32" t="n">
        <v>46253</v>
      </c>
      <c r="E3644" s="8" t="n">
        <v>4</v>
      </c>
      <c r="F3644" s="8" t="str">
        <f aca="false">IF(E3644&gt;=9,"Promoter",IF(E3644&gt;=7,"Passive","Detractor"))</f>
        <v>Detractor</v>
      </c>
    </row>
    <row r="3645" customFormat="false" ht="15" hidden="false" customHeight="false" outlineLevel="0" collapsed="false">
      <c r="A3645" s="8" t="s">
        <v>8281</v>
      </c>
      <c r="B3645" s="8" t="s">
        <v>1989</v>
      </c>
      <c r="C3645" s="8" t="s">
        <v>51</v>
      </c>
      <c r="D3645" s="32" t="n">
        <v>46253</v>
      </c>
      <c r="E3645" s="8" t="n">
        <v>10</v>
      </c>
      <c r="F3645" s="8" t="str">
        <f aca="false">IF(E3645&gt;=9,"Promoter",IF(E3645&gt;=7,"Passive","Detractor"))</f>
        <v>Promoter</v>
      </c>
    </row>
    <row r="3646" customFormat="false" ht="15" hidden="false" customHeight="false" outlineLevel="0" collapsed="false">
      <c r="A3646" s="8" t="s">
        <v>8282</v>
      </c>
      <c r="B3646" s="8" t="s">
        <v>1463</v>
      </c>
      <c r="C3646" s="8" t="s">
        <v>53</v>
      </c>
      <c r="D3646" s="32" t="n">
        <v>46253</v>
      </c>
      <c r="E3646" s="8" t="n">
        <v>9</v>
      </c>
      <c r="F3646" s="8" t="str">
        <f aca="false">IF(E3646&gt;=9,"Promoter",IF(E3646&gt;=7,"Passive","Detractor"))</f>
        <v>Promoter</v>
      </c>
    </row>
    <row r="3647" customFormat="false" ht="15" hidden="false" customHeight="false" outlineLevel="0" collapsed="false">
      <c r="A3647" s="8" t="s">
        <v>8283</v>
      </c>
      <c r="B3647" s="8" t="s">
        <v>3290</v>
      </c>
      <c r="C3647" s="8" t="s">
        <v>51</v>
      </c>
      <c r="D3647" s="32" t="n">
        <v>46253</v>
      </c>
      <c r="E3647" s="8" t="n">
        <v>7</v>
      </c>
      <c r="F3647" s="8" t="str">
        <f aca="false">IF(E3647&gt;=9,"Promoter",IF(E3647&gt;=7,"Passive","Detractor"))</f>
        <v>Passive</v>
      </c>
    </row>
    <row r="3648" customFormat="false" ht="15" hidden="false" customHeight="false" outlineLevel="0" collapsed="false">
      <c r="A3648" s="8" t="s">
        <v>8284</v>
      </c>
      <c r="B3648" s="8" t="s">
        <v>623</v>
      </c>
      <c r="C3648" s="8" t="s">
        <v>53</v>
      </c>
      <c r="D3648" s="32" t="n">
        <v>46253</v>
      </c>
      <c r="E3648" s="8" t="n">
        <v>9</v>
      </c>
      <c r="F3648" s="8" t="str">
        <f aca="false">IF(E3648&gt;=9,"Promoter",IF(E3648&gt;=7,"Passive","Detractor"))</f>
        <v>Promoter</v>
      </c>
    </row>
    <row r="3649" customFormat="false" ht="15" hidden="false" customHeight="false" outlineLevel="0" collapsed="false">
      <c r="A3649" s="8" t="s">
        <v>8285</v>
      </c>
      <c r="B3649" s="8" t="s">
        <v>195</v>
      </c>
      <c r="C3649" s="8" t="s">
        <v>55</v>
      </c>
      <c r="D3649" s="32" t="n">
        <v>46253</v>
      </c>
      <c r="E3649" s="8" t="n">
        <v>4</v>
      </c>
      <c r="F3649" s="8" t="str">
        <f aca="false">IF(E3649&gt;=9,"Promoter",IF(E3649&gt;=7,"Passive","Detractor"))</f>
        <v>Detractor</v>
      </c>
    </row>
    <row r="3650" customFormat="false" ht="15" hidden="false" customHeight="false" outlineLevel="0" collapsed="false">
      <c r="A3650" s="8" t="s">
        <v>8286</v>
      </c>
      <c r="B3650" s="8" t="s">
        <v>4252</v>
      </c>
      <c r="C3650" s="8" t="s">
        <v>51</v>
      </c>
      <c r="D3650" s="32" t="n">
        <v>46253</v>
      </c>
      <c r="E3650" s="8" t="n">
        <v>10</v>
      </c>
      <c r="F3650" s="8" t="str">
        <f aca="false">IF(E3650&gt;=9,"Promoter",IF(E3650&gt;=7,"Passive","Detractor"))</f>
        <v>Promoter</v>
      </c>
    </row>
    <row r="3651" customFormat="false" ht="15" hidden="false" customHeight="false" outlineLevel="0" collapsed="false">
      <c r="A3651" s="8" t="s">
        <v>8287</v>
      </c>
      <c r="B3651" s="8" t="s">
        <v>294</v>
      </c>
      <c r="C3651" s="8" t="s">
        <v>55</v>
      </c>
      <c r="D3651" s="32" t="n">
        <v>46253</v>
      </c>
      <c r="E3651" s="8" t="n">
        <v>9</v>
      </c>
      <c r="F3651" s="8" t="str">
        <f aca="false">IF(E3651&gt;=9,"Promoter",IF(E3651&gt;=7,"Passive","Detractor"))</f>
        <v>Promoter</v>
      </c>
    </row>
    <row r="3652" customFormat="false" ht="15" hidden="false" customHeight="false" outlineLevel="0" collapsed="false">
      <c r="A3652" s="8" t="s">
        <v>8288</v>
      </c>
      <c r="B3652" s="8" t="s">
        <v>1705</v>
      </c>
      <c r="C3652" s="8" t="s">
        <v>53</v>
      </c>
      <c r="D3652" s="32" t="n">
        <v>46253</v>
      </c>
      <c r="E3652" s="8" t="n">
        <v>9</v>
      </c>
      <c r="F3652" s="8" t="str">
        <f aca="false">IF(E3652&gt;=9,"Promoter",IF(E3652&gt;=7,"Passive","Detractor"))</f>
        <v>Promoter</v>
      </c>
    </row>
    <row r="3653" customFormat="false" ht="15" hidden="false" customHeight="false" outlineLevel="0" collapsed="false">
      <c r="A3653" s="8" t="s">
        <v>8289</v>
      </c>
      <c r="B3653" s="8" t="s">
        <v>2190</v>
      </c>
      <c r="C3653" s="8" t="s">
        <v>51</v>
      </c>
      <c r="D3653" s="32" t="n">
        <v>46253</v>
      </c>
      <c r="E3653" s="8" t="n">
        <v>10</v>
      </c>
      <c r="F3653" s="8" t="str">
        <f aca="false">IF(E3653&gt;=9,"Promoter",IF(E3653&gt;=7,"Passive","Detractor"))</f>
        <v>Promoter</v>
      </c>
    </row>
    <row r="3654" customFormat="false" ht="15" hidden="false" customHeight="false" outlineLevel="0" collapsed="false">
      <c r="A3654" s="8" t="s">
        <v>8290</v>
      </c>
      <c r="B3654" s="8" t="s">
        <v>3776</v>
      </c>
      <c r="C3654" s="8" t="s">
        <v>51</v>
      </c>
      <c r="D3654" s="32" t="n">
        <v>46254</v>
      </c>
      <c r="E3654" s="8" t="n">
        <v>7</v>
      </c>
      <c r="F3654" s="8" t="str">
        <f aca="false">IF(E3654&gt;=9,"Promoter",IF(E3654&gt;=7,"Passive","Detractor"))</f>
        <v>Passive</v>
      </c>
    </row>
    <row r="3655" customFormat="false" ht="15" hidden="false" customHeight="false" outlineLevel="0" collapsed="false">
      <c r="A3655" s="8" t="s">
        <v>8291</v>
      </c>
      <c r="B3655" s="8" t="s">
        <v>3488</v>
      </c>
      <c r="C3655" s="8" t="s">
        <v>51</v>
      </c>
      <c r="D3655" s="32" t="n">
        <v>46254</v>
      </c>
      <c r="E3655" s="8" t="n">
        <v>8</v>
      </c>
      <c r="F3655" s="8" t="str">
        <f aca="false">IF(E3655&gt;=9,"Promoter",IF(E3655&gt;=7,"Passive","Detractor"))</f>
        <v>Passive</v>
      </c>
    </row>
    <row r="3656" customFormat="false" ht="15" hidden="false" customHeight="false" outlineLevel="0" collapsed="false">
      <c r="A3656" s="8" t="s">
        <v>8292</v>
      </c>
      <c r="B3656" s="8" t="s">
        <v>1943</v>
      </c>
      <c r="C3656" s="8" t="s">
        <v>51</v>
      </c>
      <c r="D3656" s="32" t="n">
        <v>46254</v>
      </c>
      <c r="E3656" s="8" t="n">
        <v>9</v>
      </c>
      <c r="F3656" s="8" t="str">
        <f aca="false">IF(E3656&gt;=9,"Promoter",IF(E3656&gt;=7,"Passive","Detractor"))</f>
        <v>Promoter</v>
      </c>
    </row>
    <row r="3657" customFormat="false" ht="15" hidden="false" customHeight="false" outlineLevel="0" collapsed="false">
      <c r="A3657" s="8" t="s">
        <v>8293</v>
      </c>
      <c r="B3657" s="8" t="s">
        <v>3210</v>
      </c>
      <c r="C3657" s="8" t="s">
        <v>51</v>
      </c>
      <c r="D3657" s="32" t="n">
        <v>46254</v>
      </c>
      <c r="E3657" s="8" t="n">
        <v>9</v>
      </c>
      <c r="F3657" s="8" t="str">
        <f aca="false">IF(E3657&gt;=9,"Promoter",IF(E3657&gt;=7,"Passive","Detractor"))</f>
        <v>Promoter</v>
      </c>
    </row>
    <row r="3658" customFormat="false" ht="15" hidden="false" customHeight="false" outlineLevel="0" collapsed="false">
      <c r="A3658" s="8" t="s">
        <v>8294</v>
      </c>
      <c r="B3658" s="8" t="s">
        <v>2598</v>
      </c>
      <c r="C3658" s="8" t="s">
        <v>51</v>
      </c>
      <c r="D3658" s="32" t="n">
        <v>46254</v>
      </c>
      <c r="E3658" s="8" t="n">
        <v>8</v>
      </c>
      <c r="F3658" s="8" t="str">
        <f aca="false">IF(E3658&gt;=9,"Promoter",IF(E3658&gt;=7,"Passive","Detractor"))</f>
        <v>Passive</v>
      </c>
    </row>
    <row r="3659" customFormat="false" ht="15" hidden="false" customHeight="false" outlineLevel="0" collapsed="false">
      <c r="A3659" s="8" t="s">
        <v>8295</v>
      </c>
      <c r="B3659" s="8" t="s">
        <v>1077</v>
      </c>
      <c r="C3659" s="8" t="s">
        <v>53</v>
      </c>
      <c r="D3659" s="32" t="n">
        <v>46254</v>
      </c>
      <c r="E3659" s="8" t="n">
        <v>5</v>
      </c>
      <c r="F3659" s="8" t="str">
        <f aca="false">IF(E3659&gt;=9,"Promoter",IF(E3659&gt;=7,"Passive","Detractor"))</f>
        <v>Detractor</v>
      </c>
    </row>
    <row r="3660" customFormat="false" ht="15" hidden="false" customHeight="false" outlineLevel="0" collapsed="false">
      <c r="A3660" s="8" t="s">
        <v>8296</v>
      </c>
      <c r="B3660" s="8" t="s">
        <v>3840</v>
      </c>
      <c r="C3660" s="8" t="s">
        <v>51</v>
      </c>
      <c r="D3660" s="32" t="n">
        <v>46254</v>
      </c>
      <c r="E3660" s="8" t="n">
        <v>8</v>
      </c>
      <c r="F3660" s="8" t="str">
        <f aca="false">IF(E3660&gt;=9,"Promoter",IF(E3660&gt;=7,"Passive","Detractor"))</f>
        <v>Passive</v>
      </c>
    </row>
    <row r="3661" customFormat="false" ht="15" hidden="false" customHeight="false" outlineLevel="0" collapsed="false">
      <c r="A3661" s="8" t="s">
        <v>8297</v>
      </c>
      <c r="B3661" s="8" t="s">
        <v>3502</v>
      </c>
      <c r="C3661" s="8" t="s">
        <v>51</v>
      </c>
      <c r="D3661" s="32" t="n">
        <v>46254</v>
      </c>
      <c r="E3661" s="8" t="n">
        <v>8</v>
      </c>
      <c r="F3661" s="8" t="str">
        <f aca="false">IF(E3661&gt;=9,"Promoter",IF(E3661&gt;=7,"Passive","Detractor"))</f>
        <v>Passive</v>
      </c>
    </row>
    <row r="3662" customFormat="false" ht="15" hidden="false" customHeight="false" outlineLevel="0" collapsed="false">
      <c r="A3662" s="8" t="s">
        <v>8298</v>
      </c>
      <c r="B3662" s="8" t="s">
        <v>1641</v>
      </c>
      <c r="C3662" s="8" t="s">
        <v>53</v>
      </c>
      <c r="D3662" s="32" t="n">
        <v>46254</v>
      </c>
      <c r="E3662" s="8" t="n">
        <v>9</v>
      </c>
      <c r="F3662" s="8" t="str">
        <f aca="false">IF(E3662&gt;=9,"Promoter",IF(E3662&gt;=7,"Passive","Detractor"))</f>
        <v>Promoter</v>
      </c>
    </row>
    <row r="3663" customFormat="false" ht="15" hidden="false" customHeight="false" outlineLevel="0" collapsed="false">
      <c r="A3663" s="8" t="s">
        <v>8299</v>
      </c>
      <c r="B3663" s="8" t="s">
        <v>491</v>
      </c>
      <c r="C3663" s="8" t="s">
        <v>55</v>
      </c>
      <c r="D3663" s="32" t="n">
        <v>46254</v>
      </c>
      <c r="E3663" s="8" t="n">
        <v>8</v>
      </c>
      <c r="F3663" s="8" t="str">
        <f aca="false">IF(E3663&gt;=9,"Promoter",IF(E3663&gt;=7,"Passive","Detractor"))</f>
        <v>Passive</v>
      </c>
    </row>
    <row r="3664" customFormat="false" ht="15" hidden="false" customHeight="false" outlineLevel="0" collapsed="false">
      <c r="A3664" s="8" t="s">
        <v>8300</v>
      </c>
      <c r="B3664" s="8" t="s">
        <v>1597</v>
      </c>
      <c r="C3664" s="8" t="s">
        <v>53</v>
      </c>
      <c r="D3664" s="32" t="n">
        <v>46254</v>
      </c>
      <c r="E3664" s="8" t="n">
        <v>10</v>
      </c>
      <c r="F3664" s="8" t="str">
        <f aca="false">IF(E3664&gt;=9,"Promoter",IF(E3664&gt;=7,"Passive","Detractor"))</f>
        <v>Promoter</v>
      </c>
    </row>
    <row r="3665" customFormat="false" ht="15" hidden="false" customHeight="false" outlineLevel="0" collapsed="false">
      <c r="A3665" s="8" t="s">
        <v>8301</v>
      </c>
      <c r="B3665" s="8" t="s">
        <v>507</v>
      </c>
      <c r="C3665" s="8" t="s">
        <v>55</v>
      </c>
      <c r="D3665" s="32" t="n">
        <v>46254</v>
      </c>
      <c r="E3665" s="8" t="n">
        <v>9</v>
      </c>
      <c r="F3665" s="8" t="str">
        <f aca="false">IF(E3665&gt;=9,"Promoter",IF(E3665&gt;=7,"Passive","Detractor"))</f>
        <v>Promoter</v>
      </c>
    </row>
    <row r="3666" customFormat="false" ht="15" hidden="false" customHeight="false" outlineLevel="0" collapsed="false">
      <c r="A3666" s="8" t="s">
        <v>8302</v>
      </c>
      <c r="B3666" s="8" t="s">
        <v>481</v>
      </c>
      <c r="C3666" s="8" t="s">
        <v>55</v>
      </c>
      <c r="D3666" s="32" t="n">
        <v>46254</v>
      </c>
      <c r="E3666" s="8" t="n">
        <v>7</v>
      </c>
      <c r="F3666" s="8" t="str">
        <f aca="false">IF(E3666&gt;=9,"Promoter",IF(E3666&gt;=7,"Passive","Detractor"))</f>
        <v>Passive</v>
      </c>
    </row>
    <row r="3667" customFormat="false" ht="15" hidden="false" customHeight="false" outlineLevel="0" collapsed="false">
      <c r="A3667" s="8" t="s">
        <v>8303</v>
      </c>
      <c r="B3667" s="8" t="s">
        <v>1219</v>
      </c>
      <c r="C3667" s="8" t="s">
        <v>53</v>
      </c>
      <c r="D3667" s="32" t="n">
        <v>46254</v>
      </c>
      <c r="E3667" s="8" t="n">
        <v>8</v>
      </c>
      <c r="F3667" s="8" t="str">
        <f aca="false">IF(E3667&gt;=9,"Promoter",IF(E3667&gt;=7,"Passive","Detractor"))</f>
        <v>Passive</v>
      </c>
    </row>
    <row r="3668" customFormat="false" ht="15" hidden="false" customHeight="false" outlineLevel="0" collapsed="false">
      <c r="A3668" s="8" t="s">
        <v>8304</v>
      </c>
      <c r="B3668" s="8" t="s">
        <v>1271</v>
      </c>
      <c r="C3668" s="8" t="s">
        <v>53</v>
      </c>
      <c r="D3668" s="32" t="n">
        <v>46254</v>
      </c>
      <c r="E3668" s="8" t="n">
        <v>6</v>
      </c>
      <c r="F3668" s="8" t="str">
        <f aca="false">IF(E3668&gt;=9,"Promoter",IF(E3668&gt;=7,"Passive","Detractor"))</f>
        <v>Detractor</v>
      </c>
    </row>
    <row r="3669" customFormat="false" ht="15" hidden="false" customHeight="false" outlineLevel="0" collapsed="false">
      <c r="A3669" s="8" t="s">
        <v>8305</v>
      </c>
      <c r="B3669" s="8" t="s">
        <v>2468</v>
      </c>
      <c r="C3669" s="8" t="s">
        <v>51</v>
      </c>
      <c r="D3669" s="32" t="n">
        <v>46254</v>
      </c>
      <c r="E3669" s="8" t="n">
        <v>7</v>
      </c>
      <c r="F3669" s="8" t="str">
        <f aca="false">IF(E3669&gt;=9,"Promoter",IF(E3669&gt;=7,"Passive","Detractor"))</f>
        <v>Passive</v>
      </c>
    </row>
    <row r="3670" customFormat="false" ht="15" hidden="false" customHeight="false" outlineLevel="0" collapsed="false">
      <c r="A3670" s="8" t="s">
        <v>8306</v>
      </c>
      <c r="B3670" s="8" t="s">
        <v>1313</v>
      </c>
      <c r="C3670" s="8" t="s">
        <v>53</v>
      </c>
      <c r="D3670" s="32" t="n">
        <v>46254</v>
      </c>
      <c r="E3670" s="8" t="n">
        <v>10</v>
      </c>
      <c r="F3670" s="8" t="str">
        <f aca="false">IF(E3670&gt;=9,"Promoter",IF(E3670&gt;=7,"Passive","Detractor"))</f>
        <v>Promoter</v>
      </c>
    </row>
    <row r="3671" customFormat="false" ht="15" hidden="false" customHeight="false" outlineLevel="0" collapsed="false">
      <c r="A3671" s="8" t="s">
        <v>8307</v>
      </c>
      <c r="B3671" s="8" t="s">
        <v>591</v>
      </c>
      <c r="C3671" s="8" t="s">
        <v>55</v>
      </c>
      <c r="D3671" s="32" t="n">
        <v>46254</v>
      </c>
      <c r="E3671" s="8" t="n">
        <v>8</v>
      </c>
      <c r="F3671" s="8" t="str">
        <f aca="false">IF(E3671&gt;=9,"Promoter",IF(E3671&gt;=7,"Passive","Detractor"))</f>
        <v>Passive</v>
      </c>
    </row>
    <row r="3672" customFormat="false" ht="15" hidden="false" customHeight="false" outlineLevel="0" collapsed="false">
      <c r="A3672" s="8" t="s">
        <v>8308</v>
      </c>
      <c r="B3672" s="8" t="s">
        <v>3144</v>
      </c>
      <c r="C3672" s="8" t="s">
        <v>51</v>
      </c>
      <c r="D3672" s="32" t="n">
        <v>46254</v>
      </c>
      <c r="E3672" s="8" t="n">
        <v>9</v>
      </c>
      <c r="F3672" s="8" t="str">
        <f aca="false">IF(E3672&gt;=9,"Promoter",IF(E3672&gt;=7,"Passive","Detractor"))</f>
        <v>Promoter</v>
      </c>
    </row>
    <row r="3673" customFormat="false" ht="15" hidden="false" customHeight="false" outlineLevel="0" collapsed="false">
      <c r="A3673" s="8" t="s">
        <v>8309</v>
      </c>
      <c r="B3673" s="8" t="s">
        <v>687</v>
      </c>
      <c r="C3673" s="8" t="s">
        <v>53</v>
      </c>
      <c r="D3673" s="32" t="n">
        <v>46255</v>
      </c>
      <c r="E3673" s="8" t="n">
        <v>6</v>
      </c>
      <c r="F3673" s="8" t="str">
        <f aca="false">IF(E3673&gt;=9,"Promoter",IF(E3673&gt;=7,"Passive","Detractor"))</f>
        <v>Detractor</v>
      </c>
    </row>
    <row r="3674" customFormat="false" ht="15" hidden="false" customHeight="false" outlineLevel="0" collapsed="false">
      <c r="A3674" s="8" t="s">
        <v>8310</v>
      </c>
      <c r="B3674" s="8" t="s">
        <v>1579</v>
      </c>
      <c r="C3674" s="8" t="s">
        <v>53</v>
      </c>
      <c r="D3674" s="32" t="n">
        <v>46255</v>
      </c>
      <c r="E3674" s="8" t="n">
        <v>10</v>
      </c>
      <c r="F3674" s="8" t="str">
        <f aca="false">IF(E3674&gt;=9,"Promoter",IF(E3674&gt;=7,"Passive","Detractor"))</f>
        <v>Promoter</v>
      </c>
    </row>
    <row r="3675" customFormat="false" ht="15" hidden="false" customHeight="false" outlineLevel="0" collapsed="false">
      <c r="A3675" s="8" t="s">
        <v>8311</v>
      </c>
      <c r="B3675" s="8" t="s">
        <v>3876</v>
      </c>
      <c r="C3675" s="8" t="s">
        <v>51</v>
      </c>
      <c r="D3675" s="32" t="n">
        <v>46255</v>
      </c>
      <c r="E3675" s="8" t="n">
        <v>10</v>
      </c>
      <c r="F3675" s="8" t="str">
        <f aca="false">IF(E3675&gt;=9,"Promoter",IF(E3675&gt;=7,"Passive","Detractor"))</f>
        <v>Promoter</v>
      </c>
    </row>
    <row r="3676" customFormat="false" ht="15" hidden="false" customHeight="false" outlineLevel="0" collapsed="false">
      <c r="A3676" s="8" t="s">
        <v>8312</v>
      </c>
      <c r="B3676" s="8" t="s">
        <v>1925</v>
      </c>
      <c r="C3676" s="8" t="s">
        <v>51</v>
      </c>
      <c r="D3676" s="32" t="n">
        <v>46255</v>
      </c>
      <c r="E3676" s="8" t="n">
        <v>6</v>
      </c>
      <c r="F3676" s="8" t="str">
        <f aca="false">IF(E3676&gt;=9,"Promoter",IF(E3676&gt;=7,"Passive","Detractor"))</f>
        <v>Detractor</v>
      </c>
    </row>
    <row r="3677" customFormat="false" ht="15" hidden="false" customHeight="false" outlineLevel="0" collapsed="false">
      <c r="A3677" s="8" t="s">
        <v>8313</v>
      </c>
      <c r="B3677" s="8" t="s">
        <v>1539</v>
      </c>
      <c r="C3677" s="8" t="s">
        <v>53</v>
      </c>
      <c r="D3677" s="32" t="n">
        <v>46255</v>
      </c>
      <c r="E3677" s="8" t="n">
        <v>9</v>
      </c>
      <c r="F3677" s="8" t="str">
        <f aca="false">IF(E3677&gt;=9,"Promoter",IF(E3677&gt;=7,"Passive","Detractor"))</f>
        <v>Promoter</v>
      </c>
    </row>
    <row r="3678" customFormat="false" ht="15" hidden="false" customHeight="false" outlineLevel="0" collapsed="false">
      <c r="A3678" s="8" t="s">
        <v>8314</v>
      </c>
      <c r="B3678" s="8" t="s">
        <v>4032</v>
      </c>
      <c r="C3678" s="8" t="s">
        <v>51</v>
      </c>
      <c r="D3678" s="32" t="n">
        <v>46255</v>
      </c>
      <c r="E3678" s="8" t="n">
        <v>9</v>
      </c>
      <c r="F3678" s="8" t="str">
        <f aca="false">IF(E3678&gt;=9,"Promoter",IF(E3678&gt;=7,"Passive","Detractor"))</f>
        <v>Promoter</v>
      </c>
    </row>
    <row r="3679" customFormat="false" ht="15" hidden="false" customHeight="false" outlineLevel="0" collapsed="false">
      <c r="A3679" s="8" t="s">
        <v>8315</v>
      </c>
      <c r="B3679" s="8" t="s">
        <v>1069</v>
      </c>
      <c r="C3679" s="8" t="s">
        <v>53</v>
      </c>
      <c r="D3679" s="32" t="n">
        <v>46255</v>
      </c>
      <c r="E3679" s="8" t="n">
        <v>10</v>
      </c>
      <c r="F3679" s="8" t="str">
        <f aca="false">IF(E3679&gt;=9,"Promoter",IF(E3679&gt;=7,"Passive","Detractor"))</f>
        <v>Promoter</v>
      </c>
    </row>
    <row r="3680" customFormat="false" ht="15" hidden="false" customHeight="false" outlineLevel="0" collapsed="false">
      <c r="A3680" s="8" t="s">
        <v>8316</v>
      </c>
      <c r="B3680" s="8" t="s">
        <v>2310</v>
      </c>
      <c r="C3680" s="8" t="s">
        <v>51</v>
      </c>
      <c r="D3680" s="32" t="n">
        <v>46255</v>
      </c>
      <c r="E3680" s="8" t="n">
        <v>7</v>
      </c>
      <c r="F3680" s="8" t="str">
        <f aca="false">IF(E3680&gt;=9,"Promoter",IF(E3680&gt;=7,"Passive","Detractor"))</f>
        <v>Passive</v>
      </c>
    </row>
    <row r="3681" customFormat="false" ht="15" hidden="false" customHeight="false" outlineLevel="0" collapsed="false">
      <c r="A3681" s="8" t="s">
        <v>8317</v>
      </c>
      <c r="B3681" s="8" t="s">
        <v>3970</v>
      </c>
      <c r="C3681" s="8" t="s">
        <v>51</v>
      </c>
      <c r="D3681" s="32" t="n">
        <v>46255</v>
      </c>
      <c r="E3681" s="8" t="n">
        <v>10</v>
      </c>
      <c r="F3681" s="8" t="str">
        <f aca="false">IF(E3681&gt;=9,"Promoter",IF(E3681&gt;=7,"Passive","Detractor"))</f>
        <v>Promoter</v>
      </c>
    </row>
    <row r="3682" customFormat="false" ht="15" hidden="false" customHeight="false" outlineLevel="0" collapsed="false">
      <c r="A3682" s="8" t="s">
        <v>8318</v>
      </c>
      <c r="B3682" s="8" t="s">
        <v>2164</v>
      </c>
      <c r="C3682" s="8" t="s">
        <v>51</v>
      </c>
      <c r="D3682" s="32" t="n">
        <v>46255</v>
      </c>
      <c r="E3682" s="8" t="n">
        <v>9</v>
      </c>
      <c r="F3682" s="8" t="str">
        <f aca="false">IF(E3682&gt;=9,"Promoter",IF(E3682&gt;=7,"Passive","Detractor"))</f>
        <v>Promoter</v>
      </c>
    </row>
    <row r="3683" customFormat="false" ht="15" hidden="false" customHeight="false" outlineLevel="0" collapsed="false">
      <c r="A3683" s="8" t="s">
        <v>8319</v>
      </c>
      <c r="B3683" s="8" t="s">
        <v>1817</v>
      </c>
      <c r="C3683" s="8" t="s">
        <v>51</v>
      </c>
      <c r="D3683" s="32" t="n">
        <v>46255</v>
      </c>
      <c r="E3683" s="8" t="n">
        <v>10</v>
      </c>
      <c r="F3683" s="8" t="str">
        <f aca="false">IF(E3683&gt;=9,"Promoter",IF(E3683&gt;=7,"Passive","Detractor"))</f>
        <v>Promoter</v>
      </c>
    </row>
    <row r="3684" customFormat="false" ht="15" hidden="false" customHeight="false" outlineLevel="0" collapsed="false">
      <c r="A3684" s="8" t="s">
        <v>8320</v>
      </c>
      <c r="B3684" s="8" t="s">
        <v>4140</v>
      </c>
      <c r="C3684" s="8" t="s">
        <v>51</v>
      </c>
      <c r="D3684" s="32" t="n">
        <v>46255</v>
      </c>
      <c r="E3684" s="8" t="n">
        <v>5</v>
      </c>
      <c r="F3684" s="8" t="str">
        <f aca="false">IF(E3684&gt;=9,"Promoter",IF(E3684&gt;=7,"Passive","Detractor"))</f>
        <v>Detractor</v>
      </c>
    </row>
    <row r="3685" customFormat="false" ht="15" hidden="false" customHeight="false" outlineLevel="0" collapsed="false">
      <c r="A3685" s="8" t="s">
        <v>8321</v>
      </c>
      <c r="B3685" s="8" t="s">
        <v>2138</v>
      </c>
      <c r="C3685" s="8" t="s">
        <v>51</v>
      </c>
      <c r="D3685" s="32" t="n">
        <v>46255</v>
      </c>
      <c r="E3685" s="8" t="n">
        <v>10</v>
      </c>
      <c r="F3685" s="8" t="str">
        <f aca="false">IF(E3685&gt;=9,"Promoter",IF(E3685&gt;=7,"Passive","Detractor"))</f>
        <v>Promoter</v>
      </c>
    </row>
    <row r="3686" customFormat="false" ht="15" hidden="false" customHeight="false" outlineLevel="0" collapsed="false">
      <c r="A3686" s="8" t="s">
        <v>8322</v>
      </c>
      <c r="B3686" s="8" t="s">
        <v>4296</v>
      </c>
      <c r="C3686" s="8" t="s">
        <v>51</v>
      </c>
      <c r="D3686" s="32" t="n">
        <v>46255</v>
      </c>
      <c r="E3686" s="8" t="n">
        <v>4</v>
      </c>
      <c r="F3686" s="8" t="str">
        <f aca="false">IF(E3686&gt;=9,"Promoter",IF(E3686&gt;=7,"Passive","Detractor"))</f>
        <v>Detractor</v>
      </c>
    </row>
    <row r="3687" customFormat="false" ht="15" hidden="false" customHeight="false" outlineLevel="0" collapsed="false">
      <c r="A3687" s="8" t="s">
        <v>8323</v>
      </c>
      <c r="B3687" s="8" t="s">
        <v>262</v>
      </c>
      <c r="C3687" s="8" t="s">
        <v>55</v>
      </c>
      <c r="D3687" s="32" t="n">
        <v>46255</v>
      </c>
      <c r="E3687" s="8" t="n">
        <v>10</v>
      </c>
      <c r="F3687" s="8" t="str">
        <f aca="false">IF(E3687&gt;=9,"Promoter",IF(E3687&gt;=7,"Passive","Detractor"))</f>
        <v>Promoter</v>
      </c>
    </row>
    <row r="3688" customFormat="false" ht="15" hidden="false" customHeight="false" outlineLevel="0" collapsed="false">
      <c r="A3688" s="8" t="s">
        <v>8324</v>
      </c>
      <c r="B3688" s="8" t="s">
        <v>1551</v>
      </c>
      <c r="C3688" s="8" t="s">
        <v>53</v>
      </c>
      <c r="D3688" s="32" t="n">
        <v>46255</v>
      </c>
      <c r="E3688" s="8" t="n">
        <v>10</v>
      </c>
      <c r="F3688" s="8" t="str">
        <f aca="false">IF(E3688&gt;=9,"Promoter",IF(E3688&gt;=7,"Passive","Detractor"))</f>
        <v>Promoter</v>
      </c>
    </row>
    <row r="3689" customFormat="false" ht="15" hidden="false" customHeight="false" outlineLevel="0" collapsed="false">
      <c r="A3689" s="8" t="s">
        <v>8325</v>
      </c>
      <c r="B3689" s="8" t="s">
        <v>1019</v>
      </c>
      <c r="C3689" s="8" t="s">
        <v>55</v>
      </c>
      <c r="D3689" s="32" t="n">
        <v>46255</v>
      </c>
      <c r="E3689" s="8" t="n">
        <v>6</v>
      </c>
      <c r="F3689" s="8" t="str">
        <f aca="false">IF(E3689&gt;=9,"Promoter",IF(E3689&gt;=7,"Passive","Detractor"))</f>
        <v>Detractor</v>
      </c>
    </row>
    <row r="3690" customFormat="false" ht="15" hidden="false" customHeight="false" outlineLevel="0" collapsed="false">
      <c r="A3690" s="8" t="s">
        <v>8326</v>
      </c>
      <c r="B3690" s="8" t="s">
        <v>1917</v>
      </c>
      <c r="C3690" s="8" t="s">
        <v>51</v>
      </c>
      <c r="D3690" s="32" t="n">
        <v>46256</v>
      </c>
      <c r="E3690" s="8" t="n">
        <v>7</v>
      </c>
      <c r="F3690" s="8" t="str">
        <f aca="false">IF(E3690&gt;=9,"Promoter",IF(E3690&gt;=7,"Passive","Detractor"))</f>
        <v>Passive</v>
      </c>
    </row>
    <row r="3691" customFormat="false" ht="15" hidden="false" customHeight="false" outlineLevel="0" collapsed="false">
      <c r="A3691" s="8" t="s">
        <v>8327</v>
      </c>
      <c r="B3691" s="8" t="s">
        <v>4024</v>
      </c>
      <c r="C3691" s="8" t="s">
        <v>51</v>
      </c>
      <c r="D3691" s="32" t="n">
        <v>46256</v>
      </c>
      <c r="E3691" s="8" t="n">
        <v>7</v>
      </c>
      <c r="F3691" s="8" t="str">
        <f aca="false">IF(E3691&gt;=9,"Promoter",IF(E3691&gt;=7,"Passive","Detractor"))</f>
        <v>Passive</v>
      </c>
    </row>
    <row r="3692" customFormat="false" ht="15" hidden="false" customHeight="false" outlineLevel="0" collapsed="false">
      <c r="A3692" s="8" t="s">
        <v>8328</v>
      </c>
      <c r="B3692" s="8" t="s">
        <v>957</v>
      </c>
      <c r="C3692" s="8" t="s">
        <v>53</v>
      </c>
      <c r="D3692" s="32" t="n">
        <v>46256</v>
      </c>
      <c r="E3692" s="8" t="n">
        <v>10</v>
      </c>
      <c r="F3692" s="8" t="str">
        <f aca="false">IF(E3692&gt;=9,"Promoter",IF(E3692&gt;=7,"Passive","Detractor"))</f>
        <v>Promoter</v>
      </c>
    </row>
    <row r="3693" customFormat="false" ht="15" hidden="false" customHeight="false" outlineLevel="0" collapsed="false">
      <c r="A3693" s="8" t="s">
        <v>8329</v>
      </c>
      <c r="B3693" s="8" t="s">
        <v>1677</v>
      </c>
      <c r="C3693" s="8" t="s">
        <v>53</v>
      </c>
      <c r="D3693" s="32" t="n">
        <v>46256</v>
      </c>
      <c r="E3693" s="8" t="n">
        <v>9</v>
      </c>
      <c r="F3693" s="8" t="str">
        <f aca="false">IF(E3693&gt;=9,"Promoter",IF(E3693&gt;=7,"Passive","Detractor"))</f>
        <v>Promoter</v>
      </c>
    </row>
    <row r="3694" customFormat="false" ht="15" hidden="false" customHeight="false" outlineLevel="0" collapsed="false">
      <c r="A3694" s="8" t="s">
        <v>8330</v>
      </c>
      <c r="B3694" s="8" t="s">
        <v>2684</v>
      </c>
      <c r="C3694" s="8" t="s">
        <v>51</v>
      </c>
      <c r="D3694" s="32" t="n">
        <v>46256</v>
      </c>
      <c r="E3694" s="8" t="n">
        <v>7</v>
      </c>
      <c r="F3694" s="8" t="str">
        <f aca="false">IF(E3694&gt;=9,"Promoter",IF(E3694&gt;=7,"Passive","Detractor"))</f>
        <v>Passive</v>
      </c>
    </row>
    <row r="3695" customFormat="false" ht="15" hidden="false" customHeight="false" outlineLevel="0" collapsed="false">
      <c r="A3695" s="8" t="s">
        <v>8331</v>
      </c>
      <c r="B3695" s="8" t="s">
        <v>280</v>
      </c>
      <c r="C3695" s="8" t="s">
        <v>55</v>
      </c>
      <c r="D3695" s="32" t="n">
        <v>46256</v>
      </c>
      <c r="E3695" s="8" t="n">
        <v>5</v>
      </c>
      <c r="F3695" s="8" t="str">
        <f aca="false">IF(E3695&gt;=9,"Promoter",IF(E3695&gt;=7,"Passive","Detractor"))</f>
        <v>Detractor</v>
      </c>
    </row>
    <row r="3696" customFormat="false" ht="15" hidden="false" customHeight="false" outlineLevel="0" collapsed="false">
      <c r="A3696" s="8" t="s">
        <v>8332</v>
      </c>
      <c r="B3696" s="8" t="s">
        <v>571</v>
      </c>
      <c r="C3696" s="8" t="s">
        <v>53</v>
      </c>
      <c r="D3696" s="32" t="n">
        <v>46256</v>
      </c>
      <c r="E3696" s="8" t="n">
        <v>6</v>
      </c>
      <c r="F3696" s="8" t="str">
        <f aca="false">IF(E3696&gt;=9,"Promoter",IF(E3696&gt;=7,"Passive","Detractor"))</f>
        <v>Detractor</v>
      </c>
    </row>
    <row r="3697" customFormat="false" ht="15" hidden="false" customHeight="false" outlineLevel="0" collapsed="false">
      <c r="A3697" s="8" t="s">
        <v>8333</v>
      </c>
      <c r="B3697" s="8" t="s">
        <v>3358</v>
      </c>
      <c r="C3697" s="8" t="s">
        <v>51</v>
      </c>
      <c r="D3697" s="32" t="n">
        <v>46256</v>
      </c>
      <c r="E3697" s="8" t="n">
        <v>7</v>
      </c>
      <c r="F3697" s="8" t="str">
        <f aca="false">IF(E3697&gt;=9,"Promoter",IF(E3697&gt;=7,"Passive","Detractor"))</f>
        <v>Passive</v>
      </c>
    </row>
    <row r="3698" customFormat="false" ht="15" hidden="false" customHeight="false" outlineLevel="0" collapsed="false">
      <c r="A3698" s="8" t="s">
        <v>8334</v>
      </c>
      <c r="B3698" s="8" t="s">
        <v>1125</v>
      </c>
      <c r="C3698" s="8" t="s">
        <v>53</v>
      </c>
      <c r="D3698" s="32" t="n">
        <v>46256</v>
      </c>
      <c r="E3698" s="8" t="n">
        <v>10</v>
      </c>
      <c r="F3698" s="8" t="str">
        <f aca="false">IF(E3698&gt;=9,"Promoter",IF(E3698&gt;=7,"Passive","Detractor"))</f>
        <v>Promoter</v>
      </c>
    </row>
    <row r="3699" customFormat="false" ht="15" hidden="false" customHeight="false" outlineLevel="0" collapsed="false">
      <c r="A3699" s="8" t="s">
        <v>8335</v>
      </c>
      <c r="B3699" s="8" t="s">
        <v>3534</v>
      </c>
      <c r="C3699" s="8" t="s">
        <v>51</v>
      </c>
      <c r="D3699" s="32" t="n">
        <v>46256</v>
      </c>
      <c r="E3699" s="8" t="n">
        <v>7</v>
      </c>
      <c r="F3699" s="8" t="str">
        <f aca="false">IF(E3699&gt;=9,"Promoter",IF(E3699&gt;=7,"Passive","Detractor"))</f>
        <v>Passive</v>
      </c>
    </row>
    <row r="3700" customFormat="false" ht="15" hidden="false" customHeight="false" outlineLevel="0" collapsed="false">
      <c r="A3700" s="8" t="s">
        <v>8336</v>
      </c>
      <c r="B3700" s="8" t="s">
        <v>2656</v>
      </c>
      <c r="C3700" s="8" t="s">
        <v>51</v>
      </c>
      <c r="D3700" s="32" t="n">
        <v>46256</v>
      </c>
      <c r="E3700" s="8" t="n">
        <v>10</v>
      </c>
      <c r="F3700" s="8" t="str">
        <f aca="false">IF(E3700&gt;=9,"Promoter",IF(E3700&gt;=7,"Passive","Detractor"))</f>
        <v>Promoter</v>
      </c>
    </row>
    <row r="3701" customFormat="false" ht="15" hidden="false" customHeight="false" outlineLevel="0" collapsed="false">
      <c r="A3701" s="8" t="s">
        <v>8337</v>
      </c>
      <c r="B3701" s="8" t="s">
        <v>2830</v>
      </c>
      <c r="C3701" s="8" t="s">
        <v>51</v>
      </c>
      <c r="D3701" s="32" t="n">
        <v>46256</v>
      </c>
      <c r="E3701" s="8" t="n">
        <v>6</v>
      </c>
      <c r="F3701" s="8" t="str">
        <f aca="false">IF(E3701&gt;=9,"Promoter",IF(E3701&gt;=7,"Passive","Detractor"))</f>
        <v>Detractor</v>
      </c>
    </row>
    <row r="3702" customFormat="false" ht="15" hidden="false" customHeight="false" outlineLevel="0" collapsed="false">
      <c r="A3702" s="8" t="s">
        <v>8338</v>
      </c>
      <c r="B3702" s="8" t="s">
        <v>2972</v>
      </c>
      <c r="C3702" s="8" t="s">
        <v>51</v>
      </c>
      <c r="D3702" s="32" t="n">
        <v>46257</v>
      </c>
      <c r="E3702" s="8" t="n">
        <v>10</v>
      </c>
      <c r="F3702" s="8" t="str">
        <f aca="false">IF(E3702&gt;=9,"Promoter",IF(E3702&gt;=7,"Passive","Detractor"))</f>
        <v>Promoter</v>
      </c>
    </row>
    <row r="3703" customFormat="false" ht="15" hidden="false" customHeight="false" outlineLevel="0" collapsed="false">
      <c r="A3703" s="8" t="s">
        <v>8339</v>
      </c>
      <c r="B3703" s="8" t="s">
        <v>2314</v>
      </c>
      <c r="C3703" s="8" t="s">
        <v>51</v>
      </c>
      <c r="D3703" s="32" t="n">
        <v>46257</v>
      </c>
      <c r="E3703" s="8" t="n">
        <v>8</v>
      </c>
      <c r="F3703" s="8" t="str">
        <f aca="false">IF(E3703&gt;=9,"Promoter",IF(E3703&gt;=7,"Passive","Detractor"))</f>
        <v>Passive</v>
      </c>
    </row>
    <row r="3704" customFormat="false" ht="15" hidden="false" customHeight="false" outlineLevel="0" collapsed="false">
      <c r="A3704" s="8" t="s">
        <v>8340</v>
      </c>
      <c r="B3704" s="8" t="s">
        <v>555</v>
      </c>
      <c r="C3704" s="8" t="s">
        <v>55</v>
      </c>
      <c r="D3704" s="32" t="n">
        <v>46257</v>
      </c>
      <c r="E3704" s="8" t="n">
        <v>10</v>
      </c>
      <c r="F3704" s="8" t="str">
        <f aca="false">IF(E3704&gt;=9,"Promoter",IF(E3704&gt;=7,"Passive","Detractor"))</f>
        <v>Promoter</v>
      </c>
    </row>
    <row r="3705" customFormat="false" ht="15" hidden="false" customHeight="false" outlineLevel="0" collapsed="false">
      <c r="A3705" s="8" t="s">
        <v>8341</v>
      </c>
      <c r="B3705" s="8" t="s">
        <v>933</v>
      </c>
      <c r="C3705" s="8" t="s">
        <v>53</v>
      </c>
      <c r="D3705" s="32" t="n">
        <v>46257</v>
      </c>
      <c r="E3705" s="8" t="n">
        <v>8</v>
      </c>
      <c r="F3705" s="8" t="str">
        <f aca="false">IF(E3705&gt;=9,"Promoter",IF(E3705&gt;=7,"Passive","Detractor"))</f>
        <v>Passive</v>
      </c>
    </row>
    <row r="3706" customFormat="false" ht="15" hidden="false" customHeight="false" outlineLevel="0" collapsed="false">
      <c r="A3706" s="8" t="s">
        <v>8342</v>
      </c>
      <c r="B3706" s="8" t="s">
        <v>427</v>
      </c>
      <c r="C3706" s="8" t="s">
        <v>55</v>
      </c>
      <c r="D3706" s="32" t="n">
        <v>46257</v>
      </c>
      <c r="E3706" s="8" t="n">
        <v>6</v>
      </c>
      <c r="F3706" s="8" t="str">
        <f aca="false">IF(E3706&gt;=9,"Promoter",IF(E3706&gt;=7,"Passive","Detractor"))</f>
        <v>Detractor</v>
      </c>
    </row>
    <row r="3707" customFormat="false" ht="15" hidden="false" customHeight="false" outlineLevel="0" collapsed="false">
      <c r="A3707" s="8" t="s">
        <v>8343</v>
      </c>
      <c r="B3707" s="8" t="s">
        <v>1161</v>
      </c>
      <c r="C3707" s="8" t="s">
        <v>53</v>
      </c>
      <c r="D3707" s="32" t="n">
        <v>46257</v>
      </c>
      <c r="E3707" s="8" t="n">
        <v>7</v>
      </c>
      <c r="F3707" s="8" t="str">
        <f aca="false">IF(E3707&gt;=9,"Promoter",IF(E3707&gt;=7,"Passive","Detractor"))</f>
        <v>Passive</v>
      </c>
    </row>
    <row r="3708" customFormat="false" ht="15" hidden="false" customHeight="false" outlineLevel="0" collapsed="false">
      <c r="A3708" s="8" t="s">
        <v>8344</v>
      </c>
      <c r="B3708" s="8" t="s">
        <v>162</v>
      </c>
      <c r="C3708" s="8" t="s">
        <v>55</v>
      </c>
      <c r="D3708" s="32" t="n">
        <v>46257</v>
      </c>
      <c r="E3708" s="8" t="n">
        <v>9</v>
      </c>
      <c r="F3708" s="8" t="str">
        <f aca="false">IF(E3708&gt;=9,"Promoter",IF(E3708&gt;=7,"Passive","Detractor"))</f>
        <v>Promoter</v>
      </c>
    </row>
    <row r="3709" customFormat="false" ht="15" hidden="false" customHeight="false" outlineLevel="0" collapsed="false">
      <c r="A3709" s="8" t="s">
        <v>8345</v>
      </c>
      <c r="B3709" s="8" t="s">
        <v>4008</v>
      </c>
      <c r="C3709" s="8" t="s">
        <v>51</v>
      </c>
      <c r="D3709" s="32" t="n">
        <v>46257</v>
      </c>
      <c r="E3709" s="8" t="n">
        <v>10</v>
      </c>
      <c r="F3709" s="8" t="str">
        <f aca="false">IF(E3709&gt;=9,"Promoter",IF(E3709&gt;=7,"Passive","Detractor"))</f>
        <v>Promoter</v>
      </c>
    </row>
    <row r="3710" customFormat="false" ht="15" hidden="false" customHeight="false" outlineLevel="0" collapsed="false">
      <c r="A3710" s="8" t="s">
        <v>8346</v>
      </c>
      <c r="B3710" s="8" t="s">
        <v>1373</v>
      </c>
      <c r="C3710" s="8" t="s">
        <v>53</v>
      </c>
      <c r="D3710" s="32" t="n">
        <v>46257</v>
      </c>
      <c r="E3710" s="8" t="n">
        <v>4</v>
      </c>
      <c r="F3710" s="8" t="str">
        <f aca="false">IF(E3710&gt;=9,"Promoter",IF(E3710&gt;=7,"Passive","Detractor"))</f>
        <v>Detractor</v>
      </c>
    </row>
    <row r="3711" customFormat="false" ht="15" hidden="false" customHeight="false" outlineLevel="0" collapsed="false">
      <c r="A3711" s="8" t="s">
        <v>8347</v>
      </c>
      <c r="B3711" s="8" t="s">
        <v>4132</v>
      </c>
      <c r="C3711" s="8" t="s">
        <v>51</v>
      </c>
      <c r="D3711" s="32" t="n">
        <v>46257</v>
      </c>
      <c r="E3711" s="8" t="n">
        <v>5</v>
      </c>
      <c r="F3711" s="8" t="str">
        <f aca="false">IF(E3711&gt;=9,"Promoter",IF(E3711&gt;=7,"Passive","Detractor"))</f>
        <v>Detractor</v>
      </c>
    </row>
    <row r="3712" customFormat="false" ht="15" hidden="false" customHeight="false" outlineLevel="0" collapsed="false">
      <c r="A3712" s="8" t="s">
        <v>8348</v>
      </c>
      <c r="B3712" s="8" t="s">
        <v>322</v>
      </c>
      <c r="C3712" s="8" t="s">
        <v>55</v>
      </c>
      <c r="D3712" s="32" t="n">
        <v>46257</v>
      </c>
      <c r="E3712" s="8" t="n">
        <v>10</v>
      </c>
      <c r="F3712" s="8" t="str">
        <f aca="false">IF(E3712&gt;=9,"Promoter",IF(E3712&gt;=7,"Passive","Detractor"))</f>
        <v>Promoter</v>
      </c>
    </row>
    <row r="3713" customFormat="false" ht="15" hidden="false" customHeight="false" outlineLevel="0" collapsed="false">
      <c r="A3713" s="8" t="s">
        <v>8349</v>
      </c>
      <c r="B3713" s="8" t="s">
        <v>3388</v>
      </c>
      <c r="C3713" s="8" t="s">
        <v>51</v>
      </c>
      <c r="D3713" s="32" t="n">
        <v>46258</v>
      </c>
      <c r="E3713" s="8" t="n">
        <v>8</v>
      </c>
      <c r="F3713" s="8" t="str">
        <f aca="false">IF(E3713&gt;=9,"Promoter",IF(E3713&gt;=7,"Passive","Detractor"))</f>
        <v>Passive</v>
      </c>
    </row>
    <row r="3714" customFormat="false" ht="15" hidden="false" customHeight="false" outlineLevel="0" collapsed="false">
      <c r="A3714" s="8" t="s">
        <v>8350</v>
      </c>
      <c r="B3714" s="8" t="s">
        <v>4026</v>
      </c>
      <c r="C3714" s="8" t="s">
        <v>51</v>
      </c>
      <c r="D3714" s="32" t="n">
        <v>46258</v>
      </c>
      <c r="E3714" s="8" t="n">
        <v>10</v>
      </c>
      <c r="F3714" s="8" t="str">
        <f aca="false">IF(E3714&gt;=9,"Promoter",IF(E3714&gt;=7,"Passive","Detractor"))</f>
        <v>Promoter</v>
      </c>
    </row>
    <row r="3715" customFormat="false" ht="15" hidden="false" customHeight="false" outlineLevel="0" collapsed="false">
      <c r="A3715" s="8" t="s">
        <v>8351</v>
      </c>
      <c r="B3715" s="8" t="s">
        <v>2818</v>
      </c>
      <c r="C3715" s="8" t="s">
        <v>51</v>
      </c>
      <c r="D3715" s="32" t="n">
        <v>46258</v>
      </c>
      <c r="E3715" s="8" t="n">
        <v>6</v>
      </c>
      <c r="F3715" s="8" t="str">
        <f aca="false">IF(E3715&gt;=9,"Promoter",IF(E3715&gt;=7,"Passive","Detractor"))</f>
        <v>Detractor</v>
      </c>
    </row>
    <row r="3716" customFormat="false" ht="15" hidden="false" customHeight="false" outlineLevel="0" collapsed="false">
      <c r="A3716" s="8" t="s">
        <v>8352</v>
      </c>
      <c r="B3716" s="8" t="s">
        <v>1775</v>
      </c>
      <c r="C3716" s="8" t="s">
        <v>53</v>
      </c>
      <c r="D3716" s="32" t="n">
        <v>46258</v>
      </c>
      <c r="E3716" s="8" t="n">
        <v>8</v>
      </c>
      <c r="F3716" s="8" t="str">
        <f aca="false">IF(E3716&gt;=9,"Promoter",IF(E3716&gt;=7,"Passive","Detractor"))</f>
        <v>Passive</v>
      </c>
    </row>
    <row r="3717" customFormat="false" ht="15" hidden="false" customHeight="false" outlineLevel="0" collapsed="false">
      <c r="A3717" s="8" t="s">
        <v>8353</v>
      </c>
      <c r="B3717" s="8" t="s">
        <v>839</v>
      </c>
      <c r="C3717" s="8" t="s">
        <v>53</v>
      </c>
      <c r="D3717" s="32" t="n">
        <v>46258</v>
      </c>
      <c r="E3717" s="8" t="n">
        <v>8</v>
      </c>
      <c r="F3717" s="8" t="str">
        <f aca="false">IF(E3717&gt;=9,"Promoter",IF(E3717&gt;=7,"Passive","Detractor"))</f>
        <v>Passive</v>
      </c>
    </row>
    <row r="3718" customFormat="false" ht="15" hidden="false" customHeight="false" outlineLevel="0" collapsed="false">
      <c r="A3718" s="8" t="s">
        <v>8354</v>
      </c>
      <c r="B3718" s="8" t="s">
        <v>3880</v>
      </c>
      <c r="C3718" s="8" t="s">
        <v>51</v>
      </c>
      <c r="D3718" s="32" t="n">
        <v>46258</v>
      </c>
      <c r="E3718" s="8" t="n">
        <v>9</v>
      </c>
      <c r="F3718" s="8" t="str">
        <f aca="false">IF(E3718&gt;=9,"Promoter",IF(E3718&gt;=7,"Passive","Detractor"))</f>
        <v>Promoter</v>
      </c>
    </row>
    <row r="3719" customFormat="false" ht="15" hidden="false" customHeight="false" outlineLevel="0" collapsed="false">
      <c r="A3719" s="8" t="s">
        <v>8355</v>
      </c>
      <c r="B3719" s="8" t="s">
        <v>1137</v>
      </c>
      <c r="C3719" s="8" t="s">
        <v>53</v>
      </c>
      <c r="D3719" s="32" t="n">
        <v>46258</v>
      </c>
      <c r="E3719" s="8" t="n">
        <v>8</v>
      </c>
      <c r="F3719" s="8" t="str">
        <f aca="false">IF(E3719&gt;=9,"Promoter",IF(E3719&gt;=7,"Passive","Detractor"))</f>
        <v>Passive</v>
      </c>
    </row>
    <row r="3720" customFormat="false" ht="15" hidden="false" customHeight="false" outlineLevel="0" collapsed="false">
      <c r="A3720" s="8" t="s">
        <v>8356</v>
      </c>
      <c r="B3720" s="8" t="s">
        <v>967</v>
      </c>
      <c r="C3720" s="8" t="s">
        <v>53</v>
      </c>
      <c r="D3720" s="32" t="n">
        <v>46258</v>
      </c>
      <c r="E3720" s="8" t="n">
        <v>6</v>
      </c>
      <c r="F3720" s="8" t="str">
        <f aca="false">IF(E3720&gt;=9,"Promoter",IF(E3720&gt;=7,"Passive","Detractor"))</f>
        <v>Detractor</v>
      </c>
    </row>
    <row r="3721" customFormat="false" ht="15" hidden="false" customHeight="false" outlineLevel="0" collapsed="false">
      <c r="A3721" s="8" t="s">
        <v>8357</v>
      </c>
      <c r="B3721" s="8" t="s">
        <v>4282</v>
      </c>
      <c r="C3721" s="8" t="s">
        <v>51</v>
      </c>
      <c r="D3721" s="32" t="n">
        <v>46258</v>
      </c>
      <c r="E3721" s="8" t="n">
        <v>8</v>
      </c>
      <c r="F3721" s="8" t="str">
        <f aca="false">IF(E3721&gt;=9,"Promoter",IF(E3721&gt;=7,"Passive","Detractor"))</f>
        <v>Passive</v>
      </c>
    </row>
    <row r="3722" customFormat="false" ht="15" hidden="false" customHeight="false" outlineLevel="0" collapsed="false">
      <c r="A3722" s="8" t="s">
        <v>8358</v>
      </c>
      <c r="B3722" s="8" t="s">
        <v>863</v>
      </c>
      <c r="C3722" s="8" t="s">
        <v>53</v>
      </c>
      <c r="D3722" s="32" t="n">
        <v>46258</v>
      </c>
      <c r="E3722" s="8" t="n">
        <v>7</v>
      </c>
      <c r="F3722" s="8" t="str">
        <f aca="false">IF(E3722&gt;=9,"Promoter",IF(E3722&gt;=7,"Passive","Detractor"))</f>
        <v>Passive</v>
      </c>
    </row>
    <row r="3723" customFormat="false" ht="15" hidden="false" customHeight="false" outlineLevel="0" collapsed="false">
      <c r="A3723" s="8" t="s">
        <v>8359</v>
      </c>
      <c r="B3723" s="8" t="s">
        <v>3760</v>
      </c>
      <c r="C3723" s="8" t="s">
        <v>51</v>
      </c>
      <c r="D3723" s="32" t="n">
        <v>46258</v>
      </c>
      <c r="E3723" s="8" t="n">
        <v>5</v>
      </c>
      <c r="F3723" s="8" t="str">
        <f aca="false">IF(E3723&gt;=9,"Promoter",IF(E3723&gt;=7,"Passive","Detractor"))</f>
        <v>Detractor</v>
      </c>
    </row>
    <row r="3724" customFormat="false" ht="15" hidden="false" customHeight="false" outlineLevel="0" collapsed="false">
      <c r="A3724" s="8" t="s">
        <v>8360</v>
      </c>
      <c r="B3724" s="8" t="s">
        <v>1975</v>
      </c>
      <c r="C3724" s="8" t="s">
        <v>51</v>
      </c>
      <c r="D3724" s="32" t="n">
        <v>46258</v>
      </c>
      <c r="E3724" s="8" t="n">
        <v>9</v>
      </c>
      <c r="F3724" s="8" t="str">
        <f aca="false">IF(E3724&gt;=9,"Promoter",IF(E3724&gt;=7,"Passive","Detractor"))</f>
        <v>Promoter</v>
      </c>
    </row>
    <row r="3725" customFormat="false" ht="15" hidden="false" customHeight="false" outlineLevel="0" collapsed="false">
      <c r="A3725" s="8" t="s">
        <v>8361</v>
      </c>
      <c r="B3725" s="8" t="s">
        <v>3638</v>
      </c>
      <c r="C3725" s="8" t="s">
        <v>51</v>
      </c>
      <c r="D3725" s="32" t="n">
        <v>46258</v>
      </c>
      <c r="E3725" s="8" t="n">
        <v>8</v>
      </c>
      <c r="F3725" s="8" t="str">
        <f aca="false">IF(E3725&gt;=9,"Promoter",IF(E3725&gt;=7,"Passive","Detractor"))</f>
        <v>Passive</v>
      </c>
    </row>
    <row r="3726" customFormat="false" ht="15" hidden="false" customHeight="false" outlineLevel="0" collapsed="false">
      <c r="A3726" s="8" t="s">
        <v>8362</v>
      </c>
      <c r="B3726" s="8" t="s">
        <v>4136</v>
      </c>
      <c r="C3726" s="8" t="s">
        <v>51</v>
      </c>
      <c r="D3726" s="32" t="n">
        <v>46258</v>
      </c>
      <c r="E3726" s="8" t="n">
        <v>8</v>
      </c>
      <c r="F3726" s="8" t="str">
        <f aca="false">IF(E3726&gt;=9,"Promoter",IF(E3726&gt;=7,"Passive","Detractor"))</f>
        <v>Passive</v>
      </c>
    </row>
    <row r="3727" customFormat="false" ht="15" hidden="false" customHeight="false" outlineLevel="0" collapsed="false">
      <c r="A3727" s="8" t="s">
        <v>8363</v>
      </c>
      <c r="B3727" s="8" t="s">
        <v>3766</v>
      </c>
      <c r="C3727" s="8" t="s">
        <v>51</v>
      </c>
      <c r="D3727" s="32" t="n">
        <v>46258</v>
      </c>
      <c r="E3727" s="8" t="n">
        <v>9</v>
      </c>
      <c r="F3727" s="8" t="str">
        <f aca="false">IF(E3727&gt;=9,"Promoter",IF(E3727&gt;=7,"Passive","Detractor"))</f>
        <v>Promoter</v>
      </c>
    </row>
    <row r="3728" customFormat="false" ht="15" hidden="false" customHeight="false" outlineLevel="0" collapsed="false">
      <c r="A3728" s="8" t="s">
        <v>8364</v>
      </c>
      <c r="B3728" s="8" t="s">
        <v>1885</v>
      </c>
      <c r="C3728" s="8" t="s">
        <v>51</v>
      </c>
      <c r="D3728" s="32" t="n">
        <v>46258</v>
      </c>
      <c r="E3728" s="8" t="n">
        <v>7</v>
      </c>
      <c r="F3728" s="8" t="str">
        <f aca="false">IF(E3728&gt;=9,"Promoter",IF(E3728&gt;=7,"Passive","Detractor"))</f>
        <v>Passive</v>
      </c>
    </row>
    <row r="3729" customFormat="false" ht="15" hidden="false" customHeight="false" outlineLevel="0" collapsed="false">
      <c r="A3729" s="8" t="s">
        <v>8365</v>
      </c>
      <c r="B3729" s="8" t="s">
        <v>2832</v>
      </c>
      <c r="C3729" s="8" t="s">
        <v>51</v>
      </c>
      <c r="D3729" s="32" t="n">
        <v>46258</v>
      </c>
      <c r="E3729" s="8" t="n">
        <v>4</v>
      </c>
      <c r="F3729" s="8" t="str">
        <f aca="false">IF(E3729&gt;=9,"Promoter",IF(E3729&gt;=7,"Passive","Detractor"))</f>
        <v>Detractor</v>
      </c>
    </row>
    <row r="3730" customFormat="false" ht="15" hidden="false" customHeight="false" outlineLevel="0" collapsed="false">
      <c r="A3730" s="8" t="s">
        <v>8366</v>
      </c>
      <c r="B3730" s="8" t="s">
        <v>3848</v>
      </c>
      <c r="C3730" s="8" t="s">
        <v>51</v>
      </c>
      <c r="D3730" s="32" t="n">
        <v>46258</v>
      </c>
      <c r="E3730" s="8" t="n">
        <v>9</v>
      </c>
      <c r="F3730" s="8" t="str">
        <f aca="false">IF(E3730&gt;=9,"Promoter",IF(E3730&gt;=7,"Passive","Detractor"))</f>
        <v>Promoter</v>
      </c>
    </row>
    <row r="3731" customFormat="false" ht="15" hidden="false" customHeight="false" outlineLevel="0" collapsed="false">
      <c r="A3731" s="8" t="s">
        <v>8367</v>
      </c>
      <c r="B3731" s="8" t="s">
        <v>4070</v>
      </c>
      <c r="C3731" s="8" t="s">
        <v>51</v>
      </c>
      <c r="D3731" s="32" t="n">
        <v>46258</v>
      </c>
      <c r="E3731" s="8" t="n">
        <v>8</v>
      </c>
      <c r="F3731" s="8" t="str">
        <f aca="false">IF(E3731&gt;=9,"Promoter",IF(E3731&gt;=7,"Passive","Detractor"))</f>
        <v>Passive</v>
      </c>
    </row>
    <row r="3732" customFormat="false" ht="15" hidden="false" customHeight="false" outlineLevel="0" collapsed="false">
      <c r="A3732" s="8" t="s">
        <v>8368</v>
      </c>
      <c r="B3732" s="8" t="s">
        <v>929</v>
      </c>
      <c r="C3732" s="8" t="s">
        <v>53</v>
      </c>
      <c r="D3732" s="32" t="n">
        <v>46258</v>
      </c>
      <c r="E3732" s="8" t="n">
        <v>5</v>
      </c>
      <c r="F3732" s="8" t="str">
        <f aca="false">IF(E3732&gt;=9,"Promoter",IF(E3732&gt;=7,"Passive","Detractor"))</f>
        <v>Detractor</v>
      </c>
    </row>
    <row r="3733" customFormat="false" ht="15" hidden="false" customHeight="false" outlineLevel="0" collapsed="false">
      <c r="A3733" s="8" t="s">
        <v>8369</v>
      </c>
      <c r="B3733" s="8" t="s">
        <v>4088</v>
      </c>
      <c r="C3733" s="8" t="s">
        <v>51</v>
      </c>
      <c r="D3733" s="32" t="n">
        <v>46259</v>
      </c>
      <c r="E3733" s="8" t="n">
        <v>4</v>
      </c>
      <c r="F3733" s="8" t="str">
        <f aca="false">IF(E3733&gt;=9,"Promoter",IF(E3733&gt;=7,"Passive","Detractor"))</f>
        <v>Detractor</v>
      </c>
    </row>
    <row r="3734" customFormat="false" ht="15" hidden="false" customHeight="false" outlineLevel="0" collapsed="false">
      <c r="A3734" s="8" t="s">
        <v>8370</v>
      </c>
      <c r="B3734" s="8" t="s">
        <v>2802</v>
      </c>
      <c r="C3734" s="8" t="s">
        <v>51</v>
      </c>
      <c r="D3734" s="32" t="n">
        <v>46259</v>
      </c>
      <c r="E3734" s="8" t="n">
        <v>8</v>
      </c>
      <c r="F3734" s="8" t="str">
        <f aca="false">IF(E3734&gt;=9,"Promoter",IF(E3734&gt;=7,"Passive","Detractor"))</f>
        <v>Passive</v>
      </c>
    </row>
    <row r="3735" customFormat="false" ht="15" hidden="false" customHeight="false" outlineLevel="0" collapsed="false">
      <c r="A3735" s="8" t="s">
        <v>8371</v>
      </c>
      <c r="B3735" s="8" t="s">
        <v>2614</v>
      </c>
      <c r="C3735" s="8" t="s">
        <v>51</v>
      </c>
      <c r="D3735" s="32" t="n">
        <v>46259</v>
      </c>
      <c r="E3735" s="8" t="n">
        <v>7</v>
      </c>
      <c r="F3735" s="8" t="str">
        <f aca="false">IF(E3735&gt;=9,"Promoter",IF(E3735&gt;=7,"Passive","Detractor"))</f>
        <v>Passive</v>
      </c>
    </row>
    <row r="3736" customFormat="false" ht="15" hidden="false" customHeight="false" outlineLevel="0" collapsed="false">
      <c r="A3736" s="8" t="s">
        <v>8372</v>
      </c>
      <c r="B3736" s="8" t="s">
        <v>2134</v>
      </c>
      <c r="C3736" s="8" t="s">
        <v>51</v>
      </c>
      <c r="D3736" s="32" t="n">
        <v>46259</v>
      </c>
      <c r="E3736" s="8" t="n">
        <v>7</v>
      </c>
      <c r="F3736" s="8" t="str">
        <f aca="false">IF(E3736&gt;=9,"Promoter",IF(E3736&gt;=7,"Passive","Detractor"))</f>
        <v>Passive</v>
      </c>
    </row>
    <row r="3737" customFormat="false" ht="15" hidden="false" customHeight="false" outlineLevel="0" collapsed="false">
      <c r="A3737" s="8" t="s">
        <v>8373</v>
      </c>
      <c r="B3737" s="8" t="s">
        <v>3950</v>
      </c>
      <c r="C3737" s="8" t="s">
        <v>51</v>
      </c>
      <c r="D3737" s="32" t="n">
        <v>46259</v>
      </c>
      <c r="E3737" s="8" t="n">
        <v>8</v>
      </c>
      <c r="F3737" s="8" t="str">
        <f aca="false">IF(E3737&gt;=9,"Promoter",IF(E3737&gt;=7,"Passive","Detractor"))</f>
        <v>Passive</v>
      </c>
    </row>
    <row r="3738" customFormat="false" ht="15" hidden="false" customHeight="false" outlineLevel="0" collapsed="false">
      <c r="A3738" s="8" t="s">
        <v>8374</v>
      </c>
      <c r="B3738" s="8" t="s">
        <v>1479</v>
      </c>
      <c r="C3738" s="8" t="s">
        <v>53</v>
      </c>
      <c r="D3738" s="32" t="n">
        <v>46259</v>
      </c>
      <c r="E3738" s="8" t="n">
        <v>8</v>
      </c>
      <c r="F3738" s="8" t="str">
        <f aca="false">IF(E3738&gt;=9,"Promoter",IF(E3738&gt;=7,"Passive","Detractor"))</f>
        <v>Passive</v>
      </c>
    </row>
    <row r="3739" customFormat="false" ht="15" hidden="false" customHeight="false" outlineLevel="0" collapsed="false">
      <c r="A3739" s="8" t="s">
        <v>8375</v>
      </c>
      <c r="B3739" s="8" t="s">
        <v>2632</v>
      </c>
      <c r="C3739" s="8" t="s">
        <v>51</v>
      </c>
      <c r="D3739" s="32" t="n">
        <v>46259</v>
      </c>
      <c r="E3739" s="8" t="n">
        <v>10</v>
      </c>
      <c r="F3739" s="8" t="str">
        <f aca="false">IF(E3739&gt;=9,"Promoter",IF(E3739&gt;=7,"Passive","Detractor"))</f>
        <v>Promoter</v>
      </c>
    </row>
    <row r="3740" customFormat="false" ht="15" hidden="false" customHeight="false" outlineLevel="0" collapsed="false">
      <c r="A3740" s="8" t="s">
        <v>8376</v>
      </c>
      <c r="B3740" s="8" t="s">
        <v>3596</v>
      </c>
      <c r="C3740" s="8" t="s">
        <v>51</v>
      </c>
      <c r="D3740" s="32" t="n">
        <v>46266</v>
      </c>
      <c r="E3740" s="8" t="n">
        <v>7</v>
      </c>
      <c r="F3740" s="8" t="str">
        <f aca="false">IF(E3740&gt;=9,"Promoter",IF(E3740&gt;=7,"Passive","Detractor"))</f>
        <v>Passive</v>
      </c>
    </row>
    <row r="3741" customFormat="false" ht="15" hidden="false" customHeight="false" outlineLevel="0" collapsed="false">
      <c r="A3741" s="8" t="s">
        <v>8377</v>
      </c>
      <c r="B3741" s="8" t="s">
        <v>375</v>
      </c>
      <c r="C3741" s="8" t="s">
        <v>55</v>
      </c>
      <c r="D3741" s="32" t="n">
        <v>46266</v>
      </c>
      <c r="E3741" s="8" t="n">
        <v>9</v>
      </c>
      <c r="F3741" s="8" t="str">
        <f aca="false">IF(E3741&gt;=9,"Promoter",IF(E3741&gt;=7,"Passive","Detractor"))</f>
        <v>Promoter</v>
      </c>
    </row>
    <row r="3742" customFormat="false" ht="15" hidden="false" customHeight="false" outlineLevel="0" collapsed="false">
      <c r="A3742" s="8" t="s">
        <v>8378</v>
      </c>
      <c r="B3742" s="8" t="s">
        <v>164</v>
      </c>
      <c r="C3742" s="8" t="s">
        <v>55</v>
      </c>
      <c r="D3742" s="32" t="n">
        <v>46266</v>
      </c>
      <c r="E3742" s="8" t="n">
        <v>9</v>
      </c>
      <c r="F3742" s="8" t="str">
        <f aca="false">IF(E3742&gt;=9,"Promoter",IF(E3742&gt;=7,"Passive","Detractor"))</f>
        <v>Promoter</v>
      </c>
    </row>
    <row r="3743" customFormat="false" ht="15" hidden="false" customHeight="false" outlineLevel="0" collapsed="false">
      <c r="A3743" s="8" t="s">
        <v>8379</v>
      </c>
      <c r="B3743" s="8" t="s">
        <v>3632</v>
      </c>
      <c r="C3743" s="8" t="s">
        <v>51</v>
      </c>
      <c r="D3743" s="32" t="n">
        <v>46266</v>
      </c>
      <c r="E3743" s="8" t="n">
        <v>7</v>
      </c>
      <c r="F3743" s="8" t="str">
        <f aca="false">IF(E3743&gt;=9,"Promoter",IF(E3743&gt;=7,"Passive","Detractor"))</f>
        <v>Passive</v>
      </c>
    </row>
    <row r="3744" customFormat="false" ht="15" hidden="false" customHeight="false" outlineLevel="0" collapsed="false">
      <c r="A3744" s="8" t="s">
        <v>8380</v>
      </c>
      <c r="B3744" s="8" t="s">
        <v>3000</v>
      </c>
      <c r="C3744" s="8" t="s">
        <v>51</v>
      </c>
      <c r="D3744" s="32" t="n">
        <v>46266</v>
      </c>
      <c r="E3744" s="8" t="n">
        <v>8</v>
      </c>
      <c r="F3744" s="8" t="str">
        <f aca="false">IF(E3744&gt;=9,"Promoter",IF(E3744&gt;=7,"Passive","Detractor"))</f>
        <v>Passive</v>
      </c>
    </row>
    <row r="3745" customFormat="false" ht="15" hidden="false" customHeight="false" outlineLevel="0" collapsed="false">
      <c r="A3745" s="8" t="s">
        <v>8381</v>
      </c>
      <c r="B3745" s="8" t="s">
        <v>673</v>
      </c>
      <c r="C3745" s="8" t="s">
        <v>53</v>
      </c>
      <c r="D3745" s="32" t="n">
        <v>46266</v>
      </c>
      <c r="E3745" s="8" t="n">
        <v>9</v>
      </c>
      <c r="F3745" s="8" t="str">
        <f aca="false">IF(E3745&gt;=9,"Promoter",IF(E3745&gt;=7,"Passive","Detractor"))</f>
        <v>Promoter</v>
      </c>
    </row>
    <row r="3746" customFormat="false" ht="15" hidden="false" customHeight="false" outlineLevel="0" collapsed="false">
      <c r="A3746" s="8" t="s">
        <v>8382</v>
      </c>
      <c r="B3746" s="8" t="s">
        <v>815</v>
      </c>
      <c r="C3746" s="8" t="s">
        <v>53</v>
      </c>
      <c r="D3746" s="32" t="n">
        <v>46266</v>
      </c>
      <c r="E3746" s="8" t="n">
        <v>8</v>
      </c>
      <c r="F3746" s="8" t="str">
        <f aca="false">IF(E3746&gt;=9,"Promoter",IF(E3746&gt;=7,"Passive","Detractor"))</f>
        <v>Passive</v>
      </c>
    </row>
    <row r="3747" customFormat="false" ht="15" hidden="false" customHeight="false" outlineLevel="0" collapsed="false">
      <c r="A3747" s="8" t="s">
        <v>8383</v>
      </c>
      <c r="B3747" s="8" t="s">
        <v>4056</v>
      </c>
      <c r="C3747" s="8" t="s">
        <v>51</v>
      </c>
      <c r="D3747" s="32" t="n">
        <v>46266</v>
      </c>
      <c r="E3747" s="8" t="n">
        <v>8</v>
      </c>
      <c r="F3747" s="8" t="str">
        <f aca="false">IF(E3747&gt;=9,"Promoter",IF(E3747&gt;=7,"Passive","Detractor"))</f>
        <v>Passive</v>
      </c>
    </row>
    <row r="3748" customFormat="false" ht="15" hidden="false" customHeight="false" outlineLevel="0" collapsed="false">
      <c r="A3748" s="8" t="s">
        <v>8384</v>
      </c>
      <c r="B3748" s="8" t="s">
        <v>278</v>
      </c>
      <c r="C3748" s="8" t="s">
        <v>55</v>
      </c>
      <c r="D3748" s="32" t="n">
        <v>46266</v>
      </c>
      <c r="E3748" s="8" t="n">
        <v>7</v>
      </c>
      <c r="F3748" s="8" t="str">
        <f aca="false">IF(E3748&gt;=9,"Promoter",IF(E3748&gt;=7,"Passive","Detractor"))</f>
        <v>Passive</v>
      </c>
    </row>
    <row r="3749" customFormat="false" ht="15" hidden="false" customHeight="false" outlineLevel="0" collapsed="false">
      <c r="A3749" s="8" t="s">
        <v>8385</v>
      </c>
      <c r="B3749" s="8" t="s">
        <v>371</v>
      </c>
      <c r="C3749" s="8" t="s">
        <v>55</v>
      </c>
      <c r="D3749" s="32" t="n">
        <v>46266</v>
      </c>
      <c r="E3749" s="8" t="n">
        <v>8</v>
      </c>
      <c r="F3749" s="8" t="str">
        <f aca="false">IF(E3749&gt;=9,"Promoter",IF(E3749&gt;=7,"Passive","Detractor"))</f>
        <v>Passive</v>
      </c>
    </row>
    <row r="3750" customFormat="false" ht="15" hidden="false" customHeight="false" outlineLevel="0" collapsed="false">
      <c r="A3750" s="8" t="s">
        <v>8386</v>
      </c>
      <c r="B3750" s="8" t="s">
        <v>1495</v>
      </c>
      <c r="C3750" s="8" t="s">
        <v>53</v>
      </c>
      <c r="D3750" s="32" t="n">
        <v>46266</v>
      </c>
      <c r="E3750" s="8" t="n">
        <v>6</v>
      </c>
      <c r="F3750" s="8" t="str">
        <f aca="false">IF(E3750&gt;=9,"Promoter",IF(E3750&gt;=7,"Passive","Detractor"))</f>
        <v>Detractor</v>
      </c>
    </row>
    <row r="3751" customFormat="false" ht="15" hidden="false" customHeight="false" outlineLevel="0" collapsed="false">
      <c r="A3751" s="8" t="s">
        <v>8387</v>
      </c>
      <c r="B3751" s="8" t="s">
        <v>763</v>
      </c>
      <c r="C3751" s="8" t="s">
        <v>53</v>
      </c>
      <c r="D3751" s="32" t="n">
        <v>46266</v>
      </c>
      <c r="E3751" s="8" t="n">
        <v>9</v>
      </c>
      <c r="F3751" s="8" t="str">
        <f aca="false">IF(E3751&gt;=9,"Promoter",IF(E3751&gt;=7,"Passive","Detractor"))</f>
        <v>Promoter</v>
      </c>
    </row>
    <row r="3752" customFormat="false" ht="15" hidden="false" customHeight="false" outlineLevel="0" collapsed="false">
      <c r="A3752" s="8" t="s">
        <v>8388</v>
      </c>
      <c r="B3752" s="8" t="s">
        <v>4018</v>
      </c>
      <c r="C3752" s="8" t="s">
        <v>51</v>
      </c>
      <c r="D3752" s="32" t="n">
        <v>46266</v>
      </c>
      <c r="E3752" s="8" t="n">
        <v>7</v>
      </c>
      <c r="F3752" s="8" t="str">
        <f aca="false">IF(E3752&gt;=9,"Promoter",IF(E3752&gt;=7,"Passive","Detractor"))</f>
        <v>Passive</v>
      </c>
    </row>
    <row r="3753" customFormat="false" ht="15" hidden="false" customHeight="false" outlineLevel="0" collapsed="false">
      <c r="A3753" s="8" t="s">
        <v>8389</v>
      </c>
      <c r="B3753" s="8" t="s">
        <v>685</v>
      </c>
      <c r="C3753" s="8" t="s">
        <v>53</v>
      </c>
      <c r="D3753" s="32" t="n">
        <v>46266</v>
      </c>
      <c r="E3753" s="8" t="n">
        <v>10</v>
      </c>
      <c r="F3753" s="8" t="str">
        <f aca="false">IF(E3753&gt;=9,"Promoter",IF(E3753&gt;=7,"Passive","Detractor"))</f>
        <v>Promoter</v>
      </c>
    </row>
    <row r="3754" customFormat="false" ht="15" hidden="false" customHeight="false" outlineLevel="0" collapsed="false">
      <c r="A3754" s="8" t="s">
        <v>8390</v>
      </c>
      <c r="B3754" s="8" t="s">
        <v>1143</v>
      </c>
      <c r="C3754" s="8" t="s">
        <v>53</v>
      </c>
      <c r="D3754" s="32" t="n">
        <v>46266</v>
      </c>
      <c r="E3754" s="8" t="n">
        <v>10</v>
      </c>
      <c r="F3754" s="8" t="str">
        <f aca="false">IF(E3754&gt;=9,"Promoter",IF(E3754&gt;=7,"Passive","Detractor"))</f>
        <v>Promoter</v>
      </c>
    </row>
    <row r="3755" customFormat="false" ht="15" hidden="false" customHeight="false" outlineLevel="0" collapsed="false">
      <c r="A3755" s="8" t="s">
        <v>8391</v>
      </c>
      <c r="B3755" s="8" t="s">
        <v>4338</v>
      </c>
      <c r="C3755" s="8" t="s">
        <v>51</v>
      </c>
      <c r="D3755" s="32" t="n">
        <v>46267</v>
      </c>
      <c r="E3755" s="8" t="n">
        <v>8</v>
      </c>
      <c r="F3755" s="8" t="str">
        <f aca="false">IF(E3755&gt;=9,"Promoter",IF(E3755&gt;=7,"Passive","Detractor"))</f>
        <v>Passive</v>
      </c>
    </row>
    <row r="3756" customFormat="false" ht="15" hidden="false" customHeight="false" outlineLevel="0" collapsed="false">
      <c r="A3756" s="8" t="s">
        <v>8392</v>
      </c>
      <c r="B3756" s="8" t="s">
        <v>3626</v>
      </c>
      <c r="C3756" s="8" t="s">
        <v>51</v>
      </c>
      <c r="D3756" s="32" t="n">
        <v>46267</v>
      </c>
      <c r="E3756" s="8" t="n">
        <v>8</v>
      </c>
      <c r="F3756" s="8" t="str">
        <f aca="false">IF(E3756&gt;=9,"Promoter",IF(E3756&gt;=7,"Passive","Detractor"))</f>
        <v>Passive</v>
      </c>
    </row>
    <row r="3757" customFormat="false" ht="15" hidden="false" customHeight="false" outlineLevel="0" collapsed="false">
      <c r="A3757" s="8" t="s">
        <v>8393</v>
      </c>
      <c r="B3757" s="8" t="s">
        <v>1461</v>
      </c>
      <c r="C3757" s="8" t="s">
        <v>53</v>
      </c>
      <c r="D3757" s="32" t="n">
        <v>46267</v>
      </c>
      <c r="E3757" s="8" t="n">
        <v>8</v>
      </c>
      <c r="F3757" s="8" t="str">
        <f aca="false">IF(E3757&gt;=9,"Promoter",IF(E3757&gt;=7,"Passive","Detractor"))</f>
        <v>Passive</v>
      </c>
    </row>
    <row r="3758" customFormat="false" ht="15" hidden="false" customHeight="false" outlineLevel="0" collapsed="false">
      <c r="A3758" s="8" t="s">
        <v>8394</v>
      </c>
      <c r="B3758" s="8" t="s">
        <v>3272</v>
      </c>
      <c r="C3758" s="8" t="s">
        <v>51</v>
      </c>
      <c r="D3758" s="32" t="n">
        <v>46267</v>
      </c>
      <c r="E3758" s="8" t="n">
        <v>7</v>
      </c>
      <c r="F3758" s="8" t="str">
        <f aca="false">IF(E3758&gt;=9,"Promoter",IF(E3758&gt;=7,"Passive","Detractor"))</f>
        <v>Passive</v>
      </c>
    </row>
    <row r="3759" customFormat="false" ht="15" hidden="false" customHeight="false" outlineLevel="0" collapsed="false">
      <c r="A3759" s="8" t="s">
        <v>8395</v>
      </c>
      <c r="B3759" s="8" t="s">
        <v>1549</v>
      </c>
      <c r="C3759" s="8" t="s">
        <v>53</v>
      </c>
      <c r="D3759" s="32" t="n">
        <v>46267</v>
      </c>
      <c r="E3759" s="8" t="n">
        <v>9</v>
      </c>
      <c r="F3759" s="8" t="str">
        <f aca="false">IF(E3759&gt;=9,"Promoter",IF(E3759&gt;=7,"Passive","Detractor"))</f>
        <v>Promoter</v>
      </c>
    </row>
    <row r="3760" customFormat="false" ht="15" hidden="false" customHeight="false" outlineLevel="0" collapsed="false">
      <c r="A3760" s="8" t="s">
        <v>8396</v>
      </c>
      <c r="B3760" s="8" t="s">
        <v>4280</v>
      </c>
      <c r="C3760" s="8" t="s">
        <v>51</v>
      </c>
      <c r="D3760" s="32" t="n">
        <v>46267</v>
      </c>
      <c r="E3760" s="8" t="n">
        <v>9</v>
      </c>
      <c r="F3760" s="8" t="str">
        <f aca="false">IF(E3760&gt;=9,"Promoter",IF(E3760&gt;=7,"Passive","Detractor"))</f>
        <v>Promoter</v>
      </c>
    </row>
    <row r="3761" customFormat="false" ht="15" hidden="false" customHeight="false" outlineLevel="0" collapsed="false">
      <c r="A3761" s="8" t="s">
        <v>8397</v>
      </c>
      <c r="B3761" s="8" t="s">
        <v>1681</v>
      </c>
      <c r="C3761" s="8" t="s">
        <v>53</v>
      </c>
      <c r="D3761" s="32" t="n">
        <v>46267</v>
      </c>
      <c r="E3761" s="8" t="n">
        <v>7</v>
      </c>
      <c r="F3761" s="8" t="str">
        <f aca="false">IF(E3761&gt;=9,"Promoter",IF(E3761&gt;=7,"Passive","Detractor"))</f>
        <v>Passive</v>
      </c>
    </row>
    <row r="3762" customFormat="false" ht="15" hidden="false" customHeight="false" outlineLevel="0" collapsed="false">
      <c r="A3762" s="8" t="s">
        <v>8398</v>
      </c>
      <c r="B3762" s="8" t="s">
        <v>4128</v>
      </c>
      <c r="C3762" s="8" t="s">
        <v>51</v>
      </c>
      <c r="D3762" s="32" t="n">
        <v>46267</v>
      </c>
      <c r="E3762" s="8" t="n">
        <v>10</v>
      </c>
      <c r="F3762" s="8" t="str">
        <f aca="false">IF(E3762&gt;=9,"Promoter",IF(E3762&gt;=7,"Passive","Detractor"))</f>
        <v>Promoter</v>
      </c>
    </row>
    <row r="3763" customFormat="false" ht="15" hidden="false" customHeight="false" outlineLevel="0" collapsed="false">
      <c r="A3763" s="8" t="s">
        <v>8399</v>
      </c>
      <c r="B3763" s="8" t="s">
        <v>3818</v>
      </c>
      <c r="C3763" s="8" t="s">
        <v>51</v>
      </c>
      <c r="D3763" s="32" t="n">
        <v>46267</v>
      </c>
      <c r="E3763" s="8" t="n">
        <v>10</v>
      </c>
      <c r="F3763" s="8" t="str">
        <f aca="false">IF(E3763&gt;=9,"Promoter",IF(E3763&gt;=7,"Passive","Detractor"))</f>
        <v>Promoter</v>
      </c>
    </row>
    <row r="3764" customFormat="false" ht="15" hidden="false" customHeight="false" outlineLevel="0" collapsed="false">
      <c r="A3764" s="8" t="s">
        <v>8400</v>
      </c>
      <c r="B3764" s="8" t="s">
        <v>2772</v>
      </c>
      <c r="C3764" s="8" t="s">
        <v>51</v>
      </c>
      <c r="D3764" s="32" t="n">
        <v>46267</v>
      </c>
      <c r="E3764" s="8" t="n">
        <v>6</v>
      </c>
      <c r="F3764" s="8" t="str">
        <f aca="false">IF(E3764&gt;=9,"Promoter",IF(E3764&gt;=7,"Passive","Detractor"))</f>
        <v>Detractor</v>
      </c>
    </row>
    <row r="3765" customFormat="false" ht="15" hidden="false" customHeight="false" outlineLevel="0" collapsed="false">
      <c r="A3765" s="8" t="s">
        <v>8401</v>
      </c>
      <c r="B3765" s="8" t="s">
        <v>3306</v>
      </c>
      <c r="C3765" s="8" t="s">
        <v>51</v>
      </c>
      <c r="D3765" s="32" t="n">
        <v>46267</v>
      </c>
      <c r="E3765" s="8" t="n">
        <v>9</v>
      </c>
      <c r="F3765" s="8" t="str">
        <f aca="false">IF(E3765&gt;=9,"Promoter",IF(E3765&gt;=7,"Passive","Detractor"))</f>
        <v>Promoter</v>
      </c>
    </row>
    <row r="3766" customFormat="false" ht="15" hidden="false" customHeight="false" outlineLevel="0" collapsed="false">
      <c r="A3766" s="8" t="s">
        <v>8402</v>
      </c>
      <c r="B3766" s="8" t="s">
        <v>2964</v>
      </c>
      <c r="C3766" s="8" t="s">
        <v>51</v>
      </c>
      <c r="D3766" s="32" t="n">
        <v>46267</v>
      </c>
      <c r="E3766" s="8" t="n">
        <v>9</v>
      </c>
      <c r="F3766" s="8" t="str">
        <f aca="false">IF(E3766&gt;=9,"Promoter",IF(E3766&gt;=7,"Passive","Detractor"))</f>
        <v>Promoter</v>
      </c>
    </row>
    <row r="3767" customFormat="false" ht="15" hidden="false" customHeight="false" outlineLevel="0" collapsed="false">
      <c r="A3767" s="8" t="s">
        <v>8403</v>
      </c>
      <c r="B3767" s="8" t="s">
        <v>2660</v>
      </c>
      <c r="C3767" s="8" t="s">
        <v>51</v>
      </c>
      <c r="D3767" s="32" t="n">
        <v>46267</v>
      </c>
      <c r="E3767" s="8" t="n">
        <v>9</v>
      </c>
      <c r="F3767" s="8" t="str">
        <f aca="false">IF(E3767&gt;=9,"Promoter",IF(E3767&gt;=7,"Passive","Detractor"))</f>
        <v>Promoter</v>
      </c>
    </row>
    <row r="3768" customFormat="false" ht="15" hidden="false" customHeight="false" outlineLevel="0" collapsed="false">
      <c r="A3768" s="8" t="s">
        <v>8404</v>
      </c>
      <c r="B3768" s="8" t="s">
        <v>4208</v>
      </c>
      <c r="C3768" s="8" t="s">
        <v>51</v>
      </c>
      <c r="D3768" s="32" t="n">
        <v>46268</v>
      </c>
      <c r="E3768" s="8" t="n">
        <v>7</v>
      </c>
      <c r="F3768" s="8" t="str">
        <f aca="false">IF(E3768&gt;=9,"Promoter",IF(E3768&gt;=7,"Passive","Detractor"))</f>
        <v>Passive</v>
      </c>
    </row>
    <row r="3769" customFormat="false" ht="15" hidden="false" customHeight="false" outlineLevel="0" collapsed="false">
      <c r="A3769" s="8" t="s">
        <v>8405</v>
      </c>
      <c r="B3769" s="8" t="s">
        <v>4348</v>
      </c>
      <c r="C3769" s="8" t="s">
        <v>51</v>
      </c>
      <c r="D3769" s="32" t="n">
        <v>46268</v>
      </c>
      <c r="E3769" s="8" t="n">
        <v>8</v>
      </c>
      <c r="F3769" s="8" t="str">
        <f aca="false">IF(E3769&gt;=9,"Promoter",IF(E3769&gt;=7,"Passive","Detractor"))</f>
        <v>Passive</v>
      </c>
    </row>
    <row r="3770" customFormat="false" ht="15" hidden="false" customHeight="false" outlineLevel="0" collapsed="false">
      <c r="A3770" s="8" t="s">
        <v>8406</v>
      </c>
      <c r="B3770" s="8" t="s">
        <v>1119</v>
      </c>
      <c r="C3770" s="8" t="s">
        <v>53</v>
      </c>
      <c r="D3770" s="32" t="n">
        <v>46268</v>
      </c>
      <c r="E3770" s="8" t="n">
        <v>9</v>
      </c>
      <c r="F3770" s="8" t="str">
        <f aca="false">IF(E3770&gt;=9,"Promoter",IF(E3770&gt;=7,"Passive","Detractor"))</f>
        <v>Promoter</v>
      </c>
    </row>
    <row r="3771" customFormat="false" ht="15" hidden="false" customHeight="false" outlineLevel="0" collapsed="false">
      <c r="A3771" s="8" t="s">
        <v>8407</v>
      </c>
      <c r="B3771" s="8" t="s">
        <v>463</v>
      </c>
      <c r="C3771" s="8" t="s">
        <v>53</v>
      </c>
      <c r="D3771" s="32" t="n">
        <v>46268</v>
      </c>
      <c r="E3771" s="8" t="n">
        <v>9</v>
      </c>
      <c r="F3771" s="8" t="str">
        <f aca="false">IF(E3771&gt;=9,"Promoter",IF(E3771&gt;=7,"Passive","Detractor"))</f>
        <v>Promoter</v>
      </c>
    </row>
    <row r="3772" customFormat="false" ht="15" hidden="false" customHeight="false" outlineLevel="0" collapsed="false">
      <c r="A3772" s="8" t="s">
        <v>8408</v>
      </c>
      <c r="B3772" s="8" t="s">
        <v>211</v>
      </c>
      <c r="C3772" s="8" t="s">
        <v>55</v>
      </c>
      <c r="D3772" s="32" t="n">
        <v>46268</v>
      </c>
      <c r="E3772" s="8" t="n">
        <v>10</v>
      </c>
      <c r="F3772" s="8" t="str">
        <f aca="false">IF(E3772&gt;=9,"Promoter",IF(E3772&gt;=7,"Passive","Detractor"))</f>
        <v>Promoter</v>
      </c>
    </row>
    <row r="3773" customFormat="false" ht="15" hidden="false" customHeight="false" outlineLevel="0" collapsed="false">
      <c r="A3773" s="8" t="s">
        <v>8409</v>
      </c>
      <c r="B3773" s="8" t="s">
        <v>345</v>
      </c>
      <c r="C3773" s="8" t="s">
        <v>55</v>
      </c>
      <c r="D3773" s="32" t="n">
        <v>46268</v>
      </c>
      <c r="E3773" s="8" t="n">
        <v>8</v>
      </c>
      <c r="F3773" s="8" t="str">
        <f aca="false">IF(E3773&gt;=9,"Promoter",IF(E3773&gt;=7,"Passive","Detractor"))</f>
        <v>Passive</v>
      </c>
    </row>
    <row r="3774" customFormat="false" ht="15" hidden="false" customHeight="false" outlineLevel="0" collapsed="false">
      <c r="A3774" s="8" t="s">
        <v>8410</v>
      </c>
      <c r="B3774" s="8" t="s">
        <v>2148</v>
      </c>
      <c r="C3774" s="8" t="s">
        <v>51</v>
      </c>
      <c r="D3774" s="32" t="n">
        <v>46268</v>
      </c>
      <c r="E3774" s="8" t="n">
        <v>6</v>
      </c>
      <c r="F3774" s="8" t="str">
        <f aca="false">IF(E3774&gt;=9,"Promoter",IF(E3774&gt;=7,"Passive","Detractor"))</f>
        <v>Detractor</v>
      </c>
    </row>
    <row r="3775" customFormat="false" ht="15" hidden="false" customHeight="false" outlineLevel="0" collapsed="false">
      <c r="A3775" s="8" t="s">
        <v>8411</v>
      </c>
      <c r="B3775" s="8" t="s">
        <v>487</v>
      </c>
      <c r="C3775" s="8" t="s">
        <v>55</v>
      </c>
      <c r="D3775" s="32" t="n">
        <v>46268</v>
      </c>
      <c r="E3775" s="8" t="n">
        <v>7</v>
      </c>
      <c r="F3775" s="8" t="str">
        <f aca="false">IF(E3775&gt;=9,"Promoter",IF(E3775&gt;=7,"Passive","Detractor"))</f>
        <v>Passive</v>
      </c>
    </row>
    <row r="3776" customFormat="false" ht="15" hidden="false" customHeight="false" outlineLevel="0" collapsed="false">
      <c r="A3776" s="8" t="s">
        <v>8412</v>
      </c>
      <c r="B3776" s="8" t="s">
        <v>3310</v>
      </c>
      <c r="C3776" s="8" t="s">
        <v>51</v>
      </c>
      <c r="D3776" s="32" t="n">
        <v>46268</v>
      </c>
      <c r="E3776" s="8" t="n">
        <v>9</v>
      </c>
      <c r="F3776" s="8" t="str">
        <f aca="false">IF(E3776&gt;=9,"Promoter",IF(E3776&gt;=7,"Passive","Detractor"))</f>
        <v>Promoter</v>
      </c>
    </row>
    <row r="3777" customFormat="false" ht="15" hidden="false" customHeight="false" outlineLevel="0" collapsed="false">
      <c r="A3777" s="8" t="s">
        <v>8413</v>
      </c>
      <c r="B3777" s="8" t="s">
        <v>2142</v>
      </c>
      <c r="C3777" s="8" t="s">
        <v>51</v>
      </c>
      <c r="D3777" s="32" t="n">
        <v>46268</v>
      </c>
      <c r="E3777" s="8" t="n">
        <v>8</v>
      </c>
      <c r="F3777" s="8" t="str">
        <f aca="false">IF(E3777&gt;=9,"Promoter",IF(E3777&gt;=7,"Passive","Detractor"))</f>
        <v>Passive</v>
      </c>
    </row>
    <row r="3778" customFormat="false" ht="15" hidden="false" customHeight="false" outlineLevel="0" collapsed="false">
      <c r="A3778" s="8" t="s">
        <v>8414</v>
      </c>
      <c r="B3778" s="8" t="s">
        <v>288</v>
      </c>
      <c r="C3778" s="8" t="s">
        <v>55</v>
      </c>
      <c r="D3778" s="32" t="n">
        <v>46268</v>
      </c>
      <c r="E3778" s="8" t="n">
        <v>9</v>
      </c>
      <c r="F3778" s="8" t="str">
        <f aca="false">IF(E3778&gt;=9,"Promoter",IF(E3778&gt;=7,"Passive","Detractor"))</f>
        <v>Promoter</v>
      </c>
    </row>
    <row r="3779" customFormat="false" ht="15" hidden="false" customHeight="false" outlineLevel="0" collapsed="false">
      <c r="A3779" s="8" t="s">
        <v>8415</v>
      </c>
      <c r="B3779" s="8" t="s">
        <v>3694</v>
      </c>
      <c r="C3779" s="8" t="s">
        <v>51</v>
      </c>
      <c r="D3779" s="32" t="n">
        <v>46268</v>
      </c>
      <c r="E3779" s="8" t="n">
        <v>10</v>
      </c>
      <c r="F3779" s="8" t="str">
        <f aca="false">IF(E3779&gt;=9,"Promoter",IF(E3779&gt;=7,"Passive","Detractor"))</f>
        <v>Promoter</v>
      </c>
    </row>
    <row r="3780" customFormat="false" ht="15" hidden="false" customHeight="false" outlineLevel="0" collapsed="false">
      <c r="A3780" s="8" t="s">
        <v>8416</v>
      </c>
      <c r="B3780" s="8" t="s">
        <v>1327</v>
      </c>
      <c r="C3780" s="8" t="s">
        <v>53</v>
      </c>
      <c r="D3780" s="32" t="n">
        <v>46269</v>
      </c>
      <c r="E3780" s="8" t="n">
        <v>7</v>
      </c>
      <c r="F3780" s="8" t="str">
        <f aca="false">IF(E3780&gt;=9,"Promoter",IF(E3780&gt;=7,"Passive","Detractor"))</f>
        <v>Passive</v>
      </c>
    </row>
    <row r="3781" customFormat="false" ht="15" hidden="false" customHeight="false" outlineLevel="0" collapsed="false">
      <c r="A3781" s="8" t="s">
        <v>8417</v>
      </c>
      <c r="B3781" s="8" t="s">
        <v>2003</v>
      </c>
      <c r="C3781" s="8" t="s">
        <v>51</v>
      </c>
      <c r="D3781" s="32" t="n">
        <v>46269</v>
      </c>
      <c r="E3781" s="8" t="n">
        <v>10</v>
      </c>
      <c r="F3781" s="8" t="str">
        <f aca="false">IF(E3781&gt;=9,"Promoter",IF(E3781&gt;=7,"Passive","Detractor"))</f>
        <v>Promoter</v>
      </c>
    </row>
    <row r="3782" customFormat="false" ht="15" hidden="false" customHeight="false" outlineLevel="0" collapsed="false">
      <c r="A3782" s="8" t="s">
        <v>8418</v>
      </c>
      <c r="B3782" s="8" t="s">
        <v>603</v>
      </c>
      <c r="C3782" s="8" t="s">
        <v>53</v>
      </c>
      <c r="D3782" s="32" t="n">
        <v>46269</v>
      </c>
      <c r="E3782" s="8" t="n">
        <v>7</v>
      </c>
      <c r="F3782" s="8" t="str">
        <f aca="false">IF(E3782&gt;=9,"Promoter",IF(E3782&gt;=7,"Passive","Detractor"))</f>
        <v>Passive</v>
      </c>
    </row>
    <row r="3783" customFormat="false" ht="15" hidden="false" customHeight="false" outlineLevel="0" collapsed="false">
      <c r="A3783" s="8" t="s">
        <v>8419</v>
      </c>
      <c r="B3783" s="8" t="s">
        <v>3212</v>
      </c>
      <c r="C3783" s="8" t="s">
        <v>51</v>
      </c>
      <c r="D3783" s="32" t="n">
        <v>46269</v>
      </c>
      <c r="E3783" s="8" t="n">
        <v>9</v>
      </c>
      <c r="F3783" s="8" t="str">
        <f aca="false">IF(E3783&gt;=9,"Promoter",IF(E3783&gt;=7,"Passive","Detractor"))</f>
        <v>Promoter</v>
      </c>
    </row>
    <row r="3784" customFormat="false" ht="15" hidden="false" customHeight="false" outlineLevel="0" collapsed="false">
      <c r="A3784" s="8" t="s">
        <v>8420</v>
      </c>
      <c r="B3784" s="8" t="s">
        <v>2448</v>
      </c>
      <c r="C3784" s="8" t="s">
        <v>51</v>
      </c>
      <c r="D3784" s="32" t="n">
        <v>46269</v>
      </c>
      <c r="E3784" s="8" t="n">
        <v>8</v>
      </c>
      <c r="F3784" s="8" t="str">
        <f aca="false">IF(E3784&gt;=9,"Promoter",IF(E3784&gt;=7,"Passive","Detractor"))</f>
        <v>Passive</v>
      </c>
    </row>
    <row r="3785" customFormat="false" ht="15" hidden="false" customHeight="false" outlineLevel="0" collapsed="false">
      <c r="A3785" s="8" t="s">
        <v>8421</v>
      </c>
      <c r="B3785" s="8" t="s">
        <v>2530</v>
      </c>
      <c r="C3785" s="8" t="s">
        <v>51</v>
      </c>
      <c r="D3785" s="32" t="n">
        <v>46269</v>
      </c>
      <c r="E3785" s="8" t="n">
        <v>5</v>
      </c>
      <c r="F3785" s="8" t="str">
        <f aca="false">IF(E3785&gt;=9,"Promoter",IF(E3785&gt;=7,"Passive","Detractor"))</f>
        <v>Detractor</v>
      </c>
    </row>
    <row r="3786" customFormat="false" ht="15" hidden="false" customHeight="false" outlineLevel="0" collapsed="false">
      <c r="A3786" s="8" t="s">
        <v>8422</v>
      </c>
      <c r="B3786" s="8" t="s">
        <v>3888</v>
      </c>
      <c r="C3786" s="8" t="s">
        <v>51</v>
      </c>
      <c r="D3786" s="32" t="n">
        <v>46269</v>
      </c>
      <c r="E3786" s="8" t="n">
        <v>8</v>
      </c>
      <c r="F3786" s="8" t="str">
        <f aca="false">IF(E3786&gt;=9,"Promoter",IF(E3786&gt;=7,"Passive","Detractor"))</f>
        <v>Passive</v>
      </c>
    </row>
    <row r="3787" customFormat="false" ht="15" hidden="false" customHeight="false" outlineLevel="0" collapsed="false">
      <c r="A3787" s="8" t="s">
        <v>8423</v>
      </c>
      <c r="B3787" s="8" t="s">
        <v>213</v>
      </c>
      <c r="C3787" s="8" t="s">
        <v>55</v>
      </c>
      <c r="D3787" s="32" t="n">
        <v>46269</v>
      </c>
      <c r="E3787" s="8" t="n">
        <v>10</v>
      </c>
      <c r="F3787" s="8" t="str">
        <f aca="false">IF(E3787&gt;=9,"Promoter",IF(E3787&gt;=7,"Passive","Detractor"))</f>
        <v>Promoter</v>
      </c>
    </row>
    <row r="3788" customFormat="false" ht="15" hidden="false" customHeight="false" outlineLevel="0" collapsed="false">
      <c r="A3788" s="8" t="s">
        <v>8424</v>
      </c>
      <c r="B3788" s="8" t="s">
        <v>3826</v>
      </c>
      <c r="C3788" s="8" t="s">
        <v>51</v>
      </c>
      <c r="D3788" s="32" t="n">
        <v>46269</v>
      </c>
      <c r="E3788" s="8" t="n">
        <v>8</v>
      </c>
      <c r="F3788" s="8" t="str">
        <f aca="false">IF(E3788&gt;=9,"Promoter",IF(E3788&gt;=7,"Passive","Detractor"))</f>
        <v>Passive</v>
      </c>
    </row>
    <row r="3789" customFormat="false" ht="15" hidden="false" customHeight="false" outlineLevel="0" collapsed="false">
      <c r="A3789" s="8" t="s">
        <v>8425</v>
      </c>
      <c r="B3789" s="8" t="s">
        <v>1153</v>
      </c>
      <c r="C3789" s="8" t="s">
        <v>53</v>
      </c>
      <c r="D3789" s="32" t="n">
        <v>46269</v>
      </c>
      <c r="E3789" s="8" t="n">
        <v>6</v>
      </c>
      <c r="F3789" s="8" t="str">
        <f aca="false">IF(E3789&gt;=9,"Promoter",IF(E3789&gt;=7,"Passive","Detractor"))</f>
        <v>Detractor</v>
      </c>
    </row>
    <row r="3790" customFormat="false" ht="15" hidden="false" customHeight="false" outlineLevel="0" collapsed="false">
      <c r="A3790" s="8" t="s">
        <v>8426</v>
      </c>
      <c r="B3790" s="8" t="s">
        <v>3204</v>
      </c>
      <c r="C3790" s="8" t="s">
        <v>51</v>
      </c>
      <c r="D3790" s="32" t="n">
        <v>46270</v>
      </c>
      <c r="E3790" s="8" t="n">
        <v>8</v>
      </c>
      <c r="F3790" s="8" t="str">
        <f aca="false">IF(E3790&gt;=9,"Promoter",IF(E3790&gt;=7,"Passive","Detractor"))</f>
        <v>Passive</v>
      </c>
    </row>
    <row r="3791" customFormat="false" ht="15" hidden="false" customHeight="false" outlineLevel="0" collapsed="false">
      <c r="A3791" s="8" t="s">
        <v>8427</v>
      </c>
      <c r="B3791" s="8" t="s">
        <v>1965</v>
      </c>
      <c r="C3791" s="8" t="s">
        <v>51</v>
      </c>
      <c r="D3791" s="32" t="n">
        <v>46270</v>
      </c>
      <c r="E3791" s="8" t="n">
        <v>9</v>
      </c>
      <c r="F3791" s="8" t="str">
        <f aca="false">IF(E3791&gt;=9,"Promoter",IF(E3791&gt;=7,"Passive","Detractor"))</f>
        <v>Promoter</v>
      </c>
    </row>
    <row r="3792" customFormat="false" ht="15" hidden="false" customHeight="false" outlineLevel="0" collapsed="false">
      <c r="A3792" s="8" t="s">
        <v>8428</v>
      </c>
      <c r="B3792" s="8" t="s">
        <v>240</v>
      </c>
      <c r="C3792" s="8" t="s">
        <v>55</v>
      </c>
      <c r="D3792" s="32" t="n">
        <v>46270</v>
      </c>
      <c r="E3792" s="8" t="n">
        <v>6</v>
      </c>
      <c r="F3792" s="8" t="str">
        <f aca="false">IF(E3792&gt;=9,"Promoter",IF(E3792&gt;=7,"Passive","Detractor"))</f>
        <v>Detractor</v>
      </c>
    </row>
    <row r="3793" customFormat="false" ht="15" hidden="false" customHeight="false" outlineLevel="0" collapsed="false">
      <c r="A3793" s="8" t="s">
        <v>8429</v>
      </c>
      <c r="B3793" s="8" t="s">
        <v>4108</v>
      </c>
      <c r="C3793" s="8" t="s">
        <v>51</v>
      </c>
      <c r="D3793" s="32" t="n">
        <v>46270</v>
      </c>
      <c r="E3793" s="8" t="n">
        <v>8</v>
      </c>
      <c r="F3793" s="8" t="str">
        <f aca="false">IF(E3793&gt;=9,"Promoter",IF(E3793&gt;=7,"Passive","Detractor"))</f>
        <v>Passive</v>
      </c>
    </row>
    <row r="3794" customFormat="false" ht="15" hidden="false" customHeight="false" outlineLevel="0" collapsed="false">
      <c r="A3794" s="8" t="s">
        <v>8430</v>
      </c>
      <c r="B3794" s="8" t="s">
        <v>2520</v>
      </c>
      <c r="C3794" s="8" t="s">
        <v>51</v>
      </c>
      <c r="D3794" s="32" t="n">
        <v>46270</v>
      </c>
      <c r="E3794" s="8" t="n">
        <v>8</v>
      </c>
      <c r="F3794" s="8" t="str">
        <f aca="false">IF(E3794&gt;=9,"Promoter",IF(E3794&gt;=7,"Passive","Detractor"))</f>
        <v>Passive</v>
      </c>
    </row>
    <row r="3795" customFormat="false" ht="15" hidden="false" customHeight="false" outlineLevel="0" collapsed="false">
      <c r="A3795" s="8" t="s">
        <v>8431</v>
      </c>
      <c r="B3795" s="8" t="s">
        <v>2074</v>
      </c>
      <c r="C3795" s="8" t="s">
        <v>51</v>
      </c>
      <c r="D3795" s="32" t="n">
        <v>46270</v>
      </c>
      <c r="E3795" s="8" t="n">
        <v>10</v>
      </c>
      <c r="F3795" s="8" t="str">
        <f aca="false">IF(E3795&gt;=9,"Promoter",IF(E3795&gt;=7,"Passive","Detractor"))</f>
        <v>Promoter</v>
      </c>
    </row>
    <row r="3796" customFormat="false" ht="15" hidden="false" customHeight="false" outlineLevel="0" collapsed="false">
      <c r="A3796" s="8" t="s">
        <v>8432</v>
      </c>
      <c r="B3796" s="8" t="s">
        <v>2218</v>
      </c>
      <c r="C3796" s="8" t="s">
        <v>51</v>
      </c>
      <c r="D3796" s="32" t="n">
        <v>46270</v>
      </c>
      <c r="E3796" s="8" t="n">
        <v>10</v>
      </c>
      <c r="F3796" s="8" t="str">
        <f aca="false">IF(E3796&gt;=9,"Promoter",IF(E3796&gt;=7,"Passive","Detractor"))</f>
        <v>Promoter</v>
      </c>
    </row>
    <row r="3797" customFormat="false" ht="15" hidden="false" customHeight="false" outlineLevel="0" collapsed="false">
      <c r="A3797" s="8" t="s">
        <v>8433</v>
      </c>
      <c r="B3797" s="8" t="s">
        <v>2244</v>
      </c>
      <c r="C3797" s="8" t="s">
        <v>51</v>
      </c>
      <c r="D3797" s="32" t="n">
        <v>46270</v>
      </c>
      <c r="E3797" s="8" t="n">
        <v>6</v>
      </c>
      <c r="F3797" s="8" t="str">
        <f aca="false">IF(E3797&gt;=9,"Promoter",IF(E3797&gt;=7,"Passive","Detractor"))</f>
        <v>Detractor</v>
      </c>
    </row>
    <row r="3798" customFormat="false" ht="15" hidden="false" customHeight="false" outlineLevel="0" collapsed="false">
      <c r="A3798" s="8" t="s">
        <v>8434</v>
      </c>
      <c r="B3798" s="8" t="s">
        <v>3134</v>
      </c>
      <c r="C3798" s="8" t="s">
        <v>51</v>
      </c>
      <c r="D3798" s="32" t="n">
        <v>46270</v>
      </c>
      <c r="E3798" s="8" t="n">
        <v>9</v>
      </c>
      <c r="F3798" s="8" t="str">
        <f aca="false">IF(E3798&gt;=9,"Promoter",IF(E3798&gt;=7,"Passive","Detractor"))</f>
        <v>Promoter</v>
      </c>
    </row>
    <row r="3799" customFormat="false" ht="15" hidden="false" customHeight="false" outlineLevel="0" collapsed="false">
      <c r="A3799" s="8" t="s">
        <v>8435</v>
      </c>
      <c r="B3799" s="8" t="s">
        <v>3420</v>
      </c>
      <c r="C3799" s="8" t="s">
        <v>51</v>
      </c>
      <c r="D3799" s="32" t="n">
        <v>46270</v>
      </c>
      <c r="E3799" s="8" t="n">
        <v>8</v>
      </c>
      <c r="F3799" s="8" t="str">
        <f aca="false">IF(E3799&gt;=9,"Promoter",IF(E3799&gt;=7,"Passive","Detractor"))</f>
        <v>Passive</v>
      </c>
    </row>
    <row r="3800" customFormat="false" ht="15" hidden="false" customHeight="false" outlineLevel="0" collapsed="false">
      <c r="A3800" s="8" t="s">
        <v>8436</v>
      </c>
      <c r="B3800" s="8" t="s">
        <v>2874</v>
      </c>
      <c r="C3800" s="8" t="s">
        <v>51</v>
      </c>
      <c r="D3800" s="32" t="n">
        <v>46270</v>
      </c>
      <c r="E3800" s="8" t="n">
        <v>7</v>
      </c>
      <c r="F3800" s="8" t="str">
        <f aca="false">IF(E3800&gt;=9,"Promoter",IF(E3800&gt;=7,"Passive","Detractor"))</f>
        <v>Passive</v>
      </c>
    </row>
    <row r="3801" customFormat="false" ht="15" hidden="false" customHeight="false" outlineLevel="0" collapsed="false">
      <c r="A3801" s="8" t="s">
        <v>8437</v>
      </c>
      <c r="B3801" s="8" t="s">
        <v>2624</v>
      </c>
      <c r="C3801" s="8" t="s">
        <v>51</v>
      </c>
      <c r="D3801" s="32" t="n">
        <v>46270</v>
      </c>
      <c r="E3801" s="8" t="n">
        <v>10</v>
      </c>
      <c r="F3801" s="8" t="str">
        <f aca="false">IF(E3801&gt;=9,"Promoter",IF(E3801&gt;=7,"Passive","Detractor"))</f>
        <v>Promoter</v>
      </c>
    </row>
    <row r="3802" customFormat="false" ht="15" hidden="false" customHeight="false" outlineLevel="0" collapsed="false">
      <c r="A3802" s="8" t="s">
        <v>8438</v>
      </c>
      <c r="B3802" s="8" t="s">
        <v>3312</v>
      </c>
      <c r="C3802" s="8" t="s">
        <v>51</v>
      </c>
      <c r="D3802" s="32" t="n">
        <v>46270</v>
      </c>
      <c r="E3802" s="8" t="n">
        <v>9</v>
      </c>
      <c r="F3802" s="8" t="str">
        <f aca="false">IF(E3802&gt;=9,"Promoter",IF(E3802&gt;=7,"Passive","Detractor"))</f>
        <v>Promoter</v>
      </c>
    </row>
    <row r="3803" customFormat="false" ht="15" hidden="false" customHeight="false" outlineLevel="0" collapsed="false">
      <c r="A3803" s="8" t="s">
        <v>8439</v>
      </c>
      <c r="B3803" s="8" t="s">
        <v>3148</v>
      </c>
      <c r="C3803" s="8" t="s">
        <v>51</v>
      </c>
      <c r="D3803" s="32" t="n">
        <v>46271</v>
      </c>
      <c r="E3803" s="8" t="n">
        <v>8</v>
      </c>
      <c r="F3803" s="8" t="str">
        <f aca="false">IF(E3803&gt;=9,"Promoter",IF(E3803&gt;=7,"Passive","Detractor"))</f>
        <v>Passive</v>
      </c>
    </row>
    <row r="3804" customFormat="false" ht="15" hidden="false" customHeight="false" outlineLevel="0" collapsed="false">
      <c r="A3804" s="8" t="s">
        <v>8440</v>
      </c>
      <c r="B3804" s="8" t="s">
        <v>3044</v>
      </c>
      <c r="C3804" s="8" t="s">
        <v>51</v>
      </c>
      <c r="D3804" s="32" t="n">
        <v>46271</v>
      </c>
      <c r="E3804" s="8" t="n">
        <v>4</v>
      </c>
      <c r="F3804" s="8" t="str">
        <f aca="false">IF(E3804&gt;=9,"Promoter",IF(E3804&gt;=7,"Passive","Detractor"))</f>
        <v>Detractor</v>
      </c>
    </row>
    <row r="3805" customFormat="false" ht="15" hidden="false" customHeight="false" outlineLevel="0" collapsed="false">
      <c r="A3805" s="8" t="s">
        <v>8441</v>
      </c>
      <c r="B3805" s="8" t="s">
        <v>1945</v>
      </c>
      <c r="C3805" s="8" t="s">
        <v>51</v>
      </c>
      <c r="D3805" s="32" t="n">
        <v>46271</v>
      </c>
      <c r="E3805" s="8" t="n">
        <v>9</v>
      </c>
      <c r="F3805" s="8" t="str">
        <f aca="false">IF(E3805&gt;=9,"Promoter",IF(E3805&gt;=7,"Passive","Detractor"))</f>
        <v>Promoter</v>
      </c>
    </row>
    <row r="3806" customFormat="false" ht="15" hidden="false" customHeight="false" outlineLevel="0" collapsed="false">
      <c r="A3806" s="8" t="s">
        <v>8442</v>
      </c>
      <c r="B3806" s="8" t="s">
        <v>1003</v>
      </c>
      <c r="C3806" s="8" t="s">
        <v>53</v>
      </c>
      <c r="D3806" s="32" t="n">
        <v>46271</v>
      </c>
      <c r="E3806" s="8" t="n">
        <v>7</v>
      </c>
      <c r="F3806" s="8" t="str">
        <f aca="false">IF(E3806&gt;=9,"Promoter",IF(E3806&gt;=7,"Passive","Detractor"))</f>
        <v>Passive</v>
      </c>
    </row>
    <row r="3807" customFormat="false" ht="15" hidden="false" customHeight="false" outlineLevel="0" collapsed="false">
      <c r="A3807" s="8" t="s">
        <v>8443</v>
      </c>
      <c r="B3807" s="8" t="s">
        <v>1195</v>
      </c>
      <c r="C3807" s="8" t="s">
        <v>53</v>
      </c>
      <c r="D3807" s="32" t="n">
        <v>46271</v>
      </c>
      <c r="E3807" s="8" t="n">
        <v>8</v>
      </c>
      <c r="F3807" s="8" t="str">
        <f aca="false">IF(E3807&gt;=9,"Promoter",IF(E3807&gt;=7,"Passive","Detractor"))</f>
        <v>Passive</v>
      </c>
    </row>
    <row r="3808" customFormat="false" ht="15" hidden="false" customHeight="false" outlineLevel="0" collapsed="false">
      <c r="A3808" s="8" t="s">
        <v>8444</v>
      </c>
      <c r="B3808" s="8" t="s">
        <v>2042</v>
      </c>
      <c r="C3808" s="8" t="s">
        <v>51</v>
      </c>
      <c r="D3808" s="32" t="n">
        <v>46271</v>
      </c>
      <c r="E3808" s="8" t="n">
        <v>10</v>
      </c>
      <c r="F3808" s="8" t="str">
        <f aca="false">IF(E3808&gt;=9,"Promoter",IF(E3808&gt;=7,"Passive","Detractor"))</f>
        <v>Promoter</v>
      </c>
    </row>
    <row r="3809" customFormat="false" ht="15" hidden="false" customHeight="false" outlineLevel="0" collapsed="false">
      <c r="A3809" s="8" t="s">
        <v>8445</v>
      </c>
      <c r="B3809" s="8" t="s">
        <v>381</v>
      </c>
      <c r="C3809" s="8" t="s">
        <v>55</v>
      </c>
      <c r="D3809" s="32" t="n">
        <v>46271</v>
      </c>
      <c r="E3809" s="8" t="n">
        <v>7</v>
      </c>
      <c r="F3809" s="8" t="str">
        <f aca="false">IF(E3809&gt;=9,"Promoter",IF(E3809&gt;=7,"Passive","Detractor"))</f>
        <v>Passive</v>
      </c>
    </row>
    <row r="3810" customFormat="false" ht="15" hidden="false" customHeight="false" outlineLevel="0" collapsed="false">
      <c r="A3810" s="8" t="s">
        <v>8446</v>
      </c>
      <c r="B3810" s="8" t="s">
        <v>1605</v>
      </c>
      <c r="C3810" s="8" t="s">
        <v>53</v>
      </c>
      <c r="D3810" s="32" t="n">
        <v>46271</v>
      </c>
      <c r="E3810" s="8" t="n">
        <v>8</v>
      </c>
      <c r="F3810" s="8" t="str">
        <f aca="false">IF(E3810&gt;=9,"Promoter",IF(E3810&gt;=7,"Passive","Detractor"))</f>
        <v>Passive</v>
      </c>
    </row>
    <row r="3811" customFormat="false" ht="15" hidden="false" customHeight="false" outlineLevel="0" collapsed="false">
      <c r="A3811" s="8" t="s">
        <v>8447</v>
      </c>
      <c r="B3811" s="8" t="s">
        <v>3154</v>
      </c>
      <c r="C3811" s="8" t="s">
        <v>51</v>
      </c>
      <c r="D3811" s="32" t="n">
        <v>46272</v>
      </c>
      <c r="E3811" s="8" t="n">
        <v>10</v>
      </c>
      <c r="F3811" s="8" t="str">
        <f aca="false">IF(E3811&gt;=9,"Promoter",IF(E3811&gt;=7,"Passive","Detractor"))</f>
        <v>Promoter</v>
      </c>
    </row>
    <row r="3812" customFormat="false" ht="15" hidden="false" customHeight="false" outlineLevel="0" collapsed="false">
      <c r="A3812" s="8" t="s">
        <v>8448</v>
      </c>
      <c r="B3812" s="8" t="s">
        <v>2676</v>
      </c>
      <c r="C3812" s="8" t="s">
        <v>51</v>
      </c>
      <c r="D3812" s="32" t="n">
        <v>46272</v>
      </c>
      <c r="E3812" s="8" t="n">
        <v>5</v>
      </c>
      <c r="F3812" s="8" t="str">
        <f aca="false">IF(E3812&gt;=9,"Promoter",IF(E3812&gt;=7,"Passive","Detractor"))</f>
        <v>Detractor</v>
      </c>
    </row>
    <row r="3813" customFormat="false" ht="15" hidden="false" customHeight="false" outlineLevel="0" collapsed="false">
      <c r="A3813" s="8" t="s">
        <v>8449</v>
      </c>
      <c r="B3813" s="8" t="s">
        <v>1289</v>
      </c>
      <c r="C3813" s="8" t="s">
        <v>53</v>
      </c>
      <c r="D3813" s="32" t="n">
        <v>46272</v>
      </c>
      <c r="E3813" s="8" t="n">
        <v>9</v>
      </c>
      <c r="F3813" s="8" t="str">
        <f aca="false">IF(E3813&gt;=9,"Promoter",IF(E3813&gt;=7,"Passive","Detractor"))</f>
        <v>Promoter</v>
      </c>
    </row>
    <row r="3814" customFormat="false" ht="15" hidden="false" customHeight="false" outlineLevel="0" collapsed="false">
      <c r="A3814" s="8" t="s">
        <v>8450</v>
      </c>
      <c r="B3814" s="8" t="s">
        <v>1953</v>
      </c>
      <c r="C3814" s="8" t="s">
        <v>51</v>
      </c>
      <c r="D3814" s="32" t="n">
        <v>46272</v>
      </c>
      <c r="E3814" s="8" t="n">
        <v>7</v>
      </c>
      <c r="F3814" s="8" t="str">
        <f aca="false">IF(E3814&gt;=9,"Promoter",IF(E3814&gt;=7,"Passive","Detractor"))</f>
        <v>Passive</v>
      </c>
    </row>
    <row r="3815" customFormat="false" ht="15" hidden="false" customHeight="false" outlineLevel="0" collapsed="false">
      <c r="A3815" s="8" t="s">
        <v>8451</v>
      </c>
      <c r="B3815" s="8" t="s">
        <v>2508</v>
      </c>
      <c r="C3815" s="8" t="s">
        <v>51</v>
      </c>
      <c r="D3815" s="32" t="n">
        <v>46272</v>
      </c>
      <c r="E3815" s="8" t="n">
        <v>5</v>
      </c>
      <c r="F3815" s="8" t="str">
        <f aca="false">IF(E3815&gt;=9,"Promoter",IF(E3815&gt;=7,"Passive","Detractor"))</f>
        <v>Detractor</v>
      </c>
    </row>
    <row r="3816" customFormat="false" ht="15" hidden="false" customHeight="false" outlineLevel="0" collapsed="false">
      <c r="A3816" s="8" t="s">
        <v>8452</v>
      </c>
      <c r="B3816" s="8" t="s">
        <v>3176</v>
      </c>
      <c r="C3816" s="8" t="s">
        <v>51</v>
      </c>
      <c r="D3816" s="32" t="n">
        <v>46272</v>
      </c>
      <c r="E3816" s="8" t="n">
        <v>7</v>
      </c>
      <c r="F3816" s="8" t="str">
        <f aca="false">IF(E3816&gt;=9,"Promoter",IF(E3816&gt;=7,"Passive","Detractor"))</f>
        <v>Passive</v>
      </c>
    </row>
    <row r="3817" customFormat="false" ht="15" hidden="false" customHeight="false" outlineLevel="0" collapsed="false">
      <c r="A3817" s="8" t="s">
        <v>8453</v>
      </c>
      <c r="B3817" s="8" t="s">
        <v>2792</v>
      </c>
      <c r="C3817" s="8" t="s">
        <v>51</v>
      </c>
      <c r="D3817" s="32" t="n">
        <v>46272</v>
      </c>
      <c r="E3817" s="8" t="n">
        <v>7</v>
      </c>
      <c r="F3817" s="8" t="str">
        <f aca="false">IF(E3817&gt;=9,"Promoter",IF(E3817&gt;=7,"Passive","Detractor"))</f>
        <v>Passive</v>
      </c>
    </row>
    <row r="3818" customFormat="false" ht="15" hidden="false" customHeight="false" outlineLevel="0" collapsed="false">
      <c r="A3818" s="8" t="s">
        <v>8454</v>
      </c>
      <c r="B3818" s="8" t="s">
        <v>731</v>
      </c>
      <c r="C3818" s="8" t="s">
        <v>53</v>
      </c>
      <c r="D3818" s="32" t="n">
        <v>46272</v>
      </c>
      <c r="E3818" s="8" t="n">
        <v>10</v>
      </c>
      <c r="F3818" s="8" t="str">
        <f aca="false">IF(E3818&gt;=9,"Promoter",IF(E3818&gt;=7,"Passive","Detractor"))</f>
        <v>Promoter</v>
      </c>
    </row>
    <row r="3819" customFormat="false" ht="15" hidden="false" customHeight="false" outlineLevel="0" collapsed="false">
      <c r="A3819" s="8" t="s">
        <v>8455</v>
      </c>
      <c r="B3819" s="8" t="s">
        <v>511</v>
      </c>
      <c r="C3819" s="8" t="s">
        <v>55</v>
      </c>
      <c r="D3819" s="32" t="n">
        <v>46272</v>
      </c>
      <c r="E3819" s="8" t="n">
        <v>10</v>
      </c>
      <c r="F3819" s="8" t="str">
        <f aca="false">IF(E3819&gt;=9,"Promoter",IF(E3819&gt;=7,"Passive","Detractor"))</f>
        <v>Promoter</v>
      </c>
    </row>
    <row r="3820" customFormat="false" ht="15" hidden="false" customHeight="false" outlineLevel="0" collapsed="false">
      <c r="A3820" s="8" t="s">
        <v>8456</v>
      </c>
      <c r="B3820" s="8" t="s">
        <v>2706</v>
      </c>
      <c r="C3820" s="8" t="s">
        <v>51</v>
      </c>
      <c r="D3820" s="32" t="n">
        <v>46272</v>
      </c>
      <c r="E3820" s="8" t="n">
        <v>9</v>
      </c>
      <c r="F3820" s="8" t="str">
        <f aca="false">IF(E3820&gt;=9,"Promoter",IF(E3820&gt;=7,"Passive","Detractor"))</f>
        <v>Promoter</v>
      </c>
    </row>
    <row r="3821" customFormat="false" ht="15" hidden="false" customHeight="false" outlineLevel="0" collapsed="false">
      <c r="A3821" s="8" t="s">
        <v>8457</v>
      </c>
      <c r="B3821" s="8" t="s">
        <v>3774</v>
      </c>
      <c r="C3821" s="8" t="s">
        <v>51</v>
      </c>
      <c r="D3821" s="32" t="n">
        <v>46272</v>
      </c>
      <c r="E3821" s="8" t="n">
        <v>10</v>
      </c>
      <c r="F3821" s="8" t="str">
        <f aca="false">IF(E3821&gt;=9,"Promoter",IF(E3821&gt;=7,"Passive","Detractor"))</f>
        <v>Promoter</v>
      </c>
    </row>
    <row r="3822" customFormat="false" ht="15" hidden="false" customHeight="false" outlineLevel="0" collapsed="false">
      <c r="A3822" s="8" t="s">
        <v>8458</v>
      </c>
      <c r="B3822" s="8" t="s">
        <v>264</v>
      </c>
      <c r="C3822" s="8" t="s">
        <v>55</v>
      </c>
      <c r="D3822" s="32" t="n">
        <v>46272</v>
      </c>
      <c r="E3822" s="8" t="n">
        <v>10</v>
      </c>
      <c r="F3822" s="8" t="str">
        <f aca="false">IF(E3822&gt;=9,"Promoter",IF(E3822&gt;=7,"Passive","Detractor"))</f>
        <v>Promoter</v>
      </c>
    </row>
    <row r="3823" customFormat="false" ht="15" hidden="false" customHeight="false" outlineLevel="0" collapsed="false">
      <c r="A3823" s="8" t="s">
        <v>8459</v>
      </c>
      <c r="B3823" s="8" t="s">
        <v>121</v>
      </c>
      <c r="C3823" s="8" t="s">
        <v>55</v>
      </c>
      <c r="D3823" s="32" t="n">
        <v>46272</v>
      </c>
      <c r="E3823" s="8" t="n">
        <v>7</v>
      </c>
      <c r="F3823" s="8" t="str">
        <f aca="false">IF(E3823&gt;=9,"Promoter",IF(E3823&gt;=7,"Passive","Detractor"))</f>
        <v>Passive</v>
      </c>
    </row>
    <row r="3824" customFormat="false" ht="15" hidden="false" customHeight="false" outlineLevel="0" collapsed="false">
      <c r="A3824" s="8" t="s">
        <v>8460</v>
      </c>
      <c r="B3824" s="8" t="s">
        <v>3460</v>
      </c>
      <c r="C3824" s="8" t="s">
        <v>51</v>
      </c>
      <c r="D3824" s="32" t="n">
        <v>46273</v>
      </c>
      <c r="E3824" s="8" t="n">
        <v>8</v>
      </c>
      <c r="F3824" s="8" t="str">
        <f aca="false">IF(E3824&gt;=9,"Promoter",IF(E3824&gt;=7,"Passive","Detractor"))</f>
        <v>Passive</v>
      </c>
    </row>
    <row r="3825" customFormat="false" ht="15" hidden="false" customHeight="false" outlineLevel="0" collapsed="false">
      <c r="A3825" s="8" t="s">
        <v>8461</v>
      </c>
      <c r="B3825" s="8" t="s">
        <v>3780</v>
      </c>
      <c r="C3825" s="8" t="s">
        <v>51</v>
      </c>
      <c r="D3825" s="32" t="n">
        <v>46273</v>
      </c>
      <c r="E3825" s="8" t="n">
        <v>9</v>
      </c>
      <c r="F3825" s="8" t="str">
        <f aca="false">IF(E3825&gt;=9,"Promoter",IF(E3825&gt;=7,"Passive","Detractor"))</f>
        <v>Promoter</v>
      </c>
    </row>
    <row r="3826" customFormat="false" ht="15" hidden="false" customHeight="false" outlineLevel="0" collapsed="false">
      <c r="A3826" s="8" t="s">
        <v>8462</v>
      </c>
      <c r="B3826" s="8" t="s">
        <v>1629</v>
      </c>
      <c r="C3826" s="8" t="s">
        <v>53</v>
      </c>
      <c r="D3826" s="32" t="n">
        <v>46273</v>
      </c>
      <c r="E3826" s="8" t="n">
        <v>10</v>
      </c>
      <c r="F3826" s="8" t="str">
        <f aca="false">IF(E3826&gt;=9,"Promoter",IF(E3826&gt;=7,"Passive","Detractor"))</f>
        <v>Promoter</v>
      </c>
    </row>
    <row r="3827" customFormat="false" ht="15" hidden="false" customHeight="false" outlineLevel="0" collapsed="false">
      <c r="A3827" s="8" t="s">
        <v>8463</v>
      </c>
      <c r="B3827" s="8" t="s">
        <v>1111</v>
      </c>
      <c r="C3827" s="8" t="s">
        <v>53</v>
      </c>
      <c r="D3827" s="32" t="n">
        <v>46273</v>
      </c>
      <c r="E3827" s="8" t="n">
        <v>3</v>
      </c>
      <c r="F3827" s="8" t="str">
        <f aca="false">IF(E3827&gt;=9,"Promoter",IF(E3827&gt;=7,"Passive","Detractor"))</f>
        <v>Detractor</v>
      </c>
    </row>
    <row r="3828" customFormat="false" ht="15" hidden="false" customHeight="false" outlineLevel="0" collapsed="false">
      <c r="A3828" s="8" t="s">
        <v>8464</v>
      </c>
      <c r="B3828" s="8" t="s">
        <v>857</v>
      </c>
      <c r="C3828" s="8" t="s">
        <v>53</v>
      </c>
      <c r="D3828" s="32" t="n">
        <v>46273</v>
      </c>
      <c r="E3828" s="8" t="n">
        <v>8</v>
      </c>
      <c r="F3828" s="8" t="str">
        <f aca="false">IF(E3828&gt;=9,"Promoter",IF(E3828&gt;=7,"Passive","Detractor"))</f>
        <v>Passive</v>
      </c>
    </row>
    <row r="3829" customFormat="false" ht="15" hidden="false" customHeight="false" outlineLevel="0" collapsed="false">
      <c r="A3829" s="8" t="s">
        <v>8465</v>
      </c>
      <c r="B3829" s="8" t="s">
        <v>3450</v>
      </c>
      <c r="C3829" s="8" t="s">
        <v>51</v>
      </c>
      <c r="D3829" s="32" t="n">
        <v>46273</v>
      </c>
      <c r="E3829" s="8" t="n">
        <v>8</v>
      </c>
      <c r="F3829" s="8" t="str">
        <f aca="false">IF(E3829&gt;=9,"Promoter",IF(E3829&gt;=7,"Passive","Detractor"))</f>
        <v>Passive</v>
      </c>
    </row>
    <row r="3830" customFormat="false" ht="15" hidden="false" customHeight="false" outlineLevel="0" collapsed="false">
      <c r="A3830" s="8" t="s">
        <v>8466</v>
      </c>
      <c r="B3830" s="8" t="s">
        <v>3720</v>
      </c>
      <c r="C3830" s="8" t="s">
        <v>51</v>
      </c>
      <c r="D3830" s="32" t="n">
        <v>46273</v>
      </c>
      <c r="E3830" s="8" t="n">
        <v>9</v>
      </c>
      <c r="F3830" s="8" t="str">
        <f aca="false">IF(E3830&gt;=9,"Promoter",IF(E3830&gt;=7,"Passive","Detractor"))</f>
        <v>Promoter</v>
      </c>
    </row>
    <row r="3831" customFormat="false" ht="15" hidden="false" customHeight="false" outlineLevel="0" collapsed="false">
      <c r="A3831" s="8" t="s">
        <v>8467</v>
      </c>
      <c r="B3831" s="8" t="s">
        <v>145</v>
      </c>
      <c r="C3831" s="8" t="s">
        <v>55</v>
      </c>
      <c r="D3831" s="32" t="n">
        <v>46274</v>
      </c>
      <c r="E3831" s="8" t="n">
        <v>8</v>
      </c>
      <c r="F3831" s="8" t="str">
        <f aca="false">IF(E3831&gt;=9,"Promoter",IF(E3831&gt;=7,"Passive","Detractor"))</f>
        <v>Passive</v>
      </c>
    </row>
    <row r="3832" customFormat="false" ht="15" hidden="false" customHeight="false" outlineLevel="0" collapsed="false">
      <c r="A3832" s="8" t="s">
        <v>8468</v>
      </c>
      <c r="B3832" s="8" t="s">
        <v>3984</v>
      </c>
      <c r="C3832" s="8" t="s">
        <v>51</v>
      </c>
      <c r="D3832" s="32" t="n">
        <v>46274</v>
      </c>
      <c r="E3832" s="8" t="n">
        <v>10</v>
      </c>
      <c r="F3832" s="8" t="str">
        <f aca="false">IF(E3832&gt;=9,"Promoter",IF(E3832&gt;=7,"Passive","Detractor"))</f>
        <v>Promoter</v>
      </c>
    </row>
    <row r="3833" customFormat="false" ht="15" hidden="false" customHeight="false" outlineLevel="0" collapsed="false">
      <c r="A3833" s="8" t="s">
        <v>8469</v>
      </c>
      <c r="B3833" s="8" t="s">
        <v>767</v>
      </c>
      <c r="C3833" s="8" t="s">
        <v>53</v>
      </c>
      <c r="D3833" s="32" t="n">
        <v>46274</v>
      </c>
      <c r="E3833" s="8" t="n">
        <v>9</v>
      </c>
      <c r="F3833" s="8" t="str">
        <f aca="false">IF(E3833&gt;=9,"Promoter",IF(E3833&gt;=7,"Passive","Detractor"))</f>
        <v>Promoter</v>
      </c>
    </row>
    <row r="3834" customFormat="false" ht="15" hidden="false" customHeight="false" outlineLevel="0" collapsed="false">
      <c r="A3834" s="8" t="s">
        <v>8470</v>
      </c>
      <c r="B3834" s="8" t="s">
        <v>1837</v>
      </c>
      <c r="C3834" s="8" t="s">
        <v>51</v>
      </c>
      <c r="D3834" s="32" t="n">
        <v>46274</v>
      </c>
      <c r="E3834" s="8" t="n">
        <v>10</v>
      </c>
      <c r="F3834" s="8" t="str">
        <f aca="false">IF(E3834&gt;=9,"Promoter",IF(E3834&gt;=7,"Passive","Detractor"))</f>
        <v>Promoter</v>
      </c>
    </row>
    <row r="3835" customFormat="false" ht="15" hidden="false" customHeight="false" outlineLevel="0" collapsed="false">
      <c r="A3835" s="8" t="s">
        <v>8471</v>
      </c>
      <c r="B3835" s="8" t="s">
        <v>1877</v>
      </c>
      <c r="C3835" s="8" t="s">
        <v>51</v>
      </c>
      <c r="D3835" s="32" t="n">
        <v>46274</v>
      </c>
      <c r="E3835" s="8" t="n">
        <v>9</v>
      </c>
      <c r="F3835" s="8" t="str">
        <f aca="false">IF(E3835&gt;=9,"Promoter",IF(E3835&gt;=7,"Passive","Detractor"))</f>
        <v>Promoter</v>
      </c>
    </row>
    <row r="3836" customFormat="false" ht="15" hidden="false" customHeight="false" outlineLevel="0" collapsed="false">
      <c r="A3836" s="8" t="s">
        <v>8472</v>
      </c>
      <c r="B3836" s="8" t="s">
        <v>1357</v>
      </c>
      <c r="C3836" s="8" t="s">
        <v>53</v>
      </c>
      <c r="D3836" s="32" t="n">
        <v>46274</v>
      </c>
      <c r="E3836" s="8" t="n">
        <v>10</v>
      </c>
      <c r="F3836" s="8" t="str">
        <f aca="false">IF(E3836&gt;=9,"Promoter",IF(E3836&gt;=7,"Passive","Detractor"))</f>
        <v>Promoter</v>
      </c>
    </row>
    <row r="3837" customFormat="false" ht="15" hidden="false" customHeight="false" outlineLevel="0" collapsed="false">
      <c r="A3837" s="8" t="s">
        <v>8473</v>
      </c>
      <c r="B3837" s="8" t="s">
        <v>1653</v>
      </c>
      <c r="C3837" s="8" t="s">
        <v>53</v>
      </c>
      <c r="D3837" s="32" t="n">
        <v>46274</v>
      </c>
      <c r="E3837" s="8" t="n">
        <v>9</v>
      </c>
      <c r="F3837" s="8" t="str">
        <f aca="false">IF(E3837&gt;=9,"Promoter",IF(E3837&gt;=7,"Passive","Detractor"))</f>
        <v>Promoter</v>
      </c>
    </row>
    <row r="3838" customFormat="false" ht="15" hidden="false" customHeight="false" outlineLevel="0" collapsed="false">
      <c r="A3838" s="8" t="s">
        <v>8474</v>
      </c>
      <c r="B3838" s="8" t="s">
        <v>2994</v>
      </c>
      <c r="C3838" s="8" t="s">
        <v>51</v>
      </c>
      <c r="D3838" s="32" t="n">
        <v>46274</v>
      </c>
      <c r="E3838" s="8" t="n">
        <v>10</v>
      </c>
      <c r="F3838" s="8" t="str">
        <f aca="false">IF(E3838&gt;=9,"Promoter",IF(E3838&gt;=7,"Passive","Detractor"))</f>
        <v>Promoter</v>
      </c>
    </row>
    <row r="3839" customFormat="false" ht="15" hidden="false" customHeight="false" outlineLevel="0" collapsed="false">
      <c r="A3839" s="8" t="s">
        <v>8475</v>
      </c>
      <c r="B3839" s="8" t="s">
        <v>807</v>
      </c>
      <c r="C3839" s="8" t="s">
        <v>53</v>
      </c>
      <c r="D3839" s="32" t="n">
        <v>46274</v>
      </c>
      <c r="E3839" s="8" t="n">
        <v>10</v>
      </c>
      <c r="F3839" s="8" t="str">
        <f aca="false">IF(E3839&gt;=9,"Promoter",IF(E3839&gt;=7,"Passive","Detractor"))</f>
        <v>Promoter</v>
      </c>
    </row>
    <row r="3840" customFormat="false" ht="15" hidden="false" customHeight="false" outlineLevel="0" collapsed="false">
      <c r="A3840" s="8" t="s">
        <v>8476</v>
      </c>
      <c r="B3840" s="8" t="s">
        <v>2778</v>
      </c>
      <c r="C3840" s="8" t="s">
        <v>51</v>
      </c>
      <c r="D3840" s="32" t="n">
        <v>46274</v>
      </c>
      <c r="E3840" s="8" t="n">
        <v>9</v>
      </c>
      <c r="F3840" s="8" t="str">
        <f aca="false">IF(E3840&gt;=9,"Promoter",IF(E3840&gt;=7,"Passive","Detractor"))</f>
        <v>Promoter</v>
      </c>
    </row>
    <row r="3841" customFormat="false" ht="15" hidden="false" customHeight="false" outlineLevel="0" collapsed="false">
      <c r="A3841" s="8" t="s">
        <v>8477</v>
      </c>
      <c r="B3841" s="8" t="s">
        <v>1315</v>
      </c>
      <c r="C3841" s="8" t="s">
        <v>53</v>
      </c>
      <c r="D3841" s="32" t="n">
        <v>46274</v>
      </c>
      <c r="E3841" s="8" t="n">
        <v>8</v>
      </c>
      <c r="F3841" s="8" t="str">
        <f aca="false">IF(E3841&gt;=9,"Promoter",IF(E3841&gt;=7,"Passive","Detractor"))</f>
        <v>Passive</v>
      </c>
    </row>
    <row r="3842" customFormat="false" ht="15" hidden="false" customHeight="false" outlineLevel="0" collapsed="false">
      <c r="A3842" s="8" t="s">
        <v>8478</v>
      </c>
      <c r="B3842" s="8" t="s">
        <v>4340</v>
      </c>
      <c r="C3842" s="8" t="s">
        <v>51</v>
      </c>
      <c r="D3842" s="32" t="n">
        <v>46275</v>
      </c>
      <c r="E3842" s="8" t="n">
        <v>10</v>
      </c>
      <c r="F3842" s="8" t="str">
        <f aca="false">IF(E3842&gt;=9,"Promoter",IF(E3842&gt;=7,"Passive","Detractor"))</f>
        <v>Promoter</v>
      </c>
    </row>
    <row r="3843" customFormat="false" ht="15" hidden="false" customHeight="false" outlineLevel="0" collapsed="false">
      <c r="A3843" s="8" t="s">
        <v>8479</v>
      </c>
      <c r="B3843" s="8" t="s">
        <v>399</v>
      </c>
      <c r="C3843" s="8" t="s">
        <v>55</v>
      </c>
      <c r="D3843" s="32" t="n">
        <v>46275</v>
      </c>
      <c r="E3843" s="8" t="n">
        <v>8</v>
      </c>
      <c r="F3843" s="8" t="str">
        <f aca="false">IF(E3843&gt;=9,"Promoter",IF(E3843&gt;=7,"Passive","Detractor"))</f>
        <v>Passive</v>
      </c>
    </row>
    <row r="3844" customFormat="false" ht="15" hidden="false" customHeight="false" outlineLevel="0" collapsed="false">
      <c r="A3844" s="8" t="s">
        <v>8480</v>
      </c>
      <c r="B3844" s="8" t="s">
        <v>2066</v>
      </c>
      <c r="C3844" s="8" t="s">
        <v>51</v>
      </c>
      <c r="D3844" s="32" t="n">
        <v>46275</v>
      </c>
      <c r="E3844" s="8" t="n">
        <v>10</v>
      </c>
      <c r="F3844" s="8" t="str">
        <f aca="false">IF(E3844&gt;=9,"Promoter",IF(E3844&gt;=7,"Passive","Detractor"))</f>
        <v>Promoter</v>
      </c>
    </row>
    <row r="3845" customFormat="false" ht="15" hidden="false" customHeight="false" outlineLevel="0" collapsed="false">
      <c r="A3845" s="8" t="s">
        <v>8481</v>
      </c>
      <c r="B3845" s="8" t="s">
        <v>3924</v>
      </c>
      <c r="C3845" s="8" t="s">
        <v>51</v>
      </c>
      <c r="D3845" s="32" t="n">
        <v>46275</v>
      </c>
      <c r="E3845" s="8" t="n">
        <v>10</v>
      </c>
      <c r="F3845" s="8" t="str">
        <f aca="false">IF(E3845&gt;=9,"Promoter",IF(E3845&gt;=7,"Passive","Detractor"))</f>
        <v>Promoter</v>
      </c>
    </row>
    <row r="3846" customFormat="false" ht="15" hidden="false" customHeight="false" outlineLevel="0" collapsed="false">
      <c r="A3846" s="8" t="s">
        <v>8482</v>
      </c>
      <c r="B3846" s="8" t="s">
        <v>3628</v>
      </c>
      <c r="C3846" s="8" t="s">
        <v>51</v>
      </c>
      <c r="D3846" s="32" t="n">
        <v>46275</v>
      </c>
      <c r="E3846" s="8" t="n">
        <v>10</v>
      </c>
      <c r="F3846" s="8" t="str">
        <f aca="false">IF(E3846&gt;=9,"Promoter",IF(E3846&gt;=7,"Passive","Detractor"))</f>
        <v>Promoter</v>
      </c>
    </row>
    <row r="3847" customFormat="false" ht="15" hidden="false" customHeight="false" outlineLevel="0" collapsed="false">
      <c r="A3847" s="8" t="s">
        <v>8483</v>
      </c>
      <c r="B3847" s="8" t="s">
        <v>1437</v>
      </c>
      <c r="C3847" s="8" t="s">
        <v>53</v>
      </c>
      <c r="D3847" s="32" t="n">
        <v>46275</v>
      </c>
      <c r="E3847" s="8" t="n">
        <v>5</v>
      </c>
      <c r="F3847" s="8" t="str">
        <f aca="false">IF(E3847&gt;=9,"Promoter",IF(E3847&gt;=7,"Passive","Detractor"))</f>
        <v>Detractor</v>
      </c>
    </row>
    <row r="3848" customFormat="false" ht="15" hidden="false" customHeight="false" outlineLevel="0" collapsed="false">
      <c r="A3848" s="8" t="s">
        <v>8484</v>
      </c>
      <c r="B3848" s="8" t="s">
        <v>655</v>
      </c>
      <c r="C3848" s="8" t="s">
        <v>53</v>
      </c>
      <c r="D3848" s="32" t="n">
        <v>46275</v>
      </c>
      <c r="E3848" s="8" t="n">
        <v>9</v>
      </c>
      <c r="F3848" s="8" t="str">
        <f aca="false">IF(E3848&gt;=9,"Promoter",IF(E3848&gt;=7,"Passive","Detractor"))</f>
        <v>Promoter</v>
      </c>
    </row>
    <row r="3849" customFormat="false" ht="15" hidden="false" customHeight="false" outlineLevel="0" collapsed="false">
      <c r="A3849" s="8" t="s">
        <v>8485</v>
      </c>
      <c r="B3849" s="8" t="s">
        <v>2404</v>
      </c>
      <c r="C3849" s="8" t="s">
        <v>51</v>
      </c>
      <c r="D3849" s="32" t="n">
        <v>46275</v>
      </c>
      <c r="E3849" s="8" t="n">
        <v>9</v>
      </c>
      <c r="F3849" s="8" t="str">
        <f aca="false">IF(E3849&gt;=9,"Promoter",IF(E3849&gt;=7,"Passive","Detractor"))</f>
        <v>Promoter</v>
      </c>
    </row>
    <row r="3850" customFormat="false" ht="15" hidden="false" customHeight="false" outlineLevel="0" collapsed="false">
      <c r="A3850" s="8" t="s">
        <v>8486</v>
      </c>
      <c r="B3850" s="8" t="s">
        <v>3020</v>
      </c>
      <c r="C3850" s="8" t="s">
        <v>51</v>
      </c>
      <c r="D3850" s="32" t="n">
        <v>46275</v>
      </c>
      <c r="E3850" s="8" t="n">
        <v>9</v>
      </c>
      <c r="F3850" s="8" t="str">
        <f aca="false">IF(E3850&gt;=9,"Promoter",IF(E3850&gt;=7,"Passive","Detractor"))</f>
        <v>Promoter</v>
      </c>
    </row>
    <row r="3851" customFormat="false" ht="15" hidden="false" customHeight="false" outlineLevel="0" collapsed="false">
      <c r="A3851" s="8" t="s">
        <v>8487</v>
      </c>
      <c r="B3851" s="8" t="s">
        <v>1445</v>
      </c>
      <c r="C3851" s="8" t="s">
        <v>53</v>
      </c>
      <c r="D3851" s="32" t="n">
        <v>46275</v>
      </c>
      <c r="E3851" s="8" t="n">
        <v>6</v>
      </c>
      <c r="F3851" s="8" t="str">
        <f aca="false">IF(E3851&gt;=9,"Promoter",IF(E3851&gt;=7,"Passive","Detractor"))</f>
        <v>Detractor</v>
      </c>
    </row>
    <row r="3852" customFormat="false" ht="15" hidden="false" customHeight="false" outlineLevel="0" collapsed="false">
      <c r="A3852" s="8" t="s">
        <v>8488</v>
      </c>
      <c r="B3852" s="8" t="s">
        <v>1735</v>
      </c>
      <c r="C3852" s="8" t="s">
        <v>53</v>
      </c>
      <c r="D3852" s="32" t="n">
        <v>46275</v>
      </c>
      <c r="E3852" s="8" t="n">
        <v>7</v>
      </c>
      <c r="F3852" s="8" t="str">
        <f aca="false">IF(E3852&gt;=9,"Promoter",IF(E3852&gt;=7,"Passive","Detractor"))</f>
        <v>Passive</v>
      </c>
    </row>
    <row r="3853" customFormat="false" ht="15" hidden="false" customHeight="false" outlineLevel="0" collapsed="false">
      <c r="A3853" s="8" t="s">
        <v>8489</v>
      </c>
      <c r="B3853" s="8" t="s">
        <v>3544</v>
      </c>
      <c r="C3853" s="8" t="s">
        <v>51</v>
      </c>
      <c r="D3853" s="32" t="n">
        <v>46276</v>
      </c>
      <c r="E3853" s="8" t="n">
        <v>5</v>
      </c>
      <c r="F3853" s="8" t="str">
        <f aca="false">IF(E3853&gt;=9,"Promoter",IF(E3853&gt;=7,"Passive","Detractor"))</f>
        <v>Detractor</v>
      </c>
    </row>
    <row r="3854" customFormat="false" ht="15" hidden="false" customHeight="false" outlineLevel="0" collapsed="false">
      <c r="A3854" s="8" t="s">
        <v>8490</v>
      </c>
      <c r="B3854" s="8" t="s">
        <v>3096</v>
      </c>
      <c r="C3854" s="8" t="s">
        <v>51</v>
      </c>
      <c r="D3854" s="32" t="n">
        <v>46276</v>
      </c>
      <c r="E3854" s="8" t="n">
        <v>8</v>
      </c>
      <c r="F3854" s="8" t="str">
        <f aca="false">IF(E3854&gt;=9,"Promoter",IF(E3854&gt;=7,"Passive","Detractor"))</f>
        <v>Passive</v>
      </c>
    </row>
    <row r="3855" customFormat="false" ht="15" hidden="false" customHeight="false" outlineLevel="0" collapsed="false">
      <c r="A3855" s="8" t="s">
        <v>8491</v>
      </c>
      <c r="B3855" s="8" t="s">
        <v>3050</v>
      </c>
      <c r="C3855" s="8" t="s">
        <v>51</v>
      </c>
      <c r="D3855" s="32" t="n">
        <v>46276</v>
      </c>
      <c r="E3855" s="8" t="n">
        <v>6</v>
      </c>
      <c r="F3855" s="8" t="str">
        <f aca="false">IF(E3855&gt;=9,"Promoter",IF(E3855&gt;=7,"Passive","Detractor"))</f>
        <v>Detractor</v>
      </c>
    </row>
    <row r="3856" customFormat="false" ht="15" hidden="false" customHeight="false" outlineLevel="0" collapsed="false">
      <c r="A3856" s="8" t="s">
        <v>8492</v>
      </c>
      <c r="B3856" s="8" t="s">
        <v>1613</v>
      </c>
      <c r="C3856" s="8" t="s">
        <v>53</v>
      </c>
      <c r="D3856" s="32" t="n">
        <v>46276</v>
      </c>
      <c r="E3856" s="8" t="n">
        <v>10</v>
      </c>
      <c r="F3856" s="8" t="str">
        <f aca="false">IF(E3856&gt;=9,"Promoter",IF(E3856&gt;=7,"Passive","Detractor"))</f>
        <v>Promoter</v>
      </c>
    </row>
    <row r="3857" customFormat="false" ht="15" hidden="false" customHeight="false" outlineLevel="0" collapsed="false">
      <c r="A3857" s="8" t="s">
        <v>8493</v>
      </c>
      <c r="B3857" s="8" t="s">
        <v>2758</v>
      </c>
      <c r="C3857" s="8" t="s">
        <v>51</v>
      </c>
      <c r="D3857" s="32" t="n">
        <v>46276</v>
      </c>
      <c r="E3857" s="8" t="n">
        <v>9</v>
      </c>
      <c r="F3857" s="8" t="str">
        <f aca="false">IF(E3857&gt;=9,"Promoter",IF(E3857&gt;=7,"Passive","Detractor"))</f>
        <v>Promoter</v>
      </c>
    </row>
    <row r="3858" customFormat="false" ht="15" hidden="false" customHeight="false" outlineLevel="0" collapsed="false">
      <c r="A3858" s="8" t="s">
        <v>8494</v>
      </c>
      <c r="B3858" s="8" t="s">
        <v>2132</v>
      </c>
      <c r="C3858" s="8" t="s">
        <v>51</v>
      </c>
      <c r="D3858" s="32" t="n">
        <v>46276</v>
      </c>
      <c r="E3858" s="8" t="n">
        <v>6</v>
      </c>
      <c r="F3858" s="8" t="str">
        <f aca="false">IF(E3858&gt;=9,"Promoter",IF(E3858&gt;=7,"Passive","Detractor"))</f>
        <v>Detractor</v>
      </c>
    </row>
    <row r="3859" customFormat="false" ht="15" hidden="false" customHeight="false" outlineLevel="0" collapsed="false">
      <c r="A3859" s="8" t="s">
        <v>8495</v>
      </c>
      <c r="B3859" s="8" t="s">
        <v>733</v>
      </c>
      <c r="C3859" s="8" t="s">
        <v>55</v>
      </c>
      <c r="D3859" s="32" t="n">
        <v>46276</v>
      </c>
      <c r="E3859" s="8" t="n">
        <v>10</v>
      </c>
      <c r="F3859" s="8" t="str">
        <f aca="false">IF(E3859&gt;=9,"Promoter",IF(E3859&gt;=7,"Passive","Detractor"))</f>
        <v>Promoter</v>
      </c>
    </row>
    <row r="3860" customFormat="false" ht="15" hidden="false" customHeight="false" outlineLevel="0" collapsed="false">
      <c r="A3860" s="8" t="s">
        <v>8496</v>
      </c>
      <c r="B3860" s="8" t="s">
        <v>1805</v>
      </c>
      <c r="C3860" s="8" t="s">
        <v>53</v>
      </c>
      <c r="D3860" s="32" t="n">
        <v>46276</v>
      </c>
      <c r="E3860" s="8" t="n">
        <v>8</v>
      </c>
      <c r="F3860" s="8" t="str">
        <f aca="false">IF(E3860&gt;=9,"Promoter",IF(E3860&gt;=7,"Passive","Detractor"))</f>
        <v>Passive</v>
      </c>
    </row>
    <row r="3861" customFormat="false" ht="15" hidden="false" customHeight="false" outlineLevel="0" collapsed="false">
      <c r="A3861" s="8" t="s">
        <v>8497</v>
      </c>
      <c r="B3861" s="8" t="s">
        <v>2954</v>
      </c>
      <c r="C3861" s="8" t="s">
        <v>51</v>
      </c>
      <c r="D3861" s="32" t="n">
        <v>46276</v>
      </c>
      <c r="E3861" s="8" t="n">
        <v>10</v>
      </c>
      <c r="F3861" s="8" t="str">
        <f aca="false">IF(E3861&gt;=9,"Promoter",IF(E3861&gt;=7,"Passive","Detractor"))</f>
        <v>Promoter</v>
      </c>
    </row>
    <row r="3862" customFormat="false" ht="15" hidden="false" customHeight="false" outlineLevel="0" collapsed="false">
      <c r="A3862" s="8" t="s">
        <v>8498</v>
      </c>
      <c r="B3862" s="8" t="s">
        <v>2168</v>
      </c>
      <c r="C3862" s="8" t="s">
        <v>51</v>
      </c>
      <c r="D3862" s="32" t="n">
        <v>46276</v>
      </c>
      <c r="E3862" s="8" t="n">
        <v>10</v>
      </c>
      <c r="F3862" s="8" t="str">
        <f aca="false">IF(E3862&gt;=9,"Promoter",IF(E3862&gt;=7,"Passive","Detractor"))</f>
        <v>Promoter</v>
      </c>
    </row>
    <row r="3863" customFormat="false" ht="15" hidden="false" customHeight="false" outlineLevel="0" collapsed="false">
      <c r="A3863" s="8" t="s">
        <v>8499</v>
      </c>
      <c r="B3863" s="8" t="s">
        <v>3952</v>
      </c>
      <c r="C3863" s="8" t="s">
        <v>51</v>
      </c>
      <c r="D3863" s="32" t="n">
        <v>46276</v>
      </c>
      <c r="E3863" s="8" t="n">
        <v>6</v>
      </c>
      <c r="F3863" s="8" t="str">
        <f aca="false">IF(E3863&gt;=9,"Promoter",IF(E3863&gt;=7,"Passive","Detractor"))</f>
        <v>Detractor</v>
      </c>
    </row>
    <row r="3864" customFormat="false" ht="15" hidden="false" customHeight="false" outlineLevel="0" collapsed="false">
      <c r="A3864" s="8" t="s">
        <v>8500</v>
      </c>
      <c r="B3864" s="8" t="s">
        <v>3586</v>
      </c>
      <c r="C3864" s="8" t="s">
        <v>51</v>
      </c>
      <c r="D3864" s="32" t="n">
        <v>46277</v>
      </c>
      <c r="E3864" s="8" t="n">
        <v>9</v>
      </c>
      <c r="F3864" s="8" t="str">
        <f aca="false">IF(E3864&gt;=9,"Promoter",IF(E3864&gt;=7,"Passive","Detractor"))</f>
        <v>Promoter</v>
      </c>
    </row>
    <row r="3865" customFormat="false" ht="15" hidden="false" customHeight="false" outlineLevel="0" collapsed="false">
      <c r="A3865" s="8" t="s">
        <v>8501</v>
      </c>
      <c r="B3865" s="8" t="s">
        <v>2920</v>
      </c>
      <c r="C3865" s="8" t="s">
        <v>51</v>
      </c>
      <c r="D3865" s="32" t="n">
        <v>46277</v>
      </c>
      <c r="E3865" s="8" t="n">
        <v>6</v>
      </c>
      <c r="F3865" s="8" t="str">
        <f aca="false">IF(E3865&gt;=9,"Promoter",IF(E3865&gt;=7,"Passive","Detractor"))</f>
        <v>Detractor</v>
      </c>
    </row>
    <row r="3866" customFormat="false" ht="15" hidden="false" customHeight="false" outlineLevel="0" collapsed="false">
      <c r="A3866" s="8" t="s">
        <v>8502</v>
      </c>
      <c r="B3866" s="8" t="s">
        <v>713</v>
      </c>
      <c r="C3866" s="8" t="s">
        <v>53</v>
      </c>
      <c r="D3866" s="32" t="n">
        <v>46277</v>
      </c>
      <c r="E3866" s="8" t="n">
        <v>4</v>
      </c>
      <c r="F3866" s="8" t="str">
        <f aca="false">IF(E3866&gt;=9,"Promoter",IF(E3866&gt;=7,"Passive","Detractor"))</f>
        <v>Detractor</v>
      </c>
    </row>
    <row r="3867" customFormat="false" ht="15" hidden="false" customHeight="false" outlineLevel="0" collapsed="false">
      <c r="A3867" s="8" t="s">
        <v>8503</v>
      </c>
      <c r="B3867" s="8" t="s">
        <v>4094</v>
      </c>
      <c r="C3867" s="8" t="s">
        <v>51</v>
      </c>
      <c r="D3867" s="32" t="n">
        <v>46277</v>
      </c>
      <c r="E3867" s="8" t="n">
        <v>5</v>
      </c>
      <c r="F3867" s="8" t="str">
        <f aca="false">IF(E3867&gt;=9,"Promoter",IF(E3867&gt;=7,"Passive","Detractor"))</f>
        <v>Detractor</v>
      </c>
    </row>
    <row r="3868" customFormat="false" ht="15" hidden="false" customHeight="false" outlineLevel="0" collapsed="false">
      <c r="A3868" s="8" t="s">
        <v>8504</v>
      </c>
      <c r="B3868" s="8" t="s">
        <v>4096</v>
      </c>
      <c r="C3868" s="8" t="s">
        <v>51</v>
      </c>
      <c r="D3868" s="32" t="n">
        <v>46277</v>
      </c>
      <c r="E3868" s="8" t="n">
        <v>8</v>
      </c>
      <c r="F3868" s="8" t="str">
        <f aca="false">IF(E3868&gt;=9,"Promoter",IF(E3868&gt;=7,"Passive","Detractor"))</f>
        <v>Passive</v>
      </c>
    </row>
    <row r="3869" customFormat="false" ht="15" hidden="false" customHeight="false" outlineLevel="0" collapsed="false">
      <c r="A3869" s="8" t="s">
        <v>8505</v>
      </c>
      <c r="B3869" s="8" t="s">
        <v>985</v>
      </c>
      <c r="C3869" s="8" t="s">
        <v>53</v>
      </c>
      <c r="D3869" s="32" t="n">
        <v>46277</v>
      </c>
      <c r="E3869" s="8" t="n">
        <v>6</v>
      </c>
      <c r="F3869" s="8" t="str">
        <f aca="false">IF(E3869&gt;=9,"Promoter",IF(E3869&gt;=7,"Passive","Detractor"))</f>
        <v>Detractor</v>
      </c>
    </row>
    <row r="3870" customFormat="false" ht="15" hidden="false" customHeight="false" outlineLevel="0" collapsed="false">
      <c r="A3870" s="8" t="s">
        <v>8506</v>
      </c>
      <c r="B3870" s="8" t="s">
        <v>270</v>
      </c>
      <c r="C3870" s="8" t="s">
        <v>55</v>
      </c>
      <c r="D3870" s="32" t="n">
        <v>46277</v>
      </c>
      <c r="E3870" s="8" t="n">
        <v>9</v>
      </c>
      <c r="F3870" s="8" t="str">
        <f aca="false">IF(E3870&gt;=9,"Promoter",IF(E3870&gt;=7,"Passive","Detractor"))</f>
        <v>Promoter</v>
      </c>
    </row>
    <row r="3871" customFormat="false" ht="15" hidden="false" customHeight="false" outlineLevel="0" collapsed="false">
      <c r="A3871" s="8" t="s">
        <v>8507</v>
      </c>
      <c r="B3871" s="8" t="s">
        <v>3754</v>
      </c>
      <c r="C3871" s="8" t="s">
        <v>51</v>
      </c>
      <c r="D3871" s="32" t="n">
        <v>46277</v>
      </c>
      <c r="E3871" s="8" t="n">
        <v>7</v>
      </c>
      <c r="F3871" s="8" t="str">
        <f aca="false">IF(E3871&gt;=9,"Promoter",IF(E3871&gt;=7,"Passive","Detractor"))</f>
        <v>Passive</v>
      </c>
    </row>
    <row r="3872" customFormat="false" ht="15" hidden="false" customHeight="false" outlineLevel="0" collapsed="false">
      <c r="A3872" s="8" t="s">
        <v>8508</v>
      </c>
      <c r="B3872" s="8" t="s">
        <v>3170</v>
      </c>
      <c r="C3872" s="8" t="s">
        <v>51</v>
      </c>
      <c r="D3872" s="32" t="n">
        <v>46277</v>
      </c>
      <c r="E3872" s="8" t="n">
        <v>8</v>
      </c>
      <c r="F3872" s="8" t="str">
        <f aca="false">IF(E3872&gt;=9,"Promoter",IF(E3872&gt;=7,"Passive","Detractor"))</f>
        <v>Passive</v>
      </c>
    </row>
    <row r="3873" customFormat="false" ht="15" hidden="false" customHeight="false" outlineLevel="0" collapsed="false">
      <c r="A3873" s="8" t="s">
        <v>8509</v>
      </c>
      <c r="B3873" s="8" t="s">
        <v>3936</v>
      </c>
      <c r="C3873" s="8" t="s">
        <v>51</v>
      </c>
      <c r="D3873" s="32" t="n">
        <v>46277</v>
      </c>
      <c r="E3873" s="8" t="n">
        <v>9</v>
      </c>
      <c r="F3873" s="8" t="str">
        <f aca="false">IF(E3873&gt;=9,"Promoter",IF(E3873&gt;=7,"Passive","Detractor"))</f>
        <v>Promoter</v>
      </c>
    </row>
    <row r="3874" customFormat="false" ht="15" hidden="false" customHeight="false" outlineLevel="0" collapsed="false">
      <c r="A3874" s="8" t="s">
        <v>8510</v>
      </c>
      <c r="B3874" s="8" t="s">
        <v>3942</v>
      </c>
      <c r="C3874" s="8" t="s">
        <v>51</v>
      </c>
      <c r="D3874" s="32" t="n">
        <v>46277</v>
      </c>
      <c r="E3874" s="8" t="n">
        <v>9</v>
      </c>
      <c r="F3874" s="8" t="str">
        <f aca="false">IF(E3874&gt;=9,"Promoter",IF(E3874&gt;=7,"Passive","Detractor"))</f>
        <v>Promoter</v>
      </c>
    </row>
    <row r="3875" customFormat="false" ht="15" hidden="false" customHeight="false" outlineLevel="0" collapsed="false">
      <c r="A3875" s="8" t="s">
        <v>8511</v>
      </c>
      <c r="B3875" s="8" t="s">
        <v>4380</v>
      </c>
      <c r="C3875" s="8" t="s">
        <v>51</v>
      </c>
      <c r="D3875" s="32" t="n">
        <v>46277</v>
      </c>
      <c r="E3875" s="8" t="n">
        <v>8</v>
      </c>
      <c r="F3875" s="8" t="str">
        <f aca="false">IF(E3875&gt;=9,"Promoter",IF(E3875&gt;=7,"Passive","Detractor"))</f>
        <v>Passive</v>
      </c>
    </row>
    <row r="3876" customFormat="false" ht="15" hidden="false" customHeight="false" outlineLevel="0" collapsed="false">
      <c r="A3876" s="8" t="s">
        <v>8512</v>
      </c>
      <c r="B3876" s="8" t="s">
        <v>1071</v>
      </c>
      <c r="C3876" s="8" t="s">
        <v>53</v>
      </c>
      <c r="D3876" s="32" t="n">
        <v>46278</v>
      </c>
      <c r="E3876" s="8" t="n">
        <v>7</v>
      </c>
      <c r="F3876" s="8" t="str">
        <f aca="false">IF(E3876&gt;=9,"Promoter",IF(E3876&gt;=7,"Passive","Detractor"))</f>
        <v>Passive</v>
      </c>
    </row>
    <row r="3877" customFormat="false" ht="15" hidden="false" customHeight="false" outlineLevel="0" collapsed="false">
      <c r="A3877" s="8" t="s">
        <v>8513</v>
      </c>
      <c r="B3877" s="8" t="s">
        <v>1849</v>
      </c>
      <c r="C3877" s="8" t="s">
        <v>51</v>
      </c>
      <c r="D3877" s="32" t="n">
        <v>46278</v>
      </c>
      <c r="E3877" s="8" t="n">
        <v>10</v>
      </c>
      <c r="F3877" s="8" t="str">
        <f aca="false">IF(E3877&gt;=9,"Promoter",IF(E3877&gt;=7,"Passive","Detractor"))</f>
        <v>Promoter</v>
      </c>
    </row>
    <row r="3878" customFormat="false" ht="15" hidden="false" customHeight="false" outlineLevel="0" collapsed="false">
      <c r="A3878" s="8" t="s">
        <v>8514</v>
      </c>
      <c r="B3878" s="8" t="s">
        <v>2594</v>
      </c>
      <c r="C3878" s="8" t="s">
        <v>51</v>
      </c>
      <c r="D3878" s="32" t="n">
        <v>46278</v>
      </c>
      <c r="E3878" s="8" t="n">
        <v>8</v>
      </c>
      <c r="F3878" s="8" t="str">
        <f aca="false">IF(E3878&gt;=9,"Promoter",IF(E3878&gt;=7,"Passive","Detractor"))</f>
        <v>Passive</v>
      </c>
    </row>
    <row r="3879" customFormat="false" ht="15" hidden="false" customHeight="false" outlineLevel="0" collapsed="false">
      <c r="A3879" s="8" t="s">
        <v>8515</v>
      </c>
      <c r="B3879" s="8" t="s">
        <v>883</v>
      </c>
      <c r="C3879" s="8" t="s">
        <v>55</v>
      </c>
      <c r="D3879" s="32" t="n">
        <v>46278</v>
      </c>
      <c r="E3879" s="8" t="n">
        <v>10</v>
      </c>
      <c r="F3879" s="8" t="str">
        <f aca="false">IF(E3879&gt;=9,"Promoter",IF(E3879&gt;=7,"Passive","Detractor"))</f>
        <v>Promoter</v>
      </c>
    </row>
    <row r="3880" customFormat="false" ht="15" hidden="false" customHeight="false" outlineLevel="0" collapsed="false">
      <c r="A3880" s="8" t="s">
        <v>8516</v>
      </c>
      <c r="B3880" s="8" t="s">
        <v>497</v>
      </c>
      <c r="C3880" s="8" t="s">
        <v>55</v>
      </c>
      <c r="D3880" s="32" t="n">
        <v>46278</v>
      </c>
      <c r="E3880" s="8" t="n">
        <v>8</v>
      </c>
      <c r="F3880" s="8" t="str">
        <f aca="false">IF(E3880&gt;=9,"Promoter",IF(E3880&gt;=7,"Passive","Detractor"))</f>
        <v>Passive</v>
      </c>
    </row>
    <row r="3881" customFormat="false" ht="15" hidden="false" customHeight="false" outlineLevel="0" collapsed="false">
      <c r="A3881" s="8" t="s">
        <v>8517</v>
      </c>
      <c r="B3881" s="8" t="s">
        <v>651</v>
      </c>
      <c r="C3881" s="8" t="s">
        <v>53</v>
      </c>
      <c r="D3881" s="32" t="n">
        <v>46278</v>
      </c>
      <c r="E3881" s="8" t="n">
        <v>8</v>
      </c>
      <c r="F3881" s="8" t="str">
        <f aca="false">IF(E3881&gt;=9,"Promoter",IF(E3881&gt;=7,"Passive","Detractor"))</f>
        <v>Passive</v>
      </c>
    </row>
    <row r="3882" customFormat="false" ht="15" hidden="false" customHeight="false" outlineLevel="0" collapsed="false">
      <c r="A3882" s="8" t="s">
        <v>8518</v>
      </c>
      <c r="B3882" s="8" t="s">
        <v>1485</v>
      </c>
      <c r="C3882" s="8" t="s">
        <v>53</v>
      </c>
      <c r="D3882" s="32" t="n">
        <v>46278</v>
      </c>
      <c r="E3882" s="8" t="n">
        <v>10</v>
      </c>
      <c r="F3882" s="8" t="str">
        <f aca="false">IF(E3882&gt;=9,"Promoter",IF(E3882&gt;=7,"Passive","Detractor"))</f>
        <v>Promoter</v>
      </c>
    </row>
    <row r="3883" customFormat="false" ht="15" hidden="false" customHeight="false" outlineLevel="0" collapsed="false">
      <c r="A3883" s="8" t="s">
        <v>8519</v>
      </c>
      <c r="B3883" s="8" t="s">
        <v>1905</v>
      </c>
      <c r="C3883" s="8" t="s">
        <v>51</v>
      </c>
      <c r="D3883" s="32" t="n">
        <v>46278</v>
      </c>
      <c r="E3883" s="8" t="n">
        <v>10</v>
      </c>
      <c r="F3883" s="8" t="str">
        <f aca="false">IF(E3883&gt;=9,"Promoter",IF(E3883&gt;=7,"Passive","Detractor"))</f>
        <v>Promoter</v>
      </c>
    </row>
    <row r="3884" customFormat="false" ht="15" hidden="false" customHeight="false" outlineLevel="0" collapsed="false">
      <c r="A3884" s="8" t="s">
        <v>8520</v>
      </c>
      <c r="B3884" s="8" t="s">
        <v>2654</v>
      </c>
      <c r="C3884" s="8" t="s">
        <v>51</v>
      </c>
      <c r="D3884" s="32" t="n">
        <v>46278</v>
      </c>
      <c r="E3884" s="8" t="n">
        <v>5</v>
      </c>
      <c r="F3884" s="8" t="str">
        <f aca="false">IF(E3884&gt;=9,"Promoter",IF(E3884&gt;=7,"Passive","Detractor"))</f>
        <v>Detractor</v>
      </c>
    </row>
    <row r="3885" customFormat="false" ht="15" hidden="false" customHeight="false" outlineLevel="0" collapsed="false">
      <c r="A3885" s="8" t="s">
        <v>8521</v>
      </c>
      <c r="B3885" s="8" t="s">
        <v>1293</v>
      </c>
      <c r="C3885" s="8" t="s">
        <v>53</v>
      </c>
      <c r="D3885" s="32" t="n">
        <v>46278</v>
      </c>
      <c r="E3885" s="8" t="n">
        <v>8</v>
      </c>
      <c r="F3885" s="8" t="str">
        <f aca="false">IF(E3885&gt;=9,"Promoter",IF(E3885&gt;=7,"Passive","Detractor"))</f>
        <v>Passive</v>
      </c>
    </row>
    <row r="3886" customFormat="false" ht="15" hidden="false" customHeight="false" outlineLevel="0" collapsed="false">
      <c r="A3886" s="8" t="s">
        <v>8522</v>
      </c>
      <c r="B3886" s="8" t="s">
        <v>1929</v>
      </c>
      <c r="C3886" s="8" t="s">
        <v>51</v>
      </c>
      <c r="D3886" s="32" t="n">
        <v>46278</v>
      </c>
      <c r="E3886" s="8" t="n">
        <v>10</v>
      </c>
      <c r="F3886" s="8" t="str">
        <f aca="false">IF(E3886&gt;=9,"Promoter",IF(E3886&gt;=7,"Passive","Detractor"))</f>
        <v>Promoter</v>
      </c>
    </row>
    <row r="3887" customFormat="false" ht="15" hidden="false" customHeight="false" outlineLevel="0" collapsed="false">
      <c r="A3887" s="8" t="s">
        <v>8523</v>
      </c>
      <c r="B3887" s="8" t="s">
        <v>3436</v>
      </c>
      <c r="C3887" s="8" t="s">
        <v>51</v>
      </c>
      <c r="D3887" s="32" t="n">
        <v>46278</v>
      </c>
      <c r="E3887" s="8" t="n">
        <v>4</v>
      </c>
      <c r="F3887" s="8" t="str">
        <f aca="false">IF(E3887&gt;=9,"Promoter",IF(E3887&gt;=7,"Passive","Detractor"))</f>
        <v>Detractor</v>
      </c>
    </row>
    <row r="3888" customFormat="false" ht="15" hidden="false" customHeight="false" outlineLevel="0" collapsed="false">
      <c r="A3888" s="8" t="s">
        <v>8524</v>
      </c>
      <c r="B3888" s="8" t="s">
        <v>1397</v>
      </c>
      <c r="C3888" s="8" t="s">
        <v>53</v>
      </c>
      <c r="D3888" s="32" t="n">
        <v>46278</v>
      </c>
      <c r="E3888" s="8" t="n">
        <v>8</v>
      </c>
      <c r="F3888" s="8" t="str">
        <f aca="false">IF(E3888&gt;=9,"Promoter",IF(E3888&gt;=7,"Passive","Detractor"))</f>
        <v>Passive</v>
      </c>
    </row>
    <row r="3889" customFormat="false" ht="15" hidden="false" customHeight="false" outlineLevel="0" collapsed="false">
      <c r="A3889" s="8" t="s">
        <v>8525</v>
      </c>
      <c r="B3889" s="8" t="s">
        <v>2816</v>
      </c>
      <c r="C3889" s="8" t="s">
        <v>51</v>
      </c>
      <c r="D3889" s="32" t="n">
        <v>46279</v>
      </c>
      <c r="E3889" s="8" t="n">
        <v>8</v>
      </c>
      <c r="F3889" s="8" t="str">
        <f aca="false">IF(E3889&gt;=9,"Promoter",IF(E3889&gt;=7,"Passive","Detractor"))</f>
        <v>Passive</v>
      </c>
    </row>
    <row r="3890" customFormat="false" ht="15" hidden="false" customHeight="false" outlineLevel="0" collapsed="false">
      <c r="A3890" s="8" t="s">
        <v>8526</v>
      </c>
      <c r="B3890" s="8" t="s">
        <v>1901</v>
      </c>
      <c r="C3890" s="8" t="s">
        <v>51</v>
      </c>
      <c r="D3890" s="32" t="n">
        <v>46279</v>
      </c>
      <c r="E3890" s="8" t="n">
        <v>8</v>
      </c>
      <c r="F3890" s="8" t="str">
        <f aca="false">IF(E3890&gt;=9,"Promoter",IF(E3890&gt;=7,"Passive","Detractor"))</f>
        <v>Passive</v>
      </c>
    </row>
    <row r="3891" customFormat="false" ht="15" hidden="false" customHeight="false" outlineLevel="0" collapsed="false">
      <c r="A3891" s="8" t="s">
        <v>8527</v>
      </c>
      <c r="B3891" s="8" t="s">
        <v>577</v>
      </c>
      <c r="C3891" s="8" t="s">
        <v>53</v>
      </c>
      <c r="D3891" s="32" t="n">
        <v>46279</v>
      </c>
      <c r="E3891" s="8" t="n">
        <v>9</v>
      </c>
      <c r="F3891" s="8" t="str">
        <f aca="false">IF(E3891&gt;=9,"Promoter",IF(E3891&gt;=7,"Passive","Detractor"))</f>
        <v>Promoter</v>
      </c>
    </row>
    <row r="3892" customFormat="false" ht="15" hidden="false" customHeight="false" outlineLevel="0" collapsed="false">
      <c r="A3892" s="8" t="s">
        <v>8528</v>
      </c>
      <c r="B3892" s="8" t="s">
        <v>3608</v>
      </c>
      <c r="C3892" s="8" t="s">
        <v>51</v>
      </c>
      <c r="D3892" s="32" t="n">
        <v>46279</v>
      </c>
      <c r="E3892" s="8" t="n">
        <v>8</v>
      </c>
      <c r="F3892" s="8" t="str">
        <f aca="false">IF(E3892&gt;=9,"Promoter",IF(E3892&gt;=7,"Passive","Detractor"))</f>
        <v>Passive</v>
      </c>
    </row>
    <row r="3893" customFormat="false" ht="15" hidden="false" customHeight="false" outlineLevel="0" collapsed="false">
      <c r="A3893" s="8" t="s">
        <v>8529</v>
      </c>
      <c r="B3893" s="8" t="s">
        <v>207</v>
      </c>
      <c r="C3893" s="8" t="s">
        <v>55</v>
      </c>
      <c r="D3893" s="32" t="n">
        <v>46279</v>
      </c>
      <c r="E3893" s="8" t="n">
        <v>9</v>
      </c>
      <c r="F3893" s="8" t="str">
        <f aca="false">IF(E3893&gt;=9,"Promoter",IF(E3893&gt;=7,"Passive","Detractor"))</f>
        <v>Promoter</v>
      </c>
    </row>
    <row r="3894" customFormat="false" ht="15" hidden="false" customHeight="false" outlineLevel="0" collapsed="false">
      <c r="A3894" s="8" t="s">
        <v>8530</v>
      </c>
      <c r="B3894" s="8" t="s">
        <v>3120</v>
      </c>
      <c r="C3894" s="8" t="s">
        <v>51</v>
      </c>
      <c r="D3894" s="32" t="n">
        <v>46279</v>
      </c>
      <c r="E3894" s="8" t="n">
        <v>9</v>
      </c>
      <c r="F3894" s="8" t="str">
        <f aca="false">IF(E3894&gt;=9,"Promoter",IF(E3894&gt;=7,"Passive","Detractor"))</f>
        <v>Promoter</v>
      </c>
    </row>
    <row r="3895" customFormat="false" ht="15" hidden="false" customHeight="false" outlineLevel="0" collapsed="false">
      <c r="A3895" s="8" t="s">
        <v>8531</v>
      </c>
      <c r="B3895" s="8" t="s">
        <v>2618</v>
      </c>
      <c r="C3895" s="8" t="s">
        <v>51</v>
      </c>
      <c r="D3895" s="32" t="n">
        <v>46279</v>
      </c>
      <c r="E3895" s="8" t="n">
        <v>10</v>
      </c>
      <c r="F3895" s="8" t="str">
        <f aca="false">IF(E3895&gt;=9,"Promoter",IF(E3895&gt;=7,"Passive","Detractor"))</f>
        <v>Promoter</v>
      </c>
    </row>
    <row r="3896" customFormat="false" ht="15" hidden="false" customHeight="false" outlineLevel="0" collapsed="false">
      <c r="A3896" s="8" t="s">
        <v>8532</v>
      </c>
      <c r="B3896" s="8" t="s">
        <v>2726</v>
      </c>
      <c r="C3896" s="8" t="s">
        <v>51</v>
      </c>
      <c r="D3896" s="32" t="n">
        <v>46279</v>
      </c>
      <c r="E3896" s="8" t="n">
        <v>8</v>
      </c>
      <c r="F3896" s="8" t="str">
        <f aca="false">IF(E3896&gt;=9,"Promoter",IF(E3896&gt;=7,"Passive","Detractor"))</f>
        <v>Passive</v>
      </c>
    </row>
    <row r="3897" customFormat="false" ht="15" hidden="false" customHeight="false" outlineLevel="0" collapsed="false">
      <c r="A3897" s="8" t="s">
        <v>8533</v>
      </c>
      <c r="B3897" s="8" t="s">
        <v>1025</v>
      </c>
      <c r="C3897" s="8" t="s">
        <v>53</v>
      </c>
      <c r="D3897" s="32" t="n">
        <v>46280</v>
      </c>
      <c r="E3897" s="8" t="n">
        <v>7</v>
      </c>
      <c r="F3897" s="8" t="str">
        <f aca="false">IF(E3897&gt;=9,"Promoter",IF(E3897&gt;=7,"Passive","Detractor"))</f>
        <v>Passive</v>
      </c>
    </row>
    <row r="3898" customFormat="false" ht="15" hidden="false" customHeight="false" outlineLevel="0" collapsed="false">
      <c r="A3898" s="8" t="s">
        <v>8534</v>
      </c>
      <c r="B3898" s="8" t="s">
        <v>3588</v>
      </c>
      <c r="C3898" s="8" t="s">
        <v>51</v>
      </c>
      <c r="D3898" s="32" t="n">
        <v>46280</v>
      </c>
      <c r="E3898" s="8" t="n">
        <v>7</v>
      </c>
      <c r="F3898" s="8" t="str">
        <f aca="false">IF(E3898&gt;=9,"Promoter",IF(E3898&gt;=7,"Passive","Detractor"))</f>
        <v>Passive</v>
      </c>
    </row>
    <row r="3899" customFormat="false" ht="15" hidden="false" customHeight="false" outlineLevel="0" collapsed="false">
      <c r="A3899" s="8" t="s">
        <v>8535</v>
      </c>
      <c r="B3899" s="8" t="s">
        <v>343</v>
      </c>
      <c r="C3899" s="8" t="s">
        <v>55</v>
      </c>
      <c r="D3899" s="32" t="n">
        <v>46280</v>
      </c>
      <c r="E3899" s="8" t="n">
        <v>8</v>
      </c>
      <c r="F3899" s="8" t="str">
        <f aca="false">IF(E3899&gt;=9,"Promoter",IF(E3899&gt;=7,"Passive","Detractor"))</f>
        <v>Passive</v>
      </c>
    </row>
    <row r="3900" customFormat="false" ht="15" hidden="false" customHeight="false" outlineLevel="0" collapsed="false">
      <c r="A3900" s="8" t="s">
        <v>8536</v>
      </c>
      <c r="B3900" s="8" t="s">
        <v>3470</v>
      </c>
      <c r="C3900" s="8" t="s">
        <v>51</v>
      </c>
      <c r="D3900" s="32" t="n">
        <v>46280</v>
      </c>
      <c r="E3900" s="8" t="n">
        <v>10</v>
      </c>
      <c r="F3900" s="8" t="str">
        <f aca="false">IF(E3900&gt;=9,"Promoter",IF(E3900&gt;=7,"Passive","Detractor"))</f>
        <v>Promoter</v>
      </c>
    </row>
    <row r="3901" customFormat="false" ht="15" hidden="false" customHeight="false" outlineLevel="0" collapsed="false">
      <c r="A3901" s="8" t="s">
        <v>8537</v>
      </c>
      <c r="B3901" s="8" t="s">
        <v>4354</v>
      </c>
      <c r="C3901" s="8" t="s">
        <v>51</v>
      </c>
      <c r="D3901" s="32" t="n">
        <v>46280</v>
      </c>
      <c r="E3901" s="8" t="n">
        <v>9</v>
      </c>
      <c r="F3901" s="8" t="str">
        <f aca="false">IF(E3901&gt;=9,"Promoter",IF(E3901&gt;=7,"Passive","Detractor"))</f>
        <v>Promoter</v>
      </c>
    </row>
    <row r="3902" customFormat="false" ht="15" hidden="false" customHeight="false" outlineLevel="0" collapsed="false">
      <c r="A3902" s="8" t="s">
        <v>8538</v>
      </c>
      <c r="B3902" s="8" t="s">
        <v>801</v>
      </c>
      <c r="C3902" s="8" t="s">
        <v>53</v>
      </c>
      <c r="D3902" s="32" t="n">
        <v>46280</v>
      </c>
      <c r="E3902" s="8" t="n">
        <v>8</v>
      </c>
      <c r="F3902" s="8" t="str">
        <f aca="false">IF(E3902&gt;=9,"Promoter",IF(E3902&gt;=7,"Passive","Detractor"))</f>
        <v>Passive</v>
      </c>
    </row>
    <row r="3903" customFormat="false" ht="15" hidden="false" customHeight="false" outlineLevel="0" collapsed="false">
      <c r="A3903" s="8" t="s">
        <v>8539</v>
      </c>
      <c r="B3903" s="8" t="s">
        <v>2410</v>
      </c>
      <c r="C3903" s="8" t="s">
        <v>51</v>
      </c>
      <c r="D3903" s="32" t="n">
        <v>46280</v>
      </c>
      <c r="E3903" s="8" t="n">
        <v>5</v>
      </c>
      <c r="F3903" s="8" t="str">
        <f aca="false">IF(E3903&gt;=9,"Promoter",IF(E3903&gt;=7,"Passive","Detractor"))</f>
        <v>Detractor</v>
      </c>
    </row>
    <row r="3904" customFormat="false" ht="15" hidden="false" customHeight="false" outlineLevel="0" collapsed="false">
      <c r="A3904" s="8" t="s">
        <v>8540</v>
      </c>
      <c r="B3904" s="8" t="s">
        <v>899</v>
      </c>
      <c r="C3904" s="8" t="s">
        <v>53</v>
      </c>
      <c r="D3904" s="32" t="n">
        <v>46280</v>
      </c>
      <c r="E3904" s="8" t="n">
        <v>10</v>
      </c>
      <c r="F3904" s="8" t="str">
        <f aca="false">IF(E3904&gt;=9,"Promoter",IF(E3904&gt;=7,"Passive","Detractor"))</f>
        <v>Promoter</v>
      </c>
    </row>
    <row r="3905" customFormat="false" ht="15" hidden="false" customHeight="false" outlineLevel="0" collapsed="false">
      <c r="A3905" s="8" t="s">
        <v>8541</v>
      </c>
      <c r="B3905" s="8" t="s">
        <v>4134</v>
      </c>
      <c r="C3905" s="8" t="s">
        <v>51</v>
      </c>
      <c r="D3905" s="32" t="n">
        <v>46280</v>
      </c>
      <c r="E3905" s="8" t="n">
        <v>8</v>
      </c>
      <c r="F3905" s="8" t="str">
        <f aca="false">IF(E3905&gt;=9,"Promoter",IF(E3905&gt;=7,"Passive","Detractor"))</f>
        <v>Passive</v>
      </c>
    </row>
    <row r="3906" customFormat="false" ht="15" hidden="false" customHeight="false" outlineLevel="0" collapsed="false">
      <c r="A3906" s="8" t="s">
        <v>8542</v>
      </c>
      <c r="B3906" s="8" t="s">
        <v>2304</v>
      </c>
      <c r="C3906" s="8" t="s">
        <v>51</v>
      </c>
      <c r="D3906" s="32" t="n">
        <v>46280</v>
      </c>
      <c r="E3906" s="8" t="n">
        <v>9</v>
      </c>
      <c r="F3906" s="8" t="str">
        <f aca="false">IF(E3906&gt;=9,"Promoter",IF(E3906&gt;=7,"Passive","Detractor"))</f>
        <v>Promoter</v>
      </c>
    </row>
    <row r="3907" customFormat="false" ht="15" hidden="false" customHeight="false" outlineLevel="0" collapsed="false">
      <c r="A3907" s="8" t="s">
        <v>8543</v>
      </c>
      <c r="B3907" s="8" t="s">
        <v>615</v>
      </c>
      <c r="C3907" s="8" t="s">
        <v>53</v>
      </c>
      <c r="D3907" s="32" t="n">
        <v>46281</v>
      </c>
      <c r="E3907" s="8" t="n">
        <v>9</v>
      </c>
      <c r="F3907" s="8" t="str">
        <f aca="false">IF(E3907&gt;=9,"Promoter",IF(E3907&gt;=7,"Passive","Detractor"))</f>
        <v>Promoter</v>
      </c>
    </row>
    <row r="3908" customFormat="false" ht="15" hidden="false" customHeight="false" outlineLevel="0" collapsed="false">
      <c r="A3908" s="8" t="s">
        <v>8544</v>
      </c>
      <c r="B3908" s="8" t="s">
        <v>1179</v>
      </c>
      <c r="C3908" s="8" t="s">
        <v>53</v>
      </c>
      <c r="D3908" s="32" t="n">
        <v>46281</v>
      </c>
      <c r="E3908" s="8" t="n">
        <v>9</v>
      </c>
      <c r="F3908" s="8" t="str">
        <f aca="false">IF(E3908&gt;=9,"Promoter",IF(E3908&gt;=7,"Passive","Detractor"))</f>
        <v>Promoter</v>
      </c>
    </row>
    <row r="3909" customFormat="false" ht="15" hidden="false" customHeight="false" outlineLevel="0" collapsed="false">
      <c r="A3909" s="8" t="s">
        <v>8545</v>
      </c>
      <c r="B3909" s="8" t="s">
        <v>567</v>
      </c>
      <c r="C3909" s="8" t="s">
        <v>55</v>
      </c>
      <c r="D3909" s="32" t="n">
        <v>46281</v>
      </c>
      <c r="E3909" s="8" t="n">
        <v>5</v>
      </c>
      <c r="F3909" s="8" t="str">
        <f aca="false">IF(E3909&gt;=9,"Promoter",IF(E3909&gt;=7,"Passive","Detractor"))</f>
        <v>Detractor</v>
      </c>
    </row>
    <row r="3910" customFormat="false" ht="15" hidden="false" customHeight="false" outlineLevel="0" collapsed="false">
      <c r="A3910" s="8" t="s">
        <v>8546</v>
      </c>
      <c r="B3910" s="8" t="s">
        <v>3702</v>
      </c>
      <c r="C3910" s="8" t="s">
        <v>51</v>
      </c>
      <c r="D3910" s="32" t="n">
        <v>46281</v>
      </c>
      <c r="E3910" s="8" t="n">
        <v>6</v>
      </c>
      <c r="F3910" s="8" t="str">
        <f aca="false">IF(E3910&gt;=9,"Promoter",IF(E3910&gt;=7,"Passive","Detractor"))</f>
        <v>Detractor</v>
      </c>
    </row>
    <row r="3911" customFormat="false" ht="15" hidden="false" customHeight="false" outlineLevel="0" collapsed="false">
      <c r="A3911" s="8" t="s">
        <v>8547</v>
      </c>
      <c r="B3911" s="8" t="s">
        <v>3708</v>
      </c>
      <c r="C3911" s="8" t="s">
        <v>51</v>
      </c>
      <c r="D3911" s="32" t="n">
        <v>46281</v>
      </c>
      <c r="E3911" s="8" t="n">
        <v>8</v>
      </c>
      <c r="F3911" s="8" t="str">
        <f aca="false">IF(E3911&gt;=9,"Promoter",IF(E3911&gt;=7,"Passive","Detractor"))</f>
        <v>Passive</v>
      </c>
    </row>
    <row r="3912" customFormat="false" ht="15" hidden="false" customHeight="false" outlineLevel="0" collapsed="false">
      <c r="A3912" s="8" t="s">
        <v>8548</v>
      </c>
      <c r="B3912" s="8" t="s">
        <v>3162</v>
      </c>
      <c r="C3912" s="8" t="s">
        <v>51</v>
      </c>
      <c r="D3912" s="32" t="n">
        <v>46281</v>
      </c>
      <c r="E3912" s="8" t="n">
        <v>9</v>
      </c>
      <c r="F3912" s="8" t="str">
        <f aca="false">IF(E3912&gt;=9,"Promoter",IF(E3912&gt;=7,"Passive","Detractor"))</f>
        <v>Promoter</v>
      </c>
    </row>
    <row r="3913" customFormat="false" ht="15" hidden="false" customHeight="false" outlineLevel="0" collapsed="false">
      <c r="A3913" s="8" t="s">
        <v>8549</v>
      </c>
      <c r="B3913" s="8" t="s">
        <v>1985</v>
      </c>
      <c r="C3913" s="8" t="s">
        <v>51</v>
      </c>
      <c r="D3913" s="32" t="n">
        <v>46281</v>
      </c>
      <c r="E3913" s="8" t="n">
        <v>10</v>
      </c>
      <c r="F3913" s="8" t="str">
        <f aca="false">IF(E3913&gt;=9,"Promoter",IF(E3913&gt;=7,"Passive","Detractor"))</f>
        <v>Promoter</v>
      </c>
    </row>
    <row r="3914" customFormat="false" ht="15" hidden="false" customHeight="false" outlineLevel="0" collapsed="false">
      <c r="A3914" s="8" t="s">
        <v>8550</v>
      </c>
      <c r="B3914" s="8" t="s">
        <v>3576</v>
      </c>
      <c r="C3914" s="8" t="s">
        <v>51</v>
      </c>
      <c r="D3914" s="32" t="n">
        <v>46281</v>
      </c>
      <c r="E3914" s="8" t="n">
        <v>9</v>
      </c>
      <c r="F3914" s="8" t="str">
        <f aca="false">IF(E3914&gt;=9,"Promoter",IF(E3914&gt;=7,"Passive","Detractor"))</f>
        <v>Promoter</v>
      </c>
    </row>
    <row r="3915" customFormat="false" ht="15" hidden="false" customHeight="false" outlineLevel="0" collapsed="false">
      <c r="A3915" s="8" t="s">
        <v>8551</v>
      </c>
      <c r="B3915" s="8" t="s">
        <v>633</v>
      </c>
      <c r="C3915" s="8" t="s">
        <v>53</v>
      </c>
      <c r="D3915" s="32" t="n">
        <v>46281</v>
      </c>
      <c r="E3915" s="8" t="n">
        <v>9</v>
      </c>
      <c r="F3915" s="8" t="str">
        <f aca="false">IF(E3915&gt;=9,"Promoter",IF(E3915&gt;=7,"Passive","Detractor"))</f>
        <v>Promoter</v>
      </c>
    </row>
    <row r="3916" customFormat="false" ht="15" hidden="false" customHeight="false" outlineLevel="0" collapsed="false">
      <c r="A3916" s="8" t="s">
        <v>8552</v>
      </c>
      <c r="B3916" s="8" t="s">
        <v>205</v>
      </c>
      <c r="C3916" s="8" t="s">
        <v>55</v>
      </c>
      <c r="D3916" s="32" t="n">
        <v>46281</v>
      </c>
      <c r="E3916" s="8" t="n">
        <v>7</v>
      </c>
      <c r="F3916" s="8" t="str">
        <f aca="false">IF(E3916&gt;=9,"Promoter",IF(E3916&gt;=7,"Passive","Detractor"))</f>
        <v>Passive</v>
      </c>
    </row>
    <row r="3917" customFormat="false" ht="15" hidden="false" customHeight="false" outlineLevel="0" collapsed="false">
      <c r="A3917" s="8" t="s">
        <v>8553</v>
      </c>
      <c r="B3917" s="8" t="s">
        <v>2086</v>
      </c>
      <c r="C3917" s="8" t="s">
        <v>51</v>
      </c>
      <c r="D3917" s="32" t="n">
        <v>46281</v>
      </c>
      <c r="E3917" s="8" t="n">
        <v>5</v>
      </c>
      <c r="F3917" s="8" t="str">
        <f aca="false">IF(E3917&gt;=9,"Promoter",IF(E3917&gt;=7,"Passive","Detractor"))</f>
        <v>Detractor</v>
      </c>
    </row>
    <row r="3918" customFormat="false" ht="15" hidden="false" customHeight="false" outlineLevel="0" collapsed="false">
      <c r="A3918" s="8" t="s">
        <v>8554</v>
      </c>
      <c r="B3918" s="8" t="s">
        <v>1303</v>
      </c>
      <c r="C3918" s="8" t="s">
        <v>53</v>
      </c>
      <c r="D3918" s="32" t="n">
        <v>46282</v>
      </c>
      <c r="E3918" s="8" t="n">
        <v>7</v>
      </c>
      <c r="F3918" s="8" t="str">
        <f aca="false">IF(E3918&gt;=9,"Promoter",IF(E3918&gt;=7,"Passive","Detractor"))</f>
        <v>Passive</v>
      </c>
    </row>
    <row r="3919" customFormat="false" ht="15" hidden="false" customHeight="false" outlineLevel="0" collapsed="false">
      <c r="A3919" s="8" t="s">
        <v>8555</v>
      </c>
      <c r="B3919" s="8" t="s">
        <v>4150</v>
      </c>
      <c r="C3919" s="8" t="s">
        <v>51</v>
      </c>
      <c r="D3919" s="32" t="n">
        <v>46282</v>
      </c>
      <c r="E3919" s="8" t="n">
        <v>4</v>
      </c>
      <c r="F3919" s="8" t="str">
        <f aca="false">IF(E3919&gt;=9,"Promoter",IF(E3919&gt;=7,"Passive","Detractor"))</f>
        <v>Detractor</v>
      </c>
    </row>
    <row r="3920" customFormat="false" ht="15" hidden="false" customHeight="false" outlineLevel="0" collapsed="false">
      <c r="A3920" s="8" t="s">
        <v>8556</v>
      </c>
      <c r="B3920" s="8" t="s">
        <v>2009</v>
      </c>
      <c r="C3920" s="8" t="s">
        <v>51</v>
      </c>
      <c r="D3920" s="32" t="n">
        <v>46282</v>
      </c>
      <c r="E3920" s="8" t="n">
        <v>9</v>
      </c>
      <c r="F3920" s="8" t="str">
        <f aca="false">IF(E3920&gt;=9,"Promoter",IF(E3920&gt;=7,"Passive","Detractor"))</f>
        <v>Promoter</v>
      </c>
    </row>
    <row r="3921" customFormat="false" ht="15" hidden="false" customHeight="false" outlineLevel="0" collapsed="false">
      <c r="A3921" s="8" t="s">
        <v>8557</v>
      </c>
      <c r="B3921" s="8" t="s">
        <v>3810</v>
      </c>
      <c r="C3921" s="8" t="s">
        <v>51</v>
      </c>
      <c r="D3921" s="32" t="n">
        <v>46282</v>
      </c>
      <c r="E3921" s="8" t="n">
        <v>9</v>
      </c>
      <c r="F3921" s="8" t="str">
        <f aca="false">IF(E3921&gt;=9,"Promoter",IF(E3921&gt;=7,"Passive","Detractor"))</f>
        <v>Promoter</v>
      </c>
    </row>
    <row r="3922" customFormat="false" ht="15" hidden="false" customHeight="false" outlineLevel="0" collapsed="false">
      <c r="A3922" s="8" t="s">
        <v>8558</v>
      </c>
      <c r="B3922" s="8" t="s">
        <v>4038</v>
      </c>
      <c r="C3922" s="8" t="s">
        <v>51</v>
      </c>
      <c r="D3922" s="32" t="n">
        <v>46282</v>
      </c>
      <c r="E3922" s="8" t="n">
        <v>8</v>
      </c>
      <c r="F3922" s="8" t="str">
        <f aca="false">IF(E3922&gt;=9,"Promoter",IF(E3922&gt;=7,"Passive","Detractor"))</f>
        <v>Passive</v>
      </c>
    </row>
    <row r="3923" customFormat="false" ht="15" hidden="false" customHeight="false" outlineLevel="0" collapsed="false">
      <c r="A3923" s="8" t="s">
        <v>8559</v>
      </c>
      <c r="B3923" s="8" t="s">
        <v>3110</v>
      </c>
      <c r="C3923" s="8" t="s">
        <v>51</v>
      </c>
      <c r="D3923" s="32" t="n">
        <v>46282</v>
      </c>
      <c r="E3923" s="8" t="n">
        <v>9</v>
      </c>
      <c r="F3923" s="8" t="str">
        <f aca="false">IF(E3923&gt;=9,"Promoter",IF(E3923&gt;=7,"Passive","Detractor"))</f>
        <v>Promoter</v>
      </c>
    </row>
    <row r="3924" customFormat="false" ht="15" hidden="false" customHeight="false" outlineLevel="0" collapsed="false">
      <c r="A3924" s="8" t="s">
        <v>8560</v>
      </c>
      <c r="B3924" s="8" t="s">
        <v>1113</v>
      </c>
      <c r="C3924" s="8" t="s">
        <v>53</v>
      </c>
      <c r="D3924" s="32" t="n">
        <v>46282</v>
      </c>
      <c r="E3924" s="8" t="n">
        <v>10</v>
      </c>
      <c r="F3924" s="8" t="str">
        <f aca="false">IF(E3924&gt;=9,"Promoter",IF(E3924&gt;=7,"Passive","Detractor"))</f>
        <v>Promoter</v>
      </c>
    </row>
    <row r="3925" customFormat="false" ht="15" hidden="false" customHeight="false" outlineLevel="0" collapsed="false">
      <c r="A3925" s="8" t="s">
        <v>8561</v>
      </c>
      <c r="B3925" s="8" t="s">
        <v>467</v>
      </c>
      <c r="C3925" s="8" t="s">
        <v>55</v>
      </c>
      <c r="D3925" s="32" t="n">
        <v>46282</v>
      </c>
      <c r="E3925" s="8" t="n">
        <v>3</v>
      </c>
      <c r="F3925" s="8" t="str">
        <f aca="false">IF(E3925&gt;=9,"Promoter",IF(E3925&gt;=7,"Passive","Detractor"))</f>
        <v>Detractor</v>
      </c>
    </row>
    <row r="3926" customFormat="false" ht="15" hidden="false" customHeight="false" outlineLevel="0" collapsed="false">
      <c r="A3926" s="8" t="s">
        <v>8562</v>
      </c>
      <c r="B3926" s="8" t="s">
        <v>1253</v>
      </c>
      <c r="C3926" s="8" t="s">
        <v>53</v>
      </c>
      <c r="D3926" s="32" t="n">
        <v>46282</v>
      </c>
      <c r="E3926" s="8" t="n">
        <v>10</v>
      </c>
      <c r="F3926" s="8" t="str">
        <f aca="false">IF(E3926&gt;=9,"Promoter",IF(E3926&gt;=7,"Passive","Detractor"))</f>
        <v>Promoter</v>
      </c>
    </row>
    <row r="3927" customFormat="false" ht="15" hidden="false" customHeight="false" outlineLevel="0" collapsed="false">
      <c r="A3927" s="8" t="s">
        <v>8563</v>
      </c>
      <c r="B3927" s="8" t="s">
        <v>1883</v>
      </c>
      <c r="C3927" s="8" t="s">
        <v>51</v>
      </c>
      <c r="D3927" s="32" t="n">
        <v>46282</v>
      </c>
      <c r="E3927" s="8" t="n">
        <v>9</v>
      </c>
      <c r="F3927" s="8" t="str">
        <f aca="false">IF(E3927&gt;=9,"Promoter",IF(E3927&gt;=7,"Passive","Detractor"))</f>
        <v>Promoter</v>
      </c>
    </row>
    <row r="3928" customFormat="false" ht="15" hidden="false" customHeight="false" outlineLevel="0" collapsed="false">
      <c r="A3928" s="8" t="s">
        <v>8564</v>
      </c>
      <c r="B3928" s="8" t="s">
        <v>869</v>
      </c>
      <c r="C3928" s="8" t="s">
        <v>53</v>
      </c>
      <c r="D3928" s="32" t="n">
        <v>46282</v>
      </c>
      <c r="E3928" s="8" t="n">
        <v>8</v>
      </c>
      <c r="F3928" s="8" t="str">
        <f aca="false">IF(E3928&gt;=9,"Promoter",IF(E3928&gt;=7,"Passive","Detractor"))</f>
        <v>Passive</v>
      </c>
    </row>
    <row r="3929" customFormat="false" ht="15" hidden="false" customHeight="false" outlineLevel="0" collapsed="false">
      <c r="A3929" s="8" t="s">
        <v>8565</v>
      </c>
      <c r="B3929" s="8" t="s">
        <v>2150</v>
      </c>
      <c r="C3929" s="8" t="s">
        <v>51</v>
      </c>
      <c r="D3929" s="32" t="n">
        <v>46282</v>
      </c>
      <c r="E3929" s="8" t="n">
        <v>6</v>
      </c>
      <c r="F3929" s="8" t="str">
        <f aca="false">IF(E3929&gt;=9,"Promoter",IF(E3929&gt;=7,"Passive","Detractor"))</f>
        <v>Detractor</v>
      </c>
    </row>
    <row r="3930" customFormat="false" ht="15" hidden="false" customHeight="false" outlineLevel="0" collapsed="false">
      <c r="A3930" s="8" t="s">
        <v>8566</v>
      </c>
      <c r="B3930" s="8" t="s">
        <v>3948</v>
      </c>
      <c r="C3930" s="8" t="s">
        <v>51</v>
      </c>
      <c r="D3930" s="32" t="n">
        <v>46282</v>
      </c>
      <c r="E3930" s="8" t="n">
        <v>9</v>
      </c>
      <c r="F3930" s="8" t="str">
        <f aca="false">IF(E3930&gt;=9,"Promoter",IF(E3930&gt;=7,"Passive","Detractor"))</f>
        <v>Promoter</v>
      </c>
    </row>
    <row r="3931" customFormat="false" ht="15" hidden="false" customHeight="false" outlineLevel="0" collapsed="false">
      <c r="A3931" s="8" t="s">
        <v>8567</v>
      </c>
      <c r="B3931" s="8" t="s">
        <v>703</v>
      </c>
      <c r="C3931" s="8" t="s">
        <v>53</v>
      </c>
      <c r="D3931" s="32" t="n">
        <v>46282</v>
      </c>
      <c r="E3931" s="8" t="n">
        <v>6</v>
      </c>
      <c r="F3931" s="8" t="str">
        <f aca="false">IF(E3931&gt;=9,"Promoter",IF(E3931&gt;=7,"Passive","Detractor"))</f>
        <v>Detractor</v>
      </c>
    </row>
    <row r="3932" customFormat="false" ht="15" hidden="false" customHeight="false" outlineLevel="0" collapsed="false">
      <c r="A3932" s="8" t="s">
        <v>8568</v>
      </c>
      <c r="B3932" s="8" t="s">
        <v>1851</v>
      </c>
      <c r="C3932" s="8" t="s">
        <v>51</v>
      </c>
      <c r="D3932" s="32" t="n">
        <v>46283</v>
      </c>
      <c r="E3932" s="8" t="n">
        <v>6</v>
      </c>
      <c r="F3932" s="8" t="str">
        <f aca="false">IF(E3932&gt;=9,"Promoter",IF(E3932&gt;=7,"Passive","Detractor"))</f>
        <v>Detractor</v>
      </c>
    </row>
    <row r="3933" customFormat="false" ht="15" hidden="false" customHeight="false" outlineLevel="0" collapsed="false">
      <c r="A3933" s="8" t="s">
        <v>8569</v>
      </c>
      <c r="B3933" s="8" t="s">
        <v>983</v>
      </c>
      <c r="C3933" s="8" t="s">
        <v>53</v>
      </c>
      <c r="D3933" s="32" t="n">
        <v>46283</v>
      </c>
      <c r="E3933" s="8" t="n">
        <v>6</v>
      </c>
      <c r="F3933" s="8" t="str">
        <f aca="false">IF(E3933&gt;=9,"Promoter",IF(E3933&gt;=7,"Passive","Detractor"))</f>
        <v>Detractor</v>
      </c>
    </row>
    <row r="3934" customFormat="false" ht="15" hidden="false" customHeight="false" outlineLevel="0" collapsed="false">
      <c r="A3934" s="8" t="s">
        <v>8570</v>
      </c>
      <c r="B3934" s="8" t="s">
        <v>2820</v>
      </c>
      <c r="C3934" s="8" t="s">
        <v>51</v>
      </c>
      <c r="D3934" s="32" t="n">
        <v>46283</v>
      </c>
      <c r="E3934" s="8" t="n">
        <v>8</v>
      </c>
      <c r="F3934" s="8" t="str">
        <f aca="false">IF(E3934&gt;=9,"Promoter",IF(E3934&gt;=7,"Passive","Detractor"))</f>
        <v>Passive</v>
      </c>
    </row>
    <row r="3935" customFormat="false" ht="15" hidden="false" customHeight="false" outlineLevel="0" collapsed="false">
      <c r="A3935" s="8" t="s">
        <v>8571</v>
      </c>
      <c r="B3935" s="8" t="s">
        <v>228</v>
      </c>
      <c r="C3935" s="8" t="s">
        <v>55</v>
      </c>
      <c r="D3935" s="32" t="n">
        <v>46283</v>
      </c>
      <c r="E3935" s="8" t="n">
        <v>8</v>
      </c>
      <c r="F3935" s="8" t="str">
        <f aca="false">IF(E3935&gt;=9,"Promoter",IF(E3935&gt;=7,"Passive","Detractor"))</f>
        <v>Passive</v>
      </c>
    </row>
    <row r="3936" customFormat="false" ht="15" hidden="false" customHeight="false" outlineLevel="0" collapsed="false">
      <c r="A3936" s="8" t="s">
        <v>8572</v>
      </c>
      <c r="B3936" s="8" t="s">
        <v>3270</v>
      </c>
      <c r="C3936" s="8" t="s">
        <v>51</v>
      </c>
      <c r="D3936" s="32" t="n">
        <v>46283</v>
      </c>
      <c r="E3936" s="8" t="n">
        <v>8</v>
      </c>
      <c r="F3936" s="8" t="str">
        <f aca="false">IF(E3936&gt;=9,"Promoter",IF(E3936&gt;=7,"Passive","Detractor"))</f>
        <v>Passive</v>
      </c>
    </row>
    <row r="3937" customFormat="false" ht="15" hidden="false" customHeight="false" outlineLevel="0" collapsed="false">
      <c r="A3937" s="8" t="s">
        <v>8573</v>
      </c>
      <c r="B3937" s="8" t="s">
        <v>3366</v>
      </c>
      <c r="C3937" s="8" t="s">
        <v>51</v>
      </c>
      <c r="D3937" s="32" t="n">
        <v>46283</v>
      </c>
      <c r="E3937" s="8" t="n">
        <v>10</v>
      </c>
      <c r="F3937" s="8" t="str">
        <f aca="false">IF(E3937&gt;=9,"Promoter",IF(E3937&gt;=7,"Passive","Detractor"))</f>
        <v>Promoter</v>
      </c>
    </row>
    <row r="3938" customFormat="false" ht="15" hidden="false" customHeight="false" outlineLevel="0" collapsed="false">
      <c r="A3938" s="8" t="s">
        <v>8574</v>
      </c>
      <c r="B3938" s="8" t="s">
        <v>244</v>
      </c>
      <c r="C3938" s="8" t="s">
        <v>55</v>
      </c>
      <c r="D3938" s="32" t="n">
        <v>46283</v>
      </c>
      <c r="E3938" s="8" t="n">
        <v>8</v>
      </c>
      <c r="F3938" s="8" t="str">
        <f aca="false">IF(E3938&gt;=9,"Promoter",IF(E3938&gt;=7,"Passive","Detractor"))</f>
        <v>Passive</v>
      </c>
    </row>
    <row r="3939" customFormat="false" ht="15" hidden="false" customHeight="false" outlineLevel="0" collapsed="false">
      <c r="A3939" s="8" t="s">
        <v>8575</v>
      </c>
      <c r="B3939" s="8" t="s">
        <v>4010</v>
      </c>
      <c r="C3939" s="8" t="s">
        <v>51</v>
      </c>
      <c r="D3939" s="32" t="n">
        <v>46283</v>
      </c>
      <c r="E3939" s="8" t="n">
        <v>10</v>
      </c>
      <c r="F3939" s="8" t="str">
        <f aca="false">IF(E3939&gt;=9,"Promoter",IF(E3939&gt;=7,"Passive","Detractor"))</f>
        <v>Promoter</v>
      </c>
    </row>
    <row r="3940" customFormat="false" ht="15" hidden="false" customHeight="false" outlineLevel="0" collapsed="false">
      <c r="A3940" s="8" t="s">
        <v>8576</v>
      </c>
      <c r="B3940" s="8" t="s">
        <v>1931</v>
      </c>
      <c r="C3940" s="8" t="s">
        <v>51</v>
      </c>
      <c r="D3940" s="32" t="n">
        <v>46283</v>
      </c>
      <c r="E3940" s="8" t="n">
        <v>8</v>
      </c>
      <c r="F3940" s="8" t="str">
        <f aca="false">IF(E3940&gt;=9,"Promoter",IF(E3940&gt;=7,"Passive","Detractor"))</f>
        <v>Passive</v>
      </c>
    </row>
    <row r="3941" customFormat="false" ht="15" hidden="false" customHeight="false" outlineLevel="0" collapsed="false">
      <c r="A3941" s="8" t="s">
        <v>8577</v>
      </c>
      <c r="B3941" s="8" t="s">
        <v>3792</v>
      </c>
      <c r="C3941" s="8" t="s">
        <v>51</v>
      </c>
      <c r="D3941" s="32" t="n">
        <v>46284</v>
      </c>
      <c r="E3941" s="8" t="n">
        <v>9</v>
      </c>
      <c r="F3941" s="8" t="str">
        <f aca="false">IF(E3941&gt;=9,"Promoter",IF(E3941&gt;=7,"Passive","Detractor"))</f>
        <v>Promoter</v>
      </c>
    </row>
    <row r="3942" customFormat="false" ht="15" hidden="false" customHeight="false" outlineLevel="0" collapsed="false">
      <c r="A3942" s="8" t="s">
        <v>8578</v>
      </c>
      <c r="B3942" s="8" t="s">
        <v>2786</v>
      </c>
      <c r="C3942" s="8" t="s">
        <v>51</v>
      </c>
      <c r="D3942" s="32" t="n">
        <v>46284</v>
      </c>
      <c r="E3942" s="8" t="n">
        <v>9</v>
      </c>
      <c r="F3942" s="8" t="str">
        <f aca="false">IF(E3942&gt;=9,"Promoter",IF(E3942&gt;=7,"Passive","Detractor"))</f>
        <v>Promoter</v>
      </c>
    </row>
    <row r="3943" customFormat="false" ht="15" hidden="false" customHeight="false" outlineLevel="0" collapsed="false">
      <c r="A3943" s="8" t="s">
        <v>8579</v>
      </c>
      <c r="B3943" s="8" t="s">
        <v>4112</v>
      </c>
      <c r="C3943" s="8" t="s">
        <v>51</v>
      </c>
      <c r="D3943" s="32" t="n">
        <v>46284</v>
      </c>
      <c r="E3943" s="8" t="n">
        <v>7</v>
      </c>
      <c r="F3943" s="8" t="str">
        <f aca="false">IF(E3943&gt;=9,"Promoter",IF(E3943&gt;=7,"Passive","Detractor"))</f>
        <v>Passive</v>
      </c>
    </row>
    <row r="3944" customFormat="false" ht="15" hidden="false" customHeight="false" outlineLevel="0" collapsed="false">
      <c r="A3944" s="8" t="s">
        <v>8580</v>
      </c>
      <c r="B3944" s="8" t="s">
        <v>2456</v>
      </c>
      <c r="C3944" s="8" t="s">
        <v>51</v>
      </c>
      <c r="D3944" s="32" t="n">
        <v>46284</v>
      </c>
      <c r="E3944" s="8" t="n">
        <v>10</v>
      </c>
      <c r="F3944" s="8" t="str">
        <f aca="false">IF(E3944&gt;=9,"Promoter",IF(E3944&gt;=7,"Passive","Detractor"))</f>
        <v>Promoter</v>
      </c>
    </row>
    <row r="3945" customFormat="false" ht="15" hidden="false" customHeight="false" outlineLevel="0" collapsed="false">
      <c r="A3945" s="8" t="s">
        <v>8581</v>
      </c>
      <c r="B3945" s="8" t="s">
        <v>3902</v>
      </c>
      <c r="C3945" s="8" t="s">
        <v>51</v>
      </c>
      <c r="D3945" s="32" t="n">
        <v>46285</v>
      </c>
      <c r="E3945" s="8" t="n">
        <v>10</v>
      </c>
      <c r="F3945" s="8" t="str">
        <f aca="false">IF(E3945&gt;=9,"Promoter",IF(E3945&gt;=7,"Passive","Detractor"))</f>
        <v>Promoter</v>
      </c>
    </row>
    <row r="3946" customFormat="false" ht="15" hidden="false" customHeight="false" outlineLevel="0" collapsed="false">
      <c r="A3946" s="8" t="s">
        <v>8582</v>
      </c>
      <c r="B3946" s="8" t="s">
        <v>2894</v>
      </c>
      <c r="C3946" s="8" t="s">
        <v>51</v>
      </c>
      <c r="D3946" s="32" t="n">
        <v>46285</v>
      </c>
      <c r="E3946" s="8" t="n">
        <v>8</v>
      </c>
      <c r="F3946" s="8" t="str">
        <f aca="false">IF(E3946&gt;=9,"Promoter",IF(E3946&gt;=7,"Passive","Detractor"))</f>
        <v>Passive</v>
      </c>
    </row>
    <row r="3947" customFormat="false" ht="15" hidden="false" customHeight="false" outlineLevel="0" collapsed="false">
      <c r="A3947" s="8" t="s">
        <v>8583</v>
      </c>
      <c r="B3947" s="8" t="s">
        <v>509</v>
      </c>
      <c r="C3947" s="8" t="s">
        <v>53</v>
      </c>
      <c r="D3947" s="32" t="n">
        <v>46285</v>
      </c>
      <c r="E3947" s="8" t="n">
        <v>8</v>
      </c>
      <c r="F3947" s="8" t="str">
        <f aca="false">IF(E3947&gt;=9,"Promoter",IF(E3947&gt;=7,"Passive","Detractor"))</f>
        <v>Passive</v>
      </c>
    </row>
    <row r="3948" customFormat="false" ht="15" hidden="false" customHeight="false" outlineLevel="0" collapsed="false">
      <c r="A3948" s="8" t="s">
        <v>8584</v>
      </c>
      <c r="B3948" s="8" t="s">
        <v>2498</v>
      </c>
      <c r="C3948" s="8" t="s">
        <v>51</v>
      </c>
      <c r="D3948" s="32" t="n">
        <v>46285</v>
      </c>
      <c r="E3948" s="8" t="n">
        <v>6</v>
      </c>
      <c r="F3948" s="8" t="str">
        <f aca="false">IF(E3948&gt;=9,"Promoter",IF(E3948&gt;=7,"Passive","Detractor"))</f>
        <v>Detractor</v>
      </c>
    </row>
    <row r="3949" customFormat="false" ht="15" hidden="false" customHeight="false" outlineLevel="0" collapsed="false">
      <c r="A3949" s="8" t="s">
        <v>8585</v>
      </c>
      <c r="B3949" s="8" t="s">
        <v>4216</v>
      </c>
      <c r="C3949" s="8" t="s">
        <v>51</v>
      </c>
      <c r="D3949" s="32" t="n">
        <v>46285</v>
      </c>
      <c r="E3949" s="8" t="n">
        <v>8</v>
      </c>
      <c r="F3949" s="8" t="str">
        <f aca="false">IF(E3949&gt;=9,"Promoter",IF(E3949&gt;=7,"Passive","Detractor"))</f>
        <v>Passive</v>
      </c>
    </row>
    <row r="3950" customFormat="false" ht="15" hidden="false" customHeight="false" outlineLevel="0" collapsed="false">
      <c r="A3950" s="8" t="s">
        <v>8586</v>
      </c>
      <c r="B3950" s="8" t="s">
        <v>3710</v>
      </c>
      <c r="C3950" s="8" t="s">
        <v>51</v>
      </c>
      <c r="D3950" s="32" t="n">
        <v>46285</v>
      </c>
      <c r="E3950" s="8" t="n">
        <v>10</v>
      </c>
      <c r="F3950" s="8" t="str">
        <f aca="false">IF(E3950&gt;=9,"Promoter",IF(E3950&gt;=7,"Passive","Detractor"))</f>
        <v>Promoter</v>
      </c>
    </row>
    <row r="3951" customFormat="false" ht="15" hidden="false" customHeight="false" outlineLevel="0" collapsed="false">
      <c r="A3951" s="8" t="s">
        <v>8587</v>
      </c>
      <c r="B3951" s="8" t="s">
        <v>3558</v>
      </c>
      <c r="C3951" s="8" t="s">
        <v>51</v>
      </c>
      <c r="D3951" s="32" t="n">
        <v>46285</v>
      </c>
      <c r="E3951" s="8" t="n">
        <v>6</v>
      </c>
      <c r="F3951" s="8" t="str">
        <f aca="false">IF(E3951&gt;=9,"Promoter",IF(E3951&gt;=7,"Passive","Detractor"))</f>
        <v>Detractor</v>
      </c>
    </row>
    <row r="3952" customFormat="false" ht="15" hidden="false" customHeight="false" outlineLevel="0" collapsed="false">
      <c r="A3952" s="8" t="s">
        <v>8588</v>
      </c>
      <c r="B3952" s="8" t="s">
        <v>4174</v>
      </c>
      <c r="C3952" s="8" t="s">
        <v>51</v>
      </c>
      <c r="D3952" s="32" t="n">
        <v>46285</v>
      </c>
      <c r="E3952" s="8" t="n">
        <v>8</v>
      </c>
      <c r="F3952" s="8" t="str">
        <f aca="false">IF(E3952&gt;=9,"Promoter",IF(E3952&gt;=7,"Passive","Detractor"))</f>
        <v>Passive</v>
      </c>
    </row>
    <row r="3953" customFormat="false" ht="15" hidden="false" customHeight="false" outlineLevel="0" collapsed="false">
      <c r="A3953" s="8" t="s">
        <v>8589</v>
      </c>
      <c r="B3953" s="8" t="s">
        <v>541</v>
      </c>
      <c r="C3953" s="8" t="s">
        <v>55</v>
      </c>
      <c r="D3953" s="32" t="n">
        <v>46285</v>
      </c>
      <c r="E3953" s="8" t="n">
        <v>5</v>
      </c>
      <c r="F3953" s="8" t="str">
        <f aca="false">IF(E3953&gt;=9,"Promoter",IF(E3953&gt;=7,"Passive","Detractor"))</f>
        <v>Detractor</v>
      </c>
    </row>
    <row r="3954" customFormat="false" ht="15" hidden="false" customHeight="false" outlineLevel="0" collapsed="false">
      <c r="A3954" s="8" t="s">
        <v>8590</v>
      </c>
      <c r="B3954" s="8" t="s">
        <v>841</v>
      </c>
      <c r="C3954" s="8" t="s">
        <v>53</v>
      </c>
      <c r="D3954" s="32" t="n">
        <v>46285</v>
      </c>
      <c r="E3954" s="8" t="n">
        <v>7</v>
      </c>
      <c r="F3954" s="8" t="str">
        <f aca="false">IF(E3954&gt;=9,"Promoter",IF(E3954&gt;=7,"Passive","Detractor"))</f>
        <v>Passive</v>
      </c>
    </row>
    <row r="3955" customFormat="false" ht="15" hidden="false" customHeight="false" outlineLevel="0" collapsed="false">
      <c r="A3955" s="8" t="s">
        <v>8591</v>
      </c>
      <c r="B3955" s="8" t="s">
        <v>2866</v>
      </c>
      <c r="C3955" s="8" t="s">
        <v>51</v>
      </c>
      <c r="D3955" s="32" t="n">
        <v>46285</v>
      </c>
      <c r="E3955" s="8" t="n">
        <v>10</v>
      </c>
      <c r="F3955" s="8" t="str">
        <f aca="false">IF(E3955&gt;=9,"Promoter",IF(E3955&gt;=7,"Passive","Detractor"))</f>
        <v>Promoter</v>
      </c>
    </row>
    <row r="3956" customFormat="false" ht="15" hidden="false" customHeight="false" outlineLevel="0" collapsed="false">
      <c r="A3956" s="8" t="s">
        <v>8592</v>
      </c>
      <c r="B3956" s="8" t="s">
        <v>320</v>
      </c>
      <c r="C3956" s="8" t="s">
        <v>55</v>
      </c>
      <c r="D3956" s="32" t="n">
        <v>46285</v>
      </c>
      <c r="E3956" s="8" t="n">
        <v>6</v>
      </c>
      <c r="F3956" s="8" t="str">
        <f aca="false">IF(E3956&gt;=9,"Promoter",IF(E3956&gt;=7,"Passive","Detractor"))</f>
        <v>Detractor</v>
      </c>
    </row>
    <row r="3957" customFormat="false" ht="15" hidden="false" customHeight="false" outlineLevel="0" collapsed="false">
      <c r="A3957" s="8" t="s">
        <v>8593</v>
      </c>
      <c r="B3957" s="8" t="s">
        <v>230</v>
      </c>
      <c r="C3957" s="8" t="s">
        <v>55</v>
      </c>
      <c r="D3957" s="32" t="n">
        <v>46285</v>
      </c>
      <c r="E3957" s="8" t="n">
        <v>10</v>
      </c>
      <c r="F3957" s="8" t="str">
        <f aca="false">IF(E3957&gt;=9,"Promoter",IF(E3957&gt;=7,"Passive","Detractor"))</f>
        <v>Promoter</v>
      </c>
    </row>
    <row r="3958" customFormat="false" ht="15" hidden="false" customHeight="false" outlineLevel="0" collapsed="false">
      <c r="A3958" s="8" t="s">
        <v>8594</v>
      </c>
      <c r="B3958" s="8" t="s">
        <v>3078</v>
      </c>
      <c r="C3958" s="8" t="s">
        <v>51</v>
      </c>
      <c r="D3958" s="32" t="n">
        <v>46285</v>
      </c>
      <c r="E3958" s="8" t="n">
        <v>10</v>
      </c>
      <c r="F3958" s="8" t="str">
        <f aca="false">IF(E3958&gt;=9,"Promoter",IF(E3958&gt;=7,"Passive","Detractor"))</f>
        <v>Promoter</v>
      </c>
    </row>
    <row r="3959" customFormat="false" ht="15" hidden="false" customHeight="false" outlineLevel="0" collapsed="false">
      <c r="A3959" s="8" t="s">
        <v>8595</v>
      </c>
      <c r="B3959" s="8" t="s">
        <v>1571</v>
      </c>
      <c r="C3959" s="8" t="s">
        <v>53</v>
      </c>
      <c r="D3959" s="32" t="n">
        <v>46285</v>
      </c>
      <c r="E3959" s="8" t="n">
        <v>9</v>
      </c>
      <c r="F3959" s="8" t="str">
        <f aca="false">IF(E3959&gt;=9,"Promoter",IF(E3959&gt;=7,"Passive","Detractor"))</f>
        <v>Promoter</v>
      </c>
    </row>
    <row r="3960" customFormat="false" ht="15" hidden="false" customHeight="false" outlineLevel="0" collapsed="false">
      <c r="A3960" s="8" t="s">
        <v>8596</v>
      </c>
      <c r="B3960" s="8" t="s">
        <v>3240</v>
      </c>
      <c r="C3960" s="8" t="s">
        <v>51</v>
      </c>
      <c r="D3960" s="32" t="n">
        <v>46285</v>
      </c>
      <c r="E3960" s="8" t="n">
        <v>10</v>
      </c>
      <c r="F3960" s="8" t="str">
        <f aca="false">IF(E3960&gt;=9,"Promoter",IF(E3960&gt;=7,"Passive","Detractor"))</f>
        <v>Promoter</v>
      </c>
    </row>
    <row r="3961" customFormat="false" ht="15" hidden="false" customHeight="false" outlineLevel="0" collapsed="false">
      <c r="A3961" s="8" t="s">
        <v>8597</v>
      </c>
      <c r="B3961" s="8" t="s">
        <v>3146</v>
      </c>
      <c r="C3961" s="8" t="s">
        <v>51</v>
      </c>
      <c r="D3961" s="32" t="n">
        <v>46286</v>
      </c>
      <c r="E3961" s="8" t="n">
        <v>2</v>
      </c>
      <c r="F3961" s="8" t="str">
        <f aca="false">IF(E3961&gt;=9,"Promoter",IF(E3961&gt;=7,"Passive","Detractor"))</f>
        <v>Detractor</v>
      </c>
    </row>
    <row r="3962" customFormat="false" ht="15" hidden="false" customHeight="false" outlineLevel="0" collapsed="false">
      <c r="A3962" s="8" t="s">
        <v>8598</v>
      </c>
      <c r="B3962" s="8" t="s">
        <v>3386</v>
      </c>
      <c r="C3962" s="8" t="s">
        <v>51</v>
      </c>
      <c r="D3962" s="32" t="n">
        <v>46286</v>
      </c>
      <c r="E3962" s="8" t="n">
        <v>10</v>
      </c>
      <c r="F3962" s="8" t="str">
        <f aca="false">IF(E3962&gt;=9,"Promoter",IF(E3962&gt;=7,"Passive","Detractor"))</f>
        <v>Promoter</v>
      </c>
    </row>
    <row r="3963" customFormat="false" ht="15" hidden="false" customHeight="false" outlineLevel="0" collapsed="false">
      <c r="A3963" s="8" t="s">
        <v>8599</v>
      </c>
      <c r="B3963" s="8" t="s">
        <v>3320</v>
      </c>
      <c r="C3963" s="8" t="s">
        <v>51</v>
      </c>
      <c r="D3963" s="32" t="n">
        <v>46286</v>
      </c>
      <c r="E3963" s="8" t="n">
        <v>9</v>
      </c>
      <c r="F3963" s="8" t="str">
        <f aca="false">IF(E3963&gt;=9,"Promoter",IF(E3963&gt;=7,"Passive","Detractor"))</f>
        <v>Promoter</v>
      </c>
    </row>
    <row r="3964" customFormat="false" ht="15" hidden="false" customHeight="false" outlineLevel="0" collapsed="false">
      <c r="A3964" s="8" t="s">
        <v>8600</v>
      </c>
      <c r="B3964" s="8" t="s">
        <v>773</v>
      </c>
      <c r="C3964" s="8" t="s">
        <v>53</v>
      </c>
      <c r="D3964" s="32" t="n">
        <v>46286</v>
      </c>
      <c r="E3964" s="8" t="n">
        <v>10</v>
      </c>
      <c r="F3964" s="8" t="str">
        <f aca="false">IF(E3964&gt;=9,"Promoter",IF(E3964&gt;=7,"Passive","Detractor"))</f>
        <v>Promoter</v>
      </c>
    </row>
    <row r="3965" customFormat="false" ht="15" hidden="false" customHeight="false" outlineLevel="0" collapsed="false">
      <c r="A3965" s="8" t="s">
        <v>8601</v>
      </c>
      <c r="B3965" s="8" t="s">
        <v>3448</v>
      </c>
      <c r="C3965" s="8" t="s">
        <v>51</v>
      </c>
      <c r="D3965" s="32" t="n">
        <v>46286</v>
      </c>
      <c r="E3965" s="8" t="n">
        <v>9</v>
      </c>
      <c r="F3965" s="8" t="str">
        <f aca="false">IF(E3965&gt;=9,"Promoter",IF(E3965&gt;=7,"Passive","Detractor"))</f>
        <v>Promoter</v>
      </c>
    </row>
    <row r="3966" customFormat="false" ht="15" hidden="false" customHeight="false" outlineLevel="0" collapsed="false">
      <c r="A3966" s="8" t="s">
        <v>8602</v>
      </c>
      <c r="B3966" s="8" t="s">
        <v>837</v>
      </c>
      <c r="C3966" s="8" t="s">
        <v>53</v>
      </c>
      <c r="D3966" s="32" t="n">
        <v>46286</v>
      </c>
      <c r="E3966" s="8" t="n">
        <v>6</v>
      </c>
      <c r="F3966" s="8" t="str">
        <f aca="false">IF(E3966&gt;=9,"Promoter",IF(E3966&gt;=7,"Passive","Detractor"))</f>
        <v>Detractor</v>
      </c>
    </row>
    <row r="3967" customFormat="false" ht="15" hidden="false" customHeight="false" outlineLevel="0" collapsed="false">
      <c r="A3967" s="8" t="s">
        <v>8603</v>
      </c>
      <c r="B3967" s="8" t="s">
        <v>1823</v>
      </c>
      <c r="C3967" s="8" t="s">
        <v>51</v>
      </c>
      <c r="D3967" s="32" t="n">
        <v>46286</v>
      </c>
      <c r="E3967" s="8" t="n">
        <v>8</v>
      </c>
      <c r="F3967" s="8" t="str">
        <f aca="false">IF(E3967&gt;=9,"Promoter",IF(E3967&gt;=7,"Passive","Detractor"))</f>
        <v>Passive</v>
      </c>
    </row>
    <row r="3968" customFormat="false" ht="15" hidden="false" customHeight="false" outlineLevel="0" collapsed="false">
      <c r="A3968" s="8" t="s">
        <v>8604</v>
      </c>
      <c r="B3968" s="8" t="s">
        <v>1041</v>
      </c>
      <c r="C3968" s="8" t="s">
        <v>53</v>
      </c>
      <c r="D3968" s="32" t="n">
        <v>46286</v>
      </c>
      <c r="E3968" s="8" t="n">
        <v>10</v>
      </c>
      <c r="F3968" s="8" t="str">
        <f aca="false">IF(E3968&gt;=9,"Promoter",IF(E3968&gt;=7,"Passive","Detractor"))</f>
        <v>Promoter</v>
      </c>
    </row>
    <row r="3969" customFormat="false" ht="15" hidden="false" customHeight="false" outlineLevel="0" collapsed="false">
      <c r="A3969" s="8" t="s">
        <v>8605</v>
      </c>
      <c r="B3969" s="8" t="s">
        <v>1267</v>
      </c>
      <c r="C3969" s="8" t="s">
        <v>53</v>
      </c>
      <c r="D3969" s="32" t="n">
        <v>46286</v>
      </c>
      <c r="E3969" s="8" t="n">
        <v>6</v>
      </c>
      <c r="F3969" s="8" t="str">
        <f aca="false">IF(E3969&gt;=9,"Promoter",IF(E3969&gt;=7,"Passive","Detractor"))</f>
        <v>Detractor</v>
      </c>
    </row>
    <row r="3970" customFormat="false" ht="15" hidden="false" customHeight="false" outlineLevel="0" collapsed="false">
      <c r="A3970" s="8" t="s">
        <v>8606</v>
      </c>
      <c r="B3970" s="8" t="s">
        <v>3972</v>
      </c>
      <c r="C3970" s="8" t="s">
        <v>51</v>
      </c>
      <c r="D3970" s="32" t="n">
        <v>46286</v>
      </c>
      <c r="E3970" s="8" t="n">
        <v>7</v>
      </c>
      <c r="F3970" s="8" t="str">
        <f aca="false">IF(E3970&gt;=9,"Promoter",IF(E3970&gt;=7,"Passive","Detractor"))</f>
        <v>Passive</v>
      </c>
    </row>
    <row r="3971" customFormat="false" ht="15" hidden="false" customHeight="false" outlineLevel="0" collapsed="false">
      <c r="A3971" s="8" t="s">
        <v>8607</v>
      </c>
      <c r="B3971" s="8" t="s">
        <v>292</v>
      </c>
      <c r="C3971" s="8" t="s">
        <v>55</v>
      </c>
      <c r="D3971" s="32" t="n">
        <v>46286</v>
      </c>
      <c r="E3971" s="8" t="n">
        <v>8</v>
      </c>
      <c r="F3971" s="8" t="str">
        <f aca="false">IF(E3971&gt;=9,"Promoter",IF(E3971&gt;=7,"Passive","Detractor"))</f>
        <v>Passive</v>
      </c>
    </row>
    <row r="3972" customFormat="false" ht="15" hidden="false" customHeight="false" outlineLevel="0" collapsed="false">
      <c r="A3972" s="8" t="s">
        <v>8608</v>
      </c>
      <c r="B3972" s="8" t="s">
        <v>1895</v>
      </c>
      <c r="C3972" s="8" t="s">
        <v>51</v>
      </c>
      <c r="D3972" s="32" t="n">
        <v>46287</v>
      </c>
      <c r="E3972" s="8" t="n">
        <v>10</v>
      </c>
      <c r="F3972" s="8" t="str">
        <f aca="false">IF(E3972&gt;=9,"Promoter",IF(E3972&gt;=7,"Passive","Detractor"))</f>
        <v>Promoter</v>
      </c>
    </row>
    <row r="3973" customFormat="false" ht="15" hidden="false" customHeight="false" outlineLevel="0" collapsed="false">
      <c r="A3973" s="8" t="s">
        <v>8609</v>
      </c>
      <c r="B3973" s="8" t="s">
        <v>989</v>
      </c>
      <c r="C3973" s="8" t="s">
        <v>53</v>
      </c>
      <c r="D3973" s="32" t="n">
        <v>46287</v>
      </c>
      <c r="E3973" s="8" t="n">
        <v>8</v>
      </c>
      <c r="F3973" s="8" t="str">
        <f aca="false">IF(E3973&gt;=9,"Promoter",IF(E3973&gt;=7,"Passive","Detractor"))</f>
        <v>Passive</v>
      </c>
    </row>
    <row r="3974" customFormat="false" ht="15" hidden="false" customHeight="false" outlineLevel="0" collapsed="false">
      <c r="A3974" s="8" t="s">
        <v>8610</v>
      </c>
      <c r="B3974" s="8" t="s">
        <v>3264</v>
      </c>
      <c r="C3974" s="8" t="s">
        <v>51</v>
      </c>
      <c r="D3974" s="32" t="n">
        <v>46287</v>
      </c>
      <c r="E3974" s="8" t="n">
        <v>9</v>
      </c>
      <c r="F3974" s="8" t="str">
        <f aca="false">IF(E3974&gt;=9,"Promoter",IF(E3974&gt;=7,"Passive","Detractor"))</f>
        <v>Promoter</v>
      </c>
    </row>
    <row r="3975" customFormat="false" ht="15" hidden="false" customHeight="false" outlineLevel="0" collapsed="false">
      <c r="A3975" s="8" t="s">
        <v>8611</v>
      </c>
      <c r="B3975" s="8" t="s">
        <v>1951</v>
      </c>
      <c r="C3975" s="8" t="s">
        <v>51</v>
      </c>
      <c r="D3975" s="32" t="n">
        <v>46287</v>
      </c>
      <c r="E3975" s="8" t="n">
        <v>8</v>
      </c>
      <c r="F3975" s="8" t="str">
        <f aca="false">IF(E3975&gt;=9,"Promoter",IF(E3975&gt;=7,"Passive","Detractor"))</f>
        <v>Passive</v>
      </c>
    </row>
    <row r="3976" customFormat="false" ht="15" hidden="false" customHeight="false" outlineLevel="0" collapsed="false">
      <c r="A3976" s="8" t="s">
        <v>8612</v>
      </c>
      <c r="B3976" s="8" t="s">
        <v>2986</v>
      </c>
      <c r="C3976" s="8" t="s">
        <v>51</v>
      </c>
      <c r="D3976" s="32" t="n">
        <v>46287</v>
      </c>
      <c r="E3976" s="8" t="n">
        <v>8</v>
      </c>
      <c r="F3976" s="8" t="str">
        <f aca="false">IF(E3976&gt;=9,"Promoter",IF(E3976&gt;=7,"Passive","Detractor"))</f>
        <v>Passive</v>
      </c>
    </row>
    <row r="3977" customFormat="false" ht="15" hidden="false" customHeight="false" outlineLevel="0" collapsed="false">
      <c r="A3977" s="8" t="s">
        <v>8613</v>
      </c>
      <c r="B3977" s="8" t="s">
        <v>997</v>
      </c>
      <c r="C3977" s="8" t="s">
        <v>53</v>
      </c>
      <c r="D3977" s="32" t="n">
        <v>46287</v>
      </c>
      <c r="E3977" s="8" t="n">
        <v>10</v>
      </c>
      <c r="F3977" s="8" t="str">
        <f aca="false">IF(E3977&gt;=9,"Promoter",IF(E3977&gt;=7,"Passive","Detractor"))</f>
        <v>Promoter</v>
      </c>
    </row>
    <row r="3978" customFormat="false" ht="15" hidden="false" customHeight="false" outlineLevel="0" collapsed="false">
      <c r="A3978" s="8" t="s">
        <v>8614</v>
      </c>
      <c r="B3978" s="8" t="s">
        <v>304</v>
      </c>
      <c r="C3978" s="8" t="s">
        <v>55</v>
      </c>
      <c r="D3978" s="32" t="n">
        <v>46287</v>
      </c>
      <c r="E3978" s="8" t="n">
        <v>9</v>
      </c>
      <c r="F3978" s="8" t="str">
        <f aca="false">IF(E3978&gt;=9,"Promoter",IF(E3978&gt;=7,"Passive","Detractor"))</f>
        <v>Promoter</v>
      </c>
    </row>
    <row r="3979" customFormat="false" ht="15" hidden="false" customHeight="false" outlineLevel="0" collapsed="false">
      <c r="A3979" s="8" t="s">
        <v>8615</v>
      </c>
      <c r="B3979" s="8" t="s">
        <v>3072</v>
      </c>
      <c r="C3979" s="8" t="s">
        <v>51</v>
      </c>
      <c r="D3979" s="32" t="n">
        <v>46287</v>
      </c>
      <c r="E3979" s="8" t="n">
        <v>8</v>
      </c>
      <c r="F3979" s="8" t="str">
        <f aca="false">IF(E3979&gt;=9,"Promoter",IF(E3979&gt;=7,"Passive","Detractor"))</f>
        <v>Passive</v>
      </c>
    </row>
    <row r="3980" customFormat="false" ht="15" hidden="false" customHeight="false" outlineLevel="0" collapsed="false">
      <c r="A3980" s="8" t="s">
        <v>8616</v>
      </c>
      <c r="B3980" s="8" t="s">
        <v>909</v>
      </c>
      <c r="C3980" s="8" t="s">
        <v>53</v>
      </c>
      <c r="D3980" s="32" t="n">
        <v>46287</v>
      </c>
      <c r="E3980" s="8" t="n">
        <v>7</v>
      </c>
      <c r="F3980" s="8" t="str">
        <f aca="false">IF(E3980&gt;=9,"Promoter",IF(E3980&gt;=7,"Passive","Detractor"))</f>
        <v>Passive</v>
      </c>
    </row>
    <row r="3981" customFormat="false" ht="15" hidden="false" customHeight="false" outlineLevel="0" collapsed="false">
      <c r="A3981" s="8" t="s">
        <v>8617</v>
      </c>
      <c r="B3981" s="8" t="s">
        <v>3136</v>
      </c>
      <c r="C3981" s="8" t="s">
        <v>51</v>
      </c>
      <c r="D3981" s="32" t="n">
        <v>46287</v>
      </c>
      <c r="E3981" s="8" t="n">
        <v>8</v>
      </c>
      <c r="F3981" s="8" t="str">
        <f aca="false">IF(E3981&gt;=9,"Promoter",IF(E3981&gt;=7,"Passive","Detractor"))</f>
        <v>Passive</v>
      </c>
    </row>
    <row r="3982" customFormat="false" ht="15" hidden="false" customHeight="false" outlineLevel="0" collapsed="false">
      <c r="A3982" s="8" t="s">
        <v>8618</v>
      </c>
      <c r="B3982" s="8" t="s">
        <v>635</v>
      </c>
      <c r="C3982" s="8" t="s">
        <v>53</v>
      </c>
      <c r="D3982" s="32" t="n">
        <v>46287</v>
      </c>
      <c r="E3982" s="8" t="n">
        <v>10</v>
      </c>
      <c r="F3982" s="8" t="str">
        <f aca="false">IF(E3982&gt;=9,"Promoter",IF(E3982&gt;=7,"Passive","Detractor"))</f>
        <v>Promoter</v>
      </c>
    </row>
    <row r="3983" customFormat="false" ht="15" hidden="false" customHeight="false" outlineLevel="0" collapsed="false">
      <c r="A3983" s="8" t="s">
        <v>8619</v>
      </c>
      <c r="B3983" s="8" t="s">
        <v>393</v>
      </c>
      <c r="C3983" s="8" t="s">
        <v>55</v>
      </c>
      <c r="D3983" s="32" t="n">
        <v>46287</v>
      </c>
      <c r="E3983" s="8" t="n">
        <v>10</v>
      </c>
      <c r="F3983" s="8" t="str">
        <f aca="false">IF(E3983&gt;=9,"Promoter",IF(E3983&gt;=7,"Passive","Detractor"))</f>
        <v>Promoter</v>
      </c>
    </row>
    <row r="3984" customFormat="false" ht="15" hidden="false" customHeight="false" outlineLevel="0" collapsed="false">
      <c r="A3984" s="8" t="s">
        <v>8620</v>
      </c>
      <c r="B3984" s="8" t="s">
        <v>254</v>
      </c>
      <c r="C3984" s="8" t="s">
        <v>55</v>
      </c>
      <c r="D3984" s="32" t="n">
        <v>46288</v>
      </c>
      <c r="E3984" s="8" t="n">
        <v>9</v>
      </c>
      <c r="F3984" s="8" t="str">
        <f aca="false">IF(E3984&gt;=9,"Promoter",IF(E3984&gt;=7,"Passive","Detractor"))</f>
        <v>Promoter</v>
      </c>
    </row>
    <row r="3985" customFormat="false" ht="15" hidden="false" customHeight="false" outlineLevel="0" collapsed="false">
      <c r="A3985" s="8" t="s">
        <v>8621</v>
      </c>
      <c r="B3985" s="8" t="s">
        <v>266</v>
      </c>
      <c r="C3985" s="8" t="s">
        <v>55</v>
      </c>
      <c r="D3985" s="32" t="n">
        <v>46288</v>
      </c>
      <c r="E3985" s="8" t="n">
        <v>10</v>
      </c>
      <c r="F3985" s="8" t="str">
        <f aca="false">IF(E3985&gt;=9,"Promoter",IF(E3985&gt;=7,"Passive","Detractor"))</f>
        <v>Promoter</v>
      </c>
    </row>
    <row r="3986" customFormat="false" ht="15" hidden="false" customHeight="false" outlineLevel="0" collapsed="false">
      <c r="A3986" s="8" t="s">
        <v>8622</v>
      </c>
      <c r="B3986" s="8" t="s">
        <v>2160</v>
      </c>
      <c r="C3986" s="8" t="s">
        <v>51</v>
      </c>
      <c r="D3986" s="32" t="n">
        <v>46288</v>
      </c>
      <c r="E3986" s="8" t="n">
        <v>9</v>
      </c>
      <c r="F3986" s="8" t="str">
        <f aca="false">IF(E3986&gt;=9,"Promoter",IF(E3986&gt;=7,"Passive","Detractor"))</f>
        <v>Promoter</v>
      </c>
    </row>
    <row r="3987" customFormat="false" ht="15" hidden="false" customHeight="false" outlineLevel="0" collapsed="false">
      <c r="A3987" s="8" t="s">
        <v>8623</v>
      </c>
      <c r="B3987" s="8" t="s">
        <v>2506</v>
      </c>
      <c r="C3987" s="8" t="s">
        <v>51</v>
      </c>
      <c r="D3987" s="32" t="n">
        <v>46288</v>
      </c>
      <c r="E3987" s="8" t="n">
        <v>8</v>
      </c>
      <c r="F3987" s="8" t="str">
        <f aca="false">IF(E3987&gt;=9,"Promoter",IF(E3987&gt;=7,"Passive","Detractor"))</f>
        <v>Passive</v>
      </c>
    </row>
    <row r="3988" customFormat="false" ht="15" hidden="false" customHeight="false" outlineLevel="0" collapsed="false">
      <c r="A3988" s="8" t="s">
        <v>8624</v>
      </c>
      <c r="B3988" s="8" t="s">
        <v>495</v>
      </c>
      <c r="C3988" s="8" t="s">
        <v>55</v>
      </c>
      <c r="D3988" s="32" t="n">
        <v>46288</v>
      </c>
      <c r="E3988" s="8" t="n">
        <v>10</v>
      </c>
      <c r="F3988" s="8" t="str">
        <f aca="false">IF(E3988&gt;=9,"Promoter",IF(E3988&gt;=7,"Passive","Detractor"))</f>
        <v>Promoter</v>
      </c>
    </row>
    <row r="3989" customFormat="false" ht="15" hidden="false" customHeight="false" outlineLevel="0" collapsed="false">
      <c r="A3989" s="8" t="s">
        <v>8625</v>
      </c>
      <c r="B3989" s="8" t="s">
        <v>3166</v>
      </c>
      <c r="C3989" s="8" t="s">
        <v>51</v>
      </c>
      <c r="D3989" s="32" t="n">
        <v>46288</v>
      </c>
      <c r="E3989" s="8" t="n">
        <v>9</v>
      </c>
      <c r="F3989" s="8" t="str">
        <f aca="false">IF(E3989&gt;=9,"Promoter",IF(E3989&gt;=7,"Passive","Detractor"))</f>
        <v>Promoter</v>
      </c>
    </row>
    <row r="3990" customFormat="false" ht="15" hidden="false" customHeight="false" outlineLevel="0" collapsed="false">
      <c r="A3990" s="8" t="s">
        <v>8626</v>
      </c>
      <c r="B3990" s="8" t="s">
        <v>2750</v>
      </c>
      <c r="C3990" s="8" t="s">
        <v>51</v>
      </c>
      <c r="D3990" s="32" t="n">
        <v>46288</v>
      </c>
      <c r="E3990" s="8" t="n">
        <v>7</v>
      </c>
      <c r="F3990" s="8" t="str">
        <f aca="false">IF(E3990&gt;=9,"Promoter",IF(E3990&gt;=7,"Passive","Detractor"))</f>
        <v>Passive</v>
      </c>
    </row>
    <row r="3991" customFormat="false" ht="15" hidden="false" customHeight="false" outlineLevel="0" collapsed="false">
      <c r="A3991" s="8" t="s">
        <v>8627</v>
      </c>
      <c r="B3991" s="8" t="s">
        <v>771</v>
      </c>
      <c r="C3991" s="8" t="s">
        <v>53</v>
      </c>
      <c r="D3991" s="32" t="n">
        <v>46288</v>
      </c>
      <c r="E3991" s="8" t="n">
        <v>10</v>
      </c>
      <c r="F3991" s="8" t="str">
        <f aca="false">IF(E3991&gt;=9,"Promoter",IF(E3991&gt;=7,"Passive","Detractor"))</f>
        <v>Promoter</v>
      </c>
    </row>
    <row r="3992" customFormat="false" ht="15" hidden="false" customHeight="false" outlineLevel="0" collapsed="false">
      <c r="A3992" s="8" t="s">
        <v>8628</v>
      </c>
      <c r="B3992" s="8" t="s">
        <v>3372</v>
      </c>
      <c r="C3992" s="8" t="s">
        <v>51</v>
      </c>
      <c r="D3992" s="32" t="n">
        <v>46288</v>
      </c>
      <c r="E3992" s="8" t="n">
        <v>9</v>
      </c>
      <c r="F3992" s="8" t="str">
        <f aca="false">IF(E3992&gt;=9,"Promoter",IF(E3992&gt;=7,"Passive","Detractor"))</f>
        <v>Promoter</v>
      </c>
    </row>
    <row r="3993" customFormat="false" ht="15" hidden="false" customHeight="false" outlineLevel="0" collapsed="false">
      <c r="A3993" s="8" t="s">
        <v>8629</v>
      </c>
      <c r="B3993" s="8" t="s">
        <v>3116</v>
      </c>
      <c r="C3993" s="8" t="s">
        <v>51</v>
      </c>
      <c r="D3993" s="32" t="n">
        <v>46288</v>
      </c>
      <c r="E3993" s="8" t="n">
        <v>9</v>
      </c>
      <c r="F3993" s="8" t="str">
        <f aca="false">IF(E3993&gt;=9,"Promoter",IF(E3993&gt;=7,"Passive","Detractor"))</f>
        <v>Promoter</v>
      </c>
    </row>
    <row r="3994" customFormat="false" ht="15" hidden="false" customHeight="false" outlineLevel="0" collapsed="false">
      <c r="A3994" s="8" t="s">
        <v>8630</v>
      </c>
      <c r="B3994" s="8" t="s">
        <v>1055</v>
      </c>
      <c r="C3994" s="8" t="s">
        <v>53</v>
      </c>
      <c r="D3994" s="32" t="n">
        <v>46288</v>
      </c>
      <c r="E3994" s="8" t="n">
        <v>8</v>
      </c>
      <c r="F3994" s="8" t="str">
        <f aca="false">IF(E3994&gt;=9,"Promoter",IF(E3994&gt;=7,"Passive","Detractor"))</f>
        <v>Passive</v>
      </c>
    </row>
    <row r="3995" customFormat="false" ht="15" hidden="false" customHeight="false" outlineLevel="0" collapsed="false">
      <c r="A3995" s="8" t="s">
        <v>8631</v>
      </c>
      <c r="B3995" s="8" t="s">
        <v>1387</v>
      </c>
      <c r="C3995" s="8" t="s">
        <v>53</v>
      </c>
      <c r="D3995" s="32" t="n">
        <v>46289</v>
      </c>
      <c r="E3995" s="8" t="n">
        <v>7</v>
      </c>
      <c r="F3995" s="8" t="str">
        <f aca="false">IF(E3995&gt;=9,"Promoter",IF(E3995&gt;=7,"Passive","Detractor"))</f>
        <v>Passive</v>
      </c>
    </row>
    <row r="3996" customFormat="false" ht="15" hidden="false" customHeight="false" outlineLevel="0" collapsed="false">
      <c r="A3996" s="8" t="s">
        <v>8632</v>
      </c>
      <c r="B3996" s="8" t="s">
        <v>1645</v>
      </c>
      <c r="C3996" s="8" t="s">
        <v>53</v>
      </c>
      <c r="D3996" s="32" t="n">
        <v>46289</v>
      </c>
      <c r="E3996" s="8" t="n">
        <v>10</v>
      </c>
      <c r="F3996" s="8" t="str">
        <f aca="false">IF(E3996&gt;=9,"Promoter",IF(E3996&gt;=7,"Passive","Detractor"))</f>
        <v>Promoter</v>
      </c>
    </row>
    <row r="3997" customFormat="false" ht="15" hidden="false" customHeight="false" outlineLevel="0" collapsed="false">
      <c r="A3997" s="8" t="s">
        <v>8633</v>
      </c>
      <c r="B3997" s="8" t="s">
        <v>2118</v>
      </c>
      <c r="C3997" s="8" t="s">
        <v>51</v>
      </c>
      <c r="D3997" s="32" t="n">
        <v>46289</v>
      </c>
      <c r="E3997" s="8" t="n">
        <v>8</v>
      </c>
      <c r="F3997" s="8" t="str">
        <f aca="false">IF(E3997&gt;=9,"Promoter",IF(E3997&gt;=7,"Passive","Detractor"))</f>
        <v>Passive</v>
      </c>
    </row>
    <row r="3998" customFormat="false" ht="15" hidden="false" customHeight="false" outlineLevel="0" collapsed="false">
      <c r="A3998" s="8" t="s">
        <v>8634</v>
      </c>
      <c r="B3998" s="8" t="s">
        <v>1411</v>
      </c>
      <c r="C3998" s="8" t="s">
        <v>53</v>
      </c>
      <c r="D3998" s="32" t="n">
        <v>46289</v>
      </c>
      <c r="E3998" s="8" t="n">
        <v>10</v>
      </c>
      <c r="F3998" s="8" t="str">
        <f aca="false">IF(E3998&gt;=9,"Promoter",IF(E3998&gt;=7,"Passive","Detractor"))</f>
        <v>Promoter</v>
      </c>
    </row>
    <row r="3999" customFormat="false" ht="15" hidden="false" customHeight="false" outlineLevel="0" collapsed="false">
      <c r="A3999" s="8" t="s">
        <v>8635</v>
      </c>
      <c r="B3999" s="8" t="s">
        <v>4306</v>
      </c>
      <c r="C3999" s="8" t="s">
        <v>51</v>
      </c>
      <c r="D3999" s="32" t="n">
        <v>46289</v>
      </c>
      <c r="E3999" s="8" t="n">
        <v>6</v>
      </c>
      <c r="F3999" s="8" t="str">
        <f aca="false">IF(E3999&gt;=9,"Promoter",IF(E3999&gt;=7,"Passive","Detractor"))</f>
        <v>Detractor</v>
      </c>
    </row>
    <row r="4000" customFormat="false" ht="15" hidden="false" customHeight="false" outlineLevel="0" collapsed="false">
      <c r="A4000" s="8" t="s">
        <v>8636</v>
      </c>
      <c r="B4000" s="8" t="s">
        <v>4172</v>
      </c>
      <c r="C4000" s="8" t="s">
        <v>51</v>
      </c>
      <c r="D4000" s="32" t="n">
        <v>46289</v>
      </c>
      <c r="E4000" s="8" t="n">
        <v>8</v>
      </c>
      <c r="F4000" s="8" t="str">
        <f aca="false">IF(E4000&gt;=9,"Promoter",IF(E4000&gt;=7,"Passive","Detractor"))</f>
        <v>Passive</v>
      </c>
    </row>
    <row r="4001" customFormat="false" ht="15" hidden="false" customHeight="false" outlineLevel="0" collapsed="false">
      <c r="A4001" s="8" t="s">
        <v>8637</v>
      </c>
      <c r="B4001" s="8" t="s">
        <v>1667</v>
      </c>
      <c r="C4001" s="8" t="s">
        <v>53</v>
      </c>
      <c r="D4001" s="32" t="n">
        <v>46289</v>
      </c>
      <c r="E4001" s="8" t="n">
        <v>8</v>
      </c>
      <c r="F4001" s="8" t="str">
        <f aca="false">IF(E4001&gt;=9,"Promoter",IF(E4001&gt;=7,"Passive","Detractor"))</f>
        <v>Passive</v>
      </c>
    </row>
    <row r="4002" customFormat="false" ht="15" hidden="false" customHeight="false" outlineLevel="0" collapsed="false">
      <c r="A4002" s="8" t="s">
        <v>8638</v>
      </c>
      <c r="B4002" s="8" t="s">
        <v>1449</v>
      </c>
      <c r="C4002" s="8" t="s">
        <v>53</v>
      </c>
      <c r="D4002" s="32" t="n">
        <v>46289</v>
      </c>
      <c r="E4002" s="8" t="n">
        <v>6</v>
      </c>
      <c r="F4002" s="8" t="str">
        <f aca="false">IF(E4002&gt;=9,"Promoter",IF(E4002&gt;=7,"Passive","Detractor"))</f>
        <v>Detractor</v>
      </c>
    </row>
    <row r="4003" customFormat="false" ht="15" hidden="false" customHeight="false" outlineLevel="0" collapsed="false">
      <c r="A4003" s="8" t="s">
        <v>8639</v>
      </c>
      <c r="B4003" s="8" t="s">
        <v>1281</v>
      </c>
      <c r="C4003" s="8" t="s">
        <v>53</v>
      </c>
      <c r="D4003" s="32" t="n">
        <v>46289</v>
      </c>
      <c r="E4003" s="8" t="n">
        <v>8</v>
      </c>
      <c r="F4003" s="8" t="str">
        <f aca="false">IF(E4003&gt;=9,"Promoter",IF(E4003&gt;=7,"Passive","Detractor"))</f>
        <v>Passive</v>
      </c>
    </row>
    <row r="4004" customFormat="false" ht="15" hidden="false" customHeight="false" outlineLevel="0" collapsed="false">
      <c r="A4004" s="8" t="s">
        <v>8640</v>
      </c>
      <c r="B4004" s="8" t="s">
        <v>2180</v>
      </c>
      <c r="C4004" s="8" t="s">
        <v>51</v>
      </c>
      <c r="D4004" s="32" t="n">
        <v>46289</v>
      </c>
      <c r="E4004" s="8" t="n">
        <v>5</v>
      </c>
      <c r="F4004" s="8" t="str">
        <f aca="false">IF(E4004&gt;=9,"Promoter",IF(E4004&gt;=7,"Passive","Detractor"))</f>
        <v>Detractor</v>
      </c>
    </row>
    <row r="4005" customFormat="false" ht="15" hidden="false" customHeight="false" outlineLevel="0" collapsed="false">
      <c r="A4005" s="8" t="s">
        <v>8641</v>
      </c>
      <c r="B4005" s="8" t="s">
        <v>4332</v>
      </c>
      <c r="C4005" s="8" t="s">
        <v>51</v>
      </c>
      <c r="D4005" s="32" t="n">
        <v>46289</v>
      </c>
      <c r="E4005" s="8" t="n">
        <v>7</v>
      </c>
      <c r="F4005" s="8" t="str">
        <f aca="false">IF(E4005&gt;=9,"Promoter",IF(E4005&gt;=7,"Passive","Detractor"))</f>
        <v>Passive</v>
      </c>
    </row>
    <row r="4006" customFormat="false" ht="15" hidden="false" customHeight="false" outlineLevel="0" collapsed="false">
      <c r="A4006" s="8" t="s">
        <v>8642</v>
      </c>
      <c r="B4006" s="8" t="s">
        <v>855</v>
      </c>
      <c r="C4006" s="8" t="s">
        <v>53</v>
      </c>
      <c r="D4006" s="32" t="n">
        <v>46289</v>
      </c>
      <c r="E4006" s="8" t="n">
        <v>5</v>
      </c>
      <c r="F4006" s="8" t="str">
        <f aca="false">IF(E4006&gt;=9,"Promoter",IF(E4006&gt;=7,"Passive","Detractor"))</f>
        <v>Detractor</v>
      </c>
    </row>
    <row r="4007" customFormat="false" ht="15" hidden="false" customHeight="false" outlineLevel="0" collapsed="false">
      <c r="A4007" s="8" t="s">
        <v>8643</v>
      </c>
      <c r="B4007" s="8" t="s">
        <v>1889</v>
      </c>
      <c r="C4007" s="8" t="s">
        <v>51</v>
      </c>
      <c r="D4007" s="32" t="n">
        <v>46289</v>
      </c>
      <c r="E4007" s="8" t="n">
        <v>8</v>
      </c>
      <c r="F4007" s="8" t="str">
        <f aca="false">IF(E4007&gt;=9,"Promoter",IF(E4007&gt;=7,"Passive","Detractor"))</f>
        <v>Passive</v>
      </c>
    </row>
    <row r="4008" customFormat="false" ht="15" hidden="false" customHeight="false" outlineLevel="0" collapsed="false">
      <c r="A4008" s="8" t="s">
        <v>8644</v>
      </c>
      <c r="B4008" s="8" t="s">
        <v>2622</v>
      </c>
      <c r="C4008" s="8" t="s">
        <v>51</v>
      </c>
      <c r="D4008" s="32" t="n">
        <v>46289</v>
      </c>
      <c r="E4008" s="8" t="n">
        <v>7</v>
      </c>
      <c r="F4008" s="8" t="str">
        <f aca="false">IF(E4008&gt;=9,"Promoter",IF(E4008&gt;=7,"Passive","Detractor"))</f>
        <v>Passive</v>
      </c>
    </row>
    <row r="4009" customFormat="false" ht="15" hidden="false" customHeight="false" outlineLevel="0" collapsed="false">
      <c r="A4009" s="8" t="s">
        <v>8645</v>
      </c>
      <c r="B4009" s="8" t="s">
        <v>2172</v>
      </c>
      <c r="C4009" s="8" t="s">
        <v>51</v>
      </c>
      <c r="D4009" s="32" t="n">
        <v>46290</v>
      </c>
      <c r="E4009" s="8" t="n">
        <v>9</v>
      </c>
      <c r="F4009" s="8" t="str">
        <f aca="false">IF(E4009&gt;=9,"Promoter",IF(E4009&gt;=7,"Passive","Detractor"))</f>
        <v>Promoter</v>
      </c>
    </row>
    <row r="4010" customFormat="false" ht="15" hidden="false" customHeight="false" outlineLevel="0" collapsed="false">
      <c r="A4010" s="8" t="s">
        <v>8646</v>
      </c>
      <c r="B4010" s="8" t="s">
        <v>1475</v>
      </c>
      <c r="C4010" s="8" t="s">
        <v>53</v>
      </c>
      <c r="D4010" s="32" t="n">
        <v>46290</v>
      </c>
      <c r="E4010" s="8" t="n">
        <v>8</v>
      </c>
      <c r="F4010" s="8" t="str">
        <f aca="false">IF(E4010&gt;=9,"Promoter",IF(E4010&gt;=7,"Passive","Detractor"))</f>
        <v>Passive</v>
      </c>
    </row>
    <row r="4011" customFormat="false" ht="15" hidden="false" customHeight="false" outlineLevel="0" collapsed="false">
      <c r="A4011" s="8" t="s">
        <v>8647</v>
      </c>
      <c r="B4011" s="8" t="s">
        <v>1611</v>
      </c>
      <c r="C4011" s="8" t="s">
        <v>53</v>
      </c>
      <c r="D4011" s="32" t="n">
        <v>46290</v>
      </c>
      <c r="E4011" s="8" t="n">
        <v>10</v>
      </c>
      <c r="F4011" s="8" t="str">
        <f aca="false">IF(E4011&gt;=9,"Promoter",IF(E4011&gt;=7,"Passive","Detractor"))</f>
        <v>Promoter</v>
      </c>
    </row>
    <row r="4012" customFormat="false" ht="15" hidden="false" customHeight="false" outlineLevel="0" collapsed="false">
      <c r="A4012" s="8" t="s">
        <v>8648</v>
      </c>
      <c r="B4012" s="8" t="s">
        <v>155</v>
      </c>
      <c r="C4012" s="8" t="s">
        <v>55</v>
      </c>
      <c r="D4012" s="32" t="n">
        <v>46290</v>
      </c>
      <c r="E4012" s="8" t="n">
        <v>7</v>
      </c>
      <c r="F4012" s="8" t="str">
        <f aca="false">IF(E4012&gt;=9,"Promoter",IF(E4012&gt;=7,"Passive","Detractor"))</f>
        <v>Passive</v>
      </c>
    </row>
    <row r="4013" customFormat="false" ht="15" hidden="false" customHeight="false" outlineLevel="0" collapsed="false">
      <c r="A4013" s="8" t="s">
        <v>8649</v>
      </c>
      <c r="B4013" s="8" t="s">
        <v>1513</v>
      </c>
      <c r="C4013" s="8" t="s">
        <v>53</v>
      </c>
      <c r="D4013" s="32" t="n">
        <v>46290</v>
      </c>
      <c r="E4013" s="8" t="n">
        <v>5</v>
      </c>
      <c r="F4013" s="8" t="str">
        <f aca="false">IF(E4013&gt;=9,"Promoter",IF(E4013&gt;=7,"Passive","Detractor"))</f>
        <v>Detractor</v>
      </c>
    </row>
    <row r="4014" customFormat="false" ht="15" hidden="false" customHeight="false" outlineLevel="0" collapsed="false">
      <c r="A4014" s="8" t="s">
        <v>8650</v>
      </c>
      <c r="B4014" s="8" t="s">
        <v>1987</v>
      </c>
      <c r="C4014" s="8" t="s">
        <v>51</v>
      </c>
      <c r="D4014" s="32" t="n">
        <v>46290</v>
      </c>
      <c r="E4014" s="8" t="n">
        <v>9</v>
      </c>
      <c r="F4014" s="8" t="str">
        <f aca="false">IF(E4014&gt;=9,"Promoter",IF(E4014&gt;=7,"Passive","Detractor"))</f>
        <v>Promoter</v>
      </c>
    </row>
    <row r="4015" customFormat="false" ht="15" hidden="false" customHeight="false" outlineLevel="0" collapsed="false">
      <c r="A4015" s="8" t="s">
        <v>8651</v>
      </c>
      <c r="B4015" s="8" t="s">
        <v>2462</v>
      </c>
      <c r="C4015" s="8" t="s">
        <v>51</v>
      </c>
      <c r="D4015" s="32" t="n">
        <v>46290</v>
      </c>
      <c r="E4015" s="8" t="n">
        <v>6</v>
      </c>
      <c r="F4015" s="8" t="str">
        <f aca="false">IF(E4015&gt;=9,"Promoter",IF(E4015&gt;=7,"Passive","Detractor"))</f>
        <v>Detractor</v>
      </c>
    </row>
    <row r="4016" customFormat="false" ht="15" hidden="false" customHeight="false" outlineLevel="0" collapsed="false">
      <c r="A4016" s="8" t="s">
        <v>8652</v>
      </c>
      <c r="B4016" s="8" t="s">
        <v>3580</v>
      </c>
      <c r="C4016" s="8" t="s">
        <v>51</v>
      </c>
      <c r="D4016" s="32" t="n">
        <v>46290</v>
      </c>
      <c r="E4016" s="8" t="n">
        <v>10</v>
      </c>
      <c r="F4016" s="8" t="str">
        <f aca="false">IF(E4016&gt;=9,"Promoter",IF(E4016&gt;=7,"Passive","Detractor"))</f>
        <v>Promoter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24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24" t="s">
        <v>94</v>
      </c>
      <c r="B1" s="24" t="s">
        <v>95</v>
      </c>
      <c r="C1" s="24" t="s">
        <v>8653</v>
      </c>
      <c r="D1" s="24" t="s">
        <v>98</v>
      </c>
      <c r="E1" s="24" t="s">
        <v>96</v>
      </c>
      <c r="F1" s="24" t="s">
        <v>97</v>
      </c>
      <c r="G1" s="24" t="s">
        <v>99</v>
      </c>
      <c r="H1" s="24" t="s">
        <v>8654</v>
      </c>
      <c r="I1" s="24" t="s">
        <v>8655</v>
      </c>
      <c r="J1" s="24" t="s">
        <v>100</v>
      </c>
      <c r="K1" s="24" t="s">
        <v>8656</v>
      </c>
      <c r="L1" s="24" t="s">
        <v>8657</v>
      </c>
      <c r="M1" s="24" t="s">
        <v>8658</v>
      </c>
      <c r="N1" s="24" t="s">
        <v>8659</v>
      </c>
      <c r="O1" s="24" t="s">
        <v>8660</v>
      </c>
      <c r="P1" s="24" t="s">
        <v>107</v>
      </c>
    </row>
    <row r="2" customFormat="false" ht="15" hidden="false" customHeight="false" outlineLevel="0" collapsed="false">
      <c r="A2" s="8" t="s">
        <v>1377</v>
      </c>
      <c r="B2" s="8" t="s">
        <v>1378</v>
      </c>
      <c r="C2" s="8" t="s">
        <v>8661</v>
      </c>
      <c r="D2" s="8" t="s">
        <v>132</v>
      </c>
      <c r="E2" s="8" t="s">
        <v>53</v>
      </c>
      <c r="F2" s="8" t="s">
        <v>326</v>
      </c>
      <c r="G2" s="8" t="s">
        <v>154</v>
      </c>
      <c r="H2" s="8" t="s">
        <v>8662</v>
      </c>
      <c r="I2" s="8" t="s">
        <v>8663</v>
      </c>
      <c r="J2" s="8" t="s">
        <v>137</v>
      </c>
      <c r="K2" s="8" t="s">
        <v>8664</v>
      </c>
      <c r="L2" s="8"/>
      <c r="M2" s="8"/>
      <c r="N2" s="8" t="n">
        <v>25</v>
      </c>
      <c r="O2" s="8" t="n">
        <v>110</v>
      </c>
      <c r="P2" s="8" t="s">
        <v>148</v>
      </c>
    </row>
    <row r="3" customFormat="false" ht="15" hidden="false" customHeight="false" outlineLevel="0" collapsed="false">
      <c r="A3" s="8" t="s">
        <v>1623</v>
      </c>
      <c r="B3" s="8" t="s">
        <v>1624</v>
      </c>
      <c r="C3" s="8" t="s">
        <v>8665</v>
      </c>
      <c r="D3" s="8" t="s">
        <v>123</v>
      </c>
      <c r="E3" s="8" t="s">
        <v>53</v>
      </c>
      <c r="F3" s="8" t="s">
        <v>326</v>
      </c>
      <c r="G3" s="8" t="s">
        <v>136</v>
      </c>
      <c r="H3" s="8" t="s">
        <v>8666</v>
      </c>
      <c r="I3" s="8" t="s">
        <v>8667</v>
      </c>
      <c r="J3" s="8" t="s">
        <v>204</v>
      </c>
      <c r="K3" s="8" t="s">
        <v>8664</v>
      </c>
      <c r="L3" s="8"/>
      <c r="M3" s="8"/>
      <c r="N3" s="8" t="n">
        <v>25</v>
      </c>
      <c r="O3" s="8" t="n">
        <v>68</v>
      </c>
      <c r="P3" s="8" t="s">
        <v>148</v>
      </c>
    </row>
    <row r="4" customFormat="false" ht="15" hidden="false" customHeight="false" outlineLevel="0" collapsed="false">
      <c r="A4" s="8" t="s">
        <v>3146</v>
      </c>
      <c r="B4" s="8" t="s">
        <v>3147</v>
      </c>
      <c r="C4" s="8" t="s">
        <v>8665</v>
      </c>
      <c r="D4" s="8" t="s">
        <v>128</v>
      </c>
      <c r="E4" s="8" t="s">
        <v>51</v>
      </c>
      <c r="F4" s="8" t="s">
        <v>2027</v>
      </c>
      <c r="G4" s="8" t="s">
        <v>143</v>
      </c>
      <c r="H4" s="8" t="s">
        <v>8666</v>
      </c>
      <c r="I4" s="8" t="s">
        <v>8668</v>
      </c>
      <c r="J4" s="8" t="s">
        <v>147</v>
      </c>
      <c r="K4" s="8" t="s">
        <v>8664</v>
      </c>
      <c r="L4" s="8"/>
      <c r="M4" s="8"/>
      <c r="N4" s="8" t="n">
        <v>12</v>
      </c>
      <c r="O4" s="8" t="n">
        <v>27</v>
      </c>
      <c r="P4" s="8" t="s">
        <v>120</v>
      </c>
    </row>
    <row r="5" customFormat="false" ht="15" hidden="false" customHeight="false" outlineLevel="0" collapsed="false">
      <c r="A5" s="8" t="s">
        <v>1023</v>
      </c>
      <c r="B5" s="8" t="s">
        <v>1024</v>
      </c>
      <c r="C5" s="8" t="s">
        <v>8669</v>
      </c>
      <c r="D5" s="8" t="s">
        <v>123</v>
      </c>
      <c r="E5" s="8" t="s">
        <v>53</v>
      </c>
      <c r="F5" s="8" t="s">
        <v>326</v>
      </c>
      <c r="G5" s="8" t="s">
        <v>124</v>
      </c>
      <c r="H5" s="8" t="s">
        <v>8670</v>
      </c>
      <c r="I5" s="8" t="s">
        <v>8671</v>
      </c>
      <c r="J5" s="8" t="s">
        <v>159</v>
      </c>
      <c r="K5" s="8" t="s">
        <v>8664</v>
      </c>
      <c r="L5" s="8"/>
      <c r="M5" s="8"/>
      <c r="N5" s="8" t="n">
        <v>25</v>
      </c>
      <c r="O5" s="8" t="n">
        <v>160</v>
      </c>
      <c r="P5" s="8" t="s">
        <v>120</v>
      </c>
    </row>
    <row r="6" customFormat="false" ht="15" hidden="false" customHeight="false" outlineLevel="0" collapsed="false">
      <c r="A6" s="8" t="s">
        <v>2028</v>
      </c>
      <c r="B6" s="8" t="s">
        <v>2029</v>
      </c>
      <c r="C6" s="8" t="s">
        <v>8665</v>
      </c>
      <c r="D6" s="8" t="s">
        <v>117</v>
      </c>
      <c r="E6" s="8" t="s">
        <v>51</v>
      </c>
      <c r="F6" s="8" t="s">
        <v>326</v>
      </c>
      <c r="G6" s="8" t="s">
        <v>124</v>
      </c>
      <c r="H6" s="8" t="s">
        <v>8662</v>
      </c>
      <c r="I6" s="8" t="s">
        <v>8672</v>
      </c>
      <c r="J6" s="8" t="s">
        <v>180</v>
      </c>
      <c r="K6" s="8" t="s">
        <v>8664</v>
      </c>
      <c r="L6" s="8"/>
      <c r="M6" s="8"/>
      <c r="N6" s="8" t="n">
        <v>25</v>
      </c>
      <c r="O6" s="8" t="n">
        <v>30</v>
      </c>
      <c r="P6" s="8" t="s">
        <v>120</v>
      </c>
    </row>
    <row r="7" customFormat="false" ht="15" hidden="false" customHeight="false" outlineLevel="0" collapsed="false">
      <c r="A7" s="8" t="s">
        <v>2001</v>
      </c>
      <c r="B7" s="8" t="s">
        <v>2002</v>
      </c>
      <c r="C7" s="8" t="s">
        <v>8669</v>
      </c>
      <c r="D7" s="8" t="s">
        <v>117</v>
      </c>
      <c r="E7" s="8" t="s">
        <v>51</v>
      </c>
      <c r="F7" s="8" t="s">
        <v>326</v>
      </c>
      <c r="G7" s="8" t="s">
        <v>124</v>
      </c>
      <c r="H7" s="8" t="s">
        <v>8666</v>
      </c>
      <c r="I7" s="8" t="s">
        <v>8673</v>
      </c>
      <c r="J7" s="8" t="s">
        <v>185</v>
      </c>
      <c r="K7" s="8" t="s">
        <v>8664</v>
      </c>
      <c r="L7" s="8"/>
      <c r="M7" s="8"/>
      <c r="N7" s="8" t="n">
        <v>25</v>
      </c>
      <c r="O7" s="8" t="n">
        <v>31</v>
      </c>
      <c r="P7" s="8" t="s">
        <v>120</v>
      </c>
    </row>
    <row r="8" customFormat="false" ht="15" hidden="false" customHeight="false" outlineLevel="0" collapsed="false">
      <c r="A8" s="8" t="s">
        <v>649</v>
      </c>
      <c r="B8" s="8" t="s">
        <v>650</v>
      </c>
      <c r="C8" s="8" t="s">
        <v>8674</v>
      </c>
      <c r="D8" s="8" t="s">
        <v>117</v>
      </c>
      <c r="E8" s="8" t="s">
        <v>55</v>
      </c>
      <c r="F8" s="8" t="s">
        <v>55</v>
      </c>
      <c r="G8" s="8" t="s">
        <v>124</v>
      </c>
      <c r="H8" s="8" t="s">
        <v>8675</v>
      </c>
      <c r="I8" s="8" t="s">
        <v>8676</v>
      </c>
      <c r="J8" s="8" t="s">
        <v>159</v>
      </c>
      <c r="K8" s="8" t="s">
        <v>8664</v>
      </c>
      <c r="L8" s="8"/>
      <c r="M8" s="8"/>
      <c r="N8" s="8" t="n">
        <v>45</v>
      </c>
      <c r="O8" s="8" t="n">
        <v>151</v>
      </c>
      <c r="P8" s="8" t="s">
        <v>120</v>
      </c>
    </row>
    <row r="9" customFormat="false" ht="15" hidden="false" customHeight="false" outlineLevel="0" collapsed="false">
      <c r="A9" s="8" t="s">
        <v>429</v>
      </c>
      <c r="B9" s="8" t="s">
        <v>430</v>
      </c>
      <c r="C9" s="8" t="s">
        <v>8669</v>
      </c>
      <c r="D9" s="8" t="s">
        <v>117</v>
      </c>
      <c r="E9" s="8" t="s">
        <v>55</v>
      </c>
      <c r="F9" s="8" t="s">
        <v>55</v>
      </c>
      <c r="G9" s="8" t="s">
        <v>154</v>
      </c>
      <c r="H9" s="8" t="s">
        <v>8675</v>
      </c>
      <c r="I9" s="8" t="s">
        <v>8677</v>
      </c>
      <c r="J9" s="8" t="s">
        <v>180</v>
      </c>
      <c r="K9" s="8" t="s">
        <v>8664</v>
      </c>
      <c r="L9" s="8"/>
      <c r="M9" s="8"/>
      <c r="N9" s="8" t="n">
        <v>45</v>
      </c>
      <c r="O9" s="8" t="n">
        <v>197</v>
      </c>
      <c r="P9" s="8" t="s">
        <v>120</v>
      </c>
    </row>
    <row r="10" customFormat="false" ht="15" hidden="false" customHeight="false" outlineLevel="0" collapsed="false">
      <c r="A10" s="8" t="s">
        <v>2486</v>
      </c>
      <c r="B10" s="8" t="s">
        <v>2487</v>
      </c>
      <c r="C10" s="8" t="s">
        <v>8678</v>
      </c>
      <c r="D10" s="8" t="s">
        <v>123</v>
      </c>
      <c r="E10" s="8" t="s">
        <v>51</v>
      </c>
      <c r="F10" s="8" t="s">
        <v>2027</v>
      </c>
      <c r="G10" s="8" t="s">
        <v>118</v>
      </c>
      <c r="H10" s="8" t="s">
        <v>8662</v>
      </c>
      <c r="I10" s="8" t="s">
        <v>8679</v>
      </c>
      <c r="J10" s="8" t="s">
        <v>204</v>
      </c>
      <c r="K10" s="8" t="s">
        <v>8664</v>
      </c>
      <c r="L10" s="8"/>
      <c r="M10" s="8"/>
      <c r="N10" s="8" t="n">
        <v>12</v>
      </c>
      <c r="O10" s="8" t="n">
        <v>38</v>
      </c>
      <c r="P10" s="8" t="s">
        <v>120</v>
      </c>
    </row>
    <row r="11" customFormat="false" ht="15" hidden="false" customHeight="false" outlineLevel="0" collapsed="false">
      <c r="A11" s="8" t="s">
        <v>2418</v>
      </c>
      <c r="B11" s="8" t="s">
        <v>2419</v>
      </c>
      <c r="C11" s="8" t="s">
        <v>8680</v>
      </c>
      <c r="D11" s="8" t="s">
        <v>123</v>
      </c>
      <c r="E11" s="8" t="s">
        <v>51</v>
      </c>
      <c r="F11" s="8" t="s">
        <v>326</v>
      </c>
      <c r="G11" s="8" t="s">
        <v>118</v>
      </c>
      <c r="H11" s="8" t="s">
        <v>8662</v>
      </c>
      <c r="I11" s="8" t="s">
        <v>8681</v>
      </c>
      <c r="J11" s="8" t="s">
        <v>204</v>
      </c>
      <c r="K11" s="8" t="s">
        <v>8664</v>
      </c>
      <c r="L11" s="8"/>
      <c r="M11" s="8"/>
      <c r="N11" s="8" t="n">
        <v>25</v>
      </c>
      <c r="O11" s="8" t="n">
        <v>19</v>
      </c>
      <c r="P11" s="8" t="s">
        <v>120</v>
      </c>
    </row>
    <row r="12" customFormat="false" ht="15" hidden="false" customHeight="false" outlineLevel="0" collapsed="false">
      <c r="A12" s="8" t="s">
        <v>1015</v>
      </c>
      <c r="B12" s="8" t="s">
        <v>1016</v>
      </c>
      <c r="C12" s="8" t="s">
        <v>8665</v>
      </c>
      <c r="D12" s="8" t="s">
        <v>123</v>
      </c>
      <c r="E12" s="8" t="s">
        <v>55</v>
      </c>
      <c r="F12" s="8" t="s">
        <v>326</v>
      </c>
      <c r="G12" s="8" t="s">
        <v>190</v>
      </c>
      <c r="H12" s="8" t="s">
        <v>8675</v>
      </c>
      <c r="I12" s="8" t="s">
        <v>8682</v>
      </c>
      <c r="J12" s="8" t="s">
        <v>140</v>
      </c>
      <c r="K12" s="8" t="s">
        <v>8664</v>
      </c>
      <c r="L12" s="8"/>
      <c r="M12" s="8"/>
      <c r="N12" s="8" t="n">
        <v>25</v>
      </c>
      <c r="O12" s="8" t="n">
        <v>163</v>
      </c>
      <c r="P12" s="8" t="s">
        <v>120</v>
      </c>
    </row>
    <row r="13" customFormat="false" ht="15" hidden="false" customHeight="false" outlineLevel="0" collapsed="false">
      <c r="A13" s="8" t="s">
        <v>3542</v>
      </c>
      <c r="B13" s="8" t="s">
        <v>3543</v>
      </c>
      <c r="C13" s="8" t="s">
        <v>8674</v>
      </c>
      <c r="D13" s="8" t="s">
        <v>132</v>
      </c>
      <c r="E13" s="8" t="s">
        <v>51</v>
      </c>
      <c r="F13" s="8" t="s">
        <v>2027</v>
      </c>
      <c r="G13" s="8" t="s">
        <v>154</v>
      </c>
      <c r="H13" s="8" t="s">
        <v>8666</v>
      </c>
      <c r="I13" s="8" t="s">
        <v>8683</v>
      </c>
      <c r="J13" s="8" t="s">
        <v>144</v>
      </c>
      <c r="K13" s="8" t="s">
        <v>8664</v>
      </c>
      <c r="L13" s="8"/>
      <c r="M13" s="8"/>
      <c r="N13" s="8" t="n">
        <v>12</v>
      </c>
      <c r="O13" s="8" t="n">
        <v>20</v>
      </c>
      <c r="P13" s="8" t="s">
        <v>120</v>
      </c>
    </row>
    <row r="14" customFormat="false" ht="15" hidden="false" customHeight="false" outlineLevel="0" collapsed="false">
      <c r="A14" s="8" t="s">
        <v>2918</v>
      </c>
      <c r="B14" s="8" t="s">
        <v>2919</v>
      </c>
      <c r="C14" s="8" t="s">
        <v>8669</v>
      </c>
      <c r="D14" s="8" t="s">
        <v>117</v>
      </c>
      <c r="E14" s="8" t="s">
        <v>51</v>
      </c>
      <c r="F14" s="8" t="s">
        <v>2027</v>
      </c>
      <c r="G14" s="8" t="s">
        <v>223</v>
      </c>
      <c r="H14" s="8" t="s">
        <v>8662</v>
      </c>
      <c r="I14" s="8" t="s">
        <v>8684</v>
      </c>
      <c r="J14" s="8" t="s">
        <v>137</v>
      </c>
      <c r="K14" s="8" t="s">
        <v>8664</v>
      </c>
      <c r="L14" s="8"/>
      <c r="M14" s="8"/>
      <c r="N14" s="8" t="n">
        <v>12</v>
      </c>
      <c r="O14" s="8" t="n">
        <v>18</v>
      </c>
      <c r="P14" s="8" t="s">
        <v>120</v>
      </c>
    </row>
    <row r="15" customFormat="false" ht="15" hidden="false" customHeight="false" outlineLevel="0" collapsed="false">
      <c r="A15" s="8" t="s">
        <v>2586</v>
      </c>
      <c r="B15" s="8" t="s">
        <v>2587</v>
      </c>
      <c r="C15" s="8" t="s">
        <v>8680</v>
      </c>
      <c r="D15" s="8" t="s">
        <v>117</v>
      </c>
      <c r="E15" s="8" t="s">
        <v>51</v>
      </c>
      <c r="F15" s="8" t="s">
        <v>2027</v>
      </c>
      <c r="G15" s="8" t="s">
        <v>154</v>
      </c>
      <c r="H15" s="8" t="s">
        <v>8666</v>
      </c>
      <c r="I15" s="8" t="s">
        <v>8685</v>
      </c>
      <c r="J15" s="8" t="s">
        <v>180</v>
      </c>
      <c r="K15" s="8" t="s">
        <v>8664</v>
      </c>
      <c r="L15" s="8"/>
      <c r="M15" s="8"/>
      <c r="N15" s="8" t="n">
        <v>12</v>
      </c>
      <c r="O15" s="8" t="n">
        <v>36</v>
      </c>
      <c r="P15" s="8" t="s">
        <v>120</v>
      </c>
    </row>
    <row r="16" customFormat="false" ht="15" hidden="false" customHeight="false" outlineLevel="0" collapsed="false">
      <c r="A16" s="8" t="s">
        <v>8686</v>
      </c>
      <c r="B16" s="8" t="s">
        <v>8687</v>
      </c>
      <c r="C16" s="8" t="s">
        <v>8688</v>
      </c>
      <c r="D16" s="8" t="s">
        <v>128</v>
      </c>
      <c r="E16" s="8" t="s">
        <v>53</v>
      </c>
      <c r="F16" s="8" t="s">
        <v>55</v>
      </c>
      <c r="G16" s="8" t="s">
        <v>190</v>
      </c>
      <c r="H16" s="8" t="s">
        <v>8666</v>
      </c>
      <c r="I16" s="8" t="s">
        <v>8689</v>
      </c>
      <c r="J16" s="8"/>
      <c r="K16" s="8" t="s">
        <v>8690</v>
      </c>
      <c r="L16" s="8" t="s">
        <v>8691</v>
      </c>
      <c r="M16" s="8" t="s">
        <v>8692</v>
      </c>
      <c r="N16" s="8" t="n">
        <v>45</v>
      </c>
      <c r="O16" s="8" t="n">
        <v>79</v>
      </c>
      <c r="P16" s="8" t="s">
        <v>120</v>
      </c>
    </row>
    <row r="17" customFormat="false" ht="15" hidden="false" customHeight="false" outlineLevel="0" collapsed="false">
      <c r="A17" s="8" t="s">
        <v>4578</v>
      </c>
      <c r="B17" s="8" t="s">
        <v>8693</v>
      </c>
      <c r="C17" s="8" t="s">
        <v>8665</v>
      </c>
      <c r="D17" s="8" t="s">
        <v>117</v>
      </c>
      <c r="E17" s="8" t="s">
        <v>51</v>
      </c>
      <c r="F17" s="8" t="s">
        <v>326</v>
      </c>
      <c r="G17" s="8" t="s">
        <v>154</v>
      </c>
      <c r="H17" s="8" t="s">
        <v>8666</v>
      </c>
      <c r="I17" s="8" t="s">
        <v>8694</v>
      </c>
      <c r="J17" s="8"/>
      <c r="K17" s="8" t="s">
        <v>8690</v>
      </c>
      <c r="L17" s="8" t="s">
        <v>8695</v>
      </c>
      <c r="M17" s="8" t="s">
        <v>8696</v>
      </c>
      <c r="N17" s="8" t="n">
        <v>25</v>
      </c>
      <c r="O17" s="8" t="n">
        <v>8</v>
      </c>
      <c r="P17" s="8" t="s">
        <v>120</v>
      </c>
    </row>
    <row r="18" customFormat="false" ht="15" hidden="false" customHeight="false" outlineLevel="0" collapsed="false">
      <c r="A18" s="8" t="s">
        <v>1355</v>
      </c>
      <c r="B18" s="8" t="s">
        <v>1356</v>
      </c>
      <c r="C18" s="8" t="s">
        <v>8680</v>
      </c>
      <c r="D18" s="8" t="s">
        <v>123</v>
      </c>
      <c r="E18" s="8" t="s">
        <v>53</v>
      </c>
      <c r="F18" s="8" t="s">
        <v>326</v>
      </c>
      <c r="G18" s="8" t="s">
        <v>118</v>
      </c>
      <c r="H18" s="8" t="s">
        <v>8662</v>
      </c>
      <c r="I18" s="8" t="s">
        <v>8697</v>
      </c>
      <c r="J18" s="8" t="s">
        <v>137</v>
      </c>
      <c r="K18" s="8" t="s">
        <v>8664</v>
      </c>
      <c r="L18" s="8"/>
      <c r="M18" s="8"/>
      <c r="N18" s="8" t="n">
        <v>25</v>
      </c>
      <c r="O18" s="8" t="n">
        <v>114</v>
      </c>
      <c r="P18" s="8" t="s">
        <v>120</v>
      </c>
    </row>
    <row r="19" customFormat="false" ht="15" hidden="false" customHeight="false" outlineLevel="0" collapsed="false">
      <c r="A19" s="8" t="s">
        <v>751</v>
      </c>
      <c r="B19" s="8" t="s">
        <v>752</v>
      </c>
      <c r="C19" s="8" t="s">
        <v>8674</v>
      </c>
      <c r="D19" s="8" t="s">
        <v>132</v>
      </c>
      <c r="E19" s="8" t="s">
        <v>53</v>
      </c>
      <c r="F19" s="8" t="s">
        <v>55</v>
      </c>
      <c r="G19" s="8" t="s">
        <v>133</v>
      </c>
      <c r="H19" s="8" t="s">
        <v>8670</v>
      </c>
      <c r="I19" s="8" t="s">
        <v>8698</v>
      </c>
      <c r="J19" s="8" t="s">
        <v>144</v>
      </c>
      <c r="K19" s="8" t="s">
        <v>8664</v>
      </c>
      <c r="L19" s="8"/>
      <c r="M19" s="8"/>
      <c r="N19" s="8" t="n">
        <v>45</v>
      </c>
      <c r="O19" s="8" t="n">
        <v>92</v>
      </c>
      <c r="P19" s="8" t="s">
        <v>120</v>
      </c>
    </row>
    <row r="20" customFormat="false" ht="15" hidden="false" customHeight="false" outlineLevel="0" collapsed="false">
      <c r="A20" s="8" t="s">
        <v>3316</v>
      </c>
      <c r="B20" s="8" t="s">
        <v>3317</v>
      </c>
      <c r="C20" s="8" t="s">
        <v>8678</v>
      </c>
      <c r="D20" s="8" t="s">
        <v>123</v>
      </c>
      <c r="E20" s="8" t="s">
        <v>51</v>
      </c>
      <c r="F20" s="8" t="s">
        <v>2027</v>
      </c>
      <c r="G20" s="8" t="s">
        <v>154</v>
      </c>
      <c r="H20" s="8" t="s">
        <v>8675</v>
      </c>
      <c r="I20" s="8" t="s">
        <v>8699</v>
      </c>
      <c r="J20" s="8" t="s">
        <v>144</v>
      </c>
      <c r="K20" s="8" t="s">
        <v>8664</v>
      </c>
      <c r="L20" s="8"/>
      <c r="M20" s="8"/>
      <c r="N20" s="8" t="n">
        <v>12</v>
      </c>
      <c r="O20" s="8" t="n">
        <v>21</v>
      </c>
      <c r="P20" s="8" t="s">
        <v>120</v>
      </c>
    </row>
    <row r="21" customFormat="false" ht="15" hidden="false" customHeight="false" outlineLevel="0" collapsed="false">
      <c r="A21" s="8" t="s">
        <v>306</v>
      </c>
      <c r="B21" s="8" t="s">
        <v>307</v>
      </c>
      <c r="C21" s="8" t="s">
        <v>8700</v>
      </c>
      <c r="D21" s="8" t="s">
        <v>128</v>
      </c>
      <c r="E21" s="8" t="s">
        <v>55</v>
      </c>
      <c r="F21" s="8" t="s">
        <v>55</v>
      </c>
      <c r="G21" s="8" t="s">
        <v>136</v>
      </c>
      <c r="H21" s="8" t="s">
        <v>8675</v>
      </c>
      <c r="I21" s="8" t="s">
        <v>8701</v>
      </c>
      <c r="J21" s="8" t="s">
        <v>144</v>
      </c>
      <c r="K21" s="8" t="s">
        <v>8664</v>
      </c>
      <c r="L21" s="8"/>
      <c r="M21" s="8"/>
      <c r="N21" s="8" t="n">
        <v>45</v>
      </c>
      <c r="O21" s="8" t="n">
        <v>385</v>
      </c>
      <c r="P21" s="8" t="s">
        <v>120</v>
      </c>
    </row>
    <row r="22" customFormat="false" ht="15" hidden="false" customHeight="false" outlineLevel="0" collapsed="false">
      <c r="A22" s="8" t="s">
        <v>4564</v>
      </c>
      <c r="B22" s="8" t="s">
        <v>8702</v>
      </c>
      <c r="C22" s="8" t="s">
        <v>8680</v>
      </c>
      <c r="D22" s="8" t="s">
        <v>132</v>
      </c>
      <c r="E22" s="8" t="s">
        <v>51</v>
      </c>
      <c r="F22" s="8" t="s">
        <v>2027</v>
      </c>
      <c r="G22" s="8" t="s">
        <v>133</v>
      </c>
      <c r="H22" s="8" t="s">
        <v>8675</v>
      </c>
      <c r="I22" s="8" t="s">
        <v>8703</v>
      </c>
      <c r="J22" s="8"/>
      <c r="K22" s="8" t="s">
        <v>8690</v>
      </c>
      <c r="L22" s="8" t="s">
        <v>8704</v>
      </c>
      <c r="M22" s="8" t="s">
        <v>8705</v>
      </c>
      <c r="N22" s="8" t="n">
        <v>12</v>
      </c>
      <c r="O22" s="8" t="n">
        <v>23</v>
      </c>
      <c r="P22" s="8" t="s">
        <v>120</v>
      </c>
    </row>
    <row r="23" customFormat="false" ht="15" hidden="false" customHeight="false" outlineLevel="0" collapsed="false">
      <c r="A23" s="8" t="s">
        <v>3544</v>
      </c>
      <c r="B23" s="8" t="s">
        <v>3545</v>
      </c>
      <c r="C23" s="8" t="s">
        <v>8665</v>
      </c>
      <c r="D23" s="8" t="s">
        <v>123</v>
      </c>
      <c r="E23" s="8" t="s">
        <v>51</v>
      </c>
      <c r="F23" s="8" t="s">
        <v>2027</v>
      </c>
      <c r="G23" s="8" t="s">
        <v>136</v>
      </c>
      <c r="H23" s="8" t="s">
        <v>8670</v>
      </c>
      <c r="I23" s="8" t="s">
        <v>8706</v>
      </c>
      <c r="J23" s="8" t="s">
        <v>125</v>
      </c>
      <c r="K23" s="8" t="s">
        <v>8664</v>
      </c>
      <c r="L23" s="8"/>
      <c r="M23" s="8"/>
      <c r="N23" s="8" t="n">
        <v>12</v>
      </c>
      <c r="O23" s="8" t="n">
        <v>20</v>
      </c>
      <c r="P23" s="8" t="s">
        <v>120</v>
      </c>
    </row>
    <row r="24" customFormat="false" ht="15" hidden="false" customHeight="false" outlineLevel="0" collapsed="false">
      <c r="A24" s="8" t="s">
        <v>3898</v>
      </c>
      <c r="B24" s="8" t="s">
        <v>3899</v>
      </c>
      <c r="C24" s="8" t="s">
        <v>8678</v>
      </c>
      <c r="D24" s="8" t="s">
        <v>117</v>
      </c>
      <c r="E24" s="8" t="s">
        <v>51</v>
      </c>
      <c r="F24" s="8" t="s">
        <v>2027</v>
      </c>
      <c r="G24" s="8" t="s">
        <v>118</v>
      </c>
      <c r="H24" s="8" t="s">
        <v>8675</v>
      </c>
      <c r="I24" s="8" t="s">
        <v>8707</v>
      </c>
      <c r="J24" s="8" t="s">
        <v>177</v>
      </c>
      <c r="K24" s="8" t="s">
        <v>8664</v>
      </c>
      <c r="L24" s="8"/>
      <c r="M24" s="8"/>
      <c r="N24" s="8" t="n">
        <v>12</v>
      </c>
      <c r="O24" s="8" t="n">
        <v>17</v>
      </c>
      <c r="P24" s="8" t="s">
        <v>120</v>
      </c>
    </row>
    <row r="25" customFormat="false" ht="15" hidden="false" customHeight="false" outlineLevel="0" collapsed="false">
      <c r="A25" s="8" t="s">
        <v>3900</v>
      </c>
      <c r="B25" s="8" t="s">
        <v>3901</v>
      </c>
      <c r="C25" s="8" t="s">
        <v>8674</v>
      </c>
      <c r="D25" s="8" t="s">
        <v>123</v>
      </c>
      <c r="E25" s="8" t="s">
        <v>51</v>
      </c>
      <c r="F25" s="8" t="s">
        <v>2027</v>
      </c>
      <c r="G25" s="8" t="s">
        <v>223</v>
      </c>
      <c r="H25" s="8" t="s">
        <v>8662</v>
      </c>
      <c r="I25" s="8" t="s">
        <v>8708</v>
      </c>
      <c r="J25" s="8" t="s">
        <v>177</v>
      </c>
      <c r="K25" s="8" t="s">
        <v>8664</v>
      </c>
      <c r="L25" s="8"/>
      <c r="M25" s="8"/>
      <c r="N25" s="8" t="n">
        <v>12</v>
      </c>
      <c r="O25" s="8" t="n">
        <v>11</v>
      </c>
      <c r="P25" s="8" t="s">
        <v>120</v>
      </c>
    </row>
    <row r="26" customFormat="false" ht="15" hidden="false" customHeight="false" outlineLevel="0" collapsed="false">
      <c r="A26" s="8" t="s">
        <v>1309</v>
      </c>
      <c r="B26" s="8" t="s">
        <v>1310</v>
      </c>
      <c r="C26" s="8" t="s">
        <v>8669</v>
      </c>
      <c r="D26" s="8" t="s">
        <v>128</v>
      </c>
      <c r="E26" s="8" t="s">
        <v>53</v>
      </c>
      <c r="F26" s="8" t="s">
        <v>326</v>
      </c>
      <c r="G26" s="8" t="s">
        <v>124</v>
      </c>
      <c r="H26" s="8" t="s">
        <v>8675</v>
      </c>
      <c r="I26" s="8" t="s">
        <v>8709</v>
      </c>
      <c r="J26" s="8" t="s">
        <v>204</v>
      </c>
      <c r="K26" s="8" t="s">
        <v>8664</v>
      </c>
      <c r="L26" s="8"/>
      <c r="M26" s="8"/>
      <c r="N26" s="8" t="n">
        <v>25</v>
      </c>
      <c r="O26" s="8" t="n">
        <v>159</v>
      </c>
      <c r="P26" s="8" t="s">
        <v>120</v>
      </c>
    </row>
    <row r="27" customFormat="false" ht="15" hidden="false" customHeight="false" outlineLevel="0" collapsed="false">
      <c r="A27" s="8" t="s">
        <v>1025</v>
      </c>
      <c r="B27" s="8" t="s">
        <v>1026</v>
      </c>
      <c r="C27" s="8" t="s">
        <v>8700</v>
      </c>
      <c r="D27" s="8" t="s">
        <v>123</v>
      </c>
      <c r="E27" s="8" t="s">
        <v>53</v>
      </c>
      <c r="F27" s="8" t="s">
        <v>326</v>
      </c>
      <c r="G27" s="8" t="s">
        <v>136</v>
      </c>
      <c r="H27" s="8" t="s">
        <v>8662</v>
      </c>
      <c r="I27" s="8" t="s">
        <v>8710</v>
      </c>
      <c r="J27" s="8" t="s">
        <v>147</v>
      </c>
      <c r="K27" s="8" t="s">
        <v>8664</v>
      </c>
      <c r="L27" s="8"/>
      <c r="M27" s="8"/>
      <c r="N27" s="8" t="n">
        <v>25</v>
      </c>
      <c r="O27" s="8" t="n">
        <v>160</v>
      </c>
      <c r="P27" s="8" t="s">
        <v>148</v>
      </c>
    </row>
    <row r="28" customFormat="false" ht="15" hidden="false" customHeight="false" outlineLevel="0" collapsed="false">
      <c r="A28" s="8" t="s">
        <v>4450</v>
      </c>
      <c r="B28" s="8" t="s">
        <v>8711</v>
      </c>
      <c r="C28" s="8" t="s">
        <v>8669</v>
      </c>
      <c r="D28" s="8" t="s">
        <v>132</v>
      </c>
      <c r="E28" s="8" t="s">
        <v>53</v>
      </c>
      <c r="F28" s="8" t="s">
        <v>326</v>
      </c>
      <c r="G28" s="8" t="s">
        <v>154</v>
      </c>
      <c r="H28" s="8" t="s">
        <v>8670</v>
      </c>
      <c r="I28" s="8" t="s">
        <v>8712</v>
      </c>
      <c r="J28" s="8"/>
      <c r="K28" s="8" t="s">
        <v>8690</v>
      </c>
      <c r="L28" s="8" t="s">
        <v>8713</v>
      </c>
      <c r="M28" s="8" t="s">
        <v>8696</v>
      </c>
      <c r="N28" s="8" t="n">
        <v>25</v>
      </c>
      <c r="O28" s="8" t="n">
        <v>141</v>
      </c>
      <c r="P28" s="8" t="s">
        <v>120</v>
      </c>
    </row>
    <row r="29" customFormat="false" ht="15" hidden="false" customHeight="false" outlineLevel="0" collapsed="false">
      <c r="A29" s="8" t="s">
        <v>2352</v>
      </c>
      <c r="B29" s="8" t="s">
        <v>2353</v>
      </c>
      <c r="C29" s="8" t="s">
        <v>8688</v>
      </c>
      <c r="D29" s="8" t="s">
        <v>132</v>
      </c>
      <c r="E29" s="8" t="s">
        <v>51</v>
      </c>
      <c r="F29" s="8" t="s">
        <v>2027</v>
      </c>
      <c r="G29" s="8" t="s">
        <v>136</v>
      </c>
      <c r="H29" s="8" t="s">
        <v>8670</v>
      </c>
      <c r="I29" s="8" t="s">
        <v>8714</v>
      </c>
      <c r="J29" s="8" t="s">
        <v>185</v>
      </c>
      <c r="K29" s="8" t="s">
        <v>8664</v>
      </c>
      <c r="L29" s="8"/>
      <c r="M29" s="8"/>
      <c r="N29" s="8" t="n">
        <v>12</v>
      </c>
      <c r="O29" s="8" t="n">
        <v>32</v>
      </c>
      <c r="P29" s="8" t="s">
        <v>120</v>
      </c>
    </row>
    <row r="30" customFormat="false" ht="15" hidden="false" customHeight="false" outlineLevel="0" collapsed="false">
      <c r="A30" s="8" t="s">
        <v>3954</v>
      </c>
      <c r="B30" s="8" t="s">
        <v>3955</v>
      </c>
      <c r="C30" s="8" t="s">
        <v>8669</v>
      </c>
      <c r="D30" s="8" t="s">
        <v>123</v>
      </c>
      <c r="E30" s="8" t="s">
        <v>51</v>
      </c>
      <c r="F30" s="8" t="s">
        <v>326</v>
      </c>
      <c r="G30" s="8" t="s">
        <v>143</v>
      </c>
      <c r="H30" s="8" t="s">
        <v>8662</v>
      </c>
      <c r="I30" s="8" t="s">
        <v>8715</v>
      </c>
      <c r="J30" s="8" t="s">
        <v>180</v>
      </c>
      <c r="K30" s="8" t="s">
        <v>8664</v>
      </c>
      <c r="L30" s="8"/>
      <c r="M30" s="8"/>
      <c r="N30" s="8" t="n">
        <v>25</v>
      </c>
      <c r="O30" s="8" t="n">
        <v>6</v>
      </c>
      <c r="P30" s="8" t="s">
        <v>120</v>
      </c>
    </row>
    <row r="31" customFormat="false" ht="15" hidden="false" customHeight="false" outlineLevel="0" collapsed="false">
      <c r="A31" s="8" t="s">
        <v>1915</v>
      </c>
      <c r="B31" s="8" t="s">
        <v>1916</v>
      </c>
      <c r="C31" s="8" t="s">
        <v>8669</v>
      </c>
      <c r="D31" s="8" t="s">
        <v>117</v>
      </c>
      <c r="E31" s="8" t="s">
        <v>51</v>
      </c>
      <c r="F31" s="8" t="s">
        <v>326</v>
      </c>
      <c r="G31" s="8" t="s">
        <v>133</v>
      </c>
      <c r="H31" s="8" t="s">
        <v>8666</v>
      </c>
      <c r="I31" s="8" t="s">
        <v>8716</v>
      </c>
      <c r="J31" s="8" t="s">
        <v>177</v>
      </c>
      <c r="K31" s="8" t="s">
        <v>8664</v>
      </c>
      <c r="L31" s="8"/>
      <c r="M31" s="8"/>
      <c r="N31" s="8" t="n">
        <v>25</v>
      </c>
      <c r="O31" s="8" t="n">
        <v>21</v>
      </c>
      <c r="P31" s="8" t="s">
        <v>120</v>
      </c>
    </row>
    <row r="32" customFormat="false" ht="15" hidden="false" customHeight="false" outlineLevel="0" collapsed="false">
      <c r="A32" s="8" t="s">
        <v>191</v>
      </c>
      <c r="B32" s="8" t="s">
        <v>192</v>
      </c>
      <c r="C32" s="8" t="s">
        <v>8674</v>
      </c>
      <c r="D32" s="8" t="s">
        <v>132</v>
      </c>
      <c r="E32" s="8" t="s">
        <v>55</v>
      </c>
      <c r="F32" s="8" t="s">
        <v>55</v>
      </c>
      <c r="G32" s="8" t="s">
        <v>143</v>
      </c>
      <c r="H32" s="8" t="s">
        <v>8670</v>
      </c>
      <c r="I32" s="8" t="s">
        <v>8717</v>
      </c>
      <c r="J32" s="8" t="s">
        <v>177</v>
      </c>
      <c r="K32" s="8" t="s">
        <v>8664</v>
      </c>
      <c r="L32" s="8"/>
      <c r="M32" s="8"/>
      <c r="N32" s="8" t="n">
        <v>45</v>
      </c>
      <c r="O32" s="8" t="n">
        <v>480</v>
      </c>
      <c r="P32" s="8" t="s">
        <v>120</v>
      </c>
    </row>
    <row r="33" customFormat="false" ht="15" hidden="false" customHeight="false" outlineLevel="0" collapsed="false">
      <c r="A33" s="8" t="s">
        <v>7480</v>
      </c>
      <c r="B33" s="8" t="s">
        <v>8718</v>
      </c>
      <c r="C33" s="8" t="s">
        <v>8669</v>
      </c>
      <c r="D33" s="8" t="s">
        <v>132</v>
      </c>
      <c r="E33" s="8" t="s">
        <v>53</v>
      </c>
      <c r="F33" s="8" t="s">
        <v>326</v>
      </c>
      <c r="G33" s="8" t="s">
        <v>151</v>
      </c>
      <c r="H33" s="8" t="s">
        <v>8666</v>
      </c>
      <c r="I33" s="8" t="s">
        <v>8719</v>
      </c>
      <c r="J33" s="8"/>
      <c r="K33" s="8" t="s">
        <v>8690</v>
      </c>
      <c r="L33" s="8" t="s">
        <v>8720</v>
      </c>
      <c r="M33" s="8" t="s">
        <v>8721</v>
      </c>
      <c r="N33" s="8" t="n">
        <v>25</v>
      </c>
      <c r="O33" s="8" t="n">
        <v>182</v>
      </c>
      <c r="P33" s="8" t="s">
        <v>120</v>
      </c>
    </row>
    <row r="34" customFormat="false" ht="15" hidden="false" customHeight="false" outlineLevel="0" collapsed="false">
      <c r="A34" s="8" t="s">
        <v>823</v>
      </c>
      <c r="B34" s="8" t="s">
        <v>824</v>
      </c>
      <c r="C34" s="8" t="s">
        <v>8669</v>
      </c>
      <c r="D34" s="8" t="s">
        <v>123</v>
      </c>
      <c r="E34" s="8" t="s">
        <v>53</v>
      </c>
      <c r="F34" s="8" t="s">
        <v>326</v>
      </c>
      <c r="G34" s="8" t="s">
        <v>154</v>
      </c>
      <c r="H34" s="8" t="s">
        <v>8670</v>
      </c>
      <c r="I34" s="8" t="s">
        <v>8722</v>
      </c>
      <c r="J34" s="8" t="s">
        <v>144</v>
      </c>
      <c r="K34" s="8" t="s">
        <v>8664</v>
      </c>
      <c r="L34" s="8"/>
      <c r="M34" s="8"/>
      <c r="N34" s="8" t="n">
        <v>25</v>
      </c>
      <c r="O34" s="8" t="n">
        <v>192</v>
      </c>
      <c r="P34" s="8" t="s">
        <v>120</v>
      </c>
    </row>
    <row r="35" customFormat="false" ht="15" hidden="false" customHeight="false" outlineLevel="0" collapsed="false">
      <c r="A35" s="8" t="s">
        <v>8723</v>
      </c>
      <c r="B35" s="8" t="s">
        <v>8724</v>
      </c>
      <c r="C35" s="8" t="s">
        <v>8674</v>
      </c>
      <c r="D35" s="8" t="s">
        <v>123</v>
      </c>
      <c r="E35" s="8" t="s">
        <v>51</v>
      </c>
      <c r="F35" s="8" t="s">
        <v>2027</v>
      </c>
      <c r="G35" s="8" t="s">
        <v>223</v>
      </c>
      <c r="H35" s="8" t="s">
        <v>8675</v>
      </c>
      <c r="I35" s="8" t="s">
        <v>8725</v>
      </c>
      <c r="J35" s="8"/>
      <c r="K35" s="8" t="s">
        <v>8690</v>
      </c>
      <c r="L35" s="8" t="s">
        <v>8726</v>
      </c>
      <c r="M35" s="8" t="s">
        <v>8727</v>
      </c>
      <c r="N35" s="8" t="n">
        <v>12</v>
      </c>
      <c r="O35" s="8" t="n">
        <v>16</v>
      </c>
      <c r="P35" s="8" t="s">
        <v>120</v>
      </c>
    </row>
    <row r="36" customFormat="false" ht="15" hidden="false" customHeight="false" outlineLevel="0" collapsed="false">
      <c r="A36" s="8" t="s">
        <v>2634</v>
      </c>
      <c r="B36" s="8" t="s">
        <v>2635</v>
      </c>
      <c r="C36" s="8" t="s">
        <v>8700</v>
      </c>
      <c r="D36" s="8" t="s">
        <v>117</v>
      </c>
      <c r="E36" s="8" t="s">
        <v>51</v>
      </c>
      <c r="F36" s="8" t="s">
        <v>326</v>
      </c>
      <c r="G36" s="8" t="s">
        <v>124</v>
      </c>
      <c r="H36" s="8" t="s">
        <v>8675</v>
      </c>
      <c r="I36" s="8" t="s">
        <v>8728</v>
      </c>
      <c r="J36" s="8" t="s">
        <v>129</v>
      </c>
      <c r="K36" s="8" t="s">
        <v>8664</v>
      </c>
      <c r="L36" s="8"/>
      <c r="M36" s="8"/>
      <c r="N36" s="8" t="n">
        <v>25</v>
      </c>
      <c r="O36" s="8" t="n">
        <v>17</v>
      </c>
      <c r="P36" s="8" t="s">
        <v>120</v>
      </c>
    </row>
    <row r="37" customFormat="false" ht="15" hidden="false" customHeight="false" outlineLevel="0" collapsed="false">
      <c r="A37" s="8" t="s">
        <v>1257</v>
      </c>
      <c r="B37" s="8" t="s">
        <v>1258</v>
      </c>
      <c r="C37" s="8" t="s">
        <v>8688</v>
      </c>
      <c r="D37" s="8" t="s">
        <v>123</v>
      </c>
      <c r="E37" s="8" t="s">
        <v>53</v>
      </c>
      <c r="F37" s="8" t="s">
        <v>326</v>
      </c>
      <c r="G37" s="8" t="s">
        <v>154</v>
      </c>
      <c r="H37" s="8" t="s">
        <v>8675</v>
      </c>
      <c r="I37" s="8" t="s">
        <v>8729</v>
      </c>
      <c r="J37" s="8" t="s">
        <v>159</v>
      </c>
      <c r="K37" s="8" t="s">
        <v>8664</v>
      </c>
      <c r="L37" s="8"/>
      <c r="M37" s="8"/>
      <c r="N37" s="8" t="n">
        <v>25</v>
      </c>
      <c r="O37" s="8" t="n">
        <v>128</v>
      </c>
      <c r="P37" s="8" t="s">
        <v>120</v>
      </c>
    </row>
    <row r="38" customFormat="false" ht="15" hidden="false" customHeight="false" outlineLevel="0" collapsed="false">
      <c r="A38" s="8" t="s">
        <v>653</v>
      </c>
      <c r="B38" s="8" t="s">
        <v>654</v>
      </c>
      <c r="C38" s="8" t="s">
        <v>8669</v>
      </c>
      <c r="D38" s="8" t="s">
        <v>123</v>
      </c>
      <c r="E38" s="8" t="s">
        <v>53</v>
      </c>
      <c r="F38" s="8" t="s">
        <v>55</v>
      </c>
      <c r="G38" s="8" t="s">
        <v>223</v>
      </c>
      <c r="H38" s="8" t="s">
        <v>8662</v>
      </c>
      <c r="I38" s="8" t="s">
        <v>8730</v>
      </c>
      <c r="J38" s="8" t="s">
        <v>177</v>
      </c>
      <c r="K38" s="8" t="s">
        <v>8664</v>
      </c>
      <c r="L38" s="8"/>
      <c r="M38" s="8"/>
      <c r="N38" s="8" t="n">
        <v>45</v>
      </c>
      <c r="O38" s="8" t="n">
        <v>150</v>
      </c>
      <c r="P38" s="8" t="s">
        <v>120</v>
      </c>
    </row>
    <row r="39" customFormat="false" ht="15" hidden="false" customHeight="false" outlineLevel="0" collapsed="false">
      <c r="A39" s="8" t="s">
        <v>2364</v>
      </c>
      <c r="B39" s="8" t="s">
        <v>2365</v>
      </c>
      <c r="C39" s="8" t="s">
        <v>8674</v>
      </c>
      <c r="D39" s="8" t="s">
        <v>123</v>
      </c>
      <c r="E39" s="8" t="s">
        <v>51</v>
      </c>
      <c r="F39" s="8" t="s">
        <v>326</v>
      </c>
      <c r="G39" s="8" t="s">
        <v>223</v>
      </c>
      <c r="H39" s="8" t="s">
        <v>8670</v>
      </c>
      <c r="I39" s="8" t="s">
        <v>8731</v>
      </c>
      <c r="J39" s="8" t="s">
        <v>159</v>
      </c>
      <c r="K39" s="8" t="s">
        <v>8664</v>
      </c>
      <c r="L39" s="8"/>
      <c r="M39" s="8"/>
      <c r="N39" s="8" t="n">
        <v>25</v>
      </c>
      <c r="O39" s="8" t="n">
        <v>20</v>
      </c>
      <c r="P39" s="8" t="s">
        <v>120</v>
      </c>
    </row>
    <row r="40" customFormat="false" ht="15" hidden="false" customHeight="false" outlineLevel="0" collapsed="false">
      <c r="A40" s="8" t="s">
        <v>1935</v>
      </c>
      <c r="B40" s="8" t="s">
        <v>1936</v>
      </c>
      <c r="C40" s="8" t="s">
        <v>8700</v>
      </c>
      <c r="D40" s="8" t="s">
        <v>132</v>
      </c>
      <c r="E40" s="8" t="s">
        <v>51</v>
      </c>
      <c r="F40" s="8" t="s">
        <v>326</v>
      </c>
      <c r="G40" s="8" t="s">
        <v>223</v>
      </c>
      <c r="H40" s="8" t="s">
        <v>8666</v>
      </c>
      <c r="I40" s="8" t="s">
        <v>8732</v>
      </c>
      <c r="J40" s="8" t="s">
        <v>129</v>
      </c>
      <c r="K40" s="8" t="s">
        <v>8664</v>
      </c>
      <c r="L40" s="8"/>
      <c r="M40" s="8"/>
      <c r="N40" s="8" t="n">
        <v>25</v>
      </c>
      <c r="O40" s="8" t="n">
        <v>27</v>
      </c>
      <c r="P40" s="8" t="s">
        <v>120</v>
      </c>
    </row>
    <row r="41" customFormat="false" ht="15" hidden="false" customHeight="false" outlineLevel="0" collapsed="false">
      <c r="A41" s="8" t="s">
        <v>4490</v>
      </c>
      <c r="B41" s="8" t="s">
        <v>8733</v>
      </c>
      <c r="C41" s="8" t="s">
        <v>8688</v>
      </c>
      <c r="D41" s="8" t="s">
        <v>132</v>
      </c>
      <c r="E41" s="8" t="s">
        <v>51</v>
      </c>
      <c r="F41" s="8" t="s">
        <v>2027</v>
      </c>
      <c r="G41" s="8" t="s">
        <v>124</v>
      </c>
      <c r="H41" s="8" t="s">
        <v>8675</v>
      </c>
      <c r="I41" s="8" t="s">
        <v>8734</v>
      </c>
      <c r="J41" s="8"/>
      <c r="K41" s="8" t="s">
        <v>8690</v>
      </c>
      <c r="L41" s="8" t="s">
        <v>8735</v>
      </c>
      <c r="M41" s="8" t="s">
        <v>8692</v>
      </c>
      <c r="N41" s="8" t="n">
        <v>12</v>
      </c>
      <c r="O41" s="8" t="n">
        <v>39</v>
      </c>
      <c r="P41" s="8" t="s">
        <v>120</v>
      </c>
    </row>
    <row r="42" customFormat="false" ht="15" hidden="false" customHeight="false" outlineLevel="0" collapsed="false">
      <c r="A42" s="8" t="s">
        <v>4413</v>
      </c>
      <c r="B42" s="8" t="s">
        <v>8736</v>
      </c>
      <c r="C42" s="8" t="s">
        <v>8665</v>
      </c>
      <c r="D42" s="8" t="s">
        <v>123</v>
      </c>
      <c r="E42" s="8" t="s">
        <v>55</v>
      </c>
      <c r="F42" s="8" t="s">
        <v>55</v>
      </c>
      <c r="G42" s="8" t="s">
        <v>143</v>
      </c>
      <c r="H42" s="8" t="s">
        <v>8662</v>
      </c>
      <c r="I42" s="8" t="s">
        <v>8737</v>
      </c>
      <c r="J42" s="8"/>
      <c r="K42" s="8" t="s">
        <v>8690</v>
      </c>
      <c r="L42" s="8" t="s">
        <v>8738</v>
      </c>
      <c r="M42" s="8" t="s">
        <v>8705</v>
      </c>
      <c r="N42" s="8" t="n">
        <v>45</v>
      </c>
      <c r="O42" s="8" t="n">
        <v>294</v>
      </c>
      <c r="P42" s="8" t="s">
        <v>120</v>
      </c>
    </row>
    <row r="43" customFormat="false" ht="15" hidden="false" customHeight="false" outlineLevel="0" collapsed="false">
      <c r="A43" s="8" t="s">
        <v>2488</v>
      </c>
      <c r="B43" s="8" t="s">
        <v>2489</v>
      </c>
      <c r="C43" s="8" t="s">
        <v>8669</v>
      </c>
      <c r="D43" s="8" t="s">
        <v>132</v>
      </c>
      <c r="E43" s="8" t="s">
        <v>51</v>
      </c>
      <c r="F43" s="8" t="s">
        <v>2027</v>
      </c>
      <c r="G43" s="8" t="s">
        <v>136</v>
      </c>
      <c r="H43" s="8" t="s">
        <v>8675</v>
      </c>
      <c r="I43" s="8" t="s">
        <v>8739</v>
      </c>
      <c r="J43" s="8" t="s">
        <v>185</v>
      </c>
      <c r="K43" s="8" t="s">
        <v>8664</v>
      </c>
      <c r="L43" s="8"/>
      <c r="M43" s="8"/>
      <c r="N43" s="8" t="n">
        <v>12</v>
      </c>
      <c r="O43" s="8" t="n">
        <v>38</v>
      </c>
      <c r="P43" s="8" t="s">
        <v>120</v>
      </c>
    </row>
    <row r="44" customFormat="false" ht="15" hidden="false" customHeight="false" outlineLevel="0" collapsed="false">
      <c r="A44" s="8" t="s">
        <v>1747</v>
      </c>
      <c r="B44" s="8" t="s">
        <v>1748</v>
      </c>
      <c r="C44" s="8" t="s">
        <v>8688</v>
      </c>
      <c r="D44" s="8" t="s">
        <v>123</v>
      </c>
      <c r="E44" s="8" t="s">
        <v>53</v>
      </c>
      <c r="F44" s="8" t="s">
        <v>326</v>
      </c>
      <c r="G44" s="8" t="s">
        <v>136</v>
      </c>
      <c r="H44" s="8" t="s">
        <v>8675</v>
      </c>
      <c r="I44" s="8" t="s">
        <v>8740</v>
      </c>
      <c r="J44" s="8" t="s">
        <v>140</v>
      </c>
      <c r="K44" s="8" t="s">
        <v>8664</v>
      </c>
      <c r="L44" s="8"/>
      <c r="M44" s="8"/>
      <c r="N44" s="8" t="n">
        <v>25</v>
      </c>
      <c r="O44" s="8" t="n">
        <v>49</v>
      </c>
      <c r="P44" s="8" t="s">
        <v>120</v>
      </c>
    </row>
    <row r="45" customFormat="false" ht="15" hidden="false" customHeight="false" outlineLevel="0" collapsed="false">
      <c r="A45" s="8" t="s">
        <v>4501</v>
      </c>
      <c r="B45" s="8" t="s">
        <v>8741</v>
      </c>
      <c r="C45" s="8" t="s">
        <v>8700</v>
      </c>
      <c r="D45" s="8" t="s">
        <v>123</v>
      </c>
      <c r="E45" s="8" t="s">
        <v>51</v>
      </c>
      <c r="F45" s="8" t="s">
        <v>2027</v>
      </c>
      <c r="G45" s="8" t="s">
        <v>124</v>
      </c>
      <c r="H45" s="8" t="s">
        <v>8666</v>
      </c>
      <c r="I45" s="8" t="s">
        <v>8742</v>
      </c>
      <c r="J45" s="8"/>
      <c r="K45" s="8" t="s">
        <v>8690</v>
      </c>
      <c r="L45" s="8" t="s">
        <v>8743</v>
      </c>
      <c r="M45" s="8" t="s">
        <v>8692</v>
      </c>
      <c r="N45" s="8" t="n">
        <v>12</v>
      </c>
      <c r="O45" s="8" t="n">
        <v>38</v>
      </c>
      <c r="P45" s="8" t="s">
        <v>120</v>
      </c>
    </row>
    <row r="46" customFormat="false" ht="15" hidden="false" customHeight="false" outlineLevel="0" collapsed="false">
      <c r="A46" s="8" t="s">
        <v>2810</v>
      </c>
      <c r="B46" s="8" t="s">
        <v>2811</v>
      </c>
      <c r="C46" s="8" t="s">
        <v>8661</v>
      </c>
      <c r="D46" s="8" t="s">
        <v>132</v>
      </c>
      <c r="E46" s="8" t="s">
        <v>51</v>
      </c>
      <c r="F46" s="8" t="s">
        <v>2027</v>
      </c>
      <c r="G46" s="8" t="s">
        <v>136</v>
      </c>
      <c r="H46" s="8" t="s">
        <v>8670</v>
      </c>
      <c r="I46" s="8" t="s">
        <v>8744</v>
      </c>
      <c r="J46" s="8" t="s">
        <v>119</v>
      </c>
      <c r="K46" s="8" t="s">
        <v>8664</v>
      </c>
      <c r="L46" s="8"/>
      <c r="M46" s="8"/>
      <c r="N46" s="8" t="n">
        <v>12</v>
      </c>
      <c r="O46" s="8" t="n">
        <v>24</v>
      </c>
      <c r="P46" s="8" t="s">
        <v>148</v>
      </c>
    </row>
    <row r="47" customFormat="false" ht="15" hidden="false" customHeight="false" outlineLevel="0" collapsed="false">
      <c r="A47" s="8" t="s">
        <v>2490</v>
      </c>
      <c r="B47" s="8" t="s">
        <v>2491</v>
      </c>
      <c r="C47" s="8" t="s">
        <v>8665</v>
      </c>
      <c r="D47" s="8" t="s">
        <v>123</v>
      </c>
      <c r="E47" s="8" t="s">
        <v>51</v>
      </c>
      <c r="F47" s="8" t="s">
        <v>2027</v>
      </c>
      <c r="G47" s="8" t="s">
        <v>151</v>
      </c>
      <c r="H47" s="8" t="s">
        <v>8675</v>
      </c>
      <c r="I47" s="8" t="s">
        <v>8745</v>
      </c>
      <c r="J47" s="8" t="s">
        <v>144</v>
      </c>
      <c r="K47" s="8" t="s">
        <v>8664</v>
      </c>
      <c r="L47" s="8"/>
      <c r="M47" s="8"/>
      <c r="N47" s="8" t="n">
        <v>12</v>
      </c>
      <c r="O47" s="8" t="n">
        <v>38</v>
      </c>
      <c r="P47" s="8" t="s">
        <v>120</v>
      </c>
    </row>
    <row r="48" customFormat="false" ht="15" hidden="false" customHeight="false" outlineLevel="0" collapsed="false">
      <c r="A48" s="8" t="s">
        <v>4460</v>
      </c>
      <c r="B48" s="8" t="s">
        <v>8746</v>
      </c>
      <c r="C48" s="8" t="s">
        <v>8688</v>
      </c>
      <c r="D48" s="8" t="s">
        <v>123</v>
      </c>
      <c r="E48" s="8" t="s">
        <v>53</v>
      </c>
      <c r="F48" s="8" t="s">
        <v>326</v>
      </c>
      <c r="G48" s="8" t="s">
        <v>133</v>
      </c>
      <c r="H48" s="8" t="s">
        <v>8670</v>
      </c>
      <c r="I48" s="8" t="s">
        <v>8747</v>
      </c>
      <c r="J48" s="8"/>
      <c r="K48" s="8" t="s">
        <v>8690</v>
      </c>
      <c r="L48" s="8" t="s">
        <v>8748</v>
      </c>
      <c r="M48" s="8" t="s">
        <v>8692</v>
      </c>
      <c r="N48" s="8" t="n">
        <v>25</v>
      </c>
      <c r="O48" s="8" t="n">
        <v>110</v>
      </c>
      <c r="P48" s="8" t="s">
        <v>148</v>
      </c>
    </row>
    <row r="49" customFormat="false" ht="15" hidden="false" customHeight="false" outlineLevel="0" collapsed="false">
      <c r="A49" s="8" t="s">
        <v>867</v>
      </c>
      <c r="B49" s="8" t="s">
        <v>868</v>
      </c>
      <c r="C49" s="8" t="s">
        <v>8678</v>
      </c>
      <c r="D49" s="8" t="s">
        <v>128</v>
      </c>
      <c r="E49" s="8" t="s">
        <v>53</v>
      </c>
      <c r="F49" s="8" t="s">
        <v>326</v>
      </c>
      <c r="G49" s="8" t="s">
        <v>223</v>
      </c>
      <c r="H49" s="8" t="s">
        <v>8666</v>
      </c>
      <c r="I49" s="8" t="s">
        <v>8749</v>
      </c>
      <c r="J49" s="8" t="s">
        <v>204</v>
      </c>
      <c r="K49" s="8" t="s">
        <v>8664</v>
      </c>
      <c r="L49" s="8"/>
      <c r="M49" s="8"/>
      <c r="N49" s="8" t="n">
        <v>25</v>
      </c>
      <c r="O49" s="8" t="n">
        <v>186</v>
      </c>
      <c r="P49" s="8" t="s">
        <v>120</v>
      </c>
    </row>
    <row r="50" customFormat="false" ht="15" hidden="false" customHeight="false" outlineLevel="0" collapsed="false">
      <c r="A50" s="8" t="s">
        <v>4599</v>
      </c>
      <c r="B50" s="8" t="s">
        <v>8750</v>
      </c>
      <c r="C50" s="8" t="s">
        <v>8674</v>
      </c>
      <c r="D50" s="8" t="s">
        <v>132</v>
      </c>
      <c r="E50" s="8" t="s">
        <v>51</v>
      </c>
      <c r="F50" s="8" t="s">
        <v>2027</v>
      </c>
      <c r="G50" s="8" t="s">
        <v>151</v>
      </c>
      <c r="H50" s="8" t="s">
        <v>8666</v>
      </c>
      <c r="I50" s="8" t="s">
        <v>8751</v>
      </c>
      <c r="J50" s="8"/>
      <c r="K50" s="8" t="s">
        <v>8690</v>
      </c>
      <c r="L50" s="8" t="s">
        <v>8752</v>
      </c>
      <c r="M50" s="8" t="s">
        <v>8696</v>
      </c>
      <c r="N50" s="8" t="n">
        <v>12</v>
      </c>
      <c r="O50" s="8" t="n">
        <v>5</v>
      </c>
      <c r="P50" s="8" t="s">
        <v>120</v>
      </c>
    </row>
    <row r="51" customFormat="false" ht="15" hidden="false" customHeight="false" outlineLevel="0" collapsed="false">
      <c r="A51" s="8" t="s">
        <v>955</v>
      </c>
      <c r="B51" s="8" t="s">
        <v>956</v>
      </c>
      <c r="C51" s="8" t="s">
        <v>8665</v>
      </c>
      <c r="D51" s="8" t="s">
        <v>123</v>
      </c>
      <c r="E51" s="8" t="s">
        <v>53</v>
      </c>
      <c r="F51" s="8" t="s">
        <v>326</v>
      </c>
      <c r="G51" s="8" t="s">
        <v>143</v>
      </c>
      <c r="H51" s="8" t="s">
        <v>8666</v>
      </c>
      <c r="I51" s="8" t="s">
        <v>8753</v>
      </c>
      <c r="J51" s="8" t="s">
        <v>159</v>
      </c>
      <c r="K51" s="8" t="s">
        <v>8664</v>
      </c>
      <c r="L51" s="8"/>
      <c r="M51" s="8"/>
      <c r="N51" s="8" t="n">
        <v>25</v>
      </c>
      <c r="O51" s="8" t="n">
        <v>130</v>
      </c>
      <c r="P51" s="8" t="s">
        <v>120</v>
      </c>
    </row>
    <row r="52" customFormat="false" ht="15" hidden="false" customHeight="false" outlineLevel="0" collapsed="false">
      <c r="A52" s="8" t="s">
        <v>276</v>
      </c>
      <c r="B52" s="8" t="s">
        <v>277</v>
      </c>
      <c r="C52" s="8" t="s">
        <v>8680</v>
      </c>
      <c r="D52" s="8" t="s">
        <v>128</v>
      </c>
      <c r="E52" s="8" t="s">
        <v>55</v>
      </c>
      <c r="F52" s="8" t="s">
        <v>55</v>
      </c>
      <c r="G52" s="8" t="s">
        <v>223</v>
      </c>
      <c r="H52" s="8" t="s">
        <v>8666</v>
      </c>
      <c r="I52" s="8" t="s">
        <v>8754</v>
      </c>
      <c r="J52" s="8" t="s">
        <v>129</v>
      </c>
      <c r="K52" s="8" t="s">
        <v>8664</v>
      </c>
      <c r="L52" s="8"/>
      <c r="M52" s="8"/>
      <c r="N52" s="8" t="n">
        <v>45</v>
      </c>
      <c r="O52" s="8" t="n">
        <v>450</v>
      </c>
      <c r="P52" s="8" t="s">
        <v>120</v>
      </c>
    </row>
    <row r="53" customFormat="false" ht="15" hidden="false" customHeight="false" outlineLevel="0" collapsed="false">
      <c r="A53" s="8" t="s">
        <v>3646</v>
      </c>
      <c r="B53" s="8" t="s">
        <v>3647</v>
      </c>
      <c r="C53" s="8" t="s">
        <v>8669</v>
      </c>
      <c r="D53" s="8" t="s">
        <v>132</v>
      </c>
      <c r="E53" s="8" t="s">
        <v>51</v>
      </c>
      <c r="F53" s="8" t="s">
        <v>2027</v>
      </c>
      <c r="G53" s="8" t="s">
        <v>133</v>
      </c>
      <c r="H53" s="8" t="s">
        <v>8662</v>
      </c>
      <c r="I53" s="8" t="s">
        <v>8755</v>
      </c>
      <c r="J53" s="8" t="s">
        <v>140</v>
      </c>
      <c r="K53" s="8" t="s">
        <v>8664</v>
      </c>
      <c r="L53" s="8"/>
      <c r="M53" s="8"/>
      <c r="N53" s="8" t="n">
        <v>12</v>
      </c>
      <c r="O53" s="8" t="n">
        <v>25</v>
      </c>
      <c r="P53" s="8" t="s">
        <v>120</v>
      </c>
    </row>
    <row r="54" customFormat="false" ht="15" hidden="false" customHeight="false" outlineLevel="0" collapsed="false">
      <c r="A54" s="8" t="s">
        <v>3148</v>
      </c>
      <c r="B54" s="8" t="s">
        <v>3149</v>
      </c>
      <c r="C54" s="8" t="s">
        <v>8700</v>
      </c>
      <c r="D54" s="8" t="s">
        <v>123</v>
      </c>
      <c r="E54" s="8" t="s">
        <v>51</v>
      </c>
      <c r="F54" s="8" t="s">
        <v>2027</v>
      </c>
      <c r="G54" s="8" t="s">
        <v>223</v>
      </c>
      <c r="H54" s="8" t="s">
        <v>8666</v>
      </c>
      <c r="I54" s="8" t="s">
        <v>8756</v>
      </c>
      <c r="J54" s="8" t="s">
        <v>125</v>
      </c>
      <c r="K54" s="8" t="s">
        <v>8664</v>
      </c>
      <c r="L54" s="8"/>
      <c r="M54" s="8"/>
      <c r="N54" s="8" t="n">
        <v>12</v>
      </c>
      <c r="O54" s="8" t="n">
        <v>27</v>
      </c>
      <c r="P54" s="8" t="s">
        <v>120</v>
      </c>
    </row>
    <row r="55" customFormat="false" ht="15" hidden="false" customHeight="false" outlineLevel="0" collapsed="false">
      <c r="A55" s="8" t="s">
        <v>4580</v>
      </c>
      <c r="B55" s="8" t="s">
        <v>8757</v>
      </c>
      <c r="C55" s="8" t="s">
        <v>8669</v>
      </c>
      <c r="D55" s="8" t="s">
        <v>123</v>
      </c>
      <c r="E55" s="8" t="s">
        <v>51</v>
      </c>
      <c r="F55" s="8" t="s">
        <v>2027</v>
      </c>
      <c r="G55" s="8" t="s">
        <v>190</v>
      </c>
      <c r="H55" s="8" t="s">
        <v>8675</v>
      </c>
      <c r="I55" s="8" t="s">
        <v>8758</v>
      </c>
      <c r="J55" s="8"/>
      <c r="K55" s="8" t="s">
        <v>8690</v>
      </c>
      <c r="L55" s="8" t="s">
        <v>8759</v>
      </c>
      <c r="M55" s="8" t="s">
        <v>8692</v>
      </c>
      <c r="N55" s="8" t="n">
        <v>12</v>
      </c>
      <c r="O55" s="8" t="n">
        <v>12</v>
      </c>
      <c r="P55" s="8" t="s">
        <v>120</v>
      </c>
    </row>
    <row r="56" customFormat="false" ht="15" hidden="false" customHeight="false" outlineLevel="0" collapsed="false">
      <c r="A56" s="8" t="s">
        <v>4500</v>
      </c>
      <c r="B56" s="8" t="s">
        <v>8760</v>
      </c>
      <c r="C56" s="8" t="s">
        <v>8669</v>
      </c>
      <c r="D56" s="8" t="s">
        <v>132</v>
      </c>
      <c r="E56" s="8" t="s">
        <v>51</v>
      </c>
      <c r="F56" s="8" t="s">
        <v>2027</v>
      </c>
      <c r="G56" s="8" t="s">
        <v>136</v>
      </c>
      <c r="H56" s="8" t="s">
        <v>8666</v>
      </c>
      <c r="I56" s="8" t="s">
        <v>8761</v>
      </c>
      <c r="J56" s="8"/>
      <c r="K56" s="8" t="s">
        <v>8690</v>
      </c>
      <c r="L56" s="8" t="s">
        <v>8762</v>
      </c>
      <c r="M56" s="8" t="s">
        <v>8692</v>
      </c>
      <c r="N56" s="8" t="n">
        <v>12</v>
      </c>
      <c r="O56" s="8" t="n">
        <v>39</v>
      </c>
      <c r="P56" s="8" t="s">
        <v>120</v>
      </c>
    </row>
    <row r="57" customFormat="false" ht="15" hidden="false" customHeight="false" outlineLevel="0" collapsed="false">
      <c r="A57" s="8" t="s">
        <v>3024</v>
      </c>
      <c r="B57" s="8" t="s">
        <v>3025</v>
      </c>
      <c r="C57" s="8" t="s">
        <v>8669</v>
      </c>
      <c r="D57" s="8" t="s">
        <v>123</v>
      </c>
      <c r="E57" s="8" t="s">
        <v>51</v>
      </c>
      <c r="F57" s="8" t="s">
        <v>326</v>
      </c>
      <c r="G57" s="8" t="s">
        <v>133</v>
      </c>
      <c r="H57" s="8" t="s">
        <v>8666</v>
      </c>
      <c r="I57" s="8" t="s">
        <v>8763</v>
      </c>
      <c r="J57" s="8" t="s">
        <v>180</v>
      </c>
      <c r="K57" s="8" t="s">
        <v>8664</v>
      </c>
      <c r="L57" s="8"/>
      <c r="M57" s="8"/>
      <c r="N57" s="8" t="n">
        <v>25</v>
      </c>
      <c r="O57" s="8" t="n">
        <v>11</v>
      </c>
      <c r="P57" s="8" t="s">
        <v>120</v>
      </c>
    </row>
    <row r="58" customFormat="false" ht="15" hidden="false" customHeight="false" outlineLevel="0" collapsed="false">
      <c r="A58" s="8" t="s">
        <v>4467</v>
      </c>
      <c r="B58" s="8" t="s">
        <v>8764</v>
      </c>
      <c r="C58" s="8" t="s">
        <v>8674</v>
      </c>
      <c r="D58" s="8" t="s">
        <v>123</v>
      </c>
      <c r="E58" s="8" t="s">
        <v>53</v>
      </c>
      <c r="F58" s="8" t="s">
        <v>326</v>
      </c>
      <c r="G58" s="8" t="s">
        <v>136</v>
      </c>
      <c r="H58" s="8" t="s">
        <v>8675</v>
      </c>
      <c r="I58" s="8" t="s">
        <v>8765</v>
      </c>
      <c r="J58" s="8"/>
      <c r="K58" s="8" t="s">
        <v>8690</v>
      </c>
      <c r="L58" s="8" t="s">
        <v>8766</v>
      </c>
      <c r="M58" s="8" t="s">
        <v>8705</v>
      </c>
      <c r="N58" s="8" t="n">
        <v>25</v>
      </c>
      <c r="O58" s="8" t="n">
        <v>94</v>
      </c>
      <c r="P58" s="8" t="s">
        <v>120</v>
      </c>
    </row>
    <row r="59" customFormat="false" ht="15" hidden="false" customHeight="false" outlineLevel="0" collapsed="false">
      <c r="A59" s="8" t="s">
        <v>2892</v>
      </c>
      <c r="B59" s="8" t="s">
        <v>2893</v>
      </c>
      <c r="C59" s="8" t="s">
        <v>8669</v>
      </c>
      <c r="D59" s="8" t="s">
        <v>123</v>
      </c>
      <c r="E59" s="8" t="s">
        <v>51</v>
      </c>
      <c r="F59" s="8" t="s">
        <v>326</v>
      </c>
      <c r="G59" s="8" t="s">
        <v>166</v>
      </c>
      <c r="H59" s="8" t="s">
        <v>8662</v>
      </c>
      <c r="I59" s="8" t="s">
        <v>8767</v>
      </c>
      <c r="J59" s="8" t="s">
        <v>180</v>
      </c>
      <c r="K59" s="8" t="s">
        <v>8664</v>
      </c>
      <c r="L59" s="8"/>
      <c r="M59" s="8"/>
      <c r="N59" s="8" t="n">
        <v>25</v>
      </c>
      <c r="O59" s="8" t="n">
        <v>15</v>
      </c>
      <c r="P59" s="8" t="s">
        <v>199</v>
      </c>
    </row>
    <row r="60" customFormat="false" ht="15" hidden="false" customHeight="false" outlineLevel="0" collapsed="false">
      <c r="A60" s="8" t="s">
        <v>3444</v>
      </c>
      <c r="B60" s="8" t="s">
        <v>3445</v>
      </c>
      <c r="C60" s="8" t="s">
        <v>8680</v>
      </c>
      <c r="D60" s="8" t="s">
        <v>123</v>
      </c>
      <c r="E60" s="8" t="s">
        <v>51</v>
      </c>
      <c r="F60" s="8" t="s">
        <v>326</v>
      </c>
      <c r="G60" s="8" t="s">
        <v>223</v>
      </c>
      <c r="H60" s="8" t="s">
        <v>8675</v>
      </c>
      <c r="I60" s="8" t="s">
        <v>8768</v>
      </c>
      <c r="J60" s="8" t="s">
        <v>129</v>
      </c>
      <c r="K60" s="8" t="s">
        <v>8664</v>
      </c>
      <c r="L60" s="8"/>
      <c r="M60" s="8"/>
      <c r="N60" s="8" t="n">
        <v>25</v>
      </c>
      <c r="O60" s="8" t="n">
        <v>11</v>
      </c>
      <c r="P60" s="8" t="s">
        <v>120</v>
      </c>
    </row>
    <row r="61" customFormat="false" ht="15" hidden="false" customHeight="false" outlineLevel="0" collapsed="false">
      <c r="A61" s="8" t="s">
        <v>2152</v>
      </c>
      <c r="B61" s="8" t="s">
        <v>2153</v>
      </c>
      <c r="C61" s="8" t="s">
        <v>8688</v>
      </c>
      <c r="D61" s="8" t="s">
        <v>117</v>
      </c>
      <c r="E61" s="8" t="s">
        <v>51</v>
      </c>
      <c r="F61" s="8" t="s">
        <v>326</v>
      </c>
      <c r="G61" s="8" t="s">
        <v>143</v>
      </c>
      <c r="H61" s="8" t="s">
        <v>8670</v>
      </c>
      <c r="I61" s="8" t="s">
        <v>8769</v>
      </c>
      <c r="J61" s="8" t="s">
        <v>119</v>
      </c>
      <c r="K61" s="8" t="s">
        <v>8664</v>
      </c>
      <c r="L61" s="8"/>
      <c r="M61" s="8"/>
      <c r="N61" s="8" t="n">
        <v>25</v>
      </c>
      <c r="O61" s="8" t="n">
        <v>26</v>
      </c>
      <c r="P61" s="8" t="s">
        <v>120</v>
      </c>
    </row>
    <row r="62" customFormat="false" ht="15" hidden="false" customHeight="false" outlineLevel="0" collapsed="false">
      <c r="A62" s="8" t="s">
        <v>4556</v>
      </c>
      <c r="B62" s="8" t="s">
        <v>8770</v>
      </c>
      <c r="C62" s="8" t="s">
        <v>8674</v>
      </c>
      <c r="D62" s="8" t="s">
        <v>123</v>
      </c>
      <c r="E62" s="8" t="s">
        <v>51</v>
      </c>
      <c r="F62" s="8" t="s">
        <v>326</v>
      </c>
      <c r="G62" s="8" t="s">
        <v>166</v>
      </c>
      <c r="H62" s="8" t="s">
        <v>8666</v>
      </c>
      <c r="I62" s="8" t="s">
        <v>8771</v>
      </c>
      <c r="J62" s="8"/>
      <c r="K62" s="8" t="s">
        <v>8690</v>
      </c>
      <c r="L62" s="8" t="s">
        <v>8772</v>
      </c>
      <c r="M62" s="8" t="s">
        <v>8721</v>
      </c>
      <c r="N62" s="8" t="n">
        <v>25</v>
      </c>
      <c r="O62" s="8" t="n">
        <v>10</v>
      </c>
      <c r="P62" s="8" t="s">
        <v>120</v>
      </c>
    </row>
    <row r="63" customFormat="false" ht="15" hidden="false" customHeight="false" outlineLevel="0" collapsed="false">
      <c r="A63" s="8" t="s">
        <v>3460</v>
      </c>
      <c r="B63" s="8" t="s">
        <v>3461</v>
      </c>
      <c r="C63" s="8" t="s">
        <v>8665</v>
      </c>
      <c r="D63" s="8" t="s">
        <v>117</v>
      </c>
      <c r="E63" s="8" t="s">
        <v>51</v>
      </c>
      <c r="F63" s="8" t="s">
        <v>2027</v>
      </c>
      <c r="G63" s="8" t="s">
        <v>190</v>
      </c>
      <c r="H63" s="8" t="s">
        <v>8675</v>
      </c>
      <c r="I63" s="8" t="s">
        <v>8773</v>
      </c>
      <c r="J63" s="8" t="s">
        <v>147</v>
      </c>
      <c r="K63" s="8" t="s">
        <v>8664</v>
      </c>
      <c r="L63" s="8"/>
      <c r="M63" s="8"/>
      <c r="N63" s="8" t="n">
        <v>12</v>
      </c>
      <c r="O63" s="8" t="n">
        <v>22</v>
      </c>
      <c r="P63" s="8" t="s">
        <v>148</v>
      </c>
    </row>
    <row r="64" customFormat="false" ht="15" hidden="false" customHeight="false" outlineLevel="0" collapsed="false">
      <c r="A64" s="8" t="s">
        <v>4548</v>
      </c>
      <c r="B64" s="8" t="s">
        <v>8774</v>
      </c>
      <c r="C64" s="8" t="s">
        <v>8669</v>
      </c>
      <c r="D64" s="8" t="s">
        <v>117</v>
      </c>
      <c r="E64" s="8" t="s">
        <v>51</v>
      </c>
      <c r="F64" s="8" t="s">
        <v>2027</v>
      </c>
      <c r="G64" s="8" t="s">
        <v>124</v>
      </c>
      <c r="H64" s="8" t="s">
        <v>8662</v>
      </c>
      <c r="I64" s="8" t="s">
        <v>8775</v>
      </c>
      <c r="J64" s="8"/>
      <c r="K64" s="8" t="s">
        <v>8690</v>
      </c>
      <c r="L64" s="8" t="s">
        <v>8776</v>
      </c>
      <c r="M64" s="8" t="s">
        <v>8692</v>
      </c>
      <c r="N64" s="8" t="n">
        <v>12</v>
      </c>
      <c r="O64" s="8" t="n">
        <v>22</v>
      </c>
      <c r="P64" s="8" t="s">
        <v>120</v>
      </c>
    </row>
    <row r="65" customFormat="false" ht="15" hidden="false" customHeight="false" outlineLevel="0" collapsed="false">
      <c r="A65" s="8" t="s">
        <v>3586</v>
      </c>
      <c r="B65" s="8" t="s">
        <v>3587</v>
      </c>
      <c r="C65" s="8" t="s">
        <v>8669</v>
      </c>
      <c r="D65" s="8" t="s">
        <v>117</v>
      </c>
      <c r="E65" s="8" t="s">
        <v>51</v>
      </c>
      <c r="F65" s="8" t="s">
        <v>2027</v>
      </c>
      <c r="G65" s="8" t="s">
        <v>223</v>
      </c>
      <c r="H65" s="8" t="s">
        <v>8675</v>
      </c>
      <c r="I65" s="8" t="s">
        <v>8777</v>
      </c>
      <c r="J65" s="8" t="s">
        <v>147</v>
      </c>
      <c r="K65" s="8" t="s">
        <v>8664</v>
      </c>
      <c r="L65" s="8"/>
      <c r="M65" s="8"/>
      <c r="N65" s="8" t="n">
        <v>12</v>
      </c>
      <c r="O65" s="8" t="n">
        <v>23</v>
      </c>
      <c r="P65" s="8" t="s">
        <v>120</v>
      </c>
    </row>
    <row r="66" customFormat="false" ht="15" hidden="false" customHeight="false" outlineLevel="0" collapsed="false">
      <c r="A66" s="8" t="s">
        <v>4441</v>
      </c>
      <c r="B66" s="8" t="s">
        <v>8778</v>
      </c>
      <c r="C66" s="8" t="s">
        <v>8688</v>
      </c>
      <c r="D66" s="8" t="s">
        <v>123</v>
      </c>
      <c r="E66" s="8" t="s">
        <v>53</v>
      </c>
      <c r="F66" s="8" t="s">
        <v>55</v>
      </c>
      <c r="G66" s="8" t="s">
        <v>154</v>
      </c>
      <c r="H66" s="8" t="s">
        <v>8662</v>
      </c>
      <c r="I66" s="8" t="s">
        <v>8779</v>
      </c>
      <c r="J66" s="8"/>
      <c r="K66" s="8" t="s">
        <v>8690</v>
      </c>
      <c r="L66" s="8" t="s">
        <v>8780</v>
      </c>
      <c r="M66" s="8" t="s">
        <v>8721</v>
      </c>
      <c r="N66" s="8" t="n">
        <v>45</v>
      </c>
      <c r="O66" s="8" t="n">
        <v>89</v>
      </c>
      <c r="P66" s="8" t="s">
        <v>148</v>
      </c>
    </row>
    <row r="67" customFormat="false" ht="15" hidden="false" customHeight="false" outlineLevel="0" collapsed="false">
      <c r="A67" s="8" t="s">
        <v>2282</v>
      </c>
      <c r="B67" s="8" t="s">
        <v>2283</v>
      </c>
      <c r="C67" s="8" t="s">
        <v>8669</v>
      </c>
      <c r="D67" s="8" t="s">
        <v>117</v>
      </c>
      <c r="E67" s="8" t="s">
        <v>51</v>
      </c>
      <c r="F67" s="8" t="s">
        <v>326</v>
      </c>
      <c r="G67" s="8" t="s">
        <v>166</v>
      </c>
      <c r="H67" s="8" t="s">
        <v>8675</v>
      </c>
      <c r="I67" s="8" t="s">
        <v>8781</v>
      </c>
      <c r="J67" s="8" t="s">
        <v>159</v>
      </c>
      <c r="K67" s="8" t="s">
        <v>8664</v>
      </c>
      <c r="L67" s="8"/>
      <c r="M67" s="8"/>
      <c r="N67" s="8" t="n">
        <v>25</v>
      </c>
      <c r="O67" s="8" t="n">
        <v>19</v>
      </c>
      <c r="P67" s="8" t="s">
        <v>120</v>
      </c>
    </row>
    <row r="68" customFormat="false" ht="15" hidden="false" customHeight="false" outlineLevel="0" collapsed="false">
      <c r="A68" s="8" t="s">
        <v>1327</v>
      </c>
      <c r="B68" s="8" t="s">
        <v>1328</v>
      </c>
      <c r="C68" s="8" t="s">
        <v>8688</v>
      </c>
      <c r="D68" s="8" t="s">
        <v>123</v>
      </c>
      <c r="E68" s="8" t="s">
        <v>53</v>
      </c>
      <c r="F68" s="8" t="s">
        <v>326</v>
      </c>
      <c r="G68" s="8" t="s">
        <v>154</v>
      </c>
      <c r="H68" s="8" t="s">
        <v>8662</v>
      </c>
      <c r="I68" s="8" t="s">
        <v>8782</v>
      </c>
      <c r="J68" s="8" t="s">
        <v>147</v>
      </c>
      <c r="K68" s="8" t="s">
        <v>8664</v>
      </c>
      <c r="L68" s="8"/>
      <c r="M68" s="8"/>
      <c r="N68" s="8" t="n">
        <v>25</v>
      </c>
      <c r="O68" s="8" t="n">
        <v>75</v>
      </c>
      <c r="P68" s="8" t="s">
        <v>120</v>
      </c>
    </row>
    <row r="69" customFormat="false" ht="15" hidden="false" customHeight="false" outlineLevel="0" collapsed="false">
      <c r="A69" s="8" t="s">
        <v>2972</v>
      </c>
      <c r="B69" s="8" t="s">
        <v>2973</v>
      </c>
      <c r="C69" s="8" t="s">
        <v>8678</v>
      </c>
      <c r="D69" s="8" t="s">
        <v>123</v>
      </c>
      <c r="E69" s="8" t="s">
        <v>51</v>
      </c>
      <c r="F69" s="8" t="s">
        <v>2027</v>
      </c>
      <c r="G69" s="8" t="s">
        <v>223</v>
      </c>
      <c r="H69" s="8" t="s">
        <v>8662</v>
      </c>
      <c r="I69" s="8" t="s">
        <v>8783</v>
      </c>
      <c r="J69" s="8" t="s">
        <v>119</v>
      </c>
      <c r="K69" s="8" t="s">
        <v>8664</v>
      </c>
      <c r="L69" s="8"/>
      <c r="M69" s="8"/>
      <c r="N69" s="8" t="n">
        <v>12</v>
      </c>
      <c r="O69" s="8" t="n">
        <v>30</v>
      </c>
      <c r="P69" s="8" t="s">
        <v>120</v>
      </c>
    </row>
    <row r="70" customFormat="false" ht="15" hidden="false" customHeight="false" outlineLevel="0" collapsed="false">
      <c r="A70" s="8" t="s">
        <v>3124</v>
      </c>
      <c r="B70" s="8" t="s">
        <v>3125</v>
      </c>
      <c r="C70" s="8" t="s">
        <v>8665</v>
      </c>
      <c r="D70" s="8" t="s">
        <v>123</v>
      </c>
      <c r="E70" s="8" t="s">
        <v>51</v>
      </c>
      <c r="F70" s="8" t="s">
        <v>326</v>
      </c>
      <c r="G70" s="8" t="s">
        <v>223</v>
      </c>
      <c r="H70" s="8" t="s">
        <v>8675</v>
      </c>
      <c r="I70" s="8" t="s">
        <v>8784</v>
      </c>
      <c r="J70" s="8" t="s">
        <v>144</v>
      </c>
      <c r="K70" s="8" t="s">
        <v>8664</v>
      </c>
      <c r="L70" s="8"/>
      <c r="M70" s="8"/>
      <c r="N70" s="8" t="n">
        <v>25</v>
      </c>
      <c r="O70" s="8" t="n">
        <v>13</v>
      </c>
      <c r="P70" s="8" t="s">
        <v>120</v>
      </c>
    </row>
    <row r="71" customFormat="false" ht="15" hidden="false" customHeight="false" outlineLevel="0" collapsed="false">
      <c r="A71" s="8" t="s">
        <v>1917</v>
      </c>
      <c r="B71" s="8" t="s">
        <v>1918</v>
      </c>
      <c r="C71" s="8" t="s">
        <v>8669</v>
      </c>
      <c r="D71" s="8" t="s">
        <v>123</v>
      </c>
      <c r="E71" s="8" t="s">
        <v>51</v>
      </c>
      <c r="F71" s="8" t="s">
        <v>326</v>
      </c>
      <c r="G71" s="8" t="s">
        <v>133</v>
      </c>
      <c r="H71" s="8" t="s">
        <v>8666</v>
      </c>
      <c r="I71" s="8" t="s">
        <v>8785</v>
      </c>
      <c r="J71" s="8" t="s">
        <v>140</v>
      </c>
      <c r="K71" s="8" t="s">
        <v>8664</v>
      </c>
      <c r="L71" s="8"/>
      <c r="M71" s="8"/>
      <c r="N71" s="8" t="n">
        <v>25</v>
      </c>
      <c r="O71" s="8" t="n">
        <v>35</v>
      </c>
      <c r="P71" s="8" t="s">
        <v>120</v>
      </c>
    </row>
    <row r="72" customFormat="false" ht="15" hidden="false" customHeight="false" outlineLevel="0" collapsed="false">
      <c r="A72" s="8" t="s">
        <v>8786</v>
      </c>
      <c r="B72" s="8" t="s">
        <v>8787</v>
      </c>
      <c r="C72" s="8" t="s">
        <v>8680</v>
      </c>
      <c r="D72" s="8" t="s">
        <v>123</v>
      </c>
      <c r="E72" s="8" t="s">
        <v>53</v>
      </c>
      <c r="F72" s="8" t="s">
        <v>326</v>
      </c>
      <c r="G72" s="8" t="s">
        <v>133</v>
      </c>
      <c r="H72" s="8" t="s">
        <v>8662</v>
      </c>
      <c r="I72" s="8" t="s">
        <v>8788</v>
      </c>
      <c r="J72" s="8"/>
      <c r="K72" s="8" t="s">
        <v>8690</v>
      </c>
      <c r="L72" s="8" t="s">
        <v>8789</v>
      </c>
      <c r="M72" s="8" t="s">
        <v>8692</v>
      </c>
      <c r="N72" s="8" t="n">
        <v>25</v>
      </c>
      <c r="O72" s="8" t="n">
        <v>69</v>
      </c>
      <c r="P72" s="8" t="s">
        <v>120</v>
      </c>
    </row>
    <row r="73" customFormat="false" ht="15" hidden="false" customHeight="false" outlineLevel="0" collapsed="false">
      <c r="A73" s="8" t="s">
        <v>1771</v>
      </c>
      <c r="B73" s="8" t="s">
        <v>1772</v>
      </c>
      <c r="C73" s="8" t="s">
        <v>8688</v>
      </c>
      <c r="D73" s="8" t="s">
        <v>123</v>
      </c>
      <c r="E73" s="8" t="s">
        <v>53</v>
      </c>
      <c r="F73" s="8" t="s">
        <v>326</v>
      </c>
      <c r="G73" s="8" t="s">
        <v>118</v>
      </c>
      <c r="H73" s="8" t="s">
        <v>8670</v>
      </c>
      <c r="I73" s="8" t="s">
        <v>8790</v>
      </c>
      <c r="J73" s="8" t="s">
        <v>119</v>
      </c>
      <c r="K73" s="8" t="s">
        <v>8664</v>
      </c>
      <c r="L73" s="8"/>
      <c r="M73" s="8"/>
      <c r="N73" s="8" t="n">
        <v>25</v>
      </c>
      <c r="O73" s="8" t="n">
        <v>46</v>
      </c>
      <c r="P73" s="8" t="s">
        <v>120</v>
      </c>
    </row>
    <row r="74" customFormat="false" ht="15" hidden="false" customHeight="false" outlineLevel="0" collapsed="false">
      <c r="A74" s="8" t="s">
        <v>8791</v>
      </c>
      <c r="B74" s="8" t="s">
        <v>8792</v>
      </c>
      <c r="C74" s="8" t="s">
        <v>8680</v>
      </c>
      <c r="D74" s="8" t="s">
        <v>132</v>
      </c>
      <c r="E74" s="8" t="s">
        <v>51</v>
      </c>
      <c r="F74" s="8" t="s">
        <v>2027</v>
      </c>
      <c r="G74" s="8" t="s">
        <v>118</v>
      </c>
      <c r="H74" s="8" t="s">
        <v>8670</v>
      </c>
      <c r="I74" s="8" t="s">
        <v>8793</v>
      </c>
      <c r="J74" s="8"/>
      <c r="K74" s="8" t="s">
        <v>8690</v>
      </c>
      <c r="L74" s="8" t="s">
        <v>8794</v>
      </c>
      <c r="M74" s="8" t="s">
        <v>8795</v>
      </c>
      <c r="N74" s="8" t="n">
        <v>12</v>
      </c>
      <c r="O74" s="8" t="n">
        <v>18</v>
      </c>
      <c r="P74" s="8" t="s">
        <v>120</v>
      </c>
    </row>
    <row r="75" customFormat="false" ht="15" hidden="false" customHeight="false" outlineLevel="0" collapsed="false">
      <c r="A75" s="8" t="s">
        <v>575</v>
      </c>
      <c r="B75" s="8" t="s">
        <v>576</v>
      </c>
      <c r="C75" s="8" t="s">
        <v>8661</v>
      </c>
      <c r="D75" s="8" t="s">
        <v>117</v>
      </c>
      <c r="E75" s="8" t="s">
        <v>55</v>
      </c>
      <c r="F75" s="8" t="s">
        <v>326</v>
      </c>
      <c r="G75" s="8" t="s">
        <v>118</v>
      </c>
      <c r="H75" s="8" t="s">
        <v>8662</v>
      </c>
      <c r="I75" s="8" t="s">
        <v>8796</v>
      </c>
      <c r="J75" s="8" t="s">
        <v>177</v>
      </c>
      <c r="K75" s="8" t="s">
        <v>8664</v>
      </c>
      <c r="L75" s="8"/>
      <c r="M75" s="8"/>
      <c r="N75" s="8" t="n">
        <v>25</v>
      </c>
      <c r="O75" s="8" t="n">
        <v>362</v>
      </c>
      <c r="P75" s="8" t="s">
        <v>120</v>
      </c>
    </row>
    <row r="76" customFormat="false" ht="15" hidden="false" customHeight="false" outlineLevel="0" collapsed="false">
      <c r="A76" s="8" t="s">
        <v>2550</v>
      </c>
      <c r="B76" s="8" t="s">
        <v>2551</v>
      </c>
      <c r="C76" s="8" t="s">
        <v>8669</v>
      </c>
      <c r="D76" s="8" t="s">
        <v>123</v>
      </c>
      <c r="E76" s="8" t="s">
        <v>51</v>
      </c>
      <c r="F76" s="8" t="s">
        <v>2027</v>
      </c>
      <c r="G76" s="8" t="s">
        <v>166</v>
      </c>
      <c r="H76" s="8" t="s">
        <v>8666</v>
      </c>
      <c r="I76" s="8" t="s">
        <v>8772</v>
      </c>
      <c r="J76" s="8" t="s">
        <v>185</v>
      </c>
      <c r="K76" s="8" t="s">
        <v>8664</v>
      </c>
      <c r="L76" s="8"/>
      <c r="M76" s="8"/>
      <c r="N76" s="8" t="n">
        <v>12</v>
      </c>
      <c r="O76" s="8" t="n">
        <v>37</v>
      </c>
      <c r="P76" s="8" t="s">
        <v>120</v>
      </c>
    </row>
    <row r="77" customFormat="false" ht="15" hidden="false" customHeight="false" outlineLevel="0" collapsed="false">
      <c r="A77" s="8" t="s">
        <v>188</v>
      </c>
      <c r="B77" s="8" t="s">
        <v>189</v>
      </c>
      <c r="C77" s="8" t="s">
        <v>8680</v>
      </c>
      <c r="D77" s="8" t="s">
        <v>123</v>
      </c>
      <c r="E77" s="8" t="s">
        <v>55</v>
      </c>
      <c r="F77" s="8" t="s">
        <v>55</v>
      </c>
      <c r="G77" s="8" t="s">
        <v>190</v>
      </c>
      <c r="H77" s="8" t="s">
        <v>8670</v>
      </c>
      <c r="I77" s="8" t="s">
        <v>8758</v>
      </c>
      <c r="J77" s="8" t="s">
        <v>144</v>
      </c>
      <c r="K77" s="8" t="s">
        <v>8664</v>
      </c>
      <c r="L77" s="8"/>
      <c r="M77" s="8"/>
      <c r="N77" s="8" t="n">
        <v>45</v>
      </c>
      <c r="O77" s="8" t="n">
        <v>577</v>
      </c>
      <c r="P77" s="8" t="s">
        <v>148</v>
      </c>
    </row>
    <row r="78" customFormat="false" ht="15" hidden="false" customHeight="false" outlineLevel="0" collapsed="false">
      <c r="A78" s="8" t="s">
        <v>1869</v>
      </c>
      <c r="B78" s="8" t="s">
        <v>1870</v>
      </c>
      <c r="C78" s="8" t="s">
        <v>8669</v>
      </c>
      <c r="D78" s="8" t="s">
        <v>132</v>
      </c>
      <c r="E78" s="8" t="s">
        <v>51</v>
      </c>
      <c r="F78" s="8" t="s">
        <v>326</v>
      </c>
      <c r="G78" s="8" t="s">
        <v>190</v>
      </c>
      <c r="H78" s="8" t="s">
        <v>8666</v>
      </c>
      <c r="I78" s="8" t="s">
        <v>8797</v>
      </c>
      <c r="J78" s="8" t="s">
        <v>180</v>
      </c>
      <c r="K78" s="8" t="s">
        <v>8664</v>
      </c>
      <c r="L78" s="8"/>
      <c r="M78" s="8"/>
      <c r="N78" s="8" t="n">
        <v>25</v>
      </c>
      <c r="O78" s="8" t="n">
        <v>37</v>
      </c>
      <c r="P78" s="8" t="s">
        <v>120</v>
      </c>
    </row>
    <row r="79" customFormat="false" ht="15" hidden="false" customHeight="false" outlineLevel="0" collapsed="false">
      <c r="A79" s="8" t="s">
        <v>3776</v>
      </c>
      <c r="B79" s="8" t="s">
        <v>3777</v>
      </c>
      <c r="C79" s="8" t="s">
        <v>8661</v>
      </c>
      <c r="D79" s="8" t="s">
        <v>132</v>
      </c>
      <c r="E79" s="8" t="s">
        <v>51</v>
      </c>
      <c r="F79" s="8" t="s">
        <v>2027</v>
      </c>
      <c r="G79" s="8" t="s">
        <v>223</v>
      </c>
      <c r="H79" s="8" t="s">
        <v>8670</v>
      </c>
      <c r="I79" s="8" t="s">
        <v>8798</v>
      </c>
      <c r="J79" s="8" t="s">
        <v>119</v>
      </c>
      <c r="K79" s="8" t="s">
        <v>8664</v>
      </c>
      <c r="L79" s="8"/>
      <c r="M79" s="8"/>
      <c r="N79" s="8" t="n">
        <v>12</v>
      </c>
      <c r="O79" s="8" t="n">
        <v>15</v>
      </c>
      <c r="P79" s="8" t="s">
        <v>120</v>
      </c>
    </row>
    <row r="80" customFormat="false" ht="15" hidden="false" customHeight="false" outlineLevel="0" collapsed="false">
      <c r="A80" s="8" t="s">
        <v>971</v>
      </c>
      <c r="B80" s="8" t="s">
        <v>972</v>
      </c>
      <c r="C80" s="8" t="s">
        <v>8669</v>
      </c>
      <c r="D80" s="8" t="s">
        <v>132</v>
      </c>
      <c r="E80" s="8" t="s">
        <v>53</v>
      </c>
      <c r="F80" s="8" t="s">
        <v>55</v>
      </c>
      <c r="G80" s="8" t="s">
        <v>136</v>
      </c>
      <c r="H80" s="8" t="s">
        <v>8662</v>
      </c>
      <c r="I80" s="8" t="s">
        <v>8799</v>
      </c>
      <c r="J80" s="8" t="s">
        <v>180</v>
      </c>
      <c r="K80" s="8" t="s">
        <v>8664</v>
      </c>
      <c r="L80" s="8"/>
      <c r="M80" s="8"/>
      <c r="N80" s="8" t="n">
        <v>45</v>
      </c>
      <c r="O80" s="8" t="n">
        <v>93</v>
      </c>
      <c r="P80" s="8" t="s">
        <v>120</v>
      </c>
    </row>
    <row r="81" customFormat="false" ht="15" hidden="false" customHeight="false" outlineLevel="0" collapsed="false">
      <c r="A81" s="8" t="s">
        <v>250</v>
      </c>
      <c r="B81" s="8" t="s">
        <v>251</v>
      </c>
      <c r="C81" s="8" t="s">
        <v>8661</v>
      </c>
      <c r="D81" s="8" t="s">
        <v>123</v>
      </c>
      <c r="E81" s="8" t="s">
        <v>55</v>
      </c>
      <c r="F81" s="8" t="s">
        <v>55</v>
      </c>
      <c r="G81" s="8" t="s">
        <v>136</v>
      </c>
      <c r="H81" s="8" t="s">
        <v>8662</v>
      </c>
      <c r="I81" s="8" t="s">
        <v>8800</v>
      </c>
      <c r="J81" s="8" t="s">
        <v>144</v>
      </c>
      <c r="K81" s="8" t="s">
        <v>8664</v>
      </c>
      <c r="L81" s="8"/>
      <c r="M81" s="8"/>
      <c r="N81" s="8" t="n">
        <v>45</v>
      </c>
      <c r="O81" s="8" t="n">
        <v>487</v>
      </c>
      <c r="P81" s="8" t="s">
        <v>120</v>
      </c>
    </row>
    <row r="82" customFormat="false" ht="15" hidden="false" customHeight="false" outlineLevel="0" collapsed="false">
      <c r="A82" s="8" t="s">
        <v>4260</v>
      </c>
      <c r="B82" s="8" t="s">
        <v>4261</v>
      </c>
      <c r="C82" s="8" t="s">
        <v>8669</v>
      </c>
      <c r="D82" s="8" t="s">
        <v>123</v>
      </c>
      <c r="E82" s="8" t="s">
        <v>51</v>
      </c>
      <c r="F82" s="8" t="s">
        <v>2027</v>
      </c>
      <c r="G82" s="8" t="s">
        <v>190</v>
      </c>
      <c r="H82" s="8" t="s">
        <v>8670</v>
      </c>
      <c r="I82" s="8" t="s">
        <v>8801</v>
      </c>
      <c r="J82" s="8" t="s">
        <v>129</v>
      </c>
      <c r="K82" s="8" t="s">
        <v>8664</v>
      </c>
      <c r="L82" s="8"/>
      <c r="M82" s="8"/>
      <c r="N82" s="8" t="n">
        <v>12</v>
      </c>
      <c r="O82" s="8" t="n">
        <v>7</v>
      </c>
      <c r="P82" s="8" t="s">
        <v>120</v>
      </c>
    </row>
    <row r="83" customFormat="false" ht="15" hidden="false" customHeight="false" outlineLevel="0" collapsed="false">
      <c r="A83" s="8" t="s">
        <v>1553</v>
      </c>
      <c r="B83" s="8" t="s">
        <v>1554</v>
      </c>
      <c r="C83" s="8" t="s">
        <v>8674</v>
      </c>
      <c r="D83" s="8" t="s">
        <v>132</v>
      </c>
      <c r="E83" s="8" t="s">
        <v>53</v>
      </c>
      <c r="F83" s="8" t="s">
        <v>326</v>
      </c>
      <c r="G83" s="8" t="s">
        <v>143</v>
      </c>
      <c r="H83" s="8" t="s">
        <v>8662</v>
      </c>
      <c r="I83" s="8" t="s">
        <v>8802</v>
      </c>
      <c r="J83" s="8" t="s">
        <v>119</v>
      </c>
      <c r="K83" s="8" t="s">
        <v>8664</v>
      </c>
      <c r="L83" s="8"/>
      <c r="M83" s="8"/>
      <c r="N83" s="8" t="n">
        <v>25</v>
      </c>
      <c r="O83" s="8" t="n">
        <v>75</v>
      </c>
      <c r="P83" s="8" t="s">
        <v>120</v>
      </c>
    </row>
    <row r="84" customFormat="false" ht="15" hidden="false" customHeight="false" outlineLevel="0" collapsed="false">
      <c r="A84" s="8" t="s">
        <v>2003</v>
      </c>
      <c r="B84" s="8" t="s">
        <v>2004</v>
      </c>
      <c r="C84" s="8" t="s">
        <v>8669</v>
      </c>
      <c r="D84" s="8" t="s">
        <v>123</v>
      </c>
      <c r="E84" s="8" t="s">
        <v>51</v>
      </c>
      <c r="F84" s="8" t="s">
        <v>326</v>
      </c>
      <c r="G84" s="8" t="s">
        <v>133</v>
      </c>
      <c r="H84" s="8" t="s">
        <v>8662</v>
      </c>
      <c r="I84" s="8" t="s">
        <v>8803</v>
      </c>
      <c r="J84" s="8" t="s">
        <v>147</v>
      </c>
      <c r="K84" s="8" t="s">
        <v>8664</v>
      </c>
      <c r="L84" s="8"/>
      <c r="M84" s="8"/>
      <c r="N84" s="8" t="n">
        <v>25</v>
      </c>
      <c r="O84" s="8" t="n">
        <v>31</v>
      </c>
      <c r="P84" s="8" t="s">
        <v>120</v>
      </c>
    </row>
    <row r="85" customFormat="false" ht="15" hidden="false" customHeight="false" outlineLevel="0" collapsed="false">
      <c r="A85" s="8" t="s">
        <v>3250</v>
      </c>
      <c r="B85" s="8" t="s">
        <v>3251</v>
      </c>
      <c r="C85" s="8" t="s">
        <v>8674</v>
      </c>
      <c r="D85" s="8" t="s">
        <v>123</v>
      </c>
      <c r="E85" s="8" t="s">
        <v>51</v>
      </c>
      <c r="F85" s="8" t="s">
        <v>326</v>
      </c>
      <c r="G85" s="8" t="s">
        <v>151</v>
      </c>
      <c r="H85" s="8" t="s">
        <v>8675</v>
      </c>
      <c r="I85" s="8" t="s">
        <v>8804</v>
      </c>
      <c r="J85" s="8" t="s">
        <v>180</v>
      </c>
      <c r="K85" s="8" t="s">
        <v>8664</v>
      </c>
      <c r="L85" s="8"/>
      <c r="M85" s="8"/>
      <c r="N85" s="8" t="n">
        <v>25</v>
      </c>
      <c r="O85" s="8" t="n">
        <v>9</v>
      </c>
      <c r="P85" s="8" t="s">
        <v>120</v>
      </c>
    </row>
    <row r="86" customFormat="false" ht="15" hidden="false" customHeight="false" outlineLevel="0" collapsed="false">
      <c r="A86" s="8" t="s">
        <v>4502</v>
      </c>
      <c r="B86" s="8" t="s">
        <v>8805</v>
      </c>
      <c r="C86" s="8" t="s">
        <v>8665</v>
      </c>
      <c r="D86" s="8" t="s">
        <v>132</v>
      </c>
      <c r="E86" s="8" t="s">
        <v>51</v>
      </c>
      <c r="F86" s="8" t="s">
        <v>2027</v>
      </c>
      <c r="G86" s="8" t="s">
        <v>190</v>
      </c>
      <c r="H86" s="8" t="s">
        <v>8666</v>
      </c>
      <c r="I86" s="8" t="s">
        <v>8806</v>
      </c>
      <c r="J86" s="8"/>
      <c r="K86" s="8" t="s">
        <v>8690</v>
      </c>
      <c r="L86" s="8" t="s">
        <v>8807</v>
      </c>
      <c r="M86" s="8" t="s">
        <v>8696</v>
      </c>
      <c r="N86" s="8" t="n">
        <v>12</v>
      </c>
      <c r="O86" s="8" t="n">
        <v>38</v>
      </c>
      <c r="P86" s="8" t="s">
        <v>120</v>
      </c>
    </row>
    <row r="87" customFormat="false" ht="15" hidden="false" customHeight="false" outlineLevel="0" collapsed="false">
      <c r="A87" s="8" t="s">
        <v>1381</v>
      </c>
      <c r="B87" s="8" t="s">
        <v>1382</v>
      </c>
      <c r="C87" s="8" t="s">
        <v>8678</v>
      </c>
      <c r="D87" s="8" t="s">
        <v>132</v>
      </c>
      <c r="E87" s="8" t="s">
        <v>53</v>
      </c>
      <c r="F87" s="8" t="s">
        <v>326</v>
      </c>
      <c r="G87" s="8" t="s">
        <v>124</v>
      </c>
      <c r="H87" s="8" t="s">
        <v>8662</v>
      </c>
      <c r="I87" s="8" t="s">
        <v>8808</v>
      </c>
      <c r="J87" s="8" t="s">
        <v>144</v>
      </c>
      <c r="K87" s="8" t="s">
        <v>8664</v>
      </c>
      <c r="L87" s="8"/>
      <c r="M87" s="8"/>
      <c r="N87" s="8" t="n">
        <v>25</v>
      </c>
      <c r="O87" s="8" t="n">
        <v>143</v>
      </c>
      <c r="P87" s="8" t="s">
        <v>120</v>
      </c>
    </row>
    <row r="88" customFormat="false" ht="15" hidden="false" customHeight="false" outlineLevel="0" collapsed="false">
      <c r="A88" s="8" t="s">
        <v>3902</v>
      </c>
      <c r="B88" s="8" t="s">
        <v>3903</v>
      </c>
      <c r="C88" s="8" t="s">
        <v>8680</v>
      </c>
      <c r="D88" s="8" t="s">
        <v>117</v>
      </c>
      <c r="E88" s="8" t="s">
        <v>51</v>
      </c>
      <c r="F88" s="8" t="s">
        <v>2027</v>
      </c>
      <c r="G88" s="8" t="s">
        <v>136</v>
      </c>
      <c r="H88" s="8" t="s">
        <v>8670</v>
      </c>
      <c r="I88" s="8" t="s">
        <v>8809</v>
      </c>
      <c r="J88" s="8" t="s">
        <v>147</v>
      </c>
      <c r="K88" s="8" t="s">
        <v>8664</v>
      </c>
      <c r="L88" s="8"/>
      <c r="M88" s="8"/>
      <c r="N88" s="8" t="n">
        <v>12</v>
      </c>
      <c r="O88" s="8" t="n">
        <v>13</v>
      </c>
      <c r="P88" s="8" t="s">
        <v>120</v>
      </c>
    </row>
    <row r="89" customFormat="false" ht="15" hidden="false" customHeight="false" outlineLevel="0" collapsed="false">
      <c r="A89" s="8" t="s">
        <v>1387</v>
      </c>
      <c r="B89" s="8" t="s">
        <v>1388</v>
      </c>
      <c r="C89" s="8" t="s">
        <v>8680</v>
      </c>
      <c r="D89" s="8" t="s">
        <v>132</v>
      </c>
      <c r="E89" s="8" t="s">
        <v>53</v>
      </c>
      <c r="F89" s="8" t="s">
        <v>326</v>
      </c>
      <c r="G89" s="8" t="s">
        <v>190</v>
      </c>
      <c r="H89" s="8" t="s">
        <v>8666</v>
      </c>
      <c r="I89" s="8" t="s">
        <v>8810</v>
      </c>
      <c r="J89" s="8" t="s">
        <v>147</v>
      </c>
      <c r="K89" s="8" t="s">
        <v>8664</v>
      </c>
      <c r="L89" s="8"/>
      <c r="M89" s="8"/>
      <c r="N89" s="8" t="n">
        <v>25</v>
      </c>
      <c r="O89" s="8" t="n">
        <v>108</v>
      </c>
      <c r="P89" s="8" t="s">
        <v>120</v>
      </c>
    </row>
    <row r="90" customFormat="false" ht="15" hidden="false" customHeight="false" outlineLevel="0" collapsed="false">
      <c r="A90" s="8" t="s">
        <v>3150</v>
      </c>
      <c r="B90" s="8" t="s">
        <v>3151</v>
      </c>
      <c r="C90" s="8" t="s">
        <v>8680</v>
      </c>
      <c r="D90" s="8" t="s">
        <v>132</v>
      </c>
      <c r="E90" s="8" t="s">
        <v>51</v>
      </c>
      <c r="F90" s="8" t="s">
        <v>2027</v>
      </c>
      <c r="G90" s="8" t="s">
        <v>118</v>
      </c>
      <c r="H90" s="8" t="s">
        <v>8670</v>
      </c>
      <c r="I90" s="8" t="s">
        <v>8811</v>
      </c>
      <c r="J90" s="8" t="s">
        <v>129</v>
      </c>
      <c r="K90" s="8" t="s">
        <v>8664</v>
      </c>
      <c r="L90" s="8"/>
      <c r="M90" s="8"/>
      <c r="N90" s="8" t="n">
        <v>12</v>
      </c>
      <c r="O90" s="8" t="n">
        <v>27</v>
      </c>
      <c r="P90" s="8" t="s">
        <v>120</v>
      </c>
    </row>
    <row r="91" customFormat="false" ht="15" hidden="false" customHeight="false" outlineLevel="0" collapsed="false">
      <c r="A91" s="8" t="s">
        <v>254</v>
      </c>
      <c r="B91" s="8" t="s">
        <v>255</v>
      </c>
      <c r="C91" s="8" t="s">
        <v>8678</v>
      </c>
      <c r="D91" s="8" t="s">
        <v>128</v>
      </c>
      <c r="E91" s="8" t="s">
        <v>55</v>
      </c>
      <c r="F91" s="8" t="s">
        <v>55</v>
      </c>
      <c r="G91" s="8" t="s">
        <v>154</v>
      </c>
      <c r="H91" s="8" t="s">
        <v>8670</v>
      </c>
      <c r="I91" s="8" t="s">
        <v>8812</v>
      </c>
      <c r="J91" s="8" t="s">
        <v>147</v>
      </c>
      <c r="K91" s="8" t="s">
        <v>8664</v>
      </c>
      <c r="L91" s="8"/>
      <c r="M91" s="8"/>
      <c r="N91" s="8" t="n">
        <v>45</v>
      </c>
      <c r="O91" s="8" t="n">
        <v>475</v>
      </c>
      <c r="P91" s="8" t="s">
        <v>120</v>
      </c>
    </row>
    <row r="92" customFormat="false" ht="15" hidden="false" customHeight="false" outlineLevel="0" collapsed="false">
      <c r="A92" s="8" t="s">
        <v>2662</v>
      </c>
      <c r="B92" s="8" t="s">
        <v>2663</v>
      </c>
      <c r="C92" s="8" t="s">
        <v>8661</v>
      </c>
      <c r="D92" s="8" t="s">
        <v>117</v>
      </c>
      <c r="E92" s="8" t="s">
        <v>51</v>
      </c>
      <c r="F92" s="8" t="s">
        <v>2027</v>
      </c>
      <c r="G92" s="8" t="s">
        <v>190</v>
      </c>
      <c r="H92" s="8" t="s">
        <v>8662</v>
      </c>
      <c r="I92" s="8" t="s">
        <v>8813</v>
      </c>
      <c r="J92" s="8" t="s">
        <v>204</v>
      </c>
      <c r="K92" s="8" t="s">
        <v>8664</v>
      </c>
      <c r="L92" s="8"/>
      <c r="M92" s="8"/>
      <c r="N92" s="8" t="n">
        <v>12</v>
      </c>
      <c r="O92" s="8" t="n">
        <v>24</v>
      </c>
      <c r="P92" s="8" t="s">
        <v>120</v>
      </c>
    </row>
    <row r="93" customFormat="false" ht="15" hidden="false" customHeight="false" outlineLevel="0" collapsed="false">
      <c r="A93" s="8" t="s">
        <v>2025</v>
      </c>
      <c r="B93" s="8" t="s">
        <v>2026</v>
      </c>
      <c r="C93" s="8" t="s">
        <v>8674</v>
      </c>
      <c r="D93" s="8" t="s">
        <v>123</v>
      </c>
      <c r="E93" s="8" t="s">
        <v>51</v>
      </c>
      <c r="F93" s="8" t="s">
        <v>2027</v>
      </c>
      <c r="G93" s="8" t="s">
        <v>143</v>
      </c>
      <c r="H93" s="8" t="s">
        <v>8675</v>
      </c>
      <c r="I93" s="8" t="s">
        <v>8814</v>
      </c>
      <c r="J93" s="8" t="s">
        <v>119</v>
      </c>
      <c r="K93" s="8" t="s">
        <v>8664</v>
      </c>
      <c r="L93" s="8"/>
      <c r="M93" s="8"/>
      <c r="N93" s="8" t="n">
        <v>12</v>
      </c>
      <c r="O93" s="8" t="n">
        <v>29</v>
      </c>
      <c r="P93" s="8" t="s">
        <v>120</v>
      </c>
    </row>
    <row r="94" customFormat="false" ht="15" hidden="false" customHeight="false" outlineLevel="0" collapsed="false">
      <c r="A94" s="8" t="s">
        <v>4082</v>
      </c>
      <c r="B94" s="8" t="s">
        <v>4083</v>
      </c>
      <c r="C94" s="8" t="s">
        <v>8674</v>
      </c>
      <c r="D94" s="8" t="s">
        <v>123</v>
      </c>
      <c r="E94" s="8" t="s">
        <v>51</v>
      </c>
      <c r="F94" s="8" t="s">
        <v>2027</v>
      </c>
      <c r="G94" s="8" t="s">
        <v>143</v>
      </c>
      <c r="H94" s="8" t="s">
        <v>8670</v>
      </c>
      <c r="I94" s="8" t="s">
        <v>8815</v>
      </c>
      <c r="J94" s="8" t="s">
        <v>140</v>
      </c>
      <c r="K94" s="8" t="s">
        <v>8664</v>
      </c>
      <c r="L94" s="8"/>
      <c r="M94" s="8"/>
      <c r="N94" s="8" t="n">
        <v>12</v>
      </c>
      <c r="O94" s="8" t="n">
        <v>10</v>
      </c>
      <c r="P94" s="8" t="s">
        <v>120</v>
      </c>
    </row>
    <row r="95" customFormat="false" ht="15" hidden="false" customHeight="false" outlineLevel="0" collapsed="false">
      <c r="A95" s="8" t="s">
        <v>8816</v>
      </c>
      <c r="B95" s="8" t="s">
        <v>8817</v>
      </c>
      <c r="C95" s="8" t="s">
        <v>8674</v>
      </c>
      <c r="D95" s="8" t="s">
        <v>117</v>
      </c>
      <c r="E95" s="8" t="s">
        <v>51</v>
      </c>
      <c r="F95" s="8" t="s">
        <v>2027</v>
      </c>
      <c r="G95" s="8" t="s">
        <v>166</v>
      </c>
      <c r="H95" s="8" t="s">
        <v>8670</v>
      </c>
      <c r="I95" s="8" t="s">
        <v>8818</v>
      </c>
      <c r="J95" s="8"/>
      <c r="K95" s="8" t="s">
        <v>8690</v>
      </c>
      <c r="L95" s="8" t="s">
        <v>8819</v>
      </c>
      <c r="M95" s="8" t="s">
        <v>8692</v>
      </c>
      <c r="N95" s="8" t="n">
        <v>12</v>
      </c>
      <c r="O95" s="8" t="n">
        <v>24</v>
      </c>
      <c r="P95" s="8" t="s">
        <v>120</v>
      </c>
    </row>
    <row r="96" customFormat="false" ht="15" hidden="false" customHeight="false" outlineLevel="0" collapsed="false">
      <c r="A96" s="8" t="s">
        <v>1937</v>
      </c>
      <c r="B96" s="8" t="s">
        <v>1938</v>
      </c>
      <c r="C96" s="8" t="s">
        <v>8678</v>
      </c>
      <c r="D96" s="8" t="s">
        <v>117</v>
      </c>
      <c r="E96" s="8" t="s">
        <v>51</v>
      </c>
      <c r="F96" s="8" t="s">
        <v>326</v>
      </c>
      <c r="G96" s="8" t="s">
        <v>223</v>
      </c>
      <c r="H96" s="8" t="s">
        <v>8662</v>
      </c>
      <c r="I96" s="8" t="s">
        <v>8729</v>
      </c>
      <c r="J96" s="8" t="s">
        <v>159</v>
      </c>
      <c r="K96" s="8" t="s">
        <v>8664</v>
      </c>
      <c r="L96" s="8"/>
      <c r="M96" s="8"/>
      <c r="N96" s="8" t="n">
        <v>25</v>
      </c>
      <c r="O96" s="8" t="n">
        <v>34</v>
      </c>
      <c r="P96" s="8" t="s">
        <v>120</v>
      </c>
    </row>
    <row r="97" customFormat="false" ht="15" hidden="false" customHeight="false" outlineLevel="0" collapsed="false">
      <c r="A97" s="8" t="s">
        <v>217</v>
      </c>
      <c r="B97" s="8" t="s">
        <v>218</v>
      </c>
      <c r="C97" s="8" t="s">
        <v>8661</v>
      </c>
      <c r="D97" s="8" t="s">
        <v>117</v>
      </c>
      <c r="E97" s="8" t="s">
        <v>55</v>
      </c>
      <c r="F97" s="8" t="s">
        <v>55</v>
      </c>
      <c r="G97" s="8" t="s">
        <v>166</v>
      </c>
      <c r="H97" s="8" t="s">
        <v>8666</v>
      </c>
      <c r="I97" s="8" t="s">
        <v>8707</v>
      </c>
      <c r="J97" s="8" t="s">
        <v>177</v>
      </c>
      <c r="K97" s="8" t="s">
        <v>8664</v>
      </c>
      <c r="L97" s="8"/>
      <c r="M97" s="8"/>
      <c r="N97" s="8" t="n">
        <v>45</v>
      </c>
      <c r="O97" s="8" t="n">
        <v>407</v>
      </c>
      <c r="P97" s="8" t="s">
        <v>148</v>
      </c>
    </row>
    <row r="98" customFormat="false" ht="15" hidden="false" customHeight="false" outlineLevel="0" collapsed="false">
      <c r="A98" s="8" t="s">
        <v>3486</v>
      </c>
      <c r="B98" s="8" t="s">
        <v>3487</v>
      </c>
      <c r="C98" s="8" t="s">
        <v>8665</v>
      </c>
      <c r="D98" s="8" t="s">
        <v>123</v>
      </c>
      <c r="E98" s="8" t="s">
        <v>51</v>
      </c>
      <c r="F98" s="8" t="s">
        <v>2027</v>
      </c>
      <c r="G98" s="8" t="s">
        <v>166</v>
      </c>
      <c r="H98" s="8" t="s">
        <v>8670</v>
      </c>
      <c r="I98" s="8" t="s">
        <v>8820</v>
      </c>
      <c r="J98" s="8" t="s">
        <v>129</v>
      </c>
      <c r="K98" s="8" t="s">
        <v>8664</v>
      </c>
      <c r="L98" s="8"/>
      <c r="M98" s="8"/>
      <c r="N98" s="8" t="n">
        <v>12</v>
      </c>
      <c r="O98" s="8" t="n">
        <v>28</v>
      </c>
      <c r="P98" s="8" t="s">
        <v>120</v>
      </c>
    </row>
    <row r="99" customFormat="false" ht="15" hidden="false" customHeight="false" outlineLevel="0" collapsed="false">
      <c r="A99" s="8" t="s">
        <v>2492</v>
      </c>
      <c r="B99" s="8" t="s">
        <v>2493</v>
      </c>
      <c r="C99" s="8" t="s">
        <v>8700</v>
      </c>
      <c r="D99" s="8" t="s">
        <v>132</v>
      </c>
      <c r="E99" s="8" t="s">
        <v>51</v>
      </c>
      <c r="F99" s="8" t="s">
        <v>2027</v>
      </c>
      <c r="G99" s="8" t="s">
        <v>133</v>
      </c>
      <c r="H99" s="8" t="s">
        <v>8670</v>
      </c>
      <c r="I99" s="8" t="s">
        <v>8818</v>
      </c>
      <c r="J99" s="8" t="s">
        <v>185</v>
      </c>
      <c r="K99" s="8" t="s">
        <v>8664</v>
      </c>
      <c r="L99" s="8"/>
      <c r="M99" s="8"/>
      <c r="N99" s="8" t="n">
        <v>12</v>
      </c>
      <c r="O99" s="8" t="n">
        <v>38</v>
      </c>
      <c r="P99" s="8" t="s">
        <v>120</v>
      </c>
    </row>
    <row r="100" customFormat="false" ht="15" hidden="false" customHeight="false" outlineLevel="0" collapsed="false">
      <c r="A100" s="8" t="s">
        <v>3152</v>
      </c>
      <c r="B100" s="8" t="s">
        <v>3153</v>
      </c>
      <c r="C100" s="8" t="s">
        <v>8688</v>
      </c>
      <c r="D100" s="8" t="s">
        <v>123</v>
      </c>
      <c r="E100" s="8" t="s">
        <v>51</v>
      </c>
      <c r="F100" s="8" t="s">
        <v>2027</v>
      </c>
      <c r="G100" s="8" t="s">
        <v>133</v>
      </c>
      <c r="H100" s="8" t="s">
        <v>8666</v>
      </c>
      <c r="I100" s="8" t="s">
        <v>8821</v>
      </c>
      <c r="J100" s="8" t="s">
        <v>137</v>
      </c>
      <c r="K100" s="8" t="s">
        <v>8664</v>
      </c>
      <c r="L100" s="8"/>
      <c r="M100" s="8"/>
      <c r="N100" s="8" t="n">
        <v>12</v>
      </c>
      <c r="O100" s="8" t="n">
        <v>27</v>
      </c>
      <c r="P100" s="8" t="s">
        <v>120</v>
      </c>
    </row>
    <row r="101" customFormat="false" ht="15" hidden="false" customHeight="false" outlineLevel="0" collapsed="false">
      <c r="A101" s="8" t="s">
        <v>783</v>
      </c>
      <c r="B101" s="8" t="s">
        <v>784</v>
      </c>
      <c r="C101" s="8" t="s">
        <v>8688</v>
      </c>
      <c r="D101" s="8" t="s">
        <v>123</v>
      </c>
      <c r="E101" s="8" t="s">
        <v>53</v>
      </c>
      <c r="F101" s="8" t="s">
        <v>326</v>
      </c>
      <c r="G101" s="8" t="s">
        <v>136</v>
      </c>
      <c r="H101" s="8" t="s">
        <v>8666</v>
      </c>
      <c r="I101" s="8" t="s">
        <v>8822</v>
      </c>
      <c r="J101" s="8" t="s">
        <v>137</v>
      </c>
      <c r="K101" s="8" t="s">
        <v>8664</v>
      </c>
      <c r="L101" s="8"/>
      <c r="M101" s="8"/>
      <c r="N101" s="8" t="n">
        <v>25</v>
      </c>
      <c r="O101" s="8" t="n">
        <v>198</v>
      </c>
      <c r="P101" s="8" t="s">
        <v>120</v>
      </c>
    </row>
    <row r="102" customFormat="false" ht="15" hidden="false" customHeight="false" outlineLevel="0" collapsed="false">
      <c r="A102" s="8" t="s">
        <v>3252</v>
      </c>
      <c r="B102" s="8" t="s">
        <v>3253</v>
      </c>
      <c r="C102" s="8" t="s">
        <v>8680</v>
      </c>
      <c r="D102" s="8" t="s">
        <v>117</v>
      </c>
      <c r="E102" s="8" t="s">
        <v>51</v>
      </c>
      <c r="F102" s="8" t="s">
        <v>2027</v>
      </c>
      <c r="G102" s="8" t="s">
        <v>136</v>
      </c>
      <c r="H102" s="8" t="s">
        <v>8662</v>
      </c>
      <c r="I102" s="8" t="s">
        <v>8789</v>
      </c>
      <c r="J102" s="8" t="s">
        <v>144</v>
      </c>
      <c r="K102" s="8" t="s">
        <v>8664</v>
      </c>
      <c r="L102" s="8"/>
      <c r="M102" s="8"/>
      <c r="N102" s="8" t="n">
        <v>12</v>
      </c>
      <c r="O102" s="8" t="n">
        <v>25</v>
      </c>
      <c r="P102" s="8" t="s">
        <v>120</v>
      </c>
    </row>
    <row r="103" customFormat="false" ht="15" hidden="false" customHeight="false" outlineLevel="0" collapsed="false">
      <c r="A103" s="8" t="s">
        <v>1533</v>
      </c>
      <c r="B103" s="8" t="s">
        <v>1534</v>
      </c>
      <c r="C103" s="8" t="s">
        <v>8669</v>
      </c>
      <c r="D103" s="8" t="s">
        <v>123</v>
      </c>
      <c r="E103" s="8" t="s">
        <v>53</v>
      </c>
      <c r="F103" s="8" t="s">
        <v>326</v>
      </c>
      <c r="G103" s="8" t="s">
        <v>154</v>
      </c>
      <c r="H103" s="8" t="s">
        <v>8666</v>
      </c>
      <c r="I103" s="8" t="s">
        <v>8823</v>
      </c>
      <c r="J103" s="8" t="s">
        <v>177</v>
      </c>
      <c r="K103" s="8" t="s">
        <v>8664</v>
      </c>
      <c r="L103" s="8"/>
      <c r="M103" s="8"/>
      <c r="N103" s="8" t="n">
        <v>25</v>
      </c>
      <c r="O103" s="8" t="n">
        <v>76</v>
      </c>
      <c r="P103" s="8" t="s">
        <v>120</v>
      </c>
    </row>
    <row r="104" customFormat="false" ht="15" hidden="false" customHeight="false" outlineLevel="0" collapsed="false">
      <c r="A104" s="8" t="s">
        <v>1473</v>
      </c>
      <c r="B104" s="8" t="s">
        <v>1474</v>
      </c>
      <c r="C104" s="8" t="s">
        <v>8665</v>
      </c>
      <c r="D104" s="8" t="s">
        <v>123</v>
      </c>
      <c r="E104" s="8" t="s">
        <v>53</v>
      </c>
      <c r="F104" s="8" t="s">
        <v>326</v>
      </c>
      <c r="G104" s="8" t="s">
        <v>136</v>
      </c>
      <c r="H104" s="8" t="s">
        <v>8666</v>
      </c>
      <c r="I104" s="8" t="s">
        <v>8824</v>
      </c>
      <c r="J104" s="8" t="s">
        <v>180</v>
      </c>
      <c r="K104" s="8" t="s">
        <v>8664</v>
      </c>
      <c r="L104" s="8"/>
      <c r="M104" s="8"/>
      <c r="N104" s="8" t="n">
        <v>25</v>
      </c>
      <c r="O104" s="8" t="n">
        <v>93</v>
      </c>
      <c r="P104" s="8" t="s">
        <v>199</v>
      </c>
    </row>
    <row r="105" customFormat="false" ht="15" hidden="false" customHeight="false" outlineLevel="0" collapsed="false">
      <c r="A105" s="8" t="s">
        <v>296</v>
      </c>
      <c r="B105" s="8" t="s">
        <v>297</v>
      </c>
      <c r="C105" s="8" t="s">
        <v>8688</v>
      </c>
      <c r="D105" s="8" t="s">
        <v>128</v>
      </c>
      <c r="E105" s="8" t="s">
        <v>55</v>
      </c>
      <c r="F105" s="8" t="s">
        <v>55</v>
      </c>
      <c r="G105" s="8" t="s">
        <v>124</v>
      </c>
      <c r="H105" s="8" t="s">
        <v>8675</v>
      </c>
      <c r="I105" s="8" t="s">
        <v>8825</v>
      </c>
      <c r="J105" s="8" t="s">
        <v>177</v>
      </c>
      <c r="K105" s="8" t="s">
        <v>8664</v>
      </c>
      <c r="L105" s="8"/>
      <c r="M105" s="8"/>
      <c r="N105" s="8" t="n">
        <v>45</v>
      </c>
      <c r="O105" s="8" t="n">
        <v>363</v>
      </c>
      <c r="P105" s="8" t="s">
        <v>120</v>
      </c>
    </row>
    <row r="106" customFormat="false" ht="15" hidden="false" customHeight="false" outlineLevel="0" collapsed="false">
      <c r="A106" s="8" t="s">
        <v>1979</v>
      </c>
      <c r="B106" s="8" t="s">
        <v>1980</v>
      </c>
      <c r="C106" s="8" t="s">
        <v>8678</v>
      </c>
      <c r="D106" s="8" t="s">
        <v>117</v>
      </c>
      <c r="E106" s="8" t="s">
        <v>51</v>
      </c>
      <c r="F106" s="8" t="s">
        <v>326</v>
      </c>
      <c r="G106" s="8" t="s">
        <v>133</v>
      </c>
      <c r="H106" s="8" t="s">
        <v>8670</v>
      </c>
      <c r="I106" s="8" t="s">
        <v>8826</v>
      </c>
      <c r="J106" s="8" t="s">
        <v>119</v>
      </c>
      <c r="K106" s="8" t="s">
        <v>8664</v>
      </c>
      <c r="L106" s="8"/>
      <c r="M106" s="8"/>
      <c r="N106" s="8" t="n">
        <v>25</v>
      </c>
      <c r="O106" s="8" t="n">
        <v>32</v>
      </c>
      <c r="P106" s="8" t="s">
        <v>148</v>
      </c>
    </row>
    <row r="107" customFormat="false" ht="15" hidden="false" customHeight="false" outlineLevel="0" collapsed="false">
      <c r="A107" s="8" t="s">
        <v>4428</v>
      </c>
      <c r="B107" s="8" t="s">
        <v>8827</v>
      </c>
      <c r="C107" s="8" t="s">
        <v>8700</v>
      </c>
      <c r="D107" s="8" t="s">
        <v>117</v>
      </c>
      <c r="E107" s="8" t="s">
        <v>53</v>
      </c>
      <c r="F107" s="8" t="s">
        <v>326</v>
      </c>
      <c r="G107" s="8" t="s">
        <v>166</v>
      </c>
      <c r="H107" s="8" t="s">
        <v>8666</v>
      </c>
      <c r="I107" s="8" t="s">
        <v>8828</v>
      </c>
      <c r="J107" s="8"/>
      <c r="K107" s="8" t="s">
        <v>8690</v>
      </c>
      <c r="L107" s="8" t="s">
        <v>8829</v>
      </c>
      <c r="M107" s="8" t="s">
        <v>8705</v>
      </c>
      <c r="N107" s="8" t="n">
        <v>25</v>
      </c>
      <c r="O107" s="8" t="n">
        <v>185</v>
      </c>
      <c r="P107" s="8" t="s">
        <v>120</v>
      </c>
    </row>
    <row r="108" customFormat="false" ht="15" hidden="false" customHeight="false" outlineLevel="0" collapsed="false">
      <c r="A108" s="8" t="s">
        <v>2836</v>
      </c>
      <c r="B108" s="8" t="s">
        <v>2837</v>
      </c>
      <c r="C108" s="8" t="s">
        <v>8674</v>
      </c>
      <c r="D108" s="8" t="s">
        <v>123</v>
      </c>
      <c r="E108" s="8" t="s">
        <v>51</v>
      </c>
      <c r="F108" s="8" t="s">
        <v>2027</v>
      </c>
      <c r="G108" s="8" t="s">
        <v>133</v>
      </c>
      <c r="H108" s="8" t="s">
        <v>8670</v>
      </c>
      <c r="I108" s="8" t="s">
        <v>8830</v>
      </c>
      <c r="J108" s="8" t="s">
        <v>180</v>
      </c>
      <c r="K108" s="8" t="s">
        <v>8664</v>
      </c>
      <c r="L108" s="8"/>
      <c r="M108" s="8"/>
      <c r="N108" s="8" t="n">
        <v>12</v>
      </c>
      <c r="O108" s="8" t="n">
        <v>39</v>
      </c>
      <c r="P108" s="8" t="s">
        <v>120</v>
      </c>
    </row>
    <row r="109" customFormat="false" ht="15" hidden="false" customHeight="false" outlineLevel="0" collapsed="false">
      <c r="A109" s="8" t="s">
        <v>1719</v>
      </c>
      <c r="B109" s="8" t="s">
        <v>1720</v>
      </c>
      <c r="C109" s="8" t="s">
        <v>8669</v>
      </c>
      <c r="D109" s="8" t="s">
        <v>123</v>
      </c>
      <c r="E109" s="8" t="s">
        <v>53</v>
      </c>
      <c r="F109" s="8" t="s">
        <v>326</v>
      </c>
      <c r="G109" s="8" t="s">
        <v>136</v>
      </c>
      <c r="H109" s="8" t="s">
        <v>8662</v>
      </c>
      <c r="I109" s="8" t="s">
        <v>8754</v>
      </c>
      <c r="J109" s="8" t="s">
        <v>129</v>
      </c>
      <c r="K109" s="8" t="s">
        <v>8664</v>
      </c>
      <c r="L109" s="8"/>
      <c r="M109" s="8"/>
      <c r="N109" s="8" t="n">
        <v>25</v>
      </c>
      <c r="O109" s="8" t="n">
        <v>52</v>
      </c>
      <c r="P109" s="8" t="s">
        <v>120</v>
      </c>
    </row>
    <row r="110" customFormat="false" ht="15" hidden="false" customHeight="false" outlineLevel="0" collapsed="false">
      <c r="A110" s="8" t="s">
        <v>2920</v>
      </c>
      <c r="B110" s="8" t="s">
        <v>2921</v>
      </c>
      <c r="C110" s="8" t="s">
        <v>8669</v>
      </c>
      <c r="D110" s="8" t="s">
        <v>128</v>
      </c>
      <c r="E110" s="8" t="s">
        <v>51</v>
      </c>
      <c r="F110" s="8" t="s">
        <v>2027</v>
      </c>
      <c r="G110" s="8" t="s">
        <v>190</v>
      </c>
      <c r="H110" s="8" t="s">
        <v>8670</v>
      </c>
      <c r="I110" s="8" t="s">
        <v>8831</v>
      </c>
      <c r="J110" s="8" t="s">
        <v>147</v>
      </c>
      <c r="K110" s="8" t="s">
        <v>8664</v>
      </c>
      <c r="L110" s="8"/>
      <c r="M110" s="8"/>
      <c r="N110" s="8" t="n">
        <v>12</v>
      </c>
      <c r="O110" s="8" t="n">
        <v>31</v>
      </c>
      <c r="P110" s="8" t="s">
        <v>120</v>
      </c>
    </row>
    <row r="111" customFormat="false" ht="15" hidden="false" customHeight="false" outlineLevel="0" collapsed="false">
      <c r="A111" s="8" t="s">
        <v>3462</v>
      </c>
      <c r="B111" s="8" t="s">
        <v>3463</v>
      </c>
      <c r="C111" s="8" t="s">
        <v>8669</v>
      </c>
      <c r="D111" s="8" t="s">
        <v>132</v>
      </c>
      <c r="E111" s="8" t="s">
        <v>51</v>
      </c>
      <c r="F111" s="8" t="s">
        <v>2027</v>
      </c>
      <c r="G111" s="8" t="s">
        <v>118</v>
      </c>
      <c r="H111" s="8" t="s">
        <v>8662</v>
      </c>
      <c r="I111" s="8" t="s">
        <v>8832</v>
      </c>
      <c r="J111" s="8" t="s">
        <v>159</v>
      </c>
      <c r="K111" s="8" t="s">
        <v>8664</v>
      </c>
      <c r="L111" s="8"/>
      <c r="M111" s="8"/>
      <c r="N111" s="8" t="n">
        <v>12</v>
      </c>
      <c r="O111" s="8" t="n">
        <v>22</v>
      </c>
      <c r="P111" s="8" t="s">
        <v>120</v>
      </c>
    </row>
    <row r="112" customFormat="false" ht="15" hidden="false" customHeight="false" outlineLevel="0" collapsed="false">
      <c r="A112" s="8" t="s">
        <v>2030</v>
      </c>
      <c r="B112" s="8" t="s">
        <v>2031</v>
      </c>
      <c r="C112" s="8" t="s">
        <v>8678</v>
      </c>
      <c r="D112" s="8" t="s">
        <v>123</v>
      </c>
      <c r="E112" s="8" t="s">
        <v>51</v>
      </c>
      <c r="F112" s="8" t="s">
        <v>326</v>
      </c>
      <c r="G112" s="8" t="s">
        <v>124</v>
      </c>
      <c r="H112" s="8" t="s">
        <v>8675</v>
      </c>
      <c r="I112" s="8" t="s">
        <v>8833</v>
      </c>
      <c r="J112" s="8" t="s">
        <v>204</v>
      </c>
      <c r="K112" s="8" t="s">
        <v>8664</v>
      </c>
      <c r="L112" s="8"/>
      <c r="M112" s="8"/>
      <c r="N112" s="8" t="n">
        <v>25</v>
      </c>
      <c r="O112" s="8" t="n">
        <v>30</v>
      </c>
      <c r="P112" s="8" t="s">
        <v>120</v>
      </c>
    </row>
    <row r="113" customFormat="false" ht="15" hidden="false" customHeight="false" outlineLevel="0" collapsed="false">
      <c r="A113" s="8" t="s">
        <v>455</v>
      </c>
      <c r="B113" s="8" t="s">
        <v>456</v>
      </c>
      <c r="C113" s="8" t="s">
        <v>8688</v>
      </c>
      <c r="D113" s="8" t="s">
        <v>117</v>
      </c>
      <c r="E113" s="8" t="s">
        <v>55</v>
      </c>
      <c r="F113" s="8" t="s">
        <v>326</v>
      </c>
      <c r="G113" s="8" t="s">
        <v>154</v>
      </c>
      <c r="H113" s="8" t="s">
        <v>8675</v>
      </c>
      <c r="I113" s="8" t="s">
        <v>8834</v>
      </c>
      <c r="J113" s="8" t="s">
        <v>159</v>
      </c>
      <c r="K113" s="8" t="s">
        <v>8664</v>
      </c>
      <c r="L113" s="8"/>
      <c r="M113" s="8"/>
      <c r="N113" s="8" t="n">
        <v>25</v>
      </c>
      <c r="O113" s="8" t="n">
        <v>465</v>
      </c>
      <c r="P113" s="8" t="s">
        <v>120</v>
      </c>
    </row>
    <row r="114" customFormat="false" ht="15" hidden="false" customHeight="false" outlineLevel="0" collapsed="false">
      <c r="A114" s="8" t="s">
        <v>3386</v>
      </c>
      <c r="B114" s="8" t="s">
        <v>3387</v>
      </c>
      <c r="C114" s="8" t="s">
        <v>8678</v>
      </c>
      <c r="D114" s="8" t="s">
        <v>117</v>
      </c>
      <c r="E114" s="8" t="s">
        <v>51</v>
      </c>
      <c r="F114" s="8" t="s">
        <v>2027</v>
      </c>
      <c r="G114" s="8" t="s">
        <v>190</v>
      </c>
      <c r="H114" s="8" t="s">
        <v>8662</v>
      </c>
      <c r="I114" s="8" t="s">
        <v>8835</v>
      </c>
      <c r="J114" s="8" t="s">
        <v>147</v>
      </c>
      <c r="K114" s="8" t="s">
        <v>8664</v>
      </c>
      <c r="L114" s="8"/>
      <c r="M114" s="8"/>
      <c r="N114" s="8" t="n">
        <v>12</v>
      </c>
      <c r="O114" s="8" t="n">
        <v>14</v>
      </c>
      <c r="P114" s="8" t="s">
        <v>120</v>
      </c>
    </row>
    <row r="115" customFormat="false" ht="15" hidden="false" customHeight="false" outlineLevel="0" collapsed="false">
      <c r="A115" s="8" t="s">
        <v>256</v>
      </c>
      <c r="B115" s="8" t="s">
        <v>257</v>
      </c>
      <c r="C115" s="8" t="s">
        <v>8688</v>
      </c>
      <c r="D115" s="8" t="s">
        <v>132</v>
      </c>
      <c r="E115" s="8" t="s">
        <v>55</v>
      </c>
      <c r="F115" s="8" t="s">
        <v>55</v>
      </c>
      <c r="G115" s="8" t="s">
        <v>143</v>
      </c>
      <c r="H115" s="8" t="s">
        <v>8675</v>
      </c>
      <c r="I115" s="8" t="s">
        <v>8836</v>
      </c>
      <c r="J115" s="8" t="s">
        <v>180</v>
      </c>
      <c r="K115" s="8" t="s">
        <v>8664</v>
      </c>
      <c r="L115" s="8"/>
      <c r="M115" s="8"/>
      <c r="N115" s="8" t="n">
        <v>45</v>
      </c>
      <c r="O115" s="8" t="n">
        <v>474</v>
      </c>
      <c r="P115" s="8" t="s">
        <v>148</v>
      </c>
    </row>
    <row r="116" customFormat="false" ht="15" hidden="false" customHeight="false" outlineLevel="0" collapsed="false">
      <c r="A116" s="8" t="s">
        <v>7575</v>
      </c>
      <c r="B116" s="8" t="s">
        <v>8837</v>
      </c>
      <c r="C116" s="8" t="s">
        <v>8669</v>
      </c>
      <c r="D116" s="8" t="s">
        <v>123</v>
      </c>
      <c r="E116" s="8" t="s">
        <v>51</v>
      </c>
      <c r="F116" s="8" t="s">
        <v>2027</v>
      </c>
      <c r="G116" s="8" t="s">
        <v>154</v>
      </c>
      <c r="H116" s="8" t="s">
        <v>8670</v>
      </c>
      <c r="I116" s="8" t="s">
        <v>8838</v>
      </c>
      <c r="J116" s="8"/>
      <c r="K116" s="8" t="s">
        <v>8690</v>
      </c>
      <c r="L116" s="8" t="s">
        <v>8839</v>
      </c>
      <c r="M116" s="8" t="s">
        <v>8705</v>
      </c>
      <c r="N116" s="8" t="n">
        <v>12</v>
      </c>
      <c r="O116" s="8" t="n">
        <v>34</v>
      </c>
      <c r="P116" s="8" t="s">
        <v>120</v>
      </c>
    </row>
    <row r="117" customFormat="false" ht="15" hidden="false" customHeight="false" outlineLevel="0" collapsed="false">
      <c r="A117" s="8" t="s">
        <v>2088</v>
      </c>
      <c r="B117" s="8" t="s">
        <v>2089</v>
      </c>
      <c r="C117" s="8" t="s">
        <v>8700</v>
      </c>
      <c r="D117" s="8" t="s">
        <v>132</v>
      </c>
      <c r="E117" s="8" t="s">
        <v>51</v>
      </c>
      <c r="F117" s="8" t="s">
        <v>326</v>
      </c>
      <c r="G117" s="8" t="s">
        <v>124</v>
      </c>
      <c r="H117" s="8" t="s">
        <v>8662</v>
      </c>
      <c r="I117" s="8" t="s">
        <v>8840</v>
      </c>
      <c r="J117" s="8" t="s">
        <v>119</v>
      </c>
      <c r="K117" s="8" t="s">
        <v>8664</v>
      </c>
      <c r="L117" s="8"/>
      <c r="M117" s="8"/>
      <c r="N117" s="8" t="n">
        <v>25</v>
      </c>
      <c r="O117" s="8" t="n">
        <v>28</v>
      </c>
      <c r="P117" s="8" t="s">
        <v>120</v>
      </c>
    </row>
    <row r="118" customFormat="false" ht="15" hidden="false" customHeight="false" outlineLevel="0" collapsed="false">
      <c r="A118" s="8" t="s">
        <v>8841</v>
      </c>
      <c r="B118" s="8" t="s">
        <v>8842</v>
      </c>
      <c r="C118" s="8" t="s">
        <v>8678</v>
      </c>
      <c r="D118" s="8" t="s">
        <v>132</v>
      </c>
      <c r="E118" s="8" t="s">
        <v>51</v>
      </c>
      <c r="F118" s="8" t="s">
        <v>2027</v>
      </c>
      <c r="G118" s="8" t="s">
        <v>143</v>
      </c>
      <c r="H118" s="8" t="s">
        <v>8675</v>
      </c>
      <c r="I118" s="8" t="s">
        <v>8843</v>
      </c>
      <c r="J118" s="8"/>
      <c r="K118" s="8" t="s">
        <v>8690</v>
      </c>
      <c r="L118" s="8" t="s">
        <v>8844</v>
      </c>
      <c r="M118" s="8" t="s">
        <v>8721</v>
      </c>
      <c r="N118" s="8" t="n">
        <v>12</v>
      </c>
      <c r="O118" s="8" t="n">
        <v>6</v>
      </c>
      <c r="P118" s="8" t="s">
        <v>120</v>
      </c>
    </row>
    <row r="119" customFormat="false" ht="15" hidden="false" customHeight="false" outlineLevel="0" collapsed="false">
      <c r="A119" s="8" t="s">
        <v>915</v>
      </c>
      <c r="B119" s="8" t="s">
        <v>916</v>
      </c>
      <c r="C119" s="8" t="s">
        <v>8661</v>
      </c>
      <c r="D119" s="8" t="s">
        <v>123</v>
      </c>
      <c r="E119" s="8" t="s">
        <v>53</v>
      </c>
      <c r="F119" s="8" t="s">
        <v>326</v>
      </c>
      <c r="G119" s="8" t="s">
        <v>136</v>
      </c>
      <c r="H119" s="8" t="s">
        <v>8662</v>
      </c>
      <c r="I119" s="8" t="s">
        <v>8845</v>
      </c>
      <c r="J119" s="8" t="s">
        <v>159</v>
      </c>
      <c r="K119" s="8" t="s">
        <v>8664</v>
      </c>
      <c r="L119" s="8"/>
      <c r="M119" s="8"/>
      <c r="N119" s="8" t="n">
        <v>25</v>
      </c>
      <c r="O119" s="8" t="n">
        <v>147</v>
      </c>
      <c r="P119" s="8" t="s">
        <v>120</v>
      </c>
    </row>
    <row r="120" customFormat="false" ht="15" hidden="false" customHeight="false" outlineLevel="0" collapsed="false">
      <c r="A120" s="8" t="s">
        <v>1303</v>
      </c>
      <c r="B120" s="8" t="s">
        <v>1304</v>
      </c>
      <c r="C120" s="8" t="s">
        <v>8669</v>
      </c>
      <c r="D120" s="8" t="s">
        <v>123</v>
      </c>
      <c r="E120" s="8" t="s">
        <v>53</v>
      </c>
      <c r="F120" s="8" t="s">
        <v>326</v>
      </c>
      <c r="G120" s="8" t="s">
        <v>143</v>
      </c>
      <c r="H120" s="8" t="s">
        <v>8662</v>
      </c>
      <c r="I120" s="8" t="s">
        <v>8846</v>
      </c>
      <c r="J120" s="8" t="s">
        <v>125</v>
      </c>
      <c r="K120" s="8" t="s">
        <v>8664</v>
      </c>
      <c r="L120" s="8"/>
      <c r="M120" s="8"/>
      <c r="N120" s="8" t="n">
        <v>25</v>
      </c>
      <c r="O120" s="8" t="n">
        <v>86</v>
      </c>
      <c r="P120" s="8" t="s">
        <v>120</v>
      </c>
    </row>
    <row r="121" customFormat="false" ht="15" hidden="false" customHeight="false" outlineLevel="0" collapsed="false">
      <c r="A121" s="8" t="s">
        <v>1089</v>
      </c>
      <c r="B121" s="8" t="s">
        <v>1090</v>
      </c>
      <c r="C121" s="8" t="s">
        <v>8674</v>
      </c>
      <c r="D121" s="8" t="s">
        <v>123</v>
      </c>
      <c r="E121" s="8" t="s">
        <v>53</v>
      </c>
      <c r="F121" s="8" t="s">
        <v>326</v>
      </c>
      <c r="G121" s="8" t="s">
        <v>143</v>
      </c>
      <c r="H121" s="8" t="s">
        <v>8666</v>
      </c>
      <c r="I121" s="8" t="s">
        <v>8739</v>
      </c>
      <c r="J121" s="8" t="s">
        <v>185</v>
      </c>
      <c r="K121" s="8" t="s">
        <v>8664</v>
      </c>
      <c r="L121" s="8"/>
      <c r="M121" s="8"/>
      <c r="N121" s="8" t="n">
        <v>25</v>
      </c>
      <c r="O121" s="8" t="n">
        <v>150</v>
      </c>
      <c r="P121" s="8" t="s">
        <v>120</v>
      </c>
    </row>
    <row r="122" customFormat="false" ht="15" hidden="false" customHeight="false" outlineLevel="0" collapsed="false">
      <c r="A122" s="8" t="s">
        <v>193</v>
      </c>
      <c r="B122" s="8" t="s">
        <v>194</v>
      </c>
      <c r="C122" s="8" t="s">
        <v>8678</v>
      </c>
      <c r="D122" s="8" t="s">
        <v>132</v>
      </c>
      <c r="E122" s="8" t="s">
        <v>55</v>
      </c>
      <c r="F122" s="8" t="s">
        <v>55</v>
      </c>
      <c r="G122" s="8" t="s">
        <v>143</v>
      </c>
      <c r="H122" s="8" t="s">
        <v>8662</v>
      </c>
      <c r="I122" s="8" t="s">
        <v>8847</v>
      </c>
      <c r="J122" s="8" t="s">
        <v>177</v>
      </c>
      <c r="K122" s="8" t="s">
        <v>8664</v>
      </c>
      <c r="L122" s="8"/>
      <c r="M122" s="8"/>
      <c r="N122" s="8" t="n">
        <v>45</v>
      </c>
      <c r="O122" s="8" t="n">
        <v>500</v>
      </c>
      <c r="P122" s="8" t="s">
        <v>120</v>
      </c>
    </row>
    <row r="123" customFormat="false" ht="15" hidden="false" customHeight="false" outlineLevel="0" collapsed="false">
      <c r="A123" s="8" t="s">
        <v>8848</v>
      </c>
      <c r="B123" s="8" t="s">
        <v>8849</v>
      </c>
      <c r="C123" s="8" t="s">
        <v>8700</v>
      </c>
      <c r="D123" s="8" t="s">
        <v>123</v>
      </c>
      <c r="E123" s="8" t="s">
        <v>51</v>
      </c>
      <c r="F123" s="8" t="s">
        <v>2027</v>
      </c>
      <c r="G123" s="8" t="s">
        <v>118</v>
      </c>
      <c r="H123" s="8" t="s">
        <v>8666</v>
      </c>
      <c r="I123" s="8" t="s">
        <v>8850</v>
      </c>
      <c r="J123" s="8"/>
      <c r="K123" s="8" t="s">
        <v>8690</v>
      </c>
      <c r="L123" s="8" t="s">
        <v>8851</v>
      </c>
      <c r="M123" s="8" t="s">
        <v>8696</v>
      </c>
      <c r="N123" s="8" t="n">
        <v>12</v>
      </c>
      <c r="O123" s="8" t="n">
        <v>14</v>
      </c>
      <c r="P123" s="8" t="s">
        <v>120</v>
      </c>
    </row>
    <row r="124" customFormat="false" ht="15" hidden="false" customHeight="false" outlineLevel="0" collapsed="false">
      <c r="A124" s="8" t="s">
        <v>1317</v>
      </c>
      <c r="B124" s="8" t="s">
        <v>1318</v>
      </c>
      <c r="C124" s="8" t="s">
        <v>8665</v>
      </c>
      <c r="D124" s="8" t="s">
        <v>132</v>
      </c>
      <c r="E124" s="8" t="s">
        <v>53</v>
      </c>
      <c r="F124" s="8" t="s">
        <v>326</v>
      </c>
      <c r="G124" s="8" t="s">
        <v>166</v>
      </c>
      <c r="H124" s="8" t="s">
        <v>8670</v>
      </c>
      <c r="I124" s="8" t="s">
        <v>8852</v>
      </c>
      <c r="J124" s="8" t="s">
        <v>177</v>
      </c>
      <c r="K124" s="8" t="s">
        <v>8664</v>
      </c>
      <c r="L124" s="8"/>
      <c r="M124" s="8"/>
      <c r="N124" s="8" t="n">
        <v>25</v>
      </c>
      <c r="O124" s="8" t="n">
        <v>119</v>
      </c>
      <c r="P124" s="8" t="s">
        <v>120</v>
      </c>
    </row>
    <row r="125" customFormat="false" ht="15" hidden="false" customHeight="false" outlineLevel="0" collapsed="false">
      <c r="A125" s="8" t="s">
        <v>1235</v>
      </c>
      <c r="B125" s="8" t="s">
        <v>1236</v>
      </c>
      <c r="C125" s="8" t="s">
        <v>8661</v>
      </c>
      <c r="D125" s="8" t="s">
        <v>117</v>
      </c>
      <c r="E125" s="8" t="s">
        <v>53</v>
      </c>
      <c r="F125" s="8" t="s">
        <v>326</v>
      </c>
      <c r="G125" s="8" t="s">
        <v>190</v>
      </c>
      <c r="H125" s="8" t="s">
        <v>8670</v>
      </c>
      <c r="I125" s="8" t="s">
        <v>8761</v>
      </c>
      <c r="J125" s="8" t="s">
        <v>144</v>
      </c>
      <c r="K125" s="8" t="s">
        <v>8664</v>
      </c>
      <c r="L125" s="8"/>
      <c r="M125" s="8"/>
      <c r="N125" s="8" t="n">
        <v>25</v>
      </c>
      <c r="O125" s="8" t="n">
        <v>158</v>
      </c>
      <c r="P125" s="8" t="s">
        <v>120</v>
      </c>
    </row>
    <row r="126" customFormat="false" ht="15" hidden="false" customHeight="false" outlineLevel="0" collapsed="false">
      <c r="A126" s="8" t="s">
        <v>951</v>
      </c>
      <c r="B126" s="8" t="s">
        <v>952</v>
      </c>
      <c r="C126" s="8" t="s">
        <v>8669</v>
      </c>
      <c r="D126" s="8" t="s">
        <v>132</v>
      </c>
      <c r="E126" s="8" t="s">
        <v>53</v>
      </c>
      <c r="F126" s="8" t="s">
        <v>326</v>
      </c>
      <c r="G126" s="8" t="s">
        <v>124</v>
      </c>
      <c r="H126" s="8" t="s">
        <v>8670</v>
      </c>
      <c r="I126" s="8" t="s">
        <v>8853</v>
      </c>
      <c r="J126" s="8" t="s">
        <v>125</v>
      </c>
      <c r="K126" s="8" t="s">
        <v>8664</v>
      </c>
      <c r="L126" s="8"/>
      <c r="M126" s="8"/>
      <c r="N126" s="8" t="n">
        <v>25</v>
      </c>
      <c r="O126" s="8" t="n">
        <v>172</v>
      </c>
      <c r="P126" s="8" t="s">
        <v>120</v>
      </c>
    </row>
    <row r="127" customFormat="false" ht="15" hidden="false" customHeight="false" outlineLevel="0" collapsed="false">
      <c r="A127" s="8" t="s">
        <v>1295</v>
      </c>
      <c r="B127" s="8" t="s">
        <v>1296</v>
      </c>
      <c r="C127" s="8" t="s">
        <v>8665</v>
      </c>
      <c r="D127" s="8" t="s">
        <v>132</v>
      </c>
      <c r="E127" s="8" t="s">
        <v>53</v>
      </c>
      <c r="F127" s="8" t="s">
        <v>326</v>
      </c>
      <c r="G127" s="8" t="s">
        <v>190</v>
      </c>
      <c r="H127" s="8" t="s">
        <v>8666</v>
      </c>
      <c r="I127" s="8" t="s">
        <v>8826</v>
      </c>
      <c r="J127" s="8" t="s">
        <v>119</v>
      </c>
      <c r="K127" s="8" t="s">
        <v>8664</v>
      </c>
      <c r="L127" s="8"/>
      <c r="M127" s="8"/>
      <c r="N127" s="8" t="n">
        <v>25</v>
      </c>
      <c r="O127" s="8" t="n">
        <v>123</v>
      </c>
      <c r="P127" s="8" t="s">
        <v>148</v>
      </c>
    </row>
    <row r="128" customFormat="false" ht="15" hidden="false" customHeight="false" outlineLevel="0" collapsed="false">
      <c r="A128" s="8" t="s">
        <v>2664</v>
      </c>
      <c r="B128" s="8" t="s">
        <v>2665</v>
      </c>
      <c r="C128" s="8" t="s">
        <v>8665</v>
      </c>
      <c r="D128" s="8" t="s">
        <v>132</v>
      </c>
      <c r="E128" s="8" t="s">
        <v>51</v>
      </c>
      <c r="F128" s="8" t="s">
        <v>2027</v>
      </c>
      <c r="G128" s="8" t="s">
        <v>124</v>
      </c>
      <c r="H128" s="8" t="s">
        <v>8662</v>
      </c>
      <c r="I128" s="8" t="s">
        <v>8854</v>
      </c>
      <c r="J128" s="8" t="s">
        <v>137</v>
      </c>
      <c r="K128" s="8" t="s">
        <v>8664</v>
      </c>
      <c r="L128" s="8"/>
      <c r="M128" s="8"/>
      <c r="N128" s="8" t="n">
        <v>12</v>
      </c>
      <c r="O128" s="8" t="n">
        <v>28</v>
      </c>
      <c r="P128" s="8" t="s">
        <v>120</v>
      </c>
    </row>
    <row r="129" customFormat="false" ht="15" hidden="false" customHeight="false" outlineLevel="0" collapsed="false">
      <c r="A129" s="8" t="s">
        <v>831</v>
      </c>
      <c r="B129" s="8" t="s">
        <v>832</v>
      </c>
      <c r="C129" s="8" t="s">
        <v>8669</v>
      </c>
      <c r="D129" s="8" t="s">
        <v>123</v>
      </c>
      <c r="E129" s="8" t="s">
        <v>53</v>
      </c>
      <c r="F129" s="8" t="s">
        <v>326</v>
      </c>
      <c r="G129" s="8" t="s">
        <v>133</v>
      </c>
      <c r="H129" s="8" t="s">
        <v>8662</v>
      </c>
      <c r="I129" s="8" t="s">
        <v>8758</v>
      </c>
      <c r="J129" s="8" t="s">
        <v>144</v>
      </c>
      <c r="K129" s="8" t="s">
        <v>8664</v>
      </c>
      <c r="L129" s="8"/>
      <c r="M129" s="8"/>
      <c r="N129" s="8" t="n">
        <v>25</v>
      </c>
      <c r="O129" s="8" t="n">
        <v>191</v>
      </c>
      <c r="P129" s="8" t="s">
        <v>148</v>
      </c>
    </row>
    <row r="130" customFormat="false" ht="15" hidden="false" customHeight="false" outlineLevel="0" collapsed="false">
      <c r="A130" s="8" t="s">
        <v>1693</v>
      </c>
      <c r="B130" s="8" t="s">
        <v>1694</v>
      </c>
      <c r="C130" s="8" t="s">
        <v>8674</v>
      </c>
      <c r="D130" s="8" t="s">
        <v>117</v>
      </c>
      <c r="E130" s="8" t="s">
        <v>53</v>
      </c>
      <c r="F130" s="8" t="s">
        <v>326</v>
      </c>
      <c r="G130" s="8" t="s">
        <v>223</v>
      </c>
      <c r="H130" s="8" t="s">
        <v>8670</v>
      </c>
      <c r="I130" s="8" t="s">
        <v>8855</v>
      </c>
      <c r="J130" s="8" t="s">
        <v>140</v>
      </c>
      <c r="K130" s="8" t="s">
        <v>8664</v>
      </c>
      <c r="L130" s="8"/>
      <c r="M130" s="8"/>
      <c r="N130" s="8" t="n">
        <v>25</v>
      </c>
      <c r="O130" s="8" t="n">
        <v>47</v>
      </c>
      <c r="P130" s="8" t="s">
        <v>120</v>
      </c>
    </row>
    <row r="131" customFormat="false" ht="15" hidden="false" customHeight="false" outlineLevel="0" collapsed="false">
      <c r="A131" s="8" t="s">
        <v>1261</v>
      </c>
      <c r="B131" s="8" t="s">
        <v>1262</v>
      </c>
      <c r="C131" s="8" t="s">
        <v>8669</v>
      </c>
      <c r="D131" s="8" t="s">
        <v>132</v>
      </c>
      <c r="E131" s="8" t="s">
        <v>53</v>
      </c>
      <c r="F131" s="8" t="s">
        <v>55</v>
      </c>
      <c r="G131" s="8" t="s">
        <v>124</v>
      </c>
      <c r="H131" s="8" t="s">
        <v>8666</v>
      </c>
      <c r="I131" s="8" t="s">
        <v>8856</v>
      </c>
      <c r="J131" s="8" t="s">
        <v>180</v>
      </c>
      <c r="K131" s="8" t="s">
        <v>8664</v>
      </c>
      <c r="L131" s="8"/>
      <c r="M131" s="8"/>
      <c r="N131" s="8" t="n">
        <v>45</v>
      </c>
      <c r="O131" s="8" t="n">
        <v>71</v>
      </c>
      <c r="P131" s="8" t="s">
        <v>199</v>
      </c>
    </row>
    <row r="132" customFormat="false" ht="15" hidden="false" customHeight="false" outlineLevel="0" collapsed="false">
      <c r="A132" s="8" t="s">
        <v>2438</v>
      </c>
      <c r="B132" s="8" t="s">
        <v>2439</v>
      </c>
      <c r="C132" s="8" t="s">
        <v>8674</v>
      </c>
      <c r="D132" s="8" t="s">
        <v>123</v>
      </c>
      <c r="E132" s="8" t="s">
        <v>51</v>
      </c>
      <c r="F132" s="8" t="s">
        <v>2027</v>
      </c>
      <c r="G132" s="8" t="s">
        <v>223</v>
      </c>
      <c r="H132" s="8" t="s">
        <v>8675</v>
      </c>
      <c r="I132" s="8" t="s">
        <v>8857</v>
      </c>
      <c r="J132" s="8" t="s">
        <v>177</v>
      </c>
      <c r="K132" s="8" t="s">
        <v>8664</v>
      </c>
      <c r="L132" s="8"/>
      <c r="M132" s="8"/>
      <c r="N132" s="8" t="n">
        <v>12</v>
      </c>
      <c r="O132" s="8" t="n">
        <v>35</v>
      </c>
      <c r="P132" s="8" t="s">
        <v>120</v>
      </c>
    </row>
    <row r="133" customFormat="false" ht="15" hidden="false" customHeight="false" outlineLevel="0" collapsed="false">
      <c r="A133" s="8" t="s">
        <v>1831</v>
      </c>
      <c r="B133" s="8" t="s">
        <v>1832</v>
      </c>
      <c r="C133" s="8" t="s">
        <v>8688</v>
      </c>
      <c r="D133" s="8" t="s">
        <v>123</v>
      </c>
      <c r="E133" s="8" t="s">
        <v>51</v>
      </c>
      <c r="F133" s="8" t="s">
        <v>326</v>
      </c>
      <c r="G133" s="8" t="s">
        <v>190</v>
      </c>
      <c r="H133" s="8" t="s">
        <v>8666</v>
      </c>
      <c r="I133" s="8" t="s">
        <v>8769</v>
      </c>
      <c r="J133" s="8" t="s">
        <v>119</v>
      </c>
      <c r="K133" s="8" t="s">
        <v>8664</v>
      </c>
      <c r="L133" s="8"/>
      <c r="M133" s="8"/>
      <c r="N133" s="8" t="n">
        <v>25</v>
      </c>
      <c r="O133" s="8" t="n">
        <v>39</v>
      </c>
      <c r="P133" s="8" t="s">
        <v>120</v>
      </c>
    </row>
    <row r="134" customFormat="false" ht="15" hidden="false" customHeight="false" outlineLevel="0" collapsed="false">
      <c r="A134" s="8" t="s">
        <v>833</v>
      </c>
      <c r="B134" s="8" t="s">
        <v>834</v>
      </c>
      <c r="C134" s="8" t="s">
        <v>8700</v>
      </c>
      <c r="D134" s="8" t="s">
        <v>123</v>
      </c>
      <c r="E134" s="8" t="s">
        <v>53</v>
      </c>
      <c r="F134" s="8" t="s">
        <v>326</v>
      </c>
      <c r="G134" s="8" t="s">
        <v>190</v>
      </c>
      <c r="H134" s="8" t="s">
        <v>8666</v>
      </c>
      <c r="I134" s="8" t="s">
        <v>8858</v>
      </c>
      <c r="J134" s="8" t="s">
        <v>144</v>
      </c>
      <c r="K134" s="8" t="s">
        <v>8664</v>
      </c>
      <c r="L134" s="8"/>
      <c r="M134" s="8"/>
      <c r="N134" s="8" t="n">
        <v>25</v>
      </c>
      <c r="O134" s="8" t="n">
        <v>159</v>
      </c>
      <c r="P134" s="8" t="s">
        <v>120</v>
      </c>
    </row>
    <row r="135" customFormat="false" ht="15" hidden="false" customHeight="false" outlineLevel="0" collapsed="false">
      <c r="A135" s="8" t="s">
        <v>1319</v>
      </c>
      <c r="B135" s="8" t="s">
        <v>1320</v>
      </c>
      <c r="C135" s="8" t="s">
        <v>8680</v>
      </c>
      <c r="D135" s="8" t="s">
        <v>123</v>
      </c>
      <c r="E135" s="8" t="s">
        <v>53</v>
      </c>
      <c r="F135" s="8" t="s">
        <v>326</v>
      </c>
      <c r="G135" s="8" t="s">
        <v>190</v>
      </c>
      <c r="H135" s="8" t="s">
        <v>8666</v>
      </c>
      <c r="I135" s="8" t="s">
        <v>8859</v>
      </c>
      <c r="J135" s="8" t="s">
        <v>185</v>
      </c>
      <c r="K135" s="8" t="s">
        <v>8664</v>
      </c>
      <c r="L135" s="8"/>
      <c r="M135" s="8"/>
      <c r="N135" s="8" t="n">
        <v>25</v>
      </c>
      <c r="O135" s="8" t="n">
        <v>88</v>
      </c>
      <c r="P135" s="8" t="s">
        <v>120</v>
      </c>
    </row>
    <row r="136" customFormat="false" ht="15" hidden="false" customHeight="false" outlineLevel="0" collapsed="false">
      <c r="A136" s="8" t="s">
        <v>1247</v>
      </c>
      <c r="B136" s="8" t="s">
        <v>1248</v>
      </c>
      <c r="C136" s="8" t="s">
        <v>8661</v>
      </c>
      <c r="D136" s="8" t="s">
        <v>117</v>
      </c>
      <c r="E136" s="8" t="s">
        <v>53</v>
      </c>
      <c r="F136" s="8" t="s">
        <v>326</v>
      </c>
      <c r="G136" s="8" t="s">
        <v>151</v>
      </c>
      <c r="H136" s="8" t="s">
        <v>8670</v>
      </c>
      <c r="I136" s="8" t="s">
        <v>8860</v>
      </c>
      <c r="J136" s="8" t="s">
        <v>204</v>
      </c>
      <c r="K136" s="8" t="s">
        <v>8664</v>
      </c>
      <c r="L136" s="8"/>
      <c r="M136" s="8"/>
      <c r="N136" s="8" t="n">
        <v>25</v>
      </c>
      <c r="O136" s="8" t="n">
        <v>129</v>
      </c>
      <c r="P136" s="8" t="s">
        <v>120</v>
      </c>
    </row>
    <row r="137" customFormat="false" ht="15" hidden="false" customHeight="false" outlineLevel="0" collapsed="false">
      <c r="A137" s="8" t="s">
        <v>4596</v>
      </c>
      <c r="B137" s="8" t="s">
        <v>8861</v>
      </c>
      <c r="C137" s="8" t="s">
        <v>8661</v>
      </c>
      <c r="D137" s="8" t="s">
        <v>123</v>
      </c>
      <c r="E137" s="8" t="s">
        <v>51</v>
      </c>
      <c r="F137" s="8" t="s">
        <v>2027</v>
      </c>
      <c r="G137" s="8" t="s">
        <v>166</v>
      </c>
      <c r="H137" s="8" t="s">
        <v>8666</v>
      </c>
      <c r="I137" s="8" t="s">
        <v>8862</v>
      </c>
      <c r="J137" s="8"/>
      <c r="K137" s="8" t="s">
        <v>8690</v>
      </c>
      <c r="L137" s="8" t="s">
        <v>8863</v>
      </c>
      <c r="M137" s="8" t="s">
        <v>8696</v>
      </c>
      <c r="N137" s="8" t="n">
        <v>12</v>
      </c>
      <c r="O137" s="8" t="n">
        <v>6</v>
      </c>
      <c r="P137" s="8" t="s">
        <v>120</v>
      </c>
    </row>
    <row r="138" customFormat="false" ht="15" hidden="false" customHeight="false" outlineLevel="0" collapsed="false">
      <c r="A138" s="8" t="s">
        <v>3904</v>
      </c>
      <c r="B138" s="8" t="s">
        <v>3905</v>
      </c>
      <c r="C138" s="8" t="s">
        <v>8665</v>
      </c>
      <c r="D138" s="8" t="s">
        <v>123</v>
      </c>
      <c r="E138" s="8" t="s">
        <v>51</v>
      </c>
      <c r="F138" s="8" t="s">
        <v>2027</v>
      </c>
      <c r="G138" s="8" t="s">
        <v>143</v>
      </c>
      <c r="H138" s="8" t="s">
        <v>8662</v>
      </c>
      <c r="I138" s="8" t="s">
        <v>8864</v>
      </c>
      <c r="J138" s="8" t="s">
        <v>180</v>
      </c>
      <c r="K138" s="8" t="s">
        <v>8664</v>
      </c>
      <c r="L138" s="8"/>
      <c r="M138" s="8"/>
      <c r="N138" s="8" t="n">
        <v>12</v>
      </c>
      <c r="O138" s="8" t="n">
        <v>13</v>
      </c>
      <c r="P138" s="8" t="s">
        <v>120</v>
      </c>
    </row>
    <row r="139" customFormat="false" ht="15" hidden="false" customHeight="false" outlineLevel="0" collapsed="false">
      <c r="A139" s="8" t="s">
        <v>597</v>
      </c>
      <c r="B139" s="8" t="s">
        <v>598</v>
      </c>
      <c r="C139" s="8" t="s">
        <v>8680</v>
      </c>
      <c r="D139" s="8" t="s">
        <v>123</v>
      </c>
      <c r="E139" s="8" t="s">
        <v>53</v>
      </c>
      <c r="F139" s="8" t="s">
        <v>55</v>
      </c>
      <c r="G139" s="8" t="s">
        <v>124</v>
      </c>
      <c r="H139" s="8" t="s">
        <v>8670</v>
      </c>
      <c r="I139" s="8" t="s">
        <v>8865</v>
      </c>
      <c r="J139" s="8" t="s">
        <v>125</v>
      </c>
      <c r="K139" s="8" t="s">
        <v>8664</v>
      </c>
      <c r="L139" s="8"/>
      <c r="M139" s="8"/>
      <c r="N139" s="8" t="n">
        <v>45</v>
      </c>
      <c r="O139" s="8" t="n">
        <v>172</v>
      </c>
      <c r="P139" s="8" t="s">
        <v>148</v>
      </c>
    </row>
    <row r="140" customFormat="false" ht="15" hidden="false" customHeight="false" outlineLevel="0" collapsed="false">
      <c r="A140" s="8" t="s">
        <v>535</v>
      </c>
      <c r="B140" s="8" t="s">
        <v>536</v>
      </c>
      <c r="C140" s="8" t="s">
        <v>8680</v>
      </c>
      <c r="D140" s="8" t="s">
        <v>132</v>
      </c>
      <c r="E140" s="8" t="s">
        <v>55</v>
      </c>
      <c r="F140" s="8" t="s">
        <v>326</v>
      </c>
      <c r="G140" s="8" t="s">
        <v>133</v>
      </c>
      <c r="H140" s="8" t="s">
        <v>8675</v>
      </c>
      <c r="I140" s="8" t="s">
        <v>8866</v>
      </c>
      <c r="J140" s="8" t="s">
        <v>140</v>
      </c>
      <c r="K140" s="8" t="s">
        <v>8664</v>
      </c>
      <c r="L140" s="8"/>
      <c r="M140" s="8"/>
      <c r="N140" s="8" t="n">
        <v>25</v>
      </c>
      <c r="O140" s="8" t="n">
        <v>368</v>
      </c>
      <c r="P140" s="8" t="s">
        <v>120</v>
      </c>
    </row>
    <row r="141" customFormat="false" ht="15" hidden="false" customHeight="false" outlineLevel="0" collapsed="false">
      <c r="A141" s="8" t="s">
        <v>1155</v>
      </c>
      <c r="B141" s="8" t="s">
        <v>1156</v>
      </c>
      <c r="C141" s="8" t="s">
        <v>8665</v>
      </c>
      <c r="D141" s="8" t="s">
        <v>123</v>
      </c>
      <c r="E141" s="8" t="s">
        <v>53</v>
      </c>
      <c r="F141" s="8" t="s">
        <v>326</v>
      </c>
      <c r="G141" s="8" t="s">
        <v>166</v>
      </c>
      <c r="H141" s="8" t="s">
        <v>8666</v>
      </c>
      <c r="I141" s="8" t="s">
        <v>8769</v>
      </c>
      <c r="J141" s="8" t="s">
        <v>119</v>
      </c>
      <c r="K141" s="8" t="s">
        <v>8664</v>
      </c>
      <c r="L141" s="8"/>
      <c r="M141" s="8"/>
      <c r="N141" s="8" t="n">
        <v>25</v>
      </c>
      <c r="O141" s="8" t="n">
        <v>141</v>
      </c>
      <c r="P141" s="8" t="s">
        <v>120</v>
      </c>
    </row>
    <row r="142" customFormat="false" ht="15" hidden="false" customHeight="false" outlineLevel="0" collapsed="false">
      <c r="A142" s="8" t="s">
        <v>3648</v>
      </c>
      <c r="B142" s="8" t="s">
        <v>3649</v>
      </c>
      <c r="C142" s="8" t="s">
        <v>8674</v>
      </c>
      <c r="D142" s="8" t="s">
        <v>117</v>
      </c>
      <c r="E142" s="8" t="s">
        <v>51</v>
      </c>
      <c r="F142" s="8" t="s">
        <v>2027</v>
      </c>
      <c r="G142" s="8" t="s">
        <v>143</v>
      </c>
      <c r="H142" s="8" t="s">
        <v>8670</v>
      </c>
      <c r="I142" s="8" t="s">
        <v>8867</v>
      </c>
      <c r="J142" s="8" t="s">
        <v>185</v>
      </c>
      <c r="K142" s="8" t="s">
        <v>8664</v>
      </c>
      <c r="L142" s="8"/>
      <c r="M142" s="8"/>
      <c r="N142" s="8" t="n">
        <v>12</v>
      </c>
      <c r="O142" s="8" t="n">
        <v>18</v>
      </c>
      <c r="P142" s="8" t="s">
        <v>120</v>
      </c>
    </row>
    <row r="143" customFormat="false" ht="15" hidden="false" customHeight="false" outlineLevel="0" collapsed="false">
      <c r="A143" s="8" t="s">
        <v>4414</v>
      </c>
      <c r="B143" s="8" t="s">
        <v>8868</v>
      </c>
      <c r="C143" s="8" t="s">
        <v>8661</v>
      </c>
      <c r="D143" s="8" t="s">
        <v>128</v>
      </c>
      <c r="E143" s="8" t="s">
        <v>55</v>
      </c>
      <c r="F143" s="8" t="s">
        <v>55</v>
      </c>
      <c r="G143" s="8" t="s">
        <v>133</v>
      </c>
      <c r="H143" s="8" t="s">
        <v>8666</v>
      </c>
      <c r="I143" s="8" t="s">
        <v>8869</v>
      </c>
      <c r="J143" s="8"/>
      <c r="K143" s="8" t="s">
        <v>8690</v>
      </c>
      <c r="L143" s="8" t="s">
        <v>8870</v>
      </c>
      <c r="M143" s="8" t="s">
        <v>8692</v>
      </c>
      <c r="N143" s="8" t="n">
        <v>45</v>
      </c>
      <c r="O143" s="8" t="n">
        <v>288</v>
      </c>
      <c r="P143" s="8" t="s">
        <v>120</v>
      </c>
    </row>
    <row r="144" customFormat="false" ht="15" hidden="false" customHeight="false" outlineLevel="0" collapsed="false">
      <c r="A144" s="8" t="s">
        <v>3200</v>
      </c>
      <c r="B144" s="8" t="s">
        <v>3201</v>
      </c>
      <c r="C144" s="8" t="s">
        <v>8669</v>
      </c>
      <c r="D144" s="8" t="s">
        <v>132</v>
      </c>
      <c r="E144" s="8" t="s">
        <v>51</v>
      </c>
      <c r="F144" s="8" t="s">
        <v>2027</v>
      </c>
      <c r="G144" s="8" t="s">
        <v>223</v>
      </c>
      <c r="H144" s="8" t="s">
        <v>8675</v>
      </c>
      <c r="I144" s="8" t="s">
        <v>8871</v>
      </c>
      <c r="J144" s="8" t="s">
        <v>137</v>
      </c>
      <c r="K144" s="8" t="s">
        <v>8664</v>
      </c>
      <c r="L144" s="8"/>
      <c r="M144" s="8"/>
      <c r="N144" s="8" t="n">
        <v>12</v>
      </c>
      <c r="O144" s="8" t="n">
        <v>26</v>
      </c>
      <c r="P144" s="8" t="s">
        <v>120</v>
      </c>
    </row>
    <row r="145" customFormat="false" ht="15" hidden="false" customHeight="false" outlineLevel="0" collapsed="false">
      <c r="A145" s="8" t="s">
        <v>1939</v>
      </c>
      <c r="B145" s="8" t="s">
        <v>1940</v>
      </c>
      <c r="C145" s="8" t="s">
        <v>8674</v>
      </c>
      <c r="D145" s="8" t="s">
        <v>132</v>
      </c>
      <c r="E145" s="8" t="s">
        <v>51</v>
      </c>
      <c r="F145" s="8" t="s">
        <v>326</v>
      </c>
      <c r="G145" s="8" t="s">
        <v>166</v>
      </c>
      <c r="H145" s="8" t="s">
        <v>8670</v>
      </c>
      <c r="I145" s="8" t="s">
        <v>8872</v>
      </c>
      <c r="J145" s="8" t="s">
        <v>177</v>
      </c>
      <c r="K145" s="8" t="s">
        <v>8664</v>
      </c>
      <c r="L145" s="8"/>
      <c r="M145" s="8"/>
      <c r="N145" s="8" t="n">
        <v>25</v>
      </c>
      <c r="O145" s="8" t="n">
        <v>31</v>
      </c>
      <c r="P145" s="8" t="s">
        <v>120</v>
      </c>
    </row>
    <row r="146" customFormat="false" ht="15" hidden="false" customHeight="false" outlineLevel="0" collapsed="false">
      <c r="A146" s="8" t="s">
        <v>3588</v>
      </c>
      <c r="B146" s="8" t="s">
        <v>3589</v>
      </c>
      <c r="C146" s="8" t="s">
        <v>8678</v>
      </c>
      <c r="D146" s="8" t="s">
        <v>132</v>
      </c>
      <c r="E146" s="8" t="s">
        <v>51</v>
      </c>
      <c r="F146" s="8" t="s">
        <v>2027</v>
      </c>
      <c r="G146" s="8" t="s">
        <v>143</v>
      </c>
      <c r="H146" s="8" t="s">
        <v>8670</v>
      </c>
      <c r="I146" s="8" t="s">
        <v>8873</v>
      </c>
      <c r="J146" s="8" t="s">
        <v>125</v>
      </c>
      <c r="K146" s="8" t="s">
        <v>8664</v>
      </c>
      <c r="L146" s="8"/>
      <c r="M146" s="8"/>
      <c r="N146" s="8" t="n">
        <v>12</v>
      </c>
      <c r="O146" s="8" t="n">
        <v>30</v>
      </c>
      <c r="P146" s="8" t="s">
        <v>120</v>
      </c>
    </row>
    <row r="147" customFormat="false" ht="15" hidden="false" customHeight="false" outlineLevel="0" collapsed="false">
      <c r="A147" s="8" t="s">
        <v>3318</v>
      </c>
      <c r="B147" s="8" t="s">
        <v>3319</v>
      </c>
      <c r="C147" s="8" t="s">
        <v>8665</v>
      </c>
      <c r="D147" s="8" t="s">
        <v>123</v>
      </c>
      <c r="E147" s="8" t="s">
        <v>51</v>
      </c>
      <c r="F147" s="8" t="s">
        <v>2027</v>
      </c>
      <c r="G147" s="8" t="s">
        <v>143</v>
      </c>
      <c r="H147" s="8" t="s">
        <v>8662</v>
      </c>
      <c r="I147" s="8" t="s">
        <v>8874</v>
      </c>
      <c r="J147" s="8" t="s">
        <v>137</v>
      </c>
      <c r="K147" s="8" t="s">
        <v>8664</v>
      </c>
      <c r="L147" s="8"/>
      <c r="M147" s="8"/>
      <c r="N147" s="8" t="n">
        <v>12</v>
      </c>
      <c r="O147" s="8" t="n">
        <v>24</v>
      </c>
      <c r="P147" s="8" t="s">
        <v>120</v>
      </c>
    </row>
    <row r="148" customFormat="false" ht="15" hidden="false" customHeight="false" outlineLevel="0" collapsed="false">
      <c r="A148" s="8" t="s">
        <v>1525</v>
      </c>
      <c r="B148" s="8" t="s">
        <v>1526</v>
      </c>
      <c r="C148" s="8" t="s">
        <v>8665</v>
      </c>
      <c r="D148" s="8" t="s">
        <v>123</v>
      </c>
      <c r="E148" s="8" t="s">
        <v>53</v>
      </c>
      <c r="F148" s="8" t="s">
        <v>326</v>
      </c>
      <c r="G148" s="8" t="s">
        <v>166</v>
      </c>
      <c r="H148" s="8" t="s">
        <v>8662</v>
      </c>
      <c r="I148" s="8" t="s">
        <v>8875</v>
      </c>
      <c r="J148" s="8" t="s">
        <v>129</v>
      </c>
      <c r="K148" s="8" t="s">
        <v>8664</v>
      </c>
      <c r="L148" s="8"/>
      <c r="M148" s="8"/>
      <c r="N148" s="8" t="n">
        <v>25</v>
      </c>
      <c r="O148" s="8" t="n">
        <v>88</v>
      </c>
      <c r="P148" s="8" t="s">
        <v>120</v>
      </c>
    </row>
    <row r="149" customFormat="false" ht="15" hidden="false" customHeight="false" outlineLevel="0" collapsed="false">
      <c r="A149" s="8" t="s">
        <v>4300</v>
      </c>
      <c r="B149" s="8" t="s">
        <v>4301</v>
      </c>
      <c r="C149" s="8" t="s">
        <v>8680</v>
      </c>
      <c r="D149" s="8" t="s">
        <v>117</v>
      </c>
      <c r="E149" s="8" t="s">
        <v>51</v>
      </c>
      <c r="F149" s="8" t="s">
        <v>2027</v>
      </c>
      <c r="G149" s="8" t="s">
        <v>190</v>
      </c>
      <c r="H149" s="8" t="s">
        <v>8662</v>
      </c>
      <c r="I149" s="8" t="s">
        <v>8876</v>
      </c>
      <c r="J149" s="8" t="s">
        <v>137</v>
      </c>
      <c r="K149" s="8" t="s">
        <v>8664</v>
      </c>
      <c r="L149" s="8"/>
      <c r="M149" s="8"/>
      <c r="N149" s="8" t="n">
        <v>12</v>
      </c>
      <c r="O149" s="8" t="n">
        <v>6</v>
      </c>
      <c r="P149" s="8" t="s">
        <v>120</v>
      </c>
    </row>
    <row r="150" customFormat="false" ht="15" hidden="false" customHeight="false" outlineLevel="0" collapsed="false">
      <c r="A150" s="8" t="s">
        <v>3202</v>
      </c>
      <c r="B150" s="8" t="s">
        <v>3203</v>
      </c>
      <c r="C150" s="8" t="s">
        <v>8669</v>
      </c>
      <c r="D150" s="8" t="s">
        <v>117</v>
      </c>
      <c r="E150" s="8" t="s">
        <v>51</v>
      </c>
      <c r="F150" s="8" t="s">
        <v>2027</v>
      </c>
      <c r="G150" s="8" t="s">
        <v>151</v>
      </c>
      <c r="H150" s="8" t="s">
        <v>8662</v>
      </c>
      <c r="I150" s="8" t="s">
        <v>8877</v>
      </c>
      <c r="J150" s="8" t="s">
        <v>119</v>
      </c>
      <c r="K150" s="8" t="s">
        <v>8664</v>
      </c>
      <c r="L150" s="8"/>
      <c r="M150" s="8"/>
      <c r="N150" s="8" t="n">
        <v>12</v>
      </c>
      <c r="O150" s="8" t="n">
        <v>26</v>
      </c>
      <c r="P150" s="8" t="s">
        <v>120</v>
      </c>
    </row>
    <row r="151" customFormat="false" ht="15" hidden="false" customHeight="false" outlineLevel="0" collapsed="false">
      <c r="A151" s="8" t="s">
        <v>1649</v>
      </c>
      <c r="B151" s="8" t="s">
        <v>1650</v>
      </c>
      <c r="C151" s="8" t="s">
        <v>8680</v>
      </c>
      <c r="D151" s="8" t="s">
        <v>128</v>
      </c>
      <c r="E151" s="8" t="s">
        <v>53</v>
      </c>
      <c r="F151" s="8" t="s">
        <v>326</v>
      </c>
      <c r="G151" s="8" t="s">
        <v>154</v>
      </c>
      <c r="H151" s="8" t="s">
        <v>8670</v>
      </c>
      <c r="I151" s="8" t="s">
        <v>8867</v>
      </c>
      <c r="J151" s="8" t="s">
        <v>185</v>
      </c>
      <c r="K151" s="8" t="s">
        <v>8664</v>
      </c>
      <c r="L151" s="8"/>
      <c r="M151" s="8"/>
      <c r="N151" s="8" t="n">
        <v>25</v>
      </c>
      <c r="O151" s="8" t="n">
        <v>61</v>
      </c>
      <c r="P151" s="8" t="s">
        <v>120</v>
      </c>
    </row>
    <row r="152" customFormat="false" ht="15" hidden="false" customHeight="false" outlineLevel="0" collapsed="false">
      <c r="A152" s="8" t="s">
        <v>8878</v>
      </c>
      <c r="B152" s="8" t="s">
        <v>8879</v>
      </c>
      <c r="C152" s="8" t="s">
        <v>8700</v>
      </c>
      <c r="D152" s="8" t="s">
        <v>123</v>
      </c>
      <c r="E152" s="8" t="s">
        <v>53</v>
      </c>
      <c r="F152" s="8" t="s">
        <v>326</v>
      </c>
      <c r="G152" s="8" t="s">
        <v>223</v>
      </c>
      <c r="H152" s="8" t="s">
        <v>8662</v>
      </c>
      <c r="I152" s="8" t="s">
        <v>8880</v>
      </c>
      <c r="J152" s="8"/>
      <c r="K152" s="8" t="s">
        <v>8690</v>
      </c>
      <c r="L152" s="8" t="s">
        <v>8881</v>
      </c>
      <c r="M152" s="8" t="s">
        <v>8692</v>
      </c>
      <c r="N152" s="8" t="n">
        <v>25</v>
      </c>
      <c r="O152" s="8" t="n">
        <v>108</v>
      </c>
      <c r="P152" s="8" t="s">
        <v>120</v>
      </c>
    </row>
    <row r="153" customFormat="false" ht="15" hidden="false" customHeight="false" outlineLevel="0" collapsed="false">
      <c r="A153" s="8" t="s">
        <v>1091</v>
      </c>
      <c r="B153" s="8" t="s">
        <v>1092</v>
      </c>
      <c r="C153" s="8" t="s">
        <v>8661</v>
      </c>
      <c r="D153" s="8" t="s">
        <v>117</v>
      </c>
      <c r="E153" s="8" t="s">
        <v>53</v>
      </c>
      <c r="F153" s="8" t="s">
        <v>326</v>
      </c>
      <c r="G153" s="8" t="s">
        <v>133</v>
      </c>
      <c r="H153" s="8" t="s">
        <v>8675</v>
      </c>
      <c r="I153" s="8" t="s">
        <v>8882</v>
      </c>
      <c r="J153" s="8" t="s">
        <v>185</v>
      </c>
      <c r="K153" s="8" t="s">
        <v>8664</v>
      </c>
      <c r="L153" s="8"/>
      <c r="M153" s="8"/>
      <c r="N153" s="8" t="n">
        <v>25</v>
      </c>
      <c r="O153" s="8" t="n">
        <v>150</v>
      </c>
      <c r="P153" s="8" t="s">
        <v>120</v>
      </c>
    </row>
    <row r="154" customFormat="false" ht="15" hidden="false" customHeight="false" outlineLevel="0" collapsed="false">
      <c r="A154" s="8" t="s">
        <v>1451</v>
      </c>
      <c r="B154" s="8" t="s">
        <v>1452</v>
      </c>
      <c r="C154" s="8" t="s">
        <v>8669</v>
      </c>
      <c r="D154" s="8" t="s">
        <v>128</v>
      </c>
      <c r="E154" s="8" t="s">
        <v>53</v>
      </c>
      <c r="F154" s="8" t="s">
        <v>326</v>
      </c>
      <c r="G154" s="8" t="s">
        <v>151</v>
      </c>
      <c r="H154" s="8" t="s">
        <v>8675</v>
      </c>
      <c r="I154" s="8" t="s">
        <v>8883</v>
      </c>
      <c r="J154" s="8" t="s">
        <v>159</v>
      </c>
      <c r="K154" s="8" t="s">
        <v>8664</v>
      </c>
      <c r="L154" s="8"/>
      <c r="M154" s="8"/>
      <c r="N154" s="8" t="n">
        <v>25</v>
      </c>
      <c r="O154" s="8" t="n">
        <v>106</v>
      </c>
      <c r="P154" s="8" t="s">
        <v>120</v>
      </c>
    </row>
    <row r="155" customFormat="false" ht="15" hidden="false" customHeight="false" outlineLevel="0" collapsed="false">
      <c r="A155" s="8" t="s">
        <v>3204</v>
      </c>
      <c r="B155" s="8" t="s">
        <v>3205</v>
      </c>
      <c r="C155" s="8" t="s">
        <v>8680</v>
      </c>
      <c r="D155" s="8" t="s">
        <v>123</v>
      </c>
      <c r="E155" s="8" t="s">
        <v>51</v>
      </c>
      <c r="F155" s="8" t="s">
        <v>2027</v>
      </c>
      <c r="G155" s="8" t="s">
        <v>190</v>
      </c>
      <c r="H155" s="8" t="s">
        <v>8675</v>
      </c>
      <c r="I155" s="8" t="s">
        <v>8884</v>
      </c>
      <c r="J155" s="8" t="s">
        <v>147</v>
      </c>
      <c r="K155" s="8" t="s">
        <v>8664</v>
      </c>
      <c r="L155" s="8"/>
      <c r="M155" s="8"/>
      <c r="N155" s="8" t="n">
        <v>12</v>
      </c>
      <c r="O155" s="8" t="n">
        <v>26</v>
      </c>
      <c r="P155" s="8" t="s">
        <v>120</v>
      </c>
    </row>
    <row r="156" customFormat="false" ht="15" hidden="false" customHeight="false" outlineLevel="0" collapsed="false">
      <c r="A156" s="8" t="s">
        <v>3094</v>
      </c>
      <c r="B156" s="8" t="s">
        <v>3095</v>
      </c>
      <c r="C156" s="8" t="s">
        <v>8674</v>
      </c>
      <c r="D156" s="8" t="s">
        <v>117</v>
      </c>
      <c r="E156" s="8" t="s">
        <v>51</v>
      </c>
      <c r="F156" s="8" t="s">
        <v>2027</v>
      </c>
      <c r="G156" s="8" t="s">
        <v>166</v>
      </c>
      <c r="H156" s="8" t="s">
        <v>8662</v>
      </c>
      <c r="I156" s="8" t="s">
        <v>8800</v>
      </c>
      <c r="J156" s="8" t="s">
        <v>144</v>
      </c>
      <c r="K156" s="8" t="s">
        <v>8664</v>
      </c>
      <c r="L156" s="8"/>
      <c r="M156" s="8"/>
      <c r="N156" s="8" t="n">
        <v>12</v>
      </c>
      <c r="O156" s="8" t="n">
        <v>28</v>
      </c>
      <c r="P156" s="8" t="s">
        <v>120</v>
      </c>
    </row>
    <row r="157" customFormat="false" ht="15" hidden="false" customHeight="false" outlineLevel="0" collapsed="false">
      <c r="A157" s="8" t="s">
        <v>3528</v>
      </c>
      <c r="B157" s="8" t="s">
        <v>3529</v>
      </c>
      <c r="C157" s="8" t="s">
        <v>8669</v>
      </c>
      <c r="D157" s="8" t="s">
        <v>117</v>
      </c>
      <c r="E157" s="8" t="s">
        <v>51</v>
      </c>
      <c r="F157" s="8" t="s">
        <v>326</v>
      </c>
      <c r="G157" s="8" t="s">
        <v>124</v>
      </c>
      <c r="H157" s="8" t="s">
        <v>8675</v>
      </c>
      <c r="I157" s="8" t="s">
        <v>8885</v>
      </c>
      <c r="J157" s="8" t="s">
        <v>159</v>
      </c>
      <c r="K157" s="8" t="s">
        <v>8664</v>
      </c>
      <c r="L157" s="8"/>
      <c r="M157" s="8"/>
      <c r="N157" s="8" t="n">
        <v>25</v>
      </c>
      <c r="O157" s="8" t="n">
        <v>7</v>
      </c>
      <c r="P157" s="8" t="s">
        <v>120</v>
      </c>
    </row>
    <row r="158" customFormat="false" ht="15" hidden="false" customHeight="false" outlineLevel="0" collapsed="false">
      <c r="A158" s="8" t="s">
        <v>4436</v>
      </c>
      <c r="B158" s="8" t="s">
        <v>8886</v>
      </c>
      <c r="C158" s="8" t="s">
        <v>8678</v>
      </c>
      <c r="D158" s="8" t="s">
        <v>123</v>
      </c>
      <c r="E158" s="8" t="s">
        <v>53</v>
      </c>
      <c r="F158" s="8" t="s">
        <v>55</v>
      </c>
      <c r="G158" s="8" t="s">
        <v>223</v>
      </c>
      <c r="H158" s="8" t="s">
        <v>8670</v>
      </c>
      <c r="I158" s="8" t="s">
        <v>8887</v>
      </c>
      <c r="J158" s="8"/>
      <c r="K158" s="8" t="s">
        <v>8690</v>
      </c>
      <c r="L158" s="8" t="s">
        <v>8888</v>
      </c>
      <c r="M158" s="8" t="s">
        <v>8705</v>
      </c>
      <c r="N158" s="8" t="n">
        <v>45</v>
      </c>
      <c r="O158" s="8" t="n">
        <v>81</v>
      </c>
      <c r="P158" s="8" t="s">
        <v>120</v>
      </c>
    </row>
    <row r="159" customFormat="false" ht="15" hidden="false" customHeight="false" outlineLevel="0" collapsed="false">
      <c r="A159" s="8" t="s">
        <v>4084</v>
      </c>
      <c r="B159" s="8" t="s">
        <v>4085</v>
      </c>
      <c r="C159" s="8" t="s">
        <v>8700</v>
      </c>
      <c r="D159" s="8" t="s">
        <v>117</v>
      </c>
      <c r="E159" s="8" t="s">
        <v>51</v>
      </c>
      <c r="F159" s="8" t="s">
        <v>2027</v>
      </c>
      <c r="G159" s="8" t="s">
        <v>223</v>
      </c>
      <c r="H159" s="8" t="s">
        <v>8662</v>
      </c>
      <c r="I159" s="8" t="s">
        <v>8889</v>
      </c>
      <c r="J159" s="8" t="s">
        <v>177</v>
      </c>
      <c r="K159" s="8" t="s">
        <v>8664</v>
      </c>
      <c r="L159" s="8"/>
      <c r="M159" s="8"/>
      <c r="N159" s="8" t="n">
        <v>12</v>
      </c>
      <c r="O159" s="8" t="n">
        <v>10</v>
      </c>
      <c r="P159" s="8" t="s">
        <v>120</v>
      </c>
    </row>
    <row r="160" customFormat="false" ht="15" hidden="false" customHeight="false" outlineLevel="0" collapsed="false">
      <c r="A160" s="8" t="s">
        <v>2894</v>
      </c>
      <c r="B160" s="8" t="s">
        <v>2895</v>
      </c>
      <c r="C160" s="8" t="s">
        <v>8700</v>
      </c>
      <c r="D160" s="8" t="s">
        <v>123</v>
      </c>
      <c r="E160" s="8" t="s">
        <v>51</v>
      </c>
      <c r="F160" s="8" t="s">
        <v>326</v>
      </c>
      <c r="G160" s="8" t="s">
        <v>133</v>
      </c>
      <c r="H160" s="8" t="s">
        <v>8670</v>
      </c>
      <c r="I160" s="8" t="s">
        <v>8890</v>
      </c>
      <c r="J160" s="8" t="s">
        <v>147</v>
      </c>
      <c r="K160" s="8" t="s">
        <v>8664</v>
      </c>
      <c r="L160" s="8"/>
      <c r="M160" s="8"/>
      <c r="N160" s="8" t="n">
        <v>25</v>
      </c>
      <c r="O160" s="8" t="n">
        <v>11</v>
      </c>
      <c r="P160" s="8" t="s">
        <v>120</v>
      </c>
    </row>
    <row r="161" customFormat="false" ht="15" hidden="false" customHeight="false" outlineLevel="0" collapsed="false">
      <c r="A161" s="8" t="s">
        <v>3488</v>
      </c>
      <c r="B161" s="8" t="s">
        <v>3489</v>
      </c>
      <c r="C161" s="8" t="s">
        <v>8700</v>
      </c>
      <c r="D161" s="8" t="s">
        <v>123</v>
      </c>
      <c r="E161" s="8" t="s">
        <v>51</v>
      </c>
      <c r="F161" s="8" t="s">
        <v>2027</v>
      </c>
      <c r="G161" s="8" t="s">
        <v>154</v>
      </c>
      <c r="H161" s="8" t="s">
        <v>8670</v>
      </c>
      <c r="I161" s="8" t="s">
        <v>8891</v>
      </c>
      <c r="J161" s="8" t="s">
        <v>140</v>
      </c>
      <c r="K161" s="8" t="s">
        <v>8664</v>
      </c>
      <c r="L161" s="8"/>
      <c r="M161" s="8"/>
      <c r="N161" s="8" t="n">
        <v>12</v>
      </c>
      <c r="O161" s="8" t="n">
        <v>17</v>
      </c>
      <c r="P161" s="8" t="s">
        <v>120</v>
      </c>
    </row>
    <row r="162" customFormat="false" ht="15" hidden="false" customHeight="false" outlineLevel="0" collapsed="false">
      <c r="A162" s="8" t="s">
        <v>2154</v>
      </c>
      <c r="B162" s="8" t="s">
        <v>2155</v>
      </c>
      <c r="C162" s="8" t="s">
        <v>8669</v>
      </c>
      <c r="D162" s="8" t="s">
        <v>123</v>
      </c>
      <c r="E162" s="8" t="s">
        <v>51</v>
      </c>
      <c r="F162" s="8" t="s">
        <v>326</v>
      </c>
      <c r="G162" s="8" t="s">
        <v>166</v>
      </c>
      <c r="H162" s="8" t="s">
        <v>8670</v>
      </c>
      <c r="I162" s="8" t="s">
        <v>8892</v>
      </c>
      <c r="J162" s="8" t="s">
        <v>185</v>
      </c>
      <c r="K162" s="8" t="s">
        <v>8664</v>
      </c>
      <c r="L162" s="8"/>
      <c r="M162" s="8"/>
      <c r="N162" s="8" t="n">
        <v>25</v>
      </c>
      <c r="O162" s="8" t="n">
        <v>26</v>
      </c>
      <c r="P162" s="8" t="s">
        <v>120</v>
      </c>
    </row>
    <row r="163" customFormat="false" ht="15" hidden="false" customHeight="false" outlineLevel="0" collapsed="false">
      <c r="A163" s="8" t="s">
        <v>2974</v>
      </c>
      <c r="B163" s="8" t="s">
        <v>2975</v>
      </c>
      <c r="C163" s="8" t="s">
        <v>8678</v>
      </c>
      <c r="D163" s="8" t="s">
        <v>123</v>
      </c>
      <c r="E163" s="8" t="s">
        <v>51</v>
      </c>
      <c r="F163" s="8" t="s">
        <v>2027</v>
      </c>
      <c r="G163" s="8" t="s">
        <v>133</v>
      </c>
      <c r="H163" s="8" t="s">
        <v>8662</v>
      </c>
      <c r="I163" s="8" t="s">
        <v>8893</v>
      </c>
      <c r="J163" s="8" t="s">
        <v>177</v>
      </c>
      <c r="K163" s="8" t="s">
        <v>8664</v>
      </c>
      <c r="L163" s="8"/>
      <c r="M163" s="8"/>
      <c r="N163" s="8" t="n">
        <v>12</v>
      </c>
      <c r="O163" s="8" t="n">
        <v>25</v>
      </c>
      <c r="P163" s="8" t="s">
        <v>120</v>
      </c>
    </row>
    <row r="164" customFormat="false" ht="15" hidden="false" customHeight="false" outlineLevel="0" collapsed="false">
      <c r="A164" s="8" t="s">
        <v>8894</v>
      </c>
      <c r="B164" s="8" t="s">
        <v>8895</v>
      </c>
      <c r="C164" s="8" t="s">
        <v>8661</v>
      </c>
      <c r="D164" s="8" t="s">
        <v>123</v>
      </c>
      <c r="E164" s="8" t="s">
        <v>53</v>
      </c>
      <c r="F164" s="8" t="s">
        <v>326</v>
      </c>
      <c r="G164" s="8" t="s">
        <v>223</v>
      </c>
      <c r="H164" s="8" t="s">
        <v>8662</v>
      </c>
      <c r="I164" s="8" t="s">
        <v>8896</v>
      </c>
      <c r="J164" s="8"/>
      <c r="K164" s="8" t="s">
        <v>8690</v>
      </c>
      <c r="L164" s="8" t="s">
        <v>8897</v>
      </c>
      <c r="M164" s="8" t="s">
        <v>8692</v>
      </c>
      <c r="N164" s="8" t="n">
        <v>25</v>
      </c>
      <c r="O164" s="8" t="n">
        <v>103</v>
      </c>
      <c r="P164" s="8" t="s">
        <v>120</v>
      </c>
    </row>
    <row r="165" customFormat="false" ht="15" hidden="false" customHeight="false" outlineLevel="0" collapsed="false">
      <c r="A165" s="8" t="s">
        <v>8898</v>
      </c>
      <c r="B165" s="8" t="s">
        <v>8899</v>
      </c>
      <c r="C165" s="8" t="s">
        <v>8688</v>
      </c>
      <c r="D165" s="8" t="s">
        <v>117</v>
      </c>
      <c r="E165" s="8" t="s">
        <v>51</v>
      </c>
      <c r="F165" s="8" t="s">
        <v>326</v>
      </c>
      <c r="G165" s="8" t="s">
        <v>151</v>
      </c>
      <c r="H165" s="8" t="s">
        <v>8675</v>
      </c>
      <c r="I165" s="8" t="s">
        <v>8900</v>
      </c>
      <c r="J165" s="8"/>
      <c r="K165" s="8" t="s">
        <v>8690</v>
      </c>
      <c r="L165" s="8" t="s">
        <v>8901</v>
      </c>
      <c r="M165" s="8" t="s">
        <v>8692</v>
      </c>
      <c r="N165" s="8" t="n">
        <v>25</v>
      </c>
      <c r="O165" s="8" t="n">
        <v>14</v>
      </c>
      <c r="P165" s="8" t="s">
        <v>120</v>
      </c>
    </row>
    <row r="166" customFormat="false" ht="15" hidden="false" customHeight="false" outlineLevel="0" collapsed="false">
      <c r="A166" s="8" t="s">
        <v>1895</v>
      </c>
      <c r="B166" s="8" t="s">
        <v>1896</v>
      </c>
      <c r="C166" s="8" t="s">
        <v>8688</v>
      </c>
      <c r="D166" s="8" t="s">
        <v>123</v>
      </c>
      <c r="E166" s="8" t="s">
        <v>51</v>
      </c>
      <c r="F166" s="8" t="s">
        <v>326</v>
      </c>
      <c r="G166" s="8" t="s">
        <v>118</v>
      </c>
      <c r="H166" s="8" t="s">
        <v>8662</v>
      </c>
      <c r="I166" s="8" t="s">
        <v>8902</v>
      </c>
      <c r="J166" s="8" t="s">
        <v>147</v>
      </c>
      <c r="K166" s="8" t="s">
        <v>8664</v>
      </c>
      <c r="L166" s="8"/>
      <c r="M166" s="8"/>
      <c r="N166" s="8" t="n">
        <v>25</v>
      </c>
      <c r="O166" s="8" t="n">
        <v>26</v>
      </c>
      <c r="P166" s="8" t="s">
        <v>120</v>
      </c>
    </row>
    <row r="167" customFormat="false" ht="15" hidden="false" customHeight="false" outlineLevel="0" collapsed="false">
      <c r="A167" s="8" t="s">
        <v>8903</v>
      </c>
      <c r="B167" s="8" t="s">
        <v>8904</v>
      </c>
      <c r="C167" s="8" t="s">
        <v>8680</v>
      </c>
      <c r="D167" s="8" t="s">
        <v>117</v>
      </c>
      <c r="E167" s="8" t="s">
        <v>51</v>
      </c>
      <c r="F167" s="8" t="s">
        <v>326</v>
      </c>
      <c r="G167" s="8" t="s">
        <v>166</v>
      </c>
      <c r="H167" s="8" t="s">
        <v>8666</v>
      </c>
      <c r="I167" s="8" t="s">
        <v>8905</v>
      </c>
      <c r="J167" s="8"/>
      <c r="K167" s="8" t="s">
        <v>8690</v>
      </c>
      <c r="L167" s="8" t="s">
        <v>8906</v>
      </c>
      <c r="M167" s="8" t="s">
        <v>8795</v>
      </c>
      <c r="N167" s="8" t="n">
        <v>25</v>
      </c>
      <c r="O167" s="8" t="n">
        <v>25</v>
      </c>
      <c r="P167" s="8" t="s">
        <v>120</v>
      </c>
    </row>
    <row r="168" customFormat="false" ht="15" hidden="false" customHeight="false" outlineLevel="0" collapsed="false">
      <c r="A168" s="8" t="s">
        <v>2552</v>
      </c>
      <c r="B168" s="8" t="s">
        <v>2553</v>
      </c>
      <c r="C168" s="8" t="s">
        <v>8688</v>
      </c>
      <c r="D168" s="8" t="s">
        <v>132</v>
      </c>
      <c r="E168" s="8" t="s">
        <v>51</v>
      </c>
      <c r="F168" s="8" t="s">
        <v>2027</v>
      </c>
      <c r="G168" s="8" t="s">
        <v>154</v>
      </c>
      <c r="H168" s="8" t="s">
        <v>8666</v>
      </c>
      <c r="I168" s="8" t="s">
        <v>8907</v>
      </c>
      <c r="J168" s="8" t="s">
        <v>140</v>
      </c>
      <c r="K168" s="8" t="s">
        <v>8664</v>
      </c>
      <c r="L168" s="8"/>
      <c r="M168" s="8"/>
      <c r="N168" s="8" t="n">
        <v>12</v>
      </c>
      <c r="O168" s="8" t="n">
        <v>33</v>
      </c>
      <c r="P168" s="8" t="s">
        <v>120</v>
      </c>
    </row>
    <row r="169" customFormat="false" ht="15" hidden="false" customHeight="false" outlineLevel="0" collapsed="false">
      <c r="A169" s="8" t="s">
        <v>2494</v>
      </c>
      <c r="B169" s="8" t="s">
        <v>2495</v>
      </c>
      <c r="C169" s="8" t="s">
        <v>8680</v>
      </c>
      <c r="D169" s="8" t="s">
        <v>132</v>
      </c>
      <c r="E169" s="8" t="s">
        <v>51</v>
      </c>
      <c r="F169" s="8" t="s">
        <v>2027</v>
      </c>
      <c r="G169" s="8" t="s">
        <v>223</v>
      </c>
      <c r="H169" s="8" t="s">
        <v>8662</v>
      </c>
      <c r="I169" s="8" t="s">
        <v>8892</v>
      </c>
      <c r="J169" s="8" t="s">
        <v>185</v>
      </c>
      <c r="K169" s="8" t="s">
        <v>8664</v>
      </c>
      <c r="L169" s="8"/>
      <c r="M169" s="8"/>
      <c r="N169" s="8" t="n">
        <v>12</v>
      </c>
      <c r="O169" s="8" t="n">
        <v>38</v>
      </c>
      <c r="P169" s="8" t="s">
        <v>120</v>
      </c>
    </row>
    <row r="170" customFormat="false" ht="15" hidden="false" customHeight="false" outlineLevel="0" collapsed="false">
      <c r="A170" s="8" t="s">
        <v>1779</v>
      </c>
      <c r="B170" s="8" t="s">
        <v>1780</v>
      </c>
      <c r="C170" s="8" t="s">
        <v>8680</v>
      </c>
      <c r="D170" s="8" t="s">
        <v>123</v>
      </c>
      <c r="E170" s="8" t="s">
        <v>53</v>
      </c>
      <c r="F170" s="8" t="s">
        <v>326</v>
      </c>
      <c r="G170" s="8" t="s">
        <v>166</v>
      </c>
      <c r="H170" s="8" t="s">
        <v>8670</v>
      </c>
      <c r="I170" s="8" t="s">
        <v>8908</v>
      </c>
      <c r="J170" s="8" t="s">
        <v>137</v>
      </c>
      <c r="K170" s="8" t="s">
        <v>8664</v>
      </c>
      <c r="L170" s="8"/>
      <c r="M170" s="8"/>
      <c r="N170" s="8" t="n">
        <v>25</v>
      </c>
      <c r="O170" s="8" t="n">
        <v>45</v>
      </c>
      <c r="P170" s="8" t="s">
        <v>120</v>
      </c>
    </row>
    <row r="171" customFormat="false" ht="15" hidden="false" customHeight="false" outlineLevel="0" collapsed="false">
      <c r="A171" s="8" t="s">
        <v>3320</v>
      </c>
      <c r="B171" s="8" t="s">
        <v>3321</v>
      </c>
      <c r="C171" s="8" t="s">
        <v>8700</v>
      </c>
      <c r="D171" s="8" t="s">
        <v>123</v>
      </c>
      <c r="E171" s="8" t="s">
        <v>51</v>
      </c>
      <c r="F171" s="8" t="s">
        <v>2027</v>
      </c>
      <c r="G171" s="8" t="s">
        <v>118</v>
      </c>
      <c r="H171" s="8" t="s">
        <v>8670</v>
      </c>
      <c r="I171" s="8" t="s">
        <v>8909</v>
      </c>
      <c r="J171" s="8" t="s">
        <v>147</v>
      </c>
      <c r="K171" s="8" t="s">
        <v>8664</v>
      </c>
      <c r="L171" s="8"/>
      <c r="M171" s="8"/>
      <c r="N171" s="8" t="n">
        <v>12</v>
      </c>
      <c r="O171" s="8" t="n">
        <v>24</v>
      </c>
      <c r="P171" s="8" t="s">
        <v>120</v>
      </c>
    </row>
    <row r="172" customFormat="false" ht="15" hidden="false" customHeight="false" outlineLevel="0" collapsed="false">
      <c r="A172" s="8" t="s">
        <v>2636</v>
      </c>
      <c r="B172" s="8" t="s">
        <v>2637</v>
      </c>
      <c r="C172" s="8" t="s">
        <v>8700</v>
      </c>
      <c r="D172" s="8" t="s">
        <v>132</v>
      </c>
      <c r="E172" s="8" t="s">
        <v>51</v>
      </c>
      <c r="F172" s="8" t="s">
        <v>326</v>
      </c>
      <c r="G172" s="8" t="s">
        <v>124</v>
      </c>
      <c r="H172" s="8" t="s">
        <v>8666</v>
      </c>
      <c r="I172" s="8" t="s">
        <v>8910</v>
      </c>
      <c r="J172" s="8" t="s">
        <v>137</v>
      </c>
      <c r="K172" s="8" t="s">
        <v>8664</v>
      </c>
      <c r="L172" s="8"/>
      <c r="M172" s="8"/>
      <c r="N172" s="8" t="n">
        <v>25</v>
      </c>
      <c r="O172" s="8" t="n">
        <v>17</v>
      </c>
      <c r="P172" s="8" t="s">
        <v>120</v>
      </c>
    </row>
    <row r="173" customFormat="false" ht="15" hidden="false" customHeight="false" outlineLevel="0" collapsed="false">
      <c r="A173" s="8" t="s">
        <v>3490</v>
      </c>
      <c r="B173" s="8" t="s">
        <v>3491</v>
      </c>
      <c r="C173" s="8" t="s">
        <v>8674</v>
      </c>
      <c r="D173" s="8" t="s">
        <v>132</v>
      </c>
      <c r="E173" s="8" t="s">
        <v>51</v>
      </c>
      <c r="F173" s="8" t="s">
        <v>2027</v>
      </c>
      <c r="G173" s="8" t="s">
        <v>151</v>
      </c>
      <c r="H173" s="8" t="s">
        <v>8670</v>
      </c>
      <c r="I173" s="8" t="s">
        <v>8911</v>
      </c>
      <c r="J173" s="8" t="s">
        <v>185</v>
      </c>
      <c r="K173" s="8" t="s">
        <v>8664</v>
      </c>
      <c r="L173" s="8"/>
      <c r="M173" s="8"/>
      <c r="N173" s="8" t="n">
        <v>12</v>
      </c>
      <c r="O173" s="8" t="n">
        <v>10</v>
      </c>
      <c r="P173" s="8" t="s">
        <v>120</v>
      </c>
    </row>
    <row r="174" customFormat="false" ht="15" hidden="false" customHeight="false" outlineLevel="0" collapsed="false">
      <c r="A174" s="8" t="s">
        <v>1229</v>
      </c>
      <c r="B174" s="8" t="s">
        <v>1230</v>
      </c>
      <c r="C174" s="8" t="s">
        <v>8669</v>
      </c>
      <c r="D174" s="8" t="s">
        <v>117</v>
      </c>
      <c r="E174" s="8" t="s">
        <v>53</v>
      </c>
      <c r="F174" s="8" t="s">
        <v>326</v>
      </c>
      <c r="G174" s="8" t="s">
        <v>124</v>
      </c>
      <c r="H174" s="8" t="s">
        <v>8675</v>
      </c>
      <c r="I174" s="8" t="s">
        <v>8912</v>
      </c>
      <c r="J174" s="8" t="s">
        <v>159</v>
      </c>
      <c r="K174" s="8" t="s">
        <v>8664</v>
      </c>
      <c r="L174" s="8"/>
      <c r="M174" s="8"/>
      <c r="N174" s="8" t="n">
        <v>25</v>
      </c>
      <c r="O174" s="8" t="n">
        <v>131</v>
      </c>
      <c r="P174" s="8" t="s">
        <v>148</v>
      </c>
    </row>
    <row r="175" customFormat="false" ht="15" hidden="false" customHeight="false" outlineLevel="0" collapsed="false">
      <c r="A175" s="8" t="s">
        <v>2922</v>
      </c>
      <c r="B175" s="8" t="s">
        <v>2923</v>
      </c>
      <c r="C175" s="8" t="s">
        <v>8688</v>
      </c>
      <c r="D175" s="8" t="s">
        <v>132</v>
      </c>
      <c r="E175" s="8" t="s">
        <v>51</v>
      </c>
      <c r="F175" s="8" t="s">
        <v>2027</v>
      </c>
      <c r="G175" s="8" t="s">
        <v>154</v>
      </c>
      <c r="H175" s="8" t="s">
        <v>8666</v>
      </c>
      <c r="I175" s="8" t="s">
        <v>8913</v>
      </c>
      <c r="J175" s="8" t="s">
        <v>137</v>
      </c>
      <c r="K175" s="8" t="s">
        <v>8664</v>
      </c>
      <c r="L175" s="8"/>
      <c r="M175" s="8"/>
      <c r="N175" s="8" t="n">
        <v>12</v>
      </c>
      <c r="O175" s="8" t="n">
        <v>31</v>
      </c>
      <c r="P175" s="8" t="s">
        <v>120</v>
      </c>
    </row>
    <row r="176" customFormat="false" ht="15" hidden="false" customHeight="false" outlineLevel="0" collapsed="false">
      <c r="A176" s="8" t="s">
        <v>2838</v>
      </c>
      <c r="B176" s="8" t="s">
        <v>2839</v>
      </c>
      <c r="C176" s="8" t="s">
        <v>8700</v>
      </c>
      <c r="D176" s="8" t="s">
        <v>123</v>
      </c>
      <c r="E176" s="8" t="s">
        <v>51</v>
      </c>
      <c r="F176" s="8" t="s">
        <v>2027</v>
      </c>
      <c r="G176" s="8" t="s">
        <v>166</v>
      </c>
      <c r="H176" s="8" t="s">
        <v>8666</v>
      </c>
      <c r="I176" s="8" t="s">
        <v>8914</v>
      </c>
      <c r="J176" s="8" t="s">
        <v>159</v>
      </c>
      <c r="K176" s="8" t="s">
        <v>8664</v>
      </c>
      <c r="L176" s="8"/>
      <c r="M176" s="8"/>
      <c r="N176" s="8" t="n">
        <v>12</v>
      </c>
      <c r="O176" s="8" t="n">
        <v>24</v>
      </c>
      <c r="P176" s="8" t="s">
        <v>120</v>
      </c>
    </row>
    <row r="177" customFormat="false" ht="15" hidden="false" customHeight="false" outlineLevel="0" collapsed="false">
      <c r="A177" s="8" t="s">
        <v>8915</v>
      </c>
      <c r="B177" s="8" t="s">
        <v>8916</v>
      </c>
      <c r="C177" s="8" t="s">
        <v>8680</v>
      </c>
      <c r="D177" s="8" t="s">
        <v>132</v>
      </c>
      <c r="E177" s="8" t="s">
        <v>51</v>
      </c>
      <c r="F177" s="8" t="s">
        <v>2027</v>
      </c>
      <c r="G177" s="8" t="s">
        <v>190</v>
      </c>
      <c r="H177" s="8" t="s">
        <v>8666</v>
      </c>
      <c r="I177" s="8" t="s">
        <v>8917</v>
      </c>
      <c r="J177" s="8"/>
      <c r="K177" s="8" t="s">
        <v>8690</v>
      </c>
      <c r="L177" s="8" t="s">
        <v>8918</v>
      </c>
      <c r="M177" s="8" t="s">
        <v>8721</v>
      </c>
      <c r="N177" s="8" t="n">
        <v>12</v>
      </c>
      <c r="O177" s="8" t="n">
        <v>31</v>
      </c>
      <c r="P177" s="8" t="s">
        <v>120</v>
      </c>
    </row>
    <row r="178" customFormat="false" ht="15" hidden="false" customHeight="false" outlineLevel="0" collapsed="false">
      <c r="A178" s="8" t="s">
        <v>1737</v>
      </c>
      <c r="B178" s="8" t="s">
        <v>1738</v>
      </c>
      <c r="C178" s="8" t="s">
        <v>8680</v>
      </c>
      <c r="D178" s="8" t="s">
        <v>132</v>
      </c>
      <c r="E178" s="8" t="s">
        <v>53</v>
      </c>
      <c r="F178" s="8" t="s">
        <v>326</v>
      </c>
      <c r="G178" s="8" t="s">
        <v>136</v>
      </c>
      <c r="H178" s="8" t="s">
        <v>8662</v>
      </c>
      <c r="I178" s="8" t="s">
        <v>8919</v>
      </c>
      <c r="J178" s="8" t="s">
        <v>119</v>
      </c>
      <c r="K178" s="8" t="s">
        <v>8664</v>
      </c>
      <c r="L178" s="8"/>
      <c r="M178" s="8"/>
      <c r="N178" s="8" t="n">
        <v>25</v>
      </c>
      <c r="O178" s="8" t="n">
        <v>50</v>
      </c>
      <c r="P178" s="8" t="s">
        <v>120</v>
      </c>
    </row>
    <row r="179" customFormat="false" ht="15" hidden="false" customHeight="false" outlineLevel="0" collapsed="false">
      <c r="A179" s="8" t="s">
        <v>4565</v>
      </c>
      <c r="B179" s="8" t="s">
        <v>8920</v>
      </c>
      <c r="C179" s="8" t="s">
        <v>8661</v>
      </c>
      <c r="D179" s="8" t="s">
        <v>123</v>
      </c>
      <c r="E179" s="8" t="s">
        <v>51</v>
      </c>
      <c r="F179" s="8" t="s">
        <v>2027</v>
      </c>
      <c r="G179" s="8" t="s">
        <v>118</v>
      </c>
      <c r="H179" s="8" t="s">
        <v>8662</v>
      </c>
      <c r="I179" s="8" t="s">
        <v>8921</v>
      </c>
      <c r="J179" s="8"/>
      <c r="K179" s="8" t="s">
        <v>8690</v>
      </c>
      <c r="L179" s="8" t="s">
        <v>8922</v>
      </c>
      <c r="M179" s="8" t="s">
        <v>8721</v>
      </c>
      <c r="N179" s="8" t="n">
        <v>12</v>
      </c>
      <c r="O179" s="8" t="n">
        <v>18</v>
      </c>
      <c r="P179" s="8" t="s">
        <v>120</v>
      </c>
    </row>
    <row r="180" customFormat="false" ht="15" hidden="false" customHeight="false" outlineLevel="0" collapsed="false">
      <c r="A180" s="8" t="s">
        <v>1643</v>
      </c>
      <c r="B180" s="8" t="s">
        <v>1644</v>
      </c>
      <c r="C180" s="8" t="s">
        <v>8665</v>
      </c>
      <c r="D180" s="8" t="s">
        <v>117</v>
      </c>
      <c r="E180" s="8" t="s">
        <v>53</v>
      </c>
      <c r="F180" s="8" t="s">
        <v>326</v>
      </c>
      <c r="G180" s="8" t="s">
        <v>154</v>
      </c>
      <c r="H180" s="8" t="s">
        <v>8675</v>
      </c>
      <c r="I180" s="8" t="s">
        <v>8923</v>
      </c>
      <c r="J180" s="8" t="s">
        <v>204</v>
      </c>
      <c r="K180" s="8" t="s">
        <v>8664</v>
      </c>
      <c r="L180" s="8"/>
      <c r="M180" s="8"/>
      <c r="N180" s="8" t="n">
        <v>25</v>
      </c>
      <c r="O180" s="8" t="n">
        <v>59</v>
      </c>
      <c r="P180" s="8" t="s">
        <v>120</v>
      </c>
    </row>
    <row r="181" customFormat="false" ht="15" hidden="false" customHeight="false" outlineLevel="0" collapsed="false">
      <c r="A181" s="8" t="s">
        <v>625</v>
      </c>
      <c r="B181" s="8" t="s">
        <v>626</v>
      </c>
      <c r="C181" s="8" t="s">
        <v>8680</v>
      </c>
      <c r="D181" s="8" t="s">
        <v>128</v>
      </c>
      <c r="E181" s="8" t="s">
        <v>53</v>
      </c>
      <c r="F181" s="8" t="s">
        <v>326</v>
      </c>
      <c r="G181" s="8" t="s">
        <v>143</v>
      </c>
      <c r="H181" s="8" t="s">
        <v>8666</v>
      </c>
      <c r="I181" s="8" t="s">
        <v>8924</v>
      </c>
      <c r="J181" s="8" t="s">
        <v>129</v>
      </c>
      <c r="K181" s="8" t="s">
        <v>8664</v>
      </c>
      <c r="L181" s="8"/>
      <c r="M181" s="8"/>
      <c r="N181" s="8" t="n">
        <v>25</v>
      </c>
      <c r="O181" s="8" t="n">
        <v>165</v>
      </c>
      <c r="P181" s="8" t="s">
        <v>120</v>
      </c>
    </row>
    <row r="182" customFormat="false" ht="15" hidden="false" customHeight="false" outlineLevel="0" collapsed="false">
      <c r="A182" s="8" t="s">
        <v>1559</v>
      </c>
      <c r="B182" s="8" t="s">
        <v>1560</v>
      </c>
      <c r="C182" s="8" t="s">
        <v>8665</v>
      </c>
      <c r="D182" s="8" t="s">
        <v>123</v>
      </c>
      <c r="E182" s="8" t="s">
        <v>53</v>
      </c>
      <c r="F182" s="8" t="s">
        <v>326</v>
      </c>
      <c r="G182" s="8" t="s">
        <v>190</v>
      </c>
      <c r="H182" s="8" t="s">
        <v>8662</v>
      </c>
      <c r="I182" s="8" t="s">
        <v>8925</v>
      </c>
      <c r="J182" s="8" t="s">
        <v>129</v>
      </c>
      <c r="K182" s="8" t="s">
        <v>8664</v>
      </c>
      <c r="L182" s="8"/>
      <c r="M182" s="8"/>
      <c r="N182" s="8" t="n">
        <v>25</v>
      </c>
      <c r="O182" s="8" t="n">
        <v>80</v>
      </c>
      <c r="P182" s="8" t="s">
        <v>120</v>
      </c>
    </row>
    <row r="183" customFormat="false" ht="15" hidden="false" customHeight="false" outlineLevel="0" collapsed="false">
      <c r="A183" s="8" t="s">
        <v>1833</v>
      </c>
      <c r="B183" s="8" t="s">
        <v>1834</v>
      </c>
      <c r="C183" s="8" t="s">
        <v>8661</v>
      </c>
      <c r="D183" s="8" t="s">
        <v>117</v>
      </c>
      <c r="E183" s="8" t="s">
        <v>51</v>
      </c>
      <c r="F183" s="8" t="s">
        <v>326</v>
      </c>
      <c r="G183" s="8" t="s">
        <v>133</v>
      </c>
      <c r="H183" s="8" t="s">
        <v>8666</v>
      </c>
      <c r="I183" s="8" t="s">
        <v>8926</v>
      </c>
      <c r="J183" s="8" t="s">
        <v>185</v>
      </c>
      <c r="K183" s="8" t="s">
        <v>8664</v>
      </c>
      <c r="L183" s="8"/>
      <c r="M183" s="8"/>
      <c r="N183" s="8" t="n">
        <v>25</v>
      </c>
      <c r="O183" s="8" t="n">
        <v>25</v>
      </c>
      <c r="P183" s="8" t="s">
        <v>120</v>
      </c>
    </row>
    <row r="184" customFormat="false" ht="15" hidden="false" customHeight="false" outlineLevel="0" collapsed="false">
      <c r="A184" s="8" t="s">
        <v>2366</v>
      </c>
      <c r="B184" s="8" t="s">
        <v>2367</v>
      </c>
      <c r="C184" s="8" t="s">
        <v>8678</v>
      </c>
      <c r="D184" s="8" t="s">
        <v>132</v>
      </c>
      <c r="E184" s="8" t="s">
        <v>51</v>
      </c>
      <c r="F184" s="8" t="s">
        <v>326</v>
      </c>
      <c r="G184" s="8" t="s">
        <v>223</v>
      </c>
      <c r="H184" s="8" t="s">
        <v>8662</v>
      </c>
      <c r="I184" s="8" t="s">
        <v>8927</v>
      </c>
      <c r="J184" s="8" t="s">
        <v>204</v>
      </c>
      <c r="K184" s="8" t="s">
        <v>8664</v>
      </c>
      <c r="L184" s="8"/>
      <c r="M184" s="8"/>
      <c r="N184" s="8" t="n">
        <v>25</v>
      </c>
      <c r="O184" s="8" t="n">
        <v>20</v>
      </c>
      <c r="P184" s="8" t="s">
        <v>120</v>
      </c>
    </row>
    <row r="185" customFormat="false" ht="15" hidden="false" customHeight="false" outlineLevel="0" collapsed="false">
      <c r="A185" s="8" t="s">
        <v>3040</v>
      </c>
      <c r="B185" s="8" t="s">
        <v>3041</v>
      </c>
      <c r="C185" s="8" t="s">
        <v>8688</v>
      </c>
      <c r="D185" s="8" t="s">
        <v>128</v>
      </c>
      <c r="E185" s="8" t="s">
        <v>51</v>
      </c>
      <c r="F185" s="8" t="s">
        <v>2027</v>
      </c>
      <c r="G185" s="8" t="s">
        <v>136</v>
      </c>
      <c r="H185" s="8" t="s">
        <v>8662</v>
      </c>
      <c r="I185" s="8" t="s">
        <v>8928</v>
      </c>
      <c r="J185" s="8" t="s">
        <v>180</v>
      </c>
      <c r="K185" s="8" t="s">
        <v>8664</v>
      </c>
      <c r="L185" s="8"/>
      <c r="M185" s="8"/>
      <c r="N185" s="8" t="n">
        <v>12</v>
      </c>
      <c r="O185" s="8" t="n">
        <v>29</v>
      </c>
      <c r="P185" s="8" t="s">
        <v>120</v>
      </c>
    </row>
    <row r="186" customFormat="false" ht="15" hidden="false" customHeight="false" outlineLevel="0" collapsed="false">
      <c r="A186" s="8" t="s">
        <v>835</v>
      </c>
      <c r="B186" s="8" t="s">
        <v>836</v>
      </c>
      <c r="C186" s="8" t="s">
        <v>8669</v>
      </c>
      <c r="D186" s="8" t="s">
        <v>128</v>
      </c>
      <c r="E186" s="8" t="s">
        <v>53</v>
      </c>
      <c r="F186" s="8" t="s">
        <v>326</v>
      </c>
      <c r="G186" s="8" t="s">
        <v>151</v>
      </c>
      <c r="H186" s="8" t="s">
        <v>8666</v>
      </c>
      <c r="I186" s="8" t="s">
        <v>8929</v>
      </c>
      <c r="J186" s="8" t="s">
        <v>204</v>
      </c>
      <c r="K186" s="8" t="s">
        <v>8664</v>
      </c>
      <c r="L186" s="8"/>
      <c r="M186" s="8"/>
      <c r="N186" s="8" t="n">
        <v>25</v>
      </c>
      <c r="O186" s="8" t="n">
        <v>191</v>
      </c>
      <c r="P186" s="8" t="s">
        <v>120</v>
      </c>
    </row>
    <row r="187" customFormat="false" ht="15" hidden="false" customHeight="false" outlineLevel="0" collapsed="false">
      <c r="A187" s="8" t="s">
        <v>3906</v>
      </c>
      <c r="B187" s="8" t="s">
        <v>3907</v>
      </c>
      <c r="C187" s="8" t="s">
        <v>8700</v>
      </c>
      <c r="D187" s="8" t="s">
        <v>117</v>
      </c>
      <c r="E187" s="8" t="s">
        <v>51</v>
      </c>
      <c r="F187" s="8" t="s">
        <v>2027</v>
      </c>
      <c r="G187" s="8" t="s">
        <v>190</v>
      </c>
      <c r="H187" s="8" t="s">
        <v>8666</v>
      </c>
      <c r="I187" s="8" t="s">
        <v>8865</v>
      </c>
      <c r="J187" s="8" t="s">
        <v>125</v>
      </c>
      <c r="K187" s="8" t="s">
        <v>8664</v>
      </c>
      <c r="L187" s="8"/>
      <c r="M187" s="8"/>
      <c r="N187" s="8" t="n">
        <v>12</v>
      </c>
      <c r="O187" s="8" t="n">
        <v>11</v>
      </c>
      <c r="P187" s="8" t="s">
        <v>120</v>
      </c>
    </row>
    <row r="188" customFormat="false" ht="15" hidden="false" customHeight="false" outlineLevel="0" collapsed="false">
      <c r="A188" s="8" t="s">
        <v>383</v>
      </c>
      <c r="B188" s="8" t="s">
        <v>384</v>
      </c>
      <c r="C188" s="8" t="s">
        <v>8665</v>
      </c>
      <c r="D188" s="8" t="s">
        <v>123</v>
      </c>
      <c r="E188" s="8" t="s">
        <v>55</v>
      </c>
      <c r="F188" s="8" t="s">
        <v>55</v>
      </c>
      <c r="G188" s="8" t="s">
        <v>143</v>
      </c>
      <c r="H188" s="8" t="s">
        <v>8675</v>
      </c>
      <c r="I188" s="8" t="s">
        <v>8930</v>
      </c>
      <c r="J188" s="8" t="s">
        <v>129</v>
      </c>
      <c r="K188" s="8" t="s">
        <v>8664</v>
      </c>
      <c r="L188" s="8"/>
      <c r="M188" s="8"/>
      <c r="N188" s="8" t="n">
        <v>45</v>
      </c>
      <c r="O188" s="8" t="n">
        <v>375</v>
      </c>
      <c r="P188" s="8" t="s">
        <v>120</v>
      </c>
    </row>
    <row r="189" customFormat="false" ht="15" hidden="false" customHeight="false" outlineLevel="0" collapsed="false">
      <c r="A189" s="8" t="s">
        <v>4574</v>
      </c>
      <c r="B189" s="8" t="s">
        <v>8931</v>
      </c>
      <c r="C189" s="8" t="s">
        <v>8665</v>
      </c>
      <c r="D189" s="8" t="s">
        <v>123</v>
      </c>
      <c r="E189" s="8" t="s">
        <v>51</v>
      </c>
      <c r="F189" s="8" t="s">
        <v>2027</v>
      </c>
      <c r="G189" s="8" t="s">
        <v>154</v>
      </c>
      <c r="H189" s="8" t="s">
        <v>8662</v>
      </c>
      <c r="I189" s="8" t="s">
        <v>8932</v>
      </c>
      <c r="J189" s="8"/>
      <c r="K189" s="8" t="s">
        <v>8690</v>
      </c>
      <c r="L189" s="8" t="s">
        <v>8933</v>
      </c>
      <c r="M189" s="8" t="s">
        <v>8705</v>
      </c>
      <c r="N189" s="8" t="n">
        <v>12</v>
      </c>
      <c r="O189" s="8" t="n">
        <v>14</v>
      </c>
      <c r="P189" s="8" t="s">
        <v>120</v>
      </c>
    </row>
    <row r="190" customFormat="false" ht="15" hidden="false" customHeight="false" outlineLevel="0" collapsed="false">
      <c r="A190" s="8" t="s">
        <v>719</v>
      </c>
      <c r="B190" s="8" t="s">
        <v>720</v>
      </c>
      <c r="C190" s="8" t="s">
        <v>8669</v>
      </c>
      <c r="D190" s="8" t="s">
        <v>117</v>
      </c>
      <c r="E190" s="8" t="s">
        <v>53</v>
      </c>
      <c r="F190" s="8" t="s">
        <v>55</v>
      </c>
      <c r="G190" s="8" t="s">
        <v>154</v>
      </c>
      <c r="H190" s="8" t="s">
        <v>8662</v>
      </c>
      <c r="I190" s="8" t="s">
        <v>8934</v>
      </c>
      <c r="J190" s="8" t="s">
        <v>177</v>
      </c>
      <c r="K190" s="8" t="s">
        <v>8664</v>
      </c>
      <c r="L190" s="8"/>
      <c r="M190" s="8"/>
      <c r="N190" s="8" t="n">
        <v>45</v>
      </c>
      <c r="O190" s="8" t="n">
        <v>129</v>
      </c>
      <c r="P190" s="8" t="s">
        <v>120</v>
      </c>
    </row>
    <row r="191" customFormat="false" ht="15" hidden="false" customHeight="false" outlineLevel="0" collapsed="false">
      <c r="A191" s="8" t="s">
        <v>8935</v>
      </c>
      <c r="B191" s="8" t="s">
        <v>8936</v>
      </c>
      <c r="C191" s="8" t="s">
        <v>8680</v>
      </c>
      <c r="D191" s="8" t="s">
        <v>123</v>
      </c>
      <c r="E191" s="8" t="s">
        <v>51</v>
      </c>
      <c r="F191" s="8" t="s">
        <v>2027</v>
      </c>
      <c r="G191" s="8" t="s">
        <v>166</v>
      </c>
      <c r="H191" s="8" t="s">
        <v>8662</v>
      </c>
      <c r="I191" s="8" t="s">
        <v>8844</v>
      </c>
      <c r="J191" s="8"/>
      <c r="K191" s="8" t="s">
        <v>8690</v>
      </c>
      <c r="L191" s="8" t="s">
        <v>8937</v>
      </c>
      <c r="M191" s="8" t="s">
        <v>8721</v>
      </c>
      <c r="N191" s="8" t="n">
        <v>12</v>
      </c>
      <c r="O191" s="8" t="n">
        <v>28</v>
      </c>
      <c r="P191" s="8" t="s">
        <v>148</v>
      </c>
    </row>
    <row r="192" customFormat="false" ht="15" hidden="false" customHeight="false" outlineLevel="0" collapsed="false">
      <c r="A192" s="8" t="s">
        <v>3546</v>
      </c>
      <c r="B192" s="8" t="s">
        <v>3547</v>
      </c>
      <c r="C192" s="8" t="s">
        <v>8700</v>
      </c>
      <c r="D192" s="8" t="s">
        <v>128</v>
      </c>
      <c r="E192" s="8" t="s">
        <v>51</v>
      </c>
      <c r="F192" s="8" t="s">
        <v>2027</v>
      </c>
      <c r="G192" s="8" t="s">
        <v>154</v>
      </c>
      <c r="H192" s="8" t="s">
        <v>8662</v>
      </c>
      <c r="I192" s="8" t="s">
        <v>8938</v>
      </c>
      <c r="J192" s="8" t="s">
        <v>137</v>
      </c>
      <c r="K192" s="8" t="s">
        <v>8664</v>
      </c>
      <c r="L192" s="8"/>
      <c r="M192" s="8"/>
      <c r="N192" s="8" t="n">
        <v>12</v>
      </c>
      <c r="O192" s="8" t="n">
        <v>22</v>
      </c>
      <c r="P192" s="8" t="s">
        <v>120</v>
      </c>
    </row>
    <row r="193" customFormat="false" ht="15" hidden="false" customHeight="false" outlineLevel="0" collapsed="false">
      <c r="A193" s="8" t="s">
        <v>2172</v>
      </c>
      <c r="B193" s="8" t="s">
        <v>2173</v>
      </c>
      <c r="C193" s="8" t="s">
        <v>8688</v>
      </c>
      <c r="D193" s="8" t="s">
        <v>117</v>
      </c>
      <c r="E193" s="8" t="s">
        <v>51</v>
      </c>
      <c r="F193" s="8" t="s">
        <v>326</v>
      </c>
      <c r="G193" s="8" t="s">
        <v>166</v>
      </c>
      <c r="H193" s="8" t="s">
        <v>8662</v>
      </c>
      <c r="I193" s="8" t="s">
        <v>8939</v>
      </c>
      <c r="J193" s="8" t="s">
        <v>147</v>
      </c>
      <c r="K193" s="8" t="s">
        <v>8664</v>
      </c>
      <c r="L193" s="8"/>
      <c r="M193" s="8"/>
      <c r="N193" s="8" t="n">
        <v>25</v>
      </c>
      <c r="O193" s="8" t="n">
        <v>25</v>
      </c>
      <c r="P193" s="8" t="s">
        <v>120</v>
      </c>
    </row>
    <row r="194" customFormat="false" ht="15" hidden="false" customHeight="false" outlineLevel="0" collapsed="false">
      <c r="A194" s="8" t="s">
        <v>2314</v>
      </c>
      <c r="B194" s="8" t="s">
        <v>2315</v>
      </c>
      <c r="C194" s="8" t="s">
        <v>8661</v>
      </c>
      <c r="D194" s="8" t="s">
        <v>123</v>
      </c>
      <c r="E194" s="8" t="s">
        <v>51</v>
      </c>
      <c r="F194" s="8" t="s">
        <v>2027</v>
      </c>
      <c r="G194" s="8" t="s">
        <v>166</v>
      </c>
      <c r="H194" s="8" t="s">
        <v>8670</v>
      </c>
      <c r="I194" s="8" t="s">
        <v>8940</v>
      </c>
      <c r="J194" s="8" t="s">
        <v>140</v>
      </c>
      <c r="K194" s="8" t="s">
        <v>8664</v>
      </c>
      <c r="L194" s="8"/>
      <c r="M194" s="8"/>
      <c r="N194" s="8" t="n">
        <v>12</v>
      </c>
      <c r="O194" s="8" t="n">
        <v>34</v>
      </c>
      <c r="P194" s="8" t="s">
        <v>120</v>
      </c>
    </row>
    <row r="195" customFormat="false" ht="15" hidden="false" customHeight="false" outlineLevel="0" collapsed="false">
      <c r="A195" s="8" t="s">
        <v>4493</v>
      </c>
      <c r="B195" s="8" t="s">
        <v>8941</v>
      </c>
      <c r="C195" s="8" t="s">
        <v>8674</v>
      </c>
      <c r="D195" s="8" t="s">
        <v>123</v>
      </c>
      <c r="E195" s="8" t="s">
        <v>51</v>
      </c>
      <c r="F195" s="8" t="s">
        <v>326</v>
      </c>
      <c r="G195" s="8" t="s">
        <v>223</v>
      </c>
      <c r="H195" s="8" t="s">
        <v>8666</v>
      </c>
      <c r="I195" s="8" t="s">
        <v>8942</v>
      </c>
      <c r="J195" s="8"/>
      <c r="K195" s="8" t="s">
        <v>8690</v>
      </c>
      <c r="L195" s="8" t="s">
        <v>8943</v>
      </c>
      <c r="M195" s="8" t="s">
        <v>8795</v>
      </c>
      <c r="N195" s="8" t="n">
        <v>25</v>
      </c>
      <c r="O195" s="8" t="n">
        <v>29</v>
      </c>
      <c r="P195" s="8" t="s">
        <v>120</v>
      </c>
    </row>
    <row r="196" customFormat="false" ht="15" hidden="false" customHeight="false" outlineLevel="0" collapsed="false">
      <c r="A196" s="8" t="s">
        <v>2538</v>
      </c>
      <c r="B196" s="8" t="s">
        <v>2539</v>
      </c>
      <c r="C196" s="8" t="s">
        <v>8669</v>
      </c>
      <c r="D196" s="8" t="s">
        <v>123</v>
      </c>
      <c r="E196" s="8" t="s">
        <v>51</v>
      </c>
      <c r="F196" s="8" t="s">
        <v>326</v>
      </c>
      <c r="G196" s="8" t="s">
        <v>151</v>
      </c>
      <c r="H196" s="8" t="s">
        <v>8670</v>
      </c>
      <c r="I196" s="8" t="s">
        <v>8944</v>
      </c>
      <c r="J196" s="8" t="s">
        <v>180</v>
      </c>
      <c r="K196" s="8" t="s">
        <v>8664</v>
      </c>
      <c r="L196" s="8"/>
      <c r="M196" s="8"/>
      <c r="N196" s="8" t="n">
        <v>25</v>
      </c>
      <c r="O196" s="8" t="n">
        <v>24</v>
      </c>
      <c r="P196" s="8" t="s">
        <v>120</v>
      </c>
    </row>
    <row r="197" customFormat="false" ht="15" hidden="false" customHeight="false" outlineLevel="0" collapsed="false">
      <c r="A197" s="8" t="s">
        <v>3778</v>
      </c>
      <c r="B197" s="8" t="s">
        <v>3779</v>
      </c>
      <c r="C197" s="8" t="s">
        <v>8688</v>
      </c>
      <c r="D197" s="8" t="s">
        <v>117</v>
      </c>
      <c r="E197" s="8" t="s">
        <v>51</v>
      </c>
      <c r="F197" s="8" t="s">
        <v>2027</v>
      </c>
      <c r="G197" s="8" t="s">
        <v>223</v>
      </c>
      <c r="H197" s="8" t="s">
        <v>8670</v>
      </c>
      <c r="I197" s="8" t="s">
        <v>8945</v>
      </c>
      <c r="J197" s="8" t="s">
        <v>159</v>
      </c>
      <c r="K197" s="8" t="s">
        <v>8664</v>
      </c>
      <c r="L197" s="8"/>
      <c r="M197" s="8"/>
      <c r="N197" s="8" t="n">
        <v>12</v>
      </c>
      <c r="O197" s="8" t="n">
        <v>11</v>
      </c>
      <c r="P197" s="8" t="s">
        <v>120</v>
      </c>
    </row>
    <row r="198" customFormat="false" ht="15" hidden="false" customHeight="false" outlineLevel="0" collapsed="false">
      <c r="A198" s="8" t="s">
        <v>8946</v>
      </c>
      <c r="B198" s="8" t="s">
        <v>8947</v>
      </c>
      <c r="C198" s="8" t="s">
        <v>8700</v>
      </c>
      <c r="D198" s="8" t="s">
        <v>132</v>
      </c>
      <c r="E198" s="8" t="s">
        <v>53</v>
      </c>
      <c r="F198" s="8" t="s">
        <v>326</v>
      </c>
      <c r="G198" s="8" t="s">
        <v>133</v>
      </c>
      <c r="H198" s="8" t="s">
        <v>8675</v>
      </c>
      <c r="I198" s="8" t="s">
        <v>8948</v>
      </c>
      <c r="J198" s="8"/>
      <c r="K198" s="8" t="s">
        <v>8690</v>
      </c>
      <c r="L198" s="8" t="s">
        <v>8949</v>
      </c>
      <c r="M198" s="8" t="s">
        <v>8696</v>
      </c>
      <c r="N198" s="8" t="n">
        <v>25</v>
      </c>
      <c r="O198" s="8" t="n">
        <v>174</v>
      </c>
      <c r="P198" s="8" t="s">
        <v>120</v>
      </c>
    </row>
    <row r="199" customFormat="false" ht="15" hidden="false" customHeight="false" outlineLevel="0" collapsed="false">
      <c r="A199" s="8" t="s">
        <v>681</v>
      </c>
      <c r="B199" s="8" t="s">
        <v>682</v>
      </c>
      <c r="C199" s="8" t="s">
        <v>8674</v>
      </c>
      <c r="D199" s="8" t="s">
        <v>128</v>
      </c>
      <c r="E199" s="8" t="s">
        <v>53</v>
      </c>
      <c r="F199" s="8" t="s">
        <v>55</v>
      </c>
      <c r="G199" s="8" t="s">
        <v>136</v>
      </c>
      <c r="H199" s="8" t="s">
        <v>8670</v>
      </c>
      <c r="I199" s="8" t="s">
        <v>8950</v>
      </c>
      <c r="J199" s="8" t="s">
        <v>129</v>
      </c>
      <c r="K199" s="8" t="s">
        <v>8664</v>
      </c>
      <c r="L199" s="8"/>
      <c r="M199" s="8"/>
      <c r="N199" s="8" t="n">
        <v>45</v>
      </c>
      <c r="O199" s="8" t="n">
        <v>122</v>
      </c>
      <c r="P199" s="8" t="s">
        <v>120</v>
      </c>
    </row>
    <row r="200" customFormat="false" ht="15" hidden="false" customHeight="false" outlineLevel="0" collapsed="false">
      <c r="A200" s="8" t="s">
        <v>2368</v>
      </c>
      <c r="B200" s="8" t="s">
        <v>2369</v>
      </c>
      <c r="C200" s="8" t="s">
        <v>8669</v>
      </c>
      <c r="D200" s="8" t="s">
        <v>117</v>
      </c>
      <c r="E200" s="8" t="s">
        <v>51</v>
      </c>
      <c r="F200" s="8" t="s">
        <v>326</v>
      </c>
      <c r="G200" s="8" t="s">
        <v>118</v>
      </c>
      <c r="H200" s="8" t="s">
        <v>8666</v>
      </c>
      <c r="I200" s="8" t="s">
        <v>8951</v>
      </c>
      <c r="J200" s="8" t="s">
        <v>125</v>
      </c>
      <c r="K200" s="8" t="s">
        <v>8664</v>
      </c>
      <c r="L200" s="8"/>
      <c r="M200" s="8"/>
      <c r="N200" s="8" t="n">
        <v>25</v>
      </c>
      <c r="O200" s="8" t="n">
        <v>14</v>
      </c>
      <c r="P200" s="8" t="s">
        <v>120</v>
      </c>
    </row>
    <row r="201" customFormat="false" ht="15" hidden="false" customHeight="false" outlineLevel="0" collapsed="false">
      <c r="A201" s="8" t="s">
        <v>6104</v>
      </c>
      <c r="B201" s="8" t="s">
        <v>8952</v>
      </c>
      <c r="C201" s="8" t="s">
        <v>8678</v>
      </c>
      <c r="D201" s="8" t="s">
        <v>132</v>
      </c>
      <c r="E201" s="8" t="s">
        <v>53</v>
      </c>
      <c r="F201" s="8" t="s">
        <v>326</v>
      </c>
      <c r="G201" s="8" t="s">
        <v>143</v>
      </c>
      <c r="H201" s="8" t="s">
        <v>8670</v>
      </c>
      <c r="I201" s="8" t="s">
        <v>8953</v>
      </c>
      <c r="J201" s="8"/>
      <c r="K201" s="8" t="s">
        <v>8690</v>
      </c>
      <c r="L201" s="8" t="s">
        <v>8954</v>
      </c>
      <c r="M201" s="8" t="s">
        <v>8696</v>
      </c>
      <c r="N201" s="8" t="n">
        <v>25</v>
      </c>
      <c r="O201" s="8" t="n">
        <v>108</v>
      </c>
      <c r="P201" s="8" t="s">
        <v>120</v>
      </c>
    </row>
    <row r="202" customFormat="false" ht="15" hidden="false" customHeight="false" outlineLevel="0" collapsed="false">
      <c r="A202" s="8" t="s">
        <v>3836</v>
      </c>
      <c r="B202" s="8" t="s">
        <v>3837</v>
      </c>
      <c r="C202" s="8" t="s">
        <v>8688</v>
      </c>
      <c r="D202" s="8" t="s">
        <v>132</v>
      </c>
      <c r="E202" s="8" t="s">
        <v>51</v>
      </c>
      <c r="F202" s="8" t="s">
        <v>326</v>
      </c>
      <c r="G202" s="8" t="s">
        <v>223</v>
      </c>
      <c r="H202" s="8" t="s">
        <v>8675</v>
      </c>
      <c r="I202" s="8" t="s">
        <v>8955</v>
      </c>
      <c r="J202" s="8" t="s">
        <v>144</v>
      </c>
      <c r="K202" s="8" t="s">
        <v>8664</v>
      </c>
      <c r="L202" s="8"/>
      <c r="M202" s="8"/>
      <c r="N202" s="8" t="n">
        <v>25</v>
      </c>
      <c r="O202" s="8" t="n">
        <v>5</v>
      </c>
      <c r="P202" s="8" t="s">
        <v>120</v>
      </c>
    </row>
    <row r="203" customFormat="false" ht="15" hidden="false" customHeight="false" outlineLevel="0" collapsed="false">
      <c r="A203" s="8" t="s">
        <v>1095</v>
      </c>
      <c r="B203" s="8" t="s">
        <v>1096</v>
      </c>
      <c r="C203" s="8" t="s">
        <v>8680</v>
      </c>
      <c r="D203" s="8" t="s">
        <v>123</v>
      </c>
      <c r="E203" s="8" t="s">
        <v>53</v>
      </c>
      <c r="F203" s="8" t="s">
        <v>55</v>
      </c>
      <c r="G203" s="8" t="s">
        <v>124</v>
      </c>
      <c r="H203" s="8" t="s">
        <v>8670</v>
      </c>
      <c r="I203" s="8" t="s">
        <v>8956</v>
      </c>
      <c r="J203" s="8" t="s">
        <v>137</v>
      </c>
      <c r="K203" s="8" t="s">
        <v>8664</v>
      </c>
      <c r="L203" s="8"/>
      <c r="M203" s="8"/>
      <c r="N203" s="8" t="n">
        <v>45</v>
      </c>
      <c r="O203" s="8" t="n">
        <v>83</v>
      </c>
      <c r="P203" s="8" t="s">
        <v>120</v>
      </c>
    </row>
    <row r="204" customFormat="false" ht="15" hidden="false" customHeight="false" outlineLevel="0" collapsed="false">
      <c r="A204" s="8" t="s">
        <v>8957</v>
      </c>
      <c r="B204" s="8" t="s">
        <v>8958</v>
      </c>
      <c r="C204" s="8" t="s">
        <v>8661</v>
      </c>
      <c r="D204" s="8" t="s">
        <v>117</v>
      </c>
      <c r="E204" s="8" t="s">
        <v>51</v>
      </c>
      <c r="F204" s="8" t="s">
        <v>2027</v>
      </c>
      <c r="G204" s="8" t="s">
        <v>151</v>
      </c>
      <c r="H204" s="8" t="s">
        <v>8670</v>
      </c>
      <c r="I204" s="8" t="s">
        <v>8944</v>
      </c>
      <c r="J204" s="8"/>
      <c r="K204" s="8" t="s">
        <v>8690</v>
      </c>
      <c r="L204" s="8" t="s">
        <v>8959</v>
      </c>
      <c r="M204" s="8" t="s">
        <v>8692</v>
      </c>
      <c r="N204" s="8" t="n">
        <v>12</v>
      </c>
      <c r="O204" s="8" t="n">
        <v>26</v>
      </c>
      <c r="P204" s="8" t="s">
        <v>120</v>
      </c>
    </row>
    <row r="205" customFormat="false" ht="15" hidden="false" customHeight="false" outlineLevel="0" collapsed="false">
      <c r="A205" s="8" t="s">
        <v>8960</v>
      </c>
      <c r="B205" s="8" t="s">
        <v>8961</v>
      </c>
      <c r="C205" s="8" t="s">
        <v>8669</v>
      </c>
      <c r="D205" s="8" t="s">
        <v>117</v>
      </c>
      <c r="E205" s="8" t="s">
        <v>53</v>
      </c>
      <c r="F205" s="8" t="s">
        <v>326</v>
      </c>
      <c r="G205" s="8" t="s">
        <v>154</v>
      </c>
      <c r="H205" s="8" t="s">
        <v>8666</v>
      </c>
      <c r="I205" s="8" t="s">
        <v>8962</v>
      </c>
      <c r="J205" s="8"/>
      <c r="K205" s="8" t="s">
        <v>8690</v>
      </c>
      <c r="L205" s="8" t="s">
        <v>8963</v>
      </c>
      <c r="M205" s="8" t="s">
        <v>8727</v>
      </c>
      <c r="N205" s="8" t="n">
        <v>25</v>
      </c>
      <c r="O205" s="8" t="n">
        <v>194</v>
      </c>
      <c r="P205" s="8" t="s">
        <v>120</v>
      </c>
    </row>
    <row r="206" customFormat="false" ht="15" hidden="false" customHeight="false" outlineLevel="0" collapsed="false">
      <c r="A206" s="8" t="s">
        <v>2326</v>
      </c>
      <c r="B206" s="8" t="s">
        <v>2327</v>
      </c>
      <c r="C206" s="8" t="s">
        <v>8669</v>
      </c>
      <c r="D206" s="8" t="s">
        <v>117</v>
      </c>
      <c r="E206" s="8" t="s">
        <v>51</v>
      </c>
      <c r="F206" s="8" t="s">
        <v>326</v>
      </c>
      <c r="G206" s="8" t="s">
        <v>223</v>
      </c>
      <c r="H206" s="8" t="s">
        <v>8675</v>
      </c>
      <c r="I206" s="8" t="s">
        <v>8964</v>
      </c>
      <c r="J206" s="8" t="s">
        <v>177</v>
      </c>
      <c r="K206" s="8" t="s">
        <v>8664</v>
      </c>
      <c r="L206" s="8"/>
      <c r="M206" s="8"/>
      <c r="N206" s="8" t="n">
        <v>25</v>
      </c>
      <c r="O206" s="8" t="n">
        <v>16</v>
      </c>
      <c r="P206" s="8" t="s">
        <v>120</v>
      </c>
    </row>
    <row r="207" customFormat="false" ht="15" hidden="false" customHeight="false" outlineLevel="0" collapsed="false">
      <c r="A207" s="8" t="s">
        <v>8965</v>
      </c>
      <c r="B207" s="8" t="s">
        <v>8966</v>
      </c>
      <c r="C207" s="8" t="s">
        <v>8688</v>
      </c>
      <c r="D207" s="8" t="s">
        <v>132</v>
      </c>
      <c r="E207" s="8" t="s">
        <v>51</v>
      </c>
      <c r="F207" s="8" t="s">
        <v>2027</v>
      </c>
      <c r="G207" s="8" t="s">
        <v>190</v>
      </c>
      <c r="H207" s="8" t="s">
        <v>8675</v>
      </c>
      <c r="I207" s="8" t="s">
        <v>8967</v>
      </c>
      <c r="J207" s="8"/>
      <c r="K207" s="8" t="s">
        <v>8690</v>
      </c>
      <c r="L207" s="8" t="s">
        <v>8968</v>
      </c>
      <c r="M207" s="8" t="s">
        <v>8692</v>
      </c>
      <c r="N207" s="8" t="n">
        <v>12</v>
      </c>
      <c r="O207" s="8" t="n">
        <v>9</v>
      </c>
      <c r="P207" s="8" t="s">
        <v>120</v>
      </c>
    </row>
    <row r="208" customFormat="false" ht="15" hidden="false" customHeight="false" outlineLevel="0" collapsed="false">
      <c r="A208" s="8" t="s">
        <v>4382</v>
      </c>
      <c r="B208" s="8" t="s">
        <v>4383</v>
      </c>
      <c r="C208" s="8" t="s">
        <v>8678</v>
      </c>
      <c r="D208" s="8" t="s">
        <v>123</v>
      </c>
      <c r="E208" s="8" t="s">
        <v>51</v>
      </c>
      <c r="F208" s="8" t="s">
        <v>2027</v>
      </c>
      <c r="G208" s="8" t="s">
        <v>136</v>
      </c>
      <c r="H208" s="8" t="s">
        <v>8675</v>
      </c>
      <c r="I208" s="8" t="s">
        <v>8892</v>
      </c>
      <c r="J208" s="8" t="s">
        <v>185</v>
      </c>
      <c r="K208" s="8" t="s">
        <v>8664</v>
      </c>
      <c r="L208" s="8"/>
      <c r="M208" s="8"/>
      <c r="N208" s="8" t="n">
        <v>12</v>
      </c>
      <c r="O208" s="8" t="n">
        <v>6</v>
      </c>
      <c r="P208" s="8" t="s">
        <v>120</v>
      </c>
    </row>
    <row r="209" customFormat="false" ht="15" hidden="false" customHeight="false" outlineLevel="0" collapsed="false">
      <c r="A209" s="8" t="s">
        <v>1121</v>
      </c>
      <c r="B209" s="8" t="s">
        <v>1122</v>
      </c>
      <c r="C209" s="8" t="s">
        <v>8680</v>
      </c>
      <c r="D209" s="8" t="s">
        <v>132</v>
      </c>
      <c r="E209" s="8" t="s">
        <v>53</v>
      </c>
      <c r="F209" s="8" t="s">
        <v>326</v>
      </c>
      <c r="G209" s="8" t="s">
        <v>223</v>
      </c>
      <c r="H209" s="8" t="s">
        <v>8662</v>
      </c>
      <c r="I209" s="8" t="s">
        <v>8969</v>
      </c>
      <c r="J209" s="8" t="s">
        <v>177</v>
      </c>
      <c r="K209" s="8" t="s">
        <v>8664</v>
      </c>
      <c r="L209" s="8"/>
      <c r="M209" s="8"/>
      <c r="N209" s="8" t="n">
        <v>25</v>
      </c>
      <c r="O209" s="8" t="n">
        <v>146</v>
      </c>
      <c r="P209" s="8" t="s">
        <v>120</v>
      </c>
    </row>
    <row r="210" customFormat="false" ht="15" hidden="false" customHeight="false" outlineLevel="0" collapsed="false">
      <c r="A210" s="8" t="s">
        <v>555</v>
      </c>
      <c r="B210" s="8" t="s">
        <v>556</v>
      </c>
      <c r="C210" s="8" t="s">
        <v>8680</v>
      </c>
      <c r="D210" s="8" t="s">
        <v>132</v>
      </c>
      <c r="E210" s="8" t="s">
        <v>55</v>
      </c>
      <c r="F210" s="8" t="s">
        <v>55</v>
      </c>
      <c r="G210" s="8" t="s">
        <v>154</v>
      </c>
      <c r="H210" s="8" t="s">
        <v>8675</v>
      </c>
      <c r="I210" s="8" t="s">
        <v>8970</v>
      </c>
      <c r="J210" s="8" t="s">
        <v>119</v>
      </c>
      <c r="K210" s="8" t="s">
        <v>8664</v>
      </c>
      <c r="L210" s="8"/>
      <c r="M210" s="8"/>
      <c r="N210" s="8" t="n">
        <v>45</v>
      </c>
      <c r="O210" s="8" t="n">
        <v>192</v>
      </c>
      <c r="P210" s="8" t="s">
        <v>120</v>
      </c>
    </row>
    <row r="211" customFormat="false" ht="15" hidden="false" customHeight="false" outlineLevel="0" collapsed="false">
      <c r="A211" s="8" t="s">
        <v>4208</v>
      </c>
      <c r="B211" s="8" t="s">
        <v>4209</v>
      </c>
      <c r="C211" s="8" t="s">
        <v>8669</v>
      </c>
      <c r="D211" s="8" t="s">
        <v>123</v>
      </c>
      <c r="E211" s="8" t="s">
        <v>51</v>
      </c>
      <c r="F211" s="8" t="s">
        <v>2027</v>
      </c>
      <c r="G211" s="8" t="s">
        <v>190</v>
      </c>
      <c r="H211" s="8" t="s">
        <v>8662</v>
      </c>
      <c r="I211" s="8" t="s">
        <v>8971</v>
      </c>
      <c r="J211" s="8" t="s">
        <v>125</v>
      </c>
      <c r="K211" s="8" t="s">
        <v>8664</v>
      </c>
      <c r="L211" s="8"/>
      <c r="M211" s="8"/>
      <c r="N211" s="8" t="n">
        <v>12</v>
      </c>
      <c r="O211" s="8" t="n">
        <v>8</v>
      </c>
      <c r="P211" s="8" t="s">
        <v>120</v>
      </c>
    </row>
    <row r="212" customFormat="false" ht="15" hidden="false" customHeight="false" outlineLevel="0" collapsed="false">
      <c r="A212" s="8" t="s">
        <v>4423</v>
      </c>
      <c r="B212" s="8" t="s">
        <v>8972</v>
      </c>
      <c r="C212" s="8" t="s">
        <v>8674</v>
      </c>
      <c r="D212" s="8" t="s">
        <v>117</v>
      </c>
      <c r="E212" s="8" t="s">
        <v>53</v>
      </c>
      <c r="F212" s="8" t="s">
        <v>55</v>
      </c>
      <c r="G212" s="8" t="s">
        <v>154</v>
      </c>
      <c r="H212" s="8" t="s">
        <v>8670</v>
      </c>
      <c r="I212" s="8" t="s">
        <v>8973</v>
      </c>
      <c r="J212" s="8"/>
      <c r="K212" s="8" t="s">
        <v>8690</v>
      </c>
      <c r="L212" s="8" t="s">
        <v>8974</v>
      </c>
      <c r="M212" s="8" t="s">
        <v>8705</v>
      </c>
      <c r="N212" s="8" t="n">
        <v>45</v>
      </c>
      <c r="O212" s="8" t="n">
        <v>157</v>
      </c>
      <c r="P212" s="8" t="s">
        <v>120</v>
      </c>
    </row>
    <row r="213" customFormat="false" ht="15" hidden="false" customHeight="false" outlineLevel="0" collapsed="false">
      <c r="A213" s="8" t="s">
        <v>1063</v>
      </c>
      <c r="B213" s="8" t="s">
        <v>1064</v>
      </c>
      <c r="C213" s="8" t="s">
        <v>8678</v>
      </c>
      <c r="D213" s="8" t="s">
        <v>123</v>
      </c>
      <c r="E213" s="8" t="s">
        <v>53</v>
      </c>
      <c r="F213" s="8" t="s">
        <v>326</v>
      </c>
      <c r="G213" s="8" t="s">
        <v>133</v>
      </c>
      <c r="H213" s="8" t="s">
        <v>8666</v>
      </c>
      <c r="I213" s="8" t="s">
        <v>8975</v>
      </c>
      <c r="J213" s="8" t="s">
        <v>137</v>
      </c>
      <c r="K213" s="8" t="s">
        <v>8664</v>
      </c>
      <c r="L213" s="8"/>
      <c r="M213" s="8"/>
      <c r="N213" s="8" t="n">
        <v>25</v>
      </c>
      <c r="O213" s="8" t="n">
        <v>141</v>
      </c>
      <c r="P213" s="8" t="s">
        <v>120</v>
      </c>
    </row>
    <row r="214" customFormat="false" ht="15" hidden="false" customHeight="false" outlineLevel="0" collapsed="false">
      <c r="A214" s="8" t="s">
        <v>1149</v>
      </c>
      <c r="B214" s="8" t="s">
        <v>1150</v>
      </c>
      <c r="C214" s="8" t="s">
        <v>8700</v>
      </c>
      <c r="D214" s="8" t="s">
        <v>132</v>
      </c>
      <c r="E214" s="8" t="s">
        <v>53</v>
      </c>
      <c r="F214" s="8" t="s">
        <v>326</v>
      </c>
      <c r="G214" s="8" t="s">
        <v>151</v>
      </c>
      <c r="H214" s="8" t="s">
        <v>8666</v>
      </c>
      <c r="I214" s="8" t="s">
        <v>8813</v>
      </c>
      <c r="J214" s="8" t="s">
        <v>204</v>
      </c>
      <c r="K214" s="8" t="s">
        <v>8664</v>
      </c>
      <c r="L214" s="8"/>
      <c r="M214" s="8"/>
      <c r="N214" s="8" t="n">
        <v>25</v>
      </c>
      <c r="O214" s="8" t="n">
        <v>122</v>
      </c>
      <c r="P214" s="8" t="s">
        <v>120</v>
      </c>
    </row>
    <row r="215" customFormat="false" ht="15" hidden="false" customHeight="false" outlineLevel="0" collapsed="false">
      <c r="A215" s="8" t="s">
        <v>2840</v>
      </c>
      <c r="B215" s="8" t="s">
        <v>2841</v>
      </c>
      <c r="C215" s="8" t="s">
        <v>8669</v>
      </c>
      <c r="D215" s="8" t="s">
        <v>123</v>
      </c>
      <c r="E215" s="8" t="s">
        <v>51</v>
      </c>
      <c r="F215" s="8" t="s">
        <v>2027</v>
      </c>
      <c r="G215" s="8" t="s">
        <v>154</v>
      </c>
      <c r="H215" s="8" t="s">
        <v>8675</v>
      </c>
      <c r="I215" s="8" t="s">
        <v>8976</v>
      </c>
      <c r="J215" s="8" t="s">
        <v>177</v>
      </c>
      <c r="K215" s="8" t="s">
        <v>8664</v>
      </c>
      <c r="L215" s="8"/>
      <c r="M215" s="8"/>
      <c r="N215" s="8" t="n">
        <v>12</v>
      </c>
      <c r="O215" s="8" t="n">
        <v>26</v>
      </c>
      <c r="P215" s="8" t="s">
        <v>120</v>
      </c>
    </row>
    <row r="216" customFormat="false" ht="15" hidden="false" customHeight="false" outlineLevel="0" collapsed="false">
      <c r="A216" s="8" t="s">
        <v>4409</v>
      </c>
      <c r="B216" s="8" t="s">
        <v>8977</v>
      </c>
      <c r="C216" s="8" t="s">
        <v>8678</v>
      </c>
      <c r="D216" s="8" t="s">
        <v>132</v>
      </c>
      <c r="E216" s="8" t="s">
        <v>55</v>
      </c>
      <c r="F216" s="8" t="s">
        <v>55</v>
      </c>
      <c r="G216" s="8" t="s">
        <v>190</v>
      </c>
      <c r="H216" s="8" t="s">
        <v>8675</v>
      </c>
      <c r="I216" s="8" t="s">
        <v>8978</v>
      </c>
      <c r="J216" s="8"/>
      <c r="K216" s="8" t="s">
        <v>8690</v>
      </c>
      <c r="L216" s="8" t="s">
        <v>8979</v>
      </c>
      <c r="M216" s="8" t="s">
        <v>8696</v>
      </c>
      <c r="N216" s="8" t="n">
        <v>45</v>
      </c>
      <c r="O216" s="8" t="n">
        <v>448</v>
      </c>
      <c r="P216" s="8" t="s">
        <v>148</v>
      </c>
    </row>
    <row r="217" customFormat="false" ht="15" hidden="false" customHeight="false" outlineLevel="0" collapsed="false">
      <c r="A217" s="8" t="s">
        <v>3780</v>
      </c>
      <c r="B217" s="8" t="s">
        <v>3781</v>
      </c>
      <c r="C217" s="8" t="s">
        <v>8669</v>
      </c>
      <c r="D217" s="8" t="s">
        <v>117</v>
      </c>
      <c r="E217" s="8" t="s">
        <v>51</v>
      </c>
      <c r="F217" s="8" t="s">
        <v>2027</v>
      </c>
      <c r="G217" s="8" t="s">
        <v>151</v>
      </c>
      <c r="H217" s="8" t="s">
        <v>8670</v>
      </c>
      <c r="I217" s="8" t="s">
        <v>8980</v>
      </c>
      <c r="J217" s="8" t="s">
        <v>147</v>
      </c>
      <c r="K217" s="8" t="s">
        <v>8664</v>
      </c>
      <c r="L217" s="8"/>
      <c r="M217" s="8"/>
      <c r="N217" s="8" t="n">
        <v>12</v>
      </c>
      <c r="O217" s="8" t="n">
        <v>8</v>
      </c>
      <c r="P217" s="8" t="s">
        <v>120</v>
      </c>
    </row>
    <row r="218" customFormat="false" ht="15" hidden="false" customHeight="false" outlineLevel="0" collapsed="false">
      <c r="A218" s="8" t="s">
        <v>743</v>
      </c>
      <c r="B218" s="8" t="s">
        <v>744</v>
      </c>
      <c r="C218" s="8" t="s">
        <v>8674</v>
      </c>
      <c r="D218" s="8" t="s">
        <v>132</v>
      </c>
      <c r="E218" s="8" t="s">
        <v>53</v>
      </c>
      <c r="F218" s="8" t="s">
        <v>55</v>
      </c>
      <c r="G218" s="8" t="s">
        <v>136</v>
      </c>
      <c r="H218" s="8" t="s">
        <v>8675</v>
      </c>
      <c r="I218" s="8" t="s">
        <v>8864</v>
      </c>
      <c r="J218" s="8" t="s">
        <v>180</v>
      </c>
      <c r="K218" s="8" t="s">
        <v>8664</v>
      </c>
      <c r="L218" s="8"/>
      <c r="M218" s="8"/>
      <c r="N218" s="8" t="n">
        <v>45</v>
      </c>
      <c r="O218" s="8" t="n">
        <v>92</v>
      </c>
      <c r="P218" s="8" t="s">
        <v>120</v>
      </c>
    </row>
    <row r="219" customFormat="false" ht="15" hidden="false" customHeight="false" outlineLevel="0" collapsed="false">
      <c r="A219" s="8" t="s">
        <v>3096</v>
      </c>
      <c r="B219" s="8" t="s">
        <v>3097</v>
      </c>
      <c r="C219" s="8" t="s">
        <v>8688</v>
      </c>
      <c r="D219" s="8" t="s">
        <v>123</v>
      </c>
      <c r="E219" s="8" t="s">
        <v>51</v>
      </c>
      <c r="F219" s="8" t="s">
        <v>2027</v>
      </c>
      <c r="G219" s="8" t="s">
        <v>154</v>
      </c>
      <c r="H219" s="8" t="s">
        <v>8662</v>
      </c>
      <c r="I219" s="8" t="s">
        <v>8981</v>
      </c>
      <c r="J219" s="8" t="s">
        <v>125</v>
      </c>
      <c r="K219" s="8" t="s">
        <v>8664</v>
      </c>
      <c r="L219" s="8"/>
      <c r="M219" s="8"/>
      <c r="N219" s="8" t="n">
        <v>12</v>
      </c>
      <c r="O219" s="8" t="n">
        <v>28</v>
      </c>
      <c r="P219" s="8" t="s">
        <v>120</v>
      </c>
    </row>
    <row r="220" customFormat="false" ht="15" hidden="false" customHeight="false" outlineLevel="0" collapsed="false">
      <c r="A220" s="8" t="s">
        <v>3956</v>
      </c>
      <c r="B220" s="8" t="s">
        <v>3957</v>
      </c>
      <c r="C220" s="8" t="s">
        <v>8665</v>
      </c>
      <c r="D220" s="8" t="s">
        <v>132</v>
      </c>
      <c r="E220" s="8" t="s">
        <v>51</v>
      </c>
      <c r="F220" s="8" t="s">
        <v>326</v>
      </c>
      <c r="G220" s="8" t="s">
        <v>223</v>
      </c>
      <c r="H220" s="8" t="s">
        <v>8675</v>
      </c>
      <c r="I220" s="8" t="s">
        <v>8982</v>
      </c>
      <c r="J220" s="8" t="s">
        <v>180</v>
      </c>
      <c r="K220" s="8" t="s">
        <v>8664</v>
      </c>
      <c r="L220" s="8"/>
      <c r="M220" s="8"/>
      <c r="N220" s="8" t="n">
        <v>25</v>
      </c>
      <c r="O220" s="8" t="n">
        <v>9</v>
      </c>
      <c r="P220" s="8" t="s">
        <v>120</v>
      </c>
    </row>
    <row r="221" customFormat="false" ht="15" hidden="false" customHeight="false" outlineLevel="0" collapsed="false">
      <c r="A221" s="8" t="s">
        <v>713</v>
      </c>
      <c r="B221" s="8" t="s">
        <v>714</v>
      </c>
      <c r="C221" s="8" t="s">
        <v>8678</v>
      </c>
      <c r="D221" s="8" t="s">
        <v>117</v>
      </c>
      <c r="E221" s="8" t="s">
        <v>53</v>
      </c>
      <c r="F221" s="8" t="s">
        <v>55</v>
      </c>
      <c r="G221" s="8" t="s">
        <v>118</v>
      </c>
      <c r="H221" s="8" t="s">
        <v>8662</v>
      </c>
      <c r="I221" s="8" t="s">
        <v>8983</v>
      </c>
      <c r="J221" s="8" t="s">
        <v>147</v>
      </c>
      <c r="K221" s="8" t="s">
        <v>8664</v>
      </c>
      <c r="L221" s="8"/>
      <c r="M221" s="8"/>
      <c r="N221" s="8" t="n">
        <v>45</v>
      </c>
      <c r="O221" s="8" t="n">
        <v>131</v>
      </c>
      <c r="P221" s="8" t="s">
        <v>120</v>
      </c>
    </row>
    <row r="222" customFormat="false" ht="15" hidden="false" customHeight="false" outlineLevel="0" collapsed="false">
      <c r="A222" s="8" t="s">
        <v>3388</v>
      </c>
      <c r="B222" s="8" t="s">
        <v>3389</v>
      </c>
      <c r="C222" s="8" t="s">
        <v>8661</v>
      </c>
      <c r="D222" s="8" t="s">
        <v>117</v>
      </c>
      <c r="E222" s="8" t="s">
        <v>51</v>
      </c>
      <c r="F222" s="8" t="s">
        <v>2027</v>
      </c>
      <c r="G222" s="8" t="s">
        <v>190</v>
      </c>
      <c r="H222" s="8" t="s">
        <v>8662</v>
      </c>
      <c r="I222" s="8" t="s">
        <v>8984</v>
      </c>
      <c r="J222" s="8" t="s">
        <v>140</v>
      </c>
      <c r="K222" s="8" t="s">
        <v>8664</v>
      </c>
      <c r="L222" s="8"/>
      <c r="M222" s="8"/>
      <c r="N222" s="8" t="n">
        <v>12</v>
      </c>
      <c r="O222" s="8" t="n">
        <v>23</v>
      </c>
      <c r="P222" s="8" t="s">
        <v>120</v>
      </c>
    </row>
    <row r="223" customFormat="false" ht="15" hidden="false" customHeight="false" outlineLevel="0" collapsed="false">
      <c r="A223" s="8" t="s">
        <v>3650</v>
      </c>
      <c r="B223" s="8" t="s">
        <v>3651</v>
      </c>
      <c r="C223" s="8" t="s">
        <v>8661</v>
      </c>
      <c r="D223" s="8" t="s">
        <v>132</v>
      </c>
      <c r="E223" s="8" t="s">
        <v>51</v>
      </c>
      <c r="F223" s="8" t="s">
        <v>2027</v>
      </c>
      <c r="G223" s="8" t="s">
        <v>133</v>
      </c>
      <c r="H223" s="8" t="s">
        <v>8666</v>
      </c>
      <c r="I223" s="8" t="s">
        <v>8847</v>
      </c>
      <c r="J223" s="8" t="s">
        <v>177</v>
      </c>
      <c r="K223" s="8" t="s">
        <v>8664</v>
      </c>
      <c r="L223" s="8"/>
      <c r="M223" s="8"/>
      <c r="N223" s="8" t="n">
        <v>12</v>
      </c>
      <c r="O223" s="8" t="n">
        <v>18</v>
      </c>
      <c r="P223" s="8" t="s">
        <v>120</v>
      </c>
    </row>
    <row r="224" customFormat="false" ht="15" hidden="false" customHeight="false" outlineLevel="0" collapsed="false">
      <c r="A224" s="8" t="s">
        <v>3590</v>
      </c>
      <c r="B224" s="8" t="s">
        <v>3591</v>
      </c>
      <c r="C224" s="8" t="s">
        <v>8669</v>
      </c>
      <c r="D224" s="8" t="s">
        <v>123</v>
      </c>
      <c r="E224" s="8" t="s">
        <v>51</v>
      </c>
      <c r="F224" s="8" t="s">
        <v>2027</v>
      </c>
      <c r="G224" s="8" t="s">
        <v>124</v>
      </c>
      <c r="H224" s="8" t="s">
        <v>8675</v>
      </c>
      <c r="I224" s="8" t="s">
        <v>8863</v>
      </c>
      <c r="J224" s="8" t="s">
        <v>137</v>
      </c>
      <c r="K224" s="8" t="s">
        <v>8664</v>
      </c>
      <c r="L224" s="8"/>
      <c r="M224" s="8"/>
      <c r="N224" s="8" t="n">
        <v>12</v>
      </c>
      <c r="O224" s="8" t="n">
        <v>22</v>
      </c>
      <c r="P224" s="8" t="s">
        <v>120</v>
      </c>
    </row>
    <row r="225" customFormat="false" ht="15" hidden="false" customHeight="false" outlineLevel="0" collapsed="false">
      <c r="A225" s="8" t="s">
        <v>3696</v>
      </c>
      <c r="B225" s="8" t="s">
        <v>3697</v>
      </c>
      <c r="C225" s="8" t="s">
        <v>8680</v>
      </c>
      <c r="D225" s="8" t="s">
        <v>117</v>
      </c>
      <c r="E225" s="8" t="s">
        <v>51</v>
      </c>
      <c r="F225" s="8" t="s">
        <v>2027</v>
      </c>
      <c r="G225" s="8" t="s">
        <v>190</v>
      </c>
      <c r="H225" s="8" t="s">
        <v>8670</v>
      </c>
      <c r="I225" s="8" t="s">
        <v>8985</v>
      </c>
      <c r="J225" s="8" t="s">
        <v>125</v>
      </c>
      <c r="K225" s="8" t="s">
        <v>8664</v>
      </c>
      <c r="L225" s="8"/>
      <c r="M225" s="8"/>
      <c r="N225" s="8" t="n">
        <v>12</v>
      </c>
      <c r="O225" s="8" t="n">
        <v>14</v>
      </c>
      <c r="P225" s="8" t="s">
        <v>120</v>
      </c>
    </row>
    <row r="226" customFormat="false" ht="15" hidden="false" customHeight="false" outlineLevel="0" collapsed="false">
      <c r="A226" s="8" t="s">
        <v>2005</v>
      </c>
      <c r="B226" s="8" t="s">
        <v>2006</v>
      </c>
      <c r="C226" s="8" t="s">
        <v>8674</v>
      </c>
      <c r="D226" s="8" t="s">
        <v>123</v>
      </c>
      <c r="E226" s="8" t="s">
        <v>51</v>
      </c>
      <c r="F226" s="8" t="s">
        <v>326</v>
      </c>
      <c r="G226" s="8" t="s">
        <v>151</v>
      </c>
      <c r="H226" s="8" t="s">
        <v>8666</v>
      </c>
      <c r="I226" s="8" t="s">
        <v>8986</v>
      </c>
      <c r="J226" s="8" t="s">
        <v>125</v>
      </c>
      <c r="K226" s="8" t="s">
        <v>8664</v>
      </c>
      <c r="L226" s="8"/>
      <c r="M226" s="8"/>
      <c r="N226" s="8" t="n">
        <v>25</v>
      </c>
      <c r="O226" s="8" t="n">
        <v>31</v>
      </c>
      <c r="P226" s="8" t="s">
        <v>120</v>
      </c>
    </row>
    <row r="227" customFormat="false" ht="15" hidden="false" customHeight="false" outlineLevel="0" collapsed="false">
      <c r="A227" s="8" t="s">
        <v>1475</v>
      </c>
      <c r="B227" s="8" t="s">
        <v>1476</v>
      </c>
      <c r="C227" s="8" t="s">
        <v>8680</v>
      </c>
      <c r="D227" s="8" t="s">
        <v>132</v>
      </c>
      <c r="E227" s="8" t="s">
        <v>53</v>
      </c>
      <c r="F227" s="8" t="s">
        <v>326</v>
      </c>
      <c r="G227" s="8" t="s">
        <v>154</v>
      </c>
      <c r="H227" s="8" t="s">
        <v>8675</v>
      </c>
      <c r="I227" s="8" t="s">
        <v>8987</v>
      </c>
      <c r="J227" s="8" t="s">
        <v>125</v>
      </c>
      <c r="K227" s="8" t="s">
        <v>8664</v>
      </c>
      <c r="L227" s="8"/>
      <c r="M227" s="8"/>
      <c r="N227" s="8" t="n">
        <v>25</v>
      </c>
      <c r="O227" s="8" t="n">
        <v>121</v>
      </c>
      <c r="P227" s="8" t="s">
        <v>120</v>
      </c>
    </row>
    <row r="228" customFormat="false" ht="15" hidden="false" customHeight="false" outlineLevel="0" collapsed="false">
      <c r="A228" s="8" t="s">
        <v>3390</v>
      </c>
      <c r="B228" s="8" t="s">
        <v>3391</v>
      </c>
      <c r="C228" s="8" t="s">
        <v>8678</v>
      </c>
      <c r="D228" s="8" t="s">
        <v>117</v>
      </c>
      <c r="E228" s="8" t="s">
        <v>51</v>
      </c>
      <c r="F228" s="8" t="s">
        <v>2027</v>
      </c>
      <c r="G228" s="8" t="s">
        <v>124</v>
      </c>
      <c r="H228" s="8" t="s">
        <v>8662</v>
      </c>
      <c r="I228" s="8" t="s">
        <v>8955</v>
      </c>
      <c r="J228" s="8" t="s">
        <v>144</v>
      </c>
      <c r="K228" s="8" t="s">
        <v>8664</v>
      </c>
      <c r="L228" s="8"/>
      <c r="M228" s="8"/>
      <c r="N228" s="8" t="n">
        <v>12</v>
      </c>
      <c r="O228" s="8" t="n">
        <v>23</v>
      </c>
      <c r="P228" s="8" t="s">
        <v>120</v>
      </c>
    </row>
    <row r="229" customFormat="false" ht="15" hidden="false" customHeight="false" outlineLevel="0" collapsed="false">
      <c r="A229" s="8" t="s">
        <v>1761</v>
      </c>
      <c r="B229" s="8" t="s">
        <v>1762</v>
      </c>
      <c r="C229" s="8" t="s">
        <v>8688</v>
      </c>
      <c r="D229" s="8" t="s">
        <v>117</v>
      </c>
      <c r="E229" s="8" t="s">
        <v>51</v>
      </c>
      <c r="F229" s="8" t="s">
        <v>326</v>
      </c>
      <c r="G229" s="8" t="s">
        <v>124</v>
      </c>
      <c r="H229" s="8" t="s">
        <v>8666</v>
      </c>
      <c r="I229" s="8" t="s">
        <v>8698</v>
      </c>
      <c r="J229" s="8" t="s">
        <v>144</v>
      </c>
      <c r="K229" s="8" t="s">
        <v>8664</v>
      </c>
      <c r="L229" s="8"/>
      <c r="M229" s="8"/>
      <c r="N229" s="8" t="n">
        <v>25</v>
      </c>
      <c r="O229" s="8" t="n">
        <v>37</v>
      </c>
      <c r="P229" s="8" t="s">
        <v>120</v>
      </c>
    </row>
    <row r="230" customFormat="false" ht="15" hidden="false" customHeight="false" outlineLevel="0" collapsed="false">
      <c r="A230" s="8" t="s">
        <v>2588</v>
      </c>
      <c r="B230" s="8" t="s">
        <v>2589</v>
      </c>
      <c r="C230" s="8" t="s">
        <v>8700</v>
      </c>
      <c r="D230" s="8" t="s">
        <v>117</v>
      </c>
      <c r="E230" s="8" t="s">
        <v>51</v>
      </c>
      <c r="F230" s="8" t="s">
        <v>2027</v>
      </c>
      <c r="G230" s="8" t="s">
        <v>136</v>
      </c>
      <c r="H230" s="8" t="s">
        <v>8662</v>
      </c>
      <c r="I230" s="8" t="s">
        <v>8988</v>
      </c>
      <c r="J230" s="8" t="s">
        <v>185</v>
      </c>
      <c r="K230" s="8" t="s">
        <v>8664</v>
      </c>
      <c r="L230" s="8"/>
      <c r="M230" s="8"/>
      <c r="N230" s="8" t="n">
        <v>12</v>
      </c>
      <c r="O230" s="8" t="n">
        <v>36</v>
      </c>
      <c r="P230" s="8" t="s">
        <v>120</v>
      </c>
    </row>
    <row r="231" customFormat="false" ht="15" hidden="false" customHeight="false" outlineLevel="0" collapsed="false">
      <c r="A231" s="8" t="s">
        <v>1033</v>
      </c>
      <c r="B231" s="8" t="s">
        <v>1034</v>
      </c>
      <c r="C231" s="8" t="s">
        <v>8661</v>
      </c>
      <c r="D231" s="8" t="s">
        <v>123</v>
      </c>
      <c r="E231" s="8" t="s">
        <v>53</v>
      </c>
      <c r="F231" s="8" t="s">
        <v>326</v>
      </c>
      <c r="G231" s="8" t="s">
        <v>124</v>
      </c>
      <c r="H231" s="8" t="s">
        <v>8670</v>
      </c>
      <c r="I231" s="8" t="s">
        <v>8989</v>
      </c>
      <c r="J231" s="8" t="s">
        <v>204</v>
      </c>
      <c r="K231" s="8" t="s">
        <v>8664</v>
      </c>
      <c r="L231" s="8"/>
      <c r="M231" s="8"/>
      <c r="N231" s="8" t="n">
        <v>25</v>
      </c>
      <c r="O231" s="8" t="n">
        <v>159</v>
      </c>
      <c r="P231" s="8" t="s">
        <v>148</v>
      </c>
    </row>
    <row r="232" customFormat="false" ht="15" hidden="false" customHeight="false" outlineLevel="0" collapsed="false">
      <c r="A232" s="8" t="s">
        <v>853</v>
      </c>
      <c r="B232" s="8" t="s">
        <v>854</v>
      </c>
      <c r="C232" s="8" t="s">
        <v>8688</v>
      </c>
      <c r="D232" s="8" t="s">
        <v>123</v>
      </c>
      <c r="E232" s="8" t="s">
        <v>53</v>
      </c>
      <c r="F232" s="8" t="s">
        <v>326</v>
      </c>
      <c r="G232" s="8" t="s">
        <v>190</v>
      </c>
      <c r="H232" s="8" t="s">
        <v>8662</v>
      </c>
      <c r="I232" s="8" t="s">
        <v>8730</v>
      </c>
      <c r="J232" s="8" t="s">
        <v>177</v>
      </c>
      <c r="K232" s="8" t="s">
        <v>8664</v>
      </c>
      <c r="L232" s="8"/>
      <c r="M232" s="8"/>
      <c r="N232" s="8" t="n">
        <v>25</v>
      </c>
      <c r="O232" s="8" t="n">
        <v>189</v>
      </c>
      <c r="P232" s="8" t="s">
        <v>120</v>
      </c>
    </row>
    <row r="233" customFormat="false" ht="15" hidden="false" customHeight="false" outlineLevel="0" collapsed="false">
      <c r="A233" s="8" t="s">
        <v>1101</v>
      </c>
      <c r="B233" s="8" t="s">
        <v>1102</v>
      </c>
      <c r="C233" s="8" t="s">
        <v>8661</v>
      </c>
      <c r="D233" s="8" t="s">
        <v>128</v>
      </c>
      <c r="E233" s="8" t="s">
        <v>53</v>
      </c>
      <c r="F233" s="8" t="s">
        <v>326</v>
      </c>
      <c r="G233" s="8" t="s">
        <v>118</v>
      </c>
      <c r="H233" s="8" t="s">
        <v>8666</v>
      </c>
      <c r="I233" s="8" t="s">
        <v>8990</v>
      </c>
      <c r="J233" s="8" t="s">
        <v>119</v>
      </c>
      <c r="K233" s="8" t="s">
        <v>8664</v>
      </c>
      <c r="L233" s="8"/>
      <c r="M233" s="8"/>
      <c r="N233" s="8" t="n">
        <v>25</v>
      </c>
      <c r="O233" s="8" t="n">
        <v>149</v>
      </c>
      <c r="P233" s="8" t="s">
        <v>120</v>
      </c>
    </row>
    <row r="234" customFormat="false" ht="15" hidden="false" customHeight="false" outlineLevel="0" collapsed="false">
      <c r="A234" s="8" t="s">
        <v>529</v>
      </c>
      <c r="B234" s="8" t="s">
        <v>530</v>
      </c>
      <c r="C234" s="8" t="s">
        <v>8665</v>
      </c>
      <c r="D234" s="8" t="s">
        <v>123</v>
      </c>
      <c r="E234" s="8" t="s">
        <v>53</v>
      </c>
      <c r="F234" s="8" t="s">
        <v>55</v>
      </c>
      <c r="G234" s="8" t="s">
        <v>190</v>
      </c>
      <c r="H234" s="8" t="s">
        <v>8675</v>
      </c>
      <c r="I234" s="8" t="s">
        <v>8976</v>
      </c>
      <c r="J234" s="8" t="s">
        <v>177</v>
      </c>
      <c r="K234" s="8" t="s">
        <v>8664</v>
      </c>
      <c r="L234" s="8"/>
      <c r="M234" s="8"/>
      <c r="N234" s="8" t="n">
        <v>45</v>
      </c>
      <c r="O234" s="8" t="n">
        <v>184</v>
      </c>
      <c r="P234" s="8" t="s">
        <v>120</v>
      </c>
    </row>
    <row r="235" customFormat="false" ht="15" hidden="false" customHeight="false" outlineLevel="0" collapsed="false">
      <c r="A235" s="8" t="s">
        <v>4541</v>
      </c>
      <c r="B235" s="8" t="s">
        <v>8991</v>
      </c>
      <c r="C235" s="8" t="s">
        <v>8688</v>
      </c>
      <c r="D235" s="8" t="s">
        <v>132</v>
      </c>
      <c r="E235" s="8" t="s">
        <v>51</v>
      </c>
      <c r="F235" s="8" t="s">
        <v>2027</v>
      </c>
      <c r="G235" s="8" t="s">
        <v>190</v>
      </c>
      <c r="H235" s="8" t="s">
        <v>8666</v>
      </c>
      <c r="I235" s="8" t="s">
        <v>8992</v>
      </c>
      <c r="J235" s="8"/>
      <c r="K235" s="8" t="s">
        <v>8690</v>
      </c>
      <c r="L235" s="8" t="s">
        <v>8974</v>
      </c>
      <c r="M235" s="8" t="s">
        <v>8705</v>
      </c>
      <c r="N235" s="8" t="n">
        <v>12</v>
      </c>
      <c r="O235" s="8" t="n">
        <v>23</v>
      </c>
      <c r="P235" s="8" t="s">
        <v>120</v>
      </c>
    </row>
    <row r="236" customFormat="false" ht="15" hidden="false" customHeight="false" outlineLevel="0" collapsed="false">
      <c r="A236" s="8" t="s">
        <v>8993</v>
      </c>
      <c r="B236" s="8" t="s">
        <v>8994</v>
      </c>
      <c r="C236" s="8" t="s">
        <v>8674</v>
      </c>
      <c r="D236" s="8" t="s">
        <v>117</v>
      </c>
      <c r="E236" s="8" t="s">
        <v>53</v>
      </c>
      <c r="F236" s="8" t="s">
        <v>55</v>
      </c>
      <c r="G236" s="8" t="s">
        <v>223</v>
      </c>
      <c r="H236" s="8" t="s">
        <v>8662</v>
      </c>
      <c r="I236" s="8" t="s">
        <v>8872</v>
      </c>
      <c r="J236" s="8"/>
      <c r="K236" s="8" t="s">
        <v>8690</v>
      </c>
      <c r="L236" s="8" t="s">
        <v>8995</v>
      </c>
      <c r="M236" s="8" t="s">
        <v>8692</v>
      </c>
      <c r="N236" s="8" t="n">
        <v>45</v>
      </c>
      <c r="O236" s="8" t="n">
        <v>53</v>
      </c>
      <c r="P236" s="8" t="s">
        <v>120</v>
      </c>
    </row>
    <row r="237" customFormat="false" ht="15" hidden="false" customHeight="false" outlineLevel="0" collapsed="false">
      <c r="A237" s="8" t="s">
        <v>1611</v>
      </c>
      <c r="B237" s="8" t="s">
        <v>1612</v>
      </c>
      <c r="C237" s="8" t="s">
        <v>8665</v>
      </c>
      <c r="D237" s="8" t="s">
        <v>117</v>
      </c>
      <c r="E237" s="8" t="s">
        <v>53</v>
      </c>
      <c r="F237" s="8" t="s">
        <v>326</v>
      </c>
      <c r="G237" s="8" t="s">
        <v>143</v>
      </c>
      <c r="H237" s="8" t="s">
        <v>8662</v>
      </c>
      <c r="I237" s="8" t="s">
        <v>8996</v>
      </c>
      <c r="J237" s="8" t="s">
        <v>125</v>
      </c>
      <c r="K237" s="8" t="s">
        <v>8664</v>
      </c>
      <c r="L237" s="8"/>
      <c r="M237" s="8"/>
      <c r="N237" s="8" t="n">
        <v>25</v>
      </c>
      <c r="O237" s="8" t="n">
        <v>70</v>
      </c>
      <c r="P237" s="8" t="s">
        <v>120</v>
      </c>
    </row>
    <row r="238" customFormat="false" ht="15" hidden="false" customHeight="false" outlineLevel="0" collapsed="false">
      <c r="A238" s="8" t="s">
        <v>8997</v>
      </c>
      <c r="B238" s="8" t="s">
        <v>8998</v>
      </c>
      <c r="C238" s="8" t="s">
        <v>8669</v>
      </c>
      <c r="D238" s="8" t="s">
        <v>132</v>
      </c>
      <c r="E238" s="8" t="s">
        <v>51</v>
      </c>
      <c r="F238" s="8" t="s">
        <v>2027</v>
      </c>
      <c r="G238" s="8" t="s">
        <v>133</v>
      </c>
      <c r="H238" s="8" t="s">
        <v>8666</v>
      </c>
      <c r="I238" s="8" t="s">
        <v>8999</v>
      </c>
      <c r="J238" s="8"/>
      <c r="K238" s="8" t="s">
        <v>8690</v>
      </c>
      <c r="L238" s="8" t="s">
        <v>9000</v>
      </c>
      <c r="M238" s="8" t="s">
        <v>8692</v>
      </c>
      <c r="N238" s="8" t="n">
        <v>12</v>
      </c>
      <c r="O238" s="8" t="n">
        <v>19</v>
      </c>
      <c r="P238" s="8" t="s">
        <v>120</v>
      </c>
    </row>
    <row r="239" customFormat="false" ht="15" hidden="false" customHeight="false" outlineLevel="0" collapsed="false">
      <c r="A239" s="8" t="s">
        <v>3322</v>
      </c>
      <c r="B239" s="8" t="s">
        <v>3323</v>
      </c>
      <c r="C239" s="8" t="s">
        <v>8688</v>
      </c>
      <c r="D239" s="8" t="s">
        <v>132</v>
      </c>
      <c r="E239" s="8" t="s">
        <v>51</v>
      </c>
      <c r="F239" s="8" t="s">
        <v>2027</v>
      </c>
      <c r="G239" s="8" t="s">
        <v>118</v>
      </c>
      <c r="H239" s="8" t="s">
        <v>8662</v>
      </c>
      <c r="I239" s="8" t="s">
        <v>9001</v>
      </c>
      <c r="J239" s="8" t="s">
        <v>119</v>
      </c>
      <c r="K239" s="8" t="s">
        <v>8664</v>
      </c>
      <c r="L239" s="8"/>
      <c r="M239" s="8"/>
      <c r="N239" s="8" t="n">
        <v>12</v>
      </c>
      <c r="O239" s="8" t="n">
        <v>24</v>
      </c>
      <c r="P239" s="8" t="s">
        <v>148</v>
      </c>
    </row>
    <row r="240" customFormat="false" ht="15" hidden="false" customHeight="false" outlineLevel="0" collapsed="false">
      <c r="A240" s="8" t="s">
        <v>7305</v>
      </c>
      <c r="B240" s="8" t="s">
        <v>9002</v>
      </c>
      <c r="C240" s="8" t="s">
        <v>8674</v>
      </c>
      <c r="D240" s="8" t="s">
        <v>123</v>
      </c>
      <c r="E240" s="8" t="s">
        <v>51</v>
      </c>
      <c r="F240" s="8" t="s">
        <v>326</v>
      </c>
      <c r="G240" s="8" t="s">
        <v>118</v>
      </c>
      <c r="H240" s="8" t="s">
        <v>8670</v>
      </c>
      <c r="I240" s="8" t="s">
        <v>9003</v>
      </c>
      <c r="J240" s="8"/>
      <c r="K240" s="8" t="s">
        <v>8690</v>
      </c>
      <c r="L240" s="8" t="s">
        <v>8884</v>
      </c>
      <c r="M240" s="8" t="s">
        <v>8692</v>
      </c>
      <c r="N240" s="8" t="n">
        <v>25</v>
      </c>
      <c r="O240" s="8" t="n">
        <v>14</v>
      </c>
      <c r="P240" s="8" t="s">
        <v>120</v>
      </c>
    </row>
    <row r="241" customFormat="false" ht="15" hidden="false" customHeight="false" outlineLevel="0" collapsed="false">
      <c r="A241" s="8" t="s">
        <v>2174</v>
      </c>
      <c r="B241" s="8" t="s">
        <v>2175</v>
      </c>
      <c r="C241" s="8" t="s">
        <v>8669</v>
      </c>
      <c r="D241" s="8" t="s">
        <v>132</v>
      </c>
      <c r="E241" s="8" t="s">
        <v>51</v>
      </c>
      <c r="F241" s="8" t="s">
        <v>326</v>
      </c>
      <c r="G241" s="8" t="s">
        <v>154</v>
      </c>
      <c r="H241" s="8" t="s">
        <v>8666</v>
      </c>
      <c r="I241" s="8" t="s">
        <v>9004</v>
      </c>
      <c r="J241" s="8" t="s">
        <v>129</v>
      </c>
      <c r="K241" s="8" t="s">
        <v>8664</v>
      </c>
      <c r="L241" s="8"/>
      <c r="M241" s="8"/>
      <c r="N241" s="8" t="n">
        <v>25</v>
      </c>
      <c r="O241" s="8" t="n">
        <v>25</v>
      </c>
      <c r="P241" s="8" t="s">
        <v>120</v>
      </c>
    </row>
    <row r="242" customFormat="false" ht="15" hidden="false" customHeight="false" outlineLevel="0" collapsed="false">
      <c r="A242" s="8" t="s">
        <v>1071</v>
      </c>
      <c r="B242" s="8" t="s">
        <v>1072</v>
      </c>
      <c r="C242" s="8" t="s">
        <v>8700</v>
      </c>
      <c r="D242" s="8" t="s">
        <v>123</v>
      </c>
      <c r="E242" s="8" t="s">
        <v>53</v>
      </c>
      <c r="F242" s="8" t="s">
        <v>326</v>
      </c>
      <c r="G242" s="8" t="s">
        <v>143</v>
      </c>
      <c r="H242" s="8" t="s">
        <v>8675</v>
      </c>
      <c r="I242" s="8" t="s">
        <v>9005</v>
      </c>
      <c r="J242" s="8" t="s">
        <v>125</v>
      </c>
      <c r="K242" s="8" t="s">
        <v>8664</v>
      </c>
      <c r="L242" s="8"/>
      <c r="M242" s="8"/>
      <c r="N242" s="8" t="n">
        <v>25</v>
      </c>
      <c r="O242" s="8" t="n">
        <v>152</v>
      </c>
      <c r="P242" s="8" t="s">
        <v>120</v>
      </c>
    </row>
    <row r="243" customFormat="false" ht="15" hidden="false" customHeight="false" outlineLevel="0" collapsed="false">
      <c r="A243" s="8" t="s">
        <v>9006</v>
      </c>
      <c r="B243" s="8" t="s">
        <v>9007</v>
      </c>
      <c r="C243" s="8" t="s">
        <v>8688</v>
      </c>
      <c r="D243" s="8" t="s">
        <v>123</v>
      </c>
      <c r="E243" s="8" t="s">
        <v>51</v>
      </c>
      <c r="F243" s="8" t="s">
        <v>2027</v>
      </c>
      <c r="G243" s="8" t="s">
        <v>151</v>
      </c>
      <c r="H243" s="8" t="s">
        <v>8662</v>
      </c>
      <c r="I243" s="8" t="s">
        <v>9008</v>
      </c>
      <c r="J243" s="8"/>
      <c r="K243" s="8" t="s">
        <v>8690</v>
      </c>
      <c r="L243" s="8" t="s">
        <v>9009</v>
      </c>
      <c r="M243" s="8" t="s">
        <v>8696</v>
      </c>
      <c r="N243" s="8" t="n">
        <v>12</v>
      </c>
      <c r="O243" s="8" t="n">
        <v>30</v>
      </c>
      <c r="P243" s="8" t="s">
        <v>120</v>
      </c>
    </row>
    <row r="244" customFormat="false" ht="15" hidden="false" customHeight="false" outlineLevel="0" collapsed="false">
      <c r="A244" s="8" t="s">
        <v>3098</v>
      </c>
      <c r="B244" s="8" t="s">
        <v>3099</v>
      </c>
      <c r="C244" s="8" t="s">
        <v>8680</v>
      </c>
      <c r="D244" s="8" t="s">
        <v>123</v>
      </c>
      <c r="E244" s="8" t="s">
        <v>51</v>
      </c>
      <c r="F244" s="8" t="s">
        <v>2027</v>
      </c>
      <c r="G244" s="8" t="s">
        <v>136</v>
      </c>
      <c r="H244" s="8" t="s">
        <v>8662</v>
      </c>
      <c r="I244" s="8" t="s">
        <v>8743</v>
      </c>
      <c r="J244" s="8" t="s">
        <v>137</v>
      </c>
      <c r="K244" s="8" t="s">
        <v>8664</v>
      </c>
      <c r="L244" s="8"/>
      <c r="M244" s="8"/>
      <c r="N244" s="8" t="n">
        <v>12</v>
      </c>
      <c r="O244" s="8" t="n">
        <v>34</v>
      </c>
      <c r="P244" s="8" t="s">
        <v>120</v>
      </c>
    </row>
    <row r="245" customFormat="false" ht="15" hidden="false" customHeight="false" outlineLevel="0" collapsed="false">
      <c r="A245" s="8" t="s">
        <v>4542</v>
      </c>
      <c r="B245" s="8" t="s">
        <v>9010</v>
      </c>
      <c r="C245" s="8" t="s">
        <v>8661</v>
      </c>
      <c r="D245" s="8" t="s">
        <v>123</v>
      </c>
      <c r="E245" s="8" t="s">
        <v>51</v>
      </c>
      <c r="F245" s="8" t="s">
        <v>2027</v>
      </c>
      <c r="G245" s="8" t="s">
        <v>133</v>
      </c>
      <c r="H245" s="8" t="s">
        <v>8670</v>
      </c>
      <c r="I245" s="8" t="s">
        <v>8830</v>
      </c>
      <c r="J245" s="8"/>
      <c r="K245" s="8" t="s">
        <v>8690</v>
      </c>
      <c r="L245" s="8" t="s">
        <v>8762</v>
      </c>
      <c r="M245" s="8" t="s">
        <v>8692</v>
      </c>
      <c r="N245" s="8" t="n">
        <v>12</v>
      </c>
      <c r="O245" s="8" t="n">
        <v>17</v>
      </c>
      <c r="P245" s="8" t="s">
        <v>120</v>
      </c>
    </row>
    <row r="246" customFormat="false" ht="15" hidden="false" customHeight="false" outlineLevel="0" collapsed="false">
      <c r="A246" s="8" t="s">
        <v>2248</v>
      </c>
      <c r="B246" s="8" t="s">
        <v>2249</v>
      </c>
      <c r="C246" s="8" t="s">
        <v>8700</v>
      </c>
      <c r="D246" s="8" t="s">
        <v>123</v>
      </c>
      <c r="E246" s="8" t="s">
        <v>51</v>
      </c>
      <c r="F246" s="8" t="s">
        <v>326</v>
      </c>
      <c r="G246" s="8" t="s">
        <v>166</v>
      </c>
      <c r="H246" s="8" t="s">
        <v>8670</v>
      </c>
      <c r="I246" s="8" t="s">
        <v>8858</v>
      </c>
      <c r="J246" s="8" t="s">
        <v>144</v>
      </c>
      <c r="K246" s="8" t="s">
        <v>8664</v>
      </c>
      <c r="L246" s="8"/>
      <c r="M246" s="8"/>
      <c r="N246" s="8" t="n">
        <v>25</v>
      </c>
      <c r="O246" s="8" t="n">
        <v>23</v>
      </c>
      <c r="P246" s="8" t="s">
        <v>148</v>
      </c>
    </row>
    <row r="247" customFormat="false" ht="15" hidden="false" customHeight="false" outlineLevel="0" collapsed="false">
      <c r="A247" s="8" t="s">
        <v>1675</v>
      </c>
      <c r="B247" s="8" t="s">
        <v>1676</v>
      </c>
      <c r="C247" s="8" t="s">
        <v>8688</v>
      </c>
      <c r="D247" s="8" t="s">
        <v>117</v>
      </c>
      <c r="E247" s="8" t="s">
        <v>53</v>
      </c>
      <c r="F247" s="8" t="s">
        <v>326</v>
      </c>
      <c r="G247" s="8" t="s">
        <v>154</v>
      </c>
      <c r="H247" s="8" t="s">
        <v>8662</v>
      </c>
      <c r="I247" s="8" t="s">
        <v>9011</v>
      </c>
      <c r="J247" s="8" t="s">
        <v>140</v>
      </c>
      <c r="K247" s="8" t="s">
        <v>8664</v>
      </c>
      <c r="L247" s="8"/>
      <c r="M247" s="8"/>
      <c r="N247" s="8" t="n">
        <v>25</v>
      </c>
      <c r="O247" s="8" t="n">
        <v>72</v>
      </c>
      <c r="P247" s="8" t="s">
        <v>148</v>
      </c>
    </row>
    <row r="248" customFormat="false" ht="15" hidden="false" customHeight="false" outlineLevel="0" collapsed="false">
      <c r="A248" s="8" t="s">
        <v>2270</v>
      </c>
      <c r="B248" s="8" t="s">
        <v>2271</v>
      </c>
      <c r="C248" s="8" t="s">
        <v>8700</v>
      </c>
      <c r="D248" s="8" t="s">
        <v>128</v>
      </c>
      <c r="E248" s="8" t="s">
        <v>51</v>
      </c>
      <c r="F248" s="8" t="s">
        <v>2027</v>
      </c>
      <c r="G248" s="8" t="s">
        <v>151</v>
      </c>
      <c r="H248" s="8" t="s">
        <v>8675</v>
      </c>
      <c r="I248" s="8" t="s">
        <v>9012</v>
      </c>
      <c r="J248" s="8" t="s">
        <v>185</v>
      </c>
      <c r="K248" s="8" t="s">
        <v>8664</v>
      </c>
      <c r="L248" s="8"/>
      <c r="M248" s="8"/>
      <c r="N248" s="8" t="n">
        <v>12</v>
      </c>
      <c r="O248" s="8" t="n">
        <v>32</v>
      </c>
      <c r="P248" s="8" t="s">
        <v>120</v>
      </c>
    </row>
    <row r="249" customFormat="false" ht="15" hidden="false" customHeight="false" outlineLevel="0" collapsed="false">
      <c r="A249" s="8" t="s">
        <v>9013</v>
      </c>
      <c r="B249" s="8" t="s">
        <v>9014</v>
      </c>
      <c r="C249" s="8" t="s">
        <v>8665</v>
      </c>
      <c r="D249" s="8" t="s">
        <v>123</v>
      </c>
      <c r="E249" s="8" t="s">
        <v>51</v>
      </c>
      <c r="F249" s="8" t="s">
        <v>2027</v>
      </c>
      <c r="G249" s="8" t="s">
        <v>136</v>
      </c>
      <c r="H249" s="8" t="s">
        <v>8670</v>
      </c>
      <c r="I249" s="8" t="s">
        <v>8923</v>
      </c>
      <c r="J249" s="8"/>
      <c r="K249" s="8" t="s">
        <v>8690</v>
      </c>
      <c r="L249" s="8" t="s">
        <v>9015</v>
      </c>
      <c r="M249" s="8" t="s">
        <v>8696</v>
      </c>
      <c r="N249" s="8" t="n">
        <v>12</v>
      </c>
      <c r="O249" s="8" t="n">
        <v>30</v>
      </c>
      <c r="P249" s="8" t="s">
        <v>120</v>
      </c>
    </row>
    <row r="250" customFormat="false" ht="15" hidden="false" customHeight="false" outlineLevel="0" collapsed="false">
      <c r="A250" s="8" t="s">
        <v>1305</v>
      </c>
      <c r="B250" s="8" t="s">
        <v>1306</v>
      </c>
      <c r="C250" s="8" t="s">
        <v>8680</v>
      </c>
      <c r="D250" s="8" t="s">
        <v>123</v>
      </c>
      <c r="E250" s="8" t="s">
        <v>53</v>
      </c>
      <c r="F250" s="8" t="s">
        <v>326</v>
      </c>
      <c r="G250" s="8" t="s">
        <v>118</v>
      </c>
      <c r="H250" s="8" t="s">
        <v>8666</v>
      </c>
      <c r="I250" s="8" t="s">
        <v>8844</v>
      </c>
      <c r="J250" s="8" t="s">
        <v>129</v>
      </c>
      <c r="K250" s="8" t="s">
        <v>8664</v>
      </c>
      <c r="L250" s="8"/>
      <c r="M250" s="8"/>
      <c r="N250" s="8" t="n">
        <v>25</v>
      </c>
      <c r="O250" s="8" t="n">
        <v>162</v>
      </c>
      <c r="P250" s="8" t="s">
        <v>120</v>
      </c>
    </row>
    <row r="251" customFormat="false" ht="15" hidden="false" customHeight="false" outlineLevel="0" collapsed="false">
      <c r="A251" s="8" t="s">
        <v>3254</v>
      </c>
      <c r="B251" s="8" t="s">
        <v>3255</v>
      </c>
      <c r="C251" s="8" t="s">
        <v>8665</v>
      </c>
      <c r="D251" s="8" t="s">
        <v>123</v>
      </c>
      <c r="E251" s="8" t="s">
        <v>51</v>
      </c>
      <c r="F251" s="8" t="s">
        <v>2027</v>
      </c>
      <c r="G251" s="8" t="s">
        <v>133</v>
      </c>
      <c r="H251" s="8" t="s">
        <v>8666</v>
      </c>
      <c r="I251" s="8" t="s">
        <v>9016</v>
      </c>
      <c r="J251" s="8" t="s">
        <v>144</v>
      </c>
      <c r="K251" s="8" t="s">
        <v>8664</v>
      </c>
      <c r="L251" s="8"/>
      <c r="M251" s="8"/>
      <c r="N251" s="8" t="n">
        <v>12</v>
      </c>
      <c r="O251" s="8" t="n">
        <v>25</v>
      </c>
      <c r="P251" s="8" t="s">
        <v>120</v>
      </c>
    </row>
    <row r="252" customFormat="false" ht="15" hidden="false" customHeight="false" outlineLevel="0" collapsed="false">
      <c r="A252" s="8" t="s">
        <v>3492</v>
      </c>
      <c r="B252" s="8" t="s">
        <v>3493</v>
      </c>
      <c r="C252" s="8" t="s">
        <v>8678</v>
      </c>
      <c r="D252" s="8" t="s">
        <v>132</v>
      </c>
      <c r="E252" s="8" t="s">
        <v>51</v>
      </c>
      <c r="F252" s="8" t="s">
        <v>2027</v>
      </c>
      <c r="G252" s="8" t="s">
        <v>143</v>
      </c>
      <c r="H252" s="8" t="s">
        <v>8666</v>
      </c>
      <c r="I252" s="8" t="s">
        <v>8932</v>
      </c>
      <c r="J252" s="8" t="s">
        <v>177</v>
      </c>
      <c r="K252" s="8" t="s">
        <v>8664</v>
      </c>
      <c r="L252" s="8"/>
      <c r="M252" s="8"/>
      <c r="N252" s="8" t="n">
        <v>12</v>
      </c>
      <c r="O252" s="8" t="n">
        <v>29</v>
      </c>
      <c r="P252" s="8" t="s">
        <v>120</v>
      </c>
    </row>
    <row r="253" customFormat="false" ht="15" hidden="false" customHeight="false" outlineLevel="0" collapsed="false">
      <c r="A253" s="8" t="s">
        <v>1389</v>
      </c>
      <c r="B253" s="8" t="s">
        <v>1390</v>
      </c>
      <c r="C253" s="8" t="s">
        <v>8700</v>
      </c>
      <c r="D253" s="8" t="s">
        <v>123</v>
      </c>
      <c r="E253" s="8" t="s">
        <v>53</v>
      </c>
      <c r="F253" s="8" t="s">
        <v>326</v>
      </c>
      <c r="G253" s="8" t="s">
        <v>136</v>
      </c>
      <c r="H253" s="8" t="s">
        <v>8670</v>
      </c>
      <c r="I253" s="8" t="s">
        <v>9017</v>
      </c>
      <c r="J253" s="8" t="s">
        <v>180</v>
      </c>
      <c r="K253" s="8" t="s">
        <v>8664</v>
      </c>
      <c r="L253" s="8"/>
      <c r="M253" s="8"/>
      <c r="N253" s="8" t="n">
        <v>25</v>
      </c>
      <c r="O253" s="8" t="n">
        <v>82</v>
      </c>
      <c r="P253" s="8" t="s">
        <v>120</v>
      </c>
    </row>
    <row r="254" customFormat="false" ht="15" hidden="false" customHeight="false" outlineLevel="0" collapsed="false">
      <c r="A254" s="8" t="s">
        <v>431</v>
      </c>
      <c r="B254" s="8" t="s">
        <v>432</v>
      </c>
      <c r="C254" s="8" t="s">
        <v>8674</v>
      </c>
      <c r="D254" s="8" t="s">
        <v>123</v>
      </c>
      <c r="E254" s="8" t="s">
        <v>55</v>
      </c>
      <c r="F254" s="8" t="s">
        <v>55</v>
      </c>
      <c r="G254" s="8" t="s">
        <v>166</v>
      </c>
      <c r="H254" s="8" t="s">
        <v>8670</v>
      </c>
      <c r="I254" s="8" t="s">
        <v>9018</v>
      </c>
      <c r="J254" s="8" t="s">
        <v>204</v>
      </c>
      <c r="K254" s="8" t="s">
        <v>8664</v>
      </c>
      <c r="L254" s="8"/>
      <c r="M254" s="8"/>
      <c r="N254" s="8" t="n">
        <v>45</v>
      </c>
      <c r="O254" s="8" t="n">
        <v>256</v>
      </c>
      <c r="P254" s="8" t="s">
        <v>120</v>
      </c>
    </row>
    <row r="255" customFormat="false" ht="15" hidden="false" customHeight="false" outlineLevel="0" collapsed="false">
      <c r="A255" s="8" t="s">
        <v>3592</v>
      </c>
      <c r="B255" s="8" t="s">
        <v>3593</v>
      </c>
      <c r="C255" s="8" t="s">
        <v>8678</v>
      </c>
      <c r="D255" s="8" t="s">
        <v>123</v>
      </c>
      <c r="E255" s="8" t="s">
        <v>51</v>
      </c>
      <c r="F255" s="8" t="s">
        <v>2027</v>
      </c>
      <c r="G255" s="8" t="s">
        <v>118</v>
      </c>
      <c r="H255" s="8" t="s">
        <v>8670</v>
      </c>
      <c r="I255" s="8" t="s">
        <v>9019</v>
      </c>
      <c r="J255" s="8" t="s">
        <v>129</v>
      </c>
      <c r="K255" s="8" t="s">
        <v>8664</v>
      </c>
      <c r="L255" s="8"/>
      <c r="M255" s="8"/>
      <c r="N255" s="8" t="n">
        <v>12</v>
      </c>
      <c r="O255" s="8" t="n">
        <v>19</v>
      </c>
      <c r="P255" s="8" t="s">
        <v>120</v>
      </c>
    </row>
    <row r="256" customFormat="false" ht="15" hidden="false" customHeight="false" outlineLevel="0" collapsed="false">
      <c r="A256" s="8" t="s">
        <v>5818</v>
      </c>
      <c r="B256" s="8" t="s">
        <v>9020</v>
      </c>
      <c r="C256" s="8" t="s">
        <v>8678</v>
      </c>
      <c r="D256" s="8" t="s">
        <v>117</v>
      </c>
      <c r="E256" s="8" t="s">
        <v>51</v>
      </c>
      <c r="F256" s="8" t="s">
        <v>2027</v>
      </c>
      <c r="G256" s="8" t="s">
        <v>136</v>
      </c>
      <c r="H256" s="8" t="s">
        <v>8670</v>
      </c>
      <c r="I256" s="8" t="s">
        <v>9021</v>
      </c>
      <c r="J256" s="8"/>
      <c r="K256" s="8" t="s">
        <v>8690</v>
      </c>
      <c r="L256" s="8" t="s">
        <v>8743</v>
      </c>
      <c r="M256" s="8" t="s">
        <v>8727</v>
      </c>
      <c r="N256" s="8" t="n">
        <v>12</v>
      </c>
      <c r="O256" s="8" t="n">
        <v>29</v>
      </c>
      <c r="P256" s="8" t="s">
        <v>120</v>
      </c>
    </row>
    <row r="257" customFormat="false" ht="15" hidden="false" customHeight="false" outlineLevel="0" collapsed="false">
      <c r="A257" s="8" t="s">
        <v>9022</v>
      </c>
      <c r="B257" s="8" t="s">
        <v>9023</v>
      </c>
      <c r="C257" s="8" t="s">
        <v>8665</v>
      </c>
      <c r="D257" s="8" t="s">
        <v>123</v>
      </c>
      <c r="E257" s="8" t="s">
        <v>53</v>
      </c>
      <c r="F257" s="8" t="s">
        <v>55</v>
      </c>
      <c r="G257" s="8" t="s">
        <v>154</v>
      </c>
      <c r="H257" s="8" t="s">
        <v>8666</v>
      </c>
      <c r="I257" s="8" t="s">
        <v>9024</v>
      </c>
      <c r="J257" s="8"/>
      <c r="K257" s="8" t="s">
        <v>8690</v>
      </c>
      <c r="L257" s="8" t="s">
        <v>9025</v>
      </c>
      <c r="M257" s="8" t="s">
        <v>8692</v>
      </c>
      <c r="N257" s="8" t="n">
        <v>45</v>
      </c>
      <c r="O257" s="8" t="n">
        <v>181</v>
      </c>
      <c r="P257" s="8" t="s">
        <v>120</v>
      </c>
    </row>
    <row r="258" customFormat="false" ht="15" hidden="false" customHeight="false" outlineLevel="0" collapsed="false">
      <c r="A258" s="8" t="s">
        <v>2590</v>
      </c>
      <c r="B258" s="8" t="s">
        <v>2591</v>
      </c>
      <c r="C258" s="8" t="s">
        <v>8661</v>
      </c>
      <c r="D258" s="8" t="s">
        <v>123</v>
      </c>
      <c r="E258" s="8" t="s">
        <v>51</v>
      </c>
      <c r="F258" s="8" t="s">
        <v>2027</v>
      </c>
      <c r="G258" s="8" t="s">
        <v>154</v>
      </c>
      <c r="H258" s="8" t="s">
        <v>8675</v>
      </c>
      <c r="I258" s="8" t="s">
        <v>9026</v>
      </c>
      <c r="J258" s="8" t="s">
        <v>177</v>
      </c>
      <c r="K258" s="8" t="s">
        <v>8664</v>
      </c>
      <c r="L258" s="8"/>
      <c r="M258" s="8"/>
      <c r="N258" s="8" t="n">
        <v>12</v>
      </c>
      <c r="O258" s="8" t="n">
        <v>36</v>
      </c>
      <c r="P258" s="8" t="s">
        <v>120</v>
      </c>
    </row>
    <row r="259" customFormat="false" ht="15" hidden="false" customHeight="false" outlineLevel="0" collapsed="false">
      <c r="A259" s="8" t="s">
        <v>6003</v>
      </c>
      <c r="B259" s="8" t="s">
        <v>9027</v>
      </c>
      <c r="C259" s="8" t="s">
        <v>8680</v>
      </c>
      <c r="D259" s="8" t="s">
        <v>132</v>
      </c>
      <c r="E259" s="8" t="s">
        <v>51</v>
      </c>
      <c r="F259" s="8" t="s">
        <v>2027</v>
      </c>
      <c r="G259" s="8" t="s">
        <v>136</v>
      </c>
      <c r="H259" s="8" t="s">
        <v>8675</v>
      </c>
      <c r="I259" s="8" t="s">
        <v>9028</v>
      </c>
      <c r="J259" s="8"/>
      <c r="K259" s="8" t="s">
        <v>8690</v>
      </c>
      <c r="L259" s="8" t="s">
        <v>8802</v>
      </c>
      <c r="M259" s="8" t="s">
        <v>8696</v>
      </c>
      <c r="N259" s="8" t="n">
        <v>12</v>
      </c>
      <c r="O259" s="8" t="n">
        <v>28</v>
      </c>
      <c r="P259" s="8" t="s">
        <v>120</v>
      </c>
    </row>
    <row r="260" customFormat="false" ht="15" hidden="false" customHeight="false" outlineLevel="0" collapsed="false">
      <c r="A260" s="8" t="s">
        <v>695</v>
      </c>
      <c r="B260" s="8" t="s">
        <v>696</v>
      </c>
      <c r="C260" s="8" t="s">
        <v>8661</v>
      </c>
      <c r="D260" s="8" t="s">
        <v>132</v>
      </c>
      <c r="E260" s="8" t="s">
        <v>53</v>
      </c>
      <c r="F260" s="8" t="s">
        <v>55</v>
      </c>
      <c r="G260" s="8" t="s">
        <v>136</v>
      </c>
      <c r="H260" s="8" t="s">
        <v>8670</v>
      </c>
      <c r="I260" s="8" t="s">
        <v>8854</v>
      </c>
      <c r="J260" s="8" t="s">
        <v>137</v>
      </c>
      <c r="K260" s="8" t="s">
        <v>8664</v>
      </c>
      <c r="L260" s="8"/>
      <c r="M260" s="8"/>
      <c r="N260" s="8" t="n">
        <v>45</v>
      </c>
      <c r="O260" s="8" t="n">
        <v>106</v>
      </c>
      <c r="P260" s="8" t="s">
        <v>120</v>
      </c>
    </row>
    <row r="261" customFormat="false" ht="15" hidden="false" customHeight="false" outlineLevel="0" collapsed="false">
      <c r="A261" s="8" t="s">
        <v>4338</v>
      </c>
      <c r="B261" s="8" t="s">
        <v>4339</v>
      </c>
      <c r="C261" s="8" t="s">
        <v>8674</v>
      </c>
      <c r="D261" s="8" t="s">
        <v>117</v>
      </c>
      <c r="E261" s="8" t="s">
        <v>51</v>
      </c>
      <c r="F261" s="8" t="s">
        <v>2027</v>
      </c>
      <c r="G261" s="8" t="s">
        <v>136</v>
      </c>
      <c r="H261" s="8" t="s">
        <v>8666</v>
      </c>
      <c r="I261" s="8" t="s">
        <v>9029</v>
      </c>
      <c r="J261" s="8" t="s">
        <v>125</v>
      </c>
      <c r="K261" s="8" t="s">
        <v>8664</v>
      </c>
      <c r="L261" s="8"/>
      <c r="M261" s="8"/>
      <c r="N261" s="8" t="n">
        <v>12</v>
      </c>
      <c r="O261" s="8" t="n">
        <v>5</v>
      </c>
      <c r="P261" s="8" t="s">
        <v>120</v>
      </c>
    </row>
    <row r="262" customFormat="false" ht="15" hidden="false" customHeight="false" outlineLevel="0" collapsed="false">
      <c r="A262" s="8" t="s">
        <v>9030</v>
      </c>
      <c r="B262" s="8" t="s">
        <v>9031</v>
      </c>
      <c r="C262" s="8" t="s">
        <v>8669</v>
      </c>
      <c r="D262" s="8" t="s">
        <v>117</v>
      </c>
      <c r="E262" s="8" t="s">
        <v>51</v>
      </c>
      <c r="F262" s="8" t="s">
        <v>2027</v>
      </c>
      <c r="G262" s="8" t="s">
        <v>118</v>
      </c>
      <c r="H262" s="8" t="s">
        <v>8666</v>
      </c>
      <c r="I262" s="8" t="s">
        <v>8699</v>
      </c>
      <c r="J262" s="8"/>
      <c r="K262" s="8" t="s">
        <v>8690</v>
      </c>
      <c r="L262" s="8" t="s">
        <v>9032</v>
      </c>
      <c r="M262" s="8" t="s">
        <v>8692</v>
      </c>
      <c r="N262" s="8" t="n">
        <v>12</v>
      </c>
      <c r="O262" s="8" t="n">
        <v>16</v>
      </c>
      <c r="P262" s="8" t="s">
        <v>148</v>
      </c>
    </row>
    <row r="263" customFormat="false" ht="15" hidden="false" customHeight="false" outlineLevel="0" collapsed="false">
      <c r="A263" s="8" t="s">
        <v>1763</v>
      </c>
      <c r="B263" s="8" t="s">
        <v>1764</v>
      </c>
      <c r="C263" s="8" t="s">
        <v>8700</v>
      </c>
      <c r="D263" s="8" t="s">
        <v>132</v>
      </c>
      <c r="E263" s="8" t="s">
        <v>53</v>
      </c>
      <c r="F263" s="8" t="s">
        <v>326</v>
      </c>
      <c r="G263" s="8" t="s">
        <v>190</v>
      </c>
      <c r="H263" s="8" t="s">
        <v>8666</v>
      </c>
      <c r="I263" s="8" t="s">
        <v>9033</v>
      </c>
      <c r="J263" s="8" t="s">
        <v>204</v>
      </c>
      <c r="K263" s="8" t="s">
        <v>8664</v>
      </c>
      <c r="L263" s="8"/>
      <c r="M263" s="8"/>
      <c r="N263" s="8" t="n">
        <v>25</v>
      </c>
      <c r="O263" s="8" t="n">
        <v>41</v>
      </c>
      <c r="P263" s="8" t="s">
        <v>120</v>
      </c>
    </row>
    <row r="264" customFormat="false" ht="15" hidden="false" customHeight="false" outlineLevel="0" collapsed="false">
      <c r="A264" s="8" t="s">
        <v>4150</v>
      </c>
      <c r="B264" s="8" t="s">
        <v>4151</v>
      </c>
      <c r="C264" s="8" t="s">
        <v>8674</v>
      </c>
      <c r="D264" s="8" t="s">
        <v>132</v>
      </c>
      <c r="E264" s="8" t="s">
        <v>51</v>
      </c>
      <c r="F264" s="8" t="s">
        <v>2027</v>
      </c>
      <c r="G264" s="8" t="s">
        <v>136</v>
      </c>
      <c r="H264" s="8" t="s">
        <v>8675</v>
      </c>
      <c r="I264" s="8" t="s">
        <v>9034</v>
      </c>
      <c r="J264" s="8" t="s">
        <v>147</v>
      </c>
      <c r="K264" s="8" t="s">
        <v>8664</v>
      </c>
      <c r="L264" s="8"/>
      <c r="M264" s="8"/>
      <c r="N264" s="8" t="n">
        <v>12</v>
      </c>
      <c r="O264" s="8" t="n">
        <v>9</v>
      </c>
      <c r="P264" s="8" t="s">
        <v>120</v>
      </c>
    </row>
    <row r="265" customFormat="false" ht="15" hidden="false" customHeight="false" outlineLevel="0" collapsed="false">
      <c r="A265" s="8" t="s">
        <v>9035</v>
      </c>
      <c r="B265" s="8" t="s">
        <v>9036</v>
      </c>
      <c r="C265" s="8" t="s">
        <v>8680</v>
      </c>
      <c r="D265" s="8" t="s">
        <v>132</v>
      </c>
      <c r="E265" s="8" t="s">
        <v>53</v>
      </c>
      <c r="F265" s="8" t="s">
        <v>326</v>
      </c>
      <c r="G265" s="8" t="s">
        <v>124</v>
      </c>
      <c r="H265" s="8" t="s">
        <v>8670</v>
      </c>
      <c r="I265" s="8" t="s">
        <v>9037</v>
      </c>
      <c r="J265" s="8"/>
      <c r="K265" s="8" t="s">
        <v>8690</v>
      </c>
      <c r="L265" s="8" t="s">
        <v>9038</v>
      </c>
      <c r="M265" s="8" t="s">
        <v>8727</v>
      </c>
      <c r="N265" s="8" t="n">
        <v>25</v>
      </c>
      <c r="O265" s="8" t="n">
        <v>50</v>
      </c>
      <c r="P265" s="8" t="s">
        <v>120</v>
      </c>
    </row>
    <row r="266" customFormat="false" ht="15" hidden="false" customHeight="false" outlineLevel="0" collapsed="false">
      <c r="A266" s="8" t="s">
        <v>3908</v>
      </c>
      <c r="B266" s="8" t="s">
        <v>3909</v>
      </c>
      <c r="C266" s="8" t="s">
        <v>8680</v>
      </c>
      <c r="D266" s="8" t="s">
        <v>123</v>
      </c>
      <c r="E266" s="8" t="s">
        <v>51</v>
      </c>
      <c r="F266" s="8" t="s">
        <v>2027</v>
      </c>
      <c r="G266" s="8" t="s">
        <v>151</v>
      </c>
      <c r="H266" s="8" t="s">
        <v>8662</v>
      </c>
      <c r="I266" s="8" t="s">
        <v>9039</v>
      </c>
      <c r="J266" s="8" t="s">
        <v>180</v>
      </c>
      <c r="K266" s="8" t="s">
        <v>8664</v>
      </c>
      <c r="L266" s="8"/>
      <c r="M266" s="8"/>
      <c r="N266" s="8" t="n">
        <v>12</v>
      </c>
      <c r="O266" s="8" t="n">
        <v>13</v>
      </c>
      <c r="P266" s="8" t="s">
        <v>120</v>
      </c>
    </row>
    <row r="267" customFormat="false" ht="15" hidden="false" customHeight="false" outlineLevel="0" collapsed="false">
      <c r="A267" s="8" t="s">
        <v>1333</v>
      </c>
      <c r="B267" s="8" t="s">
        <v>1334</v>
      </c>
      <c r="C267" s="8" t="s">
        <v>8669</v>
      </c>
      <c r="D267" s="8" t="s">
        <v>132</v>
      </c>
      <c r="E267" s="8" t="s">
        <v>53</v>
      </c>
      <c r="F267" s="8" t="s">
        <v>326</v>
      </c>
      <c r="G267" s="8" t="s">
        <v>154</v>
      </c>
      <c r="H267" s="8" t="s">
        <v>8670</v>
      </c>
      <c r="I267" s="8" t="s">
        <v>8762</v>
      </c>
      <c r="J267" s="8" t="s">
        <v>140</v>
      </c>
      <c r="K267" s="8" t="s">
        <v>8664</v>
      </c>
      <c r="L267" s="8"/>
      <c r="M267" s="8"/>
      <c r="N267" s="8" t="n">
        <v>25</v>
      </c>
      <c r="O267" s="8" t="n">
        <v>117</v>
      </c>
      <c r="P267" s="8" t="s">
        <v>120</v>
      </c>
    </row>
    <row r="268" customFormat="false" ht="15" hidden="false" customHeight="false" outlineLevel="0" collapsed="false">
      <c r="A268" s="8" t="s">
        <v>1529</v>
      </c>
      <c r="B268" s="8" t="s">
        <v>1530</v>
      </c>
      <c r="C268" s="8" t="s">
        <v>8669</v>
      </c>
      <c r="D268" s="8" t="s">
        <v>123</v>
      </c>
      <c r="E268" s="8" t="s">
        <v>53</v>
      </c>
      <c r="F268" s="8" t="s">
        <v>326</v>
      </c>
      <c r="G268" s="8" t="s">
        <v>151</v>
      </c>
      <c r="H268" s="8" t="s">
        <v>8666</v>
      </c>
      <c r="I268" s="8" t="s">
        <v>9040</v>
      </c>
      <c r="J268" s="8" t="s">
        <v>140</v>
      </c>
      <c r="K268" s="8" t="s">
        <v>8664</v>
      </c>
      <c r="L268" s="8"/>
      <c r="M268" s="8"/>
      <c r="N268" s="8" t="n">
        <v>25</v>
      </c>
      <c r="O268" s="8" t="n">
        <v>87</v>
      </c>
      <c r="P268" s="8" t="s">
        <v>120</v>
      </c>
    </row>
    <row r="269" customFormat="false" ht="15" hidden="false" customHeight="false" outlineLevel="0" collapsed="false">
      <c r="A269" s="8" t="s">
        <v>1965</v>
      </c>
      <c r="B269" s="8" t="s">
        <v>1966</v>
      </c>
      <c r="C269" s="8" t="s">
        <v>8665</v>
      </c>
      <c r="D269" s="8" t="s">
        <v>123</v>
      </c>
      <c r="E269" s="8" t="s">
        <v>51</v>
      </c>
      <c r="F269" s="8" t="s">
        <v>326</v>
      </c>
      <c r="G269" s="8" t="s">
        <v>190</v>
      </c>
      <c r="H269" s="8" t="s">
        <v>8662</v>
      </c>
      <c r="I269" s="8" t="s">
        <v>8807</v>
      </c>
      <c r="J269" s="8" t="s">
        <v>125</v>
      </c>
      <c r="K269" s="8" t="s">
        <v>8664</v>
      </c>
      <c r="L269" s="8"/>
      <c r="M269" s="8"/>
      <c r="N269" s="8" t="n">
        <v>25</v>
      </c>
      <c r="O269" s="8" t="n">
        <v>33</v>
      </c>
      <c r="P269" s="8" t="s">
        <v>120</v>
      </c>
    </row>
    <row r="270" customFormat="false" ht="15" hidden="false" customHeight="false" outlineLevel="0" collapsed="false">
      <c r="A270" s="8" t="s">
        <v>389</v>
      </c>
      <c r="B270" s="8" t="s">
        <v>390</v>
      </c>
      <c r="C270" s="8" t="s">
        <v>8669</v>
      </c>
      <c r="D270" s="8" t="s">
        <v>117</v>
      </c>
      <c r="E270" s="8" t="s">
        <v>55</v>
      </c>
      <c r="F270" s="8" t="s">
        <v>55</v>
      </c>
      <c r="G270" s="8" t="s">
        <v>118</v>
      </c>
      <c r="H270" s="8" t="s">
        <v>8666</v>
      </c>
      <c r="I270" s="8" t="s">
        <v>8933</v>
      </c>
      <c r="J270" s="8" t="s">
        <v>204</v>
      </c>
      <c r="K270" s="8" t="s">
        <v>8664</v>
      </c>
      <c r="L270" s="8"/>
      <c r="M270" s="8"/>
      <c r="N270" s="8" t="n">
        <v>45</v>
      </c>
      <c r="O270" s="8" t="n">
        <v>307</v>
      </c>
      <c r="P270" s="8" t="s">
        <v>120</v>
      </c>
    </row>
    <row r="271" customFormat="false" ht="15" hidden="false" customHeight="false" outlineLevel="0" collapsed="false">
      <c r="A271" s="8" t="s">
        <v>3392</v>
      </c>
      <c r="B271" s="8" t="s">
        <v>3393</v>
      </c>
      <c r="C271" s="8" t="s">
        <v>8700</v>
      </c>
      <c r="D271" s="8" t="s">
        <v>123</v>
      </c>
      <c r="E271" s="8" t="s">
        <v>51</v>
      </c>
      <c r="F271" s="8" t="s">
        <v>2027</v>
      </c>
      <c r="G271" s="8" t="s">
        <v>166</v>
      </c>
      <c r="H271" s="8" t="s">
        <v>8670</v>
      </c>
      <c r="I271" s="8" t="s">
        <v>9041</v>
      </c>
      <c r="J271" s="8" t="s">
        <v>129</v>
      </c>
      <c r="K271" s="8" t="s">
        <v>8664</v>
      </c>
      <c r="L271" s="8"/>
      <c r="M271" s="8"/>
      <c r="N271" s="8" t="n">
        <v>12</v>
      </c>
      <c r="O271" s="8" t="n">
        <v>23</v>
      </c>
      <c r="P271" s="8" t="s">
        <v>120</v>
      </c>
    </row>
    <row r="272" customFormat="false" ht="15" hidden="false" customHeight="false" outlineLevel="0" collapsed="false">
      <c r="A272" s="8" t="s">
        <v>3594</v>
      </c>
      <c r="B272" s="8" t="s">
        <v>3595</v>
      </c>
      <c r="C272" s="8" t="s">
        <v>8688</v>
      </c>
      <c r="D272" s="8" t="s">
        <v>117</v>
      </c>
      <c r="E272" s="8" t="s">
        <v>51</v>
      </c>
      <c r="F272" s="8" t="s">
        <v>2027</v>
      </c>
      <c r="G272" s="8" t="s">
        <v>154</v>
      </c>
      <c r="H272" s="8" t="s">
        <v>8662</v>
      </c>
      <c r="I272" s="8" t="s">
        <v>9042</v>
      </c>
      <c r="J272" s="8" t="s">
        <v>129</v>
      </c>
      <c r="K272" s="8" t="s">
        <v>8664</v>
      </c>
      <c r="L272" s="8"/>
      <c r="M272" s="8"/>
      <c r="N272" s="8" t="n">
        <v>12</v>
      </c>
      <c r="O272" s="8" t="n">
        <v>19</v>
      </c>
      <c r="P272" s="8" t="s">
        <v>120</v>
      </c>
    </row>
    <row r="273" customFormat="false" ht="15" hidden="false" customHeight="false" outlineLevel="0" collapsed="false">
      <c r="A273" s="8" t="s">
        <v>2090</v>
      </c>
      <c r="B273" s="8" t="s">
        <v>2091</v>
      </c>
      <c r="C273" s="8" t="s">
        <v>8674</v>
      </c>
      <c r="D273" s="8" t="s">
        <v>123</v>
      </c>
      <c r="E273" s="8" t="s">
        <v>51</v>
      </c>
      <c r="F273" s="8" t="s">
        <v>326</v>
      </c>
      <c r="G273" s="8" t="s">
        <v>151</v>
      </c>
      <c r="H273" s="8" t="s">
        <v>8670</v>
      </c>
      <c r="I273" s="8" t="s">
        <v>9043</v>
      </c>
      <c r="J273" s="8" t="s">
        <v>159</v>
      </c>
      <c r="K273" s="8" t="s">
        <v>8664</v>
      </c>
      <c r="L273" s="8"/>
      <c r="M273" s="8"/>
      <c r="N273" s="8" t="n">
        <v>25</v>
      </c>
      <c r="O273" s="8" t="n">
        <v>28</v>
      </c>
      <c r="P273" s="8" t="s">
        <v>120</v>
      </c>
    </row>
    <row r="274" customFormat="false" ht="15" hidden="false" customHeight="false" outlineLevel="0" collapsed="false">
      <c r="A274" s="8" t="s">
        <v>1789</v>
      </c>
      <c r="B274" s="8" t="s">
        <v>1790</v>
      </c>
      <c r="C274" s="8" t="s">
        <v>8669</v>
      </c>
      <c r="D274" s="8" t="s">
        <v>123</v>
      </c>
      <c r="E274" s="8" t="s">
        <v>53</v>
      </c>
      <c r="F274" s="8" t="s">
        <v>326</v>
      </c>
      <c r="G274" s="8" t="s">
        <v>136</v>
      </c>
      <c r="H274" s="8" t="s">
        <v>8666</v>
      </c>
      <c r="I274" s="8" t="s">
        <v>9044</v>
      </c>
      <c r="J274" s="8" t="s">
        <v>119</v>
      </c>
      <c r="K274" s="8" t="s">
        <v>8664</v>
      </c>
      <c r="L274" s="8"/>
      <c r="M274" s="8"/>
      <c r="N274" s="8" t="n">
        <v>25</v>
      </c>
      <c r="O274" s="8" t="n">
        <v>44</v>
      </c>
      <c r="P274" s="8" t="s">
        <v>120</v>
      </c>
    </row>
    <row r="275" customFormat="false" ht="15" hidden="false" customHeight="false" outlineLevel="0" collapsed="false">
      <c r="A275" s="8" t="s">
        <v>3324</v>
      </c>
      <c r="B275" s="8" t="s">
        <v>3325</v>
      </c>
      <c r="C275" s="8" t="s">
        <v>8665</v>
      </c>
      <c r="D275" s="8" t="s">
        <v>117</v>
      </c>
      <c r="E275" s="8" t="s">
        <v>51</v>
      </c>
      <c r="F275" s="8" t="s">
        <v>2027</v>
      </c>
      <c r="G275" s="8" t="s">
        <v>118</v>
      </c>
      <c r="H275" s="8" t="s">
        <v>8675</v>
      </c>
      <c r="I275" s="8" t="s">
        <v>9045</v>
      </c>
      <c r="J275" s="8" t="s">
        <v>159</v>
      </c>
      <c r="K275" s="8" t="s">
        <v>8664</v>
      </c>
      <c r="L275" s="8"/>
      <c r="M275" s="8"/>
      <c r="N275" s="8" t="n">
        <v>12</v>
      </c>
      <c r="O275" s="8" t="n">
        <v>15</v>
      </c>
      <c r="P275" s="8" t="s">
        <v>120</v>
      </c>
    </row>
    <row r="276" customFormat="false" ht="15" hidden="false" customHeight="false" outlineLevel="0" collapsed="false">
      <c r="A276" s="8" t="s">
        <v>173</v>
      </c>
      <c r="B276" s="8" t="s">
        <v>174</v>
      </c>
      <c r="C276" s="8" t="s">
        <v>8661</v>
      </c>
      <c r="D276" s="8" t="s">
        <v>123</v>
      </c>
      <c r="E276" s="8" t="s">
        <v>55</v>
      </c>
      <c r="F276" s="8" t="s">
        <v>55</v>
      </c>
      <c r="G276" s="8" t="s">
        <v>154</v>
      </c>
      <c r="H276" s="8" t="s">
        <v>8662</v>
      </c>
      <c r="I276" s="8" t="s">
        <v>9046</v>
      </c>
      <c r="J276" s="8" t="s">
        <v>119</v>
      </c>
      <c r="K276" s="8" t="s">
        <v>8664</v>
      </c>
      <c r="L276" s="8"/>
      <c r="M276" s="8"/>
      <c r="N276" s="8" t="n">
        <v>45</v>
      </c>
      <c r="O276" s="8" t="n">
        <v>590</v>
      </c>
      <c r="P276" s="8" t="s">
        <v>120</v>
      </c>
    </row>
    <row r="277" customFormat="false" ht="15" hidden="false" customHeight="false" outlineLevel="0" collapsed="false">
      <c r="A277" s="8" t="s">
        <v>9047</v>
      </c>
      <c r="B277" s="8" t="s">
        <v>9048</v>
      </c>
      <c r="C277" s="8" t="s">
        <v>8700</v>
      </c>
      <c r="D277" s="8" t="s">
        <v>123</v>
      </c>
      <c r="E277" s="8" t="s">
        <v>51</v>
      </c>
      <c r="F277" s="8" t="s">
        <v>2027</v>
      </c>
      <c r="G277" s="8" t="s">
        <v>133</v>
      </c>
      <c r="H277" s="8" t="s">
        <v>8662</v>
      </c>
      <c r="I277" s="8" t="s">
        <v>8967</v>
      </c>
      <c r="J277" s="8"/>
      <c r="K277" s="8" t="s">
        <v>8690</v>
      </c>
      <c r="L277" s="8" t="s">
        <v>8964</v>
      </c>
      <c r="M277" s="8" t="s">
        <v>8721</v>
      </c>
      <c r="N277" s="8" t="n">
        <v>12</v>
      </c>
      <c r="O277" s="8" t="n">
        <v>9</v>
      </c>
      <c r="P277" s="8" t="s">
        <v>120</v>
      </c>
    </row>
    <row r="278" customFormat="false" ht="15" hidden="false" customHeight="false" outlineLevel="0" collapsed="false">
      <c r="A278" s="8" t="s">
        <v>1729</v>
      </c>
      <c r="B278" s="8" t="s">
        <v>1730</v>
      </c>
      <c r="C278" s="8" t="s">
        <v>8674</v>
      </c>
      <c r="D278" s="8" t="s">
        <v>132</v>
      </c>
      <c r="E278" s="8" t="s">
        <v>53</v>
      </c>
      <c r="F278" s="8" t="s">
        <v>326</v>
      </c>
      <c r="G278" s="8" t="s">
        <v>124</v>
      </c>
      <c r="H278" s="8" t="s">
        <v>8666</v>
      </c>
      <c r="I278" s="8" t="s">
        <v>9049</v>
      </c>
      <c r="J278" s="8" t="s">
        <v>144</v>
      </c>
      <c r="K278" s="8" t="s">
        <v>8664</v>
      </c>
      <c r="L278" s="8"/>
      <c r="M278" s="8"/>
      <c r="N278" s="8" t="n">
        <v>25</v>
      </c>
      <c r="O278" s="8" t="n">
        <v>51</v>
      </c>
      <c r="P278" s="8" t="s">
        <v>120</v>
      </c>
    </row>
    <row r="279" customFormat="false" ht="15" hidden="false" customHeight="false" outlineLevel="0" collapsed="false">
      <c r="A279" s="8" t="s">
        <v>917</v>
      </c>
      <c r="B279" s="8" t="s">
        <v>918</v>
      </c>
      <c r="C279" s="8" t="s">
        <v>8678</v>
      </c>
      <c r="D279" s="8" t="s">
        <v>123</v>
      </c>
      <c r="E279" s="8" t="s">
        <v>53</v>
      </c>
      <c r="F279" s="8" t="s">
        <v>326</v>
      </c>
      <c r="G279" s="8" t="s">
        <v>151</v>
      </c>
      <c r="H279" s="8" t="s">
        <v>8670</v>
      </c>
      <c r="I279" s="8" t="s">
        <v>9050</v>
      </c>
      <c r="J279" s="8" t="s">
        <v>180</v>
      </c>
      <c r="K279" s="8" t="s">
        <v>8664</v>
      </c>
      <c r="L279" s="8"/>
      <c r="M279" s="8"/>
      <c r="N279" s="8" t="n">
        <v>25</v>
      </c>
      <c r="O279" s="8" t="n">
        <v>178</v>
      </c>
      <c r="P279" s="8" t="s">
        <v>199</v>
      </c>
    </row>
    <row r="280" customFormat="false" ht="15" hidden="false" customHeight="false" outlineLevel="0" collapsed="false">
      <c r="A280" s="8" t="s">
        <v>2200</v>
      </c>
      <c r="B280" s="8" t="s">
        <v>2201</v>
      </c>
      <c r="C280" s="8" t="s">
        <v>8678</v>
      </c>
      <c r="D280" s="8" t="s">
        <v>123</v>
      </c>
      <c r="E280" s="8" t="s">
        <v>51</v>
      </c>
      <c r="F280" s="8" t="s">
        <v>2027</v>
      </c>
      <c r="G280" s="8" t="s">
        <v>118</v>
      </c>
      <c r="H280" s="8" t="s">
        <v>8662</v>
      </c>
      <c r="I280" s="8" t="s">
        <v>9051</v>
      </c>
      <c r="J280" s="8" t="s">
        <v>204</v>
      </c>
      <c r="K280" s="8" t="s">
        <v>8664</v>
      </c>
      <c r="L280" s="8"/>
      <c r="M280" s="8"/>
      <c r="N280" s="8" t="n">
        <v>12</v>
      </c>
      <c r="O280" s="8" t="n">
        <v>39</v>
      </c>
      <c r="P280" s="8" t="s">
        <v>120</v>
      </c>
    </row>
    <row r="281" customFormat="false" ht="15" hidden="false" customHeight="false" outlineLevel="0" collapsed="false">
      <c r="A281" s="8" t="s">
        <v>1981</v>
      </c>
      <c r="B281" s="8" t="s">
        <v>1982</v>
      </c>
      <c r="C281" s="8" t="s">
        <v>8688</v>
      </c>
      <c r="D281" s="8" t="s">
        <v>123</v>
      </c>
      <c r="E281" s="8" t="s">
        <v>51</v>
      </c>
      <c r="F281" s="8" t="s">
        <v>326</v>
      </c>
      <c r="G281" s="8" t="s">
        <v>136</v>
      </c>
      <c r="H281" s="8" t="s">
        <v>8670</v>
      </c>
      <c r="I281" s="8" t="s">
        <v>8910</v>
      </c>
      <c r="J281" s="8" t="s">
        <v>137</v>
      </c>
      <c r="K281" s="8" t="s">
        <v>8664</v>
      </c>
      <c r="L281" s="8"/>
      <c r="M281" s="8"/>
      <c r="N281" s="8" t="n">
        <v>25</v>
      </c>
      <c r="O281" s="8" t="n">
        <v>32</v>
      </c>
      <c r="P281" s="8" t="s">
        <v>120</v>
      </c>
    </row>
    <row r="282" customFormat="false" ht="15" hidden="false" customHeight="false" outlineLevel="0" collapsed="false">
      <c r="A282" s="8" t="s">
        <v>2236</v>
      </c>
      <c r="B282" s="8" t="s">
        <v>2237</v>
      </c>
      <c r="C282" s="8" t="s">
        <v>8665</v>
      </c>
      <c r="D282" s="8" t="s">
        <v>123</v>
      </c>
      <c r="E282" s="8" t="s">
        <v>51</v>
      </c>
      <c r="F282" s="8" t="s">
        <v>2027</v>
      </c>
      <c r="G282" s="8" t="s">
        <v>136</v>
      </c>
      <c r="H282" s="8" t="s">
        <v>8662</v>
      </c>
      <c r="I282" s="8" t="s">
        <v>9052</v>
      </c>
      <c r="J282" s="8" t="s">
        <v>177</v>
      </c>
      <c r="K282" s="8" t="s">
        <v>8664</v>
      </c>
      <c r="L282" s="8"/>
      <c r="M282" s="8"/>
      <c r="N282" s="8" t="n">
        <v>12</v>
      </c>
      <c r="O282" s="8" t="n">
        <v>35</v>
      </c>
      <c r="P282" s="8" t="s">
        <v>120</v>
      </c>
    </row>
    <row r="283" customFormat="false" ht="15" hidden="false" customHeight="false" outlineLevel="0" collapsed="false">
      <c r="A283" s="8" t="s">
        <v>2208</v>
      </c>
      <c r="B283" s="8" t="s">
        <v>2209</v>
      </c>
      <c r="C283" s="8" t="s">
        <v>8674</v>
      </c>
      <c r="D283" s="8" t="s">
        <v>132</v>
      </c>
      <c r="E283" s="8" t="s">
        <v>51</v>
      </c>
      <c r="F283" s="8" t="s">
        <v>326</v>
      </c>
      <c r="G283" s="8" t="s">
        <v>133</v>
      </c>
      <c r="H283" s="8" t="s">
        <v>8675</v>
      </c>
      <c r="I283" s="8" t="s">
        <v>9053</v>
      </c>
      <c r="J283" s="8" t="s">
        <v>204</v>
      </c>
      <c r="K283" s="8" t="s">
        <v>8664</v>
      </c>
      <c r="L283" s="8"/>
      <c r="M283" s="8"/>
      <c r="N283" s="8" t="n">
        <v>25</v>
      </c>
      <c r="O283" s="8" t="n">
        <v>24</v>
      </c>
      <c r="P283" s="8" t="s">
        <v>120</v>
      </c>
    </row>
    <row r="284" customFormat="false" ht="15" hidden="false" customHeight="false" outlineLevel="0" collapsed="false">
      <c r="A284" s="8" t="s">
        <v>232</v>
      </c>
      <c r="B284" s="8" t="s">
        <v>233</v>
      </c>
      <c r="C284" s="8" t="s">
        <v>8669</v>
      </c>
      <c r="D284" s="8" t="s">
        <v>117</v>
      </c>
      <c r="E284" s="8" t="s">
        <v>55</v>
      </c>
      <c r="F284" s="8" t="s">
        <v>55</v>
      </c>
      <c r="G284" s="8" t="s">
        <v>124</v>
      </c>
      <c r="H284" s="8" t="s">
        <v>8675</v>
      </c>
      <c r="I284" s="8" t="s">
        <v>9054</v>
      </c>
      <c r="J284" s="8" t="s">
        <v>180</v>
      </c>
      <c r="K284" s="8" t="s">
        <v>8664</v>
      </c>
      <c r="L284" s="8"/>
      <c r="M284" s="8"/>
      <c r="N284" s="8" t="n">
        <v>45</v>
      </c>
      <c r="O284" s="8" t="n">
        <v>513</v>
      </c>
      <c r="P284" s="8" t="s">
        <v>148</v>
      </c>
    </row>
    <row r="285" customFormat="false" ht="15" hidden="false" customHeight="false" outlineLevel="0" collapsed="false">
      <c r="A285" s="8" t="s">
        <v>603</v>
      </c>
      <c r="B285" s="8" t="s">
        <v>604</v>
      </c>
      <c r="C285" s="8" t="s">
        <v>8678</v>
      </c>
      <c r="D285" s="8" t="s">
        <v>117</v>
      </c>
      <c r="E285" s="8" t="s">
        <v>53</v>
      </c>
      <c r="F285" s="8" t="s">
        <v>55</v>
      </c>
      <c r="G285" s="8" t="s">
        <v>143</v>
      </c>
      <c r="H285" s="8" t="s">
        <v>8662</v>
      </c>
      <c r="I285" s="8" t="s">
        <v>8776</v>
      </c>
      <c r="J285" s="8" t="s">
        <v>125</v>
      </c>
      <c r="K285" s="8" t="s">
        <v>8664</v>
      </c>
      <c r="L285" s="8"/>
      <c r="M285" s="8"/>
      <c r="N285" s="8" t="n">
        <v>45</v>
      </c>
      <c r="O285" s="8" t="n">
        <v>170</v>
      </c>
      <c r="P285" s="8" t="s">
        <v>148</v>
      </c>
    </row>
    <row r="286" customFormat="false" ht="15" hidden="false" customHeight="false" outlineLevel="0" collapsed="false">
      <c r="A286" s="8" t="s">
        <v>2440</v>
      </c>
      <c r="B286" s="8" t="s">
        <v>2441</v>
      </c>
      <c r="C286" s="8" t="s">
        <v>8700</v>
      </c>
      <c r="D286" s="8" t="s">
        <v>123</v>
      </c>
      <c r="E286" s="8" t="s">
        <v>51</v>
      </c>
      <c r="F286" s="8" t="s">
        <v>2027</v>
      </c>
      <c r="G286" s="8" t="s">
        <v>154</v>
      </c>
      <c r="H286" s="8" t="s">
        <v>8662</v>
      </c>
      <c r="I286" s="8" t="s">
        <v>9055</v>
      </c>
      <c r="J286" s="8" t="s">
        <v>180</v>
      </c>
      <c r="K286" s="8" t="s">
        <v>8664</v>
      </c>
      <c r="L286" s="8"/>
      <c r="M286" s="8"/>
      <c r="N286" s="8" t="n">
        <v>12</v>
      </c>
      <c r="O286" s="8" t="n">
        <v>39</v>
      </c>
      <c r="P286" s="8" t="s">
        <v>120</v>
      </c>
    </row>
    <row r="287" customFormat="false" ht="15" hidden="false" customHeight="false" outlineLevel="0" collapsed="false">
      <c r="A287" s="8" t="s">
        <v>3042</v>
      </c>
      <c r="B287" s="8" t="s">
        <v>3043</v>
      </c>
      <c r="C287" s="8" t="s">
        <v>8669</v>
      </c>
      <c r="D287" s="8" t="s">
        <v>117</v>
      </c>
      <c r="E287" s="8" t="s">
        <v>51</v>
      </c>
      <c r="F287" s="8" t="s">
        <v>2027</v>
      </c>
      <c r="G287" s="8" t="s">
        <v>166</v>
      </c>
      <c r="H287" s="8" t="s">
        <v>8662</v>
      </c>
      <c r="I287" s="8" t="s">
        <v>9056</v>
      </c>
      <c r="J287" s="8" t="s">
        <v>137</v>
      </c>
      <c r="K287" s="8" t="s">
        <v>8664</v>
      </c>
      <c r="L287" s="8"/>
      <c r="M287" s="8"/>
      <c r="N287" s="8" t="n">
        <v>12</v>
      </c>
      <c r="O287" s="8" t="n">
        <v>29</v>
      </c>
      <c r="P287" s="8" t="s">
        <v>120</v>
      </c>
    </row>
    <row r="288" customFormat="false" ht="15" hidden="false" customHeight="false" outlineLevel="0" collapsed="false">
      <c r="A288" s="8" t="s">
        <v>3126</v>
      </c>
      <c r="B288" s="8" t="s">
        <v>3127</v>
      </c>
      <c r="C288" s="8" t="s">
        <v>8661</v>
      </c>
      <c r="D288" s="8" t="s">
        <v>117</v>
      </c>
      <c r="E288" s="8" t="s">
        <v>51</v>
      </c>
      <c r="F288" s="8" t="s">
        <v>326</v>
      </c>
      <c r="G288" s="8" t="s">
        <v>133</v>
      </c>
      <c r="H288" s="8" t="s">
        <v>8670</v>
      </c>
      <c r="I288" s="8" t="s">
        <v>9057</v>
      </c>
      <c r="J288" s="8" t="s">
        <v>144</v>
      </c>
      <c r="K288" s="8" t="s">
        <v>8664</v>
      </c>
      <c r="L288" s="8"/>
      <c r="M288" s="8"/>
      <c r="N288" s="8" t="n">
        <v>25</v>
      </c>
      <c r="O288" s="8" t="n">
        <v>11</v>
      </c>
      <c r="P288" s="8" t="s">
        <v>120</v>
      </c>
    </row>
    <row r="289" customFormat="false" ht="15" hidden="false" customHeight="false" outlineLevel="0" collapsed="false">
      <c r="A289" s="8" t="s">
        <v>3154</v>
      </c>
      <c r="B289" s="8" t="s">
        <v>3155</v>
      </c>
      <c r="C289" s="8" t="s">
        <v>8661</v>
      </c>
      <c r="D289" s="8" t="s">
        <v>123</v>
      </c>
      <c r="E289" s="8" t="s">
        <v>51</v>
      </c>
      <c r="F289" s="8" t="s">
        <v>2027</v>
      </c>
      <c r="G289" s="8" t="s">
        <v>166</v>
      </c>
      <c r="H289" s="8" t="s">
        <v>8662</v>
      </c>
      <c r="I289" s="8" t="s">
        <v>9058</v>
      </c>
      <c r="J289" s="8" t="s">
        <v>147</v>
      </c>
      <c r="K289" s="8" t="s">
        <v>8664</v>
      </c>
      <c r="L289" s="8"/>
      <c r="M289" s="8"/>
      <c r="N289" s="8" t="n">
        <v>12</v>
      </c>
      <c r="O289" s="8" t="n">
        <v>27</v>
      </c>
      <c r="P289" s="8" t="s">
        <v>120</v>
      </c>
    </row>
    <row r="290" customFormat="false" ht="15" hidden="false" customHeight="false" outlineLevel="0" collapsed="false">
      <c r="A290" s="8" t="s">
        <v>1781</v>
      </c>
      <c r="B290" s="8" t="s">
        <v>1782</v>
      </c>
      <c r="C290" s="8" t="s">
        <v>8700</v>
      </c>
      <c r="D290" s="8" t="s">
        <v>132</v>
      </c>
      <c r="E290" s="8" t="s">
        <v>53</v>
      </c>
      <c r="F290" s="8" t="s">
        <v>326</v>
      </c>
      <c r="G290" s="8" t="s">
        <v>143</v>
      </c>
      <c r="H290" s="8" t="s">
        <v>8675</v>
      </c>
      <c r="I290" s="8" t="s">
        <v>9059</v>
      </c>
      <c r="J290" s="8" t="s">
        <v>159</v>
      </c>
      <c r="K290" s="8" t="s">
        <v>8664</v>
      </c>
      <c r="L290" s="8"/>
      <c r="M290" s="8"/>
      <c r="N290" s="8" t="n">
        <v>25</v>
      </c>
      <c r="O290" s="8" t="n">
        <v>45</v>
      </c>
      <c r="P290" s="8" t="s">
        <v>120</v>
      </c>
    </row>
    <row r="291" customFormat="false" ht="15" hidden="false" customHeight="false" outlineLevel="0" collapsed="false">
      <c r="A291" s="8" t="s">
        <v>4568</v>
      </c>
      <c r="B291" s="8" t="s">
        <v>9060</v>
      </c>
      <c r="C291" s="8" t="s">
        <v>8678</v>
      </c>
      <c r="D291" s="8" t="s">
        <v>117</v>
      </c>
      <c r="E291" s="8" t="s">
        <v>51</v>
      </c>
      <c r="F291" s="8" t="s">
        <v>2027</v>
      </c>
      <c r="G291" s="8" t="s">
        <v>133</v>
      </c>
      <c r="H291" s="8" t="s">
        <v>8670</v>
      </c>
      <c r="I291" s="8" t="s">
        <v>9061</v>
      </c>
      <c r="J291" s="8"/>
      <c r="K291" s="8" t="s">
        <v>8690</v>
      </c>
      <c r="L291" s="8" t="s">
        <v>9062</v>
      </c>
      <c r="M291" s="8" t="s">
        <v>8696</v>
      </c>
      <c r="N291" s="8" t="n">
        <v>12</v>
      </c>
      <c r="O291" s="8" t="n">
        <v>17</v>
      </c>
      <c r="P291" s="8" t="s">
        <v>120</v>
      </c>
    </row>
    <row r="292" customFormat="false" ht="15" hidden="false" customHeight="false" outlineLevel="0" collapsed="false">
      <c r="A292" s="8" t="s">
        <v>1617</v>
      </c>
      <c r="B292" s="8" t="s">
        <v>1618</v>
      </c>
      <c r="C292" s="8" t="s">
        <v>8674</v>
      </c>
      <c r="D292" s="8" t="s">
        <v>132</v>
      </c>
      <c r="E292" s="8" t="s">
        <v>51</v>
      </c>
      <c r="F292" s="8" t="s">
        <v>326</v>
      </c>
      <c r="G292" s="8" t="s">
        <v>154</v>
      </c>
      <c r="H292" s="8" t="s">
        <v>8675</v>
      </c>
      <c r="I292" s="8" t="s">
        <v>9063</v>
      </c>
      <c r="J292" s="8" t="s">
        <v>159</v>
      </c>
      <c r="K292" s="8" t="s">
        <v>8664</v>
      </c>
      <c r="L292" s="8"/>
      <c r="M292" s="8"/>
      <c r="N292" s="8" t="n">
        <v>25</v>
      </c>
      <c r="O292" s="8" t="n">
        <v>39</v>
      </c>
      <c r="P292" s="8" t="s">
        <v>120</v>
      </c>
    </row>
    <row r="293" customFormat="false" ht="15" hidden="false" customHeight="false" outlineLevel="0" collapsed="false">
      <c r="A293" s="8" t="s">
        <v>3044</v>
      </c>
      <c r="B293" s="8" t="s">
        <v>3045</v>
      </c>
      <c r="C293" s="8" t="s">
        <v>8688</v>
      </c>
      <c r="D293" s="8" t="s">
        <v>123</v>
      </c>
      <c r="E293" s="8" t="s">
        <v>51</v>
      </c>
      <c r="F293" s="8" t="s">
        <v>2027</v>
      </c>
      <c r="G293" s="8" t="s">
        <v>136</v>
      </c>
      <c r="H293" s="8" t="s">
        <v>8666</v>
      </c>
      <c r="I293" s="8" t="s">
        <v>9005</v>
      </c>
      <c r="J293" s="8" t="s">
        <v>125</v>
      </c>
      <c r="K293" s="8" t="s">
        <v>8664</v>
      </c>
      <c r="L293" s="8"/>
      <c r="M293" s="8"/>
      <c r="N293" s="8" t="n">
        <v>12</v>
      </c>
      <c r="O293" s="8" t="n">
        <v>29</v>
      </c>
      <c r="P293" s="8" t="s">
        <v>120</v>
      </c>
    </row>
    <row r="294" customFormat="false" ht="15" hidden="false" customHeight="false" outlineLevel="0" collapsed="false">
      <c r="A294" s="8" t="s">
        <v>3852</v>
      </c>
      <c r="B294" s="8" t="s">
        <v>3853</v>
      </c>
      <c r="C294" s="8" t="s">
        <v>8669</v>
      </c>
      <c r="D294" s="8" t="s">
        <v>132</v>
      </c>
      <c r="E294" s="8" t="s">
        <v>51</v>
      </c>
      <c r="F294" s="8" t="s">
        <v>2027</v>
      </c>
      <c r="G294" s="8" t="s">
        <v>143</v>
      </c>
      <c r="H294" s="8" t="s">
        <v>8675</v>
      </c>
      <c r="I294" s="8" t="s">
        <v>9064</v>
      </c>
      <c r="J294" s="8" t="s">
        <v>140</v>
      </c>
      <c r="K294" s="8" t="s">
        <v>8664</v>
      </c>
      <c r="L294" s="8"/>
      <c r="M294" s="8"/>
      <c r="N294" s="8" t="n">
        <v>12</v>
      </c>
      <c r="O294" s="8" t="n">
        <v>14</v>
      </c>
      <c r="P294" s="8" t="s">
        <v>120</v>
      </c>
    </row>
    <row r="295" customFormat="false" ht="15" hidden="false" customHeight="false" outlineLevel="0" collapsed="false">
      <c r="A295" s="8" t="s">
        <v>977</v>
      </c>
      <c r="B295" s="8" t="s">
        <v>978</v>
      </c>
      <c r="C295" s="8" t="s">
        <v>8661</v>
      </c>
      <c r="D295" s="8" t="s">
        <v>132</v>
      </c>
      <c r="E295" s="8" t="s">
        <v>53</v>
      </c>
      <c r="F295" s="8" t="s">
        <v>326</v>
      </c>
      <c r="G295" s="8" t="s">
        <v>136</v>
      </c>
      <c r="H295" s="8" t="s">
        <v>8666</v>
      </c>
      <c r="I295" s="8" t="s">
        <v>9065</v>
      </c>
      <c r="J295" s="8" t="s">
        <v>204</v>
      </c>
      <c r="K295" s="8" t="s">
        <v>8664</v>
      </c>
      <c r="L295" s="8"/>
      <c r="M295" s="8"/>
      <c r="N295" s="8" t="n">
        <v>25</v>
      </c>
      <c r="O295" s="8" t="n">
        <v>167</v>
      </c>
      <c r="P295" s="8" t="s">
        <v>120</v>
      </c>
    </row>
    <row r="296" customFormat="false" ht="15" hidden="false" customHeight="false" outlineLevel="0" collapsed="false">
      <c r="A296" s="8" t="s">
        <v>200</v>
      </c>
      <c r="B296" s="8" t="s">
        <v>201</v>
      </c>
      <c r="C296" s="8" t="s">
        <v>8674</v>
      </c>
      <c r="D296" s="8" t="s">
        <v>132</v>
      </c>
      <c r="E296" s="8" t="s">
        <v>55</v>
      </c>
      <c r="F296" s="8" t="s">
        <v>55</v>
      </c>
      <c r="G296" s="8" t="s">
        <v>190</v>
      </c>
      <c r="H296" s="8" t="s">
        <v>8670</v>
      </c>
      <c r="I296" s="8" t="s">
        <v>8714</v>
      </c>
      <c r="J296" s="8" t="s">
        <v>185</v>
      </c>
      <c r="K296" s="8" t="s">
        <v>8664</v>
      </c>
      <c r="L296" s="8"/>
      <c r="M296" s="8"/>
      <c r="N296" s="8" t="n">
        <v>45</v>
      </c>
      <c r="O296" s="8" t="n">
        <v>560</v>
      </c>
      <c r="P296" s="8" t="s">
        <v>120</v>
      </c>
    </row>
    <row r="297" customFormat="false" ht="15" hidden="false" customHeight="false" outlineLevel="0" collapsed="false">
      <c r="A297" s="8" t="s">
        <v>2666</v>
      </c>
      <c r="B297" s="8" t="s">
        <v>2667</v>
      </c>
      <c r="C297" s="8" t="s">
        <v>8661</v>
      </c>
      <c r="D297" s="8" t="s">
        <v>123</v>
      </c>
      <c r="E297" s="8" t="s">
        <v>51</v>
      </c>
      <c r="F297" s="8" t="s">
        <v>2027</v>
      </c>
      <c r="G297" s="8" t="s">
        <v>223</v>
      </c>
      <c r="H297" s="8" t="s">
        <v>8670</v>
      </c>
      <c r="I297" s="8" t="s">
        <v>8737</v>
      </c>
      <c r="J297" s="8" t="s">
        <v>137</v>
      </c>
      <c r="K297" s="8" t="s">
        <v>8664</v>
      </c>
      <c r="L297" s="8"/>
      <c r="M297" s="8"/>
      <c r="N297" s="8" t="n">
        <v>12</v>
      </c>
      <c r="O297" s="8" t="n">
        <v>26</v>
      </c>
      <c r="P297" s="8" t="s">
        <v>120</v>
      </c>
    </row>
    <row r="298" customFormat="false" ht="15" hidden="false" customHeight="false" outlineLevel="0" collapsed="false">
      <c r="A298" s="8" t="s">
        <v>3256</v>
      </c>
      <c r="B298" s="8" t="s">
        <v>3257</v>
      </c>
      <c r="C298" s="8" t="s">
        <v>8665</v>
      </c>
      <c r="D298" s="8" t="s">
        <v>117</v>
      </c>
      <c r="E298" s="8" t="s">
        <v>51</v>
      </c>
      <c r="F298" s="8" t="s">
        <v>2027</v>
      </c>
      <c r="G298" s="8" t="s">
        <v>154</v>
      </c>
      <c r="H298" s="8" t="s">
        <v>8662</v>
      </c>
      <c r="I298" s="8" t="s">
        <v>9066</v>
      </c>
      <c r="J298" s="8" t="s">
        <v>177</v>
      </c>
      <c r="K298" s="8" t="s">
        <v>8664</v>
      </c>
      <c r="L298" s="8"/>
      <c r="M298" s="8"/>
      <c r="N298" s="8" t="n">
        <v>12</v>
      </c>
      <c r="O298" s="8" t="n">
        <v>25</v>
      </c>
      <c r="P298" s="8" t="s">
        <v>120</v>
      </c>
    </row>
    <row r="299" customFormat="false" ht="15" hidden="false" customHeight="false" outlineLevel="0" collapsed="false">
      <c r="A299" s="8" t="s">
        <v>4518</v>
      </c>
      <c r="B299" s="8" t="s">
        <v>9067</v>
      </c>
      <c r="C299" s="8" t="s">
        <v>8665</v>
      </c>
      <c r="D299" s="8" t="s">
        <v>117</v>
      </c>
      <c r="E299" s="8" t="s">
        <v>51</v>
      </c>
      <c r="F299" s="8" t="s">
        <v>2027</v>
      </c>
      <c r="G299" s="8" t="s">
        <v>190</v>
      </c>
      <c r="H299" s="8" t="s">
        <v>8675</v>
      </c>
      <c r="I299" s="8" t="s">
        <v>9068</v>
      </c>
      <c r="J299" s="8"/>
      <c r="K299" s="8" t="s">
        <v>8690</v>
      </c>
      <c r="L299" s="8" t="s">
        <v>9069</v>
      </c>
      <c r="M299" s="8" t="s">
        <v>8795</v>
      </c>
      <c r="N299" s="8" t="n">
        <v>12</v>
      </c>
      <c r="O299" s="8" t="n">
        <v>33</v>
      </c>
      <c r="P299" s="8" t="s">
        <v>120</v>
      </c>
    </row>
    <row r="300" customFormat="false" ht="15" hidden="false" customHeight="false" outlineLevel="0" collapsed="false">
      <c r="A300" s="8" t="s">
        <v>3652</v>
      </c>
      <c r="B300" s="8" t="s">
        <v>3653</v>
      </c>
      <c r="C300" s="8" t="s">
        <v>8688</v>
      </c>
      <c r="D300" s="8" t="s">
        <v>123</v>
      </c>
      <c r="E300" s="8" t="s">
        <v>51</v>
      </c>
      <c r="F300" s="8" t="s">
        <v>2027</v>
      </c>
      <c r="G300" s="8" t="s">
        <v>223</v>
      </c>
      <c r="H300" s="8" t="s">
        <v>8670</v>
      </c>
      <c r="I300" s="8" t="s">
        <v>8752</v>
      </c>
      <c r="J300" s="8" t="s">
        <v>119</v>
      </c>
      <c r="K300" s="8" t="s">
        <v>8664</v>
      </c>
      <c r="L300" s="8"/>
      <c r="M300" s="8"/>
      <c r="N300" s="8" t="n">
        <v>12</v>
      </c>
      <c r="O300" s="8" t="n">
        <v>18</v>
      </c>
      <c r="P300" s="8" t="s">
        <v>120</v>
      </c>
    </row>
    <row r="301" customFormat="false" ht="15" hidden="false" customHeight="false" outlineLevel="0" collapsed="false">
      <c r="A301" s="8" t="s">
        <v>3596</v>
      </c>
      <c r="B301" s="8" t="s">
        <v>3597</v>
      </c>
      <c r="C301" s="8" t="s">
        <v>8661</v>
      </c>
      <c r="D301" s="8" t="s">
        <v>132</v>
      </c>
      <c r="E301" s="8" t="s">
        <v>51</v>
      </c>
      <c r="F301" s="8" t="s">
        <v>2027</v>
      </c>
      <c r="G301" s="8" t="s">
        <v>124</v>
      </c>
      <c r="H301" s="8" t="s">
        <v>8666</v>
      </c>
      <c r="I301" s="8" t="s">
        <v>9070</v>
      </c>
      <c r="J301" s="8" t="s">
        <v>147</v>
      </c>
      <c r="K301" s="8" t="s">
        <v>8664</v>
      </c>
      <c r="L301" s="8"/>
      <c r="M301" s="8"/>
      <c r="N301" s="8" t="n">
        <v>12</v>
      </c>
      <c r="O301" s="8" t="n">
        <v>19</v>
      </c>
      <c r="P301" s="8" t="s">
        <v>120</v>
      </c>
    </row>
    <row r="302" customFormat="false" ht="15" hidden="false" customHeight="false" outlineLevel="0" collapsed="false">
      <c r="A302" s="8" t="s">
        <v>2406</v>
      </c>
      <c r="B302" s="8" t="s">
        <v>2407</v>
      </c>
      <c r="C302" s="8" t="s">
        <v>8678</v>
      </c>
      <c r="D302" s="8" t="s">
        <v>132</v>
      </c>
      <c r="E302" s="8" t="s">
        <v>51</v>
      </c>
      <c r="F302" s="8" t="s">
        <v>2027</v>
      </c>
      <c r="G302" s="8" t="s">
        <v>133</v>
      </c>
      <c r="H302" s="8" t="s">
        <v>8666</v>
      </c>
      <c r="I302" s="8" t="s">
        <v>9071</v>
      </c>
      <c r="J302" s="8" t="s">
        <v>204</v>
      </c>
      <c r="K302" s="8" t="s">
        <v>8664</v>
      </c>
      <c r="L302" s="8"/>
      <c r="M302" s="8"/>
      <c r="N302" s="8" t="n">
        <v>12</v>
      </c>
      <c r="O302" s="8" t="n">
        <v>31</v>
      </c>
      <c r="P302" s="8" t="s">
        <v>120</v>
      </c>
    </row>
    <row r="303" customFormat="false" ht="15" hidden="false" customHeight="false" outlineLevel="0" collapsed="false">
      <c r="A303" s="8" t="s">
        <v>4575</v>
      </c>
      <c r="B303" s="8" t="s">
        <v>9072</v>
      </c>
      <c r="C303" s="8" t="s">
        <v>8661</v>
      </c>
      <c r="D303" s="8" t="s">
        <v>132</v>
      </c>
      <c r="E303" s="8" t="s">
        <v>51</v>
      </c>
      <c r="F303" s="8" t="s">
        <v>2027</v>
      </c>
      <c r="G303" s="8" t="s">
        <v>190</v>
      </c>
      <c r="H303" s="8" t="s">
        <v>8662</v>
      </c>
      <c r="I303" s="8" t="s">
        <v>9073</v>
      </c>
      <c r="J303" s="8"/>
      <c r="K303" s="8" t="s">
        <v>8690</v>
      </c>
      <c r="L303" s="8" t="s">
        <v>9074</v>
      </c>
      <c r="M303" s="8" t="s">
        <v>8705</v>
      </c>
      <c r="N303" s="8" t="n">
        <v>12</v>
      </c>
      <c r="O303" s="8" t="n">
        <v>14</v>
      </c>
      <c r="P303" s="8" t="s">
        <v>148</v>
      </c>
    </row>
    <row r="304" customFormat="false" ht="15" hidden="false" customHeight="false" outlineLevel="0" collapsed="false">
      <c r="A304" s="8" t="s">
        <v>3854</v>
      </c>
      <c r="B304" s="8" t="s">
        <v>3855</v>
      </c>
      <c r="C304" s="8" t="s">
        <v>8700</v>
      </c>
      <c r="D304" s="8" t="s">
        <v>132</v>
      </c>
      <c r="E304" s="8" t="s">
        <v>51</v>
      </c>
      <c r="F304" s="8" t="s">
        <v>2027</v>
      </c>
      <c r="G304" s="8" t="s">
        <v>190</v>
      </c>
      <c r="H304" s="8" t="s">
        <v>8662</v>
      </c>
      <c r="I304" s="8" t="s">
        <v>9075</v>
      </c>
      <c r="J304" s="8" t="s">
        <v>159</v>
      </c>
      <c r="K304" s="8" t="s">
        <v>8664</v>
      </c>
      <c r="L304" s="8"/>
      <c r="M304" s="8"/>
      <c r="N304" s="8" t="n">
        <v>12</v>
      </c>
      <c r="O304" s="8" t="n">
        <v>14</v>
      </c>
      <c r="P304" s="8" t="s">
        <v>120</v>
      </c>
    </row>
    <row r="305" customFormat="false" ht="15" hidden="false" customHeight="false" outlineLevel="0" collapsed="false">
      <c r="A305" s="8" t="s">
        <v>4086</v>
      </c>
      <c r="B305" s="8" t="s">
        <v>4087</v>
      </c>
      <c r="C305" s="8" t="s">
        <v>8665</v>
      </c>
      <c r="D305" s="8" t="s">
        <v>132</v>
      </c>
      <c r="E305" s="8" t="s">
        <v>51</v>
      </c>
      <c r="F305" s="8" t="s">
        <v>2027</v>
      </c>
      <c r="G305" s="8" t="s">
        <v>124</v>
      </c>
      <c r="H305" s="8" t="s">
        <v>8670</v>
      </c>
      <c r="I305" s="8" t="s">
        <v>9076</v>
      </c>
      <c r="J305" s="8" t="s">
        <v>129</v>
      </c>
      <c r="K305" s="8" t="s">
        <v>8664</v>
      </c>
      <c r="L305" s="8"/>
      <c r="M305" s="8"/>
      <c r="N305" s="8" t="n">
        <v>12</v>
      </c>
      <c r="O305" s="8" t="n">
        <v>13</v>
      </c>
      <c r="P305" s="8" t="s">
        <v>120</v>
      </c>
    </row>
    <row r="306" customFormat="false" ht="15" hidden="false" customHeight="false" outlineLevel="0" collapsed="false">
      <c r="A306" s="8" t="s">
        <v>2924</v>
      </c>
      <c r="B306" s="8" t="s">
        <v>2925</v>
      </c>
      <c r="C306" s="8" t="s">
        <v>8669</v>
      </c>
      <c r="D306" s="8" t="s">
        <v>123</v>
      </c>
      <c r="E306" s="8" t="s">
        <v>51</v>
      </c>
      <c r="F306" s="8" t="s">
        <v>2027</v>
      </c>
      <c r="G306" s="8" t="s">
        <v>118</v>
      </c>
      <c r="H306" s="8" t="s">
        <v>8675</v>
      </c>
      <c r="I306" s="8" t="s">
        <v>9077</v>
      </c>
      <c r="J306" s="8" t="s">
        <v>185</v>
      </c>
      <c r="K306" s="8" t="s">
        <v>8664</v>
      </c>
      <c r="L306" s="8"/>
      <c r="M306" s="8"/>
      <c r="N306" s="8" t="n">
        <v>12</v>
      </c>
      <c r="O306" s="8" t="n">
        <v>31</v>
      </c>
      <c r="P306" s="8" t="s">
        <v>120</v>
      </c>
    </row>
    <row r="307" customFormat="false" ht="15" hidden="false" customHeight="false" outlineLevel="0" collapsed="false">
      <c r="A307" s="8" t="s">
        <v>1773</v>
      </c>
      <c r="B307" s="8" t="s">
        <v>1774</v>
      </c>
      <c r="C307" s="8" t="s">
        <v>8678</v>
      </c>
      <c r="D307" s="8" t="s">
        <v>132</v>
      </c>
      <c r="E307" s="8" t="s">
        <v>53</v>
      </c>
      <c r="F307" s="8" t="s">
        <v>326</v>
      </c>
      <c r="G307" s="8" t="s">
        <v>154</v>
      </c>
      <c r="H307" s="8" t="s">
        <v>8670</v>
      </c>
      <c r="I307" s="8" t="s">
        <v>8970</v>
      </c>
      <c r="J307" s="8" t="s">
        <v>119</v>
      </c>
      <c r="K307" s="8" t="s">
        <v>8664</v>
      </c>
      <c r="L307" s="8"/>
      <c r="M307" s="8"/>
      <c r="N307" s="8" t="n">
        <v>25</v>
      </c>
      <c r="O307" s="8" t="n">
        <v>58</v>
      </c>
      <c r="P307" s="8" t="s">
        <v>120</v>
      </c>
    </row>
    <row r="308" customFormat="false" ht="15" hidden="false" customHeight="false" outlineLevel="0" collapsed="false">
      <c r="A308" s="8" t="s">
        <v>3856</v>
      </c>
      <c r="B308" s="8" t="s">
        <v>3857</v>
      </c>
      <c r="C308" s="8" t="s">
        <v>8700</v>
      </c>
      <c r="D308" s="8" t="s">
        <v>117</v>
      </c>
      <c r="E308" s="8" t="s">
        <v>51</v>
      </c>
      <c r="F308" s="8" t="s">
        <v>2027</v>
      </c>
      <c r="G308" s="8" t="s">
        <v>151</v>
      </c>
      <c r="H308" s="8" t="s">
        <v>8666</v>
      </c>
      <c r="I308" s="8" t="s">
        <v>9078</v>
      </c>
      <c r="J308" s="8" t="s">
        <v>125</v>
      </c>
      <c r="K308" s="8" t="s">
        <v>8664</v>
      </c>
      <c r="L308" s="8"/>
      <c r="M308" s="8"/>
      <c r="N308" s="8" t="n">
        <v>12</v>
      </c>
      <c r="O308" s="8" t="n">
        <v>14</v>
      </c>
      <c r="P308" s="8" t="s">
        <v>120</v>
      </c>
    </row>
    <row r="309" customFormat="false" ht="15" hidden="false" customHeight="false" outlineLevel="0" collapsed="false">
      <c r="A309" s="8" t="s">
        <v>687</v>
      </c>
      <c r="B309" s="8" t="s">
        <v>688</v>
      </c>
      <c r="C309" s="8" t="s">
        <v>8661</v>
      </c>
      <c r="D309" s="8" t="s">
        <v>123</v>
      </c>
      <c r="E309" s="8" t="s">
        <v>53</v>
      </c>
      <c r="F309" s="8" t="s">
        <v>326</v>
      </c>
      <c r="G309" s="8" t="s">
        <v>143</v>
      </c>
      <c r="H309" s="8" t="s">
        <v>8662</v>
      </c>
      <c r="I309" s="8" t="s">
        <v>9079</v>
      </c>
      <c r="J309" s="8" t="s">
        <v>140</v>
      </c>
      <c r="K309" s="8" t="s">
        <v>8664</v>
      </c>
      <c r="L309" s="8"/>
      <c r="M309" s="8"/>
      <c r="N309" s="8" t="n">
        <v>25</v>
      </c>
      <c r="O309" s="8" t="n">
        <v>192</v>
      </c>
      <c r="P309" s="8" t="s">
        <v>120</v>
      </c>
    </row>
    <row r="310" customFormat="false" ht="15" hidden="false" customHeight="false" outlineLevel="0" collapsed="false">
      <c r="A310" s="8" t="s">
        <v>2668</v>
      </c>
      <c r="B310" s="8" t="s">
        <v>2669</v>
      </c>
      <c r="C310" s="8" t="s">
        <v>8661</v>
      </c>
      <c r="D310" s="8" t="s">
        <v>117</v>
      </c>
      <c r="E310" s="8" t="s">
        <v>51</v>
      </c>
      <c r="F310" s="8" t="s">
        <v>2027</v>
      </c>
      <c r="G310" s="8" t="s">
        <v>223</v>
      </c>
      <c r="H310" s="8" t="s">
        <v>8670</v>
      </c>
      <c r="I310" s="8" t="s">
        <v>9078</v>
      </c>
      <c r="J310" s="8" t="s">
        <v>125</v>
      </c>
      <c r="K310" s="8" t="s">
        <v>8664</v>
      </c>
      <c r="L310" s="8"/>
      <c r="M310" s="8"/>
      <c r="N310" s="8" t="n">
        <v>12</v>
      </c>
      <c r="O310" s="8" t="n">
        <v>25</v>
      </c>
      <c r="P310" s="8" t="s">
        <v>120</v>
      </c>
    </row>
    <row r="311" customFormat="false" ht="15" hidden="false" customHeight="false" outlineLevel="0" collapsed="false">
      <c r="A311" s="8" t="s">
        <v>2328</v>
      </c>
      <c r="B311" s="8" t="s">
        <v>2329</v>
      </c>
      <c r="C311" s="8" t="s">
        <v>8669</v>
      </c>
      <c r="D311" s="8" t="s">
        <v>123</v>
      </c>
      <c r="E311" s="8" t="s">
        <v>51</v>
      </c>
      <c r="F311" s="8" t="s">
        <v>326</v>
      </c>
      <c r="G311" s="8" t="s">
        <v>143</v>
      </c>
      <c r="H311" s="8" t="s">
        <v>8666</v>
      </c>
      <c r="I311" s="8" t="s">
        <v>8885</v>
      </c>
      <c r="J311" s="8" t="s">
        <v>159</v>
      </c>
      <c r="K311" s="8" t="s">
        <v>8664</v>
      </c>
      <c r="L311" s="8"/>
      <c r="M311" s="8"/>
      <c r="N311" s="8" t="n">
        <v>25</v>
      </c>
      <c r="O311" s="8" t="n">
        <v>18</v>
      </c>
      <c r="P311" s="8" t="s">
        <v>120</v>
      </c>
    </row>
    <row r="312" customFormat="false" ht="15" hidden="false" customHeight="false" outlineLevel="0" collapsed="false">
      <c r="A312" s="8" t="s">
        <v>9080</v>
      </c>
      <c r="B312" s="8" t="s">
        <v>9081</v>
      </c>
      <c r="C312" s="8" t="s">
        <v>8680</v>
      </c>
      <c r="D312" s="8" t="s">
        <v>128</v>
      </c>
      <c r="E312" s="8" t="s">
        <v>51</v>
      </c>
      <c r="F312" s="8" t="s">
        <v>326</v>
      </c>
      <c r="G312" s="8" t="s">
        <v>136</v>
      </c>
      <c r="H312" s="8" t="s">
        <v>8670</v>
      </c>
      <c r="I312" s="8" t="s">
        <v>9082</v>
      </c>
      <c r="J312" s="8"/>
      <c r="K312" s="8" t="s">
        <v>8690</v>
      </c>
      <c r="L312" s="8" t="s">
        <v>9083</v>
      </c>
      <c r="M312" s="8" t="s">
        <v>8692</v>
      </c>
      <c r="N312" s="8" t="n">
        <v>25</v>
      </c>
      <c r="O312" s="8" t="n">
        <v>14</v>
      </c>
      <c r="P312" s="8" t="s">
        <v>120</v>
      </c>
    </row>
    <row r="313" customFormat="false" ht="15" hidden="false" customHeight="false" outlineLevel="0" collapsed="false">
      <c r="A313" s="8" t="s">
        <v>509</v>
      </c>
      <c r="B313" s="8" t="s">
        <v>510</v>
      </c>
      <c r="C313" s="8" t="s">
        <v>8669</v>
      </c>
      <c r="D313" s="8" t="s">
        <v>132</v>
      </c>
      <c r="E313" s="8" t="s">
        <v>53</v>
      </c>
      <c r="F313" s="8" t="s">
        <v>55</v>
      </c>
      <c r="G313" s="8" t="s">
        <v>124</v>
      </c>
      <c r="H313" s="8" t="s">
        <v>8662</v>
      </c>
      <c r="I313" s="8" t="s">
        <v>9084</v>
      </c>
      <c r="J313" s="8" t="s">
        <v>125</v>
      </c>
      <c r="K313" s="8" t="s">
        <v>8664</v>
      </c>
      <c r="L313" s="8"/>
      <c r="M313" s="8"/>
      <c r="N313" s="8" t="n">
        <v>45</v>
      </c>
      <c r="O313" s="8" t="n">
        <v>186</v>
      </c>
      <c r="P313" s="8" t="s">
        <v>148</v>
      </c>
    </row>
    <row r="314" customFormat="false" ht="15" hidden="false" customHeight="false" outlineLevel="0" collapsed="false">
      <c r="A314" s="8" t="s">
        <v>1021</v>
      </c>
      <c r="B314" s="8" t="s">
        <v>1022</v>
      </c>
      <c r="C314" s="8" t="s">
        <v>8665</v>
      </c>
      <c r="D314" s="8" t="s">
        <v>123</v>
      </c>
      <c r="E314" s="8" t="s">
        <v>53</v>
      </c>
      <c r="F314" s="8" t="s">
        <v>326</v>
      </c>
      <c r="G314" s="8" t="s">
        <v>118</v>
      </c>
      <c r="H314" s="8" t="s">
        <v>8675</v>
      </c>
      <c r="I314" s="8" t="s">
        <v>9085</v>
      </c>
      <c r="J314" s="8" t="s">
        <v>204</v>
      </c>
      <c r="K314" s="8" t="s">
        <v>8664</v>
      </c>
      <c r="L314" s="8"/>
      <c r="M314" s="8"/>
      <c r="N314" s="8" t="n">
        <v>25</v>
      </c>
      <c r="O314" s="8" t="n">
        <v>162</v>
      </c>
      <c r="P314" s="8" t="s">
        <v>148</v>
      </c>
    </row>
    <row r="315" customFormat="false" ht="15" hidden="false" customHeight="false" outlineLevel="0" collapsed="false">
      <c r="A315" s="8" t="s">
        <v>3698</v>
      </c>
      <c r="B315" s="8" t="s">
        <v>3699</v>
      </c>
      <c r="C315" s="8" t="s">
        <v>8674</v>
      </c>
      <c r="D315" s="8" t="s">
        <v>117</v>
      </c>
      <c r="E315" s="8" t="s">
        <v>51</v>
      </c>
      <c r="F315" s="8" t="s">
        <v>2027</v>
      </c>
      <c r="G315" s="8" t="s">
        <v>118</v>
      </c>
      <c r="H315" s="8" t="s">
        <v>8670</v>
      </c>
      <c r="I315" s="8" t="s">
        <v>9086</v>
      </c>
      <c r="J315" s="8" t="s">
        <v>129</v>
      </c>
      <c r="K315" s="8" t="s">
        <v>8664</v>
      </c>
      <c r="L315" s="8"/>
      <c r="M315" s="8"/>
      <c r="N315" s="8" t="n">
        <v>12</v>
      </c>
      <c r="O315" s="8" t="n">
        <v>11</v>
      </c>
      <c r="P315" s="8" t="s">
        <v>120</v>
      </c>
    </row>
    <row r="316" customFormat="false" ht="15" hidden="false" customHeight="false" outlineLevel="0" collapsed="false">
      <c r="A316" s="8" t="s">
        <v>4024</v>
      </c>
      <c r="B316" s="8" t="s">
        <v>4025</v>
      </c>
      <c r="C316" s="8" t="s">
        <v>8678</v>
      </c>
      <c r="D316" s="8" t="s">
        <v>117</v>
      </c>
      <c r="E316" s="8" t="s">
        <v>51</v>
      </c>
      <c r="F316" s="8" t="s">
        <v>2027</v>
      </c>
      <c r="G316" s="8" t="s">
        <v>223</v>
      </c>
      <c r="H316" s="8" t="s">
        <v>8670</v>
      </c>
      <c r="I316" s="8" t="s">
        <v>9087</v>
      </c>
      <c r="J316" s="8" t="s">
        <v>140</v>
      </c>
      <c r="K316" s="8" t="s">
        <v>8664</v>
      </c>
      <c r="L316" s="8"/>
      <c r="M316" s="8"/>
      <c r="N316" s="8" t="n">
        <v>12</v>
      </c>
      <c r="O316" s="8" t="n">
        <v>11</v>
      </c>
      <c r="P316" s="8" t="s">
        <v>120</v>
      </c>
    </row>
    <row r="317" customFormat="false" ht="15" hidden="false" customHeight="false" outlineLevel="0" collapsed="false">
      <c r="A317" s="8" t="s">
        <v>931</v>
      </c>
      <c r="B317" s="8" t="s">
        <v>932</v>
      </c>
      <c r="C317" s="8" t="s">
        <v>8678</v>
      </c>
      <c r="D317" s="8" t="s">
        <v>123</v>
      </c>
      <c r="E317" s="8" t="s">
        <v>53</v>
      </c>
      <c r="F317" s="8" t="s">
        <v>326</v>
      </c>
      <c r="G317" s="8" t="s">
        <v>136</v>
      </c>
      <c r="H317" s="8" t="s">
        <v>8675</v>
      </c>
      <c r="I317" s="8" t="s">
        <v>9088</v>
      </c>
      <c r="J317" s="8" t="s">
        <v>137</v>
      </c>
      <c r="K317" s="8" t="s">
        <v>8664</v>
      </c>
      <c r="L317" s="8"/>
      <c r="M317" s="8"/>
      <c r="N317" s="8" t="n">
        <v>25</v>
      </c>
      <c r="O317" s="8" t="n">
        <v>177</v>
      </c>
      <c r="P317" s="8" t="s">
        <v>120</v>
      </c>
    </row>
    <row r="318" customFormat="false" ht="15" hidden="false" customHeight="false" outlineLevel="0" collapsed="false">
      <c r="A318" s="8" t="s">
        <v>3326</v>
      </c>
      <c r="B318" s="8" t="s">
        <v>3327</v>
      </c>
      <c r="C318" s="8" t="s">
        <v>8688</v>
      </c>
      <c r="D318" s="8" t="s">
        <v>123</v>
      </c>
      <c r="E318" s="8" t="s">
        <v>51</v>
      </c>
      <c r="F318" s="8" t="s">
        <v>2027</v>
      </c>
      <c r="G318" s="8" t="s">
        <v>136</v>
      </c>
      <c r="H318" s="8" t="s">
        <v>8662</v>
      </c>
      <c r="I318" s="8" t="s">
        <v>8818</v>
      </c>
      <c r="J318" s="8" t="s">
        <v>185</v>
      </c>
      <c r="K318" s="8" t="s">
        <v>8664</v>
      </c>
      <c r="L318" s="8"/>
      <c r="M318" s="8"/>
      <c r="N318" s="8" t="n">
        <v>12</v>
      </c>
      <c r="O318" s="8" t="n">
        <v>24</v>
      </c>
      <c r="P318" s="8" t="s">
        <v>120</v>
      </c>
    </row>
    <row r="319" customFormat="false" ht="15" hidden="false" customHeight="false" outlineLevel="0" collapsed="false">
      <c r="A319" s="8" t="s">
        <v>1535</v>
      </c>
      <c r="B319" s="8" t="s">
        <v>1536</v>
      </c>
      <c r="C319" s="8" t="s">
        <v>8674</v>
      </c>
      <c r="D319" s="8" t="s">
        <v>117</v>
      </c>
      <c r="E319" s="8" t="s">
        <v>53</v>
      </c>
      <c r="F319" s="8" t="s">
        <v>326</v>
      </c>
      <c r="G319" s="8" t="s">
        <v>151</v>
      </c>
      <c r="H319" s="8" t="s">
        <v>8670</v>
      </c>
      <c r="I319" s="8" t="s">
        <v>9089</v>
      </c>
      <c r="J319" s="8" t="s">
        <v>204</v>
      </c>
      <c r="K319" s="8" t="s">
        <v>8664</v>
      </c>
      <c r="L319" s="8"/>
      <c r="M319" s="8"/>
      <c r="N319" s="8" t="n">
        <v>25</v>
      </c>
      <c r="O319" s="8" t="n">
        <v>86</v>
      </c>
      <c r="P319" s="8" t="s">
        <v>120</v>
      </c>
    </row>
    <row r="320" customFormat="false" ht="15" hidden="false" customHeight="false" outlineLevel="0" collapsed="false">
      <c r="A320" s="8" t="s">
        <v>9090</v>
      </c>
      <c r="B320" s="8" t="s">
        <v>9091</v>
      </c>
      <c r="C320" s="8" t="s">
        <v>8674</v>
      </c>
      <c r="D320" s="8" t="s">
        <v>123</v>
      </c>
      <c r="E320" s="8" t="s">
        <v>51</v>
      </c>
      <c r="F320" s="8" t="s">
        <v>326</v>
      </c>
      <c r="G320" s="8" t="s">
        <v>118</v>
      </c>
      <c r="H320" s="8" t="s">
        <v>8675</v>
      </c>
      <c r="I320" s="8" t="s">
        <v>9092</v>
      </c>
      <c r="J320" s="8"/>
      <c r="K320" s="8" t="s">
        <v>8690</v>
      </c>
      <c r="L320" s="8" t="s">
        <v>9093</v>
      </c>
      <c r="M320" s="8" t="s">
        <v>8692</v>
      </c>
      <c r="N320" s="8" t="n">
        <v>25</v>
      </c>
      <c r="O320" s="8" t="n">
        <v>23</v>
      </c>
      <c r="P320" s="8" t="s">
        <v>120</v>
      </c>
    </row>
    <row r="321" customFormat="false" ht="15" hidden="false" customHeight="false" outlineLevel="0" collapsed="false">
      <c r="A321" s="8" t="s">
        <v>1277</v>
      </c>
      <c r="B321" s="8" t="s">
        <v>1278</v>
      </c>
      <c r="C321" s="8" t="s">
        <v>8674</v>
      </c>
      <c r="D321" s="8" t="s">
        <v>117</v>
      </c>
      <c r="E321" s="8" t="s">
        <v>53</v>
      </c>
      <c r="F321" s="8" t="s">
        <v>326</v>
      </c>
      <c r="G321" s="8" t="s">
        <v>166</v>
      </c>
      <c r="H321" s="8" t="s">
        <v>8666</v>
      </c>
      <c r="I321" s="8" t="s">
        <v>9094</v>
      </c>
      <c r="J321" s="8" t="s">
        <v>129</v>
      </c>
      <c r="K321" s="8" t="s">
        <v>8664</v>
      </c>
      <c r="L321" s="8"/>
      <c r="M321" s="8"/>
      <c r="N321" s="8" t="n">
        <v>25</v>
      </c>
      <c r="O321" s="8" t="n">
        <v>126</v>
      </c>
      <c r="P321" s="8" t="s">
        <v>148</v>
      </c>
    </row>
    <row r="322" customFormat="false" ht="15" hidden="false" customHeight="false" outlineLevel="0" collapsed="false">
      <c r="A322" s="8" t="s">
        <v>2926</v>
      </c>
      <c r="B322" s="8" t="s">
        <v>2927</v>
      </c>
      <c r="C322" s="8" t="s">
        <v>8674</v>
      </c>
      <c r="D322" s="8" t="s">
        <v>123</v>
      </c>
      <c r="E322" s="8" t="s">
        <v>51</v>
      </c>
      <c r="F322" s="8" t="s">
        <v>2027</v>
      </c>
      <c r="G322" s="8" t="s">
        <v>151</v>
      </c>
      <c r="H322" s="8" t="s">
        <v>8662</v>
      </c>
      <c r="I322" s="8" t="s">
        <v>9095</v>
      </c>
      <c r="J322" s="8" t="s">
        <v>180</v>
      </c>
      <c r="K322" s="8" t="s">
        <v>8664</v>
      </c>
      <c r="L322" s="8"/>
      <c r="M322" s="8"/>
      <c r="N322" s="8" t="n">
        <v>12</v>
      </c>
      <c r="O322" s="8" t="n">
        <v>31</v>
      </c>
      <c r="P322" s="8" t="s">
        <v>120</v>
      </c>
    </row>
    <row r="323" customFormat="false" ht="15" hidden="false" customHeight="false" outlineLevel="0" collapsed="false">
      <c r="A323" s="8" t="s">
        <v>9096</v>
      </c>
      <c r="B323" s="8" t="s">
        <v>9097</v>
      </c>
      <c r="C323" s="8" t="s">
        <v>8674</v>
      </c>
      <c r="D323" s="8" t="s">
        <v>132</v>
      </c>
      <c r="E323" s="8" t="s">
        <v>51</v>
      </c>
      <c r="F323" s="8" t="s">
        <v>2027</v>
      </c>
      <c r="G323" s="8" t="s">
        <v>151</v>
      </c>
      <c r="H323" s="8" t="s">
        <v>8662</v>
      </c>
      <c r="I323" s="8" t="s">
        <v>9098</v>
      </c>
      <c r="J323" s="8"/>
      <c r="K323" s="8" t="s">
        <v>8690</v>
      </c>
      <c r="L323" s="8" t="s">
        <v>9099</v>
      </c>
      <c r="M323" s="8" t="s">
        <v>8692</v>
      </c>
      <c r="N323" s="8" t="n">
        <v>12</v>
      </c>
      <c r="O323" s="8" t="n">
        <v>25</v>
      </c>
      <c r="P323" s="8" t="s">
        <v>120</v>
      </c>
    </row>
    <row r="324" customFormat="false" ht="15" hidden="false" customHeight="false" outlineLevel="0" collapsed="false">
      <c r="A324" s="8" t="s">
        <v>3982</v>
      </c>
      <c r="B324" s="8" t="s">
        <v>3983</v>
      </c>
      <c r="C324" s="8" t="s">
        <v>8674</v>
      </c>
      <c r="D324" s="8" t="s">
        <v>132</v>
      </c>
      <c r="E324" s="8" t="s">
        <v>51</v>
      </c>
      <c r="F324" s="8" t="s">
        <v>2027</v>
      </c>
      <c r="G324" s="8" t="s">
        <v>151</v>
      </c>
      <c r="H324" s="8" t="s">
        <v>8675</v>
      </c>
      <c r="I324" s="8" t="s">
        <v>9100</v>
      </c>
      <c r="J324" s="8" t="s">
        <v>204</v>
      </c>
      <c r="K324" s="8" t="s">
        <v>8664</v>
      </c>
      <c r="L324" s="8"/>
      <c r="M324" s="8"/>
      <c r="N324" s="8" t="n">
        <v>12</v>
      </c>
      <c r="O324" s="8" t="n">
        <v>12</v>
      </c>
      <c r="P324" s="8" t="s">
        <v>120</v>
      </c>
    </row>
    <row r="325" customFormat="false" ht="15" hidden="false" customHeight="false" outlineLevel="0" collapsed="false">
      <c r="A325" s="8" t="s">
        <v>3328</v>
      </c>
      <c r="B325" s="8" t="s">
        <v>3329</v>
      </c>
      <c r="C325" s="8" t="s">
        <v>8661</v>
      </c>
      <c r="D325" s="8" t="s">
        <v>123</v>
      </c>
      <c r="E325" s="8" t="s">
        <v>51</v>
      </c>
      <c r="F325" s="8" t="s">
        <v>2027</v>
      </c>
      <c r="G325" s="8" t="s">
        <v>136</v>
      </c>
      <c r="H325" s="8" t="s">
        <v>8662</v>
      </c>
      <c r="I325" s="8" t="s">
        <v>9101</v>
      </c>
      <c r="J325" s="8" t="s">
        <v>129</v>
      </c>
      <c r="K325" s="8" t="s">
        <v>8664</v>
      </c>
      <c r="L325" s="8"/>
      <c r="M325" s="8"/>
      <c r="N325" s="8" t="n">
        <v>12</v>
      </c>
      <c r="O325" s="8" t="n">
        <v>24</v>
      </c>
      <c r="P325" s="8" t="s">
        <v>120</v>
      </c>
    </row>
    <row r="326" customFormat="false" ht="15" hidden="false" customHeight="false" outlineLevel="0" collapsed="false">
      <c r="A326" s="8" t="s">
        <v>4340</v>
      </c>
      <c r="B326" s="8" t="s">
        <v>4341</v>
      </c>
      <c r="C326" s="8" t="s">
        <v>8678</v>
      </c>
      <c r="D326" s="8" t="s">
        <v>132</v>
      </c>
      <c r="E326" s="8" t="s">
        <v>51</v>
      </c>
      <c r="F326" s="8" t="s">
        <v>2027</v>
      </c>
      <c r="G326" s="8" t="s">
        <v>124</v>
      </c>
      <c r="H326" s="8" t="s">
        <v>8670</v>
      </c>
      <c r="I326" s="8" t="s">
        <v>9102</v>
      </c>
      <c r="J326" s="8" t="s">
        <v>125</v>
      </c>
      <c r="K326" s="8" t="s">
        <v>8664</v>
      </c>
      <c r="L326" s="8"/>
      <c r="M326" s="8"/>
      <c r="N326" s="8" t="n">
        <v>12</v>
      </c>
      <c r="O326" s="8" t="n">
        <v>5</v>
      </c>
      <c r="P326" s="8" t="s">
        <v>148</v>
      </c>
    </row>
    <row r="327" customFormat="false" ht="15" hidden="false" customHeight="false" outlineLevel="0" collapsed="false">
      <c r="A327" s="8" t="s">
        <v>2496</v>
      </c>
      <c r="B327" s="8" t="s">
        <v>2497</v>
      </c>
      <c r="C327" s="8" t="s">
        <v>8678</v>
      </c>
      <c r="D327" s="8" t="s">
        <v>132</v>
      </c>
      <c r="E327" s="8" t="s">
        <v>51</v>
      </c>
      <c r="F327" s="8" t="s">
        <v>2027</v>
      </c>
      <c r="G327" s="8" t="s">
        <v>124</v>
      </c>
      <c r="H327" s="8" t="s">
        <v>8662</v>
      </c>
      <c r="I327" s="8" t="s">
        <v>9103</v>
      </c>
      <c r="J327" s="8" t="s">
        <v>204</v>
      </c>
      <c r="K327" s="8" t="s">
        <v>8664</v>
      </c>
      <c r="L327" s="8"/>
      <c r="M327" s="8"/>
      <c r="N327" s="8" t="n">
        <v>12</v>
      </c>
      <c r="O327" s="8" t="n">
        <v>38</v>
      </c>
      <c r="P327" s="8" t="s">
        <v>120</v>
      </c>
    </row>
    <row r="328" customFormat="false" ht="15" hidden="false" customHeight="false" outlineLevel="0" collapsed="false">
      <c r="A328" s="8" t="s">
        <v>3494</v>
      </c>
      <c r="B328" s="8" t="s">
        <v>3495</v>
      </c>
      <c r="C328" s="8" t="s">
        <v>8661</v>
      </c>
      <c r="D328" s="8" t="s">
        <v>117</v>
      </c>
      <c r="E328" s="8" t="s">
        <v>51</v>
      </c>
      <c r="F328" s="8" t="s">
        <v>2027</v>
      </c>
      <c r="G328" s="8" t="s">
        <v>124</v>
      </c>
      <c r="H328" s="8" t="s">
        <v>8666</v>
      </c>
      <c r="I328" s="8" t="s">
        <v>9104</v>
      </c>
      <c r="J328" s="8" t="s">
        <v>180</v>
      </c>
      <c r="K328" s="8" t="s">
        <v>8664</v>
      </c>
      <c r="L328" s="8"/>
      <c r="M328" s="8"/>
      <c r="N328" s="8" t="n">
        <v>12</v>
      </c>
      <c r="O328" s="8" t="n">
        <v>21</v>
      </c>
      <c r="P328" s="8" t="s">
        <v>120</v>
      </c>
    </row>
    <row r="329" customFormat="false" ht="15" hidden="false" customHeight="false" outlineLevel="0" collapsed="false">
      <c r="A329" s="8" t="s">
        <v>3740</v>
      </c>
      <c r="B329" s="8" t="s">
        <v>3741</v>
      </c>
      <c r="C329" s="8" t="s">
        <v>8661</v>
      </c>
      <c r="D329" s="8" t="s">
        <v>123</v>
      </c>
      <c r="E329" s="8" t="s">
        <v>51</v>
      </c>
      <c r="F329" s="8" t="s">
        <v>2027</v>
      </c>
      <c r="G329" s="8" t="s">
        <v>166</v>
      </c>
      <c r="H329" s="8" t="s">
        <v>8670</v>
      </c>
      <c r="I329" s="8" t="s">
        <v>9105</v>
      </c>
      <c r="J329" s="8" t="s">
        <v>204</v>
      </c>
      <c r="K329" s="8" t="s">
        <v>8664</v>
      </c>
      <c r="L329" s="8"/>
      <c r="M329" s="8"/>
      <c r="N329" s="8" t="n">
        <v>12</v>
      </c>
      <c r="O329" s="8" t="n">
        <v>16</v>
      </c>
      <c r="P329" s="8" t="s">
        <v>120</v>
      </c>
    </row>
    <row r="330" customFormat="false" ht="15" hidden="false" customHeight="false" outlineLevel="0" collapsed="false">
      <c r="A330" s="8" t="s">
        <v>4538</v>
      </c>
      <c r="B330" s="8" t="s">
        <v>9106</v>
      </c>
      <c r="C330" s="8" t="s">
        <v>8665</v>
      </c>
      <c r="D330" s="8" t="s">
        <v>117</v>
      </c>
      <c r="E330" s="8" t="s">
        <v>51</v>
      </c>
      <c r="F330" s="8" t="s">
        <v>2027</v>
      </c>
      <c r="G330" s="8" t="s">
        <v>143</v>
      </c>
      <c r="H330" s="8" t="s">
        <v>8675</v>
      </c>
      <c r="I330" s="8" t="s">
        <v>8820</v>
      </c>
      <c r="J330" s="8"/>
      <c r="K330" s="8" t="s">
        <v>8690</v>
      </c>
      <c r="L330" s="8" t="s">
        <v>9107</v>
      </c>
      <c r="M330" s="8" t="s">
        <v>8705</v>
      </c>
      <c r="N330" s="8" t="n">
        <v>12</v>
      </c>
      <c r="O330" s="8" t="n">
        <v>25</v>
      </c>
      <c r="P330" s="8" t="s">
        <v>120</v>
      </c>
    </row>
    <row r="331" customFormat="false" ht="15" hidden="false" customHeight="false" outlineLevel="0" collapsed="false">
      <c r="A331" s="8" t="s">
        <v>3206</v>
      </c>
      <c r="B331" s="8" t="s">
        <v>3207</v>
      </c>
      <c r="C331" s="8" t="s">
        <v>8665</v>
      </c>
      <c r="D331" s="8" t="s">
        <v>117</v>
      </c>
      <c r="E331" s="8" t="s">
        <v>51</v>
      </c>
      <c r="F331" s="8" t="s">
        <v>2027</v>
      </c>
      <c r="G331" s="8" t="s">
        <v>136</v>
      </c>
      <c r="H331" s="8" t="s">
        <v>8670</v>
      </c>
      <c r="I331" s="8" t="s">
        <v>9108</v>
      </c>
      <c r="J331" s="8" t="s">
        <v>119</v>
      </c>
      <c r="K331" s="8" t="s">
        <v>8664</v>
      </c>
      <c r="L331" s="8"/>
      <c r="M331" s="8"/>
      <c r="N331" s="8" t="n">
        <v>12</v>
      </c>
      <c r="O331" s="8" t="n">
        <v>31</v>
      </c>
      <c r="P331" s="8" t="s">
        <v>120</v>
      </c>
    </row>
    <row r="332" customFormat="false" ht="15" hidden="false" customHeight="false" outlineLevel="0" collapsed="false">
      <c r="A332" s="8" t="s">
        <v>312</v>
      </c>
      <c r="B332" s="8" t="s">
        <v>313</v>
      </c>
      <c r="C332" s="8" t="s">
        <v>8678</v>
      </c>
      <c r="D332" s="8" t="s">
        <v>123</v>
      </c>
      <c r="E332" s="8" t="s">
        <v>55</v>
      </c>
      <c r="F332" s="8" t="s">
        <v>55</v>
      </c>
      <c r="G332" s="8" t="s">
        <v>154</v>
      </c>
      <c r="H332" s="8" t="s">
        <v>8675</v>
      </c>
      <c r="I332" s="8" t="s">
        <v>9109</v>
      </c>
      <c r="J332" s="8" t="s">
        <v>204</v>
      </c>
      <c r="K332" s="8" t="s">
        <v>8664</v>
      </c>
      <c r="L332" s="8"/>
      <c r="M332" s="8"/>
      <c r="N332" s="8" t="n">
        <v>45</v>
      </c>
      <c r="O332" s="8" t="n">
        <v>383</v>
      </c>
      <c r="P332" s="8" t="s">
        <v>120</v>
      </c>
    </row>
    <row r="333" customFormat="false" ht="15" hidden="false" customHeight="false" outlineLevel="0" collapsed="false">
      <c r="A333" s="8" t="s">
        <v>1871</v>
      </c>
      <c r="B333" s="8" t="s">
        <v>1872</v>
      </c>
      <c r="C333" s="8" t="s">
        <v>8678</v>
      </c>
      <c r="D333" s="8" t="s">
        <v>123</v>
      </c>
      <c r="E333" s="8" t="s">
        <v>51</v>
      </c>
      <c r="F333" s="8" t="s">
        <v>326</v>
      </c>
      <c r="G333" s="8" t="s">
        <v>190</v>
      </c>
      <c r="H333" s="8" t="s">
        <v>8666</v>
      </c>
      <c r="I333" s="8" t="s">
        <v>8891</v>
      </c>
      <c r="J333" s="8" t="s">
        <v>140</v>
      </c>
      <c r="K333" s="8" t="s">
        <v>8664</v>
      </c>
      <c r="L333" s="8"/>
      <c r="M333" s="8"/>
      <c r="N333" s="8" t="n">
        <v>25</v>
      </c>
      <c r="O333" s="8" t="n">
        <v>37</v>
      </c>
      <c r="P333" s="8" t="s">
        <v>120</v>
      </c>
    </row>
    <row r="334" customFormat="false" ht="15" hidden="false" customHeight="false" outlineLevel="0" collapsed="false">
      <c r="A334" s="8" t="s">
        <v>1231</v>
      </c>
      <c r="B334" s="8" t="s">
        <v>1232</v>
      </c>
      <c r="C334" s="8" t="s">
        <v>8680</v>
      </c>
      <c r="D334" s="8" t="s">
        <v>117</v>
      </c>
      <c r="E334" s="8" t="s">
        <v>53</v>
      </c>
      <c r="F334" s="8" t="s">
        <v>326</v>
      </c>
      <c r="G334" s="8" t="s">
        <v>124</v>
      </c>
      <c r="H334" s="8" t="s">
        <v>8666</v>
      </c>
      <c r="I334" s="8" t="s">
        <v>9077</v>
      </c>
      <c r="J334" s="8" t="s">
        <v>185</v>
      </c>
      <c r="K334" s="8" t="s">
        <v>8664</v>
      </c>
      <c r="L334" s="8"/>
      <c r="M334" s="8"/>
      <c r="N334" s="8" t="n">
        <v>25</v>
      </c>
      <c r="O334" s="8" t="n">
        <v>131</v>
      </c>
      <c r="P334" s="8" t="s">
        <v>120</v>
      </c>
    </row>
    <row r="335" customFormat="false" ht="15" hidden="false" customHeight="false" outlineLevel="0" collapsed="false">
      <c r="A335" s="8" t="s">
        <v>1523</v>
      </c>
      <c r="B335" s="8" t="s">
        <v>1524</v>
      </c>
      <c r="C335" s="8" t="s">
        <v>8674</v>
      </c>
      <c r="D335" s="8" t="s">
        <v>123</v>
      </c>
      <c r="E335" s="8" t="s">
        <v>53</v>
      </c>
      <c r="F335" s="8" t="s">
        <v>55</v>
      </c>
      <c r="G335" s="8" t="s">
        <v>166</v>
      </c>
      <c r="H335" s="8" t="s">
        <v>8662</v>
      </c>
      <c r="I335" s="8" t="s">
        <v>9110</v>
      </c>
      <c r="J335" s="8" t="s">
        <v>185</v>
      </c>
      <c r="K335" s="8" t="s">
        <v>8664</v>
      </c>
      <c r="L335" s="8"/>
      <c r="M335" s="8"/>
      <c r="N335" s="8" t="n">
        <v>45</v>
      </c>
      <c r="O335" s="8" t="n">
        <v>55</v>
      </c>
      <c r="P335" s="8" t="s">
        <v>148</v>
      </c>
    </row>
    <row r="336" customFormat="false" ht="15" hidden="false" customHeight="false" outlineLevel="0" collapsed="false">
      <c r="A336" s="8" t="s">
        <v>1395</v>
      </c>
      <c r="B336" s="8" t="s">
        <v>1396</v>
      </c>
      <c r="C336" s="8" t="s">
        <v>8661</v>
      </c>
      <c r="D336" s="8" t="s">
        <v>132</v>
      </c>
      <c r="E336" s="8" t="s">
        <v>53</v>
      </c>
      <c r="F336" s="8" t="s">
        <v>326</v>
      </c>
      <c r="G336" s="8" t="s">
        <v>190</v>
      </c>
      <c r="H336" s="8" t="s">
        <v>8670</v>
      </c>
      <c r="I336" s="8" t="s">
        <v>9111</v>
      </c>
      <c r="J336" s="8" t="s">
        <v>185</v>
      </c>
      <c r="K336" s="8" t="s">
        <v>8664</v>
      </c>
      <c r="L336" s="8"/>
      <c r="M336" s="8"/>
      <c r="N336" s="8" t="n">
        <v>25</v>
      </c>
      <c r="O336" s="8" t="n">
        <v>107</v>
      </c>
      <c r="P336" s="8" t="s">
        <v>148</v>
      </c>
    </row>
    <row r="337" customFormat="false" ht="15" hidden="false" customHeight="false" outlineLevel="0" collapsed="false">
      <c r="A337" s="8" t="s">
        <v>2092</v>
      </c>
      <c r="B337" s="8" t="s">
        <v>2093</v>
      </c>
      <c r="C337" s="8" t="s">
        <v>8665</v>
      </c>
      <c r="D337" s="8" t="s">
        <v>132</v>
      </c>
      <c r="E337" s="8" t="s">
        <v>51</v>
      </c>
      <c r="F337" s="8" t="s">
        <v>326</v>
      </c>
      <c r="G337" s="8" t="s">
        <v>133</v>
      </c>
      <c r="H337" s="8" t="s">
        <v>8662</v>
      </c>
      <c r="I337" s="8" t="s">
        <v>9112</v>
      </c>
      <c r="J337" s="8" t="s">
        <v>177</v>
      </c>
      <c r="K337" s="8" t="s">
        <v>8664</v>
      </c>
      <c r="L337" s="8"/>
      <c r="M337" s="8"/>
      <c r="N337" s="8" t="n">
        <v>25</v>
      </c>
      <c r="O337" s="8" t="n">
        <v>28</v>
      </c>
      <c r="P337" s="8" t="s">
        <v>120</v>
      </c>
    </row>
    <row r="338" customFormat="false" ht="15" hidden="false" customHeight="false" outlineLevel="0" collapsed="false">
      <c r="A338" s="8" t="s">
        <v>1695</v>
      </c>
      <c r="B338" s="8" t="s">
        <v>1696</v>
      </c>
      <c r="C338" s="8" t="s">
        <v>8665</v>
      </c>
      <c r="D338" s="8" t="s">
        <v>132</v>
      </c>
      <c r="E338" s="8" t="s">
        <v>53</v>
      </c>
      <c r="F338" s="8" t="s">
        <v>326</v>
      </c>
      <c r="G338" s="8" t="s">
        <v>223</v>
      </c>
      <c r="H338" s="8" t="s">
        <v>8666</v>
      </c>
      <c r="I338" s="8" t="s">
        <v>9113</v>
      </c>
      <c r="J338" s="8" t="s">
        <v>137</v>
      </c>
      <c r="K338" s="8" t="s">
        <v>8664</v>
      </c>
      <c r="L338" s="8"/>
      <c r="M338" s="8"/>
      <c r="N338" s="8" t="n">
        <v>25</v>
      </c>
      <c r="O338" s="8" t="n">
        <v>54</v>
      </c>
      <c r="P338" s="8" t="s">
        <v>120</v>
      </c>
    </row>
    <row r="339" customFormat="false" ht="15" hidden="false" customHeight="false" outlineLevel="0" collapsed="false">
      <c r="A339" s="8" t="s">
        <v>2554</v>
      </c>
      <c r="B339" s="8" t="s">
        <v>2555</v>
      </c>
      <c r="C339" s="8" t="s">
        <v>8678</v>
      </c>
      <c r="D339" s="8" t="s">
        <v>123</v>
      </c>
      <c r="E339" s="8" t="s">
        <v>51</v>
      </c>
      <c r="F339" s="8" t="s">
        <v>2027</v>
      </c>
      <c r="G339" s="8" t="s">
        <v>143</v>
      </c>
      <c r="H339" s="8" t="s">
        <v>8675</v>
      </c>
      <c r="I339" s="8" t="s">
        <v>9114</v>
      </c>
      <c r="J339" s="8" t="s">
        <v>177</v>
      </c>
      <c r="K339" s="8" t="s">
        <v>8664</v>
      </c>
      <c r="L339" s="8"/>
      <c r="M339" s="8"/>
      <c r="N339" s="8" t="n">
        <v>12</v>
      </c>
      <c r="O339" s="8" t="n">
        <v>37</v>
      </c>
      <c r="P339" s="8" t="s">
        <v>120</v>
      </c>
    </row>
    <row r="340" customFormat="false" ht="15" hidden="false" customHeight="false" outlineLevel="0" collapsed="false">
      <c r="A340" s="8" t="s">
        <v>3530</v>
      </c>
      <c r="B340" s="8" t="s">
        <v>3531</v>
      </c>
      <c r="C340" s="8" t="s">
        <v>8678</v>
      </c>
      <c r="D340" s="8" t="s">
        <v>132</v>
      </c>
      <c r="E340" s="8" t="s">
        <v>51</v>
      </c>
      <c r="F340" s="8" t="s">
        <v>326</v>
      </c>
      <c r="G340" s="8" t="s">
        <v>190</v>
      </c>
      <c r="H340" s="8" t="s">
        <v>8666</v>
      </c>
      <c r="I340" s="8" t="s">
        <v>9115</v>
      </c>
      <c r="J340" s="8" t="s">
        <v>180</v>
      </c>
      <c r="K340" s="8" t="s">
        <v>8664</v>
      </c>
      <c r="L340" s="8"/>
      <c r="M340" s="8"/>
      <c r="N340" s="8" t="n">
        <v>25</v>
      </c>
      <c r="O340" s="8" t="n">
        <v>7</v>
      </c>
      <c r="P340" s="8" t="s">
        <v>120</v>
      </c>
    </row>
    <row r="341" customFormat="false" ht="15" hidden="false" customHeight="false" outlineLevel="0" collapsed="false">
      <c r="A341" s="8" t="s">
        <v>561</v>
      </c>
      <c r="B341" s="8" t="s">
        <v>562</v>
      </c>
      <c r="C341" s="8" t="s">
        <v>8669</v>
      </c>
      <c r="D341" s="8" t="s">
        <v>123</v>
      </c>
      <c r="E341" s="8" t="s">
        <v>53</v>
      </c>
      <c r="F341" s="8" t="s">
        <v>55</v>
      </c>
      <c r="G341" s="8" t="s">
        <v>190</v>
      </c>
      <c r="H341" s="8" t="s">
        <v>8675</v>
      </c>
      <c r="I341" s="8" t="s">
        <v>9116</v>
      </c>
      <c r="J341" s="8" t="s">
        <v>159</v>
      </c>
      <c r="K341" s="8" t="s">
        <v>8664</v>
      </c>
      <c r="L341" s="8"/>
      <c r="M341" s="8"/>
      <c r="N341" s="8" t="n">
        <v>45</v>
      </c>
      <c r="O341" s="8" t="n">
        <v>190</v>
      </c>
      <c r="P341" s="8" t="s">
        <v>120</v>
      </c>
    </row>
    <row r="342" customFormat="false" ht="15" hidden="false" customHeight="false" outlineLevel="0" collapsed="false">
      <c r="A342" s="8" t="s">
        <v>3598</v>
      </c>
      <c r="B342" s="8" t="s">
        <v>3599</v>
      </c>
      <c r="C342" s="8" t="s">
        <v>8680</v>
      </c>
      <c r="D342" s="8" t="s">
        <v>123</v>
      </c>
      <c r="E342" s="8" t="s">
        <v>51</v>
      </c>
      <c r="F342" s="8" t="s">
        <v>2027</v>
      </c>
      <c r="G342" s="8" t="s">
        <v>133</v>
      </c>
      <c r="H342" s="8" t="s">
        <v>8670</v>
      </c>
      <c r="I342" s="8" t="s">
        <v>9117</v>
      </c>
      <c r="J342" s="8" t="s">
        <v>137</v>
      </c>
      <c r="K342" s="8" t="s">
        <v>8664</v>
      </c>
      <c r="L342" s="8"/>
      <c r="M342" s="8"/>
      <c r="N342" s="8" t="n">
        <v>12</v>
      </c>
      <c r="O342" s="8" t="n">
        <v>19</v>
      </c>
      <c r="P342" s="8" t="s">
        <v>120</v>
      </c>
    </row>
    <row r="343" customFormat="false" ht="15" hidden="false" customHeight="false" outlineLevel="0" collapsed="false">
      <c r="A343" s="8" t="s">
        <v>4581</v>
      </c>
      <c r="B343" s="8" t="s">
        <v>9118</v>
      </c>
      <c r="C343" s="8" t="s">
        <v>8688</v>
      </c>
      <c r="D343" s="8" t="s">
        <v>117</v>
      </c>
      <c r="E343" s="8" t="s">
        <v>51</v>
      </c>
      <c r="F343" s="8" t="s">
        <v>2027</v>
      </c>
      <c r="G343" s="8" t="s">
        <v>118</v>
      </c>
      <c r="H343" s="8" t="s">
        <v>8670</v>
      </c>
      <c r="I343" s="8" t="s">
        <v>8976</v>
      </c>
      <c r="J343" s="8"/>
      <c r="K343" s="8" t="s">
        <v>8690</v>
      </c>
      <c r="L343" s="8" t="s">
        <v>8907</v>
      </c>
      <c r="M343" s="8" t="s">
        <v>8795</v>
      </c>
      <c r="N343" s="8" t="n">
        <v>12</v>
      </c>
      <c r="O343" s="8" t="n">
        <v>16</v>
      </c>
      <c r="P343" s="8" t="s">
        <v>120</v>
      </c>
    </row>
    <row r="344" customFormat="false" ht="15" hidden="false" customHeight="false" outlineLevel="0" collapsed="false">
      <c r="A344" s="8" t="s">
        <v>785</v>
      </c>
      <c r="B344" s="8" t="s">
        <v>786</v>
      </c>
      <c r="C344" s="8" t="s">
        <v>8688</v>
      </c>
      <c r="D344" s="8" t="s">
        <v>132</v>
      </c>
      <c r="E344" s="8" t="s">
        <v>53</v>
      </c>
      <c r="F344" s="8" t="s">
        <v>326</v>
      </c>
      <c r="G344" s="8" t="s">
        <v>118</v>
      </c>
      <c r="H344" s="8" t="s">
        <v>8662</v>
      </c>
      <c r="I344" s="8" t="s">
        <v>9119</v>
      </c>
      <c r="J344" s="8" t="s">
        <v>204</v>
      </c>
      <c r="K344" s="8" t="s">
        <v>8664</v>
      </c>
      <c r="L344" s="8"/>
      <c r="M344" s="8"/>
      <c r="N344" s="8" t="n">
        <v>25</v>
      </c>
      <c r="O344" s="8" t="n">
        <v>198</v>
      </c>
      <c r="P344" s="8" t="s">
        <v>120</v>
      </c>
    </row>
    <row r="345" customFormat="false" ht="15" hidden="false" customHeight="false" outlineLevel="0" collapsed="false">
      <c r="A345" s="8" t="s">
        <v>3782</v>
      </c>
      <c r="B345" s="8" t="s">
        <v>3783</v>
      </c>
      <c r="C345" s="8" t="s">
        <v>8700</v>
      </c>
      <c r="D345" s="8" t="s">
        <v>132</v>
      </c>
      <c r="E345" s="8" t="s">
        <v>51</v>
      </c>
      <c r="F345" s="8" t="s">
        <v>2027</v>
      </c>
      <c r="G345" s="8" t="s">
        <v>151</v>
      </c>
      <c r="H345" s="8" t="s">
        <v>8670</v>
      </c>
      <c r="I345" s="8" t="s">
        <v>9120</v>
      </c>
      <c r="J345" s="8" t="s">
        <v>185</v>
      </c>
      <c r="K345" s="8" t="s">
        <v>8664</v>
      </c>
      <c r="L345" s="8"/>
      <c r="M345" s="8"/>
      <c r="N345" s="8" t="n">
        <v>12</v>
      </c>
      <c r="O345" s="8" t="n">
        <v>9</v>
      </c>
      <c r="P345" s="8" t="s">
        <v>120</v>
      </c>
    </row>
    <row r="346" customFormat="false" ht="15" hidden="false" customHeight="false" outlineLevel="0" collapsed="false">
      <c r="A346" s="8" t="s">
        <v>1707</v>
      </c>
      <c r="B346" s="8" t="s">
        <v>1708</v>
      </c>
      <c r="C346" s="8" t="s">
        <v>8680</v>
      </c>
      <c r="D346" s="8" t="s">
        <v>123</v>
      </c>
      <c r="E346" s="8" t="s">
        <v>53</v>
      </c>
      <c r="F346" s="8" t="s">
        <v>326</v>
      </c>
      <c r="G346" s="8" t="s">
        <v>166</v>
      </c>
      <c r="H346" s="8" t="s">
        <v>8662</v>
      </c>
      <c r="I346" s="8" t="s">
        <v>9121</v>
      </c>
      <c r="J346" s="8" t="s">
        <v>140</v>
      </c>
      <c r="K346" s="8" t="s">
        <v>8664</v>
      </c>
      <c r="L346" s="8"/>
      <c r="M346" s="8"/>
      <c r="N346" s="8" t="n">
        <v>25</v>
      </c>
      <c r="O346" s="8" t="n">
        <v>53</v>
      </c>
      <c r="P346" s="8" t="s">
        <v>120</v>
      </c>
    </row>
    <row r="347" customFormat="false" ht="15" hidden="false" customHeight="false" outlineLevel="0" collapsed="false">
      <c r="A347" s="8" t="s">
        <v>3654</v>
      </c>
      <c r="B347" s="8" t="s">
        <v>3655</v>
      </c>
      <c r="C347" s="8" t="s">
        <v>8700</v>
      </c>
      <c r="D347" s="8" t="s">
        <v>132</v>
      </c>
      <c r="E347" s="8" t="s">
        <v>51</v>
      </c>
      <c r="F347" s="8" t="s">
        <v>2027</v>
      </c>
      <c r="G347" s="8" t="s">
        <v>154</v>
      </c>
      <c r="H347" s="8" t="s">
        <v>8666</v>
      </c>
      <c r="I347" s="8" t="s">
        <v>9122</v>
      </c>
      <c r="J347" s="8" t="s">
        <v>137</v>
      </c>
      <c r="K347" s="8" t="s">
        <v>8664</v>
      </c>
      <c r="L347" s="8"/>
      <c r="M347" s="8"/>
      <c r="N347" s="8" t="n">
        <v>12</v>
      </c>
      <c r="O347" s="8" t="n">
        <v>14</v>
      </c>
      <c r="P347" s="8" t="s">
        <v>120</v>
      </c>
    </row>
    <row r="348" customFormat="false" ht="15" hidden="false" customHeight="false" outlineLevel="0" collapsed="false">
      <c r="A348" s="8" t="s">
        <v>357</v>
      </c>
      <c r="B348" s="8" t="s">
        <v>358</v>
      </c>
      <c r="C348" s="8" t="s">
        <v>8661</v>
      </c>
      <c r="D348" s="8" t="s">
        <v>123</v>
      </c>
      <c r="E348" s="8" t="s">
        <v>55</v>
      </c>
      <c r="F348" s="8" t="s">
        <v>326</v>
      </c>
      <c r="G348" s="8" t="s">
        <v>124</v>
      </c>
      <c r="H348" s="8" t="s">
        <v>8675</v>
      </c>
      <c r="I348" s="8" t="s">
        <v>8937</v>
      </c>
      <c r="J348" s="8" t="s">
        <v>119</v>
      </c>
      <c r="K348" s="8" t="s">
        <v>8664</v>
      </c>
      <c r="L348" s="8"/>
      <c r="M348" s="8"/>
      <c r="N348" s="8" t="n">
        <v>25</v>
      </c>
      <c r="O348" s="8" t="n">
        <v>552</v>
      </c>
      <c r="P348" s="8" t="s">
        <v>120</v>
      </c>
    </row>
    <row r="349" customFormat="false" ht="15" hidden="false" customHeight="false" outlineLevel="0" collapsed="false">
      <c r="A349" s="8" t="s">
        <v>585</v>
      </c>
      <c r="B349" s="8" t="s">
        <v>586</v>
      </c>
      <c r="C349" s="8" t="s">
        <v>8680</v>
      </c>
      <c r="D349" s="8" t="s">
        <v>132</v>
      </c>
      <c r="E349" s="8" t="s">
        <v>53</v>
      </c>
      <c r="F349" s="8" t="s">
        <v>55</v>
      </c>
      <c r="G349" s="8" t="s">
        <v>143</v>
      </c>
      <c r="H349" s="8" t="s">
        <v>8666</v>
      </c>
      <c r="I349" s="8" t="s">
        <v>8900</v>
      </c>
      <c r="J349" s="8" t="s">
        <v>125</v>
      </c>
      <c r="K349" s="8" t="s">
        <v>8664</v>
      </c>
      <c r="L349" s="8"/>
      <c r="M349" s="8"/>
      <c r="N349" s="8" t="n">
        <v>45</v>
      </c>
      <c r="O349" s="8" t="n">
        <v>175</v>
      </c>
      <c r="P349" s="8" t="s">
        <v>120</v>
      </c>
    </row>
    <row r="350" customFormat="false" ht="15" hidden="false" customHeight="false" outlineLevel="0" collapsed="false">
      <c r="A350" s="8" t="s">
        <v>3784</v>
      </c>
      <c r="B350" s="8" t="s">
        <v>3785</v>
      </c>
      <c r="C350" s="8" t="s">
        <v>8674</v>
      </c>
      <c r="D350" s="8" t="s">
        <v>123</v>
      </c>
      <c r="E350" s="8" t="s">
        <v>51</v>
      </c>
      <c r="F350" s="8" t="s">
        <v>2027</v>
      </c>
      <c r="G350" s="8" t="s">
        <v>190</v>
      </c>
      <c r="H350" s="8" t="s">
        <v>8670</v>
      </c>
      <c r="I350" s="8" t="s">
        <v>9123</v>
      </c>
      <c r="J350" s="8" t="s">
        <v>185</v>
      </c>
      <c r="K350" s="8" t="s">
        <v>8664</v>
      </c>
      <c r="L350" s="8"/>
      <c r="M350" s="8"/>
      <c r="N350" s="8" t="n">
        <v>12</v>
      </c>
      <c r="O350" s="8" t="n">
        <v>15</v>
      </c>
      <c r="P350" s="8" t="s">
        <v>120</v>
      </c>
    </row>
    <row r="351" customFormat="false" ht="15" hidden="false" customHeight="false" outlineLevel="0" collapsed="false">
      <c r="A351" s="8" t="s">
        <v>2730</v>
      </c>
      <c r="B351" s="8" t="s">
        <v>2731</v>
      </c>
      <c r="C351" s="8" t="s">
        <v>8700</v>
      </c>
      <c r="D351" s="8" t="s">
        <v>132</v>
      </c>
      <c r="E351" s="8" t="s">
        <v>51</v>
      </c>
      <c r="F351" s="8" t="s">
        <v>2027</v>
      </c>
      <c r="G351" s="8" t="s">
        <v>143</v>
      </c>
      <c r="H351" s="8" t="s">
        <v>8666</v>
      </c>
      <c r="I351" s="8" t="s">
        <v>9124</v>
      </c>
      <c r="J351" s="8" t="s">
        <v>159</v>
      </c>
      <c r="K351" s="8" t="s">
        <v>8664</v>
      </c>
      <c r="L351" s="8"/>
      <c r="M351" s="8"/>
      <c r="N351" s="8" t="n">
        <v>12</v>
      </c>
      <c r="O351" s="8" t="n">
        <v>30</v>
      </c>
      <c r="P351" s="8" t="s">
        <v>120</v>
      </c>
    </row>
    <row r="352" customFormat="false" ht="15" hidden="false" customHeight="false" outlineLevel="0" collapsed="false">
      <c r="A352" s="8" t="s">
        <v>202</v>
      </c>
      <c r="B352" s="8" t="s">
        <v>203</v>
      </c>
      <c r="C352" s="8" t="s">
        <v>8661</v>
      </c>
      <c r="D352" s="8" t="s">
        <v>117</v>
      </c>
      <c r="E352" s="8" t="s">
        <v>55</v>
      </c>
      <c r="F352" s="8" t="s">
        <v>55</v>
      </c>
      <c r="G352" s="8" t="s">
        <v>143</v>
      </c>
      <c r="H352" s="8" t="s">
        <v>8662</v>
      </c>
      <c r="I352" s="8" t="s">
        <v>9105</v>
      </c>
      <c r="J352" s="8" t="s">
        <v>204</v>
      </c>
      <c r="K352" s="8" t="s">
        <v>8664</v>
      </c>
      <c r="L352" s="8"/>
      <c r="M352" s="8"/>
      <c r="N352" s="8" t="n">
        <v>45</v>
      </c>
      <c r="O352" s="8" t="n">
        <v>555</v>
      </c>
      <c r="P352" s="8" t="s">
        <v>120</v>
      </c>
    </row>
    <row r="353" customFormat="false" ht="15" hidden="false" customHeight="false" outlineLevel="0" collapsed="false">
      <c r="A353" s="8" t="s">
        <v>2210</v>
      </c>
      <c r="B353" s="8" t="s">
        <v>2211</v>
      </c>
      <c r="C353" s="8" t="s">
        <v>8688</v>
      </c>
      <c r="D353" s="8" t="s">
        <v>132</v>
      </c>
      <c r="E353" s="8" t="s">
        <v>51</v>
      </c>
      <c r="F353" s="8" t="s">
        <v>326</v>
      </c>
      <c r="G353" s="8" t="s">
        <v>124</v>
      </c>
      <c r="H353" s="8" t="s">
        <v>8675</v>
      </c>
      <c r="I353" s="8" t="s">
        <v>9125</v>
      </c>
      <c r="J353" s="8" t="s">
        <v>185</v>
      </c>
      <c r="K353" s="8" t="s">
        <v>8664</v>
      </c>
      <c r="L353" s="8"/>
      <c r="M353" s="8"/>
      <c r="N353" s="8" t="n">
        <v>25</v>
      </c>
      <c r="O353" s="8" t="n">
        <v>24</v>
      </c>
      <c r="P353" s="8" t="s">
        <v>120</v>
      </c>
    </row>
    <row r="354" customFormat="false" ht="15" hidden="false" customHeight="false" outlineLevel="0" collapsed="false">
      <c r="A354" s="8" t="s">
        <v>9126</v>
      </c>
      <c r="B354" s="8" t="s">
        <v>9127</v>
      </c>
      <c r="C354" s="8" t="s">
        <v>8674</v>
      </c>
      <c r="D354" s="8" t="s">
        <v>123</v>
      </c>
      <c r="E354" s="8" t="s">
        <v>53</v>
      </c>
      <c r="F354" s="8" t="s">
        <v>326</v>
      </c>
      <c r="G354" s="8" t="s">
        <v>154</v>
      </c>
      <c r="H354" s="8" t="s">
        <v>8662</v>
      </c>
      <c r="I354" s="8" t="s">
        <v>8782</v>
      </c>
      <c r="J354" s="8"/>
      <c r="K354" s="8" t="s">
        <v>8690</v>
      </c>
      <c r="L354" s="8" t="s">
        <v>8906</v>
      </c>
      <c r="M354" s="8" t="s">
        <v>8721</v>
      </c>
      <c r="N354" s="8" t="n">
        <v>25</v>
      </c>
      <c r="O354" s="8" t="n">
        <v>165</v>
      </c>
      <c r="P354" s="8" t="s">
        <v>120</v>
      </c>
    </row>
    <row r="355" customFormat="false" ht="15" hidden="false" customHeight="false" outlineLevel="0" collapsed="false">
      <c r="A355" s="8" t="s">
        <v>3330</v>
      </c>
      <c r="B355" s="8" t="s">
        <v>3331</v>
      </c>
      <c r="C355" s="8" t="s">
        <v>8688</v>
      </c>
      <c r="D355" s="8" t="s">
        <v>132</v>
      </c>
      <c r="E355" s="8" t="s">
        <v>51</v>
      </c>
      <c r="F355" s="8" t="s">
        <v>2027</v>
      </c>
      <c r="G355" s="8" t="s">
        <v>166</v>
      </c>
      <c r="H355" s="8" t="s">
        <v>8675</v>
      </c>
      <c r="I355" s="8" t="s">
        <v>9128</v>
      </c>
      <c r="J355" s="8" t="s">
        <v>204</v>
      </c>
      <c r="K355" s="8" t="s">
        <v>8664</v>
      </c>
      <c r="L355" s="8"/>
      <c r="M355" s="8"/>
      <c r="N355" s="8" t="n">
        <v>12</v>
      </c>
      <c r="O355" s="8" t="n">
        <v>24</v>
      </c>
      <c r="P355" s="8" t="s">
        <v>120</v>
      </c>
    </row>
    <row r="356" customFormat="false" ht="15" hidden="false" customHeight="false" outlineLevel="0" collapsed="false">
      <c r="A356" s="8" t="s">
        <v>4569</v>
      </c>
      <c r="B356" s="8" t="s">
        <v>9129</v>
      </c>
      <c r="C356" s="8" t="s">
        <v>8680</v>
      </c>
      <c r="D356" s="8" t="s">
        <v>132</v>
      </c>
      <c r="E356" s="8" t="s">
        <v>51</v>
      </c>
      <c r="F356" s="8" t="s">
        <v>2027</v>
      </c>
      <c r="G356" s="8" t="s">
        <v>151</v>
      </c>
      <c r="H356" s="8" t="s">
        <v>8675</v>
      </c>
      <c r="I356" s="8" t="s">
        <v>9130</v>
      </c>
      <c r="J356" s="8"/>
      <c r="K356" s="8" t="s">
        <v>8690</v>
      </c>
      <c r="L356" s="8" t="s">
        <v>9131</v>
      </c>
      <c r="M356" s="8" t="s">
        <v>8692</v>
      </c>
      <c r="N356" s="8" t="n">
        <v>12</v>
      </c>
      <c r="O356" s="8" t="n">
        <v>17</v>
      </c>
      <c r="P356" s="8" t="s">
        <v>120</v>
      </c>
    </row>
    <row r="357" customFormat="false" ht="15" hidden="false" customHeight="false" outlineLevel="0" collapsed="false">
      <c r="A357" s="8" t="s">
        <v>333</v>
      </c>
      <c r="B357" s="8" t="s">
        <v>334</v>
      </c>
      <c r="C357" s="8" t="s">
        <v>8678</v>
      </c>
      <c r="D357" s="8" t="s">
        <v>132</v>
      </c>
      <c r="E357" s="8" t="s">
        <v>55</v>
      </c>
      <c r="F357" s="8" t="s">
        <v>55</v>
      </c>
      <c r="G357" s="8" t="s">
        <v>151</v>
      </c>
      <c r="H357" s="8" t="s">
        <v>8662</v>
      </c>
      <c r="I357" s="8" t="s">
        <v>9132</v>
      </c>
      <c r="J357" s="8" t="s">
        <v>185</v>
      </c>
      <c r="K357" s="8" t="s">
        <v>8664</v>
      </c>
      <c r="L357" s="8"/>
      <c r="M357" s="8"/>
      <c r="N357" s="8" t="n">
        <v>45</v>
      </c>
      <c r="O357" s="8" t="n">
        <v>356</v>
      </c>
      <c r="P357" s="8" t="s">
        <v>120</v>
      </c>
    </row>
    <row r="358" customFormat="false" ht="15" hidden="false" customHeight="false" outlineLevel="0" collapsed="false">
      <c r="A358" s="8" t="s">
        <v>3600</v>
      </c>
      <c r="B358" s="8" t="s">
        <v>3601</v>
      </c>
      <c r="C358" s="8" t="s">
        <v>8669</v>
      </c>
      <c r="D358" s="8" t="s">
        <v>123</v>
      </c>
      <c r="E358" s="8" t="s">
        <v>51</v>
      </c>
      <c r="F358" s="8" t="s">
        <v>2027</v>
      </c>
      <c r="G358" s="8" t="s">
        <v>136</v>
      </c>
      <c r="H358" s="8" t="s">
        <v>8666</v>
      </c>
      <c r="I358" s="8" t="s">
        <v>9133</v>
      </c>
      <c r="J358" s="8" t="s">
        <v>180</v>
      </c>
      <c r="K358" s="8" t="s">
        <v>8664</v>
      </c>
      <c r="L358" s="8"/>
      <c r="M358" s="8"/>
      <c r="N358" s="8" t="n">
        <v>12</v>
      </c>
      <c r="O358" s="8" t="n">
        <v>19</v>
      </c>
      <c r="P358" s="8" t="s">
        <v>120</v>
      </c>
    </row>
    <row r="359" customFormat="false" ht="15" hidden="false" customHeight="false" outlineLevel="0" collapsed="false">
      <c r="A359" s="8" t="s">
        <v>3464</v>
      </c>
      <c r="B359" s="8" t="s">
        <v>3465</v>
      </c>
      <c r="C359" s="8" t="s">
        <v>8665</v>
      </c>
      <c r="D359" s="8" t="s">
        <v>117</v>
      </c>
      <c r="E359" s="8" t="s">
        <v>51</v>
      </c>
      <c r="F359" s="8" t="s">
        <v>2027</v>
      </c>
      <c r="G359" s="8" t="s">
        <v>154</v>
      </c>
      <c r="H359" s="8" t="s">
        <v>8675</v>
      </c>
      <c r="I359" s="8" t="s">
        <v>8897</v>
      </c>
      <c r="J359" s="8" t="s">
        <v>129</v>
      </c>
      <c r="K359" s="8" t="s">
        <v>8664</v>
      </c>
      <c r="L359" s="8"/>
      <c r="M359" s="8"/>
      <c r="N359" s="8" t="n">
        <v>12</v>
      </c>
      <c r="O359" s="8" t="n">
        <v>29</v>
      </c>
      <c r="P359" s="8" t="s">
        <v>120</v>
      </c>
    </row>
    <row r="360" customFormat="false" ht="15" hidden="false" customHeight="false" outlineLevel="0" collapsed="false">
      <c r="A360" s="8" t="s">
        <v>3858</v>
      </c>
      <c r="B360" s="8" t="s">
        <v>3859</v>
      </c>
      <c r="C360" s="8" t="s">
        <v>8688</v>
      </c>
      <c r="D360" s="8" t="s">
        <v>123</v>
      </c>
      <c r="E360" s="8" t="s">
        <v>51</v>
      </c>
      <c r="F360" s="8" t="s">
        <v>2027</v>
      </c>
      <c r="G360" s="8" t="s">
        <v>190</v>
      </c>
      <c r="H360" s="8" t="s">
        <v>8666</v>
      </c>
      <c r="I360" s="8" t="s">
        <v>8794</v>
      </c>
      <c r="J360" s="8" t="s">
        <v>177</v>
      </c>
      <c r="K360" s="8" t="s">
        <v>8664</v>
      </c>
      <c r="L360" s="8"/>
      <c r="M360" s="8"/>
      <c r="N360" s="8" t="n">
        <v>12</v>
      </c>
      <c r="O360" s="8" t="n">
        <v>14</v>
      </c>
      <c r="P360" s="8" t="s">
        <v>120</v>
      </c>
    </row>
    <row r="361" customFormat="false" ht="15" hidden="false" customHeight="false" outlineLevel="0" collapsed="false">
      <c r="A361" s="8" t="s">
        <v>399</v>
      </c>
      <c r="B361" s="8" t="s">
        <v>400</v>
      </c>
      <c r="C361" s="8" t="s">
        <v>8665</v>
      </c>
      <c r="D361" s="8" t="s">
        <v>117</v>
      </c>
      <c r="E361" s="8" t="s">
        <v>55</v>
      </c>
      <c r="F361" s="8" t="s">
        <v>55</v>
      </c>
      <c r="G361" s="8" t="s">
        <v>166</v>
      </c>
      <c r="H361" s="8" t="s">
        <v>8662</v>
      </c>
      <c r="I361" s="8" t="s">
        <v>8831</v>
      </c>
      <c r="J361" s="8" t="s">
        <v>147</v>
      </c>
      <c r="K361" s="8" t="s">
        <v>8664</v>
      </c>
      <c r="L361" s="8"/>
      <c r="M361" s="8"/>
      <c r="N361" s="8" t="n">
        <v>45</v>
      </c>
      <c r="O361" s="8" t="n">
        <v>299</v>
      </c>
      <c r="P361" s="8" t="s">
        <v>120</v>
      </c>
    </row>
    <row r="362" customFormat="false" ht="15" hidden="false" customHeight="false" outlineLevel="0" collapsed="false">
      <c r="A362" s="8" t="s">
        <v>3394</v>
      </c>
      <c r="B362" s="8" t="s">
        <v>3395</v>
      </c>
      <c r="C362" s="8" t="s">
        <v>8678</v>
      </c>
      <c r="D362" s="8" t="s">
        <v>132</v>
      </c>
      <c r="E362" s="8" t="s">
        <v>51</v>
      </c>
      <c r="F362" s="8" t="s">
        <v>2027</v>
      </c>
      <c r="G362" s="8" t="s">
        <v>154</v>
      </c>
      <c r="H362" s="8" t="s">
        <v>8662</v>
      </c>
      <c r="I362" s="8" t="s">
        <v>9134</v>
      </c>
      <c r="J362" s="8" t="s">
        <v>144</v>
      </c>
      <c r="K362" s="8" t="s">
        <v>8664</v>
      </c>
      <c r="L362" s="8"/>
      <c r="M362" s="8"/>
      <c r="N362" s="8" t="n">
        <v>12</v>
      </c>
      <c r="O362" s="8" t="n">
        <v>23</v>
      </c>
      <c r="P362" s="8" t="s">
        <v>120</v>
      </c>
    </row>
    <row r="363" customFormat="false" ht="15" hidden="false" customHeight="false" outlineLevel="0" collapsed="false">
      <c r="A363" s="8" t="s">
        <v>3958</v>
      </c>
      <c r="B363" s="8" t="s">
        <v>3959</v>
      </c>
      <c r="C363" s="8" t="s">
        <v>8669</v>
      </c>
      <c r="D363" s="8" t="s">
        <v>117</v>
      </c>
      <c r="E363" s="8" t="s">
        <v>51</v>
      </c>
      <c r="F363" s="8" t="s">
        <v>326</v>
      </c>
      <c r="G363" s="8" t="s">
        <v>124</v>
      </c>
      <c r="H363" s="8" t="s">
        <v>8670</v>
      </c>
      <c r="I363" s="8" t="s">
        <v>8982</v>
      </c>
      <c r="J363" s="8" t="s">
        <v>180</v>
      </c>
      <c r="K363" s="8" t="s">
        <v>8664</v>
      </c>
      <c r="L363" s="8"/>
      <c r="M363" s="8"/>
      <c r="N363" s="8" t="n">
        <v>25</v>
      </c>
      <c r="O363" s="8" t="n">
        <v>8</v>
      </c>
      <c r="P363" s="8" t="s">
        <v>120</v>
      </c>
    </row>
    <row r="364" customFormat="false" ht="15" hidden="false" customHeight="false" outlineLevel="0" collapsed="false">
      <c r="A364" s="8" t="s">
        <v>4210</v>
      </c>
      <c r="B364" s="8" t="s">
        <v>4211</v>
      </c>
      <c r="C364" s="8" t="s">
        <v>8700</v>
      </c>
      <c r="D364" s="8" t="s">
        <v>123</v>
      </c>
      <c r="E364" s="8" t="s">
        <v>51</v>
      </c>
      <c r="F364" s="8" t="s">
        <v>2027</v>
      </c>
      <c r="G364" s="8" t="s">
        <v>118</v>
      </c>
      <c r="H364" s="8" t="s">
        <v>8662</v>
      </c>
      <c r="I364" s="8" t="s">
        <v>9135</v>
      </c>
      <c r="J364" s="8" t="s">
        <v>119</v>
      </c>
      <c r="K364" s="8" t="s">
        <v>8664</v>
      </c>
      <c r="L364" s="8"/>
      <c r="M364" s="8"/>
      <c r="N364" s="8" t="n">
        <v>12</v>
      </c>
      <c r="O364" s="8" t="n">
        <v>8</v>
      </c>
      <c r="P364" s="8" t="s">
        <v>120</v>
      </c>
    </row>
    <row r="365" customFormat="false" ht="15" hidden="false" customHeight="false" outlineLevel="0" collapsed="false">
      <c r="A365" s="8" t="s">
        <v>3624</v>
      </c>
      <c r="B365" s="8" t="s">
        <v>3625</v>
      </c>
      <c r="C365" s="8" t="s">
        <v>8665</v>
      </c>
      <c r="D365" s="8" t="s">
        <v>123</v>
      </c>
      <c r="E365" s="8" t="s">
        <v>51</v>
      </c>
      <c r="F365" s="8" t="s">
        <v>326</v>
      </c>
      <c r="G365" s="8" t="s">
        <v>190</v>
      </c>
      <c r="H365" s="8" t="s">
        <v>8675</v>
      </c>
      <c r="I365" s="8" t="s">
        <v>9136</v>
      </c>
      <c r="J365" s="8" t="s">
        <v>159</v>
      </c>
      <c r="K365" s="8" t="s">
        <v>8664</v>
      </c>
      <c r="L365" s="8"/>
      <c r="M365" s="8"/>
      <c r="N365" s="8" t="n">
        <v>25</v>
      </c>
      <c r="O365" s="8" t="n">
        <v>7</v>
      </c>
      <c r="P365" s="8" t="s">
        <v>120</v>
      </c>
    </row>
    <row r="366" customFormat="false" ht="15" hidden="false" customHeight="false" outlineLevel="0" collapsed="false">
      <c r="A366" s="8" t="s">
        <v>4551</v>
      </c>
      <c r="B366" s="8" t="s">
        <v>9137</v>
      </c>
      <c r="C366" s="8" t="s">
        <v>8665</v>
      </c>
      <c r="D366" s="8" t="s">
        <v>117</v>
      </c>
      <c r="E366" s="8" t="s">
        <v>51</v>
      </c>
      <c r="F366" s="8" t="s">
        <v>2027</v>
      </c>
      <c r="G366" s="8" t="s">
        <v>154</v>
      </c>
      <c r="H366" s="8" t="s">
        <v>8662</v>
      </c>
      <c r="I366" s="8" t="s">
        <v>9138</v>
      </c>
      <c r="J366" s="8"/>
      <c r="K366" s="8" t="s">
        <v>8690</v>
      </c>
      <c r="L366" s="8" t="s">
        <v>9139</v>
      </c>
      <c r="M366" s="8" t="s">
        <v>8795</v>
      </c>
      <c r="N366" s="8" t="n">
        <v>12</v>
      </c>
      <c r="O366" s="8" t="n">
        <v>21</v>
      </c>
      <c r="P366" s="8" t="s">
        <v>120</v>
      </c>
    </row>
    <row r="367" customFormat="false" ht="15" hidden="false" customHeight="false" outlineLevel="0" collapsed="false">
      <c r="A367" s="8" t="s">
        <v>2066</v>
      </c>
      <c r="B367" s="8" t="s">
        <v>2067</v>
      </c>
      <c r="C367" s="8" t="s">
        <v>8669</v>
      </c>
      <c r="D367" s="8" t="s">
        <v>128</v>
      </c>
      <c r="E367" s="8" t="s">
        <v>51</v>
      </c>
      <c r="F367" s="8" t="s">
        <v>326</v>
      </c>
      <c r="G367" s="8" t="s">
        <v>133</v>
      </c>
      <c r="H367" s="8" t="s">
        <v>8670</v>
      </c>
      <c r="I367" s="8" t="s">
        <v>9140</v>
      </c>
      <c r="J367" s="8" t="s">
        <v>125</v>
      </c>
      <c r="K367" s="8" t="s">
        <v>8664</v>
      </c>
      <c r="L367" s="8"/>
      <c r="M367" s="8"/>
      <c r="N367" s="8" t="n">
        <v>25</v>
      </c>
      <c r="O367" s="8" t="n">
        <v>34</v>
      </c>
      <c r="P367" s="8" t="s">
        <v>120</v>
      </c>
    </row>
    <row r="368" customFormat="false" ht="15" hidden="false" customHeight="false" outlineLevel="0" collapsed="false">
      <c r="A368" s="8" t="s">
        <v>9141</v>
      </c>
      <c r="B368" s="8" t="s">
        <v>9142</v>
      </c>
      <c r="C368" s="8" t="s">
        <v>8665</v>
      </c>
      <c r="D368" s="8" t="s">
        <v>123</v>
      </c>
      <c r="E368" s="8" t="s">
        <v>51</v>
      </c>
      <c r="F368" s="8" t="s">
        <v>2027</v>
      </c>
      <c r="G368" s="8" t="s">
        <v>223</v>
      </c>
      <c r="H368" s="8" t="s">
        <v>8662</v>
      </c>
      <c r="I368" s="8" t="s">
        <v>9143</v>
      </c>
      <c r="J368" s="8"/>
      <c r="K368" s="8" t="s">
        <v>8690</v>
      </c>
      <c r="L368" s="8" t="s">
        <v>9104</v>
      </c>
      <c r="M368" s="8" t="s">
        <v>8727</v>
      </c>
      <c r="N368" s="8" t="n">
        <v>12</v>
      </c>
      <c r="O368" s="8" t="n">
        <v>13</v>
      </c>
      <c r="P368" s="8" t="s">
        <v>120</v>
      </c>
    </row>
    <row r="369" customFormat="false" ht="15" hidden="false" customHeight="false" outlineLevel="0" collapsed="false">
      <c r="A369" s="8" t="s">
        <v>3258</v>
      </c>
      <c r="B369" s="8" t="s">
        <v>3259</v>
      </c>
      <c r="C369" s="8" t="s">
        <v>8669</v>
      </c>
      <c r="D369" s="8" t="s">
        <v>123</v>
      </c>
      <c r="E369" s="8" t="s">
        <v>51</v>
      </c>
      <c r="F369" s="8" t="s">
        <v>326</v>
      </c>
      <c r="G369" s="8" t="s">
        <v>136</v>
      </c>
      <c r="H369" s="8" t="s">
        <v>8662</v>
      </c>
      <c r="I369" s="8" t="s">
        <v>9043</v>
      </c>
      <c r="J369" s="8" t="s">
        <v>159</v>
      </c>
      <c r="K369" s="8" t="s">
        <v>8664</v>
      </c>
      <c r="L369" s="8"/>
      <c r="M369" s="8"/>
      <c r="N369" s="8" t="n">
        <v>25</v>
      </c>
      <c r="O369" s="8" t="n">
        <v>12</v>
      </c>
      <c r="P369" s="8" t="s">
        <v>120</v>
      </c>
    </row>
    <row r="370" customFormat="false" ht="15" hidden="false" customHeight="false" outlineLevel="0" collapsed="false">
      <c r="A370" s="8" t="s">
        <v>3156</v>
      </c>
      <c r="B370" s="8" t="s">
        <v>3157</v>
      </c>
      <c r="C370" s="8" t="s">
        <v>8674</v>
      </c>
      <c r="D370" s="8" t="s">
        <v>117</v>
      </c>
      <c r="E370" s="8" t="s">
        <v>51</v>
      </c>
      <c r="F370" s="8" t="s">
        <v>2027</v>
      </c>
      <c r="G370" s="8" t="s">
        <v>136</v>
      </c>
      <c r="H370" s="8" t="s">
        <v>8675</v>
      </c>
      <c r="I370" s="8" t="s">
        <v>8854</v>
      </c>
      <c r="J370" s="8" t="s">
        <v>137</v>
      </c>
      <c r="K370" s="8" t="s">
        <v>8664</v>
      </c>
      <c r="L370" s="8"/>
      <c r="M370" s="8"/>
      <c r="N370" s="8" t="n">
        <v>12</v>
      </c>
      <c r="O370" s="8" t="n">
        <v>23</v>
      </c>
      <c r="P370" s="8" t="s">
        <v>120</v>
      </c>
    </row>
    <row r="371" customFormat="false" ht="15" hidden="false" customHeight="false" outlineLevel="0" collapsed="false">
      <c r="A371" s="8" t="s">
        <v>4445</v>
      </c>
      <c r="B371" s="8" t="s">
        <v>9144</v>
      </c>
      <c r="C371" s="8" t="s">
        <v>8674</v>
      </c>
      <c r="D371" s="8" t="s">
        <v>123</v>
      </c>
      <c r="E371" s="8" t="s">
        <v>53</v>
      </c>
      <c r="F371" s="8" t="s">
        <v>326</v>
      </c>
      <c r="G371" s="8" t="s">
        <v>223</v>
      </c>
      <c r="H371" s="8" t="s">
        <v>8666</v>
      </c>
      <c r="I371" s="8" t="s">
        <v>9145</v>
      </c>
      <c r="J371" s="8"/>
      <c r="K371" s="8" t="s">
        <v>8690</v>
      </c>
      <c r="L371" s="8" t="s">
        <v>8720</v>
      </c>
      <c r="M371" s="8" t="s">
        <v>8692</v>
      </c>
      <c r="N371" s="8" t="n">
        <v>25</v>
      </c>
      <c r="O371" s="8" t="n">
        <v>127</v>
      </c>
      <c r="P371" s="8" t="s">
        <v>120</v>
      </c>
    </row>
    <row r="372" customFormat="false" ht="15" hidden="false" customHeight="false" outlineLevel="0" collapsed="false">
      <c r="A372" s="8" t="s">
        <v>1873</v>
      </c>
      <c r="B372" s="8" t="s">
        <v>1874</v>
      </c>
      <c r="C372" s="8" t="s">
        <v>8661</v>
      </c>
      <c r="D372" s="8" t="s">
        <v>132</v>
      </c>
      <c r="E372" s="8" t="s">
        <v>51</v>
      </c>
      <c r="F372" s="8" t="s">
        <v>326</v>
      </c>
      <c r="G372" s="8" t="s">
        <v>133</v>
      </c>
      <c r="H372" s="8" t="s">
        <v>8670</v>
      </c>
      <c r="I372" s="8" t="s">
        <v>9146</v>
      </c>
      <c r="J372" s="8" t="s">
        <v>185</v>
      </c>
      <c r="K372" s="8" t="s">
        <v>8664</v>
      </c>
      <c r="L372" s="8"/>
      <c r="M372" s="8"/>
      <c r="N372" s="8" t="n">
        <v>25</v>
      </c>
      <c r="O372" s="8" t="n">
        <v>37</v>
      </c>
      <c r="P372" s="8" t="s">
        <v>120</v>
      </c>
    </row>
    <row r="373" customFormat="false" ht="15" hidden="false" customHeight="false" outlineLevel="0" collapsed="false">
      <c r="A373" s="8" t="s">
        <v>2670</v>
      </c>
      <c r="B373" s="8" t="s">
        <v>2671</v>
      </c>
      <c r="C373" s="8" t="s">
        <v>8661</v>
      </c>
      <c r="D373" s="8" t="s">
        <v>128</v>
      </c>
      <c r="E373" s="8" t="s">
        <v>51</v>
      </c>
      <c r="F373" s="8" t="s">
        <v>2027</v>
      </c>
      <c r="G373" s="8" t="s">
        <v>166</v>
      </c>
      <c r="H373" s="8" t="s">
        <v>8670</v>
      </c>
      <c r="I373" s="8" t="s">
        <v>9147</v>
      </c>
      <c r="J373" s="8" t="s">
        <v>119</v>
      </c>
      <c r="K373" s="8" t="s">
        <v>8664</v>
      </c>
      <c r="L373" s="8"/>
      <c r="M373" s="8"/>
      <c r="N373" s="8" t="n">
        <v>12</v>
      </c>
      <c r="O373" s="8" t="n">
        <v>34</v>
      </c>
      <c r="P373" s="8" t="s">
        <v>120</v>
      </c>
    </row>
    <row r="374" customFormat="false" ht="15" hidden="false" customHeight="false" outlineLevel="0" collapsed="false">
      <c r="A374" s="8" t="s">
        <v>2672</v>
      </c>
      <c r="B374" s="8" t="s">
        <v>2673</v>
      </c>
      <c r="C374" s="8" t="s">
        <v>8680</v>
      </c>
      <c r="D374" s="8" t="s">
        <v>132</v>
      </c>
      <c r="E374" s="8" t="s">
        <v>51</v>
      </c>
      <c r="F374" s="8" t="s">
        <v>2027</v>
      </c>
      <c r="G374" s="8" t="s">
        <v>190</v>
      </c>
      <c r="H374" s="8" t="s">
        <v>8670</v>
      </c>
      <c r="I374" s="8" t="s">
        <v>9148</v>
      </c>
      <c r="J374" s="8" t="s">
        <v>177</v>
      </c>
      <c r="K374" s="8" t="s">
        <v>8664</v>
      </c>
      <c r="L374" s="8"/>
      <c r="M374" s="8"/>
      <c r="N374" s="8" t="n">
        <v>12</v>
      </c>
      <c r="O374" s="8" t="n">
        <v>35</v>
      </c>
      <c r="P374" s="8" t="s">
        <v>120</v>
      </c>
    </row>
    <row r="375" customFormat="false" ht="15" hidden="false" customHeight="false" outlineLevel="0" collapsed="false">
      <c r="A375" s="8" t="s">
        <v>145</v>
      </c>
      <c r="B375" s="8" t="s">
        <v>146</v>
      </c>
      <c r="C375" s="8" t="s">
        <v>8700</v>
      </c>
      <c r="D375" s="8" t="s">
        <v>117</v>
      </c>
      <c r="E375" s="8" t="s">
        <v>55</v>
      </c>
      <c r="F375" s="8" t="s">
        <v>55</v>
      </c>
      <c r="G375" s="8" t="s">
        <v>118</v>
      </c>
      <c r="H375" s="8" t="s">
        <v>8675</v>
      </c>
      <c r="I375" s="8" t="s">
        <v>9149</v>
      </c>
      <c r="J375" s="8" t="s">
        <v>147</v>
      </c>
      <c r="K375" s="8" t="s">
        <v>8664</v>
      </c>
      <c r="L375" s="8"/>
      <c r="M375" s="8"/>
      <c r="N375" s="8" t="n">
        <v>45</v>
      </c>
      <c r="O375" s="8" t="n">
        <v>540</v>
      </c>
      <c r="P375" s="8" t="s">
        <v>148</v>
      </c>
    </row>
    <row r="376" customFormat="false" ht="15" hidden="false" customHeight="false" outlineLevel="0" collapsed="false">
      <c r="A376" s="8" t="s">
        <v>449</v>
      </c>
      <c r="B376" s="8" t="s">
        <v>450</v>
      </c>
      <c r="C376" s="8" t="s">
        <v>8661</v>
      </c>
      <c r="D376" s="8" t="s">
        <v>123</v>
      </c>
      <c r="E376" s="8" t="s">
        <v>55</v>
      </c>
      <c r="F376" s="8" t="s">
        <v>55</v>
      </c>
      <c r="G376" s="8" t="s">
        <v>136</v>
      </c>
      <c r="H376" s="8" t="s">
        <v>8670</v>
      </c>
      <c r="I376" s="8" t="s">
        <v>8695</v>
      </c>
      <c r="J376" s="8" t="s">
        <v>140</v>
      </c>
      <c r="K376" s="8" t="s">
        <v>8664</v>
      </c>
      <c r="L376" s="8"/>
      <c r="M376" s="8"/>
      <c r="N376" s="8" t="n">
        <v>45</v>
      </c>
      <c r="O376" s="8" t="n">
        <v>263</v>
      </c>
      <c r="P376" s="8" t="s">
        <v>120</v>
      </c>
    </row>
    <row r="377" customFormat="false" ht="15" hidden="false" customHeight="false" outlineLevel="0" collapsed="false">
      <c r="A377" s="8" t="s">
        <v>957</v>
      </c>
      <c r="B377" s="8" t="s">
        <v>958</v>
      </c>
      <c r="C377" s="8" t="s">
        <v>8700</v>
      </c>
      <c r="D377" s="8" t="s">
        <v>132</v>
      </c>
      <c r="E377" s="8" t="s">
        <v>53</v>
      </c>
      <c r="F377" s="8" t="s">
        <v>326</v>
      </c>
      <c r="G377" s="8" t="s">
        <v>154</v>
      </c>
      <c r="H377" s="8" t="s">
        <v>8666</v>
      </c>
      <c r="I377" s="8" t="s">
        <v>9150</v>
      </c>
      <c r="J377" s="8" t="s">
        <v>140</v>
      </c>
      <c r="K377" s="8" t="s">
        <v>8664</v>
      </c>
      <c r="L377" s="8"/>
      <c r="M377" s="8"/>
      <c r="N377" s="8" t="n">
        <v>25</v>
      </c>
      <c r="O377" s="8" t="n">
        <v>131</v>
      </c>
      <c r="P377" s="8" t="s">
        <v>120</v>
      </c>
    </row>
    <row r="378" customFormat="false" ht="15" hidden="false" customHeight="false" outlineLevel="0" collapsed="false">
      <c r="A378" s="8" t="s">
        <v>3910</v>
      </c>
      <c r="B378" s="8" t="s">
        <v>3911</v>
      </c>
      <c r="C378" s="8" t="s">
        <v>8674</v>
      </c>
      <c r="D378" s="8" t="s">
        <v>123</v>
      </c>
      <c r="E378" s="8" t="s">
        <v>51</v>
      </c>
      <c r="F378" s="8" t="s">
        <v>2027</v>
      </c>
      <c r="G378" s="8" t="s">
        <v>154</v>
      </c>
      <c r="H378" s="8" t="s">
        <v>8675</v>
      </c>
      <c r="I378" s="8" t="s">
        <v>8924</v>
      </c>
      <c r="J378" s="8" t="s">
        <v>129</v>
      </c>
      <c r="K378" s="8" t="s">
        <v>8664</v>
      </c>
      <c r="L378" s="8"/>
      <c r="M378" s="8"/>
      <c r="N378" s="8" t="n">
        <v>12</v>
      </c>
      <c r="O378" s="8" t="n">
        <v>13</v>
      </c>
      <c r="P378" s="8" t="s">
        <v>120</v>
      </c>
    </row>
    <row r="379" customFormat="false" ht="15" hidden="false" customHeight="false" outlineLevel="0" collapsed="false">
      <c r="A379" s="8" t="s">
        <v>1115</v>
      </c>
      <c r="B379" s="8" t="s">
        <v>1116</v>
      </c>
      <c r="C379" s="8" t="s">
        <v>8688</v>
      </c>
      <c r="D379" s="8" t="s">
        <v>123</v>
      </c>
      <c r="E379" s="8" t="s">
        <v>53</v>
      </c>
      <c r="F379" s="8" t="s">
        <v>326</v>
      </c>
      <c r="G379" s="8" t="s">
        <v>190</v>
      </c>
      <c r="H379" s="8" t="s">
        <v>8662</v>
      </c>
      <c r="I379" s="8" t="s">
        <v>8945</v>
      </c>
      <c r="J379" s="8" t="s">
        <v>159</v>
      </c>
      <c r="K379" s="8" t="s">
        <v>8664</v>
      </c>
      <c r="L379" s="8"/>
      <c r="M379" s="8"/>
      <c r="N379" s="8" t="n">
        <v>25</v>
      </c>
      <c r="O379" s="8" t="n">
        <v>120</v>
      </c>
      <c r="P379" s="8" t="s">
        <v>120</v>
      </c>
    </row>
    <row r="380" customFormat="false" ht="15" hidden="false" customHeight="false" outlineLevel="0" collapsed="false">
      <c r="A380" s="8" t="s">
        <v>3548</v>
      </c>
      <c r="B380" s="8" t="s">
        <v>3549</v>
      </c>
      <c r="C380" s="8" t="s">
        <v>8678</v>
      </c>
      <c r="D380" s="8" t="s">
        <v>123</v>
      </c>
      <c r="E380" s="8" t="s">
        <v>51</v>
      </c>
      <c r="F380" s="8" t="s">
        <v>2027</v>
      </c>
      <c r="G380" s="8" t="s">
        <v>133</v>
      </c>
      <c r="H380" s="8" t="s">
        <v>8666</v>
      </c>
      <c r="I380" s="8" t="s">
        <v>9151</v>
      </c>
      <c r="J380" s="8" t="s">
        <v>204</v>
      </c>
      <c r="K380" s="8" t="s">
        <v>8664</v>
      </c>
      <c r="L380" s="8"/>
      <c r="M380" s="8"/>
      <c r="N380" s="8" t="n">
        <v>12</v>
      </c>
      <c r="O380" s="8" t="n">
        <v>20</v>
      </c>
      <c r="P380" s="8" t="s">
        <v>120</v>
      </c>
    </row>
    <row r="381" customFormat="false" ht="15" hidden="false" customHeight="false" outlineLevel="0" collapsed="false">
      <c r="A381" s="8" t="s">
        <v>3984</v>
      </c>
      <c r="B381" s="8" t="s">
        <v>3985</v>
      </c>
      <c r="C381" s="8" t="s">
        <v>8674</v>
      </c>
      <c r="D381" s="8" t="s">
        <v>117</v>
      </c>
      <c r="E381" s="8" t="s">
        <v>51</v>
      </c>
      <c r="F381" s="8" t="s">
        <v>2027</v>
      </c>
      <c r="G381" s="8" t="s">
        <v>133</v>
      </c>
      <c r="H381" s="8" t="s">
        <v>8666</v>
      </c>
      <c r="I381" s="8" t="s">
        <v>9152</v>
      </c>
      <c r="J381" s="8" t="s">
        <v>125</v>
      </c>
      <c r="K381" s="8" t="s">
        <v>8664</v>
      </c>
      <c r="L381" s="8"/>
      <c r="M381" s="8"/>
      <c r="N381" s="8" t="n">
        <v>12</v>
      </c>
      <c r="O381" s="8" t="n">
        <v>12</v>
      </c>
      <c r="P381" s="8" t="s">
        <v>120</v>
      </c>
    </row>
    <row r="382" customFormat="false" ht="15" hidden="false" customHeight="false" outlineLevel="0" collapsed="false">
      <c r="A382" s="8" t="s">
        <v>2674</v>
      </c>
      <c r="B382" s="8" t="s">
        <v>2675</v>
      </c>
      <c r="C382" s="8" t="s">
        <v>8661</v>
      </c>
      <c r="D382" s="8" t="s">
        <v>132</v>
      </c>
      <c r="E382" s="8" t="s">
        <v>51</v>
      </c>
      <c r="F382" s="8" t="s">
        <v>2027</v>
      </c>
      <c r="G382" s="8" t="s">
        <v>133</v>
      </c>
      <c r="H382" s="8" t="s">
        <v>8675</v>
      </c>
      <c r="I382" s="8" t="s">
        <v>9153</v>
      </c>
      <c r="J382" s="8" t="s">
        <v>180</v>
      </c>
      <c r="K382" s="8" t="s">
        <v>8664</v>
      </c>
      <c r="L382" s="8"/>
      <c r="M382" s="8"/>
      <c r="N382" s="8" t="n">
        <v>12</v>
      </c>
      <c r="O382" s="8" t="n">
        <v>29</v>
      </c>
      <c r="P382" s="8" t="s">
        <v>120</v>
      </c>
    </row>
    <row r="383" customFormat="false" ht="15" hidden="false" customHeight="false" outlineLevel="0" collapsed="false">
      <c r="A383" s="8" t="s">
        <v>155</v>
      </c>
      <c r="B383" s="8" t="s">
        <v>156</v>
      </c>
      <c r="C383" s="8" t="s">
        <v>8665</v>
      </c>
      <c r="D383" s="8" t="s">
        <v>128</v>
      </c>
      <c r="E383" s="8" t="s">
        <v>55</v>
      </c>
      <c r="F383" s="8" t="s">
        <v>55</v>
      </c>
      <c r="G383" s="8" t="s">
        <v>133</v>
      </c>
      <c r="H383" s="8" t="s">
        <v>8666</v>
      </c>
      <c r="I383" s="8" t="s">
        <v>9154</v>
      </c>
      <c r="J383" s="8" t="s">
        <v>147</v>
      </c>
      <c r="K383" s="8" t="s">
        <v>8664</v>
      </c>
      <c r="L383" s="8"/>
      <c r="M383" s="8"/>
      <c r="N383" s="8" t="n">
        <v>45</v>
      </c>
      <c r="O383" s="8" t="n">
        <v>441</v>
      </c>
      <c r="P383" s="8" t="s">
        <v>148</v>
      </c>
    </row>
    <row r="384" customFormat="false" ht="15" hidden="false" customHeight="false" outlineLevel="0" collapsed="false">
      <c r="A384" s="8" t="s">
        <v>9155</v>
      </c>
      <c r="B384" s="8" t="s">
        <v>9156</v>
      </c>
      <c r="C384" s="8" t="s">
        <v>8665</v>
      </c>
      <c r="D384" s="8" t="s">
        <v>123</v>
      </c>
      <c r="E384" s="8" t="s">
        <v>51</v>
      </c>
      <c r="F384" s="8" t="s">
        <v>2027</v>
      </c>
      <c r="G384" s="8" t="s">
        <v>124</v>
      </c>
      <c r="H384" s="8" t="s">
        <v>8666</v>
      </c>
      <c r="I384" s="8" t="s">
        <v>9157</v>
      </c>
      <c r="J384" s="8"/>
      <c r="K384" s="8" t="s">
        <v>8690</v>
      </c>
      <c r="L384" s="8" t="s">
        <v>8975</v>
      </c>
      <c r="M384" s="8" t="s">
        <v>8795</v>
      </c>
      <c r="N384" s="8" t="n">
        <v>12</v>
      </c>
      <c r="O384" s="8" t="n">
        <v>16</v>
      </c>
      <c r="P384" s="8" t="s">
        <v>120</v>
      </c>
    </row>
    <row r="385" customFormat="false" ht="15" hidden="false" customHeight="false" outlineLevel="0" collapsed="false">
      <c r="A385" s="8" t="s">
        <v>615</v>
      </c>
      <c r="B385" s="8" t="s">
        <v>616</v>
      </c>
      <c r="C385" s="8" t="s">
        <v>8700</v>
      </c>
      <c r="D385" s="8" t="s">
        <v>123</v>
      </c>
      <c r="E385" s="8" t="s">
        <v>53</v>
      </c>
      <c r="F385" s="8" t="s">
        <v>55</v>
      </c>
      <c r="G385" s="8" t="s">
        <v>143</v>
      </c>
      <c r="H385" s="8" t="s">
        <v>8670</v>
      </c>
      <c r="I385" s="8" t="s">
        <v>9158</v>
      </c>
      <c r="J385" s="8" t="s">
        <v>125</v>
      </c>
      <c r="K385" s="8" t="s">
        <v>8664</v>
      </c>
      <c r="L385" s="8"/>
      <c r="M385" s="8"/>
      <c r="N385" s="8" t="n">
        <v>45</v>
      </c>
      <c r="O385" s="8" t="n">
        <v>166</v>
      </c>
      <c r="P385" s="8" t="s">
        <v>120</v>
      </c>
    </row>
    <row r="386" customFormat="false" ht="15" hidden="false" customHeight="false" outlineLevel="0" collapsed="false">
      <c r="A386" s="8" t="s">
        <v>9159</v>
      </c>
      <c r="B386" s="8" t="s">
        <v>9160</v>
      </c>
      <c r="C386" s="8" t="s">
        <v>8688</v>
      </c>
      <c r="D386" s="8" t="s">
        <v>128</v>
      </c>
      <c r="E386" s="8" t="s">
        <v>53</v>
      </c>
      <c r="F386" s="8" t="s">
        <v>326</v>
      </c>
      <c r="G386" s="8" t="s">
        <v>151</v>
      </c>
      <c r="H386" s="8" t="s">
        <v>8670</v>
      </c>
      <c r="I386" s="8" t="s">
        <v>9045</v>
      </c>
      <c r="J386" s="8"/>
      <c r="K386" s="8" t="s">
        <v>8690</v>
      </c>
      <c r="L386" s="8" t="s">
        <v>9026</v>
      </c>
      <c r="M386" s="8" t="s">
        <v>8696</v>
      </c>
      <c r="N386" s="8" t="n">
        <v>25</v>
      </c>
      <c r="O386" s="8" t="n">
        <v>112</v>
      </c>
      <c r="P386" s="8" t="s">
        <v>120</v>
      </c>
    </row>
    <row r="387" customFormat="false" ht="15" hidden="false" customHeight="false" outlineLevel="0" collapsed="false">
      <c r="A387" s="8" t="s">
        <v>3786</v>
      </c>
      <c r="B387" s="8" t="s">
        <v>3787</v>
      </c>
      <c r="C387" s="8" t="s">
        <v>8678</v>
      </c>
      <c r="D387" s="8" t="s">
        <v>117</v>
      </c>
      <c r="E387" s="8" t="s">
        <v>51</v>
      </c>
      <c r="F387" s="8" t="s">
        <v>2027</v>
      </c>
      <c r="G387" s="8" t="s">
        <v>136</v>
      </c>
      <c r="H387" s="8" t="s">
        <v>8666</v>
      </c>
      <c r="I387" s="8" t="s">
        <v>9161</v>
      </c>
      <c r="J387" s="8" t="s">
        <v>204</v>
      </c>
      <c r="K387" s="8" t="s">
        <v>8664</v>
      </c>
      <c r="L387" s="8"/>
      <c r="M387" s="8"/>
      <c r="N387" s="8" t="n">
        <v>12</v>
      </c>
      <c r="O387" s="8" t="n">
        <v>15</v>
      </c>
      <c r="P387" s="8" t="s">
        <v>120</v>
      </c>
    </row>
    <row r="388" customFormat="false" ht="15" hidden="false" customHeight="false" outlineLevel="0" collapsed="false">
      <c r="A388" s="8" t="s">
        <v>1263</v>
      </c>
      <c r="B388" s="8" t="s">
        <v>1264</v>
      </c>
      <c r="C388" s="8" t="s">
        <v>8680</v>
      </c>
      <c r="D388" s="8" t="s">
        <v>132</v>
      </c>
      <c r="E388" s="8" t="s">
        <v>53</v>
      </c>
      <c r="F388" s="8" t="s">
        <v>55</v>
      </c>
      <c r="G388" s="8" t="s">
        <v>124</v>
      </c>
      <c r="H388" s="8" t="s">
        <v>8662</v>
      </c>
      <c r="I388" s="8" t="s">
        <v>9162</v>
      </c>
      <c r="J388" s="8" t="s">
        <v>140</v>
      </c>
      <c r="K388" s="8" t="s">
        <v>8664</v>
      </c>
      <c r="L388" s="8"/>
      <c r="M388" s="8"/>
      <c r="N388" s="8" t="n">
        <v>45</v>
      </c>
      <c r="O388" s="8" t="n">
        <v>71</v>
      </c>
      <c r="P388" s="8" t="s">
        <v>120</v>
      </c>
    </row>
    <row r="389" customFormat="false" ht="15" hidden="false" customHeight="false" outlineLevel="0" collapsed="false">
      <c r="A389" s="8" t="s">
        <v>1749</v>
      </c>
      <c r="B389" s="8" t="s">
        <v>1750</v>
      </c>
      <c r="C389" s="8" t="s">
        <v>8688</v>
      </c>
      <c r="D389" s="8" t="s">
        <v>117</v>
      </c>
      <c r="E389" s="8" t="s">
        <v>53</v>
      </c>
      <c r="F389" s="8" t="s">
        <v>326</v>
      </c>
      <c r="G389" s="8" t="s">
        <v>166</v>
      </c>
      <c r="H389" s="8" t="s">
        <v>8666</v>
      </c>
      <c r="I389" s="8" t="s">
        <v>9163</v>
      </c>
      <c r="J389" s="8" t="s">
        <v>137</v>
      </c>
      <c r="K389" s="8" t="s">
        <v>8664</v>
      </c>
      <c r="L389" s="8"/>
      <c r="M389" s="8"/>
      <c r="N389" s="8" t="n">
        <v>25</v>
      </c>
      <c r="O389" s="8" t="n">
        <v>48</v>
      </c>
      <c r="P389" s="8" t="s">
        <v>120</v>
      </c>
    </row>
    <row r="390" customFormat="false" ht="15" hidden="false" customHeight="false" outlineLevel="0" collapsed="false">
      <c r="A390" s="8" t="s">
        <v>375</v>
      </c>
      <c r="B390" s="8" t="s">
        <v>376</v>
      </c>
      <c r="C390" s="8" t="s">
        <v>8700</v>
      </c>
      <c r="D390" s="8" t="s">
        <v>123</v>
      </c>
      <c r="E390" s="8" t="s">
        <v>55</v>
      </c>
      <c r="F390" s="8" t="s">
        <v>326</v>
      </c>
      <c r="G390" s="8" t="s">
        <v>143</v>
      </c>
      <c r="H390" s="8" t="s">
        <v>8666</v>
      </c>
      <c r="I390" s="8" t="s">
        <v>9164</v>
      </c>
      <c r="J390" s="8" t="s">
        <v>147</v>
      </c>
      <c r="K390" s="8" t="s">
        <v>8664</v>
      </c>
      <c r="L390" s="8"/>
      <c r="M390" s="8"/>
      <c r="N390" s="8" t="n">
        <v>25</v>
      </c>
      <c r="O390" s="8" t="n">
        <v>424</v>
      </c>
      <c r="P390" s="8" t="s">
        <v>120</v>
      </c>
    </row>
    <row r="391" customFormat="false" ht="15" hidden="false" customHeight="false" outlineLevel="0" collapsed="false">
      <c r="A391" s="8" t="s">
        <v>609</v>
      </c>
      <c r="B391" s="8" t="s">
        <v>610</v>
      </c>
      <c r="C391" s="8" t="s">
        <v>8680</v>
      </c>
      <c r="D391" s="8" t="s">
        <v>123</v>
      </c>
      <c r="E391" s="8" t="s">
        <v>53</v>
      </c>
      <c r="F391" s="8" t="s">
        <v>55</v>
      </c>
      <c r="G391" s="8" t="s">
        <v>151</v>
      </c>
      <c r="H391" s="8" t="s">
        <v>8666</v>
      </c>
      <c r="I391" s="8" t="s">
        <v>9165</v>
      </c>
      <c r="J391" s="8" t="s">
        <v>140</v>
      </c>
      <c r="K391" s="8" t="s">
        <v>8664</v>
      </c>
      <c r="L391" s="8"/>
      <c r="M391" s="8"/>
      <c r="N391" s="8" t="n">
        <v>45</v>
      </c>
      <c r="O391" s="8" t="n">
        <v>167</v>
      </c>
      <c r="P391" s="8" t="s">
        <v>120</v>
      </c>
    </row>
    <row r="392" customFormat="false" ht="15" hidden="false" customHeight="false" outlineLevel="0" collapsed="false">
      <c r="A392" s="8" t="s">
        <v>2336</v>
      </c>
      <c r="B392" s="8" t="s">
        <v>2337</v>
      </c>
      <c r="C392" s="8" t="s">
        <v>8661</v>
      </c>
      <c r="D392" s="8" t="s">
        <v>128</v>
      </c>
      <c r="E392" s="8" t="s">
        <v>51</v>
      </c>
      <c r="F392" s="8" t="s">
        <v>2027</v>
      </c>
      <c r="G392" s="8" t="s">
        <v>151</v>
      </c>
      <c r="H392" s="8" t="s">
        <v>8662</v>
      </c>
      <c r="I392" s="8" t="s">
        <v>9166</v>
      </c>
      <c r="J392" s="8" t="s">
        <v>144</v>
      </c>
      <c r="K392" s="8" t="s">
        <v>8664</v>
      </c>
      <c r="L392" s="8"/>
      <c r="M392" s="8"/>
      <c r="N392" s="8" t="n">
        <v>12</v>
      </c>
      <c r="O392" s="8" t="n">
        <v>36</v>
      </c>
      <c r="P392" s="8" t="s">
        <v>120</v>
      </c>
    </row>
    <row r="393" customFormat="false" ht="15" hidden="false" customHeight="false" outlineLevel="0" collapsed="false">
      <c r="A393" s="8" t="s">
        <v>4152</v>
      </c>
      <c r="B393" s="8" t="s">
        <v>4153</v>
      </c>
      <c r="C393" s="8" t="s">
        <v>8674</v>
      </c>
      <c r="D393" s="8" t="s">
        <v>128</v>
      </c>
      <c r="E393" s="8" t="s">
        <v>51</v>
      </c>
      <c r="F393" s="8" t="s">
        <v>2027</v>
      </c>
      <c r="G393" s="8" t="s">
        <v>151</v>
      </c>
      <c r="H393" s="8" t="s">
        <v>8670</v>
      </c>
      <c r="I393" s="8" t="s">
        <v>9167</v>
      </c>
      <c r="J393" s="8" t="s">
        <v>180</v>
      </c>
      <c r="K393" s="8" t="s">
        <v>8664</v>
      </c>
      <c r="L393" s="8"/>
      <c r="M393" s="8"/>
      <c r="N393" s="8" t="n">
        <v>12</v>
      </c>
      <c r="O393" s="8" t="n">
        <v>9</v>
      </c>
      <c r="P393" s="8" t="s">
        <v>199</v>
      </c>
    </row>
    <row r="394" customFormat="false" ht="15" hidden="false" customHeight="false" outlineLevel="0" collapsed="false">
      <c r="A394" s="8" t="s">
        <v>4407</v>
      </c>
      <c r="B394" s="8" t="s">
        <v>9168</v>
      </c>
      <c r="C394" s="8" t="s">
        <v>8688</v>
      </c>
      <c r="D394" s="8" t="s">
        <v>123</v>
      </c>
      <c r="E394" s="8" t="s">
        <v>55</v>
      </c>
      <c r="F394" s="8" t="s">
        <v>55</v>
      </c>
      <c r="G394" s="8" t="s">
        <v>124</v>
      </c>
      <c r="H394" s="8" t="s">
        <v>8662</v>
      </c>
      <c r="I394" s="8" t="s">
        <v>8742</v>
      </c>
      <c r="J394" s="8"/>
      <c r="K394" s="8" t="s">
        <v>8690</v>
      </c>
      <c r="L394" s="8" t="s">
        <v>8974</v>
      </c>
      <c r="M394" s="8" t="s">
        <v>8692</v>
      </c>
      <c r="N394" s="8" t="n">
        <v>45</v>
      </c>
      <c r="O394" s="8" t="n">
        <v>463</v>
      </c>
      <c r="P394" s="8" t="s">
        <v>120</v>
      </c>
    </row>
    <row r="395" customFormat="false" ht="15" hidden="false" customHeight="false" outlineLevel="0" collapsed="false">
      <c r="A395" s="8" t="s">
        <v>4562</v>
      </c>
      <c r="B395" s="8" t="s">
        <v>9169</v>
      </c>
      <c r="C395" s="8" t="s">
        <v>8674</v>
      </c>
      <c r="D395" s="8" t="s">
        <v>123</v>
      </c>
      <c r="E395" s="8" t="s">
        <v>51</v>
      </c>
      <c r="F395" s="8" t="s">
        <v>326</v>
      </c>
      <c r="G395" s="8" t="s">
        <v>223</v>
      </c>
      <c r="H395" s="8" t="s">
        <v>8666</v>
      </c>
      <c r="I395" s="8" t="s">
        <v>9170</v>
      </c>
      <c r="J395" s="8"/>
      <c r="K395" s="8" t="s">
        <v>8690</v>
      </c>
      <c r="L395" s="8" t="s">
        <v>9171</v>
      </c>
      <c r="M395" s="8" t="s">
        <v>8692</v>
      </c>
      <c r="N395" s="8" t="n">
        <v>25</v>
      </c>
      <c r="O395" s="8" t="n">
        <v>12</v>
      </c>
      <c r="P395" s="8" t="s">
        <v>120</v>
      </c>
    </row>
    <row r="396" customFormat="false" ht="15" hidden="false" customHeight="false" outlineLevel="0" collapsed="false">
      <c r="A396" s="8" t="s">
        <v>2556</v>
      </c>
      <c r="B396" s="8" t="s">
        <v>2557</v>
      </c>
      <c r="C396" s="8" t="s">
        <v>8669</v>
      </c>
      <c r="D396" s="8" t="s">
        <v>117</v>
      </c>
      <c r="E396" s="8" t="s">
        <v>51</v>
      </c>
      <c r="F396" s="8" t="s">
        <v>2027</v>
      </c>
      <c r="G396" s="8" t="s">
        <v>143</v>
      </c>
      <c r="H396" s="8" t="s">
        <v>8670</v>
      </c>
      <c r="I396" s="8" t="s">
        <v>8811</v>
      </c>
      <c r="J396" s="8" t="s">
        <v>129</v>
      </c>
      <c r="K396" s="8" t="s">
        <v>8664</v>
      </c>
      <c r="L396" s="8"/>
      <c r="M396" s="8"/>
      <c r="N396" s="8" t="n">
        <v>12</v>
      </c>
      <c r="O396" s="8" t="n">
        <v>37</v>
      </c>
      <c r="P396" s="8" t="s">
        <v>120</v>
      </c>
    </row>
    <row r="397" customFormat="false" ht="15" hidden="false" customHeight="false" outlineLevel="0" collapsed="false">
      <c r="A397" s="8" t="s">
        <v>3046</v>
      </c>
      <c r="B397" s="8" t="s">
        <v>3047</v>
      </c>
      <c r="C397" s="8" t="s">
        <v>8674</v>
      </c>
      <c r="D397" s="8" t="s">
        <v>123</v>
      </c>
      <c r="E397" s="8" t="s">
        <v>51</v>
      </c>
      <c r="F397" s="8" t="s">
        <v>2027</v>
      </c>
      <c r="G397" s="8" t="s">
        <v>118</v>
      </c>
      <c r="H397" s="8" t="s">
        <v>8666</v>
      </c>
      <c r="I397" s="8" t="s">
        <v>9172</v>
      </c>
      <c r="J397" s="8" t="s">
        <v>129</v>
      </c>
      <c r="K397" s="8" t="s">
        <v>8664</v>
      </c>
      <c r="L397" s="8"/>
      <c r="M397" s="8"/>
      <c r="N397" s="8" t="n">
        <v>12</v>
      </c>
      <c r="O397" s="8" t="n">
        <v>29</v>
      </c>
      <c r="P397" s="8" t="s">
        <v>120</v>
      </c>
    </row>
    <row r="398" customFormat="false" ht="15" hidden="false" customHeight="false" outlineLevel="0" collapsed="false">
      <c r="A398" s="8" t="s">
        <v>2782</v>
      </c>
      <c r="B398" s="8" t="s">
        <v>2783</v>
      </c>
      <c r="C398" s="8" t="s">
        <v>8678</v>
      </c>
      <c r="D398" s="8" t="s">
        <v>132</v>
      </c>
      <c r="E398" s="8" t="s">
        <v>51</v>
      </c>
      <c r="F398" s="8" t="s">
        <v>326</v>
      </c>
      <c r="G398" s="8" t="s">
        <v>133</v>
      </c>
      <c r="H398" s="8" t="s">
        <v>8670</v>
      </c>
      <c r="I398" s="8" t="s">
        <v>9086</v>
      </c>
      <c r="J398" s="8" t="s">
        <v>129</v>
      </c>
      <c r="K398" s="8" t="s">
        <v>8664</v>
      </c>
      <c r="L398" s="8"/>
      <c r="M398" s="8"/>
      <c r="N398" s="8" t="n">
        <v>25</v>
      </c>
      <c r="O398" s="8" t="n">
        <v>16</v>
      </c>
      <c r="P398" s="8" t="s">
        <v>120</v>
      </c>
    </row>
    <row r="399" customFormat="false" ht="15" hidden="false" customHeight="false" outlineLevel="0" collapsed="false">
      <c r="A399" s="8" t="s">
        <v>2812</v>
      </c>
      <c r="B399" s="8" t="s">
        <v>2813</v>
      </c>
      <c r="C399" s="8" t="s">
        <v>8688</v>
      </c>
      <c r="D399" s="8" t="s">
        <v>117</v>
      </c>
      <c r="E399" s="8" t="s">
        <v>51</v>
      </c>
      <c r="F399" s="8" t="s">
        <v>2027</v>
      </c>
      <c r="G399" s="8" t="s">
        <v>136</v>
      </c>
      <c r="H399" s="8" t="s">
        <v>8675</v>
      </c>
      <c r="I399" s="8" t="s">
        <v>8794</v>
      </c>
      <c r="J399" s="8" t="s">
        <v>177</v>
      </c>
      <c r="K399" s="8" t="s">
        <v>8664</v>
      </c>
      <c r="L399" s="8"/>
      <c r="M399" s="8"/>
      <c r="N399" s="8" t="n">
        <v>12</v>
      </c>
      <c r="O399" s="8" t="n">
        <v>33</v>
      </c>
      <c r="P399" s="8" t="s">
        <v>120</v>
      </c>
    </row>
    <row r="400" customFormat="false" ht="15" hidden="false" customHeight="false" outlineLevel="0" collapsed="false">
      <c r="A400" s="8" t="s">
        <v>6437</v>
      </c>
      <c r="B400" s="8" t="s">
        <v>9173</v>
      </c>
      <c r="C400" s="8" t="s">
        <v>8665</v>
      </c>
      <c r="D400" s="8" t="s">
        <v>123</v>
      </c>
      <c r="E400" s="8" t="s">
        <v>55</v>
      </c>
      <c r="F400" s="8" t="s">
        <v>55</v>
      </c>
      <c r="G400" s="8" t="s">
        <v>133</v>
      </c>
      <c r="H400" s="8" t="s">
        <v>8662</v>
      </c>
      <c r="I400" s="8" t="s">
        <v>9174</v>
      </c>
      <c r="J400" s="8"/>
      <c r="K400" s="8" t="s">
        <v>8690</v>
      </c>
      <c r="L400" s="8" t="s">
        <v>8735</v>
      </c>
      <c r="M400" s="8" t="s">
        <v>8692</v>
      </c>
      <c r="N400" s="8" t="n">
        <v>45</v>
      </c>
      <c r="O400" s="8" t="n">
        <v>346</v>
      </c>
      <c r="P400" s="8" t="s">
        <v>120</v>
      </c>
    </row>
    <row r="401" customFormat="false" ht="15" hidden="false" customHeight="false" outlineLevel="0" collapsed="false">
      <c r="A401" s="8" t="s">
        <v>2732</v>
      </c>
      <c r="B401" s="8" t="s">
        <v>2733</v>
      </c>
      <c r="C401" s="8" t="s">
        <v>8669</v>
      </c>
      <c r="D401" s="8" t="s">
        <v>123</v>
      </c>
      <c r="E401" s="8" t="s">
        <v>51</v>
      </c>
      <c r="F401" s="8" t="s">
        <v>2027</v>
      </c>
      <c r="G401" s="8" t="s">
        <v>143</v>
      </c>
      <c r="H401" s="8" t="s">
        <v>8675</v>
      </c>
      <c r="I401" s="8" t="s">
        <v>9175</v>
      </c>
      <c r="J401" s="8" t="s">
        <v>140</v>
      </c>
      <c r="K401" s="8" t="s">
        <v>8664</v>
      </c>
      <c r="L401" s="8"/>
      <c r="M401" s="8"/>
      <c r="N401" s="8" t="n">
        <v>12</v>
      </c>
      <c r="O401" s="8" t="n">
        <v>34</v>
      </c>
      <c r="P401" s="8" t="s">
        <v>120</v>
      </c>
    </row>
    <row r="402" customFormat="false" ht="15" hidden="false" customHeight="false" outlineLevel="0" collapsed="false">
      <c r="A402" s="8" t="s">
        <v>6020</v>
      </c>
      <c r="B402" s="8" t="s">
        <v>9176</v>
      </c>
      <c r="C402" s="8" t="s">
        <v>8700</v>
      </c>
      <c r="D402" s="8" t="s">
        <v>132</v>
      </c>
      <c r="E402" s="8" t="s">
        <v>53</v>
      </c>
      <c r="F402" s="8" t="s">
        <v>55</v>
      </c>
      <c r="G402" s="8" t="s">
        <v>136</v>
      </c>
      <c r="H402" s="8" t="s">
        <v>8670</v>
      </c>
      <c r="I402" s="8" t="s">
        <v>9177</v>
      </c>
      <c r="J402" s="8"/>
      <c r="K402" s="8" t="s">
        <v>8690</v>
      </c>
      <c r="L402" s="8" t="s">
        <v>9178</v>
      </c>
      <c r="M402" s="8" t="s">
        <v>8696</v>
      </c>
      <c r="N402" s="8" t="n">
        <v>45</v>
      </c>
      <c r="O402" s="8" t="n">
        <v>72</v>
      </c>
      <c r="P402" s="8" t="s">
        <v>120</v>
      </c>
    </row>
    <row r="403" customFormat="false" ht="15" hidden="false" customHeight="false" outlineLevel="0" collapsed="false">
      <c r="A403" s="8" t="s">
        <v>2498</v>
      </c>
      <c r="B403" s="8" t="s">
        <v>2499</v>
      </c>
      <c r="C403" s="8" t="s">
        <v>8700</v>
      </c>
      <c r="D403" s="8" t="s">
        <v>132</v>
      </c>
      <c r="E403" s="8" t="s">
        <v>51</v>
      </c>
      <c r="F403" s="8" t="s">
        <v>2027</v>
      </c>
      <c r="G403" s="8" t="s">
        <v>151</v>
      </c>
      <c r="H403" s="8" t="s">
        <v>8670</v>
      </c>
      <c r="I403" s="8" t="s">
        <v>9058</v>
      </c>
      <c r="J403" s="8" t="s">
        <v>147</v>
      </c>
      <c r="K403" s="8" t="s">
        <v>8664</v>
      </c>
      <c r="L403" s="8"/>
      <c r="M403" s="8"/>
      <c r="N403" s="8" t="n">
        <v>12</v>
      </c>
      <c r="O403" s="8" t="n">
        <v>38</v>
      </c>
      <c r="P403" s="8" t="s">
        <v>120</v>
      </c>
    </row>
    <row r="404" customFormat="false" ht="15" hidden="false" customHeight="false" outlineLevel="0" collapsed="false">
      <c r="A404" s="8" t="s">
        <v>1481</v>
      </c>
      <c r="B404" s="8" t="s">
        <v>1482</v>
      </c>
      <c r="C404" s="8" t="s">
        <v>8678</v>
      </c>
      <c r="D404" s="8" t="s">
        <v>123</v>
      </c>
      <c r="E404" s="8" t="s">
        <v>53</v>
      </c>
      <c r="F404" s="8" t="s">
        <v>326</v>
      </c>
      <c r="G404" s="8" t="s">
        <v>190</v>
      </c>
      <c r="H404" s="8" t="s">
        <v>8675</v>
      </c>
      <c r="I404" s="8" t="s">
        <v>9179</v>
      </c>
      <c r="J404" s="8" t="s">
        <v>180</v>
      </c>
      <c r="K404" s="8" t="s">
        <v>8664</v>
      </c>
      <c r="L404" s="8"/>
      <c r="M404" s="8"/>
      <c r="N404" s="8" t="n">
        <v>25</v>
      </c>
      <c r="O404" s="8" t="n">
        <v>92</v>
      </c>
      <c r="P404" s="8" t="s">
        <v>199</v>
      </c>
    </row>
    <row r="405" customFormat="false" ht="15" hidden="false" customHeight="false" outlineLevel="0" collapsed="false">
      <c r="A405" s="8" t="s">
        <v>2976</v>
      </c>
      <c r="B405" s="8" t="s">
        <v>2977</v>
      </c>
      <c r="C405" s="8" t="s">
        <v>8700</v>
      </c>
      <c r="D405" s="8" t="s">
        <v>123</v>
      </c>
      <c r="E405" s="8" t="s">
        <v>51</v>
      </c>
      <c r="F405" s="8" t="s">
        <v>2027</v>
      </c>
      <c r="G405" s="8" t="s">
        <v>118</v>
      </c>
      <c r="H405" s="8" t="s">
        <v>8670</v>
      </c>
      <c r="I405" s="8" t="s">
        <v>9180</v>
      </c>
      <c r="J405" s="8" t="s">
        <v>180</v>
      </c>
      <c r="K405" s="8" t="s">
        <v>8664</v>
      </c>
      <c r="L405" s="8"/>
      <c r="M405" s="8"/>
      <c r="N405" s="8" t="n">
        <v>12</v>
      </c>
      <c r="O405" s="8" t="n">
        <v>25</v>
      </c>
      <c r="P405" s="8" t="s">
        <v>120</v>
      </c>
    </row>
    <row r="406" customFormat="false" ht="15" hidden="false" customHeight="false" outlineLevel="0" collapsed="false">
      <c r="A406" s="8" t="s">
        <v>1561</v>
      </c>
      <c r="B406" s="8" t="s">
        <v>1562</v>
      </c>
      <c r="C406" s="8" t="s">
        <v>8688</v>
      </c>
      <c r="D406" s="8" t="s">
        <v>123</v>
      </c>
      <c r="E406" s="8" t="s">
        <v>53</v>
      </c>
      <c r="F406" s="8" t="s">
        <v>326</v>
      </c>
      <c r="G406" s="8" t="s">
        <v>166</v>
      </c>
      <c r="H406" s="8" t="s">
        <v>8670</v>
      </c>
      <c r="I406" s="8" t="s">
        <v>8748</v>
      </c>
      <c r="J406" s="8" t="s">
        <v>129</v>
      </c>
      <c r="K406" s="8" t="s">
        <v>8664</v>
      </c>
      <c r="L406" s="8"/>
      <c r="M406" s="8"/>
      <c r="N406" s="8" t="n">
        <v>25</v>
      </c>
      <c r="O406" s="8" t="n">
        <v>80</v>
      </c>
      <c r="P406" s="8" t="s">
        <v>120</v>
      </c>
    </row>
    <row r="407" customFormat="false" ht="15" hidden="false" customHeight="false" outlineLevel="0" collapsed="false">
      <c r="A407" s="8" t="s">
        <v>3860</v>
      </c>
      <c r="B407" s="8" t="s">
        <v>3861</v>
      </c>
      <c r="C407" s="8" t="s">
        <v>8674</v>
      </c>
      <c r="D407" s="8" t="s">
        <v>132</v>
      </c>
      <c r="E407" s="8" t="s">
        <v>51</v>
      </c>
      <c r="F407" s="8" t="s">
        <v>2027</v>
      </c>
      <c r="G407" s="8" t="s">
        <v>143</v>
      </c>
      <c r="H407" s="8" t="s">
        <v>8675</v>
      </c>
      <c r="I407" s="8" t="s">
        <v>8762</v>
      </c>
      <c r="J407" s="8" t="s">
        <v>140</v>
      </c>
      <c r="K407" s="8" t="s">
        <v>8664</v>
      </c>
      <c r="L407" s="8"/>
      <c r="M407" s="8"/>
      <c r="N407" s="8" t="n">
        <v>12</v>
      </c>
      <c r="O407" s="8" t="n">
        <v>14</v>
      </c>
      <c r="P407" s="8" t="s">
        <v>120</v>
      </c>
    </row>
    <row r="408" customFormat="false" ht="15" hidden="false" customHeight="false" outlineLevel="0" collapsed="false">
      <c r="A408" s="8" t="s">
        <v>1811</v>
      </c>
      <c r="B408" s="8" t="s">
        <v>1812</v>
      </c>
      <c r="C408" s="8" t="s">
        <v>8669</v>
      </c>
      <c r="D408" s="8" t="s">
        <v>132</v>
      </c>
      <c r="E408" s="8" t="s">
        <v>51</v>
      </c>
      <c r="F408" s="8" t="s">
        <v>326</v>
      </c>
      <c r="G408" s="8" t="s">
        <v>151</v>
      </c>
      <c r="H408" s="8" t="s">
        <v>8662</v>
      </c>
      <c r="I408" s="8" t="s">
        <v>8950</v>
      </c>
      <c r="J408" s="8" t="s">
        <v>129</v>
      </c>
      <c r="K408" s="8" t="s">
        <v>8664</v>
      </c>
      <c r="L408" s="8"/>
      <c r="M408" s="8"/>
      <c r="N408" s="8" t="n">
        <v>25</v>
      </c>
      <c r="O408" s="8" t="n">
        <v>31</v>
      </c>
      <c r="P408" s="8" t="s">
        <v>120</v>
      </c>
    </row>
    <row r="409" customFormat="false" ht="15" hidden="false" customHeight="false" outlineLevel="0" collapsed="false">
      <c r="A409" s="8" t="s">
        <v>897</v>
      </c>
      <c r="B409" s="8" t="s">
        <v>898</v>
      </c>
      <c r="C409" s="8" t="s">
        <v>8665</v>
      </c>
      <c r="D409" s="8" t="s">
        <v>123</v>
      </c>
      <c r="E409" s="8" t="s">
        <v>53</v>
      </c>
      <c r="F409" s="8" t="s">
        <v>326</v>
      </c>
      <c r="G409" s="8" t="s">
        <v>223</v>
      </c>
      <c r="H409" s="8" t="s">
        <v>8662</v>
      </c>
      <c r="I409" s="8" t="s">
        <v>8937</v>
      </c>
      <c r="J409" s="8" t="s">
        <v>119</v>
      </c>
      <c r="K409" s="8" t="s">
        <v>8664</v>
      </c>
      <c r="L409" s="8"/>
      <c r="M409" s="8"/>
      <c r="N409" s="8" t="n">
        <v>25</v>
      </c>
      <c r="O409" s="8" t="n">
        <v>181</v>
      </c>
      <c r="P409" s="8" t="s">
        <v>120</v>
      </c>
    </row>
    <row r="410" customFormat="false" ht="15" hidden="false" customHeight="false" outlineLevel="0" collapsed="false">
      <c r="A410" s="8" t="s">
        <v>3656</v>
      </c>
      <c r="B410" s="8" t="s">
        <v>3657</v>
      </c>
      <c r="C410" s="8" t="s">
        <v>8680</v>
      </c>
      <c r="D410" s="8" t="s">
        <v>132</v>
      </c>
      <c r="E410" s="8" t="s">
        <v>51</v>
      </c>
      <c r="F410" s="8" t="s">
        <v>2027</v>
      </c>
      <c r="G410" s="8" t="s">
        <v>118</v>
      </c>
      <c r="H410" s="8" t="s">
        <v>8666</v>
      </c>
      <c r="I410" s="8" t="s">
        <v>9073</v>
      </c>
      <c r="J410" s="8" t="s">
        <v>204</v>
      </c>
      <c r="K410" s="8" t="s">
        <v>8664</v>
      </c>
      <c r="L410" s="8"/>
      <c r="M410" s="8"/>
      <c r="N410" s="8" t="n">
        <v>12</v>
      </c>
      <c r="O410" s="8" t="n">
        <v>18</v>
      </c>
      <c r="P410" s="8" t="s">
        <v>120</v>
      </c>
    </row>
    <row r="411" customFormat="false" ht="15" hidden="false" customHeight="false" outlineLevel="0" collapsed="false">
      <c r="A411" s="8" t="s">
        <v>2842</v>
      </c>
      <c r="B411" s="8" t="s">
        <v>2843</v>
      </c>
      <c r="C411" s="8" t="s">
        <v>8661</v>
      </c>
      <c r="D411" s="8" t="s">
        <v>123</v>
      </c>
      <c r="E411" s="8" t="s">
        <v>51</v>
      </c>
      <c r="F411" s="8" t="s">
        <v>2027</v>
      </c>
      <c r="G411" s="8" t="s">
        <v>124</v>
      </c>
      <c r="H411" s="8" t="s">
        <v>8675</v>
      </c>
      <c r="I411" s="8" t="s">
        <v>9114</v>
      </c>
      <c r="J411" s="8" t="s">
        <v>177</v>
      </c>
      <c r="K411" s="8" t="s">
        <v>8664</v>
      </c>
      <c r="L411" s="8"/>
      <c r="M411" s="8"/>
      <c r="N411" s="8" t="n">
        <v>12</v>
      </c>
      <c r="O411" s="8" t="n">
        <v>23</v>
      </c>
      <c r="P411" s="8" t="s">
        <v>120</v>
      </c>
    </row>
    <row r="412" customFormat="false" ht="15" hidden="false" customHeight="false" outlineLevel="0" collapsed="false">
      <c r="A412" s="8" t="s">
        <v>181</v>
      </c>
      <c r="B412" s="8" t="s">
        <v>182</v>
      </c>
      <c r="C412" s="8" t="s">
        <v>8678</v>
      </c>
      <c r="D412" s="8" t="s">
        <v>117</v>
      </c>
      <c r="E412" s="8" t="s">
        <v>55</v>
      </c>
      <c r="F412" s="8" t="s">
        <v>55</v>
      </c>
      <c r="G412" s="8" t="s">
        <v>154</v>
      </c>
      <c r="H412" s="8" t="s">
        <v>8662</v>
      </c>
      <c r="I412" s="8" t="s">
        <v>9181</v>
      </c>
      <c r="J412" s="8" t="s">
        <v>180</v>
      </c>
      <c r="K412" s="8" t="s">
        <v>8664</v>
      </c>
      <c r="L412" s="8"/>
      <c r="M412" s="8"/>
      <c r="N412" s="8" t="n">
        <v>45</v>
      </c>
      <c r="O412" s="8" t="n">
        <v>578</v>
      </c>
      <c r="P412" s="8" t="s">
        <v>120</v>
      </c>
    </row>
    <row r="413" customFormat="false" ht="15" hidden="false" customHeight="false" outlineLevel="0" collapsed="false">
      <c r="A413" s="8" t="s">
        <v>477</v>
      </c>
      <c r="B413" s="8" t="s">
        <v>478</v>
      </c>
      <c r="C413" s="8" t="s">
        <v>8674</v>
      </c>
      <c r="D413" s="8" t="s">
        <v>132</v>
      </c>
      <c r="E413" s="8" t="s">
        <v>55</v>
      </c>
      <c r="F413" s="8" t="s">
        <v>55</v>
      </c>
      <c r="G413" s="8" t="s">
        <v>124</v>
      </c>
      <c r="H413" s="8" t="s">
        <v>8675</v>
      </c>
      <c r="I413" s="8" t="s">
        <v>9182</v>
      </c>
      <c r="J413" s="8" t="s">
        <v>129</v>
      </c>
      <c r="K413" s="8" t="s">
        <v>8664</v>
      </c>
      <c r="L413" s="8"/>
      <c r="M413" s="8"/>
      <c r="N413" s="8" t="n">
        <v>45</v>
      </c>
      <c r="O413" s="8" t="n">
        <v>247</v>
      </c>
      <c r="P413" s="8" t="s">
        <v>120</v>
      </c>
    </row>
    <row r="414" customFormat="false" ht="15" hidden="false" customHeight="false" outlineLevel="0" collapsed="false">
      <c r="A414" s="8" t="s">
        <v>1059</v>
      </c>
      <c r="B414" s="8" t="s">
        <v>1060</v>
      </c>
      <c r="C414" s="8" t="s">
        <v>8674</v>
      </c>
      <c r="D414" s="8" t="s">
        <v>132</v>
      </c>
      <c r="E414" s="8" t="s">
        <v>53</v>
      </c>
      <c r="F414" s="8" t="s">
        <v>55</v>
      </c>
      <c r="G414" s="8" t="s">
        <v>133</v>
      </c>
      <c r="H414" s="8" t="s">
        <v>8670</v>
      </c>
      <c r="I414" s="8" t="s">
        <v>9183</v>
      </c>
      <c r="J414" s="8" t="s">
        <v>137</v>
      </c>
      <c r="K414" s="8" t="s">
        <v>8664</v>
      </c>
      <c r="L414" s="8"/>
      <c r="M414" s="8"/>
      <c r="N414" s="8" t="n">
        <v>45</v>
      </c>
      <c r="O414" s="8" t="n">
        <v>108</v>
      </c>
      <c r="P414" s="8" t="s">
        <v>120</v>
      </c>
    </row>
    <row r="415" customFormat="false" ht="15" hidden="false" customHeight="false" outlineLevel="0" collapsed="false">
      <c r="A415" s="8" t="s">
        <v>401</v>
      </c>
      <c r="B415" s="8" t="s">
        <v>402</v>
      </c>
      <c r="C415" s="8" t="s">
        <v>8674</v>
      </c>
      <c r="D415" s="8" t="s">
        <v>123</v>
      </c>
      <c r="E415" s="8" t="s">
        <v>55</v>
      </c>
      <c r="F415" s="8" t="s">
        <v>326</v>
      </c>
      <c r="G415" s="8" t="s">
        <v>124</v>
      </c>
      <c r="H415" s="8" t="s">
        <v>8670</v>
      </c>
      <c r="I415" s="8" t="s">
        <v>9184</v>
      </c>
      <c r="J415" s="8" t="s">
        <v>137</v>
      </c>
      <c r="K415" s="8" t="s">
        <v>8664</v>
      </c>
      <c r="L415" s="8"/>
      <c r="M415" s="8"/>
      <c r="N415" s="8" t="n">
        <v>25</v>
      </c>
      <c r="O415" s="8" t="n">
        <v>537</v>
      </c>
      <c r="P415" s="8" t="s">
        <v>120</v>
      </c>
    </row>
    <row r="416" customFormat="false" ht="15" hidden="false" customHeight="false" outlineLevel="0" collapsed="false">
      <c r="A416" s="8" t="s">
        <v>9185</v>
      </c>
      <c r="B416" s="8" t="s">
        <v>9186</v>
      </c>
      <c r="C416" s="8" t="s">
        <v>8680</v>
      </c>
      <c r="D416" s="8" t="s">
        <v>117</v>
      </c>
      <c r="E416" s="8" t="s">
        <v>53</v>
      </c>
      <c r="F416" s="8" t="s">
        <v>326</v>
      </c>
      <c r="G416" s="8" t="s">
        <v>136</v>
      </c>
      <c r="H416" s="8" t="s">
        <v>8675</v>
      </c>
      <c r="I416" s="8" t="s">
        <v>9187</v>
      </c>
      <c r="J416" s="8"/>
      <c r="K416" s="8" t="s">
        <v>8690</v>
      </c>
      <c r="L416" s="8" t="s">
        <v>9188</v>
      </c>
      <c r="M416" s="8" t="s">
        <v>8692</v>
      </c>
      <c r="N416" s="8" t="n">
        <v>25</v>
      </c>
      <c r="O416" s="8" t="n">
        <v>149</v>
      </c>
      <c r="P416" s="8" t="s">
        <v>120</v>
      </c>
    </row>
    <row r="417" customFormat="false" ht="15" hidden="false" customHeight="false" outlineLevel="0" collapsed="false">
      <c r="A417" s="8" t="s">
        <v>1291</v>
      </c>
      <c r="B417" s="8" t="s">
        <v>1292</v>
      </c>
      <c r="C417" s="8" t="s">
        <v>8678</v>
      </c>
      <c r="D417" s="8" t="s">
        <v>117</v>
      </c>
      <c r="E417" s="8" t="s">
        <v>53</v>
      </c>
      <c r="F417" s="8" t="s">
        <v>326</v>
      </c>
      <c r="G417" s="8" t="s">
        <v>143</v>
      </c>
      <c r="H417" s="8" t="s">
        <v>8662</v>
      </c>
      <c r="I417" s="8" t="s">
        <v>9189</v>
      </c>
      <c r="J417" s="8" t="s">
        <v>119</v>
      </c>
      <c r="K417" s="8" t="s">
        <v>8664</v>
      </c>
      <c r="L417" s="8"/>
      <c r="M417" s="8"/>
      <c r="N417" s="8" t="n">
        <v>25</v>
      </c>
      <c r="O417" s="8" t="n">
        <v>134</v>
      </c>
      <c r="P417" s="8" t="s">
        <v>120</v>
      </c>
    </row>
    <row r="418" customFormat="false" ht="15" hidden="false" customHeight="false" outlineLevel="0" collapsed="false">
      <c r="A418" s="8" t="s">
        <v>1179</v>
      </c>
      <c r="B418" s="8" t="s">
        <v>1180</v>
      </c>
      <c r="C418" s="8" t="s">
        <v>8661</v>
      </c>
      <c r="D418" s="8" t="s">
        <v>123</v>
      </c>
      <c r="E418" s="8" t="s">
        <v>53</v>
      </c>
      <c r="F418" s="8" t="s">
        <v>326</v>
      </c>
      <c r="G418" s="8" t="s">
        <v>190</v>
      </c>
      <c r="H418" s="8" t="s">
        <v>8666</v>
      </c>
      <c r="I418" s="8" t="s">
        <v>9102</v>
      </c>
      <c r="J418" s="8" t="s">
        <v>125</v>
      </c>
      <c r="K418" s="8" t="s">
        <v>8664</v>
      </c>
      <c r="L418" s="8"/>
      <c r="M418" s="8"/>
      <c r="N418" s="8" t="n">
        <v>25</v>
      </c>
      <c r="O418" s="8" t="n">
        <v>138</v>
      </c>
      <c r="P418" s="8" t="s">
        <v>120</v>
      </c>
    </row>
    <row r="419" customFormat="false" ht="15" hidden="false" customHeight="false" outlineLevel="0" collapsed="false">
      <c r="A419" s="8" t="s">
        <v>274</v>
      </c>
      <c r="B419" s="8" t="s">
        <v>275</v>
      </c>
      <c r="C419" s="8" t="s">
        <v>8665</v>
      </c>
      <c r="D419" s="8" t="s">
        <v>123</v>
      </c>
      <c r="E419" s="8" t="s">
        <v>55</v>
      </c>
      <c r="F419" s="8" t="s">
        <v>55</v>
      </c>
      <c r="G419" s="8" t="s">
        <v>136</v>
      </c>
      <c r="H419" s="8" t="s">
        <v>8675</v>
      </c>
      <c r="I419" s="8" t="s">
        <v>8964</v>
      </c>
      <c r="J419" s="8" t="s">
        <v>177</v>
      </c>
      <c r="K419" s="8" t="s">
        <v>8664</v>
      </c>
      <c r="L419" s="8"/>
      <c r="M419" s="8"/>
      <c r="N419" s="8" t="n">
        <v>45</v>
      </c>
      <c r="O419" s="8" t="n">
        <v>489</v>
      </c>
      <c r="P419" s="8" t="s">
        <v>120</v>
      </c>
    </row>
    <row r="420" customFormat="false" ht="15" hidden="false" customHeight="false" outlineLevel="0" collapsed="false">
      <c r="A420" s="8" t="s">
        <v>9190</v>
      </c>
      <c r="B420" s="8" t="s">
        <v>9191</v>
      </c>
      <c r="C420" s="8" t="s">
        <v>8680</v>
      </c>
      <c r="D420" s="8" t="s">
        <v>123</v>
      </c>
      <c r="E420" s="8" t="s">
        <v>51</v>
      </c>
      <c r="F420" s="8" t="s">
        <v>2027</v>
      </c>
      <c r="G420" s="8" t="s">
        <v>143</v>
      </c>
      <c r="H420" s="8" t="s">
        <v>8675</v>
      </c>
      <c r="I420" s="8" t="s">
        <v>9192</v>
      </c>
      <c r="J420" s="8"/>
      <c r="K420" s="8" t="s">
        <v>8690</v>
      </c>
      <c r="L420" s="8" t="s">
        <v>9193</v>
      </c>
      <c r="M420" s="8" t="s">
        <v>8696</v>
      </c>
      <c r="N420" s="8" t="n">
        <v>12</v>
      </c>
      <c r="O420" s="8" t="n">
        <v>10</v>
      </c>
      <c r="P420" s="8" t="s">
        <v>148</v>
      </c>
    </row>
    <row r="421" customFormat="false" ht="15" hidden="false" customHeight="false" outlineLevel="0" collapsed="false">
      <c r="A421" s="8" t="s">
        <v>1941</v>
      </c>
      <c r="B421" s="8" t="s">
        <v>1942</v>
      </c>
      <c r="C421" s="8" t="s">
        <v>8700</v>
      </c>
      <c r="D421" s="8" t="s">
        <v>123</v>
      </c>
      <c r="E421" s="8" t="s">
        <v>53</v>
      </c>
      <c r="F421" s="8" t="s">
        <v>326</v>
      </c>
      <c r="G421" s="8" t="s">
        <v>223</v>
      </c>
      <c r="H421" s="8" t="s">
        <v>8662</v>
      </c>
      <c r="I421" s="8" t="s">
        <v>9113</v>
      </c>
      <c r="J421" s="8" t="s">
        <v>137</v>
      </c>
      <c r="K421" s="8" t="s">
        <v>8664</v>
      </c>
      <c r="L421" s="8"/>
      <c r="M421" s="8"/>
      <c r="N421" s="8" t="n">
        <v>25</v>
      </c>
      <c r="O421" s="8" t="n">
        <v>43</v>
      </c>
      <c r="P421" s="8" t="s">
        <v>120</v>
      </c>
    </row>
    <row r="422" customFormat="false" ht="15" hidden="false" customHeight="false" outlineLevel="0" collapsed="false">
      <c r="A422" s="8" t="s">
        <v>1835</v>
      </c>
      <c r="B422" s="8" t="s">
        <v>1836</v>
      </c>
      <c r="C422" s="8" t="s">
        <v>8678</v>
      </c>
      <c r="D422" s="8" t="s">
        <v>123</v>
      </c>
      <c r="E422" s="8" t="s">
        <v>51</v>
      </c>
      <c r="F422" s="8" t="s">
        <v>326</v>
      </c>
      <c r="G422" s="8" t="s">
        <v>151</v>
      </c>
      <c r="H422" s="8" t="s">
        <v>8670</v>
      </c>
      <c r="I422" s="8" t="s">
        <v>9024</v>
      </c>
      <c r="J422" s="8" t="s">
        <v>119</v>
      </c>
      <c r="K422" s="8" t="s">
        <v>8664</v>
      </c>
      <c r="L422" s="8"/>
      <c r="M422" s="8"/>
      <c r="N422" s="8" t="n">
        <v>25</v>
      </c>
      <c r="O422" s="8" t="n">
        <v>39</v>
      </c>
      <c r="P422" s="8" t="s">
        <v>120</v>
      </c>
    </row>
    <row r="423" customFormat="false" ht="15" hidden="false" customHeight="false" outlineLevel="0" collapsed="false">
      <c r="A423" s="8" t="s">
        <v>589</v>
      </c>
      <c r="B423" s="8" t="s">
        <v>590</v>
      </c>
      <c r="C423" s="8" t="s">
        <v>8665</v>
      </c>
      <c r="D423" s="8" t="s">
        <v>132</v>
      </c>
      <c r="E423" s="8" t="s">
        <v>53</v>
      </c>
      <c r="F423" s="8" t="s">
        <v>55</v>
      </c>
      <c r="G423" s="8" t="s">
        <v>136</v>
      </c>
      <c r="H423" s="8" t="s">
        <v>8666</v>
      </c>
      <c r="I423" s="8" t="s">
        <v>8986</v>
      </c>
      <c r="J423" s="8" t="s">
        <v>125</v>
      </c>
      <c r="K423" s="8" t="s">
        <v>8664</v>
      </c>
      <c r="L423" s="8"/>
      <c r="M423" s="8"/>
      <c r="N423" s="8" t="n">
        <v>45</v>
      </c>
      <c r="O423" s="8" t="n">
        <v>174</v>
      </c>
      <c r="P423" s="8" t="s">
        <v>120</v>
      </c>
    </row>
    <row r="424" customFormat="false" ht="15" hidden="false" customHeight="false" outlineLevel="0" collapsed="false">
      <c r="A424" s="8" t="s">
        <v>4088</v>
      </c>
      <c r="B424" s="8" t="s">
        <v>4089</v>
      </c>
      <c r="C424" s="8" t="s">
        <v>8661</v>
      </c>
      <c r="D424" s="8" t="s">
        <v>123</v>
      </c>
      <c r="E424" s="8" t="s">
        <v>51</v>
      </c>
      <c r="F424" s="8" t="s">
        <v>2027</v>
      </c>
      <c r="G424" s="8" t="s">
        <v>190</v>
      </c>
      <c r="H424" s="8" t="s">
        <v>8670</v>
      </c>
      <c r="I424" s="8" t="s">
        <v>9194</v>
      </c>
      <c r="J424" s="8" t="s">
        <v>119</v>
      </c>
      <c r="K424" s="8" t="s">
        <v>8664</v>
      </c>
      <c r="L424" s="8"/>
      <c r="M424" s="8"/>
      <c r="N424" s="8" t="n">
        <v>12</v>
      </c>
      <c r="O424" s="8" t="n">
        <v>10</v>
      </c>
      <c r="P424" s="8" t="s">
        <v>120</v>
      </c>
    </row>
    <row r="425" customFormat="false" ht="15" hidden="false" customHeight="false" outlineLevel="0" collapsed="false">
      <c r="A425" s="8" t="s">
        <v>2370</v>
      </c>
      <c r="B425" s="8" t="s">
        <v>2371</v>
      </c>
      <c r="C425" s="8" t="s">
        <v>8661</v>
      </c>
      <c r="D425" s="8" t="s">
        <v>128</v>
      </c>
      <c r="E425" s="8" t="s">
        <v>51</v>
      </c>
      <c r="F425" s="8" t="s">
        <v>326</v>
      </c>
      <c r="G425" s="8" t="s">
        <v>136</v>
      </c>
      <c r="H425" s="8" t="s">
        <v>8666</v>
      </c>
      <c r="I425" s="8" t="s">
        <v>9195</v>
      </c>
      <c r="J425" s="8" t="s">
        <v>185</v>
      </c>
      <c r="K425" s="8" t="s">
        <v>8664</v>
      </c>
      <c r="L425" s="8"/>
      <c r="M425" s="8"/>
      <c r="N425" s="8" t="n">
        <v>25</v>
      </c>
      <c r="O425" s="8" t="n">
        <v>20</v>
      </c>
      <c r="P425" s="8" t="s">
        <v>120</v>
      </c>
    </row>
    <row r="426" customFormat="false" ht="15" hidden="false" customHeight="false" outlineLevel="0" collapsed="false">
      <c r="A426" s="8" t="s">
        <v>1943</v>
      </c>
      <c r="B426" s="8" t="s">
        <v>1944</v>
      </c>
      <c r="C426" s="8" t="s">
        <v>8678</v>
      </c>
      <c r="D426" s="8" t="s">
        <v>132</v>
      </c>
      <c r="E426" s="8" t="s">
        <v>51</v>
      </c>
      <c r="F426" s="8" t="s">
        <v>326</v>
      </c>
      <c r="G426" s="8" t="s">
        <v>154</v>
      </c>
      <c r="H426" s="8" t="s">
        <v>8666</v>
      </c>
      <c r="I426" s="8" t="s">
        <v>8984</v>
      </c>
      <c r="J426" s="8" t="s">
        <v>140</v>
      </c>
      <c r="K426" s="8" t="s">
        <v>8664</v>
      </c>
      <c r="L426" s="8"/>
      <c r="M426" s="8"/>
      <c r="N426" s="8" t="n">
        <v>25</v>
      </c>
      <c r="O426" s="8" t="n">
        <v>27</v>
      </c>
      <c r="P426" s="8" t="s">
        <v>120</v>
      </c>
    </row>
    <row r="427" customFormat="false" ht="15" hidden="false" customHeight="false" outlineLevel="0" collapsed="false">
      <c r="A427" s="8" t="s">
        <v>9196</v>
      </c>
      <c r="B427" s="8" t="s">
        <v>9197</v>
      </c>
      <c r="C427" s="8" t="s">
        <v>8680</v>
      </c>
      <c r="D427" s="8" t="s">
        <v>132</v>
      </c>
      <c r="E427" s="8" t="s">
        <v>51</v>
      </c>
      <c r="F427" s="8" t="s">
        <v>2027</v>
      </c>
      <c r="G427" s="8" t="s">
        <v>190</v>
      </c>
      <c r="H427" s="8" t="s">
        <v>8670</v>
      </c>
      <c r="I427" s="8" t="s">
        <v>8683</v>
      </c>
      <c r="J427" s="8"/>
      <c r="K427" s="8" t="s">
        <v>8690</v>
      </c>
      <c r="L427" s="8" t="s">
        <v>9198</v>
      </c>
      <c r="M427" s="8" t="s">
        <v>8705</v>
      </c>
      <c r="N427" s="8" t="n">
        <v>12</v>
      </c>
      <c r="O427" s="8" t="n">
        <v>39</v>
      </c>
      <c r="P427" s="8" t="s">
        <v>120</v>
      </c>
    </row>
    <row r="428" customFormat="false" ht="15" hidden="false" customHeight="false" outlineLevel="0" collapsed="false">
      <c r="A428" s="8" t="s">
        <v>9199</v>
      </c>
      <c r="B428" s="8" t="s">
        <v>9200</v>
      </c>
      <c r="C428" s="8" t="s">
        <v>8665</v>
      </c>
      <c r="D428" s="8" t="s">
        <v>123</v>
      </c>
      <c r="E428" s="8" t="s">
        <v>51</v>
      </c>
      <c r="F428" s="8" t="s">
        <v>2027</v>
      </c>
      <c r="G428" s="8" t="s">
        <v>223</v>
      </c>
      <c r="H428" s="8" t="s">
        <v>8662</v>
      </c>
      <c r="I428" s="8" t="s">
        <v>9201</v>
      </c>
      <c r="J428" s="8"/>
      <c r="K428" s="8" t="s">
        <v>8690</v>
      </c>
      <c r="L428" s="8" t="s">
        <v>9114</v>
      </c>
      <c r="M428" s="8" t="s">
        <v>8727</v>
      </c>
      <c r="N428" s="8" t="n">
        <v>12</v>
      </c>
      <c r="O428" s="8" t="n">
        <v>38</v>
      </c>
      <c r="P428" s="8" t="s">
        <v>120</v>
      </c>
    </row>
    <row r="429" customFormat="false" ht="15" hidden="false" customHeight="false" outlineLevel="0" collapsed="false">
      <c r="A429" s="8" t="s">
        <v>9202</v>
      </c>
      <c r="B429" s="8" t="s">
        <v>9203</v>
      </c>
      <c r="C429" s="8" t="s">
        <v>8661</v>
      </c>
      <c r="D429" s="8" t="s">
        <v>117</v>
      </c>
      <c r="E429" s="8" t="s">
        <v>53</v>
      </c>
      <c r="F429" s="8" t="s">
        <v>326</v>
      </c>
      <c r="G429" s="8" t="s">
        <v>133</v>
      </c>
      <c r="H429" s="8" t="s">
        <v>8662</v>
      </c>
      <c r="I429" s="8" t="s">
        <v>9204</v>
      </c>
      <c r="J429" s="8"/>
      <c r="K429" s="8" t="s">
        <v>8690</v>
      </c>
      <c r="L429" s="8" t="s">
        <v>9115</v>
      </c>
      <c r="M429" s="8" t="s">
        <v>8696</v>
      </c>
      <c r="N429" s="8" t="n">
        <v>25</v>
      </c>
      <c r="O429" s="8" t="n">
        <v>124</v>
      </c>
      <c r="P429" s="8" t="s">
        <v>120</v>
      </c>
    </row>
    <row r="430" customFormat="false" ht="15" hidden="false" customHeight="false" outlineLevel="0" collapsed="false">
      <c r="A430" s="8" t="s">
        <v>9205</v>
      </c>
      <c r="B430" s="8" t="s">
        <v>9206</v>
      </c>
      <c r="C430" s="8" t="s">
        <v>8674</v>
      </c>
      <c r="D430" s="8" t="s">
        <v>117</v>
      </c>
      <c r="E430" s="8" t="s">
        <v>53</v>
      </c>
      <c r="F430" s="8" t="s">
        <v>326</v>
      </c>
      <c r="G430" s="8" t="s">
        <v>118</v>
      </c>
      <c r="H430" s="8" t="s">
        <v>8666</v>
      </c>
      <c r="I430" s="8" t="s">
        <v>8780</v>
      </c>
      <c r="J430" s="8"/>
      <c r="K430" s="8" t="s">
        <v>8690</v>
      </c>
      <c r="L430" s="8" t="s">
        <v>9207</v>
      </c>
      <c r="M430" s="8" t="s">
        <v>8705</v>
      </c>
      <c r="N430" s="8" t="n">
        <v>25</v>
      </c>
      <c r="O430" s="8" t="n">
        <v>171</v>
      </c>
      <c r="P430" s="8" t="s">
        <v>148</v>
      </c>
    </row>
    <row r="431" customFormat="false" ht="15" hidden="false" customHeight="false" outlineLevel="0" collapsed="false">
      <c r="A431" s="8" t="s">
        <v>1421</v>
      </c>
      <c r="B431" s="8" t="s">
        <v>1422</v>
      </c>
      <c r="C431" s="8" t="s">
        <v>8674</v>
      </c>
      <c r="D431" s="8" t="s">
        <v>123</v>
      </c>
      <c r="E431" s="8" t="s">
        <v>53</v>
      </c>
      <c r="F431" s="8" t="s">
        <v>326</v>
      </c>
      <c r="G431" s="8" t="s">
        <v>190</v>
      </c>
      <c r="H431" s="8" t="s">
        <v>8666</v>
      </c>
      <c r="I431" s="8" t="s">
        <v>9208</v>
      </c>
      <c r="J431" s="8" t="s">
        <v>119</v>
      </c>
      <c r="K431" s="8" t="s">
        <v>8664</v>
      </c>
      <c r="L431" s="8"/>
      <c r="M431" s="8"/>
      <c r="N431" s="8" t="n">
        <v>25</v>
      </c>
      <c r="O431" s="8" t="n">
        <v>91</v>
      </c>
      <c r="P431" s="8" t="s">
        <v>120</v>
      </c>
    </row>
    <row r="432" customFormat="false" ht="15" hidden="false" customHeight="false" outlineLevel="0" collapsed="false">
      <c r="A432" s="8" t="s">
        <v>1591</v>
      </c>
      <c r="B432" s="8" t="s">
        <v>1592</v>
      </c>
      <c r="C432" s="8" t="s">
        <v>8678</v>
      </c>
      <c r="D432" s="8" t="s">
        <v>123</v>
      </c>
      <c r="E432" s="8" t="s">
        <v>53</v>
      </c>
      <c r="F432" s="8" t="s">
        <v>326</v>
      </c>
      <c r="G432" s="8" t="s">
        <v>190</v>
      </c>
      <c r="H432" s="8" t="s">
        <v>8662</v>
      </c>
      <c r="I432" s="8" t="s">
        <v>9209</v>
      </c>
      <c r="J432" s="8" t="s">
        <v>185</v>
      </c>
      <c r="K432" s="8" t="s">
        <v>8664</v>
      </c>
      <c r="L432" s="8"/>
      <c r="M432" s="8"/>
      <c r="N432" s="8" t="n">
        <v>25</v>
      </c>
      <c r="O432" s="8" t="n">
        <v>73</v>
      </c>
      <c r="P432" s="8" t="s">
        <v>120</v>
      </c>
    </row>
    <row r="433" customFormat="false" ht="15" hidden="false" customHeight="false" outlineLevel="0" collapsed="false">
      <c r="A433" s="8" t="s">
        <v>3396</v>
      </c>
      <c r="B433" s="8" t="s">
        <v>3397</v>
      </c>
      <c r="C433" s="8" t="s">
        <v>8669</v>
      </c>
      <c r="D433" s="8" t="s">
        <v>132</v>
      </c>
      <c r="E433" s="8" t="s">
        <v>51</v>
      </c>
      <c r="F433" s="8" t="s">
        <v>2027</v>
      </c>
      <c r="G433" s="8" t="s">
        <v>133</v>
      </c>
      <c r="H433" s="8" t="s">
        <v>8662</v>
      </c>
      <c r="I433" s="8" t="s">
        <v>9210</v>
      </c>
      <c r="J433" s="8" t="s">
        <v>119</v>
      </c>
      <c r="K433" s="8" t="s">
        <v>8664</v>
      </c>
      <c r="L433" s="8"/>
      <c r="M433" s="8"/>
      <c r="N433" s="8" t="n">
        <v>12</v>
      </c>
      <c r="O433" s="8" t="n">
        <v>19</v>
      </c>
      <c r="P433" s="8" t="s">
        <v>120</v>
      </c>
    </row>
    <row r="434" customFormat="false" ht="15" hidden="false" customHeight="false" outlineLevel="0" collapsed="false">
      <c r="A434" s="8" t="s">
        <v>9211</v>
      </c>
      <c r="B434" s="8" t="s">
        <v>9212</v>
      </c>
      <c r="C434" s="8" t="s">
        <v>8688</v>
      </c>
      <c r="D434" s="8" t="s">
        <v>128</v>
      </c>
      <c r="E434" s="8" t="s">
        <v>53</v>
      </c>
      <c r="F434" s="8" t="s">
        <v>326</v>
      </c>
      <c r="G434" s="8" t="s">
        <v>143</v>
      </c>
      <c r="H434" s="8" t="s">
        <v>8666</v>
      </c>
      <c r="I434" s="8" t="s">
        <v>8810</v>
      </c>
      <c r="J434" s="8"/>
      <c r="K434" s="8" t="s">
        <v>8690</v>
      </c>
      <c r="L434" s="8" t="s">
        <v>9213</v>
      </c>
      <c r="M434" s="8" t="s">
        <v>8692</v>
      </c>
      <c r="N434" s="8" t="n">
        <v>25</v>
      </c>
      <c r="O434" s="8" t="n">
        <v>169</v>
      </c>
      <c r="P434" s="8" t="s">
        <v>120</v>
      </c>
    </row>
    <row r="435" customFormat="false" ht="15" hidden="false" customHeight="false" outlineLevel="0" collapsed="false">
      <c r="A435" s="8" t="s">
        <v>1245</v>
      </c>
      <c r="B435" s="8" t="s">
        <v>1246</v>
      </c>
      <c r="C435" s="8" t="s">
        <v>8700</v>
      </c>
      <c r="D435" s="8" t="s">
        <v>123</v>
      </c>
      <c r="E435" s="8" t="s">
        <v>53</v>
      </c>
      <c r="F435" s="8" t="s">
        <v>55</v>
      </c>
      <c r="G435" s="8" t="s">
        <v>118</v>
      </c>
      <c r="H435" s="8" t="s">
        <v>8666</v>
      </c>
      <c r="I435" s="8" t="s">
        <v>8824</v>
      </c>
      <c r="J435" s="8" t="s">
        <v>180</v>
      </c>
      <c r="K435" s="8" t="s">
        <v>8664</v>
      </c>
      <c r="L435" s="8"/>
      <c r="M435" s="8"/>
      <c r="N435" s="8" t="n">
        <v>45</v>
      </c>
      <c r="O435" s="8" t="n">
        <v>72</v>
      </c>
      <c r="P435" s="8" t="s">
        <v>120</v>
      </c>
    </row>
    <row r="436" customFormat="false" ht="15" hidden="false" customHeight="false" outlineLevel="0" collapsed="false">
      <c r="A436" s="8" t="s">
        <v>4480</v>
      </c>
      <c r="B436" s="8" t="s">
        <v>9214</v>
      </c>
      <c r="C436" s="8" t="s">
        <v>8678</v>
      </c>
      <c r="D436" s="8" t="s">
        <v>123</v>
      </c>
      <c r="E436" s="8" t="s">
        <v>51</v>
      </c>
      <c r="F436" s="8" t="s">
        <v>326</v>
      </c>
      <c r="G436" s="8" t="s">
        <v>151</v>
      </c>
      <c r="H436" s="8" t="s">
        <v>8670</v>
      </c>
      <c r="I436" s="8" t="s">
        <v>9215</v>
      </c>
      <c r="J436" s="8"/>
      <c r="K436" s="8" t="s">
        <v>8690</v>
      </c>
      <c r="L436" s="8" t="s">
        <v>8919</v>
      </c>
      <c r="M436" s="8" t="s">
        <v>8705</v>
      </c>
      <c r="N436" s="8" t="n">
        <v>25</v>
      </c>
      <c r="O436" s="8" t="n">
        <v>38</v>
      </c>
      <c r="P436" s="8" t="s">
        <v>120</v>
      </c>
    </row>
    <row r="437" customFormat="false" ht="15" hidden="false" customHeight="false" outlineLevel="0" collapsed="false">
      <c r="A437" s="8" t="s">
        <v>1897</v>
      </c>
      <c r="B437" s="8" t="s">
        <v>1898</v>
      </c>
      <c r="C437" s="8" t="s">
        <v>8680</v>
      </c>
      <c r="D437" s="8" t="s">
        <v>123</v>
      </c>
      <c r="E437" s="8" t="s">
        <v>51</v>
      </c>
      <c r="F437" s="8" t="s">
        <v>326</v>
      </c>
      <c r="G437" s="8" t="s">
        <v>133</v>
      </c>
      <c r="H437" s="8" t="s">
        <v>8666</v>
      </c>
      <c r="I437" s="8" t="s">
        <v>8888</v>
      </c>
      <c r="J437" s="8" t="s">
        <v>204</v>
      </c>
      <c r="K437" s="8" t="s">
        <v>8664</v>
      </c>
      <c r="L437" s="8"/>
      <c r="M437" s="8"/>
      <c r="N437" s="8" t="n">
        <v>25</v>
      </c>
      <c r="O437" s="8" t="n">
        <v>36</v>
      </c>
      <c r="P437" s="8" t="s">
        <v>120</v>
      </c>
    </row>
    <row r="438" customFormat="false" ht="15" hidden="false" customHeight="false" outlineLevel="0" collapsed="false">
      <c r="A438" s="8" t="s">
        <v>567</v>
      </c>
      <c r="B438" s="8" t="s">
        <v>568</v>
      </c>
      <c r="C438" s="8" t="s">
        <v>8674</v>
      </c>
      <c r="D438" s="8" t="s">
        <v>123</v>
      </c>
      <c r="E438" s="8" t="s">
        <v>55</v>
      </c>
      <c r="F438" s="8" t="s">
        <v>55</v>
      </c>
      <c r="G438" s="8" t="s">
        <v>143</v>
      </c>
      <c r="H438" s="8" t="s">
        <v>8670</v>
      </c>
      <c r="I438" s="8" t="s">
        <v>8996</v>
      </c>
      <c r="J438" s="8" t="s">
        <v>125</v>
      </c>
      <c r="K438" s="8" t="s">
        <v>8664</v>
      </c>
      <c r="L438" s="8"/>
      <c r="M438" s="8"/>
      <c r="N438" s="8" t="n">
        <v>45</v>
      </c>
      <c r="O438" s="8" t="n">
        <v>185</v>
      </c>
      <c r="P438" s="8" t="s">
        <v>120</v>
      </c>
    </row>
    <row r="439" customFormat="false" ht="15" hidden="false" customHeight="false" outlineLevel="0" collapsed="false">
      <c r="A439" s="8" t="s">
        <v>1259</v>
      </c>
      <c r="B439" s="8" t="s">
        <v>1260</v>
      </c>
      <c r="C439" s="8" t="s">
        <v>8688</v>
      </c>
      <c r="D439" s="8" t="s">
        <v>132</v>
      </c>
      <c r="E439" s="8" t="s">
        <v>53</v>
      </c>
      <c r="F439" s="8" t="s">
        <v>326</v>
      </c>
      <c r="G439" s="8" t="s">
        <v>136</v>
      </c>
      <c r="H439" s="8" t="s">
        <v>8662</v>
      </c>
      <c r="I439" s="8" t="s">
        <v>9216</v>
      </c>
      <c r="J439" s="8" t="s">
        <v>185</v>
      </c>
      <c r="K439" s="8" t="s">
        <v>8664</v>
      </c>
      <c r="L439" s="8"/>
      <c r="M439" s="8"/>
      <c r="N439" s="8" t="n">
        <v>25</v>
      </c>
      <c r="O439" s="8" t="n">
        <v>128</v>
      </c>
      <c r="P439" s="8" t="s">
        <v>120</v>
      </c>
    </row>
    <row r="440" customFormat="false" ht="15" hidden="false" customHeight="false" outlineLevel="0" collapsed="false">
      <c r="A440" s="8" t="s">
        <v>9217</v>
      </c>
      <c r="B440" s="8" t="s">
        <v>9218</v>
      </c>
      <c r="C440" s="8" t="s">
        <v>8688</v>
      </c>
      <c r="D440" s="8" t="s">
        <v>128</v>
      </c>
      <c r="E440" s="8" t="s">
        <v>53</v>
      </c>
      <c r="F440" s="8" t="s">
        <v>326</v>
      </c>
      <c r="G440" s="8" t="s">
        <v>118</v>
      </c>
      <c r="H440" s="8" t="s">
        <v>8662</v>
      </c>
      <c r="I440" s="8" t="s">
        <v>9219</v>
      </c>
      <c r="J440" s="8"/>
      <c r="K440" s="8" t="s">
        <v>8690</v>
      </c>
      <c r="L440" s="8" t="s">
        <v>8874</v>
      </c>
      <c r="M440" s="8" t="s">
        <v>8705</v>
      </c>
      <c r="N440" s="8" t="n">
        <v>25</v>
      </c>
      <c r="O440" s="8" t="n">
        <v>40</v>
      </c>
      <c r="P440" s="8" t="s">
        <v>120</v>
      </c>
    </row>
    <row r="441" customFormat="false" ht="15" hidden="false" customHeight="false" outlineLevel="0" collapsed="false">
      <c r="A441" s="8" t="s">
        <v>1207</v>
      </c>
      <c r="B441" s="8" t="s">
        <v>1208</v>
      </c>
      <c r="C441" s="8" t="s">
        <v>8680</v>
      </c>
      <c r="D441" s="8" t="s">
        <v>132</v>
      </c>
      <c r="E441" s="8" t="s">
        <v>53</v>
      </c>
      <c r="F441" s="8" t="s">
        <v>326</v>
      </c>
      <c r="G441" s="8" t="s">
        <v>136</v>
      </c>
      <c r="H441" s="8" t="s">
        <v>8670</v>
      </c>
      <c r="I441" s="8" t="s">
        <v>9220</v>
      </c>
      <c r="J441" s="8" t="s">
        <v>177</v>
      </c>
      <c r="K441" s="8" t="s">
        <v>8664</v>
      </c>
      <c r="L441" s="8"/>
      <c r="M441" s="8"/>
      <c r="N441" s="8" t="n">
        <v>25</v>
      </c>
      <c r="O441" s="8" t="n">
        <v>135</v>
      </c>
      <c r="P441" s="8" t="s">
        <v>199</v>
      </c>
    </row>
    <row r="442" customFormat="false" ht="15" hidden="false" customHeight="false" outlineLevel="0" collapsed="false">
      <c r="A442" s="8" t="s">
        <v>3100</v>
      </c>
      <c r="B442" s="8" t="s">
        <v>3101</v>
      </c>
      <c r="C442" s="8" t="s">
        <v>8661</v>
      </c>
      <c r="D442" s="8" t="s">
        <v>123</v>
      </c>
      <c r="E442" s="8" t="s">
        <v>51</v>
      </c>
      <c r="F442" s="8" t="s">
        <v>2027</v>
      </c>
      <c r="G442" s="8" t="s">
        <v>166</v>
      </c>
      <c r="H442" s="8" t="s">
        <v>8670</v>
      </c>
      <c r="I442" s="8" t="s">
        <v>8682</v>
      </c>
      <c r="J442" s="8" t="s">
        <v>140</v>
      </c>
      <c r="K442" s="8" t="s">
        <v>8664</v>
      </c>
      <c r="L442" s="8"/>
      <c r="M442" s="8"/>
      <c r="N442" s="8" t="n">
        <v>12</v>
      </c>
      <c r="O442" s="8" t="n">
        <v>23</v>
      </c>
      <c r="P442" s="8" t="s">
        <v>120</v>
      </c>
    </row>
    <row r="443" customFormat="false" ht="15" hidden="false" customHeight="false" outlineLevel="0" collapsed="false">
      <c r="A443" s="8" t="s">
        <v>737</v>
      </c>
      <c r="B443" s="8" t="s">
        <v>738</v>
      </c>
      <c r="C443" s="8" t="s">
        <v>8665</v>
      </c>
      <c r="D443" s="8" t="s">
        <v>123</v>
      </c>
      <c r="E443" s="8" t="s">
        <v>53</v>
      </c>
      <c r="F443" s="8" t="s">
        <v>55</v>
      </c>
      <c r="G443" s="8" t="s">
        <v>223</v>
      </c>
      <c r="H443" s="8" t="s">
        <v>8662</v>
      </c>
      <c r="I443" s="8" t="s">
        <v>8767</v>
      </c>
      <c r="J443" s="8" t="s">
        <v>180</v>
      </c>
      <c r="K443" s="8" t="s">
        <v>8664</v>
      </c>
      <c r="L443" s="8"/>
      <c r="M443" s="8"/>
      <c r="N443" s="8" t="n">
        <v>45</v>
      </c>
      <c r="O443" s="8" t="n">
        <v>124</v>
      </c>
      <c r="P443" s="8" t="s">
        <v>199</v>
      </c>
    </row>
    <row r="444" customFormat="false" ht="15" hidden="false" customHeight="false" outlineLevel="0" collapsed="false">
      <c r="A444" s="8" t="s">
        <v>2896</v>
      </c>
      <c r="B444" s="8" t="s">
        <v>2897</v>
      </c>
      <c r="C444" s="8" t="s">
        <v>8661</v>
      </c>
      <c r="D444" s="8" t="s">
        <v>123</v>
      </c>
      <c r="E444" s="8" t="s">
        <v>51</v>
      </c>
      <c r="F444" s="8" t="s">
        <v>326</v>
      </c>
      <c r="G444" s="8" t="s">
        <v>166</v>
      </c>
      <c r="H444" s="8" t="s">
        <v>8666</v>
      </c>
      <c r="I444" s="8" t="s">
        <v>9221</v>
      </c>
      <c r="J444" s="8" t="s">
        <v>119</v>
      </c>
      <c r="K444" s="8" t="s">
        <v>8664</v>
      </c>
      <c r="L444" s="8"/>
      <c r="M444" s="8"/>
      <c r="N444" s="8" t="n">
        <v>25</v>
      </c>
      <c r="O444" s="8" t="n">
        <v>15</v>
      </c>
      <c r="P444" s="8" t="s">
        <v>148</v>
      </c>
    </row>
    <row r="445" customFormat="false" ht="15" hidden="false" customHeight="false" outlineLevel="0" collapsed="false">
      <c r="A445" s="8" t="s">
        <v>631</v>
      </c>
      <c r="B445" s="8" t="s">
        <v>632</v>
      </c>
      <c r="C445" s="8" t="s">
        <v>8700</v>
      </c>
      <c r="D445" s="8" t="s">
        <v>117</v>
      </c>
      <c r="E445" s="8" t="s">
        <v>53</v>
      </c>
      <c r="F445" s="8" t="s">
        <v>55</v>
      </c>
      <c r="G445" s="8" t="s">
        <v>133</v>
      </c>
      <c r="H445" s="8" t="s">
        <v>8662</v>
      </c>
      <c r="I445" s="8" t="s">
        <v>8765</v>
      </c>
      <c r="J445" s="8" t="s">
        <v>137</v>
      </c>
      <c r="K445" s="8" t="s">
        <v>8664</v>
      </c>
      <c r="L445" s="8"/>
      <c r="M445" s="8"/>
      <c r="N445" s="8" t="n">
        <v>45</v>
      </c>
      <c r="O445" s="8" t="n">
        <v>121</v>
      </c>
      <c r="P445" s="8" t="s">
        <v>120</v>
      </c>
    </row>
    <row r="446" customFormat="false" ht="15" hidden="false" customHeight="false" outlineLevel="0" collapsed="false">
      <c r="A446" s="8" t="s">
        <v>9222</v>
      </c>
      <c r="B446" s="8" t="s">
        <v>9223</v>
      </c>
      <c r="C446" s="8" t="s">
        <v>8700</v>
      </c>
      <c r="D446" s="8" t="s">
        <v>117</v>
      </c>
      <c r="E446" s="8" t="s">
        <v>53</v>
      </c>
      <c r="F446" s="8" t="s">
        <v>326</v>
      </c>
      <c r="G446" s="8" t="s">
        <v>190</v>
      </c>
      <c r="H446" s="8" t="s">
        <v>8662</v>
      </c>
      <c r="I446" s="8" t="s">
        <v>9224</v>
      </c>
      <c r="J446" s="8"/>
      <c r="K446" s="8" t="s">
        <v>8690</v>
      </c>
      <c r="L446" s="8" t="s">
        <v>8883</v>
      </c>
      <c r="M446" s="8" t="s">
        <v>8692</v>
      </c>
      <c r="N446" s="8" t="n">
        <v>25</v>
      </c>
      <c r="O446" s="8" t="n">
        <v>51</v>
      </c>
      <c r="P446" s="8" t="s">
        <v>148</v>
      </c>
    </row>
    <row r="447" customFormat="false" ht="15" hidden="false" customHeight="false" outlineLevel="0" collapsed="false">
      <c r="A447" s="8" t="s">
        <v>2354</v>
      </c>
      <c r="B447" s="8" t="s">
        <v>2355</v>
      </c>
      <c r="C447" s="8" t="s">
        <v>8661</v>
      </c>
      <c r="D447" s="8" t="s">
        <v>128</v>
      </c>
      <c r="E447" s="8" t="s">
        <v>51</v>
      </c>
      <c r="F447" s="8" t="s">
        <v>2027</v>
      </c>
      <c r="G447" s="8" t="s">
        <v>190</v>
      </c>
      <c r="H447" s="8" t="s">
        <v>8675</v>
      </c>
      <c r="I447" s="8" t="s">
        <v>8844</v>
      </c>
      <c r="J447" s="8" t="s">
        <v>129</v>
      </c>
      <c r="K447" s="8" t="s">
        <v>8664</v>
      </c>
      <c r="L447" s="8"/>
      <c r="M447" s="8"/>
      <c r="N447" s="8" t="n">
        <v>12</v>
      </c>
      <c r="O447" s="8" t="n">
        <v>35</v>
      </c>
      <c r="P447" s="8" t="s">
        <v>120</v>
      </c>
    </row>
    <row r="448" customFormat="false" ht="15" hidden="false" customHeight="false" outlineLevel="0" collapsed="false">
      <c r="A448" s="8" t="s">
        <v>2408</v>
      </c>
      <c r="B448" s="8" t="s">
        <v>2409</v>
      </c>
      <c r="C448" s="8" t="s">
        <v>8688</v>
      </c>
      <c r="D448" s="8" t="s">
        <v>132</v>
      </c>
      <c r="E448" s="8" t="s">
        <v>51</v>
      </c>
      <c r="F448" s="8" t="s">
        <v>2027</v>
      </c>
      <c r="G448" s="8" t="s">
        <v>151</v>
      </c>
      <c r="H448" s="8" t="s">
        <v>8670</v>
      </c>
      <c r="I448" s="8" t="s">
        <v>8988</v>
      </c>
      <c r="J448" s="8" t="s">
        <v>185</v>
      </c>
      <c r="K448" s="8" t="s">
        <v>8664</v>
      </c>
      <c r="L448" s="8"/>
      <c r="M448" s="8"/>
      <c r="N448" s="8" t="n">
        <v>12</v>
      </c>
      <c r="O448" s="8" t="n">
        <v>36</v>
      </c>
      <c r="P448" s="8" t="s">
        <v>120</v>
      </c>
    </row>
    <row r="449" customFormat="false" ht="15" hidden="false" customHeight="false" outlineLevel="0" collapsed="false">
      <c r="A449" s="8" t="s">
        <v>979</v>
      </c>
      <c r="B449" s="8" t="s">
        <v>980</v>
      </c>
      <c r="C449" s="8" t="s">
        <v>8678</v>
      </c>
      <c r="D449" s="8" t="s">
        <v>123</v>
      </c>
      <c r="E449" s="8" t="s">
        <v>53</v>
      </c>
      <c r="F449" s="8" t="s">
        <v>326</v>
      </c>
      <c r="G449" s="8" t="s">
        <v>190</v>
      </c>
      <c r="H449" s="8" t="s">
        <v>8675</v>
      </c>
      <c r="I449" s="8" t="s">
        <v>9225</v>
      </c>
      <c r="J449" s="8" t="s">
        <v>185</v>
      </c>
      <c r="K449" s="8" t="s">
        <v>8664</v>
      </c>
      <c r="L449" s="8"/>
      <c r="M449" s="8"/>
      <c r="N449" s="8" t="n">
        <v>25</v>
      </c>
      <c r="O449" s="8" t="n">
        <v>167</v>
      </c>
      <c r="P449" s="8" t="s">
        <v>120</v>
      </c>
    </row>
    <row r="450" customFormat="false" ht="15" hidden="false" customHeight="false" outlineLevel="0" collapsed="false">
      <c r="A450" s="8" t="s">
        <v>1501</v>
      </c>
      <c r="B450" s="8" t="s">
        <v>1502</v>
      </c>
      <c r="C450" s="8" t="s">
        <v>8700</v>
      </c>
      <c r="D450" s="8" t="s">
        <v>123</v>
      </c>
      <c r="E450" s="8" t="s">
        <v>53</v>
      </c>
      <c r="F450" s="8" t="s">
        <v>55</v>
      </c>
      <c r="G450" s="8" t="s">
        <v>151</v>
      </c>
      <c r="H450" s="8" t="s">
        <v>8662</v>
      </c>
      <c r="I450" s="8" t="s">
        <v>9226</v>
      </c>
      <c r="J450" s="8" t="s">
        <v>185</v>
      </c>
      <c r="K450" s="8" t="s">
        <v>8664</v>
      </c>
      <c r="L450" s="8"/>
      <c r="M450" s="8"/>
      <c r="N450" s="8" t="n">
        <v>45</v>
      </c>
      <c r="O450" s="8" t="n">
        <v>50</v>
      </c>
      <c r="P450" s="8" t="s">
        <v>148</v>
      </c>
    </row>
    <row r="451" customFormat="false" ht="15" hidden="false" customHeight="false" outlineLevel="0" collapsed="false">
      <c r="A451" s="8" t="s">
        <v>1483</v>
      </c>
      <c r="B451" s="8" t="s">
        <v>1484</v>
      </c>
      <c r="C451" s="8" t="s">
        <v>8688</v>
      </c>
      <c r="D451" s="8" t="s">
        <v>128</v>
      </c>
      <c r="E451" s="8" t="s">
        <v>53</v>
      </c>
      <c r="F451" s="8" t="s">
        <v>326</v>
      </c>
      <c r="G451" s="8" t="s">
        <v>136</v>
      </c>
      <c r="H451" s="8" t="s">
        <v>8670</v>
      </c>
      <c r="I451" s="8" t="s">
        <v>9227</v>
      </c>
      <c r="J451" s="8" t="s">
        <v>119</v>
      </c>
      <c r="K451" s="8" t="s">
        <v>8664</v>
      </c>
      <c r="L451" s="8"/>
      <c r="M451" s="8"/>
      <c r="N451" s="8" t="n">
        <v>25</v>
      </c>
      <c r="O451" s="8" t="n">
        <v>92</v>
      </c>
      <c r="P451" s="8" t="s">
        <v>120</v>
      </c>
    </row>
    <row r="452" customFormat="false" ht="15" hidden="false" customHeight="false" outlineLevel="0" collapsed="false">
      <c r="A452" s="8" t="s">
        <v>2978</v>
      </c>
      <c r="B452" s="8" t="s">
        <v>2979</v>
      </c>
      <c r="C452" s="8" t="s">
        <v>8669</v>
      </c>
      <c r="D452" s="8" t="s">
        <v>117</v>
      </c>
      <c r="E452" s="8" t="s">
        <v>51</v>
      </c>
      <c r="F452" s="8" t="s">
        <v>2027</v>
      </c>
      <c r="G452" s="8" t="s">
        <v>151</v>
      </c>
      <c r="H452" s="8" t="s">
        <v>8662</v>
      </c>
      <c r="I452" s="8" t="s">
        <v>9110</v>
      </c>
      <c r="J452" s="8" t="s">
        <v>185</v>
      </c>
      <c r="K452" s="8" t="s">
        <v>8664</v>
      </c>
      <c r="L452" s="8"/>
      <c r="M452" s="8"/>
      <c r="N452" s="8" t="n">
        <v>12</v>
      </c>
      <c r="O452" s="8" t="n">
        <v>30</v>
      </c>
      <c r="P452" s="8" t="s">
        <v>120</v>
      </c>
    </row>
    <row r="453" customFormat="false" ht="15" hidden="false" customHeight="false" outlineLevel="0" collapsed="false">
      <c r="A453" s="8" t="s">
        <v>4342</v>
      </c>
      <c r="B453" s="8" t="s">
        <v>4343</v>
      </c>
      <c r="C453" s="8" t="s">
        <v>8661</v>
      </c>
      <c r="D453" s="8" t="s">
        <v>123</v>
      </c>
      <c r="E453" s="8" t="s">
        <v>51</v>
      </c>
      <c r="F453" s="8" t="s">
        <v>2027</v>
      </c>
      <c r="G453" s="8" t="s">
        <v>124</v>
      </c>
      <c r="H453" s="8" t="s">
        <v>8666</v>
      </c>
      <c r="I453" s="8" t="s">
        <v>9228</v>
      </c>
      <c r="J453" s="8" t="s">
        <v>144</v>
      </c>
      <c r="K453" s="8" t="s">
        <v>8664</v>
      </c>
      <c r="L453" s="8"/>
      <c r="M453" s="8"/>
      <c r="N453" s="8" t="n">
        <v>12</v>
      </c>
      <c r="O453" s="8" t="n">
        <v>5</v>
      </c>
      <c r="P453" s="8" t="s">
        <v>120</v>
      </c>
    </row>
    <row r="454" customFormat="false" ht="15" hidden="false" customHeight="false" outlineLevel="0" collapsed="false">
      <c r="A454" s="8" t="s">
        <v>2980</v>
      </c>
      <c r="B454" s="8" t="s">
        <v>2981</v>
      </c>
      <c r="C454" s="8" t="s">
        <v>8665</v>
      </c>
      <c r="D454" s="8" t="s">
        <v>132</v>
      </c>
      <c r="E454" s="8" t="s">
        <v>51</v>
      </c>
      <c r="F454" s="8" t="s">
        <v>2027</v>
      </c>
      <c r="G454" s="8" t="s">
        <v>143</v>
      </c>
      <c r="H454" s="8" t="s">
        <v>8675</v>
      </c>
      <c r="I454" s="8" t="s">
        <v>9229</v>
      </c>
      <c r="J454" s="8" t="s">
        <v>119</v>
      </c>
      <c r="K454" s="8" t="s">
        <v>8664</v>
      </c>
      <c r="L454" s="8"/>
      <c r="M454" s="8"/>
      <c r="N454" s="8" t="n">
        <v>12</v>
      </c>
      <c r="O454" s="8" t="n">
        <v>30</v>
      </c>
      <c r="P454" s="8" t="s">
        <v>120</v>
      </c>
    </row>
    <row r="455" customFormat="false" ht="15" hidden="false" customHeight="false" outlineLevel="0" collapsed="false">
      <c r="A455" s="8" t="s">
        <v>300</v>
      </c>
      <c r="B455" s="8" t="s">
        <v>301</v>
      </c>
      <c r="C455" s="8" t="s">
        <v>8669</v>
      </c>
      <c r="D455" s="8" t="s">
        <v>132</v>
      </c>
      <c r="E455" s="8" t="s">
        <v>55</v>
      </c>
      <c r="F455" s="8" t="s">
        <v>55</v>
      </c>
      <c r="G455" s="8" t="s">
        <v>190</v>
      </c>
      <c r="H455" s="8" t="s">
        <v>8662</v>
      </c>
      <c r="I455" s="8" t="s">
        <v>9230</v>
      </c>
      <c r="J455" s="8" t="s">
        <v>129</v>
      </c>
      <c r="K455" s="8" t="s">
        <v>8664</v>
      </c>
      <c r="L455" s="8"/>
      <c r="M455" s="8"/>
      <c r="N455" s="8" t="n">
        <v>45</v>
      </c>
      <c r="O455" s="8" t="n">
        <v>247</v>
      </c>
      <c r="P455" s="8" t="s">
        <v>120</v>
      </c>
    </row>
    <row r="456" customFormat="false" ht="15" hidden="false" customHeight="false" outlineLevel="0" collapsed="false">
      <c r="A456" s="8" t="s">
        <v>1645</v>
      </c>
      <c r="B456" s="8" t="s">
        <v>1646</v>
      </c>
      <c r="C456" s="8" t="s">
        <v>8665</v>
      </c>
      <c r="D456" s="8" t="s">
        <v>123</v>
      </c>
      <c r="E456" s="8" t="s">
        <v>53</v>
      </c>
      <c r="F456" s="8" t="s">
        <v>326</v>
      </c>
      <c r="G456" s="8" t="s">
        <v>124</v>
      </c>
      <c r="H456" s="8" t="s">
        <v>8670</v>
      </c>
      <c r="I456" s="8" t="s">
        <v>9231</v>
      </c>
      <c r="J456" s="8" t="s">
        <v>125</v>
      </c>
      <c r="K456" s="8" t="s">
        <v>8664</v>
      </c>
      <c r="L456" s="8"/>
      <c r="M456" s="8"/>
      <c r="N456" s="8" t="n">
        <v>25</v>
      </c>
      <c r="O456" s="8" t="n">
        <v>62</v>
      </c>
      <c r="P456" s="8" t="s">
        <v>120</v>
      </c>
    </row>
    <row r="457" customFormat="false" ht="15" hidden="false" customHeight="false" outlineLevel="0" collapsed="false">
      <c r="A457" s="8" t="s">
        <v>1739</v>
      </c>
      <c r="B457" s="8" t="s">
        <v>1740</v>
      </c>
      <c r="C457" s="8" t="s">
        <v>8680</v>
      </c>
      <c r="D457" s="8" t="s">
        <v>123</v>
      </c>
      <c r="E457" s="8" t="s">
        <v>51</v>
      </c>
      <c r="F457" s="8" t="s">
        <v>326</v>
      </c>
      <c r="G457" s="8" t="s">
        <v>151</v>
      </c>
      <c r="H457" s="8" t="s">
        <v>8675</v>
      </c>
      <c r="I457" s="8" t="s">
        <v>9232</v>
      </c>
      <c r="J457" s="8" t="s">
        <v>185</v>
      </c>
      <c r="K457" s="8" t="s">
        <v>8664</v>
      </c>
      <c r="L457" s="8"/>
      <c r="M457" s="8"/>
      <c r="N457" s="8" t="n">
        <v>25</v>
      </c>
      <c r="O457" s="8" t="n">
        <v>37</v>
      </c>
      <c r="P457" s="8" t="s">
        <v>120</v>
      </c>
    </row>
    <row r="458" customFormat="false" ht="15" hidden="false" customHeight="false" outlineLevel="0" collapsed="false">
      <c r="A458" s="8" t="s">
        <v>1899</v>
      </c>
      <c r="B458" s="8" t="s">
        <v>1900</v>
      </c>
      <c r="C458" s="8" t="s">
        <v>8680</v>
      </c>
      <c r="D458" s="8" t="s">
        <v>132</v>
      </c>
      <c r="E458" s="8" t="s">
        <v>51</v>
      </c>
      <c r="F458" s="8" t="s">
        <v>326</v>
      </c>
      <c r="G458" s="8" t="s">
        <v>143</v>
      </c>
      <c r="H458" s="8" t="s">
        <v>8670</v>
      </c>
      <c r="I458" s="8" t="s">
        <v>8677</v>
      </c>
      <c r="J458" s="8" t="s">
        <v>180</v>
      </c>
      <c r="K458" s="8" t="s">
        <v>8664</v>
      </c>
      <c r="L458" s="8"/>
      <c r="M458" s="8"/>
      <c r="N458" s="8" t="n">
        <v>25</v>
      </c>
      <c r="O458" s="8" t="n">
        <v>36</v>
      </c>
      <c r="P458" s="8" t="s">
        <v>120</v>
      </c>
    </row>
    <row r="459" customFormat="false" ht="15" hidden="false" customHeight="false" outlineLevel="0" collapsed="false">
      <c r="A459" s="8" t="s">
        <v>3466</v>
      </c>
      <c r="B459" s="8" t="s">
        <v>3467</v>
      </c>
      <c r="C459" s="8" t="s">
        <v>8678</v>
      </c>
      <c r="D459" s="8" t="s">
        <v>117</v>
      </c>
      <c r="E459" s="8" t="s">
        <v>51</v>
      </c>
      <c r="F459" s="8" t="s">
        <v>2027</v>
      </c>
      <c r="G459" s="8" t="s">
        <v>143</v>
      </c>
      <c r="H459" s="8" t="s">
        <v>8666</v>
      </c>
      <c r="I459" s="8" t="s">
        <v>9085</v>
      </c>
      <c r="J459" s="8" t="s">
        <v>204</v>
      </c>
      <c r="K459" s="8" t="s">
        <v>8664</v>
      </c>
      <c r="L459" s="8"/>
      <c r="M459" s="8"/>
      <c r="N459" s="8" t="n">
        <v>12</v>
      </c>
      <c r="O459" s="8" t="n">
        <v>18</v>
      </c>
      <c r="P459" s="8" t="s">
        <v>120</v>
      </c>
    </row>
    <row r="460" customFormat="false" ht="15" hidden="false" customHeight="false" outlineLevel="0" collapsed="false">
      <c r="A460" s="8" t="s">
        <v>4262</v>
      </c>
      <c r="B460" s="8" t="s">
        <v>4263</v>
      </c>
      <c r="C460" s="8" t="s">
        <v>8678</v>
      </c>
      <c r="D460" s="8" t="s">
        <v>123</v>
      </c>
      <c r="E460" s="8" t="s">
        <v>51</v>
      </c>
      <c r="F460" s="8" t="s">
        <v>2027</v>
      </c>
      <c r="G460" s="8" t="s">
        <v>136</v>
      </c>
      <c r="H460" s="8" t="s">
        <v>8666</v>
      </c>
      <c r="I460" s="8" t="s">
        <v>9233</v>
      </c>
      <c r="J460" s="8" t="s">
        <v>177</v>
      </c>
      <c r="K460" s="8" t="s">
        <v>8664</v>
      </c>
      <c r="L460" s="8"/>
      <c r="M460" s="8"/>
      <c r="N460" s="8" t="n">
        <v>12</v>
      </c>
      <c r="O460" s="8" t="n">
        <v>9</v>
      </c>
      <c r="P460" s="8" t="s">
        <v>120</v>
      </c>
    </row>
    <row r="461" customFormat="false" ht="15" hidden="false" customHeight="false" outlineLevel="0" collapsed="false">
      <c r="A461" s="8" t="s">
        <v>4558</v>
      </c>
      <c r="B461" s="8" t="s">
        <v>9234</v>
      </c>
      <c r="C461" s="8" t="s">
        <v>8688</v>
      </c>
      <c r="D461" s="8" t="s">
        <v>128</v>
      </c>
      <c r="E461" s="8" t="s">
        <v>51</v>
      </c>
      <c r="F461" s="8" t="s">
        <v>2027</v>
      </c>
      <c r="G461" s="8" t="s">
        <v>143</v>
      </c>
      <c r="H461" s="8" t="s">
        <v>8662</v>
      </c>
      <c r="I461" s="8" t="s">
        <v>9235</v>
      </c>
      <c r="J461" s="8"/>
      <c r="K461" s="8" t="s">
        <v>8690</v>
      </c>
      <c r="L461" s="8" t="s">
        <v>8738</v>
      </c>
      <c r="M461" s="8" t="s">
        <v>8692</v>
      </c>
      <c r="N461" s="8" t="n">
        <v>12</v>
      </c>
      <c r="O461" s="8" t="n">
        <v>20</v>
      </c>
      <c r="P461" s="8" t="s">
        <v>120</v>
      </c>
    </row>
    <row r="462" customFormat="false" ht="15" hidden="false" customHeight="false" outlineLevel="0" collapsed="false">
      <c r="A462" s="8" t="s">
        <v>989</v>
      </c>
      <c r="B462" s="8" t="s">
        <v>990</v>
      </c>
      <c r="C462" s="8" t="s">
        <v>8661</v>
      </c>
      <c r="D462" s="8" t="s">
        <v>117</v>
      </c>
      <c r="E462" s="8" t="s">
        <v>53</v>
      </c>
      <c r="F462" s="8" t="s">
        <v>326</v>
      </c>
      <c r="G462" s="8" t="s">
        <v>190</v>
      </c>
      <c r="H462" s="8" t="s">
        <v>8675</v>
      </c>
      <c r="I462" s="8" t="s">
        <v>9236</v>
      </c>
      <c r="J462" s="8" t="s">
        <v>147</v>
      </c>
      <c r="K462" s="8" t="s">
        <v>8664</v>
      </c>
      <c r="L462" s="8"/>
      <c r="M462" s="8"/>
      <c r="N462" s="8" t="n">
        <v>25</v>
      </c>
      <c r="O462" s="8" t="n">
        <v>166</v>
      </c>
      <c r="P462" s="8" t="s">
        <v>120</v>
      </c>
    </row>
    <row r="463" customFormat="false" ht="15" hidden="false" customHeight="false" outlineLevel="0" collapsed="false">
      <c r="A463" s="8" t="s">
        <v>4026</v>
      </c>
      <c r="B463" s="8" t="s">
        <v>4027</v>
      </c>
      <c r="C463" s="8" t="s">
        <v>8665</v>
      </c>
      <c r="D463" s="8" t="s">
        <v>132</v>
      </c>
      <c r="E463" s="8" t="s">
        <v>51</v>
      </c>
      <c r="F463" s="8" t="s">
        <v>2027</v>
      </c>
      <c r="G463" s="8" t="s">
        <v>223</v>
      </c>
      <c r="H463" s="8" t="s">
        <v>8675</v>
      </c>
      <c r="I463" s="8" t="s">
        <v>9237</v>
      </c>
      <c r="J463" s="8" t="s">
        <v>140</v>
      </c>
      <c r="K463" s="8" t="s">
        <v>8664</v>
      </c>
      <c r="L463" s="8"/>
      <c r="M463" s="8"/>
      <c r="N463" s="8" t="n">
        <v>12</v>
      </c>
      <c r="O463" s="8" t="n">
        <v>11</v>
      </c>
      <c r="P463" s="8" t="s">
        <v>120</v>
      </c>
    </row>
    <row r="464" customFormat="false" ht="15" hidden="false" customHeight="false" outlineLevel="0" collapsed="false">
      <c r="A464" s="8" t="s">
        <v>9238</v>
      </c>
      <c r="B464" s="8" t="s">
        <v>9239</v>
      </c>
      <c r="C464" s="8" t="s">
        <v>8661</v>
      </c>
      <c r="D464" s="8" t="s">
        <v>123</v>
      </c>
      <c r="E464" s="8" t="s">
        <v>53</v>
      </c>
      <c r="F464" s="8" t="s">
        <v>55</v>
      </c>
      <c r="G464" s="8" t="s">
        <v>166</v>
      </c>
      <c r="H464" s="8" t="s">
        <v>8675</v>
      </c>
      <c r="I464" s="8" t="s">
        <v>9240</v>
      </c>
      <c r="J464" s="8"/>
      <c r="K464" s="8" t="s">
        <v>8690</v>
      </c>
      <c r="L464" s="8" t="s">
        <v>9241</v>
      </c>
      <c r="M464" s="8" t="s">
        <v>8705</v>
      </c>
      <c r="N464" s="8" t="n">
        <v>45</v>
      </c>
      <c r="O464" s="8" t="n">
        <v>80</v>
      </c>
      <c r="P464" s="8" t="s">
        <v>120</v>
      </c>
    </row>
    <row r="465" customFormat="false" ht="15" hidden="false" customHeight="false" outlineLevel="0" collapsed="false">
      <c r="A465" s="8" t="s">
        <v>2308</v>
      </c>
      <c r="B465" s="8" t="s">
        <v>2309</v>
      </c>
      <c r="C465" s="8" t="s">
        <v>8669</v>
      </c>
      <c r="D465" s="8" t="s">
        <v>117</v>
      </c>
      <c r="E465" s="8" t="s">
        <v>51</v>
      </c>
      <c r="F465" s="8" t="s">
        <v>2027</v>
      </c>
      <c r="G465" s="8" t="s">
        <v>136</v>
      </c>
      <c r="H465" s="8" t="s">
        <v>8670</v>
      </c>
      <c r="I465" s="8" t="s">
        <v>9016</v>
      </c>
      <c r="J465" s="8" t="s">
        <v>144</v>
      </c>
      <c r="K465" s="8" t="s">
        <v>8664</v>
      </c>
      <c r="L465" s="8"/>
      <c r="M465" s="8"/>
      <c r="N465" s="8" t="n">
        <v>12</v>
      </c>
      <c r="O465" s="8" t="n">
        <v>33</v>
      </c>
      <c r="P465" s="8" t="s">
        <v>120</v>
      </c>
    </row>
    <row r="466" customFormat="false" ht="15" hidden="false" customHeight="false" outlineLevel="0" collapsed="false">
      <c r="A466" s="8" t="s">
        <v>981</v>
      </c>
      <c r="B466" s="8" t="s">
        <v>982</v>
      </c>
      <c r="C466" s="8" t="s">
        <v>8674</v>
      </c>
      <c r="D466" s="8" t="s">
        <v>132</v>
      </c>
      <c r="E466" s="8" t="s">
        <v>53</v>
      </c>
      <c r="F466" s="8" t="s">
        <v>326</v>
      </c>
      <c r="G466" s="8" t="s">
        <v>151</v>
      </c>
      <c r="H466" s="8" t="s">
        <v>8666</v>
      </c>
      <c r="I466" s="8" t="s">
        <v>9242</v>
      </c>
      <c r="J466" s="8" t="s">
        <v>204</v>
      </c>
      <c r="K466" s="8" t="s">
        <v>8664</v>
      </c>
      <c r="L466" s="8"/>
      <c r="M466" s="8"/>
      <c r="N466" s="8" t="n">
        <v>25</v>
      </c>
      <c r="O466" s="8" t="n">
        <v>152</v>
      </c>
      <c r="P466" s="8" t="s">
        <v>120</v>
      </c>
    </row>
    <row r="467" customFormat="false" ht="15" hidden="false" customHeight="false" outlineLevel="0" collapsed="false">
      <c r="A467" s="8" t="s">
        <v>3048</v>
      </c>
      <c r="B467" s="8" t="s">
        <v>3049</v>
      </c>
      <c r="C467" s="8" t="s">
        <v>8669</v>
      </c>
      <c r="D467" s="8" t="s">
        <v>123</v>
      </c>
      <c r="E467" s="8" t="s">
        <v>51</v>
      </c>
      <c r="F467" s="8" t="s">
        <v>2027</v>
      </c>
      <c r="G467" s="8" t="s">
        <v>154</v>
      </c>
      <c r="H467" s="8" t="s">
        <v>8666</v>
      </c>
      <c r="I467" s="8" t="s">
        <v>9243</v>
      </c>
      <c r="J467" s="8" t="s">
        <v>185</v>
      </c>
      <c r="K467" s="8" t="s">
        <v>8664</v>
      </c>
      <c r="L467" s="8"/>
      <c r="M467" s="8"/>
      <c r="N467" s="8" t="n">
        <v>12</v>
      </c>
      <c r="O467" s="8" t="n">
        <v>29</v>
      </c>
      <c r="P467" s="8" t="s">
        <v>120</v>
      </c>
    </row>
    <row r="468" customFormat="false" ht="15" hidden="false" customHeight="false" outlineLevel="0" collapsed="false">
      <c r="A468" s="8" t="s">
        <v>9244</v>
      </c>
      <c r="B468" s="8" t="s">
        <v>9245</v>
      </c>
      <c r="C468" s="8" t="s">
        <v>8688</v>
      </c>
      <c r="D468" s="8" t="s">
        <v>123</v>
      </c>
      <c r="E468" s="8" t="s">
        <v>51</v>
      </c>
      <c r="F468" s="8" t="s">
        <v>326</v>
      </c>
      <c r="G468" s="8" t="s">
        <v>154</v>
      </c>
      <c r="H468" s="8" t="s">
        <v>8675</v>
      </c>
      <c r="I468" s="8" t="s">
        <v>9246</v>
      </c>
      <c r="J468" s="8"/>
      <c r="K468" s="8" t="s">
        <v>8690</v>
      </c>
      <c r="L468" s="8" t="s">
        <v>8885</v>
      </c>
      <c r="M468" s="8" t="s">
        <v>8692</v>
      </c>
      <c r="N468" s="8" t="n">
        <v>25</v>
      </c>
      <c r="O468" s="8" t="n">
        <v>17</v>
      </c>
      <c r="P468" s="8" t="s">
        <v>120</v>
      </c>
    </row>
    <row r="469" customFormat="false" ht="15" hidden="false" customHeight="false" outlineLevel="0" collapsed="false">
      <c r="A469" s="8" t="s">
        <v>1107</v>
      </c>
      <c r="B469" s="8" t="s">
        <v>1108</v>
      </c>
      <c r="C469" s="8" t="s">
        <v>8700</v>
      </c>
      <c r="D469" s="8" t="s">
        <v>123</v>
      </c>
      <c r="E469" s="8" t="s">
        <v>53</v>
      </c>
      <c r="F469" s="8" t="s">
        <v>55</v>
      </c>
      <c r="G469" s="8" t="s">
        <v>151</v>
      </c>
      <c r="H469" s="8" t="s">
        <v>8662</v>
      </c>
      <c r="I469" s="8" t="s">
        <v>8788</v>
      </c>
      <c r="J469" s="8" t="s">
        <v>159</v>
      </c>
      <c r="K469" s="8" t="s">
        <v>8664</v>
      </c>
      <c r="L469" s="8"/>
      <c r="M469" s="8"/>
      <c r="N469" s="8" t="n">
        <v>45</v>
      </c>
      <c r="O469" s="8" t="n">
        <v>108</v>
      </c>
      <c r="P469" s="8" t="s">
        <v>148</v>
      </c>
    </row>
    <row r="470" customFormat="false" ht="15" hidden="false" customHeight="false" outlineLevel="0" collapsed="false">
      <c r="A470" s="8" t="s">
        <v>447</v>
      </c>
      <c r="B470" s="8" t="s">
        <v>448</v>
      </c>
      <c r="C470" s="8" t="s">
        <v>8678</v>
      </c>
      <c r="D470" s="8" t="s">
        <v>132</v>
      </c>
      <c r="E470" s="8" t="s">
        <v>55</v>
      </c>
      <c r="F470" s="8" t="s">
        <v>55</v>
      </c>
      <c r="G470" s="8" t="s">
        <v>118</v>
      </c>
      <c r="H470" s="8" t="s">
        <v>8670</v>
      </c>
      <c r="I470" s="8" t="s">
        <v>8794</v>
      </c>
      <c r="J470" s="8" t="s">
        <v>177</v>
      </c>
      <c r="K470" s="8" t="s">
        <v>8664</v>
      </c>
      <c r="L470" s="8"/>
      <c r="M470" s="8"/>
      <c r="N470" s="8" t="n">
        <v>45</v>
      </c>
      <c r="O470" s="8" t="n">
        <v>266</v>
      </c>
      <c r="P470" s="8" t="s">
        <v>120</v>
      </c>
    </row>
    <row r="471" customFormat="false" ht="15" hidden="false" customHeight="false" outlineLevel="0" collapsed="false">
      <c r="A471" s="8" t="s">
        <v>341</v>
      </c>
      <c r="B471" s="8" t="s">
        <v>342</v>
      </c>
      <c r="C471" s="8" t="s">
        <v>8700</v>
      </c>
      <c r="D471" s="8" t="s">
        <v>117</v>
      </c>
      <c r="E471" s="8" t="s">
        <v>55</v>
      </c>
      <c r="F471" s="8" t="s">
        <v>55</v>
      </c>
      <c r="G471" s="8" t="s">
        <v>136</v>
      </c>
      <c r="H471" s="8" t="s">
        <v>8675</v>
      </c>
      <c r="I471" s="8" t="s">
        <v>8865</v>
      </c>
      <c r="J471" s="8" t="s">
        <v>125</v>
      </c>
      <c r="K471" s="8" t="s">
        <v>8664</v>
      </c>
      <c r="L471" s="8"/>
      <c r="M471" s="8"/>
      <c r="N471" s="8" t="n">
        <v>45</v>
      </c>
      <c r="O471" s="8" t="n">
        <v>344</v>
      </c>
      <c r="P471" s="8" t="s">
        <v>120</v>
      </c>
    </row>
    <row r="472" customFormat="false" ht="15" hidden="false" customHeight="false" outlineLevel="0" collapsed="false">
      <c r="A472" s="8" t="s">
        <v>4154</v>
      </c>
      <c r="B472" s="8" t="s">
        <v>4155</v>
      </c>
      <c r="C472" s="8" t="s">
        <v>8680</v>
      </c>
      <c r="D472" s="8" t="s">
        <v>123</v>
      </c>
      <c r="E472" s="8" t="s">
        <v>51</v>
      </c>
      <c r="F472" s="8" t="s">
        <v>2027</v>
      </c>
      <c r="G472" s="8" t="s">
        <v>154</v>
      </c>
      <c r="H472" s="8" t="s">
        <v>8666</v>
      </c>
      <c r="I472" s="8" t="s">
        <v>8714</v>
      </c>
      <c r="J472" s="8" t="s">
        <v>185</v>
      </c>
      <c r="K472" s="8" t="s">
        <v>8664</v>
      </c>
      <c r="L472" s="8"/>
      <c r="M472" s="8"/>
      <c r="N472" s="8" t="n">
        <v>12</v>
      </c>
      <c r="O472" s="8" t="n">
        <v>7</v>
      </c>
      <c r="P472" s="8" t="s">
        <v>120</v>
      </c>
    </row>
    <row r="473" customFormat="false" ht="15" hidden="false" customHeight="false" outlineLevel="0" collapsed="false">
      <c r="A473" s="8" t="s">
        <v>2928</v>
      </c>
      <c r="B473" s="8" t="s">
        <v>2929</v>
      </c>
      <c r="C473" s="8" t="s">
        <v>8688</v>
      </c>
      <c r="D473" s="8" t="s">
        <v>132</v>
      </c>
      <c r="E473" s="8" t="s">
        <v>51</v>
      </c>
      <c r="F473" s="8" t="s">
        <v>2027</v>
      </c>
      <c r="G473" s="8" t="s">
        <v>133</v>
      </c>
      <c r="H473" s="8" t="s">
        <v>8670</v>
      </c>
      <c r="I473" s="8" t="s">
        <v>9247</v>
      </c>
      <c r="J473" s="8" t="s">
        <v>137</v>
      </c>
      <c r="K473" s="8" t="s">
        <v>8664</v>
      </c>
      <c r="L473" s="8"/>
      <c r="M473" s="8"/>
      <c r="N473" s="8" t="n">
        <v>12</v>
      </c>
      <c r="O473" s="8" t="n">
        <v>31</v>
      </c>
      <c r="P473" s="8" t="s">
        <v>120</v>
      </c>
    </row>
    <row r="474" customFormat="false" ht="15" hidden="false" customHeight="false" outlineLevel="0" collapsed="false">
      <c r="A474" s="8" t="s">
        <v>4426</v>
      </c>
      <c r="B474" s="8" t="s">
        <v>9248</v>
      </c>
      <c r="C474" s="8" t="s">
        <v>8700</v>
      </c>
      <c r="D474" s="8" t="s">
        <v>132</v>
      </c>
      <c r="E474" s="8" t="s">
        <v>53</v>
      </c>
      <c r="F474" s="8" t="s">
        <v>55</v>
      </c>
      <c r="G474" s="8" t="s">
        <v>143</v>
      </c>
      <c r="H474" s="8" t="s">
        <v>8675</v>
      </c>
      <c r="I474" s="8" t="s">
        <v>9249</v>
      </c>
      <c r="J474" s="8"/>
      <c r="K474" s="8" t="s">
        <v>8690</v>
      </c>
      <c r="L474" s="8" t="s">
        <v>9250</v>
      </c>
      <c r="M474" s="8" t="s">
        <v>8692</v>
      </c>
      <c r="N474" s="8" t="n">
        <v>45</v>
      </c>
      <c r="O474" s="8" t="n">
        <v>135</v>
      </c>
      <c r="P474" s="8" t="s">
        <v>120</v>
      </c>
    </row>
    <row r="475" customFormat="false" ht="15" hidden="false" customHeight="false" outlineLevel="0" collapsed="false">
      <c r="A475" s="8" t="s">
        <v>919</v>
      </c>
      <c r="B475" s="8" t="s">
        <v>920</v>
      </c>
      <c r="C475" s="8" t="s">
        <v>8674</v>
      </c>
      <c r="D475" s="8" t="s">
        <v>132</v>
      </c>
      <c r="E475" s="8" t="s">
        <v>53</v>
      </c>
      <c r="F475" s="8" t="s">
        <v>326</v>
      </c>
      <c r="G475" s="8" t="s">
        <v>151</v>
      </c>
      <c r="H475" s="8" t="s">
        <v>8662</v>
      </c>
      <c r="I475" s="8" t="s">
        <v>9251</v>
      </c>
      <c r="J475" s="8" t="s">
        <v>119</v>
      </c>
      <c r="K475" s="8" t="s">
        <v>8664</v>
      </c>
      <c r="L475" s="8"/>
      <c r="M475" s="8"/>
      <c r="N475" s="8" t="n">
        <v>25</v>
      </c>
      <c r="O475" s="8" t="n">
        <v>139</v>
      </c>
      <c r="P475" s="8" t="s">
        <v>120</v>
      </c>
    </row>
    <row r="476" customFormat="false" ht="15" hidden="false" customHeight="false" outlineLevel="0" collapsed="false">
      <c r="A476" s="8" t="s">
        <v>515</v>
      </c>
      <c r="B476" s="8" t="s">
        <v>516</v>
      </c>
      <c r="C476" s="8" t="s">
        <v>8674</v>
      </c>
      <c r="D476" s="8" t="s">
        <v>123</v>
      </c>
      <c r="E476" s="8" t="s">
        <v>55</v>
      </c>
      <c r="F476" s="8" t="s">
        <v>326</v>
      </c>
      <c r="G476" s="8" t="s">
        <v>190</v>
      </c>
      <c r="H476" s="8" t="s">
        <v>8662</v>
      </c>
      <c r="I476" s="8" t="s">
        <v>9136</v>
      </c>
      <c r="J476" s="8" t="s">
        <v>159</v>
      </c>
      <c r="K476" s="8" t="s">
        <v>8664</v>
      </c>
      <c r="L476" s="8"/>
      <c r="M476" s="8"/>
      <c r="N476" s="8" t="n">
        <v>25</v>
      </c>
      <c r="O476" s="8" t="n">
        <v>388</v>
      </c>
      <c r="P476" s="8" t="s">
        <v>148</v>
      </c>
    </row>
    <row r="477" customFormat="false" ht="15" hidden="false" customHeight="false" outlineLevel="0" collapsed="false">
      <c r="A477" s="8" t="s">
        <v>2500</v>
      </c>
      <c r="B477" s="8" t="s">
        <v>2501</v>
      </c>
      <c r="C477" s="8" t="s">
        <v>8700</v>
      </c>
      <c r="D477" s="8" t="s">
        <v>123</v>
      </c>
      <c r="E477" s="8" t="s">
        <v>51</v>
      </c>
      <c r="F477" s="8" t="s">
        <v>2027</v>
      </c>
      <c r="G477" s="8" t="s">
        <v>223</v>
      </c>
      <c r="H477" s="8" t="s">
        <v>8662</v>
      </c>
      <c r="I477" s="8" t="s">
        <v>9252</v>
      </c>
      <c r="J477" s="8" t="s">
        <v>144</v>
      </c>
      <c r="K477" s="8" t="s">
        <v>8664</v>
      </c>
      <c r="L477" s="8"/>
      <c r="M477" s="8"/>
      <c r="N477" s="8" t="n">
        <v>12</v>
      </c>
      <c r="O477" s="8" t="n">
        <v>31</v>
      </c>
      <c r="P477" s="8" t="s">
        <v>120</v>
      </c>
    </row>
    <row r="478" customFormat="false" ht="15" hidden="false" customHeight="false" outlineLevel="0" collapsed="false">
      <c r="A478" s="8" t="s">
        <v>1629</v>
      </c>
      <c r="B478" s="8" t="s">
        <v>1630</v>
      </c>
      <c r="C478" s="8" t="s">
        <v>8669</v>
      </c>
      <c r="D478" s="8" t="s">
        <v>132</v>
      </c>
      <c r="E478" s="8" t="s">
        <v>53</v>
      </c>
      <c r="F478" s="8" t="s">
        <v>326</v>
      </c>
      <c r="G478" s="8" t="s">
        <v>143</v>
      </c>
      <c r="H478" s="8" t="s">
        <v>8670</v>
      </c>
      <c r="I478" s="8" t="s">
        <v>9253</v>
      </c>
      <c r="J478" s="8" t="s">
        <v>147</v>
      </c>
      <c r="K478" s="8" t="s">
        <v>8664</v>
      </c>
      <c r="L478" s="8"/>
      <c r="M478" s="8"/>
      <c r="N478" s="8" t="n">
        <v>25</v>
      </c>
      <c r="O478" s="8" t="n">
        <v>67</v>
      </c>
      <c r="P478" s="8" t="s">
        <v>120</v>
      </c>
    </row>
    <row r="479" customFormat="false" ht="15" hidden="false" customHeight="false" outlineLevel="0" collapsed="false">
      <c r="A479" s="8" t="s">
        <v>2420</v>
      </c>
      <c r="B479" s="8" t="s">
        <v>2421</v>
      </c>
      <c r="C479" s="8" t="s">
        <v>8674</v>
      </c>
      <c r="D479" s="8" t="s">
        <v>117</v>
      </c>
      <c r="E479" s="8" t="s">
        <v>51</v>
      </c>
      <c r="F479" s="8" t="s">
        <v>326</v>
      </c>
      <c r="G479" s="8" t="s">
        <v>166</v>
      </c>
      <c r="H479" s="8" t="s">
        <v>8670</v>
      </c>
      <c r="I479" s="8" t="s">
        <v>9254</v>
      </c>
      <c r="J479" s="8" t="s">
        <v>140</v>
      </c>
      <c r="K479" s="8" t="s">
        <v>8664</v>
      </c>
      <c r="L479" s="8"/>
      <c r="M479" s="8"/>
      <c r="N479" s="8" t="n">
        <v>25</v>
      </c>
      <c r="O479" s="8" t="n">
        <v>19</v>
      </c>
      <c r="P479" s="8" t="s">
        <v>120</v>
      </c>
    </row>
    <row r="480" customFormat="false" ht="15" hidden="false" customHeight="false" outlineLevel="0" collapsed="false">
      <c r="A480" s="8" t="s">
        <v>2558</v>
      </c>
      <c r="B480" s="8" t="s">
        <v>2559</v>
      </c>
      <c r="C480" s="8" t="s">
        <v>8688</v>
      </c>
      <c r="D480" s="8" t="s">
        <v>132</v>
      </c>
      <c r="E480" s="8" t="s">
        <v>51</v>
      </c>
      <c r="F480" s="8" t="s">
        <v>2027</v>
      </c>
      <c r="G480" s="8" t="s">
        <v>124</v>
      </c>
      <c r="H480" s="8" t="s">
        <v>8675</v>
      </c>
      <c r="I480" s="8" t="s">
        <v>8926</v>
      </c>
      <c r="J480" s="8" t="s">
        <v>185</v>
      </c>
      <c r="K480" s="8" t="s">
        <v>8664</v>
      </c>
      <c r="L480" s="8"/>
      <c r="M480" s="8"/>
      <c r="N480" s="8" t="n">
        <v>12</v>
      </c>
      <c r="O480" s="8" t="n">
        <v>37</v>
      </c>
      <c r="P480" s="8" t="s">
        <v>120</v>
      </c>
    </row>
    <row r="481" customFormat="false" ht="15" hidden="false" customHeight="false" outlineLevel="0" collapsed="false">
      <c r="A481" s="8" t="s">
        <v>4264</v>
      </c>
      <c r="B481" s="8" t="s">
        <v>4265</v>
      </c>
      <c r="C481" s="8" t="s">
        <v>8688</v>
      </c>
      <c r="D481" s="8" t="s">
        <v>132</v>
      </c>
      <c r="E481" s="8" t="s">
        <v>51</v>
      </c>
      <c r="F481" s="8" t="s">
        <v>2027</v>
      </c>
      <c r="G481" s="8" t="s">
        <v>136</v>
      </c>
      <c r="H481" s="8" t="s">
        <v>8662</v>
      </c>
      <c r="I481" s="8" t="s">
        <v>9255</v>
      </c>
      <c r="J481" s="8" t="s">
        <v>140</v>
      </c>
      <c r="K481" s="8" t="s">
        <v>8664</v>
      </c>
      <c r="L481" s="8"/>
      <c r="M481" s="8"/>
      <c r="N481" s="8" t="n">
        <v>12</v>
      </c>
      <c r="O481" s="8" t="n">
        <v>7</v>
      </c>
      <c r="P481" s="8" t="s">
        <v>120</v>
      </c>
    </row>
    <row r="482" customFormat="false" ht="15" hidden="false" customHeight="false" outlineLevel="0" collapsed="false">
      <c r="A482" s="8" t="s">
        <v>1321</v>
      </c>
      <c r="B482" s="8" t="s">
        <v>1322</v>
      </c>
      <c r="C482" s="8" t="s">
        <v>8674</v>
      </c>
      <c r="D482" s="8" t="s">
        <v>123</v>
      </c>
      <c r="E482" s="8" t="s">
        <v>53</v>
      </c>
      <c r="F482" s="8" t="s">
        <v>326</v>
      </c>
      <c r="G482" s="8" t="s">
        <v>124</v>
      </c>
      <c r="H482" s="8" t="s">
        <v>8675</v>
      </c>
      <c r="I482" s="8" t="s">
        <v>9256</v>
      </c>
      <c r="J482" s="8" t="s">
        <v>177</v>
      </c>
      <c r="K482" s="8" t="s">
        <v>8664</v>
      </c>
      <c r="L482" s="8"/>
      <c r="M482" s="8"/>
      <c r="N482" s="8" t="n">
        <v>25</v>
      </c>
      <c r="O482" s="8" t="n">
        <v>119</v>
      </c>
      <c r="P482" s="8" t="s">
        <v>148</v>
      </c>
    </row>
    <row r="483" customFormat="false" ht="15" hidden="false" customHeight="false" outlineLevel="0" collapsed="false">
      <c r="A483" s="8" t="s">
        <v>4471</v>
      </c>
      <c r="B483" s="8" t="s">
        <v>9257</v>
      </c>
      <c r="C483" s="8" t="s">
        <v>8688</v>
      </c>
      <c r="D483" s="8" t="s">
        <v>123</v>
      </c>
      <c r="E483" s="8" t="s">
        <v>53</v>
      </c>
      <c r="F483" s="8" t="s">
        <v>326</v>
      </c>
      <c r="G483" s="8" t="s">
        <v>223</v>
      </c>
      <c r="H483" s="8" t="s">
        <v>8675</v>
      </c>
      <c r="I483" s="8" t="s">
        <v>8768</v>
      </c>
      <c r="J483" s="8"/>
      <c r="K483" s="8" t="s">
        <v>8690</v>
      </c>
      <c r="L483" s="8" t="s">
        <v>9258</v>
      </c>
      <c r="M483" s="8" t="s">
        <v>8795</v>
      </c>
      <c r="N483" s="8" t="n">
        <v>25</v>
      </c>
      <c r="O483" s="8" t="n">
        <v>86</v>
      </c>
      <c r="P483" s="8" t="s">
        <v>148</v>
      </c>
    </row>
    <row r="484" customFormat="false" ht="15" hidden="false" customHeight="false" outlineLevel="0" collapsed="false">
      <c r="A484" s="8" t="s">
        <v>2284</v>
      </c>
      <c r="B484" s="8" t="s">
        <v>2285</v>
      </c>
      <c r="C484" s="8" t="s">
        <v>8680</v>
      </c>
      <c r="D484" s="8" t="s">
        <v>132</v>
      </c>
      <c r="E484" s="8" t="s">
        <v>51</v>
      </c>
      <c r="F484" s="8" t="s">
        <v>326</v>
      </c>
      <c r="G484" s="8" t="s">
        <v>223</v>
      </c>
      <c r="H484" s="8" t="s">
        <v>8662</v>
      </c>
      <c r="I484" s="8" t="s">
        <v>9259</v>
      </c>
      <c r="J484" s="8" t="s">
        <v>177</v>
      </c>
      <c r="K484" s="8" t="s">
        <v>8664</v>
      </c>
      <c r="L484" s="8"/>
      <c r="M484" s="8"/>
      <c r="N484" s="8" t="n">
        <v>25</v>
      </c>
      <c r="O484" s="8" t="n">
        <v>22</v>
      </c>
      <c r="P484" s="8" t="s">
        <v>120</v>
      </c>
    </row>
    <row r="485" customFormat="false" ht="15" hidden="false" customHeight="false" outlineLevel="0" collapsed="false">
      <c r="A485" s="8" t="s">
        <v>4432</v>
      </c>
      <c r="B485" s="8" t="s">
        <v>9260</v>
      </c>
      <c r="C485" s="8" t="s">
        <v>8678</v>
      </c>
      <c r="D485" s="8" t="s">
        <v>132</v>
      </c>
      <c r="E485" s="8" t="s">
        <v>53</v>
      </c>
      <c r="F485" s="8" t="s">
        <v>326</v>
      </c>
      <c r="G485" s="8" t="s">
        <v>223</v>
      </c>
      <c r="H485" s="8" t="s">
        <v>8675</v>
      </c>
      <c r="I485" s="8" t="s">
        <v>9098</v>
      </c>
      <c r="J485" s="8"/>
      <c r="K485" s="8" t="s">
        <v>8690</v>
      </c>
      <c r="L485" s="8" t="s">
        <v>9261</v>
      </c>
      <c r="M485" s="8" t="s">
        <v>8721</v>
      </c>
      <c r="N485" s="8" t="n">
        <v>25</v>
      </c>
      <c r="O485" s="8" t="n">
        <v>196</v>
      </c>
      <c r="P485" s="8" t="s">
        <v>120</v>
      </c>
    </row>
    <row r="486" customFormat="false" ht="15" hidden="false" customHeight="false" outlineLevel="0" collapsed="false">
      <c r="A486" s="8" t="s">
        <v>1503</v>
      </c>
      <c r="B486" s="8" t="s">
        <v>1504</v>
      </c>
      <c r="C486" s="8" t="s">
        <v>8669</v>
      </c>
      <c r="D486" s="8" t="s">
        <v>123</v>
      </c>
      <c r="E486" s="8" t="s">
        <v>53</v>
      </c>
      <c r="F486" s="8" t="s">
        <v>326</v>
      </c>
      <c r="G486" s="8" t="s">
        <v>223</v>
      </c>
      <c r="H486" s="8" t="s">
        <v>8670</v>
      </c>
      <c r="I486" s="8" t="s">
        <v>9262</v>
      </c>
      <c r="J486" s="8" t="s">
        <v>119</v>
      </c>
      <c r="K486" s="8" t="s">
        <v>8664</v>
      </c>
      <c r="L486" s="8"/>
      <c r="M486" s="8"/>
      <c r="N486" s="8" t="n">
        <v>25</v>
      </c>
      <c r="O486" s="8" t="n">
        <v>90</v>
      </c>
      <c r="P486" s="8" t="s">
        <v>120</v>
      </c>
    </row>
    <row r="487" customFormat="false" ht="15" hidden="false" customHeight="false" outlineLevel="0" collapsed="false">
      <c r="A487" s="8" t="s">
        <v>2844</v>
      </c>
      <c r="B487" s="8" t="s">
        <v>2845</v>
      </c>
      <c r="C487" s="8" t="s">
        <v>8678</v>
      </c>
      <c r="D487" s="8" t="s">
        <v>123</v>
      </c>
      <c r="E487" s="8" t="s">
        <v>51</v>
      </c>
      <c r="F487" s="8" t="s">
        <v>2027</v>
      </c>
      <c r="G487" s="8" t="s">
        <v>223</v>
      </c>
      <c r="H487" s="8" t="s">
        <v>8662</v>
      </c>
      <c r="I487" s="8" t="s">
        <v>9263</v>
      </c>
      <c r="J487" s="8" t="s">
        <v>144</v>
      </c>
      <c r="K487" s="8" t="s">
        <v>8664</v>
      </c>
      <c r="L487" s="8"/>
      <c r="M487" s="8"/>
      <c r="N487" s="8" t="n">
        <v>12</v>
      </c>
      <c r="O487" s="8" t="n">
        <v>32</v>
      </c>
      <c r="P487" s="8" t="s">
        <v>120</v>
      </c>
    </row>
    <row r="488" customFormat="false" ht="15" hidden="false" customHeight="false" outlineLevel="0" collapsed="false">
      <c r="A488" s="8" t="s">
        <v>2212</v>
      </c>
      <c r="B488" s="8" t="s">
        <v>2213</v>
      </c>
      <c r="C488" s="8" t="s">
        <v>8700</v>
      </c>
      <c r="D488" s="8" t="s">
        <v>123</v>
      </c>
      <c r="E488" s="8" t="s">
        <v>51</v>
      </c>
      <c r="F488" s="8" t="s">
        <v>326</v>
      </c>
      <c r="G488" s="8" t="s">
        <v>133</v>
      </c>
      <c r="H488" s="8" t="s">
        <v>8666</v>
      </c>
      <c r="I488" s="8" t="s">
        <v>8822</v>
      </c>
      <c r="J488" s="8" t="s">
        <v>137</v>
      </c>
      <c r="K488" s="8" t="s">
        <v>8664</v>
      </c>
      <c r="L488" s="8"/>
      <c r="M488" s="8"/>
      <c r="N488" s="8" t="n">
        <v>25</v>
      </c>
      <c r="O488" s="8" t="n">
        <v>24</v>
      </c>
      <c r="P488" s="8" t="s">
        <v>120</v>
      </c>
    </row>
    <row r="489" customFormat="false" ht="15" hidden="false" customHeight="false" outlineLevel="0" collapsed="false">
      <c r="A489" s="8" t="s">
        <v>4591</v>
      </c>
      <c r="B489" s="8" t="s">
        <v>9264</v>
      </c>
      <c r="C489" s="8" t="s">
        <v>8700</v>
      </c>
      <c r="D489" s="8" t="s">
        <v>123</v>
      </c>
      <c r="E489" s="8" t="s">
        <v>51</v>
      </c>
      <c r="F489" s="8" t="s">
        <v>2027</v>
      </c>
      <c r="G489" s="8" t="s">
        <v>223</v>
      </c>
      <c r="H489" s="8" t="s">
        <v>8675</v>
      </c>
      <c r="I489" s="8" t="s">
        <v>9265</v>
      </c>
      <c r="J489" s="8"/>
      <c r="K489" s="8" t="s">
        <v>8690</v>
      </c>
      <c r="L489" s="8" t="s">
        <v>9266</v>
      </c>
      <c r="M489" s="8" t="s">
        <v>8727</v>
      </c>
      <c r="N489" s="8" t="n">
        <v>12</v>
      </c>
      <c r="O489" s="8" t="n">
        <v>8</v>
      </c>
      <c r="P489" s="8" t="s">
        <v>120</v>
      </c>
    </row>
    <row r="490" customFormat="false" ht="15" hidden="false" customHeight="false" outlineLevel="0" collapsed="false">
      <c r="A490" s="8" t="s">
        <v>2734</v>
      </c>
      <c r="B490" s="8" t="s">
        <v>2735</v>
      </c>
      <c r="C490" s="8" t="s">
        <v>8680</v>
      </c>
      <c r="D490" s="8" t="s">
        <v>132</v>
      </c>
      <c r="E490" s="8" t="s">
        <v>51</v>
      </c>
      <c r="F490" s="8" t="s">
        <v>2027</v>
      </c>
      <c r="G490" s="8" t="s">
        <v>190</v>
      </c>
      <c r="H490" s="8" t="s">
        <v>8670</v>
      </c>
      <c r="I490" s="8" t="s">
        <v>9267</v>
      </c>
      <c r="J490" s="8" t="s">
        <v>140</v>
      </c>
      <c r="K490" s="8" t="s">
        <v>8664</v>
      </c>
      <c r="L490" s="8"/>
      <c r="M490" s="8"/>
      <c r="N490" s="8" t="n">
        <v>12</v>
      </c>
      <c r="O490" s="8" t="n">
        <v>28</v>
      </c>
      <c r="P490" s="8" t="s">
        <v>120</v>
      </c>
    </row>
    <row r="491" customFormat="false" ht="15" hidden="false" customHeight="false" outlineLevel="0" collapsed="false">
      <c r="A491" s="8" t="s">
        <v>4454</v>
      </c>
      <c r="B491" s="8" t="s">
        <v>9268</v>
      </c>
      <c r="C491" s="8" t="s">
        <v>8680</v>
      </c>
      <c r="D491" s="8" t="s">
        <v>123</v>
      </c>
      <c r="E491" s="8" t="s">
        <v>53</v>
      </c>
      <c r="F491" s="8" t="s">
        <v>326</v>
      </c>
      <c r="G491" s="8" t="s">
        <v>151</v>
      </c>
      <c r="H491" s="8" t="s">
        <v>8675</v>
      </c>
      <c r="I491" s="8" t="s">
        <v>9269</v>
      </c>
      <c r="J491" s="8"/>
      <c r="K491" s="8" t="s">
        <v>8690</v>
      </c>
      <c r="L491" s="8" t="s">
        <v>8743</v>
      </c>
      <c r="M491" s="8" t="s">
        <v>8727</v>
      </c>
      <c r="N491" s="8" t="n">
        <v>25</v>
      </c>
      <c r="O491" s="8" t="n">
        <v>118</v>
      </c>
      <c r="P491" s="8" t="s">
        <v>120</v>
      </c>
    </row>
    <row r="492" customFormat="false" ht="15" hidden="false" customHeight="false" outlineLevel="0" collapsed="false">
      <c r="A492" s="8" t="s">
        <v>4156</v>
      </c>
      <c r="B492" s="8" t="s">
        <v>4157</v>
      </c>
      <c r="C492" s="8" t="s">
        <v>8674</v>
      </c>
      <c r="D492" s="8" t="s">
        <v>123</v>
      </c>
      <c r="E492" s="8" t="s">
        <v>51</v>
      </c>
      <c r="F492" s="8" t="s">
        <v>2027</v>
      </c>
      <c r="G492" s="8" t="s">
        <v>136</v>
      </c>
      <c r="H492" s="8" t="s">
        <v>8666</v>
      </c>
      <c r="I492" s="8" t="s">
        <v>9270</v>
      </c>
      <c r="J492" s="8" t="s">
        <v>140</v>
      </c>
      <c r="K492" s="8" t="s">
        <v>8664</v>
      </c>
      <c r="L492" s="8"/>
      <c r="M492" s="8"/>
      <c r="N492" s="8" t="n">
        <v>12</v>
      </c>
      <c r="O492" s="8" t="n">
        <v>9</v>
      </c>
      <c r="P492" s="8" t="s">
        <v>120</v>
      </c>
    </row>
    <row r="493" customFormat="false" ht="15" hidden="false" customHeight="false" outlineLevel="0" collapsed="false">
      <c r="A493" s="8" t="s">
        <v>3912</v>
      </c>
      <c r="B493" s="8" t="s">
        <v>3913</v>
      </c>
      <c r="C493" s="8" t="s">
        <v>8678</v>
      </c>
      <c r="D493" s="8" t="s">
        <v>123</v>
      </c>
      <c r="E493" s="8" t="s">
        <v>51</v>
      </c>
      <c r="F493" s="8" t="s">
        <v>2027</v>
      </c>
      <c r="G493" s="8" t="s">
        <v>154</v>
      </c>
      <c r="H493" s="8" t="s">
        <v>8670</v>
      </c>
      <c r="I493" s="8" t="s">
        <v>9271</v>
      </c>
      <c r="J493" s="8" t="s">
        <v>185</v>
      </c>
      <c r="K493" s="8" t="s">
        <v>8664</v>
      </c>
      <c r="L493" s="8"/>
      <c r="M493" s="8"/>
      <c r="N493" s="8" t="n">
        <v>12</v>
      </c>
      <c r="O493" s="8" t="n">
        <v>13</v>
      </c>
      <c r="P493" s="8" t="s">
        <v>120</v>
      </c>
    </row>
    <row r="494" customFormat="false" ht="15" hidden="false" customHeight="false" outlineLevel="0" collapsed="false">
      <c r="A494" s="8" t="s">
        <v>3742</v>
      </c>
      <c r="B494" s="8" t="s">
        <v>3743</v>
      </c>
      <c r="C494" s="8" t="s">
        <v>8688</v>
      </c>
      <c r="D494" s="8" t="s">
        <v>123</v>
      </c>
      <c r="E494" s="8" t="s">
        <v>51</v>
      </c>
      <c r="F494" s="8" t="s">
        <v>2027</v>
      </c>
      <c r="G494" s="8" t="s">
        <v>124</v>
      </c>
      <c r="H494" s="8" t="s">
        <v>8662</v>
      </c>
      <c r="I494" s="8" t="s">
        <v>8926</v>
      </c>
      <c r="J494" s="8" t="s">
        <v>185</v>
      </c>
      <c r="K494" s="8" t="s">
        <v>8664</v>
      </c>
      <c r="L494" s="8"/>
      <c r="M494" s="8"/>
      <c r="N494" s="8" t="n">
        <v>12</v>
      </c>
      <c r="O494" s="8" t="n">
        <v>9</v>
      </c>
      <c r="P494" s="8" t="s">
        <v>120</v>
      </c>
    </row>
    <row r="495" customFormat="false" ht="15" hidden="false" customHeight="false" outlineLevel="0" collapsed="false">
      <c r="A495" s="8" t="s">
        <v>3960</v>
      </c>
      <c r="B495" s="8" t="s">
        <v>3961</v>
      </c>
      <c r="C495" s="8" t="s">
        <v>8680</v>
      </c>
      <c r="D495" s="8" t="s">
        <v>132</v>
      </c>
      <c r="E495" s="8" t="s">
        <v>51</v>
      </c>
      <c r="F495" s="8" t="s">
        <v>326</v>
      </c>
      <c r="G495" s="8" t="s">
        <v>143</v>
      </c>
      <c r="H495" s="8" t="s">
        <v>8666</v>
      </c>
      <c r="I495" s="8" t="s">
        <v>8880</v>
      </c>
      <c r="J495" s="8" t="s">
        <v>144</v>
      </c>
      <c r="K495" s="8" t="s">
        <v>8664</v>
      </c>
      <c r="L495" s="8"/>
      <c r="M495" s="8"/>
      <c r="N495" s="8" t="n">
        <v>25</v>
      </c>
      <c r="O495" s="8" t="n">
        <v>10</v>
      </c>
      <c r="P495" s="8" t="s">
        <v>120</v>
      </c>
    </row>
    <row r="496" customFormat="false" ht="15" hidden="false" customHeight="false" outlineLevel="0" collapsed="false">
      <c r="A496" s="8" t="s">
        <v>369</v>
      </c>
      <c r="B496" s="8" t="s">
        <v>370</v>
      </c>
      <c r="C496" s="8" t="s">
        <v>8665</v>
      </c>
      <c r="D496" s="8" t="s">
        <v>123</v>
      </c>
      <c r="E496" s="8" t="s">
        <v>55</v>
      </c>
      <c r="F496" s="8" t="s">
        <v>55</v>
      </c>
      <c r="G496" s="8" t="s">
        <v>124</v>
      </c>
      <c r="H496" s="8" t="s">
        <v>8662</v>
      </c>
      <c r="I496" s="8" t="s">
        <v>8979</v>
      </c>
      <c r="J496" s="8" t="s">
        <v>140</v>
      </c>
      <c r="K496" s="8" t="s">
        <v>8664</v>
      </c>
      <c r="L496" s="8"/>
      <c r="M496" s="8"/>
      <c r="N496" s="8" t="n">
        <v>45</v>
      </c>
      <c r="O496" s="8" t="n">
        <v>377</v>
      </c>
      <c r="P496" s="8" t="s">
        <v>148</v>
      </c>
    </row>
    <row r="497" customFormat="false" ht="15" hidden="false" customHeight="false" outlineLevel="0" collapsed="false">
      <c r="A497" s="8" t="s">
        <v>9272</v>
      </c>
      <c r="B497" s="8" t="s">
        <v>9273</v>
      </c>
      <c r="C497" s="8" t="s">
        <v>8661</v>
      </c>
      <c r="D497" s="8" t="s">
        <v>117</v>
      </c>
      <c r="E497" s="8" t="s">
        <v>53</v>
      </c>
      <c r="F497" s="8" t="s">
        <v>326</v>
      </c>
      <c r="G497" s="8" t="s">
        <v>166</v>
      </c>
      <c r="H497" s="8" t="s">
        <v>8675</v>
      </c>
      <c r="I497" s="8" t="s">
        <v>8905</v>
      </c>
      <c r="J497" s="8"/>
      <c r="K497" s="8" t="s">
        <v>8690</v>
      </c>
      <c r="L497" s="8" t="s">
        <v>8783</v>
      </c>
      <c r="M497" s="8" t="s">
        <v>8692</v>
      </c>
      <c r="N497" s="8" t="n">
        <v>25</v>
      </c>
      <c r="O497" s="8" t="n">
        <v>65</v>
      </c>
      <c r="P497" s="8" t="s">
        <v>148</v>
      </c>
    </row>
    <row r="498" customFormat="false" ht="15" hidden="false" customHeight="false" outlineLevel="0" collapsed="false">
      <c r="A498" s="8" t="s">
        <v>9274</v>
      </c>
      <c r="B498" s="8" t="s">
        <v>9275</v>
      </c>
      <c r="C498" s="8" t="s">
        <v>8678</v>
      </c>
      <c r="D498" s="8" t="s">
        <v>123</v>
      </c>
      <c r="E498" s="8" t="s">
        <v>51</v>
      </c>
      <c r="F498" s="8" t="s">
        <v>2027</v>
      </c>
      <c r="G498" s="8" t="s">
        <v>124</v>
      </c>
      <c r="H498" s="8" t="s">
        <v>8675</v>
      </c>
      <c r="I498" s="8" t="s">
        <v>9276</v>
      </c>
      <c r="J498" s="8"/>
      <c r="K498" s="8" t="s">
        <v>8690</v>
      </c>
      <c r="L498" s="8" t="s">
        <v>9277</v>
      </c>
      <c r="M498" s="8" t="s">
        <v>8721</v>
      </c>
      <c r="N498" s="8" t="n">
        <v>12</v>
      </c>
      <c r="O498" s="8" t="n">
        <v>32</v>
      </c>
      <c r="P498" s="8" t="s">
        <v>120</v>
      </c>
    </row>
    <row r="499" customFormat="false" ht="15" hidden="false" customHeight="false" outlineLevel="0" collapsed="false">
      <c r="A499" s="8" t="s">
        <v>1279</v>
      </c>
      <c r="B499" s="8" t="s">
        <v>1280</v>
      </c>
      <c r="C499" s="8" t="s">
        <v>8680</v>
      </c>
      <c r="D499" s="8" t="s">
        <v>123</v>
      </c>
      <c r="E499" s="8" t="s">
        <v>53</v>
      </c>
      <c r="F499" s="8" t="s">
        <v>326</v>
      </c>
      <c r="G499" s="8" t="s">
        <v>154</v>
      </c>
      <c r="H499" s="8" t="s">
        <v>8670</v>
      </c>
      <c r="I499" s="8" t="s">
        <v>8934</v>
      </c>
      <c r="J499" s="8" t="s">
        <v>177</v>
      </c>
      <c r="K499" s="8" t="s">
        <v>8664</v>
      </c>
      <c r="L499" s="8"/>
      <c r="M499" s="8"/>
      <c r="N499" s="8" t="n">
        <v>25</v>
      </c>
      <c r="O499" s="8" t="n">
        <v>126</v>
      </c>
      <c r="P499" s="8" t="s">
        <v>120</v>
      </c>
    </row>
    <row r="500" customFormat="false" ht="15" hidden="false" customHeight="false" outlineLevel="0" collapsed="false">
      <c r="A500" s="8" t="s">
        <v>4344</v>
      </c>
      <c r="B500" s="8" t="s">
        <v>4345</v>
      </c>
      <c r="C500" s="8" t="s">
        <v>8669</v>
      </c>
      <c r="D500" s="8" t="s">
        <v>117</v>
      </c>
      <c r="E500" s="8" t="s">
        <v>51</v>
      </c>
      <c r="F500" s="8" t="s">
        <v>2027</v>
      </c>
      <c r="G500" s="8" t="s">
        <v>124</v>
      </c>
      <c r="H500" s="8" t="s">
        <v>8670</v>
      </c>
      <c r="I500" s="8" t="s">
        <v>9278</v>
      </c>
      <c r="J500" s="8" t="s">
        <v>119</v>
      </c>
      <c r="K500" s="8" t="s">
        <v>8664</v>
      </c>
      <c r="L500" s="8"/>
      <c r="M500" s="8"/>
      <c r="N500" s="8" t="n">
        <v>12</v>
      </c>
      <c r="O500" s="8" t="n">
        <v>5</v>
      </c>
      <c r="P500" s="8" t="s">
        <v>120</v>
      </c>
    </row>
    <row r="501" customFormat="false" ht="15" hidden="false" customHeight="false" outlineLevel="0" collapsed="false">
      <c r="A501" s="8" t="s">
        <v>689</v>
      </c>
      <c r="B501" s="8" t="s">
        <v>690</v>
      </c>
      <c r="C501" s="8" t="s">
        <v>8674</v>
      </c>
      <c r="D501" s="8" t="s">
        <v>128</v>
      </c>
      <c r="E501" s="8" t="s">
        <v>53</v>
      </c>
      <c r="F501" s="8" t="s">
        <v>326</v>
      </c>
      <c r="G501" s="8" t="s">
        <v>143</v>
      </c>
      <c r="H501" s="8" t="s">
        <v>8675</v>
      </c>
      <c r="I501" s="8" t="s">
        <v>9279</v>
      </c>
      <c r="J501" s="8" t="s">
        <v>204</v>
      </c>
      <c r="K501" s="8" t="s">
        <v>8664</v>
      </c>
      <c r="L501" s="8"/>
      <c r="M501" s="8"/>
      <c r="N501" s="8" t="n">
        <v>25</v>
      </c>
      <c r="O501" s="8" t="n">
        <v>190</v>
      </c>
      <c r="P501" s="8" t="s">
        <v>120</v>
      </c>
    </row>
    <row r="502" customFormat="false" ht="15" hidden="false" customHeight="false" outlineLevel="0" collapsed="false">
      <c r="A502" s="8" t="s">
        <v>1563</v>
      </c>
      <c r="B502" s="8" t="s">
        <v>1564</v>
      </c>
      <c r="C502" s="8" t="s">
        <v>8688</v>
      </c>
      <c r="D502" s="8" t="s">
        <v>123</v>
      </c>
      <c r="E502" s="8" t="s">
        <v>53</v>
      </c>
      <c r="F502" s="8" t="s">
        <v>326</v>
      </c>
      <c r="G502" s="8" t="s">
        <v>190</v>
      </c>
      <c r="H502" s="8" t="s">
        <v>8670</v>
      </c>
      <c r="I502" s="8" t="s">
        <v>9280</v>
      </c>
      <c r="J502" s="8" t="s">
        <v>177</v>
      </c>
      <c r="K502" s="8" t="s">
        <v>8664</v>
      </c>
      <c r="L502" s="8"/>
      <c r="M502" s="8"/>
      <c r="N502" s="8" t="n">
        <v>25</v>
      </c>
      <c r="O502" s="8" t="n">
        <v>95</v>
      </c>
      <c r="P502" s="8" t="s">
        <v>148</v>
      </c>
    </row>
    <row r="503" customFormat="false" ht="15" hidden="false" customHeight="false" outlineLevel="0" collapsed="false">
      <c r="A503" s="8" t="s">
        <v>617</v>
      </c>
      <c r="B503" s="8" t="s">
        <v>618</v>
      </c>
      <c r="C503" s="8" t="s">
        <v>8700</v>
      </c>
      <c r="D503" s="8" t="s">
        <v>123</v>
      </c>
      <c r="E503" s="8" t="s">
        <v>55</v>
      </c>
      <c r="F503" s="8" t="s">
        <v>55</v>
      </c>
      <c r="G503" s="8" t="s">
        <v>124</v>
      </c>
      <c r="H503" s="8" t="s">
        <v>8670</v>
      </c>
      <c r="I503" s="8" t="s">
        <v>9281</v>
      </c>
      <c r="J503" s="8" t="s">
        <v>177</v>
      </c>
      <c r="K503" s="8" t="s">
        <v>8664</v>
      </c>
      <c r="L503" s="8"/>
      <c r="M503" s="8"/>
      <c r="N503" s="8" t="n">
        <v>45</v>
      </c>
      <c r="O503" s="8" t="n">
        <v>165</v>
      </c>
      <c r="P503" s="8" t="s">
        <v>120</v>
      </c>
    </row>
    <row r="504" customFormat="false" ht="15" hidden="false" customHeight="false" outlineLevel="0" collapsed="false">
      <c r="A504" s="8" t="s">
        <v>3602</v>
      </c>
      <c r="B504" s="8" t="s">
        <v>3603</v>
      </c>
      <c r="C504" s="8" t="s">
        <v>8665</v>
      </c>
      <c r="D504" s="8" t="s">
        <v>123</v>
      </c>
      <c r="E504" s="8" t="s">
        <v>51</v>
      </c>
      <c r="F504" s="8" t="s">
        <v>2027</v>
      </c>
      <c r="G504" s="8" t="s">
        <v>151</v>
      </c>
      <c r="H504" s="8" t="s">
        <v>8666</v>
      </c>
      <c r="I504" s="8" t="s">
        <v>9282</v>
      </c>
      <c r="J504" s="8" t="s">
        <v>159</v>
      </c>
      <c r="K504" s="8" t="s">
        <v>8664</v>
      </c>
      <c r="L504" s="8"/>
      <c r="M504" s="8"/>
      <c r="N504" s="8" t="n">
        <v>12</v>
      </c>
      <c r="O504" s="8" t="n">
        <v>23</v>
      </c>
      <c r="P504" s="8" t="s">
        <v>120</v>
      </c>
    </row>
    <row r="505" customFormat="false" ht="15" hidden="false" customHeight="false" outlineLevel="0" collapsed="false">
      <c r="A505" s="8" t="s">
        <v>1919</v>
      </c>
      <c r="B505" s="8" t="s">
        <v>1920</v>
      </c>
      <c r="C505" s="8" t="s">
        <v>8669</v>
      </c>
      <c r="D505" s="8" t="s">
        <v>123</v>
      </c>
      <c r="E505" s="8" t="s">
        <v>51</v>
      </c>
      <c r="F505" s="8" t="s">
        <v>326</v>
      </c>
      <c r="G505" s="8" t="s">
        <v>143</v>
      </c>
      <c r="H505" s="8" t="s">
        <v>8675</v>
      </c>
      <c r="I505" s="8" t="s">
        <v>9283</v>
      </c>
      <c r="J505" s="8" t="s">
        <v>159</v>
      </c>
      <c r="K505" s="8" t="s">
        <v>8664</v>
      </c>
      <c r="L505" s="8"/>
      <c r="M505" s="8"/>
      <c r="N505" s="8" t="n">
        <v>25</v>
      </c>
      <c r="O505" s="8" t="n">
        <v>35</v>
      </c>
      <c r="P505" s="8" t="s">
        <v>120</v>
      </c>
    </row>
    <row r="506" customFormat="false" ht="15" hidden="false" customHeight="false" outlineLevel="0" collapsed="false">
      <c r="A506" s="8" t="s">
        <v>9284</v>
      </c>
      <c r="B506" s="8" t="s">
        <v>9285</v>
      </c>
      <c r="C506" s="8" t="s">
        <v>8678</v>
      </c>
      <c r="D506" s="8" t="s">
        <v>123</v>
      </c>
      <c r="E506" s="8" t="s">
        <v>53</v>
      </c>
      <c r="F506" s="8" t="s">
        <v>55</v>
      </c>
      <c r="G506" s="8" t="s">
        <v>136</v>
      </c>
      <c r="H506" s="8" t="s">
        <v>8675</v>
      </c>
      <c r="I506" s="8" t="s">
        <v>9286</v>
      </c>
      <c r="J506" s="8"/>
      <c r="K506" s="8" t="s">
        <v>8690</v>
      </c>
      <c r="L506" s="8" t="s">
        <v>9287</v>
      </c>
      <c r="M506" s="8" t="s">
        <v>8705</v>
      </c>
      <c r="N506" s="8" t="n">
        <v>45</v>
      </c>
      <c r="O506" s="8" t="n">
        <v>150</v>
      </c>
      <c r="P506" s="8" t="s">
        <v>148</v>
      </c>
    </row>
    <row r="507" customFormat="false" ht="15" hidden="false" customHeight="false" outlineLevel="0" collapsed="false">
      <c r="A507" s="8" t="s">
        <v>4534</v>
      </c>
      <c r="B507" s="8" t="s">
        <v>9288</v>
      </c>
      <c r="C507" s="8" t="s">
        <v>8674</v>
      </c>
      <c r="D507" s="8" t="s">
        <v>117</v>
      </c>
      <c r="E507" s="8" t="s">
        <v>51</v>
      </c>
      <c r="F507" s="8" t="s">
        <v>2027</v>
      </c>
      <c r="G507" s="8" t="s">
        <v>143</v>
      </c>
      <c r="H507" s="8" t="s">
        <v>8662</v>
      </c>
      <c r="I507" s="8" t="s">
        <v>9138</v>
      </c>
      <c r="J507" s="8"/>
      <c r="K507" s="8" t="s">
        <v>8690</v>
      </c>
      <c r="L507" s="8" t="s">
        <v>9289</v>
      </c>
      <c r="M507" s="8" t="s">
        <v>8705</v>
      </c>
      <c r="N507" s="8" t="n">
        <v>12</v>
      </c>
      <c r="O507" s="8" t="n">
        <v>24</v>
      </c>
      <c r="P507" s="8" t="s">
        <v>148</v>
      </c>
    </row>
    <row r="508" customFormat="false" ht="15" hidden="false" customHeight="false" outlineLevel="0" collapsed="false">
      <c r="A508" s="8" t="s">
        <v>3496</v>
      </c>
      <c r="B508" s="8" t="s">
        <v>3497</v>
      </c>
      <c r="C508" s="8" t="s">
        <v>8669</v>
      </c>
      <c r="D508" s="8" t="s">
        <v>132</v>
      </c>
      <c r="E508" s="8" t="s">
        <v>51</v>
      </c>
      <c r="F508" s="8" t="s">
        <v>2027</v>
      </c>
      <c r="G508" s="8" t="s">
        <v>136</v>
      </c>
      <c r="H508" s="8" t="s">
        <v>8662</v>
      </c>
      <c r="I508" s="8" t="s">
        <v>9290</v>
      </c>
      <c r="J508" s="8" t="s">
        <v>129</v>
      </c>
      <c r="K508" s="8" t="s">
        <v>8664</v>
      </c>
      <c r="L508" s="8"/>
      <c r="M508" s="8"/>
      <c r="N508" s="8" t="n">
        <v>12</v>
      </c>
      <c r="O508" s="8" t="n">
        <v>21</v>
      </c>
      <c r="P508" s="8" t="s">
        <v>120</v>
      </c>
    </row>
    <row r="509" customFormat="false" ht="15" hidden="false" customHeight="false" outlineLevel="0" collapsed="false">
      <c r="A509" s="8" t="s">
        <v>475</v>
      </c>
      <c r="B509" s="8" t="s">
        <v>476</v>
      </c>
      <c r="C509" s="8" t="s">
        <v>8665</v>
      </c>
      <c r="D509" s="8" t="s">
        <v>123</v>
      </c>
      <c r="E509" s="8" t="s">
        <v>55</v>
      </c>
      <c r="F509" s="8" t="s">
        <v>55</v>
      </c>
      <c r="G509" s="8" t="s">
        <v>124</v>
      </c>
      <c r="H509" s="8" t="s">
        <v>8670</v>
      </c>
      <c r="I509" s="8" t="s">
        <v>9105</v>
      </c>
      <c r="J509" s="8" t="s">
        <v>204</v>
      </c>
      <c r="K509" s="8" t="s">
        <v>8664</v>
      </c>
      <c r="L509" s="8"/>
      <c r="M509" s="8"/>
      <c r="N509" s="8" t="n">
        <v>45</v>
      </c>
      <c r="O509" s="8" t="n">
        <v>250</v>
      </c>
      <c r="P509" s="8" t="s">
        <v>148</v>
      </c>
    </row>
    <row r="510" customFormat="false" ht="15" hidden="false" customHeight="false" outlineLevel="0" collapsed="false">
      <c r="A510" s="8" t="s">
        <v>2032</v>
      </c>
      <c r="B510" s="8" t="s">
        <v>2033</v>
      </c>
      <c r="C510" s="8" t="s">
        <v>8674</v>
      </c>
      <c r="D510" s="8" t="s">
        <v>117</v>
      </c>
      <c r="E510" s="8" t="s">
        <v>51</v>
      </c>
      <c r="F510" s="8" t="s">
        <v>326</v>
      </c>
      <c r="G510" s="8" t="s">
        <v>143</v>
      </c>
      <c r="H510" s="8" t="s">
        <v>8675</v>
      </c>
      <c r="I510" s="8" t="s">
        <v>8891</v>
      </c>
      <c r="J510" s="8" t="s">
        <v>140</v>
      </c>
      <c r="K510" s="8" t="s">
        <v>8664</v>
      </c>
      <c r="L510" s="8"/>
      <c r="M510" s="8"/>
      <c r="N510" s="8" t="n">
        <v>25</v>
      </c>
      <c r="O510" s="8" t="n">
        <v>30</v>
      </c>
      <c r="P510" s="8" t="s">
        <v>120</v>
      </c>
    </row>
    <row r="511" customFormat="false" ht="15" hidden="false" customHeight="false" outlineLevel="0" collapsed="false">
      <c r="A511" s="8" t="s">
        <v>4212</v>
      </c>
      <c r="B511" s="8" t="s">
        <v>4213</v>
      </c>
      <c r="C511" s="8" t="s">
        <v>8700</v>
      </c>
      <c r="D511" s="8" t="s">
        <v>123</v>
      </c>
      <c r="E511" s="8" t="s">
        <v>51</v>
      </c>
      <c r="F511" s="8" t="s">
        <v>2027</v>
      </c>
      <c r="G511" s="8" t="s">
        <v>133</v>
      </c>
      <c r="H511" s="8" t="s">
        <v>8662</v>
      </c>
      <c r="I511" s="8" t="s">
        <v>9291</v>
      </c>
      <c r="J511" s="8" t="s">
        <v>177</v>
      </c>
      <c r="K511" s="8" t="s">
        <v>8664</v>
      </c>
      <c r="L511" s="8"/>
      <c r="M511" s="8"/>
      <c r="N511" s="8" t="n">
        <v>12</v>
      </c>
      <c r="O511" s="8" t="n">
        <v>6</v>
      </c>
      <c r="P511" s="8" t="s">
        <v>120</v>
      </c>
    </row>
    <row r="512" customFormat="false" ht="15" hidden="false" customHeight="false" outlineLevel="0" collapsed="false">
      <c r="A512" s="8" t="s">
        <v>2502</v>
      </c>
      <c r="B512" s="8" t="s">
        <v>2503</v>
      </c>
      <c r="C512" s="8" t="s">
        <v>8665</v>
      </c>
      <c r="D512" s="8" t="s">
        <v>123</v>
      </c>
      <c r="E512" s="8" t="s">
        <v>51</v>
      </c>
      <c r="F512" s="8" t="s">
        <v>2027</v>
      </c>
      <c r="G512" s="8" t="s">
        <v>190</v>
      </c>
      <c r="H512" s="8" t="s">
        <v>8675</v>
      </c>
      <c r="I512" s="8" t="s">
        <v>9292</v>
      </c>
      <c r="J512" s="8" t="s">
        <v>204</v>
      </c>
      <c r="K512" s="8" t="s">
        <v>8664</v>
      </c>
      <c r="L512" s="8"/>
      <c r="M512" s="8"/>
      <c r="N512" s="8" t="n">
        <v>12</v>
      </c>
      <c r="O512" s="8" t="n">
        <v>29</v>
      </c>
      <c r="P512" s="8" t="s">
        <v>120</v>
      </c>
    </row>
    <row r="513" customFormat="false" ht="15" hidden="false" customHeight="false" outlineLevel="0" collapsed="false">
      <c r="A513" s="8" t="s">
        <v>3604</v>
      </c>
      <c r="B513" s="8" t="s">
        <v>3605</v>
      </c>
      <c r="C513" s="8" t="s">
        <v>8665</v>
      </c>
      <c r="D513" s="8" t="s">
        <v>132</v>
      </c>
      <c r="E513" s="8" t="s">
        <v>51</v>
      </c>
      <c r="F513" s="8" t="s">
        <v>2027</v>
      </c>
      <c r="G513" s="8" t="s">
        <v>124</v>
      </c>
      <c r="H513" s="8" t="s">
        <v>8662</v>
      </c>
      <c r="I513" s="8" t="s">
        <v>9056</v>
      </c>
      <c r="J513" s="8" t="s">
        <v>137</v>
      </c>
      <c r="K513" s="8" t="s">
        <v>8664</v>
      </c>
      <c r="L513" s="8"/>
      <c r="M513" s="8"/>
      <c r="N513" s="8" t="n">
        <v>12</v>
      </c>
      <c r="O513" s="8" t="n">
        <v>19</v>
      </c>
      <c r="P513" s="8" t="s">
        <v>120</v>
      </c>
    </row>
    <row r="514" customFormat="false" ht="15" hidden="false" customHeight="false" outlineLevel="0" collapsed="false">
      <c r="A514" s="8" t="s">
        <v>4214</v>
      </c>
      <c r="B514" s="8" t="s">
        <v>4215</v>
      </c>
      <c r="C514" s="8" t="s">
        <v>8700</v>
      </c>
      <c r="D514" s="8" t="s">
        <v>128</v>
      </c>
      <c r="E514" s="8" t="s">
        <v>51</v>
      </c>
      <c r="F514" s="8" t="s">
        <v>2027</v>
      </c>
      <c r="G514" s="8" t="s">
        <v>151</v>
      </c>
      <c r="H514" s="8" t="s">
        <v>8675</v>
      </c>
      <c r="I514" s="8" t="s">
        <v>9293</v>
      </c>
      <c r="J514" s="8" t="s">
        <v>177</v>
      </c>
      <c r="K514" s="8" t="s">
        <v>8664</v>
      </c>
      <c r="L514" s="8"/>
      <c r="M514" s="8"/>
      <c r="N514" s="8" t="n">
        <v>12</v>
      </c>
      <c r="O514" s="8" t="n">
        <v>8</v>
      </c>
      <c r="P514" s="8" t="s">
        <v>120</v>
      </c>
    </row>
    <row r="515" customFormat="false" ht="15" hidden="false" customHeight="false" outlineLevel="0" collapsed="false">
      <c r="A515" s="8" t="s">
        <v>4535</v>
      </c>
      <c r="B515" s="8" t="s">
        <v>9294</v>
      </c>
      <c r="C515" s="8" t="s">
        <v>8674</v>
      </c>
      <c r="D515" s="8" t="s">
        <v>117</v>
      </c>
      <c r="E515" s="8" t="s">
        <v>51</v>
      </c>
      <c r="F515" s="8" t="s">
        <v>2027</v>
      </c>
      <c r="G515" s="8" t="s">
        <v>143</v>
      </c>
      <c r="H515" s="8" t="s">
        <v>8662</v>
      </c>
      <c r="I515" s="8" t="s">
        <v>9295</v>
      </c>
      <c r="J515" s="8"/>
      <c r="K515" s="8" t="s">
        <v>8690</v>
      </c>
      <c r="L515" s="8" t="s">
        <v>9296</v>
      </c>
      <c r="M515" s="8" t="s">
        <v>8795</v>
      </c>
      <c r="N515" s="8" t="n">
        <v>12</v>
      </c>
      <c r="O515" s="8" t="n">
        <v>26</v>
      </c>
      <c r="P515" s="8" t="s">
        <v>120</v>
      </c>
    </row>
    <row r="516" customFormat="false" ht="15" hidden="false" customHeight="false" outlineLevel="0" collapsed="false">
      <c r="A516" s="8" t="s">
        <v>3914</v>
      </c>
      <c r="B516" s="8" t="s">
        <v>3915</v>
      </c>
      <c r="C516" s="8" t="s">
        <v>8665</v>
      </c>
      <c r="D516" s="8" t="s">
        <v>132</v>
      </c>
      <c r="E516" s="8" t="s">
        <v>51</v>
      </c>
      <c r="F516" s="8" t="s">
        <v>2027</v>
      </c>
      <c r="G516" s="8" t="s">
        <v>190</v>
      </c>
      <c r="H516" s="8" t="s">
        <v>8662</v>
      </c>
      <c r="I516" s="8" t="s">
        <v>9162</v>
      </c>
      <c r="J516" s="8" t="s">
        <v>140</v>
      </c>
      <c r="K516" s="8" t="s">
        <v>8664</v>
      </c>
      <c r="L516" s="8"/>
      <c r="M516" s="8"/>
      <c r="N516" s="8" t="n">
        <v>12</v>
      </c>
      <c r="O516" s="8" t="n">
        <v>9</v>
      </c>
      <c r="P516" s="8" t="s">
        <v>120</v>
      </c>
    </row>
    <row r="517" customFormat="false" ht="15" hidden="false" customHeight="false" outlineLevel="0" collapsed="false">
      <c r="A517" s="8" t="s">
        <v>3862</v>
      </c>
      <c r="B517" s="8" t="s">
        <v>3863</v>
      </c>
      <c r="C517" s="8" t="s">
        <v>8669</v>
      </c>
      <c r="D517" s="8" t="s">
        <v>123</v>
      </c>
      <c r="E517" s="8" t="s">
        <v>51</v>
      </c>
      <c r="F517" s="8" t="s">
        <v>2027</v>
      </c>
      <c r="G517" s="8" t="s">
        <v>154</v>
      </c>
      <c r="H517" s="8" t="s">
        <v>8666</v>
      </c>
      <c r="I517" s="8" t="s">
        <v>8937</v>
      </c>
      <c r="J517" s="8" t="s">
        <v>119</v>
      </c>
      <c r="K517" s="8" t="s">
        <v>8664</v>
      </c>
      <c r="L517" s="8"/>
      <c r="M517" s="8"/>
      <c r="N517" s="8" t="n">
        <v>12</v>
      </c>
      <c r="O517" s="8" t="n">
        <v>11</v>
      </c>
      <c r="P517" s="8" t="s">
        <v>120</v>
      </c>
    </row>
    <row r="518" customFormat="false" ht="15" hidden="false" customHeight="false" outlineLevel="0" collapsed="false">
      <c r="A518" s="8" t="s">
        <v>3916</v>
      </c>
      <c r="B518" s="8" t="s">
        <v>3917</v>
      </c>
      <c r="C518" s="8" t="s">
        <v>8661</v>
      </c>
      <c r="D518" s="8" t="s">
        <v>128</v>
      </c>
      <c r="E518" s="8" t="s">
        <v>51</v>
      </c>
      <c r="F518" s="8" t="s">
        <v>2027</v>
      </c>
      <c r="G518" s="8" t="s">
        <v>166</v>
      </c>
      <c r="H518" s="8" t="s">
        <v>8666</v>
      </c>
      <c r="I518" s="8" t="s">
        <v>9297</v>
      </c>
      <c r="J518" s="8" t="s">
        <v>137</v>
      </c>
      <c r="K518" s="8" t="s">
        <v>8664</v>
      </c>
      <c r="L518" s="8"/>
      <c r="M518" s="8"/>
      <c r="N518" s="8" t="n">
        <v>12</v>
      </c>
      <c r="O518" s="8" t="n">
        <v>13</v>
      </c>
      <c r="P518" s="8" t="s">
        <v>120</v>
      </c>
    </row>
    <row r="519" customFormat="false" ht="15" hidden="false" customHeight="false" outlineLevel="0" collapsed="false">
      <c r="A519" s="8" t="s">
        <v>2846</v>
      </c>
      <c r="B519" s="8" t="s">
        <v>2847</v>
      </c>
      <c r="C519" s="8" t="s">
        <v>8661</v>
      </c>
      <c r="D519" s="8" t="s">
        <v>132</v>
      </c>
      <c r="E519" s="8" t="s">
        <v>51</v>
      </c>
      <c r="F519" s="8" t="s">
        <v>2027</v>
      </c>
      <c r="G519" s="8" t="s">
        <v>143</v>
      </c>
      <c r="H519" s="8" t="s">
        <v>8675</v>
      </c>
      <c r="I519" s="8" t="s">
        <v>8978</v>
      </c>
      <c r="J519" s="8" t="s">
        <v>159</v>
      </c>
      <c r="K519" s="8" t="s">
        <v>8664</v>
      </c>
      <c r="L519" s="8"/>
      <c r="M519" s="8"/>
      <c r="N519" s="8" t="n">
        <v>12</v>
      </c>
      <c r="O519" s="8" t="n">
        <v>28</v>
      </c>
      <c r="P519" s="8" t="s">
        <v>120</v>
      </c>
    </row>
    <row r="520" customFormat="false" ht="15" hidden="false" customHeight="false" outlineLevel="0" collapsed="false">
      <c r="A520" s="8" t="s">
        <v>126</v>
      </c>
      <c r="B520" s="8" t="s">
        <v>127</v>
      </c>
      <c r="C520" s="8" t="s">
        <v>8700</v>
      </c>
      <c r="D520" s="8" t="s">
        <v>128</v>
      </c>
      <c r="E520" s="8" t="s">
        <v>55</v>
      </c>
      <c r="F520" s="8" t="s">
        <v>55</v>
      </c>
      <c r="G520" s="8" t="s">
        <v>118</v>
      </c>
      <c r="H520" s="8" t="s">
        <v>8666</v>
      </c>
      <c r="I520" s="8" t="s">
        <v>9204</v>
      </c>
      <c r="J520" s="8" t="s">
        <v>129</v>
      </c>
      <c r="K520" s="8" t="s">
        <v>8664</v>
      </c>
      <c r="L520" s="8"/>
      <c r="M520" s="8"/>
      <c r="N520" s="8" t="n">
        <v>45</v>
      </c>
      <c r="O520" s="8" t="n">
        <v>531</v>
      </c>
      <c r="P520" s="8" t="s">
        <v>120</v>
      </c>
    </row>
    <row r="521" customFormat="false" ht="15" hidden="false" customHeight="false" outlineLevel="0" collapsed="false">
      <c r="A521" s="8" t="s">
        <v>9298</v>
      </c>
      <c r="B521" s="8" t="s">
        <v>9299</v>
      </c>
      <c r="C521" s="8" t="s">
        <v>8669</v>
      </c>
      <c r="D521" s="8" t="s">
        <v>123</v>
      </c>
      <c r="E521" s="8" t="s">
        <v>51</v>
      </c>
      <c r="F521" s="8" t="s">
        <v>2027</v>
      </c>
      <c r="G521" s="8" t="s">
        <v>133</v>
      </c>
      <c r="H521" s="8" t="s">
        <v>8675</v>
      </c>
      <c r="I521" s="8" t="s">
        <v>9277</v>
      </c>
      <c r="J521" s="8"/>
      <c r="K521" s="8" t="s">
        <v>8690</v>
      </c>
      <c r="L521" s="8" t="s">
        <v>9300</v>
      </c>
      <c r="M521" s="8" t="s">
        <v>8692</v>
      </c>
      <c r="N521" s="8" t="n">
        <v>12</v>
      </c>
      <c r="O521" s="8" t="n">
        <v>31</v>
      </c>
      <c r="P521" s="8" t="s">
        <v>120</v>
      </c>
    </row>
    <row r="522" customFormat="false" ht="15" hidden="false" customHeight="false" outlineLevel="0" collapsed="false">
      <c r="A522" s="8" t="s">
        <v>3398</v>
      </c>
      <c r="B522" s="8" t="s">
        <v>3399</v>
      </c>
      <c r="C522" s="8" t="s">
        <v>8674</v>
      </c>
      <c r="D522" s="8" t="s">
        <v>117</v>
      </c>
      <c r="E522" s="8" t="s">
        <v>51</v>
      </c>
      <c r="F522" s="8" t="s">
        <v>2027</v>
      </c>
      <c r="G522" s="8" t="s">
        <v>124</v>
      </c>
      <c r="H522" s="8" t="s">
        <v>8666</v>
      </c>
      <c r="I522" s="8" t="s">
        <v>9301</v>
      </c>
      <c r="J522" s="8" t="s">
        <v>159</v>
      </c>
      <c r="K522" s="8" t="s">
        <v>8664</v>
      </c>
      <c r="L522" s="8"/>
      <c r="M522" s="8"/>
      <c r="N522" s="8" t="n">
        <v>12</v>
      </c>
      <c r="O522" s="8" t="n">
        <v>26</v>
      </c>
      <c r="P522" s="8" t="s">
        <v>120</v>
      </c>
    </row>
    <row r="523" customFormat="false" ht="15" hidden="false" customHeight="false" outlineLevel="0" collapsed="false">
      <c r="A523" s="8" t="s">
        <v>4452</v>
      </c>
      <c r="B523" s="8" t="s">
        <v>9302</v>
      </c>
      <c r="C523" s="8" t="s">
        <v>8700</v>
      </c>
      <c r="D523" s="8" t="s">
        <v>132</v>
      </c>
      <c r="E523" s="8" t="s">
        <v>53</v>
      </c>
      <c r="F523" s="8" t="s">
        <v>326</v>
      </c>
      <c r="G523" s="8" t="s">
        <v>190</v>
      </c>
      <c r="H523" s="8" t="s">
        <v>8675</v>
      </c>
      <c r="I523" s="8" t="s">
        <v>9066</v>
      </c>
      <c r="J523" s="8"/>
      <c r="K523" s="8" t="s">
        <v>8690</v>
      </c>
      <c r="L523" s="8" t="s">
        <v>8790</v>
      </c>
      <c r="M523" s="8" t="s">
        <v>8795</v>
      </c>
      <c r="N523" s="8" t="n">
        <v>25</v>
      </c>
      <c r="O523" s="8" t="n">
        <v>127</v>
      </c>
      <c r="P523" s="8" t="s">
        <v>120</v>
      </c>
    </row>
    <row r="524" customFormat="false" ht="15" hidden="false" customHeight="false" outlineLevel="0" collapsed="false">
      <c r="A524" s="8" t="s">
        <v>2736</v>
      </c>
      <c r="B524" s="8" t="s">
        <v>2737</v>
      </c>
      <c r="C524" s="8" t="s">
        <v>8688</v>
      </c>
      <c r="D524" s="8" t="s">
        <v>123</v>
      </c>
      <c r="E524" s="8" t="s">
        <v>51</v>
      </c>
      <c r="F524" s="8" t="s">
        <v>2027</v>
      </c>
      <c r="G524" s="8" t="s">
        <v>166</v>
      </c>
      <c r="H524" s="8" t="s">
        <v>8666</v>
      </c>
      <c r="I524" s="8" t="s">
        <v>9303</v>
      </c>
      <c r="J524" s="8" t="s">
        <v>159</v>
      </c>
      <c r="K524" s="8" t="s">
        <v>8664</v>
      </c>
      <c r="L524" s="8"/>
      <c r="M524" s="8"/>
      <c r="N524" s="8" t="n">
        <v>12</v>
      </c>
      <c r="O524" s="8" t="n">
        <v>34</v>
      </c>
      <c r="P524" s="8" t="s">
        <v>120</v>
      </c>
    </row>
    <row r="525" customFormat="false" ht="15" hidden="false" customHeight="false" outlineLevel="0" collapsed="false">
      <c r="A525" s="8" t="s">
        <v>3128</v>
      </c>
      <c r="B525" s="8" t="s">
        <v>3129</v>
      </c>
      <c r="C525" s="8" t="s">
        <v>8665</v>
      </c>
      <c r="D525" s="8" t="s">
        <v>123</v>
      </c>
      <c r="E525" s="8" t="s">
        <v>51</v>
      </c>
      <c r="F525" s="8" t="s">
        <v>326</v>
      </c>
      <c r="G525" s="8" t="s">
        <v>133</v>
      </c>
      <c r="H525" s="8" t="s">
        <v>8666</v>
      </c>
      <c r="I525" s="8" t="s">
        <v>9304</v>
      </c>
      <c r="J525" s="8" t="s">
        <v>125</v>
      </c>
      <c r="K525" s="8" t="s">
        <v>8664</v>
      </c>
      <c r="L525" s="8"/>
      <c r="M525" s="8"/>
      <c r="N525" s="8" t="n">
        <v>25</v>
      </c>
      <c r="O525" s="8" t="n">
        <v>17</v>
      </c>
      <c r="P525" s="8" t="s">
        <v>120</v>
      </c>
    </row>
    <row r="526" customFormat="false" ht="15" hidden="false" customHeight="false" outlineLevel="0" collapsed="false">
      <c r="A526" s="8" t="s">
        <v>1183</v>
      </c>
      <c r="B526" s="8" t="s">
        <v>1184</v>
      </c>
      <c r="C526" s="8" t="s">
        <v>8661</v>
      </c>
      <c r="D526" s="8" t="s">
        <v>123</v>
      </c>
      <c r="E526" s="8" t="s">
        <v>53</v>
      </c>
      <c r="F526" s="8" t="s">
        <v>326</v>
      </c>
      <c r="G526" s="8" t="s">
        <v>223</v>
      </c>
      <c r="H526" s="8" t="s">
        <v>8666</v>
      </c>
      <c r="I526" s="8" t="s">
        <v>8908</v>
      </c>
      <c r="J526" s="8" t="s">
        <v>137</v>
      </c>
      <c r="K526" s="8" t="s">
        <v>8664</v>
      </c>
      <c r="L526" s="8"/>
      <c r="M526" s="8"/>
      <c r="N526" s="8" t="n">
        <v>25</v>
      </c>
      <c r="O526" s="8" t="n">
        <v>137</v>
      </c>
      <c r="P526" s="8" t="s">
        <v>120</v>
      </c>
    </row>
    <row r="527" customFormat="false" ht="15" hidden="false" customHeight="false" outlineLevel="0" collapsed="false">
      <c r="A527" s="8" t="s">
        <v>1027</v>
      </c>
      <c r="B527" s="8" t="s">
        <v>1028</v>
      </c>
      <c r="C527" s="8" t="s">
        <v>8678</v>
      </c>
      <c r="D527" s="8" t="s">
        <v>123</v>
      </c>
      <c r="E527" s="8" t="s">
        <v>53</v>
      </c>
      <c r="F527" s="8" t="s">
        <v>326</v>
      </c>
      <c r="G527" s="8" t="s">
        <v>154</v>
      </c>
      <c r="H527" s="8" t="s">
        <v>8670</v>
      </c>
      <c r="I527" s="8" t="s">
        <v>9305</v>
      </c>
      <c r="J527" s="8" t="s">
        <v>159</v>
      </c>
      <c r="K527" s="8" t="s">
        <v>8664</v>
      </c>
      <c r="L527" s="8"/>
      <c r="M527" s="8"/>
      <c r="N527" s="8" t="n">
        <v>25</v>
      </c>
      <c r="O527" s="8" t="n">
        <v>160</v>
      </c>
      <c r="P527" s="8" t="s">
        <v>120</v>
      </c>
    </row>
    <row r="528" customFormat="false" ht="15" hidden="false" customHeight="false" outlineLevel="0" collapsed="false">
      <c r="A528" s="8" t="s">
        <v>3658</v>
      </c>
      <c r="B528" s="8" t="s">
        <v>3659</v>
      </c>
      <c r="C528" s="8" t="s">
        <v>8678</v>
      </c>
      <c r="D528" s="8" t="s">
        <v>123</v>
      </c>
      <c r="E528" s="8" t="s">
        <v>51</v>
      </c>
      <c r="F528" s="8" t="s">
        <v>2027</v>
      </c>
      <c r="G528" s="8" t="s">
        <v>136</v>
      </c>
      <c r="H528" s="8" t="s">
        <v>8670</v>
      </c>
      <c r="I528" s="8" t="s">
        <v>8663</v>
      </c>
      <c r="J528" s="8" t="s">
        <v>137</v>
      </c>
      <c r="K528" s="8" t="s">
        <v>8664</v>
      </c>
      <c r="L528" s="8"/>
      <c r="M528" s="8"/>
      <c r="N528" s="8" t="n">
        <v>12</v>
      </c>
      <c r="O528" s="8" t="n">
        <v>10</v>
      </c>
      <c r="P528" s="8" t="s">
        <v>120</v>
      </c>
    </row>
    <row r="529" customFormat="false" ht="15" hidden="false" customHeight="false" outlineLevel="0" collapsed="false">
      <c r="A529" s="8" t="s">
        <v>1133</v>
      </c>
      <c r="B529" s="8" t="s">
        <v>1134</v>
      </c>
      <c r="C529" s="8" t="s">
        <v>8700</v>
      </c>
      <c r="D529" s="8" t="s">
        <v>128</v>
      </c>
      <c r="E529" s="8" t="s">
        <v>53</v>
      </c>
      <c r="F529" s="8" t="s">
        <v>326</v>
      </c>
      <c r="G529" s="8" t="s">
        <v>136</v>
      </c>
      <c r="H529" s="8" t="s">
        <v>8662</v>
      </c>
      <c r="I529" s="8" t="s">
        <v>9255</v>
      </c>
      <c r="J529" s="8" t="s">
        <v>140</v>
      </c>
      <c r="K529" s="8" t="s">
        <v>8664</v>
      </c>
      <c r="L529" s="8"/>
      <c r="M529" s="8"/>
      <c r="N529" s="8" t="n">
        <v>25</v>
      </c>
      <c r="O529" s="8" t="n">
        <v>144</v>
      </c>
      <c r="P529" s="8" t="s">
        <v>120</v>
      </c>
    </row>
    <row r="530" customFormat="false" ht="15" hidden="false" customHeight="false" outlineLevel="0" collapsed="false">
      <c r="A530" s="8" t="s">
        <v>6333</v>
      </c>
      <c r="B530" s="8" t="s">
        <v>9306</v>
      </c>
      <c r="C530" s="8" t="s">
        <v>8661</v>
      </c>
      <c r="D530" s="8" t="s">
        <v>132</v>
      </c>
      <c r="E530" s="8" t="s">
        <v>51</v>
      </c>
      <c r="F530" s="8" t="s">
        <v>2027</v>
      </c>
      <c r="G530" s="8" t="s">
        <v>133</v>
      </c>
      <c r="H530" s="8" t="s">
        <v>8662</v>
      </c>
      <c r="I530" s="8" t="s">
        <v>9307</v>
      </c>
      <c r="J530" s="8"/>
      <c r="K530" s="8" t="s">
        <v>8690</v>
      </c>
      <c r="L530" s="8" t="s">
        <v>9034</v>
      </c>
      <c r="M530" s="8" t="s">
        <v>8705</v>
      </c>
      <c r="N530" s="8" t="n">
        <v>12</v>
      </c>
      <c r="O530" s="8" t="n">
        <v>31</v>
      </c>
      <c r="P530" s="8" t="s">
        <v>120</v>
      </c>
    </row>
    <row r="531" customFormat="false" ht="15" hidden="false" customHeight="false" outlineLevel="0" collapsed="false">
      <c r="A531" s="8" t="s">
        <v>2504</v>
      </c>
      <c r="B531" s="8" t="s">
        <v>2505</v>
      </c>
      <c r="C531" s="8" t="s">
        <v>8661</v>
      </c>
      <c r="D531" s="8" t="s">
        <v>123</v>
      </c>
      <c r="E531" s="8" t="s">
        <v>51</v>
      </c>
      <c r="F531" s="8" t="s">
        <v>2027</v>
      </c>
      <c r="G531" s="8" t="s">
        <v>190</v>
      </c>
      <c r="H531" s="8" t="s">
        <v>8675</v>
      </c>
      <c r="I531" s="8" t="s">
        <v>9281</v>
      </c>
      <c r="J531" s="8" t="s">
        <v>177</v>
      </c>
      <c r="K531" s="8" t="s">
        <v>8664</v>
      </c>
      <c r="L531" s="8"/>
      <c r="M531" s="8"/>
      <c r="N531" s="8" t="n">
        <v>12</v>
      </c>
      <c r="O531" s="8" t="n">
        <v>38</v>
      </c>
      <c r="P531" s="8" t="s">
        <v>120</v>
      </c>
    </row>
    <row r="532" customFormat="false" ht="15" hidden="false" customHeight="false" outlineLevel="0" collapsed="false">
      <c r="A532" s="8" t="s">
        <v>1849</v>
      </c>
      <c r="B532" s="8" t="s">
        <v>1850</v>
      </c>
      <c r="C532" s="8" t="s">
        <v>8688</v>
      </c>
      <c r="D532" s="8" t="s">
        <v>132</v>
      </c>
      <c r="E532" s="8" t="s">
        <v>51</v>
      </c>
      <c r="F532" s="8" t="s">
        <v>326</v>
      </c>
      <c r="G532" s="8" t="s">
        <v>118</v>
      </c>
      <c r="H532" s="8" t="s">
        <v>8670</v>
      </c>
      <c r="I532" s="8" t="s">
        <v>9308</v>
      </c>
      <c r="J532" s="8" t="s">
        <v>147</v>
      </c>
      <c r="K532" s="8" t="s">
        <v>8664</v>
      </c>
      <c r="L532" s="8"/>
      <c r="M532" s="8"/>
      <c r="N532" s="8" t="n">
        <v>25</v>
      </c>
      <c r="O532" s="8" t="n">
        <v>38</v>
      </c>
      <c r="P532" s="8" t="s">
        <v>120</v>
      </c>
    </row>
    <row r="533" customFormat="false" ht="15" hidden="false" customHeight="false" outlineLevel="0" collapsed="false">
      <c r="A533" s="8" t="s">
        <v>4437</v>
      </c>
      <c r="B533" s="8" t="s">
        <v>9309</v>
      </c>
      <c r="C533" s="8" t="s">
        <v>8680</v>
      </c>
      <c r="D533" s="8" t="s">
        <v>117</v>
      </c>
      <c r="E533" s="8" t="s">
        <v>53</v>
      </c>
      <c r="F533" s="8" t="s">
        <v>326</v>
      </c>
      <c r="G533" s="8" t="s">
        <v>118</v>
      </c>
      <c r="H533" s="8" t="s">
        <v>8670</v>
      </c>
      <c r="I533" s="8" t="s">
        <v>9017</v>
      </c>
      <c r="J533" s="8"/>
      <c r="K533" s="8" t="s">
        <v>8690</v>
      </c>
      <c r="L533" s="8" t="s">
        <v>9310</v>
      </c>
      <c r="M533" s="8" t="s">
        <v>8692</v>
      </c>
      <c r="N533" s="8" t="n">
        <v>25</v>
      </c>
      <c r="O533" s="8" t="n">
        <v>181</v>
      </c>
      <c r="P533" s="8" t="s">
        <v>148</v>
      </c>
    </row>
    <row r="534" customFormat="false" ht="15" hidden="false" customHeight="false" outlineLevel="0" collapsed="false">
      <c r="A534" s="8" t="s">
        <v>2814</v>
      </c>
      <c r="B534" s="8" t="s">
        <v>2815</v>
      </c>
      <c r="C534" s="8" t="s">
        <v>8678</v>
      </c>
      <c r="D534" s="8" t="s">
        <v>117</v>
      </c>
      <c r="E534" s="8" t="s">
        <v>51</v>
      </c>
      <c r="F534" s="8" t="s">
        <v>2027</v>
      </c>
      <c r="G534" s="8" t="s">
        <v>118</v>
      </c>
      <c r="H534" s="8" t="s">
        <v>8662</v>
      </c>
      <c r="I534" s="8" t="s">
        <v>9311</v>
      </c>
      <c r="J534" s="8" t="s">
        <v>140</v>
      </c>
      <c r="K534" s="8" t="s">
        <v>8664</v>
      </c>
      <c r="L534" s="8"/>
      <c r="M534" s="8"/>
      <c r="N534" s="8" t="n">
        <v>12</v>
      </c>
      <c r="O534" s="8" t="n">
        <v>33</v>
      </c>
      <c r="P534" s="8" t="s">
        <v>120</v>
      </c>
    </row>
    <row r="535" customFormat="false" ht="15" hidden="false" customHeight="false" outlineLevel="0" collapsed="false">
      <c r="A535" s="8" t="s">
        <v>4216</v>
      </c>
      <c r="B535" s="8" t="s">
        <v>4217</v>
      </c>
      <c r="C535" s="8" t="s">
        <v>8688</v>
      </c>
      <c r="D535" s="8" t="s">
        <v>117</v>
      </c>
      <c r="E535" s="8" t="s">
        <v>51</v>
      </c>
      <c r="F535" s="8" t="s">
        <v>2027</v>
      </c>
      <c r="G535" s="8" t="s">
        <v>223</v>
      </c>
      <c r="H535" s="8" t="s">
        <v>8670</v>
      </c>
      <c r="I535" s="8" t="s">
        <v>9312</v>
      </c>
      <c r="J535" s="8" t="s">
        <v>125</v>
      </c>
      <c r="K535" s="8" t="s">
        <v>8664</v>
      </c>
      <c r="L535" s="8"/>
      <c r="M535" s="8"/>
      <c r="N535" s="8" t="n">
        <v>12</v>
      </c>
      <c r="O535" s="8" t="n">
        <v>8</v>
      </c>
      <c r="P535" s="8" t="s">
        <v>120</v>
      </c>
    </row>
    <row r="536" customFormat="false" ht="15" hidden="false" customHeight="false" outlineLevel="0" collapsed="false">
      <c r="A536" s="8" t="s">
        <v>4430</v>
      </c>
      <c r="B536" s="8" t="s">
        <v>9313</v>
      </c>
      <c r="C536" s="8" t="s">
        <v>8669</v>
      </c>
      <c r="D536" s="8" t="s">
        <v>123</v>
      </c>
      <c r="E536" s="8" t="s">
        <v>53</v>
      </c>
      <c r="F536" s="8" t="s">
        <v>55</v>
      </c>
      <c r="G536" s="8" t="s">
        <v>118</v>
      </c>
      <c r="H536" s="8" t="s">
        <v>8670</v>
      </c>
      <c r="I536" s="8" t="s">
        <v>9314</v>
      </c>
      <c r="J536" s="8"/>
      <c r="K536" s="8" t="s">
        <v>8690</v>
      </c>
      <c r="L536" s="8" t="s">
        <v>9315</v>
      </c>
      <c r="M536" s="8" t="s">
        <v>8696</v>
      </c>
      <c r="N536" s="8" t="n">
        <v>45</v>
      </c>
      <c r="O536" s="8" t="n">
        <v>117</v>
      </c>
      <c r="P536" s="8" t="s">
        <v>120</v>
      </c>
    </row>
    <row r="537" customFormat="false" ht="15" hidden="false" customHeight="false" outlineLevel="0" collapsed="false">
      <c r="A537" s="8" t="s">
        <v>1009</v>
      </c>
      <c r="B537" s="8" t="s">
        <v>1010</v>
      </c>
      <c r="C537" s="8" t="s">
        <v>8700</v>
      </c>
      <c r="D537" s="8" t="s">
        <v>123</v>
      </c>
      <c r="E537" s="8" t="s">
        <v>53</v>
      </c>
      <c r="F537" s="8" t="s">
        <v>326</v>
      </c>
      <c r="G537" s="8" t="s">
        <v>133</v>
      </c>
      <c r="H537" s="8" t="s">
        <v>8675</v>
      </c>
      <c r="I537" s="8" t="s">
        <v>8917</v>
      </c>
      <c r="J537" s="8" t="s">
        <v>180</v>
      </c>
      <c r="K537" s="8" t="s">
        <v>8664</v>
      </c>
      <c r="L537" s="8"/>
      <c r="M537" s="8"/>
      <c r="N537" s="8" t="n">
        <v>25</v>
      </c>
      <c r="O537" s="8" t="n">
        <v>183</v>
      </c>
      <c r="P537" s="8" t="s">
        <v>120</v>
      </c>
    </row>
    <row r="538" customFormat="false" ht="15" hidden="false" customHeight="false" outlineLevel="0" collapsed="false">
      <c r="A538" s="8" t="s">
        <v>4481</v>
      </c>
      <c r="B538" s="8" t="s">
        <v>9316</v>
      </c>
      <c r="C538" s="8" t="s">
        <v>8669</v>
      </c>
      <c r="D538" s="8" t="s">
        <v>117</v>
      </c>
      <c r="E538" s="8" t="s">
        <v>53</v>
      </c>
      <c r="F538" s="8" t="s">
        <v>326</v>
      </c>
      <c r="G538" s="8" t="s">
        <v>151</v>
      </c>
      <c r="H538" s="8" t="s">
        <v>8662</v>
      </c>
      <c r="I538" s="8" t="s">
        <v>9317</v>
      </c>
      <c r="J538" s="8"/>
      <c r="K538" s="8" t="s">
        <v>8690</v>
      </c>
      <c r="L538" s="8" t="s">
        <v>8807</v>
      </c>
      <c r="M538" s="8" t="s">
        <v>8721</v>
      </c>
      <c r="N538" s="8" t="n">
        <v>25</v>
      </c>
      <c r="O538" s="8" t="n">
        <v>41</v>
      </c>
      <c r="P538" s="8" t="s">
        <v>120</v>
      </c>
    </row>
    <row r="539" customFormat="false" ht="15" hidden="false" customHeight="false" outlineLevel="0" collapsed="false">
      <c r="A539" s="8" t="s">
        <v>4218</v>
      </c>
      <c r="B539" s="8" t="s">
        <v>4219</v>
      </c>
      <c r="C539" s="8" t="s">
        <v>8674</v>
      </c>
      <c r="D539" s="8" t="s">
        <v>123</v>
      </c>
      <c r="E539" s="8" t="s">
        <v>51</v>
      </c>
      <c r="F539" s="8" t="s">
        <v>2027</v>
      </c>
      <c r="G539" s="8" t="s">
        <v>143</v>
      </c>
      <c r="H539" s="8" t="s">
        <v>8670</v>
      </c>
      <c r="I539" s="8" t="s">
        <v>8973</v>
      </c>
      <c r="J539" s="8" t="s">
        <v>140</v>
      </c>
      <c r="K539" s="8" t="s">
        <v>8664</v>
      </c>
      <c r="L539" s="8"/>
      <c r="M539" s="8"/>
      <c r="N539" s="8" t="n">
        <v>12</v>
      </c>
      <c r="O539" s="8" t="n">
        <v>8</v>
      </c>
      <c r="P539" s="8" t="s">
        <v>120</v>
      </c>
    </row>
    <row r="540" customFormat="false" ht="15" hidden="false" customHeight="false" outlineLevel="0" collapsed="false">
      <c r="A540" s="8" t="s">
        <v>3332</v>
      </c>
      <c r="B540" s="8" t="s">
        <v>3333</v>
      </c>
      <c r="C540" s="8" t="s">
        <v>8700</v>
      </c>
      <c r="D540" s="8" t="s">
        <v>128</v>
      </c>
      <c r="E540" s="8" t="s">
        <v>51</v>
      </c>
      <c r="F540" s="8" t="s">
        <v>2027</v>
      </c>
      <c r="G540" s="8" t="s">
        <v>154</v>
      </c>
      <c r="H540" s="8" t="s">
        <v>8675</v>
      </c>
      <c r="I540" s="8" t="s">
        <v>8844</v>
      </c>
      <c r="J540" s="8" t="s">
        <v>129</v>
      </c>
      <c r="K540" s="8" t="s">
        <v>8664</v>
      </c>
      <c r="L540" s="8"/>
      <c r="M540" s="8"/>
      <c r="N540" s="8" t="n">
        <v>12</v>
      </c>
      <c r="O540" s="8" t="n">
        <v>24</v>
      </c>
      <c r="P540" s="8" t="s">
        <v>120</v>
      </c>
    </row>
    <row r="541" customFormat="false" ht="15" hidden="false" customHeight="false" outlineLevel="0" collapsed="false">
      <c r="A541" s="8" t="s">
        <v>1093</v>
      </c>
      <c r="B541" s="8" t="s">
        <v>1094</v>
      </c>
      <c r="C541" s="8" t="s">
        <v>8669</v>
      </c>
      <c r="D541" s="8" t="s">
        <v>132</v>
      </c>
      <c r="E541" s="8" t="s">
        <v>53</v>
      </c>
      <c r="F541" s="8" t="s">
        <v>326</v>
      </c>
      <c r="G541" s="8" t="s">
        <v>133</v>
      </c>
      <c r="H541" s="8" t="s">
        <v>8662</v>
      </c>
      <c r="I541" s="8" t="s">
        <v>9318</v>
      </c>
      <c r="J541" s="8" t="s">
        <v>140</v>
      </c>
      <c r="K541" s="8" t="s">
        <v>8664</v>
      </c>
      <c r="L541" s="8"/>
      <c r="M541" s="8"/>
      <c r="N541" s="8" t="n">
        <v>25</v>
      </c>
      <c r="O541" s="8" t="n">
        <v>122</v>
      </c>
      <c r="P541" s="8" t="s">
        <v>120</v>
      </c>
    </row>
    <row r="542" customFormat="false" ht="15" hidden="false" customHeight="false" outlineLevel="0" collapsed="false">
      <c r="A542" s="8" t="s">
        <v>2848</v>
      </c>
      <c r="B542" s="8" t="s">
        <v>2849</v>
      </c>
      <c r="C542" s="8" t="s">
        <v>8700</v>
      </c>
      <c r="D542" s="8" t="s">
        <v>117</v>
      </c>
      <c r="E542" s="8" t="s">
        <v>51</v>
      </c>
      <c r="F542" s="8" t="s">
        <v>2027</v>
      </c>
      <c r="G542" s="8" t="s">
        <v>124</v>
      </c>
      <c r="H542" s="8" t="s">
        <v>8666</v>
      </c>
      <c r="I542" s="8" t="s">
        <v>9319</v>
      </c>
      <c r="J542" s="8" t="s">
        <v>137</v>
      </c>
      <c r="K542" s="8" t="s">
        <v>8664</v>
      </c>
      <c r="L542" s="8"/>
      <c r="M542" s="8"/>
      <c r="N542" s="8" t="n">
        <v>12</v>
      </c>
      <c r="O542" s="8" t="n">
        <v>28</v>
      </c>
      <c r="P542" s="8" t="s">
        <v>120</v>
      </c>
    </row>
    <row r="543" customFormat="false" ht="15" hidden="false" customHeight="false" outlineLevel="0" collapsed="false">
      <c r="A543" s="8" t="s">
        <v>4158</v>
      </c>
      <c r="B543" s="8" t="s">
        <v>4159</v>
      </c>
      <c r="C543" s="8" t="s">
        <v>8661</v>
      </c>
      <c r="D543" s="8" t="s">
        <v>117</v>
      </c>
      <c r="E543" s="8" t="s">
        <v>51</v>
      </c>
      <c r="F543" s="8" t="s">
        <v>2027</v>
      </c>
      <c r="G543" s="8" t="s">
        <v>133</v>
      </c>
      <c r="H543" s="8" t="s">
        <v>8670</v>
      </c>
      <c r="I543" s="8" t="s">
        <v>9189</v>
      </c>
      <c r="J543" s="8" t="s">
        <v>119</v>
      </c>
      <c r="K543" s="8" t="s">
        <v>8664</v>
      </c>
      <c r="L543" s="8"/>
      <c r="M543" s="8"/>
      <c r="N543" s="8" t="n">
        <v>12</v>
      </c>
      <c r="O543" s="8" t="n">
        <v>9</v>
      </c>
      <c r="P543" s="8" t="s">
        <v>120</v>
      </c>
    </row>
    <row r="544" customFormat="false" ht="15" hidden="false" customHeight="false" outlineLevel="0" collapsed="false">
      <c r="A544" s="8" t="s">
        <v>9320</v>
      </c>
      <c r="B544" s="8" t="s">
        <v>9321</v>
      </c>
      <c r="C544" s="8" t="s">
        <v>8688</v>
      </c>
      <c r="D544" s="8" t="s">
        <v>132</v>
      </c>
      <c r="E544" s="8" t="s">
        <v>51</v>
      </c>
      <c r="F544" s="8" t="s">
        <v>326</v>
      </c>
      <c r="G544" s="8" t="s">
        <v>223</v>
      </c>
      <c r="H544" s="8" t="s">
        <v>8675</v>
      </c>
      <c r="I544" s="8" t="s">
        <v>9322</v>
      </c>
      <c r="J544" s="8"/>
      <c r="K544" s="8" t="s">
        <v>8690</v>
      </c>
      <c r="L544" s="8" t="s">
        <v>9323</v>
      </c>
      <c r="M544" s="8" t="s">
        <v>8696</v>
      </c>
      <c r="N544" s="8" t="n">
        <v>25</v>
      </c>
      <c r="O544" s="8" t="n">
        <v>16</v>
      </c>
      <c r="P544" s="8" t="s">
        <v>120</v>
      </c>
    </row>
    <row r="545" customFormat="false" ht="15" hidden="false" customHeight="false" outlineLevel="0" collapsed="false">
      <c r="A545" s="8" t="s">
        <v>2356</v>
      </c>
      <c r="B545" s="8" t="s">
        <v>2357</v>
      </c>
      <c r="C545" s="8" t="s">
        <v>8661</v>
      </c>
      <c r="D545" s="8" t="s">
        <v>123</v>
      </c>
      <c r="E545" s="8" t="s">
        <v>51</v>
      </c>
      <c r="F545" s="8" t="s">
        <v>2027</v>
      </c>
      <c r="G545" s="8" t="s">
        <v>166</v>
      </c>
      <c r="H545" s="8" t="s">
        <v>8662</v>
      </c>
      <c r="I545" s="8" t="s">
        <v>9016</v>
      </c>
      <c r="J545" s="8" t="s">
        <v>144</v>
      </c>
      <c r="K545" s="8" t="s">
        <v>8664</v>
      </c>
      <c r="L545" s="8"/>
      <c r="M545" s="8"/>
      <c r="N545" s="8" t="n">
        <v>12</v>
      </c>
      <c r="O545" s="8" t="n">
        <v>38</v>
      </c>
      <c r="P545" s="8" t="s">
        <v>120</v>
      </c>
    </row>
    <row r="546" customFormat="false" ht="15" hidden="false" customHeight="false" outlineLevel="0" collapsed="false">
      <c r="A546" s="8" t="s">
        <v>3918</v>
      </c>
      <c r="B546" s="8" t="s">
        <v>3919</v>
      </c>
      <c r="C546" s="8" t="s">
        <v>8688</v>
      </c>
      <c r="D546" s="8" t="s">
        <v>132</v>
      </c>
      <c r="E546" s="8" t="s">
        <v>51</v>
      </c>
      <c r="F546" s="8" t="s">
        <v>2027</v>
      </c>
      <c r="G546" s="8" t="s">
        <v>166</v>
      </c>
      <c r="H546" s="8" t="s">
        <v>8666</v>
      </c>
      <c r="I546" s="8" t="s">
        <v>9065</v>
      </c>
      <c r="J546" s="8" t="s">
        <v>204</v>
      </c>
      <c r="K546" s="8" t="s">
        <v>8664</v>
      </c>
      <c r="L546" s="8"/>
      <c r="M546" s="8"/>
      <c r="N546" s="8" t="n">
        <v>12</v>
      </c>
      <c r="O546" s="8" t="n">
        <v>12</v>
      </c>
      <c r="P546" s="8" t="s">
        <v>120</v>
      </c>
    </row>
    <row r="547" customFormat="false" ht="15" hidden="false" customHeight="false" outlineLevel="0" collapsed="false">
      <c r="A547" s="8" t="s">
        <v>4586</v>
      </c>
      <c r="B547" s="8" t="s">
        <v>9324</v>
      </c>
      <c r="C547" s="8" t="s">
        <v>8700</v>
      </c>
      <c r="D547" s="8" t="s">
        <v>132</v>
      </c>
      <c r="E547" s="8" t="s">
        <v>51</v>
      </c>
      <c r="F547" s="8" t="s">
        <v>326</v>
      </c>
      <c r="G547" s="8" t="s">
        <v>190</v>
      </c>
      <c r="H547" s="8" t="s">
        <v>8666</v>
      </c>
      <c r="I547" s="8" t="s">
        <v>9325</v>
      </c>
      <c r="J547" s="8"/>
      <c r="K547" s="8" t="s">
        <v>8690</v>
      </c>
      <c r="L547" s="8" t="s">
        <v>9207</v>
      </c>
      <c r="M547" s="8" t="s">
        <v>8795</v>
      </c>
      <c r="N547" s="8" t="n">
        <v>25</v>
      </c>
      <c r="O547" s="8" t="n">
        <v>5</v>
      </c>
      <c r="P547" s="8" t="s">
        <v>120</v>
      </c>
    </row>
    <row r="548" customFormat="false" ht="15" hidden="false" customHeight="false" outlineLevel="0" collapsed="false">
      <c r="A548" s="8" t="s">
        <v>1791</v>
      </c>
      <c r="B548" s="8" t="s">
        <v>1792</v>
      </c>
      <c r="C548" s="8" t="s">
        <v>8665</v>
      </c>
      <c r="D548" s="8" t="s">
        <v>123</v>
      </c>
      <c r="E548" s="8" t="s">
        <v>53</v>
      </c>
      <c r="F548" s="8" t="s">
        <v>326</v>
      </c>
      <c r="G548" s="8" t="s">
        <v>118</v>
      </c>
      <c r="H548" s="8" t="s">
        <v>8675</v>
      </c>
      <c r="I548" s="8" t="s">
        <v>9136</v>
      </c>
      <c r="J548" s="8" t="s">
        <v>159</v>
      </c>
      <c r="K548" s="8" t="s">
        <v>8664</v>
      </c>
      <c r="L548" s="8"/>
      <c r="M548" s="8"/>
      <c r="N548" s="8" t="n">
        <v>25</v>
      </c>
      <c r="O548" s="8" t="n">
        <v>71</v>
      </c>
      <c r="P548" s="8" t="s">
        <v>120</v>
      </c>
    </row>
    <row r="549" customFormat="false" ht="15" hidden="false" customHeight="false" outlineLevel="0" collapsed="false">
      <c r="A549" s="8" t="s">
        <v>9326</v>
      </c>
      <c r="B549" s="8" t="s">
        <v>9327</v>
      </c>
      <c r="C549" s="8" t="s">
        <v>8688</v>
      </c>
      <c r="D549" s="8" t="s">
        <v>123</v>
      </c>
      <c r="E549" s="8" t="s">
        <v>53</v>
      </c>
      <c r="F549" s="8" t="s">
        <v>326</v>
      </c>
      <c r="G549" s="8" t="s">
        <v>154</v>
      </c>
      <c r="H549" s="8" t="s">
        <v>8670</v>
      </c>
      <c r="I549" s="8" t="s">
        <v>9328</v>
      </c>
      <c r="J549" s="8"/>
      <c r="K549" s="8" t="s">
        <v>8690</v>
      </c>
      <c r="L549" s="8" t="s">
        <v>8663</v>
      </c>
      <c r="M549" s="8" t="s">
        <v>8721</v>
      </c>
      <c r="N549" s="8" t="n">
        <v>25</v>
      </c>
      <c r="O549" s="8" t="n">
        <v>73</v>
      </c>
      <c r="P549" s="8" t="s">
        <v>120</v>
      </c>
    </row>
    <row r="550" customFormat="false" ht="15" hidden="false" customHeight="false" outlineLevel="0" collapsed="false">
      <c r="A550" s="8" t="s">
        <v>2442</v>
      </c>
      <c r="B550" s="8" t="s">
        <v>2443</v>
      </c>
      <c r="C550" s="8" t="s">
        <v>8700</v>
      </c>
      <c r="D550" s="8" t="s">
        <v>128</v>
      </c>
      <c r="E550" s="8" t="s">
        <v>51</v>
      </c>
      <c r="F550" s="8" t="s">
        <v>2027</v>
      </c>
      <c r="G550" s="8" t="s">
        <v>124</v>
      </c>
      <c r="H550" s="8" t="s">
        <v>8662</v>
      </c>
      <c r="I550" s="8" t="s">
        <v>9116</v>
      </c>
      <c r="J550" s="8" t="s">
        <v>159</v>
      </c>
      <c r="K550" s="8" t="s">
        <v>8664</v>
      </c>
      <c r="L550" s="8"/>
      <c r="M550" s="8"/>
      <c r="N550" s="8" t="n">
        <v>12</v>
      </c>
      <c r="O550" s="8" t="n">
        <v>39</v>
      </c>
      <c r="P550" s="8" t="s">
        <v>120</v>
      </c>
    </row>
    <row r="551" customFormat="false" ht="15" hidden="false" customHeight="false" outlineLevel="0" collapsed="false">
      <c r="A551" s="8" t="s">
        <v>1221</v>
      </c>
      <c r="B551" s="8" t="s">
        <v>1222</v>
      </c>
      <c r="C551" s="8" t="s">
        <v>8674</v>
      </c>
      <c r="D551" s="8" t="s">
        <v>117</v>
      </c>
      <c r="E551" s="8" t="s">
        <v>53</v>
      </c>
      <c r="F551" s="8" t="s">
        <v>326</v>
      </c>
      <c r="G551" s="8" t="s">
        <v>143</v>
      </c>
      <c r="H551" s="8" t="s">
        <v>8666</v>
      </c>
      <c r="I551" s="8" t="s">
        <v>9329</v>
      </c>
      <c r="J551" s="8" t="s">
        <v>185</v>
      </c>
      <c r="K551" s="8" t="s">
        <v>8664</v>
      </c>
      <c r="L551" s="8"/>
      <c r="M551" s="8"/>
      <c r="N551" s="8" t="n">
        <v>25</v>
      </c>
      <c r="O551" s="8" t="n">
        <v>133</v>
      </c>
      <c r="P551" s="8" t="s">
        <v>120</v>
      </c>
    </row>
    <row r="552" customFormat="false" ht="15" hidden="false" customHeight="false" outlineLevel="0" collapsed="false">
      <c r="A552" s="8" t="s">
        <v>4302</v>
      </c>
      <c r="B552" s="8" t="s">
        <v>4303</v>
      </c>
      <c r="C552" s="8" t="s">
        <v>8661</v>
      </c>
      <c r="D552" s="8" t="s">
        <v>128</v>
      </c>
      <c r="E552" s="8" t="s">
        <v>51</v>
      </c>
      <c r="F552" s="8" t="s">
        <v>2027</v>
      </c>
      <c r="G552" s="8" t="s">
        <v>151</v>
      </c>
      <c r="H552" s="8" t="s">
        <v>8670</v>
      </c>
      <c r="I552" s="8" t="s">
        <v>9330</v>
      </c>
      <c r="J552" s="8" t="s">
        <v>180</v>
      </c>
      <c r="K552" s="8" t="s">
        <v>8664</v>
      </c>
      <c r="L552" s="8"/>
      <c r="M552" s="8"/>
      <c r="N552" s="8" t="n">
        <v>12</v>
      </c>
      <c r="O552" s="8" t="n">
        <v>6</v>
      </c>
      <c r="P552" s="8" t="s">
        <v>120</v>
      </c>
    </row>
    <row r="553" customFormat="false" ht="15" hidden="false" customHeight="false" outlineLevel="0" collapsed="false">
      <c r="A553" s="8" t="s">
        <v>675</v>
      </c>
      <c r="B553" s="8" t="s">
        <v>676</v>
      </c>
      <c r="C553" s="8" t="s">
        <v>8669</v>
      </c>
      <c r="D553" s="8" t="s">
        <v>132</v>
      </c>
      <c r="E553" s="8" t="s">
        <v>53</v>
      </c>
      <c r="F553" s="8" t="s">
        <v>55</v>
      </c>
      <c r="G553" s="8" t="s">
        <v>154</v>
      </c>
      <c r="H553" s="8" t="s">
        <v>8670</v>
      </c>
      <c r="I553" s="8" t="s">
        <v>9061</v>
      </c>
      <c r="J553" s="8" t="s">
        <v>185</v>
      </c>
      <c r="K553" s="8" t="s">
        <v>8664</v>
      </c>
      <c r="L553" s="8"/>
      <c r="M553" s="8"/>
      <c r="N553" s="8" t="n">
        <v>45</v>
      </c>
      <c r="O553" s="8" t="n">
        <v>119</v>
      </c>
      <c r="P553" s="8" t="s">
        <v>120</v>
      </c>
    </row>
    <row r="554" customFormat="false" ht="15" hidden="false" customHeight="false" outlineLevel="0" collapsed="false">
      <c r="A554" s="8" t="s">
        <v>3788</v>
      </c>
      <c r="B554" s="8" t="s">
        <v>3789</v>
      </c>
      <c r="C554" s="8" t="s">
        <v>8665</v>
      </c>
      <c r="D554" s="8" t="s">
        <v>132</v>
      </c>
      <c r="E554" s="8" t="s">
        <v>51</v>
      </c>
      <c r="F554" s="8" t="s">
        <v>2027</v>
      </c>
      <c r="G554" s="8" t="s">
        <v>143</v>
      </c>
      <c r="H554" s="8" t="s">
        <v>8670</v>
      </c>
      <c r="I554" s="8" t="s">
        <v>8749</v>
      </c>
      <c r="J554" s="8" t="s">
        <v>204</v>
      </c>
      <c r="K554" s="8" t="s">
        <v>8664</v>
      </c>
      <c r="L554" s="8"/>
      <c r="M554" s="8"/>
      <c r="N554" s="8" t="n">
        <v>12</v>
      </c>
      <c r="O554" s="8" t="n">
        <v>15</v>
      </c>
      <c r="P554" s="8" t="s">
        <v>120</v>
      </c>
    </row>
    <row r="555" customFormat="false" ht="15" hidden="false" customHeight="false" outlineLevel="0" collapsed="false">
      <c r="A555" s="8" t="s">
        <v>2372</v>
      </c>
      <c r="B555" s="8" t="s">
        <v>2373</v>
      </c>
      <c r="C555" s="8" t="s">
        <v>8678</v>
      </c>
      <c r="D555" s="8" t="s">
        <v>132</v>
      </c>
      <c r="E555" s="8" t="s">
        <v>51</v>
      </c>
      <c r="F555" s="8" t="s">
        <v>326</v>
      </c>
      <c r="G555" s="8" t="s">
        <v>166</v>
      </c>
      <c r="H555" s="8" t="s">
        <v>8666</v>
      </c>
      <c r="I555" s="8" t="s">
        <v>9331</v>
      </c>
      <c r="J555" s="8" t="s">
        <v>129</v>
      </c>
      <c r="K555" s="8" t="s">
        <v>8664</v>
      </c>
      <c r="L555" s="8"/>
      <c r="M555" s="8"/>
      <c r="N555" s="8" t="n">
        <v>25</v>
      </c>
      <c r="O555" s="8" t="n">
        <v>27</v>
      </c>
      <c r="P555" s="8" t="s">
        <v>120</v>
      </c>
    </row>
    <row r="556" customFormat="false" ht="15" hidden="false" customHeight="false" outlineLevel="0" collapsed="false">
      <c r="A556" s="8" t="s">
        <v>4589</v>
      </c>
      <c r="B556" s="8" t="s">
        <v>9332</v>
      </c>
      <c r="C556" s="8" t="s">
        <v>8680</v>
      </c>
      <c r="D556" s="8" t="s">
        <v>117</v>
      </c>
      <c r="E556" s="8" t="s">
        <v>51</v>
      </c>
      <c r="F556" s="8" t="s">
        <v>2027</v>
      </c>
      <c r="G556" s="8" t="s">
        <v>133</v>
      </c>
      <c r="H556" s="8" t="s">
        <v>8662</v>
      </c>
      <c r="I556" s="8" t="s">
        <v>9333</v>
      </c>
      <c r="J556" s="8"/>
      <c r="K556" s="8" t="s">
        <v>8690</v>
      </c>
      <c r="L556" s="8" t="s">
        <v>9177</v>
      </c>
      <c r="M556" s="8" t="s">
        <v>8692</v>
      </c>
      <c r="N556" s="8" t="n">
        <v>12</v>
      </c>
      <c r="O556" s="8" t="n">
        <v>11</v>
      </c>
      <c r="P556" s="8" t="s">
        <v>120</v>
      </c>
    </row>
    <row r="557" customFormat="false" ht="15" hidden="false" customHeight="false" outlineLevel="0" collapsed="false">
      <c r="A557" s="8" t="s">
        <v>347</v>
      </c>
      <c r="B557" s="8" t="s">
        <v>348</v>
      </c>
      <c r="C557" s="8" t="s">
        <v>8678</v>
      </c>
      <c r="D557" s="8" t="s">
        <v>132</v>
      </c>
      <c r="E557" s="8" t="s">
        <v>55</v>
      </c>
      <c r="F557" s="8" t="s">
        <v>55</v>
      </c>
      <c r="G557" s="8" t="s">
        <v>143</v>
      </c>
      <c r="H557" s="8" t="s">
        <v>8675</v>
      </c>
      <c r="I557" s="8" t="s">
        <v>8726</v>
      </c>
      <c r="J557" s="8" t="s">
        <v>177</v>
      </c>
      <c r="K557" s="8" t="s">
        <v>8664</v>
      </c>
      <c r="L557" s="8"/>
      <c r="M557" s="8"/>
      <c r="N557" s="8" t="n">
        <v>45</v>
      </c>
      <c r="O557" s="8" t="n">
        <v>309</v>
      </c>
      <c r="P557" s="8" t="s">
        <v>120</v>
      </c>
    </row>
    <row r="558" customFormat="false" ht="15" hidden="false" customHeight="false" outlineLevel="0" collapsed="false">
      <c r="A558" s="8" t="s">
        <v>3744</v>
      </c>
      <c r="B558" s="8" t="s">
        <v>3745</v>
      </c>
      <c r="C558" s="8" t="s">
        <v>8665</v>
      </c>
      <c r="D558" s="8" t="s">
        <v>117</v>
      </c>
      <c r="E558" s="8" t="s">
        <v>51</v>
      </c>
      <c r="F558" s="8" t="s">
        <v>2027</v>
      </c>
      <c r="G558" s="8" t="s">
        <v>166</v>
      </c>
      <c r="H558" s="8" t="s">
        <v>8662</v>
      </c>
      <c r="I558" s="8" t="s">
        <v>9334</v>
      </c>
      <c r="J558" s="8" t="s">
        <v>204</v>
      </c>
      <c r="K558" s="8" t="s">
        <v>8664</v>
      </c>
      <c r="L558" s="8"/>
      <c r="M558" s="8"/>
      <c r="N558" s="8" t="n">
        <v>12</v>
      </c>
      <c r="O558" s="8" t="n">
        <v>16</v>
      </c>
      <c r="P558" s="8" t="s">
        <v>120</v>
      </c>
    </row>
    <row r="559" customFormat="false" ht="15" hidden="false" customHeight="false" outlineLevel="0" collapsed="false">
      <c r="A559" s="8" t="s">
        <v>2982</v>
      </c>
      <c r="B559" s="8" t="s">
        <v>2983</v>
      </c>
      <c r="C559" s="8" t="s">
        <v>8669</v>
      </c>
      <c r="D559" s="8" t="s">
        <v>132</v>
      </c>
      <c r="E559" s="8" t="s">
        <v>51</v>
      </c>
      <c r="F559" s="8" t="s">
        <v>2027</v>
      </c>
      <c r="G559" s="8" t="s">
        <v>136</v>
      </c>
      <c r="H559" s="8" t="s">
        <v>8662</v>
      </c>
      <c r="I559" s="8" t="s">
        <v>9130</v>
      </c>
      <c r="J559" s="8" t="s">
        <v>137</v>
      </c>
      <c r="K559" s="8" t="s">
        <v>8664</v>
      </c>
      <c r="L559" s="8"/>
      <c r="M559" s="8"/>
      <c r="N559" s="8" t="n">
        <v>12</v>
      </c>
      <c r="O559" s="8" t="n">
        <v>25</v>
      </c>
      <c r="P559" s="8" t="s">
        <v>120</v>
      </c>
    </row>
    <row r="560" customFormat="false" ht="15" hidden="false" customHeight="false" outlineLevel="0" collapsed="false">
      <c r="A560" s="8" t="s">
        <v>3700</v>
      </c>
      <c r="B560" s="8" t="s">
        <v>3701</v>
      </c>
      <c r="C560" s="8" t="s">
        <v>8688</v>
      </c>
      <c r="D560" s="8" t="s">
        <v>123</v>
      </c>
      <c r="E560" s="8" t="s">
        <v>51</v>
      </c>
      <c r="F560" s="8" t="s">
        <v>2027</v>
      </c>
      <c r="G560" s="8" t="s">
        <v>143</v>
      </c>
      <c r="H560" s="8" t="s">
        <v>8666</v>
      </c>
      <c r="I560" s="8" t="s">
        <v>9083</v>
      </c>
      <c r="J560" s="8" t="s">
        <v>144</v>
      </c>
      <c r="K560" s="8" t="s">
        <v>8664</v>
      </c>
      <c r="L560" s="8"/>
      <c r="M560" s="8"/>
      <c r="N560" s="8" t="n">
        <v>12</v>
      </c>
      <c r="O560" s="8" t="n">
        <v>22</v>
      </c>
      <c r="P560" s="8" t="s">
        <v>120</v>
      </c>
    </row>
    <row r="561" customFormat="false" ht="15" hidden="false" customHeight="false" outlineLevel="0" collapsed="false">
      <c r="A561" s="8" t="s">
        <v>3334</v>
      </c>
      <c r="B561" s="8" t="s">
        <v>3335</v>
      </c>
      <c r="C561" s="8" t="s">
        <v>8688</v>
      </c>
      <c r="D561" s="8" t="s">
        <v>132</v>
      </c>
      <c r="E561" s="8" t="s">
        <v>51</v>
      </c>
      <c r="F561" s="8" t="s">
        <v>2027</v>
      </c>
      <c r="G561" s="8" t="s">
        <v>190</v>
      </c>
      <c r="H561" s="8" t="s">
        <v>8666</v>
      </c>
      <c r="I561" s="8" t="s">
        <v>9335</v>
      </c>
      <c r="J561" s="8" t="s">
        <v>185</v>
      </c>
      <c r="K561" s="8" t="s">
        <v>8664</v>
      </c>
      <c r="L561" s="8"/>
      <c r="M561" s="8"/>
      <c r="N561" s="8" t="n">
        <v>12</v>
      </c>
      <c r="O561" s="8" t="n">
        <v>24</v>
      </c>
      <c r="P561" s="8" t="s">
        <v>120</v>
      </c>
    </row>
    <row r="562" customFormat="false" ht="15" hidden="false" customHeight="false" outlineLevel="0" collapsed="false">
      <c r="A562" s="8" t="s">
        <v>4592</v>
      </c>
      <c r="B562" s="8" t="s">
        <v>9336</v>
      </c>
      <c r="C562" s="8" t="s">
        <v>8688</v>
      </c>
      <c r="D562" s="8" t="s">
        <v>132</v>
      </c>
      <c r="E562" s="8" t="s">
        <v>51</v>
      </c>
      <c r="F562" s="8" t="s">
        <v>2027</v>
      </c>
      <c r="G562" s="8" t="s">
        <v>133</v>
      </c>
      <c r="H562" s="8" t="s">
        <v>8675</v>
      </c>
      <c r="I562" s="8" t="s">
        <v>9337</v>
      </c>
      <c r="J562" s="8"/>
      <c r="K562" s="8" t="s">
        <v>8690</v>
      </c>
      <c r="L562" s="8" t="s">
        <v>8803</v>
      </c>
      <c r="M562" s="8" t="s">
        <v>8721</v>
      </c>
      <c r="N562" s="8" t="n">
        <v>12</v>
      </c>
      <c r="O562" s="8" t="n">
        <v>8</v>
      </c>
      <c r="P562" s="8" t="s">
        <v>120</v>
      </c>
    </row>
    <row r="563" customFormat="false" ht="15" hidden="false" customHeight="false" outlineLevel="0" collapsed="false">
      <c r="A563" s="8" t="s">
        <v>1039</v>
      </c>
      <c r="B563" s="8" t="s">
        <v>1040</v>
      </c>
      <c r="C563" s="8" t="s">
        <v>8674</v>
      </c>
      <c r="D563" s="8" t="s">
        <v>123</v>
      </c>
      <c r="E563" s="8" t="s">
        <v>53</v>
      </c>
      <c r="F563" s="8" t="s">
        <v>55</v>
      </c>
      <c r="G563" s="8" t="s">
        <v>151</v>
      </c>
      <c r="H563" s="8" t="s">
        <v>8675</v>
      </c>
      <c r="I563" s="8" t="s">
        <v>8962</v>
      </c>
      <c r="J563" s="8" t="s">
        <v>129</v>
      </c>
      <c r="K563" s="8" t="s">
        <v>8664</v>
      </c>
      <c r="L563" s="8"/>
      <c r="M563" s="8"/>
      <c r="N563" s="8" t="n">
        <v>45</v>
      </c>
      <c r="O563" s="8" t="n">
        <v>88</v>
      </c>
      <c r="P563" s="8" t="s">
        <v>120</v>
      </c>
    </row>
    <row r="564" customFormat="false" ht="15" hidden="false" customHeight="false" outlineLevel="0" collapsed="false">
      <c r="A564" s="8" t="s">
        <v>679</v>
      </c>
      <c r="B564" s="8" t="s">
        <v>680</v>
      </c>
      <c r="C564" s="8" t="s">
        <v>8678</v>
      </c>
      <c r="D564" s="8" t="s">
        <v>132</v>
      </c>
      <c r="E564" s="8" t="s">
        <v>53</v>
      </c>
      <c r="F564" s="8" t="s">
        <v>326</v>
      </c>
      <c r="G564" s="8" t="s">
        <v>223</v>
      </c>
      <c r="H564" s="8" t="s">
        <v>8662</v>
      </c>
      <c r="I564" s="8" t="s">
        <v>8725</v>
      </c>
      <c r="J564" s="8" t="s">
        <v>159</v>
      </c>
      <c r="K564" s="8" t="s">
        <v>8664</v>
      </c>
      <c r="L564" s="8"/>
      <c r="M564" s="8"/>
      <c r="N564" s="8" t="n">
        <v>25</v>
      </c>
      <c r="O564" s="8" t="n">
        <v>193</v>
      </c>
      <c r="P564" s="8" t="s">
        <v>120</v>
      </c>
    </row>
    <row r="565" customFormat="false" ht="15" hidden="false" customHeight="false" outlineLevel="0" collapsed="false">
      <c r="A565" s="8" t="s">
        <v>2034</v>
      </c>
      <c r="B565" s="8" t="s">
        <v>2035</v>
      </c>
      <c r="C565" s="8" t="s">
        <v>8680</v>
      </c>
      <c r="D565" s="8" t="s">
        <v>123</v>
      </c>
      <c r="E565" s="8" t="s">
        <v>51</v>
      </c>
      <c r="F565" s="8" t="s">
        <v>326</v>
      </c>
      <c r="G565" s="8" t="s">
        <v>136</v>
      </c>
      <c r="H565" s="8" t="s">
        <v>8675</v>
      </c>
      <c r="I565" s="8" t="s">
        <v>9128</v>
      </c>
      <c r="J565" s="8" t="s">
        <v>204</v>
      </c>
      <c r="K565" s="8" t="s">
        <v>8664</v>
      </c>
      <c r="L565" s="8"/>
      <c r="M565" s="8"/>
      <c r="N565" s="8" t="n">
        <v>25</v>
      </c>
      <c r="O565" s="8" t="n">
        <v>33</v>
      </c>
      <c r="P565" s="8" t="s">
        <v>120</v>
      </c>
    </row>
    <row r="566" customFormat="false" ht="15" hidden="false" customHeight="false" outlineLevel="0" collapsed="false">
      <c r="A566" s="8" t="s">
        <v>4536</v>
      </c>
      <c r="B566" s="8" t="s">
        <v>9338</v>
      </c>
      <c r="C566" s="8" t="s">
        <v>8665</v>
      </c>
      <c r="D566" s="8" t="s">
        <v>123</v>
      </c>
      <c r="E566" s="8" t="s">
        <v>51</v>
      </c>
      <c r="F566" s="8" t="s">
        <v>2027</v>
      </c>
      <c r="G566" s="8" t="s">
        <v>118</v>
      </c>
      <c r="H566" s="8" t="s">
        <v>8666</v>
      </c>
      <c r="I566" s="8" t="s">
        <v>9040</v>
      </c>
      <c r="J566" s="8"/>
      <c r="K566" s="8" t="s">
        <v>8690</v>
      </c>
      <c r="L566" s="8" t="s">
        <v>9084</v>
      </c>
      <c r="M566" s="8" t="s">
        <v>8795</v>
      </c>
      <c r="N566" s="8" t="n">
        <v>12</v>
      </c>
      <c r="O566" s="8" t="n">
        <v>26</v>
      </c>
      <c r="P566" s="8" t="s">
        <v>120</v>
      </c>
    </row>
    <row r="567" customFormat="false" ht="15" hidden="false" customHeight="false" outlineLevel="0" collapsed="false">
      <c r="A567" s="8" t="s">
        <v>3208</v>
      </c>
      <c r="B567" s="8" t="s">
        <v>3209</v>
      </c>
      <c r="C567" s="8" t="s">
        <v>8688</v>
      </c>
      <c r="D567" s="8" t="s">
        <v>132</v>
      </c>
      <c r="E567" s="8" t="s">
        <v>51</v>
      </c>
      <c r="F567" s="8" t="s">
        <v>2027</v>
      </c>
      <c r="G567" s="8" t="s">
        <v>143</v>
      </c>
      <c r="H567" s="8" t="s">
        <v>8670</v>
      </c>
      <c r="I567" s="8" t="s">
        <v>8892</v>
      </c>
      <c r="J567" s="8" t="s">
        <v>185</v>
      </c>
      <c r="K567" s="8" t="s">
        <v>8664</v>
      </c>
      <c r="L567" s="8"/>
      <c r="M567" s="8"/>
      <c r="N567" s="8" t="n">
        <v>12</v>
      </c>
      <c r="O567" s="8" t="n">
        <v>26</v>
      </c>
      <c r="P567" s="8" t="s">
        <v>120</v>
      </c>
    </row>
    <row r="568" customFormat="false" ht="15" hidden="false" customHeight="false" outlineLevel="0" collapsed="false">
      <c r="A568" s="8" t="s">
        <v>3026</v>
      </c>
      <c r="B568" s="8" t="s">
        <v>3027</v>
      </c>
      <c r="C568" s="8" t="s">
        <v>8669</v>
      </c>
      <c r="D568" s="8" t="s">
        <v>123</v>
      </c>
      <c r="E568" s="8" t="s">
        <v>51</v>
      </c>
      <c r="F568" s="8" t="s">
        <v>326</v>
      </c>
      <c r="G568" s="8" t="s">
        <v>143</v>
      </c>
      <c r="H568" s="8" t="s">
        <v>8675</v>
      </c>
      <c r="I568" s="8" t="s">
        <v>8986</v>
      </c>
      <c r="J568" s="8" t="s">
        <v>125</v>
      </c>
      <c r="K568" s="8" t="s">
        <v>8664</v>
      </c>
      <c r="L568" s="8"/>
      <c r="M568" s="8"/>
      <c r="N568" s="8" t="n">
        <v>25</v>
      </c>
      <c r="O568" s="8" t="n">
        <v>14</v>
      </c>
      <c r="P568" s="8" t="s">
        <v>120</v>
      </c>
    </row>
    <row r="569" customFormat="false" ht="15" hidden="false" customHeight="false" outlineLevel="0" collapsed="false">
      <c r="A569" s="8" t="s">
        <v>9339</v>
      </c>
      <c r="B569" s="8" t="s">
        <v>9340</v>
      </c>
      <c r="C569" s="8" t="s">
        <v>8680</v>
      </c>
      <c r="D569" s="8" t="s">
        <v>123</v>
      </c>
      <c r="E569" s="8" t="s">
        <v>51</v>
      </c>
      <c r="F569" s="8" t="s">
        <v>2027</v>
      </c>
      <c r="G569" s="8" t="s">
        <v>166</v>
      </c>
      <c r="H569" s="8" t="s">
        <v>8675</v>
      </c>
      <c r="I569" s="8" t="s">
        <v>9341</v>
      </c>
      <c r="J569" s="8"/>
      <c r="K569" s="8" t="s">
        <v>8690</v>
      </c>
      <c r="L569" s="8" t="s">
        <v>9342</v>
      </c>
      <c r="M569" s="8" t="s">
        <v>8696</v>
      </c>
      <c r="N569" s="8" t="n">
        <v>12</v>
      </c>
      <c r="O569" s="8" t="n">
        <v>25</v>
      </c>
      <c r="P569" s="8" t="s">
        <v>120</v>
      </c>
    </row>
    <row r="570" customFormat="false" ht="15" hidden="false" customHeight="false" outlineLevel="0" collapsed="false">
      <c r="A570" s="8" t="s">
        <v>4346</v>
      </c>
      <c r="B570" s="8" t="s">
        <v>4347</v>
      </c>
      <c r="C570" s="8" t="s">
        <v>8700</v>
      </c>
      <c r="D570" s="8" t="s">
        <v>123</v>
      </c>
      <c r="E570" s="8" t="s">
        <v>51</v>
      </c>
      <c r="F570" s="8" t="s">
        <v>2027</v>
      </c>
      <c r="G570" s="8" t="s">
        <v>118</v>
      </c>
      <c r="H570" s="8" t="s">
        <v>8662</v>
      </c>
      <c r="I570" s="8" t="s">
        <v>9083</v>
      </c>
      <c r="J570" s="8" t="s">
        <v>144</v>
      </c>
      <c r="K570" s="8" t="s">
        <v>8664</v>
      </c>
      <c r="L570" s="8"/>
      <c r="M570" s="8"/>
      <c r="N570" s="8" t="n">
        <v>12</v>
      </c>
      <c r="O570" s="8" t="n">
        <v>5</v>
      </c>
      <c r="P570" s="8" t="s">
        <v>120</v>
      </c>
    </row>
    <row r="571" customFormat="false" ht="15" hidden="false" customHeight="false" outlineLevel="0" collapsed="false">
      <c r="A571" s="8" t="s">
        <v>1043</v>
      </c>
      <c r="B571" s="8" t="s">
        <v>1044</v>
      </c>
      <c r="C571" s="8" t="s">
        <v>8661</v>
      </c>
      <c r="D571" s="8" t="s">
        <v>117</v>
      </c>
      <c r="E571" s="8" t="s">
        <v>53</v>
      </c>
      <c r="F571" s="8" t="s">
        <v>326</v>
      </c>
      <c r="G571" s="8" t="s">
        <v>136</v>
      </c>
      <c r="H571" s="8" t="s">
        <v>8666</v>
      </c>
      <c r="I571" s="8" t="s">
        <v>9021</v>
      </c>
      <c r="J571" s="8" t="s">
        <v>204</v>
      </c>
      <c r="K571" s="8" t="s">
        <v>8664</v>
      </c>
      <c r="L571" s="8"/>
      <c r="M571" s="8"/>
      <c r="N571" s="8" t="n">
        <v>25</v>
      </c>
      <c r="O571" s="8" t="n">
        <v>158</v>
      </c>
      <c r="P571" s="8" t="s">
        <v>120</v>
      </c>
    </row>
    <row r="572" customFormat="false" ht="15" hidden="false" customHeight="false" outlineLevel="0" collapsed="false">
      <c r="A572" s="8" t="s">
        <v>2374</v>
      </c>
      <c r="B572" s="8" t="s">
        <v>2375</v>
      </c>
      <c r="C572" s="8" t="s">
        <v>8661</v>
      </c>
      <c r="D572" s="8" t="s">
        <v>123</v>
      </c>
      <c r="E572" s="8" t="s">
        <v>51</v>
      </c>
      <c r="F572" s="8" t="s">
        <v>326</v>
      </c>
      <c r="G572" s="8" t="s">
        <v>143</v>
      </c>
      <c r="H572" s="8" t="s">
        <v>8670</v>
      </c>
      <c r="I572" s="8" t="s">
        <v>9343</v>
      </c>
      <c r="J572" s="8" t="s">
        <v>180</v>
      </c>
      <c r="K572" s="8" t="s">
        <v>8664</v>
      </c>
      <c r="L572" s="8"/>
      <c r="M572" s="8"/>
      <c r="N572" s="8" t="n">
        <v>25</v>
      </c>
      <c r="O572" s="8" t="n">
        <v>15</v>
      </c>
      <c r="P572" s="8" t="s">
        <v>120</v>
      </c>
    </row>
    <row r="573" customFormat="false" ht="15" hidden="false" customHeight="false" outlineLevel="0" collapsed="false">
      <c r="A573" s="8" t="s">
        <v>9344</v>
      </c>
      <c r="B573" s="8" t="s">
        <v>9345</v>
      </c>
      <c r="C573" s="8" t="s">
        <v>8674</v>
      </c>
      <c r="D573" s="8" t="s">
        <v>123</v>
      </c>
      <c r="E573" s="8" t="s">
        <v>53</v>
      </c>
      <c r="F573" s="8" t="s">
        <v>326</v>
      </c>
      <c r="G573" s="8" t="s">
        <v>133</v>
      </c>
      <c r="H573" s="8" t="s">
        <v>8675</v>
      </c>
      <c r="I573" s="8" t="s">
        <v>8701</v>
      </c>
      <c r="J573" s="8"/>
      <c r="K573" s="8" t="s">
        <v>8690</v>
      </c>
      <c r="L573" s="8" t="s">
        <v>9346</v>
      </c>
      <c r="M573" s="8" t="s">
        <v>8721</v>
      </c>
      <c r="N573" s="8" t="n">
        <v>25</v>
      </c>
      <c r="O573" s="8" t="n">
        <v>189</v>
      </c>
      <c r="P573" s="8" t="s">
        <v>120</v>
      </c>
    </row>
    <row r="574" customFormat="false" ht="15" hidden="false" customHeight="false" outlineLevel="0" collapsed="false">
      <c r="A574" s="8" t="s">
        <v>3986</v>
      </c>
      <c r="B574" s="8" t="s">
        <v>3987</v>
      </c>
      <c r="C574" s="8" t="s">
        <v>8678</v>
      </c>
      <c r="D574" s="8" t="s">
        <v>117</v>
      </c>
      <c r="E574" s="8" t="s">
        <v>51</v>
      </c>
      <c r="F574" s="8" t="s">
        <v>2027</v>
      </c>
      <c r="G574" s="8" t="s">
        <v>124</v>
      </c>
      <c r="H574" s="8" t="s">
        <v>8670</v>
      </c>
      <c r="I574" s="8" t="s">
        <v>9341</v>
      </c>
      <c r="J574" s="8" t="s">
        <v>159</v>
      </c>
      <c r="K574" s="8" t="s">
        <v>8664</v>
      </c>
      <c r="L574" s="8"/>
      <c r="M574" s="8"/>
      <c r="N574" s="8" t="n">
        <v>12</v>
      </c>
      <c r="O574" s="8" t="n">
        <v>10</v>
      </c>
      <c r="P574" s="8" t="s">
        <v>120</v>
      </c>
    </row>
    <row r="575" customFormat="false" ht="15" hidden="false" customHeight="false" outlineLevel="0" collapsed="false">
      <c r="A575" s="8" t="s">
        <v>2592</v>
      </c>
      <c r="B575" s="8" t="s">
        <v>2593</v>
      </c>
      <c r="C575" s="8" t="s">
        <v>8669</v>
      </c>
      <c r="D575" s="8" t="s">
        <v>123</v>
      </c>
      <c r="E575" s="8" t="s">
        <v>51</v>
      </c>
      <c r="F575" s="8" t="s">
        <v>2027</v>
      </c>
      <c r="G575" s="8" t="s">
        <v>133</v>
      </c>
      <c r="H575" s="8" t="s">
        <v>8670</v>
      </c>
      <c r="I575" s="8" t="s">
        <v>9267</v>
      </c>
      <c r="J575" s="8" t="s">
        <v>140</v>
      </c>
      <c r="K575" s="8" t="s">
        <v>8664</v>
      </c>
      <c r="L575" s="8"/>
      <c r="M575" s="8"/>
      <c r="N575" s="8" t="n">
        <v>12</v>
      </c>
      <c r="O575" s="8" t="n">
        <v>32</v>
      </c>
      <c r="P575" s="8" t="s">
        <v>120</v>
      </c>
    </row>
    <row r="576" customFormat="false" ht="15" hidden="false" customHeight="false" outlineLevel="0" collapsed="false">
      <c r="A576" s="8" t="s">
        <v>4090</v>
      </c>
      <c r="B576" s="8" t="s">
        <v>4091</v>
      </c>
      <c r="C576" s="8" t="s">
        <v>8669</v>
      </c>
      <c r="D576" s="8" t="s">
        <v>123</v>
      </c>
      <c r="E576" s="8" t="s">
        <v>51</v>
      </c>
      <c r="F576" s="8" t="s">
        <v>2027</v>
      </c>
      <c r="G576" s="8" t="s">
        <v>166</v>
      </c>
      <c r="H576" s="8" t="s">
        <v>8662</v>
      </c>
      <c r="I576" s="8" t="s">
        <v>8970</v>
      </c>
      <c r="J576" s="8" t="s">
        <v>119</v>
      </c>
      <c r="K576" s="8" t="s">
        <v>8664</v>
      </c>
      <c r="L576" s="8"/>
      <c r="M576" s="8"/>
      <c r="N576" s="8" t="n">
        <v>12</v>
      </c>
      <c r="O576" s="8" t="n">
        <v>10</v>
      </c>
      <c r="P576" s="8" t="s">
        <v>120</v>
      </c>
    </row>
    <row r="577" customFormat="false" ht="15" hidden="false" customHeight="false" outlineLevel="0" collapsed="false">
      <c r="A577" s="8" t="s">
        <v>3550</v>
      </c>
      <c r="B577" s="8" t="s">
        <v>3551</v>
      </c>
      <c r="C577" s="8" t="s">
        <v>8688</v>
      </c>
      <c r="D577" s="8" t="s">
        <v>123</v>
      </c>
      <c r="E577" s="8" t="s">
        <v>51</v>
      </c>
      <c r="F577" s="8" t="s">
        <v>2027</v>
      </c>
      <c r="G577" s="8" t="s">
        <v>136</v>
      </c>
      <c r="H577" s="8" t="s">
        <v>8675</v>
      </c>
      <c r="I577" s="8" t="s">
        <v>9226</v>
      </c>
      <c r="J577" s="8" t="s">
        <v>185</v>
      </c>
      <c r="K577" s="8" t="s">
        <v>8664</v>
      </c>
      <c r="L577" s="8"/>
      <c r="M577" s="8"/>
      <c r="N577" s="8" t="n">
        <v>12</v>
      </c>
      <c r="O577" s="8" t="n">
        <v>20</v>
      </c>
      <c r="P577" s="8" t="s">
        <v>120</v>
      </c>
    </row>
    <row r="578" customFormat="false" ht="15" hidden="false" customHeight="false" outlineLevel="0" collapsed="false">
      <c r="A578" s="8" t="s">
        <v>3988</v>
      </c>
      <c r="B578" s="8" t="s">
        <v>3989</v>
      </c>
      <c r="C578" s="8" t="s">
        <v>8678</v>
      </c>
      <c r="D578" s="8" t="s">
        <v>123</v>
      </c>
      <c r="E578" s="8" t="s">
        <v>51</v>
      </c>
      <c r="F578" s="8" t="s">
        <v>2027</v>
      </c>
      <c r="G578" s="8" t="s">
        <v>166</v>
      </c>
      <c r="H578" s="8" t="s">
        <v>8662</v>
      </c>
      <c r="I578" s="8" t="s">
        <v>9347</v>
      </c>
      <c r="J578" s="8" t="s">
        <v>180</v>
      </c>
      <c r="K578" s="8" t="s">
        <v>8664</v>
      </c>
      <c r="L578" s="8"/>
      <c r="M578" s="8"/>
      <c r="N578" s="8" t="n">
        <v>12</v>
      </c>
      <c r="O578" s="8" t="n">
        <v>12</v>
      </c>
      <c r="P578" s="8" t="s">
        <v>199</v>
      </c>
    </row>
    <row r="579" customFormat="false" ht="15" hidden="false" customHeight="false" outlineLevel="0" collapsed="false">
      <c r="A579" s="8" t="s">
        <v>4220</v>
      </c>
      <c r="B579" s="8" t="s">
        <v>4221</v>
      </c>
      <c r="C579" s="8" t="s">
        <v>8680</v>
      </c>
      <c r="D579" s="8" t="s">
        <v>123</v>
      </c>
      <c r="E579" s="8" t="s">
        <v>51</v>
      </c>
      <c r="F579" s="8" t="s">
        <v>2027</v>
      </c>
      <c r="G579" s="8" t="s">
        <v>223</v>
      </c>
      <c r="H579" s="8" t="s">
        <v>8670</v>
      </c>
      <c r="I579" s="8" t="s">
        <v>9348</v>
      </c>
      <c r="J579" s="8" t="s">
        <v>140</v>
      </c>
      <c r="K579" s="8" t="s">
        <v>8664</v>
      </c>
      <c r="L579" s="8"/>
      <c r="M579" s="8"/>
      <c r="N579" s="8" t="n">
        <v>12</v>
      </c>
      <c r="O579" s="8" t="n">
        <v>8</v>
      </c>
      <c r="P579" s="8" t="s">
        <v>120</v>
      </c>
    </row>
    <row r="580" customFormat="false" ht="15" hidden="false" customHeight="false" outlineLevel="0" collapsed="false">
      <c r="A580" s="8" t="s">
        <v>421</v>
      </c>
      <c r="B580" s="8" t="s">
        <v>422</v>
      </c>
      <c r="C580" s="8" t="s">
        <v>8678</v>
      </c>
      <c r="D580" s="8" t="s">
        <v>132</v>
      </c>
      <c r="E580" s="8" t="s">
        <v>55</v>
      </c>
      <c r="F580" s="8" t="s">
        <v>55</v>
      </c>
      <c r="G580" s="8" t="s">
        <v>118</v>
      </c>
      <c r="H580" s="8" t="s">
        <v>8666</v>
      </c>
      <c r="I580" s="8" t="s">
        <v>9349</v>
      </c>
      <c r="J580" s="8" t="s">
        <v>180</v>
      </c>
      <c r="K580" s="8" t="s">
        <v>8664</v>
      </c>
      <c r="L580" s="8"/>
      <c r="M580" s="8"/>
      <c r="N580" s="8" t="n">
        <v>45</v>
      </c>
      <c r="O580" s="8" t="n">
        <v>283</v>
      </c>
      <c r="P580" s="8" t="s">
        <v>120</v>
      </c>
    </row>
    <row r="581" customFormat="false" ht="15" hidden="false" customHeight="false" outlineLevel="0" collapsed="false">
      <c r="A581" s="8" t="s">
        <v>3920</v>
      </c>
      <c r="B581" s="8" t="s">
        <v>3921</v>
      </c>
      <c r="C581" s="8" t="s">
        <v>8665</v>
      </c>
      <c r="D581" s="8" t="s">
        <v>132</v>
      </c>
      <c r="E581" s="8" t="s">
        <v>51</v>
      </c>
      <c r="F581" s="8" t="s">
        <v>2027</v>
      </c>
      <c r="G581" s="8" t="s">
        <v>223</v>
      </c>
      <c r="H581" s="8" t="s">
        <v>8670</v>
      </c>
      <c r="I581" s="8" t="s">
        <v>9350</v>
      </c>
      <c r="J581" s="8" t="s">
        <v>144</v>
      </c>
      <c r="K581" s="8" t="s">
        <v>8664</v>
      </c>
      <c r="L581" s="8"/>
      <c r="M581" s="8"/>
      <c r="N581" s="8" t="n">
        <v>12</v>
      </c>
      <c r="O581" s="8" t="n">
        <v>13</v>
      </c>
      <c r="P581" s="8" t="s">
        <v>120</v>
      </c>
    </row>
    <row r="582" customFormat="false" ht="15" hidden="false" customHeight="false" outlineLevel="0" collapsed="false">
      <c r="A582" s="8" t="s">
        <v>2784</v>
      </c>
      <c r="B582" s="8" t="s">
        <v>2785</v>
      </c>
      <c r="C582" s="8" t="s">
        <v>8700</v>
      </c>
      <c r="D582" s="8" t="s">
        <v>117</v>
      </c>
      <c r="E582" s="8" t="s">
        <v>51</v>
      </c>
      <c r="F582" s="8" t="s">
        <v>326</v>
      </c>
      <c r="G582" s="8" t="s">
        <v>143</v>
      </c>
      <c r="H582" s="8" t="s">
        <v>8675</v>
      </c>
      <c r="I582" s="8" t="s">
        <v>9270</v>
      </c>
      <c r="J582" s="8" t="s">
        <v>140</v>
      </c>
      <c r="K582" s="8" t="s">
        <v>8664</v>
      </c>
      <c r="L582" s="8"/>
      <c r="M582" s="8"/>
      <c r="N582" s="8" t="n">
        <v>25</v>
      </c>
      <c r="O582" s="8" t="n">
        <v>16</v>
      </c>
      <c r="P582" s="8" t="s">
        <v>120</v>
      </c>
    </row>
    <row r="583" customFormat="false" ht="15" hidden="false" customHeight="false" outlineLevel="0" collapsed="false">
      <c r="A583" s="8" t="s">
        <v>3446</v>
      </c>
      <c r="B583" s="8" t="s">
        <v>3447</v>
      </c>
      <c r="C583" s="8" t="s">
        <v>8700</v>
      </c>
      <c r="D583" s="8" t="s">
        <v>132</v>
      </c>
      <c r="E583" s="8" t="s">
        <v>51</v>
      </c>
      <c r="F583" s="8" t="s">
        <v>326</v>
      </c>
      <c r="G583" s="8" t="s">
        <v>151</v>
      </c>
      <c r="H583" s="8" t="s">
        <v>8666</v>
      </c>
      <c r="I583" s="8" t="s">
        <v>9104</v>
      </c>
      <c r="J583" s="8" t="s">
        <v>180</v>
      </c>
      <c r="K583" s="8" t="s">
        <v>8664</v>
      </c>
      <c r="L583" s="8"/>
      <c r="M583" s="8"/>
      <c r="N583" s="8" t="n">
        <v>25</v>
      </c>
      <c r="O583" s="8" t="n">
        <v>11</v>
      </c>
      <c r="P583" s="8" t="s">
        <v>120</v>
      </c>
    </row>
    <row r="584" customFormat="false" ht="15" hidden="false" customHeight="false" outlineLevel="0" collapsed="false">
      <c r="A584" s="8" t="s">
        <v>4461</v>
      </c>
      <c r="B584" s="8" t="s">
        <v>9351</v>
      </c>
      <c r="C584" s="8" t="s">
        <v>8674</v>
      </c>
      <c r="D584" s="8" t="s">
        <v>132</v>
      </c>
      <c r="E584" s="8" t="s">
        <v>53</v>
      </c>
      <c r="F584" s="8" t="s">
        <v>55</v>
      </c>
      <c r="G584" s="8" t="s">
        <v>133</v>
      </c>
      <c r="H584" s="8" t="s">
        <v>8675</v>
      </c>
      <c r="I584" s="8" t="s">
        <v>9213</v>
      </c>
      <c r="J584" s="8"/>
      <c r="K584" s="8" t="s">
        <v>8690</v>
      </c>
      <c r="L584" s="8" t="s">
        <v>9352</v>
      </c>
      <c r="M584" s="8" t="s">
        <v>8705</v>
      </c>
      <c r="N584" s="8" t="n">
        <v>45</v>
      </c>
      <c r="O584" s="8" t="n">
        <v>59</v>
      </c>
      <c r="P584" s="8" t="s">
        <v>120</v>
      </c>
    </row>
    <row r="585" customFormat="false" ht="15" hidden="false" customHeight="false" outlineLevel="0" collapsed="false">
      <c r="A585" s="8" t="s">
        <v>2676</v>
      </c>
      <c r="B585" s="8" t="s">
        <v>2677</v>
      </c>
      <c r="C585" s="8" t="s">
        <v>8674</v>
      </c>
      <c r="D585" s="8" t="s">
        <v>123</v>
      </c>
      <c r="E585" s="8" t="s">
        <v>51</v>
      </c>
      <c r="F585" s="8" t="s">
        <v>2027</v>
      </c>
      <c r="G585" s="8" t="s">
        <v>136</v>
      </c>
      <c r="H585" s="8" t="s">
        <v>8662</v>
      </c>
      <c r="I585" s="8" t="s">
        <v>9353</v>
      </c>
      <c r="J585" s="8" t="s">
        <v>125</v>
      </c>
      <c r="K585" s="8" t="s">
        <v>8664</v>
      </c>
      <c r="L585" s="8"/>
      <c r="M585" s="8"/>
      <c r="N585" s="8" t="n">
        <v>12</v>
      </c>
      <c r="O585" s="8" t="n">
        <v>35</v>
      </c>
      <c r="P585" s="8" t="s">
        <v>120</v>
      </c>
    </row>
    <row r="586" customFormat="false" ht="15" hidden="false" customHeight="false" outlineLevel="0" collapsed="false">
      <c r="A586" s="8" t="s">
        <v>999</v>
      </c>
      <c r="B586" s="8" t="s">
        <v>1000</v>
      </c>
      <c r="C586" s="8" t="s">
        <v>8661</v>
      </c>
      <c r="D586" s="8" t="s">
        <v>123</v>
      </c>
      <c r="E586" s="8" t="s">
        <v>53</v>
      </c>
      <c r="F586" s="8" t="s">
        <v>326</v>
      </c>
      <c r="G586" s="8" t="s">
        <v>154</v>
      </c>
      <c r="H586" s="8" t="s">
        <v>8675</v>
      </c>
      <c r="I586" s="8" t="s">
        <v>9051</v>
      </c>
      <c r="J586" s="8" t="s">
        <v>204</v>
      </c>
      <c r="K586" s="8" t="s">
        <v>8664</v>
      </c>
      <c r="L586" s="8"/>
      <c r="M586" s="8"/>
      <c r="N586" s="8" t="n">
        <v>25</v>
      </c>
      <c r="O586" s="8" t="n">
        <v>165</v>
      </c>
      <c r="P586" s="8" t="s">
        <v>120</v>
      </c>
    </row>
    <row r="587" customFormat="false" ht="15" hidden="false" customHeight="false" outlineLevel="0" collapsed="false">
      <c r="A587" s="8" t="s">
        <v>2930</v>
      </c>
      <c r="B587" s="8" t="s">
        <v>2931</v>
      </c>
      <c r="C587" s="8" t="s">
        <v>8678</v>
      </c>
      <c r="D587" s="8" t="s">
        <v>117</v>
      </c>
      <c r="E587" s="8" t="s">
        <v>51</v>
      </c>
      <c r="F587" s="8" t="s">
        <v>2027</v>
      </c>
      <c r="G587" s="8" t="s">
        <v>223</v>
      </c>
      <c r="H587" s="8" t="s">
        <v>8666</v>
      </c>
      <c r="I587" s="8" t="s">
        <v>8970</v>
      </c>
      <c r="J587" s="8" t="s">
        <v>119</v>
      </c>
      <c r="K587" s="8" t="s">
        <v>8664</v>
      </c>
      <c r="L587" s="8"/>
      <c r="M587" s="8"/>
      <c r="N587" s="8" t="n">
        <v>12</v>
      </c>
      <c r="O587" s="8" t="n">
        <v>24</v>
      </c>
      <c r="P587" s="8" t="s">
        <v>120</v>
      </c>
    </row>
    <row r="588" customFormat="false" ht="15" hidden="false" customHeight="false" outlineLevel="0" collapsed="false">
      <c r="A588" s="8" t="s">
        <v>1921</v>
      </c>
      <c r="B588" s="8" t="s">
        <v>1922</v>
      </c>
      <c r="C588" s="8" t="s">
        <v>8661</v>
      </c>
      <c r="D588" s="8" t="s">
        <v>123</v>
      </c>
      <c r="E588" s="8" t="s">
        <v>51</v>
      </c>
      <c r="F588" s="8" t="s">
        <v>326</v>
      </c>
      <c r="G588" s="8" t="s">
        <v>133</v>
      </c>
      <c r="H588" s="8" t="s">
        <v>8666</v>
      </c>
      <c r="I588" s="8" t="s">
        <v>8943</v>
      </c>
      <c r="J588" s="8" t="s">
        <v>185</v>
      </c>
      <c r="K588" s="8" t="s">
        <v>8664</v>
      </c>
      <c r="L588" s="8"/>
      <c r="M588" s="8"/>
      <c r="N588" s="8" t="n">
        <v>25</v>
      </c>
      <c r="O588" s="8" t="n">
        <v>35</v>
      </c>
      <c r="P588" s="8" t="s">
        <v>120</v>
      </c>
    </row>
    <row r="589" customFormat="false" ht="15" hidden="false" customHeight="false" outlineLevel="0" collapsed="false">
      <c r="A589" s="8" t="s">
        <v>2738</v>
      </c>
      <c r="B589" s="8" t="s">
        <v>2739</v>
      </c>
      <c r="C589" s="8" t="s">
        <v>8661</v>
      </c>
      <c r="D589" s="8" t="s">
        <v>132</v>
      </c>
      <c r="E589" s="8" t="s">
        <v>51</v>
      </c>
      <c r="F589" s="8" t="s">
        <v>2027</v>
      </c>
      <c r="G589" s="8" t="s">
        <v>136</v>
      </c>
      <c r="H589" s="8" t="s">
        <v>8670</v>
      </c>
      <c r="I589" s="8" t="s">
        <v>9354</v>
      </c>
      <c r="J589" s="8" t="s">
        <v>177</v>
      </c>
      <c r="K589" s="8" t="s">
        <v>8664</v>
      </c>
      <c r="L589" s="8"/>
      <c r="M589" s="8"/>
      <c r="N589" s="8" t="n">
        <v>12</v>
      </c>
      <c r="O589" s="8" t="n">
        <v>25</v>
      </c>
      <c r="P589" s="8" t="s">
        <v>120</v>
      </c>
    </row>
    <row r="590" customFormat="false" ht="15" hidden="false" customHeight="false" outlineLevel="0" collapsed="false">
      <c r="A590" s="8" t="s">
        <v>2594</v>
      </c>
      <c r="B590" s="8" t="s">
        <v>2595</v>
      </c>
      <c r="C590" s="8" t="s">
        <v>8680</v>
      </c>
      <c r="D590" s="8" t="s">
        <v>123</v>
      </c>
      <c r="E590" s="8" t="s">
        <v>51</v>
      </c>
      <c r="F590" s="8" t="s">
        <v>2027</v>
      </c>
      <c r="G590" s="8" t="s">
        <v>124</v>
      </c>
      <c r="H590" s="8" t="s">
        <v>8670</v>
      </c>
      <c r="I590" s="8" t="s">
        <v>8776</v>
      </c>
      <c r="J590" s="8" t="s">
        <v>125</v>
      </c>
      <c r="K590" s="8" t="s">
        <v>8664</v>
      </c>
      <c r="L590" s="8"/>
      <c r="M590" s="8"/>
      <c r="N590" s="8" t="n">
        <v>12</v>
      </c>
      <c r="O590" s="8" t="n">
        <v>36</v>
      </c>
      <c r="P590" s="8" t="s">
        <v>120</v>
      </c>
    </row>
    <row r="591" customFormat="false" ht="15" hidden="false" customHeight="false" outlineLevel="0" collapsed="false">
      <c r="A591" s="8" t="s">
        <v>3552</v>
      </c>
      <c r="B591" s="8" t="s">
        <v>3553</v>
      </c>
      <c r="C591" s="8" t="s">
        <v>8665</v>
      </c>
      <c r="D591" s="8" t="s">
        <v>132</v>
      </c>
      <c r="E591" s="8" t="s">
        <v>51</v>
      </c>
      <c r="F591" s="8" t="s">
        <v>2027</v>
      </c>
      <c r="G591" s="8" t="s">
        <v>166</v>
      </c>
      <c r="H591" s="8" t="s">
        <v>8666</v>
      </c>
      <c r="I591" s="8" t="s">
        <v>9355</v>
      </c>
      <c r="J591" s="8" t="s">
        <v>204</v>
      </c>
      <c r="K591" s="8" t="s">
        <v>8664</v>
      </c>
      <c r="L591" s="8"/>
      <c r="M591" s="8"/>
      <c r="N591" s="8" t="n">
        <v>12</v>
      </c>
      <c r="O591" s="8" t="n">
        <v>22</v>
      </c>
      <c r="P591" s="8" t="s">
        <v>120</v>
      </c>
    </row>
    <row r="592" customFormat="false" ht="15" hidden="false" customHeight="false" outlineLevel="0" collapsed="false">
      <c r="A592" s="8" t="s">
        <v>1945</v>
      </c>
      <c r="B592" s="8" t="s">
        <v>1946</v>
      </c>
      <c r="C592" s="8" t="s">
        <v>8700</v>
      </c>
      <c r="D592" s="8" t="s">
        <v>117</v>
      </c>
      <c r="E592" s="8" t="s">
        <v>51</v>
      </c>
      <c r="F592" s="8" t="s">
        <v>326</v>
      </c>
      <c r="G592" s="8" t="s">
        <v>166</v>
      </c>
      <c r="H592" s="8" t="s">
        <v>8675</v>
      </c>
      <c r="I592" s="8" t="s">
        <v>9356</v>
      </c>
      <c r="J592" s="8" t="s">
        <v>147</v>
      </c>
      <c r="K592" s="8" t="s">
        <v>8664</v>
      </c>
      <c r="L592" s="8"/>
      <c r="M592" s="8"/>
      <c r="N592" s="8" t="n">
        <v>25</v>
      </c>
      <c r="O592" s="8" t="n">
        <v>34</v>
      </c>
      <c r="P592" s="8" t="s">
        <v>120</v>
      </c>
    </row>
    <row r="593" customFormat="false" ht="15" hidden="false" customHeight="false" outlineLevel="0" collapsed="false">
      <c r="A593" s="8" t="s">
        <v>2678</v>
      </c>
      <c r="B593" s="8" t="s">
        <v>2679</v>
      </c>
      <c r="C593" s="8" t="s">
        <v>8680</v>
      </c>
      <c r="D593" s="8" t="s">
        <v>123</v>
      </c>
      <c r="E593" s="8" t="s">
        <v>51</v>
      </c>
      <c r="F593" s="8" t="s">
        <v>2027</v>
      </c>
      <c r="G593" s="8" t="s">
        <v>151</v>
      </c>
      <c r="H593" s="8" t="s">
        <v>8662</v>
      </c>
      <c r="I593" s="8" t="s">
        <v>8900</v>
      </c>
      <c r="J593" s="8" t="s">
        <v>125</v>
      </c>
      <c r="K593" s="8" t="s">
        <v>8664</v>
      </c>
      <c r="L593" s="8"/>
      <c r="M593" s="8"/>
      <c r="N593" s="8" t="n">
        <v>12</v>
      </c>
      <c r="O593" s="8" t="n">
        <v>35</v>
      </c>
      <c r="P593" s="8" t="s">
        <v>120</v>
      </c>
    </row>
    <row r="594" customFormat="false" ht="15" hidden="false" customHeight="false" outlineLevel="0" collapsed="false">
      <c r="A594" s="8" t="s">
        <v>4523</v>
      </c>
      <c r="B594" s="8" t="s">
        <v>9357</v>
      </c>
      <c r="C594" s="8" t="s">
        <v>8669</v>
      </c>
      <c r="D594" s="8" t="s">
        <v>132</v>
      </c>
      <c r="E594" s="8" t="s">
        <v>51</v>
      </c>
      <c r="F594" s="8" t="s">
        <v>2027</v>
      </c>
      <c r="G594" s="8" t="s">
        <v>124</v>
      </c>
      <c r="H594" s="8" t="s">
        <v>8662</v>
      </c>
      <c r="I594" s="8" t="s">
        <v>9110</v>
      </c>
      <c r="J594" s="8"/>
      <c r="K594" s="8" t="s">
        <v>8690</v>
      </c>
      <c r="L594" s="8" t="s">
        <v>9171</v>
      </c>
      <c r="M594" s="8" t="s">
        <v>8727</v>
      </c>
      <c r="N594" s="8" t="n">
        <v>12</v>
      </c>
      <c r="O594" s="8" t="n">
        <v>31</v>
      </c>
      <c r="P594" s="8" t="s">
        <v>120</v>
      </c>
    </row>
    <row r="595" customFormat="false" ht="15" hidden="false" customHeight="false" outlineLevel="0" collapsed="false">
      <c r="A595" s="8" t="s">
        <v>2118</v>
      </c>
      <c r="B595" s="8" t="s">
        <v>2119</v>
      </c>
      <c r="C595" s="8" t="s">
        <v>8680</v>
      </c>
      <c r="D595" s="8" t="s">
        <v>123</v>
      </c>
      <c r="E595" s="8" t="s">
        <v>51</v>
      </c>
      <c r="F595" s="8" t="s">
        <v>326</v>
      </c>
      <c r="G595" s="8" t="s">
        <v>143</v>
      </c>
      <c r="H595" s="8" t="s">
        <v>8662</v>
      </c>
      <c r="I595" s="8" t="s">
        <v>9037</v>
      </c>
      <c r="J595" s="8" t="s">
        <v>147</v>
      </c>
      <c r="K595" s="8" t="s">
        <v>8664</v>
      </c>
      <c r="L595" s="8"/>
      <c r="M595" s="8"/>
      <c r="N595" s="8" t="n">
        <v>25</v>
      </c>
      <c r="O595" s="8" t="n">
        <v>35</v>
      </c>
      <c r="P595" s="8" t="s">
        <v>120</v>
      </c>
    </row>
    <row r="596" customFormat="false" ht="15" hidden="false" customHeight="false" outlineLevel="0" collapsed="false">
      <c r="A596" s="8" t="s">
        <v>1947</v>
      </c>
      <c r="B596" s="8" t="s">
        <v>1948</v>
      </c>
      <c r="C596" s="8" t="s">
        <v>8665</v>
      </c>
      <c r="D596" s="8" t="s">
        <v>123</v>
      </c>
      <c r="E596" s="8" t="s">
        <v>51</v>
      </c>
      <c r="F596" s="8" t="s">
        <v>326</v>
      </c>
      <c r="G596" s="8" t="s">
        <v>133</v>
      </c>
      <c r="H596" s="8" t="s">
        <v>8675</v>
      </c>
      <c r="I596" s="8" t="s">
        <v>8667</v>
      </c>
      <c r="J596" s="8" t="s">
        <v>204</v>
      </c>
      <c r="K596" s="8" t="s">
        <v>8664</v>
      </c>
      <c r="L596" s="8"/>
      <c r="M596" s="8"/>
      <c r="N596" s="8" t="n">
        <v>25</v>
      </c>
      <c r="O596" s="8" t="n">
        <v>34</v>
      </c>
      <c r="P596" s="8" t="s">
        <v>120</v>
      </c>
    </row>
    <row r="597" customFormat="false" ht="15" hidden="false" customHeight="false" outlineLevel="0" collapsed="false">
      <c r="A597" s="8" t="s">
        <v>1249</v>
      </c>
      <c r="B597" s="8" t="s">
        <v>1250</v>
      </c>
      <c r="C597" s="8" t="s">
        <v>8678</v>
      </c>
      <c r="D597" s="8" t="s">
        <v>132</v>
      </c>
      <c r="E597" s="8" t="s">
        <v>53</v>
      </c>
      <c r="F597" s="8" t="s">
        <v>326</v>
      </c>
      <c r="G597" s="8" t="s">
        <v>124</v>
      </c>
      <c r="H597" s="8" t="s">
        <v>8666</v>
      </c>
      <c r="I597" s="8" t="s">
        <v>9358</v>
      </c>
      <c r="J597" s="8" t="s">
        <v>129</v>
      </c>
      <c r="K597" s="8" t="s">
        <v>8664</v>
      </c>
      <c r="L597" s="8"/>
      <c r="M597" s="8"/>
      <c r="N597" s="8" t="n">
        <v>25</v>
      </c>
      <c r="O597" s="8" t="n">
        <v>103</v>
      </c>
      <c r="P597" s="8" t="s">
        <v>120</v>
      </c>
    </row>
    <row r="598" customFormat="false" ht="15" hidden="false" customHeight="false" outlineLevel="0" collapsed="false">
      <c r="A598" s="8" t="s">
        <v>2680</v>
      </c>
      <c r="B598" s="8" t="s">
        <v>2681</v>
      </c>
      <c r="C598" s="8" t="s">
        <v>8669</v>
      </c>
      <c r="D598" s="8" t="s">
        <v>132</v>
      </c>
      <c r="E598" s="8" t="s">
        <v>51</v>
      </c>
      <c r="F598" s="8" t="s">
        <v>2027</v>
      </c>
      <c r="G598" s="8" t="s">
        <v>133</v>
      </c>
      <c r="H598" s="8" t="s">
        <v>8670</v>
      </c>
      <c r="I598" s="8" t="s">
        <v>9359</v>
      </c>
      <c r="J598" s="8" t="s">
        <v>129</v>
      </c>
      <c r="K598" s="8" t="s">
        <v>8664</v>
      </c>
      <c r="L598" s="8"/>
      <c r="M598" s="8"/>
      <c r="N598" s="8" t="n">
        <v>12</v>
      </c>
      <c r="O598" s="8" t="n">
        <v>35</v>
      </c>
      <c r="P598" s="8" t="s">
        <v>120</v>
      </c>
    </row>
    <row r="599" customFormat="false" ht="15" hidden="false" customHeight="false" outlineLevel="0" collapsed="false">
      <c r="A599" s="8" t="s">
        <v>4222</v>
      </c>
      <c r="B599" s="8" t="s">
        <v>4223</v>
      </c>
      <c r="C599" s="8" t="s">
        <v>8661</v>
      </c>
      <c r="D599" s="8" t="s">
        <v>117</v>
      </c>
      <c r="E599" s="8" t="s">
        <v>51</v>
      </c>
      <c r="F599" s="8" t="s">
        <v>2027</v>
      </c>
      <c r="G599" s="8" t="s">
        <v>154</v>
      </c>
      <c r="H599" s="8" t="s">
        <v>8666</v>
      </c>
      <c r="I599" s="8" t="s">
        <v>9187</v>
      </c>
      <c r="J599" s="8" t="s">
        <v>137</v>
      </c>
      <c r="K599" s="8" t="s">
        <v>8664</v>
      </c>
      <c r="L599" s="8"/>
      <c r="M599" s="8"/>
      <c r="N599" s="8" t="n">
        <v>12</v>
      </c>
      <c r="O599" s="8" t="n">
        <v>8</v>
      </c>
      <c r="P599" s="8" t="s">
        <v>120</v>
      </c>
    </row>
    <row r="600" customFormat="false" ht="15" hidden="false" customHeight="false" outlineLevel="0" collapsed="false">
      <c r="A600" s="8" t="s">
        <v>3790</v>
      </c>
      <c r="B600" s="8" t="s">
        <v>3791</v>
      </c>
      <c r="C600" s="8" t="s">
        <v>8669</v>
      </c>
      <c r="D600" s="8" t="s">
        <v>132</v>
      </c>
      <c r="E600" s="8" t="s">
        <v>51</v>
      </c>
      <c r="F600" s="8" t="s">
        <v>2027</v>
      </c>
      <c r="G600" s="8" t="s">
        <v>133</v>
      </c>
      <c r="H600" s="8" t="s">
        <v>8666</v>
      </c>
      <c r="I600" s="8" t="s">
        <v>9226</v>
      </c>
      <c r="J600" s="8" t="s">
        <v>185</v>
      </c>
      <c r="K600" s="8" t="s">
        <v>8664</v>
      </c>
      <c r="L600" s="8"/>
      <c r="M600" s="8"/>
      <c r="N600" s="8" t="n">
        <v>12</v>
      </c>
      <c r="O600" s="8" t="n">
        <v>12</v>
      </c>
      <c r="P600" s="8" t="s">
        <v>120</v>
      </c>
    </row>
    <row r="601" customFormat="false" ht="15" hidden="false" customHeight="false" outlineLevel="0" collapsed="false">
      <c r="A601" s="8" t="s">
        <v>3792</v>
      </c>
      <c r="B601" s="8" t="s">
        <v>3793</v>
      </c>
      <c r="C601" s="8" t="s">
        <v>8680</v>
      </c>
      <c r="D601" s="8" t="s">
        <v>132</v>
      </c>
      <c r="E601" s="8" t="s">
        <v>51</v>
      </c>
      <c r="F601" s="8" t="s">
        <v>2027</v>
      </c>
      <c r="G601" s="8" t="s">
        <v>143</v>
      </c>
      <c r="H601" s="8" t="s">
        <v>8670</v>
      </c>
      <c r="I601" s="8" t="s">
        <v>9084</v>
      </c>
      <c r="J601" s="8" t="s">
        <v>125</v>
      </c>
      <c r="K601" s="8" t="s">
        <v>8664</v>
      </c>
      <c r="L601" s="8"/>
      <c r="M601" s="8"/>
      <c r="N601" s="8" t="n">
        <v>12</v>
      </c>
      <c r="O601" s="8" t="n">
        <v>15</v>
      </c>
      <c r="P601" s="8" t="s">
        <v>120</v>
      </c>
    </row>
    <row r="602" customFormat="false" ht="15" hidden="false" customHeight="false" outlineLevel="0" collapsed="false">
      <c r="A602" s="8" t="s">
        <v>3660</v>
      </c>
      <c r="B602" s="8" t="s">
        <v>3661</v>
      </c>
      <c r="C602" s="8" t="s">
        <v>8669</v>
      </c>
      <c r="D602" s="8" t="s">
        <v>128</v>
      </c>
      <c r="E602" s="8" t="s">
        <v>51</v>
      </c>
      <c r="F602" s="8" t="s">
        <v>2027</v>
      </c>
      <c r="G602" s="8" t="s">
        <v>136</v>
      </c>
      <c r="H602" s="8" t="s">
        <v>8662</v>
      </c>
      <c r="I602" s="8" t="s">
        <v>9360</v>
      </c>
      <c r="J602" s="8" t="s">
        <v>204</v>
      </c>
      <c r="K602" s="8" t="s">
        <v>8664</v>
      </c>
      <c r="L602" s="8"/>
      <c r="M602" s="8"/>
      <c r="N602" s="8" t="n">
        <v>12</v>
      </c>
      <c r="O602" s="8" t="n">
        <v>14</v>
      </c>
      <c r="P602" s="8" t="s">
        <v>120</v>
      </c>
    </row>
    <row r="603" customFormat="false" ht="15" hidden="false" customHeight="false" outlineLevel="0" collapsed="false">
      <c r="A603" s="8" t="s">
        <v>3554</v>
      </c>
      <c r="B603" s="8" t="s">
        <v>3555</v>
      </c>
      <c r="C603" s="8" t="s">
        <v>8678</v>
      </c>
      <c r="D603" s="8" t="s">
        <v>123</v>
      </c>
      <c r="E603" s="8" t="s">
        <v>51</v>
      </c>
      <c r="F603" s="8" t="s">
        <v>2027</v>
      </c>
      <c r="G603" s="8" t="s">
        <v>118</v>
      </c>
      <c r="H603" s="8" t="s">
        <v>8670</v>
      </c>
      <c r="I603" s="8" t="s">
        <v>8896</v>
      </c>
      <c r="J603" s="8" t="s">
        <v>140</v>
      </c>
      <c r="K603" s="8" t="s">
        <v>8664</v>
      </c>
      <c r="L603" s="8"/>
      <c r="M603" s="8"/>
      <c r="N603" s="8" t="n">
        <v>12</v>
      </c>
      <c r="O603" s="8" t="n">
        <v>20</v>
      </c>
      <c r="P603" s="8" t="s">
        <v>120</v>
      </c>
    </row>
    <row r="604" customFormat="false" ht="15" hidden="false" customHeight="false" outlineLevel="0" collapsed="false">
      <c r="A604" s="8" t="s">
        <v>4577</v>
      </c>
      <c r="B604" s="8" t="s">
        <v>9361</v>
      </c>
      <c r="C604" s="8" t="s">
        <v>8680</v>
      </c>
      <c r="D604" s="8" t="s">
        <v>123</v>
      </c>
      <c r="E604" s="8" t="s">
        <v>51</v>
      </c>
      <c r="F604" s="8" t="s">
        <v>2027</v>
      </c>
      <c r="G604" s="8" t="s">
        <v>124</v>
      </c>
      <c r="H604" s="8" t="s">
        <v>8670</v>
      </c>
      <c r="I604" s="8" t="s">
        <v>9362</v>
      </c>
      <c r="J604" s="8"/>
      <c r="K604" s="8" t="s">
        <v>8690</v>
      </c>
      <c r="L604" s="8" t="s">
        <v>9363</v>
      </c>
      <c r="M604" s="8" t="s">
        <v>8795</v>
      </c>
      <c r="N604" s="8" t="n">
        <v>12</v>
      </c>
      <c r="O604" s="8" t="n">
        <v>13</v>
      </c>
      <c r="P604" s="8" t="s">
        <v>120</v>
      </c>
    </row>
    <row r="605" customFormat="false" ht="15" hidden="false" customHeight="false" outlineLevel="0" collapsed="false">
      <c r="A605" s="8" t="s">
        <v>2094</v>
      </c>
      <c r="B605" s="8" t="s">
        <v>2095</v>
      </c>
      <c r="C605" s="8" t="s">
        <v>8678</v>
      </c>
      <c r="D605" s="8" t="s">
        <v>128</v>
      </c>
      <c r="E605" s="8" t="s">
        <v>51</v>
      </c>
      <c r="F605" s="8" t="s">
        <v>326</v>
      </c>
      <c r="G605" s="8" t="s">
        <v>118</v>
      </c>
      <c r="H605" s="8" t="s">
        <v>8670</v>
      </c>
      <c r="I605" s="8" t="s">
        <v>9364</v>
      </c>
      <c r="J605" s="8" t="s">
        <v>144</v>
      </c>
      <c r="K605" s="8" t="s">
        <v>8664</v>
      </c>
      <c r="L605" s="8"/>
      <c r="M605" s="8"/>
      <c r="N605" s="8" t="n">
        <v>25</v>
      </c>
      <c r="O605" s="8" t="n">
        <v>28</v>
      </c>
      <c r="P605" s="8" t="s">
        <v>120</v>
      </c>
    </row>
    <row r="606" customFormat="false" ht="15" hidden="false" customHeight="false" outlineLevel="0" collapsed="false">
      <c r="A606" s="8" t="s">
        <v>1875</v>
      </c>
      <c r="B606" s="8" t="s">
        <v>1876</v>
      </c>
      <c r="C606" s="8" t="s">
        <v>8700</v>
      </c>
      <c r="D606" s="8" t="s">
        <v>132</v>
      </c>
      <c r="E606" s="8" t="s">
        <v>51</v>
      </c>
      <c r="F606" s="8" t="s">
        <v>326</v>
      </c>
      <c r="G606" s="8" t="s">
        <v>133</v>
      </c>
      <c r="H606" s="8" t="s">
        <v>8666</v>
      </c>
      <c r="I606" s="8" t="s">
        <v>9259</v>
      </c>
      <c r="J606" s="8" t="s">
        <v>177</v>
      </c>
      <c r="K606" s="8" t="s">
        <v>8664</v>
      </c>
      <c r="L606" s="8"/>
      <c r="M606" s="8"/>
      <c r="N606" s="8" t="n">
        <v>25</v>
      </c>
      <c r="O606" s="8" t="n">
        <v>37</v>
      </c>
      <c r="P606" s="8" t="s">
        <v>120</v>
      </c>
    </row>
    <row r="607" customFormat="false" ht="15" hidden="false" customHeight="false" outlineLevel="0" collapsed="false">
      <c r="A607" s="8" t="s">
        <v>1677</v>
      </c>
      <c r="B607" s="8" t="s">
        <v>1678</v>
      </c>
      <c r="C607" s="8" t="s">
        <v>8665</v>
      </c>
      <c r="D607" s="8" t="s">
        <v>132</v>
      </c>
      <c r="E607" s="8" t="s">
        <v>53</v>
      </c>
      <c r="F607" s="8" t="s">
        <v>326</v>
      </c>
      <c r="G607" s="8" t="s">
        <v>133</v>
      </c>
      <c r="H607" s="8" t="s">
        <v>8675</v>
      </c>
      <c r="I607" s="8" t="s">
        <v>9365</v>
      </c>
      <c r="J607" s="8" t="s">
        <v>140</v>
      </c>
      <c r="K607" s="8" t="s">
        <v>8664</v>
      </c>
      <c r="L607" s="8"/>
      <c r="M607" s="8"/>
      <c r="N607" s="8" t="n">
        <v>25</v>
      </c>
      <c r="O607" s="8" t="n">
        <v>46</v>
      </c>
      <c r="P607" s="8" t="s">
        <v>120</v>
      </c>
    </row>
    <row r="608" customFormat="false" ht="15" hidden="false" customHeight="false" outlineLevel="0" collapsed="false">
      <c r="A608" s="8" t="s">
        <v>1783</v>
      </c>
      <c r="B608" s="8" t="s">
        <v>1784</v>
      </c>
      <c r="C608" s="8" t="s">
        <v>8674</v>
      </c>
      <c r="D608" s="8" t="s">
        <v>123</v>
      </c>
      <c r="E608" s="8" t="s">
        <v>53</v>
      </c>
      <c r="F608" s="8" t="s">
        <v>326</v>
      </c>
      <c r="G608" s="8" t="s">
        <v>118</v>
      </c>
      <c r="H608" s="8" t="s">
        <v>8670</v>
      </c>
      <c r="I608" s="8" t="s">
        <v>9366</v>
      </c>
      <c r="J608" s="8" t="s">
        <v>129</v>
      </c>
      <c r="K608" s="8" t="s">
        <v>8664</v>
      </c>
      <c r="L608" s="8"/>
      <c r="M608" s="8"/>
      <c r="N608" s="8" t="n">
        <v>25</v>
      </c>
      <c r="O608" s="8" t="n">
        <v>45</v>
      </c>
      <c r="P608" s="8" t="s">
        <v>120</v>
      </c>
    </row>
    <row r="609" customFormat="false" ht="15" hidden="false" customHeight="false" outlineLevel="0" collapsed="false">
      <c r="A609" s="8" t="s">
        <v>2120</v>
      </c>
      <c r="B609" s="8" t="s">
        <v>2121</v>
      </c>
      <c r="C609" s="8" t="s">
        <v>8661</v>
      </c>
      <c r="D609" s="8" t="s">
        <v>132</v>
      </c>
      <c r="E609" s="8" t="s">
        <v>51</v>
      </c>
      <c r="F609" s="8" t="s">
        <v>326</v>
      </c>
      <c r="G609" s="8" t="s">
        <v>166</v>
      </c>
      <c r="H609" s="8" t="s">
        <v>8666</v>
      </c>
      <c r="I609" s="8" t="s">
        <v>9367</v>
      </c>
      <c r="J609" s="8" t="s">
        <v>140</v>
      </c>
      <c r="K609" s="8" t="s">
        <v>8664</v>
      </c>
      <c r="L609" s="8"/>
      <c r="M609" s="8"/>
      <c r="N609" s="8" t="n">
        <v>25</v>
      </c>
      <c r="O609" s="8" t="n">
        <v>27</v>
      </c>
      <c r="P609" s="8" t="s">
        <v>120</v>
      </c>
    </row>
    <row r="610" customFormat="false" ht="15" hidden="false" customHeight="false" outlineLevel="0" collapsed="false">
      <c r="A610" s="8" t="s">
        <v>9368</v>
      </c>
      <c r="B610" s="8" t="s">
        <v>9369</v>
      </c>
      <c r="C610" s="8" t="s">
        <v>8669</v>
      </c>
      <c r="D610" s="8" t="s">
        <v>117</v>
      </c>
      <c r="E610" s="8" t="s">
        <v>51</v>
      </c>
      <c r="F610" s="8" t="s">
        <v>326</v>
      </c>
      <c r="G610" s="8" t="s">
        <v>166</v>
      </c>
      <c r="H610" s="8" t="s">
        <v>8675</v>
      </c>
      <c r="I610" s="8" t="s">
        <v>9370</v>
      </c>
      <c r="J610" s="8"/>
      <c r="K610" s="8" t="s">
        <v>8690</v>
      </c>
      <c r="L610" s="8" t="s">
        <v>8982</v>
      </c>
      <c r="M610" s="8" t="s">
        <v>8692</v>
      </c>
      <c r="N610" s="8" t="n">
        <v>25</v>
      </c>
      <c r="O610" s="8" t="n">
        <v>36</v>
      </c>
      <c r="P610" s="8" t="s">
        <v>120</v>
      </c>
    </row>
    <row r="611" customFormat="false" ht="15" hidden="false" customHeight="false" outlineLevel="0" collapsed="false">
      <c r="A611" s="8" t="s">
        <v>2984</v>
      </c>
      <c r="B611" s="8" t="s">
        <v>2985</v>
      </c>
      <c r="C611" s="8" t="s">
        <v>8669</v>
      </c>
      <c r="D611" s="8" t="s">
        <v>117</v>
      </c>
      <c r="E611" s="8" t="s">
        <v>51</v>
      </c>
      <c r="F611" s="8" t="s">
        <v>2027</v>
      </c>
      <c r="G611" s="8" t="s">
        <v>223</v>
      </c>
      <c r="H611" s="8" t="s">
        <v>8670</v>
      </c>
      <c r="I611" s="8" t="s">
        <v>9241</v>
      </c>
      <c r="J611" s="8" t="s">
        <v>144</v>
      </c>
      <c r="K611" s="8" t="s">
        <v>8664</v>
      </c>
      <c r="L611" s="8"/>
      <c r="M611" s="8"/>
      <c r="N611" s="8" t="n">
        <v>12</v>
      </c>
      <c r="O611" s="8" t="n">
        <v>27</v>
      </c>
      <c r="P611" s="8" t="s">
        <v>120</v>
      </c>
    </row>
    <row r="612" customFormat="false" ht="15" hidden="false" customHeight="false" outlineLevel="0" collapsed="false">
      <c r="A612" s="8" t="s">
        <v>2007</v>
      </c>
      <c r="B612" s="8" t="s">
        <v>2008</v>
      </c>
      <c r="C612" s="8" t="s">
        <v>8665</v>
      </c>
      <c r="D612" s="8" t="s">
        <v>132</v>
      </c>
      <c r="E612" s="8" t="s">
        <v>51</v>
      </c>
      <c r="F612" s="8" t="s">
        <v>326</v>
      </c>
      <c r="G612" s="8" t="s">
        <v>223</v>
      </c>
      <c r="H612" s="8" t="s">
        <v>8666</v>
      </c>
      <c r="I612" s="8" t="s">
        <v>9371</v>
      </c>
      <c r="J612" s="8" t="s">
        <v>144</v>
      </c>
      <c r="K612" s="8" t="s">
        <v>8664</v>
      </c>
      <c r="L612" s="8"/>
      <c r="M612" s="8"/>
      <c r="N612" s="8" t="n">
        <v>25</v>
      </c>
      <c r="O612" s="8" t="n">
        <v>31</v>
      </c>
      <c r="P612" s="8" t="s">
        <v>120</v>
      </c>
    </row>
    <row r="613" customFormat="false" ht="15" hidden="false" customHeight="false" outlineLevel="0" collapsed="false">
      <c r="A613" s="8" t="s">
        <v>2214</v>
      </c>
      <c r="B613" s="8" t="s">
        <v>2215</v>
      </c>
      <c r="C613" s="8" t="s">
        <v>8678</v>
      </c>
      <c r="D613" s="8" t="s">
        <v>123</v>
      </c>
      <c r="E613" s="8" t="s">
        <v>51</v>
      </c>
      <c r="F613" s="8" t="s">
        <v>326</v>
      </c>
      <c r="G613" s="8" t="s">
        <v>133</v>
      </c>
      <c r="H613" s="8" t="s">
        <v>8662</v>
      </c>
      <c r="I613" s="8" t="s">
        <v>8796</v>
      </c>
      <c r="J613" s="8" t="s">
        <v>177</v>
      </c>
      <c r="K613" s="8" t="s">
        <v>8664</v>
      </c>
      <c r="L613" s="8"/>
      <c r="M613" s="8"/>
      <c r="N613" s="8" t="n">
        <v>25</v>
      </c>
      <c r="O613" s="8" t="n">
        <v>24</v>
      </c>
      <c r="P613" s="8" t="s">
        <v>120</v>
      </c>
    </row>
    <row r="614" customFormat="false" ht="15" hidden="false" customHeight="false" outlineLevel="0" collapsed="false">
      <c r="A614" s="8" t="s">
        <v>3336</v>
      </c>
      <c r="B614" s="8" t="s">
        <v>3337</v>
      </c>
      <c r="C614" s="8" t="s">
        <v>8688</v>
      </c>
      <c r="D614" s="8" t="s">
        <v>123</v>
      </c>
      <c r="E614" s="8" t="s">
        <v>51</v>
      </c>
      <c r="F614" s="8" t="s">
        <v>2027</v>
      </c>
      <c r="G614" s="8" t="s">
        <v>143</v>
      </c>
      <c r="H614" s="8" t="s">
        <v>8662</v>
      </c>
      <c r="I614" s="8" t="s">
        <v>8974</v>
      </c>
      <c r="J614" s="8" t="s">
        <v>180</v>
      </c>
      <c r="K614" s="8" t="s">
        <v>8664</v>
      </c>
      <c r="L614" s="8"/>
      <c r="M614" s="8"/>
      <c r="N614" s="8" t="n">
        <v>12</v>
      </c>
      <c r="O614" s="8" t="n">
        <v>24</v>
      </c>
      <c r="P614" s="8" t="s">
        <v>120</v>
      </c>
    </row>
    <row r="615" customFormat="false" ht="15" hidden="false" customHeight="false" outlineLevel="0" collapsed="false">
      <c r="A615" s="8" t="s">
        <v>9372</v>
      </c>
      <c r="B615" s="8" t="s">
        <v>9373</v>
      </c>
      <c r="C615" s="8" t="s">
        <v>8665</v>
      </c>
      <c r="D615" s="8" t="s">
        <v>132</v>
      </c>
      <c r="E615" s="8" t="s">
        <v>53</v>
      </c>
      <c r="F615" s="8" t="s">
        <v>326</v>
      </c>
      <c r="G615" s="8" t="s">
        <v>223</v>
      </c>
      <c r="H615" s="8" t="s">
        <v>8670</v>
      </c>
      <c r="I615" s="8" t="s">
        <v>9374</v>
      </c>
      <c r="J615" s="8"/>
      <c r="K615" s="8" t="s">
        <v>8690</v>
      </c>
      <c r="L615" s="8" t="s">
        <v>9375</v>
      </c>
      <c r="M615" s="8" t="s">
        <v>8692</v>
      </c>
      <c r="N615" s="8" t="n">
        <v>25</v>
      </c>
      <c r="O615" s="8" t="n">
        <v>60</v>
      </c>
      <c r="P615" s="8" t="s">
        <v>148</v>
      </c>
    </row>
    <row r="616" customFormat="false" ht="15" hidden="false" customHeight="false" outlineLevel="0" collapsed="false">
      <c r="A616" s="8" t="s">
        <v>4028</v>
      </c>
      <c r="B616" s="8" t="s">
        <v>4029</v>
      </c>
      <c r="C616" s="8" t="s">
        <v>8700</v>
      </c>
      <c r="D616" s="8" t="s">
        <v>123</v>
      </c>
      <c r="E616" s="8" t="s">
        <v>51</v>
      </c>
      <c r="F616" s="8" t="s">
        <v>2027</v>
      </c>
      <c r="G616" s="8" t="s">
        <v>143</v>
      </c>
      <c r="H616" s="8" t="s">
        <v>8670</v>
      </c>
      <c r="I616" s="8" t="s">
        <v>9376</v>
      </c>
      <c r="J616" s="8" t="s">
        <v>177</v>
      </c>
      <c r="K616" s="8" t="s">
        <v>8664</v>
      </c>
      <c r="L616" s="8"/>
      <c r="M616" s="8"/>
      <c r="N616" s="8" t="n">
        <v>12</v>
      </c>
      <c r="O616" s="8" t="n">
        <v>8</v>
      </c>
      <c r="P616" s="8" t="s">
        <v>120</v>
      </c>
    </row>
    <row r="617" customFormat="false" ht="15" hidden="false" customHeight="false" outlineLevel="0" collapsed="false">
      <c r="A617" s="8" t="s">
        <v>2682</v>
      </c>
      <c r="B617" s="8" t="s">
        <v>2683</v>
      </c>
      <c r="C617" s="8" t="s">
        <v>8700</v>
      </c>
      <c r="D617" s="8" t="s">
        <v>132</v>
      </c>
      <c r="E617" s="8" t="s">
        <v>51</v>
      </c>
      <c r="F617" s="8" t="s">
        <v>2027</v>
      </c>
      <c r="G617" s="8" t="s">
        <v>154</v>
      </c>
      <c r="H617" s="8" t="s">
        <v>8670</v>
      </c>
      <c r="I617" s="8" t="s">
        <v>8744</v>
      </c>
      <c r="J617" s="8" t="s">
        <v>119</v>
      </c>
      <c r="K617" s="8" t="s">
        <v>8664</v>
      </c>
      <c r="L617" s="8"/>
      <c r="M617" s="8"/>
      <c r="N617" s="8" t="n">
        <v>12</v>
      </c>
      <c r="O617" s="8" t="n">
        <v>35</v>
      </c>
      <c r="P617" s="8" t="s">
        <v>120</v>
      </c>
    </row>
    <row r="618" customFormat="false" ht="15" hidden="false" customHeight="false" outlineLevel="0" collapsed="false">
      <c r="A618" s="8" t="s">
        <v>1697</v>
      </c>
      <c r="B618" s="8" t="s">
        <v>1698</v>
      </c>
      <c r="C618" s="8" t="s">
        <v>8674</v>
      </c>
      <c r="D618" s="8" t="s">
        <v>117</v>
      </c>
      <c r="E618" s="8" t="s">
        <v>53</v>
      </c>
      <c r="F618" s="8" t="s">
        <v>326</v>
      </c>
      <c r="G618" s="8" t="s">
        <v>118</v>
      </c>
      <c r="H618" s="8" t="s">
        <v>8662</v>
      </c>
      <c r="I618" s="8" t="s">
        <v>9377</v>
      </c>
      <c r="J618" s="8" t="s">
        <v>159</v>
      </c>
      <c r="K618" s="8" t="s">
        <v>8664</v>
      </c>
      <c r="L618" s="8"/>
      <c r="M618" s="8"/>
      <c r="N618" s="8" t="n">
        <v>25</v>
      </c>
      <c r="O618" s="8" t="n">
        <v>54</v>
      </c>
      <c r="P618" s="8" t="s">
        <v>120</v>
      </c>
    </row>
    <row r="619" customFormat="false" ht="15" hidden="false" customHeight="false" outlineLevel="0" collapsed="false">
      <c r="A619" s="8" t="s">
        <v>1073</v>
      </c>
      <c r="B619" s="8" t="s">
        <v>1074</v>
      </c>
      <c r="C619" s="8" t="s">
        <v>8669</v>
      </c>
      <c r="D619" s="8" t="s">
        <v>117</v>
      </c>
      <c r="E619" s="8" t="s">
        <v>53</v>
      </c>
      <c r="F619" s="8" t="s">
        <v>326</v>
      </c>
      <c r="G619" s="8" t="s">
        <v>143</v>
      </c>
      <c r="H619" s="8" t="s">
        <v>8662</v>
      </c>
      <c r="I619" s="8" t="s">
        <v>9378</v>
      </c>
      <c r="J619" s="8" t="s">
        <v>185</v>
      </c>
      <c r="K619" s="8" t="s">
        <v>8664</v>
      </c>
      <c r="L619" s="8"/>
      <c r="M619" s="8"/>
      <c r="N619" s="8" t="n">
        <v>25</v>
      </c>
      <c r="O619" s="8" t="n">
        <v>152</v>
      </c>
      <c r="P619" s="8" t="s">
        <v>120</v>
      </c>
    </row>
    <row r="620" customFormat="false" ht="15" hidden="false" customHeight="false" outlineLevel="0" collapsed="false">
      <c r="A620" s="8" t="s">
        <v>1285</v>
      </c>
      <c r="B620" s="8" t="s">
        <v>1286</v>
      </c>
      <c r="C620" s="8" t="s">
        <v>8669</v>
      </c>
      <c r="D620" s="8" t="s">
        <v>132</v>
      </c>
      <c r="E620" s="8" t="s">
        <v>53</v>
      </c>
      <c r="F620" s="8" t="s">
        <v>326</v>
      </c>
      <c r="G620" s="8" t="s">
        <v>154</v>
      </c>
      <c r="H620" s="8" t="s">
        <v>8670</v>
      </c>
      <c r="I620" s="8" t="s">
        <v>8830</v>
      </c>
      <c r="J620" s="8" t="s">
        <v>180</v>
      </c>
      <c r="K620" s="8" t="s">
        <v>8664</v>
      </c>
      <c r="L620" s="8"/>
      <c r="M620" s="8"/>
      <c r="N620" s="8" t="n">
        <v>25</v>
      </c>
      <c r="O620" s="8" t="n">
        <v>125</v>
      </c>
      <c r="P620" s="8" t="s">
        <v>148</v>
      </c>
    </row>
    <row r="621" customFormat="false" ht="15" hidden="false" customHeight="false" outlineLevel="0" collapsed="false">
      <c r="A621" s="8" t="s">
        <v>2638</v>
      </c>
      <c r="B621" s="8" t="s">
        <v>2639</v>
      </c>
      <c r="C621" s="8" t="s">
        <v>8669</v>
      </c>
      <c r="D621" s="8" t="s">
        <v>117</v>
      </c>
      <c r="E621" s="8" t="s">
        <v>51</v>
      </c>
      <c r="F621" s="8" t="s">
        <v>326</v>
      </c>
      <c r="G621" s="8" t="s">
        <v>118</v>
      </c>
      <c r="H621" s="8" t="s">
        <v>8666</v>
      </c>
      <c r="I621" s="8" t="s">
        <v>8866</v>
      </c>
      <c r="J621" s="8" t="s">
        <v>140</v>
      </c>
      <c r="K621" s="8" t="s">
        <v>8664</v>
      </c>
      <c r="L621" s="8"/>
      <c r="M621" s="8"/>
      <c r="N621" s="8" t="n">
        <v>25</v>
      </c>
      <c r="O621" s="8" t="n">
        <v>19</v>
      </c>
      <c r="P621" s="8" t="s">
        <v>120</v>
      </c>
    </row>
    <row r="622" customFormat="false" ht="15" hidden="false" customHeight="false" outlineLevel="0" collapsed="false">
      <c r="A622" s="8" t="s">
        <v>1949</v>
      </c>
      <c r="B622" s="8" t="s">
        <v>1950</v>
      </c>
      <c r="C622" s="8" t="s">
        <v>8688</v>
      </c>
      <c r="D622" s="8" t="s">
        <v>123</v>
      </c>
      <c r="E622" s="8" t="s">
        <v>51</v>
      </c>
      <c r="F622" s="8" t="s">
        <v>326</v>
      </c>
      <c r="G622" s="8" t="s">
        <v>151</v>
      </c>
      <c r="H622" s="8" t="s">
        <v>8670</v>
      </c>
      <c r="I622" s="8" t="s">
        <v>9180</v>
      </c>
      <c r="J622" s="8" t="s">
        <v>180</v>
      </c>
      <c r="K622" s="8" t="s">
        <v>8664</v>
      </c>
      <c r="L622" s="8"/>
      <c r="M622" s="8"/>
      <c r="N622" s="8" t="n">
        <v>25</v>
      </c>
      <c r="O622" s="8" t="n">
        <v>22</v>
      </c>
      <c r="P622" s="8" t="s">
        <v>120</v>
      </c>
    </row>
    <row r="623" customFormat="false" ht="15" hidden="false" customHeight="false" outlineLevel="0" collapsed="false">
      <c r="A623" s="8" t="s">
        <v>767</v>
      </c>
      <c r="B623" s="8" t="s">
        <v>768</v>
      </c>
      <c r="C623" s="8" t="s">
        <v>8674</v>
      </c>
      <c r="D623" s="8" t="s">
        <v>123</v>
      </c>
      <c r="E623" s="8" t="s">
        <v>53</v>
      </c>
      <c r="F623" s="8" t="s">
        <v>326</v>
      </c>
      <c r="G623" s="8" t="s">
        <v>154</v>
      </c>
      <c r="H623" s="8" t="s">
        <v>8675</v>
      </c>
      <c r="I623" s="8" t="s">
        <v>9379</v>
      </c>
      <c r="J623" s="8" t="s">
        <v>147</v>
      </c>
      <c r="K623" s="8" t="s">
        <v>8664</v>
      </c>
      <c r="L623" s="8"/>
      <c r="M623" s="8"/>
      <c r="N623" s="8" t="n">
        <v>25</v>
      </c>
      <c r="O623" s="8" t="n">
        <v>198</v>
      </c>
      <c r="P623" s="8" t="s">
        <v>148</v>
      </c>
    </row>
    <row r="624" customFormat="false" ht="15" hidden="false" customHeight="false" outlineLevel="0" collapsed="false">
      <c r="A624" s="8" t="s">
        <v>419</v>
      </c>
      <c r="B624" s="8" t="s">
        <v>420</v>
      </c>
      <c r="C624" s="8" t="s">
        <v>8669</v>
      </c>
      <c r="D624" s="8" t="s">
        <v>123</v>
      </c>
      <c r="E624" s="8" t="s">
        <v>55</v>
      </c>
      <c r="F624" s="8" t="s">
        <v>326</v>
      </c>
      <c r="G624" s="8" t="s">
        <v>133</v>
      </c>
      <c r="H624" s="8" t="s">
        <v>8666</v>
      </c>
      <c r="I624" s="8" t="s">
        <v>9380</v>
      </c>
      <c r="J624" s="8" t="s">
        <v>185</v>
      </c>
      <c r="K624" s="8" t="s">
        <v>8664</v>
      </c>
      <c r="L624" s="8"/>
      <c r="M624" s="8"/>
      <c r="N624" s="8" t="n">
        <v>25</v>
      </c>
      <c r="O624" s="8" t="n">
        <v>511</v>
      </c>
      <c r="P624" s="8" t="s">
        <v>120</v>
      </c>
    </row>
    <row r="625" customFormat="false" ht="15" hidden="false" customHeight="false" outlineLevel="0" collapsed="false">
      <c r="A625" s="8" t="s">
        <v>3662</v>
      </c>
      <c r="B625" s="8" t="s">
        <v>3663</v>
      </c>
      <c r="C625" s="8" t="s">
        <v>8678</v>
      </c>
      <c r="D625" s="8" t="s">
        <v>132</v>
      </c>
      <c r="E625" s="8" t="s">
        <v>51</v>
      </c>
      <c r="F625" s="8" t="s">
        <v>2027</v>
      </c>
      <c r="G625" s="8" t="s">
        <v>143</v>
      </c>
      <c r="H625" s="8" t="s">
        <v>8662</v>
      </c>
      <c r="I625" s="8" t="s">
        <v>9381</v>
      </c>
      <c r="J625" s="8" t="s">
        <v>137</v>
      </c>
      <c r="K625" s="8" t="s">
        <v>8664</v>
      </c>
      <c r="L625" s="8"/>
      <c r="M625" s="8"/>
      <c r="N625" s="8" t="n">
        <v>12</v>
      </c>
      <c r="O625" s="8" t="n">
        <v>18</v>
      </c>
      <c r="P625" s="8" t="s">
        <v>120</v>
      </c>
    </row>
    <row r="626" customFormat="false" ht="15" hidden="false" customHeight="false" outlineLevel="0" collapsed="false">
      <c r="A626" s="8" t="s">
        <v>1135</v>
      </c>
      <c r="B626" s="8" t="s">
        <v>1136</v>
      </c>
      <c r="C626" s="8" t="s">
        <v>8680</v>
      </c>
      <c r="D626" s="8" t="s">
        <v>123</v>
      </c>
      <c r="E626" s="8" t="s">
        <v>53</v>
      </c>
      <c r="F626" s="8" t="s">
        <v>55</v>
      </c>
      <c r="G626" s="8" t="s">
        <v>151</v>
      </c>
      <c r="H626" s="8" t="s">
        <v>8666</v>
      </c>
      <c r="I626" s="8" t="s">
        <v>9382</v>
      </c>
      <c r="J626" s="8" t="s">
        <v>204</v>
      </c>
      <c r="K626" s="8" t="s">
        <v>8664</v>
      </c>
      <c r="L626" s="8"/>
      <c r="M626" s="8"/>
      <c r="N626" s="8" t="n">
        <v>45</v>
      </c>
      <c r="O626" s="8" t="n">
        <v>80</v>
      </c>
      <c r="P626" s="8" t="s">
        <v>120</v>
      </c>
    </row>
    <row r="627" customFormat="false" ht="15" hidden="false" customHeight="false" outlineLevel="0" collapsed="false">
      <c r="A627" s="8" t="s">
        <v>1821</v>
      </c>
      <c r="B627" s="8" t="s">
        <v>1822</v>
      </c>
      <c r="C627" s="8" t="s">
        <v>8674</v>
      </c>
      <c r="D627" s="8" t="s">
        <v>123</v>
      </c>
      <c r="E627" s="8" t="s">
        <v>51</v>
      </c>
      <c r="F627" s="8" t="s">
        <v>326</v>
      </c>
      <c r="G627" s="8" t="s">
        <v>136</v>
      </c>
      <c r="H627" s="8" t="s">
        <v>8675</v>
      </c>
      <c r="I627" s="8" t="s">
        <v>8725</v>
      </c>
      <c r="J627" s="8" t="s">
        <v>159</v>
      </c>
      <c r="K627" s="8" t="s">
        <v>8664</v>
      </c>
      <c r="L627" s="8"/>
      <c r="M627" s="8"/>
      <c r="N627" s="8" t="n">
        <v>25</v>
      </c>
      <c r="O627" s="8" t="n">
        <v>24</v>
      </c>
      <c r="P627" s="8" t="s">
        <v>120</v>
      </c>
    </row>
    <row r="628" customFormat="false" ht="15" hidden="false" customHeight="false" outlineLevel="0" collapsed="false">
      <c r="A628" s="8" t="s">
        <v>881</v>
      </c>
      <c r="B628" s="8" t="s">
        <v>882</v>
      </c>
      <c r="C628" s="8" t="s">
        <v>8700</v>
      </c>
      <c r="D628" s="8" t="s">
        <v>117</v>
      </c>
      <c r="E628" s="8" t="s">
        <v>53</v>
      </c>
      <c r="F628" s="8" t="s">
        <v>326</v>
      </c>
      <c r="G628" s="8" t="s">
        <v>143</v>
      </c>
      <c r="H628" s="8" t="s">
        <v>8675</v>
      </c>
      <c r="I628" s="8" t="s">
        <v>9365</v>
      </c>
      <c r="J628" s="8" t="s">
        <v>140</v>
      </c>
      <c r="K628" s="8" t="s">
        <v>8664</v>
      </c>
      <c r="L628" s="8"/>
      <c r="M628" s="8"/>
      <c r="N628" s="8" t="n">
        <v>25</v>
      </c>
      <c r="O628" s="8" t="n">
        <v>183</v>
      </c>
      <c r="P628" s="8" t="s">
        <v>120</v>
      </c>
    </row>
    <row r="629" customFormat="false" ht="15" hidden="false" customHeight="false" outlineLevel="0" collapsed="false">
      <c r="A629" s="8" t="s">
        <v>1765</v>
      </c>
      <c r="B629" s="8" t="s">
        <v>1766</v>
      </c>
      <c r="C629" s="8" t="s">
        <v>8661</v>
      </c>
      <c r="D629" s="8" t="s">
        <v>123</v>
      </c>
      <c r="E629" s="8" t="s">
        <v>51</v>
      </c>
      <c r="F629" s="8" t="s">
        <v>326</v>
      </c>
      <c r="G629" s="8" t="s">
        <v>190</v>
      </c>
      <c r="H629" s="8" t="s">
        <v>8666</v>
      </c>
      <c r="I629" s="8" t="s">
        <v>8737</v>
      </c>
      <c r="J629" s="8" t="s">
        <v>137</v>
      </c>
      <c r="K629" s="8" t="s">
        <v>8664</v>
      </c>
      <c r="L629" s="8"/>
      <c r="M629" s="8"/>
      <c r="N629" s="8" t="n">
        <v>25</v>
      </c>
      <c r="O629" s="8" t="n">
        <v>36</v>
      </c>
      <c r="P629" s="8" t="s">
        <v>148</v>
      </c>
    </row>
    <row r="630" customFormat="false" ht="15" hidden="false" customHeight="false" outlineLevel="0" collapsed="false">
      <c r="A630" s="8" t="s">
        <v>3050</v>
      </c>
      <c r="B630" s="8" t="s">
        <v>3051</v>
      </c>
      <c r="C630" s="8" t="s">
        <v>8700</v>
      </c>
      <c r="D630" s="8" t="s">
        <v>123</v>
      </c>
      <c r="E630" s="8" t="s">
        <v>51</v>
      </c>
      <c r="F630" s="8" t="s">
        <v>2027</v>
      </c>
      <c r="G630" s="8" t="s">
        <v>136</v>
      </c>
      <c r="H630" s="8" t="s">
        <v>8666</v>
      </c>
      <c r="I630" s="8" t="s">
        <v>9383</v>
      </c>
      <c r="J630" s="8" t="s">
        <v>147</v>
      </c>
      <c r="K630" s="8" t="s">
        <v>8664</v>
      </c>
      <c r="L630" s="8"/>
      <c r="M630" s="8"/>
      <c r="N630" s="8" t="n">
        <v>12</v>
      </c>
      <c r="O630" s="8" t="n">
        <v>29</v>
      </c>
      <c r="P630" s="8" t="s">
        <v>120</v>
      </c>
    </row>
    <row r="631" customFormat="false" ht="15" hidden="false" customHeight="false" outlineLevel="0" collapsed="false">
      <c r="A631" s="8" t="s">
        <v>3794</v>
      </c>
      <c r="B631" s="8" t="s">
        <v>3795</v>
      </c>
      <c r="C631" s="8" t="s">
        <v>8661</v>
      </c>
      <c r="D631" s="8" t="s">
        <v>123</v>
      </c>
      <c r="E631" s="8" t="s">
        <v>51</v>
      </c>
      <c r="F631" s="8" t="s">
        <v>2027</v>
      </c>
      <c r="G631" s="8" t="s">
        <v>223</v>
      </c>
      <c r="H631" s="8" t="s">
        <v>8662</v>
      </c>
      <c r="I631" s="8" t="s">
        <v>9016</v>
      </c>
      <c r="J631" s="8" t="s">
        <v>144</v>
      </c>
      <c r="K631" s="8" t="s">
        <v>8664</v>
      </c>
      <c r="L631" s="8"/>
      <c r="M631" s="8"/>
      <c r="N631" s="8" t="n">
        <v>12</v>
      </c>
      <c r="O631" s="8" t="n">
        <v>15</v>
      </c>
      <c r="P631" s="8" t="s">
        <v>120</v>
      </c>
    </row>
    <row r="632" customFormat="false" ht="15" hidden="false" customHeight="false" outlineLevel="0" collapsed="false">
      <c r="A632" s="8" t="s">
        <v>1075</v>
      </c>
      <c r="B632" s="8" t="s">
        <v>1076</v>
      </c>
      <c r="C632" s="8" t="s">
        <v>8680</v>
      </c>
      <c r="D632" s="8" t="s">
        <v>123</v>
      </c>
      <c r="E632" s="8" t="s">
        <v>53</v>
      </c>
      <c r="F632" s="8" t="s">
        <v>326</v>
      </c>
      <c r="G632" s="8" t="s">
        <v>118</v>
      </c>
      <c r="H632" s="8" t="s">
        <v>8662</v>
      </c>
      <c r="I632" s="8" t="s">
        <v>9175</v>
      </c>
      <c r="J632" s="8" t="s">
        <v>140</v>
      </c>
      <c r="K632" s="8" t="s">
        <v>8664</v>
      </c>
      <c r="L632" s="8"/>
      <c r="M632" s="8"/>
      <c r="N632" s="8" t="n">
        <v>25</v>
      </c>
      <c r="O632" s="8" t="n">
        <v>97</v>
      </c>
      <c r="P632" s="8" t="s">
        <v>120</v>
      </c>
    </row>
    <row r="633" customFormat="false" ht="15" hidden="false" customHeight="false" outlineLevel="0" collapsed="false">
      <c r="A633" s="8" t="s">
        <v>3796</v>
      </c>
      <c r="B633" s="8" t="s">
        <v>3797</v>
      </c>
      <c r="C633" s="8" t="s">
        <v>8688</v>
      </c>
      <c r="D633" s="8" t="s">
        <v>117</v>
      </c>
      <c r="E633" s="8" t="s">
        <v>51</v>
      </c>
      <c r="F633" s="8" t="s">
        <v>2027</v>
      </c>
      <c r="G633" s="8" t="s">
        <v>118</v>
      </c>
      <c r="H633" s="8" t="s">
        <v>8670</v>
      </c>
      <c r="I633" s="8" t="s">
        <v>9384</v>
      </c>
      <c r="J633" s="8" t="s">
        <v>129</v>
      </c>
      <c r="K633" s="8" t="s">
        <v>8664</v>
      </c>
      <c r="L633" s="8"/>
      <c r="M633" s="8"/>
      <c r="N633" s="8" t="n">
        <v>12</v>
      </c>
      <c r="O633" s="8" t="n">
        <v>15</v>
      </c>
      <c r="P633" s="8" t="s">
        <v>148</v>
      </c>
    </row>
    <row r="634" customFormat="false" ht="15" hidden="false" customHeight="false" outlineLevel="0" collapsed="false">
      <c r="A634" s="8" t="s">
        <v>9385</v>
      </c>
      <c r="B634" s="8" t="s">
        <v>9386</v>
      </c>
      <c r="C634" s="8" t="s">
        <v>8665</v>
      </c>
      <c r="D634" s="8" t="s">
        <v>117</v>
      </c>
      <c r="E634" s="8" t="s">
        <v>51</v>
      </c>
      <c r="F634" s="8" t="s">
        <v>2027</v>
      </c>
      <c r="G634" s="8" t="s">
        <v>124</v>
      </c>
      <c r="H634" s="8" t="s">
        <v>8662</v>
      </c>
      <c r="I634" s="8" t="s">
        <v>8742</v>
      </c>
      <c r="J634" s="8"/>
      <c r="K634" s="8" t="s">
        <v>8690</v>
      </c>
      <c r="L634" s="8" t="s">
        <v>9387</v>
      </c>
      <c r="M634" s="8" t="s">
        <v>8692</v>
      </c>
      <c r="N634" s="8" t="n">
        <v>12</v>
      </c>
      <c r="O634" s="8" t="n">
        <v>12</v>
      </c>
      <c r="P634" s="8" t="s">
        <v>120</v>
      </c>
    </row>
    <row r="635" customFormat="false" ht="15" hidden="false" customHeight="false" outlineLevel="0" collapsed="false">
      <c r="A635" s="8" t="s">
        <v>3664</v>
      </c>
      <c r="B635" s="8" t="s">
        <v>3665</v>
      </c>
      <c r="C635" s="8" t="s">
        <v>8688</v>
      </c>
      <c r="D635" s="8" t="s">
        <v>123</v>
      </c>
      <c r="E635" s="8" t="s">
        <v>51</v>
      </c>
      <c r="F635" s="8" t="s">
        <v>2027</v>
      </c>
      <c r="G635" s="8" t="s">
        <v>133</v>
      </c>
      <c r="H635" s="8" t="s">
        <v>8675</v>
      </c>
      <c r="I635" s="8" t="s">
        <v>9388</v>
      </c>
      <c r="J635" s="8" t="s">
        <v>180</v>
      </c>
      <c r="K635" s="8" t="s">
        <v>8664</v>
      </c>
      <c r="L635" s="8"/>
      <c r="M635" s="8"/>
      <c r="N635" s="8" t="n">
        <v>12</v>
      </c>
      <c r="O635" s="8" t="n">
        <v>18</v>
      </c>
      <c r="P635" s="8" t="s">
        <v>120</v>
      </c>
    </row>
    <row r="636" customFormat="false" ht="15" hidden="false" customHeight="false" outlineLevel="0" collapsed="false">
      <c r="A636" s="8" t="s">
        <v>4092</v>
      </c>
      <c r="B636" s="8" t="s">
        <v>4093</v>
      </c>
      <c r="C636" s="8" t="s">
        <v>8678</v>
      </c>
      <c r="D636" s="8" t="s">
        <v>123</v>
      </c>
      <c r="E636" s="8" t="s">
        <v>51</v>
      </c>
      <c r="F636" s="8" t="s">
        <v>2027</v>
      </c>
      <c r="G636" s="8" t="s">
        <v>190</v>
      </c>
      <c r="H636" s="8" t="s">
        <v>8662</v>
      </c>
      <c r="I636" s="8" t="s">
        <v>8908</v>
      </c>
      <c r="J636" s="8" t="s">
        <v>137</v>
      </c>
      <c r="K636" s="8" t="s">
        <v>8664</v>
      </c>
      <c r="L636" s="8"/>
      <c r="M636" s="8"/>
      <c r="N636" s="8" t="n">
        <v>12</v>
      </c>
      <c r="O636" s="8" t="n">
        <v>10</v>
      </c>
      <c r="P636" s="8" t="s">
        <v>120</v>
      </c>
    </row>
    <row r="637" customFormat="false" ht="15" hidden="false" customHeight="false" outlineLevel="0" collapsed="false">
      <c r="A637" s="8" t="s">
        <v>9389</v>
      </c>
      <c r="B637" s="8" t="s">
        <v>9390</v>
      </c>
      <c r="C637" s="8" t="s">
        <v>8661</v>
      </c>
      <c r="D637" s="8" t="s">
        <v>132</v>
      </c>
      <c r="E637" s="8" t="s">
        <v>51</v>
      </c>
      <c r="F637" s="8" t="s">
        <v>326</v>
      </c>
      <c r="G637" s="8" t="s">
        <v>143</v>
      </c>
      <c r="H637" s="8" t="s">
        <v>8666</v>
      </c>
      <c r="I637" s="8" t="s">
        <v>8999</v>
      </c>
      <c r="J637" s="8"/>
      <c r="K637" s="8" t="s">
        <v>8690</v>
      </c>
      <c r="L637" s="8" t="s">
        <v>9149</v>
      </c>
      <c r="M637" s="8" t="s">
        <v>8696</v>
      </c>
      <c r="N637" s="8" t="n">
        <v>25</v>
      </c>
      <c r="O637" s="8" t="n">
        <v>28</v>
      </c>
      <c r="P637" s="8" t="s">
        <v>120</v>
      </c>
    </row>
    <row r="638" customFormat="false" ht="15" hidden="false" customHeight="false" outlineLevel="0" collapsed="false">
      <c r="A638" s="8" t="s">
        <v>9391</v>
      </c>
      <c r="B638" s="8" t="s">
        <v>9392</v>
      </c>
      <c r="C638" s="8" t="s">
        <v>8661</v>
      </c>
      <c r="D638" s="8" t="s">
        <v>132</v>
      </c>
      <c r="E638" s="8" t="s">
        <v>51</v>
      </c>
      <c r="F638" s="8" t="s">
        <v>2027</v>
      </c>
      <c r="G638" s="8" t="s">
        <v>136</v>
      </c>
      <c r="H638" s="8" t="s">
        <v>8670</v>
      </c>
      <c r="I638" s="8" t="s">
        <v>9393</v>
      </c>
      <c r="J638" s="8"/>
      <c r="K638" s="8" t="s">
        <v>8690</v>
      </c>
      <c r="L638" s="8" t="s">
        <v>9000</v>
      </c>
      <c r="M638" s="8" t="s">
        <v>8692</v>
      </c>
      <c r="N638" s="8" t="n">
        <v>12</v>
      </c>
      <c r="O638" s="8" t="n">
        <v>32</v>
      </c>
      <c r="P638" s="8" t="s">
        <v>120</v>
      </c>
    </row>
    <row r="639" customFormat="false" ht="15" hidden="false" customHeight="false" outlineLevel="0" collapsed="false">
      <c r="A639" s="8" t="s">
        <v>4417</v>
      </c>
      <c r="B639" s="8" t="s">
        <v>9394</v>
      </c>
      <c r="C639" s="8" t="s">
        <v>8665</v>
      </c>
      <c r="D639" s="8" t="s">
        <v>123</v>
      </c>
      <c r="E639" s="8" t="s">
        <v>53</v>
      </c>
      <c r="F639" s="8" t="s">
        <v>55</v>
      </c>
      <c r="G639" s="8" t="s">
        <v>136</v>
      </c>
      <c r="H639" s="8" t="s">
        <v>8666</v>
      </c>
      <c r="I639" s="8" t="s">
        <v>8869</v>
      </c>
      <c r="J639" s="8"/>
      <c r="K639" s="8" t="s">
        <v>8690</v>
      </c>
      <c r="L639" s="8" t="s">
        <v>8812</v>
      </c>
      <c r="M639" s="8" t="s">
        <v>8705</v>
      </c>
      <c r="N639" s="8" t="n">
        <v>45</v>
      </c>
      <c r="O639" s="8" t="n">
        <v>175</v>
      </c>
      <c r="P639" s="8" t="s">
        <v>148</v>
      </c>
    </row>
    <row r="640" customFormat="false" ht="15" hidden="false" customHeight="false" outlineLevel="0" collapsed="false">
      <c r="A640" s="8" t="s">
        <v>2156</v>
      </c>
      <c r="B640" s="8" t="s">
        <v>2157</v>
      </c>
      <c r="C640" s="8" t="s">
        <v>8680</v>
      </c>
      <c r="D640" s="8" t="s">
        <v>117</v>
      </c>
      <c r="E640" s="8" t="s">
        <v>51</v>
      </c>
      <c r="F640" s="8" t="s">
        <v>326</v>
      </c>
      <c r="G640" s="8" t="s">
        <v>190</v>
      </c>
      <c r="H640" s="8" t="s">
        <v>8666</v>
      </c>
      <c r="I640" s="8" t="s">
        <v>9025</v>
      </c>
      <c r="J640" s="8" t="s">
        <v>180</v>
      </c>
      <c r="K640" s="8" t="s">
        <v>8664</v>
      </c>
      <c r="L640" s="8"/>
      <c r="M640" s="8"/>
      <c r="N640" s="8" t="n">
        <v>25</v>
      </c>
      <c r="O640" s="8" t="n">
        <v>26</v>
      </c>
      <c r="P640" s="8" t="s">
        <v>120</v>
      </c>
    </row>
    <row r="641" customFormat="false" ht="15" hidden="false" customHeight="false" outlineLevel="0" collapsed="false">
      <c r="A641" s="8" t="s">
        <v>2684</v>
      </c>
      <c r="B641" s="8" t="s">
        <v>2685</v>
      </c>
      <c r="C641" s="8" t="s">
        <v>8661</v>
      </c>
      <c r="D641" s="8" t="s">
        <v>132</v>
      </c>
      <c r="E641" s="8" t="s">
        <v>51</v>
      </c>
      <c r="F641" s="8" t="s">
        <v>2027</v>
      </c>
      <c r="G641" s="8" t="s">
        <v>190</v>
      </c>
      <c r="H641" s="8" t="s">
        <v>8662</v>
      </c>
      <c r="I641" s="8" t="s">
        <v>9395</v>
      </c>
      <c r="J641" s="8" t="s">
        <v>119</v>
      </c>
      <c r="K641" s="8" t="s">
        <v>8664</v>
      </c>
      <c r="L641" s="8"/>
      <c r="M641" s="8"/>
      <c r="N641" s="8" t="n">
        <v>12</v>
      </c>
      <c r="O641" s="8" t="n">
        <v>35</v>
      </c>
      <c r="P641" s="8" t="s">
        <v>120</v>
      </c>
    </row>
    <row r="642" customFormat="false" ht="15" hidden="false" customHeight="false" outlineLevel="0" collapsed="false">
      <c r="A642" s="8" t="s">
        <v>611</v>
      </c>
      <c r="B642" s="8" t="s">
        <v>612</v>
      </c>
      <c r="C642" s="8" t="s">
        <v>8669</v>
      </c>
      <c r="D642" s="8" t="s">
        <v>117</v>
      </c>
      <c r="E642" s="8" t="s">
        <v>55</v>
      </c>
      <c r="F642" s="8" t="s">
        <v>55</v>
      </c>
      <c r="G642" s="8" t="s">
        <v>133</v>
      </c>
      <c r="H642" s="8" t="s">
        <v>8675</v>
      </c>
      <c r="I642" s="8" t="s">
        <v>8731</v>
      </c>
      <c r="J642" s="8" t="s">
        <v>159</v>
      </c>
      <c r="K642" s="8" t="s">
        <v>8664</v>
      </c>
      <c r="L642" s="8"/>
      <c r="M642" s="8"/>
      <c r="N642" s="8" t="n">
        <v>45</v>
      </c>
      <c r="O642" s="8" t="n">
        <v>167</v>
      </c>
      <c r="P642" s="8" t="s">
        <v>120</v>
      </c>
    </row>
    <row r="643" customFormat="false" ht="15" hidden="false" customHeight="false" outlineLevel="0" collapsed="false">
      <c r="A643" s="8" t="s">
        <v>727</v>
      </c>
      <c r="B643" s="8" t="s">
        <v>728</v>
      </c>
      <c r="C643" s="8" t="s">
        <v>8674</v>
      </c>
      <c r="D643" s="8" t="s">
        <v>123</v>
      </c>
      <c r="E643" s="8" t="s">
        <v>55</v>
      </c>
      <c r="F643" s="8" t="s">
        <v>326</v>
      </c>
      <c r="G643" s="8" t="s">
        <v>143</v>
      </c>
      <c r="H643" s="8" t="s">
        <v>8666</v>
      </c>
      <c r="I643" s="8" t="s">
        <v>9065</v>
      </c>
      <c r="J643" s="8" t="s">
        <v>204</v>
      </c>
      <c r="K643" s="8" t="s">
        <v>8664</v>
      </c>
      <c r="L643" s="8"/>
      <c r="M643" s="8"/>
      <c r="N643" s="8" t="n">
        <v>25</v>
      </c>
      <c r="O643" s="8" t="n">
        <v>204</v>
      </c>
      <c r="P643" s="8" t="s">
        <v>120</v>
      </c>
    </row>
    <row r="644" customFormat="false" ht="15" hidden="false" customHeight="false" outlineLevel="0" collapsed="false">
      <c r="A644" s="8" t="s">
        <v>4446</v>
      </c>
      <c r="B644" s="8" t="s">
        <v>9396</v>
      </c>
      <c r="C644" s="8" t="s">
        <v>8674</v>
      </c>
      <c r="D644" s="8" t="s">
        <v>123</v>
      </c>
      <c r="E644" s="8" t="s">
        <v>53</v>
      </c>
      <c r="F644" s="8" t="s">
        <v>326</v>
      </c>
      <c r="G644" s="8" t="s">
        <v>124</v>
      </c>
      <c r="H644" s="8" t="s">
        <v>8675</v>
      </c>
      <c r="I644" s="8" t="s">
        <v>8980</v>
      </c>
      <c r="J644" s="8"/>
      <c r="K644" s="8" t="s">
        <v>8690</v>
      </c>
      <c r="L644" s="8" t="s">
        <v>8852</v>
      </c>
      <c r="M644" s="8" t="s">
        <v>8795</v>
      </c>
      <c r="N644" s="8" t="n">
        <v>25</v>
      </c>
      <c r="O644" s="8" t="n">
        <v>149</v>
      </c>
      <c r="P644" s="8" t="s">
        <v>120</v>
      </c>
    </row>
    <row r="645" customFormat="false" ht="15" hidden="false" customHeight="false" outlineLevel="0" collapsed="false">
      <c r="A645" s="8" t="s">
        <v>9397</v>
      </c>
      <c r="B645" s="8" t="s">
        <v>9398</v>
      </c>
      <c r="C645" s="8" t="s">
        <v>8669</v>
      </c>
      <c r="D645" s="8" t="s">
        <v>123</v>
      </c>
      <c r="E645" s="8" t="s">
        <v>51</v>
      </c>
      <c r="F645" s="8" t="s">
        <v>2027</v>
      </c>
      <c r="G645" s="8" t="s">
        <v>133</v>
      </c>
      <c r="H645" s="8" t="s">
        <v>8670</v>
      </c>
      <c r="I645" s="8" t="s">
        <v>9399</v>
      </c>
      <c r="J645" s="8"/>
      <c r="K645" s="8" t="s">
        <v>8690</v>
      </c>
      <c r="L645" s="8" t="s">
        <v>8811</v>
      </c>
      <c r="M645" s="8" t="s">
        <v>8705</v>
      </c>
      <c r="N645" s="8" t="n">
        <v>12</v>
      </c>
      <c r="O645" s="8" t="n">
        <v>39</v>
      </c>
      <c r="P645" s="8" t="s">
        <v>120</v>
      </c>
    </row>
    <row r="646" customFormat="false" ht="15" hidden="false" customHeight="false" outlineLevel="0" collapsed="false">
      <c r="A646" s="8" t="s">
        <v>1699</v>
      </c>
      <c r="B646" s="8" t="s">
        <v>1700</v>
      </c>
      <c r="C646" s="8" t="s">
        <v>8688</v>
      </c>
      <c r="D646" s="8" t="s">
        <v>128</v>
      </c>
      <c r="E646" s="8" t="s">
        <v>53</v>
      </c>
      <c r="F646" s="8" t="s">
        <v>326</v>
      </c>
      <c r="G646" s="8" t="s">
        <v>124</v>
      </c>
      <c r="H646" s="8" t="s">
        <v>8670</v>
      </c>
      <c r="I646" s="8" t="s">
        <v>9400</v>
      </c>
      <c r="J646" s="8" t="s">
        <v>144</v>
      </c>
      <c r="K646" s="8" t="s">
        <v>8664</v>
      </c>
      <c r="L646" s="8"/>
      <c r="M646" s="8"/>
      <c r="N646" s="8" t="n">
        <v>25</v>
      </c>
      <c r="O646" s="8" t="n">
        <v>40</v>
      </c>
      <c r="P646" s="8" t="s">
        <v>120</v>
      </c>
    </row>
    <row r="647" customFormat="false" ht="15" hidden="false" customHeight="false" outlineLevel="0" collapsed="false">
      <c r="A647" s="8" t="s">
        <v>9401</v>
      </c>
      <c r="B647" s="8" t="s">
        <v>9402</v>
      </c>
      <c r="C647" s="8" t="s">
        <v>8680</v>
      </c>
      <c r="D647" s="8" t="s">
        <v>117</v>
      </c>
      <c r="E647" s="8" t="s">
        <v>51</v>
      </c>
      <c r="F647" s="8" t="s">
        <v>2027</v>
      </c>
      <c r="G647" s="8" t="s">
        <v>143</v>
      </c>
      <c r="H647" s="8" t="s">
        <v>8666</v>
      </c>
      <c r="I647" s="8" t="s">
        <v>9241</v>
      </c>
      <c r="J647" s="8"/>
      <c r="K647" s="8" t="s">
        <v>8690</v>
      </c>
      <c r="L647" s="8" t="s">
        <v>9403</v>
      </c>
      <c r="M647" s="8" t="s">
        <v>8692</v>
      </c>
      <c r="N647" s="8" t="n">
        <v>12</v>
      </c>
      <c r="O647" s="8" t="n">
        <v>20</v>
      </c>
      <c r="P647" s="8" t="s">
        <v>120</v>
      </c>
    </row>
    <row r="648" customFormat="false" ht="15" hidden="false" customHeight="false" outlineLevel="0" collapsed="false">
      <c r="A648" s="8" t="s">
        <v>4478</v>
      </c>
      <c r="B648" s="8" t="s">
        <v>9404</v>
      </c>
      <c r="C648" s="8" t="s">
        <v>8678</v>
      </c>
      <c r="D648" s="8" t="s">
        <v>117</v>
      </c>
      <c r="E648" s="8" t="s">
        <v>53</v>
      </c>
      <c r="F648" s="8" t="s">
        <v>326</v>
      </c>
      <c r="G648" s="8" t="s">
        <v>151</v>
      </c>
      <c r="H648" s="8" t="s">
        <v>8662</v>
      </c>
      <c r="I648" s="8" t="s">
        <v>9405</v>
      </c>
      <c r="J648" s="8"/>
      <c r="K648" s="8" t="s">
        <v>8690</v>
      </c>
      <c r="L648" s="8" t="s">
        <v>8809</v>
      </c>
      <c r="M648" s="8" t="s">
        <v>8692</v>
      </c>
      <c r="N648" s="8" t="n">
        <v>25</v>
      </c>
      <c r="O648" s="8" t="n">
        <v>41</v>
      </c>
      <c r="P648" s="8" t="s">
        <v>120</v>
      </c>
    </row>
    <row r="649" customFormat="false" ht="15" hidden="false" customHeight="false" outlineLevel="0" collapsed="false">
      <c r="A649" s="8" t="s">
        <v>773</v>
      </c>
      <c r="B649" s="8" t="s">
        <v>774</v>
      </c>
      <c r="C649" s="8" t="s">
        <v>8680</v>
      </c>
      <c r="D649" s="8" t="s">
        <v>123</v>
      </c>
      <c r="E649" s="8" t="s">
        <v>53</v>
      </c>
      <c r="F649" s="8" t="s">
        <v>55</v>
      </c>
      <c r="G649" s="8" t="s">
        <v>136</v>
      </c>
      <c r="H649" s="8" t="s">
        <v>8666</v>
      </c>
      <c r="I649" s="8" t="s">
        <v>9037</v>
      </c>
      <c r="J649" s="8" t="s">
        <v>147</v>
      </c>
      <c r="K649" s="8" t="s">
        <v>8664</v>
      </c>
      <c r="L649" s="8"/>
      <c r="M649" s="8"/>
      <c r="N649" s="8" t="n">
        <v>45</v>
      </c>
      <c r="O649" s="8" t="n">
        <v>112</v>
      </c>
      <c r="P649" s="8" t="s">
        <v>120</v>
      </c>
    </row>
    <row r="650" customFormat="false" ht="15" hidden="false" customHeight="false" outlineLevel="0" collapsed="false">
      <c r="A650" s="8" t="s">
        <v>4425</v>
      </c>
      <c r="B650" s="8" t="s">
        <v>9406</v>
      </c>
      <c r="C650" s="8" t="s">
        <v>8665</v>
      </c>
      <c r="D650" s="8" t="s">
        <v>132</v>
      </c>
      <c r="E650" s="8" t="s">
        <v>53</v>
      </c>
      <c r="F650" s="8" t="s">
        <v>326</v>
      </c>
      <c r="G650" s="8" t="s">
        <v>151</v>
      </c>
      <c r="H650" s="8" t="s">
        <v>8670</v>
      </c>
      <c r="I650" s="8" t="s">
        <v>9059</v>
      </c>
      <c r="J650" s="8"/>
      <c r="K650" s="8" t="s">
        <v>8690</v>
      </c>
      <c r="L650" s="8" t="s">
        <v>8988</v>
      </c>
      <c r="M650" s="8" t="s">
        <v>8705</v>
      </c>
      <c r="N650" s="8" t="n">
        <v>25</v>
      </c>
      <c r="O650" s="8" t="n">
        <v>198</v>
      </c>
      <c r="P650" s="8" t="s">
        <v>120</v>
      </c>
    </row>
    <row r="651" customFormat="false" ht="15" hidden="false" customHeight="false" outlineLevel="0" collapsed="false">
      <c r="A651" s="8" t="s">
        <v>4266</v>
      </c>
      <c r="B651" s="8" t="s">
        <v>4267</v>
      </c>
      <c r="C651" s="8" t="s">
        <v>8674</v>
      </c>
      <c r="D651" s="8" t="s">
        <v>132</v>
      </c>
      <c r="E651" s="8" t="s">
        <v>51</v>
      </c>
      <c r="F651" s="8" t="s">
        <v>2027</v>
      </c>
      <c r="G651" s="8" t="s">
        <v>143</v>
      </c>
      <c r="H651" s="8" t="s">
        <v>8675</v>
      </c>
      <c r="I651" s="8" t="s">
        <v>9407</v>
      </c>
      <c r="J651" s="8" t="s">
        <v>180</v>
      </c>
      <c r="K651" s="8" t="s">
        <v>8664</v>
      </c>
      <c r="L651" s="8"/>
      <c r="M651" s="8"/>
      <c r="N651" s="8" t="n">
        <v>12</v>
      </c>
      <c r="O651" s="8" t="n">
        <v>5</v>
      </c>
      <c r="P651" s="8" t="s">
        <v>120</v>
      </c>
    </row>
    <row r="652" customFormat="false" ht="15" hidden="false" customHeight="false" outlineLevel="0" collapsed="false">
      <c r="A652" s="8" t="s">
        <v>4470</v>
      </c>
      <c r="B652" s="8" t="s">
        <v>9408</v>
      </c>
      <c r="C652" s="8" t="s">
        <v>8700</v>
      </c>
      <c r="D652" s="8" t="s">
        <v>123</v>
      </c>
      <c r="E652" s="8" t="s">
        <v>53</v>
      </c>
      <c r="F652" s="8" t="s">
        <v>326</v>
      </c>
      <c r="G652" s="8" t="s">
        <v>136</v>
      </c>
      <c r="H652" s="8" t="s">
        <v>8670</v>
      </c>
      <c r="I652" s="8" t="s">
        <v>9038</v>
      </c>
      <c r="J652" s="8"/>
      <c r="K652" s="8" t="s">
        <v>8690</v>
      </c>
      <c r="L652" s="8" t="s">
        <v>8714</v>
      </c>
      <c r="M652" s="8" t="s">
        <v>8692</v>
      </c>
      <c r="N652" s="8" t="n">
        <v>25</v>
      </c>
      <c r="O652" s="8" t="n">
        <v>87</v>
      </c>
      <c r="P652" s="8" t="s">
        <v>120</v>
      </c>
    </row>
    <row r="653" customFormat="false" ht="15" hidden="false" customHeight="false" outlineLevel="0" collapsed="false">
      <c r="A653" s="8" t="s">
        <v>1613</v>
      </c>
      <c r="B653" s="8" t="s">
        <v>1614</v>
      </c>
      <c r="C653" s="8" t="s">
        <v>8688</v>
      </c>
      <c r="D653" s="8" t="s">
        <v>132</v>
      </c>
      <c r="E653" s="8" t="s">
        <v>53</v>
      </c>
      <c r="F653" s="8" t="s">
        <v>326</v>
      </c>
      <c r="G653" s="8" t="s">
        <v>143</v>
      </c>
      <c r="H653" s="8" t="s">
        <v>8662</v>
      </c>
      <c r="I653" s="8" t="s">
        <v>8981</v>
      </c>
      <c r="J653" s="8" t="s">
        <v>125</v>
      </c>
      <c r="K653" s="8" t="s">
        <v>8664</v>
      </c>
      <c r="L653" s="8"/>
      <c r="M653" s="8"/>
      <c r="N653" s="8" t="n">
        <v>25</v>
      </c>
      <c r="O653" s="8" t="n">
        <v>70</v>
      </c>
      <c r="P653" s="8" t="s">
        <v>120</v>
      </c>
    </row>
    <row r="654" customFormat="false" ht="15" hidden="false" customHeight="false" outlineLevel="0" collapsed="false">
      <c r="A654" s="8" t="s">
        <v>246</v>
      </c>
      <c r="B654" s="8" t="s">
        <v>247</v>
      </c>
      <c r="C654" s="8" t="s">
        <v>8674</v>
      </c>
      <c r="D654" s="8" t="s">
        <v>132</v>
      </c>
      <c r="E654" s="8" t="s">
        <v>55</v>
      </c>
      <c r="F654" s="8" t="s">
        <v>55</v>
      </c>
      <c r="G654" s="8" t="s">
        <v>136</v>
      </c>
      <c r="H654" s="8" t="s">
        <v>8666</v>
      </c>
      <c r="I654" s="8" t="s">
        <v>9335</v>
      </c>
      <c r="J654" s="8" t="s">
        <v>185</v>
      </c>
      <c r="K654" s="8" t="s">
        <v>8664</v>
      </c>
      <c r="L654" s="8"/>
      <c r="M654" s="8"/>
      <c r="N654" s="8" t="n">
        <v>45</v>
      </c>
      <c r="O654" s="8" t="n">
        <v>494</v>
      </c>
      <c r="P654" s="8" t="s">
        <v>120</v>
      </c>
    </row>
    <row r="655" customFormat="false" ht="15" hidden="false" customHeight="false" outlineLevel="0" collapsed="false">
      <c r="A655" s="8" t="s">
        <v>2036</v>
      </c>
      <c r="B655" s="8" t="s">
        <v>2037</v>
      </c>
      <c r="C655" s="8" t="s">
        <v>8674</v>
      </c>
      <c r="D655" s="8" t="s">
        <v>117</v>
      </c>
      <c r="E655" s="8" t="s">
        <v>51</v>
      </c>
      <c r="F655" s="8" t="s">
        <v>326</v>
      </c>
      <c r="G655" s="8" t="s">
        <v>166</v>
      </c>
      <c r="H655" s="8" t="s">
        <v>8670</v>
      </c>
      <c r="I655" s="8" t="s">
        <v>9409</v>
      </c>
      <c r="J655" s="8" t="s">
        <v>140</v>
      </c>
      <c r="K655" s="8" t="s">
        <v>8664</v>
      </c>
      <c r="L655" s="8"/>
      <c r="M655" s="8"/>
      <c r="N655" s="8" t="n">
        <v>25</v>
      </c>
      <c r="O655" s="8" t="n">
        <v>30</v>
      </c>
      <c r="P655" s="8" t="s">
        <v>120</v>
      </c>
    </row>
    <row r="656" customFormat="false" ht="15" hidden="false" customHeight="false" outlineLevel="0" collapsed="false">
      <c r="A656" s="8" t="s">
        <v>4160</v>
      </c>
      <c r="B656" s="8" t="s">
        <v>4161</v>
      </c>
      <c r="C656" s="8" t="s">
        <v>8665</v>
      </c>
      <c r="D656" s="8" t="s">
        <v>123</v>
      </c>
      <c r="E656" s="8" t="s">
        <v>51</v>
      </c>
      <c r="F656" s="8" t="s">
        <v>2027</v>
      </c>
      <c r="G656" s="8" t="s">
        <v>118</v>
      </c>
      <c r="H656" s="8" t="s">
        <v>8662</v>
      </c>
      <c r="I656" s="8" t="s">
        <v>9293</v>
      </c>
      <c r="J656" s="8" t="s">
        <v>177</v>
      </c>
      <c r="K656" s="8" t="s">
        <v>8664</v>
      </c>
      <c r="L656" s="8"/>
      <c r="M656" s="8"/>
      <c r="N656" s="8" t="n">
        <v>12</v>
      </c>
      <c r="O656" s="8" t="n">
        <v>9</v>
      </c>
      <c r="P656" s="8" t="s">
        <v>120</v>
      </c>
    </row>
    <row r="657" customFormat="false" ht="15" hidden="false" customHeight="false" outlineLevel="0" collapsed="false">
      <c r="A657" s="8" t="s">
        <v>3448</v>
      </c>
      <c r="B657" s="8" t="s">
        <v>3449</v>
      </c>
      <c r="C657" s="8" t="s">
        <v>8680</v>
      </c>
      <c r="D657" s="8" t="s">
        <v>128</v>
      </c>
      <c r="E657" s="8" t="s">
        <v>51</v>
      </c>
      <c r="F657" s="8" t="s">
        <v>326</v>
      </c>
      <c r="G657" s="8" t="s">
        <v>136</v>
      </c>
      <c r="H657" s="8" t="s">
        <v>8670</v>
      </c>
      <c r="I657" s="8" t="s">
        <v>8846</v>
      </c>
      <c r="J657" s="8" t="s">
        <v>125</v>
      </c>
      <c r="K657" s="8" t="s">
        <v>8664</v>
      </c>
      <c r="L657" s="8"/>
      <c r="M657" s="8"/>
      <c r="N657" s="8" t="n">
        <v>25</v>
      </c>
      <c r="O657" s="8" t="n">
        <v>11</v>
      </c>
      <c r="P657" s="8" t="s">
        <v>120</v>
      </c>
    </row>
    <row r="658" customFormat="false" ht="15" hidden="false" customHeight="false" outlineLevel="0" collapsed="false">
      <c r="A658" s="8" t="s">
        <v>3260</v>
      </c>
      <c r="B658" s="8" t="s">
        <v>3261</v>
      </c>
      <c r="C658" s="8" t="s">
        <v>8669</v>
      </c>
      <c r="D658" s="8" t="s">
        <v>123</v>
      </c>
      <c r="E658" s="8" t="s">
        <v>51</v>
      </c>
      <c r="F658" s="8" t="s">
        <v>2027</v>
      </c>
      <c r="G658" s="8" t="s">
        <v>166</v>
      </c>
      <c r="H658" s="8" t="s">
        <v>8670</v>
      </c>
      <c r="I658" s="8" t="s">
        <v>8881</v>
      </c>
      <c r="J658" s="8" t="s">
        <v>144</v>
      </c>
      <c r="K658" s="8" t="s">
        <v>8664</v>
      </c>
      <c r="L658" s="8"/>
      <c r="M658" s="8"/>
      <c r="N658" s="8" t="n">
        <v>12</v>
      </c>
      <c r="O658" s="8" t="n">
        <v>28</v>
      </c>
      <c r="P658" s="8" t="s">
        <v>120</v>
      </c>
    </row>
    <row r="659" customFormat="false" ht="15" hidden="false" customHeight="false" outlineLevel="0" collapsed="false">
      <c r="A659" s="8" t="s">
        <v>3726</v>
      </c>
      <c r="B659" s="8" t="s">
        <v>3727</v>
      </c>
      <c r="C659" s="8" t="s">
        <v>8669</v>
      </c>
      <c r="D659" s="8" t="s">
        <v>132</v>
      </c>
      <c r="E659" s="8" t="s">
        <v>51</v>
      </c>
      <c r="F659" s="8" t="s">
        <v>326</v>
      </c>
      <c r="G659" s="8" t="s">
        <v>124</v>
      </c>
      <c r="H659" s="8" t="s">
        <v>8675</v>
      </c>
      <c r="I659" s="8" t="s">
        <v>9087</v>
      </c>
      <c r="J659" s="8" t="s">
        <v>140</v>
      </c>
      <c r="K659" s="8" t="s">
        <v>8664</v>
      </c>
      <c r="L659" s="8"/>
      <c r="M659" s="8"/>
      <c r="N659" s="8" t="n">
        <v>25</v>
      </c>
      <c r="O659" s="8" t="n">
        <v>8</v>
      </c>
      <c r="P659" s="8" t="s">
        <v>120</v>
      </c>
    </row>
    <row r="660" customFormat="false" ht="15" hidden="false" customHeight="false" outlineLevel="0" collapsed="false">
      <c r="A660" s="8" t="s">
        <v>1145</v>
      </c>
      <c r="B660" s="8" t="s">
        <v>1146</v>
      </c>
      <c r="C660" s="8" t="s">
        <v>8680</v>
      </c>
      <c r="D660" s="8" t="s">
        <v>132</v>
      </c>
      <c r="E660" s="8" t="s">
        <v>53</v>
      </c>
      <c r="F660" s="8" t="s">
        <v>326</v>
      </c>
      <c r="G660" s="8" t="s">
        <v>124</v>
      </c>
      <c r="H660" s="8" t="s">
        <v>8662</v>
      </c>
      <c r="I660" s="8" t="s">
        <v>9410</v>
      </c>
      <c r="J660" s="8" t="s">
        <v>140</v>
      </c>
      <c r="K660" s="8" t="s">
        <v>8664</v>
      </c>
      <c r="L660" s="8"/>
      <c r="M660" s="8"/>
      <c r="N660" s="8" t="n">
        <v>25</v>
      </c>
      <c r="O660" s="8" t="n">
        <v>121</v>
      </c>
      <c r="P660" s="8" t="s">
        <v>120</v>
      </c>
    </row>
    <row r="661" customFormat="false" ht="15" hidden="false" customHeight="false" outlineLevel="0" collapsed="false">
      <c r="A661" s="8" t="s">
        <v>1579</v>
      </c>
      <c r="B661" s="8" t="s">
        <v>1580</v>
      </c>
      <c r="C661" s="8" t="s">
        <v>8680</v>
      </c>
      <c r="D661" s="8" t="s">
        <v>132</v>
      </c>
      <c r="E661" s="8" t="s">
        <v>53</v>
      </c>
      <c r="F661" s="8" t="s">
        <v>326</v>
      </c>
      <c r="G661" s="8" t="s">
        <v>166</v>
      </c>
      <c r="H661" s="8" t="s">
        <v>8666</v>
      </c>
      <c r="I661" s="8" t="s">
        <v>9315</v>
      </c>
      <c r="J661" s="8" t="s">
        <v>140</v>
      </c>
      <c r="K661" s="8" t="s">
        <v>8664</v>
      </c>
      <c r="L661" s="8"/>
      <c r="M661" s="8"/>
      <c r="N661" s="8" t="n">
        <v>25</v>
      </c>
      <c r="O661" s="8" t="n">
        <v>77</v>
      </c>
      <c r="P661" s="8" t="s">
        <v>120</v>
      </c>
    </row>
    <row r="662" customFormat="false" ht="15" hidden="false" customHeight="false" outlineLevel="0" collapsed="false">
      <c r="A662" s="8" t="s">
        <v>3864</v>
      </c>
      <c r="B662" s="8" t="s">
        <v>3865</v>
      </c>
      <c r="C662" s="8" t="s">
        <v>8678</v>
      </c>
      <c r="D662" s="8" t="s">
        <v>117</v>
      </c>
      <c r="E662" s="8" t="s">
        <v>51</v>
      </c>
      <c r="F662" s="8" t="s">
        <v>2027</v>
      </c>
      <c r="G662" s="8" t="s">
        <v>143</v>
      </c>
      <c r="H662" s="8" t="s">
        <v>8670</v>
      </c>
      <c r="I662" s="8" t="s">
        <v>9411</v>
      </c>
      <c r="J662" s="8" t="s">
        <v>119</v>
      </c>
      <c r="K662" s="8" t="s">
        <v>8664</v>
      </c>
      <c r="L662" s="8"/>
      <c r="M662" s="8"/>
      <c r="N662" s="8" t="n">
        <v>12</v>
      </c>
      <c r="O662" s="8" t="n">
        <v>16</v>
      </c>
      <c r="P662" s="8" t="s">
        <v>120</v>
      </c>
    </row>
    <row r="663" customFormat="false" ht="15" hidden="false" customHeight="false" outlineLevel="0" collapsed="false">
      <c r="A663" s="8" t="s">
        <v>2444</v>
      </c>
      <c r="B663" s="8" t="s">
        <v>2445</v>
      </c>
      <c r="C663" s="8" t="s">
        <v>8669</v>
      </c>
      <c r="D663" s="8" t="s">
        <v>132</v>
      </c>
      <c r="E663" s="8" t="s">
        <v>51</v>
      </c>
      <c r="F663" s="8" t="s">
        <v>2027</v>
      </c>
      <c r="G663" s="8" t="s">
        <v>133</v>
      </c>
      <c r="H663" s="8" t="s">
        <v>8666</v>
      </c>
      <c r="I663" s="8" t="s">
        <v>8982</v>
      </c>
      <c r="J663" s="8" t="s">
        <v>180</v>
      </c>
      <c r="K663" s="8" t="s">
        <v>8664</v>
      </c>
      <c r="L663" s="8"/>
      <c r="M663" s="8"/>
      <c r="N663" s="8" t="n">
        <v>12</v>
      </c>
      <c r="O663" s="8" t="n">
        <v>39</v>
      </c>
      <c r="P663" s="8" t="s">
        <v>120</v>
      </c>
    </row>
    <row r="664" customFormat="false" ht="15" hidden="false" customHeight="false" outlineLevel="0" collapsed="false">
      <c r="A664" s="8" t="s">
        <v>1541</v>
      </c>
      <c r="B664" s="8" t="s">
        <v>1542</v>
      </c>
      <c r="C664" s="8" t="s">
        <v>8669</v>
      </c>
      <c r="D664" s="8" t="s">
        <v>132</v>
      </c>
      <c r="E664" s="8" t="s">
        <v>53</v>
      </c>
      <c r="F664" s="8" t="s">
        <v>326</v>
      </c>
      <c r="G664" s="8" t="s">
        <v>166</v>
      </c>
      <c r="H664" s="8" t="s">
        <v>8662</v>
      </c>
      <c r="I664" s="8" t="s">
        <v>9412</v>
      </c>
      <c r="J664" s="8" t="s">
        <v>177</v>
      </c>
      <c r="K664" s="8" t="s">
        <v>8664</v>
      </c>
      <c r="L664" s="8"/>
      <c r="M664" s="8"/>
      <c r="N664" s="8" t="n">
        <v>25</v>
      </c>
      <c r="O664" s="8" t="n">
        <v>67</v>
      </c>
      <c r="P664" s="8" t="s">
        <v>120</v>
      </c>
    </row>
    <row r="665" customFormat="false" ht="15" hidden="false" customHeight="false" outlineLevel="0" collapsed="false">
      <c r="A665" s="8" t="s">
        <v>3262</v>
      </c>
      <c r="B665" s="8" t="s">
        <v>3263</v>
      </c>
      <c r="C665" s="8" t="s">
        <v>8678</v>
      </c>
      <c r="D665" s="8" t="s">
        <v>132</v>
      </c>
      <c r="E665" s="8" t="s">
        <v>51</v>
      </c>
      <c r="F665" s="8" t="s">
        <v>2027</v>
      </c>
      <c r="G665" s="8" t="s">
        <v>223</v>
      </c>
      <c r="H665" s="8" t="s">
        <v>8666</v>
      </c>
      <c r="I665" s="8" t="s">
        <v>9413</v>
      </c>
      <c r="J665" s="8" t="s">
        <v>159</v>
      </c>
      <c r="K665" s="8" t="s">
        <v>8664</v>
      </c>
      <c r="L665" s="8"/>
      <c r="M665" s="8"/>
      <c r="N665" s="8" t="n">
        <v>12</v>
      </c>
      <c r="O665" s="8" t="n">
        <v>25</v>
      </c>
      <c r="P665" s="8" t="s">
        <v>120</v>
      </c>
    </row>
    <row r="666" customFormat="false" ht="15" hidden="false" customHeight="false" outlineLevel="0" collapsed="false">
      <c r="A666" s="8" t="s">
        <v>1109</v>
      </c>
      <c r="B666" s="8" t="s">
        <v>1110</v>
      </c>
      <c r="C666" s="8" t="s">
        <v>8665</v>
      </c>
      <c r="D666" s="8" t="s">
        <v>117</v>
      </c>
      <c r="E666" s="8" t="s">
        <v>53</v>
      </c>
      <c r="F666" s="8" t="s">
        <v>55</v>
      </c>
      <c r="G666" s="8" t="s">
        <v>223</v>
      </c>
      <c r="H666" s="8" t="s">
        <v>8675</v>
      </c>
      <c r="I666" s="8" t="s">
        <v>9414</v>
      </c>
      <c r="J666" s="8" t="s">
        <v>159</v>
      </c>
      <c r="K666" s="8" t="s">
        <v>8664</v>
      </c>
      <c r="L666" s="8"/>
      <c r="M666" s="8"/>
      <c r="N666" s="8" t="n">
        <v>45</v>
      </c>
      <c r="O666" s="8" t="n">
        <v>82</v>
      </c>
      <c r="P666" s="8" t="s">
        <v>120</v>
      </c>
    </row>
    <row r="667" customFormat="false" ht="15" hidden="false" customHeight="false" outlineLevel="0" collapsed="false">
      <c r="A667" s="8" t="s">
        <v>197</v>
      </c>
      <c r="B667" s="8" t="s">
        <v>198</v>
      </c>
      <c r="C667" s="8" t="s">
        <v>8700</v>
      </c>
      <c r="D667" s="8" t="s">
        <v>123</v>
      </c>
      <c r="E667" s="8" t="s">
        <v>55</v>
      </c>
      <c r="F667" s="8" t="s">
        <v>55</v>
      </c>
      <c r="G667" s="8" t="s">
        <v>166</v>
      </c>
      <c r="H667" s="8" t="s">
        <v>8666</v>
      </c>
      <c r="I667" s="8" t="s">
        <v>8974</v>
      </c>
      <c r="J667" s="8" t="s">
        <v>180</v>
      </c>
      <c r="K667" s="8" t="s">
        <v>8664</v>
      </c>
      <c r="L667" s="8"/>
      <c r="M667" s="8"/>
      <c r="N667" s="8" t="n">
        <v>45</v>
      </c>
      <c r="O667" s="8" t="n">
        <v>567</v>
      </c>
      <c r="P667" s="8" t="s">
        <v>199</v>
      </c>
    </row>
    <row r="668" customFormat="false" ht="15" hidden="false" customHeight="false" outlineLevel="0" collapsed="false">
      <c r="A668" s="8" t="s">
        <v>1851</v>
      </c>
      <c r="B668" s="8" t="s">
        <v>1852</v>
      </c>
      <c r="C668" s="8" t="s">
        <v>8680</v>
      </c>
      <c r="D668" s="8" t="s">
        <v>128</v>
      </c>
      <c r="E668" s="8" t="s">
        <v>51</v>
      </c>
      <c r="F668" s="8" t="s">
        <v>326</v>
      </c>
      <c r="G668" s="8" t="s">
        <v>190</v>
      </c>
      <c r="H668" s="8" t="s">
        <v>8675</v>
      </c>
      <c r="I668" s="8" t="s">
        <v>8831</v>
      </c>
      <c r="J668" s="8" t="s">
        <v>147</v>
      </c>
      <c r="K668" s="8" t="s">
        <v>8664</v>
      </c>
      <c r="L668" s="8"/>
      <c r="M668" s="8"/>
      <c r="N668" s="8" t="n">
        <v>25</v>
      </c>
      <c r="O668" s="8" t="n">
        <v>38</v>
      </c>
      <c r="P668" s="8" t="s">
        <v>120</v>
      </c>
    </row>
    <row r="669" customFormat="false" ht="15" hidden="false" customHeight="false" outlineLevel="0" collapsed="false">
      <c r="A669" s="8" t="s">
        <v>939</v>
      </c>
      <c r="B669" s="8" t="s">
        <v>940</v>
      </c>
      <c r="C669" s="8" t="s">
        <v>8665</v>
      </c>
      <c r="D669" s="8" t="s">
        <v>117</v>
      </c>
      <c r="E669" s="8" t="s">
        <v>53</v>
      </c>
      <c r="F669" s="8" t="s">
        <v>55</v>
      </c>
      <c r="G669" s="8" t="s">
        <v>118</v>
      </c>
      <c r="H669" s="8" t="s">
        <v>8675</v>
      </c>
      <c r="I669" s="8" t="s">
        <v>8689</v>
      </c>
      <c r="J669" s="8" t="s">
        <v>204</v>
      </c>
      <c r="K669" s="8" t="s">
        <v>8664</v>
      </c>
      <c r="L669" s="8"/>
      <c r="M669" s="8"/>
      <c r="N669" s="8" t="n">
        <v>45</v>
      </c>
      <c r="O669" s="8" t="n">
        <v>87</v>
      </c>
      <c r="P669" s="8" t="s">
        <v>120</v>
      </c>
    </row>
    <row r="670" customFormat="false" ht="15" hidden="false" customHeight="false" outlineLevel="0" collapsed="false">
      <c r="A670" s="8" t="s">
        <v>7243</v>
      </c>
      <c r="B670" s="8" t="s">
        <v>9415</v>
      </c>
      <c r="C670" s="8" t="s">
        <v>8674</v>
      </c>
      <c r="D670" s="8" t="s">
        <v>132</v>
      </c>
      <c r="E670" s="8" t="s">
        <v>51</v>
      </c>
      <c r="F670" s="8" t="s">
        <v>2027</v>
      </c>
      <c r="G670" s="8" t="s">
        <v>151</v>
      </c>
      <c r="H670" s="8" t="s">
        <v>8670</v>
      </c>
      <c r="I670" s="8" t="s">
        <v>9381</v>
      </c>
      <c r="J670" s="8"/>
      <c r="K670" s="8" t="s">
        <v>8690</v>
      </c>
      <c r="L670" s="8" t="s">
        <v>9308</v>
      </c>
      <c r="M670" s="8" t="s">
        <v>8705</v>
      </c>
      <c r="N670" s="8" t="n">
        <v>12</v>
      </c>
      <c r="O670" s="8" t="n">
        <v>13</v>
      </c>
      <c r="P670" s="8" t="s">
        <v>120</v>
      </c>
    </row>
    <row r="671" customFormat="false" ht="15" hidden="false" customHeight="false" outlineLevel="0" collapsed="false">
      <c r="A671" s="8" t="s">
        <v>4268</v>
      </c>
      <c r="B671" s="8" t="s">
        <v>4269</v>
      </c>
      <c r="C671" s="8" t="s">
        <v>8700</v>
      </c>
      <c r="D671" s="8" t="s">
        <v>123</v>
      </c>
      <c r="E671" s="8" t="s">
        <v>51</v>
      </c>
      <c r="F671" s="8" t="s">
        <v>2027</v>
      </c>
      <c r="G671" s="8" t="s">
        <v>136</v>
      </c>
      <c r="H671" s="8" t="s">
        <v>8675</v>
      </c>
      <c r="I671" s="8" t="s">
        <v>9416</v>
      </c>
      <c r="J671" s="8" t="s">
        <v>185</v>
      </c>
      <c r="K671" s="8" t="s">
        <v>8664</v>
      </c>
      <c r="L671" s="8"/>
      <c r="M671" s="8"/>
      <c r="N671" s="8" t="n">
        <v>12</v>
      </c>
      <c r="O671" s="8" t="n">
        <v>7</v>
      </c>
      <c r="P671" s="8" t="s">
        <v>120</v>
      </c>
    </row>
    <row r="672" customFormat="false" ht="15" hidden="false" customHeight="false" outlineLevel="0" collapsed="false">
      <c r="A672" s="8" t="s">
        <v>9417</v>
      </c>
      <c r="B672" s="8" t="s">
        <v>9418</v>
      </c>
      <c r="C672" s="8" t="s">
        <v>8680</v>
      </c>
      <c r="D672" s="8" t="s">
        <v>128</v>
      </c>
      <c r="E672" s="8" t="s">
        <v>51</v>
      </c>
      <c r="F672" s="8" t="s">
        <v>2027</v>
      </c>
      <c r="G672" s="8" t="s">
        <v>136</v>
      </c>
      <c r="H672" s="8" t="s">
        <v>8675</v>
      </c>
      <c r="I672" s="8" t="s">
        <v>9419</v>
      </c>
      <c r="J672" s="8"/>
      <c r="K672" s="8" t="s">
        <v>8690</v>
      </c>
      <c r="L672" s="8" t="s">
        <v>9420</v>
      </c>
      <c r="M672" s="8" t="s">
        <v>8705</v>
      </c>
      <c r="N672" s="8" t="n">
        <v>12</v>
      </c>
      <c r="O672" s="8" t="n">
        <v>7</v>
      </c>
      <c r="P672" s="8" t="s">
        <v>120</v>
      </c>
    </row>
    <row r="673" customFormat="false" ht="15" hidden="false" customHeight="false" outlineLevel="0" collapsed="false">
      <c r="A673" s="8" t="s">
        <v>3666</v>
      </c>
      <c r="B673" s="8" t="s">
        <v>3667</v>
      </c>
      <c r="C673" s="8" t="s">
        <v>8674</v>
      </c>
      <c r="D673" s="8" t="s">
        <v>132</v>
      </c>
      <c r="E673" s="8" t="s">
        <v>51</v>
      </c>
      <c r="F673" s="8" t="s">
        <v>2027</v>
      </c>
      <c r="G673" s="8" t="s">
        <v>118</v>
      </c>
      <c r="H673" s="8" t="s">
        <v>8675</v>
      </c>
      <c r="I673" s="8" t="s">
        <v>9421</v>
      </c>
      <c r="J673" s="8" t="s">
        <v>204</v>
      </c>
      <c r="K673" s="8" t="s">
        <v>8664</v>
      </c>
      <c r="L673" s="8"/>
      <c r="M673" s="8"/>
      <c r="N673" s="8" t="n">
        <v>12</v>
      </c>
      <c r="O673" s="8" t="n">
        <v>18</v>
      </c>
      <c r="P673" s="8" t="s">
        <v>120</v>
      </c>
    </row>
    <row r="674" customFormat="false" ht="15" hidden="false" customHeight="false" outlineLevel="0" collapsed="false">
      <c r="A674" s="8" t="s">
        <v>2816</v>
      </c>
      <c r="B674" s="8" t="s">
        <v>2817</v>
      </c>
      <c r="C674" s="8" t="s">
        <v>8669</v>
      </c>
      <c r="D674" s="8" t="s">
        <v>128</v>
      </c>
      <c r="E674" s="8" t="s">
        <v>51</v>
      </c>
      <c r="F674" s="8" t="s">
        <v>2027</v>
      </c>
      <c r="G674" s="8" t="s">
        <v>133</v>
      </c>
      <c r="H674" s="8" t="s">
        <v>8675</v>
      </c>
      <c r="I674" s="8" t="s">
        <v>9422</v>
      </c>
      <c r="J674" s="8" t="s">
        <v>125</v>
      </c>
      <c r="K674" s="8" t="s">
        <v>8664</v>
      </c>
      <c r="L674" s="8"/>
      <c r="M674" s="8"/>
      <c r="N674" s="8" t="n">
        <v>12</v>
      </c>
      <c r="O674" s="8" t="n">
        <v>33</v>
      </c>
      <c r="P674" s="8" t="s">
        <v>120</v>
      </c>
    </row>
    <row r="675" customFormat="false" ht="15" hidden="false" customHeight="false" outlineLevel="0" collapsed="false">
      <c r="A675" s="8" t="s">
        <v>1801</v>
      </c>
      <c r="B675" s="8" t="s">
        <v>1802</v>
      </c>
      <c r="C675" s="8" t="s">
        <v>8674</v>
      </c>
      <c r="D675" s="8" t="s">
        <v>123</v>
      </c>
      <c r="E675" s="8" t="s">
        <v>51</v>
      </c>
      <c r="F675" s="8" t="s">
        <v>326</v>
      </c>
      <c r="G675" s="8" t="s">
        <v>223</v>
      </c>
      <c r="H675" s="8" t="s">
        <v>8670</v>
      </c>
      <c r="I675" s="8" t="s">
        <v>9180</v>
      </c>
      <c r="J675" s="8" t="s">
        <v>180</v>
      </c>
      <c r="K675" s="8" t="s">
        <v>8664</v>
      </c>
      <c r="L675" s="8"/>
      <c r="M675" s="8"/>
      <c r="N675" s="8" t="n">
        <v>25</v>
      </c>
      <c r="O675" s="8" t="n">
        <v>39</v>
      </c>
      <c r="P675" s="8" t="s">
        <v>120</v>
      </c>
    </row>
    <row r="676" customFormat="false" ht="15" hidden="false" customHeight="false" outlineLevel="0" collapsed="false">
      <c r="A676" s="8" t="s">
        <v>2850</v>
      </c>
      <c r="B676" s="8" t="s">
        <v>2851</v>
      </c>
      <c r="C676" s="8" t="s">
        <v>8680</v>
      </c>
      <c r="D676" s="8" t="s">
        <v>132</v>
      </c>
      <c r="E676" s="8" t="s">
        <v>51</v>
      </c>
      <c r="F676" s="8" t="s">
        <v>2027</v>
      </c>
      <c r="G676" s="8" t="s">
        <v>190</v>
      </c>
      <c r="H676" s="8" t="s">
        <v>8670</v>
      </c>
      <c r="I676" s="8" t="s">
        <v>8745</v>
      </c>
      <c r="J676" s="8" t="s">
        <v>144</v>
      </c>
      <c r="K676" s="8" t="s">
        <v>8664</v>
      </c>
      <c r="L676" s="8"/>
      <c r="M676" s="8"/>
      <c r="N676" s="8" t="n">
        <v>12</v>
      </c>
      <c r="O676" s="8" t="n">
        <v>30</v>
      </c>
      <c r="P676" s="8" t="s">
        <v>120</v>
      </c>
    </row>
    <row r="677" customFormat="false" ht="15" hidden="false" customHeight="false" outlineLevel="0" collapsed="false">
      <c r="A677" s="8" t="s">
        <v>2898</v>
      </c>
      <c r="B677" s="8" t="s">
        <v>2899</v>
      </c>
      <c r="C677" s="8" t="s">
        <v>8661</v>
      </c>
      <c r="D677" s="8" t="s">
        <v>123</v>
      </c>
      <c r="E677" s="8" t="s">
        <v>51</v>
      </c>
      <c r="F677" s="8" t="s">
        <v>326</v>
      </c>
      <c r="G677" s="8" t="s">
        <v>151</v>
      </c>
      <c r="H677" s="8" t="s">
        <v>8666</v>
      </c>
      <c r="I677" s="8" t="s">
        <v>8950</v>
      </c>
      <c r="J677" s="8" t="s">
        <v>129</v>
      </c>
      <c r="K677" s="8" t="s">
        <v>8664</v>
      </c>
      <c r="L677" s="8"/>
      <c r="M677" s="8"/>
      <c r="N677" s="8" t="n">
        <v>25</v>
      </c>
      <c r="O677" s="8" t="n">
        <v>20</v>
      </c>
      <c r="P677" s="8" t="s">
        <v>148</v>
      </c>
    </row>
    <row r="678" customFormat="false" ht="15" hidden="false" customHeight="false" outlineLevel="0" collapsed="false">
      <c r="A678" s="8" t="s">
        <v>9423</v>
      </c>
      <c r="B678" s="8" t="s">
        <v>9424</v>
      </c>
      <c r="C678" s="8" t="s">
        <v>8700</v>
      </c>
      <c r="D678" s="8" t="s">
        <v>132</v>
      </c>
      <c r="E678" s="8" t="s">
        <v>51</v>
      </c>
      <c r="F678" s="8" t="s">
        <v>326</v>
      </c>
      <c r="G678" s="8" t="s">
        <v>190</v>
      </c>
      <c r="H678" s="8" t="s">
        <v>8662</v>
      </c>
      <c r="I678" s="8" t="s">
        <v>9147</v>
      </c>
      <c r="J678" s="8"/>
      <c r="K678" s="8" t="s">
        <v>8690</v>
      </c>
      <c r="L678" s="8" t="s">
        <v>9414</v>
      </c>
      <c r="M678" s="8" t="s">
        <v>8727</v>
      </c>
      <c r="N678" s="8" t="n">
        <v>25</v>
      </c>
      <c r="O678" s="8" t="n">
        <v>8</v>
      </c>
      <c r="P678" s="8" t="s">
        <v>148</v>
      </c>
    </row>
    <row r="679" customFormat="false" ht="15" hidden="false" customHeight="false" outlineLevel="0" collapsed="false">
      <c r="A679" s="8" t="s">
        <v>4451</v>
      </c>
      <c r="B679" s="8" t="s">
        <v>9425</v>
      </c>
      <c r="C679" s="8" t="s">
        <v>8688</v>
      </c>
      <c r="D679" s="8" t="s">
        <v>132</v>
      </c>
      <c r="E679" s="8" t="s">
        <v>53</v>
      </c>
      <c r="F679" s="8" t="s">
        <v>326</v>
      </c>
      <c r="G679" s="8" t="s">
        <v>124</v>
      </c>
      <c r="H679" s="8" t="s">
        <v>8662</v>
      </c>
      <c r="I679" s="8" t="s">
        <v>9426</v>
      </c>
      <c r="J679" s="8"/>
      <c r="K679" s="8" t="s">
        <v>8690</v>
      </c>
      <c r="L679" s="8" t="s">
        <v>9427</v>
      </c>
      <c r="M679" s="8" t="s">
        <v>8795</v>
      </c>
      <c r="N679" s="8" t="n">
        <v>25</v>
      </c>
      <c r="O679" s="8" t="n">
        <v>129</v>
      </c>
      <c r="P679" s="8" t="s">
        <v>120</v>
      </c>
    </row>
    <row r="680" customFormat="false" ht="15" hidden="false" customHeight="false" outlineLevel="0" collapsed="false">
      <c r="A680" s="8" t="s">
        <v>7267</v>
      </c>
      <c r="B680" s="8" t="s">
        <v>9428</v>
      </c>
      <c r="C680" s="8" t="s">
        <v>8661</v>
      </c>
      <c r="D680" s="8" t="s">
        <v>123</v>
      </c>
      <c r="E680" s="8" t="s">
        <v>51</v>
      </c>
      <c r="F680" s="8" t="s">
        <v>2027</v>
      </c>
      <c r="G680" s="8" t="s">
        <v>190</v>
      </c>
      <c r="H680" s="8" t="s">
        <v>8666</v>
      </c>
      <c r="I680" s="8" t="s">
        <v>8743</v>
      </c>
      <c r="J680" s="8"/>
      <c r="K680" s="8" t="s">
        <v>8690</v>
      </c>
      <c r="L680" s="8" t="s">
        <v>9429</v>
      </c>
      <c r="M680" s="8" t="s">
        <v>8696</v>
      </c>
      <c r="N680" s="8" t="n">
        <v>12</v>
      </c>
      <c r="O680" s="8" t="n">
        <v>16</v>
      </c>
      <c r="P680" s="8" t="s">
        <v>120</v>
      </c>
    </row>
    <row r="681" customFormat="false" ht="15" hidden="false" customHeight="false" outlineLevel="0" collapsed="false">
      <c r="A681" s="8" t="s">
        <v>1683</v>
      </c>
      <c r="B681" s="8" t="s">
        <v>1684</v>
      </c>
      <c r="C681" s="8" t="s">
        <v>8661</v>
      </c>
      <c r="D681" s="8" t="s">
        <v>132</v>
      </c>
      <c r="E681" s="8" t="s">
        <v>53</v>
      </c>
      <c r="F681" s="8" t="s">
        <v>326</v>
      </c>
      <c r="G681" s="8" t="s">
        <v>223</v>
      </c>
      <c r="H681" s="8" t="s">
        <v>8662</v>
      </c>
      <c r="I681" s="8" t="s">
        <v>9430</v>
      </c>
      <c r="J681" s="8" t="s">
        <v>140</v>
      </c>
      <c r="K681" s="8" t="s">
        <v>8664</v>
      </c>
      <c r="L681" s="8"/>
      <c r="M681" s="8"/>
      <c r="N681" s="8" t="n">
        <v>25</v>
      </c>
      <c r="O681" s="8" t="n">
        <v>55</v>
      </c>
      <c r="P681" s="8" t="s">
        <v>148</v>
      </c>
    </row>
    <row r="682" customFormat="false" ht="15" hidden="false" customHeight="false" outlineLevel="0" collapsed="false">
      <c r="A682" s="8" t="s">
        <v>2446</v>
      </c>
      <c r="B682" s="8" t="s">
        <v>2447</v>
      </c>
      <c r="C682" s="8" t="s">
        <v>8678</v>
      </c>
      <c r="D682" s="8" t="s">
        <v>123</v>
      </c>
      <c r="E682" s="8" t="s">
        <v>51</v>
      </c>
      <c r="F682" s="8" t="s">
        <v>2027</v>
      </c>
      <c r="G682" s="8" t="s">
        <v>124</v>
      </c>
      <c r="H682" s="8" t="s">
        <v>8675</v>
      </c>
      <c r="I682" s="8" t="s">
        <v>9431</v>
      </c>
      <c r="J682" s="8" t="s">
        <v>129</v>
      </c>
      <c r="K682" s="8" t="s">
        <v>8664</v>
      </c>
      <c r="L682" s="8"/>
      <c r="M682" s="8"/>
      <c r="N682" s="8" t="n">
        <v>12</v>
      </c>
      <c r="O682" s="8" t="n">
        <v>39</v>
      </c>
      <c r="P682" s="8" t="s">
        <v>120</v>
      </c>
    </row>
    <row r="683" customFormat="false" ht="15" hidden="false" customHeight="false" outlineLevel="0" collapsed="false">
      <c r="A683" s="8" t="s">
        <v>2250</v>
      </c>
      <c r="B683" s="8" t="s">
        <v>2251</v>
      </c>
      <c r="C683" s="8" t="s">
        <v>8674</v>
      </c>
      <c r="D683" s="8" t="s">
        <v>132</v>
      </c>
      <c r="E683" s="8" t="s">
        <v>51</v>
      </c>
      <c r="F683" s="8" t="s">
        <v>326</v>
      </c>
      <c r="G683" s="8" t="s">
        <v>136</v>
      </c>
      <c r="H683" s="8" t="s">
        <v>8670</v>
      </c>
      <c r="I683" s="8" t="s">
        <v>8867</v>
      </c>
      <c r="J683" s="8" t="s">
        <v>185</v>
      </c>
      <c r="K683" s="8" t="s">
        <v>8664</v>
      </c>
      <c r="L683" s="8"/>
      <c r="M683" s="8"/>
      <c r="N683" s="8" t="n">
        <v>25</v>
      </c>
      <c r="O683" s="8" t="n">
        <v>23</v>
      </c>
      <c r="P683" s="8" t="s">
        <v>120</v>
      </c>
    </row>
    <row r="684" customFormat="false" ht="15" hidden="false" customHeight="false" outlineLevel="0" collapsed="false">
      <c r="A684" s="8" t="s">
        <v>9432</v>
      </c>
      <c r="B684" s="8" t="s">
        <v>9433</v>
      </c>
      <c r="C684" s="8" t="s">
        <v>8661</v>
      </c>
      <c r="D684" s="8" t="s">
        <v>123</v>
      </c>
      <c r="E684" s="8" t="s">
        <v>51</v>
      </c>
      <c r="F684" s="8" t="s">
        <v>326</v>
      </c>
      <c r="G684" s="8" t="s">
        <v>151</v>
      </c>
      <c r="H684" s="8" t="s">
        <v>8662</v>
      </c>
      <c r="I684" s="8" t="s">
        <v>9434</v>
      </c>
      <c r="J684" s="8"/>
      <c r="K684" s="8" t="s">
        <v>8690</v>
      </c>
      <c r="L684" s="8" t="s">
        <v>9000</v>
      </c>
      <c r="M684" s="8" t="s">
        <v>8692</v>
      </c>
      <c r="N684" s="8" t="n">
        <v>25</v>
      </c>
      <c r="O684" s="8" t="n">
        <v>11</v>
      </c>
      <c r="P684" s="8" t="s">
        <v>120</v>
      </c>
    </row>
    <row r="685" customFormat="false" ht="15" hidden="false" customHeight="false" outlineLevel="0" collapsed="false">
      <c r="A685" s="8" t="s">
        <v>1289</v>
      </c>
      <c r="B685" s="8" t="s">
        <v>1290</v>
      </c>
      <c r="C685" s="8" t="s">
        <v>8688</v>
      </c>
      <c r="D685" s="8" t="s">
        <v>132</v>
      </c>
      <c r="E685" s="8" t="s">
        <v>53</v>
      </c>
      <c r="F685" s="8" t="s">
        <v>55</v>
      </c>
      <c r="G685" s="8" t="s">
        <v>166</v>
      </c>
      <c r="H685" s="8" t="s">
        <v>8666</v>
      </c>
      <c r="I685" s="8" t="s">
        <v>9435</v>
      </c>
      <c r="J685" s="8" t="s">
        <v>125</v>
      </c>
      <c r="K685" s="8" t="s">
        <v>8664</v>
      </c>
      <c r="L685" s="8"/>
      <c r="M685" s="8"/>
      <c r="N685" s="8" t="n">
        <v>45</v>
      </c>
      <c r="O685" s="8" t="n">
        <v>69</v>
      </c>
      <c r="P685" s="8" t="s">
        <v>120</v>
      </c>
    </row>
    <row r="686" customFormat="false" ht="15" hidden="false" customHeight="false" outlineLevel="0" collapsed="false">
      <c r="A686" s="8" t="s">
        <v>4505</v>
      </c>
      <c r="B686" s="8" t="s">
        <v>9436</v>
      </c>
      <c r="C686" s="8" t="s">
        <v>8688</v>
      </c>
      <c r="D686" s="8" t="s">
        <v>123</v>
      </c>
      <c r="E686" s="8" t="s">
        <v>51</v>
      </c>
      <c r="F686" s="8" t="s">
        <v>326</v>
      </c>
      <c r="G686" s="8" t="s">
        <v>136</v>
      </c>
      <c r="H686" s="8" t="s">
        <v>8662</v>
      </c>
      <c r="I686" s="8" t="s">
        <v>9437</v>
      </c>
      <c r="J686" s="8"/>
      <c r="K686" s="8" t="s">
        <v>8690</v>
      </c>
      <c r="L686" s="8" t="s">
        <v>8856</v>
      </c>
      <c r="M686" s="8" t="s">
        <v>8692</v>
      </c>
      <c r="N686" s="8" t="n">
        <v>25</v>
      </c>
      <c r="O686" s="8" t="n">
        <v>18</v>
      </c>
      <c r="P686" s="8" t="s">
        <v>120</v>
      </c>
    </row>
    <row r="687" customFormat="false" ht="15" hidden="false" customHeight="false" outlineLevel="0" collapsed="false">
      <c r="A687" s="8" t="s">
        <v>2640</v>
      </c>
      <c r="B687" s="8" t="s">
        <v>2641</v>
      </c>
      <c r="C687" s="8" t="s">
        <v>8688</v>
      </c>
      <c r="D687" s="8" t="s">
        <v>117</v>
      </c>
      <c r="E687" s="8" t="s">
        <v>51</v>
      </c>
      <c r="F687" s="8" t="s">
        <v>326</v>
      </c>
      <c r="G687" s="8" t="s">
        <v>166</v>
      </c>
      <c r="H687" s="8" t="s">
        <v>8666</v>
      </c>
      <c r="I687" s="8" t="s">
        <v>8875</v>
      </c>
      <c r="J687" s="8" t="s">
        <v>129</v>
      </c>
      <c r="K687" s="8" t="s">
        <v>8664</v>
      </c>
      <c r="L687" s="8"/>
      <c r="M687" s="8"/>
      <c r="N687" s="8" t="n">
        <v>25</v>
      </c>
      <c r="O687" s="8" t="n">
        <v>17</v>
      </c>
      <c r="P687" s="8" t="s">
        <v>120</v>
      </c>
    </row>
    <row r="688" customFormat="false" ht="15" hidden="false" customHeight="false" outlineLevel="0" collapsed="false">
      <c r="A688" s="8" t="s">
        <v>3210</v>
      </c>
      <c r="B688" s="8" t="s">
        <v>3211</v>
      </c>
      <c r="C688" s="8" t="s">
        <v>8669</v>
      </c>
      <c r="D688" s="8" t="s">
        <v>123</v>
      </c>
      <c r="E688" s="8" t="s">
        <v>51</v>
      </c>
      <c r="F688" s="8" t="s">
        <v>2027</v>
      </c>
      <c r="G688" s="8" t="s">
        <v>143</v>
      </c>
      <c r="H688" s="8" t="s">
        <v>8666</v>
      </c>
      <c r="I688" s="8" t="s">
        <v>9108</v>
      </c>
      <c r="J688" s="8" t="s">
        <v>119</v>
      </c>
      <c r="K688" s="8" t="s">
        <v>8664</v>
      </c>
      <c r="L688" s="8"/>
      <c r="M688" s="8"/>
      <c r="N688" s="8" t="n">
        <v>12</v>
      </c>
      <c r="O688" s="8" t="n">
        <v>26</v>
      </c>
      <c r="P688" s="8" t="s">
        <v>120</v>
      </c>
    </row>
    <row r="689" customFormat="false" ht="15" hidden="false" customHeight="false" outlineLevel="0" collapsed="false">
      <c r="A689" s="8" t="s">
        <v>284</v>
      </c>
      <c r="B689" s="8" t="s">
        <v>285</v>
      </c>
      <c r="C689" s="8" t="s">
        <v>8680</v>
      </c>
      <c r="D689" s="8" t="s">
        <v>117</v>
      </c>
      <c r="E689" s="8" t="s">
        <v>55</v>
      </c>
      <c r="F689" s="8" t="s">
        <v>55</v>
      </c>
      <c r="G689" s="8" t="s">
        <v>124</v>
      </c>
      <c r="H689" s="8" t="s">
        <v>8670</v>
      </c>
      <c r="I689" s="8" t="s">
        <v>9438</v>
      </c>
      <c r="J689" s="8" t="s">
        <v>180</v>
      </c>
      <c r="K689" s="8" t="s">
        <v>8664</v>
      </c>
      <c r="L689" s="8"/>
      <c r="M689" s="8"/>
      <c r="N689" s="8" t="n">
        <v>45</v>
      </c>
      <c r="O689" s="8" t="n">
        <v>440</v>
      </c>
      <c r="P689" s="8" t="s">
        <v>120</v>
      </c>
    </row>
    <row r="690" customFormat="false" ht="15" hidden="false" customHeight="false" outlineLevel="0" collapsed="false">
      <c r="A690" s="8" t="s">
        <v>9439</v>
      </c>
      <c r="B690" s="8" t="s">
        <v>9440</v>
      </c>
      <c r="C690" s="8" t="s">
        <v>8688</v>
      </c>
      <c r="D690" s="8" t="s">
        <v>132</v>
      </c>
      <c r="E690" s="8" t="s">
        <v>51</v>
      </c>
      <c r="F690" s="8" t="s">
        <v>326</v>
      </c>
      <c r="G690" s="8" t="s">
        <v>133</v>
      </c>
      <c r="H690" s="8" t="s">
        <v>8670</v>
      </c>
      <c r="I690" s="8" t="s">
        <v>9441</v>
      </c>
      <c r="J690" s="8"/>
      <c r="K690" s="8" t="s">
        <v>8690</v>
      </c>
      <c r="L690" s="8" t="s">
        <v>9004</v>
      </c>
      <c r="M690" s="8" t="s">
        <v>8696</v>
      </c>
      <c r="N690" s="8" t="n">
        <v>25</v>
      </c>
      <c r="O690" s="8" t="n">
        <v>25</v>
      </c>
      <c r="P690" s="8" t="s">
        <v>120</v>
      </c>
    </row>
    <row r="691" customFormat="false" ht="15" hidden="false" customHeight="false" outlineLevel="0" collapsed="false">
      <c r="A691" s="8" t="s">
        <v>4162</v>
      </c>
      <c r="B691" s="8" t="s">
        <v>4163</v>
      </c>
      <c r="C691" s="8" t="s">
        <v>8680</v>
      </c>
      <c r="D691" s="8" t="s">
        <v>123</v>
      </c>
      <c r="E691" s="8" t="s">
        <v>51</v>
      </c>
      <c r="F691" s="8" t="s">
        <v>2027</v>
      </c>
      <c r="G691" s="8" t="s">
        <v>190</v>
      </c>
      <c r="H691" s="8" t="s">
        <v>8670</v>
      </c>
      <c r="I691" s="8" t="s">
        <v>8839</v>
      </c>
      <c r="J691" s="8" t="s">
        <v>180</v>
      </c>
      <c r="K691" s="8" t="s">
        <v>8664</v>
      </c>
      <c r="L691" s="8"/>
      <c r="M691" s="8"/>
      <c r="N691" s="8" t="n">
        <v>12</v>
      </c>
      <c r="O691" s="8" t="n">
        <v>9</v>
      </c>
      <c r="P691" s="8" t="s">
        <v>120</v>
      </c>
    </row>
    <row r="692" customFormat="false" ht="15" hidden="false" customHeight="false" outlineLevel="0" collapsed="false">
      <c r="A692" s="8" t="s">
        <v>1585</v>
      </c>
      <c r="B692" s="8" t="s">
        <v>1586</v>
      </c>
      <c r="C692" s="8" t="s">
        <v>8665</v>
      </c>
      <c r="D692" s="8" t="s">
        <v>117</v>
      </c>
      <c r="E692" s="8" t="s">
        <v>53</v>
      </c>
      <c r="F692" s="8" t="s">
        <v>326</v>
      </c>
      <c r="G692" s="8" t="s">
        <v>151</v>
      </c>
      <c r="H692" s="8" t="s">
        <v>8670</v>
      </c>
      <c r="I692" s="8" t="s">
        <v>9442</v>
      </c>
      <c r="J692" s="8" t="s">
        <v>177</v>
      </c>
      <c r="K692" s="8" t="s">
        <v>8664</v>
      </c>
      <c r="L692" s="8"/>
      <c r="M692" s="8"/>
      <c r="N692" s="8" t="n">
        <v>25</v>
      </c>
      <c r="O692" s="8" t="n">
        <v>67</v>
      </c>
      <c r="P692" s="8" t="s">
        <v>120</v>
      </c>
    </row>
    <row r="693" customFormat="false" ht="15" hidden="false" customHeight="false" outlineLevel="0" collapsed="false">
      <c r="A693" s="8" t="s">
        <v>4164</v>
      </c>
      <c r="B693" s="8" t="s">
        <v>4165</v>
      </c>
      <c r="C693" s="8" t="s">
        <v>8688</v>
      </c>
      <c r="D693" s="8" t="s">
        <v>117</v>
      </c>
      <c r="E693" s="8" t="s">
        <v>51</v>
      </c>
      <c r="F693" s="8" t="s">
        <v>2027</v>
      </c>
      <c r="G693" s="8" t="s">
        <v>124</v>
      </c>
      <c r="H693" s="8" t="s">
        <v>8670</v>
      </c>
      <c r="I693" s="8" t="s">
        <v>9443</v>
      </c>
      <c r="J693" s="8" t="s">
        <v>159</v>
      </c>
      <c r="K693" s="8" t="s">
        <v>8664</v>
      </c>
      <c r="L693" s="8"/>
      <c r="M693" s="8"/>
      <c r="N693" s="8" t="n">
        <v>12</v>
      </c>
      <c r="O693" s="8" t="n">
        <v>9</v>
      </c>
      <c r="P693" s="8" t="s">
        <v>120</v>
      </c>
    </row>
    <row r="694" customFormat="false" ht="15" hidden="false" customHeight="false" outlineLevel="0" collapsed="false">
      <c r="A694" s="8" t="s">
        <v>2560</v>
      </c>
      <c r="B694" s="8" t="s">
        <v>2561</v>
      </c>
      <c r="C694" s="8" t="s">
        <v>8700</v>
      </c>
      <c r="D694" s="8" t="s">
        <v>123</v>
      </c>
      <c r="E694" s="8" t="s">
        <v>51</v>
      </c>
      <c r="F694" s="8" t="s">
        <v>2027</v>
      </c>
      <c r="G694" s="8" t="s">
        <v>154</v>
      </c>
      <c r="H694" s="8" t="s">
        <v>8675</v>
      </c>
      <c r="I694" s="8" t="s">
        <v>8974</v>
      </c>
      <c r="J694" s="8" t="s">
        <v>180</v>
      </c>
      <c r="K694" s="8" t="s">
        <v>8664</v>
      </c>
      <c r="L694" s="8"/>
      <c r="M694" s="8"/>
      <c r="N694" s="8" t="n">
        <v>12</v>
      </c>
      <c r="O694" s="8" t="n">
        <v>37</v>
      </c>
      <c r="P694" s="8" t="s">
        <v>120</v>
      </c>
    </row>
    <row r="695" customFormat="false" ht="15" hidden="false" customHeight="false" outlineLevel="0" collapsed="false">
      <c r="A695" s="8" t="s">
        <v>3338</v>
      </c>
      <c r="B695" s="8" t="s">
        <v>3339</v>
      </c>
      <c r="C695" s="8" t="s">
        <v>8661</v>
      </c>
      <c r="D695" s="8" t="s">
        <v>123</v>
      </c>
      <c r="E695" s="8" t="s">
        <v>51</v>
      </c>
      <c r="F695" s="8" t="s">
        <v>2027</v>
      </c>
      <c r="G695" s="8" t="s">
        <v>223</v>
      </c>
      <c r="H695" s="8" t="s">
        <v>8670</v>
      </c>
      <c r="I695" s="8" t="s">
        <v>8887</v>
      </c>
      <c r="J695" s="8" t="s">
        <v>204</v>
      </c>
      <c r="K695" s="8" t="s">
        <v>8664</v>
      </c>
      <c r="L695" s="8"/>
      <c r="M695" s="8"/>
      <c r="N695" s="8" t="n">
        <v>12</v>
      </c>
      <c r="O695" s="8" t="n">
        <v>24</v>
      </c>
      <c r="P695" s="8" t="s">
        <v>120</v>
      </c>
    </row>
    <row r="696" customFormat="false" ht="15" hidden="false" customHeight="false" outlineLevel="0" collapsed="false">
      <c r="A696" s="8" t="s">
        <v>3264</v>
      </c>
      <c r="B696" s="8" t="s">
        <v>3265</v>
      </c>
      <c r="C696" s="8" t="s">
        <v>8661</v>
      </c>
      <c r="D696" s="8" t="s">
        <v>123</v>
      </c>
      <c r="E696" s="8" t="s">
        <v>51</v>
      </c>
      <c r="F696" s="8" t="s">
        <v>2027</v>
      </c>
      <c r="G696" s="8" t="s">
        <v>118</v>
      </c>
      <c r="H696" s="8" t="s">
        <v>8662</v>
      </c>
      <c r="I696" s="8" t="s">
        <v>9444</v>
      </c>
      <c r="J696" s="8" t="s">
        <v>147</v>
      </c>
      <c r="K696" s="8" t="s">
        <v>8664</v>
      </c>
      <c r="L696" s="8"/>
      <c r="M696" s="8"/>
      <c r="N696" s="8" t="n">
        <v>12</v>
      </c>
      <c r="O696" s="8" t="n">
        <v>25</v>
      </c>
      <c r="P696" s="8" t="s">
        <v>120</v>
      </c>
    </row>
    <row r="697" customFormat="false" ht="15" hidden="false" customHeight="false" outlineLevel="0" collapsed="false">
      <c r="A697" s="8" t="s">
        <v>4270</v>
      </c>
      <c r="B697" s="8" t="s">
        <v>4271</v>
      </c>
      <c r="C697" s="8" t="s">
        <v>8674</v>
      </c>
      <c r="D697" s="8" t="s">
        <v>132</v>
      </c>
      <c r="E697" s="8" t="s">
        <v>51</v>
      </c>
      <c r="F697" s="8" t="s">
        <v>2027</v>
      </c>
      <c r="G697" s="8" t="s">
        <v>154</v>
      </c>
      <c r="H697" s="8" t="s">
        <v>8662</v>
      </c>
      <c r="I697" s="8" t="s">
        <v>9050</v>
      </c>
      <c r="J697" s="8" t="s">
        <v>180</v>
      </c>
      <c r="K697" s="8" t="s">
        <v>8664</v>
      </c>
      <c r="L697" s="8"/>
      <c r="M697" s="8"/>
      <c r="N697" s="8" t="n">
        <v>12</v>
      </c>
      <c r="O697" s="8" t="n">
        <v>7</v>
      </c>
      <c r="P697" s="8" t="s">
        <v>120</v>
      </c>
    </row>
    <row r="698" customFormat="false" ht="15" hidden="false" customHeight="false" outlineLevel="0" collapsed="false">
      <c r="A698" s="8" t="s">
        <v>3922</v>
      </c>
      <c r="B698" s="8" t="s">
        <v>3923</v>
      </c>
      <c r="C698" s="8" t="s">
        <v>8674</v>
      </c>
      <c r="D698" s="8" t="s">
        <v>123</v>
      </c>
      <c r="E698" s="8" t="s">
        <v>51</v>
      </c>
      <c r="F698" s="8" t="s">
        <v>2027</v>
      </c>
      <c r="G698" s="8" t="s">
        <v>136</v>
      </c>
      <c r="H698" s="8" t="s">
        <v>8675</v>
      </c>
      <c r="I698" s="8" t="s">
        <v>9052</v>
      </c>
      <c r="J698" s="8" t="s">
        <v>177</v>
      </c>
      <c r="K698" s="8" t="s">
        <v>8664</v>
      </c>
      <c r="L698" s="8"/>
      <c r="M698" s="8"/>
      <c r="N698" s="8" t="n">
        <v>12</v>
      </c>
      <c r="O698" s="8" t="n">
        <v>11</v>
      </c>
      <c r="P698" s="8" t="s">
        <v>120</v>
      </c>
    </row>
    <row r="699" customFormat="false" ht="15" hidden="false" customHeight="false" outlineLevel="0" collapsed="false">
      <c r="A699" s="8" t="s">
        <v>9445</v>
      </c>
      <c r="B699" s="8" t="s">
        <v>9446</v>
      </c>
      <c r="C699" s="8" t="s">
        <v>8661</v>
      </c>
      <c r="D699" s="8" t="s">
        <v>123</v>
      </c>
      <c r="E699" s="8" t="s">
        <v>51</v>
      </c>
      <c r="F699" s="8" t="s">
        <v>326</v>
      </c>
      <c r="G699" s="8" t="s">
        <v>190</v>
      </c>
      <c r="H699" s="8" t="s">
        <v>8666</v>
      </c>
      <c r="I699" s="8" t="s">
        <v>9447</v>
      </c>
      <c r="J699" s="8"/>
      <c r="K699" s="8" t="s">
        <v>8690</v>
      </c>
      <c r="L699" s="8" t="s">
        <v>9448</v>
      </c>
      <c r="M699" s="8" t="s">
        <v>8795</v>
      </c>
      <c r="N699" s="8" t="n">
        <v>25</v>
      </c>
      <c r="O699" s="8" t="n">
        <v>10</v>
      </c>
      <c r="P699" s="8" t="s">
        <v>120</v>
      </c>
    </row>
    <row r="700" customFormat="false" ht="15" hidden="false" customHeight="false" outlineLevel="0" collapsed="false">
      <c r="A700" s="8" t="s">
        <v>3400</v>
      </c>
      <c r="B700" s="8" t="s">
        <v>3401</v>
      </c>
      <c r="C700" s="8" t="s">
        <v>8680</v>
      </c>
      <c r="D700" s="8" t="s">
        <v>132</v>
      </c>
      <c r="E700" s="8" t="s">
        <v>51</v>
      </c>
      <c r="F700" s="8" t="s">
        <v>2027</v>
      </c>
      <c r="G700" s="8" t="s">
        <v>151</v>
      </c>
      <c r="H700" s="8" t="s">
        <v>8675</v>
      </c>
      <c r="I700" s="8" t="s">
        <v>9449</v>
      </c>
      <c r="J700" s="8" t="s">
        <v>144</v>
      </c>
      <c r="K700" s="8" t="s">
        <v>8664</v>
      </c>
      <c r="L700" s="8"/>
      <c r="M700" s="8"/>
      <c r="N700" s="8" t="n">
        <v>12</v>
      </c>
      <c r="O700" s="8" t="n">
        <v>18</v>
      </c>
      <c r="P700" s="8" t="s">
        <v>148</v>
      </c>
    </row>
    <row r="701" customFormat="false" ht="15" hidden="false" customHeight="false" outlineLevel="0" collapsed="false">
      <c r="A701" s="8" t="s">
        <v>1951</v>
      </c>
      <c r="B701" s="8" t="s">
        <v>1952</v>
      </c>
      <c r="C701" s="8" t="s">
        <v>8661</v>
      </c>
      <c r="D701" s="8" t="s">
        <v>132</v>
      </c>
      <c r="E701" s="8" t="s">
        <v>51</v>
      </c>
      <c r="F701" s="8" t="s">
        <v>326</v>
      </c>
      <c r="G701" s="8" t="s">
        <v>133</v>
      </c>
      <c r="H701" s="8" t="s">
        <v>8662</v>
      </c>
      <c r="I701" s="8" t="s">
        <v>8706</v>
      </c>
      <c r="J701" s="8" t="s">
        <v>125</v>
      </c>
      <c r="K701" s="8" t="s">
        <v>8664</v>
      </c>
      <c r="L701" s="8"/>
      <c r="M701" s="8"/>
      <c r="N701" s="8" t="n">
        <v>25</v>
      </c>
      <c r="O701" s="8" t="n">
        <v>34</v>
      </c>
      <c r="P701" s="8" t="s">
        <v>120</v>
      </c>
    </row>
    <row r="702" customFormat="false" ht="15" hidden="false" customHeight="false" outlineLevel="0" collapsed="false">
      <c r="A702" s="8" t="s">
        <v>9450</v>
      </c>
      <c r="B702" s="8" t="s">
        <v>9451</v>
      </c>
      <c r="C702" s="8" t="s">
        <v>8669</v>
      </c>
      <c r="D702" s="8" t="s">
        <v>117</v>
      </c>
      <c r="E702" s="8" t="s">
        <v>53</v>
      </c>
      <c r="F702" s="8" t="s">
        <v>55</v>
      </c>
      <c r="G702" s="8" t="s">
        <v>166</v>
      </c>
      <c r="H702" s="8" t="s">
        <v>8670</v>
      </c>
      <c r="I702" s="8" t="s">
        <v>9421</v>
      </c>
      <c r="J702" s="8"/>
      <c r="K702" s="8" t="s">
        <v>8690</v>
      </c>
      <c r="L702" s="8" t="s">
        <v>9452</v>
      </c>
      <c r="M702" s="8" t="s">
        <v>8692</v>
      </c>
      <c r="N702" s="8" t="n">
        <v>45</v>
      </c>
      <c r="O702" s="8" t="n">
        <v>91</v>
      </c>
      <c r="P702" s="8" t="s">
        <v>148</v>
      </c>
    </row>
    <row r="703" customFormat="false" ht="15" hidden="false" customHeight="false" outlineLevel="0" collapsed="false">
      <c r="A703" s="8" t="s">
        <v>4224</v>
      </c>
      <c r="B703" s="8" t="s">
        <v>4225</v>
      </c>
      <c r="C703" s="8" t="s">
        <v>8669</v>
      </c>
      <c r="D703" s="8" t="s">
        <v>123</v>
      </c>
      <c r="E703" s="8" t="s">
        <v>51</v>
      </c>
      <c r="F703" s="8" t="s">
        <v>2027</v>
      </c>
      <c r="G703" s="8" t="s">
        <v>143</v>
      </c>
      <c r="H703" s="8" t="s">
        <v>8675</v>
      </c>
      <c r="I703" s="8" t="s">
        <v>8862</v>
      </c>
      <c r="J703" s="8" t="s">
        <v>119</v>
      </c>
      <c r="K703" s="8" t="s">
        <v>8664</v>
      </c>
      <c r="L703" s="8"/>
      <c r="M703" s="8"/>
      <c r="N703" s="8" t="n">
        <v>12</v>
      </c>
      <c r="O703" s="8" t="n">
        <v>6</v>
      </c>
      <c r="P703" s="8" t="s">
        <v>148</v>
      </c>
    </row>
    <row r="704" customFormat="false" ht="15" hidden="false" customHeight="false" outlineLevel="0" collapsed="false">
      <c r="A704" s="8" t="s">
        <v>240</v>
      </c>
      <c r="B704" s="8" t="s">
        <v>241</v>
      </c>
      <c r="C704" s="8" t="s">
        <v>8665</v>
      </c>
      <c r="D704" s="8" t="s">
        <v>123</v>
      </c>
      <c r="E704" s="8" t="s">
        <v>55</v>
      </c>
      <c r="F704" s="8" t="s">
        <v>55</v>
      </c>
      <c r="G704" s="8" t="s">
        <v>190</v>
      </c>
      <c r="H704" s="8" t="s">
        <v>8662</v>
      </c>
      <c r="I704" s="8" t="s">
        <v>9453</v>
      </c>
      <c r="J704" s="8" t="s">
        <v>125</v>
      </c>
      <c r="K704" s="8" t="s">
        <v>8664</v>
      </c>
      <c r="L704" s="8"/>
      <c r="M704" s="8"/>
      <c r="N704" s="8" t="n">
        <v>45</v>
      </c>
      <c r="O704" s="8" t="n">
        <v>505</v>
      </c>
      <c r="P704" s="8" t="s">
        <v>120</v>
      </c>
    </row>
    <row r="705" customFormat="false" ht="15" hidden="false" customHeight="false" outlineLevel="0" collapsed="false">
      <c r="A705" s="8" t="s">
        <v>3052</v>
      </c>
      <c r="B705" s="8" t="s">
        <v>3053</v>
      </c>
      <c r="C705" s="8" t="s">
        <v>8661</v>
      </c>
      <c r="D705" s="8" t="s">
        <v>123</v>
      </c>
      <c r="E705" s="8" t="s">
        <v>51</v>
      </c>
      <c r="F705" s="8" t="s">
        <v>2027</v>
      </c>
      <c r="G705" s="8" t="s">
        <v>151</v>
      </c>
      <c r="H705" s="8" t="s">
        <v>8662</v>
      </c>
      <c r="I705" s="8" t="s">
        <v>9454</v>
      </c>
      <c r="J705" s="8" t="s">
        <v>137</v>
      </c>
      <c r="K705" s="8" t="s">
        <v>8664</v>
      </c>
      <c r="L705" s="8"/>
      <c r="M705" s="8"/>
      <c r="N705" s="8" t="n">
        <v>12</v>
      </c>
      <c r="O705" s="8" t="n">
        <v>21</v>
      </c>
      <c r="P705" s="8" t="s">
        <v>120</v>
      </c>
    </row>
    <row r="706" customFormat="false" ht="15" hidden="false" customHeight="false" outlineLevel="0" collapsed="false">
      <c r="A706" s="8" t="s">
        <v>2422</v>
      </c>
      <c r="B706" s="8" t="s">
        <v>2423</v>
      </c>
      <c r="C706" s="8" t="s">
        <v>8674</v>
      </c>
      <c r="D706" s="8" t="s">
        <v>117</v>
      </c>
      <c r="E706" s="8" t="s">
        <v>51</v>
      </c>
      <c r="F706" s="8" t="s">
        <v>326</v>
      </c>
      <c r="G706" s="8" t="s">
        <v>154</v>
      </c>
      <c r="H706" s="8" t="s">
        <v>8662</v>
      </c>
      <c r="I706" s="8" t="s">
        <v>9455</v>
      </c>
      <c r="J706" s="8" t="s">
        <v>159</v>
      </c>
      <c r="K706" s="8" t="s">
        <v>8664</v>
      </c>
      <c r="L706" s="8"/>
      <c r="M706" s="8"/>
      <c r="N706" s="8" t="n">
        <v>25</v>
      </c>
      <c r="O706" s="8" t="n">
        <v>19</v>
      </c>
      <c r="P706" s="8" t="s">
        <v>120</v>
      </c>
    </row>
    <row r="707" customFormat="false" ht="15" hidden="false" customHeight="false" outlineLevel="0" collapsed="false">
      <c r="A707" s="8" t="s">
        <v>2562</v>
      </c>
      <c r="B707" s="8" t="s">
        <v>2563</v>
      </c>
      <c r="C707" s="8" t="s">
        <v>8669</v>
      </c>
      <c r="D707" s="8" t="s">
        <v>123</v>
      </c>
      <c r="E707" s="8" t="s">
        <v>51</v>
      </c>
      <c r="F707" s="8" t="s">
        <v>2027</v>
      </c>
      <c r="G707" s="8" t="s">
        <v>190</v>
      </c>
      <c r="H707" s="8" t="s">
        <v>8666</v>
      </c>
      <c r="I707" s="8" t="s">
        <v>9456</v>
      </c>
      <c r="J707" s="8" t="s">
        <v>177</v>
      </c>
      <c r="K707" s="8" t="s">
        <v>8664</v>
      </c>
      <c r="L707" s="8"/>
      <c r="M707" s="8"/>
      <c r="N707" s="8" t="n">
        <v>12</v>
      </c>
      <c r="O707" s="8" t="n">
        <v>37</v>
      </c>
      <c r="P707" s="8" t="s">
        <v>120</v>
      </c>
    </row>
    <row r="708" customFormat="false" ht="15" hidden="false" customHeight="false" outlineLevel="0" collapsed="false">
      <c r="A708" s="8" t="s">
        <v>282</v>
      </c>
      <c r="B708" s="8" t="s">
        <v>283</v>
      </c>
      <c r="C708" s="8" t="s">
        <v>8688</v>
      </c>
      <c r="D708" s="8" t="s">
        <v>123</v>
      </c>
      <c r="E708" s="8" t="s">
        <v>55</v>
      </c>
      <c r="F708" s="8" t="s">
        <v>55</v>
      </c>
      <c r="G708" s="8" t="s">
        <v>151</v>
      </c>
      <c r="H708" s="8" t="s">
        <v>8670</v>
      </c>
      <c r="I708" s="8" t="s">
        <v>9128</v>
      </c>
      <c r="J708" s="8" t="s">
        <v>204</v>
      </c>
      <c r="K708" s="8" t="s">
        <v>8664</v>
      </c>
      <c r="L708" s="8"/>
      <c r="M708" s="8"/>
      <c r="N708" s="8" t="n">
        <v>45</v>
      </c>
      <c r="O708" s="8" t="n">
        <v>529</v>
      </c>
      <c r="P708" s="8" t="s">
        <v>148</v>
      </c>
    </row>
    <row r="709" customFormat="false" ht="15" hidden="false" customHeight="false" outlineLevel="0" collapsed="false">
      <c r="A709" s="8" t="s">
        <v>4572</v>
      </c>
      <c r="B709" s="8" t="s">
        <v>9457</v>
      </c>
      <c r="C709" s="8" t="s">
        <v>8680</v>
      </c>
      <c r="D709" s="8" t="s">
        <v>123</v>
      </c>
      <c r="E709" s="8" t="s">
        <v>51</v>
      </c>
      <c r="F709" s="8" t="s">
        <v>2027</v>
      </c>
      <c r="G709" s="8" t="s">
        <v>133</v>
      </c>
      <c r="H709" s="8" t="s">
        <v>8675</v>
      </c>
      <c r="I709" s="8" t="s">
        <v>9458</v>
      </c>
      <c r="J709" s="8"/>
      <c r="K709" s="8" t="s">
        <v>8690</v>
      </c>
      <c r="L709" s="8" t="s">
        <v>9459</v>
      </c>
      <c r="M709" s="8" t="s">
        <v>8721</v>
      </c>
      <c r="N709" s="8" t="n">
        <v>12</v>
      </c>
      <c r="O709" s="8" t="n">
        <v>15</v>
      </c>
      <c r="P709" s="8" t="s">
        <v>120</v>
      </c>
    </row>
    <row r="710" customFormat="false" ht="15" hidden="false" customHeight="false" outlineLevel="0" collapsed="false">
      <c r="A710" s="8" t="s">
        <v>9460</v>
      </c>
      <c r="B710" s="8" t="s">
        <v>9461</v>
      </c>
      <c r="C710" s="8" t="s">
        <v>8669</v>
      </c>
      <c r="D710" s="8" t="s">
        <v>132</v>
      </c>
      <c r="E710" s="8" t="s">
        <v>51</v>
      </c>
      <c r="F710" s="8" t="s">
        <v>2027</v>
      </c>
      <c r="G710" s="8" t="s">
        <v>223</v>
      </c>
      <c r="H710" s="8" t="s">
        <v>8675</v>
      </c>
      <c r="I710" s="8" t="s">
        <v>9462</v>
      </c>
      <c r="J710" s="8"/>
      <c r="K710" s="8" t="s">
        <v>8690</v>
      </c>
      <c r="L710" s="8" t="s">
        <v>9448</v>
      </c>
      <c r="M710" s="8" t="s">
        <v>8692</v>
      </c>
      <c r="N710" s="8" t="n">
        <v>12</v>
      </c>
      <c r="O710" s="8" t="n">
        <v>28</v>
      </c>
      <c r="P710" s="8" t="s">
        <v>120</v>
      </c>
    </row>
    <row r="711" customFormat="false" ht="15" hidden="false" customHeight="false" outlineLevel="0" collapsed="false">
      <c r="A711" s="8" t="s">
        <v>1193</v>
      </c>
      <c r="B711" s="8" t="s">
        <v>1194</v>
      </c>
      <c r="C711" s="8" t="s">
        <v>8669</v>
      </c>
      <c r="D711" s="8" t="s">
        <v>132</v>
      </c>
      <c r="E711" s="8" t="s">
        <v>53</v>
      </c>
      <c r="F711" s="8" t="s">
        <v>326</v>
      </c>
      <c r="G711" s="8" t="s">
        <v>166</v>
      </c>
      <c r="H711" s="8" t="s">
        <v>8666</v>
      </c>
      <c r="I711" s="8" t="s">
        <v>9463</v>
      </c>
      <c r="J711" s="8" t="s">
        <v>119</v>
      </c>
      <c r="K711" s="8" t="s">
        <v>8664</v>
      </c>
      <c r="L711" s="8"/>
      <c r="M711" s="8"/>
      <c r="N711" s="8" t="n">
        <v>25</v>
      </c>
      <c r="O711" s="8" t="n">
        <v>136</v>
      </c>
      <c r="P711" s="8" t="s">
        <v>120</v>
      </c>
    </row>
    <row r="712" customFormat="false" ht="15" hidden="false" customHeight="false" outlineLevel="0" collapsed="false">
      <c r="A712" s="8" t="s">
        <v>777</v>
      </c>
      <c r="B712" s="8" t="s">
        <v>778</v>
      </c>
      <c r="C712" s="8" t="s">
        <v>8700</v>
      </c>
      <c r="D712" s="8" t="s">
        <v>123</v>
      </c>
      <c r="E712" s="8" t="s">
        <v>53</v>
      </c>
      <c r="F712" s="8" t="s">
        <v>55</v>
      </c>
      <c r="G712" s="8" t="s">
        <v>166</v>
      </c>
      <c r="H712" s="8" t="s">
        <v>8675</v>
      </c>
      <c r="I712" s="8" t="s">
        <v>9464</v>
      </c>
      <c r="J712" s="8" t="s">
        <v>180</v>
      </c>
      <c r="K712" s="8" t="s">
        <v>8664</v>
      </c>
      <c r="L712" s="8"/>
      <c r="M712" s="8"/>
      <c r="N712" s="8" t="n">
        <v>45</v>
      </c>
      <c r="O712" s="8" t="n">
        <v>111</v>
      </c>
      <c r="P712" s="8" t="s">
        <v>120</v>
      </c>
    </row>
    <row r="713" customFormat="false" ht="15" hidden="false" customHeight="false" outlineLevel="0" collapsed="false">
      <c r="A713" s="8" t="s">
        <v>183</v>
      </c>
      <c r="B713" s="8" t="s">
        <v>184</v>
      </c>
      <c r="C713" s="8" t="s">
        <v>8678</v>
      </c>
      <c r="D713" s="8" t="s">
        <v>123</v>
      </c>
      <c r="E713" s="8" t="s">
        <v>55</v>
      </c>
      <c r="F713" s="8" t="s">
        <v>55</v>
      </c>
      <c r="G713" s="8" t="s">
        <v>151</v>
      </c>
      <c r="H713" s="8" t="s">
        <v>8662</v>
      </c>
      <c r="I713" s="8" t="s">
        <v>9216</v>
      </c>
      <c r="J713" s="8" t="s">
        <v>185</v>
      </c>
      <c r="K713" s="8" t="s">
        <v>8664</v>
      </c>
      <c r="L713" s="8"/>
      <c r="M713" s="8"/>
      <c r="N713" s="8" t="n">
        <v>45</v>
      </c>
      <c r="O713" s="8" t="n">
        <v>578</v>
      </c>
      <c r="P713" s="8" t="s">
        <v>120</v>
      </c>
    </row>
    <row r="714" customFormat="false" ht="15" hidden="false" customHeight="false" outlineLevel="0" collapsed="false">
      <c r="A714" s="8" t="s">
        <v>819</v>
      </c>
      <c r="B714" s="8" t="s">
        <v>820</v>
      </c>
      <c r="C714" s="8" t="s">
        <v>8661</v>
      </c>
      <c r="D714" s="8" t="s">
        <v>123</v>
      </c>
      <c r="E714" s="8" t="s">
        <v>55</v>
      </c>
      <c r="F714" s="8" t="s">
        <v>326</v>
      </c>
      <c r="G714" s="8" t="s">
        <v>223</v>
      </c>
      <c r="H714" s="8" t="s">
        <v>8662</v>
      </c>
      <c r="I714" s="8" t="s">
        <v>8820</v>
      </c>
      <c r="J714" s="8" t="s">
        <v>129</v>
      </c>
      <c r="K714" s="8" t="s">
        <v>8664</v>
      </c>
      <c r="L714" s="8"/>
      <c r="M714" s="8"/>
      <c r="N714" s="8" t="n">
        <v>25</v>
      </c>
      <c r="O714" s="8" t="n">
        <v>193</v>
      </c>
      <c r="P714" s="8" t="s">
        <v>120</v>
      </c>
    </row>
    <row r="715" customFormat="false" ht="15" hidden="false" customHeight="false" outlineLevel="0" collapsed="false">
      <c r="A715" s="8" t="s">
        <v>1411</v>
      </c>
      <c r="B715" s="8" t="s">
        <v>1412</v>
      </c>
      <c r="C715" s="8" t="s">
        <v>8700</v>
      </c>
      <c r="D715" s="8" t="s">
        <v>123</v>
      </c>
      <c r="E715" s="8" t="s">
        <v>53</v>
      </c>
      <c r="F715" s="8" t="s">
        <v>326</v>
      </c>
      <c r="G715" s="8" t="s">
        <v>118</v>
      </c>
      <c r="H715" s="8" t="s">
        <v>8670</v>
      </c>
      <c r="I715" s="8" t="s">
        <v>8909</v>
      </c>
      <c r="J715" s="8" t="s">
        <v>147</v>
      </c>
      <c r="K715" s="8" t="s">
        <v>8664</v>
      </c>
      <c r="L715" s="8"/>
      <c r="M715" s="8"/>
      <c r="N715" s="8" t="n">
        <v>25</v>
      </c>
      <c r="O715" s="8" t="n">
        <v>103</v>
      </c>
      <c r="P715" s="8" t="s">
        <v>120</v>
      </c>
    </row>
    <row r="716" customFormat="false" ht="15" hidden="false" customHeight="false" outlineLevel="0" collapsed="false">
      <c r="A716" s="8" t="s">
        <v>3340</v>
      </c>
      <c r="B716" s="8" t="s">
        <v>3341</v>
      </c>
      <c r="C716" s="8" t="s">
        <v>8661</v>
      </c>
      <c r="D716" s="8" t="s">
        <v>117</v>
      </c>
      <c r="E716" s="8" t="s">
        <v>51</v>
      </c>
      <c r="F716" s="8" t="s">
        <v>2027</v>
      </c>
      <c r="G716" s="8" t="s">
        <v>223</v>
      </c>
      <c r="H716" s="8" t="s">
        <v>8670</v>
      </c>
      <c r="I716" s="8" t="s">
        <v>9465</v>
      </c>
      <c r="J716" s="8" t="s">
        <v>144</v>
      </c>
      <c r="K716" s="8" t="s">
        <v>8664</v>
      </c>
      <c r="L716" s="8"/>
      <c r="M716" s="8"/>
      <c r="N716" s="8" t="n">
        <v>12</v>
      </c>
      <c r="O716" s="8" t="n">
        <v>16</v>
      </c>
      <c r="P716" s="8" t="s">
        <v>120</v>
      </c>
    </row>
    <row r="717" customFormat="false" ht="15" hidden="false" customHeight="false" outlineLevel="0" collapsed="false">
      <c r="A717" s="8" t="s">
        <v>4206</v>
      </c>
      <c r="B717" s="8" t="s">
        <v>4207</v>
      </c>
      <c r="C717" s="8" t="s">
        <v>8680</v>
      </c>
      <c r="D717" s="8" t="s">
        <v>123</v>
      </c>
      <c r="E717" s="8" t="s">
        <v>51</v>
      </c>
      <c r="F717" s="8" t="s">
        <v>326</v>
      </c>
      <c r="G717" s="8" t="s">
        <v>223</v>
      </c>
      <c r="H717" s="8" t="s">
        <v>8666</v>
      </c>
      <c r="I717" s="8" t="s">
        <v>9009</v>
      </c>
      <c r="J717" s="8" t="s">
        <v>159</v>
      </c>
      <c r="K717" s="8" t="s">
        <v>8664</v>
      </c>
      <c r="L717" s="8"/>
      <c r="M717" s="8"/>
      <c r="N717" s="8" t="n">
        <v>25</v>
      </c>
      <c r="O717" s="8" t="n">
        <v>5</v>
      </c>
      <c r="P717" s="8" t="s">
        <v>120</v>
      </c>
    </row>
    <row r="718" customFormat="false" ht="15" hidden="false" customHeight="false" outlineLevel="0" collapsed="false">
      <c r="A718" s="8" t="s">
        <v>1363</v>
      </c>
      <c r="B718" s="8" t="s">
        <v>1364</v>
      </c>
      <c r="C718" s="8" t="s">
        <v>8678</v>
      </c>
      <c r="D718" s="8" t="s">
        <v>132</v>
      </c>
      <c r="E718" s="8" t="s">
        <v>53</v>
      </c>
      <c r="F718" s="8" t="s">
        <v>55</v>
      </c>
      <c r="G718" s="8" t="s">
        <v>136</v>
      </c>
      <c r="H718" s="8" t="s">
        <v>8666</v>
      </c>
      <c r="I718" s="8" t="s">
        <v>9466</v>
      </c>
      <c r="J718" s="8" t="s">
        <v>129</v>
      </c>
      <c r="K718" s="8" t="s">
        <v>8664</v>
      </c>
      <c r="L718" s="8"/>
      <c r="M718" s="8"/>
      <c r="N718" s="8" t="n">
        <v>45</v>
      </c>
      <c r="O718" s="8" t="n">
        <v>63</v>
      </c>
      <c r="P718" s="8" t="s">
        <v>120</v>
      </c>
    </row>
    <row r="719" customFormat="false" ht="15" hidden="false" customHeight="false" outlineLevel="0" collapsed="false">
      <c r="A719" s="8" t="s">
        <v>3798</v>
      </c>
      <c r="B719" s="8" t="s">
        <v>3799</v>
      </c>
      <c r="C719" s="8" t="s">
        <v>8700</v>
      </c>
      <c r="D719" s="8" t="s">
        <v>123</v>
      </c>
      <c r="E719" s="8" t="s">
        <v>51</v>
      </c>
      <c r="F719" s="8" t="s">
        <v>2027</v>
      </c>
      <c r="G719" s="8" t="s">
        <v>124</v>
      </c>
      <c r="H719" s="8" t="s">
        <v>8670</v>
      </c>
      <c r="I719" s="8" t="s">
        <v>9467</v>
      </c>
      <c r="J719" s="8" t="s">
        <v>185</v>
      </c>
      <c r="K719" s="8" t="s">
        <v>8664</v>
      </c>
      <c r="L719" s="8"/>
      <c r="M719" s="8"/>
      <c r="N719" s="8" t="n">
        <v>12</v>
      </c>
      <c r="O719" s="8" t="n">
        <v>15</v>
      </c>
      <c r="P719" s="8" t="s">
        <v>120</v>
      </c>
    </row>
    <row r="720" customFormat="false" ht="15" hidden="false" customHeight="false" outlineLevel="0" collapsed="false">
      <c r="A720" s="8" t="s">
        <v>3556</v>
      </c>
      <c r="B720" s="8" t="s">
        <v>3557</v>
      </c>
      <c r="C720" s="8" t="s">
        <v>8669</v>
      </c>
      <c r="D720" s="8" t="s">
        <v>123</v>
      </c>
      <c r="E720" s="8" t="s">
        <v>51</v>
      </c>
      <c r="F720" s="8" t="s">
        <v>2027</v>
      </c>
      <c r="G720" s="8" t="s">
        <v>154</v>
      </c>
      <c r="H720" s="8" t="s">
        <v>8662</v>
      </c>
      <c r="I720" s="8" t="s">
        <v>8745</v>
      </c>
      <c r="J720" s="8" t="s">
        <v>144</v>
      </c>
      <c r="K720" s="8" t="s">
        <v>8664</v>
      </c>
      <c r="L720" s="8"/>
      <c r="M720" s="8"/>
      <c r="N720" s="8" t="n">
        <v>12</v>
      </c>
      <c r="O720" s="8" t="n">
        <v>20</v>
      </c>
      <c r="P720" s="8" t="s">
        <v>120</v>
      </c>
    </row>
    <row r="721" customFormat="false" ht="15" hidden="false" customHeight="false" outlineLevel="0" collapsed="false">
      <c r="A721" s="8" t="s">
        <v>2286</v>
      </c>
      <c r="B721" s="8" t="s">
        <v>2287</v>
      </c>
      <c r="C721" s="8" t="s">
        <v>8688</v>
      </c>
      <c r="D721" s="8" t="s">
        <v>128</v>
      </c>
      <c r="E721" s="8" t="s">
        <v>51</v>
      </c>
      <c r="F721" s="8" t="s">
        <v>326</v>
      </c>
      <c r="G721" s="8" t="s">
        <v>223</v>
      </c>
      <c r="H721" s="8" t="s">
        <v>8675</v>
      </c>
      <c r="I721" s="8" t="s">
        <v>9468</v>
      </c>
      <c r="J721" s="8" t="s">
        <v>129</v>
      </c>
      <c r="K721" s="8" t="s">
        <v>8664</v>
      </c>
      <c r="L721" s="8"/>
      <c r="M721" s="8"/>
      <c r="N721" s="8" t="n">
        <v>25</v>
      </c>
      <c r="O721" s="8" t="n">
        <v>22</v>
      </c>
      <c r="P721" s="8" t="s">
        <v>120</v>
      </c>
    </row>
    <row r="722" customFormat="false" ht="15" hidden="false" customHeight="false" outlineLevel="0" collapsed="false">
      <c r="A722" s="8" t="s">
        <v>3702</v>
      </c>
      <c r="B722" s="8" t="s">
        <v>3703</v>
      </c>
      <c r="C722" s="8" t="s">
        <v>8700</v>
      </c>
      <c r="D722" s="8" t="s">
        <v>123</v>
      </c>
      <c r="E722" s="8" t="s">
        <v>51</v>
      </c>
      <c r="F722" s="8" t="s">
        <v>2027</v>
      </c>
      <c r="G722" s="8" t="s">
        <v>190</v>
      </c>
      <c r="H722" s="8" t="s">
        <v>8666</v>
      </c>
      <c r="I722" s="8" t="s">
        <v>9356</v>
      </c>
      <c r="J722" s="8" t="s">
        <v>147</v>
      </c>
      <c r="K722" s="8" t="s">
        <v>8664</v>
      </c>
      <c r="L722" s="8"/>
      <c r="M722" s="8"/>
      <c r="N722" s="8" t="n">
        <v>12</v>
      </c>
      <c r="O722" s="8" t="n">
        <v>15</v>
      </c>
      <c r="P722" s="8" t="s">
        <v>120</v>
      </c>
    </row>
    <row r="723" customFormat="false" ht="15" hidden="false" customHeight="false" outlineLevel="0" collapsed="false">
      <c r="A723" s="8" t="s">
        <v>4532</v>
      </c>
      <c r="B723" s="8" t="s">
        <v>9469</v>
      </c>
      <c r="C723" s="8" t="s">
        <v>8674</v>
      </c>
      <c r="D723" s="8" t="s">
        <v>117</v>
      </c>
      <c r="E723" s="8" t="s">
        <v>51</v>
      </c>
      <c r="F723" s="8" t="s">
        <v>326</v>
      </c>
      <c r="G723" s="8" t="s">
        <v>223</v>
      </c>
      <c r="H723" s="8" t="s">
        <v>8662</v>
      </c>
      <c r="I723" s="8" t="s">
        <v>9112</v>
      </c>
      <c r="J723" s="8"/>
      <c r="K723" s="8" t="s">
        <v>8690</v>
      </c>
      <c r="L723" s="8" t="s">
        <v>8735</v>
      </c>
      <c r="M723" s="8" t="s">
        <v>8727</v>
      </c>
      <c r="N723" s="8" t="n">
        <v>25</v>
      </c>
      <c r="O723" s="8" t="n">
        <v>13</v>
      </c>
      <c r="P723" s="8" t="s">
        <v>120</v>
      </c>
    </row>
    <row r="724" customFormat="false" ht="15" hidden="false" customHeight="false" outlineLevel="0" collapsed="false">
      <c r="A724" s="8" t="s">
        <v>2900</v>
      </c>
      <c r="B724" s="8" t="s">
        <v>2901</v>
      </c>
      <c r="C724" s="8" t="s">
        <v>8665</v>
      </c>
      <c r="D724" s="8" t="s">
        <v>132</v>
      </c>
      <c r="E724" s="8" t="s">
        <v>51</v>
      </c>
      <c r="F724" s="8" t="s">
        <v>326</v>
      </c>
      <c r="G724" s="8" t="s">
        <v>154</v>
      </c>
      <c r="H724" s="8" t="s">
        <v>8666</v>
      </c>
      <c r="I724" s="8" t="s">
        <v>9470</v>
      </c>
      <c r="J724" s="8" t="s">
        <v>159</v>
      </c>
      <c r="K724" s="8" t="s">
        <v>8664</v>
      </c>
      <c r="L724" s="8"/>
      <c r="M724" s="8"/>
      <c r="N724" s="8" t="n">
        <v>25</v>
      </c>
      <c r="O724" s="8" t="n">
        <v>15</v>
      </c>
      <c r="P724" s="8" t="s">
        <v>120</v>
      </c>
    </row>
    <row r="725" customFormat="false" ht="15" hidden="false" customHeight="false" outlineLevel="0" collapsed="false">
      <c r="A725" s="8" t="s">
        <v>3498</v>
      </c>
      <c r="B725" s="8" t="s">
        <v>3499</v>
      </c>
      <c r="C725" s="8" t="s">
        <v>8669</v>
      </c>
      <c r="D725" s="8" t="s">
        <v>123</v>
      </c>
      <c r="E725" s="8" t="s">
        <v>51</v>
      </c>
      <c r="F725" s="8" t="s">
        <v>2027</v>
      </c>
      <c r="G725" s="8" t="s">
        <v>136</v>
      </c>
      <c r="H725" s="8" t="s">
        <v>8675</v>
      </c>
      <c r="I725" s="8" t="s">
        <v>9471</v>
      </c>
      <c r="J725" s="8" t="s">
        <v>129</v>
      </c>
      <c r="K725" s="8" t="s">
        <v>8664</v>
      </c>
      <c r="L725" s="8"/>
      <c r="M725" s="8"/>
      <c r="N725" s="8" t="n">
        <v>12</v>
      </c>
      <c r="O725" s="8" t="n">
        <v>21</v>
      </c>
      <c r="P725" s="8" t="s">
        <v>120</v>
      </c>
    </row>
    <row r="726" customFormat="false" ht="15" hidden="false" customHeight="false" outlineLevel="0" collapsed="false">
      <c r="A726" s="8" t="s">
        <v>4304</v>
      </c>
      <c r="B726" s="8" t="s">
        <v>4305</v>
      </c>
      <c r="C726" s="8" t="s">
        <v>8674</v>
      </c>
      <c r="D726" s="8" t="s">
        <v>123</v>
      </c>
      <c r="E726" s="8" t="s">
        <v>51</v>
      </c>
      <c r="F726" s="8" t="s">
        <v>2027</v>
      </c>
      <c r="G726" s="8" t="s">
        <v>136</v>
      </c>
      <c r="H726" s="8" t="s">
        <v>8675</v>
      </c>
      <c r="I726" s="8" t="s">
        <v>9403</v>
      </c>
      <c r="J726" s="8" t="s">
        <v>119</v>
      </c>
      <c r="K726" s="8" t="s">
        <v>8664</v>
      </c>
      <c r="L726" s="8"/>
      <c r="M726" s="8"/>
      <c r="N726" s="8" t="n">
        <v>12</v>
      </c>
      <c r="O726" s="8" t="n">
        <v>6</v>
      </c>
      <c r="P726" s="8" t="s">
        <v>120</v>
      </c>
    </row>
    <row r="727" customFormat="false" ht="15" hidden="false" customHeight="false" outlineLevel="0" collapsed="false">
      <c r="A727" s="8" t="s">
        <v>2096</v>
      </c>
      <c r="B727" s="8" t="s">
        <v>2097</v>
      </c>
      <c r="C727" s="8" t="s">
        <v>8680</v>
      </c>
      <c r="D727" s="8" t="s">
        <v>123</v>
      </c>
      <c r="E727" s="8" t="s">
        <v>51</v>
      </c>
      <c r="F727" s="8" t="s">
        <v>326</v>
      </c>
      <c r="G727" s="8" t="s">
        <v>136</v>
      </c>
      <c r="H727" s="8" t="s">
        <v>8670</v>
      </c>
      <c r="I727" s="8" t="s">
        <v>9046</v>
      </c>
      <c r="J727" s="8" t="s">
        <v>119</v>
      </c>
      <c r="K727" s="8" t="s">
        <v>8664</v>
      </c>
      <c r="L727" s="8"/>
      <c r="M727" s="8"/>
      <c r="N727" s="8" t="n">
        <v>25</v>
      </c>
      <c r="O727" s="8" t="n">
        <v>28</v>
      </c>
      <c r="P727" s="8" t="s">
        <v>120</v>
      </c>
    </row>
    <row r="728" customFormat="false" ht="15" hidden="false" customHeight="false" outlineLevel="0" collapsed="false">
      <c r="A728" s="8" t="s">
        <v>2932</v>
      </c>
      <c r="B728" s="8" t="s">
        <v>2933</v>
      </c>
      <c r="C728" s="8" t="s">
        <v>8665</v>
      </c>
      <c r="D728" s="8" t="s">
        <v>132</v>
      </c>
      <c r="E728" s="8" t="s">
        <v>51</v>
      </c>
      <c r="F728" s="8" t="s">
        <v>2027</v>
      </c>
      <c r="G728" s="8" t="s">
        <v>136</v>
      </c>
      <c r="H728" s="8" t="s">
        <v>8675</v>
      </c>
      <c r="I728" s="8" t="s">
        <v>9472</v>
      </c>
      <c r="J728" s="8" t="s">
        <v>185</v>
      </c>
      <c r="K728" s="8" t="s">
        <v>8664</v>
      </c>
      <c r="L728" s="8"/>
      <c r="M728" s="8"/>
      <c r="N728" s="8" t="n">
        <v>12</v>
      </c>
      <c r="O728" s="8" t="n">
        <v>31</v>
      </c>
      <c r="P728" s="8" t="s">
        <v>120</v>
      </c>
    </row>
    <row r="729" customFormat="false" ht="15" hidden="false" customHeight="false" outlineLevel="0" collapsed="false">
      <c r="A729" s="8" t="s">
        <v>3212</v>
      </c>
      <c r="B729" s="8" t="s">
        <v>3213</v>
      </c>
      <c r="C729" s="8" t="s">
        <v>8665</v>
      </c>
      <c r="D729" s="8" t="s">
        <v>132</v>
      </c>
      <c r="E729" s="8" t="s">
        <v>51</v>
      </c>
      <c r="F729" s="8" t="s">
        <v>2027</v>
      </c>
      <c r="G729" s="8" t="s">
        <v>166</v>
      </c>
      <c r="H729" s="8" t="s">
        <v>8666</v>
      </c>
      <c r="I729" s="8" t="s">
        <v>9473</v>
      </c>
      <c r="J729" s="8" t="s">
        <v>147</v>
      </c>
      <c r="K729" s="8" t="s">
        <v>8664</v>
      </c>
      <c r="L729" s="8"/>
      <c r="M729" s="8"/>
      <c r="N729" s="8" t="n">
        <v>12</v>
      </c>
      <c r="O729" s="8" t="n">
        <v>26</v>
      </c>
      <c r="P729" s="8" t="s">
        <v>120</v>
      </c>
    </row>
    <row r="730" customFormat="false" ht="15" hidden="false" customHeight="false" outlineLevel="0" collapsed="false">
      <c r="A730" s="8" t="s">
        <v>707</v>
      </c>
      <c r="B730" s="8" t="s">
        <v>708</v>
      </c>
      <c r="C730" s="8" t="s">
        <v>8680</v>
      </c>
      <c r="D730" s="8" t="s">
        <v>123</v>
      </c>
      <c r="E730" s="8" t="s">
        <v>53</v>
      </c>
      <c r="F730" s="8" t="s">
        <v>55</v>
      </c>
      <c r="G730" s="8" t="s">
        <v>133</v>
      </c>
      <c r="H730" s="8" t="s">
        <v>8662</v>
      </c>
      <c r="I730" s="8" t="s">
        <v>9474</v>
      </c>
      <c r="J730" s="8" t="s">
        <v>204</v>
      </c>
      <c r="K730" s="8" t="s">
        <v>8664</v>
      </c>
      <c r="L730" s="8"/>
      <c r="M730" s="8"/>
      <c r="N730" s="8" t="n">
        <v>45</v>
      </c>
      <c r="O730" s="8" t="n">
        <v>133</v>
      </c>
      <c r="P730" s="8" t="s">
        <v>120</v>
      </c>
    </row>
    <row r="731" customFormat="false" ht="15" hidden="false" customHeight="false" outlineLevel="0" collapsed="false">
      <c r="A731" s="8" t="s">
        <v>2902</v>
      </c>
      <c r="B731" s="8" t="s">
        <v>2903</v>
      </c>
      <c r="C731" s="8" t="s">
        <v>8669</v>
      </c>
      <c r="D731" s="8" t="s">
        <v>132</v>
      </c>
      <c r="E731" s="8" t="s">
        <v>51</v>
      </c>
      <c r="F731" s="8" t="s">
        <v>326</v>
      </c>
      <c r="G731" s="8" t="s">
        <v>166</v>
      </c>
      <c r="H731" s="8" t="s">
        <v>8662</v>
      </c>
      <c r="I731" s="8" t="s">
        <v>8824</v>
      </c>
      <c r="J731" s="8" t="s">
        <v>180</v>
      </c>
      <c r="K731" s="8" t="s">
        <v>8664</v>
      </c>
      <c r="L731" s="8"/>
      <c r="M731" s="8"/>
      <c r="N731" s="8" t="n">
        <v>25</v>
      </c>
      <c r="O731" s="8" t="n">
        <v>15</v>
      </c>
      <c r="P731" s="8" t="s">
        <v>120</v>
      </c>
    </row>
    <row r="732" customFormat="false" ht="15" hidden="false" customHeight="false" outlineLevel="0" collapsed="false">
      <c r="A732" s="8" t="s">
        <v>2852</v>
      </c>
      <c r="B732" s="8" t="s">
        <v>2853</v>
      </c>
      <c r="C732" s="8" t="s">
        <v>8688</v>
      </c>
      <c r="D732" s="8" t="s">
        <v>123</v>
      </c>
      <c r="E732" s="8" t="s">
        <v>51</v>
      </c>
      <c r="F732" s="8" t="s">
        <v>2027</v>
      </c>
      <c r="G732" s="8" t="s">
        <v>190</v>
      </c>
      <c r="H732" s="8" t="s">
        <v>8675</v>
      </c>
      <c r="I732" s="8" t="s">
        <v>8877</v>
      </c>
      <c r="J732" s="8" t="s">
        <v>119</v>
      </c>
      <c r="K732" s="8" t="s">
        <v>8664</v>
      </c>
      <c r="L732" s="8"/>
      <c r="M732" s="8"/>
      <c r="N732" s="8" t="n">
        <v>12</v>
      </c>
      <c r="O732" s="8" t="n">
        <v>32</v>
      </c>
      <c r="P732" s="8" t="s">
        <v>120</v>
      </c>
    </row>
    <row r="733" customFormat="false" ht="15" hidden="false" customHeight="false" outlineLevel="0" collapsed="false">
      <c r="A733" s="8" t="s">
        <v>2540</v>
      </c>
      <c r="B733" s="8" t="s">
        <v>2541</v>
      </c>
      <c r="C733" s="8" t="s">
        <v>8678</v>
      </c>
      <c r="D733" s="8" t="s">
        <v>132</v>
      </c>
      <c r="E733" s="8" t="s">
        <v>51</v>
      </c>
      <c r="F733" s="8" t="s">
        <v>326</v>
      </c>
      <c r="G733" s="8" t="s">
        <v>124</v>
      </c>
      <c r="H733" s="8" t="s">
        <v>8670</v>
      </c>
      <c r="I733" s="8" t="s">
        <v>9475</v>
      </c>
      <c r="J733" s="8" t="s">
        <v>204</v>
      </c>
      <c r="K733" s="8" t="s">
        <v>8664</v>
      </c>
      <c r="L733" s="8"/>
      <c r="M733" s="8"/>
      <c r="N733" s="8" t="n">
        <v>25</v>
      </c>
      <c r="O733" s="8" t="n">
        <v>18</v>
      </c>
      <c r="P733" s="8" t="s">
        <v>120</v>
      </c>
    </row>
    <row r="734" customFormat="false" ht="15" hidden="false" customHeight="false" outlineLevel="0" collapsed="false">
      <c r="A734" s="8" t="s">
        <v>1923</v>
      </c>
      <c r="B734" s="8" t="s">
        <v>1924</v>
      </c>
      <c r="C734" s="8" t="s">
        <v>8700</v>
      </c>
      <c r="D734" s="8" t="s">
        <v>132</v>
      </c>
      <c r="E734" s="8" t="s">
        <v>51</v>
      </c>
      <c r="F734" s="8" t="s">
        <v>326</v>
      </c>
      <c r="G734" s="8" t="s">
        <v>136</v>
      </c>
      <c r="H734" s="8" t="s">
        <v>8666</v>
      </c>
      <c r="I734" s="8" t="s">
        <v>9476</v>
      </c>
      <c r="J734" s="8" t="s">
        <v>119</v>
      </c>
      <c r="K734" s="8" t="s">
        <v>8664</v>
      </c>
      <c r="L734" s="8"/>
      <c r="M734" s="8"/>
      <c r="N734" s="8" t="n">
        <v>25</v>
      </c>
      <c r="O734" s="8" t="n">
        <v>35</v>
      </c>
      <c r="P734" s="8" t="s">
        <v>120</v>
      </c>
    </row>
    <row r="735" customFormat="false" ht="15" hidden="false" customHeight="false" outlineLevel="0" collapsed="false">
      <c r="A735" s="8" t="s">
        <v>2596</v>
      </c>
      <c r="B735" s="8" t="s">
        <v>2597</v>
      </c>
      <c r="C735" s="8" t="s">
        <v>8674</v>
      </c>
      <c r="D735" s="8" t="s">
        <v>123</v>
      </c>
      <c r="E735" s="8" t="s">
        <v>51</v>
      </c>
      <c r="F735" s="8" t="s">
        <v>2027</v>
      </c>
      <c r="G735" s="8" t="s">
        <v>154</v>
      </c>
      <c r="H735" s="8" t="s">
        <v>8662</v>
      </c>
      <c r="I735" s="8" t="s">
        <v>9477</v>
      </c>
      <c r="J735" s="8" t="s">
        <v>177</v>
      </c>
      <c r="K735" s="8" t="s">
        <v>8664</v>
      </c>
      <c r="L735" s="8"/>
      <c r="M735" s="8"/>
      <c r="N735" s="8" t="n">
        <v>12</v>
      </c>
      <c r="O735" s="8" t="n">
        <v>27</v>
      </c>
      <c r="P735" s="8" t="s">
        <v>120</v>
      </c>
    </row>
    <row r="736" customFormat="false" ht="15" hidden="false" customHeight="false" outlineLevel="0" collapsed="false">
      <c r="A736" s="8" t="s">
        <v>3866</v>
      </c>
      <c r="B736" s="8" t="s">
        <v>3867</v>
      </c>
      <c r="C736" s="8" t="s">
        <v>8674</v>
      </c>
      <c r="D736" s="8" t="s">
        <v>132</v>
      </c>
      <c r="E736" s="8" t="s">
        <v>51</v>
      </c>
      <c r="F736" s="8" t="s">
        <v>2027</v>
      </c>
      <c r="G736" s="8" t="s">
        <v>143</v>
      </c>
      <c r="H736" s="8" t="s">
        <v>8662</v>
      </c>
      <c r="I736" s="8" t="s">
        <v>9478</v>
      </c>
      <c r="J736" s="8" t="s">
        <v>129</v>
      </c>
      <c r="K736" s="8" t="s">
        <v>8664</v>
      </c>
      <c r="L736" s="8"/>
      <c r="M736" s="8"/>
      <c r="N736" s="8" t="n">
        <v>12</v>
      </c>
      <c r="O736" s="8" t="n">
        <v>17</v>
      </c>
      <c r="P736" s="8" t="s">
        <v>120</v>
      </c>
    </row>
    <row r="737" customFormat="false" ht="15" hidden="false" customHeight="false" outlineLevel="0" collapsed="false">
      <c r="A737" s="8" t="s">
        <v>1901</v>
      </c>
      <c r="B737" s="8" t="s">
        <v>1902</v>
      </c>
      <c r="C737" s="8" t="s">
        <v>8674</v>
      </c>
      <c r="D737" s="8" t="s">
        <v>123</v>
      </c>
      <c r="E737" s="8" t="s">
        <v>51</v>
      </c>
      <c r="F737" s="8" t="s">
        <v>326</v>
      </c>
      <c r="G737" s="8" t="s">
        <v>133</v>
      </c>
      <c r="H737" s="8" t="s">
        <v>8662</v>
      </c>
      <c r="I737" s="8" t="s">
        <v>9231</v>
      </c>
      <c r="J737" s="8" t="s">
        <v>125</v>
      </c>
      <c r="K737" s="8" t="s">
        <v>8664</v>
      </c>
      <c r="L737" s="8"/>
      <c r="M737" s="8"/>
      <c r="N737" s="8" t="n">
        <v>25</v>
      </c>
      <c r="O737" s="8" t="n">
        <v>36</v>
      </c>
      <c r="P737" s="8" t="s">
        <v>120</v>
      </c>
    </row>
    <row r="738" customFormat="false" ht="15" hidden="false" customHeight="false" outlineLevel="0" collapsed="false">
      <c r="A738" s="8" t="s">
        <v>4560</v>
      </c>
      <c r="B738" s="8" t="s">
        <v>9479</v>
      </c>
      <c r="C738" s="8" t="s">
        <v>8669</v>
      </c>
      <c r="D738" s="8" t="s">
        <v>128</v>
      </c>
      <c r="E738" s="8" t="s">
        <v>51</v>
      </c>
      <c r="F738" s="8" t="s">
        <v>2027</v>
      </c>
      <c r="G738" s="8" t="s">
        <v>154</v>
      </c>
      <c r="H738" s="8" t="s">
        <v>8670</v>
      </c>
      <c r="I738" s="8" t="s">
        <v>9133</v>
      </c>
      <c r="J738" s="8"/>
      <c r="K738" s="8" t="s">
        <v>8690</v>
      </c>
      <c r="L738" s="8" t="s">
        <v>9480</v>
      </c>
      <c r="M738" s="8" t="s">
        <v>8692</v>
      </c>
      <c r="N738" s="8" t="n">
        <v>12</v>
      </c>
      <c r="O738" s="8" t="n">
        <v>19</v>
      </c>
      <c r="P738" s="8" t="s">
        <v>120</v>
      </c>
    </row>
    <row r="739" customFormat="false" ht="15" hidden="false" customHeight="false" outlineLevel="0" collapsed="false">
      <c r="A739" s="8" t="s">
        <v>3102</v>
      </c>
      <c r="B739" s="8" t="s">
        <v>3103</v>
      </c>
      <c r="C739" s="8" t="s">
        <v>8700</v>
      </c>
      <c r="D739" s="8" t="s">
        <v>128</v>
      </c>
      <c r="E739" s="8" t="s">
        <v>51</v>
      </c>
      <c r="F739" s="8" t="s">
        <v>2027</v>
      </c>
      <c r="G739" s="8" t="s">
        <v>223</v>
      </c>
      <c r="H739" s="8" t="s">
        <v>8662</v>
      </c>
      <c r="I739" s="8" t="s">
        <v>9481</v>
      </c>
      <c r="J739" s="8" t="s">
        <v>204</v>
      </c>
      <c r="K739" s="8" t="s">
        <v>8664</v>
      </c>
      <c r="L739" s="8"/>
      <c r="M739" s="8"/>
      <c r="N739" s="8" t="n">
        <v>12</v>
      </c>
      <c r="O739" s="8" t="n">
        <v>28</v>
      </c>
      <c r="P739" s="8" t="s">
        <v>120</v>
      </c>
    </row>
    <row r="740" customFormat="false" ht="15" hidden="false" customHeight="false" outlineLevel="0" collapsed="false">
      <c r="A740" s="8" t="s">
        <v>1103</v>
      </c>
      <c r="B740" s="8" t="s">
        <v>1104</v>
      </c>
      <c r="C740" s="8" t="s">
        <v>8680</v>
      </c>
      <c r="D740" s="8" t="s">
        <v>128</v>
      </c>
      <c r="E740" s="8" t="s">
        <v>53</v>
      </c>
      <c r="F740" s="8" t="s">
        <v>326</v>
      </c>
      <c r="G740" s="8" t="s">
        <v>133</v>
      </c>
      <c r="H740" s="8" t="s">
        <v>8666</v>
      </c>
      <c r="I740" s="8" t="s">
        <v>9359</v>
      </c>
      <c r="J740" s="8" t="s">
        <v>129</v>
      </c>
      <c r="K740" s="8" t="s">
        <v>8664</v>
      </c>
      <c r="L740" s="8"/>
      <c r="M740" s="8"/>
      <c r="N740" s="8" t="n">
        <v>25</v>
      </c>
      <c r="O740" s="8" t="n">
        <v>148</v>
      </c>
      <c r="P740" s="8" t="s">
        <v>120</v>
      </c>
    </row>
    <row r="741" customFormat="false" ht="15" hidden="false" customHeight="false" outlineLevel="0" collapsed="false">
      <c r="A741" s="8" t="s">
        <v>1335</v>
      </c>
      <c r="B741" s="8" t="s">
        <v>1336</v>
      </c>
      <c r="C741" s="8" t="s">
        <v>8700</v>
      </c>
      <c r="D741" s="8" t="s">
        <v>132</v>
      </c>
      <c r="E741" s="8" t="s">
        <v>53</v>
      </c>
      <c r="F741" s="8" t="s">
        <v>326</v>
      </c>
      <c r="G741" s="8" t="s">
        <v>118</v>
      </c>
      <c r="H741" s="8" t="s">
        <v>8662</v>
      </c>
      <c r="I741" s="8" t="s">
        <v>9475</v>
      </c>
      <c r="J741" s="8" t="s">
        <v>204</v>
      </c>
      <c r="K741" s="8" t="s">
        <v>8664</v>
      </c>
      <c r="L741" s="8"/>
      <c r="M741" s="8"/>
      <c r="N741" s="8" t="n">
        <v>25</v>
      </c>
      <c r="O741" s="8" t="n">
        <v>117</v>
      </c>
      <c r="P741" s="8" t="s">
        <v>120</v>
      </c>
    </row>
    <row r="742" customFormat="false" ht="15" hidden="false" customHeight="false" outlineLevel="0" collapsed="false">
      <c r="A742" s="8" t="s">
        <v>9482</v>
      </c>
      <c r="B742" s="8" t="s">
        <v>9483</v>
      </c>
      <c r="C742" s="8" t="s">
        <v>8688</v>
      </c>
      <c r="D742" s="8" t="s">
        <v>123</v>
      </c>
      <c r="E742" s="8" t="s">
        <v>51</v>
      </c>
      <c r="F742" s="8" t="s">
        <v>326</v>
      </c>
      <c r="G742" s="8" t="s">
        <v>124</v>
      </c>
      <c r="H742" s="8" t="s">
        <v>8670</v>
      </c>
      <c r="I742" s="8" t="s">
        <v>8902</v>
      </c>
      <c r="J742" s="8"/>
      <c r="K742" s="8" t="s">
        <v>8690</v>
      </c>
      <c r="L742" s="8" t="s">
        <v>9149</v>
      </c>
      <c r="M742" s="8" t="s">
        <v>8692</v>
      </c>
      <c r="N742" s="8" t="n">
        <v>25</v>
      </c>
      <c r="O742" s="8" t="n">
        <v>31</v>
      </c>
      <c r="P742" s="8" t="s">
        <v>120</v>
      </c>
    </row>
    <row r="743" customFormat="false" ht="15" hidden="false" customHeight="false" outlineLevel="0" collapsed="false">
      <c r="A743" s="8" t="s">
        <v>2818</v>
      </c>
      <c r="B743" s="8" t="s">
        <v>2819</v>
      </c>
      <c r="C743" s="8" t="s">
        <v>8665</v>
      </c>
      <c r="D743" s="8" t="s">
        <v>132</v>
      </c>
      <c r="E743" s="8" t="s">
        <v>51</v>
      </c>
      <c r="F743" s="8" t="s">
        <v>2027</v>
      </c>
      <c r="G743" s="8" t="s">
        <v>118</v>
      </c>
      <c r="H743" s="8" t="s">
        <v>8666</v>
      </c>
      <c r="I743" s="8" t="s">
        <v>8742</v>
      </c>
      <c r="J743" s="8" t="s">
        <v>119</v>
      </c>
      <c r="K743" s="8" t="s">
        <v>8664</v>
      </c>
      <c r="L743" s="8"/>
      <c r="M743" s="8"/>
      <c r="N743" s="8" t="n">
        <v>12</v>
      </c>
      <c r="O743" s="8" t="n">
        <v>33</v>
      </c>
      <c r="P743" s="8" t="s">
        <v>120</v>
      </c>
    </row>
    <row r="744" customFormat="false" ht="15" hidden="false" customHeight="false" outlineLevel="0" collapsed="false">
      <c r="A744" s="8" t="s">
        <v>175</v>
      </c>
      <c r="B744" s="8" t="s">
        <v>176</v>
      </c>
      <c r="C744" s="8" t="s">
        <v>8665</v>
      </c>
      <c r="D744" s="8" t="s">
        <v>123</v>
      </c>
      <c r="E744" s="8" t="s">
        <v>55</v>
      </c>
      <c r="F744" s="8" t="s">
        <v>55</v>
      </c>
      <c r="G744" s="8" t="s">
        <v>118</v>
      </c>
      <c r="H744" s="8" t="s">
        <v>8675</v>
      </c>
      <c r="I744" s="8" t="s">
        <v>9484</v>
      </c>
      <c r="J744" s="8" t="s">
        <v>177</v>
      </c>
      <c r="K744" s="8" t="s">
        <v>8664</v>
      </c>
      <c r="L744" s="8"/>
      <c r="M744" s="8"/>
      <c r="N744" s="8" t="n">
        <v>45</v>
      </c>
      <c r="O744" s="8" t="n">
        <v>451</v>
      </c>
      <c r="P744" s="8" t="s">
        <v>148</v>
      </c>
    </row>
    <row r="745" customFormat="false" ht="15" hidden="false" customHeight="false" outlineLevel="0" collapsed="false">
      <c r="A745" s="8" t="s">
        <v>9485</v>
      </c>
      <c r="B745" s="8" t="s">
        <v>9486</v>
      </c>
      <c r="C745" s="8" t="s">
        <v>8669</v>
      </c>
      <c r="D745" s="8" t="s">
        <v>123</v>
      </c>
      <c r="E745" s="8" t="s">
        <v>53</v>
      </c>
      <c r="F745" s="8" t="s">
        <v>326</v>
      </c>
      <c r="G745" s="8" t="s">
        <v>124</v>
      </c>
      <c r="H745" s="8" t="s">
        <v>8675</v>
      </c>
      <c r="I745" s="8" t="s">
        <v>9352</v>
      </c>
      <c r="J745" s="8"/>
      <c r="K745" s="8" t="s">
        <v>8690</v>
      </c>
      <c r="L745" s="8" t="s">
        <v>9487</v>
      </c>
      <c r="M745" s="8" t="s">
        <v>8795</v>
      </c>
      <c r="N745" s="8" t="n">
        <v>25</v>
      </c>
      <c r="O745" s="8" t="n">
        <v>187</v>
      </c>
      <c r="P745" s="8" t="s">
        <v>120</v>
      </c>
    </row>
    <row r="746" customFormat="false" ht="15" hidden="false" customHeight="false" outlineLevel="0" collapsed="false">
      <c r="A746" s="8" t="s">
        <v>793</v>
      </c>
      <c r="B746" s="8" t="s">
        <v>794</v>
      </c>
      <c r="C746" s="8" t="s">
        <v>8678</v>
      </c>
      <c r="D746" s="8" t="s">
        <v>132</v>
      </c>
      <c r="E746" s="8" t="s">
        <v>53</v>
      </c>
      <c r="F746" s="8" t="s">
        <v>326</v>
      </c>
      <c r="G746" s="8" t="s">
        <v>136</v>
      </c>
      <c r="H746" s="8" t="s">
        <v>8666</v>
      </c>
      <c r="I746" s="8" t="s">
        <v>9262</v>
      </c>
      <c r="J746" s="8" t="s">
        <v>119</v>
      </c>
      <c r="K746" s="8" t="s">
        <v>8664</v>
      </c>
      <c r="L746" s="8"/>
      <c r="M746" s="8"/>
      <c r="N746" s="8" t="n">
        <v>25</v>
      </c>
      <c r="O746" s="8" t="n">
        <v>197</v>
      </c>
      <c r="P746" s="8" t="s">
        <v>120</v>
      </c>
    </row>
    <row r="747" customFormat="false" ht="15" hidden="false" customHeight="false" outlineLevel="0" collapsed="false">
      <c r="A747" s="8" t="s">
        <v>3868</v>
      </c>
      <c r="B747" s="8" t="s">
        <v>3869</v>
      </c>
      <c r="C747" s="8" t="s">
        <v>8661</v>
      </c>
      <c r="D747" s="8" t="s">
        <v>123</v>
      </c>
      <c r="E747" s="8" t="s">
        <v>51</v>
      </c>
      <c r="F747" s="8" t="s">
        <v>2027</v>
      </c>
      <c r="G747" s="8" t="s">
        <v>154</v>
      </c>
      <c r="H747" s="8" t="s">
        <v>8670</v>
      </c>
      <c r="I747" s="8" t="s">
        <v>9488</v>
      </c>
      <c r="J747" s="8" t="s">
        <v>144</v>
      </c>
      <c r="K747" s="8" t="s">
        <v>8664</v>
      </c>
      <c r="L747" s="8"/>
      <c r="M747" s="8"/>
      <c r="N747" s="8" t="n">
        <v>12</v>
      </c>
      <c r="O747" s="8" t="n">
        <v>14</v>
      </c>
      <c r="P747" s="8" t="s">
        <v>120</v>
      </c>
    </row>
    <row r="748" customFormat="false" ht="15" hidden="false" customHeight="false" outlineLevel="0" collapsed="false">
      <c r="A748" s="8" t="s">
        <v>2376</v>
      </c>
      <c r="B748" s="8" t="s">
        <v>2377</v>
      </c>
      <c r="C748" s="8" t="s">
        <v>8665</v>
      </c>
      <c r="D748" s="8" t="s">
        <v>123</v>
      </c>
      <c r="E748" s="8" t="s">
        <v>51</v>
      </c>
      <c r="F748" s="8" t="s">
        <v>326</v>
      </c>
      <c r="G748" s="8" t="s">
        <v>143</v>
      </c>
      <c r="H748" s="8" t="s">
        <v>8670</v>
      </c>
      <c r="I748" s="8" t="s">
        <v>8734</v>
      </c>
      <c r="J748" s="8" t="s">
        <v>125</v>
      </c>
      <c r="K748" s="8" t="s">
        <v>8664</v>
      </c>
      <c r="L748" s="8"/>
      <c r="M748" s="8"/>
      <c r="N748" s="8" t="n">
        <v>25</v>
      </c>
      <c r="O748" s="8" t="n">
        <v>20</v>
      </c>
      <c r="P748" s="8" t="s">
        <v>120</v>
      </c>
    </row>
    <row r="749" customFormat="false" ht="15" hidden="false" customHeight="false" outlineLevel="0" collapsed="false">
      <c r="A749" s="8" t="s">
        <v>701</v>
      </c>
      <c r="B749" s="8" t="s">
        <v>702</v>
      </c>
      <c r="C749" s="8" t="s">
        <v>8688</v>
      </c>
      <c r="D749" s="8" t="s">
        <v>132</v>
      </c>
      <c r="E749" s="8" t="s">
        <v>53</v>
      </c>
      <c r="F749" s="8" t="s">
        <v>326</v>
      </c>
      <c r="G749" s="8" t="s">
        <v>133</v>
      </c>
      <c r="H749" s="8" t="s">
        <v>8670</v>
      </c>
      <c r="I749" s="8" t="s">
        <v>9300</v>
      </c>
      <c r="J749" s="8" t="s">
        <v>137</v>
      </c>
      <c r="K749" s="8" t="s">
        <v>8664</v>
      </c>
      <c r="L749" s="8"/>
      <c r="M749" s="8"/>
      <c r="N749" s="8" t="n">
        <v>25</v>
      </c>
      <c r="O749" s="8" t="n">
        <v>186</v>
      </c>
      <c r="P749" s="8" t="s">
        <v>120</v>
      </c>
    </row>
    <row r="750" customFormat="false" ht="15" hidden="false" customHeight="false" outlineLevel="0" collapsed="false">
      <c r="A750" s="8" t="s">
        <v>1471</v>
      </c>
      <c r="B750" s="8" t="s">
        <v>1472</v>
      </c>
      <c r="C750" s="8" t="s">
        <v>8688</v>
      </c>
      <c r="D750" s="8" t="s">
        <v>132</v>
      </c>
      <c r="E750" s="8" t="s">
        <v>53</v>
      </c>
      <c r="F750" s="8" t="s">
        <v>55</v>
      </c>
      <c r="G750" s="8" t="s">
        <v>143</v>
      </c>
      <c r="H750" s="8" t="s">
        <v>8662</v>
      </c>
      <c r="I750" s="8" t="s">
        <v>9489</v>
      </c>
      <c r="J750" s="8" t="s">
        <v>137</v>
      </c>
      <c r="K750" s="8" t="s">
        <v>8664</v>
      </c>
      <c r="L750" s="8"/>
      <c r="M750" s="8"/>
      <c r="N750" s="8" t="n">
        <v>45</v>
      </c>
      <c r="O750" s="8" t="n">
        <v>52</v>
      </c>
      <c r="P750" s="8" t="s">
        <v>120</v>
      </c>
    </row>
    <row r="751" customFormat="false" ht="15" hidden="false" customHeight="false" outlineLevel="0" collapsed="false">
      <c r="A751" s="8" t="s">
        <v>1967</v>
      </c>
      <c r="B751" s="8" t="s">
        <v>1968</v>
      </c>
      <c r="C751" s="8" t="s">
        <v>8688</v>
      </c>
      <c r="D751" s="8" t="s">
        <v>132</v>
      </c>
      <c r="E751" s="8" t="s">
        <v>51</v>
      </c>
      <c r="F751" s="8" t="s">
        <v>326</v>
      </c>
      <c r="G751" s="8" t="s">
        <v>223</v>
      </c>
      <c r="H751" s="8" t="s">
        <v>8662</v>
      </c>
      <c r="I751" s="8" t="s">
        <v>9150</v>
      </c>
      <c r="J751" s="8" t="s">
        <v>140</v>
      </c>
      <c r="K751" s="8" t="s">
        <v>8664</v>
      </c>
      <c r="L751" s="8"/>
      <c r="M751" s="8"/>
      <c r="N751" s="8" t="n">
        <v>25</v>
      </c>
      <c r="O751" s="8" t="n">
        <v>33</v>
      </c>
      <c r="P751" s="8" t="s">
        <v>120</v>
      </c>
    </row>
    <row r="752" customFormat="false" ht="15" hidden="false" customHeight="false" outlineLevel="0" collapsed="false">
      <c r="A752" s="8" t="s">
        <v>2934</v>
      </c>
      <c r="B752" s="8" t="s">
        <v>2935</v>
      </c>
      <c r="C752" s="8" t="s">
        <v>8674</v>
      </c>
      <c r="D752" s="8" t="s">
        <v>123</v>
      </c>
      <c r="E752" s="8" t="s">
        <v>51</v>
      </c>
      <c r="F752" s="8" t="s">
        <v>2027</v>
      </c>
      <c r="G752" s="8" t="s">
        <v>190</v>
      </c>
      <c r="H752" s="8" t="s">
        <v>8670</v>
      </c>
      <c r="I752" s="8" t="s">
        <v>8717</v>
      </c>
      <c r="J752" s="8" t="s">
        <v>177</v>
      </c>
      <c r="K752" s="8" t="s">
        <v>8664</v>
      </c>
      <c r="L752" s="8"/>
      <c r="M752" s="8"/>
      <c r="N752" s="8" t="n">
        <v>12</v>
      </c>
      <c r="O752" s="8" t="n">
        <v>31</v>
      </c>
      <c r="P752" s="8" t="s">
        <v>120</v>
      </c>
    </row>
    <row r="753" customFormat="false" ht="15" hidden="false" customHeight="false" outlineLevel="0" collapsed="false">
      <c r="A753" s="8" t="s">
        <v>4433</v>
      </c>
      <c r="B753" s="8" t="s">
        <v>9490</v>
      </c>
      <c r="C753" s="8" t="s">
        <v>8665</v>
      </c>
      <c r="D753" s="8" t="s">
        <v>123</v>
      </c>
      <c r="E753" s="8" t="s">
        <v>53</v>
      </c>
      <c r="F753" s="8" t="s">
        <v>326</v>
      </c>
      <c r="G753" s="8" t="s">
        <v>190</v>
      </c>
      <c r="H753" s="8" t="s">
        <v>8675</v>
      </c>
      <c r="I753" s="8" t="s">
        <v>9152</v>
      </c>
      <c r="J753" s="8"/>
      <c r="K753" s="8" t="s">
        <v>8690</v>
      </c>
      <c r="L753" s="8" t="s">
        <v>8780</v>
      </c>
      <c r="M753" s="8" t="s">
        <v>8696</v>
      </c>
      <c r="N753" s="8" t="n">
        <v>25</v>
      </c>
      <c r="O753" s="8" t="n">
        <v>196</v>
      </c>
      <c r="P753" s="8" t="s">
        <v>120</v>
      </c>
    </row>
    <row r="754" customFormat="false" ht="15" hidden="false" customHeight="false" outlineLevel="0" collapsed="false">
      <c r="A754" s="8" t="s">
        <v>883</v>
      </c>
      <c r="B754" s="8" t="s">
        <v>884</v>
      </c>
      <c r="C754" s="8" t="s">
        <v>8661</v>
      </c>
      <c r="D754" s="8" t="s">
        <v>123</v>
      </c>
      <c r="E754" s="8" t="s">
        <v>55</v>
      </c>
      <c r="F754" s="8" t="s">
        <v>326</v>
      </c>
      <c r="G754" s="8" t="s">
        <v>136</v>
      </c>
      <c r="H754" s="8" t="s">
        <v>8670</v>
      </c>
      <c r="I754" s="8" t="s">
        <v>9491</v>
      </c>
      <c r="J754" s="8" t="s">
        <v>147</v>
      </c>
      <c r="K754" s="8" t="s">
        <v>8664</v>
      </c>
      <c r="L754" s="8"/>
      <c r="M754" s="8"/>
      <c r="N754" s="8" t="n">
        <v>25</v>
      </c>
      <c r="O754" s="8" t="n">
        <v>183</v>
      </c>
      <c r="P754" s="8" t="s">
        <v>120</v>
      </c>
    </row>
    <row r="755" customFormat="false" ht="15" hidden="false" customHeight="false" outlineLevel="0" collapsed="false">
      <c r="A755" s="8" t="s">
        <v>1251</v>
      </c>
      <c r="B755" s="8" t="s">
        <v>1252</v>
      </c>
      <c r="C755" s="8" t="s">
        <v>8674</v>
      </c>
      <c r="D755" s="8" t="s">
        <v>132</v>
      </c>
      <c r="E755" s="8" t="s">
        <v>53</v>
      </c>
      <c r="F755" s="8" t="s">
        <v>326</v>
      </c>
      <c r="G755" s="8" t="s">
        <v>154</v>
      </c>
      <c r="H755" s="8" t="s">
        <v>8666</v>
      </c>
      <c r="I755" s="8" t="s">
        <v>9492</v>
      </c>
      <c r="J755" s="8" t="s">
        <v>140</v>
      </c>
      <c r="K755" s="8" t="s">
        <v>8664</v>
      </c>
      <c r="L755" s="8"/>
      <c r="M755" s="8"/>
      <c r="N755" s="8" t="n">
        <v>25</v>
      </c>
      <c r="O755" s="8" t="n">
        <v>91</v>
      </c>
      <c r="P755" s="8" t="s">
        <v>120</v>
      </c>
    </row>
    <row r="756" customFormat="false" ht="15" hidden="false" customHeight="false" outlineLevel="0" collapsed="false">
      <c r="A756" s="8" t="s">
        <v>721</v>
      </c>
      <c r="B756" s="8" t="s">
        <v>722</v>
      </c>
      <c r="C756" s="8" t="s">
        <v>8680</v>
      </c>
      <c r="D756" s="8" t="s">
        <v>117</v>
      </c>
      <c r="E756" s="8" t="s">
        <v>53</v>
      </c>
      <c r="F756" s="8" t="s">
        <v>326</v>
      </c>
      <c r="G756" s="8" t="s">
        <v>133</v>
      </c>
      <c r="H756" s="8" t="s">
        <v>8662</v>
      </c>
      <c r="I756" s="8" t="s">
        <v>9493</v>
      </c>
      <c r="J756" s="8" t="s">
        <v>144</v>
      </c>
      <c r="K756" s="8" t="s">
        <v>8664</v>
      </c>
      <c r="L756" s="8"/>
      <c r="M756" s="8"/>
      <c r="N756" s="8" t="n">
        <v>25</v>
      </c>
      <c r="O756" s="8" t="n">
        <v>172</v>
      </c>
      <c r="P756" s="8" t="s">
        <v>120</v>
      </c>
    </row>
    <row r="757" customFormat="false" ht="15" hidden="false" customHeight="false" outlineLevel="0" collapsed="false">
      <c r="A757" s="8" t="s">
        <v>4384</v>
      </c>
      <c r="B757" s="8" t="s">
        <v>4385</v>
      </c>
      <c r="C757" s="8" t="s">
        <v>8669</v>
      </c>
      <c r="D757" s="8" t="s">
        <v>128</v>
      </c>
      <c r="E757" s="8" t="s">
        <v>51</v>
      </c>
      <c r="F757" s="8" t="s">
        <v>2027</v>
      </c>
      <c r="G757" s="8" t="s">
        <v>118</v>
      </c>
      <c r="H757" s="8" t="s">
        <v>8670</v>
      </c>
      <c r="I757" s="8" t="s">
        <v>8739</v>
      </c>
      <c r="J757" s="8" t="s">
        <v>185</v>
      </c>
      <c r="K757" s="8" t="s">
        <v>8664</v>
      </c>
      <c r="L757" s="8"/>
      <c r="M757" s="8"/>
      <c r="N757" s="8" t="n">
        <v>12</v>
      </c>
      <c r="O757" s="8" t="n">
        <v>5</v>
      </c>
      <c r="P757" s="8" t="s">
        <v>120</v>
      </c>
    </row>
    <row r="758" customFormat="false" ht="15" hidden="false" customHeight="false" outlineLevel="0" collapsed="false">
      <c r="A758" s="8" t="s">
        <v>2904</v>
      </c>
      <c r="B758" s="8" t="s">
        <v>2905</v>
      </c>
      <c r="C758" s="8" t="s">
        <v>8678</v>
      </c>
      <c r="D758" s="8" t="s">
        <v>128</v>
      </c>
      <c r="E758" s="8" t="s">
        <v>51</v>
      </c>
      <c r="F758" s="8" t="s">
        <v>326</v>
      </c>
      <c r="G758" s="8" t="s">
        <v>166</v>
      </c>
      <c r="H758" s="8" t="s">
        <v>8670</v>
      </c>
      <c r="I758" s="8" t="s">
        <v>9494</v>
      </c>
      <c r="J758" s="8" t="s">
        <v>129</v>
      </c>
      <c r="K758" s="8" t="s">
        <v>8664</v>
      </c>
      <c r="L758" s="8"/>
      <c r="M758" s="8"/>
      <c r="N758" s="8" t="n">
        <v>25</v>
      </c>
      <c r="O758" s="8" t="n">
        <v>17</v>
      </c>
      <c r="P758" s="8" t="s">
        <v>120</v>
      </c>
    </row>
    <row r="759" customFormat="false" ht="15" hidden="false" customHeight="false" outlineLevel="0" collapsed="false">
      <c r="A759" s="8" t="s">
        <v>983</v>
      </c>
      <c r="B759" s="8" t="s">
        <v>984</v>
      </c>
      <c r="C759" s="8" t="s">
        <v>8688</v>
      </c>
      <c r="D759" s="8" t="s">
        <v>117</v>
      </c>
      <c r="E759" s="8" t="s">
        <v>53</v>
      </c>
      <c r="F759" s="8" t="s">
        <v>326</v>
      </c>
      <c r="G759" s="8" t="s">
        <v>223</v>
      </c>
      <c r="H759" s="8" t="s">
        <v>8662</v>
      </c>
      <c r="I759" s="8" t="s">
        <v>8831</v>
      </c>
      <c r="J759" s="8" t="s">
        <v>147</v>
      </c>
      <c r="K759" s="8" t="s">
        <v>8664</v>
      </c>
      <c r="L759" s="8"/>
      <c r="M759" s="8"/>
      <c r="N759" s="8" t="n">
        <v>25</v>
      </c>
      <c r="O759" s="8" t="n">
        <v>167</v>
      </c>
      <c r="P759" s="8" t="s">
        <v>148</v>
      </c>
    </row>
    <row r="760" customFormat="false" ht="15" hidden="false" customHeight="false" outlineLevel="0" collapsed="false">
      <c r="A760" s="8" t="s">
        <v>973</v>
      </c>
      <c r="B760" s="8" t="s">
        <v>974</v>
      </c>
      <c r="C760" s="8" t="s">
        <v>8661</v>
      </c>
      <c r="D760" s="8" t="s">
        <v>123</v>
      </c>
      <c r="E760" s="8" t="s">
        <v>53</v>
      </c>
      <c r="F760" s="8" t="s">
        <v>55</v>
      </c>
      <c r="G760" s="8" t="s">
        <v>136</v>
      </c>
      <c r="H760" s="8" t="s">
        <v>8670</v>
      </c>
      <c r="I760" s="8" t="s">
        <v>9495</v>
      </c>
      <c r="J760" s="8" t="s">
        <v>204</v>
      </c>
      <c r="K760" s="8" t="s">
        <v>8664</v>
      </c>
      <c r="L760" s="8"/>
      <c r="M760" s="8"/>
      <c r="N760" s="8" t="n">
        <v>45</v>
      </c>
      <c r="O760" s="8" t="n">
        <v>93</v>
      </c>
      <c r="P760" s="8" t="s">
        <v>120</v>
      </c>
    </row>
    <row r="761" customFormat="false" ht="15" hidden="false" customHeight="false" outlineLevel="0" collapsed="false">
      <c r="A761" s="8" t="s">
        <v>4306</v>
      </c>
      <c r="B761" s="8" t="s">
        <v>4307</v>
      </c>
      <c r="C761" s="8" t="s">
        <v>8665</v>
      </c>
      <c r="D761" s="8" t="s">
        <v>123</v>
      </c>
      <c r="E761" s="8" t="s">
        <v>51</v>
      </c>
      <c r="F761" s="8" t="s">
        <v>2027</v>
      </c>
      <c r="G761" s="8" t="s">
        <v>154</v>
      </c>
      <c r="H761" s="8" t="s">
        <v>8670</v>
      </c>
      <c r="I761" s="8" t="s">
        <v>9496</v>
      </c>
      <c r="J761" s="8" t="s">
        <v>147</v>
      </c>
      <c r="K761" s="8" t="s">
        <v>8664</v>
      </c>
      <c r="L761" s="8"/>
      <c r="M761" s="8"/>
      <c r="N761" s="8" t="n">
        <v>12</v>
      </c>
      <c r="O761" s="8" t="n">
        <v>8</v>
      </c>
      <c r="P761" s="8" t="s">
        <v>120</v>
      </c>
    </row>
    <row r="762" customFormat="false" ht="15" hidden="false" customHeight="false" outlineLevel="0" collapsed="false">
      <c r="A762" s="8" t="s">
        <v>403</v>
      </c>
      <c r="B762" s="8" t="s">
        <v>404</v>
      </c>
      <c r="C762" s="8" t="s">
        <v>8665</v>
      </c>
      <c r="D762" s="8" t="s">
        <v>123</v>
      </c>
      <c r="E762" s="8" t="s">
        <v>55</v>
      </c>
      <c r="F762" s="8" t="s">
        <v>326</v>
      </c>
      <c r="G762" s="8" t="s">
        <v>223</v>
      </c>
      <c r="H762" s="8" t="s">
        <v>8666</v>
      </c>
      <c r="I762" s="8" t="s">
        <v>9497</v>
      </c>
      <c r="J762" s="8" t="s">
        <v>180</v>
      </c>
      <c r="K762" s="8" t="s">
        <v>8664</v>
      </c>
      <c r="L762" s="8"/>
      <c r="M762" s="8"/>
      <c r="N762" s="8" t="n">
        <v>25</v>
      </c>
      <c r="O762" s="8" t="n">
        <v>535</v>
      </c>
      <c r="P762" s="8" t="s">
        <v>120</v>
      </c>
    </row>
    <row r="763" customFormat="false" ht="15" hidden="false" customHeight="false" outlineLevel="0" collapsed="false">
      <c r="A763" s="8" t="s">
        <v>4587</v>
      </c>
      <c r="B763" s="8" t="s">
        <v>9498</v>
      </c>
      <c r="C763" s="8" t="s">
        <v>8680</v>
      </c>
      <c r="D763" s="8" t="s">
        <v>123</v>
      </c>
      <c r="E763" s="8" t="s">
        <v>51</v>
      </c>
      <c r="F763" s="8" t="s">
        <v>326</v>
      </c>
      <c r="G763" s="8" t="s">
        <v>166</v>
      </c>
      <c r="H763" s="8" t="s">
        <v>8662</v>
      </c>
      <c r="I763" s="8" t="s">
        <v>9499</v>
      </c>
      <c r="J763" s="8"/>
      <c r="K763" s="8" t="s">
        <v>8690</v>
      </c>
      <c r="L763" s="8" t="s">
        <v>9500</v>
      </c>
      <c r="M763" s="8" t="s">
        <v>8705</v>
      </c>
      <c r="N763" s="8" t="n">
        <v>25</v>
      </c>
      <c r="O763" s="8" t="n">
        <v>5</v>
      </c>
      <c r="P763" s="8" t="s">
        <v>120</v>
      </c>
    </row>
    <row r="764" customFormat="false" ht="15" hidden="false" customHeight="false" outlineLevel="0" collapsed="false">
      <c r="A764" s="8" t="s">
        <v>2238</v>
      </c>
      <c r="B764" s="8" t="s">
        <v>2239</v>
      </c>
      <c r="C764" s="8" t="s">
        <v>8661</v>
      </c>
      <c r="D764" s="8" t="s">
        <v>123</v>
      </c>
      <c r="E764" s="8" t="s">
        <v>51</v>
      </c>
      <c r="F764" s="8" t="s">
        <v>2027</v>
      </c>
      <c r="G764" s="8" t="s">
        <v>143</v>
      </c>
      <c r="H764" s="8" t="s">
        <v>8662</v>
      </c>
      <c r="I764" s="8" t="s">
        <v>9075</v>
      </c>
      <c r="J764" s="8" t="s">
        <v>159</v>
      </c>
      <c r="K764" s="8" t="s">
        <v>8664</v>
      </c>
      <c r="L764" s="8"/>
      <c r="M764" s="8"/>
      <c r="N764" s="8" t="n">
        <v>12</v>
      </c>
      <c r="O764" s="8" t="n">
        <v>37</v>
      </c>
      <c r="P764" s="8" t="s">
        <v>120</v>
      </c>
    </row>
    <row r="765" customFormat="false" ht="15" hidden="false" customHeight="false" outlineLevel="0" collapsed="false">
      <c r="A765" s="8" t="s">
        <v>1647</v>
      </c>
      <c r="B765" s="8" t="s">
        <v>1648</v>
      </c>
      <c r="C765" s="8" t="s">
        <v>8661</v>
      </c>
      <c r="D765" s="8" t="s">
        <v>132</v>
      </c>
      <c r="E765" s="8" t="s">
        <v>53</v>
      </c>
      <c r="F765" s="8" t="s">
        <v>326</v>
      </c>
      <c r="G765" s="8" t="s">
        <v>151</v>
      </c>
      <c r="H765" s="8" t="s">
        <v>8675</v>
      </c>
      <c r="I765" s="8" t="s">
        <v>9209</v>
      </c>
      <c r="J765" s="8" t="s">
        <v>185</v>
      </c>
      <c r="K765" s="8" t="s">
        <v>8664</v>
      </c>
      <c r="L765" s="8"/>
      <c r="M765" s="8"/>
      <c r="N765" s="8" t="n">
        <v>25</v>
      </c>
      <c r="O765" s="8" t="n">
        <v>62</v>
      </c>
      <c r="P765" s="8" t="s">
        <v>148</v>
      </c>
    </row>
    <row r="766" customFormat="false" ht="15" hidden="false" customHeight="false" outlineLevel="0" collapsed="false">
      <c r="A766" s="8" t="s">
        <v>3990</v>
      </c>
      <c r="B766" s="8" t="s">
        <v>3991</v>
      </c>
      <c r="C766" s="8" t="s">
        <v>8680</v>
      </c>
      <c r="D766" s="8" t="s">
        <v>128</v>
      </c>
      <c r="E766" s="8" t="s">
        <v>51</v>
      </c>
      <c r="F766" s="8" t="s">
        <v>2027</v>
      </c>
      <c r="G766" s="8" t="s">
        <v>190</v>
      </c>
      <c r="H766" s="8" t="s">
        <v>8662</v>
      </c>
      <c r="I766" s="8" t="s">
        <v>9329</v>
      </c>
      <c r="J766" s="8" t="s">
        <v>185</v>
      </c>
      <c r="K766" s="8" t="s">
        <v>8664</v>
      </c>
      <c r="L766" s="8"/>
      <c r="M766" s="8"/>
      <c r="N766" s="8" t="n">
        <v>12</v>
      </c>
      <c r="O766" s="8" t="n">
        <v>12</v>
      </c>
      <c r="P766" s="8" t="s">
        <v>120</v>
      </c>
    </row>
    <row r="767" customFormat="false" ht="15" hidden="false" customHeight="false" outlineLevel="0" collapsed="false">
      <c r="A767" s="8" t="s">
        <v>2009</v>
      </c>
      <c r="B767" s="8" t="s">
        <v>2010</v>
      </c>
      <c r="C767" s="8" t="s">
        <v>8665</v>
      </c>
      <c r="D767" s="8" t="s">
        <v>117</v>
      </c>
      <c r="E767" s="8" t="s">
        <v>51</v>
      </c>
      <c r="F767" s="8" t="s">
        <v>326</v>
      </c>
      <c r="G767" s="8" t="s">
        <v>151</v>
      </c>
      <c r="H767" s="8" t="s">
        <v>8662</v>
      </c>
      <c r="I767" s="8" t="s">
        <v>9149</v>
      </c>
      <c r="J767" s="8" t="s">
        <v>147</v>
      </c>
      <c r="K767" s="8" t="s">
        <v>8664</v>
      </c>
      <c r="L767" s="8"/>
      <c r="M767" s="8"/>
      <c r="N767" s="8" t="n">
        <v>25</v>
      </c>
      <c r="O767" s="8" t="n">
        <v>31</v>
      </c>
      <c r="P767" s="8" t="s">
        <v>120</v>
      </c>
    </row>
    <row r="768" customFormat="false" ht="15" hidden="false" customHeight="false" outlineLevel="0" collapsed="false">
      <c r="A768" s="8" t="s">
        <v>2288</v>
      </c>
      <c r="B768" s="8" t="s">
        <v>2289</v>
      </c>
      <c r="C768" s="8" t="s">
        <v>8669</v>
      </c>
      <c r="D768" s="8" t="s">
        <v>123</v>
      </c>
      <c r="E768" s="8" t="s">
        <v>51</v>
      </c>
      <c r="F768" s="8" t="s">
        <v>326</v>
      </c>
      <c r="G768" s="8" t="s">
        <v>136</v>
      </c>
      <c r="H768" s="8" t="s">
        <v>8662</v>
      </c>
      <c r="I768" s="8" t="s">
        <v>8748</v>
      </c>
      <c r="J768" s="8" t="s">
        <v>129</v>
      </c>
      <c r="K768" s="8" t="s">
        <v>8664</v>
      </c>
      <c r="L768" s="8"/>
      <c r="M768" s="8"/>
      <c r="N768" s="8" t="n">
        <v>25</v>
      </c>
      <c r="O768" s="8" t="n">
        <v>22</v>
      </c>
      <c r="P768" s="8" t="s">
        <v>120</v>
      </c>
    </row>
    <row r="769" customFormat="false" ht="15" hidden="false" customHeight="false" outlineLevel="0" collapsed="false">
      <c r="A769" s="8" t="s">
        <v>2448</v>
      </c>
      <c r="B769" s="8" t="s">
        <v>2449</v>
      </c>
      <c r="C769" s="8" t="s">
        <v>8680</v>
      </c>
      <c r="D769" s="8" t="s">
        <v>132</v>
      </c>
      <c r="E769" s="8" t="s">
        <v>51</v>
      </c>
      <c r="F769" s="8" t="s">
        <v>2027</v>
      </c>
      <c r="G769" s="8" t="s">
        <v>118</v>
      </c>
      <c r="H769" s="8" t="s">
        <v>8675</v>
      </c>
      <c r="I769" s="8" t="s">
        <v>9034</v>
      </c>
      <c r="J769" s="8" t="s">
        <v>147</v>
      </c>
      <c r="K769" s="8" t="s">
        <v>8664</v>
      </c>
      <c r="L769" s="8"/>
      <c r="M769" s="8"/>
      <c r="N769" s="8" t="n">
        <v>12</v>
      </c>
      <c r="O769" s="8" t="n">
        <v>35</v>
      </c>
      <c r="P769" s="8" t="s">
        <v>120</v>
      </c>
    </row>
    <row r="770" customFormat="false" ht="15" hidden="false" customHeight="false" outlineLevel="0" collapsed="false">
      <c r="A770" s="8" t="s">
        <v>1457</v>
      </c>
      <c r="B770" s="8" t="s">
        <v>1458</v>
      </c>
      <c r="C770" s="8" t="s">
        <v>8674</v>
      </c>
      <c r="D770" s="8" t="s">
        <v>117</v>
      </c>
      <c r="E770" s="8" t="s">
        <v>53</v>
      </c>
      <c r="F770" s="8" t="s">
        <v>326</v>
      </c>
      <c r="G770" s="8" t="s">
        <v>190</v>
      </c>
      <c r="H770" s="8" t="s">
        <v>8662</v>
      </c>
      <c r="I770" s="8" t="s">
        <v>9501</v>
      </c>
      <c r="J770" s="8" t="s">
        <v>204</v>
      </c>
      <c r="K770" s="8" t="s">
        <v>8664</v>
      </c>
      <c r="L770" s="8"/>
      <c r="M770" s="8"/>
      <c r="N770" s="8" t="n">
        <v>25</v>
      </c>
      <c r="O770" s="8" t="n">
        <v>89</v>
      </c>
      <c r="P770" s="8" t="s">
        <v>120</v>
      </c>
    </row>
    <row r="771" customFormat="false" ht="15" hidden="false" customHeight="false" outlineLevel="0" collapsed="false">
      <c r="A771" s="8" t="s">
        <v>9502</v>
      </c>
      <c r="B771" s="8" t="s">
        <v>9503</v>
      </c>
      <c r="C771" s="8" t="s">
        <v>8661</v>
      </c>
      <c r="D771" s="8" t="s">
        <v>123</v>
      </c>
      <c r="E771" s="8" t="s">
        <v>53</v>
      </c>
      <c r="F771" s="8" t="s">
        <v>55</v>
      </c>
      <c r="G771" s="8" t="s">
        <v>166</v>
      </c>
      <c r="H771" s="8" t="s">
        <v>8666</v>
      </c>
      <c r="I771" s="8" t="s">
        <v>9504</v>
      </c>
      <c r="J771" s="8"/>
      <c r="K771" s="8" t="s">
        <v>8690</v>
      </c>
      <c r="L771" s="8" t="s">
        <v>8725</v>
      </c>
      <c r="M771" s="8" t="s">
        <v>8727</v>
      </c>
      <c r="N771" s="8" t="n">
        <v>45</v>
      </c>
      <c r="O771" s="8" t="n">
        <v>49</v>
      </c>
      <c r="P771" s="8" t="s">
        <v>148</v>
      </c>
    </row>
    <row r="772" customFormat="false" ht="15" hidden="false" customHeight="false" outlineLevel="0" collapsed="false">
      <c r="A772" s="8" t="s">
        <v>2820</v>
      </c>
      <c r="B772" s="8" t="s">
        <v>2821</v>
      </c>
      <c r="C772" s="8" t="s">
        <v>8680</v>
      </c>
      <c r="D772" s="8" t="s">
        <v>132</v>
      </c>
      <c r="E772" s="8" t="s">
        <v>51</v>
      </c>
      <c r="F772" s="8" t="s">
        <v>2027</v>
      </c>
      <c r="G772" s="8" t="s">
        <v>190</v>
      </c>
      <c r="H772" s="8" t="s">
        <v>8670</v>
      </c>
      <c r="I772" s="8" t="s">
        <v>8812</v>
      </c>
      <c r="J772" s="8" t="s">
        <v>147</v>
      </c>
      <c r="K772" s="8" t="s">
        <v>8664</v>
      </c>
      <c r="L772" s="8"/>
      <c r="M772" s="8"/>
      <c r="N772" s="8" t="n">
        <v>12</v>
      </c>
      <c r="O772" s="8" t="n">
        <v>33</v>
      </c>
      <c r="P772" s="8" t="s">
        <v>120</v>
      </c>
    </row>
    <row r="773" customFormat="false" ht="15" hidden="false" customHeight="false" outlineLevel="0" collapsed="false">
      <c r="A773" s="8" t="s">
        <v>4094</v>
      </c>
      <c r="B773" s="8" t="s">
        <v>4095</v>
      </c>
      <c r="C773" s="8" t="s">
        <v>8665</v>
      </c>
      <c r="D773" s="8" t="s">
        <v>132</v>
      </c>
      <c r="E773" s="8" t="s">
        <v>51</v>
      </c>
      <c r="F773" s="8" t="s">
        <v>2027</v>
      </c>
      <c r="G773" s="8" t="s">
        <v>133</v>
      </c>
      <c r="H773" s="8" t="s">
        <v>8675</v>
      </c>
      <c r="I773" s="8" t="s">
        <v>9207</v>
      </c>
      <c r="J773" s="8" t="s">
        <v>147</v>
      </c>
      <c r="K773" s="8" t="s">
        <v>8664</v>
      </c>
      <c r="L773" s="8"/>
      <c r="M773" s="8"/>
      <c r="N773" s="8" t="n">
        <v>12</v>
      </c>
      <c r="O773" s="8" t="n">
        <v>10</v>
      </c>
      <c r="P773" s="8" t="s">
        <v>120</v>
      </c>
    </row>
    <row r="774" customFormat="false" ht="15" hidden="false" customHeight="false" outlineLevel="0" collapsed="false">
      <c r="A774" s="8" t="s">
        <v>3468</v>
      </c>
      <c r="B774" s="8" t="s">
        <v>3469</v>
      </c>
      <c r="C774" s="8" t="s">
        <v>8680</v>
      </c>
      <c r="D774" s="8" t="s">
        <v>123</v>
      </c>
      <c r="E774" s="8" t="s">
        <v>51</v>
      </c>
      <c r="F774" s="8" t="s">
        <v>2027</v>
      </c>
      <c r="G774" s="8" t="s">
        <v>143</v>
      </c>
      <c r="H774" s="8" t="s">
        <v>8675</v>
      </c>
      <c r="I774" s="8" t="s">
        <v>8855</v>
      </c>
      <c r="J774" s="8" t="s">
        <v>140</v>
      </c>
      <c r="K774" s="8" t="s">
        <v>8664</v>
      </c>
      <c r="L774" s="8"/>
      <c r="M774" s="8"/>
      <c r="N774" s="8" t="n">
        <v>12</v>
      </c>
      <c r="O774" s="8" t="n">
        <v>27</v>
      </c>
      <c r="P774" s="8" t="s">
        <v>120</v>
      </c>
    </row>
    <row r="775" customFormat="false" ht="15" hidden="false" customHeight="false" outlineLevel="0" collapsed="false">
      <c r="A775" s="8" t="s">
        <v>4411</v>
      </c>
      <c r="B775" s="8" t="s">
        <v>9505</v>
      </c>
      <c r="C775" s="8" t="s">
        <v>8674</v>
      </c>
      <c r="D775" s="8" t="s">
        <v>123</v>
      </c>
      <c r="E775" s="8" t="s">
        <v>55</v>
      </c>
      <c r="F775" s="8" t="s">
        <v>55</v>
      </c>
      <c r="G775" s="8" t="s">
        <v>151</v>
      </c>
      <c r="H775" s="8" t="s">
        <v>8675</v>
      </c>
      <c r="I775" s="8" t="s">
        <v>9506</v>
      </c>
      <c r="J775" s="8"/>
      <c r="K775" s="8" t="s">
        <v>8690</v>
      </c>
      <c r="L775" s="8" t="s">
        <v>9466</v>
      </c>
      <c r="M775" s="8" t="s">
        <v>8705</v>
      </c>
      <c r="N775" s="8" t="n">
        <v>45</v>
      </c>
      <c r="O775" s="8" t="n">
        <v>351</v>
      </c>
      <c r="P775" s="8" t="s">
        <v>120</v>
      </c>
    </row>
    <row r="776" customFormat="false" ht="15" hidden="false" customHeight="false" outlineLevel="0" collapsed="false">
      <c r="A776" s="8" t="s">
        <v>4226</v>
      </c>
      <c r="B776" s="8" t="s">
        <v>4227</v>
      </c>
      <c r="C776" s="8" t="s">
        <v>8680</v>
      </c>
      <c r="D776" s="8" t="s">
        <v>132</v>
      </c>
      <c r="E776" s="8" t="s">
        <v>51</v>
      </c>
      <c r="F776" s="8" t="s">
        <v>2027</v>
      </c>
      <c r="G776" s="8" t="s">
        <v>136</v>
      </c>
      <c r="H776" s="8" t="s">
        <v>8675</v>
      </c>
      <c r="I776" s="8" t="s">
        <v>8924</v>
      </c>
      <c r="J776" s="8" t="s">
        <v>129</v>
      </c>
      <c r="K776" s="8" t="s">
        <v>8664</v>
      </c>
      <c r="L776" s="8"/>
      <c r="M776" s="8"/>
      <c r="N776" s="8" t="n">
        <v>12</v>
      </c>
      <c r="O776" s="8" t="n">
        <v>8</v>
      </c>
      <c r="P776" s="8" t="s">
        <v>120</v>
      </c>
    </row>
    <row r="777" customFormat="false" ht="15" hidden="false" customHeight="false" outlineLevel="0" collapsed="false">
      <c r="A777" s="8" t="s">
        <v>1399</v>
      </c>
      <c r="B777" s="8" t="s">
        <v>1400</v>
      </c>
      <c r="C777" s="8" t="s">
        <v>8674</v>
      </c>
      <c r="D777" s="8" t="s">
        <v>132</v>
      </c>
      <c r="E777" s="8" t="s">
        <v>53</v>
      </c>
      <c r="F777" s="8" t="s">
        <v>326</v>
      </c>
      <c r="G777" s="8" t="s">
        <v>143</v>
      </c>
      <c r="H777" s="8" t="s">
        <v>8675</v>
      </c>
      <c r="I777" s="8" t="s">
        <v>8740</v>
      </c>
      <c r="J777" s="8" t="s">
        <v>140</v>
      </c>
      <c r="K777" s="8" t="s">
        <v>8664</v>
      </c>
      <c r="L777" s="8"/>
      <c r="M777" s="8"/>
      <c r="N777" s="8" t="n">
        <v>25</v>
      </c>
      <c r="O777" s="8" t="n">
        <v>106</v>
      </c>
      <c r="P777" s="8" t="s">
        <v>120</v>
      </c>
    </row>
    <row r="778" customFormat="false" ht="15" hidden="false" customHeight="false" outlineLevel="0" collapsed="false">
      <c r="A778" s="8" t="s">
        <v>1513</v>
      </c>
      <c r="B778" s="8" t="s">
        <v>1514</v>
      </c>
      <c r="C778" s="8" t="s">
        <v>8674</v>
      </c>
      <c r="D778" s="8" t="s">
        <v>132</v>
      </c>
      <c r="E778" s="8" t="s">
        <v>53</v>
      </c>
      <c r="F778" s="8" t="s">
        <v>326</v>
      </c>
      <c r="G778" s="8" t="s">
        <v>143</v>
      </c>
      <c r="H778" s="8" t="s">
        <v>8662</v>
      </c>
      <c r="I778" s="8" t="s">
        <v>8773</v>
      </c>
      <c r="J778" s="8" t="s">
        <v>147</v>
      </c>
      <c r="K778" s="8" t="s">
        <v>8664</v>
      </c>
      <c r="L778" s="8"/>
      <c r="M778" s="8"/>
      <c r="N778" s="8" t="n">
        <v>25</v>
      </c>
      <c r="O778" s="8" t="n">
        <v>89</v>
      </c>
      <c r="P778" s="8" t="s">
        <v>120</v>
      </c>
    </row>
    <row r="779" customFormat="false" ht="15" hidden="false" customHeight="false" outlineLevel="0" collapsed="false">
      <c r="A779" s="8" t="s">
        <v>3266</v>
      </c>
      <c r="B779" s="8" t="s">
        <v>3267</v>
      </c>
      <c r="C779" s="8" t="s">
        <v>8661</v>
      </c>
      <c r="D779" s="8" t="s">
        <v>123</v>
      </c>
      <c r="E779" s="8" t="s">
        <v>51</v>
      </c>
      <c r="F779" s="8" t="s">
        <v>2027</v>
      </c>
      <c r="G779" s="8" t="s">
        <v>118</v>
      </c>
      <c r="H779" s="8" t="s">
        <v>8675</v>
      </c>
      <c r="I779" s="8" t="s">
        <v>8726</v>
      </c>
      <c r="J779" s="8" t="s">
        <v>177</v>
      </c>
      <c r="K779" s="8" t="s">
        <v>8664</v>
      </c>
      <c r="L779" s="8"/>
      <c r="M779" s="8"/>
      <c r="N779" s="8" t="n">
        <v>12</v>
      </c>
      <c r="O779" s="8" t="n">
        <v>25</v>
      </c>
      <c r="P779" s="8" t="s">
        <v>148</v>
      </c>
    </row>
    <row r="780" customFormat="false" ht="15" hidden="false" customHeight="false" outlineLevel="0" collapsed="false">
      <c r="A780" s="8" t="s">
        <v>3838</v>
      </c>
      <c r="B780" s="8" t="s">
        <v>3839</v>
      </c>
      <c r="C780" s="8" t="s">
        <v>8665</v>
      </c>
      <c r="D780" s="8" t="s">
        <v>132</v>
      </c>
      <c r="E780" s="8" t="s">
        <v>51</v>
      </c>
      <c r="F780" s="8" t="s">
        <v>326</v>
      </c>
      <c r="G780" s="8" t="s">
        <v>118</v>
      </c>
      <c r="H780" s="8" t="s">
        <v>8666</v>
      </c>
      <c r="I780" s="8" t="s">
        <v>9507</v>
      </c>
      <c r="J780" s="8" t="s">
        <v>177</v>
      </c>
      <c r="K780" s="8" t="s">
        <v>8664</v>
      </c>
      <c r="L780" s="8"/>
      <c r="M780" s="8"/>
      <c r="N780" s="8" t="n">
        <v>25</v>
      </c>
      <c r="O780" s="8" t="n">
        <v>7</v>
      </c>
      <c r="P780" s="8" t="s">
        <v>120</v>
      </c>
    </row>
    <row r="781" customFormat="false" ht="15" hidden="false" customHeight="false" outlineLevel="0" collapsed="false">
      <c r="A781" s="8" t="s">
        <v>3870</v>
      </c>
      <c r="B781" s="8" t="s">
        <v>3871</v>
      </c>
      <c r="C781" s="8" t="s">
        <v>8688</v>
      </c>
      <c r="D781" s="8" t="s">
        <v>132</v>
      </c>
      <c r="E781" s="8" t="s">
        <v>51</v>
      </c>
      <c r="F781" s="8" t="s">
        <v>2027</v>
      </c>
      <c r="G781" s="8" t="s">
        <v>143</v>
      </c>
      <c r="H781" s="8" t="s">
        <v>8662</v>
      </c>
      <c r="I781" s="8" t="s">
        <v>9004</v>
      </c>
      <c r="J781" s="8" t="s">
        <v>129</v>
      </c>
      <c r="K781" s="8" t="s">
        <v>8664</v>
      </c>
      <c r="L781" s="8"/>
      <c r="M781" s="8"/>
      <c r="N781" s="8" t="n">
        <v>12</v>
      </c>
      <c r="O781" s="8" t="n">
        <v>14</v>
      </c>
      <c r="P781" s="8" t="s">
        <v>120</v>
      </c>
    </row>
    <row r="782" customFormat="false" ht="15" hidden="false" customHeight="false" outlineLevel="0" collapsed="false">
      <c r="A782" s="8" t="s">
        <v>266</v>
      </c>
      <c r="B782" s="8" t="s">
        <v>267</v>
      </c>
      <c r="C782" s="8" t="s">
        <v>8661</v>
      </c>
      <c r="D782" s="8" t="s">
        <v>123</v>
      </c>
      <c r="E782" s="8" t="s">
        <v>55</v>
      </c>
      <c r="F782" s="8" t="s">
        <v>55</v>
      </c>
      <c r="G782" s="8" t="s">
        <v>124</v>
      </c>
      <c r="H782" s="8" t="s">
        <v>8662</v>
      </c>
      <c r="I782" s="8" t="s">
        <v>9102</v>
      </c>
      <c r="J782" s="8" t="s">
        <v>125</v>
      </c>
      <c r="K782" s="8" t="s">
        <v>8664</v>
      </c>
      <c r="L782" s="8"/>
      <c r="M782" s="8"/>
      <c r="N782" s="8" t="n">
        <v>45</v>
      </c>
      <c r="O782" s="8" t="n">
        <v>464</v>
      </c>
      <c r="P782" s="8" t="s">
        <v>120</v>
      </c>
    </row>
    <row r="783" customFormat="false" ht="15" hidden="false" customHeight="false" outlineLevel="0" collapsed="false">
      <c r="A783" s="8" t="s">
        <v>4096</v>
      </c>
      <c r="B783" s="8" t="s">
        <v>4097</v>
      </c>
      <c r="C783" s="8" t="s">
        <v>8674</v>
      </c>
      <c r="D783" s="8" t="s">
        <v>117</v>
      </c>
      <c r="E783" s="8" t="s">
        <v>51</v>
      </c>
      <c r="F783" s="8" t="s">
        <v>2027</v>
      </c>
      <c r="G783" s="8" t="s">
        <v>223</v>
      </c>
      <c r="H783" s="8" t="s">
        <v>8675</v>
      </c>
      <c r="I783" s="8" t="s">
        <v>9422</v>
      </c>
      <c r="J783" s="8" t="s">
        <v>125</v>
      </c>
      <c r="K783" s="8" t="s">
        <v>8664</v>
      </c>
      <c r="L783" s="8"/>
      <c r="M783" s="8"/>
      <c r="N783" s="8" t="n">
        <v>12</v>
      </c>
      <c r="O783" s="8" t="n">
        <v>12</v>
      </c>
      <c r="P783" s="8" t="s">
        <v>120</v>
      </c>
    </row>
    <row r="784" customFormat="false" ht="15" hidden="false" customHeight="false" outlineLevel="0" collapsed="false">
      <c r="A784" s="8" t="s">
        <v>2068</v>
      </c>
      <c r="B784" s="8" t="s">
        <v>2069</v>
      </c>
      <c r="C784" s="8" t="s">
        <v>8661</v>
      </c>
      <c r="D784" s="8" t="s">
        <v>123</v>
      </c>
      <c r="E784" s="8" t="s">
        <v>51</v>
      </c>
      <c r="F784" s="8" t="s">
        <v>326</v>
      </c>
      <c r="G784" s="8" t="s">
        <v>143</v>
      </c>
      <c r="H784" s="8" t="s">
        <v>8662</v>
      </c>
      <c r="I784" s="8" t="s">
        <v>9151</v>
      </c>
      <c r="J784" s="8" t="s">
        <v>204</v>
      </c>
      <c r="K784" s="8" t="s">
        <v>8664</v>
      </c>
      <c r="L784" s="8"/>
      <c r="M784" s="8"/>
      <c r="N784" s="8" t="n">
        <v>25</v>
      </c>
      <c r="O784" s="8" t="n">
        <v>24</v>
      </c>
      <c r="P784" s="8" t="s">
        <v>120</v>
      </c>
    </row>
    <row r="785" customFormat="false" ht="15" hidden="false" customHeight="false" outlineLevel="0" collapsed="false">
      <c r="A785" s="8" t="s">
        <v>343</v>
      </c>
      <c r="B785" s="8" t="s">
        <v>344</v>
      </c>
      <c r="C785" s="8" t="s">
        <v>8665</v>
      </c>
      <c r="D785" s="8" t="s">
        <v>123</v>
      </c>
      <c r="E785" s="8" t="s">
        <v>55</v>
      </c>
      <c r="F785" s="8" t="s">
        <v>55</v>
      </c>
      <c r="G785" s="8" t="s">
        <v>151</v>
      </c>
      <c r="H785" s="8" t="s">
        <v>8675</v>
      </c>
      <c r="I785" s="8" t="s">
        <v>9084</v>
      </c>
      <c r="J785" s="8" t="s">
        <v>125</v>
      </c>
      <c r="K785" s="8" t="s">
        <v>8664</v>
      </c>
      <c r="L785" s="8"/>
      <c r="M785" s="8"/>
      <c r="N785" s="8" t="n">
        <v>45</v>
      </c>
      <c r="O785" s="8" t="n">
        <v>343</v>
      </c>
      <c r="P785" s="8" t="s">
        <v>120</v>
      </c>
    </row>
    <row r="786" customFormat="false" ht="15" hidden="false" customHeight="false" outlineLevel="0" collapsed="false">
      <c r="A786" s="8" t="s">
        <v>2986</v>
      </c>
      <c r="B786" s="8" t="s">
        <v>2987</v>
      </c>
      <c r="C786" s="8" t="s">
        <v>8680</v>
      </c>
      <c r="D786" s="8" t="s">
        <v>132</v>
      </c>
      <c r="E786" s="8" t="s">
        <v>51</v>
      </c>
      <c r="F786" s="8" t="s">
        <v>2027</v>
      </c>
      <c r="G786" s="8" t="s">
        <v>154</v>
      </c>
      <c r="H786" s="8" t="s">
        <v>8675</v>
      </c>
      <c r="I786" s="8" t="s">
        <v>8983</v>
      </c>
      <c r="J786" s="8" t="s">
        <v>147</v>
      </c>
      <c r="K786" s="8" t="s">
        <v>8664</v>
      </c>
      <c r="L786" s="8"/>
      <c r="M786" s="8"/>
      <c r="N786" s="8" t="n">
        <v>12</v>
      </c>
      <c r="O786" s="8" t="n">
        <v>25</v>
      </c>
      <c r="P786" s="8" t="s">
        <v>120</v>
      </c>
    </row>
    <row r="787" customFormat="false" ht="15" hidden="false" customHeight="false" outlineLevel="0" collapsed="false">
      <c r="A787" s="8" t="s">
        <v>2740</v>
      </c>
      <c r="B787" s="8" t="s">
        <v>2741</v>
      </c>
      <c r="C787" s="8" t="s">
        <v>8674</v>
      </c>
      <c r="D787" s="8" t="s">
        <v>123</v>
      </c>
      <c r="E787" s="8" t="s">
        <v>51</v>
      </c>
      <c r="F787" s="8" t="s">
        <v>2027</v>
      </c>
      <c r="G787" s="8" t="s">
        <v>118</v>
      </c>
      <c r="H787" s="8" t="s">
        <v>8666</v>
      </c>
      <c r="I787" s="8" t="s">
        <v>9508</v>
      </c>
      <c r="J787" s="8" t="s">
        <v>119</v>
      </c>
      <c r="K787" s="8" t="s">
        <v>8664</v>
      </c>
      <c r="L787" s="8"/>
      <c r="M787" s="8"/>
      <c r="N787" s="8" t="n">
        <v>12</v>
      </c>
      <c r="O787" s="8" t="n">
        <v>34</v>
      </c>
      <c r="P787" s="8" t="s">
        <v>120</v>
      </c>
    </row>
    <row r="788" customFormat="false" ht="15" hidden="false" customHeight="false" outlineLevel="0" collapsed="false">
      <c r="A788" s="8" t="s">
        <v>1147</v>
      </c>
      <c r="B788" s="8" t="s">
        <v>1148</v>
      </c>
      <c r="C788" s="8" t="s">
        <v>8669</v>
      </c>
      <c r="D788" s="8" t="s">
        <v>132</v>
      </c>
      <c r="E788" s="8" t="s">
        <v>53</v>
      </c>
      <c r="F788" s="8" t="s">
        <v>55</v>
      </c>
      <c r="G788" s="8" t="s">
        <v>118</v>
      </c>
      <c r="H788" s="8" t="s">
        <v>8666</v>
      </c>
      <c r="I788" s="8" t="s">
        <v>9509</v>
      </c>
      <c r="J788" s="8" t="s">
        <v>144</v>
      </c>
      <c r="K788" s="8" t="s">
        <v>8664</v>
      </c>
      <c r="L788" s="8"/>
      <c r="M788" s="8"/>
      <c r="N788" s="8" t="n">
        <v>45</v>
      </c>
      <c r="O788" s="8" t="n">
        <v>79</v>
      </c>
      <c r="P788" s="8" t="s">
        <v>120</v>
      </c>
    </row>
    <row r="789" customFormat="false" ht="15" hidden="false" customHeight="false" outlineLevel="0" collapsed="false">
      <c r="A789" s="8" t="s">
        <v>4348</v>
      </c>
      <c r="B789" s="8" t="s">
        <v>4349</v>
      </c>
      <c r="C789" s="8" t="s">
        <v>8674</v>
      </c>
      <c r="D789" s="8" t="s">
        <v>117</v>
      </c>
      <c r="E789" s="8" t="s">
        <v>51</v>
      </c>
      <c r="F789" s="8" t="s">
        <v>2027</v>
      </c>
      <c r="G789" s="8" t="s">
        <v>124</v>
      </c>
      <c r="H789" s="8" t="s">
        <v>8666</v>
      </c>
      <c r="I789" s="8" t="s">
        <v>9353</v>
      </c>
      <c r="J789" s="8" t="s">
        <v>125</v>
      </c>
      <c r="K789" s="8" t="s">
        <v>8664</v>
      </c>
      <c r="L789" s="8"/>
      <c r="M789" s="8"/>
      <c r="N789" s="8" t="n">
        <v>12</v>
      </c>
      <c r="O789" s="8" t="n">
        <v>5</v>
      </c>
      <c r="P789" s="8" t="s">
        <v>120</v>
      </c>
    </row>
    <row r="790" customFormat="false" ht="15" hidden="false" customHeight="false" outlineLevel="0" collapsed="false">
      <c r="A790" s="8" t="s">
        <v>2194</v>
      </c>
      <c r="B790" s="8" t="s">
        <v>2195</v>
      </c>
      <c r="C790" s="8" t="s">
        <v>8688</v>
      </c>
      <c r="D790" s="8" t="s">
        <v>132</v>
      </c>
      <c r="E790" s="8" t="s">
        <v>51</v>
      </c>
      <c r="F790" s="8" t="s">
        <v>2027</v>
      </c>
      <c r="G790" s="8" t="s">
        <v>166</v>
      </c>
      <c r="H790" s="8" t="s">
        <v>8670</v>
      </c>
      <c r="I790" s="8" t="s">
        <v>9510</v>
      </c>
      <c r="J790" s="8" t="s">
        <v>177</v>
      </c>
      <c r="K790" s="8" t="s">
        <v>8664</v>
      </c>
      <c r="L790" s="8"/>
      <c r="M790" s="8"/>
      <c r="N790" s="8" t="n">
        <v>12</v>
      </c>
      <c r="O790" s="8" t="n">
        <v>38</v>
      </c>
      <c r="P790" s="8" t="s">
        <v>120</v>
      </c>
    </row>
    <row r="791" customFormat="false" ht="15" hidden="false" customHeight="false" outlineLevel="0" collapsed="false">
      <c r="A791" s="8" t="s">
        <v>3268</v>
      </c>
      <c r="B791" s="8" t="s">
        <v>3269</v>
      </c>
      <c r="C791" s="8" t="s">
        <v>8680</v>
      </c>
      <c r="D791" s="8" t="s">
        <v>123</v>
      </c>
      <c r="E791" s="8" t="s">
        <v>51</v>
      </c>
      <c r="F791" s="8" t="s">
        <v>2027</v>
      </c>
      <c r="G791" s="8" t="s">
        <v>136</v>
      </c>
      <c r="H791" s="8" t="s">
        <v>8666</v>
      </c>
      <c r="I791" s="8" t="s">
        <v>8732</v>
      </c>
      <c r="J791" s="8" t="s">
        <v>129</v>
      </c>
      <c r="K791" s="8" t="s">
        <v>8664</v>
      </c>
      <c r="L791" s="8"/>
      <c r="M791" s="8"/>
      <c r="N791" s="8" t="n">
        <v>12</v>
      </c>
      <c r="O791" s="8" t="n">
        <v>32</v>
      </c>
      <c r="P791" s="8" t="s">
        <v>120</v>
      </c>
    </row>
    <row r="792" customFormat="false" ht="15" hidden="false" customHeight="false" outlineLevel="0" collapsed="false">
      <c r="A792" s="8" t="s">
        <v>3704</v>
      </c>
      <c r="B792" s="8" t="s">
        <v>3705</v>
      </c>
      <c r="C792" s="8" t="s">
        <v>8678</v>
      </c>
      <c r="D792" s="8" t="s">
        <v>132</v>
      </c>
      <c r="E792" s="8" t="s">
        <v>51</v>
      </c>
      <c r="F792" s="8" t="s">
        <v>2027</v>
      </c>
      <c r="G792" s="8" t="s">
        <v>223</v>
      </c>
      <c r="H792" s="8" t="s">
        <v>8670</v>
      </c>
      <c r="I792" s="8" t="s">
        <v>8964</v>
      </c>
      <c r="J792" s="8" t="s">
        <v>177</v>
      </c>
      <c r="K792" s="8" t="s">
        <v>8664</v>
      </c>
      <c r="L792" s="8"/>
      <c r="M792" s="8"/>
      <c r="N792" s="8" t="n">
        <v>12</v>
      </c>
      <c r="O792" s="8" t="n">
        <v>17</v>
      </c>
      <c r="P792" s="8" t="s">
        <v>120</v>
      </c>
    </row>
    <row r="793" customFormat="false" ht="15" hidden="false" customHeight="false" outlineLevel="0" collapsed="false">
      <c r="A793" s="8" t="s">
        <v>2158</v>
      </c>
      <c r="B793" s="8" t="s">
        <v>2159</v>
      </c>
      <c r="C793" s="8" t="s">
        <v>8700</v>
      </c>
      <c r="D793" s="8" t="s">
        <v>123</v>
      </c>
      <c r="E793" s="8" t="s">
        <v>51</v>
      </c>
      <c r="F793" s="8" t="s">
        <v>326</v>
      </c>
      <c r="G793" s="8" t="s">
        <v>136</v>
      </c>
      <c r="H793" s="8" t="s">
        <v>8666</v>
      </c>
      <c r="I793" s="8" t="s">
        <v>9175</v>
      </c>
      <c r="J793" s="8" t="s">
        <v>140</v>
      </c>
      <c r="K793" s="8" t="s">
        <v>8664</v>
      </c>
      <c r="L793" s="8"/>
      <c r="M793" s="8"/>
      <c r="N793" s="8" t="n">
        <v>25</v>
      </c>
      <c r="O793" s="8" t="n">
        <v>26</v>
      </c>
      <c r="P793" s="8" t="s">
        <v>120</v>
      </c>
    </row>
    <row r="794" customFormat="false" ht="15" hidden="false" customHeight="false" outlineLevel="0" collapsed="false">
      <c r="A794" s="8" t="s">
        <v>671</v>
      </c>
      <c r="B794" s="8" t="s">
        <v>672</v>
      </c>
      <c r="C794" s="8" t="s">
        <v>8680</v>
      </c>
      <c r="D794" s="8" t="s">
        <v>132</v>
      </c>
      <c r="E794" s="8" t="s">
        <v>53</v>
      </c>
      <c r="F794" s="8" t="s">
        <v>326</v>
      </c>
      <c r="G794" s="8" t="s">
        <v>154</v>
      </c>
      <c r="H794" s="8" t="s">
        <v>8670</v>
      </c>
      <c r="I794" s="8" t="s">
        <v>9511</v>
      </c>
      <c r="J794" s="8" t="s">
        <v>204</v>
      </c>
      <c r="K794" s="8" t="s">
        <v>8664</v>
      </c>
      <c r="L794" s="8"/>
      <c r="M794" s="8"/>
      <c r="N794" s="8" t="n">
        <v>25</v>
      </c>
      <c r="O794" s="8" t="n">
        <v>193</v>
      </c>
      <c r="P794" s="8" t="s">
        <v>120</v>
      </c>
    </row>
    <row r="795" customFormat="false" ht="15" hidden="false" customHeight="false" outlineLevel="0" collapsed="false">
      <c r="A795" s="8" t="s">
        <v>1459</v>
      </c>
      <c r="B795" s="8" t="s">
        <v>1460</v>
      </c>
      <c r="C795" s="8" t="s">
        <v>8678</v>
      </c>
      <c r="D795" s="8" t="s">
        <v>117</v>
      </c>
      <c r="E795" s="8" t="s">
        <v>53</v>
      </c>
      <c r="F795" s="8" t="s">
        <v>326</v>
      </c>
      <c r="G795" s="8" t="s">
        <v>190</v>
      </c>
      <c r="H795" s="8" t="s">
        <v>8666</v>
      </c>
      <c r="I795" s="8" t="s">
        <v>9512</v>
      </c>
      <c r="J795" s="8" t="s">
        <v>185</v>
      </c>
      <c r="K795" s="8" t="s">
        <v>8664</v>
      </c>
      <c r="L795" s="8"/>
      <c r="M795" s="8"/>
      <c r="N795" s="8" t="n">
        <v>25</v>
      </c>
      <c r="O795" s="8" t="n">
        <v>77</v>
      </c>
      <c r="P795" s="8" t="s">
        <v>120</v>
      </c>
    </row>
    <row r="796" customFormat="false" ht="15" hidden="false" customHeight="false" outlineLevel="0" collapsed="false">
      <c r="A796" s="8" t="s">
        <v>985</v>
      </c>
      <c r="B796" s="8" t="s">
        <v>986</v>
      </c>
      <c r="C796" s="8" t="s">
        <v>8661</v>
      </c>
      <c r="D796" s="8" t="s">
        <v>117</v>
      </c>
      <c r="E796" s="8" t="s">
        <v>53</v>
      </c>
      <c r="F796" s="8" t="s">
        <v>326</v>
      </c>
      <c r="G796" s="8" t="s">
        <v>124</v>
      </c>
      <c r="H796" s="8" t="s">
        <v>8675</v>
      </c>
      <c r="I796" s="8" t="s">
        <v>9070</v>
      </c>
      <c r="J796" s="8" t="s">
        <v>147</v>
      </c>
      <c r="K796" s="8" t="s">
        <v>8664</v>
      </c>
      <c r="L796" s="8"/>
      <c r="M796" s="8"/>
      <c r="N796" s="8" t="n">
        <v>25</v>
      </c>
      <c r="O796" s="8" t="n">
        <v>167</v>
      </c>
      <c r="P796" s="8" t="s">
        <v>120</v>
      </c>
    </row>
    <row r="797" customFormat="false" ht="15" hidden="false" customHeight="false" outlineLevel="0" collapsed="false">
      <c r="A797" s="8" t="s">
        <v>9513</v>
      </c>
      <c r="B797" s="8" t="s">
        <v>9514</v>
      </c>
      <c r="C797" s="8" t="s">
        <v>8674</v>
      </c>
      <c r="D797" s="8" t="s">
        <v>117</v>
      </c>
      <c r="E797" s="8" t="s">
        <v>53</v>
      </c>
      <c r="F797" s="8" t="s">
        <v>326</v>
      </c>
      <c r="G797" s="8" t="s">
        <v>133</v>
      </c>
      <c r="H797" s="8" t="s">
        <v>8675</v>
      </c>
      <c r="I797" s="8" t="s">
        <v>9515</v>
      </c>
      <c r="J797" s="8"/>
      <c r="K797" s="8" t="s">
        <v>8690</v>
      </c>
      <c r="L797" s="8" t="s">
        <v>8995</v>
      </c>
      <c r="M797" s="8" t="s">
        <v>8696</v>
      </c>
      <c r="N797" s="8" t="n">
        <v>25</v>
      </c>
      <c r="O797" s="8" t="n">
        <v>78</v>
      </c>
      <c r="P797" s="8" t="s">
        <v>148</v>
      </c>
    </row>
    <row r="798" customFormat="false" ht="15" hidden="false" customHeight="false" outlineLevel="0" collapsed="false">
      <c r="A798" s="8" t="s">
        <v>921</v>
      </c>
      <c r="B798" s="8" t="s">
        <v>922</v>
      </c>
      <c r="C798" s="8" t="s">
        <v>8669</v>
      </c>
      <c r="D798" s="8" t="s">
        <v>117</v>
      </c>
      <c r="E798" s="8" t="s">
        <v>53</v>
      </c>
      <c r="F798" s="8" t="s">
        <v>326</v>
      </c>
      <c r="G798" s="8" t="s">
        <v>166</v>
      </c>
      <c r="H798" s="8" t="s">
        <v>8670</v>
      </c>
      <c r="I798" s="8" t="s">
        <v>9516</v>
      </c>
      <c r="J798" s="8" t="s">
        <v>140</v>
      </c>
      <c r="K798" s="8" t="s">
        <v>8664</v>
      </c>
      <c r="L798" s="8"/>
      <c r="M798" s="8"/>
      <c r="N798" s="8" t="n">
        <v>25</v>
      </c>
      <c r="O798" s="8" t="n">
        <v>178</v>
      </c>
      <c r="P798" s="8" t="s">
        <v>120</v>
      </c>
    </row>
    <row r="799" customFormat="false" ht="15" hidden="false" customHeight="false" outlineLevel="0" collapsed="false">
      <c r="A799" s="8" t="s">
        <v>1671</v>
      </c>
      <c r="B799" s="8" t="s">
        <v>1672</v>
      </c>
      <c r="C799" s="8" t="s">
        <v>8688</v>
      </c>
      <c r="D799" s="8" t="s">
        <v>132</v>
      </c>
      <c r="E799" s="8" t="s">
        <v>53</v>
      </c>
      <c r="F799" s="8" t="s">
        <v>326</v>
      </c>
      <c r="G799" s="8" t="s">
        <v>118</v>
      </c>
      <c r="H799" s="8" t="s">
        <v>8670</v>
      </c>
      <c r="I799" s="8" t="s">
        <v>8691</v>
      </c>
      <c r="J799" s="8" t="s">
        <v>204</v>
      </c>
      <c r="K799" s="8" t="s">
        <v>8664</v>
      </c>
      <c r="L799" s="8"/>
      <c r="M799" s="8"/>
      <c r="N799" s="8" t="n">
        <v>25</v>
      </c>
      <c r="O799" s="8" t="n">
        <v>57</v>
      </c>
      <c r="P799" s="8" t="s">
        <v>120</v>
      </c>
    </row>
    <row r="800" customFormat="false" ht="15" hidden="false" customHeight="false" outlineLevel="0" collapsed="false">
      <c r="A800" s="8" t="s">
        <v>2160</v>
      </c>
      <c r="B800" s="8" t="s">
        <v>2161</v>
      </c>
      <c r="C800" s="8" t="s">
        <v>8674</v>
      </c>
      <c r="D800" s="8" t="s">
        <v>132</v>
      </c>
      <c r="E800" s="8" t="s">
        <v>51</v>
      </c>
      <c r="F800" s="8" t="s">
        <v>326</v>
      </c>
      <c r="G800" s="8" t="s">
        <v>118</v>
      </c>
      <c r="H800" s="8" t="s">
        <v>8662</v>
      </c>
      <c r="I800" s="8" t="s">
        <v>9517</v>
      </c>
      <c r="J800" s="8" t="s">
        <v>147</v>
      </c>
      <c r="K800" s="8" t="s">
        <v>8664</v>
      </c>
      <c r="L800" s="8"/>
      <c r="M800" s="8"/>
      <c r="N800" s="8" t="n">
        <v>25</v>
      </c>
      <c r="O800" s="8" t="n">
        <v>30</v>
      </c>
      <c r="P800" s="8" t="s">
        <v>120</v>
      </c>
    </row>
    <row r="801" customFormat="false" ht="15" hidden="false" customHeight="false" outlineLevel="0" collapsed="false">
      <c r="A801" s="8" t="s">
        <v>9518</v>
      </c>
      <c r="B801" s="8" t="s">
        <v>9519</v>
      </c>
      <c r="C801" s="8" t="s">
        <v>8700</v>
      </c>
      <c r="D801" s="8" t="s">
        <v>123</v>
      </c>
      <c r="E801" s="8" t="s">
        <v>51</v>
      </c>
      <c r="F801" s="8" t="s">
        <v>2027</v>
      </c>
      <c r="G801" s="8" t="s">
        <v>118</v>
      </c>
      <c r="H801" s="8" t="s">
        <v>8670</v>
      </c>
      <c r="I801" s="8" t="s">
        <v>8902</v>
      </c>
      <c r="J801" s="8"/>
      <c r="K801" s="8" t="s">
        <v>8690</v>
      </c>
      <c r="L801" s="8" t="s">
        <v>9520</v>
      </c>
      <c r="M801" s="8" t="s">
        <v>8692</v>
      </c>
      <c r="N801" s="8" t="n">
        <v>12</v>
      </c>
      <c r="O801" s="8" t="n">
        <v>25</v>
      </c>
      <c r="P801" s="8" t="s">
        <v>120</v>
      </c>
    </row>
    <row r="802" customFormat="false" ht="15" hidden="false" customHeight="false" outlineLevel="0" collapsed="false">
      <c r="A802" s="8" t="s">
        <v>2011</v>
      </c>
      <c r="B802" s="8" t="s">
        <v>2012</v>
      </c>
      <c r="C802" s="8" t="s">
        <v>8674</v>
      </c>
      <c r="D802" s="8" t="s">
        <v>123</v>
      </c>
      <c r="E802" s="8" t="s">
        <v>51</v>
      </c>
      <c r="F802" s="8" t="s">
        <v>326</v>
      </c>
      <c r="G802" s="8" t="s">
        <v>151</v>
      </c>
      <c r="H802" s="8" t="s">
        <v>8662</v>
      </c>
      <c r="I802" s="8" t="s">
        <v>9521</v>
      </c>
      <c r="J802" s="8" t="s">
        <v>140</v>
      </c>
      <c r="K802" s="8" t="s">
        <v>8664</v>
      </c>
      <c r="L802" s="8"/>
      <c r="M802" s="8"/>
      <c r="N802" s="8" t="n">
        <v>25</v>
      </c>
      <c r="O802" s="8" t="n">
        <v>31</v>
      </c>
      <c r="P802" s="8" t="s">
        <v>120</v>
      </c>
    </row>
    <row r="803" customFormat="false" ht="15" hidden="false" customHeight="false" outlineLevel="0" collapsed="false">
      <c r="A803" s="8" t="s">
        <v>459</v>
      </c>
      <c r="B803" s="8" t="s">
        <v>460</v>
      </c>
      <c r="C803" s="8" t="s">
        <v>8669</v>
      </c>
      <c r="D803" s="8" t="s">
        <v>132</v>
      </c>
      <c r="E803" s="8" t="s">
        <v>55</v>
      </c>
      <c r="F803" s="8" t="s">
        <v>55</v>
      </c>
      <c r="G803" s="8" t="s">
        <v>133</v>
      </c>
      <c r="H803" s="8" t="s">
        <v>8675</v>
      </c>
      <c r="I803" s="8" t="s">
        <v>9145</v>
      </c>
      <c r="J803" s="8" t="s">
        <v>144</v>
      </c>
      <c r="K803" s="8" t="s">
        <v>8664</v>
      </c>
      <c r="L803" s="8"/>
      <c r="M803" s="8"/>
      <c r="N803" s="8" t="n">
        <v>45</v>
      </c>
      <c r="O803" s="8" t="n">
        <v>257</v>
      </c>
      <c r="P803" s="8" t="s">
        <v>120</v>
      </c>
    </row>
    <row r="804" customFormat="false" ht="15" hidden="false" customHeight="false" outlineLevel="0" collapsed="false">
      <c r="A804" s="8" t="s">
        <v>1029</v>
      </c>
      <c r="B804" s="8" t="s">
        <v>1030</v>
      </c>
      <c r="C804" s="8" t="s">
        <v>8669</v>
      </c>
      <c r="D804" s="8" t="s">
        <v>123</v>
      </c>
      <c r="E804" s="8" t="s">
        <v>53</v>
      </c>
      <c r="F804" s="8" t="s">
        <v>326</v>
      </c>
      <c r="G804" s="8" t="s">
        <v>190</v>
      </c>
      <c r="H804" s="8" t="s">
        <v>8662</v>
      </c>
      <c r="I804" s="8" t="s">
        <v>9130</v>
      </c>
      <c r="J804" s="8" t="s">
        <v>137</v>
      </c>
      <c r="K804" s="8" t="s">
        <v>8664</v>
      </c>
      <c r="L804" s="8"/>
      <c r="M804" s="8"/>
      <c r="N804" s="8" t="n">
        <v>25</v>
      </c>
      <c r="O804" s="8" t="n">
        <v>160</v>
      </c>
      <c r="P804" s="8" t="s">
        <v>120</v>
      </c>
    </row>
    <row r="805" customFormat="false" ht="15" hidden="false" customHeight="false" outlineLevel="0" collapsed="false">
      <c r="A805" s="8" t="s">
        <v>6287</v>
      </c>
      <c r="B805" s="8" t="s">
        <v>9522</v>
      </c>
      <c r="C805" s="8" t="s">
        <v>8665</v>
      </c>
      <c r="D805" s="8" t="s">
        <v>132</v>
      </c>
      <c r="E805" s="8" t="s">
        <v>51</v>
      </c>
      <c r="F805" s="8" t="s">
        <v>326</v>
      </c>
      <c r="G805" s="8" t="s">
        <v>151</v>
      </c>
      <c r="H805" s="8" t="s">
        <v>8670</v>
      </c>
      <c r="I805" s="8" t="s">
        <v>9523</v>
      </c>
      <c r="J805" s="8"/>
      <c r="K805" s="8" t="s">
        <v>8690</v>
      </c>
      <c r="L805" s="8" t="s">
        <v>9524</v>
      </c>
      <c r="M805" s="8" t="s">
        <v>8795</v>
      </c>
      <c r="N805" s="8" t="n">
        <v>25</v>
      </c>
      <c r="O805" s="8" t="n">
        <v>19</v>
      </c>
      <c r="P805" s="8" t="s">
        <v>120</v>
      </c>
    </row>
    <row r="806" customFormat="false" ht="15" hidden="false" customHeight="false" outlineLevel="0" collapsed="false">
      <c r="A806" s="8" t="s">
        <v>2290</v>
      </c>
      <c r="B806" s="8" t="s">
        <v>2291</v>
      </c>
      <c r="C806" s="8" t="s">
        <v>8688</v>
      </c>
      <c r="D806" s="8" t="s">
        <v>123</v>
      </c>
      <c r="E806" s="8" t="s">
        <v>51</v>
      </c>
      <c r="F806" s="8" t="s">
        <v>326</v>
      </c>
      <c r="G806" s="8" t="s">
        <v>154</v>
      </c>
      <c r="H806" s="8" t="s">
        <v>8675</v>
      </c>
      <c r="I806" s="8" t="s">
        <v>9241</v>
      </c>
      <c r="J806" s="8" t="s">
        <v>144</v>
      </c>
      <c r="K806" s="8" t="s">
        <v>8664</v>
      </c>
      <c r="L806" s="8"/>
      <c r="M806" s="8"/>
      <c r="N806" s="8" t="n">
        <v>25</v>
      </c>
      <c r="O806" s="8" t="n">
        <v>22</v>
      </c>
      <c r="P806" s="8" t="s">
        <v>120</v>
      </c>
    </row>
    <row r="807" customFormat="false" ht="15" hidden="false" customHeight="false" outlineLevel="0" collapsed="false">
      <c r="A807" s="8" t="s">
        <v>3872</v>
      </c>
      <c r="B807" s="8" t="s">
        <v>3873</v>
      </c>
      <c r="C807" s="8" t="s">
        <v>8665</v>
      </c>
      <c r="D807" s="8" t="s">
        <v>123</v>
      </c>
      <c r="E807" s="8" t="s">
        <v>51</v>
      </c>
      <c r="F807" s="8" t="s">
        <v>2027</v>
      </c>
      <c r="G807" s="8" t="s">
        <v>124</v>
      </c>
      <c r="H807" s="8" t="s">
        <v>8662</v>
      </c>
      <c r="I807" s="8" t="s">
        <v>9525</v>
      </c>
      <c r="J807" s="8" t="s">
        <v>129</v>
      </c>
      <c r="K807" s="8" t="s">
        <v>8664</v>
      </c>
      <c r="L807" s="8"/>
      <c r="M807" s="8"/>
      <c r="N807" s="8" t="n">
        <v>12</v>
      </c>
      <c r="O807" s="8" t="n">
        <v>12</v>
      </c>
      <c r="P807" s="8" t="s">
        <v>120</v>
      </c>
    </row>
    <row r="808" customFormat="false" ht="15" hidden="false" customHeight="false" outlineLevel="0" collapsed="false">
      <c r="A808" s="8" t="s">
        <v>3158</v>
      </c>
      <c r="B808" s="8" t="s">
        <v>3159</v>
      </c>
      <c r="C808" s="8" t="s">
        <v>8661</v>
      </c>
      <c r="D808" s="8" t="s">
        <v>123</v>
      </c>
      <c r="E808" s="8" t="s">
        <v>51</v>
      </c>
      <c r="F808" s="8" t="s">
        <v>2027</v>
      </c>
      <c r="G808" s="8" t="s">
        <v>190</v>
      </c>
      <c r="H808" s="8" t="s">
        <v>8675</v>
      </c>
      <c r="I808" s="8" t="s">
        <v>9526</v>
      </c>
      <c r="J808" s="8" t="s">
        <v>177</v>
      </c>
      <c r="K808" s="8" t="s">
        <v>8664</v>
      </c>
      <c r="L808" s="8"/>
      <c r="M808" s="8"/>
      <c r="N808" s="8" t="n">
        <v>12</v>
      </c>
      <c r="O808" s="8" t="n">
        <v>27</v>
      </c>
      <c r="P808" s="8" t="s">
        <v>120</v>
      </c>
    </row>
    <row r="809" customFormat="false" ht="15" hidden="false" customHeight="false" outlineLevel="0" collapsed="false">
      <c r="A809" s="8" t="s">
        <v>1347</v>
      </c>
      <c r="B809" s="8" t="s">
        <v>1348</v>
      </c>
      <c r="C809" s="8" t="s">
        <v>8678</v>
      </c>
      <c r="D809" s="8" t="s">
        <v>123</v>
      </c>
      <c r="E809" s="8" t="s">
        <v>53</v>
      </c>
      <c r="F809" s="8" t="s">
        <v>326</v>
      </c>
      <c r="G809" s="8" t="s">
        <v>190</v>
      </c>
      <c r="H809" s="8" t="s">
        <v>8666</v>
      </c>
      <c r="I809" s="8" t="s">
        <v>9521</v>
      </c>
      <c r="J809" s="8" t="s">
        <v>140</v>
      </c>
      <c r="K809" s="8" t="s">
        <v>8664</v>
      </c>
      <c r="L809" s="8"/>
      <c r="M809" s="8"/>
      <c r="N809" s="8" t="n">
        <v>25</v>
      </c>
      <c r="O809" s="8" t="n">
        <v>94</v>
      </c>
      <c r="P809" s="8" t="s">
        <v>120</v>
      </c>
    </row>
    <row r="810" customFormat="false" ht="15" hidden="false" customHeight="false" outlineLevel="0" collapsed="false">
      <c r="A810" s="8" t="s">
        <v>3746</v>
      </c>
      <c r="B810" s="8" t="s">
        <v>3747</v>
      </c>
      <c r="C810" s="8" t="s">
        <v>8674</v>
      </c>
      <c r="D810" s="8" t="s">
        <v>132</v>
      </c>
      <c r="E810" s="8" t="s">
        <v>51</v>
      </c>
      <c r="F810" s="8" t="s">
        <v>2027</v>
      </c>
      <c r="G810" s="8" t="s">
        <v>151</v>
      </c>
      <c r="H810" s="8" t="s">
        <v>8675</v>
      </c>
      <c r="I810" s="8" t="s">
        <v>9179</v>
      </c>
      <c r="J810" s="8" t="s">
        <v>180</v>
      </c>
      <c r="K810" s="8" t="s">
        <v>8664</v>
      </c>
      <c r="L810" s="8"/>
      <c r="M810" s="8"/>
      <c r="N810" s="8" t="n">
        <v>12</v>
      </c>
      <c r="O810" s="8" t="n">
        <v>16</v>
      </c>
      <c r="P810" s="8" t="s">
        <v>120</v>
      </c>
    </row>
    <row r="811" customFormat="false" ht="15" hidden="false" customHeight="false" outlineLevel="0" collapsed="false">
      <c r="A811" s="8" t="s">
        <v>3342</v>
      </c>
      <c r="B811" s="8" t="s">
        <v>3343</v>
      </c>
      <c r="C811" s="8" t="s">
        <v>8669</v>
      </c>
      <c r="D811" s="8" t="s">
        <v>117</v>
      </c>
      <c r="E811" s="8" t="s">
        <v>51</v>
      </c>
      <c r="F811" s="8" t="s">
        <v>2027</v>
      </c>
      <c r="G811" s="8" t="s">
        <v>190</v>
      </c>
      <c r="H811" s="8" t="s">
        <v>8675</v>
      </c>
      <c r="I811" s="8" t="s">
        <v>8855</v>
      </c>
      <c r="J811" s="8" t="s">
        <v>140</v>
      </c>
      <c r="K811" s="8" t="s">
        <v>8664</v>
      </c>
      <c r="L811" s="8"/>
      <c r="M811" s="8"/>
      <c r="N811" s="8" t="n">
        <v>12</v>
      </c>
      <c r="O811" s="8" t="n">
        <v>24</v>
      </c>
      <c r="P811" s="8" t="s">
        <v>120</v>
      </c>
    </row>
    <row r="812" customFormat="false" ht="15" hidden="false" customHeight="false" outlineLevel="0" collapsed="false">
      <c r="A812" s="8" t="s">
        <v>1633</v>
      </c>
      <c r="B812" s="8" t="s">
        <v>1634</v>
      </c>
      <c r="C812" s="8" t="s">
        <v>8700</v>
      </c>
      <c r="D812" s="8" t="s">
        <v>132</v>
      </c>
      <c r="E812" s="8" t="s">
        <v>53</v>
      </c>
      <c r="F812" s="8" t="s">
        <v>326</v>
      </c>
      <c r="G812" s="8" t="s">
        <v>223</v>
      </c>
      <c r="H812" s="8" t="s">
        <v>8666</v>
      </c>
      <c r="I812" s="8" t="s">
        <v>9387</v>
      </c>
      <c r="J812" s="8" t="s">
        <v>180</v>
      </c>
      <c r="K812" s="8" t="s">
        <v>8664</v>
      </c>
      <c r="L812" s="8"/>
      <c r="M812" s="8"/>
      <c r="N812" s="8" t="n">
        <v>25</v>
      </c>
      <c r="O812" s="8" t="n">
        <v>66</v>
      </c>
      <c r="P812" s="8" t="s">
        <v>120</v>
      </c>
    </row>
    <row r="813" customFormat="false" ht="15" hidden="false" customHeight="false" outlineLevel="0" collapsed="false">
      <c r="A813" s="8" t="s">
        <v>757</v>
      </c>
      <c r="B813" s="8" t="s">
        <v>758</v>
      </c>
      <c r="C813" s="8" t="s">
        <v>8674</v>
      </c>
      <c r="D813" s="8" t="s">
        <v>128</v>
      </c>
      <c r="E813" s="8" t="s">
        <v>53</v>
      </c>
      <c r="F813" s="8" t="s">
        <v>55</v>
      </c>
      <c r="G813" s="8" t="s">
        <v>151</v>
      </c>
      <c r="H813" s="8" t="s">
        <v>8666</v>
      </c>
      <c r="I813" s="8" t="s">
        <v>9527</v>
      </c>
      <c r="J813" s="8" t="s">
        <v>144</v>
      </c>
      <c r="K813" s="8" t="s">
        <v>8664</v>
      </c>
      <c r="L813" s="8"/>
      <c r="M813" s="8"/>
      <c r="N813" s="8" t="n">
        <v>45</v>
      </c>
      <c r="O813" s="8" t="n">
        <v>118</v>
      </c>
      <c r="P813" s="8" t="s">
        <v>120</v>
      </c>
    </row>
    <row r="814" customFormat="false" ht="15" hidden="false" customHeight="false" outlineLevel="0" collapsed="false">
      <c r="A814" s="8" t="s">
        <v>1601</v>
      </c>
      <c r="B814" s="8" t="s">
        <v>1602</v>
      </c>
      <c r="C814" s="8" t="s">
        <v>8700</v>
      </c>
      <c r="D814" s="8" t="s">
        <v>132</v>
      </c>
      <c r="E814" s="8" t="s">
        <v>53</v>
      </c>
      <c r="F814" s="8" t="s">
        <v>326</v>
      </c>
      <c r="G814" s="8" t="s">
        <v>136</v>
      </c>
      <c r="H814" s="8" t="s">
        <v>8675</v>
      </c>
      <c r="I814" s="8" t="s">
        <v>9528</v>
      </c>
      <c r="J814" s="8" t="s">
        <v>204</v>
      </c>
      <c r="K814" s="8" t="s">
        <v>8664</v>
      </c>
      <c r="L814" s="8"/>
      <c r="M814" s="8"/>
      <c r="N814" s="8" t="n">
        <v>25</v>
      </c>
      <c r="O814" s="8" t="n">
        <v>86</v>
      </c>
      <c r="P814" s="8" t="s">
        <v>120</v>
      </c>
    </row>
    <row r="815" customFormat="false" ht="15" hidden="false" customHeight="false" outlineLevel="0" collapsed="false">
      <c r="A815" s="8" t="s">
        <v>1547</v>
      </c>
      <c r="B815" s="8" t="s">
        <v>1548</v>
      </c>
      <c r="C815" s="8" t="s">
        <v>8700</v>
      </c>
      <c r="D815" s="8" t="s">
        <v>123</v>
      </c>
      <c r="E815" s="8" t="s">
        <v>53</v>
      </c>
      <c r="F815" s="8" t="s">
        <v>326</v>
      </c>
      <c r="G815" s="8" t="s">
        <v>154</v>
      </c>
      <c r="H815" s="8" t="s">
        <v>8666</v>
      </c>
      <c r="I815" s="8" t="s">
        <v>9529</v>
      </c>
      <c r="J815" s="8" t="s">
        <v>125</v>
      </c>
      <c r="K815" s="8" t="s">
        <v>8664</v>
      </c>
      <c r="L815" s="8"/>
      <c r="M815" s="8"/>
      <c r="N815" s="8" t="n">
        <v>25</v>
      </c>
      <c r="O815" s="8" t="n">
        <v>101</v>
      </c>
      <c r="P815" s="8" t="s">
        <v>120</v>
      </c>
    </row>
    <row r="816" customFormat="false" ht="15" hidden="false" customHeight="false" outlineLevel="0" collapsed="false">
      <c r="A816" s="8" t="s">
        <v>3130</v>
      </c>
      <c r="B816" s="8" t="s">
        <v>3131</v>
      </c>
      <c r="C816" s="8" t="s">
        <v>8674</v>
      </c>
      <c r="D816" s="8" t="s">
        <v>132</v>
      </c>
      <c r="E816" s="8" t="s">
        <v>51</v>
      </c>
      <c r="F816" s="8" t="s">
        <v>326</v>
      </c>
      <c r="G816" s="8" t="s">
        <v>223</v>
      </c>
      <c r="H816" s="8" t="s">
        <v>8662</v>
      </c>
      <c r="I816" s="8" t="s">
        <v>9466</v>
      </c>
      <c r="J816" s="8" t="s">
        <v>129</v>
      </c>
      <c r="K816" s="8" t="s">
        <v>8664</v>
      </c>
      <c r="L816" s="8"/>
      <c r="M816" s="8"/>
      <c r="N816" s="8" t="n">
        <v>25</v>
      </c>
      <c r="O816" s="8" t="n">
        <v>13</v>
      </c>
      <c r="P816" s="8" t="s">
        <v>120</v>
      </c>
    </row>
    <row r="817" customFormat="false" ht="15" hidden="false" customHeight="false" outlineLevel="0" collapsed="false">
      <c r="A817" s="8" t="s">
        <v>2598</v>
      </c>
      <c r="B817" s="8" t="s">
        <v>2599</v>
      </c>
      <c r="C817" s="8" t="s">
        <v>8669</v>
      </c>
      <c r="D817" s="8" t="s">
        <v>123</v>
      </c>
      <c r="E817" s="8" t="s">
        <v>51</v>
      </c>
      <c r="F817" s="8" t="s">
        <v>2027</v>
      </c>
      <c r="G817" s="8" t="s">
        <v>223</v>
      </c>
      <c r="H817" s="8" t="s">
        <v>8662</v>
      </c>
      <c r="I817" s="8" t="s">
        <v>9530</v>
      </c>
      <c r="J817" s="8" t="s">
        <v>119</v>
      </c>
      <c r="K817" s="8" t="s">
        <v>8664</v>
      </c>
      <c r="L817" s="8"/>
      <c r="M817" s="8"/>
      <c r="N817" s="8" t="n">
        <v>12</v>
      </c>
      <c r="O817" s="8" t="n">
        <v>36</v>
      </c>
      <c r="P817" s="8" t="s">
        <v>120</v>
      </c>
    </row>
    <row r="818" customFormat="false" ht="15" hidden="false" customHeight="false" outlineLevel="0" collapsed="false">
      <c r="A818" s="8" t="s">
        <v>6236</v>
      </c>
      <c r="B818" s="8" t="s">
        <v>9531</v>
      </c>
      <c r="C818" s="8" t="s">
        <v>8665</v>
      </c>
      <c r="D818" s="8" t="s">
        <v>123</v>
      </c>
      <c r="E818" s="8" t="s">
        <v>53</v>
      </c>
      <c r="F818" s="8" t="s">
        <v>55</v>
      </c>
      <c r="G818" s="8" t="s">
        <v>143</v>
      </c>
      <c r="H818" s="8" t="s">
        <v>8662</v>
      </c>
      <c r="I818" s="8" t="s">
        <v>8979</v>
      </c>
      <c r="J818" s="8"/>
      <c r="K818" s="8" t="s">
        <v>8690</v>
      </c>
      <c r="L818" s="8" t="s">
        <v>9532</v>
      </c>
      <c r="M818" s="8" t="s">
        <v>8705</v>
      </c>
      <c r="N818" s="8" t="n">
        <v>45</v>
      </c>
      <c r="O818" s="8" t="n">
        <v>137</v>
      </c>
      <c r="P818" s="8" t="s">
        <v>120</v>
      </c>
    </row>
    <row r="819" customFormat="false" ht="15" hidden="false" customHeight="false" outlineLevel="0" collapsed="false">
      <c r="A819" s="8" t="s">
        <v>2600</v>
      </c>
      <c r="B819" s="8" t="s">
        <v>2601</v>
      </c>
      <c r="C819" s="8" t="s">
        <v>8669</v>
      </c>
      <c r="D819" s="8" t="s">
        <v>123</v>
      </c>
      <c r="E819" s="8" t="s">
        <v>51</v>
      </c>
      <c r="F819" s="8" t="s">
        <v>2027</v>
      </c>
      <c r="G819" s="8" t="s">
        <v>154</v>
      </c>
      <c r="H819" s="8" t="s">
        <v>8675</v>
      </c>
      <c r="I819" s="8" t="s">
        <v>9172</v>
      </c>
      <c r="J819" s="8" t="s">
        <v>129</v>
      </c>
      <c r="K819" s="8" t="s">
        <v>8664</v>
      </c>
      <c r="L819" s="8"/>
      <c r="M819" s="8"/>
      <c r="N819" s="8" t="n">
        <v>12</v>
      </c>
      <c r="O819" s="8" t="n">
        <v>36</v>
      </c>
      <c r="P819" s="8" t="s">
        <v>120</v>
      </c>
    </row>
    <row r="820" customFormat="false" ht="15" hidden="false" customHeight="false" outlineLevel="0" collapsed="false">
      <c r="A820" s="8" t="s">
        <v>1077</v>
      </c>
      <c r="B820" s="8" t="s">
        <v>1078</v>
      </c>
      <c r="C820" s="8" t="s">
        <v>8678</v>
      </c>
      <c r="D820" s="8" t="s">
        <v>123</v>
      </c>
      <c r="E820" s="8" t="s">
        <v>53</v>
      </c>
      <c r="F820" s="8" t="s">
        <v>326</v>
      </c>
      <c r="G820" s="8" t="s">
        <v>154</v>
      </c>
      <c r="H820" s="8" t="s">
        <v>8670</v>
      </c>
      <c r="I820" s="8" t="s">
        <v>9533</v>
      </c>
      <c r="J820" s="8" t="s">
        <v>119</v>
      </c>
      <c r="K820" s="8" t="s">
        <v>8664</v>
      </c>
      <c r="L820" s="8"/>
      <c r="M820" s="8"/>
      <c r="N820" s="8" t="n">
        <v>25</v>
      </c>
      <c r="O820" s="8" t="n">
        <v>152</v>
      </c>
      <c r="P820" s="8" t="s">
        <v>120</v>
      </c>
    </row>
    <row r="821" customFormat="false" ht="15" hidden="false" customHeight="false" outlineLevel="0" collapsed="false">
      <c r="A821" s="8" t="s">
        <v>2038</v>
      </c>
      <c r="B821" s="8" t="s">
        <v>2039</v>
      </c>
      <c r="C821" s="8" t="s">
        <v>8665</v>
      </c>
      <c r="D821" s="8" t="s">
        <v>132</v>
      </c>
      <c r="E821" s="8" t="s">
        <v>51</v>
      </c>
      <c r="F821" s="8" t="s">
        <v>326</v>
      </c>
      <c r="G821" s="8" t="s">
        <v>190</v>
      </c>
      <c r="H821" s="8" t="s">
        <v>8670</v>
      </c>
      <c r="I821" s="8" t="s">
        <v>9534</v>
      </c>
      <c r="J821" s="8" t="s">
        <v>185</v>
      </c>
      <c r="K821" s="8" t="s">
        <v>8664</v>
      </c>
      <c r="L821" s="8"/>
      <c r="M821" s="8"/>
      <c r="N821" s="8" t="n">
        <v>25</v>
      </c>
      <c r="O821" s="8" t="n">
        <v>30</v>
      </c>
      <c r="P821" s="8" t="s">
        <v>120</v>
      </c>
    </row>
    <row r="822" customFormat="false" ht="15" hidden="false" customHeight="false" outlineLevel="0" collapsed="false">
      <c r="A822" s="8" t="s">
        <v>3924</v>
      </c>
      <c r="B822" s="8" t="s">
        <v>3925</v>
      </c>
      <c r="C822" s="8" t="s">
        <v>8665</v>
      </c>
      <c r="D822" s="8" t="s">
        <v>132</v>
      </c>
      <c r="E822" s="8" t="s">
        <v>51</v>
      </c>
      <c r="F822" s="8" t="s">
        <v>2027</v>
      </c>
      <c r="G822" s="8" t="s">
        <v>151</v>
      </c>
      <c r="H822" s="8" t="s">
        <v>8662</v>
      </c>
      <c r="I822" s="8" t="s">
        <v>8831</v>
      </c>
      <c r="J822" s="8" t="s">
        <v>147</v>
      </c>
      <c r="K822" s="8" t="s">
        <v>8664</v>
      </c>
      <c r="L822" s="8"/>
      <c r="M822" s="8"/>
      <c r="N822" s="8" t="n">
        <v>12</v>
      </c>
      <c r="O822" s="8" t="n">
        <v>13</v>
      </c>
      <c r="P822" s="8" t="s">
        <v>120</v>
      </c>
    </row>
    <row r="823" customFormat="false" ht="15" hidden="false" customHeight="false" outlineLevel="0" collapsed="false">
      <c r="A823" s="8" t="s">
        <v>933</v>
      </c>
      <c r="B823" s="8" t="s">
        <v>934</v>
      </c>
      <c r="C823" s="8" t="s">
        <v>8700</v>
      </c>
      <c r="D823" s="8" t="s">
        <v>132</v>
      </c>
      <c r="E823" s="8" t="s">
        <v>53</v>
      </c>
      <c r="F823" s="8" t="s">
        <v>326</v>
      </c>
      <c r="G823" s="8" t="s">
        <v>151</v>
      </c>
      <c r="H823" s="8" t="s">
        <v>8675</v>
      </c>
      <c r="I823" s="8" t="s">
        <v>8802</v>
      </c>
      <c r="J823" s="8" t="s">
        <v>119</v>
      </c>
      <c r="K823" s="8" t="s">
        <v>8664</v>
      </c>
      <c r="L823" s="8"/>
      <c r="M823" s="8"/>
      <c r="N823" s="8" t="n">
        <v>25</v>
      </c>
      <c r="O823" s="8" t="n">
        <v>177</v>
      </c>
      <c r="P823" s="8" t="s">
        <v>120</v>
      </c>
    </row>
    <row r="824" customFormat="false" ht="15" hidden="false" customHeight="false" outlineLevel="0" collapsed="false">
      <c r="A824" s="8" t="s">
        <v>3402</v>
      </c>
      <c r="B824" s="8" t="s">
        <v>3403</v>
      </c>
      <c r="C824" s="8" t="s">
        <v>8669</v>
      </c>
      <c r="D824" s="8" t="s">
        <v>123</v>
      </c>
      <c r="E824" s="8" t="s">
        <v>51</v>
      </c>
      <c r="F824" s="8" t="s">
        <v>2027</v>
      </c>
      <c r="G824" s="8" t="s">
        <v>154</v>
      </c>
      <c r="H824" s="8" t="s">
        <v>8670</v>
      </c>
      <c r="I824" s="8" t="s">
        <v>9535</v>
      </c>
      <c r="J824" s="8" t="s">
        <v>185</v>
      </c>
      <c r="K824" s="8" t="s">
        <v>8664</v>
      </c>
      <c r="L824" s="8"/>
      <c r="M824" s="8"/>
      <c r="N824" s="8" t="n">
        <v>12</v>
      </c>
      <c r="O824" s="8" t="n">
        <v>23</v>
      </c>
      <c r="P824" s="8" t="s">
        <v>120</v>
      </c>
    </row>
    <row r="825" customFormat="false" ht="15" hidden="false" customHeight="false" outlineLevel="0" collapsed="false">
      <c r="A825" s="8" t="s">
        <v>9536</v>
      </c>
      <c r="B825" s="8" t="s">
        <v>9537</v>
      </c>
      <c r="C825" s="8" t="s">
        <v>8669</v>
      </c>
      <c r="D825" s="8" t="s">
        <v>123</v>
      </c>
      <c r="E825" s="8" t="s">
        <v>51</v>
      </c>
      <c r="F825" s="8" t="s">
        <v>326</v>
      </c>
      <c r="G825" s="8" t="s">
        <v>190</v>
      </c>
      <c r="H825" s="8" t="s">
        <v>8670</v>
      </c>
      <c r="I825" s="8" t="s">
        <v>9538</v>
      </c>
      <c r="J825" s="8"/>
      <c r="K825" s="8" t="s">
        <v>8690</v>
      </c>
      <c r="L825" s="8" t="s">
        <v>9539</v>
      </c>
      <c r="M825" s="8" t="s">
        <v>8705</v>
      </c>
      <c r="N825" s="8" t="n">
        <v>25</v>
      </c>
      <c r="O825" s="8" t="n">
        <v>19</v>
      </c>
      <c r="P825" s="8" t="s">
        <v>120</v>
      </c>
    </row>
    <row r="826" customFormat="false" ht="15" hidden="false" customHeight="false" outlineLevel="0" collapsed="false">
      <c r="A826" s="8" t="s">
        <v>439</v>
      </c>
      <c r="B826" s="8" t="s">
        <v>440</v>
      </c>
      <c r="C826" s="8" t="s">
        <v>8700</v>
      </c>
      <c r="D826" s="8" t="s">
        <v>123</v>
      </c>
      <c r="E826" s="8" t="s">
        <v>55</v>
      </c>
      <c r="F826" s="8" t="s">
        <v>326</v>
      </c>
      <c r="G826" s="8" t="s">
        <v>143</v>
      </c>
      <c r="H826" s="8" t="s">
        <v>8675</v>
      </c>
      <c r="I826" s="8" t="s">
        <v>9075</v>
      </c>
      <c r="J826" s="8" t="s">
        <v>159</v>
      </c>
      <c r="K826" s="8" t="s">
        <v>8664</v>
      </c>
      <c r="L826" s="8"/>
      <c r="M826" s="8"/>
      <c r="N826" s="8" t="n">
        <v>25</v>
      </c>
      <c r="O826" s="8" t="n">
        <v>486</v>
      </c>
      <c r="P826" s="8" t="s">
        <v>120</v>
      </c>
    </row>
    <row r="827" customFormat="false" ht="15" hidden="false" customHeight="false" outlineLevel="0" collapsed="false">
      <c r="A827" s="8" t="s">
        <v>3706</v>
      </c>
      <c r="B827" s="8" t="s">
        <v>3707</v>
      </c>
      <c r="C827" s="8" t="s">
        <v>8678</v>
      </c>
      <c r="D827" s="8" t="s">
        <v>123</v>
      </c>
      <c r="E827" s="8" t="s">
        <v>51</v>
      </c>
      <c r="F827" s="8" t="s">
        <v>2027</v>
      </c>
      <c r="G827" s="8" t="s">
        <v>223</v>
      </c>
      <c r="H827" s="8" t="s">
        <v>8675</v>
      </c>
      <c r="I827" s="8" t="s">
        <v>9540</v>
      </c>
      <c r="J827" s="8" t="s">
        <v>177</v>
      </c>
      <c r="K827" s="8" t="s">
        <v>8664</v>
      </c>
      <c r="L827" s="8"/>
      <c r="M827" s="8"/>
      <c r="N827" s="8" t="n">
        <v>12</v>
      </c>
      <c r="O827" s="8" t="n">
        <v>17</v>
      </c>
      <c r="P827" s="8" t="s">
        <v>120</v>
      </c>
    </row>
    <row r="828" customFormat="false" ht="15" hidden="false" customHeight="false" outlineLevel="0" collapsed="false">
      <c r="A828" s="8" t="s">
        <v>531</v>
      </c>
      <c r="B828" s="8" t="s">
        <v>532</v>
      </c>
      <c r="C828" s="8" t="s">
        <v>8661</v>
      </c>
      <c r="D828" s="8" t="s">
        <v>123</v>
      </c>
      <c r="E828" s="8" t="s">
        <v>55</v>
      </c>
      <c r="F828" s="8" t="s">
        <v>326</v>
      </c>
      <c r="G828" s="8" t="s">
        <v>124</v>
      </c>
      <c r="H828" s="8" t="s">
        <v>8662</v>
      </c>
      <c r="I828" s="8" t="s">
        <v>9193</v>
      </c>
      <c r="J828" s="8" t="s">
        <v>204</v>
      </c>
      <c r="K828" s="8" t="s">
        <v>8664</v>
      </c>
      <c r="L828" s="8"/>
      <c r="M828" s="8"/>
      <c r="N828" s="8" t="n">
        <v>25</v>
      </c>
      <c r="O828" s="8" t="n">
        <v>386</v>
      </c>
      <c r="P828" s="8" t="s">
        <v>120</v>
      </c>
    </row>
    <row r="829" customFormat="false" ht="15" hidden="false" customHeight="false" outlineLevel="0" collapsed="false">
      <c r="A829" s="8" t="s">
        <v>753</v>
      </c>
      <c r="B829" s="8" t="s">
        <v>754</v>
      </c>
      <c r="C829" s="8" t="s">
        <v>8700</v>
      </c>
      <c r="D829" s="8" t="s">
        <v>123</v>
      </c>
      <c r="E829" s="8" t="s">
        <v>53</v>
      </c>
      <c r="F829" s="8" t="s">
        <v>326</v>
      </c>
      <c r="G829" s="8" t="s">
        <v>124</v>
      </c>
      <c r="H829" s="8" t="s">
        <v>8675</v>
      </c>
      <c r="I829" s="8" t="s">
        <v>9448</v>
      </c>
      <c r="J829" s="8" t="s">
        <v>204</v>
      </c>
      <c r="K829" s="8" t="s">
        <v>8664</v>
      </c>
      <c r="L829" s="8"/>
      <c r="M829" s="8"/>
      <c r="N829" s="8" t="n">
        <v>25</v>
      </c>
      <c r="O829" s="8" t="n">
        <v>171</v>
      </c>
      <c r="P829" s="8" t="s">
        <v>120</v>
      </c>
    </row>
    <row r="830" customFormat="false" ht="15" hidden="false" customHeight="false" outlineLevel="0" collapsed="false">
      <c r="A830" s="8" t="s">
        <v>4521</v>
      </c>
      <c r="B830" s="8" t="s">
        <v>9541</v>
      </c>
      <c r="C830" s="8" t="s">
        <v>8661</v>
      </c>
      <c r="D830" s="8" t="s">
        <v>123</v>
      </c>
      <c r="E830" s="8" t="s">
        <v>51</v>
      </c>
      <c r="F830" s="8" t="s">
        <v>2027</v>
      </c>
      <c r="G830" s="8" t="s">
        <v>154</v>
      </c>
      <c r="H830" s="8" t="s">
        <v>8670</v>
      </c>
      <c r="I830" s="8" t="s">
        <v>9542</v>
      </c>
      <c r="J830" s="8"/>
      <c r="K830" s="8" t="s">
        <v>8690</v>
      </c>
      <c r="L830" s="8" t="s">
        <v>9543</v>
      </c>
      <c r="M830" s="8" t="s">
        <v>8795</v>
      </c>
      <c r="N830" s="8" t="n">
        <v>12</v>
      </c>
      <c r="O830" s="8" t="n">
        <v>32</v>
      </c>
      <c r="P830" s="8" t="s">
        <v>120</v>
      </c>
    </row>
    <row r="831" customFormat="false" ht="15" hidden="false" customHeight="false" outlineLevel="0" collapsed="false">
      <c r="A831" s="8" t="s">
        <v>1775</v>
      </c>
      <c r="B831" s="8" t="s">
        <v>1776</v>
      </c>
      <c r="C831" s="8" t="s">
        <v>8680</v>
      </c>
      <c r="D831" s="8" t="s">
        <v>123</v>
      </c>
      <c r="E831" s="8" t="s">
        <v>53</v>
      </c>
      <c r="F831" s="8" t="s">
        <v>326</v>
      </c>
      <c r="G831" s="8" t="s">
        <v>154</v>
      </c>
      <c r="H831" s="8" t="s">
        <v>8662</v>
      </c>
      <c r="I831" s="8" t="s">
        <v>9544</v>
      </c>
      <c r="J831" s="8" t="s">
        <v>119</v>
      </c>
      <c r="K831" s="8" t="s">
        <v>8664</v>
      </c>
      <c r="L831" s="8"/>
      <c r="M831" s="8"/>
      <c r="N831" s="8" t="n">
        <v>25</v>
      </c>
      <c r="O831" s="8" t="n">
        <v>46</v>
      </c>
      <c r="P831" s="8" t="s">
        <v>120</v>
      </c>
    </row>
    <row r="832" customFormat="false" ht="15" hidden="false" customHeight="false" outlineLevel="0" collapsed="false">
      <c r="A832" s="8" t="s">
        <v>2378</v>
      </c>
      <c r="B832" s="8" t="s">
        <v>2379</v>
      </c>
      <c r="C832" s="8" t="s">
        <v>8688</v>
      </c>
      <c r="D832" s="8" t="s">
        <v>123</v>
      </c>
      <c r="E832" s="8" t="s">
        <v>51</v>
      </c>
      <c r="F832" s="8" t="s">
        <v>326</v>
      </c>
      <c r="G832" s="8" t="s">
        <v>124</v>
      </c>
      <c r="H832" s="8" t="s">
        <v>8670</v>
      </c>
      <c r="I832" s="8" t="s">
        <v>9381</v>
      </c>
      <c r="J832" s="8" t="s">
        <v>137</v>
      </c>
      <c r="K832" s="8" t="s">
        <v>8664</v>
      </c>
      <c r="L832" s="8"/>
      <c r="M832" s="8"/>
      <c r="N832" s="8" t="n">
        <v>25</v>
      </c>
      <c r="O832" s="8" t="n">
        <v>20</v>
      </c>
      <c r="P832" s="8" t="s">
        <v>120</v>
      </c>
    </row>
    <row r="833" customFormat="false" ht="15" hidden="false" customHeight="false" outlineLevel="0" collapsed="false">
      <c r="A833" s="8" t="s">
        <v>3874</v>
      </c>
      <c r="B833" s="8" t="s">
        <v>3875</v>
      </c>
      <c r="C833" s="8" t="s">
        <v>8678</v>
      </c>
      <c r="D833" s="8" t="s">
        <v>123</v>
      </c>
      <c r="E833" s="8" t="s">
        <v>51</v>
      </c>
      <c r="F833" s="8" t="s">
        <v>2027</v>
      </c>
      <c r="G833" s="8" t="s">
        <v>166</v>
      </c>
      <c r="H833" s="8" t="s">
        <v>8666</v>
      </c>
      <c r="I833" s="8" t="s">
        <v>8838</v>
      </c>
      <c r="J833" s="8" t="s">
        <v>129</v>
      </c>
      <c r="K833" s="8" t="s">
        <v>8664</v>
      </c>
      <c r="L833" s="8"/>
      <c r="M833" s="8"/>
      <c r="N833" s="8" t="n">
        <v>12</v>
      </c>
      <c r="O833" s="8" t="n">
        <v>14</v>
      </c>
      <c r="P833" s="8" t="s">
        <v>120</v>
      </c>
    </row>
    <row r="834" customFormat="false" ht="15" hidden="false" customHeight="false" outlineLevel="0" collapsed="false">
      <c r="A834" s="8" t="s">
        <v>385</v>
      </c>
      <c r="B834" s="8" t="s">
        <v>386</v>
      </c>
      <c r="C834" s="8" t="s">
        <v>8688</v>
      </c>
      <c r="D834" s="8" t="s">
        <v>117</v>
      </c>
      <c r="E834" s="8" t="s">
        <v>55</v>
      </c>
      <c r="F834" s="8" t="s">
        <v>55</v>
      </c>
      <c r="G834" s="8" t="s">
        <v>154</v>
      </c>
      <c r="H834" s="8" t="s">
        <v>8675</v>
      </c>
      <c r="I834" s="8" t="s">
        <v>9101</v>
      </c>
      <c r="J834" s="8" t="s">
        <v>129</v>
      </c>
      <c r="K834" s="8" t="s">
        <v>8664</v>
      </c>
      <c r="L834" s="8"/>
      <c r="M834" s="8"/>
      <c r="N834" s="8" t="n">
        <v>45</v>
      </c>
      <c r="O834" s="8" t="n">
        <v>309</v>
      </c>
      <c r="P834" s="8" t="s">
        <v>120</v>
      </c>
    </row>
    <row r="835" customFormat="false" ht="15" hidden="false" customHeight="false" outlineLevel="0" collapsed="false">
      <c r="A835" s="8" t="s">
        <v>485</v>
      </c>
      <c r="B835" s="8" t="s">
        <v>486</v>
      </c>
      <c r="C835" s="8" t="s">
        <v>8700</v>
      </c>
      <c r="D835" s="8" t="s">
        <v>132</v>
      </c>
      <c r="E835" s="8" t="s">
        <v>53</v>
      </c>
      <c r="F835" s="8" t="s">
        <v>55</v>
      </c>
      <c r="G835" s="8" t="s">
        <v>151</v>
      </c>
      <c r="H835" s="8" t="s">
        <v>8666</v>
      </c>
      <c r="I835" s="8" t="s">
        <v>9237</v>
      </c>
      <c r="J835" s="8" t="s">
        <v>140</v>
      </c>
      <c r="K835" s="8" t="s">
        <v>8664</v>
      </c>
      <c r="L835" s="8"/>
      <c r="M835" s="8"/>
      <c r="N835" s="8" t="n">
        <v>45</v>
      </c>
      <c r="O835" s="8" t="n">
        <v>186</v>
      </c>
      <c r="P835" s="8" t="s">
        <v>120</v>
      </c>
    </row>
    <row r="836" customFormat="false" ht="15" hidden="false" customHeight="false" outlineLevel="0" collapsed="false">
      <c r="A836" s="8" t="s">
        <v>2854</v>
      </c>
      <c r="B836" s="8" t="s">
        <v>2855</v>
      </c>
      <c r="C836" s="8" t="s">
        <v>8680</v>
      </c>
      <c r="D836" s="8" t="s">
        <v>128</v>
      </c>
      <c r="E836" s="8" t="s">
        <v>51</v>
      </c>
      <c r="F836" s="8" t="s">
        <v>2027</v>
      </c>
      <c r="G836" s="8" t="s">
        <v>133</v>
      </c>
      <c r="H836" s="8" t="s">
        <v>8670</v>
      </c>
      <c r="I836" s="8" t="s">
        <v>8953</v>
      </c>
      <c r="J836" s="8" t="s">
        <v>140</v>
      </c>
      <c r="K836" s="8" t="s">
        <v>8664</v>
      </c>
      <c r="L836" s="8"/>
      <c r="M836" s="8"/>
      <c r="N836" s="8" t="n">
        <v>12</v>
      </c>
      <c r="O836" s="8" t="n">
        <v>32</v>
      </c>
      <c r="P836" s="8" t="s">
        <v>120</v>
      </c>
    </row>
    <row r="837" customFormat="false" ht="15" hidden="false" customHeight="false" outlineLevel="0" collapsed="false">
      <c r="A837" s="8" t="s">
        <v>4350</v>
      </c>
      <c r="B837" s="8" t="s">
        <v>4351</v>
      </c>
      <c r="C837" s="8" t="s">
        <v>8700</v>
      </c>
      <c r="D837" s="8" t="s">
        <v>132</v>
      </c>
      <c r="E837" s="8" t="s">
        <v>51</v>
      </c>
      <c r="F837" s="8" t="s">
        <v>2027</v>
      </c>
      <c r="G837" s="8" t="s">
        <v>151</v>
      </c>
      <c r="H837" s="8" t="s">
        <v>8662</v>
      </c>
      <c r="I837" s="8" t="s">
        <v>9209</v>
      </c>
      <c r="J837" s="8" t="s">
        <v>185</v>
      </c>
      <c r="K837" s="8" t="s">
        <v>8664</v>
      </c>
      <c r="L837" s="8"/>
      <c r="M837" s="8"/>
      <c r="N837" s="8" t="n">
        <v>12</v>
      </c>
      <c r="O837" s="8" t="n">
        <v>5</v>
      </c>
      <c r="P837" s="8" t="s">
        <v>120</v>
      </c>
    </row>
    <row r="838" customFormat="false" ht="15" hidden="false" customHeight="false" outlineLevel="0" collapsed="false">
      <c r="A838" s="8" t="s">
        <v>577</v>
      </c>
      <c r="B838" s="8" t="s">
        <v>578</v>
      </c>
      <c r="C838" s="8" t="s">
        <v>8700</v>
      </c>
      <c r="D838" s="8" t="s">
        <v>123</v>
      </c>
      <c r="E838" s="8" t="s">
        <v>53</v>
      </c>
      <c r="F838" s="8" t="s">
        <v>55</v>
      </c>
      <c r="G838" s="8" t="s">
        <v>190</v>
      </c>
      <c r="H838" s="8" t="s">
        <v>8662</v>
      </c>
      <c r="I838" s="8" t="s">
        <v>9545</v>
      </c>
      <c r="J838" s="8" t="s">
        <v>147</v>
      </c>
      <c r="K838" s="8" t="s">
        <v>8664</v>
      </c>
      <c r="L838" s="8"/>
      <c r="M838" s="8"/>
      <c r="N838" s="8" t="n">
        <v>45</v>
      </c>
      <c r="O838" s="8" t="n">
        <v>178</v>
      </c>
      <c r="P838" s="8" t="s">
        <v>120</v>
      </c>
    </row>
    <row r="839" customFormat="false" ht="15" hidden="false" customHeight="false" outlineLevel="0" collapsed="false">
      <c r="A839" s="8" t="s">
        <v>6547</v>
      </c>
      <c r="B839" s="8" t="s">
        <v>9546</v>
      </c>
      <c r="C839" s="8" t="s">
        <v>8700</v>
      </c>
      <c r="D839" s="8" t="s">
        <v>123</v>
      </c>
      <c r="E839" s="8" t="s">
        <v>51</v>
      </c>
      <c r="F839" s="8" t="s">
        <v>2027</v>
      </c>
      <c r="G839" s="8" t="s">
        <v>166</v>
      </c>
      <c r="H839" s="8" t="s">
        <v>8662</v>
      </c>
      <c r="I839" s="8" t="s">
        <v>8870</v>
      </c>
      <c r="J839" s="8"/>
      <c r="K839" s="8" t="s">
        <v>8690</v>
      </c>
      <c r="L839" s="8" t="s">
        <v>9049</v>
      </c>
      <c r="M839" s="8" t="s">
        <v>8692</v>
      </c>
      <c r="N839" s="8" t="n">
        <v>12</v>
      </c>
      <c r="O839" s="8" t="n">
        <v>7</v>
      </c>
      <c r="P839" s="8" t="s">
        <v>120</v>
      </c>
    </row>
    <row r="840" customFormat="false" ht="15" hidden="false" customHeight="false" outlineLevel="0" collapsed="false">
      <c r="A840" s="8" t="s">
        <v>2274</v>
      </c>
      <c r="B840" s="8" t="s">
        <v>2275</v>
      </c>
      <c r="C840" s="8" t="s">
        <v>8665</v>
      </c>
      <c r="D840" s="8" t="s">
        <v>132</v>
      </c>
      <c r="E840" s="8" t="s">
        <v>51</v>
      </c>
      <c r="F840" s="8" t="s">
        <v>2027</v>
      </c>
      <c r="G840" s="8" t="s">
        <v>133</v>
      </c>
      <c r="H840" s="8" t="s">
        <v>8666</v>
      </c>
      <c r="I840" s="8" t="s">
        <v>8685</v>
      </c>
      <c r="J840" s="8" t="s">
        <v>180</v>
      </c>
      <c r="K840" s="8" t="s">
        <v>8664</v>
      </c>
      <c r="L840" s="8"/>
      <c r="M840" s="8"/>
      <c r="N840" s="8" t="n">
        <v>12</v>
      </c>
      <c r="O840" s="8" t="n">
        <v>38</v>
      </c>
      <c r="P840" s="8" t="s">
        <v>120</v>
      </c>
    </row>
    <row r="841" customFormat="false" ht="15" hidden="false" customHeight="false" outlineLevel="0" collapsed="false">
      <c r="A841" s="8" t="s">
        <v>4166</v>
      </c>
      <c r="B841" s="8" t="s">
        <v>4167</v>
      </c>
      <c r="C841" s="8" t="s">
        <v>8688</v>
      </c>
      <c r="D841" s="8" t="s">
        <v>123</v>
      </c>
      <c r="E841" s="8" t="s">
        <v>51</v>
      </c>
      <c r="F841" s="8" t="s">
        <v>2027</v>
      </c>
      <c r="G841" s="8" t="s">
        <v>223</v>
      </c>
      <c r="H841" s="8" t="s">
        <v>8675</v>
      </c>
      <c r="I841" s="8" t="s">
        <v>9077</v>
      </c>
      <c r="J841" s="8" t="s">
        <v>185</v>
      </c>
      <c r="K841" s="8" t="s">
        <v>8664</v>
      </c>
      <c r="L841" s="8"/>
      <c r="M841" s="8"/>
      <c r="N841" s="8" t="n">
        <v>12</v>
      </c>
      <c r="O841" s="8" t="n">
        <v>9</v>
      </c>
      <c r="P841" s="8" t="s">
        <v>120</v>
      </c>
    </row>
    <row r="842" customFormat="false" ht="15" hidden="false" customHeight="false" outlineLevel="0" collapsed="false">
      <c r="A842" s="8" t="s">
        <v>9547</v>
      </c>
      <c r="B842" s="8" t="s">
        <v>9548</v>
      </c>
      <c r="C842" s="8" t="s">
        <v>8674</v>
      </c>
      <c r="D842" s="8" t="s">
        <v>123</v>
      </c>
      <c r="E842" s="8" t="s">
        <v>51</v>
      </c>
      <c r="F842" s="8" t="s">
        <v>2027</v>
      </c>
      <c r="G842" s="8" t="s">
        <v>223</v>
      </c>
      <c r="H842" s="8" t="s">
        <v>8670</v>
      </c>
      <c r="I842" s="8" t="s">
        <v>8905</v>
      </c>
      <c r="J842" s="8"/>
      <c r="K842" s="8" t="s">
        <v>8690</v>
      </c>
      <c r="L842" s="8" t="s">
        <v>9184</v>
      </c>
      <c r="M842" s="8" t="s">
        <v>8795</v>
      </c>
      <c r="N842" s="8" t="n">
        <v>12</v>
      </c>
      <c r="O842" s="8" t="n">
        <v>6</v>
      </c>
      <c r="P842" s="8" t="s">
        <v>120</v>
      </c>
    </row>
    <row r="843" customFormat="false" ht="15" hidden="false" customHeight="false" outlineLevel="0" collapsed="false">
      <c r="A843" s="8" t="s">
        <v>3606</v>
      </c>
      <c r="B843" s="8" t="s">
        <v>3607</v>
      </c>
      <c r="C843" s="8" t="s">
        <v>8700</v>
      </c>
      <c r="D843" s="8" t="s">
        <v>123</v>
      </c>
      <c r="E843" s="8" t="s">
        <v>51</v>
      </c>
      <c r="F843" s="8" t="s">
        <v>2027</v>
      </c>
      <c r="G843" s="8" t="s">
        <v>154</v>
      </c>
      <c r="H843" s="8" t="s">
        <v>8666</v>
      </c>
      <c r="I843" s="8" t="s">
        <v>8867</v>
      </c>
      <c r="J843" s="8" t="s">
        <v>185</v>
      </c>
      <c r="K843" s="8" t="s">
        <v>8664</v>
      </c>
      <c r="L843" s="8"/>
      <c r="M843" s="8"/>
      <c r="N843" s="8" t="n">
        <v>12</v>
      </c>
      <c r="O843" s="8" t="n">
        <v>14</v>
      </c>
      <c r="P843" s="8" t="s">
        <v>120</v>
      </c>
    </row>
    <row r="844" customFormat="false" ht="15" hidden="false" customHeight="false" outlineLevel="0" collapsed="false">
      <c r="A844" s="8" t="s">
        <v>9549</v>
      </c>
      <c r="B844" s="8" t="s">
        <v>9550</v>
      </c>
      <c r="C844" s="8" t="s">
        <v>8680</v>
      </c>
      <c r="D844" s="8" t="s">
        <v>123</v>
      </c>
      <c r="E844" s="8" t="s">
        <v>51</v>
      </c>
      <c r="F844" s="8" t="s">
        <v>2027</v>
      </c>
      <c r="G844" s="8" t="s">
        <v>166</v>
      </c>
      <c r="H844" s="8" t="s">
        <v>8666</v>
      </c>
      <c r="I844" s="8" t="s">
        <v>9551</v>
      </c>
      <c r="J844" s="8"/>
      <c r="K844" s="8" t="s">
        <v>8690</v>
      </c>
      <c r="L844" s="8" t="s">
        <v>9452</v>
      </c>
      <c r="M844" s="8" t="s">
        <v>8795</v>
      </c>
      <c r="N844" s="8" t="n">
        <v>12</v>
      </c>
      <c r="O844" s="8" t="n">
        <v>5</v>
      </c>
      <c r="P844" s="8" t="s">
        <v>120</v>
      </c>
    </row>
    <row r="845" customFormat="false" ht="15" hidden="false" customHeight="false" outlineLevel="0" collapsed="false">
      <c r="A845" s="8" t="s">
        <v>2506</v>
      </c>
      <c r="B845" s="8" t="s">
        <v>2507</v>
      </c>
      <c r="C845" s="8" t="s">
        <v>8661</v>
      </c>
      <c r="D845" s="8" t="s">
        <v>132</v>
      </c>
      <c r="E845" s="8" t="s">
        <v>51</v>
      </c>
      <c r="F845" s="8" t="s">
        <v>2027</v>
      </c>
      <c r="G845" s="8" t="s">
        <v>223</v>
      </c>
      <c r="H845" s="8" t="s">
        <v>8666</v>
      </c>
      <c r="I845" s="8" t="s">
        <v>8996</v>
      </c>
      <c r="J845" s="8" t="s">
        <v>125</v>
      </c>
      <c r="K845" s="8" t="s">
        <v>8664</v>
      </c>
      <c r="L845" s="8"/>
      <c r="M845" s="8"/>
      <c r="N845" s="8" t="n">
        <v>12</v>
      </c>
      <c r="O845" s="8" t="n">
        <v>34</v>
      </c>
      <c r="P845" s="8" t="s">
        <v>120</v>
      </c>
    </row>
    <row r="846" customFormat="false" ht="15" hidden="false" customHeight="false" outlineLevel="0" collapsed="false">
      <c r="A846" s="8" t="s">
        <v>2786</v>
      </c>
      <c r="B846" s="8" t="s">
        <v>2787</v>
      </c>
      <c r="C846" s="8" t="s">
        <v>8661</v>
      </c>
      <c r="D846" s="8" t="s">
        <v>128</v>
      </c>
      <c r="E846" s="8" t="s">
        <v>51</v>
      </c>
      <c r="F846" s="8" t="s">
        <v>326</v>
      </c>
      <c r="G846" s="8" t="s">
        <v>166</v>
      </c>
      <c r="H846" s="8" t="s">
        <v>8666</v>
      </c>
      <c r="I846" s="8" t="s">
        <v>9552</v>
      </c>
      <c r="J846" s="8" t="s">
        <v>125</v>
      </c>
      <c r="K846" s="8" t="s">
        <v>8664</v>
      </c>
      <c r="L846" s="8"/>
      <c r="M846" s="8"/>
      <c r="N846" s="8" t="n">
        <v>25</v>
      </c>
      <c r="O846" s="8" t="n">
        <v>16</v>
      </c>
      <c r="P846" s="8" t="s">
        <v>120</v>
      </c>
    </row>
    <row r="847" customFormat="false" ht="15" hidden="false" customHeight="false" outlineLevel="0" collapsed="false">
      <c r="A847" s="8" t="s">
        <v>2450</v>
      </c>
      <c r="B847" s="8" t="s">
        <v>2451</v>
      </c>
      <c r="C847" s="8" t="s">
        <v>8669</v>
      </c>
      <c r="D847" s="8" t="s">
        <v>117</v>
      </c>
      <c r="E847" s="8" t="s">
        <v>51</v>
      </c>
      <c r="F847" s="8" t="s">
        <v>2027</v>
      </c>
      <c r="G847" s="8" t="s">
        <v>190</v>
      </c>
      <c r="H847" s="8" t="s">
        <v>8675</v>
      </c>
      <c r="I847" s="8" t="s">
        <v>9184</v>
      </c>
      <c r="J847" s="8" t="s">
        <v>137</v>
      </c>
      <c r="K847" s="8" t="s">
        <v>8664</v>
      </c>
      <c r="L847" s="8"/>
      <c r="M847" s="8"/>
      <c r="N847" s="8" t="n">
        <v>12</v>
      </c>
      <c r="O847" s="8" t="n">
        <v>39</v>
      </c>
      <c r="P847" s="8" t="s">
        <v>120</v>
      </c>
    </row>
    <row r="848" customFormat="false" ht="15" hidden="false" customHeight="false" outlineLevel="0" collapsed="false">
      <c r="A848" s="8" t="s">
        <v>1185</v>
      </c>
      <c r="B848" s="8" t="s">
        <v>1186</v>
      </c>
      <c r="C848" s="8" t="s">
        <v>8678</v>
      </c>
      <c r="D848" s="8" t="s">
        <v>123</v>
      </c>
      <c r="E848" s="8" t="s">
        <v>53</v>
      </c>
      <c r="F848" s="8" t="s">
        <v>326</v>
      </c>
      <c r="G848" s="8" t="s">
        <v>223</v>
      </c>
      <c r="H848" s="8" t="s">
        <v>8675</v>
      </c>
      <c r="I848" s="8" t="s">
        <v>9262</v>
      </c>
      <c r="J848" s="8" t="s">
        <v>119</v>
      </c>
      <c r="K848" s="8" t="s">
        <v>8664</v>
      </c>
      <c r="L848" s="8"/>
      <c r="M848" s="8"/>
      <c r="N848" s="8" t="n">
        <v>25</v>
      </c>
      <c r="O848" s="8" t="n">
        <v>175</v>
      </c>
      <c r="P848" s="8" t="s">
        <v>120</v>
      </c>
    </row>
    <row r="849" customFormat="false" ht="15" hidden="false" customHeight="false" outlineLevel="0" collapsed="false">
      <c r="A849" s="8" t="s">
        <v>2122</v>
      </c>
      <c r="B849" s="8" t="s">
        <v>2123</v>
      </c>
      <c r="C849" s="8" t="s">
        <v>8700</v>
      </c>
      <c r="D849" s="8" t="s">
        <v>123</v>
      </c>
      <c r="E849" s="8" t="s">
        <v>51</v>
      </c>
      <c r="F849" s="8" t="s">
        <v>326</v>
      </c>
      <c r="G849" s="8" t="s">
        <v>124</v>
      </c>
      <c r="H849" s="8" t="s">
        <v>8670</v>
      </c>
      <c r="I849" s="8" t="s">
        <v>9181</v>
      </c>
      <c r="J849" s="8" t="s">
        <v>180</v>
      </c>
      <c r="K849" s="8" t="s">
        <v>8664</v>
      </c>
      <c r="L849" s="8"/>
      <c r="M849" s="8"/>
      <c r="N849" s="8" t="n">
        <v>25</v>
      </c>
      <c r="O849" s="8" t="n">
        <v>36</v>
      </c>
      <c r="P849" s="8" t="s">
        <v>120</v>
      </c>
    </row>
    <row r="850" customFormat="false" ht="15" hidden="false" customHeight="false" outlineLevel="0" collapsed="false">
      <c r="A850" s="8" t="s">
        <v>4098</v>
      </c>
      <c r="B850" s="8" t="s">
        <v>4099</v>
      </c>
      <c r="C850" s="8" t="s">
        <v>8674</v>
      </c>
      <c r="D850" s="8" t="s">
        <v>123</v>
      </c>
      <c r="E850" s="8" t="s">
        <v>51</v>
      </c>
      <c r="F850" s="8" t="s">
        <v>2027</v>
      </c>
      <c r="G850" s="8" t="s">
        <v>118</v>
      </c>
      <c r="H850" s="8" t="s">
        <v>8662</v>
      </c>
      <c r="I850" s="8" t="s">
        <v>9553</v>
      </c>
      <c r="J850" s="8" t="s">
        <v>204</v>
      </c>
      <c r="K850" s="8" t="s">
        <v>8664</v>
      </c>
      <c r="L850" s="8"/>
      <c r="M850" s="8"/>
      <c r="N850" s="8" t="n">
        <v>12</v>
      </c>
      <c r="O850" s="8" t="n">
        <v>10</v>
      </c>
      <c r="P850" s="8" t="s">
        <v>120</v>
      </c>
    </row>
    <row r="851" customFormat="false" ht="15" hidden="false" customHeight="false" outlineLevel="0" collapsed="false">
      <c r="A851" s="8" t="s">
        <v>2988</v>
      </c>
      <c r="B851" s="8" t="s">
        <v>2989</v>
      </c>
      <c r="C851" s="8" t="s">
        <v>8700</v>
      </c>
      <c r="D851" s="8" t="s">
        <v>132</v>
      </c>
      <c r="E851" s="8" t="s">
        <v>51</v>
      </c>
      <c r="F851" s="8" t="s">
        <v>2027</v>
      </c>
      <c r="G851" s="8" t="s">
        <v>190</v>
      </c>
      <c r="H851" s="8" t="s">
        <v>8670</v>
      </c>
      <c r="I851" s="8" t="s">
        <v>9554</v>
      </c>
      <c r="J851" s="8" t="s">
        <v>144</v>
      </c>
      <c r="K851" s="8" t="s">
        <v>8664</v>
      </c>
      <c r="L851" s="8"/>
      <c r="M851" s="8"/>
      <c r="N851" s="8" t="n">
        <v>12</v>
      </c>
      <c r="O851" s="8" t="n">
        <v>30</v>
      </c>
      <c r="P851" s="8" t="s">
        <v>120</v>
      </c>
    </row>
    <row r="852" customFormat="false" ht="15" hidden="false" customHeight="false" outlineLevel="0" collapsed="false">
      <c r="A852" s="8" t="s">
        <v>2338</v>
      </c>
      <c r="B852" s="8" t="s">
        <v>2339</v>
      </c>
      <c r="C852" s="8" t="s">
        <v>8665</v>
      </c>
      <c r="D852" s="8" t="s">
        <v>117</v>
      </c>
      <c r="E852" s="8" t="s">
        <v>51</v>
      </c>
      <c r="F852" s="8" t="s">
        <v>2027</v>
      </c>
      <c r="G852" s="8" t="s">
        <v>118</v>
      </c>
      <c r="H852" s="8" t="s">
        <v>8662</v>
      </c>
      <c r="I852" s="8" t="s">
        <v>8745</v>
      </c>
      <c r="J852" s="8" t="s">
        <v>144</v>
      </c>
      <c r="K852" s="8" t="s">
        <v>8664</v>
      </c>
      <c r="L852" s="8"/>
      <c r="M852" s="8"/>
      <c r="N852" s="8" t="n">
        <v>12</v>
      </c>
      <c r="O852" s="8" t="n">
        <v>34</v>
      </c>
      <c r="P852" s="8" t="s">
        <v>120</v>
      </c>
    </row>
    <row r="853" customFormat="false" ht="15" hidden="false" customHeight="false" outlineLevel="0" collapsed="false">
      <c r="A853" s="8" t="s">
        <v>2906</v>
      </c>
      <c r="B853" s="8" t="s">
        <v>2907</v>
      </c>
      <c r="C853" s="8" t="s">
        <v>8700</v>
      </c>
      <c r="D853" s="8" t="s">
        <v>123</v>
      </c>
      <c r="E853" s="8" t="s">
        <v>51</v>
      </c>
      <c r="F853" s="8" t="s">
        <v>326</v>
      </c>
      <c r="G853" s="8" t="s">
        <v>143</v>
      </c>
      <c r="H853" s="8" t="s">
        <v>8666</v>
      </c>
      <c r="I853" s="8" t="s">
        <v>9555</v>
      </c>
      <c r="J853" s="8" t="s">
        <v>119</v>
      </c>
      <c r="K853" s="8" t="s">
        <v>8664</v>
      </c>
      <c r="L853" s="8"/>
      <c r="M853" s="8"/>
      <c r="N853" s="8" t="n">
        <v>25</v>
      </c>
      <c r="O853" s="8" t="n">
        <v>15</v>
      </c>
      <c r="P853" s="8" t="s">
        <v>120</v>
      </c>
    </row>
    <row r="854" customFormat="false" ht="15" hidden="false" customHeight="false" outlineLevel="0" collapsed="false">
      <c r="A854" s="8" t="s">
        <v>1157</v>
      </c>
      <c r="B854" s="8" t="s">
        <v>1158</v>
      </c>
      <c r="C854" s="8" t="s">
        <v>8680</v>
      </c>
      <c r="D854" s="8" t="s">
        <v>117</v>
      </c>
      <c r="E854" s="8" t="s">
        <v>53</v>
      </c>
      <c r="F854" s="8" t="s">
        <v>326</v>
      </c>
      <c r="G854" s="8" t="s">
        <v>190</v>
      </c>
      <c r="H854" s="8" t="s">
        <v>8666</v>
      </c>
      <c r="I854" s="8" t="s">
        <v>8683</v>
      </c>
      <c r="J854" s="8" t="s">
        <v>144</v>
      </c>
      <c r="K854" s="8" t="s">
        <v>8664</v>
      </c>
      <c r="L854" s="8"/>
      <c r="M854" s="8"/>
      <c r="N854" s="8" t="n">
        <v>25</v>
      </c>
      <c r="O854" s="8" t="n">
        <v>127</v>
      </c>
      <c r="P854" s="8" t="s">
        <v>120</v>
      </c>
    </row>
    <row r="855" customFormat="false" ht="15" hidden="false" customHeight="false" outlineLevel="0" collapsed="false">
      <c r="A855" s="8" t="s">
        <v>3608</v>
      </c>
      <c r="B855" s="8" t="s">
        <v>3609</v>
      </c>
      <c r="C855" s="8" t="s">
        <v>8674</v>
      </c>
      <c r="D855" s="8" t="s">
        <v>132</v>
      </c>
      <c r="E855" s="8" t="s">
        <v>51</v>
      </c>
      <c r="F855" s="8" t="s">
        <v>2027</v>
      </c>
      <c r="G855" s="8" t="s">
        <v>223</v>
      </c>
      <c r="H855" s="8" t="s">
        <v>8666</v>
      </c>
      <c r="I855" s="8" t="s">
        <v>9353</v>
      </c>
      <c r="J855" s="8" t="s">
        <v>125</v>
      </c>
      <c r="K855" s="8" t="s">
        <v>8664</v>
      </c>
      <c r="L855" s="8"/>
      <c r="M855" s="8"/>
      <c r="N855" s="8" t="n">
        <v>12</v>
      </c>
      <c r="O855" s="8" t="n">
        <v>14</v>
      </c>
      <c r="P855" s="8" t="s">
        <v>120</v>
      </c>
    </row>
    <row r="856" customFormat="false" ht="15" hidden="false" customHeight="false" outlineLevel="0" collapsed="false">
      <c r="A856" s="8" t="s">
        <v>3800</v>
      </c>
      <c r="B856" s="8" t="s">
        <v>3801</v>
      </c>
      <c r="C856" s="8" t="s">
        <v>8665</v>
      </c>
      <c r="D856" s="8" t="s">
        <v>123</v>
      </c>
      <c r="E856" s="8" t="s">
        <v>51</v>
      </c>
      <c r="F856" s="8" t="s">
        <v>2027</v>
      </c>
      <c r="G856" s="8" t="s">
        <v>124</v>
      </c>
      <c r="H856" s="8" t="s">
        <v>8662</v>
      </c>
      <c r="I856" s="8" t="s">
        <v>9556</v>
      </c>
      <c r="J856" s="8" t="s">
        <v>177</v>
      </c>
      <c r="K856" s="8" t="s">
        <v>8664</v>
      </c>
      <c r="L856" s="8"/>
      <c r="M856" s="8"/>
      <c r="N856" s="8" t="n">
        <v>12</v>
      </c>
      <c r="O856" s="8" t="n">
        <v>15</v>
      </c>
      <c r="P856" s="8" t="s">
        <v>120</v>
      </c>
    </row>
    <row r="857" customFormat="false" ht="15" hidden="false" customHeight="false" outlineLevel="0" collapsed="false">
      <c r="A857" s="8" t="s">
        <v>3992</v>
      </c>
      <c r="B857" s="8" t="s">
        <v>3993</v>
      </c>
      <c r="C857" s="8" t="s">
        <v>8700</v>
      </c>
      <c r="D857" s="8" t="s">
        <v>117</v>
      </c>
      <c r="E857" s="8" t="s">
        <v>51</v>
      </c>
      <c r="F857" s="8" t="s">
        <v>2027</v>
      </c>
      <c r="G857" s="8" t="s">
        <v>124</v>
      </c>
      <c r="H857" s="8" t="s">
        <v>8675</v>
      </c>
      <c r="I857" s="8" t="s">
        <v>9557</v>
      </c>
      <c r="J857" s="8" t="s">
        <v>129</v>
      </c>
      <c r="K857" s="8" t="s">
        <v>8664</v>
      </c>
      <c r="L857" s="8"/>
      <c r="M857" s="8"/>
      <c r="N857" s="8" t="n">
        <v>12</v>
      </c>
      <c r="O857" s="8" t="n">
        <v>15</v>
      </c>
      <c r="P857" s="8" t="s">
        <v>120</v>
      </c>
    </row>
    <row r="858" customFormat="false" ht="15" hidden="false" customHeight="false" outlineLevel="0" collapsed="false">
      <c r="A858" s="8" t="s">
        <v>1537</v>
      </c>
      <c r="B858" s="8" t="s">
        <v>1538</v>
      </c>
      <c r="C858" s="8" t="s">
        <v>8661</v>
      </c>
      <c r="D858" s="8" t="s">
        <v>132</v>
      </c>
      <c r="E858" s="8" t="s">
        <v>53</v>
      </c>
      <c r="F858" s="8" t="s">
        <v>326</v>
      </c>
      <c r="G858" s="8" t="s">
        <v>118</v>
      </c>
      <c r="H858" s="8" t="s">
        <v>8666</v>
      </c>
      <c r="I858" s="8" t="s">
        <v>9558</v>
      </c>
      <c r="J858" s="8" t="s">
        <v>185</v>
      </c>
      <c r="K858" s="8" t="s">
        <v>8664</v>
      </c>
      <c r="L858" s="8"/>
      <c r="M858" s="8"/>
      <c r="N858" s="8" t="n">
        <v>25</v>
      </c>
      <c r="O858" s="8" t="n">
        <v>73</v>
      </c>
      <c r="P858" s="8" t="s">
        <v>120</v>
      </c>
    </row>
    <row r="859" customFormat="false" ht="15" hidden="false" customHeight="false" outlineLevel="0" collapsed="false">
      <c r="A859" s="8" t="s">
        <v>2542</v>
      </c>
      <c r="B859" s="8" t="s">
        <v>2543</v>
      </c>
      <c r="C859" s="8" t="s">
        <v>8665</v>
      </c>
      <c r="D859" s="8" t="s">
        <v>117</v>
      </c>
      <c r="E859" s="8" t="s">
        <v>51</v>
      </c>
      <c r="F859" s="8" t="s">
        <v>326</v>
      </c>
      <c r="G859" s="8" t="s">
        <v>143</v>
      </c>
      <c r="H859" s="8" t="s">
        <v>8662</v>
      </c>
      <c r="I859" s="8" t="s">
        <v>8843</v>
      </c>
      <c r="J859" s="8" t="s">
        <v>119</v>
      </c>
      <c r="K859" s="8" t="s">
        <v>8664</v>
      </c>
      <c r="L859" s="8"/>
      <c r="M859" s="8"/>
      <c r="N859" s="8" t="n">
        <v>25</v>
      </c>
      <c r="O859" s="8" t="n">
        <v>12</v>
      </c>
      <c r="P859" s="8" t="s">
        <v>120</v>
      </c>
    </row>
    <row r="860" customFormat="false" ht="15" hidden="false" customHeight="false" outlineLevel="0" collapsed="false">
      <c r="A860" s="8" t="s">
        <v>3748</v>
      </c>
      <c r="B860" s="8" t="s">
        <v>3749</v>
      </c>
      <c r="C860" s="8" t="s">
        <v>8680</v>
      </c>
      <c r="D860" s="8" t="s">
        <v>128</v>
      </c>
      <c r="E860" s="8" t="s">
        <v>51</v>
      </c>
      <c r="F860" s="8" t="s">
        <v>2027</v>
      </c>
      <c r="G860" s="8" t="s">
        <v>143</v>
      </c>
      <c r="H860" s="8" t="s">
        <v>8662</v>
      </c>
      <c r="I860" s="8" t="s">
        <v>9559</v>
      </c>
      <c r="J860" s="8" t="s">
        <v>180</v>
      </c>
      <c r="K860" s="8" t="s">
        <v>8664</v>
      </c>
      <c r="L860" s="8"/>
      <c r="M860" s="8"/>
      <c r="N860" s="8" t="n">
        <v>12</v>
      </c>
      <c r="O860" s="8" t="n">
        <v>16</v>
      </c>
      <c r="P860" s="8" t="s">
        <v>120</v>
      </c>
    </row>
    <row r="861" customFormat="false" ht="15" hidden="false" customHeight="false" outlineLevel="0" collapsed="false">
      <c r="A861" s="8" t="s">
        <v>228</v>
      </c>
      <c r="B861" s="8" t="s">
        <v>229</v>
      </c>
      <c r="C861" s="8" t="s">
        <v>8665</v>
      </c>
      <c r="D861" s="8" t="s">
        <v>117</v>
      </c>
      <c r="E861" s="8" t="s">
        <v>55</v>
      </c>
      <c r="F861" s="8" t="s">
        <v>55</v>
      </c>
      <c r="G861" s="8" t="s">
        <v>151</v>
      </c>
      <c r="H861" s="8" t="s">
        <v>8670</v>
      </c>
      <c r="I861" s="8" t="s">
        <v>9560</v>
      </c>
      <c r="J861" s="8" t="s">
        <v>147</v>
      </c>
      <c r="K861" s="8" t="s">
        <v>8664</v>
      </c>
      <c r="L861" s="8"/>
      <c r="M861" s="8"/>
      <c r="N861" s="8" t="n">
        <v>45</v>
      </c>
      <c r="O861" s="8" t="n">
        <v>516</v>
      </c>
      <c r="P861" s="8" t="s">
        <v>120</v>
      </c>
    </row>
    <row r="862" customFormat="false" ht="15" hidden="false" customHeight="false" outlineLevel="0" collapsed="false">
      <c r="A862" s="8" t="s">
        <v>9561</v>
      </c>
      <c r="B862" s="8" t="s">
        <v>9562</v>
      </c>
      <c r="C862" s="8" t="s">
        <v>8669</v>
      </c>
      <c r="D862" s="8" t="s">
        <v>132</v>
      </c>
      <c r="E862" s="8" t="s">
        <v>51</v>
      </c>
      <c r="F862" s="8" t="s">
        <v>2027</v>
      </c>
      <c r="G862" s="8" t="s">
        <v>154</v>
      </c>
      <c r="H862" s="8" t="s">
        <v>8662</v>
      </c>
      <c r="I862" s="8" t="s">
        <v>9240</v>
      </c>
      <c r="J862" s="8"/>
      <c r="K862" s="8" t="s">
        <v>8690</v>
      </c>
      <c r="L862" s="8" t="s">
        <v>8794</v>
      </c>
      <c r="M862" s="8" t="s">
        <v>8692</v>
      </c>
      <c r="N862" s="8" t="n">
        <v>12</v>
      </c>
      <c r="O862" s="8" t="n">
        <v>21</v>
      </c>
      <c r="P862" s="8" t="s">
        <v>120</v>
      </c>
    </row>
    <row r="863" customFormat="false" ht="15" hidden="false" customHeight="false" outlineLevel="0" collapsed="false">
      <c r="A863" s="8" t="s">
        <v>787</v>
      </c>
      <c r="B863" s="8" t="s">
        <v>788</v>
      </c>
      <c r="C863" s="8" t="s">
        <v>8688</v>
      </c>
      <c r="D863" s="8" t="s">
        <v>123</v>
      </c>
      <c r="E863" s="8" t="s">
        <v>53</v>
      </c>
      <c r="F863" s="8" t="s">
        <v>55</v>
      </c>
      <c r="G863" s="8" t="s">
        <v>154</v>
      </c>
      <c r="H863" s="8" t="s">
        <v>8662</v>
      </c>
      <c r="I863" s="8" t="s">
        <v>9252</v>
      </c>
      <c r="J863" s="8" t="s">
        <v>144</v>
      </c>
      <c r="K863" s="8" t="s">
        <v>8664</v>
      </c>
      <c r="L863" s="8"/>
      <c r="M863" s="8"/>
      <c r="N863" s="8" t="n">
        <v>45</v>
      </c>
      <c r="O863" s="8" t="n">
        <v>110</v>
      </c>
      <c r="P863" s="8" t="s">
        <v>120</v>
      </c>
    </row>
    <row r="864" customFormat="false" ht="15" hidden="false" customHeight="false" outlineLevel="0" collapsed="false">
      <c r="A864" s="8" t="s">
        <v>248</v>
      </c>
      <c r="B864" s="8" t="s">
        <v>249</v>
      </c>
      <c r="C864" s="8" t="s">
        <v>8665</v>
      </c>
      <c r="D864" s="8" t="s">
        <v>117</v>
      </c>
      <c r="E864" s="8" t="s">
        <v>55</v>
      </c>
      <c r="F864" s="8" t="s">
        <v>55</v>
      </c>
      <c r="G864" s="8" t="s">
        <v>136</v>
      </c>
      <c r="H864" s="8" t="s">
        <v>8662</v>
      </c>
      <c r="I864" s="8" t="s">
        <v>9563</v>
      </c>
      <c r="J864" s="8" t="s">
        <v>144</v>
      </c>
      <c r="K864" s="8" t="s">
        <v>8664</v>
      </c>
      <c r="L864" s="8"/>
      <c r="M864" s="8"/>
      <c r="N864" s="8" t="n">
        <v>45</v>
      </c>
      <c r="O864" s="8" t="n">
        <v>363</v>
      </c>
      <c r="P864" s="8" t="s">
        <v>120</v>
      </c>
    </row>
    <row r="865" customFormat="false" ht="15" hidden="false" customHeight="false" outlineLevel="0" collapsed="false">
      <c r="A865" s="8" t="s">
        <v>209</v>
      </c>
      <c r="B865" s="8" t="s">
        <v>210</v>
      </c>
      <c r="C865" s="8" t="s">
        <v>8680</v>
      </c>
      <c r="D865" s="8" t="s">
        <v>132</v>
      </c>
      <c r="E865" s="8" t="s">
        <v>55</v>
      </c>
      <c r="F865" s="8" t="s">
        <v>55</v>
      </c>
      <c r="G865" s="8" t="s">
        <v>133</v>
      </c>
      <c r="H865" s="8" t="s">
        <v>8666</v>
      </c>
      <c r="I865" s="8" t="s">
        <v>8739</v>
      </c>
      <c r="J865" s="8" t="s">
        <v>185</v>
      </c>
      <c r="K865" s="8" t="s">
        <v>8664</v>
      </c>
      <c r="L865" s="8"/>
      <c r="M865" s="8"/>
      <c r="N865" s="8" t="n">
        <v>45</v>
      </c>
      <c r="O865" s="8" t="n">
        <v>444</v>
      </c>
      <c r="P865" s="8" t="s">
        <v>120</v>
      </c>
    </row>
    <row r="866" customFormat="false" ht="15" hidden="false" customHeight="false" outlineLevel="0" collapsed="false">
      <c r="A866" s="8" t="s">
        <v>1423</v>
      </c>
      <c r="B866" s="8" t="s">
        <v>1424</v>
      </c>
      <c r="C866" s="8" t="s">
        <v>8674</v>
      </c>
      <c r="D866" s="8" t="s">
        <v>123</v>
      </c>
      <c r="E866" s="8" t="s">
        <v>53</v>
      </c>
      <c r="F866" s="8" t="s">
        <v>326</v>
      </c>
      <c r="G866" s="8" t="s">
        <v>143</v>
      </c>
      <c r="H866" s="8" t="s">
        <v>8675</v>
      </c>
      <c r="I866" s="8" t="s">
        <v>9124</v>
      </c>
      <c r="J866" s="8" t="s">
        <v>159</v>
      </c>
      <c r="K866" s="8" t="s">
        <v>8664</v>
      </c>
      <c r="L866" s="8"/>
      <c r="M866" s="8"/>
      <c r="N866" s="8" t="n">
        <v>25</v>
      </c>
      <c r="O866" s="8" t="n">
        <v>101</v>
      </c>
      <c r="P866" s="8" t="s">
        <v>120</v>
      </c>
    </row>
    <row r="867" customFormat="false" ht="15" hidden="false" customHeight="false" outlineLevel="0" collapsed="false">
      <c r="A867" s="8" t="s">
        <v>1837</v>
      </c>
      <c r="B867" s="8" t="s">
        <v>1838</v>
      </c>
      <c r="C867" s="8" t="s">
        <v>8688</v>
      </c>
      <c r="D867" s="8" t="s">
        <v>123</v>
      </c>
      <c r="E867" s="8" t="s">
        <v>51</v>
      </c>
      <c r="F867" s="8" t="s">
        <v>326</v>
      </c>
      <c r="G867" s="8" t="s">
        <v>166</v>
      </c>
      <c r="H867" s="8" t="s">
        <v>8666</v>
      </c>
      <c r="I867" s="8" t="s">
        <v>8756</v>
      </c>
      <c r="J867" s="8" t="s">
        <v>125</v>
      </c>
      <c r="K867" s="8" t="s">
        <v>8664</v>
      </c>
      <c r="L867" s="8"/>
      <c r="M867" s="8"/>
      <c r="N867" s="8" t="n">
        <v>25</v>
      </c>
      <c r="O867" s="8" t="n">
        <v>39</v>
      </c>
      <c r="P867" s="8" t="s">
        <v>120</v>
      </c>
    </row>
    <row r="868" customFormat="false" ht="15" hidden="false" customHeight="false" outlineLevel="0" collapsed="false">
      <c r="A868" s="8" t="s">
        <v>2686</v>
      </c>
      <c r="B868" s="8" t="s">
        <v>2687</v>
      </c>
      <c r="C868" s="8" t="s">
        <v>8669</v>
      </c>
      <c r="D868" s="8" t="s">
        <v>123</v>
      </c>
      <c r="E868" s="8" t="s">
        <v>51</v>
      </c>
      <c r="F868" s="8" t="s">
        <v>2027</v>
      </c>
      <c r="G868" s="8" t="s">
        <v>190</v>
      </c>
      <c r="H868" s="8" t="s">
        <v>8662</v>
      </c>
      <c r="I868" s="8" t="s">
        <v>9276</v>
      </c>
      <c r="J868" s="8" t="s">
        <v>177</v>
      </c>
      <c r="K868" s="8" t="s">
        <v>8664</v>
      </c>
      <c r="L868" s="8"/>
      <c r="M868" s="8"/>
      <c r="N868" s="8" t="n">
        <v>12</v>
      </c>
      <c r="O868" s="8" t="n">
        <v>35</v>
      </c>
      <c r="P868" s="8" t="s">
        <v>120</v>
      </c>
    </row>
    <row r="869" customFormat="false" ht="15" hidden="false" customHeight="false" outlineLevel="0" collapsed="false">
      <c r="A869" s="8" t="s">
        <v>3926</v>
      </c>
      <c r="B869" s="8" t="s">
        <v>3927</v>
      </c>
      <c r="C869" s="8" t="s">
        <v>8669</v>
      </c>
      <c r="D869" s="8" t="s">
        <v>132</v>
      </c>
      <c r="E869" s="8" t="s">
        <v>51</v>
      </c>
      <c r="F869" s="8" t="s">
        <v>2027</v>
      </c>
      <c r="G869" s="8" t="s">
        <v>143</v>
      </c>
      <c r="H869" s="8" t="s">
        <v>8670</v>
      </c>
      <c r="I869" s="8" t="s">
        <v>9564</v>
      </c>
      <c r="J869" s="8" t="s">
        <v>129</v>
      </c>
      <c r="K869" s="8" t="s">
        <v>8664</v>
      </c>
      <c r="L869" s="8"/>
      <c r="M869" s="8"/>
      <c r="N869" s="8" t="n">
        <v>12</v>
      </c>
      <c r="O869" s="8" t="n">
        <v>13</v>
      </c>
      <c r="P869" s="8" t="s">
        <v>120</v>
      </c>
    </row>
    <row r="870" customFormat="false" ht="15" hidden="false" customHeight="false" outlineLevel="0" collapsed="false">
      <c r="A870" s="8" t="s">
        <v>2688</v>
      </c>
      <c r="B870" s="8" t="s">
        <v>2689</v>
      </c>
      <c r="C870" s="8" t="s">
        <v>8674</v>
      </c>
      <c r="D870" s="8" t="s">
        <v>132</v>
      </c>
      <c r="E870" s="8" t="s">
        <v>51</v>
      </c>
      <c r="F870" s="8" t="s">
        <v>2027</v>
      </c>
      <c r="G870" s="8" t="s">
        <v>118</v>
      </c>
      <c r="H870" s="8" t="s">
        <v>8662</v>
      </c>
      <c r="I870" s="8" t="s">
        <v>9215</v>
      </c>
      <c r="J870" s="8" t="s">
        <v>140</v>
      </c>
      <c r="K870" s="8" t="s">
        <v>8664</v>
      </c>
      <c r="L870" s="8"/>
      <c r="M870" s="8"/>
      <c r="N870" s="8" t="n">
        <v>12</v>
      </c>
      <c r="O870" s="8" t="n">
        <v>23</v>
      </c>
      <c r="P870" s="8" t="s">
        <v>120</v>
      </c>
    </row>
    <row r="871" customFormat="false" ht="15" hidden="false" customHeight="false" outlineLevel="0" collapsed="false">
      <c r="A871" s="8" t="s">
        <v>837</v>
      </c>
      <c r="B871" s="8" t="s">
        <v>838</v>
      </c>
      <c r="C871" s="8" t="s">
        <v>8688</v>
      </c>
      <c r="D871" s="8" t="s">
        <v>132</v>
      </c>
      <c r="E871" s="8" t="s">
        <v>53</v>
      </c>
      <c r="F871" s="8" t="s">
        <v>326</v>
      </c>
      <c r="G871" s="8" t="s">
        <v>143</v>
      </c>
      <c r="H871" s="8" t="s">
        <v>8675</v>
      </c>
      <c r="I871" s="8" t="s">
        <v>8835</v>
      </c>
      <c r="J871" s="8" t="s">
        <v>147</v>
      </c>
      <c r="K871" s="8" t="s">
        <v>8664</v>
      </c>
      <c r="L871" s="8"/>
      <c r="M871" s="8"/>
      <c r="N871" s="8" t="n">
        <v>25</v>
      </c>
      <c r="O871" s="8" t="n">
        <v>191</v>
      </c>
      <c r="P871" s="8" t="s">
        <v>120</v>
      </c>
    </row>
    <row r="872" customFormat="false" ht="15" hidden="false" customHeight="false" outlineLevel="0" collapsed="false">
      <c r="A872" s="8" t="s">
        <v>1187</v>
      </c>
      <c r="B872" s="8" t="s">
        <v>1188</v>
      </c>
      <c r="C872" s="8" t="s">
        <v>8688</v>
      </c>
      <c r="D872" s="8" t="s">
        <v>123</v>
      </c>
      <c r="E872" s="8" t="s">
        <v>53</v>
      </c>
      <c r="F872" s="8" t="s">
        <v>326</v>
      </c>
      <c r="G872" s="8" t="s">
        <v>154</v>
      </c>
      <c r="H872" s="8" t="s">
        <v>8670</v>
      </c>
      <c r="I872" s="8" t="s">
        <v>8963</v>
      </c>
      <c r="J872" s="8" t="s">
        <v>159</v>
      </c>
      <c r="K872" s="8" t="s">
        <v>8664</v>
      </c>
      <c r="L872" s="8"/>
      <c r="M872" s="8"/>
      <c r="N872" s="8" t="n">
        <v>25</v>
      </c>
      <c r="O872" s="8" t="n">
        <v>137</v>
      </c>
      <c r="P872" s="8" t="s">
        <v>120</v>
      </c>
    </row>
    <row r="873" customFormat="false" ht="15" hidden="false" customHeight="false" outlineLevel="0" collapsed="false">
      <c r="A873" s="8" t="s">
        <v>3994</v>
      </c>
      <c r="B873" s="8" t="s">
        <v>3995</v>
      </c>
      <c r="C873" s="8" t="s">
        <v>8688</v>
      </c>
      <c r="D873" s="8" t="s">
        <v>123</v>
      </c>
      <c r="E873" s="8" t="s">
        <v>51</v>
      </c>
      <c r="F873" s="8" t="s">
        <v>2027</v>
      </c>
      <c r="G873" s="8" t="s">
        <v>133</v>
      </c>
      <c r="H873" s="8" t="s">
        <v>8666</v>
      </c>
      <c r="I873" s="8" t="s">
        <v>8742</v>
      </c>
      <c r="J873" s="8" t="s">
        <v>119</v>
      </c>
      <c r="K873" s="8" t="s">
        <v>8664</v>
      </c>
      <c r="L873" s="8"/>
      <c r="M873" s="8"/>
      <c r="N873" s="8" t="n">
        <v>12</v>
      </c>
      <c r="O873" s="8" t="n">
        <v>12</v>
      </c>
      <c r="P873" s="8" t="s">
        <v>120</v>
      </c>
    </row>
    <row r="874" customFormat="false" ht="15" hidden="false" customHeight="false" outlineLevel="0" collapsed="false">
      <c r="A874" s="8" t="s">
        <v>1877</v>
      </c>
      <c r="B874" s="8" t="s">
        <v>1878</v>
      </c>
      <c r="C874" s="8" t="s">
        <v>8669</v>
      </c>
      <c r="D874" s="8" t="s">
        <v>132</v>
      </c>
      <c r="E874" s="8" t="s">
        <v>51</v>
      </c>
      <c r="F874" s="8" t="s">
        <v>326</v>
      </c>
      <c r="G874" s="8" t="s">
        <v>118</v>
      </c>
      <c r="H874" s="8" t="s">
        <v>8675</v>
      </c>
      <c r="I874" s="8" t="s">
        <v>8782</v>
      </c>
      <c r="J874" s="8" t="s">
        <v>147</v>
      </c>
      <c r="K874" s="8" t="s">
        <v>8664</v>
      </c>
      <c r="L874" s="8"/>
      <c r="M874" s="8"/>
      <c r="N874" s="8" t="n">
        <v>25</v>
      </c>
      <c r="O874" s="8" t="n">
        <v>37</v>
      </c>
      <c r="P874" s="8" t="s">
        <v>120</v>
      </c>
    </row>
    <row r="875" customFormat="false" ht="15" hidden="false" customHeight="false" outlineLevel="0" collapsed="false">
      <c r="A875" s="8" t="s">
        <v>1839</v>
      </c>
      <c r="B875" s="8" t="s">
        <v>1840</v>
      </c>
      <c r="C875" s="8" t="s">
        <v>8669</v>
      </c>
      <c r="D875" s="8" t="s">
        <v>123</v>
      </c>
      <c r="E875" s="8" t="s">
        <v>51</v>
      </c>
      <c r="F875" s="8" t="s">
        <v>326</v>
      </c>
      <c r="G875" s="8" t="s">
        <v>223</v>
      </c>
      <c r="H875" s="8" t="s">
        <v>8666</v>
      </c>
      <c r="I875" s="8" t="s">
        <v>9442</v>
      </c>
      <c r="J875" s="8" t="s">
        <v>177</v>
      </c>
      <c r="K875" s="8" t="s">
        <v>8664</v>
      </c>
      <c r="L875" s="8"/>
      <c r="M875" s="8"/>
      <c r="N875" s="8" t="n">
        <v>25</v>
      </c>
      <c r="O875" s="8" t="n">
        <v>30</v>
      </c>
      <c r="P875" s="8" t="s">
        <v>120</v>
      </c>
    </row>
    <row r="876" customFormat="false" ht="15" hidden="false" customHeight="false" outlineLevel="0" collapsed="false">
      <c r="A876" s="8" t="s">
        <v>4168</v>
      </c>
      <c r="B876" s="8" t="s">
        <v>4169</v>
      </c>
      <c r="C876" s="8" t="s">
        <v>8700</v>
      </c>
      <c r="D876" s="8" t="s">
        <v>117</v>
      </c>
      <c r="E876" s="8" t="s">
        <v>51</v>
      </c>
      <c r="F876" s="8" t="s">
        <v>2027</v>
      </c>
      <c r="G876" s="8" t="s">
        <v>118</v>
      </c>
      <c r="H876" s="8" t="s">
        <v>8675</v>
      </c>
      <c r="I876" s="8" t="s">
        <v>9565</v>
      </c>
      <c r="J876" s="8" t="s">
        <v>177</v>
      </c>
      <c r="K876" s="8" t="s">
        <v>8664</v>
      </c>
      <c r="L876" s="8"/>
      <c r="M876" s="8"/>
      <c r="N876" s="8" t="n">
        <v>12</v>
      </c>
      <c r="O876" s="8" t="n">
        <v>9</v>
      </c>
      <c r="P876" s="8" t="s">
        <v>120</v>
      </c>
    </row>
    <row r="877" customFormat="false" ht="15" hidden="false" customHeight="false" outlineLevel="0" collapsed="false">
      <c r="A877" s="8" t="s">
        <v>2316</v>
      </c>
      <c r="B877" s="8" t="s">
        <v>2317</v>
      </c>
      <c r="C877" s="8" t="s">
        <v>8665</v>
      </c>
      <c r="D877" s="8" t="s">
        <v>123</v>
      </c>
      <c r="E877" s="8" t="s">
        <v>51</v>
      </c>
      <c r="F877" s="8" t="s">
        <v>2027</v>
      </c>
      <c r="G877" s="8" t="s">
        <v>223</v>
      </c>
      <c r="H877" s="8" t="s">
        <v>8675</v>
      </c>
      <c r="I877" s="8" t="s">
        <v>9566</v>
      </c>
      <c r="J877" s="8" t="s">
        <v>177</v>
      </c>
      <c r="K877" s="8" t="s">
        <v>8664</v>
      </c>
      <c r="L877" s="8"/>
      <c r="M877" s="8"/>
      <c r="N877" s="8" t="n">
        <v>12</v>
      </c>
      <c r="O877" s="8" t="n">
        <v>36</v>
      </c>
      <c r="P877" s="8" t="s">
        <v>120</v>
      </c>
    </row>
    <row r="878" customFormat="false" ht="15" hidden="false" customHeight="false" outlineLevel="0" collapsed="false">
      <c r="A878" s="8" t="s">
        <v>3802</v>
      </c>
      <c r="B878" s="8" t="s">
        <v>3803</v>
      </c>
      <c r="C878" s="8" t="s">
        <v>8674</v>
      </c>
      <c r="D878" s="8" t="s">
        <v>117</v>
      </c>
      <c r="E878" s="8" t="s">
        <v>51</v>
      </c>
      <c r="F878" s="8" t="s">
        <v>2027</v>
      </c>
      <c r="G878" s="8" t="s">
        <v>118</v>
      </c>
      <c r="H878" s="8" t="s">
        <v>8666</v>
      </c>
      <c r="I878" s="8" t="s">
        <v>9262</v>
      </c>
      <c r="J878" s="8" t="s">
        <v>119</v>
      </c>
      <c r="K878" s="8" t="s">
        <v>8664</v>
      </c>
      <c r="L878" s="8"/>
      <c r="M878" s="8"/>
      <c r="N878" s="8" t="n">
        <v>12</v>
      </c>
      <c r="O878" s="8" t="n">
        <v>15</v>
      </c>
      <c r="P878" s="8" t="s">
        <v>120</v>
      </c>
    </row>
    <row r="879" customFormat="false" ht="15" hidden="false" customHeight="false" outlineLevel="0" collapsed="false">
      <c r="A879" s="8" t="s">
        <v>9567</v>
      </c>
      <c r="B879" s="8" t="s">
        <v>9568</v>
      </c>
      <c r="C879" s="8" t="s">
        <v>8665</v>
      </c>
      <c r="D879" s="8" t="s">
        <v>123</v>
      </c>
      <c r="E879" s="8" t="s">
        <v>51</v>
      </c>
      <c r="F879" s="8" t="s">
        <v>2027</v>
      </c>
      <c r="G879" s="8" t="s">
        <v>190</v>
      </c>
      <c r="H879" s="8" t="s">
        <v>8670</v>
      </c>
      <c r="I879" s="8" t="s">
        <v>8834</v>
      </c>
      <c r="J879" s="8"/>
      <c r="K879" s="8" t="s">
        <v>8690</v>
      </c>
      <c r="L879" s="8" t="s">
        <v>9569</v>
      </c>
      <c r="M879" s="8" t="s">
        <v>8692</v>
      </c>
      <c r="N879" s="8" t="n">
        <v>12</v>
      </c>
      <c r="O879" s="8" t="n">
        <v>5</v>
      </c>
      <c r="P879" s="8" t="s">
        <v>120</v>
      </c>
    </row>
    <row r="880" customFormat="false" ht="15" hidden="false" customHeight="false" outlineLevel="0" collapsed="false">
      <c r="A880" s="8" t="s">
        <v>2330</v>
      </c>
      <c r="B880" s="8" t="s">
        <v>2331</v>
      </c>
      <c r="C880" s="8" t="s">
        <v>8700</v>
      </c>
      <c r="D880" s="8" t="s">
        <v>117</v>
      </c>
      <c r="E880" s="8" t="s">
        <v>51</v>
      </c>
      <c r="F880" s="8" t="s">
        <v>326</v>
      </c>
      <c r="G880" s="8" t="s">
        <v>154</v>
      </c>
      <c r="H880" s="8" t="s">
        <v>8662</v>
      </c>
      <c r="I880" s="8" t="s">
        <v>9570</v>
      </c>
      <c r="J880" s="8" t="s">
        <v>144</v>
      </c>
      <c r="K880" s="8" t="s">
        <v>8664</v>
      </c>
      <c r="L880" s="8"/>
      <c r="M880" s="8"/>
      <c r="N880" s="8" t="n">
        <v>25</v>
      </c>
      <c r="O880" s="8" t="n">
        <v>17</v>
      </c>
      <c r="P880" s="8" t="s">
        <v>120</v>
      </c>
    </row>
    <row r="881" customFormat="false" ht="15" hidden="false" customHeight="false" outlineLevel="0" collapsed="false">
      <c r="A881" s="8" t="s">
        <v>9571</v>
      </c>
      <c r="B881" s="8" t="s">
        <v>9572</v>
      </c>
      <c r="C881" s="8" t="s">
        <v>8680</v>
      </c>
      <c r="D881" s="8" t="s">
        <v>123</v>
      </c>
      <c r="E881" s="8" t="s">
        <v>51</v>
      </c>
      <c r="F881" s="8" t="s">
        <v>2027</v>
      </c>
      <c r="G881" s="8" t="s">
        <v>124</v>
      </c>
      <c r="H881" s="8" t="s">
        <v>8662</v>
      </c>
      <c r="I881" s="8" t="s">
        <v>9573</v>
      </c>
      <c r="J881" s="8"/>
      <c r="K881" s="8" t="s">
        <v>8690</v>
      </c>
      <c r="L881" s="8" t="s">
        <v>9574</v>
      </c>
      <c r="M881" s="8" t="s">
        <v>8795</v>
      </c>
      <c r="N881" s="8" t="n">
        <v>12</v>
      </c>
      <c r="O881" s="8" t="n">
        <v>33</v>
      </c>
      <c r="P881" s="8" t="s">
        <v>120</v>
      </c>
    </row>
    <row r="882" customFormat="false" ht="15" hidden="false" customHeight="false" outlineLevel="0" collapsed="false">
      <c r="A882" s="8" t="s">
        <v>3470</v>
      </c>
      <c r="B882" s="8" t="s">
        <v>3471</v>
      </c>
      <c r="C882" s="8" t="s">
        <v>8688</v>
      </c>
      <c r="D882" s="8" t="s">
        <v>117</v>
      </c>
      <c r="E882" s="8" t="s">
        <v>51</v>
      </c>
      <c r="F882" s="8" t="s">
        <v>2027</v>
      </c>
      <c r="G882" s="8" t="s">
        <v>118</v>
      </c>
      <c r="H882" s="8" t="s">
        <v>8670</v>
      </c>
      <c r="I882" s="8" t="s">
        <v>9575</v>
      </c>
      <c r="J882" s="8" t="s">
        <v>125</v>
      </c>
      <c r="K882" s="8" t="s">
        <v>8664</v>
      </c>
      <c r="L882" s="8"/>
      <c r="M882" s="8"/>
      <c r="N882" s="8" t="n">
        <v>12</v>
      </c>
      <c r="O882" s="8" t="n">
        <v>22</v>
      </c>
      <c r="P882" s="8" t="s">
        <v>120</v>
      </c>
    </row>
    <row r="883" customFormat="false" ht="15" hidden="false" customHeight="false" outlineLevel="0" collapsed="false">
      <c r="A883" s="8" t="s">
        <v>3104</v>
      </c>
      <c r="B883" s="8" t="s">
        <v>3105</v>
      </c>
      <c r="C883" s="8" t="s">
        <v>8665</v>
      </c>
      <c r="D883" s="8" t="s">
        <v>132</v>
      </c>
      <c r="E883" s="8" t="s">
        <v>51</v>
      </c>
      <c r="F883" s="8" t="s">
        <v>2027</v>
      </c>
      <c r="G883" s="8" t="s">
        <v>190</v>
      </c>
      <c r="H883" s="8" t="s">
        <v>8666</v>
      </c>
      <c r="I883" s="8" t="s">
        <v>9515</v>
      </c>
      <c r="J883" s="8" t="s">
        <v>204</v>
      </c>
      <c r="K883" s="8" t="s">
        <v>8664</v>
      </c>
      <c r="L883" s="8"/>
      <c r="M883" s="8"/>
      <c r="N883" s="8" t="n">
        <v>12</v>
      </c>
      <c r="O883" s="8" t="n">
        <v>18</v>
      </c>
      <c r="P883" s="8" t="s">
        <v>120</v>
      </c>
    </row>
    <row r="884" customFormat="false" ht="15" hidden="false" customHeight="false" outlineLevel="0" collapsed="false">
      <c r="A884" s="8" t="s">
        <v>1237</v>
      </c>
      <c r="B884" s="8" t="s">
        <v>1238</v>
      </c>
      <c r="C884" s="8" t="s">
        <v>8678</v>
      </c>
      <c r="D884" s="8" t="s">
        <v>132</v>
      </c>
      <c r="E884" s="8" t="s">
        <v>53</v>
      </c>
      <c r="F884" s="8" t="s">
        <v>326</v>
      </c>
      <c r="G884" s="8" t="s">
        <v>118</v>
      </c>
      <c r="H884" s="8" t="s">
        <v>8675</v>
      </c>
      <c r="I884" s="8" t="s">
        <v>9576</v>
      </c>
      <c r="J884" s="8" t="s">
        <v>144</v>
      </c>
      <c r="K884" s="8" t="s">
        <v>8664</v>
      </c>
      <c r="L884" s="8"/>
      <c r="M884" s="8"/>
      <c r="N884" s="8" t="n">
        <v>25</v>
      </c>
      <c r="O884" s="8" t="n">
        <v>98</v>
      </c>
      <c r="P884" s="8" t="s">
        <v>148</v>
      </c>
    </row>
    <row r="885" customFormat="false" ht="15" hidden="false" customHeight="false" outlineLevel="0" collapsed="false">
      <c r="A885" s="8" t="s">
        <v>4352</v>
      </c>
      <c r="B885" s="8" t="s">
        <v>4353</v>
      </c>
      <c r="C885" s="8" t="s">
        <v>8669</v>
      </c>
      <c r="D885" s="8" t="s">
        <v>132</v>
      </c>
      <c r="E885" s="8" t="s">
        <v>51</v>
      </c>
      <c r="F885" s="8" t="s">
        <v>2027</v>
      </c>
      <c r="G885" s="8" t="s">
        <v>118</v>
      </c>
      <c r="H885" s="8" t="s">
        <v>8670</v>
      </c>
      <c r="I885" s="8" t="s">
        <v>8883</v>
      </c>
      <c r="J885" s="8" t="s">
        <v>159</v>
      </c>
      <c r="K885" s="8" t="s">
        <v>8664</v>
      </c>
      <c r="L885" s="8"/>
      <c r="M885" s="8"/>
      <c r="N885" s="8" t="n">
        <v>12</v>
      </c>
      <c r="O885" s="8" t="n">
        <v>5</v>
      </c>
      <c r="P885" s="8" t="s">
        <v>120</v>
      </c>
    </row>
    <row r="886" customFormat="false" ht="15" hidden="false" customHeight="false" outlineLevel="0" collapsed="false">
      <c r="A886" s="8" t="s">
        <v>286</v>
      </c>
      <c r="B886" s="8" t="s">
        <v>287</v>
      </c>
      <c r="C886" s="8" t="s">
        <v>8688</v>
      </c>
      <c r="D886" s="8" t="s">
        <v>123</v>
      </c>
      <c r="E886" s="8" t="s">
        <v>55</v>
      </c>
      <c r="F886" s="8" t="s">
        <v>55</v>
      </c>
      <c r="G886" s="8" t="s">
        <v>151</v>
      </c>
      <c r="H886" s="8" t="s">
        <v>8662</v>
      </c>
      <c r="I886" s="8" t="s">
        <v>8829</v>
      </c>
      <c r="J886" s="8" t="s">
        <v>185</v>
      </c>
      <c r="K886" s="8" t="s">
        <v>8664</v>
      </c>
      <c r="L886" s="8"/>
      <c r="M886" s="8"/>
      <c r="N886" s="8" t="n">
        <v>45</v>
      </c>
      <c r="O886" s="8" t="n">
        <v>440</v>
      </c>
      <c r="P886" s="8" t="s">
        <v>148</v>
      </c>
    </row>
    <row r="887" customFormat="false" ht="15" hidden="false" customHeight="false" outlineLevel="0" collapsed="false">
      <c r="A887" s="8" t="s">
        <v>3626</v>
      </c>
      <c r="B887" s="8" t="s">
        <v>3627</v>
      </c>
      <c r="C887" s="8" t="s">
        <v>8669</v>
      </c>
      <c r="D887" s="8" t="s">
        <v>123</v>
      </c>
      <c r="E887" s="8" t="s">
        <v>51</v>
      </c>
      <c r="F887" s="8" t="s">
        <v>326</v>
      </c>
      <c r="G887" s="8" t="s">
        <v>166</v>
      </c>
      <c r="H887" s="8" t="s">
        <v>8670</v>
      </c>
      <c r="I887" s="8" t="s">
        <v>9577</v>
      </c>
      <c r="J887" s="8" t="s">
        <v>147</v>
      </c>
      <c r="K887" s="8" t="s">
        <v>8664</v>
      </c>
      <c r="L887" s="8"/>
      <c r="M887" s="8"/>
      <c r="N887" s="8" t="n">
        <v>25</v>
      </c>
      <c r="O887" s="8" t="n">
        <v>9</v>
      </c>
      <c r="P887" s="8" t="s">
        <v>120</v>
      </c>
    </row>
    <row r="888" customFormat="false" ht="15" hidden="false" customHeight="false" outlineLevel="0" collapsed="false">
      <c r="A888" s="8" t="s">
        <v>3160</v>
      </c>
      <c r="B888" s="8" t="s">
        <v>3161</v>
      </c>
      <c r="C888" s="8" t="s">
        <v>8688</v>
      </c>
      <c r="D888" s="8" t="s">
        <v>123</v>
      </c>
      <c r="E888" s="8" t="s">
        <v>51</v>
      </c>
      <c r="F888" s="8" t="s">
        <v>2027</v>
      </c>
      <c r="G888" s="8" t="s">
        <v>151</v>
      </c>
      <c r="H888" s="8" t="s">
        <v>8670</v>
      </c>
      <c r="I888" s="8" t="s">
        <v>9145</v>
      </c>
      <c r="J888" s="8" t="s">
        <v>144</v>
      </c>
      <c r="K888" s="8" t="s">
        <v>8664</v>
      </c>
      <c r="L888" s="8"/>
      <c r="M888" s="8"/>
      <c r="N888" s="8" t="n">
        <v>12</v>
      </c>
      <c r="O888" s="8" t="n">
        <v>27</v>
      </c>
      <c r="P888" s="8" t="s">
        <v>120</v>
      </c>
    </row>
    <row r="889" customFormat="false" ht="15" hidden="false" customHeight="false" outlineLevel="0" collapsed="false">
      <c r="A889" s="8" t="s">
        <v>1841</v>
      </c>
      <c r="B889" s="8" t="s">
        <v>1842</v>
      </c>
      <c r="C889" s="8" t="s">
        <v>8669</v>
      </c>
      <c r="D889" s="8" t="s">
        <v>123</v>
      </c>
      <c r="E889" s="8" t="s">
        <v>51</v>
      </c>
      <c r="F889" s="8" t="s">
        <v>326</v>
      </c>
      <c r="G889" s="8" t="s">
        <v>154</v>
      </c>
      <c r="H889" s="8" t="s">
        <v>8670</v>
      </c>
      <c r="I889" s="8" t="s">
        <v>8988</v>
      </c>
      <c r="J889" s="8" t="s">
        <v>185</v>
      </c>
      <c r="K889" s="8" t="s">
        <v>8664</v>
      </c>
      <c r="L889" s="8"/>
      <c r="M889" s="8"/>
      <c r="N889" s="8" t="n">
        <v>25</v>
      </c>
      <c r="O889" s="8" t="n">
        <v>32</v>
      </c>
      <c r="P889" s="8" t="s">
        <v>120</v>
      </c>
    </row>
    <row r="890" customFormat="false" ht="15" hidden="false" customHeight="false" outlineLevel="0" collapsed="false">
      <c r="A890" s="8" t="s">
        <v>3344</v>
      </c>
      <c r="B890" s="8" t="s">
        <v>3345</v>
      </c>
      <c r="C890" s="8" t="s">
        <v>8678</v>
      </c>
      <c r="D890" s="8" t="s">
        <v>132</v>
      </c>
      <c r="E890" s="8" t="s">
        <v>51</v>
      </c>
      <c r="F890" s="8" t="s">
        <v>2027</v>
      </c>
      <c r="G890" s="8" t="s">
        <v>133</v>
      </c>
      <c r="H890" s="8" t="s">
        <v>8675</v>
      </c>
      <c r="I890" s="8" t="s">
        <v>9578</v>
      </c>
      <c r="J890" s="8" t="s">
        <v>177</v>
      </c>
      <c r="K890" s="8" t="s">
        <v>8664</v>
      </c>
      <c r="L890" s="8"/>
      <c r="M890" s="8"/>
      <c r="N890" s="8" t="n">
        <v>12</v>
      </c>
      <c r="O890" s="8" t="n">
        <v>24</v>
      </c>
      <c r="P890" s="8" t="s">
        <v>120</v>
      </c>
    </row>
    <row r="891" customFormat="false" ht="15" hidden="false" customHeight="false" outlineLevel="0" collapsed="false">
      <c r="A891" s="8" t="s">
        <v>4415</v>
      </c>
      <c r="B891" s="8" t="s">
        <v>9579</v>
      </c>
      <c r="C891" s="8" t="s">
        <v>8688</v>
      </c>
      <c r="D891" s="8" t="s">
        <v>123</v>
      </c>
      <c r="E891" s="8" t="s">
        <v>55</v>
      </c>
      <c r="F891" s="8" t="s">
        <v>55</v>
      </c>
      <c r="G891" s="8" t="s">
        <v>124</v>
      </c>
      <c r="H891" s="8" t="s">
        <v>8670</v>
      </c>
      <c r="I891" s="8" t="s">
        <v>9018</v>
      </c>
      <c r="J891" s="8"/>
      <c r="K891" s="8" t="s">
        <v>8690</v>
      </c>
      <c r="L891" s="8" t="s">
        <v>9113</v>
      </c>
      <c r="M891" s="8" t="s">
        <v>8692</v>
      </c>
      <c r="N891" s="8" t="n">
        <v>45</v>
      </c>
      <c r="O891" s="8" t="n">
        <v>250</v>
      </c>
      <c r="P891" s="8" t="s">
        <v>148</v>
      </c>
    </row>
    <row r="892" customFormat="false" ht="15" hidden="false" customHeight="false" outlineLevel="0" collapsed="false">
      <c r="A892" s="8" t="s">
        <v>9580</v>
      </c>
      <c r="B892" s="8" t="s">
        <v>9581</v>
      </c>
      <c r="C892" s="8" t="s">
        <v>8700</v>
      </c>
      <c r="D892" s="8" t="s">
        <v>123</v>
      </c>
      <c r="E892" s="8" t="s">
        <v>53</v>
      </c>
      <c r="F892" s="8" t="s">
        <v>55</v>
      </c>
      <c r="G892" s="8" t="s">
        <v>133</v>
      </c>
      <c r="H892" s="8" t="s">
        <v>8666</v>
      </c>
      <c r="I892" s="8" t="s">
        <v>9582</v>
      </c>
      <c r="J892" s="8"/>
      <c r="K892" s="8" t="s">
        <v>8690</v>
      </c>
      <c r="L892" s="8" t="s">
        <v>8775</v>
      </c>
      <c r="M892" s="8" t="s">
        <v>8705</v>
      </c>
      <c r="N892" s="8" t="n">
        <v>45</v>
      </c>
      <c r="O892" s="8" t="n">
        <v>187</v>
      </c>
      <c r="P892" s="8" t="s">
        <v>120</v>
      </c>
    </row>
    <row r="893" customFormat="false" ht="15" hidden="false" customHeight="false" outlineLevel="0" collapsed="false">
      <c r="A893" s="8" t="s">
        <v>4420</v>
      </c>
      <c r="B893" s="8" t="s">
        <v>9583</v>
      </c>
      <c r="C893" s="8" t="s">
        <v>8680</v>
      </c>
      <c r="D893" s="8" t="s">
        <v>123</v>
      </c>
      <c r="E893" s="8" t="s">
        <v>53</v>
      </c>
      <c r="F893" s="8" t="s">
        <v>55</v>
      </c>
      <c r="G893" s="8" t="s">
        <v>154</v>
      </c>
      <c r="H893" s="8" t="s">
        <v>8666</v>
      </c>
      <c r="I893" s="8" t="s">
        <v>8745</v>
      </c>
      <c r="J893" s="8"/>
      <c r="K893" s="8" t="s">
        <v>8690</v>
      </c>
      <c r="L893" s="8" t="s">
        <v>8681</v>
      </c>
      <c r="M893" s="8" t="s">
        <v>8721</v>
      </c>
      <c r="N893" s="8" t="n">
        <v>45</v>
      </c>
      <c r="O893" s="8" t="n">
        <v>185</v>
      </c>
      <c r="P893" s="8" t="s">
        <v>120</v>
      </c>
    </row>
    <row r="894" customFormat="false" ht="15" hidden="false" customHeight="false" outlineLevel="0" collapsed="false">
      <c r="A894" s="8" t="s">
        <v>4228</v>
      </c>
      <c r="B894" s="8" t="s">
        <v>4229</v>
      </c>
      <c r="C894" s="8" t="s">
        <v>8688</v>
      </c>
      <c r="D894" s="8" t="s">
        <v>123</v>
      </c>
      <c r="E894" s="8" t="s">
        <v>51</v>
      </c>
      <c r="F894" s="8" t="s">
        <v>2027</v>
      </c>
      <c r="G894" s="8" t="s">
        <v>154</v>
      </c>
      <c r="H894" s="8" t="s">
        <v>8670</v>
      </c>
      <c r="I894" s="8" t="s">
        <v>8999</v>
      </c>
      <c r="J894" s="8" t="s">
        <v>159</v>
      </c>
      <c r="K894" s="8" t="s">
        <v>8664</v>
      </c>
      <c r="L894" s="8"/>
      <c r="M894" s="8"/>
      <c r="N894" s="8" t="n">
        <v>12</v>
      </c>
      <c r="O894" s="8" t="n">
        <v>8</v>
      </c>
      <c r="P894" s="8" t="s">
        <v>120</v>
      </c>
    </row>
    <row r="895" customFormat="false" ht="15" hidden="false" customHeight="false" outlineLevel="0" collapsed="false">
      <c r="A895" s="8" t="s">
        <v>997</v>
      </c>
      <c r="B895" s="8" t="s">
        <v>998</v>
      </c>
      <c r="C895" s="8" t="s">
        <v>8674</v>
      </c>
      <c r="D895" s="8" t="s">
        <v>123</v>
      </c>
      <c r="E895" s="8" t="s">
        <v>53</v>
      </c>
      <c r="F895" s="8" t="s">
        <v>55</v>
      </c>
      <c r="G895" s="8" t="s">
        <v>124</v>
      </c>
      <c r="H895" s="8" t="s">
        <v>8662</v>
      </c>
      <c r="I895" s="8" t="s">
        <v>9034</v>
      </c>
      <c r="J895" s="8" t="s">
        <v>147</v>
      </c>
      <c r="K895" s="8" t="s">
        <v>8664</v>
      </c>
      <c r="L895" s="8"/>
      <c r="M895" s="8"/>
      <c r="N895" s="8" t="n">
        <v>45</v>
      </c>
      <c r="O895" s="8" t="n">
        <v>92</v>
      </c>
      <c r="P895" s="8" t="s">
        <v>120</v>
      </c>
    </row>
    <row r="896" customFormat="false" ht="15" hidden="false" customHeight="false" outlineLevel="0" collapsed="false">
      <c r="A896" s="8" t="s">
        <v>775</v>
      </c>
      <c r="B896" s="8" t="s">
        <v>776</v>
      </c>
      <c r="C896" s="8" t="s">
        <v>8665</v>
      </c>
      <c r="D896" s="8" t="s">
        <v>123</v>
      </c>
      <c r="E896" s="8" t="s">
        <v>53</v>
      </c>
      <c r="F896" s="8" t="s">
        <v>326</v>
      </c>
      <c r="G896" s="8" t="s">
        <v>166</v>
      </c>
      <c r="H896" s="8" t="s">
        <v>8670</v>
      </c>
      <c r="I896" s="8" t="s">
        <v>9153</v>
      </c>
      <c r="J896" s="8" t="s">
        <v>180</v>
      </c>
      <c r="K896" s="8" t="s">
        <v>8664</v>
      </c>
      <c r="L896" s="8"/>
      <c r="M896" s="8"/>
      <c r="N896" s="8" t="n">
        <v>25</v>
      </c>
      <c r="O896" s="8" t="n">
        <v>144</v>
      </c>
      <c r="P896" s="8" t="s">
        <v>148</v>
      </c>
    </row>
    <row r="897" customFormat="false" ht="15" hidden="false" customHeight="false" outlineLevel="0" collapsed="false">
      <c r="A897" s="8" t="s">
        <v>1329</v>
      </c>
      <c r="B897" s="8" t="s">
        <v>1330</v>
      </c>
      <c r="C897" s="8" t="s">
        <v>8674</v>
      </c>
      <c r="D897" s="8" t="s">
        <v>117</v>
      </c>
      <c r="E897" s="8" t="s">
        <v>53</v>
      </c>
      <c r="F897" s="8" t="s">
        <v>326</v>
      </c>
      <c r="G897" s="8" t="s">
        <v>118</v>
      </c>
      <c r="H897" s="8" t="s">
        <v>8662</v>
      </c>
      <c r="I897" s="8" t="s">
        <v>9584</v>
      </c>
      <c r="J897" s="8" t="s">
        <v>144</v>
      </c>
      <c r="K897" s="8" t="s">
        <v>8664</v>
      </c>
      <c r="L897" s="8"/>
      <c r="M897" s="8"/>
      <c r="N897" s="8" t="n">
        <v>25</v>
      </c>
      <c r="O897" s="8" t="n">
        <v>118</v>
      </c>
      <c r="P897" s="8" t="s">
        <v>120</v>
      </c>
    </row>
    <row r="898" customFormat="false" ht="15" hidden="false" customHeight="false" outlineLevel="0" collapsed="false">
      <c r="A898" s="8" t="s">
        <v>839</v>
      </c>
      <c r="B898" s="8" t="s">
        <v>840</v>
      </c>
      <c r="C898" s="8" t="s">
        <v>8661</v>
      </c>
      <c r="D898" s="8" t="s">
        <v>132</v>
      </c>
      <c r="E898" s="8" t="s">
        <v>53</v>
      </c>
      <c r="F898" s="8" t="s">
        <v>326</v>
      </c>
      <c r="G898" s="8" t="s">
        <v>190</v>
      </c>
      <c r="H898" s="8" t="s">
        <v>8662</v>
      </c>
      <c r="I898" s="8" t="s">
        <v>9585</v>
      </c>
      <c r="J898" s="8" t="s">
        <v>119</v>
      </c>
      <c r="K898" s="8" t="s">
        <v>8664</v>
      </c>
      <c r="L898" s="8"/>
      <c r="M898" s="8"/>
      <c r="N898" s="8" t="n">
        <v>25</v>
      </c>
      <c r="O898" s="8" t="n">
        <v>191</v>
      </c>
      <c r="P898" s="8" t="s">
        <v>120</v>
      </c>
    </row>
    <row r="899" customFormat="false" ht="15" hidden="false" customHeight="false" outlineLevel="0" collapsed="false">
      <c r="A899" s="8" t="s">
        <v>4230</v>
      </c>
      <c r="B899" s="8" t="s">
        <v>4231</v>
      </c>
      <c r="C899" s="8" t="s">
        <v>8678</v>
      </c>
      <c r="D899" s="8" t="s">
        <v>123</v>
      </c>
      <c r="E899" s="8" t="s">
        <v>51</v>
      </c>
      <c r="F899" s="8" t="s">
        <v>2027</v>
      </c>
      <c r="G899" s="8" t="s">
        <v>190</v>
      </c>
      <c r="H899" s="8" t="s">
        <v>8662</v>
      </c>
      <c r="I899" s="8" t="s">
        <v>9564</v>
      </c>
      <c r="J899" s="8" t="s">
        <v>129</v>
      </c>
      <c r="K899" s="8" t="s">
        <v>8664</v>
      </c>
      <c r="L899" s="8"/>
      <c r="M899" s="8"/>
      <c r="N899" s="8" t="n">
        <v>12</v>
      </c>
      <c r="O899" s="8" t="n">
        <v>8</v>
      </c>
      <c r="P899" s="8" t="s">
        <v>120</v>
      </c>
    </row>
    <row r="900" customFormat="false" ht="15" hidden="false" customHeight="false" outlineLevel="0" collapsed="false">
      <c r="A900" s="8" t="s">
        <v>2564</v>
      </c>
      <c r="B900" s="8" t="s">
        <v>2565</v>
      </c>
      <c r="C900" s="8" t="s">
        <v>8688</v>
      </c>
      <c r="D900" s="8" t="s">
        <v>123</v>
      </c>
      <c r="E900" s="8" t="s">
        <v>51</v>
      </c>
      <c r="F900" s="8" t="s">
        <v>2027</v>
      </c>
      <c r="G900" s="8" t="s">
        <v>118</v>
      </c>
      <c r="H900" s="8" t="s">
        <v>8662</v>
      </c>
      <c r="I900" s="8" t="s">
        <v>8717</v>
      </c>
      <c r="J900" s="8" t="s">
        <v>177</v>
      </c>
      <c r="K900" s="8" t="s">
        <v>8664</v>
      </c>
      <c r="L900" s="8"/>
      <c r="M900" s="8"/>
      <c r="N900" s="8" t="n">
        <v>12</v>
      </c>
      <c r="O900" s="8" t="n">
        <v>31</v>
      </c>
      <c r="P900" s="8" t="s">
        <v>148</v>
      </c>
    </row>
    <row r="901" customFormat="false" ht="15" hidden="false" customHeight="false" outlineLevel="0" collapsed="false">
      <c r="A901" s="8" t="s">
        <v>4354</v>
      </c>
      <c r="B901" s="8" t="s">
        <v>4355</v>
      </c>
      <c r="C901" s="8" t="s">
        <v>8700</v>
      </c>
      <c r="D901" s="8" t="s">
        <v>132</v>
      </c>
      <c r="E901" s="8" t="s">
        <v>51</v>
      </c>
      <c r="F901" s="8" t="s">
        <v>2027</v>
      </c>
      <c r="G901" s="8" t="s">
        <v>223</v>
      </c>
      <c r="H901" s="8" t="s">
        <v>8670</v>
      </c>
      <c r="I901" s="8" t="s">
        <v>9383</v>
      </c>
      <c r="J901" s="8" t="s">
        <v>147</v>
      </c>
      <c r="K901" s="8" t="s">
        <v>8664</v>
      </c>
      <c r="L901" s="8"/>
      <c r="M901" s="8"/>
      <c r="N901" s="8" t="n">
        <v>12</v>
      </c>
      <c r="O901" s="8" t="n">
        <v>6</v>
      </c>
      <c r="P901" s="8" t="s">
        <v>120</v>
      </c>
    </row>
    <row r="902" customFormat="false" ht="15" hidden="false" customHeight="false" outlineLevel="0" collapsed="false">
      <c r="A902" s="8" t="s">
        <v>4515</v>
      </c>
      <c r="B902" s="8" t="s">
        <v>9586</v>
      </c>
      <c r="C902" s="8" t="s">
        <v>8700</v>
      </c>
      <c r="D902" s="8" t="s">
        <v>123</v>
      </c>
      <c r="E902" s="8" t="s">
        <v>51</v>
      </c>
      <c r="F902" s="8" t="s">
        <v>2027</v>
      </c>
      <c r="G902" s="8" t="s">
        <v>124</v>
      </c>
      <c r="H902" s="8" t="s">
        <v>8666</v>
      </c>
      <c r="I902" s="8" t="s">
        <v>9587</v>
      </c>
      <c r="J902" s="8"/>
      <c r="K902" s="8" t="s">
        <v>8690</v>
      </c>
      <c r="L902" s="8" t="s">
        <v>9588</v>
      </c>
      <c r="M902" s="8" t="s">
        <v>8692</v>
      </c>
      <c r="N902" s="8" t="n">
        <v>12</v>
      </c>
      <c r="O902" s="8" t="n">
        <v>29</v>
      </c>
      <c r="P902" s="8" t="s">
        <v>120</v>
      </c>
    </row>
    <row r="903" customFormat="false" ht="15" hidden="false" customHeight="false" outlineLevel="0" collapsed="false">
      <c r="A903" s="8" t="s">
        <v>3750</v>
      </c>
      <c r="B903" s="8" t="s">
        <v>3751</v>
      </c>
      <c r="C903" s="8" t="s">
        <v>8688</v>
      </c>
      <c r="D903" s="8" t="s">
        <v>117</v>
      </c>
      <c r="E903" s="8" t="s">
        <v>51</v>
      </c>
      <c r="F903" s="8" t="s">
        <v>2027</v>
      </c>
      <c r="G903" s="8" t="s">
        <v>118</v>
      </c>
      <c r="H903" s="8" t="s">
        <v>8662</v>
      </c>
      <c r="I903" s="8" t="s">
        <v>9494</v>
      </c>
      <c r="J903" s="8" t="s">
        <v>129</v>
      </c>
      <c r="K903" s="8" t="s">
        <v>8664</v>
      </c>
      <c r="L903" s="8"/>
      <c r="M903" s="8"/>
      <c r="N903" s="8" t="n">
        <v>12</v>
      </c>
      <c r="O903" s="8" t="n">
        <v>16</v>
      </c>
      <c r="P903" s="8" t="s">
        <v>120</v>
      </c>
    </row>
    <row r="904" customFormat="false" ht="15" hidden="false" customHeight="false" outlineLevel="0" collapsed="false">
      <c r="A904" s="8" t="s">
        <v>3708</v>
      </c>
      <c r="B904" s="8" t="s">
        <v>3709</v>
      </c>
      <c r="C904" s="8" t="s">
        <v>8700</v>
      </c>
      <c r="D904" s="8" t="s">
        <v>123</v>
      </c>
      <c r="E904" s="8" t="s">
        <v>51</v>
      </c>
      <c r="F904" s="8" t="s">
        <v>2027</v>
      </c>
      <c r="G904" s="8" t="s">
        <v>143</v>
      </c>
      <c r="H904" s="8" t="s">
        <v>8675</v>
      </c>
      <c r="I904" s="8" t="s">
        <v>9589</v>
      </c>
      <c r="J904" s="8" t="s">
        <v>147</v>
      </c>
      <c r="K904" s="8" t="s">
        <v>8664</v>
      </c>
      <c r="L904" s="8"/>
      <c r="M904" s="8"/>
      <c r="N904" s="8" t="n">
        <v>12</v>
      </c>
      <c r="O904" s="8" t="n">
        <v>17</v>
      </c>
      <c r="P904" s="8" t="s">
        <v>120</v>
      </c>
    </row>
    <row r="905" customFormat="false" ht="15" hidden="false" customHeight="false" outlineLevel="0" collapsed="false">
      <c r="A905" s="8" t="s">
        <v>965</v>
      </c>
      <c r="B905" s="8" t="s">
        <v>966</v>
      </c>
      <c r="C905" s="8" t="s">
        <v>8680</v>
      </c>
      <c r="D905" s="8" t="s">
        <v>123</v>
      </c>
      <c r="E905" s="8" t="s">
        <v>53</v>
      </c>
      <c r="F905" s="8" t="s">
        <v>326</v>
      </c>
      <c r="G905" s="8" t="s">
        <v>118</v>
      </c>
      <c r="H905" s="8" t="s">
        <v>8662</v>
      </c>
      <c r="I905" s="8" t="s">
        <v>9455</v>
      </c>
      <c r="J905" s="8" t="s">
        <v>159</v>
      </c>
      <c r="K905" s="8" t="s">
        <v>8664</v>
      </c>
      <c r="L905" s="8"/>
      <c r="M905" s="8"/>
      <c r="N905" s="8" t="n">
        <v>25</v>
      </c>
      <c r="O905" s="8" t="n">
        <v>168</v>
      </c>
      <c r="P905" s="8" t="s">
        <v>120</v>
      </c>
    </row>
    <row r="906" customFormat="false" ht="15" hidden="false" customHeight="false" outlineLevel="0" collapsed="false">
      <c r="A906" s="8" t="s">
        <v>1953</v>
      </c>
      <c r="B906" s="8" t="s">
        <v>1954</v>
      </c>
      <c r="C906" s="8" t="s">
        <v>8678</v>
      </c>
      <c r="D906" s="8" t="s">
        <v>132</v>
      </c>
      <c r="E906" s="8" t="s">
        <v>51</v>
      </c>
      <c r="F906" s="8" t="s">
        <v>326</v>
      </c>
      <c r="G906" s="8" t="s">
        <v>151</v>
      </c>
      <c r="H906" s="8" t="s">
        <v>8675</v>
      </c>
      <c r="I906" s="8" t="s">
        <v>9590</v>
      </c>
      <c r="J906" s="8" t="s">
        <v>125</v>
      </c>
      <c r="K906" s="8" t="s">
        <v>8664</v>
      </c>
      <c r="L906" s="8"/>
      <c r="M906" s="8"/>
      <c r="N906" s="8" t="n">
        <v>25</v>
      </c>
      <c r="O906" s="8" t="n">
        <v>34</v>
      </c>
      <c r="P906" s="8" t="s">
        <v>120</v>
      </c>
    </row>
    <row r="907" customFormat="false" ht="15" hidden="false" customHeight="false" outlineLevel="0" collapsed="false">
      <c r="A907" s="8" t="s">
        <v>377</v>
      </c>
      <c r="B907" s="8" t="s">
        <v>378</v>
      </c>
      <c r="C907" s="8" t="s">
        <v>8665</v>
      </c>
      <c r="D907" s="8" t="s">
        <v>123</v>
      </c>
      <c r="E907" s="8" t="s">
        <v>55</v>
      </c>
      <c r="F907" s="8" t="s">
        <v>326</v>
      </c>
      <c r="G907" s="8" t="s">
        <v>133</v>
      </c>
      <c r="H907" s="8" t="s">
        <v>8666</v>
      </c>
      <c r="I907" s="8" t="s">
        <v>8866</v>
      </c>
      <c r="J907" s="8" t="s">
        <v>140</v>
      </c>
      <c r="K907" s="8" t="s">
        <v>8664</v>
      </c>
      <c r="L907" s="8"/>
      <c r="M907" s="8"/>
      <c r="N907" s="8" t="n">
        <v>25</v>
      </c>
      <c r="O907" s="8" t="n">
        <v>564</v>
      </c>
      <c r="P907" s="8" t="s">
        <v>120</v>
      </c>
    </row>
    <row r="908" customFormat="false" ht="15" hidden="false" customHeight="false" outlineLevel="0" collapsed="false">
      <c r="A908" s="8" t="s">
        <v>3054</v>
      </c>
      <c r="B908" s="8" t="s">
        <v>3055</v>
      </c>
      <c r="C908" s="8" t="s">
        <v>8669</v>
      </c>
      <c r="D908" s="8" t="s">
        <v>123</v>
      </c>
      <c r="E908" s="8" t="s">
        <v>51</v>
      </c>
      <c r="F908" s="8" t="s">
        <v>2027</v>
      </c>
      <c r="G908" s="8" t="s">
        <v>151</v>
      </c>
      <c r="H908" s="8" t="s">
        <v>8666</v>
      </c>
      <c r="I908" s="8" t="s">
        <v>9504</v>
      </c>
      <c r="J908" s="8" t="s">
        <v>159</v>
      </c>
      <c r="K908" s="8" t="s">
        <v>8664</v>
      </c>
      <c r="L908" s="8"/>
      <c r="M908" s="8"/>
      <c r="N908" s="8" t="n">
        <v>12</v>
      </c>
      <c r="O908" s="8" t="n">
        <v>18</v>
      </c>
      <c r="P908" s="8" t="s">
        <v>120</v>
      </c>
    </row>
    <row r="909" customFormat="false" ht="15" hidden="false" customHeight="false" outlineLevel="0" collapsed="false">
      <c r="A909" s="8" t="s">
        <v>4030</v>
      </c>
      <c r="B909" s="8" t="s">
        <v>4031</v>
      </c>
      <c r="C909" s="8" t="s">
        <v>8661</v>
      </c>
      <c r="D909" s="8" t="s">
        <v>128</v>
      </c>
      <c r="E909" s="8" t="s">
        <v>51</v>
      </c>
      <c r="F909" s="8" t="s">
        <v>2027</v>
      </c>
      <c r="G909" s="8" t="s">
        <v>143</v>
      </c>
      <c r="H909" s="8" t="s">
        <v>8675</v>
      </c>
      <c r="I909" s="8" t="s">
        <v>9387</v>
      </c>
      <c r="J909" s="8" t="s">
        <v>180</v>
      </c>
      <c r="K909" s="8" t="s">
        <v>8664</v>
      </c>
      <c r="L909" s="8"/>
      <c r="M909" s="8"/>
      <c r="N909" s="8" t="n">
        <v>12</v>
      </c>
      <c r="O909" s="8" t="n">
        <v>11</v>
      </c>
      <c r="P909" s="8" t="s">
        <v>120</v>
      </c>
    </row>
    <row r="910" customFormat="false" ht="15" hidden="false" customHeight="false" outlineLevel="0" collapsed="false">
      <c r="A910" s="8" t="s">
        <v>4528</v>
      </c>
      <c r="B910" s="8" t="s">
        <v>9591</v>
      </c>
      <c r="C910" s="8" t="s">
        <v>8678</v>
      </c>
      <c r="D910" s="8" t="s">
        <v>132</v>
      </c>
      <c r="E910" s="8" t="s">
        <v>51</v>
      </c>
      <c r="F910" s="8" t="s">
        <v>2027</v>
      </c>
      <c r="G910" s="8" t="s">
        <v>133</v>
      </c>
      <c r="H910" s="8" t="s">
        <v>8662</v>
      </c>
      <c r="I910" s="8" t="s">
        <v>9592</v>
      </c>
      <c r="J910" s="8"/>
      <c r="K910" s="8" t="s">
        <v>8690</v>
      </c>
      <c r="L910" s="8" t="s">
        <v>9111</v>
      </c>
      <c r="M910" s="8" t="s">
        <v>8692</v>
      </c>
      <c r="N910" s="8" t="n">
        <v>12</v>
      </c>
      <c r="O910" s="8" t="n">
        <v>25</v>
      </c>
      <c r="P910" s="8" t="s">
        <v>120</v>
      </c>
    </row>
    <row r="911" customFormat="false" ht="15" hidden="false" customHeight="false" outlineLevel="0" collapsed="false">
      <c r="A911" s="8" t="s">
        <v>3404</v>
      </c>
      <c r="B911" s="8" t="s">
        <v>3405</v>
      </c>
      <c r="C911" s="8" t="s">
        <v>8661</v>
      </c>
      <c r="D911" s="8" t="s">
        <v>132</v>
      </c>
      <c r="E911" s="8" t="s">
        <v>51</v>
      </c>
      <c r="F911" s="8" t="s">
        <v>2027</v>
      </c>
      <c r="G911" s="8" t="s">
        <v>133</v>
      </c>
      <c r="H911" s="8" t="s">
        <v>8666</v>
      </c>
      <c r="I911" s="8" t="s">
        <v>8834</v>
      </c>
      <c r="J911" s="8" t="s">
        <v>159</v>
      </c>
      <c r="K911" s="8" t="s">
        <v>8664</v>
      </c>
      <c r="L911" s="8"/>
      <c r="M911" s="8"/>
      <c r="N911" s="8" t="n">
        <v>12</v>
      </c>
      <c r="O911" s="8" t="n">
        <v>29</v>
      </c>
      <c r="P911" s="8" t="s">
        <v>120</v>
      </c>
    </row>
    <row r="912" customFormat="false" ht="15" hidden="false" customHeight="false" outlineLevel="0" collapsed="false">
      <c r="A912" s="8" t="s">
        <v>1117</v>
      </c>
      <c r="B912" s="8" t="s">
        <v>1118</v>
      </c>
      <c r="C912" s="8" t="s">
        <v>8680</v>
      </c>
      <c r="D912" s="8" t="s">
        <v>132</v>
      </c>
      <c r="E912" s="8" t="s">
        <v>53</v>
      </c>
      <c r="F912" s="8" t="s">
        <v>326</v>
      </c>
      <c r="G912" s="8" t="s">
        <v>118</v>
      </c>
      <c r="H912" s="8" t="s">
        <v>8675</v>
      </c>
      <c r="I912" s="8" t="s">
        <v>8802</v>
      </c>
      <c r="J912" s="8" t="s">
        <v>119</v>
      </c>
      <c r="K912" s="8" t="s">
        <v>8664</v>
      </c>
      <c r="L912" s="8"/>
      <c r="M912" s="8"/>
      <c r="N912" s="8" t="n">
        <v>25</v>
      </c>
      <c r="O912" s="8" t="n">
        <v>147</v>
      </c>
      <c r="P912" s="8" t="s">
        <v>120</v>
      </c>
    </row>
    <row r="913" customFormat="false" ht="15" hidden="false" customHeight="false" outlineLevel="0" collapsed="false">
      <c r="A913" s="8" t="s">
        <v>445</v>
      </c>
      <c r="B913" s="8" t="s">
        <v>446</v>
      </c>
      <c r="C913" s="8" t="s">
        <v>8665</v>
      </c>
      <c r="D913" s="8" t="s">
        <v>117</v>
      </c>
      <c r="E913" s="8" t="s">
        <v>55</v>
      </c>
      <c r="F913" s="8" t="s">
        <v>326</v>
      </c>
      <c r="G913" s="8" t="s">
        <v>118</v>
      </c>
      <c r="H913" s="8" t="s">
        <v>8670</v>
      </c>
      <c r="I913" s="8" t="s">
        <v>9558</v>
      </c>
      <c r="J913" s="8" t="s">
        <v>185</v>
      </c>
      <c r="K913" s="8" t="s">
        <v>8664</v>
      </c>
      <c r="L913" s="8"/>
      <c r="M913" s="8"/>
      <c r="N913" s="8" t="n">
        <v>25</v>
      </c>
      <c r="O913" s="8" t="n">
        <v>479</v>
      </c>
      <c r="P913" s="8" t="s">
        <v>120</v>
      </c>
    </row>
    <row r="914" customFormat="false" ht="15" hidden="false" customHeight="false" outlineLevel="0" collapsed="false">
      <c r="A914" s="8" t="s">
        <v>4100</v>
      </c>
      <c r="B914" s="8" t="s">
        <v>4101</v>
      </c>
      <c r="C914" s="8" t="s">
        <v>8680</v>
      </c>
      <c r="D914" s="8" t="s">
        <v>117</v>
      </c>
      <c r="E914" s="8" t="s">
        <v>51</v>
      </c>
      <c r="F914" s="8" t="s">
        <v>2027</v>
      </c>
      <c r="G914" s="8" t="s">
        <v>154</v>
      </c>
      <c r="H914" s="8" t="s">
        <v>8675</v>
      </c>
      <c r="I914" s="8" t="s">
        <v>8784</v>
      </c>
      <c r="J914" s="8" t="s">
        <v>144</v>
      </c>
      <c r="K914" s="8" t="s">
        <v>8664</v>
      </c>
      <c r="L914" s="8"/>
      <c r="M914" s="8"/>
      <c r="N914" s="8" t="n">
        <v>12</v>
      </c>
      <c r="O914" s="8" t="n">
        <v>10</v>
      </c>
      <c r="P914" s="8" t="s">
        <v>120</v>
      </c>
    </row>
    <row r="915" customFormat="false" ht="15" hidden="false" customHeight="false" outlineLevel="0" collapsed="false">
      <c r="A915" s="8" t="s">
        <v>601</v>
      </c>
      <c r="B915" s="8" t="s">
        <v>602</v>
      </c>
      <c r="C915" s="8" t="s">
        <v>8665</v>
      </c>
      <c r="D915" s="8" t="s">
        <v>128</v>
      </c>
      <c r="E915" s="8" t="s">
        <v>53</v>
      </c>
      <c r="F915" s="8" t="s">
        <v>55</v>
      </c>
      <c r="G915" s="8" t="s">
        <v>133</v>
      </c>
      <c r="H915" s="8" t="s">
        <v>8670</v>
      </c>
      <c r="I915" s="8" t="s">
        <v>9593</v>
      </c>
      <c r="J915" s="8" t="s">
        <v>144</v>
      </c>
      <c r="K915" s="8" t="s">
        <v>8664</v>
      </c>
      <c r="L915" s="8"/>
      <c r="M915" s="8"/>
      <c r="N915" s="8" t="n">
        <v>45</v>
      </c>
      <c r="O915" s="8" t="n">
        <v>171</v>
      </c>
      <c r="P915" s="8" t="s">
        <v>120</v>
      </c>
    </row>
    <row r="916" customFormat="false" ht="15" hidden="false" customHeight="false" outlineLevel="0" collapsed="false">
      <c r="A916" s="8" t="s">
        <v>3876</v>
      </c>
      <c r="B916" s="8" t="s">
        <v>3877</v>
      </c>
      <c r="C916" s="8" t="s">
        <v>8665</v>
      </c>
      <c r="D916" s="8" t="s">
        <v>123</v>
      </c>
      <c r="E916" s="8" t="s">
        <v>51</v>
      </c>
      <c r="F916" s="8" t="s">
        <v>2027</v>
      </c>
      <c r="G916" s="8" t="s">
        <v>124</v>
      </c>
      <c r="H916" s="8" t="s">
        <v>8675</v>
      </c>
      <c r="I916" s="8" t="s">
        <v>9594</v>
      </c>
      <c r="J916" s="8" t="s">
        <v>119</v>
      </c>
      <c r="K916" s="8" t="s">
        <v>8664</v>
      </c>
      <c r="L916" s="8"/>
      <c r="M916" s="8"/>
      <c r="N916" s="8" t="n">
        <v>12</v>
      </c>
      <c r="O916" s="8" t="n">
        <v>14</v>
      </c>
      <c r="P916" s="8" t="s">
        <v>120</v>
      </c>
    </row>
    <row r="917" customFormat="false" ht="15" hidden="false" customHeight="false" outlineLevel="0" collapsed="false">
      <c r="A917" s="8" t="s">
        <v>3056</v>
      </c>
      <c r="B917" s="8" t="s">
        <v>3057</v>
      </c>
      <c r="C917" s="8" t="s">
        <v>8669</v>
      </c>
      <c r="D917" s="8" t="s">
        <v>132</v>
      </c>
      <c r="E917" s="8" t="s">
        <v>51</v>
      </c>
      <c r="F917" s="8" t="s">
        <v>2027</v>
      </c>
      <c r="G917" s="8" t="s">
        <v>124</v>
      </c>
      <c r="H917" s="8" t="s">
        <v>8670</v>
      </c>
      <c r="I917" s="8" t="s">
        <v>9595</v>
      </c>
      <c r="J917" s="8" t="s">
        <v>180</v>
      </c>
      <c r="K917" s="8" t="s">
        <v>8664</v>
      </c>
      <c r="L917" s="8"/>
      <c r="M917" s="8"/>
      <c r="N917" s="8" t="n">
        <v>12</v>
      </c>
      <c r="O917" s="8" t="n">
        <v>29</v>
      </c>
      <c r="P917" s="8" t="s">
        <v>199</v>
      </c>
    </row>
    <row r="918" customFormat="false" ht="15" hidden="false" customHeight="false" outlineLevel="0" collapsed="false">
      <c r="A918" s="8" t="s">
        <v>1357</v>
      </c>
      <c r="B918" s="8" t="s">
        <v>1358</v>
      </c>
      <c r="C918" s="8" t="s">
        <v>8674</v>
      </c>
      <c r="D918" s="8" t="s">
        <v>132</v>
      </c>
      <c r="E918" s="8" t="s">
        <v>53</v>
      </c>
      <c r="F918" s="8" t="s">
        <v>326</v>
      </c>
      <c r="G918" s="8" t="s">
        <v>136</v>
      </c>
      <c r="H918" s="8" t="s">
        <v>8670</v>
      </c>
      <c r="I918" s="8" t="s">
        <v>9596</v>
      </c>
      <c r="J918" s="8" t="s">
        <v>147</v>
      </c>
      <c r="K918" s="8" t="s">
        <v>8664</v>
      </c>
      <c r="L918" s="8"/>
      <c r="M918" s="8"/>
      <c r="N918" s="8" t="n">
        <v>25</v>
      </c>
      <c r="O918" s="8" t="n">
        <v>114</v>
      </c>
      <c r="P918" s="8" t="s">
        <v>120</v>
      </c>
    </row>
    <row r="919" customFormat="false" ht="15" hidden="false" customHeight="false" outlineLevel="0" collapsed="false">
      <c r="A919" s="8" t="s">
        <v>160</v>
      </c>
      <c r="B919" s="8" t="s">
        <v>161</v>
      </c>
      <c r="C919" s="8" t="s">
        <v>8661</v>
      </c>
      <c r="D919" s="8" t="s">
        <v>132</v>
      </c>
      <c r="E919" s="8" t="s">
        <v>55</v>
      </c>
      <c r="F919" s="8" t="s">
        <v>55</v>
      </c>
      <c r="G919" s="8" t="s">
        <v>154</v>
      </c>
      <c r="H919" s="8" t="s">
        <v>8666</v>
      </c>
      <c r="I919" s="8" t="s">
        <v>8684</v>
      </c>
      <c r="J919" s="8" t="s">
        <v>137</v>
      </c>
      <c r="K919" s="8" t="s">
        <v>8664</v>
      </c>
      <c r="L919" s="8"/>
      <c r="M919" s="8"/>
      <c r="N919" s="8" t="n">
        <v>45</v>
      </c>
      <c r="O919" s="8" t="n">
        <v>382</v>
      </c>
      <c r="P919" s="8" t="s">
        <v>120</v>
      </c>
    </row>
    <row r="920" customFormat="false" ht="15" hidden="false" customHeight="false" outlineLevel="0" collapsed="false">
      <c r="A920" s="8" t="s">
        <v>4102</v>
      </c>
      <c r="B920" s="8" t="s">
        <v>4103</v>
      </c>
      <c r="C920" s="8" t="s">
        <v>8680</v>
      </c>
      <c r="D920" s="8" t="s">
        <v>117</v>
      </c>
      <c r="E920" s="8" t="s">
        <v>51</v>
      </c>
      <c r="F920" s="8" t="s">
        <v>2027</v>
      </c>
      <c r="G920" s="8" t="s">
        <v>190</v>
      </c>
      <c r="H920" s="8" t="s">
        <v>8662</v>
      </c>
      <c r="I920" s="8" t="s">
        <v>9533</v>
      </c>
      <c r="J920" s="8" t="s">
        <v>119</v>
      </c>
      <c r="K920" s="8" t="s">
        <v>8664</v>
      </c>
      <c r="L920" s="8"/>
      <c r="M920" s="8"/>
      <c r="N920" s="8" t="n">
        <v>12</v>
      </c>
      <c r="O920" s="8" t="n">
        <v>10</v>
      </c>
      <c r="P920" s="8" t="s">
        <v>120</v>
      </c>
    </row>
    <row r="921" customFormat="false" ht="15" hidden="false" customHeight="false" outlineLevel="0" collapsed="false">
      <c r="A921" s="8" t="s">
        <v>3752</v>
      </c>
      <c r="B921" s="8" t="s">
        <v>3753</v>
      </c>
      <c r="C921" s="8" t="s">
        <v>8700</v>
      </c>
      <c r="D921" s="8" t="s">
        <v>132</v>
      </c>
      <c r="E921" s="8" t="s">
        <v>51</v>
      </c>
      <c r="F921" s="8" t="s">
        <v>2027</v>
      </c>
      <c r="G921" s="8" t="s">
        <v>124</v>
      </c>
      <c r="H921" s="8" t="s">
        <v>8670</v>
      </c>
      <c r="I921" s="8" t="s">
        <v>9597</v>
      </c>
      <c r="J921" s="8" t="s">
        <v>144</v>
      </c>
      <c r="K921" s="8" t="s">
        <v>8664</v>
      </c>
      <c r="L921" s="8"/>
      <c r="M921" s="8"/>
      <c r="N921" s="8" t="n">
        <v>12</v>
      </c>
      <c r="O921" s="8" t="n">
        <v>16</v>
      </c>
      <c r="P921" s="8" t="s">
        <v>120</v>
      </c>
    </row>
    <row r="922" customFormat="false" ht="15" hidden="false" customHeight="false" outlineLevel="0" collapsed="false">
      <c r="A922" s="8" t="s">
        <v>2602</v>
      </c>
      <c r="B922" s="8" t="s">
        <v>2603</v>
      </c>
      <c r="C922" s="8" t="s">
        <v>8674</v>
      </c>
      <c r="D922" s="8" t="s">
        <v>128</v>
      </c>
      <c r="E922" s="8" t="s">
        <v>51</v>
      </c>
      <c r="F922" s="8" t="s">
        <v>2027</v>
      </c>
      <c r="G922" s="8" t="s">
        <v>133</v>
      </c>
      <c r="H922" s="8" t="s">
        <v>8675</v>
      </c>
      <c r="I922" s="8" t="s">
        <v>9598</v>
      </c>
      <c r="J922" s="8" t="s">
        <v>119</v>
      </c>
      <c r="K922" s="8" t="s">
        <v>8664</v>
      </c>
      <c r="L922" s="8"/>
      <c r="M922" s="8"/>
      <c r="N922" s="8" t="n">
        <v>12</v>
      </c>
      <c r="O922" s="8" t="n">
        <v>36</v>
      </c>
      <c r="P922" s="8" t="s">
        <v>120</v>
      </c>
    </row>
    <row r="923" customFormat="false" ht="15" hidden="false" customHeight="false" outlineLevel="0" collapsed="false">
      <c r="A923" s="8" t="s">
        <v>3710</v>
      </c>
      <c r="B923" s="8" t="s">
        <v>3711</v>
      </c>
      <c r="C923" s="8" t="s">
        <v>8678</v>
      </c>
      <c r="D923" s="8" t="s">
        <v>123</v>
      </c>
      <c r="E923" s="8" t="s">
        <v>51</v>
      </c>
      <c r="F923" s="8" t="s">
        <v>2027</v>
      </c>
      <c r="G923" s="8" t="s">
        <v>124</v>
      </c>
      <c r="H923" s="8" t="s">
        <v>8666</v>
      </c>
      <c r="I923" s="8" t="s">
        <v>9599</v>
      </c>
      <c r="J923" s="8" t="s">
        <v>147</v>
      </c>
      <c r="K923" s="8" t="s">
        <v>8664</v>
      </c>
      <c r="L923" s="8"/>
      <c r="M923" s="8"/>
      <c r="N923" s="8" t="n">
        <v>12</v>
      </c>
      <c r="O923" s="8" t="n">
        <v>17</v>
      </c>
      <c r="P923" s="8" t="s">
        <v>120</v>
      </c>
    </row>
    <row r="924" customFormat="false" ht="15" hidden="false" customHeight="false" outlineLevel="0" collapsed="false">
      <c r="A924" s="8" t="s">
        <v>3878</v>
      </c>
      <c r="B924" s="8" t="s">
        <v>3879</v>
      </c>
      <c r="C924" s="8" t="s">
        <v>8661</v>
      </c>
      <c r="D924" s="8" t="s">
        <v>123</v>
      </c>
      <c r="E924" s="8" t="s">
        <v>51</v>
      </c>
      <c r="F924" s="8" t="s">
        <v>2027</v>
      </c>
      <c r="G924" s="8" t="s">
        <v>118</v>
      </c>
      <c r="H924" s="8" t="s">
        <v>8666</v>
      </c>
      <c r="I924" s="8" t="s">
        <v>8856</v>
      </c>
      <c r="J924" s="8" t="s">
        <v>180</v>
      </c>
      <c r="K924" s="8" t="s">
        <v>8664</v>
      </c>
      <c r="L924" s="8"/>
      <c r="M924" s="8"/>
      <c r="N924" s="8" t="n">
        <v>12</v>
      </c>
      <c r="O924" s="8" t="n">
        <v>14</v>
      </c>
      <c r="P924" s="8" t="s">
        <v>120</v>
      </c>
    </row>
    <row r="925" customFormat="false" ht="15" hidden="false" customHeight="false" outlineLevel="0" collapsed="false">
      <c r="A925" s="8" t="s">
        <v>1419</v>
      </c>
      <c r="B925" s="8" t="s">
        <v>1420</v>
      </c>
      <c r="C925" s="8" t="s">
        <v>8700</v>
      </c>
      <c r="D925" s="8" t="s">
        <v>117</v>
      </c>
      <c r="E925" s="8" t="s">
        <v>53</v>
      </c>
      <c r="F925" s="8" t="s">
        <v>326</v>
      </c>
      <c r="G925" s="8" t="s">
        <v>124</v>
      </c>
      <c r="H925" s="8" t="s">
        <v>8675</v>
      </c>
      <c r="I925" s="8" t="s">
        <v>9600</v>
      </c>
      <c r="J925" s="8" t="s">
        <v>185</v>
      </c>
      <c r="K925" s="8" t="s">
        <v>8664</v>
      </c>
      <c r="L925" s="8"/>
      <c r="M925" s="8"/>
      <c r="N925" s="8" t="n">
        <v>25</v>
      </c>
      <c r="O925" s="8" t="n">
        <v>82</v>
      </c>
      <c r="P925" s="8" t="s">
        <v>120</v>
      </c>
    </row>
    <row r="926" customFormat="false" ht="15" hidden="false" customHeight="false" outlineLevel="0" collapsed="false">
      <c r="A926" s="8" t="s">
        <v>4170</v>
      </c>
      <c r="B926" s="8" t="s">
        <v>4171</v>
      </c>
      <c r="C926" s="8" t="s">
        <v>8678</v>
      </c>
      <c r="D926" s="8" t="s">
        <v>123</v>
      </c>
      <c r="E926" s="8" t="s">
        <v>51</v>
      </c>
      <c r="F926" s="8" t="s">
        <v>2027</v>
      </c>
      <c r="G926" s="8" t="s">
        <v>133</v>
      </c>
      <c r="H926" s="8" t="s">
        <v>8666</v>
      </c>
      <c r="I926" s="8" t="s">
        <v>8737</v>
      </c>
      <c r="J926" s="8" t="s">
        <v>137</v>
      </c>
      <c r="K926" s="8" t="s">
        <v>8664</v>
      </c>
      <c r="L926" s="8"/>
      <c r="M926" s="8"/>
      <c r="N926" s="8" t="n">
        <v>12</v>
      </c>
      <c r="O926" s="8" t="n">
        <v>6</v>
      </c>
      <c r="P926" s="8" t="s">
        <v>120</v>
      </c>
    </row>
    <row r="927" customFormat="false" ht="15" hidden="false" customHeight="false" outlineLevel="0" collapsed="false">
      <c r="A927" s="8" t="s">
        <v>361</v>
      </c>
      <c r="B927" s="8" t="s">
        <v>362</v>
      </c>
      <c r="C927" s="8" t="s">
        <v>8661</v>
      </c>
      <c r="D927" s="8" t="s">
        <v>132</v>
      </c>
      <c r="E927" s="8" t="s">
        <v>55</v>
      </c>
      <c r="F927" s="8" t="s">
        <v>55</v>
      </c>
      <c r="G927" s="8" t="s">
        <v>118</v>
      </c>
      <c r="H927" s="8" t="s">
        <v>8675</v>
      </c>
      <c r="I927" s="8" t="s">
        <v>9601</v>
      </c>
      <c r="J927" s="8" t="s">
        <v>185</v>
      </c>
      <c r="K927" s="8" t="s">
        <v>8664</v>
      </c>
      <c r="L927" s="8"/>
      <c r="M927" s="8"/>
      <c r="N927" s="8" t="n">
        <v>45</v>
      </c>
      <c r="O927" s="8" t="n">
        <v>328</v>
      </c>
      <c r="P927" s="8" t="s">
        <v>120</v>
      </c>
    </row>
    <row r="928" customFormat="false" ht="15" hidden="false" customHeight="false" outlineLevel="0" collapsed="false">
      <c r="A928" s="8" t="s">
        <v>4308</v>
      </c>
      <c r="B928" s="8" t="s">
        <v>4309</v>
      </c>
      <c r="C928" s="8" t="s">
        <v>8669</v>
      </c>
      <c r="D928" s="8" t="s">
        <v>123</v>
      </c>
      <c r="E928" s="8" t="s">
        <v>51</v>
      </c>
      <c r="F928" s="8" t="s">
        <v>2027</v>
      </c>
      <c r="G928" s="8" t="s">
        <v>151</v>
      </c>
      <c r="H928" s="8" t="s">
        <v>8670</v>
      </c>
      <c r="I928" s="8" t="s">
        <v>8877</v>
      </c>
      <c r="J928" s="8" t="s">
        <v>119</v>
      </c>
      <c r="K928" s="8" t="s">
        <v>8664</v>
      </c>
      <c r="L928" s="8"/>
      <c r="M928" s="8"/>
      <c r="N928" s="8" t="n">
        <v>12</v>
      </c>
      <c r="O928" s="8" t="n">
        <v>6</v>
      </c>
      <c r="P928" s="8" t="s">
        <v>120</v>
      </c>
    </row>
    <row r="929" customFormat="false" ht="15" hidden="false" customHeight="false" outlineLevel="0" collapsed="false">
      <c r="A929" s="8" t="s">
        <v>3880</v>
      </c>
      <c r="B929" s="8" t="s">
        <v>3881</v>
      </c>
      <c r="C929" s="8" t="s">
        <v>8669</v>
      </c>
      <c r="D929" s="8" t="s">
        <v>132</v>
      </c>
      <c r="E929" s="8" t="s">
        <v>51</v>
      </c>
      <c r="F929" s="8" t="s">
        <v>2027</v>
      </c>
      <c r="G929" s="8" t="s">
        <v>133</v>
      </c>
      <c r="H929" s="8" t="s">
        <v>8670</v>
      </c>
      <c r="I929" s="8" t="s">
        <v>9602</v>
      </c>
      <c r="J929" s="8" t="s">
        <v>119</v>
      </c>
      <c r="K929" s="8" t="s">
        <v>8664</v>
      </c>
      <c r="L929" s="8"/>
      <c r="M929" s="8"/>
      <c r="N929" s="8" t="n">
        <v>12</v>
      </c>
      <c r="O929" s="8" t="n">
        <v>14</v>
      </c>
      <c r="P929" s="8" t="s">
        <v>120</v>
      </c>
    </row>
    <row r="930" customFormat="false" ht="15" hidden="false" customHeight="false" outlineLevel="0" collapsed="false">
      <c r="A930" s="8" t="s">
        <v>2098</v>
      </c>
      <c r="B930" s="8" t="s">
        <v>2099</v>
      </c>
      <c r="C930" s="8" t="s">
        <v>8669</v>
      </c>
      <c r="D930" s="8" t="s">
        <v>123</v>
      </c>
      <c r="E930" s="8" t="s">
        <v>51</v>
      </c>
      <c r="F930" s="8" t="s">
        <v>326</v>
      </c>
      <c r="G930" s="8" t="s">
        <v>136</v>
      </c>
      <c r="H930" s="8" t="s">
        <v>8675</v>
      </c>
      <c r="I930" s="8" t="s">
        <v>9400</v>
      </c>
      <c r="J930" s="8" t="s">
        <v>144</v>
      </c>
      <c r="K930" s="8" t="s">
        <v>8664</v>
      </c>
      <c r="L930" s="8"/>
      <c r="M930" s="8"/>
      <c r="N930" s="8" t="n">
        <v>25</v>
      </c>
      <c r="O930" s="8" t="n">
        <v>28</v>
      </c>
      <c r="P930" s="8" t="s">
        <v>120</v>
      </c>
    </row>
    <row r="931" customFormat="false" ht="15" hidden="false" customHeight="false" outlineLevel="0" collapsed="false">
      <c r="A931" s="8" t="s">
        <v>4543</v>
      </c>
      <c r="B931" s="8" t="s">
        <v>9603</v>
      </c>
      <c r="C931" s="8" t="s">
        <v>8688</v>
      </c>
      <c r="D931" s="8" t="s">
        <v>123</v>
      </c>
      <c r="E931" s="8" t="s">
        <v>51</v>
      </c>
      <c r="F931" s="8" t="s">
        <v>2027</v>
      </c>
      <c r="G931" s="8" t="s">
        <v>190</v>
      </c>
      <c r="H931" s="8" t="s">
        <v>8675</v>
      </c>
      <c r="I931" s="8" t="s">
        <v>9604</v>
      </c>
      <c r="J931" s="8"/>
      <c r="K931" s="8" t="s">
        <v>8690</v>
      </c>
      <c r="L931" s="8" t="s">
        <v>9605</v>
      </c>
      <c r="M931" s="8" t="s">
        <v>8795</v>
      </c>
      <c r="N931" s="8" t="n">
        <v>12</v>
      </c>
      <c r="O931" s="8" t="n">
        <v>23</v>
      </c>
      <c r="P931" s="8" t="s">
        <v>120</v>
      </c>
    </row>
    <row r="932" customFormat="false" ht="15" hidden="false" customHeight="false" outlineLevel="0" collapsed="false">
      <c r="A932" s="8" t="s">
        <v>2742</v>
      </c>
      <c r="B932" s="8" t="s">
        <v>2743</v>
      </c>
      <c r="C932" s="8" t="s">
        <v>8665</v>
      </c>
      <c r="D932" s="8" t="s">
        <v>132</v>
      </c>
      <c r="E932" s="8" t="s">
        <v>51</v>
      </c>
      <c r="F932" s="8" t="s">
        <v>2027</v>
      </c>
      <c r="G932" s="8" t="s">
        <v>124</v>
      </c>
      <c r="H932" s="8" t="s">
        <v>8666</v>
      </c>
      <c r="I932" s="8" t="s">
        <v>9470</v>
      </c>
      <c r="J932" s="8" t="s">
        <v>159</v>
      </c>
      <c r="K932" s="8" t="s">
        <v>8664</v>
      </c>
      <c r="L932" s="8"/>
      <c r="M932" s="8"/>
      <c r="N932" s="8" t="n">
        <v>12</v>
      </c>
      <c r="O932" s="8" t="n">
        <v>34</v>
      </c>
      <c r="P932" s="8" t="s">
        <v>120</v>
      </c>
    </row>
    <row r="933" customFormat="false" ht="15" hidden="false" customHeight="false" outlineLevel="0" collapsed="false">
      <c r="A933" s="8" t="s">
        <v>4104</v>
      </c>
      <c r="B933" s="8" t="s">
        <v>4105</v>
      </c>
      <c r="C933" s="8" t="s">
        <v>8661</v>
      </c>
      <c r="D933" s="8" t="s">
        <v>117</v>
      </c>
      <c r="E933" s="8" t="s">
        <v>51</v>
      </c>
      <c r="F933" s="8" t="s">
        <v>2027</v>
      </c>
      <c r="G933" s="8" t="s">
        <v>118</v>
      </c>
      <c r="H933" s="8" t="s">
        <v>8662</v>
      </c>
      <c r="I933" s="8" t="s">
        <v>9476</v>
      </c>
      <c r="J933" s="8" t="s">
        <v>119</v>
      </c>
      <c r="K933" s="8" t="s">
        <v>8664</v>
      </c>
      <c r="L933" s="8"/>
      <c r="M933" s="8"/>
      <c r="N933" s="8" t="n">
        <v>12</v>
      </c>
      <c r="O933" s="8" t="n">
        <v>10</v>
      </c>
      <c r="P933" s="8" t="s">
        <v>120</v>
      </c>
    </row>
    <row r="934" customFormat="false" ht="15" hidden="false" customHeight="false" outlineLevel="0" collapsed="false">
      <c r="A934" s="8" t="s">
        <v>4497</v>
      </c>
      <c r="B934" s="8" t="s">
        <v>9606</v>
      </c>
      <c r="C934" s="8" t="s">
        <v>8665</v>
      </c>
      <c r="D934" s="8" t="s">
        <v>123</v>
      </c>
      <c r="E934" s="8" t="s">
        <v>51</v>
      </c>
      <c r="F934" s="8" t="s">
        <v>326</v>
      </c>
      <c r="G934" s="8" t="s">
        <v>154</v>
      </c>
      <c r="H934" s="8" t="s">
        <v>8675</v>
      </c>
      <c r="I934" s="8" t="s">
        <v>9004</v>
      </c>
      <c r="J934" s="8"/>
      <c r="K934" s="8" t="s">
        <v>8690</v>
      </c>
      <c r="L934" s="8" t="s">
        <v>9463</v>
      </c>
      <c r="M934" s="8" t="s">
        <v>8795</v>
      </c>
      <c r="N934" s="8" t="n">
        <v>25</v>
      </c>
      <c r="O934" s="8" t="n">
        <v>21</v>
      </c>
      <c r="P934" s="8" t="s">
        <v>120</v>
      </c>
    </row>
    <row r="935" customFormat="false" ht="15" hidden="false" customHeight="false" outlineLevel="0" collapsed="false">
      <c r="A935" s="8" t="s">
        <v>3804</v>
      </c>
      <c r="B935" s="8" t="s">
        <v>3805</v>
      </c>
      <c r="C935" s="8" t="s">
        <v>8661</v>
      </c>
      <c r="D935" s="8" t="s">
        <v>123</v>
      </c>
      <c r="E935" s="8" t="s">
        <v>51</v>
      </c>
      <c r="F935" s="8" t="s">
        <v>2027</v>
      </c>
      <c r="G935" s="8" t="s">
        <v>154</v>
      </c>
      <c r="H935" s="8" t="s">
        <v>8662</v>
      </c>
      <c r="I935" s="8" t="s">
        <v>8851</v>
      </c>
      <c r="J935" s="8" t="s">
        <v>177</v>
      </c>
      <c r="K935" s="8" t="s">
        <v>8664</v>
      </c>
      <c r="L935" s="8"/>
      <c r="M935" s="8"/>
      <c r="N935" s="8" t="n">
        <v>12</v>
      </c>
      <c r="O935" s="8" t="n">
        <v>15</v>
      </c>
      <c r="P935" s="8" t="s">
        <v>120</v>
      </c>
    </row>
    <row r="936" customFormat="false" ht="15" hidden="false" customHeight="false" outlineLevel="0" collapsed="false">
      <c r="A936" s="8" t="s">
        <v>2508</v>
      </c>
      <c r="B936" s="8" t="s">
        <v>2509</v>
      </c>
      <c r="C936" s="8" t="s">
        <v>8661</v>
      </c>
      <c r="D936" s="8" t="s">
        <v>123</v>
      </c>
      <c r="E936" s="8" t="s">
        <v>51</v>
      </c>
      <c r="F936" s="8" t="s">
        <v>2027</v>
      </c>
      <c r="G936" s="8" t="s">
        <v>190</v>
      </c>
      <c r="H936" s="8" t="s">
        <v>8666</v>
      </c>
      <c r="I936" s="8" t="s">
        <v>9607</v>
      </c>
      <c r="J936" s="8" t="s">
        <v>147</v>
      </c>
      <c r="K936" s="8" t="s">
        <v>8664</v>
      </c>
      <c r="L936" s="8"/>
      <c r="M936" s="8"/>
      <c r="N936" s="8" t="n">
        <v>12</v>
      </c>
      <c r="O936" s="8" t="n">
        <v>38</v>
      </c>
      <c r="P936" s="8" t="s">
        <v>120</v>
      </c>
    </row>
    <row r="937" customFormat="false" ht="15" hidden="false" customHeight="false" outlineLevel="0" collapsed="false">
      <c r="A937" s="8" t="s">
        <v>9608</v>
      </c>
      <c r="B937" s="8" t="s">
        <v>9609</v>
      </c>
      <c r="C937" s="8" t="s">
        <v>8661</v>
      </c>
      <c r="D937" s="8" t="s">
        <v>117</v>
      </c>
      <c r="E937" s="8" t="s">
        <v>51</v>
      </c>
      <c r="F937" s="8" t="s">
        <v>2027</v>
      </c>
      <c r="G937" s="8" t="s">
        <v>223</v>
      </c>
      <c r="H937" s="8" t="s">
        <v>8666</v>
      </c>
      <c r="I937" s="8" t="s">
        <v>9039</v>
      </c>
      <c r="J937" s="8"/>
      <c r="K937" s="8" t="s">
        <v>8690</v>
      </c>
      <c r="L937" s="8" t="s">
        <v>9610</v>
      </c>
      <c r="M937" s="8" t="s">
        <v>8705</v>
      </c>
      <c r="N937" s="8" t="n">
        <v>12</v>
      </c>
      <c r="O937" s="8" t="n">
        <v>15</v>
      </c>
      <c r="P937" s="8" t="s">
        <v>120</v>
      </c>
    </row>
    <row r="938" customFormat="false" ht="15" hidden="false" customHeight="false" outlineLevel="0" collapsed="false">
      <c r="A938" s="8" t="s">
        <v>2744</v>
      </c>
      <c r="B938" s="8" t="s">
        <v>2745</v>
      </c>
      <c r="C938" s="8" t="s">
        <v>8661</v>
      </c>
      <c r="D938" s="8" t="s">
        <v>123</v>
      </c>
      <c r="E938" s="8" t="s">
        <v>51</v>
      </c>
      <c r="F938" s="8" t="s">
        <v>2027</v>
      </c>
      <c r="G938" s="8" t="s">
        <v>166</v>
      </c>
      <c r="H938" s="8" t="s">
        <v>8675</v>
      </c>
      <c r="I938" s="8" t="s">
        <v>8897</v>
      </c>
      <c r="J938" s="8" t="s">
        <v>129</v>
      </c>
      <c r="K938" s="8" t="s">
        <v>8664</v>
      </c>
      <c r="L938" s="8"/>
      <c r="M938" s="8"/>
      <c r="N938" s="8" t="n">
        <v>12</v>
      </c>
      <c r="O938" s="8" t="n">
        <v>34</v>
      </c>
      <c r="P938" s="8" t="s">
        <v>120</v>
      </c>
    </row>
    <row r="939" customFormat="false" ht="15" hidden="false" customHeight="false" outlineLevel="0" collapsed="false">
      <c r="A939" s="8" t="s">
        <v>4272</v>
      </c>
      <c r="B939" s="8" t="s">
        <v>4273</v>
      </c>
      <c r="C939" s="8" t="s">
        <v>8680</v>
      </c>
      <c r="D939" s="8" t="s">
        <v>117</v>
      </c>
      <c r="E939" s="8" t="s">
        <v>51</v>
      </c>
      <c r="F939" s="8" t="s">
        <v>2027</v>
      </c>
      <c r="G939" s="8" t="s">
        <v>118</v>
      </c>
      <c r="H939" s="8" t="s">
        <v>8662</v>
      </c>
      <c r="I939" s="8" t="s">
        <v>8793</v>
      </c>
      <c r="J939" s="8" t="s">
        <v>137</v>
      </c>
      <c r="K939" s="8" t="s">
        <v>8664</v>
      </c>
      <c r="L939" s="8"/>
      <c r="M939" s="8"/>
      <c r="N939" s="8" t="n">
        <v>12</v>
      </c>
      <c r="O939" s="8" t="n">
        <v>11</v>
      </c>
      <c r="P939" s="8" t="s">
        <v>120</v>
      </c>
    </row>
    <row r="940" customFormat="false" ht="15" hidden="false" customHeight="false" outlineLevel="0" collapsed="false">
      <c r="A940" s="8" t="s">
        <v>1925</v>
      </c>
      <c r="B940" s="8" t="s">
        <v>1926</v>
      </c>
      <c r="C940" s="8" t="s">
        <v>8661</v>
      </c>
      <c r="D940" s="8" t="s">
        <v>123</v>
      </c>
      <c r="E940" s="8" t="s">
        <v>51</v>
      </c>
      <c r="F940" s="8" t="s">
        <v>326</v>
      </c>
      <c r="G940" s="8" t="s">
        <v>118</v>
      </c>
      <c r="H940" s="8" t="s">
        <v>8670</v>
      </c>
      <c r="I940" s="8" t="s">
        <v>9533</v>
      </c>
      <c r="J940" s="8" t="s">
        <v>119</v>
      </c>
      <c r="K940" s="8" t="s">
        <v>8664</v>
      </c>
      <c r="L940" s="8"/>
      <c r="M940" s="8"/>
      <c r="N940" s="8" t="n">
        <v>25</v>
      </c>
      <c r="O940" s="8" t="n">
        <v>35</v>
      </c>
      <c r="P940" s="8" t="s">
        <v>120</v>
      </c>
    </row>
    <row r="941" customFormat="false" ht="15" hidden="false" customHeight="false" outlineLevel="0" collapsed="false">
      <c r="A941" s="8" t="s">
        <v>2822</v>
      </c>
      <c r="B941" s="8" t="s">
        <v>2823</v>
      </c>
      <c r="C941" s="8" t="s">
        <v>8678</v>
      </c>
      <c r="D941" s="8" t="s">
        <v>132</v>
      </c>
      <c r="E941" s="8" t="s">
        <v>51</v>
      </c>
      <c r="F941" s="8" t="s">
        <v>2027</v>
      </c>
      <c r="G941" s="8" t="s">
        <v>223</v>
      </c>
      <c r="H941" s="8" t="s">
        <v>8666</v>
      </c>
      <c r="I941" s="8" t="s">
        <v>9611</v>
      </c>
      <c r="J941" s="8" t="s">
        <v>177</v>
      </c>
      <c r="K941" s="8" t="s">
        <v>8664</v>
      </c>
      <c r="L941" s="8"/>
      <c r="M941" s="8"/>
      <c r="N941" s="8" t="n">
        <v>12</v>
      </c>
      <c r="O941" s="8" t="n">
        <v>37</v>
      </c>
      <c r="P941" s="8" t="s">
        <v>120</v>
      </c>
    </row>
    <row r="942" customFormat="false" ht="15" hidden="false" customHeight="false" outlineLevel="0" collapsed="false">
      <c r="A942" s="8" t="s">
        <v>3928</v>
      </c>
      <c r="B942" s="8" t="s">
        <v>3929</v>
      </c>
      <c r="C942" s="8" t="s">
        <v>8688</v>
      </c>
      <c r="D942" s="8" t="s">
        <v>117</v>
      </c>
      <c r="E942" s="8" t="s">
        <v>51</v>
      </c>
      <c r="F942" s="8" t="s">
        <v>2027</v>
      </c>
      <c r="G942" s="8" t="s">
        <v>118</v>
      </c>
      <c r="H942" s="8" t="s">
        <v>8675</v>
      </c>
      <c r="I942" s="8" t="s">
        <v>9116</v>
      </c>
      <c r="J942" s="8" t="s">
        <v>159</v>
      </c>
      <c r="K942" s="8" t="s">
        <v>8664</v>
      </c>
      <c r="L942" s="8"/>
      <c r="M942" s="8"/>
      <c r="N942" s="8" t="n">
        <v>12</v>
      </c>
      <c r="O942" s="8" t="n">
        <v>11</v>
      </c>
      <c r="P942" s="8" t="s">
        <v>120</v>
      </c>
    </row>
    <row r="943" customFormat="false" ht="15" hidden="false" customHeight="false" outlineLevel="0" collapsed="false">
      <c r="A943" s="8" t="s">
        <v>2252</v>
      </c>
      <c r="B943" s="8" t="s">
        <v>2253</v>
      </c>
      <c r="C943" s="8" t="s">
        <v>8669</v>
      </c>
      <c r="D943" s="8" t="s">
        <v>123</v>
      </c>
      <c r="E943" s="8" t="s">
        <v>51</v>
      </c>
      <c r="F943" s="8" t="s">
        <v>326</v>
      </c>
      <c r="G943" s="8" t="s">
        <v>143</v>
      </c>
      <c r="H943" s="8" t="s">
        <v>8670</v>
      </c>
      <c r="I943" s="8" t="s">
        <v>9612</v>
      </c>
      <c r="J943" s="8" t="s">
        <v>119</v>
      </c>
      <c r="K943" s="8" t="s">
        <v>8664</v>
      </c>
      <c r="L943" s="8"/>
      <c r="M943" s="8"/>
      <c r="N943" s="8" t="n">
        <v>25</v>
      </c>
      <c r="O943" s="8" t="n">
        <v>23</v>
      </c>
      <c r="P943" s="8" t="s">
        <v>120</v>
      </c>
    </row>
    <row r="944" customFormat="false" ht="15" hidden="false" customHeight="false" outlineLevel="0" collapsed="false">
      <c r="A944" s="8" t="s">
        <v>4464</v>
      </c>
      <c r="B944" s="8" t="s">
        <v>9613</v>
      </c>
      <c r="C944" s="8" t="s">
        <v>8700</v>
      </c>
      <c r="D944" s="8" t="s">
        <v>123</v>
      </c>
      <c r="E944" s="8" t="s">
        <v>53</v>
      </c>
      <c r="F944" s="8" t="s">
        <v>326</v>
      </c>
      <c r="G944" s="8" t="s">
        <v>166</v>
      </c>
      <c r="H944" s="8" t="s">
        <v>8662</v>
      </c>
      <c r="I944" s="8" t="s">
        <v>9563</v>
      </c>
      <c r="J944" s="8"/>
      <c r="K944" s="8" t="s">
        <v>8690</v>
      </c>
      <c r="L944" s="8" t="s">
        <v>8667</v>
      </c>
      <c r="M944" s="8" t="s">
        <v>8705</v>
      </c>
      <c r="N944" s="8" t="n">
        <v>25</v>
      </c>
      <c r="O944" s="8" t="n">
        <v>98</v>
      </c>
      <c r="P944" s="8" t="s">
        <v>120</v>
      </c>
    </row>
    <row r="945" customFormat="false" ht="15" hidden="false" customHeight="false" outlineLevel="0" collapsed="false">
      <c r="A945" s="8" t="s">
        <v>2510</v>
      </c>
      <c r="B945" s="8" t="s">
        <v>2511</v>
      </c>
      <c r="C945" s="8" t="s">
        <v>8688</v>
      </c>
      <c r="D945" s="8" t="s">
        <v>123</v>
      </c>
      <c r="E945" s="8" t="s">
        <v>51</v>
      </c>
      <c r="F945" s="8" t="s">
        <v>2027</v>
      </c>
      <c r="G945" s="8" t="s">
        <v>133</v>
      </c>
      <c r="H945" s="8" t="s">
        <v>8666</v>
      </c>
      <c r="I945" s="8" t="s">
        <v>9614</v>
      </c>
      <c r="J945" s="8" t="s">
        <v>129</v>
      </c>
      <c r="K945" s="8" t="s">
        <v>8664</v>
      </c>
      <c r="L945" s="8"/>
      <c r="M945" s="8"/>
      <c r="N945" s="8" t="n">
        <v>12</v>
      </c>
      <c r="O945" s="8" t="n">
        <v>38</v>
      </c>
      <c r="P945" s="8" t="s">
        <v>120</v>
      </c>
    </row>
    <row r="946" customFormat="false" ht="15" hidden="false" customHeight="false" outlineLevel="0" collapsed="false">
      <c r="A946" s="8" t="s">
        <v>1709</v>
      </c>
      <c r="B946" s="8" t="s">
        <v>1710</v>
      </c>
      <c r="C946" s="8" t="s">
        <v>8674</v>
      </c>
      <c r="D946" s="8" t="s">
        <v>132</v>
      </c>
      <c r="E946" s="8" t="s">
        <v>53</v>
      </c>
      <c r="F946" s="8" t="s">
        <v>326</v>
      </c>
      <c r="G946" s="8" t="s">
        <v>190</v>
      </c>
      <c r="H946" s="8" t="s">
        <v>8675</v>
      </c>
      <c r="I946" s="8" t="s">
        <v>9455</v>
      </c>
      <c r="J946" s="8" t="s">
        <v>159</v>
      </c>
      <c r="K946" s="8" t="s">
        <v>8664</v>
      </c>
      <c r="L946" s="8"/>
      <c r="M946" s="8"/>
      <c r="N946" s="8" t="n">
        <v>25</v>
      </c>
      <c r="O946" s="8" t="n">
        <v>53</v>
      </c>
      <c r="P946" s="8" t="s">
        <v>120</v>
      </c>
    </row>
    <row r="947" customFormat="false" ht="15" hidden="false" customHeight="false" outlineLevel="0" collapsed="false">
      <c r="A947" s="8" t="s">
        <v>4516</v>
      </c>
      <c r="B947" s="8" t="s">
        <v>9615</v>
      </c>
      <c r="C947" s="8" t="s">
        <v>8674</v>
      </c>
      <c r="D947" s="8" t="s">
        <v>123</v>
      </c>
      <c r="E947" s="8" t="s">
        <v>51</v>
      </c>
      <c r="F947" s="8" t="s">
        <v>2027</v>
      </c>
      <c r="G947" s="8" t="s">
        <v>154</v>
      </c>
      <c r="H947" s="8" t="s">
        <v>8666</v>
      </c>
      <c r="I947" s="8" t="s">
        <v>9566</v>
      </c>
      <c r="J947" s="8"/>
      <c r="K947" s="8" t="s">
        <v>8690</v>
      </c>
      <c r="L947" s="8" t="s">
        <v>8719</v>
      </c>
      <c r="M947" s="8" t="s">
        <v>8692</v>
      </c>
      <c r="N947" s="8" t="n">
        <v>12</v>
      </c>
      <c r="O947" s="8" t="n">
        <v>34</v>
      </c>
      <c r="P947" s="8" t="s">
        <v>120</v>
      </c>
    </row>
    <row r="948" customFormat="false" ht="15" hidden="false" customHeight="false" outlineLevel="0" collapsed="false">
      <c r="A948" s="8" t="s">
        <v>2124</v>
      </c>
      <c r="B948" s="8" t="s">
        <v>2125</v>
      </c>
      <c r="C948" s="8" t="s">
        <v>8665</v>
      </c>
      <c r="D948" s="8" t="s">
        <v>123</v>
      </c>
      <c r="E948" s="8" t="s">
        <v>51</v>
      </c>
      <c r="F948" s="8" t="s">
        <v>326</v>
      </c>
      <c r="G948" s="8" t="s">
        <v>154</v>
      </c>
      <c r="H948" s="8" t="s">
        <v>8670</v>
      </c>
      <c r="I948" s="8" t="s">
        <v>9181</v>
      </c>
      <c r="J948" s="8" t="s">
        <v>180</v>
      </c>
      <c r="K948" s="8" t="s">
        <v>8664</v>
      </c>
      <c r="L948" s="8"/>
      <c r="M948" s="8"/>
      <c r="N948" s="8" t="n">
        <v>25</v>
      </c>
      <c r="O948" s="8" t="n">
        <v>27</v>
      </c>
      <c r="P948" s="8" t="s">
        <v>120</v>
      </c>
    </row>
    <row r="949" customFormat="false" ht="15" hidden="false" customHeight="false" outlineLevel="0" collapsed="false">
      <c r="A949" s="8" t="s">
        <v>413</v>
      </c>
      <c r="B949" s="8" t="s">
        <v>414</v>
      </c>
      <c r="C949" s="8" t="s">
        <v>8678</v>
      </c>
      <c r="D949" s="8" t="s">
        <v>123</v>
      </c>
      <c r="E949" s="8" t="s">
        <v>55</v>
      </c>
      <c r="F949" s="8" t="s">
        <v>55</v>
      </c>
      <c r="G949" s="8" t="s">
        <v>136</v>
      </c>
      <c r="H949" s="8" t="s">
        <v>8662</v>
      </c>
      <c r="I949" s="8" t="s">
        <v>9183</v>
      </c>
      <c r="J949" s="8" t="s">
        <v>137</v>
      </c>
      <c r="K949" s="8" t="s">
        <v>8664</v>
      </c>
      <c r="L949" s="8"/>
      <c r="M949" s="8"/>
      <c r="N949" s="8" t="n">
        <v>45</v>
      </c>
      <c r="O949" s="8" t="n">
        <v>292</v>
      </c>
      <c r="P949" s="8" t="s">
        <v>120</v>
      </c>
    </row>
    <row r="950" customFormat="false" ht="15" hidden="false" customHeight="false" outlineLevel="0" collapsed="false">
      <c r="A950" s="8" t="s">
        <v>1955</v>
      </c>
      <c r="B950" s="8" t="s">
        <v>1956</v>
      </c>
      <c r="C950" s="8" t="s">
        <v>8665</v>
      </c>
      <c r="D950" s="8" t="s">
        <v>123</v>
      </c>
      <c r="E950" s="8" t="s">
        <v>53</v>
      </c>
      <c r="F950" s="8" t="s">
        <v>326</v>
      </c>
      <c r="G950" s="8" t="s">
        <v>124</v>
      </c>
      <c r="H950" s="8" t="s">
        <v>8666</v>
      </c>
      <c r="I950" s="8" t="s">
        <v>9133</v>
      </c>
      <c r="J950" s="8" t="s">
        <v>180</v>
      </c>
      <c r="K950" s="8" t="s">
        <v>8664</v>
      </c>
      <c r="L950" s="8"/>
      <c r="M950" s="8"/>
      <c r="N950" s="8" t="n">
        <v>25</v>
      </c>
      <c r="O950" s="8" t="n">
        <v>45</v>
      </c>
      <c r="P950" s="8" t="s">
        <v>120</v>
      </c>
    </row>
    <row r="951" customFormat="false" ht="15" hidden="false" customHeight="false" outlineLevel="0" collapsed="false">
      <c r="A951" s="8" t="s">
        <v>3610</v>
      </c>
      <c r="B951" s="8" t="s">
        <v>3611</v>
      </c>
      <c r="C951" s="8" t="s">
        <v>8688</v>
      </c>
      <c r="D951" s="8" t="s">
        <v>117</v>
      </c>
      <c r="E951" s="8" t="s">
        <v>51</v>
      </c>
      <c r="F951" s="8" t="s">
        <v>2027</v>
      </c>
      <c r="G951" s="8" t="s">
        <v>136</v>
      </c>
      <c r="H951" s="8" t="s">
        <v>8670</v>
      </c>
      <c r="I951" s="8" t="s">
        <v>9429</v>
      </c>
      <c r="J951" s="8" t="s">
        <v>180</v>
      </c>
      <c r="K951" s="8" t="s">
        <v>8664</v>
      </c>
      <c r="L951" s="8"/>
      <c r="M951" s="8"/>
      <c r="N951" s="8" t="n">
        <v>12</v>
      </c>
      <c r="O951" s="8" t="n">
        <v>19</v>
      </c>
      <c r="P951" s="8" t="s">
        <v>120</v>
      </c>
    </row>
    <row r="952" customFormat="false" ht="15" hidden="false" customHeight="false" outlineLevel="0" collapsed="false">
      <c r="A952" s="8" t="s">
        <v>3712</v>
      </c>
      <c r="B952" s="8" t="s">
        <v>3713</v>
      </c>
      <c r="C952" s="8" t="s">
        <v>8661</v>
      </c>
      <c r="D952" s="8" t="s">
        <v>123</v>
      </c>
      <c r="E952" s="8" t="s">
        <v>51</v>
      </c>
      <c r="F952" s="8" t="s">
        <v>2027</v>
      </c>
      <c r="G952" s="8" t="s">
        <v>190</v>
      </c>
      <c r="H952" s="8" t="s">
        <v>8675</v>
      </c>
      <c r="I952" s="8" t="s">
        <v>9616</v>
      </c>
      <c r="J952" s="8" t="s">
        <v>185</v>
      </c>
      <c r="K952" s="8" t="s">
        <v>8664</v>
      </c>
      <c r="L952" s="8"/>
      <c r="M952" s="8"/>
      <c r="N952" s="8" t="n">
        <v>12</v>
      </c>
      <c r="O952" s="8" t="n">
        <v>15</v>
      </c>
      <c r="P952" s="8" t="s">
        <v>120</v>
      </c>
    </row>
    <row r="953" customFormat="false" ht="15" hidden="false" customHeight="false" outlineLevel="0" collapsed="false">
      <c r="A953" s="8" t="s">
        <v>1439</v>
      </c>
      <c r="B953" s="8" t="s">
        <v>1440</v>
      </c>
      <c r="C953" s="8" t="s">
        <v>8678</v>
      </c>
      <c r="D953" s="8" t="s">
        <v>132</v>
      </c>
      <c r="E953" s="8" t="s">
        <v>53</v>
      </c>
      <c r="F953" s="8" t="s">
        <v>326</v>
      </c>
      <c r="G953" s="8" t="s">
        <v>136</v>
      </c>
      <c r="H953" s="8" t="s">
        <v>8666</v>
      </c>
      <c r="I953" s="8" t="s">
        <v>9617</v>
      </c>
      <c r="J953" s="8" t="s">
        <v>119</v>
      </c>
      <c r="K953" s="8" t="s">
        <v>8664</v>
      </c>
      <c r="L953" s="8"/>
      <c r="M953" s="8"/>
      <c r="N953" s="8" t="n">
        <v>25</v>
      </c>
      <c r="O953" s="8" t="n">
        <v>97</v>
      </c>
      <c r="P953" s="8" t="s">
        <v>120</v>
      </c>
    </row>
    <row r="954" customFormat="false" ht="15" hidden="false" customHeight="false" outlineLevel="0" collapsed="false">
      <c r="A954" s="8" t="s">
        <v>9618</v>
      </c>
      <c r="B954" s="8" t="s">
        <v>9619</v>
      </c>
      <c r="C954" s="8" t="s">
        <v>8661</v>
      </c>
      <c r="D954" s="8" t="s">
        <v>123</v>
      </c>
      <c r="E954" s="8" t="s">
        <v>53</v>
      </c>
      <c r="F954" s="8" t="s">
        <v>55</v>
      </c>
      <c r="G954" s="8" t="s">
        <v>154</v>
      </c>
      <c r="H954" s="8" t="s">
        <v>8662</v>
      </c>
      <c r="I954" s="8" t="s">
        <v>9282</v>
      </c>
      <c r="J954" s="8"/>
      <c r="K954" s="8" t="s">
        <v>8690</v>
      </c>
      <c r="L954" s="8" t="s">
        <v>9620</v>
      </c>
      <c r="M954" s="8" t="s">
        <v>8692</v>
      </c>
      <c r="N954" s="8" t="n">
        <v>45</v>
      </c>
      <c r="O954" s="8" t="n">
        <v>152</v>
      </c>
      <c r="P954" s="8" t="s">
        <v>148</v>
      </c>
    </row>
    <row r="955" customFormat="false" ht="15" hidden="false" customHeight="false" outlineLevel="0" collapsed="false">
      <c r="A955" s="8" t="s">
        <v>873</v>
      </c>
      <c r="B955" s="8" t="s">
        <v>874</v>
      </c>
      <c r="C955" s="8" t="s">
        <v>8688</v>
      </c>
      <c r="D955" s="8" t="s">
        <v>123</v>
      </c>
      <c r="E955" s="8" t="s">
        <v>53</v>
      </c>
      <c r="F955" s="8" t="s">
        <v>326</v>
      </c>
      <c r="G955" s="8" t="s">
        <v>143</v>
      </c>
      <c r="H955" s="8" t="s">
        <v>8666</v>
      </c>
      <c r="I955" s="8" t="s">
        <v>9621</v>
      </c>
      <c r="J955" s="8" t="s">
        <v>129</v>
      </c>
      <c r="K955" s="8" t="s">
        <v>8664</v>
      </c>
      <c r="L955" s="8"/>
      <c r="M955" s="8"/>
      <c r="N955" s="8" t="n">
        <v>25</v>
      </c>
      <c r="O955" s="8" t="n">
        <v>146</v>
      </c>
      <c r="P955" s="8" t="s">
        <v>120</v>
      </c>
    </row>
    <row r="956" customFormat="false" ht="15" hidden="false" customHeight="false" outlineLevel="0" collapsed="false">
      <c r="A956" s="8" t="s">
        <v>3270</v>
      </c>
      <c r="B956" s="8" t="s">
        <v>3271</v>
      </c>
      <c r="C956" s="8" t="s">
        <v>8700</v>
      </c>
      <c r="D956" s="8" t="s">
        <v>132</v>
      </c>
      <c r="E956" s="8" t="s">
        <v>51</v>
      </c>
      <c r="F956" s="8" t="s">
        <v>2027</v>
      </c>
      <c r="G956" s="8" t="s">
        <v>151</v>
      </c>
      <c r="H956" s="8" t="s">
        <v>8675</v>
      </c>
      <c r="I956" s="8" t="s">
        <v>9062</v>
      </c>
      <c r="J956" s="8" t="s">
        <v>147</v>
      </c>
      <c r="K956" s="8" t="s">
        <v>8664</v>
      </c>
      <c r="L956" s="8"/>
      <c r="M956" s="8"/>
      <c r="N956" s="8" t="n">
        <v>12</v>
      </c>
      <c r="O956" s="8" t="n">
        <v>25</v>
      </c>
      <c r="P956" s="8" t="s">
        <v>120</v>
      </c>
    </row>
    <row r="957" customFormat="false" ht="15" hidden="false" customHeight="false" outlineLevel="0" collapsed="false">
      <c r="A957" s="8" t="s">
        <v>3472</v>
      </c>
      <c r="B957" s="8" t="s">
        <v>3473</v>
      </c>
      <c r="C957" s="8" t="s">
        <v>8669</v>
      </c>
      <c r="D957" s="8" t="s">
        <v>123</v>
      </c>
      <c r="E957" s="8" t="s">
        <v>51</v>
      </c>
      <c r="F957" s="8" t="s">
        <v>2027</v>
      </c>
      <c r="G957" s="8" t="s">
        <v>133</v>
      </c>
      <c r="H957" s="8" t="s">
        <v>8670</v>
      </c>
      <c r="I957" s="8" t="s">
        <v>9004</v>
      </c>
      <c r="J957" s="8" t="s">
        <v>129</v>
      </c>
      <c r="K957" s="8" t="s">
        <v>8664</v>
      </c>
      <c r="L957" s="8"/>
      <c r="M957" s="8"/>
      <c r="N957" s="8" t="n">
        <v>12</v>
      </c>
      <c r="O957" s="8" t="n">
        <v>19</v>
      </c>
      <c r="P957" s="8" t="s">
        <v>120</v>
      </c>
    </row>
    <row r="958" customFormat="false" ht="15" hidden="false" customHeight="false" outlineLevel="0" collapsed="false">
      <c r="A958" s="8" t="s">
        <v>1477</v>
      </c>
      <c r="B958" s="8" t="s">
        <v>1478</v>
      </c>
      <c r="C958" s="8" t="s">
        <v>8674</v>
      </c>
      <c r="D958" s="8" t="s">
        <v>123</v>
      </c>
      <c r="E958" s="8" t="s">
        <v>53</v>
      </c>
      <c r="F958" s="8" t="s">
        <v>326</v>
      </c>
      <c r="G958" s="8" t="s">
        <v>133</v>
      </c>
      <c r="H958" s="8" t="s">
        <v>8662</v>
      </c>
      <c r="I958" s="8" t="s">
        <v>8759</v>
      </c>
      <c r="J958" s="8" t="s">
        <v>137</v>
      </c>
      <c r="K958" s="8" t="s">
        <v>8664</v>
      </c>
      <c r="L958" s="8"/>
      <c r="M958" s="8"/>
      <c r="N958" s="8" t="n">
        <v>25</v>
      </c>
      <c r="O958" s="8" t="n">
        <v>93</v>
      </c>
      <c r="P958" s="8" t="s">
        <v>120</v>
      </c>
    </row>
    <row r="959" customFormat="false" ht="15" hidden="false" customHeight="false" outlineLevel="0" collapsed="false">
      <c r="A959" s="8" t="s">
        <v>3558</v>
      </c>
      <c r="B959" s="8" t="s">
        <v>3559</v>
      </c>
      <c r="C959" s="8" t="s">
        <v>8665</v>
      </c>
      <c r="D959" s="8" t="s">
        <v>132</v>
      </c>
      <c r="E959" s="8" t="s">
        <v>51</v>
      </c>
      <c r="F959" s="8" t="s">
        <v>2027</v>
      </c>
      <c r="G959" s="8" t="s">
        <v>223</v>
      </c>
      <c r="H959" s="8" t="s">
        <v>8670</v>
      </c>
      <c r="I959" s="8" t="s">
        <v>8803</v>
      </c>
      <c r="J959" s="8" t="s">
        <v>147</v>
      </c>
      <c r="K959" s="8" t="s">
        <v>8664</v>
      </c>
      <c r="L959" s="8"/>
      <c r="M959" s="8"/>
      <c r="N959" s="8" t="n">
        <v>12</v>
      </c>
      <c r="O959" s="8" t="n">
        <v>20</v>
      </c>
      <c r="P959" s="8" t="s">
        <v>148</v>
      </c>
    </row>
    <row r="960" customFormat="false" ht="15" hidden="false" customHeight="false" outlineLevel="0" collapsed="false">
      <c r="A960" s="8" t="s">
        <v>409</v>
      </c>
      <c r="B960" s="8" t="s">
        <v>410</v>
      </c>
      <c r="C960" s="8" t="s">
        <v>8674</v>
      </c>
      <c r="D960" s="8" t="s">
        <v>132</v>
      </c>
      <c r="E960" s="8" t="s">
        <v>55</v>
      </c>
      <c r="F960" s="8" t="s">
        <v>55</v>
      </c>
      <c r="G960" s="8" t="s">
        <v>223</v>
      </c>
      <c r="H960" s="8" t="s">
        <v>8675</v>
      </c>
      <c r="I960" s="8" t="s">
        <v>9131</v>
      </c>
      <c r="J960" s="8" t="s">
        <v>144</v>
      </c>
      <c r="K960" s="8" t="s">
        <v>8664</v>
      </c>
      <c r="L960" s="8"/>
      <c r="M960" s="8"/>
      <c r="N960" s="8" t="n">
        <v>45</v>
      </c>
      <c r="O960" s="8" t="n">
        <v>293</v>
      </c>
      <c r="P960" s="8" t="s">
        <v>120</v>
      </c>
    </row>
    <row r="961" customFormat="false" ht="15" hidden="false" customHeight="false" outlineLevel="0" collapsed="false">
      <c r="A961" s="8" t="s">
        <v>1111</v>
      </c>
      <c r="B961" s="8" t="s">
        <v>1112</v>
      </c>
      <c r="C961" s="8" t="s">
        <v>8700</v>
      </c>
      <c r="D961" s="8" t="s">
        <v>132</v>
      </c>
      <c r="E961" s="8" t="s">
        <v>53</v>
      </c>
      <c r="F961" s="8" t="s">
        <v>55</v>
      </c>
      <c r="G961" s="8" t="s">
        <v>143</v>
      </c>
      <c r="H961" s="8" t="s">
        <v>8670</v>
      </c>
      <c r="I961" s="8" t="s">
        <v>9622</v>
      </c>
      <c r="J961" s="8" t="s">
        <v>125</v>
      </c>
      <c r="K961" s="8" t="s">
        <v>8664</v>
      </c>
      <c r="L961" s="8"/>
      <c r="M961" s="8"/>
      <c r="N961" s="8" t="n">
        <v>45</v>
      </c>
      <c r="O961" s="8" t="n">
        <v>82</v>
      </c>
      <c r="P961" s="8" t="s">
        <v>120</v>
      </c>
    </row>
    <row r="962" customFormat="false" ht="15" hidden="false" customHeight="false" outlineLevel="0" collapsed="false">
      <c r="A962" s="8" t="s">
        <v>1119</v>
      </c>
      <c r="B962" s="8" t="s">
        <v>1120</v>
      </c>
      <c r="C962" s="8" t="s">
        <v>8678</v>
      </c>
      <c r="D962" s="8" t="s">
        <v>117</v>
      </c>
      <c r="E962" s="8" t="s">
        <v>53</v>
      </c>
      <c r="F962" s="8" t="s">
        <v>326</v>
      </c>
      <c r="G962" s="8" t="s">
        <v>154</v>
      </c>
      <c r="H962" s="8" t="s">
        <v>8670</v>
      </c>
      <c r="I962" s="8" t="s">
        <v>9623</v>
      </c>
      <c r="J962" s="8" t="s">
        <v>125</v>
      </c>
      <c r="K962" s="8" t="s">
        <v>8664</v>
      </c>
      <c r="L962" s="8"/>
      <c r="M962" s="8"/>
      <c r="N962" s="8" t="n">
        <v>25</v>
      </c>
      <c r="O962" s="8" t="n">
        <v>147</v>
      </c>
      <c r="P962" s="8" t="s">
        <v>120</v>
      </c>
    </row>
    <row r="963" customFormat="false" ht="15" hidden="false" customHeight="false" outlineLevel="0" collapsed="false">
      <c r="A963" s="8" t="s">
        <v>1447</v>
      </c>
      <c r="B963" s="8" t="s">
        <v>1448</v>
      </c>
      <c r="C963" s="8" t="s">
        <v>8688</v>
      </c>
      <c r="D963" s="8" t="s">
        <v>123</v>
      </c>
      <c r="E963" s="8" t="s">
        <v>53</v>
      </c>
      <c r="F963" s="8" t="s">
        <v>326</v>
      </c>
      <c r="G963" s="8" t="s">
        <v>166</v>
      </c>
      <c r="H963" s="8" t="s">
        <v>8670</v>
      </c>
      <c r="I963" s="8" t="s">
        <v>9132</v>
      </c>
      <c r="J963" s="8" t="s">
        <v>185</v>
      </c>
      <c r="K963" s="8" t="s">
        <v>8664</v>
      </c>
      <c r="L963" s="8"/>
      <c r="M963" s="8"/>
      <c r="N963" s="8" t="n">
        <v>25</v>
      </c>
      <c r="O963" s="8" t="n">
        <v>96</v>
      </c>
      <c r="P963" s="8" t="s">
        <v>120</v>
      </c>
    </row>
    <row r="964" customFormat="false" ht="15" hidden="false" customHeight="false" outlineLevel="0" collapsed="false">
      <c r="A964" s="8" t="s">
        <v>1079</v>
      </c>
      <c r="B964" s="8" t="s">
        <v>1080</v>
      </c>
      <c r="C964" s="8" t="s">
        <v>8700</v>
      </c>
      <c r="D964" s="8" t="s">
        <v>117</v>
      </c>
      <c r="E964" s="8" t="s">
        <v>53</v>
      </c>
      <c r="F964" s="8" t="s">
        <v>326</v>
      </c>
      <c r="G964" s="8" t="s">
        <v>154</v>
      </c>
      <c r="H964" s="8" t="s">
        <v>8675</v>
      </c>
      <c r="I964" s="8" t="s">
        <v>9624</v>
      </c>
      <c r="J964" s="8" t="s">
        <v>185</v>
      </c>
      <c r="K964" s="8" t="s">
        <v>8664</v>
      </c>
      <c r="L964" s="8"/>
      <c r="M964" s="8"/>
      <c r="N964" s="8" t="n">
        <v>25</v>
      </c>
      <c r="O964" s="8" t="n">
        <v>152</v>
      </c>
      <c r="P964" s="8" t="s">
        <v>120</v>
      </c>
    </row>
    <row r="965" customFormat="false" ht="15" hidden="false" customHeight="false" outlineLevel="0" collapsed="false">
      <c r="A965" s="8" t="s">
        <v>3532</v>
      </c>
      <c r="B965" s="8" t="s">
        <v>3533</v>
      </c>
      <c r="C965" s="8" t="s">
        <v>8688</v>
      </c>
      <c r="D965" s="8" t="s">
        <v>123</v>
      </c>
      <c r="E965" s="8" t="s">
        <v>51</v>
      </c>
      <c r="F965" s="8" t="s">
        <v>326</v>
      </c>
      <c r="G965" s="8" t="s">
        <v>190</v>
      </c>
      <c r="H965" s="8" t="s">
        <v>8662</v>
      </c>
      <c r="I965" s="8" t="s">
        <v>8914</v>
      </c>
      <c r="J965" s="8" t="s">
        <v>159</v>
      </c>
      <c r="K965" s="8" t="s">
        <v>8664</v>
      </c>
      <c r="L965" s="8"/>
      <c r="M965" s="8"/>
      <c r="N965" s="8" t="n">
        <v>25</v>
      </c>
      <c r="O965" s="8" t="n">
        <v>12</v>
      </c>
      <c r="P965" s="8" t="s">
        <v>120</v>
      </c>
    </row>
    <row r="966" customFormat="false" ht="15" hidden="false" customHeight="false" outlineLevel="0" collapsed="false">
      <c r="A966" s="8" t="s">
        <v>3162</v>
      </c>
      <c r="B966" s="8" t="s">
        <v>3163</v>
      </c>
      <c r="C966" s="8" t="s">
        <v>8680</v>
      </c>
      <c r="D966" s="8" t="s">
        <v>123</v>
      </c>
      <c r="E966" s="8" t="s">
        <v>51</v>
      </c>
      <c r="F966" s="8" t="s">
        <v>2027</v>
      </c>
      <c r="G966" s="8" t="s">
        <v>136</v>
      </c>
      <c r="H966" s="8" t="s">
        <v>8670</v>
      </c>
      <c r="I966" s="8" t="s">
        <v>9625</v>
      </c>
      <c r="J966" s="8" t="s">
        <v>125</v>
      </c>
      <c r="K966" s="8" t="s">
        <v>8664</v>
      </c>
      <c r="L966" s="8"/>
      <c r="M966" s="8"/>
      <c r="N966" s="8" t="n">
        <v>12</v>
      </c>
      <c r="O966" s="8" t="n">
        <v>27</v>
      </c>
      <c r="P966" s="8" t="s">
        <v>120</v>
      </c>
    </row>
    <row r="967" customFormat="false" ht="15" hidden="false" customHeight="false" outlineLevel="0" collapsed="false">
      <c r="A967" s="8" t="s">
        <v>1461</v>
      </c>
      <c r="B967" s="8" t="s">
        <v>1462</v>
      </c>
      <c r="C967" s="8" t="s">
        <v>8665</v>
      </c>
      <c r="D967" s="8" t="s">
        <v>132</v>
      </c>
      <c r="E967" s="8" t="s">
        <v>53</v>
      </c>
      <c r="F967" s="8" t="s">
        <v>326</v>
      </c>
      <c r="G967" s="8" t="s">
        <v>136</v>
      </c>
      <c r="H967" s="8" t="s">
        <v>8670</v>
      </c>
      <c r="I967" s="8" t="s">
        <v>9626</v>
      </c>
      <c r="J967" s="8" t="s">
        <v>125</v>
      </c>
      <c r="K967" s="8" t="s">
        <v>8664</v>
      </c>
      <c r="L967" s="8"/>
      <c r="M967" s="8"/>
      <c r="N967" s="8" t="n">
        <v>25</v>
      </c>
      <c r="O967" s="8" t="n">
        <v>106</v>
      </c>
      <c r="P967" s="8" t="s">
        <v>120</v>
      </c>
    </row>
    <row r="968" customFormat="false" ht="15" hidden="false" customHeight="false" outlineLevel="0" collapsed="false">
      <c r="A968" s="8" t="s">
        <v>391</v>
      </c>
      <c r="B968" s="8" t="s">
        <v>392</v>
      </c>
      <c r="C968" s="8" t="s">
        <v>8688</v>
      </c>
      <c r="D968" s="8" t="s">
        <v>123</v>
      </c>
      <c r="E968" s="8" t="s">
        <v>55</v>
      </c>
      <c r="F968" s="8" t="s">
        <v>55</v>
      </c>
      <c r="G968" s="8" t="s">
        <v>151</v>
      </c>
      <c r="H968" s="8" t="s">
        <v>8662</v>
      </c>
      <c r="I968" s="8" t="s">
        <v>9627</v>
      </c>
      <c r="J968" s="8" t="s">
        <v>180</v>
      </c>
      <c r="K968" s="8" t="s">
        <v>8664</v>
      </c>
      <c r="L968" s="8"/>
      <c r="M968" s="8"/>
      <c r="N968" s="8" t="n">
        <v>45</v>
      </c>
      <c r="O968" s="8" t="n">
        <v>305</v>
      </c>
      <c r="P968" s="8" t="s">
        <v>120</v>
      </c>
    </row>
    <row r="969" customFormat="false" ht="15" hidden="false" customHeight="false" outlineLevel="0" collapsed="false">
      <c r="A969" s="8" t="s">
        <v>3806</v>
      </c>
      <c r="B969" s="8" t="s">
        <v>3807</v>
      </c>
      <c r="C969" s="8" t="s">
        <v>8688</v>
      </c>
      <c r="D969" s="8" t="s">
        <v>123</v>
      </c>
      <c r="E969" s="8" t="s">
        <v>51</v>
      </c>
      <c r="F969" s="8" t="s">
        <v>2027</v>
      </c>
      <c r="G969" s="8" t="s">
        <v>133</v>
      </c>
      <c r="H969" s="8" t="s">
        <v>8675</v>
      </c>
      <c r="I969" s="8" t="s">
        <v>9330</v>
      </c>
      <c r="J969" s="8" t="s">
        <v>180</v>
      </c>
      <c r="K969" s="8" t="s">
        <v>8664</v>
      </c>
      <c r="L969" s="8"/>
      <c r="M969" s="8"/>
      <c r="N969" s="8" t="n">
        <v>12</v>
      </c>
      <c r="O969" s="8" t="n">
        <v>15</v>
      </c>
      <c r="P969" s="8" t="s">
        <v>120</v>
      </c>
    </row>
    <row r="970" customFormat="false" ht="15" hidden="false" customHeight="false" outlineLevel="0" collapsed="false">
      <c r="A970" s="8" t="s">
        <v>9628</v>
      </c>
      <c r="B970" s="8" t="s">
        <v>9629</v>
      </c>
      <c r="C970" s="8" t="s">
        <v>8680</v>
      </c>
      <c r="D970" s="8" t="s">
        <v>123</v>
      </c>
      <c r="E970" s="8" t="s">
        <v>51</v>
      </c>
      <c r="F970" s="8" t="s">
        <v>2027</v>
      </c>
      <c r="G970" s="8" t="s">
        <v>166</v>
      </c>
      <c r="H970" s="8" t="s">
        <v>8666</v>
      </c>
      <c r="I970" s="8" t="s">
        <v>9630</v>
      </c>
      <c r="J970" s="8"/>
      <c r="K970" s="8" t="s">
        <v>8690</v>
      </c>
      <c r="L970" s="8" t="s">
        <v>9631</v>
      </c>
      <c r="M970" s="8" t="s">
        <v>8705</v>
      </c>
      <c r="N970" s="8" t="n">
        <v>12</v>
      </c>
      <c r="O970" s="8" t="n">
        <v>11</v>
      </c>
      <c r="P970" s="8" t="s">
        <v>120</v>
      </c>
    </row>
    <row r="971" customFormat="false" ht="15" hidden="false" customHeight="false" outlineLevel="0" collapsed="false">
      <c r="A971" s="8" t="s">
        <v>1567</v>
      </c>
      <c r="B971" s="8" t="s">
        <v>1568</v>
      </c>
      <c r="C971" s="8" t="s">
        <v>8680</v>
      </c>
      <c r="D971" s="8" t="s">
        <v>123</v>
      </c>
      <c r="E971" s="8" t="s">
        <v>53</v>
      </c>
      <c r="F971" s="8" t="s">
        <v>326</v>
      </c>
      <c r="G971" s="8" t="s">
        <v>223</v>
      </c>
      <c r="H971" s="8" t="s">
        <v>8662</v>
      </c>
      <c r="I971" s="8" t="s">
        <v>9452</v>
      </c>
      <c r="J971" s="8" t="s">
        <v>159</v>
      </c>
      <c r="K971" s="8" t="s">
        <v>8664</v>
      </c>
      <c r="L971" s="8"/>
      <c r="M971" s="8"/>
      <c r="N971" s="8" t="n">
        <v>25</v>
      </c>
      <c r="O971" s="8" t="n">
        <v>88</v>
      </c>
      <c r="P971" s="8" t="s">
        <v>120</v>
      </c>
    </row>
    <row r="972" customFormat="false" ht="15" hidden="false" customHeight="false" outlineLevel="0" collapsed="false">
      <c r="A972" s="8" t="s">
        <v>2746</v>
      </c>
      <c r="B972" s="8" t="s">
        <v>2747</v>
      </c>
      <c r="C972" s="8" t="s">
        <v>8680</v>
      </c>
      <c r="D972" s="8" t="s">
        <v>123</v>
      </c>
      <c r="E972" s="8" t="s">
        <v>51</v>
      </c>
      <c r="F972" s="8" t="s">
        <v>2027</v>
      </c>
      <c r="G972" s="8" t="s">
        <v>190</v>
      </c>
      <c r="H972" s="8" t="s">
        <v>8675</v>
      </c>
      <c r="I972" s="8" t="s">
        <v>9017</v>
      </c>
      <c r="J972" s="8" t="s">
        <v>180</v>
      </c>
      <c r="K972" s="8" t="s">
        <v>8664</v>
      </c>
      <c r="L972" s="8"/>
      <c r="M972" s="8"/>
      <c r="N972" s="8" t="n">
        <v>12</v>
      </c>
      <c r="O972" s="8" t="n">
        <v>34</v>
      </c>
      <c r="P972" s="8" t="s">
        <v>120</v>
      </c>
    </row>
    <row r="973" customFormat="false" ht="15" hidden="false" customHeight="false" outlineLevel="0" collapsed="false">
      <c r="A973" s="8" t="s">
        <v>5845</v>
      </c>
      <c r="B973" s="8" t="s">
        <v>9632</v>
      </c>
      <c r="C973" s="8" t="s">
        <v>8700</v>
      </c>
      <c r="D973" s="8" t="s">
        <v>123</v>
      </c>
      <c r="E973" s="8" t="s">
        <v>51</v>
      </c>
      <c r="F973" s="8" t="s">
        <v>326</v>
      </c>
      <c r="G973" s="8" t="s">
        <v>136</v>
      </c>
      <c r="H973" s="8" t="s">
        <v>8666</v>
      </c>
      <c r="I973" s="8" t="s">
        <v>9633</v>
      </c>
      <c r="J973" s="8"/>
      <c r="K973" s="8" t="s">
        <v>8690</v>
      </c>
      <c r="L973" s="8" t="s">
        <v>9634</v>
      </c>
      <c r="M973" s="8" t="s">
        <v>8705</v>
      </c>
      <c r="N973" s="8" t="n">
        <v>25</v>
      </c>
      <c r="O973" s="8" t="n">
        <v>9</v>
      </c>
      <c r="P973" s="8" t="s">
        <v>120</v>
      </c>
    </row>
    <row r="974" customFormat="false" ht="15" hidden="false" customHeight="false" outlineLevel="0" collapsed="false">
      <c r="A974" s="8" t="s">
        <v>3962</v>
      </c>
      <c r="B974" s="8" t="s">
        <v>3963</v>
      </c>
      <c r="C974" s="8" t="s">
        <v>8688</v>
      </c>
      <c r="D974" s="8" t="s">
        <v>132</v>
      </c>
      <c r="E974" s="8" t="s">
        <v>51</v>
      </c>
      <c r="F974" s="8" t="s">
        <v>326</v>
      </c>
      <c r="G974" s="8" t="s">
        <v>133</v>
      </c>
      <c r="H974" s="8" t="s">
        <v>8666</v>
      </c>
      <c r="I974" s="8" t="s">
        <v>9438</v>
      </c>
      <c r="J974" s="8" t="s">
        <v>180</v>
      </c>
      <c r="K974" s="8" t="s">
        <v>8664</v>
      </c>
      <c r="L974" s="8"/>
      <c r="M974" s="8"/>
      <c r="N974" s="8" t="n">
        <v>25</v>
      </c>
      <c r="O974" s="8" t="n">
        <v>6</v>
      </c>
      <c r="P974" s="8" t="s">
        <v>120</v>
      </c>
    </row>
    <row r="975" customFormat="false" ht="15" hidden="false" customHeight="false" outlineLevel="0" collapsed="false">
      <c r="A975" s="8" t="s">
        <v>2100</v>
      </c>
      <c r="B975" s="8" t="s">
        <v>2101</v>
      </c>
      <c r="C975" s="8" t="s">
        <v>8680</v>
      </c>
      <c r="D975" s="8" t="s">
        <v>123</v>
      </c>
      <c r="E975" s="8" t="s">
        <v>51</v>
      </c>
      <c r="F975" s="8" t="s">
        <v>326</v>
      </c>
      <c r="G975" s="8" t="s">
        <v>133</v>
      </c>
      <c r="H975" s="8" t="s">
        <v>8670</v>
      </c>
      <c r="I975" s="8" t="s">
        <v>9506</v>
      </c>
      <c r="J975" s="8" t="s">
        <v>180</v>
      </c>
      <c r="K975" s="8" t="s">
        <v>8664</v>
      </c>
      <c r="L975" s="8"/>
      <c r="M975" s="8"/>
      <c r="N975" s="8" t="n">
        <v>25</v>
      </c>
      <c r="O975" s="8" t="n">
        <v>24</v>
      </c>
      <c r="P975" s="8" t="s">
        <v>120</v>
      </c>
    </row>
    <row r="976" customFormat="false" ht="15" hidden="false" customHeight="false" outlineLevel="0" collapsed="false">
      <c r="A976" s="8" t="s">
        <v>2990</v>
      </c>
      <c r="B976" s="8" t="s">
        <v>2991</v>
      </c>
      <c r="C976" s="8" t="s">
        <v>8674</v>
      </c>
      <c r="D976" s="8" t="s">
        <v>117</v>
      </c>
      <c r="E976" s="8" t="s">
        <v>51</v>
      </c>
      <c r="F976" s="8" t="s">
        <v>2027</v>
      </c>
      <c r="G976" s="8" t="s">
        <v>136</v>
      </c>
      <c r="H976" s="8" t="s">
        <v>8666</v>
      </c>
      <c r="I976" s="8" t="s">
        <v>9612</v>
      </c>
      <c r="J976" s="8" t="s">
        <v>119</v>
      </c>
      <c r="K976" s="8" t="s">
        <v>8664</v>
      </c>
      <c r="L976" s="8"/>
      <c r="M976" s="8"/>
      <c r="N976" s="8" t="n">
        <v>12</v>
      </c>
      <c r="O976" s="8" t="n">
        <v>28</v>
      </c>
      <c r="P976" s="8" t="s">
        <v>120</v>
      </c>
    </row>
    <row r="977" customFormat="false" ht="15" hidden="false" customHeight="false" outlineLevel="0" collapsed="false">
      <c r="A977" s="8" t="s">
        <v>2512</v>
      </c>
      <c r="B977" s="8" t="s">
        <v>2513</v>
      </c>
      <c r="C977" s="8" t="s">
        <v>8661</v>
      </c>
      <c r="D977" s="8" t="s">
        <v>123</v>
      </c>
      <c r="E977" s="8" t="s">
        <v>51</v>
      </c>
      <c r="F977" s="8" t="s">
        <v>2027</v>
      </c>
      <c r="G977" s="8" t="s">
        <v>124</v>
      </c>
      <c r="H977" s="8" t="s">
        <v>8675</v>
      </c>
      <c r="I977" s="8" t="s">
        <v>8924</v>
      </c>
      <c r="J977" s="8" t="s">
        <v>129</v>
      </c>
      <c r="K977" s="8" t="s">
        <v>8664</v>
      </c>
      <c r="L977" s="8"/>
      <c r="M977" s="8"/>
      <c r="N977" s="8" t="n">
        <v>12</v>
      </c>
      <c r="O977" s="8" t="n">
        <v>33</v>
      </c>
      <c r="P977" s="8" t="s">
        <v>120</v>
      </c>
    </row>
    <row r="978" customFormat="false" ht="15" hidden="false" customHeight="false" outlineLevel="0" collapsed="false">
      <c r="A978" s="8" t="s">
        <v>1665</v>
      </c>
      <c r="B978" s="8" t="s">
        <v>1666</v>
      </c>
      <c r="C978" s="8" t="s">
        <v>8680</v>
      </c>
      <c r="D978" s="8" t="s">
        <v>132</v>
      </c>
      <c r="E978" s="8" t="s">
        <v>53</v>
      </c>
      <c r="F978" s="8" t="s">
        <v>326</v>
      </c>
      <c r="G978" s="8" t="s">
        <v>223</v>
      </c>
      <c r="H978" s="8" t="s">
        <v>8662</v>
      </c>
      <c r="I978" s="8" t="s">
        <v>9094</v>
      </c>
      <c r="J978" s="8" t="s">
        <v>129</v>
      </c>
      <c r="K978" s="8" t="s">
        <v>8664</v>
      </c>
      <c r="L978" s="8"/>
      <c r="M978" s="8"/>
      <c r="N978" s="8" t="n">
        <v>25</v>
      </c>
      <c r="O978" s="8" t="n">
        <v>58</v>
      </c>
      <c r="P978" s="8" t="s">
        <v>120</v>
      </c>
    </row>
    <row r="979" customFormat="false" ht="15" hidden="false" customHeight="false" outlineLevel="0" collapsed="false">
      <c r="A979" s="8" t="s">
        <v>801</v>
      </c>
      <c r="B979" s="8" t="s">
        <v>802</v>
      </c>
      <c r="C979" s="8" t="s">
        <v>8674</v>
      </c>
      <c r="D979" s="8" t="s">
        <v>123</v>
      </c>
      <c r="E979" s="8" t="s">
        <v>53</v>
      </c>
      <c r="F979" s="8" t="s">
        <v>326</v>
      </c>
      <c r="G979" s="8" t="s">
        <v>143</v>
      </c>
      <c r="H979" s="8" t="s">
        <v>8662</v>
      </c>
      <c r="I979" s="8" t="s">
        <v>8812</v>
      </c>
      <c r="J979" s="8" t="s">
        <v>147</v>
      </c>
      <c r="K979" s="8" t="s">
        <v>8664</v>
      </c>
      <c r="L979" s="8"/>
      <c r="M979" s="8"/>
      <c r="N979" s="8" t="n">
        <v>25</v>
      </c>
      <c r="O979" s="8" t="n">
        <v>196</v>
      </c>
      <c r="P979" s="8" t="s">
        <v>120</v>
      </c>
    </row>
    <row r="980" customFormat="false" ht="15" hidden="false" customHeight="false" outlineLevel="0" collapsed="false">
      <c r="A980" s="8" t="s">
        <v>3346</v>
      </c>
      <c r="B980" s="8" t="s">
        <v>3347</v>
      </c>
      <c r="C980" s="8" t="s">
        <v>8678</v>
      </c>
      <c r="D980" s="8" t="s">
        <v>132</v>
      </c>
      <c r="E980" s="8" t="s">
        <v>51</v>
      </c>
      <c r="F980" s="8" t="s">
        <v>2027</v>
      </c>
      <c r="G980" s="8" t="s">
        <v>118</v>
      </c>
      <c r="H980" s="8" t="s">
        <v>8666</v>
      </c>
      <c r="I980" s="8" t="s">
        <v>8716</v>
      </c>
      <c r="J980" s="8" t="s">
        <v>177</v>
      </c>
      <c r="K980" s="8" t="s">
        <v>8664</v>
      </c>
      <c r="L980" s="8"/>
      <c r="M980" s="8"/>
      <c r="N980" s="8" t="n">
        <v>12</v>
      </c>
      <c r="O980" s="8" t="n">
        <v>24</v>
      </c>
      <c r="P980" s="8" t="s">
        <v>120</v>
      </c>
    </row>
    <row r="981" customFormat="false" ht="15" hidden="false" customHeight="false" outlineLevel="0" collapsed="false">
      <c r="A981" s="8" t="s">
        <v>9635</v>
      </c>
      <c r="B981" s="8" t="s">
        <v>9636</v>
      </c>
      <c r="C981" s="8" t="s">
        <v>8665</v>
      </c>
      <c r="D981" s="8" t="s">
        <v>132</v>
      </c>
      <c r="E981" s="8" t="s">
        <v>51</v>
      </c>
      <c r="F981" s="8" t="s">
        <v>2027</v>
      </c>
      <c r="G981" s="8" t="s">
        <v>151</v>
      </c>
      <c r="H981" s="8" t="s">
        <v>8666</v>
      </c>
      <c r="I981" s="8" t="s">
        <v>8820</v>
      </c>
      <c r="J981" s="8"/>
      <c r="K981" s="8" t="s">
        <v>8690</v>
      </c>
      <c r="L981" s="8" t="s">
        <v>9476</v>
      </c>
      <c r="M981" s="8" t="s">
        <v>8795</v>
      </c>
      <c r="N981" s="8" t="n">
        <v>12</v>
      </c>
      <c r="O981" s="8" t="n">
        <v>32</v>
      </c>
      <c r="P981" s="8" t="s">
        <v>120</v>
      </c>
    </row>
    <row r="982" customFormat="false" ht="15" hidden="false" customHeight="false" outlineLevel="0" collapsed="false">
      <c r="A982" s="8" t="s">
        <v>3930</v>
      </c>
      <c r="B982" s="8" t="s">
        <v>3931</v>
      </c>
      <c r="C982" s="8" t="s">
        <v>8688</v>
      </c>
      <c r="D982" s="8" t="s">
        <v>123</v>
      </c>
      <c r="E982" s="8" t="s">
        <v>51</v>
      </c>
      <c r="F982" s="8" t="s">
        <v>2027</v>
      </c>
      <c r="G982" s="8" t="s">
        <v>136</v>
      </c>
      <c r="H982" s="8" t="s">
        <v>8662</v>
      </c>
      <c r="I982" s="8" t="s">
        <v>9637</v>
      </c>
      <c r="J982" s="8" t="s">
        <v>159</v>
      </c>
      <c r="K982" s="8" t="s">
        <v>8664</v>
      </c>
      <c r="L982" s="8"/>
      <c r="M982" s="8"/>
      <c r="N982" s="8" t="n">
        <v>12</v>
      </c>
      <c r="O982" s="8" t="n">
        <v>15</v>
      </c>
      <c r="P982" s="8" t="s">
        <v>120</v>
      </c>
    </row>
    <row r="983" customFormat="false" ht="15" hidden="false" customHeight="false" outlineLevel="0" collapsed="false">
      <c r="A983" s="8" t="s">
        <v>2254</v>
      </c>
      <c r="B983" s="8" t="s">
        <v>2255</v>
      </c>
      <c r="C983" s="8" t="s">
        <v>8678</v>
      </c>
      <c r="D983" s="8" t="s">
        <v>123</v>
      </c>
      <c r="E983" s="8" t="s">
        <v>51</v>
      </c>
      <c r="F983" s="8" t="s">
        <v>326</v>
      </c>
      <c r="G983" s="8" t="s">
        <v>136</v>
      </c>
      <c r="H983" s="8" t="s">
        <v>8670</v>
      </c>
      <c r="I983" s="8" t="s">
        <v>8954</v>
      </c>
      <c r="J983" s="8" t="s">
        <v>119</v>
      </c>
      <c r="K983" s="8" t="s">
        <v>8664</v>
      </c>
      <c r="L983" s="8"/>
      <c r="M983" s="8"/>
      <c r="N983" s="8" t="n">
        <v>25</v>
      </c>
      <c r="O983" s="8" t="n">
        <v>23</v>
      </c>
      <c r="P983" s="8" t="s">
        <v>120</v>
      </c>
    </row>
    <row r="984" customFormat="false" ht="15" hidden="false" customHeight="false" outlineLevel="0" collapsed="false">
      <c r="A984" s="8" t="s">
        <v>3996</v>
      </c>
      <c r="B984" s="8" t="s">
        <v>3997</v>
      </c>
      <c r="C984" s="8" t="s">
        <v>8678</v>
      </c>
      <c r="D984" s="8" t="s">
        <v>128</v>
      </c>
      <c r="E984" s="8" t="s">
        <v>51</v>
      </c>
      <c r="F984" s="8" t="s">
        <v>2027</v>
      </c>
      <c r="G984" s="8" t="s">
        <v>154</v>
      </c>
      <c r="H984" s="8" t="s">
        <v>8670</v>
      </c>
      <c r="I984" s="8" t="s">
        <v>9638</v>
      </c>
      <c r="J984" s="8" t="s">
        <v>119</v>
      </c>
      <c r="K984" s="8" t="s">
        <v>8664</v>
      </c>
      <c r="L984" s="8"/>
      <c r="M984" s="8"/>
      <c r="N984" s="8" t="n">
        <v>12</v>
      </c>
      <c r="O984" s="8" t="n">
        <v>10</v>
      </c>
      <c r="P984" s="8" t="s">
        <v>120</v>
      </c>
    </row>
    <row r="985" customFormat="false" ht="15" hidden="false" customHeight="false" outlineLevel="0" collapsed="false">
      <c r="A985" s="8" t="s">
        <v>4274</v>
      </c>
      <c r="B985" s="8" t="s">
        <v>4275</v>
      </c>
      <c r="C985" s="8" t="s">
        <v>8674</v>
      </c>
      <c r="D985" s="8" t="s">
        <v>123</v>
      </c>
      <c r="E985" s="8" t="s">
        <v>51</v>
      </c>
      <c r="F985" s="8" t="s">
        <v>2027</v>
      </c>
      <c r="G985" s="8" t="s">
        <v>190</v>
      </c>
      <c r="H985" s="8" t="s">
        <v>8666</v>
      </c>
      <c r="I985" s="8" t="s">
        <v>8804</v>
      </c>
      <c r="J985" s="8" t="s">
        <v>180</v>
      </c>
      <c r="K985" s="8" t="s">
        <v>8664</v>
      </c>
      <c r="L985" s="8"/>
      <c r="M985" s="8"/>
      <c r="N985" s="8" t="n">
        <v>12</v>
      </c>
      <c r="O985" s="8" t="n">
        <v>7</v>
      </c>
      <c r="P985" s="8" t="s">
        <v>120</v>
      </c>
    </row>
    <row r="986" customFormat="false" ht="15" hidden="false" customHeight="false" outlineLevel="0" collapsed="false">
      <c r="A986" s="8" t="s">
        <v>3560</v>
      </c>
      <c r="B986" s="8" t="s">
        <v>3561</v>
      </c>
      <c r="C986" s="8" t="s">
        <v>8674</v>
      </c>
      <c r="D986" s="8" t="s">
        <v>123</v>
      </c>
      <c r="E986" s="8" t="s">
        <v>51</v>
      </c>
      <c r="F986" s="8" t="s">
        <v>2027</v>
      </c>
      <c r="G986" s="8" t="s">
        <v>118</v>
      </c>
      <c r="H986" s="8" t="s">
        <v>8666</v>
      </c>
      <c r="I986" s="8" t="s">
        <v>9639</v>
      </c>
      <c r="J986" s="8" t="s">
        <v>204</v>
      </c>
      <c r="K986" s="8" t="s">
        <v>8664</v>
      </c>
      <c r="L986" s="8"/>
      <c r="M986" s="8"/>
      <c r="N986" s="8" t="n">
        <v>12</v>
      </c>
      <c r="O986" s="8" t="n">
        <v>20</v>
      </c>
      <c r="P986" s="8" t="s">
        <v>120</v>
      </c>
    </row>
    <row r="987" customFormat="false" ht="15" hidden="false" customHeight="false" outlineLevel="0" collapsed="false">
      <c r="A987" s="8" t="s">
        <v>4522</v>
      </c>
      <c r="B987" s="8" t="s">
        <v>9640</v>
      </c>
      <c r="C987" s="8" t="s">
        <v>8678</v>
      </c>
      <c r="D987" s="8" t="s">
        <v>123</v>
      </c>
      <c r="E987" s="8" t="s">
        <v>51</v>
      </c>
      <c r="F987" s="8" t="s">
        <v>2027</v>
      </c>
      <c r="G987" s="8" t="s">
        <v>133</v>
      </c>
      <c r="H987" s="8" t="s">
        <v>8670</v>
      </c>
      <c r="I987" s="8" t="s">
        <v>8701</v>
      </c>
      <c r="J987" s="8"/>
      <c r="K987" s="8" t="s">
        <v>8690</v>
      </c>
      <c r="L987" s="8" t="s">
        <v>9641</v>
      </c>
      <c r="M987" s="8" t="s">
        <v>8705</v>
      </c>
      <c r="N987" s="8" t="n">
        <v>12</v>
      </c>
      <c r="O987" s="8" t="n">
        <v>28</v>
      </c>
      <c r="P987" s="8" t="s">
        <v>120</v>
      </c>
    </row>
    <row r="988" customFormat="false" ht="15" hidden="false" customHeight="false" outlineLevel="0" collapsed="false">
      <c r="A988" s="8" t="s">
        <v>4566</v>
      </c>
      <c r="B988" s="8" t="s">
        <v>9642</v>
      </c>
      <c r="C988" s="8" t="s">
        <v>8688</v>
      </c>
      <c r="D988" s="8" t="s">
        <v>117</v>
      </c>
      <c r="E988" s="8" t="s">
        <v>51</v>
      </c>
      <c r="F988" s="8" t="s">
        <v>2027</v>
      </c>
      <c r="G988" s="8" t="s">
        <v>133</v>
      </c>
      <c r="H988" s="8" t="s">
        <v>8675</v>
      </c>
      <c r="I988" s="8" t="s">
        <v>9643</v>
      </c>
      <c r="J988" s="8"/>
      <c r="K988" s="8" t="s">
        <v>8690</v>
      </c>
      <c r="L988" s="8" t="s">
        <v>9644</v>
      </c>
      <c r="M988" s="8" t="s">
        <v>8696</v>
      </c>
      <c r="N988" s="8" t="n">
        <v>12</v>
      </c>
      <c r="O988" s="8" t="n">
        <v>20</v>
      </c>
      <c r="P988" s="8" t="s">
        <v>120</v>
      </c>
    </row>
    <row r="989" customFormat="false" ht="15" hidden="false" customHeight="false" outlineLevel="0" collapsed="false">
      <c r="A989" s="8" t="s">
        <v>4310</v>
      </c>
      <c r="B989" s="8" t="s">
        <v>4311</v>
      </c>
      <c r="C989" s="8" t="s">
        <v>8665</v>
      </c>
      <c r="D989" s="8" t="s">
        <v>132</v>
      </c>
      <c r="E989" s="8" t="s">
        <v>51</v>
      </c>
      <c r="F989" s="8" t="s">
        <v>2027</v>
      </c>
      <c r="G989" s="8" t="s">
        <v>124</v>
      </c>
      <c r="H989" s="8" t="s">
        <v>8675</v>
      </c>
      <c r="I989" s="8" t="s">
        <v>9645</v>
      </c>
      <c r="J989" s="8" t="s">
        <v>180</v>
      </c>
      <c r="K989" s="8" t="s">
        <v>8664</v>
      </c>
      <c r="L989" s="8"/>
      <c r="M989" s="8"/>
      <c r="N989" s="8" t="n">
        <v>12</v>
      </c>
      <c r="O989" s="8" t="n">
        <v>7</v>
      </c>
      <c r="P989" s="8" t="s">
        <v>120</v>
      </c>
    </row>
    <row r="990" customFormat="false" ht="15" hidden="false" customHeight="false" outlineLevel="0" collapsed="false">
      <c r="A990" s="8" t="s">
        <v>3628</v>
      </c>
      <c r="B990" s="8" t="s">
        <v>3629</v>
      </c>
      <c r="C990" s="8" t="s">
        <v>8674</v>
      </c>
      <c r="D990" s="8" t="s">
        <v>128</v>
      </c>
      <c r="E990" s="8" t="s">
        <v>51</v>
      </c>
      <c r="F990" s="8" t="s">
        <v>326</v>
      </c>
      <c r="G990" s="8" t="s">
        <v>154</v>
      </c>
      <c r="H990" s="8" t="s">
        <v>8670</v>
      </c>
      <c r="I990" s="8" t="s">
        <v>9435</v>
      </c>
      <c r="J990" s="8" t="s">
        <v>125</v>
      </c>
      <c r="K990" s="8" t="s">
        <v>8664</v>
      </c>
      <c r="L990" s="8"/>
      <c r="M990" s="8"/>
      <c r="N990" s="8" t="n">
        <v>25</v>
      </c>
      <c r="O990" s="8" t="n">
        <v>9</v>
      </c>
      <c r="P990" s="8" t="s">
        <v>120</v>
      </c>
    </row>
    <row r="991" customFormat="false" ht="15" hidden="false" customHeight="false" outlineLevel="0" collapsed="false">
      <c r="A991" s="8" t="s">
        <v>943</v>
      </c>
      <c r="B991" s="8" t="s">
        <v>944</v>
      </c>
      <c r="C991" s="8" t="s">
        <v>8680</v>
      </c>
      <c r="D991" s="8" t="s">
        <v>132</v>
      </c>
      <c r="E991" s="8" t="s">
        <v>53</v>
      </c>
      <c r="F991" s="8" t="s">
        <v>326</v>
      </c>
      <c r="G991" s="8" t="s">
        <v>124</v>
      </c>
      <c r="H991" s="8" t="s">
        <v>8666</v>
      </c>
      <c r="I991" s="8" t="s">
        <v>9350</v>
      </c>
      <c r="J991" s="8" t="s">
        <v>144</v>
      </c>
      <c r="K991" s="8" t="s">
        <v>8664</v>
      </c>
      <c r="L991" s="8"/>
      <c r="M991" s="8"/>
      <c r="N991" s="8" t="n">
        <v>25</v>
      </c>
      <c r="O991" s="8" t="n">
        <v>173</v>
      </c>
      <c r="P991" s="8" t="s">
        <v>120</v>
      </c>
    </row>
    <row r="992" customFormat="false" ht="15" hidden="false" customHeight="false" outlineLevel="0" collapsed="false">
      <c r="A992" s="8" t="s">
        <v>1539</v>
      </c>
      <c r="B992" s="8" t="s">
        <v>1540</v>
      </c>
      <c r="C992" s="8" t="s">
        <v>8661</v>
      </c>
      <c r="D992" s="8" t="s">
        <v>123</v>
      </c>
      <c r="E992" s="8" t="s">
        <v>53</v>
      </c>
      <c r="F992" s="8" t="s">
        <v>326</v>
      </c>
      <c r="G992" s="8" t="s">
        <v>136</v>
      </c>
      <c r="H992" s="8" t="s">
        <v>8675</v>
      </c>
      <c r="I992" s="8" t="s">
        <v>9419</v>
      </c>
      <c r="J992" s="8" t="s">
        <v>119</v>
      </c>
      <c r="K992" s="8" t="s">
        <v>8664</v>
      </c>
      <c r="L992" s="8"/>
      <c r="M992" s="8"/>
      <c r="N992" s="8" t="n">
        <v>25</v>
      </c>
      <c r="O992" s="8" t="n">
        <v>67</v>
      </c>
      <c r="P992" s="8" t="s">
        <v>120</v>
      </c>
    </row>
    <row r="993" customFormat="false" ht="15" hidden="false" customHeight="false" outlineLevel="0" collapsed="false">
      <c r="A993" s="8" t="s">
        <v>3562</v>
      </c>
      <c r="B993" s="8" t="s">
        <v>3563</v>
      </c>
      <c r="C993" s="8" t="s">
        <v>8665</v>
      </c>
      <c r="D993" s="8" t="s">
        <v>123</v>
      </c>
      <c r="E993" s="8" t="s">
        <v>51</v>
      </c>
      <c r="F993" s="8" t="s">
        <v>2027</v>
      </c>
      <c r="G993" s="8" t="s">
        <v>223</v>
      </c>
      <c r="H993" s="8" t="s">
        <v>8675</v>
      </c>
      <c r="I993" s="8" t="s">
        <v>8897</v>
      </c>
      <c r="J993" s="8" t="s">
        <v>129</v>
      </c>
      <c r="K993" s="8" t="s">
        <v>8664</v>
      </c>
      <c r="L993" s="8"/>
      <c r="M993" s="8"/>
      <c r="N993" s="8" t="n">
        <v>12</v>
      </c>
      <c r="O993" s="8" t="n">
        <v>20</v>
      </c>
      <c r="P993" s="8" t="s">
        <v>120</v>
      </c>
    </row>
    <row r="994" customFormat="false" ht="15" hidden="false" customHeight="false" outlineLevel="0" collapsed="false">
      <c r="A994" s="8" t="s">
        <v>489</v>
      </c>
      <c r="B994" s="8" t="s">
        <v>490</v>
      </c>
      <c r="C994" s="8" t="s">
        <v>8680</v>
      </c>
      <c r="D994" s="8" t="s">
        <v>123</v>
      </c>
      <c r="E994" s="8" t="s">
        <v>55</v>
      </c>
      <c r="F994" s="8" t="s">
        <v>55</v>
      </c>
      <c r="G994" s="8" t="s">
        <v>154</v>
      </c>
      <c r="H994" s="8" t="s">
        <v>8670</v>
      </c>
      <c r="I994" s="8" t="s">
        <v>8833</v>
      </c>
      <c r="J994" s="8" t="s">
        <v>204</v>
      </c>
      <c r="K994" s="8" t="s">
        <v>8664</v>
      </c>
      <c r="L994" s="8"/>
      <c r="M994" s="8"/>
      <c r="N994" s="8" t="n">
        <v>45</v>
      </c>
      <c r="O994" s="8" t="n">
        <v>240</v>
      </c>
      <c r="P994" s="8" t="s">
        <v>120</v>
      </c>
    </row>
    <row r="995" customFormat="false" ht="15" hidden="false" customHeight="false" outlineLevel="0" collapsed="false">
      <c r="A995" s="8" t="s">
        <v>4172</v>
      </c>
      <c r="B995" s="8" t="s">
        <v>4173</v>
      </c>
      <c r="C995" s="8" t="s">
        <v>8700</v>
      </c>
      <c r="D995" s="8" t="s">
        <v>128</v>
      </c>
      <c r="E995" s="8" t="s">
        <v>51</v>
      </c>
      <c r="F995" s="8" t="s">
        <v>2027</v>
      </c>
      <c r="G995" s="8" t="s">
        <v>166</v>
      </c>
      <c r="H995" s="8" t="s">
        <v>8675</v>
      </c>
      <c r="I995" s="8" t="s">
        <v>9646</v>
      </c>
      <c r="J995" s="8" t="s">
        <v>147</v>
      </c>
      <c r="K995" s="8" t="s">
        <v>8664</v>
      </c>
      <c r="L995" s="8"/>
      <c r="M995" s="8"/>
      <c r="N995" s="8" t="n">
        <v>12</v>
      </c>
      <c r="O995" s="8" t="n">
        <v>8</v>
      </c>
      <c r="P995" s="8" t="s">
        <v>120</v>
      </c>
    </row>
    <row r="996" customFormat="false" ht="15" hidden="false" customHeight="false" outlineLevel="0" collapsed="false">
      <c r="A996" s="8" t="s">
        <v>2748</v>
      </c>
      <c r="B996" s="8" t="s">
        <v>2749</v>
      </c>
      <c r="C996" s="8" t="s">
        <v>8665</v>
      </c>
      <c r="D996" s="8" t="s">
        <v>132</v>
      </c>
      <c r="E996" s="8" t="s">
        <v>51</v>
      </c>
      <c r="F996" s="8" t="s">
        <v>2027</v>
      </c>
      <c r="G996" s="8" t="s">
        <v>166</v>
      </c>
      <c r="H996" s="8" t="s">
        <v>8675</v>
      </c>
      <c r="I996" s="8" t="s">
        <v>9647</v>
      </c>
      <c r="J996" s="8" t="s">
        <v>129</v>
      </c>
      <c r="K996" s="8" t="s">
        <v>8664</v>
      </c>
      <c r="L996" s="8"/>
      <c r="M996" s="8"/>
      <c r="N996" s="8" t="n">
        <v>12</v>
      </c>
      <c r="O996" s="8" t="n">
        <v>34</v>
      </c>
      <c r="P996" s="8" t="s">
        <v>120</v>
      </c>
    </row>
    <row r="997" customFormat="false" ht="15" hidden="false" customHeight="false" outlineLevel="0" collapsed="false">
      <c r="A997" s="8" t="s">
        <v>1441</v>
      </c>
      <c r="B997" s="8" t="s">
        <v>1442</v>
      </c>
      <c r="C997" s="8" t="s">
        <v>8665</v>
      </c>
      <c r="D997" s="8" t="s">
        <v>123</v>
      </c>
      <c r="E997" s="8" t="s">
        <v>53</v>
      </c>
      <c r="F997" s="8" t="s">
        <v>326</v>
      </c>
      <c r="G997" s="8" t="s">
        <v>151</v>
      </c>
      <c r="H997" s="8" t="s">
        <v>8670</v>
      </c>
      <c r="I997" s="8" t="s">
        <v>9648</v>
      </c>
      <c r="J997" s="8" t="s">
        <v>129</v>
      </c>
      <c r="K997" s="8" t="s">
        <v>8664</v>
      </c>
      <c r="L997" s="8"/>
      <c r="M997" s="8"/>
      <c r="N997" s="8" t="n">
        <v>25</v>
      </c>
      <c r="O997" s="8" t="n">
        <v>97</v>
      </c>
      <c r="P997" s="8" t="s">
        <v>120</v>
      </c>
    </row>
    <row r="998" customFormat="false" ht="15" hidden="false" customHeight="false" outlineLevel="0" collapsed="false">
      <c r="A998" s="8" t="s">
        <v>2936</v>
      </c>
      <c r="B998" s="8" t="s">
        <v>2937</v>
      </c>
      <c r="C998" s="8" t="s">
        <v>8680</v>
      </c>
      <c r="D998" s="8" t="s">
        <v>123</v>
      </c>
      <c r="E998" s="8" t="s">
        <v>51</v>
      </c>
      <c r="F998" s="8" t="s">
        <v>2027</v>
      </c>
      <c r="G998" s="8" t="s">
        <v>223</v>
      </c>
      <c r="H998" s="8" t="s">
        <v>8670</v>
      </c>
      <c r="I998" s="8" t="s">
        <v>8775</v>
      </c>
      <c r="J998" s="8" t="s">
        <v>159</v>
      </c>
      <c r="K998" s="8" t="s">
        <v>8664</v>
      </c>
      <c r="L998" s="8"/>
      <c r="M998" s="8"/>
      <c r="N998" s="8" t="n">
        <v>12</v>
      </c>
      <c r="O998" s="8" t="n">
        <v>23</v>
      </c>
      <c r="P998" s="8" t="s">
        <v>120</v>
      </c>
    </row>
    <row r="999" customFormat="false" ht="15" hidden="false" customHeight="false" outlineLevel="0" collapsed="false">
      <c r="A999" s="8" t="s">
        <v>1137</v>
      </c>
      <c r="B999" s="8" t="s">
        <v>1138</v>
      </c>
      <c r="C999" s="8" t="s">
        <v>8688</v>
      </c>
      <c r="D999" s="8" t="s">
        <v>132</v>
      </c>
      <c r="E999" s="8" t="s">
        <v>53</v>
      </c>
      <c r="F999" s="8" t="s">
        <v>326</v>
      </c>
      <c r="G999" s="8" t="s">
        <v>124</v>
      </c>
      <c r="H999" s="8" t="s">
        <v>8670</v>
      </c>
      <c r="I999" s="8" t="s">
        <v>8819</v>
      </c>
      <c r="J999" s="8" t="s">
        <v>140</v>
      </c>
      <c r="K999" s="8" t="s">
        <v>8664</v>
      </c>
      <c r="L999" s="8"/>
      <c r="M999" s="8"/>
      <c r="N999" s="8" t="n">
        <v>25</v>
      </c>
      <c r="O999" s="8" t="n">
        <v>144</v>
      </c>
      <c r="P999" s="8" t="s">
        <v>120</v>
      </c>
    </row>
    <row r="1000" customFormat="false" ht="15" hidden="false" customHeight="false" outlineLevel="0" collapsed="false">
      <c r="A1000" s="8" t="s">
        <v>1057</v>
      </c>
      <c r="B1000" s="8" t="s">
        <v>1058</v>
      </c>
      <c r="C1000" s="8" t="s">
        <v>8680</v>
      </c>
      <c r="D1000" s="8" t="s">
        <v>132</v>
      </c>
      <c r="E1000" s="8" t="s">
        <v>53</v>
      </c>
      <c r="F1000" s="8" t="s">
        <v>326</v>
      </c>
      <c r="G1000" s="8" t="s">
        <v>151</v>
      </c>
      <c r="H1000" s="8" t="s">
        <v>8666</v>
      </c>
      <c r="I1000" s="8" t="s">
        <v>9475</v>
      </c>
      <c r="J1000" s="8" t="s">
        <v>204</v>
      </c>
      <c r="K1000" s="8" t="s">
        <v>8664</v>
      </c>
      <c r="L1000" s="8"/>
      <c r="M1000" s="8"/>
      <c r="N1000" s="8" t="n">
        <v>25</v>
      </c>
      <c r="O1000" s="8" t="n">
        <v>156</v>
      </c>
      <c r="P1000" s="8" t="s">
        <v>120</v>
      </c>
    </row>
    <row r="1001" customFormat="false" ht="15" hidden="false" customHeight="false" outlineLevel="0" collapsed="false">
      <c r="A1001" s="8" t="s">
        <v>1065</v>
      </c>
      <c r="B1001" s="8" t="s">
        <v>1066</v>
      </c>
      <c r="C1001" s="8" t="s">
        <v>8669</v>
      </c>
      <c r="D1001" s="8" t="s">
        <v>117</v>
      </c>
      <c r="E1001" s="8" t="s">
        <v>53</v>
      </c>
      <c r="F1001" s="8" t="s">
        <v>326</v>
      </c>
      <c r="G1001" s="8" t="s">
        <v>133</v>
      </c>
      <c r="H1001" s="8" t="s">
        <v>8662</v>
      </c>
      <c r="I1001" s="8" t="s">
        <v>8927</v>
      </c>
      <c r="J1001" s="8" t="s">
        <v>204</v>
      </c>
      <c r="K1001" s="8" t="s">
        <v>8664</v>
      </c>
      <c r="L1001" s="8"/>
      <c r="M1001" s="8"/>
      <c r="N1001" s="8" t="n">
        <v>25</v>
      </c>
      <c r="O1001" s="8" t="n">
        <v>153</v>
      </c>
      <c r="P1001" s="8" t="s">
        <v>120</v>
      </c>
    </row>
    <row r="1002" customFormat="false" ht="15" hidden="false" customHeight="false" outlineLevel="0" collapsed="false">
      <c r="A1002" s="8" t="s">
        <v>4232</v>
      </c>
      <c r="B1002" s="8" t="s">
        <v>4233</v>
      </c>
      <c r="C1002" s="8" t="s">
        <v>8674</v>
      </c>
      <c r="D1002" s="8" t="s">
        <v>132</v>
      </c>
      <c r="E1002" s="8" t="s">
        <v>51</v>
      </c>
      <c r="F1002" s="8" t="s">
        <v>2027</v>
      </c>
      <c r="G1002" s="8" t="s">
        <v>151</v>
      </c>
      <c r="H1002" s="8" t="s">
        <v>8675</v>
      </c>
      <c r="I1002" s="8" t="s">
        <v>9649</v>
      </c>
      <c r="J1002" s="8" t="s">
        <v>177</v>
      </c>
      <c r="K1002" s="8" t="s">
        <v>8664</v>
      </c>
      <c r="L1002" s="8"/>
      <c r="M1002" s="8"/>
      <c r="N1002" s="8" t="n">
        <v>12</v>
      </c>
      <c r="O1002" s="8" t="n">
        <v>8</v>
      </c>
      <c r="P1002" s="8" t="s">
        <v>120</v>
      </c>
    </row>
    <row r="1003" customFormat="false" ht="15" hidden="false" customHeight="false" outlineLevel="0" collapsed="false">
      <c r="A1003" s="8" t="s">
        <v>3808</v>
      </c>
      <c r="B1003" s="8" t="s">
        <v>3809</v>
      </c>
      <c r="C1003" s="8" t="s">
        <v>8688</v>
      </c>
      <c r="D1003" s="8" t="s">
        <v>132</v>
      </c>
      <c r="E1003" s="8" t="s">
        <v>51</v>
      </c>
      <c r="F1003" s="8" t="s">
        <v>2027</v>
      </c>
      <c r="G1003" s="8" t="s">
        <v>136</v>
      </c>
      <c r="H1003" s="8" t="s">
        <v>8662</v>
      </c>
      <c r="I1003" s="8" t="s">
        <v>8921</v>
      </c>
      <c r="J1003" s="8" t="s">
        <v>140</v>
      </c>
      <c r="K1003" s="8" t="s">
        <v>8664</v>
      </c>
      <c r="L1003" s="8"/>
      <c r="M1003" s="8"/>
      <c r="N1003" s="8" t="n">
        <v>12</v>
      </c>
      <c r="O1003" s="8" t="n">
        <v>15</v>
      </c>
      <c r="P1003" s="8" t="s">
        <v>120</v>
      </c>
    </row>
    <row r="1004" customFormat="false" ht="15" hidden="false" customHeight="false" outlineLevel="0" collapsed="false">
      <c r="A1004" s="8" t="s">
        <v>9650</v>
      </c>
      <c r="B1004" s="8" t="s">
        <v>9651</v>
      </c>
      <c r="C1004" s="8" t="s">
        <v>8700</v>
      </c>
      <c r="D1004" s="8" t="s">
        <v>123</v>
      </c>
      <c r="E1004" s="8" t="s">
        <v>55</v>
      </c>
      <c r="F1004" s="8" t="s">
        <v>55</v>
      </c>
      <c r="G1004" s="8" t="s">
        <v>133</v>
      </c>
      <c r="H1004" s="8" t="s">
        <v>8662</v>
      </c>
      <c r="I1004" s="8" t="s">
        <v>9410</v>
      </c>
      <c r="J1004" s="8"/>
      <c r="K1004" s="8" t="s">
        <v>8690</v>
      </c>
      <c r="L1004" s="8" t="s">
        <v>9652</v>
      </c>
      <c r="M1004" s="8" t="s">
        <v>8705</v>
      </c>
      <c r="N1004" s="8" t="n">
        <v>45</v>
      </c>
      <c r="O1004" s="8" t="n">
        <v>438</v>
      </c>
      <c r="P1004" s="8" t="s">
        <v>148</v>
      </c>
    </row>
    <row r="1005" customFormat="false" ht="15" hidden="false" customHeight="false" outlineLevel="0" collapsed="false">
      <c r="A1005" s="8" t="s">
        <v>1685</v>
      </c>
      <c r="B1005" s="8" t="s">
        <v>1686</v>
      </c>
      <c r="C1005" s="8" t="s">
        <v>8678</v>
      </c>
      <c r="D1005" s="8" t="s">
        <v>123</v>
      </c>
      <c r="E1005" s="8" t="s">
        <v>53</v>
      </c>
      <c r="F1005" s="8" t="s">
        <v>326</v>
      </c>
      <c r="G1005" s="8" t="s">
        <v>133</v>
      </c>
      <c r="H1005" s="8" t="s">
        <v>8675</v>
      </c>
      <c r="I1005" s="8" t="s">
        <v>9653</v>
      </c>
      <c r="J1005" s="8" t="s">
        <v>129</v>
      </c>
      <c r="K1005" s="8" t="s">
        <v>8664</v>
      </c>
      <c r="L1005" s="8"/>
      <c r="M1005" s="8"/>
      <c r="N1005" s="8" t="n">
        <v>25</v>
      </c>
      <c r="O1005" s="8" t="n">
        <v>55</v>
      </c>
      <c r="P1005" s="8" t="s">
        <v>120</v>
      </c>
    </row>
    <row r="1006" customFormat="false" ht="15" hidden="false" customHeight="false" outlineLevel="0" collapsed="false">
      <c r="A1006" s="8" t="s">
        <v>207</v>
      </c>
      <c r="B1006" s="8" t="s">
        <v>208</v>
      </c>
      <c r="C1006" s="8" t="s">
        <v>8669</v>
      </c>
      <c r="D1006" s="8" t="s">
        <v>123</v>
      </c>
      <c r="E1006" s="8" t="s">
        <v>55</v>
      </c>
      <c r="F1006" s="8" t="s">
        <v>55</v>
      </c>
      <c r="G1006" s="8" t="s">
        <v>118</v>
      </c>
      <c r="H1006" s="8" t="s">
        <v>8670</v>
      </c>
      <c r="I1006" s="8" t="s">
        <v>8810</v>
      </c>
      <c r="J1006" s="8" t="s">
        <v>147</v>
      </c>
      <c r="K1006" s="8" t="s">
        <v>8664</v>
      </c>
      <c r="L1006" s="8"/>
      <c r="M1006" s="8"/>
      <c r="N1006" s="8" t="n">
        <v>45</v>
      </c>
      <c r="O1006" s="8" t="n">
        <v>386</v>
      </c>
      <c r="P1006" s="8" t="s">
        <v>120</v>
      </c>
    </row>
    <row r="1007" customFormat="false" ht="15" hidden="false" customHeight="false" outlineLevel="0" collapsed="false">
      <c r="A1007" s="8" t="s">
        <v>3810</v>
      </c>
      <c r="B1007" s="8" t="s">
        <v>3811</v>
      </c>
      <c r="C1007" s="8" t="s">
        <v>8661</v>
      </c>
      <c r="D1007" s="8" t="s">
        <v>117</v>
      </c>
      <c r="E1007" s="8" t="s">
        <v>51</v>
      </c>
      <c r="F1007" s="8" t="s">
        <v>2027</v>
      </c>
      <c r="G1007" s="8" t="s">
        <v>154</v>
      </c>
      <c r="H1007" s="8" t="s">
        <v>8662</v>
      </c>
      <c r="I1007" s="8" t="s">
        <v>8846</v>
      </c>
      <c r="J1007" s="8" t="s">
        <v>125</v>
      </c>
      <c r="K1007" s="8" t="s">
        <v>8664</v>
      </c>
      <c r="L1007" s="8"/>
      <c r="M1007" s="8"/>
      <c r="N1007" s="8" t="n">
        <v>12</v>
      </c>
      <c r="O1007" s="8" t="n">
        <v>15</v>
      </c>
      <c r="P1007" s="8" t="s">
        <v>120</v>
      </c>
    </row>
    <row r="1008" customFormat="false" ht="15" hidden="false" customHeight="false" outlineLevel="0" collapsed="false">
      <c r="A1008" s="8" t="s">
        <v>270</v>
      </c>
      <c r="B1008" s="8" t="s">
        <v>271</v>
      </c>
      <c r="C1008" s="8" t="s">
        <v>8669</v>
      </c>
      <c r="D1008" s="8" t="s">
        <v>123</v>
      </c>
      <c r="E1008" s="8" t="s">
        <v>55</v>
      </c>
      <c r="F1008" s="8" t="s">
        <v>55</v>
      </c>
      <c r="G1008" s="8" t="s">
        <v>154</v>
      </c>
      <c r="H1008" s="8" t="s">
        <v>8675</v>
      </c>
      <c r="I1008" s="8" t="s">
        <v>9654</v>
      </c>
      <c r="J1008" s="8" t="s">
        <v>147</v>
      </c>
      <c r="K1008" s="8" t="s">
        <v>8664</v>
      </c>
      <c r="L1008" s="8"/>
      <c r="M1008" s="8"/>
      <c r="N1008" s="8" t="n">
        <v>45</v>
      </c>
      <c r="O1008" s="8" t="n">
        <v>462</v>
      </c>
      <c r="P1008" s="8" t="s">
        <v>120</v>
      </c>
    </row>
    <row r="1009" customFormat="false" ht="15" hidden="false" customHeight="false" outlineLevel="0" collapsed="false">
      <c r="A1009" s="8" t="s">
        <v>2514</v>
      </c>
      <c r="B1009" s="8" t="s">
        <v>2515</v>
      </c>
      <c r="C1009" s="8" t="s">
        <v>8669</v>
      </c>
      <c r="D1009" s="8" t="s">
        <v>123</v>
      </c>
      <c r="E1009" s="8" t="s">
        <v>51</v>
      </c>
      <c r="F1009" s="8" t="s">
        <v>2027</v>
      </c>
      <c r="G1009" s="8" t="s">
        <v>124</v>
      </c>
      <c r="H1009" s="8" t="s">
        <v>8675</v>
      </c>
      <c r="I1009" s="8" t="s">
        <v>8832</v>
      </c>
      <c r="J1009" s="8" t="s">
        <v>159</v>
      </c>
      <c r="K1009" s="8" t="s">
        <v>8664</v>
      </c>
      <c r="L1009" s="8"/>
      <c r="M1009" s="8"/>
      <c r="N1009" s="8" t="n">
        <v>12</v>
      </c>
      <c r="O1009" s="8" t="n">
        <v>31</v>
      </c>
      <c r="P1009" s="8" t="s">
        <v>120</v>
      </c>
    </row>
    <row r="1010" customFormat="false" ht="15" hidden="false" customHeight="false" outlineLevel="0" collapsed="false">
      <c r="A1010" s="8" t="s">
        <v>745</v>
      </c>
      <c r="B1010" s="8" t="s">
        <v>746</v>
      </c>
      <c r="C1010" s="8" t="s">
        <v>8674</v>
      </c>
      <c r="D1010" s="8" t="s">
        <v>123</v>
      </c>
      <c r="E1010" s="8" t="s">
        <v>53</v>
      </c>
      <c r="F1010" s="8" t="s">
        <v>55</v>
      </c>
      <c r="G1010" s="8" t="s">
        <v>118</v>
      </c>
      <c r="H1010" s="8" t="s">
        <v>8670</v>
      </c>
      <c r="I1010" s="8" t="s">
        <v>9363</v>
      </c>
      <c r="J1010" s="8" t="s">
        <v>140</v>
      </c>
      <c r="K1010" s="8" t="s">
        <v>8664</v>
      </c>
      <c r="L1010" s="8"/>
      <c r="M1010" s="8"/>
      <c r="N1010" s="8" t="n">
        <v>45</v>
      </c>
      <c r="O1010" s="8" t="n">
        <v>122</v>
      </c>
      <c r="P1010" s="8" t="s">
        <v>148</v>
      </c>
    </row>
    <row r="1011" customFormat="false" ht="15" hidden="false" customHeight="false" outlineLevel="0" collapsed="false">
      <c r="A1011" s="8" t="s">
        <v>4234</v>
      </c>
      <c r="B1011" s="8" t="s">
        <v>4235</v>
      </c>
      <c r="C1011" s="8" t="s">
        <v>8665</v>
      </c>
      <c r="D1011" s="8" t="s">
        <v>123</v>
      </c>
      <c r="E1011" s="8" t="s">
        <v>51</v>
      </c>
      <c r="F1011" s="8" t="s">
        <v>2027</v>
      </c>
      <c r="G1011" s="8" t="s">
        <v>124</v>
      </c>
      <c r="H1011" s="8" t="s">
        <v>8675</v>
      </c>
      <c r="I1011" s="8" t="s">
        <v>9655</v>
      </c>
      <c r="J1011" s="8" t="s">
        <v>177</v>
      </c>
      <c r="K1011" s="8" t="s">
        <v>8664</v>
      </c>
      <c r="L1011" s="8"/>
      <c r="M1011" s="8"/>
      <c r="N1011" s="8" t="n">
        <v>12</v>
      </c>
      <c r="O1011" s="8" t="n">
        <v>8</v>
      </c>
      <c r="P1011" s="8" t="s">
        <v>120</v>
      </c>
    </row>
    <row r="1012" customFormat="false" ht="15" hidden="false" customHeight="false" outlineLevel="0" collapsed="false">
      <c r="A1012" s="8" t="s">
        <v>1169</v>
      </c>
      <c r="B1012" s="8" t="s">
        <v>1170</v>
      </c>
      <c r="C1012" s="8" t="s">
        <v>8678</v>
      </c>
      <c r="D1012" s="8" t="s">
        <v>123</v>
      </c>
      <c r="E1012" s="8" t="s">
        <v>53</v>
      </c>
      <c r="F1012" s="8" t="s">
        <v>326</v>
      </c>
      <c r="G1012" s="8" t="s">
        <v>136</v>
      </c>
      <c r="H1012" s="8" t="s">
        <v>8666</v>
      </c>
      <c r="I1012" s="8" t="s">
        <v>9656</v>
      </c>
      <c r="J1012" s="8" t="s">
        <v>177</v>
      </c>
      <c r="K1012" s="8" t="s">
        <v>8664</v>
      </c>
      <c r="L1012" s="8"/>
      <c r="M1012" s="8"/>
      <c r="N1012" s="8" t="n">
        <v>25</v>
      </c>
      <c r="O1012" s="8" t="n">
        <v>140</v>
      </c>
      <c r="P1012" s="8" t="s">
        <v>120</v>
      </c>
    </row>
    <row r="1013" customFormat="false" ht="15" hidden="false" customHeight="false" outlineLevel="0" collapsed="false">
      <c r="A1013" s="8" t="s">
        <v>3964</v>
      </c>
      <c r="B1013" s="8" t="s">
        <v>3965</v>
      </c>
      <c r="C1013" s="8" t="s">
        <v>8661</v>
      </c>
      <c r="D1013" s="8" t="s">
        <v>123</v>
      </c>
      <c r="E1013" s="8" t="s">
        <v>51</v>
      </c>
      <c r="F1013" s="8" t="s">
        <v>326</v>
      </c>
      <c r="G1013" s="8" t="s">
        <v>190</v>
      </c>
      <c r="H1013" s="8" t="s">
        <v>8675</v>
      </c>
      <c r="I1013" s="8" t="s">
        <v>9213</v>
      </c>
      <c r="J1013" s="8" t="s">
        <v>119</v>
      </c>
      <c r="K1013" s="8" t="s">
        <v>8664</v>
      </c>
      <c r="L1013" s="8"/>
      <c r="M1013" s="8"/>
      <c r="N1013" s="8" t="n">
        <v>25</v>
      </c>
      <c r="O1013" s="8" t="n">
        <v>6</v>
      </c>
      <c r="P1013" s="8" t="s">
        <v>120</v>
      </c>
    </row>
    <row r="1014" customFormat="false" ht="15" hidden="false" customHeight="false" outlineLevel="0" collapsed="false">
      <c r="A1014" s="8" t="s">
        <v>677</v>
      </c>
      <c r="B1014" s="8" t="s">
        <v>678</v>
      </c>
      <c r="C1014" s="8" t="s">
        <v>8674</v>
      </c>
      <c r="D1014" s="8" t="s">
        <v>117</v>
      </c>
      <c r="E1014" s="8" t="s">
        <v>53</v>
      </c>
      <c r="F1014" s="8" t="s">
        <v>55</v>
      </c>
      <c r="G1014" s="8" t="s">
        <v>124</v>
      </c>
      <c r="H1014" s="8" t="s">
        <v>8675</v>
      </c>
      <c r="I1014" s="8" t="s">
        <v>9657</v>
      </c>
      <c r="J1014" s="8" t="s">
        <v>144</v>
      </c>
      <c r="K1014" s="8" t="s">
        <v>8664</v>
      </c>
      <c r="L1014" s="8"/>
      <c r="M1014" s="8"/>
      <c r="N1014" s="8" t="n">
        <v>45</v>
      </c>
      <c r="O1014" s="8" t="n">
        <v>144</v>
      </c>
      <c r="P1014" s="8" t="s">
        <v>120</v>
      </c>
    </row>
    <row r="1015" customFormat="false" ht="15" hidden="false" customHeight="false" outlineLevel="0" collapsed="false">
      <c r="A1015" s="8" t="s">
        <v>2256</v>
      </c>
      <c r="B1015" s="8" t="s">
        <v>2257</v>
      </c>
      <c r="C1015" s="8" t="s">
        <v>8669</v>
      </c>
      <c r="D1015" s="8" t="s">
        <v>132</v>
      </c>
      <c r="E1015" s="8" t="s">
        <v>51</v>
      </c>
      <c r="F1015" s="8" t="s">
        <v>326</v>
      </c>
      <c r="G1015" s="8" t="s">
        <v>151</v>
      </c>
      <c r="H1015" s="8" t="s">
        <v>8666</v>
      </c>
      <c r="I1015" s="8" t="s">
        <v>9658</v>
      </c>
      <c r="J1015" s="8" t="s">
        <v>159</v>
      </c>
      <c r="K1015" s="8" t="s">
        <v>8664</v>
      </c>
      <c r="L1015" s="8"/>
      <c r="M1015" s="8"/>
      <c r="N1015" s="8" t="n">
        <v>25</v>
      </c>
      <c r="O1015" s="8" t="n">
        <v>23</v>
      </c>
      <c r="P1015" s="8" t="s">
        <v>120</v>
      </c>
    </row>
    <row r="1016" customFormat="false" ht="15" hidden="false" customHeight="false" outlineLevel="0" collapsed="false">
      <c r="A1016" s="8" t="s">
        <v>1593</v>
      </c>
      <c r="B1016" s="8" t="s">
        <v>1594</v>
      </c>
      <c r="C1016" s="8" t="s">
        <v>8674</v>
      </c>
      <c r="D1016" s="8" t="s">
        <v>117</v>
      </c>
      <c r="E1016" s="8" t="s">
        <v>51</v>
      </c>
      <c r="F1016" s="8" t="s">
        <v>326</v>
      </c>
      <c r="G1016" s="8" t="s">
        <v>151</v>
      </c>
      <c r="H1016" s="8" t="s">
        <v>8662</v>
      </c>
      <c r="I1016" s="8" t="s">
        <v>9659</v>
      </c>
      <c r="J1016" s="8" t="s">
        <v>137</v>
      </c>
      <c r="K1016" s="8" t="s">
        <v>8664</v>
      </c>
      <c r="L1016" s="8"/>
      <c r="M1016" s="8"/>
      <c r="N1016" s="8" t="n">
        <v>25</v>
      </c>
      <c r="O1016" s="8" t="n">
        <v>30</v>
      </c>
      <c r="P1016" s="8" t="s">
        <v>120</v>
      </c>
    </row>
    <row r="1017" customFormat="false" ht="15" hidden="false" customHeight="false" outlineLevel="0" collapsed="false">
      <c r="A1017" s="8" t="s">
        <v>1983</v>
      </c>
      <c r="B1017" s="8" t="s">
        <v>1984</v>
      </c>
      <c r="C1017" s="8" t="s">
        <v>8674</v>
      </c>
      <c r="D1017" s="8" t="s">
        <v>123</v>
      </c>
      <c r="E1017" s="8" t="s">
        <v>51</v>
      </c>
      <c r="F1017" s="8" t="s">
        <v>326</v>
      </c>
      <c r="G1017" s="8" t="s">
        <v>133</v>
      </c>
      <c r="H1017" s="8" t="s">
        <v>8670</v>
      </c>
      <c r="I1017" s="8" t="s">
        <v>9148</v>
      </c>
      <c r="J1017" s="8" t="s">
        <v>177</v>
      </c>
      <c r="K1017" s="8" t="s">
        <v>8664</v>
      </c>
      <c r="L1017" s="8"/>
      <c r="M1017" s="8"/>
      <c r="N1017" s="8" t="n">
        <v>25</v>
      </c>
      <c r="O1017" s="8" t="n">
        <v>21</v>
      </c>
      <c r="P1017" s="8" t="s">
        <v>120</v>
      </c>
    </row>
    <row r="1018" customFormat="false" ht="15" hidden="false" customHeight="false" outlineLevel="0" collapsed="false">
      <c r="A1018" s="8" t="s">
        <v>1505</v>
      </c>
      <c r="B1018" s="8" t="s">
        <v>1506</v>
      </c>
      <c r="C1018" s="8" t="s">
        <v>8674</v>
      </c>
      <c r="D1018" s="8" t="s">
        <v>117</v>
      </c>
      <c r="E1018" s="8" t="s">
        <v>53</v>
      </c>
      <c r="F1018" s="8" t="s">
        <v>326</v>
      </c>
      <c r="G1018" s="8" t="s">
        <v>118</v>
      </c>
      <c r="H1018" s="8" t="s">
        <v>8670</v>
      </c>
      <c r="I1018" s="8" t="s">
        <v>9660</v>
      </c>
      <c r="J1018" s="8" t="s">
        <v>185</v>
      </c>
      <c r="K1018" s="8" t="s">
        <v>8664</v>
      </c>
      <c r="L1018" s="8"/>
      <c r="M1018" s="8"/>
      <c r="N1018" s="8" t="n">
        <v>25</v>
      </c>
      <c r="O1018" s="8" t="n">
        <v>83</v>
      </c>
      <c r="P1018" s="8" t="s">
        <v>120</v>
      </c>
    </row>
    <row r="1019" customFormat="false" ht="15" hidden="false" customHeight="false" outlineLevel="0" collapsed="false">
      <c r="A1019" s="8" t="s">
        <v>495</v>
      </c>
      <c r="B1019" s="8" t="s">
        <v>496</v>
      </c>
      <c r="C1019" s="8" t="s">
        <v>8669</v>
      </c>
      <c r="D1019" s="8" t="s">
        <v>117</v>
      </c>
      <c r="E1019" s="8" t="s">
        <v>55</v>
      </c>
      <c r="F1019" s="8" t="s">
        <v>55</v>
      </c>
      <c r="G1019" s="8" t="s">
        <v>154</v>
      </c>
      <c r="H1019" s="8" t="s">
        <v>8666</v>
      </c>
      <c r="I1019" s="8" t="s">
        <v>9661</v>
      </c>
      <c r="J1019" s="8" t="s">
        <v>147</v>
      </c>
      <c r="K1019" s="8" t="s">
        <v>8664</v>
      </c>
      <c r="L1019" s="8"/>
      <c r="M1019" s="8"/>
      <c r="N1019" s="8" t="n">
        <v>45</v>
      </c>
      <c r="O1019" s="8" t="n">
        <v>233</v>
      </c>
      <c r="P1019" s="8" t="s">
        <v>120</v>
      </c>
    </row>
    <row r="1020" customFormat="false" ht="15" hidden="false" customHeight="false" outlineLevel="0" collapsed="false">
      <c r="A1020" s="8" t="s">
        <v>847</v>
      </c>
      <c r="B1020" s="8" t="s">
        <v>848</v>
      </c>
      <c r="C1020" s="8" t="s">
        <v>8680</v>
      </c>
      <c r="D1020" s="8" t="s">
        <v>132</v>
      </c>
      <c r="E1020" s="8" t="s">
        <v>53</v>
      </c>
      <c r="F1020" s="8" t="s">
        <v>326</v>
      </c>
      <c r="G1020" s="8" t="s">
        <v>143</v>
      </c>
      <c r="H1020" s="8" t="s">
        <v>8670</v>
      </c>
      <c r="I1020" s="8" t="s">
        <v>9662</v>
      </c>
      <c r="J1020" s="8" t="s">
        <v>204</v>
      </c>
      <c r="K1020" s="8" t="s">
        <v>8664</v>
      </c>
      <c r="L1020" s="8"/>
      <c r="M1020" s="8"/>
      <c r="N1020" s="8" t="n">
        <v>25</v>
      </c>
      <c r="O1020" s="8" t="n">
        <v>190</v>
      </c>
      <c r="P1020" s="8" t="s">
        <v>120</v>
      </c>
    </row>
    <row r="1021" customFormat="false" ht="15" hidden="false" customHeight="false" outlineLevel="0" collapsed="false">
      <c r="A1021" s="8" t="s">
        <v>2424</v>
      </c>
      <c r="B1021" s="8" t="s">
        <v>2425</v>
      </c>
      <c r="C1021" s="8" t="s">
        <v>8680</v>
      </c>
      <c r="D1021" s="8" t="s">
        <v>123</v>
      </c>
      <c r="E1021" s="8" t="s">
        <v>51</v>
      </c>
      <c r="F1021" s="8" t="s">
        <v>326</v>
      </c>
      <c r="G1021" s="8" t="s">
        <v>133</v>
      </c>
      <c r="H1021" s="8" t="s">
        <v>8670</v>
      </c>
      <c r="I1021" s="8" t="s">
        <v>9508</v>
      </c>
      <c r="J1021" s="8" t="s">
        <v>119</v>
      </c>
      <c r="K1021" s="8" t="s">
        <v>8664</v>
      </c>
      <c r="L1021" s="8"/>
      <c r="M1021" s="8"/>
      <c r="N1021" s="8" t="n">
        <v>25</v>
      </c>
      <c r="O1021" s="8" t="n">
        <v>19</v>
      </c>
      <c r="P1021" s="8" t="s">
        <v>120</v>
      </c>
    </row>
    <row r="1022" customFormat="false" ht="15" hidden="false" customHeight="false" outlineLevel="0" collapsed="false">
      <c r="A1022" s="8" t="s">
        <v>4312</v>
      </c>
      <c r="B1022" s="8" t="s">
        <v>4313</v>
      </c>
      <c r="C1022" s="8" t="s">
        <v>8669</v>
      </c>
      <c r="D1022" s="8" t="s">
        <v>132</v>
      </c>
      <c r="E1022" s="8" t="s">
        <v>51</v>
      </c>
      <c r="F1022" s="8" t="s">
        <v>2027</v>
      </c>
      <c r="G1022" s="8" t="s">
        <v>154</v>
      </c>
      <c r="H1022" s="8" t="s">
        <v>8675</v>
      </c>
      <c r="I1022" s="8" t="s">
        <v>9131</v>
      </c>
      <c r="J1022" s="8" t="s">
        <v>144</v>
      </c>
      <c r="K1022" s="8" t="s">
        <v>8664</v>
      </c>
      <c r="L1022" s="8"/>
      <c r="M1022" s="8"/>
      <c r="N1022" s="8" t="n">
        <v>12</v>
      </c>
      <c r="O1022" s="8" t="n">
        <v>6</v>
      </c>
      <c r="P1022" s="8" t="s">
        <v>120</v>
      </c>
    </row>
    <row r="1023" customFormat="false" ht="15" hidden="false" customHeight="false" outlineLevel="0" collapsed="false">
      <c r="A1023" s="8" t="s">
        <v>805</v>
      </c>
      <c r="B1023" s="8" t="s">
        <v>806</v>
      </c>
      <c r="C1023" s="8" t="s">
        <v>8700</v>
      </c>
      <c r="D1023" s="8" t="s">
        <v>132</v>
      </c>
      <c r="E1023" s="8" t="s">
        <v>53</v>
      </c>
      <c r="F1023" s="8" t="s">
        <v>326</v>
      </c>
      <c r="G1023" s="8" t="s">
        <v>136</v>
      </c>
      <c r="H1023" s="8" t="s">
        <v>8662</v>
      </c>
      <c r="I1023" s="8" t="s">
        <v>9663</v>
      </c>
      <c r="J1023" s="8" t="s">
        <v>159</v>
      </c>
      <c r="K1023" s="8" t="s">
        <v>8664</v>
      </c>
      <c r="L1023" s="8"/>
      <c r="M1023" s="8"/>
      <c r="N1023" s="8" t="n">
        <v>25</v>
      </c>
      <c r="O1023" s="8" t="n">
        <v>195</v>
      </c>
      <c r="P1023" s="8" t="s">
        <v>120</v>
      </c>
    </row>
    <row r="1024" customFormat="false" ht="15" hidden="false" customHeight="false" outlineLevel="0" collapsed="false">
      <c r="A1024" s="8" t="s">
        <v>4418</v>
      </c>
      <c r="B1024" s="8" t="s">
        <v>9664</v>
      </c>
      <c r="C1024" s="8" t="s">
        <v>8669</v>
      </c>
      <c r="D1024" s="8" t="s">
        <v>123</v>
      </c>
      <c r="E1024" s="8" t="s">
        <v>55</v>
      </c>
      <c r="F1024" s="8" t="s">
        <v>326</v>
      </c>
      <c r="G1024" s="8" t="s">
        <v>166</v>
      </c>
      <c r="H1024" s="8" t="s">
        <v>8662</v>
      </c>
      <c r="I1024" s="8" t="s">
        <v>9011</v>
      </c>
      <c r="J1024" s="8"/>
      <c r="K1024" s="8" t="s">
        <v>8690</v>
      </c>
      <c r="L1024" s="8" t="s">
        <v>8809</v>
      </c>
      <c r="M1024" s="8" t="s">
        <v>8705</v>
      </c>
      <c r="N1024" s="8" t="n">
        <v>25</v>
      </c>
      <c r="O1024" s="8" t="n">
        <v>406</v>
      </c>
      <c r="P1024" s="8" t="s">
        <v>120</v>
      </c>
    </row>
    <row r="1025" customFormat="false" ht="15" hidden="false" customHeight="false" outlineLevel="0" collapsed="false">
      <c r="A1025" s="8" t="s">
        <v>4491</v>
      </c>
      <c r="B1025" s="8" t="s">
        <v>9665</v>
      </c>
      <c r="C1025" s="8" t="s">
        <v>8674</v>
      </c>
      <c r="D1025" s="8" t="s">
        <v>123</v>
      </c>
      <c r="E1025" s="8" t="s">
        <v>51</v>
      </c>
      <c r="F1025" s="8" t="s">
        <v>326</v>
      </c>
      <c r="G1025" s="8" t="s">
        <v>223</v>
      </c>
      <c r="H1025" s="8" t="s">
        <v>8675</v>
      </c>
      <c r="I1025" s="8" t="s">
        <v>8926</v>
      </c>
      <c r="J1025" s="8"/>
      <c r="K1025" s="8" t="s">
        <v>8690</v>
      </c>
      <c r="L1025" s="8" t="s">
        <v>9666</v>
      </c>
      <c r="M1025" s="8" t="s">
        <v>8727</v>
      </c>
      <c r="N1025" s="8" t="n">
        <v>25</v>
      </c>
      <c r="O1025" s="8" t="n">
        <v>24</v>
      </c>
      <c r="P1025" s="8" t="s">
        <v>120</v>
      </c>
    </row>
    <row r="1026" customFormat="false" ht="15" hidden="false" customHeight="false" outlineLevel="0" collapsed="false">
      <c r="A1026" s="8" t="s">
        <v>2642</v>
      </c>
      <c r="B1026" s="8" t="s">
        <v>2643</v>
      </c>
      <c r="C1026" s="8" t="s">
        <v>8688</v>
      </c>
      <c r="D1026" s="8" t="s">
        <v>132</v>
      </c>
      <c r="E1026" s="8" t="s">
        <v>51</v>
      </c>
      <c r="F1026" s="8" t="s">
        <v>326</v>
      </c>
      <c r="G1026" s="8" t="s">
        <v>124</v>
      </c>
      <c r="H1026" s="8" t="s">
        <v>8666</v>
      </c>
      <c r="I1026" s="8" t="s">
        <v>9667</v>
      </c>
      <c r="J1026" s="8" t="s">
        <v>140</v>
      </c>
      <c r="K1026" s="8" t="s">
        <v>8664</v>
      </c>
      <c r="L1026" s="8"/>
      <c r="M1026" s="8"/>
      <c r="N1026" s="8" t="n">
        <v>25</v>
      </c>
      <c r="O1026" s="8" t="n">
        <v>17</v>
      </c>
      <c r="P1026" s="8" t="s">
        <v>120</v>
      </c>
    </row>
    <row r="1027" customFormat="false" ht="15" hidden="false" customHeight="false" outlineLevel="0" collapsed="false">
      <c r="A1027" s="8" t="s">
        <v>9668</v>
      </c>
      <c r="B1027" s="8" t="s">
        <v>9669</v>
      </c>
      <c r="C1027" s="8" t="s">
        <v>8661</v>
      </c>
      <c r="D1027" s="8" t="s">
        <v>123</v>
      </c>
      <c r="E1027" s="8" t="s">
        <v>53</v>
      </c>
      <c r="F1027" s="8" t="s">
        <v>326</v>
      </c>
      <c r="G1027" s="8" t="s">
        <v>166</v>
      </c>
      <c r="H1027" s="8" t="s">
        <v>8670</v>
      </c>
      <c r="I1027" s="8" t="s">
        <v>9555</v>
      </c>
      <c r="J1027" s="8"/>
      <c r="K1027" s="8" t="s">
        <v>8690</v>
      </c>
      <c r="L1027" s="8" t="s">
        <v>9452</v>
      </c>
      <c r="M1027" s="8" t="s">
        <v>8696</v>
      </c>
      <c r="N1027" s="8" t="n">
        <v>25</v>
      </c>
      <c r="O1027" s="8" t="n">
        <v>85</v>
      </c>
      <c r="P1027" s="8" t="s">
        <v>120</v>
      </c>
    </row>
    <row r="1028" customFormat="false" ht="15" hidden="false" customHeight="false" outlineLevel="0" collapsed="false">
      <c r="A1028" s="8" t="s">
        <v>1823</v>
      </c>
      <c r="B1028" s="8" t="s">
        <v>1824</v>
      </c>
      <c r="C1028" s="8" t="s">
        <v>8688</v>
      </c>
      <c r="D1028" s="8" t="s">
        <v>123</v>
      </c>
      <c r="E1028" s="8" t="s">
        <v>51</v>
      </c>
      <c r="F1028" s="8" t="s">
        <v>326</v>
      </c>
      <c r="G1028" s="8" t="s">
        <v>136</v>
      </c>
      <c r="H1028" s="8" t="s">
        <v>8675</v>
      </c>
      <c r="I1028" s="8" t="s">
        <v>9005</v>
      </c>
      <c r="J1028" s="8" t="s">
        <v>125</v>
      </c>
      <c r="K1028" s="8" t="s">
        <v>8664</v>
      </c>
      <c r="L1028" s="8"/>
      <c r="M1028" s="8"/>
      <c r="N1028" s="8" t="n">
        <v>25</v>
      </c>
      <c r="O1028" s="8" t="n">
        <v>33</v>
      </c>
      <c r="P1028" s="8" t="s">
        <v>120</v>
      </c>
    </row>
    <row r="1029" customFormat="false" ht="15" hidden="false" customHeight="false" outlineLevel="0" collapsed="false">
      <c r="A1029" s="8" t="s">
        <v>339</v>
      </c>
      <c r="B1029" s="8" t="s">
        <v>340</v>
      </c>
      <c r="C1029" s="8" t="s">
        <v>8665</v>
      </c>
      <c r="D1029" s="8" t="s">
        <v>123</v>
      </c>
      <c r="E1029" s="8" t="s">
        <v>55</v>
      </c>
      <c r="F1029" s="8" t="s">
        <v>55</v>
      </c>
      <c r="G1029" s="8" t="s">
        <v>166</v>
      </c>
      <c r="H1029" s="8" t="s">
        <v>8666</v>
      </c>
      <c r="I1029" s="8" t="s">
        <v>9670</v>
      </c>
      <c r="J1029" s="8" t="s">
        <v>204</v>
      </c>
      <c r="K1029" s="8" t="s">
        <v>8664</v>
      </c>
      <c r="L1029" s="8"/>
      <c r="M1029" s="8"/>
      <c r="N1029" s="8" t="n">
        <v>45</v>
      </c>
      <c r="O1029" s="8" t="n">
        <v>214</v>
      </c>
      <c r="P1029" s="8" t="s">
        <v>120</v>
      </c>
    </row>
    <row r="1030" customFormat="false" ht="15" hidden="false" customHeight="false" outlineLevel="0" collapsed="false">
      <c r="A1030" s="8" t="s">
        <v>619</v>
      </c>
      <c r="B1030" s="8" t="s">
        <v>620</v>
      </c>
      <c r="C1030" s="8" t="s">
        <v>8674</v>
      </c>
      <c r="D1030" s="8" t="s">
        <v>123</v>
      </c>
      <c r="E1030" s="8" t="s">
        <v>53</v>
      </c>
      <c r="F1030" s="8" t="s">
        <v>55</v>
      </c>
      <c r="G1030" s="8" t="s">
        <v>124</v>
      </c>
      <c r="H1030" s="8" t="s">
        <v>8670</v>
      </c>
      <c r="I1030" s="8" t="s">
        <v>8896</v>
      </c>
      <c r="J1030" s="8" t="s">
        <v>140</v>
      </c>
      <c r="K1030" s="8" t="s">
        <v>8664</v>
      </c>
      <c r="L1030" s="8"/>
      <c r="M1030" s="8"/>
      <c r="N1030" s="8" t="n">
        <v>45</v>
      </c>
      <c r="O1030" s="8" t="n">
        <v>164</v>
      </c>
      <c r="P1030" s="8" t="s">
        <v>120</v>
      </c>
    </row>
    <row r="1031" customFormat="false" ht="15" hidden="false" customHeight="false" outlineLevel="0" collapsed="false">
      <c r="A1031" s="8" t="s">
        <v>3272</v>
      </c>
      <c r="B1031" s="8" t="s">
        <v>3273</v>
      </c>
      <c r="C1031" s="8" t="s">
        <v>8674</v>
      </c>
      <c r="D1031" s="8" t="s">
        <v>123</v>
      </c>
      <c r="E1031" s="8" t="s">
        <v>51</v>
      </c>
      <c r="F1031" s="8" t="s">
        <v>2027</v>
      </c>
      <c r="G1031" s="8" t="s">
        <v>118</v>
      </c>
      <c r="H1031" s="8" t="s">
        <v>8675</v>
      </c>
      <c r="I1031" s="8" t="s">
        <v>9070</v>
      </c>
      <c r="J1031" s="8" t="s">
        <v>147</v>
      </c>
      <c r="K1031" s="8" t="s">
        <v>8664</v>
      </c>
      <c r="L1031" s="8"/>
      <c r="M1031" s="8"/>
      <c r="N1031" s="8" t="n">
        <v>12</v>
      </c>
      <c r="O1031" s="8" t="n">
        <v>25</v>
      </c>
      <c r="P1031" s="8" t="s">
        <v>120</v>
      </c>
    </row>
    <row r="1032" customFormat="false" ht="15" hidden="false" customHeight="false" outlineLevel="0" collapsed="false">
      <c r="A1032" s="8" t="s">
        <v>657</v>
      </c>
      <c r="B1032" s="8" t="s">
        <v>658</v>
      </c>
      <c r="C1032" s="8" t="s">
        <v>8665</v>
      </c>
      <c r="D1032" s="8" t="s">
        <v>123</v>
      </c>
      <c r="E1032" s="8" t="s">
        <v>53</v>
      </c>
      <c r="F1032" s="8" t="s">
        <v>55</v>
      </c>
      <c r="G1032" s="8" t="s">
        <v>143</v>
      </c>
      <c r="H1032" s="8" t="s">
        <v>8666</v>
      </c>
      <c r="I1032" s="8" t="s">
        <v>9671</v>
      </c>
      <c r="J1032" s="8" t="s">
        <v>119</v>
      </c>
      <c r="K1032" s="8" t="s">
        <v>8664</v>
      </c>
      <c r="L1032" s="8"/>
      <c r="M1032" s="8"/>
      <c r="N1032" s="8" t="n">
        <v>45</v>
      </c>
      <c r="O1032" s="8" t="n">
        <v>149</v>
      </c>
      <c r="P1032" s="8" t="s">
        <v>120</v>
      </c>
    </row>
    <row r="1033" customFormat="false" ht="15" hidden="false" customHeight="false" outlineLevel="0" collapsed="false">
      <c r="A1033" s="8" t="s">
        <v>3058</v>
      </c>
      <c r="B1033" s="8" t="s">
        <v>3059</v>
      </c>
      <c r="C1033" s="8" t="s">
        <v>8680</v>
      </c>
      <c r="D1033" s="8" t="s">
        <v>123</v>
      </c>
      <c r="E1033" s="8" t="s">
        <v>51</v>
      </c>
      <c r="F1033" s="8" t="s">
        <v>2027</v>
      </c>
      <c r="G1033" s="8" t="s">
        <v>136</v>
      </c>
      <c r="H1033" s="8" t="s">
        <v>8675</v>
      </c>
      <c r="I1033" s="8" t="s">
        <v>8940</v>
      </c>
      <c r="J1033" s="8" t="s">
        <v>140</v>
      </c>
      <c r="K1033" s="8" t="s">
        <v>8664</v>
      </c>
      <c r="L1033" s="8"/>
      <c r="M1033" s="8"/>
      <c r="N1033" s="8" t="n">
        <v>12</v>
      </c>
      <c r="O1033" s="8" t="n">
        <v>33</v>
      </c>
      <c r="P1033" s="8" t="s">
        <v>120</v>
      </c>
    </row>
    <row r="1034" customFormat="false" ht="15" hidden="false" customHeight="false" outlineLevel="0" collapsed="false">
      <c r="A1034" s="8" t="s">
        <v>4106</v>
      </c>
      <c r="B1034" s="8" t="s">
        <v>4107</v>
      </c>
      <c r="C1034" s="8" t="s">
        <v>8674</v>
      </c>
      <c r="D1034" s="8" t="s">
        <v>117</v>
      </c>
      <c r="E1034" s="8" t="s">
        <v>51</v>
      </c>
      <c r="F1034" s="8" t="s">
        <v>2027</v>
      </c>
      <c r="G1034" s="8" t="s">
        <v>166</v>
      </c>
      <c r="H1034" s="8" t="s">
        <v>8675</v>
      </c>
      <c r="I1034" s="8" t="s">
        <v>9348</v>
      </c>
      <c r="J1034" s="8" t="s">
        <v>140</v>
      </c>
      <c r="K1034" s="8" t="s">
        <v>8664</v>
      </c>
      <c r="L1034" s="8"/>
      <c r="M1034" s="8"/>
      <c r="N1034" s="8" t="n">
        <v>12</v>
      </c>
      <c r="O1034" s="8" t="n">
        <v>10</v>
      </c>
      <c r="P1034" s="8" t="s">
        <v>120</v>
      </c>
    </row>
    <row r="1035" customFormat="false" ht="15" hidden="false" customHeight="false" outlineLevel="0" collapsed="false">
      <c r="A1035" s="8" t="s">
        <v>641</v>
      </c>
      <c r="B1035" s="8" t="s">
        <v>642</v>
      </c>
      <c r="C1035" s="8" t="s">
        <v>8674</v>
      </c>
      <c r="D1035" s="8" t="s">
        <v>117</v>
      </c>
      <c r="E1035" s="8" t="s">
        <v>53</v>
      </c>
      <c r="F1035" s="8" t="s">
        <v>55</v>
      </c>
      <c r="G1035" s="8" t="s">
        <v>133</v>
      </c>
      <c r="H1035" s="8" t="s">
        <v>8662</v>
      </c>
      <c r="I1035" s="8" t="s">
        <v>8698</v>
      </c>
      <c r="J1035" s="8" t="s">
        <v>144</v>
      </c>
      <c r="K1035" s="8" t="s">
        <v>8664</v>
      </c>
      <c r="L1035" s="8"/>
      <c r="M1035" s="8"/>
      <c r="N1035" s="8" t="n">
        <v>45</v>
      </c>
      <c r="O1035" s="8" t="n">
        <v>119</v>
      </c>
      <c r="P1035" s="8" t="s">
        <v>120</v>
      </c>
    </row>
    <row r="1036" customFormat="false" ht="15" hidden="false" customHeight="false" outlineLevel="0" collapsed="false">
      <c r="A1036" s="8" t="s">
        <v>4032</v>
      </c>
      <c r="B1036" s="8" t="s">
        <v>4033</v>
      </c>
      <c r="C1036" s="8" t="s">
        <v>8669</v>
      </c>
      <c r="D1036" s="8" t="s">
        <v>123</v>
      </c>
      <c r="E1036" s="8" t="s">
        <v>51</v>
      </c>
      <c r="F1036" s="8" t="s">
        <v>2027</v>
      </c>
      <c r="G1036" s="8" t="s">
        <v>124</v>
      </c>
      <c r="H1036" s="8" t="s">
        <v>8670</v>
      </c>
      <c r="I1036" s="8" t="s">
        <v>8919</v>
      </c>
      <c r="J1036" s="8" t="s">
        <v>119</v>
      </c>
      <c r="K1036" s="8" t="s">
        <v>8664</v>
      </c>
      <c r="L1036" s="8"/>
      <c r="M1036" s="8"/>
      <c r="N1036" s="8" t="n">
        <v>12</v>
      </c>
      <c r="O1036" s="8" t="n">
        <v>11</v>
      </c>
      <c r="P1036" s="8" t="s">
        <v>120</v>
      </c>
    </row>
    <row r="1037" customFormat="false" ht="15" hidden="false" customHeight="false" outlineLevel="0" collapsed="false">
      <c r="A1037" s="8" t="s">
        <v>2318</v>
      </c>
      <c r="B1037" s="8" t="s">
        <v>2319</v>
      </c>
      <c r="C1037" s="8" t="s">
        <v>8661</v>
      </c>
      <c r="D1037" s="8" t="s">
        <v>117</v>
      </c>
      <c r="E1037" s="8" t="s">
        <v>51</v>
      </c>
      <c r="F1037" s="8" t="s">
        <v>2027</v>
      </c>
      <c r="G1037" s="8" t="s">
        <v>133</v>
      </c>
      <c r="H1037" s="8" t="s">
        <v>8675</v>
      </c>
      <c r="I1037" s="8" t="s">
        <v>9672</v>
      </c>
      <c r="J1037" s="8" t="s">
        <v>180</v>
      </c>
      <c r="K1037" s="8" t="s">
        <v>8664</v>
      </c>
      <c r="L1037" s="8"/>
      <c r="M1037" s="8"/>
      <c r="N1037" s="8" t="n">
        <v>12</v>
      </c>
      <c r="O1037" s="8" t="n">
        <v>32</v>
      </c>
      <c r="P1037" s="8" t="s">
        <v>120</v>
      </c>
    </row>
    <row r="1038" customFormat="false" ht="15" hidden="false" customHeight="false" outlineLevel="0" collapsed="false">
      <c r="A1038" s="8" t="s">
        <v>2292</v>
      </c>
      <c r="B1038" s="8" t="s">
        <v>2293</v>
      </c>
      <c r="C1038" s="8" t="s">
        <v>8674</v>
      </c>
      <c r="D1038" s="8" t="s">
        <v>117</v>
      </c>
      <c r="E1038" s="8" t="s">
        <v>51</v>
      </c>
      <c r="F1038" s="8" t="s">
        <v>326</v>
      </c>
      <c r="G1038" s="8" t="s">
        <v>154</v>
      </c>
      <c r="H1038" s="8" t="s">
        <v>8666</v>
      </c>
      <c r="I1038" s="8" t="s">
        <v>9673</v>
      </c>
      <c r="J1038" s="8" t="s">
        <v>159</v>
      </c>
      <c r="K1038" s="8" t="s">
        <v>8664</v>
      </c>
      <c r="L1038" s="8"/>
      <c r="M1038" s="8"/>
      <c r="N1038" s="8" t="n">
        <v>25</v>
      </c>
      <c r="O1038" s="8" t="n">
        <v>22</v>
      </c>
      <c r="P1038" s="8" t="s">
        <v>120</v>
      </c>
    </row>
    <row r="1039" customFormat="false" ht="15" hidden="false" customHeight="false" outlineLevel="0" collapsed="false">
      <c r="A1039" s="8" t="s">
        <v>1041</v>
      </c>
      <c r="B1039" s="8" t="s">
        <v>1042</v>
      </c>
      <c r="C1039" s="8" t="s">
        <v>8661</v>
      </c>
      <c r="D1039" s="8" t="s">
        <v>123</v>
      </c>
      <c r="E1039" s="8" t="s">
        <v>53</v>
      </c>
      <c r="F1039" s="8" t="s">
        <v>55</v>
      </c>
      <c r="G1039" s="8" t="s">
        <v>136</v>
      </c>
      <c r="H1039" s="8" t="s">
        <v>8666</v>
      </c>
      <c r="I1039" s="8" t="s">
        <v>8949</v>
      </c>
      <c r="J1039" s="8" t="s">
        <v>147</v>
      </c>
      <c r="K1039" s="8" t="s">
        <v>8664</v>
      </c>
      <c r="L1039" s="8"/>
      <c r="M1039" s="8"/>
      <c r="N1039" s="8" t="n">
        <v>45</v>
      </c>
      <c r="O1039" s="8" t="n">
        <v>88</v>
      </c>
      <c r="P1039" s="8" t="s">
        <v>120</v>
      </c>
    </row>
    <row r="1040" customFormat="false" ht="15" hidden="false" customHeight="false" outlineLevel="0" collapsed="false">
      <c r="A1040" s="8" t="s">
        <v>4583</v>
      </c>
      <c r="B1040" s="8" t="s">
        <v>9674</v>
      </c>
      <c r="C1040" s="8" t="s">
        <v>8665</v>
      </c>
      <c r="D1040" s="8" t="s">
        <v>123</v>
      </c>
      <c r="E1040" s="8" t="s">
        <v>51</v>
      </c>
      <c r="F1040" s="8" t="s">
        <v>2027</v>
      </c>
      <c r="G1040" s="8" t="s">
        <v>118</v>
      </c>
      <c r="H1040" s="8" t="s">
        <v>8670</v>
      </c>
      <c r="I1040" s="8" t="s">
        <v>9116</v>
      </c>
      <c r="J1040" s="8"/>
      <c r="K1040" s="8" t="s">
        <v>8690</v>
      </c>
      <c r="L1040" s="8" t="s">
        <v>8877</v>
      </c>
      <c r="M1040" s="8" t="s">
        <v>8705</v>
      </c>
      <c r="N1040" s="8" t="n">
        <v>12</v>
      </c>
      <c r="O1040" s="8" t="n">
        <v>11</v>
      </c>
      <c r="P1040" s="8" t="s">
        <v>120</v>
      </c>
    </row>
    <row r="1041" customFormat="false" ht="15" hidden="false" customHeight="false" outlineLevel="0" collapsed="false">
      <c r="A1041" s="8" t="s">
        <v>3668</v>
      </c>
      <c r="B1041" s="8" t="s">
        <v>3669</v>
      </c>
      <c r="C1041" s="8" t="s">
        <v>8700</v>
      </c>
      <c r="D1041" s="8" t="s">
        <v>117</v>
      </c>
      <c r="E1041" s="8" t="s">
        <v>51</v>
      </c>
      <c r="F1041" s="8" t="s">
        <v>2027</v>
      </c>
      <c r="G1041" s="8" t="s">
        <v>166</v>
      </c>
      <c r="H1041" s="8" t="s">
        <v>8662</v>
      </c>
      <c r="I1041" s="8" t="s">
        <v>9249</v>
      </c>
      <c r="J1041" s="8" t="s">
        <v>185</v>
      </c>
      <c r="K1041" s="8" t="s">
        <v>8664</v>
      </c>
      <c r="L1041" s="8"/>
      <c r="M1041" s="8"/>
      <c r="N1041" s="8" t="n">
        <v>12</v>
      </c>
      <c r="O1041" s="8" t="n">
        <v>18</v>
      </c>
      <c r="P1041" s="8" t="s">
        <v>120</v>
      </c>
    </row>
    <row r="1042" customFormat="false" ht="15" hidden="false" customHeight="false" outlineLevel="0" collapsed="false">
      <c r="A1042" s="8" t="s">
        <v>1167</v>
      </c>
      <c r="B1042" s="8" t="s">
        <v>1168</v>
      </c>
      <c r="C1042" s="8" t="s">
        <v>8669</v>
      </c>
      <c r="D1042" s="8" t="s">
        <v>123</v>
      </c>
      <c r="E1042" s="8" t="s">
        <v>53</v>
      </c>
      <c r="F1042" s="8" t="s">
        <v>55</v>
      </c>
      <c r="G1042" s="8" t="s">
        <v>118</v>
      </c>
      <c r="H1042" s="8" t="s">
        <v>8666</v>
      </c>
      <c r="I1042" s="8" t="s">
        <v>9125</v>
      </c>
      <c r="J1042" s="8" t="s">
        <v>185</v>
      </c>
      <c r="K1042" s="8" t="s">
        <v>8664</v>
      </c>
      <c r="L1042" s="8"/>
      <c r="M1042" s="8"/>
      <c r="N1042" s="8" t="n">
        <v>45</v>
      </c>
      <c r="O1042" s="8" t="n">
        <v>78</v>
      </c>
      <c r="P1042" s="8" t="s">
        <v>120</v>
      </c>
    </row>
    <row r="1043" customFormat="false" ht="15" hidden="false" customHeight="false" outlineLevel="0" collapsed="false">
      <c r="A1043" s="8" t="s">
        <v>3060</v>
      </c>
      <c r="B1043" s="8" t="s">
        <v>3061</v>
      </c>
      <c r="C1043" s="8" t="s">
        <v>8665</v>
      </c>
      <c r="D1043" s="8" t="s">
        <v>117</v>
      </c>
      <c r="E1043" s="8" t="s">
        <v>51</v>
      </c>
      <c r="F1043" s="8" t="s">
        <v>2027</v>
      </c>
      <c r="G1043" s="8" t="s">
        <v>223</v>
      </c>
      <c r="H1043" s="8" t="s">
        <v>8662</v>
      </c>
      <c r="I1043" s="8" t="s">
        <v>9001</v>
      </c>
      <c r="J1043" s="8" t="s">
        <v>119</v>
      </c>
      <c r="K1043" s="8" t="s">
        <v>8664</v>
      </c>
      <c r="L1043" s="8"/>
      <c r="M1043" s="8"/>
      <c r="N1043" s="8" t="n">
        <v>12</v>
      </c>
      <c r="O1043" s="8" t="n">
        <v>29</v>
      </c>
      <c r="P1043" s="8" t="s">
        <v>120</v>
      </c>
    </row>
    <row r="1044" customFormat="false" ht="15" hidden="false" customHeight="false" outlineLevel="0" collapsed="false">
      <c r="A1044" s="8" t="s">
        <v>607</v>
      </c>
      <c r="B1044" s="8" t="s">
        <v>608</v>
      </c>
      <c r="C1044" s="8" t="s">
        <v>8674</v>
      </c>
      <c r="D1044" s="8" t="s">
        <v>132</v>
      </c>
      <c r="E1044" s="8" t="s">
        <v>55</v>
      </c>
      <c r="F1044" s="8" t="s">
        <v>326</v>
      </c>
      <c r="G1044" s="8" t="s">
        <v>190</v>
      </c>
      <c r="H1044" s="8" t="s">
        <v>8662</v>
      </c>
      <c r="I1044" s="8" t="s">
        <v>9269</v>
      </c>
      <c r="J1044" s="8" t="s">
        <v>144</v>
      </c>
      <c r="K1044" s="8" t="s">
        <v>8664</v>
      </c>
      <c r="L1044" s="8"/>
      <c r="M1044" s="8"/>
      <c r="N1044" s="8" t="n">
        <v>25</v>
      </c>
      <c r="O1044" s="8" t="n">
        <v>336</v>
      </c>
      <c r="P1044" s="8" t="s">
        <v>120</v>
      </c>
    </row>
    <row r="1045" customFormat="false" ht="15" hidden="false" customHeight="false" outlineLevel="0" collapsed="false">
      <c r="A1045" s="8" t="s">
        <v>3406</v>
      </c>
      <c r="B1045" s="8" t="s">
        <v>3407</v>
      </c>
      <c r="C1045" s="8" t="s">
        <v>8680</v>
      </c>
      <c r="D1045" s="8" t="s">
        <v>132</v>
      </c>
      <c r="E1045" s="8" t="s">
        <v>51</v>
      </c>
      <c r="F1045" s="8" t="s">
        <v>2027</v>
      </c>
      <c r="G1045" s="8" t="s">
        <v>223</v>
      </c>
      <c r="H1045" s="8" t="s">
        <v>8675</v>
      </c>
      <c r="I1045" s="8" t="s">
        <v>9675</v>
      </c>
      <c r="J1045" s="8" t="s">
        <v>180</v>
      </c>
      <c r="K1045" s="8" t="s">
        <v>8664</v>
      </c>
      <c r="L1045" s="8"/>
      <c r="M1045" s="8"/>
      <c r="N1045" s="8" t="n">
        <v>12</v>
      </c>
      <c r="O1045" s="8" t="n">
        <v>23</v>
      </c>
      <c r="P1045" s="8" t="s">
        <v>120</v>
      </c>
    </row>
    <row r="1046" customFormat="false" ht="15" hidden="false" customHeight="false" outlineLevel="0" collapsed="false">
      <c r="A1046" s="8" t="s">
        <v>3062</v>
      </c>
      <c r="B1046" s="8" t="s">
        <v>3063</v>
      </c>
      <c r="C1046" s="8" t="s">
        <v>8674</v>
      </c>
      <c r="D1046" s="8" t="s">
        <v>123</v>
      </c>
      <c r="E1046" s="8" t="s">
        <v>51</v>
      </c>
      <c r="F1046" s="8" t="s">
        <v>2027</v>
      </c>
      <c r="G1046" s="8" t="s">
        <v>118</v>
      </c>
      <c r="H1046" s="8" t="s">
        <v>8670</v>
      </c>
      <c r="I1046" s="8" t="s">
        <v>9676</v>
      </c>
      <c r="J1046" s="8" t="s">
        <v>185</v>
      </c>
      <c r="K1046" s="8" t="s">
        <v>8664</v>
      </c>
      <c r="L1046" s="8"/>
      <c r="M1046" s="8"/>
      <c r="N1046" s="8" t="n">
        <v>12</v>
      </c>
      <c r="O1046" s="8" t="n">
        <v>29</v>
      </c>
      <c r="P1046" s="8" t="s">
        <v>120</v>
      </c>
    </row>
    <row r="1047" customFormat="false" ht="15" hidden="false" customHeight="false" outlineLevel="0" collapsed="false">
      <c r="A1047" s="8" t="s">
        <v>353</v>
      </c>
      <c r="B1047" s="8" t="s">
        <v>354</v>
      </c>
      <c r="C1047" s="8" t="s">
        <v>8678</v>
      </c>
      <c r="D1047" s="8" t="s">
        <v>123</v>
      </c>
      <c r="E1047" s="8" t="s">
        <v>55</v>
      </c>
      <c r="F1047" s="8" t="s">
        <v>55</v>
      </c>
      <c r="G1047" s="8" t="s">
        <v>124</v>
      </c>
      <c r="H1047" s="8" t="s">
        <v>8662</v>
      </c>
      <c r="I1047" s="8" t="s">
        <v>9499</v>
      </c>
      <c r="J1047" s="8" t="s">
        <v>204</v>
      </c>
      <c r="K1047" s="8" t="s">
        <v>8664</v>
      </c>
      <c r="L1047" s="8"/>
      <c r="M1047" s="8"/>
      <c r="N1047" s="8" t="n">
        <v>45</v>
      </c>
      <c r="O1047" s="8" t="n">
        <v>334</v>
      </c>
      <c r="P1047" s="8" t="s">
        <v>120</v>
      </c>
    </row>
    <row r="1048" customFormat="false" ht="15" hidden="false" customHeight="false" outlineLevel="0" collapsed="false">
      <c r="A1048" s="8" t="s">
        <v>2516</v>
      </c>
      <c r="B1048" s="8" t="s">
        <v>2517</v>
      </c>
      <c r="C1048" s="8" t="s">
        <v>8674</v>
      </c>
      <c r="D1048" s="8" t="s">
        <v>128</v>
      </c>
      <c r="E1048" s="8" t="s">
        <v>51</v>
      </c>
      <c r="F1048" s="8" t="s">
        <v>2027</v>
      </c>
      <c r="G1048" s="8" t="s">
        <v>154</v>
      </c>
      <c r="H1048" s="8" t="s">
        <v>8666</v>
      </c>
      <c r="I1048" s="8" t="s">
        <v>9216</v>
      </c>
      <c r="J1048" s="8" t="s">
        <v>185</v>
      </c>
      <c r="K1048" s="8" t="s">
        <v>8664</v>
      </c>
      <c r="L1048" s="8"/>
      <c r="M1048" s="8"/>
      <c r="N1048" s="8" t="n">
        <v>12</v>
      </c>
      <c r="O1048" s="8" t="n">
        <v>30</v>
      </c>
      <c r="P1048" s="8" t="s">
        <v>120</v>
      </c>
    </row>
    <row r="1049" customFormat="false" ht="15" hidden="false" customHeight="false" outlineLevel="0" collapsed="false">
      <c r="A1049" s="8" t="s">
        <v>1549</v>
      </c>
      <c r="B1049" s="8" t="s">
        <v>1550</v>
      </c>
      <c r="C1049" s="8" t="s">
        <v>8669</v>
      </c>
      <c r="D1049" s="8" t="s">
        <v>117</v>
      </c>
      <c r="E1049" s="8" t="s">
        <v>53</v>
      </c>
      <c r="F1049" s="8" t="s">
        <v>326</v>
      </c>
      <c r="G1049" s="8" t="s">
        <v>136</v>
      </c>
      <c r="H1049" s="8" t="s">
        <v>8662</v>
      </c>
      <c r="I1049" s="8" t="s">
        <v>8776</v>
      </c>
      <c r="J1049" s="8" t="s">
        <v>125</v>
      </c>
      <c r="K1049" s="8" t="s">
        <v>8664</v>
      </c>
      <c r="L1049" s="8"/>
      <c r="M1049" s="8"/>
      <c r="N1049" s="8" t="n">
        <v>25</v>
      </c>
      <c r="O1049" s="8" t="n">
        <v>84</v>
      </c>
      <c r="P1049" s="8" t="s">
        <v>120</v>
      </c>
    </row>
    <row r="1050" customFormat="false" ht="15" hidden="false" customHeight="false" outlineLevel="0" collapsed="false">
      <c r="A1050" s="8" t="s">
        <v>2040</v>
      </c>
      <c r="B1050" s="8" t="s">
        <v>2041</v>
      </c>
      <c r="C1050" s="8" t="s">
        <v>8669</v>
      </c>
      <c r="D1050" s="8" t="s">
        <v>117</v>
      </c>
      <c r="E1050" s="8" t="s">
        <v>51</v>
      </c>
      <c r="F1050" s="8" t="s">
        <v>326</v>
      </c>
      <c r="G1050" s="8" t="s">
        <v>166</v>
      </c>
      <c r="H1050" s="8" t="s">
        <v>8670</v>
      </c>
      <c r="I1050" s="8" t="s">
        <v>9612</v>
      </c>
      <c r="J1050" s="8" t="s">
        <v>119</v>
      </c>
      <c r="K1050" s="8" t="s">
        <v>8664</v>
      </c>
      <c r="L1050" s="8"/>
      <c r="M1050" s="8"/>
      <c r="N1050" s="8" t="n">
        <v>25</v>
      </c>
      <c r="O1050" s="8" t="n">
        <v>26</v>
      </c>
      <c r="P1050" s="8" t="s">
        <v>120</v>
      </c>
    </row>
    <row r="1051" customFormat="false" ht="15" hidden="false" customHeight="false" outlineLevel="0" collapsed="false">
      <c r="A1051" s="8" t="s">
        <v>3164</v>
      </c>
      <c r="B1051" s="8" t="s">
        <v>3165</v>
      </c>
      <c r="C1051" s="8" t="s">
        <v>8674</v>
      </c>
      <c r="D1051" s="8" t="s">
        <v>132</v>
      </c>
      <c r="E1051" s="8" t="s">
        <v>51</v>
      </c>
      <c r="F1051" s="8" t="s">
        <v>2027</v>
      </c>
      <c r="G1051" s="8" t="s">
        <v>118</v>
      </c>
      <c r="H1051" s="8" t="s">
        <v>8670</v>
      </c>
      <c r="I1051" s="8" t="s">
        <v>9221</v>
      </c>
      <c r="J1051" s="8" t="s">
        <v>119</v>
      </c>
      <c r="K1051" s="8" t="s">
        <v>8664</v>
      </c>
      <c r="L1051" s="8"/>
      <c r="M1051" s="8"/>
      <c r="N1051" s="8" t="n">
        <v>12</v>
      </c>
      <c r="O1051" s="8" t="n">
        <v>27</v>
      </c>
      <c r="P1051" s="8" t="s">
        <v>120</v>
      </c>
    </row>
    <row r="1052" customFormat="false" ht="15" hidden="false" customHeight="false" outlineLevel="0" collapsed="false">
      <c r="A1052" s="8" t="s">
        <v>1595</v>
      </c>
      <c r="B1052" s="8" t="s">
        <v>1596</v>
      </c>
      <c r="C1052" s="8" t="s">
        <v>8669</v>
      </c>
      <c r="D1052" s="8" t="s">
        <v>132</v>
      </c>
      <c r="E1052" s="8" t="s">
        <v>53</v>
      </c>
      <c r="F1052" s="8" t="s">
        <v>326</v>
      </c>
      <c r="G1052" s="8" t="s">
        <v>151</v>
      </c>
      <c r="H1052" s="8" t="s">
        <v>8666</v>
      </c>
      <c r="I1052" s="8" t="s">
        <v>9677</v>
      </c>
      <c r="J1052" s="8" t="s">
        <v>177</v>
      </c>
      <c r="K1052" s="8" t="s">
        <v>8664</v>
      </c>
      <c r="L1052" s="8"/>
      <c r="M1052" s="8"/>
      <c r="N1052" s="8" t="n">
        <v>25</v>
      </c>
      <c r="O1052" s="8" t="n">
        <v>73</v>
      </c>
      <c r="P1052" s="8" t="s">
        <v>120</v>
      </c>
    </row>
    <row r="1053" customFormat="false" ht="15" hidden="false" customHeight="false" outlineLevel="0" collapsed="false">
      <c r="A1053" s="8" t="s">
        <v>3064</v>
      </c>
      <c r="B1053" s="8" t="s">
        <v>3065</v>
      </c>
      <c r="C1053" s="8" t="s">
        <v>8661</v>
      </c>
      <c r="D1053" s="8" t="s">
        <v>128</v>
      </c>
      <c r="E1053" s="8" t="s">
        <v>51</v>
      </c>
      <c r="F1053" s="8" t="s">
        <v>2027</v>
      </c>
      <c r="G1053" s="8" t="s">
        <v>190</v>
      </c>
      <c r="H1053" s="8" t="s">
        <v>8662</v>
      </c>
      <c r="I1053" s="8" t="s">
        <v>8818</v>
      </c>
      <c r="J1053" s="8" t="s">
        <v>185</v>
      </c>
      <c r="K1053" s="8" t="s">
        <v>8664</v>
      </c>
      <c r="L1053" s="8"/>
      <c r="M1053" s="8"/>
      <c r="N1053" s="8" t="n">
        <v>12</v>
      </c>
      <c r="O1053" s="8" t="n">
        <v>25</v>
      </c>
      <c r="P1053" s="8" t="s">
        <v>120</v>
      </c>
    </row>
    <row r="1054" customFormat="false" ht="15" hidden="false" customHeight="false" outlineLevel="0" collapsed="false">
      <c r="A1054" s="8" t="s">
        <v>4449</v>
      </c>
      <c r="B1054" s="8" t="s">
        <v>9678</v>
      </c>
      <c r="C1054" s="8" t="s">
        <v>8674</v>
      </c>
      <c r="D1054" s="8" t="s">
        <v>123</v>
      </c>
      <c r="E1054" s="8" t="s">
        <v>53</v>
      </c>
      <c r="F1054" s="8" t="s">
        <v>326</v>
      </c>
      <c r="G1054" s="8" t="s">
        <v>133</v>
      </c>
      <c r="H1054" s="8" t="s">
        <v>8666</v>
      </c>
      <c r="I1054" s="8" t="s">
        <v>9679</v>
      </c>
      <c r="J1054" s="8"/>
      <c r="K1054" s="8" t="s">
        <v>8690</v>
      </c>
      <c r="L1054" s="8" t="s">
        <v>9680</v>
      </c>
      <c r="M1054" s="8" t="s">
        <v>8692</v>
      </c>
      <c r="N1054" s="8" t="n">
        <v>25</v>
      </c>
      <c r="O1054" s="8" t="n">
        <v>142</v>
      </c>
      <c r="P1054" s="8" t="s">
        <v>148</v>
      </c>
    </row>
    <row r="1055" customFormat="false" ht="15" hidden="false" customHeight="false" outlineLevel="0" collapsed="false">
      <c r="A1055" s="8" t="s">
        <v>4488</v>
      </c>
      <c r="B1055" s="8" t="s">
        <v>9681</v>
      </c>
      <c r="C1055" s="8" t="s">
        <v>8700</v>
      </c>
      <c r="D1055" s="8" t="s">
        <v>128</v>
      </c>
      <c r="E1055" s="8" t="s">
        <v>51</v>
      </c>
      <c r="F1055" s="8" t="s">
        <v>326</v>
      </c>
      <c r="G1055" s="8" t="s">
        <v>143</v>
      </c>
      <c r="H1055" s="8" t="s">
        <v>8670</v>
      </c>
      <c r="I1055" s="8" t="s">
        <v>9322</v>
      </c>
      <c r="J1055" s="8"/>
      <c r="K1055" s="8" t="s">
        <v>8690</v>
      </c>
      <c r="L1055" s="8" t="s">
        <v>8889</v>
      </c>
      <c r="M1055" s="8" t="s">
        <v>8795</v>
      </c>
      <c r="N1055" s="8" t="n">
        <v>25</v>
      </c>
      <c r="O1055" s="8" t="n">
        <v>27</v>
      </c>
      <c r="P1055" s="8" t="s">
        <v>120</v>
      </c>
    </row>
    <row r="1056" customFormat="false" ht="15" hidden="false" customHeight="false" outlineLevel="0" collapsed="false">
      <c r="A1056" s="8" t="s">
        <v>1001</v>
      </c>
      <c r="B1056" s="8" t="s">
        <v>1002</v>
      </c>
      <c r="C1056" s="8" t="s">
        <v>8669</v>
      </c>
      <c r="D1056" s="8" t="s">
        <v>117</v>
      </c>
      <c r="E1056" s="8" t="s">
        <v>53</v>
      </c>
      <c r="F1056" s="8" t="s">
        <v>326</v>
      </c>
      <c r="G1056" s="8" t="s">
        <v>124</v>
      </c>
      <c r="H1056" s="8" t="s">
        <v>8670</v>
      </c>
      <c r="I1056" s="8" t="s">
        <v>9528</v>
      </c>
      <c r="J1056" s="8" t="s">
        <v>204</v>
      </c>
      <c r="K1056" s="8" t="s">
        <v>8664</v>
      </c>
      <c r="L1056" s="8"/>
      <c r="M1056" s="8"/>
      <c r="N1056" s="8" t="n">
        <v>25</v>
      </c>
      <c r="O1056" s="8" t="n">
        <v>161</v>
      </c>
      <c r="P1056" s="8" t="s">
        <v>120</v>
      </c>
    </row>
    <row r="1057" customFormat="false" ht="15" hidden="false" customHeight="false" outlineLevel="0" collapsed="false">
      <c r="A1057" s="8" t="s">
        <v>4236</v>
      </c>
      <c r="B1057" s="8" t="s">
        <v>4237</v>
      </c>
      <c r="C1057" s="8" t="s">
        <v>8661</v>
      </c>
      <c r="D1057" s="8" t="s">
        <v>117</v>
      </c>
      <c r="E1057" s="8" t="s">
        <v>51</v>
      </c>
      <c r="F1057" s="8" t="s">
        <v>2027</v>
      </c>
      <c r="G1057" s="8" t="s">
        <v>151</v>
      </c>
      <c r="H1057" s="8" t="s">
        <v>8675</v>
      </c>
      <c r="I1057" s="8" t="s">
        <v>8755</v>
      </c>
      <c r="J1057" s="8" t="s">
        <v>140</v>
      </c>
      <c r="K1057" s="8" t="s">
        <v>8664</v>
      </c>
      <c r="L1057" s="8"/>
      <c r="M1057" s="8"/>
      <c r="N1057" s="8" t="n">
        <v>12</v>
      </c>
      <c r="O1057" s="8" t="n">
        <v>9</v>
      </c>
      <c r="P1057" s="8" t="s">
        <v>120</v>
      </c>
    </row>
    <row r="1058" customFormat="false" ht="15" hidden="false" customHeight="false" outlineLevel="0" collapsed="false">
      <c r="A1058" s="8" t="s">
        <v>4108</v>
      </c>
      <c r="B1058" s="8" t="s">
        <v>4109</v>
      </c>
      <c r="C1058" s="8" t="s">
        <v>8661</v>
      </c>
      <c r="D1058" s="8" t="s">
        <v>132</v>
      </c>
      <c r="E1058" s="8" t="s">
        <v>51</v>
      </c>
      <c r="F1058" s="8" t="s">
        <v>2027</v>
      </c>
      <c r="G1058" s="8" t="s">
        <v>143</v>
      </c>
      <c r="H1058" s="8" t="s">
        <v>8675</v>
      </c>
      <c r="I1058" s="8" t="s">
        <v>9654</v>
      </c>
      <c r="J1058" s="8" t="s">
        <v>147</v>
      </c>
      <c r="K1058" s="8" t="s">
        <v>8664</v>
      </c>
      <c r="L1058" s="8"/>
      <c r="M1058" s="8"/>
      <c r="N1058" s="8" t="n">
        <v>12</v>
      </c>
      <c r="O1058" s="8" t="n">
        <v>10</v>
      </c>
      <c r="P1058" s="8" t="s">
        <v>120</v>
      </c>
    </row>
    <row r="1059" customFormat="false" ht="15" hidden="false" customHeight="false" outlineLevel="0" collapsed="false">
      <c r="A1059" s="8" t="s">
        <v>1853</v>
      </c>
      <c r="B1059" s="8" t="s">
        <v>1854</v>
      </c>
      <c r="C1059" s="8" t="s">
        <v>8669</v>
      </c>
      <c r="D1059" s="8" t="s">
        <v>132</v>
      </c>
      <c r="E1059" s="8" t="s">
        <v>51</v>
      </c>
      <c r="F1059" s="8" t="s">
        <v>326</v>
      </c>
      <c r="G1059" s="8" t="s">
        <v>124</v>
      </c>
      <c r="H1059" s="8" t="s">
        <v>8666</v>
      </c>
      <c r="I1059" s="8" t="s">
        <v>9474</v>
      </c>
      <c r="J1059" s="8" t="s">
        <v>204</v>
      </c>
      <c r="K1059" s="8" t="s">
        <v>8664</v>
      </c>
      <c r="L1059" s="8"/>
      <c r="M1059" s="8"/>
      <c r="N1059" s="8" t="n">
        <v>25</v>
      </c>
      <c r="O1059" s="8" t="n">
        <v>38</v>
      </c>
      <c r="P1059" s="8" t="s">
        <v>120</v>
      </c>
    </row>
    <row r="1060" customFormat="false" ht="15" hidden="false" customHeight="false" outlineLevel="0" collapsed="false">
      <c r="A1060" s="8" t="s">
        <v>302</v>
      </c>
      <c r="B1060" s="8" t="s">
        <v>303</v>
      </c>
      <c r="C1060" s="8" t="s">
        <v>8674</v>
      </c>
      <c r="D1060" s="8" t="s">
        <v>123</v>
      </c>
      <c r="E1060" s="8" t="s">
        <v>55</v>
      </c>
      <c r="F1060" s="8" t="s">
        <v>55</v>
      </c>
      <c r="G1060" s="8" t="s">
        <v>136</v>
      </c>
      <c r="H1060" s="8" t="s">
        <v>8662</v>
      </c>
      <c r="I1060" s="8" t="s">
        <v>9656</v>
      </c>
      <c r="J1060" s="8" t="s">
        <v>177</v>
      </c>
      <c r="K1060" s="8" t="s">
        <v>8664</v>
      </c>
      <c r="L1060" s="8"/>
      <c r="M1060" s="8"/>
      <c r="N1060" s="8" t="n">
        <v>45</v>
      </c>
      <c r="O1060" s="8" t="n">
        <v>386</v>
      </c>
      <c r="P1060" s="8" t="s">
        <v>120</v>
      </c>
    </row>
    <row r="1061" customFormat="false" ht="15" hidden="false" customHeight="false" outlineLevel="0" collapsed="false">
      <c r="A1061" s="8" t="s">
        <v>3166</v>
      </c>
      <c r="B1061" s="8" t="s">
        <v>3167</v>
      </c>
      <c r="C1061" s="8" t="s">
        <v>8674</v>
      </c>
      <c r="D1061" s="8" t="s">
        <v>132</v>
      </c>
      <c r="E1061" s="8" t="s">
        <v>51</v>
      </c>
      <c r="F1061" s="8" t="s">
        <v>2027</v>
      </c>
      <c r="G1061" s="8" t="s">
        <v>136</v>
      </c>
      <c r="H1061" s="8" t="s">
        <v>8670</v>
      </c>
      <c r="I1061" s="8" t="s">
        <v>9682</v>
      </c>
      <c r="J1061" s="8" t="s">
        <v>147</v>
      </c>
      <c r="K1061" s="8" t="s">
        <v>8664</v>
      </c>
      <c r="L1061" s="8"/>
      <c r="M1061" s="8"/>
      <c r="N1061" s="8" t="n">
        <v>12</v>
      </c>
      <c r="O1061" s="8" t="n">
        <v>31</v>
      </c>
      <c r="P1061" s="8" t="s">
        <v>120</v>
      </c>
    </row>
    <row r="1062" customFormat="false" ht="15" hidden="false" customHeight="false" outlineLevel="0" collapsed="false">
      <c r="A1062" s="8" t="s">
        <v>4174</v>
      </c>
      <c r="B1062" s="8" t="s">
        <v>4175</v>
      </c>
      <c r="C1062" s="8" t="s">
        <v>8688</v>
      </c>
      <c r="D1062" s="8" t="s">
        <v>117</v>
      </c>
      <c r="E1062" s="8" t="s">
        <v>51</v>
      </c>
      <c r="F1062" s="8" t="s">
        <v>2027</v>
      </c>
      <c r="G1062" s="8" t="s">
        <v>154</v>
      </c>
      <c r="H1062" s="8" t="s">
        <v>8666</v>
      </c>
      <c r="I1062" s="8" t="s">
        <v>8918</v>
      </c>
      <c r="J1062" s="8" t="s">
        <v>147</v>
      </c>
      <c r="K1062" s="8" t="s">
        <v>8664</v>
      </c>
      <c r="L1062" s="8"/>
      <c r="M1062" s="8"/>
      <c r="N1062" s="8" t="n">
        <v>12</v>
      </c>
      <c r="O1062" s="8" t="n">
        <v>17</v>
      </c>
      <c r="P1062" s="8" t="s">
        <v>120</v>
      </c>
    </row>
    <row r="1063" customFormat="false" ht="15" hidden="false" customHeight="false" outlineLevel="0" collapsed="false">
      <c r="A1063" s="8" t="s">
        <v>2232</v>
      </c>
      <c r="B1063" s="8" t="s">
        <v>2233</v>
      </c>
      <c r="C1063" s="8" t="s">
        <v>8700</v>
      </c>
      <c r="D1063" s="8" t="s">
        <v>123</v>
      </c>
      <c r="E1063" s="8" t="s">
        <v>51</v>
      </c>
      <c r="F1063" s="8" t="s">
        <v>2027</v>
      </c>
      <c r="G1063" s="8" t="s">
        <v>136</v>
      </c>
      <c r="H1063" s="8" t="s">
        <v>8662</v>
      </c>
      <c r="I1063" s="8" t="s">
        <v>9529</v>
      </c>
      <c r="J1063" s="8" t="s">
        <v>125</v>
      </c>
      <c r="K1063" s="8" t="s">
        <v>8664</v>
      </c>
      <c r="L1063" s="8"/>
      <c r="M1063" s="8"/>
      <c r="N1063" s="8" t="n">
        <v>12</v>
      </c>
      <c r="O1063" s="8" t="n">
        <v>37</v>
      </c>
      <c r="P1063" s="8" t="s">
        <v>120</v>
      </c>
    </row>
    <row r="1064" customFormat="false" ht="15" hidden="false" customHeight="false" outlineLevel="0" collapsed="false">
      <c r="A1064" s="8" t="s">
        <v>1619</v>
      </c>
      <c r="B1064" s="8" t="s">
        <v>1620</v>
      </c>
      <c r="C1064" s="8" t="s">
        <v>8669</v>
      </c>
      <c r="D1064" s="8" t="s">
        <v>132</v>
      </c>
      <c r="E1064" s="8" t="s">
        <v>53</v>
      </c>
      <c r="F1064" s="8" t="s">
        <v>326</v>
      </c>
      <c r="G1064" s="8" t="s">
        <v>190</v>
      </c>
      <c r="H1064" s="8" t="s">
        <v>8670</v>
      </c>
      <c r="I1064" s="8" t="s">
        <v>9683</v>
      </c>
      <c r="J1064" s="8" t="s">
        <v>137</v>
      </c>
      <c r="K1064" s="8" t="s">
        <v>8664</v>
      </c>
      <c r="L1064" s="8"/>
      <c r="M1064" s="8"/>
      <c r="N1064" s="8" t="n">
        <v>25</v>
      </c>
      <c r="O1064" s="8" t="n">
        <v>69</v>
      </c>
      <c r="P1064" s="8" t="s">
        <v>120</v>
      </c>
    </row>
    <row r="1065" customFormat="false" ht="15" hidden="false" customHeight="false" outlineLevel="0" collapsed="false">
      <c r="A1065" s="8" t="s">
        <v>3274</v>
      </c>
      <c r="B1065" s="8" t="s">
        <v>3275</v>
      </c>
      <c r="C1065" s="8" t="s">
        <v>8661</v>
      </c>
      <c r="D1065" s="8" t="s">
        <v>123</v>
      </c>
      <c r="E1065" s="8" t="s">
        <v>51</v>
      </c>
      <c r="F1065" s="8" t="s">
        <v>326</v>
      </c>
      <c r="G1065" s="8" t="s">
        <v>223</v>
      </c>
      <c r="H1065" s="8" t="s">
        <v>8662</v>
      </c>
      <c r="I1065" s="8" t="s">
        <v>9113</v>
      </c>
      <c r="J1065" s="8" t="s">
        <v>137</v>
      </c>
      <c r="K1065" s="8" t="s">
        <v>8664</v>
      </c>
      <c r="L1065" s="8"/>
      <c r="M1065" s="8"/>
      <c r="N1065" s="8" t="n">
        <v>25</v>
      </c>
      <c r="O1065" s="8" t="n">
        <v>12</v>
      </c>
      <c r="P1065" s="8" t="s">
        <v>120</v>
      </c>
    </row>
    <row r="1066" customFormat="false" ht="15" hidden="false" customHeight="false" outlineLevel="0" collapsed="false">
      <c r="A1066" s="8" t="s">
        <v>2938</v>
      </c>
      <c r="B1066" s="8" t="s">
        <v>2939</v>
      </c>
      <c r="C1066" s="8" t="s">
        <v>8688</v>
      </c>
      <c r="D1066" s="8" t="s">
        <v>128</v>
      </c>
      <c r="E1066" s="8" t="s">
        <v>51</v>
      </c>
      <c r="F1066" s="8" t="s">
        <v>2027</v>
      </c>
      <c r="G1066" s="8" t="s">
        <v>223</v>
      </c>
      <c r="H1066" s="8" t="s">
        <v>8666</v>
      </c>
      <c r="I1066" s="8" t="s">
        <v>9042</v>
      </c>
      <c r="J1066" s="8" t="s">
        <v>129</v>
      </c>
      <c r="K1066" s="8" t="s">
        <v>8664</v>
      </c>
      <c r="L1066" s="8"/>
      <c r="M1066" s="8"/>
      <c r="N1066" s="8" t="n">
        <v>12</v>
      </c>
      <c r="O1066" s="8" t="n">
        <v>31</v>
      </c>
      <c r="P1066" s="8" t="s">
        <v>120</v>
      </c>
    </row>
    <row r="1067" customFormat="false" ht="15" hidden="false" customHeight="false" outlineLevel="0" collapsed="false">
      <c r="A1067" s="8" t="s">
        <v>3348</v>
      </c>
      <c r="B1067" s="8" t="s">
        <v>3349</v>
      </c>
      <c r="C1067" s="8" t="s">
        <v>8700</v>
      </c>
      <c r="D1067" s="8" t="s">
        <v>128</v>
      </c>
      <c r="E1067" s="8" t="s">
        <v>51</v>
      </c>
      <c r="F1067" s="8" t="s">
        <v>2027</v>
      </c>
      <c r="G1067" s="8" t="s">
        <v>133</v>
      </c>
      <c r="H1067" s="8" t="s">
        <v>8670</v>
      </c>
      <c r="I1067" s="8" t="s">
        <v>9610</v>
      </c>
      <c r="J1067" s="8" t="s">
        <v>119</v>
      </c>
      <c r="K1067" s="8" t="s">
        <v>8664</v>
      </c>
      <c r="L1067" s="8"/>
      <c r="M1067" s="8"/>
      <c r="N1067" s="8" t="n">
        <v>12</v>
      </c>
      <c r="O1067" s="8" t="n">
        <v>24</v>
      </c>
      <c r="P1067" s="8" t="s">
        <v>120</v>
      </c>
    </row>
    <row r="1068" customFormat="false" ht="15" hidden="false" customHeight="false" outlineLevel="0" collapsed="false">
      <c r="A1068" s="8" t="s">
        <v>923</v>
      </c>
      <c r="B1068" s="8" t="s">
        <v>924</v>
      </c>
      <c r="C1068" s="8" t="s">
        <v>8665</v>
      </c>
      <c r="D1068" s="8" t="s">
        <v>132</v>
      </c>
      <c r="E1068" s="8" t="s">
        <v>53</v>
      </c>
      <c r="F1068" s="8" t="s">
        <v>326</v>
      </c>
      <c r="G1068" s="8" t="s">
        <v>154</v>
      </c>
      <c r="H1068" s="8" t="s">
        <v>8662</v>
      </c>
      <c r="I1068" s="8" t="s">
        <v>9684</v>
      </c>
      <c r="J1068" s="8" t="s">
        <v>204</v>
      </c>
      <c r="K1068" s="8" t="s">
        <v>8664</v>
      </c>
      <c r="L1068" s="8"/>
      <c r="M1068" s="8"/>
      <c r="N1068" s="8" t="n">
        <v>25</v>
      </c>
      <c r="O1068" s="8" t="n">
        <v>178</v>
      </c>
      <c r="P1068" s="8" t="s">
        <v>120</v>
      </c>
    </row>
    <row r="1069" customFormat="false" ht="15" hidden="false" customHeight="false" outlineLevel="0" collapsed="false">
      <c r="A1069" s="8" t="s">
        <v>451</v>
      </c>
      <c r="B1069" s="8" t="s">
        <v>452</v>
      </c>
      <c r="C1069" s="8" t="s">
        <v>8700</v>
      </c>
      <c r="D1069" s="8" t="s">
        <v>117</v>
      </c>
      <c r="E1069" s="8" t="s">
        <v>55</v>
      </c>
      <c r="F1069" s="8" t="s">
        <v>55</v>
      </c>
      <c r="G1069" s="8" t="s">
        <v>118</v>
      </c>
      <c r="H1069" s="8" t="s">
        <v>8675</v>
      </c>
      <c r="I1069" s="8" t="s">
        <v>8862</v>
      </c>
      <c r="J1069" s="8" t="s">
        <v>119</v>
      </c>
      <c r="K1069" s="8" t="s">
        <v>8664</v>
      </c>
      <c r="L1069" s="8"/>
      <c r="M1069" s="8"/>
      <c r="N1069" s="8" t="n">
        <v>45</v>
      </c>
      <c r="O1069" s="8" t="n">
        <v>182</v>
      </c>
      <c r="P1069" s="8" t="s">
        <v>120</v>
      </c>
    </row>
    <row r="1070" customFormat="false" ht="15" hidden="false" customHeight="false" outlineLevel="0" collapsed="false">
      <c r="A1070" s="8" t="s">
        <v>789</v>
      </c>
      <c r="B1070" s="8" t="s">
        <v>790</v>
      </c>
      <c r="C1070" s="8" t="s">
        <v>8661</v>
      </c>
      <c r="D1070" s="8" t="s">
        <v>123</v>
      </c>
      <c r="E1070" s="8" t="s">
        <v>53</v>
      </c>
      <c r="F1070" s="8" t="s">
        <v>326</v>
      </c>
      <c r="G1070" s="8" t="s">
        <v>190</v>
      </c>
      <c r="H1070" s="8" t="s">
        <v>8670</v>
      </c>
      <c r="I1070" s="8" t="s">
        <v>9616</v>
      </c>
      <c r="J1070" s="8" t="s">
        <v>185</v>
      </c>
      <c r="K1070" s="8" t="s">
        <v>8664</v>
      </c>
      <c r="L1070" s="8"/>
      <c r="M1070" s="8"/>
      <c r="N1070" s="8" t="n">
        <v>25</v>
      </c>
      <c r="O1070" s="8" t="n">
        <v>198</v>
      </c>
      <c r="P1070" s="8" t="s">
        <v>120</v>
      </c>
    </row>
    <row r="1071" customFormat="false" ht="15" hidden="false" customHeight="false" outlineLevel="0" collapsed="false">
      <c r="A1071" s="8" t="s">
        <v>2518</v>
      </c>
      <c r="B1071" s="8" t="s">
        <v>2519</v>
      </c>
      <c r="C1071" s="8" t="s">
        <v>8678</v>
      </c>
      <c r="D1071" s="8" t="s">
        <v>132</v>
      </c>
      <c r="E1071" s="8" t="s">
        <v>51</v>
      </c>
      <c r="F1071" s="8" t="s">
        <v>2027</v>
      </c>
      <c r="G1071" s="8" t="s">
        <v>151</v>
      </c>
      <c r="H1071" s="8" t="s">
        <v>8666</v>
      </c>
      <c r="I1071" s="8" t="s">
        <v>9684</v>
      </c>
      <c r="J1071" s="8" t="s">
        <v>204</v>
      </c>
      <c r="K1071" s="8" t="s">
        <v>8664</v>
      </c>
      <c r="L1071" s="8"/>
      <c r="M1071" s="8"/>
      <c r="N1071" s="8" t="n">
        <v>12</v>
      </c>
      <c r="O1071" s="8" t="n">
        <v>38</v>
      </c>
      <c r="P1071" s="8" t="s">
        <v>120</v>
      </c>
    </row>
    <row r="1072" customFormat="false" ht="15" hidden="false" customHeight="false" outlineLevel="0" collapsed="false">
      <c r="A1072" s="8" t="s">
        <v>3932</v>
      </c>
      <c r="B1072" s="8" t="s">
        <v>3933</v>
      </c>
      <c r="C1072" s="8" t="s">
        <v>8665</v>
      </c>
      <c r="D1072" s="8" t="s">
        <v>117</v>
      </c>
      <c r="E1072" s="8" t="s">
        <v>51</v>
      </c>
      <c r="F1072" s="8" t="s">
        <v>2027</v>
      </c>
      <c r="G1072" s="8" t="s">
        <v>190</v>
      </c>
      <c r="H1072" s="8" t="s">
        <v>8670</v>
      </c>
      <c r="I1072" s="8" t="s">
        <v>9685</v>
      </c>
      <c r="J1072" s="8" t="s">
        <v>204</v>
      </c>
      <c r="K1072" s="8" t="s">
        <v>8664</v>
      </c>
      <c r="L1072" s="8"/>
      <c r="M1072" s="8"/>
      <c r="N1072" s="8" t="n">
        <v>12</v>
      </c>
      <c r="O1072" s="8" t="n">
        <v>6</v>
      </c>
      <c r="P1072" s="8" t="s">
        <v>120</v>
      </c>
    </row>
    <row r="1073" customFormat="false" ht="15" hidden="false" customHeight="false" outlineLevel="0" collapsed="false">
      <c r="A1073" s="8" t="s">
        <v>3408</v>
      </c>
      <c r="B1073" s="8" t="s">
        <v>3409</v>
      </c>
      <c r="C1073" s="8" t="s">
        <v>8665</v>
      </c>
      <c r="D1073" s="8" t="s">
        <v>123</v>
      </c>
      <c r="E1073" s="8" t="s">
        <v>51</v>
      </c>
      <c r="F1073" s="8" t="s">
        <v>2027</v>
      </c>
      <c r="G1073" s="8" t="s">
        <v>136</v>
      </c>
      <c r="H1073" s="8" t="s">
        <v>8670</v>
      </c>
      <c r="I1073" s="8" t="s">
        <v>8808</v>
      </c>
      <c r="J1073" s="8" t="s">
        <v>144</v>
      </c>
      <c r="K1073" s="8" t="s">
        <v>8664</v>
      </c>
      <c r="L1073" s="8"/>
      <c r="M1073" s="8"/>
      <c r="N1073" s="8" t="n">
        <v>12</v>
      </c>
      <c r="O1073" s="8" t="n">
        <v>23</v>
      </c>
      <c r="P1073" s="8" t="s">
        <v>120</v>
      </c>
    </row>
    <row r="1074" customFormat="false" ht="15" hidden="false" customHeight="false" outlineLevel="0" collapsed="false">
      <c r="A1074" s="8" t="s">
        <v>1583</v>
      </c>
      <c r="B1074" s="8" t="s">
        <v>1584</v>
      </c>
      <c r="C1074" s="8" t="s">
        <v>8674</v>
      </c>
      <c r="D1074" s="8" t="s">
        <v>123</v>
      </c>
      <c r="E1074" s="8" t="s">
        <v>53</v>
      </c>
      <c r="F1074" s="8" t="s">
        <v>326</v>
      </c>
      <c r="G1074" s="8" t="s">
        <v>143</v>
      </c>
      <c r="H1074" s="8" t="s">
        <v>8670</v>
      </c>
      <c r="I1074" s="8" t="s">
        <v>9686</v>
      </c>
      <c r="J1074" s="8" t="s">
        <v>204</v>
      </c>
      <c r="K1074" s="8" t="s">
        <v>8664</v>
      </c>
      <c r="L1074" s="8"/>
      <c r="M1074" s="8"/>
      <c r="N1074" s="8" t="n">
        <v>25</v>
      </c>
      <c r="O1074" s="8" t="n">
        <v>76</v>
      </c>
      <c r="P1074" s="8" t="s">
        <v>120</v>
      </c>
    </row>
    <row r="1075" customFormat="false" ht="15" hidden="false" customHeight="false" outlineLevel="0" collapsed="false">
      <c r="A1075" s="8" t="s">
        <v>2070</v>
      </c>
      <c r="B1075" s="8" t="s">
        <v>2071</v>
      </c>
      <c r="C1075" s="8" t="s">
        <v>8669</v>
      </c>
      <c r="D1075" s="8" t="s">
        <v>123</v>
      </c>
      <c r="E1075" s="8" t="s">
        <v>51</v>
      </c>
      <c r="F1075" s="8" t="s">
        <v>326</v>
      </c>
      <c r="G1075" s="8" t="s">
        <v>124</v>
      </c>
      <c r="H1075" s="8" t="s">
        <v>8662</v>
      </c>
      <c r="I1075" s="8" t="s">
        <v>9677</v>
      </c>
      <c r="J1075" s="8" t="s">
        <v>177</v>
      </c>
      <c r="K1075" s="8" t="s">
        <v>8664</v>
      </c>
      <c r="L1075" s="8"/>
      <c r="M1075" s="8"/>
      <c r="N1075" s="8" t="n">
        <v>25</v>
      </c>
      <c r="O1075" s="8" t="n">
        <v>29</v>
      </c>
      <c r="P1075" s="8" t="s">
        <v>120</v>
      </c>
    </row>
    <row r="1076" customFormat="false" ht="15" hidden="false" customHeight="false" outlineLevel="0" collapsed="false">
      <c r="A1076" s="8" t="s">
        <v>463</v>
      </c>
      <c r="B1076" s="8" t="s">
        <v>464</v>
      </c>
      <c r="C1076" s="8" t="s">
        <v>8665</v>
      </c>
      <c r="D1076" s="8" t="s">
        <v>123</v>
      </c>
      <c r="E1076" s="8" t="s">
        <v>53</v>
      </c>
      <c r="F1076" s="8" t="s">
        <v>55</v>
      </c>
      <c r="G1076" s="8" t="s">
        <v>143</v>
      </c>
      <c r="H1076" s="8" t="s">
        <v>8670</v>
      </c>
      <c r="I1076" s="8" t="s">
        <v>9687</v>
      </c>
      <c r="J1076" s="8" t="s">
        <v>125</v>
      </c>
      <c r="K1076" s="8" t="s">
        <v>8664</v>
      </c>
      <c r="L1076" s="8"/>
      <c r="M1076" s="8"/>
      <c r="N1076" s="8" t="n">
        <v>45</v>
      </c>
      <c r="O1076" s="8" t="n">
        <v>194</v>
      </c>
      <c r="P1076" s="8" t="s">
        <v>120</v>
      </c>
    </row>
    <row r="1077" customFormat="false" ht="15" hidden="false" customHeight="false" outlineLevel="0" collapsed="false">
      <c r="A1077" s="8" t="s">
        <v>4590</v>
      </c>
      <c r="B1077" s="8" t="s">
        <v>9688</v>
      </c>
      <c r="C1077" s="8" t="s">
        <v>8680</v>
      </c>
      <c r="D1077" s="8" t="s">
        <v>117</v>
      </c>
      <c r="E1077" s="8" t="s">
        <v>51</v>
      </c>
      <c r="F1077" s="8" t="s">
        <v>2027</v>
      </c>
      <c r="G1077" s="8" t="s">
        <v>190</v>
      </c>
      <c r="H1077" s="8" t="s">
        <v>8662</v>
      </c>
      <c r="I1077" s="8" t="s">
        <v>9585</v>
      </c>
      <c r="J1077" s="8"/>
      <c r="K1077" s="8" t="s">
        <v>8690</v>
      </c>
      <c r="L1077" s="8" t="s">
        <v>8833</v>
      </c>
      <c r="M1077" s="8" t="s">
        <v>8692</v>
      </c>
      <c r="N1077" s="8" t="n">
        <v>12</v>
      </c>
      <c r="O1077" s="8" t="n">
        <v>9</v>
      </c>
      <c r="P1077" s="8" t="s">
        <v>148</v>
      </c>
    </row>
    <row r="1078" customFormat="false" ht="15" hidden="false" customHeight="false" outlineLevel="0" collapsed="false">
      <c r="A1078" s="8" t="s">
        <v>541</v>
      </c>
      <c r="B1078" s="8" t="s">
        <v>542</v>
      </c>
      <c r="C1078" s="8" t="s">
        <v>8661</v>
      </c>
      <c r="D1078" s="8" t="s">
        <v>123</v>
      </c>
      <c r="E1078" s="8" t="s">
        <v>55</v>
      </c>
      <c r="F1078" s="8" t="s">
        <v>326</v>
      </c>
      <c r="G1078" s="8" t="s">
        <v>133</v>
      </c>
      <c r="H1078" s="8" t="s">
        <v>8662</v>
      </c>
      <c r="I1078" s="8" t="s">
        <v>9154</v>
      </c>
      <c r="J1078" s="8" t="s">
        <v>147</v>
      </c>
      <c r="K1078" s="8" t="s">
        <v>8664</v>
      </c>
      <c r="L1078" s="8"/>
      <c r="M1078" s="8"/>
      <c r="N1078" s="8" t="n">
        <v>25</v>
      </c>
      <c r="O1078" s="8" t="n">
        <v>360</v>
      </c>
      <c r="P1078" s="8" t="s">
        <v>148</v>
      </c>
    </row>
    <row r="1079" customFormat="false" ht="15" hidden="false" customHeight="false" outlineLevel="0" collapsed="false">
      <c r="A1079" s="8" t="s">
        <v>3840</v>
      </c>
      <c r="B1079" s="8" t="s">
        <v>3841</v>
      </c>
      <c r="C1079" s="8" t="s">
        <v>8688</v>
      </c>
      <c r="D1079" s="8" t="s">
        <v>123</v>
      </c>
      <c r="E1079" s="8" t="s">
        <v>51</v>
      </c>
      <c r="F1079" s="8" t="s">
        <v>326</v>
      </c>
      <c r="G1079" s="8" t="s">
        <v>151</v>
      </c>
      <c r="H1079" s="8" t="s">
        <v>8675</v>
      </c>
      <c r="I1079" s="8" t="s">
        <v>9476</v>
      </c>
      <c r="J1079" s="8" t="s">
        <v>119</v>
      </c>
      <c r="K1079" s="8" t="s">
        <v>8664</v>
      </c>
      <c r="L1079" s="8"/>
      <c r="M1079" s="8"/>
      <c r="N1079" s="8" t="n">
        <v>25</v>
      </c>
      <c r="O1079" s="8" t="n">
        <v>7</v>
      </c>
      <c r="P1079" s="8" t="s">
        <v>120</v>
      </c>
    </row>
    <row r="1080" customFormat="false" ht="15" hidden="false" customHeight="false" outlineLevel="0" collapsed="false">
      <c r="A1080" s="8" t="s">
        <v>3474</v>
      </c>
      <c r="B1080" s="8" t="s">
        <v>3475</v>
      </c>
      <c r="C1080" s="8" t="s">
        <v>8680</v>
      </c>
      <c r="D1080" s="8" t="s">
        <v>123</v>
      </c>
      <c r="E1080" s="8" t="s">
        <v>51</v>
      </c>
      <c r="F1080" s="8" t="s">
        <v>2027</v>
      </c>
      <c r="G1080" s="8" t="s">
        <v>133</v>
      </c>
      <c r="H1080" s="8" t="s">
        <v>8662</v>
      </c>
      <c r="I1080" s="8" t="s">
        <v>9689</v>
      </c>
      <c r="J1080" s="8" t="s">
        <v>129</v>
      </c>
      <c r="K1080" s="8" t="s">
        <v>8664</v>
      </c>
      <c r="L1080" s="8"/>
      <c r="M1080" s="8"/>
      <c r="N1080" s="8" t="n">
        <v>12</v>
      </c>
      <c r="O1080" s="8" t="n">
        <v>22</v>
      </c>
      <c r="P1080" s="8" t="s">
        <v>120</v>
      </c>
    </row>
    <row r="1081" customFormat="false" ht="15" hidden="false" customHeight="false" outlineLevel="0" collapsed="false">
      <c r="A1081" s="8" t="s">
        <v>865</v>
      </c>
      <c r="B1081" s="8" t="s">
        <v>866</v>
      </c>
      <c r="C1081" s="8" t="s">
        <v>8669</v>
      </c>
      <c r="D1081" s="8" t="s">
        <v>123</v>
      </c>
      <c r="E1081" s="8" t="s">
        <v>53</v>
      </c>
      <c r="F1081" s="8" t="s">
        <v>326</v>
      </c>
      <c r="G1081" s="8" t="s">
        <v>190</v>
      </c>
      <c r="H1081" s="8" t="s">
        <v>8670</v>
      </c>
      <c r="I1081" s="8" t="s">
        <v>9690</v>
      </c>
      <c r="J1081" s="8" t="s">
        <v>177</v>
      </c>
      <c r="K1081" s="8" t="s">
        <v>8664</v>
      </c>
      <c r="L1081" s="8"/>
      <c r="M1081" s="8"/>
      <c r="N1081" s="8" t="n">
        <v>25</v>
      </c>
      <c r="O1081" s="8" t="n">
        <v>187</v>
      </c>
      <c r="P1081" s="8" t="s">
        <v>120</v>
      </c>
    </row>
    <row r="1082" customFormat="false" ht="15" hidden="false" customHeight="false" outlineLevel="0" collapsed="false">
      <c r="A1082" s="8" t="s">
        <v>9691</v>
      </c>
      <c r="B1082" s="8" t="s">
        <v>9692</v>
      </c>
      <c r="C1082" s="8" t="s">
        <v>8680</v>
      </c>
      <c r="D1082" s="8" t="s">
        <v>117</v>
      </c>
      <c r="E1082" s="8" t="s">
        <v>51</v>
      </c>
      <c r="F1082" s="8" t="s">
        <v>2027</v>
      </c>
      <c r="G1082" s="8" t="s">
        <v>143</v>
      </c>
      <c r="H1082" s="8" t="s">
        <v>8662</v>
      </c>
      <c r="I1082" s="8" t="s">
        <v>9693</v>
      </c>
      <c r="J1082" s="8"/>
      <c r="K1082" s="8" t="s">
        <v>8690</v>
      </c>
      <c r="L1082" s="8" t="s">
        <v>9694</v>
      </c>
      <c r="M1082" s="8" t="s">
        <v>8692</v>
      </c>
      <c r="N1082" s="8" t="n">
        <v>12</v>
      </c>
      <c r="O1082" s="8" t="n">
        <v>34</v>
      </c>
      <c r="P1082" s="8" t="s">
        <v>120</v>
      </c>
    </row>
    <row r="1083" customFormat="false" ht="15" hidden="false" customHeight="false" outlineLevel="0" collapsed="false">
      <c r="A1083" s="8" t="s">
        <v>2690</v>
      </c>
      <c r="B1083" s="8" t="s">
        <v>2691</v>
      </c>
      <c r="C1083" s="8" t="s">
        <v>8669</v>
      </c>
      <c r="D1083" s="8" t="s">
        <v>132</v>
      </c>
      <c r="E1083" s="8" t="s">
        <v>51</v>
      </c>
      <c r="F1083" s="8" t="s">
        <v>2027</v>
      </c>
      <c r="G1083" s="8" t="s">
        <v>166</v>
      </c>
      <c r="H1083" s="8" t="s">
        <v>8670</v>
      </c>
      <c r="I1083" s="8" t="s">
        <v>9041</v>
      </c>
      <c r="J1083" s="8" t="s">
        <v>129</v>
      </c>
      <c r="K1083" s="8" t="s">
        <v>8664</v>
      </c>
      <c r="L1083" s="8"/>
      <c r="M1083" s="8"/>
      <c r="N1083" s="8" t="n">
        <v>12</v>
      </c>
      <c r="O1083" s="8" t="n">
        <v>35</v>
      </c>
      <c r="P1083" s="8" t="s">
        <v>120</v>
      </c>
    </row>
    <row r="1084" customFormat="false" ht="15" hidden="false" customHeight="false" outlineLevel="0" collapsed="false">
      <c r="A1084" s="8" t="s">
        <v>9695</v>
      </c>
      <c r="B1084" s="8" t="s">
        <v>9696</v>
      </c>
      <c r="C1084" s="8" t="s">
        <v>8661</v>
      </c>
      <c r="D1084" s="8" t="s">
        <v>128</v>
      </c>
      <c r="E1084" s="8" t="s">
        <v>51</v>
      </c>
      <c r="F1084" s="8" t="s">
        <v>2027</v>
      </c>
      <c r="G1084" s="8" t="s">
        <v>136</v>
      </c>
      <c r="H1084" s="8" t="s">
        <v>8662</v>
      </c>
      <c r="I1084" s="8" t="s">
        <v>8924</v>
      </c>
      <c r="J1084" s="8"/>
      <c r="K1084" s="8" t="s">
        <v>8690</v>
      </c>
      <c r="L1084" s="8" t="s">
        <v>9477</v>
      </c>
      <c r="M1084" s="8" t="s">
        <v>8692</v>
      </c>
      <c r="N1084" s="8" t="n">
        <v>12</v>
      </c>
      <c r="O1084" s="8" t="n">
        <v>16</v>
      </c>
      <c r="P1084" s="8" t="s">
        <v>120</v>
      </c>
    </row>
    <row r="1085" customFormat="false" ht="15" hidden="false" customHeight="false" outlineLevel="0" collapsed="false">
      <c r="A1085" s="8" t="s">
        <v>2940</v>
      </c>
      <c r="B1085" s="8" t="s">
        <v>2941</v>
      </c>
      <c r="C1085" s="8" t="s">
        <v>8661</v>
      </c>
      <c r="D1085" s="8" t="s">
        <v>123</v>
      </c>
      <c r="E1085" s="8" t="s">
        <v>51</v>
      </c>
      <c r="F1085" s="8" t="s">
        <v>2027</v>
      </c>
      <c r="G1085" s="8" t="s">
        <v>166</v>
      </c>
      <c r="H1085" s="8" t="s">
        <v>8675</v>
      </c>
      <c r="I1085" s="8" t="s">
        <v>8819</v>
      </c>
      <c r="J1085" s="8" t="s">
        <v>140</v>
      </c>
      <c r="K1085" s="8" t="s">
        <v>8664</v>
      </c>
      <c r="L1085" s="8"/>
      <c r="M1085" s="8"/>
      <c r="N1085" s="8" t="n">
        <v>12</v>
      </c>
      <c r="O1085" s="8" t="n">
        <v>31</v>
      </c>
      <c r="P1085" s="8" t="s">
        <v>120</v>
      </c>
    </row>
    <row r="1086" customFormat="false" ht="15" hidden="false" customHeight="false" outlineLevel="0" collapsed="false">
      <c r="A1086" s="8" t="s">
        <v>9697</v>
      </c>
      <c r="B1086" s="8" t="s">
        <v>9698</v>
      </c>
      <c r="C1086" s="8" t="s">
        <v>8688</v>
      </c>
      <c r="D1086" s="8" t="s">
        <v>123</v>
      </c>
      <c r="E1086" s="8" t="s">
        <v>51</v>
      </c>
      <c r="F1086" s="8" t="s">
        <v>2027</v>
      </c>
      <c r="G1086" s="8" t="s">
        <v>136</v>
      </c>
      <c r="H1086" s="8" t="s">
        <v>8670</v>
      </c>
      <c r="I1086" s="8" t="s">
        <v>9095</v>
      </c>
      <c r="J1086" s="8"/>
      <c r="K1086" s="8" t="s">
        <v>8690</v>
      </c>
      <c r="L1086" s="8" t="s">
        <v>8765</v>
      </c>
      <c r="M1086" s="8" t="s">
        <v>8696</v>
      </c>
      <c r="N1086" s="8" t="n">
        <v>12</v>
      </c>
      <c r="O1086" s="8" t="n">
        <v>28</v>
      </c>
      <c r="P1086" s="8" t="s">
        <v>120</v>
      </c>
    </row>
    <row r="1087" customFormat="false" ht="15" hidden="false" customHeight="false" outlineLevel="0" collapsed="false">
      <c r="A1087" s="8" t="s">
        <v>2692</v>
      </c>
      <c r="B1087" s="8" t="s">
        <v>2693</v>
      </c>
      <c r="C1087" s="8" t="s">
        <v>8669</v>
      </c>
      <c r="D1087" s="8" t="s">
        <v>132</v>
      </c>
      <c r="E1087" s="8" t="s">
        <v>51</v>
      </c>
      <c r="F1087" s="8" t="s">
        <v>2027</v>
      </c>
      <c r="G1087" s="8" t="s">
        <v>124</v>
      </c>
      <c r="H1087" s="8" t="s">
        <v>8670</v>
      </c>
      <c r="I1087" s="8" t="s">
        <v>9684</v>
      </c>
      <c r="J1087" s="8" t="s">
        <v>204</v>
      </c>
      <c r="K1087" s="8" t="s">
        <v>8664</v>
      </c>
      <c r="L1087" s="8"/>
      <c r="M1087" s="8"/>
      <c r="N1087" s="8" t="n">
        <v>12</v>
      </c>
      <c r="O1087" s="8" t="n">
        <v>27</v>
      </c>
      <c r="P1087" s="8" t="s">
        <v>120</v>
      </c>
    </row>
    <row r="1088" customFormat="false" ht="15" hidden="false" customHeight="false" outlineLevel="0" collapsed="false">
      <c r="A1088" s="8" t="s">
        <v>423</v>
      </c>
      <c r="B1088" s="8" t="s">
        <v>424</v>
      </c>
      <c r="C1088" s="8" t="s">
        <v>8688</v>
      </c>
      <c r="D1088" s="8" t="s">
        <v>128</v>
      </c>
      <c r="E1088" s="8" t="s">
        <v>55</v>
      </c>
      <c r="F1088" s="8" t="s">
        <v>55</v>
      </c>
      <c r="G1088" s="8" t="s">
        <v>136</v>
      </c>
      <c r="H1088" s="8" t="s">
        <v>8670</v>
      </c>
      <c r="I1088" s="8" t="s">
        <v>8818</v>
      </c>
      <c r="J1088" s="8" t="s">
        <v>185</v>
      </c>
      <c r="K1088" s="8" t="s">
        <v>8664</v>
      </c>
      <c r="L1088" s="8"/>
      <c r="M1088" s="8"/>
      <c r="N1088" s="8" t="n">
        <v>45</v>
      </c>
      <c r="O1088" s="8" t="n">
        <v>286</v>
      </c>
      <c r="P1088" s="8" t="s">
        <v>148</v>
      </c>
    </row>
    <row r="1089" customFormat="false" ht="15" hidden="false" customHeight="false" outlineLevel="0" collapsed="false">
      <c r="A1089" s="8" t="s">
        <v>3276</v>
      </c>
      <c r="B1089" s="8" t="s">
        <v>3277</v>
      </c>
      <c r="C1089" s="8" t="s">
        <v>8669</v>
      </c>
      <c r="D1089" s="8" t="s">
        <v>123</v>
      </c>
      <c r="E1089" s="8" t="s">
        <v>51</v>
      </c>
      <c r="F1089" s="8" t="s">
        <v>2027</v>
      </c>
      <c r="G1089" s="8" t="s">
        <v>166</v>
      </c>
      <c r="H1089" s="8" t="s">
        <v>8662</v>
      </c>
      <c r="I1089" s="8" t="s">
        <v>8945</v>
      </c>
      <c r="J1089" s="8" t="s">
        <v>159</v>
      </c>
      <c r="K1089" s="8" t="s">
        <v>8664</v>
      </c>
      <c r="L1089" s="8"/>
      <c r="M1089" s="8"/>
      <c r="N1089" s="8" t="n">
        <v>12</v>
      </c>
      <c r="O1089" s="8" t="n">
        <v>25</v>
      </c>
      <c r="P1089" s="8" t="s">
        <v>148</v>
      </c>
    </row>
    <row r="1090" customFormat="false" ht="15" hidden="false" customHeight="false" outlineLevel="0" collapsed="false">
      <c r="A1090" s="8" t="s">
        <v>9699</v>
      </c>
      <c r="B1090" s="8" t="s">
        <v>9700</v>
      </c>
      <c r="C1090" s="8" t="s">
        <v>8688</v>
      </c>
      <c r="D1090" s="8" t="s">
        <v>117</v>
      </c>
      <c r="E1090" s="8" t="s">
        <v>53</v>
      </c>
      <c r="F1090" s="8" t="s">
        <v>55</v>
      </c>
      <c r="G1090" s="8" t="s">
        <v>124</v>
      </c>
      <c r="H1090" s="8" t="s">
        <v>8666</v>
      </c>
      <c r="I1090" s="8" t="s">
        <v>9374</v>
      </c>
      <c r="J1090" s="8"/>
      <c r="K1090" s="8" t="s">
        <v>8690</v>
      </c>
      <c r="L1090" s="8" t="s">
        <v>9147</v>
      </c>
      <c r="M1090" s="8" t="s">
        <v>8721</v>
      </c>
      <c r="N1090" s="8" t="n">
        <v>45</v>
      </c>
      <c r="O1090" s="8" t="n">
        <v>162</v>
      </c>
      <c r="P1090" s="8" t="s">
        <v>120</v>
      </c>
    </row>
    <row r="1091" customFormat="false" ht="15" hidden="false" customHeight="false" outlineLevel="0" collapsed="false">
      <c r="A1091" s="8" t="s">
        <v>9701</v>
      </c>
      <c r="B1091" s="8" t="s">
        <v>9702</v>
      </c>
      <c r="C1091" s="8" t="s">
        <v>8669</v>
      </c>
      <c r="D1091" s="8" t="s">
        <v>123</v>
      </c>
      <c r="E1091" s="8" t="s">
        <v>53</v>
      </c>
      <c r="F1091" s="8" t="s">
        <v>326</v>
      </c>
      <c r="G1091" s="8" t="s">
        <v>151</v>
      </c>
      <c r="H1091" s="8" t="s">
        <v>8662</v>
      </c>
      <c r="I1091" s="8" t="s">
        <v>9251</v>
      </c>
      <c r="J1091" s="8"/>
      <c r="K1091" s="8" t="s">
        <v>8690</v>
      </c>
      <c r="L1091" s="8" t="s">
        <v>9604</v>
      </c>
      <c r="M1091" s="8" t="s">
        <v>8705</v>
      </c>
      <c r="N1091" s="8" t="n">
        <v>25</v>
      </c>
      <c r="O1091" s="8" t="n">
        <v>126</v>
      </c>
      <c r="P1091" s="8" t="s">
        <v>120</v>
      </c>
    </row>
    <row r="1092" customFormat="false" ht="15" hidden="false" customHeight="false" outlineLevel="0" collapsed="false">
      <c r="A1092" s="8" t="s">
        <v>3214</v>
      </c>
      <c r="B1092" s="8" t="s">
        <v>3215</v>
      </c>
      <c r="C1092" s="8" t="s">
        <v>8688</v>
      </c>
      <c r="D1092" s="8" t="s">
        <v>128</v>
      </c>
      <c r="E1092" s="8" t="s">
        <v>51</v>
      </c>
      <c r="F1092" s="8" t="s">
        <v>2027</v>
      </c>
      <c r="G1092" s="8" t="s">
        <v>118</v>
      </c>
      <c r="H1092" s="8" t="s">
        <v>8675</v>
      </c>
      <c r="I1092" s="8" t="s">
        <v>9703</v>
      </c>
      <c r="J1092" s="8" t="s">
        <v>137</v>
      </c>
      <c r="K1092" s="8" t="s">
        <v>8664</v>
      </c>
      <c r="L1092" s="8"/>
      <c r="M1092" s="8"/>
      <c r="N1092" s="8" t="n">
        <v>12</v>
      </c>
      <c r="O1092" s="8" t="n">
        <v>31</v>
      </c>
      <c r="P1092" s="8" t="s">
        <v>120</v>
      </c>
    </row>
    <row r="1093" customFormat="false" ht="15" hidden="false" customHeight="false" outlineLevel="0" collapsed="false">
      <c r="A1093" s="8" t="s">
        <v>1577</v>
      </c>
      <c r="B1093" s="8" t="s">
        <v>1578</v>
      </c>
      <c r="C1093" s="8" t="s">
        <v>8678</v>
      </c>
      <c r="D1093" s="8" t="s">
        <v>132</v>
      </c>
      <c r="E1093" s="8" t="s">
        <v>53</v>
      </c>
      <c r="F1093" s="8" t="s">
        <v>55</v>
      </c>
      <c r="G1093" s="8" t="s">
        <v>143</v>
      </c>
      <c r="H1093" s="8" t="s">
        <v>8662</v>
      </c>
      <c r="I1093" s="8" t="s">
        <v>9704</v>
      </c>
      <c r="J1093" s="8" t="s">
        <v>119</v>
      </c>
      <c r="K1093" s="8" t="s">
        <v>8664</v>
      </c>
      <c r="L1093" s="8"/>
      <c r="M1093" s="8"/>
      <c r="N1093" s="8" t="n">
        <v>45</v>
      </c>
      <c r="O1093" s="8" t="n">
        <v>43</v>
      </c>
      <c r="P1093" s="8" t="s">
        <v>148</v>
      </c>
    </row>
    <row r="1094" customFormat="false" ht="15" hidden="false" customHeight="false" outlineLevel="0" collapsed="false">
      <c r="A1094" s="8" t="s">
        <v>3106</v>
      </c>
      <c r="B1094" s="8" t="s">
        <v>3107</v>
      </c>
      <c r="C1094" s="8" t="s">
        <v>8674</v>
      </c>
      <c r="D1094" s="8" t="s">
        <v>132</v>
      </c>
      <c r="E1094" s="8" t="s">
        <v>51</v>
      </c>
      <c r="F1094" s="8" t="s">
        <v>2027</v>
      </c>
      <c r="G1094" s="8" t="s">
        <v>118</v>
      </c>
      <c r="H1094" s="8" t="s">
        <v>8662</v>
      </c>
      <c r="I1094" s="8" t="s">
        <v>9235</v>
      </c>
      <c r="J1094" s="8" t="s">
        <v>137</v>
      </c>
      <c r="K1094" s="8" t="s">
        <v>8664</v>
      </c>
      <c r="L1094" s="8"/>
      <c r="M1094" s="8"/>
      <c r="N1094" s="8" t="n">
        <v>12</v>
      </c>
      <c r="O1094" s="8" t="n">
        <v>34</v>
      </c>
      <c r="P1094" s="8" t="s">
        <v>120</v>
      </c>
    </row>
    <row r="1095" customFormat="false" ht="15" hidden="false" customHeight="false" outlineLevel="0" collapsed="false">
      <c r="A1095" s="8" t="s">
        <v>2452</v>
      </c>
      <c r="B1095" s="8" t="s">
        <v>2453</v>
      </c>
      <c r="C1095" s="8" t="s">
        <v>8678</v>
      </c>
      <c r="D1095" s="8" t="s">
        <v>132</v>
      </c>
      <c r="E1095" s="8" t="s">
        <v>51</v>
      </c>
      <c r="F1095" s="8" t="s">
        <v>2027</v>
      </c>
      <c r="G1095" s="8" t="s">
        <v>166</v>
      </c>
      <c r="H1095" s="8" t="s">
        <v>8675</v>
      </c>
      <c r="I1095" s="8" t="s">
        <v>9705</v>
      </c>
      <c r="J1095" s="8" t="s">
        <v>129</v>
      </c>
      <c r="K1095" s="8" t="s">
        <v>8664</v>
      </c>
      <c r="L1095" s="8"/>
      <c r="M1095" s="8"/>
      <c r="N1095" s="8" t="n">
        <v>12</v>
      </c>
      <c r="O1095" s="8" t="n">
        <v>35</v>
      </c>
      <c r="P1095" s="8" t="s">
        <v>120</v>
      </c>
    </row>
    <row r="1096" customFormat="false" ht="15" hidden="false" customHeight="false" outlineLevel="0" collapsed="false">
      <c r="A1096" s="8" t="s">
        <v>3812</v>
      </c>
      <c r="B1096" s="8" t="s">
        <v>3813</v>
      </c>
      <c r="C1096" s="8" t="s">
        <v>8678</v>
      </c>
      <c r="D1096" s="8" t="s">
        <v>117</v>
      </c>
      <c r="E1096" s="8" t="s">
        <v>51</v>
      </c>
      <c r="F1096" s="8" t="s">
        <v>2027</v>
      </c>
      <c r="G1096" s="8" t="s">
        <v>154</v>
      </c>
      <c r="H1096" s="8" t="s">
        <v>8675</v>
      </c>
      <c r="I1096" s="8" t="s">
        <v>9706</v>
      </c>
      <c r="J1096" s="8" t="s">
        <v>185</v>
      </c>
      <c r="K1096" s="8" t="s">
        <v>8664</v>
      </c>
      <c r="L1096" s="8"/>
      <c r="M1096" s="8"/>
      <c r="N1096" s="8" t="n">
        <v>12</v>
      </c>
      <c r="O1096" s="8" t="n">
        <v>15</v>
      </c>
      <c r="P1096" s="8" t="s">
        <v>120</v>
      </c>
    </row>
    <row r="1097" customFormat="false" ht="15" hidden="false" customHeight="false" outlineLevel="0" collapsed="false">
      <c r="A1097" s="8" t="s">
        <v>3410</v>
      </c>
      <c r="B1097" s="8" t="s">
        <v>3411</v>
      </c>
      <c r="C1097" s="8" t="s">
        <v>8669</v>
      </c>
      <c r="D1097" s="8" t="s">
        <v>123</v>
      </c>
      <c r="E1097" s="8" t="s">
        <v>51</v>
      </c>
      <c r="F1097" s="8" t="s">
        <v>2027</v>
      </c>
      <c r="G1097" s="8" t="s">
        <v>166</v>
      </c>
      <c r="H1097" s="8" t="s">
        <v>8675</v>
      </c>
      <c r="I1097" s="8" t="s">
        <v>8924</v>
      </c>
      <c r="J1097" s="8" t="s">
        <v>129</v>
      </c>
      <c r="K1097" s="8" t="s">
        <v>8664</v>
      </c>
      <c r="L1097" s="8"/>
      <c r="M1097" s="8"/>
      <c r="N1097" s="8" t="n">
        <v>12</v>
      </c>
      <c r="O1097" s="8" t="n">
        <v>21</v>
      </c>
      <c r="P1097" s="8" t="s">
        <v>120</v>
      </c>
    </row>
    <row r="1098" customFormat="false" ht="15" hidden="false" customHeight="false" outlineLevel="0" collapsed="false">
      <c r="A1098" s="8" t="s">
        <v>747</v>
      </c>
      <c r="B1098" s="8" t="s">
        <v>748</v>
      </c>
      <c r="C1098" s="8" t="s">
        <v>8665</v>
      </c>
      <c r="D1098" s="8" t="s">
        <v>132</v>
      </c>
      <c r="E1098" s="8" t="s">
        <v>53</v>
      </c>
      <c r="F1098" s="8" t="s">
        <v>326</v>
      </c>
      <c r="G1098" s="8" t="s">
        <v>133</v>
      </c>
      <c r="H1098" s="8" t="s">
        <v>8675</v>
      </c>
      <c r="I1098" s="8" t="s">
        <v>8901</v>
      </c>
      <c r="J1098" s="8" t="s">
        <v>177</v>
      </c>
      <c r="K1098" s="8" t="s">
        <v>8664</v>
      </c>
      <c r="L1098" s="8"/>
      <c r="M1098" s="8"/>
      <c r="N1098" s="8" t="n">
        <v>25</v>
      </c>
      <c r="O1098" s="8" t="n">
        <v>190</v>
      </c>
      <c r="P1098" s="8" t="s">
        <v>120</v>
      </c>
    </row>
    <row r="1099" customFormat="false" ht="15" hidden="false" customHeight="false" outlineLevel="0" collapsed="false">
      <c r="A1099" s="8" t="s">
        <v>1777</v>
      </c>
      <c r="B1099" s="8" t="s">
        <v>1778</v>
      </c>
      <c r="C1099" s="8" t="s">
        <v>8688</v>
      </c>
      <c r="D1099" s="8" t="s">
        <v>123</v>
      </c>
      <c r="E1099" s="8" t="s">
        <v>53</v>
      </c>
      <c r="F1099" s="8" t="s">
        <v>326</v>
      </c>
      <c r="G1099" s="8" t="s">
        <v>143</v>
      </c>
      <c r="H1099" s="8" t="s">
        <v>8662</v>
      </c>
      <c r="I1099" s="8" t="s">
        <v>9388</v>
      </c>
      <c r="J1099" s="8" t="s">
        <v>180</v>
      </c>
      <c r="K1099" s="8" t="s">
        <v>8664</v>
      </c>
      <c r="L1099" s="8"/>
      <c r="M1099" s="8"/>
      <c r="N1099" s="8" t="n">
        <v>25</v>
      </c>
      <c r="O1099" s="8" t="n">
        <v>41</v>
      </c>
      <c r="P1099" s="8" t="s">
        <v>120</v>
      </c>
    </row>
    <row r="1100" customFormat="false" ht="15" hidden="false" customHeight="false" outlineLevel="0" collapsed="false">
      <c r="A1100" s="8" t="s">
        <v>557</v>
      </c>
      <c r="B1100" s="8" t="s">
        <v>558</v>
      </c>
      <c r="C1100" s="8" t="s">
        <v>8700</v>
      </c>
      <c r="D1100" s="8" t="s">
        <v>128</v>
      </c>
      <c r="E1100" s="8" t="s">
        <v>53</v>
      </c>
      <c r="F1100" s="8" t="s">
        <v>55</v>
      </c>
      <c r="G1100" s="8" t="s">
        <v>190</v>
      </c>
      <c r="H1100" s="8" t="s">
        <v>8662</v>
      </c>
      <c r="I1100" s="8" t="s">
        <v>9426</v>
      </c>
      <c r="J1100" s="8" t="s">
        <v>140</v>
      </c>
      <c r="K1100" s="8" t="s">
        <v>8664</v>
      </c>
      <c r="L1100" s="8"/>
      <c r="M1100" s="8"/>
      <c r="N1100" s="8" t="n">
        <v>45</v>
      </c>
      <c r="O1100" s="8" t="n">
        <v>176</v>
      </c>
      <c r="P1100" s="8" t="s">
        <v>148</v>
      </c>
    </row>
    <row r="1101" customFormat="false" ht="15" hidden="false" customHeight="false" outlineLevel="0" collapsed="false">
      <c r="A1101" s="8" t="s">
        <v>1687</v>
      </c>
      <c r="B1101" s="8" t="s">
        <v>1688</v>
      </c>
      <c r="C1101" s="8" t="s">
        <v>8680</v>
      </c>
      <c r="D1101" s="8" t="s">
        <v>117</v>
      </c>
      <c r="E1101" s="8" t="s">
        <v>51</v>
      </c>
      <c r="F1101" s="8" t="s">
        <v>326</v>
      </c>
      <c r="G1101" s="8" t="s">
        <v>124</v>
      </c>
      <c r="H1101" s="8" t="s">
        <v>8666</v>
      </c>
      <c r="I1101" s="8" t="s">
        <v>9163</v>
      </c>
      <c r="J1101" s="8" t="s">
        <v>137</v>
      </c>
      <c r="K1101" s="8" t="s">
        <v>8664</v>
      </c>
      <c r="L1101" s="8"/>
      <c r="M1101" s="8"/>
      <c r="N1101" s="8" t="n">
        <v>25</v>
      </c>
      <c r="O1101" s="8" t="n">
        <v>24</v>
      </c>
      <c r="P1101" s="8" t="s">
        <v>120</v>
      </c>
    </row>
    <row r="1102" customFormat="false" ht="15" hidden="false" customHeight="false" outlineLevel="0" collapsed="false">
      <c r="A1102" s="8" t="s">
        <v>2426</v>
      </c>
      <c r="B1102" s="8" t="s">
        <v>2427</v>
      </c>
      <c r="C1102" s="8" t="s">
        <v>8688</v>
      </c>
      <c r="D1102" s="8" t="s">
        <v>117</v>
      </c>
      <c r="E1102" s="8" t="s">
        <v>51</v>
      </c>
      <c r="F1102" s="8" t="s">
        <v>326</v>
      </c>
      <c r="G1102" s="8" t="s">
        <v>190</v>
      </c>
      <c r="H1102" s="8" t="s">
        <v>8666</v>
      </c>
      <c r="I1102" s="8" t="s">
        <v>9707</v>
      </c>
      <c r="J1102" s="8" t="s">
        <v>177</v>
      </c>
      <c r="K1102" s="8" t="s">
        <v>8664</v>
      </c>
      <c r="L1102" s="8"/>
      <c r="M1102" s="8"/>
      <c r="N1102" s="8" t="n">
        <v>25</v>
      </c>
      <c r="O1102" s="8" t="n">
        <v>19</v>
      </c>
      <c r="P1102" s="8" t="s">
        <v>120</v>
      </c>
    </row>
    <row r="1103" customFormat="false" ht="15" hidden="false" customHeight="false" outlineLevel="0" collapsed="false">
      <c r="A1103" s="8" t="s">
        <v>9708</v>
      </c>
      <c r="B1103" s="8" t="s">
        <v>9709</v>
      </c>
      <c r="C1103" s="8" t="s">
        <v>8674</v>
      </c>
      <c r="D1103" s="8" t="s">
        <v>123</v>
      </c>
      <c r="E1103" s="8" t="s">
        <v>51</v>
      </c>
      <c r="F1103" s="8" t="s">
        <v>326</v>
      </c>
      <c r="G1103" s="8" t="s">
        <v>154</v>
      </c>
      <c r="H1103" s="8" t="s">
        <v>8666</v>
      </c>
      <c r="I1103" s="8" t="s">
        <v>8985</v>
      </c>
      <c r="J1103" s="8"/>
      <c r="K1103" s="8" t="s">
        <v>8690</v>
      </c>
      <c r="L1103" s="8" t="s">
        <v>9569</v>
      </c>
      <c r="M1103" s="8" t="s">
        <v>8692</v>
      </c>
      <c r="N1103" s="8" t="n">
        <v>25</v>
      </c>
      <c r="O1103" s="8" t="n">
        <v>25</v>
      </c>
      <c r="P1103" s="8" t="s">
        <v>120</v>
      </c>
    </row>
    <row r="1104" customFormat="false" ht="15" hidden="false" customHeight="false" outlineLevel="0" collapsed="false">
      <c r="A1104" s="8" t="s">
        <v>9710</v>
      </c>
      <c r="B1104" s="8" t="s">
        <v>9711</v>
      </c>
      <c r="C1104" s="8" t="s">
        <v>8680</v>
      </c>
      <c r="D1104" s="8" t="s">
        <v>132</v>
      </c>
      <c r="E1104" s="8" t="s">
        <v>53</v>
      </c>
      <c r="F1104" s="8" t="s">
        <v>326</v>
      </c>
      <c r="G1104" s="8" t="s">
        <v>151</v>
      </c>
      <c r="H1104" s="8" t="s">
        <v>8675</v>
      </c>
      <c r="I1104" s="8" t="s">
        <v>9712</v>
      </c>
      <c r="J1104" s="8"/>
      <c r="K1104" s="8" t="s">
        <v>8690</v>
      </c>
      <c r="L1104" s="8" t="s">
        <v>9253</v>
      </c>
      <c r="M1104" s="8" t="s">
        <v>8705</v>
      </c>
      <c r="N1104" s="8" t="n">
        <v>25</v>
      </c>
      <c r="O1104" s="8" t="n">
        <v>158</v>
      </c>
      <c r="P1104" s="8" t="s">
        <v>120</v>
      </c>
    </row>
    <row r="1105" customFormat="false" ht="15" hidden="false" customHeight="false" outlineLevel="0" collapsed="false">
      <c r="A1105" s="8" t="s">
        <v>2013</v>
      </c>
      <c r="B1105" s="8" t="s">
        <v>2014</v>
      </c>
      <c r="C1105" s="8" t="s">
        <v>8669</v>
      </c>
      <c r="D1105" s="8" t="s">
        <v>123</v>
      </c>
      <c r="E1105" s="8" t="s">
        <v>51</v>
      </c>
      <c r="F1105" s="8" t="s">
        <v>326</v>
      </c>
      <c r="G1105" s="8" t="s">
        <v>133</v>
      </c>
      <c r="H1105" s="8" t="s">
        <v>8670</v>
      </c>
      <c r="I1105" s="8" t="s">
        <v>9713</v>
      </c>
      <c r="J1105" s="8" t="s">
        <v>137</v>
      </c>
      <c r="K1105" s="8" t="s">
        <v>8664</v>
      </c>
      <c r="L1105" s="8"/>
      <c r="M1105" s="8"/>
      <c r="N1105" s="8" t="n">
        <v>25</v>
      </c>
      <c r="O1105" s="8" t="n">
        <v>31</v>
      </c>
      <c r="P1105" s="8" t="s">
        <v>120</v>
      </c>
    </row>
    <row r="1106" customFormat="false" ht="15" hidden="false" customHeight="false" outlineLevel="0" collapsed="false">
      <c r="A1106" s="8" t="s">
        <v>4176</v>
      </c>
      <c r="B1106" s="8" t="s">
        <v>4177</v>
      </c>
      <c r="C1106" s="8" t="s">
        <v>8680</v>
      </c>
      <c r="D1106" s="8" t="s">
        <v>123</v>
      </c>
      <c r="E1106" s="8" t="s">
        <v>51</v>
      </c>
      <c r="F1106" s="8" t="s">
        <v>2027</v>
      </c>
      <c r="G1106" s="8" t="s">
        <v>154</v>
      </c>
      <c r="H1106" s="8" t="s">
        <v>8675</v>
      </c>
      <c r="I1106" s="8" t="s">
        <v>9714</v>
      </c>
      <c r="J1106" s="8" t="s">
        <v>177</v>
      </c>
      <c r="K1106" s="8" t="s">
        <v>8664</v>
      </c>
      <c r="L1106" s="8"/>
      <c r="M1106" s="8"/>
      <c r="N1106" s="8" t="n">
        <v>12</v>
      </c>
      <c r="O1106" s="8" t="n">
        <v>9</v>
      </c>
      <c r="P1106" s="8" t="s">
        <v>120</v>
      </c>
    </row>
    <row r="1107" customFormat="false" ht="15" hidden="false" customHeight="false" outlineLevel="0" collapsed="false">
      <c r="A1107" s="8" t="s">
        <v>3612</v>
      </c>
      <c r="B1107" s="8" t="s">
        <v>3613</v>
      </c>
      <c r="C1107" s="8" t="s">
        <v>8688</v>
      </c>
      <c r="D1107" s="8" t="s">
        <v>123</v>
      </c>
      <c r="E1107" s="8" t="s">
        <v>51</v>
      </c>
      <c r="F1107" s="8" t="s">
        <v>2027</v>
      </c>
      <c r="G1107" s="8" t="s">
        <v>166</v>
      </c>
      <c r="H1107" s="8" t="s">
        <v>8670</v>
      </c>
      <c r="I1107" s="8" t="s">
        <v>9076</v>
      </c>
      <c r="J1107" s="8" t="s">
        <v>129</v>
      </c>
      <c r="K1107" s="8" t="s">
        <v>8664</v>
      </c>
      <c r="L1107" s="8"/>
      <c r="M1107" s="8"/>
      <c r="N1107" s="8" t="n">
        <v>12</v>
      </c>
      <c r="O1107" s="8" t="n">
        <v>16</v>
      </c>
      <c r="P1107" s="8" t="s">
        <v>120</v>
      </c>
    </row>
    <row r="1108" customFormat="false" ht="15" hidden="false" customHeight="false" outlineLevel="0" collapsed="false">
      <c r="A1108" s="8" t="s">
        <v>4238</v>
      </c>
      <c r="B1108" s="8" t="s">
        <v>4239</v>
      </c>
      <c r="C1108" s="8" t="s">
        <v>8678</v>
      </c>
      <c r="D1108" s="8" t="s">
        <v>117</v>
      </c>
      <c r="E1108" s="8" t="s">
        <v>51</v>
      </c>
      <c r="F1108" s="8" t="s">
        <v>2027</v>
      </c>
      <c r="G1108" s="8" t="s">
        <v>151</v>
      </c>
      <c r="H1108" s="8" t="s">
        <v>8666</v>
      </c>
      <c r="I1108" s="8" t="s">
        <v>9715</v>
      </c>
      <c r="J1108" s="8" t="s">
        <v>125</v>
      </c>
      <c r="K1108" s="8" t="s">
        <v>8664</v>
      </c>
      <c r="L1108" s="8"/>
      <c r="M1108" s="8"/>
      <c r="N1108" s="8" t="n">
        <v>12</v>
      </c>
      <c r="O1108" s="8" t="n">
        <v>8</v>
      </c>
      <c r="P1108" s="8" t="s">
        <v>120</v>
      </c>
    </row>
    <row r="1109" customFormat="false" ht="15" hidden="false" customHeight="false" outlineLevel="0" collapsed="false">
      <c r="A1109" s="8" t="s">
        <v>3714</v>
      </c>
      <c r="B1109" s="8" t="s">
        <v>3715</v>
      </c>
      <c r="C1109" s="8" t="s">
        <v>8669</v>
      </c>
      <c r="D1109" s="8" t="s">
        <v>123</v>
      </c>
      <c r="E1109" s="8" t="s">
        <v>51</v>
      </c>
      <c r="F1109" s="8" t="s">
        <v>2027</v>
      </c>
      <c r="G1109" s="8" t="s">
        <v>136</v>
      </c>
      <c r="H1109" s="8" t="s">
        <v>8670</v>
      </c>
      <c r="I1109" s="8" t="s">
        <v>8876</v>
      </c>
      <c r="J1109" s="8" t="s">
        <v>137</v>
      </c>
      <c r="K1109" s="8" t="s">
        <v>8664</v>
      </c>
      <c r="L1109" s="8"/>
      <c r="M1109" s="8"/>
      <c r="N1109" s="8" t="n">
        <v>12</v>
      </c>
      <c r="O1109" s="8" t="n">
        <v>17</v>
      </c>
      <c r="P1109" s="8" t="s">
        <v>120</v>
      </c>
    </row>
    <row r="1110" customFormat="false" ht="15" hidden="false" customHeight="false" outlineLevel="0" collapsed="false">
      <c r="A1110" s="8" t="s">
        <v>1181</v>
      </c>
      <c r="B1110" s="8" t="s">
        <v>1182</v>
      </c>
      <c r="C1110" s="8" t="s">
        <v>8688</v>
      </c>
      <c r="D1110" s="8" t="s">
        <v>123</v>
      </c>
      <c r="E1110" s="8" t="s">
        <v>53</v>
      </c>
      <c r="F1110" s="8" t="s">
        <v>326</v>
      </c>
      <c r="G1110" s="8" t="s">
        <v>136</v>
      </c>
      <c r="H1110" s="8" t="s">
        <v>8670</v>
      </c>
      <c r="I1110" s="8" t="s">
        <v>9716</v>
      </c>
      <c r="J1110" s="8" t="s">
        <v>119</v>
      </c>
      <c r="K1110" s="8" t="s">
        <v>8664</v>
      </c>
      <c r="L1110" s="8"/>
      <c r="M1110" s="8"/>
      <c r="N1110" s="8" t="n">
        <v>25</v>
      </c>
      <c r="O1110" s="8" t="n">
        <v>169</v>
      </c>
      <c r="P1110" s="8" t="s">
        <v>120</v>
      </c>
    </row>
    <row r="1111" customFormat="false" ht="15" hidden="false" customHeight="false" outlineLevel="0" collapsed="false">
      <c r="A1111" s="8" t="s">
        <v>9717</v>
      </c>
      <c r="B1111" s="8" t="s">
        <v>9718</v>
      </c>
      <c r="C1111" s="8" t="s">
        <v>8678</v>
      </c>
      <c r="D1111" s="8" t="s">
        <v>123</v>
      </c>
      <c r="E1111" s="8" t="s">
        <v>53</v>
      </c>
      <c r="F1111" s="8" t="s">
        <v>55</v>
      </c>
      <c r="G1111" s="8" t="s">
        <v>124</v>
      </c>
      <c r="H1111" s="8" t="s">
        <v>8662</v>
      </c>
      <c r="I1111" s="8" t="s">
        <v>9719</v>
      </c>
      <c r="J1111" s="8"/>
      <c r="K1111" s="8" t="s">
        <v>8690</v>
      </c>
      <c r="L1111" s="8" t="s">
        <v>9720</v>
      </c>
      <c r="M1111" s="8" t="s">
        <v>8721</v>
      </c>
      <c r="N1111" s="8" t="n">
        <v>45</v>
      </c>
      <c r="O1111" s="8" t="n">
        <v>70</v>
      </c>
      <c r="P1111" s="8" t="s">
        <v>120</v>
      </c>
    </row>
    <row r="1112" customFormat="false" ht="15" hidden="false" customHeight="false" outlineLevel="0" collapsed="false">
      <c r="A1112" s="8" t="s">
        <v>1607</v>
      </c>
      <c r="B1112" s="8" t="s">
        <v>1608</v>
      </c>
      <c r="C1112" s="8" t="s">
        <v>8688</v>
      </c>
      <c r="D1112" s="8" t="s">
        <v>123</v>
      </c>
      <c r="E1112" s="8" t="s">
        <v>53</v>
      </c>
      <c r="F1112" s="8" t="s">
        <v>326</v>
      </c>
      <c r="G1112" s="8" t="s">
        <v>151</v>
      </c>
      <c r="H1112" s="8" t="s">
        <v>8675</v>
      </c>
      <c r="I1112" s="8" t="s">
        <v>9721</v>
      </c>
      <c r="J1112" s="8" t="s">
        <v>177</v>
      </c>
      <c r="K1112" s="8" t="s">
        <v>8664</v>
      </c>
      <c r="L1112" s="8"/>
      <c r="M1112" s="8"/>
      <c r="N1112" s="8" t="n">
        <v>25</v>
      </c>
      <c r="O1112" s="8" t="n">
        <v>71</v>
      </c>
      <c r="P1112" s="8" t="s">
        <v>120</v>
      </c>
    </row>
    <row r="1113" customFormat="false" ht="15" hidden="false" customHeight="false" outlineLevel="0" collapsed="false">
      <c r="A1113" s="8" t="s">
        <v>569</v>
      </c>
      <c r="B1113" s="8" t="s">
        <v>570</v>
      </c>
      <c r="C1113" s="8" t="s">
        <v>8665</v>
      </c>
      <c r="D1113" s="8" t="s">
        <v>123</v>
      </c>
      <c r="E1113" s="8" t="s">
        <v>55</v>
      </c>
      <c r="F1113" s="8" t="s">
        <v>55</v>
      </c>
      <c r="G1113" s="8" t="s">
        <v>124</v>
      </c>
      <c r="H1113" s="8" t="s">
        <v>8662</v>
      </c>
      <c r="I1113" s="8" t="s">
        <v>9314</v>
      </c>
      <c r="J1113" s="8" t="s">
        <v>177</v>
      </c>
      <c r="K1113" s="8" t="s">
        <v>8664</v>
      </c>
      <c r="L1113" s="8"/>
      <c r="M1113" s="8"/>
      <c r="N1113" s="8" t="n">
        <v>45</v>
      </c>
      <c r="O1113" s="8" t="n">
        <v>212</v>
      </c>
      <c r="P1113" s="8" t="s">
        <v>120</v>
      </c>
    </row>
    <row r="1114" customFormat="false" ht="15" hidden="false" customHeight="false" outlineLevel="0" collapsed="false">
      <c r="A1114" s="8" t="s">
        <v>2176</v>
      </c>
      <c r="B1114" s="8" t="s">
        <v>2177</v>
      </c>
      <c r="C1114" s="8" t="s">
        <v>8669</v>
      </c>
      <c r="D1114" s="8" t="s">
        <v>132</v>
      </c>
      <c r="E1114" s="8" t="s">
        <v>51</v>
      </c>
      <c r="F1114" s="8" t="s">
        <v>326</v>
      </c>
      <c r="G1114" s="8" t="s">
        <v>118</v>
      </c>
      <c r="H1114" s="8" t="s">
        <v>8662</v>
      </c>
      <c r="I1114" s="8" t="s">
        <v>8819</v>
      </c>
      <c r="J1114" s="8" t="s">
        <v>140</v>
      </c>
      <c r="K1114" s="8" t="s">
        <v>8664</v>
      </c>
      <c r="L1114" s="8"/>
      <c r="M1114" s="8"/>
      <c r="N1114" s="8" t="n">
        <v>25</v>
      </c>
      <c r="O1114" s="8" t="n">
        <v>29</v>
      </c>
      <c r="P1114" s="8" t="s">
        <v>120</v>
      </c>
    </row>
    <row r="1115" customFormat="false" ht="15" hidden="false" customHeight="false" outlineLevel="0" collapsed="false">
      <c r="A1115" s="8" t="s">
        <v>2644</v>
      </c>
      <c r="B1115" s="8" t="s">
        <v>2645</v>
      </c>
      <c r="C1115" s="8" t="s">
        <v>8665</v>
      </c>
      <c r="D1115" s="8" t="s">
        <v>123</v>
      </c>
      <c r="E1115" s="8" t="s">
        <v>51</v>
      </c>
      <c r="F1115" s="8" t="s">
        <v>326</v>
      </c>
      <c r="G1115" s="8" t="s">
        <v>124</v>
      </c>
      <c r="H1115" s="8" t="s">
        <v>8675</v>
      </c>
      <c r="I1115" s="8" t="s">
        <v>9705</v>
      </c>
      <c r="J1115" s="8" t="s">
        <v>129</v>
      </c>
      <c r="K1115" s="8" t="s">
        <v>8664</v>
      </c>
      <c r="L1115" s="8"/>
      <c r="M1115" s="8"/>
      <c r="N1115" s="8" t="n">
        <v>25</v>
      </c>
      <c r="O1115" s="8" t="n">
        <v>17</v>
      </c>
      <c r="P1115" s="8" t="s">
        <v>120</v>
      </c>
    </row>
    <row r="1116" customFormat="false" ht="15" hidden="false" customHeight="false" outlineLevel="0" collapsed="false">
      <c r="A1116" s="8" t="s">
        <v>4276</v>
      </c>
      <c r="B1116" s="8" t="s">
        <v>4277</v>
      </c>
      <c r="C1116" s="8" t="s">
        <v>8669</v>
      </c>
      <c r="D1116" s="8" t="s">
        <v>123</v>
      </c>
      <c r="E1116" s="8" t="s">
        <v>51</v>
      </c>
      <c r="F1116" s="8" t="s">
        <v>2027</v>
      </c>
      <c r="G1116" s="8" t="s">
        <v>154</v>
      </c>
      <c r="H1116" s="8" t="s">
        <v>8670</v>
      </c>
      <c r="I1116" s="8" t="s">
        <v>9722</v>
      </c>
      <c r="J1116" s="8" t="s">
        <v>180</v>
      </c>
      <c r="K1116" s="8" t="s">
        <v>8664</v>
      </c>
      <c r="L1116" s="8"/>
      <c r="M1116" s="8"/>
      <c r="N1116" s="8" t="n">
        <v>12</v>
      </c>
      <c r="O1116" s="8" t="n">
        <v>7</v>
      </c>
      <c r="P1116" s="8" t="s">
        <v>120</v>
      </c>
    </row>
    <row r="1117" customFormat="false" ht="15" hidden="false" customHeight="false" outlineLevel="0" collapsed="false">
      <c r="A1117" s="8" t="s">
        <v>4314</v>
      </c>
      <c r="B1117" s="8" t="s">
        <v>4315</v>
      </c>
      <c r="C1117" s="8" t="s">
        <v>8665</v>
      </c>
      <c r="D1117" s="8" t="s">
        <v>123</v>
      </c>
      <c r="E1117" s="8" t="s">
        <v>51</v>
      </c>
      <c r="F1117" s="8" t="s">
        <v>2027</v>
      </c>
      <c r="G1117" s="8" t="s">
        <v>143</v>
      </c>
      <c r="H1117" s="8" t="s">
        <v>8662</v>
      </c>
      <c r="I1117" s="8" t="s">
        <v>9671</v>
      </c>
      <c r="J1117" s="8" t="s">
        <v>119</v>
      </c>
      <c r="K1117" s="8" t="s">
        <v>8664</v>
      </c>
      <c r="L1117" s="8"/>
      <c r="M1117" s="8"/>
      <c r="N1117" s="8" t="n">
        <v>12</v>
      </c>
      <c r="O1117" s="8" t="n">
        <v>6</v>
      </c>
      <c r="P1117" s="8" t="s">
        <v>120</v>
      </c>
    </row>
    <row r="1118" customFormat="false" ht="15" hidden="false" customHeight="false" outlineLevel="0" collapsed="false">
      <c r="A1118" s="8" t="s">
        <v>9723</v>
      </c>
      <c r="B1118" s="8" t="s">
        <v>9724</v>
      </c>
      <c r="C1118" s="8" t="s">
        <v>8680</v>
      </c>
      <c r="D1118" s="8" t="s">
        <v>117</v>
      </c>
      <c r="E1118" s="8" t="s">
        <v>53</v>
      </c>
      <c r="F1118" s="8" t="s">
        <v>326</v>
      </c>
      <c r="G1118" s="8" t="s">
        <v>151</v>
      </c>
      <c r="H1118" s="8" t="s">
        <v>8666</v>
      </c>
      <c r="I1118" s="8" t="s">
        <v>9419</v>
      </c>
      <c r="J1118" s="8"/>
      <c r="K1118" s="8" t="s">
        <v>8690</v>
      </c>
      <c r="L1118" s="8" t="s">
        <v>9725</v>
      </c>
      <c r="M1118" s="8" t="s">
        <v>8692</v>
      </c>
      <c r="N1118" s="8" t="n">
        <v>25</v>
      </c>
      <c r="O1118" s="8" t="n">
        <v>171</v>
      </c>
      <c r="P1118" s="8" t="s">
        <v>148</v>
      </c>
    </row>
    <row r="1119" customFormat="false" ht="15" hidden="false" customHeight="false" outlineLevel="0" collapsed="false">
      <c r="A1119" s="8" t="s">
        <v>1127</v>
      </c>
      <c r="B1119" s="8" t="s">
        <v>1128</v>
      </c>
      <c r="C1119" s="8" t="s">
        <v>8700</v>
      </c>
      <c r="D1119" s="8" t="s">
        <v>123</v>
      </c>
      <c r="E1119" s="8" t="s">
        <v>53</v>
      </c>
      <c r="F1119" s="8" t="s">
        <v>326</v>
      </c>
      <c r="G1119" s="8" t="s">
        <v>118</v>
      </c>
      <c r="H1119" s="8" t="s">
        <v>8662</v>
      </c>
      <c r="I1119" s="8" t="s">
        <v>9378</v>
      </c>
      <c r="J1119" s="8" t="s">
        <v>185</v>
      </c>
      <c r="K1119" s="8" t="s">
        <v>8664</v>
      </c>
      <c r="L1119" s="8"/>
      <c r="M1119" s="8"/>
      <c r="N1119" s="8" t="n">
        <v>25</v>
      </c>
      <c r="O1119" s="8" t="n">
        <v>111</v>
      </c>
      <c r="P1119" s="8" t="s">
        <v>120</v>
      </c>
    </row>
    <row r="1120" customFormat="false" ht="15" hidden="false" customHeight="false" outlineLevel="0" collapsed="false">
      <c r="A1120" s="8" t="s">
        <v>3564</v>
      </c>
      <c r="B1120" s="8" t="s">
        <v>3565</v>
      </c>
      <c r="C1120" s="8" t="s">
        <v>8688</v>
      </c>
      <c r="D1120" s="8" t="s">
        <v>117</v>
      </c>
      <c r="E1120" s="8" t="s">
        <v>51</v>
      </c>
      <c r="F1120" s="8" t="s">
        <v>2027</v>
      </c>
      <c r="G1120" s="8" t="s">
        <v>223</v>
      </c>
      <c r="H1120" s="8" t="s">
        <v>8675</v>
      </c>
      <c r="I1120" s="8" t="s">
        <v>9726</v>
      </c>
      <c r="J1120" s="8" t="s">
        <v>129</v>
      </c>
      <c r="K1120" s="8" t="s">
        <v>8664</v>
      </c>
      <c r="L1120" s="8"/>
      <c r="M1120" s="8"/>
      <c r="N1120" s="8" t="n">
        <v>12</v>
      </c>
      <c r="O1120" s="8" t="n">
        <v>20</v>
      </c>
      <c r="P1120" s="8" t="s">
        <v>120</v>
      </c>
    </row>
    <row r="1121" customFormat="false" ht="15" hidden="false" customHeight="false" outlineLevel="0" collapsed="false">
      <c r="A1121" s="8" t="s">
        <v>1443</v>
      </c>
      <c r="B1121" s="8" t="s">
        <v>1444</v>
      </c>
      <c r="C1121" s="8" t="s">
        <v>8665</v>
      </c>
      <c r="D1121" s="8" t="s">
        <v>117</v>
      </c>
      <c r="E1121" s="8" t="s">
        <v>53</v>
      </c>
      <c r="F1121" s="8" t="s">
        <v>326</v>
      </c>
      <c r="G1121" s="8" t="s">
        <v>151</v>
      </c>
      <c r="H1121" s="8" t="s">
        <v>8666</v>
      </c>
      <c r="I1121" s="8" t="s">
        <v>9675</v>
      </c>
      <c r="J1121" s="8" t="s">
        <v>180</v>
      </c>
      <c r="K1121" s="8" t="s">
        <v>8664</v>
      </c>
      <c r="L1121" s="8"/>
      <c r="M1121" s="8"/>
      <c r="N1121" s="8" t="n">
        <v>25</v>
      </c>
      <c r="O1121" s="8" t="n">
        <v>112</v>
      </c>
      <c r="P1121" s="8" t="s">
        <v>120</v>
      </c>
    </row>
    <row r="1122" customFormat="false" ht="15" hidden="false" customHeight="false" outlineLevel="0" collapsed="false">
      <c r="A1122" s="8" t="s">
        <v>991</v>
      </c>
      <c r="B1122" s="8" t="s">
        <v>992</v>
      </c>
      <c r="C1122" s="8" t="s">
        <v>8669</v>
      </c>
      <c r="D1122" s="8" t="s">
        <v>123</v>
      </c>
      <c r="E1122" s="8" t="s">
        <v>53</v>
      </c>
      <c r="F1122" s="8" t="s">
        <v>326</v>
      </c>
      <c r="G1122" s="8" t="s">
        <v>143</v>
      </c>
      <c r="H1122" s="8" t="s">
        <v>8670</v>
      </c>
      <c r="I1122" s="8" t="s">
        <v>9727</v>
      </c>
      <c r="J1122" s="8" t="s">
        <v>129</v>
      </c>
      <c r="K1122" s="8" t="s">
        <v>8664</v>
      </c>
      <c r="L1122" s="8"/>
      <c r="M1122" s="8"/>
      <c r="N1122" s="8" t="n">
        <v>25</v>
      </c>
      <c r="O1122" s="8" t="n">
        <v>166</v>
      </c>
      <c r="P1122" s="8" t="s">
        <v>120</v>
      </c>
    </row>
    <row r="1123" customFormat="false" ht="15" hidden="false" customHeight="false" outlineLevel="0" collapsed="false">
      <c r="A1123" s="8" t="s">
        <v>595</v>
      </c>
      <c r="B1123" s="8" t="s">
        <v>596</v>
      </c>
      <c r="C1123" s="8" t="s">
        <v>8661</v>
      </c>
      <c r="D1123" s="8" t="s">
        <v>123</v>
      </c>
      <c r="E1123" s="8" t="s">
        <v>53</v>
      </c>
      <c r="F1123" s="8" t="s">
        <v>55</v>
      </c>
      <c r="G1123" s="8" t="s">
        <v>154</v>
      </c>
      <c r="H1123" s="8" t="s">
        <v>8670</v>
      </c>
      <c r="I1123" s="8" t="s">
        <v>9684</v>
      </c>
      <c r="J1123" s="8" t="s">
        <v>204</v>
      </c>
      <c r="K1123" s="8" t="s">
        <v>8664</v>
      </c>
      <c r="L1123" s="8"/>
      <c r="M1123" s="8"/>
      <c r="N1123" s="8" t="n">
        <v>45</v>
      </c>
      <c r="O1123" s="8" t="n">
        <v>173</v>
      </c>
      <c r="P1123" s="8" t="s">
        <v>120</v>
      </c>
    </row>
    <row r="1124" customFormat="false" ht="15" hidden="false" customHeight="false" outlineLevel="0" collapsed="false">
      <c r="A1124" s="8" t="s">
        <v>9728</v>
      </c>
      <c r="B1124" s="8" t="s">
        <v>9729</v>
      </c>
      <c r="C1124" s="8" t="s">
        <v>8680</v>
      </c>
      <c r="D1124" s="8" t="s">
        <v>117</v>
      </c>
      <c r="E1124" s="8" t="s">
        <v>51</v>
      </c>
      <c r="F1124" s="8" t="s">
        <v>2027</v>
      </c>
      <c r="G1124" s="8" t="s">
        <v>190</v>
      </c>
      <c r="H1124" s="8" t="s">
        <v>8670</v>
      </c>
      <c r="I1124" s="8" t="s">
        <v>9601</v>
      </c>
      <c r="J1124" s="8"/>
      <c r="K1124" s="8" t="s">
        <v>8690</v>
      </c>
      <c r="L1124" s="8" t="s">
        <v>9730</v>
      </c>
      <c r="M1124" s="8" t="s">
        <v>8795</v>
      </c>
      <c r="N1124" s="8" t="n">
        <v>12</v>
      </c>
      <c r="O1124" s="8" t="n">
        <v>36</v>
      </c>
      <c r="P1124" s="8" t="s">
        <v>120</v>
      </c>
    </row>
    <row r="1125" customFormat="false" ht="15" hidden="false" customHeight="false" outlineLevel="0" collapsed="false">
      <c r="A1125" s="8" t="s">
        <v>3966</v>
      </c>
      <c r="B1125" s="8" t="s">
        <v>3967</v>
      </c>
      <c r="C1125" s="8" t="s">
        <v>8669</v>
      </c>
      <c r="D1125" s="8" t="s">
        <v>132</v>
      </c>
      <c r="E1125" s="8" t="s">
        <v>51</v>
      </c>
      <c r="F1125" s="8" t="s">
        <v>326</v>
      </c>
      <c r="G1125" s="8" t="s">
        <v>151</v>
      </c>
      <c r="H1125" s="8" t="s">
        <v>8662</v>
      </c>
      <c r="I1125" s="8" t="s">
        <v>9330</v>
      </c>
      <c r="J1125" s="8" t="s">
        <v>180</v>
      </c>
      <c r="K1125" s="8" t="s">
        <v>8664</v>
      </c>
      <c r="L1125" s="8"/>
      <c r="M1125" s="8"/>
      <c r="N1125" s="8" t="n">
        <v>25</v>
      </c>
      <c r="O1125" s="8" t="n">
        <v>6</v>
      </c>
      <c r="P1125" s="8" t="s">
        <v>120</v>
      </c>
    </row>
    <row r="1126" customFormat="false" ht="15" hidden="false" customHeight="false" outlineLevel="0" collapsed="false">
      <c r="A1126" s="8" t="s">
        <v>1265</v>
      </c>
      <c r="B1126" s="8" t="s">
        <v>1266</v>
      </c>
      <c r="C1126" s="8" t="s">
        <v>8680</v>
      </c>
      <c r="D1126" s="8" t="s">
        <v>132</v>
      </c>
      <c r="E1126" s="8" t="s">
        <v>53</v>
      </c>
      <c r="F1126" s="8" t="s">
        <v>55</v>
      </c>
      <c r="G1126" s="8" t="s">
        <v>190</v>
      </c>
      <c r="H1126" s="8" t="s">
        <v>8666</v>
      </c>
      <c r="I1126" s="8" t="s">
        <v>9731</v>
      </c>
      <c r="J1126" s="8" t="s">
        <v>137</v>
      </c>
      <c r="K1126" s="8" t="s">
        <v>8664</v>
      </c>
      <c r="L1126" s="8"/>
      <c r="M1126" s="8"/>
      <c r="N1126" s="8" t="n">
        <v>45</v>
      </c>
      <c r="O1126" s="8" t="n">
        <v>71</v>
      </c>
      <c r="P1126" s="8" t="s">
        <v>120</v>
      </c>
    </row>
    <row r="1127" customFormat="false" ht="15" hidden="false" customHeight="false" outlineLevel="0" collapsed="false">
      <c r="A1127" s="8" t="s">
        <v>280</v>
      </c>
      <c r="B1127" s="8" t="s">
        <v>281</v>
      </c>
      <c r="C1127" s="8" t="s">
        <v>8680</v>
      </c>
      <c r="D1127" s="8" t="s">
        <v>132</v>
      </c>
      <c r="E1127" s="8" t="s">
        <v>55</v>
      </c>
      <c r="F1127" s="8" t="s">
        <v>55</v>
      </c>
      <c r="G1127" s="8" t="s">
        <v>154</v>
      </c>
      <c r="H1127" s="8" t="s">
        <v>8662</v>
      </c>
      <c r="I1127" s="8" t="s">
        <v>9732</v>
      </c>
      <c r="J1127" s="8" t="s">
        <v>140</v>
      </c>
      <c r="K1127" s="8" t="s">
        <v>8664</v>
      </c>
      <c r="L1127" s="8"/>
      <c r="M1127" s="8"/>
      <c r="N1127" s="8" t="n">
        <v>45</v>
      </c>
      <c r="O1127" s="8" t="n">
        <v>446</v>
      </c>
      <c r="P1127" s="8" t="s">
        <v>148</v>
      </c>
    </row>
    <row r="1128" customFormat="false" ht="15" hidden="false" customHeight="false" outlineLevel="0" collapsed="false">
      <c r="A1128" s="8" t="s">
        <v>1855</v>
      </c>
      <c r="B1128" s="8" t="s">
        <v>1856</v>
      </c>
      <c r="C1128" s="8" t="s">
        <v>8680</v>
      </c>
      <c r="D1128" s="8" t="s">
        <v>117</v>
      </c>
      <c r="E1128" s="8" t="s">
        <v>51</v>
      </c>
      <c r="F1128" s="8" t="s">
        <v>326</v>
      </c>
      <c r="G1128" s="8" t="s">
        <v>143</v>
      </c>
      <c r="H1128" s="8" t="s">
        <v>8666</v>
      </c>
      <c r="I1128" s="8" t="s">
        <v>9184</v>
      </c>
      <c r="J1128" s="8" t="s">
        <v>137</v>
      </c>
      <c r="K1128" s="8" t="s">
        <v>8664</v>
      </c>
      <c r="L1128" s="8"/>
      <c r="M1128" s="8"/>
      <c r="N1128" s="8" t="n">
        <v>25</v>
      </c>
      <c r="O1128" s="8" t="n">
        <v>38</v>
      </c>
      <c r="P1128" s="8" t="s">
        <v>120</v>
      </c>
    </row>
    <row r="1129" customFormat="false" ht="15" hidden="false" customHeight="false" outlineLevel="0" collapsed="false">
      <c r="A1129" s="8" t="s">
        <v>2694</v>
      </c>
      <c r="B1129" s="8" t="s">
        <v>2695</v>
      </c>
      <c r="C1129" s="8" t="s">
        <v>8665</v>
      </c>
      <c r="D1129" s="8" t="s">
        <v>123</v>
      </c>
      <c r="E1129" s="8" t="s">
        <v>51</v>
      </c>
      <c r="F1129" s="8" t="s">
        <v>2027</v>
      </c>
      <c r="G1129" s="8" t="s">
        <v>133</v>
      </c>
      <c r="H1129" s="8" t="s">
        <v>8662</v>
      </c>
      <c r="I1129" s="8" t="s">
        <v>9348</v>
      </c>
      <c r="J1129" s="8" t="s">
        <v>140</v>
      </c>
      <c r="K1129" s="8" t="s">
        <v>8664</v>
      </c>
      <c r="L1129" s="8"/>
      <c r="M1129" s="8"/>
      <c r="N1129" s="8" t="n">
        <v>12</v>
      </c>
      <c r="O1129" s="8" t="n">
        <v>35</v>
      </c>
      <c r="P1129" s="8" t="s">
        <v>120</v>
      </c>
    </row>
    <row r="1130" customFormat="false" ht="15" hidden="false" customHeight="false" outlineLevel="0" collapsed="false">
      <c r="A1130" s="8" t="s">
        <v>4240</v>
      </c>
      <c r="B1130" s="8" t="s">
        <v>4241</v>
      </c>
      <c r="C1130" s="8" t="s">
        <v>8665</v>
      </c>
      <c r="D1130" s="8" t="s">
        <v>132</v>
      </c>
      <c r="E1130" s="8" t="s">
        <v>51</v>
      </c>
      <c r="F1130" s="8" t="s">
        <v>2027</v>
      </c>
      <c r="G1130" s="8" t="s">
        <v>154</v>
      </c>
      <c r="H1130" s="8" t="s">
        <v>8670</v>
      </c>
      <c r="I1130" s="8" t="s">
        <v>9733</v>
      </c>
      <c r="J1130" s="8" t="s">
        <v>180</v>
      </c>
      <c r="K1130" s="8" t="s">
        <v>8664</v>
      </c>
      <c r="L1130" s="8"/>
      <c r="M1130" s="8"/>
      <c r="N1130" s="8" t="n">
        <v>12</v>
      </c>
      <c r="O1130" s="8" t="n">
        <v>8</v>
      </c>
      <c r="P1130" s="8" t="s">
        <v>120</v>
      </c>
    </row>
    <row r="1131" customFormat="false" ht="15" hidden="false" customHeight="false" outlineLevel="0" collapsed="false">
      <c r="A1131" s="8" t="s">
        <v>2696</v>
      </c>
      <c r="B1131" s="8" t="s">
        <v>2697</v>
      </c>
      <c r="C1131" s="8" t="s">
        <v>8661</v>
      </c>
      <c r="D1131" s="8" t="s">
        <v>123</v>
      </c>
      <c r="E1131" s="8" t="s">
        <v>51</v>
      </c>
      <c r="F1131" s="8" t="s">
        <v>2027</v>
      </c>
      <c r="G1131" s="8" t="s">
        <v>143</v>
      </c>
      <c r="H1131" s="8" t="s">
        <v>8670</v>
      </c>
      <c r="I1131" s="8" t="s">
        <v>9527</v>
      </c>
      <c r="J1131" s="8" t="s">
        <v>144</v>
      </c>
      <c r="K1131" s="8" t="s">
        <v>8664</v>
      </c>
      <c r="L1131" s="8"/>
      <c r="M1131" s="8"/>
      <c r="N1131" s="8" t="n">
        <v>12</v>
      </c>
      <c r="O1131" s="8" t="n">
        <v>26</v>
      </c>
      <c r="P1131" s="8" t="s">
        <v>120</v>
      </c>
    </row>
    <row r="1132" customFormat="false" ht="15" hidden="false" customHeight="false" outlineLevel="0" collapsed="false">
      <c r="A1132" s="8" t="s">
        <v>2162</v>
      </c>
      <c r="B1132" s="8" t="s">
        <v>2163</v>
      </c>
      <c r="C1132" s="8" t="s">
        <v>8678</v>
      </c>
      <c r="D1132" s="8" t="s">
        <v>132</v>
      </c>
      <c r="E1132" s="8" t="s">
        <v>51</v>
      </c>
      <c r="F1132" s="8" t="s">
        <v>326</v>
      </c>
      <c r="G1132" s="8" t="s">
        <v>223</v>
      </c>
      <c r="H1132" s="8" t="s">
        <v>8670</v>
      </c>
      <c r="I1132" s="8" t="s">
        <v>9009</v>
      </c>
      <c r="J1132" s="8" t="s">
        <v>159</v>
      </c>
      <c r="K1132" s="8" t="s">
        <v>8664</v>
      </c>
      <c r="L1132" s="8"/>
      <c r="M1132" s="8"/>
      <c r="N1132" s="8" t="n">
        <v>25</v>
      </c>
      <c r="O1132" s="8" t="n">
        <v>26</v>
      </c>
      <c r="P1132" s="8" t="s">
        <v>120</v>
      </c>
    </row>
    <row r="1133" customFormat="false" ht="15" hidden="false" customHeight="false" outlineLevel="0" collapsed="false">
      <c r="A1133" s="8" t="s">
        <v>4561</v>
      </c>
      <c r="B1133" s="8" t="s">
        <v>9734</v>
      </c>
      <c r="C1133" s="8" t="s">
        <v>8661</v>
      </c>
      <c r="D1133" s="8" t="s">
        <v>123</v>
      </c>
      <c r="E1133" s="8" t="s">
        <v>51</v>
      </c>
      <c r="F1133" s="8" t="s">
        <v>2027</v>
      </c>
      <c r="G1133" s="8" t="s">
        <v>136</v>
      </c>
      <c r="H1133" s="8" t="s">
        <v>8666</v>
      </c>
      <c r="I1133" s="8" t="s">
        <v>9652</v>
      </c>
      <c r="J1133" s="8"/>
      <c r="K1133" s="8" t="s">
        <v>8690</v>
      </c>
      <c r="L1133" s="8" t="s">
        <v>9221</v>
      </c>
      <c r="M1133" s="8" t="s">
        <v>8705</v>
      </c>
      <c r="N1133" s="8" t="n">
        <v>12</v>
      </c>
      <c r="O1133" s="8" t="n">
        <v>16</v>
      </c>
      <c r="P1133" s="8" t="s">
        <v>120</v>
      </c>
    </row>
    <row r="1134" customFormat="false" ht="15" hidden="false" customHeight="false" outlineLevel="0" collapsed="false">
      <c r="A1134" s="8" t="s">
        <v>130</v>
      </c>
      <c r="B1134" s="8" t="s">
        <v>131</v>
      </c>
      <c r="C1134" s="8" t="s">
        <v>8688</v>
      </c>
      <c r="D1134" s="8" t="s">
        <v>132</v>
      </c>
      <c r="E1134" s="8" t="s">
        <v>55</v>
      </c>
      <c r="F1134" s="8" t="s">
        <v>55</v>
      </c>
      <c r="G1134" s="8" t="s">
        <v>133</v>
      </c>
      <c r="H1134" s="8" t="s">
        <v>8666</v>
      </c>
      <c r="I1134" s="8" t="s">
        <v>9735</v>
      </c>
      <c r="J1134" s="8" t="s">
        <v>125</v>
      </c>
      <c r="K1134" s="8" t="s">
        <v>8664</v>
      </c>
      <c r="L1134" s="8"/>
      <c r="M1134" s="8"/>
      <c r="N1134" s="8" t="n">
        <v>45</v>
      </c>
      <c r="O1134" s="8" t="n">
        <v>568</v>
      </c>
      <c r="P1134" s="8" t="s">
        <v>120</v>
      </c>
    </row>
    <row r="1135" customFormat="false" ht="15" hidden="false" customHeight="false" outlineLevel="0" collapsed="false">
      <c r="A1135" s="8" t="s">
        <v>1453</v>
      </c>
      <c r="B1135" s="8" t="s">
        <v>1454</v>
      </c>
      <c r="C1135" s="8" t="s">
        <v>8669</v>
      </c>
      <c r="D1135" s="8" t="s">
        <v>123</v>
      </c>
      <c r="E1135" s="8" t="s">
        <v>53</v>
      </c>
      <c r="F1135" s="8" t="s">
        <v>326</v>
      </c>
      <c r="G1135" s="8" t="s">
        <v>166</v>
      </c>
      <c r="H1135" s="8" t="s">
        <v>8666</v>
      </c>
      <c r="I1135" s="8" t="s">
        <v>8877</v>
      </c>
      <c r="J1135" s="8" t="s">
        <v>119</v>
      </c>
      <c r="K1135" s="8" t="s">
        <v>8664</v>
      </c>
      <c r="L1135" s="8"/>
      <c r="M1135" s="8"/>
      <c r="N1135" s="8" t="n">
        <v>25</v>
      </c>
      <c r="O1135" s="8" t="n">
        <v>95</v>
      </c>
      <c r="P1135" s="8" t="s">
        <v>120</v>
      </c>
    </row>
    <row r="1136" customFormat="false" ht="15" hidden="false" customHeight="false" outlineLevel="0" collapsed="false">
      <c r="A1136" s="8" t="s">
        <v>3670</v>
      </c>
      <c r="B1136" s="8" t="s">
        <v>3671</v>
      </c>
      <c r="C1136" s="8" t="s">
        <v>8661</v>
      </c>
      <c r="D1136" s="8" t="s">
        <v>128</v>
      </c>
      <c r="E1136" s="8" t="s">
        <v>51</v>
      </c>
      <c r="F1136" s="8" t="s">
        <v>2027</v>
      </c>
      <c r="G1136" s="8" t="s">
        <v>143</v>
      </c>
      <c r="H1136" s="8" t="s">
        <v>8662</v>
      </c>
      <c r="I1136" s="8" t="s">
        <v>9736</v>
      </c>
      <c r="J1136" s="8" t="s">
        <v>180</v>
      </c>
      <c r="K1136" s="8" t="s">
        <v>8664</v>
      </c>
      <c r="L1136" s="8"/>
      <c r="M1136" s="8"/>
      <c r="N1136" s="8" t="n">
        <v>12</v>
      </c>
      <c r="O1136" s="8" t="n">
        <v>18</v>
      </c>
      <c r="P1136" s="8" t="s">
        <v>120</v>
      </c>
    </row>
    <row r="1137" customFormat="false" ht="15" hidden="false" customHeight="false" outlineLevel="0" collapsed="false">
      <c r="A1137" s="8" t="s">
        <v>937</v>
      </c>
      <c r="B1137" s="8" t="s">
        <v>938</v>
      </c>
      <c r="C1137" s="8" t="s">
        <v>8674</v>
      </c>
      <c r="D1137" s="8" t="s">
        <v>117</v>
      </c>
      <c r="E1137" s="8" t="s">
        <v>53</v>
      </c>
      <c r="F1137" s="8" t="s">
        <v>55</v>
      </c>
      <c r="G1137" s="8" t="s">
        <v>143</v>
      </c>
      <c r="H1137" s="8" t="s">
        <v>8666</v>
      </c>
      <c r="I1137" s="8" t="s">
        <v>8683</v>
      </c>
      <c r="J1137" s="8" t="s">
        <v>144</v>
      </c>
      <c r="K1137" s="8" t="s">
        <v>8664</v>
      </c>
      <c r="L1137" s="8"/>
      <c r="M1137" s="8"/>
      <c r="N1137" s="8" t="n">
        <v>45</v>
      </c>
      <c r="O1137" s="8" t="n">
        <v>98</v>
      </c>
      <c r="P1137" s="8" t="s">
        <v>120</v>
      </c>
    </row>
    <row r="1138" customFormat="false" ht="15" hidden="false" customHeight="false" outlineLevel="0" collapsed="false">
      <c r="A1138" s="8" t="s">
        <v>1857</v>
      </c>
      <c r="B1138" s="8" t="s">
        <v>1858</v>
      </c>
      <c r="C1138" s="8" t="s">
        <v>8674</v>
      </c>
      <c r="D1138" s="8" t="s">
        <v>128</v>
      </c>
      <c r="E1138" s="8" t="s">
        <v>53</v>
      </c>
      <c r="F1138" s="8" t="s">
        <v>326</v>
      </c>
      <c r="G1138" s="8" t="s">
        <v>166</v>
      </c>
      <c r="H1138" s="8" t="s">
        <v>8670</v>
      </c>
      <c r="I1138" s="8" t="s">
        <v>9737</v>
      </c>
      <c r="J1138" s="8" t="s">
        <v>137</v>
      </c>
      <c r="K1138" s="8" t="s">
        <v>8664</v>
      </c>
      <c r="L1138" s="8"/>
      <c r="M1138" s="8"/>
      <c r="N1138" s="8" t="n">
        <v>25</v>
      </c>
      <c r="O1138" s="8" t="n">
        <v>54</v>
      </c>
      <c r="P1138" s="8" t="s">
        <v>120</v>
      </c>
    </row>
    <row r="1139" customFormat="false" ht="15" hidden="false" customHeight="false" outlineLevel="0" collapsed="false">
      <c r="A1139" s="8" t="s">
        <v>2428</v>
      </c>
      <c r="B1139" s="8" t="s">
        <v>2429</v>
      </c>
      <c r="C1139" s="8" t="s">
        <v>8665</v>
      </c>
      <c r="D1139" s="8" t="s">
        <v>123</v>
      </c>
      <c r="E1139" s="8" t="s">
        <v>51</v>
      </c>
      <c r="F1139" s="8" t="s">
        <v>326</v>
      </c>
      <c r="G1139" s="8" t="s">
        <v>166</v>
      </c>
      <c r="H1139" s="8" t="s">
        <v>8666</v>
      </c>
      <c r="I1139" s="8" t="s">
        <v>9738</v>
      </c>
      <c r="J1139" s="8" t="s">
        <v>159</v>
      </c>
      <c r="K1139" s="8" t="s">
        <v>8664</v>
      </c>
      <c r="L1139" s="8"/>
      <c r="M1139" s="8"/>
      <c r="N1139" s="8" t="n">
        <v>25</v>
      </c>
      <c r="O1139" s="8" t="n">
        <v>16</v>
      </c>
      <c r="P1139" s="8" t="s">
        <v>120</v>
      </c>
    </row>
    <row r="1140" customFormat="false" ht="15" hidden="false" customHeight="false" outlineLevel="0" collapsed="false">
      <c r="A1140" s="8" t="s">
        <v>1311</v>
      </c>
      <c r="B1140" s="8" t="s">
        <v>1312</v>
      </c>
      <c r="C1140" s="8" t="s">
        <v>8700</v>
      </c>
      <c r="D1140" s="8" t="s">
        <v>132</v>
      </c>
      <c r="E1140" s="8" t="s">
        <v>53</v>
      </c>
      <c r="F1140" s="8" t="s">
        <v>326</v>
      </c>
      <c r="G1140" s="8" t="s">
        <v>143</v>
      </c>
      <c r="H1140" s="8" t="s">
        <v>8662</v>
      </c>
      <c r="I1140" s="8" t="s">
        <v>9172</v>
      </c>
      <c r="J1140" s="8" t="s">
        <v>129</v>
      </c>
      <c r="K1140" s="8" t="s">
        <v>8664</v>
      </c>
      <c r="L1140" s="8"/>
      <c r="M1140" s="8"/>
      <c r="N1140" s="8" t="n">
        <v>25</v>
      </c>
      <c r="O1140" s="8" t="n">
        <v>120</v>
      </c>
      <c r="P1140" s="8" t="s">
        <v>120</v>
      </c>
    </row>
    <row r="1141" customFormat="false" ht="15" hidden="false" customHeight="false" outlineLevel="0" collapsed="false">
      <c r="A1141" s="8" t="s">
        <v>9739</v>
      </c>
      <c r="B1141" s="8" t="s">
        <v>9740</v>
      </c>
      <c r="C1141" s="8" t="s">
        <v>8674</v>
      </c>
      <c r="D1141" s="8" t="s">
        <v>132</v>
      </c>
      <c r="E1141" s="8" t="s">
        <v>51</v>
      </c>
      <c r="F1141" s="8" t="s">
        <v>2027</v>
      </c>
      <c r="G1141" s="8" t="s">
        <v>136</v>
      </c>
      <c r="H1141" s="8" t="s">
        <v>8662</v>
      </c>
      <c r="I1141" s="8" t="s">
        <v>9727</v>
      </c>
      <c r="J1141" s="8"/>
      <c r="K1141" s="8" t="s">
        <v>8690</v>
      </c>
      <c r="L1141" s="8" t="s">
        <v>9741</v>
      </c>
      <c r="M1141" s="8" t="s">
        <v>8692</v>
      </c>
      <c r="N1141" s="8" t="n">
        <v>12</v>
      </c>
      <c r="O1141" s="8" t="n">
        <v>21</v>
      </c>
      <c r="P1141" s="8" t="s">
        <v>120</v>
      </c>
    </row>
    <row r="1142" customFormat="false" ht="15" hidden="false" customHeight="false" outlineLevel="0" collapsed="false">
      <c r="A1142" s="8" t="s">
        <v>3672</v>
      </c>
      <c r="B1142" s="8" t="s">
        <v>3673</v>
      </c>
      <c r="C1142" s="8" t="s">
        <v>8665</v>
      </c>
      <c r="D1142" s="8" t="s">
        <v>132</v>
      </c>
      <c r="E1142" s="8" t="s">
        <v>51</v>
      </c>
      <c r="F1142" s="8" t="s">
        <v>2027</v>
      </c>
      <c r="G1142" s="8" t="s">
        <v>154</v>
      </c>
      <c r="H1142" s="8" t="s">
        <v>8666</v>
      </c>
      <c r="I1142" s="8" t="s">
        <v>9742</v>
      </c>
      <c r="J1142" s="8" t="s">
        <v>129</v>
      </c>
      <c r="K1142" s="8" t="s">
        <v>8664</v>
      </c>
      <c r="L1142" s="8"/>
      <c r="M1142" s="8"/>
      <c r="N1142" s="8" t="n">
        <v>12</v>
      </c>
      <c r="O1142" s="8" t="n">
        <v>10</v>
      </c>
      <c r="P1142" s="8" t="s">
        <v>120</v>
      </c>
    </row>
    <row r="1143" customFormat="false" ht="15" hidden="false" customHeight="false" outlineLevel="0" collapsed="false">
      <c r="A1143" s="8" t="s">
        <v>645</v>
      </c>
      <c r="B1143" s="8" t="s">
        <v>646</v>
      </c>
      <c r="C1143" s="8" t="s">
        <v>8665</v>
      </c>
      <c r="D1143" s="8" t="s">
        <v>123</v>
      </c>
      <c r="E1143" s="8" t="s">
        <v>55</v>
      </c>
      <c r="F1143" s="8" t="s">
        <v>55</v>
      </c>
      <c r="G1143" s="8" t="s">
        <v>190</v>
      </c>
      <c r="H1143" s="8" t="s">
        <v>8662</v>
      </c>
      <c r="I1143" s="8" t="s">
        <v>9683</v>
      </c>
      <c r="J1143" s="8" t="s">
        <v>137</v>
      </c>
      <c r="K1143" s="8" t="s">
        <v>8664</v>
      </c>
      <c r="L1143" s="8"/>
      <c r="M1143" s="8"/>
      <c r="N1143" s="8" t="n">
        <v>45</v>
      </c>
      <c r="O1143" s="8" t="n">
        <v>152</v>
      </c>
      <c r="P1143" s="8" t="s">
        <v>120</v>
      </c>
    </row>
    <row r="1144" customFormat="false" ht="15" hidden="false" customHeight="false" outlineLevel="0" collapsed="false">
      <c r="A1144" s="8" t="s">
        <v>4034</v>
      </c>
      <c r="B1144" s="8" t="s">
        <v>4035</v>
      </c>
      <c r="C1144" s="8" t="s">
        <v>8678</v>
      </c>
      <c r="D1144" s="8" t="s">
        <v>132</v>
      </c>
      <c r="E1144" s="8" t="s">
        <v>51</v>
      </c>
      <c r="F1144" s="8" t="s">
        <v>2027</v>
      </c>
      <c r="G1144" s="8" t="s">
        <v>223</v>
      </c>
      <c r="H1144" s="8" t="s">
        <v>8666</v>
      </c>
      <c r="I1144" s="8" t="s">
        <v>9041</v>
      </c>
      <c r="J1144" s="8" t="s">
        <v>129</v>
      </c>
      <c r="K1144" s="8" t="s">
        <v>8664</v>
      </c>
      <c r="L1144" s="8"/>
      <c r="M1144" s="8"/>
      <c r="N1144" s="8" t="n">
        <v>12</v>
      </c>
      <c r="O1144" s="8" t="n">
        <v>11</v>
      </c>
      <c r="P1144" s="8" t="s">
        <v>120</v>
      </c>
    </row>
    <row r="1145" customFormat="false" ht="15" hidden="false" customHeight="false" outlineLevel="0" collapsed="false">
      <c r="A1145" s="8" t="s">
        <v>9743</v>
      </c>
      <c r="B1145" s="8" t="s">
        <v>9744</v>
      </c>
      <c r="C1145" s="8" t="s">
        <v>8688</v>
      </c>
      <c r="D1145" s="8" t="s">
        <v>123</v>
      </c>
      <c r="E1145" s="8" t="s">
        <v>55</v>
      </c>
      <c r="F1145" s="8" t="s">
        <v>55</v>
      </c>
      <c r="G1145" s="8" t="s">
        <v>166</v>
      </c>
      <c r="H1145" s="8" t="s">
        <v>8666</v>
      </c>
      <c r="I1145" s="8" t="s">
        <v>8683</v>
      </c>
      <c r="J1145" s="8"/>
      <c r="K1145" s="8" t="s">
        <v>8690</v>
      </c>
      <c r="L1145" s="8" t="s">
        <v>9745</v>
      </c>
      <c r="M1145" s="8" t="s">
        <v>8705</v>
      </c>
      <c r="N1145" s="8" t="n">
        <v>45</v>
      </c>
      <c r="O1145" s="8" t="n">
        <v>478</v>
      </c>
      <c r="P1145" s="8" t="s">
        <v>120</v>
      </c>
    </row>
    <row r="1146" customFormat="false" ht="15" hidden="false" customHeight="false" outlineLevel="0" collapsed="false">
      <c r="A1146" s="8" t="s">
        <v>4513</v>
      </c>
      <c r="B1146" s="8" t="s">
        <v>9746</v>
      </c>
      <c r="C1146" s="8" t="s">
        <v>8661</v>
      </c>
      <c r="D1146" s="8" t="s">
        <v>117</v>
      </c>
      <c r="E1146" s="8" t="s">
        <v>51</v>
      </c>
      <c r="F1146" s="8" t="s">
        <v>2027</v>
      </c>
      <c r="G1146" s="8" t="s">
        <v>143</v>
      </c>
      <c r="H1146" s="8" t="s">
        <v>8670</v>
      </c>
      <c r="I1146" s="8" t="s">
        <v>9747</v>
      </c>
      <c r="J1146" s="8"/>
      <c r="K1146" s="8" t="s">
        <v>8690</v>
      </c>
      <c r="L1146" s="8" t="s">
        <v>9634</v>
      </c>
      <c r="M1146" s="8" t="s">
        <v>8795</v>
      </c>
      <c r="N1146" s="8" t="n">
        <v>12</v>
      </c>
      <c r="O1146" s="8" t="n">
        <v>35</v>
      </c>
      <c r="P1146" s="8" t="s">
        <v>120</v>
      </c>
    </row>
    <row r="1147" customFormat="false" ht="15" hidden="false" customHeight="false" outlineLevel="0" collapsed="false">
      <c r="A1147" s="8" t="s">
        <v>3998</v>
      </c>
      <c r="B1147" s="8" t="s">
        <v>3999</v>
      </c>
      <c r="C1147" s="8" t="s">
        <v>8661</v>
      </c>
      <c r="D1147" s="8" t="s">
        <v>123</v>
      </c>
      <c r="E1147" s="8" t="s">
        <v>51</v>
      </c>
      <c r="F1147" s="8" t="s">
        <v>2027</v>
      </c>
      <c r="G1147" s="8" t="s">
        <v>166</v>
      </c>
      <c r="H1147" s="8" t="s">
        <v>8675</v>
      </c>
      <c r="I1147" s="8" t="s">
        <v>9045</v>
      </c>
      <c r="J1147" s="8" t="s">
        <v>159</v>
      </c>
      <c r="K1147" s="8" t="s">
        <v>8664</v>
      </c>
      <c r="L1147" s="8"/>
      <c r="M1147" s="8"/>
      <c r="N1147" s="8" t="n">
        <v>12</v>
      </c>
      <c r="O1147" s="8" t="n">
        <v>12</v>
      </c>
      <c r="P1147" s="8" t="s">
        <v>120</v>
      </c>
    </row>
    <row r="1148" customFormat="false" ht="15" hidden="false" customHeight="false" outlineLevel="0" collapsed="false">
      <c r="A1148" s="8" t="s">
        <v>3108</v>
      </c>
      <c r="B1148" s="8" t="s">
        <v>3109</v>
      </c>
      <c r="C1148" s="8" t="s">
        <v>8669</v>
      </c>
      <c r="D1148" s="8" t="s">
        <v>123</v>
      </c>
      <c r="E1148" s="8" t="s">
        <v>51</v>
      </c>
      <c r="F1148" s="8" t="s">
        <v>2027</v>
      </c>
      <c r="G1148" s="8" t="s">
        <v>143</v>
      </c>
      <c r="H1148" s="8" t="s">
        <v>8675</v>
      </c>
      <c r="I1148" s="8" t="s">
        <v>8930</v>
      </c>
      <c r="J1148" s="8" t="s">
        <v>129</v>
      </c>
      <c r="K1148" s="8" t="s">
        <v>8664</v>
      </c>
      <c r="L1148" s="8"/>
      <c r="M1148" s="8"/>
      <c r="N1148" s="8" t="n">
        <v>12</v>
      </c>
      <c r="O1148" s="8" t="n">
        <v>28</v>
      </c>
      <c r="P1148" s="8" t="s">
        <v>120</v>
      </c>
    </row>
    <row r="1149" customFormat="false" ht="15" hidden="false" customHeight="false" outlineLevel="0" collapsed="false">
      <c r="A1149" s="8" t="s">
        <v>741</v>
      </c>
      <c r="B1149" s="8" t="s">
        <v>742</v>
      </c>
      <c r="C1149" s="8" t="s">
        <v>8661</v>
      </c>
      <c r="D1149" s="8" t="s">
        <v>132</v>
      </c>
      <c r="E1149" s="8" t="s">
        <v>53</v>
      </c>
      <c r="F1149" s="8" t="s">
        <v>326</v>
      </c>
      <c r="G1149" s="8" t="s">
        <v>118</v>
      </c>
      <c r="H1149" s="8" t="s">
        <v>8670</v>
      </c>
      <c r="I1149" s="8" t="s">
        <v>9748</v>
      </c>
      <c r="J1149" s="8" t="s">
        <v>137</v>
      </c>
      <c r="K1149" s="8" t="s">
        <v>8664</v>
      </c>
      <c r="L1149" s="8"/>
      <c r="M1149" s="8"/>
      <c r="N1149" s="8" t="n">
        <v>25</v>
      </c>
      <c r="O1149" s="8" t="n">
        <v>123</v>
      </c>
      <c r="P1149" s="8" t="s">
        <v>120</v>
      </c>
    </row>
    <row r="1150" customFormat="false" ht="15" hidden="false" customHeight="false" outlineLevel="0" collapsed="false">
      <c r="A1150" s="8" t="s">
        <v>4484</v>
      </c>
      <c r="B1150" s="8" t="s">
        <v>9749</v>
      </c>
      <c r="C1150" s="8" t="s">
        <v>8688</v>
      </c>
      <c r="D1150" s="8" t="s">
        <v>132</v>
      </c>
      <c r="E1150" s="8" t="s">
        <v>51</v>
      </c>
      <c r="F1150" s="8" t="s">
        <v>326</v>
      </c>
      <c r="G1150" s="8" t="s">
        <v>136</v>
      </c>
      <c r="H1150" s="8" t="s">
        <v>8662</v>
      </c>
      <c r="I1150" s="8" t="s">
        <v>8893</v>
      </c>
      <c r="J1150" s="8"/>
      <c r="K1150" s="8" t="s">
        <v>8690</v>
      </c>
      <c r="L1150" s="8" t="s">
        <v>9750</v>
      </c>
      <c r="M1150" s="8" t="s">
        <v>8721</v>
      </c>
      <c r="N1150" s="8" t="n">
        <v>25</v>
      </c>
      <c r="O1150" s="8" t="n">
        <v>31</v>
      </c>
      <c r="P1150" s="8" t="s">
        <v>120</v>
      </c>
    </row>
    <row r="1151" customFormat="false" ht="15" hidden="false" customHeight="false" outlineLevel="0" collapsed="false">
      <c r="A1151" s="8" t="s">
        <v>3066</v>
      </c>
      <c r="B1151" s="8" t="s">
        <v>3067</v>
      </c>
      <c r="C1151" s="8" t="s">
        <v>8674</v>
      </c>
      <c r="D1151" s="8" t="s">
        <v>132</v>
      </c>
      <c r="E1151" s="8" t="s">
        <v>51</v>
      </c>
      <c r="F1151" s="8" t="s">
        <v>2027</v>
      </c>
      <c r="G1151" s="8" t="s">
        <v>118</v>
      </c>
      <c r="H1151" s="8" t="s">
        <v>8670</v>
      </c>
      <c r="I1151" s="8" t="s">
        <v>9026</v>
      </c>
      <c r="J1151" s="8" t="s">
        <v>177</v>
      </c>
      <c r="K1151" s="8" t="s">
        <v>8664</v>
      </c>
      <c r="L1151" s="8"/>
      <c r="M1151" s="8"/>
      <c r="N1151" s="8" t="n">
        <v>12</v>
      </c>
      <c r="O1151" s="8" t="n">
        <v>29</v>
      </c>
      <c r="P1151" s="8" t="s">
        <v>120</v>
      </c>
    </row>
    <row r="1152" customFormat="false" ht="15" hidden="false" customHeight="false" outlineLevel="0" collapsed="false">
      <c r="A1152" s="8" t="s">
        <v>4278</v>
      </c>
      <c r="B1152" s="8" t="s">
        <v>4279</v>
      </c>
      <c r="C1152" s="8" t="s">
        <v>8680</v>
      </c>
      <c r="D1152" s="8" t="s">
        <v>117</v>
      </c>
      <c r="E1152" s="8" t="s">
        <v>51</v>
      </c>
      <c r="F1152" s="8" t="s">
        <v>2027</v>
      </c>
      <c r="G1152" s="8" t="s">
        <v>133</v>
      </c>
      <c r="H1152" s="8" t="s">
        <v>8662</v>
      </c>
      <c r="I1152" s="8" t="s">
        <v>8788</v>
      </c>
      <c r="J1152" s="8" t="s">
        <v>159</v>
      </c>
      <c r="K1152" s="8" t="s">
        <v>8664</v>
      </c>
      <c r="L1152" s="8"/>
      <c r="M1152" s="8"/>
      <c r="N1152" s="8" t="n">
        <v>12</v>
      </c>
      <c r="O1152" s="8" t="n">
        <v>11</v>
      </c>
      <c r="P1152" s="8" t="s">
        <v>148</v>
      </c>
    </row>
    <row r="1153" customFormat="false" ht="15" hidden="false" customHeight="false" outlineLevel="0" collapsed="false">
      <c r="A1153" s="8" t="s">
        <v>4567</v>
      </c>
      <c r="B1153" s="8" t="s">
        <v>9751</v>
      </c>
      <c r="C1153" s="8" t="s">
        <v>8700</v>
      </c>
      <c r="D1153" s="8" t="s">
        <v>128</v>
      </c>
      <c r="E1153" s="8" t="s">
        <v>51</v>
      </c>
      <c r="F1153" s="8" t="s">
        <v>2027</v>
      </c>
      <c r="G1153" s="8" t="s">
        <v>223</v>
      </c>
      <c r="H1153" s="8" t="s">
        <v>8662</v>
      </c>
      <c r="I1153" s="8" t="s">
        <v>9000</v>
      </c>
      <c r="J1153" s="8"/>
      <c r="K1153" s="8" t="s">
        <v>8690</v>
      </c>
      <c r="L1153" s="8" t="s">
        <v>8714</v>
      </c>
      <c r="M1153" s="8" t="s">
        <v>8692</v>
      </c>
      <c r="N1153" s="8" t="n">
        <v>12</v>
      </c>
      <c r="O1153" s="8" t="n">
        <v>18</v>
      </c>
      <c r="P1153" s="8" t="s">
        <v>120</v>
      </c>
    </row>
    <row r="1154" customFormat="false" ht="15" hidden="false" customHeight="false" outlineLevel="0" collapsed="false">
      <c r="A1154" s="8" t="s">
        <v>4455</v>
      </c>
      <c r="B1154" s="8" t="s">
        <v>9752</v>
      </c>
      <c r="C1154" s="8" t="s">
        <v>8700</v>
      </c>
      <c r="D1154" s="8" t="s">
        <v>123</v>
      </c>
      <c r="E1154" s="8" t="s">
        <v>53</v>
      </c>
      <c r="F1154" s="8" t="s">
        <v>326</v>
      </c>
      <c r="G1154" s="8" t="s">
        <v>223</v>
      </c>
      <c r="H1154" s="8" t="s">
        <v>8666</v>
      </c>
      <c r="I1154" s="8" t="s">
        <v>9753</v>
      </c>
      <c r="J1154" s="8"/>
      <c r="K1154" s="8" t="s">
        <v>8690</v>
      </c>
      <c r="L1154" s="8" t="s">
        <v>9754</v>
      </c>
      <c r="M1154" s="8" t="s">
        <v>8795</v>
      </c>
      <c r="N1154" s="8" t="n">
        <v>25</v>
      </c>
      <c r="O1154" s="8" t="n">
        <v>117</v>
      </c>
      <c r="P1154" s="8" t="s">
        <v>120</v>
      </c>
    </row>
    <row r="1155" customFormat="false" ht="15" hidden="false" customHeight="false" outlineLevel="0" collapsed="false">
      <c r="A1155" s="8" t="s">
        <v>1339</v>
      </c>
      <c r="B1155" s="8" t="s">
        <v>1340</v>
      </c>
      <c r="C1155" s="8" t="s">
        <v>8680</v>
      </c>
      <c r="D1155" s="8" t="s">
        <v>117</v>
      </c>
      <c r="E1155" s="8" t="s">
        <v>53</v>
      </c>
      <c r="F1155" s="8" t="s">
        <v>326</v>
      </c>
      <c r="G1155" s="8" t="s">
        <v>118</v>
      </c>
      <c r="H1155" s="8" t="s">
        <v>8670</v>
      </c>
      <c r="I1155" s="8" t="s">
        <v>9755</v>
      </c>
      <c r="J1155" s="8" t="s">
        <v>140</v>
      </c>
      <c r="K1155" s="8" t="s">
        <v>8664</v>
      </c>
      <c r="L1155" s="8"/>
      <c r="M1155" s="8"/>
      <c r="N1155" s="8" t="n">
        <v>25</v>
      </c>
      <c r="O1155" s="8" t="n">
        <v>89</v>
      </c>
      <c r="P1155" s="8" t="s">
        <v>120</v>
      </c>
    </row>
    <row r="1156" customFormat="false" ht="15" hidden="false" customHeight="false" outlineLevel="0" collapsed="false">
      <c r="A1156" s="8" t="s">
        <v>875</v>
      </c>
      <c r="B1156" s="8" t="s">
        <v>876</v>
      </c>
      <c r="C1156" s="8" t="s">
        <v>8688</v>
      </c>
      <c r="D1156" s="8" t="s">
        <v>132</v>
      </c>
      <c r="E1156" s="8" t="s">
        <v>53</v>
      </c>
      <c r="F1156" s="8" t="s">
        <v>326</v>
      </c>
      <c r="G1156" s="8" t="s">
        <v>166</v>
      </c>
      <c r="H1156" s="8" t="s">
        <v>8670</v>
      </c>
      <c r="I1156" s="8" t="s">
        <v>9542</v>
      </c>
      <c r="J1156" s="8" t="s">
        <v>159</v>
      </c>
      <c r="K1156" s="8" t="s">
        <v>8664</v>
      </c>
      <c r="L1156" s="8"/>
      <c r="M1156" s="8"/>
      <c r="N1156" s="8" t="n">
        <v>25</v>
      </c>
      <c r="O1156" s="8" t="n">
        <v>184</v>
      </c>
      <c r="P1156" s="8" t="s">
        <v>120</v>
      </c>
    </row>
    <row r="1157" customFormat="false" ht="15" hidden="false" customHeight="false" outlineLevel="0" collapsed="false">
      <c r="A1157" s="8" t="s">
        <v>857</v>
      </c>
      <c r="B1157" s="8" t="s">
        <v>858</v>
      </c>
      <c r="C1157" s="8" t="s">
        <v>8688</v>
      </c>
      <c r="D1157" s="8" t="s">
        <v>117</v>
      </c>
      <c r="E1157" s="8" t="s">
        <v>53</v>
      </c>
      <c r="F1157" s="8" t="s">
        <v>326</v>
      </c>
      <c r="G1157" s="8" t="s">
        <v>124</v>
      </c>
      <c r="H1157" s="8" t="s">
        <v>8666</v>
      </c>
      <c r="I1157" s="8" t="s">
        <v>9154</v>
      </c>
      <c r="J1157" s="8" t="s">
        <v>147</v>
      </c>
      <c r="K1157" s="8" t="s">
        <v>8664</v>
      </c>
      <c r="L1157" s="8"/>
      <c r="M1157" s="8"/>
      <c r="N1157" s="8" t="n">
        <v>25</v>
      </c>
      <c r="O1157" s="8" t="n">
        <v>157</v>
      </c>
      <c r="P1157" s="8" t="s">
        <v>120</v>
      </c>
    </row>
    <row r="1158" customFormat="false" ht="15" hidden="false" customHeight="false" outlineLevel="0" collapsed="false">
      <c r="A1158" s="8" t="s">
        <v>4280</v>
      </c>
      <c r="B1158" s="8" t="s">
        <v>4281</v>
      </c>
      <c r="C1158" s="8" t="s">
        <v>8661</v>
      </c>
      <c r="D1158" s="8" t="s">
        <v>123</v>
      </c>
      <c r="E1158" s="8" t="s">
        <v>51</v>
      </c>
      <c r="F1158" s="8" t="s">
        <v>2027</v>
      </c>
      <c r="G1158" s="8" t="s">
        <v>190</v>
      </c>
      <c r="H1158" s="8" t="s">
        <v>8675</v>
      </c>
      <c r="I1158" s="8" t="s">
        <v>9756</v>
      </c>
      <c r="J1158" s="8" t="s">
        <v>125</v>
      </c>
      <c r="K1158" s="8" t="s">
        <v>8664</v>
      </c>
      <c r="L1158" s="8"/>
      <c r="M1158" s="8"/>
      <c r="N1158" s="8" t="n">
        <v>12</v>
      </c>
      <c r="O1158" s="8" t="n">
        <v>5</v>
      </c>
      <c r="P1158" s="8" t="s">
        <v>120</v>
      </c>
    </row>
    <row r="1159" customFormat="false" ht="15" hidden="false" customHeight="false" outlineLevel="0" collapsed="false">
      <c r="A1159" s="8" t="s">
        <v>9757</v>
      </c>
      <c r="B1159" s="8" t="s">
        <v>9758</v>
      </c>
      <c r="C1159" s="8" t="s">
        <v>8674</v>
      </c>
      <c r="D1159" s="8" t="s">
        <v>117</v>
      </c>
      <c r="E1159" s="8" t="s">
        <v>51</v>
      </c>
      <c r="F1159" s="8" t="s">
        <v>2027</v>
      </c>
      <c r="G1159" s="8" t="s">
        <v>124</v>
      </c>
      <c r="H1159" s="8" t="s">
        <v>8675</v>
      </c>
      <c r="I1159" s="8" t="s">
        <v>9759</v>
      </c>
      <c r="J1159" s="8"/>
      <c r="K1159" s="8" t="s">
        <v>8690</v>
      </c>
      <c r="L1159" s="8" t="s">
        <v>9760</v>
      </c>
      <c r="M1159" s="8" t="s">
        <v>8692</v>
      </c>
      <c r="N1159" s="8" t="n">
        <v>12</v>
      </c>
      <c r="O1159" s="8" t="n">
        <v>6</v>
      </c>
      <c r="P1159" s="8" t="s">
        <v>120</v>
      </c>
    </row>
    <row r="1160" customFormat="false" ht="15" hidden="false" customHeight="false" outlineLevel="0" collapsed="false">
      <c r="A1160" s="8" t="s">
        <v>4494</v>
      </c>
      <c r="B1160" s="8" t="s">
        <v>9761</v>
      </c>
      <c r="C1160" s="8" t="s">
        <v>8665</v>
      </c>
      <c r="D1160" s="8" t="s">
        <v>123</v>
      </c>
      <c r="E1160" s="8" t="s">
        <v>51</v>
      </c>
      <c r="F1160" s="8" t="s">
        <v>326</v>
      </c>
      <c r="G1160" s="8" t="s">
        <v>166</v>
      </c>
      <c r="H1160" s="8" t="s">
        <v>8670</v>
      </c>
      <c r="I1160" s="8" t="s">
        <v>9762</v>
      </c>
      <c r="J1160" s="8"/>
      <c r="K1160" s="8" t="s">
        <v>8690</v>
      </c>
      <c r="L1160" s="8" t="s">
        <v>8953</v>
      </c>
      <c r="M1160" s="8" t="s">
        <v>8727</v>
      </c>
      <c r="N1160" s="8" t="n">
        <v>25</v>
      </c>
      <c r="O1160" s="8" t="n">
        <v>22</v>
      </c>
      <c r="P1160" s="8" t="s">
        <v>120</v>
      </c>
    </row>
    <row r="1161" customFormat="false" ht="15" hidden="false" customHeight="false" outlineLevel="0" collapsed="false">
      <c r="A1161" s="8" t="s">
        <v>3500</v>
      </c>
      <c r="B1161" s="8" t="s">
        <v>3501</v>
      </c>
      <c r="C1161" s="8" t="s">
        <v>8665</v>
      </c>
      <c r="D1161" s="8" t="s">
        <v>132</v>
      </c>
      <c r="E1161" s="8" t="s">
        <v>51</v>
      </c>
      <c r="F1161" s="8" t="s">
        <v>2027</v>
      </c>
      <c r="G1161" s="8" t="s">
        <v>118</v>
      </c>
      <c r="H1161" s="8" t="s">
        <v>8666</v>
      </c>
      <c r="I1161" s="8" t="s">
        <v>9449</v>
      </c>
      <c r="J1161" s="8" t="s">
        <v>144</v>
      </c>
      <c r="K1161" s="8" t="s">
        <v>8664</v>
      </c>
      <c r="L1161" s="8"/>
      <c r="M1161" s="8"/>
      <c r="N1161" s="8" t="n">
        <v>12</v>
      </c>
      <c r="O1161" s="8" t="n">
        <v>19</v>
      </c>
      <c r="P1161" s="8" t="s">
        <v>120</v>
      </c>
    </row>
    <row r="1162" customFormat="false" ht="15" hidden="false" customHeight="false" outlineLevel="0" collapsed="false">
      <c r="A1162" s="8" t="s">
        <v>545</v>
      </c>
      <c r="B1162" s="8" t="s">
        <v>546</v>
      </c>
      <c r="C1162" s="8" t="s">
        <v>8661</v>
      </c>
      <c r="D1162" s="8" t="s">
        <v>117</v>
      </c>
      <c r="E1162" s="8" t="s">
        <v>53</v>
      </c>
      <c r="F1162" s="8" t="s">
        <v>55</v>
      </c>
      <c r="G1162" s="8" t="s">
        <v>154</v>
      </c>
      <c r="H1162" s="8" t="s">
        <v>8662</v>
      </c>
      <c r="I1162" s="8" t="s">
        <v>8801</v>
      </c>
      <c r="J1162" s="8" t="s">
        <v>129</v>
      </c>
      <c r="K1162" s="8" t="s">
        <v>8664</v>
      </c>
      <c r="L1162" s="8"/>
      <c r="M1162" s="8"/>
      <c r="N1162" s="8" t="n">
        <v>45</v>
      </c>
      <c r="O1162" s="8" t="n">
        <v>196</v>
      </c>
      <c r="P1162" s="8" t="s">
        <v>120</v>
      </c>
    </row>
    <row r="1163" customFormat="false" ht="15" hidden="false" customHeight="false" outlineLevel="0" collapsed="false">
      <c r="A1163" s="8" t="s">
        <v>571</v>
      </c>
      <c r="B1163" s="8" t="s">
        <v>572</v>
      </c>
      <c r="C1163" s="8" t="s">
        <v>8665</v>
      </c>
      <c r="D1163" s="8" t="s">
        <v>132</v>
      </c>
      <c r="E1163" s="8" t="s">
        <v>53</v>
      </c>
      <c r="F1163" s="8" t="s">
        <v>55</v>
      </c>
      <c r="G1163" s="8" t="s">
        <v>143</v>
      </c>
      <c r="H1163" s="8" t="s">
        <v>8662</v>
      </c>
      <c r="I1163" s="8" t="s">
        <v>8984</v>
      </c>
      <c r="J1163" s="8" t="s">
        <v>140</v>
      </c>
      <c r="K1163" s="8" t="s">
        <v>8664</v>
      </c>
      <c r="L1163" s="8"/>
      <c r="M1163" s="8"/>
      <c r="N1163" s="8" t="n">
        <v>45</v>
      </c>
      <c r="O1163" s="8" t="n">
        <v>179</v>
      </c>
      <c r="P1163" s="8" t="s">
        <v>148</v>
      </c>
    </row>
    <row r="1164" customFormat="false" ht="15" hidden="false" customHeight="false" outlineLevel="0" collapsed="false">
      <c r="A1164" s="8" t="s">
        <v>9763</v>
      </c>
      <c r="B1164" s="8" t="s">
        <v>9764</v>
      </c>
      <c r="C1164" s="8" t="s">
        <v>8665</v>
      </c>
      <c r="D1164" s="8" t="s">
        <v>123</v>
      </c>
      <c r="E1164" s="8" t="s">
        <v>51</v>
      </c>
      <c r="F1164" s="8" t="s">
        <v>2027</v>
      </c>
      <c r="G1164" s="8" t="s">
        <v>190</v>
      </c>
      <c r="H1164" s="8" t="s">
        <v>8675</v>
      </c>
      <c r="I1164" s="8" t="s">
        <v>9726</v>
      </c>
      <c r="J1164" s="8"/>
      <c r="K1164" s="8" t="s">
        <v>8690</v>
      </c>
      <c r="L1164" s="8" t="s">
        <v>9652</v>
      </c>
      <c r="M1164" s="8" t="s">
        <v>8696</v>
      </c>
      <c r="N1164" s="8" t="n">
        <v>12</v>
      </c>
      <c r="O1164" s="8" t="n">
        <v>39</v>
      </c>
      <c r="P1164" s="8" t="s">
        <v>120</v>
      </c>
    </row>
    <row r="1165" customFormat="false" ht="15" hidden="false" customHeight="false" outlineLevel="0" collapsed="false">
      <c r="A1165" s="8" t="s">
        <v>579</v>
      </c>
      <c r="B1165" s="8" t="s">
        <v>580</v>
      </c>
      <c r="C1165" s="8" t="s">
        <v>8700</v>
      </c>
      <c r="D1165" s="8" t="s">
        <v>128</v>
      </c>
      <c r="E1165" s="8" t="s">
        <v>55</v>
      </c>
      <c r="F1165" s="8" t="s">
        <v>326</v>
      </c>
      <c r="G1165" s="8" t="s">
        <v>133</v>
      </c>
      <c r="H1165" s="8" t="s">
        <v>8666</v>
      </c>
      <c r="I1165" s="8" t="s">
        <v>9765</v>
      </c>
      <c r="J1165" s="8" t="s">
        <v>204</v>
      </c>
      <c r="K1165" s="8" t="s">
        <v>8664</v>
      </c>
      <c r="L1165" s="8"/>
      <c r="M1165" s="8"/>
      <c r="N1165" s="8" t="n">
        <v>25</v>
      </c>
      <c r="O1165" s="8" t="n">
        <v>319</v>
      </c>
      <c r="P1165" s="8" t="s">
        <v>120</v>
      </c>
    </row>
    <row r="1166" customFormat="false" ht="15" hidden="false" customHeight="false" outlineLevel="0" collapsed="false">
      <c r="A1166" s="8" t="s">
        <v>1067</v>
      </c>
      <c r="B1166" s="8" t="s">
        <v>1068</v>
      </c>
      <c r="C1166" s="8" t="s">
        <v>8678</v>
      </c>
      <c r="D1166" s="8" t="s">
        <v>132</v>
      </c>
      <c r="E1166" s="8" t="s">
        <v>53</v>
      </c>
      <c r="F1166" s="8" t="s">
        <v>326</v>
      </c>
      <c r="G1166" s="8" t="s">
        <v>124</v>
      </c>
      <c r="H1166" s="8" t="s">
        <v>8670</v>
      </c>
      <c r="I1166" s="8" t="s">
        <v>9766</v>
      </c>
      <c r="J1166" s="8" t="s">
        <v>137</v>
      </c>
      <c r="K1166" s="8" t="s">
        <v>8664</v>
      </c>
      <c r="L1166" s="8"/>
      <c r="M1166" s="8"/>
      <c r="N1166" s="8" t="n">
        <v>25</v>
      </c>
      <c r="O1166" s="8" t="n">
        <v>168</v>
      </c>
      <c r="P1166" s="8" t="s">
        <v>120</v>
      </c>
    </row>
    <row r="1167" customFormat="false" ht="15" hidden="false" customHeight="false" outlineLevel="0" collapsed="false">
      <c r="A1167" s="8" t="s">
        <v>2072</v>
      </c>
      <c r="B1167" s="8" t="s">
        <v>2073</v>
      </c>
      <c r="C1167" s="8" t="s">
        <v>8674</v>
      </c>
      <c r="D1167" s="8" t="s">
        <v>132</v>
      </c>
      <c r="E1167" s="8" t="s">
        <v>51</v>
      </c>
      <c r="F1167" s="8" t="s">
        <v>326</v>
      </c>
      <c r="G1167" s="8" t="s">
        <v>133</v>
      </c>
      <c r="H1167" s="8" t="s">
        <v>8666</v>
      </c>
      <c r="I1167" s="8" t="s">
        <v>9767</v>
      </c>
      <c r="J1167" s="8" t="s">
        <v>185</v>
      </c>
      <c r="K1167" s="8" t="s">
        <v>8664</v>
      </c>
      <c r="L1167" s="8"/>
      <c r="M1167" s="8"/>
      <c r="N1167" s="8" t="n">
        <v>25</v>
      </c>
      <c r="O1167" s="8" t="n">
        <v>29</v>
      </c>
      <c r="P1167" s="8" t="s">
        <v>120</v>
      </c>
    </row>
    <row r="1168" customFormat="false" ht="15" hidden="false" customHeight="false" outlineLevel="0" collapsed="false">
      <c r="A1168" s="8" t="s">
        <v>1209</v>
      </c>
      <c r="B1168" s="8" t="s">
        <v>1210</v>
      </c>
      <c r="C1168" s="8" t="s">
        <v>8665</v>
      </c>
      <c r="D1168" s="8" t="s">
        <v>128</v>
      </c>
      <c r="E1168" s="8" t="s">
        <v>53</v>
      </c>
      <c r="F1168" s="8" t="s">
        <v>326</v>
      </c>
      <c r="G1168" s="8" t="s">
        <v>118</v>
      </c>
      <c r="H1168" s="8" t="s">
        <v>8666</v>
      </c>
      <c r="I1168" s="8" t="s">
        <v>8739</v>
      </c>
      <c r="J1168" s="8" t="s">
        <v>185</v>
      </c>
      <c r="K1168" s="8" t="s">
        <v>8664</v>
      </c>
      <c r="L1168" s="8"/>
      <c r="M1168" s="8"/>
      <c r="N1168" s="8" t="n">
        <v>25</v>
      </c>
      <c r="O1168" s="8" t="n">
        <v>135</v>
      </c>
      <c r="P1168" s="8" t="s">
        <v>120</v>
      </c>
    </row>
    <row r="1169" customFormat="false" ht="15" hidden="false" customHeight="false" outlineLevel="0" collapsed="false">
      <c r="A1169" s="8" t="s">
        <v>3350</v>
      </c>
      <c r="B1169" s="8" t="s">
        <v>3351</v>
      </c>
      <c r="C1169" s="8" t="s">
        <v>8700</v>
      </c>
      <c r="D1169" s="8" t="s">
        <v>117</v>
      </c>
      <c r="E1169" s="8" t="s">
        <v>51</v>
      </c>
      <c r="F1169" s="8" t="s">
        <v>2027</v>
      </c>
      <c r="G1169" s="8" t="s">
        <v>151</v>
      </c>
      <c r="H1169" s="8" t="s">
        <v>8675</v>
      </c>
      <c r="I1169" s="8" t="s">
        <v>8877</v>
      </c>
      <c r="J1169" s="8" t="s">
        <v>119</v>
      </c>
      <c r="K1169" s="8" t="s">
        <v>8664</v>
      </c>
      <c r="L1169" s="8"/>
      <c r="M1169" s="8"/>
      <c r="N1169" s="8" t="n">
        <v>12</v>
      </c>
      <c r="O1169" s="8" t="n">
        <v>24</v>
      </c>
      <c r="P1169" s="8" t="s">
        <v>120</v>
      </c>
    </row>
    <row r="1170" customFormat="false" ht="15" hidden="false" customHeight="false" outlineLevel="0" collapsed="false">
      <c r="A1170" s="8" t="s">
        <v>2276</v>
      </c>
      <c r="B1170" s="8" t="s">
        <v>2277</v>
      </c>
      <c r="C1170" s="8" t="s">
        <v>8680</v>
      </c>
      <c r="D1170" s="8" t="s">
        <v>132</v>
      </c>
      <c r="E1170" s="8" t="s">
        <v>51</v>
      </c>
      <c r="F1170" s="8" t="s">
        <v>2027</v>
      </c>
      <c r="G1170" s="8" t="s">
        <v>136</v>
      </c>
      <c r="H1170" s="8" t="s">
        <v>8662</v>
      </c>
      <c r="I1170" s="8" t="s">
        <v>8986</v>
      </c>
      <c r="J1170" s="8" t="s">
        <v>125</v>
      </c>
      <c r="K1170" s="8" t="s">
        <v>8664</v>
      </c>
      <c r="L1170" s="8"/>
      <c r="M1170" s="8"/>
      <c r="N1170" s="8" t="n">
        <v>12</v>
      </c>
      <c r="O1170" s="8" t="n">
        <v>33</v>
      </c>
      <c r="P1170" s="8" t="s">
        <v>120</v>
      </c>
    </row>
    <row r="1171" customFormat="false" ht="15" hidden="false" customHeight="false" outlineLevel="0" collapsed="false">
      <c r="A1171" s="8" t="s">
        <v>3754</v>
      </c>
      <c r="B1171" s="8" t="s">
        <v>3755</v>
      </c>
      <c r="C1171" s="8" t="s">
        <v>8669</v>
      </c>
      <c r="D1171" s="8" t="s">
        <v>117</v>
      </c>
      <c r="E1171" s="8" t="s">
        <v>51</v>
      </c>
      <c r="F1171" s="8" t="s">
        <v>2027</v>
      </c>
      <c r="G1171" s="8" t="s">
        <v>118</v>
      </c>
      <c r="H1171" s="8" t="s">
        <v>8670</v>
      </c>
      <c r="I1171" s="8" t="s">
        <v>9207</v>
      </c>
      <c r="J1171" s="8" t="s">
        <v>147</v>
      </c>
      <c r="K1171" s="8" t="s">
        <v>8664</v>
      </c>
      <c r="L1171" s="8"/>
      <c r="M1171" s="8"/>
      <c r="N1171" s="8" t="n">
        <v>12</v>
      </c>
      <c r="O1171" s="8" t="n">
        <v>16</v>
      </c>
      <c r="P1171" s="8" t="s">
        <v>120</v>
      </c>
    </row>
    <row r="1172" customFormat="false" ht="15" hidden="false" customHeight="false" outlineLevel="0" collapsed="false">
      <c r="A1172" s="8" t="s">
        <v>4316</v>
      </c>
      <c r="B1172" s="8" t="s">
        <v>4317</v>
      </c>
      <c r="C1172" s="8" t="s">
        <v>8700</v>
      </c>
      <c r="D1172" s="8" t="s">
        <v>117</v>
      </c>
      <c r="E1172" s="8" t="s">
        <v>51</v>
      </c>
      <c r="F1172" s="8" t="s">
        <v>2027</v>
      </c>
      <c r="G1172" s="8" t="s">
        <v>143</v>
      </c>
      <c r="H1172" s="8" t="s">
        <v>8662</v>
      </c>
      <c r="I1172" s="8" t="s">
        <v>9049</v>
      </c>
      <c r="J1172" s="8" t="s">
        <v>144</v>
      </c>
      <c r="K1172" s="8" t="s">
        <v>8664</v>
      </c>
      <c r="L1172" s="8"/>
      <c r="M1172" s="8"/>
      <c r="N1172" s="8" t="n">
        <v>12</v>
      </c>
      <c r="O1172" s="8" t="n">
        <v>6</v>
      </c>
      <c r="P1172" s="8" t="s">
        <v>120</v>
      </c>
    </row>
    <row r="1173" customFormat="false" ht="15" hidden="false" customHeight="false" outlineLevel="0" collapsed="false">
      <c r="A1173" s="8" t="s">
        <v>2258</v>
      </c>
      <c r="B1173" s="8" t="s">
        <v>2259</v>
      </c>
      <c r="C1173" s="8" t="s">
        <v>8678</v>
      </c>
      <c r="D1173" s="8" t="s">
        <v>117</v>
      </c>
      <c r="E1173" s="8" t="s">
        <v>51</v>
      </c>
      <c r="F1173" s="8" t="s">
        <v>326</v>
      </c>
      <c r="G1173" s="8" t="s">
        <v>166</v>
      </c>
      <c r="H1173" s="8" t="s">
        <v>8662</v>
      </c>
      <c r="I1173" s="8" t="s">
        <v>9235</v>
      </c>
      <c r="J1173" s="8" t="s">
        <v>137</v>
      </c>
      <c r="K1173" s="8" t="s">
        <v>8664</v>
      </c>
      <c r="L1173" s="8"/>
      <c r="M1173" s="8"/>
      <c r="N1173" s="8" t="n">
        <v>25</v>
      </c>
      <c r="O1173" s="8" t="n">
        <v>38</v>
      </c>
      <c r="P1173" s="8" t="s">
        <v>148</v>
      </c>
    </row>
    <row r="1174" customFormat="false" ht="15" hidden="false" customHeight="false" outlineLevel="0" collapsed="false">
      <c r="A1174" s="8" t="s">
        <v>7261</v>
      </c>
      <c r="B1174" s="8" t="s">
        <v>9768</v>
      </c>
      <c r="C1174" s="8" t="s">
        <v>8665</v>
      </c>
      <c r="D1174" s="8" t="s">
        <v>132</v>
      </c>
      <c r="E1174" s="8" t="s">
        <v>51</v>
      </c>
      <c r="F1174" s="8" t="s">
        <v>326</v>
      </c>
      <c r="G1174" s="8" t="s">
        <v>190</v>
      </c>
      <c r="H1174" s="8" t="s">
        <v>8662</v>
      </c>
      <c r="I1174" s="8" t="s">
        <v>8908</v>
      </c>
      <c r="J1174" s="8"/>
      <c r="K1174" s="8" t="s">
        <v>8690</v>
      </c>
      <c r="L1174" s="8" t="s">
        <v>9769</v>
      </c>
      <c r="M1174" s="8" t="s">
        <v>8705</v>
      </c>
      <c r="N1174" s="8" t="n">
        <v>25</v>
      </c>
      <c r="O1174" s="8" t="n">
        <v>13</v>
      </c>
      <c r="P1174" s="8" t="s">
        <v>120</v>
      </c>
    </row>
    <row r="1175" customFormat="false" ht="15" hidden="false" customHeight="false" outlineLevel="0" collapsed="false">
      <c r="A1175" s="8" t="s">
        <v>2178</v>
      </c>
      <c r="B1175" s="8" t="s">
        <v>2179</v>
      </c>
      <c r="C1175" s="8" t="s">
        <v>8680</v>
      </c>
      <c r="D1175" s="8" t="s">
        <v>117</v>
      </c>
      <c r="E1175" s="8" t="s">
        <v>51</v>
      </c>
      <c r="F1175" s="8" t="s">
        <v>326</v>
      </c>
      <c r="G1175" s="8" t="s">
        <v>143</v>
      </c>
      <c r="H1175" s="8" t="s">
        <v>8670</v>
      </c>
      <c r="I1175" s="8" t="s">
        <v>9747</v>
      </c>
      <c r="J1175" s="8" t="s">
        <v>129</v>
      </c>
      <c r="K1175" s="8" t="s">
        <v>8664</v>
      </c>
      <c r="L1175" s="8"/>
      <c r="M1175" s="8"/>
      <c r="N1175" s="8" t="n">
        <v>25</v>
      </c>
      <c r="O1175" s="8" t="n">
        <v>25</v>
      </c>
      <c r="P1175" s="8" t="s">
        <v>120</v>
      </c>
    </row>
    <row r="1176" customFormat="false" ht="15" hidden="false" customHeight="false" outlineLevel="0" collapsed="false">
      <c r="A1176" s="8" t="s">
        <v>3168</v>
      </c>
      <c r="B1176" s="8" t="s">
        <v>3169</v>
      </c>
      <c r="C1176" s="8" t="s">
        <v>8674</v>
      </c>
      <c r="D1176" s="8" t="s">
        <v>123</v>
      </c>
      <c r="E1176" s="8" t="s">
        <v>51</v>
      </c>
      <c r="F1176" s="8" t="s">
        <v>2027</v>
      </c>
      <c r="G1176" s="8" t="s">
        <v>151</v>
      </c>
      <c r="H1176" s="8" t="s">
        <v>8666</v>
      </c>
      <c r="I1176" s="8" t="s">
        <v>9770</v>
      </c>
      <c r="J1176" s="8" t="s">
        <v>185</v>
      </c>
      <c r="K1176" s="8" t="s">
        <v>8664</v>
      </c>
      <c r="L1176" s="8"/>
      <c r="M1176" s="8"/>
      <c r="N1176" s="8" t="n">
        <v>12</v>
      </c>
      <c r="O1176" s="8" t="n">
        <v>15</v>
      </c>
      <c r="P1176" s="8" t="s">
        <v>120</v>
      </c>
    </row>
    <row r="1177" customFormat="false" ht="15" hidden="false" customHeight="false" outlineLevel="0" collapsed="false">
      <c r="A1177" s="8" t="s">
        <v>4465</v>
      </c>
      <c r="B1177" s="8" t="s">
        <v>9771</v>
      </c>
      <c r="C1177" s="8" t="s">
        <v>8700</v>
      </c>
      <c r="D1177" s="8" t="s">
        <v>123</v>
      </c>
      <c r="E1177" s="8" t="s">
        <v>53</v>
      </c>
      <c r="F1177" s="8" t="s">
        <v>326</v>
      </c>
      <c r="G1177" s="8" t="s">
        <v>166</v>
      </c>
      <c r="H1177" s="8" t="s">
        <v>8666</v>
      </c>
      <c r="I1177" s="8" t="s">
        <v>9520</v>
      </c>
      <c r="J1177" s="8"/>
      <c r="K1177" s="8" t="s">
        <v>8690</v>
      </c>
      <c r="L1177" s="8" t="s">
        <v>9290</v>
      </c>
      <c r="M1177" s="8" t="s">
        <v>8696</v>
      </c>
      <c r="N1177" s="8" t="n">
        <v>25</v>
      </c>
      <c r="O1177" s="8" t="n">
        <v>97</v>
      </c>
      <c r="P1177" s="8" t="s">
        <v>120</v>
      </c>
    </row>
    <row r="1178" customFormat="false" ht="15" hidden="false" customHeight="false" outlineLevel="0" collapsed="false">
      <c r="A1178" s="8" t="s">
        <v>2202</v>
      </c>
      <c r="B1178" s="8" t="s">
        <v>2203</v>
      </c>
      <c r="C1178" s="8" t="s">
        <v>8678</v>
      </c>
      <c r="D1178" s="8" t="s">
        <v>132</v>
      </c>
      <c r="E1178" s="8" t="s">
        <v>51</v>
      </c>
      <c r="F1178" s="8" t="s">
        <v>2027</v>
      </c>
      <c r="G1178" s="8" t="s">
        <v>223</v>
      </c>
      <c r="H1178" s="8" t="s">
        <v>8670</v>
      </c>
      <c r="I1178" s="8" t="s">
        <v>9707</v>
      </c>
      <c r="J1178" s="8" t="s">
        <v>177</v>
      </c>
      <c r="K1178" s="8" t="s">
        <v>8664</v>
      </c>
      <c r="L1178" s="8"/>
      <c r="M1178" s="8"/>
      <c r="N1178" s="8" t="n">
        <v>12</v>
      </c>
      <c r="O1178" s="8" t="n">
        <v>34</v>
      </c>
      <c r="P1178" s="8" t="s">
        <v>120</v>
      </c>
    </row>
    <row r="1179" customFormat="false" ht="15" hidden="false" customHeight="false" outlineLevel="0" collapsed="false">
      <c r="A1179" s="8" t="s">
        <v>993</v>
      </c>
      <c r="B1179" s="8" t="s">
        <v>994</v>
      </c>
      <c r="C1179" s="8" t="s">
        <v>8674</v>
      </c>
      <c r="D1179" s="8" t="s">
        <v>117</v>
      </c>
      <c r="E1179" s="8" t="s">
        <v>53</v>
      </c>
      <c r="F1179" s="8" t="s">
        <v>326</v>
      </c>
      <c r="G1179" s="8" t="s">
        <v>223</v>
      </c>
      <c r="H1179" s="8" t="s">
        <v>8675</v>
      </c>
      <c r="I1179" s="8" t="s">
        <v>9772</v>
      </c>
      <c r="J1179" s="8" t="s">
        <v>119</v>
      </c>
      <c r="K1179" s="8" t="s">
        <v>8664</v>
      </c>
      <c r="L1179" s="8"/>
      <c r="M1179" s="8"/>
      <c r="N1179" s="8" t="n">
        <v>25</v>
      </c>
      <c r="O1179" s="8" t="n">
        <v>166</v>
      </c>
      <c r="P1179" s="8" t="s">
        <v>148</v>
      </c>
    </row>
    <row r="1180" customFormat="false" ht="15" hidden="false" customHeight="false" outlineLevel="0" collapsed="false">
      <c r="A1180" s="8" t="s">
        <v>3728</v>
      </c>
      <c r="B1180" s="8" t="s">
        <v>3729</v>
      </c>
      <c r="C1180" s="8" t="s">
        <v>8700</v>
      </c>
      <c r="D1180" s="8" t="s">
        <v>132</v>
      </c>
      <c r="E1180" s="8" t="s">
        <v>51</v>
      </c>
      <c r="F1180" s="8" t="s">
        <v>326</v>
      </c>
      <c r="G1180" s="8" t="s">
        <v>124</v>
      </c>
      <c r="H1180" s="8" t="s">
        <v>8675</v>
      </c>
      <c r="I1180" s="8" t="s">
        <v>8893</v>
      </c>
      <c r="J1180" s="8" t="s">
        <v>177</v>
      </c>
      <c r="K1180" s="8" t="s">
        <v>8664</v>
      </c>
      <c r="L1180" s="8"/>
      <c r="M1180" s="8"/>
      <c r="N1180" s="8" t="n">
        <v>25</v>
      </c>
      <c r="O1180" s="8" t="n">
        <v>5</v>
      </c>
      <c r="P1180" s="8" t="s">
        <v>120</v>
      </c>
    </row>
    <row r="1181" customFormat="false" ht="15" hidden="false" customHeight="false" outlineLevel="0" collapsed="false">
      <c r="A1181" s="8" t="s">
        <v>1215</v>
      </c>
      <c r="B1181" s="8" t="s">
        <v>1216</v>
      </c>
      <c r="C1181" s="8" t="s">
        <v>8688</v>
      </c>
      <c r="D1181" s="8" t="s">
        <v>117</v>
      </c>
      <c r="E1181" s="8" t="s">
        <v>53</v>
      </c>
      <c r="F1181" s="8" t="s">
        <v>326</v>
      </c>
      <c r="G1181" s="8" t="s">
        <v>143</v>
      </c>
      <c r="H1181" s="8" t="s">
        <v>8666</v>
      </c>
      <c r="I1181" s="8" t="s">
        <v>9773</v>
      </c>
      <c r="J1181" s="8" t="s">
        <v>159</v>
      </c>
      <c r="K1181" s="8" t="s">
        <v>8664</v>
      </c>
      <c r="L1181" s="8"/>
      <c r="M1181" s="8"/>
      <c r="N1181" s="8" t="n">
        <v>25</v>
      </c>
      <c r="O1181" s="8" t="n">
        <v>118</v>
      </c>
      <c r="P1181" s="8" t="s">
        <v>120</v>
      </c>
    </row>
    <row r="1182" customFormat="false" ht="15" hidden="false" customHeight="false" outlineLevel="0" collapsed="false">
      <c r="A1182" s="8" t="s">
        <v>4000</v>
      </c>
      <c r="B1182" s="8" t="s">
        <v>4001</v>
      </c>
      <c r="C1182" s="8" t="s">
        <v>8678</v>
      </c>
      <c r="D1182" s="8" t="s">
        <v>132</v>
      </c>
      <c r="E1182" s="8" t="s">
        <v>51</v>
      </c>
      <c r="F1182" s="8" t="s">
        <v>2027</v>
      </c>
      <c r="G1182" s="8" t="s">
        <v>118</v>
      </c>
      <c r="H1182" s="8" t="s">
        <v>8666</v>
      </c>
      <c r="I1182" s="8" t="s">
        <v>8824</v>
      </c>
      <c r="J1182" s="8" t="s">
        <v>180</v>
      </c>
      <c r="K1182" s="8" t="s">
        <v>8664</v>
      </c>
      <c r="L1182" s="8"/>
      <c r="M1182" s="8"/>
      <c r="N1182" s="8" t="n">
        <v>12</v>
      </c>
      <c r="O1182" s="8" t="n">
        <v>12</v>
      </c>
      <c r="P1182" s="8" t="s">
        <v>120</v>
      </c>
    </row>
    <row r="1183" customFormat="false" ht="15" hidden="false" customHeight="false" outlineLevel="0" collapsed="false">
      <c r="A1183" s="8" t="s">
        <v>967</v>
      </c>
      <c r="B1183" s="8" t="s">
        <v>968</v>
      </c>
      <c r="C1183" s="8" t="s">
        <v>8688</v>
      </c>
      <c r="D1183" s="8" t="s">
        <v>132</v>
      </c>
      <c r="E1183" s="8" t="s">
        <v>53</v>
      </c>
      <c r="F1183" s="8" t="s">
        <v>326</v>
      </c>
      <c r="G1183" s="8" t="s">
        <v>154</v>
      </c>
      <c r="H1183" s="8" t="s">
        <v>8675</v>
      </c>
      <c r="I1183" s="8" t="s">
        <v>8752</v>
      </c>
      <c r="J1183" s="8" t="s">
        <v>119</v>
      </c>
      <c r="K1183" s="8" t="s">
        <v>8664</v>
      </c>
      <c r="L1183" s="8"/>
      <c r="M1183" s="8"/>
      <c r="N1183" s="8" t="n">
        <v>25</v>
      </c>
      <c r="O1183" s="8" t="n">
        <v>168</v>
      </c>
      <c r="P1183" s="8" t="s">
        <v>120</v>
      </c>
    </row>
    <row r="1184" customFormat="false" ht="15" hidden="false" customHeight="false" outlineLevel="0" collapsed="false">
      <c r="A1184" s="8" t="s">
        <v>1969</v>
      </c>
      <c r="B1184" s="8" t="s">
        <v>1970</v>
      </c>
      <c r="C1184" s="8" t="s">
        <v>8700</v>
      </c>
      <c r="D1184" s="8" t="s">
        <v>123</v>
      </c>
      <c r="E1184" s="8" t="s">
        <v>51</v>
      </c>
      <c r="F1184" s="8" t="s">
        <v>326</v>
      </c>
      <c r="G1184" s="8" t="s">
        <v>143</v>
      </c>
      <c r="H1184" s="8" t="s">
        <v>8670</v>
      </c>
      <c r="I1184" s="8" t="s">
        <v>9627</v>
      </c>
      <c r="J1184" s="8" t="s">
        <v>180</v>
      </c>
      <c r="K1184" s="8" t="s">
        <v>8664</v>
      </c>
      <c r="L1184" s="8"/>
      <c r="M1184" s="8"/>
      <c r="N1184" s="8" t="n">
        <v>25</v>
      </c>
      <c r="O1184" s="8" t="n">
        <v>33</v>
      </c>
      <c r="P1184" s="8" t="s">
        <v>120</v>
      </c>
    </row>
    <row r="1185" customFormat="false" ht="15" hidden="false" customHeight="false" outlineLevel="0" collapsed="false">
      <c r="A1185" s="8" t="s">
        <v>4318</v>
      </c>
      <c r="B1185" s="8" t="s">
        <v>4319</v>
      </c>
      <c r="C1185" s="8" t="s">
        <v>8674</v>
      </c>
      <c r="D1185" s="8" t="s">
        <v>123</v>
      </c>
      <c r="E1185" s="8" t="s">
        <v>51</v>
      </c>
      <c r="F1185" s="8" t="s">
        <v>2027</v>
      </c>
      <c r="G1185" s="8" t="s">
        <v>190</v>
      </c>
      <c r="H1185" s="8" t="s">
        <v>8670</v>
      </c>
      <c r="I1185" s="8" t="s">
        <v>9774</v>
      </c>
      <c r="J1185" s="8" t="s">
        <v>129</v>
      </c>
      <c r="K1185" s="8" t="s">
        <v>8664</v>
      </c>
      <c r="L1185" s="8"/>
      <c r="M1185" s="8"/>
      <c r="N1185" s="8" t="n">
        <v>12</v>
      </c>
      <c r="O1185" s="8" t="n">
        <v>6</v>
      </c>
      <c r="P1185" s="8" t="s">
        <v>120</v>
      </c>
    </row>
    <row r="1186" customFormat="false" ht="15" hidden="false" customHeight="false" outlineLevel="0" collapsed="false">
      <c r="A1186" s="8" t="s">
        <v>435</v>
      </c>
      <c r="B1186" s="8" t="s">
        <v>436</v>
      </c>
      <c r="C1186" s="8" t="s">
        <v>8665</v>
      </c>
      <c r="D1186" s="8" t="s">
        <v>117</v>
      </c>
      <c r="E1186" s="8" t="s">
        <v>55</v>
      </c>
      <c r="F1186" s="8" t="s">
        <v>55</v>
      </c>
      <c r="G1186" s="8" t="s">
        <v>190</v>
      </c>
      <c r="H1186" s="8" t="s">
        <v>8670</v>
      </c>
      <c r="I1186" s="8" t="s">
        <v>9172</v>
      </c>
      <c r="J1186" s="8" t="s">
        <v>129</v>
      </c>
      <c r="K1186" s="8" t="s">
        <v>8664</v>
      </c>
      <c r="L1186" s="8"/>
      <c r="M1186" s="8"/>
      <c r="N1186" s="8" t="n">
        <v>45</v>
      </c>
      <c r="O1186" s="8" t="n">
        <v>273</v>
      </c>
      <c r="P1186" s="8" t="s">
        <v>120</v>
      </c>
    </row>
    <row r="1187" customFormat="false" ht="15" hidden="false" customHeight="false" outlineLevel="0" collapsed="false">
      <c r="A1187" s="8" t="s">
        <v>3814</v>
      </c>
      <c r="B1187" s="8" t="s">
        <v>3815</v>
      </c>
      <c r="C1187" s="8" t="s">
        <v>8680</v>
      </c>
      <c r="D1187" s="8" t="s">
        <v>132</v>
      </c>
      <c r="E1187" s="8" t="s">
        <v>51</v>
      </c>
      <c r="F1187" s="8" t="s">
        <v>2027</v>
      </c>
      <c r="G1187" s="8" t="s">
        <v>133</v>
      </c>
      <c r="H1187" s="8" t="s">
        <v>8666</v>
      </c>
      <c r="I1187" s="8" t="s">
        <v>8797</v>
      </c>
      <c r="J1187" s="8" t="s">
        <v>180</v>
      </c>
      <c r="K1187" s="8" t="s">
        <v>8664</v>
      </c>
      <c r="L1187" s="8"/>
      <c r="M1187" s="8"/>
      <c r="N1187" s="8" t="n">
        <v>12</v>
      </c>
      <c r="O1187" s="8" t="n">
        <v>15</v>
      </c>
      <c r="P1187" s="8" t="s">
        <v>120</v>
      </c>
    </row>
    <row r="1188" customFormat="false" ht="15" hidden="false" customHeight="false" outlineLevel="0" collapsed="false">
      <c r="A1188" s="8" t="s">
        <v>1903</v>
      </c>
      <c r="B1188" s="8" t="s">
        <v>1904</v>
      </c>
      <c r="C1188" s="8" t="s">
        <v>8680</v>
      </c>
      <c r="D1188" s="8" t="s">
        <v>132</v>
      </c>
      <c r="E1188" s="8" t="s">
        <v>51</v>
      </c>
      <c r="F1188" s="8" t="s">
        <v>326</v>
      </c>
      <c r="G1188" s="8" t="s">
        <v>124</v>
      </c>
      <c r="H1188" s="8" t="s">
        <v>8675</v>
      </c>
      <c r="I1188" s="8" t="s">
        <v>9684</v>
      </c>
      <c r="J1188" s="8" t="s">
        <v>204</v>
      </c>
      <c r="K1188" s="8" t="s">
        <v>8664</v>
      </c>
      <c r="L1188" s="8"/>
      <c r="M1188" s="8"/>
      <c r="N1188" s="8" t="n">
        <v>25</v>
      </c>
      <c r="O1188" s="8" t="n">
        <v>36</v>
      </c>
      <c r="P1188" s="8" t="s">
        <v>148</v>
      </c>
    </row>
    <row r="1189" customFormat="false" ht="15" hidden="false" customHeight="false" outlineLevel="0" collapsed="false">
      <c r="A1189" s="8" t="s">
        <v>639</v>
      </c>
      <c r="B1189" s="8" t="s">
        <v>640</v>
      </c>
      <c r="C1189" s="8" t="s">
        <v>8678</v>
      </c>
      <c r="D1189" s="8" t="s">
        <v>132</v>
      </c>
      <c r="E1189" s="8" t="s">
        <v>55</v>
      </c>
      <c r="F1189" s="8" t="s">
        <v>326</v>
      </c>
      <c r="G1189" s="8" t="s">
        <v>151</v>
      </c>
      <c r="H1189" s="8" t="s">
        <v>8666</v>
      </c>
      <c r="I1189" s="8" t="s">
        <v>8923</v>
      </c>
      <c r="J1189" s="8" t="s">
        <v>204</v>
      </c>
      <c r="K1189" s="8" t="s">
        <v>8664</v>
      </c>
      <c r="L1189" s="8"/>
      <c r="M1189" s="8"/>
      <c r="N1189" s="8" t="n">
        <v>25</v>
      </c>
      <c r="O1189" s="8" t="n">
        <v>204</v>
      </c>
      <c r="P1189" s="8" t="s">
        <v>120</v>
      </c>
    </row>
    <row r="1190" customFormat="false" ht="15" hidden="false" customHeight="false" outlineLevel="0" collapsed="false">
      <c r="A1190" s="8" t="s">
        <v>3216</v>
      </c>
      <c r="B1190" s="8" t="s">
        <v>3217</v>
      </c>
      <c r="C1190" s="8" t="s">
        <v>8688</v>
      </c>
      <c r="D1190" s="8" t="s">
        <v>132</v>
      </c>
      <c r="E1190" s="8" t="s">
        <v>51</v>
      </c>
      <c r="F1190" s="8" t="s">
        <v>2027</v>
      </c>
      <c r="G1190" s="8" t="s">
        <v>136</v>
      </c>
      <c r="H1190" s="8" t="s">
        <v>8666</v>
      </c>
      <c r="I1190" s="8" t="s">
        <v>9775</v>
      </c>
      <c r="J1190" s="8" t="s">
        <v>180</v>
      </c>
      <c r="K1190" s="8" t="s">
        <v>8664</v>
      </c>
      <c r="L1190" s="8"/>
      <c r="M1190" s="8"/>
      <c r="N1190" s="8" t="n">
        <v>12</v>
      </c>
      <c r="O1190" s="8" t="n">
        <v>26</v>
      </c>
      <c r="P1190" s="8" t="s">
        <v>120</v>
      </c>
    </row>
    <row r="1191" customFormat="false" ht="15" hidden="false" customHeight="false" outlineLevel="0" collapsed="false">
      <c r="A1191" s="8" t="s">
        <v>4427</v>
      </c>
      <c r="B1191" s="8" t="s">
        <v>9776</v>
      </c>
      <c r="C1191" s="8" t="s">
        <v>8665</v>
      </c>
      <c r="D1191" s="8" t="s">
        <v>117</v>
      </c>
      <c r="E1191" s="8" t="s">
        <v>53</v>
      </c>
      <c r="F1191" s="8" t="s">
        <v>55</v>
      </c>
      <c r="G1191" s="8" t="s">
        <v>118</v>
      </c>
      <c r="H1191" s="8" t="s">
        <v>8666</v>
      </c>
      <c r="I1191" s="8" t="s">
        <v>9063</v>
      </c>
      <c r="J1191" s="8"/>
      <c r="K1191" s="8" t="s">
        <v>8690</v>
      </c>
      <c r="L1191" s="8" t="s">
        <v>9777</v>
      </c>
      <c r="M1191" s="8" t="s">
        <v>8692</v>
      </c>
      <c r="N1191" s="8" t="n">
        <v>45</v>
      </c>
      <c r="O1191" s="8" t="n">
        <v>133</v>
      </c>
      <c r="P1191" s="8" t="s">
        <v>148</v>
      </c>
    </row>
    <row r="1192" customFormat="false" ht="15" hidden="false" customHeight="false" outlineLevel="0" collapsed="false">
      <c r="A1192" s="8" t="s">
        <v>2788</v>
      </c>
      <c r="B1192" s="8" t="s">
        <v>2789</v>
      </c>
      <c r="C1192" s="8" t="s">
        <v>8688</v>
      </c>
      <c r="D1192" s="8" t="s">
        <v>132</v>
      </c>
      <c r="E1192" s="8" t="s">
        <v>51</v>
      </c>
      <c r="F1192" s="8" t="s">
        <v>326</v>
      </c>
      <c r="G1192" s="8" t="s">
        <v>151</v>
      </c>
      <c r="H1192" s="8" t="s">
        <v>8675</v>
      </c>
      <c r="I1192" s="8" t="s">
        <v>8726</v>
      </c>
      <c r="J1192" s="8" t="s">
        <v>177</v>
      </c>
      <c r="K1192" s="8" t="s">
        <v>8664</v>
      </c>
      <c r="L1192" s="8"/>
      <c r="M1192" s="8"/>
      <c r="N1192" s="8" t="n">
        <v>25</v>
      </c>
      <c r="O1192" s="8" t="n">
        <v>16</v>
      </c>
      <c r="P1192" s="8" t="s">
        <v>120</v>
      </c>
    </row>
    <row r="1193" customFormat="false" ht="15" hidden="false" customHeight="false" outlineLevel="0" collapsed="false">
      <c r="A1193" s="8" t="s">
        <v>4110</v>
      </c>
      <c r="B1193" s="8" t="s">
        <v>4111</v>
      </c>
      <c r="C1193" s="8" t="s">
        <v>8674</v>
      </c>
      <c r="D1193" s="8" t="s">
        <v>123</v>
      </c>
      <c r="E1193" s="8" t="s">
        <v>51</v>
      </c>
      <c r="F1193" s="8" t="s">
        <v>2027</v>
      </c>
      <c r="G1193" s="8" t="s">
        <v>190</v>
      </c>
      <c r="H1193" s="8" t="s">
        <v>8670</v>
      </c>
      <c r="I1193" s="8" t="s">
        <v>9085</v>
      </c>
      <c r="J1193" s="8" t="s">
        <v>204</v>
      </c>
      <c r="K1193" s="8" t="s">
        <v>8664</v>
      </c>
      <c r="L1193" s="8"/>
      <c r="M1193" s="8"/>
      <c r="N1193" s="8" t="n">
        <v>12</v>
      </c>
      <c r="O1193" s="8" t="n">
        <v>12</v>
      </c>
      <c r="P1193" s="8" t="s">
        <v>120</v>
      </c>
    </row>
    <row r="1194" customFormat="false" ht="15" hidden="false" customHeight="false" outlineLevel="0" collapsed="false">
      <c r="A1194" s="8" t="s">
        <v>891</v>
      </c>
      <c r="B1194" s="8" t="s">
        <v>892</v>
      </c>
      <c r="C1194" s="8" t="s">
        <v>8665</v>
      </c>
      <c r="D1194" s="8" t="s">
        <v>123</v>
      </c>
      <c r="E1194" s="8" t="s">
        <v>53</v>
      </c>
      <c r="F1194" s="8" t="s">
        <v>326</v>
      </c>
      <c r="G1194" s="8" t="s">
        <v>118</v>
      </c>
      <c r="H1194" s="8" t="s">
        <v>8670</v>
      </c>
      <c r="I1194" s="8" t="s">
        <v>9653</v>
      </c>
      <c r="J1194" s="8" t="s">
        <v>129</v>
      </c>
      <c r="K1194" s="8" t="s">
        <v>8664</v>
      </c>
      <c r="L1194" s="8"/>
      <c r="M1194" s="8"/>
      <c r="N1194" s="8" t="n">
        <v>25</v>
      </c>
      <c r="O1194" s="8" t="n">
        <v>182</v>
      </c>
      <c r="P1194" s="8" t="s">
        <v>120</v>
      </c>
    </row>
    <row r="1195" customFormat="false" ht="15" hidden="false" customHeight="false" outlineLevel="0" collapsed="false">
      <c r="A1195" s="8" t="s">
        <v>4112</v>
      </c>
      <c r="B1195" s="8" t="s">
        <v>4113</v>
      </c>
      <c r="C1195" s="8" t="s">
        <v>8669</v>
      </c>
      <c r="D1195" s="8" t="s">
        <v>123</v>
      </c>
      <c r="E1195" s="8" t="s">
        <v>51</v>
      </c>
      <c r="F1195" s="8" t="s">
        <v>2027</v>
      </c>
      <c r="G1195" s="8" t="s">
        <v>166</v>
      </c>
      <c r="H1195" s="8" t="s">
        <v>8675</v>
      </c>
      <c r="I1195" s="8" t="s">
        <v>9034</v>
      </c>
      <c r="J1195" s="8" t="s">
        <v>147</v>
      </c>
      <c r="K1195" s="8" t="s">
        <v>8664</v>
      </c>
      <c r="L1195" s="8"/>
      <c r="M1195" s="8"/>
      <c r="N1195" s="8" t="n">
        <v>12</v>
      </c>
      <c r="O1195" s="8" t="n">
        <v>10</v>
      </c>
      <c r="P1195" s="8" t="s">
        <v>148</v>
      </c>
    </row>
    <row r="1196" customFormat="false" ht="15" hidden="false" customHeight="false" outlineLevel="0" collapsed="false">
      <c r="A1196" s="8" t="s">
        <v>3352</v>
      </c>
      <c r="B1196" s="8" t="s">
        <v>3353</v>
      </c>
      <c r="C1196" s="8" t="s">
        <v>8674</v>
      </c>
      <c r="D1196" s="8" t="s">
        <v>123</v>
      </c>
      <c r="E1196" s="8" t="s">
        <v>51</v>
      </c>
      <c r="F1196" s="8" t="s">
        <v>2027</v>
      </c>
      <c r="G1196" s="8" t="s">
        <v>133</v>
      </c>
      <c r="H1196" s="8" t="s">
        <v>8675</v>
      </c>
      <c r="I1196" s="8" t="s">
        <v>8850</v>
      </c>
      <c r="J1196" s="8" t="s">
        <v>144</v>
      </c>
      <c r="K1196" s="8" t="s">
        <v>8664</v>
      </c>
      <c r="L1196" s="8"/>
      <c r="M1196" s="8"/>
      <c r="N1196" s="8" t="n">
        <v>12</v>
      </c>
      <c r="O1196" s="8" t="n">
        <v>24</v>
      </c>
      <c r="P1196" s="8" t="s">
        <v>120</v>
      </c>
    </row>
    <row r="1197" customFormat="false" ht="15" hidden="false" customHeight="false" outlineLevel="0" collapsed="false">
      <c r="A1197" s="8" t="s">
        <v>425</v>
      </c>
      <c r="B1197" s="8" t="s">
        <v>426</v>
      </c>
      <c r="C1197" s="8" t="s">
        <v>8688</v>
      </c>
      <c r="D1197" s="8" t="s">
        <v>117</v>
      </c>
      <c r="E1197" s="8" t="s">
        <v>55</v>
      </c>
      <c r="F1197" s="8" t="s">
        <v>55</v>
      </c>
      <c r="G1197" s="8" t="s">
        <v>136</v>
      </c>
      <c r="H1197" s="8" t="s">
        <v>8662</v>
      </c>
      <c r="I1197" s="8" t="s">
        <v>9778</v>
      </c>
      <c r="J1197" s="8" t="s">
        <v>144</v>
      </c>
      <c r="K1197" s="8" t="s">
        <v>8664</v>
      </c>
      <c r="L1197" s="8"/>
      <c r="M1197" s="8"/>
      <c r="N1197" s="8" t="n">
        <v>45</v>
      </c>
      <c r="O1197" s="8" t="n">
        <v>283</v>
      </c>
      <c r="P1197" s="8" t="s">
        <v>120</v>
      </c>
    </row>
    <row r="1198" customFormat="false" ht="15" hidden="false" customHeight="false" outlineLevel="0" collapsed="false">
      <c r="A1198" s="8" t="s">
        <v>4552</v>
      </c>
      <c r="B1198" s="8" t="s">
        <v>9779</v>
      </c>
      <c r="C1198" s="8" t="s">
        <v>8669</v>
      </c>
      <c r="D1198" s="8" t="s">
        <v>117</v>
      </c>
      <c r="E1198" s="8" t="s">
        <v>51</v>
      </c>
      <c r="F1198" s="8" t="s">
        <v>2027</v>
      </c>
      <c r="G1198" s="8" t="s">
        <v>124</v>
      </c>
      <c r="H1198" s="8" t="s">
        <v>8670</v>
      </c>
      <c r="I1198" s="8" t="s">
        <v>9009</v>
      </c>
      <c r="J1198" s="8"/>
      <c r="K1198" s="8" t="s">
        <v>8690</v>
      </c>
      <c r="L1198" s="8" t="s">
        <v>9671</v>
      </c>
      <c r="M1198" s="8" t="s">
        <v>8692</v>
      </c>
      <c r="N1198" s="8" t="n">
        <v>12</v>
      </c>
      <c r="O1198" s="8" t="n">
        <v>21</v>
      </c>
      <c r="P1198" s="8" t="s">
        <v>120</v>
      </c>
    </row>
    <row r="1199" customFormat="false" ht="15" hidden="false" customHeight="false" outlineLevel="0" collapsed="false">
      <c r="A1199" s="8" t="s">
        <v>4468</v>
      </c>
      <c r="B1199" s="8" t="s">
        <v>9780</v>
      </c>
      <c r="C1199" s="8" t="s">
        <v>8669</v>
      </c>
      <c r="D1199" s="8" t="s">
        <v>128</v>
      </c>
      <c r="E1199" s="8" t="s">
        <v>53</v>
      </c>
      <c r="F1199" s="8" t="s">
        <v>326</v>
      </c>
      <c r="G1199" s="8" t="s">
        <v>136</v>
      </c>
      <c r="H1199" s="8" t="s">
        <v>8675</v>
      </c>
      <c r="I1199" s="8" t="s">
        <v>9781</v>
      </c>
      <c r="J1199" s="8"/>
      <c r="K1199" s="8" t="s">
        <v>8690</v>
      </c>
      <c r="L1199" s="8" t="s">
        <v>9523</v>
      </c>
      <c r="M1199" s="8" t="s">
        <v>8696</v>
      </c>
      <c r="N1199" s="8" t="n">
        <v>25</v>
      </c>
      <c r="O1199" s="8" t="n">
        <v>92</v>
      </c>
      <c r="P1199" s="8" t="s">
        <v>120</v>
      </c>
    </row>
    <row r="1200" customFormat="false" ht="15" hidden="false" customHeight="false" outlineLevel="0" collapsed="false">
      <c r="A1200" s="8" t="s">
        <v>3170</v>
      </c>
      <c r="B1200" s="8" t="s">
        <v>3171</v>
      </c>
      <c r="C1200" s="8" t="s">
        <v>8674</v>
      </c>
      <c r="D1200" s="8" t="s">
        <v>117</v>
      </c>
      <c r="E1200" s="8" t="s">
        <v>51</v>
      </c>
      <c r="F1200" s="8" t="s">
        <v>2027</v>
      </c>
      <c r="G1200" s="8" t="s">
        <v>124</v>
      </c>
      <c r="H1200" s="8" t="s">
        <v>8670</v>
      </c>
      <c r="I1200" s="8" t="s">
        <v>9687</v>
      </c>
      <c r="J1200" s="8" t="s">
        <v>125</v>
      </c>
      <c r="K1200" s="8" t="s">
        <v>8664</v>
      </c>
      <c r="L1200" s="8"/>
      <c r="M1200" s="8"/>
      <c r="N1200" s="8" t="n">
        <v>12</v>
      </c>
      <c r="O1200" s="8" t="n">
        <v>27</v>
      </c>
      <c r="P1200" s="8" t="s">
        <v>120</v>
      </c>
    </row>
    <row r="1201" customFormat="false" ht="15" hidden="false" customHeight="false" outlineLevel="0" collapsed="false">
      <c r="A1201" s="8" t="s">
        <v>9782</v>
      </c>
      <c r="B1201" s="8" t="s">
        <v>9783</v>
      </c>
      <c r="C1201" s="8" t="s">
        <v>8669</v>
      </c>
      <c r="D1201" s="8" t="s">
        <v>117</v>
      </c>
      <c r="E1201" s="8" t="s">
        <v>51</v>
      </c>
      <c r="F1201" s="8" t="s">
        <v>326</v>
      </c>
      <c r="G1201" s="8" t="s">
        <v>136</v>
      </c>
      <c r="H1201" s="8" t="s">
        <v>8666</v>
      </c>
      <c r="I1201" s="8" t="s">
        <v>9784</v>
      </c>
      <c r="J1201" s="8"/>
      <c r="K1201" s="8" t="s">
        <v>8690</v>
      </c>
      <c r="L1201" s="8" t="s">
        <v>9785</v>
      </c>
      <c r="M1201" s="8" t="s">
        <v>8705</v>
      </c>
      <c r="N1201" s="8" t="n">
        <v>25</v>
      </c>
      <c r="O1201" s="8" t="n">
        <v>12</v>
      </c>
      <c r="P1201" s="8" t="s">
        <v>120</v>
      </c>
    </row>
    <row r="1202" customFormat="false" ht="15" hidden="false" customHeight="false" outlineLevel="0" collapsed="false">
      <c r="A1202" s="8" t="s">
        <v>2340</v>
      </c>
      <c r="B1202" s="8" t="s">
        <v>2341</v>
      </c>
      <c r="C1202" s="8" t="s">
        <v>8669</v>
      </c>
      <c r="D1202" s="8" t="s">
        <v>132</v>
      </c>
      <c r="E1202" s="8" t="s">
        <v>51</v>
      </c>
      <c r="F1202" s="8" t="s">
        <v>2027</v>
      </c>
      <c r="G1202" s="8" t="s">
        <v>136</v>
      </c>
      <c r="H1202" s="8" t="s">
        <v>8670</v>
      </c>
      <c r="I1202" s="8" t="s">
        <v>9786</v>
      </c>
      <c r="J1202" s="8" t="s">
        <v>177</v>
      </c>
      <c r="K1202" s="8" t="s">
        <v>8664</v>
      </c>
      <c r="L1202" s="8"/>
      <c r="M1202" s="8"/>
      <c r="N1202" s="8" t="n">
        <v>12</v>
      </c>
      <c r="O1202" s="8" t="n">
        <v>23</v>
      </c>
      <c r="P1202" s="8" t="s">
        <v>120</v>
      </c>
    </row>
    <row r="1203" customFormat="false" ht="15" hidden="false" customHeight="false" outlineLevel="0" collapsed="false">
      <c r="A1203" s="8" t="s">
        <v>2698</v>
      </c>
      <c r="B1203" s="8" t="s">
        <v>2699</v>
      </c>
      <c r="C1203" s="8" t="s">
        <v>8700</v>
      </c>
      <c r="D1203" s="8" t="s">
        <v>123</v>
      </c>
      <c r="E1203" s="8" t="s">
        <v>51</v>
      </c>
      <c r="F1203" s="8" t="s">
        <v>2027</v>
      </c>
      <c r="G1203" s="8" t="s">
        <v>136</v>
      </c>
      <c r="H1203" s="8" t="s">
        <v>8675</v>
      </c>
      <c r="I1203" s="8" t="s">
        <v>8677</v>
      </c>
      <c r="J1203" s="8" t="s">
        <v>180</v>
      </c>
      <c r="K1203" s="8" t="s">
        <v>8664</v>
      </c>
      <c r="L1203" s="8"/>
      <c r="M1203" s="8"/>
      <c r="N1203" s="8" t="n">
        <v>12</v>
      </c>
      <c r="O1203" s="8" t="n">
        <v>27</v>
      </c>
      <c r="P1203" s="8" t="s">
        <v>120</v>
      </c>
    </row>
    <row r="1204" customFormat="false" ht="15" hidden="false" customHeight="false" outlineLevel="0" collapsed="false">
      <c r="A1204" s="8" t="s">
        <v>9787</v>
      </c>
      <c r="B1204" s="8" t="s">
        <v>9788</v>
      </c>
      <c r="C1204" s="8" t="s">
        <v>8678</v>
      </c>
      <c r="D1204" s="8" t="s">
        <v>117</v>
      </c>
      <c r="E1204" s="8" t="s">
        <v>53</v>
      </c>
      <c r="F1204" s="8" t="s">
        <v>326</v>
      </c>
      <c r="G1204" s="8" t="s">
        <v>118</v>
      </c>
      <c r="H1204" s="8" t="s">
        <v>8666</v>
      </c>
      <c r="I1204" s="8" t="s">
        <v>9419</v>
      </c>
      <c r="J1204" s="8"/>
      <c r="K1204" s="8" t="s">
        <v>8690</v>
      </c>
      <c r="L1204" s="8" t="s">
        <v>9649</v>
      </c>
      <c r="M1204" s="8" t="s">
        <v>8692</v>
      </c>
      <c r="N1204" s="8" t="n">
        <v>25</v>
      </c>
      <c r="O1204" s="8" t="n">
        <v>106</v>
      </c>
      <c r="P1204" s="8" t="s">
        <v>120</v>
      </c>
    </row>
    <row r="1205" customFormat="false" ht="15" hidden="false" customHeight="false" outlineLevel="0" collapsed="false">
      <c r="A1205" s="8" t="s">
        <v>3278</v>
      </c>
      <c r="B1205" s="8" t="s">
        <v>3279</v>
      </c>
      <c r="C1205" s="8" t="s">
        <v>8661</v>
      </c>
      <c r="D1205" s="8" t="s">
        <v>117</v>
      </c>
      <c r="E1205" s="8" t="s">
        <v>51</v>
      </c>
      <c r="F1205" s="8" t="s">
        <v>2027</v>
      </c>
      <c r="G1205" s="8" t="s">
        <v>136</v>
      </c>
      <c r="H1205" s="8" t="s">
        <v>8670</v>
      </c>
      <c r="I1205" s="8" t="s">
        <v>8938</v>
      </c>
      <c r="J1205" s="8" t="s">
        <v>137</v>
      </c>
      <c r="K1205" s="8" t="s">
        <v>8664</v>
      </c>
      <c r="L1205" s="8"/>
      <c r="M1205" s="8"/>
      <c r="N1205" s="8" t="n">
        <v>12</v>
      </c>
      <c r="O1205" s="8" t="n">
        <v>25</v>
      </c>
      <c r="P1205" s="8" t="s">
        <v>120</v>
      </c>
    </row>
    <row r="1206" customFormat="false" ht="15" hidden="false" customHeight="false" outlineLevel="0" collapsed="false">
      <c r="A1206" s="8" t="s">
        <v>4553</v>
      </c>
      <c r="B1206" s="8" t="s">
        <v>9789</v>
      </c>
      <c r="C1206" s="8" t="s">
        <v>8700</v>
      </c>
      <c r="D1206" s="8" t="s">
        <v>123</v>
      </c>
      <c r="E1206" s="8" t="s">
        <v>51</v>
      </c>
      <c r="F1206" s="8" t="s">
        <v>2027</v>
      </c>
      <c r="G1206" s="8" t="s">
        <v>223</v>
      </c>
      <c r="H1206" s="8" t="s">
        <v>8675</v>
      </c>
      <c r="I1206" s="8" t="s">
        <v>9790</v>
      </c>
      <c r="J1206" s="8"/>
      <c r="K1206" s="8" t="s">
        <v>8690</v>
      </c>
      <c r="L1206" s="8" t="s">
        <v>9552</v>
      </c>
      <c r="M1206" s="8" t="s">
        <v>8692</v>
      </c>
      <c r="N1206" s="8" t="n">
        <v>12</v>
      </c>
      <c r="O1206" s="8" t="n">
        <v>21</v>
      </c>
      <c r="P1206" s="8" t="s">
        <v>120</v>
      </c>
    </row>
    <row r="1207" customFormat="false" ht="15" hidden="false" customHeight="false" outlineLevel="0" collapsed="false">
      <c r="A1207" s="8" t="s">
        <v>215</v>
      </c>
      <c r="B1207" s="8" t="s">
        <v>216</v>
      </c>
      <c r="C1207" s="8" t="s">
        <v>8688</v>
      </c>
      <c r="D1207" s="8" t="s">
        <v>117</v>
      </c>
      <c r="E1207" s="8" t="s">
        <v>55</v>
      </c>
      <c r="F1207" s="8" t="s">
        <v>55</v>
      </c>
      <c r="G1207" s="8" t="s">
        <v>166</v>
      </c>
      <c r="H1207" s="8" t="s">
        <v>8670</v>
      </c>
      <c r="I1207" s="8" t="s">
        <v>9791</v>
      </c>
      <c r="J1207" s="8" t="s">
        <v>144</v>
      </c>
      <c r="K1207" s="8" t="s">
        <v>8664</v>
      </c>
      <c r="L1207" s="8"/>
      <c r="M1207" s="8"/>
      <c r="N1207" s="8" t="n">
        <v>45</v>
      </c>
      <c r="O1207" s="8" t="n">
        <v>540</v>
      </c>
      <c r="P1207" s="8" t="s">
        <v>120</v>
      </c>
    </row>
    <row r="1208" customFormat="false" ht="15" hidden="false" customHeight="false" outlineLevel="0" collapsed="false">
      <c r="A1208" s="8" t="s">
        <v>3354</v>
      </c>
      <c r="B1208" s="8" t="s">
        <v>3355</v>
      </c>
      <c r="C1208" s="8" t="s">
        <v>8688</v>
      </c>
      <c r="D1208" s="8" t="s">
        <v>128</v>
      </c>
      <c r="E1208" s="8" t="s">
        <v>51</v>
      </c>
      <c r="F1208" s="8" t="s">
        <v>2027</v>
      </c>
      <c r="G1208" s="8" t="s">
        <v>124</v>
      </c>
      <c r="H1208" s="8" t="s">
        <v>8670</v>
      </c>
      <c r="I1208" s="8" t="s">
        <v>9792</v>
      </c>
      <c r="J1208" s="8" t="s">
        <v>180</v>
      </c>
      <c r="K1208" s="8" t="s">
        <v>8664</v>
      </c>
      <c r="L1208" s="8"/>
      <c r="M1208" s="8"/>
      <c r="N1208" s="8" t="n">
        <v>12</v>
      </c>
      <c r="O1208" s="8" t="n">
        <v>24</v>
      </c>
      <c r="P1208" s="8" t="s">
        <v>120</v>
      </c>
    </row>
    <row r="1209" customFormat="false" ht="15" hidden="false" customHeight="false" outlineLevel="0" collapsed="false">
      <c r="A1209" s="8" t="s">
        <v>3630</v>
      </c>
      <c r="B1209" s="8" t="s">
        <v>3631</v>
      </c>
      <c r="C1209" s="8" t="s">
        <v>8700</v>
      </c>
      <c r="D1209" s="8" t="s">
        <v>132</v>
      </c>
      <c r="E1209" s="8" t="s">
        <v>51</v>
      </c>
      <c r="F1209" s="8" t="s">
        <v>326</v>
      </c>
      <c r="G1209" s="8" t="s">
        <v>166</v>
      </c>
      <c r="H1209" s="8" t="s">
        <v>8666</v>
      </c>
      <c r="I1209" s="8" t="s">
        <v>9259</v>
      </c>
      <c r="J1209" s="8" t="s">
        <v>177</v>
      </c>
      <c r="K1209" s="8" t="s">
        <v>8664</v>
      </c>
      <c r="L1209" s="8"/>
      <c r="M1209" s="8"/>
      <c r="N1209" s="8" t="n">
        <v>25</v>
      </c>
      <c r="O1209" s="8" t="n">
        <v>9</v>
      </c>
      <c r="P1209" s="8" t="s">
        <v>120</v>
      </c>
    </row>
    <row r="1210" customFormat="false" ht="15" hidden="false" customHeight="false" outlineLevel="0" collapsed="false">
      <c r="A1210" s="8" t="s">
        <v>3280</v>
      </c>
      <c r="B1210" s="8" t="s">
        <v>3281</v>
      </c>
      <c r="C1210" s="8" t="s">
        <v>8665</v>
      </c>
      <c r="D1210" s="8" t="s">
        <v>123</v>
      </c>
      <c r="E1210" s="8" t="s">
        <v>51</v>
      </c>
      <c r="F1210" s="8" t="s">
        <v>2027</v>
      </c>
      <c r="G1210" s="8" t="s">
        <v>151</v>
      </c>
      <c r="H1210" s="8" t="s">
        <v>8670</v>
      </c>
      <c r="I1210" s="8" t="s">
        <v>9793</v>
      </c>
      <c r="J1210" s="8" t="s">
        <v>144</v>
      </c>
      <c r="K1210" s="8" t="s">
        <v>8664</v>
      </c>
      <c r="L1210" s="8"/>
      <c r="M1210" s="8"/>
      <c r="N1210" s="8" t="n">
        <v>12</v>
      </c>
      <c r="O1210" s="8" t="n">
        <v>30</v>
      </c>
      <c r="P1210" s="8" t="s">
        <v>120</v>
      </c>
    </row>
    <row r="1211" customFormat="false" ht="15" hidden="false" customHeight="false" outlineLevel="0" collapsed="false">
      <c r="A1211" s="8" t="s">
        <v>1531</v>
      </c>
      <c r="B1211" s="8" t="s">
        <v>1532</v>
      </c>
      <c r="C1211" s="8" t="s">
        <v>8678</v>
      </c>
      <c r="D1211" s="8" t="s">
        <v>123</v>
      </c>
      <c r="E1211" s="8" t="s">
        <v>53</v>
      </c>
      <c r="F1211" s="8" t="s">
        <v>326</v>
      </c>
      <c r="G1211" s="8" t="s">
        <v>118</v>
      </c>
      <c r="H1211" s="8" t="s">
        <v>8662</v>
      </c>
      <c r="I1211" s="8" t="s">
        <v>9524</v>
      </c>
      <c r="J1211" s="8" t="s">
        <v>177</v>
      </c>
      <c r="K1211" s="8" t="s">
        <v>8664</v>
      </c>
      <c r="L1211" s="8"/>
      <c r="M1211" s="8"/>
      <c r="N1211" s="8" t="n">
        <v>25</v>
      </c>
      <c r="O1211" s="8" t="n">
        <v>87</v>
      </c>
      <c r="P1211" s="8" t="s">
        <v>120</v>
      </c>
    </row>
    <row r="1212" customFormat="false" ht="15" hidden="false" customHeight="false" outlineLevel="0" collapsed="false">
      <c r="A1212" s="8" t="s">
        <v>3730</v>
      </c>
      <c r="B1212" s="8" t="s">
        <v>3731</v>
      </c>
      <c r="C1212" s="8" t="s">
        <v>8680</v>
      </c>
      <c r="D1212" s="8" t="s">
        <v>123</v>
      </c>
      <c r="E1212" s="8" t="s">
        <v>51</v>
      </c>
      <c r="F1212" s="8" t="s">
        <v>326</v>
      </c>
      <c r="G1212" s="8" t="s">
        <v>151</v>
      </c>
      <c r="H1212" s="8" t="s">
        <v>8666</v>
      </c>
      <c r="I1212" s="8" t="s">
        <v>9612</v>
      </c>
      <c r="J1212" s="8" t="s">
        <v>119</v>
      </c>
      <c r="K1212" s="8" t="s">
        <v>8664</v>
      </c>
      <c r="L1212" s="8"/>
      <c r="M1212" s="8"/>
      <c r="N1212" s="8" t="n">
        <v>25</v>
      </c>
      <c r="O1212" s="8" t="n">
        <v>7</v>
      </c>
      <c r="P1212" s="8" t="s">
        <v>120</v>
      </c>
    </row>
    <row r="1213" customFormat="false" ht="15" hidden="false" customHeight="false" outlineLevel="0" collapsed="false">
      <c r="A1213" s="8" t="s">
        <v>4242</v>
      </c>
      <c r="B1213" s="8" t="s">
        <v>4243</v>
      </c>
      <c r="C1213" s="8" t="s">
        <v>8661</v>
      </c>
      <c r="D1213" s="8" t="s">
        <v>123</v>
      </c>
      <c r="E1213" s="8" t="s">
        <v>51</v>
      </c>
      <c r="F1213" s="8" t="s">
        <v>2027</v>
      </c>
      <c r="G1213" s="8" t="s">
        <v>166</v>
      </c>
      <c r="H1213" s="8" t="s">
        <v>8670</v>
      </c>
      <c r="I1213" s="8" t="s">
        <v>9794</v>
      </c>
      <c r="J1213" s="8" t="s">
        <v>137</v>
      </c>
      <c r="K1213" s="8" t="s">
        <v>8664</v>
      </c>
      <c r="L1213" s="8"/>
      <c r="M1213" s="8"/>
      <c r="N1213" s="8" t="n">
        <v>12</v>
      </c>
      <c r="O1213" s="8" t="n">
        <v>8</v>
      </c>
      <c r="P1213" s="8" t="s">
        <v>120</v>
      </c>
    </row>
    <row r="1214" customFormat="false" ht="15" hidden="false" customHeight="false" outlineLevel="0" collapsed="false">
      <c r="A1214" s="8" t="s">
        <v>3614</v>
      </c>
      <c r="B1214" s="8" t="s">
        <v>3615</v>
      </c>
      <c r="C1214" s="8" t="s">
        <v>8665</v>
      </c>
      <c r="D1214" s="8" t="s">
        <v>123</v>
      </c>
      <c r="E1214" s="8" t="s">
        <v>51</v>
      </c>
      <c r="F1214" s="8" t="s">
        <v>2027</v>
      </c>
      <c r="G1214" s="8" t="s">
        <v>133</v>
      </c>
      <c r="H1214" s="8" t="s">
        <v>8675</v>
      </c>
      <c r="I1214" s="8" t="s">
        <v>9795</v>
      </c>
      <c r="J1214" s="8" t="s">
        <v>180</v>
      </c>
      <c r="K1214" s="8" t="s">
        <v>8664</v>
      </c>
      <c r="L1214" s="8"/>
      <c r="M1214" s="8"/>
      <c r="N1214" s="8" t="n">
        <v>12</v>
      </c>
      <c r="O1214" s="8" t="n">
        <v>19</v>
      </c>
      <c r="P1214" s="8" t="s">
        <v>120</v>
      </c>
    </row>
    <row r="1215" customFormat="false" ht="15" hidden="false" customHeight="false" outlineLevel="0" collapsed="false">
      <c r="A1215" s="8" t="s">
        <v>9796</v>
      </c>
      <c r="B1215" s="8" t="s">
        <v>9797</v>
      </c>
      <c r="C1215" s="8" t="s">
        <v>8661</v>
      </c>
      <c r="D1215" s="8" t="s">
        <v>128</v>
      </c>
      <c r="E1215" s="8" t="s">
        <v>51</v>
      </c>
      <c r="F1215" s="8" t="s">
        <v>2027</v>
      </c>
      <c r="G1215" s="8" t="s">
        <v>223</v>
      </c>
      <c r="H1215" s="8" t="s">
        <v>8675</v>
      </c>
      <c r="I1215" s="8" t="s">
        <v>9798</v>
      </c>
      <c r="J1215" s="8"/>
      <c r="K1215" s="8" t="s">
        <v>8690</v>
      </c>
      <c r="L1215" s="8" t="s">
        <v>9108</v>
      </c>
      <c r="M1215" s="8" t="s">
        <v>8727</v>
      </c>
      <c r="N1215" s="8" t="n">
        <v>12</v>
      </c>
      <c r="O1215" s="8" t="n">
        <v>19</v>
      </c>
      <c r="P1215" s="8" t="s">
        <v>120</v>
      </c>
    </row>
    <row r="1216" customFormat="false" ht="15" hidden="false" customHeight="false" outlineLevel="0" collapsed="false">
      <c r="A1216" s="8" t="s">
        <v>4114</v>
      </c>
      <c r="B1216" s="8" t="s">
        <v>4115</v>
      </c>
      <c r="C1216" s="8" t="s">
        <v>8688</v>
      </c>
      <c r="D1216" s="8" t="s">
        <v>123</v>
      </c>
      <c r="E1216" s="8" t="s">
        <v>51</v>
      </c>
      <c r="F1216" s="8" t="s">
        <v>2027</v>
      </c>
      <c r="G1216" s="8" t="s">
        <v>190</v>
      </c>
      <c r="H1216" s="8" t="s">
        <v>8670</v>
      </c>
      <c r="I1216" s="8" t="s">
        <v>8867</v>
      </c>
      <c r="J1216" s="8" t="s">
        <v>185</v>
      </c>
      <c r="K1216" s="8" t="s">
        <v>8664</v>
      </c>
      <c r="L1216" s="8"/>
      <c r="M1216" s="8"/>
      <c r="N1216" s="8" t="n">
        <v>12</v>
      </c>
      <c r="O1216" s="8" t="n">
        <v>10</v>
      </c>
      <c r="P1216" s="8" t="s">
        <v>120</v>
      </c>
    </row>
    <row r="1217" customFormat="false" ht="15" hidden="false" customHeight="false" outlineLevel="0" collapsed="false">
      <c r="A1217" s="8" t="s">
        <v>9799</v>
      </c>
      <c r="B1217" s="8" t="s">
        <v>9800</v>
      </c>
      <c r="C1217" s="8" t="s">
        <v>8680</v>
      </c>
      <c r="D1217" s="8" t="s">
        <v>123</v>
      </c>
      <c r="E1217" s="8" t="s">
        <v>51</v>
      </c>
      <c r="F1217" s="8" t="s">
        <v>2027</v>
      </c>
      <c r="G1217" s="8" t="s">
        <v>151</v>
      </c>
      <c r="H1217" s="8" t="s">
        <v>8662</v>
      </c>
      <c r="I1217" s="8" t="s">
        <v>9393</v>
      </c>
      <c r="J1217" s="8"/>
      <c r="K1217" s="8" t="s">
        <v>8690</v>
      </c>
      <c r="L1217" s="8" t="s">
        <v>8942</v>
      </c>
      <c r="M1217" s="8" t="s">
        <v>8705</v>
      </c>
      <c r="N1217" s="8" t="n">
        <v>12</v>
      </c>
      <c r="O1217" s="8" t="n">
        <v>29</v>
      </c>
      <c r="P1217" s="8" t="s">
        <v>120</v>
      </c>
    </row>
    <row r="1218" customFormat="false" ht="15" hidden="false" customHeight="false" outlineLevel="0" collapsed="false">
      <c r="A1218" s="8" t="s">
        <v>4443</v>
      </c>
      <c r="B1218" s="8" t="s">
        <v>9801</v>
      </c>
      <c r="C1218" s="8" t="s">
        <v>8669</v>
      </c>
      <c r="D1218" s="8" t="s">
        <v>132</v>
      </c>
      <c r="E1218" s="8" t="s">
        <v>53</v>
      </c>
      <c r="F1218" s="8" t="s">
        <v>55</v>
      </c>
      <c r="G1218" s="8" t="s">
        <v>154</v>
      </c>
      <c r="H1218" s="8" t="s">
        <v>8666</v>
      </c>
      <c r="I1218" s="8" t="s">
        <v>9802</v>
      </c>
      <c r="J1218" s="8"/>
      <c r="K1218" s="8" t="s">
        <v>8690</v>
      </c>
      <c r="L1218" s="8" t="s">
        <v>9714</v>
      </c>
      <c r="M1218" s="8" t="s">
        <v>8692</v>
      </c>
      <c r="N1218" s="8" t="n">
        <v>45</v>
      </c>
      <c r="O1218" s="8" t="n">
        <v>86</v>
      </c>
      <c r="P1218" s="8" t="s">
        <v>120</v>
      </c>
    </row>
    <row r="1219" customFormat="false" ht="15" hidden="false" customHeight="false" outlineLevel="0" collapsed="false">
      <c r="A1219" s="8" t="s">
        <v>3756</v>
      </c>
      <c r="B1219" s="8" t="s">
        <v>3757</v>
      </c>
      <c r="C1219" s="8" t="s">
        <v>8688</v>
      </c>
      <c r="D1219" s="8" t="s">
        <v>123</v>
      </c>
      <c r="E1219" s="8" t="s">
        <v>51</v>
      </c>
      <c r="F1219" s="8" t="s">
        <v>2027</v>
      </c>
      <c r="G1219" s="8" t="s">
        <v>136</v>
      </c>
      <c r="H1219" s="8" t="s">
        <v>8666</v>
      </c>
      <c r="I1219" s="8" t="s">
        <v>8780</v>
      </c>
      <c r="J1219" s="8" t="s">
        <v>129</v>
      </c>
      <c r="K1219" s="8" t="s">
        <v>8664</v>
      </c>
      <c r="L1219" s="8"/>
      <c r="M1219" s="8"/>
      <c r="N1219" s="8" t="n">
        <v>12</v>
      </c>
      <c r="O1219" s="8" t="n">
        <v>16</v>
      </c>
      <c r="P1219" s="8" t="s">
        <v>120</v>
      </c>
    </row>
    <row r="1220" customFormat="false" ht="15" hidden="false" customHeight="false" outlineLevel="0" collapsed="false">
      <c r="A1220" s="8" t="s">
        <v>407</v>
      </c>
      <c r="B1220" s="8" t="s">
        <v>408</v>
      </c>
      <c r="C1220" s="8" t="s">
        <v>8669</v>
      </c>
      <c r="D1220" s="8" t="s">
        <v>132</v>
      </c>
      <c r="E1220" s="8" t="s">
        <v>55</v>
      </c>
      <c r="F1220" s="8" t="s">
        <v>326</v>
      </c>
      <c r="G1220" s="8" t="s">
        <v>166</v>
      </c>
      <c r="H1220" s="8" t="s">
        <v>8670</v>
      </c>
      <c r="I1220" s="8" t="s">
        <v>9322</v>
      </c>
      <c r="J1220" s="8" t="s">
        <v>177</v>
      </c>
      <c r="K1220" s="8" t="s">
        <v>8664</v>
      </c>
      <c r="L1220" s="8"/>
      <c r="M1220" s="8"/>
      <c r="N1220" s="8" t="n">
        <v>25</v>
      </c>
      <c r="O1220" s="8" t="n">
        <v>529</v>
      </c>
      <c r="P1220" s="8" t="s">
        <v>120</v>
      </c>
    </row>
    <row r="1221" customFormat="false" ht="15" hidden="false" customHeight="false" outlineLevel="0" collapsed="false">
      <c r="A1221" s="8" t="s">
        <v>9803</v>
      </c>
      <c r="B1221" s="8" t="s">
        <v>9804</v>
      </c>
      <c r="C1221" s="8" t="s">
        <v>8680</v>
      </c>
      <c r="D1221" s="8" t="s">
        <v>123</v>
      </c>
      <c r="E1221" s="8" t="s">
        <v>51</v>
      </c>
      <c r="F1221" s="8" t="s">
        <v>2027</v>
      </c>
      <c r="G1221" s="8" t="s">
        <v>223</v>
      </c>
      <c r="H1221" s="8" t="s">
        <v>8670</v>
      </c>
      <c r="I1221" s="8" t="s">
        <v>8955</v>
      </c>
      <c r="J1221" s="8"/>
      <c r="K1221" s="8" t="s">
        <v>8690</v>
      </c>
      <c r="L1221" s="8" t="s">
        <v>9805</v>
      </c>
      <c r="M1221" s="8" t="s">
        <v>8696</v>
      </c>
      <c r="N1221" s="8" t="n">
        <v>12</v>
      </c>
      <c r="O1221" s="8" t="n">
        <v>33</v>
      </c>
      <c r="P1221" s="8" t="s">
        <v>120</v>
      </c>
    </row>
    <row r="1222" customFormat="false" ht="15" hidden="false" customHeight="false" outlineLevel="0" collapsed="false">
      <c r="A1222" s="8" t="s">
        <v>2750</v>
      </c>
      <c r="B1222" s="8" t="s">
        <v>2751</v>
      </c>
      <c r="C1222" s="8" t="s">
        <v>8678</v>
      </c>
      <c r="D1222" s="8" t="s">
        <v>123</v>
      </c>
      <c r="E1222" s="8" t="s">
        <v>51</v>
      </c>
      <c r="F1222" s="8" t="s">
        <v>2027</v>
      </c>
      <c r="G1222" s="8" t="s">
        <v>190</v>
      </c>
      <c r="H1222" s="8" t="s">
        <v>8670</v>
      </c>
      <c r="I1222" s="8" t="s">
        <v>8971</v>
      </c>
      <c r="J1222" s="8" t="s">
        <v>125</v>
      </c>
      <c r="K1222" s="8" t="s">
        <v>8664</v>
      </c>
      <c r="L1222" s="8"/>
      <c r="M1222" s="8"/>
      <c r="N1222" s="8" t="n">
        <v>12</v>
      </c>
      <c r="O1222" s="8" t="n">
        <v>34</v>
      </c>
      <c r="P1222" s="8" t="s">
        <v>120</v>
      </c>
    </row>
    <row r="1223" customFormat="false" ht="15" hidden="false" customHeight="false" outlineLevel="0" collapsed="false">
      <c r="A1223" s="8" t="s">
        <v>5942</v>
      </c>
      <c r="B1223" s="8" t="s">
        <v>9806</v>
      </c>
      <c r="C1223" s="8" t="s">
        <v>8665</v>
      </c>
      <c r="D1223" s="8" t="s">
        <v>123</v>
      </c>
      <c r="E1223" s="8" t="s">
        <v>53</v>
      </c>
      <c r="F1223" s="8" t="s">
        <v>326</v>
      </c>
      <c r="G1223" s="8" t="s">
        <v>143</v>
      </c>
      <c r="H1223" s="8" t="s">
        <v>8666</v>
      </c>
      <c r="I1223" s="8" t="s">
        <v>9684</v>
      </c>
      <c r="J1223" s="8"/>
      <c r="K1223" s="8" t="s">
        <v>8690</v>
      </c>
      <c r="L1223" s="8" t="s">
        <v>8851</v>
      </c>
      <c r="M1223" s="8" t="s">
        <v>8692</v>
      </c>
      <c r="N1223" s="8" t="n">
        <v>25</v>
      </c>
      <c r="O1223" s="8" t="n">
        <v>64</v>
      </c>
      <c r="P1223" s="8" t="s">
        <v>120</v>
      </c>
    </row>
    <row r="1224" customFormat="false" ht="15" hidden="false" customHeight="false" outlineLevel="0" collapsed="false">
      <c r="A1224" s="8" t="s">
        <v>2790</v>
      </c>
      <c r="B1224" s="8" t="s">
        <v>2791</v>
      </c>
      <c r="C1224" s="8" t="s">
        <v>8674</v>
      </c>
      <c r="D1224" s="8" t="s">
        <v>123</v>
      </c>
      <c r="E1224" s="8" t="s">
        <v>51</v>
      </c>
      <c r="F1224" s="8" t="s">
        <v>326</v>
      </c>
      <c r="G1224" s="8" t="s">
        <v>166</v>
      </c>
      <c r="H1224" s="8" t="s">
        <v>8666</v>
      </c>
      <c r="I1224" s="8" t="s">
        <v>9807</v>
      </c>
      <c r="J1224" s="8" t="s">
        <v>177</v>
      </c>
      <c r="K1224" s="8" t="s">
        <v>8664</v>
      </c>
      <c r="L1224" s="8"/>
      <c r="M1224" s="8"/>
      <c r="N1224" s="8" t="n">
        <v>25</v>
      </c>
      <c r="O1224" s="8" t="n">
        <v>14</v>
      </c>
      <c r="P1224" s="8" t="s">
        <v>120</v>
      </c>
    </row>
    <row r="1225" customFormat="false" ht="15" hidden="false" customHeight="false" outlineLevel="0" collapsed="false">
      <c r="A1225" s="8" t="s">
        <v>9808</v>
      </c>
      <c r="B1225" s="8" t="s">
        <v>9809</v>
      </c>
      <c r="C1225" s="8" t="s">
        <v>8661</v>
      </c>
      <c r="D1225" s="8" t="s">
        <v>123</v>
      </c>
      <c r="E1225" s="8" t="s">
        <v>55</v>
      </c>
      <c r="F1225" s="8" t="s">
        <v>55</v>
      </c>
      <c r="G1225" s="8" t="s">
        <v>133</v>
      </c>
      <c r="H1225" s="8" t="s">
        <v>8670</v>
      </c>
      <c r="I1225" s="8" t="s">
        <v>8911</v>
      </c>
      <c r="J1225" s="8"/>
      <c r="K1225" s="8" t="s">
        <v>8690</v>
      </c>
      <c r="L1225" s="8" t="s">
        <v>9810</v>
      </c>
      <c r="M1225" s="8" t="s">
        <v>8696</v>
      </c>
      <c r="N1225" s="8" t="n">
        <v>45</v>
      </c>
      <c r="O1225" s="8" t="n">
        <v>385</v>
      </c>
      <c r="P1225" s="8" t="s">
        <v>148</v>
      </c>
    </row>
    <row r="1226" customFormat="false" ht="15" hidden="false" customHeight="false" outlineLevel="0" collapsed="false">
      <c r="A1226" s="8" t="s">
        <v>149</v>
      </c>
      <c r="B1226" s="8" t="s">
        <v>150</v>
      </c>
      <c r="C1226" s="8" t="s">
        <v>8680</v>
      </c>
      <c r="D1226" s="8" t="s">
        <v>123</v>
      </c>
      <c r="E1226" s="8" t="s">
        <v>55</v>
      </c>
      <c r="F1226" s="8" t="s">
        <v>55</v>
      </c>
      <c r="G1226" s="8" t="s">
        <v>151</v>
      </c>
      <c r="H1226" s="8" t="s">
        <v>8670</v>
      </c>
      <c r="I1226" s="8" t="s">
        <v>9811</v>
      </c>
      <c r="J1226" s="8" t="s">
        <v>119</v>
      </c>
      <c r="K1226" s="8" t="s">
        <v>8664</v>
      </c>
      <c r="L1226" s="8"/>
      <c r="M1226" s="8"/>
      <c r="N1226" s="8" t="n">
        <v>45</v>
      </c>
      <c r="O1226" s="8" t="n">
        <v>566</v>
      </c>
      <c r="P1226" s="8" t="s">
        <v>120</v>
      </c>
    </row>
    <row r="1227" customFormat="false" ht="15" hidden="false" customHeight="false" outlineLevel="0" collapsed="false">
      <c r="A1227" s="8" t="s">
        <v>304</v>
      </c>
      <c r="B1227" s="8" t="s">
        <v>305</v>
      </c>
      <c r="C1227" s="8" t="s">
        <v>8680</v>
      </c>
      <c r="D1227" s="8" t="s">
        <v>123</v>
      </c>
      <c r="E1227" s="8" t="s">
        <v>55</v>
      </c>
      <c r="F1227" s="8" t="s">
        <v>55</v>
      </c>
      <c r="G1227" s="8" t="s">
        <v>154</v>
      </c>
      <c r="H1227" s="8" t="s">
        <v>8662</v>
      </c>
      <c r="I1227" s="8" t="s">
        <v>8782</v>
      </c>
      <c r="J1227" s="8" t="s">
        <v>147</v>
      </c>
      <c r="K1227" s="8" t="s">
        <v>8664</v>
      </c>
      <c r="L1227" s="8"/>
      <c r="M1227" s="8"/>
      <c r="N1227" s="8" t="n">
        <v>45</v>
      </c>
      <c r="O1227" s="8" t="n">
        <v>386</v>
      </c>
      <c r="P1227" s="8" t="s">
        <v>120</v>
      </c>
    </row>
    <row r="1228" customFormat="false" ht="15" hidden="false" customHeight="false" outlineLevel="0" collapsed="false">
      <c r="A1228" s="8" t="s">
        <v>3356</v>
      </c>
      <c r="B1228" s="8" t="s">
        <v>3357</v>
      </c>
      <c r="C1228" s="8" t="s">
        <v>8678</v>
      </c>
      <c r="D1228" s="8" t="s">
        <v>123</v>
      </c>
      <c r="E1228" s="8" t="s">
        <v>51</v>
      </c>
      <c r="F1228" s="8" t="s">
        <v>2027</v>
      </c>
      <c r="G1228" s="8" t="s">
        <v>190</v>
      </c>
      <c r="H1228" s="8" t="s">
        <v>8662</v>
      </c>
      <c r="I1228" s="8" t="s">
        <v>9812</v>
      </c>
      <c r="J1228" s="8" t="s">
        <v>177</v>
      </c>
      <c r="K1228" s="8" t="s">
        <v>8664</v>
      </c>
      <c r="L1228" s="8"/>
      <c r="M1228" s="8"/>
      <c r="N1228" s="8" t="n">
        <v>12</v>
      </c>
      <c r="O1228" s="8" t="n">
        <v>24</v>
      </c>
      <c r="P1228" s="8" t="s">
        <v>120</v>
      </c>
    </row>
    <row r="1229" customFormat="false" ht="15" hidden="false" customHeight="false" outlineLevel="0" collapsed="false">
      <c r="A1229" s="8" t="s">
        <v>4178</v>
      </c>
      <c r="B1229" s="8" t="s">
        <v>4179</v>
      </c>
      <c r="C1229" s="8" t="s">
        <v>8680</v>
      </c>
      <c r="D1229" s="8" t="s">
        <v>117</v>
      </c>
      <c r="E1229" s="8" t="s">
        <v>51</v>
      </c>
      <c r="F1229" s="8" t="s">
        <v>2027</v>
      </c>
      <c r="G1229" s="8" t="s">
        <v>154</v>
      </c>
      <c r="H1229" s="8" t="s">
        <v>8662</v>
      </c>
      <c r="I1229" s="8" t="s">
        <v>9813</v>
      </c>
      <c r="J1229" s="8" t="s">
        <v>185</v>
      </c>
      <c r="K1229" s="8" t="s">
        <v>8664</v>
      </c>
      <c r="L1229" s="8"/>
      <c r="M1229" s="8"/>
      <c r="N1229" s="8" t="n">
        <v>12</v>
      </c>
      <c r="O1229" s="8" t="n">
        <v>9</v>
      </c>
      <c r="P1229" s="8" t="s">
        <v>120</v>
      </c>
    </row>
    <row r="1230" customFormat="false" ht="15" hidden="false" customHeight="false" outlineLevel="0" collapsed="false">
      <c r="A1230" s="8" t="s">
        <v>925</v>
      </c>
      <c r="B1230" s="8" t="s">
        <v>926</v>
      </c>
      <c r="C1230" s="8" t="s">
        <v>8700</v>
      </c>
      <c r="D1230" s="8" t="s">
        <v>123</v>
      </c>
      <c r="E1230" s="8" t="s">
        <v>53</v>
      </c>
      <c r="F1230" s="8" t="s">
        <v>326</v>
      </c>
      <c r="G1230" s="8" t="s">
        <v>151</v>
      </c>
      <c r="H1230" s="8" t="s">
        <v>8662</v>
      </c>
      <c r="I1230" s="8" t="s">
        <v>8862</v>
      </c>
      <c r="J1230" s="8" t="s">
        <v>119</v>
      </c>
      <c r="K1230" s="8" t="s">
        <v>8664</v>
      </c>
      <c r="L1230" s="8"/>
      <c r="M1230" s="8"/>
      <c r="N1230" s="8" t="n">
        <v>25</v>
      </c>
      <c r="O1230" s="8" t="n">
        <v>178</v>
      </c>
      <c r="P1230" s="8" t="s">
        <v>120</v>
      </c>
    </row>
    <row r="1231" customFormat="false" ht="15" hidden="false" customHeight="false" outlineLevel="0" collapsed="false">
      <c r="A1231" s="8" t="s">
        <v>3674</v>
      </c>
      <c r="B1231" s="8" t="s">
        <v>3675</v>
      </c>
      <c r="C1231" s="8" t="s">
        <v>8700</v>
      </c>
      <c r="D1231" s="8" t="s">
        <v>123</v>
      </c>
      <c r="E1231" s="8" t="s">
        <v>51</v>
      </c>
      <c r="F1231" s="8" t="s">
        <v>2027</v>
      </c>
      <c r="G1231" s="8" t="s">
        <v>223</v>
      </c>
      <c r="H1231" s="8" t="s">
        <v>8670</v>
      </c>
      <c r="I1231" s="8" t="s">
        <v>8667</v>
      </c>
      <c r="J1231" s="8" t="s">
        <v>204</v>
      </c>
      <c r="K1231" s="8" t="s">
        <v>8664</v>
      </c>
      <c r="L1231" s="8"/>
      <c r="M1231" s="8"/>
      <c r="N1231" s="8" t="n">
        <v>12</v>
      </c>
      <c r="O1231" s="8" t="n">
        <v>18</v>
      </c>
      <c r="P1231" s="8" t="s">
        <v>120</v>
      </c>
    </row>
    <row r="1232" customFormat="false" ht="15" hidden="false" customHeight="false" outlineLevel="0" collapsed="false">
      <c r="A1232" s="8" t="s">
        <v>3358</v>
      </c>
      <c r="B1232" s="8" t="s">
        <v>3359</v>
      </c>
      <c r="C1232" s="8" t="s">
        <v>8680</v>
      </c>
      <c r="D1232" s="8" t="s">
        <v>132</v>
      </c>
      <c r="E1232" s="8" t="s">
        <v>51</v>
      </c>
      <c r="F1232" s="8" t="s">
        <v>2027</v>
      </c>
      <c r="G1232" s="8" t="s">
        <v>166</v>
      </c>
      <c r="H1232" s="8" t="s">
        <v>8666</v>
      </c>
      <c r="I1232" s="8" t="s">
        <v>9814</v>
      </c>
      <c r="J1232" s="8" t="s">
        <v>140</v>
      </c>
      <c r="K1232" s="8" t="s">
        <v>8664</v>
      </c>
      <c r="L1232" s="8"/>
      <c r="M1232" s="8"/>
      <c r="N1232" s="8" t="n">
        <v>12</v>
      </c>
      <c r="O1232" s="8" t="n">
        <v>19</v>
      </c>
      <c r="P1232" s="8" t="s">
        <v>120</v>
      </c>
    </row>
    <row r="1233" customFormat="false" ht="15" hidden="false" customHeight="false" outlineLevel="0" collapsed="false">
      <c r="A1233" s="8" t="s">
        <v>3502</v>
      </c>
      <c r="B1233" s="8" t="s">
        <v>3503</v>
      </c>
      <c r="C1233" s="8" t="s">
        <v>8669</v>
      </c>
      <c r="D1233" s="8" t="s">
        <v>117</v>
      </c>
      <c r="E1233" s="8" t="s">
        <v>51</v>
      </c>
      <c r="F1233" s="8" t="s">
        <v>2027</v>
      </c>
      <c r="G1233" s="8" t="s">
        <v>118</v>
      </c>
      <c r="H1233" s="8" t="s">
        <v>8666</v>
      </c>
      <c r="I1233" s="8" t="s">
        <v>8907</v>
      </c>
      <c r="J1233" s="8" t="s">
        <v>140</v>
      </c>
      <c r="K1233" s="8" t="s">
        <v>8664</v>
      </c>
      <c r="L1233" s="8"/>
      <c r="M1233" s="8"/>
      <c r="N1233" s="8" t="n">
        <v>12</v>
      </c>
      <c r="O1233" s="8" t="n">
        <v>16</v>
      </c>
      <c r="P1233" s="8" t="s">
        <v>120</v>
      </c>
    </row>
    <row r="1234" customFormat="false" ht="15" hidden="false" customHeight="false" outlineLevel="0" collapsed="false">
      <c r="A1234" s="8" t="s">
        <v>1069</v>
      </c>
      <c r="B1234" s="8" t="s">
        <v>1070</v>
      </c>
      <c r="C1234" s="8" t="s">
        <v>8678</v>
      </c>
      <c r="D1234" s="8" t="s">
        <v>123</v>
      </c>
      <c r="E1234" s="8" t="s">
        <v>53</v>
      </c>
      <c r="F1234" s="8" t="s">
        <v>55</v>
      </c>
      <c r="G1234" s="8" t="s">
        <v>118</v>
      </c>
      <c r="H1234" s="8" t="s">
        <v>8662</v>
      </c>
      <c r="I1234" s="8" t="s">
        <v>9815</v>
      </c>
      <c r="J1234" s="8" t="s">
        <v>119</v>
      </c>
      <c r="K1234" s="8" t="s">
        <v>8664</v>
      </c>
      <c r="L1234" s="8"/>
      <c r="M1234" s="8"/>
      <c r="N1234" s="8" t="n">
        <v>45</v>
      </c>
      <c r="O1234" s="8" t="n">
        <v>85</v>
      </c>
      <c r="P1234" s="8" t="s">
        <v>148</v>
      </c>
    </row>
    <row r="1235" customFormat="false" ht="15" hidden="false" customHeight="false" outlineLevel="0" collapsed="false">
      <c r="A1235" s="8" t="s">
        <v>6363</v>
      </c>
      <c r="B1235" s="8" t="s">
        <v>9816</v>
      </c>
      <c r="C1235" s="8" t="s">
        <v>8688</v>
      </c>
      <c r="D1235" s="8" t="s">
        <v>123</v>
      </c>
      <c r="E1235" s="8" t="s">
        <v>53</v>
      </c>
      <c r="F1235" s="8" t="s">
        <v>326</v>
      </c>
      <c r="G1235" s="8" t="s">
        <v>143</v>
      </c>
      <c r="H1235" s="8" t="s">
        <v>8666</v>
      </c>
      <c r="I1235" s="8" t="s">
        <v>9158</v>
      </c>
      <c r="J1235" s="8"/>
      <c r="K1235" s="8" t="s">
        <v>8690</v>
      </c>
      <c r="L1235" s="8" t="s">
        <v>8722</v>
      </c>
      <c r="M1235" s="8" t="s">
        <v>8696</v>
      </c>
      <c r="N1235" s="8" t="n">
        <v>25</v>
      </c>
      <c r="O1235" s="8" t="n">
        <v>66</v>
      </c>
      <c r="P1235" s="8" t="s">
        <v>148</v>
      </c>
    </row>
    <row r="1236" customFormat="false" ht="15" hidden="false" customHeight="false" outlineLevel="0" collapsed="false">
      <c r="A1236" s="8" t="s">
        <v>1003</v>
      </c>
      <c r="B1236" s="8" t="s">
        <v>1004</v>
      </c>
      <c r="C1236" s="8" t="s">
        <v>8674</v>
      </c>
      <c r="D1236" s="8" t="s">
        <v>123</v>
      </c>
      <c r="E1236" s="8" t="s">
        <v>53</v>
      </c>
      <c r="F1236" s="8" t="s">
        <v>326</v>
      </c>
      <c r="G1236" s="8" t="s">
        <v>151</v>
      </c>
      <c r="H1236" s="8" t="s">
        <v>8662</v>
      </c>
      <c r="I1236" s="8" t="s">
        <v>9661</v>
      </c>
      <c r="J1236" s="8" t="s">
        <v>147</v>
      </c>
      <c r="K1236" s="8" t="s">
        <v>8664</v>
      </c>
      <c r="L1236" s="8"/>
      <c r="M1236" s="8"/>
      <c r="N1236" s="8" t="n">
        <v>25</v>
      </c>
      <c r="O1236" s="8" t="n">
        <v>165</v>
      </c>
      <c r="P1236" s="8" t="s">
        <v>120</v>
      </c>
    </row>
    <row r="1237" customFormat="false" ht="15" hidden="false" customHeight="false" outlineLevel="0" collapsed="false">
      <c r="A1237" s="8" t="s">
        <v>1365</v>
      </c>
      <c r="B1237" s="8" t="s">
        <v>1366</v>
      </c>
      <c r="C1237" s="8" t="s">
        <v>8688</v>
      </c>
      <c r="D1237" s="8" t="s">
        <v>117</v>
      </c>
      <c r="E1237" s="8" t="s">
        <v>53</v>
      </c>
      <c r="F1237" s="8" t="s">
        <v>326</v>
      </c>
      <c r="G1237" s="8" t="s">
        <v>133</v>
      </c>
      <c r="H1237" s="8" t="s">
        <v>8666</v>
      </c>
      <c r="I1237" s="8" t="s">
        <v>9120</v>
      </c>
      <c r="J1237" s="8" t="s">
        <v>185</v>
      </c>
      <c r="K1237" s="8" t="s">
        <v>8664</v>
      </c>
      <c r="L1237" s="8"/>
      <c r="M1237" s="8"/>
      <c r="N1237" s="8" t="n">
        <v>25</v>
      </c>
      <c r="O1237" s="8" t="n">
        <v>113</v>
      </c>
      <c r="P1237" s="8" t="s">
        <v>120</v>
      </c>
    </row>
    <row r="1238" customFormat="false" ht="15" hidden="false" customHeight="false" outlineLevel="0" collapsed="false">
      <c r="A1238" s="8" t="s">
        <v>1045</v>
      </c>
      <c r="B1238" s="8" t="s">
        <v>1046</v>
      </c>
      <c r="C1238" s="8" t="s">
        <v>8680</v>
      </c>
      <c r="D1238" s="8" t="s">
        <v>123</v>
      </c>
      <c r="E1238" s="8" t="s">
        <v>53</v>
      </c>
      <c r="F1238" s="8" t="s">
        <v>326</v>
      </c>
      <c r="G1238" s="8" t="s">
        <v>151</v>
      </c>
      <c r="H1238" s="8" t="s">
        <v>8662</v>
      </c>
      <c r="I1238" s="8" t="s">
        <v>9817</v>
      </c>
      <c r="J1238" s="8" t="s">
        <v>144</v>
      </c>
      <c r="K1238" s="8" t="s">
        <v>8664</v>
      </c>
      <c r="L1238" s="8"/>
      <c r="M1238" s="8"/>
      <c r="N1238" s="8" t="n">
        <v>25</v>
      </c>
      <c r="O1238" s="8" t="n">
        <v>158</v>
      </c>
      <c r="P1238" s="8" t="s">
        <v>120</v>
      </c>
    </row>
    <row r="1239" customFormat="false" ht="15" hidden="false" customHeight="false" outlineLevel="0" collapsed="false">
      <c r="A1239" s="8" t="s">
        <v>1195</v>
      </c>
      <c r="B1239" s="8" t="s">
        <v>1196</v>
      </c>
      <c r="C1239" s="8" t="s">
        <v>8665</v>
      </c>
      <c r="D1239" s="8" t="s">
        <v>128</v>
      </c>
      <c r="E1239" s="8" t="s">
        <v>53</v>
      </c>
      <c r="F1239" s="8" t="s">
        <v>326</v>
      </c>
      <c r="G1239" s="8" t="s">
        <v>124</v>
      </c>
      <c r="H1239" s="8" t="s">
        <v>8666</v>
      </c>
      <c r="I1239" s="8" t="s">
        <v>9032</v>
      </c>
      <c r="J1239" s="8" t="s">
        <v>125</v>
      </c>
      <c r="K1239" s="8" t="s">
        <v>8664</v>
      </c>
      <c r="L1239" s="8"/>
      <c r="M1239" s="8"/>
      <c r="N1239" s="8" t="n">
        <v>25</v>
      </c>
      <c r="O1239" s="8" t="n">
        <v>177</v>
      </c>
      <c r="P1239" s="8" t="s">
        <v>120</v>
      </c>
    </row>
    <row r="1240" customFormat="false" ht="15" hidden="false" customHeight="false" outlineLevel="0" collapsed="false">
      <c r="A1240" s="8" t="s">
        <v>9818</v>
      </c>
      <c r="B1240" s="8" t="s">
        <v>9819</v>
      </c>
      <c r="C1240" s="8" t="s">
        <v>8678</v>
      </c>
      <c r="D1240" s="8" t="s">
        <v>132</v>
      </c>
      <c r="E1240" s="8" t="s">
        <v>53</v>
      </c>
      <c r="F1240" s="8" t="s">
        <v>55</v>
      </c>
      <c r="G1240" s="8" t="s">
        <v>154</v>
      </c>
      <c r="H1240" s="8" t="s">
        <v>8666</v>
      </c>
      <c r="I1240" s="8" t="s">
        <v>9409</v>
      </c>
      <c r="J1240" s="8"/>
      <c r="K1240" s="8" t="s">
        <v>8690</v>
      </c>
      <c r="L1240" s="8" t="s">
        <v>9237</v>
      </c>
      <c r="M1240" s="8" t="s">
        <v>8727</v>
      </c>
      <c r="N1240" s="8" t="n">
        <v>45</v>
      </c>
      <c r="O1240" s="8" t="n">
        <v>153</v>
      </c>
      <c r="P1240" s="8" t="s">
        <v>120</v>
      </c>
    </row>
    <row r="1241" customFormat="false" ht="15" hidden="false" customHeight="false" outlineLevel="0" collapsed="false">
      <c r="A1241" s="8" t="s">
        <v>2380</v>
      </c>
      <c r="B1241" s="8" t="s">
        <v>2381</v>
      </c>
      <c r="C1241" s="8" t="s">
        <v>8661</v>
      </c>
      <c r="D1241" s="8" t="s">
        <v>123</v>
      </c>
      <c r="E1241" s="8" t="s">
        <v>51</v>
      </c>
      <c r="F1241" s="8" t="s">
        <v>326</v>
      </c>
      <c r="G1241" s="8" t="s">
        <v>223</v>
      </c>
      <c r="H1241" s="8" t="s">
        <v>8666</v>
      </c>
      <c r="I1241" s="8" t="s">
        <v>9705</v>
      </c>
      <c r="J1241" s="8" t="s">
        <v>129</v>
      </c>
      <c r="K1241" s="8" t="s">
        <v>8664</v>
      </c>
      <c r="L1241" s="8"/>
      <c r="M1241" s="8"/>
      <c r="N1241" s="8" t="n">
        <v>25</v>
      </c>
      <c r="O1241" s="8" t="n">
        <v>20</v>
      </c>
      <c r="P1241" s="8" t="s">
        <v>120</v>
      </c>
    </row>
    <row r="1242" customFormat="false" ht="15" hidden="false" customHeight="false" outlineLevel="0" collapsed="false">
      <c r="A1242" s="8" t="s">
        <v>2430</v>
      </c>
      <c r="B1242" s="8" t="s">
        <v>2431</v>
      </c>
      <c r="C1242" s="8" t="s">
        <v>8674</v>
      </c>
      <c r="D1242" s="8" t="s">
        <v>123</v>
      </c>
      <c r="E1242" s="8" t="s">
        <v>51</v>
      </c>
      <c r="F1242" s="8" t="s">
        <v>326</v>
      </c>
      <c r="G1242" s="8" t="s">
        <v>136</v>
      </c>
      <c r="H1242" s="8" t="s">
        <v>8675</v>
      </c>
      <c r="I1242" s="8" t="s">
        <v>8857</v>
      </c>
      <c r="J1242" s="8" t="s">
        <v>177</v>
      </c>
      <c r="K1242" s="8" t="s">
        <v>8664</v>
      </c>
      <c r="L1242" s="8"/>
      <c r="M1242" s="8"/>
      <c r="N1242" s="8" t="n">
        <v>25</v>
      </c>
      <c r="O1242" s="8" t="n">
        <v>19</v>
      </c>
      <c r="P1242" s="8" t="s">
        <v>120</v>
      </c>
    </row>
    <row r="1243" customFormat="false" ht="15" hidden="false" customHeight="false" outlineLevel="0" collapsed="false">
      <c r="A1243" s="8" t="s">
        <v>9820</v>
      </c>
      <c r="B1243" s="8" t="s">
        <v>9821</v>
      </c>
      <c r="C1243" s="8" t="s">
        <v>8665</v>
      </c>
      <c r="D1243" s="8" t="s">
        <v>123</v>
      </c>
      <c r="E1243" s="8" t="s">
        <v>53</v>
      </c>
      <c r="F1243" s="8" t="s">
        <v>326</v>
      </c>
      <c r="G1243" s="8" t="s">
        <v>118</v>
      </c>
      <c r="H1243" s="8" t="s">
        <v>8666</v>
      </c>
      <c r="I1243" s="8" t="s">
        <v>9414</v>
      </c>
      <c r="J1243" s="8"/>
      <c r="K1243" s="8" t="s">
        <v>8690</v>
      </c>
      <c r="L1243" s="8" t="s">
        <v>9453</v>
      </c>
      <c r="M1243" s="8" t="s">
        <v>8692</v>
      </c>
      <c r="N1243" s="8" t="n">
        <v>25</v>
      </c>
      <c r="O1243" s="8" t="n">
        <v>150</v>
      </c>
      <c r="P1243" s="8" t="s">
        <v>120</v>
      </c>
    </row>
    <row r="1244" customFormat="false" ht="15" hidden="false" customHeight="false" outlineLevel="0" collapsed="false">
      <c r="A1244" s="8" t="s">
        <v>2126</v>
      </c>
      <c r="B1244" s="8" t="s">
        <v>2127</v>
      </c>
      <c r="C1244" s="8" t="s">
        <v>8678</v>
      </c>
      <c r="D1244" s="8" t="s">
        <v>123</v>
      </c>
      <c r="E1244" s="8" t="s">
        <v>51</v>
      </c>
      <c r="F1244" s="8" t="s">
        <v>326</v>
      </c>
      <c r="G1244" s="8" t="s">
        <v>124</v>
      </c>
      <c r="H1244" s="8" t="s">
        <v>8675</v>
      </c>
      <c r="I1244" s="8" t="s">
        <v>8847</v>
      </c>
      <c r="J1244" s="8" t="s">
        <v>177</v>
      </c>
      <c r="K1244" s="8" t="s">
        <v>8664</v>
      </c>
      <c r="L1244" s="8"/>
      <c r="M1244" s="8"/>
      <c r="N1244" s="8" t="n">
        <v>25</v>
      </c>
      <c r="O1244" s="8" t="n">
        <v>24</v>
      </c>
      <c r="P1244" s="8" t="s">
        <v>120</v>
      </c>
    </row>
    <row r="1245" customFormat="false" ht="15" hidden="false" customHeight="false" outlineLevel="0" collapsed="false">
      <c r="A1245" s="8" t="s">
        <v>4180</v>
      </c>
      <c r="B1245" s="8" t="s">
        <v>4181</v>
      </c>
      <c r="C1245" s="8" t="s">
        <v>8665</v>
      </c>
      <c r="D1245" s="8" t="s">
        <v>128</v>
      </c>
      <c r="E1245" s="8" t="s">
        <v>51</v>
      </c>
      <c r="F1245" s="8" t="s">
        <v>2027</v>
      </c>
      <c r="G1245" s="8" t="s">
        <v>151</v>
      </c>
      <c r="H1245" s="8" t="s">
        <v>8670</v>
      </c>
      <c r="I1245" s="8" t="s">
        <v>9261</v>
      </c>
      <c r="J1245" s="8" t="s">
        <v>119</v>
      </c>
      <c r="K1245" s="8" t="s">
        <v>8664</v>
      </c>
      <c r="L1245" s="8"/>
      <c r="M1245" s="8"/>
      <c r="N1245" s="8" t="n">
        <v>12</v>
      </c>
      <c r="O1245" s="8" t="n">
        <v>9</v>
      </c>
      <c r="P1245" s="8" t="s">
        <v>120</v>
      </c>
    </row>
    <row r="1246" customFormat="false" ht="15" hidden="false" customHeight="false" outlineLevel="0" collapsed="false">
      <c r="A1246" s="8" t="s">
        <v>1239</v>
      </c>
      <c r="B1246" s="8" t="s">
        <v>1240</v>
      </c>
      <c r="C1246" s="8" t="s">
        <v>8680</v>
      </c>
      <c r="D1246" s="8" t="s">
        <v>117</v>
      </c>
      <c r="E1246" s="8" t="s">
        <v>53</v>
      </c>
      <c r="F1246" s="8" t="s">
        <v>326</v>
      </c>
      <c r="G1246" s="8" t="s">
        <v>143</v>
      </c>
      <c r="H1246" s="8" t="s">
        <v>8670</v>
      </c>
      <c r="I1246" s="8" t="s">
        <v>8758</v>
      </c>
      <c r="J1246" s="8" t="s">
        <v>144</v>
      </c>
      <c r="K1246" s="8" t="s">
        <v>8664</v>
      </c>
      <c r="L1246" s="8"/>
      <c r="M1246" s="8"/>
      <c r="N1246" s="8" t="n">
        <v>25</v>
      </c>
      <c r="O1246" s="8" t="n">
        <v>130</v>
      </c>
      <c r="P1246" s="8" t="s">
        <v>120</v>
      </c>
    </row>
    <row r="1247" customFormat="false" ht="15" hidden="false" customHeight="false" outlineLevel="0" collapsed="false">
      <c r="A1247" s="8" t="s">
        <v>4036</v>
      </c>
      <c r="B1247" s="8" t="s">
        <v>4037</v>
      </c>
      <c r="C1247" s="8" t="s">
        <v>8700</v>
      </c>
      <c r="D1247" s="8" t="s">
        <v>123</v>
      </c>
      <c r="E1247" s="8" t="s">
        <v>51</v>
      </c>
      <c r="F1247" s="8" t="s">
        <v>2027</v>
      </c>
      <c r="G1247" s="8" t="s">
        <v>133</v>
      </c>
      <c r="H1247" s="8" t="s">
        <v>8670</v>
      </c>
      <c r="I1247" s="8" t="s">
        <v>8788</v>
      </c>
      <c r="J1247" s="8" t="s">
        <v>159</v>
      </c>
      <c r="K1247" s="8" t="s">
        <v>8664</v>
      </c>
      <c r="L1247" s="8"/>
      <c r="M1247" s="8"/>
      <c r="N1247" s="8" t="n">
        <v>12</v>
      </c>
      <c r="O1247" s="8" t="n">
        <v>11</v>
      </c>
      <c r="P1247" s="8" t="s">
        <v>120</v>
      </c>
    </row>
    <row r="1248" customFormat="false" ht="15" hidden="false" customHeight="false" outlineLevel="0" collapsed="false">
      <c r="A1248" s="8" t="s">
        <v>1985</v>
      </c>
      <c r="B1248" s="8" t="s">
        <v>1986</v>
      </c>
      <c r="C1248" s="8" t="s">
        <v>8674</v>
      </c>
      <c r="D1248" s="8" t="s">
        <v>117</v>
      </c>
      <c r="E1248" s="8" t="s">
        <v>51</v>
      </c>
      <c r="F1248" s="8" t="s">
        <v>326</v>
      </c>
      <c r="G1248" s="8" t="s">
        <v>154</v>
      </c>
      <c r="H1248" s="8" t="s">
        <v>8666</v>
      </c>
      <c r="I1248" s="8" t="s">
        <v>9646</v>
      </c>
      <c r="J1248" s="8" t="s">
        <v>147</v>
      </c>
      <c r="K1248" s="8" t="s">
        <v>8664</v>
      </c>
      <c r="L1248" s="8"/>
      <c r="M1248" s="8"/>
      <c r="N1248" s="8" t="n">
        <v>25</v>
      </c>
      <c r="O1248" s="8" t="n">
        <v>32</v>
      </c>
      <c r="P1248" s="8" t="s">
        <v>120</v>
      </c>
    </row>
    <row r="1249" customFormat="false" ht="15" hidden="false" customHeight="false" outlineLevel="0" collapsed="false">
      <c r="A1249" s="8" t="s">
        <v>178</v>
      </c>
      <c r="B1249" s="8" t="s">
        <v>179</v>
      </c>
      <c r="C1249" s="8" t="s">
        <v>8700</v>
      </c>
      <c r="D1249" s="8" t="s">
        <v>117</v>
      </c>
      <c r="E1249" s="8" t="s">
        <v>55</v>
      </c>
      <c r="F1249" s="8" t="s">
        <v>55</v>
      </c>
      <c r="G1249" s="8" t="s">
        <v>166</v>
      </c>
      <c r="H1249" s="8" t="s">
        <v>8666</v>
      </c>
      <c r="I1249" s="8" t="s">
        <v>9822</v>
      </c>
      <c r="J1249" s="8" t="s">
        <v>180</v>
      </c>
      <c r="K1249" s="8" t="s">
        <v>8664</v>
      </c>
      <c r="L1249" s="8"/>
      <c r="M1249" s="8"/>
      <c r="N1249" s="8" t="n">
        <v>45</v>
      </c>
      <c r="O1249" s="8" t="n">
        <v>579</v>
      </c>
      <c r="P1249" s="8" t="s">
        <v>120</v>
      </c>
    </row>
    <row r="1250" customFormat="false" ht="15" hidden="false" customHeight="false" outlineLevel="0" collapsed="false">
      <c r="A1250" s="8" t="s">
        <v>1437</v>
      </c>
      <c r="B1250" s="8" t="s">
        <v>1438</v>
      </c>
      <c r="C1250" s="8" t="s">
        <v>8688</v>
      </c>
      <c r="D1250" s="8" t="s">
        <v>132</v>
      </c>
      <c r="E1250" s="8" t="s">
        <v>53</v>
      </c>
      <c r="F1250" s="8" t="s">
        <v>326</v>
      </c>
      <c r="G1250" s="8" t="s">
        <v>143</v>
      </c>
      <c r="H1250" s="8" t="s">
        <v>8662</v>
      </c>
      <c r="I1250" s="8" t="s">
        <v>9823</v>
      </c>
      <c r="J1250" s="8" t="s">
        <v>125</v>
      </c>
      <c r="K1250" s="8" t="s">
        <v>8664</v>
      </c>
      <c r="L1250" s="8"/>
      <c r="M1250" s="8"/>
      <c r="N1250" s="8" t="n">
        <v>25</v>
      </c>
      <c r="O1250" s="8" t="n">
        <v>98</v>
      </c>
      <c r="P1250" s="8" t="s">
        <v>120</v>
      </c>
    </row>
    <row r="1251" customFormat="false" ht="15" hidden="false" customHeight="false" outlineLevel="0" collapsed="false">
      <c r="A1251" s="8" t="s">
        <v>9824</v>
      </c>
      <c r="B1251" s="8" t="s">
        <v>9825</v>
      </c>
      <c r="C1251" s="8" t="s">
        <v>8661</v>
      </c>
      <c r="D1251" s="8" t="s">
        <v>123</v>
      </c>
      <c r="E1251" s="8" t="s">
        <v>53</v>
      </c>
      <c r="F1251" s="8" t="s">
        <v>326</v>
      </c>
      <c r="G1251" s="8" t="s">
        <v>136</v>
      </c>
      <c r="H1251" s="8" t="s">
        <v>8675</v>
      </c>
      <c r="I1251" s="8" t="s">
        <v>8959</v>
      </c>
      <c r="J1251" s="8"/>
      <c r="K1251" s="8" t="s">
        <v>8690</v>
      </c>
      <c r="L1251" s="8" t="s">
        <v>8906</v>
      </c>
      <c r="M1251" s="8" t="s">
        <v>8696</v>
      </c>
      <c r="N1251" s="8" t="n">
        <v>25</v>
      </c>
      <c r="O1251" s="8" t="n">
        <v>104</v>
      </c>
      <c r="P1251" s="8" t="s">
        <v>120</v>
      </c>
    </row>
    <row r="1252" customFormat="false" ht="15" hidden="false" customHeight="false" outlineLevel="0" collapsed="false">
      <c r="A1252" s="8" t="s">
        <v>1097</v>
      </c>
      <c r="B1252" s="8" t="s">
        <v>1098</v>
      </c>
      <c r="C1252" s="8" t="s">
        <v>8680</v>
      </c>
      <c r="D1252" s="8" t="s">
        <v>123</v>
      </c>
      <c r="E1252" s="8" t="s">
        <v>53</v>
      </c>
      <c r="F1252" s="8" t="s">
        <v>55</v>
      </c>
      <c r="G1252" s="8" t="s">
        <v>190</v>
      </c>
      <c r="H1252" s="8" t="s">
        <v>8675</v>
      </c>
      <c r="I1252" s="8" t="s">
        <v>9826</v>
      </c>
      <c r="J1252" s="8" t="s">
        <v>177</v>
      </c>
      <c r="K1252" s="8" t="s">
        <v>8664</v>
      </c>
      <c r="L1252" s="8"/>
      <c r="M1252" s="8"/>
      <c r="N1252" s="8" t="n">
        <v>45</v>
      </c>
      <c r="O1252" s="8" t="n">
        <v>83</v>
      </c>
      <c r="P1252" s="8" t="s">
        <v>199</v>
      </c>
    </row>
    <row r="1253" customFormat="false" ht="15" hidden="false" customHeight="false" outlineLevel="0" collapsed="false">
      <c r="A1253" s="8" t="s">
        <v>3218</v>
      </c>
      <c r="B1253" s="8" t="s">
        <v>3219</v>
      </c>
      <c r="C1253" s="8" t="s">
        <v>8665</v>
      </c>
      <c r="D1253" s="8" t="s">
        <v>123</v>
      </c>
      <c r="E1253" s="8" t="s">
        <v>51</v>
      </c>
      <c r="F1253" s="8" t="s">
        <v>2027</v>
      </c>
      <c r="G1253" s="8" t="s">
        <v>190</v>
      </c>
      <c r="H1253" s="8" t="s">
        <v>8662</v>
      </c>
      <c r="I1253" s="8" t="s">
        <v>9359</v>
      </c>
      <c r="J1253" s="8" t="s">
        <v>129</v>
      </c>
      <c r="K1253" s="8" t="s">
        <v>8664</v>
      </c>
      <c r="L1253" s="8"/>
      <c r="M1253" s="8"/>
      <c r="N1253" s="8" t="n">
        <v>12</v>
      </c>
      <c r="O1253" s="8" t="n">
        <v>26</v>
      </c>
      <c r="P1253" s="8" t="s">
        <v>120</v>
      </c>
    </row>
    <row r="1254" customFormat="false" ht="15" hidden="false" customHeight="false" outlineLevel="0" collapsed="false">
      <c r="A1254" s="8" t="s">
        <v>825</v>
      </c>
      <c r="B1254" s="8" t="s">
        <v>826</v>
      </c>
      <c r="C1254" s="8" t="s">
        <v>8680</v>
      </c>
      <c r="D1254" s="8" t="s">
        <v>132</v>
      </c>
      <c r="E1254" s="8" t="s">
        <v>53</v>
      </c>
      <c r="F1254" s="8" t="s">
        <v>326</v>
      </c>
      <c r="G1254" s="8" t="s">
        <v>118</v>
      </c>
      <c r="H1254" s="8" t="s">
        <v>8670</v>
      </c>
      <c r="I1254" s="8" t="s">
        <v>9179</v>
      </c>
      <c r="J1254" s="8" t="s">
        <v>180</v>
      </c>
      <c r="K1254" s="8" t="s">
        <v>8664</v>
      </c>
      <c r="L1254" s="8"/>
      <c r="M1254" s="8"/>
      <c r="N1254" s="8" t="n">
        <v>25</v>
      </c>
      <c r="O1254" s="8" t="n">
        <v>192</v>
      </c>
      <c r="P1254" s="8" t="s">
        <v>120</v>
      </c>
    </row>
    <row r="1255" customFormat="false" ht="15" hidden="false" customHeight="false" outlineLevel="0" collapsed="false">
      <c r="A1255" s="8" t="s">
        <v>9827</v>
      </c>
      <c r="B1255" s="8" t="s">
        <v>9828</v>
      </c>
      <c r="C1255" s="8" t="s">
        <v>8665</v>
      </c>
      <c r="D1255" s="8" t="s">
        <v>123</v>
      </c>
      <c r="E1255" s="8" t="s">
        <v>53</v>
      </c>
      <c r="F1255" s="8" t="s">
        <v>326</v>
      </c>
      <c r="G1255" s="8" t="s">
        <v>143</v>
      </c>
      <c r="H1255" s="8" t="s">
        <v>8675</v>
      </c>
      <c r="I1255" s="8" t="s">
        <v>9342</v>
      </c>
      <c r="J1255" s="8"/>
      <c r="K1255" s="8" t="s">
        <v>8690</v>
      </c>
      <c r="L1255" s="8" t="s">
        <v>8959</v>
      </c>
      <c r="M1255" s="8" t="s">
        <v>8705</v>
      </c>
      <c r="N1255" s="8" t="n">
        <v>25</v>
      </c>
      <c r="O1255" s="8" t="n">
        <v>130</v>
      </c>
      <c r="P1255" s="8" t="s">
        <v>148</v>
      </c>
    </row>
    <row r="1256" customFormat="false" ht="15" hidden="false" customHeight="false" outlineLevel="0" collapsed="false">
      <c r="A1256" s="8" t="s">
        <v>9829</v>
      </c>
      <c r="B1256" s="8" t="s">
        <v>9830</v>
      </c>
      <c r="C1256" s="8" t="s">
        <v>8669</v>
      </c>
      <c r="D1256" s="8" t="s">
        <v>123</v>
      </c>
      <c r="E1256" s="8" t="s">
        <v>51</v>
      </c>
      <c r="F1256" s="8" t="s">
        <v>2027</v>
      </c>
      <c r="G1256" s="8" t="s">
        <v>223</v>
      </c>
      <c r="H1256" s="8" t="s">
        <v>8670</v>
      </c>
      <c r="I1256" s="8" t="s">
        <v>9250</v>
      </c>
      <c r="J1256" s="8"/>
      <c r="K1256" s="8" t="s">
        <v>8690</v>
      </c>
      <c r="L1256" s="8" t="s">
        <v>9831</v>
      </c>
      <c r="M1256" s="8" t="s">
        <v>8795</v>
      </c>
      <c r="N1256" s="8" t="n">
        <v>12</v>
      </c>
      <c r="O1256" s="8" t="n">
        <v>32</v>
      </c>
      <c r="P1256" s="8" t="s">
        <v>120</v>
      </c>
    </row>
    <row r="1257" customFormat="false" ht="15" hidden="false" customHeight="false" outlineLevel="0" collapsed="false">
      <c r="A1257" s="8" t="s">
        <v>905</v>
      </c>
      <c r="B1257" s="8" t="s">
        <v>906</v>
      </c>
      <c r="C1257" s="8" t="s">
        <v>8680</v>
      </c>
      <c r="D1257" s="8" t="s">
        <v>123</v>
      </c>
      <c r="E1257" s="8" t="s">
        <v>53</v>
      </c>
      <c r="F1257" s="8" t="s">
        <v>326</v>
      </c>
      <c r="G1257" s="8" t="s">
        <v>151</v>
      </c>
      <c r="H1257" s="8" t="s">
        <v>8675</v>
      </c>
      <c r="I1257" s="8" t="s">
        <v>8789</v>
      </c>
      <c r="J1257" s="8" t="s">
        <v>144</v>
      </c>
      <c r="K1257" s="8" t="s">
        <v>8664</v>
      </c>
      <c r="L1257" s="8"/>
      <c r="M1257" s="8"/>
      <c r="N1257" s="8" t="n">
        <v>25</v>
      </c>
      <c r="O1257" s="8" t="n">
        <v>179</v>
      </c>
      <c r="P1257" s="8" t="s">
        <v>120</v>
      </c>
    </row>
    <row r="1258" customFormat="false" ht="15" hidden="false" customHeight="false" outlineLevel="0" collapsed="false">
      <c r="A1258" s="8" t="s">
        <v>1223</v>
      </c>
      <c r="B1258" s="8" t="s">
        <v>1224</v>
      </c>
      <c r="C1258" s="8" t="s">
        <v>8665</v>
      </c>
      <c r="D1258" s="8" t="s">
        <v>132</v>
      </c>
      <c r="E1258" s="8" t="s">
        <v>53</v>
      </c>
      <c r="F1258" s="8" t="s">
        <v>326</v>
      </c>
      <c r="G1258" s="8" t="s">
        <v>143</v>
      </c>
      <c r="H1258" s="8" t="s">
        <v>8675</v>
      </c>
      <c r="I1258" s="8" t="s">
        <v>9481</v>
      </c>
      <c r="J1258" s="8" t="s">
        <v>204</v>
      </c>
      <c r="K1258" s="8" t="s">
        <v>8664</v>
      </c>
      <c r="L1258" s="8"/>
      <c r="M1258" s="8"/>
      <c r="N1258" s="8" t="n">
        <v>25</v>
      </c>
      <c r="O1258" s="8" t="n">
        <v>132</v>
      </c>
      <c r="P1258" s="8" t="s">
        <v>148</v>
      </c>
    </row>
    <row r="1259" customFormat="false" ht="15" hidden="false" customHeight="false" outlineLevel="0" collapsed="false">
      <c r="A1259" s="8" t="s">
        <v>811</v>
      </c>
      <c r="B1259" s="8" t="s">
        <v>812</v>
      </c>
      <c r="C1259" s="8" t="s">
        <v>8661</v>
      </c>
      <c r="D1259" s="8" t="s">
        <v>132</v>
      </c>
      <c r="E1259" s="8" t="s">
        <v>53</v>
      </c>
      <c r="F1259" s="8" t="s">
        <v>326</v>
      </c>
      <c r="G1259" s="8" t="s">
        <v>118</v>
      </c>
      <c r="H1259" s="8" t="s">
        <v>8666</v>
      </c>
      <c r="I1259" s="8" t="s">
        <v>9832</v>
      </c>
      <c r="J1259" s="8" t="s">
        <v>159</v>
      </c>
      <c r="K1259" s="8" t="s">
        <v>8664</v>
      </c>
      <c r="L1259" s="8"/>
      <c r="M1259" s="8"/>
      <c r="N1259" s="8" t="n">
        <v>25</v>
      </c>
      <c r="O1259" s="8" t="n">
        <v>158</v>
      </c>
      <c r="P1259" s="8" t="s">
        <v>148</v>
      </c>
    </row>
    <row r="1260" customFormat="false" ht="15" hidden="false" customHeight="false" outlineLevel="0" collapsed="false">
      <c r="A1260" s="8" t="s">
        <v>4356</v>
      </c>
      <c r="B1260" s="8" t="s">
        <v>4357</v>
      </c>
      <c r="C1260" s="8" t="s">
        <v>8678</v>
      </c>
      <c r="D1260" s="8" t="s">
        <v>123</v>
      </c>
      <c r="E1260" s="8" t="s">
        <v>51</v>
      </c>
      <c r="F1260" s="8" t="s">
        <v>2027</v>
      </c>
      <c r="G1260" s="8" t="s">
        <v>151</v>
      </c>
      <c r="H1260" s="8" t="s">
        <v>8675</v>
      </c>
      <c r="I1260" s="8" t="s">
        <v>9833</v>
      </c>
      <c r="J1260" s="8" t="s">
        <v>144</v>
      </c>
      <c r="K1260" s="8" t="s">
        <v>8664</v>
      </c>
      <c r="L1260" s="8"/>
      <c r="M1260" s="8"/>
      <c r="N1260" s="8" t="n">
        <v>12</v>
      </c>
      <c r="O1260" s="8" t="n">
        <v>5</v>
      </c>
      <c r="P1260" s="8" t="s">
        <v>120</v>
      </c>
    </row>
    <row r="1261" customFormat="false" ht="15" hidden="false" customHeight="false" outlineLevel="0" collapsed="false">
      <c r="A1261" s="8" t="s">
        <v>2042</v>
      </c>
      <c r="B1261" s="8" t="s">
        <v>2043</v>
      </c>
      <c r="C1261" s="8" t="s">
        <v>8674</v>
      </c>
      <c r="D1261" s="8" t="s">
        <v>132</v>
      </c>
      <c r="E1261" s="8" t="s">
        <v>51</v>
      </c>
      <c r="F1261" s="8" t="s">
        <v>326</v>
      </c>
      <c r="G1261" s="8" t="s">
        <v>118</v>
      </c>
      <c r="H1261" s="8" t="s">
        <v>8666</v>
      </c>
      <c r="I1261" s="8" t="s">
        <v>9296</v>
      </c>
      <c r="J1261" s="8" t="s">
        <v>147</v>
      </c>
      <c r="K1261" s="8" t="s">
        <v>8664</v>
      </c>
      <c r="L1261" s="8"/>
      <c r="M1261" s="8"/>
      <c r="N1261" s="8" t="n">
        <v>25</v>
      </c>
      <c r="O1261" s="8" t="n">
        <v>30</v>
      </c>
      <c r="P1261" s="8" t="s">
        <v>120</v>
      </c>
    </row>
    <row r="1262" customFormat="false" ht="15" hidden="false" customHeight="false" outlineLevel="0" collapsed="false">
      <c r="A1262" s="8" t="s">
        <v>9834</v>
      </c>
      <c r="B1262" s="8" t="s">
        <v>9835</v>
      </c>
      <c r="C1262" s="8" t="s">
        <v>8665</v>
      </c>
      <c r="D1262" s="8" t="s">
        <v>132</v>
      </c>
      <c r="E1262" s="8" t="s">
        <v>51</v>
      </c>
      <c r="F1262" s="8" t="s">
        <v>2027</v>
      </c>
      <c r="G1262" s="8" t="s">
        <v>151</v>
      </c>
      <c r="H1262" s="8" t="s">
        <v>8675</v>
      </c>
      <c r="I1262" s="8" t="s">
        <v>9836</v>
      </c>
      <c r="J1262" s="8"/>
      <c r="K1262" s="8" t="s">
        <v>8690</v>
      </c>
      <c r="L1262" s="8" t="s">
        <v>9720</v>
      </c>
      <c r="M1262" s="8" t="s">
        <v>8705</v>
      </c>
      <c r="N1262" s="8" t="n">
        <v>12</v>
      </c>
      <c r="O1262" s="8" t="n">
        <v>22</v>
      </c>
      <c r="P1262" s="8" t="s">
        <v>120</v>
      </c>
    </row>
    <row r="1263" customFormat="false" ht="15" hidden="false" customHeight="false" outlineLevel="0" collapsed="false">
      <c r="A1263" s="8" t="s">
        <v>1641</v>
      </c>
      <c r="B1263" s="8" t="s">
        <v>1642</v>
      </c>
      <c r="C1263" s="8" t="s">
        <v>8674</v>
      </c>
      <c r="D1263" s="8" t="s">
        <v>132</v>
      </c>
      <c r="E1263" s="8" t="s">
        <v>53</v>
      </c>
      <c r="F1263" s="8" t="s">
        <v>326</v>
      </c>
      <c r="G1263" s="8" t="s">
        <v>223</v>
      </c>
      <c r="H1263" s="8" t="s">
        <v>8662</v>
      </c>
      <c r="I1263" s="8" t="s">
        <v>9837</v>
      </c>
      <c r="J1263" s="8" t="s">
        <v>119</v>
      </c>
      <c r="K1263" s="8" t="s">
        <v>8664</v>
      </c>
      <c r="L1263" s="8"/>
      <c r="M1263" s="8"/>
      <c r="N1263" s="8" t="n">
        <v>25</v>
      </c>
      <c r="O1263" s="8" t="n">
        <v>59</v>
      </c>
      <c r="P1263" s="8" t="s">
        <v>120</v>
      </c>
    </row>
    <row r="1264" customFormat="false" ht="15" hidden="false" customHeight="false" outlineLevel="0" collapsed="false">
      <c r="A1264" s="8" t="s">
        <v>2382</v>
      </c>
      <c r="B1264" s="8" t="s">
        <v>2383</v>
      </c>
      <c r="C1264" s="8" t="s">
        <v>8665</v>
      </c>
      <c r="D1264" s="8" t="s">
        <v>123</v>
      </c>
      <c r="E1264" s="8" t="s">
        <v>51</v>
      </c>
      <c r="F1264" s="8" t="s">
        <v>326</v>
      </c>
      <c r="G1264" s="8" t="s">
        <v>118</v>
      </c>
      <c r="H1264" s="8" t="s">
        <v>8666</v>
      </c>
      <c r="I1264" s="8" t="s">
        <v>9838</v>
      </c>
      <c r="J1264" s="8" t="s">
        <v>177</v>
      </c>
      <c r="K1264" s="8" t="s">
        <v>8664</v>
      </c>
      <c r="L1264" s="8"/>
      <c r="M1264" s="8"/>
      <c r="N1264" s="8" t="n">
        <v>25</v>
      </c>
      <c r="O1264" s="8" t="n">
        <v>20</v>
      </c>
      <c r="P1264" s="8" t="s">
        <v>120</v>
      </c>
    </row>
    <row r="1265" customFormat="false" ht="15" hidden="false" customHeight="false" outlineLevel="0" collapsed="false">
      <c r="A1265" s="8" t="s">
        <v>3566</v>
      </c>
      <c r="B1265" s="8" t="s">
        <v>3567</v>
      </c>
      <c r="C1265" s="8" t="s">
        <v>8674</v>
      </c>
      <c r="D1265" s="8" t="s">
        <v>117</v>
      </c>
      <c r="E1265" s="8" t="s">
        <v>51</v>
      </c>
      <c r="F1265" s="8" t="s">
        <v>2027</v>
      </c>
      <c r="G1265" s="8" t="s">
        <v>124</v>
      </c>
      <c r="H1265" s="8" t="s">
        <v>8662</v>
      </c>
      <c r="I1265" s="8" t="s">
        <v>9249</v>
      </c>
      <c r="J1265" s="8" t="s">
        <v>185</v>
      </c>
      <c r="K1265" s="8" t="s">
        <v>8664</v>
      </c>
      <c r="L1265" s="8"/>
      <c r="M1265" s="8"/>
      <c r="N1265" s="8" t="n">
        <v>12</v>
      </c>
      <c r="O1265" s="8" t="n">
        <v>12</v>
      </c>
      <c r="P1265" s="8" t="s">
        <v>120</v>
      </c>
    </row>
    <row r="1266" customFormat="false" ht="15" hidden="false" customHeight="false" outlineLevel="0" collapsed="false">
      <c r="A1266" s="8" t="s">
        <v>9839</v>
      </c>
      <c r="B1266" s="8" t="s">
        <v>9840</v>
      </c>
      <c r="C1266" s="8" t="s">
        <v>8678</v>
      </c>
      <c r="D1266" s="8" t="s">
        <v>123</v>
      </c>
      <c r="E1266" s="8" t="s">
        <v>51</v>
      </c>
      <c r="F1266" s="8" t="s">
        <v>2027</v>
      </c>
      <c r="G1266" s="8" t="s">
        <v>143</v>
      </c>
      <c r="H1266" s="8" t="s">
        <v>8670</v>
      </c>
      <c r="I1266" s="8" t="s">
        <v>9841</v>
      </c>
      <c r="J1266" s="8"/>
      <c r="K1266" s="8" t="s">
        <v>8690</v>
      </c>
      <c r="L1266" s="8" t="s">
        <v>8938</v>
      </c>
      <c r="M1266" s="8" t="s">
        <v>8696</v>
      </c>
      <c r="N1266" s="8" t="n">
        <v>12</v>
      </c>
      <c r="O1266" s="8" t="n">
        <v>18</v>
      </c>
      <c r="P1266" s="8" t="s">
        <v>120</v>
      </c>
    </row>
    <row r="1267" customFormat="false" ht="15" hidden="false" customHeight="false" outlineLevel="0" collapsed="false">
      <c r="A1267" s="8" t="s">
        <v>2700</v>
      </c>
      <c r="B1267" s="8" t="s">
        <v>2701</v>
      </c>
      <c r="C1267" s="8" t="s">
        <v>8678</v>
      </c>
      <c r="D1267" s="8" t="s">
        <v>132</v>
      </c>
      <c r="E1267" s="8" t="s">
        <v>51</v>
      </c>
      <c r="F1267" s="8" t="s">
        <v>2027</v>
      </c>
      <c r="G1267" s="8" t="s">
        <v>190</v>
      </c>
      <c r="H1267" s="8" t="s">
        <v>8662</v>
      </c>
      <c r="I1267" s="8" t="s">
        <v>9842</v>
      </c>
      <c r="J1267" s="8" t="s">
        <v>144</v>
      </c>
      <c r="K1267" s="8" t="s">
        <v>8664</v>
      </c>
      <c r="L1267" s="8"/>
      <c r="M1267" s="8"/>
      <c r="N1267" s="8" t="n">
        <v>12</v>
      </c>
      <c r="O1267" s="8" t="n">
        <v>23</v>
      </c>
      <c r="P1267" s="8" t="s">
        <v>120</v>
      </c>
    </row>
    <row r="1268" customFormat="false" ht="15" hidden="false" customHeight="false" outlineLevel="0" collapsed="false">
      <c r="A1268" s="8" t="s">
        <v>1679</v>
      </c>
      <c r="B1268" s="8" t="s">
        <v>1680</v>
      </c>
      <c r="C1268" s="8" t="s">
        <v>8700</v>
      </c>
      <c r="D1268" s="8" t="s">
        <v>128</v>
      </c>
      <c r="E1268" s="8" t="s">
        <v>53</v>
      </c>
      <c r="F1268" s="8" t="s">
        <v>326</v>
      </c>
      <c r="G1268" s="8" t="s">
        <v>118</v>
      </c>
      <c r="H1268" s="8" t="s">
        <v>8666</v>
      </c>
      <c r="I1268" s="8" t="s">
        <v>9843</v>
      </c>
      <c r="J1268" s="8" t="s">
        <v>119</v>
      </c>
      <c r="K1268" s="8" t="s">
        <v>8664</v>
      </c>
      <c r="L1268" s="8"/>
      <c r="M1268" s="8"/>
      <c r="N1268" s="8" t="n">
        <v>25</v>
      </c>
      <c r="O1268" s="8" t="n">
        <v>56</v>
      </c>
      <c r="P1268" s="8" t="s">
        <v>148</v>
      </c>
    </row>
    <row r="1269" customFormat="false" ht="15" hidden="false" customHeight="false" outlineLevel="0" collapsed="false">
      <c r="A1269" s="8" t="s">
        <v>4600</v>
      </c>
      <c r="B1269" s="8" t="s">
        <v>9844</v>
      </c>
      <c r="C1269" s="8" t="s">
        <v>8688</v>
      </c>
      <c r="D1269" s="8" t="s">
        <v>117</v>
      </c>
      <c r="E1269" s="8" t="s">
        <v>51</v>
      </c>
      <c r="F1269" s="8" t="s">
        <v>2027</v>
      </c>
      <c r="G1269" s="8" t="s">
        <v>223</v>
      </c>
      <c r="H1269" s="8" t="s">
        <v>8666</v>
      </c>
      <c r="I1269" s="8" t="s">
        <v>8731</v>
      </c>
      <c r="J1269" s="8"/>
      <c r="K1269" s="8" t="s">
        <v>8690</v>
      </c>
      <c r="L1269" s="8" t="s">
        <v>9532</v>
      </c>
      <c r="M1269" s="8" t="s">
        <v>8696</v>
      </c>
      <c r="N1269" s="8" t="n">
        <v>12</v>
      </c>
      <c r="O1269" s="8" t="n">
        <v>6</v>
      </c>
      <c r="P1269" s="8" t="s">
        <v>120</v>
      </c>
    </row>
    <row r="1270" customFormat="false" ht="15" hidden="false" customHeight="false" outlineLevel="0" collapsed="false">
      <c r="A1270" s="8" t="s">
        <v>1793</v>
      </c>
      <c r="B1270" s="8" t="s">
        <v>1794</v>
      </c>
      <c r="C1270" s="8" t="s">
        <v>8680</v>
      </c>
      <c r="D1270" s="8" t="s">
        <v>117</v>
      </c>
      <c r="E1270" s="8" t="s">
        <v>51</v>
      </c>
      <c r="F1270" s="8" t="s">
        <v>326</v>
      </c>
      <c r="G1270" s="8" t="s">
        <v>118</v>
      </c>
      <c r="H1270" s="8" t="s">
        <v>8675</v>
      </c>
      <c r="I1270" s="8" t="s">
        <v>9845</v>
      </c>
      <c r="J1270" s="8" t="s">
        <v>159</v>
      </c>
      <c r="K1270" s="8" t="s">
        <v>8664</v>
      </c>
      <c r="L1270" s="8"/>
      <c r="M1270" s="8"/>
      <c r="N1270" s="8" t="n">
        <v>25</v>
      </c>
      <c r="O1270" s="8" t="n">
        <v>35</v>
      </c>
      <c r="P1270" s="8" t="s">
        <v>120</v>
      </c>
    </row>
    <row r="1271" customFormat="false" ht="15" hidden="false" customHeight="false" outlineLevel="0" collapsed="false">
      <c r="A1271" s="8" t="s">
        <v>1971</v>
      </c>
      <c r="B1271" s="8" t="s">
        <v>1972</v>
      </c>
      <c r="C1271" s="8" t="s">
        <v>8680</v>
      </c>
      <c r="D1271" s="8" t="s">
        <v>123</v>
      </c>
      <c r="E1271" s="8" t="s">
        <v>51</v>
      </c>
      <c r="F1271" s="8" t="s">
        <v>326</v>
      </c>
      <c r="G1271" s="8" t="s">
        <v>143</v>
      </c>
      <c r="H1271" s="8" t="s">
        <v>8675</v>
      </c>
      <c r="I1271" s="8" t="s">
        <v>9846</v>
      </c>
      <c r="J1271" s="8" t="s">
        <v>137</v>
      </c>
      <c r="K1271" s="8" t="s">
        <v>8664</v>
      </c>
      <c r="L1271" s="8"/>
      <c r="M1271" s="8"/>
      <c r="N1271" s="8" t="n">
        <v>25</v>
      </c>
      <c r="O1271" s="8" t="n">
        <v>33</v>
      </c>
      <c r="P1271" s="8" t="s">
        <v>120</v>
      </c>
    </row>
    <row r="1272" customFormat="false" ht="15" hidden="false" customHeight="false" outlineLevel="0" collapsed="false">
      <c r="A1272" s="8" t="s">
        <v>3172</v>
      </c>
      <c r="B1272" s="8" t="s">
        <v>3173</v>
      </c>
      <c r="C1272" s="8" t="s">
        <v>8674</v>
      </c>
      <c r="D1272" s="8" t="s">
        <v>117</v>
      </c>
      <c r="E1272" s="8" t="s">
        <v>51</v>
      </c>
      <c r="F1272" s="8" t="s">
        <v>2027</v>
      </c>
      <c r="G1272" s="8" t="s">
        <v>143</v>
      </c>
      <c r="H1272" s="8" t="s">
        <v>8670</v>
      </c>
      <c r="I1272" s="8" t="s">
        <v>8689</v>
      </c>
      <c r="J1272" s="8" t="s">
        <v>204</v>
      </c>
      <c r="K1272" s="8" t="s">
        <v>8664</v>
      </c>
      <c r="L1272" s="8"/>
      <c r="M1272" s="8"/>
      <c r="N1272" s="8" t="n">
        <v>12</v>
      </c>
      <c r="O1272" s="8" t="n">
        <v>20</v>
      </c>
      <c r="P1272" s="8" t="s">
        <v>120</v>
      </c>
    </row>
    <row r="1273" customFormat="false" ht="15" hidden="false" customHeight="false" outlineLevel="0" collapsed="false">
      <c r="A1273" s="8" t="s">
        <v>3676</v>
      </c>
      <c r="B1273" s="8" t="s">
        <v>3677</v>
      </c>
      <c r="C1273" s="8" t="s">
        <v>8674</v>
      </c>
      <c r="D1273" s="8" t="s">
        <v>123</v>
      </c>
      <c r="E1273" s="8" t="s">
        <v>51</v>
      </c>
      <c r="F1273" s="8" t="s">
        <v>2027</v>
      </c>
      <c r="G1273" s="8" t="s">
        <v>118</v>
      </c>
      <c r="H1273" s="8" t="s">
        <v>8666</v>
      </c>
      <c r="I1273" s="8" t="s">
        <v>9524</v>
      </c>
      <c r="J1273" s="8" t="s">
        <v>177</v>
      </c>
      <c r="K1273" s="8" t="s">
        <v>8664</v>
      </c>
      <c r="L1273" s="8"/>
      <c r="M1273" s="8"/>
      <c r="N1273" s="8" t="n">
        <v>12</v>
      </c>
      <c r="O1273" s="8" t="n">
        <v>18</v>
      </c>
      <c r="P1273" s="8" t="s">
        <v>120</v>
      </c>
    </row>
    <row r="1274" customFormat="false" ht="15" hidden="false" customHeight="false" outlineLevel="0" collapsed="false">
      <c r="A1274" s="8" t="s">
        <v>2824</v>
      </c>
      <c r="B1274" s="8" t="s">
        <v>2825</v>
      </c>
      <c r="C1274" s="8" t="s">
        <v>8688</v>
      </c>
      <c r="D1274" s="8" t="s">
        <v>123</v>
      </c>
      <c r="E1274" s="8" t="s">
        <v>51</v>
      </c>
      <c r="F1274" s="8" t="s">
        <v>2027</v>
      </c>
      <c r="G1274" s="8" t="s">
        <v>154</v>
      </c>
      <c r="H1274" s="8" t="s">
        <v>8675</v>
      </c>
      <c r="I1274" s="8" t="s">
        <v>9847</v>
      </c>
      <c r="J1274" s="8" t="s">
        <v>140</v>
      </c>
      <c r="K1274" s="8" t="s">
        <v>8664</v>
      </c>
      <c r="L1274" s="8"/>
      <c r="M1274" s="8"/>
      <c r="N1274" s="8" t="n">
        <v>12</v>
      </c>
      <c r="O1274" s="8" t="n">
        <v>33</v>
      </c>
      <c r="P1274" s="8" t="s">
        <v>120</v>
      </c>
    </row>
    <row r="1275" customFormat="false" ht="15" hidden="false" customHeight="false" outlineLevel="0" collapsed="false">
      <c r="A1275" s="8" t="s">
        <v>1331</v>
      </c>
      <c r="B1275" s="8" t="s">
        <v>1332</v>
      </c>
      <c r="C1275" s="8" t="s">
        <v>8665</v>
      </c>
      <c r="D1275" s="8" t="s">
        <v>132</v>
      </c>
      <c r="E1275" s="8" t="s">
        <v>53</v>
      </c>
      <c r="F1275" s="8" t="s">
        <v>326</v>
      </c>
      <c r="G1275" s="8" t="s">
        <v>143</v>
      </c>
      <c r="H1275" s="8" t="s">
        <v>8670</v>
      </c>
      <c r="I1275" s="8" t="s">
        <v>9848</v>
      </c>
      <c r="J1275" s="8" t="s">
        <v>144</v>
      </c>
      <c r="K1275" s="8" t="s">
        <v>8664</v>
      </c>
      <c r="L1275" s="8"/>
      <c r="M1275" s="8"/>
      <c r="N1275" s="8" t="n">
        <v>25</v>
      </c>
      <c r="O1275" s="8" t="n">
        <v>118</v>
      </c>
      <c r="P1275" s="8" t="s">
        <v>120</v>
      </c>
    </row>
    <row r="1276" customFormat="false" ht="15" hidden="false" customHeight="false" outlineLevel="0" collapsed="false">
      <c r="A1276" s="8" t="s">
        <v>164</v>
      </c>
      <c r="B1276" s="8" t="s">
        <v>165</v>
      </c>
      <c r="C1276" s="8" t="s">
        <v>8700</v>
      </c>
      <c r="D1276" s="8" t="s">
        <v>123</v>
      </c>
      <c r="E1276" s="8" t="s">
        <v>55</v>
      </c>
      <c r="F1276" s="8" t="s">
        <v>55</v>
      </c>
      <c r="G1276" s="8" t="s">
        <v>166</v>
      </c>
      <c r="H1276" s="8" t="s">
        <v>8670</v>
      </c>
      <c r="I1276" s="8" t="s">
        <v>8777</v>
      </c>
      <c r="J1276" s="8" t="s">
        <v>147</v>
      </c>
      <c r="K1276" s="8" t="s">
        <v>8664</v>
      </c>
      <c r="L1276" s="8"/>
      <c r="M1276" s="8"/>
      <c r="N1276" s="8" t="n">
        <v>45</v>
      </c>
      <c r="O1276" s="8" t="n">
        <v>594</v>
      </c>
      <c r="P1276" s="8" t="s">
        <v>148</v>
      </c>
    </row>
    <row r="1277" customFormat="false" ht="15" hidden="false" customHeight="false" outlineLevel="0" collapsed="false">
      <c r="A1277" s="8" t="s">
        <v>405</v>
      </c>
      <c r="B1277" s="8" t="s">
        <v>406</v>
      </c>
      <c r="C1277" s="8" t="s">
        <v>8700</v>
      </c>
      <c r="D1277" s="8" t="s">
        <v>132</v>
      </c>
      <c r="E1277" s="8" t="s">
        <v>55</v>
      </c>
      <c r="F1277" s="8" t="s">
        <v>55</v>
      </c>
      <c r="G1277" s="8" t="s">
        <v>118</v>
      </c>
      <c r="H1277" s="8" t="s">
        <v>8670</v>
      </c>
      <c r="I1277" s="8" t="s">
        <v>8766</v>
      </c>
      <c r="J1277" s="8" t="s">
        <v>177</v>
      </c>
      <c r="K1277" s="8" t="s">
        <v>8664</v>
      </c>
      <c r="L1277" s="8"/>
      <c r="M1277" s="8"/>
      <c r="N1277" s="8" t="n">
        <v>45</v>
      </c>
      <c r="O1277" s="8" t="n">
        <v>296</v>
      </c>
      <c r="P1277" s="8" t="s">
        <v>199</v>
      </c>
    </row>
    <row r="1278" customFormat="false" ht="15" hidden="false" customHeight="false" outlineLevel="0" collapsed="false">
      <c r="A1278" s="8" t="s">
        <v>563</v>
      </c>
      <c r="B1278" s="8" t="s">
        <v>564</v>
      </c>
      <c r="C1278" s="8" t="s">
        <v>8678</v>
      </c>
      <c r="D1278" s="8" t="s">
        <v>117</v>
      </c>
      <c r="E1278" s="8" t="s">
        <v>55</v>
      </c>
      <c r="F1278" s="8" t="s">
        <v>55</v>
      </c>
      <c r="G1278" s="8" t="s">
        <v>190</v>
      </c>
      <c r="H1278" s="8" t="s">
        <v>8662</v>
      </c>
      <c r="I1278" s="8" t="s">
        <v>9088</v>
      </c>
      <c r="J1278" s="8" t="s">
        <v>137</v>
      </c>
      <c r="K1278" s="8" t="s">
        <v>8664</v>
      </c>
      <c r="L1278" s="8"/>
      <c r="M1278" s="8"/>
      <c r="N1278" s="8" t="n">
        <v>45</v>
      </c>
      <c r="O1278" s="8" t="n">
        <v>189</v>
      </c>
      <c r="P1278" s="8" t="s">
        <v>120</v>
      </c>
    </row>
    <row r="1279" customFormat="false" ht="15" hidden="false" customHeight="false" outlineLevel="0" collapsed="false">
      <c r="A1279" s="8" t="s">
        <v>4486</v>
      </c>
      <c r="B1279" s="8" t="s">
        <v>9849</v>
      </c>
      <c r="C1279" s="8" t="s">
        <v>8700</v>
      </c>
      <c r="D1279" s="8" t="s">
        <v>128</v>
      </c>
      <c r="E1279" s="8" t="s">
        <v>51</v>
      </c>
      <c r="F1279" s="8" t="s">
        <v>326</v>
      </c>
      <c r="G1279" s="8" t="s">
        <v>166</v>
      </c>
      <c r="H1279" s="8" t="s">
        <v>8662</v>
      </c>
      <c r="I1279" s="8" t="s">
        <v>9850</v>
      </c>
      <c r="J1279" s="8"/>
      <c r="K1279" s="8" t="s">
        <v>8690</v>
      </c>
      <c r="L1279" s="8" t="s">
        <v>9851</v>
      </c>
      <c r="M1279" s="8" t="s">
        <v>8692</v>
      </c>
      <c r="N1279" s="8" t="n">
        <v>25</v>
      </c>
      <c r="O1279" s="8" t="n">
        <v>28</v>
      </c>
      <c r="P1279" s="8" t="s">
        <v>120</v>
      </c>
    </row>
    <row r="1280" customFormat="false" ht="15" hidden="false" customHeight="false" outlineLevel="0" collapsed="false">
      <c r="A1280" s="8" t="s">
        <v>2942</v>
      </c>
      <c r="B1280" s="8" t="s">
        <v>2943</v>
      </c>
      <c r="C1280" s="8" t="s">
        <v>8678</v>
      </c>
      <c r="D1280" s="8" t="s">
        <v>132</v>
      </c>
      <c r="E1280" s="8" t="s">
        <v>51</v>
      </c>
      <c r="F1280" s="8" t="s">
        <v>2027</v>
      </c>
      <c r="G1280" s="8" t="s">
        <v>154</v>
      </c>
      <c r="H1280" s="8" t="s">
        <v>8662</v>
      </c>
      <c r="I1280" s="8" t="s">
        <v>9705</v>
      </c>
      <c r="J1280" s="8" t="s">
        <v>129</v>
      </c>
      <c r="K1280" s="8" t="s">
        <v>8664</v>
      </c>
      <c r="L1280" s="8"/>
      <c r="M1280" s="8"/>
      <c r="N1280" s="8" t="n">
        <v>12</v>
      </c>
      <c r="O1280" s="8" t="n">
        <v>31</v>
      </c>
      <c r="P1280" s="8" t="s">
        <v>120</v>
      </c>
    </row>
    <row r="1281" customFormat="false" ht="15" hidden="false" customHeight="false" outlineLevel="0" collapsed="false">
      <c r="A1281" s="8" t="s">
        <v>4544</v>
      </c>
      <c r="B1281" s="8" t="s">
        <v>9852</v>
      </c>
      <c r="C1281" s="8" t="s">
        <v>8665</v>
      </c>
      <c r="D1281" s="8" t="s">
        <v>123</v>
      </c>
      <c r="E1281" s="8" t="s">
        <v>51</v>
      </c>
      <c r="F1281" s="8" t="s">
        <v>2027</v>
      </c>
      <c r="G1281" s="8" t="s">
        <v>118</v>
      </c>
      <c r="H1281" s="8" t="s">
        <v>8670</v>
      </c>
      <c r="I1281" s="8" t="s">
        <v>9853</v>
      </c>
      <c r="J1281" s="8"/>
      <c r="K1281" s="8" t="s">
        <v>8690</v>
      </c>
      <c r="L1281" s="8" t="s">
        <v>9021</v>
      </c>
      <c r="M1281" s="8" t="s">
        <v>8705</v>
      </c>
      <c r="N1281" s="8" t="n">
        <v>12</v>
      </c>
      <c r="O1281" s="8" t="n">
        <v>24</v>
      </c>
      <c r="P1281" s="8" t="s">
        <v>120</v>
      </c>
    </row>
    <row r="1282" customFormat="false" ht="15" hidden="false" customHeight="false" outlineLevel="0" collapsed="false">
      <c r="A1282" s="8" t="s">
        <v>2454</v>
      </c>
      <c r="B1282" s="8" t="s">
        <v>2455</v>
      </c>
      <c r="C1282" s="8" t="s">
        <v>8680</v>
      </c>
      <c r="D1282" s="8" t="s">
        <v>123</v>
      </c>
      <c r="E1282" s="8" t="s">
        <v>51</v>
      </c>
      <c r="F1282" s="8" t="s">
        <v>2027</v>
      </c>
      <c r="G1282" s="8" t="s">
        <v>124</v>
      </c>
      <c r="H1282" s="8" t="s">
        <v>8675</v>
      </c>
      <c r="I1282" s="8" t="s">
        <v>9104</v>
      </c>
      <c r="J1282" s="8" t="s">
        <v>180</v>
      </c>
      <c r="K1282" s="8" t="s">
        <v>8664</v>
      </c>
      <c r="L1282" s="8"/>
      <c r="M1282" s="8"/>
      <c r="N1282" s="8" t="n">
        <v>12</v>
      </c>
      <c r="O1282" s="8" t="n">
        <v>39</v>
      </c>
      <c r="P1282" s="8" t="s">
        <v>120</v>
      </c>
    </row>
    <row r="1283" customFormat="false" ht="15" hidden="false" customHeight="false" outlineLevel="0" collapsed="false">
      <c r="A1283" s="8" t="s">
        <v>1407</v>
      </c>
      <c r="B1283" s="8" t="s">
        <v>1408</v>
      </c>
      <c r="C1283" s="8" t="s">
        <v>8700</v>
      </c>
      <c r="D1283" s="8" t="s">
        <v>123</v>
      </c>
      <c r="E1283" s="8" t="s">
        <v>53</v>
      </c>
      <c r="F1283" s="8" t="s">
        <v>326</v>
      </c>
      <c r="G1283" s="8" t="s">
        <v>154</v>
      </c>
      <c r="H1283" s="8" t="s">
        <v>8675</v>
      </c>
      <c r="I1283" s="8" t="s">
        <v>9854</v>
      </c>
      <c r="J1283" s="8" t="s">
        <v>137</v>
      </c>
      <c r="K1283" s="8" t="s">
        <v>8664</v>
      </c>
      <c r="L1283" s="8"/>
      <c r="M1283" s="8"/>
      <c r="N1283" s="8" t="n">
        <v>25</v>
      </c>
      <c r="O1283" s="8" t="n">
        <v>85</v>
      </c>
      <c r="P1283" s="8" t="s">
        <v>120</v>
      </c>
    </row>
    <row r="1284" customFormat="false" ht="15" hidden="false" customHeight="false" outlineLevel="0" collapsed="false">
      <c r="A1284" s="8" t="s">
        <v>9855</v>
      </c>
      <c r="B1284" s="8" t="s">
        <v>9856</v>
      </c>
      <c r="C1284" s="8" t="s">
        <v>8678</v>
      </c>
      <c r="D1284" s="8" t="s">
        <v>123</v>
      </c>
      <c r="E1284" s="8" t="s">
        <v>51</v>
      </c>
      <c r="F1284" s="8" t="s">
        <v>2027</v>
      </c>
      <c r="G1284" s="8" t="s">
        <v>124</v>
      </c>
      <c r="H1284" s="8" t="s">
        <v>8670</v>
      </c>
      <c r="I1284" s="8" t="s">
        <v>9853</v>
      </c>
      <c r="J1284" s="8"/>
      <c r="K1284" s="8" t="s">
        <v>8690</v>
      </c>
      <c r="L1284" s="8" t="s">
        <v>9305</v>
      </c>
      <c r="M1284" s="8" t="s">
        <v>8795</v>
      </c>
      <c r="N1284" s="8" t="n">
        <v>12</v>
      </c>
      <c r="O1284" s="8" t="n">
        <v>10</v>
      </c>
      <c r="P1284" s="8" t="s">
        <v>120</v>
      </c>
    </row>
    <row r="1285" customFormat="false" ht="15" hidden="false" customHeight="false" outlineLevel="0" collapsed="false">
      <c r="A1285" s="8" t="s">
        <v>2826</v>
      </c>
      <c r="B1285" s="8" t="s">
        <v>2827</v>
      </c>
      <c r="C1285" s="8" t="s">
        <v>8674</v>
      </c>
      <c r="D1285" s="8" t="s">
        <v>123</v>
      </c>
      <c r="E1285" s="8" t="s">
        <v>51</v>
      </c>
      <c r="F1285" s="8" t="s">
        <v>2027</v>
      </c>
      <c r="G1285" s="8" t="s">
        <v>190</v>
      </c>
      <c r="H1285" s="8" t="s">
        <v>8670</v>
      </c>
      <c r="I1285" s="8" t="s">
        <v>9653</v>
      </c>
      <c r="J1285" s="8" t="s">
        <v>129</v>
      </c>
      <c r="K1285" s="8" t="s">
        <v>8664</v>
      </c>
      <c r="L1285" s="8"/>
      <c r="M1285" s="8"/>
      <c r="N1285" s="8" t="n">
        <v>12</v>
      </c>
      <c r="O1285" s="8" t="n">
        <v>30</v>
      </c>
      <c r="P1285" s="8" t="s">
        <v>120</v>
      </c>
    </row>
    <row r="1286" customFormat="false" ht="15" hidden="false" customHeight="false" outlineLevel="0" collapsed="false">
      <c r="A1286" s="8" t="s">
        <v>1973</v>
      </c>
      <c r="B1286" s="8" t="s">
        <v>1974</v>
      </c>
      <c r="C1286" s="8" t="s">
        <v>8688</v>
      </c>
      <c r="D1286" s="8" t="s">
        <v>123</v>
      </c>
      <c r="E1286" s="8" t="s">
        <v>51</v>
      </c>
      <c r="F1286" s="8" t="s">
        <v>326</v>
      </c>
      <c r="G1286" s="8" t="s">
        <v>143</v>
      </c>
      <c r="H1286" s="8" t="s">
        <v>8666</v>
      </c>
      <c r="I1286" s="8" t="s">
        <v>8771</v>
      </c>
      <c r="J1286" s="8" t="s">
        <v>204</v>
      </c>
      <c r="K1286" s="8" t="s">
        <v>8664</v>
      </c>
      <c r="L1286" s="8"/>
      <c r="M1286" s="8"/>
      <c r="N1286" s="8" t="n">
        <v>25</v>
      </c>
      <c r="O1286" s="8" t="n">
        <v>30</v>
      </c>
      <c r="P1286" s="8" t="s">
        <v>120</v>
      </c>
    </row>
    <row r="1287" customFormat="false" ht="15" hidden="false" customHeight="false" outlineLevel="0" collapsed="false">
      <c r="A1287" s="8" t="s">
        <v>2752</v>
      </c>
      <c r="B1287" s="8" t="s">
        <v>2753</v>
      </c>
      <c r="C1287" s="8" t="s">
        <v>8678</v>
      </c>
      <c r="D1287" s="8" t="s">
        <v>123</v>
      </c>
      <c r="E1287" s="8" t="s">
        <v>51</v>
      </c>
      <c r="F1287" s="8" t="s">
        <v>2027</v>
      </c>
      <c r="G1287" s="8" t="s">
        <v>190</v>
      </c>
      <c r="H1287" s="8" t="s">
        <v>8666</v>
      </c>
      <c r="I1287" s="8" t="s">
        <v>9857</v>
      </c>
      <c r="J1287" s="8" t="s">
        <v>140</v>
      </c>
      <c r="K1287" s="8" t="s">
        <v>8664</v>
      </c>
      <c r="L1287" s="8"/>
      <c r="M1287" s="8"/>
      <c r="N1287" s="8" t="n">
        <v>12</v>
      </c>
      <c r="O1287" s="8" t="n">
        <v>20</v>
      </c>
      <c r="P1287" s="8" t="s">
        <v>120</v>
      </c>
    </row>
    <row r="1288" customFormat="false" ht="15" hidden="false" customHeight="false" outlineLevel="0" collapsed="false">
      <c r="A1288" s="8" t="s">
        <v>3360</v>
      </c>
      <c r="B1288" s="8" t="s">
        <v>3361</v>
      </c>
      <c r="C1288" s="8" t="s">
        <v>8680</v>
      </c>
      <c r="D1288" s="8" t="s">
        <v>123</v>
      </c>
      <c r="E1288" s="8" t="s">
        <v>51</v>
      </c>
      <c r="F1288" s="8" t="s">
        <v>2027</v>
      </c>
      <c r="G1288" s="8" t="s">
        <v>151</v>
      </c>
      <c r="H1288" s="8" t="s">
        <v>8662</v>
      </c>
      <c r="I1288" s="8" t="s">
        <v>8923</v>
      </c>
      <c r="J1288" s="8" t="s">
        <v>204</v>
      </c>
      <c r="K1288" s="8" t="s">
        <v>8664</v>
      </c>
      <c r="L1288" s="8"/>
      <c r="M1288" s="8"/>
      <c r="N1288" s="8" t="n">
        <v>12</v>
      </c>
      <c r="O1288" s="8" t="n">
        <v>24</v>
      </c>
      <c r="P1288" s="8" t="s">
        <v>120</v>
      </c>
    </row>
    <row r="1289" customFormat="false" ht="15" hidden="false" customHeight="false" outlineLevel="0" collapsed="false">
      <c r="A1289" s="8" t="s">
        <v>3174</v>
      </c>
      <c r="B1289" s="8" t="s">
        <v>3175</v>
      </c>
      <c r="C1289" s="8" t="s">
        <v>8680</v>
      </c>
      <c r="D1289" s="8" t="s">
        <v>123</v>
      </c>
      <c r="E1289" s="8" t="s">
        <v>51</v>
      </c>
      <c r="F1289" s="8" t="s">
        <v>2027</v>
      </c>
      <c r="G1289" s="8" t="s">
        <v>223</v>
      </c>
      <c r="H1289" s="8" t="s">
        <v>8666</v>
      </c>
      <c r="I1289" s="8" t="s">
        <v>8767</v>
      </c>
      <c r="J1289" s="8" t="s">
        <v>180</v>
      </c>
      <c r="K1289" s="8" t="s">
        <v>8664</v>
      </c>
      <c r="L1289" s="8"/>
      <c r="M1289" s="8"/>
      <c r="N1289" s="8" t="n">
        <v>12</v>
      </c>
      <c r="O1289" s="8" t="n">
        <v>27</v>
      </c>
      <c r="P1289" s="8" t="s">
        <v>199</v>
      </c>
    </row>
    <row r="1290" customFormat="false" ht="15" hidden="false" customHeight="false" outlineLevel="0" collapsed="false">
      <c r="A1290" s="8" t="s">
        <v>211</v>
      </c>
      <c r="B1290" s="8" t="s">
        <v>212</v>
      </c>
      <c r="C1290" s="8" t="s">
        <v>8661</v>
      </c>
      <c r="D1290" s="8" t="s">
        <v>123</v>
      </c>
      <c r="E1290" s="8" t="s">
        <v>55</v>
      </c>
      <c r="F1290" s="8" t="s">
        <v>55</v>
      </c>
      <c r="G1290" s="8" t="s">
        <v>154</v>
      </c>
      <c r="H1290" s="8" t="s">
        <v>8670</v>
      </c>
      <c r="I1290" s="8" t="s">
        <v>9858</v>
      </c>
      <c r="J1290" s="8" t="s">
        <v>147</v>
      </c>
      <c r="K1290" s="8" t="s">
        <v>8664</v>
      </c>
      <c r="L1290" s="8"/>
      <c r="M1290" s="8"/>
      <c r="N1290" s="8" t="n">
        <v>45</v>
      </c>
      <c r="O1290" s="8" t="n">
        <v>545</v>
      </c>
      <c r="P1290" s="8" t="s">
        <v>120</v>
      </c>
    </row>
    <row r="1291" customFormat="false" ht="15" hidden="false" customHeight="false" outlineLevel="0" collapsed="false">
      <c r="A1291" s="8" t="s">
        <v>2604</v>
      </c>
      <c r="B1291" s="8" t="s">
        <v>2605</v>
      </c>
      <c r="C1291" s="8" t="s">
        <v>8700</v>
      </c>
      <c r="D1291" s="8" t="s">
        <v>123</v>
      </c>
      <c r="E1291" s="8" t="s">
        <v>51</v>
      </c>
      <c r="F1291" s="8" t="s">
        <v>2027</v>
      </c>
      <c r="G1291" s="8" t="s">
        <v>223</v>
      </c>
      <c r="H1291" s="8" t="s">
        <v>8670</v>
      </c>
      <c r="I1291" s="8" t="s">
        <v>9859</v>
      </c>
      <c r="J1291" s="8" t="s">
        <v>180</v>
      </c>
      <c r="K1291" s="8" t="s">
        <v>8664</v>
      </c>
      <c r="L1291" s="8"/>
      <c r="M1291" s="8"/>
      <c r="N1291" s="8" t="n">
        <v>12</v>
      </c>
      <c r="O1291" s="8" t="n">
        <v>33</v>
      </c>
      <c r="P1291" s="8" t="s">
        <v>120</v>
      </c>
    </row>
    <row r="1292" customFormat="false" ht="15" hidden="false" customHeight="false" outlineLevel="0" collapsed="false">
      <c r="A1292" s="8" t="s">
        <v>2702</v>
      </c>
      <c r="B1292" s="8" t="s">
        <v>2703</v>
      </c>
      <c r="C1292" s="8" t="s">
        <v>8678</v>
      </c>
      <c r="D1292" s="8" t="s">
        <v>117</v>
      </c>
      <c r="E1292" s="8" t="s">
        <v>51</v>
      </c>
      <c r="F1292" s="8" t="s">
        <v>2027</v>
      </c>
      <c r="G1292" s="8" t="s">
        <v>133</v>
      </c>
      <c r="H1292" s="8" t="s">
        <v>8662</v>
      </c>
      <c r="I1292" s="8" t="s">
        <v>9860</v>
      </c>
      <c r="J1292" s="8" t="s">
        <v>125</v>
      </c>
      <c r="K1292" s="8" t="s">
        <v>8664</v>
      </c>
      <c r="L1292" s="8"/>
      <c r="M1292" s="8"/>
      <c r="N1292" s="8" t="n">
        <v>12</v>
      </c>
      <c r="O1292" s="8" t="n">
        <v>35</v>
      </c>
      <c r="P1292" s="8" t="s">
        <v>120</v>
      </c>
    </row>
    <row r="1293" customFormat="false" ht="15" hidden="false" customHeight="false" outlineLevel="0" collapsed="false">
      <c r="A1293" s="8" t="s">
        <v>3176</v>
      </c>
      <c r="B1293" s="8" t="s">
        <v>3177</v>
      </c>
      <c r="C1293" s="8" t="s">
        <v>8661</v>
      </c>
      <c r="D1293" s="8" t="s">
        <v>132</v>
      </c>
      <c r="E1293" s="8" t="s">
        <v>51</v>
      </c>
      <c r="F1293" s="8" t="s">
        <v>2027</v>
      </c>
      <c r="G1293" s="8" t="s">
        <v>136</v>
      </c>
      <c r="H1293" s="8" t="s">
        <v>8666</v>
      </c>
      <c r="I1293" s="8" t="s">
        <v>9422</v>
      </c>
      <c r="J1293" s="8" t="s">
        <v>125</v>
      </c>
      <c r="K1293" s="8" t="s">
        <v>8664</v>
      </c>
      <c r="L1293" s="8"/>
      <c r="M1293" s="8"/>
      <c r="N1293" s="8" t="n">
        <v>12</v>
      </c>
      <c r="O1293" s="8" t="n">
        <v>27</v>
      </c>
      <c r="P1293" s="8" t="s">
        <v>120</v>
      </c>
    </row>
    <row r="1294" customFormat="false" ht="15" hidden="false" customHeight="false" outlineLevel="0" collapsed="false">
      <c r="A1294" s="8" t="s">
        <v>4526</v>
      </c>
      <c r="B1294" s="8" t="s">
        <v>9861</v>
      </c>
      <c r="C1294" s="8" t="s">
        <v>8680</v>
      </c>
      <c r="D1294" s="8" t="s">
        <v>117</v>
      </c>
      <c r="E1294" s="8" t="s">
        <v>51</v>
      </c>
      <c r="F1294" s="8" t="s">
        <v>2027</v>
      </c>
      <c r="G1294" s="8" t="s">
        <v>154</v>
      </c>
      <c r="H1294" s="8" t="s">
        <v>8662</v>
      </c>
      <c r="I1294" s="8" t="s">
        <v>9862</v>
      </c>
      <c r="J1294" s="8"/>
      <c r="K1294" s="8" t="s">
        <v>8690</v>
      </c>
      <c r="L1294" s="8" t="s">
        <v>8888</v>
      </c>
      <c r="M1294" s="8" t="s">
        <v>8705</v>
      </c>
      <c r="N1294" s="8" t="n">
        <v>12</v>
      </c>
      <c r="O1294" s="8" t="n">
        <v>29</v>
      </c>
      <c r="P1294" s="8" t="s">
        <v>120</v>
      </c>
    </row>
    <row r="1295" customFormat="false" ht="15" hidden="false" customHeight="false" outlineLevel="0" collapsed="false">
      <c r="A1295" s="8" t="s">
        <v>3934</v>
      </c>
      <c r="B1295" s="8" t="s">
        <v>3935</v>
      </c>
      <c r="C1295" s="8" t="s">
        <v>8688</v>
      </c>
      <c r="D1295" s="8" t="s">
        <v>117</v>
      </c>
      <c r="E1295" s="8" t="s">
        <v>51</v>
      </c>
      <c r="F1295" s="8" t="s">
        <v>2027</v>
      </c>
      <c r="G1295" s="8" t="s">
        <v>143</v>
      </c>
      <c r="H1295" s="8" t="s">
        <v>8666</v>
      </c>
      <c r="I1295" s="8" t="s">
        <v>8788</v>
      </c>
      <c r="J1295" s="8" t="s">
        <v>159</v>
      </c>
      <c r="K1295" s="8" t="s">
        <v>8664</v>
      </c>
      <c r="L1295" s="8"/>
      <c r="M1295" s="8"/>
      <c r="N1295" s="8" t="n">
        <v>12</v>
      </c>
      <c r="O1295" s="8" t="n">
        <v>13</v>
      </c>
      <c r="P1295" s="8" t="s">
        <v>120</v>
      </c>
    </row>
    <row r="1296" customFormat="false" ht="15" hidden="false" customHeight="false" outlineLevel="0" collapsed="false">
      <c r="A1296" s="8" t="s">
        <v>4525</v>
      </c>
      <c r="B1296" s="8" t="s">
        <v>9863</v>
      </c>
      <c r="C1296" s="8" t="s">
        <v>8665</v>
      </c>
      <c r="D1296" s="8" t="s">
        <v>117</v>
      </c>
      <c r="E1296" s="8" t="s">
        <v>51</v>
      </c>
      <c r="F1296" s="8" t="s">
        <v>2027</v>
      </c>
      <c r="G1296" s="8" t="s">
        <v>124</v>
      </c>
      <c r="H1296" s="8" t="s">
        <v>8666</v>
      </c>
      <c r="I1296" s="8" t="s">
        <v>9092</v>
      </c>
      <c r="J1296" s="8"/>
      <c r="K1296" s="8" t="s">
        <v>8690</v>
      </c>
      <c r="L1296" s="8" t="s">
        <v>9864</v>
      </c>
      <c r="M1296" s="8" t="s">
        <v>8727</v>
      </c>
      <c r="N1296" s="8" t="n">
        <v>12</v>
      </c>
      <c r="O1296" s="8" t="n">
        <v>30</v>
      </c>
      <c r="P1296" s="8" t="s">
        <v>120</v>
      </c>
    </row>
    <row r="1297" customFormat="false" ht="15" hidden="false" customHeight="false" outlineLevel="0" collapsed="false">
      <c r="A1297" s="8" t="s">
        <v>9865</v>
      </c>
      <c r="B1297" s="8" t="s">
        <v>9866</v>
      </c>
      <c r="C1297" s="8" t="s">
        <v>8665</v>
      </c>
      <c r="D1297" s="8" t="s">
        <v>123</v>
      </c>
      <c r="E1297" s="8" t="s">
        <v>53</v>
      </c>
      <c r="F1297" s="8" t="s">
        <v>326</v>
      </c>
      <c r="G1297" s="8" t="s">
        <v>143</v>
      </c>
      <c r="H1297" s="8" t="s">
        <v>8662</v>
      </c>
      <c r="I1297" s="8" t="s">
        <v>8973</v>
      </c>
      <c r="J1297" s="8"/>
      <c r="K1297" s="8" t="s">
        <v>8690</v>
      </c>
      <c r="L1297" s="8" t="s">
        <v>9350</v>
      </c>
      <c r="M1297" s="8" t="s">
        <v>8705</v>
      </c>
      <c r="N1297" s="8" t="n">
        <v>25</v>
      </c>
      <c r="O1297" s="8" t="n">
        <v>167</v>
      </c>
      <c r="P1297" s="8" t="s">
        <v>120</v>
      </c>
    </row>
    <row r="1298" customFormat="false" ht="15" hidden="false" customHeight="false" outlineLevel="0" collapsed="false">
      <c r="A1298" s="8" t="s">
        <v>3568</v>
      </c>
      <c r="B1298" s="8" t="s">
        <v>3569</v>
      </c>
      <c r="C1298" s="8" t="s">
        <v>8661</v>
      </c>
      <c r="D1298" s="8" t="s">
        <v>117</v>
      </c>
      <c r="E1298" s="8" t="s">
        <v>51</v>
      </c>
      <c r="F1298" s="8" t="s">
        <v>2027</v>
      </c>
      <c r="G1298" s="8" t="s">
        <v>190</v>
      </c>
      <c r="H1298" s="8" t="s">
        <v>8666</v>
      </c>
      <c r="I1298" s="8" t="s">
        <v>9101</v>
      </c>
      <c r="J1298" s="8" t="s">
        <v>129</v>
      </c>
      <c r="K1298" s="8" t="s">
        <v>8664</v>
      </c>
      <c r="L1298" s="8"/>
      <c r="M1298" s="8"/>
      <c r="N1298" s="8" t="n">
        <v>12</v>
      </c>
      <c r="O1298" s="8" t="n">
        <v>20</v>
      </c>
      <c r="P1298" s="8" t="s">
        <v>120</v>
      </c>
    </row>
    <row r="1299" customFormat="false" ht="15" hidden="false" customHeight="false" outlineLevel="0" collapsed="false">
      <c r="A1299" s="8" t="s">
        <v>9867</v>
      </c>
      <c r="B1299" s="8" t="s">
        <v>9868</v>
      </c>
      <c r="C1299" s="8" t="s">
        <v>8700</v>
      </c>
      <c r="D1299" s="8" t="s">
        <v>132</v>
      </c>
      <c r="E1299" s="8" t="s">
        <v>51</v>
      </c>
      <c r="F1299" s="8" t="s">
        <v>326</v>
      </c>
      <c r="G1299" s="8" t="s">
        <v>143</v>
      </c>
      <c r="H1299" s="8" t="s">
        <v>8666</v>
      </c>
      <c r="I1299" s="8" t="s">
        <v>9148</v>
      </c>
      <c r="J1299" s="8"/>
      <c r="K1299" s="8" t="s">
        <v>8690</v>
      </c>
      <c r="L1299" s="8" t="s">
        <v>9506</v>
      </c>
      <c r="M1299" s="8" t="s">
        <v>8795</v>
      </c>
      <c r="N1299" s="8" t="n">
        <v>25</v>
      </c>
      <c r="O1299" s="8" t="n">
        <v>20</v>
      </c>
      <c r="P1299" s="8" t="s">
        <v>120</v>
      </c>
    </row>
    <row r="1300" customFormat="false" ht="15" hidden="false" customHeight="false" outlineLevel="0" collapsed="false">
      <c r="A1300" s="8" t="s">
        <v>2310</v>
      </c>
      <c r="B1300" s="8" t="s">
        <v>2311</v>
      </c>
      <c r="C1300" s="8" t="s">
        <v>8665</v>
      </c>
      <c r="D1300" s="8" t="s">
        <v>117</v>
      </c>
      <c r="E1300" s="8" t="s">
        <v>51</v>
      </c>
      <c r="F1300" s="8" t="s">
        <v>2027</v>
      </c>
      <c r="G1300" s="8" t="s">
        <v>124</v>
      </c>
      <c r="H1300" s="8" t="s">
        <v>8666</v>
      </c>
      <c r="I1300" s="8" t="s">
        <v>9403</v>
      </c>
      <c r="J1300" s="8" t="s">
        <v>119</v>
      </c>
      <c r="K1300" s="8" t="s">
        <v>8664</v>
      </c>
      <c r="L1300" s="8"/>
      <c r="M1300" s="8"/>
      <c r="N1300" s="8" t="n">
        <v>12</v>
      </c>
      <c r="O1300" s="8" t="n">
        <v>32</v>
      </c>
      <c r="P1300" s="8" t="s">
        <v>120</v>
      </c>
    </row>
    <row r="1301" customFormat="false" ht="15" hidden="false" customHeight="false" outlineLevel="0" collapsed="false">
      <c r="A1301" s="8" t="s">
        <v>427</v>
      </c>
      <c r="B1301" s="8" t="s">
        <v>428</v>
      </c>
      <c r="C1301" s="8" t="s">
        <v>8678</v>
      </c>
      <c r="D1301" s="8" t="s">
        <v>123</v>
      </c>
      <c r="E1301" s="8" t="s">
        <v>55</v>
      </c>
      <c r="F1301" s="8" t="s">
        <v>55</v>
      </c>
      <c r="G1301" s="8" t="s">
        <v>133</v>
      </c>
      <c r="H1301" s="8" t="s">
        <v>8670</v>
      </c>
      <c r="I1301" s="8" t="s">
        <v>9213</v>
      </c>
      <c r="J1301" s="8" t="s">
        <v>119</v>
      </c>
      <c r="K1301" s="8" t="s">
        <v>8664</v>
      </c>
      <c r="L1301" s="8"/>
      <c r="M1301" s="8"/>
      <c r="N1301" s="8" t="n">
        <v>45</v>
      </c>
      <c r="O1301" s="8" t="n">
        <v>279</v>
      </c>
      <c r="P1301" s="8" t="s">
        <v>120</v>
      </c>
    </row>
    <row r="1302" customFormat="false" ht="15" hidden="false" customHeight="false" outlineLevel="0" collapsed="false">
      <c r="A1302" s="8" t="s">
        <v>9869</v>
      </c>
      <c r="B1302" s="8" t="s">
        <v>9870</v>
      </c>
      <c r="C1302" s="8" t="s">
        <v>8669</v>
      </c>
      <c r="D1302" s="8" t="s">
        <v>128</v>
      </c>
      <c r="E1302" s="8" t="s">
        <v>51</v>
      </c>
      <c r="F1302" s="8" t="s">
        <v>2027</v>
      </c>
      <c r="G1302" s="8" t="s">
        <v>136</v>
      </c>
      <c r="H1302" s="8" t="s">
        <v>8675</v>
      </c>
      <c r="I1302" s="8" t="s">
        <v>9515</v>
      </c>
      <c r="J1302" s="8"/>
      <c r="K1302" s="8" t="s">
        <v>8690</v>
      </c>
      <c r="L1302" s="8" t="s">
        <v>9520</v>
      </c>
      <c r="M1302" s="8" t="s">
        <v>8692</v>
      </c>
      <c r="N1302" s="8" t="n">
        <v>12</v>
      </c>
      <c r="O1302" s="8" t="n">
        <v>25</v>
      </c>
      <c r="P1302" s="8" t="s">
        <v>120</v>
      </c>
    </row>
    <row r="1303" customFormat="false" ht="15" hidden="false" customHeight="false" outlineLevel="0" collapsed="false">
      <c r="A1303" s="8" t="s">
        <v>4038</v>
      </c>
      <c r="B1303" s="8" t="s">
        <v>4039</v>
      </c>
      <c r="C1303" s="8" t="s">
        <v>8678</v>
      </c>
      <c r="D1303" s="8" t="s">
        <v>123</v>
      </c>
      <c r="E1303" s="8" t="s">
        <v>51</v>
      </c>
      <c r="F1303" s="8" t="s">
        <v>2027</v>
      </c>
      <c r="G1303" s="8" t="s">
        <v>133</v>
      </c>
      <c r="H1303" s="8" t="s">
        <v>8666</v>
      </c>
      <c r="I1303" s="8" t="s">
        <v>8777</v>
      </c>
      <c r="J1303" s="8" t="s">
        <v>147</v>
      </c>
      <c r="K1303" s="8" t="s">
        <v>8664</v>
      </c>
      <c r="L1303" s="8"/>
      <c r="M1303" s="8"/>
      <c r="N1303" s="8" t="n">
        <v>12</v>
      </c>
      <c r="O1303" s="8" t="n">
        <v>11</v>
      </c>
      <c r="P1303" s="8" t="s">
        <v>148</v>
      </c>
    </row>
    <row r="1304" customFormat="false" ht="15" hidden="false" customHeight="false" outlineLevel="0" collapsed="false">
      <c r="A1304" s="8" t="s">
        <v>2260</v>
      </c>
      <c r="B1304" s="8" t="s">
        <v>2261</v>
      </c>
      <c r="C1304" s="8" t="s">
        <v>8680</v>
      </c>
      <c r="D1304" s="8" t="s">
        <v>132</v>
      </c>
      <c r="E1304" s="8" t="s">
        <v>51</v>
      </c>
      <c r="F1304" s="8" t="s">
        <v>326</v>
      </c>
      <c r="G1304" s="8" t="s">
        <v>154</v>
      </c>
      <c r="H1304" s="8" t="s">
        <v>8662</v>
      </c>
      <c r="I1304" s="8" t="s">
        <v>9822</v>
      </c>
      <c r="J1304" s="8" t="s">
        <v>180</v>
      </c>
      <c r="K1304" s="8" t="s">
        <v>8664</v>
      </c>
      <c r="L1304" s="8"/>
      <c r="M1304" s="8"/>
      <c r="N1304" s="8" t="n">
        <v>25</v>
      </c>
      <c r="O1304" s="8" t="n">
        <v>23</v>
      </c>
      <c r="P1304" s="8" t="s">
        <v>120</v>
      </c>
    </row>
    <row r="1305" customFormat="false" ht="15" hidden="false" customHeight="false" outlineLevel="0" collapsed="false">
      <c r="A1305" s="8" t="s">
        <v>491</v>
      </c>
      <c r="B1305" s="8" t="s">
        <v>492</v>
      </c>
      <c r="C1305" s="8" t="s">
        <v>8678</v>
      </c>
      <c r="D1305" s="8" t="s">
        <v>123</v>
      </c>
      <c r="E1305" s="8" t="s">
        <v>55</v>
      </c>
      <c r="F1305" s="8" t="s">
        <v>55</v>
      </c>
      <c r="G1305" s="8" t="s">
        <v>166</v>
      </c>
      <c r="H1305" s="8" t="s">
        <v>8666</v>
      </c>
      <c r="I1305" s="8" t="s">
        <v>9044</v>
      </c>
      <c r="J1305" s="8" t="s">
        <v>119</v>
      </c>
      <c r="K1305" s="8" t="s">
        <v>8664</v>
      </c>
      <c r="L1305" s="8"/>
      <c r="M1305" s="8"/>
      <c r="N1305" s="8" t="n">
        <v>45</v>
      </c>
      <c r="O1305" s="8" t="n">
        <v>235</v>
      </c>
      <c r="P1305" s="8" t="s">
        <v>120</v>
      </c>
    </row>
    <row r="1306" customFormat="false" ht="15" hidden="false" customHeight="false" outlineLevel="0" collapsed="false">
      <c r="A1306" s="8" t="s">
        <v>3178</v>
      </c>
      <c r="B1306" s="8" t="s">
        <v>3179</v>
      </c>
      <c r="C1306" s="8" t="s">
        <v>8688</v>
      </c>
      <c r="D1306" s="8" t="s">
        <v>123</v>
      </c>
      <c r="E1306" s="8" t="s">
        <v>51</v>
      </c>
      <c r="F1306" s="8" t="s">
        <v>2027</v>
      </c>
      <c r="G1306" s="8" t="s">
        <v>124</v>
      </c>
      <c r="H1306" s="8" t="s">
        <v>8670</v>
      </c>
      <c r="I1306" s="8" t="s">
        <v>9255</v>
      </c>
      <c r="J1306" s="8" t="s">
        <v>140</v>
      </c>
      <c r="K1306" s="8" t="s">
        <v>8664</v>
      </c>
      <c r="L1306" s="8"/>
      <c r="M1306" s="8"/>
      <c r="N1306" s="8" t="n">
        <v>12</v>
      </c>
      <c r="O1306" s="8" t="n">
        <v>27</v>
      </c>
      <c r="P1306" s="8" t="s">
        <v>120</v>
      </c>
    </row>
    <row r="1307" customFormat="false" ht="15" hidden="false" customHeight="false" outlineLevel="0" collapsed="false">
      <c r="A1307" s="8" t="s">
        <v>769</v>
      </c>
      <c r="B1307" s="8" t="s">
        <v>770</v>
      </c>
      <c r="C1307" s="8" t="s">
        <v>8678</v>
      </c>
      <c r="D1307" s="8" t="s">
        <v>128</v>
      </c>
      <c r="E1307" s="8" t="s">
        <v>53</v>
      </c>
      <c r="F1307" s="8" t="s">
        <v>326</v>
      </c>
      <c r="G1307" s="8" t="s">
        <v>166</v>
      </c>
      <c r="H1307" s="8" t="s">
        <v>8670</v>
      </c>
      <c r="I1307" s="8" t="s">
        <v>9871</v>
      </c>
      <c r="J1307" s="8" t="s">
        <v>144</v>
      </c>
      <c r="K1307" s="8" t="s">
        <v>8664</v>
      </c>
      <c r="L1307" s="8"/>
      <c r="M1307" s="8"/>
      <c r="N1307" s="8" t="n">
        <v>25</v>
      </c>
      <c r="O1307" s="8" t="n">
        <v>156</v>
      </c>
      <c r="P1307" s="8" t="s">
        <v>120</v>
      </c>
    </row>
    <row r="1308" customFormat="false" ht="15" hidden="false" customHeight="false" outlineLevel="0" collapsed="false">
      <c r="A1308" s="8" t="s">
        <v>7618</v>
      </c>
      <c r="B1308" s="8" t="s">
        <v>9872</v>
      </c>
      <c r="C1308" s="8" t="s">
        <v>8674</v>
      </c>
      <c r="D1308" s="8" t="s">
        <v>132</v>
      </c>
      <c r="E1308" s="8" t="s">
        <v>51</v>
      </c>
      <c r="F1308" s="8" t="s">
        <v>2027</v>
      </c>
      <c r="G1308" s="8" t="s">
        <v>118</v>
      </c>
      <c r="H1308" s="8" t="s">
        <v>8662</v>
      </c>
      <c r="I1308" s="8" t="s">
        <v>9468</v>
      </c>
      <c r="J1308" s="8"/>
      <c r="K1308" s="8" t="s">
        <v>8690</v>
      </c>
      <c r="L1308" s="8" t="s">
        <v>8824</v>
      </c>
      <c r="M1308" s="8" t="s">
        <v>8696</v>
      </c>
      <c r="N1308" s="8" t="n">
        <v>12</v>
      </c>
      <c r="O1308" s="8" t="n">
        <v>27</v>
      </c>
      <c r="P1308" s="8" t="s">
        <v>120</v>
      </c>
    </row>
    <row r="1309" customFormat="false" ht="15" hidden="false" customHeight="false" outlineLevel="0" collapsed="false">
      <c r="A1309" s="8" t="s">
        <v>4593</v>
      </c>
      <c r="B1309" s="8" t="s">
        <v>9873</v>
      </c>
      <c r="C1309" s="8" t="s">
        <v>8680</v>
      </c>
      <c r="D1309" s="8" t="s">
        <v>123</v>
      </c>
      <c r="E1309" s="8" t="s">
        <v>51</v>
      </c>
      <c r="F1309" s="8" t="s">
        <v>2027</v>
      </c>
      <c r="G1309" s="8" t="s">
        <v>118</v>
      </c>
      <c r="H1309" s="8" t="s">
        <v>8662</v>
      </c>
      <c r="I1309" s="8" t="s">
        <v>9301</v>
      </c>
      <c r="J1309" s="8"/>
      <c r="K1309" s="8" t="s">
        <v>8690</v>
      </c>
      <c r="L1309" s="8" t="s">
        <v>9363</v>
      </c>
      <c r="M1309" s="8" t="s">
        <v>8727</v>
      </c>
      <c r="N1309" s="8" t="n">
        <v>12</v>
      </c>
      <c r="O1309" s="8" t="n">
        <v>8</v>
      </c>
      <c r="P1309" s="8" t="s">
        <v>120</v>
      </c>
    </row>
    <row r="1310" customFormat="false" ht="15" hidden="false" customHeight="false" outlineLevel="0" collapsed="false">
      <c r="A1310" s="8" t="s">
        <v>9874</v>
      </c>
      <c r="B1310" s="8" t="s">
        <v>9875</v>
      </c>
      <c r="C1310" s="8" t="s">
        <v>8669</v>
      </c>
      <c r="D1310" s="8" t="s">
        <v>132</v>
      </c>
      <c r="E1310" s="8" t="s">
        <v>51</v>
      </c>
      <c r="F1310" s="8" t="s">
        <v>2027</v>
      </c>
      <c r="G1310" s="8" t="s">
        <v>136</v>
      </c>
      <c r="H1310" s="8" t="s">
        <v>8662</v>
      </c>
      <c r="I1310" s="8" t="s">
        <v>9719</v>
      </c>
      <c r="J1310" s="8"/>
      <c r="K1310" s="8" t="s">
        <v>8690</v>
      </c>
      <c r="L1310" s="8" t="s">
        <v>9716</v>
      </c>
      <c r="M1310" s="8" t="s">
        <v>8795</v>
      </c>
      <c r="N1310" s="8" t="n">
        <v>12</v>
      </c>
      <c r="O1310" s="8" t="n">
        <v>12</v>
      </c>
      <c r="P1310" s="8" t="s">
        <v>120</v>
      </c>
    </row>
    <row r="1311" customFormat="false" ht="15" hidden="false" customHeight="false" outlineLevel="0" collapsed="false">
      <c r="A1311" s="8" t="s">
        <v>621</v>
      </c>
      <c r="B1311" s="8" t="s">
        <v>622</v>
      </c>
      <c r="C1311" s="8" t="s">
        <v>8665</v>
      </c>
      <c r="D1311" s="8" t="s">
        <v>123</v>
      </c>
      <c r="E1311" s="8" t="s">
        <v>55</v>
      </c>
      <c r="F1311" s="8" t="s">
        <v>55</v>
      </c>
      <c r="G1311" s="8" t="s">
        <v>190</v>
      </c>
      <c r="H1311" s="8" t="s">
        <v>8666</v>
      </c>
      <c r="I1311" s="8" t="s">
        <v>9441</v>
      </c>
      <c r="J1311" s="8" t="s">
        <v>140</v>
      </c>
      <c r="K1311" s="8" t="s">
        <v>8664</v>
      </c>
      <c r="L1311" s="8"/>
      <c r="M1311" s="8"/>
      <c r="N1311" s="8" t="n">
        <v>45</v>
      </c>
      <c r="O1311" s="8" t="n">
        <v>163</v>
      </c>
      <c r="P1311" s="8" t="s">
        <v>120</v>
      </c>
    </row>
    <row r="1312" customFormat="false" ht="15" hidden="false" customHeight="false" outlineLevel="0" collapsed="false">
      <c r="A1312" s="8" t="s">
        <v>2754</v>
      </c>
      <c r="B1312" s="8" t="s">
        <v>2755</v>
      </c>
      <c r="C1312" s="8" t="s">
        <v>8669</v>
      </c>
      <c r="D1312" s="8" t="s">
        <v>117</v>
      </c>
      <c r="E1312" s="8" t="s">
        <v>51</v>
      </c>
      <c r="F1312" s="8" t="s">
        <v>2027</v>
      </c>
      <c r="G1312" s="8" t="s">
        <v>133</v>
      </c>
      <c r="H1312" s="8" t="s">
        <v>8666</v>
      </c>
      <c r="I1312" s="8" t="s">
        <v>9409</v>
      </c>
      <c r="J1312" s="8" t="s">
        <v>140</v>
      </c>
      <c r="K1312" s="8" t="s">
        <v>8664</v>
      </c>
      <c r="L1312" s="8"/>
      <c r="M1312" s="8"/>
      <c r="N1312" s="8" t="n">
        <v>12</v>
      </c>
      <c r="O1312" s="8" t="n">
        <v>23</v>
      </c>
      <c r="P1312" s="8" t="s">
        <v>120</v>
      </c>
    </row>
    <row r="1313" customFormat="false" ht="15" hidden="false" customHeight="false" outlineLevel="0" collapsed="false">
      <c r="A1313" s="8" t="s">
        <v>771</v>
      </c>
      <c r="B1313" s="8" t="s">
        <v>772</v>
      </c>
      <c r="C1313" s="8" t="s">
        <v>8700</v>
      </c>
      <c r="D1313" s="8" t="s">
        <v>123</v>
      </c>
      <c r="E1313" s="8" t="s">
        <v>53</v>
      </c>
      <c r="F1313" s="8" t="s">
        <v>326</v>
      </c>
      <c r="G1313" s="8" t="s">
        <v>223</v>
      </c>
      <c r="H1313" s="8" t="s">
        <v>8662</v>
      </c>
      <c r="I1313" s="8" t="s">
        <v>9876</v>
      </c>
      <c r="J1313" s="8" t="s">
        <v>147</v>
      </c>
      <c r="K1313" s="8" t="s">
        <v>8664</v>
      </c>
      <c r="L1313" s="8"/>
      <c r="M1313" s="8"/>
      <c r="N1313" s="8" t="n">
        <v>25</v>
      </c>
      <c r="O1313" s="8" t="n">
        <v>190</v>
      </c>
      <c r="P1313" s="8" t="s">
        <v>120</v>
      </c>
    </row>
    <row r="1314" customFormat="false" ht="15" hidden="false" customHeight="false" outlineLevel="0" collapsed="false">
      <c r="A1314" s="8" t="s">
        <v>167</v>
      </c>
      <c r="B1314" s="8" t="s">
        <v>168</v>
      </c>
      <c r="C1314" s="8" t="s">
        <v>8700</v>
      </c>
      <c r="D1314" s="8" t="s">
        <v>128</v>
      </c>
      <c r="E1314" s="8" t="s">
        <v>55</v>
      </c>
      <c r="F1314" s="8" t="s">
        <v>55</v>
      </c>
      <c r="G1314" s="8" t="s">
        <v>124</v>
      </c>
      <c r="H1314" s="8" t="s">
        <v>8670</v>
      </c>
      <c r="I1314" s="8" t="s">
        <v>9597</v>
      </c>
      <c r="J1314" s="8" t="s">
        <v>144</v>
      </c>
      <c r="K1314" s="8" t="s">
        <v>8664</v>
      </c>
      <c r="L1314" s="8"/>
      <c r="M1314" s="8"/>
      <c r="N1314" s="8" t="n">
        <v>45</v>
      </c>
      <c r="O1314" s="8" t="n">
        <v>593</v>
      </c>
      <c r="P1314" s="8" t="s">
        <v>120</v>
      </c>
    </row>
    <row r="1315" customFormat="false" ht="15" hidden="false" customHeight="false" outlineLevel="0" collapsed="false">
      <c r="A1315" s="8" t="s">
        <v>4358</v>
      </c>
      <c r="B1315" s="8" t="s">
        <v>4359</v>
      </c>
      <c r="C1315" s="8" t="s">
        <v>8680</v>
      </c>
      <c r="D1315" s="8" t="s">
        <v>117</v>
      </c>
      <c r="E1315" s="8" t="s">
        <v>51</v>
      </c>
      <c r="F1315" s="8" t="s">
        <v>2027</v>
      </c>
      <c r="G1315" s="8" t="s">
        <v>190</v>
      </c>
      <c r="H1315" s="8" t="s">
        <v>8675</v>
      </c>
      <c r="I1315" s="8" t="s">
        <v>9117</v>
      </c>
      <c r="J1315" s="8" t="s">
        <v>137</v>
      </c>
      <c r="K1315" s="8" t="s">
        <v>8664</v>
      </c>
      <c r="L1315" s="8"/>
      <c r="M1315" s="8"/>
      <c r="N1315" s="8" t="n">
        <v>12</v>
      </c>
      <c r="O1315" s="8" t="n">
        <v>5</v>
      </c>
      <c r="P1315" s="8" t="s">
        <v>120</v>
      </c>
    </row>
    <row r="1316" customFormat="false" ht="15" hidden="false" customHeight="false" outlineLevel="0" collapsed="false">
      <c r="A1316" s="8" t="s">
        <v>355</v>
      </c>
      <c r="B1316" s="8" t="s">
        <v>356</v>
      </c>
      <c r="C1316" s="8" t="s">
        <v>8674</v>
      </c>
      <c r="D1316" s="8" t="s">
        <v>123</v>
      </c>
      <c r="E1316" s="8" t="s">
        <v>55</v>
      </c>
      <c r="F1316" s="8" t="s">
        <v>55</v>
      </c>
      <c r="G1316" s="8" t="s">
        <v>151</v>
      </c>
      <c r="H1316" s="8" t="s">
        <v>8666</v>
      </c>
      <c r="I1316" s="8" t="s">
        <v>8798</v>
      </c>
      <c r="J1316" s="8" t="s">
        <v>119</v>
      </c>
      <c r="K1316" s="8" t="s">
        <v>8664</v>
      </c>
      <c r="L1316" s="8"/>
      <c r="M1316" s="8"/>
      <c r="N1316" s="8" t="n">
        <v>45</v>
      </c>
      <c r="O1316" s="8" t="n">
        <v>334</v>
      </c>
      <c r="P1316" s="8" t="s">
        <v>120</v>
      </c>
    </row>
    <row r="1317" customFormat="false" ht="15" hidden="false" customHeight="false" outlineLevel="0" collapsed="false">
      <c r="A1317" s="8" t="s">
        <v>2128</v>
      </c>
      <c r="B1317" s="8" t="s">
        <v>2129</v>
      </c>
      <c r="C1317" s="8" t="s">
        <v>8665</v>
      </c>
      <c r="D1317" s="8" t="s">
        <v>123</v>
      </c>
      <c r="E1317" s="8" t="s">
        <v>51</v>
      </c>
      <c r="F1317" s="8" t="s">
        <v>326</v>
      </c>
      <c r="G1317" s="8" t="s">
        <v>124</v>
      </c>
      <c r="H1317" s="8" t="s">
        <v>8675</v>
      </c>
      <c r="I1317" s="8" t="s">
        <v>9638</v>
      </c>
      <c r="J1317" s="8" t="s">
        <v>119</v>
      </c>
      <c r="K1317" s="8" t="s">
        <v>8664</v>
      </c>
      <c r="L1317" s="8"/>
      <c r="M1317" s="8"/>
      <c r="N1317" s="8" t="n">
        <v>25</v>
      </c>
      <c r="O1317" s="8" t="n">
        <v>27</v>
      </c>
      <c r="P1317" s="8" t="s">
        <v>120</v>
      </c>
    </row>
    <row r="1318" customFormat="false" ht="15" hidden="false" customHeight="false" outlineLevel="0" collapsed="false">
      <c r="A1318" s="8" t="s">
        <v>2756</v>
      </c>
      <c r="B1318" s="8" t="s">
        <v>2757</v>
      </c>
      <c r="C1318" s="8" t="s">
        <v>8680</v>
      </c>
      <c r="D1318" s="8" t="s">
        <v>117</v>
      </c>
      <c r="E1318" s="8" t="s">
        <v>51</v>
      </c>
      <c r="F1318" s="8" t="s">
        <v>2027</v>
      </c>
      <c r="G1318" s="8" t="s">
        <v>136</v>
      </c>
      <c r="H1318" s="8" t="s">
        <v>8666</v>
      </c>
      <c r="I1318" s="8" t="s">
        <v>8704</v>
      </c>
      <c r="J1318" s="8" t="s">
        <v>129</v>
      </c>
      <c r="K1318" s="8" t="s">
        <v>8664</v>
      </c>
      <c r="L1318" s="8"/>
      <c r="M1318" s="8"/>
      <c r="N1318" s="8" t="n">
        <v>12</v>
      </c>
      <c r="O1318" s="8" t="n">
        <v>34</v>
      </c>
      <c r="P1318" s="8" t="s">
        <v>148</v>
      </c>
    </row>
    <row r="1319" customFormat="false" ht="15" hidden="false" customHeight="false" outlineLevel="0" collapsed="false">
      <c r="A1319" s="8" t="s">
        <v>9877</v>
      </c>
      <c r="B1319" s="8" t="s">
        <v>9878</v>
      </c>
      <c r="C1319" s="8" t="s">
        <v>8665</v>
      </c>
      <c r="D1319" s="8" t="s">
        <v>128</v>
      </c>
      <c r="E1319" s="8" t="s">
        <v>53</v>
      </c>
      <c r="F1319" s="8" t="s">
        <v>326</v>
      </c>
      <c r="G1319" s="8" t="s">
        <v>143</v>
      </c>
      <c r="H1319" s="8" t="s">
        <v>8675</v>
      </c>
      <c r="I1319" s="8" t="s">
        <v>9643</v>
      </c>
      <c r="J1319" s="8"/>
      <c r="K1319" s="8" t="s">
        <v>8690</v>
      </c>
      <c r="L1319" s="8" t="s">
        <v>9879</v>
      </c>
      <c r="M1319" s="8" t="s">
        <v>8696</v>
      </c>
      <c r="N1319" s="8" t="n">
        <v>25</v>
      </c>
      <c r="O1319" s="8" t="n">
        <v>93</v>
      </c>
      <c r="P1319" s="8" t="s">
        <v>120</v>
      </c>
    </row>
    <row r="1320" customFormat="false" ht="15" hidden="false" customHeight="false" outlineLevel="0" collapsed="false">
      <c r="A1320" s="8" t="s">
        <v>2606</v>
      </c>
      <c r="B1320" s="8" t="s">
        <v>2607</v>
      </c>
      <c r="C1320" s="8" t="s">
        <v>8661</v>
      </c>
      <c r="D1320" s="8" t="s">
        <v>132</v>
      </c>
      <c r="E1320" s="8" t="s">
        <v>51</v>
      </c>
      <c r="F1320" s="8" t="s">
        <v>2027</v>
      </c>
      <c r="G1320" s="8" t="s">
        <v>154</v>
      </c>
      <c r="H1320" s="8" t="s">
        <v>8666</v>
      </c>
      <c r="I1320" s="8" t="s">
        <v>8698</v>
      </c>
      <c r="J1320" s="8" t="s">
        <v>144</v>
      </c>
      <c r="K1320" s="8" t="s">
        <v>8664</v>
      </c>
      <c r="L1320" s="8"/>
      <c r="M1320" s="8"/>
      <c r="N1320" s="8" t="n">
        <v>12</v>
      </c>
      <c r="O1320" s="8" t="n">
        <v>36</v>
      </c>
      <c r="P1320" s="8" t="s">
        <v>120</v>
      </c>
    </row>
    <row r="1321" customFormat="false" ht="15" hidden="false" customHeight="false" outlineLevel="0" collapsed="false">
      <c r="A1321" s="8" t="s">
        <v>9880</v>
      </c>
      <c r="B1321" s="8" t="s">
        <v>9881</v>
      </c>
      <c r="C1321" s="8" t="s">
        <v>8674</v>
      </c>
      <c r="D1321" s="8" t="s">
        <v>128</v>
      </c>
      <c r="E1321" s="8" t="s">
        <v>53</v>
      </c>
      <c r="F1321" s="8" t="s">
        <v>326</v>
      </c>
      <c r="G1321" s="8" t="s">
        <v>190</v>
      </c>
      <c r="H1321" s="8" t="s">
        <v>8666</v>
      </c>
      <c r="I1321" s="8" t="s">
        <v>9542</v>
      </c>
      <c r="J1321" s="8"/>
      <c r="K1321" s="8" t="s">
        <v>8690</v>
      </c>
      <c r="L1321" s="8" t="s">
        <v>9882</v>
      </c>
      <c r="M1321" s="8" t="s">
        <v>8795</v>
      </c>
      <c r="N1321" s="8" t="n">
        <v>25</v>
      </c>
      <c r="O1321" s="8" t="n">
        <v>159</v>
      </c>
      <c r="P1321" s="8" t="s">
        <v>120</v>
      </c>
    </row>
    <row r="1322" customFormat="false" ht="15" hidden="false" customHeight="false" outlineLevel="0" collapsed="false">
      <c r="A1322" s="8" t="s">
        <v>691</v>
      </c>
      <c r="B1322" s="8" t="s">
        <v>692</v>
      </c>
      <c r="C1322" s="8" t="s">
        <v>8665</v>
      </c>
      <c r="D1322" s="8" t="s">
        <v>123</v>
      </c>
      <c r="E1322" s="8" t="s">
        <v>55</v>
      </c>
      <c r="F1322" s="8" t="s">
        <v>326</v>
      </c>
      <c r="G1322" s="8" t="s">
        <v>166</v>
      </c>
      <c r="H1322" s="8" t="s">
        <v>8675</v>
      </c>
      <c r="I1322" s="8" t="s">
        <v>9883</v>
      </c>
      <c r="J1322" s="8" t="s">
        <v>144</v>
      </c>
      <c r="K1322" s="8" t="s">
        <v>8664</v>
      </c>
      <c r="L1322" s="8"/>
      <c r="M1322" s="8"/>
      <c r="N1322" s="8" t="n">
        <v>25</v>
      </c>
      <c r="O1322" s="8" t="n">
        <v>248</v>
      </c>
      <c r="P1322" s="8" t="s">
        <v>148</v>
      </c>
    </row>
    <row r="1323" customFormat="false" ht="15" hidden="false" customHeight="false" outlineLevel="0" collapsed="false">
      <c r="A1323" s="8" t="s">
        <v>2704</v>
      </c>
      <c r="B1323" s="8" t="s">
        <v>2705</v>
      </c>
      <c r="C1323" s="8" t="s">
        <v>8678</v>
      </c>
      <c r="D1323" s="8" t="s">
        <v>123</v>
      </c>
      <c r="E1323" s="8" t="s">
        <v>51</v>
      </c>
      <c r="F1323" s="8" t="s">
        <v>2027</v>
      </c>
      <c r="G1323" s="8" t="s">
        <v>154</v>
      </c>
      <c r="H1323" s="8" t="s">
        <v>8662</v>
      </c>
      <c r="I1323" s="8" t="s">
        <v>9474</v>
      </c>
      <c r="J1323" s="8" t="s">
        <v>204</v>
      </c>
      <c r="K1323" s="8" t="s">
        <v>8664</v>
      </c>
      <c r="L1323" s="8"/>
      <c r="M1323" s="8"/>
      <c r="N1323" s="8" t="n">
        <v>12</v>
      </c>
      <c r="O1323" s="8" t="n">
        <v>35</v>
      </c>
      <c r="P1323" s="8" t="s">
        <v>120</v>
      </c>
    </row>
    <row r="1324" customFormat="false" ht="15" hidden="false" customHeight="false" outlineLevel="0" collapsed="false">
      <c r="A1324" s="8" t="s">
        <v>2856</v>
      </c>
      <c r="B1324" s="8" t="s">
        <v>2857</v>
      </c>
      <c r="C1324" s="8" t="s">
        <v>8680</v>
      </c>
      <c r="D1324" s="8" t="s">
        <v>128</v>
      </c>
      <c r="E1324" s="8" t="s">
        <v>51</v>
      </c>
      <c r="F1324" s="8" t="s">
        <v>2027</v>
      </c>
      <c r="G1324" s="8" t="s">
        <v>143</v>
      </c>
      <c r="H1324" s="8" t="s">
        <v>8670</v>
      </c>
      <c r="I1324" s="8" t="s">
        <v>9884</v>
      </c>
      <c r="J1324" s="8" t="s">
        <v>204</v>
      </c>
      <c r="K1324" s="8" t="s">
        <v>8664</v>
      </c>
      <c r="L1324" s="8"/>
      <c r="M1324" s="8"/>
      <c r="N1324" s="8" t="n">
        <v>12</v>
      </c>
      <c r="O1324" s="8" t="n">
        <v>32</v>
      </c>
      <c r="P1324" s="8" t="s">
        <v>120</v>
      </c>
    </row>
    <row r="1325" customFormat="false" ht="15" hidden="false" customHeight="false" outlineLevel="0" collapsed="false">
      <c r="A1325" s="8" t="s">
        <v>1139</v>
      </c>
      <c r="B1325" s="8" t="s">
        <v>1140</v>
      </c>
      <c r="C1325" s="8" t="s">
        <v>8688</v>
      </c>
      <c r="D1325" s="8" t="s">
        <v>123</v>
      </c>
      <c r="E1325" s="8" t="s">
        <v>53</v>
      </c>
      <c r="F1325" s="8" t="s">
        <v>326</v>
      </c>
      <c r="G1325" s="8" t="s">
        <v>166</v>
      </c>
      <c r="H1325" s="8" t="s">
        <v>8675</v>
      </c>
      <c r="I1325" s="8" t="s">
        <v>8769</v>
      </c>
      <c r="J1325" s="8" t="s">
        <v>119</v>
      </c>
      <c r="K1325" s="8" t="s">
        <v>8664</v>
      </c>
      <c r="L1325" s="8"/>
      <c r="M1325" s="8"/>
      <c r="N1325" s="8" t="n">
        <v>25</v>
      </c>
      <c r="O1325" s="8" t="n">
        <v>144</v>
      </c>
      <c r="P1325" s="8" t="s">
        <v>120</v>
      </c>
    </row>
    <row r="1326" customFormat="false" ht="15" hidden="false" customHeight="false" outlineLevel="0" collapsed="false">
      <c r="A1326" s="8" t="s">
        <v>1267</v>
      </c>
      <c r="B1326" s="8" t="s">
        <v>1268</v>
      </c>
      <c r="C1326" s="8" t="s">
        <v>8665</v>
      </c>
      <c r="D1326" s="8" t="s">
        <v>123</v>
      </c>
      <c r="E1326" s="8" t="s">
        <v>53</v>
      </c>
      <c r="F1326" s="8" t="s">
        <v>55</v>
      </c>
      <c r="G1326" s="8" t="s">
        <v>190</v>
      </c>
      <c r="H1326" s="8" t="s">
        <v>8666</v>
      </c>
      <c r="I1326" s="8" t="s">
        <v>9885</v>
      </c>
      <c r="J1326" s="8" t="s">
        <v>125</v>
      </c>
      <c r="K1326" s="8" t="s">
        <v>8664</v>
      </c>
      <c r="L1326" s="8"/>
      <c r="M1326" s="8"/>
      <c r="N1326" s="8" t="n">
        <v>45</v>
      </c>
      <c r="O1326" s="8" t="n">
        <v>71</v>
      </c>
      <c r="P1326" s="8" t="s">
        <v>148</v>
      </c>
    </row>
    <row r="1327" customFormat="false" ht="15" hidden="false" customHeight="false" outlineLevel="0" collapsed="false">
      <c r="A1327" s="8" t="s">
        <v>1269</v>
      </c>
      <c r="B1327" s="8" t="s">
        <v>1270</v>
      </c>
      <c r="C1327" s="8" t="s">
        <v>8669</v>
      </c>
      <c r="D1327" s="8" t="s">
        <v>117</v>
      </c>
      <c r="E1327" s="8" t="s">
        <v>53</v>
      </c>
      <c r="F1327" s="8" t="s">
        <v>326</v>
      </c>
      <c r="G1327" s="8" t="s">
        <v>136</v>
      </c>
      <c r="H1327" s="8" t="s">
        <v>8666</v>
      </c>
      <c r="I1327" s="8" t="s">
        <v>9886</v>
      </c>
      <c r="J1327" s="8" t="s">
        <v>125</v>
      </c>
      <c r="K1327" s="8" t="s">
        <v>8664</v>
      </c>
      <c r="L1327" s="8"/>
      <c r="M1327" s="8"/>
      <c r="N1327" s="8" t="n">
        <v>25</v>
      </c>
      <c r="O1327" s="8" t="n">
        <v>127</v>
      </c>
      <c r="P1327" s="8" t="s">
        <v>120</v>
      </c>
    </row>
    <row r="1328" customFormat="false" ht="15" hidden="false" customHeight="false" outlineLevel="0" collapsed="false">
      <c r="A1328" s="8" t="s">
        <v>381</v>
      </c>
      <c r="B1328" s="8" t="s">
        <v>382</v>
      </c>
      <c r="C1328" s="8" t="s">
        <v>8661</v>
      </c>
      <c r="D1328" s="8" t="s">
        <v>132</v>
      </c>
      <c r="E1328" s="8" t="s">
        <v>55</v>
      </c>
      <c r="F1328" s="8" t="s">
        <v>55</v>
      </c>
      <c r="G1328" s="8" t="s">
        <v>143</v>
      </c>
      <c r="H1328" s="8" t="s">
        <v>8662</v>
      </c>
      <c r="I1328" s="8" t="s">
        <v>9741</v>
      </c>
      <c r="J1328" s="8" t="s">
        <v>147</v>
      </c>
      <c r="K1328" s="8" t="s">
        <v>8664</v>
      </c>
      <c r="L1328" s="8"/>
      <c r="M1328" s="8"/>
      <c r="N1328" s="8" t="n">
        <v>45</v>
      </c>
      <c r="O1328" s="8" t="n">
        <v>311</v>
      </c>
      <c r="P1328" s="8" t="s">
        <v>120</v>
      </c>
    </row>
    <row r="1329" customFormat="false" ht="15" hidden="false" customHeight="false" outlineLevel="0" collapsed="false">
      <c r="A1329" s="8" t="s">
        <v>4529</v>
      </c>
      <c r="B1329" s="8" t="s">
        <v>9887</v>
      </c>
      <c r="C1329" s="8" t="s">
        <v>8680</v>
      </c>
      <c r="D1329" s="8" t="s">
        <v>132</v>
      </c>
      <c r="E1329" s="8" t="s">
        <v>51</v>
      </c>
      <c r="F1329" s="8" t="s">
        <v>2027</v>
      </c>
      <c r="G1329" s="8" t="s">
        <v>124</v>
      </c>
      <c r="H1329" s="8" t="s">
        <v>8675</v>
      </c>
      <c r="I1329" s="8" t="s">
        <v>9136</v>
      </c>
      <c r="J1329" s="8"/>
      <c r="K1329" s="8" t="s">
        <v>8690</v>
      </c>
      <c r="L1329" s="8" t="s">
        <v>9041</v>
      </c>
      <c r="M1329" s="8" t="s">
        <v>8721</v>
      </c>
      <c r="N1329" s="8" t="n">
        <v>12</v>
      </c>
      <c r="O1329" s="8" t="n">
        <v>31</v>
      </c>
      <c r="P1329" s="8" t="s">
        <v>120</v>
      </c>
    </row>
    <row r="1330" customFormat="false" ht="15" hidden="false" customHeight="false" outlineLevel="0" collapsed="false">
      <c r="A1330" s="8" t="s">
        <v>1825</v>
      </c>
      <c r="B1330" s="8" t="s">
        <v>1826</v>
      </c>
      <c r="C1330" s="8" t="s">
        <v>8678</v>
      </c>
      <c r="D1330" s="8" t="s">
        <v>132</v>
      </c>
      <c r="E1330" s="8" t="s">
        <v>51</v>
      </c>
      <c r="F1330" s="8" t="s">
        <v>326</v>
      </c>
      <c r="G1330" s="8" t="s">
        <v>154</v>
      </c>
      <c r="H1330" s="8" t="s">
        <v>8666</v>
      </c>
      <c r="I1330" s="8" t="s">
        <v>8893</v>
      </c>
      <c r="J1330" s="8" t="s">
        <v>177</v>
      </c>
      <c r="K1330" s="8" t="s">
        <v>8664</v>
      </c>
      <c r="L1330" s="8"/>
      <c r="M1330" s="8"/>
      <c r="N1330" s="8" t="n">
        <v>25</v>
      </c>
      <c r="O1330" s="8" t="n">
        <v>28</v>
      </c>
      <c r="P1330" s="8" t="s">
        <v>120</v>
      </c>
    </row>
    <row r="1331" customFormat="false" ht="15" hidden="false" customHeight="false" outlineLevel="0" collapsed="false">
      <c r="A1331" s="8" t="s">
        <v>3570</v>
      </c>
      <c r="B1331" s="8" t="s">
        <v>3571</v>
      </c>
      <c r="C1331" s="8" t="s">
        <v>8700</v>
      </c>
      <c r="D1331" s="8" t="s">
        <v>132</v>
      </c>
      <c r="E1331" s="8" t="s">
        <v>51</v>
      </c>
      <c r="F1331" s="8" t="s">
        <v>2027</v>
      </c>
      <c r="G1331" s="8" t="s">
        <v>190</v>
      </c>
      <c r="H1331" s="8" t="s">
        <v>8670</v>
      </c>
      <c r="I1331" s="8" t="s">
        <v>9050</v>
      </c>
      <c r="J1331" s="8" t="s">
        <v>180</v>
      </c>
      <c r="K1331" s="8" t="s">
        <v>8664</v>
      </c>
      <c r="L1331" s="8"/>
      <c r="M1331" s="8"/>
      <c r="N1331" s="8" t="n">
        <v>12</v>
      </c>
      <c r="O1331" s="8" t="n">
        <v>20</v>
      </c>
      <c r="P1331" s="8" t="s">
        <v>120</v>
      </c>
    </row>
    <row r="1332" customFormat="false" ht="15" hidden="false" customHeight="false" outlineLevel="0" collapsed="false">
      <c r="A1332" s="8" t="s">
        <v>2992</v>
      </c>
      <c r="B1332" s="8" t="s">
        <v>2993</v>
      </c>
      <c r="C1332" s="8" t="s">
        <v>8678</v>
      </c>
      <c r="D1332" s="8" t="s">
        <v>117</v>
      </c>
      <c r="E1332" s="8" t="s">
        <v>51</v>
      </c>
      <c r="F1332" s="8" t="s">
        <v>2027</v>
      </c>
      <c r="G1332" s="8" t="s">
        <v>136</v>
      </c>
      <c r="H1332" s="8" t="s">
        <v>8670</v>
      </c>
      <c r="I1332" s="8" t="s">
        <v>9833</v>
      </c>
      <c r="J1332" s="8" t="s">
        <v>144</v>
      </c>
      <c r="K1332" s="8" t="s">
        <v>8664</v>
      </c>
      <c r="L1332" s="8"/>
      <c r="M1332" s="8"/>
      <c r="N1332" s="8" t="n">
        <v>12</v>
      </c>
      <c r="O1332" s="8" t="n">
        <v>38</v>
      </c>
      <c r="P1332" s="8" t="s">
        <v>148</v>
      </c>
    </row>
    <row r="1333" customFormat="false" ht="15" hidden="false" customHeight="false" outlineLevel="0" collapsed="false">
      <c r="A1333" s="8" t="s">
        <v>1653</v>
      </c>
      <c r="B1333" s="8" t="s">
        <v>1654</v>
      </c>
      <c r="C1333" s="8" t="s">
        <v>8700</v>
      </c>
      <c r="D1333" s="8" t="s">
        <v>123</v>
      </c>
      <c r="E1333" s="8" t="s">
        <v>53</v>
      </c>
      <c r="F1333" s="8" t="s">
        <v>326</v>
      </c>
      <c r="G1333" s="8" t="s">
        <v>124</v>
      </c>
      <c r="H1333" s="8" t="s">
        <v>8666</v>
      </c>
      <c r="I1333" s="8" t="s">
        <v>9888</v>
      </c>
      <c r="J1333" s="8" t="s">
        <v>125</v>
      </c>
      <c r="K1333" s="8" t="s">
        <v>8664</v>
      </c>
      <c r="L1333" s="8"/>
      <c r="M1333" s="8"/>
      <c r="N1333" s="8" t="n">
        <v>25</v>
      </c>
      <c r="O1333" s="8" t="n">
        <v>60</v>
      </c>
      <c r="P1333" s="8" t="s">
        <v>120</v>
      </c>
    </row>
    <row r="1334" customFormat="false" ht="15" hidden="false" customHeight="false" outlineLevel="0" collapsed="false">
      <c r="A1334" s="8" t="s">
        <v>9889</v>
      </c>
      <c r="B1334" s="8" t="s">
        <v>9890</v>
      </c>
      <c r="C1334" s="8" t="s">
        <v>8674</v>
      </c>
      <c r="D1334" s="8" t="s">
        <v>123</v>
      </c>
      <c r="E1334" s="8" t="s">
        <v>55</v>
      </c>
      <c r="F1334" s="8" t="s">
        <v>55</v>
      </c>
      <c r="G1334" s="8" t="s">
        <v>133</v>
      </c>
      <c r="H1334" s="8" t="s">
        <v>8675</v>
      </c>
      <c r="I1334" s="8" t="s">
        <v>9165</v>
      </c>
      <c r="J1334" s="8"/>
      <c r="K1334" s="8" t="s">
        <v>8690</v>
      </c>
      <c r="L1334" s="8" t="s">
        <v>8968</v>
      </c>
      <c r="M1334" s="8" t="s">
        <v>8692</v>
      </c>
      <c r="N1334" s="8" t="n">
        <v>45</v>
      </c>
      <c r="O1334" s="8" t="n">
        <v>475</v>
      </c>
      <c r="P1334" s="8" t="s">
        <v>120</v>
      </c>
    </row>
    <row r="1335" customFormat="false" ht="15" hidden="false" customHeight="false" outlineLevel="0" collapsed="false">
      <c r="A1335" s="8" t="s">
        <v>665</v>
      </c>
      <c r="B1335" s="8" t="s">
        <v>666</v>
      </c>
      <c r="C1335" s="8" t="s">
        <v>8688</v>
      </c>
      <c r="D1335" s="8" t="s">
        <v>123</v>
      </c>
      <c r="E1335" s="8" t="s">
        <v>55</v>
      </c>
      <c r="F1335" s="8" t="s">
        <v>326</v>
      </c>
      <c r="G1335" s="8" t="s">
        <v>151</v>
      </c>
      <c r="H1335" s="8" t="s">
        <v>8670</v>
      </c>
      <c r="I1335" s="8" t="s">
        <v>9891</v>
      </c>
      <c r="J1335" s="8" t="s">
        <v>137</v>
      </c>
      <c r="K1335" s="8" t="s">
        <v>8664</v>
      </c>
      <c r="L1335" s="8"/>
      <c r="M1335" s="8"/>
      <c r="N1335" s="8" t="n">
        <v>25</v>
      </c>
      <c r="O1335" s="8" t="n">
        <v>267</v>
      </c>
      <c r="P1335" s="8" t="s">
        <v>120</v>
      </c>
    </row>
    <row r="1336" customFormat="false" ht="15" hidden="false" customHeight="false" outlineLevel="0" collapsed="false">
      <c r="A1336" s="8" t="s">
        <v>2358</v>
      </c>
      <c r="B1336" s="8" t="s">
        <v>2359</v>
      </c>
      <c r="C1336" s="8" t="s">
        <v>8669</v>
      </c>
      <c r="D1336" s="8" t="s">
        <v>117</v>
      </c>
      <c r="E1336" s="8" t="s">
        <v>51</v>
      </c>
      <c r="F1336" s="8" t="s">
        <v>2027</v>
      </c>
      <c r="G1336" s="8" t="s">
        <v>166</v>
      </c>
      <c r="H1336" s="8" t="s">
        <v>8670</v>
      </c>
      <c r="I1336" s="8" t="s">
        <v>8725</v>
      </c>
      <c r="J1336" s="8" t="s">
        <v>159</v>
      </c>
      <c r="K1336" s="8" t="s">
        <v>8664</v>
      </c>
      <c r="L1336" s="8"/>
      <c r="M1336" s="8"/>
      <c r="N1336" s="8" t="n">
        <v>12</v>
      </c>
      <c r="O1336" s="8" t="n">
        <v>32</v>
      </c>
      <c r="P1336" s="8" t="s">
        <v>120</v>
      </c>
    </row>
    <row r="1337" customFormat="false" ht="15" hidden="false" customHeight="false" outlineLevel="0" collapsed="false">
      <c r="A1337" s="8" t="s">
        <v>1035</v>
      </c>
      <c r="B1337" s="8" t="s">
        <v>1036</v>
      </c>
      <c r="C1337" s="8" t="s">
        <v>8669</v>
      </c>
      <c r="D1337" s="8" t="s">
        <v>123</v>
      </c>
      <c r="E1337" s="8" t="s">
        <v>53</v>
      </c>
      <c r="F1337" s="8" t="s">
        <v>326</v>
      </c>
      <c r="G1337" s="8" t="s">
        <v>190</v>
      </c>
      <c r="H1337" s="8" t="s">
        <v>8670</v>
      </c>
      <c r="I1337" s="8" t="s">
        <v>9544</v>
      </c>
      <c r="J1337" s="8" t="s">
        <v>119</v>
      </c>
      <c r="K1337" s="8" t="s">
        <v>8664</v>
      </c>
      <c r="L1337" s="8"/>
      <c r="M1337" s="8"/>
      <c r="N1337" s="8" t="n">
        <v>25</v>
      </c>
      <c r="O1337" s="8" t="n">
        <v>159</v>
      </c>
      <c r="P1337" s="8" t="s">
        <v>120</v>
      </c>
    </row>
    <row r="1338" customFormat="false" ht="15" hidden="false" customHeight="false" outlineLevel="0" collapsed="false">
      <c r="A1338" s="8" t="s">
        <v>4469</v>
      </c>
      <c r="B1338" s="8" t="s">
        <v>9892</v>
      </c>
      <c r="C1338" s="8" t="s">
        <v>8665</v>
      </c>
      <c r="D1338" s="8" t="s">
        <v>128</v>
      </c>
      <c r="E1338" s="8" t="s">
        <v>53</v>
      </c>
      <c r="F1338" s="8" t="s">
        <v>326</v>
      </c>
      <c r="G1338" s="8" t="s">
        <v>133</v>
      </c>
      <c r="H1338" s="8" t="s">
        <v>8675</v>
      </c>
      <c r="I1338" s="8" t="s">
        <v>8840</v>
      </c>
      <c r="J1338" s="8"/>
      <c r="K1338" s="8" t="s">
        <v>8690</v>
      </c>
      <c r="L1338" s="8" t="s">
        <v>9487</v>
      </c>
      <c r="M1338" s="8" t="s">
        <v>8696</v>
      </c>
      <c r="N1338" s="8" t="n">
        <v>25</v>
      </c>
      <c r="O1338" s="8" t="n">
        <v>88</v>
      </c>
      <c r="P1338" s="8" t="s">
        <v>148</v>
      </c>
    </row>
    <row r="1339" customFormat="false" ht="15" hidden="false" customHeight="false" outlineLevel="0" collapsed="false">
      <c r="A1339" s="8" t="s">
        <v>4444</v>
      </c>
      <c r="B1339" s="8" t="s">
        <v>9893</v>
      </c>
      <c r="C1339" s="8" t="s">
        <v>8678</v>
      </c>
      <c r="D1339" s="8" t="s">
        <v>132</v>
      </c>
      <c r="E1339" s="8" t="s">
        <v>53</v>
      </c>
      <c r="F1339" s="8" t="s">
        <v>326</v>
      </c>
      <c r="G1339" s="8" t="s">
        <v>151</v>
      </c>
      <c r="H1339" s="8" t="s">
        <v>8666</v>
      </c>
      <c r="I1339" s="8" t="s">
        <v>9085</v>
      </c>
      <c r="J1339" s="8"/>
      <c r="K1339" s="8" t="s">
        <v>8690</v>
      </c>
      <c r="L1339" s="8" t="s">
        <v>9556</v>
      </c>
      <c r="M1339" s="8" t="s">
        <v>8696</v>
      </c>
      <c r="N1339" s="8" t="n">
        <v>25</v>
      </c>
      <c r="O1339" s="8" t="n">
        <v>123</v>
      </c>
      <c r="P1339" s="8" t="s">
        <v>120</v>
      </c>
    </row>
    <row r="1340" customFormat="false" ht="15" hidden="false" customHeight="false" outlineLevel="0" collapsed="false">
      <c r="A1340" s="8" t="s">
        <v>4477</v>
      </c>
      <c r="B1340" s="8" t="s">
        <v>9894</v>
      </c>
      <c r="C1340" s="8" t="s">
        <v>8674</v>
      </c>
      <c r="D1340" s="8" t="s">
        <v>123</v>
      </c>
      <c r="E1340" s="8" t="s">
        <v>53</v>
      </c>
      <c r="F1340" s="8" t="s">
        <v>326</v>
      </c>
      <c r="G1340" s="8" t="s">
        <v>223</v>
      </c>
      <c r="H1340" s="8" t="s">
        <v>8666</v>
      </c>
      <c r="I1340" s="8" t="s">
        <v>9300</v>
      </c>
      <c r="J1340" s="8"/>
      <c r="K1340" s="8" t="s">
        <v>8690</v>
      </c>
      <c r="L1340" s="8" t="s">
        <v>9895</v>
      </c>
      <c r="M1340" s="8" t="s">
        <v>8692</v>
      </c>
      <c r="N1340" s="8" t="n">
        <v>25</v>
      </c>
      <c r="O1340" s="8" t="n">
        <v>40</v>
      </c>
      <c r="P1340" s="8" t="s">
        <v>120</v>
      </c>
    </row>
    <row r="1341" customFormat="false" ht="15" hidden="false" customHeight="false" outlineLevel="0" collapsed="false">
      <c r="A1341" s="8" t="s">
        <v>3362</v>
      </c>
      <c r="B1341" s="8" t="s">
        <v>3363</v>
      </c>
      <c r="C1341" s="8" t="s">
        <v>8665</v>
      </c>
      <c r="D1341" s="8" t="s">
        <v>123</v>
      </c>
      <c r="E1341" s="8" t="s">
        <v>51</v>
      </c>
      <c r="F1341" s="8" t="s">
        <v>2027</v>
      </c>
      <c r="G1341" s="8" t="s">
        <v>154</v>
      </c>
      <c r="H1341" s="8" t="s">
        <v>8675</v>
      </c>
      <c r="I1341" s="8" t="s">
        <v>9563</v>
      </c>
      <c r="J1341" s="8" t="s">
        <v>144</v>
      </c>
      <c r="K1341" s="8" t="s">
        <v>8664</v>
      </c>
      <c r="L1341" s="8"/>
      <c r="M1341" s="8"/>
      <c r="N1341" s="8" t="n">
        <v>12</v>
      </c>
      <c r="O1341" s="8" t="n">
        <v>24</v>
      </c>
      <c r="P1341" s="8" t="s">
        <v>120</v>
      </c>
    </row>
    <row r="1342" customFormat="false" ht="15" hidden="false" customHeight="false" outlineLevel="0" collapsed="false">
      <c r="A1342" s="8" t="s">
        <v>2792</v>
      </c>
      <c r="B1342" s="8" t="s">
        <v>2793</v>
      </c>
      <c r="C1342" s="8" t="s">
        <v>8669</v>
      </c>
      <c r="D1342" s="8" t="s">
        <v>117</v>
      </c>
      <c r="E1342" s="8" t="s">
        <v>51</v>
      </c>
      <c r="F1342" s="8" t="s">
        <v>326</v>
      </c>
      <c r="G1342" s="8" t="s">
        <v>166</v>
      </c>
      <c r="H1342" s="8" t="s">
        <v>8670</v>
      </c>
      <c r="I1342" s="8" t="s">
        <v>8803</v>
      </c>
      <c r="J1342" s="8" t="s">
        <v>147</v>
      </c>
      <c r="K1342" s="8" t="s">
        <v>8664</v>
      </c>
      <c r="L1342" s="8"/>
      <c r="M1342" s="8"/>
      <c r="N1342" s="8" t="n">
        <v>25</v>
      </c>
      <c r="O1342" s="8" t="n">
        <v>16</v>
      </c>
      <c r="P1342" s="8" t="s">
        <v>120</v>
      </c>
    </row>
    <row r="1343" customFormat="false" ht="15" hidden="false" customHeight="false" outlineLevel="0" collapsed="false">
      <c r="A1343" s="8" t="s">
        <v>2994</v>
      </c>
      <c r="B1343" s="8" t="s">
        <v>2995</v>
      </c>
      <c r="C1343" s="8" t="s">
        <v>8674</v>
      </c>
      <c r="D1343" s="8" t="s">
        <v>117</v>
      </c>
      <c r="E1343" s="8" t="s">
        <v>51</v>
      </c>
      <c r="F1343" s="8" t="s">
        <v>2027</v>
      </c>
      <c r="G1343" s="8" t="s">
        <v>118</v>
      </c>
      <c r="H1343" s="8" t="s">
        <v>8670</v>
      </c>
      <c r="I1343" s="8" t="s">
        <v>9379</v>
      </c>
      <c r="J1343" s="8" t="s">
        <v>147</v>
      </c>
      <c r="K1343" s="8" t="s">
        <v>8664</v>
      </c>
      <c r="L1343" s="8"/>
      <c r="M1343" s="8"/>
      <c r="N1343" s="8" t="n">
        <v>12</v>
      </c>
      <c r="O1343" s="8" t="n">
        <v>30</v>
      </c>
      <c r="P1343" s="8" t="s">
        <v>120</v>
      </c>
    </row>
    <row r="1344" customFormat="false" ht="15" hidden="false" customHeight="false" outlineLevel="0" collapsed="false">
      <c r="A1344" s="8" t="s">
        <v>3282</v>
      </c>
      <c r="B1344" s="8" t="s">
        <v>3283</v>
      </c>
      <c r="C1344" s="8" t="s">
        <v>8680</v>
      </c>
      <c r="D1344" s="8" t="s">
        <v>123</v>
      </c>
      <c r="E1344" s="8" t="s">
        <v>51</v>
      </c>
      <c r="F1344" s="8" t="s">
        <v>2027</v>
      </c>
      <c r="G1344" s="8" t="s">
        <v>190</v>
      </c>
      <c r="H1344" s="8" t="s">
        <v>8675</v>
      </c>
      <c r="I1344" s="8" t="s">
        <v>9896</v>
      </c>
      <c r="J1344" s="8" t="s">
        <v>185</v>
      </c>
      <c r="K1344" s="8" t="s">
        <v>8664</v>
      </c>
      <c r="L1344" s="8"/>
      <c r="M1344" s="8"/>
      <c r="N1344" s="8" t="n">
        <v>12</v>
      </c>
      <c r="O1344" s="8" t="n">
        <v>25</v>
      </c>
      <c r="P1344" s="8" t="s">
        <v>120</v>
      </c>
    </row>
    <row r="1345" customFormat="false" ht="15" hidden="false" customHeight="false" outlineLevel="0" collapsed="false">
      <c r="A1345" s="8" t="s">
        <v>2566</v>
      </c>
      <c r="B1345" s="8" t="s">
        <v>2567</v>
      </c>
      <c r="C1345" s="8" t="s">
        <v>8700</v>
      </c>
      <c r="D1345" s="8" t="s">
        <v>117</v>
      </c>
      <c r="E1345" s="8" t="s">
        <v>51</v>
      </c>
      <c r="F1345" s="8" t="s">
        <v>2027</v>
      </c>
      <c r="G1345" s="8" t="s">
        <v>136</v>
      </c>
      <c r="H1345" s="8" t="s">
        <v>8666</v>
      </c>
      <c r="I1345" s="8" t="s">
        <v>9585</v>
      </c>
      <c r="J1345" s="8" t="s">
        <v>119</v>
      </c>
      <c r="K1345" s="8" t="s">
        <v>8664</v>
      </c>
      <c r="L1345" s="8"/>
      <c r="M1345" s="8"/>
      <c r="N1345" s="8" t="n">
        <v>12</v>
      </c>
      <c r="O1345" s="8" t="n">
        <v>32</v>
      </c>
      <c r="P1345" s="8" t="s">
        <v>120</v>
      </c>
    </row>
    <row r="1346" customFormat="false" ht="15" hidden="false" customHeight="false" outlineLevel="0" collapsed="false">
      <c r="A1346" s="8" t="s">
        <v>4424</v>
      </c>
      <c r="B1346" s="8" t="s">
        <v>9897</v>
      </c>
      <c r="C1346" s="8" t="s">
        <v>8688</v>
      </c>
      <c r="D1346" s="8" t="s">
        <v>132</v>
      </c>
      <c r="E1346" s="8" t="s">
        <v>53</v>
      </c>
      <c r="F1346" s="8" t="s">
        <v>55</v>
      </c>
      <c r="G1346" s="8" t="s">
        <v>166</v>
      </c>
      <c r="H1346" s="8" t="s">
        <v>8670</v>
      </c>
      <c r="I1346" s="8" t="s">
        <v>9464</v>
      </c>
      <c r="J1346" s="8"/>
      <c r="K1346" s="8" t="s">
        <v>8690</v>
      </c>
      <c r="L1346" s="8" t="s">
        <v>9898</v>
      </c>
      <c r="M1346" s="8" t="s">
        <v>8692</v>
      </c>
      <c r="N1346" s="8" t="n">
        <v>45</v>
      </c>
      <c r="O1346" s="8" t="n">
        <v>151</v>
      </c>
      <c r="P1346" s="8" t="s">
        <v>148</v>
      </c>
    </row>
    <row r="1347" customFormat="false" ht="15" hidden="false" customHeight="false" outlineLevel="0" collapsed="false">
      <c r="A1347" s="8" t="s">
        <v>2520</v>
      </c>
      <c r="B1347" s="8" t="s">
        <v>2521</v>
      </c>
      <c r="C1347" s="8" t="s">
        <v>8700</v>
      </c>
      <c r="D1347" s="8" t="s">
        <v>123</v>
      </c>
      <c r="E1347" s="8" t="s">
        <v>51</v>
      </c>
      <c r="F1347" s="8" t="s">
        <v>2027</v>
      </c>
      <c r="G1347" s="8" t="s">
        <v>151</v>
      </c>
      <c r="H1347" s="8" t="s">
        <v>8666</v>
      </c>
      <c r="I1347" s="8" t="s">
        <v>9473</v>
      </c>
      <c r="J1347" s="8" t="s">
        <v>147</v>
      </c>
      <c r="K1347" s="8" t="s">
        <v>8664</v>
      </c>
      <c r="L1347" s="8"/>
      <c r="M1347" s="8"/>
      <c r="N1347" s="8" t="n">
        <v>12</v>
      </c>
      <c r="O1347" s="8" t="n">
        <v>38</v>
      </c>
      <c r="P1347" s="8" t="s">
        <v>120</v>
      </c>
    </row>
    <row r="1348" customFormat="false" ht="15" hidden="false" customHeight="false" outlineLevel="0" collapsed="false">
      <c r="A1348" s="8" t="s">
        <v>3632</v>
      </c>
      <c r="B1348" s="8" t="s">
        <v>3633</v>
      </c>
      <c r="C1348" s="8" t="s">
        <v>8680</v>
      </c>
      <c r="D1348" s="8" t="s">
        <v>132</v>
      </c>
      <c r="E1348" s="8" t="s">
        <v>51</v>
      </c>
      <c r="F1348" s="8" t="s">
        <v>326</v>
      </c>
      <c r="G1348" s="8" t="s">
        <v>151</v>
      </c>
      <c r="H1348" s="8" t="s">
        <v>8670</v>
      </c>
      <c r="I1348" s="8" t="s">
        <v>8735</v>
      </c>
      <c r="J1348" s="8" t="s">
        <v>147</v>
      </c>
      <c r="K1348" s="8" t="s">
        <v>8664</v>
      </c>
      <c r="L1348" s="8"/>
      <c r="M1348" s="8"/>
      <c r="N1348" s="8" t="n">
        <v>25</v>
      </c>
      <c r="O1348" s="8" t="n">
        <v>11</v>
      </c>
      <c r="P1348" s="8" t="s">
        <v>120</v>
      </c>
    </row>
    <row r="1349" customFormat="false" ht="15" hidden="false" customHeight="false" outlineLevel="0" collapsed="false">
      <c r="A1349" s="8" t="s">
        <v>795</v>
      </c>
      <c r="B1349" s="8" t="s">
        <v>796</v>
      </c>
      <c r="C1349" s="8" t="s">
        <v>8688</v>
      </c>
      <c r="D1349" s="8" t="s">
        <v>123</v>
      </c>
      <c r="E1349" s="8" t="s">
        <v>53</v>
      </c>
      <c r="F1349" s="8" t="s">
        <v>326</v>
      </c>
      <c r="G1349" s="8" t="s">
        <v>133</v>
      </c>
      <c r="H1349" s="8" t="s">
        <v>8662</v>
      </c>
      <c r="I1349" s="8" t="s">
        <v>9221</v>
      </c>
      <c r="J1349" s="8" t="s">
        <v>119</v>
      </c>
      <c r="K1349" s="8" t="s">
        <v>8664</v>
      </c>
      <c r="L1349" s="8"/>
      <c r="M1349" s="8"/>
      <c r="N1349" s="8" t="n">
        <v>25</v>
      </c>
      <c r="O1349" s="8" t="n">
        <v>197</v>
      </c>
      <c r="P1349" s="8" t="s">
        <v>120</v>
      </c>
    </row>
    <row r="1350" customFormat="false" ht="15" hidden="false" customHeight="false" outlineLevel="0" collapsed="false">
      <c r="A1350" s="8" t="s">
        <v>1987</v>
      </c>
      <c r="B1350" s="8" t="s">
        <v>1988</v>
      </c>
      <c r="C1350" s="8" t="s">
        <v>8678</v>
      </c>
      <c r="D1350" s="8" t="s">
        <v>123</v>
      </c>
      <c r="E1350" s="8" t="s">
        <v>51</v>
      </c>
      <c r="F1350" s="8" t="s">
        <v>326</v>
      </c>
      <c r="G1350" s="8" t="s">
        <v>124</v>
      </c>
      <c r="H1350" s="8" t="s">
        <v>8670</v>
      </c>
      <c r="I1350" s="8" t="s">
        <v>9666</v>
      </c>
      <c r="J1350" s="8" t="s">
        <v>125</v>
      </c>
      <c r="K1350" s="8" t="s">
        <v>8664</v>
      </c>
      <c r="L1350" s="8"/>
      <c r="M1350" s="8"/>
      <c r="N1350" s="8" t="n">
        <v>25</v>
      </c>
      <c r="O1350" s="8" t="n">
        <v>32</v>
      </c>
      <c r="P1350" s="8" t="s">
        <v>120</v>
      </c>
    </row>
    <row r="1351" customFormat="false" ht="15" hidden="false" customHeight="false" outlineLevel="0" collapsed="false">
      <c r="A1351" s="8" t="s">
        <v>2996</v>
      </c>
      <c r="B1351" s="8" t="s">
        <v>2997</v>
      </c>
      <c r="C1351" s="8" t="s">
        <v>8674</v>
      </c>
      <c r="D1351" s="8" t="s">
        <v>123</v>
      </c>
      <c r="E1351" s="8" t="s">
        <v>51</v>
      </c>
      <c r="F1351" s="8" t="s">
        <v>2027</v>
      </c>
      <c r="G1351" s="8" t="s">
        <v>136</v>
      </c>
      <c r="H1351" s="8" t="s">
        <v>8666</v>
      </c>
      <c r="I1351" s="8" t="s">
        <v>9148</v>
      </c>
      <c r="J1351" s="8" t="s">
        <v>177</v>
      </c>
      <c r="K1351" s="8" t="s">
        <v>8664</v>
      </c>
      <c r="L1351" s="8"/>
      <c r="M1351" s="8"/>
      <c r="N1351" s="8" t="n">
        <v>12</v>
      </c>
      <c r="O1351" s="8" t="n">
        <v>22</v>
      </c>
      <c r="P1351" s="8" t="s">
        <v>120</v>
      </c>
    </row>
    <row r="1352" customFormat="false" ht="15" hidden="false" customHeight="false" outlineLevel="0" collapsed="false">
      <c r="A1352" s="8" t="s">
        <v>1957</v>
      </c>
      <c r="B1352" s="8" t="s">
        <v>1958</v>
      </c>
      <c r="C1352" s="8" t="s">
        <v>8661</v>
      </c>
      <c r="D1352" s="8" t="s">
        <v>132</v>
      </c>
      <c r="E1352" s="8" t="s">
        <v>51</v>
      </c>
      <c r="F1352" s="8" t="s">
        <v>326</v>
      </c>
      <c r="G1352" s="8" t="s">
        <v>151</v>
      </c>
      <c r="H1352" s="8" t="s">
        <v>8670</v>
      </c>
      <c r="I1352" s="8" t="s">
        <v>8892</v>
      </c>
      <c r="J1352" s="8" t="s">
        <v>185</v>
      </c>
      <c r="K1352" s="8" t="s">
        <v>8664</v>
      </c>
      <c r="L1352" s="8"/>
      <c r="M1352" s="8"/>
      <c r="N1352" s="8" t="n">
        <v>25</v>
      </c>
      <c r="O1352" s="8" t="n">
        <v>23</v>
      </c>
      <c r="P1352" s="8" t="s">
        <v>120</v>
      </c>
    </row>
    <row r="1353" customFormat="false" ht="15" hidden="false" customHeight="false" outlineLevel="0" collapsed="false">
      <c r="A1353" s="8" t="s">
        <v>9899</v>
      </c>
      <c r="B1353" s="8" t="s">
        <v>9900</v>
      </c>
      <c r="C1353" s="8" t="s">
        <v>8688</v>
      </c>
      <c r="D1353" s="8" t="s">
        <v>117</v>
      </c>
      <c r="E1353" s="8" t="s">
        <v>51</v>
      </c>
      <c r="F1353" s="8" t="s">
        <v>326</v>
      </c>
      <c r="G1353" s="8" t="s">
        <v>190</v>
      </c>
      <c r="H1353" s="8" t="s">
        <v>8675</v>
      </c>
      <c r="I1353" s="8" t="s">
        <v>8948</v>
      </c>
      <c r="J1353" s="8"/>
      <c r="K1353" s="8" t="s">
        <v>8690</v>
      </c>
      <c r="L1353" s="8" t="s">
        <v>9901</v>
      </c>
      <c r="M1353" s="8" t="s">
        <v>8705</v>
      </c>
      <c r="N1353" s="8" t="n">
        <v>25</v>
      </c>
      <c r="O1353" s="8" t="n">
        <v>10</v>
      </c>
      <c r="P1353" s="8" t="s">
        <v>120</v>
      </c>
    </row>
    <row r="1354" customFormat="false" ht="15" hidden="false" customHeight="false" outlineLevel="0" collapsed="false">
      <c r="A1354" s="8" t="s">
        <v>3180</v>
      </c>
      <c r="B1354" s="8" t="s">
        <v>3181</v>
      </c>
      <c r="C1354" s="8" t="s">
        <v>8661</v>
      </c>
      <c r="D1354" s="8" t="s">
        <v>132</v>
      </c>
      <c r="E1354" s="8" t="s">
        <v>51</v>
      </c>
      <c r="F1354" s="8" t="s">
        <v>2027</v>
      </c>
      <c r="G1354" s="8" t="s">
        <v>166</v>
      </c>
      <c r="H1354" s="8" t="s">
        <v>8662</v>
      </c>
      <c r="I1354" s="8" t="s">
        <v>9807</v>
      </c>
      <c r="J1354" s="8" t="s">
        <v>177</v>
      </c>
      <c r="K1354" s="8" t="s">
        <v>8664</v>
      </c>
      <c r="L1354" s="8"/>
      <c r="M1354" s="8"/>
      <c r="N1354" s="8" t="n">
        <v>12</v>
      </c>
      <c r="O1354" s="8" t="n">
        <v>27</v>
      </c>
      <c r="P1354" s="8" t="s">
        <v>120</v>
      </c>
    </row>
    <row r="1355" customFormat="false" ht="15" hidden="false" customHeight="false" outlineLevel="0" collapsed="false">
      <c r="A1355" s="8" t="s">
        <v>1711</v>
      </c>
      <c r="B1355" s="8" t="s">
        <v>1712</v>
      </c>
      <c r="C1355" s="8" t="s">
        <v>8665</v>
      </c>
      <c r="D1355" s="8" t="s">
        <v>123</v>
      </c>
      <c r="E1355" s="8" t="s">
        <v>51</v>
      </c>
      <c r="F1355" s="8" t="s">
        <v>326</v>
      </c>
      <c r="G1355" s="8" t="s">
        <v>166</v>
      </c>
      <c r="H1355" s="8" t="s">
        <v>8662</v>
      </c>
      <c r="I1355" s="8" t="s">
        <v>9098</v>
      </c>
      <c r="J1355" s="8" t="s">
        <v>159</v>
      </c>
      <c r="K1355" s="8" t="s">
        <v>8664</v>
      </c>
      <c r="L1355" s="8"/>
      <c r="M1355" s="8"/>
      <c r="N1355" s="8" t="n">
        <v>25</v>
      </c>
      <c r="O1355" s="8" t="n">
        <v>34</v>
      </c>
      <c r="P1355" s="8" t="s">
        <v>120</v>
      </c>
    </row>
    <row r="1356" customFormat="false" ht="15" hidden="false" customHeight="false" outlineLevel="0" collapsed="false">
      <c r="A1356" s="8" t="s">
        <v>1371</v>
      </c>
      <c r="B1356" s="8" t="s">
        <v>1372</v>
      </c>
      <c r="C1356" s="8" t="s">
        <v>8680</v>
      </c>
      <c r="D1356" s="8" t="s">
        <v>123</v>
      </c>
      <c r="E1356" s="8" t="s">
        <v>53</v>
      </c>
      <c r="F1356" s="8" t="s">
        <v>326</v>
      </c>
      <c r="G1356" s="8" t="s">
        <v>223</v>
      </c>
      <c r="H1356" s="8" t="s">
        <v>8662</v>
      </c>
      <c r="I1356" s="8" t="s">
        <v>9902</v>
      </c>
      <c r="J1356" s="8" t="s">
        <v>140</v>
      </c>
      <c r="K1356" s="8" t="s">
        <v>8664</v>
      </c>
      <c r="L1356" s="8"/>
      <c r="M1356" s="8"/>
      <c r="N1356" s="8" t="n">
        <v>25</v>
      </c>
      <c r="O1356" s="8" t="n">
        <v>111</v>
      </c>
      <c r="P1356" s="8" t="s">
        <v>120</v>
      </c>
    </row>
    <row r="1357" customFormat="false" ht="15" hidden="false" customHeight="false" outlineLevel="0" collapsed="false">
      <c r="A1357" s="8" t="s">
        <v>2240</v>
      </c>
      <c r="B1357" s="8" t="s">
        <v>2241</v>
      </c>
      <c r="C1357" s="8" t="s">
        <v>8661</v>
      </c>
      <c r="D1357" s="8" t="s">
        <v>132</v>
      </c>
      <c r="E1357" s="8" t="s">
        <v>51</v>
      </c>
      <c r="F1357" s="8" t="s">
        <v>2027</v>
      </c>
      <c r="G1357" s="8" t="s">
        <v>223</v>
      </c>
      <c r="H1357" s="8" t="s">
        <v>8662</v>
      </c>
      <c r="I1357" s="8" t="s">
        <v>9449</v>
      </c>
      <c r="J1357" s="8" t="s">
        <v>144</v>
      </c>
      <c r="K1357" s="8" t="s">
        <v>8664</v>
      </c>
      <c r="L1357" s="8"/>
      <c r="M1357" s="8"/>
      <c r="N1357" s="8" t="n">
        <v>12</v>
      </c>
      <c r="O1357" s="8" t="n">
        <v>38</v>
      </c>
      <c r="P1357" s="8" t="s">
        <v>120</v>
      </c>
    </row>
    <row r="1358" customFormat="false" ht="15" hidden="false" customHeight="false" outlineLevel="0" collapsed="false">
      <c r="A1358" s="8" t="s">
        <v>9903</v>
      </c>
      <c r="B1358" s="8" t="s">
        <v>9904</v>
      </c>
      <c r="C1358" s="8" t="s">
        <v>8661</v>
      </c>
      <c r="D1358" s="8" t="s">
        <v>117</v>
      </c>
      <c r="E1358" s="8" t="s">
        <v>53</v>
      </c>
      <c r="F1358" s="8" t="s">
        <v>326</v>
      </c>
      <c r="G1358" s="8" t="s">
        <v>143</v>
      </c>
      <c r="H1358" s="8" t="s">
        <v>8675</v>
      </c>
      <c r="I1358" s="8" t="s">
        <v>9905</v>
      </c>
      <c r="J1358" s="8"/>
      <c r="K1358" s="8" t="s">
        <v>8690</v>
      </c>
      <c r="L1358" s="8" t="s">
        <v>9210</v>
      </c>
      <c r="M1358" s="8" t="s">
        <v>8721</v>
      </c>
      <c r="N1358" s="8" t="n">
        <v>25</v>
      </c>
      <c r="O1358" s="8" t="n">
        <v>106</v>
      </c>
      <c r="P1358" s="8" t="s">
        <v>120</v>
      </c>
    </row>
    <row r="1359" customFormat="false" ht="15" hidden="false" customHeight="false" outlineLevel="0" collapsed="false">
      <c r="A1359" s="8" t="s">
        <v>3364</v>
      </c>
      <c r="B1359" s="8" t="s">
        <v>3365</v>
      </c>
      <c r="C1359" s="8" t="s">
        <v>8700</v>
      </c>
      <c r="D1359" s="8" t="s">
        <v>123</v>
      </c>
      <c r="E1359" s="8" t="s">
        <v>51</v>
      </c>
      <c r="F1359" s="8" t="s">
        <v>2027</v>
      </c>
      <c r="G1359" s="8" t="s">
        <v>223</v>
      </c>
      <c r="H1359" s="8" t="s">
        <v>8666</v>
      </c>
      <c r="I1359" s="8" t="s">
        <v>9620</v>
      </c>
      <c r="J1359" s="8" t="s">
        <v>119</v>
      </c>
      <c r="K1359" s="8" t="s">
        <v>8664</v>
      </c>
      <c r="L1359" s="8"/>
      <c r="M1359" s="8"/>
      <c r="N1359" s="8" t="n">
        <v>12</v>
      </c>
      <c r="O1359" s="8" t="n">
        <v>24</v>
      </c>
      <c r="P1359" s="8" t="s">
        <v>120</v>
      </c>
    </row>
    <row r="1360" customFormat="false" ht="15" hidden="false" customHeight="false" outlineLevel="0" collapsed="false">
      <c r="A1360" s="8" t="s">
        <v>693</v>
      </c>
      <c r="B1360" s="8" t="s">
        <v>694</v>
      </c>
      <c r="C1360" s="8" t="s">
        <v>8680</v>
      </c>
      <c r="D1360" s="8" t="s">
        <v>132</v>
      </c>
      <c r="E1360" s="8" t="s">
        <v>53</v>
      </c>
      <c r="F1360" s="8" t="s">
        <v>326</v>
      </c>
      <c r="G1360" s="8" t="s">
        <v>118</v>
      </c>
      <c r="H1360" s="8" t="s">
        <v>8666</v>
      </c>
      <c r="I1360" s="8" t="s">
        <v>9419</v>
      </c>
      <c r="J1360" s="8" t="s">
        <v>119</v>
      </c>
      <c r="K1360" s="8" t="s">
        <v>8664</v>
      </c>
      <c r="L1360" s="8"/>
      <c r="M1360" s="8"/>
      <c r="N1360" s="8" t="n">
        <v>25</v>
      </c>
      <c r="O1360" s="8" t="n">
        <v>193</v>
      </c>
      <c r="P1360" s="8" t="s">
        <v>120</v>
      </c>
    </row>
    <row r="1361" customFormat="false" ht="15" hidden="false" customHeight="false" outlineLevel="0" collapsed="false">
      <c r="A1361" s="8" t="s">
        <v>2410</v>
      </c>
      <c r="B1361" s="8" t="s">
        <v>2411</v>
      </c>
      <c r="C1361" s="8" t="s">
        <v>8700</v>
      </c>
      <c r="D1361" s="8" t="s">
        <v>132</v>
      </c>
      <c r="E1361" s="8" t="s">
        <v>51</v>
      </c>
      <c r="F1361" s="8" t="s">
        <v>2027</v>
      </c>
      <c r="G1361" s="8" t="s">
        <v>124</v>
      </c>
      <c r="H1361" s="8" t="s">
        <v>8670</v>
      </c>
      <c r="I1361" s="8" t="s">
        <v>9622</v>
      </c>
      <c r="J1361" s="8" t="s">
        <v>125</v>
      </c>
      <c r="K1361" s="8" t="s">
        <v>8664</v>
      </c>
      <c r="L1361" s="8"/>
      <c r="M1361" s="8"/>
      <c r="N1361" s="8" t="n">
        <v>12</v>
      </c>
      <c r="O1361" s="8" t="n">
        <v>33</v>
      </c>
      <c r="P1361" s="8" t="s">
        <v>120</v>
      </c>
    </row>
    <row r="1362" customFormat="false" ht="15" hidden="false" customHeight="false" outlineLevel="0" collapsed="false">
      <c r="A1362" s="8" t="s">
        <v>2216</v>
      </c>
      <c r="B1362" s="8" t="s">
        <v>2217</v>
      </c>
      <c r="C1362" s="8" t="s">
        <v>8680</v>
      </c>
      <c r="D1362" s="8" t="s">
        <v>132</v>
      </c>
      <c r="E1362" s="8" t="s">
        <v>51</v>
      </c>
      <c r="F1362" s="8" t="s">
        <v>326</v>
      </c>
      <c r="G1362" s="8" t="s">
        <v>133</v>
      </c>
      <c r="H1362" s="8" t="s">
        <v>8670</v>
      </c>
      <c r="I1362" s="8" t="s">
        <v>8908</v>
      </c>
      <c r="J1362" s="8" t="s">
        <v>137</v>
      </c>
      <c r="K1362" s="8" t="s">
        <v>8664</v>
      </c>
      <c r="L1362" s="8"/>
      <c r="M1362" s="8"/>
      <c r="N1362" s="8" t="n">
        <v>25</v>
      </c>
      <c r="O1362" s="8" t="n">
        <v>24</v>
      </c>
      <c r="P1362" s="8" t="s">
        <v>148</v>
      </c>
    </row>
    <row r="1363" customFormat="false" ht="15" hidden="false" customHeight="false" outlineLevel="0" collapsed="false">
      <c r="A1363" s="8" t="s">
        <v>2758</v>
      </c>
      <c r="B1363" s="8" t="s">
        <v>2759</v>
      </c>
      <c r="C1363" s="8" t="s">
        <v>8678</v>
      </c>
      <c r="D1363" s="8" t="s">
        <v>132</v>
      </c>
      <c r="E1363" s="8" t="s">
        <v>51</v>
      </c>
      <c r="F1363" s="8" t="s">
        <v>2027</v>
      </c>
      <c r="G1363" s="8" t="s">
        <v>190</v>
      </c>
      <c r="H1363" s="8" t="s">
        <v>8666</v>
      </c>
      <c r="I1363" s="8" t="s">
        <v>9323</v>
      </c>
      <c r="J1363" s="8" t="s">
        <v>125</v>
      </c>
      <c r="K1363" s="8" t="s">
        <v>8664</v>
      </c>
      <c r="L1363" s="8"/>
      <c r="M1363" s="8"/>
      <c r="N1363" s="8" t="n">
        <v>12</v>
      </c>
      <c r="O1363" s="8" t="n">
        <v>34</v>
      </c>
      <c r="P1363" s="8" t="s">
        <v>120</v>
      </c>
    </row>
    <row r="1364" customFormat="false" ht="15" hidden="false" customHeight="false" outlineLevel="0" collapsed="false">
      <c r="A1364" s="8" t="s">
        <v>3476</v>
      </c>
      <c r="B1364" s="8" t="s">
        <v>3477</v>
      </c>
      <c r="C1364" s="8" t="s">
        <v>8688</v>
      </c>
      <c r="D1364" s="8" t="s">
        <v>123</v>
      </c>
      <c r="E1364" s="8" t="s">
        <v>51</v>
      </c>
      <c r="F1364" s="8" t="s">
        <v>2027</v>
      </c>
      <c r="G1364" s="8" t="s">
        <v>154</v>
      </c>
      <c r="H1364" s="8" t="s">
        <v>8670</v>
      </c>
      <c r="I1364" s="8" t="s">
        <v>8679</v>
      </c>
      <c r="J1364" s="8" t="s">
        <v>204</v>
      </c>
      <c r="K1364" s="8" t="s">
        <v>8664</v>
      </c>
      <c r="L1364" s="8"/>
      <c r="M1364" s="8"/>
      <c r="N1364" s="8" t="n">
        <v>12</v>
      </c>
      <c r="O1364" s="8" t="n">
        <v>19</v>
      </c>
      <c r="P1364" s="8" t="s">
        <v>120</v>
      </c>
    </row>
    <row r="1365" customFormat="false" ht="15" hidden="false" customHeight="false" outlineLevel="0" collapsed="false">
      <c r="A1365" s="8" t="s">
        <v>2760</v>
      </c>
      <c r="B1365" s="8" t="s">
        <v>2761</v>
      </c>
      <c r="C1365" s="8" t="s">
        <v>8678</v>
      </c>
      <c r="D1365" s="8" t="s">
        <v>128</v>
      </c>
      <c r="E1365" s="8" t="s">
        <v>51</v>
      </c>
      <c r="F1365" s="8" t="s">
        <v>2027</v>
      </c>
      <c r="G1365" s="8" t="s">
        <v>136</v>
      </c>
      <c r="H1365" s="8" t="s">
        <v>8675</v>
      </c>
      <c r="I1365" s="8" t="s">
        <v>9879</v>
      </c>
      <c r="J1365" s="8" t="s">
        <v>180</v>
      </c>
      <c r="K1365" s="8" t="s">
        <v>8664</v>
      </c>
      <c r="L1365" s="8"/>
      <c r="M1365" s="8"/>
      <c r="N1365" s="8" t="n">
        <v>12</v>
      </c>
      <c r="O1365" s="8" t="n">
        <v>26</v>
      </c>
      <c r="P1365" s="8" t="s">
        <v>120</v>
      </c>
    </row>
    <row r="1366" customFormat="false" ht="15" hidden="false" customHeight="false" outlineLevel="0" collapsed="false">
      <c r="A1366" s="8" t="s">
        <v>3716</v>
      </c>
      <c r="B1366" s="8" t="s">
        <v>3717</v>
      </c>
      <c r="C1366" s="8" t="s">
        <v>8661</v>
      </c>
      <c r="D1366" s="8" t="s">
        <v>132</v>
      </c>
      <c r="E1366" s="8" t="s">
        <v>51</v>
      </c>
      <c r="F1366" s="8" t="s">
        <v>2027</v>
      </c>
      <c r="G1366" s="8" t="s">
        <v>190</v>
      </c>
      <c r="H1366" s="8" t="s">
        <v>8662</v>
      </c>
      <c r="I1366" s="8" t="s">
        <v>9901</v>
      </c>
      <c r="J1366" s="8" t="s">
        <v>129</v>
      </c>
      <c r="K1366" s="8" t="s">
        <v>8664</v>
      </c>
      <c r="L1366" s="8"/>
      <c r="M1366" s="8"/>
      <c r="N1366" s="8" t="n">
        <v>12</v>
      </c>
      <c r="O1366" s="8" t="n">
        <v>17</v>
      </c>
      <c r="P1366" s="8" t="s">
        <v>120</v>
      </c>
    </row>
    <row r="1367" customFormat="false" ht="15" hidden="false" customHeight="false" outlineLevel="0" collapsed="false">
      <c r="A1367" s="8" t="s">
        <v>260</v>
      </c>
      <c r="B1367" s="8" t="s">
        <v>261</v>
      </c>
      <c r="C1367" s="8" t="s">
        <v>8680</v>
      </c>
      <c r="D1367" s="8" t="s">
        <v>123</v>
      </c>
      <c r="E1367" s="8" t="s">
        <v>55</v>
      </c>
      <c r="F1367" s="8" t="s">
        <v>55</v>
      </c>
      <c r="G1367" s="8" t="s">
        <v>124</v>
      </c>
      <c r="H1367" s="8" t="s">
        <v>8670</v>
      </c>
      <c r="I1367" s="8" t="s">
        <v>9731</v>
      </c>
      <c r="J1367" s="8" t="s">
        <v>137</v>
      </c>
      <c r="K1367" s="8" t="s">
        <v>8664</v>
      </c>
      <c r="L1367" s="8"/>
      <c r="M1367" s="8"/>
      <c r="N1367" s="8" t="n">
        <v>45</v>
      </c>
      <c r="O1367" s="8" t="n">
        <v>473</v>
      </c>
      <c r="P1367" s="8" t="s">
        <v>148</v>
      </c>
    </row>
    <row r="1368" customFormat="false" ht="15" hidden="false" customHeight="false" outlineLevel="0" collapsed="false">
      <c r="A1368" s="8" t="s">
        <v>3220</v>
      </c>
      <c r="B1368" s="8" t="s">
        <v>3221</v>
      </c>
      <c r="C1368" s="8" t="s">
        <v>8678</v>
      </c>
      <c r="D1368" s="8" t="s">
        <v>132</v>
      </c>
      <c r="E1368" s="8" t="s">
        <v>51</v>
      </c>
      <c r="F1368" s="8" t="s">
        <v>2027</v>
      </c>
      <c r="G1368" s="8" t="s">
        <v>143</v>
      </c>
      <c r="H1368" s="8" t="s">
        <v>8670</v>
      </c>
      <c r="I1368" s="8" t="s">
        <v>9487</v>
      </c>
      <c r="J1368" s="8" t="s">
        <v>180</v>
      </c>
      <c r="K1368" s="8" t="s">
        <v>8664</v>
      </c>
      <c r="L1368" s="8"/>
      <c r="M1368" s="8"/>
      <c r="N1368" s="8" t="n">
        <v>12</v>
      </c>
      <c r="O1368" s="8" t="n">
        <v>26</v>
      </c>
      <c r="P1368" s="8" t="s">
        <v>199</v>
      </c>
    </row>
    <row r="1369" customFormat="false" ht="15" hidden="false" customHeight="false" outlineLevel="0" collapsed="false">
      <c r="A1369" s="8" t="s">
        <v>9906</v>
      </c>
      <c r="B1369" s="8" t="s">
        <v>9907</v>
      </c>
      <c r="C1369" s="8" t="s">
        <v>8674</v>
      </c>
      <c r="D1369" s="8" t="s">
        <v>132</v>
      </c>
      <c r="E1369" s="8" t="s">
        <v>51</v>
      </c>
      <c r="F1369" s="8" t="s">
        <v>2027</v>
      </c>
      <c r="G1369" s="8" t="s">
        <v>151</v>
      </c>
      <c r="H1369" s="8" t="s">
        <v>8670</v>
      </c>
      <c r="I1369" s="8" t="s">
        <v>8835</v>
      </c>
      <c r="J1369" s="8"/>
      <c r="K1369" s="8" t="s">
        <v>8690</v>
      </c>
      <c r="L1369" s="8" t="s">
        <v>9833</v>
      </c>
      <c r="M1369" s="8" t="s">
        <v>8696</v>
      </c>
      <c r="N1369" s="8" t="n">
        <v>12</v>
      </c>
      <c r="O1369" s="8" t="n">
        <v>29</v>
      </c>
      <c r="P1369" s="8" t="s">
        <v>120</v>
      </c>
    </row>
    <row r="1370" customFormat="false" ht="15" hidden="false" customHeight="false" outlineLevel="0" collapsed="false">
      <c r="A1370" s="8" t="s">
        <v>337</v>
      </c>
      <c r="B1370" s="8" t="s">
        <v>338</v>
      </c>
      <c r="C1370" s="8" t="s">
        <v>8700</v>
      </c>
      <c r="D1370" s="8" t="s">
        <v>132</v>
      </c>
      <c r="E1370" s="8" t="s">
        <v>55</v>
      </c>
      <c r="F1370" s="8" t="s">
        <v>55</v>
      </c>
      <c r="G1370" s="8" t="s">
        <v>133</v>
      </c>
      <c r="H1370" s="8" t="s">
        <v>8662</v>
      </c>
      <c r="I1370" s="8" t="s">
        <v>9908</v>
      </c>
      <c r="J1370" s="8" t="s">
        <v>119</v>
      </c>
      <c r="K1370" s="8" t="s">
        <v>8664</v>
      </c>
      <c r="L1370" s="8"/>
      <c r="M1370" s="8"/>
      <c r="N1370" s="8" t="n">
        <v>45</v>
      </c>
      <c r="O1370" s="8" t="n">
        <v>353</v>
      </c>
      <c r="P1370" s="8" t="s">
        <v>120</v>
      </c>
    </row>
    <row r="1371" customFormat="false" ht="15" hidden="false" customHeight="false" outlineLevel="0" collapsed="false">
      <c r="A1371" s="8" t="s">
        <v>723</v>
      </c>
      <c r="B1371" s="8" t="s">
        <v>724</v>
      </c>
      <c r="C1371" s="8" t="s">
        <v>8661</v>
      </c>
      <c r="D1371" s="8" t="s">
        <v>123</v>
      </c>
      <c r="E1371" s="8" t="s">
        <v>53</v>
      </c>
      <c r="F1371" s="8" t="s">
        <v>326</v>
      </c>
      <c r="G1371" s="8" t="s">
        <v>154</v>
      </c>
      <c r="H1371" s="8" t="s">
        <v>8670</v>
      </c>
      <c r="I1371" s="8" t="s">
        <v>9909</v>
      </c>
      <c r="J1371" s="8" t="s">
        <v>180</v>
      </c>
      <c r="K1371" s="8" t="s">
        <v>8664</v>
      </c>
      <c r="L1371" s="8"/>
      <c r="M1371" s="8"/>
      <c r="N1371" s="8" t="n">
        <v>25</v>
      </c>
      <c r="O1371" s="8" t="n">
        <v>182</v>
      </c>
      <c r="P1371" s="8" t="s">
        <v>148</v>
      </c>
    </row>
    <row r="1372" customFormat="false" ht="15" hidden="false" customHeight="false" outlineLevel="0" collapsed="false">
      <c r="A1372" s="8" t="s">
        <v>169</v>
      </c>
      <c r="B1372" s="8" t="s">
        <v>170</v>
      </c>
      <c r="C1372" s="8" t="s">
        <v>8688</v>
      </c>
      <c r="D1372" s="8" t="s">
        <v>117</v>
      </c>
      <c r="E1372" s="8" t="s">
        <v>55</v>
      </c>
      <c r="F1372" s="8" t="s">
        <v>55</v>
      </c>
      <c r="G1372" s="8" t="s">
        <v>166</v>
      </c>
      <c r="H1372" s="8" t="s">
        <v>8675</v>
      </c>
      <c r="I1372" s="8" t="s">
        <v>9910</v>
      </c>
      <c r="J1372" s="8" t="s">
        <v>137</v>
      </c>
      <c r="K1372" s="8" t="s">
        <v>8664</v>
      </c>
      <c r="L1372" s="8"/>
      <c r="M1372" s="8"/>
      <c r="N1372" s="8" t="n">
        <v>45</v>
      </c>
      <c r="O1372" s="8" t="n">
        <v>445</v>
      </c>
      <c r="P1372" s="8" t="s">
        <v>148</v>
      </c>
    </row>
    <row r="1373" customFormat="false" ht="15" hidden="false" customHeight="false" outlineLevel="0" collapsed="false">
      <c r="A1373" s="8" t="s">
        <v>4002</v>
      </c>
      <c r="B1373" s="8" t="s">
        <v>4003</v>
      </c>
      <c r="C1373" s="8" t="s">
        <v>8674</v>
      </c>
      <c r="D1373" s="8" t="s">
        <v>123</v>
      </c>
      <c r="E1373" s="8" t="s">
        <v>51</v>
      </c>
      <c r="F1373" s="8" t="s">
        <v>2027</v>
      </c>
      <c r="G1373" s="8" t="s">
        <v>154</v>
      </c>
      <c r="H1373" s="8" t="s">
        <v>8662</v>
      </c>
      <c r="I1373" s="8" t="s">
        <v>8959</v>
      </c>
      <c r="J1373" s="8" t="s">
        <v>185</v>
      </c>
      <c r="K1373" s="8" t="s">
        <v>8664</v>
      </c>
      <c r="L1373" s="8"/>
      <c r="M1373" s="8"/>
      <c r="N1373" s="8" t="n">
        <v>12</v>
      </c>
      <c r="O1373" s="8" t="n">
        <v>10</v>
      </c>
      <c r="P1373" s="8" t="s">
        <v>120</v>
      </c>
    </row>
    <row r="1374" customFormat="false" ht="15" hidden="false" customHeight="false" outlineLevel="0" collapsed="false">
      <c r="A1374" s="8" t="s">
        <v>1197</v>
      </c>
      <c r="B1374" s="8" t="s">
        <v>1198</v>
      </c>
      <c r="C1374" s="8" t="s">
        <v>8680</v>
      </c>
      <c r="D1374" s="8" t="s">
        <v>123</v>
      </c>
      <c r="E1374" s="8" t="s">
        <v>53</v>
      </c>
      <c r="F1374" s="8" t="s">
        <v>326</v>
      </c>
      <c r="G1374" s="8" t="s">
        <v>151</v>
      </c>
      <c r="H1374" s="8" t="s">
        <v>8670</v>
      </c>
      <c r="I1374" s="8" t="s">
        <v>9147</v>
      </c>
      <c r="J1374" s="8" t="s">
        <v>119</v>
      </c>
      <c r="K1374" s="8" t="s">
        <v>8664</v>
      </c>
      <c r="L1374" s="8"/>
      <c r="M1374" s="8"/>
      <c r="N1374" s="8" t="n">
        <v>25</v>
      </c>
      <c r="O1374" s="8" t="n">
        <v>158</v>
      </c>
      <c r="P1374" s="8" t="s">
        <v>120</v>
      </c>
    </row>
    <row r="1375" customFormat="false" ht="15" hidden="false" customHeight="false" outlineLevel="0" collapsed="false">
      <c r="A1375" s="8" t="s">
        <v>2412</v>
      </c>
      <c r="B1375" s="8" t="s">
        <v>2413</v>
      </c>
      <c r="C1375" s="8" t="s">
        <v>8688</v>
      </c>
      <c r="D1375" s="8" t="s">
        <v>123</v>
      </c>
      <c r="E1375" s="8" t="s">
        <v>51</v>
      </c>
      <c r="F1375" s="8" t="s">
        <v>2027</v>
      </c>
      <c r="G1375" s="8" t="s">
        <v>154</v>
      </c>
      <c r="H1375" s="8" t="s">
        <v>8666</v>
      </c>
      <c r="I1375" s="8" t="s">
        <v>8728</v>
      </c>
      <c r="J1375" s="8" t="s">
        <v>129</v>
      </c>
      <c r="K1375" s="8" t="s">
        <v>8664</v>
      </c>
      <c r="L1375" s="8"/>
      <c r="M1375" s="8"/>
      <c r="N1375" s="8" t="n">
        <v>12</v>
      </c>
      <c r="O1375" s="8" t="n">
        <v>34</v>
      </c>
      <c r="P1375" s="8" t="s">
        <v>120</v>
      </c>
    </row>
    <row r="1376" customFormat="false" ht="15" hidden="false" customHeight="false" outlineLevel="0" collapsed="false">
      <c r="A1376" s="8" t="s">
        <v>4182</v>
      </c>
      <c r="B1376" s="8" t="s">
        <v>4183</v>
      </c>
      <c r="C1376" s="8" t="s">
        <v>8665</v>
      </c>
      <c r="D1376" s="8" t="s">
        <v>123</v>
      </c>
      <c r="E1376" s="8" t="s">
        <v>51</v>
      </c>
      <c r="F1376" s="8" t="s">
        <v>2027</v>
      </c>
      <c r="G1376" s="8" t="s">
        <v>133</v>
      </c>
      <c r="H1376" s="8" t="s">
        <v>8662</v>
      </c>
      <c r="I1376" s="8" t="s">
        <v>9542</v>
      </c>
      <c r="J1376" s="8" t="s">
        <v>159</v>
      </c>
      <c r="K1376" s="8" t="s">
        <v>8664</v>
      </c>
      <c r="L1376" s="8"/>
      <c r="M1376" s="8"/>
      <c r="N1376" s="8" t="n">
        <v>12</v>
      </c>
      <c r="O1376" s="8" t="n">
        <v>9</v>
      </c>
      <c r="P1376" s="8" t="s">
        <v>148</v>
      </c>
    </row>
    <row r="1377" customFormat="false" ht="15" hidden="false" customHeight="false" outlineLevel="0" collapsed="false">
      <c r="A1377" s="8" t="s">
        <v>9911</v>
      </c>
      <c r="B1377" s="8" t="s">
        <v>9912</v>
      </c>
      <c r="C1377" s="8" t="s">
        <v>8661</v>
      </c>
      <c r="D1377" s="8" t="s">
        <v>123</v>
      </c>
      <c r="E1377" s="8" t="s">
        <v>51</v>
      </c>
      <c r="F1377" s="8" t="s">
        <v>326</v>
      </c>
      <c r="G1377" s="8" t="s">
        <v>143</v>
      </c>
      <c r="H1377" s="8" t="s">
        <v>8666</v>
      </c>
      <c r="I1377" s="8" t="s">
        <v>9913</v>
      </c>
      <c r="J1377" s="8"/>
      <c r="K1377" s="8" t="s">
        <v>8690</v>
      </c>
      <c r="L1377" s="8" t="s">
        <v>9914</v>
      </c>
      <c r="M1377" s="8" t="s">
        <v>8692</v>
      </c>
      <c r="N1377" s="8" t="n">
        <v>25</v>
      </c>
      <c r="O1377" s="8" t="n">
        <v>6</v>
      </c>
      <c r="P1377" s="8" t="s">
        <v>148</v>
      </c>
    </row>
    <row r="1378" customFormat="false" ht="15" hidden="false" customHeight="false" outlineLevel="0" collapsed="false">
      <c r="A1378" s="8" t="s">
        <v>927</v>
      </c>
      <c r="B1378" s="8" t="s">
        <v>928</v>
      </c>
      <c r="C1378" s="8" t="s">
        <v>8688</v>
      </c>
      <c r="D1378" s="8" t="s">
        <v>132</v>
      </c>
      <c r="E1378" s="8" t="s">
        <v>53</v>
      </c>
      <c r="F1378" s="8" t="s">
        <v>326</v>
      </c>
      <c r="G1378" s="8" t="s">
        <v>223</v>
      </c>
      <c r="H1378" s="8" t="s">
        <v>8675</v>
      </c>
      <c r="I1378" s="8" t="s">
        <v>9915</v>
      </c>
      <c r="J1378" s="8" t="s">
        <v>159</v>
      </c>
      <c r="K1378" s="8" t="s">
        <v>8664</v>
      </c>
      <c r="L1378" s="8"/>
      <c r="M1378" s="8"/>
      <c r="N1378" s="8" t="n">
        <v>25</v>
      </c>
      <c r="O1378" s="8" t="n">
        <v>161</v>
      </c>
      <c r="P1378" s="8" t="s">
        <v>120</v>
      </c>
    </row>
    <row r="1379" customFormat="false" ht="15" hidden="false" customHeight="false" outlineLevel="0" collapsed="false">
      <c r="A1379" s="8" t="s">
        <v>3068</v>
      </c>
      <c r="B1379" s="8" t="s">
        <v>3069</v>
      </c>
      <c r="C1379" s="8" t="s">
        <v>8678</v>
      </c>
      <c r="D1379" s="8" t="s">
        <v>117</v>
      </c>
      <c r="E1379" s="8" t="s">
        <v>51</v>
      </c>
      <c r="F1379" s="8" t="s">
        <v>2027</v>
      </c>
      <c r="G1379" s="8" t="s">
        <v>223</v>
      </c>
      <c r="H1379" s="8" t="s">
        <v>8670</v>
      </c>
      <c r="I1379" s="8" t="s">
        <v>9442</v>
      </c>
      <c r="J1379" s="8" t="s">
        <v>177</v>
      </c>
      <c r="K1379" s="8" t="s">
        <v>8664</v>
      </c>
      <c r="L1379" s="8"/>
      <c r="M1379" s="8"/>
      <c r="N1379" s="8" t="n">
        <v>12</v>
      </c>
      <c r="O1379" s="8" t="n">
        <v>29</v>
      </c>
      <c r="P1379" s="8" t="s">
        <v>120</v>
      </c>
    </row>
    <row r="1380" customFormat="false" ht="15" hidden="false" customHeight="false" outlineLevel="0" collapsed="false">
      <c r="A1380" s="8" t="s">
        <v>4320</v>
      </c>
      <c r="B1380" s="8" t="s">
        <v>4321</v>
      </c>
      <c r="C1380" s="8" t="s">
        <v>8700</v>
      </c>
      <c r="D1380" s="8" t="s">
        <v>117</v>
      </c>
      <c r="E1380" s="8" t="s">
        <v>51</v>
      </c>
      <c r="F1380" s="8" t="s">
        <v>2027</v>
      </c>
      <c r="G1380" s="8" t="s">
        <v>154</v>
      </c>
      <c r="H1380" s="8" t="s">
        <v>8675</v>
      </c>
      <c r="I1380" s="8" t="s">
        <v>9413</v>
      </c>
      <c r="J1380" s="8" t="s">
        <v>159</v>
      </c>
      <c r="K1380" s="8" t="s">
        <v>8664</v>
      </c>
      <c r="L1380" s="8"/>
      <c r="M1380" s="8"/>
      <c r="N1380" s="8" t="n">
        <v>12</v>
      </c>
      <c r="O1380" s="8" t="n">
        <v>6</v>
      </c>
      <c r="P1380" s="8" t="s">
        <v>120</v>
      </c>
    </row>
    <row r="1381" customFormat="false" ht="15" hidden="false" customHeight="false" outlineLevel="0" collapsed="false">
      <c r="A1381" s="8" t="s">
        <v>1199</v>
      </c>
      <c r="B1381" s="8" t="s">
        <v>1200</v>
      </c>
      <c r="C1381" s="8" t="s">
        <v>8680</v>
      </c>
      <c r="D1381" s="8" t="s">
        <v>132</v>
      </c>
      <c r="E1381" s="8" t="s">
        <v>53</v>
      </c>
      <c r="F1381" s="8" t="s">
        <v>326</v>
      </c>
      <c r="G1381" s="8" t="s">
        <v>124</v>
      </c>
      <c r="H1381" s="8" t="s">
        <v>8675</v>
      </c>
      <c r="I1381" s="8" t="s">
        <v>9481</v>
      </c>
      <c r="J1381" s="8" t="s">
        <v>204</v>
      </c>
      <c r="K1381" s="8" t="s">
        <v>8664</v>
      </c>
      <c r="L1381" s="8"/>
      <c r="M1381" s="8"/>
      <c r="N1381" s="8" t="n">
        <v>25</v>
      </c>
      <c r="O1381" s="8" t="n">
        <v>67</v>
      </c>
      <c r="P1381" s="8" t="s">
        <v>120</v>
      </c>
    </row>
    <row r="1382" customFormat="false" ht="15" hidden="false" customHeight="false" outlineLevel="0" collapsed="false">
      <c r="A1382" s="8" t="s">
        <v>3936</v>
      </c>
      <c r="B1382" s="8" t="s">
        <v>3937</v>
      </c>
      <c r="C1382" s="8" t="s">
        <v>8688</v>
      </c>
      <c r="D1382" s="8" t="s">
        <v>132</v>
      </c>
      <c r="E1382" s="8" t="s">
        <v>51</v>
      </c>
      <c r="F1382" s="8" t="s">
        <v>2027</v>
      </c>
      <c r="G1382" s="8" t="s">
        <v>118</v>
      </c>
      <c r="H1382" s="8" t="s">
        <v>8670</v>
      </c>
      <c r="I1382" s="8" t="s">
        <v>9093</v>
      </c>
      <c r="J1382" s="8" t="s">
        <v>147</v>
      </c>
      <c r="K1382" s="8" t="s">
        <v>8664</v>
      </c>
      <c r="L1382" s="8"/>
      <c r="M1382" s="8"/>
      <c r="N1382" s="8" t="n">
        <v>12</v>
      </c>
      <c r="O1382" s="8" t="n">
        <v>13</v>
      </c>
      <c r="P1382" s="8" t="s">
        <v>120</v>
      </c>
    </row>
    <row r="1383" customFormat="false" ht="15" hidden="false" customHeight="false" outlineLevel="0" collapsed="false">
      <c r="A1383" s="8" t="s">
        <v>4184</v>
      </c>
      <c r="B1383" s="8" t="s">
        <v>4185</v>
      </c>
      <c r="C1383" s="8" t="s">
        <v>8700</v>
      </c>
      <c r="D1383" s="8" t="s">
        <v>123</v>
      </c>
      <c r="E1383" s="8" t="s">
        <v>51</v>
      </c>
      <c r="F1383" s="8" t="s">
        <v>2027</v>
      </c>
      <c r="G1383" s="8" t="s">
        <v>166</v>
      </c>
      <c r="H1383" s="8" t="s">
        <v>8675</v>
      </c>
      <c r="I1383" s="8" t="s">
        <v>9226</v>
      </c>
      <c r="J1383" s="8" t="s">
        <v>185</v>
      </c>
      <c r="K1383" s="8" t="s">
        <v>8664</v>
      </c>
      <c r="L1383" s="8"/>
      <c r="M1383" s="8"/>
      <c r="N1383" s="8" t="n">
        <v>12</v>
      </c>
      <c r="O1383" s="8" t="n">
        <v>7</v>
      </c>
      <c r="P1383" s="8" t="s">
        <v>120</v>
      </c>
    </row>
    <row r="1384" customFormat="false" ht="15" hidden="false" customHeight="false" outlineLevel="0" collapsed="false">
      <c r="A1384" s="8" t="s">
        <v>5927</v>
      </c>
      <c r="B1384" s="8" t="s">
        <v>9916</v>
      </c>
      <c r="C1384" s="8" t="s">
        <v>8674</v>
      </c>
      <c r="D1384" s="8" t="s">
        <v>132</v>
      </c>
      <c r="E1384" s="8" t="s">
        <v>51</v>
      </c>
      <c r="F1384" s="8" t="s">
        <v>2027</v>
      </c>
      <c r="G1384" s="8" t="s">
        <v>124</v>
      </c>
      <c r="H1384" s="8" t="s">
        <v>8675</v>
      </c>
      <c r="I1384" s="8" t="s">
        <v>8833</v>
      </c>
      <c r="J1384" s="8"/>
      <c r="K1384" s="8" t="s">
        <v>8690</v>
      </c>
      <c r="L1384" s="8" t="s">
        <v>9473</v>
      </c>
      <c r="M1384" s="8" t="s">
        <v>8705</v>
      </c>
      <c r="N1384" s="8" t="n">
        <v>12</v>
      </c>
      <c r="O1384" s="8" t="n">
        <v>11</v>
      </c>
      <c r="P1384" s="8" t="s">
        <v>148</v>
      </c>
    </row>
    <row r="1385" customFormat="false" ht="15" hidden="false" customHeight="false" outlineLevel="0" collapsed="false">
      <c r="A1385" s="8" t="s">
        <v>1323</v>
      </c>
      <c r="B1385" s="8" t="s">
        <v>1324</v>
      </c>
      <c r="C1385" s="8" t="s">
        <v>8700</v>
      </c>
      <c r="D1385" s="8" t="s">
        <v>132</v>
      </c>
      <c r="E1385" s="8" t="s">
        <v>53</v>
      </c>
      <c r="F1385" s="8" t="s">
        <v>326</v>
      </c>
      <c r="G1385" s="8" t="s">
        <v>151</v>
      </c>
      <c r="H1385" s="8" t="s">
        <v>8670</v>
      </c>
      <c r="I1385" s="8" t="s">
        <v>9362</v>
      </c>
      <c r="J1385" s="8" t="s">
        <v>159</v>
      </c>
      <c r="K1385" s="8" t="s">
        <v>8664</v>
      </c>
      <c r="L1385" s="8"/>
      <c r="M1385" s="8"/>
      <c r="N1385" s="8" t="n">
        <v>25</v>
      </c>
      <c r="O1385" s="8" t="n">
        <v>89</v>
      </c>
      <c r="P1385" s="8" t="s">
        <v>120</v>
      </c>
    </row>
    <row r="1386" customFormat="false" ht="15" hidden="false" customHeight="false" outlineLevel="0" collapsed="false">
      <c r="A1386" s="8" t="s">
        <v>1843</v>
      </c>
      <c r="B1386" s="8" t="s">
        <v>1844</v>
      </c>
      <c r="C1386" s="8" t="s">
        <v>8678</v>
      </c>
      <c r="D1386" s="8" t="s">
        <v>132</v>
      </c>
      <c r="E1386" s="8" t="s">
        <v>51</v>
      </c>
      <c r="F1386" s="8" t="s">
        <v>326</v>
      </c>
      <c r="G1386" s="8" t="s">
        <v>124</v>
      </c>
      <c r="H1386" s="8" t="s">
        <v>8675</v>
      </c>
      <c r="I1386" s="8" t="s">
        <v>9616</v>
      </c>
      <c r="J1386" s="8" t="s">
        <v>185</v>
      </c>
      <c r="K1386" s="8" t="s">
        <v>8664</v>
      </c>
      <c r="L1386" s="8"/>
      <c r="M1386" s="8"/>
      <c r="N1386" s="8" t="n">
        <v>25</v>
      </c>
      <c r="O1386" s="8" t="n">
        <v>39</v>
      </c>
      <c r="P1386" s="8" t="s">
        <v>120</v>
      </c>
    </row>
    <row r="1387" customFormat="false" ht="15" hidden="false" customHeight="false" outlineLevel="0" collapsed="false">
      <c r="A1387" s="8" t="s">
        <v>3678</v>
      </c>
      <c r="B1387" s="8" t="s">
        <v>3679</v>
      </c>
      <c r="C1387" s="8" t="s">
        <v>8680</v>
      </c>
      <c r="D1387" s="8" t="s">
        <v>123</v>
      </c>
      <c r="E1387" s="8" t="s">
        <v>51</v>
      </c>
      <c r="F1387" s="8" t="s">
        <v>2027</v>
      </c>
      <c r="G1387" s="8" t="s">
        <v>223</v>
      </c>
      <c r="H1387" s="8" t="s">
        <v>8670</v>
      </c>
      <c r="I1387" s="8" t="s">
        <v>9917</v>
      </c>
      <c r="J1387" s="8" t="s">
        <v>140</v>
      </c>
      <c r="K1387" s="8" t="s">
        <v>8664</v>
      </c>
      <c r="L1387" s="8"/>
      <c r="M1387" s="8"/>
      <c r="N1387" s="8" t="n">
        <v>12</v>
      </c>
      <c r="O1387" s="8" t="n">
        <v>18</v>
      </c>
      <c r="P1387" s="8" t="s">
        <v>120</v>
      </c>
    </row>
    <row r="1388" customFormat="false" ht="15" hidden="false" customHeight="false" outlineLevel="0" collapsed="false">
      <c r="A1388" s="8" t="s">
        <v>1105</v>
      </c>
      <c r="B1388" s="8" t="s">
        <v>1106</v>
      </c>
      <c r="C1388" s="8" t="s">
        <v>8665</v>
      </c>
      <c r="D1388" s="8" t="s">
        <v>132</v>
      </c>
      <c r="E1388" s="8" t="s">
        <v>53</v>
      </c>
      <c r="F1388" s="8" t="s">
        <v>326</v>
      </c>
      <c r="G1388" s="8" t="s">
        <v>136</v>
      </c>
      <c r="H1388" s="8" t="s">
        <v>8662</v>
      </c>
      <c r="I1388" s="8" t="s">
        <v>8844</v>
      </c>
      <c r="J1388" s="8" t="s">
        <v>129</v>
      </c>
      <c r="K1388" s="8" t="s">
        <v>8664</v>
      </c>
      <c r="L1388" s="8"/>
      <c r="M1388" s="8"/>
      <c r="N1388" s="8" t="n">
        <v>25</v>
      </c>
      <c r="O1388" s="8" t="n">
        <v>112</v>
      </c>
      <c r="P1388" s="8" t="s">
        <v>120</v>
      </c>
    </row>
    <row r="1389" customFormat="false" ht="15" hidden="false" customHeight="false" outlineLevel="0" collapsed="false">
      <c r="A1389" s="8" t="s">
        <v>479</v>
      </c>
      <c r="B1389" s="8" t="s">
        <v>480</v>
      </c>
      <c r="C1389" s="8" t="s">
        <v>8700</v>
      </c>
      <c r="D1389" s="8" t="s">
        <v>132</v>
      </c>
      <c r="E1389" s="8" t="s">
        <v>55</v>
      </c>
      <c r="F1389" s="8" t="s">
        <v>326</v>
      </c>
      <c r="G1389" s="8" t="s">
        <v>143</v>
      </c>
      <c r="H1389" s="8" t="s">
        <v>8675</v>
      </c>
      <c r="I1389" s="8" t="s">
        <v>8951</v>
      </c>
      <c r="J1389" s="8" t="s">
        <v>125</v>
      </c>
      <c r="K1389" s="8" t="s">
        <v>8664</v>
      </c>
      <c r="L1389" s="8"/>
      <c r="M1389" s="8"/>
      <c r="N1389" s="8" t="n">
        <v>25</v>
      </c>
      <c r="O1389" s="8" t="n">
        <v>536</v>
      </c>
      <c r="P1389" s="8" t="s">
        <v>120</v>
      </c>
    </row>
    <row r="1390" customFormat="false" ht="15" hidden="false" customHeight="false" outlineLevel="0" collapsed="false">
      <c r="A1390" s="8" t="s">
        <v>9918</v>
      </c>
      <c r="B1390" s="8" t="s">
        <v>9919</v>
      </c>
      <c r="C1390" s="8" t="s">
        <v>8680</v>
      </c>
      <c r="D1390" s="8" t="s">
        <v>123</v>
      </c>
      <c r="E1390" s="8" t="s">
        <v>51</v>
      </c>
      <c r="F1390" s="8" t="s">
        <v>326</v>
      </c>
      <c r="G1390" s="8" t="s">
        <v>190</v>
      </c>
      <c r="H1390" s="8" t="s">
        <v>8675</v>
      </c>
      <c r="I1390" s="8" t="s">
        <v>8697</v>
      </c>
      <c r="J1390" s="8"/>
      <c r="K1390" s="8" t="s">
        <v>8690</v>
      </c>
      <c r="L1390" s="8" t="s">
        <v>9841</v>
      </c>
      <c r="M1390" s="8" t="s">
        <v>8721</v>
      </c>
      <c r="N1390" s="8" t="n">
        <v>25</v>
      </c>
      <c r="O1390" s="8" t="n">
        <v>31</v>
      </c>
      <c r="P1390" s="8" t="s">
        <v>120</v>
      </c>
    </row>
    <row r="1391" customFormat="false" ht="15" hidden="false" customHeight="false" outlineLevel="0" collapsed="false">
      <c r="A1391" s="8" t="s">
        <v>2130</v>
      </c>
      <c r="B1391" s="8" t="s">
        <v>2131</v>
      </c>
      <c r="C1391" s="8" t="s">
        <v>8680</v>
      </c>
      <c r="D1391" s="8" t="s">
        <v>132</v>
      </c>
      <c r="E1391" s="8" t="s">
        <v>51</v>
      </c>
      <c r="F1391" s="8" t="s">
        <v>326</v>
      </c>
      <c r="G1391" s="8" t="s">
        <v>124</v>
      </c>
      <c r="H1391" s="8" t="s">
        <v>8670</v>
      </c>
      <c r="I1391" s="8" t="s">
        <v>9884</v>
      </c>
      <c r="J1391" s="8" t="s">
        <v>204</v>
      </c>
      <c r="K1391" s="8" t="s">
        <v>8664</v>
      </c>
      <c r="L1391" s="8"/>
      <c r="M1391" s="8"/>
      <c r="N1391" s="8" t="n">
        <v>25</v>
      </c>
      <c r="O1391" s="8" t="n">
        <v>27</v>
      </c>
      <c r="P1391" s="8" t="s">
        <v>148</v>
      </c>
    </row>
    <row r="1392" customFormat="false" ht="15" hidden="false" customHeight="false" outlineLevel="0" collapsed="false">
      <c r="A1392" s="8" t="s">
        <v>9920</v>
      </c>
      <c r="B1392" s="8" t="s">
        <v>9921</v>
      </c>
      <c r="C1392" s="8" t="s">
        <v>8680</v>
      </c>
      <c r="D1392" s="8" t="s">
        <v>123</v>
      </c>
      <c r="E1392" s="8" t="s">
        <v>51</v>
      </c>
      <c r="F1392" s="8" t="s">
        <v>326</v>
      </c>
      <c r="G1392" s="8" t="s">
        <v>151</v>
      </c>
      <c r="H1392" s="8" t="s">
        <v>8670</v>
      </c>
      <c r="I1392" s="8" t="s">
        <v>9798</v>
      </c>
      <c r="J1392" s="8"/>
      <c r="K1392" s="8" t="s">
        <v>8690</v>
      </c>
      <c r="L1392" s="8" t="s">
        <v>9073</v>
      </c>
      <c r="M1392" s="8" t="s">
        <v>8721</v>
      </c>
      <c r="N1392" s="8" t="n">
        <v>25</v>
      </c>
      <c r="O1392" s="8" t="n">
        <v>19</v>
      </c>
      <c r="P1392" s="8" t="s">
        <v>120</v>
      </c>
    </row>
    <row r="1393" customFormat="false" ht="15" hidden="false" customHeight="false" outlineLevel="0" collapsed="false">
      <c r="A1393" s="8" t="s">
        <v>945</v>
      </c>
      <c r="B1393" s="8" t="s">
        <v>946</v>
      </c>
      <c r="C1393" s="8" t="s">
        <v>8674</v>
      </c>
      <c r="D1393" s="8" t="s">
        <v>132</v>
      </c>
      <c r="E1393" s="8" t="s">
        <v>53</v>
      </c>
      <c r="F1393" s="8" t="s">
        <v>326</v>
      </c>
      <c r="G1393" s="8" t="s">
        <v>190</v>
      </c>
      <c r="H1393" s="8" t="s">
        <v>8675</v>
      </c>
      <c r="I1393" s="8" t="s">
        <v>9569</v>
      </c>
      <c r="J1393" s="8" t="s">
        <v>204</v>
      </c>
      <c r="K1393" s="8" t="s">
        <v>8664</v>
      </c>
      <c r="L1393" s="8"/>
      <c r="M1393" s="8"/>
      <c r="N1393" s="8" t="n">
        <v>25</v>
      </c>
      <c r="O1393" s="8" t="n">
        <v>187</v>
      </c>
      <c r="P1393" s="8" t="s">
        <v>120</v>
      </c>
    </row>
    <row r="1394" customFormat="false" ht="15" hidden="false" customHeight="false" outlineLevel="0" collapsed="false">
      <c r="A1394" s="8" t="s">
        <v>1813</v>
      </c>
      <c r="B1394" s="8" t="s">
        <v>1814</v>
      </c>
      <c r="C1394" s="8" t="s">
        <v>8688</v>
      </c>
      <c r="D1394" s="8" t="s">
        <v>117</v>
      </c>
      <c r="E1394" s="8" t="s">
        <v>51</v>
      </c>
      <c r="F1394" s="8" t="s">
        <v>326</v>
      </c>
      <c r="G1394" s="8" t="s">
        <v>151</v>
      </c>
      <c r="H1394" s="8" t="s">
        <v>8675</v>
      </c>
      <c r="I1394" s="8" t="s">
        <v>9170</v>
      </c>
      <c r="J1394" s="8" t="s">
        <v>159</v>
      </c>
      <c r="K1394" s="8" t="s">
        <v>8664</v>
      </c>
      <c r="L1394" s="8"/>
      <c r="M1394" s="8"/>
      <c r="N1394" s="8" t="n">
        <v>25</v>
      </c>
      <c r="O1394" s="8" t="n">
        <v>25</v>
      </c>
      <c r="P1394" s="8" t="s">
        <v>120</v>
      </c>
    </row>
    <row r="1395" customFormat="false" ht="15" hidden="false" customHeight="false" outlineLevel="0" collapsed="false">
      <c r="A1395" s="8" t="s">
        <v>3882</v>
      </c>
      <c r="B1395" s="8" t="s">
        <v>3883</v>
      </c>
      <c r="C1395" s="8" t="s">
        <v>8669</v>
      </c>
      <c r="D1395" s="8" t="s">
        <v>132</v>
      </c>
      <c r="E1395" s="8" t="s">
        <v>51</v>
      </c>
      <c r="F1395" s="8" t="s">
        <v>2027</v>
      </c>
      <c r="G1395" s="8" t="s">
        <v>154</v>
      </c>
      <c r="H1395" s="8" t="s">
        <v>8662</v>
      </c>
      <c r="I1395" s="8" t="s">
        <v>8798</v>
      </c>
      <c r="J1395" s="8" t="s">
        <v>119</v>
      </c>
      <c r="K1395" s="8" t="s">
        <v>8664</v>
      </c>
      <c r="L1395" s="8"/>
      <c r="M1395" s="8"/>
      <c r="N1395" s="8" t="n">
        <v>12</v>
      </c>
      <c r="O1395" s="8" t="n">
        <v>14</v>
      </c>
      <c r="P1395" s="8" t="s">
        <v>120</v>
      </c>
    </row>
    <row r="1396" customFormat="false" ht="15" hidden="false" customHeight="false" outlineLevel="0" collapsed="false">
      <c r="A1396" s="8" t="s">
        <v>3222</v>
      </c>
      <c r="B1396" s="8" t="s">
        <v>3223</v>
      </c>
      <c r="C1396" s="8" t="s">
        <v>8680</v>
      </c>
      <c r="D1396" s="8" t="s">
        <v>117</v>
      </c>
      <c r="E1396" s="8" t="s">
        <v>51</v>
      </c>
      <c r="F1396" s="8" t="s">
        <v>2027</v>
      </c>
      <c r="G1396" s="8" t="s">
        <v>124</v>
      </c>
      <c r="H1396" s="8" t="s">
        <v>8662</v>
      </c>
      <c r="I1396" s="8" t="s">
        <v>8747</v>
      </c>
      <c r="J1396" s="8" t="s">
        <v>137</v>
      </c>
      <c r="K1396" s="8" t="s">
        <v>8664</v>
      </c>
      <c r="L1396" s="8"/>
      <c r="M1396" s="8"/>
      <c r="N1396" s="8" t="n">
        <v>12</v>
      </c>
      <c r="O1396" s="8" t="n">
        <v>26</v>
      </c>
      <c r="P1396" s="8" t="s">
        <v>120</v>
      </c>
    </row>
    <row r="1397" customFormat="false" ht="15" hidden="false" customHeight="false" outlineLevel="0" collapsed="false">
      <c r="A1397" s="8" t="s">
        <v>3504</v>
      </c>
      <c r="B1397" s="8" t="s">
        <v>3505</v>
      </c>
      <c r="C1397" s="8" t="s">
        <v>8674</v>
      </c>
      <c r="D1397" s="8" t="s">
        <v>128</v>
      </c>
      <c r="E1397" s="8" t="s">
        <v>51</v>
      </c>
      <c r="F1397" s="8" t="s">
        <v>2027</v>
      </c>
      <c r="G1397" s="8" t="s">
        <v>223</v>
      </c>
      <c r="H1397" s="8" t="s">
        <v>8666</v>
      </c>
      <c r="I1397" s="8" t="s">
        <v>9922</v>
      </c>
      <c r="J1397" s="8" t="s">
        <v>185</v>
      </c>
      <c r="K1397" s="8" t="s">
        <v>8664</v>
      </c>
      <c r="L1397" s="8"/>
      <c r="M1397" s="8"/>
      <c r="N1397" s="8" t="n">
        <v>12</v>
      </c>
      <c r="O1397" s="8" t="n">
        <v>21</v>
      </c>
      <c r="P1397" s="8" t="s">
        <v>120</v>
      </c>
    </row>
    <row r="1398" customFormat="false" ht="15" hidden="false" customHeight="false" outlineLevel="0" collapsed="false">
      <c r="A1398" s="8" t="s">
        <v>1083</v>
      </c>
      <c r="B1398" s="8" t="s">
        <v>1084</v>
      </c>
      <c r="C1398" s="8" t="s">
        <v>8680</v>
      </c>
      <c r="D1398" s="8" t="s">
        <v>132</v>
      </c>
      <c r="E1398" s="8" t="s">
        <v>53</v>
      </c>
      <c r="F1398" s="8" t="s">
        <v>326</v>
      </c>
      <c r="G1398" s="8" t="s">
        <v>124</v>
      </c>
      <c r="H1398" s="8" t="s">
        <v>8662</v>
      </c>
      <c r="I1398" s="8" t="s">
        <v>8771</v>
      </c>
      <c r="J1398" s="8" t="s">
        <v>204</v>
      </c>
      <c r="K1398" s="8" t="s">
        <v>8664</v>
      </c>
      <c r="L1398" s="8"/>
      <c r="M1398" s="8"/>
      <c r="N1398" s="8" t="n">
        <v>25</v>
      </c>
      <c r="O1398" s="8" t="n">
        <v>151</v>
      </c>
      <c r="P1398" s="8" t="s">
        <v>120</v>
      </c>
    </row>
    <row r="1399" customFormat="false" ht="15" hidden="false" customHeight="false" outlineLevel="0" collapsed="false">
      <c r="A1399" s="8" t="s">
        <v>2522</v>
      </c>
      <c r="B1399" s="8" t="s">
        <v>2523</v>
      </c>
      <c r="C1399" s="8" t="s">
        <v>8665</v>
      </c>
      <c r="D1399" s="8" t="s">
        <v>123</v>
      </c>
      <c r="E1399" s="8" t="s">
        <v>51</v>
      </c>
      <c r="F1399" s="8" t="s">
        <v>2027</v>
      </c>
      <c r="G1399" s="8" t="s">
        <v>118</v>
      </c>
      <c r="H1399" s="8" t="s">
        <v>8666</v>
      </c>
      <c r="I1399" s="8" t="s">
        <v>9407</v>
      </c>
      <c r="J1399" s="8" t="s">
        <v>180</v>
      </c>
      <c r="K1399" s="8" t="s">
        <v>8664</v>
      </c>
      <c r="L1399" s="8"/>
      <c r="M1399" s="8"/>
      <c r="N1399" s="8" t="n">
        <v>12</v>
      </c>
      <c r="O1399" s="8" t="n">
        <v>38</v>
      </c>
      <c r="P1399" s="8" t="s">
        <v>120</v>
      </c>
    </row>
    <row r="1400" customFormat="false" ht="15" hidden="false" customHeight="false" outlineLevel="0" collapsed="false">
      <c r="A1400" s="8" t="s">
        <v>3816</v>
      </c>
      <c r="B1400" s="8" t="s">
        <v>3817</v>
      </c>
      <c r="C1400" s="8" t="s">
        <v>8678</v>
      </c>
      <c r="D1400" s="8" t="s">
        <v>132</v>
      </c>
      <c r="E1400" s="8" t="s">
        <v>51</v>
      </c>
      <c r="F1400" s="8" t="s">
        <v>2027</v>
      </c>
      <c r="G1400" s="8" t="s">
        <v>190</v>
      </c>
      <c r="H1400" s="8" t="s">
        <v>8662</v>
      </c>
      <c r="I1400" s="8" t="s">
        <v>8911</v>
      </c>
      <c r="J1400" s="8" t="s">
        <v>185</v>
      </c>
      <c r="K1400" s="8" t="s">
        <v>8664</v>
      </c>
      <c r="L1400" s="8"/>
      <c r="M1400" s="8"/>
      <c r="N1400" s="8" t="n">
        <v>12</v>
      </c>
      <c r="O1400" s="8" t="n">
        <v>19</v>
      </c>
      <c r="P1400" s="8" t="s">
        <v>120</v>
      </c>
    </row>
    <row r="1401" customFormat="false" ht="15" hidden="false" customHeight="false" outlineLevel="0" collapsed="false">
      <c r="A1401" s="8" t="s">
        <v>4447</v>
      </c>
      <c r="B1401" s="8" t="s">
        <v>9923</v>
      </c>
      <c r="C1401" s="8" t="s">
        <v>8678</v>
      </c>
      <c r="D1401" s="8" t="s">
        <v>123</v>
      </c>
      <c r="E1401" s="8" t="s">
        <v>53</v>
      </c>
      <c r="F1401" s="8" t="s">
        <v>326</v>
      </c>
      <c r="G1401" s="8" t="s">
        <v>190</v>
      </c>
      <c r="H1401" s="8" t="s">
        <v>8666</v>
      </c>
      <c r="I1401" s="8" t="s">
        <v>9093</v>
      </c>
      <c r="J1401" s="8"/>
      <c r="K1401" s="8" t="s">
        <v>8690</v>
      </c>
      <c r="L1401" s="8" t="s">
        <v>9924</v>
      </c>
      <c r="M1401" s="8" t="s">
        <v>8696</v>
      </c>
      <c r="N1401" s="8" t="n">
        <v>25</v>
      </c>
      <c r="O1401" s="8" t="n">
        <v>146</v>
      </c>
      <c r="P1401" s="8" t="s">
        <v>120</v>
      </c>
    </row>
    <row r="1402" customFormat="false" ht="15" hidden="false" customHeight="false" outlineLevel="0" collapsed="false">
      <c r="A1402" s="8" t="s">
        <v>115</v>
      </c>
      <c r="B1402" s="8" t="s">
        <v>116</v>
      </c>
      <c r="C1402" s="8" t="s">
        <v>8661</v>
      </c>
      <c r="D1402" s="8" t="s">
        <v>117</v>
      </c>
      <c r="E1402" s="8" t="s">
        <v>55</v>
      </c>
      <c r="F1402" s="8" t="s">
        <v>55</v>
      </c>
      <c r="G1402" s="8" t="s">
        <v>118</v>
      </c>
      <c r="H1402" s="8" t="s">
        <v>8662</v>
      </c>
      <c r="I1402" s="8" t="s">
        <v>9555</v>
      </c>
      <c r="J1402" s="8" t="s">
        <v>119</v>
      </c>
      <c r="K1402" s="8" t="s">
        <v>8664</v>
      </c>
      <c r="L1402" s="8"/>
      <c r="M1402" s="8"/>
      <c r="N1402" s="8" t="n">
        <v>45</v>
      </c>
      <c r="O1402" s="8" t="n">
        <v>416</v>
      </c>
      <c r="P1402" s="8" t="s">
        <v>120</v>
      </c>
    </row>
    <row r="1403" customFormat="false" ht="15" hidden="false" customHeight="false" outlineLevel="0" collapsed="false">
      <c r="A1403" s="8" t="s">
        <v>4244</v>
      </c>
      <c r="B1403" s="8" t="s">
        <v>4245</v>
      </c>
      <c r="C1403" s="8" t="s">
        <v>8661</v>
      </c>
      <c r="D1403" s="8" t="s">
        <v>123</v>
      </c>
      <c r="E1403" s="8" t="s">
        <v>51</v>
      </c>
      <c r="F1403" s="8" t="s">
        <v>2027</v>
      </c>
      <c r="G1403" s="8" t="s">
        <v>124</v>
      </c>
      <c r="H1403" s="8" t="s">
        <v>8670</v>
      </c>
      <c r="I1403" s="8" t="s">
        <v>8781</v>
      </c>
      <c r="J1403" s="8" t="s">
        <v>159</v>
      </c>
      <c r="K1403" s="8" t="s">
        <v>8664</v>
      </c>
      <c r="L1403" s="8"/>
      <c r="M1403" s="8"/>
      <c r="N1403" s="8" t="n">
        <v>12</v>
      </c>
      <c r="O1403" s="8" t="n">
        <v>6</v>
      </c>
      <c r="P1403" s="8" t="s">
        <v>120</v>
      </c>
    </row>
    <row r="1404" customFormat="false" ht="15" hidden="false" customHeight="false" outlineLevel="0" collapsed="false">
      <c r="A1404" s="8" t="s">
        <v>1129</v>
      </c>
      <c r="B1404" s="8" t="s">
        <v>1130</v>
      </c>
      <c r="C1404" s="8" t="s">
        <v>8661</v>
      </c>
      <c r="D1404" s="8" t="s">
        <v>123</v>
      </c>
      <c r="E1404" s="8" t="s">
        <v>53</v>
      </c>
      <c r="F1404" s="8" t="s">
        <v>326</v>
      </c>
      <c r="G1404" s="8" t="s">
        <v>151</v>
      </c>
      <c r="H1404" s="8" t="s">
        <v>8675</v>
      </c>
      <c r="I1404" s="8" t="s">
        <v>9565</v>
      </c>
      <c r="J1404" s="8" t="s">
        <v>177</v>
      </c>
      <c r="K1404" s="8" t="s">
        <v>8664</v>
      </c>
      <c r="L1404" s="8"/>
      <c r="M1404" s="8"/>
      <c r="N1404" s="8" t="n">
        <v>25</v>
      </c>
      <c r="O1404" s="8" t="n">
        <v>173</v>
      </c>
      <c r="P1404" s="8" t="s">
        <v>120</v>
      </c>
    </row>
    <row r="1405" customFormat="false" ht="15" hidden="false" customHeight="false" outlineLevel="0" collapsed="false">
      <c r="A1405" s="8" t="s">
        <v>3884</v>
      </c>
      <c r="B1405" s="8" t="s">
        <v>3885</v>
      </c>
      <c r="C1405" s="8" t="s">
        <v>8665</v>
      </c>
      <c r="D1405" s="8" t="s">
        <v>132</v>
      </c>
      <c r="E1405" s="8" t="s">
        <v>51</v>
      </c>
      <c r="F1405" s="8" t="s">
        <v>2027</v>
      </c>
      <c r="G1405" s="8" t="s">
        <v>143</v>
      </c>
      <c r="H1405" s="8" t="s">
        <v>8666</v>
      </c>
      <c r="I1405" s="8" t="s">
        <v>8784</v>
      </c>
      <c r="J1405" s="8" t="s">
        <v>144</v>
      </c>
      <c r="K1405" s="8" t="s">
        <v>8664</v>
      </c>
      <c r="L1405" s="8"/>
      <c r="M1405" s="8"/>
      <c r="N1405" s="8" t="n">
        <v>12</v>
      </c>
      <c r="O1405" s="8" t="n">
        <v>14</v>
      </c>
      <c r="P1405" s="8" t="s">
        <v>120</v>
      </c>
    </row>
    <row r="1406" customFormat="false" ht="15" hidden="false" customHeight="false" outlineLevel="0" collapsed="false">
      <c r="A1406" s="8" t="s">
        <v>497</v>
      </c>
      <c r="B1406" s="8" t="s">
        <v>498</v>
      </c>
      <c r="C1406" s="8" t="s">
        <v>8700</v>
      </c>
      <c r="D1406" s="8" t="s">
        <v>132</v>
      </c>
      <c r="E1406" s="8" t="s">
        <v>55</v>
      </c>
      <c r="F1406" s="8" t="s">
        <v>326</v>
      </c>
      <c r="G1406" s="8" t="s">
        <v>118</v>
      </c>
      <c r="H1406" s="8" t="s">
        <v>8675</v>
      </c>
      <c r="I1406" s="8" t="s">
        <v>8884</v>
      </c>
      <c r="J1406" s="8" t="s">
        <v>147</v>
      </c>
      <c r="K1406" s="8" t="s">
        <v>8664</v>
      </c>
      <c r="L1406" s="8"/>
      <c r="M1406" s="8"/>
      <c r="N1406" s="8" t="n">
        <v>25</v>
      </c>
      <c r="O1406" s="8" t="n">
        <v>418</v>
      </c>
      <c r="P1406" s="8" t="s">
        <v>199</v>
      </c>
    </row>
    <row r="1407" customFormat="false" ht="15" hidden="false" customHeight="false" outlineLevel="0" collapsed="false">
      <c r="A1407" s="8" t="s">
        <v>2828</v>
      </c>
      <c r="B1407" s="8" t="s">
        <v>2829</v>
      </c>
      <c r="C1407" s="8" t="s">
        <v>8678</v>
      </c>
      <c r="D1407" s="8" t="s">
        <v>132</v>
      </c>
      <c r="E1407" s="8" t="s">
        <v>51</v>
      </c>
      <c r="F1407" s="8" t="s">
        <v>2027</v>
      </c>
      <c r="G1407" s="8" t="s">
        <v>223</v>
      </c>
      <c r="H1407" s="8" t="s">
        <v>8662</v>
      </c>
      <c r="I1407" s="8" t="s">
        <v>9925</v>
      </c>
      <c r="J1407" s="8" t="s">
        <v>185</v>
      </c>
      <c r="K1407" s="8" t="s">
        <v>8664</v>
      </c>
      <c r="L1407" s="8"/>
      <c r="M1407" s="8"/>
      <c r="N1407" s="8" t="n">
        <v>12</v>
      </c>
      <c r="O1407" s="8" t="n">
        <v>33</v>
      </c>
      <c r="P1407" s="8" t="s">
        <v>120</v>
      </c>
    </row>
    <row r="1408" customFormat="false" ht="15" hidden="false" customHeight="false" outlineLevel="0" collapsed="false">
      <c r="A1408" s="8" t="s">
        <v>731</v>
      </c>
      <c r="B1408" s="8" t="s">
        <v>732</v>
      </c>
      <c r="C1408" s="8" t="s">
        <v>8688</v>
      </c>
      <c r="D1408" s="8" t="s">
        <v>123</v>
      </c>
      <c r="E1408" s="8" t="s">
        <v>53</v>
      </c>
      <c r="F1408" s="8" t="s">
        <v>55</v>
      </c>
      <c r="G1408" s="8" t="s">
        <v>223</v>
      </c>
      <c r="H1408" s="8" t="s">
        <v>8666</v>
      </c>
      <c r="I1408" s="8" t="s">
        <v>9140</v>
      </c>
      <c r="J1408" s="8" t="s">
        <v>125</v>
      </c>
      <c r="K1408" s="8" t="s">
        <v>8664</v>
      </c>
      <c r="L1408" s="8"/>
      <c r="M1408" s="8"/>
      <c r="N1408" s="8" t="n">
        <v>45</v>
      </c>
      <c r="O1408" s="8" t="n">
        <v>126</v>
      </c>
      <c r="P1408" s="8" t="s">
        <v>120</v>
      </c>
    </row>
    <row r="1409" customFormat="false" ht="15" hidden="false" customHeight="false" outlineLevel="0" collapsed="false">
      <c r="A1409" s="8" t="s">
        <v>9926</v>
      </c>
      <c r="B1409" s="8" t="s">
        <v>9927</v>
      </c>
      <c r="C1409" s="8" t="s">
        <v>8661</v>
      </c>
      <c r="D1409" s="8" t="s">
        <v>132</v>
      </c>
      <c r="E1409" s="8" t="s">
        <v>55</v>
      </c>
      <c r="F1409" s="8" t="s">
        <v>55</v>
      </c>
      <c r="G1409" s="8" t="s">
        <v>223</v>
      </c>
      <c r="H1409" s="8" t="s">
        <v>8662</v>
      </c>
      <c r="I1409" s="8" t="s">
        <v>8814</v>
      </c>
      <c r="J1409" s="8"/>
      <c r="K1409" s="8" t="s">
        <v>8690</v>
      </c>
      <c r="L1409" s="8" t="s">
        <v>8694</v>
      </c>
      <c r="M1409" s="8" t="s">
        <v>8705</v>
      </c>
      <c r="N1409" s="8" t="n">
        <v>45</v>
      </c>
      <c r="O1409" s="8" t="n">
        <v>342</v>
      </c>
      <c r="P1409" s="8" t="s">
        <v>148</v>
      </c>
    </row>
    <row r="1410" customFormat="false" ht="15" hidden="false" customHeight="false" outlineLevel="0" collapsed="false">
      <c r="A1410" s="8" t="s">
        <v>1731</v>
      </c>
      <c r="B1410" s="8" t="s">
        <v>1732</v>
      </c>
      <c r="C1410" s="8" t="s">
        <v>8674</v>
      </c>
      <c r="D1410" s="8" t="s">
        <v>123</v>
      </c>
      <c r="E1410" s="8" t="s">
        <v>51</v>
      </c>
      <c r="F1410" s="8" t="s">
        <v>326</v>
      </c>
      <c r="G1410" s="8" t="s">
        <v>124</v>
      </c>
      <c r="H1410" s="8" t="s">
        <v>8662</v>
      </c>
      <c r="I1410" s="8" t="s">
        <v>9928</v>
      </c>
      <c r="J1410" s="8" t="s">
        <v>180</v>
      </c>
      <c r="K1410" s="8" t="s">
        <v>8664</v>
      </c>
      <c r="L1410" s="8"/>
      <c r="M1410" s="8"/>
      <c r="N1410" s="8" t="n">
        <v>25</v>
      </c>
      <c r="O1410" s="8" t="n">
        <v>31</v>
      </c>
      <c r="P1410" s="8" t="s">
        <v>120</v>
      </c>
    </row>
    <row r="1411" customFormat="false" ht="15" hidden="false" customHeight="false" outlineLevel="0" collapsed="false">
      <c r="A1411" s="8" t="s">
        <v>1429</v>
      </c>
      <c r="B1411" s="8" t="s">
        <v>1430</v>
      </c>
      <c r="C1411" s="8" t="s">
        <v>8678</v>
      </c>
      <c r="D1411" s="8" t="s">
        <v>123</v>
      </c>
      <c r="E1411" s="8" t="s">
        <v>53</v>
      </c>
      <c r="F1411" s="8" t="s">
        <v>55</v>
      </c>
      <c r="G1411" s="8" t="s">
        <v>136</v>
      </c>
      <c r="H1411" s="8" t="s">
        <v>8662</v>
      </c>
      <c r="I1411" s="8" t="s">
        <v>9929</v>
      </c>
      <c r="J1411" s="8" t="s">
        <v>140</v>
      </c>
      <c r="K1411" s="8" t="s">
        <v>8664</v>
      </c>
      <c r="L1411" s="8"/>
      <c r="M1411" s="8"/>
      <c r="N1411" s="8" t="n">
        <v>45</v>
      </c>
      <c r="O1411" s="8" t="n">
        <v>56</v>
      </c>
      <c r="P1411" s="8" t="s">
        <v>120</v>
      </c>
    </row>
    <row r="1412" customFormat="false" ht="15" hidden="false" customHeight="false" outlineLevel="0" collapsed="false">
      <c r="A1412" s="8" t="s">
        <v>4582</v>
      </c>
      <c r="B1412" s="8" t="s">
        <v>9930</v>
      </c>
      <c r="C1412" s="8" t="s">
        <v>8688</v>
      </c>
      <c r="D1412" s="8" t="s">
        <v>123</v>
      </c>
      <c r="E1412" s="8" t="s">
        <v>51</v>
      </c>
      <c r="F1412" s="8" t="s">
        <v>2027</v>
      </c>
      <c r="G1412" s="8" t="s">
        <v>223</v>
      </c>
      <c r="H1412" s="8" t="s">
        <v>8666</v>
      </c>
      <c r="I1412" s="8" t="s">
        <v>9507</v>
      </c>
      <c r="J1412" s="8"/>
      <c r="K1412" s="8" t="s">
        <v>8690</v>
      </c>
      <c r="L1412" s="8" t="s">
        <v>9633</v>
      </c>
      <c r="M1412" s="8" t="s">
        <v>8705</v>
      </c>
      <c r="N1412" s="8" t="n">
        <v>12</v>
      </c>
      <c r="O1412" s="8" t="n">
        <v>12</v>
      </c>
      <c r="P1412" s="8" t="s">
        <v>120</v>
      </c>
    </row>
    <row r="1413" customFormat="false" ht="15" hidden="false" customHeight="false" outlineLevel="0" collapsed="false">
      <c r="A1413" s="8" t="s">
        <v>242</v>
      </c>
      <c r="B1413" s="8" t="s">
        <v>243</v>
      </c>
      <c r="C1413" s="8" t="s">
        <v>8688</v>
      </c>
      <c r="D1413" s="8" t="s">
        <v>123</v>
      </c>
      <c r="E1413" s="8" t="s">
        <v>55</v>
      </c>
      <c r="F1413" s="8" t="s">
        <v>55</v>
      </c>
      <c r="G1413" s="8" t="s">
        <v>190</v>
      </c>
      <c r="H1413" s="8" t="s">
        <v>8670</v>
      </c>
      <c r="I1413" s="8" t="s">
        <v>9601</v>
      </c>
      <c r="J1413" s="8" t="s">
        <v>185</v>
      </c>
      <c r="K1413" s="8" t="s">
        <v>8664</v>
      </c>
      <c r="L1413" s="8"/>
      <c r="M1413" s="8"/>
      <c r="N1413" s="8" t="n">
        <v>45</v>
      </c>
      <c r="O1413" s="8" t="n">
        <v>503</v>
      </c>
      <c r="P1413" s="8" t="s">
        <v>148</v>
      </c>
    </row>
    <row r="1414" customFormat="false" ht="15" hidden="false" customHeight="false" outlineLevel="0" collapsed="false">
      <c r="A1414" s="8" t="s">
        <v>651</v>
      </c>
      <c r="B1414" s="8" t="s">
        <v>652</v>
      </c>
      <c r="C1414" s="8" t="s">
        <v>8661</v>
      </c>
      <c r="D1414" s="8" t="s">
        <v>128</v>
      </c>
      <c r="E1414" s="8" t="s">
        <v>53</v>
      </c>
      <c r="F1414" s="8" t="s">
        <v>55</v>
      </c>
      <c r="G1414" s="8" t="s">
        <v>223</v>
      </c>
      <c r="H1414" s="8" t="s">
        <v>8670</v>
      </c>
      <c r="I1414" s="8" t="s">
        <v>9253</v>
      </c>
      <c r="J1414" s="8" t="s">
        <v>147</v>
      </c>
      <c r="K1414" s="8" t="s">
        <v>8664</v>
      </c>
      <c r="L1414" s="8"/>
      <c r="M1414" s="8"/>
      <c r="N1414" s="8" t="n">
        <v>45</v>
      </c>
      <c r="O1414" s="8" t="n">
        <v>151</v>
      </c>
      <c r="P1414" s="8" t="s">
        <v>120</v>
      </c>
    </row>
    <row r="1415" customFormat="false" ht="15" hidden="false" customHeight="false" outlineLevel="0" collapsed="false">
      <c r="A1415" s="8" t="s">
        <v>4360</v>
      </c>
      <c r="B1415" s="8" t="s">
        <v>4361</v>
      </c>
      <c r="C1415" s="8" t="s">
        <v>8665</v>
      </c>
      <c r="D1415" s="8" t="s">
        <v>132</v>
      </c>
      <c r="E1415" s="8" t="s">
        <v>51</v>
      </c>
      <c r="F1415" s="8" t="s">
        <v>2027</v>
      </c>
      <c r="G1415" s="8" t="s">
        <v>124</v>
      </c>
      <c r="H1415" s="8" t="s">
        <v>8666</v>
      </c>
      <c r="I1415" s="8" t="s">
        <v>9931</v>
      </c>
      <c r="J1415" s="8" t="s">
        <v>180</v>
      </c>
      <c r="K1415" s="8" t="s">
        <v>8664</v>
      </c>
      <c r="L1415" s="8"/>
      <c r="M1415" s="8"/>
      <c r="N1415" s="8" t="n">
        <v>12</v>
      </c>
      <c r="O1415" s="8" t="n">
        <v>5</v>
      </c>
      <c r="P1415" s="8" t="s">
        <v>120</v>
      </c>
    </row>
    <row r="1416" customFormat="false" ht="15" hidden="false" customHeight="false" outlineLevel="0" collapsed="false">
      <c r="A1416" s="8" t="s">
        <v>9932</v>
      </c>
      <c r="B1416" s="8" t="s">
        <v>9933</v>
      </c>
      <c r="C1416" s="8" t="s">
        <v>8665</v>
      </c>
      <c r="D1416" s="8" t="s">
        <v>123</v>
      </c>
      <c r="E1416" s="8" t="s">
        <v>51</v>
      </c>
      <c r="F1416" s="8" t="s">
        <v>2027</v>
      </c>
      <c r="G1416" s="8" t="s">
        <v>118</v>
      </c>
      <c r="H1416" s="8" t="s">
        <v>8675</v>
      </c>
      <c r="I1416" s="8" t="s">
        <v>9798</v>
      </c>
      <c r="J1416" s="8"/>
      <c r="K1416" s="8" t="s">
        <v>8690</v>
      </c>
      <c r="L1416" s="8" t="s">
        <v>9305</v>
      </c>
      <c r="M1416" s="8" t="s">
        <v>8795</v>
      </c>
      <c r="N1416" s="8" t="n">
        <v>12</v>
      </c>
      <c r="O1416" s="8" t="n">
        <v>36</v>
      </c>
      <c r="P1416" s="8" t="s">
        <v>120</v>
      </c>
    </row>
    <row r="1417" customFormat="false" ht="15" hidden="false" customHeight="false" outlineLevel="0" collapsed="false">
      <c r="A1417" s="8" t="s">
        <v>2524</v>
      </c>
      <c r="B1417" s="8" t="s">
        <v>2525</v>
      </c>
      <c r="C1417" s="8" t="s">
        <v>8700</v>
      </c>
      <c r="D1417" s="8" t="s">
        <v>132</v>
      </c>
      <c r="E1417" s="8" t="s">
        <v>51</v>
      </c>
      <c r="F1417" s="8" t="s">
        <v>2027</v>
      </c>
      <c r="G1417" s="8" t="s">
        <v>143</v>
      </c>
      <c r="H1417" s="8" t="s">
        <v>8666</v>
      </c>
      <c r="I1417" s="8" t="s">
        <v>9934</v>
      </c>
      <c r="J1417" s="8" t="s">
        <v>119</v>
      </c>
      <c r="K1417" s="8" t="s">
        <v>8664</v>
      </c>
      <c r="L1417" s="8"/>
      <c r="M1417" s="8"/>
      <c r="N1417" s="8" t="n">
        <v>12</v>
      </c>
      <c r="O1417" s="8" t="n">
        <v>38</v>
      </c>
      <c r="P1417" s="8" t="s">
        <v>120</v>
      </c>
    </row>
    <row r="1418" customFormat="false" ht="15" hidden="false" customHeight="false" outlineLevel="0" collapsed="false">
      <c r="A1418" s="8" t="s">
        <v>4040</v>
      </c>
      <c r="B1418" s="8" t="s">
        <v>4041</v>
      </c>
      <c r="C1418" s="8" t="s">
        <v>8665</v>
      </c>
      <c r="D1418" s="8" t="s">
        <v>117</v>
      </c>
      <c r="E1418" s="8" t="s">
        <v>51</v>
      </c>
      <c r="F1418" s="8" t="s">
        <v>2027</v>
      </c>
      <c r="G1418" s="8" t="s">
        <v>223</v>
      </c>
      <c r="H1418" s="8" t="s">
        <v>8675</v>
      </c>
      <c r="I1418" s="8" t="s">
        <v>9935</v>
      </c>
      <c r="J1418" s="8" t="s">
        <v>140</v>
      </c>
      <c r="K1418" s="8" t="s">
        <v>8664</v>
      </c>
      <c r="L1418" s="8"/>
      <c r="M1418" s="8"/>
      <c r="N1418" s="8" t="n">
        <v>12</v>
      </c>
      <c r="O1418" s="8" t="n">
        <v>13</v>
      </c>
      <c r="P1418" s="8" t="s">
        <v>120</v>
      </c>
    </row>
    <row r="1419" customFormat="false" ht="15" hidden="false" customHeight="false" outlineLevel="0" collapsed="false">
      <c r="A1419" s="8" t="s">
        <v>1701</v>
      </c>
      <c r="B1419" s="8" t="s">
        <v>1702</v>
      </c>
      <c r="C1419" s="8" t="s">
        <v>8674</v>
      </c>
      <c r="D1419" s="8" t="s">
        <v>117</v>
      </c>
      <c r="E1419" s="8" t="s">
        <v>53</v>
      </c>
      <c r="F1419" s="8" t="s">
        <v>326</v>
      </c>
      <c r="G1419" s="8" t="s">
        <v>151</v>
      </c>
      <c r="H1419" s="8" t="s">
        <v>8662</v>
      </c>
      <c r="I1419" s="8" t="s">
        <v>9832</v>
      </c>
      <c r="J1419" s="8" t="s">
        <v>159</v>
      </c>
      <c r="K1419" s="8" t="s">
        <v>8664</v>
      </c>
      <c r="L1419" s="8"/>
      <c r="M1419" s="8"/>
      <c r="N1419" s="8" t="n">
        <v>25</v>
      </c>
      <c r="O1419" s="8" t="n">
        <v>60</v>
      </c>
      <c r="P1419" s="8" t="s">
        <v>120</v>
      </c>
    </row>
    <row r="1420" customFormat="false" ht="15" hidden="false" customHeight="false" outlineLevel="0" collapsed="false">
      <c r="A1420" s="8" t="s">
        <v>9936</v>
      </c>
      <c r="B1420" s="8" t="s">
        <v>9937</v>
      </c>
      <c r="C1420" s="8" t="s">
        <v>8680</v>
      </c>
      <c r="D1420" s="8" t="s">
        <v>132</v>
      </c>
      <c r="E1420" s="8" t="s">
        <v>51</v>
      </c>
      <c r="F1420" s="8" t="s">
        <v>2027</v>
      </c>
      <c r="G1420" s="8" t="s">
        <v>143</v>
      </c>
      <c r="H1420" s="8" t="s">
        <v>8662</v>
      </c>
      <c r="I1420" s="8" t="s">
        <v>9362</v>
      </c>
      <c r="J1420" s="8"/>
      <c r="K1420" s="8" t="s">
        <v>8690</v>
      </c>
      <c r="L1420" s="8" t="s">
        <v>9687</v>
      </c>
      <c r="M1420" s="8" t="s">
        <v>8705</v>
      </c>
      <c r="N1420" s="8" t="n">
        <v>12</v>
      </c>
      <c r="O1420" s="8" t="n">
        <v>29</v>
      </c>
      <c r="P1420" s="8" t="s">
        <v>120</v>
      </c>
    </row>
    <row r="1421" customFormat="false" ht="15" hidden="false" customHeight="false" outlineLevel="0" collapsed="false">
      <c r="A1421" s="8" t="s">
        <v>1667</v>
      </c>
      <c r="B1421" s="8" t="s">
        <v>1668</v>
      </c>
      <c r="C1421" s="8" t="s">
        <v>8674</v>
      </c>
      <c r="D1421" s="8" t="s">
        <v>117</v>
      </c>
      <c r="E1421" s="8" t="s">
        <v>53</v>
      </c>
      <c r="F1421" s="8" t="s">
        <v>326</v>
      </c>
      <c r="G1421" s="8" t="s">
        <v>154</v>
      </c>
      <c r="H1421" s="8" t="s">
        <v>8666</v>
      </c>
      <c r="I1421" s="8" t="s">
        <v>9032</v>
      </c>
      <c r="J1421" s="8" t="s">
        <v>125</v>
      </c>
      <c r="K1421" s="8" t="s">
        <v>8664</v>
      </c>
      <c r="L1421" s="8"/>
      <c r="M1421" s="8"/>
      <c r="N1421" s="8" t="n">
        <v>25</v>
      </c>
      <c r="O1421" s="8" t="n">
        <v>43</v>
      </c>
      <c r="P1421" s="8" t="s">
        <v>148</v>
      </c>
    </row>
    <row r="1422" customFormat="false" ht="15" hidden="false" customHeight="false" outlineLevel="0" collapsed="false">
      <c r="A1422" s="8" t="s">
        <v>2858</v>
      </c>
      <c r="B1422" s="8" t="s">
        <v>2859</v>
      </c>
      <c r="C1422" s="8" t="s">
        <v>8669</v>
      </c>
      <c r="D1422" s="8" t="s">
        <v>117</v>
      </c>
      <c r="E1422" s="8" t="s">
        <v>51</v>
      </c>
      <c r="F1422" s="8" t="s">
        <v>2027</v>
      </c>
      <c r="G1422" s="8" t="s">
        <v>166</v>
      </c>
      <c r="H1422" s="8" t="s">
        <v>8662</v>
      </c>
      <c r="I1422" s="8" t="s">
        <v>9057</v>
      </c>
      <c r="J1422" s="8" t="s">
        <v>144</v>
      </c>
      <c r="K1422" s="8" t="s">
        <v>8664</v>
      </c>
      <c r="L1422" s="8"/>
      <c r="M1422" s="8"/>
      <c r="N1422" s="8" t="n">
        <v>12</v>
      </c>
      <c r="O1422" s="8" t="n">
        <v>32</v>
      </c>
      <c r="P1422" s="8" t="s">
        <v>120</v>
      </c>
    </row>
    <row r="1423" customFormat="false" ht="15" hidden="false" customHeight="false" outlineLevel="0" collapsed="false">
      <c r="A1423" s="8" t="s">
        <v>1171</v>
      </c>
      <c r="B1423" s="8" t="s">
        <v>1172</v>
      </c>
      <c r="C1423" s="8" t="s">
        <v>8700</v>
      </c>
      <c r="D1423" s="8" t="s">
        <v>132</v>
      </c>
      <c r="E1423" s="8" t="s">
        <v>53</v>
      </c>
      <c r="F1423" s="8" t="s">
        <v>326</v>
      </c>
      <c r="G1423" s="8" t="s">
        <v>143</v>
      </c>
      <c r="H1423" s="8" t="s">
        <v>8670</v>
      </c>
      <c r="I1423" s="8" t="s">
        <v>9910</v>
      </c>
      <c r="J1423" s="8" t="s">
        <v>137</v>
      </c>
      <c r="K1423" s="8" t="s">
        <v>8664</v>
      </c>
      <c r="L1423" s="8"/>
      <c r="M1423" s="8"/>
      <c r="N1423" s="8" t="n">
        <v>25</v>
      </c>
      <c r="O1423" s="8" t="n">
        <v>140</v>
      </c>
      <c r="P1423" s="8" t="s">
        <v>120</v>
      </c>
    </row>
    <row r="1424" customFormat="false" ht="15" hidden="false" customHeight="false" outlineLevel="0" collapsed="false">
      <c r="A1424" s="8" t="s">
        <v>2568</v>
      </c>
      <c r="B1424" s="8" t="s">
        <v>2569</v>
      </c>
      <c r="C1424" s="8" t="s">
        <v>8665</v>
      </c>
      <c r="D1424" s="8" t="s">
        <v>123</v>
      </c>
      <c r="E1424" s="8" t="s">
        <v>51</v>
      </c>
      <c r="F1424" s="8" t="s">
        <v>2027</v>
      </c>
      <c r="G1424" s="8" t="s">
        <v>124</v>
      </c>
      <c r="H1424" s="8" t="s">
        <v>8666</v>
      </c>
      <c r="I1424" s="8" t="s">
        <v>9258</v>
      </c>
      <c r="J1424" s="8" t="s">
        <v>180</v>
      </c>
      <c r="K1424" s="8" t="s">
        <v>8664</v>
      </c>
      <c r="L1424" s="8"/>
      <c r="M1424" s="8"/>
      <c r="N1424" s="8" t="n">
        <v>12</v>
      </c>
      <c r="O1424" s="8" t="n">
        <v>37</v>
      </c>
      <c r="P1424" s="8" t="s">
        <v>120</v>
      </c>
    </row>
    <row r="1425" customFormat="false" ht="15" hidden="false" customHeight="false" outlineLevel="0" collapsed="false">
      <c r="A1425" s="8" t="s">
        <v>3182</v>
      </c>
      <c r="B1425" s="8" t="s">
        <v>3183</v>
      </c>
      <c r="C1425" s="8" t="s">
        <v>8661</v>
      </c>
      <c r="D1425" s="8" t="s">
        <v>123</v>
      </c>
      <c r="E1425" s="8" t="s">
        <v>51</v>
      </c>
      <c r="F1425" s="8" t="s">
        <v>2027</v>
      </c>
      <c r="G1425" s="8" t="s">
        <v>136</v>
      </c>
      <c r="H1425" s="8" t="s">
        <v>8666</v>
      </c>
      <c r="I1425" s="8" t="s">
        <v>9367</v>
      </c>
      <c r="J1425" s="8" t="s">
        <v>140</v>
      </c>
      <c r="K1425" s="8" t="s">
        <v>8664</v>
      </c>
      <c r="L1425" s="8"/>
      <c r="M1425" s="8"/>
      <c r="N1425" s="8" t="n">
        <v>12</v>
      </c>
      <c r="O1425" s="8" t="n">
        <v>20</v>
      </c>
      <c r="P1425" s="8" t="s">
        <v>120</v>
      </c>
    </row>
    <row r="1426" customFormat="false" ht="15" hidden="false" customHeight="false" outlineLevel="0" collapsed="false">
      <c r="A1426" s="8" t="s">
        <v>1721</v>
      </c>
      <c r="B1426" s="8" t="s">
        <v>1722</v>
      </c>
      <c r="C1426" s="8" t="s">
        <v>8700</v>
      </c>
      <c r="D1426" s="8" t="s">
        <v>132</v>
      </c>
      <c r="E1426" s="8" t="s">
        <v>53</v>
      </c>
      <c r="F1426" s="8" t="s">
        <v>326</v>
      </c>
      <c r="G1426" s="8" t="s">
        <v>133</v>
      </c>
      <c r="H1426" s="8" t="s">
        <v>8670</v>
      </c>
      <c r="I1426" s="8" t="s">
        <v>9512</v>
      </c>
      <c r="J1426" s="8" t="s">
        <v>185</v>
      </c>
      <c r="K1426" s="8" t="s">
        <v>8664</v>
      </c>
      <c r="L1426" s="8"/>
      <c r="M1426" s="8"/>
      <c r="N1426" s="8" t="n">
        <v>25</v>
      </c>
      <c r="O1426" s="8" t="n">
        <v>52</v>
      </c>
      <c r="P1426" s="8" t="s">
        <v>120</v>
      </c>
    </row>
    <row r="1427" customFormat="false" ht="15" hidden="false" customHeight="false" outlineLevel="0" collapsed="false">
      <c r="A1427" s="8" t="s">
        <v>3680</v>
      </c>
      <c r="B1427" s="8" t="s">
        <v>3681</v>
      </c>
      <c r="C1427" s="8" t="s">
        <v>8661</v>
      </c>
      <c r="D1427" s="8" t="s">
        <v>123</v>
      </c>
      <c r="E1427" s="8" t="s">
        <v>51</v>
      </c>
      <c r="F1427" s="8" t="s">
        <v>2027</v>
      </c>
      <c r="G1427" s="8" t="s">
        <v>143</v>
      </c>
      <c r="H1427" s="8" t="s">
        <v>8662</v>
      </c>
      <c r="I1427" s="8" t="s">
        <v>9122</v>
      </c>
      <c r="J1427" s="8" t="s">
        <v>137</v>
      </c>
      <c r="K1427" s="8" t="s">
        <v>8664</v>
      </c>
      <c r="L1427" s="8"/>
      <c r="M1427" s="8"/>
      <c r="N1427" s="8" t="n">
        <v>12</v>
      </c>
      <c r="O1427" s="8" t="n">
        <v>13</v>
      </c>
      <c r="P1427" s="8" t="s">
        <v>120</v>
      </c>
    </row>
    <row r="1428" customFormat="false" ht="15" hidden="false" customHeight="false" outlineLevel="0" collapsed="false">
      <c r="A1428" s="8" t="s">
        <v>4076</v>
      </c>
      <c r="B1428" s="8" t="s">
        <v>4077</v>
      </c>
      <c r="C1428" s="8" t="s">
        <v>8700</v>
      </c>
      <c r="D1428" s="8" t="s">
        <v>123</v>
      </c>
      <c r="E1428" s="8" t="s">
        <v>51</v>
      </c>
      <c r="F1428" s="8" t="s">
        <v>326</v>
      </c>
      <c r="G1428" s="8" t="s">
        <v>166</v>
      </c>
      <c r="H1428" s="8" t="s">
        <v>8670</v>
      </c>
      <c r="I1428" s="8" t="s">
        <v>9938</v>
      </c>
      <c r="J1428" s="8" t="s">
        <v>125</v>
      </c>
      <c r="K1428" s="8" t="s">
        <v>8664</v>
      </c>
      <c r="L1428" s="8"/>
      <c r="M1428" s="8"/>
      <c r="N1428" s="8" t="n">
        <v>25</v>
      </c>
      <c r="O1428" s="8" t="n">
        <v>5</v>
      </c>
      <c r="P1428" s="8" t="s">
        <v>120</v>
      </c>
    </row>
    <row r="1429" customFormat="false" ht="15" hidden="false" customHeight="false" outlineLevel="0" collapsed="false">
      <c r="A1429" s="8" t="s">
        <v>1795</v>
      </c>
      <c r="B1429" s="8" t="s">
        <v>1796</v>
      </c>
      <c r="C1429" s="8" t="s">
        <v>8688</v>
      </c>
      <c r="D1429" s="8" t="s">
        <v>117</v>
      </c>
      <c r="E1429" s="8" t="s">
        <v>53</v>
      </c>
      <c r="F1429" s="8" t="s">
        <v>326</v>
      </c>
      <c r="G1429" s="8" t="s">
        <v>118</v>
      </c>
      <c r="H1429" s="8" t="s">
        <v>8675</v>
      </c>
      <c r="I1429" s="8" t="s">
        <v>9593</v>
      </c>
      <c r="J1429" s="8" t="s">
        <v>144</v>
      </c>
      <c r="K1429" s="8" t="s">
        <v>8664</v>
      </c>
      <c r="L1429" s="8"/>
      <c r="M1429" s="8"/>
      <c r="N1429" s="8" t="n">
        <v>25</v>
      </c>
      <c r="O1429" s="8" t="n">
        <v>44</v>
      </c>
      <c r="P1429" s="8" t="s">
        <v>120</v>
      </c>
    </row>
    <row r="1430" customFormat="false" ht="15" hidden="false" customHeight="false" outlineLevel="0" collapsed="false">
      <c r="A1430" s="8" t="s">
        <v>779</v>
      </c>
      <c r="B1430" s="8" t="s">
        <v>780</v>
      </c>
      <c r="C1430" s="8" t="s">
        <v>8674</v>
      </c>
      <c r="D1430" s="8" t="s">
        <v>128</v>
      </c>
      <c r="E1430" s="8" t="s">
        <v>53</v>
      </c>
      <c r="F1430" s="8" t="s">
        <v>55</v>
      </c>
      <c r="G1430" s="8" t="s">
        <v>118</v>
      </c>
      <c r="H1430" s="8" t="s">
        <v>8675</v>
      </c>
      <c r="I1430" s="8" t="s">
        <v>9685</v>
      </c>
      <c r="J1430" s="8" t="s">
        <v>204</v>
      </c>
      <c r="K1430" s="8" t="s">
        <v>8664</v>
      </c>
      <c r="L1430" s="8"/>
      <c r="M1430" s="8"/>
      <c r="N1430" s="8" t="n">
        <v>45</v>
      </c>
      <c r="O1430" s="8" t="n">
        <v>111</v>
      </c>
      <c r="P1430" s="8" t="s">
        <v>120</v>
      </c>
    </row>
    <row r="1431" customFormat="false" ht="15" hidden="false" customHeight="false" outlineLevel="0" collapsed="false">
      <c r="A1431" s="8" t="s">
        <v>1497</v>
      </c>
      <c r="B1431" s="8" t="s">
        <v>1498</v>
      </c>
      <c r="C1431" s="8" t="s">
        <v>8700</v>
      </c>
      <c r="D1431" s="8" t="s">
        <v>123</v>
      </c>
      <c r="E1431" s="8" t="s">
        <v>53</v>
      </c>
      <c r="F1431" s="8" t="s">
        <v>326</v>
      </c>
      <c r="G1431" s="8" t="s">
        <v>124</v>
      </c>
      <c r="H1431" s="8" t="s">
        <v>8662</v>
      </c>
      <c r="I1431" s="8" t="s">
        <v>9563</v>
      </c>
      <c r="J1431" s="8" t="s">
        <v>144</v>
      </c>
      <c r="K1431" s="8" t="s">
        <v>8664</v>
      </c>
      <c r="L1431" s="8"/>
      <c r="M1431" s="8"/>
      <c r="N1431" s="8" t="n">
        <v>25</v>
      </c>
      <c r="O1431" s="8" t="n">
        <v>69</v>
      </c>
      <c r="P1431" s="8" t="s">
        <v>120</v>
      </c>
    </row>
    <row r="1432" customFormat="false" ht="15" hidden="false" customHeight="false" outlineLevel="0" collapsed="false">
      <c r="A1432" s="8" t="s">
        <v>9939</v>
      </c>
      <c r="B1432" s="8" t="s">
        <v>9940</v>
      </c>
      <c r="C1432" s="8" t="s">
        <v>8661</v>
      </c>
      <c r="D1432" s="8" t="s">
        <v>123</v>
      </c>
      <c r="E1432" s="8" t="s">
        <v>51</v>
      </c>
      <c r="F1432" s="8" t="s">
        <v>2027</v>
      </c>
      <c r="G1432" s="8" t="s">
        <v>136</v>
      </c>
      <c r="H1432" s="8" t="s">
        <v>8670</v>
      </c>
      <c r="I1432" s="8" t="s">
        <v>9204</v>
      </c>
      <c r="J1432" s="8"/>
      <c r="K1432" s="8" t="s">
        <v>8690</v>
      </c>
      <c r="L1432" s="8" t="s">
        <v>9941</v>
      </c>
      <c r="M1432" s="8" t="s">
        <v>8795</v>
      </c>
      <c r="N1432" s="8" t="n">
        <v>12</v>
      </c>
      <c r="O1432" s="8" t="n">
        <v>21</v>
      </c>
      <c r="P1432" s="8" t="s">
        <v>148</v>
      </c>
    </row>
    <row r="1433" customFormat="false" ht="15" hidden="false" customHeight="false" outlineLevel="0" collapsed="false">
      <c r="A1433" s="8" t="s">
        <v>1655</v>
      </c>
      <c r="B1433" s="8" t="s">
        <v>1656</v>
      </c>
      <c r="C1433" s="8" t="s">
        <v>8665</v>
      </c>
      <c r="D1433" s="8" t="s">
        <v>132</v>
      </c>
      <c r="E1433" s="8" t="s">
        <v>53</v>
      </c>
      <c r="F1433" s="8" t="s">
        <v>326</v>
      </c>
      <c r="G1433" s="8" t="s">
        <v>136</v>
      </c>
      <c r="H1433" s="8" t="s">
        <v>8662</v>
      </c>
      <c r="I1433" s="8" t="s">
        <v>8963</v>
      </c>
      <c r="J1433" s="8" t="s">
        <v>159</v>
      </c>
      <c r="K1433" s="8" t="s">
        <v>8664</v>
      </c>
      <c r="L1433" s="8"/>
      <c r="M1433" s="8"/>
      <c r="N1433" s="8" t="n">
        <v>25</v>
      </c>
      <c r="O1433" s="8" t="n">
        <v>60</v>
      </c>
      <c r="P1433" s="8" t="s">
        <v>148</v>
      </c>
    </row>
    <row r="1434" customFormat="false" ht="15" hidden="false" customHeight="false" outlineLevel="0" collapsed="false">
      <c r="A1434" s="8" t="s">
        <v>3478</v>
      </c>
      <c r="B1434" s="8" t="s">
        <v>3479</v>
      </c>
      <c r="C1434" s="8" t="s">
        <v>8688</v>
      </c>
      <c r="D1434" s="8" t="s">
        <v>117</v>
      </c>
      <c r="E1434" s="8" t="s">
        <v>51</v>
      </c>
      <c r="F1434" s="8" t="s">
        <v>2027</v>
      </c>
      <c r="G1434" s="8" t="s">
        <v>154</v>
      </c>
      <c r="H1434" s="8" t="s">
        <v>8670</v>
      </c>
      <c r="I1434" s="8" t="s">
        <v>9817</v>
      </c>
      <c r="J1434" s="8" t="s">
        <v>144</v>
      </c>
      <c r="K1434" s="8" t="s">
        <v>8664</v>
      </c>
      <c r="L1434" s="8"/>
      <c r="M1434" s="8"/>
      <c r="N1434" s="8" t="n">
        <v>12</v>
      </c>
      <c r="O1434" s="8" t="n">
        <v>25</v>
      </c>
      <c r="P1434" s="8" t="s">
        <v>120</v>
      </c>
    </row>
    <row r="1435" customFormat="false" ht="15" hidden="false" customHeight="false" outlineLevel="0" collapsed="false">
      <c r="A1435" s="8" t="s">
        <v>3682</v>
      </c>
      <c r="B1435" s="8" t="s">
        <v>3683</v>
      </c>
      <c r="C1435" s="8" t="s">
        <v>8678</v>
      </c>
      <c r="D1435" s="8" t="s">
        <v>123</v>
      </c>
      <c r="E1435" s="8" t="s">
        <v>51</v>
      </c>
      <c r="F1435" s="8" t="s">
        <v>2027</v>
      </c>
      <c r="G1435" s="8" t="s">
        <v>133</v>
      </c>
      <c r="H1435" s="8" t="s">
        <v>8670</v>
      </c>
      <c r="I1435" s="8" t="s">
        <v>8751</v>
      </c>
      <c r="J1435" s="8" t="s">
        <v>180</v>
      </c>
      <c r="K1435" s="8" t="s">
        <v>8664</v>
      </c>
      <c r="L1435" s="8"/>
      <c r="M1435" s="8"/>
      <c r="N1435" s="8" t="n">
        <v>12</v>
      </c>
      <c r="O1435" s="8" t="n">
        <v>18</v>
      </c>
      <c r="P1435" s="8" t="s">
        <v>120</v>
      </c>
    </row>
    <row r="1436" customFormat="false" ht="15" hidden="false" customHeight="false" outlineLevel="0" collapsed="false">
      <c r="A1436" s="8" t="s">
        <v>3284</v>
      </c>
      <c r="B1436" s="8" t="s">
        <v>3285</v>
      </c>
      <c r="C1436" s="8" t="s">
        <v>8669</v>
      </c>
      <c r="D1436" s="8" t="s">
        <v>123</v>
      </c>
      <c r="E1436" s="8" t="s">
        <v>51</v>
      </c>
      <c r="F1436" s="8" t="s">
        <v>2027</v>
      </c>
      <c r="G1436" s="8" t="s">
        <v>151</v>
      </c>
      <c r="H1436" s="8" t="s">
        <v>8670</v>
      </c>
      <c r="I1436" s="8" t="s">
        <v>8677</v>
      </c>
      <c r="J1436" s="8" t="s">
        <v>180</v>
      </c>
      <c r="K1436" s="8" t="s">
        <v>8664</v>
      </c>
      <c r="L1436" s="8"/>
      <c r="M1436" s="8"/>
      <c r="N1436" s="8" t="n">
        <v>12</v>
      </c>
      <c r="O1436" s="8" t="n">
        <v>22</v>
      </c>
      <c r="P1436" s="8" t="s">
        <v>120</v>
      </c>
    </row>
    <row r="1437" customFormat="false" ht="15" hidden="false" customHeight="false" outlineLevel="0" collapsed="false">
      <c r="A1437" s="8" t="s">
        <v>318</v>
      </c>
      <c r="B1437" s="8" t="s">
        <v>319</v>
      </c>
      <c r="C1437" s="8" t="s">
        <v>8674</v>
      </c>
      <c r="D1437" s="8" t="s">
        <v>123</v>
      </c>
      <c r="E1437" s="8" t="s">
        <v>55</v>
      </c>
      <c r="F1437" s="8" t="s">
        <v>55</v>
      </c>
      <c r="G1437" s="8" t="s">
        <v>133</v>
      </c>
      <c r="H1437" s="8" t="s">
        <v>8666</v>
      </c>
      <c r="I1437" s="8" t="s">
        <v>8681</v>
      </c>
      <c r="J1437" s="8" t="s">
        <v>204</v>
      </c>
      <c r="K1437" s="8" t="s">
        <v>8664</v>
      </c>
      <c r="L1437" s="8"/>
      <c r="M1437" s="8"/>
      <c r="N1437" s="8" t="n">
        <v>45</v>
      </c>
      <c r="O1437" s="8" t="n">
        <v>375</v>
      </c>
      <c r="P1437" s="8" t="s">
        <v>120</v>
      </c>
    </row>
    <row r="1438" customFormat="false" ht="15" hidden="false" customHeight="false" outlineLevel="0" collapsed="false">
      <c r="A1438" s="8" t="s">
        <v>1555</v>
      </c>
      <c r="B1438" s="8" t="s">
        <v>1556</v>
      </c>
      <c r="C1438" s="8" t="s">
        <v>8688</v>
      </c>
      <c r="D1438" s="8" t="s">
        <v>132</v>
      </c>
      <c r="E1438" s="8" t="s">
        <v>53</v>
      </c>
      <c r="F1438" s="8" t="s">
        <v>326</v>
      </c>
      <c r="G1438" s="8" t="s">
        <v>223</v>
      </c>
      <c r="H1438" s="8" t="s">
        <v>8675</v>
      </c>
      <c r="I1438" s="8" t="s">
        <v>8963</v>
      </c>
      <c r="J1438" s="8" t="s">
        <v>159</v>
      </c>
      <c r="K1438" s="8" t="s">
        <v>8664</v>
      </c>
      <c r="L1438" s="8"/>
      <c r="M1438" s="8"/>
      <c r="N1438" s="8" t="n">
        <v>25</v>
      </c>
      <c r="O1438" s="8" t="n">
        <v>82</v>
      </c>
      <c r="P1438" s="8" t="s">
        <v>120</v>
      </c>
    </row>
    <row r="1439" customFormat="false" ht="15" hidden="false" customHeight="false" outlineLevel="0" collapsed="false">
      <c r="A1439" s="8" t="s">
        <v>4442</v>
      </c>
      <c r="B1439" s="8" t="s">
        <v>9942</v>
      </c>
      <c r="C1439" s="8" t="s">
        <v>8688</v>
      </c>
      <c r="D1439" s="8" t="s">
        <v>132</v>
      </c>
      <c r="E1439" s="8" t="s">
        <v>53</v>
      </c>
      <c r="F1439" s="8" t="s">
        <v>55</v>
      </c>
      <c r="G1439" s="8" t="s">
        <v>118</v>
      </c>
      <c r="H1439" s="8" t="s">
        <v>8662</v>
      </c>
      <c r="I1439" s="8" t="s">
        <v>9319</v>
      </c>
      <c r="J1439" s="8"/>
      <c r="K1439" s="8" t="s">
        <v>8690</v>
      </c>
      <c r="L1439" s="8" t="s">
        <v>9062</v>
      </c>
      <c r="M1439" s="8" t="s">
        <v>8795</v>
      </c>
      <c r="N1439" s="8" t="n">
        <v>45</v>
      </c>
      <c r="O1439" s="8" t="n">
        <v>89</v>
      </c>
      <c r="P1439" s="8" t="s">
        <v>120</v>
      </c>
    </row>
    <row r="1440" customFormat="false" ht="15" hidden="false" customHeight="false" outlineLevel="0" collapsed="false">
      <c r="A1440" s="8" t="s">
        <v>1989</v>
      </c>
      <c r="B1440" s="8" t="s">
        <v>1990</v>
      </c>
      <c r="C1440" s="8" t="s">
        <v>8700</v>
      </c>
      <c r="D1440" s="8" t="s">
        <v>117</v>
      </c>
      <c r="E1440" s="8" t="s">
        <v>51</v>
      </c>
      <c r="F1440" s="8" t="s">
        <v>326</v>
      </c>
      <c r="G1440" s="8" t="s">
        <v>223</v>
      </c>
      <c r="H1440" s="8" t="s">
        <v>8670</v>
      </c>
      <c r="I1440" s="8" t="s">
        <v>9150</v>
      </c>
      <c r="J1440" s="8" t="s">
        <v>140</v>
      </c>
      <c r="K1440" s="8" t="s">
        <v>8664</v>
      </c>
      <c r="L1440" s="8"/>
      <c r="M1440" s="8"/>
      <c r="N1440" s="8" t="n">
        <v>25</v>
      </c>
      <c r="O1440" s="8" t="n">
        <v>32</v>
      </c>
      <c r="P1440" s="8" t="s">
        <v>120</v>
      </c>
    </row>
    <row r="1441" customFormat="false" ht="15" hidden="false" customHeight="false" outlineLevel="0" collapsed="false">
      <c r="A1441" s="8" t="s">
        <v>3366</v>
      </c>
      <c r="B1441" s="8" t="s">
        <v>3367</v>
      </c>
      <c r="C1441" s="8" t="s">
        <v>8661</v>
      </c>
      <c r="D1441" s="8" t="s">
        <v>132</v>
      </c>
      <c r="E1441" s="8" t="s">
        <v>51</v>
      </c>
      <c r="F1441" s="8" t="s">
        <v>2027</v>
      </c>
      <c r="G1441" s="8" t="s">
        <v>136</v>
      </c>
      <c r="H1441" s="8" t="s">
        <v>8662</v>
      </c>
      <c r="I1441" s="8" t="s">
        <v>9174</v>
      </c>
      <c r="J1441" s="8" t="s">
        <v>125</v>
      </c>
      <c r="K1441" s="8" t="s">
        <v>8664</v>
      </c>
      <c r="L1441" s="8"/>
      <c r="M1441" s="8"/>
      <c r="N1441" s="8" t="n">
        <v>12</v>
      </c>
      <c r="O1441" s="8" t="n">
        <v>24</v>
      </c>
      <c r="P1441" s="8" t="s">
        <v>120</v>
      </c>
    </row>
    <row r="1442" customFormat="false" ht="15" hidden="false" customHeight="false" outlineLevel="0" collapsed="false">
      <c r="A1442" s="8" t="s">
        <v>2332</v>
      </c>
      <c r="B1442" s="8" t="s">
        <v>2333</v>
      </c>
      <c r="C1442" s="8" t="s">
        <v>8678</v>
      </c>
      <c r="D1442" s="8" t="s">
        <v>117</v>
      </c>
      <c r="E1442" s="8" t="s">
        <v>51</v>
      </c>
      <c r="F1442" s="8" t="s">
        <v>326</v>
      </c>
      <c r="G1442" s="8" t="s">
        <v>124</v>
      </c>
      <c r="H1442" s="8" t="s">
        <v>8662</v>
      </c>
      <c r="I1442" s="8" t="s">
        <v>9660</v>
      </c>
      <c r="J1442" s="8" t="s">
        <v>185</v>
      </c>
      <c r="K1442" s="8" t="s">
        <v>8664</v>
      </c>
      <c r="L1442" s="8"/>
      <c r="M1442" s="8"/>
      <c r="N1442" s="8" t="n">
        <v>25</v>
      </c>
      <c r="O1442" s="8" t="n">
        <v>21</v>
      </c>
      <c r="P1442" s="8" t="s">
        <v>120</v>
      </c>
    </row>
    <row r="1443" customFormat="false" ht="15" hidden="false" customHeight="false" outlineLevel="0" collapsed="false">
      <c r="A1443" s="8" t="s">
        <v>1201</v>
      </c>
      <c r="B1443" s="8" t="s">
        <v>1202</v>
      </c>
      <c r="C1443" s="8" t="s">
        <v>8669</v>
      </c>
      <c r="D1443" s="8" t="s">
        <v>132</v>
      </c>
      <c r="E1443" s="8" t="s">
        <v>53</v>
      </c>
      <c r="F1443" s="8" t="s">
        <v>326</v>
      </c>
      <c r="G1443" s="8" t="s">
        <v>133</v>
      </c>
      <c r="H1443" s="8" t="s">
        <v>8675</v>
      </c>
      <c r="I1443" s="8" t="s">
        <v>9943</v>
      </c>
      <c r="J1443" s="8" t="s">
        <v>140</v>
      </c>
      <c r="K1443" s="8" t="s">
        <v>8664</v>
      </c>
      <c r="L1443" s="8"/>
      <c r="M1443" s="8"/>
      <c r="N1443" s="8" t="n">
        <v>25</v>
      </c>
      <c r="O1443" s="8" t="n">
        <v>115</v>
      </c>
      <c r="P1443" s="8" t="s">
        <v>120</v>
      </c>
    </row>
    <row r="1444" customFormat="false" ht="15" hidden="false" customHeight="false" outlineLevel="0" collapsed="false">
      <c r="A1444" s="8" t="s">
        <v>1349</v>
      </c>
      <c r="B1444" s="8" t="s">
        <v>1350</v>
      </c>
      <c r="C1444" s="8" t="s">
        <v>8669</v>
      </c>
      <c r="D1444" s="8" t="s">
        <v>132</v>
      </c>
      <c r="E1444" s="8" t="s">
        <v>53</v>
      </c>
      <c r="F1444" s="8" t="s">
        <v>326</v>
      </c>
      <c r="G1444" s="8" t="s">
        <v>190</v>
      </c>
      <c r="H1444" s="8" t="s">
        <v>8666</v>
      </c>
      <c r="I1444" s="8" t="s">
        <v>9352</v>
      </c>
      <c r="J1444" s="8" t="s">
        <v>119</v>
      </c>
      <c r="K1444" s="8" t="s">
        <v>8664</v>
      </c>
      <c r="L1444" s="8"/>
      <c r="M1444" s="8"/>
      <c r="N1444" s="8" t="n">
        <v>25</v>
      </c>
      <c r="O1444" s="8" t="n">
        <v>115</v>
      </c>
      <c r="P1444" s="8" t="s">
        <v>120</v>
      </c>
    </row>
    <row r="1445" customFormat="false" ht="15" hidden="false" customHeight="false" outlineLevel="0" collapsed="false">
      <c r="A1445" s="8" t="s">
        <v>2102</v>
      </c>
      <c r="B1445" s="8" t="s">
        <v>2103</v>
      </c>
      <c r="C1445" s="8" t="s">
        <v>8669</v>
      </c>
      <c r="D1445" s="8" t="s">
        <v>123</v>
      </c>
      <c r="E1445" s="8" t="s">
        <v>51</v>
      </c>
      <c r="F1445" s="8" t="s">
        <v>326</v>
      </c>
      <c r="G1445" s="8" t="s">
        <v>124</v>
      </c>
      <c r="H1445" s="8" t="s">
        <v>8670</v>
      </c>
      <c r="I1445" s="8" t="s">
        <v>9416</v>
      </c>
      <c r="J1445" s="8" t="s">
        <v>185</v>
      </c>
      <c r="K1445" s="8" t="s">
        <v>8664</v>
      </c>
      <c r="L1445" s="8"/>
      <c r="M1445" s="8"/>
      <c r="N1445" s="8" t="n">
        <v>25</v>
      </c>
      <c r="O1445" s="8" t="n">
        <v>28</v>
      </c>
      <c r="P1445" s="8" t="s">
        <v>120</v>
      </c>
    </row>
    <row r="1446" customFormat="false" ht="15" hidden="false" customHeight="false" outlineLevel="0" collapsed="false">
      <c r="A1446" s="8" t="s">
        <v>953</v>
      </c>
      <c r="B1446" s="8" t="s">
        <v>954</v>
      </c>
      <c r="C1446" s="8" t="s">
        <v>8665</v>
      </c>
      <c r="D1446" s="8" t="s">
        <v>123</v>
      </c>
      <c r="E1446" s="8" t="s">
        <v>53</v>
      </c>
      <c r="F1446" s="8" t="s">
        <v>326</v>
      </c>
      <c r="G1446" s="8" t="s">
        <v>118</v>
      </c>
      <c r="H1446" s="8" t="s">
        <v>8670</v>
      </c>
      <c r="I1446" s="8" t="s">
        <v>9944</v>
      </c>
      <c r="J1446" s="8" t="s">
        <v>129</v>
      </c>
      <c r="K1446" s="8" t="s">
        <v>8664</v>
      </c>
      <c r="L1446" s="8"/>
      <c r="M1446" s="8"/>
      <c r="N1446" s="8" t="n">
        <v>25</v>
      </c>
      <c r="O1446" s="8" t="n">
        <v>171</v>
      </c>
      <c r="P1446" s="8" t="s">
        <v>120</v>
      </c>
    </row>
    <row r="1447" customFormat="false" ht="15" hidden="false" customHeight="false" outlineLevel="0" collapsed="false">
      <c r="A1447" s="8" t="s">
        <v>3506</v>
      </c>
      <c r="B1447" s="8" t="s">
        <v>3507</v>
      </c>
      <c r="C1447" s="8" t="s">
        <v>8688</v>
      </c>
      <c r="D1447" s="8" t="s">
        <v>132</v>
      </c>
      <c r="E1447" s="8" t="s">
        <v>51</v>
      </c>
      <c r="F1447" s="8" t="s">
        <v>2027</v>
      </c>
      <c r="G1447" s="8" t="s">
        <v>190</v>
      </c>
      <c r="H1447" s="8" t="s">
        <v>8666</v>
      </c>
      <c r="I1447" s="8" t="s">
        <v>9945</v>
      </c>
      <c r="J1447" s="8" t="s">
        <v>129</v>
      </c>
      <c r="K1447" s="8" t="s">
        <v>8664</v>
      </c>
      <c r="L1447" s="8"/>
      <c r="M1447" s="8"/>
      <c r="N1447" s="8" t="n">
        <v>12</v>
      </c>
      <c r="O1447" s="8" t="n">
        <v>21</v>
      </c>
      <c r="P1447" s="8" t="s">
        <v>120</v>
      </c>
    </row>
    <row r="1448" customFormat="false" ht="15" hidden="false" customHeight="false" outlineLevel="0" collapsed="false">
      <c r="A1448" s="8" t="s">
        <v>877</v>
      </c>
      <c r="B1448" s="8" t="s">
        <v>878</v>
      </c>
      <c r="C1448" s="8" t="s">
        <v>8669</v>
      </c>
      <c r="D1448" s="8" t="s">
        <v>132</v>
      </c>
      <c r="E1448" s="8" t="s">
        <v>53</v>
      </c>
      <c r="F1448" s="8" t="s">
        <v>326</v>
      </c>
      <c r="G1448" s="8" t="s">
        <v>190</v>
      </c>
      <c r="H1448" s="8" t="s">
        <v>8670</v>
      </c>
      <c r="I1448" s="8" t="s">
        <v>8683</v>
      </c>
      <c r="J1448" s="8" t="s">
        <v>144</v>
      </c>
      <c r="K1448" s="8" t="s">
        <v>8664</v>
      </c>
      <c r="L1448" s="8"/>
      <c r="M1448" s="8"/>
      <c r="N1448" s="8" t="n">
        <v>25</v>
      </c>
      <c r="O1448" s="8" t="n">
        <v>184</v>
      </c>
      <c r="P1448" s="8" t="s">
        <v>120</v>
      </c>
    </row>
    <row r="1449" customFormat="false" ht="15" hidden="false" customHeight="false" outlineLevel="0" collapsed="false">
      <c r="A1449" s="8" t="s">
        <v>4282</v>
      </c>
      <c r="B1449" s="8" t="s">
        <v>4283</v>
      </c>
      <c r="C1449" s="8" t="s">
        <v>8674</v>
      </c>
      <c r="D1449" s="8" t="s">
        <v>123</v>
      </c>
      <c r="E1449" s="8" t="s">
        <v>51</v>
      </c>
      <c r="F1449" s="8" t="s">
        <v>2027</v>
      </c>
      <c r="G1449" s="8" t="s">
        <v>143</v>
      </c>
      <c r="H1449" s="8" t="s">
        <v>8675</v>
      </c>
      <c r="I1449" s="8" t="s">
        <v>9210</v>
      </c>
      <c r="J1449" s="8" t="s">
        <v>119</v>
      </c>
      <c r="K1449" s="8" t="s">
        <v>8664</v>
      </c>
      <c r="L1449" s="8"/>
      <c r="M1449" s="8"/>
      <c r="N1449" s="8" t="n">
        <v>12</v>
      </c>
      <c r="O1449" s="8" t="n">
        <v>7</v>
      </c>
      <c r="P1449" s="8" t="s">
        <v>120</v>
      </c>
    </row>
    <row r="1450" customFormat="false" ht="15" hidden="false" customHeight="false" outlineLevel="0" collapsed="false">
      <c r="A1450" s="8" t="s">
        <v>465</v>
      </c>
      <c r="B1450" s="8" t="s">
        <v>466</v>
      </c>
      <c r="C1450" s="8" t="s">
        <v>8665</v>
      </c>
      <c r="D1450" s="8" t="s">
        <v>128</v>
      </c>
      <c r="E1450" s="8" t="s">
        <v>55</v>
      </c>
      <c r="F1450" s="8" t="s">
        <v>55</v>
      </c>
      <c r="G1450" s="8" t="s">
        <v>124</v>
      </c>
      <c r="H1450" s="8" t="s">
        <v>8675</v>
      </c>
      <c r="I1450" s="8" t="s">
        <v>8928</v>
      </c>
      <c r="J1450" s="8" t="s">
        <v>180</v>
      </c>
      <c r="K1450" s="8" t="s">
        <v>8664</v>
      </c>
      <c r="L1450" s="8"/>
      <c r="M1450" s="8"/>
      <c r="N1450" s="8" t="n">
        <v>45</v>
      </c>
      <c r="O1450" s="8" t="n">
        <v>183</v>
      </c>
      <c r="P1450" s="8" t="s">
        <v>120</v>
      </c>
    </row>
    <row r="1451" customFormat="false" ht="15" hidden="false" customHeight="false" outlineLevel="0" collapsed="false">
      <c r="A1451" s="8" t="s">
        <v>6551</v>
      </c>
      <c r="B1451" s="8" t="s">
        <v>9946</v>
      </c>
      <c r="C1451" s="8" t="s">
        <v>8669</v>
      </c>
      <c r="D1451" s="8" t="s">
        <v>132</v>
      </c>
      <c r="E1451" s="8" t="s">
        <v>51</v>
      </c>
      <c r="F1451" s="8" t="s">
        <v>2027</v>
      </c>
      <c r="G1451" s="8" t="s">
        <v>190</v>
      </c>
      <c r="H1451" s="8" t="s">
        <v>8670</v>
      </c>
      <c r="I1451" s="8" t="s">
        <v>9102</v>
      </c>
      <c r="J1451" s="8"/>
      <c r="K1451" s="8" t="s">
        <v>8690</v>
      </c>
      <c r="L1451" s="8" t="s">
        <v>9947</v>
      </c>
      <c r="M1451" s="8" t="s">
        <v>8705</v>
      </c>
      <c r="N1451" s="8" t="n">
        <v>12</v>
      </c>
      <c r="O1451" s="8" t="n">
        <v>5</v>
      </c>
      <c r="P1451" s="8" t="s">
        <v>148</v>
      </c>
    </row>
    <row r="1452" customFormat="false" ht="15" hidden="false" customHeight="false" outlineLevel="0" collapsed="false">
      <c r="A1452" s="8" t="s">
        <v>9948</v>
      </c>
      <c r="B1452" s="8" t="s">
        <v>9949</v>
      </c>
      <c r="C1452" s="8" t="s">
        <v>8680</v>
      </c>
      <c r="D1452" s="8" t="s">
        <v>132</v>
      </c>
      <c r="E1452" s="8" t="s">
        <v>51</v>
      </c>
      <c r="F1452" s="8" t="s">
        <v>2027</v>
      </c>
      <c r="G1452" s="8" t="s">
        <v>154</v>
      </c>
      <c r="H1452" s="8" t="s">
        <v>8675</v>
      </c>
      <c r="I1452" s="8" t="s">
        <v>8823</v>
      </c>
      <c r="J1452" s="8"/>
      <c r="K1452" s="8" t="s">
        <v>8690</v>
      </c>
      <c r="L1452" s="8" t="s">
        <v>9128</v>
      </c>
      <c r="M1452" s="8" t="s">
        <v>8727</v>
      </c>
      <c r="N1452" s="8" t="n">
        <v>12</v>
      </c>
      <c r="O1452" s="8" t="n">
        <v>37</v>
      </c>
      <c r="P1452" s="8" t="s">
        <v>120</v>
      </c>
    </row>
    <row r="1453" customFormat="false" ht="15" hidden="false" customHeight="false" outlineLevel="0" collapsed="false">
      <c r="A1453" s="8" t="s">
        <v>2456</v>
      </c>
      <c r="B1453" s="8" t="s">
        <v>2457</v>
      </c>
      <c r="C1453" s="8" t="s">
        <v>8669</v>
      </c>
      <c r="D1453" s="8" t="s">
        <v>123</v>
      </c>
      <c r="E1453" s="8" t="s">
        <v>51</v>
      </c>
      <c r="F1453" s="8" t="s">
        <v>2027</v>
      </c>
      <c r="G1453" s="8" t="s">
        <v>124</v>
      </c>
      <c r="H1453" s="8" t="s">
        <v>8666</v>
      </c>
      <c r="I1453" s="8" t="s">
        <v>8846</v>
      </c>
      <c r="J1453" s="8" t="s">
        <v>125</v>
      </c>
      <c r="K1453" s="8" t="s">
        <v>8664</v>
      </c>
      <c r="L1453" s="8"/>
      <c r="M1453" s="8"/>
      <c r="N1453" s="8" t="n">
        <v>12</v>
      </c>
      <c r="O1453" s="8" t="n">
        <v>39</v>
      </c>
      <c r="P1453" s="8" t="s">
        <v>120</v>
      </c>
    </row>
    <row r="1454" customFormat="false" ht="15" hidden="false" customHeight="false" outlineLevel="0" collapsed="false">
      <c r="A1454" s="8" t="s">
        <v>4116</v>
      </c>
      <c r="B1454" s="8" t="s">
        <v>4117</v>
      </c>
      <c r="C1454" s="8" t="s">
        <v>8665</v>
      </c>
      <c r="D1454" s="8" t="s">
        <v>132</v>
      </c>
      <c r="E1454" s="8" t="s">
        <v>51</v>
      </c>
      <c r="F1454" s="8" t="s">
        <v>2027</v>
      </c>
      <c r="G1454" s="8" t="s">
        <v>154</v>
      </c>
      <c r="H1454" s="8" t="s">
        <v>8666</v>
      </c>
      <c r="I1454" s="8" t="s">
        <v>8766</v>
      </c>
      <c r="J1454" s="8" t="s">
        <v>177</v>
      </c>
      <c r="K1454" s="8" t="s">
        <v>8664</v>
      </c>
      <c r="L1454" s="8"/>
      <c r="M1454" s="8"/>
      <c r="N1454" s="8" t="n">
        <v>12</v>
      </c>
      <c r="O1454" s="8" t="n">
        <v>10</v>
      </c>
      <c r="P1454" s="8" t="s">
        <v>120</v>
      </c>
    </row>
    <row r="1455" customFormat="false" ht="15" hidden="false" customHeight="false" outlineLevel="0" collapsed="false">
      <c r="A1455" s="8" t="s">
        <v>697</v>
      </c>
      <c r="B1455" s="8" t="s">
        <v>698</v>
      </c>
      <c r="C1455" s="8" t="s">
        <v>8680</v>
      </c>
      <c r="D1455" s="8" t="s">
        <v>123</v>
      </c>
      <c r="E1455" s="8" t="s">
        <v>53</v>
      </c>
      <c r="F1455" s="8" t="s">
        <v>55</v>
      </c>
      <c r="G1455" s="8" t="s">
        <v>133</v>
      </c>
      <c r="H1455" s="8" t="s">
        <v>8670</v>
      </c>
      <c r="I1455" s="8" t="s">
        <v>8852</v>
      </c>
      <c r="J1455" s="8" t="s">
        <v>177</v>
      </c>
      <c r="K1455" s="8" t="s">
        <v>8664</v>
      </c>
      <c r="L1455" s="8"/>
      <c r="M1455" s="8"/>
      <c r="N1455" s="8" t="n">
        <v>45</v>
      </c>
      <c r="O1455" s="8" t="n">
        <v>136</v>
      </c>
      <c r="P1455" s="8" t="s">
        <v>199</v>
      </c>
    </row>
    <row r="1456" customFormat="false" ht="15" hidden="false" customHeight="false" outlineLevel="0" collapsed="false">
      <c r="A1456" s="8" t="s">
        <v>907</v>
      </c>
      <c r="B1456" s="8" t="s">
        <v>908</v>
      </c>
      <c r="C1456" s="8" t="s">
        <v>8678</v>
      </c>
      <c r="D1456" s="8" t="s">
        <v>117</v>
      </c>
      <c r="E1456" s="8" t="s">
        <v>53</v>
      </c>
      <c r="F1456" s="8" t="s">
        <v>326</v>
      </c>
      <c r="G1456" s="8" t="s">
        <v>136</v>
      </c>
      <c r="H1456" s="8" t="s">
        <v>8670</v>
      </c>
      <c r="I1456" s="8" t="s">
        <v>9270</v>
      </c>
      <c r="J1456" s="8" t="s">
        <v>140</v>
      </c>
      <c r="K1456" s="8" t="s">
        <v>8664</v>
      </c>
      <c r="L1456" s="8"/>
      <c r="M1456" s="8"/>
      <c r="N1456" s="8" t="n">
        <v>25</v>
      </c>
      <c r="O1456" s="8" t="n">
        <v>179</v>
      </c>
      <c r="P1456" s="8" t="s">
        <v>120</v>
      </c>
    </row>
    <row r="1457" customFormat="false" ht="15" hidden="false" customHeight="false" outlineLevel="0" collapsed="false">
      <c r="A1457" s="8" t="s">
        <v>9950</v>
      </c>
      <c r="B1457" s="8" t="s">
        <v>9951</v>
      </c>
      <c r="C1457" s="8" t="s">
        <v>8678</v>
      </c>
      <c r="D1457" s="8" t="s">
        <v>128</v>
      </c>
      <c r="E1457" s="8" t="s">
        <v>51</v>
      </c>
      <c r="F1457" s="8" t="s">
        <v>326</v>
      </c>
      <c r="G1457" s="8" t="s">
        <v>151</v>
      </c>
      <c r="H1457" s="8" t="s">
        <v>8662</v>
      </c>
      <c r="I1457" s="8" t="s">
        <v>9884</v>
      </c>
      <c r="J1457" s="8"/>
      <c r="K1457" s="8" t="s">
        <v>8690</v>
      </c>
      <c r="L1457" s="8" t="s">
        <v>8892</v>
      </c>
      <c r="M1457" s="8" t="s">
        <v>8696</v>
      </c>
      <c r="N1457" s="8" t="n">
        <v>25</v>
      </c>
      <c r="O1457" s="8" t="n">
        <v>27</v>
      </c>
      <c r="P1457" s="8" t="s">
        <v>120</v>
      </c>
    </row>
    <row r="1458" customFormat="false" ht="15" hidden="false" customHeight="false" outlineLevel="0" collapsed="false">
      <c r="A1458" s="8" t="s">
        <v>2015</v>
      </c>
      <c r="B1458" s="8" t="s">
        <v>2016</v>
      </c>
      <c r="C1458" s="8" t="s">
        <v>8680</v>
      </c>
      <c r="D1458" s="8" t="s">
        <v>128</v>
      </c>
      <c r="E1458" s="8" t="s">
        <v>51</v>
      </c>
      <c r="F1458" s="8" t="s">
        <v>326</v>
      </c>
      <c r="G1458" s="8" t="s">
        <v>118</v>
      </c>
      <c r="H1458" s="8" t="s">
        <v>8662</v>
      </c>
      <c r="I1458" s="8" t="s">
        <v>9000</v>
      </c>
      <c r="J1458" s="8" t="s">
        <v>177</v>
      </c>
      <c r="K1458" s="8" t="s">
        <v>8664</v>
      </c>
      <c r="L1458" s="8"/>
      <c r="M1458" s="8"/>
      <c r="N1458" s="8" t="n">
        <v>25</v>
      </c>
      <c r="O1458" s="8" t="n">
        <v>31</v>
      </c>
      <c r="P1458" s="8" t="s">
        <v>120</v>
      </c>
    </row>
    <row r="1459" customFormat="false" ht="15" hidden="false" customHeight="false" outlineLevel="0" collapsed="false">
      <c r="A1459" s="8" t="s">
        <v>3968</v>
      </c>
      <c r="B1459" s="8" t="s">
        <v>3969</v>
      </c>
      <c r="C1459" s="8" t="s">
        <v>8674</v>
      </c>
      <c r="D1459" s="8" t="s">
        <v>117</v>
      </c>
      <c r="E1459" s="8" t="s">
        <v>51</v>
      </c>
      <c r="F1459" s="8" t="s">
        <v>326</v>
      </c>
      <c r="G1459" s="8" t="s">
        <v>124</v>
      </c>
      <c r="H1459" s="8" t="s">
        <v>8666</v>
      </c>
      <c r="I1459" s="8" t="s">
        <v>9675</v>
      </c>
      <c r="J1459" s="8" t="s">
        <v>180</v>
      </c>
      <c r="K1459" s="8" t="s">
        <v>8664</v>
      </c>
      <c r="L1459" s="8"/>
      <c r="M1459" s="8"/>
      <c r="N1459" s="8" t="n">
        <v>25</v>
      </c>
      <c r="O1459" s="8" t="n">
        <v>9</v>
      </c>
      <c r="P1459" s="8" t="s">
        <v>120</v>
      </c>
    </row>
    <row r="1460" customFormat="false" ht="15" hidden="false" customHeight="false" outlineLevel="0" collapsed="false">
      <c r="A1460" s="8" t="s">
        <v>3412</v>
      </c>
      <c r="B1460" s="8" t="s">
        <v>3413</v>
      </c>
      <c r="C1460" s="8" t="s">
        <v>8669</v>
      </c>
      <c r="D1460" s="8" t="s">
        <v>132</v>
      </c>
      <c r="E1460" s="8" t="s">
        <v>51</v>
      </c>
      <c r="F1460" s="8" t="s">
        <v>2027</v>
      </c>
      <c r="G1460" s="8" t="s">
        <v>151</v>
      </c>
      <c r="H1460" s="8" t="s">
        <v>8675</v>
      </c>
      <c r="I1460" s="8" t="s">
        <v>9902</v>
      </c>
      <c r="J1460" s="8" t="s">
        <v>140</v>
      </c>
      <c r="K1460" s="8" t="s">
        <v>8664</v>
      </c>
      <c r="L1460" s="8"/>
      <c r="M1460" s="8"/>
      <c r="N1460" s="8" t="n">
        <v>12</v>
      </c>
      <c r="O1460" s="8" t="n">
        <v>27</v>
      </c>
      <c r="P1460" s="8" t="s">
        <v>120</v>
      </c>
    </row>
    <row r="1461" customFormat="false" ht="15" hidden="false" customHeight="false" outlineLevel="0" collapsed="false">
      <c r="A1461" s="8" t="s">
        <v>9952</v>
      </c>
      <c r="B1461" s="8" t="s">
        <v>9953</v>
      </c>
      <c r="C1461" s="8" t="s">
        <v>8669</v>
      </c>
      <c r="D1461" s="8" t="s">
        <v>123</v>
      </c>
      <c r="E1461" s="8" t="s">
        <v>53</v>
      </c>
      <c r="F1461" s="8" t="s">
        <v>326</v>
      </c>
      <c r="G1461" s="8" t="s">
        <v>223</v>
      </c>
      <c r="H1461" s="8" t="s">
        <v>8666</v>
      </c>
      <c r="I1461" s="8" t="s">
        <v>8701</v>
      </c>
      <c r="J1461" s="8"/>
      <c r="K1461" s="8" t="s">
        <v>8690</v>
      </c>
      <c r="L1461" s="8" t="s">
        <v>9477</v>
      </c>
      <c r="M1461" s="8" t="s">
        <v>8721</v>
      </c>
      <c r="N1461" s="8" t="n">
        <v>25</v>
      </c>
      <c r="O1461" s="8" t="n">
        <v>55</v>
      </c>
      <c r="P1461" s="8" t="s">
        <v>148</v>
      </c>
    </row>
    <row r="1462" customFormat="false" ht="15" hidden="false" customHeight="false" outlineLevel="0" collapsed="false">
      <c r="A1462" s="8" t="s">
        <v>3224</v>
      </c>
      <c r="B1462" s="8" t="s">
        <v>3225</v>
      </c>
      <c r="C1462" s="8" t="s">
        <v>8665</v>
      </c>
      <c r="D1462" s="8" t="s">
        <v>132</v>
      </c>
      <c r="E1462" s="8" t="s">
        <v>51</v>
      </c>
      <c r="F1462" s="8" t="s">
        <v>2027</v>
      </c>
      <c r="G1462" s="8" t="s">
        <v>124</v>
      </c>
      <c r="H1462" s="8" t="s">
        <v>8670</v>
      </c>
      <c r="I1462" s="8" t="s">
        <v>9256</v>
      </c>
      <c r="J1462" s="8" t="s">
        <v>177</v>
      </c>
      <c r="K1462" s="8" t="s">
        <v>8664</v>
      </c>
      <c r="L1462" s="8"/>
      <c r="M1462" s="8"/>
      <c r="N1462" s="8" t="n">
        <v>12</v>
      </c>
      <c r="O1462" s="8" t="n">
        <v>26</v>
      </c>
      <c r="P1462" s="8" t="s">
        <v>120</v>
      </c>
    </row>
    <row r="1463" customFormat="false" ht="15" hidden="false" customHeight="false" outlineLevel="0" collapsed="false">
      <c r="A1463" s="8" t="s">
        <v>1449</v>
      </c>
      <c r="B1463" s="8" t="s">
        <v>1450</v>
      </c>
      <c r="C1463" s="8" t="s">
        <v>8700</v>
      </c>
      <c r="D1463" s="8" t="s">
        <v>123</v>
      </c>
      <c r="E1463" s="8" t="s">
        <v>53</v>
      </c>
      <c r="F1463" s="8" t="s">
        <v>326</v>
      </c>
      <c r="G1463" s="8" t="s">
        <v>124</v>
      </c>
      <c r="H1463" s="8" t="s">
        <v>8666</v>
      </c>
      <c r="I1463" s="8" t="s">
        <v>8902</v>
      </c>
      <c r="J1463" s="8" t="s">
        <v>147</v>
      </c>
      <c r="K1463" s="8" t="s">
        <v>8664</v>
      </c>
      <c r="L1463" s="8"/>
      <c r="M1463" s="8"/>
      <c r="N1463" s="8" t="n">
        <v>25</v>
      </c>
      <c r="O1463" s="8" t="n">
        <v>96</v>
      </c>
      <c r="P1463" s="8" t="s">
        <v>120</v>
      </c>
    </row>
    <row r="1464" customFormat="false" ht="15" hidden="false" customHeight="false" outlineLevel="0" collapsed="false">
      <c r="A1464" s="8" t="s">
        <v>9954</v>
      </c>
      <c r="B1464" s="8" t="s">
        <v>9955</v>
      </c>
      <c r="C1464" s="8" t="s">
        <v>8669</v>
      </c>
      <c r="D1464" s="8" t="s">
        <v>123</v>
      </c>
      <c r="E1464" s="8" t="s">
        <v>53</v>
      </c>
      <c r="F1464" s="8" t="s">
        <v>326</v>
      </c>
      <c r="G1464" s="8" t="s">
        <v>154</v>
      </c>
      <c r="H1464" s="8" t="s">
        <v>8662</v>
      </c>
      <c r="I1464" s="8" t="s">
        <v>9019</v>
      </c>
      <c r="J1464" s="8"/>
      <c r="K1464" s="8" t="s">
        <v>8690</v>
      </c>
      <c r="L1464" s="8" t="s">
        <v>8909</v>
      </c>
      <c r="M1464" s="8" t="s">
        <v>8692</v>
      </c>
      <c r="N1464" s="8" t="n">
        <v>25</v>
      </c>
      <c r="O1464" s="8" t="n">
        <v>72</v>
      </c>
      <c r="P1464" s="8" t="s">
        <v>120</v>
      </c>
    </row>
    <row r="1465" customFormat="false" ht="15" hidden="false" customHeight="false" outlineLevel="0" collapsed="false">
      <c r="A1465" s="8" t="s">
        <v>1657</v>
      </c>
      <c r="B1465" s="8" t="s">
        <v>1658</v>
      </c>
      <c r="C1465" s="8" t="s">
        <v>8674</v>
      </c>
      <c r="D1465" s="8" t="s">
        <v>132</v>
      </c>
      <c r="E1465" s="8" t="s">
        <v>53</v>
      </c>
      <c r="F1465" s="8" t="s">
        <v>326</v>
      </c>
      <c r="G1465" s="8" t="s">
        <v>166</v>
      </c>
      <c r="H1465" s="8" t="s">
        <v>8675</v>
      </c>
      <c r="I1465" s="8" t="s">
        <v>9040</v>
      </c>
      <c r="J1465" s="8" t="s">
        <v>140</v>
      </c>
      <c r="K1465" s="8" t="s">
        <v>8664</v>
      </c>
      <c r="L1465" s="8"/>
      <c r="M1465" s="8"/>
      <c r="N1465" s="8" t="n">
        <v>25</v>
      </c>
      <c r="O1465" s="8" t="n">
        <v>60</v>
      </c>
      <c r="P1465" s="8" t="s">
        <v>120</v>
      </c>
    </row>
    <row r="1466" customFormat="false" ht="15" hidden="false" customHeight="false" outlineLevel="0" collapsed="false">
      <c r="A1466" s="8" t="s">
        <v>4118</v>
      </c>
      <c r="B1466" s="8" t="s">
        <v>4119</v>
      </c>
      <c r="C1466" s="8" t="s">
        <v>8678</v>
      </c>
      <c r="D1466" s="8" t="s">
        <v>123</v>
      </c>
      <c r="E1466" s="8" t="s">
        <v>51</v>
      </c>
      <c r="F1466" s="8" t="s">
        <v>2027</v>
      </c>
      <c r="G1466" s="8" t="s">
        <v>166</v>
      </c>
      <c r="H1466" s="8" t="s">
        <v>8666</v>
      </c>
      <c r="I1466" s="8" t="s">
        <v>9363</v>
      </c>
      <c r="J1466" s="8" t="s">
        <v>140</v>
      </c>
      <c r="K1466" s="8" t="s">
        <v>8664</v>
      </c>
      <c r="L1466" s="8"/>
      <c r="M1466" s="8"/>
      <c r="N1466" s="8" t="n">
        <v>12</v>
      </c>
      <c r="O1466" s="8" t="n">
        <v>10</v>
      </c>
      <c r="P1466" s="8" t="s">
        <v>120</v>
      </c>
    </row>
    <row r="1467" customFormat="false" ht="15" hidden="false" customHeight="false" outlineLevel="0" collapsed="false">
      <c r="A1467" s="8" t="s">
        <v>2342</v>
      </c>
      <c r="B1467" s="8" t="s">
        <v>2343</v>
      </c>
      <c r="C1467" s="8" t="s">
        <v>8665</v>
      </c>
      <c r="D1467" s="8" t="s">
        <v>132</v>
      </c>
      <c r="E1467" s="8" t="s">
        <v>51</v>
      </c>
      <c r="F1467" s="8" t="s">
        <v>2027</v>
      </c>
      <c r="G1467" s="8" t="s">
        <v>118</v>
      </c>
      <c r="H1467" s="8" t="s">
        <v>8675</v>
      </c>
      <c r="I1467" s="8" t="s">
        <v>9956</v>
      </c>
      <c r="J1467" s="8" t="s">
        <v>180</v>
      </c>
      <c r="K1467" s="8" t="s">
        <v>8664</v>
      </c>
      <c r="L1467" s="8"/>
      <c r="M1467" s="8"/>
      <c r="N1467" s="8" t="n">
        <v>12</v>
      </c>
      <c r="O1467" s="8" t="n">
        <v>35</v>
      </c>
      <c r="P1467" s="8" t="s">
        <v>120</v>
      </c>
    </row>
    <row r="1468" customFormat="false" ht="15" hidden="false" customHeight="false" outlineLevel="0" collapsed="false">
      <c r="A1468" s="8" t="s">
        <v>3226</v>
      </c>
      <c r="B1468" s="8" t="s">
        <v>3227</v>
      </c>
      <c r="C1468" s="8" t="s">
        <v>8674</v>
      </c>
      <c r="D1468" s="8" t="s">
        <v>117</v>
      </c>
      <c r="E1468" s="8" t="s">
        <v>51</v>
      </c>
      <c r="F1468" s="8" t="s">
        <v>2027</v>
      </c>
      <c r="G1468" s="8" t="s">
        <v>136</v>
      </c>
      <c r="H1468" s="8" t="s">
        <v>8666</v>
      </c>
      <c r="I1468" s="8" t="s">
        <v>9843</v>
      </c>
      <c r="J1468" s="8" t="s">
        <v>119</v>
      </c>
      <c r="K1468" s="8" t="s">
        <v>8664</v>
      </c>
      <c r="L1468" s="8"/>
      <c r="M1468" s="8"/>
      <c r="N1468" s="8" t="n">
        <v>12</v>
      </c>
      <c r="O1468" s="8" t="n">
        <v>26</v>
      </c>
      <c r="P1468" s="8" t="s">
        <v>120</v>
      </c>
    </row>
    <row r="1469" customFormat="false" ht="15" hidden="false" customHeight="false" outlineLevel="0" collapsed="false">
      <c r="A1469" s="8" t="s">
        <v>3732</v>
      </c>
      <c r="B1469" s="8" t="s">
        <v>3733</v>
      </c>
      <c r="C1469" s="8" t="s">
        <v>8678</v>
      </c>
      <c r="D1469" s="8" t="s">
        <v>123</v>
      </c>
      <c r="E1469" s="8" t="s">
        <v>51</v>
      </c>
      <c r="F1469" s="8" t="s">
        <v>326</v>
      </c>
      <c r="G1469" s="8" t="s">
        <v>118</v>
      </c>
      <c r="H1469" s="8" t="s">
        <v>8675</v>
      </c>
      <c r="I1469" s="8" t="s">
        <v>9247</v>
      </c>
      <c r="J1469" s="8" t="s">
        <v>137</v>
      </c>
      <c r="K1469" s="8" t="s">
        <v>8664</v>
      </c>
      <c r="L1469" s="8"/>
      <c r="M1469" s="8"/>
      <c r="N1469" s="8" t="n">
        <v>25</v>
      </c>
      <c r="O1469" s="8" t="n">
        <v>8</v>
      </c>
      <c r="P1469" s="8" t="s">
        <v>120</v>
      </c>
    </row>
    <row r="1470" customFormat="false" ht="15" hidden="false" customHeight="false" outlineLevel="0" collapsed="false">
      <c r="A1470" s="8" t="s">
        <v>4456</v>
      </c>
      <c r="B1470" s="8" t="s">
        <v>9957</v>
      </c>
      <c r="C1470" s="8" t="s">
        <v>8674</v>
      </c>
      <c r="D1470" s="8" t="s">
        <v>123</v>
      </c>
      <c r="E1470" s="8" t="s">
        <v>53</v>
      </c>
      <c r="F1470" s="8" t="s">
        <v>326</v>
      </c>
      <c r="G1470" s="8" t="s">
        <v>143</v>
      </c>
      <c r="H1470" s="8" t="s">
        <v>8670</v>
      </c>
      <c r="I1470" s="8" t="s">
        <v>9721</v>
      </c>
      <c r="J1470" s="8"/>
      <c r="K1470" s="8" t="s">
        <v>8690</v>
      </c>
      <c r="L1470" s="8" t="s">
        <v>9307</v>
      </c>
      <c r="M1470" s="8" t="s">
        <v>8696</v>
      </c>
      <c r="N1470" s="8" t="n">
        <v>25</v>
      </c>
      <c r="O1470" s="8" t="n">
        <v>115</v>
      </c>
      <c r="P1470" s="8" t="s">
        <v>120</v>
      </c>
    </row>
    <row r="1471" customFormat="false" ht="15" hidden="false" customHeight="false" outlineLevel="0" collapsed="false">
      <c r="A1471" s="8" t="s">
        <v>2526</v>
      </c>
      <c r="B1471" s="8" t="s">
        <v>2527</v>
      </c>
      <c r="C1471" s="8" t="s">
        <v>8680</v>
      </c>
      <c r="D1471" s="8" t="s">
        <v>132</v>
      </c>
      <c r="E1471" s="8" t="s">
        <v>51</v>
      </c>
      <c r="F1471" s="8" t="s">
        <v>2027</v>
      </c>
      <c r="G1471" s="8" t="s">
        <v>151</v>
      </c>
      <c r="H1471" s="8" t="s">
        <v>8675</v>
      </c>
      <c r="I1471" s="8" t="s">
        <v>9134</v>
      </c>
      <c r="J1471" s="8" t="s">
        <v>144</v>
      </c>
      <c r="K1471" s="8" t="s">
        <v>8664</v>
      </c>
      <c r="L1471" s="8"/>
      <c r="M1471" s="8"/>
      <c r="N1471" s="8" t="n">
        <v>12</v>
      </c>
      <c r="O1471" s="8" t="n">
        <v>34</v>
      </c>
      <c r="P1471" s="8" t="s">
        <v>120</v>
      </c>
    </row>
    <row r="1472" customFormat="false" ht="15" hidden="false" customHeight="false" outlineLevel="0" collapsed="false">
      <c r="A1472" s="8" t="s">
        <v>4453</v>
      </c>
      <c r="B1472" s="8" t="s">
        <v>9958</v>
      </c>
      <c r="C1472" s="8" t="s">
        <v>8674</v>
      </c>
      <c r="D1472" s="8" t="s">
        <v>117</v>
      </c>
      <c r="E1472" s="8" t="s">
        <v>53</v>
      </c>
      <c r="F1472" s="8" t="s">
        <v>326</v>
      </c>
      <c r="G1472" s="8" t="s">
        <v>151</v>
      </c>
      <c r="H1472" s="8" t="s">
        <v>8670</v>
      </c>
      <c r="I1472" s="8" t="s">
        <v>8985</v>
      </c>
      <c r="J1472" s="8"/>
      <c r="K1472" s="8" t="s">
        <v>8690</v>
      </c>
      <c r="L1472" s="8" t="s">
        <v>9769</v>
      </c>
      <c r="M1472" s="8" t="s">
        <v>8696</v>
      </c>
      <c r="N1472" s="8" t="n">
        <v>25</v>
      </c>
      <c r="O1472" s="8" t="n">
        <v>100</v>
      </c>
      <c r="P1472" s="8" t="s">
        <v>120</v>
      </c>
    </row>
    <row r="1473" customFormat="false" ht="15" hidden="false" customHeight="false" outlineLevel="0" collapsed="false">
      <c r="A1473" s="8" t="s">
        <v>1515</v>
      </c>
      <c r="B1473" s="8" t="s">
        <v>1516</v>
      </c>
      <c r="C1473" s="8" t="s">
        <v>8688</v>
      </c>
      <c r="D1473" s="8" t="s">
        <v>123</v>
      </c>
      <c r="E1473" s="8" t="s">
        <v>53</v>
      </c>
      <c r="F1473" s="8" t="s">
        <v>326</v>
      </c>
      <c r="G1473" s="8" t="s">
        <v>166</v>
      </c>
      <c r="H1473" s="8" t="s">
        <v>8662</v>
      </c>
      <c r="I1473" s="8" t="s">
        <v>9364</v>
      </c>
      <c r="J1473" s="8" t="s">
        <v>144</v>
      </c>
      <c r="K1473" s="8" t="s">
        <v>8664</v>
      </c>
      <c r="L1473" s="8"/>
      <c r="M1473" s="8"/>
      <c r="N1473" s="8" t="n">
        <v>25</v>
      </c>
      <c r="O1473" s="8" t="n">
        <v>89</v>
      </c>
      <c r="P1473" s="8" t="s">
        <v>120</v>
      </c>
    </row>
    <row r="1474" customFormat="false" ht="15" hidden="false" customHeight="false" outlineLevel="0" collapsed="false">
      <c r="A1474" s="8" t="s">
        <v>549</v>
      </c>
      <c r="B1474" s="8" t="s">
        <v>550</v>
      </c>
      <c r="C1474" s="8" t="s">
        <v>8700</v>
      </c>
      <c r="D1474" s="8" t="s">
        <v>123</v>
      </c>
      <c r="E1474" s="8" t="s">
        <v>53</v>
      </c>
      <c r="F1474" s="8" t="s">
        <v>55</v>
      </c>
      <c r="G1474" s="8" t="s">
        <v>166</v>
      </c>
      <c r="H1474" s="8" t="s">
        <v>8666</v>
      </c>
      <c r="I1474" s="8" t="s">
        <v>8789</v>
      </c>
      <c r="J1474" s="8" t="s">
        <v>144</v>
      </c>
      <c r="K1474" s="8" t="s">
        <v>8664</v>
      </c>
      <c r="L1474" s="8"/>
      <c r="M1474" s="8"/>
      <c r="N1474" s="8" t="n">
        <v>45</v>
      </c>
      <c r="O1474" s="8" t="n">
        <v>195</v>
      </c>
      <c r="P1474" s="8" t="s">
        <v>120</v>
      </c>
    </row>
    <row r="1475" customFormat="false" ht="15" hidden="false" customHeight="false" outlineLevel="0" collapsed="false">
      <c r="A1475" s="8" t="s">
        <v>2794</v>
      </c>
      <c r="B1475" s="8" t="s">
        <v>2795</v>
      </c>
      <c r="C1475" s="8" t="s">
        <v>8661</v>
      </c>
      <c r="D1475" s="8" t="s">
        <v>123</v>
      </c>
      <c r="E1475" s="8" t="s">
        <v>51</v>
      </c>
      <c r="F1475" s="8" t="s">
        <v>326</v>
      </c>
      <c r="G1475" s="8" t="s">
        <v>151</v>
      </c>
      <c r="H1475" s="8" t="s">
        <v>8666</v>
      </c>
      <c r="I1475" s="8" t="s">
        <v>9864</v>
      </c>
      <c r="J1475" s="8" t="s">
        <v>204</v>
      </c>
      <c r="K1475" s="8" t="s">
        <v>8664</v>
      </c>
      <c r="L1475" s="8"/>
      <c r="M1475" s="8"/>
      <c r="N1475" s="8" t="n">
        <v>25</v>
      </c>
      <c r="O1475" s="8" t="n">
        <v>22</v>
      </c>
      <c r="P1475" s="8" t="s">
        <v>120</v>
      </c>
    </row>
    <row r="1476" customFormat="false" ht="15" hidden="false" customHeight="false" outlineLevel="0" collapsed="false">
      <c r="A1476" s="8" t="s">
        <v>3718</v>
      </c>
      <c r="B1476" s="8" t="s">
        <v>3719</v>
      </c>
      <c r="C1476" s="8" t="s">
        <v>8688</v>
      </c>
      <c r="D1476" s="8" t="s">
        <v>132</v>
      </c>
      <c r="E1476" s="8" t="s">
        <v>51</v>
      </c>
      <c r="F1476" s="8" t="s">
        <v>2027</v>
      </c>
      <c r="G1476" s="8" t="s">
        <v>190</v>
      </c>
      <c r="H1476" s="8" t="s">
        <v>8666</v>
      </c>
      <c r="I1476" s="8" t="s">
        <v>8897</v>
      </c>
      <c r="J1476" s="8" t="s">
        <v>129</v>
      </c>
      <c r="K1476" s="8" t="s">
        <v>8664</v>
      </c>
      <c r="L1476" s="8"/>
      <c r="M1476" s="8"/>
      <c r="N1476" s="8" t="n">
        <v>12</v>
      </c>
      <c r="O1476" s="8" t="n">
        <v>17</v>
      </c>
      <c r="P1476" s="8" t="s">
        <v>120</v>
      </c>
    </row>
    <row r="1477" customFormat="false" ht="15" hidden="false" customHeight="false" outlineLevel="0" collapsed="false">
      <c r="A1477" s="8" t="s">
        <v>2796</v>
      </c>
      <c r="B1477" s="8" t="s">
        <v>2797</v>
      </c>
      <c r="C1477" s="8" t="s">
        <v>8688</v>
      </c>
      <c r="D1477" s="8" t="s">
        <v>123</v>
      </c>
      <c r="E1477" s="8" t="s">
        <v>51</v>
      </c>
      <c r="F1477" s="8" t="s">
        <v>326</v>
      </c>
      <c r="G1477" s="8" t="s">
        <v>223</v>
      </c>
      <c r="H1477" s="8" t="s">
        <v>8675</v>
      </c>
      <c r="I1477" s="8" t="s">
        <v>9533</v>
      </c>
      <c r="J1477" s="8" t="s">
        <v>119</v>
      </c>
      <c r="K1477" s="8" t="s">
        <v>8664</v>
      </c>
      <c r="L1477" s="8"/>
      <c r="M1477" s="8"/>
      <c r="N1477" s="8" t="n">
        <v>25</v>
      </c>
      <c r="O1477" s="8" t="n">
        <v>16</v>
      </c>
      <c r="P1477" s="8" t="s">
        <v>120</v>
      </c>
    </row>
    <row r="1478" customFormat="false" ht="15" hidden="false" customHeight="false" outlineLevel="0" collapsed="false">
      <c r="A1478" s="8" t="s">
        <v>9959</v>
      </c>
      <c r="B1478" s="8" t="s">
        <v>9960</v>
      </c>
      <c r="C1478" s="8" t="s">
        <v>8678</v>
      </c>
      <c r="D1478" s="8" t="s">
        <v>123</v>
      </c>
      <c r="E1478" s="8" t="s">
        <v>53</v>
      </c>
      <c r="F1478" s="8" t="s">
        <v>326</v>
      </c>
      <c r="G1478" s="8" t="s">
        <v>166</v>
      </c>
      <c r="H1478" s="8" t="s">
        <v>8675</v>
      </c>
      <c r="I1478" s="8" t="s">
        <v>8897</v>
      </c>
      <c r="J1478" s="8"/>
      <c r="K1478" s="8" t="s">
        <v>8690</v>
      </c>
      <c r="L1478" s="8" t="s">
        <v>9115</v>
      </c>
      <c r="M1478" s="8" t="s">
        <v>8705</v>
      </c>
      <c r="N1478" s="8" t="n">
        <v>25</v>
      </c>
      <c r="O1478" s="8" t="n">
        <v>176</v>
      </c>
      <c r="P1478" s="8" t="s">
        <v>120</v>
      </c>
    </row>
    <row r="1479" customFormat="false" ht="15" hidden="false" customHeight="false" outlineLevel="0" collapsed="false">
      <c r="A1479" s="8" t="s">
        <v>4284</v>
      </c>
      <c r="B1479" s="8" t="s">
        <v>4285</v>
      </c>
      <c r="C1479" s="8" t="s">
        <v>8678</v>
      </c>
      <c r="D1479" s="8" t="s">
        <v>123</v>
      </c>
      <c r="E1479" s="8" t="s">
        <v>51</v>
      </c>
      <c r="F1479" s="8" t="s">
        <v>2027</v>
      </c>
      <c r="G1479" s="8" t="s">
        <v>133</v>
      </c>
      <c r="H1479" s="8" t="s">
        <v>8675</v>
      </c>
      <c r="I1479" s="8" t="s">
        <v>9175</v>
      </c>
      <c r="J1479" s="8" t="s">
        <v>140</v>
      </c>
      <c r="K1479" s="8" t="s">
        <v>8664</v>
      </c>
      <c r="L1479" s="8"/>
      <c r="M1479" s="8"/>
      <c r="N1479" s="8" t="n">
        <v>12</v>
      </c>
      <c r="O1479" s="8" t="n">
        <v>7</v>
      </c>
      <c r="P1479" s="8" t="s">
        <v>120</v>
      </c>
    </row>
    <row r="1480" customFormat="false" ht="15" hidden="false" customHeight="false" outlineLevel="0" collapsed="false">
      <c r="A1480" s="8" t="s">
        <v>521</v>
      </c>
      <c r="B1480" s="8" t="s">
        <v>522</v>
      </c>
      <c r="C1480" s="8" t="s">
        <v>8678</v>
      </c>
      <c r="D1480" s="8" t="s">
        <v>123</v>
      </c>
      <c r="E1480" s="8" t="s">
        <v>53</v>
      </c>
      <c r="F1480" s="8" t="s">
        <v>55</v>
      </c>
      <c r="G1480" s="8" t="s">
        <v>151</v>
      </c>
      <c r="H1480" s="8" t="s">
        <v>8662</v>
      </c>
      <c r="I1480" s="8" t="s">
        <v>9405</v>
      </c>
      <c r="J1480" s="8" t="s">
        <v>159</v>
      </c>
      <c r="K1480" s="8" t="s">
        <v>8664</v>
      </c>
      <c r="L1480" s="8"/>
      <c r="M1480" s="8"/>
      <c r="N1480" s="8" t="n">
        <v>45</v>
      </c>
      <c r="O1480" s="8" t="n">
        <v>194</v>
      </c>
      <c r="P1480" s="8" t="s">
        <v>120</v>
      </c>
    </row>
    <row r="1481" customFormat="false" ht="15" hidden="false" customHeight="false" outlineLevel="0" collapsed="false">
      <c r="A1481" s="8" t="s">
        <v>1159</v>
      </c>
      <c r="B1481" s="8" t="s">
        <v>1160</v>
      </c>
      <c r="C1481" s="8" t="s">
        <v>8688</v>
      </c>
      <c r="D1481" s="8" t="s">
        <v>123</v>
      </c>
      <c r="E1481" s="8" t="s">
        <v>53</v>
      </c>
      <c r="F1481" s="8" t="s">
        <v>326</v>
      </c>
      <c r="G1481" s="8" t="s">
        <v>118</v>
      </c>
      <c r="H1481" s="8" t="s">
        <v>8666</v>
      </c>
      <c r="I1481" s="8" t="s">
        <v>9898</v>
      </c>
      <c r="J1481" s="8" t="s">
        <v>204</v>
      </c>
      <c r="K1481" s="8" t="s">
        <v>8664</v>
      </c>
      <c r="L1481" s="8"/>
      <c r="M1481" s="8"/>
      <c r="N1481" s="8" t="n">
        <v>25</v>
      </c>
      <c r="O1481" s="8" t="n">
        <v>141</v>
      </c>
      <c r="P1481" s="8" t="s">
        <v>120</v>
      </c>
    </row>
    <row r="1482" customFormat="false" ht="15" hidden="false" customHeight="false" outlineLevel="0" collapsed="false">
      <c r="A1482" s="8" t="s">
        <v>4042</v>
      </c>
      <c r="B1482" s="8" t="s">
        <v>4043</v>
      </c>
      <c r="C1482" s="8" t="s">
        <v>8669</v>
      </c>
      <c r="D1482" s="8" t="s">
        <v>123</v>
      </c>
      <c r="E1482" s="8" t="s">
        <v>51</v>
      </c>
      <c r="F1482" s="8" t="s">
        <v>2027</v>
      </c>
      <c r="G1482" s="8" t="s">
        <v>136</v>
      </c>
      <c r="H1482" s="8" t="s">
        <v>8675</v>
      </c>
      <c r="I1482" s="8" t="s">
        <v>9250</v>
      </c>
      <c r="J1482" s="8" t="s">
        <v>129</v>
      </c>
      <c r="K1482" s="8" t="s">
        <v>8664</v>
      </c>
      <c r="L1482" s="8"/>
      <c r="M1482" s="8"/>
      <c r="N1482" s="8" t="n">
        <v>12</v>
      </c>
      <c r="O1482" s="8" t="n">
        <v>11</v>
      </c>
      <c r="P1482" s="8" t="s">
        <v>120</v>
      </c>
    </row>
    <row r="1483" customFormat="false" ht="15" hidden="false" customHeight="false" outlineLevel="0" collapsed="false">
      <c r="A1483" s="8" t="s">
        <v>845</v>
      </c>
      <c r="B1483" s="8" t="s">
        <v>846</v>
      </c>
      <c r="C1483" s="8" t="s">
        <v>8678</v>
      </c>
      <c r="D1483" s="8" t="s">
        <v>128</v>
      </c>
      <c r="E1483" s="8" t="s">
        <v>53</v>
      </c>
      <c r="F1483" s="8" t="s">
        <v>55</v>
      </c>
      <c r="G1483" s="8" t="s">
        <v>143</v>
      </c>
      <c r="H1483" s="8" t="s">
        <v>8662</v>
      </c>
      <c r="I1483" s="8" t="s">
        <v>9961</v>
      </c>
      <c r="J1483" s="8" t="s">
        <v>185</v>
      </c>
      <c r="K1483" s="8" t="s">
        <v>8664</v>
      </c>
      <c r="L1483" s="8"/>
      <c r="M1483" s="8"/>
      <c r="N1483" s="8" t="n">
        <v>45</v>
      </c>
      <c r="O1483" s="8" t="n">
        <v>106</v>
      </c>
      <c r="P1483" s="8" t="s">
        <v>120</v>
      </c>
    </row>
    <row r="1484" customFormat="false" ht="15" hidden="false" customHeight="false" outlineLevel="0" collapsed="false">
      <c r="A1484" s="8" t="s">
        <v>781</v>
      </c>
      <c r="B1484" s="8" t="s">
        <v>782</v>
      </c>
      <c r="C1484" s="8" t="s">
        <v>8669</v>
      </c>
      <c r="D1484" s="8" t="s">
        <v>117</v>
      </c>
      <c r="E1484" s="8" t="s">
        <v>53</v>
      </c>
      <c r="F1484" s="8" t="s">
        <v>326</v>
      </c>
      <c r="G1484" s="8" t="s">
        <v>151</v>
      </c>
      <c r="H1484" s="8" t="s">
        <v>8666</v>
      </c>
      <c r="I1484" s="8" t="s">
        <v>8910</v>
      </c>
      <c r="J1484" s="8" t="s">
        <v>137</v>
      </c>
      <c r="K1484" s="8" t="s">
        <v>8664</v>
      </c>
      <c r="L1484" s="8"/>
      <c r="M1484" s="8"/>
      <c r="N1484" s="8" t="n">
        <v>25</v>
      </c>
      <c r="O1484" s="8" t="n">
        <v>199</v>
      </c>
      <c r="P1484" s="8" t="s">
        <v>120</v>
      </c>
    </row>
    <row r="1485" customFormat="false" ht="15" hidden="false" customHeight="false" outlineLevel="0" collapsed="false">
      <c r="A1485" s="8" t="s">
        <v>1597</v>
      </c>
      <c r="B1485" s="8" t="s">
        <v>1598</v>
      </c>
      <c r="C1485" s="8" t="s">
        <v>8688</v>
      </c>
      <c r="D1485" s="8" t="s">
        <v>117</v>
      </c>
      <c r="E1485" s="8" t="s">
        <v>53</v>
      </c>
      <c r="F1485" s="8" t="s">
        <v>326</v>
      </c>
      <c r="G1485" s="8" t="s">
        <v>190</v>
      </c>
      <c r="H1485" s="8" t="s">
        <v>8675</v>
      </c>
      <c r="I1485" s="8" t="s">
        <v>9962</v>
      </c>
      <c r="J1485" s="8" t="s">
        <v>119</v>
      </c>
      <c r="K1485" s="8" t="s">
        <v>8664</v>
      </c>
      <c r="L1485" s="8"/>
      <c r="M1485" s="8"/>
      <c r="N1485" s="8" t="n">
        <v>25</v>
      </c>
      <c r="O1485" s="8" t="n">
        <v>73</v>
      </c>
      <c r="P1485" s="8" t="s">
        <v>120</v>
      </c>
    </row>
    <row r="1486" customFormat="false" ht="15" hidden="false" customHeight="false" outlineLevel="0" collapsed="false">
      <c r="A1486" s="8" t="s">
        <v>2017</v>
      </c>
      <c r="B1486" s="8" t="s">
        <v>2018</v>
      </c>
      <c r="C1486" s="8" t="s">
        <v>8674</v>
      </c>
      <c r="D1486" s="8" t="s">
        <v>132</v>
      </c>
      <c r="E1486" s="8" t="s">
        <v>51</v>
      </c>
      <c r="F1486" s="8" t="s">
        <v>326</v>
      </c>
      <c r="G1486" s="8" t="s">
        <v>154</v>
      </c>
      <c r="H1486" s="8" t="s">
        <v>8666</v>
      </c>
      <c r="I1486" s="8" t="s">
        <v>9543</v>
      </c>
      <c r="J1486" s="8" t="s">
        <v>144</v>
      </c>
      <c r="K1486" s="8" t="s">
        <v>8664</v>
      </c>
      <c r="L1486" s="8"/>
      <c r="M1486" s="8"/>
      <c r="N1486" s="8" t="n">
        <v>25</v>
      </c>
      <c r="O1486" s="8" t="n">
        <v>31</v>
      </c>
      <c r="P1486" s="8" t="s">
        <v>120</v>
      </c>
    </row>
    <row r="1487" customFormat="false" ht="15" hidden="false" customHeight="false" outlineLevel="0" collapsed="false">
      <c r="A1487" s="8" t="s">
        <v>2044</v>
      </c>
      <c r="B1487" s="8" t="s">
        <v>2045</v>
      </c>
      <c r="C1487" s="8" t="s">
        <v>8678</v>
      </c>
      <c r="D1487" s="8" t="s">
        <v>117</v>
      </c>
      <c r="E1487" s="8" t="s">
        <v>51</v>
      </c>
      <c r="F1487" s="8" t="s">
        <v>326</v>
      </c>
      <c r="G1487" s="8" t="s">
        <v>143</v>
      </c>
      <c r="H1487" s="8" t="s">
        <v>8662</v>
      </c>
      <c r="I1487" s="8" t="s">
        <v>9963</v>
      </c>
      <c r="J1487" s="8" t="s">
        <v>180</v>
      </c>
      <c r="K1487" s="8" t="s">
        <v>8664</v>
      </c>
      <c r="L1487" s="8"/>
      <c r="M1487" s="8"/>
      <c r="N1487" s="8" t="n">
        <v>25</v>
      </c>
      <c r="O1487" s="8" t="n">
        <v>30</v>
      </c>
      <c r="P1487" s="8" t="s">
        <v>120</v>
      </c>
    </row>
    <row r="1488" customFormat="false" ht="15" hidden="false" customHeight="false" outlineLevel="0" collapsed="false">
      <c r="A1488" s="8" t="s">
        <v>2458</v>
      </c>
      <c r="B1488" s="8" t="s">
        <v>2459</v>
      </c>
      <c r="C1488" s="8" t="s">
        <v>8669</v>
      </c>
      <c r="D1488" s="8" t="s">
        <v>123</v>
      </c>
      <c r="E1488" s="8" t="s">
        <v>51</v>
      </c>
      <c r="F1488" s="8" t="s">
        <v>2027</v>
      </c>
      <c r="G1488" s="8" t="s">
        <v>118</v>
      </c>
      <c r="H1488" s="8" t="s">
        <v>8670</v>
      </c>
      <c r="I1488" s="8" t="s">
        <v>9964</v>
      </c>
      <c r="J1488" s="8" t="s">
        <v>140</v>
      </c>
      <c r="K1488" s="8" t="s">
        <v>8664</v>
      </c>
      <c r="L1488" s="8"/>
      <c r="M1488" s="8"/>
      <c r="N1488" s="8" t="n">
        <v>12</v>
      </c>
      <c r="O1488" s="8" t="n">
        <v>29</v>
      </c>
      <c r="P1488" s="8" t="s">
        <v>120</v>
      </c>
    </row>
    <row r="1489" customFormat="false" ht="15" hidden="false" customHeight="false" outlineLevel="0" collapsed="false">
      <c r="A1489" s="8" t="s">
        <v>1367</v>
      </c>
      <c r="B1489" s="8" t="s">
        <v>1368</v>
      </c>
      <c r="C1489" s="8" t="s">
        <v>8661</v>
      </c>
      <c r="D1489" s="8" t="s">
        <v>132</v>
      </c>
      <c r="E1489" s="8" t="s">
        <v>53</v>
      </c>
      <c r="F1489" s="8" t="s">
        <v>326</v>
      </c>
      <c r="G1489" s="8" t="s">
        <v>166</v>
      </c>
      <c r="H1489" s="8" t="s">
        <v>8670</v>
      </c>
      <c r="I1489" s="8" t="s">
        <v>8864</v>
      </c>
      <c r="J1489" s="8" t="s">
        <v>180</v>
      </c>
      <c r="K1489" s="8" t="s">
        <v>8664</v>
      </c>
      <c r="L1489" s="8"/>
      <c r="M1489" s="8"/>
      <c r="N1489" s="8" t="n">
        <v>25</v>
      </c>
      <c r="O1489" s="8" t="n">
        <v>112</v>
      </c>
      <c r="P1489" s="8" t="s">
        <v>120</v>
      </c>
    </row>
    <row r="1490" customFormat="false" ht="15" hidden="false" customHeight="false" outlineLevel="0" collapsed="false">
      <c r="A1490" s="8" t="s">
        <v>2262</v>
      </c>
      <c r="B1490" s="8" t="s">
        <v>2263</v>
      </c>
      <c r="C1490" s="8" t="s">
        <v>8665</v>
      </c>
      <c r="D1490" s="8" t="s">
        <v>132</v>
      </c>
      <c r="E1490" s="8" t="s">
        <v>51</v>
      </c>
      <c r="F1490" s="8" t="s">
        <v>326</v>
      </c>
      <c r="G1490" s="8" t="s">
        <v>166</v>
      </c>
      <c r="H1490" s="8" t="s">
        <v>8670</v>
      </c>
      <c r="I1490" s="8" t="s">
        <v>9492</v>
      </c>
      <c r="J1490" s="8" t="s">
        <v>140</v>
      </c>
      <c r="K1490" s="8" t="s">
        <v>8664</v>
      </c>
      <c r="L1490" s="8"/>
      <c r="M1490" s="8"/>
      <c r="N1490" s="8" t="n">
        <v>25</v>
      </c>
      <c r="O1490" s="8" t="n">
        <v>23</v>
      </c>
      <c r="P1490" s="8" t="s">
        <v>120</v>
      </c>
    </row>
    <row r="1491" customFormat="false" ht="15" hidden="false" customHeight="false" outlineLevel="0" collapsed="false">
      <c r="A1491" s="8" t="s">
        <v>863</v>
      </c>
      <c r="B1491" s="8" t="s">
        <v>864</v>
      </c>
      <c r="C1491" s="8" t="s">
        <v>8680</v>
      </c>
      <c r="D1491" s="8" t="s">
        <v>128</v>
      </c>
      <c r="E1491" s="8" t="s">
        <v>53</v>
      </c>
      <c r="F1491" s="8" t="s">
        <v>55</v>
      </c>
      <c r="G1491" s="8" t="s">
        <v>151</v>
      </c>
      <c r="H1491" s="8" t="s">
        <v>8666</v>
      </c>
      <c r="I1491" s="8" t="s">
        <v>9046</v>
      </c>
      <c r="J1491" s="8" t="s">
        <v>119</v>
      </c>
      <c r="K1491" s="8" t="s">
        <v>8664</v>
      </c>
      <c r="L1491" s="8"/>
      <c r="M1491" s="8"/>
      <c r="N1491" s="8" t="n">
        <v>45</v>
      </c>
      <c r="O1491" s="8" t="n">
        <v>104</v>
      </c>
      <c r="P1491" s="8" t="s">
        <v>148</v>
      </c>
    </row>
    <row r="1492" customFormat="false" ht="15" hidden="false" customHeight="false" outlineLevel="0" collapsed="false">
      <c r="A1492" s="8" t="s">
        <v>1173</v>
      </c>
      <c r="B1492" s="8" t="s">
        <v>1174</v>
      </c>
      <c r="C1492" s="8" t="s">
        <v>8678</v>
      </c>
      <c r="D1492" s="8" t="s">
        <v>132</v>
      </c>
      <c r="E1492" s="8" t="s">
        <v>53</v>
      </c>
      <c r="F1492" s="8" t="s">
        <v>326</v>
      </c>
      <c r="G1492" s="8" t="s">
        <v>166</v>
      </c>
      <c r="H1492" s="8" t="s">
        <v>8675</v>
      </c>
      <c r="I1492" s="8" t="s">
        <v>9965</v>
      </c>
      <c r="J1492" s="8" t="s">
        <v>159</v>
      </c>
      <c r="K1492" s="8" t="s">
        <v>8664</v>
      </c>
      <c r="L1492" s="8"/>
      <c r="M1492" s="8"/>
      <c r="N1492" s="8" t="n">
        <v>25</v>
      </c>
      <c r="O1492" s="8" t="n">
        <v>140</v>
      </c>
      <c r="P1492" s="8" t="s">
        <v>120</v>
      </c>
    </row>
    <row r="1493" customFormat="false" ht="15" hidden="false" customHeight="false" outlineLevel="0" collapsed="false">
      <c r="A1493" s="8" t="s">
        <v>3228</v>
      </c>
      <c r="B1493" s="8" t="s">
        <v>3229</v>
      </c>
      <c r="C1493" s="8" t="s">
        <v>8669</v>
      </c>
      <c r="D1493" s="8" t="s">
        <v>132</v>
      </c>
      <c r="E1493" s="8" t="s">
        <v>51</v>
      </c>
      <c r="F1493" s="8" t="s">
        <v>2027</v>
      </c>
      <c r="G1493" s="8" t="s">
        <v>124</v>
      </c>
      <c r="H1493" s="8" t="s">
        <v>8666</v>
      </c>
      <c r="I1493" s="8" t="s">
        <v>9966</v>
      </c>
      <c r="J1493" s="8" t="s">
        <v>177</v>
      </c>
      <c r="K1493" s="8" t="s">
        <v>8664</v>
      </c>
      <c r="L1493" s="8"/>
      <c r="M1493" s="8"/>
      <c r="N1493" s="8" t="n">
        <v>12</v>
      </c>
      <c r="O1493" s="8" t="n">
        <v>26</v>
      </c>
      <c r="P1493" s="8" t="s">
        <v>120</v>
      </c>
    </row>
    <row r="1494" customFormat="false" ht="15" hidden="false" customHeight="false" outlineLevel="0" collapsed="false">
      <c r="A1494" s="8" t="s">
        <v>1123</v>
      </c>
      <c r="B1494" s="8" t="s">
        <v>1124</v>
      </c>
      <c r="C1494" s="8" t="s">
        <v>8680</v>
      </c>
      <c r="D1494" s="8" t="s">
        <v>123</v>
      </c>
      <c r="E1494" s="8" t="s">
        <v>53</v>
      </c>
      <c r="F1494" s="8" t="s">
        <v>326</v>
      </c>
      <c r="G1494" s="8" t="s">
        <v>133</v>
      </c>
      <c r="H1494" s="8" t="s">
        <v>8675</v>
      </c>
      <c r="I1494" s="8" t="s">
        <v>8856</v>
      </c>
      <c r="J1494" s="8" t="s">
        <v>180</v>
      </c>
      <c r="K1494" s="8" t="s">
        <v>8664</v>
      </c>
      <c r="L1494" s="8"/>
      <c r="M1494" s="8"/>
      <c r="N1494" s="8" t="n">
        <v>25</v>
      </c>
      <c r="O1494" s="8" t="n">
        <v>146</v>
      </c>
      <c r="P1494" s="8" t="s">
        <v>199</v>
      </c>
    </row>
    <row r="1495" customFormat="false" ht="15" hidden="false" customHeight="false" outlineLevel="0" collapsed="false">
      <c r="A1495" s="8" t="s">
        <v>2944</v>
      </c>
      <c r="B1495" s="8" t="s">
        <v>2945</v>
      </c>
      <c r="C1495" s="8" t="s">
        <v>8669</v>
      </c>
      <c r="D1495" s="8" t="s">
        <v>132</v>
      </c>
      <c r="E1495" s="8" t="s">
        <v>51</v>
      </c>
      <c r="F1495" s="8" t="s">
        <v>2027</v>
      </c>
      <c r="G1495" s="8" t="s">
        <v>124</v>
      </c>
      <c r="H1495" s="8" t="s">
        <v>8662</v>
      </c>
      <c r="I1495" s="8" t="s">
        <v>9053</v>
      </c>
      <c r="J1495" s="8" t="s">
        <v>204</v>
      </c>
      <c r="K1495" s="8" t="s">
        <v>8664</v>
      </c>
      <c r="L1495" s="8"/>
      <c r="M1495" s="8"/>
      <c r="N1495" s="8" t="n">
        <v>12</v>
      </c>
      <c r="O1495" s="8" t="n">
        <v>26</v>
      </c>
      <c r="P1495" s="8" t="s">
        <v>120</v>
      </c>
    </row>
    <row r="1496" customFormat="false" ht="15" hidden="false" customHeight="false" outlineLevel="0" collapsed="false">
      <c r="A1496" s="8" t="s">
        <v>9967</v>
      </c>
      <c r="B1496" s="8" t="s">
        <v>9968</v>
      </c>
      <c r="C1496" s="8" t="s">
        <v>8688</v>
      </c>
      <c r="D1496" s="8" t="s">
        <v>132</v>
      </c>
      <c r="E1496" s="8" t="s">
        <v>55</v>
      </c>
      <c r="F1496" s="8" t="s">
        <v>55</v>
      </c>
      <c r="G1496" s="8" t="s">
        <v>143</v>
      </c>
      <c r="H1496" s="8" t="s">
        <v>8670</v>
      </c>
      <c r="I1496" s="8" t="s">
        <v>9620</v>
      </c>
      <c r="J1496" s="8"/>
      <c r="K1496" s="8" t="s">
        <v>8690</v>
      </c>
      <c r="L1496" s="8" t="s">
        <v>9969</v>
      </c>
      <c r="M1496" s="8" t="s">
        <v>8692</v>
      </c>
      <c r="N1496" s="8" t="n">
        <v>45</v>
      </c>
      <c r="O1496" s="8" t="n">
        <v>514</v>
      </c>
      <c r="P1496" s="8" t="s">
        <v>148</v>
      </c>
    </row>
    <row r="1497" customFormat="false" ht="15" hidden="false" customHeight="false" outlineLevel="0" collapsed="false">
      <c r="A1497" s="8" t="s">
        <v>3286</v>
      </c>
      <c r="B1497" s="8" t="s">
        <v>3287</v>
      </c>
      <c r="C1497" s="8" t="s">
        <v>8674</v>
      </c>
      <c r="D1497" s="8" t="s">
        <v>123</v>
      </c>
      <c r="E1497" s="8" t="s">
        <v>51</v>
      </c>
      <c r="F1497" s="8" t="s">
        <v>2027</v>
      </c>
      <c r="G1497" s="8" t="s">
        <v>124</v>
      </c>
      <c r="H1497" s="8" t="s">
        <v>8675</v>
      </c>
      <c r="I1497" s="8" t="s">
        <v>8927</v>
      </c>
      <c r="J1497" s="8" t="s">
        <v>204</v>
      </c>
      <c r="K1497" s="8" t="s">
        <v>8664</v>
      </c>
      <c r="L1497" s="8"/>
      <c r="M1497" s="8"/>
      <c r="N1497" s="8" t="n">
        <v>12</v>
      </c>
      <c r="O1497" s="8" t="n">
        <v>20</v>
      </c>
      <c r="P1497" s="8" t="s">
        <v>120</v>
      </c>
    </row>
    <row r="1498" customFormat="false" ht="15" hidden="false" customHeight="false" outlineLevel="0" collapsed="false">
      <c r="A1498" s="8" t="s">
        <v>2046</v>
      </c>
      <c r="B1498" s="8" t="s">
        <v>2047</v>
      </c>
      <c r="C1498" s="8" t="s">
        <v>8678</v>
      </c>
      <c r="D1498" s="8" t="s">
        <v>132</v>
      </c>
      <c r="E1498" s="8" t="s">
        <v>51</v>
      </c>
      <c r="F1498" s="8" t="s">
        <v>326</v>
      </c>
      <c r="G1498" s="8" t="s">
        <v>154</v>
      </c>
      <c r="H1498" s="8" t="s">
        <v>8662</v>
      </c>
      <c r="I1498" s="8" t="s">
        <v>8914</v>
      </c>
      <c r="J1498" s="8" t="s">
        <v>159</v>
      </c>
      <c r="K1498" s="8" t="s">
        <v>8664</v>
      </c>
      <c r="L1498" s="8"/>
      <c r="M1498" s="8"/>
      <c r="N1498" s="8" t="n">
        <v>25</v>
      </c>
      <c r="O1498" s="8" t="n">
        <v>30</v>
      </c>
      <c r="P1498" s="8" t="s">
        <v>120</v>
      </c>
    </row>
    <row r="1499" customFormat="false" ht="15" hidden="false" customHeight="false" outlineLevel="0" collapsed="false">
      <c r="A1499" s="8" t="s">
        <v>2860</v>
      </c>
      <c r="B1499" s="8" t="s">
        <v>2861</v>
      </c>
      <c r="C1499" s="8" t="s">
        <v>8700</v>
      </c>
      <c r="D1499" s="8" t="s">
        <v>123</v>
      </c>
      <c r="E1499" s="8" t="s">
        <v>51</v>
      </c>
      <c r="F1499" s="8" t="s">
        <v>2027</v>
      </c>
      <c r="G1499" s="8" t="s">
        <v>133</v>
      </c>
      <c r="H1499" s="8" t="s">
        <v>8662</v>
      </c>
      <c r="I1499" s="8" t="s">
        <v>9791</v>
      </c>
      <c r="J1499" s="8" t="s">
        <v>144</v>
      </c>
      <c r="K1499" s="8" t="s">
        <v>8664</v>
      </c>
      <c r="L1499" s="8"/>
      <c r="M1499" s="8"/>
      <c r="N1499" s="8" t="n">
        <v>12</v>
      </c>
      <c r="O1499" s="8" t="n">
        <v>32</v>
      </c>
      <c r="P1499" s="8" t="s">
        <v>120</v>
      </c>
    </row>
    <row r="1500" customFormat="false" ht="15" hidden="false" customHeight="false" outlineLevel="0" collapsed="false">
      <c r="A1500" s="8" t="s">
        <v>457</v>
      </c>
      <c r="B1500" s="8" t="s">
        <v>458</v>
      </c>
      <c r="C1500" s="8" t="s">
        <v>8674</v>
      </c>
      <c r="D1500" s="8" t="s">
        <v>123</v>
      </c>
      <c r="E1500" s="8" t="s">
        <v>55</v>
      </c>
      <c r="F1500" s="8" t="s">
        <v>55</v>
      </c>
      <c r="G1500" s="8" t="s">
        <v>190</v>
      </c>
      <c r="H1500" s="8" t="s">
        <v>8675</v>
      </c>
      <c r="I1500" s="8" t="s">
        <v>9648</v>
      </c>
      <c r="J1500" s="8" t="s">
        <v>129</v>
      </c>
      <c r="K1500" s="8" t="s">
        <v>8664</v>
      </c>
      <c r="L1500" s="8"/>
      <c r="M1500" s="8"/>
      <c r="N1500" s="8" t="n">
        <v>45</v>
      </c>
      <c r="O1500" s="8" t="n">
        <v>258</v>
      </c>
      <c r="P1500" s="8" t="s">
        <v>120</v>
      </c>
    </row>
    <row r="1501" customFormat="false" ht="15" hidden="false" customHeight="false" outlineLevel="0" collapsed="false">
      <c r="A1501" s="8" t="s">
        <v>1281</v>
      </c>
      <c r="B1501" s="8" t="s">
        <v>1282</v>
      </c>
      <c r="C1501" s="8" t="s">
        <v>8700</v>
      </c>
      <c r="D1501" s="8" t="s">
        <v>117</v>
      </c>
      <c r="E1501" s="8" t="s">
        <v>53</v>
      </c>
      <c r="F1501" s="8" t="s">
        <v>326</v>
      </c>
      <c r="G1501" s="8" t="s">
        <v>133</v>
      </c>
      <c r="H1501" s="8" t="s">
        <v>8670</v>
      </c>
      <c r="I1501" s="8" t="s">
        <v>9682</v>
      </c>
      <c r="J1501" s="8" t="s">
        <v>147</v>
      </c>
      <c r="K1501" s="8" t="s">
        <v>8664</v>
      </c>
      <c r="L1501" s="8"/>
      <c r="M1501" s="8"/>
      <c r="N1501" s="8" t="n">
        <v>25</v>
      </c>
      <c r="O1501" s="8" t="n">
        <v>126</v>
      </c>
      <c r="P1501" s="8" t="s">
        <v>120</v>
      </c>
    </row>
    <row r="1502" customFormat="false" ht="15" hidden="false" customHeight="false" outlineLevel="0" collapsed="false">
      <c r="A1502" s="8" t="s">
        <v>501</v>
      </c>
      <c r="B1502" s="8" t="s">
        <v>502</v>
      </c>
      <c r="C1502" s="8" t="s">
        <v>8665</v>
      </c>
      <c r="D1502" s="8" t="s">
        <v>132</v>
      </c>
      <c r="E1502" s="8" t="s">
        <v>53</v>
      </c>
      <c r="F1502" s="8" t="s">
        <v>55</v>
      </c>
      <c r="G1502" s="8" t="s">
        <v>143</v>
      </c>
      <c r="H1502" s="8" t="s">
        <v>8666</v>
      </c>
      <c r="I1502" s="8" t="s">
        <v>9038</v>
      </c>
      <c r="J1502" s="8" t="s">
        <v>140</v>
      </c>
      <c r="K1502" s="8" t="s">
        <v>8664</v>
      </c>
      <c r="L1502" s="8"/>
      <c r="M1502" s="8"/>
      <c r="N1502" s="8" t="n">
        <v>45</v>
      </c>
      <c r="O1502" s="8" t="n">
        <v>178</v>
      </c>
      <c r="P1502" s="8" t="s">
        <v>120</v>
      </c>
    </row>
    <row r="1503" customFormat="false" ht="15" hidden="false" customHeight="false" outlineLevel="0" collapsed="false">
      <c r="A1503" s="8" t="s">
        <v>9970</v>
      </c>
      <c r="B1503" s="8" t="s">
        <v>9971</v>
      </c>
      <c r="C1503" s="8" t="s">
        <v>8700</v>
      </c>
      <c r="D1503" s="8" t="s">
        <v>123</v>
      </c>
      <c r="E1503" s="8" t="s">
        <v>51</v>
      </c>
      <c r="F1503" s="8" t="s">
        <v>326</v>
      </c>
      <c r="G1503" s="8" t="s">
        <v>143</v>
      </c>
      <c r="H1503" s="8" t="s">
        <v>8666</v>
      </c>
      <c r="I1503" s="8" t="s">
        <v>9972</v>
      </c>
      <c r="J1503" s="8"/>
      <c r="K1503" s="8" t="s">
        <v>8690</v>
      </c>
      <c r="L1503" s="8" t="s">
        <v>9973</v>
      </c>
      <c r="M1503" s="8" t="s">
        <v>8721</v>
      </c>
      <c r="N1503" s="8" t="n">
        <v>25</v>
      </c>
      <c r="O1503" s="8" t="n">
        <v>31</v>
      </c>
      <c r="P1503" s="8" t="s">
        <v>120</v>
      </c>
    </row>
    <row r="1504" customFormat="false" ht="15" hidden="false" customHeight="false" outlineLevel="0" collapsed="false">
      <c r="A1504" s="8" t="s">
        <v>947</v>
      </c>
      <c r="B1504" s="8" t="s">
        <v>948</v>
      </c>
      <c r="C1504" s="8" t="s">
        <v>8680</v>
      </c>
      <c r="D1504" s="8" t="s">
        <v>132</v>
      </c>
      <c r="E1504" s="8" t="s">
        <v>53</v>
      </c>
      <c r="F1504" s="8" t="s">
        <v>326</v>
      </c>
      <c r="G1504" s="8" t="s">
        <v>166</v>
      </c>
      <c r="H1504" s="8" t="s">
        <v>8675</v>
      </c>
      <c r="I1504" s="8" t="s">
        <v>8752</v>
      </c>
      <c r="J1504" s="8" t="s">
        <v>119</v>
      </c>
      <c r="K1504" s="8" t="s">
        <v>8664</v>
      </c>
      <c r="L1504" s="8"/>
      <c r="M1504" s="8"/>
      <c r="N1504" s="8" t="n">
        <v>25</v>
      </c>
      <c r="O1504" s="8" t="n">
        <v>173</v>
      </c>
      <c r="P1504" s="8" t="s">
        <v>148</v>
      </c>
    </row>
    <row r="1505" customFormat="false" ht="15" hidden="false" customHeight="false" outlineLevel="0" collapsed="false">
      <c r="A1505" s="8" t="s">
        <v>3886</v>
      </c>
      <c r="B1505" s="8" t="s">
        <v>3887</v>
      </c>
      <c r="C1505" s="8" t="s">
        <v>8700</v>
      </c>
      <c r="D1505" s="8" t="s">
        <v>117</v>
      </c>
      <c r="E1505" s="8" t="s">
        <v>51</v>
      </c>
      <c r="F1505" s="8" t="s">
        <v>2027</v>
      </c>
      <c r="G1505" s="8" t="s">
        <v>136</v>
      </c>
      <c r="H1505" s="8" t="s">
        <v>8675</v>
      </c>
      <c r="I1505" s="8" t="s">
        <v>9250</v>
      </c>
      <c r="J1505" s="8" t="s">
        <v>129</v>
      </c>
      <c r="K1505" s="8" t="s">
        <v>8664</v>
      </c>
      <c r="L1505" s="8"/>
      <c r="M1505" s="8"/>
      <c r="N1505" s="8" t="n">
        <v>12</v>
      </c>
      <c r="O1505" s="8" t="n">
        <v>14</v>
      </c>
      <c r="P1505" s="8" t="s">
        <v>148</v>
      </c>
    </row>
    <row r="1506" customFormat="false" ht="15" hidden="false" customHeight="false" outlineLevel="0" collapsed="false">
      <c r="A1506" s="8" t="s">
        <v>1485</v>
      </c>
      <c r="B1506" s="8" t="s">
        <v>1486</v>
      </c>
      <c r="C1506" s="8" t="s">
        <v>8678</v>
      </c>
      <c r="D1506" s="8" t="s">
        <v>117</v>
      </c>
      <c r="E1506" s="8" t="s">
        <v>53</v>
      </c>
      <c r="F1506" s="8" t="s">
        <v>326</v>
      </c>
      <c r="G1506" s="8" t="s">
        <v>223</v>
      </c>
      <c r="H1506" s="8" t="s">
        <v>8675</v>
      </c>
      <c r="I1506" s="8" t="s">
        <v>9491</v>
      </c>
      <c r="J1506" s="8" t="s">
        <v>147</v>
      </c>
      <c r="K1506" s="8" t="s">
        <v>8664</v>
      </c>
      <c r="L1506" s="8"/>
      <c r="M1506" s="8"/>
      <c r="N1506" s="8" t="n">
        <v>25</v>
      </c>
      <c r="O1506" s="8" t="n">
        <v>92</v>
      </c>
      <c r="P1506" s="8" t="s">
        <v>120</v>
      </c>
    </row>
    <row r="1507" customFormat="false" ht="15" hidden="false" customHeight="false" outlineLevel="0" collapsed="false">
      <c r="A1507" s="8" t="s">
        <v>2019</v>
      </c>
      <c r="B1507" s="8" t="s">
        <v>2020</v>
      </c>
      <c r="C1507" s="8" t="s">
        <v>8674</v>
      </c>
      <c r="D1507" s="8" t="s">
        <v>123</v>
      </c>
      <c r="E1507" s="8" t="s">
        <v>51</v>
      </c>
      <c r="F1507" s="8" t="s">
        <v>326</v>
      </c>
      <c r="G1507" s="8" t="s">
        <v>124</v>
      </c>
      <c r="H1507" s="8" t="s">
        <v>8675</v>
      </c>
      <c r="I1507" s="8" t="s">
        <v>9974</v>
      </c>
      <c r="J1507" s="8" t="s">
        <v>185</v>
      </c>
      <c r="K1507" s="8" t="s">
        <v>8664</v>
      </c>
      <c r="L1507" s="8"/>
      <c r="M1507" s="8"/>
      <c r="N1507" s="8" t="n">
        <v>25</v>
      </c>
      <c r="O1507" s="8" t="n">
        <v>31</v>
      </c>
      <c r="P1507" s="8" t="s">
        <v>120</v>
      </c>
    </row>
    <row r="1508" customFormat="false" ht="15" hidden="false" customHeight="false" outlineLevel="0" collapsed="false">
      <c r="A1508" s="8" t="s">
        <v>4601</v>
      </c>
      <c r="B1508" s="8" t="s">
        <v>9975</v>
      </c>
      <c r="C1508" s="8" t="s">
        <v>8669</v>
      </c>
      <c r="D1508" s="8" t="s">
        <v>123</v>
      </c>
      <c r="E1508" s="8" t="s">
        <v>51</v>
      </c>
      <c r="F1508" s="8" t="s">
        <v>2027</v>
      </c>
      <c r="G1508" s="8" t="s">
        <v>151</v>
      </c>
      <c r="H1508" s="8" t="s">
        <v>8662</v>
      </c>
      <c r="I1508" s="8" t="s">
        <v>9086</v>
      </c>
      <c r="J1508" s="8"/>
      <c r="K1508" s="8" t="s">
        <v>8690</v>
      </c>
      <c r="L1508" s="8" t="s">
        <v>9207</v>
      </c>
      <c r="M1508" s="8" t="s">
        <v>8721</v>
      </c>
      <c r="N1508" s="8" t="n">
        <v>12</v>
      </c>
      <c r="O1508" s="8" t="n">
        <v>5</v>
      </c>
      <c r="P1508" s="8" t="s">
        <v>120</v>
      </c>
    </row>
    <row r="1509" customFormat="false" ht="15" hidden="false" customHeight="false" outlineLevel="0" collapsed="false">
      <c r="A1509" s="8" t="s">
        <v>1191</v>
      </c>
      <c r="B1509" s="8" t="s">
        <v>1192</v>
      </c>
      <c r="C1509" s="8" t="s">
        <v>8700</v>
      </c>
      <c r="D1509" s="8" t="s">
        <v>123</v>
      </c>
      <c r="E1509" s="8" t="s">
        <v>53</v>
      </c>
      <c r="F1509" s="8" t="s">
        <v>55</v>
      </c>
      <c r="G1509" s="8" t="s">
        <v>223</v>
      </c>
      <c r="H1509" s="8" t="s">
        <v>8670</v>
      </c>
      <c r="I1509" s="8" t="s">
        <v>8713</v>
      </c>
      <c r="J1509" s="8" t="s">
        <v>177</v>
      </c>
      <c r="K1509" s="8" t="s">
        <v>8664</v>
      </c>
      <c r="L1509" s="8"/>
      <c r="M1509" s="8"/>
      <c r="N1509" s="8" t="n">
        <v>45</v>
      </c>
      <c r="O1509" s="8" t="n">
        <v>76</v>
      </c>
      <c r="P1509" s="8" t="s">
        <v>120</v>
      </c>
    </row>
    <row r="1510" customFormat="false" ht="15" hidden="false" customHeight="false" outlineLevel="0" collapsed="false">
      <c r="A1510" s="8" t="s">
        <v>9976</v>
      </c>
      <c r="B1510" s="8" t="s">
        <v>9977</v>
      </c>
      <c r="C1510" s="8" t="s">
        <v>8678</v>
      </c>
      <c r="D1510" s="8" t="s">
        <v>117</v>
      </c>
      <c r="E1510" s="8" t="s">
        <v>55</v>
      </c>
      <c r="F1510" s="8" t="s">
        <v>55</v>
      </c>
      <c r="G1510" s="8" t="s">
        <v>118</v>
      </c>
      <c r="H1510" s="8" t="s">
        <v>8675</v>
      </c>
      <c r="I1510" s="8" t="s">
        <v>9592</v>
      </c>
      <c r="J1510" s="8"/>
      <c r="K1510" s="8" t="s">
        <v>8690</v>
      </c>
      <c r="L1510" s="8" t="s">
        <v>9604</v>
      </c>
      <c r="M1510" s="8" t="s">
        <v>8705</v>
      </c>
      <c r="N1510" s="8" t="n">
        <v>45</v>
      </c>
      <c r="O1510" s="8" t="n">
        <v>414</v>
      </c>
      <c r="P1510" s="8" t="s">
        <v>120</v>
      </c>
    </row>
    <row r="1511" customFormat="false" ht="15" hidden="false" customHeight="false" outlineLevel="0" collapsed="false">
      <c r="A1511" s="8" t="s">
        <v>849</v>
      </c>
      <c r="B1511" s="8" t="s">
        <v>850</v>
      </c>
      <c r="C1511" s="8" t="s">
        <v>8688</v>
      </c>
      <c r="D1511" s="8" t="s">
        <v>123</v>
      </c>
      <c r="E1511" s="8" t="s">
        <v>53</v>
      </c>
      <c r="F1511" s="8" t="s">
        <v>326</v>
      </c>
      <c r="G1511" s="8" t="s">
        <v>136</v>
      </c>
      <c r="H1511" s="8" t="s">
        <v>8675</v>
      </c>
      <c r="I1511" s="8" t="s">
        <v>9978</v>
      </c>
      <c r="J1511" s="8" t="s">
        <v>137</v>
      </c>
      <c r="K1511" s="8" t="s">
        <v>8664</v>
      </c>
      <c r="L1511" s="8"/>
      <c r="M1511" s="8"/>
      <c r="N1511" s="8" t="n">
        <v>25</v>
      </c>
      <c r="O1511" s="8" t="n">
        <v>190</v>
      </c>
      <c r="P1511" s="8" t="s">
        <v>120</v>
      </c>
    </row>
    <row r="1512" customFormat="false" ht="15" hidden="false" customHeight="false" outlineLevel="0" collapsed="false">
      <c r="A1512" s="8" t="s">
        <v>813</v>
      </c>
      <c r="B1512" s="8" t="s">
        <v>814</v>
      </c>
      <c r="C1512" s="8" t="s">
        <v>8678</v>
      </c>
      <c r="D1512" s="8" t="s">
        <v>128</v>
      </c>
      <c r="E1512" s="8" t="s">
        <v>53</v>
      </c>
      <c r="F1512" s="8" t="s">
        <v>326</v>
      </c>
      <c r="G1512" s="8" t="s">
        <v>223</v>
      </c>
      <c r="H1512" s="8" t="s">
        <v>8675</v>
      </c>
      <c r="I1512" s="8" t="s">
        <v>8948</v>
      </c>
      <c r="J1512" s="8" t="s">
        <v>159</v>
      </c>
      <c r="K1512" s="8" t="s">
        <v>8664</v>
      </c>
      <c r="L1512" s="8"/>
      <c r="M1512" s="8"/>
      <c r="N1512" s="8" t="n">
        <v>25</v>
      </c>
      <c r="O1512" s="8" t="n">
        <v>139</v>
      </c>
      <c r="P1512" s="8" t="s">
        <v>148</v>
      </c>
    </row>
    <row r="1513" customFormat="false" ht="15" hidden="false" customHeight="false" outlineLevel="0" collapsed="false">
      <c r="A1513" s="8" t="s">
        <v>9979</v>
      </c>
      <c r="B1513" s="8" t="s">
        <v>9980</v>
      </c>
      <c r="C1513" s="8" t="s">
        <v>8665</v>
      </c>
      <c r="D1513" s="8" t="s">
        <v>132</v>
      </c>
      <c r="E1513" s="8" t="s">
        <v>53</v>
      </c>
      <c r="F1513" s="8" t="s">
        <v>55</v>
      </c>
      <c r="G1513" s="8" t="s">
        <v>166</v>
      </c>
      <c r="H1513" s="8" t="s">
        <v>8670</v>
      </c>
      <c r="I1513" s="8" t="s">
        <v>9362</v>
      </c>
      <c r="J1513" s="8"/>
      <c r="K1513" s="8" t="s">
        <v>8690</v>
      </c>
      <c r="L1513" s="8" t="s">
        <v>9793</v>
      </c>
      <c r="M1513" s="8" t="s">
        <v>8705</v>
      </c>
      <c r="N1513" s="8" t="n">
        <v>45</v>
      </c>
      <c r="O1513" s="8" t="n">
        <v>157</v>
      </c>
      <c r="P1513" s="8" t="s">
        <v>120</v>
      </c>
    </row>
    <row r="1514" customFormat="false" ht="15" hidden="false" customHeight="false" outlineLevel="0" collapsed="false">
      <c r="A1514" s="8" t="s">
        <v>3572</v>
      </c>
      <c r="B1514" s="8" t="s">
        <v>3573</v>
      </c>
      <c r="C1514" s="8" t="s">
        <v>8700</v>
      </c>
      <c r="D1514" s="8" t="s">
        <v>117</v>
      </c>
      <c r="E1514" s="8" t="s">
        <v>51</v>
      </c>
      <c r="F1514" s="8" t="s">
        <v>2027</v>
      </c>
      <c r="G1514" s="8" t="s">
        <v>124</v>
      </c>
      <c r="H1514" s="8" t="s">
        <v>8666</v>
      </c>
      <c r="I1514" s="8" t="s">
        <v>9282</v>
      </c>
      <c r="J1514" s="8" t="s">
        <v>159</v>
      </c>
      <c r="K1514" s="8" t="s">
        <v>8664</v>
      </c>
      <c r="L1514" s="8"/>
      <c r="M1514" s="8"/>
      <c r="N1514" s="8" t="n">
        <v>12</v>
      </c>
      <c r="O1514" s="8" t="n">
        <v>15</v>
      </c>
      <c r="P1514" s="8" t="s">
        <v>120</v>
      </c>
    </row>
    <row r="1515" customFormat="false" ht="15" hidden="false" customHeight="false" outlineLevel="0" collapsed="false">
      <c r="A1515" s="8" t="s">
        <v>9981</v>
      </c>
      <c r="B1515" s="8" t="s">
        <v>9982</v>
      </c>
      <c r="C1515" s="8" t="s">
        <v>8674</v>
      </c>
      <c r="D1515" s="8" t="s">
        <v>132</v>
      </c>
      <c r="E1515" s="8" t="s">
        <v>53</v>
      </c>
      <c r="F1515" s="8" t="s">
        <v>55</v>
      </c>
      <c r="G1515" s="8" t="s">
        <v>124</v>
      </c>
      <c r="H1515" s="8" t="s">
        <v>8670</v>
      </c>
      <c r="I1515" s="8" t="s">
        <v>9983</v>
      </c>
      <c r="J1515" s="8"/>
      <c r="K1515" s="8" t="s">
        <v>8690</v>
      </c>
      <c r="L1515" s="8" t="s">
        <v>9188</v>
      </c>
      <c r="M1515" s="8" t="s">
        <v>8692</v>
      </c>
      <c r="N1515" s="8" t="n">
        <v>45</v>
      </c>
      <c r="O1515" s="8" t="n">
        <v>191</v>
      </c>
      <c r="P1515" s="8" t="s">
        <v>120</v>
      </c>
    </row>
    <row r="1516" customFormat="false" ht="15" hidden="false" customHeight="false" outlineLevel="0" collapsed="false">
      <c r="A1516" s="8" t="s">
        <v>959</v>
      </c>
      <c r="B1516" s="8" t="s">
        <v>960</v>
      </c>
      <c r="C1516" s="8" t="s">
        <v>8661</v>
      </c>
      <c r="D1516" s="8" t="s">
        <v>123</v>
      </c>
      <c r="E1516" s="8" t="s">
        <v>53</v>
      </c>
      <c r="F1516" s="8" t="s">
        <v>326</v>
      </c>
      <c r="G1516" s="8" t="s">
        <v>143</v>
      </c>
      <c r="H1516" s="8" t="s">
        <v>8675</v>
      </c>
      <c r="I1516" s="8" t="s">
        <v>9984</v>
      </c>
      <c r="J1516" s="8" t="s">
        <v>177</v>
      </c>
      <c r="K1516" s="8" t="s">
        <v>8664</v>
      </c>
      <c r="L1516" s="8"/>
      <c r="M1516" s="8"/>
      <c r="N1516" s="8" t="n">
        <v>25</v>
      </c>
      <c r="O1516" s="8" t="n">
        <v>170</v>
      </c>
      <c r="P1516" s="8" t="s">
        <v>199</v>
      </c>
    </row>
    <row r="1517" customFormat="false" ht="15" hidden="false" customHeight="false" outlineLevel="0" collapsed="false">
      <c r="A1517" s="8" t="s">
        <v>827</v>
      </c>
      <c r="B1517" s="8" t="s">
        <v>828</v>
      </c>
      <c r="C1517" s="8" t="s">
        <v>8669</v>
      </c>
      <c r="D1517" s="8" t="s">
        <v>117</v>
      </c>
      <c r="E1517" s="8" t="s">
        <v>53</v>
      </c>
      <c r="F1517" s="8" t="s">
        <v>326</v>
      </c>
      <c r="G1517" s="8" t="s">
        <v>118</v>
      </c>
      <c r="H1517" s="8" t="s">
        <v>8666</v>
      </c>
      <c r="I1517" s="8" t="s">
        <v>9767</v>
      </c>
      <c r="J1517" s="8" t="s">
        <v>185</v>
      </c>
      <c r="K1517" s="8" t="s">
        <v>8664</v>
      </c>
      <c r="L1517" s="8"/>
      <c r="M1517" s="8"/>
      <c r="N1517" s="8" t="n">
        <v>25</v>
      </c>
      <c r="O1517" s="8" t="n">
        <v>159</v>
      </c>
      <c r="P1517" s="8" t="s">
        <v>120</v>
      </c>
    </row>
    <row r="1518" customFormat="false" ht="15" hidden="false" customHeight="false" outlineLevel="0" collapsed="false">
      <c r="A1518" s="8" t="s">
        <v>4120</v>
      </c>
      <c r="B1518" s="8" t="s">
        <v>4121</v>
      </c>
      <c r="C1518" s="8" t="s">
        <v>8688</v>
      </c>
      <c r="D1518" s="8" t="s">
        <v>123</v>
      </c>
      <c r="E1518" s="8" t="s">
        <v>51</v>
      </c>
      <c r="F1518" s="8" t="s">
        <v>2027</v>
      </c>
      <c r="G1518" s="8" t="s">
        <v>118</v>
      </c>
      <c r="H1518" s="8" t="s">
        <v>8662</v>
      </c>
      <c r="I1518" s="8" t="s">
        <v>9985</v>
      </c>
      <c r="J1518" s="8" t="s">
        <v>144</v>
      </c>
      <c r="K1518" s="8" t="s">
        <v>8664</v>
      </c>
      <c r="L1518" s="8"/>
      <c r="M1518" s="8"/>
      <c r="N1518" s="8" t="n">
        <v>12</v>
      </c>
      <c r="O1518" s="8" t="n">
        <v>10</v>
      </c>
      <c r="P1518" s="8" t="s">
        <v>120</v>
      </c>
    </row>
    <row r="1519" customFormat="false" ht="15" hidden="false" customHeight="false" outlineLevel="0" collapsed="false">
      <c r="A1519" s="8" t="s">
        <v>9986</v>
      </c>
      <c r="B1519" s="8" t="s">
        <v>9987</v>
      </c>
      <c r="C1519" s="8" t="s">
        <v>8674</v>
      </c>
      <c r="D1519" s="8" t="s">
        <v>123</v>
      </c>
      <c r="E1519" s="8" t="s">
        <v>53</v>
      </c>
      <c r="F1519" s="8" t="s">
        <v>326</v>
      </c>
      <c r="G1519" s="8" t="s">
        <v>154</v>
      </c>
      <c r="H1519" s="8" t="s">
        <v>8670</v>
      </c>
      <c r="I1519" s="8" t="s">
        <v>9988</v>
      </c>
      <c r="J1519" s="8"/>
      <c r="K1519" s="8" t="s">
        <v>8690</v>
      </c>
      <c r="L1519" s="8" t="s">
        <v>9989</v>
      </c>
      <c r="M1519" s="8" t="s">
        <v>8692</v>
      </c>
      <c r="N1519" s="8" t="n">
        <v>25</v>
      </c>
      <c r="O1519" s="8" t="n">
        <v>139</v>
      </c>
      <c r="P1519" s="8" t="s">
        <v>120</v>
      </c>
    </row>
    <row r="1520" customFormat="false" ht="15" hidden="false" customHeight="false" outlineLevel="0" collapsed="false">
      <c r="A1520" s="8" t="s">
        <v>2132</v>
      </c>
      <c r="B1520" s="8" t="s">
        <v>2133</v>
      </c>
      <c r="C1520" s="8" t="s">
        <v>8674</v>
      </c>
      <c r="D1520" s="8" t="s">
        <v>123</v>
      </c>
      <c r="E1520" s="8" t="s">
        <v>51</v>
      </c>
      <c r="F1520" s="8" t="s">
        <v>326</v>
      </c>
      <c r="G1520" s="8" t="s">
        <v>118</v>
      </c>
      <c r="H1520" s="8" t="s">
        <v>8662</v>
      </c>
      <c r="I1520" s="8" t="s">
        <v>9379</v>
      </c>
      <c r="J1520" s="8" t="s">
        <v>147</v>
      </c>
      <c r="K1520" s="8" t="s">
        <v>8664</v>
      </c>
      <c r="L1520" s="8"/>
      <c r="M1520" s="8"/>
      <c r="N1520" s="8" t="n">
        <v>25</v>
      </c>
      <c r="O1520" s="8" t="n">
        <v>27</v>
      </c>
      <c r="P1520" s="8" t="s">
        <v>120</v>
      </c>
    </row>
    <row r="1521" customFormat="false" ht="15" hidden="false" customHeight="false" outlineLevel="0" collapsed="false">
      <c r="A1521" s="8" t="s">
        <v>1161</v>
      </c>
      <c r="B1521" s="8" t="s">
        <v>1162</v>
      </c>
      <c r="C1521" s="8" t="s">
        <v>8661</v>
      </c>
      <c r="D1521" s="8" t="s">
        <v>117</v>
      </c>
      <c r="E1521" s="8" t="s">
        <v>53</v>
      </c>
      <c r="F1521" s="8" t="s">
        <v>326</v>
      </c>
      <c r="G1521" s="8" t="s">
        <v>151</v>
      </c>
      <c r="H1521" s="8" t="s">
        <v>8662</v>
      </c>
      <c r="I1521" s="8" t="s">
        <v>9990</v>
      </c>
      <c r="J1521" s="8" t="s">
        <v>140</v>
      </c>
      <c r="K1521" s="8" t="s">
        <v>8664</v>
      </c>
      <c r="L1521" s="8"/>
      <c r="M1521" s="8"/>
      <c r="N1521" s="8" t="n">
        <v>25</v>
      </c>
      <c r="O1521" s="8" t="n">
        <v>141</v>
      </c>
      <c r="P1521" s="8" t="s">
        <v>120</v>
      </c>
    </row>
    <row r="1522" customFormat="false" ht="15" hidden="false" customHeight="false" outlineLevel="0" collapsed="false">
      <c r="A1522" s="8" t="s">
        <v>2048</v>
      </c>
      <c r="B1522" s="8" t="s">
        <v>2049</v>
      </c>
      <c r="C1522" s="8" t="s">
        <v>8688</v>
      </c>
      <c r="D1522" s="8" t="s">
        <v>128</v>
      </c>
      <c r="E1522" s="8" t="s">
        <v>51</v>
      </c>
      <c r="F1522" s="8" t="s">
        <v>326</v>
      </c>
      <c r="G1522" s="8" t="s">
        <v>136</v>
      </c>
      <c r="H1522" s="8" t="s">
        <v>8666</v>
      </c>
      <c r="I1522" s="8" t="s">
        <v>9760</v>
      </c>
      <c r="J1522" s="8" t="s">
        <v>137</v>
      </c>
      <c r="K1522" s="8" t="s">
        <v>8664</v>
      </c>
      <c r="L1522" s="8"/>
      <c r="M1522" s="8"/>
      <c r="N1522" s="8" t="n">
        <v>25</v>
      </c>
      <c r="O1522" s="8" t="n">
        <v>30</v>
      </c>
      <c r="P1522" s="8" t="s">
        <v>120</v>
      </c>
    </row>
    <row r="1523" customFormat="false" ht="15" hidden="false" customHeight="false" outlineLevel="0" collapsed="false">
      <c r="A1523" s="8" t="s">
        <v>1507</v>
      </c>
      <c r="B1523" s="8" t="s">
        <v>1508</v>
      </c>
      <c r="C1523" s="8" t="s">
        <v>8688</v>
      </c>
      <c r="D1523" s="8" t="s">
        <v>117</v>
      </c>
      <c r="E1523" s="8" t="s">
        <v>53</v>
      </c>
      <c r="F1523" s="8" t="s">
        <v>326</v>
      </c>
      <c r="G1523" s="8" t="s">
        <v>166</v>
      </c>
      <c r="H1523" s="8" t="s">
        <v>8666</v>
      </c>
      <c r="I1523" s="8" t="s">
        <v>8923</v>
      </c>
      <c r="J1523" s="8" t="s">
        <v>204</v>
      </c>
      <c r="K1523" s="8" t="s">
        <v>8664</v>
      </c>
      <c r="L1523" s="8"/>
      <c r="M1523" s="8"/>
      <c r="N1523" s="8" t="n">
        <v>25</v>
      </c>
      <c r="O1523" s="8" t="n">
        <v>103</v>
      </c>
      <c r="P1523" s="8" t="s">
        <v>120</v>
      </c>
    </row>
    <row r="1524" customFormat="false" ht="15" hidden="false" customHeight="false" outlineLevel="0" collapsed="false">
      <c r="A1524" s="8" t="s">
        <v>9991</v>
      </c>
      <c r="B1524" s="8" t="s">
        <v>9992</v>
      </c>
      <c r="C1524" s="8" t="s">
        <v>8661</v>
      </c>
      <c r="D1524" s="8" t="s">
        <v>123</v>
      </c>
      <c r="E1524" s="8" t="s">
        <v>51</v>
      </c>
      <c r="F1524" s="8" t="s">
        <v>2027</v>
      </c>
      <c r="G1524" s="8" t="s">
        <v>223</v>
      </c>
      <c r="H1524" s="8" t="s">
        <v>8662</v>
      </c>
      <c r="I1524" s="8" t="s">
        <v>9993</v>
      </c>
      <c r="J1524" s="8"/>
      <c r="K1524" s="8" t="s">
        <v>8690</v>
      </c>
      <c r="L1524" s="8" t="s">
        <v>9994</v>
      </c>
      <c r="M1524" s="8" t="s">
        <v>8795</v>
      </c>
      <c r="N1524" s="8" t="n">
        <v>12</v>
      </c>
      <c r="O1524" s="8" t="n">
        <v>36</v>
      </c>
      <c r="P1524" s="8" t="s">
        <v>120</v>
      </c>
    </row>
    <row r="1525" customFormat="false" ht="15" hidden="false" customHeight="false" outlineLevel="0" collapsed="false">
      <c r="A1525" s="8" t="s">
        <v>9995</v>
      </c>
      <c r="B1525" s="8" t="s">
        <v>9996</v>
      </c>
      <c r="C1525" s="8" t="s">
        <v>8700</v>
      </c>
      <c r="D1525" s="8" t="s">
        <v>123</v>
      </c>
      <c r="E1525" s="8" t="s">
        <v>51</v>
      </c>
      <c r="F1525" s="8" t="s">
        <v>2027</v>
      </c>
      <c r="G1525" s="8" t="s">
        <v>190</v>
      </c>
      <c r="H1525" s="8" t="s">
        <v>8662</v>
      </c>
      <c r="I1525" s="8" t="s">
        <v>9475</v>
      </c>
      <c r="J1525" s="8"/>
      <c r="K1525" s="8" t="s">
        <v>8690</v>
      </c>
      <c r="L1525" s="8" t="s">
        <v>9623</v>
      </c>
      <c r="M1525" s="8" t="s">
        <v>8795</v>
      </c>
      <c r="N1525" s="8" t="n">
        <v>12</v>
      </c>
      <c r="O1525" s="8" t="n">
        <v>30</v>
      </c>
      <c r="P1525" s="8" t="s">
        <v>120</v>
      </c>
    </row>
    <row r="1526" customFormat="false" ht="15" hidden="false" customHeight="false" outlineLevel="0" collapsed="false">
      <c r="A1526" s="8" t="s">
        <v>3970</v>
      </c>
      <c r="B1526" s="8" t="s">
        <v>3971</v>
      </c>
      <c r="C1526" s="8" t="s">
        <v>8680</v>
      </c>
      <c r="D1526" s="8" t="s">
        <v>132</v>
      </c>
      <c r="E1526" s="8" t="s">
        <v>51</v>
      </c>
      <c r="F1526" s="8" t="s">
        <v>326</v>
      </c>
      <c r="G1526" s="8" t="s">
        <v>136</v>
      </c>
      <c r="H1526" s="8" t="s">
        <v>8662</v>
      </c>
      <c r="I1526" s="8" t="s">
        <v>9620</v>
      </c>
      <c r="J1526" s="8" t="s">
        <v>119</v>
      </c>
      <c r="K1526" s="8" t="s">
        <v>8664</v>
      </c>
      <c r="L1526" s="8"/>
      <c r="M1526" s="8"/>
      <c r="N1526" s="8" t="n">
        <v>25</v>
      </c>
      <c r="O1526" s="8" t="n">
        <v>5</v>
      </c>
      <c r="P1526" s="8" t="s">
        <v>120</v>
      </c>
    </row>
    <row r="1527" customFormat="false" ht="15" hidden="false" customHeight="false" outlineLevel="0" collapsed="false">
      <c r="A1527" s="8" t="s">
        <v>2264</v>
      </c>
      <c r="B1527" s="8" t="s">
        <v>2265</v>
      </c>
      <c r="C1527" s="8" t="s">
        <v>8665</v>
      </c>
      <c r="D1527" s="8" t="s">
        <v>123</v>
      </c>
      <c r="E1527" s="8" t="s">
        <v>51</v>
      </c>
      <c r="F1527" s="8" t="s">
        <v>326</v>
      </c>
      <c r="G1527" s="8" t="s">
        <v>154</v>
      </c>
      <c r="H1527" s="8" t="s">
        <v>8662</v>
      </c>
      <c r="I1527" s="8" t="s">
        <v>9901</v>
      </c>
      <c r="J1527" s="8" t="s">
        <v>129</v>
      </c>
      <c r="K1527" s="8" t="s">
        <v>8664</v>
      </c>
      <c r="L1527" s="8"/>
      <c r="M1527" s="8"/>
      <c r="N1527" s="8" t="n">
        <v>25</v>
      </c>
      <c r="O1527" s="8" t="n">
        <v>23</v>
      </c>
      <c r="P1527" s="8" t="s">
        <v>120</v>
      </c>
    </row>
    <row r="1528" customFormat="false" ht="15" hidden="false" customHeight="false" outlineLevel="0" collapsed="false">
      <c r="A1528" s="8" t="s">
        <v>1175</v>
      </c>
      <c r="B1528" s="8" t="s">
        <v>1176</v>
      </c>
      <c r="C1528" s="8" t="s">
        <v>8665</v>
      </c>
      <c r="D1528" s="8" t="s">
        <v>123</v>
      </c>
      <c r="E1528" s="8" t="s">
        <v>53</v>
      </c>
      <c r="F1528" s="8" t="s">
        <v>326</v>
      </c>
      <c r="G1528" s="8" t="s">
        <v>124</v>
      </c>
      <c r="H1528" s="8" t="s">
        <v>8662</v>
      </c>
      <c r="I1528" s="8" t="s">
        <v>9523</v>
      </c>
      <c r="J1528" s="8" t="s">
        <v>140</v>
      </c>
      <c r="K1528" s="8" t="s">
        <v>8664</v>
      </c>
      <c r="L1528" s="8"/>
      <c r="M1528" s="8"/>
      <c r="N1528" s="8" t="n">
        <v>25</v>
      </c>
      <c r="O1528" s="8" t="n">
        <v>194</v>
      </c>
      <c r="P1528" s="8" t="s">
        <v>120</v>
      </c>
    </row>
    <row r="1529" customFormat="false" ht="15" hidden="false" customHeight="false" outlineLevel="0" collapsed="false">
      <c r="A1529" s="8" t="s">
        <v>2074</v>
      </c>
      <c r="B1529" s="8" t="s">
        <v>2075</v>
      </c>
      <c r="C1529" s="8" t="s">
        <v>8678</v>
      </c>
      <c r="D1529" s="8" t="s">
        <v>123</v>
      </c>
      <c r="E1529" s="8" t="s">
        <v>51</v>
      </c>
      <c r="F1529" s="8" t="s">
        <v>326</v>
      </c>
      <c r="G1529" s="8" t="s">
        <v>190</v>
      </c>
      <c r="H1529" s="8" t="s">
        <v>8666</v>
      </c>
      <c r="I1529" s="8" t="s">
        <v>8809</v>
      </c>
      <c r="J1529" s="8" t="s">
        <v>147</v>
      </c>
      <c r="K1529" s="8" t="s">
        <v>8664</v>
      </c>
      <c r="L1529" s="8"/>
      <c r="M1529" s="8"/>
      <c r="N1529" s="8" t="n">
        <v>25</v>
      </c>
      <c r="O1529" s="8" t="n">
        <v>29</v>
      </c>
      <c r="P1529" s="8" t="s">
        <v>120</v>
      </c>
    </row>
    <row r="1530" customFormat="false" ht="15" hidden="false" customHeight="false" outlineLevel="0" collapsed="false">
      <c r="A1530" s="8" t="s">
        <v>2400</v>
      </c>
      <c r="B1530" s="8" t="s">
        <v>2401</v>
      </c>
      <c r="C1530" s="8" t="s">
        <v>8661</v>
      </c>
      <c r="D1530" s="8" t="s">
        <v>132</v>
      </c>
      <c r="E1530" s="8" t="s">
        <v>51</v>
      </c>
      <c r="F1530" s="8" t="s">
        <v>2027</v>
      </c>
      <c r="G1530" s="8" t="s">
        <v>124</v>
      </c>
      <c r="H1530" s="8" t="s">
        <v>8666</v>
      </c>
      <c r="I1530" s="8" t="s">
        <v>9969</v>
      </c>
      <c r="J1530" s="8" t="s">
        <v>159</v>
      </c>
      <c r="K1530" s="8" t="s">
        <v>8664</v>
      </c>
      <c r="L1530" s="8"/>
      <c r="M1530" s="8"/>
      <c r="N1530" s="8" t="n">
        <v>12</v>
      </c>
      <c r="O1530" s="8" t="n">
        <v>33</v>
      </c>
      <c r="P1530" s="8" t="s">
        <v>120</v>
      </c>
    </row>
    <row r="1531" customFormat="false" ht="15" hidden="false" customHeight="false" outlineLevel="0" collapsed="false">
      <c r="A1531" s="8" t="s">
        <v>709</v>
      </c>
      <c r="B1531" s="8" t="s">
        <v>710</v>
      </c>
      <c r="C1531" s="8" t="s">
        <v>8661</v>
      </c>
      <c r="D1531" s="8" t="s">
        <v>117</v>
      </c>
      <c r="E1531" s="8" t="s">
        <v>53</v>
      </c>
      <c r="F1531" s="8" t="s">
        <v>326</v>
      </c>
      <c r="G1531" s="8" t="s">
        <v>124</v>
      </c>
      <c r="H1531" s="8" t="s">
        <v>8662</v>
      </c>
      <c r="I1531" s="8" t="s">
        <v>8864</v>
      </c>
      <c r="J1531" s="8" t="s">
        <v>180</v>
      </c>
      <c r="K1531" s="8" t="s">
        <v>8664</v>
      </c>
      <c r="L1531" s="8"/>
      <c r="M1531" s="8"/>
      <c r="N1531" s="8" t="n">
        <v>25</v>
      </c>
      <c r="O1531" s="8" t="n">
        <v>196</v>
      </c>
      <c r="P1531" s="8" t="s">
        <v>120</v>
      </c>
    </row>
    <row r="1532" customFormat="false" ht="15" hidden="false" customHeight="false" outlineLevel="0" collapsed="false">
      <c r="A1532" s="8" t="s">
        <v>1703</v>
      </c>
      <c r="B1532" s="8" t="s">
        <v>1704</v>
      </c>
      <c r="C1532" s="8" t="s">
        <v>8680</v>
      </c>
      <c r="D1532" s="8" t="s">
        <v>123</v>
      </c>
      <c r="E1532" s="8" t="s">
        <v>53</v>
      </c>
      <c r="F1532" s="8" t="s">
        <v>326</v>
      </c>
      <c r="G1532" s="8" t="s">
        <v>166</v>
      </c>
      <c r="H1532" s="8" t="s">
        <v>8675</v>
      </c>
      <c r="I1532" s="8" t="s">
        <v>8863</v>
      </c>
      <c r="J1532" s="8" t="s">
        <v>137</v>
      </c>
      <c r="K1532" s="8" t="s">
        <v>8664</v>
      </c>
      <c r="L1532" s="8"/>
      <c r="M1532" s="8"/>
      <c r="N1532" s="8" t="n">
        <v>25</v>
      </c>
      <c r="O1532" s="8" t="n">
        <v>54</v>
      </c>
      <c r="P1532" s="8" t="s">
        <v>148</v>
      </c>
    </row>
    <row r="1533" customFormat="false" ht="15" hidden="false" customHeight="false" outlineLevel="0" collapsed="false">
      <c r="A1533" s="8" t="s">
        <v>3480</v>
      </c>
      <c r="B1533" s="8" t="s">
        <v>3481</v>
      </c>
      <c r="C1533" s="8" t="s">
        <v>8680</v>
      </c>
      <c r="D1533" s="8" t="s">
        <v>128</v>
      </c>
      <c r="E1533" s="8" t="s">
        <v>51</v>
      </c>
      <c r="F1533" s="8" t="s">
        <v>2027</v>
      </c>
      <c r="G1533" s="8" t="s">
        <v>223</v>
      </c>
      <c r="H1533" s="8" t="s">
        <v>8662</v>
      </c>
      <c r="I1533" s="8" t="s">
        <v>9813</v>
      </c>
      <c r="J1533" s="8" t="s">
        <v>185</v>
      </c>
      <c r="K1533" s="8" t="s">
        <v>8664</v>
      </c>
      <c r="L1533" s="8"/>
      <c r="M1533" s="8"/>
      <c r="N1533" s="8" t="n">
        <v>12</v>
      </c>
      <c r="O1533" s="8" t="n">
        <v>22</v>
      </c>
      <c r="P1533" s="8" t="s">
        <v>120</v>
      </c>
    </row>
    <row r="1534" customFormat="false" ht="15" hidden="false" customHeight="false" outlineLevel="0" collapsed="false">
      <c r="A1534" s="8" t="s">
        <v>1581</v>
      </c>
      <c r="B1534" s="8" t="s">
        <v>1582</v>
      </c>
      <c r="C1534" s="8" t="s">
        <v>8674</v>
      </c>
      <c r="D1534" s="8" t="s">
        <v>123</v>
      </c>
      <c r="E1534" s="8" t="s">
        <v>53</v>
      </c>
      <c r="F1534" s="8" t="s">
        <v>326</v>
      </c>
      <c r="G1534" s="8" t="s">
        <v>133</v>
      </c>
      <c r="H1534" s="8" t="s">
        <v>8670</v>
      </c>
      <c r="I1534" s="8" t="s">
        <v>9914</v>
      </c>
      <c r="J1534" s="8" t="s">
        <v>159</v>
      </c>
      <c r="K1534" s="8" t="s">
        <v>8664</v>
      </c>
      <c r="L1534" s="8"/>
      <c r="M1534" s="8"/>
      <c r="N1534" s="8" t="n">
        <v>25</v>
      </c>
      <c r="O1534" s="8" t="n">
        <v>68</v>
      </c>
      <c r="P1534" s="8" t="s">
        <v>120</v>
      </c>
    </row>
    <row r="1535" customFormat="false" ht="15" hidden="false" customHeight="false" outlineLevel="0" collapsed="false">
      <c r="A1535" s="8" t="s">
        <v>2762</v>
      </c>
      <c r="B1535" s="8" t="s">
        <v>2763</v>
      </c>
      <c r="C1535" s="8" t="s">
        <v>8674</v>
      </c>
      <c r="D1535" s="8" t="s">
        <v>123</v>
      </c>
      <c r="E1535" s="8" t="s">
        <v>51</v>
      </c>
      <c r="F1535" s="8" t="s">
        <v>2027</v>
      </c>
      <c r="G1535" s="8" t="s">
        <v>154</v>
      </c>
      <c r="H1535" s="8" t="s">
        <v>8670</v>
      </c>
      <c r="I1535" s="8" t="s">
        <v>9494</v>
      </c>
      <c r="J1535" s="8" t="s">
        <v>129</v>
      </c>
      <c r="K1535" s="8" t="s">
        <v>8664</v>
      </c>
      <c r="L1535" s="8"/>
      <c r="M1535" s="8"/>
      <c r="N1535" s="8" t="n">
        <v>12</v>
      </c>
      <c r="O1535" s="8" t="n">
        <v>34</v>
      </c>
      <c r="P1535" s="8" t="s">
        <v>120</v>
      </c>
    </row>
    <row r="1536" customFormat="false" ht="15" hidden="false" customHeight="false" outlineLevel="0" collapsed="false">
      <c r="A1536" s="8" t="s">
        <v>4438</v>
      </c>
      <c r="B1536" s="8" t="s">
        <v>9997</v>
      </c>
      <c r="C1536" s="8" t="s">
        <v>8669</v>
      </c>
      <c r="D1536" s="8" t="s">
        <v>123</v>
      </c>
      <c r="E1536" s="8" t="s">
        <v>53</v>
      </c>
      <c r="F1536" s="8" t="s">
        <v>55</v>
      </c>
      <c r="G1536" s="8" t="s">
        <v>223</v>
      </c>
      <c r="H1536" s="8" t="s">
        <v>8670</v>
      </c>
      <c r="I1536" s="8" t="s">
        <v>9517</v>
      </c>
      <c r="J1536" s="8"/>
      <c r="K1536" s="8" t="s">
        <v>8690</v>
      </c>
      <c r="L1536" s="8" t="s">
        <v>8800</v>
      </c>
      <c r="M1536" s="8" t="s">
        <v>8696</v>
      </c>
      <c r="N1536" s="8" t="n">
        <v>45</v>
      </c>
      <c r="O1536" s="8" t="n">
        <v>95</v>
      </c>
      <c r="P1536" s="8" t="s">
        <v>120</v>
      </c>
    </row>
    <row r="1537" customFormat="false" ht="15" hidden="false" customHeight="false" outlineLevel="0" collapsed="false">
      <c r="A1537" s="8" t="s">
        <v>1609</v>
      </c>
      <c r="B1537" s="8" t="s">
        <v>1610</v>
      </c>
      <c r="C1537" s="8" t="s">
        <v>8665</v>
      </c>
      <c r="D1537" s="8" t="s">
        <v>123</v>
      </c>
      <c r="E1537" s="8" t="s">
        <v>51</v>
      </c>
      <c r="F1537" s="8" t="s">
        <v>326</v>
      </c>
      <c r="G1537" s="8" t="s">
        <v>166</v>
      </c>
      <c r="H1537" s="8" t="s">
        <v>8662</v>
      </c>
      <c r="I1537" s="8" t="s">
        <v>9998</v>
      </c>
      <c r="J1537" s="8" t="s">
        <v>185</v>
      </c>
      <c r="K1537" s="8" t="s">
        <v>8664</v>
      </c>
      <c r="L1537" s="8"/>
      <c r="M1537" s="8"/>
      <c r="N1537" s="8" t="n">
        <v>25</v>
      </c>
      <c r="O1537" s="8" t="n">
        <v>34</v>
      </c>
      <c r="P1537" s="8" t="s">
        <v>120</v>
      </c>
    </row>
    <row r="1538" customFormat="false" ht="15" hidden="false" customHeight="false" outlineLevel="0" collapsed="false">
      <c r="A1538" s="8" t="s">
        <v>2312</v>
      </c>
      <c r="B1538" s="8" t="s">
        <v>2313</v>
      </c>
      <c r="C1538" s="8" t="s">
        <v>8661</v>
      </c>
      <c r="D1538" s="8" t="s">
        <v>132</v>
      </c>
      <c r="E1538" s="8" t="s">
        <v>51</v>
      </c>
      <c r="F1538" s="8" t="s">
        <v>2027</v>
      </c>
      <c r="G1538" s="8" t="s">
        <v>166</v>
      </c>
      <c r="H1538" s="8" t="s">
        <v>8675</v>
      </c>
      <c r="I1538" s="8" t="s">
        <v>9449</v>
      </c>
      <c r="J1538" s="8" t="s">
        <v>144</v>
      </c>
      <c r="K1538" s="8" t="s">
        <v>8664</v>
      </c>
      <c r="L1538" s="8"/>
      <c r="M1538" s="8"/>
      <c r="N1538" s="8" t="n">
        <v>12</v>
      </c>
      <c r="O1538" s="8" t="n">
        <v>35</v>
      </c>
      <c r="P1538" s="8" t="s">
        <v>120</v>
      </c>
    </row>
    <row r="1539" customFormat="false" ht="15" hidden="false" customHeight="false" outlineLevel="0" collapsed="false">
      <c r="A1539" s="8" t="s">
        <v>387</v>
      </c>
      <c r="B1539" s="8" t="s">
        <v>388</v>
      </c>
      <c r="C1539" s="8" t="s">
        <v>8661</v>
      </c>
      <c r="D1539" s="8" t="s">
        <v>132</v>
      </c>
      <c r="E1539" s="8" t="s">
        <v>55</v>
      </c>
      <c r="F1539" s="8" t="s">
        <v>55</v>
      </c>
      <c r="G1539" s="8" t="s">
        <v>133</v>
      </c>
      <c r="H1539" s="8" t="s">
        <v>8675</v>
      </c>
      <c r="I1539" s="8" t="s">
        <v>9527</v>
      </c>
      <c r="J1539" s="8" t="s">
        <v>144</v>
      </c>
      <c r="K1539" s="8" t="s">
        <v>8664</v>
      </c>
      <c r="L1539" s="8"/>
      <c r="M1539" s="8"/>
      <c r="N1539" s="8" t="n">
        <v>45</v>
      </c>
      <c r="O1539" s="8" t="n">
        <v>200</v>
      </c>
      <c r="P1539" s="8" t="s">
        <v>120</v>
      </c>
    </row>
    <row r="1540" customFormat="false" ht="15" hidden="false" customHeight="false" outlineLevel="0" collapsed="false">
      <c r="A1540" s="8" t="s">
        <v>841</v>
      </c>
      <c r="B1540" s="8" t="s">
        <v>842</v>
      </c>
      <c r="C1540" s="8" t="s">
        <v>8665</v>
      </c>
      <c r="D1540" s="8" t="s">
        <v>132</v>
      </c>
      <c r="E1540" s="8" t="s">
        <v>53</v>
      </c>
      <c r="F1540" s="8" t="s">
        <v>326</v>
      </c>
      <c r="G1540" s="8" t="s">
        <v>133</v>
      </c>
      <c r="H1540" s="8" t="s">
        <v>8675</v>
      </c>
      <c r="I1540" s="8" t="s">
        <v>9154</v>
      </c>
      <c r="J1540" s="8" t="s">
        <v>147</v>
      </c>
      <c r="K1540" s="8" t="s">
        <v>8664</v>
      </c>
      <c r="L1540" s="8"/>
      <c r="M1540" s="8"/>
      <c r="N1540" s="8" t="n">
        <v>25</v>
      </c>
      <c r="O1540" s="8" t="n">
        <v>165</v>
      </c>
      <c r="P1540" s="8" t="s">
        <v>120</v>
      </c>
    </row>
    <row r="1541" customFormat="false" ht="15" hidden="false" customHeight="false" outlineLevel="0" collapsed="false">
      <c r="A1541" s="8" t="s">
        <v>507</v>
      </c>
      <c r="B1541" s="8" t="s">
        <v>508</v>
      </c>
      <c r="C1541" s="8" t="s">
        <v>8688</v>
      </c>
      <c r="D1541" s="8" t="s">
        <v>117</v>
      </c>
      <c r="E1541" s="8" t="s">
        <v>55</v>
      </c>
      <c r="F1541" s="8" t="s">
        <v>326</v>
      </c>
      <c r="G1541" s="8" t="s">
        <v>124</v>
      </c>
      <c r="H1541" s="8" t="s">
        <v>8675</v>
      </c>
      <c r="I1541" s="8" t="s">
        <v>9210</v>
      </c>
      <c r="J1541" s="8" t="s">
        <v>119</v>
      </c>
      <c r="K1541" s="8" t="s">
        <v>8664</v>
      </c>
      <c r="L1541" s="8"/>
      <c r="M1541" s="8"/>
      <c r="N1541" s="8" t="n">
        <v>25</v>
      </c>
      <c r="O1541" s="8" t="n">
        <v>323</v>
      </c>
      <c r="P1541" s="8" t="s">
        <v>120</v>
      </c>
    </row>
    <row r="1542" customFormat="false" ht="15" hidden="false" customHeight="false" outlineLevel="0" collapsed="false">
      <c r="A1542" s="8" t="s">
        <v>1905</v>
      </c>
      <c r="B1542" s="8" t="s">
        <v>1906</v>
      </c>
      <c r="C1542" s="8" t="s">
        <v>8665</v>
      </c>
      <c r="D1542" s="8" t="s">
        <v>123</v>
      </c>
      <c r="E1542" s="8" t="s">
        <v>51</v>
      </c>
      <c r="F1542" s="8" t="s">
        <v>326</v>
      </c>
      <c r="G1542" s="8" t="s">
        <v>124</v>
      </c>
      <c r="H1542" s="8" t="s">
        <v>8666</v>
      </c>
      <c r="I1542" s="8" t="s">
        <v>9999</v>
      </c>
      <c r="J1542" s="8" t="s">
        <v>125</v>
      </c>
      <c r="K1542" s="8" t="s">
        <v>8664</v>
      </c>
      <c r="L1542" s="8"/>
      <c r="M1542" s="8"/>
      <c r="N1542" s="8" t="n">
        <v>25</v>
      </c>
      <c r="O1542" s="8" t="n">
        <v>36</v>
      </c>
      <c r="P1542" s="8" t="s">
        <v>120</v>
      </c>
    </row>
    <row r="1543" customFormat="false" ht="15" hidden="false" customHeight="false" outlineLevel="0" collapsed="false">
      <c r="A1543" s="8" t="s">
        <v>224</v>
      </c>
      <c r="B1543" s="8" t="s">
        <v>225</v>
      </c>
      <c r="C1543" s="8" t="s">
        <v>8700</v>
      </c>
      <c r="D1543" s="8" t="s">
        <v>117</v>
      </c>
      <c r="E1543" s="8" t="s">
        <v>55</v>
      </c>
      <c r="F1543" s="8" t="s">
        <v>55</v>
      </c>
      <c r="G1543" s="8" t="s">
        <v>124</v>
      </c>
      <c r="H1543" s="8" t="s">
        <v>8670</v>
      </c>
      <c r="I1543" s="8" t="s">
        <v>8970</v>
      </c>
      <c r="J1543" s="8" t="s">
        <v>119</v>
      </c>
      <c r="K1543" s="8" t="s">
        <v>8664</v>
      </c>
      <c r="L1543" s="8"/>
      <c r="M1543" s="8"/>
      <c r="N1543" s="8" t="n">
        <v>45</v>
      </c>
      <c r="O1543" s="8" t="n">
        <v>519</v>
      </c>
      <c r="P1543" s="8" t="s">
        <v>148</v>
      </c>
    </row>
    <row r="1544" customFormat="false" ht="15" hidden="false" customHeight="false" outlineLevel="0" collapsed="false">
      <c r="A1544" s="8" t="s">
        <v>3414</v>
      </c>
      <c r="B1544" s="8" t="s">
        <v>3415</v>
      </c>
      <c r="C1544" s="8" t="s">
        <v>8661</v>
      </c>
      <c r="D1544" s="8" t="s">
        <v>132</v>
      </c>
      <c r="E1544" s="8" t="s">
        <v>51</v>
      </c>
      <c r="F1544" s="8" t="s">
        <v>2027</v>
      </c>
      <c r="G1544" s="8" t="s">
        <v>223</v>
      </c>
      <c r="H1544" s="8" t="s">
        <v>8662</v>
      </c>
      <c r="I1544" s="8" t="s">
        <v>9477</v>
      </c>
      <c r="J1544" s="8" t="s">
        <v>177</v>
      </c>
      <c r="K1544" s="8" t="s">
        <v>8664</v>
      </c>
      <c r="L1544" s="8"/>
      <c r="M1544" s="8"/>
      <c r="N1544" s="8" t="n">
        <v>12</v>
      </c>
      <c r="O1544" s="8" t="n">
        <v>23</v>
      </c>
      <c r="P1544" s="8" t="s">
        <v>120</v>
      </c>
    </row>
    <row r="1545" customFormat="false" ht="15" hidden="false" customHeight="false" outlineLevel="0" collapsed="false">
      <c r="A1545" s="8" t="s">
        <v>1203</v>
      </c>
      <c r="B1545" s="8" t="s">
        <v>1204</v>
      </c>
      <c r="C1545" s="8" t="s">
        <v>8680</v>
      </c>
      <c r="D1545" s="8" t="s">
        <v>117</v>
      </c>
      <c r="E1545" s="8" t="s">
        <v>53</v>
      </c>
      <c r="F1545" s="8" t="s">
        <v>326</v>
      </c>
      <c r="G1545" s="8" t="s">
        <v>133</v>
      </c>
      <c r="H1545" s="8" t="s">
        <v>8662</v>
      </c>
      <c r="I1545" s="8" t="s">
        <v>9150</v>
      </c>
      <c r="J1545" s="8" t="s">
        <v>140</v>
      </c>
      <c r="K1545" s="8" t="s">
        <v>8664</v>
      </c>
      <c r="L1545" s="8"/>
      <c r="M1545" s="8"/>
      <c r="N1545" s="8" t="n">
        <v>25</v>
      </c>
      <c r="O1545" s="8" t="n">
        <v>136</v>
      </c>
      <c r="P1545" s="8" t="s">
        <v>120</v>
      </c>
    </row>
    <row r="1546" customFormat="false" ht="15" hidden="false" customHeight="false" outlineLevel="0" collapsed="false">
      <c r="A1546" s="8" t="s">
        <v>2570</v>
      </c>
      <c r="B1546" s="8" t="s">
        <v>2571</v>
      </c>
      <c r="C1546" s="8" t="s">
        <v>8688</v>
      </c>
      <c r="D1546" s="8" t="s">
        <v>123</v>
      </c>
      <c r="E1546" s="8" t="s">
        <v>51</v>
      </c>
      <c r="F1546" s="8" t="s">
        <v>2027</v>
      </c>
      <c r="G1546" s="8" t="s">
        <v>136</v>
      </c>
      <c r="H1546" s="8" t="s">
        <v>8670</v>
      </c>
      <c r="I1546" s="8" t="s">
        <v>9301</v>
      </c>
      <c r="J1546" s="8" t="s">
        <v>159</v>
      </c>
      <c r="K1546" s="8" t="s">
        <v>8664</v>
      </c>
      <c r="L1546" s="8"/>
      <c r="M1546" s="8"/>
      <c r="N1546" s="8" t="n">
        <v>12</v>
      </c>
      <c r="O1546" s="8" t="n">
        <v>37</v>
      </c>
      <c r="P1546" s="8" t="s">
        <v>120</v>
      </c>
    </row>
    <row r="1547" customFormat="false" ht="15" hidden="false" customHeight="false" outlineLevel="0" collapsed="false">
      <c r="A1547" s="8" t="s">
        <v>4044</v>
      </c>
      <c r="B1547" s="8" t="s">
        <v>4045</v>
      </c>
      <c r="C1547" s="8" t="s">
        <v>8680</v>
      </c>
      <c r="D1547" s="8" t="s">
        <v>132</v>
      </c>
      <c r="E1547" s="8" t="s">
        <v>51</v>
      </c>
      <c r="F1547" s="8" t="s">
        <v>2027</v>
      </c>
      <c r="G1547" s="8" t="s">
        <v>154</v>
      </c>
      <c r="H1547" s="8" t="s">
        <v>8666</v>
      </c>
      <c r="I1547" s="8" t="s">
        <v>9083</v>
      </c>
      <c r="J1547" s="8" t="s">
        <v>144</v>
      </c>
      <c r="K1547" s="8" t="s">
        <v>8664</v>
      </c>
      <c r="L1547" s="8"/>
      <c r="M1547" s="8"/>
      <c r="N1547" s="8" t="n">
        <v>12</v>
      </c>
      <c r="O1547" s="8" t="n">
        <v>12</v>
      </c>
      <c r="P1547" s="8" t="s">
        <v>148</v>
      </c>
    </row>
    <row r="1548" customFormat="false" ht="15" hidden="false" customHeight="false" outlineLevel="0" collapsed="false">
      <c r="A1548" s="8" t="s">
        <v>171</v>
      </c>
      <c r="B1548" s="8" t="s">
        <v>172</v>
      </c>
      <c r="C1548" s="8" t="s">
        <v>8674</v>
      </c>
      <c r="D1548" s="8" t="s">
        <v>128</v>
      </c>
      <c r="E1548" s="8" t="s">
        <v>55</v>
      </c>
      <c r="F1548" s="8" t="s">
        <v>55</v>
      </c>
      <c r="G1548" s="8" t="s">
        <v>166</v>
      </c>
      <c r="H1548" s="8" t="s">
        <v>8670</v>
      </c>
      <c r="I1548" s="8" t="s">
        <v>8907</v>
      </c>
      <c r="J1548" s="8" t="s">
        <v>140</v>
      </c>
      <c r="K1548" s="8" t="s">
        <v>8664</v>
      </c>
      <c r="L1548" s="8"/>
      <c r="M1548" s="8"/>
      <c r="N1548" s="8" t="n">
        <v>45</v>
      </c>
      <c r="O1548" s="8" t="n">
        <v>591</v>
      </c>
      <c r="P1548" s="8" t="s">
        <v>120</v>
      </c>
    </row>
    <row r="1549" customFormat="false" ht="15" hidden="false" customHeight="false" outlineLevel="0" collapsed="false">
      <c r="A1549" s="8" t="s">
        <v>2946</v>
      </c>
      <c r="B1549" s="8" t="s">
        <v>2947</v>
      </c>
      <c r="C1549" s="8" t="s">
        <v>8700</v>
      </c>
      <c r="D1549" s="8" t="s">
        <v>132</v>
      </c>
      <c r="E1549" s="8" t="s">
        <v>51</v>
      </c>
      <c r="F1549" s="8" t="s">
        <v>2027</v>
      </c>
      <c r="G1549" s="8" t="s">
        <v>124</v>
      </c>
      <c r="H1549" s="8" t="s">
        <v>8662</v>
      </c>
      <c r="I1549" s="8" t="s">
        <v>8923</v>
      </c>
      <c r="J1549" s="8" t="s">
        <v>204</v>
      </c>
      <c r="K1549" s="8" t="s">
        <v>8664</v>
      </c>
      <c r="L1549" s="8"/>
      <c r="M1549" s="8"/>
      <c r="N1549" s="8" t="n">
        <v>12</v>
      </c>
      <c r="O1549" s="8" t="n">
        <v>31</v>
      </c>
      <c r="P1549" s="8" t="s">
        <v>120</v>
      </c>
    </row>
    <row r="1550" customFormat="false" ht="15" hidden="false" customHeight="false" outlineLevel="0" collapsed="false">
      <c r="A1550" s="8" t="s">
        <v>4482</v>
      </c>
      <c r="B1550" s="8" t="s">
        <v>10000</v>
      </c>
      <c r="C1550" s="8" t="s">
        <v>8665</v>
      </c>
      <c r="D1550" s="8" t="s">
        <v>123</v>
      </c>
      <c r="E1550" s="8" t="s">
        <v>51</v>
      </c>
      <c r="F1550" s="8" t="s">
        <v>326</v>
      </c>
      <c r="G1550" s="8" t="s">
        <v>166</v>
      </c>
      <c r="H1550" s="8" t="s">
        <v>8675</v>
      </c>
      <c r="I1550" s="8" t="s">
        <v>10001</v>
      </c>
      <c r="J1550" s="8"/>
      <c r="K1550" s="8" t="s">
        <v>8690</v>
      </c>
      <c r="L1550" s="8" t="s">
        <v>9605</v>
      </c>
      <c r="M1550" s="8" t="s">
        <v>8692</v>
      </c>
      <c r="N1550" s="8" t="n">
        <v>25</v>
      </c>
      <c r="O1550" s="8" t="n">
        <v>36</v>
      </c>
      <c r="P1550" s="8" t="s">
        <v>120</v>
      </c>
    </row>
    <row r="1551" customFormat="false" ht="15" hidden="false" customHeight="false" outlineLevel="0" collapsed="false">
      <c r="A1551" s="8" t="s">
        <v>3070</v>
      </c>
      <c r="B1551" s="8" t="s">
        <v>3071</v>
      </c>
      <c r="C1551" s="8" t="s">
        <v>8678</v>
      </c>
      <c r="D1551" s="8" t="s">
        <v>123</v>
      </c>
      <c r="E1551" s="8" t="s">
        <v>51</v>
      </c>
      <c r="F1551" s="8" t="s">
        <v>2027</v>
      </c>
      <c r="G1551" s="8" t="s">
        <v>133</v>
      </c>
      <c r="H1551" s="8" t="s">
        <v>8662</v>
      </c>
      <c r="I1551" s="8" t="s">
        <v>10002</v>
      </c>
      <c r="J1551" s="8" t="s">
        <v>129</v>
      </c>
      <c r="K1551" s="8" t="s">
        <v>8664</v>
      </c>
      <c r="L1551" s="8"/>
      <c r="M1551" s="8"/>
      <c r="N1551" s="8" t="n">
        <v>12</v>
      </c>
      <c r="O1551" s="8" t="n">
        <v>29</v>
      </c>
      <c r="P1551" s="8" t="s">
        <v>120</v>
      </c>
    </row>
    <row r="1552" customFormat="false" ht="15" hidden="false" customHeight="false" outlineLevel="0" collapsed="false">
      <c r="A1552" s="8" t="s">
        <v>4474</v>
      </c>
      <c r="B1552" s="8" t="s">
        <v>10003</v>
      </c>
      <c r="C1552" s="8" t="s">
        <v>8700</v>
      </c>
      <c r="D1552" s="8" t="s">
        <v>123</v>
      </c>
      <c r="E1552" s="8" t="s">
        <v>53</v>
      </c>
      <c r="F1552" s="8" t="s">
        <v>326</v>
      </c>
      <c r="G1552" s="8" t="s">
        <v>190</v>
      </c>
      <c r="H1552" s="8" t="s">
        <v>8662</v>
      </c>
      <c r="I1552" s="8" t="s">
        <v>8830</v>
      </c>
      <c r="J1552" s="8"/>
      <c r="K1552" s="8" t="s">
        <v>8690</v>
      </c>
      <c r="L1552" s="8" t="s">
        <v>10004</v>
      </c>
      <c r="M1552" s="8" t="s">
        <v>8696</v>
      </c>
      <c r="N1552" s="8" t="n">
        <v>25</v>
      </c>
      <c r="O1552" s="8" t="n">
        <v>81</v>
      </c>
      <c r="P1552" s="8" t="s">
        <v>120</v>
      </c>
    </row>
    <row r="1553" customFormat="false" ht="15" hidden="false" customHeight="false" outlineLevel="0" collapsed="false">
      <c r="A1553" s="8" t="s">
        <v>2360</v>
      </c>
      <c r="B1553" s="8" t="s">
        <v>2361</v>
      </c>
      <c r="C1553" s="8" t="s">
        <v>8688</v>
      </c>
      <c r="D1553" s="8" t="s">
        <v>132</v>
      </c>
      <c r="E1553" s="8" t="s">
        <v>51</v>
      </c>
      <c r="F1553" s="8" t="s">
        <v>2027</v>
      </c>
      <c r="G1553" s="8" t="s">
        <v>166</v>
      </c>
      <c r="H1553" s="8" t="s">
        <v>8666</v>
      </c>
      <c r="I1553" s="8" t="s">
        <v>8967</v>
      </c>
      <c r="J1553" s="8" t="s">
        <v>140</v>
      </c>
      <c r="K1553" s="8" t="s">
        <v>8664</v>
      </c>
      <c r="L1553" s="8"/>
      <c r="M1553" s="8"/>
      <c r="N1553" s="8" t="n">
        <v>12</v>
      </c>
      <c r="O1553" s="8" t="n">
        <v>34</v>
      </c>
      <c r="P1553" s="8" t="s">
        <v>120</v>
      </c>
    </row>
    <row r="1554" customFormat="false" ht="15" hidden="false" customHeight="false" outlineLevel="0" collapsed="false">
      <c r="A1554" s="8" t="s">
        <v>2384</v>
      </c>
      <c r="B1554" s="8" t="s">
        <v>2385</v>
      </c>
      <c r="C1554" s="8" t="s">
        <v>8688</v>
      </c>
      <c r="D1554" s="8" t="s">
        <v>132</v>
      </c>
      <c r="E1554" s="8" t="s">
        <v>51</v>
      </c>
      <c r="F1554" s="8" t="s">
        <v>326</v>
      </c>
      <c r="G1554" s="8" t="s">
        <v>124</v>
      </c>
      <c r="H1554" s="8" t="s">
        <v>8675</v>
      </c>
      <c r="I1554" s="8" t="s">
        <v>10005</v>
      </c>
      <c r="J1554" s="8" t="s">
        <v>137</v>
      </c>
      <c r="K1554" s="8" t="s">
        <v>8664</v>
      </c>
      <c r="L1554" s="8"/>
      <c r="M1554" s="8"/>
      <c r="N1554" s="8" t="n">
        <v>25</v>
      </c>
      <c r="O1554" s="8" t="n">
        <v>20</v>
      </c>
      <c r="P1554" s="8" t="s">
        <v>120</v>
      </c>
    </row>
    <row r="1555" customFormat="false" ht="15" hidden="false" customHeight="false" outlineLevel="0" collapsed="false">
      <c r="A1555" s="8" t="s">
        <v>2998</v>
      </c>
      <c r="B1555" s="8" t="s">
        <v>2999</v>
      </c>
      <c r="C1555" s="8" t="s">
        <v>8688</v>
      </c>
      <c r="D1555" s="8" t="s">
        <v>117</v>
      </c>
      <c r="E1555" s="8" t="s">
        <v>51</v>
      </c>
      <c r="F1555" s="8" t="s">
        <v>2027</v>
      </c>
      <c r="G1555" s="8" t="s">
        <v>143</v>
      </c>
      <c r="H1555" s="8" t="s">
        <v>8670</v>
      </c>
      <c r="I1555" s="8" t="s">
        <v>9089</v>
      </c>
      <c r="J1555" s="8" t="s">
        <v>204</v>
      </c>
      <c r="K1555" s="8" t="s">
        <v>8664</v>
      </c>
      <c r="L1555" s="8"/>
      <c r="M1555" s="8"/>
      <c r="N1555" s="8" t="n">
        <v>12</v>
      </c>
      <c r="O1555" s="8" t="n">
        <v>24</v>
      </c>
      <c r="P1555" s="8" t="s">
        <v>120</v>
      </c>
    </row>
    <row r="1556" customFormat="false" ht="15" hidden="false" customHeight="false" outlineLevel="0" collapsed="false">
      <c r="A1556" s="8" t="s">
        <v>961</v>
      </c>
      <c r="B1556" s="8" t="s">
        <v>962</v>
      </c>
      <c r="C1556" s="8" t="s">
        <v>8700</v>
      </c>
      <c r="D1556" s="8" t="s">
        <v>132</v>
      </c>
      <c r="E1556" s="8" t="s">
        <v>53</v>
      </c>
      <c r="F1556" s="8" t="s">
        <v>326</v>
      </c>
      <c r="G1556" s="8" t="s">
        <v>151</v>
      </c>
      <c r="H1556" s="8" t="s">
        <v>8670</v>
      </c>
      <c r="I1556" s="8" t="s">
        <v>9732</v>
      </c>
      <c r="J1556" s="8" t="s">
        <v>140</v>
      </c>
      <c r="K1556" s="8" t="s">
        <v>8664</v>
      </c>
      <c r="L1556" s="8"/>
      <c r="M1556" s="8"/>
      <c r="N1556" s="8" t="n">
        <v>25</v>
      </c>
      <c r="O1556" s="8" t="n">
        <v>170</v>
      </c>
      <c r="P1556" s="8" t="s">
        <v>120</v>
      </c>
    </row>
    <row r="1557" customFormat="false" ht="15" hidden="false" customHeight="false" outlineLevel="0" collapsed="false">
      <c r="A1557" s="8" t="s">
        <v>3288</v>
      </c>
      <c r="B1557" s="8" t="s">
        <v>3289</v>
      </c>
      <c r="C1557" s="8" t="s">
        <v>8678</v>
      </c>
      <c r="D1557" s="8" t="s">
        <v>123</v>
      </c>
      <c r="E1557" s="8" t="s">
        <v>51</v>
      </c>
      <c r="F1557" s="8" t="s">
        <v>2027</v>
      </c>
      <c r="G1557" s="8" t="s">
        <v>143</v>
      </c>
      <c r="H1557" s="8" t="s">
        <v>8666</v>
      </c>
      <c r="I1557" s="8" t="s">
        <v>9329</v>
      </c>
      <c r="J1557" s="8" t="s">
        <v>185</v>
      </c>
      <c r="K1557" s="8" t="s">
        <v>8664</v>
      </c>
      <c r="L1557" s="8"/>
      <c r="M1557" s="8"/>
      <c r="N1557" s="8" t="n">
        <v>12</v>
      </c>
      <c r="O1557" s="8" t="n">
        <v>25</v>
      </c>
      <c r="P1557" s="8" t="s">
        <v>120</v>
      </c>
    </row>
    <row r="1558" customFormat="false" ht="15" hidden="false" customHeight="false" outlineLevel="0" collapsed="false">
      <c r="A1558" s="8" t="s">
        <v>2386</v>
      </c>
      <c r="B1558" s="8" t="s">
        <v>2387</v>
      </c>
      <c r="C1558" s="8" t="s">
        <v>8680</v>
      </c>
      <c r="D1558" s="8" t="s">
        <v>132</v>
      </c>
      <c r="E1558" s="8" t="s">
        <v>51</v>
      </c>
      <c r="F1558" s="8" t="s">
        <v>326</v>
      </c>
      <c r="G1558" s="8" t="s">
        <v>143</v>
      </c>
      <c r="H1558" s="8" t="s">
        <v>8675</v>
      </c>
      <c r="I1558" s="8" t="s">
        <v>9602</v>
      </c>
      <c r="J1558" s="8" t="s">
        <v>119</v>
      </c>
      <c r="K1558" s="8" t="s">
        <v>8664</v>
      </c>
      <c r="L1558" s="8"/>
      <c r="M1558" s="8"/>
      <c r="N1558" s="8" t="n">
        <v>25</v>
      </c>
      <c r="O1558" s="8" t="n">
        <v>18</v>
      </c>
      <c r="P1558" s="8" t="s">
        <v>120</v>
      </c>
    </row>
    <row r="1559" customFormat="false" ht="15" hidden="false" customHeight="false" outlineLevel="0" collapsed="false">
      <c r="A1559" s="8" t="s">
        <v>10006</v>
      </c>
      <c r="B1559" s="8" t="s">
        <v>10007</v>
      </c>
      <c r="C1559" s="8" t="s">
        <v>8700</v>
      </c>
      <c r="D1559" s="8" t="s">
        <v>123</v>
      </c>
      <c r="E1559" s="8" t="s">
        <v>51</v>
      </c>
      <c r="F1559" s="8" t="s">
        <v>326</v>
      </c>
      <c r="G1559" s="8" t="s">
        <v>166</v>
      </c>
      <c r="H1559" s="8" t="s">
        <v>8670</v>
      </c>
      <c r="I1559" s="8" t="s">
        <v>9082</v>
      </c>
      <c r="J1559" s="8"/>
      <c r="K1559" s="8" t="s">
        <v>8690</v>
      </c>
      <c r="L1559" s="8" t="s">
        <v>9293</v>
      </c>
      <c r="M1559" s="8" t="s">
        <v>8696</v>
      </c>
      <c r="N1559" s="8" t="n">
        <v>25</v>
      </c>
      <c r="O1559" s="8" t="n">
        <v>5</v>
      </c>
      <c r="P1559" s="8" t="s">
        <v>120</v>
      </c>
    </row>
    <row r="1560" customFormat="false" ht="15" hidden="false" customHeight="false" outlineLevel="0" collapsed="false">
      <c r="A1560" s="8" t="s">
        <v>10008</v>
      </c>
      <c r="B1560" s="8" t="s">
        <v>10009</v>
      </c>
      <c r="C1560" s="8" t="s">
        <v>8661</v>
      </c>
      <c r="D1560" s="8" t="s">
        <v>132</v>
      </c>
      <c r="E1560" s="8" t="s">
        <v>53</v>
      </c>
      <c r="F1560" s="8" t="s">
        <v>326</v>
      </c>
      <c r="G1560" s="8" t="s">
        <v>223</v>
      </c>
      <c r="H1560" s="8" t="s">
        <v>8675</v>
      </c>
      <c r="I1560" s="8" t="s">
        <v>10010</v>
      </c>
      <c r="J1560" s="8"/>
      <c r="K1560" s="8" t="s">
        <v>8690</v>
      </c>
      <c r="L1560" s="8" t="s">
        <v>10011</v>
      </c>
      <c r="M1560" s="8" t="s">
        <v>8795</v>
      </c>
      <c r="N1560" s="8" t="n">
        <v>25</v>
      </c>
      <c r="O1560" s="8" t="n">
        <v>197</v>
      </c>
      <c r="P1560" s="8" t="s">
        <v>148</v>
      </c>
    </row>
    <row r="1561" customFormat="false" ht="15" hidden="false" customHeight="false" outlineLevel="0" collapsed="false">
      <c r="A1561" s="8" t="s">
        <v>4509</v>
      </c>
      <c r="B1561" s="8" t="s">
        <v>10012</v>
      </c>
      <c r="C1561" s="8" t="s">
        <v>8680</v>
      </c>
      <c r="D1561" s="8" t="s">
        <v>123</v>
      </c>
      <c r="E1561" s="8" t="s">
        <v>51</v>
      </c>
      <c r="F1561" s="8" t="s">
        <v>2027</v>
      </c>
      <c r="G1561" s="8" t="s">
        <v>133</v>
      </c>
      <c r="H1561" s="8" t="s">
        <v>8675</v>
      </c>
      <c r="I1561" s="8" t="s">
        <v>9938</v>
      </c>
      <c r="J1561" s="8"/>
      <c r="K1561" s="8" t="s">
        <v>8690</v>
      </c>
      <c r="L1561" s="8" t="s">
        <v>8908</v>
      </c>
      <c r="M1561" s="8" t="s">
        <v>8692</v>
      </c>
      <c r="N1561" s="8" t="n">
        <v>12</v>
      </c>
      <c r="O1561" s="8" t="n">
        <v>37</v>
      </c>
      <c r="P1561" s="8" t="s">
        <v>120</v>
      </c>
    </row>
    <row r="1562" customFormat="false" ht="15" hidden="false" customHeight="false" outlineLevel="0" collapsed="false">
      <c r="A1562" s="8" t="s">
        <v>2798</v>
      </c>
      <c r="B1562" s="8" t="s">
        <v>2799</v>
      </c>
      <c r="C1562" s="8" t="s">
        <v>8700</v>
      </c>
      <c r="D1562" s="8" t="s">
        <v>117</v>
      </c>
      <c r="E1562" s="8" t="s">
        <v>51</v>
      </c>
      <c r="F1562" s="8" t="s">
        <v>326</v>
      </c>
      <c r="G1562" s="8" t="s">
        <v>124</v>
      </c>
      <c r="H1562" s="8" t="s">
        <v>8666</v>
      </c>
      <c r="I1562" s="8" t="s">
        <v>9216</v>
      </c>
      <c r="J1562" s="8" t="s">
        <v>185</v>
      </c>
      <c r="K1562" s="8" t="s">
        <v>8664</v>
      </c>
      <c r="L1562" s="8"/>
      <c r="M1562" s="8"/>
      <c r="N1562" s="8" t="n">
        <v>25</v>
      </c>
      <c r="O1562" s="8" t="n">
        <v>16</v>
      </c>
      <c r="P1562" s="8" t="s">
        <v>120</v>
      </c>
    </row>
    <row r="1563" customFormat="false" ht="15" hidden="false" customHeight="false" outlineLevel="0" collapsed="false">
      <c r="A1563" s="8" t="s">
        <v>10013</v>
      </c>
      <c r="B1563" s="8" t="s">
        <v>10014</v>
      </c>
      <c r="C1563" s="8" t="s">
        <v>8700</v>
      </c>
      <c r="D1563" s="8" t="s">
        <v>128</v>
      </c>
      <c r="E1563" s="8" t="s">
        <v>53</v>
      </c>
      <c r="F1563" s="8" t="s">
        <v>326</v>
      </c>
      <c r="G1563" s="8" t="s">
        <v>143</v>
      </c>
      <c r="H1563" s="8" t="s">
        <v>8666</v>
      </c>
      <c r="I1563" s="8" t="s">
        <v>8739</v>
      </c>
      <c r="J1563" s="8"/>
      <c r="K1563" s="8" t="s">
        <v>8690</v>
      </c>
      <c r="L1563" s="8" t="s">
        <v>8758</v>
      </c>
      <c r="M1563" s="8" t="s">
        <v>8692</v>
      </c>
      <c r="N1563" s="8" t="n">
        <v>25</v>
      </c>
      <c r="O1563" s="8" t="n">
        <v>171</v>
      </c>
      <c r="P1563" s="8" t="s">
        <v>148</v>
      </c>
    </row>
    <row r="1564" customFormat="false" ht="15" hidden="false" customHeight="false" outlineLevel="0" collapsed="false">
      <c r="A1564" s="8" t="s">
        <v>3508</v>
      </c>
      <c r="B1564" s="8" t="s">
        <v>3509</v>
      </c>
      <c r="C1564" s="8" t="s">
        <v>8700</v>
      </c>
      <c r="D1564" s="8" t="s">
        <v>123</v>
      </c>
      <c r="E1564" s="8" t="s">
        <v>51</v>
      </c>
      <c r="F1564" s="8" t="s">
        <v>2027</v>
      </c>
      <c r="G1564" s="8" t="s">
        <v>143</v>
      </c>
      <c r="H1564" s="8" t="s">
        <v>8662</v>
      </c>
      <c r="I1564" s="8" t="s">
        <v>8758</v>
      </c>
      <c r="J1564" s="8" t="s">
        <v>144</v>
      </c>
      <c r="K1564" s="8" t="s">
        <v>8664</v>
      </c>
      <c r="L1564" s="8"/>
      <c r="M1564" s="8"/>
      <c r="N1564" s="8" t="n">
        <v>12</v>
      </c>
      <c r="O1564" s="8" t="n">
        <v>21</v>
      </c>
      <c r="P1564" s="8" t="s">
        <v>120</v>
      </c>
    </row>
    <row r="1565" customFormat="false" ht="15" hidden="false" customHeight="false" outlineLevel="0" collapsed="false">
      <c r="A1565" s="8" t="s">
        <v>1463</v>
      </c>
      <c r="B1565" s="8" t="s">
        <v>1464</v>
      </c>
      <c r="C1565" s="8" t="s">
        <v>8669</v>
      </c>
      <c r="D1565" s="8" t="s">
        <v>117</v>
      </c>
      <c r="E1565" s="8" t="s">
        <v>53</v>
      </c>
      <c r="F1565" s="8" t="s">
        <v>326</v>
      </c>
      <c r="G1565" s="8" t="s">
        <v>166</v>
      </c>
      <c r="H1565" s="8" t="s">
        <v>8666</v>
      </c>
      <c r="I1565" s="8" t="s">
        <v>9267</v>
      </c>
      <c r="J1565" s="8" t="s">
        <v>140</v>
      </c>
      <c r="K1565" s="8" t="s">
        <v>8664</v>
      </c>
      <c r="L1565" s="8"/>
      <c r="M1565" s="8"/>
      <c r="N1565" s="8" t="n">
        <v>25</v>
      </c>
      <c r="O1565" s="8" t="n">
        <v>94</v>
      </c>
      <c r="P1565" s="8" t="s">
        <v>120</v>
      </c>
    </row>
    <row r="1566" customFormat="false" ht="15" hidden="false" customHeight="false" outlineLevel="0" collapsed="false">
      <c r="A1566" s="8" t="s">
        <v>10015</v>
      </c>
      <c r="B1566" s="8" t="s">
        <v>10016</v>
      </c>
      <c r="C1566" s="8" t="s">
        <v>8678</v>
      </c>
      <c r="D1566" s="8" t="s">
        <v>132</v>
      </c>
      <c r="E1566" s="8" t="s">
        <v>53</v>
      </c>
      <c r="F1566" s="8" t="s">
        <v>326</v>
      </c>
      <c r="G1566" s="8" t="s">
        <v>151</v>
      </c>
      <c r="H1566" s="8" t="s">
        <v>8675</v>
      </c>
      <c r="I1566" s="8" t="s">
        <v>9598</v>
      </c>
      <c r="J1566" s="8"/>
      <c r="K1566" s="8" t="s">
        <v>8690</v>
      </c>
      <c r="L1566" s="8" t="s">
        <v>8804</v>
      </c>
      <c r="M1566" s="8" t="s">
        <v>8692</v>
      </c>
      <c r="N1566" s="8" t="n">
        <v>25</v>
      </c>
      <c r="O1566" s="8" t="n">
        <v>164</v>
      </c>
      <c r="P1566" s="8" t="s">
        <v>148</v>
      </c>
    </row>
    <row r="1567" customFormat="false" ht="15" hidden="false" customHeight="false" outlineLevel="0" collapsed="false">
      <c r="A1567" s="8" t="s">
        <v>10017</v>
      </c>
      <c r="B1567" s="8" t="s">
        <v>10018</v>
      </c>
      <c r="C1567" s="8" t="s">
        <v>8700</v>
      </c>
      <c r="D1567" s="8" t="s">
        <v>132</v>
      </c>
      <c r="E1567" s="8" t="s">
        <v>53</v>
      </c>
      <c r="F1567" s="8" t="s">
        <v>326</v>
      </c>
      <c r="G1567" s="8" t="s">
        <v>124</v>
      </c>
      <c r="H1567" s="8" t="s">
        <v>8675</v>
      </c>
      <c r="I1567" s="8" t="s">
        <v>9516</v>
      </c>
      <c r="J1567" s="8"/>
      <c r="K1567" s="8" t="s">
        <v>8690</v>
      </c>
      <c r="L1567" s="8" t="s">
        <v>9000</v>
      </c>
      <c r="M1567" s="8" t="s">
        <v>8705</v>
      </c>
      <c r="N1567" s="8" t="n">
        <v>25</v>
      </c>
      <c r="O1567" s="8" t="n">
        <v>89</v>
      </c>
      <c r="P1567" s="8" t="s">
        <v>120</v>
      </c>
    </row>
    <row r="1568" customFormat="false" ht="15" hidden="false" customHeight="false" outlineLevel="0" collapsed="false">
      <c r="A1568" s="8" t="s">
        <v>499</v>
      </c>
      <c r="B1568" s="8" t="s">
        <v>500</v>
      </c>
      <c r="C1568" s="8" t="s">
        <v>8674</v>
      </c>
      <c r="D1568" s="8" t="s">
        <v>117</v>
      </c>
      <c r="E1568" s="8" t="s">
        <v>55</v>
      </c>
      <c r="F1568" s="8" t="s">
        <v>55</v>
      </c>
      <c r="G1568" s="8" t="s">
        <v>190</v>
      </c>
      <c r="H1568" s="8" t="s">
        <v>8666</v>
      </c>
      <c r="I1568" s="8" t="s">
        <v>9226</v>
      </c>
      <c r="J1568" s="8" t="s">
        <v>185</v>
      </c>
      <c r="K1568" s="8" t="s">
        <v>8664</v>
      </c>
      <c r="L1568" s="8"/>
      <c r="M1568" s="8"/>
      <c r="N1568" s="8" t="n">
        <v>45</v>
      </c>
      <c r="O1568" s="8" t="n">
        <v>228</v>
      </c>
      <c r="P1568" s="8" t="s">
        <v>120</v>
      </c>
    </row>
    <row r="1569" customFormat="false" ht="15" hidden="false" customHeight="false" outlineLevel="0" collapsed="false">
      <c r="A1569" s="8" t="s">
        <v>2862</v>
      </c>
      <c r="B1569" s="8" t="s">
        <v>2863</v>
      </c>
      <c r="C1569" s="8" t="s">
        <v>8674</v>
      </c>
      <c r="D1569" s="8" t="s">
        <v>132</v>
      </c>
      <c r="E1569" s="8" t="s">
        <v>51</v>
      </c>
      <c r="F1569" s="8" t="s">
        <v>2027</v>
      </c>
      <c r="G1569" s="8" t="s">
        <v>143</v>
      </c>
      <c r="H1569" s="8" t="s">
        <v>8662</v>
      </c>
      <c r="I1569" s="8" t="s">
        <v>9120</v>
      </c>
      <c r="J1569" s="8" t="s">
        <v>185</v>
      </c>
      <c r="K1569" s="8" t="s">
        <v>8664</v>
      </c>
      <c r="L1569" s="8"/>
      <c r="M1569" s="8"/>
      <c r="N1569" s="8" t="n">
        <v>12</v>
      </c>
      <c r="O1569" s="8" t="n">
        <v>26</v>
      </c>
      <c r="P1569" s="8" t="s">
        <v>120</v>
      </c>
    </row>
    <row r="1570" customFormat="false" ht="15" hidden="false" customHeight="false" outlineLevel="0" collapsed="false">
      <c r="A1570" s="8" t="s">
        <v>4004</v>
      </c>
      <c r="B1570" s="8" t="s">
        <v>4005</v>
      </c>
      <c r="C1570" s="8" t="s">
        <v>8678</v>
      </c>
      <c r="D1570" s="8" t="s">
        <v>123</v>
      </c>
      <c r="E1570" s="8" t="s">
        <v>51</v>
      </c>
      <c r="F1570" s="8" t="s">
        <v>2027</v>
      </c>
      <c r="G1570" s="8" t="s">
        <v>124</v>
      </c>
      <c r="H1570" s="8" t="s">
        <v>8675</v>
      </c>
      <c r="I1570" s="8" t="s">
        <v>9098</v>
      </c>
      <c r="J1570" s="8" t="s">
        <v>159</v>
      </c>
      <c r="K1570" s="8" t="s">
        <v>8664</v>
      </c>
      <c r="L1570" s="8"/>
      <c r="M1570" s="8"/>
      <c r="N1570" s="8" t="n">
        <v>12</v>
      </c>
      <c r="O1570" s="8" t="n">
        <v>7</v>
      </c>
      <c r="P1570" s="8" t="s">
        <v>120</v>
      </c>
    </row>
    <row r="1571" customFormat="false" ht="15" hidden="false" customHeight="false" outlineLevel="0" collapsed="false">
      <c r="A1571" s="8" t="s">
        <v>4006</v>
      </c>
      <c r="B1571" s="8" t="s">
        <v>4007</v>
      </c>
      <c r="C1571" s="8" t="s">
        <v>8674</v>
      </c>
      <c r="D1571" s="8" t="s">
        <v>123</v>
      </c>
      <c r="E1571" s="8" t="s">
        <v>51</v>
      </c>
      <c r="F1571" s="8" t="s">
        <v>2027</v>
      </c>
      <c r="G1571" s="8" t="s">
        <v>136</v>
      </c>
      <c r="H1571" s="8" t="s">
        <v>8666</v>
      </c>
      <c r="I1571" s="8" t="s">
        <v>10019</v>
      </c>
      <c r="J1571" s="8" t="s">
        <v>144</v>
      </c>
      <c r="K1571" s="8" t="s">
        <v>8664</v>
      </c>
      <c r="L1571" s="8"/>
      <c r="M1571" s="8"/>
      <c r="N1571" s="8" t="n">
        <v>12</v>
      </c>
      <c r="O1571" s="8" t="n">
        <v>16</v>
      </c>
      <c r="P1571" s="8" t="s">
        <v>120</v>
      </c>
    </row>
    <row r="1572" customFormat="false" ht="15" hidden="false" customHeight="false" outlineLevel="0" collapsed="false">
      <c r="A1572" s="8" t="s">
        <v>683</v>
      </c>
      <c r="B1572" s="8" t="s">
        <v>684</v>
      </c>
      <c r="C1572" s="8" t="s">
        <v>8661</v>
      </c>
      <c r="D1572" s="8" t="s">
        <v>123</v>
      </c>
      <c r="E1572" s="8" t="s">
        <v>55</v>
      </c>
      <c r="F1572" s="8" t="s">
        <v>55</v>
      </c>
      <c r="G1572" s="8" t="s">
        <v>133</v>
      </c>
      <c r="H1572" s="8" t="s">
        <v>8675</v>
      </c>
      <c r="I1572" s="8" t="s">
        <v>10020</v>
      </c>
      <c r="J1572" s="8" t="s">
        <v>185</v>
      </c>
      <c r="K1572" s="8" t="s">
        <v>8664</v>
      </c>
      <c r="L1572" s="8"/>
      <c r="M1572" s="8"/>
      <c r="N1572" s="8" t="n">
        <v>45</v>
      </c>
      <c r="O1572" s="8" t="n">
        <v>184</v>
      </c>
      <c r="P1572" s="8" t="s">
        <v>120</v>
      </c>
    </row>
    <row r="1573" customFormat="false" ht="15" hidden="false" customHeight="false" outlineLevel="0" collapsed="false">
      <c r="A1573" s="8" t="s">
        <v>4322</v>
      </c>
      <c r="B1573" s="8" t="s">
        <v>4323</v>
      </c>
      <c r="C1573" s="8" t="s">
        <v>8680</v>
      </c>
      <c r="D1573" s="8" t="s">
        <v>132</v>
      </c>
      <c r="E1573" s="8" t="s">
        <v>51</v>
      </c>
      <c r="F1573" s="8" t="s">
        <v>2027</v>
      </c>
      <c r="G1573" s="8" t="s">
        <v>166</v>
      </c>
      <c r="H1573" s="8" t="s">
        <v>8666</v>
      </c>
      <c r="I1573" s="8" t="s">
        <v>9209</v>
      </c>
      <c r="J1573" s="8" t="s">
        <v>185</v>
      </c>
      <c r="K1573" s="8" t="s">
        <v>8664</v>
      </c>
      <c r="L1573" s="8"/>
      <c r="M1573" s="8"/>
      <c r="N1573" s="8" t="n">
        <v>12</v>
      </c>
      <c r="O1573" s="8" t="n">
        <v>6</v>
      </c>
      <c r="P1573" s="8" t="s">
        <v>120</v>
      </c>
    </row>
    <row r="1574" customFormat="false" ht="15" hidden="false" customHeight="false" outlineLevel="0" collapsed="false">
      <c r="A1574" s="8" t="s">
        <v>3000</v>
      </c>
      <c r="B1574" s="8" t="s">
        <v>3001</v>
      </c>
      <c r="C1574" s="8" t="s">
        <v>8700</v>
      </c>
      <c r="D1574" s="8" t="s">
        <v>132</v>
      </c>
      <c r="E1574" s="8" t="s">
        <v>51</v>
      </c>
      <c r="F1574" s="8" t="s">
        <v>2027</v>
      </c>
      <c r="G1574" s="8" t="s">
        <v>151</v>
      </c>
      <c r="H1574" s="8" t="s">
        <v>8670</v>
      </c>
      <c r="I1574" s="8" t="s">
        <v>10021</v>
      </c>
      <c r="J1574" s="8" t="s">
        <v>147</v>
      </c>
      <c r="K1574" s="8" t="s">
        <v>8664</v>
      </c>
      <c r="L1574" s="8"/>
      <c r="M1574" s="8"/>
      <c r="N1574" s="8" t="n">
        <v>12</v>
      </c>
      <c r="O1574" s="8" t="n">
        <v>36</v>
      </c>
      <c r="P1574" s="8" t="s">
        <v>120</v>
      </c>
    </row>
    <row r="1575" customFormat="false" ht="15" hidden="false" customHeight="false" outlineLevel="0" collapsed="false">
      <c r="A1575" s="8" t="s">
        <v>3450</v>
      </c>
      <c r="B1575" s="8" t="s">
        <v>3451</v>
      </c>
      <c r="C1575" s="8" t="s">
        <v>8661</v>
      </c>
      <c r="D1575" s="8" t="s">
        <v>123</v>
      </c>
      <c r="E1575" s="8" t="s">
        <v>51</v>
      </c>
      <c r="F1575" s="8" t="s">
        <v>326</v>
      </c>
      <c r="G1575" s="8" t="s">
        <v>133</v>
      </c>
      <c r="H1575" s="8" t="s">
        <v>8670</v>
      </c>
      <c r="I1575" s="8" t="s">
        <v>8835</v>
      </c>
      <c r="J1575" s="8" t="s">
        <v>147</v>
      </c>
      <c r="K1575" s="8" t="s">
        <v>8664</v>
      </c>
      <c r="L1575" s="8"/>
      <c r="M1575" s="8"/>
      <c r="N1575" s="8" t="n">
        <v>25</v>
      </c>
      <c r="O1575" s="8" t="n">
        <v>11</v>
      </c>
      <c r="P1575" s="8" t="s">
        <v>120</v>
      </c>
    </row>
    <row r="1576" customFormat="false" ht="15" hidden="false" customHeight="false" outlineLevel="0" collapsed="false">
      <c r="A1576" s="8" t="s">
        <v>2646</v>
      </c>
      <c r="B1576" s="8" t="s">
        <v>2647</v>
      </c>
      <c r="C1576" s="8" t="s">
        <v>8700</v>
      </c>
      <c r="D1576" s="8" t="s">
        <v>132</v>
      </c>
      <c r="E1576" s="8" t="s">
        <v>51</v>
      </c>
      <c r="F1576" s="8" t="s">
        <v>326</v>
      </c>
      <c r="G1576" s="8" t="s">
        <v>133</v>
      </c>
      <c r="H1576" s="8" t="s">
        <v>8675</v>
      </c>
      <c r="I1576" s="8" t="s">
        <v>9388</v>
      </c>
      <c r="J1576" s="8" t="s">
        <v>180</v>
      </c>
      <c r="K1576" s="8" t="s">
        <v>8664</v>
      </c>
      <c r="L1576" s="8"/>
      <c r="M1576" s="8"/>
      <c r="N1576" s="8" t="n">
        <v>25</v>
      </c>
      <c r="O1576" s="8" t="n">
        <v>17</v>
      </c>
      <c r="P1576" s="8" t="s">
        <v>120</v>
      </c>
    </row>
    <row r="1577" customFormat="false" ht="15" hidden="false" customHeight="false" outlineLevel="0" collapsed="false">
      <c r="A1577" s="8" t="s">
        <v>4046</v>
      </c>
      <c r="B1577" s="8" t="s">
        <v>4047</v>
      </c>
      <c r="C1577" s="8" t="s">
        <v>8688</v>
      </c>
      <c r="D1577" s="8" t="s">
        <v>123</v>
      </c>
      <c r="E1577" s="8" t="s">
        <v>51</v>
      </c>
      <c r="F1577" s="8" t="s">
        <v>2027</v>
      </c>
      <c r="G1577" s="8" t="s">
        <v>166</v>
      </c>
      <c r="H1577" s="8" t="s">
        <v>8675</v>
      </c>
      <c r="I1577" s="8" t="s">
        <v>9426</v>
      </c>
      <c r="J1577" s="8" t="s">
        <v>140</v>
      </c>
      <c r="K1577" s="8" t="s">
        <v>8664</v>
      </c>
      <c r="L1577" s="8"/>
      <c r="M1577" s="8"/>
      <c r="N1577" s="8" t="n">
        <v>12</v>
      </c>
      <c r="O1577" s="8" t="n">
        <v>9</v>
      </c>
      <c r="P1577" s="8" t="s">
        <v>120</v>
      </c>
    </row>
    <row r="1578" customFormat="false" ht="15" hidden="false" customHeight="false" outlineLevel="0" collapsed="false">
      <c r="A1578" s="8" t="s">
        <v>3230</v>
      </c>
      <c r="B1578" s="8" t="s">
        <v>3231</v>
      </c>
      <c r="C1578" s="8" t="s">
        <v>8680</v>
      </c>
      <c r="D1578" s="8" t="s">
        <v>123</v>
      </c>
      <c r="E1578" s="8" t="s">
        <v>51</v>
      </c>
      <c r="F1578" s="8" t="s">
        <v>2027</v>
      </c>
      <c r="G1578" s="8" t="s">
        <v>223</v>
      </c>
      <c r="H1578" s="8" t="s">
        <v>8670</v>
      </c>
      <c r="I1578" s="8" t="s">
        <v>9648</v>
      </c>
      <c r="J1578" s="8" t="s">
        <v>129</v>
      </c>
      <c r="K1578" s="8" t="s">
        <v>8664</v>
      </c>
      <c r="L1578" s="8"/>
      <c r="M1578" s="8"/>
      <c r="N1578" s="8" t="n">
        <v>12</v>
      </c>
      <c r="O1578" s="8" t="n">
        <v>26</v>
      </c>
      <c r="P1578" s="8" t="s">
        <v>120</v>
      </c>
    </row>
    <row r="1579" customFormat="false" ht="15" hidden="false" customHeight="false" outlineLevel="0" collapsed="false">
      <c r="A1579" s="8" t="s">
        <v>2218</v>
      </c>
      <c r="B1579" s="8" t="s">
        <v>2219</v>
      </c>
      <c r="C1579" s="8" t="s">
        <v>8674</v>
      </c>
      <c r="D1579" s="8" t="s">
        <v>123</v>
      </c>
      <c r="E1579" s="8" t="s">
        <v>51</v>
      </c>
      <c r="F1579" s="8" t="s">
        <v>326</v>
      </c>
      <c r="G1579" s="8" t="s">
        <v>151</v>
      </c>
      <c r="H1579" s="8" t="s">
        <v>8662</v>
      </c>
      <c r="I1579" s="8" t="s">
        <v>10022</v>
      </c>
      <c r="J1579" s="8" t="s">
        <v>147</v>
      </c>
      <c r="K1579" s="8" t="s">
        <v>8664</v>
      </c>
      <c r="L1579" s="8"/>
      <c r="M1579" s="8"/>
      <c r="N1579" s="8" t="n">
        <v>25</v>
      </c>
      <c r="O1579" s="8" t="n">
        <v>24</v>
      </c>
      <c r="P1579" s="8" t="s">
        <v>120</v>
      </c>
    </row>
    <row r="1580" customFormat="false" ht="15" hidden="false" customHeight="false" outlineLevel="0" collapsed="false">
      <c r="A1580" s="8" t="s">
        <v>4122</v>
      </c>
      <c r="B1580" s="8" t="s">
        <v>4123</v>
      </c>
      <c r="C1580" s="8" t="s">
        <v>8669</v>
      </c>
      <c r="D1580" s="8" t="s">
        <v>132</v>
      </c>
      <c r="E1580" s="8" t="s">
        <v>51</v>
      </c>
      <c r="F1580" s="8" t="s">
        <v>2027</v>
      </c>
      <c r="G1580" s="8" t="s">
        <v>118</v>
      </c>
      <c r="H1580" s="8" t="s">
        <v>8666</v>
      </c>
      <c r="I1580" s="8" t="s">
        <v>10023</v>
      </c>
      <c r="J1580" s="8" t="s">
        <v>177</v>
      </c>
      <c r="K1580" s="8" t="s">
        <v>8664</v>
      </c>
      <c r="L1580" s="8"/>
      <c r="M1580" s="8"/>
      <c r="N1580" s="8" t="n">
        <v>12</v>
      </c>
      <c r="O1580" s="8" t="n">
        <v>10</v>
      </c>
      <c r="P1580" s="8" t="s">
        <v>120</v>
      </c>
    </row>
    <row r="1581" customFormat="false" ht="15" hidden="false" customHeight="false" outlineLevel="0" collapsed="false">
      <c r="A1581" s="8" t="s">
        <v>3972</v>
      </c>
      <c r="B1581" s="8" t="s">
        <v>3973</v>
      </c>
      <c r="C1581" s="8" t="s">
        <v>8669</v>
      </c>
      <c r="D1581" s="8" t="s">
        <v>123</v>
      </c>
      <c r="E1581" s="8" t="s">
        <v>51</v>
      </c>
      <c r="F1581" s="8" t="s">
        <v>326</v>
      </c>
      <c r="G1581" s="8" t="s">
        <v>133</v>
      </c>
      <c r="H1581" s="8" t="s">
        <v>8670</v>
      </c>
      <c r="I1581" s="8" t="s">
        <v>9307</v>
      </c>
      <c r="J1581" s="8" t="s">
        <v>125</v>
      </c>
      <c r="K1581" s="8" t="s">
        <v>8664</v>
      </c>
      <c r="L1581" s="8"/>
      <c r="M1581" s="8"/>
      <c r="N1581" s="8" t="n">
        <v>25</v>
      </c>
      <c r="O1581" s="8" t="n">
        <v>8</v>
      </c>
      <c r="P1581" s="8" t="s">
        <v>120</v>
      </c>
    </row>
    <row r="1582" customFormat="false" ht="15" hidden="false" customHeight="false" outlineLevel="0" collapsed="false">
      <c r="A1582" s="8" t="s">
        <v>629</v>
      </c>
      <c r="B1582" s="8" t="s">
        <v>630</v>
      </c>
      <c r="C1582" s="8" t="s">
        <v>8678</v>
      </c>
      <c r="D1582" s="8" t="s">
        <v>123</v>
      </c>
      <c r="E1582" s="8" t="s">
        <v>53</v>
      </c>
      <c r="F1582" s="8" t="s">
        <v>55</v>
      </c>
      <c r="G1582" s="8" t="s">
        <v>143</v>
      </c>
      <c r="H1582" s="8" t="s">
        <v>8666</v>
      </c>
      <c r="I1582" s="8" t="s">
        <v>8982</v>
      </c>
      <c r="J1582" s="8" t="s">
        <v>180</v>
      </c>
      <c r="K1582" s="8" t="s">
        <v>8664</v>
      </c>
      <c r="L1582" s="8"/>
      <c r="M1582" s="8"/>
      <c r="N1582" s="8" t="n">
        <v>45</v>
      </c>
      <c r="O1582" s="8" t="n">
        <v>168</v>
      </c>
      <c r="P1582" s="8" t="s">
        <v>120</v>
      </c>
    </row>
    <row r="1583" customFormat="false" ht="15" hidden="false" customHeight="false" outlineLevel="0" collapsed="false">
      <c r="A1583" s="8" t="s">
        <v>3028</v>
      </c>
      <c r="B1583" s="8" t="s">
        <v>3029</v>
      </c>
      <c r="C1583" s="8" t="s">
        <v>8678</v>
      </c>
      <c r="D1583" s="8" t="s">
        <v>123</v>
      </c>
      <c r="E1583" s="8" t="s">
        <v>51</v>
      </c>
      <c r="F1583" s="8" t="s">
        <v>326</v>
      </c>
      <c r="G1583" s="8" t="s">
        <v>118</v>
      </c>
      <c r="H1583" s="8" t="s">
        <v>8670</v>
      </c>
      <c r="I1583" s="8" t="s">
        <v>10024</v>
      </c>
      <c r="J1583" s="8" t="s">
        <v>137</v>
      </c>
      <c r="K1583" s="8" t="s">
        <v>8664</v>
      </c>
      <c r="L1583" s="8"/>
      <c r="M1583" s="8"/>
      <c r="N1583" s="8" t="n">
        <v>25</v>
      </c>
      <c r="O1583" s="8" t="n">
        <v>14</v>
      </c>
      <c r="P1583" s="8" t="s">
        <v>120</v>
      </c>
    </row>
    <row r="1584" customFormat="false" ht="15" hidden="false" customHeight="false" outlineLevel="0" collapsed="false">
      <c r="A1584" s="8" t="s">
        <v>893</v>
      </c>
      <c r="B1584" s="8" t="s">
        <v>894</v>
      </c>
      <c r="C1584" s="8" t="s">
        <v>8674</v>
      </c>
      <c r="D1584" s="8" t="s">
        <v>117</v>
      </c>
      <c r="E1584" s="8" t="s">
        <v>53</v>
      </c>
      <c r="F1584" s="8" t="s">
        <v>326</v>
      </c>
      <c r="G1584" s="8" t="s">
        <v>118</v>
      </c>
      <c r="H1584" s="8" t="s">
        <v>8666</v>
      </c>
      <c r="I1584" s="8" t="s">
        <v>9295</v>
      </c>
      <c r="J1584" s="8" t="s">
        <v>180</v>
      </c>
      <c r="K1584" s="8" t="s">
        <v>8664</v>
      </c>
      <c r="L1584" s="8"/>
      <c r="M1584" s="8"/>
      <c r="N1584" s="8" t="n">
        <v>25</v>
      </c>
      <c r="O1584" s="8" t="n">
        <v>182</v>
      </c>
      <c r="P1584" s="8" t="s">
        <v>120</v>
      </c>
    </row>
    <row r="1585" customFormat="false" ht="15" hidden="false" customHeight="false" outlineLevel="0" collapsed="false">
      <c r="A1585" s="8" t="s">
        <v>234</v>
      </c>
      <c r="B1585" s="8" t="s">
        <v>235</v>
      </c>
      <c r="C1585" s="8" t="s">
        <v>8665</v>
      </c>
      <c r="D1585" s="8" t="s">
        <v>123</v>
      </c>
      <c r="E1585" s="8" t="s">
        <v>55</v>
      </c>
      <c r="F1585" s="8" t="s">
        <v>55</v>
      </c>
      <c r="G1585" s="8" t="s">
        <v>124</v>
      </c>
      <c r="H1585" s="8" t="s">
        <v>8675</v>
      </c>
      <c r="I1585" s="8" t="s">
        <v>9922</v>
      </c>
      <c r="J1585" s="8" t="s">
        <v>185</v>
      </c>
      <c r="K1585" s="8" t="s">
        <v>8664</v>
      </c>
      <c r="L1585" s="8"/>
      <c r="M1585" s="8"/>
      <c r="N1585" s="8" t="n">
        <v>45</v>
      </c>
      <c r="O1585" s="8" t="n">
        <v>513</v>
      </c>
      <c r="P1585" s="8" t="s">
        <v>120</v>
      </c>
    </row>
    <row r="1586" customFormat="false" ht="15" hidden="false" customHeight="false" outlineLevel="0" collapsed="false">
      <c r="A1586" s="8" t="s">
        <v>2272</v>
      </c>
      <c r="B1586" s="8" t="s">
        <v>2273</v>
      </c>
      <c r="C1586" s="8" t="s">
        <v>8661</v>
      </c>
      <c r="D1586" s="8" t="s">
        <v>132</v>
      </c>
      <c r="E1586" s="8" t="s">
        <v>51</v>
      </c>
      <c r="F1586" s="8" t="s">
        <v>2027</v>
      </c>
      <c r="G1586" s="8" t="s">
        <v>166</v>
      </c>
      <c r="H1586" s="8" t="s">
        <v>8666</v>
      </c>
      <c r="I1586" s="8" t="s">
        <v>9938</v>
      </c>
      <c r="J1586" s="8" t="s">
        <v>125</v>
      </c>
      <c r="K1586" s="8" t="s">
        <v>8664</v>
      </c>
      <c r="L1586" s="8"/>
      <c r="M1586" s="8"/>
      <c r="N1586" s="8" t="n">
        <v>12</v>
      </c>
      <c r="O1586" s="8" t="n">
        <v>27</v>
      </c>
      <c r="P1586" s="8" t="s">
        <v>120</v>
      </c>
    </row>
    <row r="1587" customFormat="false" ht="15" hidden="false" customHeight="false" outlineLevel="0" collapsed="false">
      <c r="A1587" s="8" t="s">
        <v>1615</v>
      </c>
      <c r="B1587" s="8" t="s">
        <v>1616</v>
      </c>
      <c r="C1587" s="8" t="s">
        <v>8665</v>
      </c>
      <c r="D1587" s="8" t="s">
        <v>123</v>
      </c>
      <c r="E1587" s="8" t="s">
        <v>53</v>
      </c>
      <c r="F1587" s="8" t="s">
        <v>326</v>
      </c>
      <c r="G1587" s="8" t="s">
        <v>133</v>
      </c>
      <c r="H1587" s="8" t="s">
        <v>8662</v>
      </c>
      <c r="I1587" s="8" t="s">
        <v>9115</v>
      </c>
      <c r="J1587" s="8" t="s">
        <v>180</v>
      </c>
      <c r="K1587" s="8" t="s">
        <v>8664</v>
      </c>
      <c r="L1587" s="8"/>
      <c r="M1587" s="8"/>
      <c r="N1587" s="8" t="n">
        <v>25</v>
      </c>
      <c r="O1587" s="8" t="n">
        <v>70</v>
      </c>
      <c r="P1587" s="8" t="s">
        <v>148</v>
      </c>
    </row>
    <row r="1588" customFormat="false" ht="15" hidden="false" customHeight="false" outlineLevel="0" collapsed="false">
      <c r="A1588" s="8" t="s">
        <v>4246</v>
      </c>
      <c r="B1588" s="8" t="s">
        <v>4247</v>
      </c>
      <c r="C1588" s="8" t="s">
        <v>8661</v>
      </c>
      <c r="D1588" s="8" t="s">
        <v>117</v>
      </c>
      <c r="E1588" s="8" t="s">
        <v>51</v>
      </c>
      <c r="F1588" s="8" t="s">
        <v>2027</v>
      </c>
      <c r="G1588" s="8" t="s">
        <v>154</v>
      </c>
      <c r="H1588" s="8" t="s">
        <v>8662</v>
      </c>
      <c r="I1588" s="8" t="s">
        <v>9891</v>
      </c>
      <c r="J1588" s="8" t="s">
        <v>137</v>
      </c>
      <c r="K1588" s="8" t="s">
        <v>8664</v>
      </c>
      <c r="L1588" s="8"/>
      <c r="M1588" s="8"/>
      <c r="N1588" s="8" t="n">
        <v>12</v>
      </c>
      <c r="O1588" s="8" t="n">
        <v>10</v>
      </c>
      <c r="P1588" s="8" t="s">
        <v>120</v>
      </c>
    </row>
    <row r="1589" customFormat="false" ht="15" hidden="false" customHeight="false" outlineLevel="0" collapsed="false">
      <c r="A1589" s="8" t="s">
        <v>10025</v>
      </c>
      <c r="B1589" s="8" t="s">
        <v>10026</v>
      </c>
      <c r="C1589" s="8" t="s">
        <v>8678</v>
      </c>
      <c r="D1589" s="8" t="s">
        <v>123</v>
      </c>
      <c r="E1589" s="8" t="s">
        <v>51</v>
      </c>
      <c r="F1589" s="8" t="s">
        <v>2027</v>
      </c>
      <c r="G1589" s="8" t="s">
        <v>124</v>
      </c>
      <c r="H1589" s="8" t="s">
        <v>8666</v>
      </c>
      <c r="I1589" s="8" t="s">
        <v>9271</v>
      </c>
      <c r="J1589" s="8"/>
      <c r="K1589" s="8" t="s">
        <v>8690</v>
      </c>
      <c r="L1589" s="8" t="s">
        <v>9720</v>
      </c>
      <c r="M1589" s="8" t="s">
        <v>8795</v>
      </c>
      <c r="N1589" s="8" t="n">
        <v>12</v>
      </c>
      <c r="O1589" s="8" t="n">
        <v>33</v>
      </c>
      <c r="P1589" s="8" t="s">
        <v>120</v>
      </c>
    </row>
    <row r="1590" customFormat="false" ht="15" hidden="false" customHeight="false" outlineLevel="0" collapsed="false">
      <c r="A1590" s="8" t="s">
        <v>3368</v>
      </c>
      <c r="B1590" s="8" t="s">
        <v>3369</v>
      </c>
      <c r="C1590" s="8" t="s">
        <v>8674</v>
      </c>
      <c r="D1590" s="8" t="s">
        <v>128</v>
      </c>
      <c r="E1590" s="8" t="s">
        <v>51</v>
      </c>
      <c r="F1590" s="8" t="s">
        <v>2027</v>
      </c>
      <c r="G1590" s="8" t="s">
        <v>118</v>
      </c>
      <c r="H1590" s="8" t="s">
        <v>8675</v>
      </c>
      <c r="I1590" s="8" t="s">
        <v>9487</v>
      </c>
      <c r="J1590" s="8" t="s">
        <v>180</v>
      </c>
      <c r="K1590" s="8" t="s">
        <v>8664</v>
      </c>
      <c r="L1590" s="8"/>
      <c r="M1590" s="8"/>
      <c r="N1590" s="8" t="n">
        <v>12</v>
      </c>
      <c r="O1590" s="8" t="n">
        <v>24</v>
      </c>
      <c r="P1590" s="8" t="s">
        <v>120</v>
      </c>
    </row>
    <row r="1591" customFormat="false" ht="15" hidden="false" customHeight="false" outlineLevel="0" collapsed="false">
      <c r="A1591" s="8" t="s">
        <v>2388</v>
      </c>
      <c r="B1591" s="8" t="s">
        <v>2389</v>
      </c>
      <c r="C1591" s="8" t="s">
        <v>8661</v>
      </c>
      <c r="D1591" s="8" t="s">
        <v>132</v>
      </c>
      <c r="E1591" s="8" t="s">
        <v>51</v>
      </c>
      <c r="F1591" s="8" t="s">
        <v>326</v>
      </c>
      <c r="G1591" s="8" t="s">
        <v>151</v>
      </c>
      <c r="H1591" s="8" t="s">
        <v>8670</v>
      </c>
      <c r="I1591" s="8" t="s">
        <v>9477</v>
      </c>
      <c r="J1591" s="8" t="s">
        <v>177</v>
      </c>
      <c r="K1591" s="8" t="s">
        <v>8664</v>
      </c>
      <c r="L1591" s="8"/>
      <c r="M1591" s="8"/>
      <c r="N1591" s="8" t="n">
        <v>25</v>
      </c>
      <c r="O1591" s="8" t="n">
        <v>17</v>
      </c>
      <c r="P1591" s="8" t="s">
        <v>120</v>
      </c>
    </row>
    <row r="1592" customFormat="false" ht="15" hidden="false" customHeight="false" outlineLevel="0" collapsed="false">
      <c r="A1592" s="8" t="s">
        <v>3734</v>
      </c>
      <c r="B1592" s="8" t="s">
        <v>3735</v>
      </c>
      <c r="C1592" s="8" t="s">
        <v>8674</v>
      </c>
      <c r="D1592" s="8" t="s">
        <v>123</v>
      </c>
      <c r="E1592" s="8" t="s">
        <v>51</v>
      </c>
      <c r="F1592" s="8" t="s">
        <v>326</v>
      </c>
      <c r="G1592" s="8" t="s">
        <v>124</v>
      </c>
      <c r="H1592" s="8" t="s">
        <v>8662</v>
      </c>
      <c r="I1592" s="8" t="s">
        <v>9325</v>
      </c>
      <c r="J1592" s="8" t="s">
        <v>177</v>
      </c>
      <c r="K1592" s="8" t="s">
        <v>8664</v>
      </c>
      <c r="L1592" s="8"/>
      <c r="M1592" s="8"/>
      <c r="N1592" s="8" t="n">
        <v>25</v>
      </c>
      <c r="O1592" s="8" t="n">
        <v>8</v>
      </c>
      <c r="P1592" s="8" t="s">
        <v>120</v>
      </c>
    </row>
    <row r="1593" customFormat="false" ht="15" hidden="false" customHeight="false" outlineLevel="0" collapsed="false">
      <c r="A1593" s="8" t="s">
        <v>10027</v>
      </c>
      <c r="B1593" s="8" t="s">
        <v>10028</v>
      </c>
      <c r="C1593" s="8" t="s">
        <v>8680</v>
      </c>
      <c r="D1593" s="8" t="s">
        <v>123</v>
      </c>
      <c r="E1593" s="8" t="s">
        <v>53</v>
      </c>
      <c r="F1593" s="8" t="s">
        <v>55</v>
      </c>
      <c r="G1593" s="8" t="s">
        <v>133</v>
      </c>
      <c r="H1593" s="8" t="s">
        <v>8675</v>
      </c>
      <c r="I1593" s="8" t="s">
        <v>10029</v>
      </c>
      <c r="J1593" s="8"/>
      <c r="K1593" s="8" t="s">
        <v>8690</v>
      </c>
      <c r="L1593" s="8" t="s">
        <v>9064</v>
      </c>
      <c r="M1593" s="8" t="s">
        <v>8692</v>
      </c>
      <c r="N1593" s="8" t="n">
        <v>45</v>
      </c>
      <c r="O1593" s="8" t="n">
        <v>153</v>
      </c>
      <c r="P1593" s="8" t="s">
        <v>148</v>
      </c>
    </row>
    <row r="1594" customFormat="false" ht="15" hidden="false" customHeight="false" outlineLevel="0" collapsed="false">
      <c r="A1594" s="8" t="s">
        <v>2648</v>
      </c>
      <c r="B1594" s="8" t="s">
        <v>2649</v>
      </c>
      <c r="C1594" s="8" t="s">
        <v>8661</v>
      </c>
      <c r="D1594" s="8" t="s">
        <v>117</v>
      </c>
      <c r="E1594" s="8" t="s">
        <v>51</v>
      </c>
      <c r="F1594" s="8" t="s">
        <v>326</v>
      </c>
      <c r="G1594" s="8" t="s">
        <v>136</v>
      </c>
      <c r="H1594" s="8" t="s">
        <v>8670</v>
      </c>
      <c r="I1594" s="8" t="s">
        <v>9355</v>
      </c>
      <c r="J1594" s="8" t="s">
        <v>204</v>
      </c>
      <c r="K1594" s="8" t="s">
        <v>8664</v>
      </c>
      <c r="L1594" s="8"/>
      <c r="M1594" s="8"/>
      <c r="N1594" s="8" t="n">
        <v>25</v>
      </c>
      <c r="O1594" s="8" t="n">
        <v>17</v>
      </c>
      <c r="P1594" s="8" t="s">
        <v>120</v>
      </c>
    </row>
    <row r="1595" customFormat="false" ht="15" hidden="false" customHeight="false" outlineLevel="0" collapsed="false">
      <c r="A1595" s="8" t="s">
        <v>3232</v>
      </c>
      <c r="B1595" s="8" t="s">
        <v>3233</v>
      </c>
      <c r="C1595" s="8" t="s">
        <v>8669</v>
      </c>
      <c r="D1595" s="8" t="s">
        <v>132</v>
      </c>
      <c r="E1595" s="8" t="s">
        <v>51</v>
      </c>
      <c r="F1595" s="8" t="s">
        <v>2027</v>
      </c>
      <c r="G1595" s="8" t="s">
        <v>154</v>
      </c>
      <c r="H1595" s="8" t="s">
        <v>8675</v>
      </c>
      <c r="I1595" s="8" t="s">
        <v>10030</v>
      </c>
      <c r="J1595" s="8" t="s">
        <v>159</v>
      </c>
      <c r="K1595" s="8" t="s">
        <v>8664</v>
      </c>
      <c r="L1595" s="8"/>
      <c r="M1595" s="8"/>
      <c r="N1595" s="8" t="n">
        <v>12</v>
      </c>
      <c r="O1595" s="8" t="n">
        <v>21</v>
      </c>
      <c r="P1595" s="8" t="s">
        <v>120</v>
      </c>
    </row>
    <row r="1596" customFormat="false" ht="15" hidden="false" customHeight="false" outlineLevel="0" collapsed="false">
      <c r="A1596" s="8" t="s">
        <v>2242</v>
      </c>
      <c r="B1596" s="8" t="s">
        <v>2243</v>
      </c>
      <c r="C1596" s="8" t="s">
        <v>8665</v>
      </c>
      <c r="D1596" s="8" t="s">
        <v>123</v>
      </c>
      <c r="E1596" s="8" t="s">
        <v>51</v>
      </c>
      <c r="F1596" s="8" t="s">
        <v>2027</v>
      </c>
      <c r="G1596" s="8" t="s">
        <v>118</v>
      </c>
      <c r="H1596" s="8" t="s">
        <v>8662</v>
      </c>
      <c r="I1596" s="8" t="s">
        <v>9240</v>
      </c>
      <c r="J1596" s="8" t="s">
        <v>177</v>
      </c>
      <c r="K1596" s="8" t="s">
        <v>8664</v>
      </c>
      <c r="L1596" s="8"/>
      <c r="M1596" s="8"/>
      <c r="N1596" s="8" t="n">
        <v>12</v>
      </c>
      <c r="O1596" s="8" t="n">
        <v>38</v>
      </c>
      <c r="P1596" s="8" t="s">
        <v>120</v>
      </c>
    </row>
    <row r="1597" customFormat="false" ht="15" hidden="false" customHeight="false" outlineLevel="0" collapsed="false">
      <c r="A1597" s="8" t="s">
        <v>899</v>
      </c>
      <c r="B1597" s="8" t="s">
        <v>900</v>
      </c>
      <c r="C1597" s="8" t="s">
        <v>8669</v>
      </c>
      <c r="D1597" s="8" t="s">
        <v>132</v>
      </c>
      <c r="E1597" s="8" t="s">
        <v>53</v>
      </c>
      <c r="F1597" s="8" t="s">
        <v>326</v>
      </c>
      <c r="G1597" s="8" t="s">
        <v>143</v>
      </c>
      <c r="H1597" s="8" t="s">
        <v>8666</v>
      </c>
      <c r="I1597" s="8" t="s">
        <v>8846</v>
      </c>
      <c r="J1597" s="8" t="s">
        <v>125</v>
      </c>
      <c r="K1597" s="8" t="s">
        <v>8664</v>
      </c>
      <c r="L1597" s="8"/>
      <c r="M1597" s="8"/>
      <c r="N1597" s="8" t="n">
        <v>25</v>
      </c>
      <c r="O1597" s="8" t="n">
        <v>181</v>
      </c>
      <c r="P1597" s="8" t="s">
        <v>120</v>
      </c>
    </row>
    <row r="1598" customFormat="false" ht="15" hidden="false" customHeight="false" outlineLevel="0" collapsed="false">
      <c r="A1598" s="8" t="s">
        <v>1991</v>
      </c>
      <c r="B1598" s="8" t="s">
        <v>1992</v>
      </c>
      <c r="C1598" s="8" t="s">
        <v>8700</v>
      </c>
      <c r="D1598" s="8" t="s">
        <v>132</v>
      </c>
      <c r="E1598" s="8" t="s">
        <v>51</v>
      </c>
      <c r="F1598" s="8" t="s">
        <v>326</v>
      </c>
      <c r="G1598" s="8" t="s">
        <v>136</v>
      </c>
      <c r="H1598" s="8" t="s">
        <v>8675</v>
      </c>
      <c r="I1598" s="8" t="s">
        <v>8889</v>
      </c>
      <c r="J1598" s="8" t="s">
        <v>177</v>
      </c>
      <c r="K1598" s="8" t="s">
        <v>8664</v>
      </c>
      <c r="L1598" s="8"/>
      <c r="M1598" s="8"/>
      <c r="N1598" s="8" t="n">
        <v>25</v>
      </c>
      <c r="O1598" s="8" t="n">
        <v>32</v>
      </c>
      <c r="P1598" s="8" t="s">
        <v>120</v>
      </c>
    </row>
    <row r="1599" customFormat="false" ht="15" hidden="false" customHeight="false" outlineLevel="0" collapsed="false">
      <c r="A1599" s="8" t="s">
        <v>3132</v>
      </c>
      <c r="B1599" s="8" t="s">
        <v>3133</v>
      </c>
      <c r="C1599" s="8" t="s">
        <v>8678</v>
      </c>
      <c r="D1599" s="8" t="s">
        <v>128</v>
      </c>
      <c r="E1599" s="8" t="s">
        <v>51</v>
      </c>
      <c r="F1599" s="8" t="s">
        <v>326</v>
      </c>
      <c r="G1599" s="8" t="s">
        <v>143</v>
      </c>
      <c r="H1599" s="8" t="s">
        <v>8670</v>
      </c>
      <c r="I1599" s="8" t="s">
        <v>9836</v>
      </c>
      <c r="J1599" s="8" t="s">
        <v>180</v>
      </c>
      <c r="K1599" s="8" t="s">
        <v>8664</v>
      </c>
      <c r="L1599" s="8"/>
      <c r="M1599" s="8"/>
      <c r="N1599" s="8" t="n">
        <v>25</v>
      </c>
      <c r="O1599" s="8" t="n">
        <v>13</v>
      </c>
      <c r="P1599" s="8" t="s">
        <v>120</v>
      </c>
    </row>
    <row r="1600" customFormat="false" ht="15" hidden="false" customHeight="false" outlineLevel="0" collapsed="false">
      <c r="A1600" s="8" t="s">
        <v>10031</v>
      </c>
      <c r="B1600" s="8" t="s">
        <v>10032</v>
      </c>
      <c r="C1600" s="8" t="s">
        <v>8674</v>
      </c>
      <c r="D1600" s="8" t="s">
        <v>117</v>
      </c>
      <c r="E1600" s="8" t="s">
        <v>51</v>
      </c>
      <c r="F1600" s="8" t="s">
        <v>2027</v>
      </c>
      <c r="G1600" s="8" t="s">
        <v>118</v>
      </c>
      <c r="H1600" s="8" t="s">
        <v>8666</v>
      </c>
      <c r="I1600" s="8" t="s">
        <v>9686</v>
      </c>
      <c r="J1600" s="8"/>
      <c r="K1600" s="8" t="s">
        <v>8690</v>
      </c>
      <c r="L1600" s="8" t="s">
        <v>9496</v>
      </c>
      <c r="M1600" s="8" t="s">
        <v>8705</v>
      </c>
      <c r="N1600" s="8" t="n">
        <v>12</v>
      </c>
      <c r="O1600" s="8" t="n">
        <v>26</v>
      </c>
      <c r="P1600" s="8" t="s">
        <v>120</v>
      </c>
    </row>
    <row r="1601" customFormat="false" ht="15" hidden="false" customHeight="false" outlineLevel="0" collapsed="false">
      <c r="A1601" s="8" t="s">
        <v>2800</v>
      </c>
      <c r="B1601" s="8" t="s">
        <v>2801</v>
      </c>
      <c r="C1601" s="8" t="s">
        <v>8688</v>
      </c>
      <c r="D1601" s="8" t="s">
        <v>117</v>
      </c>
      <c r="E1601" s="8" t="s">
        <v>51</v>
      </c>
      <c r="F1601" s="8" t="s">
        <v>326</v>
      </c>
      <c r="G1601" s="8" t="s">
        <v>124</v>
      </c>
      <c r="H1601" s="8" t="s">
        <v>8675</v>
      </c>
      <c r="I1601" s="8" t="s">
        <v>9165</v>
      </c>
      <c r="J1601" s="8" t="s">
        <v>140</v>
      </c>
      <c r="K1601" s="8" t="s">
        <v>8664</v>
      </c>
      <c r="L1601" s="8"/>
      <c r="M1601" s="8"/>
      <c r="N1601" s="8" t="n">
        <v>25</v>
      </c>
      <c r="O1601" s="8" t="n">
        <v>13</v>
      </c>
      <c r="P1601" s="8" t="s">
        <v>120</v>
      </c>
    </row>
    <row r="1602" customFormat="false" ht="15" hidden="false" customHeight="false" outlineLevel="0" collapsed="false">
      <c r="A1602" s="8" t="s">
        <v>2864</v>
      </c>
      <c r="B1602" s="8" t="s">
        <v>2865</v>
      </c>
      <c r="C1602" s="8" t="s">
        <v>8669</v>
      </c>
      <c r="D1602" s="8" t="s">
        <v>123</v>
      </c>
      <c r="E1602" s="8" t="s">
        <v>51</v>
      </c>
      <c r="F1602" s="8" t="s">
        <v>2027</v>
      </c>
      <c r="G1602" s="8" t="s">
        <v>133</v>
      </c>
      <c r="H1602" s="8" t="s">
        <v>8670</v>
      </c>
      <c r="I1602" s="8" t="s">
        <v>10033</v>
      </c>
      <c r="J1602" s="8" t="s">
        <v>129</v>
      </c>
      <c r="K1602" s="8" t="s">
        <v>8664</v>
      </c>
      <c r="L1602" s="8"/>
      <c r="M1602" s="8"/>
      <c r="N1602" s="8" t="n">
        <v>12</v>
      </c>
      <c r="O1602" s="8" t="n">
        <v>32</v>
      </c>
      <c r="P1602" s="8" t="s">
        <v>120</v>
      </c>
    </row>
    <row r="1603" customFormat="false" ht="15" hidden="false" customHeight="false" outlineLevel="0" collapsed="false">
      <c r="A1603" s="8" t="s">
        <v>2278</v>
      </c>
      <c r="B1603" s="8" t="s">
        <v>2279</v>
      </c>
      <c r="C1603" s="8" t="s">
        <v>8669</v>
      </c>
      <c r="D1603" s="8" t="s">
        <v>123</v>
      </c>
      <c r="E1603" s="8" t="s">
        <v>51</v>
      </c>
      <c r="F1603" s="8" t="s">
        <v>2027</v>
      </c>
      <c r="G1603" s="8" t="s">
        <v>223</v>
      </c>
      <c r="H1603" s="8" t="s">
        <v>8670</v>
      </c>
      <c r="I1603" s="8" t="s">
        <v>9670</v>
      </c>
      <c r="J1603" s="8" t="s">
        <v>204</v>
      </c>
      <c r="K1603" s="8" t="s">
        <v>8664</v>
      </c>
      <c r="L1603" s="8"/>
      <c r="M1603" s="8"/>
      <c r="N1603" s="8" t="n">
        <v>12</v>
      </c>
      <c r="O1603" s="8" t="n">
        <v>34</v>
      </c>
      <c r="P1603" s="8" t="s">
        <v>120</v>
      </c>
    </row>
    <row r="1604" customFormat="false" ht="15" hidden="false" customHeight="false" outlineLevel="0" collapsed="false">
      <c r="A1604" s="8" t="s">
        <v>1509</v>
      </c>
      <c r="B1604" s="8" t="s">
        <v>1510</v>
      </c>
      <c r="C1604" s="8" t="s">
        <v>8669</v>
      </c>
      <c r="D1604" s="8" t="s">
        <v>132</v>
      </c>
      <c r="E1604" s="8" t="s">
        <v>53</v>
      </c>
      <c r="F1604" s="8" t="s">
        <v>55</v>
      </c>
      <c r="G1604" s="8" t="s">
        <v>166</v>
      </c>
      <c r="H1604" s="8" t="s">
        <v>8662</v>
      </c>
      <c r="I1604" s="8" t="s">
        <v>9117</v>
      </c>
      <c r="J1604" s="8" t="s">
        <v>137</v>
      </c>
      <c r="K1604" s="8" t="s">
        <v>8664</v>
      </c>
      <c r="L1604" s="8"/>
      <c r="M1604" s="8"/>
      <c r="N1604" s="8" t="n">
        <v>45</v>
      </c>
      <c r="O1604" s="8" t="n">
        <v>50</v>
      </c>
      <c r="P1604" s="8" t="s">
        <v>120</v>
      </c>
    </row>
    <row r="1605" customFormat="false" ht="15" hidden="false" customHeight="false" outlineLevel="0" collapsed="false">
      <c r="A1605" s="8" t="s">
        <v>3842</v>
      </c>
      <c r="B1605" s="8" t="s">
        <v>3843</v>
      </c>
      <c r="C1605" s="8" t="s">
        <v>8688</v>
      </c>
      <c r="D1605" s="8" t="s">
        <v>123</v>
      </c>
      <c r="E1605" s="8" t="s">
        <v>51</v>
      </c>
      <c r="F1605" s="8" t="s">
        <v>326</v>
      </c>
      <c r="G1605" s="8" t="s">
        <v>166</v>
      </c>
      <c r="H1605" s="8" t="s">
        <v>8670</v>
      </c>
      <c r="I1605" s="8" t="s">
        <v>9434</v>
      </c>
      <c r="J1605" s="8" t="s">
        <v>144</v>
      </c>
      <c r="K1605" s="8" t="s">
        <v>8664</v>
      </c>
      <c r="L1605" s="8"/>
      <c r="M1605" s="8"/>
      <c r="N1605" s="8" t="n">
        <v>25</v>
      </c>
      <c r="O1605" s="8" t="n">
        <v>5</v>
      </c>
      <c r="P1605" s="8" t="s">
        <v>120</v>
      </c>
    </row>
    <row r="1606" customFormat="false" ht="15" hidden="false" customHeight="false" outlineLevel="0" collapsed="false">
      <c r="A1606" s="8" t="s">
        <v>10034</v>
      </c>
      <c r="B1606" s="8" t="s">
        <v>10035</v>
      </c>
      <c r="C1606" s="8" t="s">
        <v>8678</v>
      </c>
      <c r="D1606" s="8" t="s">
        <v>123</v>
      </c>
      <c r="E1606" s="8" t="s">
        <v>51</v>
      </c>
      <c r="F1606" s="8" t="s">
        <v>2027</v>
      </c>
      <c r="G1606" s="8" t="s">
        <v>166</v>
      </c>
      <c r="H1606" s="8" t="s">
        <v>8666</v>
      </c>
      <c r="I1606" s="8" t="s">
        <v>8707</v>
      </c>
      <c r="J1606" s="8"/>
      <c r="K1606" s="8" t="s">
        <v>8690</v>
      </c>
      <c r="L1606" s="8" t="s">
        <v>9226</v>
      </c>
      <c r="M1606" s="8" t="s">
        <v>8692</v>
      </c>
      <c r="N1606" s="8" t="n">
        <v>12</v>
      </c>
      <c r="O1606" s="8" t="n">
        <v>39</v>
      </c>
      <c r="P1606" s="8" t="s">
        <v>120</v>
      </c>
    </row>
    <row r="1607" customFormat="false" ht="15" hidden="false" customHeight="false" outlineLevel="0" collapsed="false">
      <c r="A1607" s="8" t="s">
        <v>3072</v>
      </c>
      <c r="B1607" s="8" t="s">
        <v>3073</v>
      </c>
      <c r="C1607" s="8" t="s">
        <v>8678</v>
      </c>
      <c r="D1607" s="8" t="s">
        <v>117</v>
      </c>
      <c r="E1607" s="8" t="s">
        <v>51</v>
      </c>
      <c r="F1607" s="8" t="s">
        <v>2027</v>
      </c>
      <c r="G1607" s="8" t="s">
        <v>118</v>
      </c>
      <c r="H1607" s="8" t="s">
        <v>8670</v>
      </c>
      <c r="I1607" s="8" t="s">
        <v>9999</v>
      </c>
      <c r="J1607" s="8" t="s">
        <v>125</v>
      </c>
      <c r="K1607" s="8" t="s">
        <v>8664</v>
      </c>
      <c r="L1607" s="8"/>
      <c r="M1607" s="8"/>
      <c r="N1607" s="8" t="n">
        <v>12</v>
      </c>
      <c r="O1607" s="8" t="n">
        <v>23</v>
      </c>
      <c r="P1607" s="8" t="s">
        <v>120</v>
      </c>
    </row>
    <row r="1608" customFormat="false" ht="15" hidden="false" customHeight="false" outlineLevel="0" collapsed="false">
      <c r="A1608" s="8" t="s">
        <v>1391</v>
      </c>
      <c r="B1608" s="8" t="s">
        <v>1392</v>
      </c>
      <c r="C1608" s="8" t="s">
        <v>8680</v>
      </c>
      <c r="D1608" s="8" t="s">
        <v>132</v>
      </c>
      <c r="E1608" s="8" t="s">
        <v>53</v>
      </c>
      <c r="F1608" s="8" t="s">
        <v>326</v>
      </c>
      <c r="G1608" s="8" t="s">
        <v>136</v>
      </c>
      <c r="H1608" s="8" t="s">
        <v>8675</v>
      </c>
      <c r="I1608" s="8" t="s">
        <v>9360</v>
      </c>
      <c r="J1608" s="8" t="s">
        <v>204</v>
      </c>
      <c r="K1608" s="8" t="s">
        <v>8664</v>
      </c>
      <c r="L1608" s="8"/>
      <c r="M1608" s="8"/>
      <c r="N1608" s="8" t="n">
        <v>25</v>
      </c>
      <c r="O1608" s="8" t="n">
        <v>129</v>
      </c>
      <c r="P1608" s="8" t="s">
        <v>120</v>
      </c>
    </row>
    <row r="1609" customFormat="false" ht="15" hidden="false" customHeight="false" outlineLevel="0" collapsed="false">
      <c r="A1609" s="8" t="s">
        <v>4506</v>
      </c>
      <c r="B1609" s="8" t="s">
        <v>10036</v>
      </c>
      <c r="C1609" s="8" t="s">
        <v>8674</v>
      </c>
      <c r="D1609" s="8" t="s">
        <v>123</v>
      </c>
      <c r="E1609" s="8" t="s">
        <v>51</v>
      </c>
      <c r="F1609" s="8" t="s">
        <v>326</v>
      </c>
      <c r="G1609" s="8" t="s">
        <v>133</v>
      </c>
      <c r="H1609" s="8" t="s">
        <v>8675</v>
      </c>
      <c r="I1609" s="8" t="s">
        <v>9792</v>
      </c>
      <c r="J1609" s="8"/>
      <c r="K1609" s="8" t="s">
        <v>8690</v>
      </c>
      <c r="L1609" s="8" t="s">
        <v>9925</v>
      </c>
      <c r="M1609" s="8" t="s">
        <v>8721</v>
      </c>
      <c r="N1609" s="8" t="n">
        <v>25</v>
      </c>
      <c r="O1609" s="8" t="n">
        <v>18</v>
      </c>
      <c r="P1609" s="8" t="s">
        <v>120</v>
      </c>
    </row>
    <row r="1610" customFormat="false" ht="15" hidden="false" customHeight="false" outlineLevel="0" collapsed="false">
      <c r="A1610" s="8" t="s">
        <v>2244</v>
      </c>
      <c r="B1610" s="8" t="s">
        <v>2245</v>
      </c>
      <c r="C1610" s="8" t="s">
        <v>8661</v>
      </c>
      <c r="D1610" s="8" t="s">
        <v>132</v>
      </c>
      <c r="E1610" s="8" t="s">
        <v>51</v>
      </c>
      <c r="F1610" s="8" t="s">
        <v>2027</v>
      </c>
      <c r="G1610" s="8" t="s">
        <v>136</v>
      </c>
      <c r="H1610" s="8" t="s">
        <v>8675</v>
      </c>
      <c r="I1610" s="8" t="s">
        <v>9323</v>
      </c>
      <c r="J1610" s="8" t="s">
        <v>125</v>
      </c>
      <c r="K1610" s="8" t="s">
        <v>8664</v>
      </c>
      <c r="L1610" s="8"/>
      <c r="M1610" s="8"/>
      <c r="N1610" s="8" t="n">
        <v>12</v>
      </c>
      <c r="O1610" s="8" t="n">
        <v>36</v>
      </c>
      <c r="P1610" s="8" t="s">
        <v>120</v>
      </c>
    </row>
    <row r="1611" customFormat="false" ht="15" hidden="false" customHeight="false" outlineLevel="0" collapsed="false">
      <c r="A1611" s="8" t="s">
        <v>2866</v>
      </c>
      <c r="B1611" s="8" t="s">
        <v>2867</v>
      </c>
      <c r="C1611" s="8" t="s">
        <v>8700</v>
      </c>
      <c r="D1611" s="8" t="s">
        <v>132</v>
      </c>
      <c r="E1611" s="8" t="s">
        <v>51</v>
      </c>
      <c r="F1611" s="8" t="s">
        <v>2027</v>
      </c>
      <c r="G1611" s="8" t="s">
        <v>223</v>
      </c>
      <c r="H1611" s="8" t="s">
        <v>8662</v>
      </c>
      <c r="I1611" s="8" t="s">
        <v>9623</v>
      </c>
      <c r="J1611" s="8" t="s">
        <v>125</v>
      </c>
      <c r="K1611" s="8" t="s">
        <v>8664</v>
      </c>
      <c r="L1611" s="8"/>
      <c r="M1611" s="8"/>
      <c r="N1611" s="8" t="n">
        <v>12</v>
      </c>
      <c r="O1611" s="8" t="n">
        <v>32</v>
      </c>
      <c r="P1611" s="8" t="s">
        <v>120</v>
      </c>
    </row>
    <row r="1612" customFormat="false" ht="15" hidden="false" customHeight="false" outlineLevel="0" collapsed="false">
      <c r="A1612" s="8" t="s">
        <v>909</v>
      </c>
      <c r="B1612" s="8" t="s">
        <v>910</v>
      </c>
      <c r="C1612" s="8" t="s">
        <v>8665</v>
      </c>
      <c r="D1612" s="8" t="s">
        <v>123</v>
      </c>
      <c r="E1612" s="8" t="s">
        <v>53</v>
      </c>
      <c r="F1612" s="8" t="s">
        <v>326</v>
      </c>
      <c r="G1612" s="8" t="s">
        <v>136</v>
      </c>
      <c r="H1612" s="8" t="s">
        <v>8662</v>
      </c>
      <c r="I1612" s="8" t="s">
        <v>10037</v>
      </c>
      <c r="J1612" s="8" t="s">
        <v>147</v>
      </c>
      <c r="K1612" s="8" t="s">
        <v>8664</v>
      </c>
      <c r="L1612" s="8"/>
      <c r="M1612" s="8"/>
      <c r="N1612" s="8" t="n">
        <v>25</v>
      </c>
      <c r="O1612" s="8" t="n">
        <v>179</v>
      </c>
      <c r="P1612" s="8" t="s">
        <v>120</v>
      </c>
    </row>
    <row r="1613" customFormat="false" ht="15" hidden="false" customHeight="false" outlineLevel="0" collapsed="false">
      <c r="A1613" s="8" t="s">
        <v>3074</v>
      </c>
      <c r="B1613" s="8" t="s">
        <v>3075</v>
      </c>
      <c r="C1613" s="8" t="s">
        <v>8669</v>
      </c>
      <c r="D1613" s="8" t="s">
        <v>132</v>
      </c>
      <c r="E1613" s="8" t="s">
        <v>51</v>
      </c>
      <c r="F1613" s="8" t="s">
        <v>2027</v>
      </c>
      <c r="G1613" s="8" t="s">
        <v>154</v>
      </c>
      <c r="H1613" s="8" t="s">
        <v>8675</v>
      </c>
      <c r="I1613" s="8" t="s">
        <v>8761</v>
      </c>
      <c r="J1613" s="8" t="s">
        <v>144</v>
      </c>
      <c r="K1613" s="8" t="s">
        <v>8664</v>
      </c>
      <c r="L1613" s="8"/>
      <c r="M1613" s="8"/>
      <c r="N1613" s="8" t="n">
        <v>12</v>
      </c>
      <c r="O1613" s="8" t="n">
        <v>29</v>
      </c>
      <c r="P1613" s="8" t="s">
        <v>120</v>
      </c>
    </row>
    <row r="1614" customFormat="false" ht="15" hidden="false" customHeight="false" outlineLevel="0" collapsed="false">
      <c r="A1614" s="8" t="s">
        <v>10038</v>
      </c>
      <c r="B1614" s="8" t="s">
        <v>10039</v>
      </c>
      <c r="C1614" s="8" t="s">
        <v>8661</v>
      </c>
      <c r="D1614" s="8" t="s">
        <v>117</v>
      </c>
      <c r="E1614" s="8" t="s">
        <v>53</v>
      </c>
      <c r="F1614" s="8" t="s">
        <v>326</v>
      </c>
      <c r="G1614" s="8" t="s">
        <v>223</v>
      </c>
      <c r="H1614" s="8" t="s">
        <v>8666</v>
      </c>
      <c r="I1614" s="8" t="s">
        <v>9279</v>
      </c>
      <c r="J1614" s="8"/>
      <c r="K1614" s="8" t="s">
        <v>8690</v>
      </c>
      <c r="L1614" s="8" t="s">
        <v>9798</v>
      </c>
      <c r="M1614" s="8" t="s">
        <v>8692</v>
      </c>
      <c r="N1614" s="8" t="n">
        <v>25</v>
      </c>
      <c r="O1614" s="8" t="n">
        <v>171</v>
      </c>
      <c r="P1614" s="8" t="s">
        <v>148</v>
      </c>
    </row>
    <row r="1615" customFormat="false" ht="15" hidden="false" customHeight="false" outlineLevel="0" collapsed="false">
      <c r="A1615" s="8" t="s">
        <v>3684</v>
      </c>
      <c r="B1615" s="8" t="s">
        <v>3685</v>
      </c>
      <c r="C1615" s="8" t="s">
        <v>8665</v>
      </c>
      <c r="D1615" s="8" t="s">
        <v>132</v>
      </c>
      <c r="E1615" s="8" t="s">
        <v>51</v>
      </c>
      <c r="F1615" s="8" t="s">
        <v>2027</v>
      </c>
      <c r="G1615" s="8" t="s">
        <v>223</v>
      </c>
      <c r="H1615" s="8" t="s">
        <v>8666</v>
      </c>
      <c r="I1615" s="8" t="s">
        <v>10040</v>
      </c>
      <c r="J1615" s="8" t="s">
        <v>185</v>
      </c>
      <c r="K1615" s="8" t="s">
        <v>8664</v>
      </c>
      <c r="L1615" s="8"/>
      <c r="M1615" s="8"/>
      <c r="N1615" s="8" t="n">
        <v>12</v>
      </c>
      <c r="O1615" s="8" t="n">
        <v>12</v>
      </c>
      <c r="P1615" s="8" t="s">
        <v>120</v>
      </c>
    </row>
    <row r="1616" customFormat="false" ht="15" hidden="false" customHeight="false" outlineLevel="0" collapsed="false">
      <c r="A1616" s="8" t="s">
        <v>10041</v>
      </c>
      <c r="B1616" s="8" t="s">
        <v>10042</v>
      </c>
      <c r="C1616" s="8" t="s">
        <v>8669</v>
      </c>
      <c r="D1616" s="8" t="s">
        <v>123</v>
      </c>
      <c r="E1616" s="8" t="s">
        <v>51</v>
      </c>
      <c r="F1616" s="8" t="s">
        <v>2027</v>
      </c>
      <c r="G1616" s="8" t="s">
        <v>151</v>
      </c>
      <c r="H1616" s="8" t="s">
        <v>8675</v>
      </c>
      <c r="I1616" s="8" t="s">
        <v>8703</v>
      </c>
      <c r="J1616" s="8"/>
      <c r="K1616" s="8" t="s">
        <v>8690</v>
      </c>
      <c r="L1616" s="8" t="s">
        <v>8781</v>
      </c>
      <c r="M1616" s="8" t="s">
        <v>8721</v>
      </c>
      <c r="N1616" s="8" t="n">
        <v>12</v>
      </c>
      <c r="O1616" s="8" t="n">
        <v>32</v>
      </c>
      <c r="P1616" s="8" t="s">
        <v>120</v>
      </c>
    </row>
    <row r="1617" customFormat="false" ht="15" hidden="false" customHeight="false" outlineLevel="0" collapsed="false">
      <c r="A1617" s="8" t="s">
        <v>935</v>
      </c>
      <c r="B1617" s="8" t="s">
        <v>936</v>
      </c>
      <c r="C1617" s="8" t="s">
        <v>8661</v>
      </c>
      <c r="D1617" s="8" t="s">
        <v>117</v>
      </c>
      <c r="E1617" s="8" t="s">
        <v>53</v>
      </c>
      <c r="F1617" s="8" t="s">
        <v>326</v>
      </c>
      <c r="G1617" s="8" t="s">
        <v>136</v>
      </c>
      <c r="H1617" s="8" t="s">
        <v>8670</v>
      </c>
      <c r="I1617" s="8" t="s">
        <v>10043</v>
      </c>
      <c r="J1617" s="8" t="s">
        <v>177</v>
      </c>
      <c r="K1617" s="8" t="s">
        <v>8664</v>
      </c>
      <c r="L1617" s="8"/>
      <c r="M1617" s="8"/>
      <c r="N1617" s="8" t="n">
        <v>25</v>
      </c>
      <c r="O1617" s="8" t="n">
        <v>177</v>
      </c>
      <c r="P1617" s="8" t="s">
        <v>120</v>
      </c>
    </row>
    <row r="1618" customFormat="false" ht="15" hidden="false" customHeight="false" outlineLevel="0" collapsed="false">
      <c r="A1618" s="8" t="s">
        <v>2572</v>
      </c>
      <c r="B1618" s="8" t="s">
        <v>2573</v>
      </c>
      <c r="C1618" s="8" t="s">
        <v>8680</v>
      </c>
      <c r="D1618" s="8" t="s">
        <v>123</v>
      </c>
      <c r="E1618" s="8" t="s">
        <v>51</v>
      </c>
      <c r="F1618" s="8" t="s">
        <v>2027</v>
      </c>
      <c r="G1618" s="8" t="s">
        <v>136</v>
      </c>
      <c r="H1618" s="8" t="s">
        <v>8662</v>
      </c>
      <c r="I1618" s="8" t="s">
        <v>9989</v>
      </c>
      <c r="J1618" s="8" t="s">
        <v>119</v>
      </c>
      <c r="K1618" s="8" t="s">
        <v>8664</v>
      </c>
      <c r="L1618" s="8"/>
      <c r="M1618" s="8"/>
      <c r="N1618" s="8" t="n">
        <v>12</v>
      </c>
      <c r="O1618" s="8" t="n">
        <v>37</v>
      </c>
      <c r="P1618" s="8" t="s">
        <v>120</v>
      </c>
    </row>
    <row r="1619" customFormat="false" ht="15" hidden="false" customHeight="false" outlineLevel="0" collapsed="false">
      <c r="A1619" s="8" t="s">
        <v>4594</v>
      </c>
      <c r="B1619" s="8" t="s">
        <v>10044</v>
      </c>
      <c r="C1619" s="8" t="s">
        <v>8665</v>
      </c>
      <c r="D1619" s="8" t="s">
        <v>123</v>
      </c>
      <c r="E1619" s="8" t="s">
        <v>51</v>
      </c>
      <c r="F1619" s="8" t="s">
        <v>2027</v>
      </c>
      <c r="G1619" s="8" t="s">
        <v>124</v>
      </c>
      <c r="H1619" s="8" t="s">
        <v>8666</v>
      </c>
      <c r="I1619" s="8" t="s">
        <v>9902</v>
      </c>
      <c r="J1619" s="8"/>
      <c r="K1619" s="8" t="s">
        <v>8690</v>
      </c>
      <c r="L1619" s="8" t="s">
        <v>9648</v>
      </c>
      <c r="M1619" s="8" t="s">
        <v>8696</v>
      </c>
      <c r="N1619" s="8" t="n">
        <v>12</v>
      </c>
      <c r="O1619" s="8" t="n">
        <v>8</v>
      </c>
      <c r="P1619" s="8" t="s">
        <v>120</v>
      </c>
    </row>
    <row r="1620" customFormat="false" ht="15" hidden="false" customHeight="false" outlineLevel="0" collapsed="false">
      <c r="A1620" s="8" t="s">
        <v>807</v>
      </c>
      <c r="B1620" s="8" t="s">
        <v>808</v>
      </c>
      <c r="C1620" s="8" t="s">
        <v>8688</v>
      </c>
      <c r="D1620" s="8" t="s">
        <v>123</v>
      </c>
      <c r="E1620" s="8" t="s">
        <v>53</v>
      </c>
      <c r="F1620" s="8" t="s">
        <v>326</v>
      </c>
      <c r="G1620" s="8" t="s">
        <v>223</v>
      </c>
      <c r="H1620" s="8" t="s">
        <v>8662</v>
      </c>
      <c r="I1620" s="8" t="s">
        <v>10045</v>
      </c>
      <c r="J1620" s="8" t="s">
        <v>147</v>
      </c>
      <c r="K1620" s="8" t="s">
        <v>8664</v>
      </c>
      <c r="L1620" s="8"/>
      <c r="M1620" s="8"/>
      <c r="N1620" s="8" t="n">
        <v>25</v>
      </c>
      <c r="O1620" s="8" t="n">
        <v>195</v>
      </c>
      <c r="P1620" s="8" t="s">
        <v>148</v>
      </c>
    </row>
    <row r="1621" customFormat="false" ht="15" hidden="false" customHeight="false" outlineLevel="0" collapsed="false">
      <c r="A1621" s="8" t="s">
        <v>3574</v>
      </c>
      <c r="B1621" s="8" t="s">
        <v>3575</v>
      </c>
      <c r="C1621" s="8" t="s">
        <v>8688</v>
      </c>
      <c r="D1621" s="8" t="s">
        <v>132</v>
      </c>
      <c r="E1621" s="8" t="s">
        <v>51</v>
      </c>
      <c r="F1621" s="8" t="s">
        <v>2027</v>
      </c>
      <c r="G1621" s="8" t="s">
        <v>190</v>
      </c>
      <c r="H1621" s="8" t="s">
        <v>8670</v>
      </c>
      <c r="I1621" s="8" t="s">
        <v>10046</v>
      </c>
      <c r="J1621" s="8" t="s">
        <v>177</v>
      </c>
      <c r="K1621" s="8" t="s">
        <v>8664</v>
      </c>
      <c r="L1621" s="8"/>
      <c r="M1621" s="8"/>
      <c r="N1621" s="8" t="n">
        <v>12</v>
      </c>
      <c r="O1621" s="8" t="n">
        <v>20</v>
      </c>
      <c r="P1621" s="8" t="s">
        <v>120</v>
      </c>
    </row>
    <row r="1622" customFormat="false" ht="15" hidden="false" customHeight="false" outlineLevel="0" collapsed="false">
      <c r="A1622" s="8" t="s">
        <v>1815</v>
      </c>
      <c r="B1622" s="8" t="s">
        <v>1816</v>
      </c>
      <c r="C1622" s="8" t="s">
        <v>8700</v>
      </c>
      <c r="D1622" s="8" t="s">
        <v>117</v>
      </c>
      <c r="E1622" s="8" t="s">
        <v>53</v>
      </c>
      <c r="F1622" s="8" t="s">
        <v>326</v>
      </c>
      <c r="G1622" s="8" t="s">
        <v>143</v>
      </c>
      <c r="H1622" s="8" t="s">
        <v>8662</v>
      </c>
      <c r="I1622" s="8" t="s">
        <v>9610</v>
      </c>
      <c r="J1622" s="8" t="s">
        <v>119</v>
      </c>
      <c r="K1622" s="8" t="s">
        <v>8664</v>
      </c>
      <c r="L1622" s="8"/>
      <c r="M1622" s="8"/>
      <c r="N1622" s="8" t="n">
        <v>25</v>
      </c>
      <c r="O1622" s="8" t="n">
        <v>41</v>
      </c>
      <c r="P1622" s="8" t="s">
        <v>120</v>
      </c>
    </row>
    <row r="1623" customFormat="false" ht="15" hidden="false" customHeight="false" outlineLevel="0" collapsed="false">
      <c r="A1623" s="8" t="s">
        <v>4048</v>
      </c>
      <c r="B1623" s="8" t="s">
        <v>4049</v>
      </c>
      <c r="C1623" s="8" t="s">
        <v>8674</v>
      </c>
      <c r="D1623" s="8" t="s">
        <v>123</v>
      </c>
      <c r="E1623" s="8" t="s">
        <v>51</v>
      </c>
      <c r="F1623" s="8" t="s">
        <v>2027</v>
      </c>
      <c r="G1623" s="8" t="s">
        <v>118</v>
      </c>
      <c r="H1623" s="8" t="s">
        <v>8666</v>
      </c>
      <c r="I1623" s="8" t="s">
        <v>10047</v>
      </c>
      <c r="J1623" s="8" t="s">
        <v>159</v>
      </c>
      <c r="K1623" s="8" t="s">
        <v>8664</v>
      </c>
      <c r="L1623" s="8"/>
      <c r="M1623" s="8"/>
      <c r="N1623" s="8" t="n">
        <v>12</v>
      </c>
      <c r="O1623" s="8" t="n">
        <v>11</v>
      </c>
      <c r="P1623" s="8" t="s">
        <v>120</v>
      </c>
    </row>
    <row r="1624" customFormat="false" ht="15" hidden="false" customHeight="false" outlineLevel="0" collapsed="false">
      <c r="A1624" s="8" t="s">
        <v>7280</v>
      </c>
      <c r="B1624" s="8" t="s">
        <v>10048</v>
      </c>
      <c r="C1624" s="8" t="s">
        <v>8680</v>
      </c>
      <c r="D1624" s="8" t="s">
        <v>123</v>
      </c>
      <c r="E1624" s="8" t="s">
        <v>53</v>
      </c>
      <c r="F1624" s="8" t="s">
        <v>326</v>
      </c>
      <c r="G1624" s="8" t="s">
        <v>223</v>
      </c>
      <c r="H1624" s="8" t="s">
        <v>8662</v>
      </c>
      <c r="I1624" s="8" t="s">
        <v>9766</v>
      </c>
      <c r="J1624" s="8"/>
      <c r="K1624" s="8" t="s">
        <v>8690</v>
      </c>
      <c r="L1624" s="8" t="s">
        <v>10049</v>
      </c>
      <c r="M1624" s="8" t="s">
        <v>8721</v>
      </c>
      <c r="N1624" s="8" t="n">
        <v>25</v>
      </c>
      <c r="O1624" s="8" t="n">
        <v>100</v>
      </c>
      <c r="P1624" s="8" t="s">
        <v>120</v>
      </c>
    </row>
    <row r="1625" customFormat="false" ht="15" hidden="false" customHeight="false" outlineLevel="0" collapsed="false">
      <c r="A1625" s="8" t="s">
        <v>10050</v>
      </c>
      <c r="B1625" s="8" t="s">
        <v>10051</v>
      </c>
      <c r="C1625" s="8" t="s">
        <v>8674</v>
      </c>
      <c r="D1625" s="8" t="s">
        <v>123</v>
      </c>
      <c r="E1625" s="8" t="s">
        <v>55</v>
      </c>
      <c r="F1625" s="8" t="s">
        <v>55</v>
      </c>
      <c r="G1625" s="8" t="s">
        <v>136</v>
      </c>
      <c r="H1625" s="8" t="s">
        <v>8662</v>
      </c>
      <c r="I1625" s="8" t="s">
        <v>10052</v>
      </c>
      <c r="J1625" s="8"/>
      <c r="K1625" s="8" t="s">
        <v>8690</v>
      </c>
      <c r="L1625" s="8" t="s">
        <v>9509</v>
      </c>
      <c r="M1625" s="8" t="s">
        <v>8705</v>
      </c>
      <c r="N1625" s="8" t="n">
        <v>45</v>
      </c>
      <c r="O1625" s="8" t="n">
        <v>598</v>
      </c>
      <c r="P1625" s="8" t="s">
        <v>120</v>
      </c>
    </row>
    <row r="1626" customFormat="false" ht="15" hidden="false" customHeight="false" outlineLevel="0" collapsed="false">
      <c r="A1626" s="8" t="s">
        <v>10053</v>
      </c>
      <c r="B1626" s="8" t="s">
        <v>10054</v>
      </c>
      <c r="C1626" s="8" t="s">
        <v>8669</v>
      </c>
      <c r="D1626" s="8" t="s">
        <v>117</v>
      </c>
      <c r="E1626" s="8" t="s">
        <v>53</v>
      </c>
      <c r="F1626" s="8" t="s">
        <v>326</v>
      </c>
      <c r="G1626" s="8" t="s">
        <v>166</v>
      </c>
      <c r="H1626" s="8" t="s">
        <v>8666</v>
      </c>
      <c r="I1626" s="8" t="s">
        <v>9964</v>
      </c>
      <c r="J1626" s="8"/>
      <c r="K1626" s="8" t="s">
        <v>8690</v>
      </c>
      <c r="L1626" s="8" t="s">
        <v>9660</v>
      </c>
      <c r="M1626" s="8" t="s">
        <v>8727</v>
      </c>
      <c r="N1626" s="8" t="n">
        <v>25</v>
      </c>
      <c r="O1626" s="8" t="n">
        <v>184</v>
      </c>
      <c r="P1626" s="8" t="s">
        <v>120</v>
      </c>
    </row>
    <row r="1627" customFormat="false" ht="15" hidden="false" customHeight="false" outlineLevel="0" collapsed="false">
      <c r="A1627" s="8" t="s">
        <v>2460</v>
      </c>
      <c r="B1627" s="8" t="s">
        <v>2461</v>
      </c>
      <c r="C1627" s="8" t="s">
        <v>8688</v>
      </c>
      <c r="D1627" s="8" t="s">
        <v>117</v>
      </c>
      <c r="E1627" s="8" t="s">
        <v>51</v>
      </c>
      <c r="F1627" s="8" t="s">
        <v>2027</v>
      </c>
      <c r="G1627" s="8" t="s">
        <v>151</v>
      </c>
      <c r="H1627" s="8" t="s">
        <v>8670</v>
      </c>
      <c r="I1627" s="8" t="s">
        <v>9311</v>
      </c>
      <c r="J1627" s="8" t="s">
        <v>140</v>
      </c>
      <c r="K1627" s="8" t="s">
        <v>8664</v>
      </c>
      <c r="L1627" s="8"/>
      <c r="M1627" s="8"/>
      <c r="N1627" s="8" t="n">
        <v>12</v>
      </c>
      <c r="O1627" s="8" t="n">
        <v>39</v>
      </c>
      <c r="P1627" s="8" t="s">
        <v>120</v>
      </c>
    </row>
    <row r="1628" customFormat="false" ht="15" hidden="false" customHeight="false" outlineLevel="0" collapsed="false">
      <c r="A1628" s="8" t="s">
        <v>511</v>
      </c>
      <c r="B1628" s="8" t="s">
        <v>512</v>
      </c>
      <c r="C1628" s="8" t="s">
        <v>8669</v>
      </c>
      <c r="D1628" s="8" t="s">
        <v>128</v>
      </c>
      <c r="E1628" s="8" t="s">
        <v>55</v>
      </c>
      <c r="F1628" s="8" t="s">
        <v>55</v>
      </c>
      <c r="G1628" s="8" t="s">
        <v>136</v>
      </c>
      <c r="H1628" s="8" t="s">
        <v>8666</v>
      </c>
      <c r="I1628" s="8" t="s">
        <v>9174</v>
      </c>
      <c r="J1628" s="8" t="s">
        <v>125</v>
      </c>
      <c r="K1628" s="8" t="s">
        <v>8664</v>
      </c>
      <c r="L1628" s="8"/>
      <c r="M1628" s="8"/>
      <c r="N1628" s="8" t="n">
        <v>45</v>
      </c>
      <c r="O1628" s="8" t="n">
        <v>255</v>
      </c>
      <c r="P1628" s="8" t="s">
        <v>120</v>
      </c>
    </row>
    <row r="1629" customFormat="false" ht="15" hidden="false" customHeight="false" outlineLevel="0" collapsed="false">
      <c r="A1629" s="8" t="s">
        <v>3416</v>
      </c>
      <c r="B1629" s="8" t="s">
        <v>3417</v>
      </c>
      <c r="C1629" s="8" t="s">
        <v>8678</v>
      </c>
      <c r="D1629" s="8" t="s">
        <v>117</v>
      </c>
      <c r="E1629" s="8" t="s">
        <v>51</v>
      </c>
      <c r="F1629" s="8" t="s">
        <v>2027</v>
      </c>
      <c r="G1629" s="8" t="s">
        <v>151</v>
      </c>
      <c r="H1629" s="8" t="s">
        <v>8670</v>
      </c>
      <c r="I1629" s="8" t="s">
        <v>8859</v>
      </c>
      <c r="J1629" s="8" t="s">
        <v>185</v>
      </c>
      <c r="K1629" s="8" t="s">
        <v>8664</v>
      </c>
      <c r="L1629" s="8"/>
      <c r="M1629" s="8"/>
      <c r="N1629" s="8" t="n">
        <v>12</v>
      </c>
      <c r="O1629" s="8" t="n">
        <v>17</v>
      </c>
      <c r="P1629" s="8" t="s">
        <v>120</v>
      </c>
    </row>
    <row r="1630" customFormat="false" ht="15" hidden="false" customHeight="false" outlineLevel="0" collapsed="false">
      <c r="A1630" s="8" t="s">
        <v>1517</v>
      </c>
      <c r="B1630" s="8" t="s">
        <v>1518</v>
      </c>
      <c r="C1630" s="8" t="s">
        <v>8661</v>
      </c>
      <c r="D1630" s="8" t="s">
        <v>117</v>
      </c>
      <c r="E1630" s="8" t="s">
        <v>53</v>
      </c>
      <c r="F1630" s="8" t="s">
        <v>326</v>
      </c>
      <c r="G1630" s="8" t="s">
        <v>166</v>
      </c>
      <c r="H1630" s="8" t="s">
        <v>8675</v>
      </c>
      <c r="I1630" s="8" t="s">
        <v>9891</v>
      </c>
      <c r="J1630" s="8" t="s">
        <v>137</v>
      </c>
      <c r="K1630" s="8" t="s">
        <v>8664</v>
      </c>
      <c r="L1630" s="8"/>
      <c r="M1630" s="8"/>
      <c r="N1630" s="8" t="n">
        <v>25</v>
      </c>
      <c r="O1630" s="8" t="n">
        <v>70</v>
      </c>
      <c r="P1630" s="8" t="s">
        <v>120</v>
      </c>
    </row>
    <row r="1631" customFormat="false" ht="15" hidden="false" customHeight="false" outlineLevel="0" collapsed="false">
      <c r="A1631" s="8" t="s">
        <v>1487</v>
      </c>
      <c r="B1631" s="8" t="s">
        <v>1488</v>
      </c>
      <c r="C1631" s="8" t="s">
        <v>8678</v>
      </c>
      <c r="D1631" s="8" t="s">
        <v>132</v>
      </c>
      <c r="E1631" s="8" t="s">
        <v>53</v>
      </c>
      <c r="F1631" s="8" t="s">
        <v>326</v>
      </c>
      <c r="G1631" s="8" t="s">
        <v>151</v>
      </c>
      <c r="H1631" s="8" t="s">
        <v>8662</v>
      </c>
      <c r="I1631" s="8" t="s">
        <v>9566</v>
      </c>
      <c r="J1631" s="8" t="s">
        <v>177</v>
      </c>
      <c r="K1631" s="8" t="s">
        <v>8664</v>
      </c>
      <c r="L1631" s="8"/>
      <c r="M1631" s="8"/>
      <c r="N1631" s="8" t="n">
        <v>25</v>
      </c>
      <c r="O1631" s="8" t="n">
        <v>92</v>
      </c>
      <c r="P1631" s="8" t="s">
        <v>148</v>
      </c>
    </row>
    <row r="1632" customFormat="false" ht="15" hidden="false" customHeight="false" outlineLevel="0" collapsed="false">
      <c r="A1632" s="8" t="s">
        <v>4124</v>
      </c>
      <c r="B1632" s="8" t="s">
        <v>4125</v>
      </c>
      <c r="C1632" s="8" t="s">
        <v>8669</v>
      </c>
      <c r="D1632" s="8" t="s">
        <v>117</v>
      </c>
      <c r="E1632" s="8" t="s">
        <v>51</v>
      </c>
      <c r="F1632" s="8" t="s">
        <v>2027</v>
      </c>
      <c r="G1632" s="8" t="s">
        <v>166</v>
      </c>
      <c r="H1632" s="8" t="s">
        <v>8675</v>
      </c>
      <c r="I1632" s="8" t="s">
        <v>9098</v>
      </c>
      <c r="J1632" s="8" t="s">
        <v>159</v>
      </c>
      <c r="K1632" s="8" t="s">
        <v>8664</v>
      </c>
      <c r="L1632" s="8"/>
      <c r="M1632" s="8"/>
      <c r="N1632" s="8" t="n">
        <v>12</v>
      </c>
      <c r="O1632" s="8" t="n">
        <v>10</v>
      </c>
      <c r="P1632" s="8" t="s">
        <v>120</v>
      </c>
    </row>
    <row r="1633" customFormat="false" ht="15" hidden="false" customHeight="false" outlineLevel="0" collapsed="false">
      <c r="A1633" s="8" t="s">
        <v>1625</v>
      </c>
      <c r="B1633" s="8" t="s">
        <v>1626</v>
      </c>
      <c r="C1633" s="8" t="s">
        <v>8665</v>
      </c>
      <c r="D1633" s="8" t="s">
        <v>132</v>
      </c>
      <c r="E1633" s="8" t="s">
        <v>53</v>
      </c>
      <c r="F1633" s="8" t="s">
        <v>326</v>
      </c>
      <c r="G1633" s="8" t="s">
        <v>166</v>
      </c>
      <c r="H1633" s="8" t="s">
        <v>8662</v>
      </c>
      <c r="I1633" s="8" t="s">
        <v>9506</v>
      </c>
      <c r="J1633" s="8" t="s">
        <v>180</v>
      </c>
      <c r="K1633" s="8" t="s">
        <v>8664</v>
      </c>
      <c r="L1633" s="8"/>
      <c r="M1633" s="8"/>
      <c r="N1633" s="8" t="n">
        <v>25</v>
      </c>
      <c r="O1633" s="8" t="n">
        <v>68</v>
      </c>
      <c r="P1633" s="8" t="s">
        <v>120</v>
      </c>
    </row>
    <row r="1634" customFormat="false" ht="15" hidden="false" customHeight="false" outlineLevel="0" collapsed="false">
      <c r="A1634" s="8" t="s">
        <v>2180</v>
      </c>
      <c r="B1634" s="8" t="s">
        <v>2181</v>
      </c>
      <c r="C1634" s="8" t="s">
        <v>8680</v>
      </c>
      <c r="D1634" s="8" t="s">
        <v>128</v>
      </c>
      <c r="E1634" s="8" t="s">
        <v>51</v>
      </c>
      <c r="F1634" s="8" t="s">
        <v>326</v>
      </c>
      <c r="G1634" s="8" t="s">
        <v>190</v>
      </c>
      <c r="H1634" s="8" t="s">
        <v>8666</v>
      </c>
      <c r="I1634" s="8" t="s">
        <v>10055</v>
      </c>
      <c r="J1634" s="8" t="s">
        <v>125</v>
      </c>
      <c r="K1634" s="8" t="s">
        <v>8664</v>
      </c>
      <c r="L1634" s="8"/>
      <c r="M1634" s="8"/>
      <c r="N1634" s="8" t="n">
        <v>25</v>
      </c>
      <c r="O1634" s="8" t="n">
        <v>22</v>
      </c>
      <c r="P1634" s="8" t="s">
        <v>120</v>
      </c>
    </row>
    <row r="1635" customFormat="false" ht="15" hidden="false" customHeight="false" outlineLevel="0" collapsed="false">
      <c r="A1635" s="8" t="s">
        <v>10056</v>
      </c>
      <c r="B1635" s="8" t="s">
        <v>10057</v>
      </c>
      <c r="C1635" s="8" t="s">
        <v>8700</v>
      </c>
      <c r="D1635" s="8" t="s">
        <v>123</v>
      </c>
      <c r="E1635" s="8" t="s">
        <v>51</v>
      </c>
      <c r="F1635" s="8" t="s">
        <v>2027</v>
      </c>
      <c r="G1635" s="8" t="s">
        <v>143</v>
      </c>
      <c r="H1635" s="8" t="s">
        <v>8662</v>
      </c>
      <c r="I1635" s="8" t="s">
        <v>9371</v>
      </c>
      <c r="J1635" s="8"/>
      <c r="K1635" s="8" t="s">
        <v>8690</v>
      </c>
      <c r="L1635" s="8" t="s">
        <v>10058</v>
      </c>
      <c r="M1635" s="8" t="s">
        <v>8692</v>
      </c>
      <c r="N1635" s="8" t="n">
        <v>12</v>
      </c>
      <c r="O1635" s="8" t="n">
        <v>7</v>
      </c>
      <c r="P1635" s="8" t="s">
        <v>120</v>
      </c>
    </row>
    <row r="1636" customFormat="false" ht="15" hidden="false" customHeight="false" outlineLevel="0" collapsed="false">
      <c r="A1636" s="8" t="s">
        <v>10059</v>
      </c>
      <c r="B1636" s="8" t="s">
        <v>10060</v>
      </c>
      <c r="C1636" s="8" t="s">
        <v>8680</v>
      </c>
      <c r="D1636" s="8" t="s">
        <v>132</v>
      </c>
      <c r="E1636" s="8" t="s">
        <v>51</v>
      </c>
      <c r="F1636" s="8" t="s">
        <v>2027</v>
      </c>
      <c r="G1636" s="8" t="s">
        <v>223</v>
      </c>
      <c r="H1636" s="8" t="s">
        <v>8670</v>
      </c>
      <c r="I1636" s="8" t="s">
        <v>8793</v>
      </c>
      <c r="J1636" s="8"/>
      <c r="K1636" s="8" t="s">
        <v>8690</v>
      </c>
      <c r="L1636" s="8" t="s">
        <v>8901</v>
      </c>
      <c r="M1636" s="8" t="s">
        <v>8692</v>
      </c>
      <c r="N1636" s="8" t="n">
        <v>12</v>
      </c>
      <c r="O1636" s="8" t="n">
        <v>36</v>
      </c>
      <c r="P1636" s="8" t="s">
        <v>120</v>
      </c>
    </row>
    <row r="1637" customFormat="false" ht="15" hidden="false" customHeight="false" outlineLevel="0" collapsed="false">
      <c r="A1637" s="8" t="s">
        <v>1401</v>
      </c>
      <c r="B1637" s="8" t="s">
        <v>1402</v>
      </c>
      <c r="C1637" s="8" t="s">
        <v>8688</v>
      </c>
      <c r="D1637" s="8" t="s">
        <v>117</v>
      </c>
      <c r="E1637" s="8" t="s">
        <v>53</v>
      </c>
      <c r="F1637" s="8" t="s">
        <v>326</v>
      </c>
      <c r="G1637" s="8" t="s">
        <v>118</v>
      </c>
      <c r="H1637" s="8" t="s">
        <v>8662</v>
      </c>
      <c r="I1637" s="8" t="s">
        <v>9063</v>
      </c>
      <c r="J1637" s="8" t="s">
        <v>159</v>
      </c>
      <c r="K1637" s="8" t="s">
        <v>8664</v>
      </c>
      <c r="L1637" s="8"/>
      <c r="M1637" s="8"/>
      <c r="N1637" s="8" t="n">
        <v>25</v>
      </c>
      <c r="O1637" s="8" t="n">
        <v>106</v>
      </c>
      <c r="P1637" s="8" t="s">
        <v>120</v>
      </c>
    </row>
    <row r="1638" customFormat="false" ht="15" hidden="false" customHeight="false" outlineLevel="0" collapsed="false">
      <c r="A1638" s="8" t="s">
        <v>4050</v>
      </c>
      <c r="B1638" s="8" t="s">
        <v>4051</v>
      </c>
      <c r="C1638" s="8" t="s">
        <v>8688</v>
      </c>
      <c r="D1638" s="8" t="s">
        <v>117</v>
      </c>
      <c r="E1638" s="8" t="s">
        <v>51</v>
      </c>
      <c r="F1638" s="8" t="s">
        <v>2027</v>
      </c>
      <c r="G1638" s="8" t="s">
        <v>124</v>
      </c>
      <c r="H1638" s="8" t="s">
        <v>8670</v>
      </c>
      <c r="I1638" s="8" t="s">
        <v>9480</v>
      </c>
      <c r="J1638" s="8" t="s">
        <v>144</v>
      </c>
      <c r="K1638" s="8" t="s">
        <v>8664</v>
      </c>
      <c r="L1638" s="8"/>
      <c r="M1638" s="8"/>
      <c r="N1638" s="8" t="n">
        <v>12</v>
      </c>
      <c r="O1638" s="8" t="n">
        <v>14</v>
      </c>
      <c r="P1638" s="8" t="s">
        <v>120</v>
      </c>
    </row>
    <row r="1639" customFormat="false" ht="15" hidden="false" customHeight="false" outlineLevel="0" collapsed="false">
      <c r="A1639" s="8" t="s">
        <v>2204</v>
      </c>
      <c r="B1639" s="8" t="s">
        <v>2205</v>
      </c>
      <c r="C1639" s="8" t="s">
        <v>8665</v>
      </c>
      <c r="D1639" s="8" t="s">
        <v>123</v>
      </c>
      <c r="E1639" s="8" t="s">
        <v>51</v>
      </c>
      <c r="F1639" s="8" t="s">
        <v>2027</v>
      </c>
      <c r="G1639" s="8" t="s">
        <v>190</v>
      </c>
      <c r="H1639" s="8" t="s">
        <v>8670</v>
      </c>
      <c r="I1639" s="8" t="s">
        <v>8912</v>
      </c>
      <c r="J1639" s="8" t="s">
        <v>159</v>
      </c>
      <c r="K1639" s="8" t="s">
        <v>8664</v>
      </c>
      <c r="L1639" s="8"/>
      <c r="M1639" s="8"/>
      <c r="N1639" s="8" t="n">
        <v>12</v>
      </c>
      <c r="O1639" s="8" t="n">
        <v>37</v>
      </c>
      <c r="P1639" s="8" t="s">
        <v>120</v>
      </c>
    </row>
    <row r="1640" customFormat="false" ht="15" hidden="false" customHeight="false" outlineLevel="0" collapsed="false">
      <c r="A1640" s="8" t="s">
        <v>503</v>
      </c>
      <c r="B1640" s="8" t="s">
        <v>504</v>
      </c>
      <c r="C1640" s="8" t="s">
        <v>8665</v>
      </c>
      <c r="D1640" s="8" t="s">
        <v>132</v>
      </c>
      <c r="E1640" s="8" t="s">
        <v>53</v>
      </c>
      <c r="F1640" s="8" t="s">
        <v>55</v>
      </c>
      <c r="G1640" s="8" t="s">
        <v>143</v>
      </c>
      <c r="H1640" s="8" t="s">
        <v>8666</v>
      </c>
      <c r="I1640" s="8" t="s">
        <v>9850</v>
      </c>
      <c r="J1640" s="8" t="s">
        <v>180</v>
      </c>
      <c r="K1640" s="8" t="s">
        <v>8664</v>
      </c>
      <c r="L1640" s="8"/>
      <c r="M1640" s="8"/>
      <c r="N1640" s="8" t="n">
        <v>45</v>
      </c>
      <c r="O1640" s="8" t="n">
        <v>186</v>
      </c>
      <c r="P1640" s="8" t="s">
        <v>120</v>
      </c>
    </row>
    <row r="1641" customFormat="false" ht="15" hidden="false" customHeight="false" outlineLevel="0" collapsed="false">
      <c r="A1641" s="8" t="s">
        <v>4439</v>
      </c>
      <c r="B1641" s="8" t="s">
        <v>10061</v>
      </c>
      <c r="C1641" s="8" t="s">
        <v>8661</v>
      </c>
      <c r="D1641" s="8" t="s">
        <v>132</v>
      </c>
      <c r="E1641" s="8" t="s">
        <v>53</v>
      </c>
      <c r="F1641" s="8" t="s">
        <v>326</v>
      </c>
      <c r="G1641" s="8" t="s">
        <v>154</v>
      </c>
      <c r="H1641" s="8" t="s">
        <v>8662</v>
      </c>
      <c r="I1641" s="8" t="s">
        <v>8671</v>
      </c>
      <c r="J1641" s="8"/>
      <c r="K1641" s="8" t="s">
        <v>8690</v>
      </c>
      <c r="L1641" s="8" t="s">
        <v>8907</v>
      </c>
      <c r="M1641" s="8" t="s">
        <v>8721</v>
      </c>
      <c r="N1641" s="8" t="n">
        <v>25</v>
      </c>
      <c r="O1641" s="8" t="n">
        <v>168</v>
      </c>
      <c r="P1641" s="8" t="s">
        <v>120</v>
      </c>
    </row>
    <row r="1642" customFormat="false" ht="15" hidden="false" customHeight="false" outlineLevel="0" collapsed="false">
      <c r="A1642" s="8" t="s">
        <v>859</v>
      </c>
      <c r="B1642" s="8" t="s">
        <v>860</v>
      </c>
      <c r="C1642" s="8" t="s">
        <v>8665</v>
      </c>
      <c r="D1642" s="8" t="s">
        <v>123</v>
      </c>
      <c r="E1642" s="8" t="s">
        <v>53</v>
      </c>
      <c r="F1642" s="8" t="s">
        <v>326</v>
      </c>
      <c r="G1642" s="8" t="s">
        <v>166</v>
      </c>
      <c r="H1642" s="8" t="s">
        <v>8662</v>
      </c>
      <c r="I1642" s="8" t="s">
        <v>10062</v>
      </c>
      <c r="J1642" s="8" t="s">
        <v>140</v>
      </c>
      <c r="K1642" s="8" t="s">
        <v>8664</v>
      </c>
      <c r="L1642" s="8"/>
      <c r="M1642" s="8"/>
      <c r="N1642" s="8" t="n">
        <v>25</v>
      </c>
      <c r="O1642" s="8" t="n">
        <v>131</v>
      </c>
      <c r="P1642" s="8" t="s">
        <v>120</v>
      </c>
    </row>
    <row r="1643" customFormat="false" ht="15" hidden="false" customHeight="false" outlineLevel="0" collapsed="false">
      <c r="A1643" s="8" t="s">
        <v>4512</v>
      </c>
      <c r="B1643" s="8" t="s">
        <v>10063</v>
      </c>
      <c r="C1643" s="8" t="s">
        <v>8661</v>
      </c>
      <c r="D1643" s="8" t="s">
        <v>123</v>
      </c>
      <c r="E1643" s="8" t="s">
        <v>51</v>
      </c>
      <c r="F1643" s="8" t="s">
        <v>2027</v>
      </c>
      <c r="G1643" s="8" t="s">
        <v>133</v>
      </c>
      <c r="H1643" s="8" t="s">
        <v>8662</v>
      </c>
      <c r="I1643" s="8" t="s">
        <v>8725</v>
      </c>
      <c r="J1643" s="8"/>
      <c r="K1643" s="8" t="s">
        <v>8690</v>
      </c>
      <c r="L1643" s="8" t="s">
        <v>10064</v>
      </c>
      <c r="M1643" s="8" t="s">
        <v>8692</v>
      </c>
      <c r="N1643" s="8" t="n">
        <v>12</v>
      </c>
      <c r="O1643" s="8" t="n">
        <v>30</v>
      </c>
      <c r="P1643" s="8" t="s">
        <v>120</v>
      </c>
    </row>
    <row r="1644" customFormat="false" ht="15" hidden="false" customHeight="false" outlineLevel="0" collapsed="false">
      <c r="A1644" s="8" t="s">
        <v>3510</v>
      </c>
      <c r="B1644" s="8" t="s">
        <v>3511</v>
      </c>
      <c r="C1644" s="8" t="s">
        <v>8665</v>
      </c>
      <c r="D1644" s="8" t="s">
        <v>117</v>
      </c>
      <c r="E1644" s="8" t="s">
        <v>51</v>
      </c>
      <c r="F1644" s="8" t="s">
        <v>2027</v>
      </c>
      <c r="G1644" s="8" t="s">
        <v>136</v>
      </c>
      <c r="H1644" s="8" t="s">
        <v>8662</v>
      </c>
      <c r="I1644" s="8" t="s">
        <v>9762</v>
      </c>
      <c r="J1644" s="8" t="s">
        <v>185</v>
      </c>
      <c r="K1644" s="8" t="s">
        <v>8664</v>
      </c>
      <c r="L1644" s="8"/>
      <c r="M1644" s="8"/>
      <c r="N1644" s="8" t="n">
        <v>12</v>
      </c>
      <c r="O1644" s="8" t="n">
        <v>16</v>
      </c>
      <c r="P1644" s="8" t="s">
        <v>120</v>
      </c>
    </row>
    <row r="1645" customFormat="false" ht="15" hidden="false" customHeight="false" outlineLevel="0" collapsed="false">
      <c r="A1645" s="8" t="s">
        <v>4448</v>
      </c>
      <c r="B1645" s="8" t="s">
        <v>10065</v>
      </c>
      <c r="C1645" s="8" t="s">
        <v>8700</v>
      </c>
      <c r="D1645" s="8" t="s">
        <v>117</v>
      </c>
      <c r="E1645" s="8" t="s">
        <v>53</v>
      </c>
      <c r="F1645" s="8" t="s">
        <v>326</v>
      </c>
      <c r="G1645" s="8" t="s">
        <v>223</v>
      </c>
      <c r="H1645" s="8" t="s">
        <v>8666</v>
      </c>
      <c r="I1645" s="8" t="s">
        <v>9587</v>
      </c>
      <c r="J1645" s="8"/>
      <c r="K1645" s="8" t="s">
        <v>8690</v>
      </c>
      <c r="L1645" s="8" t="s">
        <v>10066</v>
      </c>
      <c r="M1645" s="8" t="s">
        <v>8721</v>
      </c>
      <c r="N1645" s="8" t="n">
        <v>25</v>
      </c>
      <c r="O1645" s="8" t="n">
        <v>158</v>
      </c>
      <c r="P1645" s="8" t="s">
        <v>120</v>
      </c>
    </row>
    <row r="1646" customFormat="false" ht="15" hidden="false" customHeight="false" outlineLevel="0" collapsed="false">
      <c r="A1646" s="8" t="s">
        <v>2948</v>
      </c>
      <c r="B1646" s="8" t="s">
        <v>2949</v>
      </c>
      <c r="C1646" s="8" t="s">
        <v>8688</v>
      </c>
      <c r="D1646" s="8" t="s">
        <v>117</v>
      </c>
      <c r="E1646" s="8" t="s">
        <v>51</v>
      </c>
      <c r="F1646" s="8" t="s">
        <v>2027</v>
      </c>
      <c r="G1646" s="8" t="s">
        <v>143</v>
      </c>
      <c r="H1646" s="8" t="s">
        <v>8675</v>
      </c>
      <c r="I1646" s="8" t="s">
        <v>9318</v>
      </c>
      <c r="J1646" s="8" t="s">
        <v>140</v>
      </c>
      <c r="K1646" s="8" t="s">
        <v>8664</v>
      </c>
      <c r="L1646" s="8"/>
      <c r="M1646" s="8"/>
      <c r="N1646" s="8" t="n">
        <v>12</v>
      </c>
      <c r="O1646" s="8" t="n">
        <v>31</v>
      </c>
      <c r="P1646" s="8" t="s">
        <v>120</v>
      </c>
    </row>
    <row r="1647" customFormat="false" ht="15" hidden="false" customHeight="false" outlineLevel="0" collapsed="false">
      <c r="A1647" s="8" t="s">
        <v>2414</v>
      </c>
      <c r="B1647" s="8" t="s">
        <v>2415</v>
      </c>
      <c r="C1647" s="8" t="s">
        <v>8700</v>
      </c>
      <c r="D1647" s="8" t="s">
        <v>128</v>
      </c>
      <c r="E1647" s="8" t="s">
        <v>51</v>
      </c>
      <c r="F1647" s="8" t="s">
        <v>2027</v>
      </c>
      <c r="G1647" s="8" t="s">
        <v>124</v>
      </c>
      <c r="H1647" s="8" t="s">
        <v>8662</v>
      </c>
      <c r="I1647" s="8" t="s">
        <v>9990</v>
      </c>
      <c r="J1647" s="8" t="s">
        <v>140</v>
      </c>
      <c r="K1647" s="8" t="s">
        <v>8664</v>
      </c>
      <c r="L1647" s="8"/>
      <c r="M1647" s="8"/>
      <c r="N1647" s="8" t="n">
        <v>12</v>
      </c>
      <c r="O1647" s="8" t="n">
        <v>29</v>
      </c>
      <c r="P1647" s="8" t="s">
        <v>120</v>
      </c>
    </row>
    <row r="1648" customFormat="false" ht="15" hidden="false" customHeight="false" outlineLevel="0" collapsed="false">
      <c r="A1648" s="8" t="s">
        <v>1217</v>
      </c>
      <c r="B1648" s="8" t="s">
        <v>1218</v>
      </c>
      <c r="C1648" s="8" t="s">
        <v>8688</v>
      </c>
      <c r="D1648" s="8" t="s">
        <v>117</v>
      </c>
      <c r="E1648" s="8" t="s">
        <v>53</v>
      </c>
      <c r="F1648" s="8" t="s">
        <v>326</v>
      </c>
      <c r="G1648" s="8" t="s">
        <v>190</v>
      </c>
      <c r="H1648" s="8" t="s">
        <v>8662</v>
      </c>
      <c r="I1648" s="8" t="s">
        <v>8694</v>
      </c>
      <c r="J1648" s="8" t="s">
        <v>144</v>
      </c>
      <c r="K1648" s="8" t="s">
        <v>8664</v>
      </c>
      <c r="L1648" s="8"/>
      <c r="M1648" s="8"/>
      <c r="N1648" s="8" t="n">
        <v>25</v>
      </c>
      <c r="O1648" s="8" t="n">
        <v>153</v>
      </c>
      <c r="P1648" s="8" t="s">
        <v>148</v>
      </c>
    </row>
    <row r="1649" customFormat="false" ht="15" hidden="false" customHeight="false" outlineLevel="0" collapsed="false">
      <c r="A1649" s="8" t="s">
        <v>2164</v>
      </c>
      <c r="B1649" s="8" t="s">
        <v>2165</v>
      </c>
      <c r="C1649" s="8" t="s">
        <v>8674</v>
      </c>
      <c r="D1649" s="8" t="s">
        <v>128</v>
      </c>
      <c r="E1649" s="8" t="s">
        <v>51</v>
      </c>
      <c r="F1649" s="8" t="s">
        <v>326</v>
      </c>
      <c r="G1649" s="8" t="s">
        <v>223</v>
      </c>
      <c r="H1649" s="8" t="s">
        <v>8666</v>
      </c>
      <c r="I1649" s="8" t="s">
        <v>9934</v>
      </c>
      <c r="J1649" s="8" t="s">
        <v>119</v>
      </c>
      <c r="K1649" s="8" t="s">
        <v>8664</v>
      </c>
      <c r="L1649" s="8"/>
      <c r="M1649" s="8"/>
      <c r="N1649" s="8" t="n">
        <v>25</v>
      </c>
      <c r="O1649" s="8" t="n">
        <v>26</v>
      </c>
      <c r="P1649" s="8" t="s">
        <v>120</v>
      </c>
    </row>
    <row r="1650" customFormat="false" ht="15" hidden="false" customHeight="false" outlineLevel="0" collapsed="false">
      <c r="A1650" s="8" t="s">
        <v>10067</v>
      </c>
      <c r="B1650" s="8" t="s">
        <v>10068</v>
      </c>
      <c r="C1650" s="8" t="s">
        <v>8678</v>
      </c>
      <c r="D1650" s="8" t="s">
        <v>132</v>
      </c>
      <c r="E1650" s="8" t="s">
        <v>55</v>
      </c>
      <c r="F1650" s="8" t="s">
        <v>55</v>
      </c>
      <c r="G1650" s="8" t="s">
        <v>154</v>
      </c>
      <c r="H1650" s="8" t="s">
        <v>8662</v>
      </c>
      <c r="I1650" s="8" t="s">
        <v>9589</v>
      </c>
      <c r="J1650" s="8"/>
      <c r="K1650" s="8" t="s">
        <v>8690</v>
      </c>
      <c r="L1650" s="8" t="s">
        <v>9150</v>
      </c>
      <c r="M1650" s="8" t="s">
        <v>8696</v>
      </c>
      <c r="N1650" s="8" t="n">
        <v>45</v>
      </c>
      <c r="O1650" s="8" t="n">
        <v>252</v>
      </c>
      <c r="P1650" s="8" t="s">
        <v>148</v>
      </c>
    </row>
    <row r="1651" customFormat="false" ht="15" hidden="false" customHeight="false" outlineLevel="0" collapsed="false">
      <c r="A1651" s="8" t="s">
        <v>1341</v>
      </c>
      <c r="B1651" s="8" t="s">
        <v>1342</v>
      </c>
      <c r="C1651" s="8" t="s">
        <v>8674</v>
      </c>
      <c r="D1651" s="8" t="s">
        <v>123</v>
      </c>
      <c r="E1651" s="8" t="s">
        <v>53</v>
      </c>
      <c r="F1651" s="8" t="s">
        <v>326</v>
      </c>
      <c r="G1651" s="8" t="s">
        <v>133</v>
      </c>
      <c r="H1651" s="8" t="s">
        <v>8670</v>
      </c>
      <c r="I1651" s="8" t="s">
        <v>10069</v>
      </c>
      <c r="J1651" s="8" t="s">
        <v>204</v>
      </c>
      <c r="K1651" s="8" t="s">
        <v>8664</v>
      </c>
      <c r="L1651" s="8"/>
      <c r="M1651" s="8"/>
      <c r="N1651" s="8" t="n">
        <v>25</v>
      </c>
      <c r="O1651" s="8" t="n">
        <v>116</v>
      </c>
      <c r="P1651" s="8" t="s">
        <v>120</v>
      </c>
    </row>
    <row r="1652" customFormat="false" ht="15" hidden="false" customHeight="false" outlineLevel="0" collapsed="false">
      <c r="A1652" s="8" t="s">
        <v>298</v>
      </c>
      <c r="B1652" s="8" t="s">
        <v>299</v>
      </c>
      <c r="C1652" s="8" t="s">
        <v>8661</v>
      </c>
      <c r="D1652" s="8" t="s">
        <v>123</v>
      </c>
      <c r="E1652" s="8" t="s">
        <v>55</v>
      </c>
      <c r="F1652" s="8" t="s">
        <v>55</v>
      </c>
      <c r="G1652" s="8" t="s">
        <v>124</v>
      </c>
      <c r="H1652" s="8" t="s">
        <v>8670</v>
      </c>
      <c r="I1652" s="8" t="s">
        <v>8855</v>
      </c>
      <c r="J1652" s="8" t="s">
        <v>140</v>
      </c>
      <c r="K1652" s="8" t="s">
        <v>8664</v>
      </c>
      <c r="L1652" s="8"/>
      <c r="M1652" s="8"/>
      <c r="N1652" s="8" t="n">
        <v>45</v>
      </c>
      <c r="O1652" s="8" t="n">
        <v>401</v>
      </c>
      <c r="P1652" s="8" t="s">
        <v>120</v>
      </c>
    </row>
    <row r="1653" customFormat="false" ht="15" hidden="false" customHeight="false" outlineLevel="0" collapsed="false">
      <c r="A1653" s="8" t="s">
        <v>481</v>
      </c>
      <c r="B1653" s="8" t="s">
        <v>482</v>
      </c>
      <c r="C1653" s="8" t="s">
        <v>8700</v>
      </c>
      <c r="D1653" s="8" t="s">
        <v>132</v>
      </c>
      <c r="E1653" s="8" t="s">
        <v>55</v>
      </c>
      <c r="F1653" s="8" t="s">
        <v>55</v>
      </c>
      <c r="G1653" s="8" t="s">
        <v>143</v>
      </c>
      <c r="H1653" s="8" t="s">
        <v>8675</v>
      </c>
      <c r="I1653" s="8" t="s">
        <v>10070</v>
      </c>
      <c r="J1653" s="8" t="s">
        <v>140</v>
      </c>
      <c r="K1653" s="8" t="s">
        <v>8664</v>
      </c>
      <c r="L1653" s="8"/>
      <c r="M1653" s="8"/>
      <c r="N1653" s="8" t="n">
        <v>45</v>
      </c>
      <c r="O1653" s="8" t="n">
        <v>246</v>
      </c>
      <c r="P1653" s="8" t="s">
        <v>148</v>
      </c>
    </row>
    <row r="1654" customFormat="false" ht="15" hidden="false" customHeight="false" outlineLevel="0" collapsed="false">
      <c r="A1654" s="8" t="s">
        <v>4431</v>
      </c>
      <c r="B1654" s="8" t="s">
        <v>10071</v>
      </c>
      <c r="C1654" s="8" t="s">
        <v>8669</v>
      </c>
      <c r="D1654" s="8" t="s">
        <v>123</v>
      </c>
      <c r="E1654" s="8" t="s">
        <v>53</v>
      </c>
      <c r="F1654" s="8" t="s">
        <v>55</v>
      </c>
      <c r="G1654" s="8" t="s">
        <v>136</v>
      </c>
      <c r="H1654" s="8" t="s">
        <v>8662</v>
      </c>
      <c r="I1654" s="8" t="s">
        <v>9448</v>
      </c>
      <c r="J1654" s="8"/>
      <c r="K1654" s="8" t="s">
        <v>8690</v>
      </c>
      <c r="L1654" s="8" t="s">
        <v>9731</v>
      </c>
      <c r="M1654" s="8" t="s">
        <v>8795</v>
      </c>
      <c r="N1654" s="8" t="n">
        <v>45</v>
      </c>
      <c r="O1654" s="8" t="n">
        <v>114</v>
      </c>
      <c r="P1654" s="8" t="s">
        <v>148</v>
      </c>
    </row>
    <row r="1655" customFormat="false" ht="15" hidden="false" customHeight="false" outlineLevel="0" collapsed="false">
      <c r="A1655" s="8" t="s">
        <v>2650</v>
      </c>
      <c r="B1655" s="8" t="s">
        <v>2651</v>
      </c>
      <c r="C1655" s="8" t="s">
        <v>8661</v>
      </c>
      <c r="D1655" s="8" t="s">
        <v>132</v>
      </c>
      <c r="E1655" s="8" t="s">
        <v>51</v>
      </c>
      <c r="F1655" s="8" t="s">
        <v>326</v>
      </c>
      <c r="G1655" s="8" t="s">
        <v>136</v>
      </c>
      <c r="H1655" s="8" t="s">
        <v>8666</v>
      </c>
      <c r="I1655" s="8" t="s">
        <v>8813</v>
      </c>
      <c r="J1655" s="8" t="s">
        <v>204</v>
      </c>
      <c r="K1655" s="8" t="s">
        <v>8664</v>
      </c>
      <c r="L1655" s="8"/>
      <c r="M1655" s="8"/>
      <c r="N1655" s="8" t="n">
        <v>25</v>
      </c>
      <c r="O1655" s="8" t="n">
        <v>13</v>
      </c>
      <c r="P1655" s="8" t="s">
        <v>120</v>
      </c>
    </row>
    <row r="1656" customFormat="false" ht="15" hidden="false" customHeight="false" outlineLevel="0" collapsed="false">
      <c r="A1656" s="8" t="s">
        <v>2652</v>
      </c>
      <c r="B1656" s="8" t="s">
        <v>2653</v>
      </c>
      <c r="C1656" s="8" t="s">
        <v>8661</v>
      </c>
      <c r="D1656" s="8" t="s">
        <v>123</v>
      </c>
      <c r="E1656" s="8" t="s">
        <v>51</v>
      </c>
      <c r="F1656" s="8" t="s">
        <v>326</v>
      </c>
      <c r="G1656" s="8" t="s">
        <v>151</v>
      </c>
      <c r="H1656" s="8" t="s">
        <v>8670</v>
      </c>
      <c r="I1656" s="8" t="s">
        <v>9794</v>
      </c>
      <c r="J1656" s="8" t="s">
        <v>137</v>
      </c>
      <c r="K1656" s="8" t="s">
        <v>8664</v>
      </c>
      <c r="L1656" s="8"/>
      <c r="M1656" s="8"/>
      <c r="N1656" s="8" t="n">
        <v>25</v>
      </c>
      <c r="O1656" s="8" t="n">
        <v>14</v>
      </c>
      <c r="P1656" s="8" t="s">
        <v>120</v>
      </c>
    </row>
    <row r="1657" customFormat="false" ht="15" hidden="false" customHeight="false" outlineLevel="0" collapsed="false">
      <c r="A1657" s="8" t="s">
        <v>2528</v>
      </c>
      <c r="B1657" s="8" t="s">
        <v>2529</v>
      </c>
      <c r="C1657" s="8" t="s">
        <v>8700</v>
      </c>
      <c r="D1657" s="8" t="s">
        <v>123</v>
      </c>
      <c r="E1657" s="8" t="s">
        <v>51</v>
      </c>
      <c r="F1657" s="8" t="s">
        <v>2027</v>
      </c>
      <c r="G1657" s="8" t="s">
        <v>223</v>
      </c>
      <c r="H1657" s="8" t="s">
        <v>8675</v>
      </c>
      <c r="I1657" s="8" t="s">
        <v>9148</v>
      </c>
      <c r="J1657" s="8" t="s">
        <v>177</v>
      </c>
      <c r="K1657" s="8" t="s">
        <v>8664</v>
      </c>
      <c r="L1657" s="8"/>
      <c r="M1657" s="8"/>
      <c r="N1657" s="8" t="n">
        <v>12</v>
      </c>
      <c r="O1657" s="8" t="n">
        <v>20</v>
      </c>
      <c r="P1657" s="8" t="s">
        <v>120</v>
      </c>
    </row>
    <row r="1658" customFormat="false" ht="15" hidden="false" customHeight="false" outlineLevel="0" collapsed="false">
      <c r="A1658" s="8" t="s">
        <v>4052</v>
      </c>
      <c r="B1658" s="8" t="s">
        <v>4053</v>
      </c>
      <c r="C1658" s="8" t="s">
        <v>8680</v>
      </c>
      <c r="D1658" s="8" t="s">
        <v>132</v>
      </c>
      <c r="E1658" s="8" t="s">
        <v>51</v>
      </c>
      <c r="F1658" s="8" t="s">
        <v>2027</v>
      </c>
      <c r="G1658" s="8" t="s">
        <v>166</v>
      </c>
      <c r="H1658" s="8" t="s">
        <v>8666</v>
      </c>
      <c r="I1658" s="8" t="s">
        <v>9558</v>
      </c>
      <c r="J1658" s="8" t="s">
        <v>185</v>
      </c>
      <c r="K1658" s="8" t="s">
        <v>8664</v>
      </c>
      <c r="L1658" s="8"/>
      <c r="M1658" s="8"/>
      <c r="N1658" s="8" t="n">
        <v>12</v>
      </c>
      <c r="O1658" s="8" t="n">
        <v>14</v>
      </c>
      <c r="P1658" s="8" t="s">
        <v>120</v>
      </c>
    </row>
    <row r="1659" customFormat="false" ht="15" hidden="false" customHeight="false" outlineLevel="0" collapsed="false">
      <c r="A1659" s="8" t="s">
        <v>583</v>
      </c>
      <c r="B1659" s="8" t="s">
        <v>584</v>
      </c>
      <c r="C1659" s="8" t="s">
        <v>8661</v>
      </c>
      <c r="D1659" s="8" t="s">
        <v>123</v>
      </c>
      <c r="E1659" s="8" t="s">
        <v>53</v>
      </c>
      <c r="F1659" s="8" t="s">
        <v>55</v>
      </c>
      <c r="G1659" s="8" t="s">
        <v>136</v>
      </c>
      <c r="H1659" s="8" t="s">
        <v>8662</v>
      </c>
      <c r="I1659" s="8" t="s">
        <v>9802</v>
      </c>
      <c r="J1659" s="8" t="s">
        <v>185</v>
      </c>
      <c r="K1659" s="8" t="s">
        <v>8664</v>
      </c>
      <c r="L1659" s="8"/>
      <c r="M1659" s="8"/>
      <c r="N1659" s="8" t="n">
        <v>45</v>
      </c>
      <c r="O1659" s="8" t="n">
        <v>151</v>
      </c>
      <c r="P1659" s="8" t="s">
        <v>120</v>
      </c>
    </row>
    <row r="1660" customFormat="false" ht="15" hidden="false" customHeight="false" outlineLevel="0" collapsed="false">
      <c r="A1660" s="8" t="s">
        <v>3134</v>
      </c>
      <c r="B1660" s="8" t="s">
        <v>3135</v>
      </c>
      <c r="C1660" s="8" t="s">
        <v>8680</v>
      </c>
      <c r="D1660" s="8" t="s">
        <v>123</v>
      </c>
      <c r="E1660" s="8" t="s">
        <v>51</v>
      </c>
      <c r="F1660" s="8" t="s">
        <v>326</v>
      </c>
      <c r="G1660" s="8" t="s">
        <v>223</v>
      </c>
      <c r="H1660" s="8" t="s">
        <v>8675</v>
      </c>
      <c r="I1660" s="8" t="s">
        <v>10055</v>
      </c>
      <c r="J1660" s="8" t="s">
        <v>125</v>
      </c>
      <c r="K1660" s="8" t="s">
        <v>8664</v>
      </c>
      <c r="L1660" s="8"/>
      <c r="M1660" s="8"/>
      <c r="N1660" s="8" t="n">
        <v>25</v>
      </c>
      <c r="O1660" s="8" t="n">
        <v>10</v>
      </c>
      <c r="P1660" s="8" t="s">
        <v>120</v>
      </c>
    </row>
    <row r="1661" customFormat="false" ht="15" hidden="false" customHeight="false" outlineLevel="0" collapsed="false">
      <c r="A1661" s="8" t="s">
        <v>3110</v>
      </c>
      <c r="B1661" s="8" t="s">
        <v>3111</v>
      </c>
      <c r="C1661" s="8" t="s">
        <v>8700</v>
      </c>
      <c r="D1661" s="8" t="s">
        <v>123</v>
      </c>
      <c r="E1661" s="8" t="s">
        <v>51</v>
      </c>
      <c r="F1661" s="8" t="s">
        <v>2027</v>
      </c>
      <c r="G1661" s="8" t="s">
        <v>118</v>
      </c>
      <c r="H1661" s="8" t="s">
        <v>8666</v>
      </c>
      <c r="I1661" s="8" t="s">
        <v>8668</v>
      </c>
      <c r="J1661" s="8" t="s">
        <v>147</v>
      </c>
      <c r="K1661" s="8" t="s">
        <v>8664</v>
      </c>
      <c r="L1661" s="8"/>
      <c r="M1661" s="8"/>
      <c r="N1661" s="8" t="n">
        <v>12</v>
      </c>
      <c r="O1661" s="8" t="n">
        <v>28</v>
      </c>
      <c r="P1661" s="8" t="s">
        <v>120</v>
      </c>
    </row>
    <row r="1662" customFormat="false" ht="15" hidden="false" customHeight="false" outlineLevel="0" collapsed="false">
      <c r="A1662" s="8" t="s">
        <v>4503</v>
      </c>
      <c r="B1662" s="8" t="s">
        <v>10072</v>
      </c>
      <c r="C1662" s="8" t="s">
        <v>8680</v>
      </c>
      <c r="D1662" s="8" t="s">
        <v>123</v>
      </c>
      <c r="E1662" s="8" t="s">
        <v>51</v>
      </c>
      <c r="F1662" s="8" t="s">
        <v>2027</v>
      </c>
      <c r="G1662" s="8" t="s">
        <v>143</v>
      </c>
      <c r="H1662" s="8" t="s">
        <v>8666</v>
      </c>
      <c r="I1662" s="8" t="s">
        <v>10073</v>
      </c>
      <c r="J1662" s="8"/>
      <c r="K1662" s="8" t="s">
        <v>8690</v>
      </c>
      <c r="L1662" s="8" t="s">
        <v>9963</v>
      </c>
      <c r="M1662" s="8" t="s">
        <v>8705</v>
      </c>
      <c r="N1662" s="8" t="n">
        <v>12</v>
      </c>
      <c r="O1662" s="8" t="n">
        <v>38</v>
      </c>
      <c r="P1662" s="8" t="s">
        <v>120</v>
      </c>
    </row>
    <row r="1663" customFormat="false" ht="15" hidden="false" customHeight="false" outlineLevel="0" collapsed="false">
      <c r="A1663" s="8" t="s">
        <v>519</v>
      </c>
      <c r="B1663" s="8" t="s">
        <v>520</v>
      </c>
      <c r="C1663" s="8" t="s">
        <v>8661</v>
      </c>
      <c r="D1663" s="8" t="s">
        <v>123</v>
      </c>
      <c r="E1663" s="8" t="s">
        <v>55</v>
      </c>
      <c r="F1663" s="8" t="s">
        <v>55</v>
      </c>
      <c r="G1663" s="8" t="s">
        <v>223</v>
      </c>
      <c r="H1663" s="8" t="s">
        <v>8666</v>
      </c>
      <c r="I1663" s="8" t="s">
        <v>9712</v>
      </c>
      <c r="J1663" s="8" t="s">
        <v>159</v>
      </c>
      <c r="K1663" s="8" t="s">
        <v>8664</v>
      </c>
      <c r="L1663" s="8"/>
      <c r="M1663" s="8"/>
      <c r="N1663" s="8" t="n">
        <v>45</v>
      </c>
      <c r="O1663" s="8" t="n">
        <v>214</v>
      </c>
      <c r="P1663" s="8" t="s">
        <v>148</v>
      </c>
    </row>
    <row r="1664" customFormat="false" ht="15" hidden="false" customHeight="false" outlineLevel="0" collapsed="false">
      <c r="A1664" s="8" t="s">
        <v>1297</v>
      </c>
      <c r="B1664" s="8" t="s">
        <v>1298</v>
      </c>
      <c r="C1664" s="8" t="s">
        <v>8665</v>
      </c>
      <c r="D1664" s="8" t="s">
        <v>117</v>
      </c>
      <c r="E1664" s="8" t="s">
        <v>53</v>
      </c>
      <c r="F1664" s="8" t="s">
        <v>55</v>
      </c>
      <c r="G1664" s="8" t="s">
        <v>223</v>
      </c>
      <c r="H1664" s="8" t="s">
        <v>8675</v>
      </c>
      <c r="I1664" s="8" t="s">
        <v>9153</v>
      </c>
      <c r="J1664" s="8" t="s">
        <v>180</v>
      </c>
      <c r="K1664" s="8" t="s">
        <v>8664</v>
      </c>
      <c r="L1664" s="8"/>
      <c r="M1664" s="8"/>
      <c r="N1664" s="8" t="n">
        <v>45</v>
      </c>
      <c r="O1664" s="8" t="n">
        <v>56</v>
      </c>
      <c r="P1664" s="8" t="s">
        <v>120</v>
      </c>
    </row>
    <row r="1665" customFormat="false" ht="15" hidden="false" customHeight="false" outlineLevel="0" collapsed="false">
      <c r="A1665" s="8" t="s">
        <v>329</v>
      </c>
      <c r="B1665" s="8" t="s">
        <v>330</v>
      </c>
      <c r="C1665" s="8" t="s">
        <v>8665</v>
      </c>
      <c r="D1665" s="8" t="s">
        <v>132</v>
      </c>
      <c r="E1665" s="8" t="s">
        <v>55</v>
      </c>
      <c r="F1665" s="8" t="s">
        <v>55</v>
      </c>
      <c r="G1665" s="8" t="s">
        <v>133</v>
      </c>
      <c r="H1665" s="8" t="s">
        <v>8662</v>
      </c>
      <c r="I1665" s="8" t="s">
        <v>9276</v>
      </c>
      <c r="J1665" s="8" t="s">
        <v>177</v>
      </c>
      <c r="K1665" s="8" t="s">
        <v>8664</v>
      </c>
      <c r="L1665" s="8"/>
      <c r="M1665" s="8"/>
      <c r="N1665" s="8" t="n">
        <v>45</v>
      </c>
      <c r="O1665" s="8" t="n">
        <v>423</v>
      </c>
      <c r="P1665" s="8" t="s">
        <v>120</v>
      </c>
    </row>
    <row r="1666" customFormat="false" ht="15" hidden="false" customHeight="false" outlineLevel="0" collapsed="false">
      <c r="A1666" s="8" t="s">
        <v>2462</v>
      </c>
      <c r="B1666" s="8" t="s">
        <v>2463</v>
      </c>
      <c r="C1666" s="8" t="s">
        <v>8661</v>
      </c>
      <c r="D1666" s="8" t="s">
        <v>132</v>
      </c>
      <c r="E1666" s="8" t="s">
        <v>51</v>
      </c>
      <c r="F1666" s="8" t="s">
        <v>2027</v>
      </c>
      <c r="G1666" s="8" t="s">
        <v>166</v>
      </c>
      <c r="H1666" s="8" t="s">
        <v>8662</v>
      </c>
      <c r="I1666" s="8" t="s">
        <v>10074</v>
      </c>
      <c r="J1666" s="8" t="s">
        <v>125</v>
      </c>
      <c r="K1666" s="8" t="s">
        <v>8664</v>
      </c>
      <c r="L1666" s="8"/>
      <c r="M1666" s="8"/>
      <c r="N1666" s="8" t="n">
        <v>12</v>
      </c>
      <c r="O1666" s="8" t="n">
        <v>39</v>
      </c>
      <c r="P1666" s="8" t="s">
        <v>120</v>
      </c>
    </row>
    <row r="1667" customFormat="false" ht="15" hidden="false" customHeight="false" outlineLevel="0" collapsed="false">
      <c r="A1667" s="8" t="s">
        <v>761</v>
      </c>
      <c r="B1667" s="8" t="s">
        <v>762</v>
      </c>
      <c r="C1667" s="8" t="s">
        <v>8661</v>
      </c>
      <c r="D1667" s="8" t="s">
        <v>117</v>
      </c>
      <c r="E1667" s="8" t="s">
        <v>55</v>
      </c>
      <c r="F1667" s="8" t="s">
        <v>326</v>
      </c>
      <c r="G1667" s="8" t="s">
        <v>133</v>
      </c>
      <c r="H1667" s="8" t="s">
        <v>8666</v>
      </c>
      <c r="I1667" s="8" t="s">
        <v>9481</v>
      </c>
      <c r="J1667" s="8" t="s">
        <v>204</v>
      </c>
      <c r="K1667" s="8" t="s">
        <v>8664</v>
      </c>
      <c r="L1667" s="8"/>
      <c r="M1667" s="8"/>
      <c r="N1667" s="8" t="n">
        <v>25</v>
      </c>
      <c r="O1667" s="8" t="n">
        <v>205</v>
      </c>
      <c r="P1667" s="8" t="s">
        <v>120</v>
      </c>
    </row>
    <row r="1668" customFormat="false" ht="15" hidden="false" customHeight="false" outlineLevel="0" collapsed="false">
      <c r="A1668" s="8" t="s">
        <v>2334</v>
      </c>
      <c r="B1668" s="8" t="s">
        <v>2335</v>
      </c>
      <c r="C1668" s="8" t="s">
        <v>8700</v>
      </c>
      <c r="D1668" s="8" t="s">
        <v>132</v>
      </c>
      <c r="E1668" s="8" t="s">
        <v>51</v>
      </c>
      <c r="F1668" s="8" t="s">
        <v>326</v>
      </c>
      <c r="G1668" s="8" t="s">
        <v>143</v>
      </c>
      <c r="H1668" s="8" t="s">
        <v>8662</v>
      </c>
      <c r="I1668" s="8" t="s">
        <v>8863</v>
      </c>
      <c r="J1668" s="8" t="s">
        <v>137</v>
      </c>
      <c r="K1668" s="8" t="s">
        <v>8664</v>
      </c>
      <c r="L1668" s="8"/>
      <c r="M1668" s="8"/>
      <c r="N1668" s="8" t="n">
        <v>25</v>
      </c>
      <c r="O1668" s="8" t="n">
        <v>21</v>
      </c>
      <c r="P1668" s="8" t="s">
        <v>120</v>
      </c>
    </row>
    <row r="1669" customFormat="false" ht="15" hidden="false" customHeight="false" outlineLevel="0" collapsed="false">
      <c r="A1669" s="8" t="s">
        <v>655</v>
      </c>
      <c r="B1669" s="8" t="s">
        <v>656</v>
      </c>
      <c r="C1669" s="8" t="s">
        <v>8680</v>
      </c>
      <c r="D1669" s="8" t="s">
        <v>117</v>
      </c>
      <c r="E1669" s="8" t="s">
        <v>53</v>
      </c>
      <c r="F1669" s="8" t="s">
        <v>55</v>
      </c>
      <c r="G1669" s="8" t="s">
        <v>151</v>
      </c>
      <c r="H1669" s="8" t="s">
        <v>8675</v>
      </c>
      <c r="I1669" s="8" t="s">
        <v>10075</v>
      </c>
      <c r="J1669" s="8" t="s">
        <v>125</v>
      </c>
      <c r="K1669" s="8" t="s">
        <v>8664</v>
      </c>
      <c r="L1669" s="8"/>
      <c r="M1669" s="8"/>
      <c r="N1669" s="8" t="n">
        <v>45</v>
      </c>
      <c r="O1669" s="8" t="n">
        <v>150</v>
      </c>
      <c r="P1669" s="8" t="s">
        <v>120</v>
      </c>
    </row>
    <row r="1670" customFormat="false" ht="15" hidden="false" customHeight="false" outlineLevel="0" collapsed="false">
      <c r="A1670" s="8" t="s">
        <v>4078</v>
      </c>
      <c r="B1670" s="8" t="s">
        <v>4079</v>
      </c>
      <c r="C1670" s="8" t="s">
        <v>8688</v>
      </c>
      <c r="D1670" s="8" t="s">
        <v>132</v>
      </c>
      <c r="E1670" s="8" t="s">
        <v>51</v>
      </c>
      <c r="F1670" s="8" t="s">
        <v>326</v>
      </c>
      <c r="G1670" s="8" t="s">
        <v>124</v>
      </c>
      <c r="H1670" s="8" t="s">
        <v>8662</v>
      </c>
      <c r="I1670" s="8" t="s">
        <v>8704</v>
      </c>
      <c r="J1670" s="8" t="s">
        <v>129</v>
      </c>
      <c r="K1670" s="8" t="s">
        <v>8664</v>
      </c>
      <c r="L1670" s="8"/>
      <c r="M1670" s="8"/>
      <c r="N1670" s="8" t="n">
        <v>25</v>
      </c>
      <c r="O1670" s="8" t="n">
        <v>5</v>
      </c>
      <c r="P1670" s="8" t="s">
        <v>120</v>
      </c>
    </row>
    <row r="1671" customFormat="false" ht="15" hidden="false" customHeight="false" outlineLevel="0" collapsed="false">
      <c r="A1671" s="8" t="s">
        <v>10076</v>
      </c>
      <c r="B1671" s="8" t="s">
        <v>10077</v>
      </c>
      <c r="C1671" s="8" t="s">
        <v>8674</v>
      </c>
      <c r="D1671" s="8" t="s">
        <v>117</v>
      </c>
      <c r="E1671" s="8" t="s">
        <v>51</v>
      </c>
      <c r="F1671" s="8" t="s">
        <v>2027</v>
      </c>
      <c r="G1671" s="8" t="s">
        <v>166</v>
      </c>
      <c r="H1671" s="8" t="s">
        <v>8670</v>
      </c>
      <c r="I1671" s="8" t="s">
        <v>9712</v>
      </c>
      <c r="J1671" s="8"/>
      <c r="K1671" s="8" t="s">
        <v>8690</v>
      </c>
      <c r="L1671" s="8" t="s">
        <v>9626</v>
      </c>
      <c r="M1671" s="8" t="s">
        <v>8692</v>
      </c>
      <c r="N1671" s="8" t="n">
        <v>12</v>
      </c>
      <c r="O1671" s="8" t="n">
        <v>39</v>
      </c>
      <c r="P1671" s="8" t="s">
        <v>148</v>
      </c>
    </row>
    <row r="1672" customFormat="false" ht="15" hidden="false" customHeight="false" outlineLevel="0" collapsed="false">
      <c r="A1672" s="8" t="s">
        <v>4472</v>
      </c>
      <c r="B1672" s="8" t="s">
        <v>10078</v>
      </c>
      <c r="C1672" s="8" t="s">
        <v>8669</v>
      </c>
      <c r="D1672" s="8" t="s">
        <v>132</v>
      </c>
      <c r="E1672" s="8" t="s">
        <v>53</v>
      </c>
      <c r="F1672" s="8" t="s">
        <v>326</v>
      </c>
      <c r="G1672" s="8" t="s">
        <v>151</v>
      </c>
      <c r="H1672" s="8" t="s">
        <v>8675</v>
      </c>
      <c r="I1672" s="8" t="s">
        <v>9694</v>
      </c>
      <c r="J1672" s="8"/>
      <c r="K1672" s="8" t="s">
        <v>8690</v>
      </c>
      <c r="L1672" s="8" t="s">
        <v>9042</v>
      </c>
      <c r="M1672" s="8" t="s">
        <v>8696</v>
      </c>
      <c r="N1672" s="8" t="n">
        <v>25</v>
      </c>
      <c r="O1672" s="8" t="n">
        <v>84</v>
      </c>
      <c r="P1672" s="8" t="s">
        <v>120</v>
      </c>
    </row>
    <row r="1673" customFormat="false" ht="15" hidden="false" customHeight="false" outlineLevel="0" collapsed="false">
      <c r="A1673" s="8" t="s">
        <v>3758</v>
      </c>
      <c r="B1673" s="8" t="s">
        <v>3759</v>
      </c>
      <c r="C1673" s="8" t="s">
        <v>8678</v>
      </c>
      <c r="D1673" s="8" t="s">
        <v>132</v>
      </c>
      <c r="E1673" s="8" t="s">
        <v>51</v>
      </c>
      <c r="F1673" s="8" t="s">
        <v>2027</v>
      </c>
      <c r="G1673" s="8" t="s">
        <v>118</v>
      </c>
      <c r="H1673" s="8" t="s">
        <v>8662</v>
      </c>
      <c r="I1673" s="8" t="s">
        <v>9259</v>
      </c>
      <c r="J1673" s="8" t="s">
        <v>177</v>
      </c>
      <c r="K1673" s="8" t="s">
        <v>8664</v>
      </c>
      <c r="L1673" s="8"/>
      <c r="M1673" s="8"/>
      <c r="N1673" s="8" t="n">
        <v>12</v>
      </c>
      <c r="O1673" s="8" t="n">
        <v>16</v>
      </c>
      <c r="P1673" s="8" t="s">
        <v>120</v>
      </c>
    </row>
    <row r="1674" customFormat="false" ht="15" hidden="false" customHeight="false" outlineLevel="0" collapsed="false">
      <c r="A1674" s="8" t="s">
        <v>1465</v>
      </c>
      <c r="B1674" s="8" t="s">
        <v>1466</v>
      </c>
      <c r="C1674" s="8" t="s">
        <v>8678</v>
      </c>
      <c r="D1674" s="8" t="s">
        <v>117</v>
      </c>
      <c r="E1674" s="8" t="s">
        <v>53</v>
      </c>
      <c r="F1674" s="8" t="s">
        <v>326</v>
      </c>
      <c r="G1674" s="8" t="s">
        <v>190</v>
      </c>
      <c r="H1674" s="8" t="s">
        <v>8666</v>
      </c>
      <c r="I1674" s="8" t="s">
        <v>9459</v>
      </c>
      <c r="J1674" s="8" t="s">
        <v>185</v>
      </c>
      <c r="K1674" s="8" t="s">
        <v>8664</v>
      </c>
      <c r="L1674" s="8"/>
      <c r="M1674" s="8"/>
      <c r="N1674" s="8" t="n">
        <v>25</v>
      </c>
      <c r="O1674" s="8" t="n">
        <v>94</v>
      </c>
      <c r="P1674" s="8" t="s">
        <v>120</v>
      </c>
    </row>
    <row r="1675" customFormat="false" ht="15" hidden="false" customHeight="false" outlineLevel="0" collapsed="false">
      <c r="A1675" s="8" t="s">
        <v>2608</v>
      </c>
      <c r="B1675" s="8" t="s">
        <v>2609</v>
      </c>
      <c r="C1675" s="8" t="s">
        <v>8661</v>
      </c>
      <c r="D1675" s="8" t="s">
        <v>132</v>
      </c>
      <c r="E1675" s="8" t="s">
        <v>51</v>
      </c>
      <c r="F1675" s="8" t="s">
        <v>2027</v>
      </c>
      <c r="G1675" s="8" t="s">
        <v>223</v>
      </c>
      <c r="H1675" s="8" t="s">
        <v>8662</v>
      </c>
      <c r="I1675" s="8" t="s">
        <v>9122</v>
      </c>
      <c r="J1675" s="8" t="s">
        <v>137</v>
      </c>
      <c r="K1675" s="8" t="s">
        <v>8664</v>
      </c>
      <c r="L1675" s="8"/>
      <c r="M1675" s="8"/>
      <c r="N1675" s="8" t="n">
        <v>12</v>
      </c>
      <c r="O1675" s="8" t="n">
        <v>36</v>
      </c>
      <c r="P1675" s="8" t="s">
        <v>120</v>
      </c>
    </row>
    <row r="1676" customFormat="false" ht="15" hidden="false" customHeight="false" outlineLevel="0" collapsed="false">
      <c r="A1676" s="8" t="s">
        <v>4126</v>
      </c>
      <c r="B1676" s="8" t="s">
        <v>4127</v>
      </c>
      <c r="C1676" s="8" t="s">
        <v>8674</v>
      </c>
      <c r="D1676" s="8" t="s">
        <v>123</v>
      </c>
      <c r="E1676" s="8" t="s">
        <v>51</v>
      </c>
      <c r="F1676" s="8" t="s">
        <v>2027</v>
      </c>
      <c r="G1676" s="8" t="s">
        <v>151</v>
      </c>
      <c r="H1676" s="8" t="s">
        <v>8662</v>
      </c>
      <c r="I1676" s="8" t="s">
        <v>10079</v>
      </c>
      <c r="J1676" s="8" t="s">
        <v>119</v>
      </c>
      <c r="K1676" s="8" t="s">
        <v>8664</v>
      </c>
      <c r="L1676" s="8"/>
      <c r="M1676" s="8"/>
      <c r="N1676" s="8" t="n">
        <v>12</v>
      </c>
      <c r="O1676" s="8" t="n">
        <v>10</v>
      </c>
      <c r="P1676" s="8" t="s">
        <v>120</v>
      </c>
    </row>
    <row r="1677" customFormat="false" ht="15" hidden="false" customHeight="false" outlineLevel="0" collapsed="false">
      <c r="A1677" s="8" t="s">
        <v>2868</v>
      </c>
      <c r="B1677" s="8" t="s">
        <v>2869</v>
      </c>
      <c r="C1677" s="8" t="s">
        <v>8665</v>
      </c>
      <c r="D1677" s="8" t="s">
        <v>123</v>
      </c>
      <c r="E1677" s="8" t="s">
        <v>51</v>
      </c>
      <c r="F1677" s="8" t="s">
        <v>2027</v>
      </c>
      <c r="G1677" s="8" t="s">
        <v>166</v>
      </c>
      <c r="H1677" s="8" t="s">
        <v>8666</v>
      </c>
      <c r="I1677" s="8" t="s">
        <v>10080</v>
      </c>
      <c r="J1677" s="8" t="s">
        <v>177</v>
      </c>
      <c r="K1677" s="8" t="s">
        <v>8664</v>
      </c>
      <c r="L1677" s="8"/>
      <c r="M1677" s="8"/>
      <c r="N1677" s="8" t="n">
        <v>12</v>
      </c>
      <c r="O1677" s="8" t="n">
        <v>32</v>
      </c>
      <c r="P1677" s="8" t="s">
        <v>120</v>
      </c>
    </row>
    <row r="1678" customFormat="false" ht="15" hidden="false" customHeight="false" outlineLevel="0" collapsed="false">
      <c r="A1678" s="8" t="s">
        <v>4054</v>
      </c>
      <c r="B1678" s="8" t="s">
        <v>4055</v>
      </c>
      <c r="C1678" s="8" t="s">
        <v>8674</v>
      </c>
      <c r="D1678" s="8" t="s">
        <v>123</v>
      </c>
      <c r="E1678" s="8" t="s">
        <v>51</v>
      </c>
      <c r="F1678" s="8" t="s">
        <v>2027</v>
      </c>
      <c r="G1678" s="8" t="s">
        <v>124</v>
      </c>
      <c r="H1678" s="8" t="s">
        <v>8666</v>
      </c>
      <c r="I1678" s="8" t="s">
        <v>9742</v>
      </c>
      <c r="J1678" s="8" t="s">
        <v>129</v>
      </c>
      <c r="K1678" s="8" t="s">
        <v>8664</v>
      </c>
      <c r="L1678" s="8"/>
      <c r="M1678" s="8"/>
      <c r="N1678" s="8" t="n">
        <v>12</v>
      </c>
      <c r="O1678" s="8" t="n">
        <v>11</v>
      </c>
      <c r="P1678" s="8" t="s">
        <v>120</v>
      </c>
    </row>
    <row r="1679" customFormat="false" ht="15" hidden="false" customHeight="false" outlineLevel="0" collapsed="false">
      <c r="A1679" s="8" t="s">
        <v>4435</v>
      </c>
      <c r="B1679" s="8" t="s">
        <v>10081</v>
      </c>
      <c r="C1679" s="8" t="s">
        <v>8674</v>
      </c>
      <c r="D1679" s="8" t="s">
        <v>123</v>
      </c>
      <c r="E1679" s="8" t="s">
        <v>53</v>
      </c>
      <c r="F1679" s="8" t="s">
        <v>326</v>
      </c>
      <c r="G1679" s="8" t="s">
        <v>118</v>
      </c>
      <c r="H1679" s="8" t="s">
        <v>8662</v>
      </c>
      <c r="I1679" s="8" t="s">
        <v>9409</v>
      </c>
      <c r="J1679" s="8"/>
      <c r="K1679" s="8" t="s">
        <v>8690</v>
      </c>
      <c r="L1679" s="8" t="s">
        <v>8790</v>
      </c>
      <c r="M1679" s="8" t="s">
        <v>8692</v>
      </c>
      <c r="N1679" s="8" t="n">
        <v>25</v>
      </c>
      <c r="O1679" s="8" t="n">
        <v>192</v>
      </c>
      <c r="P1679" s="8" t="s">
        <v>148</v>
      </c>
    </row>
    <row r="1680" customFormat="false" ht="15" hidden="false" customHeight="false" outlineLevel="0" collapsed="false">
      <c r="A1680" s="8" t="s">
        <v>10082</v>
      </c>
      <c r="B1680" s="8" t="s">
        <v>10083</v>
      </c>
      <c r="C1680" s="8" t="s">
        <v>8665</v>
      </c>
      <c r="D1680" s="8" t="s">
        <v>132</v>
      </c>
      <c r="E1680" s="8" t="s">
        <v>51</v>
      </c>
      <c r="F1680" s="8" t="s">
        <v>2027</v>
      </c>
      <c r="G1680" s="8" t="s">
        <v>136</v>
      </c>
      <c r="H1680" s="8" t="s">
        <v>8666</v>
      </c>
      <c r="I1680" s="8" t="s">
        <v>10084</v>
      </c>
      <c r="J1680" s="8"/>
      <c r="K1680" s="8" t="s">
        <v>8690</v>
      </c>
      <c r="L1680" s="8" t="s">
        <v>9297</v>
      </c>
      <c r="M1680" s="8" t="s">
        <v>8692</v>
      </c>
      <c r="N1680" s="8" t="n">
        <v>12</v>
      </c>
      <c r="O1680" s="8" t="n">
        <v>33</v>
      </c>
      <c r="P1680" s="8" t="s">
        <v>120</v>
      </c>
    </row>
    <row r="1681" customFormat="false" ht="15" hidden="false" customHeight="false" outlineLevel="0" collapsed="false">
      <c r="A1681" s="8" t="s">
        <v>238</v>
      </c>
      <c r="B1681" s="8" t="s">
        <v>239</v>
      </c>
      <c r="C1681" s="8" t="s">
        <v>8661</v>
      </c>
      <c r="D1681" s="8" t="s">
        <v>123</v>
      </c>
      <c r="E1681" s="8" t="s">
        <v>55</v>
      </c>
      <c r="F1681" s="8" t="s">
        <v>55</v>
      </c>
      <c r="G1681" s="8" t="s">
        <v>124</v>
      </c>
      <c r="H1681" s="8" t="s">
        <v>8675</v>
      </c>
      <c r="I1681" s="8" t="s">
        <v>9183</v>
      </c>
      <c r="J1681" s="8" t="s">
        <v>137</v>
      </c>
      <c r="K1681" s="8" t="s">
        <v>8664</v>
      </c>
      <c r="L1681" s="8"/>
      <c r="M1681" s="8"/>
      <c r="N1681" s="8" t="n">
        <v>45</v>
      </c>
      <c r="O1681" s="8" t="n">
        <v>511</v>
      </c>
      <c r="P1681" s="8" t="s">
        <v>120</v>
      </c>
    </row>
    <row r="1682" customFormat="false" ht="15" hidden="false" customHeight="false" outlineLevel="0" collapsed="false">
      <c r="A1682" s="8" t="s">
        <v>3002</v>
      </c>
      <c r="B1682" s="8" t="s">
        <v>3003</v>
      </c>
      <c r="C1682" s="8" t="s">
        <v>8665</v>
      </c>
      <c r="D1682" s="8" t="s">
        <v>117</v>
      </c>
      <c r="E1682" s="8" t="s">
        <v>51</v>
      </c>
      <c r="F1682" s="8" t="s">
        <v>2027</v>
      </c>
      <c r="G1682" s="8" t="s">
        <v>124</v>
      </c>
      <c r="H1682" s="8" t="s">
        <v>8670</v>
      </c>
      <c r="I1682" s="8" t="s">
        <v>9184</v>
      </c>
      <c r="J1682" s="8" t="s">
        <v>137</v>
      </c>
      <c r="K1682" s="8" t="s">
        <v>8664</v>
      </c>
      <c r="L1682" s="8"/>
      <c r="M1682" s="8"/>
      <c r="N1682" s="8" t="n">
        <v>12</v>
      </c>
      <c r="O1682" s="8" t="n">
        <v>30</v>
      </c>
      <c r="P1682" s="8" t="s">
        <v>120</v>
      </c>
    </row>
    <row r="1683" customFormat="false" ht="15" hidden="false" customHeight="false" outlineLevel="0" collapsed="false">
      <c r="A1683" s="8" t="s">
        <v>10085</v>
      </c>
      <c r="B1683" s="8" t="s">
        <v>10086</v>
      </c>
      <c r="C1683" s="8" t="s">
        <v>8680</v>
      </c>
      <c r="D1683" s="8" t="s">
        <v>132</v>
      </c>
      <c r="E1683" s="8" t="s">
        <v>51</v>
      </c>
      <c r="F1683" s="8" t="s">
        <v>2027</v>
      </c>
      <c r="G1683" s="8" t="s">
        <v>166</v>
      </c>
      <c r="H1683" s="8" t="s">
        <v>8670</v>
      </c>
      <c r="I1683" s="8" t="s">
        <v>10029</v>
      </c>
      <c r="J1683" s="8"/>
      <c r="K1683" s="8" t="s">
        <v>8690</v>
      </c>
      <c r="L1683" s="8" t="s">
        <v>10087</v>
      </c>
      <c r="M1683" s="8" t="s">
        <v>8795</v>
      </c>
      <c r="N1683" s="8" t="n">
        <v>12</v>
      </c>
      <c r="O1683" s="8" t="n">
        <v>27</v>
      </c>
      <c r="P1683" s="8" t="s">
        <v>120</v>
      </c>
    </row>
    <row r="1684" customFormat="false" ht="15" hidden="false" customHeight="false" outlineLevel="0" collapsed="false">
      <c r="A1684" s="8" t="s">
        <v>4539</v>
      </c>
      <c r="B1684" s="8" t="s">
        <v>10088</v>
      </c>
      <c r="C1684" s="8" t="s">
        <v>8669</v>
      </c>
      <c r="D1684" s="8" t="s">
        <v>132</v>
      </c>
      <c r="E1684" s="8" t="s">
        <v>51</v>
      </c>
      <c r="F1684" s="8" t="s">
        <v>326</v>
      </c>
      <c r="G1684" s="8" t="s">
        <v>118</v>
      </c>
      <c r="H1684" s="8" t="s">
        <v>8670</v>
      </c>
      <c r="I1684" s="8" t="s">
        <v>10089</v>
      </c>
      <c r="J1684" s="8"/>
      <c r="K1684" s="8" t="s">
        <v>8690</v>
      </c>
      <c r="L1684" s="8" t="s">
        <v>9884</v>
      </c>
      <c r="M1684" s="8" t="s">
        <v>8705</v>
      </c>
      <c r="N1684" s="8" t="n">
        <v>25</v>
      </c>
      <c r="O1684" s="8" t="n">
        <v>12</v>
      </c>
      <c r="P1684" s="8" t="s">
        <v>120</v>
      </c>
    </row>
    <row r="1685" customFormat="false" ht="15" hidden="false" customHeight="false" outlineLevel="0" collapsed="false">
      <c r="A1685" s="8" t="s">
        <v>10090</v>
      </c>
      <c r="B1685" s="8" t="s">
        <v>10091</v>
      </c>
      <c r="C1685" s="8" t="s">
        <v>8678</v>
      </c>
      <c r="D1685" s="8" t="s">
        <v>123</v>
      </c>
      <c r="E1685" s="8" t="s">
        <v>53</v>
      </c>
      <c r="F1685" s="8" t="s">
        <v>55</v>
      </c>
      <c r="G1685" s="8" t="s">
        <v>154</v>
      </c>
      <c r="H1685" s="8" t="s">
        <v>8670</v>
      </c>
      <c r="I1685" s="8" t="s">
        <v>10024</v>
      </c>
      <c r="J1685" s="8"/>
      <c r="K1685" s="8" t="s">
        <v>8690</v>
      </c>
      <c r="L1685" s="8" t="s">
        <v>8844</v>
      </c>
      <c r="M1685" s="8" t="s">
        <v>8692</v>
      </c>
      <c r="N1685" s="8" t="n">
        <v>45</v>
      </c>
      <c r="O1685" s="8" t="n">
        <v>192</v>
      </c>
      <c r="P1685" s="8" t="s">
        <v>120</v>
      </c>
    </row>
    <row r="1686" customFormat="false" ht="15" hidden="false" customHeight="false" outlineLevel="0" collapsed="false">
      <c r="A1686" s="8" t="s">
        <v>3938</v>
      </c>
      <c r="B1686" s="8" t="s">
        <v>3939</v>
      </c>
      <c r="C1686" s="8" t="s">
        <v>8688</v>
      </c>
      <c r="D1686" s="8" t="s">
        <v>132</v>
      </c>
      <c r="E1686" s="8" t="s">
        <v>51</v>
      </c>
      <c r="F1686" s="8" t="s">
        <v>2027</v>
      </c>
      <c r="G1686" s="8" t="s">
        <v>154</v>
      </c>
      <c r="H1686" s="8" t="s">
        <v>8675</v>
      </c>
      <c r="I1686" s="8" t="s">
        <v>10092</v>
      </c>
      <c r="J1686" s="8" t="s">
        <v>119</v>
      </c>
      <c r="K1686" s="8" t="s">
        <v>8664</v>
      </c>
      <c r="L1686" s="8"/>
      <c r="M1686" s="8"/>
      <c r="N1686" s="8" t="n">
        <v>12</v>
      </c>
      <c r="O1686" s="8" t="n">
        <v>17</v>
      </c>
      <c r="P1686" s="8" t="s">
        <v>120</v>
      </c>
    </row>
    <row r="1687" customFormat="false" ht="15" hidden="false" customHeight="false" outlineLevel="0" collapsed="false">
      <c r="A1687" s="8" t="s">
        <v>3940</v>
      </c>
      <c r="B1687" s="8" t="s">
        <v>3941</v>
      </c>
      <c r="C1687" s="8" t="s">
        <v>8669</v>
      </c>
      <c r="D1687" s="8" t="s">
        <v>128</v>
      </c>
      <c r="E1687" s="8" t="s">
        <v>51</v>
      </c>
      <c r="F1687" s="8" t="s">
        <v>2027</v>
      </c>
      <c r="G1687" s="8" t="s">
        <v>223</v>
      </c>
      <c r="H1687" s="8" t="s">
        <v>8662</v>
      </c>
      <c r="I1687" s="8" t="s">
        <v>9066</v>
      </c>
      <c r="J1687" s="8" t="s">
        <v>177</v>
      </c>
      <c r="K1687" s="8" t="s">
        <v>8664</v>
      </c>
      <c r="L1687" s="8"/>
      <c r="M1687" s="8"/>
      <c r="N1687" s="8" t="n">
        <v>12</v>
      </c>
      <c r="O1687" s="8" t="n">
        <v>13</v>
      </c>
      <c r="P1687" s="8" t="s">
        <v>120</v>
      </c>
    </row>
    <row r="1688" customFormat="false" ht="15" hidden="false" customHeight="false" outlineLevel="0" collapsed="false">
      <c r="A1688" s="8" t="s">
        <v>901</v>
      </c>
      <c r="B1688" s="8" t="s">
        <v>902</v>
      </c>
      <c r="C1688" s="8" t="s">
        <v>8669</v>
      </c>
      <c r="D1688" s="8" t="s">
        <v>132</v>
      </c>
      <c r="E1688" s="8" t="s">
        <v>53</v>
      </c>
      <c r="F1688" s="8" t="s">
        <v>326</v>
      </c>
      <c r="G1688" s="8" t="s">
        <v>133</v>
      </c>
      <c r="H1688" s="8" t="s">
        <v>8662</v>
      </c>
      <c r="I1688" s="8" t="s">
        <v>9511</v>
      </c>
      <c r="J1688" s="8" t="s">
        <v>204</v>
      </c>
      <c r="K1688" s="8" t="s">
        <v>8664</v>
      </c>
      <c r="L1688" s="8"/>
      <c r="M1688" s="8"/>
      <c r="N1688" s="8" t="n">
        <v>25</v>
      </c>
      <c r="O1688" s="8" t="n">
        <v>181</v>
      </c>
      <c r="P1688" s="8" t="s">
        <v>120</v>
      </c>
    </row>
    <row r="1689" customFormat="false" ht="15" hidden="false" customHeight="false" outlineLevel="0" collapsed="false">
      <c r="A1689" s="8" t="s">
        <v>711</v>
      </c>
      <c r="B1689" s="8" t="s">
        <v>712</v>
      </c>
      <c r="C1689" s="8" t="s">
        <v>8674</v>
      </c>
      <c r="D1689" s="8" t="s">
        <v>117</v>
      </c>
      <c r="E1689" s="8" t="s">
        <v>53</v>
      </c>
      <c r="F1689" s="8" t="s">
        <v>55</v>
      </c>
      <c r="G1689" s="8" t="s">
        <v>223</v>
      </c>
      <c r="H1689" s="8" t="s">
        <v>8670</v>
      </c>
      <c r="I1689" s="8" t="s">
        <v>8722</v>
      </c>
      <c r="J1689" s="8" t="s">
        <v>144</v>
      </c>
      <c r="K1689" s="8" t="s">
        <v>8664</v>
      </c>
      <c r="L1689" s="8"/>
      <c r="M1689" s="8"/>
      <c r="N1689" s="8" t="n">
        <v>45</v>
      </c>
      <c r="O1689" s="8" t="n">
        <v>156</v>
      </c>
      <c r="P1689" s="8" t="s">
        <v>120</v>
      </c>
    </row>
    <row r="1690" customFormat="false" ht="15" hidden="false" customHeight="false" outlineLevel="0" collapsed="false">
      <c r="A1690" s="8" t="s">
        <v>705</v>
      </c>
      <c r="B1690" s="8" t="s">
        <v>706</v>
      </c>
      <c r="C1690" s="8" t="s">
        <v>8674</v>
      </c>
      <c r="D1690" s="8" t="s">
        <v>117</v>
      </c>
      <c r="E1690" s="8" t="s">
        <v>53</v>
      </c>
      <c r="F1690" s="8" t="s">
        <v>55</v>
      </c>
      <c r="G1690" s="8" t="s">
        <v>124</v>
      </c>
      <c r="H1690" s="8" t="s">
        <v>8675</v>
      </c>
      <c r="I1690" s="8" t="s">
        <v>8955</v>
      </c>
      <c r="J1690" s="8" t="s">
        <v>144</v>
      </c>
      <c r="K1690" s="8" t="s">
        <v>8664</v>
      </c>
      <c r="L1690" s="8"/>
      <c r="M1690" s="8"/>
      <c r="N1690" s="8" t="n">
        <v>45</v>
      </c>
      <c r="O1690" s="8" t="n">
        <v>134</v>
      </c>
      <c r="P1690" s="8" t="s">
        <v>120</v>
      </c>
    </row>
    <row r="1691" customFormat="false" ht="15" hidden="false" customHeight="false" outlineLevel="0" collapsed="false">
      <c r="A1691" s="8" t="s">
        <v>3482</v>
      </c>
      <c r="B1691" s="8" t="s">
        <v>3483</v>
      </c>
      <c r="C1691" s="8" t="s">
        <v>8661</v>
      </c>
      <c r="D1691" s="8" t="s">
        <v>123</v>
      </c>
      <c r="E1691" s="8" t="s">
        <v>51</v>
      </c>
      <c r="F1691" s="8" t="s">
        <v>2027</v>
      </c>
      <c r="G1691" s="8" t="s">
        <v>154</v>
      </c>
      <c r="H1691" s="8" t="s">
        <v>8666</v>
      </c>
      <c r="I1691" s="8" t="s">
        <v>9290</v>
      </c>
      <c r="J1691" s="8" t="s">
        <v>129</v>
      </c>
      <c r="K1691" s="8" t="s">
        <v>8664</v>
      </c>
      <c r="L1691" s="8"/>
      <c r="M1691" s="8"/>
      <c r="N1691" s="8" t="n">
        <v>12</v>
      </c>
      <c r="O1691" s="8" t="n">
        <v>22</v>
      </c>
      <c r="P1691" s="8" t="s">
        <v>120</v>
      </c>
    </row>
    <row r="1692" customFormat="false" ht="15" hidden="false" customHeight="false" outlineLevel="0" collapsed="false">
      <c r="A1692" s="8" t="s">
        <v>2530</v>
      </c>
      <c r="B1692" s="8" t="s">
        <v>2531</v>
      </c>
      <c r="C1692" s="8" t="s">
        <v>8680</v>
      </c>
      <c r="D1692" s="8" t="s">
        <v>128</v>
      </c>
      <c r="E1692" s="8" t="s">
        <v>51</v>
      </c>
      <c r="F1692" s="8" t="s">
        <v>2027</v>
      </c>
      <c r="G1692" s="8" t="s">
        <v>151</v>
      </c>
      <c r="H1692" s="8" t="s">
        <v>8670</v>
      </c>
      <c r="I1692" s="8" t="s">
        <v>10052</v>
      </c>
      <c r="J1692" s="8" t="s">
        <v>125</v>
      </c>
      <c r="K1692" s="8" t="s">
        <v>8664</v>
      </c>
      <c r="L1692" s="8"/>
      <c r="M1692" s="8"/>
      <c r="N1692" s="8" t="n">
        <v>12</v>
      </c>
      <c r="O1692" s="8" t="n">
        <v>35</v>
      </c>
      <c r="P1692" s="8" t="s">
        <v>120</v>
      </c>
    </row>
    <row r="1693" customFormat="false" ht="15" hidden="false" customHeight="false" outlineLevel="0" collapsed="false">
      <c r="A1693" s="8" t="s">
        <v>3004</v>
      </c>
      <c r="B1693" s="8" t="s">
        <v>3005</v>
      </c>
      <c r="C1693" s="8" t="s">
        <v>8700</v>
      </c>
      <c r="D1693" s="8" t="s">
        <v>123</v>
      </c>
      <c r="E1693" s="8" t="s">
        <v>51</v>
      </c>
      <c r="F1693" s="8" t="s">
        <v>2027</v>
      </c>
      <c r="G1693" s="8" t="s">
        <v>118</v>
      </c>
      <c r="H1693" s="8" t="s">
        <v>8675</v>
      </c>
      <c r="I1693" s="8" t="s">
        <v>9184</v>
      </c>
      <c r="J1693" s="8" t="s">
        <v>137</v>
      </c>
      <c r="K1693" s="8" t="s">
        <v>8664</v>
      </c>
      <c r="L1693" s="8"/>
      <c r="M1693" s="8"/>
      <c r="N1693" s="8" t="n">
        <v>12</v>
      </c>
      <c r="O1693" s="8" t="n">
        <v>30</v>
      </c>
      <c r="P1693" s="8" t="s">
        <v>120</v>
      </c>
    </row>
    <row r="1694" customFormat="false" ht="15" hidden="false" customHeight="false" outlineLevel="0" collapsed="false">
      <c r="A1694" s="8" t="s">
        <v>1233</v>
      </c>
      <c r="B1694" s="8" t="s">
        <v>1234</v>
      </c>
      <c r="C1694" s="8" t="s">
        <v>8665</v>
      </c>
      <c r="D1694" s="8" t="s">
        <v>123</v>
      </c>
      <c r="E1694" s="8" t="s">
        <v>53</v>
      </c>
      <c r="F1694" s="8" t="s">
        <v>326</v>
      </c>
      <c r="G1694" s="8" t="s">
        <v>136</v>
      </c>
      <c r="H1694" s="8" t="s">
        <v>8675</v>
      </c>
      <c r="I1694" s="8" t="s">
        <v>10093</v>
      </c>
      <c r="J1694" s="8" t="s">
        <v>204</v>
      </c>
      <c r="K1694" s="8" t="s">
        <v>8664</v>
      </c>
      <c r="L1694" s="8"/>
      <c r="M1694" s="8"/>
      <c r="N1694" s="8" t="n">
        <v>25</v>
      </c>
      <c r="O1694" s="8" t="n">
        <v>156</v>
      </c>
      <c r="P1694" s="8" t="s">
        <v>120</v>
      </c>
    </row>
    <row r="1695" customFormat="false" ht="15" hidden="false" customHeight="false" outlineLevel="0" collapsed="false">
      <c r="A1695" s="8" t="s">
        <v>3844</v>
      </c>
      <c r="B1695" s="8" t="s">
        <v>3845</v>
      </c>
      <c r="C1695" s="8" t="s">
        <v>8678</v>
      </c>
      <c r="D1695" s="8" t="s">
        <v>128</v>
      </c>
      <c r="E1695" s="8" t="s">
        <v>51</v>
      </c>
      <c r="F1695" s="8" t="s">
        <v>326</v>
      </c>
      <c r="G1695" s="8" t="s">
        <v>154</v>
      </c>
      <c r="H1695" s="8" t="s">
        <v>8666</v>
      </c>
      <c r="I1695" s="8" t="s">
        <v>9525</v>
      </c>
      <c r="J1695" s="8" t="s">
        <v>129</v>
      </c>
      <c r="K1695" s="8" t="s">
        <v>8664</v>
      </c>
      <c r="L1695" s="8"/>
      <c r="M1695" s="8"/>
      <c r="N1695" s="8" t="n">
        <v>25</v>
      </c>
      <c r="O1695" s="8" t="n">
        <v>9</v>
      </c>
      <c r="P1695" s="8" t="s">
        <v>120</v>
      </c>
    </row>
    <row r="1696" customFormat="false" ht="15" hidden="false" customHeight="false" outlineLevel="0" collapsed="false">
      <c r="A1696" s="8" t="s">
        <v>320</v>
      </c>
      <c r="B1696" s="8" t="s">
        <v>321</v>
      </c>
      <c r="C1696" s="8" t="s">
        <v>8678</v>
      </c>
      <c r="D1696" s="8" t="s">
        <v>123</v>
      </c>
      <c r="E1696" s="8" t="s">
        <v>55</v>
      </c>
      <c r="F1696" s="8" t="s">
        <v>55</v>
      </c>
      <c r="G1696" s="8" t="s">
        <v>166</v>
      </c>
      <c r="H1696" s="8" t="s">
        <v>8670</v>
      </c>
      <c r="I1696" s="8" t="s">
        <v>10094</v>
      </c>
      <c r="J1696" s="8" t="s">
        <v>125</v>
      </c>
      <c r="K1696" s="8" t="s">
        <v>8664</v>
      </c>
      <c r="L1696" s="8"/>
      <c r="M1696" s="8"/>
      <c r="N1696" s="8" t="n">
        <v>45</v>
      </c>
      <c r="O1696" s="8" t="n">
        <v>374</v>
      </c>
      <c r="P1696" s="8" t="s">
        <v>148</v>
      </c>
    </row>
    <row r="1697" customFormat="false" ht="15" hidden="false" customHeight="false" outlineLevel="0" collapsed="false">
      <c r="A1697" s="8" t="s">
        <v>3112</v>
      </c>
      <c r="B1697" s="8" t="s">
        <v>3113</v>
      </c>
      <c r="C1697" s="8" t="s">
        <v>8700</v>
      </c>
      <c r="D1697" s="8" t="s">
        <v>117</v>
      </c>
      <c r="E1697" s="8" t="s">
        <v>51</v>
      </c>
      <c r="F1697" s="8" t="s">
        <v>2027</v>
      </c>
      <c r="G1697" s="8" t="s">
        <v>136</v>
      </c>
      <c r="H1697" s="8" t="s">
        <v>8675</v>
      </c>
      <c r="I1697" s="8" t="s">
        <v>10023</v>
      </c>
      <c r="J1697" s="8" t="s">
        <v>177</v>
      </c>
      <c r="K1697" s="8" t="s">
        <v>8664</v>
      </c>
      <c r="L1697" s="8"/>
      <c r="M1697" s="8"/>
      <c r="N1697" s="8" t="n">
        <v>12</v>
      </c>
      <c r="O1697" s="8" t="n">
        <v>28</v>
      </c>
      <c r="P1697" s="8" t="s">
        <v>148</v>
      </c>
    </row>
    <row r="1698" customFormat="false" ht="15" hidden="false" customHeight="false" outlineLevel="0" collapsed="false">
      <c r="A1698" s="8" t="s">
        <v>2464</v>
      </c>
      <c r="B1698" s="8" t="s">
        <v>2465</v>
      </c>
      <c r="C1698" s="8" t="s">
        <v>8680</v>
      </c>
      <c r="D1698" s="8" t="s">
        <v>117</v>
      </c>
      <c r="E1698" s="8" t="s">
        <v>51</v>
      </c>
      <c r="F1698" s="8" t="s">
        <v>2027</v>
      </c>
      <c r="G1698" s="8" t="s">
        <v>133</v>
      </c>
      <c r="H1698" s="8" t="s">
        <v>8666</v>
      </c>
      <c r="I1698" s="8" t="s">
        <v>9944</v>
      </c>
      <c r="J1698" s="8" t="s">
        <v>129</v>
      </c>
      <c r="K1698" s="8" t="s">
        <v>8664</v>
      </c>
      <c r="L1698" s="8"/>
      <c r="M1698" s="8"/>
      <c r="N1698" s="8" t="n">
        <v>12</v>
      </c>
      <c r="O1698" s="8" t="n">
        <v>39</v>
      </c>
      <c r="P1698" s="8" t="s">
        <v>120</v>
      </c>
    </row>
    <row r="1699" customFormat="false" ht="15" hidden="false" customHeight="false" outlineLevel="0" collapsed="false">
      <c r="A1699" s="8" t="s">
        <v>2908</v>
      </c>
      <c r="B1699" s="8" t="s">
        <v>2909</v>
      </c>
      <c r="C1699" s="8" t="s">
        <v>8680</v>
      </c>
      <c r="D1699" s="8" t="s">
        <v>132</v>
      </c>
      <c r="E1699" s="8" t="s">
        <v>51</v>
      </c>
      <c r="F1699" s="8" t="s">
        <v>326</v>
      </c>
      <c r="G1699" s="8" t="s">
        <v>143</v>
      </c>
      <c r="H1699" s="8" t="s">
        <v>8662</v>
      </c>
      <c r="I1699" s="8" t="s">
        <v>8722</v>
      </c>
      <c r="J1699" s="8" t="s">
        <v>144</v>
      </c>
      <c r="K1699" s="8" t="s">
        <v>8664</v>
      </c>
      <c r="L1699" s="8"/>
      <c r="M1699" s="8"/>
      <c r="N1699" s="8" t="n">
        <v>25</v>
      </c>
      <c r="O1699" s="8" t="n">
        <v>15</v>
      </c>
      <c r="P1699" s="8" t="s">
        <v>120</v>
      </c>
    </row>
    <row r="1700" customFormat="false" ht="15" hidden="false" customHeight="false" outlineLevel="0" collapsed="false">
      <c r="A1700" s="8" t="s">
        <v>2196</v>
      </c>
      <c r="B1700" s="8" t="s">
        <v>2197</v>
      </c>
      <c r="C1700" s="8" t="s">
        <v>8674</v>
      </c>
      <c r="D1700" s="8" t="s">
        <v>123</v>
      </c>
      <c r="E1700" s="8" t="s">
        <v>51</v>
      </c>
      <c r="F1700" s="8" t="s">
        <v>2027</v>
      </c>
      <c r="G1700" s="8" t="s">
        <v>133</v>
      </c>
      <c r="H1700" s="8" t="s">
        <v>8662</v>
      </c>
      <c r="I1700" s="8" t="s">
        <v>9540</v>
      </c>
      <c r="J1700" s="8" t="s">
        <v>177</v>
      </c>
      <c r="K1700" s="8" t="s">
        <v>8664</v>
      </c>
      <c r="L1700" s="8"/>
      <c r="M1700" s="8"/>
      <c r="N1700" s="8" t="n">
        <v>12</v>
      </c>
      <c r="O1700" s="8" t="n">
        <v>30</v>
      </c>
      <c r="P1700" s="8" t="s">
        <v>120</v>
      </c>
    </row>
    <row r="1701" customFormat="false" ht="15" hidden="false" customHeight="false" outlineLevel="0" collapsed="false">
      <c r="A1701" s="8" t="s">
        <v>3114</v>
      </c>
      <c r="B1701" s="8" t="s">
        <v>3115</v>
      </c>
      <c r="C1701" s="8" t="s">
        <v>8661</v>
      </c>
      <c r="D1701" s="8" t="s">
        <v>117</v>
      </c>
      <c r="E1701" s="8" t="s">
        <v>51</v>
      </c>
      <c r="F1701" s="8" t="s">
        <v>2027</v>
      </c>
      <c r="G1701" s="8" t="s">
        <v>223</v>
      </c>
      <c r="H1701" s="8" t="s">
        <v>8666</v>
      </c>
      <c r="I1701" s="8" t="s">
        <v>8691</v>
      </c>
      <c r="J1701" s="8" t="s">
        <v>204</v>
      </c>
      <c r="K1701" s="8" t="s">
        <v>8664</v>
      </c>
      <c r="L1701" s="8"/>
      <c r="M1701" s="8"/>
      <c r="N1701" s="8" t="n">
        <v>12</v>
      </c>
      <c r="O1701" s="8" t="n">
        <v>28</v>
      </c>
      <c r="P1701" s="8" t="s">
        <v>120</v>
      </c>
    </row>
    <row r="1702" customFormat="false" ht="15" hidden="false" customHeight="false" outlineLevel="0" collapsed="false">
      <c r="A1702" s="8" t="s">
        <v>2076</v>
      </c>
      <c r="B1702" s="8" t="s">
        <v>2077</v>
      </c>
      <c r="C1702" s="8" t="s">
        <v>8674</v>
      </c>
      <c r="D1702" s="8" t="s">
        <v>123</v>
      </c>
      <c r="E1702" s="8" t="s">
        <v>51</v>
      </c>
      <c r="F1702" s="8" t="s">
        <v>326</v>
      </c>
      <c r="G1702" s="8" t="s">
        <v>190</v>
      </c>
      <c r="H1702" s="8" t="s">
        <v>8670</v>
      </c>
      <c r="I1702" s="8" t="s">
        <v>9337</v>
      </c>
      <c r="J1702" s="8" t="s">
        <v>177</v>
      </c>
      <c r="K1702" s="8" t="s">
        <v>8664</v>
      </c>
      <c r="L1702" s="8"/>
      <c r="M1702" s="8"/>
      <c r="N1702" s="8" t="n">
        <v>25</v>
      </c>
      <c r="O1702" s="8" t="n">
        <v>29</v>
      </c>
      <c r="P1702" s="8" t="s">
        <v>120</v>
      </c>
    </row>
    <row r="1703" customFormat="false" ht="15" hidden="false" customHeight="false" outlineLevel="0" collapsed="false">
      <c r="A1703" s="8" t="s">
        <v>1011</v>
      </c>
      <c r="B1703" s="8" t="s">
        <v>1012</v>
      </c>
      <c r="C1703" s="8" t="s">
        <v>8669</v>
      </c>
      <c r="D1703" s="8" t="s">
        <v>117</v>
      </c>
      <c r="E1703" s="8" t="s">
        <v>53</v>
      </c>
      <c r="F1703" s="8" t="s">
        <v>326</v>
      </c>
      <c r="G1703" s="8" t="s">
        <v>136</v>
      </c>
      <c r="H1703" s="8" t="s">
        <v>8670</v>
      </c>
      <c r="I1703" s="8" t="s">
        <v>10095</v>
      </c>
      <c r="J1703" s="8" t="s">
        <v>159</v>
      </c>
      <c r="K1703" s="8" t="s">
        <v>8664</v>
      </c>
      <c r="L1703" s="8"/>
      <c r="M1703" s="8"/>
      <c r="N1703" s="8" t="n">
        <v>25</v>
      </c>
      <c r="O1703" s="8" t="n">
        <v>164</v>
      </c>
      <c r="P1703" s="8" t="s">
        <v>120</v>
      </c>
    </row>
    <row r="1704" customFormat="false" ht="15" hidden="false" customHeight="false" outlineLevel="0" collapsed="false">
      <c r="A1704" s="8" t="s">
        <v>8237</v>
      </c>
      <c r="B1704" s="8" t="s">
        <v>10096</v>
      </c>
      <c r="C1704" s="8" t="s">
        <v>8674</v>
      </c>
      <c r="D1704" s="8" t="s">
        <v>123</v>
      </c>
      <c r="E1704" s="8" t="s">
        <v>53</v>
      </c>
      <c r="F1704" s="8" t="s">
        <v>326</v>
      </c>
      <c r="G1704" s="8" t="s">
        <v>124</v>
      </c>
      <c r="H1704" s="8" t="s">
        <v>8670</v>
      </c>
      <c r="I1704" s="8" t="s">
        <v>9044</v>
      </c>
      <c r="J1704" s="8"/>
      <c r="K1704" s="8" t="s">
        <v>8690</v>
      </c>
      <c r="L1704" s="8" t="s">
        <v>8738</v>
      </c>
      <c r="M1704" s="8" t="s">
        <v>8696</v>
      </c>
      <c r="N1704" s="8" t="n">
        <v>25</v>
      </c>
      <c r="O1704" s="8" t="n">
        <v>76</v>
      </c>
      <c r="P1704" s="8" t="s">
        <v>120</v>
      </c>
    </row>
    <row r="1705" customFormat="false" ht="15" hidden="false" customHeight="false" outlineLevel="0" collapsed="false">
      <c r="A1705" s="8" t="s">
        <v>3634</v>
      </c>
      <c r="B1705" s="8" t="s">
        <v>3635</v>
      </c>
      <c r="C1705" s="8" t="s">
        <v>8661</v>
      </c>
      <c r="D1705" s="8" t="s">
        <v>132</v>
      </c>
      <c r="E1705" s="8" t="s">
        <v>51</v>
      </c>
      <c r="F1705" s="8" t="s">
        <v>326</v>
      </c>
      <c r="G1705" s="8" t="s">
        <v>136</v>
      </c>
      <c r="H1705" s="8" t="s">
        <v>8675</v>
      </c>
      <c r="I1705" s="8" t="s">
        <v>8663</v>
      </c>
      <c r="J1705" s="8" t="s">
        <v>137</v>
      </c>
      <c r="K1705" s="8" t="s">
        <v>8664</v>
      </c>
      <c r="L1705" s="8"/>
      <c r="M1705" s="8"/>
      <c r="N1705" s="8" t="n">
        <v>25</v>
      </c>
      <c r="O1705" s="8" t="n">
        <v>6</v>
      </c>
      <c r="P1705" s="8" t="s">
        <v>120</v>
      </c>
    </row>
    <row r="1706" customFormat="false" ht="15" hidden="false" customHeight="false" outlineLevel="0" collapsed="false">
      <c r="A1706" s="8" t="s">
        <v>1225</v>
      </c>
      <c r="B1706" s="8" t="s">
        <v>1226</v>
      </c>
      <c r="C1706" s="8" t="s">
        <v>8674</v>
      </c>
      <c r="D1706" s="8" t="s">
        <v>123</v>
      </c>
      <c r="E1706" s="8" t="s">
        <v>53</v>
      </c>
      <c r="F1706" s="8" t="s">
        <v>326</v>
      </c>
      <c r="G1706" s="8" t="s">
        <v>124</v>
      </c>
      <c r="H1706" s="8" t="s">
        <v>8666</v>
      </c>
      <c r="I1706" s="8" t="s">
        <v>9293</v>
      </c>
      <c r="J1706" s="8" t="s">
        <v>177</v>
      </c>
      <c r="K1706" s="8" t="s">
        <v>8664</v>
      </c>
      <c r="L1706" s="8"/>
      <c r="M1706" s="8"/>
      <c r="N1706" s="8" t="n">
        <v>25</v>
      </c>
      <c r="O1706" s="8" t="n">
        <v>132</v>
      </c>
      <c r="P1706" s="8" t="s">
        <v>120</v>
      </c>
    </row>
    <row r="1707" customFormat="false" ht="15" hidden="false" customHeight="false" outlineLevel="0" collapsed="false">
      <c r="A1707" s="8" t="s">
        <v>759</v>
      </c>
      <c r="B1707" s="8" t="s">
        <v>760</v>
      </c>
      <c r="C1707" s="8" t="s">
        <v>8688</v>
      </c>
      <c r="D1707" s="8" t="s">
        <v>123</v>
      </c>
      <c r="E1707" s="8" t="s">
        <v>53</v>
      </c>
      <c r="F1707" s="8" t="s">
        <v>326</v>
      </c>
      <c r="G1707" s="8" t="s">
        <v>223</v>
      </c>
      <c r="H1707" s="8" t="s">
        <v>8662</v>
      </c>
      <c r="I1707" s="8" t="s">
        <v>10097</v>
      </c>
      <c r="J1707" s="8" t="s">
        <v>140</v>
      </c>
      <c r="K1707" s="8" t="s">
        <v>8664</v>
      </c>
      <c r="L1707" s="8"/>
      <c r="M1707" s="8"/>
      <c r="N1707" s="8" t="n">
        <v>25</v>
      </c>
      <c r="O1707" s="8" t="n">
        <v>152</v>
      </c>
      <c r="P1707" s="8" t="s">
        <v>120</v>
      </c>
    </row>
    <row r="1708" customFormat="false" ht="15" hidden="false" customHeight="false" outlineLevel="0" collapsed="false">
      <c r="A1708" s="8" t="s">
        <v>162</v>
      </c>
      <c r="B1708" s="8" t="s">
        <v>163</v>
      </c>
      <c r="C1708" s="8" t="s">
        <v>8680</v>
      </c>
      <c r="D1708" s="8" t="s">
        <v>132</v>
      </c>
      <c r="E1708" s="8" t="s">
        <v>55</v>
      </c>
      <c r="F1708" s="8" t="s">
        <v>55</v>
      </c>
      <c r="G1708" s="8" t="s">
        <v>143</v>
      </c>
      <c r="H1708" s="8" t="s">
        <v>8662</v>
      </c>
      <c r="I1708" s="8" t="s">
        <v>9989</v>
      </c>
      <c r="J1708" s="8" t="s">
        <v>119</v>
      </c>
      <c r="K1708" s="8" t="s">
        <v>8664</v>
      </c>
      <c r="L1708" s="8"/>
      <c r="M1708" s="8"/>
      <c r="N1708" s="8" t="n">
        <v>45</v>
      </c>
      <c r="O1708" s="8" t="n">
        <v>595</v>
      </c>
      <c r="P1708" s="8" t="s">
        <v>120</v>
      </c>
    </row>
    <row r="1709" customFormat="false" ht="15" hidden="false" customHeight="false" outlineLevel="0" collapsed="false">
      <c r="A1709" s="8" t="s">
        <v>613</v>
      </c>
      <c r="B1709" s="8" t="s">
        <v>614</v>
      </c>
      <c r="C1709" s="8" t="s">
        <v>8678</v>
      </c>
      <c r="D1709" s="8" t="s">
        <v>132</v>
      </c>
      <c r="E1709" s="8" t="s">
        <v>55</v>
      </c>
      <c r="F1709" s="8" t="s">
        <v>326</v>
      </c>
      <c r="G1709" s="8" t="s">
        <v>151</v>
      </c>
      <c r="H1709" s="8" t="s">
        <v>8670</v>
      </c>
      <c r="I1709" s="8" t="s">
        <v>9775</v>
      </c>
      <c r="J1709" s="8" t="s">
        <v>180</v>
      </c>
      <c r="K1709" s="8" t="s">
        <v>8664</v>
      </c>
      <c r="L1709" s="8"/>
      <c r="M1709" s="8"/>
      <c r="N1709" s="8" t="n">
        <v>25</v>
      </c>
      <c r="O1709" s="8" t="n">
        <v>299</v>
      </c>
      <c r="P1709" s="8" t="s">
        <v>148</v>
      </c>
    </row>
    <row r="1710" customFormat="false" ht="15" hidden="false" customHeight="false" outlineLevel="0" collapsed="false">
      <c r="A1710" s="8" t="s">
        <v>1741</v>
      </c>
      <c r="B1710" s="8" t="s">
        <v>1742</v>
      </c>
      <c r="C1710" s="8" t="s">
        <v>8661</v>
      </c>
      <c r="D1710" s="8" t="s">
        <v>117</v>
      </c>
      <c r="E1710" s="8" t="s">
        <v>51</v>
      </c>
      <c r="F1710" s="8" t="s">
        <v>326</v>
      </c>
      <c r="G1710" s="8" t="s">
        <v>143</v>
      </c>
      <c r="H1710" s="8" t="s">
        <v>8675</v>
      </c>
      <c r="I1710" s="8" t="s">
        <v>10098</v>
      </c>
      <c r="J1710" s="8" t="s">
        <v>185</v>
      </c>
      <c r="K1710" s="8" t="s">
        <v>8664</v>
      </c>
      <c r="L1710" s="8"/>
      <c r="M1710" s="8"/>
      <c r="N1710" s="8" t="n">
        <v>25</v>
      </c>
      <c r="O1710" s="8" t="n">
        <v>31</v>
      </c>
      <c r="P1710" s="8" t="s">
        <v>120</v>
      </c>
    </row>
    <row r="1711" customFormat="false" ht="15" hidden="false" customHeight="false" outlineLevel="0" collapsed="false">
      <c r="A1711" s="8" t="s">
        <v>3076</v>
      </c>
      <c r="B1711" s="8" t="s">
        <v>3077</v>
      </c>
      <c r="C1711" s="8" t="s">
        <v>8661</v>
      </c>
      <c r="D1711" s="8" t="s">
        <v>123</v>
      </c>
      <c r="E1711" s="8" t="s">
        <v>51</v>
      </c>
      <c r="F1711" s="8" t="s">
        <v>2027</v>
      </c>
      <c r="G1711" s="8" t="s">
        <v>133</v>
      </c>
      <c r="H1711" s="8" t="s">
        <v>8670</v>
      </c>
      <c r="I1711" s="8" t="s">
        <v>10099</v>
      </c>
      <c r="J1711" s="8" t="s">
        <v>180</v>
      </c>
      <c r="K1711" s="8" t="s">
        <v>8664</v>
      </c>
      <c r="L1711" s="8"/>
      <c r="M1711" s="8"/>
      <c r="N1711" s="8" t="n">
        <v>12</v>
      </c>
      <c r="O1711" s="8" t="n">
        <v>29</v>
      </c>
      <c r="P1711" s="8" t="s">
        <v>120</v>
      </c>
    </row>
    <row r="1712" customFormat="false" ht="15" hidden="false" customHeight="false" outlineLevel="0" collapsed="false">
      <c r="A1712" s="8" t="s">
        <v>4362</v>
      </c>
      <c r="B1712" s="8" t="s">
        <v>4363</v>
      </c>
      <c r="C1712" s="8" t="s">
        <v>8669</v>
      </c>
      <c r="D1712" s="8" t="s">
        <v>123</v>
      </c>
      <c r="E1712" s="8" t="s">
        <v>51</v>
      </c>
      <c r="F1712" s="8" t="s">
        <v>2027</v>
      </c>
      <c r="G1712" s="8" t="s">
        <v>154</v>
      </c>
      <c r="H1712" s="8" t="s">
        <v>8675</v>
      </c>
      <c r="I1712" s="8" t="s">
        <v>9198</v>
      </c>
      <c r="J1712" s="8" t="s">
        <v>137</v>
      </c>
      <c r="K1712" s="8" t="s">
        <v>8664</v>
      </c>
      <c r="L1712" s="8"/>
      <c r="M1712" s="8"/>
      <c r="N1712" s="8" t="n">
        <v>12</v>
      </c>
      <c r="O1712" s="8" t="n">
        <v>7</v>
      </c>
      <c r="P1712" s="8" t="s">
        <v>120</v>
      </c>
    </row>
    <row r="1713" customFormat="false" ht="15" hidden="false" customHeight="false" outlineLevel="0" collapsed="false">
      <c r="A1713" s="8" t="s">
        <v>1131</v>
      </c>
      <c r="B1713" s="8" t="s">
        <v>1132</v>
      </c>
      <c r="C1713" s="8" t="s">
        <v>8700</v>
      </c>
      <c r="D1713" s="8" t="s">
        <v>123</v>
      </c>
      <c r="E1713" s="8" t="s">
        <v>53</v>
      </c>
      <c r="F1713" s="8" t="s">
        <v>326</v>
      </c>
      <c r="G1713" s="8" t="s">
        <v>133</v>
      </c>
      <c r="H1713" s="8" t="s">
        <v>8675</v>
      </c>
      <c r="I1713" s="8" t="s">
        <v>9745</v>
      </c>
      <c r="J1713" s="8" t="s">
        <v>140</v>
      </c>
      <c r="K1713" s="8" t="s">
        <v>8664</v>
      </c>
      <c r="L1713" s="8"/>
      <c r="M1713" s="8"/>
      <c r="N1713" s="8" t="n">
        <v>25</v>
      </c>
      <c r="O1713" s="8" t="n">
        <v>126</v>
      </c>
      <c r="P1713" s="8" t="s">
        <v>120</v>
      </c>
    </row>
    <row r="1714" customFormat="false" ht="15" hidden="false" customHeight="false" outlineLevel="0" collapsed="false">
      <c r="A1714" s="8" t="s">
        <v>2706</v>
      </c>
      <c r="B1714" s="8" t="s">
        <v>2707</v>
      </c>
      <c r="C1714" s="8" t="s">
        <v>8688</v>
      </c>
      <c r="D1714" s="8" t="s">
        <v>123</v>
      </c>
      <c r="E1714" s="8" t="s">
        <v>51</v>
      </c>
      <c r="F1714" s="8" t="s">
        <v>2027</v>
      </c>
      <c r="G1714" s="8" t="s">
        <v>136</v>
      </c>
      <c r="H1714" s="8" t="s">
        <v>8662</v>
      </c>
      <c r="I1714" s="8" t="s">
        <v>9435</v>
      </c>
      <c r="J1714" s="8" t="s">
        <v>125</v>
      </c>
      <c r="K1714" s="8" t="s">
        <v>8664</v>
      </c>
      <c r="L1714" s="8"/>
      <c r="M1714" s="8"/>
      <c r="N1714" s="8" t="n">
        <v>12</v>
      </c>
      <c r="O1714" s="8" t="n">
        <v>35</v>
      </c>
      <c r="P1714" s="8" t="s">
        <v>120</v>
      </c>
    </row>
    <row r="1715" customFormat="false" ht="15" hidden="false" customHeight="false" outlineLevel="0" collapsed="false">
      <c r="A1715" s="8" t="s">
        <v>1519</v>
      </c>
      <c r="B1715" s="8" t="s">
        <v>1520</v>
      </c>
      <c r="C1715" s="8" t="s">
        <v>8678</v>
      </c>
      <c r="D1715" s="8" t="s">
        <v>123</v>
      </c>
      <c r="E1715" s="8" t="s">
        <v>53</v>
      </c>
      <c r="F1715" s="8" t="s">
        <v>326</v>
      </c>
      <c r="G1715" s="8" t="s">
        <v>154</v>
      </c>
      <c r="H1715" s="8" t="s">
        <v>8670</v>
      </c>
      <c r="I1715" s="8" t="s">
        <v>9846</v>
      </c>
      <c r="J1715" s="8" t="s">
        <v>137</v>
      </c>
      <c r="K1715" s="8" t="s">
        <v>8664</v>
      </c>
      <c r="L1715" s="8"/>
      <c r="M1715" s="8"/>
      <c r="N1715" s="8" t="n">
        <v>25</v>
      </c>
      <c r="O1715" s="8" t="n">
        <v>89</v>
      </c>
      <c r="P1715" s="8" t="s">
        <v>120</v>
      </c>
    </row>
    <row r="1716" customFormat="false" ht="15" hidden="false" customHeight="false" outlineLevel="0" collapsed="false">
      <c r="A1716" s="8" t="s">
        <v>1241</v>
      </c>
      <c r="B1716" s="8" t="s">
        <v>1242</v>
      </c>
      <c r="C1716" s="8" t="s">
        <v>8688</v>
      </c>
      <c r="D1716" s="8" t="s">
        <v>123</v>
      </c>
      <c r="E1716" s="8" t="s">
        <v>53</v>
      </c>
      <c r="F1716" s="8" t="s">
        <v>326</v>
      </c>
      <c r="G1716" s="8" t="s">
        <v>143</v>
      </c>
      <c r="H1716" s="8" t="s">
        <v>8670</v>
      </c>
      <c r="I1716" s="8" t="s">
        <v>9703</v>
      </c>
      <c r="J1716" s="8" t="s">
        <v>137</v>
      </c>
      <c r="K1716" s="8" t="s">
        <v>8664</v>
      </c>
      <c r="L1716" s="8"/>
      <c r="M1716" s="8"/>
      <c r="N1716" s="8" t="n">
        <v>25</v>
      </c>
      <c r="O1716" s="8" t="n">
        <v>93</v>
      </c>
      <c r="P1716" s="8" t="s">
        <v>120</v>
      </c>
    </row>
    <row r="1717" customFormat="false" ht="15" hidden="false" customHeight="false" outlineLevel="0" collapsed="false">
      <c r="A1717" s="8" t="s">
        <v>3006</v>
      </c>
      <c r="B1717" s="8" t="s">
        <v>3007</v>
      </c>
      <c r="C1717" s="8" t="s">
        <v>8665</v>
      </c>
      <c r="D1717" s="8" t="s">
        <v>128</v>
      </c>
      <c r="E1717" s="8" t="s">
        <v>51</v>
      </c>
      <c r="F1717" s="8" t="s">
        <v>2027</v>
      </c>
      <c r="G1717" s="8" t="s">
        <v>133</v>
      </c>
      <c r="H1717" s="8" t="s">
        <v>8666</v>
      </c>
      <c r="I1717" s="8" t="s">
        <v>8704</v>
      </c>
      <c r="J1717" s="8" t="s">
        <v>129</v>
      </c>
      <c r="K1717" s="8" t="s">
        <v>8664</v>
      </c>
      <c r="L1717" s="8"/>
      <c r="M1717" s="8"/>
      <c r="N1717" s="8" t="n">
        <v>12</v>
      </c>
      <c r="O1717" s="8" t="n">
        <v>30</v>
      </c>
      <c r="P1717" s="8" t="s">
        <v>120</v>
      </c>
    </row>
    <row r="1718" customFormat="false" ht="15" hidden="false" customHeight="false" outlineLevel="0" collapsed="false">
      <c r="A1718" s="8" t="s">
        <v>1713</v>
      </c>
      <c r="B1718" s="8" t="s">
        <v>1714</v>
      </c>
      <c r="C1718" s="8" t="s">
        <v>8665</v>
      </c>
      <c r="D1718" s="8" t="s">
        <v>132</v>
      </c>
      <c r="E1718" s="8" t="s">
        <v>53</v>
      </c>
      <c r="F1718" s="8" t="s">
        <v>326</v>
      </c>
      <c r="G1718" s="8" t="s">
        <v>190</v>
      </c>
      <c r="H1718" s="8" t="s">
        <v>8666</v>
      </c>
      <c r="I1718" s="8" t="s">
        <v>9429</v>
      </c>
      <c r="J1718" s="8" t="s">
        <v>180</v>
      </c>
      <c r="K1718" s="8" t="s">
        <v>8664</v>
      </c>
      <c r="L1718" s="8"/>
      <c r="M1718" s="8"/>
      <c r="N1718" s="8" t="n">
        <v>25</v>
      </c>
      <c r="O1718" s="8" t="n">
        <v>53</v>
      </c>
      <c r="P1718" s="8" t="s">
        <v>199</v>
      </c>
    </row>
    <row r="1719" customFormat="false" ht="15" hidden="false" customHeight="false" outlineLevel="0" collapsed="false">
      <c r="A1719" s="8" t="s">
        <v>4475</v>
      </c>
      <c r="B1719" s="8" t="s">
        <v>10100</v>
      </c>
      <c r="C1719" s="8" t="s">
        <v>8700</v>
      </c>
      <c r="D1719" s="8" t="s">
        <v>117</v>
      </c>
      <c r="E1719" s="8" t="s">
        <v>53</v>
      </c>
      <c r="F1719" s="8" t="s">
        <v>326</v>
      </c>
      <c r="G1719" s="8" t="s">
        <v>190</v>
      </c>
      <c r="H1719" s="8" t="s">
        <v>8662</v>
      </c>
      <c r="I1719" s="8" t="s">
        <v>8717</v>
      </c>
      <c r="J1719" s="8"/>
      <c r="K1719" s="8" t="s">
        <v>8690</v>
      </c>
      <c r="L1719" s="8" t="s">
        <v>9934</v>
      </c>
      <c r="M1719" s="8" t="s">
        <v>8705</v>
      </c>
      <c r="N1719" s="8" t="n">
        <v>25</v>
      </c>
      <c r="O1719" s="8" t="n">
        <v>78</v>
      </c>
      <c r="P1719" s="8" t="s">
        <v>120</v>
      </c>
    </row>
    <row r="1720" customFormat="false" ht="15" hidden="false" customHeight="false" outlineLevel="0" collapsed="false">
      <c r="A1720" s="8" t="s">
        <v>673</v>
      </c>
      <c r="B1720" s="8" t="s">
        <v>674</v>
      </c>
      <c r="C1720" s="8" t="s">
        <v>8665</v>
      </c>
      <c r="D1720" s="8" t="s">
        <v>132</v>
      </c>
      <c r="E1720" s="8" t="s">
        <v>53</v>
      </c>
      <c r="F1720" s="8" t="s">
        <v>55</v>
      </c>
      <c r="G1720" s="8" t="s">
        <v>166</v>
      </c>
      <c r="H1720" s="8" t="s">
        <v>8666</v>
      </c>
      <c r="I1720" s="8" t="s">
        <v>9453</v>
      </c>
      <c r="J1720" s="8" t="s">
        <v>125</v>
      </c>
      <c r="K1720" s="8" t="s">
        <v>8664</v>
      </c>
      <c r="L1720" s="8"/>
      <c r="M1720" s="8"/>
      <c r="N1720" s="8" t="n">
        <v>45</v>
      </c>
      <c r="O1720" s="8" t="n">
        <v>126</v>
      </c>
      <c r="P1720" s="8" t="s">
        <v>120</v>
      </c>
    </row>
    <row r="1721" customFormat="false" ht="15" hidden="false" customHeight="false" outlineLevel="0" collapsed="false">
      <c r="A1721" s="8" t="s">
        <v>3720</v>
      </c>
      <c r="B1721" s="8" t="s">
        <v>3721</v>
      </c>
      <c r="C1721" s="8" t="s">
        <v>8674</v>
      </c>
      <c r="D1721" s="8" t="s">
        <v>132</v>
      </c>
      <c r="E1721" s="8" t="s">
        <v>51</v>
      </c>
      <c r="F1721" s="8" t="s">
        <v>2027</v>
      </c>
      <c r="G1721" s="8" t="s">
        <v>133</v>
      </c>
      <c r="H1721" s="8" t="s">
        <v>8662</v>
      </c>
      <c r="I1721" s="8" t="s">
        <v>8706</v>
      </c>
      <c r="J1721" s="8" t="s">
        <v>125</v>
      </c>
      <c r="K1721" s="8" t="s">
        <v>8664</v>
      </c>
      <c r="L1721" s="8"/>
      <c r="M1721" s="8"/>
      <c r="N1721" s="8" t="n">
        <v>12</v>
      </c>
      <c r="O1721" s="8" t="n">
        <v>17</v>
      </c>
      <c r="P1721" s="8" t="s">
        <v>120</v>
      </c>
    </row>
    <row r="1722" customFormat="false" ht="15" hidden="false" customHeight="false" outlineLevel="0" collapsed="false">
      <c r="A1722" s="8" t="s">
        <v>4530</v>
      </c>
      <c r="B1722" s="8" t="s">
        <v>10101</v>
      </c>
      <c r="C1722" s="8" t="s">
        <v>8661</v>
      </c>
      <c r="D1722" s="8" t="s">
        <v>123</v>
      </c>
      <c r="E1722" s="8" t="s">
        <v>51</v>
      </c>
      <c r="F1722" s="8" t="s">
        <v>2027</v>
      </c>
      <c r="G1722" s="8" t="s">
        <v>151</v>
      </c>
      <c r="H1722" s="8" t="s">
        <v>8662</v>
      </c>
      <c r="I1722" s="8" t="s">
        <v>9652</v>
      </c>
      <c r="J1722" s="8"/>
      <c r="K1722" s="8" t="s">
        <v>8690</v>
      </c>
      <c r="L1722" s="8" t="s">
        <v>9019</v>
      </c>
      <c r="M1722" s="8" t="s">
        <v>8692</v>
      </c>
      <c r="N1722" s="8" t="n">
        <v>12</v>
      </c>
      <c r="O1722" s="8" t="n">
        <v>28</v>
      </c>
      <c r="P1722" s="8" t="s">
        <v>120</v>
      </c>
    </row>
    <row r="1723" customFormat="false" ht="15" hidden="false" customHeight="false" outlineLevel="0" collapsed="false">
      <c r="A1723" s="8" t="s">
        <v>138</v>
      </c>
      <c r="B1723" s="8" t="s">
        <v>139</v>
      </c>
      <c r="C1723" s="8" t="s">
        <v>8674</v>
      </c>
      <c r="D1723" s="8" t="s">
        <v>123</v>
      </c>
      <c r="E1723" s="8" t="s">
        <v>55</v>
      </c>
      <c r="F1723" s="8" t="s">
        <v>55</v>
      </c>
      <c r="G1723" s="8" t="s">
        <v>124</v>
      </c>
      <c r="H1723" s="8" t="s">
        <v>8666</v>
      </c>
      <c r="I1723" s="8" t="s">
        <v>8967</v>
      </c>
      <c r="J1723" s="8" t="s">
        <v>140</v>
      </c>
      <c r="K1723" s="8" t="s">
        <v>8664</v>
      </c>
      <c r="L1723" s="8"/>
      <c r="M1723" s="8"/>
      <c r="N1723" s="8" t="n">
        <v>45</v>
      </c>
      <c r="O1723" s="8" t="n">
        <v>398</v>
      </c>
      <c r="P1723" s="8" t="s">
        <v>120</v>
      </c>
    </row>
    <row r="1724" customFormat="false" ht="15" hidden="false" customHeight="false" outlineLevel="0" collapsed="false">
      <c r="A1724" s="8" t="s">
        <v>4507</v>
      </c>
      <c r="B1724" s="8" t="s">
        <v>10102</v>
      </c>
      <c r="C1724" s="8" t="s">
        <v>8678</v>
      </c>
      <c r="D1724" s="8" t="s">
        <v>123</v>
      </c>
      <c r="E1724" s="8" t="s">
        <v>51</v>
      </c>
      <c r="F1724" s="8" t="s">
        <v>326</v>
      </c>
      <c r="G1724" s="8" t="s">
        <v>166</v>
      </c>
      <c r="H1724" s="8" t="s">
        <v>8662</v>
      </c>
      <c r="I1724" s="8" t="s">
        <v>9078</v>
      </c>
      <c r="J1724" s="8"/>
      <c r="K1724" s="8" t="s">
        <v>8690</v>
      </c>
      <c r="L1724" s="8" t="s">
        <v>9754</v>
      </c>
      <c r="M1724" s="8" t="s">
        <v>8696</v>
      </c>
      <c r="N1724" s="8" t="n">
        <v>25</v>
      </c>
      <c r="O1724" s="8" t="n">
        <v>18</v>
      </c>
      <c r="P1724" s="8" t="s">
        <v>120</v>
      </c>
    </row>
    <row r="1725" customFormat="false" ht="15" hidden="false" customHeight="false" outlineLevel="0" collapsed="false">
      <c r="A1725" s="8" t="s">
        <v>735</v>
      </c>
      <c r="B1725" s="8" t="s">
        <v>736</v>
      </c>
      <c r="C1725" s="8" t="s">
        <v>8674</v>
      </c>
      <c r="D1725" s="8" t="s">
        <v>123</v>
      </c>
      <c r="E1725" s="8" t="s">
        <v>53</v>
      </c>
      <c r="F1725" s="8" t="s">
        <v>55</v>
      </c>
      <c r="G1725" s="8" t="s">
        <v>124</v>
      </c>
      <c r="H1725" s="8" t="s">
        <v>8675</v>
      </c>
      <c r="I1725" s="8" t="s">
        <v>8747</v>
      </c>
      <c r="J1725" s="8" t="s">
        <v>137</v>
      </c>
      <c r="K1725" s="8" t="s">
        <v>8664</v>
      </c>
      <c r="L1725" s="8"/>
      <c r="M1725" s="8"/>
      <c r="N1725" s="8" t="n">
        <v>45</v>
      </c>
      <c r="O1725" s="8" t="n">
        <v>125</v>
      </c>
      <c r="P1725" s="8" t="s">
        <v>120</v>
      </c>
    </row>
    <row r="1726" customFormat="false" ht="15" hidden="false" customHeight="false" outlineLevel="0" collapsed="false">
      <c r="A1726" s="8" t="s">
        <v>3974</v>
      </c>
      <c r="B1726" s="8" t="s">
        <v>3975</v>
      </c>
      <c r="C1726" s="8" t="s">
        <v>8665</v>
      </c>
      <c r="D1726" s="8" t="s">
        <v>132</v>
      </c>
      <c r="E1726" s="8" t="s">
        <v>51</v>
      </c>
      <c r="F1726" s="8" t="s">
        <v>326</v>
      </c>
      <c r="G1726" s="8" t="s">
        <v>118</v>
      </c>
      <c r="H1726" s="8" t="s">
        <v>8675</v>
      </c>
      <c r="I1726" s="8" t="s">
        <v>10103</v>
      </c>
      <c r="J1726" s="8" t="s">
        <v>159</v>
      </c>
      <c r="K1726" s="8" t="s">
        <v>8664</v>
      </c>
      <c r="L1726" s="8"/>
      <c r="M1726" s="8"/>
      <c r="N1726" s="8" t="n">
        <v>25</v>
      </c>
      <c r="O1726" s="8" t="n">
        <v>6</v>
      </c>
      <c r="P1726" s="8" t="s">
        <v>148</v>
      </c>
    </row>
    <row r="1727" customFormat="false" ht="15" hidden="false" customHeight="false" outlineLevel="0" collapsed="false">
      <c r="A1727" s="8" t="s">
        <v>10104</v>
      </c>
      <c r="B1727" s="8" t="s">
        <v>10105</v>
      </c>
      <c r="C1727" s="8" t="s">
        <v>8669</v>
      </c>
      <c r="D1727" s="8" t="s">
        <v>117</v>
      </c>
      <c r="E1727" s="8" t="s">
        <v>53</v>
      </c>
      <c r="F1727" s="8" t="s">
        <v>326</v>
      </c>
      <c r="G1727" s="8" t="s">
        <v>223</v>
      </c>
      <c r="H1727" s="8" t="s">
        <v>8670</v>
      </c>
      <c r="I1727" s="8" t="s">
        <v>9848</v>
      </c>
      <c r="J1727" s="8"/>
      <c r="K1727" s="8" t="s">
        <v>8690</v>
      </c>
      <c r="L1727" s="8" t="s">
        <v>9634</v>
      </c>
      <c r="M1727" s="8" t="s">
        <v>8795</v>
      </c>
      <c r="N1727" s="8" t="n">
        <v>25</v>
      </c>
      <c r="O1727" s="8" t="n">
        <v>105</v>
      </c>
      <c r="P1727" s="8" t="s">
        <v>120</v>
      </c>
    </row>
    <row r="1728" customFormat="false" ht="15" hidden="false" customHeight="false" outlineLevel="0" collapsed="false">
      <c r="A1728" s="8" t="s">
        <v>1219</v>
      </c>
      <c r="B1728" s="8" t="s">
        <v>1220</v>
      </c>
      <c r="C1728" s="8" t="s">
        <v>8674</v>
      </c>
      <c r="D1728" s="8" t="s">
        <v>117</v>
      </c>
      <c r="E1728" s="8" t="s">
        <v>53</v>
      </c>
      <c r="F1728" s="8" t="s">
        <v>326</v>
      </c>
      <c r="G1728" s="8" t="s">
        <v>143</v>
      </c>
      <c r="H1728" s="8" t="s">
        <v>8670</v>
      </c>
      <c r="I1728" s="8" t="s">
        <v>9419</v>
      </c>
      <c r="J1728" s="8" t="s">
        <v>119</v>
      </c>
      <c r="K1728" s="8" t="s">
        <v>8664</v>
      </c>
      <c r="L1728" s="8"/>
      <c r="M1728" s="8"/>
      <c r="N1728" s="8" t="n">
        <v>25</v>
      </c>
      <c r="O1728" s="8" t="n">
        <v>134</v>
      </c>
      <c r="P1728" s="8" t="s">
        <v>120</v>
      </c>
    </row>
    <row r="1729" customFormat="false" ht="15" hidden="false" customHeight="false" outlineLevel="0" collapsed="false">
      <c r="A1729" s="8" t="s">
        <v>2050</v>
      </c>
      <c r="B1729" s="8" t="s">
        <v>2051</v>
      </c>
      <c r="C1729" s="8" t="s">
        <v>8700</v>
      </c>
      <c r="D1729" s="8" t="s">
        <v>117</v>
      </c>
      <c r="E1729" s="8" t="s">
        <v>51</v>
      </c>
      <c r="F1729" s="8" t="s">
        <v>326</v>
      </c>
      <c r="G1729" s="8" t="s">
        <v>190</v>
      </c>
      <c r="H1729" s="8" t="s">
        <v>8670</v>
      </c>
      <c r="I1729" s="8" t="s">
        <v>9117</v>
      </c>
      <c r="J1729" s="8" t="s">
        <v>137</v>
      </c>
      <c r="K1729" s="8" t="s">
        <v>8664</v>
      </c>
      <c r="L1729" s="8"/>
      <c r="M1729" s="8"/>
      <c r="N1729" s="8" t="n">
        <v>25</v>
      </c>
      <c r="O1729" s="8" t="n">
        <v>30</v>
      </c>
      <c r="P1729" s="8" t="s">
        <v>120</v>
      </c>
    </row>
    <row r="1730" customFormat="false" ht="15" hidden="false" customHeight="false" outlineLevel="0" collapsed="false">
      <c r="A1730" s="8" t="s">
        <v>10106</v>
      </c>
      <c r="B1730" s="8" t="s">
        <v>10107</v>
      </c>
      <c r="C1730" s="8" t="s">
        <v>8669</v>
      </c>
      <c r="D1730" s="8" t="s">
        <v>117</v>
      </c>
      <c r="E1730" s="8" t="s">
        <v>53</v>
      </c>
      <c r="F1730" s="8" t="s">
        <v>326</v>
      </c>
      <c r="G1730" s="8" t="s">
        <v>118</v>
      </c>
      <c r="H1730" s="8" t="s">
        <v>8666</v>
      </c>
      <c r="I1730" s="8" t="s">
        <v>10108</v>
      </c>
      <c r="J1730" s="8"/>
      <c r="K1730" s="8" t="s">
        <v>8690</v>
      </c>
      <c r="L1730" s="8" t="s">
        <v>8677</v>
      </c>
      <c r="M1730" s="8" t="s">
        <v>8696</v>
      </c>
      <c r="N1730" s="8" t="n">
        <v>25</v>
      </c>
      <c r="O1730" s="8" t="n">
        <v>52</v>
      </c>
      <c r="P1730" s="8" t="s">
        <v>120</v>
      </c>
    </row>
    <row r="1731" customFormat="false" ht="15" hidden="false" customHeight="false" outlineLevel="0" collapsed="false">
      <c r="A1731" s="8" t="s">
        <v>911</v>
      </c>
      <c r="B1731" s="8" t="s">
        <v>912</v>
      </c>
      <c r="C1731" s="8" t="s">
        <v>8661</v>
      </c>
      <c r="D1731" s="8" t="s">
        <v>123</v>
      </c>
      <c r="E1731" s="8" t="s">
        <v>53</v>
      </c>
      <c r="F1731" s="8" t="s">
        <v>326</v>
      </c>
      <c r="G1731" s="8" t="s">
        <v>136</v>
      </c>
      <c r="H1731" s="8" t="s">
        <v>8675</v>
      </c>
      <c r="I1731" s="8" t="s">
        <v>9059</v>
      </c>
      <c r="J1731" s="8" t="s">
        <v>159</v>
      </c>
      <c r="K1731" s="8" t="s">
        <v>8664</v>
      </c>
      <c r="L1731" s="8"/>
      <c r="M1731" s="8"/>
      <c r="N1731" s="8" t="n">
        <v>25</v>
      </c>
      <c r="O1731" s="8" t="n">
        <v>152</v>
      </c>
      <c r="P1731" s="8" t="s">
        <v>148</v>
      </c>
    </row>
    <row r="1732" customFormat="false" ht="15" hidden="false" customHeight="false" outlineLevel="0" collapsed="false">
      <c r="A1732" s="8" t="s">
        <v>1099</v>
      </c>
      <c r="B1732" s="8" t="s">
        <v>1100</v>
      </c>
      <c r="C1732" s="8" t="s">
        <v>8661</v>
      </c>
      <c r="D1732" s="8" t="s">
        <v>128</v>
      </c>
      <c r="E1732" s="8" t="s">
        <v>53</v>
      </c>
      <c r="F1732" s="8" t="s">
        <v>55</v>
      </c>
      <c r="G1732" s="8" t="s">
        <v>133</v>
      </c>
      <c r="H1732" s="8" t="s">
        <v>8670</v>
      </c>
      <c r="I1732" s="8" t="s">
        <v>9570</v>
      </c>
      <c r="J1732" s="8" t="s">
        <v>144</v>
      </c>
      <c r="K1732" s="8" t="s">
        <v>8664</v>
      </c>
      <c r="L1732" s="8"/>
      <c r="M1732" s="8"/>
      <c r="N1732" s="8" t="n">
        <v>45</v>
      </c>
      <c r="O1732" s="8" t="n">
        <v>83</v>
      </c>
      <c r="P1732" s="8" t="s">
        <v>120</v>
      </c>
    </row>
    <row r="1733" customFormat="false" ht="15" hidden="false" customHeight="false" outlineLevel="0" collapsed="false">
      <c r="A1733" s="8" t="s">
        <v>815</v>
      </c>
      <c r="B1733" s="8" t="s">
        <v>816</v>
      </c>
      <c r="C1733" s="8" t="s">
        <v>8688</v>
      </c>
      <c r="D1733" s="8" t="s">
        <v>123</v>
      </c>
      <c r="E1733" s="8" t="s">
        <v>53</v>
      </c>
      <c r="F1733" s="8" t="s">
        <v>326</v>
      </c>
      <c r="G1733" s="8" t="s">
        <v>133</v>
      </c>
      <c r="H1733" s="8" t="s">
        <v>8662</v>
      </c>
      <c r="I1733" s="8" t="s">
        <v>10109</v>
      </c>
      <c r="J1733" s="8" t="s">
        <v>147</v>
      </c>
      <c r="K1733" s="8" t="s">
        <v>8664</v>
      </c>
      <c r="L1733" s="8"/>
      <c r="M1733" s="8"/>
      <c r="N1733" s="8" t="n">
        <v>25</v>
      </c>
      <c r="O1733" s="8" t="n">
        <v>194</v>
      </c>
      <c r="P1733" s="8" t="s">
        <v>120</v>
      </c>
    </row>
    <row r="1734" customFormat="false" ht="15" hidden="false" customHeight="false" outlineLevel="0" collapsed="false">
      <c r="A1734" s="8" t="s">
        <v>659</v>
      </c>
      <c r="B1734" s="8" t="s">
        <v>660</v>
      </c>
      <c r="C1734" s="8" t="s">
        <v>8688</v>
      </c>
      <c r="D1734" s="8" t="s">
        <v>117</v>
      </c>
      <c r="E1734" s="8" t="s">
        <v>53</v>
      </c>
      <c r="F1734" s="8" t="s">
        <v>55</v>
      </c>
      <c r="G1734" s="8" t="s">
        <v>223</v>
      </c>
      <c r="H1734" s="8" t="s">
        <v>8662</v>
      </c>
      <c r="I1734" s="8" t="s">
        <v>9815</v>
      </c>
      <c r="J1734" s="8" t="s">
        <v>119</v>
      </c>
      <c r="K1734" s="8" t="s">
        <v>8664</v>
      </c>
      <c r="L1734" s="8"/>
      <c r="M1734" s="8"/>
      <c r="N1734" s="8" t="n">
        <v>45</v>
      </c>
      <c r="O1734" s="8" t="n">
        <v>149</v>
      </c>
      <c r="P1734" s="8" t="s">
        <v>120</v>
      </c>
    </row>
    <row r="1735" customFormat="false" ht="15" hidden="false" customHeight="false" outlineLevel="0" collapsed="false">
      <c r="A1735" s="8" t="s">
        <v>1715</v>
      </c>
      <c r="B1735" s="8" t="s">
        <v>1716</v>
      </c>
      <c r="C1735" s="8" t="s">
        <v>8665</v>
      </c>
      <c r="D1735" s="8" t="s">
        <v>123</v>
      </c>
      <c r="E1735" s="8" t="s">
        <v>51</v>
      </c>
      <c r="F1735" s="8" t="s">
        <v>326</v>
      </c>
      <c r="G1735" s="8" t="s">
        <v>133</v>
      </c>
      <c r="H1735" s="8" t="s">
        <v>8666</v>
      </c>
      <c r="I1735" s="8" t="s">
        <v>10110</v>
      </c>
      <c r="J1735" s="8" t="s">
        <v>125</v>
      </c>
      <c r="K1735" s="8" t="s">
        <v>8664</v>
      </c>
      <c r="L1735" s="8"/>
      <c r="M1735" s="8"/>
      <c r="N1735" s="8" t="n">
        <v>25</v>
      </c>
      <c r="O1735" s="8" t="n">
        <v>36</v>
      </c>
      <c r="P1735" s="8" t="s">
        <v>120</v>
      </c>
    </row>
    <row r="1736" customFormat="false" ht="15" hidden="false" customHeight="false" outlineLevel="0" collapsed="false">
      <c r="A1736" s="8" t="s">
        <v>4186</v>
      </c>
      <c r="B1736" s="8" t="s">
        <v>4187</v>
      </c>
      <c r="C1736" s="8" t="s">
        <v>8665</v>
      </c>
      <c r="D1736" s="8" t="s">
        <v>117</v>
      </c>
      <c r="E1736" s="8" t="s">
        <v>51</v>
      </c>
      <c r="F1736" s="8" t="s">
        <v>2027</v>
      </c>
      <c r="G1736" s="8" t="s">
        <v>124</v>
      </c>
      <c r="H1736" s="8" t="s">
        <v>8662</v>
      </c>
      <c r="I1736" s="8" t="s">
        <v>9538</v>
      </c>
      <c r="J1736" s="8" t="s">
        <v>204</v>
      </c>
      <c r="K1736" s="8" t="s">
        <v>8664</v>
      </c>
      <c r="L1736" s="8"/>
      <c r="M1736" s="8"/>
      <c r="N1736" s="8" t="n">
        <v>12</v>
      </c>
      <c r="O1736" s="8" t="n">
        <v>9</v>
      </c>
      <c r="P1736" s="8" t="s">
        <v>120</v>
      </c>
    </row>
    <row r="1737" customFormat="false" ht="15" hidden="false" customHeight="false" outlineLevel="0" collapsed="false">
      <c r="A1737" s="8" t="s">
        <v>1751</v>
      </c>
      <c r="B1737" s="8" t="s">
        <v>1752</v>
      </c>
      <c r="C1737" s="8" t="s">
        <v>8661</v>
      </c>
      <c r="D1737" s="8" t="s">
        <v>132</v>
      </c>
      <c r="E1737" s="8" t="s">
        <v>53</v>
      </c>
      <c r="F1737" s="8" t="s">
        <v>326</v>
      </c>
      <c r="G1737" s="8" t="s">
        <v>166</v>
      </c>
      <c r="H1737" s="8" t="s">
        <v>8666</v>
      </c>
      <c r="I1737" s="8" t="s">
        <v>9733</v>
      </c>
      <c r="J1737" s="8" t="s">
        <v>180</v>
      </c>
      <c r="K1737" s="8" t="s">
        <v>8664</v>
      </c>
      <c r="L1737" s="8"/>
      <c r="M1737" s="8"/>
      <c r="N1737" s="8" t="n">
        <v>25</v>
      </c>
      <c r="O1737" s="8" t="n">
        <v>48</v>
      </c>
      <c r="P1737" s="8" t="s">
        <v>199</v>
      </c>
    </row>
    <row r="1738" customFormat="false" ht="15" hidden="false" customHeight="false" outlineLevel="0" collapsed="false">
      <c r="A1738" s="8" t="s">
        <v>4008</v>
      </c>
      <c r="B1738" s="8" t="s">
        <v>4009</v>
      </c>
      <c r="C1738" s="8" t="s">
        <v>8700</v>
      </c>
      <c r="D1738" s="8" t="s">
        <v>132</v>
      </c>
      <c r="E1738" s="8" t="s">
        <v>51</v>
      </c>
      <c r="F1738" s="8" t="s">
        <v>2027</v>
      </c>
      <c r="G1738" s="8" t="s">
        <v>223</v>
      </c>
      <c r="H1738" s="8" t="s">
        <v>8670</v>
      </c>
      <c r="I1738" s="8" t="s">
        <v>9395</v>
      </c>
      <c r="J1738" s="8" t="s">
        <v>119</v>
      </c>
      <c r="K1738" s="8" t="s">
        <v>8664</v>
      </c>
      <c r="L1738" s="8"/>
      <c r="M1738" s="8"/>
      <c r="N1738" s="8" t="n">
        <v>12</v>
      </c>
      <c r="O1738" s="8" t="n">
        <v>12</v>
      </c>
      <c r="P1738" s="8" t="s">
        <v>120</v>
      </c>
    </row>
    <row r="1739" customFormat="false" ht="15" hidden="false" customHeight="false" outlineLevel="0" collapsed="false">
      <c r="A1739" s="8" t="s">
        <v>4459</v>
      </c>
      <c r="B1739" s="8" t="s">
        <v>10111</v>
      </c>
      <c r="C1739" s="8" t="s">
        <v>8661</v>
      </c>
      <c r="D1739" s="8" t="s">
        <v>132</v>
      </c>
      <c r="E1739" s="8" t="s">
        <v>53</v>
      </c>
      <c r="F1739" s="8" t="s">
        <v>326</v>
      </c>
      <c r="G1739" s="8" t="s">
        <v>223</v>
      </c>
      <c r="H1739" s="8" t="s">
        <v>8670</v>
      </c>
      <c r="I1739" s="8" t="s">
        <v>8684</v>
      </c>
      <c r="J1739" s="8"/>
      <c r="K1739" s="8" t="s">
        <v>8690</v>
      </c>
      <c r="L1739" s="8" t="s">
        <v>8877</v>
      </c>
      <c r="M1739" s="8" t="s">
        <v>8727</v>
      </c>
      <c r="N1739" s="8" t="n">
        <v>25</v>
      </c>
      <c r="O1739" s="8" t="n">
        <v>111</v>
      </c>
      <c r="P1739" s="8" t="s">
        <v>120</v>
      </c>
    </row>
    <row r="1740" customFormat="false" ht="15" hidden="false" customHeight="false" outlineLevel="0" collapsed="false">
      <c r="A1740" s="8" t="s">
        <v>4324</v>
      </c>
      <c r="B1740" s="8" t="s">
        <v>4325</v>
      </c>
      <c r="C1740" s="8" t="s">
        <v>8688</v>
      </c>
      <c r="D1740" s="8" t="s">
        <v>117</v>
      </c>
      <c r="E1740" s="8" t="s">
        <v>51</v>
      </c>
      <c r="F1740" s="8" t="s">
        <v>2027</v>
      </c>
      <c r="G1740" s="8" t="s">
        <v>133</v>
      </c>
      <c r="H1740" s="8" t="s">
        <v>8675</v>
      </c>
      <c r="I1740" s="8" t="s">
        <v>10112</v>
      </c>
      <c r="J1740" s="8" t="s">
        <v>144</v>
      </c>
      <c r="K1740" s="8" t="s">
        <v>8664</v>
      </c>
      <c r="L1740" s="8"/>
      <c r="M1740" s="8"/>
      <c r="N1740" s="8" t="n">
        <v>12</v>
      </c>
      <c r="O1740" s="8" t="n">
        <v>6</v>
      </c>
      <c r="P1740" s="8" t="s">
        <v>120</v>
      </c>
    </row>
    <row r="1741" customFormat="false" ht="15" hidden="false" customHeight="false" outlineLevel="0" collapsed="false">
      <c r="A1741" s="8" t="s">
        <v>4421</v>
      </c>
      <c r="B1741" s="8" t="s">
        <v>10113</v>
      </c>
      <c r="C1741" s="8" t="s">
        <v>8688</v>
      </c>
      <c r="D1741" s="8" t="s">
        <v>132</v>
      </c>
      <c r="E1741" s="8" t="s">
        <v>53</v>
      </c>
      <c r="F1741" s="8" t="s">
        <v>55</v>
      </c>
      <c r="G1741" s="8" t="s">
        <v>166</v>
      </c>
      <c r="H1741" s="8" t="s">
        <v>8662</v>
      </c>
      <c r="I1741" s="8" t="s">
        <v>9082</v>
      </c>
      <c r="J1741" s="8"/>
      <c r="K1741" s="8" t="s">
        <v>8690</v>
      </c>
      <c r="L1741" s="8" t="s">
        <v>8874</v>
      </c>
      <c r="M1741" s="8" t="s">
        <v>8705</v>
      </c>
      <c r="N1741" s="8" t="n">
        <v>45</v>
      </c>
      <c r="O1741" s="8" t="n">
        <v>182</v>
      </c>
      <c r="P1741" s="8" t="s">
        <v>120</v>
      </c>
    </row>
    <row r="1742" customFormat="false" ht="15" hidden="false" customHeight="false" outlineLevel="0" collapsed="false">
      <c r="A1742" s="8" t="s">
        <v>2764</v>
      </c>
      <c r="B1742" s="8" t="s">
        <v>2765</v>
      </c>
      <c r="C1742" s="8" t="s">
        <v>8665</v>
      </c>
      <c r="D1742" s="8" t="s">
        <v>132</v>
      </c>
      <c r="E1742" s="8" t="s">
        <v>51</v>
      </c>
      <c r="F1742" s="8" t="s">
        <v>2027</v>
      </c>
      <c r="G1742" s="8" t="s">
        <v>133</v>
      </c>
      <c r="H1742" s="8" t="s">
        <v>8662</v>
      </c>
      <c r="I1742" s="8" t="s">
        <v>9684</v>
      </c>
      <c r="J1742" s="8" t="s">
        <v>204</v>
      </c>
      <c r="K1742" s="8" t="s">
        <v>8664</v>
      </c>
      <c r="L1742" s="8"/>
      <c r="M1742" s="8"/>
      <c r="N1742" s="8" t="n">
        <v>12</v>
      </c>
      <c r="O1742" s="8" t="n">
        <v>34</v>
      </c>
      <c r="P1742" s="8" t="s">
        <v>120</v>
      </c>
    </row>
    <row r="1743" customFormat="false" ht="15" hidden="false" customHeight="false" outlineLevel="0" collapsed="false">
      <c r="A1743" s="8" t="s">
        <v>4056</v>
      </c>
      <c r="B1743" s="8" t="s">
        <v>4057</v>
      </c>
      <c r="C1743" s="8" t="s">
        <v>8665</v>
      </c>
      <c r="D1743" s="8" t="s">
        <v>132</v>
      </c>
      <c r="E1743" s="8" t="s">
        <v>51</v>
      </c>
      <c r="F1743" s="8" t="s">
        <v>2027</v>
      </c>
      <c r="G1743" s="8" t="s">
        <v>124</v>
      </c>
      <c r="H1743" s="8" t="s">
        <v>8666</v>
      </c>
      <c r="I1743" s="8" t="s">
        <v>8996</v>
      </c>
      <c r="J1743" s="8" t="s">
        <v>125</v>
      </c>
      <c r="K1743" s="8" t="s">
        <v>8664</v>
      </c>
      <c r="L1743" s="8"/>
      <c r="M1743" s="8"/>
      <c r="N1743" s="8" t="n">
        <v>12</v>
      </c>
      <c r="O1743" s="8" t="n">
        <v>11</v>
      </c>
      <c r="P1743" s="8" t="s">
        <v>120</v>
      </c>
    </row>
    <row r="1744" customFormat="false" ht="15" hidden="false" customHeight="false" outlineLevel="0" collapsed="false">
      <c r="A1744" s="8" t="s">
        <v>1403</v>
      </c>
      <c r="B1744" s="8" t="s">
        <v>1404</v>
      </c>
      <c r="C1744" s="8" t="s">
        <v>8700</v>
      </c>
      <c r="D1744" s="8" t="s">
        <v>117</v>
      </c>
      <c r="E1744" s="8" t="s">
        <v>53</v>
      </c>
      <c r="F1744" s="8" t="s">
        <v>326</v>
      </c>
      <c r="G1744" s="8" t="s">
        <v>151</v>
      </c>
      <c r="H1744" s="8" t="s">
        <v>8675</v>
      </c>
      <c r="I1744" s="8" t="s">
        <v>10030</v>
      </c>
      <c r="J1744" s="8" t="s">
        <v>159</v>
      </c>
      <c r="K1744" s="8" t="s">
        <v>8664</v>
      </c>
      <c r="L1744" s="8"/>
      <c r="M1744" s="8"/>
      <c r="N1744" s="8" t="n">
        <v>25</v>
      </c>
      <c r="O1744" s="8" t="n">
        <v>106</v>
      </c>
      <c r="P1744" s="8" t="s">
        <v>120</v>
      </c>
    </row>
    <row r="1745" customFormat="false" ht="15" hidden="false" customHeight="false" outlineLevel="0" collapsed="false">
      <c r="A1745" s="8" t="s">
        <v>1635</v>
      </c>
      <c r="B1745" s="8" t="s">
        <v>1636</v>
      </c>
      <c r="C1745" s="8" t="s">
        <v>8680</v>
      </c>
      <c r="D1745" s="8" t="s">
        <v>132</v>
      </c>
      <c r="E1745" s="8" t="s">
        <v>53</v>
      </c>
      <c r="F1745" s="8" t="s">
        <v>326</v>
      </c>
      <c r="G1745" s="8" t="s">
        <v>166</v>
      </c>
      <c r="H1745" s="8" t="s">
        <v>8662</v>
      </c>
      <c r="I1745" s="8" t="s">
        <v>10114</v>
      </c>
      <c r="J1745" s="8" t="s">
        <v>180</v>
      </c>
      <c r="K1745" s="8" t="s">
        <v>8664</v>
      </c>
      <c r="L1745" s="8"/>
      <c r="M1745" s="8"/>
      <c r="N1745" s="8" t="n">
        <v>25</v>
      </c>
      <c r="O1745" s="8" t="n">
        <v>66</v>
      </c>
      <c r="P1745" s="8" t="s">
        <v>120</v>
      </c>
    </row>
    <row r="1746" customFormat="false" ht="15" hidden="false" customHeight="false" outlineLevel="0" collapsed="false">
      <c r="A1746" s="8" t="s">
        <v>10115</v>
      </c>
      <c r="B1746" s="8" t="s">
        <v>10116</v>
      </c>
      <c r="C1746" s="8" t="s">
        <v>8661</v>
      </c>
      <c r="D1746" s="8" t="s">
        <v>132</v>
      </c>
      <c r="E1746" s="8" t="s">
        <v>51</v>
      </c>
      <c r="F1746" s="8" t="s">
        <v>2027</v>
      </c>
      <c r="G1746" s="8" t="s">
        <v>143</v>
      </c>
      <c r="H1746" s="8" t="s">
        <v>8670</v>
      </c>
      <c r="I1746" s="8" t="s">
        <v>9315</v>
      </c>
      <c r="J1746" s="8"/>
      <c r="K1746" s="8" t="s">
        <v>8690</v>
      </c>
      <c r="L1746" s="8" t="s">
        <v>9535</v>
      </c>
      <c r="M1746" s="8" t="s">
        <v>8692</v>
      </c>
      <c r="N1746" s="8" t="n">
        <v>12</v>
      </c>
      <c r="O1746" s="8" t="n">
        <v>20</v>
      </c>
      <c r="P1746" s="8" t="s">
        <v>120</v>
      </c>
    </row>
    <row r="1747" customFormat="false" ht="15" hidden="false" customHeight="false" outlineLevel="0" collapsed="false">
      <c r="A1747" s="8" t="s">
        <v>533</v>
      </c>
      <c r="B1747" s="8" t="s">
        <v>534</v>
      </c>
      <c r="C1747" s="8" t="s">
        <v>8669</v>
      </c>
      <c r="D1747" s="8" t="s">
        <v>132</v>
      </c>
      <c r="E1747" s="8" t="s">
        <v>55</v>
      </c>
      <c r="F1747" s="8" t="s">
        <v>55</v>
      </c>
      <c r="G1747" s="8" t="s">
        <v>223</v>
      </c>
      <c r="H1747" s="8" t="s">
        <v>8670</v>
      </c>
      <c r="I1747" s="8" t="s">
        <v>9063</v>
      </c>
      <c r="J1747" s="8" t="s">
        <v>159</v>
      </c>
      <c r="K1747" s="8" t="s">
        <v>8664</v>
      </c>
      <c r="L1747" s="8"/>
      <c r="M1747" s="8"/>
      <c r="N1747" s="8" t="n">
        <v>45</v>
      </c>
      <c r="O1747" s="8" t="n">
        <v>164</v>
      </c>
      <c r="P1747" s="8" t="s">
        <v>120</v>
      </c>
    </row>
    <row r="1748" customFormat="false" ht="15" hidden="false" customHeight="false" outlineLevel="0" collapsed="false">
      <c r="A1748" s="8" t="s">
        <v>2610</v>
      </c>
      <c r="B1748" s="8" t="s">
        <v>2611</v>
      </c>
      <c r="C1748" s="8" t="s">
        <v>8700</v>
      </c>
      <c r="D1748" s="8" t="s">
        <v>132</v>
      </c>
      <c r="E1748" s="8" t="s">
        <v>51</v>
      </c>
      <c r="F1748" s="8" t="s">
        <v>2027</v>
      </c>
      <c r="G1748" s="8" t="s">
        <v>124</v>
      </c>
      <c r="H1748" s="8" t="s">
        <v>8662</v>
      </c>
      <c r="I1748" s="8" t="s">
        <v>10117</v>
      </c>
      <c r="J1748" s="8" t="s">
        <v>140</v>
      </c>
      <c r="K1748" s="8" t="s">
        <v>8664</v>
      </c>
      <c r="L1748" s="8"/>
      <c r="M1748" s="8"/>
      <c r="N1748" s="8" t="n">
        <v>12</v>
      </c>
      <c r="O1748" s="8" t="n">
        <v>31</v>
      </c>
      <c r="P1748" s="8" t="s">
        <v>120</v>
      </c>
    </row>
    <row r="1749" customFormat="false" ht="15" hidden="false" customHeight="false" outlineLevel="0" collapsed="false">
      <c r="A1749" s="8" t="s">
        <v>2104</v>
      </c>
      <c r="B1749" s="8" t="s">
        <v>2105</v>
      </c>
      <c r="C1749" s="8" t="s">
        <v>8665</v>
      </c>
      <c r="D1749" s="8" t="s">
        <v>132</v>
      </c>
      <c r="E1749" s="8" t="s">
        <v>51</v>
      </c>
      <c r="F1749" s="8" t="s">
        <v>326</v>
      </c>
      <c r="G1749" s="8" t="s">
        <v>151</v>
      </c>
      <c r="H1749" s="8" t="s">
        <v>8675</v>
      </c>
      <c r="I1749" s="8" t="s">
        <v>9524</v>
      </c>
      <c r="J1749" s="8" t="s">
        <v>177</v>
      </c>
      <c r="K1749" s="8" t="s">
        <v>8664</v>
      </c>
      <c r="L1749" s="8"/>
      <c r="M1749" s="8"/>
      <c r="N1749" s="8" t="n">
        <v>25</v>
      </c>
      <c r="O1749" s="8" t="n">
        <v>28</v>
      </c>
      <c r="P1749" s="8" t="s">
        <v>120</v>
      </c>
    </row>
    <row r="1750" customFormat="false" ht="15" hidden="false" customHeight="false" outlineLevel="0" collapsed="false">
      <c r="A1750" s="8" t="s">
        <v>4286</v>
      </c>
      <c r="B1750" s="8" t="s">
        <v>4287</v>
      </c>
      <c r="C1750" s="8" t="s">
        <v>8680</v>
      </c>
      <c r="D1750" s="8" t="s">
        <v>132</v>
      </c>
      <c r="E1750" s="8" t="s">
        <v>51</v>
      </c>
      <c r="F1750" s="8" t="s">
        <v>2027</v>
      </c>
      <c r="G1750" s="8" t="s">
        <v>190</v>
      </c>
      <c r="H1750" s="8" t="s">
        <v>8662</v>
      </c>
      <c r="I1750" s="8" t="s">
        <v>10118</v>
      </c>
      <c r="J1750" s="8" t="s">
        <v>137</v>
      </c>
      <c r="K1750" s="8" t="s">
        <v>8664</v>
      </c>
      <c r="L1750" s="8"/>
      <c r="M1750" s="8"/>
      <c r="N1750" s="8" t="n">
        <v>12</v>
      </c>
      <c r="O1750" s="8" t="n">
        <v>7</v>
      </c>
      <c r="P1750" s="8" t="s">
        <v>120</v>
      </c>
    </row>
    <row r="1751" customFormat="false" ht="15" hidden="false" customHeight="false" outlineLevel="0" collapsed="false">
      <c r="A1751" s="8" t="s">
        <v>2910</v>
      </c>
      <c r="B1751" s="8" t="s">
        <v>2911</v>
      </c>
      <c r="C1751" s="8" t="s">
        <v>8678</v>
      </c>
      <c r="D1751" s="8" t="s">
        <v>123</v>
      </c>
      <c r="E1751" s="8" t="s">
        <v>51</v>
      </c>
      <c r="F1751" s="8" t="s">
        <v>326</v>
      </c>
      <c r="G1751" s="8" t="s">
        <v>143</v>
      </c>
      <c r="H1751" s="8" t="s">
        <v>8662</v>
      </c>
      <c r="I1751" s="8" t="s">
        <v>10119</v>
      </c>
      <c r="J1751" s="8" t="s">
        <v>177</v>
      </c>
      <c r="K1751" s="8" t="s">
        <v>8664</v>
      </c>
      <c r="L1751" s="8"/>
      <c r="M1751" s="8"/>
      <c r="N1751" s="8" t="n">
        <v>25</v>
      </c>
      <c r="O1751" s="8" t="n">
        <v>17</v>
      </c>
      <c r="P1751" s="8" t="s">
        <v>120</v>
      </c>
    </row>
    <row r="1752" customFormat="false" ht="15" hidden="false" customHeight="false" outlineLevel="0" collapsed="false">
      <c r="A1752" s="8" t="s">
        <v>10120</v>
      </c>
      <c r="B1752" s="8" t="s">
        <v>10121</v>
      </c>
      <c r="C1752" s="8" t="s">
        <v>8665</v>
      </c>
      <c r="D1752" s="8" t="s">
        <v>117</v>
      </c>
      <c r="E1752" s="8" t="s">
        <v>51</v>
      </c>
      <c r="F1752" s="8" t="s">
        <v>326</v>
      </c>
      <c r="G1752" s="8" t="s">
        <v>133</v>
      </c>
      <c r="H1752" s="8" t="s">
        <v>8675</v>
      </c>
      <c r="I1752" s="8" t="s">
        <v>8917</v>
      </c>
      <c r="J1752" s="8"/>
      <c r="K1752" s="8" t="s">
        <v>8690</v>
      </c>
      <c r="L1752" s="8" t="s">
        <v>10122</v>
      </c>
      <c r="M1752" s="8" t="s">
        <v>8795</v>
      </c>
      <c r="N1752" s="8" t="n">
        <v>25</v>
      </c>
      <c r="O1752" s="8" t="n">
        <v>7</v>
      </c>
      <c r="P1752" s="8" t="s">
        <v>120</v>
      </c>
    </row>
    <row r="1753" customFormat="false" ht="15" hidden="false" customHeight="false" outlineLevel="0" collapsed="false">
      <c r="A1753" s="8" t="s">
        <v>3136</v>
      </c>
      <c r="B1753" s="8" t="s">
        <v>3137</v>
      </c>
      <c r="C1753" s="8" t="s">
        <v>8661</v>
      </c>
      <c r="D1753" s="8" t="s">
        <v>123</v>
      </c>
      <c r="E1753" s="8" t="s">
        <v>51</v>
      </c>
      <c r="F1753" s="8" t="s">
        <v>326</v>
      </c>
      <c r="G1753" s="8" t="s">
        <v>136</v>
      </c>
      <c r="H1753" s="8" t="s">
        <v>8662</v>
      </c>
      <c r="I1753" s="8" t="s">
        <v>9575</v>
      </c>
      <c r="J1753" s="8" t="s">
        <v>125</v>
      </c>
      <c r="K1753" s="8" t="s">
        <v>8664</v>
      </c>
      <c r="L1753" s="8"/>
      <c r="M1753" s="8"/>
      <c r="N1753" s="8" t="n">
        <v>25</v>
      </c>
      <c r="O1753" s="8" t="n">
        <v>13</v>
      </c>
      <c r="P1753" s="8" t="s">
        <v>120</v>
      </c>
    </row>
    <row r="1754" customFormat="false" ht="15" hidden="false" customHeight="false" outlineLevel="0" collapsed="false">
      <c r="A1754" s="8" t="s">
        <v>2246</v>
      </c>
      <c r="B1754" s="8" t="s">
        <v>2247</v>
      </c>
      <c r="C1754" s="8" t="s">
        <v>8680</v>
      </c>
      <c r="D1754" s="8" t="s">
        <v>132</v>
      </c>
      <c r="E1754" s="8" t="s">
        <v>51</v>
      </c>
      <c r="F1754" s="8" t="s">
        <v>2027</v>
      </c>
      <c r="G1754" s="8" t="s">
        <v>190</v>
      </c>
      <c r="H1754" s="8" t="s">
        <v>8666</v>
      </c>
      <c r="I1754" s="8" t="s">
        <v>8813</v>
      </c>
      <c r="J1754" s="8" t="s">
        <v>204</v>
      </c>
      <c r="K1754" s="8" t="s">
        <v>8664</v>
      </c>
      <c r="L1754" s="8"/>
      <c r="M1754" s="8"/>
      <c r="N1754" s="8" t="n">
        <v>12</v>
      </c>
      <c r="O1754" s="8" t="n">
        <v>37</v>
      </c>
      <c r="P1754" s="8" t="s">
        <v>120</v>
      </c>
    </row>
    <row r="1755" customFormat="false" ht="15" hidden="false" customHeight="false" outlineLevel="0" collapsed="false">
      <c r="A1755" s="8" t="s">
        <v>10123</v>
      </c>
      <c r="B1755" s="8" t="s">
        <v>10124</v>
      </c>
      <c r="C1755" s="8" t="s">
        <v>8680</v>
      </c>
      <c r="D1755" s="8" t="s">
        <v>128</v>
      </c>
      <c r="E1755" s="8" t="s">
        <v>53</v>
      </c>
      <c r="F1755" s="8" t="s">
        <v>326</v>
      </c>
      <c r="G1755" s="8" t="s">
        <v>118</v>
      </c>
      <c r="H1755" s="8" t="s">
        <v>8666</v>
      </c>
      <c r="I1755" s="8" t="s">
        <v>10125</v>
      </c>
      <c r="J1755" s="8"/>
      <c r="K1755" s="8" t="s">
        <v>8690</v>
      </c>
      <c r="L1755" s="8" t="s">
        <v>10089</v>
      </c>
      <c r="M1755" s="8" t="s">
        <v>8692</v>
      </c>
      <c r="N1755" s="8" t="n">
        <v>25</v>
      </c>
      <c r="O1755" s="8" t="n">
        <v>108</v>
      </c>
      <c r="P1755" s="8" t="s">
        <v>148</v>
      </c>
    </row>
    <row r="1756" customFormat="false" ht="15" hidden="false" customHeight="false" outlineLevel="0" collapsed="false">
      <c r="A1756" s="8" t="s">
        <v>3138</v>
      </c>
      <c r="B1756" s="8" t="s">
        <v>3139</v>
      </c>
      <c r="C1756" s="8" t="s">
        <v>8674</v>
      </c>
      <c r="D1756" s="8" t="s">
        <v>132</v>
      </c>
      <c r="E1756" s="8" t="s">
        <v>51</v>
      </c>
      <c r="F1756" s="8" t="s">
        <v>326</v>
      </c>
      <c r="G1756" s="8" t="s">
        <v>190</v>
      </c>
      <c r="H1756" s="8" t="s">
        <v>8670</v>
      </c>
      <c r="I1756" s="8" t="s">
        <v>9472</v>
      </c>
      <c r="J1756" s="8" t="s">
        <v>185</v>
      </c>
      <c r="K1756" s="8" t="s">
        <v>8664</v>
      </c>
      <c r="L1756" s="8"/>
      <c r="M1756" s="8"/>
      <c r="N1756" s="8" t="n">
        <v>25</v>
      </c>
      <c r="O1756" s="8" t="n">
        <v>13</v>
      </c>
      <c r="P1756" s="8" t="s">
        <v>120</v>
      </c>
    </row>
    <row r="1757" customFormat="false" ht="15" hidden="false" customHeight="false" outlineLevel="0" collapsed="false">
      <c r="A1757" s="8" t="s">
        <v>3370</v>
      </c>
      <c r="B1757" s="8" t="s">
        <v>3371</v>
      </c>
      <c r="C1757" s="8" t="s">
        <v>8665</v>
      </c>
      <c r="D1757" s="8" t="s">
        <v>117</v>
      </c>
      <c r="E1757" s="8" t="s">
        <v>51</v>
      </c>
      <c r="F1757" s="8" t="s">
        <v>2027</v>
      </c>
      <c r="G1757" s="8" t="s">
        <v>143</v>
      </c>
      <c r="H1757" s="8" t="s">
        <v>8666</v>
      </c>
      <c r="I1757" s="8" t="s">
        <v>10095</v>
      </c>
      <c r="J1757" s="8" t="s">
        <v>159</v>
      </c>
      <c r="K1757" s="8" t="s">
        <v>8664</v>
      </c>
      <c r="L1757" s="8"/>
      <c r="M1757" s="8"/>
      <c r="N1757" s="8" t="n">
        <v>12</v>
      </c>
      <c r="O1757" s="8" t="n">
        <v>24</v>
      </c>
      <c r="P1757" s="8" t="s">
        <v>120</v>
      </c>
    </row>
    <row r="1758" customFormat="false" ht="15" hidden="false" customHeight="false" outlineLevel="0" collapsed="false">
      <c r="A1758" s="8" t="s">
        <v>2021</v>
      </c>
      <c r="B1758" s="8" t="s">
        <v>2022</v>
      </c>
      <c r="C1758" s="8" t="s">
        <v>8674</v>
      </c>
      <c r="D1758" s="8" t="s">
        <v>123</v>
      </c>
      <c r="E1758" s="8" t="s">
        <v>51</v>
      </c>
      <c r="F1758" s="8" t="s">
        <v>326</v>
      </c>
      <c r="G1758" s="8" t="s">
        <v>154</v>
      </c>
      <c r="H1758" s="8" t="s">
        <v>8662</v>
      </c>
      <c r="I1758" s="8" t="s">
        <v>9187</v>
      </c>
      <c r="J1758" s="8" t="s">
        <v>137</v>
      </c>
      <c r="K1758" s="8" t="s">
        <v>8664</v>
      </c>
      <c r="L1758" s="8"/>
      <c r="M1758" s="8"/>
      <c r="N1758" s="8" t="n">
        <v>25</v>
      </c>
      <c r="O1758" s="8" t="n">
        <v>31</v>
      </c>
      <c r="P1758" s="8" t="s">
        <v>120</v>
      </c>
    </row>
    <row r="1759" customFormat="false" ht="15" hidden="false" customHeight="false" outlineLevel="0" collapsed="false">
      <c r="A1759" s="8" t="s">
        <v>10126</v>
      </c>
      <c r="B1759" s="8" t="s">
        <v>10127</v>
      </c>
      <c r="C1759" s="8" t="s">
        <v>8688</v>
      </c>
      <c r="D1759" s="8" t="s">
        <v>123</v>
      </c>
      <c r="E1759" s="8" t="s">
        <v>53</v>
      </c>
      <c r="F1759" s="8" t="s">
        <v>326</v>
      </c>
      <c r="G1759" s="8" t="s">
        <v>190</v>
      </c>
      <c r="H1759" s="8" t="s">
        <v>8666</v>
      </c>
      <c r="I1759" s="8" t="s">
        <v>10128</v>
      </c>
      <c r="J1759" s="8"/>
      <c r="K1759" s="8" t="s">
        <v>8690</v>
      </c>
      <c r="L1759" s="8" t="s">
        <v>9295</v>
      </c>
      <c r="M1759" s="8" t="s">
        <v>8705</v>
      </c>
      <c r="N1759" s="8" t="n">
        <v>25</v>
      </c>
      <c r="O1759" s="8" t="n">
        <v>167</v>
      </c>
      <c r="P1759" s="8" t="s">
        <v>120</v>
      </c>
    </row>
    <row r="1760" customFormat="false" ht="15" hidden="false" customHeight="false" outlineLevel="0" collapsed="false">
      <c r="A1760" s="8" t="s">
        <v>2612</v>
      </c>
      <c r="B1760" s="8" t="s">
        <v>2613</v>
      </c>
      <c r="C1760" s="8" t="s">
        <v>8680</v>
      </c>
      <c r="D1760" s="8" t="s">
        <v>132</v>
      </c>
      <c r="E1760" s="8" t="s">
        <v>51</v>
      </c>
      <c r="F1760" s="8" t="s">
        <v>2027</v>
      </c>
      <c r="G1760" s="8" t="s">
        <v>124</v>
      </c>
      <c r="H1760" s="8" t="s">
        <v>8666</v>
      </c>
      <c r="I1760" s="8" t="s">
        <v>9011</v>
      </c>
      <c r="J1760" s="8" t="s">
        <v>140</v>
      </c>
      <c r="K1760" s="8" t="s">
        <v>8664</v>
      </c>
      <c r="L1760" s="8"/>
      <c r="M1760" s="8"/>
      <c r="N1760" s="8" t="n">
        <v>12</v>
      </c>
      <c r="O1760" s="8" t="n">
        <v>36</v>
      </c>
      <c r="P1760" s="8" t="s">
        <v>120</v>
      </c>
    </row>
    <row r="1761" customFormat="false" ht="15" hidden="false" customHeight="false" outlineLevel="0" collapsed="false">
      <c r="A1761" s="8" t="s">
        <v>10129</v>
      </c>
      <c r="B1761" s="8" t="s">
        <v>10130</v>
      </c>
      <c r="C1761" s="8" t="s">
        <v>8665</v>
      </c>
      <c r="D1761" s="8" t="s">
        <v>132</v>
      </c>
      <c r="E1761" s="8" t="s">
        <v>51</v>
      </c>
      <c r="F1761" s="8" t="s">
        <v>326</v>
      </c>
      <c r="G1761" s="8" t="s">
        <v>223</v>
      </c>
      <c r="H1761" s="8" t="s">
        <v>8675</v>
      </c>
      <c r="I1761" s="8" t="s">
        <v>10119</v>
      </c>
      <c r="J1761" s="8"/>
      <c r="K1761" s="8" t="s">
        <v>8690</v>
      </c>
      <c r="L1761" s="8" t="s">
        <v>10092</v>
      </c>
      <c r="M1761" s="8" t="s">
        <v>8692</v>
      </c>
      <c r="N1761" s="8" t="n">
        <v>25</v>
      </c>
      <c r="O1761" s="8" t="n">
        <v>30</v>
      </c>
      <c r="P1761" s="8" t="s">
        <v>120</v>
      </c>
    </row>
    <row r="1762" customFormat="false" ht="15" hidden="false" customHeight="false" outlineLevel="0" collapsed="false">
      <c r="A1762" s="8" t="s">
        <v>2052</v>
      </c>
      <c r="B1762" s="8" t="s">
        <v>2053</v>
      </c>
      <c r="C1762" s="8" t="s">
        <v>8669</v>
      </c>
      <c r="D1762" s="8" t="s">
        <v>132</v>
      </c>
      <c r="E1762" s="8" t="s">
        <v>51</v>
      </c>
      <c r="F1762" s="8" t="s">
        <v>326</v>
      </c>
      <c r="G1762" s="8" t="s">
        <v>166</v>
      </c>
      <c r="H1762" s="8" t="s">
        <v>8666</v>
      </c>
      <c r="I1762" s="8" t="s">
        <v>10040</v>
      </c>
      <c r="J1762" s="8" t="s">
        <v>185</v>
      </c>
      <c r="K1762" s="8" t="s">
        <v>8664</v>
      </c>
      <c r="L1762" s="8"/>
      <c r="M1762" s="8"/>
      <c r="N1762" s="8" t="n">
        <v>25</v>
      </c>
      <c r="O1762" s="8" t="n">
        <v>26</v>
      </c>
      <c r="P1762" s="8" t="s">
        <v>120</v>
      </c>
    </row>
    <row r="1763" customFormat="false" ht="15" hidden="false" customHeight="false" outlineLevel="0" collapsed="false">
      <c r="A1763" s="8" t="s">
        <v>219</v>
      </c>
      <c r="B1763" s="8" t="s">
        <v>220</v>
      </c>
      <c r="C1763" s="8" t="s">
        <v>8665</v>
      </c>
      <c r="D1763" s="8" t="s">
        <v>132</v>
      </c>
      <c r="E1763" s="8" t="s">
        <v>55</v>
      </c>
      <c r="F1763" s="8" t="s">
        <v>55</v>
      </c>
      <c r="G1763" s="8" t="s">
        <v>151</v>
      </c>
      <c r="H1763" s="8" t="s">
        <v>8670</v>
      </c>
      <c r="I1763" s="8" t="s">
        <v>9256</v>
      </c>
      <c r="J1763" s="8" t="s">
        <v>177</v>
      </c>
      <c r="K1763" s="8" t="s">
        <v>8664</v>
      </c>
      <c r="L1763" s="8"/>
      <c r="M1763" s="8"/>
      <c r="N1763" s="8" t="n">
        <v>45</v>
      </c>
      <c r="O1763" s="8" t="n">
        <v>534</v>
      </c>
      <c r="P1763" s="8" t="s">
        <v>199</v>
      </c>
    </row>
    <row r="1764" customFormat="false" ht="15" hidden="false" customHeight="false" outlineLevel="0" collapsed="false">
      <c r="A1764" s="8" t="s">
        <v>10131</v>
      </c>
      <c r="B1764" s="8" t="s">
        <v>10132</v>
      </c>
      <c r="C1764" s="8" t="s">
        <v>8661</v>
      </c>
      <c r="D1764" s="8" t="s">
        <v>123</v>
      </c>
      <c r="E1764" s="8" t="s">
        <v>51</v>
      </c>
      <c r="F1764" s="8" t="s">
        <v>2027</v>
      </c>
      <c r="G1764" s="8" t="s">
        <v>166</v>
      </c>
      <c r="H1764" s="8" t="s">
        <v>8666</v>
      </c>
      <c r="I1764" s="8" t="s">
        <v>9659</v>
      </c>
      <c r="J1764" s="8"/>
      <c r="K1764" s="8" t="s">
        <v>8690</v>
      </c>
      <c r="L1764" s="8" t="s">
        <v>9110</v>
      </c>
      <c r="M1764" s="8" t="s">
        <v>8696</v>
      </c>
      <c r="N1764" s="8" t="n">
        <v>12</v>
      </c>
      <c r="O1764" s="8" t="n">
        <v>10</v>
      </c>
      <c r="P1764" s="8" t="s">
        <v>120</v>
      </c>
    </row>
    <row r="1765" customFormat="false" ht="15" hidden="false" customHeight="false" outlineLevel="0" collapsed="false">
      <c r="A1765" s="8" t="s">
        <v>1163</v>
      </c>
      <c r="B1765" s="8" t="s">
        <v>1164</v>
      </c>
      <c r="C1765" s="8" t="s">
        <v>8669</v>
      </c>
      <c r="D1765" s="8" t="s">
        <v>123</v>
      </c>
      <c r="E1765" s="8" t="s">
        <v>53</v>
      </c>
      <c r="F1765" s="8" t="s">
        <v>326</v>
      </c>
      <c r="G1765" s="8" t="s">
        <v>118</v>
      </c>
      <c r="H1765" s="8" t="s">
        <v>8670</v>
      </c>
      <c r="I1765" s="8" t="s">
        <v>8919</v>
      </c>
      <c r="J1765" s="8" t="s">
        <v>119</v>
      </c>
      <c r="K1765" s="8" t="s">
        <v>8664</v>
      </c>
      <c r="L1765" s="8"/>
      <c r="M1765" s="8"/>
      <c r="N1765" s="8" t="n">
        <v>25</v>
      </c>
      <c r="O1765" s="8" t="n">
        <v>141</v>
      </c>
      <c r="P1765" s="8" t="s">
        <v>120</v>
      </c>
    </row>
    <row r="1766" customFormat="false" ht="15" hidden="false" customHeight="false" outlineLevel="0" collapsed="false">
      <c r="A1766" s="8" t="s">
        <v>1681</v>
      </c>
      <c r="B1766" s="8" t="s">
        <v>1682</v>
      </c>
      <c r="C1766" s="8" t="s">
        <v>8674</v>
      </c>
      <c r="D1766" s="8" t="s">
        <v>123</v>
      </c>
      <c r="E1766" s="8" t="s">
        <v>53</v>
      </c>
      <c r="F1766" s="8" t="s">
        <v>326</v>
      </c>
      <c r="G1766" s="8" t="s">
        <v>223</v>
      </c>
      <c r="H1766" s="8" t="s">
        <v>8662</v>
      </c>
      <c r="I1766" s="8" t="s">
        <v>9577</v>
      </c>
      <c r="J1766" s="8" t="s">
        <v>147</v>
      </c>
      <c r="K1766" s="8" t="s">
        <v>8664</v>
      </c>
      <c r="L1766" s="8"/>
      <c r="M1766" s="8"/>
      <c r="N1766" s="8" t="n">
        <v>25</v>
      </c>
      <c r="O1766" s="8" t="n">
        <v>62</v>
      </c>
      <c r="P1766" s="8" t="s">
        <v>120</v>
      </c>
    </row>
    <row r="1767" customFormat="false" ht="15" hidden="false" customHeight="false" outlineLevel="0" collapsed="false">
      <c r="A1767" s="8" t="s">
        <v>1743</v>
      </c>
      <c r="B1767" s="8" t="s">
        <v>1744</v>
      </c>
      <c r="C1767" s="8" t="s">
        <v>8665</v>
      </c>
      <c r="D1767" s="8" t="s">
        <v>123</v>
      </c>
      <c r="E1767" s="8" t="s">
        <v>51</v>
      </c>
      <c r="F1767" s="8" t="s">
        <v>326</v>
      </c>
      <c r="G1767" s="8" t="s">
        <v>124</v>
      </c>
      <c r="H1767" s="8" t="s">
        <v>8670</v>
      </c>
      <c r="I1767" s="8" t="s">
        <v>9105</v>
      </c>
      <c r="J1767" s="8" t="s">
        <v>204</v>
      </c>
      <c r="K1767" s="8" t="s">
        <v>8664</v>
      </c>
      <c r="L1767" s="8"/>
      <c r="M1767" s="8"/>
      <c r="N1767" s="8" t="n">
        <v>25</v>
      </c>
      <c r="O1767" s="8" t="n">
        <v>39</v>
      </c>
      <c r="P1767" s="8" t="s">
        <v>120</v>
      </c>
    </row>
    <row r="1768" customFormat="false" ht="15" hidden="false" customHeight="false" outlineLevel="0" collapsed="false">
      <c r="A1768" s="8" t="s">
        <v>10133</v>
      </c>
      <c r="B1768" s="8" t="s">
        <v>10134</v>
      </c>
      <c r="C1768" s="8" t="s">
        <v>8680</v>
      </c>
      <c r="D1768" s="8" t="s">
        <v>123</v>
      </c>
      <c r="E1768" s="8" t="s">
        <v>51</v>
      </c>
      <c r="F1768" s="8" t="s">
        <v>2027</v>
      </c>
      <c r="G1768" s="8" t="s">
        <v>154</v>
      </c>
      <c r="H1768" s="8" t="s">
        <v>8662</v>
      </c>
      <c r="I1768" s="8" t="s">
        <v>9511</v>
      </c>
      <c r="J1768" s="8"/>
      <c r="K1768" s="8" t="s">
        <v>8690</v>
      </c>
      <c r="L1768" s="8" t="s">
        <v>9851</v>
      </c>
      <c r="M1768" s="8" t="s">
        <v>8795</v>
      </c>
      <c r="N1768" s="8" t="n">
        <v>12</v>
      </c>
      <c r="O1768" s="8" t="n">
        <v>27</v>
      </c>
      <c r="P1768" s="8" t="s">
        <v>120</v>
      </c>
    </row>
    <row r="1769" customFormat="false" ht="15" hidden="false" customHeight="false" outlineLevel="0" collapsed="false">
      <c r="A1769" s="8" t="s">
        <v>1113</v>
      </c>
      <c r="B1769" s="8" t="s">
        <v>1114</v>
      </c>
      <c r="C1769" s="8" t="s">
        <v>8688</v>
      </c>
      <c r="D1769" s="8" t="s">
        <v>132</v>
      </c>
      <c r="E1769" s="8" t="s">
        <v>53</v>
      </c>
      <c r="F1769" s="8" t="s">
        <v>55</v>
      </c>
      <c r="G1769" s="8" t="s">
        <v>136</v>
      </c>
      <c r="H1769" s="8" t="s">
        <v>8662</v>
      </c>
      <c r="I1769" s="8" t="s">
        <v>9596</v>
      </c>
      <c r="J1769" s="8" t="s">
        <v>147</v>
      </c>
      <c r="K1769" s="8" t="s">
        <v>8664</v>
      </c>
      <c r="L1769" s="8"/>
      <c r="M1769" s="8"/>
      <c r="N1769" s="8" t="n">
        <v>45</v>
      </c>
      <c r="O1769" s="8" t="n">
        <v>82</v>
      </c>
      <c r="P1769" s="8" t="s">
        <v>120</v>
      </c>
    </row>
    <row r="1770" customFormat="false" ht="15" hidden="false" customHeight="false" outlineLevel="0" collapsed="false">
      <c r="A1770" s="8" t="s">
        <v>821</v>
      </c>
      <c r="B1770" s="8" t="s">
        <v>822</v>
      </c>
      <c r="C1770" s="8" t="s">
        <v>8661</v>
      </c>
      <c r="D1770" s="8" t="s">
        <v>132</v>
      </c>
      <c r="E1770" s="8" t="s">
        <v>53</v>
      </c>
      <c r="F1770" s="8" t="s">
        <v>326</v>
      </c>
      <c r="G1770" s="8" t="s">
        <v>124</v>
      </c>
      <c r="H1770" s="8" t="s">
        <v>8670</v>
      </c>
      <c r="I1770" s="8" t="s">
        <v>8762</v>
      </c>
      <c r="J1770" s="8" t="s">
        <v>140</v>
      </c>
      <c r="K1770" s="8" t="s">
        <v>8664</v>
      </c>
      <c r="L1770" s="8"/>
      <c r="M1770" s="8"/>
      <c r="N1770" s="8" t="n">
        <v>25</v>
      </c>
      <c r="O1770" s="8" t="n">
        <v>193</v>
      </c>
      <c r="P1770" s="8" t="s">
        <v>120</v>
      </c>
    </row>
    <row r="1771" customFormat="false" ht="15" hidden="false" customHeight="false" outlineLevel="0" collapsed="false">
      <c r="A1771" s="8" t="s">
        <v>3576</v>
      </c>
      <c r="B1771" s="8" t="s">
        <v>3577</v>
      </c>
      <c r="C1771" s="8" t="s">
        <v>8669</v>
      </c>
      <c r="D1771" s="8" t="s">
        <v>132</v>
      </c>
      <c r="E1771" s="8" t="s">
        <v>51</v>
      </c>
      <c r="F1771" s="8" t="s">
        <v>2027</v>
      </c>
      <c r="G1771" s="8" t="s">
        <v>118</v>
      </c>
      <c r="H1771" s="8" t="s">
        <v>8670</v>
      </c>
      <c r="I1771" s="8" t="s">
        <v>8807</v>
      </c>
      <c r="J1771" s="8" t="s">
        <v>125</v>
      </c>
      <c r="K1771" s="8" t="s">
        <v>8664</v>
      </c>
      <c r="L1771" s="8"/>
      <c r="M1771" s="8"/>
      <c r="N1771" s="8" t="n">
        <v>12</v>
      </c>
      <c r="O1771" s="8" t="n">
        <v>20</v>
      </c>
      <c r="P1771" s="8" t="s">
        <v>120</v>
      </c>
    </row>
    <row r="1772" customFormat="false" ht="15" hidden="false" customHeight="false" outlineLevel="0" collapsed="false">
      <c r="A1772" s="8" t="s">
        <v>3888</v>
      </c>
      <c r="B1772" s="8" t="s">
        <v>3889</v>
      </c>
      <c r="C1772" s="8" t="s">
        <v>8688</v>
      </c>
      <c r="D1772" s="8" t="s">
        <v>123</v>
      </c>
      <c r="E1772" s="8" t="s">
        <v>51</v>
      </c>
      <c r="F1772" s="8" t="s">
        <v>2027</v>
      </c>
      <c r="G1772" s="8" t="s">
        <v>223</v>
      </c>
      <c r="H1772" s="8" t="s">
        <v>8675</v>
      </c>
      <c r="I1772" s="8" t="s">
        <v>9623</v>
      </c>
      <c r="J1772" s="8" t="s">
        <v>125</v>
      </c>
      <c r="K1772" s="8" t="s">
        <v>8664</v>
      </c>
      <c r="L1772" s="8"/>
      <c r="M1772" s="8"/>
      <c r="N1772" s="8" t="n">
        <v>12</v>
      </c>
      <c r="O1772" s="8" t="n">
        <v>14</v>
      </c>
      <c r="P1772" s="8" t="s">
        <v>120</v>
      </c>
    </row>
    <row r="1773" customFormat="false" ht="15" hidden="false" customHeight="false" outlineLevel="0" collapsed="false">
      <c r="A1773" s="8" t="s">
        <v>1859</v>
      </c>
      <c r="B1773" s="8" t="s">
        <v>1860</v>
      </c>
      <c r="C1773" s="8" t="s">
        <v>8674</v>
      </c>
      <c r="D1773" s="8" t="s">
        <v>132</v>
      </c>
      <c r="E1773" s="8" t="s">
        <v>51</v>
      </c>
      <c r="F1773" s="8" t="s">
        <v>326</v>
      </c>
      <c r="G1773" s="8" t="s">
        <v>124</v>
      </c>
      <c r="H1773" s="8" t="s">
        <v>8666</v>
      </c>
      <c r="I1773" s="8" t="s">
        <v>10135</v>
      </c>
      <c r="J1773" s="8" t="s">
        <v>144</v>
      </c>
      <c r="K1773" s="8" t="s">
        <v>8664</v>
      </c>
      <c r="L1773" s="8"/>
      <c r="M1773" s="8"/>
      <c r="N1773" s="8" t="n">
        <v>25</v>
      </c>
      <c r="O1773" s="8" t="n">
        <v>25</v>
      </c>
      <c r="P1773" s="8" t="s">
        <v>120</v>
      </c>
    </row>
    <row r="1774" customFormat="false" ht="15" hidden="false" customHeight="false" outlineLevel="0" collapsed="false">
      <c r="A1774" s="8" t="s">
        <v>2432</v>
      </c>
      <c r="B1774" s="8" t="s">
        <v>2433</v>
      </c>
      <c r="C1774" s="8" t="s">
        <v>8678</v>
      </c>
      <c r="D1774" s="8" t="s">
        <v>123</v>
      </c>
      <c r="E1774" s="8" t="s">
        <v>51</v>
      </c>
      <c r="F1774" s="8" t="s">
        <v>326</v>
      </c>
      <c r="G1774" s="8" t="s">
        <v>133</v>
      </c>
      <c r="H1774" s="8" t="s">
        <v>8662</v>
      </c>
      <c r="I1774" s="8" t="s">
        <v>10136</v>
      </c>
      <c r="J1774" s="8" t="s">
        <v>137</v>
      </c>
      <c r="K1774" s="8" t="s">
        <v>8664</v>
      </c>
      <c r="L1774" s="8"/>
      <c r="M1774" s="8"/>
      <c r="N1774" s="8" t="n">
        <v>25</v>
      </c>
      <c r="O1774" s="8" t="n">
        <v>19</v>
      </c>
      <c r="P1774" s="8" t="s">
        <v>120</v>
      </c>
    </row>
    <row r="1775" customFormat="false" ht="15" hidden="false" customHeight="false" outlineLevel="0" collapsed="false">
      <c r="A1775" s="8" t="s">
        <v>2912</v>
      </c>
      <c r="B1775" s="8" t="s">
        <v>2913</v>
      </c>
      <c r="C1775" s="8" t="s">
        <v>8669</v>
      </c>
      <c r="D1775" s="8" t="s">
        <v>117</v>
      </c>
      <c r="E1775" s="8" t="s">
        <v>51</v>
      </c>
      <c r="F1775" s="8" t="s">
        <v>326</v>
      </c>
      <c r="G1775" s="8" t="s">
        <v>154</v>
      </c>
      <c r="H1775" s="8" t="s">
        <v>8662</v>
      </c>
      <c r="I1775" s="8" t="s">
        <v>10112</v>
      </c>
      <c r="J1775" s="8" t="s">
        <v>144</v>
      </c>
      <c r="K1775" s="8" t="s">
        <v>8664</v>
      </c>
      <c r="L1775" s="8"/>
      <c r="M1775" s="8"/>
      <c r="N1775" s="8" t="n">
        <v>25</v>
      </c>
      <c r="O1775" s="8" t="n">
        <v>15</v>
      </c>
      <c r="P1775" s="8" t="s">
        <v>120</v>
      </c>
    </row>
    <row r="1776" customFormat="false" ht="15" hidden="false" customHeight="false" outlineLevel="0" collapsed="false">
      <c r="A1776" s="8" t="s">
        <v>667</v>
      </c>
      <c r="B1776" s="8" t="s">
        <v>668</v>
      </c>
      <c r="C1776" s="8" t="s">
        <v>8661</v>
      </c>
      <c r="D1776" s="8" t="s">
        <v>128</v>
      </c>
      <c r="E1776" s="8" t="s">
        <v>55</v>
      </c>
      <c r="F1776" s="8" t="s">
        <v>55</v>
      </c>
      <c r="G1776" s="8" t="s">
        <v>166</v>
      </c>
      <c r="H1776" s="8" t="s">
        <v>8666</v>
      </c>
      <c r="I1776" s="8" t="s">
        <v>9748</v>
      </c>
      <c r="J1776" s="8" t="s">
        <v>137</v>
      </c>
      <c r="K1776" s="8" t="s">
        <v>8664</v>
      </c>
      <c r="L1776" s="8"/>
      <c r="M1776" s="8"/>
      <c r="N1776" s="8" t="n">
        <v>45</v>
      </c>
      <c r="O1776" s="8" t="n">
        <v>172</v>
      </c>
      <c r="P1776" s="8" t="s">
        <v>148</v>
      </c>
    </row>
    <row r="1777" customFormat="false" ht="15" hidden="false" customHeight="false" outlineLevel="0" collapsed="false">
      <c r="A1777" s="8" t="s">
        <v>10137</v>
      </c>
      <c r="B1777" s="8" t="s">
        <v>10138</v>
      </c>
      <c r="C1777" s="8" t="s">
        <v>8680</v>
      </c>
      <c r="D1777" s="8" t="s">
        <v>132</v>
      </c>
      <c r="E1777" s="8" t="s">
        <v>53</v>
      </c>
      <c r="F1777" s="8" t="s">
        <v>326</v>
      </c>
      <c r="G1777" s="8" t="s">
        <v>124</v>
      </c>
      <c r="H1777" s="8" t="s">
        <v>8670</v>
      </c>
      <c r="I1777" s="8" t="s">
        <v>10139</v>
      </c>
      <c r="J1777" s="8"/>
      <c r="K1777" s="8" t="s">
        <v>8690</v>
      </c>
      <c r="L1777" s="8" t="s">
        <v>9204</v>
      </c>
      <c r="M1777" s="8" t="s">
        <v>8692</v>
      </c>
      <c r="N1777" s="8" t="n">
        <v>25</v>
      </c>
      <c r="O1777" s="8" t="n">
        <v>49</v>
      </c>
      <c r="P1777" s="8" t="s">
        <v>120</v>
      </c>
    </row>
    <row r="1778" customFormat="false" ht="15" hidden="false" customHeight="false" outlineLevel="0" collapsed="false">
      <c r="A1778" s="8" t="s">
        <v>669</v>
      </c>
      <c r="B1778" s="8" t="s">
        <v>670</v>
      </c>
      <c r="C1778" s="8" t="s">
        <v>8665</v>
      </c>
      <c r="D1778" s="8" t="s">
        <v>123</v>
      </c>
      <c r="E1778" s="8" t="s">
        <v>53</v>
      </c>
      <c r="F1778" s="8" t="s">
        <v>55</v>
      </c>
      <c r="G1778" s="8" t="s">
        <v>143</v>
      </c>
      <c r="H1778" s="8" t="s">
        <v>8670</v>
      </c>
      <c r="I1778" s="8" t="s">
        <v>9068</v>
      </c>
      <c r="J1778" s="8" t="s">
        <v>119</v>
      </c>
      <c r="K1778" s="8" t="s">
        <v>8664</v>
      </c>
      <c r="L1778" s="8"/>
      <c r="M1778" s="8"/>
      <c r="N1778" s="8" t="n">
        <v>45</v>
      </c>
      <c r="O1778" s="8" t="n">
        <v>94</v>
      </c>
      <c r="P1778" s="8" t="s">
        <v>120</v>
      </c>
    </row>
    <row r="1779" customFormat="false" ht="15" hidden="false" customHeight="false" outlineLevel="0" collapsed="false">
      <c r="A1779" s="8" t="s">
        <v>2950</v>
      </c>
      <c r="B1779" s="8" t="s">
        <v>2951</v>
      </c>
      <c r="C1779" s="8" t="s">
        <v>8680</v>
      </c>
      <c r="D1779" s="8" t="s">
        <v>117</v>
      </c>
      <c r="E1779" s="8" t="s">
        <v>51</v>
      </c>
      <c r="F1779" s="8" t="s">
        <v>2027</v>
      </c>
      <c r="G1779" s="8" t="s">
        <v>136</v>
      </c>
      <c r="H1779" s="8" t="s">
        <v>8666</v>
      </c>
      <c r="I1779" s="8" t="s">
        <v>9468</v>
      </c>
      <c r="J1779" s="8" t="s">
        <v>129</v>
      </c>
      <c r="K1779" s="8" t="s">
        <v>8664</v>
      </c>
      <c r="L1779" s="8"/>
      <c r="M1779" s="8"/>
      <c r="N1779" s="8" t="n">
        <v>12</v>
      </c>
      <c r="O1779" s="8" t="n">
        <v>31</v>
      </c>
      <c r="P1779" s="8" t="s">
        <v>120</v>
      </c>
    </row>
    <row r="1780" customFormat="false" ht="15" hidden="false" customHeight="false" outlineLevel="0" collapsed="false">
      <c r="A1780" s="8" t="s">
        <v>3942</v>
      </c>
      <c r="B1780" s="8" t="s">
        <v>3943</v>
      </c>
      <c r="C1780" s="8" t="s">
        <v>8661</v>
      </c>
      <c r="D1780" s="8" t="s">
        <v>117</v>
      </c>
      <c r="E1780" s="8" t="s">
        <v>51</v>
      </c>
      <c r="F1780" s="8" t="s">
        <v>2027</v>
      </c>
      <c r="G1780" s="8" t="s">
        <v>223</v>
      </c>
      <c r="H1780" s="8" t="s">
        <v>8662</v>
      </c>
      <c r="I1780" s="8" t="s">
        <v>10140</v>
      </c>
      <c r="J1780" s="8" t="s">
        <v>125</v>
      </c>
      <c r="K1780" s="8" t="s">
        <v>8664</v>
      </c>
      <c r="L1780" s="8"/>
      <c r="M1780" s="8"/>
      <c r="N1780" s="8" t="n">
        <v>12</v>
      </c>
      <c r="O1780" s="8" t="n">
        <v>11</v>
      </c>
      <c r="P1780" s="8" t="s">
        <v>120</v>
      </c>
    </row>
    <row r="1781" customFormat="false" ht="15" hidden="false" customHeight="false" outlineLevel="0" collapsed="false">
      <c r="A1781" s="8" t="s">
        <v>244</v>
      </c>
      <c r="B1781" s="8" t="s">
        <v>245</v>
      </c>
      <c r="C1781" s="8" t="s">
        <v>8688</v>
      </c>
      <c r="D1781" s="8" t="s">
        <v>132</v>
      </c>
      <c r="E1781" s="8" t="s">
        <v>55</v>
      </c>
      <c r="F1781" s="8" t="s">
        <v>55</v>
      </c>
      <c r="G1781" s="8" t="s">
        <v>143</v>
      </c>
      <c r="H1781" s="8" t="s">
        <v>8670</v>
      </c>
      <c r="I1781" s="8" t="s">
        <v>9308</v>
      </c>
      <c r="J1781" s="8" t="s">
        <v>147</v>
      </c>
      <c r="K1781" s="8" t="s">
        <v>8664</v>
      </c>
      <c r="L1781" s="8"/>
      <c r="M1781" s="8"/>
      <c r="N1781" s="8" t="n">
        <v>45</v>
      </c>
      <c r="O1781" s="8" t="n">
        <v>499</v>
      </c>
      <c r="P1781" s="8" t="s">
        <v>120</v>
      </c>
    </row>
    <row r="1782" customFormat="false" ht="15" hidden="false" customHeight="false" outlineLevel="0" collapsed="false">
      <c r="A1782" s="8" t="s">
        <v>1489</v>
      </c>
      <c r="B1782" s="8" t="s">
        <v>1490</v>
      </c>
      <c r="C1782" s="8" t="s">
        <v>8669</v>
      </c>
      <c r="D1782" s="8" t="s">
        <v>132</v>
      </c>
      <c r="E1782" s="8" t="s">
        <v>53</v>
      </c>
      <c r="F1782" s="8" t="s">
        <v>326</v>
      </c>
      <c r="G1782" s="8" t="s">
        <v>166</v>
      </c>
      <c r="H1782" s="8" t="s">
        <v>8675</v>
      </c>
      <c r="I1782" s="8" t="s">
        <v>9784</v>
      </c>
      <c r="J1782" s="8" t="s">
        <v>159</v>
      </c>
      <c r="K1782" s="8" t="s">
        <v>8664</v>
      </c>
      <c r="L1782" s="8"/>
      <c r="M1782" s="8"/>
      <c r="N1782" s="8" t="n">
        <v>25</v>
      </c>
      <c r="O1782" s="8" t="n">
        <v>105</v>
      </c>
      <c r="P1782" s="8" t="s">
        <v>120</v>
      </c>
    </row>
    <row r="1783" customFormat="false" ht="15" hidden="false" customHeight="false" outlineLevel="0" collapsed="false">
      <c r="A1783" s="8" t="s">
        <v>4128</v>
      </c>
      <c r="B1783" s="8" t="s">
        <v>4129</v>
      </c>
      <c r="C1783" s="8" t="s">
        <v>8665</v>
      </c>
      <c r="D1783" s="8" t="s">
        <v>123</v>
      </c>
      <c r="E1783" s="8" t="s">
        <v>51</v>
      </c>
      <c r="F1783" s="8" t="s">
        <v>2027</v>
      </c>
      <c r="G1783" s="8" t="s">
        <v>154</v>
      </c>
      <c r="H1783" s="8" t="s">
        <v>8662</v>
      </c>
      <c r="I1783" s="8" t="s">
        <v>8949</v>
      </c>
      <c r="J1783" s="8" t="s">
        <v>147</v>
      </c>
      <c r="K1783" s="8" t="s">
        <v>8664</v>
      </c>
      <c r="L1783" s="8"/>
      <c r="M1783" s="8"/>
      <c r="N1783" s="8" t="n">
        <v>12</v>
      </c>
      <c r="O1783" s="8" t="n">
        <v>10</v>
      </c>
      <c r="P1783" s="8" t="s">
        <v>120</v>
      </c>
    </row>
    <row r="1784" customFormat="false" ht="15" hidden="false" customHeight="false" outlineLevel="0" collapsed="false">
      <c r="A1784" s="8" t="s">
        <v>10141</v>
      </c>
      <c r="B1784" s="8" t="s">
        <v>10142</v>
      </c>
      <c r="C1784" s="8" t="s">
        <v>8661</v>
      </c>
      <c r="D1784" s="8" t="s">
        <v>123</v>
      </c>
      <c r="E1784" s="8" t="s">
        <v>53</v>
      </c>
      <c r="F1784" s="8" t="s">
        <v>326</v>
      </c>
      <c r="G1784" s="8" t="s">
        <v>166</v>
      </c>
      <c r="H1784" s="8" t="s">
        <v>8675</v>
      </c>
      <c r="I1784" s="8" t="s">
        <v>9297</v>
      </c>
      <c r="J1784" s="8"/>
      <c r="K1784" s="8" t="s">
        <v>8690</v>
      </c>
      <c r="L1784" s="8" t="s">
        <v>9725</v>
      </c>
      <c r="M1784" s="8" t="s">
        <v>8795</v>
      </c>
      <c r="N1784" s="8" t="n">
        <v>25</v>
      </c>
      <c r="O1784" s="8" t="n">
        <v>168</v>
      </c>
      <c r="P1784" s="8" t="s">
        <v>120</v>
      </c>
    </row>
    <row r="1785" customFormat="false" ht="15" hidden="false" customHeight="false" outlineLevel="0" collapsed="false">
      <c r="A1785" s="8" t="s">
        <v>4408</v>
      </c>
      <c r="B1785" s="8" t="s">
        <v>10143</v>
      </c>
      <c r="C1785" s="8" t="s">
        <v>8661</v>
      </c>
      <c r="D1785" s="8" t="s">
        <v>123</v>
      </c>
      <c r="E1785" s="8" t="s">
        <v>55</v>
      </c>
      <c r="F1785" s="8" t="s">
        <v>55</v>
      </c>
      <c r="G1785" s="8" t="s">
        <v>133</v>
      </c>
      <c r="H1785" s="8" t="s">
        <v>8666</v>
      </c>
      <c r="I1785" s="8" t="s">
        <v>8811</v>
      </c>
      <c r="J1785" s="8"/>
      <c r="K1785" s="8" t="s">
        <v>8690</v>
      </c>
      <c r="L1785" s="8" t="s">
        <v>9289</v>
      </c>
      <c r="M1785" s="8" t="s">
        <v>8692</v>
      </c>
      <c r="N1785" s="8" t="n">
        <v>45</v>
      </c>
      <c r="O1785" s="8" t="n">
        <v>461</v>
      </c>
      <c r="P1785" s="8" t="s">
        <v>148</v>
      </c>
    </row>
    <row r="1786" customFormat="false" ht="15" hidden="false" customHeight="false" outlineLevel="0" collapsed="false">
      <c r="A1786" s="8" t="s">
        <v>2574</v>
      </c>
      <c r="B1786" s="8" t="s">
        <v>2575</v>
      </c>
      <c r="C1786" s="8" t="s">
        <v>8674</v>
      </c>
      <c r="D1786" s="8" t="s">
        <v>117</v>
      </c>
      <c r="E1786" s="8" t="s">
        <v>51</v>
      </c>
      <c r="F1786" s="8" t="s">
        <v>2027</v>
      </c>
      <c r="G1786" s="8" t="s">
        <v>166</v>
      </c>
      <c r="H1786" s="8" t="s">
        <v>8662</v>
      </c>
      <c r="I1786" s="8" t="s">
        <v>9136</v>
      </c>
      <c r="J1786" s="8" t="s">
        <v>159</v>
      </c>
      <c r="K1786" s="8" t="s">
        <v>8664</v>
      </c>
      <c r="L1786" s="8"/>
      <c r="M1786" s="8"/>
      <c r="N1786" s="8" t="n">
        <v>12</v>
      </c>
      <c r="O1786" s="8" t="n">
        <v>28</v>
      </c>
      <c r="P1786" s="8" t="s">
        <v>120</v>
      </c>
    </row>
    <row r="1787" customFormat="false" ht="15" hidden="false" customHeight="false" outlineLevel="0" collapsed="false">
      <c r="A1787" s="8" t="s">
        <v>643</v>
      </c>
      <c r="B1787" s="8" t="s">
        <v>644</v>
      </c>
      <c r="C1787" s="8" t="s">
        <v>8674</v>
      </c>
      <c r="D1787" s="8" t="s">
        <v>132</v>
      </c>
      <c r="E1787" s="8" t="s">
        <v>55</v>
      </c>
      <c r="F1787" s="8" t="s">
        <v>55</v>
      </c>
      <c r="G1787" s="8" t="s">
        <v>154</v>
      </c>
      <c r="H1787" s="8" t="s">
        <v>8662</v>
      </c>
      <c r="I1787" s="8" t="s">
        <v>9042</v>
      </c>
      <c r="J1787" s="8" t="s">
        <v>129</v>
      </c>
      <c r="K1787" s="8" t="s">
        <v>8664</v>
      </c>
      <c r="L1787" s="8"/>
      <c r="M1787" s="8"/>
      <c r="N1787" s="8" t="n">
        <v>45</v>
      </c>
      <c r="O1787" s="8" t="n">
        <v>154</v>
      </c>
      <c r="P1787" s="8" t="s">
        <v>120</v>
      </c>
    </row>
    <row r="1788" customFormat="false" ht="15" hidden="false" customHeight="false" outlineLevel="0" collapsed="false">
      <c r="A1788" s="8" t="s">
        <v>4364</v>
      </c>
      <c r="B1788" s="8" t="s">
        <v>4365</v>
      </c>
      <c r="C1788" s="8" t="s">
        <v>8661</v>
      </c>
      <c r="D1788" s="8" t="s">
        <v>123</v>
      </c>
      <c r="E1788" s="8" t="s">
        <v>51</v>
      </c>
      <c r="F1788" s="8" t="s">
        <v>2027</v>
      </c>
      <c r="G1788" s="8" t="s">
        <v>166</v>
      </c>
      <c r="H1788" s="8" t="s">
        <v>8666</v>
      </c>
      <c r="I1788" s="8" t="s">
        <v>9335</v>
      </c>
      <c r="J1788" s="8" t="s">
        <v>185</v>
      </c>
      <c r="K1788" s="8" t="s">
        <v>8664</v>
      </c>
      <c r="L1788" s="8"/>
      <c r="M1788" s="8"/>
      <c r="N1788" s="8" t="n">
        <v>12</v>
      </c>
      <c r="O1788" s="8" t="n">
        <v>5</v>
      </c>
      <c r="P1788" s="8" t="s">
        <v>120</v>
      </c>
    </row>
    <row r="1789" customFormat="false" ht="15" hidden="false" customHeight="false" outlineLevel="0" collapsed="false">
      <c r="A1789" s="8" t="s">
        <v>3372</v>
      </c>
      <c r="B1789" s="8" t="s">
        <v>3373</v>
      </c>
      <c r="C1789" s="8" t="s">
        <v>8674</v>
      </c>
      <c r="D1789" s="8" t="s">
        <v>123</v>
      </c>
      <c r="E1789" s="8" t="s">
        <v>51</v>
      </c>
      <c r="F1789" s="8" t="s">
        <v>2027</v>
      </c>
      <c r="G1789" s="8" t="s">
        <v>118</v>
      </c>
      <c r="H1789" s="8" t="s">
        <v>8662</v>
      </c>
      <c r="I1789" s="8" t="s">
        <v>9545</v>
      </c>
      <c r="J1789" s="8" t="s">
        <v>147</v>
      </c>
      <c r="K1789" s="8" t="s">
        <v>8664</v>
      </c>
      <c r="L1789" s="8"/>
      <c r="M1789" s="8"/>
      <c r="N1789" s="8" t="n">
        <v>12</v>
      </c>
      <c r="O1789" s="8" t="n">
        <v>24</v>
      </c>
      <c r="P1789" s="8" t="s">
        <v>120</v>
      </c>
    </row>
    <row r="1790" customFormat="false" ht="15" hidden="false" customHeight="false" outlineLevel="0" collapsed="false">
      <c r="A1790" s="8" t="s">
        <v>3290</v>
      </c>
      <c r="B1790" s="8" t="s">
        <v>3291</v>
      </c>
      <c r="C1790" s="8" t="s">
        <v>8669</v>
      </c>
      <c r="D1790" s="8" t="s">
        <v>132</v>
      </c>
      <c r="E1790" s="8" t="s">
        <v>51</v>
      </c>
      <c r="F1790" s="8" t="s">
        <v>2027</v>
      </c>
      <c r="G1790" s="8" t="s">
        <v>118</v>
      </c>
      <c r="H1790" s="8" t="s">
        <v>8666</v>
      </c>
      <c r="I1790" s="8" t="s">
        <v>9990</v>
      </c>
      <c r="J1790" s="8" t="s">
        <v>140</v>
      </c>
      <c r="K1790" s="8" t="s">
        <v>8664</v>
      </c>
      <c r="L1790" s="8"/>
      <c r="M1790" s="8"/>
      <c r="N1790" s="8" t="n">
        <v>12</v>
      </c>
      <c r="O1790" s="8" t="n">
        <v>25</v>
      </c>
      <c r="P1790" s="8" t="s">
        <v>120</v>
      </c>
    </row>
    <row r="1791" customFormat="false" ht="15" hidden="false" customHeight="false" outlineLevel="0" collapsed="false">
      <c r="A1791" s="8" t="s">
        <v>10144</v>
      </c>
      <c r="B1791" s="8" t="s">
        <v>10145</v>
      </c>
      <c r="C1791" s="8" t="s">
        <v>8688</v>
      </c>
      <c r="D1791" s="8" t="s">
        <v>117</v>
      </c>
      <c r="E1791" s="8" t="s">
        <v>53</v>
      </c>
      <c r="F1791" s="8" t="s">
        <v>326</v>
      </c>
      <c r="G1791" s="8" t="s">
        <v>133</v>
      </c>
      <c r="H1791" s="8" t="s">
        <v>8675</v>
      </c>
      <c r="I1791" s="8" t="s">
        <v>9277</v>
      </c>
      <c r="J1791" s="8"/>
      <c r="K1791" s="8" t="s">
        <v>8690</v>
      </c>
      <c r="L1791" s="8" t="s">
        <v>8709</v>
      </c>
      <c r="M1791" s="8" t="s">
        <v>8727</v>
      </c>
      <c r="N1791" s="8" t="n">
        <v>25</v>
      </c>
      <c r="O1791" s="8" t="n">
        <v>189</v>
      </c>
      <c r="P1791" s="8" t="s">
        <v>120</v>
      </c>
    </row>
    <row r="1792" customFormat="false" ht="15" hidden="false" customHeight="false" outlineLevel="0" collapsed="false">
      <c r="A1792" s="8" t="s">
        <v>817</v>
      </c>
      <c r="B1792" s="8" t="s">
        <v>818</v>
      </c>
      <c r="C1792" s="8" t="s">
        <v>8700</v>
      </c>
      <c r="D1792" s="8" t="s">
        <v>123</v>
      </c>
      <c r="E1792" s="8" t="s">
        <v>53</v>
      </c>
      <c r="F1792" s="8" t="s">
        <v>326</v>
      </c>
      <c r="G1792" s="8" t="s">
        <v>223</v>
      </c>
      <c r="H1792" s="8" t="s">
        <v>8675</v>
      </c>
      <c r="I1792" s="8" t="s">
        <v>8905</v>
      </c>
      <c r="J1792" s="8" t="s">
        <v>180</v>
      </c>
      <c r="K1792" s="8" t="s">
        <v>8664</v>
      </c>
      <c r="L1792" s="8"/>
      <c r="M1792" s="8"/>
      <c r="N1792" s="8" t="n">
        <v>25</v>
      </c>
      <c r="O1792" s="8" t="n">
        <v>145</v>
      </c>
      <c r="P1792" s="8" t="s">
        <v>120</v>
      </c>
    </row>
    <row r="1793" customFormat="false" ht="15" hidden="false" customHeight="false" outlineLevel="0" collapsed="false">
      <c r="A1793" s="8" t="s">
        <v>2544</v>
      </c>
      <c r="B1793" s="8" t="s">
        <v>2545</v>
      </c>
      <c r="C1793" s="8" t="s">
        <v>8688</v>
      </c>
      <c r="D1793" s="8" t="s">
        <v>132</v>
      </c>
      <c r="E1793" s="8" t="s">
        <v>51</v>
      </c>
      <c r="F1793" s="8" t="s">
        <v>326</v>
      </c>
      <c r="G1793" s="8" t="s">
        <v>154</v>
      </c>
      <c r="H1793" s="8" t="s">
        <v>8675</v>
      </c>
      <c r="I1793" s="8" t="s">
        <v>10146</v>
      </c>
      <c r="J1793" s="8" t="s">
        <v>125</v>
      </c>
      <c r="K1793" s="8" t="s">
        <v>8664</v>
      </c>
      <c r="L1793" s="8"/>
      <c r="M1793" s="8"/>
      <c r="N1793" s="8" t="n">
        <v>25</v>
      </c>
      <c r="O1793" s="8" t="n">
        <v>22</v>
      </c>
      <c r="P1793" s="8" t="s">
        <v>120</v>
      </c>
    </row>
    <row r="1794" customFormat="false" ht="15" hidden="false" customHeight="false" outlineLevel="0" collapsed="false">
      <c r="A1794" s="8" t="s">
        <v>10147</v>
      </c>
      <c r="B1794" s="8" t="s">
        <v>10148</v>
      </c>
      <c r="C1794" s="8" t="s">
        <v>8669</v>
      </c>
      <c r="D1794" s="8" t="s">
        <v>117</v>
      </c>
      <c r="E1794" s="8" t="s">
        <v>51</v>
      </c>
      <c r="F1794" s="8" t="s">
        <v>2027</v>
      </c>
      <c r="G1794" s="8" t="s">
        <v>223</v>
      </c>
      <c r="H1794" s="8" t="s">
        <v>8662</v>
      </c>
      <c r="I1794" s="8" t="s">
        <v>9726</v>
      </c>
      <c r="J1794" s="8"/>
      <c r="K1794" s="8" t="s">
        <v>8690</v>
      </c>
      <c r="L1794" s="8" t="s">
        <v>9515</v>
      </c>
      <c r="M1794" s="8" t="s">
        <v>8692</v>
      </c>
      <c r="N1794" s="8" t="n">
        <v>12</v>
      </c>
      <c r="O1794" s="8" t="n">
        <v>23</v>
      </c>
      <c r="P1794" s="8" t="s">
        <v>120</v>
      </c>
    </row>
    <row r="1795" customFormat="false" ht="15" hidden="false" customHeight="false" outlineLevel="0" collapsed="false">
      <c r="A1795" s="8" t="s">
        <v>2220</v>
      </c>
      <c r="B1795" s="8" t="s">
        <v>2221</v>
      </c>
      <c r="C1795" s="8" t="s">
        <v>8680</v>
      </c>
      <c r="D1795" s="8" t="s">
        <v>123</v>
      </c>
      <c r="E1795" s="8" t="s">
        <v>51</v>
      </c>
      <c r="F1795" s="8" t="s">
        <v>326</v>
      </c>
      <c r="G1795" s="8" t="s">
        <v>154</v>
      </c>
      <c r="H1795" s="8" t="s">
        <v>8666</v>
      </c>
      <c r="I1795" s="8" t="s">
        <v>9281</v>
      </c>
      <c r="J1795" s="8" t="s">
        <v>177</v>
      </c>
      <c r="K1795" s="8" t="s">
        <v>8664</v>
      </c>
      <c r="L1795" s="8"/>
      <c r="M1795" s="8"/>
      <c r="N1795" s="8" t="n">
        <v>25</v>
      </c>
      <c r="O1795" s="8" t="n">
        <v>24</v>
      </c>
      <c r="P1795" s="8" t="s">
        <v>120</v>
      </c>
    </row>
    <row r="1796" customFormat="false" ht="15" hidden="false" customHeight="false" outlineLevel="0" collapsed="false">
      <c r="A1796" s="8" t="s">
        <v>1659</v>
      </c>
      <c r="B1796" s="8" t="s">
        <v>1660</v>
      </c>
      <c r="C1796" s="8" t="s">
        <v>8665</v>
      </c>
      <c r="D1796" s="8" t="s">
        <v>128</v>
      </c>
      <c r="E1796" s="8" t="s">
        <v>53</v>
      </c>
      <c r="F1796" s="8" t="s">
        <v>326</v>
      </c>
      <c r="G1796" s="8" t="s">
        <v>190</v>
      </c>
      <c r="H1796" s="8" t="s">
        <v>8662</v>
      </c>
      <c r="I1796" s="8" t="s">
        <v>9089</v>
      </c>
      <c r="J1796" s="8" t="s">
        <v>204</v>
      </c>
      <c r="K1796" s="8" t="s">
        <v>8664</v>
      </c>
      <c r="L1796" s="8"/>
      <c r="M1796" s="8"/>
      <c r="N1796" s="8" t="n">
        <v>25</v>
      </c>
      <c r="O1796" s="8" t="n">
        <v>60</v>
      </c>
      <c r="P1796" s="8" t="s">
        <v>120</v>
      </c>
    </row>
    <row r="1797" customFormat="false" ht="15" hidden="false" customHeight="false" outlineLevel="0" collapsed="false">
      <c r="A1797" s="8" t="s">
        <v>3418</v>
      </c>
      <c r="B1797" s="8" t="s">
        <v>3419</v>
      </c>
      <c r="C1797" s="8" t="s">
        <v>8700</v>
      </c>
      <c r="D1797" s="8" t="s">
        <v>132</v>
      </c>
      <c r="E1797" s="8" t="s">
        <v>51</v>
      </c>
      <c r="F1797" s="8" t="s">
        <v>2027</v>
      </c>
      <c r="G1797" s="8" t="s">
        <v>136</v>
      </c>
      <c r="H1797" s="8" t="s">
        <v>8662</v>
      </c>
      <c r="I1797" s="8" t="s">
        <v>8940</v>
      </c>
      <c r="J1797" s="8" t="s">
        <v>140</v>
      </c>
      <c r="K1797" s="8" t="s">
        <v>8664</v>
      </c>
      <c r="L1797" s="8"/>
      <c r="M1797" s="8"/>
      <c r="N1797" s="8" t="n">
        <v>12</v>
      </c>
      <c r="O1797" s="8" t="n">
        <v>31</v>
      </c>
      <c r="P1797" s="8" t="s">
        <v>120</v>
      </c>
    </row>
    <row r="1798" customFormat="false" ht="15" hidden="false" customHeight="false" outlineLevel="0" collapsed="false">
      <c r="A1798" s="8" t="s">
        <v>3452</v>
      </c>
      <c r="B1798" s="8" t="s">
        <v>3453</v>
      </c>
      <c r="C1798" s="8" t="s">
        <v>8700</v>
      </c>
      <c r="D1798" s="8" t="s">
        <v>123</v>
      </c>
      <c r="E1798" s="8" t="s">
        <v>51</v>
      </c>
      <c r="F1798" s="8" t="s">
        <v>326</v>
      </c>
      <c r="G1798" s="8" t="s">
        <v>133</v>
      </c>
      <c r="H1798" s="8" t="s">
        <v>8670</v>
      </c>
      <c r="I1798" s="8" t="s">
        <v>9330</v>
      </c>
      <c r="J1798" s="8" t="s">
        <v>180</v>
      </c>
      <c r="K1798" s="8" t="s">
        <v>8664</v>
      </c>
      <c r="L1798" s="8"/>
      <c r="M1798" s="8"/>
      <c r="N1798" s="8" t="n">
        <v>25</v>
      </c>
      <c r="O1798" s="8" t="n">
        <v>11</v>
      </c>
      <c r="P1798" s="8" t="s">
        <v>120</v>
      </c>
    </row>
    <row r="1799" customFormat="false" ht="15" hidden="false" customHeight="false" outlineLevel="0" collapsed="false">
      <c r="A1799" s="8" t="s">
        <v>230</v>
      </c>
      <c r="B1799" s="8" t="s">
        <v>231</v>
      </c>
      <c r="C1799" s="8" t="s">
        <v>8700</v>
      </c>
      <c r="D1799" s="8" t="s">
        <v>132</v>
      </c>
      <c r="E1799" s="8" t="s">
        <v>55</v>
      </c>
      <c r="F1799" s="8" t="s">
        <v>55</v>
      </c>
      <c r="G1799" s="8" t="s">
        <v>118</v>
      </c>
      <c r="H1799" s="8" t="s">
        <v>8675</v>
      </c>
      <c r="I1799" s="8" t="s">
        <v>10109</v>
      </c>
      <c r="J1799" s="8" t="s">
        <v>147</v>
      </c>
      <c r="K1799" s="8" t="s">
        <v>8664</v>
      </c>
      <c r="L1799" s="8"/>
      <c r="M1799" s="8"/>
      <c r="N1799" s="8" t="n">
        <v>45</v>
      </c>
      <c r="O1799" s="8" t="n">
        <v>514</v>
      </c>
      <c r="P1799" s="8" t="s">
        <v>120</v>
      </c>
    </row>
    <row r="1800" customFormat="false" ht="15" hidden="false" customHeight="false" outlineLevel="0" collapsed="false">
      <c r="A1800" s="8" t="s">
        <v>599</v>
      </c>
      <c r="B1800" s="8" t="s">
        <v>600</v>
      </c>
      <c r="C1800" s="8" t="s">
        <v>8669</v>
      </c>
      <c r="D1800" s="8" t="s">
        <v>123</v>
      </c>
      <c r="E1800" s="8" t="s">
        <v>53</v>
      </c>
      <c r="F1800" s="8" t="s">
        <v>55</v>
      </c>
      <c r="G1800" s="8" t="s">
        <v>166</v>
      </c>
      <c r="H1800" s="8" t="s">
        <v>8670</v>
      </c>
      <c r="I1800" s="8" t="s">
        <v>10149</v>
      </c>
      <c r="J1800" s="8" t="s">
        <v>144</v>
      </c>
      <c r="K1800" s="8" t="s">
        <v>8664</v>
      </c>
      <c r="L1800" s="8"/>
      <c r="M1800" s="8"/>
      <c r="N1800" s="8" t="n">
        <v>45</v>
      </c>
      <c r="O1800" s="8" t="n">
        <v>156</v>
      </c>
      <c r="P1800" s="8" t="s">
        <v>120</v>
      </c>
    </row>
    <row r="1801" customFormat="false" ht="15" hidden="false" customHeight="false" outlineLevel="0" collapsed="false">
      <c r="A1801" s="8" t="s">
        <v>3234</v>
      </c>
      <c r="B1801" s="8" t="s">
        <v>3235</v>
      </c>
      <c r="C1801" s="8" t="s">
        <v>8700</v>
      </c>
      <c r="D1801" s="8" t="s">
        <v>132</v>
      </c>
      <c r="E1801" s="8" t="s">
        <v>51</v>
      </c>
      <c r="F1801" s="8" t="s">
        <v>2027</v>
      </c>
      <c r="G1801" s="8" t="s">
        <v>136</v>
      </c>
      <c r="H1801" s="8" t="s">
        <v>8675</v>
      </c>
      <c r="I1801" s="8" t="s">
        <v>10150</v>
      </c>
      <c r="J1801" s="8" t="s">
        <v>137</v>
      </c>
      <c r="K1801" s="8" t="s">
        <v>8664</v>
      </c>
      <c r="L1801" s="8"/>
      <c r="M1801" s="8"/>
      <c r="N1801" s="8" t="n">
        <v>12</v>
      </c>
      <c r="O1801" s="8" t="n">
        <v>26</v>
      </c>
      <c r="P1801" s="8" t="s">
        <v>120</v>
      </c>
    </row>
    <row r="1802" customFormat="false" ht="15" hidden="false" customHeight="false" outlineLevel="0" collapsed="false">
      <c r="A1802" s="8" t="s">
        <v>395</v>
      </c>
      <c r="B1802" s="8" t="s">
        <v>396</v>
      </c>
      <c r="C1802" s="8" t="s">
        <v>8680</v>
      </c>
      <c r="D1802" s="8" t="s">
        <v>123</v>
      </c>
      <c r="E1802" s="8" t="s">
        <v>55</v>
      </c>
      <c r="F1802" s="8" t="s">
        <v>55</v>
      </c>
      <c r="G1802" s="8" t="s">
        <v>143</v>
      </c>
      <c r="H1802" s="8" t="s">
        <v>8675</v>
      </c>
      <c r="I1802" s="8" t="s">
        <v>8875</v>
      </c>
      <c r="J1802" s="8" t="s">
        <v>129</v>
      </c>
      <c r="K1802" s="8" t="s">
        <v>8664</v>
      </c>
      <c r="L1802" s="8"/>
      <c r="M1802" s="8"/>
      <c r="N1802" s="8" t="n">
        <v>45</v>
      </c>
      <c r="O1802" s="8" t="n">
        <v>303</v>
      </c>
      <c r="P1802" s="8" t="s">
        <v>148</v>
      </c>
    </row>
    <row r="1803" customFormat="false" ht="15" hidden="false" customHeight="false" outlineLevel="0" collapsed="false">
      <c r="A1803" s="8" t="s">
        <v>2870</v>
      </c>
      <c r="B1803" s="8" t="s">
        <v>2871</v>
      </c>
      <c r="C1803" s="8" t="s">
        <v>8665</v>
      </c>
      <c r="D1803" s="8" t="s">
        <v>123</v>
      </c>
      <c r="E1803" s="8" t="s">
        <v>51</v>
      </c>
      <c r="F1803" s="8" t="s">
        <v>2027</v>
      </c>
      <c r="G1803" s="8" t="s">
        <v>143</v>
      </c>
      <c r="H1803" s="8" t="s">
        <v>8675</v>
      </c>
      <c r="I1803" s="8" t="s">
        <v>10151</v>
      </c>
      <c r="J1803" s="8" t="s">
        <v>177</v>
      </c>
      <c r="K1803" s="8" t="s">
        <v>8664</v>
      </c>
      <c r="L1803" s="8"/>
      <c r="M1803" s="8"/>
      <c r="N1803" s="8" t="n">
        <v>12</v>
      </c>
      <c r="O1803" s="8" t="n">
        <v>32</v>
      </c>
      <c r="P1803" s="8" t="s">
        <v>120</v>
      </c>
    </row>
    <row r="1804" customFormat="false" ht="15" hidden="false" customHeight="false" outlineLevel="0" collapsed="false">
      <c r="A1804" s="8" t="s">
        <v>10152</v>
      </c>
      <c r="B1804" s="8" t="s">
        <v>10153</v>
      </c>
      <c r="C1804" s="8" t="s">
        <v>8678</v>
      </c>
      <c r="D1804" s="8" t="s">
        <v>123</v>
      </c>
      <c r="E1804" s="8" t="s">
        <v>51</v>
      </c>
      <c r="F1804" s="8" t="s">
        <v>2027</v>
      </c>
      <c r="G1804" s="8" t="s">
        <v>133</v>
      </c>
      <c r="H1804" s="8" t="s">
        <v>8662</v>
      </c>
      <c r="I1804" s="8" t="s">
        <v>9902</v>
      </c>
      <c r="J1804" s="8"/>
      <c r="K1804" s="8" t="s">
        <v>8690</v>
      </c>
      <c r="L1804" s="8" t="s">
        <v>10154</v>
      </c>
      <c r="M1804" s="8" t="s">
        <v>8727</v>
      </c>
      <c r="N1804" s="8" t="n">
        <v>12</v>
      </c>
      <c r="O1804" s="8" t="n">
        <v>15</v>
      </c>
      <c r="P1804" s="8" t="s">
        <v>120</v>
      </c>
    </row>
    <row r="1805" customFormat="false" ht="15" hidden="false" customHeight="false" outlineLevel="0" collapsed="false">
      <c r="A1805" s="8" t="s">
        <v>4504</v>
      </c>
      <c r="B1805" s="8" t="s">
        <v>10155</v>
      </c>
      <c r="C1805" s="8" t="s">
        <v>8680</v>
      </c>
      <c r="D1805" s="8" t="s">
        <v>123</v>
      </c>
      <c r="E1805" s="8" t="s">
        <v>51</v>
      </c>
      <c r="F1805" s="8" t="s">
        <v>2027</v>
      </c>
      <c r="G1805" s="8" t="s">
        <v>133</v>
      </c>
      <c r="H1805" s="8" t="s">
        <v>8666</v>
      </c>
      <c r="I1805" s="8" t="s">
        <v>10156</v>
      </c>
      <c r="J1805" s="8"/>
      <c r="K1805" s="8" t="s">
        <v>8690</v>
      </c>
      <c r="L1805" s="8" t="s">
        <v>10064</v>
      </c>
      <c r="M1805" s="8" t="s">
        <v>8692</v>
      </c>
      <c r="N1805" s="8" t="n">
        <v>12</v>
      </c>
      <c r="O1805" s="8" t="n">
        <v>38</v>
      </c>
      <c r="P1805" s="8" t="s">
        <v>120</v>
      </c>
    </row>
    <row r="1806" customFormat="false" ht="15" hidden="false" customHeight="false" outlineLevel="0" collapsed="false">
      <c r="A1806" s="8" t="s">
        <v>3512</v>
      </c>
      <c r="B1806" s="8" t="s">
        <v>3513</v>
      </c>
      <c r="C1806" s="8" t="s">
        <v>8678</v>
      </c>
      <c r="D1806" s="8" t="s">
        <v>132</v>
      </c>
      <c r="E1806" s="8" t="s">
        <v>51</v>
      </c>
      <c r="F1806" s="8" t="s">
        <v>2027</v>
      </c>
      <c r="G1806" s="8" t="s">
        <v>190</v>
      </c>
      <c r="H1806" s="8" t="s">
        <v>8666</v>
      </c>
      <c r="I1806" s="8" t="s">
        <v>9297</v>
      </c>
      <c r="J1806" s="8" t="s">
        <v>137</v>
      </c>
      <c r="K1806" s="8" t="s">
        <v>8664</v>
      </c>
      <c r="L1806" s="8"/>
      <c r="M1806" s="8"/>
      <c r="N1806" s="8" t="n">
        <v>12</v>
      </c>
      <c r="O1806" s="8" t="n">
        <v>21</v>
      </c>
      <c r="P1806" s="8" t="s">
        <v>120</v>
      </c>
    </row>
    <row r="1807" customFormat="false" ht="15" hidden="false" customHeight="false" outlineLevel="0" collapsed="false">
      <c r="A1807" s="8" t="s">
        <v>1379</v>
      </c>
      <c r="B1807" s="8" t="s">
        <v>1380</v>
      </c>
      <c r="C1807" s="8" t="s">
        <v>8678</v>
      </c>
      <c r="D1807" s="8" t="s">
        <v>132</v>
      </c>
      <c r="E1807" s="8" t="s">
        <v>53</v>
      </c>
      <c r="F1807" s="8" t="s">
        <v>326</v>
      </c>
      <c r="G1807" s="8" t="s">
        <v>166</v>
      </c>
      <c r="H1807" s="8" t="s">
        <v>8670</v>
      </c>
      <c r="I1807" s="8" t="s">
        <v>8858</v>
      </c>
      <c r="J1807" s="8" t="s">
        <v>144</v>
      </c>
      <c r="K1807" s="8" t="s">
        <v>8664</v>
      </c>
      <c r="L1807" s="8"/>
      <c r="M1807" s="8"/>
      <c r="N1807" s="8" t="n">
        <v>25</v>
      </c>
      <c r="O1807" s="8" t="n">
        <v>110</v>
      </c>
      <c r="P1807" s="8" t="s">
        <v>120</v>
      </c>
    </row>
    <row r="1808" customFormat="false" ht="15" hidden="false" customHeight="false" outlineLevel="0" collapsed="false">
      <c r="A1808" s="8" t="s">
        <v>2708</v>
      </c>
      <c r="B1808" s="8" t="s">
        <v>2709</v>
      </c>
      <c r="C1808" s="8" t="s">
        <v>8669</v>
      </c>
      <c r="D1808" s="8" t="s">
        <v>132</v>
      </c>
      <c r="E1808" s="8" t="s">
        <v>51</v>
      </c>
      <c r="F1808" s="8" t="s">
        <v>2027</v>
      </c>
      <c r="G1808" s="8" t="s">
        <v>136</v>
      </c>
      <c r="H1808" s="8" t="s">
        <v>8670</v>
      </c>
      <c r="I1808" s="8" t="s">
        <v>8856</v>
      </c>
      <c r="J1808" s="8" t="s">
        <v>180</v>
      </c>
      <c r="K1808" s="8" t="s">
        <v>8664</v>
      </c>
      <c r="L1808" s="8"/>
      <c r="M1808" s="8"/>
      <c r="N1808" s="8" t="n">
        <v>12</v>
      </c>
      <c r="O1808" s="8" t="n">
        <v>35</v>
      </c>
      <c r="P1808" s="8" t="s">
        <v>120</v>
      </c>
    </row>
    <row r="1809" customFormat="false" ht="15" hidden="false" customHeight="false" outlineLevel="0" collapsed="false">
      <c r="A1809" s="8" t="s">
        <v>10157</v>
      </c>
      <c r="B1809" s="8" t="s">
        <v>10158</v>
      </c>
      <c r="C1809" s="8" t="s">
        <v>8688</v>
      </c>
      <c r="D1809" s="8" t="s">
        <v>123</v>
      </c>
      <c r="E1809" s="8" t="s">
        <v>51</v>
      </c>
      <c r="F1809" s="8" t="s">
        <v>2027</v>
      </c>
      <c r="G1809" s="8" t="s">
        <v>154</v>
      </c>
      <c r="H1809" s="8" t="s">
        <v>8666</v>
      </c>
      <c r="I1809" s="8" t="s">
        <v>8698</v>
      </c>
      <c r="J1809" s="8"/>
      <c r="K1809" s="8" t="s">
        <v>8690</v>
      </c>
      <c r="L1809" s="8" t="s">
        <v>10159</v>
      </c>
      <c r="M1809" s="8" t="s">
        <v>8692</v>
      </c>
      <c r="N1809" s="8" t="n">
        <v>12</v>
      </c>
      <c r="O1809" s="8" t="n">
        <v>7</v>
      </c>
      <c r="P1809" s="8" t="s">
        <v>120</v>
      </c>
    </row>
    <row r="1810" customFormat="false" ht="15" hidden="false" customHeight="false" outlineLevel="0" collapsed="false">
      <c r="A1810" s="8" t="s">
        <v>3736</v>
      </c>
      <c r="B1810" s="8" t="s">
        <v>3737</v>
      </c>
      <c r="C1810" s="8" t="s">
        <v>8700</v>
      </c>
      <c r="D1810" s="8" t="s">
        <v>132</v>
      </c>
      <c r="E1810" s="8" t="s">
        <v>51</v>
      </c>
      <c r="F1810" s="8" t="s">
        <v>326</v>
      </c>
      <c r="G1810" s="8" t="s">
        <v>136</v>
      </c>
      <c r="H1810" s="8" t="s">
        <v>8675</v>
      </c>
      <c r="I1810" s="8" t="s">
        <v>8963</v>
      </c>
      <c r="J1810" s="8" t="s">
        <v>159</v>
      </c>
      <c r="K1810" s="8" t="s">
        <v>8664</v>
      </c>
      <c r="L1810" s="8"/>
      <c r="M1810" s="8"/>
      <c r="N1810" s="8" t="n">
        <v>25</v>
      </c>
      <c r="O1810" s="8" t="n">
        <v>8</v>
      </c>
      <c r="P1810" s="8" t="s">
        <v>120</v>
      </c>
    </row>
    <row r="1811" customFormat="false" ht="15" hidden="false" customHeight="false" outlineLevel="0" collapsed="false">
      <c r="A1811" s="8" t="s">
        <v>10160</v>
      </c>
      <c r="B1811" s="8" t="s">
        <v>10161</v>
      </c>
      <c r="C1811" s="8" t="s">
        <v>8665</v>
      </c>
      <c r="D1811" s="8" t="s">
        <v>123</v>
      </c>
      <c r="E1811" s="8" t="s">
        <v>51</v>
      </c>
      <c r="F1811" s="8" t="s">
        <v>326</v>
      </c>
      <c r="G1811" s="8" t="s">
        <v>190</v>
      </c>
      <c r="H1811" s="8" t="s">
        <v>8670</v>
      </c>
      <c r="I1811" s="8" t="s">
        <v>8709</v>
      </c>
      <c r="J1811" s="8"/>
      <c r="K1811" s="8" t="s">
        <v>8690</v>
      </c>
      <c r="L1811" s="8" t="s">
        <v>8811</v>
      </c>
      <c r="M1811" s="8" t="s">
        <v>8727</v>
      </c>
      <c r="N1811" s="8" t="n">
        <v>25</v>
      </c>
      <c r="O1811" s="8" t="n">
        <v>10</v>
      </c>
      <c r="P1811" s="8" t="s">
        <v>120</v>
      </c>
    </row>
    <row r="1812" customFormat="false" ht="15" hidden="false" customHeight="false" outlineLevel="0" collapsed="false">
      <c r="A1812" s="8" t="s">
        <v>623</v>
      </c>
      <c r="B1812" s="8" t="s">
        <v>624</v>
      </c>
      <c r="C1812" s="8" t="s">
        <v>8700</v>
      </c>
      <c r="D1812" s="8" t="s">
        <v>128</v>
      </c>
      <c r="E1812" s="8" t="s">
        <v>53</v>
      </c>
      <c r="F1812" s="8" t="s">
        <v>55</v>
      </c>
      <c r="G1812" s="8" t="s">
        <v>118</v>
      </c>
      <c r="H1812" s="8" t="s">
        <v>8670</v>
      </c>
      <c r="I1812" s="8" t="s">
        <v>10162</v>
      </c>
      <c r="J1812" s="8" t="s">
        <v>140</v>
      </c>
      <c r="K1812" s="8" t="s">
        <v>8664</v>
      </c>
      <c r="L1812" s="8"/>
      <c r="M1812" s="8"/>
      <c r="N1812" s="8" t="n">
        <v>45</v>
      </c>
      <c r="O1812" s="8" t="n">
        <v>163</v>
      </c>
      <c r="P1812" s="8" t="s">
        <v>120</v>
      </c>
    </row>
    <row r="1813" customFormat="false" ht="15" hidden="false" customHeight="false" outlineLevel="0" collapsed="false">
      <c r="A1813" s="8" t="s">
        <v>797</v>
      </c>
      <c r="B1813" s="8" t="s">
        <v>798</v>
      </c>
      <c r="C1813" s="8" t="s">
        <v>8665</v>
      </c>
      <c r="D1813" s="8" t="s">
        <v>123</v>
      </c>
      <c r="E1813" s="8" t="s">
        <v>53</v>
      </c>
      <c r="F1813" s="8" t="s">
        <v>326</v>
      </c>
      <c r="G1813" s="8" t="s">
        <v>124</v>
      </c>
      <c r="H1813" s="8" t="s">
        <v>8670</v>
      </c>
      <c r="I1813" s="8" t="s">
        <v>9578</v>
      </c>
      <c r="J1813" s="8" t="s">
        <v>177</v>
      </c>
      <c r="K1813" s="8" t="s">
        <v>8664</v>
      </c>
      <c r="L1813" s="8"/>
      <c r="M1813" s="8"/>
      <c r="N1813" s="8" t="n">
        <v>25</v>
      </c>
      <c r="O1813" s="8" t="n">
        <v>197</v>
      </c>
      <c r="P1813" s="8" t="s">
        <v>120</v>
      </c>
    </row>
    <row r="1814" customFormat="false" ht="15" hidden="false" customHeight="false" outlineLevel="0" collapsed="false">
      <c r="A1814" s="8" t="s">
        <v>3454</v>
      </c>
      <c r="B1814" s="8" t="s">
        <v>3455</v>
      </c>
      <c r="C1814" s="8" t="s">
        <v>8678</v>
      </c>
      <c r="D1814" s="8" t="s">
        <v>123</v>
      </c>
      <c r="E1814" s="8" t="s">
        <v>51</v>
      </c>
      <c r="F1814" s="8" t="s">
        <v>326</v>
      </c>
      <c r="G1814" s="8" t="s">
        <v>133</v>
      </c>
      <c r="H1814" s="8" t="s">
        <v>8675</v>
      </c>
      <c r="I1814" s="8" t="s">
        <v>9592</v>
      </c>
      <c r="J1814" s="8" t="s">
        <v>137</v>
      </c>
      <c r="K1814" s="8" t="s">
        <v>8664</v>
      </c>
      <c r="L1814" s="8"/>
      <c r="M1814" s="8"/>
      <c r="N1814" s="8" t="n">
        <v>25</v>
      </c>
      <c r="O1814" s="8" t="n">
        <v>11</v>
      </c>
      <c r="P1814" s="8" t="s">
        <v>120</v>
      </c>
    </row>
    <row r="1815" customFormat="false" ht="15" hidden="false" customHeight="false" outlineLevel="0" collapsed="false">
      <c r="A1815" s="8" t="s">
        <v>2206</v>
      </c>
      <c r="B1815" s="8" t="s">
        <v>2207</v>
      </c>
      <c r="C1815" s="8" t="s">
        <v>8700</v>
      </c>
      <c r="D1815" s="8" t="s">
        <v>132</v>
      </c>
      <c r="E1815" s="8" t="s">
        <v>51</v>
      </c>
      <c r="F1815" s="8" t="s">
        <v>2027</v>
      </c>
      <c r="G1815" s="8" t="s">
        <v>190</v>
      </c>
      <c r="H1815" s="8" t="s">
        <v>8666</v>
      </c>
      <c r="I1815" s="8" t="s">
        <v>10150</v>
      </c>
      <c r="J1815" s="8" t="s">
        <v>137</v>
      </c>
      <c r="K1815" s="8" t="s">
        <v>8664</v>
      </c>
      <c r="L1815" s="8"/>
      <c r="M1815" s="8"/>
      <c r="N1815" s="8" t="n">
        <v>12</v>
      </c>
      <c r="O1815" s="8" t="n">
        <v>39</v>
      </c>
      <c r="P1815" s="8" t="s">
        <v>120</v>
      </c>
    </row>
    <row r="1816" customFormat="false" ht="15" hidden="false" customHeight="false" outlineLevel="0" collapsed="false">
      <c r="A1816" s="8" t="s">
        <v>1959</v>
      </c>
      <c r="B1816" s="8" t="s">
        <v>1960</v>
      </c>
      <c r="C1816" s="8" t="s">
        <v>8680</v>
      </c>
      <c r="D1816" s="8" t="s">
        <v>123</v>
      </c>
      <c r="E1816" s="8" t="s">
        <v>51</v>
      </c>
      <c r="F1816" s="8" t="s">
        <v>326</v>
      </c>
      <c r="G1816" s="8" t="s">
        <v>124</v>
      </c>
      <c r="H1816" s="8" t="s">
        <v>8670</v>
      </c>
      <c r="I1816" s="8" t="s">
        <v>10073</v>
      </c>
      <c r="J1816" s="8" t="s">
        <v>177</v>
      </c>
      <c r="K1816" s="8" t="s">
        <v>8664</v>
      </c>
      <c r="L1816" s="8"/>
      <c r="M1816" s="8"/>
      <c r="N1816" s="8" t="n">
        <v>25</v>
      </c>
      <c r="O1816" s="8" t="n">
        <v>34</v>
      </c>
      <c r="P1816" s="8" t="s">
        <v>120</v>
      </c>
    </row>
    <row r="1817" customFormat="false" ht="15" hidden="false" customHeight="false" outlineLevel="0" collapsed="false">
      <c r="A1817" s="8" t="s">
        <v>221</v>
      </c>
      <c r="B1817" s="8" t="s">
        <v>222</v>
      </c>
      <c r="C1817" s="8" t="s">
        <v>8674</v>
      </c>
      <c r="D1817" s="8" t="s">
        <v>117</v>
      </c>
      <c r="E1817" s="8" t="s">
        <v>55</v>
      </c>
      <c r="F1817" s="8" t="s">
        <v>55</v>
      </c>
      <c r="G1817" s="8" t="s">
        <v>223</v>
      </c>
      <c r="H1817" s="8" t="s">
        <v>8675</v>
      </c>
      <c r="I1817" s="8" t="s">
        <v>9233</v>
      </c>
      <c r="J1817" s="8" t="s">
        <v>177</v>
      </c>
      <c r="K1817" s="8" t="s">
        <v>8664</v>
      </c>
      <c r="L1817" s="8"/>
      <c r="M1817" s="8"/>
      <c r="N1817" s="8" t="n">
        <v>45</v>
      </c>
      <c r="O1817" s="8" t="n">
        <v>526</v>
      </c>
      <c r="P1817" s="8" t="s">
        <v>148</v>
      </c>
    </row>
    <row r="1818" customFormat="false" ht="15" hidden="false" customHeight="false" outlineLevel="0" collapsed="false">
      <c r="A1818" s="8" t="s">
        <v>733</v>
      </c>
      <c r="B1818" s="8" t="s">
        <v>734</v>
      </c>
      <c r="C1818" s="8" t="s">
        <v>8678</v>
      </c>
      <c r="D1818" s="8" t="s">
        <v>123</v>
      </c>
      <c r="E1818" s="8" t="s">
        <v>55</v>
      </c>
      <c r="F1818" s="8" t="s">
        <v>326</v>
      </c>
      <c r="G1818" s="8" t="s">
        <v>151</v>
      </c>
      <c r="H1818" s="8" t="s">
        <v>8662</v>
      </c>
      <c r="I1818" s="8" t="s">
        <v>9575</v>
      </c>
      <c r="J1818" s="8" t="s">
        <v>125</v>
      </c>
      <c r="K1818" s="8" t="s">
        <v>8664</v>
      </c>
      <c r="L1818" s="8"/>
      <c r="M1818" s="8"/>
      <c r="N1818" s="8" t="n">
        <v>25</v>
      </c>
      <c r="O1818" s="8" t="n">
        <v>226</v>
      </c>
      <c r="P1818" s="8" t="s">
        <v>120</v>
      </c>
    </row>
    <row r="1819" customFormat="false" ht="15" hidden="false" customHeight="false" outlineLevel="0" collapsed="false">
      <c r="A1819" s="8" t="s">
        <v>843</v>
      </c>
      <c r="B1819" s="8" t="s">
        <v>844</v>
      </c>
      <c r="C1819" s="8" t="s">
        <v>8680</v>
      </c>
      <c r="D1819" s="8" t="s">
        <v>117</v>
      </c>
      <c r="E1819" s="8" t="s">
        <v>53</v>
      </c>
      <c r="F1819" s="8" t="s">
        <v>326</v>
      </c>
      <c r="G1819" s="8" t="s">
        <v>190</v>
      </c>
      <c r="H1819" s="8" t="s">
        <v>8670</v>
      </c>
      <c r="I1819" s="8" t="s">
        <v>9831</v>
      </c>
      <c r="J1819" s="8" t="s">
        <v>119</v>
      </c>
      <c r="K1819" s="8" t="s">
        <v>8664</v>
      </c>
      <c r="L1819" s="8"/>
      <c r="M1819" s="8"/>
      <c r="N1819" s="8" t="n">
        <v>25</v>
      </c>
      <c r="O1819" s="8" t="n">
        <v>191</v>
      </c>
      <c r="P1819" s="8" t="s">
        <v>120</v>
      </c>
    </row>
    <row r="1820" customFormat="false" ht="15" hidden="false" customHeight="false" outlineLevel="0" collapsed="false">
      <c r="A1820" s="8" t="s">
        <v>4188</v>
      </c>
      <c r="B1820" s="8" t="s">
        <v>4189</v>
      </c>
      <c r="C1820" s="8" t="s">
        <v>8674</v>
      </c>
      <c r="D1820" s="8" t="s">
        <v>123</v>
      </c>
      <c r="E1820" s="8" t="s">
        <v>51</v>
      </c>
      <c r="F1820" s="8" t="s">
        <v>2027</v>
      </c>
      <c r="G1820" s="8" t="s">
        <v>133</v>
      </c>
      <c r="H1820" s="8" t="s">
        <v>8675</v>
      </c>
      <c r="I1820" s="8" t="s">
        <v>9442</v>
      </c>
      <c r="J1820" s="8" t="s">
        <v>177</v>
      </c>
      <c r="K1820" s="8" t="s">
        <v>8664</v>
      </c>
      <c r="L1820" s="8"/>
      <c r="M1820" s="8"/>
      <c r="N1820" s="8" t="n">
        <v>12</v>
      </c>
      <c r="O1820" s="8" t="n">
        <v>5</v>
      </c>
      <c r="P1820" s="8" t="s">
        <v>120</v>
      </c>
    </row>
    <row r="1821" customFormat="false" ht="15" hidden="false" customHeight="false" outlineLevel="0" collapsed="false">
      <c r="A1821" s="8" t="s">
        <v>3420</v>
      </c>
      <c r="B1821" s="8" t="s">
        <v>3421</v>
      </c>
      <c r="C1821" s="8" t="s">
        <v>8669</v>
      </c>
      <c r="D1821" s="8" t="s">
        <v>132</v>
      </c>
      <c r="E1821" s="8" t="s">
        <v>51</v>
      </c>
      <c r="F1821" s="8" t="s">
        <v>2027</v>
      </c>
      <c r="G1821" s="8" t="s">
        <v>223</v>
      </c>
      <c r="H1821" s="8" t="s">
        <v>8666</v>
      </c>
      <c r="I1821" s="8" t="s">
        <v>10163</v>
      </c>
      <c r="J1821" s="8" t="s">
        <v>147</v>
      </c>
      <c r="K1821" s="8" t="s">
        <v>8664</v>
      </c>
      <c r="L1821" s="8"/>
      <c r="M1821" s="8"/>
      <c r="N1821" s="8" t="n">
        <v>12</v>
      </c>
      <c r="O1821" s="8" t="n">
        <v>21</v>
      </c>
      <c r="P1821" s="8" t="s">
        <v>120</v>
      </c>
    </row>
    <row r="1822" customFormat="false" ht="15" hidden="false" customHeight="false" outlineLevel="0" collapsed="false">
      <c r="A1822" s="8" t="s">
        <v>633</v>
      </c>
      <c r="B1822" s="8" t="s">
        <v>634</v>
      </c>
      <c r="C1822" s="8" t="s">
        <v>8661</v>
      </c>
      <c r="D1822" s="8" t="s">
        <v>123</v>
      </c>
      <c r="E1822" s="8" t="s">
        <v>53</v>
      </c>
      <c r="F1822" s="8" t="s">
        <v>55</v>
      </c>
      <c r="G1822" s="8" t="s">
        <v>190</v>
      </c>
      <c r="H1822" s="8" t="s">
        <v>8675</v>
      </c>
      <c r="I1822" s="8" t="s">
        <v>8983</v>
      </c>
      <c r="J1822" s="8" t="s">
        <v>147</v>
      </c>
      <c r="K1822" s="8" t="s">
        <v>8664</v>
      </c>
      <c r="L1822" s="8"/>
      <c r="M1822" s="8"/>
      <c r="N1822" s="8" t="n">
        <v>45</v>
      </c>
      <c r="O1822" s="8" t="n">
        <v>159</v>
      </c>
      <c r="P1822" s="8" t="s">
        <v>120</v>
      </c>
    </row>
    <row r="1823" customFormat="false" ht="15" hidden="false" customHeight="false" outlineLevel="0" collapsed="false">
      <c r="A1823" s="8" t="s">
        <v>3422</v>
      </c>
      <c r="B1823" s="8" t="s">
        <v>3423</v>
      </c>
      <c r="C1823" s="8" t="s">
        <v>8700</v>
      </c>
      <c r="D1823" s="8" t="s">
        <v>123</v>
      </c>
      <c r="E1823" s="8" t="s">
        <v>51</v>
      </c>
      <c r="F1823" s="8" t="s">
        <v>2027</v>
      </c>
      <c r="G1823" s="8" t="s">
        <v>118</v>
      </c>
      <c r="H1823" s="8" t="s">
        <v>8675</v>
      </c>
      <c r="I1823" s="8" t="s">
        <v>10108</v>
      </c>
      <c r="J1823" s="8" t="s">
        <v>185</v>
      </c>
      <c r="K1823" s="8" t="s">
        <v>8664</v>
      </c>
      <c r="L1823" s="8"/>
      <c r="M1823" s="8"/>
      <c r="N1823" s="8" t="n">
        <v>12</v>
      </c>
      <c r="O1823" s="8" t="n">
        <v>29</v>
      </c>
      <c r="P1823" s="8" t="s">
        <v>148</v>
      </c>
    </row>
    <row r="1824" customFormat="false" ht="15" hidden="false" customHeight="false" outlineLevel="0" collapsed="false">
      <c r="A1824" s="8" t="s">
        <v>1373</v>
      </c>
      <c r="B1824" s="8" t="s">
        <v>1374</v>
      </c>
      <c r="C1824" s="8" t="s">
        <v>8669</v>
      </c>
      <c r="D1824" s="8" t="s">
        <v>132</v>
      </c>
      <c r="E1824" s="8" t="s">
        <v>53</v>
      </c>
      <c r="F1824" s="8" t="s">
        <v>326</v>
      </c>
      <c r="G1824" s="8" t="s">
        <v>118</v>
      </c>
      <c r="H1824" s="8" t="s">
        <v>8662</v>
      </c>
      <c r="I1824" s="8" t="s">
        <v>9261</v>
      </c>
      <c r="J1824" s="8" t="s">
        <v>119</v>
      </c>
      <c r="K1824" s="8" t="s">
        <v>8664</v>
      </c>
      <c r="L1824" s="8"/>
      <c r="M1824" s="8"/>
      <c r="N1824" s="8" t="n">
        <v>25</v>
      </c>
      <c r="O1824" s="8" t="n">
        <v>111</v>
      </c>
      <c r="P1824" s="8" t="s">
        <v>120</v>
      </c>
    </row>
    <row r="1825" customFormat="false" ht="15" hidden="false" customHeight="false" outlineLevel="0" collapsed="false">
      <c r="A1825" s="8" t="s">
        <v>10164</v>
      </c>
      <c r="B1825" s="8" t="s">
        <v>10165</v>
      </c>
      <c r="C1825" s="8" t="s">
        <v>8700</v>
      </c>
      <c r="D1825" s="8" t="s">
        <v>132</v>
      </c>
      <c r="E1825" s="8" t="s">
        <v>51</v>
      </c>
      <c r="F1825" s="8" t="s">
        <v>2027</v>
      </c>
      <c r="G1825" s="8" t="s">
        <v>154</v>
      </c>
      <c r="H1825" s="8" t="s">
        <v>8666</v>
      </c>
      <c r="I1825" s="8" t="s">
        <v>9354</v>
      </c>
      <c r="J1825" s="8"/>
      <c r="K1825" s="8" t="s">
        <v>8690</v>
      </c>
      <c r="L1825" s="8" t="s">
        <v>9009</v>
      </c>
      <c r="M1825" s="8" t="s">
        <v>8696</v>
      </c>
      <c r="N1825" s="8" t="n">
        <v>12</v>
      </c>
      <c r="O1825" s="8" t="n">
        <v>37</v>
      </c>
      <c r="P1825" s="8" t="s">
        <v>120</v>
      </c>
    </row>
    <row r="1826" customFormat="false" ht="15" hidden="false" customHeight="false" outlineLevel="0" collapsed="false">
      <c r="A1826" s="8" t="s">
        <v>2294</v>
      </c>
      <c r="B1826" s="8" t="s">
        <v>2295</v>
      </c>
      <c r="C1826" s="8" t="s">
        <v>8688</v>
      </c>
      <c r="D1826" s="8" t="s">
        <v>123</v>
      </c>
      <c r="E1826" s="8" t="s">
        <v>51</v>
      </c>
      <c r="F1826" s="8" t="s">
        <v>326</v>
      </c>
      <c r="G1826" s="8" t="s">
        <v>151</v>
      </c>
      <c r="H1826" s="8" t="s">
        <v>8666</v>
      </c>
      <c r="I1826" s="8" t="s">
        <v>9851</v>
      </c>
      <c r="J1826" s="8" t="s">
        <v>185</v>
      </c>
      <c r="K1826" s="8" t="s">
        <v>8664</v>
      </c>
      <c r="L1826" s="8"/>
      <c r="M1826" s="8"/>
      <c r="N1826" s="8" t="n">
        <v>25</v>
      </c>
      <c r="O1826" s="8" t="n">
        <v>22</v>
      </c>
      <c r="P1826" s="8" t="s">
        <v>120</v>
      </c>
    </row>
    <row r="1827" customFormat="false" ht="15" hidden="false" customHeight="false" outlineLevel="0" collapsed="false">
      <c r="A1827" s="8" t="s">
        <v>4510</v>
      </c>
      <c r="B1827" s="8" t="s">
        <v>10166</v>
      </c>
      <c r="C1827" s="8" t="s">
        <v>8674</v>
      </c>
      <c r="D1827" s="8" t="s">
        <v>117</v>
      </c>
      <c r="E1827" s="8" t="s">
        <v>51</v>
      </c>
      <c r="F1827" s="8" t="s">
        <v>2027</v>
      </c>
      <c r="G1827" s="8" t="s">
        <v>190</v>
      </c>
      <c r="H1827" s="8" t="s">
        <v>8666</v>
      </c>
      <c r="I1827" s="8" t="s">
        <v>9781</v>
      </c>
      <c r="J1827" s="8"/>
      <c r="K1827" s="8" t="s">
        <v>8690</v>
      </c>
      <c r="L1827" s="8" t="s">
        <v>9427</v>
      </c>
      <c r="M1827" s="8" t="s">
        <v>8692</v>
      </c>
      <c r="N1827" s="8" t="n">
        <v>12</v>
      </c>
      <c r="O1827" s="8" t="n">
        <v>37</v>
      </c>
      <c r="P1827" s="8" t="s">
        <v>120</v>
      </c>
    </row>
    <row r="1828" customFormat="false" ht="15" hidden="false" customHeight="false" outlineLevel="0" collapsed="false">
      <c r="A1828" s="8" t="s">
        <v>10167</v>
      </c>
      <c r="B1828" s="8" t="s">
        <v>10168</v>
      </c>
      <c r="C1828" s="8" t="s">
        <v>8680</v>
      </c>
      <c r="D1828" s="8" t="s">
        <v>117</v>
      </c>
      <c r="E1828" s="8" t="s">
        <v>51</v>
      </c>
      <c r="F1828" s="8" t="s">
        <v>2027</v>
      </c>
      <c r="G1828" s="8" t="s">
        <v>223</v>
      </c>
      <c r="H1828" s="8" t="s">
        <v>8670</v>
      </c>
      <c r="I1828" s="8" t="s">
        <v>9944</v>
      </c>
      <c r="J1828" s="8"/>
      <c r="K1828" s="8" t="s">
        <v>8690</v>
      </c>
      <c r="L1828" s="8" t="s">
        <v>10169</v>
      </c>
      <c r="M1828" s="8" t="s">
        <v>8696</v>
      </c>
      <c r="N1828" s="8" t="n">
        <v>12</v>
      </c>
      <c r="O1828" s="8" t="n">
        <v>11</v>
      </c>
      <c r="P1828" s="8" t="s">
        <v>120</v>
      </c>
    </row>
    <row r="1829" customFormat="false" ht="15" hidden="false" customHeight="false" outlineLevel="0" collapsed="false">
      <c r="A1829" s="8" t="s">
        <v>987</v>
      </c>
      <c r="B1829" s="8" t="s">
        <v>988</v>
      </c>
      <c r="C1829" s="8" t="s">
        <v>8678</v>
      </c>
      <c r="D1829" s="8" t="s">
        <v>132</v>
      </c>
      <c r="E1829" s="8" t="s">
        <v>53</v>
      </c>
      <c r="F1829" s="8" t="s">
        <v>326</v>
      </c>
      <c r="G1829" s="8" t="s">
        <v>154</v>
      </c>
      <c r="H1829" s="8" t="s">
        <v>8666</v>
      </c>
      <c r="I1829" s="8" t="s">
        <v>8799</v>
      </c>
      <c r="J1829" s="8" t="s">
        <v>180</v>
      </c>
      <c r="K1829" s="8" t="s">
        <v>8664</v>
      </c>
      <c r="L1829" s="8"/>
      <c r="M1829" s="8"/>
      <c r="N1829" s="8" t="n">
        <v>25</v>
      </c>
      <c r="O1829" s="8" t="n">
        <v>128</v>
      </c>
      <c r="P1829" s="8" t="s">
        <v>120</v>
      </c>
    </row>
    <row r="1830" customFormat="false" ht="15" hidden="false" customHeight="false" outlineLevel="0" collapsed="false">
      <c r="A1830" s="8" t="s">
        <v>4326</v>
      </c>
      <c r="B1830" s="8" t="s">
        <v>4327</v>
      </c>
      <c r="C1830" s="8" t="s">
        <v>8688</v>
      </c>
      <c r="D1830" s="8" t="s">
        <v>123</v>
      </c>
      <c r="E1830" s="8" t="s">
        <v>51</v>
      </c>
      <c r="F1830" s="8" t="s">
        <v>2027</v>
      </c>
      <c r="G1830" s="8" t="s">
        <v>136</v>
      </c>
      <c r="H1830" s="8" t="s">
        <v>8666</v>
      </c>
      <c r="I1830" s="8" t="s">
        <v>8940</v>
      </c>
      <c r="J1830" s="8" t="s">
        <v>140</v>
      </c>
      <c r="K1830" s="8" t="s">
        <v>8664</v>
      </c>
      <c r="L1830" s="8"/>
      <c r="M1830" s="8"/>
      <c r="N1830" s="8" t="n">
        <v>12</v>
      </c>
      <c r="O1830" s="8" t="n">
        <v>6</v>
      </c>
      <c r="P1830" s="8" t="s">
        <v>120</v>
      </c>
    </row>
    <row r="1831" customFormat="false" ht="15" hidden="false" customHeight="false" outlineLevel="0" collapsed="false">
      <c r="A1831" s="8" t="s">
        <v>10170</v>
      </c>
      <c r="B1831" s="8" t="s">
        <v>10171</v>
      </c>
      <c r="C1831" s="8" t="s">
        <v>8669</v>
      </c>
      <c r="D1831" s="8" t="s">
        <v>132</v>
      </c>
      <c r="E1831" s="8" t="s">
        <v>55</v>
      </c>
      <c r="F1831" s="8" t="s">
        <v>326</v>
      </c>
      <c r="G1831" s="8" t="s">
        <v>133</v>
      </c>
      <c r="H1831" s="8" t="s">
        <v>8666</v>
      </c>
      <c r="I1831" s="8" t="s">
        <v>9337</v>
      </c>
      <c r="J1831" s="8"/>
      <c r="K1831" s="8" t="s">
        <v>8690</v>
      </c>
      <c r="L1831" s="8" t="s">
        <v>9539</v>
      </c>
      <c r="M1831" s="8" t="s">
        <v>8721</v>
      </c>
      <c r="N1831" s="8" t="n">
        <v>25</v>
      </c>
      <c r="O1831" s="8" t="n">
        <v>296</v>
      </c>
      <c r="P1831" s="8" t="s">
        <v>120</v>
      </c>
    </row>
    <row r="1832" customFormat="false" ht="15" hidden="false" customHeight="false" outlineLevel="0" collapsed="false">
      <c r="A1832" s="8" t="s">
        <v>3116</v>
      </c>
      <c r="B1832" s="8" t="s">
        <v>3117</v>
      </c>
      <c r="C1832" s="8" t="s">
        <v>8661</v>
      </c>
      <c r="D1832" s="8" t="s">
        <v>123</v>
      </c>
      <c r="E1832" s="8" t="s">
        <v>51</v>
      </c>
      <c r="F1832" s="8" t="s">
        <v>2027</v>
      </c>
      <c r="G1832" s="8" t="s">
        <v>166</v>
      </c>
      <c r="H1832" s="8" t="s">
        <v>8662</v>
      </c>
      <c r="I1832" s="8" t="s">
        <v>9058</v>
      </c>
      <c r="J1832" s="8" t="s">
        <v>147</v>
      </c>
      <c r="K1832" s="8" t="s">
        <v>8664</v>
      </c>
      <c r="L1832" s="8"/>
      <c r="M1832" s="8"/>
      <c r="N1832" s="8" t="n">
        <v>12</v>
      </c>
      <c r="O1832" s="8" t="n">
        <v>28</v>
      </c>
      <c r="P1832" s="8" t="s">
        <v>120</v>
      </c>
    </row>
    <row r="1833" customFormat="false" ht="15" hidden="false" customHeight="false" outlineLevel="0" collapsed="false">
      <c r="A1833" s="8" t="s">
        <v>3722</v>
      </c>
      <c r="B1833" s="8" t="s">
        <v>3723</v>
      </c>
      <c r="C1833" s="8" t="s">
        <v>8678</v>
      </c>
      <c r="D1833" s="8" t="s">
        <v>123</v>
      </c>
      <c r="E1833" s="8" t="s">
        <v>51</v>
      </c>
      <c r="F1833" s="8" t="s">
        <v>2027</v>
      </c>
      <c r="G1833" s="8" t="s">
        <v>190</v>
      </c>
      <c r="H1833" s="8" t="s">
        <v>8670</v>
      </c>
      <c r="I1833" s="8" t="s">
        <v>9180</v>
      </c>
      <c r="J1833" s="8" t="s">
        <v>180</v>
      </c>
      <c r="K1833" s="8" t="s">
        <v>8664</v>
      </c>
      <c r="L1833" s="8"/>
      <c r="M1833" s="8"/>
      <c r="N1833" s="8" t="n">
        <v>12</v>
      </c>
      <c r="O1833" s="8" t="n">
        <v>17</v>
      </c>
      <c r="P1833" s="8" t="s">
        <v>120</v>
      </c>
    </row>
    <row r="1834" customFormat="false" ht="15" hidden="false" customHeight="false" outlineLevel="0" collapsed="false">
      <c r="A1834" s="8" t="s">
        <v>1861</v>
      </c>
      <c r="B1834" s="8" t="s">
        <v>1862</v>
      </c>
      <c r="C1834" s="8" t="s">
        <v>8680</v>
      </c>
      <c r="D1834" s="8" t="s">
        <v>128</v>
      </c>
      <c r="E1834" s="8" t="s">
        <v>51</v>
      </c>
      <c r="F1834" s="8" t="s">
        <v>326</v>
      </c>
      <c r="G1834" s="8" t="s">
        <v>133</v>
      </c>
      <c r="H1834" s="8" t="s">
        <v>8675</v>
      </c>
      <c r="I1834" s="8" t="s">
        <v>9656</v>
      </c>
      <c r="J1834" s="8" t="s">
        <v>177</v>
      </c>
      <c r="K1834" s="8" t="s">
        <v>8664</v>
      </c>
      <c r="L1834" s="8"/>
      <c r="M1834" s="8"/>
      <c r="N1834" s="8" t="n">
        <v>25</v>
      </c>
      <c r="O1834" s="8" t="n">
        <v>38</v>
      </c>
      <c r="P1834" s="8" t="s">
        <v>120</v>
      </c>
    </row>
    <row r="1835" customFormat="false" ht="15" hidden="false" customHeight="false" outlineLevel="0" collapsed="false">
      <c r="A1835" s="8" t="s">
        <v>1587</v>
      </c>
      <c r="B1835" s="8" t="s">
        <v>1588</v>
      </c>
      <c r="C1835" s="8" t="s">
        <v>8674</v>
      </c>
      <c r="D1835" s="8" t="s">
        <v>123</v>
      </c>
      <c r="E1835" s="8" t="s">
        <v>53</v>
      </c>
      <c r="F1835" s="8" t="s">
        <v>326</v>
      </c>
      <c r="G1835" s="8" t="s">
        <v>151</v>
      </c>
      <c r="H1835" s="8" t="s">
        <v>8666</v>
      </c>
      <c r="I1835" s="8" t="s">
        <v>9847</v>
      </c>
      <c r="J1835" s="8" t="s">
        <v>140</v>
      </c>
      <c r="K1835" s="8" t="s">
        <v>8664</v>
      </c>
      <c r="L1835" s="8"/>
      <c r="M1835" s="8"/>
      <c r="N1835" s="8" t="n">
        <v>25</v>
      </c>
      <c r="O1835" s="8" t="n">
        <v>75</v>
      </c>
      <c r="P1835" s="8" t="s">
        <v>120</v>
      </c>
    </row>
    <row r="1836" customFormat="false" ht="15" hidden="false" customHeight="false" outlineLevel="0" collapsed="false">
      <c r="A1836" s="8" t="s">
        <v>3578</v>
      </c>
      <c r="B1836" s="8" t="s">
        <v>3579</v>
      </c>
      <c r="C1836" s="8" t="s">
        <v>8700</v>
      </c>
      <c r="D1836" s="8" t="s">
        <v>123</v>
      </c>
      <c r="E1836" s="8" t="s">
        <v>51</v>
      </c>
      <c r="F1836" s="8" t="s">
        <v>2027</v>
      </c>
      <c r="G1836" s="8" t="s">
        <v>136</v>
      </c>
      <c r="H1836" s="8" t="s">
        <v>8662</v>
      </c>
      <c r="I1836" s="8" t="s">
        <v>10172</v>
      </c>
      <c r="J1836" s="8" t="s">
        <v>177</v>
      </c>
      <c r="K1836" s="8" t="s">
        <v>8664</v>
      </c>
      <c r="L1836" s="8"/>
      <c r="M1836" s="8"/>
      <c r="N1836" s="8" t="n">
        <v>12</v>
      </c>
      <c r="O1836" s="8" t="n">
        <v>20</v>
      </c>
      <c r="P1836" s="8" t="s">
        <v>120</v>
      </c>
    </row>
    <row r="1837" customFormat="false" ht="15" hidden="false" customHeight="false" outlineLevel="0" collapsed="false">
      <c r="A1837" s="8" t="s">
        <v>3030</v>
      </c>
      <c r="B1837" s="8" t="s">
        <v>3031</v>
      </c>
      <c r="C1837" s="8" t="s">
        <v>8688</v>
      </c>
      <c r="D1837" s="8" t="s">
        <v>123</v>
      </c>
      <c r="E1837" s="8" t="s">
        <v>51</v>
      </c>
      <c r="F1837" s="8" t="s">
        <v>326</v>
      </c>
      <c r="G1837" s="8" t="s">
        <v>124</v>
      </c>
      <c r="H1837" s="8" t="s">
        <v>8670</v>
      </c>
      <c r="I1837" s="8" t="s">
        <v>8970</v>
      </c>
      <c r="J1837" s="8" t="s">
        <v>119</v>
      </c>
      <c r="K1837" s="8" t="s">
        <v>8664</v>
      </c>
      <c r="L1837" s="8"/>
      <c r="M1837" s="8"/>
      <c r="N1837" s="8" t="n">
        <v>25</v>
      </c>
      <c r="O1837" s="8" t="n">
        <v>8</v>
      </c>
      <c r="P1837" s="8" t="s">
        <v>120</v>
      </c>
    </row>
    <row r="1838" customFormat="false" ht="15" hidden="false" customHeight="false" outlineLevel="0" collapsed="false">
      <c r="A1838" s="8" t="s">
        <v>3760</v>
      </c>
      <c r="B1838" s="8" t="s">
        <v>3761</v>
      </c>
      <c r="C1838" s="8" t="s">
        <v>8669</v>
      </c>
      <c r="D1838" s="8" t="s">
        <v>123</v>
      </c>
      <c r="E1838" s="8" t="s">
        <v>51</v>
      </c>
      <c r="F1838" s="8" t="s">
        <v>2027</v>
      </c>
      <c r="G1838" s="8" t="s">
        <v>143</v>
      </c>
      <c r="H1838" s="8" t="s">
        <v>8675</v>
      </c>
      <c r="I1838" s="8" t="s">
        <v>9533</v>
      </c>
      <c r="J1838" s="8" t="s">
        <v>119</v>
      </c>
      <c r="K1838" s="8" t="s">
        <v>8664</v>
      </c>
      <c r="L1838" s="8"/>
      <c r="M1838" s="8"/>
      <c r="N1838" s="8" t="n">
        <v>12</v>
      </c>
      <c r="O1838" s="8" t="n">
        <v>16</v>
      </c>
      <c r="P1838" s="8" t="s">
        <v>120</v>
      </c>
    </row>
    <row r="1839" customFormat="false" ht="15" hidden="false" customHeight="false" outlineLevel="0" collapsed="false">
      <c r="A1839" s="8" t="s">
        <v>3292</v>
      </c>
      <c r="B1839" s="8" t="s">
        <v>3293</v>
      </c>
      <c r="C1839" s="8" t="s">
        <v>8669</v>
      </c>
      <c r="D1839" s="8" t="s">
        <v>132</v>
      </c>
      <c r="E1839" s="8" t="s">
        <v>51</v>
      </c>
      <c r="F1839" s="8" t="s">
        <v>2027</v>
      </c>
      <c r="G1839" s="8" t="s">
        <v>136</v>
      </c>
      <c r="H1839" s="8" t="s">
        <v>8666</v>
      </c>
      <c r="I1839" s="8" t="s">
        <v>9938</v>
      </c>
      <c r="J1839" s="8" t="s">
        <v>125</v>
      </c>
      <c r="K1839" s="8" t="s">
        <v>8664</v>
      </c>
      <c r="L1839" s="8"/>
      <c r="M1839" s="8"/>
      <c r="N1839" s="8" t="n">
        <v>12</v>
      </c>
      <c r="O1839" s="8" t="n">
        <v>25</v>
      </c>
      <c r="P1839" s="8" t="s">
        <v>120</v>
      </c>
    </row>
    <row r="1840" customFormat="false" ht="15" hidden="false" customHeight="false" outlineLevel="0" collapsed="false">
      <c r="A1840" s="8" t="s">
        <v>272</v>
      </c>
      <c r="B1840" s="8" t="s">
        <v>273</v>
      </c>
      <c r="C1840" s="8" t="s">
        <v>8665</v>
      </c>
      <c r="D1840" s="8" t="s">
        <v>117</v>
      </c>
      <c r="E1840" s="8" t="s">
        <v>55</v>
      </c>
      <c r="F1840" s="8" t="s">
        <v>55</v>
      </c>
      <c r="G1840" s="8" t="s">
        <v>151</v>
      </c>
      <c r="H1840" s="8" t="s">
        <v>8670</v>
      </c>
      <c r="I1840" s="8" t="s">
        <v>8823</v>
      </c>
      <c r="J1840" s="8" t="s">
        <v>177</v>
      </c>
      <c r="K1840" s="8" t="s">
        <v>8664</v>
      </c>
      <c r="L1840" s="8"/>
      <c r="M1840" s="8"/>
      <c r="N1840" s="8" t="n">
        <v>45</v>
      </c>
      <c r="O1840" s="8" t="n">
        <v>374</v>
      </c>
      <c r="P1840" s="8" t="s">
        <v>120</v>
      </c>
    </row>
    <row r="1841" customFormat="false" ht="15" hidden="false" customHeight="false" outlineLevel="0" collapsed="false">
      <c r="A1841" s="8" t="s">
        <v>1803</v>
      </c>
      <c r="B1841" s="8" t="s">
        <v>1804</v>
      </c>
      <c r="C1841" s="8" t="s">
        <v>8678</v>
      </c>
      <c r="D1841" s="8" t="s">
        <v>123</v>
      </c>
      <c r="E1841" s="8" t="s">
        <v>53</v>
      </c>
      <c r="F1841" s="8" t="s">
        <v>326</v>
      </c>
      <c r="G1841" s="8" t="s">
        <v>143</v>
      </c>
      <c r="H1841" s="8" t="s">
        <v>8666</v>
      </c>
      <c r="I1841" s="8" t="s">
        <v>9267</v>
      </c>
      <c r="J1841" s="8" t="s">
        <v>140</v>
      </c>
      <c r="K1841" s="8" t="s">
        <v>8664</v>
      </c>
      <c r="L1841" s="8"/>
      <c r="M1841" s="8"/>
      <c r="N1841" s="8" t="n">
        <v>25</v>
      </c>
      <c r="O1841" s="8" t="n">
        <v>47</v>
      </c>
      <c r="P1841" s="8" t="s">
        <v>120</v>
      </c>
    </row>
    <row r="1842" customFormat="false" ht="15" hidden="false" customHeight="false" outlineLevel="0" collapsed="false">
      <c r="A1842" s="8" t="s">
        <v>4595</v>
      </c>
      <c r="B1842" s="8" t="s">
        <v>10173</v>
      </c>
      <c r="C1842" s="8" t="s">
        <v>8700</v>
      </c>
      <c r="D1842" s="8" t="s">
        <v>117</v>
      </c>
      <c r="E1842" s="8" t="s">
        <v>51</v>
      </c>
      <c r="F1842" s="8" t="s">
        <v>2027</v>
      </c>
      <c r="G1842" s="8" t="s">
        <v>143</v>
      </c>
      <c r="H1842" s="8" t="s">
        <v>8662</v>
      </c>
      <c r="I1842" s="8" t="s">
        <v>9414</v>
      </c>
      <c r="J1842" s="8"/>
      <c r="K1842" s="8" t="s">
        <v>8690</v>
      </c>
      <c r="L1842" s="8" t="s">
        <v>8807</v>
      </c>
      <c r="M1842" s="8" t="s">
        <v>8696</v>
      </c>
      <c r="N1842" s="8" t="n">
        <v>12</v>
      </c>
      <c r="O1842" s="8" t="n">
        <v>7</v>
      </c>
      <c r="P1842" s="8" t="s">
        <v>120</v>
      </c>
    </row>
    <row r="1843" customFormat="false" ht="15" hidden="false" customHeight="false" outlineLevel="0" collapsed="false">
      <c r="A1843" s="8" t="s">
        <v>1271</v>
      </c>
      <c r="B1843" s="8" t="s">
        <v>1272</v>
      </c>
      <c r="C1843" s="8" t="s">
        <v>8688</v>
      </c>
      <c r="D1843" s="8" t="s">
        <v>123</v>
      </c>
      <c r="E1843" s="8" t="s">
        <v>53</v>
      </c>
      <c r="F1843" s="8" t="s">
        <v>326</v>
      </c>
      <c r="G1843" s="8" t="s">
        <v>136</v>
      </c>
      <c r="H1843" s="8" t="s">
        <v>8675</v>
      </c>
      <c r="I1843" s="8" t="s">
        <v>8954</v>
      </c>
      <c r="J1843" s="8" t="s">
        <v>119</v>
      </c>
      <c r="K1843" s="8" t="s">
        <v>8664</v>
      </c>
      <c r="L1843" s="8"/>
      <c r="M1843" s="8"/>
      <c r="N1843" s="8" t="n">
        <v>25</v>
      </c>
      <c r="O1843" s="8" t="n">
        <v>127</v>
      </c>
      <c r="P1843" s="8" t="s">
        <v>148</v>
      </c>
    </row>
    <row r="1844" customFormat="false" ht="15" hidden="false" customHeight="false" outlineLevel="0" collapsed="false">
      <c r="A1844" s="8" t="s">
        <v>3032</v>
      </c>
      <c r="B1844" s="8" t="s">
        <v>3033</v>
      </c>
      <c r="C1844" s="8" t="s">
        <v>8669</v>
      </c>
      <c r="D1844" s="8" t="s">
        <v>117</v>
      </c>
      <c r="E1844" s="8" t="s">
        <v>51</v>
      </c>
      <c r="F1844" s="8" t="s">
        <v>326</v>
      </c>
      <c r="G1844" s="8" t="s">
        <v>136</v>
      </c>
      <c r="H1844" s="8" t="s">
        <v>8666</v>
      </c>
      <c r="I1844" s="8" t="s">
        <v>10174</v>
      </c>
      <c r="J1844" s="8" t="s">
        <v>180</v>
      </c>
      <c r="K1844" s="8" t="s">
        <v>8664</v>
      </c>
      <c r="L1844" s="8"/>
      <c r="M1844" s="8"/>
      <c r="N1844" s="8" t="n">
        <v>25</v>
      </c>
      <c r="O1844" s="8" t="n">
        <v>14</v>
      </c>
      <c r="P1844" s="8" t="s">
        <v>120</v>
      </c>
    </row>
    <row r="1845" customFormat="false" ht="15" hidden="false" customHeight="false" outlineLevel="0" collapsed="false">
      <c r="A1845" s="8" t="s">
        <v>1767</v>
      </c>
      <c r="B1845" s="8" t="s">
        <v>1768</v>
      </c>
      <c r="C1845" s="8" t="s">
        <v>8665</v>
      </c>
      <c r="D1845" s="8" t="s">
        <v>123</v>
      </c>
      <c r="E1845" s="8" t="s">
        <v>51</v>
      </c>
      <c r="F1845" s="8" t="s">
        <v>326</v>
      </c>
      <c r="G1845" s="8" t="s">
        <v>154</v>
      </c>
      <c r="H1845" s="8" t="s">
        <v>8675</v>
      </c>
      <c r="I1845" s="8" t="s">
        <v>9512</v>
      </c>
      <c r="J1845" s="8" t="s">
        <v>185</v>
      </c>
      <c r="K1845" s="8" t="s">
        <v>8664</v>
      </c>
      <c r="L1845" s="8"/>
      <c r="M1845" s="8"/>
      <c r="N1845" s="8" t="n">
        <v>25</v>
      </c>
      <c r="O1845" s="8" t="n">
        <v>23</v>
      </c>
      <c r="P1845" s="8" t="s">
        <v>120</v>
      </c>
    </row>
    <row r="1846" customFormat="false" ht="15" hidden="false" customHeight="false" outlineLevel="0" collapsed="false">
      <c r="A1846" s="8" t="s">
        <v>10175</v>
      </c>
      <c r="B1846" s="8" t="s">
        <v>10176</v>
      </c>
      <c r="C1846" s="8" t="s">
        <v>8680</v>
      </c>
      <c r="D1846" s="8" t="s">
        <v>123</v>
      </c>
      <c r="E1846" s="8" t="s">
        <v>53</v>
      </c>
      <c r="F1846" s="8" t="s">
        <v>326</v>
      </c>
      <c r="G1846" s="8" t="s">
        <v>136</v>
      </c>
      <c r="H1846" s="8" t="s">
        <v>8666</v>
      </c>
      <c r="I1846" s="8" t="s">
        <v>9832</v>
      </c>
      <c r="J1846" s="8"/>
      <c r="K1846" s="8" t="s">
        <v>8690</v>
      </c>
      <c r="L1846" s="8" t="s">
        <v>10177</v>
      </c>
      <c r="M1846" s="8" t="s">
        <v>8705</v>
      </c>
      <c r="N1846" s="8" t="n">
        <v>25</v>
      </c>
      <c r="O1846" s="8" t="n">
        <v>128</v>
      </c>
      <c r="P1846" s="8" t="s">
        <v>120</v>
      </c>
    </row>
    <row r="1847" customFormat="false" ht="15" hidden="false" customHeight="false" outlineLevel="0" collapsed="false">
      <c r="A1847" s="8" t="s">
        <v>1125</v>
      </c>
      <c r="B1847" s="8" t="s">
        <v>1126</v>
      </c>
      <c r="C1847" s="8" t="s">
        <v>8669</v>
      </c>
      <c r="D1847" s="8" t="s">
        <v>117</v>
      </c>
      <c r="E1847" s="8" t="s">
        <v>53</v>
      </c>
      <c r="F1847" s="8" t="s">
        <v>55</v>
      </c>
      <c r="G1847" s="8" t="s">
        <v>143</v>
      </c>
      <c r="H1847" s="8" t="s">
        <v>8670</v>
      </c>
      <c r="I1847" s="8" t="s">
        <v>9363</v>
      </c>
      <c r="J1847" s="8" t="s">
        <v>140</v>
      </c>
      <c r="K1847" s="8" t="s">
        <v>8664</v>
      </c>
      <c r="L1847" s="8"/>
      <c r="M1847" s="8"/>
      <c r="N1847" s="8" t="n">
        <v>45</v>
      </c>
      <c r="O1847" s="8" t="n">
        <v>64</v>
      </c>
      <c r="P1847" s="8" t="s">
        <v>120</v>
      </c>
    </row>
    <row r="1848" customFormat="false" ht="15" hidden="false" customHeight="false" outlineLevel="0" collapsed="false">
      <c r="A1848" s="8" t="s">
        <v>2766</v>
      </c>
      <c r="B1848" s="8" t="s">
        <v>2767</v>
      </c>
      <c r="C1848" s="8" t="s">
        <v>8674</v>
      </c>
      <c r="D1848" s="8" t="s">
        <v>123</v>
      </c>
      <c r="E1848" s="8" t="s">
        <v>51</v>
      </c>
      <c r="F1848" s="8" t="s">
        <v>2027</v>
      </c>
      <c r="G1848" s="8" t="s">
        <v>151</v>
      </c>
      <c r="H1848" s="8" t="s">
        <v>8662</v>
      </c>
      <c r="I1848" s="8" t="s">
        <v>9166</v>
      </c>
      <c r="J1848" s="8" t="s">
        <v>144</v>
      </c>
      <c r="K1848" s="8" t="s">
        <v>8664</v>
      </c>
      <c r="L1848" s="8"/>
      <c r="M1848" s="8"/>
      <c r="N1848" s="8" t="n">
        <v>12</v>
      </c>
      <c r="O1848" s="8" t="n">
        <v>34</v>
      </c>
      <c r="P1848" s="8" t="s">
        <v>120</v>
      </c>
    </row>
    <row r="1849" customFormat="false" ht="15" hidden="false" customHeight="false" outlineLevel="0" collapsed="false">
      <c r="A1849" s="8" t="s">
        <v>2466</v>
      </c>
      <c r="B1849" s="8" t="s">
        <v>2467</v>
      </c>
      <c r="C1849" s="8" t="s">
        <v>8674</v>
      </c>
      <c r="D1849" s="8" t="s">
        <v>117</v>
      </c>
      <c r="E1849" s="8" t="s">
        <v>51</v>
      </c>
      <c r="F1849" s="8" t="s">
        <v>2027</v>
      </c>
      <c r="G1849" s="8" t="s">
        <v>136</v>
      </c>
      <c r="H1849" s="8" t="s">
        <v>8666</v>
      </c>
      <c r="I1849" s="8" t="s">
        <v>9380</v>
      </c>
      <c r="J1849" s="8" t="s">
        <v>185</v>
      </c>
      <c r="K1849" s="8" t="s">
        <v>8664</v>
      </c>
      <c r="L1849" s="8"/>
      <c r="M1849" s="8"/>
      <c r="N1849" s="8" t="n">
        <v>12</v>
      </c>
      <c r="O1849" s="8" t="n">
        <v>39</v>
      </c>
      <c r="P1849" s="8" t="s">
        <v>120</v>
      </c>
    </row>
    <row r="1850" customFormat="false" ht="15" hidden="false" customHeight="false" outlineLevel="0" collapsed="false">
      <c r="A1850" s="8" t="s">
        <v>2710</v>
      </c>
      <c r="B1850" s="8" t="s">
        <v>2711</v>
      </c>
      <c r="C1850" s="8" t="s">
        <v>8669</v>
      </c>
      <c r="D1850" s="8" t="s">
        <v>123</v>
      </c>
      <c r="E1850" s="8" t="s">
        <v>51</v>
      </c>
      <c r="F1850" s="8" t="s">
        <v>2027</v>
      </c>
      <c r="G1850" s="8" t="s">
        <v>136</v>
      </c>
      <c r="H1850" s="8" t="s">
        <v>8670</v>
      </c>
      <c r="I1850" s="8" t="s">
        <v>8729</v>
      </c>
      <c r="J1850" s="8" t="s">
        <v>159</v>
      </c>
      <c r="K1850" s="8" t="s">
        <v>8664</v>
      </c>
      <c r="L1850" s="8"/>
      <c r="M1850" s="8"/>
      <c r="N1850" s="8" t="n">
        <v>12</v>
      </c>
      <c r="O1850" s="8" t="n">
        <v>27</v>
      </c>
      <c r="P1850" s="8" t="s">
        <v>120</v>
      </c>
    </row>
    <row r="1851" customFormat="false" ht="15" hidden="false" customHeight="false" outlineLevel="0" collapsed="false">
      <c r="A1851" s="8" t="s">
        <v>4130</v>
      </c>
      <c r="B1851" s="8" t="s">
        <v>4131</v>
      </c>
      <c r="C1851" s="8" t="s">
        <v>8665</v>
      </c>
      <c r="D1851" s="8" t="s">
        <v>132</v>
      </c>
      <c r="E1851" s="8" t="s">
        <v>51</v>
      </c>
      <c r="F1851" s="8" t="s">
        <v>2027</v>
      </c>
      <c r="G1851" s="8" t="s">
        <v>133</v>
      </c>
      <c r="H1851" s="8" t="s">
        <v>8662</v>
      </c>
      <c r="I1851" s="8" t="s">
        <v>9879</v>
      </c>
      <c r="J1851" s="8" t="s">
        <v>180</v>
      </c>
      <c r="K1851" s="8" t="s">
        <v>8664</v>
      </c>
      <c r="L1851" s="8"/>
      <c r="M1851" s="8"/>
      <c r="N1851" s="8" t="n">
        <v>12</v>
      </c>
      <c r="O1851" s="8" t="n">
        <v>10</v>
      </c>
      <c r="P1851" s="8" t="s">
        <v>120</v>
      </c>
    </row>
    <row r="1852" customFormat="false" ht="15" hidden="false" customHeight="false" outlineLevel="0" collapsed="false">
      <c r="A1852" s="8" t="s">
        <v>1637</v>
      </c>
      <c r="B1852" s="8" t="s">
        <v>1638</v>
      </c>
      <c r="C1852" s="8" t="s">
        <v>8688</v>
      </c>
      <c r="D1852" s="8" t="s">
        <v>123</v>
      </c>
      <c r="E1852" s="8" t="s">
        <v>53</v>
      </c>
      <c r="F1852" s="8" t="s">
        <v>326</v>
      </c>
      <c r="G1852" s="8" t="s">
        <v>124</v>
      </c>
      <c r="H1852" s="8" t="s">
        <v>8675</v>
      </c>
      <c r="I1852" s="8" t="s">
        <v>9647</v>
      </c>
      <c r="J1852" s="8" t="s">
        <v>129</v>
      </c>
      <c r="K1852" s="8" t="s">
        <v>8664</v>
      </c>
      <c r="L1852" s="8"/>
      <c r="M1852" s="8"/>
      <c r="N1852" s="8" t="n">
        <v>25</v>
      </c>
      <c r="O1852" s="8" t="n">
        <v>66</v>
      </c>
      <c r="P1852" s="8" t="s">
        <v>120</v>
      </c>
    </row>
    <row r="1853" customFormat="false" ht="15" hidden="false" customHeight="false" outlineLevel="0" collapsed="false">
      <c r="A1853" s="8" t="s">
        <v>3118</v>
      </c>
      <c r="B1853" s="8" t="s">
        <v>3119</v>
      </c>
      <c r="C1853" s="8" t="s">
        <v>8680</v>
      </c>
      <c r="D1853" s="8" t="s">
        <v>123</v>
      </c>
      <c r="E1853" s="8" t="s">
        <v>51</v>
      </c>
      <c r="F1853" s="8" t="s">
        <v>2027</v>
      </c>
      <c r="G1853" s="8" t="s">
        <v>166</v>
      </c>
      <c r="H1853" s="8" t="s">
        <v>8662</v>
      </c>
      <c r="I1853" s="8" t="s">
        <v>9528</v>
      </c>
      <c r="J1853" s="8" t="s">
        <v>204</v>
      </c>
      <c r="K1853" s="8" t="s">
        <v>8664</v>
      </c>
      <c r="L1853" s="8"/>
      <c r="M1853" s="8"/>
      <c r="N1853" s="8" t="n">
        <v>12</v>
      </c>
      <c r="O1853" s="8" t="n">
        <v>20</v>
      </c>
      <c r="P1853" s="8" t="s">
        <v>120</v>
      </c>
    </row>
    <row r="1854" customFormat="false" ht="15" hidden="false" customHeight="false" outlineLevel="0" collapsed="false">
      <c r="A1854" s="8" t="s">
        <v>186</v>
      </c>
      <c r="B1854" s="8" t="s">
        <v>187</v>
      </c>
      <c r="C1854" s="8" t="s">
        <v>8678</v>
      </c>
      <c r="D1854" s="8" t="s">
        <v>123</v>
      </c>
      <c r="E1854" s="8" t="s">
        <v>55</v>
      </c>
      <c r="F1854" s="8" t="s">
        <v>55</v>
      </c>
      <c r="G1854" s="8" t="s">
        <v>154</v>
      </c>
      <c r="H1854" s="8" t="s">
        <v>8662</v>
      </c>
      <c r="I1854" s="8" t="s">
        <v>9570</v>
      </c>
      <c r="J1854" s="8" t="s">
        <v>144</v>
      </c>
      <c r="K1854" s="8" t="s">
        <v>8664</v>
      </c>
      <c r="L1854" s="8"/>
      <c r="M1854" s="8"/>
      <c r="N1854" s="8" t="n">
        <v>45</v>
      </c>
      <c r="O1854" s="8" t="n">
        <v>578</v>
      </c>
      <c r="P1854" s="8" t="s">
        <v>120</v>
      </c>
    </row>
    <row r="1855" customFormat="false" ht="15" hidden="false" customHeight="false" outlineLevel="0" collapsed="false">
      <c r="A1855" s="8" t="s">
        <v>4476</v>
      </c>
      <c r="B1855" s="8" t="s">
        <v>10178</v>
      </c>
      <c r="C1855" s="8" t="s">
        <v>8700</v>
      </c>
      <c r="D1855" s="8" t="s">
        <v>123</v>
      </c>
      <c r="E1855" s="8" t="s">
        <v>53</v>
      </c>
      <c r="F1855" s="8" t="s">
        <v>326</v>
      </c>
      <c r="G1855" s="8" t="s">
        <v>190</v>
      </c>
      <c r="H1855" s="8" t="s">
        <v>8675</v>
      </c>
      <c r="I1855" s="8" t="s">
        <v>10156</v>
      </c>
      <c r="J1855" s="8"/>
      <c r="K1855" s="8" t="s">
        <v>8690</v>
      </c>
      <c r="L1855" s="8" t="s">
        <v>9270</v>
      </c>
      <c r="M1855" s="8" t="s">
        <v>8692</v>
      </c>
      <c r="N1855" s="8" t="n">
        <v>25</v>
      </c>
      <c r="O1855" s="8" t="n">
        <v>77</v>
      </c>
      <c r="P1855" s="8" t="s">
        <v>120</v>
      </c>
    </row>
    <row r="1856" customFormat="false" ht="15" hidden="false" customHeight="false" outlineLevel="0" collapsed="false">
      <c r="A1856" s="8" t="s">
        <v>3456</v>
      </c>
      <c r="B1856" s="8" t="s">
        <v>3457</v>
      </c>
      <c r="C1856" s="8" t="s">
        <v>8674</v>
      </c>
      <c r="D1856" s="8" t="s">
        <v>132</v>
      </c>
      <c r="E1856" s="8" t="s">
        <v>51</v>
      </c>
      <c r="F1856" s="8" t="s">
        <v>326</v>
      </c>
      <c r="G1856" s="8" t="s">
        <v>190</v>
      </c>
      <c r="H1856" s="8" t="s">
        <v>8675</v>
      </c>
      <c r="I1856" s="8" t="s">
        <v>9042</v>
      </c>
      <c r="J1856" s="8" t="s">
        <v>129</v>
      </c>
      <c r="K1856" s="8" t="s">
        <v>8664</v>
      </c>
      <c r="L1856" s="8"/>
      <c r="M1856" s="8"/>
      <c r="N1856" s="8" t="n">
        <v>25</v>
      </c>
      <c r="O1856" s="8" t="n">
        <v>11</v>
      </c>
      <c r="P1856" s="8" t="s">
        <v>120</v>
      </c>
    </row>
    <row r="1857" customFormat="false" ht="15" hidden="false" customHeight="false" outlineLevel="0" collapsed="false">
      <c r="A1857" s="8" t="s">
        <v>4190</v>
      </c>
      <c r="B1857" s="8" t="s">
        <v>4191</v>
      </c>
      <c r="C1857" s="8" t="s">
        <v>8665</v>
      </c>
      <c r="D1857" s="8" t="s">
        <v>128</v>
      </c>
      <c r="E1857" s="8" t="s">
        <v>51</v>
      </c>
      <c r="F1857" s="8" t="s">
        <v>2027</v>
      </c>
      <c r="G1857" s="8" t="s">
        <v>133</v>
      </c>
      <c r="H1857" s="8" t="s">
        <v>8666</v>
      </c>
      <c r="I1857" s="8" t="s">
        <v>9504</v>
      </c>
      <c r="J1857" s="8" t="s">
        <v>159</v>
      </c>
      <c r="K1857" s="8" t="s">
        <v>8664</v>
      </c>
      <c r="L1857" s="8"/>
      <c r="M1857" s="8"/>
      <c r="N1857" s="8" t="n">
        <v>12</v>
      </c>
      <c r="O1857" s="8" t="n">
        <v>8</v>
      </c>
      <c r="P1857" s="8" t="s">
        <v>120</v>
      </c>
    </row>
    <row r="1858" customFormat="false" ht="15" hidden="false" customHeight="false" outlineLevel="0" collapsed="false">
      <c r="A1858" s="8" t="s">
        <v>715</v>
      </c>
      <c r="B1858" s="8" t="s">
        <v>716</v>
      </c>
      <c r="C1858" s="8" t="s">
        <v>8674</v>
      </c>
      <c r="D1858" s="8" t="s">
        <v>117</v>
      </c>
      <c r="E1858" s="8" t="s">
        <v>53</v>
      </c>
      <c r="F1858" s="8" t="s">
        <v>326</v>
      </c>
      <c r="G1858" s="8" t="s">
        <v>143</v>
      </c>
      <c r="H1858" s="8" t="s">
        <v>8666</v>
      </c>
      <c r="I1858" s="8" t="s">
        <v>10179</v>
      </c>
      <c r="J1858" s="8" t="s">
        <v>144</v>
      </c>
      <c r="K1858" s="8" t="s">
        <v>8664</v>
      </c>
      <c r="L1858" s="8"/>
      <c r="M1858" s="8"/>
      <c r="N1858" s="8" t="n">
        <v>25</v>
      </c>
      <c r="O1858" s="8" t="n">
        <v>190</v>
      </c>
      <c r="P1858" s="8" t="s">
        <v>120</v>
      </c>
    </row>
    <row r="1859" customFormat="false" ht="15" hidden="false" customHeight="false" outlineLevel="0" collapsed="false">
      <c r="A1859" s="8" t="s">
        <v>1393</v>
      </c>
      <c r="B1859" s="8" t="s">
        <v>1394</v>
      </c>
      <c r="C1859" s="8" t="s">
        <v>8665</v>
      </c>
      <c r="D1859" s="8" t="s">
        <v>123</v>
      </c>
      <c r="E1859" s="8" t="s">
        <v>53</v>
      </c>
      <c r="F1859" s="8" t="s">
        <v>326</v>
      </c>
      <c r="G1859" s="8" t="s">
        <v>124</v>
      </c>
      <c r="H1859" s="8" t="s">
        <v>8666</v>
      </c>
      <c r="I1859" s="8" t="s">
        <v>8954</v>
      </c>
      <c r="J1859" s="8" t="s">
        <v>119</v>
      </c>
      <c r="K1859" s="8" t="s">
        <v>8664</v>
      </c>
      <c r="L1859" s="8"/>
      <c r="M1859" s="8"/>
      <c r="N1859" s="8" t="n">
        <v>25</v>
      </c>
      <c r="O1859" s="8" t="n">
        <v>108</v>
      </c>
      <c r="P1859" s="8" t="s">
        <v>148</v>
      </c>
    </row>
    <row r="1860" customFormat="false" ht="15" hidden="false" customHeight="false" outlineLevel="0" collapsed="false">
      <c r="A1860" s="8" t="s">
        <v>525</v>
      </c>
      <c r="B1860" s="8" t="s">
        <v>526</v>
      </c>
      <c r="C1860" s="8" t="s">
        <v>8688</v>
      </c>
      <c r="D1860" s="8" t="s">
        <v>117</v>
      </c>
      <c r="E1860" s="8" t="s">
        <v>53</v>
      </c>
      <c r="F1860" s="8" t="s">
        <v>55</v>
      </c>
      <c r="G1860" s="8" t="s">
        <v>151</v>
      </c>
      <c r="H1860" s="8" t="s">
        <v>8662</v>
      </c>
      <c r="I1860" s="8" t="s">
        <v>10180</v>
      </c>
      <c r="J1860" s="8" t="s">
        <v>125</v>
      </c>
      <c r="K1860" s="8" t="s">
        <v>8664</v>
      </c>
      <c r="L1860" s="8"/>
      <c r="M1860" s="8"/>
      <c r="N1860" s="8" t="n">
        <v>45</v>
      </c>
      <c r="O1860" s="8" t="n">
        <v>193</v>
      </c>
      <c r="P1860" s="8" t="s">
        <v>120</v>
      </c>
    </row>
    <row r="1861" customFormat="false" ht="15" hidden="false" customHeight="false" outlineLevel="0" collapsed="false">
      <c r="A1861" s="8" t="s">
        <v>3762</v>
      </c>
      <c r="B1861" s="8" t="s">
        <v>3763</v>
      </c>
      <c r="C1861" s="8" t="s">
        <v>8669</v>
      </c>
      <c r="D1861" s="8" t="s">
        <v>132</v>
      </c>
      <c r="E1861" s="8" t="s">
        <v>51</v>
      </c>
      <c r="F1861" s="8" t="s">
        <v>2027</v>
      </c>
      <c r="G1861" s="8" t="s">
        <v>190</v>
      </c>
      <c r="H1861" s="8" t="s">
        <v>8670</v>
      </c>
      <c r="I1861" s="8" t="s">
        <v>9278</v>
      </c>
      <c r="J1861" s="8" t="s">
        <v>119</v>
      </c>
      <c r="K1861" s="8" t="s">
        <v>8664</v>
      </c>
      <c r="L1861" s="8"/>
      <c r="M1861" s="8"/>
      <c r="N1861" s="8" t="n">
        <v>12</v>
      </c>
      <c r="O1861" s="8" t="n">
        <v>16</v>
      </c>
      <c r="P1861" s="8" t="s">
        <v>120</v>
      </c>
    </row>
    <row r="1862" customFormat="false" ht="15" hidden="false" customHeight="false" outlineLevel="0" collapsed="false">
      <c r="A1862" s="8" t="s">
        <v>3818</v>
      </c>
      <c r="B1862" s="8" t="s">
        <v>3819</v>
      </c>
      <c r="C1862" s="8" t="s">
        <v>8665</v>
      </c>
      <c r="D1862" s="8" t="s">
        <v>123</v>
      </c>
      <c r="E1862" s="8" t="s">
        <v>51</v>
      </c>
      <c r="F1862" s="8" t="s">
        <v>2027</v>
      </c>
      <c r="G1862" s="8" t="s">
        <v>151</v>
      </c>
      <c r="H1862" s="8" t="s">
        <v>8666</v>
      </c>
      <c r="I1862" s="8" t="s">
        <v>9253</v>
      </c>
      <c r="J1862" s="8" t="s">
        <v>147</v>
      </c>
      <c r="K1862" s="8" t="s">
        <v>8664</v>
      </c>
      <c r="L1862" s="8"/>
      <c r="M1862" s="8"/>
      <c r="N1862" s="8" t="n">
        <v>12</v>
      </c>
      <c r="O1862" s="8" t="n">
        <v>15</v>
      </c>
      <c r="P1862" s="8" t="s">
        <v>120</v>
      </c>
    </row>
    <row r="1863" customFormat="false" ht="15" hidden="false" customHeight="false" outlineLevel="0" collapsed="false">
      <c r="A1863" s="8" t="s">
        <v>1017</v>
      </c>
      <c r="B1863" s="8" t="s">
        <v>1018</v>
      </c>
      <c r="C1863" s="8" t="s">
        <v>8661</v>
      </c>
      <c r="D1863" s="8" t="s">
        <v>132</v>
      </c>
      <c r="E1863" s="8" t="s">
        <v>53</v>
      </c>
      <c r="F1863" s="8" t="s">
        <v>326</v>
      </c>
      <c r="G1863" s="8" t="s">
        <v>136</v>
      </c>
      <c r="H1863" s="8" t="s">
        <v>8666</v>
      </c>
      <c r="I1863" s="8" t="s">
        <v>9520</v>
      </c>
      <c r="J1863" s="8" t="s">
        <v>144</v>
      </c>
      <c r="K1863" s="8" t="s">
        <v>8664</v>
      </c>
      <c r="L1863" s="8"/>
      <c r="M1863" s="8"/>
      <c r="N1863" s="8" t="n">
        <v>25</v>
      </c>
      <c r="O1863" s="8" t="n">
        <v>163</v>
      </c>
      <c r="P1863" s="8" t="s">
        <v>120</v>
      </c>
    </row>
    <row r="1864" customFormat="false" ht="15" hidden="false" customHeight="false" outlineLevel="0" collapsed="false">
      <c r="A1864" s="8" t="s">
        <v>3890</v>
      </c>
      <c r="B1864" s="8" t="s">
        <v>3891</v>
      </c>
      <c r="C1864" s="8" t="s">
        <v>8665</v>
      </c>
      <c r="D1864" s="8" t="s">
        <v>123</v>
      </c>
      <c r="E1864" s="8" t="s">
        <v>51</v>
      </c>
      <c r="F1864" s="8" t="s">
        <v>2027</v>
      </c>
      <c r="G1864" s="8" t="s">
        <v>154</v>
      </c>
      <c r="H1864" s="8" t="s">
        <v>8662</v>
      </c>
      <c r="I1864" s="8" t="s">
        <v>8819</v>
      </c>
      <c r="J1864" s="8" t="s">
        <v>140</v>
      </c>
      <c r="K1864" s="8" t="s">
        <v>8664</v>
      </c>
      <c r="L1864" s="8"/>
      <c r="M1864" s="8"/>
      <c r="N1864" s="8" t="n">
        <v>12</v>
      </c>
      <c r="O1864" s="8" t="n">
        <v>19</v>
      </c>
      <c r="P1864" s="8" t="s">
        <v>120</v>
      </c>
    </row>
    <row r="1865" customFormat="false" ht="15" hidden="false" customHeight="false" outlineLevel="0" collapsed="false">
      <c r="A1865" s="8" t="s">
        <v>1723</v>
      </c>
      <c r="B1865" s="8" t="s">
        <v>1724</v>
      </c>
      <c r="C1865" s="8" t="s">
        <v>8680</v>
      </c>
      <c r="D1865" s="8" t="s">
        <v>117</v>
      </c>
      <c r="E1865" s="8" t="s">
        <v>53</v>
      </c>
      <c r="F1865" s="8" t="s">
        <v>326</v>
      </c>
      <c r="G1865" s="8" t="s">
        <v>124</v>
      </c>
      <c r="H1865" s="8" t="s">
        <v>8666</v>
      </c>
      <c r="I1865" s="8" t="s">
        <v>8883</v>
      </c>
      <c r="J1865" s="8" t="s">
        <v>159</v>
      </c>
      <c r="K1865" s="8" t="s">
        <v>8664</v>
      </c>
      <c r="L1865" s="8"/>
      <c r="M1865" s="8"/>
      <c r="N1865" s="8" t="n">
        <v>25</v>
      </c>
      <c r="O1865" s="8" t="n">
        <v>52</v>
      </c>
      <c r="P1865" s="8" t="s">
        <v>120</v>
      </c>
    </row>
    <row r="1866" customFormat="false" ht="15" hidden="false" customHeight="false" outlineLevel="0" collapsed="false">
      <c r="A1866" s="8" t="s">
        <v>4457</v>
      </c>
      <c r="B1866" s="8" t="s">
        <v>10181</v>
      </c>
      <c r="C1866" s="8" t="s">
        <v>8678</v>
      </c>
      <c r="D1866" s="8" t="s">
        <v>128</v>
      </c>
      <c r="E1866" s="8" t="s">
        <v>53</v>
      </c>
      <c r="F1866" s="8" t="s">
        <v>326</v>
      </c>
      <c r="G1866" s="8" t="s">
        <v>133</v>
      </c>
      <c r="H1866" s="8" t="s">
        <v>8670</v>
      </c>
      <c r="I1866" s="8" t="s">
        <v>10182</v>
      </c>
      <c r="J1866" s="8"/>
      <c r="K1866" s="8" t="s">
        <v>8690</v>
      </c>
      <c r="L1866" s="8" t="s">
        <v>10183</v>
      </c>
      <c r="M1866" s="8" t="s">
        <v>8705</v>
      </c>
      <c r="N1866" s="8" t="n">
        <v>25</v>
      </c>
      <c r="O1866" s="8" t="n">
        <v>138</v>
      </c>
      <c r="P1866" s="8" t="s">
        <v>120</v>
      </c>
    </row>
    <row r="1867" customFormat="false" ht="15" hidden="false" customHeight="false" outlineLevel="0" collapsed="false">
      <c r="A1867" s="8" t="s">
        <v>6349</v>
      </c>
      <c r="B1867" s="8" t="s">
        <v>10184</v>
      </c>
      <c r="C1867" s="8" t="s">
        <v>8680</v>
      </c>
      <c r="D1867" s="8" t="s">
        <v>132</v>
      </c>
      <c r="E1867" s="8" t="s">
        <v>51</v>
      </c>
      <c r="F1867" s="8" t="s">
        <v>2027</v>
      </c>
      <c r="G1867" s="8" t="s">
        <v>154</v>
      </c>
      <c r="H1867" s="8" t="s">
        <v>8662</v>
      </c>
      <c r="I1867" s="8" t="s">
        <v>9140</v>
      </c>
      <c r="J1867" s="8"/>
      <c r="K1867" s="8" t="s">
        <v>8690</v>
      </c>
      <c r="L1867" s="8" t="s">
        <v>8850</v>
      </c>
      <c r="M1867" s="8" t="s">
        <v>8692</v>
      </c>
      <c r="N1867" s="8" t="n">
        <v>12</v>
      </c>
      <c r="O1867" s="8" t="n">
        <v>18</v>
      </c>
      <c r="P1867" s="8" t="s">
        <v>120</v>
      </c>
    </row>
    <row r="1868" customFormat="false" ht="15" hidden="false" customHeight="false" outlineLevel="0" collapsed="false">
      <c r="A1868" s="8" t="s">
        <v>3236</v>
      </c>
      <c r="B1868" s="8" t="s">
        <v>3237</v>
      </c>
      <c r="C1868" s="8" t="s">
        <v>8661</v>
      </c>
      <c r="D1868" s="8" t="s">
        <v>132</v>
      </c>
      <c r="E1868" s="8" t="s">
        <v>51</v>
      </c>
      <c r="F1868" s="8" t="s">
        <v>2027</v>
      </c>
      <c r="G1868" s="8" t="s">
        <v>166</v>
      </c>
      <c r="H1868" s="8" t="s">
        <v>8666</v>
      </c>
      <c r="I1868" s="8" t="s">
        <v>10118</v>
      </c>
      <c r="J1868" s="8" t="s">
        <v>137</v>
      </c>
      <c r="K1868" s="8" t="s">
        <v>8664</v>
      </c>
      <c r="L1868" s="8"/>
      <c r="M1868" s="8"/>
      <c r="N1868" s="8" t="n">
        <v>12</v>
      </c>
      <c r="O1868" s="8" t="n">
        <v>26</v>
      </c>
      <c r="P1868" s="8" t="s">
        <v>120</v>
      </c>
    </row>
    <row r="1869" customFormat="false" ht="15" hidden="false" customHeight="false" outlineLevel="0" collapsed="false">
      <c r="A1869" s="8" t="s">
        <v>1467</v>
      </c>
      <c r="B1869" s="8" t="s">
        <v>1468</v>
      </c>
      <c r="C1869" s="8" t="s">
        <v>8688</v>
      </c>
      <c r="D1869" s="8" t="s">
        <v>117</v>
      </c>
      <c r="E1869" s="8" t="s">
        <v>53</v>
      </c>
      <c r="F1869" s="8" t="s">
        <v>326</v>
      </c>
      <c r="G1869" s="8" t="s">
        <v>151</v>
      </c>
      <c r="H1869" s="8" t="s">
        <v>8670</v>
      </c>
      <c r="I1869" s="8" t="s">
        <v>9672</v>
      </c>
      <c r="J1869" s="8" t="s">
        <v>180</v>
      </c>
      <c r="K1869" s="8" t="s">
        <v>8664</v>
      </c>
      <c r="L1869" s="8"/>
      <c r="M1869" s="8"/>
      <c r="N1869" s="8" t="n">
        <v>25</v>
      </c>
      <c r="O1869" s="8" t="n">
        <v>94</v>
      </c>
      <c r="P1869" s="8" t="s">
        <v>120</v>
      </c>
    </row>
    <row r="1870" customFormat="false" ht="15" hidden="false" customHeight="false" outlineLevel="0" collapsed="false">
      <c r="A1870" s="8" t="s">
        <v>1805</v>
      </c>
      <c r="B1870" s="8" t="s">
        <v>1806</v>
      </c>
      <c r="C1870" s="8" t="s">
        <v>8700</v>
      </c>
      <c r="D1870" s="8" t="s">
        <v>132</v>
      </c>
      <c r="E1870" s="8" t="s">
        <v>53</v>
      </c>
      <c r="F1870" s="8" t="s">
        <v>326</v>
      </c>
      <c r="G1870" s="8" t="s">
        <v>136</v>
      </c>
      <c r="H1870" s="8" t="s">
        <v>8662</v>
      </c>
      <c r="I1870" s="8" t="s">
        <v>9687</v>
      </c>
      <c r="J1870" s="8" t="s">
        <v>125</v>
      </c>
      <c r="K1870" s="8" t="s">
        <v>8664</v>
      </c>
      <c r="L1870" s="8"/>
      <c r="M1870" s="8"/>
      <c r="N1870" s="8" t="n">
        <v>25</v>
      </c>
      <c r="O1870" s="8" t="n">
        <v>42</v>
      </c>
      <c r="P1870" s="8" t="s">
        <v>120</v>
      </c>
    </row>
    <row r="1871" customFormat="false" ht="15" hidden="false" customHeight="false" outlineLevel="0" collapsed="false">
      <c r="A1871" s="8" t="s">
        <v>523</v>
      </c>
      <c r="B1871" s="8" t="s">
        <v>524</v>
      </c>
      <c r="C1871" s="8" t="s">
        <v>8669</v>
      </c>
      <c r="D1871" s="8" t="s">
        <v>123</v>
      </c>
      <c r="E1871" s="8" t="s">
        <v>55</v>
      </c>
      <c r="F1871" s="8" t="s">
        <v>55</v>
      </c>
      <c r="G1871" s="8" t="s">
        <v>143</v>
      </c>
      <c r="H1871" s="8" t="s">
        <v>8662</v>
      </c>
      <c r="I1871" s="8" t="s">
        <v>10162</v>
      </c>
      <c r="J1871" s="8" t="s">
        <v>140</v>
      </c>
      <c r="K1871" s="8" t="s">
        <v>8664</v>
      </c>
      <c r="L1871" s="8"/>
      <c r="M1871" s="8"/>
      <c r="N1871" s="8" t="n">
        <v>45</v>
      </c>
      <c r="O1871" s="8" t="n">
        <v>234</v>
      </c>
      <c r="P1871" s="8" t="s">
        <v>148</v>
      </c>
    </row>
    <row r="1872" customFormat="false" ht="15" hidden="false" customHeight="false" outlineLevel="0" collapsed="false">
      <c r="A1872" s="8" t="s">
        <v>467</v>
      </c>
      <c r="B1872" s="8" t="s">
        <v>468</v>
      </c>
      <c r="C1872" s="8" t="s">
        <v>8661</v>
      </c>
      <c r="D1872" s="8" t="s">
        <v>123</v>
      </c>
      <c r="E1872" s="8" t="s">
        <v>55</v>
      </c>
      <c r="F1872" s="8" t="s">
        <v>55</v>
      </c>
      <c r="G1872" s="8" t="s">
        <v>223</v>
      </c>
      <c r="H1872" s="8" t="s">
        <v>8662</v>
      </c>
      <c r="I1872" s="8" t="s">
        <v>8773</v>
      </c>
      <c r="J1872" s="8" t="s">
        <v>147</v>
      </c>
      <c r="K1872" s="8" t="s">
        <v>8664</v>
      </c>
      <c r="L1872" s="8"/>
      <c r="M1872" s="8"/>
      <c r="N1872" s="8" t="n">
        <v>45</v>
      </c>
      <c r="O1872" s="8" t="n">
        <v>254</v>
      </c>
      <c r="P1872" s="8" t="s">
        <v>148</v>
      </c>
    </row>
    <row r="1873" customFormat="false" ht="15" hidden="false" customHeight="false" outlineLevel="0" collapsed="false">
      <c r="A1873" s="8" t="s">
        <v>895</v>
      </c>
      <c r="B1873" s="8" t="s">
        <v>896</v>
      </c>
      <c r="C1873" s="8" t="s">
        <v>8678</v>
      </c>
      <c r="D1873" s="8" t="s">
        <v>117</v>
      </c>
      <c r="E1873" s="8" t="s">
        <v>53</v>
      </c>
      <c r="F1873" s="8" t="s">
        <v>55</v>
      </c>
      <c r="G1873" s="8" t="s">
        <v>118</v>
      </c>
      <c r="H1873" s="8" t="s">
        <v>8670</v>
      </c>
      <c r="I1873" s="8" t="s">
        <v>9614</v>
      </c>
      <c r="J1873" s="8" t="s">
        <v>129</v>
      </c>
      <c r="K1873" s="8" t="s">
        <v>8664</v>
      </c>
      <c r="L1873" s="8"/>
      <c r="M1873" s="8"/>
      <c r="N1873" s="8" t="n">
        <v>45</v>
      </c>
      <c r="O1873" s="8" t="n">
        <v>119</v>
      </c>
      <c r="P1873" s="8" t="s">
        <v>120</v>
      </c>
    </row>
    <row r="1874" customFormat="false" ht="15" hidden="false" customHeight="false" outlineLevel="0" collapsed="false">
      <c r="A1874" s="8" t="s">
        <v>1863</v>
      </c>
      <c r="B1874" s="8" t="s">
        <v>1864</v>
      </c>
      <c r="C1874" s="8" t="s">
        <v>8700</v>
      </c>
      <c r="D1874" s="8" t="s">
        <v>123</v>
      </c>
      <c r="E1874" s="8" t="s">
        <v>51</v>
      </c>
      <c r="F1874" s="8" t="s">
        <v>326</v>
      </c>
      <c r="G1874" s="8" t="s">
        <v>190</v>
      </c>
      <c r="H1874" s="8" t="s">
        <v>8666</v>
      </c>
      <c r="I1874" s="8" t="s">
        <v>9363</v>
      </c>
      <c r="J1874" s="8" t="s">
        <v>140</v>
      </c>
      <c r="K1874" s="8" t="s">
        <v>8664</v>
      </c>
      <c r="L1874" s="8"/>
      <c r="M1874" s="8"/>
      <c r="N1874" s="8" t="n">
        <v>25</v>
      </c>
      <c r="O1874" s="8" t="n">
        <v>38</v>
      </c>
      <c r="P1874" s="8" t="s">
        <v>120</v>
      </c>
    </row>
    <row r="1875" customFormat="false" ht="15" hidden="false" customHeight="false" outlineLevel="0" collapsed="false">
      <c r="A1875" s="8" t="s">
        <v>4412</v>
      </c>
      <c r="B1875" s="8" t="s">
        <v>10185</v>
      </c>
      <c r="C1875" s="8" t="s">
        <v>8661</v>
      </c>
      <c r="D1875" s="8" t="s">
        <v>117</v>
      </c>
      <c r="E1875" s="8" t="s">
        <v>55</v>
      </c>
      <c r="F1875" s="8" t="s">
        <v>326</v>
      </c>
      <c r="G1875" s="8" t="s">
        <v>223</v>
      </c>
      <c r="H1875" s="8" t="s">
        <v>8675</v>
      </c>
      <c r="I1875" s="8" t="s">
        <v>9656</v>
      </c>
      <c r="J1875" s="8"/>
      <c r="K1875" s="8" t="s">
        <v>8690</v>
      </c>
      <c r="L1875" s="8" t="s">
        <v>9308</v>
      </c>
      <c r="M1875" s="8" t="s">
        <v>8696</v>
      </c>
      <c r="N1875" s="8" t="n">
        <v>25</v>
      </c>
      <c r="O1875" s="8" t="n">
        <v>550</v>
      </c>
      <c r="P1875" s="8" t="s">
        <v>120</v>
      </c>
    </row>
    <row r="1876" customFormat="false" ht="15" hidden="false" customHeight="false" outlineLevel="0" collapsed="false">
      <c r="A1876" s="8" t="s">
        <v>10186</v>
      </c>
      <c r="B1876" s="8" t="s">
        <v>10187</v>
      </c>
      <c r="C1876" s="8" t="s">
        <v>8680</v>
      </c>
      <c r="D1876" s="8" t="s">
        <v>123</v>
      </c>
      <c r="E1876" s="8" t="s">
        <v>53</v>
      </c>
      <c r="F1876" s="8" t="s">
        <v>326</v>
      </c>
      <c r="G1876" s="8" t="s">
        <v>190</v>
      </c>
      <c r="H1876" s="8" t="s">
        <v>8670</v>
      </c>
      <c r="I1876" s="8" t="s">
        <v>9095</v>
      </c>
      <c r="J1876" s="8"/>
      <c r="K1876" s="8" t="s">
        <v>8690</v>
      </c>
      <c r="L1876" s="8" t="s">
        <v>9612</v>
      </c>
      <c r="M1876" s="8" t="s">
        <v>8705</v>
      </c>
      <c r="N1876" s="8" t="n">
        <v>25</v>
      </c>
      <c r="O1876" s="8" t="n">
        <v>193</v>
      </c>
      <c r="P1876" s="8" t="s">
        <v>120</v>
      </c>
    </row>
    <row r="1877" customFormat="false" ht="15" hidden="false" customHeight="false" outlineLevel="0" collapsed="false">
      <c r="A1877" s="8" t="s">
        <v>3008</v>
      </c>
      <c r="B1877" s="8" t="s">
        <v>3009</v>
      </c>
      <c r="C1877" s="8" t="s">
        <v>8665</v>
      </c>
      <c r="D1877" s="8" t="s">
        <v>117</v>
      </c>
      <c r="E1877" s="8" t="s">
        <v>51</v>
      </c>
      <c r="F1877" s="8" t="s">
        <v>2027</v>
      </c>
      <c r="G1877" s="8" t="s">
        <v>223</v>
      </c>
      <c r="H1877" s="8" t="s">
        <v>8662</v>
      </c>
      <c r="I1877" s="8" t="s">
        <v>9403</v>
      </c>
      <c r="J1877" s="8" t="s">
        <v>119</v>
      </c>
      <c r="K1877" s="8" t="s">
        <v>8664</v>
      </c>
      <c r="L1877" s="8"/>
      <c r="M1877" s="8"/>
      <c r="N1877" s="8" t="n">
        <v>12</v>
      </c>
      <c r="O1877" s="8" t="n">
        <v>18</v>
      </c>
      <c r="P1877" s="8" t="s">
        <v>120</v>
      </c>
    </row>
    <row r="1878" customFormat="false" ht="15" hidden="false" customHeight="false" outlineLevel="0" collapsed="false">
      <c r="A1878" s="8" t="s">
        <v>1557</v>
      </c>
      <c r="B1878" s="8" t="s">
        <v>1558</v>
      </c>
      <c r="C1878" s="8" t="s">
        <v>8669</v>
      </c>
      <c r="D1878" s="8" t="s">
        <v>132</v>
      </c>
      <c r="E1878" s="8" t="s">
        <v>53</v>
      </c>
      <c r="F1878" s="8" t="s">
        <v>326</v>
      </c>
      <c r="G1878" s="8" t="s">
        <v>133</v>
      </c>
      <c r="H1878" s="8" t="s">
        <v>8662</v>
      </c>
      <c r="I1878" s="8" t="s">
        <v>9114</v>
      </c>
      <c r="J1878" s="8" t="s">
        <v>177</v>
      </c>
      <c r="K1878" s="8" t="s">
        <v>8664</v>
      </c>
      <c r="L1878" s="8"/>
      <c r="M1878" s="8"/>
      <c r="N1878" s="8" t="n">
        <v>25</v>
      </c>
      <c r="O1878" s="8" t="n">
        <v>81</v>
      </c>
      <c r="P1878" s="8" t="s">
        <v>120</v>
      </c>
    </row>
    <row r="1879" customFormat="false" ht="15" hidden="false" customHeight="false" outlineLevel="0" collapsed="false">
      <c r="A1879" s="8" t="s">
        <v>2280</v>
      </c>
      <c r="B1879" s="8" t="s">
        <v>2281</v>
      </c>
      <c r="C1879" s="8" t="s">
        <v>8688</v>
      </c>
      <c r="D1879" s="8" t="s">
        <v>123</v>
      </c>
      <c r="E1879" s="8" t="s">
        <v>51</v>
      </c>
      <c r="F1879" s="8" t="s">
        <v>2027</v>
      </c>
      <c r="G1879" s="8" t="s">
        <v>124</v>
      </c>
      <c r="H1879" s="8" t="s">
        <v>8666</v>
      </c>
      <c r="I1879" s="8" t="s">
        <v>10188</v>
      </c>
      <c r="J1879" s="8" t="s">
        <v>144</v>
      </c>
      <c r="K1879" s="8" t="s">
        <v>8664</v>
      </c>
      <c r="L1879" s="8"/>
      <c r="M1879" s="8"/>
      <c r="N1879" s="8" t="n">
        <v>12</v>
      </c>
      <c r="O1879" s="8" t="n">
        <v>21</v>
      </c>
      <c r="P1879" s="8" t="s">
        <v>120</v>
      </c>
    </row>
    <row r="1880" customFormat="false" ht="15" hidden="false" customHeight="false" outlineLevel="0" collapsed="false">
      <c r="A1880" s="8" t="s">
        <v>471</v>
      </c>
      <c r="B1880" s="8" t="s">
        <v>472</v>
      </c>
      <c r="C1880" s="8" t="s">
        <v>8688</v>
      </c>
      <c r="D1880" s="8" t="s">
        <v>123</v>
      </c>
      <c r="E1880" s="8" t="s">
        <v>55</v>
      </c>
      <c r="F1880" s="8" t="s">
        <v>55</v>
      </c>
      <c r="G1880" s="8" t="s">
        <v>223</v>
      </c>
      <c r="H1880" s="8" t="s">
        <v>8666</v>
      </c>
      <c r="I1880" s="8" t="s">
        <v>8852</v>
      </c>
      <c r="J1880" s="8" t="s">
        <v>177</v>
      </c>
      <c r="K1880" s="8" t="s">
        <v>8664</v>
      </c>
      <c r="L1880" s="8"/>
      <c r="M1880" s="8"/>
      <c r="N1880" s="8" t="n">
        <v>45</v>
      </c>
      <c r="O1880" s="8" t="n">
        <v>232</v>
      </c>
      <c r="P1880" s="8" t="s">
        <v>120</v>
      </c>
    </row>
    <row r="1881" customFormat="false" ht="15" hidden="false" customHeight="false" outlineLevel="0" collapsed="false">
      <c r="A1881" s="8" t="s">
        <v>1575</v>
      </c>
      <c r="B1881" s="8" t="s">
        <v>1576</v>
      </c>
      <c r="C1881" s="8" t="s">
        <v>8669</v>
      </c>
      <c r="D1881" s="8" t="s">
        <v>132</v>
      </c>
      <c r="E1881" s="8" t="s">
        <v>53</v>
      </c>
      <c r="F1881" s="8" t="s">
        <v>326</v>
      </c>
      <c r="G1881" s="8" t="s">
        <v>124</v>
      </c>
      <c r="H1881" s="8" t="s">
        <v>8666</v>
      </c>
      <c r="I1881" s="8" t="s">
        <v>10189</v>
      </c>
      <c r="J1881" s="8" t="s">
        <v>159</v>
      </c>
      <c r="K1881" s="8" t="s">
        <v>8664</v>
      </c>
      <c r="L1881" s="8"/>
      <c r="M1881" s="8"/>
      <c r="N1881" s="8" t="n">
        <v>25</v>
      </c>
      <c r="O1881" s="8" t="n">
        <v>78</v>
      </c>
      <c r="P1881" s="8" t="s">
        <v>120</v>
      </c>
    </row>
    <row r="1882" customFormat="false" ht="15" hidden="false" customHeight="false" outlineLevel="0" collapsed="false">
      <c r="A1882" s="8" t="s">
        <v>2296</v>
      </c>
      <c r="B1882" s="8" t="s">
        <v>2297</v>
      </c>
      <c r="C1882" s="8" t="s">
        <v>8665</v>
      </c>
      <c r="D1882" s="8" t="s">
        <v>117</v>
      </c>
      <c r="E1882" s="8" t="s">
        <v>51</v>
      </c>
      <c r="F1882" s="8" t="s">
        <v>326</v>
      </c>
      <c r="G1882" s="8" t="s">
        <v>133</v>
      </c>
      <c r="H1882" s="8" t="s">
        <v>8662</v>
      </c>
      <c r="I1882" s="8" t="s">
        <v>9730</v>
      </c>
      <c r="J1882" s="8" t="s">
        <v>144</v>
      </c>
      <c r="K1882" s="8" t="s">
        <v>8664</v>
      </c>
      <c r="L1882" s="8"/>
      <c r="M1882" s="8"/>
      <c r="N1882" s="8" t="n">
        <v>25</v>
      </c>
      <c r="O1882" s="8" t="n">
        <v>22</v>
      </c>
      <c r="P1882" s="8" t="s">
        <v>148</v>
      </c>
    </row>
    <row r="1883" customFormat="false" ht="15" hidden="false" customHeight="false" outlineLevel="0" collapsed="false">
      <c r="A1883" s="8" t="s">
        <v>3120</v>
      </c>
      <c r="B1883" s="8" t="s">
        <v>3121</v>
      </c>
      <c r="C1883" s="8" t="s">
        <v>8680</v>
      </c>
      <c r="D1883" s="8" t="s">
        <v>128</v>
      </c>
      <c r="E1883" s="8" t="s">
        <v>51</v>
      </c>
      <c r="F1883" s="8" t="s">
        <v>2027</v>
      </c>
      <c r="G1883" s="8" t="s">
        <v>143</v>
      </c>
      <c r="H1883" s="8" t="s">
        <v>8662</v>
      </c>
      <c r="I1883" s="8" t="s">
        <v>9342</v>
      </c>
      <c r="J1883" s="8" t="s">
        <v>147</v>
      </c>
      <c r="K1883" s="8" t="s">
        <v>8664</v>
      </c>
      <c r="L1883" s="8"/>
      <c r="M1883" s="8"/>
      <c r="N1883" s="8" t="n">
        <v>12</v>
      </c>
      <c r="O1883" s="8" t="n">
        <v>22</v>
      </c>
      <c r="P1883" s="8" t="s">
        <v>120</v>
      </c>
    </row>
    <row r="1884" customFormat="false" ht="15" hidden="false" customHeight="false" outlineLevel="0" collapsed="false">
      <c r="A1884" s="8" t="s">
        <v>1797</v>
      </c>
      <c r="B1884" s="8" t="s">
        <v>1798</v>
      </c>
      <c r="C1884" s="8" t="s">
        <v>8680</v>
      </c>
      <c r="D1884" s="8" t="s">
        <v>128</v>
      </c>
      <c r="E1884" s="8" t="s">
        <v>53</v>
      </c>
      <c r="F1884" s="8" t="s">
        <v>326</v>
      </c>
      <c r="G1884" s="8" t="s">
        <v>118</v>
      </c>
      <c r="H1884" s="8" t="s">
        <v>8675</v>
      </c>
      <c r="I1884" s="8" t="s">
        <v>9227</v>
      </c>
      <c r="J1884" s="8" t="s">
        <v>119</v>
      </c>
      <c r="K1884" s="8" t="s">
        <v>8664</v>
      </c>
      <c r="L1884" s="8"/>
      <c r="M1884" s="8"/>
      <c r="N1884" s="8" t="n">
        <v>25</v>
      </c>
      <c r="O1884" s="8" t="n">
        <v>44</v>
      </c>
      <c r="P1884" s="8" t="s">
        <v>120</v>
      </c>
    </row>
    <row r="1885" customFormat="false" ht="15" hidden="false" customHeight="false" outlineLevel="0" collapsed="false">
      <c r="A1885" s="8" t="s">
        <v>3294</v>
      </c>
      <c r="B1885" s="8" t="s">
        <v>3295</v>
      </c>
      <c r="C1885" s="8" t="s">
        <v>8661</v>
      </c>
      <c r="D1885" s="8" t="s">
        <v>132</v>
      </c>
      <c r="E1885" s="8" t="s">
        <v>51</v>
      </c>
      <c r="F1885" s="8" t="s">
        <v>2027</v>
      </c>
      <c r="G1885" s="8" t="s">
        <v>124</v>
      </c>
      <c r="H1885" s="8" t="s">
        <v>8662</v>
      </c>
      <c r="I1885" s="8" t="s">
        <v>9094</v>
      </c>
      <c r="J1885" s="8" t="s">
        <v>129</v>
      </c>
      <c r="K1885" s="8" t="s">
        <v>8664</v>
      </c>
      <c r="L1885" s="8"/>
      <c r="M1885" s="8"/>
      <c r="N1885" s="8" t="n">
        <v>12</v>
      </c>
      <c r="O1885" s="8" t="n">
        <v>19</v>
      </c>
      <c r="P1885" s="8" t="s">
        <v>120</v>
      </c>
    </row>
    <row r="1886" customFormat="false" ht="15" hidden="false" customHeight="false" outlineLevel="0" collapsed="false">
      <c r="A1886" s="8" t="s">
        <v>2576</v>
      </c>
      <c r="B1886" s="8" t="s">
        <v>2577</v>
      </c>
      <c r="C1886" s="8" t="s">
        <v>8678</v>
      </c>
      <c r="D1886" s="8" t="s">
        <v>132</v>
      </c>
      <c r="E1886" s="8" t="s">
        <v>51</v>
      </c>
      <c r="F1886" s="8" t="s">
        <v>2027</v>
      </c>
      <c r="G1886" s="8" t="s">
        <v>154</v>
      </c>
      <c r="H1886" s="8" t="s">
        <v>8662</v>
      </c>
      <c r="I1886" s="8" t="s">
        <v>10190</v>
      </c>
      <c r="J1886" s="8" t="s">
        <v>119</v>
      </c>
      <c r="K1886" s="8" t="s">
        <v>8664</v>
      </c>
      <c r="L1886" s="8"/>
      <c r="M1886" s="8"/>
      <c r="N1886" s="8" t="n">
        <v>12</v>
      </c>
      <c r="O1886" s="8" t="n">
        <v>39</v>
      </c>
      <c r="P1886" s="8" t="s">
        <v>120</v>
      </c>
    </row>
    <row r="1887" customFormat="false" ht="15" hidden="false" customHeight="false" outlineLevel="0" collapsed="false">
      <c r="A1887" s="8" t="s">
        <v>637</v>
      </c>
      <c r="B1887" s="8" t="s">
        <v>638</v>
      </c>
      <c r="C1887" s="8" t="s">
        <v>8700</v>
      </c>
      <c r="D1887" s="8" t="s">
        <v>132</v>
      </c>
      <c r="E1887" s="8" t="s">
        <v>55</v>
      </c>
      <c r="F1887" s="8" t="s">
        <v>326</v>
      </c>
      <c r="G1887" s="8" t="s">
        <v>143</v>
      </c>
      <c r="H1887" s="8" t="s">
        <v>8662</v>
      </c>
      <c r="I1887" s="8" t="s">
        <v>8714</v>
      </c>
      <c r="J1887" s="8" t="s">
        <v>185</v>
      </c>
      <c r="K1887" s="8" t="s">
        <v>8664</v>
      </c>
      <c r="L1887" s="8"/>
      <c r="M1887" s="8"/>
      <c r="N1887" s="8" t="n">
        <v>25</v>
      </c>
      <c r="O1887" s="8" t="n">
        <v>286</v>
      </c>
      <c r="P1887" s="8" t="s">
        <v>120</v>
      </c>
    </row>
    <row r="1888" customFormat="false" ht="15" hidden="false" customHeight="false" outlineLevel="0" collapsed="false">
      <c r="A1888" s="8" t="s">
        <v>755</v>
      </c>
      <c r="B1888" s="8" t="s">
        <v>756</v>
      </c>
      <c r="C1888" s="8" t="s">
        <v>8661</v>
      </c>
      <c r="D1888" s="8" t="s">
        <v>123</v>
      </c>
      <c r="E1888" s="8" t="s">
        <v>53</v>
      </c>
      <c r="F1888" s="8" t="s">
        <v>326</v>
      </c>
      <c r="G1888" s="8" t="s">
        <v>166</v>
      </c>
      <c r="H1888" s="8" t="s">
        <v>8662</v>
      </c>
      <c r="I1888" s="8" t="s">
        <v>10191</v>
      </c>
      <c r="J1888" s="8" t="s">
        <v>180</v>
      </c>
      <c r="K1888" s="8" t="s">
        <v>8664</v>
      </c>
      <c r="L1888" s="8"/>
      <c r="M1888" s="8"/>
      <c r="N1888" s="8" t="n">
        <v>25</v>
      </c>
      <c r="O1888" s="8" t="n">
        <v>182</v>
      </c>
      <c r="P1888" s="8" t="s">
        <v>120</v>
      </c>
    </row>
    <row r="1889" customFormat="false" ht="15" hidden="false" customHeight="false" outlineLevel="0" collapsed="false">
      <c r="A1889" s="8" t="s">
        <v>3374</v>
      </c>
      <c r="B1889" s="8" t="s">
        <v>3375</v>
      </c>
      <c r="C1889" s="8" t="s">
        <v>8678</v>
      </c>
      <c r="D1889" s="8" t="s">
        <v>123</v>
      </c>
      <c r="E1889" s="8" t="s">
        <v>51</v>
      </c>
      <c r="F1889" s="8" t="s">
        <v>2027</v>
      </c>
      <c r="G1889" s="8" t="s">
        <v>166</v>
      </c>
      <c r="H1889" s="8" t="s">
        <v>8662</v>
      </c>
      <c r="I1889" s="8" t="s">
        <v>9841</v>
      </c>
      <c r="J1889" s="8" t="s">
        <v>140</v>
      </c>
      <c r="K1889" s="8" t="s">
        <v>8664</v>
      </c>
      <c r="L1889" s="8"/>
      <c r="M1889" s="8"/>
      <c r="N1889" s="8" t="n">
        <v>12</v>
      </c>
      <c r="O1889" s="8" t="n">
        <v>24</v>
      </c>
      <c r="P1889" s="8" t="s">
        <v>120</v>
      </c>
    </row>
    <row r="1890" customFormat="false" ht="15" hidden="false" customHeight="false" outlineLevel="0" collapsed="false">
      <c r="A1890" s="8" t="s">
        <v>2546</v>
      </c>
      <c r="B1890" s="8" t="s">
        <v>2547</v>
      </c>
      <c r="C1890" s="8" t="s">
        <v>8674</v>
      </c>
      <c r="D1890" s="8" t="s">
        <v>123</v>
      </c>
      <c r="E1890" s="8" t="s">
        <v>51</v>
      </c>
      <c r="F1890" s="8" t="s">
        <v>326</v>
      </c>
      <c r="G1890" s="8" t="s">
        <v>223</v>
      </c>
      <c r="H1890" s="8" t="s">
        <v>8662</v>
      </c>
      <c r="I1890" s="8" t="s">
        <v>8671</v>
      </c>
      <c r="J1890" s="8" t="s">
        <v>159</v>
      </c>
      <c r="K1890" s="8" t="s">
        <v>8664</v>
      </c>
      <c r="L1890" s="8"/>
      <c r="M1890" s="8"/>
      <c r="N1890" s="8" t="n">
        <v>25</v>
      </c>
      <c r="O1890" s="8" t="n">
        <v>18</v>
      </c>
      <c r="P1890" s="8" t="s">
        <v>120</v>
      </c>
    </row>
    <row r="1891" customFormat="false" ht="15" hidden="false" customHeight="false" outlineLevel="0" collapsed="false">
      <c r="A1891" s="8" t="s">
        <v>3738</v>
      </c>
      <c r="B1891" s="8" t="s">
        <v>3739</v>
      </c>
      <c r="C1891" s="8" t="s">
        <v>8674</v>
      </c>
      <c r="D1891" s="8" t="s">
        <v>123</v>
      </c>
      <c r="E1891" s="8" t="s">
        <v>51</v>
      </c>
      <c r="F1891" s="8" t="s">
        <v>326</v>
      </c>
      <c r="G1891" s="8" t="s">
        <v>190</v>
      </c>
      <c r="H1891" s="8" t="s">
        <v>8666</v>
      </c>
      <c r="I1891" s="8" t="s">
        <v>9738</v>
      </c>
      <c r="J1891" s="8" t="s">
        <v>159</v>
      </c>
      <c r="K1891" s="8" t="s">
        <v>8664</v>
      </c>
      <c r="L1891" s="8"/>
      <c r="M1891" s="8"/>
      <c r="N1891" s="8" t="n">
        <v>25</v>
      </c>
      <c r="O1891" s="8" t="n">
        <v>8</v>
      </c>
      <c r="P1891" s="8" t="s">
        <v>120</v>
      </c>
    </row>
    <row r="1892" customFormat="false" ht="15" hidden="false" customHeight="false" outlineLevel="0" collapsed="false">
      <c r="A1892" s="8" t="s">
        <v>3636</v>
      </c>
      <c r="B1892" s="8" t="s">
        <v>3637</v>
      </c>
      <c r="C1892" s="8" t="s">
        <v>8678</v>
      </c>
      <c r="D1892" s="8" t="s">
        <v>117</v>
      </c>
      <c r="E1892" s="8" t="s">
        <v>51</v>
      </c>
      <c r="F1892" s="8" t="s">
        <v>326</v>
      </c>
      <c r="G1892" s="8" t="s">
        <v>124</v>
      </c>
      <c r="H1892" s="8" t="s">
        <v>8670</v>
      </c>
      <c r="I1892" s="8" t="s">
        <v>9263</v>
      </c>
      <c r="J1892" s="8" t="s">
        <v>144</v>
      </c>
      <c r="K1892" s="8" t="s">
        <v>8664</v>
      </c>
      <c r="L1892" s="8"/>
      <c r="M1892" s="8"/>
      <c r="N1892" s="8" t="n">
        <v>25</v>
      </c>
      <c r="O1892" s="8" t="n">
        <v>9</v>
      </c>
      <c r="P1892" s="8" t="s">
        <v>148</v>
      </c>
    </row>
    <row r="1893" customFormat="false" ht="15" hidden="false" customHeight="false" outlineLevel="0" collapsed="false">
      <c r="A1893" s="8" t="s">
        <v>2654</v>
      </c>
      <c r="B1893" s="8" t="s">
        <v>2655</v>
      </c>
      <c r="C1893" s="8" t="s">
        <v>8700</v>
      </c>
      <c r="D1893" s="8" t="s">
        <v>132</v>
      </c>
      <c r="E1893" s="8" t="s">
        <v>51</v>
      </c>
      <c r="F1893" s="8" t="s">
        <v>326</v>
      </c>
      <c r="G1893" s="8" t="s">
        <v>124</v>
      </c>
      <c r="H1893" s="8" t="s">
        <v>8675</v>
      </c>
      <c r="I1893" s="8" t="s">
        <v>9253</v>
      </c>
      <c r="J1893" s="8" t="s">
        <v>147</v>
      </c>
      <c r="K1893" s="8" t="s">
        <v>8664</v>
      </c>
      <c r="L1893" s="8"/>
      <c r="M1893" s="8"/>
      <c r="N1893" s="8" t="n">
        <v>25</v>
      </c>
      <c r="O1893" s="8" t="n">
        <v>17</v>
      </c>
      <c r="P1893" s="8" t="s">
        <v>120</v>
      </c>
    </row>
    <row r="1894" customFormat="false" ht="15" hidden="false" customHeight="false" outlineLevel="0" collapsed="false">
      <c r="A1894" s="8" t="s">
        <v>2054</v>
      </c>
      <c r="B1894" s="8" t="s">
        <v>2055</v>
      </c>
      <c r="C1894" s="8" t="s">
        <v>8678</v>
      </c>
      <c r="D1894" s="8" t="s">
        <v>123</v>
      </c>
      <c r="E1894" s="8" t="s">
        <v>51</v>
      </c>
      <c r="F1894" s="8" t="s">
        <v>326</v>
      </c>
      <c r="G1894" s="8" t="s">
        <v>166</v>
      </c>
      <c r="H1894" s="8" t="s">
        <v>8670</v>
      </c>
      <c r="I1894" s="8" t="s">
        <v>9812</v>
      </c>
      <c r="J1894" s="8" t="s">
        <v>177</v>
      </c>
      <c r="K1894" s="8" t="s">
        <v>8664</v>
      </c>
      <c r="L1894" s="8"/>
      <c r="M1894" s="8"/>
      <c r="N1894" s="8" t="n">
        <v>25</v>
      </c>
      <c r="O1894" s="8" t="n">
        <v>30</v>
      </c>
      <c r="P1894" s="8" t="s">
        <v>120</v>
      </c>
    </row>
    <row r="1895" customFormat="false" ht="15" hidden="false" customHeight="false" outlineLevel="0" collapsed="false">
      <c r="A1895" s="8" t="s">
        <v>1337</v>
      </c>
      <c r="B1895" s="8" t="s">
        <v>1338</v>
      </c>
      <c r="C1895" s="8" t="s">
        <v>8678</v>
      </c>
      <c r="D1895" s="8" t="s">
        <v>132</v>
      </c>
      <c r="E1895" s="8" t="s">
        <v>53</v>
      </c>
      <c r="F1895" s="8" t="s">
        <v>326</v>
      </c>
      <c r="G1895" s="8" t="s">
        <v>151</v>
      </c>
      <c r="H1895" s="8" t="s">
        <v>8670</v>
      </c>
      <c r="I1895" s="8" t="s">
        <v>9973</v>
      </c>
      <c r="J1895" s="8" t="s">
        <v>185</v>
      </c>
      <c r="K1895" s="8" t="s">
        <v>8664</v>
      </c>
      <c r="L1895" s="8"/>
      <c r="M1895" s="8"/>
      <c r="N1895" s="8" t="n">
        <v>25</v>
      </c>
      <c r="O1895" s="8" t="n">
        <v>117</v>
      </c>
      <c r="P1895" s="8" t="s">
        <v>120</v>
      </c>
    </row>
    <row r="1896" customFormat="false" ht="15" hidden="false" customHeight="false" outlineLevel="0" collapsed="false">
      <c r="A1896" s="8" t="s">
        <v>2146</v>
      </c>
      <c r="B1896" s="8" t="s">
        <v>2147</v>
      </c>
      <c r="C1896" s="8" t="s">
        <v>8680</v>
      </c>
      <c r="D1896" s="8" t="s">
        <v>117</v>
      </c>
      <c r="E1896" s="8" t="s">
        <v>51</v>
      </c>
      <c r="F1896" s="8" t="s">
        <v>2027</v>
      </c>
      <c r="G1896" s="8" t="s">
        <v>166</v>
      </c>
      <c r="H1896" s="8" t="s">
        <v>8662</v>
      </c>
      <c r="I1896" s="8" t="s">
        <v>10192</v>
      </c>
      <c r="J1896" s="8" t="s">
        <v>140</v>
      </c>
      <c r="K1896" s="8" t="s">
        <v>8664</v>
      </c>
      <c r="L1896" s="8"/>
      <c r="M1896" s="8"/>
      <c r="N1896" s="8" t="n">
        <v>12</v>
      </c>
      <c r="O1896" s="8" t="n">
        <v>32</v>
      </c>
      <c r="P1896" s="8" t="s">
        <v>120</v>
      </c>
    </row>
    <row r="1897" customFormat="false" ht="15" hidden="false" customHeight="false" outlineLevel="0" collapsed="false">
      <c r="A1897" s="8" t="s">
        <v>1491</v>
      </c>
      <c r="B1897" s="8" t="s">
        <v>1492</v>
      </c>
      <c r="C1897" s="8" t="s">
        <v>8678</v>
      </c>
      <c r="D1897" s="8" t="s">
        <v>132</v>
      </c>
      <c r="E1897" s="8" t="s">
        <v>53</v>
      </c>
      <c r="F1897" s="8" t="s">
        <v>326</v>
      </c>
      <c r="G1897" s="8" t="s">
        <v>223</v>
      </c>
      <c r="H1897" s="8" t="s">
        <v>8670</v>
      </c>
      <c r="I1897" s="8" t="s">
        <v>8889</v>
      </c>
      <c r="J1897" s="8" t="s">
        <v>177</v>
      </c>
      <c r="K1897" s="8" t="s">
        <v>8664</v>
      </c>
      <c r="L1897" s="8"/>
      <c r="M1897" s="8"/>
      <c r="N1897" s="8" t="n">
        <v>25</v>
      </c>
      <c r="O1897" s="8" t="n">
        <v>92</v>
      </c>
      <c r="P1897" s="8" t="s">
        <v>120</v>
      </c>
    </row>
    <row r="1898" customFormat="false" ht="15" hidden="false" customHeight="false" outlineLevel="0" collapsed="false">
      <c r="A1898" s="8" t="s">
        <v>803</v>
      </c>
      <c r="B1898" s="8" t="s">
        <v>804</v>
      </c>
      <c r="C1898" s="8" t="s">
        <v>8661</v>
      </c>
      <c r="D1898" s="8" t="s">
        <v>128</v>
      </c>
      <c r="E1898" s="8" t="s">
        <v>53</v>
      </c>
      <c r="F1898" s="8" t="s">
        <v>326</v>
      </c>
      <c r="G1898" s="8" t="s">
        <v>154</v>
      </c>
      <c r="H1898" s="8" t="s">
        <v>8662</v>
      </c>
      <c r="I1898" s="8" t="s">
        <v>8867</v>
      </c>
      <c r="J1898" s="8" t="s">
        <v>185</v>
      </c>
      <c r="K1898" s="8" t="s">
        <v>8664</v>
      </c>
      <c r="L1898" s="8"/>
      <c r="M1898" s="8"/>
      <c r="N1898" s="8" t="n">
        <v>25</v>
      </c>
      <c r="O1898" s="8" t="n">
        <v>196</v>
      </c>
      <c r="P1898" s="8" t="s">
        <v>120</v>
      </c>
    </row>
    <row r="1899" customFormat="false" ht="15" hidden="false" customHeight="false" outlineLevel="0" collapsed="false">
      <c r="A1899" s="8" t="s">
        <v>1273</v>
      </c>
      <c r="B1899" s="8" t="s">
        <v>1274</v>
      </c>
      <c r="C1899" s="8" t="s">
        <v>8688</v>
      </c>
      <c r="D1899" s="8" t="s">
        <v>117</v>
      </c>
      <c r="E1899" s="8" t="s">
        <v>53</v>
      </c>
      <c r="F1899" s="8" t="s">
        <v>326</v>
      </c>
      <c r="G1899" s="8" t="s">
        <v>154</v>
      </c>
      <c r="H1899" s="8" t="s">
        <v>8662</v>
      </c>
      <c r="I1899" s="8" t="s">
        <v>9565</v>
      </c>
      <c r="J1899" s="8" t="s">
        <v>177</v>
      </c>
      <c r="K1899" s="8" t="s">
        <v>8664</v>
      </c>
      <c r="L1899" s="8"/>
      <c r="M1899" s="8"/>
      <c r="N1899" s="8" t="n">
        <v>25</v>
      </c>
      <c r="O1899" s="8" t="n">
        <v>127</v>
      </c>
      <c r="P1899" s="8" t="s">
        <v>120</v>
      </c>
    </row>
    <row r="1900" customFormat="false" ht="15" hidden="false" customHeight="false" outlineLevel="0" collapsed="false">
      <c r="A1900" s="8" t="s">
        <v>1141</v>
      </c>
      <c r="B1900" s="8" t="s">
        <v>1142</v>
      </c>
      <c r="C1900" s="8" t="s">
        <v>8674</v>
      </c>
      <c r="D1900" s="8" t="s">
        <v>123</v>
      </c>
      <c r="E1900" s="8" t="s">
        <v>53</v>
      </c>
      <c r="F1900" s="8" t="s">
        <v>326</v>
      </c>
      <c r="G1900" s="8" t="s">
        <v>166</v>
      </c>
      <c r="H1900" s="8" t="s">
        <v>8670</v>
      </c>
      <c r="I1900" s="8" t="s">
        <v>9727</v>
      </c>
      <c r="J1900" s="8" t="s">
        <v>129</v>
      </c>
      <c r="K1900" s="8" t="s">
        <v>8664</v>
      </c>
      <c r="L1900" s="8"/>
      <c r="M1900" s="8"/>
      <c r="N1900" s="8" t="n">
        <v>25</v>
      </c>
      <c r="O1900" s="8" t="n">
        <v>144</v>
      </c>
      <c r="P1900" s="8" t="s">
        <v>120</v>
      </c>
    </row>
    <row r="1901" customFormat="false" ht="15" hidden="false" customHeight="false" outlineLevel="0" collapsed="false">
      <c r="A1901" s="8" t="s">
        <v>1817</v>
      </c>
      <c r="B1901" s="8" t="s">
        <v>1818</v>
      </c>
      <c r="C1901" s="8" t="s">
        <v>8674</v>
      </c>
      <c r="D1901" s="8" t="s">
        <v>123</v>
      </c>
      <c r="E1901" s="8" t="s">
        <v>51</v>
      </c>
      <c r="F1901" s="8" t="s">
        <v>326</v>
      </c>
      <c r="G1901" s="8" t="s">
        <v>143</v>
      </c>
      <c r="H1901" s="8" t="s">
        <v>8662</v>
      </c>
      <c r="I1901" s="8" t="s">
        <v>10190</v>
      </c>
      <c r="J1901" s="8" t="s">
        <v>119</v>
      </c>
      <c r="K1901" s="8" t="s">
        <v>8664</v>
      </c>
      <c r="L1901" s="8"/>
      <c r="M1901" s="8"/>
      <c r="N1901" s="8" t="n">
        <v>25</v>
      </c>
      <c r="O1901" s="8" t="n">
        <v>39</v>
      </c>
      <c r="P1901" s="8" t="s">
        <v>120</v>
      </c>
    </row>
    <row r="1902" customFormat="false" ht="15" hidden="false" customHeight="false" outlineLevel="0" collapsed="false">
      <c r="A1902" s="8" t="s">
        <v>3184</v>
      </c>
      <c r="B1902" s="8" t="s">
        <v>3185</v>
      </c>
      <c r="C1902" s="8" t="s">
        <v>8669</v>
      </c>
      <c r="D1902" s="8" t="s">
        <v>123</v>
      </c>
      <c r="E1902" s="8" t="s">
        <v>51</v>
      </c>
      <c r="F1902" s="8" t="s">
        <v>2027</v>
      </c>
      <c r="G1902" s="8" t="s">
        <v>154</v>
      </c>
      <c r="H1902" s="8" t="s">
        <v>8662</v>
      </c>
      <c r="I1902" s="8" t="s">
        <v>9138</v>
      </c>
      <c r="J1902" s="8" t="s">
        <v>204</v>
      </c>
      <c r="K1902" s="8" t="s">
        <v>8664</v>
      </c>
      <c r="L1902" s="8"/>
      <c r="M1902" s="8"/>
      <c r="N1902" s="8" t="n">
        <v>12</v>
      </c>
      <c r="O1902" s="8" t="n">
        <v>27</v>
      </c>
      <c r="P1902" s="8" t="s">
        <v>120</v>
      </c>
    </row>
    <row r="1903" customFormat="false" ht="15" hidden="false" customHeight="false" outlineLevel="0" collapsed="false">
      <c r="A1903" s="8" t="s">
        <v>4576</v>
      </c>
      <c r="B1903" s="8" t="s">
        <v>10193</v>
      </c>
      <c r="C1903" s="8" t="s">
        <v>8680</v>
      </c>
      <c r="D1903" s="8" t="s">
        <v>132</v>
      </c>
      <c r="E1903" s="8" t="s">
        <v>51</v>
      </c>
      <c r="F1903" s="8" t="s">
        <v>2027</v>
      </c>
      <c r="G1903" s="8" t="s">
        <v>136</v>
      </c>
      <c r="H1903" s="8" t="s">
        <v>8670</v>
      </c>
      <c r="I1903" s="8" t="s">
        <v>10122</v>
      </c>
      <c r="J1903" s="8"/>
      <c r="K1903" s="8" t="s">
        <v>8690</v>
      </c>
      <c r="L1903" s="8" t="s">
        <v>9885</v>
      </c>
      <c r="M1903" s="8" t="s">
        <v>8696</v>
      </c>
      <c r="N1903" s="8" t="n">
        <v>12</v>
      </c>
      <c r="O1903" s="8" t="n">
        <v>14</v>
      </c>
      <c r="P1903" s="8" t="s">
        <v>120</v>
      </c>
    </row>
    <row r="1904" customFormat="false" ht="15" hidden="false" customHeight="false" outlineLevel="0" collapsed="false">
      <c r="A1904" s="8" t="s">
        <v>4010</v>
      </c>
      <c r="B1904" s="8" t="s">
        <v>4011</v>
      </c>
      <c r="C1904" s="8" t="s">
        <v>8661</v>
      </c>
      <c r="D1904" s="8" t="s">
        <v>123</v>
      </c>
      <c r="E1904" s="8" t="s">
        <v>51</v>
      </c>
      <c r="F1904" s="8" t="s">
        <v>2027</v>
      </c>
      <c r="G1904" s="8" t="s">
        <v>190</v>
      </c>
      <c r="H1904" s="8" t="s">
        <v>8675</v>
      </c>
      <c r="I1904" s="8" t="s">
        <v>9596</v>
      </c>
      <c r="J1904" s="8" t="s">
        <v>147</v>
      </c>
      <c r="K1904" s="8" t="s">
        <v>8664</v>
      </c>
      <c r="L1904" s="8"/>
      <c r="M1904" s="8"/>
      <c r="N1904" s="8" t="n">
        <v>12</v>
      </c>
      <c r="O1904" s="8" t="n">
        <v>14</v>
      </c>
      <c r="P1904" s="8" t="s">
        <v>120</v>
      </c>
    </row>
    <row r="1905" customFormat="false" ht="15" hidden="false" customHeight="false" outlineLevel="0" collapsed="false">
      <c r="A1905" s="8" t="s">
        <v>3238</v>
      </c>
      <c r="B1905" s="8" t="s">
        <v>3239</v>
      </c>
      <c r="C1905" s="8" t="s">
        <v>8661</v>
      </c>
      <c r="D1905" s="8" t="s">
        <v>123</v>
      </c>
      <c r="E1905" s="8" t="s">
        <v>51</v>
      </c>
      <c r="F1905" s="8" t="s">
        <v>2027</v>
      </c>
      <c r="G1905" s="8" t="s">
        <v>118</v>
      </c>
      <c r="H1905" s="8" t="s">
        <v>8670</v>
      </c>
      <c r="I1905" s="8" t="s">
        <v>9427</v>
      </c>
      <c r="J1905" s="8" t="s">
        <v>144</v>
      </c>
      <c r="K1905" s="8" t="s">
        <v>8664</v>
      </c>
      <c r="L1905" s="8"/>
      <c r="M1905" s="8"/>
      <c r="N1905" s="8" t="n">
        <v>12</v>
      </c>
      <c r="O1905" s="8" t="n">
        <v>26</v>
      </c>
      <c r="P1905" s="8" t="s">
        <v>120</v>
      </c>
    </row>
    <row r="1906" customFormat="false" ht="15" hidden="false" customHeight="false" outlineLevel="0" collapsed="false">
      <c r="A1906" s="8" t="s">
        <v>2078</v>
      </c>
      <c r="B1906" s="8" t="s">
        <v>2079</v>
      </c>
      <c r="C1906" s="8" t="s">
        <v>8680</v>
      </c>
      <c r="D1906" s="8" t="s">
        <v>117</v>
      </c>
      <c r="E1906" s="8" t="s">
        <v>51</v>
      </c>
      <c r="F1906" s="8" t="s">
        <v>326</v>
      </c>
      <c r="G1906" s="8" t="s">
        <v>143</v>
      </c>
      <c r="H1906" s="8" t="s">
        <v>8662</v>
      </c>
      <c r="I1906" s="8" t="s">
        <v>8875</v>
      </c>
      <c r="J1906" s="8" t="s">
        <v>129</v>
      </c>
      <c r="K1906" s="8" t="s">
        <v>8664</v>
      </c>
      <c r="L1906" s="8"/>
      <c r="M1906" s="8"/>
      <c r="N1906" s="8" t="n">
        <v>25</v>
      </c>
      <c r="O1906" s="8" t="n">
        <v>29</v>
      </c>
      <c r="P1906" s="8" t="s">
        <v>120</v>
      </c>
    </row>
    <row r="1907" customFormat="false" ht="15" hidden="false" customHeight="false" outlineLevel="0" collapsed="false">
      <c r="A1907" s="8" t="s">
        <v>4545</v>
      </c>
      <c r="B1907" s="8" t="s">
        <v>10194</v>
      </c>
      <c r="C1907" s="8" t="s">
        <v>8688</v>
      </c>
      <c r="D1907" s="8" t="s">
        <v>132</v>
      </c>
      <c r="E1907" s="8" t="s">
        <v>51</v>
      </c>
      <c r="F1907" s="8" t="s">
        <v>2027</v>
      </c>
      <c r="G1907" s="8" t="s">
        <v>136</v>
      </c>
      <c r="H1907" s="8" t="s">
        <v>8670</v>
      </c>
      <c r="I1907" s="8" t="s">
        <v>8847</v>
      </c>
      <c r="J1907" s="8"/>
      <c r="K1907" s="8" t="s">
        <v>8690</v>
      </c>
      <c r="L1907" s="8" t="s">
        <v>9599</v>
      </c>
      <c r="M1907" s="8" t="s">
        <v>8692</v>
      </c>
      <c r="N1907" s="8" t="n">
        <v>12</v>
      </c>
      <c r="O1907" s="8" t="n">
        <v>23</v>
      </c>
      <c r="P1907" s="8" t="s">
        <v>120</v>
      </c>
    </row>
    <row r="1908" customFormat="false" ht="15" hidden="false" customHeight="false" outlineLevel="0" collapsed="false">
      <c r="A1908" s="8" t="s">
        <v>717</v>
      </c>
      <c r="B1908" s="8" t="s">
        <v>718</v>
      </c>
      <c r="C1908" s="8" t="s">
        <v>8661</v>
      </c>
      <c r="D1908" s="8" t="s">
        <v>132</v>
      </c>
      <c r="E1908" s="8" t="s">
        <v>53</v>
      </c>
      <c r="F1908" s="8" t="s">
        <v>326</v>
      </c>
      <c r="G1908" s="8" t="s">
        <v>190</v>
      </c>
      <c r="H1908" s="8" t="s">
        <v>8666</v>
      </c>
      <c r="I1908" s="8" t="s">
        <v>10195</v>
      </c>
      <c r="J1908" s="8" t="s">
        <v>177</v>
      </c>
      <c r="K1908" s="8" t="s">
        <v>8664</v>
      </c>
      <c r="L1908" s="8"/>
      <c r="M1908" s="8"/>
      <c r="N1908" s="8" t="n">
        <v>25</v>
      </c>
      <c r="O1908" s="8" t="n">
        <v>176</v>
      </c>
      <c r="P1908" s="8" t="s">
        <v>120</v>
      </c>
    </row>
    <row r="1909" customFormat="false" ht="15" hidden="false" customHeight="false" outlineLevel="0" collapsed="false">
      <c r="A1909" s="8" t="s">
        <v>4058</v>
      </c>
      <c r="B1909" s="8" t="s">
        <v>4059</v>
      </c>
      <c r="C1909" s="8" t="s">
        <v>8688</v>
      </c>
      <c r="D1909" s="8" t="s">
        <v>117</v>
      </c>
      <c r="E1909" s="8" t="s">
        <v>51</v>
      </c>
      <c r="F1909" s="8" t="s">
        <v>2027</v>
      </c>
      <c r="G1909" s="8" t="s">
        <v>151</v>
      </c>
      <c r="H1909" s="8" t="s">
        <v>8670</v>
      </c>
      <c r="I1909" s="8" t="s">
        <v>9286</v>
      </c>
      <c r="J1909" s="8" t="s">
        <v>129</v>
      </c>
      <c r="K1909" s="8" t="s">
        <v>8664</v>
      </c>
      <c r="L1909" s="8"/>
      <c r="M1909" s="8"/>
      <c r="N1909" s="8" t="n">
        <v>12</v>
      </c>
      <c r="O1909" s="8" t="n">
        <v>14</v>
      </c>
      <c r="P1909" s="8" t="s">
        <v>148</v>
      </c>
    </row>
    <row r="1910" customFormat="false" ht="15" hidden="false" customHeight="false" outlineLevel="0" collapsed="false">
      <c r="A1910" s="8" t="s">
        <v>2266</v>
      </c>
      <c r="B1910" s="8" t="s">
        <v>2267</v>
      </c>
      <c r="C1910" s="8" t="s">
        <v>8665</v>
      </c>
      <c r="D1910" s="8" t="s">
        <v>117</v>
      </c>
      <c r="E1910" s="8" t="s">
        <v>51</v>
      </c>
      <c r="F1910" s="8" t="s">
        <v>326</v>
      </c>
      <c r="G1910" s="8" t="s">
        <v>154</v>
      </c>
      <c r="H1910" s="8" t="s">
        <v>8666</v>
      </c>
      <c r="I1910" s="8" t="s">
        <v>8839</v>
      </c>
      <c r="J1910" s="8" t="s">
        <v>180</v>
      </c>
      <c r="K1910" s="8" t="s">
        <v>8664</v>
      </c>
      <c r="L1910" s="8"/>
      <c r="M1910" s="8"/>
      <c r="N1910" s="8" t="n">
        <v>25</v>
      </c>
      <c r="O1910" s="8" t="n">
        <v>23</v>
      </c>
      <c r="P1910" s="8" t="s">
        <v>120</v>
      </c>
    </row>
    <row r="1911" customFormat="false" ht="15" hidden="false" customHeight="false" outlineLevel="0" collapsed="false">
      <c r="A1911" s="8" t="s">
        <v>4060</v>
      </c>
      <c r="B1911" s="8" t="s">
        <v>4061</v>
      </c>
      <c r="C1911" s="8" t="s">
        <v>8665</v>
      </c>
      <c r="D1911" s="8" t="s">
        <v>123</v>
      </c>
      <c r="E1911" s="8" t="s">
        <v>51</v>
      </c>
      <c r="F1911" s="8" t="s">
        <v>2027</v>
      </c>
      <c r="G1911" s="8" t="s">
        <v>118</v>
      </c>
      <c r="H1911" s="8" t="s">
        <v>8675</v>
      </c>
      <c r="I1911" s="8" t="s">
        <v>9004</v>
      </c>
      <c r="J1911" s="8" t="s">
        <v>129</v>
      </c>
      <c r="K1911" s="8" t="s">
        <v>8664</v>
      </c>
      <c r="L1911" s="8"/>
      <c r="M1911" s="8"/>
      <c r="N1911" s="8" t="n">
        <v>12</v>
      </c>
      <c r="O1911" s="8" t="n">
        <v>11</v>
      </c>
      <c r="P1911" s="8" t="s">
        <v>120</v>
      </c>
    </row>
    <row r="1912" customFormat="false" ht="15" hidden="false" customHeight="false" outlineLevel="0" collapsed="false">
      <c r="A1912" s="8" t="s">
        <v>1359</v>
      </c>
      <c r="B1912" s="8" t="s">
        <v>1360</v>
      </c>
      <c r="C1912" s="8" t="s">
        <v>8688</v>
      </c>
      <c r="D1912" s="8" t="s">
        <v>132</v>
      </c>
      <c r="E1912" s="8" t="s">
        <v>53</v>
      </c>
      <c r="F1912" s="8" t="s">
        <v>326</v>
      </c>
      <c r="G1912" s="8" t="s">
        <v>143</v>
      </c>
      <c r="H1912" s="8" t="s">
        <v>8666</v>
      </c>
      <c r="I1912" s="8" t="s">
        <v>10196</v>
      </c>
      <c r="J1912" s="8" t="s">
        <v>144</v>
      </c>
      <c r="K1912" s="8" t="s">
        <v>8664</v>
      </c>
      <c r="L1912" s="8"/>
      <c r="M1912" s="8"/>
      <c r="N1912" s="8" t="n">
        <v>25</v>
      </c>
      <c r="O1912" s="8" t="n">
        <v>92</v>
      </c>
      <c r="P1912" s="8" t="s">
        <v>120</v>
      </c>
    </row>
    <row r="1913" customFormat="false" ht="15" hidden="false" customHeight="false" outlineLevel="0" collapsed="false">
      <c r="A1913" s="8" t="s">
        <v>3514</v>
      </c>
      <c r="B1913" s="8" t="s">
        <v>3515</v>
      </c>
      <c r="C1913" s="8" t="s">
        <v>8661</v>
      </c>
      <c r="D1913" s="8" t="s">
        <v>117</v>
      </c>
      <c r="E1913" s="8" t="s">
        <v>51</v>
      </c>
      <c r="F1913" s="8" t="s">
        <v>2027</v>
      </c>
      <c r="G1913" s="8" t="s">
        <v>223</v>
      </c>
      <c r="H1913" s="8" t="s">
        <v>8666</v>
      </c>
      <c r="I1913" s="8" t="s">
        <v>8716</v>
      </c>
      <c r="J1913" s="8" t="s">
        <v>177</v>
      </c>
      <c r="K1913" s="8" t="s">
        <v>8664</v>
      </c>
      <c r="L1913" s="8"/>
      <c r="M1913" s="8"/>
      <c r="N1913" s="8" t="n">
        <v>12</v>
      </c>
      <c r="O1913" s="8" t="n">
        <v>21</v>
      </c>
      <c r="P1913" s="8" t="s">
        <v>120</v>
      </c>
    </row>
    <row r="1914" customFormat="false" ht="15" hidden="false" customHeight="false" outlineLevel="0" collapsed="false">
      <c r="A1914" s="8" t="s">
        <v>3724</v>
      </c>
      <c r="B1914" s="8" t="s">
        <v>3725</v>
      </c>
      <c r="C1914" s="8" t="s">
        <v>8661</v>
      </c>
      <c r="D1914" s="8" t="s">
        <v>132</v>
      </c>
      <c r="E1914" s="8" t="s">
        <v>51</v>
      </c>
      <c r="F1914" s="8" t="s">
        <v>2027</v>
      </c>
      <c r="G1914" s="8" t="s">
        <v>154</v>
      </c>
      <c r="H1914" s="8" t="s">
        <v>8670</v>
      </c>
      <c r="I1914" s="8" t="s">
        <v>9501</v>
      </c>
      <c r="J1914" s="8" t="s">
        <v>204</v>
      </c>
      <c r="K1914" s="8" t="s">
        <v>8664</v>
      </c>
      <c r="L1914" s="8"/>
      <c r="M1914" s="8"/>
      <c r="N1914" s="8" t="n">
        <v>12</v>
      </c>
      <c r="O1914" s="8" t="n">
        <v>17</v>
      </c>
      <c r="P1914" s="8" t="s">
        <v>120</v>
      </c>
    </row>
    <row r="1915" customFormat="false" ht="15" hidden="false" customHeight="false" outlineLevel="0" collapsed="false">
      <c r="A1915" s="8" t="s">
        <v>6231</v>
      </c>
      <c r="B1915" s="8" t="s">
        <v>10197</v>
      </c>
      <c r="C1915" s="8" t="s">
        <v>8700</v>
      </c>
      <c r="D1915" s="8" t="s">
        <v>123</v>
      </c>
      <c r="E1915" s="8" t="s">
        <v>53</v>
      </c>
      <c r="F1915" s="8" t="s">
        <v>326</v>
      </c>
      <c r="G1915" s="8" t="s">
        <v>166</v>
      </c>
      <c r="H1915" s="8" t="s">
        <v>8666</v>
      </c>
      <c r="I1915" s="8" t="s">
        <v>9365</v>
      </c>
      <c r="J1915" s="8"/>
      <c r="K1915" s="8" t="s">
        <v>8690</v>
      </c>
      <c r="L1915" s="8" t="s">
        <v>9074</v>
      </c>
      <c r="M1915" s="8" t="s">
        <v>8692</v>
      </c>
      <c r="N1915" s="8" t="n">
        <v>25</v>
      </c>
      <c r="O1915" s="8" t="n">
        <v>154</v>
      </c>
      <c r="P1915" s="8" t="s">
        <v>148</v>
      </c>
    </row>
    <row r="1916" customFormat="false" ht="15" hidden="false" customHeight="false" outlineLevel="0" collapsed="false">
      <c r="A1916" s="8" t="s">
        <v>969</v>
      </c>
      <c r="B1916" s="8" t="s">
        <v>970</v>
      </c>
      <c r="C1916" s="8" t="s">
        <v>8665</v>
      </c>
      <c r="D1916" s="8" t="s">
        <v>123</v>
      </c>
      <c r="E1916" s="8" t="s">
        <v>53</v>
      </c>
      <c r="F1916" s="8" t="s">
        <v>326</v>
      </c>
      <c r="G1916" s="8" t="s">
        <v>154</v>
      </c>
      <c r="H1916" s="8" t="s">
        <v>8670</v>
      </c>
      <c r="I1916" s="8" t="s">
        <v>10198</v>
      </c>
      <c r="J1916" s="8" t="s">
        <v>129</v>
      </c>
      <c r="K1916" s="8" t="s">
        <v>8664</v>
      </c>
      <c r="L1916" s="8"/>
      <c r="M1916" s="8"/>
      <c r="N1916" s="8" t="n">
        <v>25</v>
      </c>
      <c r="O1916" s="8" t="n">
        <v>168</v>
      </c>
      <c r="P1916" s="8" t="s">
        <v>148</v>
      </c>
    </row>
    <row r="1917" customFormat="false" ht="15" hidden="false" customHeight="false" outlineLevel="0" collapsed="false">
      <c r="A1917" s="8" t="s">
        <v>1975</v>
      </c>
      <c r="B1917" s="8" t="s">
        <v>1976</v>
      </c>
      <c r="C1917" s="8" t="s">
        <v>8665</v>
      </c>
      <c r="D1917" s="8" t="s">
        <v>123</v>
      </c>
      <c r="E1917" s="8" t="s">
        <v>51</v>
      </c>
      <c r="F1917" s="8" t="s">
        <v>326</v>
      </c>
      <c r="G1917" s="8" t="s">
        <v>118</v>
      </c>
      <c r="H1917" s="8" t="s">
        <v>8675</v>
      </c>
      <c r="I1917" s="8" t="s">
        <v>8819</v>
      </c>
      <c r="J1917" s="8" t="s">
        <v>140</v>
      </c>
      <c r="K1917" s="8" t="s">
        <v>8664</v>
      </c>
      <c r="L1917" s="8"/>
      <c r="M1917" s="8"/>
      <c r="N1917" s="8" t="n">
        <v>25</v>
      </c>
      <c r="O1917" s="8" t="n">
        <v>39</v>
      </c>
      <c r="P1917" s="8" t="s">
        <v>120</v>
      </c>
    </row>
    <row r="1918" customFormat="false" ht="15" hidden="false" customHeight="false" outlineLevel="0" collapsed="false">
      <c r="A1918" s="8" t="s">
        <v>4132</v>
      </c>
      <c r="B1918" s="8" t="s">
        <v>4133</v>
      </c>
      <c r="C1918" s="8" t="s">
        <v>8665</v>
      </c>
      <c r="D1918" s="8" t="s">
        <v>117</v>
      </c>
      <c r="E1918" s="8" t="s">
        <v>51</v>
      </c>
      <c r="F1918" s="8" t="s">
        <v>2027</v>
      </c>
      <c r="G1918" s="8" t="s">
        <v>133</v>
      </c>
      <c r="H1918" s="8" t="s">
        <v>8670</v>
      </c>
      <c r="I1918" s="8" t="s">
        <v>8783</v>
      </c>
      <c r="J1918" s="8" t="s">
        <v>119</v>
      </c>
      <c r="K1918" s="8" t="s">
        <v>8664</v>
      </c>
      <c r="L1918" s="8"/>
      <c r="M1918" s="8"/>
      <c r="N1918" s="8" t="n">
        <v>12</v>
      </c>
      <c r="O1918" s="8" t="n">
        <v>7</v>
      </c>
      <c r="P1918" s="8" t="s">
        <v>120</v>
      </c>
    </row>
    <row r="1919" customFormat="false" ht="15" hidden="false" customHeight="false" outlineLevel="0" collapsed="false">
      <c r="A1919" s="8" t="s">
        <v>278</v>
      </c>
      <c r="B1919" s="8" t="s">
        <v>279</v>
      </c>
      <c r="C1919" s="8" t="s">
        <v>8669</v>
      </c>
      <c r="D1919" s="8" t="s">
        <v>123</v>
      </c>
      <c r="E1919" s="8" t="s">
        <v>55</v>
      </c>
      <c r="F1919" s="8" t="s">
        <v>55</v>
      </c>
      <c r="G1919" s="8" t="s">
        <v>190</v>
      </c>
      <c r="H1919" s="8" t="s">
        <v>8666</v>
      </c>
      <c r="I1919" s="8" t="s">
        <v>9823</v>
      </c>
      <c r="J1919" s="8" t="s">
        <v>125</v>
      </c>
      <c r="K1919" s="8" t="s">
        <v>8664</v>
      </c>
      <c r="L1919" s="8"/>
      <c r="M1919" s="8"/>
      <c r="N1919" s="8" t="n">
        <v>45</v>
      </c>
      <c r="O1919" s="8" t="n">
        <v>343</v>
      </c>
      <c r="P1919" s="8" t="s">
        <v>120</v>
      </c>
    </row>
    <row r="1920" customFormat="false" ht="15" hidden="false" customHeight="false" outlineLevel="0" collapsed="false">
      <c r="A1920" s="8" t="s">
        <v>729</v>
      </c>
      <c r="B1920" s="8" t="s">
        <v>730</v>
      </c>
      <c r="C1920" s="8" t="s">
        <v>8680</v>
      </c>
      <c r="D1920" s="8" t="s">
        <v>123</v>
      </c>
      <c r="E1920" s="8" t="s">
        <v>53</v>
      </c>
      <c r="F1920" s="8" t="s">
        <v>55</v>
      </c>
      <c r="G1920" s="8" t="s">
        <v>190</v>
      </c>
      <c r="H1920" s="8" t="s">
        <v>8662</v>
      </c>
      <c r="I1920" s="8" t="s">
        <v>10199</v>
      </c>
      <c r="J1920" s="8" t="s">
        <v>125</v>
      </c>
      <c r="K1920" s="8" t="s">
        <v>8664</v>
      </c>
      <c r="L1920" s="8"/>
      <c r="M1920" s="8"/>
      <c r="N1920" s="8" t="n">
        <v>45</v>
      </c>
      <c r="O1920" s="8" t="n">
        <v>136</v>
      </c>
      <c r="P1920" s="8" t="s">
        <v>120</v>
      </c>
    </row>
    <row r="1921" customFormat="false" ht="15" hidden="false" customHeight="false" outlineLevel="0" collapsed="false">
      <c r="A1921" s="8" t="s">
        <v>647</v>
      </c>
      <c r="B1921" s="8" t="s">
        <v>648</v>
      </c>
      <c r="C1921" s="8" t="s">
        <v>8669</v>
      </c>
      <c r="D1921" s="8" t="s">
        <v>128</v>
      </c>
      <c r="E1921" s="8" t="s">
        <v>53</v>
      </c>
      <c r="F1921" s="8" t="s">
        <v>55</v>
      </c>
      <c r="G1921" s="8" t="s">
        <v>133</v>
      </c>
      <c r="H1921" s="8" t="s">
        <v>8666</v>
      </c>
      <c r="I1921" s="8" t="s">
        <v>9105</v>
      </c>
      <c r="J1921" s="8" t="s">
        <v>204</v>
      </c>
      <c r="K1921" s="8" t="s">
        <v>8664</v>
      </c>
      <c r="L1921" s="8"/>
      <c r="M1921" s="8"/>
      <c r="N1921" s="8" t="n">
        <v>45</v>
      </c>
      <c r="O1921" s="8" t="n">
        <v>152</v>
      </c>
      <c r="P1921" s="8" t="s">
        <v>120</v>
      </c>
    </row>
    <row r="1922" customFormat="false" ht="15" hidden="false" customHeight="false" outlineLevel="0" collapsed="false">
      <c r="A1922" s="8" t="s">
        <v>2952</v>
      </c>
      <c r="B1922" s="8" t="s">
        <v>2953</v>
      </c>
      <c r="C1922" s="8" t="s">
        <v>8669</v>
      </c>
      <c r="D1922" s="8" t="s">
        <v>132</v>
      </c>
      <c r="E1922" s="8" t="s">
        <v>51</v>
      </c>
      <c r="F1922" s="8" t="s">
        <v>2027</v>
      </c>
      <c r="G1922" s="8" t="s">
        <v>166</v>
      </c>
      <c r="H1922" s="8" t="s">
        <v>8670</v>
      </c>
      <c r="I1922" s="8" t="s">
        <v>8829</v>
      </c>
      <c r="J1922" s="8" t="s">
        <v>185</v>
      </c>
      <c r="K1922" s="8" t="s">
        <v>8664</v>
      </c>
      <c r="L1922" s="8"/>
      <c r="M1922" s="8"/>
      <c r="N1922" s="8" t="n">
        <v>12</v>
      </c>
      <c r="O1922" s="8" t="n">
        <v>31</v>
      </c>
      <c r="P1922" s="8" t="s">
        <v>120</v>
      </c>
    </row>
    <row r="1923" customFormat="false" ht="15" hidden="false" customHeight="false" outlineLevel="0" collapsed="false">
      <c r="A1923" s="8" t="s">
        <v>3516</v>
      </c>
      <c r="B1923" s="8" t="s">
        <v>3517</v>
      </c>
      <c r="C1923" s="8" t="s">
        <v>8680</v>
      </c>
      <c r="D1923" s="8" t="s">
        <v>117</v>
      </c>
      <c r="E1923" s="8" t="s">
        <v>51</v>
      </c>
      <c r="F1923" s="8" t="s">
        <v>2027</v>
      </c>
      <c r="G1923" s="8" t="s">
        <v>166</v>
      </c>
      <c r="H1923" s="8" t="s">
        <v>8670</v>
      </c>
      <c r="I1923" s="8" t="s">
        <v>10200</v>
      </c>
      <c r="J1923" s="8" t="s">
        <v>180</v>
      </c>
      <c r="K1923" s="8" t="s">
        <v>8664</v>
      </c>
      <c r="L1923" s="8"/>
      <c r="M1923" s="8"/>
      <c r="N1923" s="8" t="n">
        <v>12</v>
      </c>
      <c r="O1923" s="8" t="n">
        <v>21</v>
      </c>
      <c r="P1923" s="8" t="s">
        <v>120</v>
      </c>
    </row>
    <row r="1924" customFormat="false" ht="15" hidden="false" customHeight="false" outlineLevel="0" collapsed="false">
      <c r="A1924" s="8" t="s">
        <v>1205</v>
      </c>
      <c r="B1924" s="8" t="s">
        <v>1206</v>
      </c>
      <c r="C1924" s="8" t="s">
        <v>8688</v>
      </c>
      <c r="D1924" s="8" t="s">
        <v>123</v>
      </c>
      <c r="E1924" s="8" t="s">
        <v>53</v>
      </c>
      <c r="F1924" s="8" t="s">
        <v>326</v>
      </c>
      <c r="G1924" s="8" t="s">
        <v>166</v>
      </c>
      <c r="H1924" s="8" t="s">
        <v>8666</v>
      </c>
      <c r="I1924" s="8" t="s">
        <v>9456</v>
      </c>
      <c r="J1924" s="8" t="s">
        <v>177</v>
      </c>
      <c r="K1924" s="8" t="s">
        <v>8664</v>
      </c>
      <c r="L1924" s="8"/>
      <c r="M1924" s="8"/>
      <c r="N1924" s="8" t="n">
        <v>25</v>
      </c>
      <c r="O1924" s="8" t="n">
        <v>136</v>
      </c>
      <c r="P1924" s="8" t="s">
        <v>120</v>
      </c>
    </row>
    <row r="1925" customFormat="false" ht="15" hidden="false" customHeight="false" outlineLevel="0" collapsed="false">
      <c r="A1925" s="8" t="s">
        <v>371</v>
      </c>
      <c r="B1925" s="8" t="s">
        <v>372</v>
      </c>
      <c r="C1925" s="8" t="s">
        <v>8680</v>
      </c>
      <c r="D1925" s="8" t="s">
        <v>123</v>
      </c>
      <c r="E1925" s="8" t="s">
        <v>55</v>
      </c>
      <c r="F1925" s="8" t="s">
        <v>326</v>
      </c>
      <c r="G1925" s="8" t="s">
        <v>190</v>
      </c>
      <c r="H1925" s="8" t="s">
        <v>8675</v>
      </c>
      <c r="I1925" s="8" t="s">
        <v>8710</v>
      </c>
      <c r="J1925" s="8" t="s">
        <v>147</v>
      </c>
      <c r="K1925" s="8" t="s">
        <v>8664</v>
      </c>
      <c r="L1925" s="8"/>
      <c r="M1925" s="8"/>
      <c r="N1925" s="8" t="n">
        <v>25</v>
      </c>
      <c r="O1925" s="8" t="n">
        <v>573</v>
      </c>
      <c r="P1925" s="8" t="s">
        <v>199</v>
      </c>
    </row>
    <row r="1926" customFormat="false" ht="15" hidden="false" customHeight="false" outlineLevel="0" collapsed="false">
      <c r="A1926" s="8" t="s">
        <v>3078</v>
      </c>
      <c r="B1926" s="8" t="s">
        <v>3079</v>
      </c>
      <c r="C1926" s="8" t="s">
        <v>8688</v>
      </c>
      <c r="D1926" s="8" t="s">
        <v>117</v>
      </c>
      <c r="E1926" s="8" t="s">
        <v>51</v>
      </c>
      <c r="F1926" s="8" t="s">
        <v>2027</v>
      </c>
      <c r="G1926" s="8" t="s">
        <v>143</v>
      </c>
      <c r="H1926" s="8" t="s">
        <v>8666</v>
      </c>
      <c r="I1926" s="8" t="s">
        <v>10201</v>
      </c>
      <c r="J1926" s="8" t="s">
        <v>147</v>
      </c>
      <c r="K1926" s="8" t="s">
        <v>8664</v>
      </c>
      <c r="L1926" s="8"/>
      <c r="M1926" s="8"/>
      <c r="N1926" s="8" t="n">
        <v>12</v>
      </c>
      <c r="O1926" s="8" t="n">
        <v>26</v>
      </c>
      <c r="P1926" s="8" t="s">
        <v>120</v>
      </c>
    </row>
    <row r="1927" customFormat="false" ht="15" hidden="false" customHeight="false" outlineLevel="0" collapsed="false">
      <c r="A1927" s="8" t="s">
        <v>4386</v>
      </c>
      <c r="B1927" s="8" t="s">
        <v>4387</v>
      </c>
      <c r="C1927" s="8" t="s">
        <v>8665</v>
      </c>
      <c r="D1927" s="8" t="s">
        <v>132</v>
      </c>
      <c r="E1927" s="8" t="s">
        <v>51</v>
      </c>
      <c r="F1927" s="8" t="s">
        <v>2027</v>
      </c>
      <c r="G1927" s="8" t="s">
        <v>154</v>
      </c>
      <c r="H1927" s="8" t="s">
        <v>8675</v>
      </c>
      <c r="I1927" s="8" t="s">
        <v>9857</v>
      </c>
      <c r="J1927" s="8" t="s">
        <v>140</v>
      </c>
      <c r="K1927" s="8" t="s">
        <v>8664</v>
      </c>
      <c r="L1927" s="8"/>
      <c r="M1927" s="8"/>
      <c r="N1927" s="8" t="n">
        <v>12</v>
      </c>
      <c r="O1927" s="8" t="n">
        <v>6</v>
      </c>
      <c r="P1927" s="8" t="s">
        <v>120</v>
      </c>
    </row>
    <row r="1928" customFormat="false" ht="15" hidden="false" customHeight="false" outlineLevel="0" collapsed="false">
      <c r="A1928" s="8" t="s">
        <v>3534</v>
      </c>
      <c r="B1928" s="8" t="s">
        <v>3535</v>
      </c>
      <c r="C1928" s="8" t="s">
        <v>8700</v>
      </c>
      <c r="D1928" s="8" t="s">
        <v>117</v>
      </c>
      <c r="E1928" s="8" t="s">
        <v>51</v>
      </c>
      <c r="F1928" s="8" t="s">
        <v>326</v>
      </c>
      <c r="G1928" s="8" t="s">
        <v>133</v>
      </c>
      <c r="H1928" s="8" t="s">
        <v>8670</v>
      </c>
      <c r="I1928" s="8" t="s">
        <v>9311</v>
      </c>
      <c r="J1928" s="8" t="s">
        <v>140</v>
      </c>
      <c r="K1928" s="8" t="s">
        <v>8664</v>
      </c>
      <c r="L1928" s="8"/>
      <c r="M1928" s="8"/>
      <c r="N1928" s="8" t="n">
        <v>25</v>
      </c>
      <c r="O1928" s="8" t="n">
        <v>10</v>
      </c>
      <c r="P1928" s="8" t="s">
        <v>120</v>
      </c>
    </row>
    <row r="1929" customFormat="false" ht="15" hidden="false" customHeight="false" outlineLevel="0" collapsed="false">
      <c r="A1929" s="8" t="s">
        <v>3686</v>
      </c>
      <c r="B1929" s="8" t="s">
        <v>3687</v>
      </c>
      <c r="C1929" s="8" t="s">
        <v>8688</v>
      </c>
      <c r="D1929" s="8" t="s">
        <v>132</v>
      </c>
      <c r="E1929" s="8" t="s">
        <v>51</v>
      </c>
      <c r="F1929" s="8" t="s">
        <v>2027</v>
      </c>
      <c r="G1929" s="8" t="s">
        <v>133</v>
      </c>
      <c r="H1929" s="8" t="s">
        <v>8666</v>
      </c>
      <c r="I1929" s="8" t="s">
        <v>9775</v>
      </c>
      <c r="J1929" s="8" t="s">
        <v>180</v>
      </c>
      <c r="K1929" s="8" t="s">
        <v>8664</v>
      </c>
      <c r="L1929" s="8"/>
      <c r="M1929" s="8"/>
      <c r="N1929" s="8" t="n">
        <v>12</v>
      </c>
      <c r="O1929" s="8" t="n">
        <v>18</v>
      </c>
      <c r="P1929" s="8" t="s">
        <v>120</v>
      </c>
    </row>
    <row r="1930" customFormat="false" ht="15" hidden="false" customHeight="false" outlineLevel="0" collapsed="false">
      <c r="A1930" s="8" t="s">
        <v>195</v>
      </c>
      <c r="B1930" s="8" t="s">
        <v>196</v>
      </c>
      <c r="C1930" s="8" t="s">
        <v>8688</v>
      </c>
      <c r="D1930" s="8" t="s">
        <v>132</v>
      </c>
      <c r="E1930" s="8" t="s">
        <v>55</v>
      </c>
      <c r="F1930" s="8" t="s">
        <v>55</v>
      </c>
      <c r="G1930" s="8" t="s">
        <v>154</v>
      </c>
      <c r="H1930" s="8" t="s">
        <v>8662</v>
      </c>
      <c r="I1930" s="8" t="s">
        <v>9318</v>
      </c>
      <c r="J1930" s="8" t="s">
        <v>140</v>
      </c>
      <c r="K1930" s="8" t="s">
        <v>8664</v>
      </c>
      <c r="L1930" s="8"/>
      <c r="M1930" s="8"/>
      <c r="N1930" s="8" t="n">
        <v>45</v>
      </c>
      <c r="O1930" s="8" t="n">
        <v>571</v>
      </c>
      <c r="P1930" s="8" t="s">
        <v>148</v>
      </c>
    </row>
    <row r="1931" customFormat="false" ht="15" hidden="false" customHeight="false" outlineLevel="0" collapsed="false">
      <c r="A1931" s="8" t="s">
        <v>2402</v>
      </c>
      <c r="B1931" s="8" t="s">
        <v>2403</v>
      </c>
      <c r="C1931" s="8" t="s">
        <v>8674</v>
      </c>
      <c r="D1931" s="8" t="s">
        <v>132</v>
      </c>
      <c r="E1931" s="8" t="s">
        <v>51</v>
      </c>
      <c r="F1931" s="8" t="s">
        <v>2027</v>
      </c>
      <c r="G1931" s="8" t="s">
        <v>118</v>
      </c>
      <c r="H1931" s="8" t="s">
        <v>8670</v>
      </c>
      <c r="I1931" s="8" t="s">
        <v>9237</v>
      </c>
      <c r="J1931" s="8" t="s">
        <v>140</v>
      </c>
      <c r="K1931" s="8" t="s">
        <v>8664</v>
      </c>
      <c r="L1931" s="8"/>
      <c r="M1931" s="8"/>
      <c r="N1931" s="8" t="n">
        <v>12</v>
      </c>
      <c r="O1931" s="8" t="n">
        <v>23</v>
      </c>
      <c r="P1931" s="8" t="s">
        <v>120</v>
      </c>
    </row>
    <row r="1932" customFormat="false" ht="15" hidden="false" customHeight="false" outlineLevel="0" collapsed="false">
      <c r="A1932" s="8" t="s">
        <v>1253</v>
      </c>
      <c r="B1932" s="8" t="s">
        <v>1254</v>
      </c>
      <c r="C1932" s="8" t="s">
        <v>8669</v>
      </c>
      <c r="D1932" s="8" t="s">
        <v>132</v>
      </c>
      <c r="E1932" s="8" t="s">
        <v>53</v>
      </c>
      <c r="F1932" s="8" t="s">
        <v>326</v>
      </c>
      <c r="G1932" s="8" t="s">
        <v>166</v>
      </c>
      <c r="H1932" s="8" t="s">
        <v>8670</v>
      </c>
      <c r="I1932" s="8" t="s">
        <v>10045</v>
      </c>
      <c r="J1932" s="8" t="s">
        <v>147</v>
      </c>
      <c r="K1932" s="8" t="s">
        <v>8664</v>
      </c>
      <c r="L1932" s="8"/>
      <c r="M1932" s="8"/>
      <c r="N1932" s="8" t="n">
        <v>25</v>
      </c>
      <c r="O1932" s="8" t="n">
        <v>118</v>
      </c>
      <c r="P1932" s="8" t="s">
        <v>120</v>
      </c>
    </row>
    <row r="1933" customFormat="false" ht="15" hidden="false" customHeight="false" outlineLevel="0" collapsed="false">
      <c r="A1933" s="8" t="s">
        <v>1031</v>
      </c>
      <c r="B1933" s="8" t="s">
        <v>1032</v>
      </c>
      <c r="C1933" s="8" t="s">
        <v>8674</v>
      </c>
      <c r="D1933" s="8" t="s">
        <v>117</v>
      </c>
      <c r="E1933" s="8" t="s">
        <v>53</v>
      </c>
      <c r="F1933" s="8" t="s">
        <v>326</v>
      </c>
      <c r="G1933" s="8" t="s">
        <v>223</v>
      </c>
      <c r="H1933" s="8" t="s">
        <v>8666</v>
      </c>
      <c r="I1933" s="8" t="s">
        <v>9378</v>
      </c>
      <c r="J1933" s="8" t="s">
        <v>185</v>
      </c>
      <c r="K1933" s="8" t="s">
        <v>8664</v>
      </c>
      <c r="L1933" s="8"/>
      <c r="M1933" s="8"/>
      <c r="N1933" s="8" t="n">
        <v>25</v>
      </c>
      <c r="O1933" s="8" t="n">
        <v>160</v>
      </c>
      <c r="P1933" s="8" t="s">
        <v>120</v>
      </c>
    </row>
    <row r="1934" customFormat="false" ht="15" hidden="false" customHeight="false" outlineLevel="0" collapsed="false">
      <c r="A1934" s="8" t="s">
        <v>10202</v>
      </c>
      <c r="B1934" s="8" t="s">
        <v>10203</v>
      </c>
      <c r="C1934" s="8" t="s">
        <v>8688</v>
      </c>
      <c r="D1934" s="8" t="s">
        <v>132</v>
      </c>
      <c r="E1934" s="8" t="s">
        <v>51</v>
      </c>
      <c r="F1934" s="8" t="s">
        <v>2027</v>
      </c>
      <c r="G1934" s="8" t="s">
        <v>133</v>
      </c>
      <c r="H1934" s="8" t="s">
        <v>8675</v>
      </c>
      <c r="I1934" s="8" t="s">
        <v>9682</v>
      </c>
      <c r="J1934" s="8"/>
      <c r="K1934" s="8" t="s">
        <v>8690</v>
      </c>
      <c r="L1934" s="8" t="s">
        <v>10019</v>
      </c>
      <c r="M1934" s="8" t="s">
        <v>8721</v>
      </c>
      <c r="N1934" s="8" t="n">
        <v>12</v>
      </c>
      <c r="O1934" s="8" t="n">
        <v>7</v>
      </c>
      <c r="P1934" s="8" t="s">
        <v>120</v>
      </c>
    </row>
    <row r="1935" customFormat="false" ht="15" hidden="false" customHeight="false" outlineLevel="0" collapsed="false">
      <c r="A1935" s="8" t="s">
        <v>3424</v>
      </c>
      <c r="B1935" s="8" t="s">
        <v>3425</v>
      </c>
      <c r="C1935" s="8" t="s">
        <v>8678</v>
      </c>
      <c r="D1935" s="8" t="s">
        <v>123</v>
      </c>
      <c r="E1935" s="8" t="s">
        <v>51</v>
      </c>
      <c r="F1935" s="8" t="s">
        <v>2027</v>
      </c>
      <c r="G1935" s="8" t="s">
        <v>133</v>
      </c>
      <c r="H1935" s="8" t="s">
        <v>8675</v>
      </c>
      <c r="I1935" s="8" t="s">
        <v>9166</v>
      </c>
      <c r="J1935" s="8" t="s">
        <v>144</v>
      </c>
      <c r="K1935" s="8" t="s">
        <v>8664</v>
      </c>
      <c r="L1935" s="8"/>
      <c r="M1935" s="8"/>
      <c r="N1935" s="8" t="n">
        <v>12</v>
      </c>
      <c r="O1935" s="8" t="n">
        <v>23</v>
      </c>
      <c r="P1935" s="8" t="s">
        <v>120</v>
      </c>
    </row>
    <row r="1936" customFormat="false" ht="15" hidden="false" customHeight="false" outlineLevel="0" collapsed="false">
      <c r="A1936" s="8" t="s">
        <v>627</v>
      </c>
      <c r="B1936" s="8" t="s">
        <v>628</v>
      </c>
      <c r="C1936" s="8" t="s">
        <v>8669</v>
      </c>
      <c r="D1936" s="8" t="s">
        <v>123</v>
      </c>
      <c r="E1936" s="8" t="s">
        <v>55</v>
      </c>
      <c r="F1936" s="8" t="s">
        <v>326</v>
      </c>
      <c r="G1936" s="8" t="s">
        <v>133</v>
      </c>
      <c r="H1936" s="8" t="s">
        <v>8675</v>
      </c>
      <c r="I1936" s="8" t="s">
        <v>9985</v>
      </c>
      <c r="J1936" s="8" t="s">
        <v>144</v>
      </c>
      <c r="K1936" s="8" t="s">
        <v>8664</v>
      </c>
      <c r="L1936" s="8"/>
      <c r="M1936" s="8"/>
      <c r="N1936" s="8" t="n">
        <v>25</v>
      </c>
      <c r="O1936" s="8" t="n">
        <v>333</v>
      </c>
      <c r="P1936" s="8" t="s">
        <v>120</v>
      </c>
    </row>
    <row r="1937" customFormat="false" ht="15" hidden="false" customHeight="false" outlineLevel="0" collapsed="false">
      <c r="A1937" s="8" t="s">
        <v>539</v>
      </c>
      <c r="B1937" s="8" t="s">
        <v>540</v>
      </c>
      <c r="C1937" s="8" t="s">
        <v>8665</v>
      </c>
      <c r="D1937" s="8" t="s">
        <v>123</v>
      </c>
      <c r="E1937" s="8" t="s">
        <v>53</v>
      </c>
      <c r="F1937" s="8" t="s">
        <v>55</v>
      </c>
      <c r="G1937" s="8" t="s">
        <v>190</v>
      </c>
      <c r="H1937" s="8" t="s">
        <v>8666</v>
      </c>
      <c r="I1937" s="8" t="s">
        <v>10204</v>
      </c>
      <c r="J1937" s="8" t="s">
        <v>177</v>
      </c>
      <c r="K1937" s="8" t="s">
        <v>8664</v>
      </c>
      <c r="L1937" s="8"/>
      <c r="M1937" s="8"/>
      <c r="N1937" s="8" t="n">
        <v>45</v>
      </c>
      <c r="O1937" s="8" t="n">
        <v>154</v>
      </c>
      <c r="P1937" s="8" t="s">
        <v>120</v>
      </c>
    </row>
    <row r="1938" customFormat="false" ht="15" hidden="false" customHeight="false" outlineLevel="0" collapsed="false">
      <c r="A1938" s="8" t="s">
        <v>1993</v>
      </c>
      <c r="B1938" s="8" t="s">
        <v>1994</v>
      </c>
      <c r="C1938" s="8" t="s">
        <v>8669</v>
      </c>
      <c r="D1938" s="8" t="s">
        <v>117</v>
      </c>
      <c r="E1938" s="8" t="s">
        <v>51</v>
      </c>
      <c r="F1938" s="8" t="s">
        <v>326</v>
      </c>
      <c r="G1938" s="8" t="s">
        <v>166</v>
      </c>
      <c r="H1938" s="8" t="s">
        <v>8670</v>
      </c>
      <c r="I1938" s="8" t="s">
        <v>9179</v>
      </c>
      <c r="J1938" s="8" t="s">
        <v>180</v>
      </c>
      <c r="K1938" s="8" t="s">
        <v>8664</v>
      </c>
      <c r="L1938" s="8"/>
      <c r="M1938" s="8"/>
      <c r="N1938" s="8" t="n">
        <v>25</v>
      </c>
      <c r="O1938" s="8" t="n">
        <v>32</v>
      </c>
      <c r="P1938" s="8" t="s">
        <v>120</v>
      </c>
    </row>
    <row r="1939" customFormat="false" ht="15" hidden="false" customHeight="false" outlineLevel="0" collapsed="false">
      <c r="A1939" s="8" t="s">
        <v>3638</v>
      </c>
      <c r="B1939" s="8" t="s">
        <v>3639</v>
      </c>
      <c r="C1939" s="8" t="s">
        <v>8669</v>
      </c>
      <c r="D1939" s="8" t="s">
        <v>132</v>
      </c>
      <c r="E1939" s="8" t="s">
        <v>51</v>
      </c>
      <c r="F1939" s="8" t="s">
        <v>326</v>
      </c>
      <c r="G1939" s="8" t="s">
        <v>151</v>
      </c>
      <c r="H1939" s="8" t="s">
        <v>8662</v>
      </c>
      <c r="I1939" s="8" t="s">
        <v>9814</v>
      </c>
      <c r="J1939" s="8" t="s">
        <v>140</v>
      </c>
      <c r="K1939" s="8" t="s">
        <v>8664</v>
      </c>
      <c r="L1939" s="8"/>
      <c r="M1939" s="8"/>
      <c r="N1939" s="8" t="n">
        <v>25</v>
      </c>
      <c r="O1939" s="8" t="n">
        <v>9</v>
      </c>
      <c r="P1939" s="8" t="s">
        <v>120</v>
      </c>
    </row>
    <row r="1940" customFormat="false" ht="15" hidden="false" customHeight="false" outlineLevel="0" collapsed="false">
      <c r="A1940" s="8" t="s">
        <v>1603</v>
      </c>
      <c r="B1940" s="8" t="s">
        <v>1604</v>
      </c>
      <c r="C1940" s="8" t="s">
        <v>8661</v>
      </c>
      <c r="D1940" s="8" t="s">
        <v>123</v>
      </c>
      <c r="E1940" s="8" t="s">
        <v>53</v>
      </c>
      <c r="F1940" s="8" t="s">
        <v>55</v>
      </c>
      <c r="G1940" s="8" t="s">
        <v>151</v>
      </c>
      <c r="H1940" s="8" t="s">
        <v>8662</v>
      </c>
      <c r="I1940" s="8" t="s">
        <v>9466</v>
      </c>
      <c r="J1940" s="8" t="s">
        <v>129</v>
      </c>
      <c r="K1940" s="8" t="s">
        <v>8664</v>
      </c>
      <c r="L1940" s="8"/>
      <c r="M1940" s="8"/>
      <c r="N1940" s="8" t="n">
        <v>45</v>
      </c>
      <c r="O1940" s="8" t="n">
        <v>46</v>
      </c>
      <c r="P1940" s="8" t="s">
        <v>148</v>
      </c>
    </row>
    <row r="1941" customFormat="false" ht="15" hidden="false" customHeight="false" outlineLevel="0" collapsed="false">
      <c r="A1941" s="8" t="s">
        <v>4288</v>
      </c>
      <c r="B1941" s="8" t="s">
        <v>4289</v>
      </c>
      <c r="C1941" s="8" t="s">
        <v>8661</v>
      </c>
      <c r="D1941" s="8" t="s">
        <v>123</v>
      </c>
      <c r="E1941" s="8" t="s">
        <v>51</v>
      </c>
      <c r="F1941" s="8" t="s">
        <v>2027</v>
      </c>
      <c r="G1941" s="8" t="s">
        <v>166</v>
      </c>
      <c r="H1941" s="8" t="s">
        <v>8662</v>
      </c>
      <c r="I1941" s="8" t="s">
        <v>10205</v>
      </c>
      <c r="J1941" s="8" t="s">
        <v>159</v>
      </c>
      <c r="K1941" s="8" t="s">
        <v>8664</v>
      </c>
      <c r="L1941" s="8"/>
      <c r="M1941" s="8"/>
      <c r="N1941" s="8" t="n">
        <v>12</v>
      </c>
      <c r="O1941" s="8" t="n">
        <v>7</v>
      </c>
      <c r="P1941" s="8" t="s">
        <v>120</v>
      </c>
    </row>
    <row r="1942" customFormat="false" ht="15" hidden="false" customHeight="false" outlineLevel="0" collapsed="false">
      <c r="A1942" s="8" t="s">
        <v>3296</v>
      </c>
      <c r="B1942" s="8" t="s">
        <v>3297</v>
      </c>
      <c r="C1942" s="8" t="s">
        <v>8669</v>
      </c>
      <c r="D1942" s="8" t="s">
        <v>128</v>
      </c>
      <c r="E1942" s="8" t="s">
        <v>51</v>
      </c>
      <c r="F1942" s="8" t="s">
        <v>2027</v>
      </c>
      <c r="G1942" s="8" t="s">
        <v>136</v>
      </c>
      <c r="H1942" s="8" t="s">
        <v>8662</v>
      </c>
      <c r="I1942" s="8" t="s">
        <v>10191</v>
      </c>
      <c r="J1942" s="8" t="s">
        <v>180</v>
      </c>
      <c r="K1942" s="8" t="s">
        <v>8664</v>
      </c>
      <c r="L1942" s="8"/>
      <c r="M1942" s="8"/>
      <c r="N1942" s="8" t="n">
        <v>12</v>
      </c>
      <c r="O1942" s="8" t="n">
        <v>16</v>
      </c>
      <c r="P1942" s="8" t="s">
        <v>120</v>
      </c>
    </row>
    <row r="1943" customFormat="false" ht="15" hidden="false" customHeight="false" outlineLevel="0" collapsed="false">
      <c r="A1943" s="8" t="s">
        <v>10206</v>
      </c>
      <c r="B1943" s="8" t="s">
        <v>10207</v>
      </c>
      <c r="C1943" s="8" t="s">
        <v>8680</v>
      </c>
      <c r="D1943" s="8" t="s">
        <v>117</v>
      </c>
      <c r="E1943" s="8" t="s">
        <v>51</v>
      </c>
      <c r="F1943" s="8" t="s">
        <v>2027</v>
      </c>
      <c r="G1943" s="8" t="s">
        <v>143</v>
      </c>
      <c r="H1943" s="8" t="s">
        <v>8675</v>
      </c>
      <c r="I1943" s="8" t="s">
        <v>9722</v>
      </c>
      <c r="J1943" s="8"/>
      <c r="K1943" s="8" t="s">
        <v>8690</v>
      </c>
      <c r="L1943" s="8" t="s">
        <v>9841</v>
      </c>
      <c r="M1943" s="8" t="s">
        <v>8721</v>
      </c>
      <c r="N1943" s="8" t="n">
        <v>12</v>
      </c>
      <c r="O1943" s="8" t="n">
        <v>25</v>
      </c>
      <c r="P1943" s="8" t="s">
        <v>120</v>
      </c>
    </row>
    <row r="1944" customFormat="false" ht="15" hidden="false" customHeight="false" outlineLevel="0" collapsed="false">
      <c r="A1944" s="8" t="s">
        <v>2802</v>
      </c>
      <c r="B1944" s="8" t="s">
        <v>2803</v>
      </c>
      <c r="C1944" s="8" t="s">
        <v>8688</v>
      </c>
      <c r="D1944" s="8" t="s">
        <v>117</v>
      </c>
      <c r="E1944" s="8" t="s">
        <v>51</v>
      </c>
      <c r="F1944" s="8" t="s">
        <v>326</v>
      </c>
      <c r="G1944" s="8" t="s">
        <v>133</v>
      </c>
      <c r="H1944" s="8" t="s">
        <v>8662</v>
      </c>
      <c r="I1944" s="8" t="s">
        <v>9267</v>
      </c>
      <c r="J1944" s="8" t="s">
        <v>140</v>
      </c>
      <c r="K1944" s="8" t="s">
        <v>8664</v>
      </c>
      <c r="L1944" s="8"/>
      <c r="M1944" s="8"/>
      <c r="N1944" s="8" t="n">
        <v>25</v>
      </c>
      <c r="O1944" s="8" t="n">
        <v>16</v>
      </c>
      <c r="P1944" s="8" t="s">
        <v>120</v>
      </c>
    </row>
    <row r="1945" customFormat="false" ht="15" hidden="false" customHeight="false" outlineLevel="0" collapsed="false">
      <c r="A1945" s="8" t="s">
        <v>3426</v>
      </c>
      <c r="B1945" s="8" t="s">
        <v>3427</v>
      </c>
      <c r="C1945" s="8" t="s">
        <v>8669</v>
      </c>
      <c r="D1945" s="8" t="s">
        <v>132</v>
      </c>
      <c r="E1945" s="8" t="s">
        <v>51</v>
      </c>
      <c r="F1945" s="8" t="s">
        <v>2027</v>
      </c>
      <c r="G1945" s="8" t="s">
        <v>223</v>
      </c>
      <c r="H1945" s="8" t="s">
        <v>8670</v>
      </c>
      <c r="I1945" s="8" t="s">
        <v>10001</v>
      </c>
      <c r="J1945" s="8" t="s">
        <v>129</v>
      </c>
      <c r="K1945" s="8" t="s">
        <v>8664</v>
      </c>
      <c r="L1945" s="8"/>
      <c r="M1945" s="8"/>
      <c r="N1945" s="8" t="n">
        <v>12</v>
      </c>
      <c r="O1945" s="8" t="n">
        <v>23</v>
      </c>
      <c r="P1945" s="8" t="s">
        <v>120</v>
      </c>
    </row>
    <row r="1946" customFormat="false" ht="15" hidden="false" customHeight="false" outlineLevel="0" collapsed="false">
      <c r="A1946" s="8" t="s">
        <v>1725</v>
      </c>
      <c r="B1946" s="8" t="s">
        <v>1726</v>
      </c>
      <c r="C1946" s="8" t="s">
        <v>8678</v>
      </c>
      <c r="D1946" s="8" t="s">
        <v>123</v>
      </c>
      <c r="E1946" s="8" t="s">
        <v>53</v>
      </c>
      <c r="F1946" s="8" t="s">
        <v>326</v>
      </c>
      <c r="G1946" s="8" t="s">
        <v>151</v>
      </c>
      <c r="H1946" s="8" t="s">
        <v>8675</v>
      </c>
      <c r="I1946" s="8" t="s">
        <v>8699</v>
      </c>
      <c r="J1946" s="8" t="s">
        <v>144</v>
      </c>
      <c r="K1946" s="8" t="s">
        <v>8664</v>
      </c>
      <c r="L1946" s="8"/>
      <c r="M1946" s="8"/>
      <c r="N1946" s="8" t="n">
        <v>25</v>
      </c>
      <c r="O1946" s="8" t="n">
        <v>52</v>
      </c>
      <c r="P1946" s="8" t="s">
        <v>120</v>
      </c>
    </row>
    <row r="1947" customFormat="false" ht="15" hidden="false" customHeight="false" outlineLevel="0" collapsed="false">
      <c r="A1947" s="8" t="s">
        <v>513</v>
      </c>
      <c r="B1947" s="8" t="s">
        <v>514</v>
      </c>
      <c r="C1947" s="8" t="s">
        <v>8680</v>
      </c>
      <c r="D1947" s="8" t="s">
        <v>132</v>
      </c>
      <c r="E1947" s="8" t="s">
        <v>55</v>
      </c>
      <c r="F1947" s="8" t="s">
        <v>326</v>
      </c>
      <c r="G1947" s="8" t="s">
        <v>166</v>
      </c>
      <c r="H1947" s="8" t="s">
        <v>8670</v>
      </c>
      <c r="I1947" s="8" t="s">
        <v>9165</v>
      </c>
      <c r="J1947" s="8" t="s">
        <v>140</v>
      </c>
      <c r="K1947" s="8" t="s">
        <v>8664</v>
      </c>
      <c r="L1947" s="8"/>
      <c r="M1947" s="8"/>
      <c r="N1947" s="8" t="n">
        <v>25</v>
      </c>
      <c r="O1947" s="8" t="n">
        <v>396</v>
      </c>
      <c r="P1947" s="8" t="s">
        <v>120</v>
      </c>
    </row>
    <row r="1948" customFormat="false" ht="15" hidden="false" customHeight="false" outlineLevel="0" collapsed="false">
      <c r="A1948" s="8" t="s">
        <v>322</v>
      </c>
      <c r="B1948" s="8" t="s">
        <v>323</v>
      </c>
      <c r="C1948" s="8" t="s">
        <v>8674</v>
      </c>
      <c r="D1948" s="8" t="s">
        <v>132</v>
      </c>
      <c r="E1948" s="8" t="s">
        <v>55</v>
      </c>
      <c r="F1948" s="8" t="s">
        <v>55</v>
      </c>
      <c r="G1948" s="8" t="s">
        <v>190</v>
      </c>
      <c r="H1948" s="8" t="s">
        <v>8670</v>
      </c>
      <c r="I1948" s="8" t="s">
        <v>8877</v>
      </c>
      <c r="J1948" s="8" t="s">
        <v>119</v>
      </c>
      <c r="K1948" s="8" t="s">
        <v>8664</v>
      </c>
      <c r="L1948" s="8"/>
      <c r="M1948" s="8"/>
      <c r="N1948" s="8" t="n">
        <v>45</v>
      </c>
      <c r="O1948" s="8" t="n">
        <v>373</v>
      </c>
      <c r="P1948" s="8" t="s">
        <v>120</v>
      </c>
    </row>
    <row r="1949" customFormat="false" ht="15" hidden="false" customHeight="false" outlineLevel="0" collapsed="false">
      <c r="A1949" s="8" t="s">
        <v>1085</v>
      </c>
      <c r="B1949" s="8" t="s">
        <v>1086</v>
      </c>
      <c r="C1949" s="8" t="s">
        <v>8661</v>
      </c>
      <c r="D1949" s="8" t="s">
        <v>117</v>
      </c>
      <c r="E1949" s="8" t="s">
        <v>53</v>
      </c>
      <c r="F1949" s="8" t="s">
        <v>326</v>
      </c>
      <c r="G1949" s="8" t="s">
        <v>166</v>
      </c>
      <c r="H1949" s="8" t="s">
        <v>8675</v>
      </c>
      <c r="I1949" s="8" t="s">
        <v>9427</v>
      </c>
      <c r="J1949" s="8" t="s">
        <v>144</v>
      </c>
      <c r="K1949" s="8" t="s">
        <v>8664</v>
      </c>
      <c r="L1949" s="8"/>
      <c r="M1949" s="8"/>
      <c r="N1949" s="8" t="n">
        <v>25</v>
      </c>
      <c r="O1949" s="8" t="n">
        <v>151</v>
      </c>
      <c r="P1949" s="8" t="s">
        <v>148</v>
      </c>
    </row>
    <row r="1950" customFormat="false" ht="15" hidden="false" customHeight="false" outlineLevel="0" collapsed="false">
      <c r="A1950" s="8" t="s">
        <v>3764</v>
      </c>
      <c r="B1950" s="8" t="s">
        <v>3765</v>
      </c>
      <c r="C1950" s="8" t="s">
        <v>8669</v>
      </c>
      <c r="D1950" s="8" t="s">
        <v>123</v>
      </c>
      <c r="E1950" s="8" t="s">
        <v>51</v>
      </c>
      <c r="F1950" s="8" t="s">
        <v>2027</v>
      </c>
      <c r="G1950" s="8" t="s">
        <v>223</v>
      </c>
      <c r="H1950" s="8" t="s">
        <v>8662</v>
      </c>
      <c r="I1950" s="8" t="s">
        <v>9891</v>
      </c>
      <c r="J1950" s="8" t="s">
        <v>137</v>
      </c>
      <c r="K1950" s="8" t="s">
        <v>8664</v>
      </c>
      <c r="L1950" s="8"/>
      <c r="M1950" s="8"/>
      <c r="N1950" s="8" t="n">
        <v>12</v>
      </c>
      <c r="O1950" s="8" t="n">
        <v>16</v>
      </c>
      <c r="P1950" s="8" t="s">
        <v>120</v>
      </c>
    </row>
    <row r="1951" customFormat="false" ht="15" hidden="false" customHeight="false" outlineLevel="0" collapsed="false">
      <c r="A1951" s="8" t="s">
        <v>2166</v>
      </c>
      <c r="B1951" s="8" t="s">
        <v>2167</v>
      </c>
      <c r="C1951" s="8" t="s">
        <v>8674</v>
      </c>
      <c r="D1951" s="8" t="s">
        <v>123</v>
      </c>
      <c r="E1951" s="8" t="s">
        <v>51</v>
      </c>
      <c r="F1951" s="8" t="s">
        <v>326</v>
      </c>
      <c r="G1951" s="8" t="s">
        <v>154</v>
      </c>
      <c r="H1951" s="8" t="s">
        <v>8670</v>
      </c>
      <c r="I1951" s="8" t="s">
        <v>9263</v>
      </c>
      <c r="J1951" s="8" t="s">
        <v>144</v>
      </c>
      <c r="K1951" s="8" t="s">
        <v>8664</v>
      </c>
      <c r="L1951" s="8"/>
      <c r="M1951" s="8"/>
      <c r="N1951" s="8" t="n">
        <v>25</v>
      </c>
      <c r="O1951" s="8" t="n">
        <v>19</v>
      </c>
      <c r="P1951" s="8" t="s">
        <v>120</v>
      </c>
    </row>
    <row r="1952" customFormat="false" ht="15" hidden="false" customHeight="false" outlineLevel="0" collapsed="false">
      <c r="A1952" s="8" t="s">
        <v>4463</v>
      </c>
      <c r="B1952" s="8" t="s">
        <v>10208</v>
      </c>
      <c r="C1952" s="8" t="s">
        <v>8665</v>
      </c>
      <c r="D1952" s="8" t="s">
        <v>123</v>
      </c>
      <c r="E1952" s="8" t="s">
        <v>53</v>
      </c>
      <c r="F1952" s="8" t="s">
        <v>326</v>
      </c>
      <c r="G1952" s="8" t="s">
        <v>166</v>
      </c>
      <c r="H1952" s="8" t="s">
        <v>8675</v>
      </c>
      <c r="I1952" s="8" t="s">
        <v>8768</v>
      </c>
      <c r="J1952" s="8"/>
      <c r="K1952" s="8" t="s">
        <v>8690</v>
      </c>
      <c r="L1952" s="8" t="s">
        <v>9623</v>
      </c>
      <c r="M1952" s="8" t="s">
        <v>8692</v>
      </c>
      <c r="N1952" s="8" t="n">
        <v>25</v>
      </c>
      <c r="O1952" s="8" t="n">
        <v>101</v>
      </c>
      <c r="P1952" s="8" t="s">
        <v>148</v>
      </c>
    </row>
    <row r="1953" customFormat="false" ht="15" hidden="false" customHeight="false" outlineLevel="0" collapsed="false">
      <c r="A1953" s="8" t="s">
        <v>4290</v>
      </c>
      <c r="B1953" s="8" t="s">
        <v>4291</v>
      </c>
      <c r="C1953" s="8" t="s">
        <v>8674</v>
      </c>
      <c r="D1953" s="8" t="s">
        <v>132</v>
      </c>
      <c r="E1953" s="8" t="s">
        <v>51</v>
      </c>
      <c r="F1953" s="8" t="s">
        <v>2027</v>
      </c>
      <c r="G1953" s="8" t="s">
        <v>133</v>
      </c>
      <c r="H1953" s="8" t="s">
        <v>8666</v>
      </c>
      <c r="I1953" s="8" t="s">
        <v>9458</v>
      </c>
      <c r="J1953" s="8" t="s">
        <v>144</v>
      </c>
      <c r="K1953" s="8" t="s">
        <v>8664</v>
      </c>
      <c r="L1953" s="8"/>
      <c r="M1953" s="8"/>
      <c r="N1953" s="8" t="n">
        <v>12</v>
      </c>
      <c r="O1953" s="8" t="n">
        <v>7</v>
      </c>
      <c r="P1953" s="8" t="s">
        <v>120</v>
      </c>
    </row>
    <row r="1954" customFormat="false" ht="15" hidden="false" customHeight="false" outlineLevel="0" collapsed="false">
      <c r="A1954" s="8" t="s">
        <v>7554</v>
      </c>
      <c r="B1954" s="8" t="s">
        <v>10209</v>
      </c>
      <c r="C1954" s="8" t="s">
        <v>8678</v>
      </c>
      <c r="D1954" s="8" t="s">
        <v>132</v>
      </c>
      <c r="E1954" s="8" t="s">
        <v>55</v>
      </c>
      <c r="F1954" s="8" t="s">
        <v>55</v>
      </c>
      <c r="G1954" s="8" t="s">
        <v>223</v>
      </c>
      <c r="H1954" s="8" t="s">
        <v>8666</v>
      </c>
      <c r="I1954" s="8" t="s">
        <v>9431</v>
      </c>
      <c r="J1954" s="8"/>
      <c r="K1954" s="8" t="s">
        <v>8690</v>
      </c>
      <c r="L1954" s="8" t="s">
        <v>9256</v>
      </c>
      <c r="M1954" s="8" t="s">
        <v>8795</v>
      </c>
      <c r="N1954" s="8" t="n">
        <v>45</v>
      </c>
      <c r="O1954" s="8" t="n">
        <v>344</v>
      </c>
      <c r="P1954" s="8" t="s">
        <v>120</v>
      </c>
    </row>
    <row r="1955" customFormat="false" ht="15" hidden="false" customHeight="false" outlineLevel="0" collapsed="false">
      <c r="A1955" s="8" t="s">
        <v>1345</v>
      </c>
      <c r="B1955" s="8" t="s">
        <v>1346</v>
      </c>
      <c r="C1955" s="8" t="s">
        <v>8669</v>
      </c>
      <c r="D1955" s="8" t="s">
        <v>123</v>
      </c>
      <c r="E1955" s="8" t="s">
        <v>53</v>
      </c>
      <c r="F1955" s="8" t="s">
        <v>55</v>
      </c>
      <c r="G1955" s="8" t="s">
        <v>143</v>
      </c>
      <c r="H1955" s="8" t="s">
        <v>8666</v>
      </c>
      <c r="I1955" s="8" t="s">
        <v>8901</v>
      </c>
      <c r="J1955" s="8" t="s">
        <v>177</v>
      </c>
      <c r="K1955" s="8" t="s">
        <v>8664</v>
      </c>
      <c r="L1955" s="8"/>
      <c r="M1955" s="8"/>
      <c r="N1955" s="8" t="n">
        <v>45</v>
      </c>
      <c r="O1955" s="8" t="n">
        <v>57</v>
      </c>
      <c r="P1955" s="8" t="s">
        <v>120</v>
      </c>
    </row>
    <row r="1956" customFormat="false" ht="15" hidden="false" customHeight="false" outlineLevel="0" collapsed="false">
      <c r="A1956" s="8" t="s">
        <v>2872</v>
      </c>
      <c r="B1956" s="8" t="s">
        <v>2873</v>
      </c>
      <c r="C1956" s="8" t="s">
        <v>8700</v>
      </c>
      <c r="D1956" s="8" t="s">
        <v>123</v>
      </c>
      <c r="E1956" s="8" t="s">
        <v>51</v>
      </c>
      <c r="F1956" s="8" t="s">
        <v>2027</v>
      </c>
      <c r="G1956" s="8" t="s">
        <v>143</v>
      </c>
      <c r="H1956" s="8" t="s">
        <v>8662</v>
      </c>
      <c r="I1956" s="8" t="s">
        <v>10210</v>
      </c>
      <c r="J1956" s="8" t="s">
        <v>185</v>
      </c>
      <c r="K1956" s="8" t="s">
        <v>8664</v>
      </c>
      <c r="L1956" s="8"/>
      <c r="M1956" s="8"/>
      <c r="N1956" s="8" t="n">
        <v>12</v>
      </c>
      <c r="O1956" s="8" t="n">
        <v>32</v>
      </c>
      <c r="P1956" s="8" t="s">
        <v>120</v>
      </c>
    </row>
    <row r="1957" customFormat="false" ht="15" hidden="false" customHeight="false" outlineLevel="0" collapsed="false">
      <c r="A1957" s="8" t="s">
        <v>2390</v>
      </c>
      <c r="B1957" s="8" t="s">
        <v>2391</v>
      </c>
      <c r="C1957" s="8" t="s">
        <v>8680</v>
      </c>
      <c r="D1957" s="8" t="s">
        <v>123</v>
      </c>
      <c r="E1957" s="8" t="s">
        <v>51</v>
      </c>
      <c r="F1957" s="8" t="s">
        <v>326</v>
      </c>
      <c r="G1957" s="8" t="s">
        <v>136</v>
      </c>
      <c r="H1957" s="8" t="s">
        <v>8662</v>
      </c>
      <c r="I1957" s="8" t="s">
        <v>8689</v>
      </c>
      <c r="J1957" s="8" t="s">
        <v>204</v>
      </c>
      <c r="K1957" s="8" t="s">
        <v>8664</v>
      </c>
      <c r="L1957" s="8"/>
      <c r="M1957" s="8"/>
      <c r="N1957" s="8" t="n">
        <v>25</v>
      </c>
      <c r="O1957" s="8" t="n">
        <v>20</v>
      </c>
      <c r="P1957" s="8" t="s">
        <v>120</v>
      </c>
    </row>
    <row r="1958" customFormat="false" ht="15" hidden="false" customHeight="false" outlineLevel="0" collapsed="false">
      <c r="A1958" s="8" t="s">
        <v>4248</v>
      </c>
      <c r="B1958" s="8" t="s">
        <v>4249</v>
      </c>
      <c r="C1958" s="8" t="s">
        <v>8669</v>
      </c>
      <c r="D1958" s="8" t="s">
        <v>123</v>
      </c>
      <c r="E1958" s="8" t="s">
        <v>51</v>
      </c>
      <c r="F1958" s="8" t="s">
        <v>2027</v>
      </c>
      <c r="G1958" s="8" t="s">
        <v>143</v>
      </c>
      <c r="H1958" s="8" t="s">
        <v>8675</v>
      </c>
      <c r="I1958" s="8" t="s">
        <v>9301</v>
      </c>
      <c r="J1958" s="8" t="s">
        <v>159</v>
      </c>
      <c r="K1958" s="8" t="s">
        <v>8664</v>
      </c>
      <c r="L1958" s="8"/>
      <c r="M1958" s="8"/>
      <c r="N1958" s="8" t="n">
        <v>12</v>
      </c>
      <c r="O1958" s="8" t="n">
        <v>8</v>
      </c>
      <c r="P1958" s="8" t="s">
        <v>120</v>
      </c>
    </row>
    <row r="1959" customFormat="false" ht="15" hidden="false" customHeight="false" outlineLevel="0" collapsed="false">
      <c r="A1959" s="8" t="s">
        <v>213</v>
      </c>
      <c r="B1959" s="8" t="s">
        <v>214</v>
      </c>
      <c r="C1959" s="8" t="s">
        <v>8680</v>
      </c>
      <c r="D1959" s="8" t="s">
        <v>132</v>
      </c>
      <c r="E1959" s="8" t="s">
        <v>55</v>
      </c>
      <c r="F1959" s="8" t="s">
        <v>55</v>
      </c>
      <c r="G1959" s="8" t="s">
        <v>151</v>
      </c>
      <c r="H1959" s="8" t="s">
        <v>8666</v>
      </c>
      <c r="I1959" s="8" t="s">
        <v>10140</v>
      </c>
      <c r="J1959" s="8" t="s">
        <v>125</v>
      </c>
      <c r="K1959" s="8" t="s">
        <v>8664</v>
      </c>
      <c r="L1959" s="8"/>
      <c r="M1959" s="8"/>
      <c r="N1959" s="8" t="n">
        <v>45</v>
      </c>
      <c r="O1959" s="8" t="n">
        <v>422</v>
      </c>
      <c r="P1959" s="8" t="s">
        <v>120</v>
      </c>
    </row>
    <row r="1960" customFormat="false" ht="15" hidden="false" customHeight="false" outlineLevel="0" collapsed="false">
      <c r="A1960" s="8" t="s">
        <v>1651</v>
      </c>
      <c r="B1960" s="8" t="s">
        <v>1652</v>
      </c>
      <c r="C1960" s="8" t="s">
        <v>8688</v>
      </c>
      <c r="D1960" s="8" t="s">
        <v>123</v>
      </c>
      <c r="E1960" s="8" t="s">
        <v>53</v>
      </c>
      <c r="F1960" s="8" t="s">
        <v>326</v>
      </c>
      <c r="G1960" s="8" t="s">
        <v>151</v>
      </c>
      <c r="H1960" s="8" t="s">
        <v>8662</v>
      </c>
      <c r="I1960" s="8" t="s">
        <v>9714</v>
      </c>
      <c r="J1960" s="8" t="s">
        <v>177</v>
      </c>
      <c r="K1960" s="8" t="s">
        <v>8664</v>
      </c>
      <c r="L1960" s="8"/>
      <c r="M1960" s="8"/>
      <c r="N1960" s="8" t="n">
        <v>25</v>
      </c>
      <c r="O1960" s="8" t="n">
        <v>61</v>
      </c>
      <c r="P1960" s="8" t="s">
        <v>120</v>
      </c>
    </row>
    <row r="1961" customFormat="false" ht="15" hidden="false" customHeight="false" outlineLevel="0" collapsed="false">
      <c r="A1961" s="8" t="s">
        <v>1879</v>
      </c>
      <c r="B1961" s="8" t="s">
        <v>1880</v>
      </c>
      <c r="C1961" s="8" t="s">
        <v>8669</v>
      </c>
      <c r="D1961" s="8" t="s">
        <v>123</v>
      </c>
      <c r="E1961" s="8" t="s">
        <v>53</v>
      </c>
      <c r="F1961" s="8" t="s">
        <v>326</v>
      </c>
      <c r="G1961" s="8" t="s">
        <v>124</v>
      </c>
      <c r="H1961" s="8" t="s">
        <v>8670</v>
      </c>
      <c r="I1961" s="8" t="s">
        <v>10188</v>
      </c>
      <c r="J1961" s="8" t="s">
        <v>144</v>
      </c>
      <c r="K1961" s="8" t="s">
        <v>8664</v>
      </c>
      <c r="L1961" s="8"/>
      <c r="M1961" s="8"/>
      <c r="N1961" s="8" t="n">
        <v>25</v>
      </c>
      <c r="O1961" s="8" t="n">
        <v>47</v>
      </c>
      <c r="P1961" s="8" t="s">
        <v>120</v>
      </c>
    </row>
    <row r="1962" customFormat="false" ht="15" hidden="false" customHeight="false" outlineLevel="0" collapsed="false">
      <c r="A1962" s="8" t="s">
        <v>2106</v>
      </c>
      <c r="B1962" s="8" t="s">
        <v>2107</v>
      </c>
      <c r="C1962" s="8" t="s">
        <v>8669</v>
      </c>
      <c r="D1962" s="8" t="s">
        <v>123</v>
      </c>
      <c r="E1962" s="8" t="s">
        <v>51</v>
      </c>
      <c r="F1962" s="8" t="s">
        <v>326</v>
      </c>
      <c r="G1962" s="8" t="s">
        <v>143</v>
      </c>
      <c r="H1962" s="8" t="s">
        <v>8675</v>
      </c>
      <c r="I1962" s="8" t="s">
        <v>8979</v>
      </c>
      <c r="J1962" s="8" t="s">
        <v>140</v>
      </c>
      <c r="K1962" s="8" t="s">
        <v>8664</v>
      </c>
      <c r="L1962" s="8"/>
      <c r="M1962" s="8"/>
      <c r="N1962" s="8" t="n">
        <v>25</v>
      </c>
      <c r="O1962" s="8" t="n">
        <v>28</v>
      </c>
      <c r="P1962" s="8" t="s">
        <v>120</v>
      </c>
    </row>
    <row r="1963" customFormat="false" ht="15" hidden="false" customHeight="false" outlineLevel="0" collapsed="false">
      <c r="A1963" s="8" t="s">
        <v>292</v>
      </c>
      <c r="B1963" s="8" t="s">
        <v>293</v>
      </c>
      <c r="C1963" s="8" t="s">
        <v>8669</v>
      </c>
      <c r="D1963" s="8" t="s">
        <v>117</v>
      </c>
      <c r="E1963" s="8" t="s">
        <v>55</v>
      </c>
      <c r="F1963" s="8" t="s">
        <v>55</v>
      </c>
      <c r="G1963" s="8" t="s">
        <v>190</v>
      </c>
      <c r="H1963" s="8" t="s">
        <v>8666</v>
      </c>
      <c r="I1963" s="8" t="s">
        <v>8909</v>
      </c>
      <c r="J1963" s="8" t="s">
        <v>147</v>
      </c>
      <c r="K1963" s="8" t="s">
        <v>8664</v>
      </c>
      <c r="L1963" s="8"/>
      <c r="M1963" s="8"/>
      <c r="N1963" s="8" t="n">
        <v>45</v>
      </c>
      <c r="O1963" s="8" t="n">
        <v>426</v>
      </c>
      <c r="P1963" s="8" t="s">
        <v>120</v>
      </c>
    </row>
    <row r="1964" customFormat="false" ht="15" hidden="false" customHeight="false" outlineLevel="0" collapsed="false">
      <c r="A1964" s="8" t="s">
        <v>3484</v>
      </c>
      <c r="B1964" s="8" t="s">
        <v>3485</v>
      </c>
      <c r="C1964" s="8" t="s">
        <v>8678</v>
      </c>
      <c r="D1964" s="8" t="s">
        <v>123</v>
      </c>
      <c r="E1964" s="8" t="s">
        <v>51</v>
      </c>
      <c r="F1964" s="8" t="s">
        <v>2027</v>
      </c>
      <c r="G1964" s="8" t="s">
        <v>124</v>
      </c>
      <c r="H1964" s="8" t="s">
        <v>8675</v>
      </c>
      <c r="I1964" s="8" t="s">
        <v>8677</v>
      </c>
      <c r="J1964" s="8" t="s">
        <v>180</v>
      </c>
      <c r="K1964" s="8" t="s">
        <v>8664</v>
      </c>
      <c r="L1964" s="8"/>
      <c r="M1964" s="8"/>
      <c r="N1964" s="8" t="n">
        <v>12</v>
      </c>
      <c r="O1964" s="8" t="n">
        <v>22</v>
      </c>
      <c r="P1964" s="8" t="s">
        <v>120</v>
      </c>
    </row>
    <row r="1965" customFormat="false" ht="15" hidden="false" customHeight="false" outlineLevel="0" collapsed="false">
      <c r="A1965" s="8" t="s">
        <v>2080</v>
      </c>
      <c r="B1965" s="8" t="s">
        <v>2081</v>
      </c>
      <c r="C1965" s="8" t="s">
        <v>8678</v>
      </c>
      <c r="D1965" s="8" t="s">
        <v>123</v>
      </c>
      <c r="E1965" s="8" t="s">
        <v>51</v>
      </c>
      <c r="F1965" s="8" t="s">
        <v>326</v>
      </c>
      <c r="G1965" s="8" t="s">
        <v>154</v>
      </c>
      <c r="H1965" s="8" t="s">
        <v>8662</v>
      </c>
      <c r="I1965" s="8" t="s">
        <v>10112</v>
      </c>
      <c r="J1965" s="8" t="s">
        <v>144</v>
      </c>
      <c r="K1965" s="8" t="s">
        <v>8664</v>
      </c>
      <c r="L1965" s="8"/>
      <c r="M1965" s="8"/>
      <c r="N1965" s="8" t="n">
        <v>25</v>
      </c>
      <c r="O1965" s="8" t="n">
        <v>29</v>
      </c>
      <c r="P1965" s="8" t="s">
        <v>120</v>
      </c>
    </row>
    <row r="1966" customFormat="false" ht="15" hidden="false" customHeight="false" outlineLevel="0" collapsed="false">
      <c r="A1966" s="8" t="s">
        <v>2578</v>
      </c>
      <c r="B1966" s="8" t="s">
        <v>2579</v>
      </c>
      <c r="C1966" s="8" t="s">
        <v>8688</v>
      </c>
      <c r="D1966" s="8" t="s">
        <v>132</v>
      </c>
      <c r="E1966" s="8" t="s">
        <v>51</v>
      </c>
      <c r="F1966" s="8" t="s">
        <v>2027</v>
      </c>
      <c r="G1966" s="8" t="s">
        <v>154</v>
      </c>
      <c r="H1966" s="8" t="s">
        <v>8675</v>
      </c>
      <c r="I1966" s="8" t="s">
        <v>9017</v>
      </c>
      <c r="J1966" s="8" t="s">
        <v>180</v>
      </c>
      <c r="K1966" s="8" t="s">
        <v>8664</v>
      </c>
      <c r="L1966" s="8"/>
      <c r="M1966" s="8"/>
      <c r="N1966" s="8" t="n">
        <v>12</v>
      </c>
      <c r="O1966" s="8" t="n">
        <v>29</v>
      </c>
      <c r="P1966" s="8" t="s">
        <v>120</v>
      </c>
    </row>
    <row r="1967" customFormat="false" ht="15" hidden="false" customHeight="false" outlineLevel="0" collapsed="false">
      <c r="A1967" s="8" t="s">
        <v>3298</v>
      </c>
      <c r="B1967" s="8" t="s">
        <v>3299</v>
      </c>
      <c r="C1967" s="8" t="s">
        <v>8674</v>
      </c>
      <c r="D1967" s="8" t="s">
        <v>132</v>
      </c>
      <c r="E1967" s="8" t="s">
        <v>51</v>
      </c>
      <c r="F1967" s="8" t="s">
        <v>2027</v>
      </c>
      <c r="G1967" s="8" t="s">
        <v>133</v>
      </c>
      <c r="H1967" s="8" t="s">
        <v>8675</v>
      </c>
      <c r="I1967" s="8" t="s">
        <v>9337</v>
      </c>
      <c r="J1967" s="8" t="s">
        <v>177</v>
      </c>
      <c r="K1967" s="8" t="s">
        <v>8664</v>
      </c>
      <c r="L1967" s="8"/>
      <c r="M1967" s="8"/>
      <c r="N1967" s="8" t="n">
        <v>12</v>
      </c>
      <c r="O1967" s="8" t="n">
        <v>25</v>
      </c>
      <c r="P1967" s="8" t="s">
        <v>120</v>
      </c>
    </row>
    <row r="1968" customFormat="false" ht="15" hidden="false" customHeight="false" outlineLevel="0" collapsed="false">
      <c r="A1968" s="8" t="s">
        <v>885</v>
      </c>
      <c r="B1968" s="8" t="s">
        <v>886</v>
      </c>
      <c r="C1968" s="8" t="s">
        <v>8669</v>
      </c>
      <c r="D1968" s="8" t="s">
        <v>123</v>
      </c>
      <c r="E1968" s="8" t="s">
        <v>53</v>
      </c>
      <c r="F1968" s="8" t="s">
        <v>326</v>
      </c>
      <c r="G1968" s="8" t="s">
        <v>143</v>
      </c>
      <c r="H1968" s="8" t="s">
        <v>8662</v>
      </c>
      <c r="I1968" s="8" t="s">
        <v>8926</v>
      </c>
      <c r="J1968" s="8" t="s">
        <v>185</v>
      </c>
      <c r="K1968" s="8" t="s">
        <v>8664</v>
      </c>
      <c r="L1968" s="8"/>
      <c r="M1968" s="8"/>
      <c r="N1968" s="8" t="n">
        <v>25</v>
      </c>
      <c r="O1968" s="8" t="n">
        <v>183</v>
      </c>
      <c r="P1968" s="8" t="s">
        <v>148</v>
      </c>
    </row>
    <row r="1969" customFormat="false" ht="15" hidden="false" customHeight="false" outlineLevel="0" collapsed="false">
      <c r="A1969" s="8" t="s">
        <v>345</v>
      </c>
      <c r="B1969" s="8" t="s">
        <v>346</v>
      </c>
      <c r="C1969" s="8" t="s">
        <v>8680</v>
      </c>
      <c r="D1969" s="8" t="s">
        <v>123</v>
      </c>
      <c r="E1969" s="8" t="s">
        <v>55</v>
      </c>
      <c r="F1969" s="8" t="s">
        <v>55</v>
      </c>
      <c r="G1969" s="8" t="s">
        <v>143</v>
      </c>
      <c r="H1969" s="8" t="s">
        <v>8675</v>
      </c>
      <c r="I1969" s="8" t="s">
        <v>8971</v>
      </c>
      <c r="J1969" s="8" t="s">
        <v>125</v>
      </c>
      <c r="K1969" s="8" t="s">
        <v>8664</v>
      </c>
      <c r="L1969" s="8"/>
      <c r="M1969" s="8"/>
      <c r="N1969" s="8" t="n">
        <v>45</v>
      </c>
      <c r="O1969" s="8" t="n">
        <v>377</v>
      </c>
      <c r="P1969" s="8" t="s">
        <v>120</v>
      </c>
    </row>
    <row r="1970" customFormat="false" ht="15" hidden="false" customHeight="false" outlineLevel="0" collapsed="false">
      <c r="A1970" s="8" t="s">
        <v>1845</v>
      </c>
      <c r="B1970" s="8" t="s">
        <v>1846</v>
      </c>
      <c r="C1970" s="8" t="s">
        <v>8700</v>
      </c>
      <c r="D1970" s="8" t="s">
        <v>117</v>
      </c>
      <c r="E1970" s="8" t="s">
        <v>51</v>
      </c>
      <c r="F1970" s="8" t="s">
        <v>326</v>
      </c>
      <c r="G1970" s="8" t="s">
        <v>133</v>
      </c>
      <c r="H1970" s="8" t="s">
        <v>8662</v>
      </c>
      <c r="I1970" s="8" t="s">
        <v>10211</v>
      </c>
      <c r="J1970" s="8" t="s">
        <v>185</v>
      </c>
      <c r="K1970" s="8" t="s">
        <v>8664</v>
      </c>
      <c r="L1970" s="8"/>
      <c r="M1970" s="8"/>
      <c r="N1970" s="8" t="n">
        <v>25</v>
      </c>
      <c r="O1970" s="8" t="n">
        <v>39</v>
      </c>
      <c r="P1970" s="8" t="s">
        <v>120</v>
      </c>
    </row>
    <row r="1971" customFormat="false" ht="15" hidden="false" customHeight="false" outlineLevel="0" collapsed="false">
      <c r="A1971" s="8" t="s">
        <v>941</v>
      </c>
      <c r="B1971" s="8" t="s">
        <v>942</v>
      </c>
      <c r="C1971" s="8" t="s">
        <v>8674</v>
      </c>
      <c r="D1971" s="8" t="s">
        <v>123</v>
      </c>
      <c r="E1971" s="8" t="s">
        <v>53</v>
      </c>
      <c r="F1971" s="8" t="s">
        <v>326</v>
      </c>
      <c r="G1971" s="8" t="s">
        <v>143</v>
      </c>
      <c r="H1971" s="8" t="s">
        <v>8666</v>
      </c>
      <c r="I1971" s="8" t="s">
        <v>10110</v>
      </c>
      <c r="J1971" s="8" t="s">
        <v>125</v>
      </c>
      <c r="K1971" s="8" t="s">
        <v>8664</v>
      </c>
      <c r="L1971" s="8"/>
      <c r="M1971" s="8"/>
      <c r="N1971" s="8" t="n">
        <v>25</v>
      </c>
      <c r="O1971" s="8" t="n">
        <v>174</v>
      </c>
      <c r="P1971" s="8" t="s">
        <v>120</v>
      </c>
    </row>
    <row r="1972" customFormat="false" ht="15" hidden="false" customHeight="false" outlineLevel="0" collapsed="false">
      <c r="A1972" s="8" t="s">
        <v>10212</v>
      </c>
      <c r="B1972" s="8" t="s">
        <v>10213</v>
      </c>
      <c r="C1972" s="8" t="s">
        <v>8674</v>
      </c>
      <c r="D1972" s="8" t="s">
        <v>132</v>
      </c>
      <c r="E1972" s="8" t="s">
        <v>51</v>
      </c>
      <c r="F1972" s="8" t="s">
        <v>2027</v>
      </c>
      <c r="G1972" s="8" t="s">
        <v>124</v>
      </c>
      <c r="H1972" s="8" t="s">
        <v>8662</v>
      </c>
      <c r="I1972" s="8" t="s">
        <v>9195</v>
      </c>
      <c r="J1972" s="8"/>
      <c r="K1972" s="8" t="s">
        <v>8690</v>
      </c>
      <c r="L1972" s="8" t="s">
        <v>8862</v>
      </c>
      <c r="M1972" s="8" t="s">
        <v>8721</v>
      </c>
      <c r="N1972" s="8" t="n">
        <v>12</v>
      </c>
      <c r="O1972" s="8" t="n">
        <v>24</v>
      </c>
      <c r="P1972" s="8" t="s">
        <v>120</v>
      </c>
    </row>
    <row r="1973" customFormat="false" ht="15" hidden="false" customHeight="false" outlineLevel="0" collapsed="false">
      <c r="A1973" s="8" t="s">
        <v>10214</v>
      </c>
      <c r="B1973" s="8" t="s">
        <v>10215</v>
      </c>
      <c r="C1973" s="8" t="s">
        <v>8661</v>
      </c>
      <c r="D1973" s="8" t="s">
        <v>132</v>
      </c>
      <c r="E1973" s="8" t="s">
        <v>51</v>
      </c>
      <c r="F1973" s="8" t="s">
        <v>2027</v>
      </c>
      <c r="G1973" s="8" t="s">
        <v>223</v>
      </c>
      <c r="H1973" s="8" t="s">
        <v>8662</v>
      </c>
      <c r="I1973" s="8" t="s">
        <v>8697</v>
      </c>
      <c r="J1973" s="8"/>
      <c r="K1973" s="8" t="s">
        <v>8690</v>
      </c>
      <c r="L1973" s="8" t="s">
        <v>9346</v>
      </c>
      <c r="M1973" s="8" t="s">
        <v>8705</v>
      </c>
      <c r="N1973" s="8" t="n">
        <v>12</v>
      </c>
      <c r="O1973" s="8" t="n">
        <v>11</v>
      </c>
      <c r="P1973" s="8" t="s">
        <v>148</v>
      </c>
    </row>
    <row r="1974" customFormat="false" ht="15" hidden="false" customHeight="false" outlineLevel="0" collapsed="false">
      <c r="A1974" s="8" t="s">
        <v>4366</v>
      </c>
      <c r="B1974" s="8" t="s">
        <v>4367</v>
      </c>
      <c r="C1974" s="8" t="s">
        <v>8665</v>
      </c>
      <c r="D1974" s="8" t="s">
        <v>132</v>
      </c>
      <c r="E1974" s="8" t="s">
        <v>51</v>
      </c>
      <c r="F1974" s="8" t="s">
        <v>2027</v>
      </c>
      <c r="G1974" s="8" t="s">
        <v>223</v>
      </c>
      <c r="H1974" s="8" t="s">
        <v>8662</v>
      </c>
      <c r="I1974" s="8" t="s">
        <v>8950</v>
      </c>
      <c r="J1974" s="8" t="s">
        <v>129</v>
      </c>
      <c r="K1974" s="8" t="s">
        <v>8664</v>
      </c>
      <c r="L1974" s="8"/>
      <c r="M1974" s="8"/>
      <c r="N1974" s="8" t="n">
        <v>12</v>
      </c>
      <c r="O1974" s="8" t="n">
        <v>5</v>
      </c>
      <c r="P1974" s="8" t="s">
        <v>120</v>
      </c>
    </row>
    <row r="1975" customFormat="false" ht="15" hidden="false" customHeight="false" outlineLevel="0" collapsed="false">
      <c r="A1975" s="8" t="s">
        <v>1961</v>
      </c>
      <c r="B1975" s="8" t="s">
        <v>1962</v>
      </c>
      <c r="C1975" s="8" t="s">
        <v>8688</v>
      </c>
      <c r="D1975" s="8" t="s">
        <v>132</v>
      </c>
      <c r="E1975" s="8" t="s">
        <v>51</v>
      </c>
      <c r="F1975" s="8" t="s">
        <v>326</v>
      </c>
      <c r="G1975" s="8" t="s">
        <v>143</v>
      </c>
      <c r="H1975" s="8" t="s">
        <v>8675</v>
      </c>
      <c r="I1975" s="8" t="s">
        <v>10216</v>
      </c>
      <c r="J1975" s="8" t="s">
        <v>159</v>
      </c>
      <c r="K1975" s="8" t="s">
        <v>8664</v>
      </c>
      <c r="L1975" s="8"/>
      <c r="M1975" s="8"/>
      <c r="N1975" s="8" t="n">
        <v>25</v>
      </c>
      <c r="O1975" s="8" t="n">
        <v>31</v>
      </c>
      <c r="P1975" s="8" t="s">
        <v>120</v>
      </c>
    </row>
    <row r="1976" customFormat="false" ht="15" hidden="false" customHeight="false" outlineLevel="0" collapsed="false">
      <c r="A1976" s="8" t="s">
        <v>3580</v>
      </c>
      <c r="B1976" s="8" t="s">
        <v>3581</v>
      </c>
      <c r="C1976" s="8" t="s">
        <v>8674</v>
      </c>
      <c r="D1976" s="8" t="s">
        <v>123</v>
      </c>
      <c r="E1976" s="8" t="s">
        <v>51</v>
      </c>
      <c r="F1976" s="8" t="s">
        <v>2027</v>
      </c>
      <c r="G1976" s="8" t="s">
        <v>124</v>
      </c>
      <c r="H1976" s="8" t="s">
        <v>8666</v>
      </c>
      <c r="I1976" s="8" t="s">
        <v>9596</v>
      </c>
      <c r="J1976" s="8" t="s">
        <v>147</v>
      </c>
      <c r="K1976" s="8" t="s">
        <v>8664</v>
      </c>
      <c r="L1976" s="8"/>
      <c r="M1976" s="8"/>
      <c r="N1976" s="8" t="n">
        <v>12</v>
      </c>
      <c r="O1976" s="8" t="n">
        <v>20</v>
      </c>
      <c r="P1976" s="8" t="s">
        <v>120</v>
      </c>
    </row>
    <row r="1977" customFormat="false" ht="15" hidden="false" customHeight="false" outlineLevel="0" collapsed="false">
      <c r="A1977" s="8" t="s">
        <v>2614</v>
      </c>
      <c r="B1977" s="8" t="s">
        <v>2615</v>
      </c>
      <c r="C1977" s="8" t="s">
        <v>8674</v>
      </c>
      <c r="D1977" s="8" t="s">
        <v>123</v>
      </c>
      <c r="E1977" s="8" t="s">
        <v>51</v>
      </c>
      <c r="F1977" s="8" t="s">
        <v>2027</v>
      </c>
      <c r="G1977" s="8" t="s">
        <v>143</v>
      </c>
      <c r="H1977" s="8" t="s">
        <v>8670</v>
      </c>
      <c r="I1977" s="8" t="s">
        <v>9352</v>
      </c>
      <c r="J1977" s="8" t="s">
        <v>119</v>
      </c>
      <c r="K1977" s="8" t="s">
        <v>8664</v>
      </c>
      <c r="L1977" s="8"/>
      <c r="M1977" s="8"/>
      <c r="N1977" s="8" t="n">
        <v>12</v>
      </c>
      <c r="O1977" s="8" t="n">
        <v>36</v>
      </c>
      <c r="P1977" s="8" t="s">
        <v>120</v>
      </c>
    </row>
    <row r="1978" customFormat="false" ht="15" hidden="false" customHeight="false" outlineLevel="0" collapsed="false">
      <c r="A1978" s="8" t="s">
        <v>1881</v>
      </c>
      <c r="B1978" s="8" t="s">
        <v>1882</v>
      </c>
      <c r="C1978" s="8" t="s">
        <v>8700</v>
      </c>
      <c r="D1978" s="8" t="s">
        <v>128</v>
      </c>
      <c r="E1978" s="8" t="s">
        <v>51</v>
      </c>
      <c r="F1978" s="8" t="s">
        <v>326</v>
      </c>
      <c r="G1978" s="8" t="s">
        <v>143</v>
      </c>
      <c r="H1978" s="8" t="s">
        <v>8666</v>
      </c>
      <c r="I1978" s="8" t="s">
        <v>9705</v>
      </c>
      <c r="J1978" s="8" t="s">
        <v>129</v>
      </c>
      <c r="K1978" s="8" t="s">
        <v>8664</v>
      </c>
      <c r="L1978" s="8"/>
      <c r="M1978" s="8"/>
      <c r="N1978" s="8" t="n">
        <v>25</v>
      </c>
      <c r="O1978" s="8" t="n">
        <v>37</v>
      </c>
      <c r="P1978" s="8" t="s">
        <v>120</v>
      </c>
    </row>
    <row r="1979" customFormat="false" ht="15" hidden="false" customHeight="false" outlineLevel="0" collapsed="false">
      <c r="A1979" s="8" t="s">
        <v>2468</v>
      </c>
      <c r="B1979" s="8" t="s">
        <v>2469</v>
      </c>
      <c r="C1979" s="8" t="s">
        <v>8688</v>
      </c>
      <c r="D1979" s="8" t="s">
        <v>132</v>
      </c>
      <c r="E1979" s="8" t="s">
        <v>51</v>
      </c>
      <c r="F1979" s="8" t="s">
        <v>2027</v>
      </c>
      <c r="G1979" s="8" t="s">
        <v>166</v>
      </c>
      <c r="H1979" s="8" t="s">
        <v>8666</v>
      </c>
      <c r="I1979" s="8" t="s">
        <v>9617</v>
      </c>
      <c r="J1979" s="8" t="s">
        <v>119</v>
      </c>
      <c r="K1979" s="8" t="s">
        <v>8664</v>
      </c>
      <c r="L1979" s="8"/>
      <c r="M1979" s="8"/>
      <c r="N1979" s="8" t="n">
        <v>12</v>
      </c>
      <c r="O1979" s="8" t="n">
        <v>39</v>
      </c>
      <c r="P1979" s="8" t="s">
        <v>120</v>
      </c>
    </row>
    <row r="1980" customFormat="false" ht="15" hidden="false" customHeight="false" outlineLevel="0" collapsed="false">
      <c r="A1980" s="8" t="s">
        <v>4250</v>
      </c>
      <c r="B1980" s="8" t="s">
        <v>4251</v>
      </c>
      <c r="C1980" s="8" t="s">
        <v>8700</v>
      </c>
      <c r="D1980" s="8" t="s">
        <v>128</v>
      </c>
      <c r="E1980" s="8" t="s">
        <v>51</v>
      </c>
      <c r="F1980" s="8" t="s">
        <v>2027</v>
      </c>
      <c r="G1980" s="8" t="s">
        <v>151</v>
      </c>
      <c r="H1980" s="8" t="s">
        <v>8666</v>
      </c>
      <c r="I1980" s="8" t="s">
        <v>10211</v>
      </c>
      <c r="J1980" s="8" t="s">
        <v>185</v>
      </c>
      <c r="K1980" s="8" t="s">
        <v>8664</v>
      </c>
      <c r="L1980" s="8"/>
      <c r="M1980" s="8"/>
      <c r="N1980" s="8" t="n">
        <v>12</v>
      </c>
      <c r="O1980" s="8" t="n">
        <v>8</v>
      </c>
      <c r="P1980" s="8" t="s">
        <v>120</v>
      </c>
    </row>
    <row r="1981" customFormat="false" ht="15" hidden="false" customHeight="false" outlineLevel="0" collapsed="false">
      <c r="A1981" s="8" t="s">
        <v>2108</v>
      </c>
      <c r="B1981" s="8" t="s">
        <v>2109</v>
      </c>
      <c r="C1981" s="8" t="s">
        <v>8680</v>
      </c>
      <c r="D1981" s="8" t="s">
        <v>132</v>
      </c>
      <c r="E1981" s="8" t="s">
        <v>51</v>
      </c>
      <c r="F1981" s="8" t="s">
        <v>326</v>
      </c>
      <c r="G1981" s="8" t="s">
        <v>124</v>
      </c>
      <c r="H1981" s="8" t="s">
        <v>8666</v>
      </c>
      <c r="I1981" s="8" t="s">
        <v>8911</v>
      </c>
      <c r="J1981" s="8" t="s">
        <v>185</v>
      </c>
      <c r="K1981" s="8" t="s">
        <v>8664</v>
      </c>
      <c r="L1981" s="8"/>
      <c r="M1981" s="8"/>
      <c r="N1981" s="8" t="n">
        <v>25</v>
      </c>
      <c r="O1981" s="8" t="n">
        <v>28</v>
      </c>
      <c r="P1981" s="8" t="s">
        <v>120</v>
      </c>
    </row>
    <row r="1982" customFormat="false" ht="15" hidden="false" customHeight="false" outlineLevel="0" collapsed="false">
      <c r="A1982" s="8" t="s">
        <v>4012</v>
      </c>
      <c r="B1982" s="8" t="s">
        <v>4013</v>
      </c>
      <c r="C1982" s="8" t="s">
        <v>8674</v>
      </c>
      <c r="D1982" s="8" t="s">
        <v>123</v>
      </c>
      <c r="E1982" s="8" t="s">
        <v>51</v>
      </c>
      <c r="F1982" s="8" t="s">
        <v>2027</v>
      </c>
      <c r="G1982" s="8" t="s">
        <v>143</v>
      </c>
      <c r="H1982" s="8" t="s">
        <v>8675</v>
      </c>
      <c r="I1982" s="8" t="s">
        <v>10217</v>
      </c>
      <c r="J1982" s="8" t="s">
        <v>140</v>
      </c>
      <c r="K1982" s="8" t="s">
        <v>8664</v>
      </c>
      <c r="L1982" s="8"/>
      <c r="M1982" s="8"/>
      <c r="N1982" s="8" t="n">
        <v>12</v>
      </c>
      <c r="O1982" s="8" t="n">
        <v>14</v>
      </c>
      <c r="P1982" s="8" t="s">
        <v>120</v>
      </c>
    </row>
    <row r="1983" customFormat="false" ht="15" hidden="false" customHeight="false" outlineLevel="0" collapsed="false">
      <c r="A1983" s="8" t="s">
        <v>2580</v>
      </c>
      <c r="B1983" s="8" t="s">
        <v>2581</v>
      </c>
      <c r="C1983" s="8" t="s">
        <v>8674</v>
      </c>
      <c r="D1983" s="8" t="s">
        <v>123</v>
      </c>
      <c r="E1983" s="8" t="s">
        <v>51</v>
      </c>
      <c r="F1983" s="8" t="s">
        <v>2027</v>
      </c>
      <c r="G1983" s="8" t="s">
        <v>166</v>
      </c>
      <c r="H1983" s="8" t="s">
        <v>8675</v>
      </c>
      <c r="I1983" s="8" t="s">
        <v>10218</v>
      </c>
      <c r="J1983" s="8" t="s">
        <v>180</v>
      </c>
      <c r="K1983" s="8" t="s">
        <v>8664</v>
      </c>
      <c r="L1983" s="8"/>
      <c r="M1983" s="8"/>
      <c r="N1983" s="8" t="n">
        <v>12</v>
      </c>
      <c r="O1983" s="8" t="n">
        <v>37</v>
      </c>
      <c r="P1983" s="8" t="s">
        <v>120</v>
      </c>
    </row>
    <row r="1984" customFormat="false" ht="15" hidden="false" customHeight="false" outlineLevel="0" collapsed="false">
      <c r="A1984" s="8" t="s">
        <v>453</v>
      </c>
      <c r="B1984" s="8" t="s">
        <v>454</v>
      </c>
      <c r="C1984" s="8" t="s">
        <v>8674</v>
      </c>
      <c r="D1984" s="8" t="s">
        <v>123</v>
      </c>
      <c r="E1984" s="8" t="s">
        <v>53</v>
      </c>
      <c r="F1984" s="8" t="s">
        <v>55</v>
      </c>
      <c r="G1984" s="8" t="s">
        <v>143</v>
      </c>
      <c r="H1984" s="8" t="s">
        <v>8670</v>
      </c>
      <c r="I1984" s="8" t="s">
        <v>9862</v>
      </c>
      <c r="J1984" s="8" t="s">
        <v>119</v>
      </c>
      <c r="K1984" s="8" t="s">
        <v>8664</v>
      </c>
      <c r="L1984" s="8"/>
      <c r="M1984" s="8"/>
      <c r="N1984" s="8" t="n">
        <v>45</v>
      </c>
      <c r="O1984" s="8" t="n">
        <v>172</v>
      </c>
      <c r="P1984" s="8" t="s">
        <v>120</v>
      </c>
    </row>
    <row r="1985" customFormat="false" ht="15" hidden="false" customHeight="false" outlineLevel="0" collapsed="false">
      <c r="A1985" s="8" t="s">
        <v>2616</v>
      </c>
      <c r="B1985" s="8" t="s">
        <v>2617</v>
      </c>
      <c r="C1985" s="8" t="s">
        <v>8680</v>
      </c>
      <c r="D1985" s="8" t="s">
        <v>132</v>
      </c>
      <c r="E1985" s="8" t="s">
        <v>51</v>
      </c>
      <c r="F1985" s="8" t="s">
        <v>2027</v>
      </c>
      <c r="G1985" s="8" t="s">
        <v>133</v>
      </c>
      <c r="H1985" s="8" t="s">
        <v>8670</v>
      </c>
      <c r="I1985" s="8" t="s">
        <v>9250</v>
      </c>
      <c r="J1985" s="8" t="s">
        <v>129</v>
      </c>
      <c r="K1985" s="8" t="s">
        <v>8664</v>
      </c>
      <c r="L1985" s="8"/>
      <c r="M1985" s="8"/>
      <c r="N1985" s="8" t="n">
        <v>12</v>
      </c>
      <c r="O1985" s="8" t="n">
        <v>36</v>
      </c>
      <c r="P1985" s="8" t="s">
        <v>120</v>
      </c>
    </row>
    <row r="1986" customFormat="false" ht="15" hidden="false" customHeight="false" outlineLevel="0" collapsed="false">
      <c r="A1986" s="8" t="s">
        <v>4192</v>
      </c>
      <c r="B1986" s="8" t="s">
        <v>4193</v>
      </c>
      <c r="C1986" s="8" t="s">
        <v>8700</v>
      </c>
      <c r="D1986" s="8" t="s">
        <v>123</v>
      </c>
      <c r="E1986" s="8" t="s">
        <v>51</v>
      </c>
      <c r="F1986" s="8" t="s">
        <v>2027</v>
      </c>
      <c r="G1986" s="8" t="s">
        <v>166</v>
      </c>
      <c r="H1986" s="8" t="s">
        <v>8670</v>
      </c>
      <c r="I1986" s="8" t="s">
        <v>8768</v>
      </c>
      <c r="J1986" s="8" t="s">
        <v>129</v>
      </c>
      <c r="K1986" s="8" t="s">
        <v>8664</v>
      </c>
      <c r="L1986" s="8"/>
      <c r="M1986" s="8"/>
      <c r="N1986" s="8" t="n">
        <v>12</v>
      </c>
      <c r="O1986" s="8" t="n">
        <v>9</v>
      </c>
      <c r="P1986" s="8" t="s">
        <v>120</v>
      </c>
    </row>
    <row r="1987" customFormat="false" ht="15" hidden="false" customHeight="false" outlineLevel="0" collapsed="false">
      <c r="A1987" s="8" t="s">
        <v>2712</v>
      </c>
      <c r="B1987" s="8" t="s">
        <v>2713</v>
      </c>
      <c r="C1987" s="8" t="s">
        <v>8674</v>
      </c>
      <c r="D1987" s="8" t="s">
        <v>123</v>
      </c>
      <c r="E1987" s="8" t="s">
        <v>51</v>
      </c>
      <c r="F1987" s="8" t="s">
        <v>2027</v>
      </c>
      <c r="G1987" s="8" t="s">
        <v>118</v>
      </c>
      <c r="H1987" s="8" t="s">
        <v>8675</v>
      </c>
      <c r="I1987" s="8" t="s">
        <v>9917</v>
      </c>
      <c r="J1987" s="8" t="s">
        <v>140</v>
      </c>
      <c r="K1987" s="8" t="s">
        <v>8664</v>
      </c>
      <c r="L1987" s="8"/>
      <c r="M1987" s="8"/>
      <c r="N1987" s="8" t="n">
        <v>12</v>
      </c>
      <c r="O1987" s="8" t="n">
        <v>26</v>
      </c>
      <c r="P1987" s="8" t="s">
        <v>120</v>
      </c>
    </row>
    <row r="1988" customFormat="false" ht="15" hidden="false" customHeight="false" outlineLevel="0" collapsed="false">
      <c r="A1988" s="8" t="s">
        <v>1621</v>
      </c>
      <c r="B1988" s="8" t="s">
        <v>1622</v>
      </c>
      <c r="C1988" s="8" t="s">
        <v>8678</v>
      </c>
      <c r="D1988" s="8" t="s">
        <v>117</v>
      </c>
      <c r="E1988" s="8" t="s">
        <v>53</v>
      </c>
      <c r="F1988" s="8" t="s">
        <v>326</v>
      </c>
      <c r="G1988" s="8" t="s">
        <v>136</v>
      </c>
      <c r="H1988" s="8" t="s">
        <v>8675</v>
      </c>
      <c r="I1988" s="8" t="s">
        <v>9438</v>
      </c>
      <c r="J1988" s="8" t="s">
        <v>180</v>
      </c>
      <c r="K1988" s="8" t="s">
        <v>8664</v>
      </c>
      <c r="L1988" s="8"/>
      <c r="M1988" s="8"/>
      <c r="N1988" s="8" t="n">
        <v>25</v>
      </c>
      <c r="O1988" s="8" t="n">
        <v>69</v>
      </c>
      <c r="P1988" s="8" t="s">
        <v>120</v>
      </c>
    </row>
    <row r="1989" customFormat="false" ht="15" hidden="false" customHeight="false" outlineLevel="0" collapsed="false">
      <c r="A1989" s="8" t="s">
        <v>3186</v>
      </c>
      <c r="B1989" s="8" t="s">
        <v>3187</v>
      </c>
      <c r="C1989" s="8" t="s">
        <v>8665</v>
      </c>
      <c r="D1989" s="8" t="s">
        <v>117</v>
      </c>
      <c r="E1989" s="8" t="s">
        <v>51</v>
      </c>
      <c r="F1989" s="8" t="s">
        <v>2027</v>
      </c>
      <c r="G1989" s="8" t="s">
        <v>143</v>
      </c>
      <c r="H1989" s="8" t="s">
        <v>8670</v>
      </c>
      <c r="I1989" s="8" t="s">
        <v>10219</v>
      </c>
      <c r="J1989" s="8" t="s">
        <v>180</v>
      </c>
      <c r="K1989" s="8" t="s">
        <v>8664</v>
      </c>
      <c r="L1989" s="8"/>
      <c r="M1989" s="8"/>
      <c r="N1989" s="8" t="n">
        <v>12</v>
      </c>
      <c r="O1989" s="8" t="n">
        <v>32</v>
      </c>
      <c r="P1989" s="8" t="s">
        <v>120</v>
      </c>
    </row>
    <row r="1990" customFormat="false" ht="15" hidden="false" customHeight="false" outlineLevel="0" collapsed="false">
      <c r="A1990" s="8" t="s">
        <v>469</v>
      </c>
      <c r="B1990" s="8" t="s">
        <v>470</v>
      </c>
      <c r="C1990" s="8" t="s">
        <v>8674</v>
      </c>
      <c r="D1990" s="8" t="s">
        <v>117</v>
      </c>
      <c r="E1990" s="8" t="s">
        <v>53</v>
      </c>
      <c r="F1990" s="8" t="s">
        <v>55</v>
      </c>
      <c r="G1990" s="8" t="s">
        <v>223</v>
      </c>
      <c r="H1990" s="8" t="s">
        <v>8670</v>
      </c>
      <c r="I1990" s="8" t="s">
        <v>9182</v>
      </c>
      <c r="J1990" s="8" t="s">
        <v>129</v>
      </c>
      <c r="K1990" s="8" t="s">
        <v>8664</v>
      </c>
      <c r="L1990" s="8"/>
      <c r="M1990" s="8"/>
      <c r="N1990" s="8" t="n">
        <v>45</v>
      </c>
      <c r="O1990" s="8" t="n">
        <v>193</v>
      </c>
      <c r="P1990" s="8" t="s">
        <v>120</v>
      </c>
    </row>
    <row r="1991" customFormat="false" ht="15" hidden="false" customHeight="false" outlineLevel="0" collapsed="false">
      <c r="A1991" s="8" t="s">
        <v>1047</v>
      </c>
      <c r="B1991" s="8" t="s">
        <v>1048</v>
      </c>
      <c r="C1991" s="8" t="s">
        <v>8700</v>
      </c>
      <c r="D1991" s="8" t="s">
        <v>117</v>
      </c>
      <c r="E1991" s="8" t="s">
        <v>53</v>
      </c>
      <c r="F1991" s="8" t="s">
        <v>326</v>
      </c>
      <c r="G1991" s="8" t="s">
        <v>154</v>
      </c>
      <c r="H1991" s="8" t="s">
        <v>8675</v>
      </c>
      <c r="I1991" s="8" t="s">
        <v>9563</v>
      </c>
      <c r="J1991" s="8" t="s">
        <v>144</v>
      </c>
      <c r="K1991" s="8" t="s">
        <v>8664</v>
      </c>
      <c r="L1991" s="8"/>
      <c r="M1991" s="8"/>
      <c r="N1991" s="8" t="n">
        <v>25</v>
      </c>
      <c r="O1991" s="8" t="n">
        <v>128</v>
      </c>
      <c r="P1991" s="8" t="s">
        <v>120</v>
      </c>
    </row>
    <row r="1992" customFormat="false" ht="15" hidden="false" customHeight="false" outlineLevel="0" collapsed="false">
      <c r="A1992" s="8" t="s">
        <v>4062</v>
      </c>
      <c r="B1992" s="8" t="s">
        <v>4063</v>
      </c>
      <c r="C1992" s="8" t="s">
        <v>8680</v>
      </c>
      <c r="D1992" s="8" t="s">
        <v>117</v>
      </c>
      <c r="E1992" s="8" t="s">
        <v>51</v>
      </c>
      <c r="F1992" s="8" t="s">
        <v>2027</v>
      </c>
      <c r="G1992" s="8" t="s">
        <v>154</v>
      </c>
      <c r="H1992" s="8" t="s">
        <v>8675</v>
      </c>
      <c r="I1992" s="8" t="s">
        <v>9813</v>
      </c>
      <c r="J1992" s="8" t="s">
        <v>185</v>
      </c>
      <c r="K1992" s="8" t="s">
        <v>8664</v>
      </c>
      <c r="L1992" s="8"/>
      <c r="M1992" s="8"/>
      <c r="N1992" s="8" t="n">
        <v>12</v>
      </c>
      <c r="O1992" s="8" t="n">
        <v>9</v>
      </c>
      <c r="P1992" s="8" t="s">
        <v>120</v>
      </c>
    </row>
    <row r="1993" customFormat="false" ht="15" hidden="false" customHeight="false" outlineLevel="0" collapsed="false">
      <c r="A1993" s="8" t="s">
        <v>3300</v>
      </c>
      <c r="B1993" s="8" t="s">
        <v>3301</v>
      </c>
      <c r="C1993" s="8" t="s">
        <v>8678</v>
      </c>
      <c r="D1993" s="8" t="s">
        <v>132</v>
      </c>
      <c r="E1993" s="8" t="s">
        <v>51</v>
      </c>
      <c r="F1993" s="8" t="s">
        <v>2027</v>
      </c>
      <c r="G1993" s="8" t="s">
        <v>166</v>
      </c>
      <c r="H1993" s="8" t="s">
        <v>8670</v>
      </c>
      <c r="I1993" s="8" t="s">
        <v>8695</v>
      </c>
      <c r="J1993" s="8" t="s">
        <v>140</v>
      </c>
      <c r="K1993" s="8" t="s">
        <v>8664</v>
      </c>
      <c r="L1993" s="8"/>
      <c r="M1993" s="8"/>
      <c r="N1993" s="8" t="n">
        <v>12</v>
      </c>
      <c r="O1993" s="8" t="n">
        <v>21</v>
      </c>
      <c r="P1993" s="8" t="s">
        <v>120</v>
      </c>
    </row>
    <row r="1994" customFormat="false" ht="15" hidden="false" customHeight="false" outlineLevel="0" collapsed="false">
      <c r="A1994" s="8" t="s">
        <v>1927</v>
      </c>
      <c r="B1994" s="8" t="s">
        <v>1928</v>
      </c>
      <c r="C1994" s="8" t="s">
        <v>8661</v>
      </c>
      <c r="D1994" s="8" t="s">
        <v>123</v>
      </c>
      <c r="E1994" s="8" t="s">
        <v>51</v>
      </c>
      <c r="F1994" s="8" t="s">
        <v>326</v>
      </c>
      <c r="G1994" s="8" t="s">
        <v>166</v>
      </c>
      <c r="H1994" s="8" t="s">
        <v>8666</v>
      </c>
      <c r="I1994" s="8" t="s">
        <v>9738</v>
      </c>
      <c r="J1994" s="8" t="s">
        <v>159</v>
      </c>
      <c r="K1994" s="8" t="s">
        <v>8664</v>
      </c>
      <c r="L1994" s="8"/>
      <c r="M1994" s="8"/>
      <c r="N1994" s="8" t="n">
        <v>25</v>
      </c>
      <c r="O1994" s="8" t="n">
        <v>35</v>
      </c>
      <c r="P1994" s="8" t="s">
        <v>120</v>
      </c>
    </row>
    <row r="1995" customFormat="false" ht="15" hidden="false" customHeight="false" outlineLevel="0" collapsed="false">
      <c r="A1995" s="8" t="s">
        <v>1883</v>
      </c>
      <c r="B1995" s="8" t="s">
        <v>1884</v>
      </c>
      <c r="C1995" s="8" t="s">
        <v>8661</v>
      </c>
      <c r="D1995" s="8" t="s">
        <v>132</v>
      </c>
      <c r="E1995" s="8" t="s">
        <v>51</v>
      </c>
      <c r="F1995" s="8" t="s">
        <v>326</v>
      </c>
      <c r="G1995" s="8" t="s">
        <v>118</v>
      </c>
      <c r="H1995" s="8" t="s">
        <v>8662</v>
      </c>
      <c r="I1995" s="8" t="s">
        <v>9654</v>
      </c>
      <c r="J1995" s="8" t="s">
        <v>147</v>
      </c>
      <c r="K1995" s="8" t="s">
        <v>8664</v>
      </c>
      <c r="L1995" s="8"/>
      <c r="M1995" s="8"/>
      <c r="N1995" s="8" t="n">
        <v>25</v>
      </c>
      <c r="O1995" s="8" t="n">
        <v>37</v>
      </c>
      <c r="P1995" s="8" t="s">
        <v>120</v>
      </c>
    </row>
    <row r="1996" customFormat="false" ht="15" hidden="false" customHeight="false" outlineLevel="0" collapsed="false">
      <c r="A1996" s="8" t="s">
        <v>1413</v>
      </c>
      <c r="B1996" s="8" t="s">
        <v>1414</v>
      </c>
      <c r="C1996" s="8" t="s">
        <v>8665</v>
      </c>
      <c r="D1996" s="8" t="s">
        <v>123</v>
      </c>
      <c r="E1996" s="8" t="s">
        <v>53</v>
      </c>
      <c r="F1996" s="8" t="s">
        <v>326</v>
      </c>
      <c r="G1996" s="8" t="s">
        <v>190</v>
      </c>
      <c r="H1996" s="8" t="s">
        <v>8666</v>
      </c>
      <c r="I1996" s="8" t="s">
        <v>10172</v>
      </c>
      <c r="J1996" s="8" t="s">
        <v>177</v>
      </c>
      <c r="K1996" s="8" t="s">
        <v>8664</v>
      </c>
      <c r="L1996" s="8"/>
      <c r="M1996" s="8"/>
      <c r="N1996" s="8" t="n">
        <v>25</v>
      </c>
      <c r="O1996" s="8" t="n">
        <v>103</v>
      </c>
      <c r="P1996" s="8" t="s">
        <v>148</v>
      </c>
    </row>
    <row r="1997" customFormat="false" ht="15" hidden="false" customHeight="false" outlineLevel="0" collapsed="false">
      <c r="A1997" s="8" t="s">
        <v>2082</v>
      </c>
      <c r="B1997" s="8" t="s">
        <v>2083</v>
      </c>
      <c r="C1997" s="8" t="s">
        <v>8665</v>
      </c>
      <c r="D1997" s="8" t="s">
        <v>132</v>
      </c>
      <c r="E1997" s="8" t="s">
        <v>51</v>
      </c>
      <c r="F1997" s="8" t="s">
        <v>326</v>
      </c>
      <c r="G1997" s="8" t="s">
        <v>190</v>
      </c>
      <c r="H1997" s="8" t="s">
        <v>8675</v>
      </c>
      <c r="I1997" s="8" t="s">
        <v>9240</v>
      </c>
      <c r="J1997" s="8" t="s">
        <v>177</v>
      </c>
      <c r="K1997" s="8" t="s">
        <v>8664</v>
      </c>
      <c r="L1997" s="8"/>
      <c r="M1997" s="8"/>
      <c r="N1997" s="8" t="n">
        <v>25</v>
      </c>
      <c r="O1997" s="8" t="n">
        <v>24</v>
      </c>
      <c r="P1997" s="8" t="s">
        <v>120</v>
      </c>
    </row>
    <row r="1998" customFormat="false" ht="15" hidden="false" customHeight="false" outlineLevel="0" collapsed="false">
      <c r="A1998" s="8" t="s">
        <v>2268</v>
      </c>
      <c r="B1998" s="8" t="s">
        <v>2269</v>
      </c>
      <c r="C1998" s="8" t="s">
        <v>8661</v>
      </c>
      <c r="D1998" s="8" t="s">
        <v>123</v>
      </c>
      <c r="E1998" s="8" t="s">
        <v>51</v>
      </c>
      <c r="F1998" s="8" t="s">
        <v>326</v>
      </c>
      <c r="G1998" s="8" t="s">
        <v>143</v>
      </c>
      <c r="H1998" s="8" t="s">
        <v>8666</v>
      </c>
      <c r="I1998" s="8" t="s">
        <v>8953</v>
      </c>
      <c r="J1998" s="8" t="s">
        <v>140</v>
      </c>
      <c r="K1998" s="8" t="s">
        <v>8664</v>
      </c>
      <c r="L1998" s="8"/>
      <c r="M1998" s="8"/>
      <c r="N1998" s="8" t="n">
        <v>25</v>
      </c>
      <c r="O1998" s="8" t="n">
        <v>23</v>
      </c>
      <c r="P1998" s="8" t="s">
        <v>120</v>
      </c>
    </row>
    <row r="1999" customFormat="false" ht="15" hidden="false" customHeight="false" outlineLevel="0" collapsed="false">
      <c r="A1999" s="8" t="s">
        <v>2234</v>
      </c>
      <c r="B1999" s="8" t="s">
        <v>2235</v>
      </c>
      <c r="C1999" s="8" t="s">
        <v>8700</v>
      </c>
      <c r="D1999" s="8" t="s">
        <v>132</v>
      </c>
      <c r="E1999" s="8" t="s">
        <v>51</v>
      </c>
      <c r="F1999" s="8" t="s">
        <v>2027</v>
      </c>
      <c r="G1999" s="8" t="s">
        <v>136</v>
      </c>
      <c r="H1999" s="8" t="s">
        <v>8675</v>
      </c>
      <c r="I1999" s="8" t="s">
        <v>9303</v>
      </c>
      <c r="J1999" s="8" t="s">
        <v>159</v>
      </c>
      <c r="K1999" s="8" t="s">
        <v>8664</v>
      </c>
      <c r="L1999" s="8"/>
      <c r="M1999" s="8"/>
      <c r="N1999" s="8" t="n">
        <v>12</v>
      </c>
      <c r="O1999" s="8" t="n">
        <v>38</v>
      </c>
      <c r="P1999" s="8" t="s">
        <v>120</v>
      </c>
    </row>
    <row r="2000" customFormat="false" ht="15" hidden="false" customHeight="false" outlineLevel="0" collapsed="false">
      <c r="A2000" s="8" t="s">
        <v>10220</v>
      </c>
      <c r="B2000" s="8" t="s">
        <v>10221</v>
      </c>
      <c r="C2000" s="8" t="s">
        <v>8665</v>
      </c>
      <c r="D2000" s="8" t="s">
        <v>117</v>
      </c>
      <c r="E2000" s="8" t="s">
        <v>55</v>
      </c>
      <c r="F2000" s="8" t="s">
        <v>55</v>
      </c>
      <c r="G2000" s="8" t="s">
        <v>133</v>
      </c>
      <c r="H2000" s="8" t="s">
        <v>8675</v>
      </c>
      <c r="I2000" s="8" t="s">
        <v>10033</v>
      </c>
      <c r="J2000" s="8"/>
      <c r="K2000" s="8" t="s">
        <v>8690</v>
      </c>
      <c r="L2000" s="8" t="s">
        <v>8831</v>
      </c>
      <c r="M2000" s="8" t="s">
        <v>8696</v>
      </c>
      <c r="N2000" s="8" t="n">
        <v>45</v>
      </c>
      <c r="O2000" s="8" t="n">
        <v>463</v>
      </c>
      <c r="P2000" s="8" t="s">
        <v>120</v>
      </c>
    </row>
    <row r="2001" customFormat="false" ht="15" hidden="false" customHeight="false" outlineLevel="0" collapsed="false">
      <c r="A2001" s="8" t="s">
        <v>308</v>
      </c>
      <c r="B2001" s="8" t="s">
        <v>309</v>
      </c>
      <c r="C2001" s="8" t="s">
        <v>8669</v>
      </c>
      <c r="D2001" s="8" t="s">
        <v>123</v>
      </c>
      <c r="E2001" s="8" t="s">
        <v>55</v>
      </c>
      <c r="F2001" s="8" t="s">
        <v>55</v>
      </c>
      <c r="G2001" s="8" t="s">
        <v>190</v>
      </c>
      <c r="H2001" s="8" t="s">
        <v>8675</v>
      </c>
      <c r="I2001" s="8" t="s">
        <v>10222</v>
      </c>
      <c r="J2001" s="8" t="s">
        <v>185</v>
      </c>
      <c r="K2001" s="8" t="s">
        <v>8664</v>
      </c>
      <c r="L2001" s="8"/>
      <c r="M2001" s="8"/>
      <c r="N2001" s="8" t="n">
        <v>45</v>
      </c>
      <c r="O2001" s="8" t="n">
        <v>385</v>
      </c>
      <c r="P2001" s="8" t="s">
        <v>148</v>
      </c>
    </row>
    <row r="2002" customFormat="false" ht="15" hidden="false" customHeight="false" outlineLevel="0" collapsed="false">
      <c r="A2002" s="8" t="s">
        <v>879</v>
      </c>
      <c r="B2002" s="8" t="s">
        <v>880</v>
      </c>
      <c r="C2002" s="8" t="s">
        <v>8661</v>
      </c>
      <c r="D2002" s="8" t="s">
        <v>117</v>
      </c>
      <c r="E2002" s="8" t="s">
        <v>53</v>
      </c>
      <c r="F2002" s="8" t="s">
        <v>326</v>
      </c>
      <c r="G2002" s="8" t="s">
        <v>154</v>
      </c>
      <c r="H2002" s="8" t="s">
        <v>8662</v>
      </c>
      <c r="I2002" s="8" t="s">
        <v>9119</v>
      </c>
      <c r="J2002" s="8" t="s">
        <v>204</v>
      </c>
      <c r="K2002" s="8" t="s">
        <v>8664</v>
      </c>
      <c r="L2002" s="8"/>
      <c r="M2002" s="8"/>
      <c r="N2002" s="8" t="n">
        <v>25</v>
      </c>
      <c r="O2002" s="8" t="n">
        <v>168</v>
      </c>
      <c r="P2002" s="8" t="s">
        <v>120</v>
      </c>
    </row>
    <row r="2003" customFormat="false" ht="15" hidden="false" customHeight="false" outlineLevel="0" collapsed="false">
      <c r="A2003" s="8" t="s">
        <v>3188</v>
      </c>
      <c r="B2003" s="8" t="s">
        <v>3189</v>
      </c>
      <c r="C2003" s="8" t="s">
        <v>8680</v>
      </c>
      <c r="D2003" s="8" t="s">
        <v>123</v>
      </c>
      <c r="E2003" s="8" t="s">
        <v>51</v>
      </c>
      <c r="F2003" s="8" t="s">
        <v>2027</v>
      </c>
      <c r="G2003" s="8" t="s">
        <v>136</v>
      </c>
      <c r="H2003" s="8" t="s">
        <v>8675</v>
      </c>
      <c r="I2003" s="8" t="s">
        <v>9400</v>
      </c>
      <c r="J2003" s="8" t="s">
        <v>144</v>
      </c>
      <c r="K2003" s="8" t="s">
        <v>8664</v>
      </c>
      <c r="L2003" s="8"/>
      <c r="M2003" s="8"/>
      <c r="N2003" s="8" t="n">
        <v>12</v>
      </c>
      <c r="O2003" s="8" t="n">
        <v>20</v>
      </c>
      <c r="P2003" s="8" t="s">
        <v>120</v>
      </c>
    </row>
    <row r="2004" customFormat="false" ht="15" hidden="false" customHeight="false" outlineLevel="0" collapsed="false">
      <c r="A2004" s="8" t="s">
        <v>4194</v>
      </c>
      <c r="B2004" s="8" t="s">
        <v>4195</v>
      </c>
      <c r="C2004" s="8" t="s">
        <v>8669</v>
      </c>
      <c r="D2004" s="8" t="s">
        <v>132</v>
      </c>
      <c r="E2004" s="8" t="s">
        <v>51</v>
      </c>
      <c r="F2004" s="8" t="s">
        <v>2027</v>
      </c>
      <c r="G2004" s="8" t="s">
        <v>136</v>
      </c>
      <c r="H2004" s="8" t="s">
        <v>8675</v>
      </c>
      <c r="I2004" s="8" t="s">
        <v>8897</v>
      </c>
      <c r="J2004" s="8" t="s">
        <v>129</v>
      </c>
      <c r="K2004" s="8" t="s">
        <v>8664</v>
      </c>
      <c r="L2004" s="8"/>
      <c r="M2004" s="8"/>
      <c r="N2004" s="8" t="n">
        <v>12</v>
      </c>
      <c r="O2004" s="8" t="n">
        <v>9</v>
      </c>
      <c r="P2004" s="8" t="s">
        <v>120</v>
      </c>
    </row>
    <row r="2005" customFormat="false" ht="15" hidden="false" customHeight="false" outlineLevel="0" collapsed="false">
      <c r="A2005" s="8" t="s">
        <v>4134</v>
      </c>
      <c r="B2005" s="8" t="s">
        <v>4135</v>
      </c>
      <c r="C2005" s="8" t="s">
        <v>8700</v>
      </c>
      <c r="D2005" s="8" t="s">
        <v>128</v>
      </c>
      <c r="E2005" s="8" t="s">
        <v>51</v>
      </c>
      <c r="F2005" s="8" t="s">
        <v>2027</v>
      </c>
      <c r="G2005" s="8" t="s">
        <v>154</v>
      </c>
      <c r="H2005" s="8" t="s">
        <v>8675</v>
      </c>
      <c r="I2005" s="8" t="s">
        <v>9356</v>
      </c>
      <c r="J2005" s="8" t="s">
        <v>147</v>
      </c>
      <c r="K2005" s="8" t="s">
        <v>8664</v>
      </c>
      <c r="L2005" s="8"/>
      <c r="M2005" s="8"/>
      <c r="N2005" s="8" t="n">
        <v>12</v>
      </c>
      <c r="O2005" s="8" t="n">
        <v>8</v>
      </c>
      <c r="P2005" s="8" t="s">
        <v>120</v>
      </c>
    </row>
    <row r="2006" customFormat="false" ht="15" hidden="false" customHeight="false" outlineLevel="0" collapsed="false">
      <c r="A2006" s="8" t="s">
        <v>4136</v>
      </c>
      <c r="B2006" s="8" t="s">
        <v>4137</v>
      </c>
      <c r="C2006" s="8" t="s">
        <v>8665</v>
      </c>
      <c r="D2006" s="8" t="s">
        <v>117</v>
      </c>
      <c r="E2006" s="8" t="s">
        <v>51</v>
      </c>
      <c r="F2006" s="8" t="s">
        <v>2027</v>
      </c>
      <c r="G2006" s="8" t="s">
        <v>223</v>
      </c>
      <c r="H2006" s="8" t="s">
        <v>8666</v>
      </c>
      <c r="I2006" s="8" t="s">
        <v>9476</v>
      </c>
      <c r="J2006" s="8" t="s">
        <v>119</v>
      </c>
      <c r="K2006" s="8" t="s">
        <v>8664</v>
      </c>
      <c r="L2006" s="8"/>
      <c r="M2006" s="8"/>
      <c r="N2006" s="8" t="n">
        <v>12</v>
      </c>
      <c r="O2006" s="8" t="n">
        <v>10</v>
      </c>
      <c r="P2006" s="8" t="s">
        <v>120</v>
      </c>
    </row>
    <row r="2007" customFormat="false" ht="15" hidden="false" customHeight="false" outlineLevel="0" collapsed="false">
      <c r="A2007" s="8" t="s">
        <v>2768</v>
      </c>
      <c r="B2007" s="8" t="s">
        <v>2769</v>
      </c>
      <c r="C2007" s="8" t="s">
        <v>8680</v>
      </c>
      <c r="D2007" s="8" t="s">
        <v>132</v>
      </c>
      <c r="E2007" s="8" t="s">
        <v>51</v>
      </c>
      <c r="F2007" s="8" t="s">
        <v>2027</v>
      </c>
      <c r="G2007" s="8" t="s">
        <v>118</v>
      </c>
      <c r="H2007" s="8" t="s">
        <v>8666</v>
      </c>
      <c r="I2007" s="8" t="s">
        <v>10149</v>
      </c>
      <c r="J2007" s="8" t="s">
        <v>144</v>
      </c>
      <c r="K2007" s="8" t="s">
        <v>8664</v>
      </c>
      <c r="L2007" s="8"/>
      <c r="M2007" s="8"/>
      <c r="N2007" s="8" t="n">
        <v>12</v>
      </c>
      <c r="O2007" s="8" t="n">
        <v>34</v>
      </c>
      <c r="P2007" s="8" t="s">
        <v>120</v>
      </c>
    </row>
    <row r="2008" customFormat="false" ht="15" hidden="false" customHeight="false" outlineLevel="0" collapsed="false">
      <c r="A2008" s="8" t="s">
        <v>2770</v>
      </c>
      <c r="B2008" s="8" t="s">
        <v>2771</v>
      </c>
      <c r="C2008" s="8" t="s">
        <v>8680</v>
      </c>
      <c r="D2008" s="8" t="s">
        <v>132</v>
      </c>
      <c r="E2008" s="8" t="s">
        <v>51</v>
      </c>
      <c r="F2008" s="8" t="s">
        <v>2027</v>
      </c>
      <c r="G2008" s="8" t="s">
        <v>190</v>
      </c>
      <c r="H2008" s="8" t="s">
        <v>8670</v>
      </c>
      <c r="I2008" s="8" t="s">
        <v>9251</v>
      </c>
      <c r="J2008" s="8" t="s">
        <v>119</v>
      </c>
      <c r="K2008" s="8" t="s">
        <v>8664</v>
      </c>
      <c r="L2008" s="8"/>
      <c r="M2008" s="8"/>
      <c r="N2008" s="8" t="n">
        <v>12</v>
      </c>
      <c r="O2008" s="8" t="n">
        <v>34</v>
      </c>
      <c r="P2008" s="8" t="s">
        <v>120</v>
      </c>
    </row>
    <row r="2009" customFormat="false" ht="15" hidden="false" customHeight="false" outlineLevel="0" collapsed="false">
      <c r="A2009" s="8" t="s">
        <v>4368</v>
      </c>
      <c r="B2009" s="8" t="s">
        <v>4369</v>
      </c>
      <c r="C2009" s="8" t="s">
        <v>8669</v>
      </c>
      <c r="D2009" s="8" t="s">
        <v>132</v>
      </c>
      <c r="E2009" s="8" t="s">
        <v>51</v>
      </c>
      <c r="F2009" s="8" t="s">
        <v>2027</v>
      </c>
      <c r="G2009" s="8" t="s">
        <v>133</v>
      </c>
      <c r="H2009" s="8" t="s">
        <v>8666</v>
      </c>
      <c r="I2009" s="8" t="s">
        <v>9134</v>
      </c>
      <c r="J2009" s="8" t="s">
        <v>144</v>
      </c>
      <c r="K2009" s="8" t="s">
        <v>8664</v>
      </c>
      <c r="L2009" s="8"/>
      <c r="M2009" s="8"/>
      <c r="N2009" s="8" t="n">
        <v>12</v>
      </c>
      <c r="O2009" s="8" t="n">
        <v>5</v>
      </c>
      <c r="P2009" s="8" t="s">
        <v>120</v>
      </c>
    </row>
    <row r="2010" customFormat="false" ht="15" hidden="false" customHeight="false" outlineLevel="0" collapsed="false">
      <c r="A2010" s="8" t="s">
        <v>10223</v>
      </c>
      <c r="B2010" s="8" t="s">
        <v>10224</v>
      </c>
      <c r="C2010" s="8" t="s">
        <v>8678</v>
      </c>
      <c r="D2010" s="8" t="s">
        <v>123</v>
      </c>
      <c r="E2010" s="8" t="s">
        <v>53</v>
      </c>
      <c r="F2010" s="8" t="s">
        <v>326</v>
      </c>
      <c r="G2010" s="8" t="s">
        <v>166</v>
      </c>
      <c r="H2010" s="8" t="s">
        <v>8662</v>
      </c>
      <c r="I2010" s="8" t="s">
        <v>9598</v>
      </c>
      <c r="J2010" s="8"/>
      <c r="K2010" s="8" t="s">
        <v>8690</v>
      </c>
      <c r="L2010" s="8" t="s">
        <v>8707</v>
      </c>
      <c r="M2010" s="8" t="s">
        <v>8795</v>
      </c>
      <c r="N2010" s="8" t="n">
        <v>25</v>
      </c>
      <c r="O2010" s="8" t="n">
        <v>55</v>
      </c>
      <c r="P2010" s="8" t="s">
        <v>120</v>
      </c>
    </row>
    <row r="2011" customFormat="false" ht="15" hidden="false" customHeight="false" outlineLevel="0" collapsed="false">
      <c r="A2011" s="8" t="s">
        <v>1455</v>
      </c>
      <c r="B2011" s="8" t="s">
        <v>1456</v>
      </c>
      <c r="C2011" s="8" t="s">
        <v>8700</v>
      </c>
      <c r="D2011" s="8" t="s">
        <v>132</v>
      </c>
      <c r="E2011" s="8" t="s">
        <v>53</v>
      </c>
      <c r="F2011" s="8" t="s">
        <v>326</v>
      </c>
      <c r="G2011" s="8" t="s">
        <v>151</v>
      </c>
      <c r="H2011" s="8" t="s">
        <v>8666</v>
      </c>
      <c r="I2011" s="8" t="s">
        <v>9523</v>
      </c>
      <c r="J2011" s="8" t="s">
        <v>140</v>
      </c>
      <c r="K2011" s="8" t="s">
        <v>8664</v>
      </c>
      <c r="L2011" s="8"/>
      <c r="M2011" s="8"/>
      <c r="N2011" s="8" t="n">
        <v>25</v>
      </c>
      <c r="O2011" s="8" t="n">
        <v>79</v>
      </c>
      <c r="P2011" s="8" t="s">
        <v>120</v>
      </c>
    </row>
    <row r="2012" customFormat="false" ht="15" hidden="false" customHeight="false" outlineLevel="0" collapsed="false">
      <c r="A2012" s="8" t="s">
        <v>3190</v>
      </c>
      <c r="B2012" s="8" t="s">
        <v>3191</v>
      </c>
      <c r="C2012" s="8" t="s">
        <v>8700</v>
      </c>
      <c r="D2012" s="8" t="s">
        <v>123</v>
      </c>
      <c r="E2012" s="8" t="s">
        <v>51</v>
      </c>
      <c r="F2012" s="8" t="s">
        <v>2027</v>
      </c>
      <c r="G2012" s="8" t="s">
        <v>190</v>
      </c>
      <c r="H2012" s="8" t="s">
        <v>8662</v>
      </c>
      <c r="I2012" s="8" t="s">
        <v>9466</v>
      </c>
      <c r="J2012" s="8" t="s">
        <v>129</v>
      </c>
      <c r="K2012" s="8" t="s">
        <v>8664</v>
      </c>
      <c r="L2012" s="8"/>
      <c r="M2012" s="8"/>
      <c r="N2012" s="8" t="n">
        <v>12</v>
      </c>
      <c r="O2012" s="8" t="n">
        <v>27</v>
      </c>
      <c r="P2012" s="8" t="s">
        <v>148</v>
      </c>
    </row>
    <row r="2013" customFormat="false" ht="15" hidden="false" customHeight="false" outlineLevel="0" collapsed="false">
      <c r="A2013" s="8" t="s">
        <v>4483</v>
      </c>
      <c r="B2013" s="8" t="s">
        <v>10225</v>
      </c>
      <c r="C2013" s="8" t="s">
        <v>8688</v>
      </c>
      <c r="D2013" s="8" t="s">
        <v>123</v>
      </c>
      <c r="E2013" s="8" t="s">
        <v>51</v>
      </c>
      <c r="F2013" s="8" t="s">
        <v>326</v>
      </c>
      <c r="G2013" s="8" t="s">
        <v>166</v>
      </c>
      <c r="H2013" s="8" t="s">
        <v>8670</v>
      </c>
      <c r="I2013" s="8" t="s">
        <v>9354</v>
      </c>
      <c r="J2013" s="8"/>
      <c r="K2013" s="8" t="s">
        <v>8690</v>
      </c>
      <c r="L2013" s="8" t="s">
        <v>9229</v>
      </c>
      <c r="M2013" s="8" t="s">
        <v>8795</v>
      </c>
      <c r="N2013" s="8" t="n">
        <v>25</v>
      </c>
      <c r="O2013" s="8" t="n">
        <v>33</v>
      </c>
      <c r="P2013" s="8" t="s">
        <v>148</v>
      </c>
    </row>
    <row r="2014" customFormat="false" ht="15" hidden="false" customHeight="false" outlineLevel="0" collapsed="false">
      <c r="A2014" s="8" t="s">
        <v>791</v>
      </c>
      <c r="B2014" s="8" t="s">
        <v>792</v>
      </c>
      <c r="C2014" s="8" t="s">
        <v>8688</v>
      </c>
      <c r="D2014" s="8" t="s">
        <v>123</v>
      </c>
      <c r="E2014" s="8" t="s">
        <v>53</v>
      </c>
      <c r="F2014" s="8" t="s">
        <v>326</v>
      </c>
      <c r="G2014" s="8" t="s">
        <v>118</v>
      </c>
      <c r="H2014" s="8" t="s">
        <v>8666</v>
      </c>
      <c r="I2014" s="8" t="s">
        <v>8758</v>
      </c>
      <c r="J2014" s="8" t="s">
        <v>144</v>
      </c>
      <c r="K2014" s="8" t="s">
        <v>8664</v>
      </c>
      <c r="L2014" s="8"/>
      <c r="M2014" s="8"/>
      <c r="N2014" s="8" t="n">
        <v>25</v>
      </c>
      <c r="O2014" s="8" t="n">
        <v>198</v>
      </c>
      <c r="P2014" s="8" t="s">
        <v>120</v>
      </c>
    </row>
    <row r="2015" customFormat="false" ht="15" hidden="false" customHeight="false" outlineLevel="0" collapsed="false">
      <c r="A2015" s="8" t="s">
        <v>3820</v>
      </c>
      <c r="B2015" s="8" t="s">
        <v>3821</v>
      </c>
      <c r="C2015" s="8" t="s">
        <v>8674</v>
      </c>
      <c r="D2015" s="8" t="s">
        <v>123</v>
      </c>
      <c r="E2015" s="8" t="s">
        <v>51</v>
      </c>
      <c r="F2015" s="8" t="s">
        <v>2027</v>
      </c>
      <c r="G2015" s="8" t="s">
        <v>118</v>
      </c>
      <c r="H2015" s="8" t="s">
        <v>8666</v>
      </c>
      <c r="I2015" s="8" t="s">
        <v>8855</v>
      </c>
      <c r="J2015" s="8" t="s">
        <v>140</v>
      </c>
      <c r="K2015" s="8" t="s">
        <v>8664</v>
      </c>
      <c r="L2015" s="8"/>
      <c r="M2015" s="8"/>
      <c r="N2015" s="8" t="n">
        <v>12</v>
      </c>
      <c r="O2015" s="8" t="n">
        <v>10</v>
      </c>
      <c r="P2015" s="8" t="s">
        <v>120</v>
      </c>
    </row>
    <row r="2016" customFormat="false" ht="15" hidden="false" customHeight="false" outlineLevel="0" collapsed="false">
      <c r="A2016" s="8" t="s">
        <v>2434</v>
      </c>
      <c r="B2016" s="8" t="s">
        <v>2435</v>
      </c>
      <c r="C2016" s="8" t="s">
        <v>8688</v>
      </c>
      <c r="D2016" s="8" t="s">
        <v>117</v>
      </c>
      <c r="E2016" s="8" t="s">
        <v>51</v>
      </c>
      <c r="F2016" s="8" t="s">
        <v>326</v>
      </c>
      <c r="G2016" s="8" t="s">
        <v>133</v>
      </c>
      <c r="H2016" s="8" t="s">
        <v>8666</v>
      </c>
      <c r="I2016" s="8" t="s">
        <v>9183</v>
      </c>
      <c r="J2016" s="8" t="s">
        <v>137</v>
      </c>
      <c r="K2016" s="8" t="s">
        <v>8664</v>
      </c>
      <c r="L2016" s="8"/>
      <c r="M2016" s="8"/>
      <c r="N2016" s="8" t="n">
        <v>25</v>
      </c>
      <c r="O2016" s="8" t="n">
        <v>19</v>
      </c>
      <c r="P2016" s="8" t="s">
        <v>120</v>
      </c>
    </row>
    <row r="2017" customFormat="false" ht="15" hidden="false" customHeight="false" outlineLevel="0" collapsed="false">
      <c r="A2017" s="8" t="s">
        <v>327</v>
      </c>
      <c r="B2017" s="8" t="s">
        <v>328</v>
      </c>
      <c r="C2017" s="8" t="s">
        <v>8661</v>
      </c>
      <c r="D2017" s="8" t="s">
        <v>123</v>
      </c>
      <c r="E2017" s="8" t="s">
        <v>55</v>
      </c>
      <c r="F2017" s="8" t="s">
        <v>55</v>
      </c>
      <c r="G2017" s="8" t="s">
        <v>136</v>
      </c>
      <c r="H2017" s="8" t="s">
        <v>8670</v>
      </c>
      <c r="I2017" s="8" t="s">
        <v>8843</v>
      </c>
      <c r="J2017" s="8" t="s">
        <v>119</v>
      </c>
      <c r="K2017" s="8" t="s">
        <v>8664</v>
      </c>
      <c r="L2017" s="8"/>
      <c r="M2017" s="8"/>
      <c r="N2017" s="8" t="n">
        <v>45</v>
      </c>
      <c r="O2017" s="8" t="n">
        <v>370</v>
      </c>
      <c r="P2017" s="8" t="s">
        <v>120</v>
      </c>
    </row>
    <row r="2018" customFormat="false" ht="15" hidden="false" customHeight="false" outlineLevel="0" collapsed="false">
      <c r="A2018" s="8" t="s">
        <v>1907</v>
      </c>
      <c r="B2018" s="8" t="s">
        <v>1908</v>
      </c>
      <c r="C2018" s="8" t="s">
        <v>8688</v>
      </c>
      <c r="D2018" s="8" t="s">
        <v>132</v>
      </c>
      <c r="E2018" s="8" t="s">
        <v>51</v>
      </c>
      <c r="F2018" s="8" t="s">
        <v>326</v>
      </c>
      <c r="G2018" s="8" t="s">
        <v>143</v>
      </c>
      <c r="H2018" s="8" t="s">
        <v>8662</v>
      </c>
      <c r="I2018" s="8" t="s">
        <v>9846</v>
      </c>
      <c r="J2018" s="8" t="s">
        <v>137</v>
      </c>
      <c r="K2018" s="8" t="s">
        <v>8664</v>
      </c>
      <c r="L2018" s="8"/>
      <c r="M2018" s="8"/>
      <c r="N2018" s="8" t="n">
        <v>25</v>
      </c>
      <c r="O2018" s="8" t="n">
        <v>36</v>
      </c>
      <c r="P2018" s="8" t="s">
        <v>120</v>
      </c>
    </row>
    <row r="2019" customFormat="false" ht="15" hidden="false" customHeight="false" outlineLevel="0" collapsed="false">
      <c r="A2019" s="8" t="s">
        <v>3766</v>
      </c>
      <c r="B2019" s="8" t="s">
        <v>3767</v>
      </c>
      <c r="C2019" s="8" t="s">
        <v>8665</v>
      </c>
      <c r="D2019" s="8" t="s">
        <v>123</v>
      </c>
      <c r="E2019" s="8" t="s">
        <v>51</v>
      </c>
      <c r="F2019" s="8" t="s">
        <v>2027</v>
      </c>
      <c r="G2019" s="8" t="s">
        <v>223</v>
      </c>
      <c r="H2019" s="8" t="s">
        <v>8666</v>
      </c>
      <c r="I2019" s="8" t="s">
        <v>8819</v>
      </c>
      <c r="J2019" s="8" t="s">
        <v>140</v>
      </c>
      <c r="K2019" s="8" t="s">
        <v>8664</v>
      </c>
      <c r="L2019" s="8"/>
      <c r="M2019" s="8"/>
      <c r="N2019" s="8" t="n">
        <v>12</v>
      </c>
      <c r="O2019" s="8" t="n">
        <v>16</v>
      </c>
      <c r="P2019" s="8" t="s">
        <v>120</v>
      </c>
    </row>
    <row r="2020" customFormat="false" ht="15" hidden="false" customHeight="false" outlineLevel="0" collapsed="false">
      <c r="A2020" s="8" t="s">
        <v>4328</v>
      </c>
      <c r="B2020" s="8" t="s">
        <v>4329</v>
      </c>
      <c r="C2020" s="8" t="s">
        <v>8678</v>
      </c>
      <c r="D2020" s="8" t="s">
        <v>117</v>
      </c>
      <c r="E2020" s="8" t="s">
        <v>51</v>
      </c>
      <c r="F2020" s="8" t="s">
        <v>2027</v>
      </c>
      <c r="G2020" s="8" t="s">
        <v>190</v>
      </c>
      <c r="H2020" s="8" t="s">
        <v>8666</v>
      </c>
      <c r="I2020" s="8" t="s">
        <v>9576</v>
      </c>
      <c r="J2020" s="8" t="s">
        <v>144</v>
      </c>
      <c r="K2020" s="8" t="s">
        <v>8664</v>
      </c>
      <c r="L2020" s="8"/>
      <c r="M2020" s="8"/>
      <c r="N2020" s="8" t="n">
        <v>12</v>
      </c>
      <c r="O2020" s="8" t="n">
        <v>6</v>
      </c>
      <c r="P2020" s="8" t="s">
        <v>120</v>
      </c>
    </row>
    <row r="2021" customFormat="false" ht="15" hidden="false" customHeight="false" outlineLevel="0" collapsed="false">
      <c r="A2021" s="8" t="s">
        <v>4252</v>
      </c>
      <c r="B2021" s="8" t="s">
        <v>4253</v>
      </c>
      <c r="C2021" s="8" t="s">
        <v>8665</v>
      </c>
      <c r="D2021" s="8" t="s">
        <v>132</v>
      </c>
      <c r="E2021" s="8" t="s">
        <v>51</v>
      </c>
      <c r="F2021" s="8" t="s">
        <v>2027</v>
      </c>
      <c r="G2021" s="8" t="s">
        <v>133</v>
      </c>
      <c r="H2021" s="8" t="s">
        <v>8675</v>
      </c>
      <c r="I2021" s="8" t="s">
        <v>9150</v>
      </c>
      <c r="J2021" s="8" t="s">
        <v>140</v>
      </c>
      <c r="K2021" s="8" t="s">
        <v>8664</v>
      </c>
      <c r="L2021" s="8"/>
      <c r="M2021" s="8"/>
      <c r="N2021" s="8" t="n">
        <v>12</v>
      </c>
      <c r="O2021" s="8" t="n">
        <v>6</v>
      </c>
      <c r="P2021" s="8" t="s">
        <v>120</v>
      </c>
    </row>
    <row r="2022" customFormat="false" ht="15" hidden="false" customHeight="false" outlineLevel="0" collapsed="false">
      <c r="A2022" s="8" t="s">
        <v>2222</v>
      </c>
      <c r="B2022" s="8" t="s">
        <v>2223</v>
      </c>
      <c r="C2022" s="8" t="s">
        <v>8674</v>
      </c>
      <c r="D2022" s="8" t="s">
        <v>117</v>
      </c>
      <c r="E2022" s="8" t="s">
        <v>51</v>
      </c>
      <c r="F2022" s="8" t="s">
        <v>326</v>
      </c>
      <c r="G2022" s="8" t="s">
        <v>223</v>
      </c>
      <c r="H2022" s="8" t="s">
        <v>8666</v>
      </c>
      <c r="I2022" s="8" t="s">
        <v>9495</v>
      </c>
      <c r="J2022" s="8" t="s">
        <v>204</v>
      </c>
      <c r="K2022" s="8" t="s">
        <v>8664</v>
      </c>
      <c r="L2022" s="8"/>
      <c r="M2022" s="8"/>
      <c r="N2022" s="8" t="n">
        <v>25</v>
      </c>
      <c r="O2022" s="8" t="n">
        <v>24</v>
      </c>
      <c r="P2022" s="8" t="s">
        <v>120</v>
      </c>
    </row>
    <row r="2023" customFormat="false" ht="15" hidden="false" customHeight="false" outlineLevel="0" collapsed="false">
      <c r="A2023" s="8" t="s">
        <v>605</v>
      </c>
      <c r="B2023" s="8" t="s">
        <v>606</v>
      </c>
      <c r="C2023" s="8" t="s">
        <v>8688</v>
      </c>
      <c r="D2023" s="8" t="s">
        <v>132</v>
      </c>
      <c r="E2023" s="8" t="s">
        <v>55</v>
      </c>
      <c r="F2023" s="8" t="s">
        <v>55</v>
      </c>
      <c r="G2023" s="8" t="s">
        <v>166</v>
      </c>
      <c r="H2023" s="8" t="s">
        <v>8662</v>
      </c>
      <c r="I2023" s="8" t="s">
        <v>9597</v>
      </c>
      <c r="J2023" s="8" t="s">
        <v>144</v>
      </c>
      <c r="K2023" s="8" t="s">
        <v>8664</v>
      </c>
      <c r="L2023" s="8"/>
      <c r="M2023" s="8"/>
      <c r="N2023" s="8" t="n">
        <v>45</v>
      </c>
      <c r="O2023" s="8" t="n">
        <v>169</v>
      </c>
      <c r="P2023" s="8" t="s">
        <v>120</v>
      </c>
    </row>
    <row r="2024" customFormat="false" ht="15" hidden="false" customHeight="false" outlineLevel="0" collapsed="false">
      <c r="A2024" s="8" t="s">
        <v>505</v>
      </c>
      <c r="B2024" s="8" t="s">
        <v>506</v>
      </c>
      <c r="C2024" s="8" t="s">
        <v>8678</v>
      </c>
      <c r="D2024" s="8" t="s">
        <v>123</v>
      </c>
      <c r="E2024" s="8" t="s">
        <v>55</v>
      </c>
      <c r="F2024" s="8" t="s">
        <v>55</v>
      </c>
      <c r="G2024" s="8" t="s">
        <v>118</v>
      </c>
      <c r="H2024" s="8" t="s">
        <v>8675</v>
      </c>
      <c r="I2024" s="8" t="s">
        <v>10226</v>
      </c>
      <c r="J2024" s="8" t="s">
        <v>129</v>
      </c>
      <c r="K2024" s="8" t="s">
        <v>8664</v>
      </c>
      <c r="L2024" s="8"/>
      <c r="M2024" s="8"/>
      <c r="N2024" s="8" t="n">
        <v>45</v>
      </c>
      <c r="O2024" s="8" t="n">
        <v>225</v>
      </c>
      <c r="P2024" s="8" t="s">
        <v>120</v>
      </c>
    </row>
    <row r="2025" customFormat="false" ht="15" hidden="false" customHeight="false" outlineLevel="0" collapsed="false">
      <c r="A2025" s="8" t="s">
        <v>1963</v>
      </c>
      <c r="B2025" s="8" t="s">
        <v>1964</v>
      </c>
      <c r="C2025" s="8" t="s">
        <v>8700</v>
      </c>
      <c r="D2025" s="8" t="s">
        <v>123</v>
      </c>
      <c r="E2025" s="8" t="s">
        <v>51</v>
      </c>
      <c r="F2025" s="8" t="s">
        <v>326</v>
      </c>
      <c r="G2025" s="8" t="s">
        <v>223</v>
      </c>
      <c r="H2025" s="8" t="s">
        <v>8670</v>
      </c>
      <c r="I2025" s="8" t="s">
        <v>10182</v>
      </c>
      <c r="J2025" s="8" t="s">
        <v>180</v>
      </c>
      <c r="K2025" s="8" t="s">
        <v>8664</v>
      </c>
      <c r="L2025" s="8"/>
      <c r="M2025" s="8"/>
      <c r="N2025" s="8" t="n">
        <v>25</v>
      </c>
      <c r="O2025" s="8" t="n">
        <v>34</v>
      </c>
      <c r="P2025" s="8" t="s">
        <v>120</v>
      </c>
    </row>
    <row r="2026" customFormat="false" ht="15" hidden="false" customHeight="false" outlineLevel="0" collapsed="false">
      <c r="A2026" s="8" t="s">
        <v>236</v>
      </c>
      <c r="B2026" s="8" t="s">
        <v>237</v>
      </c>
      <c r="C2026" s="8" t="s">
        <v>8680</v>
      </c>
      <c r="D2026" s="8" t="s">
        <v>117</v>
      </c>
      <c r="E2026" s="8" t="s">
        <v>55</v>
      </c>
      <c r="F2026" s="8" t="s">
        <v>55</v>
      </c>
      <c r="G2026" s="8" t="s">
        <v>118</v>
      </c>
      <c r="H2026" s="8" t="s">
        <v>8670</v>
      </c>
      <c r="I2026" s="8" t="s">
        <v>9167</v>
      </c>
      <c r="J2026" s="8" t="s">
        <v>180</v>
      </c>
      <c r="K2026" s="8" t="s">
        <v>8664</v>
      </c>
      <c r="L2026" s="8"/>
      <c r="M2026" s="8"/>
      <c r="N2026" s="8" t="n">
        <v>45</v>
      </c>
      <c r="O2026" s="8" t="n">
        <v>512</v>
      </c>
      <c r="P2026" s="8" t="s">
        <v>199</v>
      </c>
    </row>
    <row r="2027" customFormat="false" ht="15" hidden="false" customHeight="false" outlineLevel="0" collapsed="false">
      <c r="A2027" s="8" t="s">
        <v>4064</v>
      </c>
      <c r="B2027" s="8" t="s">
        <v>4065</v>
      </c>
      <c r="C2027" s="8" t="s">
        <v>8674</v>
      </c>
      <c r="D2027" s="8" t="s">
        <v>132</v>
      </c>
      <c r="E2027" s="8" t="s">
        <v>51</v>
      </c>
      <c r="F2027" s="8" t="s">
        <v>2027</v>
      </c>
      <c r="G2027" s="8" t="s">
        <v>166</v>
      </c>
      <c r="H2027" s="8" t="s">
        <v>8675</v>
      </c>
      <c r="I2027" s="8" t="s">
        <v>9956</v>
      </c>
      <c r="J2027" s="8" t="s">
        <v>180</v>
      </c>
      <c r="K2027" s="8" t="s">
        <v>8664</v>
      </c>
      <c r="L2027" s="8"/>
      <c r="M2027" s="8"/>
      <c r="N2027" s="8" t="n">
        <v>12</v>
      </c>
      <c r="O2027" s="8" t="n">
        <v>11</v>
      </c>
      <c r="P2027" s="8" t="s">
        <v>120</v>
      </c>
    </row>
    <row r="2028" customFormat="false" ht="15" hidden="false" customHeight="false" outlineLevel="0" collapsed="false">
      <c r="A2028" s="8" t="s">
        <v>2470</v>
      </c>
      <c r="B2028" s="8" t="s">
        <v>2471</v>
      </c>
      <c r="C2028" s="8" t="s">
        <v>8678</v>
      </c>
      <c r="D2028" s="8" t="s">
        <v>117</v>
      </c>
      <c r="E2028" s="8" t="s">
        <v>51</v>
      </c>
      <c r="F2028" s="8" t="s">
        <v>2027</v>
      </c>
      <c r="G2028" s="8" t="s">
        <v>166</v>
      </c>
      <c r="H2028" s="8" t="s">
        <v>8670</v>
      </c>
      <c r="I2028" s="8" t="s">
        <v>9786</v>
      </c>
      <c r="J2028" s="8" t="s">
        <v>177</v>
      </c>
      <c r="K2028" s="8" t="s">
        <v>8664</v>
      </c>
      <c r="L2028" s="8"/>
      <c r="M2028" s="8"/>
      <c r="N2028" s="8" t="n">
        <v>12</v>
      </c>
      <c r="O2028" s="8" t="n">
        <v>39</v>
      </c>
      <c r="P2028" s="8" t="s">
        <v>120</v>
      </c>
    </row>
    <row r="2029" customFormat="false" ht="15" hidden="false" customHeight="false" outlineLevel="0" collapsed="false">
      <c r="A2029" s="8" t="s">
        <v>2182</v>
      </c>
      <c r="B2029" s="8" t="s">
        <v>2183</v>
      </c>
      <c r="C2029" s="8" t="s">
        <v>8680</v>
      </c>
      <c r="D2029" s="8" t="s">
        <v>123</v>
      </c>
      <c r="E2029" s="8" t="s">
        <v>51</v>
      </c>
      <c r="F2029" s="8" t="s">
        <v>326</v>
      </c>
      <c r="G2029" s="8" t="s">
        <v>223</v>
      </c>
      <c r="H2029" s="8" t="s">
        <v>8670</v>
      </c>
      <c r="I2029" s="8" t="s">
        <v>8851</v>
      </c>
      <c r="J2029" s="8" t="s">
        <v>177</v>
      </c>
      <c r="K2029" s="8" t="s">
        <v>8664</v>
      </c>
      <c r="L2029" s="8"/>
      <c r="M2029" s="8"/>
      <c r="N2029" s="8" t="n">
        <v>25</v>
      </c>
      <c r="O2029" s="8" t="n">
        <v>25</v>
      </c>
      <c r="P2029" s="8" t="s">
        <v>120</v>
      </c>
    </row>
    <row r="2030" customFormat="false" ht="15" hidden="false" customHeight="false" outlineLevel="0" collapsed="false">
      <c r="A2030" s="8" t="s">
        <v>4066</v>
      </c>
      <c r="B2030" s="8" t="s">
        <v>4067</v>
      </c>
      <c r="C2030" s="8" t="s">
        <v>8680</v>
      </c>
      <c r="D2030" s="8" t="s">
        <v>123</v>
      </c>
      <c r="E2030" s="8" t="s">
        <v>51</v>
      </c>
      <c r="F2030" s="8" t="s">
        <v>2027</v>
      </c>
      <c r="G2030" s="8" t="s">
        <v>151</v>
      </c>
      <c r="H2030" s="8" t="s">
        <v>8675</v>
      </c>
      <c r="I2030" s="8" t="s">
        <v>9172</v>
      </c>
      <c r="J2030" s="8" t="s">
        <v>129</v>
      </c>
      <c r="K2030" s="8" t="s">
        <v>8664</v>
      </c>
      <c r="L2030" s="8"/>
      <c r="M2030" s="8"/>
      <c r="N2030" s="8" t="n">
        <v>12</v>
      </c>
      <c r="O2030" s="8" t="n">
        <v>11</v>
      </c>
      <c r="P2030" s="8" t="s">
        <v>120</v>
      </c>
    </row>
    <row r="2031" customFormat="false" ht="15" hidden="false" customHeight="false" outlineLevel="0" collapsed="false">
      <c r="A2031" s="8" t="s">
        <v>2714</v>
      </c>
      <c r="B2031" s="8" t="s">
        <v>2715</v>
      </c>
      <c r="C2031" s="8" t="s">
        <v>8700</v>
      </c>
      <c r="D2031" s="8" t="s">
        <v>123</v>
      </c>
      <c r="E2031" s="8" t="s">
        <v>51</v>
      </c>
      <c r="F2031" s="8" t="s">
        <v>2027</v>
      </c>
      <c r="G2031" s="8" t="s">
        <v>143</v>
      </c>
      <c r="H2031" s="8" t="s">
        <v>8675</v>
      </c>
      <c r="I2031" s="8" t="s">
        <v>9331</v>
      </c>
      <c r="J2031" s="8" t="s">
        <v>129</v>
      </c>
      <c r="K2031" s="8" t="s">
        <v>8664</v>
      </c>
      <c r="L2031" s="8"/>
      <c r="M2031" s="8"/>
      <c r="N2031" s="8" t="n">
        <v>12</v>
      </c>
      <c r="O2031" s="8" t="n">
        <v>30</v>
      </c>
      <c r="P2031" s="8" t="s">
        <v>120</v>
      </c>
    </row>
    <row r="2032" customFormat="false" ht="15" hidden="false" customHeight="false" outlineLevel="0" collapsed="false">
      <c r="A2032" s="8" t="s">
        <v>10227</v>
      </c>
      <c r="B2032" s="8" t="s">
        <v>10228</v>
      </c>
      <c r="C2032" s="8" t="s">
        <v>8669</v>
      </c>
      <c r="D2032" s="8" t="s">
        <v>117</v>
      </c>
      <c r="E2032" s="8" t="s">
        <v>51</v>
      </c>
      <c r="F2032" s="8" t="s">
        <v>326</v>
      </c>
      <c r="G2032" s="8" t="s">
        <v>118</v>
      </c>
      <c r="H2032" s="8" t="s">
        <v>8675</v>
      </c>
      <c r="I2032" s="8" t="s">
        <v>9886</v>
      </c>
      <c r="J2032" s="8"/>
      <c r="K2032" s="8" t="s">
        <v>8690</v>
      </c>
      <c r="L2032" s="8" t="s">
        <v>10229</v>
      </c>
      <c r="M2032" s="8" t="s">
        <v>8705</v>
      </c>
      <c r="N2032" s="8" t="n">
        <v>25</v>
      </c>
      <c r="O2032" s="8" t="n">
        <v>16</v>
      </c>
      <c r="P2032" s="8" t="s">
        <v>120</v>
      </c>
    </row>
    <row r="2033" customFormat="false" ht="15" hidden="false" customHeight="false" outlineLevel="0" collapsed="false">
      <c r="A2033" s="8" t="s">
        <v>4416</v>
      </c>
      <c r="B2033" s="8" t="s">
        <v>10230</v>
      </c>
      <c r="C2033" s="8" t="s">
        <v>8669</v>
      </c>
      <c r="D2033" s="8" t="s">
        <v>132</v>
      </c>
      <c r="E2033" s="8" t="s">
        <v>55</v>
      </c>
      <c r="F2033" s="8" t="s">
        <v>55</v>
      </c>
      <c r="G2033" s="8" t="s">
        <v>133</v>
      </c>
      <c r="H2033" s="8" t="s">
        <v>8670</v>
      </c>
      <c r="I2033" s="8" t="s">
        <v>10231</v>
      </c>
      <c r="J2033" s="8"/>
      <c r="K2033" s="8" t="s">
        <v>8690</v>
      </c>
      <c r="L2033" s="8" t="s">
        <v>8988</v>
      </c>
      <c r="M2033" s="8" t="s">
        <v>8692</v>
      </c>
      <c r="N2033" s="8" t="n">
        <v>45</v>
      </c>
      <c r="O2033" s="8" t="n">
        <v>243</v>
      </c>
      <c r="P2033" s="8" t="s">
        <v>148</v>
      </c>
    </row>
    <row r="2034" customFormat="false" ht="15" hidden="false" customHeight="false" outlineLevel="0" collapsed="false">
      <c r="A2034" s="8" t="s">
        <v>2804</v>
      </c>
      <c r="B2034" s="8" t="s">
        <v>2805</v>
      </c>
      <c r="C2034" s="8" t="s">
        <v>8700</v>
      </c>
      <c r="D2034" s="8" t="s">
        <v>123</v>
      </c>
      <c r="E2034" s="8" t="s">
        <v>51</v>
      </c>
      <c r="F2034" s="8" t="s">
        <v>326</v>
      </c>
      <c r="G2034" s="8" t="s">
        <v>151</v>
      </c>
      <c r="H2034" s="8" t="s">
        <v>8662</v>
      </c>
      <c r="I2034" s="8" t="s">
        <v>9994</v>
      </c>
      <c r="J2034" s="8" t="s">
        <v>180</v>
      </c>
      <c r="K2034" s="8" t="s">
        <v>8664</v>
      </c>
      <c r="L2034" s="8"/>
      <c r="M2034" s="8"/>
      <c r="N2034" s="8" t="n">
        <v>25</v>
      </c>
      <c r="O2034" s="8" t="n">
        <v>16</v>
      </c>
      <c r="P2034" s="8" t="s">
        <v>120</v>
      </c>
    </row>
    <row r="2035" customFormat="false" ht="15" hidden="false" customHeight="false" outlineLevel="0" collapsed="false">
      <c r="A2035" s="8" t="s">
        <v>1511</v>
      </c>
      <c r="B2035" s="8" t="s">
        <v>1512</v>
      </c>
      <c r="C2035" s="8" t="s">
        <v>8674</v>
      </c>
      <c r="D2035" s="8" t="s">
        <v>123</v>
      </c>
      <c r="E2035" s="8" t="s">
        <v>53</v>
      </c>
      <c r="F2035" s="8" t="s">
        <v>326</v>
      </c>
      <c r="G2035" s="8" t="s">
        <v>190</v>
      </c>
      <c r="H2035" s="8" t="s">
        <v>8662</v>
      </c>
      <c r="I2035" s="8" t="s">
        <v>9021</v>
      </c>
      <c r="J2035" s="8" t="s">
        <v>204</v>
      </c>
      <c r="K2035" s="8" t="s">
        <v>8664</v>
      </c>
      <c r="L2035" s="8"/>
      <c r="M2035" s="8"/>
      <c r="N2035" s="8" t="n">
        <v>25</v>
      </c>
      <c r="O2035" s="8" t="n">
        <v>90</v>
      </c>
      <c r="P2035" s="8" t="s">
        <v>120</v>
      </c>
    </row>
    <row r="2036" customFormat="false" ht="15" hidden="false" customHeight="false" outlineLevel="0" collapsed="false">
      <c r="A2036" s="8" t="s">
        <v>4330</v>
      </c>
      <c r="B2036" s="8" t="s">
        <v>4331</v>
      </c>
      <c r="C2036" s="8" t="s">
        <v>8669</v>
      </c>
      <c r="D2036" s="8" t="s">
        <v>117</v>
      </c>
      <c r="E2036" s="8" t="s">
        <v>51</v>
      </c>
      <c r="F2036" s="8" t="s">
        <v>2027</v>
      </c>
      <c r="G2036" s="8" t="s">
        <v>151</v>
      </c>
      <c r="H2036" s="8" t="s">
        <v>8670</v>
      </c>
      <c r="I2036" s="8" t="s">
        <v>9963</v>
      </c>
      <c r="J2036" s="8" t="s">
        <v>180</v>
      </c>
      <c r="K2036" s="8" t="s">
        <v>8664</v>
      </c>
      <c r="L2036" s="8"/>
      <c r="M2036" s="8"/>
      <c r="N2036" s="8" t="n">
        <v>12</v>
      </c>
      <c r="O2036" s="8" t="n">
        <v>6</v>
      </c>
      <c r="P2036" s="8" t="s">
        <v>120</v>
      </c>
    </row>
    <row r="2037" customFormat="false" ht="15" hidden="false" customHeight="false" outlineLevel="0" collapsed="false">
      <c r="A2037" s="8" t="s">
        <v>3518</v>
      </c>
      <c r="B2037" s="8" t="s">
        <v>3519</v>
      </c>
      <c r="C2037" s="8" t="s">
        <v>8680</v>
      </c>
      <c r="D2037" s="8" t="s">
        <v>132</v>
      </c>
      <c r="E2037" s="8" t="s">
        <v>51</v>
      </c>
      <c r="F2037" s="8" t="s">
        <v>2027</v>
      </c>
      <c r="G2037" s="8" t="s">
        <v>154</v>
      </c>
      <c r="H2037" s="8" t="s">
        <v>8670</v>
      </c>
      <c r="I2037" s="8" t="s">
        <v>8806</v>
      </c>
      <c r="J2037" s="8" t="s">
        <v>137</v>
      </c>
      <c r="K2037" s="8" t="s">
        <v>8664</v>
      </c>
      <c r="L2037" s="8"/>
      <c r="M2037" s="8"/>
      <c r="N2037" s="8" t="n">
        <v>12</v>
      </c>
      <c r="O2037" s="8" t="n">
        <v>18</v>
      </c>
      <c r="P2037" s="8" t="s">
        <v>120</v>
      </c>
    </row>
    <row r="2038" customFormat="false" ht="15" hidden="false" customHeight="false" outlineLevel="0" collapsed="false">
      <c r="A2038" s="8" t="s">
        <v>3768</v>
      </c>
      <c r="B2038" s="8" t="s">
        <v>3769</v>
      </c>
      <c r="C2038" s="8" t="s">
        <v>8678</v>
      </c>
      <c r="D2038" s="8" t="s">
        <v>123</v>
      </c>
      <c r="E2038" s="8" t="s">
        <v>51</v>
      </c>
      <c r="F2038" s="8" t="s">
        <v>2027</v>
      </c>
      <c r="G2038" s="8" t="s">
        <v>223</v>
      </c>
      <c r="H2038" s="8" t="s">
        <v>8670</v>
      </c>
      <c r="I2038" s="8" t="s">
        <v>8754</v>
      </c>
      <c r="J2038" s="8" t="s">
        <v>129</v>
      </c>
      <c r="K2038" s="8" t="s">
        <v>8664</v>
      </c>
      <c r="L2038" s="8"/>
      <c r="M2038" s="8"/>
      <c r="N2038" s="8" t="n">
        <v>12</v>
      </c>
      <c r="O2038" s="8" t="n">
        <v>16</v>
      </c>
      <c r="P2038" s="8" t="s">
        <v>120</v>
      </c>
    </row>
    <row r="2039" customFormat="false" ht="15" hidden="false" customHeight="false" outlineLevel="0" collapsed="false">
      <c r="A2039" s="8" t="s">
        <v>4597</v>
      </c>
      <c r="B2039" s="8" t="s">
        <v>10232</v>
      </c>
      <c r="C2039" s="8" t="s">
        <v>8665</v>
      </c>
      <c r="D2039" s="8" t="s">
        <v>123</v>
      </c>
      <c r="E2039" s="8" t="s">
        <v>51</v>
      </c>
      <c r="F2039" s="8" t="s">
        <v>2027</v>
      </c>
      <c r="G2039" s="8" t="s">
        <v>124</v>
      </c>
      <c r="H2039" s="8" t="s">
        <v>8675</v>
      </c>
      <c r="I2039" s="8" t="s">
        <v>10233</v>
      </c>
      <c r="J2039" s="8"/>
      <c r="K2039" s="8" t="s">
        <v>8690</v>
      </c>
      <c r="L2039" s="8" t="s">
        <v>9381</v>
      </c>
      <c r="M2039" s="8" t="s">
        <v>8696</v>
      </c>
      <c r="N2039" s="8" t="n">
        <v>12</v>
      </c>
      <c r="O2039" s="8" t="n">
        <v>5</v>
      </c>
      <c r="P2039" s="8" t="s">
        <v>120</v>
      </c>
    </row>
    <row r="2040" customFormat="false" ht="15" hidden="false" customHeight="false" outlineLevel="0" collapsed="false">
      <c r="A2040" s="8" t="s">
        <v>3376</v>
      </c>
      <c r="B2040" s="8" t="s">
        <v>3377</v>
      </c>
      <c r="C2040" s="8" t="s">
        <v>8674</v>
      </c>
      <c r="D2040" s="8" t="s">
        <v>117</v>
      </c>
      <c r="E2040" s="8" t="s">
        <v>51</v>
      </c>
      <c r="F2040" s="8" t="s">
        <v>2027</v>
      </c>
      <c r="G2040" s="8" t="s">
        <v>151</v>
      </c>
      <c r="H2040" s="8" t="s">
        <v>8666</v>
      </c>
      <c r="I2040" s="8" t="s">
        <v>10234</v>
      </c>
      <c r="J2040" s="8" t="s">
        <v>129</v>
      </c>
      <c r="K2040" s="8" t="s">
        <v>8664</v>
      </c>
      <c r="L2040" s="8"/>
      <c r="M2040" s="8"/>
      <c r="N2040" s="8" t="n">
        <v>12</v>
      </c>
      <c r="O2040" s="8" t="n">
        <v>22</v>
      </c>
      <c r="P2040" s="8" t="s">
        <v>120</v>
      </c>
    </row>
    <row r="2041" customFormat="false" ht="15" hidden="false" customHeight="false" outlineLevel="0" collapsed="false">
      <c r="A2041" s="8" t="s">
        <v>3536</v>
      </c>
      <c r="B2041" s="8" t="s">
        <v>3537</v>
      </c>
      <c r="C2041" s="8" t="s">
        <v>8674</v>
      </c>
      <c r="D2041" s="8" t="s">
        <v>117</v>
      </c>
      <c r="E2041" s="8" t="s">
        <v>51</v>
      </c>
      <c r="F2041" s="8" t="s">
        <v>326</v>
      </c>
      <c r="G2041" s="8" t="s">
        <v>166</v>
      </c>
      <c r="H2041" s="8" t="s">
        <v>8662</v>
      </c>
      <c r="I2041" s="8" t="s">
        <v>8969</v>
      </c>
      <c r="J2041" s="8" t="s">
        <v>177</v>
      </c>
      <c r="K2041" s="8" t="s">
        <v>8664</v>
      </c>
      <c r="L2041" s="8"/>
      <c r="M2041" s="8"/>
      <c r="N2041" s="8" t="n">
        <v>25</v>
      </c>
      <c r="O2041" s="8" t="n">
        <v>10</v>
      </c>
      <c r="P2041" s="8" t="s">
        <v>120</v>
      </c>
    </row>
    <row r="2042" customFormat="false" ht="15" hidden="false" customHeight="false" outlineLevel="0" collapsed="false">
      <c r="A2042" s="8" t="s">
        <v>3616</v>
      </c>
      <c r="B2042" s="8" t="s">
        <v>3617</v>
      </c>
      <c r="C2042" s="8" t="s">
        <v>8669</v>
      </c>
      <c r="D2042" s="8" t="s">
        <v>117</v>
      </c>
      <c r="E2042" s="8" t="s">
        <v>51</v>
      </c>
      <c r="F2042" s="8" t="s">
        <v>2027</v>
      </c>
      <c r="G2042" s="8" t="s">
        <v>154</v>
      </c>
      <c r="H2042" s="8" t="s">
        <v>8666</v>
      </c>
      <c r="I2042" s="8" t="s">
        <v>9621</v>
      </c>
      <c r="J2042" s="8" t="s">
        <v>129</v>
      </c>
      <c r="K2042" s="8" t="s">
        <v>8664</v>
      </c>
      <c r="L2042" s="8"/>
      <c r="M2042" s="8"/>
      <c r="N2042" s="8" t="n">
        <v>12</v>
      </c>
      <c r="O2042" s="8" t="n">
        <v>19</v>
      </c>
      <c r="P2042" s="8" t="s">
        <v>120</v>
      </c>
    </row>
    <row r="2043" customFormat="false" ht="15" hidden="false" customHeight="false" outlineLevel="0" collapsed="false">
      <c r="A2043" s="8" t="s">
        <v>4524</v>
      </c>
      <c r="B2043" s="8" t="s">
        <v>10235</v>
      </c>
      <c r="C2043" s="8" t="s">
        <v>8680</v>
      </c>
      <c r="D2043" s="8" t="s">
        <v>132</v>
      </c>
      <c r="E2043" s="8" t="s">
        <v>51</v>
      </c>
      <c r="F2043" s="8" t="s">
        <v>2027</v>
      </c>
      <c r="G2043" s="8" t="s">
        <v>124</v>
      </c>
      <c r="H2043" s="8" t="s">
        <v>8675</v>
      </c>
      <c r="I2043" s="8" t="s">
        <v>10236</v>
      </c>
      <c r="J2043" s="8"/>
      <c r="K2043" s="8" t="s">
        <v>8690</v>
      </c>
      <c r="L2043" s="8" t="s">
        <v>8803</v>
      </c>
      <c r="M2043" s="8" t="s">
        <v>8696</v>
      </c>
      <c r="N2043" s="8" t="n">
        <v>12</v>
      </c>
      <c r="O2043" s="8" t="n">
        <v>31</v>
      </c>
      <c r="P2043" s="8" t="s">
        <v>148</v>
      </c>
    </row>
    <row r="2044" customFormat="false" ht="15" hidden="false" customHeight="false" outlineLevel="0" collapsed="false">
      <c r="A2044" s="8" t="s">
        <v>2954</v>
      </c>
      <c r="B2044" s="8" t="s">
        <v>2955</v>
      </c>
      <c r="C2044" s="8" t="s">
        <v>8665</v>
      </c>
      <c r="D2044" s="8" t="s">
        <v>123</v>
      </c>
      <c r="E2044" s="8" t="s">
        <v>51</v>
      </c>
      <c r="F2044" s="8" t="s">
        <v>2027</v>
      </c>
      <c r="G2044" s="8" t="s">
        <v>124</v>
      </c>
      <c r="H2044" s="8" t="s">
        <v>8666</v>
      </c>
      <c r="I2044" s="8" t="s">
        <v>10163</v>
      </c>
      <c r="J2044" s="8" t="s">
        <v>147</v>
      </c>
      <c r="K2044" s="8" t="s">
        <v>8664</v>
      </c>
      <c r="L2044" s="8"/>
      <c r="M2044" s="8"/>
      <c r="N2044" s="8" t="n">
        <v>12</v>
      </c>
      <c r="O2044" s="8" t="n">
        <v>31</v>
      </c>
      <c r="P2044" s="8" t="s">
        <v>120</v>
      </c>
    </row>
    <row r="2045" customFormat="false" ht="15" hidden="false" customHeight="false" outlineLevel="0" collapsed="false">
      <c r="A2045" s="8" t="s">
        <v>294</v>
      </c>
      <c r="B2045" s="8" t="s">
        <v>295</v>
      </c>
      <c r="C2045" s="8" t="s">
        <v>8674</v>
      </c>
      <c r="D2045" s="8" t="s">
        <v>123</v>
      </c>
      <c r="E2045" s="8" t="s">
        <v>55</v>
      </c>
      <c r="F2045" s="8" t="s">
        <v>55</v>
      </c>
      <c r="G2045" s="8" t="s">
        <v>166</v>
      </c>
      <c r="H2045" s="8" t="s">
        <v>8675</v>
      </c>
      <c r="I2045" s="8" t="s">
        <v>9716</v>
      </c>
      <c r="J2045" s="8" t="s">
        <v>119</v>
      </c>
      <c r="K2045" s="8" t="s">
        <v>8664</v>
      </c>
      <c r="L2045" s="8"/>
      <c r="M2045" s="8"/>
      <c r="N2045" s="8" t="n">
        <v>45</v>
      </c>
      <c r="O2045" s="8" t="n">
        <v>413</v>
      </c>
      <c r="P2045" s="8" t="s">
        <v>120</v>
      </c>
    </row>
    <row r="2046" customFormat="false" ht="15" hidden="false" customHeight="false" outlineLevel="0" collapsed="false">
      <c r="A2046" s="8" t="s">
        <v>2344</v>
      </c>
      <c r="B2046" s="8" t="s">
        <v>2345</v>
      </c>
      <c r="C2046" s="8" t="s">
        <v>8661</v>
      </c>
      <c r="D2046" s="8" t="s">
        <v>128</v>
      </c>
      <c r="E2046" s="8" t="s">
        <v>51</v>
      </c>
      <c r="F2046" s="8" t="s">
        <v>2027</v>
      </c>
      <c r="G2046" s="8" t="s">
        <v>118</v>
      </c>
      <c r="H2046" s="8" t="s">
        <v>8662</v>
      </c>
      <c r="I2046" s="8" t="s">
        <v>8984</v>
      </c>
      <c r="J2046" s="8" t="s">
        <v>140</v>
      </c>
      <c r="K2046" s="8" t="s">
        <v>8664</v>
      </c>
      <c r="L2046" s="8"/>
      <c r="M2046" s="8"/>
      <c r="N2046" s="8" t="n">
        <v>12</v>
      </c>
      <c r="O2046" s="8" t="n">
        <v>28</v>
      </c>
      <c r="P2046" s="8" t="s">
        <v>120</v>
      </c>
    </row>
    <row r="2047" customFormat="false" ht="15" hidden="false" customHeight="false" outlineLevel="0" collapsed="false">
      <c r="A2047" s="8" t="s">
        <v>2056</v>
      </c>
      <c r="B2047" s="8" t="s">
        <v>2057</v>
      </c>
      <c r="C2047" s="8" t="s">
        <v>8674</v>
      </c>
      <c r="D2047" s="8" t="s">
        <v>132</v>
      </c>
      <c r="E2047" s="8" t="s">
        <v>51</v>
      </c>
      <c r="F2047" s="8" t="s">
        <v>326</v>
      </c>
      <c r="G2047" s="8" t="s">
        <v>118</v>
      </c>
      <c r="H2047" s="8" t="s">
        <v>8666</v>
      </c>
      <c r="I2047" s="8" t="s">
        <v>9683</v>
      </c>
      <c r="J2047" s="8" t="s">
        <v>137</v>
      </c>
      <c r="K2047" s="8" t="s">
        <v>8664</v>
      </c>
      <c r="L2047" s="8"/>
      <c r="M2047" s="8"/>
      <c r="N2047" s="8" t="n">
        <v>25</v>
      </c>
      <c r="O2047" s="8" t="n">
        <v>30</v>
      </c>
      <c r="P2047" s="8" t="s">
        <v>120</v>
      </c>
    </row>
    <row r="2048" customFormat="false" ht="15" hidden="false" customHeight="false" outlineLevel="0" collapsed="false">
      <c r="A2048" s="8" t="s">
        <v>537</v>
      </c>
      <c r="B2048" s="8" t="s">
        <v>538</v>
      </c>
      <c r="C2048" s="8" t="s">
        <v>8665</v>
      </c>
      <c r="D2048" s="8" t="s">
        <v>117</v>
      </c>
      <c r="E2048" s="8" t="s">
        <v>55</v>
      </c>
      <c r="F2048" s="8" t="s">
        <v>326</v>
      </c>
      <c r="G2048" s="8" t="s">
        <v>190</v>
      </c>
      <c r="H2048" s="8" t="s">
        <v>8670</v>
      </c>
      <c r="I2048" s="8" t="s">
        <v>10019</v>
      </c>
      <c r="J2048" s="8" t="s">
        <v>144</v>
      </c>
      <c r="K2048" s="8" t="s">
        <v>8664</v>
      </c>
      <c r="L2048" s="8"/>
      <c r="M2048" s="8"/>
      <c r="N2048" s="8" t="n">
        <v>25</v>
      </c>
      <c r="O2048" s="8" t="n">
        <v>363</v>
      </c>
      <c r="P2048" s="8" t="s">
        <v>120</v>
      </c>
    </row>
    <row r="2049" customFormat="false" ht="15" hidden="false" customHeight="false" outlineLevel="0" collapsed="false">
      <c r="A2049" s="8" t="s">
        <v>373</v>
      </c>
      <c r="B2049" s="8" t="s">
        <v>374</v>
      </c>
      <c r="C2049" s="8" t="s">
        <v>8678</v>
      </c>
      <c r="D2049" s="8" t="s">
        <v>123</v>
      </c>
      <c r="E2049" s="8" t="s">
        <v>55</v>
      </c>
      <c r="F2049" s="8" t="s">
        <v>55</v>
      </c>
      <c r="G2049" s="8" t="s">
        <v>151</v>
      </c>
      <c r="H2049" s="8" t="s">
        <v>8670</v>
      </c>
      <c r="I2049" s="8" t="s">
        <v>9112</v>
      </c>
      <c r="J2049" s="8" t="s">
        <v>177</v>
      </c>
      <c r="K2049" s="8" t="s">
        <v>8664</v>
      </c>
      <c r="L2049" s="8"/>
      <c r="M2049" s="8"/>
      <c r="N2049" s="8" t="n">
        <v>45</v>
      </c>
      <c r="O2049" s="8" t="n">
        <v>316</v>
      </c>
      <c r="P2049" s="8" t="s">
        <v>120</v>
      </c>
    </row>
    <row r="2050" customFormat="false" ht="15" hidden="false" customHeight="false" outlineLevel="0" collapsed="false">
      <c r="A2050" s="8" t="s">
        <v>10237</v>
      </c>
      <c r="B2050" s="8" t="s">
        <v>10238</v>
      </c>
      <c r="C2050" s="8" t="s">
        <v>8674</v>
      </c>
      <c r="D2050" s="8" t="s">
        <v>132</v>
      </c>
      <c r="E2050" s="8" t="s">
        <v>51</v>
      </c>
      <c r="F2050" s="8" t="s">
        <v>326</v>
      </c>
      <c r="G2050" s="8" t="s">
        <v>154</v>
      </c>
      <c r="H2050" s="8" t="s">
        <v>8666</v>
      </c>
      <c r="I2050" s="8" t="s">
        <v>9663</v>
      </c>
      <c r="J2050" s="8"/>
      <c r="K2050" s="8" t="s">
        <v>8690</v>
      </c>
      <c r="L2050" s="8" t="s">
        <v>10108</v>
      </c>
      <c r="M2050" s="8" t="s">
        <v>8795</v>
      </c>
      <c r="N2050" s="8" t="n">
        <v>25</v>
      </c>
      <c r="O2050" s="8" t="n">
        <v>27</v>
      </c>
      <c r="P2050" s="8" t="s">
        <v>120</v>
      </c>
    </row>
    <row r="2051" customFormat="false" ht="15" hidden="false" customHeight="false" outlineLevel="0" collapsed="false">
      <c r="A2051" s="8" t="s">
        <v>2874</v>
      </c>
      <c r="B2051" s="8" t="s">
        <v>2875</v>
      </c>
      <c r="C2051" s="8" t="s">
        <v>8700</v>
      </c>
      <c r="D2051" s="8" t="s">
        <v>132</v>
      </c>
      <c r="E2051" s="8" t="s">
        <v>51</v>
      </c>
      <c r="F2051" s="8" t="s">
        <v>2027</v>
      </c>
      <c r="G2051" s="8" t="s">
        <v>166</v>
      </c>
      <c r="H2051" s="8" t="s">
        <v>8662</v>
      </c>
      <c r="I2051" s="8" t="s">
        <v>9308</v>
      </c>
      <c r="J2051" s="8" t="s">
        <v>147</v>
      </c>
      <c r="K2051" s="8" t="s">
        <v>8664</v>
      </c>
      <c r="L2051" s="8"/>
      <c r="M2051" s="8"/>
      <c r="N2051" s="8" t="n">
        <v>12</v>
      </c>
      <c r="O2051" s="8" t="n">
        <v>32</v>
      </c>
      <c r="P2051" s="8" t="s">
        <v>120</v>
      </c>
    </row>
    <row r="2052" customFormat="false" ht="15" hidden="false" customHeight="false" outlineLevel="0" collapsed="false">
      <c r="A2052" s="8" t="s">
        <v>3080</v>
      </c>
      <c r="B2052" s="8" t="s">
        <v>3081</v>
      </c>
      <c r="C2052" s="8" t="s">
        <v>8674</v>
      </c>
      <c r="D2052" s="8" t="s">
        <v>123</v>
      </c>
      <c r="E2052" s="8" t="s">
        <v>51</v>
      </c>
      <c r="F2052" s="8" t="s">
        <v>2027</v>
      </c>
      <c r="G2052" s="8" t="s">
        <v>143</v>
      </c>
      <c r="H2052" s="8" t="s">
        <v>8666</v>
      </c>
      <c r="I2052" s="8" t="s">
        <v>9943</v>
      </c>
      <c r="J2052" s="8" t="s">
        <v>140</v>
      </c>
      <c r="K2052" s="8" t="s">
        <v>8664</v>
      </c>
      <c r="L2052" s="8"/>
      <c r="M2052" s="8"/>
      <c r="N2052" s="8" t="n">
        <v>12</v>
      </c>
      <c r="O2052" s="8" t="n">
        <v>29</v>
      </c>
      <c r="P2052" s="8" t="s">
        <v>120</v>
      </c>
    </row>
    <row r="2053" customFormat="false" ht="15" hidden="false" customHeight="false" outlineLevel="0" collapsed="false">
      <c r="A2053" s="8" t="s">
        <v>252</v>
      </c>
      <c r="B2053" s="8" t="s">
        <v>253</v>
      </c>
      <c r="C2053" s="8" t="s">
        <v>8700</v>
      </c>
      <c r="D2053" s="8" t="s">
        <v>117</v>
      </c>
      <c r="E2053" s="8" t="s">
        <v>55</v>
      </c>
      <c r="F2053" s="8" t="s">
        <v>55</v>
      </c>
      <c r="G2053" s="8" t="s">
        <v>136</v>
      </c>
      <c r="H2053" s="8" t="s">
        <v>8662</v>
      </c>
      <c r="I2053" s="8" t="s">
        <v>8897</v>
      </c>
      <c r="J2053" s="8" t="s">
        <v>129</v>
      </c>
      <c r="K2053" s="8" t="s">
        <v>8664</v>
      </c>
      <c r="L2053" s="8"/>
      <c r="M2053" s="8"/>
      <c r="N2053" s="8" t="n">
        <v>45</v>
      </c>
      <c r="O2053" s="8" t="n">
        <v>433</v>
      </c>
      <c r="P2053" s="8" t="s">
        <v>148</v>
      </c>
    </row>
    <row r="2054" customFormat="false" ht="15" hidden="false" customHeight="false" outlineLevel="0" collapsed="false">
      <c r="A2054" s="8" t="s">
        <v>635</v>
      </c>
      <c r="B2054" s="8" t="s">
        <v>636</v>
      </c>
      <c r="C2054" s="8" t="s">
        <v>8665</v>
      </c>
      <c r="D2054" s="8" t="s">
        <v>132</v>
      </c>
      <c r="E2054" s="8" t="s">
        <v>53</v>
      </c>
      <c r="F2054" s="8" t="s">
        <v>55</v>
      </c>
      <c r="G2054" s="8" t="s">
        <v>143</v>
      </c>
      <c r="H2054" s="8" t="s">
        <v>8675</v>
      </c>
      <c r="I2054" s="8" t="s">
        <v>9646</v>
      </c>
      <c r="J2054" s="8" t="s">
        <v>147</v>
      </c>
      <c r="K2054" s="8" t="s">
        <v>8664</v>
      </c>
      <c r="L2054" s="8"/>
      <c r="M2054" s="8"/>
      <c r="N2054" s="8" t="n">
        <v>45</v>
      </c>
      <c r="O2054" s="8" t="n">
        <v>131</v>
      </c>
      <c r="P2054" s="8" t="s">
        <v>120</v>
      </c>
    </row>
    <row r="2055" customFormat="false" ht="15" hidden="false" customHeight="false" outlineLevel="0" collapsed="false">
      <c r="A2055" s="8" t="s">
        <v>2404</v>
      </c>
      <c r="B2055" s="8" t="s">
        <v>2405</v>
      </c>
      <c r="C2055" s="8" t="s">
        <v>8700</v>
      </c>
      <c r="D2055" s="8" t="s">
        <v>132</v>
      </c>
      <c r="E2055" s="8" t="s">
        <v>51</v>
      </c>
      <c r="F2055" s="8" t="s">
        <v>2027</v>
      </c>
      <c r="G2055" s="8" t="s">
        <v>133</v>
      </c>
      <c r="H2055" s="8" t="s">
        <v>8662</v>
      </c>
      <c r="I2055" s="8" t="s">
        <v>9174</v>
      </c>
      <c r="J2055" s="8" t="s">
        <v>125</v>
      </c>
      <c r="K2055" s="8" t="s">
        <v>8664</v>
      </c>
      <c r="L2055" s="8"/>
      <c r="M2055" s="8"/>
      <c r="N2055" s="8" t="n">
        <v>12</v>
      </c>
      <c r="O2055" s="8" t="n">
        <v>33</v>
      </c>
      <c r="P2055" s="8" t="s">
        <v>120</v>
      </c>
    </row>
    <row r="2056" customFormat="false" ht="15" hidden="false" customHeight="false" outlineLevel="0" collapsed="false">
      <c r="A2056" s="8" t="s">
        <v>10239</v>
      </c>
      <c r="B2056" s="8" t="s">
        <v>10240</v>
      </c>
      <c r="C2056" s="8" t="s">
        <v>8669</v>
      </c>
      <c r="D2056" s="8" t="s">
        <v>123</v>
      </c>
      <c r="E2056" s="8" t="s">
        <v>53</v>
      </c>
      <c r="F2056" s="8" t="s">
        <v>326</v>
      </c>
      <c r="G2056" s="8" t="s">
        <v>190</v>
      </c>
      <c r="H2056" s="8" t="s">
        <v>8675</v>
      </c>
      <c r="I2056" s="8" t="s">
        <v>9577</v>
      </c>
      <c r="J2056" s="8"/>
      <c r="K2056" s="8" t="s">
        <v>8690</v>
      </c>
      <c r="L2056" s="8" t="s">
        <v>9225</v>
      </c>
      <c r="M2056" s="8" t="s">
        <v>8692</v>
      </c>
      <c r="N2056" s="8" t="n">
        <v>25</v>
      </c>
      <c r="O2056" s="8" t="n">
        <v>136</v>
      </c>
      <c r="P2056" s="8" t="s">
        <v>120</v>
      </c>
    </row>
    <row r="2057" customFormat="false" ht="15" hidden="false" customHeight="false" outlineLevel="0" collapsed="false">
      <c r="A2057" s="8" t="s">
        <v>1383</v>
      </c>
      <c r="B2057" s="8" t="s">
        <v>1384</v>
      </c>
      <c r="C2057" s="8" t="s">
        <v>8665</v>
      </c>
      <c r="D2057" s="8" t="s">
        <v>132</v>
      </c>
      <c r="E2057" s="8" t="s">
        <v>53</v>
      </c>
      <c r="F2057" s="8" t="s">
        <v>326</v>
      </c>
      <c r="G2057" s="8" t="s">
        <v>118</v>
      </c>
      <c r="H2057" s="8" t="s">
        <v>8670</v>
      </c>
      <c r="I2057" s="8" t="s">
        <v>10241</v>
      </c>
      <c r="J2057" s="8" t="s">
        <v>140</v>
      </c>
      <c r="K2057" s="8" t="s">
        <v>8664</v>
      </c>
      <c r="L2057" s="8"/>
      <c r="M2057" s="8"/>
      <c r="N2057" s="8" t="n">
        <v>25</v>
      </c>
      <c r="O2057" s="8" t="n">
        <v>109</v>
      </c>
      <c r="P2057" s="8" t="s">
        <v>120</v>
      </c>
    </row>
    <row r="2058" customFormat="false" ht="15" hidden="false" customHeight="false" outlineLevel="0" collapsed="false">
      <c r="A2058" s="8" t="s">
        <v>3618</v>
      </c>
      <c r="B2058" s="8" t="s">
        <v>3619</v>
      </c>
      <c r="C2058" s="8" t="s">
        <v>8688</v>
      </c>
      <c r="D2058" s="8" t="s">
        <v>123</v>
      </c>
      <c r="E2058" s="8" t="s">
        <v>51</v>
      </c>
      <c r="F2058" s="8" t="s">
        <v>2027</v>
      </c>
      <c r="G2058" s="8" t="s">
        <v>136</v>
      </c>
      <c r="H2058" s="8" t="s">
        <v>8662</v>
      </c>
      <c r="I2058" s="8" t="s">
        <v>9813</v>
      </c>
      <c r="J2058" s="8" t="s">
        <v>185</v>
      </c>
      <c r="K2058" s="8" t="s">
        <v>8664</v>
      </c>
      <c r="L2058" s="8"/>
      <c r="M2058" s="8"/>
      <c r="N2058" s="8" t="n">
        <v>12</v>
      </c>
      <c r="O2058" s="8" t="n">
        <v>17</v>
      </c>
      <c r="P2058" s="8" t="s">
        <v>120</v>
      </c>
    </row>
    <row r="2059" customFormat="false" ht="15" hidden="false" customHeight="false" outlineLevel="0" collapsed="false">
      <c r="A2059" s="8" t="s">
        <v>887</v>
      </c>
      <c r="B2059" s="8" t="s">
        <v>888</v>
      </c>
      <c r="C2059" s="8" t="s">
        <v>8688</v>
      </c>
      <c r="D2059" s="8" t="s">
        <v>132</v>
      </c>
      <c r="E2059" s="8" t="s">
        <v>53</v>
      </c>
      <c r="F2059" s="8" t="s">
        <v>326</v>
      </c>
      <c r="G2059" s="8" t="s">
        <v>190</v>
      </c>
      <c r="H2059" s="8" t="s">
        <v>8662</v>
      </c>
      <c r="I2059" s="8" t="s">
        <v>9243</v>
      </c>
      <c r="J2059" s="8" t="s">
        <v>185</v>
      </c>
      <c r="K2059" s="8" t="s">
        <v>8664</v>
      </c>
      <c r="L2059" s="8"/>
      <c r="M2059" s="8"/>
      <c r="N2059" s="8" t="n">
        <v>25</v>
      </c>
      <c r="O2059" s="8" t="n">
        <v>183</v>
      </c>
      <c r="P2059" s="8" t="s">
        <v>120</v>
      </c>
    </row>
    <row r="2060" customFormat="false" ht="15" hidden="false" customHeight="false" outlineLevel="0" collapsed="false">
      <c r="A2060" s="8" t="s">
        <v>517</v>
      </c>
      <c r="B2060" s="8" t="s">
        <v>518</v>
      </c>
      <c r="C2060" s="8" t="s">
        <v>8688</v>
      </c>
      <c r="D2060" s="8" t="s">
        <v>123</v>
      </c>
      <c r="E2060" s="8" t="s">
        <v>55</v>
      </c>
      <c r="F2060" s="8" t="s">
        <v>326</v>
      </c>
      <c r="G2060" s="8" t="s">
        <v>118</v>
      </c>
      <c r="H2060" s="8" t="s">
        <v>8666</v>
      </c>
      <c r="I2060" s="8" t="s">
        <v>9786</v>
      </c>
      <c r="J2060" s="8" t="s">
        <v>177</v>
      </c>
      <c r="K2060" s="8" t="s">
        <v>8664</v>
      </c>
      <c r="L2060" s="8"/>
      <c r="M2060" s="8"/>
      <c r="N2060" s="8" t="n">
        <v>25</v>
      </c>
      <c r="O2060" s="8" t="n">
        <v>260</v>
      </c>
      <c r="P2060" s="8" t="s">
        <v>148</v>
      </c>
    </row>
    <row r="2061" customFormat="false" ht="15" hidden="false" customHeight="false" outlineLevel="0" collapsed="false">
      <c r="A2061" s="8" t="s">
        <v>2134</v>
      </c>
      <c r="B2061" s="8" t="s">
        <v>2135</v>
      </c>
      <c r="C2061" s="8" t="s">
        <v>8665</v>
      </c>
      <c r="D2061" s="8" t="s">
        <v>117</v>
      </c>
      <c r="E2061" s="8" t="s">
        <v>51</v>
      </c>
      <c r="F2061" s="8" t="s">
        <v>326</v>
      </c>
      <c r="G2061" s="8" t="s">
        <v>118</v>
      </c>
      <c r="H2061" s="8" t="s">
        <v>8670</v>
      </c>
      <c r="I2061" s="8" t="s">
        <v>10231</v>
      </c>
      <c r="J2061" s="8" t="s">
        <v>119</v>
      </c>
      <c r="K2061" s="8" t="s">
        <v>8664</v>
      </c>
      <c r="L2061" s="8"/>
      <c r="M2061" s="8"/>
      <c r="N2061" s="8" t="n">
        <v>25</v>
      </c>
      <c r="O2061" s="8" t="n">
        <v>22</v>
      </c>
      <c r="P2061" s="8" t="s">
        <v>120</v>
      </c>
    </row>
    <row r="2062" customFormat="false" ht="15" hidden="false" customHeight="false" outlineLevel="0" collapsed="false">
      <c r="A2062" s="8" t="s">
        <v>310</v>
      </c>
      <c r="B2062" s="8" t="s">
        <v>311</v>
      </c>
      <c r="C2062" s="8" t="s">
        <v>8674</v>
      </c>
      <c r="D2062" s="8" t="s">
        <v>117</v>
      </c>
      <c r="E2062" s="8" t="s">
        <v>55</v>
      </c>
      <c r="F2062" s="8" t="s">
        <v>55</v>
      </c>
      <c r="G2062" s="8" t="s">
        <v>151</v>
      </c>
      <c r="H2062" s="8" t="s">
        <v>8675</v>
      </c>
      <c r="I2062" s="8" t="s">
        <v>10040</v>
      </c>
      <c r="J2062" s="8" t="s">
        <v>185</v>
      </c>
      <c r="K2062" s="8" t="s">
        <v>8664</v>
      </c>
      <c r="L2062" s="8"/>
      <c r="M2062" s="8"/>
      <c r="N2062" s="8" t="n">
        <v>45</v>
      </c>
      <c r="O2062" s="8" t="n">
        <v>508</v>
      </c>
      <c r="P2062" s="8" t="s">
        <v>148</v>
      </c>
    </row>
    <row r="2063" customFormat="false" ht="15" hidden="false" customHeight="false" outlineLevel="0" collapsed="false">
      <c r="A2063" s="8" t="s">
        <v>1037</v>
      </c>
      <c r="B2063" s="8" t="s">
        <v>1038</v>
      </c>
      <c r="C2063" s="8" t="s">
        <v>8665</v>
      </c>
      <c r="D2063" s="8" t="s">
        <v>132</v>
      </c>
      <c r="E2063" s="8" t="s">
        <v>53</v>
      </c>
      <c r="F2063" s="8" t="s">
        <v>326</v>
      </c>
      <c r="G2063" s="8" t="s">
        <v>124</v>
      </c>
      <c r="H2063" s="8" t="s">
        <v>8662</v>
      </c>
      <c r="I2063" s="8" t="s">
        <v>9466</v>
      </c>
      <c r="J2063" s="8" t="s">
        <v>129</v>
      </c>
      <c r="K2063" s="8" t="s">
        <v>8664</v>
      </c>
      <c r="L2063" s="8"/>
      <c r="M2063" s="8"/>
      <c r="N2063" s="8" t="n">
        <v>25</v>
      </c>
      <c r="O2063" s="8" t="n">
        <v>159</v>
      </c>
      <c r="P2063" s="8" t="s">
        <v>120</v>
      </c>
    </row>
    <row r="2064" customFormat="false" ht="15" hidden="false" customHeight="false" outlineLevel="0" collapsed="false">
      <c r="A2064" s="8" t="s">
        <v>10242</v>
      </c>
      <c r="B2064" s="8" t="s">
        <v>10243</v>
      </c>
      <c r="C2064" s="8" t="s">
        <v>8669</v>
      </c>
      <c r="D2064" s="8" t="s">
        <v>123</v>
      </c>
      <c r="E2064" s="8" t="s">
        <v>51</v>
      </c>
      <c r="F2064" s="8" t="s">
        <v>2027</v>
      </c>
      <c r="G2064" s="8" t="s">
        <v>223</v>
      </c>
      <c r="H2064" s="8" t="s">
        <v>8662</v>
      </c>
      <c r="I2064" s="8" t="s">
        <v>9602</v>
      </c>
      <c r="J2064" s="8"/>
      <c r="K2064" s="8" t="s">
        <v>8690</v>
      </c>
      <c r="L2064" s="8" t="s">
        <v>9833</v>
      </c>
      <c r="M2064" s="8" t="s">
        <v>8727</v>
      </c>
      <c r="N2064" s="8" t="n">
        <v>12</v>
      </c>
      <c r="O2064" s="8" t="n">
        <v>36</v>
      </c>
      <c r="P2064" s="8" t="s">
        <v>148</v>
      </c>
    </row>
    <row r="2065" customFormat="false" ht="15" hidden="false" customHeight="false" outlineLevel="0" collapsed="false">
      <c r="A2065" s="8" t="s">
        <v>473</v>
      </c>
      <c r="B2065" s="8" t="s">
        <v>474</v>
      </c>
      <c r="C2065" s="8" t="s">
        <v>8661</v>
      </c>
      <c r="D2065" s="8" t="s">
        <v>132</v>
      </c>
      <c r="E2065" s="8" t="s">
        <v>55</v>
      </c>
      <c r="F2065" s="8" t="s">
        <v>55</v>
      </c>
      <c r="G2065" s="8" t="s">
        <v>166</v>
      </c>
      <c r="H2065" s="8" t="s">
        <v>8662</v>
      </c>
      <c r="I2065" s="8" t="s">
        <v>8876</v>
      </c>
      <c r="J2065" s="8" t="s">
        <v>137</v>
      </c>
      <c r="K2065" s="8" t="s">
        <v>8664</v>
      </c>
      <c r="L2065" s="8"/>
      <c r="M2065" s="8"/>
      <c r="N2065" s="8" t="n">
        <v>45</v>
      </c>
      <c r="O2065" s="8" t="n">
        <v>249</v>
      </c>
      <c r="P2065" s="8" t="s">
        <v>148</v>
      </c>
    </row>
    <row r="2066" customFormat="false" ht="15" hidden="false" customHeight="false" outlineLevel="0" collapsed="false">
      <c r="A2066" s="8" t="s">
        <v>1283</v>
      </c>
      <c r="B2066" s="8" t="s">
        <v>1284</v>
      </c>
      <c r="C2066" s="8" t="s">
        <v>8700</v>
      </c>
      <c r="D2066" s="8" t="s">
        <v>128</v>
      </c>
      <c r="E2066" s="8" t="s">
        <v>53</v>
      </c>
      <c r="F2066" s="8" t="s">
        <v>326</v>
      </c>
      <c r="G2066" s="8" t="s">
        <v>151</v>
      </c>
      <c r="H2066" s="8" t="s">
        <v>8675</v>
      </c>
      <c r="I2066" s="8" t="s">
        <v>9774</v>
      </c>
      <c r="J2066" s="8" t="s">
        <v>129</v>
      </c>
      <c r="K2066" s="8" t="s">
        <v>8664</v>
      </c>
      <c r="L2066" s="8"/>
      <c r="M2066" s="8"/>
      <c r="N2066" s="8" t="n">
        <v>25</v>
      </c>
      <c r="O2066" s="8" t="n">
        <v>146</v>
      </c>
      <c r="P2066" s="8" t="s">
        <v>120</v>
      </c>
    </row>
    <row r="2067" customFormat="false" ht="15" hidden="false" customHeight="false" outlineLevel="0" collapsed="false">
      <c r="A2067" s="8" t="s">
        <v>10244</v>
      </c>
      <c r="B2067" s="8" t="s">
        <v>10245</v>
      </c>
      <c r="C2067" s="8" t="s">
        <v>8680</v>
      </c>
      <c r="D2067" s="8" t="s">
        <v>123</v>
      </c>
      <c r="E2067" s="8" t="s">
        <v>51</v>
      </c>
      <c r="F2067" s="8" t="s">
        <v>2027</v>
      </c>
      <c r="G2067" s="8" t="s">
        <v>143</v>
      </c>
      <c r="H2067" s="8" t="s">
        <v>8675</v>
      </c>
      <c r="I2067" s="8" t="s">
        <v>9638</v>
      </c>
      <c r="J2067" s="8"/>
      <c r="K2067" s="8" t="s">
        <v>8690</v>
      </c>
      <c r="L2067" s="8" t="s">
        <v>9965</v>
      </c>
      <c r="M2067" s="8" t="s">
        <v>8795</v>
      </c>
      <c r="N2067" s="8" t="n">
        <v>12</v>
      </c>
      <c r="O2067" s="8" t="n">
        <v>39</v>
      </c>
      <c r="P2067" s="8" t="s">
        <v>120</v>
      </c>
    </row>
    <row r="2068" customFormat="false" ht="15" hidden="false" customHeight="false" outlineLevel="0" collapsed="false">
      <c r="A2068" s="8" t="s">
        <v>661</v>
      </c>
      <c r="B2068" s="8" t="s">
        <v>662</v>
      </c>
      <c r="C2068" s="8" t="s">
        <v>8688</v>
      </c>
      <c r="D2068" s="8" t="s">
        <v>132</v>
      </c>
      <c r="E2068" s="8" t="s">
        <v>53</v>
      </c>
      <c r="F2068" s="8" t="s">
        <v>55</v>
      </c>
      <c r="G2068" s="8" t="s">
        <v>223</v>
      </c>
      <c r="H2068" s="8" t="s">
        <v>8662</v>
      </c>
      <c r="I2068" s="8" t="s">
        <v>8765</v>
      </c>
      <c r="J2068" s="8" t="s">
        <v>137</v>
      </c>
      <c r="K2068" s="8" t="s">
        <v>8664</v>
      </c>
      <c r="L2068" s="8"/>
      <c r="M2068" s="8"/>
      <c r="N2068" s="8" t="n">
        <v>45</v>
      </c>
      <c r="O2068" s="8" t="n">
        <v>149</v>
      </c>
      <c r="P2068" s="8" t="s">
        <v>120</v>
      </c>
    </row>
    <row r="2069" customFormat="false" ht="15" hidden="false" customHeight="false" outlineLevel="0" collapsed="false">
      <c r="A2069" s="8" t="s">
        <v>2656</v>
      </c>
      <c r="B2069" s="8" t="s">
        <v>2657</v>
      </c>
      <c r="C2069" s="8" t="s">
        <v>8688</v>
      </c>
      <c r="D2069" s="8" t="s">
        <v>123</v>
      </c>
      <c r="E2069" s="8" t="s">
        <v>51</v>
      </c>
      <c r="F2069" s="8" t="s">
        <v>326</v>
      </c>
      <c r="G2069" s="8" t="s">
        <v>133</v>
      </c>
      <c r="H2069" s="8" t="s">
        <v>8662</v>
      </c>
      <c r="I2069" s="8" t="s">
        <v>10217</v>
      </c>
      <c r="J2069" s="8" t="s">
        <v>140</v>
      </c>
      <c r="K2069" s="8" t="s">
        <v>8664</v>
      </c>
      <c r="L2069" s="8"/>
      <c r="M2069" s="8"/>
      <c r="N2069" s="8" t="n">
        <v>25</v>
      </c>
      <c r="O2069" s="8" t="n">
        <v>11</v>
      </c>
      <c r="P2069" s="8" t="s">
        <v>120</v>
      </c>
    </row>
    <row r="2070" customFormat="false" ht="15" hidden="false" customHeight="false" outlineLevel="0" collapsed="false">
      <c r="A2070" s="8" t="s">
        <v>1909</v>
      </c>
      <c r="B2070" s="8" t="s">
        <v>1910</v>
      </c>
      <c r="C2070" s="8" t="s">
        <v>8669</v>
      </c>
      <c r="D2070" s="8" t="s">
        <v>132</v>
      </c>
      <c r="E2070" s="8" t="s">
        <v>51</v>
      </c>
      <c r="F2070" s="8" t="s">
        <v>326</v>
      </c>
      <c r="G2070" s="8" t="s">
        <v>118</v>
      </c>
      <c r="H2070" s="8" t="s">
        <v>8670</v>
      </c>
      <c r="I2070" s="8" t="s">
        <v>10246</v>
      </c>
      <c r="J2070" s="8" t="s">
        <v>159</v>
      </c>
      <c r="K2070" s="8" t="s">
        <v>8664</v>
      </c>
      <c r="L2070" s="8"/>
      <c r="M2070" s="8"/>
      <c r="N2070" s="8" t="n">
        <v>25</v>
      </c>
      <c r="O2070" s="8" t="n">
        <v>38</v>
      </c>
      <c r="P2070" s="8" t="s">
        <v>120</v>
      </c>
    </row>
    <row r="2071" customFormat="false" ht="15" hidden="false" customHeight="false" outlineLevel="0" collapsed="false">
      <c r="A2071" s="8" t="s">
        <v>4292</v>
      </c>
      <c r="B2071" s="8" t="s">
        <v>4293</v>
      </c>
      <c r="C2071" s="8" t="s">
        <v>8665</v>
      </c>
      <c r="D2071" s="8" t="s">
        <v>123</v>
      </c>
      <c r="E2071" s="8" t="s">
        <v>51</v>
      </c>
      <c r="F2071" s="8" t="s">
        <v>2027</v>
      </c>
      <c r="G2071" s="8" t="s">
        <v>151</v>
      </c>
      <c r="H2071" s="8" t="s">
        <v>8662</v>
      </c>
      <c r="I2071" s="8" t="s">
        <v>9554</v>
      </c>
      <c r="J2071" s="8" t="s">
        <v>144</v>
      </c>
      <c r="K2071" s="8" t="s">
        <v>8664</v>
      </c>
      <c r="L2071" s="8"/>
      <c r="M2071" s="8"/>
      <c r="N2071" s="8" t="n">
        <v>12</v>
      </c>
      <c r="O2071" s="8" t="n">
        <v>6</v>
      </c>
      <c r="P2071" s="8" t="s">
        <v>120</v>
      </c>
    </row>
    <row r="2072" customFormat="false" ht="15" hidden="false" customHeight="false" outlineLevel="0" collapsed="false">
      <c r="A2072" s="8" t="s">
        <v>2806</v>
      </c>
      <c r="B2072" s="8" t="s">
        <v>2807</v>
      </c>
      <c r="C2072" s="8" t="s">
        <v>8700</v>
      </c>
      <c r="D2072" s="8" t="s">
        <v>132</v>
      </c>
      <c r="E2072" s="8" t="s">
        <v>51</v>
      </c>
      <c r="F2072" s="8" t="s">
        <v>326</v>
      </c>
      <c r="G2072" s="8" t="s">
        <v>154</v>
      </c>
      <c r="H2072" s="8" t="s">
        <v>8670</v>
      </c>
      <c r="I2072" s="8" t="s">
        <v>9725</v>
      </c>
      <c r="J2072" s="8" t="s">
        <v>177</v>
      </c>
      <c r="K2072" s="8" t="s">
        <v>8664</v>
      </c>
      <c r="L2072" s="8"/>
      <c r="M2072" s="8"/>
      <c r="N2072" s="8" t="n">
        <v>25</v>
      </c>
      <c r="O2072" s="8" t="n">
        <v>16</v>
      </c>
      <c r="P2072" s="8" t="s">
        <v>120</v>
      </c>
    </row>
    <row r="2073" customFormat="false" ht="15" hidden="false" customHeight="false" outlineLevel="0" collapsed="false">
      <c r="A2073" s="8" t="s">
        <v>2876</v>
      </c>
      <c r="B2073" s="8" t="s">
        <v>2877</v>
      </c>
      <c r="C2073" s="8" t="s">
        <v>8680</v>
      </c>
      <c r="D2073" s="8" t="s">
        <v>132</v>
      </c>
      <c r="E2073" s="8" t="s">
        <v>51</v>
      </c>
      <c r="F2073" s="8" t="s">
        <v>2027</v>
      </c>
      <c r="G2073" s="8" t="s">
        <v>118</v>
      </c>
      <c r="H2073" s="8" t="s">
        <v>8662</v>
      </c>
      <c r="I2073" s="8" t="s">
        <v>8779</v>
      </c>
      <c r="J2073" s="8" t="s">
        <v>185</v>
      </c>
      <c r="K2073" s="8" t="s">
        <v>8664</v>
      </c>
      <c r="L2073" s="8"/>
      <c r="M2073" s="8"/>
      <c r="N2073" s="8" t="n">
        <v>12</v>
      </c>
      <c r="O2073" s="8" t="n">
        <v>32</v>
      </c>
      <c r="P2073" s="8" t="s">
        <v>120</v>
      </c>
    </row>
    <row r="2074" customFormat="false" ht="15" hidden="false" customHeight="false" outlineLevel="0" collapsed="false">
      <c r="A2074" s="8" t="s">
        <v>10247</v>
      </c>
      <c r="B2074" s="8" t="s">
        <v>10248</v>
      </c>
      <c r="C2074" s="8" t="s">
        <v>8669</v>
      </c>
      <c r="D2074" s="8" t="s">
        <v>117</v>
      </c>
      <c r="E2074" s="8" t="s">
        <v>51</v>
      </c>
      <c r="F2074" s="8" t="s">
        <v>2027</v>
      </c>
      <c r="G2074" s="8" t="s">
        <v>136</v>
      </c>
      <c r="H2074" s="8" t="s">
        <v>8675</v>
      </c>
      <c r="I2074" s="8" t="s">
        <v>9123</v>
      </c>
      <c r="J2074" s="8"/>
      <c r="K2074" s="8" t="s">
        <v>8690</v>
      </c>
      <c r="L2074" s="8" t="s">
        <v>8794</v>
      </c>
      <c r="M2074" s="8" t="s">
        <v>8692</v>
      </c>
      <c r="N2074" s="8" t="n">
        <v>12</v>
      </c>
      <c r="O2074" s="8" t="n">
        <v>37</v>
      </c>
      <c r="P2074" s="8" t="s">
        <v>120</v>
      </c>
    </row>
    <row r="2075" customFormat="false" ht="15" hidden="false" customHeight="false" outlineLevel="0" collapsed="false">
      <c r="A2075" s="8" t="s">
        <v>2110</v>
      </c>
      <c r="B2075" s="8" t="s">
        <v>2111</v>
      </c>
      <c r="C2075" s="8" t="s">
        <v>8661</v>
      </c>
      <c r="D2075" s="8" t="s">
        <v>123</v>
      </c>
      <c r="E2075" s="8" t="s">
        <v>51</v>
      </c>
      <c r="F2075" s="8" t="s">
        <v>326</v>
      </c>
      <c r="G2075" s="8" t="s">
        <v>166</v>
      </c>
      <c r="H2075" s="8" t="s">
        <v>8666</v>
      </c>
      <c r="I2075" s="8" t="s">
        <v>10249</v>
      </c>
      <c r="J2075" s="8" t="s">
        <v>185</v>
      </c>
      <c r="K2075" s="8" t="s">
        <v>8664</v>
      </c>
      <c r="L2075" s="8"/>
      <c r="M2075" s="8"/>
      <c r="N2075" s="8" t="n">
        <v>25</v>
      </c>
      <c r="O2075" s="8" t="n">
        <v>28</v>
      </c>
      <c r="P2075" s="8" t="s">
        <v>120</v>
      </c>
    </row>
    <row r="2076" customFormat="false" ht="15" hidden="false" customHeight="false" outlineLevel="0" collapsed="false">
      <c r="A2076" s="8" t="s">
        <v>3770</v>
      </c>
      <c r="B2076" s="8" t="s">
        <v>3771</v>
      </c>
      <c r="C2076" s="8" t="s">
        <v>8661</v>
      </c>
      <c r="D2076" s="8" t="s">
        <v>117</v>
      </c>
      <c r="E2076" s="8" t="s">
        <v>51</v>
      </c>
      <c r="F2076" s="8" t="s">
        <v>2027</v>
      </c>
      <c r="G2076" s="8" t="s">
        <v>190</v>
      </c>
      <c r="H2076" s="8" t="s">
        <v>8666</v>
      </c>
      <c r="I2076" s="8" t="s">
        <v>9535</v>
      </c>
      <c r="J2076" s="8" t="s">
        <v>185</v>
      </c>
      <c r="K2076" s="8" t="s">
        <v>8664</v>
      </c>
      <c r="L2076" s="8"/>
      <c r="M2076" s="8"/>
      <c r="N2076" s="8" t="n">
        <v>12</v>
      </c>
      <c r="O2076" s="8" t="n">
        <v>13</v>
      </c>
      <c r="P2076" s="8" t="s">
        <v>120</v>
      </c>
    </row>
    <row r="2077" customFormat="false" ht="15" hidden="false" customHeight="false" outlineLevel="0" collapsed="false">
      <c r="A2077" s="8" t="s">
        <v>2716</v>
      </c>
      <c r="B2077" s="8" t="s">
        <v>2717</v>
      </c>
      <c r="C2077" s="8" t="s">
        <v>8688</v>
      </c>
      <c r="D2077" s="8" t="s">
        <v>132</v>
      </c>
      <c r="E2077" s="8" t="s">
        <v>51</v>
      </c>
      <c r="F2077" s="8" t="s">
        <v>2027</v>
      </c>
      <c r="G2077" s="8" t="s">
        <v>133</v>
      </c>
      <c r="H2077" s="8" t="s">
        <v>8666</v>
      </c>
      <c r="I2077" s="8" t="s">
        <v>8734</v>
      </c>
      <c r="J2077" s="8" t="s">
        <v>125</v>
      </c>
      <c r="K2077" s="8" t="s">
        <v>8664</v>
      </c>
      <c r="L2077" s="8"/>
      <c r="M2077" s="8"/>
      <c r="N2077" s="8" t="n">
        <v>12</v>
      </c>
      <c r="O2077" s="8" t="n">
        <v>31</v>
      </c>
      <c r="P2077" s="8" t="s">
        <v>120</v>
      </c>
    </row>
    <row r="2078" customFormat="false" ht="15" hidden="false" customHeight="false" outlineLevel="0" collapsed="false">
      <c r="A2078" s="8" t="s">
        <v>2914</v>
      </c>
      <c r="B2078" s="8" t="s">
        <v>2915</v>
      </c>
      <c r="C2078" s="8" t="s">
        <v>8665</v>
      </c>
      <c r="D2078" s="8" t="s">
        <v>123</v>
      </c>
      <c r="E2078" s="8" t="s">
        <v>51</v>
      </c>
      <c r="F2078" s="8" t="s">
        <v>326</v>
      </c>
      <c r="G2078" s="8" t="s">
        <v>133</v>
      </c>
      <c r="H2078" s="8" t="s">
        <v>8675</v>
      </c>
      <c r="I2078" s="8" t="s">
        <v>9802</v>
      </c>
      <c r="J2078" s="8" t="s">
        <v>185</v>
      </c>
      <c r="K2078" s="8" t="s">
        <v>8664</v>
      </c>
      <c r="L2078" s="8"/>
      <c r="M2078" s="8"/>
      <c r="N2078" s="8" t="n">
        <v>25</v>
      </c>
      <c r="O2078" s="8" t="n">
        <v>6</v>
      </c>
      <c r="P2078" s="8" t="s">
        <v>120</v>
      </c>
    </row>
    <row r="2079" customFormat="false" ht="15" hidden="false" customHeight="false" outlineLevel="0" collapsed="false">
      <c r="A2079" s="8" t="s">
        <v>2320</v>
      </c>
      <c r="B2079" s="8" t="s">
        <v>2321</v>
      </c>
      <c r="C2079" s="8" t="s">
        <v>8661</v>
      </c>
      <c r="D2079" s="8" t="s">
        <v>123</v>
      </c>
      <c r="E2079" s="8" t="s">
        <v>51</v>
      </c>
      <c r="F2079" s="8" t="s">
        <v>2027</v>
      </c>
      <c r="G2079" s="8" t="s">
        <v>143</v>
      </c>
      <c r="H2079" s="8" t="s">
        <v>8666</v>
      </c>
      <c r="I2079" s="8" t="s">
        <v>9403</v>
      </c>
      <c r="J2079" s="8" t="s">
        <v>119</v>
      </c>
      <c r="K2079" s="8" t="s">
        <v>8664</v>
      </c>
      <c r="L2079" s="8"/>
      <c r="M2079" s="8"/>
      <c r="N2079" s="8" t="n">
        <v>12</v>
      </c>
      <c r="O2079" s="8" t="n">
        <v>32</v>
      </c>
      <c r="P2079" s="8" t="s">
        <v>120</v>
      </c>
    </row>
    <row r="2080" customFormat="false" ht="15" hidden="false" customHeight="false" outlineLevel="0" collapsed="false">
      <c r="A2080" s="8" t="s">
        <v>10250</v>
      </c>
      <c r="B2080" s="8" t="s">
        <v>10251</v>
      </c>
      <c r="C2080" s="8" t="s">
        <v>8665</v>
      </c>
      <c r="D2080" s="8" t="s">
        <v>117</v>
      </c>
      <c r="E2080" s="8" t="s">
        <v>53</v>
      </c>
      <c r="F2080" s="8" t="s">
        <v>326</v>
      </c>
      <c r="G2080" s="8" t="s">
        <v>124</v>
      </c>
      <c r="H2080" s="8" t="s">
        <v>8666</v>
      </c>
      <c r="I2080" s="8" t="s">
        <v>9201</v>
      </c>
      <c r="J2080" s="8"/>
      <c r="K2080" s="8" t="s">
        <v>8690</v>
      </c>
      <c r="L2080" s="8" t="s">
        <v>9862</v>
      </c>
      <c r="M2080" s="8" t="s">
        <v>8692</v>
      </c>
      <c r="N2080" s="8" t="n">
        <v>25</v>
      </c>
      <c r="O2080" s="8" t="n">
        <v>75</v>
      </c>
      <c r="P2080" s="8" t="s">
        <v>120</v>
      </c>
    </row>
    <row r="2081" customFormat="false" ht="15" hidden="false" customHeight="false" outlineLevel="0" collapsed="false">
      <c r="A2081" s="8" t="s">
        <v>4080</v>
      </c>
      <c r="B2081" s="8" t="s">
        <v>4081</v>
      </c>
      <c r="C2081" s="8" t="s">
        <v>8688</v>
      </c>
      <c r="D2081" s="8" t="s">
        <v>123</v>
      </c>
      <c r="E2081" s="8" t="s">
        <v>51</v>
      </c>
      <c r="F2081" s="8" t="s">
        <v>326</v>
      </c>
      <c r="G2081" s="8" t="s">
        <v>124</v>
      </c>
      <c r="H2081" s="8" t="s">
        <v>8675</v>
      </c>
      <c r="I2081" s="8" t="s">
        <v>9153</v>
      </c>
      <c r="J2081" s="8" t="s">
        <v>180</v>
      </c>
      <c r="K2081" s="8" t="s">
        <v>8664</v>
      </c>
      <c r="L2081" s="8"/>
      <c r="M2081" s="8"/>
      <c r="N2081" s="8" t="n">
        <v>25</v>
      </c>
      <c r="O2081" s="8" t="n">
        <v>5</v>
      </c>
      <c r="P2081" s="8" t="s">
        <v>120</v>
      </c>
    </row>
    <row r="2082" customFormat="false" ht="15" hidden="false" customHeight="false" outlineLevel="0" collapsed="false">
      <c r="A2082" s="8" t="s">
        <v>4546</v>
      </c>
      <c r="B2082" s="8" t="s">
        <v>10252</v>
      </c>
      <c r="C2082" s="8" t="s">
        <v>8678</v>
      </c>
      <c r="D2082" s="8" t="s">
        <v>128</v>
      </c>
      <c r="E2082" s="8" t="s">
        <v>51</v>
      </c>
      <c r="F2082" s="8" t="s">
        <v>2027</v>
      </c>
      <c r="G2082" s="8" t="s">
        <v>133</v>
      </c>
      <c r="H2082" s="8" t="s">
        <v>8666</v>
      </c>
      <c r="I2082" s="8" t="s">
        <v>10253</v>
      </c>
      <c r="J2082" s="8"/>
      <c r="K2082" s="8" t="s">
        <v>8690</v>
      </c>
      <c r="L2082" s="8" t="s">
        <v>9034</v>
      </c>
      <c r="M2082" s="8" t="s">
        <v>8705</v>
      </c>
      <c r="N2082" s="8" t="n">
        <v>12</v>
      </c>
      <c r="O2082" s="8" t="n">
        <v>18</v>
      </c>
      <c r="P2082" s="8" t="s">
        <v>120</v>
      </c>
    </row>
    <row r="2083" customFormat="false" ht="15" hidden="false" customHeight="false" outlineLevel="0" collapsed="false">
      <c r="A2083" s="8" t="s">
        <v>3378</v>
      </c>
      <c r="B2083" s="8" t="s">
        <v>3379</v>
      </c>
      <c r="C2083" s="8" t="s">
        <v>8688</v>
      </c>
      <c r="D2083" s="8" t="s">
        <v>117</v>
      </c>
      <c r="E2083" s="8" t="s">
        <v>51</v>
      </c>
      <c r="F2083" s="8" t="s">
        <v>2027</v>
      </c>
      <c r="G2083" s="8" t="s">
        <v>154</v>
      </c>
      <c r="H2083" s="8" t="s">
        <v>8662</v>
      </c>
      <c r="I2083" s="8" t="s">
        <v>8790</v>
      </c>
      <c r="J2083" s="8" t="s">
        <v>119</v>
      </c>
      <c r="K2083" s="8" t="s">
        <v>8664</v>
      </c>
      <c r="L2083" s="8"/>
      <c r="M2083" s="8"/>
      <c r="N2083" s="8" t="n">
        <v>12</v>
      </c>
      <c r="O2083" s="8" t="n">
        <v>24</v>
      </c>
      <c r="P2083" s="8" t="s">
        <v>120</v>
      </c>
    </row>
    <row r="2084" customFormat="false" ht="15" hidden="false" customHeight="false" outlineLevel="0" collapsed="false">
      <c r="A2084" s="8" t="s">
        <v>565</v>
      </c>
      <c r="B2084" s="8" t="s">
        <v>566</v>
      </c>
      <c r="C2084" s="8" t="s">
        <v>8665</v>
      </c>
      <c r="D2084" s="8" t="s">
        <v>123</v>
      </c>
      <c r="E2084" s="8" t="s">
        <v>55</v>
      </c>
      <c r="F2084" s="8" t="s">
        <v>55</v>
      </c>
      <c r="G2084" s="8" t="s">
        <v>151</v>
      </c>
      <c r="H2084" s="8" t="s">
        <v>8670</v>
      </c>
      <c r="I2084" s="8" t="s">
        <v>10254</v>
      </c>
      <c r="J2084" s="8" t="s">
        <v>185</v>
      </c>
      <c r="K2084" s="8" t="s">
        <v>8664</v>
      </c>
      <c r="L2084" s="8"/>
      <c r="M2084" s="8"/>
      <c r="N2084" s="8" t="n">
        <v>45</v>
      </c>
      <c r="O2084" s="8" t="n">
        <v>187</v>
      </c>
      <c r="P2084" s="8" t="s">
        <v>120</v>
      </c>
    </row>
    <row r="2085" customFormat="false" ht="15" hidden="false" customHeight="false" outlineLevel="0" collapsed="false">
      <c r="A2085" s="8" t="s">
        <v>1433</v>
      </c>
      <c r="B2085" s="8" t="s">
        <v>1434</v>
      </c>
      <c r="C2085" s="8" t="s">
        <v>8678</v>
      </c>
      <c r="D2085" s="8" t="s">
        <v>117</v>
      </c>
      <c r="E2085" s="8" t="s">
        <v>53</v>
      </c>
      <c r="F2085" s="8" t="s">
        <v>55</v>
      </c>
      <c r="G2085" s="8" t="s">
        <v>151</v>
      </c>
      <c r="H2085" s="8" t="s">
        <v>8675</v>
      </c>
      <c r="I2085" s="8" t="s">
        <v>9061</v>
      </c>
      <c r="J2085" s="8" t="s">
        <v>185</v>
      </c>
      <c r="K2085" s="8" t="s">
        <v>8664</v>
      </c>
      <c r="L2085" s="8"/>
      <c r="M2085" s="8"/>
      <c r="N2085" s="8" t="n">
        <v>45</v>
      </c>
      <c r="O2085" s="8" t="n">
        <v>46</v>
      </c>
      <c r="P2085" s="8" t="s">
        <v>120</v>
      </c>
    </row>
    <row r="2086" customFormat="false" ht="15" hidden="false" customHeight="false" outlineLevel="0" collapsed="false">
      <c r="A2086" s="8" t="s">
        <v>10255</v>
      </c>
      <c r="B2086" s="8" t="s">
        <v>10256</v>
      </c>
      <c r="C2086" s="8" t="s">
        <v>8669</v>
      </c>
      <c r="D2086" s="8" t="s">
        <v>117</v>
      </c>
      <c r="E2086" s="8" t="s">
        <v>51</v>
      </c>
      <c r="F2086" s="8" t="s">
        <v>2027</v>
      </c>
      <c r="G2086" s="8" t="s">
        <v>118</v>
      </c>
      <c r="H2086" s="8" t="s">
        <v>8670</v>
      </c>
      <c r="I2086" s="8" t="s">
        <v>9277</v>
      </c>
      <c r="J2086" s="8"/>
      <c r="K2086" s="8" t="s">
        <v>8690</v>
      </c>
      <c r="L2086" s="8" t="s">
        <v>10001</v>
      </c>
      <c r="M2086" s="8" t="s">
        <v>8692</v>
      </c>
      <c r="N2086" s="8" t="n">
        <v>12</v>
      </c>
      <c r="O2086" s="8" t="n">
        <v>27</v>
      </c>
      <c r="P2086" s="8" t="s">
        <v>120</v>
      </c>
    </row>
    <row r="2087" customFormat="false" ht="15" hidden="false" customHeight="false" outlineLevel="0" collapsed="false">
      <c r="A2087" s="8" t="s">
        <v>2058</v>
      </c>
      <c r="B2087" s="8" t="s">
        <v>2059</v>
      </c>
      <c r="C2087" s="8" t="s">
        <v>8669</v>
      </c>
      <c r="D2087" s="8" t="s">
        <v>132</v>
      </c>
      <c r="E2087" s="8" t="s">
        <v>51</v>
      </c>
      <c r="F2087" s="8" t="s">
        <v>326</v>
      </c>
      <c r="G2087" s="8" t="s">
        <v>136</v>
      </c>
      <c r="H2087" s="8" t="s">
        <v>8662</v>
      </c>
      <c r="I2087" s="8" t="s">
        <v>9180</v>
      </c>
      <c r="J2087" s="8" t="s">
        <v>180</v>
      </c>
      <c r="K2087" s="8" t="s">
        <v>8664</v>
      </c>
      <c r="L2087" s="8"/>
      <c r="M2087" s="8"/>
      <c r="N2087" s="8" t="n">
        <v>25</v>
      </c>
      <c r="O2087" s="8" t="n">
        <v>25</v>
      </c>
      <c r="P2087" s="8" t="s">
        <v>120</v>
      </c>
    </row>
    <row r="2088" customFormat="false" ht="15" hidden="false" customHeight="false" outlineLevel="0" collapsed="false">
      <c r="A2088" s="8" t="s">
        <v>4370</v>
      </c>
      <c r="B2088" s="8" t="s">
        <v>4371</v>
      </c>
      <c r="C2088" s="8" t="s">
        <v>8669</v>
      </c>
      <c r="D2088" s="8" t="s">
        <v>123</v>
      </c>
      <c r="E2088" s="8" t="s">
        <v>51</v>
      </c>
      <c r="F2088" s="8" t="s">
        <v>2027</v>
      </c>
      <c r="G2088" s="8" t="s">
        <v>154</v>
      </c>
      <c r="H2088" s="8" t="s">
        <v>8666</v>
      </c>
      <c r="I2088" s="8" t="s">
        <v>10257</v>
      </c>
      <c r="J2088" s="8" t="s">
        <v>185</v>
      </c>
      <c r="K2088" s="8" t="s">
        <v>8664</v>
      </c>
      <c r="L2088" s="8"/>
      <c r="M2088" s="8"/>
      <c r="N2088" s="8" t="n">
        <v>12</v>
      </c>
      <c r="O2088" s="8" t="n">
        <v>6</v>
      </c>
      <c r="P2088" s="8" t="s">
        <v>120</v>
      </c>
    </row>
    <row r="2089" customFormat="false" ht="15" hidden="false" customHeight="false" outlineLevel="0" collapsed="false">
      <c r="A2089" s="8" t="s">
        <v>3846</v>
      </c>
      <c r="B2089" s="8" t="s">
        <v>3847</v>
      </c>
      <c r="C2089" s="8" t="s">
        <v>8661</v>
      </c>
      <c r="D2089" s="8" t="s">
        <v>132</v>
      </c>
      <c r="E2089" s="8" t="s">
        <v>51</v>
      </c>
      <c r="F2089" s="8" t="s">
        <v>326</v>
      </c>
      <c r="G2089" s="8" t="s">
        <v>133</v>
      </c>
      <c r="H2089" s="8" t="s">
        <v>8662</v>
      </c>
      <c r="I2089" s="8" t="s">
        <v>8854</v>
      </c>
      <c r="J2089" s="8" t="s">
        <v>137</v>
      </c>
      <c r="K2089" s="8" t="s">
        <v>8664</v>
      </c>
      <c r="L2089" s="8"/>
      <c r="M2089" s="8"/>
      <c r="N2089" s="8" t="n">
        <v>25</v>
      </c>
      <c r="O2089" s="8" t="n">
        <v>7</v>
      </c>
      <c r="P2089" s="8" t="s">
        <v>120</v>
      </c>
    </row>
    <row r="2090" customFormat="false" ht="15" hidden="false" customHeight="false" outlineLevel="0" collapsed="false">
      <c r="A2090" s="8" t="s">
        <v>2392</v>
      </c>
      <c r="B2090" s="8" t="s">
        <v>2393</v>
      </c>
      <c r="C2090" s="8" t="s">
        <v>8688</v>
      </c>
      <c r="D2090" s="8" t="s">
        <v>117</v>
      </c>
      <c r="E2090" s="8" t="s">
        <v>51</v>
      </c>
      <c r="F2090" s="8" t="s">
        <v>326</v>
      </c>
      <c r="G2090" s="8" t="s">
        <v>143</v>
      </c>
      <c r="H2090" s="8" t="s">
        <v>8670</v>
      </c>
      <c r="I2090" s="8" t="s">
        <v>10070</v>
      </c>
      <c r="J2090" s="8" t="s">
        <v>140</v>
      </c>
      <c r="K2090" s="8" t="s">
        <v>8664</v>
      </c>
      <c r="L2090" s="8"/>
      <c r="M2090" s="8"/>
      <c r="N2090" s="8" t="n">
        <v>25</v>
      </c>
      <c r="O2090" s="8" t="n">
        <v>20</v>
      </c>
      <c r="P2090" s="8" t="s">
        <v>120</v>
      </c>
    </row>
    <row r="2091" customFormat="false" ht="15" hidden="false" customHeight="false" outlineLevel="0" collapsed="false">
      <c r="A2091" s="8" t="s">
        <v>1165</v>
      </c>
      <c r="B2091" s="8" t="s">
        <v>1166</v>
      </c>
      <c r="C2091" s="8" t="s">
        <v>8700</v>
      </c>
      <c r="D2091" s="8" t="s">
        <v>132</v>
      </c>
      <c r="E2091" s="8" t="s">
        <v>53</v>
      </c>
      <c r="F2091" s="8" t="s">
        <v>326</v>
      </c>
      <c r="G2091" s="8" t="s">
        <v>124</v>
      </c>
      <c r="H2091" s="8" t="s">
        <v>8675</v>
      </c>
      <c r="I2091" s="8" t="s">
        <v>9605</v>
      </c>
      <c r="J2091" s="8" t="s">
        <v>140</v>
      </c>
      <c r="K2091" s="8" t="s">
        <v>8664</v>
      </c>
      <c r="L2091" s="8"/>
      <c r="M2091" s="8"/>
      <c r="N2091" s="8" t="n">
        <v>25</v>
      </c>
      <c r="O2091" s="8" t="n">
        <v>141</v>
      </c>
      <c r="P2091" s="8" t="s">
        <v>120</v>
      </c>
    </row>
    <row r="2092" customFormat="false" ht="15" hidden="false" customHeight="false" outlineLevel="0" collapsed="false">
      <c r="A2092" s="8" t="s">
        <v>10258</v>
      </c>
      <c r="B2092" s="8" t="s">
        <v>10259</v>
      </c>
      <c r="C2092" s="8" t="s">
        <v>8661</v>
      </c>
      <c r="D2092" s="8" t="s">
        <v>123</v>
      </c>
      <c r="E2092" s="8" t="s">
        <v>53</v>
      </c>
      <c r="F2092" s="8" t="s">
        <v>55</v>
      </c>
      <c r="G2092" s="8" t="s">
        <v>143</v>
      </c>
      <c r="H2092" s="8" t="s">
        <v>8662</v>
      </c>
      <c r="I2092" s="8" t="s">
        <v>8955</v>
      </c>
      <c r="J2092" s="8"/>
      <c r="K2092" s="8" t="s">
        <v>8690</v>
      </c>
      <c r="L2092" s="8" t="s">
        <v>8789</v>
      </c>
      <c r="M2092" s="8" t="s">
        <v>8727</v>
      </c>
      <c r="N2092" s="8" t="n">
        <v>45</v>
      </c>
      <c r="O2092" s="8" t="n">
        <v>191</v>
      </c>
      <c r="P2092" s="8" t="s">
        <v>148</v>
      </c>
    </row>
    <row r="2093" customFormat="false" ht="15" hidden="false" customHeight="false" outlineLevel="0" collapsed="false">
      <c r="A2093" s="8" t="s">
        <v>2472</v>
      </c>
      <c r="B2093" s="8" t="s">
        <v>2473</v>
      </c>
      <c r="C2093" s="8" t="s">
        <v>8665</v>
      </c>
      <c r="D2093" s="8" t="s">
        <v>132</v>
      </c>
      <c r="E2093" s="8" t="s">
        <v>51</v>
      </c>
      <c r="F2093" s="8" t="s">
        <v>2027</v>
      </c>
      <c r="G2093" s="8" t="s">
        <v>124</v>
      </c>
      <c r="H2093" s="8" t="s">
        <v>8666</v>
      </c>
      <c r="I2093" s="8" t="s">
        <v>9908</v>
      </c>
      <c r="J2093" s="8" t="s">
        <v>119</v>
      </c>
      <c r="K2093" s="8" t="s">
        <v>8664</v>
      </c>
      <c r="L2093" s="8"/>
      <c r="M2093" s="8"/>
      <c r="N2093" s="8" t="n">
        <v>12</v>
      </c>
      <c r="O2093" s="8" t="n">
        <v>39</v>
      </c>
      <c r="P2093" s="8" t="s">
        <v>120</v>
      </c>
    </row>
    <row r="2094" customFormat="false" ht="15" hidden="false" customHeight="false" outlineLevel="0" collapsed="false">
      <c r="A2094" s="8" t="s">
        <v>1499</v>
      </c>
      <c r="B2094" s="8" t="s">
        <v>1500</v>
      </c>
      <c r="C2094" s="8" t="s">
        <v>8669</v>
      </c>
      <c r="D2094" s="8" t="s">
        <v>132</v>
      </c>
      <c r="E2094" s="8" t="s">
        <v>53</v>
      </c>
      <c r="F2094" s="8" t="s">
        <v>326</v>
      </c>
      <c r="G2094" s="8" t="s">
        <v>143</v>
      </c>
      <c r="H2094" s="8" t="s">
        <v>8666</v>
      </c>
      <c r="I2094" s="8" t="s">
        <v>9314</v>
      </c>
      <c r="J2094" s="8" t="s">
        <v>177</v>
      </c>
      <c r="K2094" s="8" t="s">
        <v>8664</v>
      </c>
      <c r="L2094" s="8"/>
      <c r="M2094" s="8"/>
      <c r="N2094" s="8" t="n">
        <v>25</v>
      </c>
      <c r="O2094" s="8" t="n">
        <v>91</v>
      </c>
      <c r="P2094" s="8" t="s">
        <v>120</v>
      </c>
    </row>
    <row r="2095" customFormat="false" ht="15" hidden="false" customHeight="false" outlineLevel="0" collapsed="false">
      <c r="A2095" s="8" t="s">
        <v>1569</v>
      </c>
      <c r="B2095" s="8" t="s">
        <v>1570</v>
      </c>
      <c r="C2095" s="8" t="s">
        <v>8678</v>
      </c>
      <c r="D2095" s="8" t="s">
        <v>117</v>
      </c>
      <c r="E2095" s="8" t="s">
        <v>53</v>
      </c>
      <c r="F2095" s="8" t="s">
        <v>326</v>
      </c>
      <c r="G2095" s="8" t="s">
        <v>154</v>
      </c>
      <c r="H2095" s="8" t="s">
        <v>8675</v>
      </c>
      <c r="I2095" s="8" t="s">
        <v>9540</v>
      </c>
      <c r="J2095" s="8" t="s">
        <v>177</v>
      </c>
      <c r="K2095" s="8" t="s">
        <v>8664</v>
      </c>
      <c r="L2095" s="8"/>
      <c r="M2095" s="8"/>
      <c r="N2095" s="8" t="n">
        <v>25</v>
      </c>
      <c r="O2095" s="8" t="n">
        <v>79</v>
      </c>
      <c r="P2095" s="8" t="s">
        <v>120</v>
      </c>
    </row>
    <row r="2096" customFormat="false" ht="15" hidden="false" customHeight="false" outlineLevel="0" collapsed="false">
      <c r="A2096" s="8" t="s">
        <v>799</v>
      </c>
      <c r="B2096" s="8" t="s">
        <v>800</v>
      </c>
      <c r="C2096" s="8" t="s">
        <v>8678</v>
      </c>
      <c r="D2096" s="8" t="s">
        <v>123</v>
      </c>
      <c r="E2096" s="8" t="s">
        <v>53</v>
      </c>
      <c r="F2096" s="8" t="s">
        <v>326</v>
      </c>
      <c r="G2096" s="8" t="s">
        <v>136</v>
      </c>
      <c r="H2096" s="8" t="s">
        <v>8675</v>
      </c>
      <c r="I2096" s="8" t="s">
        <v>8779</v>
      </c>
      <c r="J2096" s="8" t="s">
        <v>185</v>
      </c>
      <c r="K2096" s="8" t="s">
        <v>8664</v>
      </c>
      <c r="L2096" s="8"/>
      <c r="M2096" s="8"/>
      <c r="N2096" s="8" t="n">
        <v>25</v>
      </c>
      <c r="O2096" s="8" t="n">
        <v>197</v>
      </c>
      <c r="P2096" s="8" t="s">
        <v>120</v>
      </c>
    </row>
    <row r="2097" customFormat="false" ht="15" hidden="false" customHeight="false" outlineLevel="0" collapsed="false">
      <c r="A2097" s="8" t="s">
        <v>3428</v>
      </c>
      <c r="B2097" s="8" t="s">
        <v>3429</v>
      </c>
      <c r="C2097" s="8" t="s">
        <v>8688</v>
      </c>
      <c r="D2097" s="8" t="s">
        <v>123</v>
      </c>
      <c r="E2097" s="8" t="s">
        <v>51</v>
      </c>
      <c r="F2097" s="8" t="s">
        <v>2027</v>
      </c>
      <c r="G2097" s="8" t="s">
        <v>154</v>
      </c>
      <c r="H2097" s="8" t="s">
        <v>8675</v>
      </c>
      <c r="I2097" s="8" t="s">
        <v>9529</v>
      </c>
      <c r="J2097" s="8" t="s">
        <v>125</v>
      </c>
      <c r="K2097" s="8" t="s">
        <v>8664</v>
      </c>
      <c r="L2097" s="8"/>
      <c r="M2097" s="8"/>
      <c r="N2097" s="8" t="n">
        <v>12</v>
      </c>
      <c r="O2097" s="8" t="n">
        <v>23</v>
      </c>
      <c r="P2097" s="8" t="s">
        <v>120</v>
      </c>
    </row>
    <row r="2098" customFormat="false" ht="15" hidden="false" customHeight="false" outlineLevel="0" collapsed="false">
      <c r="A2098" s="8" t="s">
        <v>10260</v>
      </c>
      <c r="B2098" s="8" t="s">
        <v>10261</v>
      </c>
      <c r="C2098" s="8" t="s">
        <v>8674</v>
      </c>
      <c r="D2098" s="8" t="s">
        <v>128</v>
      </c>
      <c r="E2098" s="8" t="s">
        <v>51</v>
      </c>
      <c r="F2098" s="8" t="s">
        <v>2027</v>
      </c>
      <c r="G2098" s="8" t="s">
        <v>223</v>
      </c>
      <c r="H2098" s="8" t="s">
        <v>8670</v>
      </c>
      <c r="I2098" s="8" t="s">
        <v>9121</v>
      </c>
      <c r="J2098" s="8"/>
      <c r="K2098" s="8" t="s">
        <v>8690</v>
      </c>
      <c r="L2098" s="8" t="s">
        <v>9454</v>
      </c>
      <c r="M2098" s="8" t="s">
        <v>8795</v>
      </c>
      <c r="N2098" s="8" t="n">
        <v>12</v>
      </c>
      <c r="O2098" s="8" t="n">
        <v>13</v>
      </c>
      <c r="P2098" s="8" t="s">
        <v>148</v>
      </c>
    </row>
    <row r="2099" customFormat="false" ht="15" hidden="false" customHeight="false" outlineLevel="0" collapsed="false">
      <c r="A2099" s="8" t="s">
        <v>2112</v>
      </c>
      <c r="B2099" s="8" t="s">
        <v>2113</v>
      </c>
      <c r="C2099" s="8" t="s">
        <v>8665</v>
      </c>
      <c r="D2099" s="8" t="s">
        <v>123</v>
      </c>
      <c r="E2099" s="8" t="s">
        <v>51</v>
      </c>
      <c r="F2099" s="8" t="s">
        <v>326</v>
      </c>
      <c r="G2099" s="8" t="s">
        <v>118</v>
      </c>
      <c r="H2099" s="8" t="s">
        <v>8662</v>
      </c>
      <c r="I2099" s="8" t="s">
        <v>9279</v>
      </c>
      <c r="J2099" s="8" t="s">
        <v>204</v>
      </c>
      <c r="K2099" s="8" t="s">
        <v>8664</v>
      </c>
      <c r="L2099" s="8"/>
      <c r="M2099" s="8"/>
      <c r="N2099" s="8" t="n">
        <v>25</v>
      </c>
      <c r="O2099" s="8" t="n">
        <v>28</v>
      </c>
      <c r="P2099" s="8" t="s">
        <v>120</v>
      </c>
    </row>
    <row r="2100" customFormat="false" ht="15" hidden="false" customHeight="false" outlineLevel="0" collapsed="false">
      <c r="A2100" s="8" t="s">
        <v>4540</v>
      </c>
      <c r="B2100" s="8" t="s">
        <v>10262</v>
      </c>
      <c r="C2100" s="8" t="s">
        <v>8674</v>
      </c>
      <c r="D2100" s="8" t="s">
        <v>117</v>
      </c>
      <c r="E2100" s="8" t="s">
        <v>51</v>
      </c>
      <c r="F2100" s="8" t="s">
        <v>2027</v>
      </c>
      <c r="G2100" s="8" t="s">
        <v>124</v>
      </c>
      <c r="H2100" s="8" t="s">
        <v>8666</v>
      </c>
      <c r="I2100" s="8" t="s">
        <v>9068</v>
      </c>
      <c r="J2100" s="8"/>
      <c r="K2100" s="8" t="s">
        <v>8690</v>
      </c>
      <c r="L2100" s="8" t="s">
        <v>9254</v>
      </c>
      <c r="M2100" s="8" t="s">
        <v>8692</v>
      </c>
      <c r="N2100" s="8" t="n">
        <v>12</v>
      </c>
      <c r="O2100" s="8" t="n">
        <v>21</v>
      </c>
      <c r="P2100" s="8" t="s">
        <v>120</v>
      </c>
    </row>
    <row r="2101" customFormat="false" ht="15" hidden="false" customHeight="false" outlineLevel="0" collapsed="false">
      <c r="A2101" s="8" t="s">
        <v>1885</v>
      </c>
      <c r="B2101" s="8" t="s">
        <v>1886</v>
      </c>
      <c r="C2101" s="8" t="s">
        <v>8674</v>
      </c>
      <c r="D2101" s="8" t="s">
        <v>117</v>
      </c>
      <c r="E2101" s="8" t="s">
        <v>51</v>
      </c>
      <c r="F2101" s="8" t="s">
        <v>326</v>
      </c>
      <c r="G2101" s="8" t="s">
        <v>124</v>
      </c>
      <c r="H2101" s="8" t="s">
        <v>8670</v>
      </c>
      <c r="I2101" s="8" t="s">
        <v>9652</v>
      </c>
      <c r="J2101" s="8" t="s">
        <v>119</v>
      </c>
      <c r="K2101" s="8" t="s">
        <v>8664</v>
      </c>
      <c r="L2101" s="8"/>
      <c r="M2101" s="8"/>
      <c r="N2101" s="8" t="n">
        <v>25</v>
      </c>
      <c r="O2101" s="8" t="n">
        <v>37</v>
      </c>
      <c r="P2101" s="8" t="s">
        <v>120</v>
      </c>
    </row>
    <row r="2102" customFormat="false" ht="15" hidden="false" customHeight="false" outlineLevel="0" collapsed="false">
      <c r="A2102" s="8" t="s">
        <v>4332</v>
      </c>
      <c r="B2102" s="8" t="s">
        <v>4333</v>
      </c>
      <c r="C2102" s="8" t="s">
        <v>8669</v>
      </c>
      <c r="D2102" s="8" t="s">
        <v>123</v>
      </c>
      <c r="E2102" s="8" t="s">
        <v>51</v>
      </c>
      <c r="F2102" s="8" t="s">
        <v>2027</v>
      </c>
      <c r="G2102" s="8" t="s">
        <v>133</v>
      </c>
      <c r="H2102" s="8" t="s">
        <v>8666</v>
      </c>
      <c r="I2102" s="8" t="s">
        <v>10087</v>
      </c>
      <c r="J2102" s="8" t="s">
        <v>147</v>
      </c>
      <c r="K2102" s="8" t="s">
        <v>8664</v>
      </c>
      <c r="L2102" s="8"/>
      <c r="M2102" s="8"/>
      <c r="N2102" s="8" t="n">
        <v>12</v>
      </c>
      <c r="O2102" s="8" t="n">
        <v>8</v>
      </c>
      <c r="P2102" s="8" t="s">
        <v>120</v>
      </c>
    </row>
    <row r="2103" customFormat="false" ht="15" hidden="false" customHeight="false" outlineLevel="0" collapsed="false">
      <c r="A2103" s="8" t="s">
        <v>1689</v>
      </c>
      <c r="B2103" s="8" t="s">
        <v>1690</v>
      </c>
      <c r="C2103" s="8" t="s">
        <v>8674</v>
      </c>
      <c r="D2103" s="8" t="s">
        <v>132</v>
      </c>
      <c r="E2103" s="8" t="s">
        <v>51</v>
      </c>
      <c r="F2103" s="8" t="s">
        <v>326</v>
      </c>
      <c r="G2103" s="8" t="s">
        <v>223</v>
      </c>
      <c r="H2103" s="8" t="s">
        <v>8670</v>
      </c>
      <c r="I2103" s="8" t="s">
        <v>9557</v>
      </c>
      <c r="J2103" s="8" t="s">
        <v>129</v>
      </c>
      <c r="K2103" s="8" t="s">
        <v>8664</v>
      </c>
      <c r="L2103" s="8"/>
      <c r="M2103" s="8"/>
      <c r="N2103" s="8" t="n">
        <v>25</v>
      </c>
      <c r="O2103" s="8" t="n">
        <v>23</v>
      </c>
      <c r="P2103" s="8" t="s">
        <v>120</v>
      </c>
    </row>
    <row r="2104" customFormat="false" ht="15" hidden="false" customHeight="false" outlineLevel="0" collapsed="false">
      <c r="A2104" s="8" t="s">
        <v>411</v>
      </c>
      <c r="B2104" s="8" t="s">
        <v>412</v>
      </c>
      <c r="C2104" s="8" t="s">
        <v>8665</v>
      </c>
      <c r="D2104" s="8" t="s">
        <v>117</v>
      </c>
      <c r="E2104" s="8" t="s">
        <v>55</v>
      </c>
      <c r="F2104" s="8" t="s">
        <v>55</v>
      </c>
      <c r="G2104" s="8" t="s">
        <v>190</v>
      </c>
      <c r="H2104" s="8" t="s">
        <v>8662</v>
      </c>
      <c r="I2104" s="8" t="s">
        <v>10263</v>
      </c>
      <c r="J2104" s="8" t="s">
        <v>180</v>
      </c>
      <c r="K2104" s="8" t="s">
        <v>8664</v>
      </c>
      <c r="L2104" s="8"/>
      <c r="M2104" s="8"/>
      <c r="N2104" s="8" t="n">
        <v>45</v>
      </c>
      <c r="O2104" s="8" t="n">
        <v>293</v>
      </c>
      <c r="P2104" s="8" t="s">
        <v>148</v>
      </c>
    </row>
    <row r="2105" customFormat="false" ht="15" hidden="false" customHeight="false" outlineLevel="0" collapsed="false">
      <c r="A2105" s="8" t="s">
        <v>543</v>
      </c>
      <c r="B2105" s="8" t="s">
        <v>544</v>
      </c>
      <c r="C2105" s="8" t="s">
        <v>8678</v>
      </c>
      <c r="D2105" s="8" t="s">
        <v>123</v>
      </c>
      <c r="E2105" s="8" t="s">
        <v>55</v>
      </c>
      <c r="F2105" s="8" t="s">
        <v>326</v>
      </c>
      <c r="G2105" s="8" t="s">
        <v>223</v>
      </c>
      <c r="H2105" s="8" t="s">
        <v>8670</v>
      </c>
      <c r="I2105" s="8" t="s">
        <v>9018</v>
      </c>
      <c r="J2105" s="8" t="s">
        <v>204</v>
      </c>
      <c r="K2105" s="8" t="s">
        <v>8664</v>
      </c>
      <c r="L2105" s="8"/>
      <c r="M2105" s="8"/>
      <c r="N2105" s="8" t="n">
        <v>25</v>
      </c>
      <c r="O2105" s="8" t="n">
        <v>305</v>
      </c>
      <c r="P2105" s="8" t="s">
        <v>148</v>
      </c>
    </row>
    <row r="2106" customFormat="false" ht="15" hidden="false" customHeight="false" outlineLevel="0" collapsed="false">
      <c r="A2106" s="8" t="s">
        <v>2322</v>
      </c>
      <c r="B2106" s="8" t="s">
        <v>2323</v>
      </c>
      <c r="C2106" s="8" t="s">
        <v>8669</v>
      </c>
      <c r="D2106" s="8" t="s">
        <v>123</v>
      </c>
      <c r="E2106" s="8" t="s">
        <v>51</v>
      </c>
      <c r="F2106" s="8" t="s">
        <v>2027</v>
      </c>
      <c r="G2106" s="8" t="s">
        <v>118</v>
      </c>
      <c r="H2106" s="8" t="s">
        <v>8666</v>
      </c>
      <c r="I2106" s="8" t="s">
        <v>8944</v>
      </c>
      <c r="J2106" s="8" t="s">
        <v>180</v>
      </c>
      <c r="K2106" s="8" t="s">
        <v>8664</v>
      </c>
      <c r="L2106" s="8"/>
      <c r="M2106" s="8"/>
      <c r="N2106" s="8" t="n">
        <v>12</v>
      </c>
      <c r="O2106" s="8" t="n">
        <v>34</v>
      </c>
      <c r="P2106" s="8" t="s">
        <v>120</v>
      </c>
    </row>
    <row r="2107" customFormat="false" ht="15" hidden="false" customHeight="false" outlineLevel="0" collapsed="false">
      <c r="A2107" s="8" t="s">
        <v>3010</v>
      </c>
      <c r="B2107" s="8" t="s">
        <v>3011</v>
      </c>
      <c r="C2107" s="8" t="s">
        <v>8669</v>
      </c>
      <c r="D2107" s="8" t="s">
        <v>123</v>
      </c>
      <c r="E2107" s="8" t="s">
        <v>51</v>
      </c>
      <c r="F2107" s="8" t="s">
        <v>2027</v>
      </c>
      <c r="G2107" s="8" t="s">
        <v>166</v>
      </c>
      <c r="H2107" s="8" t="s">
        <v>8675</v>
      </c>
      <c r="I2107" s="8" t="s">
        <v>9442</v>
      </c>
      <c r="J2107" s="8" t="s">
        <v>177</v>
      </c>
      <c r="K2107" s="8" t="s">
        <v>8664</v>
      </c>
      <c r="L2107" s="8"/>
      <c r="M2107" s="8"/>
      <c r="N2107" s="8" t="n">
        <v>12</v>
      </c>
      <c r="O2107" s="8" t="n">
        <v>30</v>
      </c>
      <c r="P2107" s="8" t="s">
        <v>120</v>
      </c>
    </row>
    <row r="2108" customFormat="false" ht="15" hidden="false" customHeight="false" outlineLevel="0" collapsed="false">
      <c r="A2108" s="8" t="s">
        <v>765</v>
      </c>
      <c r="B2108" s="8" t="s">
        <v>766</v>
      </c>
      <c r="C2108" s="8" t="s">
        <v>8669</v>
      </c>
      <c r="D2108" s="8" t="s">
        <v>123</v>
      </c>
      <c r="E2108" s="8" t="s">
        <v>53</v>
      </c>
      <c r="F2108" s="8" t="s">
        <v>326</v>
      </c>
      <c r="G2108" s="8" t="s">
        <v>136</v>
      </c>
      <c r="H2108" s="8" t="s">
        <v>8670</v>
      </c>
      <c r="I2108" s="8" t="s">
        <v>9371</v>
      </c>
      <c r="J2108" s="8" t="s">
        <v>144</v>
      </c>
      <c r="K2108" s="8" t="s">
        <v>8664</v>
      </c>
      <c r="L2108" s="8"/>
      <c r="M2108" s="8"/>
      <c r="N2108" s="8" t="n">
        <v>25</v>
      </c>
      <c r="O2108" s="8" t="n">
        <v>165</v>
      </c>
      <c r="P2108" s="8" t="s">
        <v>120</v>
      </c>
    </row>
    <row r="2109" customFormat="false" ht="15" hidden="false" customHeight="false" outlineLevel="0" collapsed="false">
      <c r="A2109" s="8" t="s">
        <v>2532</v>
      </c>
      <c r="B2109" s="8" t="s">
        <v>2533</v>
      </c>
      <c r="C2109" s="8" t="s">
        <v>8669</v>
      </c>
      <c r="D2109" s="8" t="s">
        <v>123</v>
      </c>
      <c r="E2109" s="8" t="s">
        <v>51</v>
      </c>
      <c r="F2109" s="8" t="s">
        <v>2027</v>
      </c>
      <c r="G2109" s="8" t="s">
        <v>166</v>
      </c>
      <c r="H2109" s="8" t="s">
        <v>8675</v>
      </c>
      <c r="I2109" s="8" t="s">
        <v>9216</v>
      </c>
      <c r="J2109" s="8" t="s">
        <v>185</v>
      </c>
      <c r="K2109" s="8" t="s">
        <v>8664</v>
      </c>
      <c r="L2109" s="8"/>
      <c r="M2109" s="8"/>
      <c r="N2109" s="8" t="n">
        <v>12</v>
      </c>
      <c r="O2109" s="8" t="n">
        <v>38</v>
      </c>
      <c r="P2109" s="8" t="s">
        <v>120</v>
      </c>
    </row>
    <row r="2110" customFormat="false" ht="15" hidden="false" customHeight="false" outlineLevel="0" collapsed="false">
      <c r="A2110" s="8" t="s">
        <v>3620</v>
      </c>
      <c r="B2110" s="8" t="s">
        <v>3621</v>
      </c>
      <c r="C2110" s="8" t="s">
        <v>8665</v>
      </c>
      <c r="D2110" s="8" t="s">
        <v>117</v>
      </c>
      <c r="E2110" s="8" t="s">
        <v>51</v>
      </c>
      <c r="F2110" s="8" t="s">
        <v>2027</v>
      </c>
      <c r="G2110" s="8" t="s">
        <v>223</v>
      </c>
      <c r="H2110" s="8" t="s">
        <v>8670</v>
      </c>
      <c r="I2110" s="8" t="s">
        <v>9458</v>
      </c>
      <c r="J2110" s="8" t="s">
        <v>144</v>
      </c>
      <c r="K2110" s="8" t="s">
        <v>8664</v>
      </c>
      <c r="L2110" s="8"/>
      <c r="M2110" s="8"/>
      <c r="N2110" s="8" t="n">
        <v>12</v>
      </c>
      <c r="O2110" s="8" t="n">
        <v>16</v>
      </c>
      <c r="P2110" s="8" t="s">
        <v>120</v>
      </c>
    </row>
    <row r="2111" customFormat="false" ht="15" hidden="false" customHeight="false" outlineLevel="0" collapsed="false">
      <c r="A2111" s="8" t="s">
        <v>1673</v>
      </c>
      <c r="B2111" s="8" t="s">
        <v>1674</v>
      </c>
      <c r="C2111" s="8" t="s">
        <v>8674</v>
      </c>
      <c r="D2111" s="8" t="s">
        <v>132</v>
      </c>
      <c r="E2111" s="8" t="s">
        <v>53</v>
      </c>
      <c r="F2111" s="8" t="s">
        <v>326</v>
      </c>
      <c r="G2111" s="8" t="s">
        <v>166</v>
      </c>
      <c r="H2111" s="8" t="s">
        <v>8675</v>
      </c>
      <c r="I2111" s="8" t="s">
        <v>8871</v>
      </c>
      <c r="J2111" s="8" t="s">
        <v>137</v>
      </c>
      <c r="K2111" s="8" t="s">
        <v>8664</v>
      </c>
      <c r="L2111" s="8"/>
      <c r="M2111" s="8"/>
      <c r="N2111" s="8" t="n">
        <v>25</v>
      </c>
      <c r="O2111" s="8" t="n">
        <v>43</v>
      </c>
      <c r="P2111" s="8" t="s">
        <v>120</v>
      </c>
    </row>
    <row r="2112" customFormat="false" ht="15" hidden="false" customHeight="false" outlineLevel="0" collapsed="false">
      <c r="A2112" s="8" t="s">
        <v>4584</v>
      </c>
      <c r="B2112" s="8" t="s">
        <v>10264</v>
      </c>
      <c r="C2112" s="8" t="s">
        <v>8688</v>
      </c>
      <c r="D2112" s="8" t="s">
        <v>132</v>
      </c>
      <c r="E2112" s="8" t="s">
        <v>51</v>
      </c>
      <c r="F2112" s="8" t="s">
        <v>2027</v>
      </c>
      <c r="G2112" s="8" t="s">
        <v>154</v>
      </c>
      <c r="H2112" s="8" t="s">
        <v>8666</v>
      </c>
      <c r="I2112" s="8" t="s">
        <v>9025</v>
      </c>
      <c r="J2112" s="8"/>
      <c r="K2112" s="8" t="s">
        <v>8690</v>
      </c>
      <c r="L2112" s="8" t="s">
        <v>9814</v>
      </c>
      <c r="M2112" s="8" t="s">
        <v>8705</v>
      </c>
      <c r="N2112" s="8" t="n">
        <v>12</v>
      </c>
      <c r="O2112" s="8" t="n">
        <v>11</v>
      </c>
      <c r="P2112" s="8" t="s">
        <v>120</v>
      </c>
    </row>
    <row r="2113" customFormat="false" ht="15" hidden="false" customHeight="false" outlineLevel="0" collapsed="false">
      <c r="A2113" s="8" t="s">
        <v>10265</v>
      </c>
      <c r="B2113" s="8" t="s">
        <v>10266</v>
      </c>
      <c r="C2113" s="8" t="s">
        <v>8674</v>
      </c>
      <c r="D2113" s="8" t="s">
        <v>132</v>
      </c>
      <c r="E2113" s="8" t="s">
        <v>53</v>
      </c>
      <c r="F2113" s="8" t="s">
        <v>326</v>
      </c>
      <c r="G2113" s="8" t="s">
        <v>151</v>
      </c>
      <c r="H2113" s="8" t="s">
        <v>8675</v>
      </c>
      <c r="I2113" s="8" t="s">
        <v>10267</v>
      </c>
      <c r="J2113" s="8"/>
      <c r="K2113" s="8" t="s">
        <v>8690</v>
      </c>
      <c r="L2113" s="8" t="s">
        <v>9342</v>
      </c>
      <c r="M2113" s="8" t="s">
        <v>8705</v>
      </c>
      <c r="N2113" s="8" t="n">
        <v>25</v>
      </c>
      <c r="O2113" s="8" t="n">
        <v>97</v>
      </c>
      <c r="P2113" s="8" t="s">
        <v>148</v>
      </c>
    </row>
    <row r="2114" customFormat="false" ht="15" hidden="false" customHeight="false" outlineLevel="0" collapsed="false">
      <c r="A2114" s="8" t="s">
        <v>4405</v>
      </c>
      <c r="B2114" s="8" t="s">
        <v>10268</v>
      </c>
      <c r="C2114" s="8" t="s">
        <v>8665</v>
      </c>
      <c r="D2114" s="8" t="s">
        <v>117</v>
      </c>
      <c r="E2114" s="8" t="s">
        <v>55</v>
      </c>
      <c r="F2114" s="8" t="s">
        <v>55</v>
      </c>
      <c r="G2114" s="8" t="s">
        <v>124</v>
      </c>
      <c r="H2114" s="8" t="s">
        <v>8670</v>
      </c>
      <c r="I2114" s="8" t="s">
        <v>9735</v>
      </c>
      <c r="J2114" s="8"/>
      <c r="K2114" s="8" t="s">
        <v>8690</v>
      </c>
      <c r="L2114" s="8" t="s">
        <v>8943</v>
      </c>
      <c r="M2114" s="8" t="s">
        <v>8727</v>
      </c>
      <c r="N2114" s="8" t="n">
        <v>45</v>
      </c>
      <c r="O2114" s="8" t="n">
        <v>586</v>
      </c>
      <c r="P2114" s="8" t="s">
        <v>120</v>
      </c>
    </row>
    <row r="2115" customFormat="false" ht="15" hidden="false" customHeight="false" outlineLevel="0" collapsed="false">
      <c r="A2115" s="8" t="s">
        <v>10269</v>
      </c>
      <c r="B2115" s="8" t="s">
        <v>10270</v>
      </c>
      <c r="C2115" s="8" t="s">
        <v>8674</v>
      </c>
      <c r="D2115" s="8" t="s">
        <v>132</v>
      </c>
      <c r="E2115" s="8" t="s">
        <v>55</v>
      </c>
      <c r="F2115" s="8" t="s">
        <v>55</v>
      </c>
      <c r="G2115" s="8" t="s">
        <v>133</v>
      </c>
      <c r="H2115" s="8" t="s">
        <v>8666</v>
      </c>
      <c r="I2115" s="8" t="s">
        <v>8871</v>
      </c>
      <c r="J2115" s="8"/>
      <c r="K2115" s="8" t="s">
        <v>8690</v>
      </c>
      <c r="L2115" s="8" t="s">
        <v>9015</v>
      </c>
      <c r="M2115" s="8" t="s">
        <v>8692</v>
      </c>
      <c r="N2115" s="8" t="n">
        <v>45</v>
      </c>
      <c r="O2115" s="8" t="n">
        <v>527</v>
      </c>
      <c r="P2115" s="8" t="s">
        <v>120</v>
      </c>
    </row>
    <row r="2116" customFormat="false" ht="15" hidden="false" customHeight="false" outlineLevel="0" collapsed="false">
      <c r="A2116" s="8" t="s">
        <v>2474</v>
      </c>
      <c r="B2116" s="8" t="s">
        <v>2475</v>
      </c>
      <c r="C2116" s="8" t="s">
        <v>8665</v>
      </c>
      <c r="D2116" s="8" t="s">
        <v>132</v>
      </c>
      <c r="E2116" s="8" t="s">
        <v>51</v>
      </c>
      <c r="F2116" s="8" t="s">
        <v>2027</v>
      </c>
      <c r="G2116" s="8" t="s">
        <v>124</v>
      </c>
      <c r="H2116" s="8" t="s">
        <v>8675</v>
      </c>
      <c r="I2116" s="8" t="s">
        <v>9120</v>
      </c>
      <c r="J2116" s="8" t="s">
        <v>185</v>
      </c>
      <c r="K2116" s="8" t="s">
        <v>8664</v>
      </c>
      <c r="L2116" s="8"/>
      <c r="M2116" s="8"/>
      <c r="N2116" s="8" t="n">
        <v>12</v>
      </c>
      <c r="O2116" s="8" t="n">
        <v>39</v>
      </c>
      <c r="P2116" s="8" t="s">
        <v>120</v>
      </c>
    </row>
    <row r="2117" customFormat="false" ht="15" hidden="false" customHeight="false" outlineLevel="0" collapsed="false">
      <c r="A2117" s="8" t="s">
        <v>10271</v>
      </c>
      <c r="B2117" s="8" t="s">
        <v>10272</v>
      </c>
      <c r="C2117" s="8" t="s">
        <v>8688</v>
      </c>
      <c r="D2117" s="8" t="s">
        <v>123</v>
      </c>
      <c r="E2117" s="8" t="s">
        <v>51</v>
      </c>
      <c r="F2117" s="8" t="s">
        <v>326</v>
      </c>
      <c r="G2117" s="8" t="s">
        <v>118</v>
      </c>
      <c r="H2117" s="8" t="s">
        <v>8670</v>
      </c>
      <c r="I2117" s="8" t="s">
        <v>9379</v>
      </c>
      <c r="J2117" s="8"/>
      <c r="K2117" s="8" t="s">
        <v>8690</v>
      </c>
      <c r="L2117" s="8" t="s">
        <v>10273</v>
      </c>
      <c r="M2117" s="8" t="s">
        <v>8705</v>
      </c>
      <c r="N2117" s="8" t="n">
        <v>25</v>
      </c>
      <c r="O2117" s="8" t="n">
        <v>28</v>
      </c>
      <c r="P2117" s="8" t="s">
        <v>120</v>
      </c>
    </row>
    <row r="2118" customFormat="false" ht="15" hidden="false" customHeight="false" outlineLevel="0" collapsed="false">
      <c r="A2118" s="8" t="s">
        <v>1799</v>
      </c>
      <c r="B2118" s="8" t="s">
        <v>1800</v>
      </c>
      <c r="C2118" s="8" t="s">
        <v>8678</v>
      </c>
      <c r="D2118" s="8" t="s">
        <v>123</v>
      </c>
      <c r="E2118" s="8" t="s">
        <v>53</v>
      </c>
      <c r="F2118" s="8" t="s">
        <v>326</v>
      </c>
      <c r="G2118" s="8" t="s">
        <v>154</v>
      </c>
      <c r="H2118" s="8" t="s">
        <v>8666</v>
      </c>
      <c r="I2118" s="8" t="s">
        <v>9499</v>
      </c>
      <c r="J2118" s="8" t="s">
        <v>204</v>
      </c>
      <c r="K2118" s="8" t="s">
        <v>8664</v>
      </c>
      <c r="L2118" s="8"/>
      <c r="M2118" s="8"/>
      <c r="N2118" s="8" t="n">
        <v>25</v>
      </c>
      <c r="O2118" s="8" t="n">
        <v>44</v>
      </c>
      <c r="P2118" s="8" t="s">
        <v>120</v>
      </c>
    </row>
    <row r="2119" customFormat="false" ht="15" hidden="false" customHeight="false" outlineLevel="0" collapsed="false">
      <c r="A2119" s="8" t="s">
        <v>1727</v>
      </c>
      <c r="B2119" s="8" t="s">
        <v>1728</v>
      </c>
      <c r="C2119" s="8" t="s">
        <v>8661</v>
      </c>
      <c r="D2119" s="8" t="s">
        <v>132</v>
      </c>
      <c r="E2119" s="8" t="s">
        <v>53</v>
      </c>
      <c r="F2119" s="8" t="s">
        <v>326</v>
      </c>
      <c r="G2119" s="8" t="s">
        <v>143</v>
      </c>
      <c r="H2119" s="8" t="s">
        <v>8670</v>
      </c>
      <c r="I2119" s="8" t="s">
        <v>9569</v>
      </c>
      <c r="J2119" s="8" t="s">
        <v>204</v>
      </c>
      <c r="K2119" s="8" t="s">
        <v>8664</v>
      </c>
      <c r="L2119" s="8"/>
      <c r="M2119" s="8"/>
      <c r="N2119" s="8" t="n">
        <v>25</v>
      </c>
      <c r="O2119" s="8" t="n">
        <v>52</v>
      </c>
      <c r="P2119" s="8" t="s">
        <v>120</v>
      </c>
    </row>
    <row r="2120" customFormat="false" ht="15" hidden="false" customHeight="false" outlineLevel="0" collapsed="false">
      <c r="A2120" s="8" t="s">
        <v>10274</v>
      </c>
      <c r="B2120" s="8" t="s">
        <v>10275</v>
      </c>
      <c r="C2120" s="8" t="s">
        <v>8661</v>
      </c>
      <c r="D2120" s="8" t="s">
        <v>117</v>
      </c>
      <c r="E2120" s="8" t="s">
        <v>53</v>
      </c>
      <c r="F2120" s="8" t="s">
        <v>326</v>
      </c>
      <c r="G2120" s="8" t="s">
        <v>136</v>
      </c>
      <c r="H2120" s="8" t="s">
        <v>8666</v>
      </c>
      <c r="I2120" s="8" t="s">
        <v>9213</v>
      </c>
      <c r="J2120" s="8"/>
      <c r="K2120" s="8" t="s">
        <v>8690</v>
      </c>
      <c r="L2120" s="8" t="s">
        <v>10177</v>
      </c>
      <c r="M2120" s="8" t="s">
        <v>8696</v>
      </c>
      <c r="N2120" s="8" t="n">
        <v>25</v>
      </c>
      <c r="O2120" s="8" t="n">
        <v>41</v>
      </c>
      <c r="P2120" s="8" t="s">
        <v>148</v>
      </c>
    </row>
    <row r="2121" customFormat="false" ht="15" hidden="false" customHeight="false" outlineLevel="0" collapsed="false">
      <c r="A2121" s="8" t="s">
        <v>1887</v>
      </c>
      <c r="B2121" s="8" t="s">
        <v>1888</v>
      </c>
      <c r="C2121" s="8" t="s">
        <v>8669</v>
      </c>
      <c r="D2121" s="8" t="s">
        <v>123</v>
      </c>
      <c r="E2121" s="8" t="s">
        <v>51</v>
      </c>
      <c r="F2121" s="8" t="s">
        <v>326</v>
      </c>
      <c r="G2121" s="8" t="s">
        <v>223</v>
      </c>
      <c r="H2121" s="8" t="s">
        <v>8670</v>
      </c>
      <c r="I2121" s="8" t="s">
        <v>10276</v>
      </c>
      <c r="J2121" s="8" t="s">
        <v>137</v>
      </c>
      <c r="K2121" s="8" t="s">
        <v>8664</v>
      </c>
      <c r="L2121" s="8"/>
      <c r="M2121" s="8"/>
      <c r="N2121" s="8" t="n">
        <v>25</v>
      </c>
      <c r="O2121" s="8" t="n">
        <v>37</v>
      </c>
      <c r="P2121" s="8" t="s">
        <v>120</v>
      </c>
    </row>
    <row r="2122" customFormat="false" ht="15" hidden="false" customHeight="false" outlineLevel="0" collapsed="false">
      <c r="A2122" s="8" t="s">
        <v>2956</v>
      </c>
      <c r="B2122" s="8" t="s">
        <v>2957</v>
      </c>
      <c r="C2122" s="8" t="s">
        <v>8661</v>
      </c>
      <c r="D2122" s="8" t="s">
        <v>132</v>
      </c>
      <c r="E2122" s="8" t="s">
        <v>51</v>
      </c>
      <c r="F2122" s="8" t="s">
        <v>2027</v>
      </c>
      <c r="G2122" s="8" t="s">
        <v>166</v>
      </c>
      <c r="H2122" s="8" t="s">
        <v>8666</v>
      </c>
      <c r="I2122" s="8" t="s">
        <v>9215</v>
      </c>
      <c r="J2122" s="8" t="s">
        <v>140</v>
      </c>
      <c r="K2122" s="8" t="s">
        <v>8664</v>
      </c>
      <c r="L2122" s="8"/>
      <c r="M2122" s="8"/>
      <c r="N2122" s="8" t="n">
        <v>12</v>
      </c>
      <c r="O2122" s="8" t="n">
        <v>31</v>
      </c>
      <c r="P2122" s="8" t="s">
        <v>120</v>
      </c>
    </row>
    <row r="2123" customFormat="false" ht="15" hidden="false" customHeight="false" outlineLevel="0" collapsed="false">
      <c r="A2123" s="8" t="s">
        <v>1691</v>
      </c>
      <c r="B2123" s="8" t="s">
        <v>1692</v>
      </c>
      <c r="C2123" s="8" t="s">
        <v>8688</v>
      </c>
      <c r="D2123" s="8" t="s">
        <v>123</v>
      </c>
      <c r="E2123" s="8" t="s">
        <v>51</v>
      </c>
      <c r="F2123" s="8" t="s">
        <v>326</v>
      </c>
      <c r="G2123" s="8" t="s">
        <v>151</v>
      </c>
      <c r="H2123" s="8" t="s">
        <v>8666</v>
      </c>
      <c r="I2123" s="8" t="s">
        <v>10277</v>
      </c>
      <c r="J2123" s="8" t="s">
        <v>185</v>
      </c>
      <c r="K2123" s="8" t="s">
        <v>8664</v>
      </c>
      <c r="L2123" s="8"/>
      <c r="M2123" s="8"/>
      <c r="N2123" s="8" t="n">
        <v>25</v>
      </c>
      <c r="O2123" s="8" t="n">
        <v>36</v>
      </c>
      <c r="P2123" s="8" t="s">
        <v>120</v>
      </c>
    </row>
    <row r="2124" customFormat="false" ht="15" hidden="false" customHeight="false" outlineLevel="0" collapsed="false">
      <c r="A2124" s="8" t="s">
        <v>3822</v>
      </c>
      <c r="B2124" s="8" t="s">
        <v>3823</v>
      </c>
      <c r="C2124" s="8" t="s">
        <v>8700</v>
      </c>
      <c r="D2124" s="8" t="s">
        <v>123</v>
      </c>
      <c r="E2124" s="8" t="s">
        <v>51</v>
      </c>
      <c r="F2124" s="8" t="s">
        <v>2027</v>
      </c>
      <c r="G2124" s="8" t="s">
        <v>133</v>
      </c>
      <c r="H2124" s="8" t="s">
        <v>8662</v>
      </c>
      <c r="I2124" s="8" t="s">
        <v>8739</v>
      </c>
      <c r="J2124" s="8" t="s">
        <v>185</v>
      </c>
      <c r="K2124" s="8" t="s">
        <v>8664</v>
      </c>
      <c r="L2124" s="8"/>
      <c r="M2124" s="8"/>
      <c r="N2124" s="8" t="n">
        <v>12</v>
      </c>
      <c r="O2124" s="8" t="n">
        <v>9</v>
      </c>
      <c r="P2124" s="8" t="s">
        <v>120</v>
      </c>
    </row>
    <row r="2125" customFormat="false" ht="15" hidden="false" customHeight="false" outlineLevel="0" collapsed="false">
      <c r="A2125" s="8" t="s">
        <v>1717</v>
      </c>
      <c r="B2125" s="8" t="s">
        <v>1718</v>
      </c>
      <c r="C2125" s="8" t="s">
        <v>8665</v>
      </c>
      <c r="D2125" s="8" t="s">
        <v>123</v>
      </c>
      <c r="E2125" s="8" t="s">
        <v>53</v>
      </c>
      <c r="F2125" s="8" t="s">
        <v>326</v>
      </c>
      <c r="G2125" s="8" t="s">
        <v>136</v>
      </c>
      <c r="H2125" s="8" t="s">
        <v>8666</v>
      </c>
      <c r="I2125" s="8" t="s">
        <v>8775</v>
      </c>
      <c r="J2125" s="8" t="s">
        <v>159</v>
      </c>
      <c r="K2125" s="8" t="s">
        <v>8664</v>
      </c>
      <c r="L2125" s="8"/>
      <c r="M2125" s="8"/>
      <c r="N2125" s="8" t="n">
        <v>25</v>
      </c>
      <c r="O2125" s="8" t="n">
        <v>67</v>
      </c>
      <c r="P2125" s="8" t="s">
        <v>148</v>
      </c>
    </row>
    <row r="2126" customFormat="false" ht="15" hidden="false" customHeight="false" outlineLevel="0" collapsed="false">
      <c r="A2126" s="8" t="s">
        <v>2878</v>
      </c>
      <c r="B2126" s="8" t="s">
        <v>2879</v>
      </c>
      <c r="C2126" s="8" t="s">
        <v>8661</v>
      </c>
      <c r="D2126" s="8" t="s">
        <v>117</v>
      </c>
      <c r="E2126" s="8" t="s">
        <v>51</v>
      </c>
      <c r="F2126" s="8" t="s">
        <v>2027</v>
      </c>
      <c r="G2126" s="8" t="s">
        <v>124</v>
      </c>
      <c r="H2126" s="8" t="s">
        <v>8666</v>
      </c>
      <c r="I2126" s="8" t="s">
        <v>9935</v>
      </c>
      <c r="J2126" s="8" t="s">
        <v>140</v>
      </c>
      <c r="K2126" s="8" t="s">
        <v>8664</v>
      </c>
      <c r="L2126" s="8"/>
      <c r="M2126" s="8"/>
      <c r="N2126" s="8" t="n">
        <v>12</v>
      </c>
      <c r="O2126" s="8" t="n">
        <v>32</v>
      </c>
      <c r="P2126" s="8" t="s">
        <v>120</v>
      </c>
    </row>
    <row r="2127" customFormat="false" ht="15" hidden="false" customHeight="false" outlineLevel="0" collapsed="false">
      <c r="A2127" s="8" t="s">
        <v>1431</v>
      </c>
      <c r="B2127" s="8" t="s">
        <v>1432</v>
      </c>
      <c r="C2127" s="8" t="s">
        <v>8661</v>
      </c>
      <c r="D2127" s="8" t="s">
        <v>123</v>
      </c>
      <c r="E2127" s="8" t="s">
        <v>53</v>
      </c>
      <c r="F2127" s="8" t="s">
        <v>326</v>
      </c>
      <c r="G2127" s="8" t="s">
        <v>133</v>
      </c>
      <c r="H2127" s="8" t="s">
        <v>8675</v>
      </c>
      <c r="I2127" s="8" t="s">
        <v>9250</v>
      </c>
      <c r="J2127" s="8" t="s">
        <v>129</v>
      </c>
      <c r="K2127" s="8" t="s">
        <v>8664</v>
      </c>
      <c r="L2127" s="8"/>
      <c r="M2127" s="8"/>
      <c r="N2127" s="8" t="n">
        <v>25</v>
      </c>
      <c r="O2127" s="8" t="n">
        <v>100</v>
      </c>
      <c r="P2127" s="8" t="s">
        <v>120</v>
      </c>
    </row>
    <row r="2128" customFormat="false" ht="15" hidden="false" customHeight="false" outlineLevel="0" collapsed="false">
      <c r="A2128" s="8" t="s">
        <v>1589</v>
      </c>
      <c r="B2128" s="8" t="s">
        <v>1590</v>
      </c>
      <c r="C2128" s="8" t="s">
        <v>8678</v>
      </c>
      <c r="D2128" s="8" t="s">
        <v>123</v>
      </c>
      <c r="E2128" s="8" t="s">
        <v>53</v>
      </c>
      <c r="F2128" s="8" t="s">
        <v>326</v>
      </c>
      <c r="G2128" s="8" t="s">
        <v>166</v>
      </c>
      <c r="H2128" s="8" t="s">
        <v>8666</v>
      </c>
      <c r="I2128" s="8" t="s">
        <v>9794</v>
      </c>
      <c r="J2128" s="8" t="s">
        <v>137</v>
      </c>
      <c r="K2128" s="8" t="s">
        <v>8664</v>
      </c>
      <c r="L2128" s="8"/>
      <c r="M2128" s="8"/>
      <c r="N2128" s="8" t="n">
        <v>25</v>
      </c>
      <c r="O2128" s="8" t="n">
        <v>74</v>
      </c>
      <c r="P2128" s="8" t="s">
        <v>120</v>
      </c>
    </row>
    <row r="2129" customFormat="false" ht="15" hidden="false" customHeight="false" outlineLevel="0" collapsed="false">
      <c r="A2129" s="8" t="s">
        <v>437</v>
      </c>
      <c r="B2129" s="8" t="s">
        <v>438</v>
      </c>
      <c r="C2129" s="8" t="s">
        <v>8665</v>
      </c>
      <c r="D2129" s="8" t="s">
        <v>123</v>
      </c>
      <c r="E2129" s="8" t="s">
        <v>55</v>
      </c>
      <c r="F2129" s="8" t="s">
        <v>326</v>
      </c>
      <c r="G2129" s="8" t="s">
        <v>124</v>
      </c>
      <c r="H2129" s="8" t="s">
        <v>8670</v>
      </c>
      <c r="I2129" s="8" t="s">
        <v>9132</v>
      </c>
      <c r="J2129" s="8" t="s">
        <v>185</v>
      </c>
      <c r="K2129" s="8" t="s">
        <v>8664</v>
      </c>
      <c r="L2129" s="8"/>
      <c r="M2129" s="8"/>
      <c r="N2129" s="8" t="n">
        <v>25</v>
      </c>
      <c r="O2129" s="8" t="n">
        <v>487</v>
      </c>
      <c r="P2129" s="8" t="s">
        <v>148</v>
      </c>
    </row>
    <row r="2130" customFormat="false" ht="15" hidden="false" customHeight="false" outlineLevel="0" collapsed="false">
      <c r="A2130" s="8" t="s">
        <v>10278</v>
      </c>
      <c r="B2130" s="8" t="s">
        <v>10279</v>
      </c>
      <c r="C2130" s="8" t="s">
        <v>8678</v>
      </c>
      <c r="D2130" s="8" t="s">
        <v>132</v>
      </c>
      <c r="E2130" s="8" t="s">
        <v>53</v>
      </c>
      <c r="F2130" s="8" t="s">
        <v>326</v>
      </c>
      <c r="G2130" s="8" t="s">
        <v>143</v>
      </c>
      <c r="H2130" s="8" t="s">
        <v>8670</v>
      </c>
      <c r="I2130" s="8" t="s">
        <v>9637</v>
      </c>
      <c r="J2130" s="8"/>
      <c r="K2130" s="8" t="s">
        <v>8690</v>
      </c>
      <c r="L2130" s="8" t="s">
        <v>9687</v>
      </c>
      <c r="M2130" s="8" t="s">
        <v>8705</v>
      </c>
      <c r="N2130" s="8" t="n">
        <v>25</v>
      </c>
      <c r="O2130" s="8" t="n">
        <v>53</v>
      </c>
      <c r="P2130" s="8" t="s">
        <v>148</v>
      </c>
    </row>
    <row r="2131" customFormat="false" ht="15" hidden="false" customHeight="false" outlineLevel="0" collapsed="false">
      <c r="A2131" s="8" t="s">
        <v>258</v>
      </c>
      <c r="B2131" s="8" t="s">
        <v>259</v>
      </c>
      <c r="C2131" s="8" t="s">
        <v>8661</v>
      </c>
      <c r="D2131" s="8" t="s">
        <v>123</v>
      </c>
      <c r="E2131" s="8" t="s">
        <v>55</v>
      </c>
      <c r="F2131" s="8" t="s">
        <v>55</v>
      </c>
      <c r="G2131" s="8" t="s">
        <v>124</v>
      </c>
      <c r="H2131" s="8" t="s">
        <v>8670</v>
      </c>
      <c r="I2131" s="8" t="s">
        <v>9267</v>
      </c>
      <c r="J2131" s="8" t="s">
        <v>140</v>
      </c>
      <c r="K2131" s="8" t="s">
        <v>8664</v>
      </c>
      <c r="L2131" s="8"/>
      <c r="M2131" s="8"/>
      <c r="N2131" s="8" t="n">
        <v>45</v>
      </c>
      <c r="O2131" s="8" t="n">
        <v>474</v>
      </c>
      <c r="P2131" s="8" t="s">
        <v>120</v>
      </c>
    </row>
    <row r="2132" customFormat="false" ht="15" hidden="false" customHeight="false" outlineLevel="0" collapsed="false">
      <c r="A2132" s="8" t="s">
        <v>4458</v>
      </c>
      <c r="B2132" s="8" t="s">
        <v>10280</v>
      </c>
      <c r="C2132" s="8" t="s">
        <v>8674</v>
      </c>
      <c r="D2132" s="8" t="s">
        <v>123</v>
      </c>
      <c r="E2132" s="8" t="s">
        <v>53</v>
      </c>
      <c r="F2132" s="8" t="s">
        <v>326</v>
      </c>
      <c r="G2132" s="8" t="s">
        <v>223</v>
      </c>
      <c r="H2132" s="8" t="s">
        <v>8662</v>
      </c>
      <c r="I2132" s="8" t="s">
        <v>9054</v>
      </c>
      <c r="J2132" s="8"/>
      <c r="K2132" s="8" t="s">
        <v>8690</v>
      </c>
      <c r="L2132" s="8" t="s">
        <v>8919</v>
      </c>
      <c r="M2132" s="8" t="s">
        <v>8692</v>
      </c>
      <c r="N2132" s="8" t="n">
        <v>25</v>
      </c>
      <c r="O2132" s="8" t="n">
        <v>112</v>
      </c>
      <c r="P2132" s="8" t="s">
        <v>120</v>
      </c>
    </row>
    <row r="2133" customFormat="false" ht="15" hidden="false" customHeight="false" outlineLevel="0" collapsed="false">
      <c r="A2133" s="8" t="s">
        <v>1293</v>
      </c>
      <c r="B2133" s="8" t="s">
        <v>1294</v>
      </c>
      <c r="C2133" s="8" t="s">
        <v>8674</v>
      </c>
      <c r="D2133" s="8" t="s">
        <v>128</v>
      </c>
      <c r="E2133" s="8" t="s">
        <v>53</v>
      </c>
      <c r="F2133" s="8" t="s">
        <v>326</v>
      </c>
      <c r="G2133" s="8" t="s">
        <v>118</v>
      </c>
      <c r="H2133" s="8" t="s">
        <v>8666</v>
      </c>
      <c r="I2133" s="8" t="s">
        <v>10163</v>
      </c>
      <c r="J2133" s="8" t="s">
        <v>147</v>
      </c>
      <c r="K2133" s="8" t="s">
        <v>8664</v>
      </c>
      <c r="L2133" s="8"/>
      <c r="M2133" s="8"/>
      <c r="N2133" s="8" t="n">
        <v>25</v>
      </c>
      <c r="O2133" s="8" t="n">
        <v>114</v>
      </c>
      <c r="P2133" s="8" t="s">
        <v>120</v>
      </c>
    </row>
    <row r="2134" customFormat="false" ht="15" hidden="false" customHeight="false" outlineLevel="0" collapsed="false">
      <c r="A2134" s="8" t="s">
        <v>553</v>
      </c>
      <c r="B2134" s="8" t="s">
        <v>554</v>
      </c>
      <c r="C2134" s="8" t="s">
        <v>8678</v>
      </c>
      <c r="D2134" s="8" t="s">
        <v>117</v>
      </c>
      <c r="E2134" s="8" t="s">
        <v>53</v>
      </c>
      <c r="F2134" s="8" t="s">
        <v>55</v>
      </c>
      <c r="G2134" s="8" t="s">
        <v>133</v>
      </c>
      <c r="H2134" s="8" t="s">
        <v>8670</v>
      </c>
      <c r="I2134" s="8" t="s">
        <v>10079</v>
      </c>
      <c r="J2134" s="8" t="s">
        <v>119</v>
      </c>
      <c r="K2134" s="8" t="s">
        <v>8664</v>
      </c>
      <c r="L2134" s="8"/>
      <c r="M2134" s="8"/>
      <c r="N2134" s="8" t="n">
        <v>45</v>
      </c>
      <c r="O2134" s="8" t="n">
        <v>194</v>
      </c>
      <c r="P2134" s="8" t="s">
        <v>120</v>
      </c>
    </row>
    <row r="2135" customFormat="false" ht="15" hidden="false" customHeight="false" outlineLevel="0" collapsed="false">
      <c r="A2135" s="8" t="s">
        <v>4196</v>
      </c>
      <c r="B2135" s="8" t="s">
        <v>4197</v>
      </c>
      <c r="C2135" s="8" t="s">
        <v>8688</v>
      </c>
      <c r="D2135" s="8" t="s">
        <v>123</v>
      </c>
      <c r="E2135" s="8" t="s">
        <v>51</v>
      </c>
      <c r="F2135" s="8" t="s">
        <v>2027</v>
      </c>
      <c r="G2135" s="8" t="s">
        <v>136</v>
      </c>
      <c r="H2135" s="8" t="s">
        <v>8666</v>
      </c>
      <c r="I2135" s="8" t="s">
        <v>9539</v>
      </c>
      <c r="J2135" s="8" t="s">
        <v>159</v>
      </c>
      <c r="K2135" s="8" t="s">
        <v>8664</v>
      </c>
      <c r="L2135" s="8"/>
      <c r="M2135" s="8"/>
      <c r="N2135" s="8" t="n">
        <v>12</v>
      </c>
      <c r="O2135" s="8" t="n">
        <v>9</v>
      </c>
      <c r="P2135" s="8" t="s">
        <v>120</v>
      </c>
    </row>
    <row r="2136" customFormat="false" ht="15" hidden="false" customHeight="false" outlineLevel="0" collapsed="false">
      <c r="A2136" s="8" t="s">
        <v>2148</v>
      </c>
      <c r="B2136" s="8" t="s">
        <v>2149</v>
      </c>
      <c r="C2136" s="8" t="s">
        <v>8688</v>
      </c>
      <c r="D2136" s="8" t="s">
        <v>123</v>
      </c>
      <c r="E2136" s="8" t="s">
        <v>51</v>
      </c>
      <c r="F2136" s="8" t="s">
        <v>2027</v>
      </c>
      <c r="G2136" s="8" t="s">
        <v>223</v>
      </c>
      <c r="H2136" s="8" t="s">
        <v>8666</v>
      </c>
      <c r="I2136" s="8" t="s">
        <v>9154</v>
      </c>
      <c r="J2136" s="8" t="s">
        <v>147</v>
      </c>
      <c r="K2136" s="8" t="s">
        <v>8664</v>
      </c>
      <c r="L2136" s="8"/>
      <c r="M2136" s="8"/>
      <c r="N2136" s="8" t="n">
        <v>12</v>
      </c>
      <c r="O2136" s="8" t="n">
        <v>38</v>
      </c>
      <c r="P2136" s="8" t="s">
        <v>120</v>
      </c>
    </row>
    <row r="2137" customFormat="false" ht="15" hidden="false" customHeight="false" outlineLevel="0" collapsed="false">
      <c r="A2137" s="8" t="s">
        <v>10281</v>
      </c>
      <c r="B2137" s="8" t="s">
        <v>10282</v>
      </c>
      <c r="C2137" s="8" t="s">
        <v>8665</v>
      </c>
      <c r="D2137" s="8" t="s">
        <v>117</v>
      </c>
      <c r="E2137" s="8" t="s">
        <v>51</v>
      </c>
      <c r="F2137" s="8" t="s">
        <v>2027</v>
      </c>
      <c r="G2137" s="8" t="s">
        <v>133</v>
      </c>
      <c r="H2137" s="8" t="s">
        <v>8662</v>
      </c>
      <c r="I2137" s="8" t="s">
        <v>10283</v>
      </c>
      <c r="J2137" s="8"/>
      <c r="K2137" s="8" t="s">
        <v>8690</v>
      </c>
      <c r="L2137" s="8" t="s">
        <v>9822</v>
      </c>
      <c r="M2137" s="8" t="s">
        <v>8705</v>
      </c>
      <c r="N2137" s="8" t="n">
        <v>12</v>
      </c>
      <c r="O2137" s="8" t="n">
        <v>14</v>
      </c>
      <c r="P2137" s="8" t="s">
        <v>120</v>
      </c>
    </row>
    <row r="2138" customFormat="false" ht="15" hidden="false" customHeight="false" outlineLevel="0" collapsed="false">
      <c r="A2138" s="8" t="s">
        <v>4508</v>
      </c>
      <c r="B2138" s="8" t="s">
        <v>10284</v>
      </c>
      <c r="C2138" s="8" t="s">
        <v>8678</v>
      </c>
      <c r="D2138" s="8" t="s">
        <v>117</v>
      </c>
      <c r="E2138" s="8" t="s">
        <v>51</v>
      </c>
      <c r="F2138" s="8" t="s">
        <v>326</v>
      </c>
      <c r="G2138" s="8" t="s">
        <v>154</v>
      </c>
      <c r="H2138" s="8" t="s">
        <v>8670</v>
      </c>
      <c r="I2138" s="8" t="s">
        <v>9499</v>
      </c>
      <c r="J2138" s="8"/>
      <c r="K2138" s="8" t="s">
        <v>8690</v>
      </c>
      <c r="L2138" s="8" t="s">
        <v>9634</v>
      </c>
      <c r="M2138" s="8" t="s">
        <v>8705</v>
      </c>
      <c r="N2138" s="8" t="n">
        <v>25</v>
      </c>
      <c r="O2138" s="8" t="n">
        <v>18</v>
      </c>
      <c r="P2138" s="8" t="s">
        <v>120</v>
      </c>
    </row>
    <row r="2139" customFormat="false" ht="15" hidden="false" customHeight="false" outlineLevel="0" collapsed="false">
      <c r="A2139" s="8" t="s">
        <v>2880</v>
      </c>
      <c r="B2139" s="8" t="s">
        <v>2881</v>
      </c>
      <c r="C2139" s="8" t="s">
        <v>8661</v>
      </c>
      <c r="D2139" s="8" t="s">
        <v>132</v>
      </c>
      <c r="E2139" s="8" t="s">
        <v>51</v>
      </c>
      <c r="F2139" s="8" t="s">
        <v>2027</v>
      </c>
      <c r="G2139" s="8" t="s">
        <v>118</v>
      </c>
      <c r="H2139" s="8" t="s">
        <v>8666</v>
      </c>
      <c r="I2139" s="8" t="s">
        <v>10285</v>
      </c>
      <c r="J2139" s="8" t="s">
        <v>137</v>
      </c>
      <c r="K2139" s="8" t="s">
        <v>8664</v>
      </c>
      <c r="L2139" s="8"/>
      <c r="M2139" s="8"/>
      <c r="N2139" s="8" t="n">
        <v>12</v>
      </c>
      <c r="O2139" s="8" t="n">
        <v>32</v>
      </c>
      <c r="P2139" s="8" t="s">
        <v>120</v>
      </c>
    </row>
    <row r="2140" customFormat="false" ht="15" hidden="false" customHeight="false" outlineLevel="0" collapsed="false">
      <c r="A2140" s="8" t="s">
        <v>1571</v>
      </c>
      <c r="B2140" s="8" t="s">
        <v>1572</v>
      </c>
      <c r="C2140" s="8" t="s">
        <v>8688</v>
      </c>
      <c r="D2140" s="8" t="s">
        <v>123</v>
      </c>
      <c r="E2140" s="8" t="s">
        <v>53</v>
      </c>
      <c r="F2140" s="8" t="s">
        <v>326</v>
      </c>
      <c r="G2140" s="8" t="s">
        <v>154</v>
      </c>
      <c r="H2140" s="8" t="s">
        <v>8670</v>
      </c>
      <c r="I2140" s="8" t="s">
        <v>10286</v>
      </c>
      <c r="J2140" s="8" t="s">
        <v>125</v>
      </c>
      <c r="K2140" s="8" t="s">
        <v>8664</v>
      </c>
      <c r="L2140" s="8"/>
      <c r="M2140" s="8"/>
      <c r="N2140" s="8" t="n">
        <v>25</v>
      </c>
      <c r="O2140" s="8" t="n">
        <v>79</v>
      </c>
      <c r="P2140" s="8" t="s">
        <v>120</v>
      </c>
    </row>
    <row r="2141" customFormat="false" ht="15" hidden="false" customHeight="false" outlineLevel="0" collapsed="false">
      <c r="A2141" s="8" t="s">
        <v>855</v>
      </c>
      <c r="B2141" s="8" t="s">
        <v>856</v>
      </c>
      <c r="C2141" s="8" t="s">
        <v>8661</v>
      </c>
      <c r="D2141" s="8" t="s">
        <v>132</v>
      </c>
      <c r="E2141" s="8" t="s">
        <v>53</v>
      </c>
      <c r="F2141" s="8" t="s">
        <v>326</v>
      </c>
      <c r="G2141" s="8" t="s">
        <v>151</v>
      </c>
      <c r="H2141" s="8" t="s">
        <v>8662</v>
      </c>
      <c r="I2141" s="8" t="s">
        <v>8773</v>
      </c>
      <c r="J2141" s="8" t="s">
        <v>147</v>
      </c>
      <c r="K2141" s="8" t="s">
        <v>8664</v>
      </c>
      <c r="L2141" s="8"/>
      <c r="M2141" s="8"/>
      <c r="N2141" s="8" t="n">
        <v>25</v>
      </c>
      <c r="O2141" s="8" t="n">
        <v>189</v>
      </c>
      <c r="P2141" s="8" t="s">
        <v>148</v>
      </c>
    </row>
    <row r="2142" customFormat="false" ht="15" hidden="false" customHeight="false" outlineLevel="0" collapsed="false">
      <c r="A2142" s="8" t="s">
        <v>2114</v>
      </c>
      <c r="B2142" s="8" t="s">
        <v>2115</v>
      </c>
      <c r="C2142" s="8" t="s">
        <v>8680</v>
      </c>
      <c r="D2142" s="8" t="s">
        <v>132</v>
      </c>
      <c r="E2142" s="8" t="s">
        <v>51</v>
      </c>
      <c r="F2142" s="8" t="s">
        <v>326</v>
      </c>
      <c r="G2142" s="8" t="s">
        <v>136</v>
      </c>
      <c r="H2142" s="8" t="s">
        <v>8666</v>
      </c>
      <c r="I2142" s="8" t="s">
        <v>9704</v>
      </c>
      <c r="J2142" s="8" t="s">
        <v>119</v>
      </c>
      <c r="K2142" s="8" t="s">
        <v>8664</v>
      </c>
      <c r="L2142" s="8"/>
      <c r="M2142" s="8"/>
      <c r="N2142" s="8" t="n">
        <v>25</v>
      </c>
      <c r="O2142" s="8" t="n">
        <v>28</v>
      </c>
      <c r="P2142" s="8" t="s">
        <v>120</v>
      </c>
    </row>
    <row r="2143" customFormat="false" ht="15" hidden="false" customHeight="false" outlineLevel="0" collapsed="false">
      <c r="A2143" s="8" t="s">
        <v>4440</v>
      </c>
      <c r="B2143" s="8" t="s">
        <v>10287</v>
      </c>
      <c r="C2143" s="8" t="s">
        <v>8661</v>
      </c>
      <c r="D2143" s="8" t="s">
        <v>123</v>
      </c>
      <c r="E2143" s="8" t="s">
        <v>53</v>
      </c>
      <c r="F2143" s="8" t="s">
        <v>326</v>
      </c>
      <c r="G2143" s="8" t="s">
        <v>118</v>
      </c>
      <c r="H2143" s="8" t="s">
        <v>8666</v>
      </c>
      <c r="I2143" s="8" t="s">
        <v>8970</v>
      </c>
      <c r="J2143" s="8"/>
      <c r="K2143" s="8" t="s">
        <v>8690</v>
      </c>
      <c r="L2143" s="8" t="s">
        <v>10288</v>
      </c>
      <c r="M2143" s="8" t="s">
        <v>8727</v>
      </c>
      <c r="N2143" s="8" t="n">
        <v>25</v>
      </c>
      <c r="O2143" s="8" t="n">
        <v>163</v>
      </c>
      <c r="P2143" s="8" t="s">
        <v>120</v>
      </c>
    </row>
    <row r="2144" customFormat="false" ht="15" hidden="false" customHeight="false" outlineLevel="0" collapsed="false">
      <c r="A2144" s="8" t="s">
        <v>415</v>
      </c>
      <c r="B2144" s="8" t="s">
        <v>416</v>
      </c>
      <c r="C2144" s="8" t="s">
        <v>8688</v>
      </c>
      <c r="D2144" s="8" t="s">
        <v>123</v>
      </c>
      <c r="E2144" s="8" t="s">
        <v>55</v>
      </c>
      <c r="F2144" s="8" t="s">
        <v>55</v>
      </c>
      <c r="G2144" s="8" t="s">
        <v>136</v>
      </c>
      <c r="H2144" s="8" t="s">
        <v>8662</v>
      </c>
      <c r="I2144" s="8" t="s">
        <v>8722</v>
      </c>
      <c r="J2144" s="8" t="s">
        <v>144</v>
      </c>
      <c r="K2144" s="8" t="s">
        <v>8664</v>
      </c>
      <c r="L2144" s="8"/>
      <c r="M2144" s="8"/>
      <c r="N2144" s="8" t="n">
        <v>45</v>
      </c>
      <c r="O2144" s="8" t="n">
        <v>286</v>
      </c>
      <c r="P2144" s="8" t="s">
        <v>120</v>
      </c>
    </row>
    <row r="2145" customFormat="false" ht="15" hidden="false" customHeight="false" outlineLevel="0" collapsed="false">
      <c r="A2145" s="8" t="s">
        <v>1301</v>
      </c>
      <c r="B2145" s="8" t="s">
        <v>1302</v>
      </c>
      <c r="C2145" s="8" t="s">
        <v>8680</v>
      </c>
      <c r="D2145" s="8" t="s">
        <v>123</v>
      </c>
      <c r="E2145" s="8" t="s">
        <v>53</v>
      </c>
      <c r="F2145" s="8" t="s">
        <v>326</v>
      </c>
      <c r="G2145" s="8" t="s">
        <v>154</v>
      </c>
      <c r="H2145" s="8" t="s">
        <v>8666</v>
      </c>
      <c r="I2145" s="8" t="s">
        <v>8940</v>
      </c>
      <c r="J2145" s="8" t="s">
        <v>140</v>
      </c>
      <c r="K2145" s="8" t="s">
        <v>8664</v>
      </c>
      <c r="L2145" s="8"/>
      <c r="M2145" s="8"/>
      <c r="N2145" s="8" t="n">
        <v>25</v>
      </c>
      <c r="O2145" s="8" t="n">
        <v>161</v>
      </c>
      <c r="P2145" s="8" t="s">
        <v>120</v>
      </c>
    </row>
    <row r="2146" customFormat="false" ht="15" hidden="false" customHeight="false" outlineLevel="0" collapsed="false">
      <c r="A2146" s="8" t="s">
        <v>1929</v>
      </c>
      <c r="B2146" s="8" t="s">
        <v>1930</v>
      </c>
      <c r="C2146" s="8" t="s">
        <v>8678</v>
      </c>
      <c r="D2146" s="8" t="s">
        <v>128</v>
      </c>
      <c r="E2146" s="8" t="s">
        <v>51</v>
      </c>
      <c r="F2146" s="8" t="s">
        <v>326</v>
      </c>
      <c r="G2146" s="8" t="s">
        <v>190</v>
      </c>
      <c r="H2146" s="8" t="s">
        <v>8675</v>
      </c>
      <c r="I2146" s="8" t="s">
        <v>9599</v>
      </c>
      <c r="J2146" s="8" t="s">
        <v>147</v>
      </c>
      <c r="K2146" s="8" t="s">
        <v>8664</v>
      </c>
      <c r="L2146" s="8"/>
      <c r="M2146" s="8"/>
      <c r="N2146" s="8" t="n">
        <v>25</v>
      </c>
      <c r="O2146" s="8" t="n">
        <v>35</v>
      </c>
      <c r="P2146" s="8" t="s">
        <v>120</v>
      </c>
    </row>
    <row r="2147" customFormat="false" ht="15" hidden="false" customHeight="false" outlineLevel="0" collapsed="false">
      <c r="A2147" s="8" t="s">
        <v>3430</v>
      </c>
      <c r="B2147" s="8" t="s">
        <v>3431</v>
      </c>
      <c r="C2147" s="8" t="s">
        <v>8669</v>
      </c>
      <c r="D2147" s="8" t="s">
        <v>123</v>
      </c>
      <c r="E2147" s="8" t="s">
        <v>51</v>
      </c>
      <c r="F2147" s="8" t="s">
        <v>2027</v>
      </c>
      <c r="G2147" s="8" t="s">
        <v>118</v>
      </c>
      <c r="H2147" s="8" t="s">
        <v>8666</v>
      </c>
      <c r="I2147" s="8" t="s">
        <v>9760</v>
      </c>
      <c r="J2147" s="8" t="s">
        <v>137</v>
      </c>
      <c r="K2147" s="8" t="s">
        <v>8664</v>
      </c>
      <c r="L2147" s="8"/>
      <c r="M2147" s="8"/>
      <c r="N2147" s="8" t="n">
        <v>12</v>
      </c>
      <c r="O2147" s="8" t="n">
        <v>23</v>
      </c>
      <c r="P2147" s="8" t="s">
        <v>120</v>
      </c>
    </row>
    <row r="2148" customFormat="false" ht="15" hidden="false" customHeight="false" outlineLevel="0" collapsed="false">
      <c r="A2148" s="8" t="s">
        <v>2116</v>
      </c>
      <c r="B2148" s="8" t="s">
        <v>2117</v>
      </c>
      <c r="C2148" s="8" t="s">
        <v>8661</v>
      </c>
      <c r="D2148" s="8" t="s">
        <v>132</v>
      </c>
      <c r="E2148" s="8" t="s">
        <v>51</v>
      </c>
      <c r="F2148" s="8" t="s">
        <v>326</v>
      </c>
      <c r="G2148" s="8" t="s">
        <v>223</v>
      </c>
      <c r="H2148" s="8" t="s">
        <v>8666</v>
      </c>
      <c r="I2148" s="8" t="s">
        <v>9910</v>
      </c>
      <c r="J2148" s="8" t="s">
        <v>137</v>
      </c>
      <c r="K2148" s="8" t="s">
        <v>8664</v>
      </c>
      <c r="L2148" s="8"/>
      <c r="M2148" s="8"/>
      <c r="N2148" s="8" t="n">
        <v>25</v>
      </c>
      <c r="O2148" s="8" t="n">
        <v>28</v>
      </c>
      <c r="P2148" s="8" t="s">
        <v>120</v>
      </c>
    </row>
    <row r="2149" customFormat="false" ht="15" hidden="false" customHeight="false" outlineLevel="0" collapsed="false">
      <c r="A2149" s="8" t="s">
        <v>10289</v>
      </c>
      <c r="B2149" s="8" t="s">
        <v>10290</v>
      </c>
      <c r="C2149" s="8" t="s">
        <v>8665</v>
      </c>
      <c r="D2149" s="8" t="s">
        <v>132</v>
      </c>
      <c r="E2149" s="8" t="s">
        <v>53</v>
      </c>
      <c r="F2149" s="8" t="s">
        <v>326</v>
      </c>
      <c r="G2149" s="8" t="s">
        <v>133</v>
      </c>
      <c r="H2149" s="8" t="s">
        <v>8666</v>
      </c>
      <c r="I2149" s="8" t="s">
        <v>8779</v>
      </c>
      <c r="J2149" s="8"/>
      <c r="K2149" s="8" t="s">
        <v>8690</v>
      </c>
      <c r="L2149" s="8" t="s">
        <v>8742</v>
      </c>
      <c r="M2149" s="8" t="s">
        <v>8795</v>
      </c>
      <c r="N2149" s="8" t="n">
        <v>25</v>
      </c>
      <c r="O2149" s="8" t="n">
        <v>101</v>
      </c>
      <c r="P2149" s="8" t="s">
        <v>120</v>
      </c>
    </row>
    <row r="2150" customFormat="false" ht="15" hidden="false" customHeight="false" outlineLevel="0" collapsed="false">
      <c r="A2150" s="8" t="s">
        <v>3520</v>
      </c>
      <c r="B2150" s="8" t="s">
        <v>3521</v>
      </c>
      <c r="C2150" s="8" t="s">
        <v>8688</v>
      </c>
      <c r="D2150" s="8" t="s">
        <v>123</v>
      </c>
      <c r="E2150" s="8" t="s">
        <v>51</v>
      </c>
      <c r="F2150" s="8" t="s">
        <v>2027</v>
      </c>
      <c r="G2150" s="8" t="s">
        <v>143</v>
      </c>
      <c r="H2150" s="8" t="s">
        <v>8670</v>
      </c>
      <c r="I2150" s="8" t="s">
        <v>9099</v>
      </c>
      <c r="J2150" s="8" t="s">
        <v>159</v>
      </c>
      <c r="K2150" s="8" t="s">
        <v>8664</v>
      </c>
      <c r="L2150" s="8"/>
      <c r="M2150" s="8"/>
      <c r="N2150" s="8" t="n">
        <v>12</v>
      </c>
      <c r="O2150" s="8" t="n">
        <v>17</v>
      </c>
      <c r="P2150" s="8" t="s">
        <v>120</v>
      </c>
    </row>
    <row r="2151" customFormat="false" ht="15" hidden="false" customHeight="false" outlineLevel="0" collapsed="false">
      <c r="A2151" s="8" t="s">
        <v>3538</v>
      </c>
      <c r="B2151" s="8" t="s">
        <v>3539</v>
      </c>
      <c r="C2151" s="8" t="s">
        <v>8678</v>
      </c>
      <c r="D2151" s="8" t="s">
        <v>117</v>
      </c>
      <c r="E2151" s="8" t="s">
        <v>51</v>
      </c>
      <c r="F2151" s="8" t="s">
        <v>326</v>
      </c>
      <c r="G2151" s="8" t="s">
        <v>143</v>
      </c>
      <c r="H2151" s="8" t="s">
        <v>8662</v>
      </c>
      <c r="I2151" s="8" t="s">
        <v>10103</v>
      </c>
      <c r="J2151" s="8" t="s">
        <v>159</v>
      </c>
      <c r="K2151" s="8" t="s">
        <v>8664</v>
      </c>
      <c r="L2151" s="8"/>
      <c r="M2151" s="8"/>
      <c r="N2151" s="8" t="n">
        <v>25</v>
      </c>
      <c r="O2151" s="8" t="n">
        <v>10</v>
      </c>
      <c r="P2151" s="8" t="s">
        <v>120</v>
      </c>
    </row>
    <row r="2152" customFormat="false" ht="15" hidden="false" customHeight="false" outlineLevel="0" collapsed="false">
      <c r="A2152" s="8" t="s">
        <v>3522</v>
      </c>
      <c r="B2152" s="8" t="s">
        <v>3523</v>
      </c>
      <c r="C2152" s="8" t="s">
        <v>8700</v>
      </c>
      <c r="D2152" s="8" t="s">
        <v>132</v>
      </c>
      <c r="E2152" s="8" t="s">
        <v>51</v>
      </c>
      <c r="F2152" s="8" t="s">
        <v>2027</v>
      </c>
      <c r="G2152" s="8" t="s">
        <v>118</v>
      </c>
      <c r="H2152" s="8" t="s">
        <v>8662</v>
      </c>
      <c r="I2152" s="8" t="s">
        <v>10291</v>
      </c>
      <c r="J2152" s="8" t="s">
        <v>144</v>
      </c>
      <c r="K2152" s="8" t="s">
        <v>8664</v>
      </c>
      <c r="L2152" s="8"/>
      <c r="M2152" s="8"/>
      <c r="N2152" s="8" t="n">
        <v>12</v>
      </c>
      <c r="O2152" s="8" t="n">
        <v>21</v>
      </c>
      <c r="P2152" s="8" t="s">
        <v>120</v>
      </c>
    </row>
    <row r="2153" customFormat="false" ht="15" hidden="false" customHeight="false" outlineLevel="0" collapsed="false">
      <c r="A2153" s="8" t="s">
        <v>10292</v>
      </c>
      <c r="B2153" s="8" t="s">
        <v>10293</v>
      </c>
      <c r="C2153" s="8" t="s">
        <v>8680</v>
      </c>
      <c r="D2153" s="8" t="s">
        <v>123</v>
      </c>
      <c r="E2153" s="8" t="s">
        <v>53</v>
      </c>
      <c r="F2153" s="8" t="s">
        <v>326</v>
      </c>
      <c r="G2153" s="8" t="s">
        <v>118</v>
      </c>
      <c r="H2153" s="8" t="s">
        <v>8675</v>
      </c>
      <c r="I2153" s="8" t="s">
        <v>10294</v>
      </c>
      <c r="J2153" s="8"/>
      <c r="K2153" s="8" t="s">
        <v>8690</v>
      </c>
      <c r="L2153" s="8" t="s">
        <v>9235</v>
      </c>
      <c r="M2153" s="8" t="s">
        <v>8692</v>
      </c>
      <c r="N2153" s="8" t="n">
        <v>25</v>
      </c>
      <c r="O2153" s="8" t="n">
        <v>45</v>
      </c>
      <c r="P2153" s="8" t="s">
        <v>120</v>
      </c>
    </row>
    <row r="2154" customFormat="false" ht="15" hidden="false" customHeight="false" outlineLevel="0" collapsed="false">
      <c r="A2154" s="8" t="s">
        <v>1733</v>
      </c>
      <c r="B2154" s="8" t="s">
        <v>1734</v>
      </c>
      <c r="C2154" s="8" t="s">
        <v>8669</v>
      </c>
      <c r="D2154" s="8" t="s">
        <v>123</v>
      </c>
      <c r="E2154" s="8" t="s">
        <v>51</v>
      </c>
      <c r="F2154" s="8" t="s">
        <v>326</v>
      </c>
      <c r="G2154" s="8" t="s">
        <v>223</v>
      </c>
      <c r="H2154" s="8" t="s">
        <v>8666</v>
      </c>
      <c r="I2154" s="8" t="s">
        <v>9845</v>
      </c>
      <c r="J2154" s="8" t="s">
        <v>159</v>
      </c>
      <c r="K2154" s="8" t="s">
        <v>8664</v>
      </c>
      <c r="L2154" s="8"/>
      <c r="M2154" s="8"/>
      <c r="N2154" s="8" t="n">
        <v>25</v>
      </c>
      <c r="O2154" s="8" t="n">
        <v>38</v>
      </c>
      <c r="P2154" s="8" t="s">
        <v>120</v>
      </c>
    </row>
    <row r="2155" customFormat="false" ht="15" hidden="false" customHeight="false" outlineLevel="0" collapsed="false">
      <c r="A2155" s="8" t="s">
        <v>10295</v>
      </c>
      <c r="B2155" s="8" t="s">
        <v>10296</v>
      </c>
      <c r="C2155" s="8" t="s">
        <v>8665</v>
      </c>
      <c r="D2155" s="8" t="s">
        <v>123</v>
      </c>
      <c r="E2155" s="8" t="s">
        <v>51</v>
      </c>
      <c r="F2155" s="8" t="s">
        <v>2027</v>
      </c>
      <c r="G2155" s="8" t="s">
        <v>124</v>
      </c>
      <c r="H2155" s="8" t="s">
        <v>8675</v>
      </c>
      <c r="I2155" s="8" t="s">
        <v>8689</v>
      </c>
      <c r="J2155" s="8"/>
      <c r="K2155" s="8" t="s">
        <v>8690</v>
      </c>
      <c r="L2155" s="8" t="s">
        <v>9073</v>
      </c>
      <c r="M2155" s="8" t="s">
        <v>8696</v>
      </c>
      <c r="N2155" s="8" t="n">
        <v>12</v>
      </c>
      <c r="O2155" s="8" t="n">
        <v>39</v>
      </c>
      <c r="P2155" s="8" t="s">
        <v>120</v>
      </c>
    </row>
    <row r="2156" customFormat="false" ht="15" hidden="false" customHeight="false" outlineLevel="0" collapsed="false">
      <c r="A2156" s="8" t="s">
        <v>2830</v>
      </c>
      <c r="B2156" s="8" t="s">
        <v>2831</v>
      </c>
      <c r="C2156" s="8" t="s">
        <v>8688</v>
      </c>
      <c r="D2156" s="8" t="s">
        <v>132</v>
      </c>
      <c r="E2156" s="8" t="s">
        <v>51</v>
      </c>
      <c r="F2156" s="8" t="s">
        <v>2027</v>
      </c>
      <c r="G2156" s="8" t="s">
        <v>151</v>
      </c>
      <c r="H2156" s="8" t="s">
        <v>8670</v>
      </c>
      <c r="I2156" s="8" t="s">
        <v>8712</v>
      </c>
      <c r="J2156" s="8" t="s">
        <v>140</v>
      </c>
      <c r="K2156" s="8" t="s">
        <v>8664</v>
      </c>
      <c r="L2156" s="8"/>
      <c r="M2156" s="8"/>
      <c r="N2156" s="8" t="n">
        <v>12</v>
      </c>
      <c r="O2156" s="8" t="n">
        <v>28</v>
      </c>
      <c r="P2156" s="8" t="s">
        <v>120</v>
      </c>
    </row>
    <row r="2157" customFormat="false" ht="15" hidden="false" customHeight="false" outlineLevel="0" collapsed="false">
      <c r="A2157" s="8" t="s">
        <v>3688</v>
      </c>
      <c r="B2157" s="8" t="s">
        <v>3689</v>
      </c>
      <c r="C2157" s="8" t="s">
        <v>8680</v>
      </c>
      <c r="D2157" s="8" t="s">
        <v>123</v>
      </c>
      <c r="E2157" s="8" t="s">
        <v>51</v>
      </c>
      <c r="F2157" s="8" t="s">
        <v>2027</v>
      </c>
      <c r="G2157" s="8" t="s">
        <v>133</v>
      </c>
      <c r="H2157" s="8" t="s">
        <v>8666</v>
      </c>
      <c r="I2157" s="8" t="s">
        <v>8826</v>
      </c>
      <c r="J2157" s="8" t="s">
        <v>119</v>
      </c>
      <c r="K2157" s="8" t="s">
        <v>8664</v>
      </c>
      <c r="L2157" s="8"/>
      <c r="M2157" s="8"/>
      <c r="N2157" s="8" t="n">
        <v>12</v>
      </c>
      <c r="O2157" s="8" t="n">
        <v>18</v>
      </c>
      <c r="P2157" s="8" t="s">
        <v>120</v>
      </c>
    </row>
    <row r="2158" customFormat="false" ht="15" hidden="false" customHeight="false" outlineLevel="0" collapsed="false">
      <c r="A2158" s="8" t="s">
        <v>2023</v>
      </c>
      <c r="B2158" s="8" t="s">
        <v>2024</v>
      </c>
      <c r="C2158" s="8" t="s">
        <v>8700</v>
      </c>
      <c r="D2158" s="8" t="s">
        <v>132</v>
      </c>
      <c r="E2158" s="8" t="s">
        <v>51</v>
      </c>
      <c r="F2158" s="8" t="s">
        <v>326</v>
      </c>
      <c r="G2158" s="8" t="s">
        <v>133</v>
      </c>
      <c r="H2158" s="8" t="s">
        <v>8670</v>
      </c>
      <c r="I2158" s="8" t="s">
        <v>10204</v>
      </c>
      <c r="J2158" s="8" t="s">
        <v>177</v>
      </c>
      <c r="K2158" s="8" t="s">
        <v>8664</v>
      </c>
      <c r="L2158" s="8"/>
      <c r="M2158" s="8"/>
      <c r="N2158" s="8" t="n">
        <v>25</v>
      </c>
      <c r="O2158" s="8" t="n">
        <v>31</v>
      </c>
      <c r="P2158" s="8" t="s">
        <v>120</v>
      </c>
    </row>
    <row r="2159" customFormat="false" ht="15" hidden="false" customHeight="false" outlineLevel="0" collapsed="false">
      <c r="A2159" s="8" t="s">
        <v>1053</v>
      </c>
      <c r="B2159" s="8" t="s">
        <v>1054</v>
      </c>
      <c r="C2159" s="8" t="s">
        <v>8700</v>
      </c>
      <c r="D2159" s="8" t="s">
        <v>123</v>
      </c>
      <c r="E2159" s="8" t="s">
        <v>53</v>
      </c>
      <c r="F2159" s="8" t="s">
        <v>55</v>
      </c>
      <c r="G2159" s="8" t="s">
        <v>133</v>
      </c>
      <c r="H2159" s="8" t="s">
        <v>8662</v>
      </c>
      <c r="I2159" s="8" t="s">
        <v>9331</v>
      </c>
      <c r="J2159" s="8" t="s">
        <v>129</v>
      </c>
      <c r="K2159" s="8" t="s">
        <v>8664</v>
      </c>
      <c r="L2159" s="8"/>
      <c r="M2159" s="8"/>
      <c r="N2159" s="8" t="n">
        <v>45</v>
      </c>
      <c r="O2159" s="8" t="n">
        <v>87</v>
      </c>
      <c r="P2159" s="8" t="s">
        <v>120</v>
      </c>
    </row>
    <row r="2160" customFormat="false" ht="15" hidden="false" customHeight="false" outlineLevel="0" collapsed="false">
      <c r="A2160" s="8" t="s">
        <v>3240</v>
      </c>
      <c r="B2160" s="8" t="s">
        <v>3241</v>
      </c>
      <c r="C2160" s="8" t="s">
        <v>8688</v>
      </c>
      <c r="D2160" s="8" t="s">
        <v>117</v>
      </c>
      <c r="E2160" s="8" t="s">
        <v>51</v>
      </c>
      <c r="F2160" s="8" t="s">
        <v>2027</v>
      </c>
      <c r="G2160" s="8" t="s">
        <v>143</v>
      </c>
      <c r="H2160" s="8" t="s">
        <v>8670</v>
      </c>
      <c r="I2160" s="8" t="s">
        <v>8831</v>
      </c>
      <c r="J2160" s="8" t="s">
        <v>147</v>
      </c>
      <c r="K2160" s="8" t="s">
        <v>8664</v>
      </c>
      <c r="L2160" s="8"/>
      <c r="M2160" s="8"/>
      <c r="N2160" s="8" t="n">
        <v>12</v>
      </c>
      <c r="O2160" s="8" t="n">
        <v>26</v>
      </c>
      <c r="P2160" s="8" t="s">
        <v>120</v>
      </c>
    </row>
    <row r="2161" customFormat="false" ht="15" hidden="false" customHeight="false" outlineLevel="0" collapsed="false">
      <c r="A2161" s="8" t="s">
        <v>1543</v>
      </c>
      <c r="B2161" s="8" t="s">
        <v>1544</v>
      </c>
      <c r="C2161" s="8" t="s">
        <v>8674</v>
      </c>
      <c r="D2161" s="8" t="s">
        <v>128</v>
      </c>
      <c r="E2161" s="8" t="s">
        <v>53</v>
      </c>
      <c r="F2161" s="8" t="s">
        <v>326</v>
      </c>
      <c r="G2161" s="8" t="s">
        <v>154</v>
      </c>
      <c r="H2161" s="8" t="s">
        <v>8670</v>
      </c>
      <c r="I2161" s="8" t="s">
        <v>8755</v>
      </c>
      <c r="J2161" s="8" t="s">
        <v>140</v>
      </c>
      <c r="K2161" s="8" t="s">
        <v>8664</v>
      </c>
      <c r="L2161" s="8"/>
      <c r="M2161" s="8"/>
      <c r="N2161" s="8" t="n">
        <v>25</v>
      </c>
      <c r="O2161" s="8" t="n">
        <v>50</v>
      </c>
      <c r="P2161" s="8" t="s">
        <v>120</v>
      </c>
    </row>
    <row r="2162" customFormat="false" ht="15" hidden="false" customHeight="false" outlineLevel="0" collapsed="false">
      <c r="A2162" s="8" t="s">
        <v>4489</v>
      </c>
      <c r="B2162" s="8" t="s">
        <v>10297</v>
      </c>
      <c r="C2162" s="8" t="s">
        <v>8669</v>
      </c>
      <c r="D2162" s="8" t="s">
        <v>117</v>
      </c>
      <c r="E2162" s="8" t="s">
        <v>51</v>
      </c>
      <c r="F2162" s="8" t="s">
        <v>326</v>
      </c>
      <c r="G2162" s="8" t="s">
        <v>143</v>
      </c>
      <c r="H2162" s="8" t="s">
        <v>8675</v>
      </c>
      <c r="I2162" s="8" t="s">
        <v>10110</v>
      </c>
      <c r="J2162" s="8"/>
      <c r="K2162" s="8" t="s">
        <v>8690</v>
      </c>
      <c r="L2162" s="8" t="s">
        <v>9934</v>
      </c>
      <c r="M2162" s="8" t="s">
        <v>8705</v>
      </c>
      <c r="N2162" s="8" t="n">
        <v>25</v>
      </c>
      <c r="O2162" s="8" t="n">
        <v>25</v>
      </c>
      <c r="P2162" s="8" t="s">
        <v>120</v>
      </c>
    </row>
    <row r="2163" customFormat="false" ht="15" hidden="false" customHeight="false" outlineLevel="0" collapsed="false">
      <c r="A2163" s="8" t="s">
        <v>593</v>
      </c>
      <c r="B2163" s="8" t="s">
        <v>594</v>
      </c>
      <c r="C2163" s="8" t="s">
        <v>8669</v>
      </c>
      <c r="D2163" s="8" t="s">
        <v>117</v>
      </c>
      <c r="E2163" s="8" t="s">
        <v>53</v>
      </c>
      <c r="F2163" s="8" t="s">
        <v>326</v>
      </c>
      <c r="G2163" s="8" t="s">
        <v>136</v>
      </c>
      <c r="H2163" s="8" t="s">
        <v>8666</v>
      </c>
      <c r="I2163" s="8" t="s">
        <v>9507</v>
      </c>
      <c r="J2163" s="8" t="s">
        <v>177</v>
      </c>
      <c r="K2163" s="8" t="s">
        <v>8664</v>
      </c>
      <c r="L2163" s="8"/>
      <c r="M2163" s="8"/>
      <c r="N2163" s="8" t="n">
        <v>25</v>
      </c>
      <c r="O2163" s="8" t="n">
        <v>184</v>
      </c>
      <c r="P2163" s="8" t="s">
        <v>120</v>
      </c>
    </row>
    <row r="2164" customFormat="false" ht="15" hidden="false" customHeight="false" outlineLevel="0" collapsed="false">
      <c r="A2164" s="8" t="s">
        <v>4294</v>
      </c>
      <c r="B2164" s="8" t="s">
        <v>4295</v>
      </c>
      <c r="C2164" s="8" t="s">
        <v>8669</v>
      </c>
      <c r="D2164" s="8" t="s">
        <v>123</v>
      </c>
      <c r="E2164" s="8" t="s">
        <v>51</v>
      </c>
      <c r="F2164" s="8" t="s">
        <v>2027</v>
      </c>
      <c r="G2164" s="8" t="s">
        <v>118</v>
      </c>
      <c r="H2164" s="8" t="s">
        <v>8666</v>
      </c>
      <c r="I2164" s="8" t="s">
        <v>10004</v>
      </c>
      <c r="J2164" s="8" t="s">
        <v>144</v>
      </c>
      <c r="K2164" s="8" t="s">
        <v>8664</v>
      </c>
      <c r="L2164" s="8"/>
      <c r="M2164" s="8"/>
      <c r="N2164" s="8" t="n">
        <v>12</v>
      </c>
      <c r="O2164" s="8" t="n">
        <v>7</v>
      </c>
      <c r="P2164" s="8" t="s">
        <v>120</v>
      </c>
    </row>
    <row r="2165" customFormat="false" ht="15" hidden="false" customHeight="false" outlineLevel="0" collapsed="false">
      <c r="A2165" s="8" t="s">
        <v>3012</v>
      </c>
      <c r="B2165" s="8" t="s">
        <v>3013</v>
      </c>
      <c r="C2165" s="8" t="s">
        <v>8700</v>
      </c>
      <c r="D2165" s="8" t="s">
        <v>128</v>
      </c>
      <c r="E2165" s="8" t="s">
        <v>51</v>
      </c>
      <c r="F2165" s="8" t="s">
        <v>2027</v>
      </c>
      <c r="G2165" s="8" t="s">
        <v>133</v>
      </c>
      <c r="H2165" s="8" t="s">
        <v>8666</v>
      </c>
      <c r="I2165" s="8" t="s">
        <v>8793</v>
      </c>
      <c r="J2165" s="8" t="s">
        <v>137</v>
      </c>
      <c r="K2165" s="8" t="s">
        <v>8664</v>
      </c>
      <c r="L2165" s="8"/>
      <c r="M2165" s="8"/>
      <c r="N2165" s="8" t="n">
        <v>12</v>
      </c>
      <c r="O2165" s="8" t="n">
        <v>30</v>
      </c>
      <c r="P2165" s="8" t="s">
        <v>120</v>
      </c>
    </row>
    <row r="2166" customFormat="false" ht="15" hidden="false" customHeight="false" outlineLevel="0" collapsed="false">
      <c r="A2166" s="8" t="s">
        <v>4514</v>
      </c>
      <c r="B2166" s="8" t="s">
        <v>10298</v>
      </c>
      <c r="C2166" s="8" t="s">
        <v>8674</v>
      </c>
      <c r="D2166" s="8" t="s">
        <v>117</v>
      </c>
      <c r="E2166" s="8" t="s">
        <v>51</v>
      </c>
      <c r="F2166" s="8" t="s">
        <v>2027</v>
      </c>
      <c r="G2166" s="8" t="s">
        <v>151</v>
      </c>
      <c r="H2166" s="8" t="s">
        <v>8666</v>
      </c>
      <c r="I2166" s="8" t="s">
        <v>8728</v>
      </c>
      <c r="J2166" s="8"/>
      <c r="K2166" s="8" t="s">
        <v>8690</v>
      </c>
      <c r="L2166" s="8" t="s">
        <v>10299</v>
      </c>
      <c r="M2166" s="8" t="s">
        <v>8795</v>
      </c>
      <c r="N2166" s="8" t="n">
        <v>12</v>
      </c>
      <c r="O2166" s="8" t="n">
        <v>35</v>
      </c>
      <c r="P2166" s="8" t="s">
        <v>120</v>
      </c>
    </row>
    <row r="2167" customFormat="false" ht="15" hidden="false" customHeight="false" outlineLevel="0" collapsed="false">
      <c r="A2167" s="8" t="s">
        <v>10300</v>
      </c>
      <c r="B2167" s="8" t="s">
        <v>10301</v>
      </c>
      <c r="C2167" s="8" t="s">
        <v>8688</v>
      </c>
      <c r="D2167" s="8" t="s">
        <v>117</v>
      </c>
      <c r="E2167" s="8" t="s">
        <v>55</v>
      </c>
      <c r="F2167" s="8" t="s">
        <v>55</v>
      </c>
      <c r="G2167" s="8" t="s">
        <v>190</v>
      </c>
      <c r="H2167" s="8" t="s">
        <v>8666</v>
      </c>
      <c r="I2167" s="8" t="s">
        <v>10302</v>
      </c>
      <c r="J2167" s="8"/>
      <c r="K2167" s="8" t="s">
        <v>8690</v>
      </c>
      <c r="L2167" s="8" t="s">
        <v>8701</v>
      </c>
      <c r="M2167" s="8" t="s">
        <v>8696</v>
      </c>
      <c r="N2167" s="8" t="n">
        <v>45</v>
      </c>
      <c r="O2167" s="8" t="n">
        <v>180</v>
      </c>
      <c r="P2167" s="8" t="s">
        <v>120</v>
      </c>
    </row>
    <row r="2168" customFormat="false" ht="15" hidden="false" customHeight="false" outlineLevel="0" collapsed="false">
      <c r="A2168" s="8" t="s">
        <v>4254</v>
      </c>
      <c r="B2168" s="8" t="s">
        <v>4255</v>
      </c>
      <c r="C2168" s="8" t="s">
        <v>8669</v>
      </c>
      <c r="D2168" s="8" t="s">
        <v>123</v>
      </c>
      <c r="E2168" s="8" t="s">
        <v>51</v>
      </c>
      <c r="F2168" s="8" t="s">
        <v>2027</v>
      </c>
      <c r="G2168" s="8" t="s">
        <v>136</v>
      </c>
      <c r="H2168" s="8" t="s">
        <v>8670</v>
      </c>
      <c r="I2168" s="8" t="s">
        <v>8975</v>
      </c>
      <c r="J2168" s="8" t="s">
        <v>137</v>
      </c>
      <c r="K2168" s="8" t="s">
        <v>8664</v>
      </c>
      <c r="L2168" s="8"/>
      <c r="M2168" s="8"/>
      <c r="N2168" s="8" t="n">
        <v>12</v>
      </c>
      <c r="O2168" s="8" t="n">
        <v>8</v>
      </c>
      <c r="P2168" s="8" t="s">
        <v>120</v>
      </c>
    </row>
    <row r="2169" customFormat="false" ht="15" hidden="false" customHeight="false" outlineLevel="0" collapsed="false">
      <c r="A2169" s="8" t="s">
        <v>2476</v>
      </c>
      <c r="B2169" s="8" t="s">
        <v>2477</v>
      </c>
      <c r="C2169" s="8" t="s">
        <v>8680</v>
      </c>
      <c r="D2169" s="8" t="s">
        <v>123</v>
      </c>
      <c r="E2169" s="8" t="s">
        <v>51</v>
      </c>
      <c r="F2169" s="8" t="s">
        <v>2027</v>
      </c>
      <c r="G2169" s="8" t="s">
        <v>151</v>
      </c>
      <c r="H2169" s="8" t="s">
        <v>8662</v>
      </c>
      <c r="I2169" s="8" t="s">
        <v>8838</v>
      </c>
      <c r="J2169" s="8" t="s">
        <v>129</v>
      </c>
      <c r="K2169" s="8" t="s">
        <v>8664</v>
      </c>
      <c r="L2169" s="8"/>
      <c r="M2169" s="8"/>
      <c r="N2169" s="8" t="n">
        <v>12</v>
      </c>
      <c r="O2169" s="8" t="n">
        <v>39</v>
      </c>
      <c r="P2169" s="8" t="s">
        <v>120</v>
      </c>
    </row>
    <row r="2170" customFormat="false" ht="15" hidden="false" customHeight="false" outlineLevel="0" collapsed="false">
      <c r="A2170" s="8" t="s">
        <v>10303</v>
      </c>
      <c r="B2170" s="8" t="s">
        <v>10304</v>
      </c>
      <c r="C2170" s="8" t="s">
        <v>8688</v>
      </c>
      <c r="D2170" s="8" t="s">
        <v>123</v>
      </c>
      <c r="E2170" s="8" t="s">
        <v>51</v>
      </c>
      <c r="F2170" s="8" t="s">
        <v>2027</v>
      </c>
      <c r="G2170" s="8" t="s">
        <v>143</v>
      </c>
      <c r="H2170" s="8" t="s">
        <v>8666</v>
      </c>
      <c r="I2170" s="8" t="s">
        <v>9011</v>
      </c>
      <c r="J2170" s="8"/>
      <c r="K2170" s="8" t="s">
        <v>8690</v>
      </c>
      <c r="L2170" s="8" t="s">
        <v>9569</v>
      </c>
      <c r="M2170" s="8" t="s">
        <v>8705</v>
      </c>
      <c r="N2170" s="8" t="n">
        <v>12</v>
      </c>
      <c r="O2170" s="8" t="n">
        <v>14</v>
      </c>
      <c r="P2170" s="8" t="s">
        <v>148</v>
      </c>
    </row>
    <row r="2171" customFormat="false" ht="15" hidden="false" customHeight="false" outlineLevel="0" collapsed="false">
      <c r="A2171" s="8" t="s">
        <v>4557</v>
      </c>
      <c r="B2171" s="8" t="s">
        <v>10305</v>
      </c>
      <c r="C2171" s="8" t="s">
        <v>8665</v>
      </c>
      <c r="D2171" s="8" t="s">
        <v>117</v>
      </c>
      <c r="E2171" s="8" t="s">
        <v>51</v>
      </c>
      <c r="F2171" s="8" t="s">
        <v>326</v>
      </c>
      <c r="G2171" s="8" t="s">
        <v>151</v>
      </c>
      <c r="H2171" s="8" t="s">
        <v>8662</v>
      </c>
      <c r="I2171" s="8" t="s">
        <v>8789</v>
      </c>
      <c r="J2171" s="8"/>
      <c r="K2171" s="8" t="s">
        <v>8690</v>
      </c>
      <c r="L2171" s="8" t="s">
        <v>8907</v>
      </c>
      <c r="M2171" s="8" t="s">
        <v>8692</v>
      </c>
      <c r="N2171" s="8" t="n">
        <v>25</v>
      </c>
      <c r="O2171" s="8" t="n">
        <v>8</v>
      </c>
      <c r="P2171" s="8" t="s">
        <v>120</v>
      </c>
    </row>
    <row r="2172" customFormat="false" ht="15" hidden="false" customHeight="false" outlineLevel="0" collapsed="false">
      <c r="A2172" s="8" t="s">
        <v>725</v>
      </c>
      <c r="B2172" s="8" t="s">
        <v>726</v>
      </c>
      <c r="C2172" s="8" t="s">
        <v>8688</v>
      </c>
      <c r="D2172" s="8" t="s">
        <v>123</v>
      </c>
      <c r="E2172" s="8" t="s">
        <v>53</v>
      </c>
      <c r="F2172" s="8" t="s">
        <v>326</v>
      </c>
      <c r="G2172" s="8" t="s">
        <v>223</v>
      </c>
      <c r="H2172" s="8" t="s">
        <v>8670</v>
      </c>
      <c r="I2172" s="8" t="s">
        <v>9569</v>
      </c>
      <c r="J2172" s="8" t="s">
        <v>204</v>
      </c>
      <c r="K2172" s="8" t="s">
        <v>8664</v>
      </c>
      <c r="L2172" s="8"/>
      <c r="M2172" s="8"/>
      <c r="N2172" s="8" t="n">
        <v>25</v>
      </c>
      <c r="O2172" s="8" t="n">
        <v>184</v>
      </c>
      <c r="P2172" s="8" t="s">
        <v>120</v>
      </c>
    </row>
    <row r="2173" customFormat="false" ht="15" hidden="false" customHeight="false" outlineLevel="0" collapsed="false">
      <c r="A2173" s="8" t="s">
        <v>2772</v>
      </c>
      <c r="B2173" s="8" t="s">
        <v>2773</v>
      </c>
      <c r="C2173" s="8" t="s">
        <v>8700</v>
      </c>
      <c r="D2173" s="8" t="s">
        <v>132</v>
      </c>
      <c r="E2173" s="8" t="s">
        <v>51</v>
      </c>
      <c r="F2173" s="8" t="s">
        <v>2027</v>
      </c>
      <c r="G2173" s="8" t="s">
        <v>143</v>
      </c>
      <c r="H2173" s="8" t="s">
        <v>8662</v>
      </c>
      <c r="I2173" s="8" t="s">
        <v>9634</v>
      </c>
      <c r="J2173" s="8" t="s">
        <v>147</v>
      </c>
      <c r="K2173" s="8" t="s">
        <v>8664</v>
      </c>
      <c r="L2173" s="8"/>
      <c r="M2173" s="8"/>
      <c r="N2173" s="8" t="n">
        <v>12</v>
      </c>
      <c r="O2173" s="8" t="n">
        <v>34</v>
      </c>
      <c r="P2173" s="8" t="s">
        <v>120</v>
      </c>
    </row>
    <row r="2174" customFormat="false" ht="15" hidden="false" customHeight="false" outlineLevel="0" collapsed="false">
      <c r="A2174" s="8" t="s">
        <v>2224</v>
      </c>
      <c r="B2174" s="8" t="s">
        <v>2225</v>
      </c>
      <c r="C2174" s="8" t="s">
        <v>8678</v>
      </c>
      <c r="D2174" s="8" t="s">
        <v>117</v>
      </c>
      <c r="E2174" s="8" t="s">
        <v>51</v>
      </c>
      <c r="F2174" s="8" t="s">
        <v>326</v>
      </c>
      <c r="G2174" s="8" t="s">
        <v>166</v>
      </c>
      <c r="H2174" s="8" t="s">
        <v>8662</v>
      </c>
      <c r="I2174" s="8" t="s">
        <v>8788</v>
      </c>
      <c r="J2174" s="8" t="s">
        <v>159</v>
      </c>
      <c r="K2174" s="8" t="s">
        <v>8664</v>
      </c>
      <c r="L2174" s="8"/>
      <c r="M2174" s="8"/>
      <c r="N2174" s="8" t="n">
        <v>25</v>
      </c>
      <c r="O2174" s="8" t="n">
        <v>29</v>
      </c>
      <c r="P2174" s="8" t="s">
        <v>120</v>
      </c>
    </row>
    <row r="2175" customFormat="false" ht="15" hidden="false" customHeight="false" outlineLevel="0" collapsed="false">
      <c r="A2175" s="8" t="s">
        <v>2060</v>
      </c>
      <c r="B2175" s="8" t="s">
        <v>2061</v>
      </c>
      <c r="C2175" s="8" t="s">
        <v>8661</v>
      </c>
      <c r="D2175" s="8" t="s">
        <v>123</v>
      </c>
      <c r="E2175" s="8" t="s">
        <v>51</v>
      </c>
      <c r="F2175" s="8" t="s">
        <v>326</v>
      </c>
      <c r="G2175" s="8" t="s">
        <v>166</v>
      </c>
      <c r="H2175" s="8" t="s">
        <v>8662</v>
      </c>
      <c r="I2175" s="8" t="s">
        <v>9544</v>
      </c>
      <c r="J2175" s="8" t="s">
        <v>119</v>
      </c>
      <c r="K2175" s="8" t="s">
        <v>8664</v>
      </c>
      <c r="L2175" s="8"/>
      <c r="M2175" s="8"/>
      <c r="N2175" s="8" t="n">
        <v>25</v>
      </c>
      <c r="O2175" s="8" t="n">
        <v>27</v>
      </c>
      <c r="P2175" s="8" t="s">
        <v>120</v>
      </c>
    </row>
    <row r="2176" customFormat="false" ht="15" hidden="false" customHeight="false" outlineLevel="0" collapsed="false">
      <c r="A2176" s="8" t="s">
        <v>3014</v>
      </c>
      <c r="B2176" s="8" t="s">
        <v>3015</v>
      </c>
      <c r="C2176" s="8" t="s">
        <v>8674</v>
      </c>
      <c r="D2176" s="8" t="s">
        <v>123</v>
      </c>
      <c r="E2176" s="8" t="s">
        <v>51</v>
      </c>
      <c r="F2176" s="8" t="s">
        <v>2027</v>
      </c>
      <c r="G2176" s="8" t="s">
        <v>166</v>
      </c>
      <c r="H2176" s="8" t="s">
        <v>8675</v>
      </c>
      <c r="I2176" s="8" t="s">
        <v>9732</v>
      </c>
      <c r="J2176" s="8" t="s">
        <v>140</v>
      </c>
      <c r="K2176" s="8" t="s">
        <v>8664</v>
      </c>
      <c r="L2176" s="8"/>
      <c r="M2176" s="8"/>
      <c r="N2176" s="8" t="n">
        <v>12</v>
      </c>
      <c r="O2176" s="8" t="n">
        <v>30</v>
      </c>
      <c r="P2176" s="8" t="s">
        <v>120</v>
      </c>
    </row>
    <row r="2177" customFormat="false" ht="15" hidden="false" customHeight="false" outlineLevel="0" collapsed="false">
      <c r="A2177" s="8" t="s">
        <v>1495</v>
      </c>
      <c r="B2177" s="8" t="s">
        <v>1496</v>
      </c>
      <c r="C2177" s="8" t="s">
        <v>8661</v>
      </c>
      <c r="D2177" s="8" t="s">
        <v>132</v>
      </c>
      <c r="E2177" s="8" t="s">
        <v>53</v>
      </c>
      <c r="F2177" s="8" t="s">
        <v>55</v>
      </c>
      <c r="G2177" s="8" t="s">
        <v>124</v>
      </c>
      <c r="H2177" s="8" t="s">
        <v>8666</v>
      </c>
      <c r="I2177" s="8" t="s">
        <v>10306</v>
      </c>
      <c r="J2177" s="8" t="s">
        <v>147</v>
      </c>
      <c r="K2177" s="8" t="s">
        <v>8664</v>
      </c>
      <c r="L2177" s="8"/>
      <c r="M2177" s="8"/>
      <c r="N2177" s="8" t="n">
        <v>45</v>
      </c>
      <c r="O2177" s="8" t="n">
        <v>51</v>
      </c>
      <c r="P2177" s="8" t="s">
        <v>148</v>
      </c>
    </row>
    <row r="2178" customFormat="false" ht="15" hidden="false" customHeight="false" outlineLevel="0" collapsed="false">
      <c r="A2178" s="8" t="s">
        <v>205</v>
      </c>
      <c r="B2178" s="8" t="s">
        <v>206</v>
      </c>
      <c r="C2178" s="8" t="s">
        <v>8669</v>
      </c>
      <c r="D2178" s="8" t="s">
        <v>117</v>
      </c>
      <c r="E2178" s="8" t="s">
        <v>55</v>
      </c>
      <c r="F2178" s="8" t="s">
        <v>55</v>
      </c>
      <c r="G2178" s="8" t="s">
        <v>143</v>
      </c>
      <c r="H2178" s="8" t="s">
        <v>8670</v>
      </c>
      <c r="I2178" s="8" t="s">
        <v>9876</v>
      </c>
      <c r="J2178" s="8" t="s">
        <v>147</v>
      </c>
      <c r="K2178" s="8" t="s">
        <v>8664</v>
      </c>
      <c r="L2178" s="8"/>
      <c r="M2178" s="8"/>
      <c r="N2178" s="8" t="n">
        <v>45</v>
      </c>
      <c r="O2178" s="8" t="n">
        <v>554</v>
      </c>
      <c r="P2178" s="8" t="s">
        <v>120</v>
      </c>
    </row>
    <row r="2179" customFormat="false" ht="15" hidden="false" customHeight="false" outlineLevel="0" collapsed="false">
      <c r="A2179" s="8" t="s">
        <v>3140</v>
      </c>
      <c r="B2179" s="8" t="s">
        <v>3141</v>
      </c>
      <c r="C2179" s="8" t="s">
        <v>8674</v>
      </c>
      <c r="D2179" s="8" t="s">
        <v>123</v>
      </c>
      <c r="E2179" s="8" t="s">
        <v>51</v>
      </c>
      <c r="F2179" s="8" t="s">
        <v>326</v>
      </c>
      <c r="G2179" s="8" t="s">
        <v>136</v>
      </c>
      <c r="H2179" s="8" t="s">
        <v>8666</v>
      </c>
      <c r="I2179" s="8" t="s">
        <v>9500</v>
      </c>
      <c r="J2179" s="8" t="s">
        <v>140</v>
      </c>
      <c r="K2179" s="8" t="s">
        <v>8664</v>
      </c>
      <c r="L2179" s="8"/>
      <c r="M2179" s="8"/>
      <c r="N2179" s="8" t="n">
        <v>25</v>
      </c>
      <c r="O2179" s="8" t="n">
        <v>13</v>
      </c>
      <c r="P2179" s="8" t="s">
        <v>120</v>
      </c>
    </row>
    <row r="2180" customFormat="false" ht="15" hidden="false" customHeight="false" outlineLevel="0" collapsed="false">
      <c r="A2180" s="8" t="s">
        <v>1627</v>
      </c>
      <c r="B2180" s="8" t="s">
        <v>1628</v>
      </c>
      <c r="C2180" s="8" t="s">
        <v>8669</v>
      </c>
      <c r="D2180" s="8" t="s">
        <v>123</v>
      </c>
      <c r="E2180" s="8" t="s">
        <v>53</v>
      </c>
      <c r="F2180" s="8" t="s">
        <v>326</v>
      </c>
      <c r="G2180" s="8" t="s">
        <v>133</v>
      </c>
      <c r="H2180" s="8" t="s">
        <v>8662</v>
      </c>
      <c r="I2180" s="8" t="s">
        <v>9611</v>
      </c>
      <c r="J2180" s="8" t="s">
        <v>177</v>
      </c>
      <c r="K2180" s="8" t="s">
        <v>8664</v>
      </c>
      <c r="L2180" s="8"/>
      <c r="M2180" s="8"/>
      <c r="N2180" s="8" t="n">
        <v>25</v>
      </c>
      <c r="O2180" s="8" t="n">
        <v>68</v>
      </c>
      <c r="P2180" s="8" t="s">
        <v>120</v>
      </c>
    </row>
    <row r="2181" customFormat="false" ht="15" hidden="false" customHeight="false" outlineLevel="0" collapsed="false">
      <c r="A2181" s="8" t="s">
        <v>487</v>
      </c>
      <c r="B2181" s="8" t="s">
        <v>488</v>
      </c>
      <c r="C2181" s="8" t="s">
        <v>8674</v>
      </c>
      <c r="D2181" s="8" t="s">
        <v>123</v>
      </c>
      <c r="E2181" s="8" t="s">
        <v>55</v>
      </c>
      <c r="F2181" s="8" t="s">
        <v>55</v>
      </c>
      <c r="G2181" s="8" t="s">
        <v>190</v>
      </c>
      <c r="H2181" s="8" t="s">
        <v>8666</v>
      </c>
      <c r="I2181" s="8" t="s">
        <v>10307</v>
      </c>
      <c r="J2181" s="8" t="s">
        <v>147</v>
      </c>
      <c r="K2181" s="8" t="s">
        <v>8664</v>
      </c>
      <c r="L2181" s="8"/>
      <c r="M2181" s="8"/>
      <c r="N2181" s="8" t="n">
        <v>45</v>
      </c>
      <c r="O2181" s="8" t="n">
        <v>195</v>
      </c>
      <c r="P2181" s="8" t="s">
        <v>148</v>
      </c>
    </row>
    <row r="2182" customFormat="false" ht="15" hidden="false" customHeight="false" outlineLevel="0" collapsed="false">
      <c r="A2182" s="8" t="s">
        <v>2136</v>
      </c>
      <c r="B2182" s="8" t="s">
        <v>2137</v>
      </c>
      <c r="C2182" s="8" t="s">
        <v>8665</v>
      </c>
      <c r="D2182" s="8" t="s">
        <v>117</v>
      </c>
      <c r="E2182" s="8" t="s">
        <v>51</v>
      </c>
      <c r="F2182" s="8" t="s">
        <v>326</v>
      </c>
      <c r="G2182" s="8" t="s">
        <v>133</v>
      </c>
      <c r="H2182" s="8" t="s">
        <v>8666</v>
      </c>
      <c r="I2182" s="8" t="s">
        <v>10118</v>
      </c>
      <c r="J2182" s="8" t="s">
        <v>137</v>
      </c>
      <c r="K2182" s="8" t="s">
        <v>8664</v>
      </c>
      <c r="L2182" s="8"/>
      <c r="M2182" s="8"/>
      <c r="N2182" s="8" t="n">
        <v>25</v>
      </c>
      <c r="O2182" s="8" t="n">
        <v>24</v>
      </c>
      <c r="P2182" s="8" t="s">
        <v>120</v>
      </c>
    </row>
    <row r="2183" customFormat="false" ht="15" hidden="false" customHeight="false" outlineLevel="0" collapsed="false">
      <c r="A2183" s="8" t="s">
        <v>10308</v>
      </c>
      <c r="B2183" s="8" t="s">
        <v>10309</v>
      </c>
      <c r="C2183" s="8" t="s">
        <v>8665</v>
      </c>
      <c r="D2183" s="8" t="s">
        <v>123</v>
      </c>
      <c r="E2183" s="8" t="s">
        <v>53</v>
      </c>
      <c r="F2183" s="8" t="s">
        <v>326</v>
      </c>
      <c r="G2183" s="8" t="s">
        <v>143</v>
      </c>
      <c r="H2183" s="8" t="s">
        <v>8670</v>
      </c>
      <c r="I2183" s="8" t="s">
        <v>8964</v>
      </c>
      <c r="J2183" s="8"/>
      <c r="K2183" s="8" t="s">
        <v>8690</v>
      </c>
      <c r="L2183" s="8" t="s">
        <v>9226</v>
      </c>
      <c r="M2183" s="8" t="s">
        <v>8692</v>
      </c>
      <c r="N2183" s="8" t="n">
        <v>25</v>
      </c>
      <c r="O2183" s="8" t="n">
        <v>115</v>
      </c>
      <c r="P2183" s="8" t="s">
        <v>148</v>
      </c>
    </row>
    <row r="2184" customFormat="false" ht="15" hidden="false" customHeight="false" outlineLevel="0" collapsed="false">
      <c r="A2184" s="8" t="s">
        <v>10310</v>
      </c>
      <c r="B2184" s="8" t="s">
        <v>10311</v>
      </c>
      <c r="C2184" s="8" t="s">
        <v>8688</v>
      </c>
      <c r="D2184" s="8" t="s">
        <v>123</v>
      </c>
      <c r="E2184" s="8" t="s">
        <v>51</v>
      </c>
      <c r="F2184" s="8" t="s">
        <v>2027</v>
      </c>
      <c r="G2184" s="8" t="s">
        <v>136</v>
      </c>
      <c r="H2184" s="8" t="s">
        <v>8666</v>
      </c>
      <c r="I2184" s="8" t="s">
        <v>9885</v>
      </c>
      <c r="J2184" s="8"/>
      <c r="K2184" s="8" t="s">
        <v>8690</v>
      </c>
      <c r="L2184" s="8" t="s">
        <v>9381</v>
      </c>
      <c r="M2184" s="8" t="s">
        <v>8692</v>
      </c>
      <c r="N2184" s="8" t="n">
        <v>12</v>
      </c>
      <c r="O2184" s="8" t="n">
        <v>33</v>
      </c>
      <c r="P2184" s="8" t="s">
        <v>148</v>
      </c>
    </row>
    <row r="2185" customFormat="false" ht="15" hidden="false" customHeight="false" outlineLevel="0" collapsed="false">
      <c r="A2185" s="8" t="s">
        <v>1819</v>
      </c>
      <c r="B2185" s="8" t="s">
        <v>1820</v>
      </c>
      <c r="C2185" s="8" t="s">
        <v>8700</v>
      </c>
      <c r="D2185" s="8" t="s">
        <v>128</v>
      </c>
      <c r="E2185" s="8" t="s">
        <v>53</v>
      </c>
      <c r="F2185" s="8" t="s">
        <v>326</v>
      </c>
      <c r="G2185" s="8" t="s">
        <v>166</v>
      </c>
      <c r="H2185" s="8" t="s">
        <v>8666</v>
      </c>
      <c r="I2185" s="8" t="s">
        <v>9941</v>
      </c>
      <c r="J2185" s="8" t="s">
        <v>177</v>
      </c>
      <c r="K2185" s="8" t="s">
        <v>8664</v>
      </c>
      <c r="L2185" s="8"/>
      <c r="M2185" s="8"/>
      <c r="N2185" s="8" t="n">
        <v>25</v>
      </c>
      <c r="O2185" s="8" t="n">
        <v>41</v>
      </c>
      <c r="P2185" s="8" t="s">
        <v>120</v>
      </c>
    </row>
    <row r="2186" customFormat="false" ht="15" hidden="false" customHeight="false" outlineLevel="0" collapsed="false">
      <c r="A2186" s="8" t="s">
        <v>2618</v>
      </c>
      <c r="B2186" s="8" t="s">
        <v>2619</v>
      </c>
      <c r="C2186" s="8" t="s">
        <v>8688</v>
      </c>
      <c r="D2186" s="8" t="s">
        <v>123</v>
      </c>
      <c r="E2186" s="8" t="s">
        <v>51</v>
      </c>
      <c r="F2186" s="8" t="s">
        <v>2027</v>
      </c>
      <c r="G2186" s="8" t="s">
        <v>190</v>
      </c>
      <c r="H2186" s="8" t="s">
        <v>8662</v>
      </c>
      <c r="I2186" s="8" t="s">
        <v>10201</v>
      </c>
      <c r="J2186" s="8" t="s">
        <v>147</v>
      </c>
      <c r="K2186" s="8" t="s">
        <v>8664</v>
      </c>
      <c r="L2186" s="8"/>
      <c r="M2186" s="8"/>
      <c r="N2186" s="8" t="n">
        <v>12</v>
      </c>
      <c r="O2186" s="8" t="n">
        <v>28</v>
      </c>
      <c r="P2186" s="8" t="s">
        <v>120</v>
      </c>
    </row>
    <row r="2187" customFormat="false" ht="15" hidden="false" customHeight="false" outlineLevel="0" collapsed="false">
      <c r="A2187" s="8" t="s">
        <v>4014</v>
      </c>
      <c r="B2187" s="8" t="s">
        <v>4015</v>
      </c>
      <c r="C2187" s="8" t="s">
        <v>8678</v>
      </c>
      <c r="D2187" s="8" t="s">
        <v>132</v>
      </c>
      <c r="E2187" s="8" t="s">
        <v>51</v>
      </c>
      <c r="F2187" s="8" t="s">
        <v>2027</v>
      </c>
      <c r="G2187" s="8" t="s">
        <v>124</v>
      </c>
      <c r="H2187" s="8" t="s">
        <v>8666</v>
      </c>
      <c r="I2187" s="8" t="s">
        <v>10312</v>
      </c>
      <c r="J2187" s="8" t="s">
        <v>119</v>
      </c>
      <c r="K2187" s="8" t="s">
        <v>8664</v>
      </c>
      <c r="L2187" s="8"/>
      <c r="M2187" s="8"/>
      <c r="N2187" s="8" t="n">
        <v>12</v>
      </c>
      <c r="O2187" s="8" t="n">
        <v>12</v>
      </c>
      <c r="P2187" s="8" t="s">
        <v>120</v>
      </c>
    </row>
    <row r="2188" customFormat="false" ht="15" hidden="false" customHeight="false" outlineLevel="0" collapsed="false">
      <c r="A2188" s="8" t="s">
        <v>3302</v>
      </c>
      <c r="B2188" s="8" t="s">
        <v>3303</v>
      </c>
      <c r="C2188" s="8" t="s">
        <v>8665</v>
      </c>
      <c r="D2188" s="8" t="s">
        <v>123</v>
      </c>
      <c r="E2188" s="8" t="s">
        <v>51</v>
      </c>
      <c r="F2188" s="8" t="s">
        <v>2027</v>
      </c>
      <c r="G2188" s="8" t="s">
        <v>190</v>
      </c>
      <c r="H2188" s="8" t="s">
        <v>8670</v>
      </c>
      <c r="I2188" s="8" t="s">
        <v>9279</v>
      </c>
      <c r="J2188" s="8" t="s">
        <v>204</v>
      </c>
      <c r="K2188" s="8" t="s">
        <v>8664</v>
      </c>
      <c r="L2188" s="8"/>
      <c r="M2188" s="8"/>
      <c r="N2188" s="8" t="n">
        <v>12</v>
      </c>
      <c r="O2188" s="8" t="n">
        <v>25</v>
      </c>
      <c r="P2188" s="8" t="s">
        <v>120</v>
      </c>
    </row>
    <row r="2189" customFormat="false" ht="15" hidden="false" customHeight="false" outlineLevel="0" collapsed="false">
      <c r="A2189" s="8" t="s">
        <v>1995</v>
      </c>
      <c r="B2189" s="8" t="s">
        <v>1996</v>
      </c>
      <c r="C2189" s="8" t="s">
        <v>8680</v>
      </c>
      <c r="D2189" s="8" t="s">
        <v>123</v>
      </c>
      <c r="E2189" s="8" t="s">
        <v>51</v>
      </c>
      <c r="F2189" s="8" t="s">
        <v>326</v>
      </c>
      <c r="G2189" s="8" t="s">
        <v>166</v>
      </c>
      <c r="H2189" s="8" t="s">
        <v>8666</v>
      </c>
      <c r="I2189" s="8" t="s">
        <v>10254</v>
      </c>
      <c r="J2189" s="8" t="s">
        <v>185</v>
      </c>
      <c r="K2189" s="8" t="s">
        <v>8664</v>
      </c>
      <c r="L2189" s="8"/>
      <c r="M2189" s="8"/>
      <c r="N2189" s="8" t="n">
        <v>25</v>
      </c>
      <c r="O2189" s="8" t="n">
        <v>32</v>
      </c>
      <c r="P2189" s="8" t="s">
        <v>120</v>
      </c>
    </row>
    <row r="2190" customFormat="false" ht="15" hidden="false" customHeight="false" outlineLevel="0" collapsed="false">
      <c r="A2190" s="8" t="s">
        <v>4559</v>
      </c>
      <c r="B2190" s="8" t="s">
        <v>10313</v>
      </c>
      <c r="C2190" s="8" t="s">
        <v>8665</v>
      </c>
      <c r="D2190" s="8" t="s">
        <v>117</v>
      </c>
      <c r="E2190" s="8" t="s">
        <v>51</v>
      </c>
      <c r="F2190" s="8" t="s">
        <v>2027</v>
      </c>
      <c r="G2190" s="8" t="s">
        <v>118</v>
      </c>
      <c r="H2190" s="8" t="s">
        <v>8670</v>
      </c>
      <c r="I2190" s="8" t="s">
        <v>9228</v>
      </c>
      <c r="J2190" s="8"/>
      <c r="K2190" s="8" t="s">
        <v>8690</v>
      </c>
      <c r="L2190" s="8" t="s">
        <v>8668</v>
      </c>
      <c r="M2190" s="8" t="s">
        <v>8696</v>
      </c>
      <c r="N2190" s="8" t="n">
        <v>12</v>
      </c>
      <c r="O2190" s="8" t="n">
        <v>20</v>
      </c>
      <c r="P2190" s="8" t="s">
        <v>120</v>
      </c>
    </row>
    <row r="2191" customFormat="false" ht="15" hidden="false" customHeight="false" outlineLevel="0" collapsed="false">
      <c r="A2191" s="8" t="s">
        <v>2346</v>
      </c>
      <c r="B2191" s="8" t="s">
        <v>2347</v>
      </c>
      <c r="C2191" s="8" t="s">
        <v>8680</v>
      </c>
      <c r="D2191" s="8" t="s">
        <v>123</v>
      </c>
      <c r="E2191" s="8" t="s">
        <v>51</v>
      </c>
      <c r="F2191" s="8" t="s">
        <v>2027</v>
      </c>
      <c r="G2191" s="8" t="s">
        <v>223</v>
      </c>
      <c r="H2191" s="8" t="s">
        <v>8666</v>
      </c>
      <c r="I2191" s="8" t="s">
        <v>9525</v>
      </c>
      <c r="J2191" s="8" t="s">
        <v>129</v>
      </c>
      <c r="K2191" s="8" t="s">
        <v>8664</v>
      </c>
      <c r="L2191" s="8"/>
      <c r="M2191" s="8"/>
      <c r="N2191" s="8" t="n">
        <v>12</v>
      </c>
      <c r="O2191" s="8" t="n">
        <v>39</v>
      </c>
      <c r="P2191" s="8" t="s">
        <v>120</v>
      </c>
    </row>
    <row r="2192" customFormat="false" ht="15" hidden="false" customHeight="false" outlineLevel="0" collapsed="false">
      <c r="A2192" s="8" t="s">
        <v>2534</v>
      </c>
      <c r="B2192" s="8" t="s">
        <v>2535</v>
      </c>
      <c r="C2192" s="8" t="s">
        <v>8680</v>
      </c>
      <c r="D2192" s="8" t="s">
        <v>132</v>
      </c>
      <c r="E2192" s="8" t="s">
        <v>51</v>
      </c>
      <c r="F2192" s="8" t="s">
        <v>2027</v>
      </c>
      <c r="G2192" s="8" t="s">
        <v>133</v>
      </c>
      <c r="H2192" s="8" t="s">
        <v>8670</v>
      </c>
      <c r="I2192" s="8" t="s">
        <v>8747</v>
      </c>
      <c r="J2192" s="8" t="s">
        <v>137</v>
      </c>
      <c r="K2192" s="8" t="s">
        <v>8664</v>
      </c>
      <c r="L2192" s="8"/>
      <c r="M2192" s="8"/>
      <c r="N2192" s="8" t="n">
        <v>12</v>
      </c>
      <c r="O2192" s="8" t="n">
        <v>38</v>
      </c>
      <c r="P2192" s="8" t="s">
        <v>120</v>
      </c>
    </row>
    <row r="2193" customFormat="false" ht="15" hidden="false" customHeight="false" outlineLevel="0" collapsed="false">
      <c r="A2193" s="8" t="s">
        <v>1889</v>
      </c>
      <c r="B2193" s="8" t="s">
        <v>1890</v>
      </c>
      <c r="C2193" s="8" t="s">
        <v>8688</v>
      </c>
      <c r="D2193" s="8" t="s">
        <v>132</v>
      </c>
      <c r="E2193" s="8" t="s">
        <v>51</v>
      </c>
      <c r="F2193" s="8" t="s">
        <v>326</v>
      </c>
      <c r="G2193" s="8" t="s">
        <v>190</v>
      </c>
      <c r="H2193" s="8" t="s">
        <v>8666</v>
      </c>
      <c r="I2193" s="8" t="s">
        <v>9634</v>
      </c>
      <c r="J2193" s="8" t="s">
        <v>147</v>
      </c>
      <c r="K2193" s="8" t="s">
        <v>8664</v>
      </c>
      <c r="L2193" s="8"/>
      <c r="M2193" s="8"/>
      <c r="N2193" s="8" t="n">
        <v>25</v>
      </c>
      <c r="O2193" s="8" t="n">
        <v>37</v>
      </c>
      <c r="P2193" s="8" t="s">
        <v>120</v>
      </c>
    </row>
    <row r="2194" customFormat="false" ht="15" hidden="false" customHeight="false" outlineLevel="0" collapsed="false">
      <c r="A2194" s="8" t="s">
        <v>2658</v>
      </c>
      <c r="B2194" s="8" t="s">
        <v>2659</v>
      </c>
      <c r="C2194" s="8" t="s">
        <v>8674</v>
      </c>
      <c r="D2194" s="8" t="s">
        <v>123</v>
      </c>
      <c r="E2194" s="8" t="s">
        <v>51</v>
      </c>
      <c r="F2194" s="8" t="s">
        <v>326</v>
      </c>
      <c r="G2194" s="8" t="s">
        <v>151</v>
      </c>
      <c r="H2194" s="8" t="s">
        <v>8675</v>
      </c>
      <c r="I2194" s="8" t="s">
        <v>9720</v>
      </c>
      <c r="J2194" s="8" t="s">
        <v>159</v>
      </c>
      <c r="K2194" s="8" t="s">
        <v>8664</v>
      </c>
      <c r="L2194" s="8"/>
      <c r="M2194" s="8"/>
      <c r="N2194" s="8" t="n">
        <v>25</v>
      </c>
      <c r="O2194" s="8" t="n">
        <v>17</v>
      </c>
      <c r="P2194" s="8" t="s">
        <v>120</v>
      </c>
    </row>
    <row r="2195" customFormat="false" ht="15" hidden="false" customHeight="false" outlineLevel="0" collapsed="false">
      <c r="A2195" s="8" t="s">
        <v>3016</v>
      </c>
      <c r="B2195" s="8" t="s">
        <v>3017</v>
      </c>
      <c r="C2195" s="8" t="s">
        <v>8661</v>
      </c>
      <c r="D2195" s="8" t="s">
        <v>132</v>
      </c>
      <c r="E2195" s="8" t="s">
        <v>51</v>
      </c>
      <c r="F2195" s="8" t="s">
        <v>2027</v>
      </c>
      <c r="G2195" s="8" t="s">
        <v>154</v>
      </c>
      <c r="H2195" s="8" t="s">
        <v>8662</v>
      </c>
      <c r="I2195" s="8" t="s">
        <v>9012</v>
      </c>
      <c r="J2195" s="8" t="s">
        <v>185</v>
      </c>
      <c r="K2195" s="8" t="s">
        <v>8664</v>
      </c>
      <c r="L2195" s="8"/>
      <c r="M2195" s="8"/>
      <c r="N2195" s="8" t="n">
        <v>12</v>
      </c>
      <c r="O2195" s="8" t="n">
        <v>30</v>
      </c>
      <c r="P2195" s="8" t="s">
        <v>120</v>
      </c>
    </row>
    <row r="2196" customFormat="false" ht="15" hidden="false" customHeight="false" outlineLevel="0" collapsed="false">
      <c r="A2196" s="8" t="s">
        <v>3772</v>
      </c>
      <c r="B2196" s="8" t="s">
        <v>3773</v>
      </c>
      <c r="C2196" s="8" t="s">
        <v>8688</v>
      </c>
      <c r="D2196" s="8" t="s">
        <v>123</v>
      </c>
      <c r="E2196" s="8" t="s">
        <v>51</v>
      </c>
      <c r="F2196" s="8" t="s">
        <v>2027</v>
      </c>
      <c r="G2196" s="8" t="s">
        <v>190</v>
      </c>
      <c r="H2196" s="8" t="s">
        <v>8662</v>
      </c>
      <c r="I2196" s="8" t="s">
        <v>9078</v>
      </c>
      <c r="J2196" s="8" t="s">
        <v>125</v>
      </c>
      <c r="K2196" s="8" t="s">
        <v>8664</v>
      </c>
      <c r="L2196" s="8"/>
      <c r="M2196" s="8"/>
      <c r="N2196" s="8" t="n">
        <v>12</v>
      </c>
      <c r="O2196" s="8" t="n">
        <v>16</v>
      </c>
      <c r="P2196" s="8" t="s">
        <v>120</v>
      </c>
    </row>
    <row r="2197" customFormat="false" ht="15" hidden="false" customHeight="false" outlineLevel="0" collapsed="false">
      <c r="A2197" s="8" t="s">
        <v>1151</v>
      </c>
      <c r="B2197" s="8" t="s">
        <v>1152</v>
      </c>
      <c r="C2197" s="8" t="s">
        <v>8678</v>
      </c>
      <c r="D2197" s="8" t="s">
        <v>123</v>
      </c>
      <c r="E2197" s="8" t="s">
        <v>53</v>
      </c>
      <c r="F2197" s="8" t="s">
        <v>326</v>
      </c>
      <c r="G2197" s="8" t="s">
        <v>136</v>
      </c>
      <c r="H2197" s="8" t="s">
        <v>8662</v>
      </c>
      <c r="I2197" s="8" t="s">
        <v>9879</v>
      </c>
      <c r="J2197" s="8" t="s">
        <v>180</v>
      </c>
      <c r="K2197" s="8" t="s">
        <v>8664</v>
      </c>
      <c r="L2197" s="8"/>
      <c r="M2197" s="8"/>
      <c r="N2197" s="8" t="n">
        <v>25</v>
      </c>
      <c r="O2197" s="8" t="n">
        <v>113</v>
      </c>
      <c r="P2197" s="8" t="s">
        <v>120</v>
      </c>
    </row>
    <row r="2198" customFormat="false" ht="15" hidden="false" customHeight="false" outlineLevel="0" collapsed="false">
      <c r="A2198" s="8" t="s">
        <v>2184</v>
      </c>
      <c r="B2198" s="8" t="s">
        <v>2185</v>
      </c>
      <c r="C2198" s="8" t="s">
        <v>8674</v>
      </c>
      <c r="D2198" s="8" t="s">
        <v>123</v>
      </c>
      <c r="E2198" s="8" t="s">
        <v>51</v>
      </c>
      <c r="F2198" s="8" t="s">
        <v>326</v>
      </c>
      <c r="G2198" s="8" t="s">
        <v>136</v>
      </c>
      <c r="H2198" s="8" t="s">
        <v>8662</v>
      </c>
      <c r="I2198" s="8" t="s">
        <v>9431</v>
      </c>
      <c r="J2198" s="8" t="s">
        <v>129</v>
      </c>
      <c r="K2198" s="8" t="s">
        <v>8664</v>
      </c>
      <c r="L2198" s="8"/>
      <c r="M2198" s="8"/>
      <c r="N2198" s="8" t="n">
        <v>25</v>
      </c>
      <c r="O2198" s="8" t="n">
        <v>25</v>
      </c>
      <c r="P2198" s="8" t="s">
        <v>120</v>
      </c>
    </row>
    <row r="2199" customFormat="false" ht="15" hidden="false" customHeight="false" outlineLevel="0" collapsed="false">
      <c r="A2199" s="8" t="s">
        <v>4138</v>
      </c>
      <c r="B2199" s="8" t="s">
        <v>4139</v>
      </c>
      <c r="C2199" s="8" t="s">
        <v>8680</v>
      </c>
      <c r="D2199" s="8" t="s">
        <v>123</v>
      </c>
      <c r="E2199" s="8" t="s">
        <v>51</v>
      </c>
      <c r="F2199" s="8" t="s">
        <v>2027</v>
      </c>
      <c r="G2199" s="8" t="s">
        <v>124</v>
      </c>
      <c r="H2199" s="8" t="s">
        <v>8662</v>
      </c>
      <c r="I2199" s="8" t="s">
        <v>9092</v>
      </c>
      <c r="J2199" s="8" t="s">
        <v>129</v>
      </c>
      <c r="K2199" s="8" t="s">
        <v>8664</v>
      </c>
      <c r="L2199" s="8"/>
      <c r="M2199" s="8"/>
      <c r="N2199" s="8" t="n">
        <v>12</v>
      </c>
      <c r="O2199" s="8" t="n">
        <v>10</v>
      </c>
      <c r="P2199" s="8" t="s">
        <v>120</v>
      </c>
    </row>
    <row r="2200" customFormat="false" ht="15" hidden="false" customHeight="false" outlineLevel="0" collapsed="false">
      <c r="A2200" s="8" t="s">
        <v>1807</v>
      </c>
      <c r="B2200" s="8" t="s">
        <v>1808</v>
      </c>
      <c r="C2200" s="8" t="s">
        <v>8680</v>
      </c>
      <c r="D2200" s="8" t="s">
        <v>117</v>
      </c>
      <c r="E2200" s="8" t="s">
        <v>51</v>
      </c>
      <c r="F2200" s="8" t="s">
        <v>326</v>
      </c>
      <c r="G2200" s="8" t="s">
        <v>166</v>
      </c>
      <c r="H2200" s="8" t="s">
        <v>8675</v>
      </c>
      <c r="I2200" s="8" t="s">
        <v>9334</v>
      </c>
      <c r="J2200" s="8" t="s">
        <v>204</v>
      </c>
      <c r="K2200" s="8" t="s">
        <v>8664</v>
      </c>
      <c r="L2200" s="8"/>
      <c r="M2200" s="8"/>
      <c r="N2200" s="8" t="n">
        <v>25</v>
      </c>
      <c r="O2200" s="8" t="n">
        <v>36</v>
      </c>
      <c r="P2200" s="8" t="s">
        <v>120</v>
      </c>
    </row>
    <row r="2201" customFormat="false" ht="15" hidden="false" customHeight="false" outlineLevel="0" collapsed="false">
      <c r="A2201" s="8" t="s">
        <v>4570</v>
      </c>
      <c r="B2201" s="8" t="s">
        <v>10314</v>
      </c>
      <c r="C2201" s="8" t="s">
        <v>8669</v>
      </c>
      <c r="D2201" s="8" t="s">
        <v>123</v>
      </c>
      <c r="E2201" s="8" t="s">
        <v>51</v>
      </c>
      <c r="F2201" s="8" t="s">
        <v>2027</v>
      </c>
      <c r="G2201" s="8" t="s">
        <v>223</v>
      </c>
      <c r="H2201" s="8" t="s">
        <v>8675</v>
      </c>
      <c r="I2201" s="8" t="s">
        <v>10315</v>
      </c>
      <c r="J2201" s="8"/>
      <c r="K2201" s="8" t="s">
        <v>8690</v>
      </c>
      <c r="L2201" s="8" t="s">
        <v>10066</v>
      </c>
      <c r="M2201" s="8" t="s">
        <v>8705</v>
      </c>
      <c r="N2201" s="8" t="n">
        <v>12</v>
      </c>
      <c r="O2201" s="8" t="n">
        <v>20</v>
      </c>
      <c r="P2201" s="8" t="s">
        <v>120</v>
      </c>
    </row>
    <row r="2202" customFormat="false" ht="15" hidden="false" customHeight="false" outlineLevel="0" collapsed="false">
      <c r="A2202" s="8" t="s">
        <v>3640</v>
      </c>
      <c r="B2202" s="8" t="s">
        <v>3641</v>
      </c>
      <c r="C2202" s="8" t="s">
        <v>8680</v>
      </c>
      <c r="D2202" s="8" t="s">
        <v>132</v>
      </c>
      <c r="E2202" s="8" t="s">
        <v>51</v>
      </c>
      <c r="F2202" s="8" t="s">
        <v>326</v>
      </c>
      <c r="G2202" s="8" t="s">
        <v>124</v>
      </c>
      <c r="H2202" s="8" t="s">
        <v>8675</v>
      </c>
      <c r="I2202" s="8" t="s">
        <v>9488</v>
      </c>
      <c r="J2202" s="8" t="s">
        <v>144</v>
      </c>
      <c r="K2202" s="8" t="s">
        <v>8664</v>
      </c>
      <c r="L2202" s="8"/>
      <c r="M2202" s="8"/>
      <c r="N2202" s="8" t="n">
        <v>25</v>
      </c>
      <c r="O2202" s="8" t="n">
        <v>9</v>
      </c>
      <c r="P2202" s="8" t="s">
        <v>120</v>
      </c>
    </row>
    <row r="2203" customFormat="false" ht="15" hidden="false" customHeight="false" outlineLevel="0" collapsed="false">
      <c r="A2203" s="8" t="s">
        <v>393</v>
      </c>
      <c r="B2203" s="8" t="s">
        <v>394</v>
      </c>
      <c r="C2203" s="8" t="s">
        <v>8674</v>
      </c>
      <c r="D2203" s="8" t="s">
        <v>123</v>
      </c>
      <c r="E2203" s="8" t="s">
        <v>55</v>
      </c>
      <c r="F2203" s="8" t="s">
        <v>55</v>
      </c>
      <c r="G2203" s="8" t="s">
        <v>151</v>
      </c>
      <c r="H2203" s="8" t="s">
        <v>8670</v>
      </c>
      <c r="I2203" s="8" t="s">
        <v>8735</v>
      </c>
      <c r="J2203" s="8" t="s">
        <v>147</v>
      </c>
      <c r="K2203" s="8" t="s">
        <v>8664</v>
      </c>
      <c r="L2203" s="8"/>
      <c r="M2203" s="8"/>
      <c r="N2203" s="8" t="n">
        <v>45</v>
      </c>
      <c r="O2203" s="8" t="n">
        <v>304</v>
      </c>
      <c r="P2203" s="8" t="s">
        <v>199</v>
      </c>
    </row>
    <row r="2204" customFormat="false" ht="15" hidden="false" customHeight="false" outlineLevel="0" collapsed="false">
      <c r="A2204" s="8" t="s">
        <v>3824</v>
      </c>
      <c r="B2204" s="8" t="s">
        <v>3825</v>
      </c>
      <c r="C2204" s="8" t="s">
        <v>8688</v>
      </c>
      <c r="D2204" s="8" t="s">
        <v>117</v>
      </c>
      <c r="E2204" s="8" t="s">
        <v>51</v>
      </c>
      <c r="F2204" s="8" t="s">
        <v>2027</v>
      </c>
      <c r="G2204" s="8" t="s">
        <v>223</v>
      </c>
      <c r="H2204" s="8" t="s">
        <v>8666</v>
      </c>
      <c r="I2204" s="8" t="s">
        <v>10316</v>
      </c>
      <c r="J2204" s="8" t="s">
        <v>204</v>
      </c>
      <c r="K2204" s="8" t="s">
        <v>8664</v>
      </c>
      <c r="L2204" s="8"/>
      <c r="M2204" s="8"/>
      <c r="N2204" s="8" t="n">
        <v>12</v>
      </c>
      <c r="O2204" s="8" t="n">
        <v>15</v>
      </c>
      <c r="P2204" s="8" t="s">
        <v>120</v>
      </c>
    </row>
    <row r="2205" customFormat="false" ht="15" hidden="false" customHeight="false" outlineLevel="0" collapsed="false">
      <c r="A2205" s="8" t="s">
        <v>10317</v>
      </c>
      <c r="B2205" s="8" t="s">
        <v>10318</v>
      </c>
      <c r="C2205" s="8" t="s">
        <v>8688</v>
      </c>
      <c r="D2205" s="8" t="s">
        <v>132</v>
      </c>
      <c r="E2205" s="8" t="s">
        <v>53</v>
      </c>
      <c r="F2205" s="8" t="s">
        <v>55</v>
      </c>
      <c r="G2205" s="8" t="s">
        <v>118</v>
      </c>
      <c r="H2205" s="8" t="s">
        <v>8666</v>
      </c>
      <c r="I2205" s="8" t="s">
        <v>8948</v>
      </c>
      <c r="J2205" s="8"/>
      <c r="K2205" s="8" t="s">
        <v>8690</v>
      </c>
      <c r="L2205" s="8" t="s">
        <v>10319</v>
      </c>
      <c r="M2205" s="8" t="s">
        <v>8705</v>
      </c>
      <c r="N2205" s="8" t="n">
        <v>45</v>
      </c>
      <c r="O2205" s="8" t="n">
        <v>159</v>
      </c>
      <c r="P2205" s="8" t="s">
        <v>120</v>
      </c>
    </row>
    <row r="2206" customFormat="false" ht="15" hidden="false" customHeight="false" outlineLevel="0" collapsed="false">
      <c r="A2206" s="8" t="s">
        <v>1013</v>
      </c>
      <c r="B2206" s="8" t="s">
        <v>1014</v>
      </c>
      <c r="C2206" s="8" t="s">
        <v>8661</v>
      </c>
      <c r="D2206" s="8" t="s">
        <v>117</v>
      </c>
      <c r="E2206" s="8" t="s">
        <v>53</v>
      </c>
      <c r="F2206" s="8" t="s">
        <v>326</v>
      </c>
      <c r="G2206" s="8" t="s">
        <v>143</v>
      </c>
      <c r="H2206" s="8" t="s">
        <v>8666</v>
      </c>
      <c r="I2206" s="8" t="s">
        <v>8959</v>
      </c>
      <c r="J2206" s="8" t="s">
        <v>185</v>
      </c>
      <c r="K2206" s="8" t="s">
        <v>8664</v>
      </c>
      <c r="L2206" s="8"/>
      <c r="M2206" s="8"/>
      <c r="N2206" s="8" t="n">
        <v>25</v>
      </c>
      <c r="O2206" s="8" t="n">
        <v>164</v>
      </c>
      <c r="P2206" s="8" t="s">
        <v>120</v>
      </c>
    </row>
    <row r="2207" customFormat="false" ht="15" hidden="false" customHeight="false" outlineLevel="0" collapsed="false">
      <c r="A2207" s="8" t="s">
        <v>2168</v>
      </c>
      <c r="B2207" s="8" t="s">
        <v>2169</v>
      </c>
      <c r="C2207" s="8" t="s">
        <v>8688</v>
      </c>
      <c r="D2207" s="8" t="s">
        <v>123</v>
      </c>
      <c r="E2207" s="8" t="s">
        <v>51</v>
      </c>
      <c r="F2207" s="8" t="s">
        <v>326</v>
      </c>
      <c r="G2207" s="8" t="s">
        <v>133</v>
      </c>
      <c r="H2207" s="8" t="s">
        <v>8666</v>
      </c>
      <c r="I2207" s="8" t="s">
        <v>9005</v>
      </c>
      <c r="J2207" s="8" t="s">
        <v>125</v>
      </c>
      <c r="K2207" s="8" t="s">
        <v>8664</v>
      </c>
      <c r="L2207" s="8"/>
      <c r="M2207" s="8"/>
      <c r="N2207" s="8" t="n">
        <v>25</v>
      </c>
      <c r="O2207" s="8" t="n">
        <v>26</v>
      </c>
      <c r="P2207" s="8" t="s">
        <v>120</v>
      </c>
    </row>
    <row r="2208" customFormat="false" ht="15" hidden="false" customHeight="false" outlineLevel="0" collapsed="false">
      <c r="A2208" s="8" t="s">
        <v>4573</v>
      </c>
      <c r="B2208" s="8" t="s">
        <v>10320</v>
      </c>
      <c r="C2208" s="8" t="s">
        <v>8688</v>
      </c>
      <c r="D2208" s="8" t="s">
        <v>123</v>
      </c>
      <c r="E2208" s="8" t="s">
        <v>51</v>
      </c>
      <c r="F2208" s="8" t="s">
        <v>2027</v>
      </c>
      <c r="G2208" s="8" t="s">
        <v>154</v>
      </c>
      <c r="H2208" s="8" t="s">
        <v>8666</v>
      </c>
      <c r="I2208" s="8" t="s">
        <v>8930</v>
      </c>
      <c r="J2208" s="8"/>
      <c r="K2208" s="8" t="s">
        <v>8690</v>
      </c>
      <c r="L2208" s="8" t="s">
        <v>9290</v>
      </c>
      <c r="M2208" s="8" t="s">
        <v>8705</v>
      </c>
      <c r="N2208" s="8" t="n">
        <v>12</v>
      </c>
      <c r="O2208" s="8" t="n">
        <v>15</v>
      </c>
      <c r="P2208" s="8" t="s">
        <v>120</v>
      </c>
    </row>
    <row r="2209" customFormat="false" ht="15" hidden="false" customHeight="false" outlineLevel="0" collapsed="false">
      <c r="A2209" s="8" t="s">
        <v>4499</v>
      </c>
      <c r="B2209" s="8" t="s">
        <v>10321</v>
      </c>
      <c r="C2209" s="8" t="s">
        <v>8665</v>
      </c>
      <c r="D2209" s="8" t="s">
        <v>132</v>
      </c>
      <c r="E2209" s="8" t="s">
        <v>51</v>
      </c>
      <c r="F2209" s="8" t="s">
        <v>326</v>
      </c>
      <c r="G2209" s="8" t="s">
        <v>190</v>
      </c>
      <c r="H2209" s="8" t="s">
        <v>8675</v>
      </c>
      <c r="I2209" s="8" t="s">
        <v>9478</v>
      </c>
      <c r="J2209" s="8"/>
      <c r="K2209" s="8" t="s">
        <v>8690</v>
      </c>
      <c r="L2209" s="8" t="s">
        <v>8860</v>
      </c>
      <c r="M2209" s="8" t="s">
        <v>8692</v>
      </c>
      <c r="N2209" s="8" t="n">
        <v>25</v>
      </c>
      <c r="O2209" s="8" t="n">
        <v>19</v>
      </c>
      <c r="P2209" s="8" t="s">
        <v>120</v>
      </c>
    </row>
    <row r="2210" customFormat="false" ht="15" hidden="false" customHeight="false" outlineLevel="0" collapsed="false">
      <c r="A2210" s="8" t="s">
        <v>3034</v>
      </c>
      <c r="B2210" s="8" t="s">
        <v>3035</v>
      </c>
      <c r="C2210" s="8" t="s">
        <v>8678</v>
      </c>
      <c r="D2210" s="8" t="s">
        <v>123</v>
      </c>
      <c r="E2210" s="8" t="s">
        <v>51</v>
      </c>
      <c r="F2210" s="8" t="s">
        <v>326</v>
      </c>
      <c r="G2210" s="8" t="s">
        <v>151</v>
      </c>
      <c r="H2210" s="8" t="s">
        <v>8675</v>
      </c>
      <c r="I2210" s="8" t="s">
        <v>9171</v>
      </c>
      <c r="J2210" s="8" t="s">
        <v>137</v>
      </c>
      <c r="K2210" s="8" t="s">
        <v>8664</v>
      </c>
      <c r="L2210" s="8"/>
      <c r="M2210" s="8"/>
      <c r="N2210" s="8" t="n">
        <v>25</v>
      </c>
      <c r="O2210" s="8" t="n">
        <v>14</v>
      </c>
      <c r="P2210" s="8" t="s">
        <v>120</v>
      </c>
    </row>
    <row r="2211" customFormat="false" ht="15" hidden="false" customHeight="false" outlineLevel="0" collapsed="false">
      <c r="A2211" s="8" t="s">
        <v>4406</v>
      </c>
      <c r="B2211" s="8" t="s">
        <v>10322</v>
      </c>
      <c r="C2211" s="8" t="s">
        <v>8678</v>
      </c>
      <c r="D2211" s="8" t="s">
        <v>123</v>
      </c>
      <c r="E2211" s="8" t="s">
        <v>55</v>
      </c>
      <c r="F2211" s="8" t="s">
        <v>55</v>
      </c>
      <c r="G2211" s="8" t="s">
        <v>166</v>
      </c>
      <c r="H2211" s="8" t="s">
        <v>8666</v>
      </c>
      <c r="I2211" s="8" t="s">
        <v>9065</v>
      </c>
      <c r="J2211" s="8"/>
      <c r="K2211" s="8" t="s">
        <v>8690</v>
      </c>
      <c r="L2211" s="8" t="s">
        <v>9427</v>
      </c>
      <c r="M2211" s="8" t="s">
        <v>8692</v>
      </c>
      <c r="N2211" s="8" t="n">
        <v>45</v>
      </c>
      <c r="O2211" s="8" t="n">
        <v>556</v>
      </c>
      <c r="P2211" s="8" t="s">
        <v>148</v>
      </c>
    </row>
    <row r="2212" customFormat="false" ht="15" hidden="false" customHeight="false" outlineLevel="0" collapsed="false">
      <c r="A2212" s="8" t="s">
        <v>4140</v>
      </c>
      <c r="B2212" s="8" t="s">
        <v>4141</v>
      </c>
      <c r="C2212" s="8" t="s">
        <v>8678</v>
      </c>
      <c r="D2212" s="8" t="s">
        <v>117</v>
      </c>
      <c r="E2212" s="8" t="s">
        <v>51</v>
      </c>
      <c r="F2212" s="8" t="s">
        <v>2027</v>
      </c>
      <c r="G2212" s="8" t="s">
        <v>143</v>
      </c>
      <c r="H2212" s="8" t="s">
        <v>8670</v>
      </c>
      <c r="I2212" s="8" t="s">
        <v>9652</v>
      </c>
      <c r="J2212" s="8" t="s">
        <v>119</v>
      </c>
      <c r="K2212" s="8" t="s">
        <v>8664</v>
      </c>
      <c r="L2212" s="8"/>
      <c r="M2212" s="8"/>
      <c r="N2212" s="8" t="n">
        <v>12</v>
      </c>
      <c r="O2212" s="8" t="n">
        <v>10</v>
      </c>
      <c r="P2212" s="8" t="s">
        <v>120</v>
      </c>
    </row>
    <row r="2213" customFormat="false" ht="15" hidden="false" customHeight="false" outlineLevel="0" collapsed="false">
      <c r="A2213" s="8" t="s">
        <v>869</v>
      </c>
      <c r="B2213" s="8" t="s">
        <v>870</v>
      </c>
      <c r="C2213" s="8" t="s">
        <v>8665</v>
      </c>
      <c r="D2213" s="8" t="s">
        <v>132</v>
      </c>
      <c r="E2213" s="8" t="s">
        <v>53</v>
      </c>
      <c r="F2213" s="8" t="s">
        <v>326</v>
      </c>
      <c r="G2213" s="8" t="s">
        <v>124</v>
      </c>
      <c r="H2213" s="8" t="s">
        <v>8675</v>
      </c>
      <c r="I2213" s="8" t="s">
        <v>9823</v>
      </c>
      <c r="J2213" s="8" t="s">
        <v>125</v>
      </c>
      <c r="K2213" s="8" t="s">
        <v>8664</v>
      </c>
      <c r="L2213" s="8"/>
      <c r="M2213" s="8"/>
      <c r="N2213" s="8" t="n">
        <v>25</v>
      </c>
      <c r="O2213" s="8" t="n">
        <v>186</v>
      </c>
      <c r="P2213" s="8" t="s">
        <v>120</v>
      </c>
    </row>
    <row r="2214" customFormat="false" ht="15" hidden="false" customHeight="false" outlineLevel="0" collapsed="false">
      <c r="A2214" s="8" t="s">
        <v>1753</v>
      </c>
      <c r="B2214" s="8" t="s">
        <v>1754</v>
      </c>
      <c r="C2214" s="8" t="s">
        <v>8661</v>
      </c>
      <c r="D2214" s="8" t="s">
        <v>132</v>
      </c>
      <c r="E2214" s="8" t="s">
        <v>53</v>
      </c>
      <c r="F2214" s="8" t="s">
        <v>326</v>
      </c>
      <c r="G2214" s="8" t="s">
        <v>166</v>
      </c>
      <c r="H2214" s="8" t="s">
        <v>8662</v>
      </c>
      <c r="I2214" s="8" t="s">
        <v>9530</v>
      </c>
      <c r="J2214" s="8" t="s">
        <v>119</v>
      </c>
      <c r="K2214" s="8" t="s">
        <v>8664</v>
      </c>
      <c r="L2214" s="8"/>
      <c r="M2214" s="8"/>
      <c r="N2214" s="8" t="n">
        <v>25</v>
      </c>
      <c r="O2214" s="8" t="n">
        <v>48</v>
      </c>
      <c r="P2214" s="8" t="s">
        <v>120</v>
      </c>
    </row>
    <row r="2215" customFormat="false" ht="15" hidden="false" customHeight="false" outlineLevel="0" collapsed="false">
      <c r="A2215" s="8" t="s">
        <v>443</v>
      </c>
      <c r="B2215" s="8" t="s">
        <v>444</v>
      </c>
      <c r="C2215" s="8" t="s">
        <v>8678</v>
      </c>
      <c r="D2215" s="8" t="s">
        <v>123</v>
      </c>
      <c r="E2215" s="8" t="s">
        <v>55</v>
      </c>
      <c r="F2215" s="8" t="s">
        <v>326</v>
      </c>
      <c r="G2215" s="8" t="s">
        <v>154</v>
      </c>
      <c r="H2215" s="8" t="s">
        <v>8666</v>
      </c>
      <c r="I2215" s="8" t="s">
        <v>9448</v>
      </c>
      <c r="J2215" s="8" t="s">
        <v>204</v>
      </c>
      <c r="K2215" s="8" t="s">
        <v>8664</v>
      </c>
      <c r="L2215" s="8"/>
      <c r="M2215" s="8"/>
      <c r="N2215" s="8" t="n">
        <v>25</v>
      </c>
      <c r="O2215" s="8" t="n">
        <v>483</v>
      </c>
      <c r="P2215" s="8" t="s">
        <v>120</v>
      </c>
    </row>
    <row r="2216" customFormat="false" ht="15" hidden="false" customHeight="false" outlineLevel="0" collapsed="false">
      <c r="A2216" s="8" t="s">
        <v>1661</v>
      </c>
      <c r="B2216" s="8" t="s">
        <v>1662</v>
      </c>
      <c r="C2216" s="8" t="s">
        <v>8669</v>
      </c>
      <c r="D2216" s="8" t="s">
        <v>128</v>
      </c>
      <c r="E2216" s="8" t="s">
        <v>53</v>
      </c>
      <c r="F2216" s="8" t="s">
        <v>326</v>
      </c>
      <c r="G2216" s="8" t="s">
        <v>143</v>
      </c>
      <c r="H2216" s="8" t="s">
        <v>8675</v>
      </c>
      <c r="I2216" s="8" t="s">
        <v>8681</v>
      </c>
      <c r="J2216" s="8" t="s">
        <v>204</v>
      </c>
      <c r="K2216" s="8" t="s">
        <v>8664</v>
      </c>
      <c r="L2216" s="8"/>
      <c r="M2216" s="8"/>
      <c r="N2216" s="8" t="n">
        <v>25</v>
      </c>
      <c r="O2216" s="8" t="n">
        <v>60</v>
      </c>
      <c r="P2216" s="8" t="s">
        <v>120</v>
      </c>
    </row>
    <row r="2217" customFormat="false" ht="15" hidden="false" customHeight="false" outlineLevel="0" collapsed="false">
      <c r="A2217" s="8" t="s">
        <v>1527</v>
      </c>
      <c r="B2217" s="8" t="s">
        <v>1528</v>
      </c>
      <c r="C2217" s="8" t="s">
        <v>8700</v>
      </c>
      <c r="D2217" s="8" t="s">
        <v>132</v>
      </c>
      <c r="E2217" s="8" t="s">
        <v>53</v>
      </c>
      <c r="F2217" s="8" t="s">
        <v>326</v>
      </c>
      <c r="G2217" s="8" t="s">
        <v>151</v>
      </c>
      <c r="H2217" s="8" t="s">
        <v>8662</v>
      </c>
      <c r="I2217" s="8" t="s">
        <v>9105</v>
      </c>
      <c r="J2217" s="8" t="s">
        <v>204</v>
      </c>
      <c r="K2217" s="8" t="s">
        <v>8664</v>
      </c>
      <c r="L2217" s="8"/>
      <c r="M2217" s="8"/>
      <c r="N2217" s="8" t="n">
        <v>25</v>
      </c>
      <c r="O2217" s="8" t="n">
        <v>88</v>
      </c>
      <c r="P2217" s="8" t="s">
        <v>120</v>
      </c>
    </row>
    <row r="2218" customFormat="false" ht="15" hidden="false" customHeight="false" outlineLevel="0" collapsed="false">
      <c r="A2218" s="8" t="s">
        <v>4554</v>
      </c>
      <c r="B2218" s="8" t="s">
        <v>10323</v>
      </c>
      <c r="C2218" s="8" t="s">
        <v>8669</v>
      </c>
      <c r="D2218" s="8" t="s">
        <v>123</v>
      </c>
      <c r="E2218" s="8" t="s">
        <v>51</v>
      </c>
      <c r="F2218" s="8" t="s">
        <v>2027</v>
      </c>
      <c r="G2218" s="8" t="s">
        <v>136</v>
      </c>
      <c r="H2218" s="8" t="s">
        <v>8662</v>
      </c>
      <c r="I2218" s="8" t="s">
        <v>8708</v>
      </c>
      <c r="J2218" s="8"/>
      <c r="K2218" s="8" t="s">
        <v>8690</v>
      </c>
      <c r="L2218" s="8" t="s">
        <v>9848</v>
      </c>
      <c r="M2218" s="8" t="s">
        <v>8696</v>
      </c>
      <c r="N2218" s="8" t="n">
        <v>12</v>
      </c>
      <c r="O2218" s="8" t="n">
        <v>21</v>
      </c>
      <c r="P2218" s="8" t="s">
        <v>120</v>
      </c>
    </row>
    <row r="2219" customFormat="false" ht="15" hidden="false" customHeight="false" outlineLevel="0" collapsed="false">
      <c r="A2219" s="8" t="s">
        <v>3944</v>
      </c>
      <c r="B2219" s="8" t="s">
        <v>3945</v>
      </c>
      <c r="C2219" s="8" t="s">
        <v>8661</v>
      </c>
      <c r="D2219" s="8" t="s">
        <v>132</v>
      </c>
      <c r="E2219" s="8" t="s">
        <v>51</v>
      </c>
      <c r="F2219" s="8" t="s">
        <v>2027</v>
      </c>
      <c r="G2219" s="8" t="s">
        <v>151</v>
      </c>
      <c r="H2219" s="8" t="s">
        <v>8670</v>
      </c>
      <c r="I2219" s="8" t="s">
        <v>10324</v>
      </c>
      <c r="J2219" s="8" t="s">
        <v>129</v>
      </c>
      <c r="K2219" s="8" t="s">
        <v>8664</v>
      </c>
      <c r="L2219" s="8"/>
      <c r="M2219" s="8"/>
      <c r="N2219" s="8" t="n">
        <v>12</v>
      </c>
      <c r="O2219" s="8" t="n">
        <v>16</v>
      </c>
      <c r="P2219" s="8" t="s">
        <v>120</v>
      </c>
    </row>
    <row r="2220" customFormat="false" ht="15" hidden="false" customHeight="false" outlineLevel="0" collapsed="false">
      <c r="A2220" s="8" t="s">
        <v>1243</v>
      </c>
      <c r="B2220" s="8" t="s">
        <v>1244</v>
      </c>
      <c r="C2220" s="8" t="s">
        <v>8665</v>
      </c>
      <c r="D2220" s="8" t="s">
        <v>117</v>
      </c>
      <c r="E2220" s="8" t="s">
        <v>53</v>
      </c>
      <c r="F2220" s="8" t="s">
        <v>326</v>
      </c>
      <c r="G2220" s="8" t="s">
        <v>143</v>
      </c>
      <c r="H2220" s="8" t="s">
        <v>8666</v>
      </c>
      <c r="I2220" s="8" t="s">
        <v>9935</v>
      </c>
      <c r="J2220" s="8" t="s">
        <v>140</v>
      </c>
      <c r="K2220" s="8" t="s">
        <v>8664</v>
      </c>
      <c r="L2220" s="8"/>
      <c r="M2220" s="8"/>
      <c r="N2220" s="8" t="n">
        <v>25</v>
      </c>
      <c r="O2220" s="8" t="n">
        <v>130</v>
      </c>
      <c r="P2220" s="8" t="s">
        <v>120</v>
      </c>
    </row>
    <row r="2221" customFormat="false" ht="15" hidden="false" customHeight="false" outlineLevel="0" collapsed="false">
      <c r="A2221" s="8" t="s">
        <v>7121</v>
      </c>
      <c r="B2221" s="8" t="s">
        <v>10325</v>
      </c>
      <c r="C2221" s="8" t="s">
        <v>8700</v>
      </c>
      <c r="D2221" s="8" t="s">
        <v>128</v>
      </c>
      <c r="E2221" s="8" t="s">
        <v>53</v>
      </c>
      <c r="F2221" s="8" t="s">
        <v>326</v>
      </c>
      <c r="G2221" s="8" t="s">
        <v>136</v>
      </c>
      <c r="H2221" s="8" t="s">
        <v>8675</v>
      </c>
      <c r="I2221" s="8" t="s">
        <v>8882</v>
      </c>
      <c r="J2221" s="8"/>
      <c r="K2221" s="8" t="s">
        <v>8690</v>
      </c>
      <c r="L2221" s="8" t="s">
        <v>8803</v>
      </c>
      <c r="M2221" s="8" t="s">
        <v>8705</v>
      </c>
      <c r="N2221" s="8" t="n">
        <v>25</v>
      </c>
      <c r="O2221" s="8" t="n">
        <v>89</v>
      </c>
      <c r="P2221" s="8" t="s">
        <v>120</v>
      </c>
    </row>
    <row r="2222" customFormat="false" ht="15" hidden="false" customHeight="false" outlineLevel="0" collapsed="false">
      <c r="A2222" s="8" t="s">
        <v>1521</v>
      </c>
      <c r="B2222" s="8" t="s">
        <v>1522</v>
      </c>
      <c r="C2222" s="8" t="s">
        <v>8680</v>
      </c>
      <c r="D2222" s="8" t="s">
        <v>123</v>
      </c>
      <c r="E2222" s="8" t="s">
        <v>53</v>
      </c>
      <c r="F2222" s="8" t="s">
        <v>326</v>
      </c>
      <c r="G2222" s="8" t="s">
        <v>151</v>
      </c>
      <c r="H2222" s="8" t="s">
        <v>8670</v>
      </c>
      <c r="I2222" s="8" t="s">
        <v>10326</v>
      </c>
      <c r="J2222" s="8" t="s">
        <v>159</v>
      </c>
      <c r="K2222" s="8" t="s">
        <v>8664</v>
      </c>
      <c r="L2222" s="8"/>
      <c r="M2222" s="8"/>
      <c r="N2222" s="8" t="n">
        <v>25</v>
      </c>
      <c r="O2222" s="8" t="n">
        <v>89</v>
      </c>
      <c r="P2222" s="8" t="s">
        <v>120</v>
      </c>
    </row>
    <row r="2223" customFormat="false" ht="15" hidden="false" customHeight="false" outlineLevel="0" collapsed="false">
      <c r="A2223" s="8" t="s">
        <v>4527</v>
      </c>
      <c r="B2223" s="8" t="s">
        <v>10327</v>
      </c>
      <c r="C2223" s="8" t="s">
        <v>8678</v>
      </c>
      <c r="D2223" s="8" t="s">
        <v>123</v>
      </c>
      <c r="E2223" s="8" t="s">
        <v>51</v>
      </c>
      <c r="F2223" s="8" t="s">
        <v>2027</v>
      </c>
      <c r="G2223" s="8" t="s">
        <v>223</v>
      </c>
      <c r="H2223" s="8" t="s">
        <v>8670</v>
      </c>
      <c r="I2223" s="8" t="s">
        <v>9128</v>
      </c>
      <c r="J2223" s="8"/>
      <c r="K2223" s="8" t="s">
        <v>8690</v>
      </c>
      <c r="L2223" s="8" t="s">
        <v>9174</v>
      </c>
      <c r="M2223" s="8" t="s">
        <v>8696</v>
      </c>
      <c r="N2223" s="8" t="n">
        <v>12</v>
      </c>
      <c r="O2223" s="8" t="n">
        <v>29</v>
      </c>
      <c r="P2223" s="8" t="s">
        <v>120</v>
      </c>
    </row>
    <row r="2224" customFormat="false" ht="15" hidden="false" customHeight="false" outlineLevel="0" collapsed="false">
      <c r="A2224" s="8" t="s">
        <v>1827</v>
      </c>
      <c r="B2224" s="8" t="s">
        <v>1828</v>
      </c>
      <c r="C2224" s="8" t="s">
        <v>8700</v>
      </c>
      <c r="D2224" s="8" t="s">
        <v>132</v>
      </c>
      <c r="E2224" s="8" t="s">
        <v>51</v>
      </c>
      <c r="F2224" s="8" t="s">
        <v>326</v>
      </c>
      <c r="G2224" s="8" t="s">
        <v>151</v>
      </c>
      <c r="H2224" s="8" t="s">
        <v>8675</v>
      </c>
      <c r="I2224" s="8" t="s">
        <v>9063</v>
      </c>
      <c r="J2224" s="8" t="s">
        <v>159</v>
      </c>
      <c r="K2224" s="8" t="s">
        <v>8664</v>
      </c>
      <c r="L2224" s="8"/>
      <c r="M2224" s="8"/>
      <c r="N2224" s="8" t="n">
        <v>25</v>
      </c>
      <c r="O2224" s="8" t="n">
        <v>34</v>
      </c>
      <c r="P2224" s="8" t="s">
        <v>120</v>
      </c>
    </row>
    <row r="2225" customFormat="false" ht="15" hidden="false" customHeight="false" outlineLevel="0" collapsed="false">
      <c r="A2225" s="8" t="s">
        <v>3082</v>
      </c>
      <c r="B2225" s="8" t="s">
        <v>3083</v>
      </c>
      <c r="C2225" s="8" t="s">
        <v>8700</v>
      </c>
      <c r="D2225" s="8" t="s">
        <v>123</v>
      </c>
      <c r="E2225" s="8" t="s">
        <v>51</v>
      </c>
      <c r="F2225" s="8" t="s">
        <v>2027</v>
      </c>
      <c r="G2225" s="8" t="s">
        <v>133</v>
      </c>
      <c r="H2225" s="8" t="s">
        <v>8666</v>
      </c>
      <c r="I2225" s="8" t="s">
        <v>9492</v>
      </c>
      <c r="J2225" s="8" t="s">
        <v>140</v>
      </c>
      <c r="K2225" s="8" t="s">
        <v>8664</v>
      </c>
      <c r="L2225" s="8"/>
      <c r="M2225" s="8"/>
      <c r="N2225" s="8" t="n">
        <v>12</v>
      </c>
      <c r="O2225" s="8" t="n">
        <v>26</v>
      </c>
      <c r="P2225" s="8" t="s">
        <v>120</v>
      </c>
    </row>
    <row r="2226" customFormat="false" ht="15" hidden="false" customHeight="false" outlineLevel="0" collapsed="false">
      <c r="A2226" s="8" t="s">
        <v>2882</v>
      </c>
      <c r="B2226" s="8" t="s">
        <v>2883</v>
      </c>
      <c r="C2226" s="8" t="s">
        <v>8669</v>
      </c>
      <c r="D2226" s="8" t="s">
        <v>123</v>
      </c>
      <c r="E2226" s="8" t="s">
        <v>51</v>
      </c>
      <c r="F2226" s="8" t="s">
        <v>2027</v>
      </c>
      <c r="G2226" s="8" t="s">
        <v>124</v>
      </c>
      <c r="H2226" s="8" t="s">
        <v>8666</v>
      </c>
      <c r="I2226" s="8" t="s">
        <v>9071</v>
      </c>
      <c r="J2226" s="8" t="s">
        <v>204</v>
      </c>
      <c r="K2226" s="8" t="s">
        <v>8664</v>
      </c>
      <c r="L2226" s="8"/>
      <c r="M2226" s="8"/>
      <c r="N2226" s="8" t="n">
        <v>12</v>
      </c>
      <c r="O2226" s="8" t="n">
        <v>37</v>
      </c>
      <c r="P2226" s="8" t="s">
        <v>120</v>
      </c>
    </row>
    <row r="2227" customFormat="false" ht="15" hidden="false" customHeight="false" outlineLevel="0" collapsed="false">
      <c r="A2227" s="8" t="s">
        <v>3432</v>
      </c>
      <c r="B2227" s="8" t="s">
        <v>3433</v>
      </c>
      <c r="C2227" s="8" t="s">
        <v>8669</v>
      </c>
      <c r="D2227" s="8" t="s">
        <v>123</v>
      </c>
      <c r="E2227" s="8" t="s">
        <v>51</v>
      </c>
      <c r="F2227" s="8" t="s">
        <v>2027</v>
      </c>
      <c r="G2227" s="8" t="s">
        <v>151</v>
      </c>
      <c r="H2227" s="8" t="s">
        <v>8670</v>
      </c>
      <c r="I2227" s="8" t="s">
        <v>9347</v>
      </c>
      <c r="J2227" s="8" t="s">
        <v>180</v>
      </c>
      <c r="K2227" s="8" t="s">
        <v>8664</v>
      </c>
      <c r="L2227" s="8"/>
      <c r="M2227" s="8"/>
      <c r="N2227" s="8" t="n">
        <v>12</v>
      </c>
      <c r="O2227" s="8" t="n">
        <v>23</v>
      </c>
      <c r="P2227" s="8" t="s">
        <v>120</v>
      </c>
    </row>
    <row r="2228" customFormat="false" ht="15" hidden="false" customHeight="false" outlineLevel="0" collapsed="false">
      <c r="A2228" s="8" t="s">
        <v>4198</v>
      </c>
      <c r="B2228" s="8" t="s">
        <v>4199</v>
      </c>
      <c r="C2228" s="8" t="s">
        <v>8700</v>
      </c>
      <c r="D2228" s="8" t="s">
        <v>117</v>
      </c>
      <c r="E2228" s="8" t="s">
        <v>51</v>
      </c>
      <c r="F2228" s="8" t="s">
        <v>2027</v>
      </c>
      <c r="G2228" s="8" t="s">
        <v>118</v>
      </c>
      <c r="H2228" s="8" t="s">
        <v>8662</v>
      </c>
      <c r="I2228" s="8" t="s">
        <v>8838</v>
      </c>
      <c r="J2228" s="8" t="s">
        <v>129</v>
      </c>
      <c r="K2228" s="8" t="s">
        <v>8664</v>
      </c>
      <c r="L2228" s="8"/>
      <c r="M2228" s="8"/>
      <c r="N2228" s="8" t="n">
        <v>12</v>
      </c>
      <c r="O2228" s="8" t="n">
        <v>9</v>
      </c>
      <c r="P2228" s="8" t="s">
        <v>120</v>
      </c>
    </row>
    <row r="2229" customFormat="false" ht="15" hidden="false" customHeight="false" outlineLevel="0" collapsed="false">
      <c r="A2229" s="8" t="s">
        <v>1769</v>
      </c>
      <c r="B2229" s="8" t="s">
        <v>1770</v>
      </c>
      <c r="C2229" s="8" t="s">
        <v>8665</v>
      </c>
      <c r="D2229" s="8" t="s">
        <v>132</v>
      </c>
      <c r="E2229" s="8" t="s">
        <v>51</v>
      </c>
      <c r="F2229" s="8" t="s">
        <v>326</v>
      </c>
      <c r="G2229" s="8" t="s">
        <v>223</v>
      </c>
      <c r="H2229" s="8" t="s">
        <v>8670</v>
      </c>
      <c r="I2229" s="8" t="s">
        <v>9845</v>
      </c>
      <c r="J2229" s="8" t="s">
        <v>159</v>
      </c>
      <c r="K2229" s="8" t="s">
        <v>8664</v>
      </c>
      <c r="L2229" s="8"/>
      <c r="M2229" s="8"/>
      <c r="N2229" s="8" t="n">
        <v>25</v>
      </c>
      <c r="O2229" s="8" t="n">
        <v>38</v>
      </c>
      <c r="P2229" s="8" t="s">
        <v>120</v>
      </c>
    </row>
    <row r="2230" customFormat="false" ht="15" hidden="false" customHeight="false" outlineLevel="0" collapsed="false">
      <c r="A2230" s="8" t="s">
        <v>335</v>
      </c>
      <c r="B2230" s="8" t="s">
        <v>336</v>
      </c>
      <c r="C2230" s="8" t="s">
        <v>8700</v>
      </c>
      <c r="D2230" s="8" t="s">
        <v>128</v>
      </c>
      <c r="E2230" s="8" t="s">
        <v>55</v>
      </c>
      <c r="F2230" s="8" t="s">
        <v>55</v>
      </c>
      <c r="G2230" s="8" t="s">
        <v>133</v>
      </c>
      <c r="H2230" s="8" t="s">
        <v>8675</v>
      </c>
      <c r="I2230" s="8" t="s">
        <v>9237</v>
      </c>
      <c r="J2230" s="8" t="s">
        <v>140</v>
      </c>
      <c r="K2230" s="8" t="s">
        <v>8664</v>
      </c>
      <c r="L2230" s="8"/>
      <c r="M2230" s="8"/>
      <c r="N2230" s="8" t="n">
        <v>45</v>
      </c>
      <c r="O2230" s="8" t="n">
        <v>354</v>
      </c>
      <c r="P2230" s="8" t="s">
        <v>120</v>
      </c>
    </row>
    <row r="2231" customFormat="false" ht="15" hidden="false" customHeight="false" outlineLevel="0" collapsed="false">
      <c r="A2231" s="8" t="s">
        <v>10328</v>
      </c>
      <c r="B2231" s="8" t="s">
        <v>10329</v>
      </c>
      <c r="C2231" s="8" t="s">
        <v>8688</v>
      </c>
      <c r="D2231" s="8" t="s">
        <v>123</v>
      </c>
      <c r="E2231" s="8" t="s">
        <v>53</v>
      </c>
      <c r="F2231" s="8" t="s">
        <v>326</v>
      </c>
      <c r="G2231" s="8" t="s">
        <v>143</v>
      </c>
      <c r="H2231" s="8" t="s">
        <v>8666</v>
      </c>
      <c r="I2231" s="8" t="s">
        <v>9114</v>
      </c>
      <c r="J2231" s="8"/>
      <c r="K2231" s="8" t="s">
        <v>8690</v>
      </c>
      <c r="L2231" s="8" t="s">
        <v>9687</v>
      </c>
      <c r="M2231" s="8" t="s">
        <v>8727</v>
      </c>
      <c r="N2231" s="8" t="n">
        <v>25</v>
      </c>
      <c r="O2231" s="8" t="n">
        <v>61</v>
      </c>
      <c r="P2231" s="8" t="s">
        <v>120</v>
      </c>
    </row>
    <row r="2232" customFormat="false" ht="15" hidden="false" customHeight="false" outlineLevel="0" collapsed="false">
      <c r="A2232" s="8" t="s">
        <v>483</v>
      </c>
      <c r="B2232" s="8" t="s">
        <v>484</v>
      </c>
      <c r="C2232" s="8" t="s">
        <v>8688</v>
      </c>
      <c r="D2232" s="8" t="s">
        <v>123</v>
      </c>
      <c r="E2232" s="8" t="s">
        <v>55</v>
      </c>
      <c r="F2232" s="8" t="s">
        <v>326</v>
      </c>
      <c r="G2232" s="8" t="s">
        <v>143</v>
      </c>
      <c r="H2232" s="8" t="s">
        <v>8675</v>
      </c>
      <c r="I2232" s="8" t="s">
        <v>9504</v>
      </c>
      <c r="J2232" s="8" t="s">
        <v>159</v>
      </c>
      <c r="K2232" s="8" t="s">
        <v>8664</v>
      </c>
      <c r="L2232" s="8"/>
      <c r="M2232" s="8"/>
      <c r="N2232" s="8" t="n">
        <v>25</v>
      </c>
      <c r="O2232" s="8" t="n">
        <v>340</v>
      </c>
      <c r="P2232" s="8" t="s">
        <v>120</v>
      </c>
    </row>
    <row r="2233" customFormat="false" ht="15" hidden="false" customHeight="false" outlineLevel="0" collapsed="false">
      <c r="A2233" s="8" t="s">
        <v>10330</v>
      </c>
      <c r="B2233" s="8" t="s">
        <v>10331</v>
      </c>
      <c r="C2233" s="8" t="s">
        <v>8688</v>
      </c>
      <c r="D2233" s="8" t="s">
        <v>117</v>
      </c>
      <c r="E2233" s="8" t="s">
        <v>53</v>
      </c>
      <c r="F2233" s="8" t="s">
        <v>326</v>
      </c>
      <c r="G2233" s="8" t="s">
        <v>133</v>
      </c>
      <c r="H2233" s="8" t="s">
        <v>8662</v>
      </c>
      <c r="I2233" s="8" t="s">
        <v>9314</v>
      </c>
      <c r="J2233" s="8"/>
      <c r="K2233" s="8" t="s">
        <v>8690</v>
      </c>
      <c r="L2233" s="8" t="s">
        <v>9704</v>
      </c>
      <c r="M2233" s="8" t="s">
        <v>8705</v>
      </c>
      <c r="N2233" s="8" t="n">
        <v>25</v>
      </c>
      <c r="O2233" s="8" t="n">
        <v>179</v>
      </c>
      <c r="P2233" s="8" t="s">
        <v>120</v>
      </c>
    </row>
    <row r="2234" customFormat="false" ht="15" hidden="false" customHeight="false" outlineLevel="0" collapsed="false">
      <c r="A2234" s="8" t="s">
        <v>1313</v>
      </c>
      <c r="B2234" s="8" t="s">
        <v>1314</v>
      </c>
      <c r="C2234" s="8" t="s">
        <v>8669</v>
      </c>
      <c r="D2234" s="8" t="s">
        <v>117</v>
      </c>
      <c r="E2234" s="8" t="s">
        <v>53</v>
      </c>
      <c r="F2234" s="8" t="s">
        <v>326</v>
      </c>
      <c r="G2234" s="8" t="s">
        <v>143</v>
      </c>
      <c r="H2234" s="8" t="s">
        <v>8675</v>
      </c>
      <c r="I2234" s="8" t="s">
        <v>8919</v>
      </c>
      <c r="J2234" s="8" t="s">
        <v>119</v>
      </c>
      <c r="K2234" s="8" t="s">
        <v>8664</v>
      </c>
      <c r="L2234" s="8"/>
      <c r="M2234" s="8"/>
      <c r="N2234" s="8" t="n">
        <v>25</v>
      </c>
      <c r="O2234" s="8" t="n">
        <v>120</v>
      </c>
      <c r="P2234" s="8" t="s">
        <v>120</v>
      </c>
    </row>
    <row r="2235" customFormat="false" ht="15" hidden="false" customHeight="false" outlineLevel="0" collapsed="false">
      <c r="A2235" s="8" t="s">
        <v>4547</v>
      </c>
      <c r="B2235" s="8" t="s">
        <v>10332</v>
      </c>
      <c r="C2235" s="8" t="s">
        <v>8680</v>
      </c>
      <c r="D2235" s="8" t="s">
        <v>132</v>
      </c>
      <c r="E2235" s="8" t="s">
        <v>51</v>
      </c>
      <c r="F2235" s="8" t="s">
        <v>2027</v>
      </c>
      <c r="G2235" s="8" t="s">
        <v>143</v>
      </c>
      <c r="H2235" s="8" t="s">
        <v>8662</v>
      </c>
      <c r="I2235" s="8" t="s">
        <v>9187</v>
      </c>
      <c r="J2235" s="8"/>
      <c r="K2235" s="8" t="s">
        <v>8690</v>
      </c>
      <c r="L2235" s="8" t="s">
        <v>8831</v>
      </c>
      <c r="M2235" s="8" t="s">
        <v>8692</v>
      </c>
      <c r="N2235" s="8" t="n">
        <v>12</v>
      </c>
      <c r="O2235" s="8" t="n">
        <v>23</v>
      </c>
      <c r="P2235" s="8" t="s">
        <v>120</v>
      </c>
    </row>
    <row r="2236" customFormat="false" ht="15" hidden="false" customHeight="false" outlineLevel="0" collapsed="false">
      <c r="A2236" s="8" t="s">
        <v>1425</v>
      </c>
      <c r="B2236" s="8" t="s">
        <v>1426</v>
      </c>
      <c r="C2236" s="8" t="s">
        <v>8665</v>
      </c>
      <c r="D2236" s="8" t="s">
        <v>132</v>
      </c>
      <c r="E2236" s="8" t="s">
        <v>53</v>
      </c>
      <c r="F2236" s="8" t="s">
        <v>326</v>
      </c>
      <c r="G2236" s="8" t="s">
        <v>190</v>
      </c>
      <c r="H2236" s="8" t="s">
        <v>8675</v>
      </c>
      <c r="I2236" s="8" t="s">
        <v>8938</v>
      </c>
      <c r="J2236" s="8" t="s">
        <v>137</v>
      </c>
      <c r="K2236" s="8" t="s">
        <v>8664</v>
      </c>
      <c r="L2236" s="8"/>
      <c r="M2236" s="8"/>
      <c r="N2236" s="8" t="n">
        <v>25</v>
      </c>
      <c r="O2236" s="8" t="n">
        <v>80</v>
      </c>
      <c r="P2236" s="8" t="s">
        <v>120</v>
      </c>
    </row>
    <row r="2237" customFormat="false" ht="15" hidden="false" customHeight="false" outlineLevel="0" collapsed="false">
      <c r="A2237" s="8" t="s">
        <v>2150</v>
      </c>
      <c r="B2237" s="8" t="s">
        <v>2151</v>
      </c>
      <c r="C2237" s="8" t="s">
        <v>8674</v>
      </c>
      <c r="D2237" s="8" t="s">
        <v>123</v>
      </c>
      <c r="E2237" s="8" t="s">
        <v>51</v>
      </c>
      <c r="F2237" s="8" t="s">
        <v>2027</v>
      </c>
      <c r="G2237" s="8" t="s">
        <v>136</v>
      </c>
      <c r="H2237" s="8" t="s">
        <v>8675</v>
      </c>
      <c r="I2237" s="8" t="s">
        <v>9032</v>
      </c>
      <c r="J2237" s="8" t="s">
        <v>125</v>
      </c>
      <c r="K2237" s="8" t="s">
        <v>8664</v>
      </c>
      <c r="L2237" s="8"/>
      <c r="M2237" s="8"/>
      <c r="N2237" s="8" t="n">
        <v>12</v>
      </c>
      <c r="O2237" s="8" t="n">
        <v>37</v>
      </c>
      <c r="P2237" s="8" t="s">
        <v>120</v>
      </c>
    </row>
    <row r="2238" customFormat="false" ht="15" hidden="false" customHeight="false" outlineLevel="0" collapsed="false">
      <c r="A2238" s="8" t="s">
        <v>10333</v>
      </c>
      <c r="B2238" s="8" t="s">
        <v>10334</v>
      </c>
      <c r="C2238" s="8" t="s">
        <v>8665</v>
      </c>
      <c r="D2238" s="8" t="s">
        <v>132</v>
      </c>
      <c r="E2238" s="8" t="s">
        <v>51</v>
      </c>
      <c r="F2238" s="8" t="s">
        <v>326</v>
      </c>
      <c r="G2238" s="8" t="s">
        <v>154</v>
      </c>
      <c r="H2238" s="8" t="s">
        <v>8675</v>
      </c>
      <c r="I2238" s="8" t="s">
        <v>10335</v>
      </c>
      <c r="J2238" s="8"/>
      <c r="K2238" s="8" t="s">
        <v>8690</v>
      </c>
      <c r="L2238" s="8" t="s">
        <v>8983</v>
      </c>
      <c r="M2238" s="8" t="s">
        <v>8795</v>
      </c>
      <c r="N2238" s="8" t="n">
        <v>25</v>
      </c>
      <c r="O2238" s="8" t="n">
        <v>32</v>
      </c>
      <c r="P2238" s="8" t="s">
        <v>120</v>
      </c>
    </row>
    <row r="2239" customFormat="false" ht="15" hidden="false" customHeight="false" outlineLevel="0" collapsed="false">
      <c r="A2239" s="8" t="s">
        <v>4422</v>
      </c>
      <c r="B2239" s="8" t="s">
        <v>10336</v>
      </c>
      <c r="C2239" s="8" t="s">
        <v>8661</v>
      </c>
      <c r="D2239" s="8" t="s">
        <v>123</v>
      </c>
      <c r="E2239" s="8" t="s">
        <v>53</v>
      </c>
      <c r="F2239" s="8" t="s">
        <v>55</v>
      </c>
      <c r="G2239" s="8" t="s">
        <v>154</v>
      </c>
      <c r="H2239" s="8" t="s">
        <v>8670</v>
      </c>
      <c r="I2239" s="8" t="s">
        <v>9104</v>
      </c>
      <c r="J2239" s="8"/>
      <c r="K2239" s="8" t="s">
        <v>8690</v>
      </c>
      <c r="L2239" s="8" t="s">
        <v>9625</v>
      </c>
      <c r="M2239" s="8" t="s">
        <v>8696</v>
      </c>
      <c r="N2239" s="8" t="n">
        <v>45</v>
      </c>
      <c r="O2239" s="8" t="n">
        <v>180</v>
      </c>
      <c r="P2239" s="8" t="s">
        <v>148</v>
      </c>
    </row>
    <row r="2240" customFormat="false" ht="15" hidden="false" customHeight="false" outlineLevel="0" collapsed="false">
      <c r="A2240" s="8" t="s">
        <v>2138</v>
      </c>
      <c r="B2240" s="8" t="s">
        <v>2139</v>
      </c>
      <c r="C2240" s="8" t="s">
        <v>8661</v>
      </c>
      <c r="D2240" s="8" t="s">
        <v>117</v>
      </c>
      <c r="E2240" s="8" t="s">
        <v>51</v>
      </c>
      <c r="F2240" s="8" t="s">
        <v>326</v>
      </c>
      <c r="G2240" s="8" t="s">
        <v>143</v>
      </c>
      <c r="H2240" s="8" t="s">
        <v>8670</v>
      </c>
      <c r="I2240" s="8" t="s">
        <v>9862</v>
      </c>
      <c r="J2240" s="8" t="s">
        <v>119</v>
      </c>
      <c r="K2240" s="8" t="s">
        <v>8664</v>
      </c>
      <c r="L2240" s="8"/>
      <c r="M2240" s="8"/>
      <c r="N2240" s="8" t="n">
        <v>25</v>
      </c>
      <c r="O2240" s="8" t="n">
        <v>27</v>
      </c>
      <c r="P2240" s="8" t="s">
        <v>120</v>
      </c>
    </row>
    <row r="2241" customFormat="false" ht="15" hidden="false" customHeight="false" outlineLevel="0" collapsed="false">
      <c r="A2241" s="8" t="s">
        <v>2536</v>
      </c>
      <c r="B2241" s="8" t="s">
        <v>2537</v>
      </c>
      <c r="C2241" s="8" t="s">
        <v>8678</v>
      </c>
      <c r="D2241" s="8" t="s">
        <v>123</v>
      </c>
      <c r="E2241" s="8" t="s">
        <v>51</v>
      </c>
      <c r="F2241" s="8" t="s">
        <v>2027</v>
      </c>
      <c r="G2241" s="8" t="s">
        <v>133</v>
      </c>
      <c r="H2241" s="8" t="s">
        <v>8666</v>
      </c>
      <c r="I2241" s="8" t="s">
        <v>9989</v>
      </c>
      <c r="J2241" s="8" t="s">
        <v>119</v>
      </c>
      <c r="K2241" s="8" t="s">
        <v>8664</v>
      </c>
      <c r="L2241" s="8"/>
      <c r="M2241" s="8"/>
      <c r="N2241" s="8" t="n">
        <v>12</v>
      </c>
      <c r="O2241" s="8" t="n">
        <v>29</v>
      </c>
      <c r="P2241" s="8" t="s">
        <v>120</v>
      </c>
    </row>
    <row r="2242" customFormat="false" ht="15" hidden="false" customHeight="false" outlineLevel="0" collapsed="false">
      <c r="A2242" s="8" t="s">
        <v>2884</v>
      </c>
      <c r="B2242" s="8" t="s">
        <v>2885</v>
      </c>
      <c r="C2242" s="8" t="s">
        <v>8680</v>
      </c>
      <c r="D2242" s="8" t="s">
        <v>123</v>
      </c>
      <c r="E2242" s="8" t="s">
        <v>51</v>
      </c>
      <c r="F2242" s="8" t="s">
        <v>2027</v>
      </c>
      <c r="G2242" s="8" t="s">
        <v>223</v>
      </c>
      <c r="H2242" s="8" t="s">
        <v>8662</v>
      </c>
      <c r="I2242" s="8" t="s">
        <v>9024</v>
      </c>
      <c r="J2242" s="8" t="s">
        <v>119</v>
      </c>
      <c r="K2242" s="8" t="s">
        <v>8664</v>
      </c>
      <c r="L2242" s="8"/>
      <c r="M2242" s="8"/>
      <c r="N2242" s="8" t="n">
        <v>12</v>
      </c>
      <c r="O2242" s="8" t="n">
        <v>32</v>
      </c>
      <c r="P2242" s="8" t="s">
        <v>120</v>
      </c>
    </row>
    <row r="2243" customFormat="false" ht="15" hidden="false" customHeight="false" outlineLevel="0" collapsed="false">
      <c r="A2243" s="8" t="s">
        <v>2774</v>
      </c>
      <c r="B2243" s="8" t="s">
        <v>2775</v>
      </c>
      <c r="C2243" s="8" t="s">
        <v>8669</v>
      </c>
      <c r="D2243" s="8" t="s">
        <v>123</v>
      </c>
      <c r="E2243" s="8" t="s">
        <v>51</v>
      </c>
      <c r="F2243" s="8" t="s">
        <v>2027</v>
      </c>
      <c r="G2243" s="8" t="s">
        <v>133</v>
      </c>
      <c r="H2243" s="8" t="s">
        <v>8666</v>
      </c>
      <c r="I2243" s="8" t="s">
        <v>9376</v>
      </c>
      <c r="J2243" s="8" t="s">
        <v>177</v>
      </c>
      <c r="K2243" s="8" t="s">
        <v>8664</v>
      </c>
      <c r="L2243" s="8"/>
      <c r="M2243" s="8"/>
      <c r="N2243" s="8" t="n">
        <v>12</v>
      </c>
      <c r="O2243" s="8" t="n">
        <v>30</v>
      </c>
      <c r="P2243" s="8" t="s">
        <v>120</v>
      </c>
    </row>
    <row r="2244" customFormat="false" ht="15" hidden="false" customHeight="false" outlineLevel="0" collapsed="false">
      <c r="A2244" s="8" t="s">
        <v>2832</v>
      </c>
      <c r="B2244" s="8" t="s">
        <v>2833</v>
      </c>
      <c r="C2244" s="8" t="s">
        <v>8661</v>
      </c>
      <c r="D2244" s="8" t="s">
        <v>123</v>
      </c>
      <c r="E2244" s="8" t="s">
        <v>51</v>
      </c>
      <c r="F2244" s="8" t="s">
        <v>2027</v>
      </c>
      <c r="G2244" s="8" t="s">
        <v>136</v>
      </c>
      <c r="H2244" s="8" t="s">
        <v>8666</v>
      </c>
      <c r="I2244" s="8" t="s">
        <v>9227</v>
      </c>
      <c r="J2244" s="8" t="s">
        <v>119</v>
      </c>
      <c r="K2244" s="8" t="s">
        <v>8664</v>
      </c>
      <c r="L2244" s="8"/>
      <c r="M2244" s="8"/>
      <c r="N2244" s="8" t="n">
        <v>12</v>
      </c>
      <c r="O2244" s="8" t="n">
        <v>35</v>
      </c>
      <c r="P2244" s="8" t="s">
        <v>120</v>
      </c>
    </row>
    <row r="2245" customFormat="false" ht="15" hidden="false" customHeight="false" outlineLevel="0" collapsed="false">
      <c r="A2245" s="8" t="s">
        <v>4296</v>
      </c>
      <c r="B2245" s="8" t="s">
        <v>4297</v>
      </c>
      <c r="C2245" s="8" t="s">
        <v>8700</v>
      </c>
      <c r="D2245" s="8" t="s">
        <v>132</v>
      </c>
      <c r="E2245" s="8" t="s">
        <v>51</v>
      </c>
      <c r="F2245" s="8" t="s">
        <v>2027</v>
      </c>
      <c r="G2245" s="8" t="s">
        <v>154</v>
      </c>
      <c r="H2245" s="8" t="s">
        <v>8670</v>
      </c>
      <c r="I2245" s="8" t="s">
        <v>8921</v>
      </c>
      <c r="J2245" s="8" t="s">
        <v>140</v>
      </c>
      <c r="K2245" s="8" t="s">
        <v>8664</v>
      </c>
      <c r="L2245" s="8"/>
      <c r="M2245" s="8"/>
      <c r="N2245" s="8" t="n">
        <v>12</v>
      </c>
      <c r="O2245" s="8" t="n">
        <v>8</v>
      </c>
      <c r="P2245" s="8" t="s">
        <v>120</v>
      </c>
    </row>
    <row r="2246" customFormat="false" ht="15" hidden="false" customHeight="false" outlineLevel="0" collapsed="false">
      <c r="A2246" s="8" t="s">
        <v>3304</v>
      </c>
      <c r="B2246" s="8" t="s">
        <v>3305</v>
      </c>
      <c r="C2246" s="8" t="s">
        <v>8680</v>
      </c>
      <c r="D2246" s="8" t="s">
        <v>132</v>
      </c>
      <c r="E2246" s="8" t="s">
        <v>51</v>
      </c>
      <c r="F2246" s="8" t="s">
        <v>2027</v>
      </c>
      <c r="G2246" s="8" t="s">
        <v>223</v>
      </c>
      <c r="H2246" s="8" t="s">
        <v>8662</v>
      </c>
      <c r="I2246" s="8" t="s">
        <v>9456</v>
      </c>
      <c r="J2246" s="8" t="s">
        <v>177</v>
      </c>
      <c r="K2246" s="8" t="s">
        <v>8664</v>
      </c>
      <c r="L2246" s="8"/>
      <c r="M2246" s="8"/>
      <c r="N2246" s="8" t="n">
        <v>12</v>
      </c>
      <c r="O2246" s="8" t="n">
        <v>25</v>
      </c>
      <c r="P2246" s="8" t="s">
        <v>120</v>
      </c>
    </row>
    <row r="2247" customFormat="false" ht="15" hidden="false" customHeight="false" outlineLevel="0" collapsed="false">
      <c r="A2247" s="8" t="s">
        <v>3826</v>
      </c>
      <c r="B2247" s="8" t="s">
        <v>3827</v>
      </c>
      <c r="C2247" s="8" t="s">
        <v>8665</v>
      </c>
      <c r="D2247" s="8" t="s">
        <v>123</v>
      </c>
      <c r="E2247" s="8" t="s">
        <v>51</v>
      </c>
      <c r="F2247" s="8" t="s">
        <v>2027</v>
      </c>
      <c r="G2247" s="8" t="s">
        <v>166</v>
      </c>
      <c r="H2247" s="8" t="s">
        <v>8670</v>
      </c>
      <c r="I2247" s="8" t="s">
        <v>9596</v>
      </c>
      <c r="J2247" s="8" t="s">
        <v>147</v>
      </c>
      <c r="K2247" s="8" t="s">
        <v>8664</v>
      </c>
      <c r="L2247" s="8"/>
      <c r="M2247" s="8"/>
      <c r="N2247" s="8" t="n">
        <v>12</v>
      </c>
      <c r="O2247" s="8" t="n">
        <v>15</v>
      </c>
      <c r="P2247" s="8" t="s">
        <v>148</v>
      </c>
    </row>
    <row r="2248" customFormat="false" ht="15" hidden="false" customHeight="false" outlineLevel="0" collapsed="false">
      <c r="A2248" s="8" t="s">
        <v>10337</v>
      </c>
      <c r="B2248" s="8" t="s">
        <v>10338</v>
      </c>
      <c r="C2248" s="8" t="s">
        <v>8688</v>
      </c>
      <c r="D2248" s="8" t="s">
        <v>123</v>
      </c>
      <c r="E2248" s="8" t="s">
        <v>51</v>
      </c>
      <c r="F2248" s="8" t="s">
        <v>326</v>
      </c>
      <c r="G2248" s="8" t="s">
        <v>118</v>
      </c>
      <c r="H2248" s="8" t="s">
        <v>8666</v>
      </c>
      <c r="I2248" s="8" t="s">
        <v>9551</v>
      </c>
      <c r="J2248" s="8"/>
      <c r="K2248" s="8" t="s">
        <v>8690</v>
      </c>
      <c r="L2248" s="8" t="s">
        <v>9745</v>
      </c>
      <c r="M2248" s="8" t="s">
        <v>8692</v>
      </c>
      <c r="N2248" s="8" t="n">
        <v>25</v>
      </c>
      <c r="O2248" s="8" t="n">
        <v>21</v>
      </c>
      <c r="P2248" s="8" t="s">
        <v>120</v>
      </c>
    </row>
    <row r="2249" customFormat="false" ht="15" hidden="false" customHeight="false" outlineLevel="0" collapsed="false">
      <c r="A2249" s="8" t="s">
        <v>1287</v>
      </c>
      <c r="B2249" s="8" t="s">
        <v>1288</v>
      </c>
      <c r="C2249" s="8" t="s">
        <v>8665</v>
      </c>
      <c r="D2249" s="8" t="s">
        <v>123</v>
      </c>
      <c r="E2249" s="8" t="s">
        <v>53</v>
      </c>
      <c r="F2249" s="8" t="s">
        <v>326</v>
      </c>
      <c r="G2249" s="8" t="s">
        <v>136</v>
      </c>
      <c r="H2249" s="8" t="s">
        <v>8662</v>
      </c>
      <c r="I2249" s="8" t="s">
        <v>8800</v>
      </c>
      <c r="J2249" s="8" t="s">
        <v>144</v>
      </c>
      <c r="K2249" s="8" t="s">
        <v>8664</v>
      </c>
      <c r="L2249" s="8"/>
      <c r="M2249" s="8"/>
      <c r="N2249" s="8" t="n">
        <v>25</v>
      </c>
      <c r="O2249" s="8" t="n">
        <v>125</v>
      </c>
      <c r="P2249" s="8" t="s">
        <v>120</v>
      </c>
    </row>
    <row r="2250" customFormat="false" ht="15" hidden="false" customHeight="false" outlineLevel="0" collapsed="false">
      <c r="A2250" s="8" t="s">
        <v>4372</v>
      </c>
      <c r="B2250" s="8" t="s">
        <v>4373</v>
      </c>
      <c r="C2250" s="8" t="s">
        <v>8678</v>
      </c>
      <c r="D2250" s="8" t="s">
        <v>132</v>
      </c>
      <c r="E2250" s="8" t="s">
        <v>51</v>
      </c>
      <c r="F2250" s="8" t="s">
        <v>2027</v>
      </c>
      <c r="G2250" s="8" t="s">
        <v>190</v>
      </c>
      <c r="H2250" s="8" t="s">
        <v>8675</v>
      </c>
      <c r="I2250" s="8" t="s">
        <v>9660</v>
      </c>
      <c r="J2250" s="8" t="s">
        <v>185</v>
      </c>
      <c r="K2250" s="8" t="s">
        <v>8664</v>
      </c>
      <c r="L2250" s="8"/>
      <c r="M2250" s="8"/>
      <c r="N2250" s="8" t="n">
        <v>12</v>
      </c>
      <c r="O2250" s="8" t="n">
        <v>5</v>
      </c>
      <c r="P2250" s="8" t="s">
        <v>120</v>
      </c>
    </row>
    <row r="2251" customFormat="false" ht="15" hidden="false" customHeight="false" outlineLevel="0" collapsed="false">
      <c r="A2251" s="8" t="s">
        <v>2324</v>
      </c>
      <c r="B2251" s="8" t="s">
        <v>2325</v>
      </c>
      <c r="C2251" s="8" t="s">
        <v>8669</v>
      </c>
      <c r="D2251" s="8" t="s">
        <v>123</v>
      </c>
      <c r="E2251" s="8" t="s">
        <v>51</v>
      </c>
      <c r="F2251" s="8" t="s">
        <v>2027</v>
      </c>
      <c r="G2251" s="8" t="s">
        <v>136</v>
      </c>
      <c r="H2251" s="8" t="s">
        <v>8670</v>
      </c>
      <c r="I2251" s="8" t="s">
        <v>9464</v>
      </c>
      <c r="J2251" s="8" t="s">
        <v>180</v>
      </c>
      <c r="K2251" s="8" t="s">
        <v>8664</v>
      </c>
      <c r="L2251" s="8"/>
      <c r="M2251" s="8"/>
      <c r="N2251" s="8" t="n">
        <v>12</v>
      </c>
      <c r="O2251" s="8" t="n">
        <v>35</v>
      </c>
      <c r="P2251" s="8" t="s">
        <v>120</v>
      </c>
    </row>
    <row r="2252" customFormat="false" ht="15" hidden="false" customHeight="false" outlineLevel="0" collapsed="false">
      <c r="A2252" s="8" t="s">
        <v>2886</v>
      </c>
      <c r="B2252" s="8" t="s">
        <v>2887</v>
      </c>
      <c r="C2252" s="8" t="s">
        <v>8680</v>
      </c>
      <c r="D2252" s="8" t="s">
        <v>117</v>
      </c>
      <c r="E2252" s="8" t="s">
        <v>51</v>
      </c>
      <c r="F2252" s="8" t="s">
        <v>2027</v>
      </c>
      <c r="G2252" s="8" t="s">
        <v>223</v>
      </c>
      <c r="H2252" s="8" t="s">
        <v>8662</v>
      </c>
      <c r="I2252" s="8" t="s">
        <v>9104</v>
      </c>
      <c r="J2252" s="8" t="s">
        <v>180</v>
      </c>
      <c r="K2252" s="8" t="s">
        <v>8664</v>
      </c>
      <c r="L2252" s="8"/>
      <c r="M2252" s="8"/>
      <c r="N2252" s="8" t="n">
        <v>12</v>
      </c>
      <c r="O2252" s="8" t="n">
        <v>28</v>
      </c>
      <c r="P2252" s="8" t="s">
        <v>120</v>
      </c>
    </row>
    <row r="2253" customFormat="false" ht="15" hidden="false" customHeight="false" outlineLevel="0" collapsed="false">
      <c r="A2253" s="8" t="s">
        <v>1351</v>
      </c>
      <c r="B2253" s="8" t="s">
        <v>1352</v>
      </c>
      <c r="C2253" s="8" t="s">
        <v>8661</v>
      </c>
      <c r="D2253" s="8" t="s">
        <v>132</v>
      </c>
      <c r="E2253" s="8" t="s">
        <v>53</v>
      </c>
      <c r="F2253" s="8" t="s">
        <v>326</v>
      </c>
      <c r="G2253" s="8" t="s">
        <v>143</v>
      </c>
      <c r="H2253" s="8" t="s">
        <v>8666</v>
      </c>
      <c r="I2253" s="8" t="s">
        <v>8737</v>
      </c>
      <c r="J2253" s="8" t="s">
        <v>137</v>
      </c>
      <c r="K2253" s="8" t="s">
        <v>8664</v>
      </c>
      <c r="L2253" s="8"/>
      <c r="M2253" s="8"/>
      <c r="N2253" s="8" t="n">
        <v>25</v>
      </c>
      <c r="O2253" s="8" t="n">
        <v>115</v>
      </c>
      <c r="P2253" s="8" t="s">
        <v>120</v>
      </c>
    </row>
    <row r="2254" customFormat="false" ht="15" hidden="false" customHeight="false" outlineLevel="0" collapsed="false">
      <c r="A2254" s="8" t="s">
        <v>3306</v>
      </c>
      <c r="B2254" s="8" t="s">
        <v>3307</v>
      </c>
      <c r="C2254" s="8" t="s">
        <v>8674</v>
      </c>
      <c r="D2254" s="8" t="s">
        <v>128</v>
      </c>
      <c r="E2254" s="8" t="s">
        <v>51</v>
      </c>
      <c r="F2254" s="8" t="s">
        <v>2027</v>
      </c>
      <c r="G2254" s="8" t="s">
        <v>124</v>
      </c>
      <c r="H2254" s="8" t="s">
        <v>8670</v>
      </c>
      <c r="I2254" s="8" t="s">
        <v>10074</v>
      </c>
      <c r="J2254" s="8" t="s">
        <v>125</v>
      </c>
      <c r="K2254" s="8" t="s">
        <v>8664</v>
      </c>
      <c r="L2254" s="8"/>
      <c r="M2254" s="8"/>
      <c r="N2254" s="8" t="n">
        <v>12</v>
      </c>
      <c r="O2254" s="8" t="n">
        <v>28</v>
      </c>
      <c r="P2254" s="8" t="s">
        <v>120</v>
      </c>
    </row>
    <row r="2255" customFormat="false" ht="15" hidden="false" customHeight="false" outlineLevel="0" collapsed="false">
      <c r="A2255" s="8" t="s">
        <v>3018</v>
      </c>
      <c r="B2255" s="8" t="s">
        <v>3019</v>
      </c>
      <c r="C2255" s="8" t="s">
        <v>8674</v>
      </c>
      <c r="D2255" s="8" t="s">
        <v>123</v>
      </c>
      <c r="E2255" s="8" t="s">
        <v>51</v>
      </c>
      <c r="F2255" s="8" t="s">
        <v>2027</v>
      </c>
      <c r="G2255" s="8" t="s">
        <v>166</v>
      </c>
      <c r="H2255" s="8" t="s">
        <v>8675</v>
      </c>
      <c r="I2255" s="8" t="s">
        <v>10294</v>
      </c>
      <c r="J2255" s="8" t="s">
        <v>180</v>
      </c>
      <c r="K2255" s="8" t="s">
        <v>8664</v>
      </c>
      <c r="L2255" s="8"/>
      <c r="M2255" s="8"/>
      <c r="N2255" s="8" t="n">
        <v>12</v>
      </c>
      <c r="O2255" s="8" t="n">
        <v>30</v>
      </c>
      <c r="P2255" s="8" t="s">
        <v>120</v>
      </c>
    </row>
    <row r="2256" customFormat="false" ht="15" hidden="false" customHeight="false" outlineLevel="0" collapsed="false">
      <c r="A2256" s="8" t="s">
        <v>1829</v>
      </c>
      <c r="B2256" s="8" t="s">
        <v>1830</v>
      </c>
      <c r="C2256" s="8" t="s">
        <v>8700</v>
      </c>
      <c r="D2256" s="8" t="s">
        <v>117</v>
      </c>
      <c r="E2256" s="8" t="s">
        <v>51</v>
      </c>
      <c r="F2256" s="8" t="s">
        <v>326</v>
      </c>
      <c r="G2256" s="8" t="s">
        <v>143</v>
      </c>
      <c r="H2256" s="8" t="s">
        <v>8670</v>
      </c>
      <c r="I2256" s="8" t="s">
        <v>10257</v>
      </c>
      <c r="J2256" s="8" t="s">
        <v>185</v>
      </c>
      <c r="K2256" s="8" t="s">
        <v>8664</v>
      </c>
      <c r="L2256" s="8"/>
      <c r="M2256" s="8"/>
      <c r="N2256" s="8" t="n">
        <v>25</v>
      </c>
      <c r="O2256" s="8" t="n">
        <v>27</v>
      </c>
      <c r="P2256" s="8" t="s">
        <v>120</v>
      </c>
    </row>
    <row r="2257" customFormat="false" ht="15" hidden="false" customHeight="false" outlineLevel="0" collapsed="false">
      <c r="A2257" s="8" t="s">
        <v>1631</v>
      </c>
      <c r="B2257" s="8" t="s">
        <v>1632</v>
      </c>
      <c r="C2257" s="8" t="s">
        <v>8700</v>
      </c>
      <c r="D2257" s="8" t="s">
        <v>123</v>
      </c>
      <c r="E2257" s="8" t="s">
        <v>53</v>
      </c>
      <c r="F2257" s="8" t="s">
        <v>326</v>
      </c>
      <c r="G2257" s="8" t="s">
        <v>166</v>
      </c>
      <c r="H2257" s="8" t="s">
        <v>8675</v>
      </c>
      <c r="I2257" s="8" t="s">
        <v>8907</v>
      </c>
      <c r="J2257" s="8" t="s">
        <v>140</v>
      </c>
      <c r="K2257" s="8" t="s">
        <v>8664</v>
      </c>
      <c r="L2257" s="8"/>
      <c r="M2257" s="8"/>
      <c r="N2257" s="8" t="n">
        <v>25</v>
      </c>
      <c r="O2257" s="8" t="n">
        <v>59</v>
      </c>
      <c r="P2257" s="8" t="s">
        <v>120</v>
      </c>
    </row>
    <row r="2258" customFormat="false" ht="15" hidden="false" customHeight="false" outlineLevel="0" collapsed="false">
      <c r="A2258" s="8" t="s">
        <v>1189</v>
      </c>
      <c r="B2258" s="8" t="s">
        <v>1190</v>
      </c>
      <c r="C2258" s="8" t="s">
        <v>8680</v>
      </c>
      <c r="D2258" s="8" t="s">
        <v>128</v>
      </c>
      <c r="E2258" s="8" t="s">
        <v>53</v>
      </c>
      <c r="F2258" s="8" t="s">
        <v>326</v>
      </c>
      <c r="G2258" s="8" t="s">
        <v>154</v>
      </c>
      <c r="H2258" s="8" t="s">
        <v>8675</v>
      </c>
      <c r="I2258" s="8" t="s">
        <v>10326</v>
      </c>
      <c r="J2258" s="8" t="s">
        <v>159</v>
      </c>
      <c r="K2258" s="8" t="s">
        <v>8664</v>
      </c>
      <c r="L2258" s="8"/>
      <c r="M2258" s="8"/>
      <c r="N2258" s="8" t="n">
        <v>25</v>
      </c>
      <c r="O2258" s="8" t="n">
        <v>108</v>
      </c>
      <c r="P2258" s="8" t="s">
        <v>120</v>
      </c>
    </row>
    <row r="2259" customFormat="false" ht="15" hidden="false" customHeight="false" outlineLevel="0" collapsed="false">
      <c r="A2259" s="8" t="s">
        <v>3084</v>
      </c>
      <c r="B2259" s="8" t="s">
        <v>3085</v>
      </c>
      <c r="C2259" s="8" t="s">
        <v>8700</v>
      </c>
      <c r="D2259" s="8" t="s">
        <v>123</v>
      </c>
      <c r="E2259" s="8" t="s">
        <v>51</v>
      </c>
      <c r="F2259" s="8" t="s">
        <v>2027</v>
      </c>
      <c r="G2259" s="8" t="s">
        <v>143</v>
      </c>
      <c r="H2259" s="8" t="s">
        <v>8670</v>
      </c>
      <c r="I2259" s="8" t="s">
        <v>9043</v>
      </c>
      <c r="J2259" s="8" t="s">
        <v>159</v>
      </c>
      <c r="K2259" s="8" t="s">
        <v>8664</v>
      </c>
      <c r="L2259" s="8"/>
      <c r="M2259" s="8"/>
      <c r="N2259" s="8" t="n">
        <v>12</v>
      </c>
      <c r="O2259" s="8" t="n">
        <v>29</v>
      </c>
      <c r="P2259" s="8" t="s">
        <v>120</v>
      </c>
    </row>
    <row r="2260" customFormat="false" ht="15" hidden="false" customHeight="false" outlineLevel="0" collapsed="false">
      <c r="A2260" s="8" t="s">
        <v>4517</v>
      </c>
      <c r="B2260" s="8" t="s">
        <v>10339</v>
      </c>
      <c r="C2260" s="8" t="s">
        <v>8700</v>
      </c>
      <c r="D2260" s="8" t="s">
        <v>123</v>
      </c>
      <c r="E2260" s="8" t="s">
        <v>51</v>
      </c>
      <c r="F2260" s="8" t="s">
        <v>2027</v>
      </c>
      <c r="G2260" s="8" t="s">
        <v>124</v>
      </c>
      <c r="H2260" s="8" t="s">
        <v>8666</v>
      </c>
      <c r="I2260" s="8" t="s">
        <v>9616</v>
      </c>
      <c r="J2260" s="8"/>
      <c r="K2260" s="8" t="s">
        <v>8690</v>
      </c>
      <c r="L2260" s="8" t="s">
        <v>9308</v>
      </c>
      <c r="M2260" s="8" t="s">
        <v>8696</v>
      </c>
      <c r="N2260" s="8" t="n">
        <v>12</v>
      </c>
      <c r="O2260" s="8" t="n">
        <v>34</v>
      </c>
      <c r="P2260" s="8" t="s">
        <v>120</v>
      </c>
    </row>
    <row r="2261" customFormat="false" ht="15" hidden="false" customHeight="false" outlineLevel="0" collapsed="false">
      <c r="A2261" s="8" t="s">
        <v>351</v>
      </c>
      <c r="B2261" s="8" t="s">
        <v>352</v>
      </c>
      <c r="C2261" s="8" t="s">
        <v>8661</v>
      </c>
      <c r="D2261" s="8" t="s">
        <v>123</v>
      </c>
      <c r="E2261" s="8" t="s">
        <v>55</v>
      </c>
      <c r="F2261" s="8" t="s">
        <v>55</v>
      </c>
      <c r="G2261" s="8" t="s">
        <v>118</v>
      </c>
      <c r="H2261" s="8" t="s">
        <v>8666</v>
      </c>
      <c r="I2261" s="8" t="s">
        <v>9056</v>
      </c>
      <c r="J2261" s="8" t="s">
        <v>137</v>
      </c>
      <c r="K2261" s="8" t="s">
        <v>8664</v>
      </c>
      <c r="L2261" s="8"/>
      <c r="M2261" s="8"/>
      <c r="N2261" s="8" t="n">
        <v>45</v>
      </c>
      <c r="O2261" s="8" t="n">
        <v>337</v>
      </c>
      <c r="P2261" s="8" t="s">
        <v>120</v>
      </c>
    </row>
    <row r="2262" customFormat="false" ht="15" hidden="false" customHeight="false" outlineLevel="0" collapsed="false">
      <c r="A2262" s="8" t="s">
        <v>3036</v>
      </c>
      <c r="B2262" s="8" t="s">
        <v>3037</v>
      </c>
      <c r="C2262" s="8" t="s">
        <v>8661</v>
      </c>
      <c r="D2262" s="8" t="s">
        <v>123</v>
      </c>
      <c r="E2262" s="8" t="s">
        <v>51</v>
      </c>
      <c r="F2262" s="8" t="s">
        <v>326</v>
      </c>
      <c r="G2262" s="8" t="s">
        <v>166</v>
      </c>
      <c r="H2262" s="8" t="s">
        <v>8666</v>
      </c>
      <c r="I2262" s="8" t="s">
        <v>9041</v>
      </c>
      <c r="J2262" s="8" t="s">
        <v>129</v>
      </c>
      <c r="K2262" s="8" t="s">
        <v>8664</v>
      </c>
      <c r="L2262" s="8"/>
      <c r="M2262" s="8"/>
      <c r="N2262" s="8" t="n">
        <v>25</v>
      </c>
      <c r="O2262" s="8" t="n">
        <v>14</v>
      </c>
      <c r="P2262" s="8" t="s">
        <v>120</v>
      </c>
    </row>
    <row r="2263" customFormat="false" ht="15" hidden="false" customHeight="false" outlineLevel="0" collapsed="false">
      <c r="A2263" s="8" t="s">
        <v>3524</v>
      </c>
      <c r="B2263" s="8" t="s">
        <v>3525</v>
      </c>
      <c r="C2263" s="8" t="s">
        <v>8669</v>
      </c>
      <c r="D2263" s="8" t="s">
        <v>123</v>
      </c>
      <c r="E2263" s="8" t="s">
        <v>51</v>
      </c>
      <c r="F2263" s="8" t="s">
        <v>2027</v>
      </c>
      <c r="G2263" s="8" t="s">
        <v>124</v>
      </c>
      <c r="H2263" s="8" t="s">
        <v>8666</v>
      </c>
      <c r="I2263" s="8" t="s">
        <v>10340</v>
      </c>
      <c r="J2263" s="8" t="s">
        <v>204</v>
      </c>
      <c r="K2263" s="8" t="s">
        <v>8664</v>
      </c>
      <c r="L2263" s="8"/>
      <c r="M2263" s="8"/>
      <c r="N2263" s="8" t="n">
        <v>12</v>
      </c>
      <c r="O2263" s="8" t="n">
        <v>21</v>
      </c>
      <c r="P2263" s="8" t="s">
        <v>120</v>
      </c>
    </row>
    <row r="2264" customFormat="false" ht="15" hidden="false" customHeight="false" outlineLevel="0" collapsed="false">
      <c r="A2264" s="8" t="s">
        <v>1061</v>
      </c>
      <c r="B2264" s="8" t="s">
        <v>1062</v>
      </c>
      <c r="C2264" s="8" t="s">
        <v>8680</v>
      </c>
      <c r="D2264" s="8" t="s">
        <v>132</v>
      </c>
      <c r="E2264" s="8" t="s">
        <v>53</v>
      </c>
      <c r="F2264" s="8" t="s">
        <v>326</v>
      </c>
      <c r="G2264" s="8" t="s">
        <v>136</v>
      </c>
      <c r="H2264" s="8" t="s">
        <v>8666</v>
      </c>
      <c r="I2264" s="8" t="s">
        <v>10341</v>
      </c>
      <c r="J2264" s="8" t="s">
        <v>137</v>
      </c>
      <c r="K2264" s="8" t="s">
        <v>8664</v>
      </c>
      <c r="L2264" s="8"/>
      <c r="M2264" s="8"/>
      <c r="N2264" s="8" t="n">
        <v>25</v>
      </c>
      <c r="O2264" s="8" t="n">
        <v>154</v>
      </c>
      <c r="P2264" s="8" t="s">
        <v>148</v>
      </c>
    </row>
    <row r="2265" customFormat="false" ht="15" hidden="false" customHeight="false" outlineLevel="0" collapsed="false">
      <c r="A2265" s="8" t="s">
        <v>1353</v>
      </c>
      <c r="B2265" s="8" t="s">
        <v>1354</v>
      </c>
      <c r="C2265" s="8" t="s">
        <v>8661</v>
      </c>
      <c r="D2265" s="8" t="s">
        <v>132</v>
      </c>
      <c r="E2265" s="8" t="s">
        <v>53</v>
      </c>
      <c r="F2265" s="8" t="s">
        <v>326</v>
      </c>
      <c r="G2265" s="8" t="s">
        <v>166</v>
      </c>
      <c r="H2265" s="8" t="s">
        <v>8670</v>
      </c>
      <c r="I2265" s="8" t="s">
        <v>9094</v>
      </c>
      <c r="J2265" s="8" t="s">
        <v>129</v>
      </c>
      <c r="K2265" s="8" t="s">
        <v>8664</v>
      </c>
      <c r="L2265" s="8"/>
      <c r="M2265" s="8"/>
      <c r="N2265" s="8" t="n">
        <v>25</v>
      </c>
      <c r="O2265" s="8" t="n">
        <v>115</v>
      </c>
      <c r="P2265" s="8" t="s">
        <v>120</v>
      </c>
    </row>
    <row r="2266" customFormat="false" ht="15" hidden="false" customHeight="false" outlineLevel="0" collapsed="false">
      <c r="A2266" s="8" t="s">
        <v>1299</v>
      </c>
      <c r="B2266" s="8" t="s">
        <v>1300</v>
      </c>
      <c r="C2266" s="8" t="s">
        <v>8669</v>
      </c>
      <c r="D2266" s="8" t="s">
        <v>117</v>
      </c>
      <c r="E2266" s="8" t="s">
        <v>53</v>
      </c>
      <c r="F2266" s="8" t="s">
        <v>55</v>
      </c>
      <c r="G2266" s="8" t="s">
        <v>223</v>
      </c>
      <c r="H2266" s="8" t="s">
        <v>8675</v>
      </c>
      <c r="I2266" s="8" t="s">
        <v>9945</v>
      </c>
      <c r="J2266" s="8" t="s">
        <v>129</v>
      </c>
      <c r="K2266" s="8" t="s">
        <v>8664</v>
      </c>
      <c r="L2266" s="8"/>
      <c r="M2266" s="8"/>
      <c r="N2266" s="8" t="n">
        <v>45</v>
      </c>
      <c r="O2266" s="8" t="n">
        <v>68</v>
      </c>
      <c r="P2266" s="8" t="s">
        <v>120</v>
      </c>
    </row>
    <row r="2267" customFormat="false" ht="15" hidden="false" customHeight="false" outlineLevel="0" collapsed="false">
      <c r="A2267" s="8" t="s">
        <v>2298</v>
      </c>
      <c r="B2267" s="8" t="s">
        <v>2299</v>
      </c>
      <c r="C2267" s="8" t="s">
        <v>8661</v>
      </c>
      <c r="D2267" s="8" t="s">
        <v>117</v>
      </c>
      <c r="E2267" s="8" t="s">
        <v>51</v>
      </c>
      <c r="F2267" s="8" t="s">
        <v>326</v>
      </c>
      <c r="G2267" s="8" t="s">
        <v>166</v>
      </c>
      <c r="H2267" s="8" t="s">
        <v>8662</v>
      </c>
      <c r="I2267" s="8" t="s">
        <v>9748</v>
      </c>
      <c r="J2267" s="8" t="s">
        <v>137</v>
      </c>
      <c r="K2267" s="8" t="s">
        <v>8664</v>
      </c>
      <c r="L2267" s="8"/>
      <c r="M2267" s="8"/>
      <c r="N2267" s="8" t="n">
        <v>25</v>
      </c>
      <c r="O2267" s="8" t="n">
        <v>22</v>
      </c>
      <c r="P2267" s="8" t="s">
        <v>120</v>
      </c>
    </row>
    <row r="2268" customFormat="false" ht="15" hidden="false" customHeight="false" outlineLevel="0" collapsed="false">
      <c r="A2268" s="8" t="s">
        <v>1343</v>
      </c>
      <c r="B2268" s="8" t="s">
        <v>1344</v>
      </c>
      <c r="C2268" s="8" t="s">
        <v>8680</v>
      </c>
      <c r="D2268" s="8" t="s">
        <v>123</v>
      </c>
      <c r="E2268" s="8" t="s">
        <v>53</v>
      </c>
      <c r="F2268" s="8" t="s">
        <v>326</v>
      </c>
      <c r="G2268" s="8" t="s">
        <v>223</v>
      </c>
      <c r="H2268" s="8" t="s">
        <v>8662</v>
      </c>
      <c r="I2268" s="8" t="s">
        <v>9371</v>
      </c>
      <c r="J2268" s="8" t="s">
        <v>144</v>
      </c>
      <c r="K2268" s="8" t="s">
        <v>8664</v>
      </c>
      <c r="L2268" s="8"/>
      <c r="M2268" s="8"/>
      <c r="N2268" s="8" t="n">
        <v>25</v>
      </c>
      <c r="O2268" s="8" t="n">
        <v>116</v>
      </c>
      <c r="P2268" s="8" t="s">
        <v>120</v>
      </c>
    </row>
    <row r="2269" customFormat="false" ht="15" hidden="false" customHeight="false" outlineLevel="0" collapsed="false">
      <c r="A2269" s="8" t="s">
        <v>3086</v>
      </c>
      <c r="B2269" s="8" t="s">
        <v>3087</v>
      </c>
      <c r="C2269" s="8" t="s">
        <v>8680</v>
      </c>
      <c r="D2269" s="8" t="s">
        <v>132</v>
      </c>
      <c r="E2269" s="8" t="s">
        <v>51</v>
      </c>
      <c r="F2269" s="8" t="s">
        <v>2027</v>
      </c>
      <c r="G2269" s="8" t="s">
        <v>223</v>
      </c>
      <c r="H2269" s="8" t="s">
        <v>8666</v>
      </c>
      <c r="I2269" s="8" t="s">
        <v>9617</v>
      </c>
      <c r="J2269" s="8" t="s">
        <v>119</v>
      </c>
      <c r="K2269" s="8" t="s">
        <v>8664</v>
      </c>
      <c r="L2269" s="8"/>
      <c r="M2269" s="8"/>
      <c r="N2269" s="8" t="n">
        <v>12</v>
      </c>
      <c r="O2269" s="8" t="n">
        <v>29</v>
      </c>
      <c r="P2269" s="8" t="s">
        <v>120</v>
      </c>
    </row>
    <row r="2270" customFormat="false" ht="15" hidden="false" customHeight="false" outlineLevel="0" collapsed="false">
      <c r="A2270" s="8" t="s">
        <v>1639</v>
      </c>
      <c r="B2270" s="8" t="s">
        <v>1640</v>
      </c>
      <c r="C2270" s="8" t="s">
        <v>8700</v>
      </c>
      <c r="D2270" s="8" t="s">
        <v>132</v>
      </c>
      <c r="E2270" s="8" t="s">
        <v>53</v>
      </c>
      <c r="F2270" s="8" t="s">
        <v>326</v>
      </c>
      <c r="G2270" s="8" t="s">
        <v>151</v>
      </c>
      <c r="H2270" s="8" t="s">
        <v>8666</v>
      </c>
      <c r="I2270" s="8" t="s">
        <v>9472</v>
      </c>
      <c r="J2270" s="8" t="s">
        <v>185</v>
      </c>
      <c r="K2270" s="8" t="s">
        <v>8664</v>
      </c>
      <c r="L2270" s="8"/>
      <c r="M2270" s="8"/>
      <c r="N2270" s="8" t="n">
        <v>25</v>
      </c>
      <c r="O2270" s="8" t="n">
        <v>66</v>
      </c>
      <c r="P2270" s="8" t="s">
        <v>120</v>
      </c>
    </row>
    <row r="2271" customFormat="false" ht="15" hidden="false" customHeight="false" outlineLevel="0" collapsed="false">
      <c r="A2271" s="8" t="s">
        <v>10342</v>
      </c>
      <c r="B2271" s="8" t="s">
        <v>10343</v>
      </c>
      <c r="C2271" s="8" t="s">
        <v>8665</v>
      </c>
      <c r="D2271" s="8" t="s">
        <v>117</v>
      </c>
      <c r="E2271" s="8" t="s">
        <v>51</v>
      </c>
      <c r="F2271" s="8" t="s">
        <v>326</v>
      </c>
      <c r="G2271" s="8" t="s">
        <v>143</v>
      </c>
      <c r="H2271" s="8" t="s">
        <v>8662</v>
      </c>
      <c r="I2271" s="8" t="s">
        <v>10344</v>
      </c>
      <c r="J2271" s="8"/>
      <c r="K2271" s="8" t="s">
        <v>8690</v>
      </c>
      <c r="L2271" s="8" t="s">
        <v>9704</v>
      </c>
      <c r="M2271" s="8" t="s">
        <v>8692</v>
      </c>
      <c r="N2271" s="8" t="n">
        <v>25</v>
      </c>
      <c r="O2271" s="8" t="n">
        <v>25</v>
      </c>
      <c r="P2271" s="8" t="s">
        <v>120</v>
      </c>
    </row>
    <row r="2272" customFormat="false" ht="15" hidden="false" customHeight="false" outlineLevel="0" collapsed="false">
      <c r="A2272" s="8" t="s">
        <v>2478</v>
      </c>
      <c r="B2272" s="8" t="s">
        <v>2479</v>
      </c>
      <c r="C2272" s="8" t="s">
        <v>8688</v>
      </c>
      <c r="D2272" s="8" t="s">
        <v>132</v>
      </c>
      <c r="E2272" s="8" t="s">
        <v>51</v>
      </c>
      <c r="F2272" s="8" t="s">
        <v>2027</v>
      </c>
      <c r="G2272" s="8" t="s">
        <v>154</v>
      </c>
      <c r="H2272" s="8" t="s">
        <v>8675</v>
      </c>
      <c r="I2272" s="8" t="s">
        <v>10345</v>
      </c>
      <c r="J2272" s="8" t="s">
        <v>177</v>
      </c>
      <c r="K2272" s="8" t="s">
        <v>8664</v>
      </c>
      <c r="L2272" s="8"/>
      <c r="M2272" s="8"/>
      <c r="N2272" s="8" t="n">
        <v>12</v>
      </c>
      <c r="O2272" s="8" t="n">
        <v>39</v>
      </c>
      <c r="P2272" s="8" t="s">
        <v>120</v>
      </c>
    </row>
    <row r="2273" customFormat="false" ht="15" hidden="false" customHeight="false" outlineLevel="0" collapsed="false">
      <c r="A2273" s="8" t="s">
        <v>2480</v>
      </c>
      <c r="B2273" s="8" t="s">
        <v>2481</v>
      </c>
      <c r="C2273" s="8" t="s">
        <v>8669</v>
      </c>
      <c r="D2273" s="8" t="s">
        <v>117</v>
      </c>
      <c r="E2273" s="8" t="s">
        <v>51</v>
      </c>
      <c r="F2273" s="8" t="s">
        <v>2027</v>
      </c>
      <c r="G2273" s="8" t="s">
        <v>118</v>
      </c>
      <c r="H2273" s="8" t="s">
        <v>8666</v>
      </c>
      <c r="I2273" s="8" t="s">
        <v>8847</v>
      </c>
      <c r="J2273" s="8" t="s">
        <v>177</v>
      </c>
      <c r="K2273" s="8" t="s">
        <v>8664</v>
      </c>
      <c r="L2273" s="8"/>
      <c r="M2273" s="8"/>
      <c r="N2273" s="8" t="n">
        <v>12</v>
      </c>
      <c r="O2273" s="8" t="n">
        <v>39</v>
      </c>
      <c r="P2273" s="8" t="s">
        <v>120</v>
      </c>
    </row>
    <row r="2274" customFormat="false" ht="15" hidden="false" customHeight="false" outlineLevel="0" collapsed="false">
      <c r="A2274" s="8" t="s">
        <v>1891</v>
      </c>
      <c r="B2274" s="8" t="s">
        <v>1892</v>
      </c>
      <c r="C2274" s="8" t="s">
        <v>8674</v>
      </c>
      <c r="D2274" s="8" t="s">
        <v>132</v>
      </c>
      <c r="E2274" s="8" t="s">
        <v>51</v>
      </c>
      <c r="F2274" s="8" t="s">
        <v>326</v>
      </c>
      <c r="G2274" s="8" t="s">
        <v>118</v>
      </c>
      <c r="H2274" s="8" t="s">
        <v>8675</v>
      </c>
      <c r="I2274" s="8" t="s">
        <v>9966</v>
      </c>
      <c r="J2274" s="8" t="s">
        <v>177</v>
      </c>
      <c r="K2274" s="8" t="s">
        <v>8664</v>
      </c>
      <c r="L2274" s="8"/>
      <c r="M2274" s="8"/>
      <c r="N2274" s="8" t="n">
        <v>25</v>
      </c>
      <c r="O2274" s="8" t="n">
        <v>37</v>
      </c>
      <c r="P2274" s="8" t="s">
        <v>120</v>
      </c>
    </row>
    <row r="2275" customFormat="false" ht="15" hidden="false" customHeight="false" outlineLevel="0" collapsed="false">
      <c r="A2275" s="8" t="s">
        <v>2718</v>
      </c>
      <c r="B2275" s="8" t="s">
        <v>2719</v>
      </c>
      <c r="C2275" s="8" t="s">
        <v>8678</v>
      </c>
      <c r="D2275" s="8" t="s">
        <v>123</v>
      </c>
      <c r="E2275" s="8" t="s">
        <v>51</v>
      </c>
      <c r="F2275" s="8" t="s">
        <v>2027</v>
      </c>
      <c r="G2275" s="8" t="s">
        <v>166</v>
      </c>
      <c r="H2275" s="8" t="s">
        <v>8670</v>
      </c>
      <c r="I2275" s="8" t="s">
        <v>9781</v>
      </c>
      <c r="J2275" s="8" t="s">
        <v>125</v>
      </c>
      <c r="K2275" s="8" t="s">
        <v>8664</v>
      </c>
      <c r="L2275" s="8"/>
      <c r="M2275" s="8"/>
      <c r="N2275" s="8" t="n">
        <v>12</v>
      </c>
      <c r="O2275" s="8" t="n">
        <v>31</v>
      </c>
      <c r="P2275" s="8" t="s">
        <v>120</v>
      </c>
    </row>
    <row r="2276" customFormat="false" ht="15" hidden="false" customHeight="false" outlineLevel="0" collapsed="false">
      <c r="A2276" s="8" t="s">
        <v>3946</v>
      </c>
      <c r="B2276" s="8" t="s">
        <v>3947</v>
      </c>
      <c r="C2276" s="8" t="s">
        <v>8678</v>
      </c>
      <c r="D2276" s="8" t="s">
        <v>123</v>
      </c>
      <c r="E2276" s="8" t="s">
        <v>51</v>
      </c>
      <c r="F2276" s="8" t="s">
        <v>2027</v>
      </c>
      <c r="G2276" s="8" t="s">
        <v>143</v>
      </c>
      <c r="H2276" s="8" t="s">
        <v>8662</v>
      </c>
      <c r="I2276" s="8" t="s">
        <v>9113</v>
      </c>
      <c r="J2276" s="8" t="s">
        <v>137</v>
      </c>
      <c r="K2276" s="8" t="s">
        <v>8664</v>
      </c>
      <c r="L2276" s="8"/>
      <c r="M2276" s="8"/>
      <c r="N2276" s="8" t="n">
        <v>12</v>
      </c>
      <c r="O2276" s="8" t="n">
        <v>13</v>
      </c>
      <c r="P2276" s="8" t="s">
        <v>120</v>
      </c>
    </row>
    <row r="2277" customFormat="false" ht="15" hidden="false" customHeight="false" outlineLevel="0" collapsed="false">
      <c r="A2277" s="8" t="s">
        <v>4334</v>
      </c>
      <c r="B2277" s="8" t="s">
        <v>4335</v>
      </c>
      <c r="C2277" s="8" t="s">
        <v>8678</v>
      </c>
      <c r="D2277" s="8" t="s">
        <v>123</v>
      </c>
      <c r="E2277" s="8" t="s">
        <v>51</v>
      </c>
      <c r="F2277" s="8" t="s">
        <v>2027</v>
      </c>
      <c r="G2277" s="8" t="s">
        <v>118</v>
      </c>
      <c r="H2277" s="8" t="s">
        <v>8666</v>
      </c>
      <c r="I2277" s="8" t="s">
        <v>8881</v>
      </c>
      <c r="J2277" s="8" t="s">
        <v>144</v>
      </c>
      <c r="K2277" s="8" t="s">
        <v>8664</v>
      </c>
      <c r="L2277" s="8"/>
      <c r="M2277" s="8"/>
      <c r="N2277" s="8" t="n">
        <v>12</v>
      </c>
      <c r="O2277" s="8" t="n">
        <v>8</v>
      </c>
      <c r="P2277" s="8" t="s">
        <v>120</v>
      </c>
    </row>
    <row r="2278" customFormat="false" ht="15" hidden="false" customHeight="false" outlineLevel="0" collapsed="false">
      <c r="A2278" s="8" t="s">
        <v>4598</v>
      </c>
      <c r="B2278" s="8" t="s">
        <v>10346</v>
      </c>
      <c r="C2278" s="8" t="s">
        <v>8669</v>
      </c>
      <c r="D2278" s="8" t="s">
        <v>132</v>
      </c>
      <c r="E2278" s="8" t="s">
        <v>51</v>
      </c>
      <c r="F2278" s="8" t="s">
        <v>2027</v>
      </c>
      <c r="G2278" s="8" t="s">
        <v>136</v>
      </c>
      <c r="H2278" s="8" t="s">
        <v>8662</v>
      </c>
      <c r="I2278" s="8" t="s">
        <v>9419</v>
      </c>
      <c r="J2278" s="8"/>
      <c r="K2278" s="8" t="s">
        <v>8690</v>
      </c>
      <c r="L2278" s="8" t="s">
        <v>8852</v>
      </c>
      <c r="M2278" s="8" t="s">
        <v>8692</v>
      </c>
      <c r="N2278" s="8" t="n">
        <v>12</v>
      </c>
      <c r="O2278" s="8" t="n">
        <v>6</v>
      </c>
      <c r="P2278" s="8" t="s">
        <v>120</v>
      </c>
    </row>
    <row r="2279" customFormat="false" ht="15" hidden="false" customHeight="false" outlineLevel="0" collapsed="false">
      <c r="A2279" s="8" t="s">
        <v>763</v>
      </c>
      <c r="B2279" s="8" t="s">
        <v>764</v>
      </c>
      <c r="C2279" s="8" t="s">
        <v>8669</v>
      </c>
      <c r="D2279" s="8" t="s">
        <v>123</v>
      </c>
      <c r="E2279" s="8" t="s">
        <v>53</v>
      </c>
      <c r="F2279" s="8" t="s">
        <v>326</v>
      </c>
      <c r="G2279" s="8" t="s">
        <v>136</v>
      </c>
      <c r="H2279" s="8" t="s">
        <v>8662</v>
      </c>
      <c r="I2279" s="8" t="s">
        <v>8703</v>
      </c>
      <c r="J2279" s="8" t="s">
        <v>147</v>
      </c>
      <c r="K2279" s="8" t="s">
        <v>8664</v>
      </c>
      <c r="L2279" s="8"/>
      <c r="M2279" s="8"/>
      <c r="N2279" s="8" t="n">
        <v>25</v>
      </c>
      <c r="O2279" s="8" t="n">
        <v>188</v>
      </c>
      <c r="P2279" s="8" t="s">
        <v>120</v>
      </c>
    </row>
    <row r="2280" customFormat="false" ht="15" hidden="false" customHeight="false" outlineLevel="0" collapsed="false">
      <c r="A2280" s="8" t="s">
        <v>2620</v>
      </c>
      <c r="B2280" s="8" t="s">
        <v>2621</v>
      </c>
      <c r="C2280" s="8" t="s">
        <v>8661</v>
      </c>
      <c r="D2280" s="8" t="s">
        <v>123</v>
      </c>
      <c r="E2280" s="8" t="s">
        <v>51</v>
      </c>
      <c r="F2280" s="8" t="s">
        <v>2027</v>
      </c>
      <c r="G2280" s="8" t="s">
        <v>124</v>
      </c>
      <c r="H2280" s="8" t="s">
        <v>8675</v>
      </c>
      <c r="I2280" s="8" t="s">
        <v>9122</v>
      </c>
      <c r="J2280" s="8" t="s">
        <v>137</v>
      </c>
      <c r="K2280" s="8" t="s">
        <v>8664</v>
      </c>
      <c r="L2280" s="8"/>
      <c r="M2280" s="8"/>
      <c r="N2280" s="8" t="n">
        <v>12</v>
      </c>
      <c r="O2280" s="8" t="n">
        <v>36</v>
      </c>
      <c r="P2280" s="8" t="s">
        <v>120</v>
      </c>
    </row>
    <row r="2281" customFormat="false" ht="15" hidden="false" customHeight="false" outlineLevel="0" collapsed="false">
      <c r="A2281" s="8" t="s">
        <v>1417</v>
      </c>
      <c r="B2281" s="8" t="s">
        <v>1418</v>
      </c>
      <c r="C2281" s="8" t="s">
        <v>8680</v>
      </c>
      <c r="D2281" s="8" t="s">
        <v>132</v>
      </c>
      <c r="E2281" s="8" t="s">
        <v>53</v>
      </c>
      <c r="F2281" s="8" t="s">
        <v>55</v>
      </c>
      <c r="G2281" s="8" t="s">
        <v>190</v>
      </c>
      <c r="H2281" s="8" t="s">
        <v>8670</v>
      </c>
      <c r="I2281" s="8" t="s">
        <v>8671</v>
      </c>
      <c r="J2281" s="8" t="s">
        <v>159</v>
      </c>
      <c r="K2281" s="8" t="s">
        <v>8664</v>
      </c>
      <c r="L2281" s="8"/>
      <c r="M2281" s="8"/>
      <c r="N2281" s="8" t="n">
        <v>45</v>
      </c>
      <c r="O2281" s="8" t="n">
        <v>57</v>
      </c>
      <c r="P2281" s="8" t="s">
        <v>120</v>
      </c>
    </row>
    <row r="2282" customFormat="false" ht="15" hidden="false" customHeight="false" outlineLevel="0" collapsed="false">
      <c r="A2282" s="8" t="s">
        <v>6481</v>
      </c>
      <c r="B2282" s="8" t="s">
        <v>10347</v>
      </c>
      <c r="C2282" s="8" t="s">
        <v>8661</v>
      </c>
      <c r="D2282" s="8" t="s">
        <v>132</v>
      </c>
      <c r="E2282" s="8" t="s">
        <v>51</v>
      </c>
      <c r="F2282" s="8" t="s">
        <v>326</v>
      </c>
      <c r="G2282" s="8" t="s">
        <v>154</v>
      </c>
      <c r="H2282" s="8" t="s">
        <v>8662</v>
      </c>
      <c r="I2282" s="8" t="s">
        <v>9888</v>
      </c>
      <c r="J2282" s="8"/>
      <c r="K2282" s="8" t="s">
        <v>8690</v>
      </c>
      <c r="L2282" s="8" t="s">
        <v>10183</v>
      </c>
      <c r="M2282" s="8" t="s">
        <v>8696</v>
      </c>
      <c r="N2282" s="8" t="n">
        <v>25</v>
      </c>
      <c r="O2282" s="8" t="n">
        <v>34</v>
      </c>
      <c r="P2282" s="8" t="s">
        <v>120</v>
      </c>
    </row>
    <row r="2283" customFormat="false" ht="15" hidden="false" customHeight="false" outlineLevel="0" collapsed="false">
      <c r="A2283" s="8" t="s">
        <v>3642</v>
      </c>
      <c r="B2283" s="8" t="s">
        <v>3643</v>
      </c>
      <c r="C2283" s="8" t="s">
        <v>8674</v>
      </c>
      <c r="D2283" s="8" t="s">
        <v>132</v>
      </c>
      <c r="E2283" s="8" t="s">
        <v>51</v>
      </c>
      <c r="F2283" s="8" t="s">
        <v>326</v>
      </c>
      <c r="G2283" s="8" t="s">
        <v>143</v>
      </c>
      <c r="H2283" s="8" t="s">
        <v>8670</v>
      </c>
      <c r="I2283" s="8" t="s">
        <v>9300</v>
      </c>
      <c r="J2283" s="8" t="s">
        <v>137</v>
      </c>
      <c r="K2283" s="8" t="s">
        <v>8664</v>
      </c>
      <c r="L2283" s="8"/>
      <c r="M2283" s="8"/>
      <c r="N2283" s="8" t="n">
        <v>25</v>
      </c>
      <c r="O2283" s="8" t="n">
        <v>8</v>
      </c>
      <c r="P2283" s="8" t="s">
        <v>120</v>
      </c>
    </row>
    <row r="2284" customFormat="false" ht="15" hidden="false" customHeight="false" outlineLevel="0" collapsed="false">
      <c r="A2284" s="8" t="s">
        <v>3434</v>
      </c>
      <c r="B2284" s="8" t="s">
        <v>3435</v>
      </c>
      <c r="C2284" s="8" t="s">
        <v>8665</v>
      </c>
      <c r="D2284" s="8" t="s">
        <v>128</v>
      </c>
      <c r="E2284" s="8" t="s">
        <v>51</v>
      </c>
      <c r="F2284" s="8" t="s">
        <v>2027</v>
      </c>
      <c r="G2284" s="8" t="s">
        <v>124</v>
      </c>
      <c r="H2284" s="8" t="s">
        <v>8675</v>
      </c>
      <c r="I2284" s="8" t="s">
        <v>10151</v>
      </c>
      <c r="J2284" s="8" t="s">
        <v>177</v>
      </c>
      <c r="K2284" s="8" t="s">
        <v>8664</v>
      </c>
      <c r="L2284" s="8"/>
      <c r="M2284" s="8"/>
      <c r="N2284" s="8" t="n">
        <v>12</v>
      </c>
      <c r="O2284" s="8" t="n">
        <v>23</v>
      </c>
      <c r="P2284" s="8" t="s">
        <v>120</v>
      </c>
    </row>
    <row r="2285" customFormat="false" ht="15" hidden="false" customHeight="false" outlineLevel="0" collapsed="false">
      <c r="A2285" s="8" t="s">
        <v>2776</v>
      </c>
      <c r="B2285" s="8" t="s">
        <v>2777</v>
      </c>
      <c r="C2285" s="8" t="s">
        <v>8680</v>
      </c>
      <c r="D2285" s="8" t="s">
        <v>123</v>
      </c>
      <c r="E2285" s="8" t="s">
        <v>51</v>
      </c>
      <c r="F2285" s="8" t="s">
        <v>2027</v>
      </c>
      <c r="G2285" s="8" t="s">
        <v>124</v>
      </c>
      <c r="H2285" s="8" t="s">
        <v>8670</v>
      </c>
      <c r="I2285" s="8" t="s">
        <v>9427</v>
      </c>
      <c r="J2285" s="8" t="s">
        <v>144</v>
      </c>
      <c r="K2285" s="8" t="s">
        <v>8664</v>
      </c>
      <c r="L2285" s="8"/>
      <c r="M2285" s="8"/>
      <c r="N2285" s="8" t="n">
        <v>12</v>
      </c>
      <c r="O2285" s="8" t="n">
        <v>34</v>
      </c>
      <c r="P2285" s="8" t="s">
        <v>120</v>
      </c>
    </row>
    <row r="2286" customFormat="false" ht="15" hidden="false" customHeight="false" outlineLevel="0" collapsed="false">
      <c r="A2286" s="8" t="s">
        <v>4533</v>
      </c>
      <c r="B2286" s="8" t="s">
        <v>10348</v>
      </c>
      <c r="C2286" s="8" t="s">
        <v>8680</v>
      </c>
      <c r="D2286" s="8" t="s">
        <v>123</v>
      </c>
      <c r="E2286" s="8" t="s">
        <v>51</v>
      </c>
      <c r="F2286" s="8" t="s">
        <v>326</v>
      </c>
      <c r="G2286" s="8" t="s">
        <v>124</v>
      </c>
      <c r="H2286" s="8" t="s">
        <v>8662</v>
      </c>
      <c r="I2286" s="8" t="s">
        <v>9092</v>
      </c>
      <c r="J2286" s="8"/>
      <c r="K2286" s="8" t="s">
        <v>8690</v>
      </c>
      <c r="L2286" s="8" t="s">
        <v>10349</v>
      </c>
      <c r="M2286" s="8" t="s">
        <v>8692</v>
      </c>
      <c r="N2286" s="8" t="n">
        <v>25</v>
      </c>
      <c r="O2286" s="8" t="n">
        <v>13</v>
      </c>
      <c r="P2286" s="8" t="s">
        <v>120</v>
      </c>
    </row>
    <row r="2287" customFormat="false" ht="15" hidden="false" customHeight="false" outlineLevel="0" collapsed="false">
      <c r="A2287" s="8" t="s">
        <v>3582</v>
      </c>
      <c r="B2287" s="8" t="s">
        <v>3583</v>
      </c>
      <c r="C2287" s="8" t="s">
        <v>8700</v>
      </c>
      <c r="D2287" s="8" t="s">
        <v>123</v>
      </c>
      <c r="E2287" s="8" t="s">
        <v>51</v>
      </c>
      <c r="F2287" s="8" t="s">
        <v>2027</v>
      </c>
      <c r="G2287" s="8" t="s">
        <v>124</v>
      </c>
      <c r="H2287" s="8" t="s">
        <v>8675</v>
      </c>
      <c r="I2287" s="8" t="s">
        <v>9335</v>
      </c>
      <c r="J2287" s="8" t="s">
        <v>185</v>
      </c>
      <c r="K2287" s="8" t="s">
        <v>8664</v>
      </c>
      <c r="L2287" s="8"/>
      <c r="M2287" s="8"/>
      <c r="N2287" s="8" t="n">
        <v>12</v>
      </c>
      <c r="O2287" s="8" t="n">
        <v>20</v>
      </c>
      <c r="P2287" s="8" t="s">
        <v>120</v>
      </c>
    </row>
    <row r="2288" customFormat="false" ht="15" hidden="false" customHeight="false" outlineLevel="0" collapsed="false">
      <c r="A2288" s="8" t="s">
        <v>4487</v>
      </c>
      <c r="B2288" s="8" t="s">
        <v>10350</v>
      </c>
      <c r="C2288" s="8" t="s">
        <v>8688</v>
      </c>
      <c r="D2288" s="8" t="s">
        <v>117</v>
      </c>
      <c r="E2288" s="8" t="s">
        <v>51</v>
      </c>
      <c r="F2288" s="8" t="s">
        <v>326</v>
      </c>
      <c r="G2288" s="8" t="s">
        <v>154</v>
      </c>
      <c r="H2288" s="8" t="s">
        <v>8666</v>
      </c>
      <c r="I2288" s="8" t="s">
        <v>10204</v>
      </c>
      <c r="J2288" s="8"/>
      <c r="K2288" s="8" t="s">
        <v>8690</v>
      </c>
      <c r="L2288" s="8" t="s">
        <v>8996</v>
      </c>
      <c r="M2288" s="8" t="s">
        <v>8696</v>
      </c>
      <c r="N2288" s="8" t="n">
        <v>25</v>
      </c>
      <c r="O2288" s="8" t="n">
        <v>28</v>
      </c>
      <c r="P2288" s="8" t="s">
        <v>120</v>
      </c>
    </row>
    <row r="2289" customFormat="false" ht="15" hidden="false" customHeight="false" outlineLevel="0" collapsed="false">
      <c r="A2289" s="8" t="s">
        <v>1427</v>
      </c>
      <c r="B2289" s="8" t="s">
        <v>1428</v>
      </c>
      <c r="C2289" s="8" t="s">
        <v>8669</v>
      </c>
      <c r="D2289" s="8" t="s">
        <v>117</v>
      </c>
      <c r="E2289" s="8" t="s">
        <v>53</v>
      </c>
      <c r="F2289" s="8" t="s">
        <v>326</v>
      </c>
      <c r="G2289" s="8" t="s">
        <v>166</v>
      </c>
      <c r="H2289" s="8" t="s">
        <v>8666</v>
      </c>
      <c r="I2289" s="8" t="s">
        <v>8833</v>
      </c>
      <c r="J2289" s="8" t="s">
        <v>204</v>
      </c>
      <c r="K2289" s="8" t="s">
        <v>8664</v>
      </c>
      <c r="L2289" s="8"/>
      <c r="M2289" s="8"/>
      <c r="N2289" s="8" t="n">
        <v>25</v>
      </c>
      <c r="O2289" s="8" t="n">
        <v>101</v>
      </c>
      <c r="P2289" s="8" t="s">
        <v>148</v>
      </c>
    </row>
    <row r="2290" customFormat="false" ht="15" hidden="false" customHeight="false" outlineLevel="0" collapsed="false">
      <c r="A2290" s="8" t="s">
        <v>3436</v>
      </c>
      <c r="B2290" s="8" t="s">
        <v>3437</v>
      </c>
      <c r="C2290" s="8" t="s">
        <v>8669</v>
      </c>
      <c r="D2290" s="8" t="s">
        <v>132</v>
      </c>
      <c r="E2290" s="8" t="s">
        <v>51</v>
      </c>
      <c r="F2290" s="8" t="s">
        <v>2027</v>
      </c>
      <c r="G2290" s="8" t="s">
        <v>124</v>
      </c>
      <c r="H2290" s="8" t="s">
        <v>8675</v>
      </c>
      <c r="I2290" s="8" t="s">
        <v>8668</v>
      </c>
      <c r="J2290" s="8" t="s">
        <v>147</v>
      </c>
      <c r="K2290" s="8" t="s">
        <v>8664</v>
      </c>
      <c r="L2290" s="8"/>
      <c r="M2290" s="8"/>
      <c r="N2290" s="8" t="n">
        <v>12</v>
      </c>
      <c r="O2290" s="8" t="n">
        <v>23</v>
      </c>
      <c r="P2290" s="8" t="s">
        <v>120</v>
      </c>
    </row>
    <row r="2291" customFormat="false" ht="15" hidden="false" customHeight="false" outlineLevel="0" collapsed="false">
      <c r="A2291" s="8" t="s">
        <v>4068</v>
      </c>
      <c r="B2291" s="8" t="s">
        <v>4069</v>
      </c>
      <c r="C2291" s="8" t="s">
        <v>8700</v>
      </c>
      <c r="D2291" s="8" t="s">
        <v>123</v>
      </c>
      <c r="E2291" s="8" t="s">
        <v>51</v>
      </c>
      <c r="F2291" s="8" t="s">
        <v>2027</v>
      </c>
      <c r="G2291" s="8" t="s">
        <v>151</v>
      </c>
      <c r="H2291" s="8" t="s">
        <v>8670</v>
      </c>
      <c r="I2291" s="8" t="s">
        <v>9282</v>
      </c>
      <c r="J2291" s="8" t="s">
        <v>159</v>
      </c>
      <c r="K2291" s="8" t="s">
        <v>8664</v>
      </c>
      <c r="L2291" s="8"/>
      <c r="M2291" s="8"/>
      <c r="N2291" s="8" t="n">
        <v>12</v>
      </c>
      <c r="O2291" s="8" t="n">
        <v>9</v>
      </c>
      <c r="P2291" s="8" t="s">
        <v>120</v>
      </c>
    </row>
    <row r="2292" customFormat="false" ht="15" hidden="false" customHeight="false" outlineLevel="0" collapsed="false">
      <c r="A2292" s="8" t="s">
        <v>551</v>
      </c>
      <c r="B2292" s="8" t="s">
        <v>552</v>
      </c>
      <c r="C2292" s="8" t="s">
        <v>8678</v>
      </c>
      <c r="D2292" s="8" t="s">
        <v>123</v>
      </c>
      <c r="E2292" s="8" t="s">
        <v>53</v>
      </c>
      <c r="F2292" s="8" t="s">
        <v>326</v>
      </c>
      <c r="G2292" s="8" t="s">
        <v>124</v>
      </c>
      <c r="H2292" s="8" t="s">
        <v>8662</v>
      </c>
      <c r="I2292" s="8" t="s">
        <v>9384</v>
      </c>
      <c r="J2292" s="8" t="s">
        <v>129</v>
      </c>
      <c r="K2292" s="8" t="s">
        <v>8664</v>
      </c>
      <c r="L2292" s="8"/>
      <c r="M2292" s="8"/>
      <c r="N2292" s="8" t="n">
        <v>25</v>
      </c>
      <c r="O2292" s="8" t="n">
        <v>162</v>
      </c>
      <c r="P2292" s="8" t="s">
        <v>120</v>
      </c>
    </row>
    <row r="2293" customFormat="false" ht="15" hidden="false" customHeight="false" outlineLevel="0" collapsed="false">
      <c r="A2293" s="8" t="s">
        <v>1469</v>
      </c>
      <c r="B2293" s="8" t="s">
        <v>1470</v>
      </c>
      <c r="C2293" s="8" t="s">
        <v>8678</v>
      </c>
      <c r="D2293" s="8" t="s">
        <v>132</v>
      </c>
      <c r="E2293" s="8" t="s">
        <v>53</v>
      </c>
      <c r="F2293" s="8" t="s">
        <v>326</v>
      </c>
      <c r="G2293" s="8" t="s">
        <v>124</v>
      </c>
      <c r="H2293" s="8" t="s">
        <v>8662</v>
      </c>
      <c r="I2293" s="8" t="s">
        <v>10047</v>
      </c>
      <c r="J2293" s="8" t="s">
        <v>159</v>
      </c>
      <c r="K2293" s="8" t="s">
        <v>8664</v>
      </c>
      <c r="L2293" s="8"/>
      <c r="M2293" s="8"/>
      <c r="N2293" s="8" t="n">
        <v>25</v>
      </c>
      <c r="O2293" s="8" t="n">
        <v>94</v>
      </c>
      <c r="P2293" s="8" t="s">
        <v>120</v>
      </c>
    </row>
    <row r="2294" customFormat="false" ht="15" hidden="false" customHeight="false" outlineLevel="0" collapsed="false">
      <c r="A2294" s="8" t="s">
        <v>1375</v>
      </c>
      <c r="B2294" s="8" t="s">
        <v>1376</v>
      </c>
      <c r="C2294" s="8" t="s">
        <v>8680</v>
      </c>
      <c r="D2294" s="8" t="s">
        <v>132</v>
      </c>
      <c r="E2294" s="8" t="s">
        <v>53</v>
      </c>
      <c r="F2294" s="8" t="s">
        <v>326</v>
      </c>
      <c r="G2294" s="8" t="s">
        <v>118</v>
      </c>
      <c r="H2294" s="8" t="s">
        <v>8675</v>
      </c>
      <c r="I2294" s="8" t="s">
        <v>9605</v>
      </c>
      <c r="J2294" s="8" t="s">
        <v>140</v>
      </c>
      <c r="K2294" s="8" t="s">
        <v>8664</v>
      </c>
      <c r="L2294" s="8"/>
      <c r="M2294" s="8"/>
      <c r="N2294" s="8" t="n">
        <v>25</v>
      </c>
      <c r="O2294" s="8" t="n">
        <v>111</v>
      </c>
      <c r="P2294" s="8" t="s">
        <v>120</v>
      </c>
    </row>
    <row r="2295" customFormat="false" ht="15" hidden="false" customHeight="false" outlineLevel="0" collapsed="false">
      <c r="A2295" s="8" t="s">
        <v>2394</v>
      </c>
      <c r="B2295" s="8" t="s">
        <v>2395</v>
      </c>
      <c r="C2295" s="8" t="s">
        <v>8674</v>
      </c>
      <c r="D2295" s="8" t="s">
        <v>117</v>
      </c>
      <c r="E2295" s="8" t="s">
        <v>51</v>
      </c>
      <c r="F2295" s="8" t="s">
        <v>326</v>
      </c>
      <c r="G2295" s="8" t="s">
        <v>124</v>
      </c>
      <c r="H2295" s="8" t="s">
        <v>8670</v>
      </c>
      <c r="I2295" s="8" t="s">
        <v>8828</v>
      </c>
      <c r="J2295" s="8" t="s">
        <v>177</v>
      </c>
      <c r="K2295" s="8" t="s">
        <v>8664</v>
      </c>
      <c r="L2295" s="8"/>
      <c r="M2295" s="8"/>
      <c r="N2295" s="8" t="n">
        <v>25</v>
      </c>
      <c r="O2295" s="8" t="n">
        <v>15</v>
      </c>
      <c r="P2295" s="8" t="s">
        <v>120</v>
      </c>
    </row>
    <row r="2296" customFormat="false" ht="15" hidden="false" customHeight="false" outlineLevel="0" collapsed="false">
      <c r="A2296" s="8" t="s">
        <v>2436</v>
      </c>
      <c r="B2296" s="8" t="s">
        <v>2437</v>
      </c>
      <c r="C2296" s="8" t="s">
        <v>8669</v>
      </c>
      <c r="D2296" s="8" t="s">
        <v>132</v>
      </c>
      <c r="E2296" s="8" t="s">
        <v>51</v>
      </c>
      <c r="F2296" s="8" t="s">
        <v>326</v>
      </c>
      <c r="G2296" s="8" t="s">
        <v>118</v>
      </c>
      <c r="H2296" s="8" t="s">
        <v>8675</v>
      </c>
      <c r="I2296" s="8" t="s">
        <v>10277</v>
      </c>
      <c r="J2296" s="8" t="s">
        <v>185</v>
      </c>
      <c r="K2296" s="8" t="s">
        <v>8664</v>
      </c>
      <c r="L2296" s="8"/>
      <c r="M2296" s="8"/>
      <c r="N2296" s="8" t="n">
        <v>25</v>
      </c>
      <c r="O2296" s="8" t="n">
        <v>13</v>
      </c>
      <c r="P2296" s="8" t="s">
        <v>120</v>
      </c>
    </row>
    <row r="2297" customFormat="false" ht="15" hidden="false" customHeight="false" outlineLevel="0" collapsed="false">
      <c r="A2297" s="8" t="s">
        <v>1081</v>
      </c>
      <c r="B2297" s="8" t="s">
        <v>1082</v>
      </c>
      <c r="C2297" s="8" t="s">
        <v>8665</v>
      </c>
      <c r="D2297" s="8" t="s">
        <v>132</v>
      </c>
      <c r="E2297" s="8" t="s">
        <v>53</v>
      </c>
      <c r="F2297" s="8" t="s">
        <v>326</v>
      </c>
      <c r="G2297" s="8" t="s">
        <v>154</v>
      </c>
      <c r="H2297" s="8" t="s">
        <v>8662</v>
      </c>
      <c r="I2297" s="8" t="s">
        <v>10019</v>
      </c>
      <c r="J2297" s="8" t="s">
        <v>144</v>
      </c>
      <c r="K2297" s="8" t="s">
        <v>8664</v>
      </c>
      <c r="L2297" s="8"/>
      <c r="M2297" s="8"/>
      <c r="N2297" s="8" t="n">
        <v>25</v>
      </c>
      <c r="O2297" s="8" t="n">
        <v>152</v>
      </c>
      <c r="P2297" s="8" t="s">
        <v>120</v>
      </c>
    </row>
    <row r="2298" customFormat="false" ht="15" hidden="false" customHeight="false" outlineLevel="0" collapsed="false">
      <c r="A2298" s="8" t="s">
        <v>3242</v>
      </c>
      <c r="B2298" s="8" t="s">
        <v>3243</v>
      </c>
      <c r="C2298" s="8" t="s">
        <v>8669</v>
      </c>
      <c r="D2298" s="8" t="s">
        <v>132</v>
      </c>
      <c r="E2298" s="8" t="s">
        <v>51</v>
      </c>
      <c r="F2298" s="8" t="s">
        <v>2027</v>
      </c>
      <c r="G2298" s="8" t="s">
        <v>136</v>
      </c>
      <c r="H2298" s="8" t="s">
        <v>8670</v>
      </c>
      <c r="I2298" s="8" t="s">
        <v>9935</v>
      </c>
      <c r="J2298" s="8" t="s">
        <v>140</v>
      </c>
      <c r="K2298" s="8" t="s">
        <v>8664</v>
      </c>
      <c r="L2298" s="8"/>
      <c r="M2298" s="8"/>
      <c r="N2298" s="8" t="n">
        <v>12</v>
      </c>
      <c r="O2298" s="8" t="n">
        <v>26</v>
      </c>
      <c r="P2298" s="8" t="s">
        <v>120</v>
      </c>
    </row>
    <row r="2299" customFormat="false" ht="15" hidden="false" customHeight="false" outlineLevel="0" collapsed="false">
      <c r="A2299" s="8" t="s">
        <v>1005</v>
      </c>
      <c r="B2299" s="8" t="s">
        <v>1006</v>
      </c>
      <c r="C2299" s="8" t="s">
        <v>8665</v>
      </c>
      <c r="D2299" s="8" t="s">
        <v>117</v>
      </c>
      <c r="E2299" s="8" t="s">
        <v>53</v>
      </c>
      <c r="F2299" s="8" t="s">
        <v>326</v>
      </c>
      <c r="G2299" s="8" t="s">
        <v>154</v>
      </c>
      <c r="H2299" s="8" t="s">
        <v>8670</v>
      </c>
      <c r="I2299" s="8" t="s">
        <v>9393</v>
      </c>
      <c r="J2299" s="8" t="s">
        <v>129</v>
      </c>
      <c r="K2299" s="8" t="s">
        <v>8664</v>
      </c>
      <c r="L2299" s="8"/>
      <c r="M2299" s="8"/>
      <c r="N2299" s="8" t="n">
        <v>25</v>
      </c>
      <c r="O2299" s="8" t="n">
        <v>165</v>
      </c>
      <c r="P2299" s="8" t="s">
        <v>120</v>
      </c>
    </row>
    <row r="2300" customFormat="false" ht="15" hidden="false" customHeight="false" outlineLevel="0" collapsed="false">
      <c r="A2300" s="8" t="s">
        <v>963</v>
      </c>
      <c r="B2300" s="8" t="s">
        <v>964</v>
      </c>
      <c r="C2300" s="8" t="s">
        <v>8700</v>
      </c>
      <c r="D2300" s="8" t="s">
        <v>123</v>
      </c>
      <c r="E2300" s="8" t="s">
        <v>53</v>
      </c>
      <c r="F2300" s="8" t="s">
        <v>326</v>
      </c>
      <c r="G2300" s="8" t="s">
        <v>223</v>
      </c>
      <c r="H2300" s="8" t="s">
        <v>8662</v>
      </c>
      <c r="I2300" s="8" t="s">
        <v>9516</v>
      </c>
      <c r="J2300" s="8" t="s">
        <v>140</v>
      </c>
      <c r="K2300" s="8" t="s">
        <v>8664</v>
      </c>
      <c r="L2300" s="8"/>
      <c r="M2300" s="8"/>
      <c r="N2300" s="8" t="n">
        <v>25</v>
      </c>
      <c r="O2300" s="8" t="n">
        <v>141</v>
      </c>
      <c r="P2300" s="8" t="s">
        <v>120</v>
      </c>
    </row>
    <row r="2301" customFormat="false" ht="15" hidden="false" customHeight="false" outlineLevel="0" collapsed="false">
      <c r="A2301" s="8" t="s">
        <v>262</v>
      </c>
      <c r="B2301" s="8" t="s">
        <v>263</v>
      </c>
      <c r="C2301" s="8" t="s">
        <v>8700</v>
      </c>
      <c r="D2301" s="8" t="s">
        <v>117</v>
      </c>
      <c r="E2301" s="8" t="s">
        <v>55</v>
      </c>
      <c r="F2301" s="8" t="s">
        <v>55</v>
      </c>
      <c r="G2301" s="8" t="s">
        <v>118</v>
      </c>
      <c r="H2301" s="8" t="s">
        <v>8670</v>
      </c>
      <c r="I2301" s="8" t="s">
        <v>9221</v>
      </c>
      <c r="J2301" s="8" t="s">
        <v>119</v>
      </c>
      <c r="K2301" s="8" t="s">
        <v>8664</v>
      </c>
      <c r="L2301" s="8"/>
      <c r="M2301" s="8"/>
      <c r="N2301" s="8" t="n">
        <v>45</v>
      </c>
      <c r="O2301" s="8" t="n">
        <v>469</v>
      </c>
      <c r="P2301" s="8" t="s">
        <v>120</v>
      </c>
    </row>
    <row r="2302" customFormat="false" ht="15" hidden="false" customHeight="false" outlineLevel="0" collapsed="false">
      <c r="A2302" s="8" t="s">
        <v>739</v>
      </c>
      <c r="B2302" s="8" t="s">
        <v>740</v>
      </c>
      <c r="C2302" s="8" t="s">
        <v>8700</v>
      </c>
      <c r="D2302" s="8" t="s">
        <v>132</v>
      </c>
      <c r="E2302" s="8" t="s">
        <v>53</v>
      </c>
      <c r="F2302" s="8" t="s">
        <v>55</v>
      </c>
      <c r="G2302" s="8" t="s">
        <v>151</v>
      </c>
      <c r="H2302" s="8" t="s">
        <v>8662</v>
      </c>
      <c r="I2302" s="8" t="s">
        <v>9266</v>
      </c>
      <c r="J2302" s="8" t="s">
        <v>137</v>
      </c>
      <c r="K2302" s="8" t="s">
        <v>8664</v>
      </c>
      <c r="L2302" s="8"/>
      <c r="M2302" s="8"/>
      <c r="N2302" s="8" t="n">
        <v>45</v>
      </c>
      <c r="O2302" s="8" t="n">
        <v>123</v>
      </c>
      <c r="P2302" s="8" t="s">
        <v>120</v>
      </c>
    </row>
    <row r="2303" customFormat="false" ht="15" hidden="false" customHeight="false" outlineLevel="0" collapsed="false">
      <c r="A2303" s="8" t="s">
        <v>2622</v>
      </c>
      <c r="B2303" s="8" t="s">
        <v>2623</v>
      </c>
      <c r="C2303" s="8" t="s">
        <v>8678</v>
      </c>
      <c r="D2303" s="8" t="s">
        <v>123</v>
      </c>
      <c r="E2303" s="8" t="s">
        <v>51</v>
      </c>
      <c r="F2303" s="8" t="s">
        <v>2027</v>
      </c>
      <c r="G2303" s="8" t="s">
        <v>151</v>
      </c>
      <c r="H2303" s="8" t="s">
        <v>8666</v>
      </c>
      <c r="I2303" s="8" t="s">
        <v>9599</v>
      </c>
      <c r="J2303" s="8" t="s">
        <v>147</v>
      </c>
      <c r="K2303" s="8" t="s">
        <v>8664</v>
      </c>
      <c r="L2303" s="8"/>
      <c r="M2303" s="8"/>
      <c r="N2303" s="8" t="n">
        <v>12</v>
      </c>
      <c r="O2303" s="8" t="n">
        <v>36</v>
      </c>
      <c r="P2303" s="8" t="s">
        <v>120</v>
      </c>
    </row>
    <row r="2304" customFormat="false" ht="15" hidden="false" customHeight="false" outlineLevel="0" collapsed="false">
      <c r="A2304" s="8" t="s">
        <v>1435</v>
      </c>
      <c r="B2304" s="8" t="s">
        <v>1436</v>
      </c>
      <c r="C2304" s="8" t="s">
        <v>8678</v>
      </c>
      <c r="D2304" s="8" t="s">
        <v>132</v>
      </c>
      <c r="E2304" s="8" t="s">
        <v>53</v>
      </c>
      <c r="F2304" s="8" t="s">
        <v>326</v>
      </c>
      <c r="G2304" s="8" t="s">
        <v>143</v>
      </c>
      <c r="H2304" s="8" t="s">
        <v>8670</v>
      </c>
      <c r="I2304" s="8" t="s">
        <v>9667</v>
      </c>
      <c r="J2304" s="8" t="s">
        <v>140</v>
      </c>
      <c r="K2304" s="8" t="s">
        <v>8664</v>
      </c>
      <c r="L2304" s="8"/>
      <c r="M2304" s="8"/>
      <c r="N2304" s="8" t="n">
        <v>25</v>
      </c>
      <c r="O2304" s="8" t="n">
        <v>75</v>
      </c>
      <c r="P2304" s="8" t="s">
        <v>120</v>
      </c>
    </row>
    <row r="2305" customFormat="false" ht="15" hidden="false" customHeight="false" outlineLevel="0" collapsed="false">
      <c r="A2305" s="8" t="s">
        <v>3892</v>
      </c>
      <c r="B2305" s="8" t="s">
        <v>3893</v>
      </c>
      <c r="C2305" s="8" t="s">
        <v>8680</v>
      </c>
      <c r="D2305" s="8" t="s">
        <v>123</v>
      </c>
      <c r="E2305" s="8" t="s">
        <v>51</v>
      </c>
      <c r="F2305" s="8" t="s">
        <v>2027</v>
      </c>
      <c r="G2305" s="8" t="s">
        <v>118</v>
      </c>
      <c r="H2305" s="8" t="s">
        <v>8670</v>
      </c>
      <c r="I2305" s="8" t="s">
        <v>8793</v>
      </c>
      <c r="J2305" s="8" t="s">
        <v>137</v>
      </c>
      <c r="K2305" s="8" t="s">
        <v>8664</v>
      </c>
      <c r="L2305" s="8"/>
      <c r="M2305" s="8"/>
      <c r="N2305" s="8" t="n">
        <v>12</v>
      </c>
      <c r="O2305" s="8" t="n">
        <v>14</v>
      </c>
      <c r="P2305" s="8" t="s">
        <v>120</v>
      </c>
    </row>
    <row r="2306" customFormat="false" ht="15" hidden="false" customHeight="false" outlineLevel="0" collapsed="false">
      <c r="A2306" s="8" t="s">
        <v>3192</v>
      </c>
      <c r="B2306" s="8" t="s">
        <v>3193</v>
      </c>
      <c r="C2306" s="8" t="s">
        <v>8669</v>
      </c>
      <c r="D2306" s="8" t="s">
        <v>117</v>
      </c>
      <c r="E2306" s="8" t="s">
        <v>51</v>
      </c>
      <c r="F2306" s="8" t="s">
        <v>2027</v>
      </c>
      <c r="G2306" s="8" t="s">
        <v>133</v>
      </c>
      <c r="H2306" s="8" t="s">
        <v>8675</v>
      </c>
      <c r="I2306" s="8" t="s">
        <v>10351</v>
      </c>
      <c r="J2306" s="8" t="s">
        <v>144</v>
      </c>
      <c r="K2306" s="8" t="s">
        <v>8664</v>
      </c>
      <c r="L2306" s="8"/>
      <c r="M2306" s="8"/>
      <c r="N2306" s="8" t="n">
        <v>12</v>
      </c>
      <c r="O2306" s="8" t="n">
        <v>20</v>
      </c>
      <c r="P2306" s="8" t="s">
        <v>120</v>
      </c>
    </row>
    <row r="2307" customFormat="false" ht="15" hidden="false" customHeight="false" outlineLevel="0" collapsed="false">
      <c r="A2307" s="8" t="s">
        <v>4016</v>
      </c>
      <c r="B2307" s="8" t="s">
        <v>4017</v>
      </c>
      <c r="C2307" s="8" t="s">
        <v>8665</v>
      </c>
      <c r="D2307" s="8" t="s">
        <v>117</v>
      </c>
      <c r="E2307" s="8" t="s">
        <v>51</v>
      </c>
      <c r="F2307" s="8" t="s">
        <v>2027</v>
      </c>
      <c r="G2307" s="8" t="s">
        <v>133</v>
      </c>
      <c r="H2307" s="8" t="s">
        <v>8662</v>
      </c>
      <c r="I2307" s="8" t="s">
        <v>10267</v>
      </c>
      <c r="J2307" s="8" t="s">
        <v>129</v>
      </c>
      <c r="K2307" s="8" t="s">
        <v>8664</v>
      </c>
      <c r="L2307" s="8"/>
      <c r="M2307" s="8"/>
      <c r="N2307" s="8" t="n">
        <v>12</v>
      </c>
      <c r="O2307" s="8" t="n">
        <v>12</v>
      </c>
      <c r="P2307" s="8" t="s">
        <v>120</v>
      </c>
    </row>
    <row r="2308" customFormat="false" ht="15" hidden="false" customHeight="false" outlineLevel="0" collapsed="false">
      <c r="A2308" s="8" t="s">
        <v>1397</v>
      </c>
      <c r="B2308" s="8" t="s">
        <v>1398</v>
      </c>
      <c r="C2308" s="8" t="s">
        <v>8688</v>
      </c>
      <c r="D2308" s="8" t="s">
        <v>123</v>
      </c>
      <c r="E2308" s="8" t="s">
        <v>53</v>
      </c>
      <c r="F2308" s="8" t="s">
        <v>326</v>
      </c>
      <c r="G2308" s="8" t="s">
        <v>151</v>
      </c>
      <c r="H2308" s="8" t="s">
        <v>8670</v>
      </c>
      <c r="I2308" s="8" t="s">
        <v>9805</v>
      </c>
      <c r="J2308" s="8" t="s">
        <v>147</v>
      </c>
      <c r="K2308" s="8" t="s">
        <v>8664</v>
      </c>
      <c r="L2308" s="8"/>
      <c r="M2308" s="8"/>
      <c r="N2308" s="8" t="n">
        <v>25</v>
      </c>
      <c r="O2308" s="8" t="n">
        <v>107</v>
      </c>
      <c r="P2308" s="8" t="s">
        <v>120</v>
      </c>
    </row>
    <row r="2309" customFormat="false" ht="15" hidden="false" customHeight="false" outlineLevel="0" collapsed="false">
      <c r="A2309" s="8" t="s">
        <v>4495</v>
      </c>
      <c r="B2309" s="8" t="s">
        <v>10352</v>
      </c>
      <c r="C2309" s="8" t="s">
        <v>8700</v>
      </c>
      <c r="D2309" s="8" t="s">
        <v>132</v>
      </c>
      <c r="E2309" s="8" t="s">
        <v>51</v>
      </c>
      <c r="F2309" s="8" t="s">
        <v>2027</v>
      </c>
      <c r="G2309" s="8" t="s">
        <v>136</v>
      </c>
      <c r="H2309" s="8" t="s">
        <v>8670</v>
      </c>
      <c r="I2309" s="8" t="s">
        <v>9611</v>
      </c>
      <c r="J2309" s="8"/>
      <c r="K2309" s="8" t="s">
        <v>8690</v>
      </c>
      <c r="L2309" s="8" t="s">
        <v>8808</v>
      </c>
      <c r="M2309" s="8" t="s">
        <v>8795</v>
      </c>
      <c r="N2309" s="8" t="n">
        <v>12</v>
      </c>
      <c r="O2309" s="8" t="n">
        <v>39</v>
      </c>
      <c r="P2309" s="8" t="s">
        <v>120</v>
      </c>
    </row>
    <row r="2310" customFormat="false" ht="15" hidden="false" customHeight="false" outlineLevel="0" collapsed="false">
      <c r="A2310" s="8" t="s">
        <v>10353</v>
      </c>
      <c r="B2310" s="8" t="s">
        <v>10354</v>
      </c>
      <c r="C2310" s="8" t="s">
        <v>8665</v>
      </c>
      <c r="D2310" s="8" t="s">
        <v>117</v>
      </c>
      <c r="E2310" s="8" t="s">
        <v>51</v>
      </c>
      <c r="F2310" s="8" t="s">
        <v>2027</v>
      </c>
      <c r="G2310" s="8" t="s">
        <v>118</v>
      </c>
      <c r="H2310" s="8" t="s">
        <v>8666</v>
      </c>
      <c r="I2310" s="8" t="s">
        <v>9041</v>
      </c>
      <c r="J2310" s="8"/>
      <c r="K2310" s="8" t="s">
        <v>8690</v>
      </c>
      <c r="L2310" s="8" t="s">
        <v>8809</v>
      </c>
      <c r="M2310" s="8" t="s">
        <v>8696</v>
      </c>
      <c r="N2310" s="8" t="n">
        <v>12</v>
      </c>
      <c r="O2310" s="8" t="n">
        <v>24</v>
      </c>
      <c r="P2310" s="8" t="s">
        <v>148</v>
      </c>
    </row>
    <row r="2311" customFormat="false" ht="15" hidden="false" customHeight="false" outlineLevel="0" collapsed="false">
      <c r="A2311" s="8" t="s">
        <v>2084</v>
      </c>
      <c r="B2311" s="8" t="s">
        <v>2085</v>
      </c>
      <c r="C2311" s="8" t="s">
        <v>8688</v>
      </c>
      <c r="D2311" s="8" t="s">
        <v>123</v>
      </c>
      <c r="E2311" s="8" t="s">
        <v>51</v>
      </c>
      <c r="F2311" s="8" t="s">
        <v>326</v>
      </c>
      <c r="G2311" s="8" t="s">
        <v>223</v>
      </c>
      <c r="H2311" s="8" t="s">
        <v>8662</v>
      </c>
      <c r="I2311" s="8" t="s">
        <v>10192</v>
      </c>
      <c r="J2311" s="8" t="s">
        <v>140</v>
      </c>
      <c r="K2311" s="8" t="s">
        <v>8664</v>
      </c>
      <c r="L2311" s="8"/>
      <c r="M2311" s="8"/>
      <c r="N2311" s="8" t="n">
        <v>25</v>
      </c>
      <c r="O2311" s="8" t="n">
        <v>21</v>
      </c>
      <c r="P2311" s="8" t="s">
        <v>120</v>
      </c>
    </row>
    <row r="2312" customFormat="false" ht="15" hidden="false" customHeight="false" outlineLevel="0" collapsed="false">
      <c r="A2312" s="8" t="s">
        <v>1755</v>
      </c>
      <c r="B2312" s="8" t="s">
        <v>1756</v>
      </c>
      <c r="C2312" s="8" t="s">
        <v>8661</v>
      </c>
      <c r="D2312" s="8" t="s">
        <v>117</v>
      </c>
      <c r="E2312" s="8" t="s">
        <v>53</v>
      </c>
      <c r="F2312" s="8" t="s">
        <v>326</v>
      </c>
      <c r="G2312" s="8" t="s">
        <v>124</v>
      </c>
      <c r="H2312" s="8" t="s">
        <v>8670</v>
      </c>
      <c r="I2312" s="8" t="s">
        <v>8945</v>
      </c>
      <c r="J2312" s="8" t="s">
        <v>159</v>
      </c>
      <c r="K2312" s="8" t="s">
        <v>8664</v>
      </c>
      <c r="L2312" s="8"/>
      <c r="M2312" s="8"/>
      <c r="N2312" s="8" t="n">
        <v>25</v>
      </c>
      <c r="O2312" s="8" t="n">
        <v>56</v>
      </c>
      <c r="P2312" s="8" t="s">
        <v>120</v>
      </c>
    </row>
    <row r="2313" customFormat="false" ht="15" hidden="false" customHeight="false" outlineLevel="0" collapsed="false">
      <c r="A2313" s="8" t="s">
        <v>10355</v>
      </c>
      <c r="B2313" s="8" t="s">
        <v>10356</v>
      </c>
      <c r="C2313" s="8" t="s">
        <v>8688</v>
      </c>
      <c r="D2313" s="8" t="s">
        <v>132</v>
      </c>
      <c r="E2313" s="8" t="s">
        <v>51</v>
      </c>
      <c r="F2313" s="8" t="s">
        <v>2027</v>
      </c>
      <c r="G2313" s="8" t="s">
        <v>124</v>
      </c>
      <c r="H2313" s="8" t="s">
        <v>8662</v>
      </c>
      <c r="I2313" s="8" t="s">
        <v>9447</v>
      </c>
      <c r="J2313" s="8"/>
      <c r="K2313" s="8" t="s">
        <v>8690</v>
      </c>
      <c r="L2313" s="8" t="s">
        <v>10188</v>
      </c>
      <c r="M2313" s="8" t="s">
        <v>8692</v>
      </c>
      <c r="N2313" s="8" t="n">
        <v>12</v>
      </c>
      <c r="O2313" s="8" t="n">
        <v>10</v>
      </c>
      <c r="P2313" s="8" t="s">
        <v>120</v>
      </c>
    </row>
    <row r="2314" customFormat="false" ht="15" hidden="false" customHeight="false" outlineLevel="0" collapsed="false">
      <c r="A2314" s="8" t="s">
        <v>10357</v>
      </c>
      <c r="B2314" s="8" t="s">
        <v>10358</v>
      </c>
      <c r="C2314" s="8" t="s">
        <v>8669</v>
      </c>
      <c r="D2314" s="8" t="s">
        <v>123</v>
      </c>
      <c r="E2314" s="8" t="s">
        <v>51</v>
      </c>
      <c r="F2314" s="8" t="s">
        <v>2027</v>
      </c>
      <c r="G2314" s="8" t="s">
        <v>223</v>
      </c>
      <c r="H2314" s="8" t="s">
        <v>8662</v>
      </c>
      <c r="I2314" s="8" t="s">
        <v>9560</v>
      </c>
      <c r="J2314" s="8"/>
      <c r="K2314" s="8" t="s">
        <v>8690</v>
      </c>
      <c r="L2314" s="8" t="s">
        <v>8982</v>
      </c>
      <c r="M2314" s="8" t="s">
        <v>8692</v>
      </c>
      <c r="N2314" s="8" t="n">
        <v>12</v>
      </c>
      <c r="O2314" s="8" t="n">
        <v>38</v>
      </c>
      <c r="P2314" s="8" t="s">
        <v>120</v>
      </c>
    </row>
    <row r="2315" customFormat="false" ht="15" hidden="false" customHeight="false" outlineLevel="0" collapsed="false">
      <c r="A2315" s="8" t="s">
        <v>2300</v>
      </c>
      <c r="B2315" s="8" t="s">
        <v>2301</v>
      </c>
      <c r="C2315" s="8" t="s">
        <v>8669</v>
      </c>
      <c r="D2315" s="8" t="s">
        <v>128</v>
      </c>
      <c r="E2315" s="8" t="s">
        <v>51</v>
      </c>
      <c r="F2315" s="8" t="s">
        <v>326</v>
      </c>
      <c r="G2315" s="8" t="s">
        <v>223</v>
      </c>
      <c r="H2315" s="8" t="s">
        <v>8675</v>
      </c>
      <c r="I2315" s="8" t="s">
        <v>9276</v>
      </c>
      <c r="J2315" s="8" t="s">
        <v>177</v>
      </c>
      <c r="K2315" s="8" t="s">
        <v>8664</v>
      </c>
      <c r="L2315" s="8"/>
      <c r="M2315" s="8"/>
      <c r="N2315" s="8" t="n">
        <v>25</v>
      </c>
      <c r="O2315" s="8" t="n">
        <v>17</v>
      </c>
      <c r="P2315" s="8" t="s">
        <v>120</v>
      </c>
    </row>
    <row r="2316" customFormat="false" ht="15" hidden="false" customHeight="false" outlineLevel="0" collapsed="false">
      <c r="A2316" s="8" t="s">
        <v>2808</v>
      </c>
      <c r="B2316" s="8" t="s">
        <v>2809</v>
      </c>
      <c r="C2316" s="8" t="s">
        <v>8680</v>
      </c>
      <c r="D2316" s="8" t="s">
        <v>117</v>
      </c>
      <c r="E2316" s="8" t="s">
        <v>51</v>
      </c>
      <c r="F2316" s="8" t="s">
        <v>326</v>
      </c>
      <c r="G2316" s="8" t="s">
        <v>166</v>
      </c>
      <c r="H2316" s="8" t="s">
        <v>8662</v>
      </c>
      <c r="I2316" s="8" t="s">
        <v>9656</v>
      </c>
      <c r="J2316" s="8" t="s">
        <v>177</v>
      </c>
      <c r="K2316" s="8" t="s">
        <v>8664</v>
      </c>
      <c r="L2316" s="8"/>
      <c r="M2316" s="8"/>
      <c r="N2316" s="8" t="n">
        <v>25</v>
      </c>
      <c r="O2316" s="8" t="n">
        <v>16</v>
      </c>
      <c r="P2316" s="8" t="s">
        <v>120</v>
      </c>
    </row>
    <row r="2317" customFormat="false" ht="15" hidden="false" customHeight="false" outlineLevel="0" collapsed="false">
      <c r="A2317" s="8" t="s">
        <v>861</v>
      </c>
      <c r="B2317" s="8" t="s">
        <v>862</v>
      </c>
      <c r="C2317" s="8" t="s">
        <v>8661</v>
      </c>
      <c r="D2317" s="8" t="s">
        <v>123</v>
      </c>
      <c r="E2317" s="8" t="s">
        <v>53</v>
      </c>
      <c r="F2317" s="8" t="s">
        <v>326</v>
      </c>
      <c r="G2317" s="8" t="s">
        <v>223</v>
      </c>
      <c r="H2317" s="8" t="s">
        <v>8670</v>
      </c>
      <c r="I2317" s="8" t="s">
        <v>9574</v>
      </c>
      <c r="J2317" s="8" t="s">
        <v>159</v>
      </c>
      <c r="K2317" s="8" t="s">
        <v>8664</v>
      </c>
      <c r="L2317" s="8"/>
      <c r="M2317" s="8"/>
      <c r="N2317" s="8" t="n">
        <v>25</v>
      </c>
      <c r="O2317" s="8" t="n">
        <v>188</v>
      </c>
      <c r="P2317" s="8" t="s">
        <v>120</v>
      </c>
    </row>
    <row r="2318" customFormat="false" ht="15" hidden="false" customHeight="false" outlineLevel="0" collapsed="false">
      <c r="A2318" s="8" t="s">
        <v>1007</v>
      </c>
      <c r="B2318" s="8" t="s">
        <v>1008</v>
      </c>
      <c r="C2318" s="8" t="s">
        <v>8661</v>
      </c>
      <c r="D2318" s="8" t="s">
        <v>123</v>
      </c>
      <c r="E2318" s="8" t="s">
        <v>53</v>
      </c>
      <c r="F2318" s="8" t="s">
        <v>326</v>
      </c>
      <c r="G2318" s="8" t="s">
        <v>154</v>
      </c>
      <c r="H2318" s="8" t="s">
        <v>8675</v>
      </c>
      <c r="I2318" s="8" t="s">
        <v>10359</v>
      </c>
      <c r="J2318" s="8" t="s">
        <v>177</v>
      </c>
      <c r="K2318" s="8" t="s">
        <v>8664</v>
      </c>
      <c r="L2318" s="8"/>
      <c r="M2318" s="8"/>
      <c r="N2318" s="8" t="n">
        <v>25</v>
      </c>
      <c r="O2318" s="8" t="n">
        <v>165</v>
      </c>
      <c r="P2318" s="8" t="s">
        <v>120</v>
      </c>
    </row>
    <row r="2319" customFormat="false" ht="15" hidden="false" customHeight="false" outlineLevel="0" collapsed="false">
      <c r="A2319" s="8" t="s">
        <v>3438</v>
      </c>
      <c r="B2319" s="8" t="s">
        <v>3439</v>
      </c>
      <c r="C2319" s="8" t="s">
        <v>8688</v>
      </c>
      <c r="D2319" s="8" t="s">
        <v>132</v>
      </c>
      <c r="E2319" s="8" t="s">
        <v>51</v>
      </c>
      <c r="F2319" s="8" t="s">
        <v>2027</v>
      </c>
      <c r="G2319" s="8" t="s">
        <v>133</v>
      </c>
      <c r="H2319" s="8" t="s">
        <v>8670</v>
      </c>
      <c r="I2319" s="8" t="s">
        <v>10089</v>
      </c>
      <c r="J2319" s="8" t="s">
        <v>180</v>
      </c>
      <c r="K2319" s="8" t="s">
        <v>8664</v>
      </c>
      <c r="L2319" s="8"/>
      <c r="M2319" s="8"/>
      <c r="N2319" s="8" t="n">
        <v>12</v>
      </c>
      <c r="O2319" s="8" t="n">
        <v>23</v>
      </c>
      <c r="P2319" s="8" t="s">
        <v>120</v>
      </c>
    </row>
    <row r="2320" customFormat="false" ht="15" hidden="false" customHeight="false" outlineLevel="0" collapsed="false">
      <c r="A2320" s="8" t="s">
        <v>2720</v>
      </c>
      <c r="B2320" s="8" t="s">
        <v>2721</v>
      </c>
      <c r="C2320" s="8" t="s">
        <v>8665</v>
      </c>
      <c r="D2320" s="8" t="s">
        <v>123</v>
      </c>
      <c r="E2320" s="8" t="s">
        <v>51</v>
      </c>
      <c r="F2320" s="8" t="s">
        <v>2027</v>
      </c>
      <c r="G2320" s="8" t="s">
        <v>118</v>
      </c>
      <c r="H2320" s="8" t="s">
        <v>8670</v>
      </c>
      <c r="I2320" s="8" t="s">
        <v>8934</v>
      </c>
      <c r="J2320" s="8" t="s">
        <v>177</v>
      </c>
      <c r="K2320" s="8" t="s">
        <v>8664</v>
      </c>
      <c r="L2320" s="8"/>
      <c r="M2320" s="8"/>
      <c r="N2320" s="8" t="n">
        <v>12</v>
      </c>
      <c r="O2320" s="8" t="n">
        <v>35</v>
      </c>
      <c r="P2320" s="8" t="s">
        <v>120</v>
      </c>
    </row>
    <row r="2321" customFormat="false" ht="15" hidden="false" customHeight="false" outlineLevel="0" collapsed="false">
      <c r="A2321" s="8" t="s">
        <v>1369</v>
      </c>
      <c r="B2321" s="8" t="s">
        <v>1370</v>
      </c>
      <c r="C2321" s="8" t="s">
        <v>8678</v>
      </c>
      <c r="D2321" s="8" t="s">
        <v>123</v>
      </c>
      <c r="E2321" s="8" t="s">
        <v>53</v>
      </c>
      <c r="F2321" s="8" t="s">
        <v>326</v>
      </c>
      <c r="G2321" s="8" t="s">
        <v>118</v>
      </c>
      <c r="H2321" s="8" t="s">
        <v>8662</v>
      </c>
      <c r="I2321" s="8" t="s">
        <v>8811</v>
      </c>
      <c r="J2321" s="8" t="s">
        <v>129</v>
      </c>
      <c r="K2321" s="8" t="s">
        <v>8664</v>
      </c>
      <c r="L2321" s="8"/>
      <c r="M2321" s="8"/>
      <c r="N2321" s="8" t="n">
        <v>25</v>
      </c>
      <c r="O2321" s="8" t="n">
        <v>112</v>
      </c>
      <c r="P2321" s="8" t="s">
        <v>120</v>
      </c>
    </row>
    <row r="2322" customFormat="false" ht="15" hidden="false" customHeight="false" outlineLevel="0" collapsed="false">
      <c r="A2322" s="8" t="s">
        <v>3308</v>
      </c>
      <c r="B2322" s="8" t="s">
        <v>3309</v>
      </c>
      <c r="C2322" s="8" t="s">
        <v>8688</v>
      </c>
      <c r="D2322" s="8" t="s">
        <v>123</v>
      </c>
      <c r="E2322" s="8" t="s">
        <v>51</v>
      </c>
      <c r="F2322" s="8" t="s">
        <v>326</v>
      </c>
      <c r="G2322" s="8" t="s">
        <v>133</v>
      </c>
      <c r="H2322" s="8" t="s">
        <v>8670</v>
      </c>
      <c r="I2322" s="8" t="s">
        <v>9508</v>
      </c>
      <c r="J2322" s="8" t="s">
        <v>119</v>
      </c>
      <c r="K2322" s="8" t="s">
        <v>8664</v>
      </c>
      <c r="L2322" s="8"/>
      <c r="M2322" s="8"/>
      <c r="N2322" s="8" t="n">
        <v>25</v>
      </c>
      <c r="O2322" s="8" t="n">
        <v>14</v>
      </c>
      <c r="P2322" s="8" t="s">
        <v>120</v>
      </c>
    </row>
    <row r="2323" customFormat="false" ht="15" hidden="false" customHeight="false" outlineLevel="0" collapsed="false">
      <c r="A2323" s="8" t="s">
        <v>587</v>
      </c>
      <c r="B2323" s="8" t="s">
        <v>588</v>
      </c>
      <c r="C2323" s="8" t="s">
        <v>8661</v>
      </c>
      <c r="D2323" s="8" t="s">
        <v>117</v>
      </c>
      <c r="E2323" s="8" t="s">
        <v>55</v>
      </c>
      <c r="F2323" s="8" t="s">
        <v>55</v>
      </c>
      <c r="G2323" s="8" t="s">
        <v>223</v>
      </c>
      <c r="H2323" s="8" t="s">
        <v>8662</v>
      </c>
      <c r="I2323" s="8" t="s">
        <v>8697</v>
      </c>
      <c r="J2323" s="8" t="s">
        <v>137</v>
      </c>
      <c r="K2323" s="8" t="s">
        <v>8664</v>
      </c>
      <c r="L2323" s="8"/>
      <c r="M2323" s="8"/>
      <c r="N2323" s="8" t="n">
        <v>45</v>
      </c>
      <c r="O2323" s="8" t="n">
        <v>175</v>
      </c>
      <c r="P2323" s="8" t="s">
        <v>120</v>
      </c>
    </row>
    <row r="2324" customFormat="false" ht="15" hidden="false" customHeight="false" outlineLevel="0" collapsed="false">
      <c r="A2324" s="8" t="s">
        <v>1361</v>
      </c>
      <c r="B2324" s="8" t="s">
        <v>1362</v>
      </c>
      <c r="C2324" s="8" t="s">
        <v>8680</v>
      </c>
      <c r="D2324" s="8" t="s">
        <v>123</v>
      </c>
      <c r="E2324" s="8" t="s">
        <v>53</v>
      </c>
      <c r="F2324" s="8" t="s">
        <v>326</v>
      </c>
      <c r="G2324" s="8" t="s">
        <v>190</v>
      </c>
      <c r="H2324" s="8" t="s">
        <v>8662</v>
      </c>
      <c r="I2324" s="8" t="s">
        <v>10360</v>
      </c>
      <c r="J2324" s="8" t="s">
        <v>204</v>
      </c>
      <c r="K2324" s="8" t="s">
        <v>8664</v>
      </c>
      <c r="L2324" s="8"/>
      <c r="M2324" s="8"/>
      <c r="N2324" s="8" t="n">
        <v>25</v>
      </c>
      <c r="O2324" s="8" t="n">
        <v>114</v>
      </c>
      <c r="P2324" s="8" t="s">
        <v>120</v>
      </c>
    </row>
    <row r="2325" customFormat="false" ht="15" hidden="false" customHeight="false" outlineLevel="0" collapsed="false">
      <c r="A2325" s="8" t="s">
        <v>10361</v>
      </c>
      <c r="B2325" s="8" t="s">
        <v>10362</v>
      </c>
      <c r="C2325" s="8" t="s">
        <v>8678</v>
      </c>
      <c r="D2325" s="8" t="s">
        <v>123</v>
      </c>
      <c r="E2325" s="8" t="s">
        <v>53</v>
      </c>
      <c r="F2325" s="8" t="s">
        <v>55</v>
      </c>
      <c r="G2325" s="8" t="s">
        <v>124</v>
      </c>
      <c r="H2325" s="8" t="s">
        <v>8670</v>
      </c>
      <c r="I2325" s="8" t="s">
        <v>9430</v>
      </c>
      <c r="J2325" s="8"/>
      <c r="K2325" s="8" t="s">
        <v>8690</v>
      </c>
      <c r="L2325" s="8" t="s">
        <v>9727</v>
      </c>
      <c r="M2325" s="8" t="s">
        <v>8795</v>
      </c>
      <c r="N2325" s="8" t="n">
        <v>45</v>
      </c>
      <c r="O2325" s="8" t="n">
        <v>48</v>
      </c>
      <c r="P2325" s="8" t="s">
        <v>120</v>
      </c>
    </row>
    <row r="2326" customFormat="false" ht="15" hidden="false" customHeight="false" outlineLevel="0" collapsed="false">
      <c r="A2326" s="8" t="s">
        <v>1847</v>
      </c>
      <c r="B2326" s="8" t="s">
        <v>1848</v>
      </c>
      <c r="C2326" s="8" t="s">
        <v>8661</v>
      </c>
      <c r="D2326" s="8" t="s">
        <v>123</v>
      </c>
      <c r="E2326" s="8" t="s">
        <v>51</v>
      </c>
      <c r="F2326" s="8" t="s">
        <v>326</v>
      </c>
      <c r="G2326" s="8" t="s">
        <v>118</v>
      </c>
      <c r="H2326" s="8" t="s">
        <v>8675</v>
      </c>
      <c r="I2326" s="8" t="s">
        <v>10363</v>
      </c>
      <c r="J2326" s="8" t="s">
        <v>180</v>
      </c>
      <c r="K2326" s="8" t="s">
        <v>8664</v>
      </c>
      <c r="L2326" s="8"/>
      <c r="M2326" s="8"/>
      <c r="N2326" s="8" t="n">
        <v>25</v>
      </c>
      <c r="O2326" s="8" t="n">
        <v>39</v>
      </c>
      <c r="P2326" s="8" t="s">
        <v>120</v>
      </c>
    </row>
    <row r="2327" customFormat="false" ht="15" hidden="false" customHeight="false" outlineLevel="0" collapsed="false">
      <c r="A2327" s="8" t="s">
        <v>3310</v>
      </c>
      <c r="B2327" s="8" t="s">
        <v>3311</v>
      </c>
      <c r="C2327" s="8" t="s">
        <v>8680</v>
      </c>
      <c r="D2327" s="8" t="s">
        <v>132</v>
      </c>
      <c r="E2327" s="8" t="s">
        <v>51</v>
      </c>
      <c r="F2327" s="8" t="s">
        <v>2027</v>
      </c>
      <c r="G2327" s="8" t="s">
        <v>151</v>
      </c>
      <c r="H2327" s="8" t="s">
        <v>8670</v>
      </c>
      <c r="I2327" s="8" t="s">
        <v>9805</v>
      </c>
      <c r="J2327" s="8" t="s">
        <v>147</v>
      </c>
      <c r="K2327" s="8" t="s">
        <v>8664</v>
      </c>
      <c r="L2327" s="8"/>
      <c r="M2327" s="8"/>
      <c r="N2327" s="8" t="n">
        <v>12</v>
      </c>
      <c r="O2327" s="8" t="n">
        <v>25</v>
      </c>
      <c r="P2327" s="8" t="s">
        <v>120</v>
      </c>
    </row>
    <row r="2328" customFormat="false" ht="15" hidden="false" customHeight="false" outlineLevel="0" collapsed="false">
      <c r="A2328" s="8" t="s">
        <v>3828</v>
      </c>
      <c r="B2328" s="8" t="s">
        <v>3829</v>
      </c>
      <c r="C2328" s="8" t="s">
        <v>8665</v>
      </c>
      <c r="D2328" s="8" t="s">
        <v>123</v>
      </c>
      <c r="E2328" s="8" t="s">
        <v>51</v>
      </c>
      <c r="F2328" s="8" t="s">
        <v>2027</v>
      </c>
      <c r="G2328" s="8" t="s">
        <v>151</v>
      </c>
      <c r="H2328" s="8" t="s">
        <v>8666</v>
      </c>
      <c r="I2328" s="8" t="s">
        <v>9791</v>
      </c>
      <c r="J2328" s="8" t="s">
        <v>144</v>
      </c>
      <c r="K2328" s="8" t="s">
        <v>8664</v>
      </c>
      <c r="L2328" s="8"/>
      <c r="M2328" s="8"/>
      <c r="N2328" s="8" t="n">
        <v>12</v>
      </c>
      <c r="O2328" s="8" t="n">
        <v>12</v>
      </c>
      <c r="P2328" s="8" t="s">
        <v>120</v>
      </c>
    </row>
    <row r="2329" customFormat="false" ht="15" hidden="false" customHeight="false" outlineLevel="0" collapsed="false">
      <c r="A2329" s="8" t="s">
        <v>1255</v>
      </c>
      <c r="B2329" s="8" t="s">
        <v>1256</v>
      </c>
      <c r="C2329" s="8" t="s">
        <v>8700</v>
      </c>
      <c r="D2329" s="8" t="s">
        <v>128</v>
      </c>
      <c r="E2329" s="8" t="s">
        <v>53</v>
      </c>
      <c r="F2329" s="8" t="s">
        <v>326</v>
      </c>
      <c r="G2329" s="8" t="s">
        <v>151</v>
      </c>
      <c r="H2329" s="8" t="s">
        <v>8670</v>
      </c>
      <c r="I2329" s="8" t="s">
        <v>9337</v>
      </c>
      <c r="J2329" s="8" t="s">
        <v>177</v>
      </c>
      <c r="K2329" s="8" t="s">
        <v>8664</v>
      </c>
      <c r="L2329" s="8"/>
      <c r="M2329" s="8"/>
      <c r="N2329" s="8" t="n">
        <v>25</v>
      </c>
      <c r="O2329" s="8" t="n">
        <v>129</v>
      </c>
      <c r="P2329" s="8" t="s">
        <v>120</v>
      </c>
    </row>
    <row r="2330" customFormat="false" ht="15" hidden="false" customHeight="false" outlineLevel="0" collapsed="false">
      <c r="A2330" s="8" t="s">
        <v>4142</v>
      </c>
      <c r="B2330" s="8" t="s">
        <v>4143</v>
      </c>
      <c r="C2330" s="8" t="s">
        <v>8669</v>
      </c>
      <c r="D2330" s="8" t="s">
        <v>123</v>
      </c>
      <c r="E2330" s="8" t="s">
        <v>51</v>
      </c>
      <c r="F2330" s="8" t="s">
        <v>2027</v>
      </c>
      <c r="G2330" s="8" t="s">
        <v>190</v>
      </c>
      <c r="H2330" s="8" t="s">
        <v>8670</v>
      </c>
      <c r="I2330" s="8" t="s">
        <v>9775</v>
      </c>
      <c r="J2330" s="8" t="s">
        <v>180</v>
      </c>
      <c r="K2330" s="8" t="s">
        <v>8664</v>
      </c>
      <c r="L2330" s="8"/>
      <c r="M2330" s="8"/>
      <c r="N2330" s="8" t="n">
        <v>12</v>
      </c>
      <c r="O2330" s="8" t="n">
        <v>10</v>
      </c>
      <c r="P2330" s="8" t="s">
        <v>120</v>
      </c>
    </row>
    <row r="2331" customFormat="false" ht="15" hidden="false" customHeight="false" outlineLevel="0" collapsed="false">
      <c r="A2331" s="8" t="s">
        <v>1911</v>
      </c>
      <c r="B2331" s="8" t="s">
        <v>1912</v>
      </c>
      <c r="C2331" s="8" t="s">
        <v>8665</v>
      </c>
      <c r="D2331" s="8" t="s">
        <v>123</v>
      </c>
      <c r="E2331" s="8" t="s">
        <v>51</v>
      </c>
      <c r="F2331" s="8" t="s">
        <v>326</v>
      </c>
      <c r="G2331" s="8" t="s">
        <v>166</v>
      </c>
      <c r="H2331" s="8" t="s">
        <v>8675</v>
      </c>
      <c r="I2331" s="8" t="s">
        <v>9086</v>
      </c>
      <c r="J2331" s="8" t="s">
        <v>129</v>
      </c>
      <c r="K2331" s="8" t="s">
        <v>8664</v>
      </c>
      <c r="L2331" s="8"/>
      <c r="M2331" s="8"/>
      <c r="N2331" s="8" t="n">
        <v>25</v>
      </c>
      <c r="O2331" s="8" t="n">
        <v>20</v>
      </c>
      <c r="P2331" s="8" t="s">
        <v>120</v>
      </c>
    </row>
    <row r="2332" customFormat="false" ht="15" hidden="false" customHeight="false" outlineLevel="0" collapsed="false">
      <c r="A2332" s="8" t="s">
        <v>4434</v>
      </c>
      <c r="B2332" s="8" t="s">
        <v>10364</v>
      </c>
      <c r="C2332" s="8" t="s">
        <v>8678</v>
      </c>
      <c r="D2332" s="8" t="s">
        <v>123</v>
      </c>
      <c r="E2332" s="8" t="s">
        <v>53</v>
      </c>
      <c r="F2332" s="8" t="s">
        <v>55</v>
      </c>
      <c r="G2332" s="8" t="s">
        <v>124</v>
      </c>
      <c r="H2332" s="8" t="s">
        <v>8666</v>
      </c>
      <c r="I2332" s="8" t="s">
        <v>9553</v>
      </c>
      <c r="J2332" s="8"/>
      <c r="K2332" s="8" t="s">
        <v>8690</v>
      </c>
      <c r="L2332" s="8" t="s">
        <v>10365</v>
      </c>
      <c r="M2332" s="8" t="s">
        <v>8705</v>
      </c>
      <c r="N2332" s="8" t="n">
        <v>45</v>
      </c>
      <c r="O2332" s="8" t="n">
        <v>107</v>
      </c>
      <c r="P2332" s="8" t="s">
        <v>148</v>
      </c>
    </row>
    <row r="2333" customFormat="false" ht="15" hidden="false" customHeight="false" outlineLevel="0" collapsed="false">
      <c r="A2333" s="8" t="s">
        <v>4555</v>
      </c>
      <c r="B2333" s="8" t="s">
        <v>10366</v>
      </c>
      <c r="C2333" s="8" t="s">
        <v>8680</v>
      </c>
      <c r="D2333" s="8" t="s">
        <v>123</v>
      </c>
      <c r="E2333" s="8" t="s">
        <v>51</v>
      </c>
      <c r="F2333" s="8" t="s">
        <v>2027</v>
      </c>
      <c r="G2333" s="8" t="s">
        <v>124</v>
      </c>
      <c r="H2333" s="8" t="s">
        <v>8675</v>
      </c>
      <c r="I2333" s="8" t="s">
        <v>9737</v>
      </c>
      <c r="J2333" s="8"/>
      <c r="K2333" s="8" t="s">
        <v>8690</v>
      </c>
      <c r="L2333" s="8" t="s">
        <v>10367</v>
      </c>
      <c r="M2333" s="8" t="s">
        <v>8696</v>
      </c>
      <c r="N2333" s="8" t="n">
        <v>12</v>
      </c>
      <c r="O2333" s="8" t="n">
        <v>21</v>
      </c>
      <c r="P2333" s="8" t="s">
        <v>120</v>
      </c>
    </row>
    <row r="2334" customFormat="false" ht="15" hidden="false" customHeight="false" outlineLevel="0" collapsed="false">
      <c r="A2334" s="8" t="s">
        <v>3088</v>
      </c>
      <c r="B2334" s="8" t="s">
        <v>3089</v>
      </c>
      <c r="C2334" s="8" t="s">
        <v>8669</v>
      </c>
      <c r="D2334" s="8" t="s">
        <v>123</v>
      </c>
      <c r="E2334" s="8" t="s">
        <v>51</v>
      </c>
      <c r="F2334" s="8" t="s">
        <v>2027</v>
      </c>
      <c r="G2334" s="8" t="s">
        <v>166</v>
      </c>
      <c r="H2334" s="8" t="s">
        <v>8670</v>
      </c>
      <c r="I2334" s="8" t="s">
        <v>9466</v>
      </c>
      <c r="J2334" s="8" t="s">
        <v>129</v>
      </c>
      <c r="K2334" s="8" t="s">
        <v>8664</v>
      </c>
      <c r="L2334" s="8"/>
      <c r="M2334" s="8"/>
      <c r="N2334" s="8" t="n">
        <v>12</v>
      </c>
      <c r="O2334" s="8" t="n">
        <v>29</v>
      </c>
      <c r="P2334" s="8" t="s">
        <v>120</v>
      </c>
    </row>
    <row r="2335" customFormat="false" ht="15" hidden="false" customHeight="false" outlineLevel="0" collapsed="false">
      <c r="A2335" s="8" t="s">
        <v>4579</v>
      </c>
      <c r="B2335" s="8" t="s">
        <v>10368</v>
      </c>
      <c r="C2335" s="8" t="s">
        <v>8661</v>
      </c>
      <c r="D2335" s="8" t="s">
        <v>117</v>
      </c>
      <c r="E2335" s="8" t="s">
        <v>51</v>
      </c>
      <c r="F2335" s="8" t="s">
        <v>326</v>
      </c>
      <c r="G2335" s="8" t="s">
        <v>166</v>
      </c>
      <c r="H2335" s="8" t="s">
        <v>8670</v>
      </c>
      <c r="I2335" s="8" t="s">
        <v>9542</v>
      </c>
      <c r="J2335" s="8"/>
      <c r="K2335" s="8" t="s">
        <v>8690</v>
      </c>
      <c r="L2335" s="8" t="s">
        <v>9767</v>
      </c>
      <c r="M2335" s="8" t="s">
        <v>8696</v>
      </c>
      <c r="N2335" s="8" t="n">
        <v>25</v>
      </c>
      <c r="O2335" s="8" t="n">
        <v>6</v>
      </c>
      <c r="P2335" s="8" t="s">
        <v>120</v>
      </c>
    </row>
    <row r="2336" customFormat="false" ht="15" hidden="false" customHeight="false" outlineLevel="0" collapsed="false">
      <c r="A2336" s="8" t="s">
        <v>4511</v>
      </c>
      <c r="B2336" s="8" t="s">
        <v>10369</v>
      </c>
      <c r="C2336" s="8" t="s">
        <v>8678</v>
      </c>
      <c r="D2336" s="8" t="s">
        <v>123</v>
      </c>
      <c r="E2336" s="8" t="s">
        <v>51</v>
      </c>
      <c r="F2336" s="8" t="s">
        <v>2027</v>
      </c>
      <c r="G2336" s="8" t="s">
        <v>190</v>
      </c>
      <c r="H2336" s="8" t="s">
        <v>8666</v>
      </c>
      <c r="I2336" s="8" t="s">
        <v>8890</v>
      </c>
      <c r="J2336" s="8"/>
      <c r="K2336" s="8" t="s">
        <v>8690</v>
      </c>
      <c r="L2336" s="8" t="s">
        <v>8754</v>
      </c>
      <c r="M2336" s="8" t="s">
        <v>8692</v>
      </c>
      <c r="N2336" s="8" t="n">
        <v>12</v>
      </c>
      <c r="O2336" s="8" t="n">
        <v>37</v>
      </c>
      <c r="P2336" s="8" t="s">
        <v>120</v>
      </c>
    </row>
    <row r="2337" customFormat="false" ht="15" hidden="false" customHeight="false" outlineLevel="0" collapsed="false">
      <c r="A2337" s="8" t="s">
        <v>4200</v>
      </c>
      <c r="B2337" s="8" t="s">
        <v>4201</v>
      </c>
      <c r="C2337" s="8" t="s">
        <v>8661</v>
      </c>
      <c r="D2337" s="8" t="s">
        <v>132</v>
      </c>
      <c r="E2337" s="8" t="s">
        <v>51</v>
      </c>
      <c r="F2337" s="8" t="s">
        <v>2027</v>
      </c>
      <c r="G2337" s="8" t="s">
        <v>223</v>
      </c>
      <c r="H2337" s="8" t="s">
        <v>8670</v>
      </c>
      <c r="I2337" s="8" t="s">
        <v>9318</v>
      </c>
      <c r="J2337" s="8" t="s">
        <v>140</v>
      </c>
      <c r="K2337" s="8" t="s">
        <v>8664</v>
      </c>
      <c r="L2337" s="8"/>
      <c r="M2337" s="8"/>
      <c r="N2337" s="8" t="n">
        <v>12</v>
      </c>
      <c r="O2337" s="8" t="n">
        <v>9</v>
      </c>
      <c r="P2337" s="8" t="s">
        <v>120</v>
      </c>
    </row>
    <row r="2338" customFormat="false" ht="15" hidden="false" customHeight="false" outlineLevel="0" collapsed="false">
      <c r="A2338" s="8" t="s">
        <v>1049</v>
      </c>
      <c r="B2338" s="8" t="s">
        <v>1050</v>
      </c>
      <c r="C2338" s="8" t="s">
        <v>8665</v>
      </c>
      <c r="D2338" s="8" t="s">
        <v>132</v>
      </c>
      <c r="E2338" s="8" t="s">
        <v>53</v>
      </c>
      <c r="F2338" s="8" t="s">
        <v>326</v>
      </c>
      <c r="G2338" s="8" t="s">
        <v>143</v>
      </c>
      <c r="H2338" s="8" t="s">
        <v>8666</v>
      </c>
      <c r="I2338" s="8" t="s">
        <v>10351</v>
      </c>
      <c r="J2338" s="8" t="s">
        <v>144</v>
      </c>
      <c r="K2338" s="8" t="s">
        <v>8664</v>
      </c>
      <c r="L2338" s="8"/>
      <c r="M2338" s="8"/>
      <c r="N2338" s="8" t="n">
        <v>25</v>
      </c>
      <c r="O2338" s="8" t="n">
        <v>157</v>
      </c>
      <c r="P2338" s="8" t="s">
        <v>120</v>
      </c>
    </row>
    <row r="2339" customFormat="false" ht="15" hidden="false" customHeight="false" outlineLevel="0" collapsed="false">
      <c r="A2339" s="8" t="s">
        <v>2916</v>
      </c>
      <c r="B2339" s="8" t="s">
        <v>2917</v>
      </c>
      <c r="C2339" s="8" t="s">
        <v>8678</v>
      </c>
      <c r="D2339" s="8" t="s">
        <v>132</v>
      </c>
      <c r="E2339" s="8" t="s">
        <v>51</v>
      </c>
      <c r="F2339" s="8" t="s">
        <v>326</v>
      </c>
      <c r="G2339" s="8" t="s">
        <v>223</v>
      </c>
      <c r="H2339" s="8" t="s">
        <v>8662</v>
      </c>
      <c r="I2339" s="8" t="s">
        <v>9133</v>
      </c>
      <c r="J2339" s="8" t="s">
        <v>180</v>
      </c>
      <c r="K2339" s="8" t="s">
        <v>8664</v>
      </c>
      <c r="L2339" s="8"/>
      <c r="M2339" s="8"/>
      <c r="N2339" s="8" t="n">
        <v>25</v>
      </c>
      <c r="O2339" s="8" t="n">
        <v>15</v>
      </c>
      <c r="P2339" s="8" t="s">
        <v>120</v>
      </c>
    </row>
    <row r="2340" customFormat="false" ht="15" hidden="false" customHeight="false" outlineLevel="0" collapsed="false">
      <c r="A2340" s="8" t="s">
        <v>3948</v>
      </c>
      <c r="B2340" s="8" t="s">
        <v>3949</v>
      </c>
      <c r="C2340" s="8" t="s">
        <v>8688</v>
      </c>
      <c r="D2340" s="8" t="s">
        <v>117</v>
      </c>
      <c r="E2340" s="8" t="s">
        <v>51</v>
      </c>
      <c r="F2340" s="8" t="s">
        <v>2027</v>
      </c>
      <c r="G2340" s="8" t="s">
        <v>136</v>
      </c>
      <c r="H2340" s="8" t="s">
        <v>8675</v>
      </c>
      <c r="I2340" s="8" t="s">
        <v>10074</v>
      </c>
      <c r="J2340" s="8" t="s">
        <v>125</v>
      </c>
      <c r="K2340" s="8" t="s">
        <v>8664</v>
      </c>
      <c r="L2340" s="8"/>
      <c r="M2340" s="8"/>
      <c r="N2340" s="8" t="n">
        <v>12</v>
      </c>
      <c r="O2340" s="8" t="n">
        <v>13</v>
      </c>
      <c r="P2340" s="8" t="s">
        <v>120</v>
      </c>
    </row>
    <row r="2341" customFormat="false" ht="15" hidden="false" customHeight="false" outlineLevel="0" collapsed="false">
      <c r="A2341" s="8" t="s">
        <v>2582</v>
      </c>
      <c r="B2341" s="8" t="s">
        <v>2583</v>
      </c>
      <c r="C2341" s="8" t="s">
        <v>8700</v>
      </c>
      <c r="D2341" s="8" t="s">
        <v>123</v>
      </c>
      <c r="E2341" s="8" t="s">
        <v>51</v>
      </c>
      <c r="F2341" s="8" t="s">
        <v>2027</v>
      </c>
      <c r="G2341" s="8" t="s">
        <v>166</v>
      </c>
      <c r="H2341" s="8" t="s">
        <v>8666</v>
      </c>
      <c r="I2341" s="8" t="s">
        <v>8892</v>
      </c>
      <c r="J2341" s="8" t="s">
        <v>185</v>
      </c>
      <c r="K2341" s="8" t="s">
        <v>8664</v>
      </c>
      <c r="L2341" s="8"/>
      <c r="M2341" s="8"/>
      <c r="N2341" s="8" t="n">
        <v>12</v>
      </c>
      <c r="O2341" s="8" t="n">
        <v>37</v>
      </c>
      <c r="P2341" s="8" t="s">
        <v>120</v>
      </c>
    </row>
    <row r="2342" customFormat="false" ht="15" hidden="false" customHeight="false" outlineLevel="0" collapsed="false">
      <c r="A2342" s="8" t="s">
        <v>2482</v>
      </c>
      <c r="B2342" s="8" t="s">
        <v>2483</v>
      </c>
      <c r="C2342" s="8" t="s">
        <v>8700</v>
      </c>
      <c r="D2342" s="8" t="s">
        <v>123</v>
      </c>
      <c r="E2342" s="8" t="s">
        <v>51</v>
      </c>
      <c r="F2342" s="8" t="s">
        <v>2027</v>
      </c>
      <c r="G2342" s="8" t="s">
        <v>124</v>
      </c>
      <c r="H2342" s="8" t="s">
        <v>8662</v>
      </c>
      <c r="I2342" s="8" t="s">
        <v>8780</v>
      </c>
      <c r="J2342" s="8" t="s">
        <v>129</v>
      </c>
      <c r="K2342" s="8" t="s">
        <v>8664</v>
      </c>
      <c r="L2342" s="8"/>
      <c r="M2342" s="8"/>
      <c r="N2342" s="8" t="n">
        <v>12</v>
      </c>
      <c r="O2342" s="8" t="n">
        <v>39</v>
      </c>
      <c r="P2342" s="8" t="s">
        <v>120</v>
      </c>
    </row>
    <row r="2343" customFormat="false" ht="15" hidden="false" customHeight="false" outlineLevel="0" collapsed="false">
      <c r="A2343" s="8" t="s">
        <v>3848</v>
      </c>
      <c r="B2343" s="8" t="s">
        <v>3849</v>
      </c>
      <c r="C2343" s="8" t="s">
        <v>8665</v>
      </c>
      <c r="D2343" s="8" t="s">
        <v>123</v>
      </c>
      <c r="E2343" s="8" t="s">
        <v>51</v>
      </c>
      <c r="F2343" s="8" t="s">
        <v>326</v>
      </c>
      <c r="G2343" s="8" t="s">
        <v>136</v>
      </c>
      <c r="H2343" s="8" t="s">
        <v>8675</v>
      </c>
      <c r="I2343" s="8" t="s">
        <v>9862</v>
      </c>
      <c r="J2343" s="8" t="s">
        <v>119</v>
      </c>
      <c r="K2343" s="8" t="s">
        <v>8664</v>
      </c>
      <c r="L2343" s="8"/>
      <c r="M2343" s="8"/>
      <c r="N2343" s="8" t="n">
        <v>25</v>
      </c>
      <c r="O2343" s="8" t="n">
        <v>7</v>
      </c>
      <c r="P2343" s="8" t="s">
        <v>120</v>
      </c>
    </row>
    <row r="2344" customFormat="false" ht="15" hidden="false" customHeight="false" outlineLevel="0" collapsed="false">
      <c r="A2344" s="8" t="s">
        <v>3774</v>
      </c>
      <c r="B2344" s="8" t="s">
        <v>3775</v>
      </c>
      <c r="C2344" s="8" t="s">
        <v>8661</v>
      </c>
      <c r="D2344" s="8" t="s">
        <v>132</v>
      </c>
      <c r="E2344" s="8" t="s">
        <v>51</v>
      </c>
      <c r="F2344" s="8" t="s">
        <v>2027</v>
      </c>
      <c r="G2344" s="8" t="s">
        <v>166</v>
      </c>
      <c r="H2344" s="8" t="s">
        <v>8662</v>
      </c>
      <c r="I2344" s="8" t="s">
        <v>9093</v>
      </c>
      <c r="J2344" s="8" t="s">
        <v>147</v>
      </c>
      <c r="K2344" s="8" t="s">
        <v>8664</v>
      </c>
      <c r="L2344" s="8"/>
      <c r="M2344" s="8"/>
      <c r="N2344" s="8" t="n">
        <v>12</v>
      </c>
      <c r="O2344" s="8" t="n">
        <v>20</v>
      </c>
      <c r="P2344" s="8" t="s">
        <v>120</v>
      </c>
    </row>
    <row r="2345" customFormat="false" ht="15" hidden="false" customHeight="false" outlineLevel="0" collapsed="false">
      <c r="A2345" s="8" t="s">
        <v>10370</v>
      </c>
      <c r="B2345" s="8" t="s">
        <v>10371</v>
      </c>
      <c r="C2345" s="8" t="s">
        <v>8665</v>
      </c>
      <c r="D2345" s="8" t="s">
        <v>123</v>
      </c>
      <c r="E2345" s="8" t="s">
        <v>51</v>
      </c>
      <c r="F2345" s="8" t="s">
        <v>2027</v>
      </c>
      <c r="G2345" s="8" t="s">
        <v>154</v>
      </c>
      <c r="H2345" s="8" t="s">
        <v>8675</v>
      </c>
      <c r="I2345" s="8" t="s">
        <v>8847</v>
      </c>
      <c r="J2345" s="8"/>
      <c r="K2345" s="8" t="s">
        <v>8690</v>
      </c>
      <c r="L2345" s="8" t="s">
        <v>9116</v>
      </c>
      <c r="M2345" s="8" t="s">
        <v>8692</v>
      </c>
      <c r="N2345" s="8" t="n">
        <v>12</v>
      </c>
      <c r="O2345" s="8" t="n">
        <v>21</v>
      </c>
      <c r="P2345" s="8" t="s">
        <v>120</v>
      </c>
    </row>
    <row r="2346" customFormat="false" ht="15" hidden="false" customHeight="false" outlineLevel="0" collapsed="false">
      <c r="A2346" s="8" t="s">
        <v>2302</v>
      </c>
      <c r="B2346" s="8" t="s">
        <v>2303</v>
      </c>
      <c r="C2346" s="8" t="s">
        <v>8680</v>
      </c>
      <c r="D2346" s="8" t="s">
        <v>132</v>
      </c>
      <c r="E2346" s="8" t="s">
        <v>51</v>
      </c>
      <c r="F2346" s="8" t="s">
        <v>326</v>
      </c>
      <c r="G2346" s="8" t="s">
        <v>166</v>
      </c>
      <c r="H2346" s="8" t="s">
        <v>8662</v>
      </c>
      <c r="I2346" s="8" t="s">
        <v>10372</v>
      </c>
      <c r="J2346" s="8" t="s">
        <v>129</v>
      </c>
      <c r="K2346" s="8" t="s">
        <v>8664</v>
      </c>
      <c r="L2346" s="8"/>
      <c r="M2346" s="8"/>
      <c r="N2346" s="8" t="n">
        <v>25</v>
      </c>
      <c r="O2346" s="8" t="n">
        <v>18</v>
      </c>
      <c r="P2346" s="8" t="s">
        <v>120</v>
      </c>
    </row>
    <row r="2347" customFormat="false" ht="15" hidden="false" customHeight="false" outlineLevel="0" collapsed="false">
      <c r="A2347" s="8" t="s">
        <v>3894</v>
      </c>
      <c r="B2347" s="8" t="s">
        <v>3895</v>
      </c>
      <c r="C2347" s="8" t="s">
        <v>8688</v>
      </c>
      <c r="D2347" s="8" t="s">
        <v>123</v>
      </c>
      <c r="E2347" s="8" t="s">
        <v>51</v>
      </c>
      <c r="F2347" s="8" t="s">
        <v>2027</v>
      </c>
      <c r="G2347" s="8" t="s">
        <v>151</v>
      </c>
      <c r="H2347" s="8" t="s">
        <v>8675</v>
      </c>
      <c r="I2347" s="8" t="s">
        <v>9039</v>
      </c>
      <c r="J2347" s="8" t="s">
        <v>180</v>
      </c>
      <c r="K2347" s="8" t="s">
        <v>8664</v>
      </c>
      <c r="L2347" s="8"/>
      <c r="M2347" s="8"/>
      <c r="N2347" s="8" t="n">
        <v>12</v>
      </c>
      <c r="O2347" s="8" t="n">
        <v>14</v>
      </c>
      <c r="P2347" s="8" t="s">
        <v>148</v>
      </c>
    </row>
    <row r="2348" customFormat="false" ht="15" hidden="false" customHeight="false" outlineLevel="0" collapsed="false">
      <c r="A2348" s="8" t="s">
        <v>4070</v>
      </c>
      <c r="B2348" s="8" t="s">
        <v>4071</v>
      </c>
      <c r="C2348" s="8" t="s">
        <v>8700</v>
      </c>
      <c r="D2348" s="8" t="s">
        <v>128</v>
      </c>
      <c r="E2348" s="8" t="s">
        <v>51</v>
      </c>
      <c r="F2348" s="8" t="s">
        <v>2027</v>
      </c>
      <c r="G2348" s="8" t="s">
        <v>136</v>
      </c>
      <c r="H2348" s="8" t="s">
        <v>8670</v>
      </c>
      <c r="I2348" s="8" t="s">
        <v>9476</v>
      </c>
      <c r="J2348" s="8" t="s">
        <v>119</v>
      </c>
      <c r="K2348" s="8" t="s">
        <v>8664</v>
      </c>
      <c r="L2348" s="8"/>
      <c r="M2348" s="8"/>
      <c r="N2348" s="8" t="n">
        <v>12</v>
      </c>
      <c r="O2348" s="8" t="n">
        <v>11</v>
      </c>
      <c r="P2348" s="8" t="s">
        <v>148</v>
      </c>
    </row>
    <row r="2349" customFormat="false" ht="15" hidden="false" customHeight="false" outlineLevel="0" collapsed="false">
      <c r="A2349" s="8" t="s">
        <v>2140</v>
      </c>
      <c r="B2349" s="8" t="s">
        <v>2141</v>
      </c>
      <c r="C2349" s="8" t="s">
        <v>8700</v>
      </c>
      <c r="D2349" s="8" t="s">
        <v>123</v>
      </c>
      <c r="E2349" s="8" t="s">
        <v>51</v>
      </c>
      <c r="F2349" s="8" t="s">
        <v>326</v>
      </c>
      <c r="G2349" s="8" t="s">
        <v>124</v>
      </c>
      <c r="H2349" s="8" t="s">
        <v>8675</v>
      </c>
      <c r="I2349" s="8" t="s">
        <v>8908</v>
      </c>
      <c r="J2349" s="8" t="s">
        <v>137</v>
      </c>
      <c r="K2349" s="8" t="s">
        <v>8664</v>
      </c>
      <c r="L2349" s="8"/>
      <c r="M2349" s="8"/>
      <c r="N2349" s="8" t="n">
        <v>25</v>
      </c>
      <c r="O2349" s="8" t="n">
        <v>27</v>
      </c>
      <c r="P2349" s="8" t="s">
        <v>120</v>
      </c>
    </row>
    <row r="2350" customFormat="false" ht="15" hidden="false" customHeight="false" outlineLevel="0" collapsed="false">
      <c r="A2350" s="8" t="s">
        <v>2624</v>
      </c>
      <c r="B2350" s="8" t="s">
        <v>2625</v>
      </c>
      <c r="C2350" s="8" t="s">
        <v>8688</v>
      </c>
      <c r="D2350" s="8" t="s">
        <v>117</v>
      </c>
      <c r="E2350" s="8" t="s">
        <v>51</v>
      </c>
      <c r="F2350" s="8" t="s">
        <v>2027</v>
      </c>
      <c r="G2350" s="8" t="s">
        <v>136</v>
      </c>
      <c r="H2350" s="8" t="s">
        <v>8675</v>
      </c>
      <c r="I2350" s="8" t="s">
        <v>9756</v>
      </c>
      <c r="J2350" s="8" t="s">
        <v>125</v>
      </c>
      <c r="K2350" s="8" t="s">
        <v>8664</v>
      </c>
      <c r="L2350" s="8"/>
      <c r="M2350" s="8"/>
      <c r="N2350" s="8" t="n">
        <v>12</v>
      </c>
      <c r="O2350" s="8" t="n">
        <v>36</v>
      </c>
      <c r="P2350" s="8" t="s">
        <v>120</v>
      </c>
    </row>
    <row r="2351" customFormat="false" ht="15" hidden="false" customHeight="false" outlineLevel="0" collapsed="false">
      <c r="A2351" s="8" t="s">
        <v>4374</v>
      </c>
      <c r="B2351" s="8" t="s">
        <v>4375</v>
      </c>
      <c r="C2351" s="8" t="s">
        <v>8688</v>
      </c>
      <c r="D2351" s="8" t="s">
        <v>132</v>
      </c>
      <c r="E2351" s="8" t="s">
        <v>51</v>
      </c>
      <c r="F2351" s="8" t="s">
        <v>2027</v>
      </c>
      <c r="G2351" s="8" t="s">
        <v>190</v>
      </c>
      <c r="H2351" s="8" t="s">
        <v>8662</v>
      </c>
      <c r="I2351" s="8" t="s">
        <v>9564</v>
      </c>
      <c r="J2351" s="8" t="s">
        <v>129</v>
      </c>
      <c r="K2351" s="8" t="s">
        <v>8664</v>
      </c>
      <c r="L2351" s="8"/>
      <c r="M2351" s="8"/>
      <c r="N2351" s="8" t="n">
        <v>12</v>
      </c>
      <c r="O2351" s="8" t="n">
        <v>5</v>
      </c>
      <c r="P2351" s="8" t="s">
        <v>120</v>
      </c>
    </row>
    <row r="2352" customFormat="false" ht="15" hidden="false" customHeight="false" outlineLevel="0" collapsed="false">
      <c r="A2352" s="8" t="s">
        <v>809</v>
      </c>
      <c r="B2352" s="8" t="s">
        <v>810</v>
      </c>
      <c r="C2352" s="8" t="s">
        <v>8688</v>
      </c>
      <c r="D2352" s="8" t="s">
        <v>123</v>
      </c>
      <c r="E2352" s="8" t="s">
        <v>53</v>
      </c>
      <c r="F2352" s="8" t="s">
        <v>326</v>
      </c>
      <c r="G2352" s="8" t="s">
        <v>136</v>
      </c>
      <c r="H2352" s="8" t="s">
        <v>8666</v>
      </c>
      <c r="I2352" s="8" t="s">
        <v>10229</v>
      </c>
      <c r="J2352" s="8" t="s">
        <v>204</v>
      </c>
      <c r="K2352" s="8" t="s">
        <v>8664</v>
      </c>
      <c r="L2352" s="8"/>
      <c r="M2352" s="8"/>
      <c r="N2352" s="8" t="n">
        <v>25</v>
      </c>
      <c r="O2352" s="8" t="n">
        <v>195</v>
      </c>
      <c r="P2352" s="8" t="s">
        <v>120</v>
      </c>
    </row>
    <row r="2353" customFormat="false" ht="15" hidden="false" customHeight="false" outlineLevel="0" collapsed="false">
      <c r="A2353" s="8" t="s">
        <v>2834</v>
      </c>
      <c r="B2353" s="8" t="s">
        <v>2835</v>
      </c>
      <c r="C2353" s="8" t="s">
        <v>8665</v>
      </c>
      <c r="D2353" s="8" t="s">
        <v>117</v>
      </c>
      <c r="E2353" s="8" t="s">
        <v>51</v>
      </c>
      <c r="F2353" s="8" t="s">
        <v>2027</v>
      </c>
      <c r="G2353" s="8" t="s">
        <v>133</v>
      </c>
      <c r="H2353" s="8" t="s">
        <v>8666</v>
      </c>
      <c r="I2353" s="8" t="s">
        <v>10029</v>
      </c>
      <c r="J2353" s="8" t="s">
        <v>180</v>
      </c>
      <c r="K2353" s="8" t="s">
        <v>8664</v>
      </c>
      <c r="L2353" s="8"/>
      <c r="M2353" s="8"/>
      <c r="N2353" s="8" t="n">
        <v>12</v>
      </c>
      <c r="O2353" s="8" t="n">
        <v>39</v>
      </c>
      <c r="P2353" s="8" t="s">
        <v>120</v>
      </c>
    </row>
    <row r="2354" customFormat="false" ht="15" hidden="false" customHeight="false" outlineLevel="0" collapsed="false">
      <c r="A2354" s="8" t="s">
        <v>3830</v>
      </c>
      <c r="B2354" s="8" t="s">
        <v>3831</v>
      </c>
      <c r="C2354" s="8" t="s">
        <v>8680</v>
      </c>
      <c r="D2354" s="8" t="s">
        <v>132</v>
      </c>
      <c r="E2354" s="8" t="s">
        <v>51</v>
      </c>
      <c r="F2354" s="8" t="s">
        <v>2027</v>
      </c>
      <c r="G2354" s="8" t="s">
        <v>133</v>
      </c>
      <c r="H2354" s="8" t="s">
        <v>8662</v>
      </c>
      <c r="I2354" s="8" t="s">
        <v>9189</v>
      </c>
      <c r="J2354" s="8" t="s">
        <v>119</v>
      </c>
      <c r="K2354" s="8" t="s">
        <v>8664</v>
      </c>
      <c r="L2354" s="8"/>
      <c r="M2354" s="8"/>
      <c r="N2354" s="8" t="n">
        <v>12</v>
      </c>
      <c r="O2354" s="8" t="n">
        <v>19</v>
      </c>
      <c r="P2354" s="8" t="s">
        <v>120</v>
      </c>
    </row>
    <row r="2355" customFormat="false" ht="15" hidden="false" customHeight="false" outlineLevel="0" collapsed="false">
      <c r="A2355" s="8" t="s">
        <v>1913</v>
      </c>
      <c r="B2355" s="8" t="s">
        <v>1914</v>
      </c>
      <c r="C2355" s="8" t="s">
        <v>8674</v>
      </c>
      <c r="D2355" s="8" t="s">
        <v>117</v>
      </c>
      <c r="E2355" s="8" t="s">
        <v>51</v>
      </c>
      <c r="F2355" s="8" t="s">
        <v>326</v>
      </c>
      <c r="G2355" s="8" t="s">
        <v>118</v>
      </c>
      <c r="H2355" s="8" t="s">
        <v>8662</v>
      </c>
      <c r="I2355" s="8" t="s">
        <v>9584</v>
      </c>
      <c r="J2355" s="8" t="s">
        <v>144</v>
      </c>
      <c r="K2355" s="8" t="s">
        <v>8664</v>
      </c>
      <c r="L2355" s="8"/>
      <c r="M2355" s="8"/>
      <c r="N2355" s="8" t="n">
        <v>25</v>
      </c>
      <c r="O2355" s="8" t="n">
        <v>36</v>
      </c>
      <c r="P2355" s="8" t="s">
        <v>120</v>
      </c>
    </row>
    <row r="2356" customFormat="false" ht="15" hidden="false" customHeight="false" outlineLevel="0" collapsed="false">
      <c r="A2356" s="8" t="s">
        <v>2362</v>
      </c>
      <c r="B2356" s="8" t="s">
        <v>2363</v>
      </c>
      <c r="C2356" s="8" t="s">
        <v>8669</v>
      </c>
      <c r="D2356" s="8" t="s">
        <v>117</v>
      </c>
      <c r="E2356" s="8" t="s">
        <v>51</v>
      </c>
      <c r="F2356" s="8" t="s">
        <v>2027</v>
      </c>
      <c r="G2356" s="8" t="s">
        <v>124</v>
      </c>
      <c r="H2356" s="8" t="s">
        <v>8675</v>
      </c>
      <c r="I2356" s="8" t="s">
        <v>9998</v>
      </c>
      <c r="J2356" s="8" t="s">
        <v>185</v>
      </c>
      <c r="K2356" s="8" t="s">
        <v>8664</v>
      </c>
      <c r="L2356" s="8"/>
      <c r="M2356" s="8"/>
      <c r="N2356" s="8" t="n">
        <v>12</v>
      </c>
      <c r="O2356" s="8" t="n">
        <v>34</v>
      </c>
      <c r="P2356" s="8" t="s">
        <v>120</v>
      </c>
    </row>
    <row r="2357" customFormat="false" ht="15" hidden="false" customHeight="false" outlineLevel="0" collapsed="false">
      <c r="A2357" s="8" t="s">
        <v>10373</v>
      </c>
      <c r="B2357" s="8" t="s">
        <v>10374</v>
      </c>
      <c r="C2357" s="8" t="s">
        <v>8700</v>
      </c>
      <c r="D2357" s="8" t="s">
        <v>117</v>
      </c>
      <c r="E2357" s="8" t="s">
        <v>51</v>
      </c>
      <c r="F2357" s="8" t="s">
        <v>2027</v>
      </c>
      <c r="G2357" s="8" t="s">
        <v>166</v>
      </c>
      <c r="H2357" s="8" t="s">
        <v>8662</v>
      </c>
      <c r="I2357" s="8" t="s">
        <v>10236</v>
      </c>
      <c r="J2357" s="8"/>
      <c r="K2357" s="8" t="s">
        <v>8690</v>
      </c>
      <c r="L2357" s="8" t="s">
        <v>9741</v>
      </c>
      <c r="M2357" s="8" t="s">
        <v>8692</v>
      </c>
      <c r="N2357" s="8" t="n">
        <v>12</v>
      </c>
      <c r="O2357" s="8" t="n">
        <v>26</v>
      </c>
      <c r="P2357" s="8" t="s">
        <v>120</v>
      </c>
    </row>
    <row r="2358" customFormat="false" ht="15" hidden="false" customHeight="false" outlineLevel="0" collapsed="false">
      <c r="A2358" s="8" t="s">
        <v>2626</v>
      </c>
      <c r="B2358" s="8" t="s">
        <v>2627</v>
      </c>
      <c r="C2358" s="8" t="s">
        <v>8669</v>
      </c>
      <c r="D2358" s="8" t="s">
        <v>132</v>
      </c>
      <c r="E2358" s="8" t="s">
        <v>51</v>
      </c>
      <c r="F2358" s="8" t="s">
        <v>2027</v>
      </c>
      <c r="G2358" s="8" t="s">
        <v>133</v>
      </c>
      <c r="H2358" s="8" t="s">
        <v>8666</v>
      </c>
      <c r="I2358" s="8" t="s">
        <v>8763</v>
      </c>
      <c r="J2358" s="8" t="s">
        <v>180</v>
      </c>
      <c r="K2358" s="8" t="s">
        <v>8664</v>
      </c>
      <c r="L2358" s="8"/>
      <c r="M2358" s="8"/>
      <c r="N2358" s="8" t="n">
        <v>12</v>
      </c>
      <c r="O2358" s="8" t="n">
        <v>36</v>
      </c>
      <c r="P2358" s="8" t="s">
        <v>120</v>
      </c>
    </row>
    <row r="2359" customFormat="false" ht="15" hidden="false" customHeight="false" outlineLevel="0" collapsed="false">
      <c r="A2359" s="8" t="s">
        <v>4571</v>
      </c>
      <c r="B2359" s="8" t="s">
        <v>10375</v>
      </c>
      <c r="C2359" s="8" t="s">
        <v>8678</v>
      </c>
      <c r="D2359" s="8" t="s">
        <v>132</v>
      </c>
      <c r="E2359" s="8" t="s">
        <v>51</v>
      </c>
      <c r="F2359" s="8" t="s">
        <v>2027</v>
      </c>
      <c r="G2359" s="8" t="s">
        <v>190</v>
      </c>
      <c r="H2359" s="8" t="s">
        <v>8662</v>
      </c>
      <c r="I2359" s="8" t="s">
        <v>10359</v>
      </c>
      <c r="J2359" s="8"/>
      <c r="K2359" s="8" t="s">
        <v>8690</v>
      </c>
      <c r="L2359" s="8" t="s">
        <v>9924</v>
      </c>
      <c r="M2359" s="8" t="s">
        <v>8692</v>
      </c>
      <c r="N2359" s="8" t="n">
        <v>12</v>
      </c>
      <c r="O2359" s="8" t="n">
        <v>21</v>
      </c>
      <c r="P2359" s="8" t="s">
        <v>120</v>
      </c>
    </row>
    <row r="2360" customFormat="false" ht="15" hidden="false" customHeight="false" outlineLevel="0" collapsed="false">
      <c r="A2360" s="8" t="s">
        <v>324</v>
      </c>
      <c r="B2360" s="8" t="s">
        <v>325</v>
      </c>
      <c r="C2360" s="8" t="s">
        <v>8674</v>
      </c>
      <c r="D2360" s="8" t="s">
        <v>132</v>
      </c>
      <c r="E2360" s="8" t="s">
        <v>55</v>
      </c>
      <c r="F2360" s="8" t="s">
        <v>326</v>
      </c>
      <c r="G2360" s="8" t="s">
        <v>143</v>
      </c>
      <c r="H2360" s="8" t="s">
        <v>8662</v>
      </c>
      <c r="I2360" s="8" t="s">
        <v>10040</v>
      </c>
      <c r="J2360" s="8" t="s">
        <v>185</v>
      </c>
      <c r="K2360" s="8" t="s">
        <v>8664</v>
      </c>
      <c r="L2360" s="8"/>
      <c r="M2360" s="8"/>
      <c r="N2360" s="8" t="n">
        <v>25</v>
      </c>
      <c r="O2360" s="8" t="n">
        <v>598</v>
      </c>
      <c r="P2360" s="8" t="s">
        <v>120</v>
      </c>
    </row>
    <row r="2361" customFormat="false" ht="15" hidden="false" customHeight="false" outlineLevel="0" collapsed="false">
      <c r="A2361" s="8" t="s">
        <v>10376</v>
      </c>
      <c r="B2361" s="8" t="s">
        <v>10377</v>
      </c>
      <c r="C2361" s="8" t="s">
        <v>8680</v>
      </c>
      <c r="D2361" s="8" t="s">
        <v>123</v>
      </c>
      <c r="E2361" s="8" t="s">
        <v>51</v>
      </c>
      <c r="F2361" s="8" t="s">
        <v>326</v>
      </c>
      <c r="G2361" s="8" t="s">
        <v>166</v>
      </c>
      <c r="H2361" s="8" t="s">
        <v>8662</v>
      </c>
      <c r="I2361" s="8" t="s">
        <v>9686</v>
      </c>
      <c r="J2361" s="8"/>
      <c r="K2361" s="8" t="s">
        <v>8690</v>
      </c>
      <c r="L2361" s="8" t="s">
        <v>10378</v>
      </c>
      <c r="M2361" s="8" t="s">
        <v>8705</v>
      </c>
      <c r="N2361" s="8" t="n">
        <v>25</v>
      </c>
      <c r="O2361" s="8" t="n">
        <v>36</v>
      </c>
      <c r="P2361" s="8" t="s">
        <v>120</v>
      </c>
    </row>
    <row r="2362" customFormat="false" ht="15" hidden="false" customHeight="false" outlineLevel="0" collapsed="false">
      <c r="A2362" s="8" t="s">
        <v>1705</v>
      </c>
      <c r="B2362" s="8" t="s">
        <v>1706</v>
      </c>
      <c r="C2362" s="8" t="s">
        <v>8674</v>
      </c>
      <c r="D2362" s="8" t="s">
        <v>123</v>
      </c>
      <c r="E2362" s="8" t="s">
        <v>53</v>
      </c>
      <c r="F2362" s="8" t="s">
        <v>326</v>
      </c>
      <c r="G2362" s="8" t="s">
        <v>136</v>
      </c>
      <c r="H2362" s="8" t="s">
        <v>8670</v>
      </c>
      <c r="I2362" s="8" t="s">
        <v>8922</v>
      </c>
      <c r="J2362" s="8" t="s">
        <v>140</v>
      </c>
      <c r="K2362" s="8" t="s">
        <v>8664</v>
      </c>
      <c r="L2362" s="8"/>
      <c r="M2362" s="8"/>
      <c r="N2362" s="8" t="n">
        <v>25</v>
      </c>
      <c r="O2362" s="8" t="n">
        <v>54</v>
      </c>
      <c r="P2362" s="8" t="s">
        <v>120</v>
      </c>
    </row>
    <row r="2363" customFormat="false" ht="15" hidden="false" customHeight="false" outlineLevel="0" collapsed="false">
      <c r="A2363" s="8" t="s">
        <v>1669</v>
      </c>
      <c r="B2363" s="8" t="s">
        <v>1670</v>
      </c>
      <c r="C2363" s="8" t="s">
        <v>8678</v>
      </c>
      <c r="D2363" s="8" t="s">
        <v>117</v>
      </c>
      <c r="E2363" s="8" t="s">
        <v>53</v>
      </c>
      <c r="F2363" s="8" t="s">
        <v>326</v>
      </c>
      <c r="G2363" s="8" t="s">
        <v>136</v>
      </c>
      <c r="H2363" s="8" t="s">
        <v>8666</v>
      </c>
      <c r="I2363" s="8" t="s">
        <v>8743</v>
      </c>
      <c r="J2363" s="8" t="s">
        <v>137</v>
      </c>
      <c r="K2363" s="8" t="s">
        <v>8664</v>
      </c>
      <c r="L2363" s="8"/>
      <c r="M2363" s="8"/>
      <c r="N2363" s="8" t="n">
        <v>25</v>
      </c>
      <c r="O2363" s="8" t="n">
        <v>58</v>
      </c>
      <c r="P2363" s="8" t="s">
        <v>120</v>
      </c>
    </row>
    <row r="2364" customFormat="false" ht="15" hidden="false" customHeight="false" outlineLevel="0" collapsed="false">
      <c r="A2364" s="8" t="s">
        <v>4549</v>
      </c>
      <c r="B2364" s="8" t="s">
        <v>10379</v>
      </c>
      <c r="C2364" s="8" t="s">
        <v>8669</v>
      </c>
      <c r="D2364" s="8" t="s">
        <v>132</v>
      </c>
      <c r="E2364" s="8" t="s">
        <v>51</v>
      </c>
      <c r="F2364" s="8" t="s">
        <v>2027</v>
      </c>
      <c r="G2364" s="8" t="s">
        <v>133</v>
      </c>
      <c r="H2364" s="8" t="s">
        <v>8675</v>
      </c>
      <c r="I2364" s="8" t="s">
        <v>9318</v>
      </c>
      <c r="J2364" s="8"/>
      <c r="K2364" s="8" t="s">
        <v>8690</v>
      </c>
      <c r="L2364" s="8" t="s">
        <v>8714</v>
      </c>
      <c r="M2364" s="8" t="s">
        <v>8696</v>
      </c>
      <c r="N2364" s="8" t="n">
        <v>12</v>
      </c>
      <c r="O2364" s="8" t="n">
        <v>27</v>
      </c>
      <c r="P2364" s="8" t="s">
        <v>120</v>
      </c>
    </row>
    <row r="2365" customFormat="false" ht="15" hidden="false" customHeight="false" outlineLevel="0" collapsed="false">
      <c r="A2365" s="8" t="s">
        <v>10380</v>
      </c>
      <c r="B2365" s="8" t="s">
        <v>10381</v>
      </c>
      <c r="C2365" s="8" t="s">
        <v>8665</v>
      </c>
      <c r="D2365" s="8" t="s">
        <v>132</v>
      </c>
      <c r="E2365" s="8" t="s">
        <v>55</v>
      </c>
      <c r="F2365" s="8" t="s">
        <v>55</v>
      </c>
      <c r="G2365" s="8" t="s">
        <v>154</v>
      </c>
      <c r="H2365" s="8" t="s">
        <v>8675</v>
      </c>
      <c r="I2365" s="8" t="s">
        <v>8685</v>
      </c>
      <c r="J2365" s="8"/>
      <c r="K2365" s="8" t="s">
        <v>8690</v>
      </c>
      <c r="L2365" s="8" t="s">
        <v>9334</v>
      </c>
      <c r="M2365" s="8" t="s">
        <v>8795</v>
      </c>
      <c r="N2365" s="8" t="n">
        <v>45</v>
      </c>
      <c r="O2365" s="8" t="n">
        <v>211</v>
      </c>
      <c r="P2365" s="8" t="s">
        <v>120</v>
      </c>
    </row>
    <row r="2366" customFormat="false" ht="15" hidden="false" customHeight="false" outlineLevel="0" collapsed="false">
      <c r="A2366" s="8" t="s">
        <v>1325</v>
      </c>
      <c r="B2366" s="8" t="s">
        <v>1326</v>
      </c>
      <c r="C2366" s="8" t="s">
        <v>8661</v>
      </c>
      <c r="D2366" s="8" t="s">
        <v>132</v>
      </c>
      <c r="E2366" s="8" t="s">
        <v>53</v>
      </c>
      <c r="F2366" s="8" t="s">
        <v>326</v>
      </c>
      <c r="G2366" s="8" t="s">
        <v>118</v>
      </c>
      <c r="H2366" s="8" t="s">
        <v>8666</v>
      </c>
      <c r="I2366" s="8" t="s">
        <v>9300</v>
      </c>
      <c r="J2366" s="8" t="s">
        <v>137</v>
      </c>
      <c r="K2366" s="8" t="s">
        <v>8664</v>
      </c>
      <c r="L2366" s="8"/>
      <c r="M2366" s="8"/>
      <c r="N2366" s="8" t="n">
        <v>25</v>
      </c>
      <c r="O2366" s="8" t="n">
        <v>119</v>
      </c>
      <c r="P2366" s="8" t="s">
        <v>120</v>
      </c>
    </row>
    <row r="2367" customFormat="false" ht="15" hidden="false" customHeight="false" outlineLevel="0" collapsed="false">
      <c r="A2367" s="8" t="s">
        <v>1565</v>
      </c>
      <c r="B2367" s="8" t="s">
        <v>1566</v>
      </c>
      <c r="C2367" s="8" t="s">
        <v>8661</v>
      </c>
      <c r="D2367" s="8" t="s">
        <v>132</v>
      </c>
      <c r="E2367" s="8" t="s">
        <v>53</v>
      </c>
      <c r="F2367" s="8" t="s">
        <v>326</v>
      </c>
      <c r="G2367" s="8" t="s">
        <v>136</v>
      </c>
      <c r="H2367" s="8" t="s">
        <v>8675</v>
      </c>
      <c r="I2367" s="8" t="s">
        <v>10110</v>
      </c>
      <c r="J2367" s="8" t="s">
        <v>125</v>
      </c>
      <c r="K2367" s="8" t="s">
        <v>8664</v>
      </c>
      <c r="L2367" s="8"/>
      <c r="M2367" s="8"/>
      <c r="N2367" s="8" t="n">
        <v>25</v>
      </c>
      <c r="O2367" s="8" t="n">
        <v>75</v>
      </c>
      <c r="P2367" s="8" t="s">
        <v>120</v>
      </c>
    </row>
    <row r="2368" customFormat="false" ht="15" hidden="false" customHeight="false" outlineLevel="0" collapsed="false">
      <c r="A2368" s="8" t="s">
        <v>4072</v>
      </c>
      <c r="B2368" s="8" t="s">
        <v>4073</v>
      </c>
      <c r="C2368" s="8" t="s">
        <v>8680</v>
      </c>
      <c r="D2368" s="8" t="s">
        <v>123</v>
      </c>
      <c r="E2368" s="8" t="s">
        <v>51</v>
      </c>
      <c r="F2368" s="8" t="s">
        <v>2027</v>
      </c>
      <c r="G2368" s="8" t="s">
        <v>223</v>
      </c>
      <c r="H2368" s="8" t="s">
        <v>8670</v>
      </c>
      <c r="I2368" s="8" t="s">
        <v>10324</v>
      </c>
      <c r="J2368" s="8" t="s">
        <v>129</v>
      </c>
      <c r="K2368" s="8" t="s">
        <v>8664</v>
      </c>
      <c r="L2368" s="8"/>
      <c r="M2368" s="8"/>
      <c r="N2368" s="8" t="n">
        <v>12</v>
      </c>
      <c r="O2368" s="8" t="n">
        <v>11</v>
      </c>
      <c r="P2368" s="8" t="s">
        <v>120</v>
      </c>
    </row>
    <row r="2369" customFormat="false" ht="15" hidden="false" customHeight="false" outlineLevel="0" collapsed="false">
      <c r="A2369" s="8" t="s">
        <v>359</v>
      </c>
      <c r="B2369" s="8" t="s">
        <v>360</v>
      </c>
      <c r="C2369" s="8" t="s">
        <v>8674</v>
      </c>
      <c r="D2369" s="8" t="s">
        <v>123</v>
      </c>
      <c r="E2369" s="8" t="s">
        <v>55</v>
      </c>
      <c r="F2369" s="8" t="s">
        <v>326</v>
      </c>
      <c r="G2369" s="8" t="s">
        <v>151</v>
      </c>
      <c r="H2369" s="8" t="s">
        <v>8675</v>
      </c>
      <c r="I2369" s="8" t="s">
        <v>9487</v>
      </c>
      <c r="J2369" s="8" t="s">
        <v>180</v>
      </c>
      <c r="K2369" s="8" t="s">
        <v>8664</v>
      </c>
      <c r="L2369" s="8"/>
      <c r="M2369" s="8"/>
      <c r="N2369" s="8" t="n">
        <v>25</v>
      </c>
      <c r="O2369" s="8" t="n">
        <v>591</v>
      </c>
      <c r="P2369" s="8" t="s">
        <v>199</v>
      </c>
    </row>
    <row r="2370" customFormat="false" ht="15" hidden="false" customHeight="false" outlineLevel="0" collapsed="false">
      <c r="A2370" s="8" t="s">
        <v>913</v>
      </c>
      <c r="B2370" s="8" t="s">
        <v>914</v>
      </c>
      <c r="C2370" s="8" t="s">
        <v>8680</v>
      </c>
      <c r="D2370" s="8" t="s">
        <v>128</v>
      </c>
      <c r="E2370" s="8" t="s">
        <v>53</v>
      </c>
      <c r="F2370" s="8" t="s">
        <v>326</v>
      </c>
      <c r="G2370" s="8" t="s">
        <v>154</v>
      </c>
      <c r="H2370" s="8" t="s">
        <v>8662</v>
      </c>
      <c r="I2370" s="8" t="s">
        <v>9208</v>
      </c>
      <c r="J2370" s="8" t="s">
        <v>119</v>
      </c>
      <c r="K2370" s="8" t="s">
        <v>8664</v>
      </c>
      <c r="L2370" s="8"/>
      <c r="M2370" s="8"/>
      <c r="N2370" s="8" t="n">
        <v>25</v>
      </c>
      <c r="O2370" s="8" t="n">
        <v>161</v>
      </c>
      <c r="P2370" s="8" t="s">
        <v>120</v>
      </c>
    </row>
    <row r="2371" customFormat="false" ht="15" hidden="false" customHeight="false" outlineLevel="0" collapsed="false">
      <c r="A2371" s="8" t="s">
        <v>527</v>
      </c>
      <c r="B2371" s="8" t="s">
        <v>528</v>
      </c>
      <c r="C2371" s="8" t="s">
        <v>8688</v>
      </c>
      <c r="D2371" s="8" t="s">
        <v>132</v>
      </c>
      <c r="E2371" s="8" t="s">
        <v>55</v>
      </c>
      <c r="F2371" s="8" t="s">
        <v>326</v>
      </c>
      <c r="G2371" s="8" t="s">
        <v>151</v>
      </c>
      <c r="H2371" s="8" t="s">
        <v>8675</v>
      </c>
      <c r="I2371" s="8" t="s">
        <v>8784</v>
      </c>
      <c r="J2371" s="8" t="s">
        <v>144</v>
      </c>
      <c r="K2371" s="8" t="s">
        <v>8664</v>
      </c>
      <c r="L2371" s="8"/>
      <c r="M2371" s="8"/>
      <c r="N2371" s="8" t="n">
        <v>25</v>
      </c>
      <c r="O2371" s="8" t="n">
        <v>377</v>
      </c>
      <c r="P2371" s="8" t="s">
        <v>120</v>
      </c>
    </row>
    <row r="2372" customFormat="false" ht="15" hidden="false" customHeight="false" outlineLevel="0" collapsed="false">
      <c r="A2372" s="8" t="s">
        <v>2548</v>
      </c>
      <c r="B2372" s="8" t="s">
        <v>2549</v>
      </c>
      <c r="C2372" s="8" t="s">
        <v>8700</v>
      </c>
      <c r="D2372" s="8" t="s">
        <v>132</v>
      </c>
      <c r="E2372" s="8" t="s">
        <v>51</v>
      </c>
      <c r="F2372" s="8" t="s">
        <v>326</v>
      </c>
      <c r="G2372" s="8" t="s">
        <v>143</v>
      </c>
      <c r="H2372" s="8" t="s">
        <v>8675</v>
      </c>
      <c r="I2372" s="8" t="s">
        <v>8990</v>
      </c>
      <c r="J2372" s="8" t="s">
        <v>119</v>
      </c>
      <c r="K2372" s="8" t="s">
        <v>8664</v>
      </c>
      <c r="L2372" s="8"/>
      <c r="M2372" s="8"/>
      <c r="N2372" s="8" t="n">
        <v>25</v>
      </c>
      <c r="O2372" s="8" t="n">
        <v>14</v>
      </c>
      <c r="P2372" s="8" t="s">
        <v>120</v>
      </c>
    </row>
    <row r="2373" customFormat="false" ht="15" hidden="false" customHeight="false" outlineLevel="0" collapsed="false">
      <c r="A2373" s="8" t="s">
        <v>1275</v>
      </c>
      <c r="B2373" s="8" t="s">
        <v>1276</v>
      </c>
      <c r="C2373" s="8" t="s">
        <v>8678</v>
      </c>
      <c r="D2373" s="8" t="s">
        <v>123</v>
      </c>
      <c r="E2373" s="8" t="s">
        <v>53</v>
      </c>
      <c r="F2373" s="8" t="s">
        <v>326</v>
      </c>
      <c r="G2373" s="8" t="s">
        <v>151</v>
      </c>
      <c r="H2373" s="8" t="s">
        <v>8666</v>
      </c>
      <c r="I2373" s="8" t="s">
        <v>8974</v>
      </c>
      <c r="J2373" s="8" t="s">
        <v>180</v>
      </c>
      <c r="K2373" s="8" t="s">
        <v>8664</v>
      </c>
      <c r="L2373" s="8"/>
      <c r="M2373" s="8"/>
      <c r="N2373" s="8" t="n">
        <v>25</v>
      </c>
      <c r="O2373" s="8" t="n">
        <v>127</v>
      </c>
      <c r="P2373" s="8" t="s">
        <v>199</v>
      </c>
    </row>
    <row r="2374" customFormat="false" ht="15" hidden="false" customHeight="false" outlineLevel="0" collapsed="false">
      <c r="A2374" s="8" t="s">
        <v>4018</v>
      </c>
      <c r="B2374" s="8" t="s">
        <v>4019</v>
      </c>
      <c r="C2374" s="8" t="s">
        <v>8674</v>
      </c>
      <c r="D2374" s="8" t="s">
        <v>117</v>
      </c>
      <c r="E2374" s="8" t="s">
        <v>51</v>
      </c>
      <c r="F2374" s="8" t="s">
        <v>2027</v>
      </c>
      <c r="G2374" s="8" t="s">
        <v>118</v>
      </c>
      <c r="H2374" s="8" t="s">
        <v>8675</v>
      </c>
      <c r="I2374" s="8" t="s">
        <v>9545</v>
      </c>
      <c r="J2374" s="8" t="s">
        <v>147</v>
      </c>
      <c r="K2374" s="8" t="s">
        <v>8664</v>
      </c>
      <c r="L2374" s="8"/>
      <c r="M2374" s="8"/>
      <c r="N2374" s="8" t="n">
        <v>12</v>
      </c>
      <c r="O2374" s="8" t="n">
        <v>12</v>
      </c>
      <c r="P2374" s="8" t="s">
        <v>120</v>
      </c>
    </row>
    <row r="2375" customFormat="false" ht="15" hidden="false" customHeight="false" outlineLevel="0" collapsed="false">
      <c r="A2375" s="8" t="s">
        <v>949</v>
      </c>
      <c r="B2375" s="8" t="s">
        <v>950</v>
      </c>
      <c r="C2375" s="8" t="s">
        <v>8674</v>
      </c>
      <c r="D2375" s="8" t="s">
        <v>123</v>
      </c>
      <c r="E2375" s="8" t="s">
        <v>53</v>
      </c>
      <c r="F2375" s="8" t="s">
        <v>326</v>
      </c>
      <c r="G2375" s="8" t="s">
        <v>190</v>
      </c>
      <c r="H2375" s="8" t="s">
        <v>8666</v>
      </c>
      <c r="I2375" s="8" t="s">
        <v>9523</v>
      </c>
      <c r="J2375" s="8" t="s">
        <v>140</v>
      </c>
      <c r="K2375" s="8" t="s">
        <v>8664</v>
      </c>
      <c r="L2375" s="8"/>
      <c r="M2375" s="8"/>
      <c r="N2375" s="8" t="n">
        <v>25</v>
      </c>
      <c r="O2375" s="8" t="n">
        <v>173</v>
      </c>
      <c r="P2375" s="8" t="s">
        <v>120</v>
      </c>
    </row>
    <row r="2376" customFormat="false" ht="15" hidden="false" customHeight="false" outlineLevel="0" collapsed="false">
      <c r="A2376" s="8" t="s">
        <v>1757</v>
      </c>
      <c r="B2376" s="8" t="s">
        <v>1758</v>
      </c>
      <c r="C2376" s="8" t="s">
        <v>8678</v>
      </c>
      <c r="D2376" s="8" t="s">
        <v>117</v>
      </c>
      <c r="E2376" s="8" t="s">
        <v>53</v>
      </c>
      <c r="F2376" s="8" t="s">
        <v>326</v>
      </c>
      <c r="G2376" s="8" t="s">
        <v>133</v>
      </c>
      <c r="H2376" s="8" t="s">
        <v>8670</v>
      </c>
      <c r="I2376" s="8" t="s">
        <v>9249</v>
      </c>
      <c r="J2376" s="8" t="s">
        <v>185</v>
      </c>
      <c r="K2376" s="8" t="s">
        <v>8664</v>
      </c>
      <c r="L2376" s="8"/>
      <c r="M2376" s="8"/>
      <c r="N2376" s="8" t="n">
        <v>25</v>
      </c>
      <c r="O2376" s="8" t="n">
        <v>48</v>
      </c>
      <c r="P2376" s="8" t="s">
        <v>120</v>
      </c>
    </row>
    <row r="2377" customFormat="false" ht="15" hidden="false" customHeight="false" outlineLevel="0" collapsed="false">
      <c r="A2377" s="8" t="s">
        <v>3644</v>
      </c>
      <c r="B2377" s="8" t="s">
        <v>3645</v>
      </c>
      <c r="C2377" s="8" t="s">
        <v>8700</v>
      </c>
      <c r="D2377" s="8" t="s">
        <v>123</v>
      </c>
      <c r="E2377" s="8" t="s">
        <v>51</v>
      </c>
      <c r="F2377" s="8" t="s">
        <v>326</v>
      </c>
      <c r="G2377" s="8" t="s">
        <v>124</v>
      </c>
      <c r="H2377" s="8" t="s">
        <v>8662</v>
      </c>
      <c r="I2377" s="8" t="s">
        <v>9227</v>
      </c>
      <c r="J2377" s="8" t="s">
        <v>119</v>
      </c>
      <c r="K2377" s="8" t="s">
        <v>8664</v>
      </c>
      <c r="L2377" s="8"/>
      <c r="M2377" s="8"/>
      <c r="N2377" s="8" t="n">
        <v>25</v>
      </c>
      <c r="O2377" s="8" t="n">
        <v>9</v>
      </c>
      <c r="P2377" s="8" t="s">
        <v>120</v>
      </c>
    </row>
    <row r="2378" customFormat="false" ht="15" hidden="false" customHeight="false" outlineLevel="0" collapsed="false">
      <c r="A2378" s="8" t="s">
        <v>4498</v>
      </c>
      <c r="B2378" s="8" t="s">
        <v>10382</v>
      </c>
      <c r="C2378" s="8" t="s">
        <v>8674</v>
      </c>
      <c r="D2378" s="8" t="s">
        <v>132</v>
      </c>
      <c r="E2378" s="8" t="s">
        <v>51</v>
      </c>
      <c r="F2378" s="8" t="s">
        <v>2027</v>
      </c>
      <c r="G2378" s="8" t="s">
        <v>166</v>
      </c>
      <c r="H2378" s="8" t="s">
        <v>8675</v>
      </c>
      <c r="I2378" s="8" t="s">
        <v>9516</v>
      </c>
      <c r="J2378" s="8"/>
      <c r="K2378" s="8" t="s">
        <v>8690</v>
      </c>
      <c r="L2378" s="8" t="s">
        <v>9001</v>
      </c>
      <c r="M2378" s="8" t="s">
        <v>8721</v>
      </c>
      <c r="N2378" s="8" t="n">
        <v>12</v>
      </c>
      <c r="O2378" s="8" t="n">
        <v>32</v>
      </c>
      <c r="P2378" s="8" t="s">
        <v>120</v>
      </c>
    </row>
    <row r="2379" customFormat="false" ht="15" hidden="false" customHeight="false" outlineLevel="0" collapsed="false">
      <c r="A2379" s="8" t="s">
        <v>3244</v>
      </c>
      <c r="B2379" s="8" t="s">
        <v>3245</v>
      </c>
      <c r="C2379" s="8" t="s">
        <v>8661</v>
      </c>
      <c r="D2379" s="8" t="s">
        <v>132</v>
      </c>
      <c r="E2379" s="8" t="s">
        <v>51</v>
      </c>
      <c r="F2379" s="8" t="s">
        <v>2027</v>
      </c>
      <c r="G2379" s="8" t="s">
        <v>136</v>
      </c>
      <c r="H2379" s="8" t="s">
        <v>8666</v>
      </c>
      <c r="I2379" s="8" t="s">
        <v>9420</v>
      </c>
      <c r="J2379" s="8" t="s">
        <v>159</v>
      </c>
      <c r="K2379" s="8" t="s">
        <v>8664</v>
      </c>
      <c r="L2379" s="8"/>
      <c r="M2379" s="8"/>
      <c r="N2379" s="8" t="n">
        <v>12</v>
      </c>
      <c r="O2379" s="8" t="n">
        <v>26</v>
      </c>
      <c r="P2379" s="8" t="s">
        <v>120</v>
      </c>
    </row>
    <row r="2380" customFormat="false" ht="15" hidden="false" customHeight="false" outlineLevel="0" collapsed="false">
      <c r="A2380" s="8" t="s">
        <v>493</v>
      </c>
      <c r="B2380" s="8" t="s">
        <v>494</v>
      </c>
      <c r="C2380" s="8" t="s">
        <v>8674</v>
      </c>
      <c r="D2380" s="8" t="s">
        <v>117</v>
      </c>
      <c r="E2380" s="8" t="s">
        <v>55</v>
      </c>
      <c r="F2380" s="8" t="s">
        <v>55</v>
      </c>
      <c r="G2380" s="8" t="s">
        <v>124</v>
      </c>
      <c r="H2380" s="8" t="s">
        <v>8662</v>
      </c>
      <c r="I2380" s="8" t="s">
        <v>9891</v>
      </c>
      <c r="J2380" s="8" t="s">
        <v>137</v>
      </c>
      <c r="K2380" s="8" t="s">
        <v>8664</v>
      </c>
      <c r="L2380" s="8"/>
      <c r="M2380" s="8"/>
      <c r="N2380" s="8" t="n">
        <v>45</v>
      </c>
      <c r="O2380" s="8" t="n">
        <v>235</v>
      </c>
      <c r="P2380" s="8" t="s">
        <v>120</v>
      </c>
    </row>
    <row r="2381" customFormat="false" ht="15" hidden="false" customHeight="false" outlineLevel="0" collapsed="false">
      <c r="A2381" s="8" t="s">
        <v>2416</v>
      </c>
      <c r="B2381" s="8" t="s">
        <v>2417</v>
      </c>
      <c r="C2381" s="8" t="s">
        <v>8678</v>
      </c>
      <c r="D2381" s="8" t="s">
        <v>128</v>
      </c>
      <c r="E2381" s="8" t="s">
        <v>51</v>
      </c>
      <c r="F2381" s="8" t="s">
        <v>2027</v>
      </c>
      <c r="G2381" s="8" t="s">
        <v>143</v>
      </c>
      <c r="H2381" s="8" t="s">
        <v>8670</v>
      </c>
      <c r="I2381" s="8" t="s">
        <v>10383</v>
      </c>
      <c r="J2381" s="8" t="s">
        <v>185</v>
      </c>
      <c r="K2381" s="8" t="s">
        <v>8664</v>
      </c>
      <c r="L2381" s="8"/>
      <c r="M2381" s="8"/>
      <c r="N2381" s="8" t="n">
        <v>12</v>
      </c>
      <c r="O2381" s="8" t="n">
        <v>34</v>
      </c>
      <c r="P2381" s="8" t="s">
        <v>120</v>
      </c>
    </row>
    <row r="2382" customFormat="false" ht="15" hidden="false" customHeight="false" outlineLevel="0" collapsed="false">
      <c r="A2382" s="8" t="s">
        <v>2958</v>
      </c>
      <c r="B2382" s="8" t="s">
        <v>2959</v>
      </c>
      <c r="C2382" s="8" t="s">
        <v>8674</v>
      </c>
      <c r="D2382" s="8" t="s">
        <v>117</v>
      </c>
      <c r="E2382" s="8" t="s">
        <v>51</v>
      </c>
      <c r="F2382" s="8" t="s">
        <v>2027</v>
      </c>
      <c r="G2382" s="8" t="s">
        <v>133</v>
      </c>
      <c r="H2382" s="8" t="s">
        <v>8670</v>
      </c>
      <c r="I2382" s="8" t="s">
        <v>9794</v>
      </c>
      <c r="J2382" s="8" t="s">
        <v>137</v>
      </c>
      <c r="K2382" s="8" t="s">
        <v>8664</v>
      </c>
      <c r="L2382" s="8"/>
      <c r="M2382" s="8"/>
      <c r="N2382" s="8" t="n">
        <v>12</v>
      </c>
      <c r="O2382" s="8" t="n">
        <v>34</v>
      </c>
      <c r="P2382" s="8" t="s">
        <v>120</v>
      </c>
    </row>
    <row r="2383" customFormat="false" ht="15" hidden="false" customHeight="false" outlineLevel="0" collapsed="false">
      <c r="A2383" s="8" t="s">
        <v>3194</v>
      </c>
      <c r="B2383" s="8" t="s">
        <v>3195</v>
      </c>
      <c r="C2383" s="8" t="s">
        <v>8688</v>
      </c>
      <c r="D2383" s="8" t="s">
        <v>132</v>
      </c>
      <c r="E2383" s="8" t="s">
        <v>51</v>
      </c>
      <c r="F2383" s="8" t="s">
        <v>2027</v>
      </c>
      <c r="G2383" s="8" t="s">
        <v>118</v>
      </c>
      <c r="H2383" s="8" t="s">
        <v>8675</v>
      </c>
      <c r="I2383" s="8" t="s">
        <v>9807</v>
      </c>
      <c r="J2383" s="8" t="s">
        <v>177</v>
      </c>
      <c r="K2383" s="8" t="s">
        <v>8664</v>
      </c>
      <c r="L2383" s="8"/>
      <c r="M2383" s="8"/>
      <c r="N2383" s="8" t="n">
        <v>12</v>
      </c>
      <c r="O2383" s="8" t="n">
        <v>22</v>
      </c>
      <c r="P2383" s="8" t="s">
        <v>120</v>
      </c>
    </row>
    <row r="2384" customFormat="false" ht="15" hidden="false" customHeight="false" outlineLevel="0" collapsed="false">
      <c r="A2384" s="8" t="s">
        <v>1865</v>
      </c>
      <c r="B2384" s="8" t="s">
        <v>1866</v>
      </c>
      <c r="C2384" s="8" t="s">
        <v>8678</v>
      </c>
      <c r="D2384" s="8" t="s">
        <v>117</v>
      </c>
      <c r="E2384" s="8" t="s">
        <v>51</v>
      </c>
      <c r="F2384" s="8" t="s">
        <v>326</v>
      </c>
      <c r="G2384" s="8" t="s">
        <v>151</v>
      </c>
      <c r="H2384" s="8" t="s">
        <v>8675</v>
      </c>
      <c r="I2384" s="8" t="s">
        <v>9994</v>
      </c>
      <c r="J2384" s="8" t="s">
        <v>180</v>
      </c>
      <c r="K2384" s="8" t="s">
        <v>8664</v>
      </c>
      <c r="L2384" s="8"/>
      <c r="M2384" s="8"/>
      <c r="N2384" s="8" t="n">
        <v>25</v>
      </c>
      <c r="O2384" s="8" t="n">
        <v>33</v>
      </c>
      <c r="P2384" s="8" t="s">
        <v>120</v>
      </c>
    </row>
    <row r="2385" customFormat="false" ht="15" hidden="false" customHeight="false" outlineLevel="0" collapsed="false">
      <c r="A2385" s="8" t="s">
        <v>903</v>
      </c>
      <c r="B2385" s="8" t="s">
        <v>904</v>
      </c>
      <c r="C2385" s="8" t="s">
        <v>8661</v>
      </c>
      <c r="D2385" s="8" t="s">
        <v>123</v>
      </c>
      <c r="E2385" s="8" t="s">
        <v>53</v>
      </c>
      <c r="F2385" s="8" t="s">
        <v>55</v>
      </c>
      <c r="G2385" s="8" t="s">
        <v>190</v>
      </c>
      <c r="H2385" s="8" t="s">
        <v>8675</v>
      </c>
      <c r="I2385" s="8" t="s">
        <v>9785</v>
      </c>
      <c r="J2385" s="8" t="s">
        <v>129</v>
      </c>
      <c r="K2385" s="8" t="s">
        <v>8664</v>
      </c>
      <c r="L2385" s="8"/>
      <c r="M2385" s="8"/>
      <c r="N2385" s="8" t="n">
        <v>45</v>
      </c>
      <c r="O2385" s="8" t="n">
        <v>131</v>
      </c>
      <c r="P2385" s="8" t="s">
        <v>120</v>
      </c>
    </row>
    <row r="2386" customFormat="false" ht="15" hidden="false" customHeight="false" outlineLevel="0" collapsed="false">
      <c r="A2386" s="8" t="s">
        <v>8005</v>
      </c>
      <c r="B2386" s="8" t="s">
        <v>10384</v>
      </c>
      <c r="C2386" s="8" t="s">
        <v>8674</v>
      </c>
      <c r="D2386" s="8" t="s">
        <v>123</v>
      </c>
      <c r="E2386" s="8" t="s">
        <v>53</v>
      </c>
      <c r="F2386" s="8" t="s">
        <v>55</v>
      </c>
      <c r="G2386" s="8" t="s">
        <v>143</v>
      </c>
      <c r="H2386" s="8" t="s">
        <v>8670</v>
      </c>
      <c r="I2386" s="8" t="s">
        <v>8850</v>
      </c>
      <c r="J2386" s="8"/>
      <c r="K2386" s="8" t="s">
        <v>8690</v>
      </c>
      <c r="L2386" s="8" t="s">
        <v>10385</v>
      </c>
      <c r="M2386" s="8" t="s">
        <v>8692</v>
      </c>
      <c r="N2386" s="8" t="n">
        <v>45</v>
      </c>
      <c r="O2386" s="8" t="n">
        <v>107</v>
      </c>
      <c r="P2386" s="8" t="s">
        <v>148</v>
      </c>
    </row>
    <row r="2387" customFormat="false" ht="15" hidden="false" customHeight="false" outlineLevel="0" collapsed="false">
      <c r="A2387" s="8" t="s">
        <v>3690</v>
      </c>
      <c r="B2387" s="8" t="s">
        <v>3691</v>
      </c>
      <c r="C2387" s="8" t="s">
        <v>8700</v>
      </c>
      <c r="D2387" s="8" t="s">
        <v>128</v>
      </c>
      <c r="E2387" s="8" t="s">
        <v>51</v>
      </c>
      <c r="F2387" s="8" t="s">
        <v>2027</v>
      </c>
      <c r="G2387" s="8" t="s">
        <v>124</v>
      </c>
      <c r="H2387" s="8" t="s">
        <v>8662</v>
      </c>
      <c r="I2387" s="8" t="s">
        <v>9493</v>
      </c>
      <c r="J2387" s="8" t="s">
        <v>144</v>
      </c>
      <c r="K2387" s="8" t="s">
        <v>8664</v>
      </c>
      <c r="L2387" s="8"/>
      <c r="M2387" s="8"/>
      <c r="N2387" s="8" t="n">
        <v>12</v>
      </c>
      <c r="O2387" s="8" t="n">
        <v>24</v>
      </c>
      <c r="P2387" s="8" t="s">
        <v>148</v>
      </c>
    </row>
    <row r="2388" customFormat="false" ht="15" hidden="false" customHeight="false" outlineLevel="0" collapsed="false">
      <c r="A2388" s="8" t="s">
        <v>6036</v>
      </c>
      <c r="B2388" s="8" t="s">
        <v>10386</v>
      </c>
      <c r="C2388" s="8" t="s">
        <v>8700</v>
      </c>
      <c r="D2388" s="8" t="s">
        <v>128</v>
      </c>
      <c r="E2388" s="8" t="s">
        <v>51</v>
      </c>
      <c r="F2388" s="8" t="s">
        <v>2027</v>
      </c>
      <c r="G2388" s="8" t="s">
        <v>118</v>
      </c>
      <c r="H2388" s="8" t="s">
        <v>8662</v>
      </c>
      <c r="I2388" s="8" t="s">
        <v>9639</v>
      </c>
      <c r="J2388" s="8"/>
      <c r="K2388" s="8" t="s">
        <v>8690</v>
      </c>
      <c r="L2388" s="8" t="s">
        <v>9564</v>
      </c>
      <c r="M2388" s="8" t="s">
        <v>8705</v>
      </c>
      <c r="N2388" s="8" t="n">
        <v>12</v>
      </c>
      <c r="O2388" s="8" t="n">
        <v>14</v>
      </c>
      <c r="P2388" s="8" t="s">
        <v>148</v>
      </c>
    </row>
    <row r="2389" customFormat="false" ht="15" hidden="false" customHeight="false" outlineLevel="0" collapsed="false">
      <c r="A2389" s="8" t="s">
        <v>2628</v>
      </c>
      <c r="B2389" s="8" t="s">
        <v>2629</v>
      </c>
      <c r="C2389" s="8" t="s">
        <v>8661</v>
      </c>
      <c r="D2389" s="8" t="s">
        <v>132</v>
      </c>
      <c r="E2389" s="8" t="s">
        <v>51</v>
      </c>
      <c r="F2389" s="8" t="s">
        <v>2027</v>
      </c>
      <c r="G2389" s="8" t="s">
        <v>133</v>
      </c>
      <c r="H2389" s="8" t="s">
        <v>8675</v>
      </c>
      <c r="I2389" s="8" t="s">
        <v>9143</v>
      </c>
      <c r="J2389" s="8" t="s">
        <v>204</v>
      </c>
      <c r="K2389" s="8" t="s">
        <v>8664</v>
      </c>
      <c r="L2389" s="8"/>
      <c r="M2389" s="8"/>
      <c r="N2389" s="8" t="n">
        <v>12</v>
      </c>
      <c r="O2389" s="8" t="n">
        <v>36</v>
      </c>
      <c r="P2389" s="8" t="s">
        <v>120</v>
      </c>
    </row>
    <row r="2390" customFormat="false" ht="15" hidden="false" customHeight="false" outlineLevel="0" collapsed="false">
      <c r="A2390" s="8" t="s">
        <v>1551</v>
      </c>
      <c r="B2390" s="8" t="s">
        <v>1552</v>
      </c>
      <c r="C2390" s="8" t="s">
        <v>8700</v>
      </c>
      <c r="D2390" s="8" t="s">
        <v>123</v>
      </c>
      <c r="E2390" s="8" t="s">
        <v>53</v>
      </c>
      <c r="F2390" s="8" t="s">
        <v>326</v>
      </c>
      <c r="G2390" s="8" t="s">
        <v>166</v>
      </c>
      <c r="H2390" s="8" t="s">
        <v>8662</v>
      </c>
      <c r="I2390" s="8" t="s">
        <v>8783</v>
      </c>
      <c r="J2390" s="8" t="s">
        <v>119</v>
      </c>
      <c r="K2390" s="8" t="s">
        <v>8664</v>
      </c>
      <c r="L2390" s="8"/>
      <c r="M2390" s="8"/>
      <c r="N2390" s="8" t="n">
        <v>25</v>
      </c>
      <c r="O2390" s="8" t="n">
        <v>62</v>
      </c>
      <c r="P2390" s="8" t="s">
        <v>120</v>
      </c>
    </row>
    <row r="2391" customFormat="false" ht="15" hidden="false" customHeight="false" outlineLevel="0" collapsed="false">
      <c r="A2391" s="8" t="s">
        <v>2304</v>
      </c>
      <c r="B2391" s="8" t="s">
        <v>2305</v>
      </c>
      <c r="C2391" s="8" t="s">
        <v>8669</v>
      </c>
      <c r="D2391" s="8" t="s">
        <v>123</v>
      </c>
      <c r="E2391" s="8" t="s">
        <v>51</v>
      </c>
      <c r="F2391" s="8" t="s">
        <v>326</v>
      </c>
      <c r="G2391" s="8" t="s">
        <v>151</v>
      </c>
      <c r="H2391" s="8" t="s">
        <v>8675</v>
      </c>
      <c r="I2391" s="8" t="s">
        <v>9626</v>
      </c>
      <c r="J2391" s="8" t="s">
        <v>125</v>
      </c>
      <c r="K2391" s="8" t="s">
        <v>8664</v>
      </c>
      <c r="L2391" s="8"/>
      <c r="M2391" s="8"/>
      <c r="N2391" s="8" t="n">
        <v>25</v>
      </c>
      <c r="O2391" s="8" t="n">
        <v>25</v>
      </c>
      <c r="P2391" s="8" t="s">
        <v>120</v>
      </c>
    </row>
    <row r="2392" customFormat="false" ht="15" hidden="false" customHeight="false" outlineLevel="0" collapsed="false">
      <c r="A2392" s="8" t="s">
        <v>152</v>
      </c>
      <c r="B2392" s="8" t="s">
        <v>153</v>
      </c>
      <c r="C2392" s="8" t="s">
        <v>8665</v>
      </c>
      <c r="D2392" s="8" t="s">
        <v>132</v>
      </c>
      <c r="E2392" s="8" t="s">
        <v>55</v>
      </c>
      <c r="F2392" s="8" t="s">
        <v>55</v>
      </c>
      <c r="G2392" s="8" t="s">
        <v>154</v>
      </c>
      <c r="H2392" s="8" t="s">
        <v>8666</v>
      </c>
      <c r="I2392" s="8" t="s">
        <v>9370</v>
      </c>
      <c r="J2392" s="8" t="s">
        <v>140</v>
      </c>
      <c r="K2392" s="8" t="s">
        <v>8664</v>
      </c>
      <c r="L2392" s="8"/>
      <c r="M2392" s="8"/>
      <c r="N2392" s="8" t="n">
        <v>45</v>
      </c>
      <c r="O2392" s="8" t="n">
        <v>537</v>
      </c>
      <c r="P2392" s="8" t="s">
        <v>120</v>
      </c>
    </row>
    <row r="2393" customFormat="false" ht="15" hidden="false" customHeight="false" outlineLevel="0" collapsed="false">
      <c r="A2393" s="8" t="s">
        <v>1087</v>
      </c>
      <c r="B2393" s="8" t="s">
        <v>1088</v>
      </c>
      <c r="C2393" s="8" t="s">
        <v>8674</v>
      </c>
      <c r="D2393" s="8" t="s">
        <v>132</v>
      </c>
      <c r="E2393" s="8" t="s">
        <v>53</v>
      </c>
      <c r="F2393" s="8" t="s">
        <v>326</v>
      </c>
      <c r="G2393" s="8" t="s">
        <v>133</v>
      </c>
      <c r="H2393" s="8" t="s">
        <v>8666</v>
      </c>
      <c r="I2393" s="8" t="s">
        <v>8834</v>
      </c>
      <c r="J2393" s="8" t="s">
        <v>159</v>
      </c>
      <c r="K2393" s="8" t="s">
        <v>8664</v>
      </c>
      <c r="L2393" s="8"/>
      <c r="M2393" s="8"/>
      <c r="N2393" s="8" t="n">
        <v>25</v>
      </c>
      <c r="O2393" s="8" t="n">
        <v>176</v>
      </c>
      <c r="P2393" s="8" t="s">
        <v>120</v>
      </c>
    </row>
    <row r="2394" customFormat="false" ht="15" hidden="false" customHeight="false" outlineLevel="0" collapsed="false">
      <c r="A2394" s="8" t="s">
        <v>1663</v>
      </c>
      <c r="B2394" s="8" t="s">
        <v>1664</v>
      </c>
      <c r="C2394" s="8" t="s">
        <v>8665</v>
      </c>
      <c r="D2394" s="8" t="s">
        <v>132</v>
      </c>
      <c r="E2394" s="8" t="s">
        <v>53</v>
      </c>
      <c r="F2394" s="8" t="s">
        <v>326</v>
      </c>
      <c r="G2394" s="8" t="s">
        <v>190</v>
      </c>
      <c r="H2394" s="8" t="s">
        <v>8670</v>
      </c>
      <c r="I2394" s="8" t="s">
        <v>10047</v>
      </c>
      <c r="J2394" s="8" t="s">
        <v>159</v>
      </c>
      <c r="K2394" s="8" t="s">
        <v>8664</v>
      </c>
      <c r="L2394" s="8"/>
      <c r="M2394" s="8"/>
      <c r="N2394" s="8" t="n">
        <v>25</v>
      </c>
      <c r="O2394" s="8" t="n">
        <v>45</v>
      </c>
      <c r="P2394" s="8" t="s">
        <v>120</v>
      </c>
    </row>
    <row r="2395" customFormat="false" ht="15" hidden="false" customHeight="false" outlineLevel="0" collapsed="false">
      <c r="A2395" s="8" t="s">
        <v>3850</v>
      </c>
      <c r="B2395" s="8" t="s">
        <v>3851</v>
      </c>
      <c r="C2395" s="8" t="s">
        <v>8680</v>
      </c>
      <c r="D2395" s="8" t="s">
        <v>117</v>
      </c>
      <c r="E2395" s="8" t="s">
        <v>51</v>
      </c>
      <c r="F2395" s="8" t="s">
        <v>326</v>
      </c>
      <c r="G2395" s="8" t="s">
        <v>136</v>
      </c>
      <c r="H2395" s="8" t="s">
        <v>8666</v>
      </c>
      <c r="I2395" s="8" t="s">
        <v>10315</v>
      </c>
      <c r="J2395" s="8" t="s">
        <v>180</v>
      </c>
      <c r="K2395" s="8" t="s">
        <v>8664</v>
      </c>
      <c r="L2395" s="8"/>
      <c r="M2395" s="8"/>
      <c r="N2395" s="8" t="n">
        <v>25</v>
      </c>
      <c r="O2395" s="8" t="n">
        <v>5</v>
      </c>
      <c r="P2395" s="8" t="s">
        <v>120</v>
      </c>
    </row>
    <row r="2396" customFormat="false" ht="15" hidden="false" customHeight="false" outlineLevel="0" collapsed="false">
      <c r="A2396" s="8" t="s">
        <v>397</v>
      </c>
      <c r="B2396" s="8" t="s">
        <v>398</v>
      </c>
      <c r="C2396" s="8" t="s">
        <v>8674</v>
      </c>
      <c r="D2396" s="8" t="s">
        <v>123</v>
      </c>
      <c r="E2396" s="8" t="s">
        <v>55</v>
      </c>
      <c r="F2396" s="8" t="s">
        <v>326</v>
      </c>
      <c r="G2396" s="8" t="s">
        <v>143</v>
      </c>
      <c r="H2396" s="8" t="s">
        <v>8670</v>
      </c>
      <c r="I2396" s="8" t="s">
        <v>9898</v>
      </c>
      <c r="J2396" s="8" t="s">
        <v>204</v>
      </c>
      <c r="K2396" s="8" t="s">
        <v>8664</v>
      </c>
      <c r="L2396" s="8"/>
      <c r="M2396" s="8"/>
      <c r="N2396" s="8" t="n">
        <v>25</v>
      </c>
      <c r="O2396" s="8" t="n">
        <v>544</v>
      </c>
      <c r="P2396" s="8" t="s">
        <v>148</v>
      </c>
    </row>
    <row r="2397" customFormat="false" ht="15" hidden="false" customHeight="false" outlineLevel="0" collapsed="false">
      <c r="A2397" s="8" t="s">
        <v>3896</v>
      </c>
      <c r="B2397" s="8" t="s">
        <v>3897</v>
      </c>
      <c r="C2397" s="8" t="s">
        <v>8669</v>
      </c>
      <c r="D2397" s="8" t="s">
        <v>123</v>
      </c>
      <c r="E2397" s="8" t="s">
        <v>51</v>
      </c>
      <c r="F2397" s="8" t="s">
        <v>2027</v>
      </c>
      <c r="G2397" s="8" t="s">
        <v>190</v>
      </c>
      <c r="H2397" s="8" t="s">
        <v>8662</v>
      </c>
      <c r="I2397" s="8" t="s">
        <v>9376</v>
      </c>
      <c r="J2397" s="8" t="s">
        <v>177</v>
      </c>
      <c r="K2397" s="8" t="s">
        <v>8664</v>
      </c>
      <c r="L2397" s="8"/>
      <c r="M2397" s="8"/>
      <c r="N2397" s="8" t="n">
        <v>12</v>
      </c>
      <c r="O2397" s="8" t="n">
        <v>18</v>
      </c>
      <c r="P2397" s="8" t="s">
        <v>120</v>
      </c>
    </row>
    <row r="2398" customFormat="false" ht="15" hidden="false" customHeight="false" outlineLevel="0" collapsed="false">
      <c r="A2398" s="8" t="s">
        <v>2186</v>
      </c>
      <c r="B2398" s="8" t="s">
        <v>2187</v>
      </c>
      <c r="C2398" s="8" t="s">
        <v>8688</v>
      </c>
      <c r="D2398" s="8" t="s">
        <v>132</v>
      </c>
      <c r="E2398" s="8" t="s">
        <v>51</v>
      </c>
      <c r="F2398" s="8" t="s">
        <v>326</v>
      </c>
      <c r="G2398" s="8" t="s">
        <v>133</v>
      </c>
      <c r="H2398" s="8" t="s">
        <v>8666</v>
      </c>
      <c r="I2398" s="8" t="s">
        <v>9107</v>
      </c>
      <c r="J2398" s="8" t="s">
        <v>177</v>
      </c>
      <c r="K2398" s="8" t="s">
        <v>8664</v>
      </c>
      <c r="L2398" s="8"/>
      <c r="M2398" s="8"/>
      <c r="N2398" s="8" t="n">
        <v>25</v>
      </c>
      <c r="O2398" s="8" t="n">
        <v>25</v>
      </c>
      <c r="P2398" s="8" t="s">
        <v>120</v>
      </c>
    </row>
    <row r="2399" customFormat="false" ht="15" hidden="false" customHeight="false" outlineLevel="0" collapsed="false">
      <c r="A2399" s="8" t="s">
        <v>316</v>
      </c>
      <c r="B2399" s="8" t="s">
        <v>317</v>
      </c>
      <c r="C2399" s="8" t="s">
        <v>8680</v>
      </c>
      <c r="D2399" s="8" t="s">
        <v>123</v>
      </c>
      <c r="E2399" s="8" t="s">
        <v>55</v>
      </c>
      <c r="F2399" s="8" t="s">
        <v>55</v>
      </c>
      <c r="G2399" s="8" t="s">
        <v>136</v>
      </c>
      <c r="H2399" s="8" t="s">
        <v>8666</v>
      </c>
      <c r="I2399" s="8" t="s">
        <v>9271</v>
      </c>
      <c r="J2399" s="8" t="s">
        <v>185</v>
      </c>
      <c r="K2399" s="8" t="s">
        <v>8664</v>
      </c>
      <c r="L2399" s="8"/>
      <c r="M2399" s="8"/>
      <c r="N2399" s="8" t="n">
        <v>45</v>
      </c>
      <c r="O2399" s="8" t="n">
        <v>290</v>
      </c>
      <c r="P2399" s="8" t="s">
        <v>120</v>
      </c>
    </row>
    <row r="2400" customFormat="false" ht="15" hidden="false" customHeight="false" outlineLevel="0" collapsed="false">
      <c r="A2400" s="8" t="s">
        <v>433</v>
      </c>
      <c r="B2400" s="8" t="s">
        <v>434</v>
      </c>
      <c r="C2400" s="8" t="s">
        <v>8688</v>
      </c>
      <c r="D2400" s="8" t="s">
        <v>123</v>
      </c>
      <c r="E2400" s="8" t="s">
        <v>55</v>
      </c>
      <c r="F2400" s="8" t="s">
        <v>326</v>
      </c>
      <c r="G2400" s="8" t="s">
        <v>136</v>
      </c>
      <c r="H2400" s="8" t="s">
        <v>8666</v>
      </c>
      <c r="I2400" s="8" t="s">
        <v>8955</v>
      </c>
      <c r="J2400" s="8" t="s">
        <v>144</v>
      </c>
      <c r="K2400" s="8" t="s">
        <v>8664</v>
      </c>
      <c r="L2400" s="8"/>
      <c r="M2400" s="8"/>
      <c r="N2400" s="8" t="n">
        <v>25</v>
      </c>
      <c r="O2400" s="8" t="n">
        <v>367</v>
      </c>
      <c r="P2400" s="8" t="s">
        <v>120</v>
      </c>
    </row>
    <row r="2401" customFormat="false" ht="15" hidden="false" customHeight="false" outlineLevel="0" collapsed="false">
      <c r="A2401" s="8" t="s">
        <v>365</v>
      </c>
      <c r="B2401" s="8" t="s">
        <v>366</v>
      </c>
      <c r="C2401" s="8" t="s">
        <v>8678</v>
      </c>
      <c r="D2401" s="8" t="s">
        <v>132</v>
      </c>
      <c r="E2401" s="8" t="s">
        <v>55</v>
      </c>
      <c r="F2401" s="8" t="s">
        <v>326</v>
      </c>
      <c r="G2401" s="8" t="s">
        <v>133</v>
      </c>
      <c r="H2401" s="8" t="s">
        <v>8675</v>
      </c>
      <c r="I2401" s="8" t="s">
        <v>10200</v>
      </c>
      <c r="J2401" s="8" t="s">
        <v>180</v>
      </c>
      <c r="K2401" s="8" t="s">
        <v>8664</v>
      </c>
      <c r="L2401" s="8"/>
      <c r="M2401" s="8"/>
      <c r="N2401" s="8" t="n">
        <v>25</v>
      </c>
      <c r="O2401" s="8" t="n">
        <v>579</v>
      </c>
      <c r="P2401" s="8" t="s">
        <v>199</v>
      </c>
    </row>
    <row r="2402" customFormat="false" ht="15" hidden="false" customHeight="false" outlineLevel="0" collapsed="false">
      <c r="A2402" s="8" t="s">
        <v>10387</v>
      </c>
      <c r="B2402" s="8" t="s">
        <v>10388</v>
      </c>
      <c r="C2402" s="8" t="s">
        <v>8678</v>
      </c>
      <c r="D2402" s="8" t="s">
        <v>132</v>
      </c>
      <c r="E2402" s="8" t="s">
        <v>53</v>
      </c>
      <c r="F2402" s="8" t="s">
        <v>326</v>
      </c>
      <c r="G2402" s="8" t="s">
        <v>223</v>
      </c>
      <c r="H2402" s="8" t="s">
        <v>8670</v>
      </c>
      <c r="I2402" s="8" t="s">
        <v>8739</v>
      </c>
      <c r="J2402" s="8"/>
      <c r="K2402" s="8" t="s">
        <v>8690</v>
      </c>
      <c r="L2402" s="8" t="s">
        <v>8918</v>
      </c>
      <c r="M2402" s="8" t="s">
        <v>8705</v>
      </c>
      <c r="N2402" s="8" t="n">
        <v>25</v>
      </c>
      <c r="O2402" s="8" t="n">
        <v>167</v>
      </c>
      <c r="P2402" s="8" t="s">
        <v>120</v>
      </c>
    </row>
    <row r="2403" customFormat="false" ht="15" hidden="false" customHeight="false" outlineLevel="0" collapsed="false">
      <c r="A2403" s="8" t="s">
        <v>10389</v>
      </c>
      <c r="B2403" s="8" t="s">
        <v>10390</v>
      </c>
      <c r="C2403" s="8" t="s">
        <v>8665</v>
      </c>
      <c r="D2403" s="8" t="s">
        <v>123</v>
      </c>
      <c r="E2403" s="8" t="s">
        <v>51</v>
      </c>
      <c r="F2403" s="8" t="s">
        <v>2027</v>
      </c>
      <c r="G2403" s="8" t="s">
        <v>190</v>
      </c>
      <c r="H2403" s="8" t="s">
        <v>8666</v>
      </c>
      <c r="I2403" s="8" t="s">
        <v>9837</v>
      </c>
      <c r="J2403" s="8"/>
      <c r="K2403" s="8" t="s">
        <v>8690</v>
      </c>
      <c r="L2403" s="8" t="s">
        <v>10216</v>
      </c>
      <c r="M2403" s="8" t="s">
        <v>8696</v>
      </c>
      <c r="N2403" s="8" t="n">
        <v>12</v>
      </c>
      <c r="O2403" s="8" t="n">
        <v>8</v>
      </c>
      <c r="P2403" s="8" t="s">
        <v>120</v>
      </c>
    </row>
    <row r="2404" customFormat="false" ht="15" hidden="false" customHeight="false" outlineLevel="0" collapsed="false">
      <c r="A2404" s="8" t="s">
        <v>3950</v>
      </c>
      <c r="B2404" s="8" t="s">
        <v>3951</v>
      </c>
      <c r="C2404" s="8" t="s">
        <v>8678</v>
      </c>
      <c r="D2404" s="8" t="s">
        <v>132</v>
      </c>
      <c r="E2404" s="8" t="s">
        <v>51</v>
      </c>
      <c r="F2404" s="8" t="s">
        <v>2027</v>
      </c>
      <c r="G2404" s="8" t="s">
        <v>143</v>
      </c>
      <c r="H2404" s="8" t="s">
        <v>8662</v>
      </c>
      <c r="I2404" s="8" t="s">
        <v>10391</v>
      </c>
      <c r="J2404" s="8" t="s">
        <v>119</v>
      </c>
      <c r="K2404" s="8" t="s">
        <v>8664</v>
      </c>
      <c r="L2404" s="8"/>
      <c r="M2404" s="8"/>
      <c r="N2404" s="8" t="n">
        <v>12</v>
      </c>
      <c r="O2404" s="8" t="n">
        <v>13</v>
      </c>
      <c r="P2404" s="8" t="s">
        <v>120</v>
      </c>
    </row>
    <row r="2405" customFormat="false" ht="15" hidden="false" customHeight="false" outlineLevel="0" collapsed="false">
      <c r="A2405" s="8" t="s">
        <v>4519</v>
      </c>
      <c r="B2405" s="8" t="s">
        <v>10392</v>
      </c>
      <c r="C2405" s="8" t="s">
        <v>8665</v>
      </c>
      <c r="D2405" s="8" t="s">
        <v>132</v>
      </c>
      <c r="E2405" s="8" t="s">
        <v>51</v>
      </c>
      <c r="F2405" s="8" t="s">
        <v>2027</v>
      </c>
      <c r="G2405" s="8" t="s">
        <v>118</v>
      </c>
      <c r="H2405" s="8" t="s">
        <v>8675</v>
      </c>
      <c r="I2405" s="8" t="s">
        <v>9617</v>
      </c>
      <c r="J2405" s="8"/>
      <c r="K2405" s="8" t="s">
        <v>8690</v>
      </c>
      <c r="L2405" s="8" t="s">
        <v>9714</v>
      </c>
      <c r="M2405" s="8" t="s">
        <v>8692</v>
      </c>
      <c r="N2405" s="8" t="n">
        <v>12</v>
      </c>
      <c r="O2405" s="8" t="n">
        <v>33</v>
      </c>
      <c r="P2405" s="8" t="s">
        <v>120</v>
      </c>
    </row>
    <row r="2406" customFormat="false" ht="15" hidden="false" customHeight="false" outlineLevel="0" collapsed="false">
      <c r="A2406" s="8" t="s">
        <v>1153</v>
      </c>
      <c r="B2406" s="8" t="s">
        <v>1154</v>
      </c>
      <c r="C2406" s="8" t="s">
        <v>8674</v>
      </c>
      <c r="D2406" s="8" t="s">
        <v>117</v>
      </c>
      <c r="E2406" s="8" t="s">
        <v>53</v>
      </c>
      <c r="F2406" s="8" t="s">
        <v>326</v>
      </c>
      <c r="G2406" s="8" t="s">
        <v>166</v>
      </c>
      <c r="H2406" s="8" t="s">
        <v>8662</v>
      </c>
      <c r="I2406" s="8" t="s">
        <v>10393</v>
      </c>
      <c r="J2406" s="8" t="s">
        <v>125</v>
      </c>
      <c r="K2406" s="8" t="s">
        <v>8664</v>
      </c>
      <c r="L2406" s="8"/>
      <c r="M2406" s="8"/>
      <c r="N2406" s="8" t="n">
        <v>25</v>
      </c>
      <c r="O2406" s="8" t="n">
        <v>157</v>
      </c>
      <c r="P2406" s="8" t="s">
        <v>120</v>
      </c>
    </row>
    <row r="2407" customFormat="false" ht="15" hidden="false" customHeight="false" outlineLevel="0" collapsed="false">
      <c r="A2407" s="8" t="s">
        <v>3246</v>
      </c>
      <c r="B2407" s="8" t="s">
        <v>3247</v>
      </c>
      <c r="C2407" s="8" t="s">
        <v>8680</v>
      </c>
      <c r="D2407" s="8" t="s">
        <v>123</v>
      </c>
      <c r="E2407" s="8" t="s">
        <v>51</v>
      </c>
      <c r="F2407" s="8" t="s">
        <v>2027</v>
      </c>
      <c r="G2407" s="8" t="s">
        <v>154</v>
      </c>
      <c r="H2407" s="8" t="s">
        <v>8675</v>
      </c>
      <c r="I2407" s="8" t="s">
        <v>9311</v>
      </c>
      <c r="J2407" s="8" t="s">
        <v>140</v>
      </c>
      <c r="K2407" s="8" t="s">
        <v>8664</v>
      </c>
      <c r="L2407" s="8"/>
      <c r="M2407" s="8"/>
      <c r="N2407" s="8" t="n">
        <v>12</v>
      </c>
      <c r="O2407" s="8" t="n">
        <v>21</v>
      </c>
      <c r="P2407" s="8" t="s">
        <v>148</v>
      </c>
    </row>
    <row r="2408" customFormat="false" ht="15" hidden="false" customHeight="false" outlineLevel="0" collapsed="false">
      <c r="A2408" s="8" t="s">
        <v>2778</v>
      </c>
      <c r="B2408" s="8" t="s">
        <v>2779</v>
      </c>
      <c r="C2408" s="8" t="s">
        <v>8700</v>
      </c>
      <c r="D2408" s="8" t="s">
        <v>117</v>
      </c>
      <c r="E2408" s="8" t="s">
        <v>51</v>
      </c>
      <c r="F2408" s="8" t="s">
        <v>2027</v>
      </c>
      <c r="G2408" s="8" t="s">
        <v>154</v>
      </c>
      <c r="H2408" s="8" t="s">
        <v>8662</v>
      </c>
      <c r="I2408" s="8" t="s">
        <v>8971</v>
      </c>
      <c r="J2408" s="8" t="s">
        <v>125</v>
      </c>
      <c r="K2408" s="8" t="s">
        <v>8664</v>
      </c>
      <c r="L2408" s="8"/>
      <c r="M2408" s="8"/>
      <c r="N2408" s="8" t="n">
        <v>12</v>
      </c>
      <c r="O2408" s="8" t="n">
        <v>34</v>
      </c>
      <c r="P2408" s="8" t="s">
        <v>120</v>
      </c>
    </row>
    <row r="2409" customFormat="false" ht="15" hidden="false" customHeight="false" outlineLevel="0" collapsed="false">
      <c r="A2409" s="8" t="s">
        <v>1055</v>
      </c>
      <c r="B2409" s="8" t="s">
        <v>1056</v>
      </c>
      <c r="C2409" s="8" t="s">
        <v>8661</v>
      </c>
      <c r="D2409" s="8" t="s">
        <v>123</v>
      </c>
      <c r="E2409" s="8" t="s">
        <v>53</v>
      </c>
      <c r="F2409" s="8" t="s">
        <v>55</v>
      </c>
      <c r="G2409" s="8" t="s">
        <v>143</v>
      </c>
      <c r="H2409" s="8" t="s">
        <v>8670</v>
      </c>
      <c r="I2409" s="8" t="s">
        <v>9356</v>
      </c>
      <c r="J2409" s="8" t="s">
        <v>147</v>
      </c>
      <c r="K2409" s="8" t="s">
        <v>8664</v>
      </c>
      <c r="L2409" s="8"/>
      <c r="M2409" s="8"/>
      <c r="N2409" s="8" t="n">
        <v>45</v>
      </c>
      <c r="O2409" s="8" t="n">
        <v>87</v>
      </c>
      <c r="P2409" s="8" t="s">
        <v>148</v>
      </c>
    </row>
    <row r="2410" customFormat="false" ht="15" hidden="false" customHeight="false" outlineLevel="0" collapsed="false">
      <c r="A2410" s="8" t="s">
        <v>10394</v>
      </c>
      <c r="B2410" s="8" t="s">
        <v>10395</v>
      </c>
      <c r="C2410" s="8" t="s">
        <v>8680</v>
      </c>
      <c r="D2410" s="8" t="s">
        <v>123</v>
      </c>
      <c r="E2410" s="8" t="s">
        <v>51</v>
      </c>
      <c r="F2410" s="8" t="s">
        <v>2027</v>
      </c>
      <c r="G2410" s="8" t="s">
        <v>223</v>
      </c>
      <c r="H2410" s="8" t="s">
        <v>8675</v>
      </c>
      <c r="I2410" s="8" t="s">
        <v>9335</v>
      </c>
      <c r="J2410" s="8"/>
      <c r="K2410" s="8" t="s">
        <v>8690</v>
      </c>
      <c r="L2410" s="8" t="s">
        <v>9323</v>
      </c>
      <c r="M2410" s="8" t="s">
        <v>8795</v>
      </c>
      <c r="N2410" s="8" t="n">
        <v>12</v>
      </c>
      <c r="O2410" s="8" t="n">
        <v>36</v>
      </c>
      <c r="P2410" s="8" t="s">
        <v>120</v>
      </c>
    </row>
    <row r="2411" customFormat="false" ht="15" hidden="false" customHeight="false" outlineLevel="0" collapsed="false">
      <c r="A2411" s="8" t="s">
        <v>2306</v>
      </c>
      <c r="B2411" s="8" t="s">
        <v>2307</v>
      </c>
      <c r="C2411" s="8" t="s">
        <v>8674</v>
      </c>
      <c r="D2411" s="8" t="s">
        <v>128</v>
      </c>
      <c r="E2411" s="8" t="s">
        <v>51</v>
      </c>
      <c r="F2411" s="8" t="s">
        <v>326</v>
      </c>
      <c r="G2411" s="8" t="s">
        <v>133</v>
      </c>
      <c r="H2411" s="8" t="s">
        <v>8670</v>
      </c>
      <c r="I2411" s="8" t="s">
        <v>8897</v>
      </c>
      <c r="J2411" s="8" t="s">
        <v>129</v>
      </c>
      <c r="K2411" s="8" t="s">
        <v>8664</v>
      </c>
      <c r="L2411" s="8"/>
      <c r="M2411" s="8"/>
      <c r="N2411" s="8" t="n">
        <v>25</v>
      </c>
      <c r="O2411" s="8" t="n">
        <v>13</v>
      </c>
      <c r="P2411" s="8" t="s">
        <v>120</v>
      </c>
    </row>
    <row r="2412" customFormat="false" ht="15" hidden="false" customHeight="false" outlineLevel="0" collapsed="false">
      <c r="A2412" s="8" t="s">
        <v>4485</v>
      </c>
      <c r="B2412" s="8" t="s">
        <v>10396</v>
      </c>
      <c r="C2412" s="8" t="s">
        <v>8680</v>
      </c>
      <c r="D2412" s="8" t="s">
        <v>123</v>
      </c>
      <c r="E2412" s="8" t="s">
        <v>51</v>
      </c>
      <c r="F2412" s="8" t="s">
        <v>326</v>
      </c>
      <c r="G2412" s="8" t="s">
        <v>124</v>
      </c>
      <c r="H2412" s="8" t="s">
        <v>8675</v>
      </c>
      <c r="I2412" s="8" t="s">
        <v>8745</v>
      </c>
      <c r="J2412" s="8"/>
      <c r="K2412" s="8" t="s">
        <v>8690</v>
      </c>
      <c r="L2412" s="8" t="s">
        <v>10351</v>
      </c>
      <c r="M2412" s="8" t="s">
        <v>8795</v>
      </c>
      <c r="N2412" s="8" t="n">
        <v>25</v>
      </c>
      <c r="O2412" s="8" t="n">
        <v>29</v>
      </c>
      <c r="P2412" s="8" t="s">
        <v>120</v>
      </c>
    </row>
    <row r="2413" customFormat="false" ht="15" hidden="false" customHeight="false" outlineLevel="0" collapsed="false">
      <c r="A2413" s="8" t="s">
        <v>4410</v>
      </c>
      <c r="B2413" s="8" t="s">
        <v>10397</v>
      </c>
      <c r="C2413" s="8" t="s">
        <v>8674</v>
      </c>
      <c r="D2413" s="8" t="s">
        <v>123</v>
      </c>
      <c r="E2413" s="8" t="s">
        <v>55</v>
      </c>
      <c r="F2413" s="8" t="s">
        <v>326</v>
      </c>
      <c r="G2413" s="8" t="s">
        <v>166</v>
      </c>
      <c r="H2413" s="8" t="s">
        <v>8670</v>
      </c>
      <c r="I2413" s="8" t="s">
        <v>8845</v>
      </c>
      <c r="J2413" s="8"/>
      <c r="K2413" s="8" t="s">
        <v>8690</v>
      </c>
      <c r="L2413" s="8" t="s">
        <v>9848</v>
      </c>
      <c r="M2413" s="8" t="s">
        <v>8696</v>
      </c>
      <c r="N2413" s="8" t="n">
        <v>25</v>
      </c>
      <c r="O2413" s="8" t="n">
        <v>515</v>
      </c>
      <c r="P2413" s="8" t="s">
        <v>120</v>
      </c>
    </row>
    <row r="2414" customFormat="false" ht="15" hidden="false" customHeight="false" outlineLevel="0" collapsed="false">
      <c r="A2414" s="8" t="s">
        <v>685</v>
      </c>
      <c r="B2414" s="8" t="s">
        <v>686</v>
      </c>
      <c r="C2414" s="8" t="s">
        <v>8700</v>
      </c>
      <c r="D2414" s="8" t="s">
        <v>132</v>
      </c>
      <c r="E2414" s="8" t="s">
        <v>53</v>
      </c>
      <c r="F2414" s="8" t="s">
        <v>326</v>
      </c>
      <c r="G2414" s="8" t="s">
        <v>166</v>
      </c>
      <c r="H2414" s="8" t="s">
        <v>8675</v>
      </c>
      <c r="I2414" s="8" t="s">
        <v>8996</v>
      </c>
      <c r="J2414" s="8" t="s">
        <v>125</v>
      </c>
      <c r="K2414" s="8" t="s">
        <v>8664</v>
      </c>
      <c r="L2414" s="8"/>
      <c r="M2414" s="8"/>
      <c r="N2414" s="8" t="n">
        <v>25</v>
      </c>
      <c r="O2414" s="8" t="n">
        <v>196</v>
      </c>
      <c r="P2414" s="8" t="s">
        <v>120</v>
      </c>
    </row>
    <row r="2415" customFormat="false" ht="15" hidden="false" customHeight="false" outlineLevel="0" collapsed="false">
      <c r="A2415" s="8" t="s">
        <v>2888</v>
      </c>
      <c r="B2415" s="8" t="s">
        <v>2889</v>
      </c>
      <c r="C2415" s="8" t="s">
        <v>8680</v>
      </c>
      <c r="D2415" s="8" t="s">
        <v>123</v>
      </c>
      <c r="E2415" s="8" t="s">
        <v>51</v>
      </c>
      <c r="F2415" s="8" t="s">
        <v>2027</v>
      </c>
      <c r="G2415" s="8" t="s">
        <v>133</v>
      </c>
      <c r="H2415" s="8" t="s">
        <v>8675</v>
      </c>
      <c r="I2415" s="8" t="s">
        <v>9146</v>
      </c>
      <c r="J2415" s="8" t="s">
        <v>185</v>
      </c>
      <c r="K2415" s="8" t="s">
        <v>8664</v>
      </c>
      <c r="L2415" s="8"/>
      <c r="M2415" s="8"/>
      <c r="N2415" s="8" t="n">
        <v>12</v>
      </c>
      <c r="O2415" s="8" t="n">
        <v>32</v>
      </c>
      <c r="P2415" s="8" t="s">
        <v>120</v>
      </c>
    </row>
    <row r="2416" customFormat="false" ht="15" hidden="false" customHeight="false" outlineLevel="0" collapsed="false">
      <c r="A2416" s="8" t="s">
        <v>4473</v>
      </c>
      <c r="B2416" s="8" t="s">
        <v>10398</v>
      </c>
      <c r="C2416" s="8" t="s">
        <v>8661</v>
      </c>
      <c r="D2416" s="8" t="s">
        <v>123</v>
      </c>
      <c r="E2416" s="8" t="s">
        <v>53</v>
      </c>
      <c r="F2416" s="8" t="s">
        <v>326</v>
      </c>
      <c r="G2416" s="8" t="s">
        <v>133</v>
      </c>
      <c r="H2416" s="8" t="s">
        <v>8662</v>
      </c>
      <c r="I2416" s="8" t="s">
        <v>9235</v>
      </c>
      <c r="J2416" s="8"/>
      <c r="K2416" s="8" t="s">
        <v>8690</v>
      </c>
      <c r="L2416" s="8" t="s">
        <v>8743</v>
      </c>
      <c r="M2416" s="8" t="s">
        <v>8692</v>
      </c>
      <c r="N2416" s="8" t="n">
        <v>25</v>
      </c>
      <c r="O2416" s="8" t="n">
        <v>63</v>
      </c>
      <c r="P2416" s="8" t="s">
        <v>120</v>
      </c>
    </row>
    <row r="2417" customFormat="false" ht="15" hidden="false" customHeight="false" outlineLevel="0" collapsed="false">
      <c r="A2417" s="8" t="s">
        <v>3248</v>
      </c>
      <c r="B2417" s="8" t="s">
        <v>3249</v>
      </c>
      <c r="C2417" s="8" t="s">
        <v>8669</v>
      </c>
      <c r="D2417" s="8" t="s">
        <v>123</v>
      </c>
      <c r="E2417" s="8" t="s">
        <v>51</v>
      </c>
      <c r="F2417" s="8" t="s">
        <v>2027</v>
      </c>
      <c r="G2417" s="8" t="s">
        <v>133</v>
      </c>
      <c r="H2417" s="8" t="s">
        <v>8670</v>
      </c>
      <c r="I2417" s="8" t="s">
        <v>9181</v>
      </c>
      <c r="J2417" s="8" t="s">
        <v>180</v>
      </c>
      <c r="K2417" s="8" t="s">
        <v>8664</v>
      </c>
      <c r="L2417" s="8"/>
      <c r="M2417" s="8"/>
      <c r="N2417" s="8" t="n">
        <v>12</v>
      </c>
      <c r="O2417" s="8" t="n">
        <v>26</v>
      </c>
      <c r="P2417" s="8" t="s">
        <v>120</v>
      </c>
    </row>
    <row r="2418" customFormat="false" ht="15" hidden="false" customHeight="false" outlineLevel="0" collapsed="false">
      <c r="A2418" s="8" t="s">
        <v>290</v>
      </c>
      <c r="B2418" s="8" t="s">
        <v>291</v>
      </c>
      <c r="C2418" s="8" t="s">
        <v>8674</v>
      </c>
      <c r="D2418" s="8" t="s">
        <v>132</v>
      </c>
      <c r="E2418" s="8" t="s">
        <v>55</v>
      </c>
      <c r="F2418" s="8" t="s">
        <v>55</v>
      </c>
      <c r="G2418" s="8" t="s">
        <v>151</v>
      </c>
      <c r="H2418" s="8" t="s">
        <v>8675</v>
      </c>
      <c r="I2418" s="8" t="s">
        <v>8765</v>
      </c>
      <c r="J2418" s="8" t="s">
        <v>137</v>
      </c>
      <c r="K2418" s="8" t="s">
        <v>8664</v>
      </c>
      <c r="L2418" s="8"/>
      <c r="M2418" s="8"/>
      <c r="N2418" s="8" t="n">
        <v>45</v>
      </c>
      <c r="O2418" s="8" t="n">
        <v>434</v>
      </c>
      <c r="P2418" s="8" t="s">
        <v>120</v>
      </c>
    </row>
    <row r="2419" customFormat="false" ht="15" hidden="false" customHeight="false" outlineLevel="0" collapsed="false">
      <c r="A2419" s="8" t="s">
        <v>4466</v>
      </c>
      <c r="B2419" s="8" t="s">
        <v>10399</v>
      </c>
      <c r="C2419" s="8" t="s">
        <v>8674</v>
      </c>
      <c r="D2419" s="8" t="s">
        <v>132</v>
      </c>
      <c r="E2419" s="8" t="s">
        <v>53</v>
      </c>
      <c r="F2419" s="8" t="s">
        <v>326</v>
      </c>
      <c r="G2419" s="8" t="s">
        <v>166</v>
      </c>
      <c r="H2419" s="8" t="s">
        <v>8666</v>
      </c>
      <c r="I2419" s="8" t="s">
        <v>9208</v>
      </c>
      <c r="J2419" s="8"/>
      <c r="K2419" s="8" t="s">
        <v>8690</v>
      </c>
      <c r="L2419" s="8" t="s">
        <v>10400</v>
      </c>
      <c r="M2419" s="8" t="s">
        <v>8692</v>
      </c>
      <c r="N2419" s="8" t="n">
        <v>25</v>
      </c>
      <c r="O2419" s="8" t="n">
        <v>95</v>
      </c>
      <c r="P2419" s="8" t="s">
        <v>120</v>
      </c>
    </row>
    <row r="2420" customFormat="false" ht="15" hidden="false" customHeight="false" outlineLevel="0" collapsed="false">
      <c r="A2420" s="8" t="s">
        <v>10401</v>
      </c>
      <c r="B2420" s="8" t="s">
        <v>10402</v>
      </c>
      <c r="C2420" s="8" t="s">
        <v>8678</v>
      </c>
      <c r="D2420" s="8" t="s">
        <v>132</v>
      </c>
      <c r="E2420" s="8" t="s">
        <v>51</v>
      </c>
      <c r="F2420" s="8" t="s">
        <v>2027</v>
      </c>
      <c r="G2420" s="8" t="s">
        <v>223</v>
      </c>
      <c r="H2420" s="8" t="s">
        <v>8662</v>
      </c>
      <c r="I2420" s="8" t="s">
        <v>10062</v>
      </c>
      <c r="J2420" s="8"/>
      <c r="K2420" s="8" t="s">
        <v>8690</v>
      </c>
      <c r="L2420" s="8" t="s">
        <v>10403</v>
      </c>
      <c r="M2420" s="8" t="s">
        <v>8795</v>
      </c>
      <c r="N2420" s="8" t="n">
        <v>12</v>
      </c>
      <c r="O2420" s="8" t="n">
        <v>30</v>
      </c>
      <c r="P2420" s="8" t="s">
        <v>120</v>
      </c>
    </row>
    <row r="2421" customFormat="false" ht="15" hidden="false" customHeight="false" outlineLevel="0" collapsed="false">
      <c r="A2421" s="8" t="s">
        <v>157</v>
      </c>
      <c r="B2421" s="8" t="s">
        <v>158</v>
      </c>
      <c r="C2421" s="8" t="s">
        <v>8674</v>
      </c>
      <c r="D2421" s="8" t="s">
        <v>123</v>
      </c>
      <c r="E2421" s="8" t="s">
        <v>55</v>
      </c>
      <c r="F2421" s="8" t="s">
        <v>55</v>
      </c>
      <c r="G2421" s="8" t="s">
        <v>136</v>
      </c>
      <c r="H2421" s="8" t="s">
        <v>8666</v>
      </c>
      <c r="I2421" s="8" t="s">
        <v>9170</v>
      </c>
      <c r="J2421" s="8" t="s">
        <v>159</v>
      </c>
      <c r="K2421" s="8" t="s">
        <v>8664</v>
      </c>
      <c r="L2421" s="8"/>
      <c r="M2421" s="8"/>
      <c r="N2421" s="8" t="n">
        <v>45</v>
      </c>
      <c r="O2421" s="8" t="n">
        <v>536</v>
      </c>
      <c r="P2421" s="8" t="s">
        <v>120</v>
      </c>
    </row>
    <row r="2422" customFormat="false" ht="15" hidden="false" customHeight="false" outlineLevel="0" collapsed="false">
      <c r="A2422" s="8" t="s">
        <v>2142</v>
      </c>
      <c r="B2422" s="8" t="s">
        <v>2143</v>
      </c>
      <c r="C2422" s="8" t="s">
        <v>8665</v>
      </c>
      <c r="D2422" s="8" t="s">
        <v>123</v>
      </c>
      <c r="E2422" s="8" t="s">
        <v>51</v>
      </c>
      <c r="F2422" s="8" t="s">
        <v>326</v>
      </c>
      <c r="G2422" s="8" t="s">
        <v>133</v>
      </c>
      <c r="H2422" s="8" t="s">
        <v>8670</v>
      </c>
      <c r="I2422" s="8" t="s">
        <v>8831</v>
      </c>
      <c r="J2422" s="8" t="s">
        <v>147</v>
      </c>
      <c r="K2422" s="8" t="s">
        <v>8664</v>
      </c>
      <c r="L2422" s="8"/>
      <c r="M2422" s="8"/>
      <c r="N2422" s="8" t="n">
        <v>25</v>
      </c>
      <c r="O2422" s="8" t="n">
        <v>27</v>
      </c>
      <c r="P2422" s="8" t="s">
        <v>120</v>
      </c>
    </row>
    <row r="2423" customFormat="false" ht="15" hidden="false" customHeight="false" outlineLevel="0" collapsed="false">
      <c r="A2423" s="8" t="s">
        <v>4298</v>
      </c>
      <c r="B2423" s="8" t="s">
        <v>4299</v>
      </c>
      <c r="C2423" s="8" t="s">
        <v>8688</v>
      </c>
      <c r="D2423" s="8" t="s">
        <v>132</v>
      </c>
      <c r="E2423" s="8" t="s">
        <v>51</v>
      </c>
      <c r="F2423" s="8" t="s">
        <v>2027</v>
      </c>
      <c r="G2423" s="8" t="s">
        <v>223</v>
      </c>
      <c r="H2423" s="8" t="s">
        <v>8670</v>
      </c>
      <c r="I2423" s="8" t="s">
        <v>9656</v>
      </c>
      <c r="J2423" s="8" t="s">
        <v>177</v>
      </c>
      <c r="K2423" s="8" t="s">
        <v>8664</v>
      </c>
      <c r="L2423" s="8"/>
      <c r="M2423" s="8"/>
      <c r="N2423" s="8" t="n">
        <v>12</v>
      </c>
      <c r="O2423" s="8" t="n">
        <v>10</v>
      </c>
      <c r="P2423" s="8" t="s">
        <v>120</v>
      </c>
    </row>
    <row r="2424" customFormat="false" ht="15" hidden="false" customHeight="false" outlineLevel="0" collapsed="false">
      <c r="A2424" s="8" t="s">
        <v>10404</v>
      </c>
      <c r="B2424" s="8" t="s">
        <v>10405</v>
      </c>
      <c r="C2424" s="8" t="s">
        <v>8665</v>
      </c>
      <c r="D2424" s="8" t="s">
        <v>132</v>
      </c>
      <c r="E2424" s="8" t="s">
        <v>51</v>
      </c>
      <c r="F2424" s="8" t="s">
        <v>2027</v>
      </c>
      <c r="G2424" s="8" t="s">
        <v>223</v>
      </c>
      <c r="H2424" s="8" t="s">
        <v>8670</v>
      </c>
      <c r="I2424" s="8" t="s">
        <v>9353</v>
      </c>
      <c r="J2424" s="8"/>
      <c r="K2424" s="8" t="s">
        <v>8690</v>
      </c>
      <c r="L2424" s="8" t="s">
        <v>10307</v>
      </c>
      <c r="M2424" s="8" t="s">
        <v>8692</v>
      </c>
      <c r="N2424" s="8" t="n">
        <v>12</v>
      </c>
      <c r="O2424" s="8" t="n">
        <v>36</v>
      </c>
      <c r="P2424" s="8" t="s">
        <v>120</v>
      </c>
    </row>
    <row r="2425" customFormat="false" ht="15" hidden="false" customHeight="false" outlineLevel="0" collapsed="false">
      <c r="A2425" s="8" t="s">
        <v>7491</v>
      </c>
      <c r="B2425" s="8" t="s">
        <v>10406</v>
      </c>
      <c r="C2425" s="8" t="s">
        <v>8678</v>
      </c>
      <c r="D2425" s="8" t="s">
        <v>128</v>
      </c>
      <c r="E2425" s="8" t="s">
        <v>51</v>
      </c>
      <c r="F2425" s="8" t="s">
        <v>326</v>
      </c>
      <c r="G2425" s="8" t="s">
        <v>154</v>
      </c>
      <c r="H2425" s="8" t="s">
        <v>8670</v>
      </c>
      <c r="I2425" s="8" t="s">
        <v>9250</v>
      </c>
      <c r="J2425" s="8"/>
      <c r="K2425" s="8" t="s">
        <v>8690</v>
      </c>
      <c r="L2425" s="8" t="s">
        <v>10407</v>
      </c>
      <c r="M2425" s="8" t="s">
        <v>8692</v>
      </c>
      <c r="N2425" s="8" t="n">
        <v>25</v>
      </c>
      <c r="O2425" s="8" t="n">
        <v>21</v>
      </c>
      <c r="P2425" s="8" t="s">
        <v>120</v>
      </c>
    </row>
    <row r="2426" customFormat="false" ht="15" hidden="false" customHeight="false" outlineLevel="0" collapsed="false">
      <c r="A2426" s="8" t="s">
        <v>10408</v>
      </c>
      <c r="B2426" s="8" t="s">
        <v>10409</v>
      </c>
      <c r="C2426" s="8" t="s">
        <v>8700</v>
      </c>
      <c r="D2426" s="8" t="s">
        <v>117</v>
      </c>
      <c r="E2426" s="8" t="s">
        <v>53</v>
      </c>
      <c r="F2426" s="8" t="s">
        <v>326</v>
      </c>
      <c r="G2426" s="8" t="s">
        <v>124</v>
      </c>
      <c r="H2426" s="8" t="s">
        <v>8670</v>
      </c>
      <c r="I2426" s="8" t="s">
        <v>9798</v>
      </c>
      <c r="J2426" s="8"/>
      <c r="K2426" s="8" t="s">
        <v>8690</v>
      </c>
      <c r="L2426" s="8" t="s">
        <v>9337</v>
      </c>
      <c r="M2426" s="8" t="s">
        <v>8721</v>
      </c>
      <c r="N2426" s="8" t="n">
        <v>25</v>
      </c>
      <c r="O2426" s="8" t="n">
        <v>92</v>
      </c>
      <c r="P2426" s="8" t="s">
        <v>148</v>
      </c>
    </row>
    <row r="2427" customFormat="false" ht="15" hidden="false" customHeight="false" outlineLevel="0" collapsed="false">
      <c r="A2427" s="8" t="s">
        <v>134</v>
      </c>
      <c r="B2427" s="8" t="s">
        <v>135</v>
      </c>
      <c r="C2427" s="8" t="s">
        <v>8678</v>
      </c>
      <c r="D2427" s="8" t="s">
        <v>117</v>
      </c>
      <c r="E2427" s="8" t="s">
        <v>55</v>
      </c>
      <c r="F2427" s="8" t="s">
        <v>55</v>
      </c>
      <c r="G2427" s="8" t="s">
        <v>136</v>
      </c>
      <c r="H2427" s="8" t="s">
        <v>8666</v>
      </c>
      <c r="I2427" s="8" t="s">
        <v>9846</v>
      </c>
      <c r="J2427" s="8" t="s">
        <v>137</v>
      </c>
      <c r="K2427" s="8" t="s">
        <v>8664</v>
      </c>
      <c r="L2427" s="8"/>
      <c r="M2427" s="8"/>
      <c r="N2427" s="8" t="n">
        <v>45</v>
      </c>
      <c r="O2427" s="8" t="n">
        <v>570</v>
      </c>
      <c r="P2427" s="8" t="s">
        <v>120</v>
      </c>
    </row>
    <row r="2428" customFormat="false" ht="15" hidden="false" customHeight="false" outlineLevel="0" collapsed="false">
      <c r="A2428" s="8" t="s">
        <v>288</v>
      </c>
      <c r="B2428" s="8" t="s">
        <v>289</v>
      </c>
      <c r="C2428" s="8" t="s">
        <v>8678</v>
      </c>
      <c r="D2428" s="8" t="s">
        <v>117</v>
      </c>
      <c r="E2428" s="8" t="s">
        <v>55</v>
      </c>
      <c r="F2428" s="8" t="s">
        <v>55</v>
      </c>
      <c r="G2428" s="8" t="s">
        <v>154</v>
      </c>
      <c r="H2428" s="8" t="s">
        <v>8662</v>
      </c>
      <c r="I2428" s="8" t="s">
        <v>9219</v>
      </c>
      <c r="J2428" s="8" t="s">
        <v>125</v>
      </c>
      <c r="K2428" s="8" t="s">
        <v>8664</v>
      </c>
      <c r="L2428" s="8"/>
      <c r="M2428" s="8"/>
      <c r="N2428" s="8" t="n">
        <v>45</v>
      </c>
      <c r="O2428" s="8" t="n">
        <v>439</v>
      </c>
      <c r="P2428" s="8" t="s">
        <v>148</v>
      </c>
    </row>
    <row r="2429" customFormat="false" ht="15" hidden="false" customHeight="false" outlineLevel="0" collapsed="false">
      <c r="A2429" s="8" t="s">
        <v>4531</v>
      </c>
      <c r="B2429" s="8" t="s">
        <v>10410</v>
      </c>
      <c r="C2429" s="8" t="s">
        <v>8680</v>
      </c>
      <c r="D2429" s="8" t="s">
        <v>123</v>
      </c>
      <c r="E2429" s="8" t="s">
        <v>51</v>
      </c>
      <c r="F2429" s="8" t="s">
        <v>2027</v>
      </c>
      <c r="G2429" s="8" t="s">
        <v>136</v>
      </c>
      <c r="H2429" s="8" t="s">
        <v>8670</v>
      </c>
      <c r="I2429" s="8" t="s">
        <v>10411</v>
      </c>
      <c r="J2429" s="8"/>
      <c r="K2429" s="8" t="s">
        <v>8690</v>
      </c>
      <c r="L2429" s="8" t="s">
        <v>10412</v>
      </c>
      <c r="M2429" s="8" t="s">
        <v>8721</v>
      </c>
      <c r="N2429" s="8" t="n">
        <v>12</v>
      </c>
      <c r="O2429" s="8" t="n">
        <v>28</v>
      </c>
      <c r="P2429" s="8" t="s">
        <v>120</v>
      </c>
    </row>
    <row r="2430" customFormat="false" ht="15" hidden="false" customHeight="false" outlineLevel="0" collapsed="false">
      <c r="A2430" s="8" t="s">
        <v>367</v>
      </c>
      <c r="B2430" s="8" t="s">
        <v>368</v>
      </c>
      <c r="C2430" s="8" t="s">
        <v>8688</v>
      </c>
      <c r="D2430" s="8" t="s">
        <v>132</v>
      </c>
      <c r="E2430" s="8" t="s">
        <v>55</v>
      </c>
      <c r="F2430" s="8" t="s">
        <v>326</v>
      </c>
      <c r="G2430" s="8" t="s">
        <v>151</v>
      </c>
      <c r="H2430" s="8" t="s">
        <v>8666</v>
      </c>
      <c r="I2430" s="8" t="s">
        <v>8671</v>
      </c>
      <c r="J2430" s="8" t="s">
        <v>159</v>
      </c>
      <c r="K2430" s="8" t="s">
        <v>8664</v>
      </c>
      <c r="L2430" s="8"/>
      <c r="M2430" s="8"/>
      <c r="N2430" s="8" t="n">
        <v>25</v>
      </c>
      <c r="O2430" s="8" t="n">
        <v>450</v>
      </c>
      <c r="P2430" s="8" t="s">
        <v>148</v>
      </c>
    </row>
    <row r="2431" customFormat="false" ht="15" hidden="false" customHeight="false" outlineLevel="0" collapsed="false">
      <c r="A2431" s="8" t="s">
        <v>3312</v>
      </c>
      <c r="B2431" s="8" t="s">
        <v>3313</v>
      </c>
      <c r="C2431" s="8" t="s">
        <v>8700</v>
      </c>
      <c r="D2431" s="8" t="s">
        <v>117</v>
      </c>
      <c r="E2431" s="8" t="s">
        <v>51</v>
      </c>
      <c r="F2431" s="8" t="s">
        <v>2027</v>
      </c>
      <c r="G2431" s="8" t="s">
        <v>223</v>
      </c>
      <c r="H2431" s="8" t="s">
        <v>8670</v>
      </c>
      <c r="I2431" s="8" t="s">
        <v>9070</v>
      </c>
      <c r="J2431" s="8" t="s">
        <v>147</v>
      </c>
      <c r="K2431" s="8" t="s">
        <v>8664</v>
      </c>
      <c r="L2431" s="8"/>
      <c r="M2431" s="8"/>
      <c r="N2431" s="8" t="n">
        <v>12</v>
      </c>
      <c r="O2431" s="8" t="n">
        <v>25</v>
      </c>
      <c r="P2431" s="8" t="s">
        <v>148</v>
      </c>
    </row>
    <row r="2432" customFormat="false" ht="15" hidden="false" customHeight="false" outlineLevel="0" collapsed="false">
      <c r="A2432" s="8" t="s">
        <v>1211</v>
      </c>
      <c r="B2432" s="8" t="s">
        <v>1212</v>
      </c>
      <c r="C2432" s="8" t="s">
        <v>8678</v>
      </c>
      <c r="D2432" s="8" t="s">
        <v>117</v>
      </c>
      <c r="E2432" s="8" t="s">
        <v>53</v>
      </c>
      <c r="F2432" s="8" t="s">
        <v>326</v>
      </c>
      <c r="G2432" s="8" t="s">
        <v>190</v>
      </c>
      <c r="H2432" s="8" t="s">
        <v>8666</v>
      </c>
      <c r="I2432" s="8" t="s">
        <v>8749</v>
      </c>
      <c r="J2432" s="8" t="s">
        <v>204</v>
      </c>
      <c r="K2432" s="8" t="s">
        <v>8664</v>
      </c>
      <c r="L2432" s="8"/>
      <c r="M2432" s="8"/>
      <c r="N2432" s="8" t="n">
        <v>25</v>
      </c>
      <c r="O2432" s="8" t="n">
        <v>112</v>
      </c>
      <c r="P2432" s="8" t="s">
        <v>120</v>
      </c>
    </row>
    <row r="2433" customFormat="false" ht="15" hidden="false" customHeight="false" outlineLevel="0" collapsed="false">
      <c r="A2433" s="8" t="s">
        <v>4462</v>
      </c>
      <c r="B2433" s="8" t="s">
        <v>10413</v>
      </c>
      <c r="C2433" s="8" t="s">
        <v>8665</v>
      </c>
      <c r="D2433" s="8" t="s">
        <v>132</v>
      </c>
      <c r="E2433" s="8" t="s">
        <v>53</v>
      </c>
      <c r="F2433" s="8" t="s">
        <v>326</v>
      </c>
      <c r="G2433" s="8" t="s">
        <v>223</v>
      </c>
      <c r="H2433" s="8" t="s">
        <v>8670</v>
      </c>
      <c r="I2433" s="8" t="s">
        <v>9039</v>
      </c>
      <c r="J2433" s="8"/>
      <c r="K2433" s="8" t="s">
        <v>8690</v>
      </c>
      <c r="L2433" s="8" t="s">
        <v>8860</v>
      </c>
      <c r="M2433" s="8" t="s">
        <v>8692</v>
      </c>
      <c r="N2433" s="8" t="n">
        <v>25</v>
      </c>
      <c r="O2433" s="8" t="n">
        <v>102</v>
      </c>
      <c r="P2433" s="8" t="s">
        <v>148</v>
      </c>
    </row>
    <row r="2434" customFormat="false" ht="15" hidden="false" customHeight="false" outlineLevel="0" collapsed="false">
      <c r="A2434" s="8" t="s">
        <v>4256</v>
      </c>
      <c r="B2434" s="8" t="s">
        <v>4257</v>
      </c>
      <c r="C2434" s="8" t="s">
        <v>8680</v>
      </c>
      <c r="D2434" s="8" t="s">
        <v>123</v>
      </c>
      <c r="E2434" s="8" t="s">
        <v>51</v>
      </c>
      <c r="F2434" s="8" t="s">
        <v>2027</v>
      </c>
      <c r="G2434" s="8" t="s">
        <v>223</v>
      </c>
      <c r="H2434" s="8" t="s">
        <v>8662</v>
      </c>
      <c r="I2434" s="8" t="s">
        <v>8815</v>
      </c>
      <c r="J2434" s="8" t="s">
        <v>140</v>
      </c>
      <c r="K2434" s="8" t="s">
        <v>8664</v>
      </c>
      <c r="L2434" s="8"/>
      <c r="M2434" s="8"/>
      <c r="N2434" s="8" t="n">
        <v>12</v>
      </c>
      <c r="O2434" s="8" t="n">
        <v>8</v>
      </c>
      <c r="P2434" s="8" t="s">
        <v>120</v>
      </c>
    </row>
    <row r="2435" customFormat="false" ht="15" hidden="false" customHeight="false" outlineLevel="0" collapsed="false">
      <c r="A2435" s="8" t="s">
        <v>2722</v>
      </c>
      <c r="B2435" s="8" t="s">
        <v>2723</v>
      </c>
      <c r="C2435" s="8" t="s">
        <v>8700</v>
      </c>
      <c r="D2435" s="8" t="s">
        <v>132</v>
      </c>
      <c r="E2435" s="8" t="s">
        <v>51</v>
      </c>
      <c r="F2435" s="8" t="s">
        <v>2027</v>
      </c>
      <c r="G2435" s="8" t="s">
        <v>166</v>
      </c>
      <c r="H2435" s="8" t="s">
        <v>8662</v>
      </c>
      <c r="I2435" s="8" t="s">
        <v>9574</v>
      </c>
      <c r="J2435" s="8" t="s">
        <v>159</v>
      </c>
      <c r="K2435" s="8" t="s">
        <v>8664</v>
      </c>
      <c r="L2435" s="8"/>
      <c r="M2435" s="8"/>
      <c r="N2435" s="8" t="n">
        <v>12</v>
      </c>
      <c r="O2435" s="8" t="n">
        <v>35</v>
      </c>
      <c r="P2435" s="8" t="s">
        <v>120</v>
      </c>
    </row>
    <row r="2436" customFormat="false" ht="15" hidden="false" customHeight="false" outlineLevel="0" collapsed="false">
      <c r="A2436" s="8" t="s">
        <v>3458</v>
      </c>
      <c r="B2436" s="8" t="s">
        <v>3459</v>
      </c>
      <c r="C2436" s="8" t="s">
        <v>8678</v>
      </c>
      <c r="D2436" s="8" t="s">
        <v>123</v>
      </c>
      <c r="E2436" s="8" t="s">
        <v>51</v>
      </c>
      <c r="F2436" s="8" t="s">
        <v>326</v>
      </c>
      <c r="G2436" s="8" t="s">
        <v>166</v>
      </c>
      <c r="H2436" s="8" t="s">
        <v>8675</v>
      </c>
      <c r="I2436" s="8" t="s">
        <v>9597</v>
      </c>
      <c r="J2436" s="8" t="s">
        <v>144</v>
      </c>
      <c r="K2436" s="8" t="s">
        <v>8664</v>
      </c>
      <c r="L2436" s="8"/>
      <c r="M2436" s="8"/>
      <c r="N2436" s="8" t="n">
        <v>25</v>
      </c>
      <c r="O2436" s="8" t="n">
        <v>13</v>
      </c>
      <c r="P2436" s="8" t="s">
        <v>120</v>
      </c>
    </row>
    <row r="2437" customFormat="false" ht="15" hidden="false" customHeight="false" outlineLevel="0" collapsed="false">
      <c r="A2437" s="8" t="s">
        <v>4020</v>
      </c>
      <c r="B2437" s="8" t="s">
        <v>4021</v>
      </c>
      <c r="C2437" s="8" t="s">
        <v>8674</v>
      </c>
      <c r="D2437" s="8" t="s">
        <v>117</v>
      </c>
      <c r="E2437" s="8" t="s">
        <v>51</v>
      </c>
      <c r="F2437" s="8" t="s">
        <v>2027</v>
      </c>
      <c r="G2437" s="8" t="s">
        <v>143</v>
      </c>
      <c r="H2437" s="8" t="s">
        <v>8670</v>
      </c>
      <c r="I2437" s="8" t="s">
        <v>9662</v>
      </c>
      <c r="J2437" s="8" t="s">
        <v>204</v>
      </c>
      <c r="K2437" s="8" t="s">
        <v>8664</v>
      </c>
      <c r="L2437" s="8"/>
      <c r="M2437" s="8"/>
      <c r="N2437" s="8" t="n">
        <v>12</v>
      </c>
      <c r="O2437" s="8" t="n">
        <v>12</v>
      </c>
      <c r="P2437" s="8" t="s">
        <v>120</v>
      </c>
    </row>
    <row r="2438" customFormat="false" ht="15" hidden="false" customHeight="false" outlineLevel="0" collapsed="false">
      <c r="A2438" s="8" t="s">
        <v>461</v>
      </c>
      <c r="B2438" s="8" t="s">
        <v>462</v>
      </c>
      <c r="C2438" s="8" t="s">
        <v>8700</v>
      </c>
      <c r="D2438" s="8" t="s">
        <v>123</v>
      </c>
      <c r="E2438" s="8" t="s">
        <v>55</v>
      </c>
      <c r="F2438" s="8" t="s">
        <v>55</v>
      </c>
      <c r="G2438" s="8" t="s">
        <v>118</v>
      </c>
      <c r="H2438" s="8" t="s">
        <v>8670</v>
      </c>
      <c r="I2438" s="8" t="s">
        <v>10246</v>
      </c>
      <c r="J2438" s="8" t="s">
        <v>159</v>
      </c>
      <c r="K2438" s="8" t="s">
        <v>8664</v>
      </c>
      <c r="L2438" s="8"/>
      <c r="M2438" s="8"/>
      <c r="N2438" s="8" t="n">
        <v>45</v>
      </c>
      <c r="O2438" s="8" t="n">
        <v>257</v>
      </c>
      <c r="P2438" s="8" t="s">
        <v>120</v>
      </c>
    </row>
    <row r="2439" customFormat="false" ht="15" hidden="false" customHeight="false" outlineLevel="0" collapsed="false">
      <c r="A2439" s="8" t="s">
        <v>3380</v>
      </c>
      <c r="B2439" s="8" t="s">
        <v>3381</v>
      </c>
      <c r="C2439" s="8" t="s">
        <v>8665</v>
      </c>
      <c r="D2439" s="8" t="s">
        <v>123</v>
      </c>
      <c r="E2439" s="8" t="s">
        <v>51</v>
      </c>
      <c r="F2439" s="8" t="s">
        <v>2027</v>
      </c>
      <c r="G2439" s="8" t="s">
        <v>223</v>
      </c>
      <c r="H2439" s="8" t="s">
        <v>8675</v>
      </c>
      <c r="I2439" s="8" t="s">
        <v>8801</v>
      </c>
      <c r="J2439" s="8" t="s">
        <v>129</v>
      </c>
      <c r="K2439" s="8" t="s">
        <v>8664</v>
      </c>
      <c r="L2439" s="8"/>
      <c r="M2439" s="8"/>
      <c r="N2439" s="8" t="n">
        <v>12</v>
      </c>
      <c r="O2439" s="8" t="n">
        <v>24</v>
      </c>
      <c r="P2439" s="8" t="s">
        <v>120</v>
      </c>
    </row>
    <row r="2440" customFormat="false" ht="15" hidden="false" customHeight="false" outlineLevel="0" collapsed="false">
      <c r="A2440" s="8" t="s">
        <v>4492</v>
      </c>
      <c r="B2440" s="8" t="s">
        <v>10414</v>
      </c>
      <c r="C2440" s="8" t="s">
        <v>8688</v>
      </c>
      <c r="D2440" s="8" t="s">
        <v>117</v>
      </c>
      <c r="E2440" s="8" t="s">
        <v>51</v>
      </c>
      <c r="F2440" s="8" t="s">
        <v>2027</v>
      </c>
      <c r="G2440" s="8" t="s">
        <v>151</v>
      </c>
      <c r="H2440" s="8" t="s">
        <v>8666</v>
      </c>
      <c r="I2440" s="8" t="s">
        <v>10415</v>
      </c>
      <c r="J2440" s="8"/>
      <c r="K2440" s="8" t="s">
        <v>8690</v>
      </c>
      <c r="L2440" s="8" t="s">
        <v>9229</v>
      </c>
      <c r="M2440" s="8" t="s">
        <v>8696</v>
      </c>
      <c r="N2440" s="8" t="n">
        <v>12</v>
      </c>
      <c r="O2440" s="8" t="n">
        <v>39</v>
      </c>
      <c r="P2440" s="8" t="s">
        <v>120</v>
      </c>
    </row>
    <row r="2441" customFormat="false" ht="15" hidden="false" customHeight="false" outlineLevel="0" collapsed="false">
      <c r="A2441" s="8" t="s">
        <v>1405</v>
      </c>
      <c r="B2441" s="8" t="s">
        <v>1406</v>
      </c>
      <c r="C2441" s="8" t="s">
        <v>8669</v>
      </c>
      <c r="D2441" s="8" t="s">
        <v>123</v>
      </c>
      <c r="E2441" s="8" t="s">
        <v>53</v>
      </c>
      <c r="F2441" s="8" t="s">
        <v>326</v>
      </c>
      <c r="G2441" s="8" t="s">
        <v>133</v>
      </c>
      <c r="H2441" s="8" t="s">
        <v>8662</v>
      </c>
      <c r="I2441" s="8" t="s">
        <v>9738</v>
      </c>
      <c r="J2441" s="8" t="s">
        <v>159</v>
      </c>
      <c r="K2441" s="8" t="s">
        <v>8664</v>
      </c>
      <c r="L2441" s="8"/>
      <c r="M2441" s="8"/>
      <c r="N2441" s="8" t="n">
        <v>25</v>
      </c>
      <c r="O2441" s="8" t="n">
        <v>105</v>
      </c>
      <c r="P2441" s="8" t="s">
        <v>120</v>
      </c>
    </row>
    <row r="2442" customFormat="false" ht="15" hidden="false" customHeight="false" outlineLevel="0" collapsed="false">
      <c r="A2442" s="8" t="s">
        <v>1893</v>
      </c>
      <c r="B2442" s="8" t="s">
        <v>1894</v>
      </c>
      <c r="C2442" s="8" t="s">
        <v>8700</v>
      </c>
      <c r="D2442" s="8" t="s">
        <v>123</v>
      </c>
      <c r="E2442" s="8" t="s">
        <v>51</v>
      </c>
      <c r="F2442" s="8" t="s">
        <v>326</v>
      </c>
      <c r="G2442" s="8" t="s">
        <v>124</v>
      </c>
      <c r="H2442" s="8" t="s">
        <v>8670</v>
      </c>
      <c r="I2442" s="8" t="s">
        <v>10024</v>
      </c>
      <c r="J2442" s="8" t="s">
        <v>137</v>
      </c>
      <c r="K2442" s="8" t="s">
        <v>8664</v>
      </c>
      <c r="L2442" s="8"/>
      <c r="M2442" s="8"/>
      <c r="N2442" s="8" t="n">
        <v>25</v>
      </c>
      <c r="O2442" s="8" t="n">
        <v>37</v>
      </c>
      <c r="P2442" s="8" t="s">
        <v>120</v>
      </c>
    </row>
    <row r="2443" customFormat="false" ht="15" hidden="false" customHeight="false" outlineLevel="0" collapsed="false">
      <c r="A2443" s="8" t="s">
        <v>3122</v>
      </c>
      <c r="B2443" s="8" t="s">
        <v>3123</v>
      </c>
      <c r="C2443" s="8" t="s">
        <v>8688</v>
      </c>
      <c r="D2443" s="8" t="s">
        <v>123</v>
      </c>
      <c r="E2443" s="8" t="s">
        <v>51</v>
      </c>
      <c r="F2443" s="8" t="s">
        <v>2027</v>
      </c>
      <c r="G2443" s="8" t="s">
        <v>154</v>
      </c>
      <c r="H2443" s="8" t="s">
        <v>8662</v>
      </c>
      <c r="I2443" s="8" t="s">
        <v>10099</v>
      </c>
      <c r="J2443" s="8" t="s">
        <v>180</v>
      </c>
      <c r="K2443" s="8" t="s">
        <v>8664</v>
      </c>
      <c r="L2443" s="8"/>
      <c r="M2443" s="8"/>
      <c r="N2443" s="8" t="n">
        <v>12</v>
      </c>
      <c r="O2443" s="8" t="n">
        <v>35</v>
      </c>
      <c r="P2443" s="8" t="s">
        <v>148</v>
      </c>
    </row>
    <row r="2444" customFormat="false" ht="15" hidden="false" customHeight="false" outlineLevel="0" collapsed="false">
      <c r="A2444" s="8" t="s">
        <v>4022</v>
      </c>
      <c r="B2444" s="8" t="s">
        <v>4023</v>
      </c>
      <c r="C2444" s="8" t="s">
        <v>8674</v>
      </c>
      <c r="D2444" s="8" t="s">
        <v>132</v>
      </c>
      <c r="E2444" s="8" t="s">
        <v>51</v>
      </c>
      <c r="F2444" s="8" t="s">
        <v>2027</v>
      </c>
      <c r="G2444" s="8" t="s">
        <v>223</v>
      </c>
      <c r="H2444" s="8" t="s">
        <v>8666</v>
      </c>
      <c r="I2444" s="8" t="s">
        <v>9860</v>
      </c>
      <c r="J2444" s="8" t="s">
        <v>125</v>
      </c>
      <c r="K2444" s="8" t="s">
        <v>8664</v>
      </c>
      <c r="L2444" s="8"/>
      <c r="M2444" s="8"/>
      <c r="N2444" s="8" t="n">
        <v>12</v>
      </c>
      <c r="O2444" s="8" t="n">
        <v>12</v>
      </c>
      <c r="P2444" s="8" t="s">
        <v>120</v>
      </c>
    </row>
    <row r="2445" customFormat="false" ht="15" hidden="false" customHeight="false" outlineLevel="0" collapsed="false">
      <c r="A2445" s="8" t="s">
        <v>314</v>
      </c>
      <c r="B2445" s="8" t="s">
        <v>315</v>
      </c>
      <c r="C2445" s="8" t="s">
        <v>8661</v>
      </c>
      <c r="D2445" s="8" t="s">
        <v>123</v>
      </c>
      <c r="E2445" s="8" t="s">
        <v>55</v>
      </c>
      <c r="F2445" s="8" t="s">
        <v>55</v>
      </c>
      <c r="G2445" s="8" t="s">
        <v>133</v>
      </c>
      <c r="H2445" s="8" t="s">
        <v>8670</v>
      </c>
      <c r="I2445" s="8" t="s">
        <v>9662</v>
      </c>
      <c r="J2445" s="8" t="s">
        <v>204</v>
      </c>
      <c r="K2445" s="8" t="s">
        <v>8664</v>
      </c>
      <c r="L2445" s="8"/>
      <c r="M2445" s="8"/>
      <c r="N2445" s="8" t="n">
        <v>45</v>
      </c>
      <c r="O2445" s="8" t="n">
        <v>381</v>
      </c>
      <c r="P2445" s="8" t="s">
        <v>120</v>
      </c>
    </row>
    <row r="2446" customFormat="false" ht="15" hidden="false" customHeight="false" outlineLevel="0" collapsed="false">
      <c r="A2446" s="8" t="s">
        <v>3692</v>
      </c>
      <c r="B2446" s="8" t="s">
        <v>3693</v>
      </c>
      <c r="C2446" s="8" t="s">
        <v>8665</v>
      </c>
      <c r="D2446" s="8" t="s">
        <v>123</v>
      </c>
      <c r="E2446" s="8" t="s">
        <v>51</v>
      </c>
      <c r="F2446" s="8" t="s">
        <v>2027</v>
      </c>
      <c r="G2446" s="8" t="s">
        <v>223</v>
      </c>
      <c r="H2446" s="8" t="s">
        <v>8670</v>
      </c>
      <c r="I2446" s="8" t="s">
        <v>9050</v>
      </c>
      <c r="J2446" s="8" t="s">
        <v>180</v>
      </c>
      <c r="K2446" s="8" t="s">
        <v>8664</v>
      </c>
      <c r="L2446" s="8"/>
      <c r="M2446" s="8"/>
      <c r="N2446" s="8" t="n">
        <v>12</v>
      </c>
      <c r="O2446" s="8" t="n">
        <v>18</v>
      </c>
      <c r="P2446" s="8" t="s">
        <v>120</v>
      </c>
    </row>
    <row r="2447" customFormat="false" ht="15" hidden="false" customHeight="false" outlineLevel="0" collapsed="false">
      <c r="A2447" s="8" t="s">
        <v>1605</v>
      </c>
      <c r="B2447" s="8" t="s">
        <v>1606</v>
      </c>
      <c r="C2447" s="8" t="s">
        <v>8678</v>
      </c>
      <c r="D2447" s="8" t="s">
        <v>132</v>
      </c>
      <c r="E2447" s="8" t="s">
        <v>53</v>
      </c>
      <c r="F2447" s="8" t="s">
        <v>326</v>
      </c>
      <c r="G2447" s="8" t="s">
        <v>166</v>
      </c>
      <c r="H2447" s="8" t="s">
        <v>8670</v>
      </c>
      <c r="I2447" s="8" t="s">
        <v>10163</v>
      </c>
      <c r="J2447" s="8" t="s">
        <v>147</v>
      </c>
      <c r="K2447" s="8" t="s">
        <v>8664</v>
      </c>
      <c r="L2447" s="8"/>
      <c r="M2447" s="8"/>
      <c r="N2447" s="8" t="n">
        <v>25</v>
      </c>
      <c r="O2447" s="8" t="n">
        <v>72</v>
      </c>
      <c r="P2447" s="8" t="s">
        <v>120</v>
      </c>
    </row>
    <row r="2448" customFormat="false" ht="15" hidden="false" customHeight="false" outlineLevel="0" collapsed="false">
      <c r="A2448" s="8" t="s">
        <v>10416</v>
      </c>
      <c r="B2448" s="8" t="s">
        <v>10417</v>
      </c>
      <c r="C2448" s="8" t="s">
        <v>8680</v>
      </c>
      <c r="D2448" s="8" t="s">
        <v>128</v>
      </c>
      <c r="E2448" s="8" t="s">
        <v>51</v>
      </c>
      <c r="F2448" s="8" t="s">
        <v>2027</v>
      </c>
      <c r="G2448" s="8" t="s">
        <v>154</v>
      </c>
      <c r="H2448" s="8" t="s">
        <v>8675</v>
      </c>
      <c r="I2448" s="8" t="s">
        <v>9755</v>
      </c>
      <c r="J2448" s="8"/>
      <c r="K2448" s="8" t="s">
        <v>8690</v>
      </c>
      <c r="L2448" s="8" t="s">
        <v>9145</v>
      </c>
      <c r="M2448" s="8" t="s">
        <v>8696</v>
      </c>
      <c r="N2448" s="8" t="n">
        <v>12</v>
      </c>
      <c r="O2448" s="8" t="n">
        <v>24</v>
      </c>
      <c r="P2448" s="8" t="s">
        <v>120</v>
      </c>
    </row>
    <row r="2449" customFormat="false" ht="15" hidden="false" customHeight="false" outlineLevel="0" collapsed="false">
      <c r="A2449" s="8" t="s">
        <v>3020</v>
      </c>
      <c r="B2449" s="8" t="s">
        <v>3021</v>
      </c>
      <c r="C2449" s="8" t="s">
        <v>8688</v>
      </c>
      <c r="D2449" s="8" t="s">
        <v>123</v>
      </c>
      <c r="E2449" s="8" t="s">
        <v>51</v>
      </c>
      <c r="F2449" s="8" t="s">
        <v>2027</v>
      </c>
      <c r="G2449" s="8" t="s">
        <v>143</v>
      </c>
      <c r="H2449" s="8" t="s">
        <v>8662</v>
      </c>
      <c r="I2449" s="8" t="s">
        <v>10045</v>
      </c>
      <c r="J2449" s="8" t="s">
        <v>147</v>
      </c>
      <c r="K2449" s="8" t="s">
        <v>8664</v>
      </c>
      <c r="L2449" s="8"/>
      <c r="M2449" s="8"/>
      <c r="N2449" s="8" t="n">
        <v>12</v>
      </c>
      <c r="O2449" s="8" t="n">
        <v>30</v>
      </c>
      <c r="P2449" s="8" t="s">
        <v>120</v>
      </c>
    </row>
    <row r="2450" customFormat="false" ht="15" hidden="false" customHeight="false" outlineLevel="0" collapsed="false">
      <c r="A2450" s="8" t="s">
        <v>3314</v>
      </c>
      <c r="B2450" s="8" t="s">
        <v>3315</v>
      </c>
      <c r="C2450" s="8" t="s">
        <v>8674</v>
      </c>
      <c r="D2450" s="8" t="s">
        <v>123</v>
      </c>
      <c r="E2450" s="8" t="s">
        <v>51</v>
      </c>
      <c r="F2450" s="8" t="s">
        <v>326</v>
      </c>
      <c r="G2450" s="8" t="s">
        <v>136</v>
      </c>
      <c r="H2450" s="8" t="s">
        <v>8670</v>
      </c>
      <c r="I2450" s="8" t="s">
        <v>9962</v>
      </c>
      <c r="J2450" s="8" t="s">
        <v>119</v>
      </c>
      <c r="K2450" s="8" t="s">
        <v>8664</v>
      </c>
      <c r="L2450" s="8"/>
      <c r="M2450" s="8"/>
      <c r="N2450" s="8" t="n">
        <v>25</v>
      </c>
      <c r="O2450" s="8" t="n">
        <v>12</v>
      </c>
      <c r="P2450" s="8" t="s">
        <v>120</v>
      </c>
    </row>
    <row r="2451" customFormat="false" ht="15" hidden="false" customHeight="false" outlineLevel="0" collapsed="false">
      <c r="A2451" s="8" t="s">
        <v>2960</v>
      </c>
      <c r="B2451" s="8" t="s">
        <v>2961</v>
      </c>
      <c r="C2451" s="8" t="s">
        <v>8669</v>
      </c>
      <c r="D2451" s="8" t="s">
        <v>123</v>
      </c>
      <c r="E2451" s="8" t="s">
        <v>51</v>
      </c>
      <c r="F2451" s="8" t="s">
        <v>2027</v>
      </c>
      <c r="G2451" s="8" t="s">
        <v>190</v>
      </c>
      <c r="H2451" s="8" t="s">
        <v>8662</v>
      </c>
      <c r="I2451" s="8" t="s">
        <v>9624</v>
      </c>
      <c r="J2451" s="8" t="s">
        <v>185</v>
      </c>
      <c r="K2451" s="8" t="s">
        <v>8664</v>
      </c>
      <c r="L2451" s="8"/>
      <c r="M2451" s="8"/>
      <c r="N2451" s="8" t="n">
        <v>12</v>
      </c>
      <c r="O2451" s="8" t="n">
        <v>31</v>
      </c>
      <c r="P2451" s="8" t="s">
        <v>120</v>
      </c>
    </row>
    <row r="2452" customFormat="false" ht="15" hidden="false" customHeight="false" outlineLevel="0" collapsed="false">
      <c r="A2452" s="8" t="s">
        <v>2188</v>
      </c>
      <c r="B2452" s="8" t="s">
        <v>2189</v>
      </c>
      <c r="C2452" s="8" t="s">
        <v>8678</v>
      </c>
      <c r="D2452" s="8" t="s">
        <v>132</v>
      </c>
      <c r="E2452" s="8" t="s">
        <v>51</v>
      </c>
      <c r="F2452" s="8" t="s">
        <v>326</v>
      </c>
      <c r="G2452" s="8" t="s">
        <v>118</v>
      </c>
      <c r="H2452" s="8" t="s">
        <v>8670</v>
      </c>
      <c r="I2452" s="8" t="s">
        <v>9366</v>
      </c>
      <c r="J2452" s="8" t="s">
        <v>129</v>
      </c>
      <c r="K2452" s="8" t="s">
        <v>8664</v>
      </c>
      <c r="L2452" s="8"/>
      <c r="M2452" s="8"/>
      <c r="N2452" s="8" t="n">
        <v>25</v>
      </c>
      <c r="O2452" s="8" t="n">
        <v>25</v>
      </c>
      <c r="P2452" s="8" t="s">
        <v>120</v>
      </c>
    </row>
    <row r="2453" customFormat="false" ht="15" hidden="false" customHeight="false" outlineLevel="0" collapsed="false">
      <c r="A2453" s="8" t="s">
        <v>3622</v>
      </c>
      <c r="B2453" s="8" t="s">
        <v>3623</v>
      </c>
      <c r="C2453" s="8" t="s">
        <v>8688</v>
      </c>
      <c r="D2453" s="8" t="s">
        <v>132</v>
      </c>
      <c r="E2453" s="8" t="s">
        <v>51</v>
      </c>
      <c r="F2453" s="8" t="s">
        <v>2027</v>
      </c>
      <c r="G2453" s="8" t="s">
        <v>136</v>
      </c>
      <c r="H2453" s="8" t="s">
        <v>8675</v>
      </c>
      <c r="I2453" s="8" t="s">
        <v>9266</v>
      </c>
      <c r="J2453" s="8" t="s">
        <v>137</v>
      </c>
      <c r="K2453" s="8" t="s">
        <v>8664</v>
      </c>
      <c r="L2453" s="8"/>
      <c r="M2453" s="8"/>
      <c r="N2453" s="8" t="n">
        <v>12</v>
      </c>
      <c r="O2453" s="8" t="n">
        <v>19</v>
      </c>
      <c r="P2453" s="8" t="s">
        <v>120</v>
      </c>
    </row>
    <row r="2454" customFormat="false" ht="15" hidden="false" customHeight="false" outlineLevel="0" collapsed="false">
      <c r="A2454" s="8" t="s">
        <v>4336</v>
      </c>
      <c r="B2454" s="8" t="s">
        <v>4337</v>
      </c>
      <c r="C2454" s="8" t="s">
        <v>8680</v>
      </c>
      <c r="D2454" s="8" t="s">
        <v>132</v>
      </c>
      <c r="E2454" s="8" t="s">
        <v>51</v>
      </c>
      <c r="F2454" s="8" t="s">
        <v>2027</v>
      </c>
      <c r="G2454" s="8" t="s">
        <v>136</v>
      </c>
      <c r="H2454" s="8" t="s">
        <v>8675</v>
      </c>
      <c r="I2454" s="8" t="s">
        <v>8956</v>
      </c>
      <c r="J2454" s="8" t="s">
        <v>137</v>
      </c>
      <c r="K2454" s="8" t="s">
        <v>8664</v>
      </c>
      <c r="L2454" s="8"/>
      <c r="M2454" s="8"/>
      <c r="N2454" s="8" t="n">
        <v>12</v>
      </c>
      <c r="O2454" s="8" t="n">
        <v>6</v>
      </c>
      <c r="P2454" s="8" t="s">
        <v>120</v>
      </c>
    </row>
    <row r="2455" customFormat="false" ht="15" hidden="false" customHeight="false" outlineLevel="0" collapsed="false">
      <c r="A2455" s="8" t="s">
        <v>749</v>
      </c>
      <c r="B2455" s="8" t="s">
        <v>750</v>
      </c>
      <c r="C2455" s="8" t="s">
        <v>8674</v>
      </c>
      <c r="D2455" s="8" t="s">
        <v>117</v>
      </c>
      <c r="E2455" s="8" t="s">
        <v>55</v>
      </c>
      <c r="F2455" s="8" t="s">
        <v>326</v>
      </c>
      <c r="G2455" s="8" t="s">
        <v>154</v>
      </c>
      <c r="H2455" s="8" t="s">
        <v>8675</v>
      </c>
      <c r="I2455" s="8" t="s">
        <v>9898</v>
      </c>
      <c r="J2455" s="8" t="s">
        <v>204</v>
      </c>
      <c r="K2455" s="8" t="s">
        <v>8664</v>
      </c>
      <c r="L2455" s="8"/>
      <c r="M2455" s="8"/>
      <c r="N2455" s="8" t="n">
        <v>25</v>
      </c>
      <c r="O2455" s="8" t="n">
        <v>217</v>
      </c>
      <c r="P2455" s="8" t="s">
        <v>120</v>
      </c>
    </row>
    <row r="2456" customFormat="false" ht="15" hidden="false" customHeight="false" outlineLevel="0" collapsed="false">
      <c r="A2456" s="8" t="s">
        <v>4376</v>
      </c>
      <c r="B2456" s="8" t="s">
        <v>4377</v>
      </c>
      <c r="C2456" s="8" t="s">
        <v>8688</v>
      </c>
      <c r="D2456" s="8" t="s">
        <v>117</v>
      </c>
      <c r="E2456" s="8" t="s">
        <v>51</v>
      </c>
      <c r="F2456" s="8" t="s">
        <v>2027</v>
      </c>
      <c r="G2456" s="8" t="s">
        <v>118</v>
      </c>
      <c r="H2456" s="8" t="s">
        <v>8670</v>
      </c>
      <c r="I2456" s="8" t="s">
        <v>9429</v>
      </c>
      <c r="J2456" s="8" t="s">
        <v>180</v>
      </c>
      <c r="K2456" s="8" t="s">
        <v>8664</v>
      </c>
      <c r="L2456" s="8"/>
      <c r="M2456" s="8"/>
      <c r="N2456" s="8" t="n">
        <v>12</v>
      </c>
      <c r="O2456" s="8" t="n">
        <v>5</v>
      </c>
      <c r="P2456" s="8" t="s">
        <v>120</v>
      </c>
    </row>
    <row r="2457" customFormat="false" ht="15" hidden="false" customHeight="false" outlineLevel="0" collapsed="false">
      <c r="A2457" s="8" t="s">
        <v>2962</v>
      </c>
      <c r="B2457" s="8" t="s">
        <v>2963</v>
      </c>
      <c r="C2457" s="8" t="s">
        <v>8669</v>
      </c>
      <c r="D2457" s="8" t="s">
        <v>128</v>
      </c>
      <c r="E2457" s="8" t="s">
        <v>51</v>
      </c>
      <c r="F2457" s="8" t="s">
        <v>2027</v>
      </c>
      <c r="G2457" s="8" t="s">
        <v>151</v>
      </c>
      <c r="H2457" s="8" t="s">
        <v>8666</v>
      </c>
      <c r="I2457" s="8" t="s">
        <v>9733</v>
      </c>
      <c r="J2457" s="8" t="s">
        <v>180</v>
      </c>
      <c r="K2457" s="8" t="s">
        <v>8664</v>
      </c>
      <c r="L2457" s="8"/>
      <c r="M2457" s="8"/>
      <c r="N2457" s="8" t="n">
        <v>12</v>
      </c>
      <c r="O2457" s="8" t="n">
        <v>31</v>
      </c>
      <c r="P2457" s="8" t="s">
        <v>120</v>
      </c>
    </row>
    <row r="2458" customFormat="false" ht="15" hidden="false" customHeight="false" outlineLevel="0" collapsed="false">
      <c r="A2458" s="8" t="s">
        <v>10418</v>
      </c>
      <c r="B2458" s="8" t="s">
        <v>10419</v>
      </c>
      <c r="C2458" s="8" t="s">
        <v>8661</v>
      </c>
      <c r="D2458" s="8" t="s">
        <v>117</v>
      </c>
      <c r="E2458" s="8" t="s">
        <v>51</v>
      </c>
      <c r="F2458" s="8" t="s">
        <v>2027</v>
      </c>
      <c r="G2458" s="8" t="s">
        <v>190</v>
      </c>
      <c r="H2458" s="8" t="s">
        <v>8666</v>
      </c>
      <c r="I2458" s="8" t="s">
        <v>9282</v>
      </c>
      <c r="J2458" s="8"/>
      <c r="K2458" s="8" t="s">
        <v>8690</v>
      </c>
      <c r="L2458" s="8" t="s">
        <v>9720</v>
      </c>
      <c r="M2458" s="8" t="s">
        <v>8727</v>
      </c>
      <c r="N2458" s="8" t="n">
        <v>12</v>
      </c>
      <c r="O2458" s="8" t="n">
        <v>12</v>
      </c>
      <c r="P2458" s="8" t="s">
        <v>120</v>
      </c>
    </row>
    <row r="2459" customFormat="false" ht="15" hidden="false" customHeight="false" outlineLevel="0" collapsed="false">
      <c r="A2459" s="8" t="s">
        <v>2226</v>
      </c>
      <c r="B2459" s="8" t="s">
        <v>2227</v>
      </c>
      <c r="C2459" s="8" t="s">
        <v>8688</v>
      </c>
      <c r="D2459" s="8" t="s">
        <v>123</v>
      </c>
      <c r="E2459" s="8" t="s">
        <v>51</v>
      </c>
      <c r="F2459" s="8" t="s">
        <v>326</v>
      </c>
      <c r="G2459" s="8" t="s">
        <v>223</v>
      </c>
      <c r="H2459" s="8" t="s">
        <v>8662</v>
      </c>
      <c r="I2459" s="8" t="s">
        <v>9914</v>
      </c>
      <c r="J2459" s="8" t="s">
        <v>159</v>
      </c>
      <c r="K2459" s="8" t="s">
        <v>8664</v>
      </c>
      <c r="L2459" s="8"/>
      <c r="M2459" s="8"/>
      <c r="N2459" s="8" t="n">
        <v>25</v>
      </c>
      <c r="O2459" s="8" t="n">
        <v>20</v>
      </c>
      <c r="P2459" s="8" t="s">
        <v>120</v>
      </c>
    </row>
    <row r="2460" customFormat="false" ht="15" hidden="false" customHeight="false" outlineLevel="0" collapsed="false">
      <c r="A2460" s="8" t="s">
        <v>1759</v>
      </c>
      <c r="B2460" s="8" t="s">
        <v>1760</v>
      </c>
      <c r="C2460" s="8" t="s">
        <v>8678</v>
      </c>
      <c r="D2460" s="8" t="s">
        <v>132</v>
      </c>
      <c r="E2460" s="8" t="s">
        <v>51</v>
      </c>
      <c r="F2460" s="8" t="s">
        <v>326</v>
      </c>
      <c r="G2460" s="8" t="s">
        <v>151</v>
      </c>
      <c r="H2460" s="8" t="s">
        <v>8670</v>
      </c>
      <c r="I2460" s="8" t="s">
        <v>9065</v>
      </c>
      <c r="J2460" s="8" t="s">
        <v>204</v>
      </c>
      <c r="K2460" s="8" t="s">
        <v>8664</v>
      </c>
      <c r="L2460" s="8"/>
      <c r="M2460" s="8"/>
      <c r="N2460" s="8" t="n">
        <v>25</v>
      </c>
      <c r="O2460" s="8" t="n">
        <v>37</v>
      </c>
      <c r="P2460" s="8" t="s">
        <v>120</v>
      </c>
    </row>
    <row r="2461" customFormat="false" ht="15" hidden="false" customHeight="false" outlineLevel="0" collapsed="false">
      <c r="A2461" s="8" t="s">
        <v>975</v>
      </c>
      <c r="B2461" s="8" t="s">
        <v>976</v>
      </c>
      <c r="C2461" s="8" t="s">
        <v>8669</v>
      </c>
      <c r="D2461" s="8" t="s">
        <v>132</v>
      </c>
      <c r="E2461" s="8" t="s">
        <v>53</v>
      </c>
      <c r="F2461" s="8" t="s">
        <v>55</v>
      </c>
      <c r="G2461" s="8" t="s">
        <v>136</v>
      </c>
      <c r="H2461" s="8" t="s">
        <v>8670</v>
      </c>
      <c r="I2461" s="8" t="s">
        <v>8874</v>
      </c>
      <c r="J2461" s="8" t="s">
        <v>137</v>
      </c>
      <c r="K2461" s="8" t="s">
        <v>8664</v>
      </c>
      <c r="L2461" s="8"/>
      <c r="M2461" s="8"/>
      <c r="N2461" s="8" t="n">
        <v>45</v>
      </c>
      <c r="O2461" s="8" t="n">
        <v>93</v>
      </c>
      <c r="P2461" s="8" t="s">
        <v>120</v>
      </c>
    </row>
    <row r="2462" customFormat="false" ht="15" hidden="false" customHeight="false" outlineLevel="0" collapsed="false">
      <c r="A2462" s="8" t="s">
        <v>559</v>
      </c>
      <c r="B2462" s="8" t="s">
        <v>560</v>
      </c>
      <c r="C2462" s="8" t="s">
        <v>8665</v>
      </c>
      <c r="D2462" s="8" t="s">
        <v>123</v>
      </c>
      <c r="E2462" s="8" t="s">
        <v>53</v>
      </c>
      <c r="F2462" s="8" t="s">
        <v>55</v>
      </c>
      <c r="G2462" s="8" t="s">
        <v>124</v>
      </c>
      <c r="H2462" s="8" t="s">
        <v>8662</v>
      </c>
      <c r="I2462" s="8" t="s">
        <v>9304</v>
      </c>
      <c r="J2462" s="8" t="s">
        <v>125</v>
      </c>
      <c r="K2462" s="8" t="s">
        <v>8664</v>
      </c>
      <c r="L2462" s="8"/>
      <c r="M2462" s="8"/>
      <c r="N2462" s="8" t="n">
        <v>45</v>
      </c>
      <c r="O2462" s="8" t="n">
        <v>79</v>
      </c>
      <c r="P2462" s="8" t="s">
        <v>120</v>
      </c>
    </row>
    <row r="2463" customFormat="false" ht="15" hidden="false" customHeight="false" outlineLevel="0" collapsed="false">
      <c r="A2463" s="8" t="s">
        <v>10420</v>
      </c>
      <c r="B2463" s="8" t="s">
        <v>10421</v>
      </c>
      <c r="C2463" s="8" t="s">
        <v>8665</v>
      </c>
      <c r="D2463" s="8" t="s">
        <v>117</v>
      </c>
      <c r="E2463" s="8" t="s">
        <v>53</v>
      </c>
      <c r="F2463" s="8" t="s">
        <v>55</v>
      </c>
      <c r="G2463" s="8" t="s">
        <v>223</v>
      </c>
      <c r="H2463" s="8" t="s">
        <v>8666</v>
      </c>
      <c r="I2463" s="8" t="s">
        <v>9039</v>
      </c>
      <c r="J2463" s="8"/>
      <c r="K2463" s="8" t="s">
        <v>8690</v>
      </c>
      <c r="L2463" s="8" t="s">
        <v>10422</v>
      </c>
      <c r="M2463" s="8" t="s">
        <v>8692</v>
      </c>
      <c r="N2463" s="8" t="n">
        <v>45</v>
      </c>
      <c r="O2463" s="8" t="n">
        <v>49</v>
      </c>
      <c r="P2463" s="8" t="s">
        <v>148</v>
      </c>
    </row>
    <row r="2464" customFormat="false" ht="15" hidden="false" customHeight="false" outlineLevel="0" collapsed="false">
      <c r="A2464" s="8" t="s">
        <v>226</v>
      </c>
      <c r="B2464" s="8" t="s">
        <v>227</v>
      </c>
      <c r="C2464" s="8" t="s">
        <v>8665</v>
      </c>
      <c r="D2464" s="8" t="s">
        <v>132</v>
      </c>
      <c r="E2464" s="8" t="s">
        <v>55</v>
      </c>
      <c r="F2464" s="8" t="s">
        <v>55</v>
      </c>
      <c r="G2464" s="8" t="s">
        <v>136</v>
      </c>
      <c r="H2464" s="8" t="s">
        <v>8675</v>
      </c>
      <c r="I2464" s="8" t="s">
        <v>9945</v>
      </c>
      <c r="J2464" s="8" t="s">
        <v>129</v>
      </c>
      <c r="K2464" s="8" t="s">
        <v>8664</v>
      </c>
      <c r="L2464" s="8"/>
      <c r="M2464" s="8"/>
      <c r="N2464" s="8" t="n">
        <v>45</v>
      </c>
      <c r="O2464" s="8" t="n">
        <v>519</v>
      </c>
      <c r="P2464" s="8" t="s">
        <v>120</v>
      </c>
    </row>
    <row r="2465" customFormat="false" ht="15" hidden="false" customHeight="false" outlineLevel="0" collapsed="false">
      <c r="A2465" s="8" t="s">
        <v>10423</v>
      </c>
      <c r="B2465" s="8" t="s">
        <v>10424</v>
      </c>
      <c r="C2465" s="8" t="s">
        <v>8661</v>
      </c>
      <c r="D2465" s="8" t="s">
        <v>123</v>
      </c>
      <c r="E2465" s="8" t="s">
        <v>53</v>
      </c>
      <c r="F2465" s="8" t="s">
        <v>326</v>
      </c>
      <c r="G2465" s="8" t="s">
        <v>166</v>
      </c>
      <c r="H2465" s="8" t="s">
        <v>8670</v>
      </c>
      <c r="I2465" s="8" t="s">
        <v>9944</v>
      </c>
      <c r="J2465" s="8"/>
      <c r="K2465" s="8" t="s">
        <v>8690</v>
      </c>
      <c r="L2465" s="8" t="s">
        <v>9682</v>
      </c>
      <c r="M2465" s="8" t="s">
        <v>8692</v>
      </c>
      <c r="N2465" s="8" t="n">
        <v>25</v>
      </c>
      <c r="O2465" s="8" t="n">
        <v>51</v>
      </c>
      <c r="P2465" s="8" t="s">
        <v>120</v>
      </c>
    </row>
    <row r="2466" customFormat="false" ht="15" hidden="false" customHeight="false" outlineLevel="0" collapsed="false">
      <c r="A2466" s="8" t="s">
        <v>349</v>
      </c>
      <c r="B2466" s="8" t="s">
        <v>350</v>
      </c>
      <c r="C2466" s="8" t="s">
        <v>8661</v>
      </c>
      <c r="D2466" s="8" t="s">
        <v>132</v>
      </c>
      <c r="E2466" s="8" t="s">
        <v>55</v>
      </c>
      <c r="F2466" s="8" t="s">
        <v>55</v>
      </c>
      <c r="G2466" s="8" t="s">
        <v>190</v>
      </c>
      <c r="H2466" s="8" t="s">
        <v>8666</v>
      </c>
      <c r="I2466" s="8" t="s">
        <v>9791</v>
      </c>
      <c r="J2466" s="8" t="s">
        <v>144</v>
      </c>
      <c r="K2466" s="8" t="s">
        <v>8664</v>
      </c>
      <c r="L2466" s="8"/>
      <c r="M2466" s="8"/>
      <c r="N2466" s="8" t="n">
        <v>45</v>
      </c>
      <c r="O2466" s="8" t="n">
        <v>340</v>
      </c>
      <c r="P2466" s="8" t="s">
        <v>120</v>
      </c>
    </row>
    <row r="2467" customFormat="false" ht="15" hidden="false" customHeight="false" outlineLevel="0" collapsed="false">
      <c r="A2467" s="8" t="s">
        <v>3584</v>
      </c>
      <c r="B2467" s="8" t="s">
        <v>3585</v>
      </c>
      <c r="C2467" s="8" t="s">
        <v>8680</v>
      </c>
      <c r="D2467" s="8" t="s">
        <v>132</v>
      </c>
      <c r="E2467" s="8" t="s">
        <v>51</v>
      </c>
      <c r="F2467" s="8" t="s">
        <v>2027</v>
      </c>
      <c r="G2467" s="8" t="s">
        <v>154</v>
      </c>
      <c r="H2467" s="8" t="s">
        <v>8666</v>
      </c>
      <c r="I2467" s="8" t="s">
        <v>10263</v>
      </c>
      <c r="J2467" s="8" t="s">
        <v>180</v>
      </c>
      <c r="K2467" s="8" t="s">
        <v>8664</v>
      </c>
      <c r="L2467" s="8"/>
      <c r="M2467" s="8"/>
      <c r="N2467" s="8" t="n">
        <v>12</v>
      </c>
      <c r="O2467" s="8" t="n">
        <v>15</v>
      </c>
      <c r="P2467" s="8" t="s">
        <v>120</v>
      </c>
    </row>
    <row r="2468" customFormat="false" ht="15" hidden="false" customHeight="false" outlineLevel="0" collapsed="false">
      <c r="A2468" s="8" t="s">
        <v>1385</v>
      </c>
      <c r="B2468" s="8" t="s">
        <v>1386</v>
      </c>
      <c r="C2468" s="8" t="s">
        <v>8688</v>
      </c>
      <c r="D2468" s="8" t="s">
        <v>132</v>
      </c>
      <c r="E2468" s="8" t="s">
        <v>53</v>
      </c>
      <c r="F2468" s="8" t="s">
        <v>326</v>
      </c>
      <c r="G2468" s="8" t="s">
        <v>166</v>
      </c>
      <c r="H2468" s="8" t="s">
        <v>8666</v>
      </c>
      <c r="I2468" s="8" t="s">
        <v>9329</v>
      </c>
      <c r="J2468" s="8" t="s">
        <v>185</v>
      </c>
      <c r="K2468" s="8" t="s">
        <v>8664</v>
      </c>
      <c r="L2468" s="8"/>
      <c r="M2468" s="8"/>
      <c r="N2468" s="8" t="n">
        <v>25</v>
      </c>
      <c r="O2468" s="8" t="n">
        <v>109</v>
      </c>
      <c r="P2468" s="8" t="s">
        <v>120</v>
      </c>
    </row>
    <row r="2469" customFormat="false" ht="15" hidden="false" customHeight="false" outlineLevel="0" collapsed="false">
      <c r="A2469" s="8" t="s">
        <v>581</v>
      </c>
      <c r="B2469" s="8" t="s">
        <v>582</v>
      </c>
      <c r="C2469" s="8" t="s">
        <v>8669</v>
      </c>
      <c r="D2469" s="8" t="s">
        <v>132</v>
      </c>
      <c r="E2469" s="8" t="s">
        <v>55</v>
      </c>
      <c r="F2469" s="8" t="s">
        <v>55</v>
      </c>
      <c r="G2469" s="8" t="s">
        <v>143</v>
      </c>
      <c r="H2469" s="8" t="s">
        <v>8666</v>
      </c>
      <c r="I2469" s="8" t="s">
        <v>10095</v>
      </c>
      <c r="J2469" s="8" t="s">
        <v>159</v>
      </c>
      <c r="K2469" s="8" t="s">
        <v>8664</v>
      </c>
      <c r="L2469" s="8"/>
      <c r="M2469" s="8"/>
      <c r="N2469" s="8" t="n">
        <v>45</v>
      </c>
      <c r="O2469" s="8" t="n">
        <v>177</v>
      </c>
      <c r="P2469" s="8" t="s">
        <v>120</v>
      </c>
    </row>
    <row r="2470" customFormat="false" ht="15" hidden="false" customHeight="false" outlineLevel="0" collapsed="false">
      <c r="A2470" s="8" t="s">
        <v>3976</v>
      </c>
      <c r="B2470" s="8" t="s">
        <v>3977</v>
      </c>
      <c r="C2470" s="8" t="s">
        <v>8688</v>
      </c>
      <c r="D2470" s="8" t="s">
        <v>123</v>
      </c>
      <c r="E2470" s="8" t="s">
        <v>51</v>
      </c>
      <c r="F2470" s="8" t="s">
        <v>326</v>
      </c>
      <c r="G2470" s="8" t="s">
        <v>151</v>
      </c>
      <c r="H2470" s="8" t="s">
        <v>8675</v>
      </c>
      <c r="I2470" s="8" t="s">
        <v>9044</v>
      </c>
      <c r="J2470" s="8" t="s">
        <v>119</v>
      </c>
      <c r="K2470" s="8" t="s">
        <v>8664</v>
      </c>
      <c r="L2470" s="8"/>
      <c r="M2470" s="8"/>
      <c r="N2470" s="8" t="n">
        <v>25</v>
      </c>
      <c r="O2470" s="8" t="n">
        <v>6</v>
      </c>
      <c r="P2470" s="8" t="s">
        <v>120</v>
      </c>
    </row>
    <row r="2471" customFormat="false" ht="15" hidden="false" customHeight="false" outlineLevel="0" collapsed="false">
      <c r="A2471" s="8" t="s">
        <v>3526</v>
      </c>
      <c r="B2471" s="8" t="s">
        <v>3527</v>
      </c>
      <c r="C2471" s="8" t="s">
        <v>8661</v>
      </c>
      <c r="D2471" s="8" t="s">
        <v>132</v>
      </c>
      <c r="E2471" s="8" t="s">
        <v>51</v>
      </c>
      <c r="F2471" s="8" t="s">
        <v>2027</v>
      </c>
      <c r="G2471" s="8" t="s">
        <v>166</v>
      </c>
      <c r="H2471" s="8" t="s">
        <v>8670</v>
      </c>
      <c r="I2471" s="8" t="s">
        <v>9403</v>
      </c>
      <c r="J2471" s="8" t="s">
        <v>119</v>
      </c>
      <c r="K2471" s="8" t="s">
        <v>8664</v>
      </c>
      <c r="L2471" s="8"/>
      <c r="M2471" s="8"/>
      <c r="N2471" s="8" t="n">
        <v>12</v>
      </c>
      <c r="O2471" s="8" t="n">
        <v>21</v>
      </c>
      <c r="P2471" s="8" t="s">
        <v>120</v>
      </c>
    </row>
    <row r="2472" customFormat="false" ht="15" hidden="false" customHeight="false" outlineLevel="0" collapsed="false">
      <c r="A2472" s="8" t="s">
        <v>2964</v>
      </c>
      <c r="B2472" s="8" t="s">
        <v>2965</v>
      </c>
      <c r="C2472" s="8" t="s">
        <v>8669</v>
      </c>
      <c r="D2472" s="8" t="s">
        <v>117</v>
      </c>
      <c r="E2472" s="8" t="s">
        <v>51</v>
      </c>
      <c r="F2472" s="8" t="s">
        <v>2027</v>
      </c>
      <c r="G2472" s="8" t="s">
        <v>154</v>
      </c>
      <c r="H2472" s="8" t="s">
        <v>8675</v>
      </c>
      <c r="I2472" s="8" t="s">
        <v>10011</v>
      </c>
      <c r="J2472" s="8" t="s">
        <v>125</v>
      </c>
      <c r="K2472" s="8" t="s">
        <v>8664</v>
      </c>
      <c r="L2472" s="8"/>
      <c r="M2472" s="8"/>
      <c r="N2472" s="8" t="n">
        <v>12</v>
      </c>
      <c r="O2472" s="8" t="n">
        <v>31</v>
      </c>
      <c r="P2472" s="8" t="s">
        <v>120</v>
      </c>
    </row>
    <row r="2473" customFormat="false" ht="15" hidden="false" customHeight="false" outlineLevel="0" collapsed="false">
      <c r="A2473" s="8" t="s">
        <v>1997</v>
      </c>
      <c r="B2473" s="8" t="s">
        <v>1998</v>
      </c>
      <c r="C2473" s="8" t="s">
        <v>8688</v>
      </c>
      <c r="D2473" s="8" t="s">
        <v>117</v>
      </c>
      <c r="E2473" s="8" t="s">
        <v>51</v>
      </c>
      <c r="F2473" s="8" t="s">
        <v>326</v>
      </c>
      <c r="G2473" s="8" t="s">
        <v>136</v>
      </c>
      <c r="H2473" s="8" t="s">
        <v>8675</v>
      </c>
      <c r="I2473" s="8" t="s">
        <v>9125</v>
      </c>
      <c r="J2473" s="8" t="s">
        <v>185</v>
      </c>
      <c r="K2473" s="8" t="s">
        <v>8664</v>
      </c>
      <c r="L2473" s="8"/>
      <c r="M2473" s="8"/>
      <c r="N2473" s="8" t="n">
        <v>25</v>
      </c>
      <c r="O2473" s="8" t="n">
        <v>32</v>
      </c>
      <c r="P2473" s="8" t="s">
        <v>120</v>
      </c>
    </row>
    <row r="2474" customFormat="false" ht="15" hidden="false" customHeight="false" outlineLevel="0" collapsed="false">
      <c r="A2474" s="8" t="s">
        <v>591</v>
      </c>
      <c r="B2474" s="8" t="s">
        <v>592</v>
      </c>
      <c r="C2474" s="8" t="s">
        <v>8661</v>
      </c>
      <c r="D2474" s="8" t="s">
        <v>123</v>
      </c>
      <c r="E2474" s="8" t="s">
        <v>55</v>
      </c>
      <c r="F2474" s="8" t="s">
        <v>55</v>
      </c>
      <c r="G2474" s="8" t="s">
        <v>133</v>
      </c>
      <c r="H2474" s="8" t="s">
        <v>8666</v>
      </c>
      <c r="I2474" s="8" t="s">
        <v>9476</v>
      </c>
      <c r="J2474" s="8" t="s">
        <v>119</v>
      </c>
      <c r="K2474" s="8" t="s">
        <v>8664</v>
      </c>
      <c r="L2474" s="8"/>
      <c r="M2474" s="8"/>
      <c r="N2474" s="8" t="n">
        <v>45</v>
      </c>
      <c r="O2474" s="8" t="n">
        <v>174</v>
      </c>
      <c r="P2474" s="8" t="s">
        <v>120</v>
      </c>
    </row>
    <row r="2475" customFormat="false" ht="15" hidden="false" customHeight="false" outlineLevel="0" collapsed="false">
      <c r="A2475" s="8" t="s">
        <v>2062</v>
      </c>
      <c r="B2475" s="8" t="s">
        <v>2063</v>
      </c>
      <c r="C2475" s="8" t="s">
        <v>8669</v>
      </c>
      <c r="D2475" s="8" t="s">
        <v>123</v>
      </c>
      <c r="E2475" s="8" t="s">
        <v>51</v>
      </c>
      <c r="F2475" s="8" t="s">
        <v>326</v>
      </c>
      <c r="G2475" s="8" t="s">
        <v>223</v>
      </c>
      <c r="H2475" s="8" t="s">
        <v>8662</v>
      </c>
      <c r="I2475" s="8" t="s">
        <v>9427</v>
      </c>
      <c r="J2475" s="8" t="s">
        <v>144</v>
      </c>
      <c r="K2475" s="8" t="s">
        <v>8664</v>
      </c>
      <c r="L2475" s="8"/>
      <c r="M2475" s="8"/>
      <c r="N2475" s="8" t="n">
        <v>25</v>
      </c>
      <c r="O2475" s="8" t="n">
        <v>30</v>
      </c>
      <c r="P2475" s="8" t="s">
        <v>120</v>
      </c>
    </row>
    <row r="2476" customFormat="false" ht="15" hidden="false" customHeight="false" outlineLevel="0" collapsed="false">
      <c r="A2476" s="8" t="s">
        <v>3952</v>
      </c>
      <c r="B2476" s="8" t="s">
        <v>3953</v>
      </c>
      <c r="C2476" s="8" t="s">
        <v>8665</v>
      </c>
      <c r="D2476" s="8" t="s">
        <v>123</v>
      </c>
      <c r="E2476" s="8" t="s">
        <v>51</v>
      </c>
      <c r="F2476" s="8" t="s">
        <v>2027</v>
      </c>
      <c r="G2476" s="8" t="s">
        <v>133</v>
      </c>
      <c r="H2476" s="8" t="s">
        <v>8662</v>
      </c>
      <c r="I2476" s="8" t="s">
        <v>9517</v>
      </c>
      <c r="J2476" s="8" t="s">
        <v>147</v>
      </c>
      <c r="K2476" s="8" t="s">
        <v>8664</v>
      </c>
      <c r="L2476" s="8"/>
      <c r="M2476" s="8"/>
      <c r="N2476" s="8" t="n">
        <v>12</v>
      </c>
      <c r="O2476" s="8" t="n">
        <v>18</v>
      </c>
      <c r="P2476" s="8" t="s">
        <v>120</v>
      </c>
    </row>
    <row r="2477" customFormat="false" ht="15" hidden="false" customHeight="false" outlineLevel="0" collapsed="false">
      <c r="A2477" s="8" t="s">
        <v>2170</v>
      </c>
      <c r="B2477" s="8" t="s">
        <v>2171</v>
      </c>
      <c r="C2477" s="8" t="s">
        <v>8680</v>
      </c>
      <c r="D2477" s="8" t="s">
        <v>117</v>
      </c>
      <c r="E2477" s="8" t="s">
        <v>51</v>
      </c>
      <c r="F2477" s="8" t="s">
        <v>326</v>
      </c>
      <c r="G2477" s="8" t="s">
        <v>151</v>
      </c>
      <c r="H2477" s="8" t="s">
        <v>8675</v>
      </c>
      <c r="I2477" s="8" t="s">
        <v>10080</v>
      </c>
      <c r="J2477" s="8" t="s">
        <v>177</v>
      </c>
      <c r="K2477" s="8" t="s">
        <v>8664</v>
      </c>
      <c r="L2477" s="8"/>
      <c r="M2477" s="8"/>
      <c r="N2477" s="8" t="n">
        <v>25</v>
      </c>
      <c r="O2477" s="8" t="n">
        <v>26</v>
      </c>
      <c r="P2477" s="8" t="s">
        <v>120</v>
      </c>
    </row>
    <row r="2478" customFormat="false" ht="15" hidden="false" customHeight="false" outlineLevel="0" collapsed="false">
      <c r="A2478" s="8" t="s">
        <v>4479</v>
      </c>
      <c r="B2478" s="8" t="s">
        <v>10425</v>
      </c>
      <c r="C2478" s="8" t="s">
        <v>8669</v>
      </c>
      <c r="D2478" s="8" t="s">
        <v>132</v>
      </c>
      <c r="E2478" s="8" t="s">
        <v>53</v>
      </c>
      <c r="F2478" s="8" t="s">
        <v>326</v>
      </c>
      <c r="G2478" s="8" t="s">
        <v>124</v>
      </c>
      <c r="H2478" s="8" t="s">
        <v>8670</v>
      </c>
      <c r="I2478" s="8" t="s">
        <v>10426</v>
      </c>
      <c r="J2478" s="8"/>
      <c r="K2478" s="8" t="s">
        <v>8690</v>
      </c>
      <c r="L2478" s="8" t="s">
        <v>9107</v>
      </c>
      <c r="M2478" s="8" t="s">
        <v>8795</v>
      </c>
      <c r="N2478" s="8" t="n">
        <v>25</v>
      </c>
      <c r="O2478" s="8" t="n">
        <v>45</v>
      </c>
      <c r="P2478" s="8" t="s">
        <v>148</v>
      </c>
    </row>
    <row r="2479" customFormat="false" ht="15" hidden="false" customHeight="false" outlineLevel="0" collapsed="false">
      <c r="A2479" s="8" t="s">
        <v>4429</v>
      </c>
      <c r="B2479" s="8" t="s">
        <v>10427</v>
      </c>
      <c r="C2479" s="8" t="s">
        <v>8665</v>
      </c>
      <c r="D2479" s="8" t="s">
        <v>117</v>
      </c>
      <c r="E2479" s="8" t="s">
        <v>53</v>
      </c>
      <c r="F2479" s="8" t="s">
        <v>55</v>
      </c>
      <c r="G2479" s="8" t="s">
        <v>143</v>
      </c>
      <c r="H2479" s="8" t="s">
        <v>8675</v>
      </c>
      <c r="I2479" s="8" t="s">
        <v>9280</v>
      </c>
      <c r="J2479" s="8"/>
      <c r="K2479" s="8" t="s">
        <v>8690</v>
      </c>
      <c r="L2479" s="8" t="s">
        <v>9463</v>
      </c>
      <c r="M2479" s="8" t="s">
        <v>8705</v>
      </c>
      <c r="N2479" s="8" t="n">
        <v>45</v>
      </c>
      <c r="O2479" s="8" t="n">
        <v>120</v>
      </c>
      <c r="P2479" s="8" t="s">
        <v>120</v>
      </c>
    </row>
    <row r="2480" customFormat="false" ht="15" hidden="false" customHeight="false" outlineLevel="0" collapsed="false">
      <c r="A2480" s="8" t="s">
        <v>10428</v>
      </c>
      <c r="B2480" s="8" t="s">
        <v>10429</v>
      </c>
      <c r="C2480" s="8" t="s">
        <v>8669</v>
      </c>
      <c r="D2480" s="8" t="s">
        <v>117</v>
      </c>
      <c r="E2480" s="8" t="s">
        <v>53</v>
      </c>
      <c r="F2480" s="8" t="s">
        <v>326</v>
      </c>
      <c r="G2480" s="8" t="s">
        <v>154</v>
      </c>
      <c r="H2480" s="8" t="s">
        <v>8675</v>
      </c>
      <c r="I2480" s="8" t="s">
        <v>8819</v>
      </c>
      <c r="J2480" s="8"/>
      <c r="K2480" s="8" t="s">
        <v>8690</v>
      </c>
      <c r="L2480" s="8" t="s">
        <v>8698</v>
      </c>
      <c r="M2480" s="8" t="s">
        <v>8705</v>
      </c>
      <c r="N2480" s="8" t="n">
        <v>25</v>
      </c>
      <c r="O2480" s="8" t="n">
        <v>100</v>
      </c>
      <c r="P2480" s="8" t="s">
        <v>120</v>
      </c>
    </row>
    <row r="2481" customFormat="false" ht="15" hidden="false" customHeight="false" outlineLevel="0" collapsed="false">
      <c r="A2481" s="8" t="s">
        <v>1227</v>
      </c>
      <c r="B2481" s="8" t="s">
        <v>1228</v>
      </c>
      <c r="C2481" s="8" t="s">
        <v>8688</v>
      </c>
      <c r="D2481" s="8" t="s">
        <v>123</v>
      </c>
      <c r="E2481" s="8" t="s">
        <v>53</v>
      </c>
      <c r="F2481" s="8" t="s">
        <v>55</v>
      </c>
      <c r="G2481" s="8" t="s">
        <v>154</v>
      </c>
      <c r="H2481" s="8" t="s">
        <v>8675</v>
      </c>
      <c r="I2481" s="8" t="s">
        <v>9009</v>
      </c>
      <c r="J2481" s="8" t="s">
        <v>159</v>
      </c>
      <c r="K2481" s="8" t="s">
        <v>8664</v>
      </c>
      <c r="L2481" s="8"/>
      <c r="M2481" s="8"/>
      <c r="N2481" s="8" t="n">
        <v>45</v>
      </c>
      <c r="O2481" s="8" t="n">
        <v>73</v>
      </c>
      <c r="P2481" s="8" t="s">
        <v>148</v>
      </c>
    </row>
    <row r="2482" customFormat="false" ht="15" hidden="false" customHeight="false" outlineLevel="0" collapsed="false">
      <c r="A2482" s="8" t="s">
        <v>10430</v>
      </c>
      <c r="B2482" s="8" t="s">
        <v>10431</v>
      </c>
      <c r="C2482" s="8" t="s">
        <v>8700</v>
      </c>
      <c r="D2482" s="8" t="s">
        <v>123</v>
      </c>
      <c r="E2482" s="8" t="s">
        <v>51</v>
      </c>
      <c r="F2482" s="8" t="s">
        <v>2027</v>
      </c>
      <c r="G2482" s="8" t="s">
        <v>133</v>
      </c>
      <c r="H2482" s="8" t="s">
        <v>8670</v>
      </c>
      <c r="I2482" s="8" t="s">
        <v>8857</v>
      </c>
      <c r="J2482" s="8"/>
      <c r="K2482" s="8" t="s">
        <v>8690</v>
      </c>
      <c r="L2482" s="8" t="s">
        <v>9499</v>
      </c>
      <c r="M2482" s="8" t="s">
        <v>8795</v>
      </c>
      <c r="N2482" s="8" t="n">
        <v>12</v>
      </c>
      <c r="O2482" s="8" t="n">
        <v>35</v>
      </c>
      <c r="P2482" s="8" t="s">
        <v>120</v>
      </c>
    </row>
    <row r="2483" customFormat="false" ht="15" hidden="false" customHeight="false" outlineLevel="0" collapsed="false">
      <c r="A2483" s="8" t="s">
        <v>4585</v>
      </c>
      <c r="B2483" s="8" t="s">
        <v>10432</v>
      </c>
      <c r="C2483" s="8" t="s">
        <v>8669</v>
      </c>
      <c r="D2483" s="8" t="s">
        <v>123</v>
      </c>
      <c r="E2483" s="8" t="s">
        <v>51</v>
      </c>
      <c r="F2483" s="8" t="s">
        <v>2027</v>
      </c>
      <c r="G2483" s="8" t="s">
        <v>124</v>
      </c>
      <c r="H2483" s="8" t="s">
        <v>8662</v>
      </c>
      <c r="I2483" s="8" t="s">
        <v>8836</v>
      </c>
      <c r="J2483" s="8"/>
      <c r="K2483" s="8" t="s">
        <v>8690</v>
      </c>
      <c r="L2483" s="8" t="s">
        <v>10349</v>
      </c>
      <c r="M2483" s="8" t="s">
        <v>8696</v>
      </c>
      <c r="N2483" s="8" t="n">
        <v>12</v>
      </c>
      <c r="O2483" s="8" t="n">
        <v>11</v>
      </c>
      <c r="P2483" s="8" t="s">
        <v>120</v>
      </c>
    </row>
    <row r="2484" customFormat="false" ht="15" hidden="false" customHeight="false" outlineLevel="0" collapsed="false">
      <c r="A2484" s="8" t="s">
        <v>1479</v>
      </c>
      <c r="B2484" s="8" t="s">
        <v>1480</v>
      </c>
      <c r="C2484" s="8" t="s">
        <v>8700</v>
      </c>
      <c r="D2484" s="8" t="s">
        <v>123</v>
      </c>
      <c r="E2484" s="8" t="s">
        <v>53</v>
      </c>
      <c r="F2484" s="8" t="s">
        <v>326</v>
      </c>
      <c r="G2484" s="8" t="s">
        <v>223</v>
      </c>
      <c r="H2484" s="8" t="s">
        <v>8662</v>
      </c>
      <c r="I2484" s="8" t="s">
        <v>9348</v>
      </c>
      <c r="J2484" s="8" t="s">
        <v>140</v>
      </c>
      <c r="K2484" s="8" t="s">
        <v>8664</v>
      </c>
      <c r="L2484" s="8"/>
      <c r="M2484" s="8"/>
      <c r="N2484" s="8" t="n">
        <v>25</v>
      </c>
      <c r="O2484" s="8" t="n">
        <v>79</v>
      </c>
      <c r="P2484" s="8" t="s">
        <v>120</v>
      </c>
    </row>
    <row r="2485" customFormat="false" ht="15" hidden="false" customHeight="false" outlineLevel="0" collapsed="false">
      <c r="A2485" s="8" t="s">
        <v>2584</v>
      </c>
      <c r="B2485" s="8" t="s">
        <v>2585</v>
      </c>
      <c r="C2485" s="8" t="s">
        <v>8665</v>
      </c>
      <c r="D2485" s="8" t="s">
        <v>128</v>
      </c>
      <c r="E2485" s="8" t="s">
        <v>51</v>
      </c>
      <c r="F2485" s="8" t="s">
        <v>2027</v>
      </c>
      <c r="G2485" s="8" t="s">
        <v>151</v>
      </c>
      <c r="H2485" s="8" t="s">
        <v>8675</v>
      </c>
      <c r="I2485" s="8" t="s">
        <v>10254</v>
      </c>
      <c r="J2485" s="8" t="s">
        <v>185</v>
      </c>
      <c r="K2485" s="8" t="s">
        <v>8664</v>
      </c>
      <c r="L2485" s="8"/>
      <c r="M2485" s="8"/>
      <c r="N2485" s="8" t="n">
        <v>12</v>
      </c>
      <c r="O2485" s="8" t="n">
        <v>24</v>
      </c>
      <c r="P2485" s="8" t="s">
        <v>120</v>
      </c>
    </row>
    <row r="2486" customFormat="false" ht="15" hidden="false" customHeight="false" outlineLevel="0" collapsed="false">
      <c r="A2486" s="8" t="s">
        <v>4419</v>
      </c>
      <c r="B2486" s="8" t="s">
        <v>10433</v>
      </c>
      <c r="C2486" s="8" t="s">
        <v>8678</v>
      </c>
      <c r="D2486" s="8" t="s">
        <v>123</v>
      </c>
      <c r="E2486" s="8" t="s">
        <v>53</v>
      </c>
      <c r="F2486" s="8" t="s">
        <v>55</v>
      </c>
      <c r="G2486" s="8" t="s">
        <v>154</v>
      </c>
      <c r="H2486" s="8" t="s">
        <v>8666</v>
      </c>
      <c r="I2486" s="8" t="s">
        <v>10434</v>
      </c>
      <c r="J2486" s="8"/>
      <c r="K2486" s="8" t="s">
        <v>8690</v>
      </c>
      <c r="L2486" s="8" t="s">
        <v>9161</v>
      </c>
      <c r="M2486" s="8" t="s">
        <v>8721</v>
      </c>
      <c r="N2486" s="8" t="n">
        <v>45</v>
      </c>
      <c r="O2486" s="8" t="n">
        <v>187</v>
      </c>
      <c r="P2486" s="8" t="s">
        <v>120</v>
      </c>
    </row>
    <row r="2487" customFormat="false" ht="15" hidden="false" customHeight="false" outlineLevel="0" collapsed="false">
      <c r="A2487" s="8" t="s">
        <v>3196</v>
      </c>
      <c r="B2487" s="8" t="s">
        <v>3197</v>
      </c>
      <c r="C2487" s="8" t="s">
        <v>8688</v>
      </c>
      <c r="D2487" s="8" t="s">
        <v>132</v>
      </c>
      <c r="E2487" s="8" t="s">
        <v>51</v>
      </c>
      <c r="F2487" s="8" t="s">
        <v>2027</v>
      </c>
      <c r="G2487" s="8" t="s">
        <v>136</v>
      </c>
      <c r="H2487" s="8" t="s">
        <v>8670</v>
      </c>
      <c r="I2487" s="8" t="s">
        <v>10435</v>
      </c>
      <c r="J2487" s="8" t="s">
        <v>180</v>
      </c>
      <c r="K2487" s="8" t="s">
        <v>8664</v>
      </c>
      <c r="L2487" s="8"/>
      <c r="M2487" s="8"/>
      <c r="N2487" s="8" t="n">
        <v>12</v>
      </c>
      <c r="O2487" s="8" t="n">
        <v>20</v>
      </c>
      <c r="P2487" s="8" t="s">
        <v>120</v>
      </c>
    </row>
    <row r="2488" customFormat="false" ht="15" hidden="false" customHeight="false" outlineLevel="0" collapsed="false">
      <c r="A2488" s="8" t="s">
        <v>3198</v>
      </c>
      <c r="B2488" s="8" t="s">
        <v>3199</v>
      </c>
      <c r="C2488" s="8" t="s">
        <v>8688</v>
      </c>
      <c r="D2488" s="8" t="s">
        <v>123</v>
      </c>
      <c r="E2488" s="8" t="s">
        <v>51</v>
      </c>
      <c r="F2488" s="8" t="s">
        <v>2027</v>
      </c>
      <c r="G2488" s="8" t="s">
        <v>166</v>
      </c>
      <c r="H2488" s="8" t="s">
        <v>8675</v>
      </c>
      <c r="I2488" s="8" t="s">
        <v>9215</v>
      </c>
      <c r="J2488" s="8" t="s">
        <v>140</v>
      </c>
      <c r="K2488" s="8" t="s">
        <v>8664</v>
      </c>
      <c r="L2488" s="8"/>
      <c r="M2488" s="8"/>
      <c r="N2488" s="8" t="n">
        <v>12</v>
      </c>
      <c r="O2488" s="8" t="n">
        <v>27</v>
      </c>
      <c r="P2488" s="8" t="s">
        <v>120</v>
      </c>
    </row>
    <row r="2489" customFormat="false" ht="15" hidden="false" customHeight="false" outlineLevel="0" collapsed="false">
      <c r="A2489" s="8" t="s">
        <v>1785</v>
      </c>
      <c r="B2489" s="8" t="s">
        <v>1786</v>
      </c>
      <c r="C2489" s="8" t="s">
        <v>8678</v>
      </c>
      <c r="D2489" s="8" t="s">
        <v>117</v>
      </c>
      <c r="E2489" s="8" t="s">
        <v>51</v>
      </c>
      <c r="F2489" s="8" t="s">
        <v>326</v>
      </c>
      <c r="G2489" s="8" t="s">
        <v>154</v>
      </c>
      <c r="H2489" s="8" t="s">
        <v>8675</v>
      </c>
      <c r="I2489" s="8" t="s">
        <v>10436</v>
      </c>
      <c r="J2489" s="8" t="s">
        <v>129</v>
      </c>
      <c r="K2489" s="8" t="s">
        <v>8664</v>
      </c>
      <c r="L2489" s="8"/>
      <c r="M2489" s="8"/>
      <c r="N2489" s="8" t="n">
        <v>25</v>
      </c>
      <c r="O2489" s="8" t="n">
        <v>36</v>
      </c>
      <c r="P2489" s="8" t="s">
        <v>120</v>
      </c>
    </row>
    <row r="2490" customFormat="false" ht="15" hidden="false" customHeight="false" outlineLevel="0" collapsed="false">
      <c r="A2490" s="8" t="s">
        <v>1787</v>
      </c>
      <c r="B2490" s="8" t="s">
        <v>1788</v>
      </c>
      <c r="C2490" s="8" t="s">
        <v>8680</v>
      </c>
      <c r="D2490" s="8" t="s">
        <v>117</v>
      </c>
      <c r="E2490" s="8" t="s">
        <v>53</v>
      </c>
      <c r="F2490" s="8" t="s">
        <v>326</v>
      </c>
      <c r="G2490" s="8" t="s">
        <v>136</v>
      </c>
      <c r="H2490" s="8" t="s">
        <v>8662</v>
      </c>
      <c r="I2490" s="8" t="s">
        <v>8728</v>
      </c>
      <c r="J2490" s="8" t="s">
        <v>129</v>
      </c>
      <c r="K2490" s="8" t="s">
        <v>8664</v>
      </c>
      <c r="L2490" s="8"/>
      <c r="M2490" s="8"/>
      <c r="N2490" s="8" t="n">
        <v>25</v>
      </c>
      <c r="O2490" s="8" t="n">
        <v>45</v>
      </c>
      <c r="P2490" s="8" t="s">
        <v>120</v>
      </c>
    </row>
    <row r="2491" customFormat="false" ht="15" hidden="false" customHeight="false" outlineLevel="0" collapsed="false">
      <c r="A2491" s="8" t="s">
        <v>4202</v>
      </c>
      <c r="B2491" s="8" t="s">
        <v>4203</v>
      </c>
      <c r="C2491" s="8" t="s">
        <v>8680</v>
      </c>
      <c r="D2491" s="8" t="s">
        <v>132</v>
      </c>
      <c r="E2491" s="8" t="s">
        <v>51</v>
      </c>
      <c r="F2491" s="8" t="s">
        <v>2027</v>
      </c>
      <c r="G2491" s="8" t="s">
        <v>151</v>
      </c>
      <c r="H2491" s="8" t="s">
        <v>8662</v>
      </c>
      <c r="I2491" s="8" t="s">
        <v>10437</v>
      </c>
      <c r="J2491" s="8" t="s">
        <v>159</v>
      </c>
      <c r="K2491" s="8" t="s">
        <v>8664</v>
      </c>
      <c r="L2491" s="8"/>
      <c r="M2491" s="8"/>
      <c r="N2491" s="8" t="n">
        <v>12</v>
      </c>
      <c r="O2491" s="8" t="n">
        <v>9</v>
      </c>
      <c r="P2491" s="8" t="s">
        <v>120</v>
      </c>
    </row>
    <row r="2492" customFormat="false" ht="15" hidden="false" customHeight="false" outlineLevel="0" collapsed="false">
      <c r="A2492" s="8" t="s">
        <v>2348</v>
      </c>
      <c r="B2492" s="8" t="s">
        <v>2349</v>
      </c>
      <c r="C2492" s="8" t="s">
        <v>8700</v>
      </c>
      <c r="D2492" s="8" t="s">
        <v>132</v>
      </c>
      <c r="E2492" s="8" t="s">
        <v>51</v>
      </c>
      <c r="F2492" s="8" t="s">
        <v>2027</v>
      </c>
      <c r="G2492" s="8" t="s">
        <v>124</v>
      </c>
      <c r="H2492" s="8" t="s">
        <v>8662</v>
      </c>
      <c r="I2492" s="8" t="s">
        <v>8663</v>
      </c>
      <c r="J2492" s="8" t="s">
        <v>137</v>
      </c>
      <c r="K2492" s="8" t="s">
        <v>8664</v>
      </c>
      <c r="L2492" s="8"/>
      <c r="M2492" s="8"/>
      <c r="N2492" s="8" t="n">
        <v>12</v>
      </c>
      <c r="O2492" s="8" t="n">
        <v>36</v>
      </c>
      <c r="P2492" s="8" t="s">
        <v>120</v>
      </c>
    </row>
    <row r="2493" customFormat="false" ht="15" hidden="false" customHeight="false" outlineLevel="0" collapsed="false">
      <c r="A2493" s="8" t="s">
        <v>4074</v>
      </c>
      <c r="B2493" s="8" t="s">
        <v>4075</v>
      </c>
      <c r="C2493" s="8" t="s">
        <v>8700</v>
      </c>
      <c r="D2493" s="8" t="s">
        <v>132</v>
      </c>
      <c r="E2493" s="8" t="s">
        <v>51</v>
      </c>
      <c r="F2493" s="8" t="s">
        <v>2027</v>
      </c>
      <c r="G2493" s="8" t="s">
        <v>151</v>
      </c>
      <c r="H2493" s="8" t="s">
        <v>8670</v>
      </c>
      <c r="I2493" s="8" t="s">
        <v>9216</v>
      </c>
      <c r="J2493" s="8" t="s">
        <v>185</v>
      </c>
      <c r="K2493" s="8" t="s">
        <v>8664</v>
      </c>
      <c r="L2493" s="8"/>
      <c r="M2493" s="8"/>
      <c r="N2493" s="8" t="n">
        <v>12</v>
      </c>
      <c r="O2493" s="8" t="n">
        <v>11</v>
      </c>
      <c r="P2493" s="8" t="s">
        <v>120</v>
      </c>
    </row>
    <row r="2494" customFormat="false" ht="15" hidden="false" customHeight="false" outlineLevel="0" collapsed="false">
      <c r="A2494" s="8" t="s">
        <v>2966</v>
      </c>
      <c r="B2494" s="8" t="s">
        <v>2967</v>
      </c>
      <c r="C2494" s="8" t="s">
        <v>8674</v>
      </c>
      <c r="D2494" s="8" t="s">
        <v>132</v>
      </c>
      <c r="E2494" s="8" t="s">
        <v>51</v>
      </c>
      <c r="F2494" s="8" t="s">
        <v>2027</v>
      </c>
      <c r="G2494" s="8" t="s">
        <v>133</v>
      </c>
      <c r="H2494" s="8" t="s">
        <v>8666</v>
      </c>
      <c r="I2494" s="8" t="s">
        <v>9480</v>
      </c>
      <c r="J2494" s="8" t="s">
        <v>144</v>
      </c>
      <c r="K2494" s="8" t="s">
        <v>8664</v>
      </c>
      <c r="L2494" s="8"/>
      <c r="M2494" s="8"/>
      <c r="N2494" s="8" t="n">
        <v>12</v>
      </c>
      <c r="O2494" s="8" t="n">
        <v>31</v>
      </c>
      <c r="P2494" s="8" t="s">
        <v>120</v>
      </c>
    </row>
    <row r="2495" customFormat="false" ht="15" hidden="false" customHeight="false" outlineLevel="0" collapsed="false">
      <c r="A2495" s="8" t="s">
        <v>1745</v>
      </c>
      <c r="B2495" s="8" t="s">
        <v>1746</v>
      </c>
      <c r="C2495" s="8" t="s">
        <v>8665</v>
      </c>
      <c r="D2495" s="8" t="s">
        <v>123</v>
      </c>
      <c r="E2495" s="8" t="s">
        <v>53</v>
      </c>
      <c r="F2495" s="8" t="s">
        <v>326</v>
      </c>
      <c r="G2495" s="8" t="s">
        <v>190</v>
      </c>
      <c r="H2495" s="8" t="s">
        <v>8662</v>
      </c>
      <c r="I2495" s="8" t="s">
        <v>8990</v>
      </c>
      <c r="J2495" s="8" t="s">
        <v>119</v>
      </c>
      <c r="K2495" s="8" t="s">
        <v>8664</v>
      </c>
      <c r="L2495" s="8"/>
      <c r="M2495" s="8"/>
      <c r="N2495" s="8" t="n">
        <v>25</v>
      </c>
      <c r="O2495" s="8" t="n">
        <v>64</v>
      </c>
      <c r="P2495" s="8" t="s">
        <v>120</v>
      </c>
    </row>
    <row r="2496" customFormat="false" ht="15" hidden="false" customHeight="false" outlineLevel="0" collapsed="false">
      <c r="A2496" s="8" t="s">
        <v>2630</v>
      </c>
      <c r="B2496" s="8" t="s">
        <v>2631</v>
      </c>
      <c r="C2496" s="8" t="s">
        <v>8665</v>
      </c>
      <c r="D2496" s="8" t="s">
        <v>132</v>
      </c>
      <c r="E2496" s="8" t="s">
        <v>51</v>
      </c>
      <c r="F2496" s="8" t="s">
        <v>2027</v>
      </c>
      <c r="G2496" s="8" t="s">
        <v>223</v>
      </c>
      <c r="H2496" s="8" t="s">
        <v>8662</v>
      </c>
      <c r="I2496" s="8" t="s">
        <v>9120</v>
      </c>
      <c r="J2496" s="8" t="s">
        <v>185</v>
      </c>
      <c r="K2496" s="8" t="s">
        <v>8664</v>
      </c>
      <c r="L2496" s="8"/>
      <c r="M2496" s="8"/>
      <c r="N2496" s="8" t="n">
        <v>12</v>
      </c>
      <c r="O2496" s="8" t="n">
        <v>32</v>
      </c>
      <c r="P2496" s="8" t="s">
        <v>120</v>
      </c>
    </row>
    <row r="2497" customFormat="false" ht="15" hidden="false" customHeight="false" outlineLevel="0" collapsed="false">
      <c r="A2497" s="8" t="s">
        <v>1415</v>
      </c>
      <c r="B2497" s="8" t="s">
        <v>1416</v>
      </c>
      <c r="C2497" s="8" t="s">
        <v>8680</v>
      </c>
      <c r="D2497" s="8" t="s">
        <v>123</v>
      </c>
      <c r="E2497" s="8" t="s">
        <v>53</v>
      </c>
      <c r="F2497" s="8" t="s">
        <v>326</v>
      </c>
      <c r="G2497" s="8" t="s">
        <v>133</v>
      </c>
      <c r="H2497" s="8" t="s">
        <v>8662</v>
      </c>
      <c r="I2497" s="8" t="s">
        <v>10438</v>
      </c>
      <c r="J2497" s="8" t="s">
        <v>204</v>
      </c>
      <c r="K2497" s="8" t="s">
        <v>8664</v>
      </c>
      <c r="L2497" s="8"/>
      <c r="M2497" s="8"/>
      <c r="N2497" s="8" t="n">
        <v>25</v>
      </c>
      <c r="O2497" s="8" t="n">
        <v>103</v>
      </c>
      <c r="P2497" s="8" t="s">
        <v>120</v>
      </c>
    </row>
    <row r="2498" customFormat="false" ht="15" hidden="false" customHeight="false" outlineLevel="0" collapsed="false">
      <c r="A2498" s="8" t="s">
        <v>2396</v>
      </c>
      <c r="B2498" s="8" t="s">
        <v>2397</v>
      </c>
      <c r="C2498" s="8" t="s">
        <v>8680</v>
      </c>
      <c r="D2498" s="8" t="s">
        <v>132</v>
      </c>
      <c r="E2498" s="8" t="s">
        <v>51</v>
      </c>
      <c r="F2498" s="8" t="s">
        <v>326</v>
      </c>
      <c r="G2498" s="8" t="s">
        <v>166</v>
      </c>
      <c r="H2498" s="8" t="s">
        <v>8675</v>
      </c>
      <c r="I2498" s="8" t="s">
        <v>9602</v>
      </c>
      <c r="J2498" s="8" t="s">
        <v>119</v>
      </c>
      <c r="K2498" s="8" t="s">
        <v>8664</v>
      </c>
      <c r="L2498" s="8"/>
      <c r="M2498" s="8"/>
      <c r="N2498" s="8" t="n">
        <v>25</v>
      </c>
      <c r="O2498" s="8" t="n">
        <v>20</v>
      </c>
      <c r="P2498" s="8" t="s">
        <v>120</v>
      </c>
    </row>
    <row r="2499" customFormat="false" ht="15" hidden="false" customHeight="false" outlineLevel="0" collapsed="false">
      <c r="A2499" s="8" t="s">
        <v>1867</v>
      </c>
      <c r="B2499" s="8" t="s">
        <v>1868</v>
      </c>
      <c r="C2499" s="8" t="s">
        <v>8680</v>
      </c>
      <c r="D2499" s="8" t="s">
        <v>123</v>
      </c>
      <c r="E2499" s="8" t="s">
        <v>51</v>
      </c>
      <c r="F2499" s="8" t="s">
        <v>326</v>
      </c>
      <c r="G2499" s="8" t="s">
        <v>166</v>
      </c>
      <c r="H2499" s="8" t="s">
        <v>8675</v>
      </c>
      <c r="I2499" s="8" t="s">
        <v>9056</v>
      </c>
      <c r="J2499" s="8" t="s">
        <v>137</v>
      </c>
      <c r="K2499" s="8" t="s">
        <v>8664</v>
      </c>
      <c r="L2499" s="8"/>
      <c r="M2499" s="8"/>
      <c r="N2499" s="8" t="n">
        <v>25</v>
      </c>
      <c r="O2499" s="8" t="n">
        <v>38</v>
      </c>
      <c r="P2499" s="8" t="s">
        <v>120</v>
      </c>
    </row>
    <row r="2500" customFormat="false" ht="15" hidden="false" customHeight="false" outlineLevel="0" collapsed="false">
      <c r="A2500" s="8" t="s">
        <v>829</v>
      </c>
      <c r="B2500" s="8" t="s">
        <v>830</v>
      </c>
      <c r="C2500" s="8" t="s">
        <v>8678</v>
      </c>
      <c r="D2500" s="8" t="s">
        <v>128</v>
      </c>
      <c r="E2500" s="8" t="s">
        <v>53</v>
      </c>
      <c r="F2500" s="8" t="s">
        <v>326</v>
      </c>
      <c r="G2500" s="8" t="s">
        <v>143</v>
      </c>
      <c r="H2500" s="8" t="s">
        <v>8675</v>
      </c>
      <c r="I2500" s="8" t="s">
        <v>8830</v>
      </c>
      <c r="J2500" s="8" t="s">
        <v>180</v>
      </c>
      <c r="K2500" s="8" t="s">
        <v>8664</v>
      </c>
      <c r="L2500" s="8"/>
      <c r="M2500" s="8"/>
      <c r="N2500" s="8" t="n">
        <v>25</v>
      </c>
      <c r="O2500" s="8" t="n">
        <v>192</v>
      </c>
      <c r="P2500" s="8" t="s">
        <v>120</v>
      </c>
    </row>
    <row r="2501" customFormat="false" ht="15" hidden="false" customHeight="false" outlineLevel="0" collapsed="false">
      <c r="A2501" s="8" t="s">
        <v>4520</v>
      </c>
      <c r="B2501" s="8" t="s">
        <v>10439</v>
      </c>
      <c r="C2501" s="8" t="s">
        <v>8688</v>
      </c>
      <c r="D2501" s="8" t="s">
        <v>123</v>
      </c>
      <c r="E2501" s="8" t="s">
        <v>51</v>
      </c>
      <c r="F2501" s="8" t="s">
        <v>2027</v>
      </c>
      <c r="G2501" s="8" t="s">
        <v>190</v>
      </c>
      <c r="H2501" s="8" t="s">
        <v>8666</v>
      </c>
      <c r="I2501" s="8" t="s">
        <v>8890</v>
      </c>
      <c r="J2501" s="8"/>
      <c r="K2501" s="8" t="s">
        <v>8690</v>
      </c>
      <c r="L2501" s="8" t="s">
        <v>9475</v>
      </c>
      <c r="M2501" s="8" t="s">
        <v>8795</v>
      </c>
      <c r="N2501" s="8" t="n">
        <v>12</v>
      </c>
      <c r="O2501" s="8" t="n">
        <v>33</v>
      </c>
      <c r="P2501" s="8" t="s">
        <v>148</v>
      </c>
    </row>
    <row r="2502" customFormat="false" ht="15" hidden="false" customHeight="false" outlineLevel="0" collapsed="false">
      <c r="A2502" s="8" t="s">
        <v>4144</v>
      </c>
      <c r="B2502" s="8" t="s">
        <v>4145</v>
      </c>
      <c r="C2502" s="8" t="s">
        <v>8669</v>
      </c>
      <c r="D2502" s="8" t="s">
        <v>117</v>
      </c>
      <c r="E2502" s="8" t="s">
        <v>51</v>
      </c>
      <c r="F2502" s="8" t="s">
        <v>2027</v>
      </c>
      <c r="G2502" s="8" t="s">
        <v>118</v>
      </c>
      <c r="H2502" s="8" t="s">
        <v>8670</v>
      </c>
      <c r="I2502" s="8" t="s">
        <v>10440</v>
      </c>
      <c r="J2502" s="8" t="s">
        <v>177</v>
      </c>
      <c r="K2502" s="8" t="s">
        <v>8664</v>
      </c>
      <c r="L2502" s="8"/>
      <c r="M2502" s="8"/>
      <c r="N2502" s="8" t="n">
        <v>12</v>
      </c>
      <c r="O2502" s="8" t="n">
        <v>10</v>
      </c>
      <c r="P2502" s="8" t="s">
        <v>120</v>
      </c>
    </row>
    <row r="2503" customFormat="false" ht="15" hidden="false" customHeight="false" outlineLevel="0" collapsed="false">
      <c r="A2503" s="8" t="s">
        <v>1493</v>
      </c>
      <c r="B2503" s="8" t="s">
        <v>1494</v>
      </c>
      <c r="C2503" s="8" t="s">
        <v>8661</v>
      </c>
      <c r="D2503" s="8" t="s">
        <v>117</v>
      </c>
      <c r="E2503" s="8" t="s">
        <v>53</v>
      </c>
      <c r="F2503" s="8" t="s">
        <v>326</v>
      </c>
      <c r="G2503" s="8" t="s">
        <v>118</v>
      </c>
      <c r="H2503" s="8" t="s">
        <v>8670</v>
      </c>
      <c r="I2503" s="8" t="s">
        <v>9043</v>
      </c>
      <c r="J2503" s="8" t="s">
        <v>159</v>
      </c>
      <c r="K2503" s="8" t="s">
        <v>8664</v>
      </c>
      <c r="L2503" s="8"/>
      <c r="M2503" s="8"/>
      <c r="N2503" s="8" t="n">
        <v>25</v>
      </c>
      <c r="O2503" s="8" t="n">
        <v>92</v>
      </c>
      <c r="P2503" s="8" t="s">
        <v>148</v>
      </c>
    </row>
    <row r="2504" customFormat="false" ht="15" hidden="false" customHeight="false" outlineLevel="0" collapsed="false">
      <c r="A2504" s="8" t="s">
        <v>1545</v>
      </c>
      <c r="B2504" s="8" t="s">
        <v>1546</v>
      </c>
      <c r="C2504" s="8" t="s">
        <v>8661</v>
      </c>
      <c r="D2504" s="8" t="s">
        <v>123</v>
      </c>
      <c r="E2504" s="8" t="s">
        <v>53</v>
      </c>
      <c r="F2504" s="8" t="s">
        <v>326</v>
      </c>
      <c r="G2504" s="8" t="s">
        <v>223</v>
      </c>
      <c r="H2504" s="8" t="s">
        <v>8662</v>
      </c>
      <c r="I2504" s="8" t="s">
        <v>9279</v>
      </c>
      <c r="J2504" s="8" t="s">
        <v>204</v>
      </c>
      <c r="K2504" s="8" t="s">
        <v>8664</v>
      </c>
      <c r="L2504" s="8"/>
      <c r="M2504" s="8"/>
      <c r="N2504" s="8" t="n">
        <v>25</v>
      </c>
      <c r="O2504" s="8" t="n">
        <v>69</v>
      </c>
      <c r="P2504" s="8" t="s">
        <v>120</v>
      </c>
    </row>
    <row r="2505" customFormat="false" ht="15" hidden="false" customHeight="false" outlineLevel="0" collapsed="false">
      <c r="A2505" s="8" t="s">
        <v>141</v>
      </c>
      <c r="B2505" s="8" t="s">
        <v>142</v>
      </c>
      <c r="C2505" s="8" t="s">
        <v>8700</v>
      </c>
      <c r="D2505" s="8" t="s">
        <v>117</v>
      </c>
      <c r="E2505" s="8" t="s">
        <v>55</v>
      </c>
      <c r="F2505" s="8" t="s">
        <v>55</v>
      </c>
      <c r="G2505" s="8" t="s">
        <v>143</v>
      </c>
      <c r="H2505" s="8" t="s">
        <v>8675</v>
      </c>
      <c r="I2505" s="8" t="s">
        <v>9778</v>
      </c>
      <c r="J2505" s="8" t="s">
        <v>144</v>
      </c>
      <c r="K2505" s="8" t="s">
        <v>8664</v>
      </c>
      <c r="L2505" s="8"/>
      <c r="M2505" s="8"/>
      <c r="N2505" s="8" t="n">
        <v>45</v>
      </c>
      <c r="O2505" s="8" t="n">
        <v>436</v>
      </c>
      <c r="P2505" s="8" t="s">
        <v>120</v>
      </c>
    </row>
    <row r="2506" customFormat="false" ht="15" hidden="false" customHeight="false" outlineLevel="0" collapsed="false">
      <c r="A2506" s="8" t="s">
        <v>2228</v>
      </c>
      <c r="B2506" s="8" t="s">
        <v>2229</v>
      </c>
      <c r="C2506" s="8" t="s">
        <v>8680</v>
      </c>
      <c r="D2506" s="8" t="s">
        <v>123</v>
      </c>
      <c r="E2506" s="8" t="s">
        <v>51</v>
      </c>
      <c r="F2506" s="8" t="s">
        <v>326</v>
      </c>
      <c r="G2506" s="8" t="s">
        <v>133</v>
      </c>
      <c r="H2506" s="8" t="s">
        <v>8666</v>
      </c>
      <c r="I2506" s="8" t="s">
        <v>10415</v>
      </c>
      <c r="J2506" s="8" t="s">
        <v>144</v>
      </c>
      <c r="K2506" s="8" t="s">
        <v>8664</v>
      </c>
      <c r="L2506" s="8"/>
      <c r="M2506" s="8"/>
      <c r="N2506" s="8" t="n">
        <v>25</v>
      </c>
      <c r="O2506" s="8" t="n">
        <v>24</v>
      </c>
      <c r="P2506" s="8" t="s">
        <v>120</v>
      </c>
    </row>
    <row r="2507" customFormat="false" ht="15" hidden="false" customHeight="false" outlineLevel="0" collapsed="false">
      <c r="A2507" s="8" t="s">
        <v>4496</v>
      </c>
      <c r="B2507" s="8" t="s">
        <v>10441</v>
      </c>
      <c r="C2507" s="8" t="s">
        <v>8688</v>
      </c>
      <c r="D2507" s="8" t="s">
        <v>123</v>
      </c>
      <c r="E2507" s="8" t="s">
        <v>51</v>
      </c>
      <c r="F2507" s="8" t="s">
        <v>2027</v>
      </c>
      <c r="G2507" s="8" t="s">
        <v>118</v>
      </c>
      <c r="H2507" s="8" t="s">
        <v>8666</v>
      </c>
      <c r="I2507" s="8" t="s">
        <v>10135</v>
      </c>
      <c r="J2507" s="8"/>
      <c r="K2507" s="8" t="s">
        <v>8690</v>
      </c>
      <c r="L2507" s="8" t="s">
        <v>9255</v>
      </c>
      <c r="M2507" s="8" t="s">
        <v>8692</v>
      </c>
      <c r="N2507" s="8" t="n">
        <v>12</v>
      </c>
      <c r="O2507" s="8" t="n">
        <v>39</v>
      </c>
      <c r="P2507" s="8" t="s">
        <v>120</v>
      </c>
    </row>
    <row r="2508" customFormat="false" ht="15" hidden="false" customHeight="false" outlineLevel="0" collapsed="false">
      <c r="A2508" s="8" t="s">
        <v>4588</v>
      </c>
      <c r="B2508" s="8" t="s">
        <v>10442</v>
      </c>
      <c r="C2508" s="8" t="s">
        <v>8665</v>
      </c>
      <c r="D2508" s="8" t="s">
        <v>123</v>
      </c>
      <c r="E2508" s="8" t="s">
        <v>51</v>
      </c>
      <c r="F2508" s="8" t="s">
        <v>2027</v>
      </c>
      <c r="G2508" s="8" t="s">
        <v>124</v>
      </c>
      <c r="H2508" s="8" t="s">
        <v>8662</v>
      </c>
      <c r="I2508" s="8" t="s">
        <v>9388</v>
      </c>
      <c r="J2508" s="8"/>
      <c r="K2508" s="8" t="s">
        <v>8690</v>
      </c>
      <c r="L2508" s="8" t="s">
        <v>10412</v>
      </c>
      <c r="M2508" s="8" t="s">
        <v>8705</v>
      </c>
      <c r="N2508" s="8" t="n">
        <v>12</v>
      </c>
      <c r="O2508" s="8" t="n">
        <v>10</v>
      </c>
      <c r="P2508" s="8" t="s">
        <v>120</v>
      </c>
    </row>
    <row r="2509" customFormat="false" ht="15" hidden="false" customHeight="false" outlineLevel="0" collapsed="false">
      <c r="A2509" s="8" t="s">
        <v>699</v>
      </c>
      <c r="B2509" s="8" t="s">
        <v>700</v>
      </c>
      <c r="C2509" s="8" t="s">
        <v>8680</v>
      </c>
      <c r="D2509" s="8" t="s">
        <v>123</v>
      </c>
      <c r="E2509" s="8" t="s">
        <v>55</v>
      </c>
      <c r="F2509" s="8" t="s">
        <v>326</v>
      </c>
      <c r="G2509" s="8" t="s">
        <v>133</v>
      </c>
      <c r="H2509" s="8" t="s">
        <v>8666</v>
      </c>
      <c r="I2509" s="8" t="s">
        <v>8771</v>
      </c>
      <c r="J2509" s="8" t="s">
        <v>204</v>
      </c>
      <c r="K2509" s="8" t="s">
        <v>8664</v>
      </c>
      <c r="L2509" s="8"/>
      <c r="M2509" s="8"/>
      <c r="N2509" s="8" t="n">
        <v>25</v>
      </c>
      <c r="O2509" s="8" t="n">
        <v>161</v>
      </c>
      <c r="P2509" s="8" t="s">
        <v>120</v>
      </c>
    </row>
    <row r="2510" customFormat="false" ht="15" hidden="false" customHeight="false" outlineLevel="0" collapsed="false">
      <c r="A2510" s="8" t="s">
        <v>2724</v>
      </c>
      <c r="B2510" s="8" t="s">
        <v>2725</v>
      </c>
      <c r="C2510" s="8" t="s">
        <v>8661</v>
      </c>
      <c r="D2510" s="8" t="s">
        <v>132</v>
      </c>
      <c r="E2510" s="8" t="s">
        <v>51</v>
      </c>
      <c r="F2510" s="8" t="s">
        <v>2027</v>
      </c>
      <c r="G2510" s="8" t="s">
        <v>154</v>
      </c>
      <c r="H2510" s="8" t="s">
        <v>8666</v>
      </c>
      <c r="I2510" s="8" t="s">
        <v>9574</v>
      </c>
      <c r="J2510" s="8" t="s">
        <v>159</v>
      </c>
      <c r="K2510" s="8" t="s">
        <v>8664</v>
      </c>
      <c r="L2510" s="8"/>
      <c r="M2510" s="8"/>
      <c r="N2510" s="8" t="n">
        <v>12</v>
      </c>
      <c r="O2510" s="8" t="n">
        <v>35</v>
      </c>
      <c r="P2510" s="8" t="s">
        <v>120</v>
      </c>
    </row>
    <row r="2511" customFormat="false" ht="15" hidden="false" customHeight="false" outlineLevel="0" collapsed="false">
      <c r="A2511" s="8" t="s">
        <v>1143</v>
      </c>
      <c r="B2511" s="8" t="s">
        <v>1144</v>
      </c>
      <c r="C2511" s="8" t="s">
        <v>8700</v>
      </c>
      <c r="D2511" s="8" t="s">
        <v>117</v>
      </c>
      <c r="E2511" s="8" t="s">
        <v>53</v>
      </c>
      <c r="F2511" s="8" t="s">
        <v>326</v>
      </c>
      <c r="G2511" s="8" t="s">
        <v>223</v>
      </c>
      <c r="H2511" s="8" t="s">
        <v>8670</v>
      </c>
      <c r="I2511" s="8" t="s">
        <v>9058</v>
      </c>
      <c r="J2511" s="8" t="s">
        <v>147</v>
      </c>
      <c r="K2511" s="8" t="s">
        <v>8664</v>
      </c>
      <c r="L2511" s="8"/>
      <c r="M2511" s="8"/>
      <c r="N2511" s="8" t="n">
        <v>25</v>
      </c>
      <c r="O2511" s="8" t="n">
        <v>144</v>
      </c>
      <c r="P2511" s="8" t="s">
        <v>120</v>
      </c>
    </row>
    <row r="2512" customFormat="false" ht="15" hidden="false" customHeight="false" outlineLevel="0" collapsed="false">
      <c r="A2512" s="8" t="s">
        <v>1315</v>
      </c>
      <c r="B2512" s="8" t="s">
        <v>1316</v>
      </c>
      <c r="C2512" s="8" t="s">
        <v>8688</v>
      </c>
      <c r="D2512" s="8" t="s">
        <v>123</v>
      </c>
      <c r="E2512" s="8" t="s">
        <v>53</v>
      </c>
      <c r="F2512" s="8" t="s">
        <v>326</v>
      </c>
      <c r="G2512" s="8" t="s">
        <v>166</v>
      </c>
      <c r="H2512" s="8" t="s">
        <v>8675</v>
      </c>
      <c r="I2512" s="8" t="s">
        <v>8981</v>
      </c>
      <c r="J2512" s="8" t="s">
        <v>125</v>
      </c>
      <c r="K2512" s="8" t="s">
        <v>8664</v>
      </c>
      <c r="L2512" s="8"/>
      <c r="M2512" s="8"/>
      <c r="N2512" s="8" t="n">
        <v>25</v>
      </c>
      <c r="O2512" s="8" t="n">
        <v>120</v>
      </c>
      <c r="P2512" s="8" t="s">
        <v>120</v>
      </c>
    </row>
    <row r="2513" customFormat="false" ht="15" hidden="false" customHeight="false" outlineLevel="0" collapsed="false">
      <c r="A2513" s="8" t="s">
        <v>3142</v>
      </c>
      <c r="B2513" s="8" t="s">
        <v>3143</v>
      </c>
      <c r="C2513" s="8" t="s">
        <v>8674</v>
      </c>
      <c r="D2513" s="8" t="s">
        <v>117</v>
      </c>
      <c r="E2513" s="8" t="s">
        <v>51</v>
      </c>
      <c r="F2513" s="8" t="s">
        <v>326</v>
      </c>
      <c r="G2513" s="8" t="s">
        <v>151</v>
      </c>
      <c r="H2513" s="8" t="s">
        <v>8666</v>
      </c>
      <c r="I2513" s="8" t="s">
        <v>9271</v>
      </c>
      <c r="J2513" s="8" t="s">
        <v>185</v>
      </c>
      <c r="K2513" s="8" t="s">
        <v>8664</v>
      </c>
      <c r="L2513" s="8"/>
      <c r="M2513" s="8"/>
      <c r="N2513" s="8" t="n">
        <v>25</v>
      </c>
      <c r="O2513" s="8" t="n">
        <v>11</v>
      </c>
      <c r="P2513" s="8" t="s">
        <v>120</v>
      </c>
    </row>
    <row r="2514" customFormat="false" ht="15" hidden="false" customHeight="false" outlineLevel="0" collapsed="false">
      <c r="A2514" s="8" t="s">
        <v>995</v>
      </c>
      <c r="B2514" s="8" t="s">
        <v>996</v>
      </c>
      <c r="C2514" s="8" t="s">
        <v>8669</v>
      </c>
      <c r="D2514" s="8" t="s">
        <v>123</v>
      </c>
      <c r="E2514" s="8" t="s">
        <v>53</v>
      </c>
      <c r="F2514" s="8" t="s">
        <v>326</v>
      </c>
      <c r="G2514" s="8" t="s">
        <v>154</v>
      </c>
      <c r="H2514" s="8" t="s">
        <v>8666</v>
      </c>
      <c r="I2514" s="8" t="s">
        <v>10097</v>
      </c>
      <c r="J2514" s="8" t="s">
        <v>140</v>
      </c>
      <c r="K2514" s="8" t="s">
        <v>8664</v>
      </c>
      <c r="L2514" s="8"/>
      <c r="M2514" s="8"/>
      <c r="N2514" s="8" t="n">
        <v>25</v>
      </c>
      <c r="O2514" s="8" t="n">
        <v>147</v>
      </c>
      <c r="P2514" s="8" t="s">
        <v>120</v>
      </c>
    </row>
    <row r="2515" customFormat="false" ht="15" hidden="false" customHeight="false" outlineLevel="0" collapsed="false">
      <c r="A2515" s="8" t="s">
        <v>3540</v>
      </c>
      <c r="B2515" s="8" t="s">
        <v>3541</v>
      </c>
      <c r="C2515" s="8" t="s">
        <v>8700</v>
      </c>
      <c r="D2515" s="8" t="s">
        <v>132</v>
      </c>
      <c r="E2515" s="8" t="s">
        <v>51</v>
      </c>
      <c r="F2515" s="8" t="s">
        <v>326</v>
      </c>
      <c r="G2515" s="8" t="s">
        <v>136</v>
      </c>
      <c r="H2515" s="8" t="s">
        <v>8662</v>
      </c>
      <c r="I2515" s="8" t="s">
        <v>9026</v>
      </c>
      <c r="J2515" s="8" t="s">
        <v>177</v>
      </c>
      <c r="K2515" s="8" t="s">
        <v>8664</v>
      </c>
      <c r="L2515" s="8"/>
      <c r="M2515" s="8"/>
      <c r="N2515" s="8" t="n">
        <v>25</v>
      </c>
      <c r="O2515" s="8" t="n">
        <v>10</v>
      </c>
      <c r="P2515" s="8" t="s">
        <v>120</v>
      </c>
    </row>
    <row r="2516" customFormat="false" ht="15" hidden="false" customHeight="false" outlineLevel="0" collapsed="false">
      <c r="A2516" s="8" t="s">
        <v>1931</v>
      </c>
      <c r="B2516" s="8" t="s">
        <v>1932</v>
      </c>
      <c r="C2516" s="8" t="s">
        <v>8674</v>
      </c>
      <c r="D2516" s="8" t="s">
        <v>123</v>
      </c>
      <c r="E2516" s="8" t="s">
        <v>51</v>
      </c>
      <c r="F2516" s="8" t="s">
        <v>326</v>
      </c>
      <c r="G2516" s="8" t="s">
        <v>223</v>
      </c>
      <c r="H2516" s="8" t="s">
        <v>8675</v>
      </c>
      <c r="I2516" s="8" t="s">
        <v>9435</v>
      </c>
      <c r="J2516" s="8" t="s">
        <v>125</v>
      </c>
      <c r="K2516" s="8" t="s">
        <v>8664</v>
      </c>
      <c r="L2516" s="8"/>
      <c r="M2516" s="8"/>
      <c r="N2516" s="8" t="n">
        <v>25</v>
      </c>
      <c r="O2516" s="8" t="n">
        <v>35</v>
      </c>
      <c r="P2516" s="8" t="s">
        <v>120</v>
      </c>
    </row>
    <row r="2517" customFormat="false" ht="15" hidden="false" customHeight="false" outlineLevel="0" collapsed="false">
      <c r="A2517" s="8" t="s">
        <v>2398</v>
      </c>
      <c r="B2517" s="8" t="s">
        <v>2399</v>
      </c>
      <c r="C2517" s="8" t="s">
        <v>8680</v>
      </c>
      <c r="D2517" s="8" t="s">
        <v>123</v>
      </c>
      <c r="E2517" s="8" t="s">
        <v>51</v>
      </c>
      <c r="F2517" s="8" t="s">
        <v>326</v>
      </c>
      <c r="G2517" s="8" t="s">
        <v>151</v>
      </c>
      <c r="H2517" s="8" t="s">
        <v>8662</v>
      </c>
      <c r="I2517" s="8" t="s">
        <v>9538</v>
      </c>
      <c r="J2517" s="8" t="s">
        <v>204</v>
      </c>
      <c r="K2517" s="8" t="s">
        <v>8664</v>
      </c>
      <c r="L2517" s="8"/>
      <c r="M2517" s="8"/>
      <c r="N2517" s="8" t="n">
        <v>25</v>
      </c>
      <c r="O2517" s="8" t="n">
        <v>15</v>
      </c>
      <c r="P2517" s="8" t="s">
        <v>120</v>
      </c>
    </row>
    <row r="2518" customFormat="false" ht="15" hidden="false" customHeight="false" outlineLevel="0" collapsed="false">
      <c r="A2518" s="8" t="s">
        <v>1809</v>
      </c>
      <c r="B2518" s="8" t="s">
        <v>1810</v>
      </c>
      <c r="C2518" s="8" t="s">
        <v>8665</v>
      </c>
      <c r="D2518" s="8" t="s">
        <v>132</v>
      </c>
      <c r="E2518" s="8" t="s">
        <v>51</v>
      </c>
      <c r="F2518" s="8" t="s">
        <v>326</v>
      </c>
      <c r="G2518" s="8" t="s">
        <v>118</v>
      </c>
      <c r="H2518" s="8" t="s">
        <v>8675</v>
      </c>
      <c r="I2518" s="8" t="s">
        <v>9016</v>
      </c>
      <c r="J2518" s="8" t="s">
        <v>144</v>
      </c>
      <c r="K2518" s="8" t="s">
        <v>8664</v>
      </c>
      <c r="L2518" s="8"/>
      <c r="M2518" s="8"/>
      <c r="N2518" s="8" t="n">
        <v>25</v>
      </c>
      <c r="O2518" s="8" t="n">
        <v>36</v>
      </c>
      <c r="P2518" s="8" t="s">
        <v>120</v>
      </c>
    </row>
    <row r="2519" customFormat="false" ht="15" hidden="false" customHeight="false" outlineLevel="0" collapsed="false">
      <c r="A2519" s="8" t="s">
        <v>10443</v>
      </c>
      <c r="B2519" s="8" t="s">
        <v>10444</v>
      </c>
      <c r="C2519" s="8" t="s">
        <v>8678</v>
      </c>
      <c r="D2519" s="8" t="s">
        <v>117</v>
      </c>
      <c r="E2519" s="8" t="s">
        <v>53</v>
      </c>
      <c r="F2519" s="8" t="s">
        <v>326</v>
      </c>
      <c r="G2519" s="8" t="s">
        <v>223</v>
      </c>
      <c r="H2519" s="8" t="s">
        <v>8666</v>
      </c>
      <c r="I2519" s="8" t="s">
        <v>10117</v>
      </c>
      <c r="J2519" s="8"/>
      <c r="K2519" s="8" t="s">
        <v>8690</v>
      </c>
      <c r="L2519" s="8" t="s">
        <v>8768</v>
      </c>
      <c r="M2519" s="8" t="s">
        <v>8705</v>
      </c>
      <c r="N2519" s="8" t="n">
        <v>25</v>
      </c>
      <c r="O2519" s="8" t="n">
        <v>143</v>
      </c>
      <c r="P2519" s="8" t="s">
        <v>120</v>
      </c>
    </row>
    <row r="2520" customFormat="false" ht="15" hidden="false" customHeight="false" outlineLevel="0" collapsed="false">
      <c r="A2520" s="8" t="s">
        <v>3694</v>
      </c>
      <c r="B2520" s="8" t="s">
        <v>3695</v>
      </c>
      <c r="C2520" s="8" t="s">
        <v>8700</v>
      </c>
      <c r="D2520" s="8" t="s">
        <v>123</v>
      </c>
      <c r="E2520" s="8" t="s">
        <v>51</v>
      </c>
      <c r="F2520" s="8" t="s">
        <v>2027</v>
      </c>
      <c r="G2520" s="8" t="s">
        <v>154</v>
      </c>
      <c r="H2520" s="8" t="s">
        <v>8666</v>
      </c>
      <c r="I2520" s="8" t="s">
        <v>10349</v>
      </c>
      <c r="J2520" s="8" t="s">
        <v>147</v>
      </c>
      <c r="K2520" s="8" t="s">
        <v>8664</v>
      </c>
      <c r="L2520" s="8"/>
      <c r="M2520" s="8"/>
      <c r="N2520" s="8" t="n">
        <v>12</v>
      </c>
      <c r="O2520" s="8" t="n">
        <v>18</v>
      </c>
      <c r="P2520" s="8" t="s">
        <v>120</v>
      </c>
    </row>
    <row r="2521" customFormat="false" ht="15" hidden="false" customHeight="false" outlineLevel="0" collapsed="false">
      <c r="A2521" s="8" t="s">
        <v>1445</v>
      </c>
      <c r="B2521" s="8" t="s">
        <v>1446</v>
      </c>
      <c r="C2521" s="8" t="s">
        <v>8700</v>
      </c>
      <c r="D2521" s="8" t="s">
        <v>117</v>
      </c>
      <c r="E2521" s="8" t="s">
        <v>53</v>
      </c>
      <c r="F2521" s="8" t="s">
        <v>326</v>
      </c>
      <c r="G2521" s="8" t="s">
        <v>190</v>
      </c>
      <c r="H2521" s="8" t="s">
        <v>8666</v>
      </c>
      <c r="I2521" s="8" t="s">
        <v>9353</v>
      </c>
      <c r="J2521" s="8" t="s">
        <v>125</v>
      </c>
      <c r="K2521" s="8" t="s">
        <v>8664</v>
      </c>
      <c r="L2521" s="8"/>
      <c r="M2521" s="8"/>
      <c r="N2521" s="8" t="n">
        <v>25</v>
      </c>
      <c r="O2521" s="8" t="n">
        <v>85</v>
      </c>
      <c r="P2521" s="8" t="s">
        <v>120</v>
      </c>
    </row>
    <row r="2522" customFormat="false" ht="15" hidden="false" customHeight="false" outlineLevel="0" collapsed="false">
      <c r="A2522" s="8" t="s">
        <v>2064</v>
      </c>
      <c r="B2522" s="8" t="s">
        <v>2065</v>
      </c>
      <c r="C2522" s="8" t="s">
        <v>8678</v>
      </c>
      <c r="D2522" s="8" t="s">
        <v>132</v>
      </c>
      <c r="E2522" s="8" t="s">
        <v>51</v>
      </c>
      <c r="F2522" s="8" t="s">
        <v>326</v>
      </c>
      <c r="G2522" s="8" t="s">
        <v>124</v>
      </c>
      <c r="H2522" s="8" t="s">
        <v>8670</v>
      </c>
      <c r="I2522" s="8" t="s">
        <v>10299</v>
      </c>
      <c r="J2522" s="8" t="s">
        <v>185</v>
      </c>
      <c r="K2522" s="8" t="s">
        <v>8664</v>
      </c>
      <c r="L2522" s="8"/>
      <c r="M2522" s="8"/>
      <c r="N2522" s="8" t="n">
        <v>25</v>
      </c>
      <c r="O2522" s="8" t="n">
        <v>25</v>
      </c>
      <c r="P2522" s="8" t="s">
        <v>120</v>
      </c>
    </row>
    <row r="2523" customFormat="false" ht="15" hidden="false" customHeight="false" outlineLevel="0" collapsed="false">
      <c r="A2523" s="8" t="s">
        <v>547</v>
      </c>
      <c r="B2523" s="8" t="s">
        <v>548</v>
      </c>
      <c r="C2523" s="8" t="s">
        <v>8674</v>
      </c>
      <c r="D2523" s="8" t="s">
        <v>123</v>
      </c>
      <c r="E2523" s="8" t="s">
        <v>53</v>
      </c>
      <c r="F2523" s="8" t="s">
        <v>55</v>
      </c>
      <c r="G2523" s="8" t="s">
        <v>223</v>
      </c>
      <c r="H2523" s="8" t="s">
        <v>8675</v>
      </c>
      <c r="I2523" s="8" t="s">
        <v>8701</v>
      </c>
      <c r="J2523" s="8" t="s">
        <v>144</v>
      </c>
      <c r="K2523" s="8" t="s">
        <v>8664</v>
      </c>
      <c r="L2523" s="8"/>
      <c r="M2523" s="8"/>
      <c r="N2523" s="8" t="n">
        <v>45</v>
      </c>
      <c r="O2523" s="8" t="n">
        <v>196</v>
      </c>
      <c r="P2523" s="8" t="s">
        <v>120</v>
      </c>
    </row>
    <row r="2524" customFormat="false" ht="15" hidden="false" customHeight="false" outlineLevel="0" collapsed="false">
      <c r="A2524" s="8" t="s">
        <v>3832</v>
      </c>
      <c r="B2524" s="8" t="s">
        <v>3833</v>
      </c>
      <c r="C2524" s="8" t="s">
        <v>8688</v>
      </c>
      <c r="D2524" s="8" t="s">
        <v>132</v>
      </c>
      <c r="E2524" s="8" t="s">
        <v>51</v>
      </c>
      <c r="F2524" s="8" t="s">
        <v>2027</v>
      </c>
      <c r="G2524" s="8" t="s">
        <v>143</v>
      </c>
      <c r="H2524" s="8" t="s">
        <v>8675</v>
      </c>
      <c r="I2524" s="8" t="s">
        <v>8766</v>
      </c>
      <c r="J2524" s="8" t="s">
        <v>177</v>
      </c>
      <c r="K2524" s="8" t="s">
        <v>8664</v>
      </c>
      <c r="L2524" s="8"/>
      <c r="M2524" s="8"/>
      <c r="N2524" s="8" t="n">
        <v>12</v>
      </c>
      <c r="O2524" s="8" t="n">
        <v>15</v>
      </c>
      <c r="P2524" s="8" t="s">
        <v>120</v>
      </c>
    </row>
    <row r="2525" customFormat="false" ht="15" hidden="false" customHeight="false" outlineLevel="0" collapsed="false">
      <c r="A2525" s="8" t="s">
        <v>3440</v>
      </c>
      <c r="B2525" s="8" t="s">
        <v>3441</v>
      </c>
      <c r="C2525" s="8" t="s">
        <v>8661</v>
      </c>
      <c r="D2525" s="8" t="s">
        <v>128</v>
      </c>
      <c r="E2525" s="8" t="s">
        <v>51</v>
      </c>
      <c r="F2525" s="8" t="s">
        <v>2027</v>
      </c>
      <c r="G2525" s="8" t="s">
        <v>143</v>
      </c>
      <c r="H2525" s="8" t="s">
        <v>8662</v>
      </c>
      <c r="I2525" s="8" t="s">
        <v>8921</v>
      </c>
      <c r="J2525" s="8" t="s">
        <v>140</v>
      </c>
      <c r="K2525" s="8" t="s">
        <v>8664</v>
      </c>
      <c r="L2525" s="8"/>
      <c r="M2525" s="8"/>
      <c r="N2525" s="8" t="n">
        <v>12</v>
      </c>
      <c r="O2525" s="8" t="n">
        <v>23</v>
      </c>
      <c r="P2525" s="8" t="s">
        <v>120</v>
      </c>
    </row>
    <row r="2526" customFormat="false" ht="15" hidden="false" customHeight="false" outlineLevel="0" collapsed="false">
      <c r="A2526" s="8" t="s">
        <v>4204</v>
      </c>
      <c r="B2526" s="8" t="s">
        <v>4205</v>
      </c>
      <c r="C2526" s="8" t="s">
        <v>8700</v>
      </c>
      <c r="D2526" s="8" t="s">
        <v>123</v>
      </c>
      <c r="E2526" s="8" t="s">
        <v>51</v>
      </c>
      <c r="F2526" s="8" t="s">
        <v>2027</v>
      </c>
      <c r="G2526" s="8" t="s">
        <v>124</v>
      </c>
      <c r="H2526" s="8" t="s">
        <v>8666</v>
      </c>
      <c r="I2526" s="8" t="s">
        <v>9563</v>
      </c>
      <c r="J2526" s="8" t="s">
        <v>144</v>
      </c>
      <c r="K2526" s="8" t="s">
        <v>8664</v>
      </c>
      <c r="L2526" s="8"/>
      <c r="M2526" s="8"/>
      <c r="N2526" s="8" t="n">
        <v>12</v>
      </c>
      <c r="O2526" s="8" t="n">
        <v>8</v>
      </c>
      <c r="P2526" s="8" t="s">
        <v>120</v>
      </c>
    </row>
    <row r="2527" customFormat="false" ht="15" hidden="false" customHeight="false" outlineLevel="0" collapsed="false">
      <c r="A2527" s="8" t="s">
        <v>264</v>
      </c>
      <c r="B2527" s="8" t="s">
        <v>265</v>
      </c>
      <c r="C2527" s="8" t="s">
        <v>8678</v>
      </c>
      <c r="D2527" s="8" t="s">
        <v>123</v>
      </c>
      <c r="E2527" s="8" t="s">
        <v>55</v>
      </c>
      <c r="F2527" s="8" t="s">
        <v>55</v>
      </c>
      <c r="G2527" s="8" t="s">
        <v>190</v>
      </c>
      <c r="H2527" s="8" t="s">
        <v>8666</v>
      </c>
      <c r="I2527" s="8" t="s">
        <v>9607</v>
      </c>
      <c r="J2527" s="8" t="s">
        <v>147</v>
      </c>
      <c r="K2527" s="8" t="s">
        <v>8664</v>
      </c>
      <c r="L2527" s="8"/>
      <c r="M2527" s="8"/>
      <c r="N2527" s="8" t="n">
        <v>45</v>
      </c>
      <c r="O2527" s="8" t="n">
        <v>422</v>
      </c>
      <c r="P2527" s="8" t="s">
        <v>120</v>
      </c>
    </row>
    <row r="2528" customFormat="false" ht="15" hidden="false" customHeight="false" outlineLevel="0" collapsed="false">
      <c r="A2528" s="8" t="s">
        <v>1599</v>
      </c>
      <c r="B2528" s="8" t="s">
        <v>1600</v>
      </c>
      <c r="C2528" s="8" t="s">
        <v>8661</v>
      </c>
      <c r="D2528" s="8" t="s">
        <v>123</v>
      </c>
      <c r="E2528" s="8" t="s">
        <v>53</v>
      </c>
      <c r="F2528" s="8" t="s">
        <v>326</v>
      </c>
      <c r="G2528" s="8" t="s">
        <v>190</v>
      </c>
      <c r="H2528" s="8" t="s">
        <v>8662</v>
      </c>
      <c r="I2528" s="8" t="s">
        <v>9884</v>
      </c>
      <c r="J2528" s="8" t="s">
        <v>204</v>
      </c>
      <c r="K2528" s="8" t="s">
        <v>8664</v>
      </c>
      <c r="L2528" s="8"/>
      <c r="M2528" s="8"/>
      <c r="N2528" s="8" t="n">
        <v>25</v>
      </c>
      <c r="O2528" s="8" t="n">
        <v>64</v>
      </c>
      <c r="P2528" s="8" t="s">
        <v>120</v>
      </c>
    </row>
    <row r="2529" customFormat="false" ht="15" hidden="false" customHeight="false" outlineLevel="0" collapsed="false">
      <c r="A2529" s="8" t="s">
        <v>10445</v>
      </c>
      <c r="B2529" s="8" t="s">
        <v>10446</v>
      </c>
      <c r="C2529" s="8" t="s">
        <v>8669</v>
      </c>
      <c r="D2529" s="8" t="s">
        <v>117</v>
      </c>
      <c r="E2529" s="8" t="s">
        <v>53</v>
      </c>
      <c r="F2529" s="8" t="s">
        <v>326</v>
      </c>
      <c r="G2529" s="8" t="s">
        <v>133</v>
      </c>
      <c r="H2529" s="8" t="s">
        <v>8662</v>
      </c>
      <c r="I2529" s="8" t="s">
        <v>10233</v>
      </c>
      <c r="J2529" s="8"/>
      <c r="K2529" s="8" t="s">
        <v>8690</v>
      </c>
      <c r="L2529" s="8" t="s">
        <v>9725</v>
      </c>
      <c r="M2529" s="8" t="s">
        <v>8705</v>
      </c>
      <c r="N2529" s="8" t="n">
        <v>25</v>
      </c>
      <c r="O2529" s="8" t="n">
        <v>182</v>
      </c>
      <c r="P2529" s="8" t="s">
        <v>148</v>
      </c>
    </row>
    <row r="2530" customFormat="false" ht="15" hidden="false" customHeight="false" outlineLevel="0" collapsed="false">
      <c r="A2530" s="8" t="s">
        <v>1735</v>
      </c>
      <c r="B2530" s="8" t="s">
        <v>1736</v>
      </c>
      <c r="C2530" s="8" t="s">
        <v>8700</v>
      </c>
      <c r="D2530" s="8" t="s">
        <v>123</v>
      </c>
      <c r="E2530" s="8" t="s">
        <v>53</v>
      </c>
      <c r="F2530" s="8" t="s">
        <v>326</v>
      </c>
      <c r="G2530" s="8" t="s">
        <v>190</v>
      </c>
      <c r="H2530" s="8" t="s">
        <v>8666</v>
      </c>
      <c r="I2530" s="8" t="s">
        <v>10011</v>
      </c>
      <c r="J2530" s="8" t="s">
        <v>125</v>
      </c>
      <c r="K2530" s="8" t="s">
        <v>8664</v>
      </c>
      <c r="L2530" s="8"/>
      <c r="M2530" s="8"/>
      <c r="N2530" s="8" t="n">
        <v>25</v>
      </c>
      <c r="O2530" s="8" t="n">
        <v>51</v>
      </c>
      <c r="P2530" s="8" t="s">
        <v>120</v>
      </c>
    </row>
    <row r="2531" customFormat="false" ht="15" hidden="false" customHeight="false" outlineLevel="0" collapsed="false">
      <c r="A2531" s="8" t="s">
        <v>3144</v>
      </c>
      <c r="B2531" s="8" t="s">
        <v>3145</v>
      </c>
      <c r="C2531" s="8" t="s">
        <v>8680</v>
      </c>
      <c r="D2531" s="8" t="s">
        <v>123</v>
      </c>
      <c r="E2531" s="8" t="s">
        <v>51</v>
      </c>
      <c r="F2531" s="8" t="s">
        <v>326</v>
      </c>
      <c r="G2531" s="8" t="s">
        <v>154</v>
      </c>
      <c r="H2531" s="8" t="s">
        <v>8666</v>
      </c>
      <c r="I2531" s="8" t="s">
        <v>9254</v>
      </c>
      <c r="J2531" s="8" t="s">
        <v>140</v>
      </c>
      <c r="K2531" s="8" t="s">
        <v>8664</v>
      </c>
      <c r="L2531" s="8"/>
      <c r="M2531" s="8"/>
      <c r="N2531" s="8" t="n">
        <v>25</v>
      </c>
      <c r="O2531" s="8" t="n">
        <v>13</v>
      </c>
      <c r="P2531" s="8" t="s">
        <v>120</v>
      </c>
    </row>
    <row r="2532" customFormat="false" ht="15" hidden="false" customHeight="false" outlineLevel="0" collapsed="false">
      <c r="A2532" s="8" t="s">
        <v>10447</v>
      </c>
      <c r="B2532" s="8" t="s">
        <v>10448</v>
      </c>
      <c r="C2532" s="8" t="s">
        <v>8669</v>
      </c>
      <c r="D2532" s="8" t="s">
        <v>123</v>
      </c>
      <c r="E2532" s="8" t="s">
        <v>53</v>
      </c>
      <c r="F2532" s="8" t="s">
        <v>55</v>
      </c>
      <c r="G2532" s="8" t="s">
        <v>118</v>
      </c>
      <c r="H2532" s="8" t="s">
        <v>8666</v>
      </c>
      <c r="I2532" s="8" t="s">
        <v>10400</v>
      </c>
      <c r="J2532" s="8"/>
      <c r="K2532" s="8" t="s">
        <v>8690</v>
      </c>
      <c r="L2532" s="8" t="s">
        <v>9524</v>
      </c>
      <c r="M2532" s="8" t="s">
        <v>8721</v>
      </c>
      <c r="N2532" s="8" t="n">
        <v>45</v>
      </c>
      <c r="O2532" s="8" t="n">
        <v>50</v>
      </c>
      <c r="P2532" s="8" t="s">
        <v>120</v>
      </c>
    </row>
    <row r="2533" customFormat="false" ht="15" hidden="false" customHeight="false" outlineLevel="0" collapsed="false">
      <c r="A2533" s="8" t="s">
        <v>2726</v>
      </c>
      <c r="B2533" s="8" t="s">
        <v>2727</v>
      </c>
      <c r="C2533" s="8" t="s">
        <v>8661</v>
      </c>
      <c r="D2533" s="8" t="s">
        <v>123</v>
      </c>
      <c r="E2533" s="8" t="s">
        <v>51</v>
      </c>
      <c r="F2533" s="8" t="s">
        <v>2027</v>
      </c>
      <c r="G2533" s="8" t="s">
        <v>154</v>
      </c>
      <c r="H2533" s="8" t="s">
        <v>8666</v>
      </c>
      <c r="I2533" s="8" t="s">
        <v>9034</v>
      </c>
      <c r="J2533" s="8" t="s">
        <v>147</v>
      </c>
      <c r="K2533" s="8" t="s">
        <v>8664</v>
      </c>
      <c r="L2533" s="8"/>
      <c r="M2533" s="8"/>
      <c r="N2533" s="8" t="n">
        <v>12</v>
      </c>
      <c r="O2533" s="8" t="n">
        <v>35</v>
      </c>
      <c r="P2533" s="8" t="s">
        <v>120</v>
      </c>
    </row>
    <row r="2534" customFormat="false" ht="15" hidden="false" customHeight="false" outlineLevel="0" collapsed="false">
      <c r="A2534" s="8" t="s">
        <v>5999</v>
      </c>
      <c r="B2534" s="8" t="s">
        <v>10449</v>
      </c>
      <c r="C2534" s="8" t="s">
        <v>8661</v>
      </c>
      <c r="D2534" s="8" t="s">
        <v>123</v>
      </c>
      <c r="E2534" s="8" t="s">
        <v>53</v>
      </c>
      <c r="F2534" s="8" t="s">
        <v>55</v>
      </c>
      <c r="G2534" s="8" t="s">
        <v>190</v>
      </c>
      <c r="H2534" s="8" t="s">
        <v>8666</v>
      </c>
      <c r="I2534" s="8" t="s">
        <v>9161</v>
      </c>
      <c r="J2534" s="8"/>
      <c r="K2534" s="8" t="s">
        <v>8690</v>
      </c>
      <c r="L2534" s="8" t="s">
        <v>9671</v>
      </c>
      <c r="M2534" s="8" t="s">
        <v>8727</v>
      </c>
      <c r="N2534" s="8" t="n">
        <v>45</v>
      </c>
      <c r="O2534" s="8" t="n">
        <v>64</v>
      </c>
      <c r="P2534" s="8" t="s">
        <v>120</v>
      </c>
    </row>
    <row r="2535" customFormat="false" ht="15" hidden="false" customHeight="false" outlineLevel="0" collapsed="false">
      <c r="A2535" s="8" t="s">
        <v>10450</v>
      </c>
      <c r="B2535" s="8" t="s">
        <v>10451</v>
      </c>
      <c r="C2535" s="8" t="s">
        <v>8700</v>
      </c>
      <c r="D2535" s="8" t="s">
        <v>117</v>
      </c>
      <c r="E2535" s="8" t="s">
        <v>53</v>
      </c>
      <c r="F2535" s="8" t="s">
        <v>326</v>
      </c>
      <c r="G2535" s="8" t="s">
        <v>154</v>
      </c>
      <c r="H2535" s="8" t="s">
        <v>8666</v>
      </c>
      <c r="I2535" s="8" t="s">
        <v>9694</v>
      </c>
      <c r="J2535" s="8"/>
      <c r="K2535" s="8" t="s">
        <v>8690</v>
      </c>
      <c r="L2535" s="8" t="s">
        <v>8775</v>
      </c>
      <c r="M2535" s="8" t="s">
        <v>8795</v>
      </c>
      <c r="N2535" s="8" t="n">
        <v>25</v>
      </c>
      <c r="O2535" s="8" t="n">
        <v>150</v>
      </c>
      <c r="P2535" s="8" t="s">
        <v>120</v>
      </c>
    </row>
    <row r="2536" customFormat="false" ht="15" hidden="false" customHeight="false" outlineLevel="0" collapsed="false">
      <c r="A2536" s="8" t="s">
        <v>379</v>
      </c>
      <c r="B2536" s="8" t="s">
        <v>380</v>
      </c>
      <c r="C2536" s="8" t="s">
        <v>8688</v>
      </c>
      <c r="D2536" s="8" t="s">
        <v>117</v>
      </c>
      <c r="E2536" s="8" t="s">
        <v>55</v>
      </c>
      <c r="F2536" s="8" t="s">
        <v>326</v>
      </c>
      <c r="G2536" s="8" t="s">
        <v>190</v>
      </c>
      <c r="H2536" s="8" t="s">
        <v>8662</v>
      </c>
      <c r="I2536" s="8" t="s">
        <v>9675</v>
      </c>
      <c r="J2536" s="8" t="s">
        <v>180</v>
      </c>
      <c r="K2536" s="8" t="s">
        <v>8664</v>
      </c>
      <c r="L2536" s="8"/>
      <c r="M2536" s="8"/>
      <c r="N2536" s="8" t="n">
        <v>25</v>
      </c>
      <c r="O2536" s="8" t="n">
        <v>561</v>
      </c>
      <c r="P2536" s="8" t="s">
        <v>120</v>
      </c>
    </row>
    <row r="2537" customFormat="false" ht="15" hidden="false" customHeight="false" outlineLevel="0" collapsed="false">
      <c r="A2537" s="8" t="s">
        <v>3090</v>
      </c>
      <c r="B2537" s="8" t="s">
        <v>3091</v>
      </c>
      <c r="C2537" s="8" t="s">
        <v>8678</v>
      </c>
      <c r="D2537" s="8" t="s">
        <v>123</v>
      </c>
      <c r="E2537" s="8" t="s">
        <v>51</v>
      </c>
      <c r="F2537" s="8" t="s">
        <v>2027</v>
      </c>
      <c r="G2537" s="8" t="s">
        <v>143</v>
      </c>
      <c r="H2537" s="8" t="s">
        <v>8675</v>
      </c>
      <c r="I2537" s="8" t="s">
        <v>9667</v>
      </c>
      <c r="J2537" s="8" t="s">
        <v>140</v>
      </c>
      <c r="K2537" s="8" t="s">
        <v>8664</v>
      </c>
      <c r="L2537" s="8"/>
      <c r="M2537" s="8"/>
      <c r="N2537" s="8" t="n">
        <v>12</v>
      </c>
      <c r="O2537" s="8" t="n">
        <v>29</v>
      </c>
      <c r="P2537" s="8" t="s">
        <v>120</v>
      </c>
    </row>
    <row r="2538" customFormat="false" ht="15" hidden="false" customHeight="false" outlineLevel="0" collapsed="false">
      <c r="A2538" s="8" t="s">
        <v>2728</v>
      </c>
      <c r="B2538" s="8" t="s">
        <v>2729</v>
      </c>
      <c r="C2538" s="8" t="s">
        <v>8661</v>
      </c>
      <c r="D2538" s="8" t="s">
        <v>123</v>
      </c>
      <c r="E2538" s="8" t="s">
        <v>51</v>
      </c>
      <c r="F2538" s="8" t="s">
        <v>2027</v>
      </c>
      <c r="G2538" s="8" t="s">
        <v>133</v>
      </c>
      <c r="H2538" s="8" t="s">
        <v>8666</v>
      </c>
      <c r="I2538" s="8" t="s">
        <v>9492</v>
      </c>
      <c r="J2538" s="8" t="s">
        <v>140</v>
      </c>
      <c r="K2538" s="8" t="s">
        <v>8664</v>
      </c>
      <c r="L2538" s="8"/>
      <c r="M2538" s="8"/>
      <c r="N2538" s="8" t="n">
        <v>12</v>
      </c>
      <c r="O2538" s="8" t="n">
        <v>35</v>
      </c>
      <c r="P2538" s="8" t="s">
        <v>120</v>
      </c>
    </row>
    <row r="2539" customFormat="false" ht="15" hidden="false" customHeight="false" outlineLevel="0" collapsed="false">
      <c r="A2539" s="8" t="s">
        <v>4563</v>
      </c>
      <c r="B2539" s="8" t="s">
        <v>10452</v>
      </c>
      <c r="C2539" s="8" t="s">
        <v>8674</v>
      </c>
      <c r="D2539" s="8" t="s">
        <v>123</v>
      </c>
      <c r="E2539" s="8" t="s">
        <v>51</v>
      </c>
      <c r="F2539" s="8" t="s">
        <v>326</v>
      </c>
      <c r="G2539" s="8" t="s">
        <v>124</v>
      </c>
      <c r="H2539" s="8" t="s">
        <v>8666</v>
      </c>
      <c r="I2539" s="8" t="s">
        <v>10453</v>
      </c>
      <c r="J2539" s="8"/>
      <c r="K2539" s="8" t="s">
        <v>8690</v>
      </c>
      <c r="L2539" s="8" t="s">
        <v>9655</v>
      </c>
      <c r="M2539" s="8" t="s">
        <v>8705</v>
      </c>
      <c r="N2539" s="8" t="n">
        <v>25</v>
      </c>
      <c r="O2539" s="8" t="n">
        <v>9</v>
      </c>
      <c r="P2539" s="8" t="s">
        <v>120</v>
      </c>
    </row>
    <row r="2540" customFormat="false" ht="15" hidden="false" customHeight="false" outlineLevel="0" collapsed="false">
      <c r="A2540" s="8" t="s">
        <v>331</v>
      </c>
      <c r="B2540" s="8" t="s">
        <v>332</v>
      </c>
      <c r="C2540" s="8" t="s">
        <v>8674</v>
      </c>
      <c r="D2540" s="8" t="s">
        <v>128</v>
      </c>
      <c r="E2540" s="8" t="s">
        <v>55</v>
      </c>
      <c r="F2540" s="8" t="s">
        <v>55</v>
      </c>
      <c r="G2540" s="8" t="s">
        <v>118</v>
      </c>
      <c r="H2540" s="8" t="s">
        <v>8666</v>
      </c>
      <c r="I2540" s="8" t="s">
        <v>9289</v>
      </c>
      <c r="J2540" s="8" t="s">
        <v>177</v>
      </c>
      <c r="K2540" s="8" t="s">
        <v>8664</v>
      </c>
      <c r="L2540" s="8"/>
      <c r="M2540" s="8"/>
      <c r="N2540" s="8" t="n">
        <v>45</v>
      </c>
      <c r="O2540" s="8" t="n">
        <v>368</v>
      </c>
      <c r="P2540" s="8" t="s">
        <v>199</v>
      </c>
    </row>
    <row r="2541" customFormat="false" ht="15" hidden="false" customHeight="false" outlineLevel="0" collapsed="false">
      <c r="A2541" s="8" t="s">
        <v>10454</v>
      </c>
      <c r="B2541" s="8" t="s">
        <v>10455</v>
      </c>
      <c r="C2541" s="8" t="s">
        <v>8700</v>
      </c>
      <c r="D2541" s="8" t="s">
        <v>123</v>
      </c>
      <c r="E2541" s="8" t="s">
        <v>51</v>
      </c>
      <c r="F2541" s="8" t="s">
        <v>2027</v>
      </c>
      <c r="G2541" s="8" t="s">
        <v>143</v>
      </c>
      <c r="H2541" s="8" t="s">
        <v>8666</v>
      </c>
      <c r="I2541" s="8" t="s">
        <v>9449</v>
      </c>
      <c r="J2541" s="8"/>
      <c r="K2541" s="8" t="s">
        <v>8690</v>
      </c>
      <c r="L2541" s="8" t="s">
        <v>9596</v>
      </c>
      <c r="M2541" s="8" t="s">
        <v>8692</v>
      </c>
      <c r="N2541" s="8" t="n">
        <v>12</v>
      </c>
      <c r="O2541" s="8" t="n">
        <v>7</v>
      </c>
      <c r="P2541" s="8" t="s">
        <v>120</v>
      </c>
    </row>
    <row r="2542" customFormat="false" ht="15" hidden="false" customHeight="false" outlineLevel="0" collapsed="false">
      <c r="A2542" s="8" t="s">
        <v>121</v>
      </c>
      <c r="B2542" s="8" t="s">
        <v>122</v>
      </c>
      <c r="C2542" s="8" t="s">
        <v>8669</v>
      </c>
      <c r="D2542" s="8" t="s">
        <v>123</v>
      </c>
      <c r="E2542" s="8" t="s">
        <v>55</v>
      </c>
      <c r="F2542" s="8" t="s">
        <v>55</v>
      </c>
      <c r="G2542" s="8" t="s">
        <v>124</v>
      </c>
      <c r="H2542" s="8" t="s">
        <v>8666</v>
      </c>
      <c r="I2542" s="8" t="s">
        <v>9323</v>
      </c>
      <c r="J2542" s="8" t="s">
        <v>125</v>
      </c>
      <c r="K2542" s="8" t="s">
        <v>8664</v>
      </c>
      <c r="L2542" s="8"/>
      <c r="M2542" s="8"/>
      <c r="N2542" s="8" t="n">
        <v>45</v>
      </c>
      <c r="O2542" s="8" t="n">
        <v>526</v>
      </c>
      <c r="P2542" s="8" t="s">
        <v>120</v>
      </c>
    </row>
    <row r="2543" customFormat="false" ht="15" hidden="false" customHeight="false" outlineLevel="0" collapsed="false">
      <c r="A2543" s="8" t="s">
        <v>3382</v>
      </c>
      <c r="B2543" s="8" t="s">
        <v>3383</v>
      </c>
      <c r="C2543" s="8" t="s">
        <v>8669</v>
      </c>
      <c r="D2543" s="8" t="s">
        <v>117</v>
      </c>
      <c r="E2543" s="8" t="s">
        <v>51</v>
      </c>
      <c r="F2543" s="8" t="s">
        <v>2027</v>
      </c>
      <c r="G2543" s="8" t="s">
        <v>166</v>
      </c>
      <c r="H2543" s="8" t="s">
        <v>8662</v>
      </c>
      <c r="I2543" s="8" t="s">
        <v>9416</v>
      </c>
      <c r="J2543" s="8" t="s">
        <v>185</v>
      </c>
      <c r="K2543" s="8" t="s">
        <v>8664</v>
      </c>
      <c r="L2543" s="8"/>
      <c r="M2543" s="8"/>
      <c r="N2543" s="8" t="n">
        <v>12</v>
      </c>
      <c r="O2543" s="8" t="n">
        <v>24</v>
      </c>
      <c r="P2543" s="8" t="s">
        <v>120</v>
      </c>
    </row>
    <row r="2544" customFormat="false" ht="15" hidden="false" customHeight="false" outlineLevel="0" collapsed="false">
      <c r="A2544" s="8" t="s">
        <v>10456</v>
      </c>
      <c r="B2544" s="8" t="s">
        <v>10457</v>
      </c>
      <c r="C2544" s="8" t="s">
        <v>8680</v>
      </c>
      <c r="D2544" s="8" t="s">
        <v>123</v>
      </c>
      <c r="E2544" s="8" t="s">
        <v>51</v>
      </c>
      <c r="F2544" s="8" t="s">
        <v>2027</v>
      </c>
      <c r="G2544" s="8" t="s">
        <v>133</v>
      </c>
      <c r="H2544" s="8" t="s">
        <v>8662</v>
      </c>
      <c r="I2544" s="8" t="s">
        <v>9905</v>
      </c>
      <c r="J2544" s="8"/>
      <c r="K2544" s="8" t="s">
        <v>8690</v>
      </c>
      <c r="L2544" s="8" t="s">
        <v>9073</v>
      </c>
      <c r="M2544" s="8" t="s">
        <v>8692</v>
      </c>
      <c r="N2544" s="8" t="n">
        <v>12</v>
      </c>
      <c r="O2544" s="8" t="n">
        <v>31</v>
      </c>
      <c r="P2544" s="8" t="s">
        <v>148</v>
      </c>
    </row>
    <row r="2545" customFormat="false" ht="15" hidden="false" customHeight="false" outlineLevel="0" collapsed="false">
      <c r="A2545" s="8" t="s">
        <v>3442</v>
      </c>
      <c r="B2545" s="8" t="s">
        <v>3443</v>
      </c>
      <c r="C2545" s="8" t="s">
        <v>8688</v>
      </c>
      <c r="D2545" s="8" t="s">
        <v>132</v>
      </c>
      <c r="E2545" s="8" t="s">
        <v>51</v>
      </c>
      <c r="F2545" s="8" t="s">
        <v>2027</v>
      </c>
      <c r="G2545" s="8" t="s">
        <v>151</v>
      </c>
      <c r="H2545" s="8" t="s">
        <v>8670</v>
      </c>
      <c r="I2545" s="8" t="s">
        <v>9179</v>
      </c>
      <c r="J2545" s="8" t="s">
        <v>180</v>
      </c>
      <c r="K2545" s="8" t="s">
        <v>8664</v>
      </c>
      <c r="L2545" s="8"/>
      <c r="M2545" s="8"/>
      <c r="N2545" s="8" t="n">
        <v>12</v>
      </c>
      <c r="O2545" s="8" t="n">
        <v>23</v>
      </c>
      <c r="P2545" s="8" t="s">
        <v>120</v>
      </c>
    </row>
    <row r="2546" customFormat="false" ht="15" hidden="false" customHeight="false" outlineLevel="0" collapsed="false">
      <c r="A2546" s="8" t="s">
        <v>2350</v>
      </c>
      <c r="B2546" s="8" t="s">
        <v>2351</v>
      </c>
      <c r="C2546" s="8" t="s">
        <v>8680</v>
      </c>
      <c r="D2546" s="8" t="s">
        <v>132</v>
      </c>
      <c r="E2546" s="8" t="s">
        <v>51</v>
      </c>
      <c r="F2546" s="8" t="s">
        <v>2027</v>
      </c>
      <c r="G2546" s="8" t="s">
        <v>133</v>
      </c>
      <c r="H2546" s="8" t="s">
        <v>8670</v>
      </c>
      <c r="I2546" s="8" t="s">
        <v>10458</v>
      </c>
      <c r="J2546" s="8" t="s">
        <v>159</v>
      </c>
      <c r="K2546" s="8" t="s">
        <v>8664</v>
      </c>
      <c r="L2546" s="8"/>
      <c r="M2546" s="8"/>
      <c r="N2546" s="8" t="n">
        <v>12</v>
      </c>
      <c r="O2546" s="8" t="n">
        <v>32</v>
      </c>
      <c r="P2546" s="8" t="s">
        <v>148</v>
      </c>
    </row>
    <row r="2547" customFormat="false" ht="15" hidden="false" customHeight="false" outlineLevel="0" collapsed="false">
      <c r="A2547" s="8" t="s">
        <v>1177</v>
      </c>
      <c r="B2547" s="8" t="s">
        <v>1178</v>
      </c>
      <c r="C2547" s="8" t="s">
        <v>8674</v>
      </c>
      <c r="D2547" s="8" t="s">
        <v>123</v>
      </c>
      <c r="E2547" s="8" t="s">
        <v>53</v>
      </c>
      <c r="F2547" s="8" t="s">
        <v>326</v>
      </c>
      <c r="G2547" s="8" t="s">
        <v>136</v>
      </c>
      <c r="H2547" s="8" t="s">
        <v>8662</v>
      </c>
      <c r="I2547" s="8" t="s">
        <v>9990</v>
      </c>
      <c r="J2547" s="8" t="s">
        <v>140</v>
      </c>
      <c r="K2547" s="8" t="s">
        <v>8664</v>
      </c>
      <c r="L2547" s="8"/>
      <c r="M2547" s="8"/>
      <c r="N2547" s="8" t="n">
        <v>25</v>
      </c>
      <c r="O2547" s="8" t="n">
        <v>139</v>
      </c>
      <c r="P2547" s="8" t="s">
        <v>120</v>
      </c>
    </row>
    <row r="2548" customFormat="false" ht="15" hidden="false" customHeight="false" outlineLevel="0" collapsed="false">
      <c r="A2548" s="8" t="s">
        <v>2632</v>
      </c>
      <c r="B2548" s="8" t="s">
        <v>2633</v>
      </c>
      <c r="C2548" s="8" t="s">
        <v>8674</v>
      </c>
      <c r="D2548" s="8" t="s">
        <v>132</v>
      </c>
      <c r="E2548" s="8" t="s">
        <v>51</v>
      </c>
      <c r="F2548" s="8" t="s">
        <v>2027</v>
      </c>
      <c r="G2548" s="8" t="s">
        <v>166</v>
      </c>
      <c r="H2548" s="8" t="s">
        <v>8675</v>
      </c>
      <c r="I2548" s="8" t="s">
        <v>9811</v>
      </c>
      <c r="J2548" s="8" t="s">
        <v>119</v>
      </c>
      <c r="K2548" s="8" t="s">
        <v>8664</v>
      </c>
      <c r="L2548" s="8"/>
      <c r="M2548" s="8"/>
      <c r="N2548" s="8" t="n">
        <v>12</v>
      </c>
      <c r="O2548" s="8" t="n">
        <v>36</v>
      </c>
      <c r="P2548" s="8" t="s">
        <v>120</v>
      </c>
    </row>
    <row r="2549" customFormat="false" ht="15" hidden="false" customHeight="false" outlineLevel="0" collapsed="false">
      <c r="A2549" s="8" t="s">
        <v>4378</v>
      </c>
      <c r="B2549" s="8" t="s">
        <v>4379</v>
      </c>
      <c r="C2549" s="8" t="s">
        <v>8700</v>
      </c>
      <c r="D2549" s="8" t="s">
        <v>123</v>
      </c>
      <c r="E2549" s="8" t="s">
        <v>51</v>
      </c>
      <c r="F2549" s="8" t="s">
        <v>2027</v>
      </c>
      <c r="G2549" s="8" t="s">
        <v>143</v>
      </c>
      <c r="H2549" s="8" t="s">
        <v>8662</v>
      </c>
      <c r="I2549" s="8" t="s">
        <v>8892</v>
      </c>
      <c r="J2549" s="8" t="s">
        <v>185</v>
      </c>
      <c r="K2549" s="8" t="s">
        <v>8664</v>
      </c>
      <c r="L2549" s="8"/>
      <c r="M2549" s="8"/>
      <c r="N2549" s="8" t="n">
        <v>12</v>
      </c>
      <c r="O2549" s="8" t="n">
        <v>5</v>
      </c>
      <c r="P2549" s="8" t="s">
        <v>120</v>
      </c>
    </row>
    <row r="2550" customFormat="false" ht="15" hidden="false" customHeight="false" outlineLevel="0" collapsed="false">
      <c r="A2550" s="8" t="s">
        <v>573</v>
      </c>
      <c r="B2550" s="8" t="s">
        <v>574</v>
      </c>
      <c r="C2550" s="8" t="s">
        <v>8665</v>
      </c>
      <c r="D2550" s="8" t="s">
        <v>123</v>
      </c>
      <c r="E2550" s="8" t="s">
        <v>55</v>
      </c>
      <c r="F2550" s="8" t="s">
        <v>326</v>
      </c>
      <c r="G2550" s="8" t="s">
        <v>151</v>
      </c>
      <c r="H2550" s="8" t="s">
        <v>8675</v>
      </c>
      <c r="I2550" s="8" t="s">
        <v>9593</v>
      </c>
      <c r="J2550" s="8" t="s">
        <v>144</v>
      </c>
      <c r="K2550" s="8" t="s">
        <v>8664</v>
      </c>
      <c r="L2550" s="8"/>
      <c r="M2550" s="8"/>
      <c r="N2550" s="8" t="n">
        <v>25</v>
      </c>
      <c r="O2550" s="8" t="n">
        <v>249</v>
      </c>
      <c r="P2550" s="8" t="s">
        <v>148</v>
      </c>
    </row>
    <row r="2551" customFormat="false" ht="15" hidden="false" customHeight="false" outlineLevel="0" collapsed="false">
      <c r="A2551" s="8" t="s">
        <v>2660</v>
      </c>
      <c r="B2551" s="8" t="s">
        <v>2661</v>
      </c>
      <c r="C2551" s="8" t="s">
        <v>8688</v>
      </c>
      <c r="D2551" s="8" t="s">
        <v>132</v>
      </c>
      <c r="E2551" s="8" t="s">
        <v>51</v>
      </c>
      <c r="F2551" s="8" t="s">
        <v>326</v>
      </c>
      <c r="G2551" s="8" t="s">
        <v>133</v>
      </c>
      <c r="H2551" s="8" t="s">
        <v>8675</v>
      </c>
      <c r="I2551" s="8" t="s">
        <v>9164</v>
      </c>
      <c r="J2551" s="8" t="s">
        <v>147</v>
      </c>
      <c r="K2551" s="8" t="s">
        <v>8664</v>
      </c>
      <c r="L2551" s="8"/>
      <c r="M2551" s="8"/>
      <c r="N2551" s="8" t="n">
        <v>25</v>
      </c>
      <c r="O2551" s="8" t="n">
        <v>14</v>
      </c>
      <c r="P2551" s="8" t="s">
        <v>120</v>
      </c>
    </row>
    <row r="2552" customFormat="false" ht="15" hidden="false" customHeight="false" outlineLevel="0" collapsed="false">
      <c r="A2552" s="8" t="s">
        <v>10459</v>
      </c>
      <c r="B2552" s="8" t="s">
        <v>10460</v>
      </c>
      <c r="C2552" s="8" t="s">
        <v>8665</v>
      </c>
      <c r="D2552" s="8" t="s">
        <v>128</v>
      </c>
      <c r="E2552" s="8" t="s">
        <v>51</v>
      </c>
      <c r="F2552" s="8" t="s">
        <v>2027</v>
      </c>
      <c r="G2552" s="8" t="s">
        <v>154</v>
      </c>
      <c r="H2552" s="8" t="s">
        <v>8675</v>
      </c>
      <c r="I2552" s="8" t="s">
        <v>8865</v>
      </c>
      <c r="J2552" s="8"/>
      <c r="K2552" s="8" t="s">
        <v>8690</v>
      </c>
      <c r="L2552" s="8" t="s">
        <v>9614</v>
      </c>
      <c r="M2552" s="8" t="s">
        <v>8692</v>
      </c>
      <c r="N2552" s="8" t="n">
        <v>12</v>
      </c>
      <c r="O2552" s="8" t="n">
        <v>7</v>
      </c>
      <c r="P2552" s="8" t="s">
        <v>120</v>
      </c>
    </row>
    <row r="2553" customFormat="false" ht="15" hidden="false" customHeight="false" outlineLevel="0" collapsed="false">
      <c r="A2553" s="8" t="s">
        <v>889</v>
      </c>
      <c r="B2553" s="8" t="s">
        <v>890</v>
      </c>
      <c r="C2553" s="8" t="s">
        <v>8674</v>
      </c>
      <c r="D2553" s="8" t="s">
        <v>132</v>
      </c>
      <c r="E2553" s="8" t="s">
        <v>53</v>
      </c>
      <c r="F2553" s="8" t="s">
        <v>326</v>
      </c>
      <c r="G2553" s="8" t="s">
        <v>118</v>
      </c>
      <c r="H2553" s="8" t="s">
        <v>8670</v>
      </c>
      <c r="I2553" s="8" t="s">
        <v>10461</v>
      </c>
      <c r="J2553" s="8" t="s">
        <v>137</v>
      </c>
      <c r="K2553" s="8" t="s">
        <v>8664</v>
      </c>
      <c r="L2553" s="8"/>
      <c r="M2553" s="8"/>
      <c r="N2553" s="8" t="n">
        <v>25</v>
      </c>
      <c r="O2553" s="8" t="n">
        <v>183</v>
      </c>
      <c r="P2553" s="8" t="s">
        <v>148</v>
      </c>
    </row>
    <row r="2554" customFormat="false" ht="15" hidden="false" customHeight="false" outlineLevel="0" collapsed="false">
      <c r="A2554" s="8" t="s">
        <v>4380</v>
      </c>
      <c r="B2554" s="8" t="s">
        <v>4381</v>
      </c>
      <c r="C2554" s="8" t="s">
        <v>8700</v>
      </c>
      <c r="D2554" s="8" t="s">
        <v>117</v>
      </c>
      <c r="E2554" s="8" t="s">
        <v>51</v>
      </c>
      <c r="F2554" s="8" t="s">
        <v>2027</v>
      </c>
      <c r="G2554" s="8" t="s">
        <v>166</v>
      </c>
      <c r="H2554" s="8" t="s">
        <v>8662</v>
      </c>
      <c r="I2554" s="8" t="s">
        <v>9236</v>
      </c>
      <c r="J2554" s="8" t="s">
        <v>147</v>
      </c>
      <c r="K2554" s="8" t="s">
        <v>8664</v>
      </c>
      <c r="L2554" s="8"/>
      <c r="M2554" s="8"/>
      <c r="N2554" s="8" t="n">
        <v>12</v>
      </c>
      <c r="O2554" s="8" t="n">
        <v>5</v>
      </c>
      <c r="P2554" s="8" t="s">
        <v>120</v>
      </c>
    </row>
    <row r="2555" customFormat="false" ht="15" hidden="false" customHeight="false" outlineLevel="0" collapsed="false">
      <c r="A2555" s="8" t="s">
        <v>10462</v>
      </c>
      <c r="B2555" s="8" t="s">
        <v>10463</v>
      </c>
      <c r="C2555" s="8" t="s">
        <v>8665</v>
      </c>
      <c r="D2555" s="8" t="s">
        <v>132</v>
      </c>
      <c r="E2555" s="8" t="s">
        <v>51</v>
      </c>
      <c r="F2555" s="8" t="s">
        <v>326</v>
      </c>
      <c r="G2555" s="8" t="s">
        <v>166</v>
      </c>
      <c r="H2555" s="8" t="s">
        <v>8666</v>
      </c>
      <c r="I2555" s="8" t="s">
        <v>9496</v>
      </c>
      <c r="J2555" s="8"/>
      <c r="K2555" s="8" t="s">
        <v>8690</v>
      </c>
      <c r="L2555" s="8" t="s">
        <v>9040</v>
      </c>
      <c r="M2555" s="8" t="s">
        <v>8696</v>
      </c>
      <c r="N2555" s="8" t="n">
        <v>25</v>
      </c>
      <c r="O2555" s="8" t="n">
        <v>22</v>
      </c>
      <c r="P2555" s="8" t="s">
        <v>120</v>
      </c>
    </row>
    <row r="2556" customFormat="false" ht="15" hidden="false" customHeight="false" outlineLevel="0" collapsed="false">
      <c r="A2556" s="8" t="s">
        <v>10464</v>
      </c>
      <c r="B2556" s="8" t="s">
        <v>10465</v>
      </c>
      <c r="C2556" s="8" t="s">
        <v>8678</v>
      </c>
      <c r="D2556" s="8" t="s">
        <v>128</v>
      </c>
      <c r="E2556" s="8" t="s">
        <v>53</v>
      </c>
      <c r="F2556" s="8" t="s">
        <v>326</v>
      </c>
      <c r="G2556" s="8" t="s">
        <v>223</v>
      </c>
      <c r="H2556" s="8" t="s">
        <v>8670</v>
      </c>
      <c r="I2556" s="8" t="s">
        <v>9638</v>
      </c>
      <c r="J2556" s="8"/>
      <c r="K2556" s="8" t="s">
        <v>8690</v>
      </c>
      <c r="L2556" s="8" t="s">
        <v>10263</v>
      </c>
      <c r="M2556" s="8" t="s">
        <v>8696</v>
      </c>
      <c r="N2556" s="8" t="n">
        <v>25</v>
      </c>
      <c r="O2556" s="8" t="n">
        <v>197</v>
      </c>
      <c r="P2556" s="8" t="s">
        <v>120</v>
      </c>
    </row>
    <row r="2557" customFormat="false" ht="15" hidden="false" customHeight="false" outlineLevel="0" collapsed="false">
      <c r="A2557" s="8" t="s">
        <v>4550</v>
      </c>
      <c r="B2557" s="8" t="s">
        <v>10466</v>
      </c>
      <c r="C2557" s="8" t="s">
        <v>8678</v>
      </c>
      <c r="D2557" s="8" t="s">
        <v>128</v>
      </c>
      <c r="E2557" s="8" t="s">
        <v>51</v>
      </c>
      <c r="F2557" s="8" t="s">
        <v>2027</v>
      </c>
      <c r="G2557" s="8" t="s">
        <v>154</v>
      </c>
      <c r="H2557" s="8" t="s">
        <v>8675</v>
      </c>
      <c r="I2557" s="8" t="s">
        <v>8912</v>
      </c>
      <c r="J2557" s="8"/>
      <c r="K2557" s="8" t="s">
        <v>8690</v>
      </c>
      <c r="L2557" s="8" t="s">
        <v>9823</v>
      </c>
      <c r="M2557" s="8" t="s">
        <v>8692</v>
      </c>
      <c r="N2557" s="8" t="n">
        <v>12</v>
      </c>
      <c r="O2557" s="8" t="n">
        <v>22</v>
      </c>
      <c r="P2557" s="8" t="s">
        <v>120</v>
      </c>
    </row>
    <row r="2558" customFormat="false" ht="15" hidden="false" customHeight="false" outlineLevel="0" collapsed="false">
      <c r="A2558" s="8" t="s">
        <v>1933</v>
      </c>
      <c r="B2558" s="8" t="s">
        <v>1934</v>
      </c>
      <c r="C2558" s="8" t="s">
        <v>8678</v>
      </c>
      <c r="D2558" s="8" t="s">
        <v>117</v>
      </c>
      <c r="E2558" s="8" t="s">
        <v>51</v>
      </c>
      <c r="F2558" s="8" t="s">
        <v>326</v>
      </c>
      <c r="G2558" s="8" t="s">
        <v>118</v>
      </c>
      <c r="H2558" s="8" t="s">
        <v>8670</v>
      </c>
      <c r="I2558" s="8" t="s">
        <v>9115</v>
      </c>
      <c r="J2558" s="8" t="s">
        <v>180</v>
      </c>
      <c r="K2558" s="8" t="s">
        <v>8664</v>
      </c>
      <c r="L2558" s="8"/>
      <c r="M2558" s="8"/>
      <c r="N2558" s="8" t="n">
        <v>25</v>
      </c>
      <c r="O2558" s="8" t="n">
        <v>26</v>
      </c>
      <c r="P2558" s="8" t="s">
        <v>120</v>
      </c>
    </row>
    <row r="2559" customFormat="false" ht="15" hidden="false" customHeight="false" outlineLevel="0" collapsed="false">
      <c r="A2559" s="8" t="s">
        <v>4537</v>
      </c>
      <c r="B2559" s="8" t="s">
        <v>10467</v>
      </c>
      <c r="C2559" s="8" t="s">
        <v>8669</v>
      </c>
      <c r="D2559" s="8" t="s">
        <v>132</v>
      </c>
      <c r="E2559" s="8" t="s">
        <v>51</v>
      </c>
      <c r="F2559" s="8" t="s">
        <v>2027</v>
      </c>
      <c r="G2559" s="8" t="s">
        <v>166</v>
      </c>
      <c r="H2559" s="8" t="s">
        <v>8662</v>
      </c>
      <c r="I2559" s="8" t="s">
        <v>8819</v>
      </c>
      <c r="J2559" s="8"/>
      <c r="K2559" s="8" t="s">
        <v>8690</v>
      </c>
      <c r="L2559" s="8" t="s">
        <v>10468</v>
      </c>
      <c r="M2559" s="8" t="s">
        <v>8692</v>
      </c>
      <c r="N2559" s="8" t="n">
        <v>12</v>
      </c>
      <c r="O2559" s="8" t="n">
        <v>26</v>
      </c>
      <c r="P2559" s="8" t="s">
        <v>120</v>
      </c>
    </row>
    <row r="2560" customFormat="false" ht="15" hidden="false" customHeight="false" outlineLevel="0" collapsed="false">
      <c r="A2560" s="8" t="s">
        <v>4146</v>
      </c>
      <c r="B2560" s="8" t="s">
        <v>4147</v>
      </c>
      <c r="C2560" s="8" t="s">
        <v>8680</v>
      </c>
      <c r="D2560" s="8" t="s">
        <v>132</v>
      </c>
      <c r="E2560" s="8" t="s">
        <v>51</v>
      </c>
      <c r="F2560" s="8" t="s">
        <v>2027</v>
      </c>
      <c r="G2560" s="8" t="s">
        <v>133</v>
      </c>
      <c r="H2560" s="8" t="s">
        <v>8675</v>
      </c>
      <c r="I2560" s="8" t="s">
        <v>10341</v>
      </c>
      <c r="J2560" s="8" t="s">
        <v>137</v>
      </c>
      <c r="K2560" s="8" t="s">
        <v>8664</v>
      </c>
      <c r="L2560" s="8"/>
      <c r="M2560" s="8"/>
      <c r="N2560" s="8" t="n">
        <v>12</v>
      </c>
      <c r="O2560" s="8" t="n">
        <v>10</v>
      </c>
      <c r="P2560" s="8" t="s">
        <v>120</v>
      </c>
    </row>
    <row r="2561" customFormat="false" ht="15" hidden="false" customHeight="false" outlineLevel="0" collapsed="false">
      <c r="A2561" s="8" t="s">
        <v>417</v>
      </c>
      <c r="B2561" s="8" t="s">
        <v>418</v>
      </c>
      <c r="C2561" s="8" t="s">
        <v>8665</v>
      </c>
      <c r="D2561" s="8" t="s">
        <v>123</v>
      </c>
      <c r="E2561" s="8" t="s">
        <v>55</v>
      </c>
      <c r="F2561" s="8" t="s">
        <v>326</v>
      </c>
      <c r="G2561" s="8" t="s">
        <v>124</v>
      </c>
      <c r="H2561" s="8" t="s">
        <v>8666</v>
      </c>
      <c r="I2561" s="8" t="s">
        <v>9533</v>
      </c>
      <c r="J2561" s="8" t="s">
        <v>119</v>
      </c>
      <c r="K2561" s="8" t="s">
        <v>8664</v>
      </c>
      <c r="L2561" s="8"/>
      <c r="M2561" s="8"/>
      <c r="N2561" s="8" t="n">
        <v>25</v>
      </c>
      <c r="O2561" s="8" t="n">
        <v>512</v>
      </c>
      <c r="P2561" s="8" t="s">
        <v>120</v>
      </c>
    </row>
    <row r="2562" customFormat="false" ht="15" hidden="false" customHeight="false" outlineLevel="0" collapsed="false">
      <c r="A2562" s="8" t="s">
        <v>2230</v>
      </c>
      <c r="B2562" s="8" t="s">
        <v>2231</v>
      </c>
      <c r="C2562" s="8" t="s">
        <v>8665</v>
      </c>
      <c r="D2562" s="8" t="s">
        <v>128</v>
      </c>
      <c r="E2562" s="8" t="s">
        <v>51</v>
      </c>
      <c r="F2562" s="8" t="s">
        <v>2027</v>
      </c>
      <c r="G2562" s="8" t="s">
        <v>133</v>
      </c>
      <c r="H2562" s="8" t="s">
        <v>8675</v>
      </c>
      <c r="I2562" s="8" t="s">
        <v>8763</v>
      </c>
      <c r="J2562" s="8" t="s">
        <v>180</v>
      </c>
      <c r="K2562" s="8" t="s">
        <v>8664</v>
      </c>
      <c r="L2562" s="8"/>
      <c r="M2562" s="8"/>
      <c r="N2562" s="8" t="n">
        <v>12</v>
      </c>
      <c r="O2562" s="8" t="n">
        <v>38</v>
      </c>
      <c r="P2562" s="8" t="s">
        <v>120</v>
      </c>
    </row>
    <row r="2563" customFormat="false" ht="15" hidden="false" customHeight="false" outlineLevel="0" collapsed="false">
      <c r="A2563" s="8" t="s">
        <v>1213</v>
      </c>
      <c r="B2563" s="8" t="s">
        <v>1214</v>
      </c>
      <c r="C2563" s="8" t="s">
        <v>8688</v>
      </c>
      <c r="D2563" s="8" t="s">
        <v>132</v>
      </c>
      <c r="E2563" s="8" t="s">
        <v>53</v>
      </c>
      <c r="F2563" s="8" t="s">
        <v>326</v>
      </c>
      <c r="G2563" s="8" t="s">
        <v>133</v>
      </c>
      <c r="H2563" s="8" t="s">
        <v>8675</v>
      </c>
      <c r="I2563" s="8" t="s">
        <v>8748</v>
      </c>
      <c r="J2563" s="8" t="s">
        <v>129</v>
      </c>
      <c r="K2563" s="8" t="s">
        <v>8664</v>
      </c>
      <c r="L2563" s="8"/>
      <c r="M2563" s="8"/>
      <c r="N2563" s="8" t="n">
        <v>25</v>
      </c>
      <c r="O2563" s="8" t="n">
        <v>135</v>
      </c>
      <c r="P2563" s="8" t="s">
        <v>120</v>
      </c>
    </row>
    <row r="2564" customFormat="false" ht="15" hidden="false" customHeight="false" outlineLevel="0" collapsed="false">
      <c r="A2564" s="8" t="s">
        <v>703</v>
      </c>
      <c r="B2564" s="8" t="s">
        <v>704</v>
      </c>
      <c r="C2564" s="8" t="s">
        <v>8674</v>
      </c>
      <c r="D2564" s="8" t="s">
        <v>132</v>
      </c>
      <c r="E2564" s="8" t="s">
        <v>53</v>
      </c>
      <c r="F2564" s="8" t="s">
        <v>326</v>
      </c>
      <c r="G2564" s="8" t="s">
        <v>136</v>
      </c>
      <c r="H2564" s="8" t="s">
        <v>8670</v>
      </c>
      <c r="I2564" s="8" t="s">
        <v>9312</v>
      </c>
      <c r="J2564" s="8" t="s">
        <v>125</v>
      </c>
      <c r="K2564" s="8" t="s">
        <v>8664</v>
      </c>
      <c r="L2564" s="8"/>
      <c r="M2564" s="8"/>
      <c r="N2564" s="8" t="n">
        <v>25</v>
      </c>
      <c r="O2564" s="8" t="n">
        <v>184</v>
      </c>
      <c r="P2564" s="8" t="s">
        <v>120</v>
      </c>
    </row>
    <row r="2565" customFormat="false" ht="15" hidden="false" customHeight="false" outlineLevel="0" collapsed="false">
      <c r="A2565" s="8" t="s">
        <v>4148</v>
      </c>
      <c r="B2565" s="8" t="s">
        <v>4149</v>
      </c>
      <c r="C2565" s="8" t="s">
        <v>8669</v>
      </c>
      <c r="D2565" s="8" t="s">
        <v>132</v>
      </c>
      <c r="E2565" s="8" t="s">
        <v>51</v>
      </c>
      <c r="F2565" s="8" t="s">
        <v>2027</v>
      </c>
      <c r="G2565" s="8" t="s">
        <v>151</v>
      </c>
      <c r="H2565" s="8" t="s">
        <v>8670</v>
      </c>
      <c r="I2565" s="8" t="s">
        <v>9573</v>
      </c>
      <c r="J2565" s="8" t="s">
        <v>129</v>
      </c>
      <c r="K2565" s="8" t="s">
        <v>8664</v>
      </c>
      <c r="L2565" s="8"/>
      <c r="M2565" s="8"/>
      <c r="N2565" s="8" t="n">
        <v>12</v>
      </c>
      <c r="O2565" s="8" t="n">
        <v>10</v>
      </c>
      <c r="P2565" s="8" t="s">
        <v>120</v>
      </c>
    </row>
    <row r="2566" customFormat="false" ht="15" hidden="false" customHeight="false" outlineLevel="0" collapsed="false">
      <c r="A2566" s="8" t="s">
        <v>2968</v>
      </c>
      <c r="B2566" s="8" t="s">
        <v>2969</v>
      </c>
      <c r="C2566" s="8" t="s">
        <v>8674</v>
      </c>
      <c r="D2566" s="8" t="s">
        <v>132</v>
      </c>
      <c r="E2566" s="8" t="s">
        <v>51</v>
      </c>
      <c r="F2566" s="8" t="s">
        <v>2027</v>
      </c>
      <c r="G2566" s="8" t="s">
        <v>124</v>
      </c>
      <c r="H2566" s="8" t="s">
        <v>8670</v>
      </c>
      <c r="I2566" s="8" t="s">
        <v>9143</v>
      </c>
      <c r="J2566" s="8" t="s">
        <v>204</v>
      </c>
      <c r="K2566" s="8" t="s">
        <v>8664</v>
      </c>
      <c r="L2566" s="8"/>
      <c r="M2566" s="8"/>
      <c r="N2566" s="8" t="n">
        <v>12</v>
      </c>
      <c r="O2566" s="8" t="n">
        <v>31</v>
      </c>
      <c r="P2566" s="8" t="s">
        <v>120</v>
      </c>
    </row>
    <row r="2567" customFormat="false" ht="15" hidden="false" customHeight="false" outlineLevel="0" collapsed="false">
      <c r="A2567" s="8" t="s">
        <v>3834</v>
      </c>
      <c r="B2567" s="8" t="s">
        <v>3835</v>
      </c>
      <c r="C2567" s="8" t="s">
        <v>8680</v>
      </c>
      <c r="D2567" s="8" t="s">
        <v>123</v>
      </c>
      <c r="E2567" s="8" t="s">
        <v>51</v>
      </c>
      <c r="F2567" s="8" t="s">
        <v>2027</v>
      </c>
      <c r="G2567" s="8" t="s">
        <v>143</v>
      </c>
      <c r="H2567" s="8" t="s">
        <v>8666</v>
      </c>
      <c r="I2567" s="8" t="s">
        <v>8759</v>
      </c>
      <c r="J2567" s="8" t="s">
        <v>137</v>
      </c>
      <c r="K2567" s="8" t="s">
        <v>8664</v>
      </c>
      <c r="L2567" s="8"/>
      <c r="M2567" s="8"/>
      <c r="N2567" s="8" t="n">
        <v>12</v>
      </c>
      <c r="O2567" s="8" t="n">
        <v>15</v>
      </c>
      <c r="P2567" s="8" t="s">
        <v>120</v>
      </c>
    </row>
    <row r="2568" customFormat="false" ht="15" hidden="false" customHeight="false" outlineLevel="0" collapsed="false">
      <c r="A2568" s="8" t="s">
        <v>2190</v>
      </c>
      <c r="B2568" s="8" t="s">
        <v>2191</v>
      </c>
      <c r="C2568" s="8" t="s">
        <v>8665</v>
      </c>
      <c r="D2568" s="8" t="s">
        <v>132</v>
      </c>
      <c r="E2568" s="8" t="s">
        <v>51</v>
      </c>
      <c r="F2568" s="8" t="s">
        <v>326</v>
      </c>
      <c r="G2568" s="8" t="s">
        <v>151</v>
      </c>
      <c r="H2568" s="8" t="s">
        <v>8670</v>
      </c>
      <c r="I2568" s="8" t="s">
        <v>9476</v>
      </c>
      <c r="J2568" s="8" t="s">
        <v>119</v>
      </c>
      <c r="K2568" s="8" t="s">
        <v>8664</v>
      </c>
      <c r="L2568" s="8"/>
      <c r="M2568" s="8"/>
      <c r="N2568" s="8" t="n">
        <v>25</v>
      </c>
      <c r="O2568" s="8" t="n">
        <v>25</v>
      </c>
      <c r="P2568" s="8" t="s">
        <v>120</v>
      </c>
    </row>
    <row r="2569" customFormat="false" ht="15" hidden="false" customHeight="false" outlineLevel="0" collapsed="false">
      <c r="A2569" s="8" t="s">
        <v>851</v>
      </c>
      <c r="B2569" s="8" t="s">
        <v>852</v>
      </c>
      <c r="C2569" s="8" t="s">
        <v>8669</v>
      </c>
      <c r="D2569" s="8" t="s">
        <v>123</v>
      </c>
      <c r="E2569" s="8" t="s">
        <v>53</v>
      </c>
      <c r="F2569" s="8" t="s">
        <v>326</v>
      </c>
      <c r="G2569" s="8" t="s">
        <v>118</v>
      </c>
      <c r="H2569" s="8" t="s">
        <v>8666</v>
      </c>
      <c r="I2569" s="8" t="s">
        <v>9853</v>
      </c>
      <c r="J2569" s="8" t="s">
        <v>204</v>
      </c>
      <c r="K2569" s="8" t="s">
        <v>8664</v>
      </c>
      <c r="L2569" s="8"/>
      <c r="M2569" s="8"/>
      <c r="N2569" s="8" t="n">
        <v>25</v>
      </c>
      <c r="O2569" s="8" t="n">
        <v>147</v>
      </c>
      <c r="P2569" s="8" t="s">
        <v>120</v>
      </c>
    </row>
    <row r="2570" customFormat="false" ht="15" hidden="false" customHeight="false" outlineLevel="0" collapsed="false">
      <c r="A2570" s="8" t="s">
        <v>1977</v>
      </c>
      <c r="B2570" s="8" t="s">
        <v>1978</v>
      </c>
      <c r="C2570" s="8" t="s">
        <v>8688</v>
      </c>
      <c r="D2570" s="8" t="s">
        <v>123</v>
      </c>
      <c r="E2570" s="8" t="s">
        <v>51</v>
      </c>
      <c r="F2570" s="8" t="s">
        <v>326</v>
      </c>
      <c r="G2570" s="8" t="s">
        <v>143</v>
      </c>
      <c r="H2570" s="8" t="s">
        <v>8662</v>
      </c>
      <c r="I2570" s="8" t="s">
        <v>9993</v>
      </c>
      <c r="J2570" s="8" t="s">
        <v>125</v>
      </c>
      <c r="K2570" s="8" t="s">
        <v>8664</v>
      </c>
      <c r="L2570" s="8"/>
      <c r="M2570" s="8"/>
      <c r="N2570" s="8" t="n">
        <v>25</v>
      </c>
      <c r="O2570" s="8" t="n">
        <v>33</v>
      </c>
      <c r="P2570" s="8" t="s">
        <v>120</v>
      </c>
    </row>
    <row r="2571" customFormat="false" ht="15" hidden="false" customHeight="false" outlineLevel="0" collapsed="false">
      <c r="A2571" s="8" t="s">
        <v>3978</v>
      </c>
      <c r="B2571" s="8" t="s">
        <v>3979</v>
      </c>
      <c r="C2571" s="8" t="s">
        <v>8678</v>
      </c>
      <c r="D2571" s="8" t="s">
        <v>132</v>
      </c>
      <c r="E2571" s="8" t="s">
        <v>51</v>
      </c>
      <c r="F2571" s="8" t="s">
        <v>326</v>
      </c>
      <c r="G2571" s="8" t="s">
        <v>133</v>
      </c>
      <c r="H2571" s="8" t="s">
        <v>8662</v>
      </c>
      <c r="I2571" s="8" t="s">
        <v>9714</v>
      </c>
      <c r="J2571" s="8" t="s">
        <v>177</v>
      </c>
      <c r="K2571" s="8" t="s">
        <v>8664</v>
      </c>
      <c r="L2571" s="8"/>
      <c r="M2571" s="8"/>
      <c r="N2571" s="8" t="n">
        <v>25</v>
      </c>
      <c r="O2571" s="8" t="n">
        <v>6</v>
      </c>
      <c r="P2571" s="8" t="s">
        <v>120</v>
      </c>
    </row>
    <row r="2572" customFormat="false" ht="15" hidden="false" customHeight="false" outlineLevel="0" collapsed="false">
      <c r="A2572" s="8" t="s">
        <v>2970</v>
      </c>
      <c r="B2572" s="8" t="s">
        <v>2971</v>
      </c>
      <c r="C2572" s="8" t="s">
        <v>8665</v>
      </c>
      <c r="D2572" s="8" t="s">
        <v>123</v>
      </c>
      <c r="E2572" s="8" t="s">
        <v>51</v>
      </c>
      <c r="F2572" s="8" t="s">
        <v>2027</v>
      </c>
      <c r="G2572" s="8" t="s">
        <v>151</v>
      </c>
      <c r="H2572" s="8" t="s">
        <v>8675</v>
      </c>
      <c r="I2572" s="8" t="s">
        <v>8897</v>
      </c>
      <c r="J2572" s="8" t="s">
        <v>129</v>
      </c>
      <c r="K2572" s="8" t="s">
        <v>8664</v>
      </c>
      <c r="L2572" s="8"/>
      <c r="M2572" s="8"/>
      <c r="N2572" s="8" t="n">
        <v>12</v>
      </c>
      <c r="O2572" s="8" t="n">
        <v>33</v>
      </c>
      <c r="P2572" s="8" t="s">
        <v>120</v>
      </c>
    </row>
    <row r="2573" customFormat="false" ht="15" hidden="false" customHeight="false" outlineLevel="0" collapsed="false">
      <c r="A2573" s="8" t="s">
        <v>3980</v>
      </c>
      <c r="B2573" s="8" t="s">
        <v>3981</v>
      </c>
      <c r="C2573" s="8" t="s">
        <v>8661</v>
      </c>
      <c r="D2573" s="8" t="s">
        <v>132</v>
      </c>
      <c r="E2573" s="8" t="s">
        <v>51</v>
      </c>
      <c r="F2573" s="8" t="s">
        <v>326</v>
      </c>
      <c r="G2573" s="8" t="s">
        <v>133</v>
      </c>
      <c r="H2573" s="8" t="s">
        <v>8675</v>
      </c>
      <c r="I2573" s="8" t="s">
        <v>8951</v>
      </c>
      <c r="J2573" s="8" t="s">
        <v>125</v>
      </c>
      <c r="K2573" s="8" t="s">
        <v>8664</v>
      </c>
      <c r="L2573" s="8"/>
      <c r="M2573" s="8"/>
      <c r="N2573" s="8" t="n">
        <v>25</v>
      </c>
      <c r="O2573" s="8" t="n">
        <v>6</v>
      </c>
      <c r="P2573" s="8" t="s">
        <v>120</v>
      </c>
    </row>
    <row r="2574" customFormat="false" ht="15" hidden="false" customHeight="false" outlineLevel="0" collapsed="false">
      <c r="A2574" s="8" t="s">
        <v>2780</v>
      </c>
      <c r="B2574" s="8" t="s">
        <v>2781</v>
      </c>
      <c r="C2574" s="8" t="s">
        <v>8700</v>
      </c>
      <c r="D2574" s="8" t="s">
        <v>132</v>
      </c>
      <c r="E2574" s="8" t="s">
        <v>51</v>
      </c>
      <c r="F2574" s="8" t="s">
        <v>2027</v>
      </c>
      <c r="G2574" s="8" t="s">
        <v>223</v>
      </c>
      <c r="H2574" s="8" t="s">
        <v>8666</v>
      </c>
      <c r="I2574" s="8" t="s">
        <v>9317</v>
      </c>
      <c r="J2574" s="8" t="s">
        <v>159</v>
      </c>
      <c r="K2574" s="8" t="s">
        <v>8664</v>
      </c>
      <c r="L2574" s="8"/>
      <c r="M2574" s="8"/>
      <c r="N2574" s="8" t="n">
        <v>12</v>
      </c>
      <c r="O2574" s="8" t="n">
        <v>18</v>
      </c>
      <c r="P2574" s="8" t="s">
        <v>120</v>
      </c>
    </row>
    <row r="2575" customFormat="false" ht="15" hidden="false" customHeight="false" outlineLevel="0" collapsed="false">
      <c r="A2575" s="8" t="s">
        <v>2144</v>
      </c>
      <c r="B2575" s="8" t="s">
        <v>2145</v>
      </c>
      <c r="C2575" s="8" t="s">
        <v>8669</v>
      </c>
      <c r="D2575" s="8" t="s">
        <v>123</v>
      </c>
      <c r="E2575" s="8" t="s">
        <v>51</v>
      </c>
      <c r="F2575" s="8" t="s">
        <v>326</v>
      </c>
      <c r="G2575" s="8" t="s">
        <v>133</v>
      </c>
      <c r="H2575" s="8" t="s">
        <v>8662</v>
      </c>
      <c r="I2575" s="8" t="s">
        <v>9335</v>
      </c>
      <c r="J2575" s="8" t="s">
        <v>185</v>
      </c>
      <c r="K2575" s="8" t="s">
        <v>8664</v>
      </c>
      <c r="L2575" s="8"/>
      <c r="M2575" s="8"/>
      <c r="N2575" s="8" t="n">
        <v>25</v>
      </c>
      <c r="O2575" s="8" t="n">
        <v>32</v>
      </c>
      <c r="P2575" s="8" t="s">
        <v>120</v>
      </c>
    </row>
    <row r="2576" customFormat="false" ht="15" hidden="false" customHeight="false" outlineLevel="0" collapsed="false">
      <c r="A2576" s="8" t="s">
        <v>3038</v>
      </c>
      <c r="B2576" s="8" t="s">
        <v>3039</v>
      </c>
      <c r="C2576" s="8" t="s">
        <v>8688</v>
      </c>
      <c r="D2576" s="8" t="s">
        <v>123</v>
      </c>
      <c r="E2576" s="8" t="s">
        <v>51</v>
      </c>
      <c r="F2576" s="8" t="s">
        <v>326</v>
      </c>
      <c r="G2576" s="8" t="s">
        <v>124</v>
      </c>
      <c r="H2576" s="8" t="s">
        <v>8670</v>
      </c>
      <c r="I2576" s="8" t="s">
        <v>9913</v>
      </c>
      <c r="J2576" s="8" t="s">
        <v>125</v>
      </c>
      <c r="K2576" s="8" t="s">
        <v>8664</v>
      </c>
      <c r="L2576" s="8"/>
      <c r="M2576" s="8"/>
      <c r="N2576" s="8" t="n">
        <v>25</v>
      </c>
      <c r="O2576" s="8" t="n">
        <v>14</v>
      </c>
      <c r="P2576" s="8" t="s">
        <v>120</v>
      </c>
    </row>
    <row r="2577" customFormat="false" ht="15" hidden="false" customHeight="false" outlineLevel="0" collapsed="false">
      <c r="A2577" s="8" t="s">
        <v>10469</v>
      </c>
      <c r="B2577" s="8" t="s">
        <v>10470</v>
      </c>
      <c r="C2577" s="8" t="s">
        <v>8674</v>
      </c>
      <c r="D2577" s="8" t="s">
        <v>132</v>
      </c>
      <c r="E2577" s="8" t="s">
        <v>53</v>
      </c>
      <c r="F2577" s="8" t="s">
        <v>326</v>
      </c>
      <c r="G2577" s="8" t="s">
        <v>133</v>
      </c>
      <c r="H2577" s="8" t="s">
        <v>8662</v>
      </c>
      <c r="I2577" s="8" t="s">
        <v>9765</v>
      </c>
      <c r="J2577" s="8"/>
      <c r="K2577" s="8" t="s">
        <v>8690</v>
      </c>
      <c r="L2577" s="8" t="s">
        <v>10074</v>
      </c>
      <c r="M2577" s="8" t="s">
        <v>8721</v>
      </c>
      <c r="N2577" s="8" t="n">
        <v>25</v>
      </c>
      <c r="O2577" s="8" t="n">
        <v>172</v>
      </c>
      <c r="P2577" s="8" t="s">
        <v>148</v>
      </c>
    </row>
    <row r="2578" customFormat="false" ht="15" hidden="false" customHeight="false" outlineLevel="0" collapsed="false">
      <c r="A2578" s="8" t="s">
        <v>1307</v>
      </c>
      <c r="B2578" s="8" t="s">
        <v>1308</v>
      </c>
      <c r="C2578" s="8" t="s">
        <v>8678</v>
      </c>
      <c r="D2578" s="8" t="s">
        <v>123</v>
      </c>
      <c r="E2578" s="8" t="s">
        <v>53</v>
      </c>
      <c r="F2578" s="8" t="s">
        <v>326</v>
      </c>
      <c r="G2578" s="8" t="s">
        <v>190</v>
      </c>
      <c r="H2578" s="8" t="s">
        <v>8675</v>
      </c>
      <c r="I2578" s="8" t="s">
        <v>9737</v>
      </c>
      <c r="J2578" s="8" t="s">
        <v>137</v>
      </c>
      <c r="K2578" s="8" t="s">
        <v>8664</v>
      </c>
      <c r="L2578" s="8"/>
      <c r="M2578" s="8"/>
      <c r="N2578" s="8" t="n">
        <v>25</v>
      </c>
      <c r="O2578" s="8" t="n">
        <v>110</v>
      </c>
      <c r="P2578" s="8" t="s">
        <v>120</v>
      </c>
    </row>
    <row r="2579" customFormat="false" ht="15" hidden="false" customHeight="false" outlineLevel="0" collapsed="false">
      <c r="A2579" s="8" t="s">
        <v>441</v>
      </c>
      <c r="B2579" s="8" t="s">
        <v>442</v>
      </c>
      <c r="C2579" s="8" t="s">
        <v>8680</v>
      </c>
      <c r="D2579" s="8" t="s">
        <v>132</v>
      </c>
      <c r="E2579" s="8" t="s">
        <v>55</v>
      </c>
      <c r="F2579" s="8" t="s">
        <v>326</v>
      </c>
      <c r="G2579" s="8" t="s">
        <v>166</v>
      </c>
      <c r="H2579" s="8" t="s">
        <v>8666</v>
      </c>
      <c r="I2579" s="8" t="s">
        <v>8743</v>
      </c>
      <c r="J2579" s="8" t="s">
        <v>137</v>
      </c>
      <c r="K2579" s="8" t="s">
        <v>8664</v>
      </c>
      <c r="L2579" s="8"/>
      <c r="M2579" s="8"/>
      <c r="N2579" s="8" t="n">
        <v>25</v>
      </c>
      <c r="O2579" s="8" t="n">
        <v>486</v>
      </c>
      <c r="P2579" s="8" t="s">
        <v>120</v>
      </c>
    </row>
    <row r="2580" customFormat="false" ht="15" hidden="false" customHeight="false" outlineLevel="0" collapsed="false">
      <c r="A2580" s="8" t="s">
        <v>929</v>
      </c>
      <c r="B2580" s="8" t="s">
        <v>930</v>
      </c>
      <c r="C2580" s="8" t="s">
        <v>8688</v>
      </c>
      <c r="D2580" s="8" t="s">
        <v>117</v>
      </c>
      <c r="E2580" s="8" t="s">
        <v>53</v>
      </c>
      <c r="F2580" s="8" t="s">
        <v>326</v>
      </c>
      <c r="G2580" s="8" t="s">
        <v>223</v>
      </c>
      <c r="H2580" s="8" t="s">
        <v>8670</v>
      </c>
      <c r="I2580" s="8" t="s">
        <v>9671</v>
      </c>
      <c r="J2580" s="8" t="s">
        <v>119</v>
      </c>
      <c r="K2580" s="8" t="s">
        <v>8664</v>
      </c>
      <c r="L2580" s="8"/>
      <c r="M2580" s="8"/>
      <c r="N2580" s="8" t="n">
        <v>25</v>
      </c>
      <c r="O2580" s="8" t="n">
        <v>178</v>
      </c>
      <c r="P2580" s="8" t="s">
        <v>120</v>
      </c>
    </row>
    <row r="2581" customFormat="false" ht="15" hidden="false" customHeight="false" outlineLevel="0" collapsed="false">
      <c r="A2581" s="8" t="s">
        <v>268</v>
      </c>
      <c r="B2581" s="8" t="s">
        <v>269</v>
      </c>
      <c r="C2581" s="8" t="s">
        <v>8688</v>
      </c>
      <c r="D2581" s="8" t="s">
        <v>132</v>
      </c>
      <c r="E2581" s="8" t="s">
        <v>55</v>
      </c>
      <c r="F2581" s="8" t="s">
        <v>55</v>
      </c>
      <c r="G2581" s="8" t="s">
        <v>166</v>
      </c>
      <c r="H2581" s="8" t="s">
        <v>8675</v>
      </c>
      <c r="I2581" s="8" t="s">
        <v>10263</v>
      </c>
      <c r="J2581" s="8" t="s">
        <v>180</v>
      </c>
      <c r="K2581" s="8" t="s">
        <v>8664</v>
      </c>
      <c r="L2581" s="8"/>
      <c r="M2581" s="8"/>
      <c r="N2581" s="8" t="n">
        <v>45</v>
      </c>
      <c r="O2581" s="8" t="n">
        <v>464</v>
      </c>
      <c r="P2581" s="8" t="s">
        <v>120</v>
      </c>
    </row>
    <row r="2582" customFormat="false" ht="15" hidden="false" customHeight="false" outlineLevel="0" collapsed="false">
      <c r="A2582" s="8" t="s">
        <v>4258</v>
      </c>
      <c r="B2582" s="8" t="s">
        <v>4259</v>
      </c>
      <c r="C2582" s="8" t="s">
        <v>8669</v>
      </c>
      <c r="D2582" s="8" t="s">
        <v>132</v>
      </c>
      <c r="E2582" s="8" t="s">
        <v>51</v>
      </c>
      <c r="F2582" s="8" t="s">
        <v>2027</v>
      </c>
      <c r="G2582" s="8" t="s">
        <v>133</v>
      </c>
      <c r="H2582" s="8" t="s">
        <v>8670</v>
      </c>
      <c r="I2582" s="8" t="s">
        <v>9501</v>
      </c>
      <c r="J2582" s="8" t="s">
        <v>204</v>
      </c>
      <c r="K2582" s="8" t="s">
        <v>8664</v>
      </c>
      <c r="L2582" s="8"/>
      <c r="M2582" s="8"/>
      <c r="N2582" s="8" t="n">
        <v>12</v>
      </c>
      <c r="O2582" s="8" t="n">
        <v>8</v>
      </c>
      <c r="P2582" s="8" t="s">
        <v>120</v>
      </c>
    </row>
    <row r="2583" customFormat="false" ht="15" hidden="false" customHeight="false" outlineLevel="0" collapsed="false">
      <c r="A2583" s="8" t="s">
        <v>3022</v>
      </c>
      <c r="B2583" s="8" t="s">
        <v>3023</v>
      </c>
      <c r="C2583" s="8" t="s">
        <v>8674</v>
      </c>
      <c r="D2583" s="8" t="s">
        <v>123</v>
      </c>
      <c r="E2583" s="8" t="s">
        <v>51</v>
      </c>
      <c r="F2583" s="8" t="s">
        <v>2027</v>
      </c>
      <c r="G2583" s="8" t="s">
        <v>136</v>
      </c>
      <c r="H2583" s="8" t="s">
        <v>8666</v>
      </c>
      <c r="I2583" s="8" t="s">
        <v>9421</v>
      </c>
      <c r="J2583" s="8" t="s">
        <v>204</v>
      </c>
      <c r="K2583" s="8" t="s">
        <v>8664</v>
      </c>
      <c r="L2583" s="8"/>
      <c r="M2583" s="8"/>
      <c r="N2583" s="8" t="n">
        <v>12</v>
      </c>
      <c r="O2583" s="8" t="n">
        <v>30</v>
      </c>
      <c r="P2583" s="8" t="s">
        <v>120</v>
      </c>
    </row>
    <row r="2584" customFormat="false" ht="15" hidden="false" customHeight="false" outlineLevel="0" collapsed="false">
      <c r="A2584" s="8" t="s">
        <v>363</v>
      </c>
      <c r="B2584" s="8" t="s">
        <v>364</v>
      </c>
      <c r="C2584" s="8" t="s">
        <v>8678</v>
      </c>
      <c r="D2584" s="8" t="s">
        <v>132</v>
      </c>
      <c r="E2584" s="8" t="s">
        <v>55</v>
      </c>
      <c r="F2584" s="8" t="s">
        <v>55</v>
      </c>
      <c r="G2584" s="8" t="s">
        <v>143</v>
      </c>
      <c r="H2584" s="8" t="s">
        <v>8675</v>
      </c>
      <c r="I2584" s="8" t="s">
        <v>10471</v>
      </c>
      <c r="J2584" s="8" t="s">
        <v>185</v>
      </c>
      <c r="K2584" s="8" t="s">
        <v>8664</v>
      </c>
      <c r="L2584" s="8"/>
      <c r="M2584" s="8"/>
      <c r="N2584" s="8" t="n">
        <v>45</v>
      </c>
      <c r="O2584" s="8" t="n">
        <v>326</v>
      </c>
      <c r="P2584" s="8" t="s">
        <v>120</v>
      </c>
    </row>
    <row r="2585" customFormat="false" ht="15" hidden="false" customHeight="false" outlineLevel="0" collapsed="false">
      <c r="A2585" s="8" t="s">
        <v>1409</v>
      </c>
      <c r="B2585" s="8" t="s">
        <v>1410</v>
      </c>
      <c r="C2585" s="8" t="s">
        <v>8678</v>
      </c>
      <c r="D2585" s="8" t="s">
        <v>117</v>
      </c>
      <c r="E2585" s="8" t="s">
        <v>53</v>
      </c>
      <c r="F2585" s="8" t="s">
        <v>326</v>
      </c>
      <c r="G2585" s="8" t="s">
        <v>136</v>
      </c>
      <c r="H2585" s="8" t="s">
        <v>8662</v>
      </c>
      <c r="I2585" s="8" t="s">
        <v>10359</v>
      </c>
      <c r="J2585" s="8" t="s">
        <v>177</v>
      </c>
      <c r="K2585" s="8" t="s">
        <v>8664</v>
      </c>
      <c r="L2585" s="8"/>
      <c r="M2585" s="8"/>
      <c r="N2585" s="8" t="n">
        <v>25</v>
      </c>
      <c r="O2585" s="8" t="n">
        <v>88</v>
      </c>
      <c r="P2585" s="8" t="s">
        <v>120</v>
      </c>
    </row>
    <row r="2586" customFormat="false" ht="15" hidden="false" customHeight="false" outlineLevel="0" collapsed="false">
      <c r="A2586" s="8" t="s">
        <v>1573</v>
      </c>
      <c r="B2586" s="8" t="s">
        <v>1574</v>
      </c>
      <c r="C2586" s="8" t="s">
        <v>8669</v>
      </c>
      <c r="D2586" s="8" t="s">
        <v>123</v>
      </c>
      <c r="E2586" s="8" t="s">
        <v>53</v>
      </c>
      <c r="F2586" s="8" t="s">
        <v>326</v>
      </c>
      <c r="G2586" s="8" t="s">
        <v>124</v>
      </c>
      <c r="H2586" s="8" t="s">
        <v>8670</v>
      </c>
      <c r="I2586" s="8" t="s">
        <v>9289</v>
      </c>
      <c r="J2586" s="8" t="s">
        <v>177</v>
      </c>
      <c r="K2586" s="8" t="s">
        <v>8664</v>
      </c>
      <c r="L2586" s="8"/>
      <c r="M2586" s="8"/>
      <c r="N2586" s="8" t="n">
        <v>25</v>
      </c>
      <c r="O2586" s="8" t="n">
        <v>79</v>
      </c>
      <c r="P2586" s="8" t="s">
        <v>199</v>
      </c>
    </row>
    <row r="2587" customFormat="false" ht="15" hidden="false" customHeight="false" outlineLevel="0" collapsed="false">
      <c r="A2587" s="8" t="s">
        <v>663</v>
      </c>
      <c r="B2587" s="8" t="s">
        <v>664</v>
      </c>
      <c r="C2587" s="8" t="s">
        <v>8665</v>
      </c>
      <c r="D2587" s="8" t="s">
        <v>132</v>
      </c>
      <c r="E2587" s="8" t="s">
        <v>53</v>
      </c>
      <c r="F2587" s="8" t="s">
        <v>55</v>
      </c>
      <c r="G2587" s="8" t="s">
        <v>124</v>
      </c>
      <c r="H2587" s="8" t="s">
        <v>8662</v>
      </c>
      <c r="I2587" s="8" t="s">
        <v>9727</v>
      </c>
      <c r="J2587" s="8" t="s">
        <v>129</v>
      </c>
      <c r="K2587" s="8" t="s">
        <v>8664</v>
      </c>
      <c r="L2587" s="8"/>
      <c r="M2587" s="8"/>
      <c r="N2587" s="8" t="n">
        <v>45</v>
      </c>
      <c r="O2587" s="8" t="n">
        <v>149</v>
      </c>
      <c r="P2587" s="8" t="s">
        <v>120</v>
      </c>
    </row>
    <row r="2588" customFormat="false" ht="15" hidden="false" customHeight="false" outlineLevel="0" collapsed="false">
      <c r="A2588" s="8" t="s">
        <v>2198</v>
      </c>
      <c r="B2588" s="8" t="s">
        <v>2199</v>
      </c>
      <c r="C2588" s="8" t="s">
        <v>8700</v>
      </c>
      <c r="D2588" s="8" t="s">
        <v>123</v>
      </c>
      <c r="E2588" s="8" t="s">
        <v>51</v>
      </c>
      <c r="F2588" s="8" t="s">
        <v>2027</v>
      </c>
      <c r="G2588" s="8" t="s">
        <v>151</v>
      </c>
      <c r="H2588" s="8" t="s">
        <v>8670</v>
      </c>
      <c r="I2588" s="8" t="s">
        <v>9759</v>
      </c>
      <c r="J2588" s="8" t="s">
        <v>125</v>
      </c>
      <c r="K2588" s="8" t="s">
        <v>8664</v>
      </c>
      <c r="L2588" s="8"/>
      <c r="M2588" s="8"/>
      <c r="N2588" s="8" t="n">
        <v>12</v>
      </c>
      <c r="O2588" s="8" t="n">
        <v>36</v>
      </c>
      <c r="P2588" s="8" t="s">
        <v>120</v>
      </c>
    </row>
    <row r="2589" customFormat="false" ht="15" hidden="false" customHeight="false" outlineLevel="0" collapsed="false">
      <c r="A2589" s="8" t="s">
        <v>10472</v>
      </c>
      <c r="B2589" s="8" t="s">
        <v>10473</v>
      </c>
      <c r="C2589" s="8" t="s">
        <v>8661</v>
      </c>
      <c r="D2589" s="8" t="s">
        <v>123</v>
      </c>
      <c r="E2589" s="8" t="s">
        <v>51</v>
      </c>
      <c r="F2589" s="8" t="s">
        <v>2027</v>
      </c>
      <c r="G2589" s="8" t="s">
        <v>154</v>
      </c>
      <c r="H2589" s="8" t="s">
        <v>8670</v>
      </c>
      <c r="I2589" s="8" t="s">
        <v>9564</v>
      </c>
      <c r="J2589" s="8"/>
      <c r="K2589" s="8" t="s">
        <v>8690</v>
      </c>
      <c r="L2589" s="8" t="s">
        <v>8809</v>
      </c>
      <c r="M2589" s="8" t="s">
        <v>8705</v>
      </c>
      <c r="N2589" s="8" t="n">
        <v>12</v>
      </c>
      <c r="O2589" s="8" t="n">
        <v>25</v>
      </c>
      <c r="P2589" s="8" t="s">
        <v>120</v>
      </c>
    </row>
    <row r="2590" customFormat="false" ht="15" hidden="false" customHeight="false" outlineLevel="0" collapsed="false">
      <c r="A2590" s="8" t="s">
        <v>3092</v>
      </c>
      <c r="B2590" s="8" t="s">
        <v>3093</v>
      </c>
      <c r="C2590" s="8" t="s">
        <v>8661</v>
      </c>
      <c r="D2590" s="8" t="s">
        <v>123</v>
      </c>
      <c r="E2590" s="8" t="s">
        <v>51</v>
      </c>
      <c r="F2590" s="8" t="s">
        <v>2027</v>
      </c>
      <c r="G2590" s="8" t="s">
        <v>124</v>
      </c>
      <c r="H2590" s="8" t="s">
        <v>8662</v>
      </c>
      <c r="I2590" s="8" t="s">
        <v>10001</v>
      </c>
      <c r="J2590" s="8" t="s">
        <v>129</v>
      </c>
      <c r="K2590" s="8" t="s">
        <v>8664</v>
      </c>
      <c r="L2590" s="8"/>
      <c r="M2590" s="8"/>
      <c r="N2590" s="8" t="n">
        <v>12</v>
      </c>
      <c r="O2590" s="8" t="n">
        <v>23</v>
      </c>
      <c r="P2590" s="8" t="s">
        <v>120</v>
      </c>
    </row>
    <row r="2591" customFormat="false" ht="15" hidden="false" customHeight="false" outlineLevel="0" collapsed="false">
      <c r="A2591" s="8" t="s">
        <v>871</v>
      </c>
      <c r="B2591" s="8" t="s">
        <v>872</v>
      </c>
      <c r="C2591" s="8" t="s">
        <v>8678</v>
      </c>
      <c r="D2591" s="8" t="s">
        <v>117</v>
      </c>
      <c r="E2591" s="8" t="s">
        <v>53</v>
      </c>
      <c r="F2591" s="8" t="s">
        <v>326</v>
      </c>
      <c r="G2591" s="8" t="s">
        <v>118</v>
      </c>
      <c r="H2591" s="8" t="s">
        <v>8666</v>
      </c>
      <c r="I2591" s="8" t="s">
        <v>8744</v>
      </c>
      <c r="J2591" s="8" t="s">
        <v>119</v>
      </c>
      <c r="K2591" s="8" t="s">
        <v>8664</v>
      </c>
      <c r="L2591" s="8"/>
      <c r="M2591" s="8"/>
      <c r="N2591" s="8" t="n">
        <v>25</v>
      </c>
      <c r="O2591" s="8" t="n">
        <v>186</v>
      </c>
      <c r="P2591" s="8" t="s">
        <v>148</v>
      </c>
    </row>
    <row r="2592" customFormat="false" ht="15" hidden="false" customHeight="false" outlineLevel="0" collapsed="false">
      <c r="A2592" s="8" t="s">
        <v>10474</v>
      </c>
      <c r="B2592" s="8" t="s">
        <v>10475</v>
      </c>
      <c r="C2592" s="8" t="s">
        <v>8669</v>
      </c>
      <c r="D2592" s="8" t="s">
        <v>123</v>
      </c>
      <c r="E2592" s="8" t="s">
        <v>51</v>
      </c>
      <c r="F2592" s="8" t="s">
        <v>326</v>
      </c>
      <c r="G2592" s="8" t="s">
        <v>166</v>
      </c>
      <c r="H2592" s="8" t="s">
        <v>8662</v>
      </c>
      <c r="I2592" s="8" t="s">
        <v>8763</v>
      </c>
      <c r="J2592" s="8"/>
      <c r="K2592" s="8" t="s">
        <v>8690</v>
      </c>
      <c r="L2592" s="8" t="s">
        <v>8830</v>
      </c>
      <c r="M2592" s="8" t="s">
        <v>8696</v>
      </c>
      <c r="N2592" s="8" t="n">
        <v>25</v>
      </c>
      <c r="O2592" s="8" t="n">
        <v>16</v>
      </c>
      <c r="P2592" s="8" t="s">
        <v>120</v>
      </c>
    </row>
    <row r="2593" customFormat="false" ht="15" hidden="false" customHeight="false" outlineLevel="0" collapsed="false">
      <c r="A2593" s="8" t="s">
        <v>1051</v>
      </c>
      <c r="B2593" s="8" t="s">
        <v>1052</v>
      </c>
      <c r="C2593" s="8" t="s">
        <v>8674</v>
      </c>
      <c r="D2593" s="8" t="s">
        <v>132</v>
      </c>
      <c r="E2593" s="8" t="s">
        <v>53</v>
      </c>
      <c r="F2593" s="8" t="s">
        <v>326</v>
      </c>
      <c r="G2593" s="8" t="s">
        <v>133</v>
      </c>
      <c r="H2593" s="8" t="s">
        <v>8662</v>
      </c>
      <c r="I2593" s="8" t="s">
        <v>10435</v>
      </c>
      <c r="J2593" s="8" t="s">
        <v>180</v>
      </c>
      <c r="K2593" s="8" t="s">
        <v>8664</v>
      </c>
      <c r="L2593" s="8"/>
      <c r="M2593" s="8"/>
      <c r="N2593" s="8" t="n">
        <v>25</v>
      </c>
      <c r="O2593" s="8" t="n">
        <v>184</v>
      </c>
      <c r="P2593" s="8" t="s">
        <v>120</v>
      </c>
    </row>
    <row r="2594" customFormat="false" ht="15" hidden="false" customHeight="false" outlineLevel="0" collapsed="false">
      <c r="A2594" s="8" t="s">
        <v>2890</v>
      </c>
      <c r="B2594" s="8" t="s">
        <v>2891</v>
      </c>
      <c r="C2594" s="8" t="s">
        <v>8688</v>
      </c>
      <c r="D2594" s="8" t="s">
        <v>123</v>
      </c>
      <c r="E2594" s="8" t="s">
        <v>51</v>
      </c>
      <c r="F2594" s="8" t="s">
        <v>2027</v>
      </c>
      <c r="G2594" s="8" t="s">
        <v>124</v>
      </c>
      <c r="H2594" s="8" t="s">
        <v>8670</v>
      </c>
      <c r="I2594" s="8" t="s">
        <v>9755</v>
      </c>
      <c r="J2594" s="8" t="s">
        <v>140</v>
      </c>
      <c r="K2594" s="8" t="s">
        <v>8664</v>
      </c>
      <c r="L2594" s="8"/>
      <c r="M2594" s="8"/>
      <c r="N2594" s="8" t="n">
        <v>12</v>
      </c>
      <c r="O2594" s="8" t="n">
        <v>30</v>
      </c>
      <c r="P2594" s="8" t="s">
        <v>120</v>
      </c>
    </row>
    <row r="2595" customFormat="false" ht="15" hidden="false" customHeight="false" outlineLevel="0" collapsed="false">
      <c r="A2595" s="8" t="s">
        <v>10476</v>
      </c>
      <c r="B2595" s="8" t="s">
        <v>10477</v>
      </c>
      <c r="C2595" s="8" t="s">
        <v>8688</v>
      </c>
      <c r="D2595" s="8" t="s">
        <v>117</v>
      </c>
      <c r="E2595" s="8" t="s">
        <v>53</v>
      </c>
      <c r="F2595" s="8" t="s">
        <v>326</v>
      </c>
      <c r="G2595" s="8" t="s">
        <v>143</v>
      </c>
      <c r="H2595" s="8" t="s">
        <v>8662</v>
      </c>
      <c r="I2595" s="8" t="s">
        <v>10478</v>
      </c>
      <c r="J2595" s="8"/>
      <c r="K2595" s="8" t="s">
        <v>8690</v>
      </c>
      <c r="L2595" s="8" t="s">
        <v>9319</v>
      </c>
      <c r="M2595" s="8" t="s">
        <v>8705</v>
      </c>
      <c r="N2595" s="8" t="n">
        <v>25</v>
      </c>
      <c r="O2595" s="8" t="n">
        <v>47</v>
      </c>
      <c r="P2595" s="8" t="s">
        <v>148</v>
      </c>
    </row>
    <row r="2596" customFormat="false" ht="15" hidden="false" customHeight="false" outlineLevel="0" collapsed="false">
      <c r="A2596" s="8" t="s">
        <v>2484</v>
      </c>
      <c r="B2596" s="8" t="s">
        <v>2485</v>
      </c>
      <c r="C2596" s="8" t="s">
        <v>8688</v>
      </c>
      <c r="D2596" s="8" t="s">
        <v>117</v>
      </c>
      <c r="E2596" s="8" t="s">
        <v>51</v>
      </c>
      <c r="F2596" s="8" t="s">
        <v>2027</v>
      </c>
      <c r="G2596" s="8" t="s">
        <v>154</v>
      </c>
      <c r="H2596" s="8" t="s">
        <v>8666</v>
      </c>
      <c r="I2596" s="8" t="s">
        <v>8967</v>
      </c>
      <c r="J2596" s="8" t="s">
        <v>140</v>
      </c>
      <c r="K2596" s="8" t="s">
        <v>8664</v>
      </c>
      <c r="L2596" s="8"/>
      <c r="M2596" s="8"/>
      <c r="N2596" s="8" t="n">
        <v>12</v>
      </c>
      <c r="O2596" s="8" t="n">
        <v>21</v>
      </c>
      <c r="P2596" s="8" t="s">
        <v>120</v>
      </c>
    </row>
    <row r="2597" customFormat="false" ht="15" hidden="false" customHeight="false" outlineLevel="0" collapsed="false">
      <c r="A2597" s="8" t="s">
        <v>2192</v>
      </c>
      <c r="B2597" s="8" t="s">
        <v>2193</v>
      </c>
      <c r="C2597" s="8" t="s">
        <v>8680</v>
      </c>
      <c r="D2597" s="8" t="s">
        <v>117</v>
      </c>
      <c r="E2597" s="8" t="s">
        <v>51</v>
      </c>
      <c r="F2597" s="8" t="s">
        <v>326</v>
      </c>
      <c r="G2597" s="8" t="s">
        <v>143</v>
      </c>
      <c r="H2597" s="8" t="s">
        <v>8670</v>
      </c>
      <c r="I2597" s="8" t="s">
        <v>8896</v>
      </c>
      <c r="J2597" s="8" t="s">
        <v>140</v>
      </c>
      <c r="K2597" s="8" t="s">
        <v>8664</v>
      </c>
      <c r="L2597" s="8"/>
      <c r="M2597" s="8"/>
      <c r="N2597" s="8" t="n">
        <v>25</v>
      </c>
      <c r="O2597" s="8" t="n">
        <v>28</v>
      </c>
      <c r="P2597" s="8" t="s">
        <v>120</v>
      </c>
    </row>
    <row r="2598" customFormat="false" ht="15" hidden="false" customHeight="false" outlineLevel="0" collapsed="false">
      <c r="A2598" s="8" t="s">
        <v>1019</v>
      </c>
      <c r="B2598" s="8" t="s">
        <v>1020</v>
      </c>
      <c r="C2598" s="8" t="s">
        <v>8665</v>
      </c>
      <c r="D2598" s="8" t="s">
        <v>132</v>
      </c>
      <c r="E2598" s="8" t="s">
        <v>55</v>
      </c>
      <c r="F2598" s="8" t="s">
        <v>326</v>
      </c>
      <c r="G2598" s="8" t="s">
        <v>136</v>
      </c>
      <c r="H2598" s="8" t="s">
        <v>8675</v>
      </c>
      <c r="I2598" s="8" t="s">
        <v>9237</v>
      </c>
      <c r="J2598" s="8" t="s">
        <v>140</v>
      </c>
      <c r="K2598" s="8" t="s">
        <v>8664</v>
      </c>
      <c r="L2598" s="8"/>
      <c r="M2598" s="8"/>
      <c r="N2598" s="8" t="n">
        <v>25</v>
      </c>
      <c r="O2598" s="8" t="n">
        <v>163</v>
      </c>
      <c r="P2598" s="8" t="s">
        <v>120</v>
      </c>
    </row>
    <row r="2599" customFormat="false" ht="15" hidden="false" customHeight="false" outlineLevel="0" collapsed="false">
      <c r="A2599" s="8" t="s">
        <v>2086</v>
      </c>
      <c r="B2599" s="8" t="s">
        <v>2087</v>
      </c>
      <c r="C2599" s="8" t="s">
        <v>8688</v>
      </c>
      <c r="D2599" s="8" t="s">
        <v>132</v>
      </c>
      <c r="E2599" s="8" t="s">
        <v>51</v>
      </c>
      <c r="F2599" s="8" t="s">
        <v>326</v>
      </c>
      <c r="G2599" s="8" t="s">
        <v>118</v>
      </c>
      <c r="H2599" s="8" t="s">
        <v>8675</v>
      </c>
      <c r="I2599" s="8" t="s">
        <v>9236</v>
      </c>
      <c r="J2599" s="8" t="s">
        <v>147</v>
      </c>
      <c r="K2599" s="8" t="s">
        <v>8664</v>
      </c>
      <c r="L2599" s="8"/>
      <c r="M2599" s="8"/>
      <c r="N2599" s="8" t="n">
        <v>25</v>
      </c>
      <c r="O2599" s="8" t="n">
        <v>29</v>
      </c>
      <c r="P2599" s="8" t="s">
        <v>120</v>
      </c>
    </row>
    <row r="2600" customFormat="false" ht="15" hidden="false" customHeight="false" outlineLevel="0" collapsed="false">
      <c r="A2600" s="8" t="s">
        <v>1999</v>
      </c>
      <c r="B2600" s="8" t="s">
        <v>2000</v>
      </c>
      <c r="C2600" s="8" t="s">
        <v>8661</v>
      </c>
      <c r="D2600" s="8" t="s">
        <v>123</v>
      </c>
      <c r="E2600" s="8" t="s">
        <v>51</v>
      </c>
      <c r="F2600" s="8" t="s">
        <v>326</v>
      </c>
      <c r="G2600" s="8" t="s">
        <v>166</v>
      </c>
      <c r="H2600" s="8" t="s">
        <v>8670</v>
      </c>
      <c r="I2600" s="8" t="s">
        <v>8761</v>
      </c>
      <c r="J2600" s="8" t="s">
        <v>144</v>
      </c>
      <c r="K2600" s="8" t="s">
        <v>8664</v>
      </c>
      <c r="L2600" s="8"/>
      <c r="M2600" s="8"/>
      <c r="N2600" s="8" t="n">
        <v>25</v>
      </c>
      <c r="O2600" s="8" t="n">
        <v>32</v>
      </c>
      <c r="P2600" s="8" t="s">
        <v>120</v>
      </c>
    </row>
    <row r="2601" customFormat="false" ht="15" hidden="false" customHeight="false" outlineLevel="0" collapsed="false">
      <c r="A2601" s="8" t="s">
        <v>3384</v>
      </c>
      <c r="B2601" s="8" t="s">
        <v>3385</v>
      </c>
      <c r="C2601" s="8" t="s">
        <v>8688</v>
      </c>
      <c r="D2601" s="8" t="s">
        <v>132</v>
      </c>
      <c r="E2601" s="8" t="s">
        <v>51</v>
      </c>
      <c r="F2601" s="8" t="s">
        <v>2027</v>
      </c>
      <c r="G2601" s="8" t="s">
        <v>143</v>
      </c>
      <c r="H2601" s="8" t="s">
        <v>8675</v>
      </c>
      <c r="I2601" s="8" t="s">
        <v>8695</v>
      </c>
      <c r="J2601" s="8" t="s">
        <v>140</v>
      </c>
      <c r="K2601" s="8" t="s">
        <v>8664</v>
      </c>
      <c r="L2601" s="8"/>
      <c r="M2601" s="8"/>
      <c r="N2601" s="8" t="n">
        <v>12</v>
      </c>
      <c r="O2601" s="8" t="n">
        <v>31</v>
      </c>
      <c r="P2601" s="8" t="s">
        <v>120</v>
      </c>
    </row>
  </sheetData>
  <autoFilter ref="A1:P26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9" t="s">
        <v>10479</v>
      </c>
    </row>
    <row r="2" customFormat="false" ht="15" hidden="false" customHeight="false" outlineLevel="0" collapsed="false">
      <c r="A2" s="12" t="s">
        <v>46</v>
      </c>
      <c r="B2" s="12" t="s">
        <v>10480</v>
      </c>
    </row>
    <row r="3" customFormat="false" ht="15" hidden="false" customHeight="false" outlineLevel="0" collapsed="false">
      <c r="A3" s="8" t="s">
        <v>51</v>
      </c>
      <c r="B3" s="16" t="n">
        <f aca="false">COUNTIFS(Accounts!$E$2:$E$2601,A3,Accounts!$K$2:$K$2601,"Churned")/COUNTIF(Accounts!$E$2:$E$2601,A3)</f>
        <v>0.177693761814745</v>
      </c>
    </row>
    <row r="4" customFormat="false" ht="15" hidden="false" customHeight="false" outlineLevel="0" collapsed="false">
      <c r="A4" s="8" t="s">
        <v>53</v>
      </c>
      <c r="B4" s="16" t="n">
        <f aca="false">COUNTIFS(Accounts!$E$2:$E$2601,A4,Accounts!$K$2:$K$2601,"Churned")/COUNTIF(Accounts!$E$2:$E$2601,A4)</f>
        <v>0.221343873517787</v>
      </c>
    </row>
    <row r="5" customFormat="false" ht="15" hidden="false" customHeight="false" outlineLevel="0" collapsed="false">
      <c r="A5" s="8" t="s">
        <v>55</v>
      </c>
      <c r="B5" s="16" t="n">
        <f aca="false">COUNTIFS(Accounts!$E$2:$E$2601,A5,Accounts!$K$2:$K$2601,"Churned")/COUNTIF(Accounts!$E$2:$E$2601,A5)</f>
        <v>0.114173228346457</v>
      </c>
    </row>
    <row r="7" customFormat="false" ht="15" hidden="false" customHeight="false" outlineLevel="0" collapsed="false">
      <c r="A7" s="9" t="s">
        <v>10481</v>
      </c>
    </row>
    <row r="8" customFormat="false" ht="15" hidden="false" customHeight="false" outlineLevel="0" collapsed="false">
      <c r="A8" s="12" t="s">
        <v>10482</v>
      </c>
      <c r="B8" s="12" t="s">
        <v>10480</v>
      </c>
    </row>
    <row r="9" customFormat="false" ht="15" hidden="false" customHeight="false" outlineLevel="0" collapsed="false">
      <c r="A9" s="8" t="s">
        <v>2027</v>
      </c>
      <c r="B9" s="16" t="n">
        <f aca="false">COUNTIFS(Accounts!$F$2:$F$2601,A9,Accounts!$K$2:$K$2601,"Churned")/COUNTIF(Accounts!$F$2:$F$2601,A9)</f>
        <v>0.189407540394973</v>
      </c>
    </row>
    <row r="10" customFormat="false" ht="15" hidden="false" customHeight="false" outlineLevel="0" collapsed="false">
      <c r="A10" s="8" t="s">
        <v>326</v>
      </c>
      <c r="B10" s="16" t="n">
        <f aca="false">COUNTIFS(Accounts!$F$2:$F$2601,A10,Accounts!$K$2:$K$2601,"Churned")/COUNTIF(Accounts!$F$2:$F$2601,A10)</f>
        <v>0.176574977817214</v>
      </c>
    </row>
    <row r="11" customFormat="false" ht="15" hidden="false" customHeight="false" outlineLevel="0" collapsed="false">
      <c r="A11" s="8" t="s">
        <v>55</v>
      </c>
      <c r="B11" s="16" t="n">
        <f aca="false">COUNTIFS(Accounts!$F$2:$F$2601,A11,Accounts!$K$2:$K$2601,"Churned")/COUNTIF(Accounts!$F$2:$F$2601,A11)</f>
        <v>0.192200557103064</v>
      </c>
    </row>
    <row r="13" customFormat="false" ht="15" hidden="false" customHeight="false" outlineLevel="0" collapsed="false">
      <c r="A13" s="9" t="s">
        <v>10483</v>
      </c>
    </row>
    <row r="14" customFormat="false" ht="15" hidden="false" customHeight="false" outlineLevel="0" collapsed="false">
      <c r="A14" s="12" t="s">
        <v>10484</v>
      </c>
      <c r="B14" s="12" t="s">
        <v>10480</v>
      </c>
    </row>
    <row r="15" customFormat="false" ht="15" hidden="false" customHeight="false" outlineLevel="0" collapsed="false">
      <c r="A15" s="8" t="s">
        <v>120</v>
      </c>
      <c r="B15" s="16" t="n">
        <f aca="false">COUNTIFS(Accounts!$P$2:$P$2601,A15,Accounts!$K$2:$K$2601,"Churned")/COUNTIF(Accounts!$P$2:$P$2601,A15)</f>
        <v>0.170658682634731</v>
      </c>
    </row>
    <row r="16" customFormat="false" ht="15" hidden="false" customHeight="false" outlineLevel="0" collapsed="false">
      <c r="A16" s="8" t="s">
        <v>148</v>
      </c>
      <c r="B16" s="16" t="n">
        <f aca="false">COUNTIFS(Accounts!$P$2:$P$2601,A16,Accounts!$K$2:$K$2601,"Churned")/COUNTIF(Accounts!$P$2:$P$2601,A16)</f>
        <v>0.344827586206897</v>
      </c>
    </row>
    <row r="18" customFormat="false" ht="15" hidden="false" customHeight="false" outlineLevel="0" collapsed="false">
      <c r="A18" s="9" t="s">
        <v>10485</v>
      </c>
    </row>
    <row r="19" customFormat="false" ht="15" hidden="false" customHeight="false" outlineLevel="0" collapsed="false">
      <c r="A19" s="12" t="s">
        <v>10486</v>
      </c>
      <c r="B19" s="12" t="s">
        <v>33</v>
      </c>
    </row>
    <row r="20" customFormat="false" ht="15" hidden="false" customHeight="false" outlineLevel="0" collapsed="false">
      <c r="A20" s="8" t="s">
        <v>8692</v>
      </c>
      <c r="B20" s="8" t="n">
        <f aca="false">COUNTIF(Accounts!$M$2:$M$2601,A20)</f>
        <v>156</v>
      </c>
    </row>
    <row r="21" customFormat="false" ht="15" hidden="false" customHeight="false" outlineLevel="0" collapsed="false">
      <c r="A21" s="8" t="s">
        <v>8705</v>
      </c>
      <c r="B21" s="8" t="n">
        <f aca="false">COUNTIF(Accounts!$M$2:$M$2601,A21)</f>
        <v>98</v>
      </c>
    </row>
    <row r="22" customFormat="false" ht="15" hidden="false" customHeight="false" outlineLevel="0" collapsed="false">
      <c r="A22" s="8" t="s">
        <v>8696</v>
      </c>
      <c r="B22" s="8" t="n">
        <f aca="false">COUNTIF(Accounts!$M$2:$M$2601,A22)</f>
        <v>86</v>
      </c>
    </row>
    <row r="23" customFormat="false" ht="15" hidden="false" customHeight="false" outlineLevel="0" collapsed="false">
      <c r="A23" s="8" t="s">
        <v>8795</v>
      </c>
      <c r="B23" s="8" t="n">
        <f aca="false">COUNTIF(Accounts!$M$2:$M$2601,A23)</f>
        <v>66</v>
      </c>
    </row>
    <row r="24" customFormat="false" ht="15" hidden="false" customHeight="false" outlineLevel="0" collapsed="false">
      <c r="A24" s="8" t="s">
        <v>8721</v>
      </c>
      <c r="B24" s="8" t="n">
        <f aca="false">COUNTIF(Accounts!$M$2:$M$2601,A24)</f>
        <v>42</v>
      </c>
    </row>
    <row r="25" customFormat="false" ht="15" hidden="false" customHeight="false" outlineLevel="0" collapsed="false">
      <c r="A25" s="8" t="s">
        <v>8727</v>
      </c>
      <c r="B25" s="8" t="n">
        <f aca="false">COUNTIF(Accounts!$M$2:$M$2601,A25)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2026-10-26T20:00:35Z</dcterms:created>
  <dc:creator>openpyxl</dc:creator>
  <dc:description/>
  <dc:language>en-US</dc:language>
  <cp:lastModifiedBy/>
  <dcterms:modified xsi:type="dcterms:W3CDTF">2026-10-27T01:30:43Z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